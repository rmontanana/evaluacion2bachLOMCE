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́n y Cajal/Chko/Herramienta/1.0/"/>
    </mc:Choice>
  </mc:AlternateContent>
  <xr:revisionPtr revIDLastSave="0" documentId="13_ncr:1_{0D2FBAC2-53E3-DE4D-9BCE-16E4539E9A1E}" xr6:coauthVersionLast="47" xr6:coauthVersionMax="47" xr10:uidLastSave="{00000000-0000-0000-0000-000000000000}"/>
  <workbookProtection workbookAlgorithmName="SHA-512" workbookHashValue="kC6r4uQYRlxt5YxZjCC1VC4/w/gj0f4cwHb8LO+DmRnz/lh6FVrIyX+hM3FJhwhRhyFobc8/c7GZTI9JKpCPvg==" workbookSaltValue="NObcxF7QLslde0mi7RDmUA==" workbookSpinCount="100000" lockStructure="1"/>
  <bookViews>
    <workbookView xWindow="5380" yWindow="1400" windowWidth="27000" windowHeight="18680" xr2:uid="{F6059330-3B13-1742-AC58-1D6250A18E41}"/>
  </bookViews>
  <sheets>
    <sheet name="Primera" sheetId="1" r:id="rId1"/>
    <sheet name="Recu1" sheetId="16" r:id="rId2"/>
    <sheet name="Segunda" sheetId="12" r:id="rId3"/>
    <sheet name="Recu2" sheetId="17" r:id="rId4"/>
    <sheet name="Tercera" sheetId="19" r:id="rId5"/>
    <sheet name="Recu3" sheetId="18" r:id="rId6"/>
    <sheet name="Ordinaria" sheetId="11" r:id="rId7"/>
    <sheet name="Extraordinaria" sheetId="13" r:id="rId8"/>
    <sheet name="Estructura" sheetId="15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2" i="11" l="1"/>
  <c r="BA2" i="13"/>
  <c r="AY2" i="11"/>
  <c r="AY2" i="13"/>
  <c r="AM2" i="11"/>
  <c r="AM2" i="13"/>
  <c r="G2" i="11"/>
  <c r="G2" i="13"/>
  <c r="E2" i="11"/>
  <c r="E2" i="13"/>
  <c r="BC2" i="11"/>
  <c r="BC2" i="13"/>
  <c r="AQ2" i="11"/>
  <c r="AQ2" i="13"/>
  <c r="U2" i="11"/>
  <c r="U2" i="13"/>
  <c r="AK2" i="11"/>
  <c r="AK2" i="13"/>
  <c r="Y2" i="11"/>
  <c r="Y2" i="13"/>
  <c r="AC2" i="11"/>
  <c r="AC2" i="13"/>
  <c r="W2" i="11"/>
  <c r="W2" i="13"/>
  <c r="AA2" i="11"/>
  <c r="AA2" i="13"/>
  <c r="AS2" i="11"/>
  <c r="AS2" i="13"/>
  <c r="AO2" i="11"/>
  <c r="AO2" i="13"/>
  <c r="Q2" i="11"/>
  <c r="Q2" i="13"/>
  <c r="AG2" i="11"/>
  <c r="AG2" i="13"/>
  <c r="S2" i="11"/>
  <c r="S2" i="13"/>
  <c r="C2" i="11"/>
  <c r="C2" i="13"/>
  <c r="AU2" i="11"/>
  <c r="AU2" i="13"/>
  <c r="BE2" i="11"/>
  <c r="BE2" i="13"/>
  <c r="I2" i="11"/>
  <c r="I2" i="13"/>
  <c r="K2" i="11"/>
  <c r="K2" i="13"/>
  <c r="AE2" i="11"/>
  <c r="AE2" i="13"/>
  <c r="M2" i="11"/>
  <c r="M2" i="13"/>
  <c r="AI2" i="11"/>
  <c r="AI2" i="13"/>
  <c r="BI2" i="11"/>
  <c r="BI2" i="13"/>
  <c r="BG2" i="11"/>
  <c r="BG2" i="13"/>
  <c r="O2" i="11"/>
  <c r="O2" i="13"/>
  <c r="AW2" i="11"/>
  <c r="AW2" i="13"/>
  <c r="U2" i="19"/>
  <c r="U2" i="18"/>
  <c r="AS2" i="19"/>
  <c r="AS2" i="18"/>
  <c r="S2" i="19"/>
  <c r="S2" i="18"/>
  <c r="C2" i="19"/>
  <c r="C2" i="18"/>
  <c r="AA2" i="19"/>
  <c r="AA2" i="18"/>
  <c r="AK2" i="19"/>
  <c r="AK2" i="18"/>
  <c r="AU2" i="19"/>
  <c r="AU2" i="18"/>
  <c r="AG2" i="19"/>
  <c r="AG2" i="18"/>
  <c r="W2" i="19"/>
  <c r="W2" i="18"/>
  <c r="E2" i="19"/>
  <c r="E2" i="18"/>
  <c r="BA2" i="19"/>
  <c r="BA2" i="18"/>
  <c r="AY2" i="19"/>
  <c r="AY2" i="18"/>
  <c r="AM2" i="19"/>
  <c r="AM2" i="18"/>
  <c r="G2" i="19"/>
  <c r="G2" i="18"/>
  <c r="BC2" i="19"/>
  <c r="BC2" i="18"/>
  <c r="AQ2" i="19"/>
  <c r="AQ2" i="18"/>
  <c r="Y2" i="19"/>
  <c r="Y2" i="18"/>
  <c r="AC2" i="19"/>
  <c r="AC2" i="18"/>
  <c r="AO2" i="19"/>
  <c r="AO2" i="18"/>
  <c r="Q2" i="19"/>
  <c r="Q2" i="18"/>
  <c r="BE2" i="19"/>
  <c r="BE2" i="18"/>
  <c r="I2" i="19"/>
  <c r="I2" i="18"/>
  <c r="K2" i="19"/>
  <c r="K2" i="18"/>
  <c r="AE2" i="19"/>
  <c r="AE2" i="18"/>
  <c r="M2" i="19"/>
  <c r="M2" i="18"/>
  <c r="AI2" i="19"/>
  <c r="AI2" i="18"/>
  <c r="BI2" i="19"/>
  <c r="BI2" i="18"/>
  <c r="BG2" i="19"/>
  <c r="BG2" i="18"/>
  <c r="O2" i="19"/>
  <c r="O2" i="18"/>
  <c r="AW2" i="19"/>
  <c r="AW2" i="18"/>
  <c r="AG2" i="12"/>
  <c r="AG2" i="17"/>
  <c r="S2" i="12"/>
  <c r="S2" i="17"/>
  <c r="C2" i="12"/>
  <c r="C2" i="17"/>
  <c r="W2" i="12"/>
  <c r="W2" i="17"/>
  <c r="E2" i="12"/>
  <c r="E2" i="17"/>
  <c r="AA2" i="12"/>
  <c r="AA2" i="17"/>
  <c r="U2" i="12"/>
  <c r="U2" i="17"/>
  <c r="AS2" i="12"/>
  <c r="AS2" i="17"/>
  <c r="AK2" i="12"/>
  <c r="AK2" i="17"/>
  <c r="AU2" i="12"/>
  <c r="AU2" i="17"/>
  <c r="BA2" i="12"/>
  <c r="BA2" i="17"/>
  <c r="AY2" i="12"/>
  <c r="AY2" i="17"/>
  <c r="AM2" i="12"/>
  <c r="AM2" i="17"/>
  <c r="G2" i="12"/>
  <c r="G2" i="17"/>
  <c r="BC2" i="12"/>
  <c r="BC2" i="17"/>
  <c r="AQ2" i="12"/>
  <c r="AQ2" i="17"/>
  <c r="Y2" i="12"/>
  <c r="Y2" i="17"/>
  <c r="AC2" i="12"/>
  <c r="AC2" i="17"/>
  <c r="AO2" i="12"/>
  <c r="AO2" i="17"/>
  <c r="Q2" i="12"/>
  <c r="Q2" i="17"/>
  <c r="BE2" i="12"/>
  <c r="BE2" i="17"/>
  <c r="I2" i="12"/>
  <c r="I2" i="17"/>
  <c r="K2" i="12"/>
  <c r="K2" i="17"/>
  <c r="AE2" i="12"/>
  <c r="AE2" i="17"/>
  <c r="M2" i="12"/>
  <c r="M2" i="17"/>
  <c r="AI2" i="12"/>
  <c r="AI2" i="17"/>
  <c r="BI2" i="12"/>
  <c r="BI2" i="17"/>
  <c r="BG2" i="12"/>
  <c r="BG2" i="17"/>
  <c r="O2" i="12"/>
  <c r="O2" i="17"/>
  <c r="AW2" i="12"/>
  <c r="AW2" i="17"/>
  <c r="C2" i="1"/>
  <c r="C2" i="16"/>
  <c r="W2" i="1"/>
  <c r="W2" i="16"/>
  <c r="E2" i="1"/>
  <c r="E2" i="16"/>
  <c r="AA2" i="1"/>
  <c r="AA2" i="16"/>
  <c r="U2" i="1"/>
  <c r="U2" i="16"/>
  <c r="AS2" i="1"/>
  <c r="AS2" i="16"/>
  <c r="AG2" i="1"/>
  <c r="AG2" i="16"/>
  <c r="AK2" i="1"/>
  <c r="AK2" i="16"/>
  <c r="AU2" i="1"/>
  <c r="AU2" i="16"/>
  <c r="BA2" i="1"/>
  <c r="BA2" i="16"/>
  <c r="AY2" i="1"/>
  <c r="AY2" i="16"/>
  <c r="AM2" i="1"/>
  <c r="AM2" i="16"/>
  <c r="G2" i="1"/>
  <c r="G2" i="16"/>
  <c r="BC2" i="1"/>
  <c r="BC2" i="16"/>
  <c r="AQ2" i="1"/>
  <c r="AQ2" i="16"/>
  <c r="Y2" i="1"/>
  <c r="Y2" i="16"/>
  <c r="AC2" i="1"/>
  <c r="AC2" i="16"/>
  <c r="S2" i="1"/>
  <c r="S2" i="16"/>
  <c r="AO2" i="1"/>
  <c r="AO2" i="16"/>
  <c r="Q2" i="1"/>
  <c r="Q2" i="16"/>
  <c r="BE2" i="1"/>
  <c r="BE2" i="16"/>
  <c r="I2" i="1"/>
  <c r="I2" i="16"/>
  <c r="K2" i="1"/>
  <c r="K2" i="16"/>
  <c r="AE2" i="1"/>
  <c r="AE2" i="16"/>
  <c r="M2" i="1"/>
  <c r="M2" i="16"/>
  <c r="AI2" i="1"/>
  <c r="AI2" i="16"/>
  <c r="BI2" i="1"/>
  <c r="BI2" i="16"/>
  <c r="BG2" i="1"/>
  <c r="BG2" i="16"/>
  <c r="O2" i="1"/>
  <c r="O2" i="16"/>
  <c r="AW2" i="1"/>
  <c r="AW2" i="16"/>
  <c r="D13" i="15" l="1" a="1"/>
  <c r="D13" i="15" s="1"/>
  <c r="A3" i="13" a="1"/>
  <c r="A3" i="13" s="1"/>
  <c r="A1" i="13" a="1"/>
  <c r="A1" i="13" s="1"/>
  <c r="A3" i="11" l="1" a="1"/>
  <c r="A3" i="11" s="1"/>
  <c r="A1" i="11" a="1"/>
  <c r="A1" i="11" s="1"/>
  <c r="A3" i="18" a="1"/>
  <c r="A3" i="18" s="1"/>
  <c r="A1" i="18" a="1"/>
  <c r="A1" i="18" s="1"/>
  <c r="A3" i="19" a="1"/>
  <c r="A3" i="19" s="1"/>
  <c r="A1" i="19" a="1"/>
  <c r="A1" i="19" s="1"/>
  <c r="A3" i="17" a="1"/>
  <c r="A3" i="17" s="1"/>
  <c r="A1" i="17" a="1"/>
  <c r="A1" i="17" s="1"/>
  <c r="A3" i="12" a="1"/>
  <c r="A3" i="12" s="1"/>
  <c r="A1" i="12" a="1"/>
  <c r="A1" i="12" s="1"/>
  <c r="A3" i="16" a="1"/>
  <c r="A3" i="16" s="1"/>
  <c r="A1" i="16" a="1"/>
  <c r="A1" i="16" s="1"/>
  <c r="A1" i="1" a="1"/>
  <c r="A1" i="1" s="1"/>
  <c r="A3" i="1" a="1"/>
  <c r="A3" i="1" s="1"/>
  <c r="BI6" i="18" l="1"/>
  <c r="BI6" i="11" s="1"/>
  <c r="BI6" i="13" s="1"/>
  <c r="BJ5" i="18"/>
  <c r="BI5" i="18"/>
  <c r="BI5" i="11" s="1"/>
  <c r="BI5" i="13" s="1"/>
  <c r="BH6" i="18"/>
  <c r="BG6" i="18"/>
  <c r="BG6" i="11" s="1"/>
  <c r="BG6" i="13" s="1"/>
  <c r="BG5" i="18"/>
  <c r="BG5" i="11" s="1"/>
  <c r="BG5" i="13" s="1"/>
  <c r="BE6" i="18"/>
  <c r="BE6" i="11" s="1"/>
  <c r="BE6" i="13" s="1"/>
  <c r="BE5" i="18"/>
  <c r="BE5" i="11" s="1"/>
  <c r="BE5" i="13" s="1"/>
  <c r="BC6" i="18"/>
  <c r="BC6" i="11" s="1"/>
  <c r="BC6" i="13" s="1"/>
  <c r="BD5" i="18"/>
  <c r="BC5" i="18"/>
  <c r="BC5" i="11" s="1"/>
  <c r="BC5" i="13" s="1"/>
  <c r="BA6" i="18"/>
  <c r="BA6" i="11" s="1"/>
  <c r="BA6" i="13" s="1"/>
  <c r="BA5" i="18"/>
  <c r="BA5" i="11" s="1"/>
  <c r="BA5" i="13" s="1"/>
  <c r="AY6" i="18"/>
  <c r="AY6" i="11" s="1"/>
  <c r="AY6" i="13" s="1"/>
  <c r="AY5" i="18"/>
  <c r="AY5" i="11" s="1"/>
  <c r="AY5" i="13" s="1"/>
  <c r="AW6" i="18"/>
  <c r="AW6" i="11" s="1"/>
  <c r="AW6" i="13" s="1"/>
  <c r="AW5" i="18"/>
  <c r="AW5" i="11" s="1"/>
  <c r="AW5" i="13" s="1"/>
  <c r="AU6" i="18"/>
  <c r="AU6" i="11" s="1"/>
  <c r="AU6" i="13" s="1"/>
  <c r="AV5" i="18"/>
  <c r="AU5" i="18"/>
  <c r="AU5" i="11" s="1"/>
  <c r="AU5" i="13" s="1"/>
  <c r="AS6" i="18"/>
  <c r="AS6" i="11" s="1"/>
  <c r="AS6" i="13" s="1"/>
  <c r="AS5" i="18"/>
  <c r="AS5" i="11" s="1"/>
  <c r="AS5" i="13" s="1"/>
  <c r="AQ6" i="18"/>
  <c r="AQ6" i="11" s="1"/>
  <c r="AQ6" i="13" s="1"/>
  <c r="AQ5" i="18"/>
  <c r="AQ5" i="11" s="1"/>
  <c r="AQ5" i="13" s="1"/>
  <c r="AO6" i="18"/>
  <c r="AO6" i="11" s="1"/>
  <c r="AO6" i="13" s="1"/>
  <c r="AP5" i="18"/>
  <c r="AO5" i="18"/>
  <c r="AO5" i="11" s="1"/>
  <c r="AO5" i="13" s="1"/>
  <c r="AM6" i="18"/>
  <c r="AM6" i="11" s="1"/>
  <c r="AM6" i="13" s="1"/>
  <c r="AM5" i="18"/>
  <c r="AM5" i="11" s="1"/>
  <c r="AM5" i="13" s="1"/>
  <c r="AK6" i="18"/>
  <c r="AK6" i="11" s="1"/>
  <c r="AK6" i="13" s="1"/>
  <c r="AK5" i="18"/>
  <c r="AK5" i="11" s="1"/>
  <c r="AK5" i="13" s="1"/>
  <c r="AI6" i="18"/>
  <c r="AI6" i="11" s="1"/>
  <c r="AI6" i="13" s="1"/>
  <c r="AJ5" i="18"/>
  <c r="AI5" i="18"/>
  <c r="AI5" i="11" s="1"/>
  <c r="AI5" i="13" s="1"/>
  <c r="AI4" i="18"/>
  <c r="AG6" i="18"/>
  <c r="AG6" i="11" s="1"/>
  <c r="AG6" i="13" s="1"/>
  <c r="AG5" i="18"/>
  <c r="AG5" i="11" s="1"/>
  <c r="AG5" i="13" s="1"/>
  <c r="AE6" i="18"/>
  <c r="AE6" i="11" s="1"/>
  <c r="AE6" i="13" s="1"/>
  <c r="AF5" i="18"/>
  <c r="AE5" i="18"/>
  <c r="AE5" i="11" s="1"/>
  <c r="AE5" i="13" s="1"/>
  <c r="AC6" i="18"/>
  <c r="AC6" i="11" s="1"/>
  <c r="AC6" i="13" s="1"/>
  <c r="AD5" i="18"/>
  <c r="AC5" i="18"/>
  <c r="AC5" i="11" s="1"/>
  <c r="AC5" i="13" s="1"/>
  <c r="AC4" i="18"/>
  <c r="AB6" i="18"/>
  <c r="AA6" i="18"/>
  <c r="AA6" i="11" s="1"/>
  <c r="AA6" i="13" s="1"/>
  <c r="AA5" i="18"/>
  <c r="AA5" i="11" s="1"/>
  <c r="AA5" i="13" s="1"/>
  <c r="Y6" i="18"/>
  <c r="Y6" i="11" s="1"/>
  <c r="Y6" i="13" s="1"/>
  <c r="Y5" i="18"/>
  <c r="Y5" i="11" s="1"/>
  <c r="Y5" i="13" s="1"/>
  <c r="W6" i="18"/>
  <c r="W6" i="11" s="1"/>
  <c r="W6" i="13" s="1"/>
  <c r="X5" i="18"/>
  <c r="W5" i="18"/>
  <c r="W5" i="11" s="1"/>
  <c r="W5" i="13" s="1"/>
  <c r="V6" i="18"/>
  <c r="U6" i="18"/>
  <c r="U6" i="11" s="1"/>
  <c r="U6" i="13" s="1"/>
  <c r="U5" i="18"/>
  <c r="U5" i="11" s="1"/>
  <c r="U5" i="13" s="1"/>
  <c r="S6" i="18"/>
  <c r="S6" i="11" s="1"/>
  <c r="S6" i="13" s="1"/>
  <c r="S5" i="18"/>
  <c r="S5" i="11" s="1"/>
  <c r="S5" i="13" s="1"/>
  <c r="S4" i="18"/>
  <c r="Q6" i="18"/>
  <c r="Q6" i="11" s="1"/>
  <c r="Q6" i="13" s="1"/>
  <c r="R5" i="18"/>
  <c r="Q5" i="18"/>
  <c r="Q5" i="11" s="1"/>
  <c r="Q5" i="13" s="1"/>
  <c r="Q4" i="18"/>
  <c r="O6" i="18"/>
  <c r="O6" i="11" s="1"/>
  <c r="O6" i="13" s="1"/>
  <c r="P5" i="18"/>
  <c r="O5" i="18"/>
  <c r="O5" i="11" s="1"/>
  <c r="O5" i="13" s="1"/>
  <c r="M6" i="18"/>
  <c r="M6" i="11" s="1"/>
  <c r="M6" i="13" s="1"/>
  <c r="M5" i="18"/>
  <c r="M5" i="11" s="1"/>
  <c r="M5" i="13" s="1"/>
  <c r="L6" i="18"/>
  <c r="K6" i="18"/>
  <c r="K6" i="11" s="1"/>
  <c r="K6" i="13" s="1"/>
  <c r="L5" i="18"/>
  <c r="K5" i="18"/>
  <c r="K5" i="11" s="1"/>
  <c r="K5" i="13" s="1"/>
  <c r="J6" i="18"/>
  <c r="I6" i="18"/>
  <c r="I6" i="11" s="1"/>
  <c r="I6" i="13" s="1"/>
  <c r="J5" i="18"/>
  <c r="I5" i="18"/>
  <c r="I5" i="11" s="1"/>
  <c r="I5" i="13" s="1"/>
  <c r="G6" i="18"/>
  <c r="G6" i="11" s="1"/>
  <c r="G6" i="13" s="1"/>
  <c r="G5" i="18"/>
  <c r="G5" i="11" s="1"/>
  <c r="G5" i="13" s="1"/>
  <c r="E6" i="18"/>
  <c r="E6" i="11" s="1"/>
  <c r="E6" i="13" s="1"/>
  <c r="F5" i="18"/>
  <c r="E5" i="18"/>
  <c r="E5" i="11" s="1"/>
  <c r="E5" i="13" s="1"/>
  <c r="C6" i="18"/>
  <c r="C6" i="11" s="1"/>
  <c r="C6" i="13" s="1"/>
  <c r="B6" i="18"/>
  <c r="B6" i="11" s="1"/>
  <c r="D5" i="18"/>
  <c r="C5" i="18"/>
  <c r="C5" i="11" s="1"/>
  <c r="C5" i="13" s="1"/>
  <c r="B5" i="18"/>
  <c r="B5" i="11" s="1"/>
  <c r="BI6" i="17"/>
  <c r="BI5" i="17"/>
  <c r="BG6" i="17"/>
  <c r="BG5" i="17"/>
  <c r="BE6" i="17"/>
  <c r="BE5" i="17"/>
  <c r="BE4" i="17"/>
  <c r="BD6" i="17"/>
  <c r="BC6" i="17"/>
  <c r="BC5" i="17"/>
  <c r="BA6" i="17"/>
  <c r="BA5" i="17"/>
  <c r="AY6" i="17"/>
  <c r="AY5" i="17"/>
  <c r="AX6" i="17"/>
  <c r="AW6" i="17"/>
  <c r="AW5" i="17"/>
  <c r="AU6" i="17"/>
  <c r="AU5" i="17"/>
  <c r="AS6" i="17"/>
  <c r="AS5" i="17"/>
  <c r="AQ6" i="17"/>
  <c r="AR5" i="17"/>
  <c r="AQ5" i="17"/>
  <c r="AO6" i="17"/>
  <c r="AO5" i="17"/>
  <c r="AN6" i="17"/>
  <c r="AM6" i="17"/>
  <c r="AM5" i="17"/>
  <c r="AL6" i="17"/>
  <c r="AK6" i="17"/>
  <c r="AL5" i="17"/>
  <c r="AK5" i="17"/>
  <c r="AI6" i="17"/>
  <c r="AI5" i="17"/>
  <c r="AG6" i="17"/>
  <c r="AG5" i="17"/>
  <c r="AE6" i="17"/>
  <c r="AE5" i="17"/>
  <c r="AE4" i="17"/>
  <c r="AC6" i="17"/>
  <c r="AC5" i="17"/>
  <c r="AA6" i="17"/>
  <c r="AB5" i="17"/>
  <c r="AA5" i="17"/>
  <c r="Y6" i="17"/>
  <c r="Z5" i="17"/>
  <c r="Y5" i="17"/>
  <c r="Y4" i="17"/>
  <c r="X6" i="17"/>
  <c r="W6" i="17"/>
  <c r="W5" i="17"/>
  <c r="U6" i="17"/>
  <c r="U5" i="17"/>
  <c r="S6" i="17"/>
  <c r="S5" i="17"/>
  <c r="S4" i="17"/>
  <c r="R6" i="17"/>
  <c r="Q6" i="17"/>
  <c r="Q5" i="17"/>
  <c r="O6" i="17"/>
  <c r="O5" i="17"/>
  <c r="O4" i="17"/>
  <c r="M6" i="17"/>
  <c r="M5" i="17"/>
  <c r="M4" i="17"/>
  <c r="L6" i="17"/>
  <c r="K6" i="17"/>
  <c r="L5" i="17"/>
  <c r="K5" i="17"/>
  <c r="I6" i="17"/>
  <c r="I5" i="17"/>
  <c r="H6" i="17"/>
  <c r="G6" i="17"/>
  <c r="G5" i="17"/>
  <c r="F6" i="17"/>
  <c r="E6" i="17"/>
  <c r="F5" i="17"/>
  <c r="E5" i="17"/>
  <c r="C6" i="17"/>
  <c r="B6" i="17"/>
  <c r="BJ6" i="17" s="1"/>
  <c r="C5" i="17"/>
  <c r="B5" i="17"/>
  <c r="AX5" i="17" s="1"/>
  <c r="C4" i="17"/>
  <c r="BJ6" i="16"/>
  <c r="BI6" i="16"/>
  <c r="BI5" i="16"/>
  <c r="BG6" i="16"/>
  <c r="BG5" i="16"/>
  <c r="BE6" i="16"/>
  <c r="BE5" i="16"/>
  <c r="BC6" i="16"/>
  <c r="BD5" i="16"/>
  <c r="BC5" i="16"/>
  <c r="BA6" i="16"/>
  <c r="BA5" i="16"/>
  <c r="AY6" i="16"/>
  <c r="AY5" i="16"/>
  <c r="AX6" i="16"/>
  <c r="AW6" i="16"/>
  <c r="AX5" i="16"/>
  <c r="AW5" i="16"/>
  <c r="AU6" i="16"/>
  <c r="AU5" i="16"/>
  <c r="AS6" i="16"/>
  <c r="AS5" i="16"/>
  <c r="AQ6" i="16"/>
  <c r="AQ5" i="16"/>
  <c r="AO6" i="16"/>
  <c r="AO5" i="16"/>
  <c r="AM6" i="16"/>
  <c r="AM5" i="16"/>
  <c r="AK6" i="16"/>
  <c r="AL5" i="16"/>
  <c r="AK5" i="16"/>
  <c r="AI6" i="16"/>
  <c r="AI5" i="16"/>
  <c r="AG6" i="16"/>
  <c r="AG5" i="16"/>
  <c r="AE6" i="16"/>
  <c r="AE5" i="16"/>
  <c r="AC6" i="16"/>
  <c r="AC5" i="16"/>
  <c r="AA6" i="16"/>
  <c r="AA5" i="16"/>
  <c r="Y6" i="16"/>
  <c r="Y5" i="16"/>
  <c r="W6" i="16"/>
  <c r="X5" i="16"/>
  <c r="W5" i="16"/>
  <c r="U6" i="16"/>
  <c r="U5" i="16"/>
  <c r="S6" i="16"/>
  <c r="S5" i="16"/>
  <c r="Q6" i="16"/>
  <c r="R5" i="16"/>
  <c r="Q5" i="16"/>
  <c r="O6" i="16"/>
  <c r="O5" i="16"/>
  <c r="M6" i="16"/>
  <c r="M5" i="16"/>
  <c r="K6" i="16"/>
  <c r="L5" i="16"/>
  <c r="K5" i="16"/>
  <c r="I6" i="16"/>
  <c r="I5" i="16"/>
  <c r="G6" i="16"/>
  <c r="G5" i="16"/>
  <c r="E6" i="16"/>
  <c r="F5" i="16"/>
  <c r="E5" i="16"/>
  <c r="C6" i="16"/>
  <c r="B6" i="16"/>
  <c r="AP6" i="16" s="1"/>
  <c r="C5" i="16"/>
  <c r="B5" i="16"/>
  <c r="BJ5" i="16" s="1"/>
  <c r="BI85" i="19"/>
  <c r="BI85" i="18" s="1"/>
  <c r="BI85" i="11" s="1"/>
  <c r="BI85" i="13" s="1"/>
  <c r="BI84" i="19"/>
  <c r="BI84" i="18" s="1"/>
  <c r="BI84" i="11" s="1"/>
  <c r="BI84" i="13" s="1"/>
  <c r="BI83" i="19"/>
  <c r="BI83" i="18" s="1"/>
  <c r="BI83" i="11" s="1"/>
  <c r="BI83" i="13" s="1"/>
  <c r="BI82" i="19"/>
  <c r="BI82" i="18" s="1"/>
  <c r="BI82" i="11" s="1"/>
  <c r="BI82" i="13" s="1"/>
  <c r="BI81" i="19"/>
  <c r="BI81" i="18" s="1"/>
  <c r="BI81" i="11" s="1"/>
  <c r="BI81" i="13" s="1"/>
  <c r="BI80" i="19"/>
  <c r="BI80" i="18" s="1"/>
  <c r="BI80" i="11" s="1"/>
  <c r="BI80" i="13" s="1"/>
  <c r="BI79" i="19"/>
  <c r="BI79" i="18" s="1"/>
  <c r="BI79" i="11" s="1"/>
  <c r="BI79" i="13" s="1"/>
  <c r="BI78" i="19"/>
  <c r="BI78" i="18" s="1"/>
  <c r="BI78" i="11" s="1"/>
  <c r="BI78" i="13" s="1"/>
  <c r="BI77" i="19"/>
  <c r="BI77" i="18" s="1"/>
  <c r="BI77" i="11" s="1"/>
  <c r="BI77" i="13" s="1"/>
  <c r="BI76" i="19"/>
  <c r="BI76" i="18" s="1"/>
  <c r="BI76" i="11" s="1"/>
  <c r="BI76" i="13" s="1"/>
  <c r="BI75" i="19"/>
  <c r="BI75" i="18" s="1"/>
  <c r="BI75" i="11" s="1"/>
  <c r="BI75" i="13" s="1"/>
  <c r="BI74" i="19"/>
  <c r="BI74" i="18" s="1"/>
  <c r="BI74" i="11" s="1"/>
  <c r="BI74" i="13" s="1"/>
  <c r="BI73" i="19"/>
  <c r="BI73" i="18" s="1"/>
  <c r="BI73" i="11" s="1"/>
  <c r="BI73" i="13" s="1"/>
  <c r="BI72" i="19"/>
  <c r="BI72" i="18" s="1"/>
  <c r="BI72" i="11" s="1"/>
  <c r="BI72" i="13" s="1"/>
  <c r="BI71" i="19"/>
  <c r="BI71" i="18" s="1"/>
  <c r="BI71" i="11" s="1"/>
  <c r="BI71" i="13" s="1"/>
  <c r="BI70" i="19"/>
  <c r="BI70" i="18" s="1"/>
  <c r="BI70" i="11" s="1"/>
  <c r="BI70" i="13" s="1"/>
  <c r="BI69" i="19"/>
  <c r="BI69" i="18" s="1"/>
  <c r="BI69" i="11" s="1"/>
  <c r="BI69" i="13" s="1"/>
  <c r="BI68" i="19"/>
  <c r="BI68" i="18" s="1"/>
  <c r="BI68" i="11" s="1"/>
  <c r="BI68" i="13" s="1"/>
  <c r="BI67" i="19"/>
  <c r="BI67" i="18" s="1"/>
  <c r="BI67" i="11" s="1"/>
  <c r="BI67" i="13" s="1"/>
  <c r="BI66" i="19"/>
  <c r="BI66" i="18" s="1"/>
  <c r="BI66" i="11" s="1"/>
  <c r="BI66" i="13" s="1"/>
  <c r="BI65" i="19"/>
  <c r="BI65" i="18" s="1"/>
  <c r="BI65" i="11" s="1"/>
  <c r="BI65" i="13" s="1"/>
  <c r="BG85" i="19"/>
  <c r="BG85" i="18" s="1"/>
  <c r="BG85" i="11" s="1"/>
  <c r="BG85" i="13" s="1"/>
  <c r="BG84" i="19"/>
  <c r="BG84" i="18" s="1"/>
  <c r="BG84" i="11" s="1"/>
  <c r="BG84" i="13" s="1"/>
  <c r="BG83" i="19"/>
  <c r="BG83" i="18" s="1"/>
  <c r="BG83" i="11" s="1"/>
  <c r="BG83" i="13" s="1"/>
  <c r="BG82" i="19"/>
  <c r="BG82" i="18" s="1"/>
  <c r="BG82" i="11" s="1"/>
  <c r="BG82" i="13" s="1"/>
  <c r="BG81" i="19"/>
  <c r="BG81" i="18" s="1"/>
  <c r="BG81" i="11" s="1"/>
  <c r="BG81" i="13" s="1"/>
  <c r="BG80" i="19"/>
  <c r="BG80" i="18" s="1"/>
  <c r="BG80" i="11" s="1"/>
  <c r="BG80" i="13" s="1"/>
  <c r="BG79" i="19"/>
  <c r="BG79" i="18" s="1"/>
  <c r="BG79" i="11" s="1"/>
  <c r="BG79" i="13" s="1"/>
  <c r="BG78" i="19"/>
  <c r="BG78" i="18" s="1"/>
  <c r="BG78" i="11" s="1"/>
  <c r="BG78" i="13" s="1"/>
  <c r="BG77" i="19"/>
  <c r="BG77" i="18" s="1"/>
  <c r="BG77" i="11" s="1"/>
  <c r="BG77" i="13" s="1"/>
  <c r="BG76" i="19"/>
  <c r="BG76" i="18" s="1"/>
  <c r="BG76" i="11" s="1"/>
  <c r="BG76" i="13" s="1"/>
  <c r="BG75" i="19"/>
  <c r="BG75" i="18" s="1"/>
  <c r="BG75" i="11" s="1"/>
  <c r="BG75" i="13" s="1"/>
  <c r="BG74" i="19"/>
  <c r="BG74" i="18" s="1"/>
  <c r="BG74" i="11" s="1"/>
  <c r="BG74" i="13" s="1"/>
  <c r="BG73" i="19"/>
  <c r="BG73" i="18" s="1"/>
  <c r="BG73" i="11" s="1"/>
  <c r="BG73" i="13" s="1"/>
  <c r="BG72" i="19"/>
  <c r="BG72" i="18" s="1"/>
  <c r="BG72" i="11" s="1"/>
  <c r="BG72" i="13" s="1"/>
  <c r="BG71" i="19"/>
  <c r="BG71" i="18" s="1"/>
  <c r="BG71" i="11" s="1"/>
  <c r="BG71" i="13" s="1"/>
  <c r="BG70" i="19"/>
  <c r="BG70" i="18" s="1"/>
  <c r="BG70" i="11" s="1"/>
  <c r="BG70" i="13" s="1"/>
  <c r="BG69" i="19"/>
  <c r="BG69" i="18" s="1"/>
  <c r="BG69" i="11" s="1"/>
  <c r="BG69" i="13" s="1"/>
  <c r="BG68" i="19"/>
  <c r="BG68" i="18" s="1"/>
  <c r="BG68" i="11" s="1"/>
  <c r="BG68" i="13" s="1"/>
  <c r="BG67" i="19"/>
  <c r="BG67" i="18" s="1"/>
  <c r="BG67" i="11" s="1"/>
  <c r="BG67" i="13" s="1"/>
  <c r="BG66" i="19"/>
  <c r="BG66" i="18" s="1"/>
  <c r="BG66" i="11" s="1"/>
  <c r="BG66" i="13" s="1"/>
  <c r="BG65" i="19"/>
  <c r="BG65" i="18" s="1"/>
  <c r="BG65" i="11" s="1"/>
  <c r="BG65" i="13" s="1"/>
  <c r="BE85" i="19"/>
  <c r="BE85" i="18" s="1"/>
  <c r="BE85" i="11" s="1"/>
  <c r="BE85" i="13" s="1"/>
  <c r="BE84" i="19"/>
  <c r="BE84" i="18" s="1"/>
  <c r="BE84" i="11" s="1"/>
  <c r="BE84" i="13" s="1"/>
  <c r="BE83" i="19"/>
  <c r="BE83" i="18" s="1"/>
  <c r="BE83" i="11" s="1"/>
  <c r="BE83" i="13" s="1"/>
  <c r="BE82" i="19"/>
  <c r="BE82" i="18" s="1"/>
  <c r="BE82" i="11" s="1"/>
  <c r="BE82" i="13" s="1"/>
  <c r="BE81" i="19"/>
  <c r="BE81" i="18" s="1"/>
  <c r="BE81" i="11" s="1"/>
  <c r="BE81" i="13" s="1"/>
  <c r="BE80" i="19"/>
  <c r="BE80" i="18" s="1"/>
  <c r="BE80" i="11" s="1"/>
  <c r="BE80" i="13" s="1"/>
  <c r="BE79" i="19"/>
  <c r="BE79" i="18" s="1"/>
  <c r="BE79" i="11" s="1"/>
  <c r="BE79" i="13" s="1"/>
  <c r="BE78" i="19"/>
  <c r="BE78" i="18" s="1"/>
  <c r="BE78" i="11" s="1"/>
  <c r="BE78" i="13" s="1"/>
  <c r="BE77" i="19"/>
  <c r="BE77" i="18" s="1"/>
  <c r="BE77" i="11" s="1"/>
  <c r="BE77" i="13" s="1"/>
  <c r="BE76" i="19"/>
  <c r="BE76" i="18" s="1"/>
  <c r="BE76" i="11" s="1"/>
  <c r="BE76" i="13" s="1"/>
  <c r="BE75" i="19"/>
  <c r="BE75" i="18" s="1"/>
  <c r="BE75" i="11" s="1"/>
  <c r="BE75" i="13" s="1"/>
  <c r="BE74" i="19"/>
  <c r="BE74" i="18" s="1"/>
  <c r="BE74" i="11" s="1"/>
  <c r="BE74" i="13" s="1"/>
  <c r="BE73" i="19"/>
  <c r="BE73" i="18" s="1"/>
  <c r="BE73" i="11" s="1"/>
  <c r="BE73" i="13" s="1"/>
  <c r="BE72" i="19"/>
  <c r="BE72" i="18" s="1"/>
  <c r="BE72" i="11" s="1"/>
  <c r="BE72" i="13" s="1"/>
  <c r="BE71" i="19"/>
  <c r="BE71" i="18" s="1"/>
  <c r="BE71" i="11" s="1"/>
  <c r="BE71" i="13" s="1"/>
  <c r="BE70" i="19"/>
  <c r="BE70" i="18" s="1"/>
  <c r="BE70" i="11" s="1"/>
  <c r="BE70" i="13" s="1"/>
  <c r="BE69" i="19"/>
  <c r="BE69" i="18" s="1"/>
  <c r="BE69" i="11" s="1"/>
  <c r="BE69" i="13" s="1"/>
  <c r="BE68" i="19"/>
  <c r="BE68" i="18" s="1"/>
  <c r="BE68" i="11" s="1"/>
  <c r="BE68" i="13" s="1"/>
  <c r="BE67" i="19"/>
  <c r="BE67" i="18" s="1"/>
  <c r="BE67" i="11" s="1"/>
  <c r="BE67" i="13" s="1"/>
  <c r="BE66" i="19"/>
  <c r="BE66" i="18" s="1"/>
  <c r="BE66" i="11" s="1"/>
  <c r="BE66" i="13" s="1"/>
  <c r="BE65" i="19"/>
  <c r="BE65" i="18" s="1"/>
  <c r="BE65" i="11" s="1"/>
  <c r="BE65" i="13" s="1"/>
  <c r="BC85" i="19"/>
  <c r="BC85" i="18" s="1"/>
  <c r="BC85" i="11" s="1"/>
  <c r="BC85" i="13" s="1"/>
  <c r="BC84" i="19"/>
  <c r="BC84" i="18" s="1"/>
  <c r="BC84" i="11" s="1"/>
  <c r="BC84" i="13" s="1"/>
  <c r="BC83" i="19"/>
  <c r="BC83" i="18" s="1"/>
  <c r="BC83" i="11" s="1"/>
  <c r="BC83" i="13" s="1"/>
  <c r="BC82" i="19"/>
  <c r="BC82" i="18" s="1"/>
  <c r="BC82" i="11" s="1"/>
  <c r="BC82" i="13" s="1"/>
  <c r="BC81" i="19"/>
  <c r="BC81" i="18" s="1"/>
  <c r="BC81" i="11" s="1"/>
  <c r="BC81" i="13" s="1"/>
  <c r="BC80" i="19"/>
  <c r="BC80" i="18" s="1"/>
  <c r="BC80" i="11" s="1"/>
  <c r="BC80" i="13" s="1"/>
  <c r="BC79" i="19"/>
  <c r="BC79" i="18" s="1"/>
  <c r="BC79" i="11" s="1"/>
  <c r="BC79" i="13" s="1"/>
  <c r="BC78" i="19"/>
  <c r="BC78" i="18" s="1"/>
  <c r="BC78" i="11" s="1"/>
  <c r="BC78" i="13" s="1"/>
  <c r="BC77" i="19"/>
  <c r="BC77" i="18" s="1"/>
  <c r="BC77" i="11" s="1"/>
  <c r="BC77" i="13" s="1"/>
  <c r="BC76" i="19"/>
  <c r="BC76" i="18" s="1"/>
  <c r="BC76" i="11" s="1"/>
  <c r="BC76" i="13" s="1"/>
  <c r="BC75" i="19"/>
  <c r="BC75" i="18" s="1"/>
  <c r="BC75" i="11" s="1"/>
  <c r="BC75" i="13" s="1"/>
  <c r="BC74" i="19"/>
  <c r="BC74" i="18" s="1"/>
  <c r="BC74" i="11" s="1"/>
  <c r="BC74" i="13" s="1"/>
  <c r="BC73" i="19"/>
  <c r="BC73" i="18" s="1"/>
  <c r="BC73" i="11" s="1"/>
  <c r="BC73" i="13" s="1"/>
  <c r="BC72" i="19"/>
  <c r="BC72" i="18" s="1"/>
  <c r="BC72" i="11" s="1"/>
  <c r="BC72" i="13" s="1"/>
  <c r="BC71" i="19"/>
  <c r="BC71" i="18" s="1"/>
  <c r="BC71" i="11" s="1"/>
  <c r="BC71" i="13" s="1"/>
  <c r="BC70" i="19"/>
  <c r="BC70" i="18" s="1"/>
  <c r="BC70" i="11" s="1"/>
  <c r="BC70" i="13" s="1"/>
  <c r="BC69" i="19"/>
  <c r="BC69" i="18" s="1"/>
  <c r="BC69" i="11" s="1"/>
  <c r="BC69" i="13" s="1"/>
  <c r="BC68" i="19"/>
  <c r="BC68" i="18" s="1"/>
  <c r="BC68" i="11" s="1"/>
  <c r="BC68" i="13" s="1"/>
  <c r="BC67" i="19"/>
  <c r="BC67" i="18" s="1"/>
  <c r="BC67" i="11" s="1"/>
  <c r="BC67" i="13" s="1"/>
  <c r="BC66" i="19"/>
  <c r="BC66" i="18" s="1"/>
  <c r="BC66" i="11" s="1"/>
  <c r="BC66" i="13" s="1"/>
  <c r="BC65" i="19"/>
  <c r="BC65" i="18" s="1"/>
  <c r="BC65" i="11" s="1"/>
  <c r="BC65" i="13" s="1"/>
  <c r="BA85" i="19"/>
  <c r="BA85" i="18" s="1"/>
  <c r="BA85" i="11" s="1"/>
  <c r="BA85" i="13" s="1"/>
  <c r="BA84" i="19"/>
  <c r="BA84" i="18" s="1"/>
  <c r="BA84" i="11" s="1"/>
  <c r="BA84" i="13" s="1"/>
  <c r="BA83" i="19"/>
  <c r="BA83" i="18" s="1"/>
  <c r="BA83" i="11" s="1"/>
  <c r="BA83" i="13" s="1"/>
  <c r="BA82" i="19"/>
  <c r="BA82" i="18" s="1"/>
  <c r="BA82" i="11" s="1"/>
  <c r="BA82" i="13" s="1"/>
  <c r="BA81" i="19"/>
  <c r="BA81" i="18" s="1"/>
  <c r="BA81" i="11" s="1"/>
  <c r="BA81" i="13" s="1"/>
  <c r="BA80" i="19"/>
  <c r="BA80" i="18" s="1"/>
  <c r="BA80" i="11" s="1"/>
  <c r="BA80" i="13" s="1"/>
  <c r="BA79" i="19"/>
  <c r="BA79" i="18" s="1"/>
  <c r="BA79" i="11" s="1"/>
  <c r="BA79" i="13" s="1"/>
  <c r="BA78" i="19"/>
  <c r="BA78" i="18" s="1"/>
  <c r="BA78" i="11" s="1"/>
  <c r="BA78" i="13" s="1"/>
  <c r="BA77" i="19"/>
  <c r="BA77" i="18" s="1"/>
  <c r="BA77" i="11" s="1"/>
  <c r="BA77" i="13" s="1"/>
  <c r="BA76" i="19"/>
  <c r="BA76" i="18" s="1"/>
  <c r="BA76" i="11" s="1"/>
  <c r="BA76" i="13" s="1"/>
  <c r="BA75" i="19"/>
  <c r="BA75" i="18" s="1"/>
  <c r="BA75" i="11" s="1"/>
  <c r="BA75" i="13" s="1"/>
  <c r="BA74" i="19"/>
  <c r="BA74" i="18" s="1"/>
  <c r="BA74" i="11" s="1"/>
  <c r="BA74" i="13" s="1"/>
  <c r="BA73" i="19"/>
  <c r="BA73" i="18" s="1"/>
  <c r="BA73" i="11" s="1"/>
  <c r="BA73" i="13" s="1"/>
  <c r="BA72" i="19"/>
  <c r="BA72" i="18" s="1"/>
  <c r="BA72" i="11" s="1"/>
  <c r="BA72" i="13" s="1"/>
  <c r="BA71" i="19"/>
  <c r="BA71" i="18" s="1"/>
  <c r="BA71" i="11" s="1"/>
  <c r="BA71" i="13" s="1"/>
  <c r="BA70" i="19"/>
  <c r="BA70" i="18" s="1"/>
  <c r="BA70" i="11" s="1"/>
  <c r="BA70" i="13" s="1"/>
  <c r="BA69" i="19"/>
  <c r="BA69" i="18" s="1"/>
  <c r="BA69" i="11" s="1"/>
  <c r="BA69" i="13" s="1"/>
  <c r="BA68" i="19"/>
  <c r="BA68" i="18" s="1"/>
  <c r="BA68" i="11" s="1"/>
  <c r="BA68" i="13" s="1"/>
  <c r="BA67" i="19"/>
  <c r="BA67" i="18" s="1"/>
  <c r="BA67" i="11" s="1"/>
  <c r="BA67" i="13" s="1"/>
  <c r="BA66" i="19"/>
  <c r="BA66" i="18" s="1"/>
  <c r="BA66" i="11" s="1"/>
  <c r="BA66" i="13" s="1"/>
  <c r="BA65" i="19"/>
  <c r="BA65" i="18" s="1"/>
  <c r="BA65" i="11" s="1"/>
  <c r="BA65" i="13" s="1"/>
  <c r="AY85" i="19"/>
  <c r="AY85" i="18" s="1"/>
  <c r="AY85" i="11" s="1"/>
  <c r="AY85" i="13" s="1"/>
  <c r="AY84" i="19"/>
  <c r="AY84" i="18" s="1"/>
  <c r="AY84" i="11" s="1"/>
  <c r="AY84" i="13" s="1"/>
  <c r="AY83" i="19"/>
  <c r="AY83" i="18" s="1"/>
  <c r="AY83" i="11" s="1"/>
  <c r="AY83" i="13" s="1"/>
  <c r="AY82" i="19"/>
  <c r="AY82" i="18" s="1"/>
  <c r="AY82" i="11" s="1"/>
  <c r="AY82" i="13" s="1"/>
  <c r="AY81" i="19"/>
  <c r="AY81" i="18" s="1"/>
  <c r="AY81" i="11" s="1"/>
  <c r="AY81" i="13" s="1"/>
  <c r="AY80" i="19"/>
  <c r="AY80" i="18" s="1"/>
  <c r="AY80" i="11" s="1"/>
  <c r="AY80" i="13" s="1"/>
  <c r="AY79" i="19"/>
  <c r="AY79" i="18" s="1"/>
  <c r="AY79" i="11" s="1"/>
  <c r="AY79" i="13" s="1"/>
  <c r="AY78" i="19"/>
  <c r="AY78" i="18" s="1"/>
  <c r="AY78" i="11" s="1"/>
  <c r="AY78" i="13" s="1"/>
  <c r="AY77" i="19"/>
  <c r="AY77" i="18" s="1"/>
  <c r="AY77" i="11" s="1"/>
  <c r="AY77" i="13" s="1"/>
  <c r="AY76" i="19"/>
  <c r="AY76" i="18" s="1"/>
  <c r="AY76" i="11" s="1"/>
  <c r="AY76" i="13" s="1"/>
  <c r="AY75" i="19"/>
  <c r="AY75" i="18" s="1"/>
  <c r="AY75" i="11" s="1"/>
  <c r="AY75" i="13" s="1"/>
  <c r="AY74" i="19"/>
  <c r="AY74" i="18" s="1"/>
  <c r="AY74" i="11" s="1"/>
  <c r="AY74" i="13" s="1"/>
  <c r="AY73" i="19"/>
  <c r="AY73" i="18" s="1"/>
  <c r="AY73" i="11" s="1"/>
  <c r="AY73" i="13" s="1"/>
  <c r="AY72" i="19"/>
  <c r="AY72" i="18" s="1"/>
  <c r="AY72" i="11" s="1"/>
  <c r="AY72" i="13" s="1"/>
  <c r="AY71" i="19"/>
  <c r="AY71" i="18" s="1"/>
  <c r="AY71" i="11" s="1"/>
  <c r="AY71" i="13" s="1"/>
  <c r="AY70" i="19"/>
  <c r="AY70" i="18" s="1"/>
  <c r="AY70" i="11" s="1"/>
  <c r="AY70" i="13" s="1"/>
  <c r="AY69" i="19"/>
  <c r="AY69" i="18" s="1"/>
  <c r="AY69" i="11" s="1"/>
  <c r="AY69" i="13" s="1"/>
  <c r="AY68" i="19"/>
  <c r="AY68" i="18" s="1"/>
  <c r="AY68" i="11" s="1"/>
  <c r="AY68" i="13" s="1"/>
  <c r="AY67" i="19"/>
  <c r="AY67" i="18" s="1"/>
  <c r="AY67" i="11" s="1"/>
  <c r="AY67" i="13" s="1"/>
  <c r="AY66" i="19"/>
  <c r="AY66" i="18" s="1"/>
  <c r="AY66" i="11" s="1"/>
  <c r="AY66" i="13" s="1"/>
  <c r="AY65" i="19"/>
  <c r="AY65" i="18" s="1"/>
  <c r="AY65" i="11" s="1"/>
  <c r="AY65" i="13" s="1"/>
  <c r="AW85" i="19"/>
  <c r="AW85" i="18" s="1"/>
  <c r="AW85" i="11" s="1"/>
  <c r="AW85" i="13" s="1"/>
  <c r="AW84" i="19"/>
  <c r="AW84" i="18" s="1"/>
  <c r="AW84" i="11" s="1"/>
  <c r="AW84" i="13" s="1"/>
  <c r="AW83" i="19"/>
  <c r="AW83" i="18" s="1"/>
  <c r="AW83" i="11" s="1"/>
  <c r="AW83" i="13" s="1"/>
  <c r="AW82" i="19"/>
  <c r="AW82" i="18" s="1"/>
  <c r="AW82" i="11" s="1"/>
  <c r="AW82" i="13" s="1"/>
  <c r="AW81" i="19"/>
  <c r="AW81" i="18" s="1"/>
  <c r="AW81" i="11" s="1"/>
  <c r="AW81" i="13" s="1"/>
  <c r="AW80" i="19"/>
  <c r="AW80" i="18" s="1"/>
  <c r="AW80" i="11" s="1"/>
  <c r="AW80" i="13" s="1"/>
  <c r="AW79" i="19"/>
  <c r="AW79" i="18" s="1"/>
  <c r="AW79" i="11" s="1"/>
  <c r="AW79" i="13" s="1"/>
  <c r="AW78" i="19"/>
  <c r="AW78" i="18" s="1"/>
  <c r="AW78" i="11" s="1"/>
  <c r="AW78" i="13" s="1"/>
  <c r="AW77" i="19"/>
  <c r="AW77" i="18" s="1"/>
  <c r="AW77" i="11" s="1"/>
  <c r="AW77" i="13" s="1"/>
  <c r="AW76" i="19"/>
  <c r="AW76" i="18" s="1"/>
  <c r="AW76" i="11" s="1"/>
  <c r="AW76" i="13" s="1"/>
  <c r="AW75" i="19"/>
  <c r="AW75" i="18" s="1"/>
  <c r="AW75" i="11" s="1"/>
  <c r="AW75" i="13" s="1"/>
  <c r="AW74" i="19"/>
  <c r="AW74" i="18" s="1"/>
  <c r="AW74" i="11" s="1"/>
  <c r="AW74" i="13" s="1"/>
  <c r="AW73" i="19"/>
  <c r="AW73" i="18" s="1"/>
  <c r="AW73" i="11" s="1"/>
  <c r="AW73" i="13" s="1"/>
  <c r="AW72" i="19"/>
  <c r="AW72" i="18" s="1"/>
  <c r="AW72" i="11" s="1"/>
  <c r="AW72" i="13" s="1"/>
  <c r="AW71" i="19"/>
  <c r="AW71" i="18" s="1"/>
  <c r="AW71" i="11" s="1"/>
  <c r="AW71" i="13" s="1"/>
  <c r="AW70" i="19"/>
  <c r="AW70" i="18" s="1"/>
  <c r="AW70" i="11" s="1"/>
  <c r="AW70" i="13" s="1"/>
  <c r="AW69" i="19"/>
  <c r="AW69" i="18" s="1"/>
  <c r="AW69" i="11" s="1"/>
  <c r="AW69" i="13" s="1"/>
  <c r="AW68" i="19"/>
  <c r="AW68" i="18" s="1"/>
  <c r="AW68" i="11" s="1"/>
  <c r="AW68" i="13" s="1"/>
  <c r="AW67" i="19"/>
  <c r="AW67" i="18" s="1"/>
  <c r="AW67" i="11" s="1"/>
  <c r="AW67" i="13" s="1"/>
  <c r="AW66" i="19"/>
  <c r="AW66" i="18" s="1"/>
  <c r="AW66" i="11" s="1"/>
  <c r="AW66" i="13" s="1"/>
  <c r="AW65" i="19"/>
  <c r="AW65" i="18" s="1"/>
  <c r="AW65" i="11" s="1"/>
  <c r="AW65" i="13" s="1"/>
  <c r="AU85" i="19"/>
  <c r="AU85" i="18" s="1"/>
  <c r="AU85" i="11" s="1"/>
  <c r="AU85" i="13" s="1"/>
  <c r="AU84" i="19"/>
  <c r="AU84" i="18" s="1"/>
  <c r="AU84" i="11" s="1"/>
  <c r="AU84" i="13" s="1"/>
  <c r="AU83" i="19"/>
  <c r="AU83" i="18" s="1"/>
  <c r="AU83" i="11" s="1"/>
  <c r="AU83" i="13" s="1"/>
  <c r="AU82" i="19"/>
  <c r="AU82" i="18" s="1"/>
  <c r="AU82" i="11" s="1"/>
  <c r="AU82" i="13" s="1"/>
  <c r="AU81" i="19"/>
  <c r="AU81" i="18" s="1"/>
  <c r="AU81" i="11" s="1"/>
  <c r="AU81" i="13" s="1"/>
  <c r="AU80" i="19"/>
  <c r="AU80" i="18" s="1"/>
  <c r="AU80" i="11" s="1"/>
  <c r="AU80" i="13" s="1"/>
  <c r="AU79" i="19"/>
  <c r="AU79" i="18" s="1"/>
  <c r="AU79" i="11" s="1"/>
  <c r="AU79" i="13" s="1"/>
  <c r="AU78" i="19"/>
  <c r="AU78" i="18" s="1"/>
  <c r="AU78" i="11" s="1"/>
  <c r="AU78" i="13" s="1"/>
  <c r="AU77" i="19"/>
  <c r="AU77" i="18" s="1"/>
  <c r="AU77" i="11" s="1"/>
  <c r="AU77" i="13" s="1"/>
  <c r="AU76" i="19"/>
  <c r="AU76" i="18" s="1"/>
  <c r="AU76" i="11" s="1"/>
  <c r="AU76" i="13" s="1"/>
  <c r="AU75" i="19"/>
  <c r="AU75" i="18" s="1"/>
  <c r="AU75" i="11" s="1"/>
  <c r="AU75" i="13" s="1"/>
  <c r="AU74" i="19"/>
  <c r="AU74" i="18" s="1"/>
  <c r="AU74" i="11" s="1"/>
  <c r="AU74" i="13" s="1"/>
  <c r="AU73" i="19"/>
  <c r="AU73" i="18" s="1"/>
  <c r="AU73" i="11" s="1"/>
  <c r="AU73" i="13" s="1"/>
  <c r="AU72" i="19"/>
  <c r="AU72" i="18" s="1"/>
  <c r="AU72" i="11" s="1"/>
  <c r="AU72" i="13" s="1"/>
  <c r="AU71" i="19"/>
  <c r="AU71" i="18" s="1"/>
  <c r="AU71" i="11" s="1"/>
  <c r="AU71" i="13" s="1"/>
  <c r="AU70" i="19"/>
  <c r="AU70" i="18" s="1"/>
  <c r="AU70" i="11" s="1"/>
  <c r="AU70" i="13" s="1"/>
  <c r="AU69" i="19"/>
  <c r="AU69" i="18" s="1"/>
  <c r="AU69" i="11" s="1"/>
  <c r="AU69" i="13" s="1"/>
  <c r="AU68" i="19"/>
  <c r="AU68" i="18" s="1"/>
  <c r="AU68" i="11" s="1"/>
  <c r="AU68" i="13" s="1"/>
  <c r="AU67" i="19"/>
  <c r="AU67" i="18" s="1"/>
  <c r="AU67" i="11" s="1"/>
  <c r="AU67" i="13" s="1"/>
  <c r="AU66" i="19"/>
  <c r="AU66" i="18" s="1"/>
  <c r="AU66" i="11" s="1"/>
  <c r="AU66" i="13" s="1"/>
  <c r="AU65" i="19"/>
  <c r="AU65" i="18" s="1"/>
  <c r="AU65" i="11" s="1"/>
  <c r="AU65" i="13" s="1"/>
  <c r="AS85" i="19"/>
  <c r="AS85" i="18" s="1"/>
  <c r="AS85" i="11" s="1"/>
  <c r="AS85" i="13" s="1"/>
  <c r="AS84" i="19"/>
  <c r="AS84" i="18" s="1"/>
  <c r="AS84" i="11" s="1"/>
  <c r="AS84" i="13" s="1"/>
  <c r="AS83" i="19"/>
  <c r="AS83" i="18" s="1"/>
  <c r="AS83" i="11" s="1"/>
  <c r="AS83" i="13" s="1"/>
  <c r="AS82" i="19"/>
  <c r="AS82" i="18" s="1"/>
  <c r="AS82" i="11" s="1"/>
  <c r="AS82" i="13" s="1"/>
  <c r="AS81" i="19"/>
  <c r="AS81" i="18" s="1"/>
  <c r="AS81" i="11" s="1"/>
  <c r="AS81" i="13" s="1"/>
  <c r="AS80" i="19"/>
  <c r="AS80" i="18" s="1"/>
  <c r="AS80" i="11" s="1"/>
  <c r="AS80" i="13" s="1"/>
  <c r="AS79" i="19"/>
  <c r="AS79" i="18" s="1"/>
  <c r="AS79" i="11" s="1"/>
  <c r="AS79" i="13" s="1"/>
  <c r="AS78" i="19"/>
  <c r="AS78" i="18" s="1"/>
  <c r="AS78" i="11" s="1"/>
  <c r="AS78" i="13" s="1"/>
  <c r="AS77" i="19"/>
  <c r="AS77" i="18" s="1"/>
  <c r="AS77" i="11" s="1"/>
  <c r="AS77" i="13" s="1"/>
  <c r="AS76" i="19"/>
  <c r="AS76" i="18" s="1"/>
  <c r="AS76" i="11" s="1"/>
  <c r="AS76" i="13" s="1"/>
  <c r="AS75" i="19"/>
  <c r="AS75" i="18" s="1"/>
  <c r="AS75" i="11" s="1"/>
  <c r="AS75" i="13" s="1"/>
  <c r="AS74" i="19"/>
  <c r="AS74" i="18" s="1"/>
  <c r="AS74" i="11" s="1"/>
  <c r="AS74" i="13" s="1"/>
  <c r="AS73" i="19"/>
  <c r="AS73" i="18" s="1"/>
  <c r="AS73" i="11" s="1"/>
  <c r="AS73" i="13" s="1"/>
  <c r="AS72" i="19"/>
  <c r="AS72" i="18" s="1"/>
  <c r="AS72" i="11" s="1"/>
  <c r="AS72" i="13" s="1"/>
  <c r="AS71" i="19"/>
  <c r="AS71" i="18" s="1"/>
  <c r="AS71" i="11" s="1"/>
  <c r="AS71" i="13" s="1"/>
  <c r="AS70" i="19"/>
  <c r="AS70" i="18" s="1"/>
  <c r="AS70" i="11" s="1"/>
  <c r="AS70" i="13" s="1"/>
  <c r="AS69" i="19"/>
  <c r="AS69" i="18" s="1"/>
  <c r="AS69" i="11" s="1"/>
  <c r="AS69" i="13" s="1"/>
  <c r="AS68" i="19"/>
  <c r="AS68" i="18" s="1"/>
  <c r="AS68" i="11" s="1"/>
  <c r="AS68" i="13" s="1"/>
  <c r="AS67" i="19"/>
  <c r="AS67" i="18" s="1"/>
  <c r="AS67" i="11" s="1"/>
  <c r="AS67" i="13" s="1"/>
  <c r="AS66" i="19"/>
  <c r="AS66" i="18" s="1"/>
  <c r="AS66" i="11" s="1"/>
  <c r="AS66" i="13" s="1"/>
  <c r="AS65" i="19"/>
  <c r="AS65" i="18" s="1"/>
  <c r="AS65" i="11" s="1"/>
  <c r="AS65" i="13" s="1"/>
  <c r="AQ85" i="19"/>
  <c r="AQ85" i="18" s="1"/>
  <c r="AQ85" i="11" s="1"/>
  <c r="AQ85" i="13" s="1"/>
  <c r="AQ84" i="19"/>
  <c r="AQ84" i="18" s="1"/>
  <c r="AQ84" i="11" s="1"/>
  <c r="AQ84" i="13" s="1"/>
  <c r="AQ83" i="19"/>
  <c r="AQ83" i="18" s="1"/>
  <c r="AQ83" i="11" s="1"/>
  <c r="AQ83" i="13" s="1"/>
  <c r="AQ82" i="19"/>
  <c r="AQ82" i="18" s="1"/>
  <c r="AQ82" i="11" s="1"/>
  <c r="AQ82" i="13" s="1"/>
  <c r="AQ81" i="19"/>
  <c r="AQ81" i="18" s="1"/>
  <c r="AQ81" i="11" s="1"/>
  <c r="AQ81" i="13" s="1"/>
  <c r="AQ80" i="19"/>
  <c r="AQ80" i="18" s="1"/>
  <c r="AQ80" i="11" s="1"/>
  <c r="AQ80" i="13" s="1"/>
  <c r="AQ79" i="19"/>
  <c r="AQ79" i="18" s="1"/>
  <c r="AQ79" i="11" s="1"/>
  <c r="AQ79" i="13" s="1"/>
  <c r="AQ78" i="19"/>
  <c r="AQ78" i="18" s="1"/>
  <c r="AQ78" i="11" s="1"/>
  <c r="AQ78" i="13" s="1"/>
  <c r="AQ77" i="19"/>
  <c r="AQ77" i="18" s="1"/>
  <c r="AQ77" i="11" s="1"/>
  <c r="AQ77" i="13" s="1"/>
  <c r="AQ76" i="19"/>
  <c r="AQ76" i="18" s="1"/>
  <c r="AQ76" i="11" s="1"/>
  <c r="AQ76" i="13" s="1"/>
  <c r="AQ75" i="19"/>
  <c r="AQ75" i="18" s="1"/>
  <c r="AQ75" i="11" s="1"/>
  <c r="AQ75" i="13" s="1"/>
  <c r="AQ74" i="19"/>
  <c r="AQ74" i="18" s="1"/>
  <c r="AQ74" i="11" s="1"/>
  <c r="AQ74" i="13" s="1"/>
  <c r="AQ73" i="19"/>
  <c r="AQ73" i="18" s="1"/>
  <c r="AQ73" i="11" s="1"/>
  <c r="AQ73" i="13" s="1"/>
  <c r="AQ72" i="19"/>
  <c r="AQ72" i="18" s="1"/>
  <c r="AQ72" i="11" s="1"/>
  <c r="AQ72" i="13" s="1"/>
  <c r="AQ71" i="19"/>
  <c r="AQ71" i="18" s="1"/>
  <c r="AQ71" i="11" s="1"/>
  <c r="AQ71" i="13" s="1"/>
  <c r="AQ70" i="19"/>
  <c r="AQ70" i="18" s="1"/>
  <c r="AQ70" i="11" s="1"/>
  <c r="AQ70" i="13" s="1"/>
  <c r="AQ69" i="19"/>
  <c r="AQ69" i="18" s="1"/>
  <c r="AQ69" i="11" s="1"/>
  <c r="AQ69" i="13" s="1"/>
  <c r="AQ68" i="19"/>
  <c r="AQ68" i="18" s="1"/>
  <c r="AQ68" i="11" s="1"/>
  <c r="AQ68" i="13" s="1"/>
  <c r="AQ67" i="19"/>
  <c r="AQ67" i="18" s="1"/>
  <c r="AQ67" i="11" s="1"/>
  <c r="AQ67" i="13" s="1"/>
  <c r="AQ66" i="19"/>
  <c r="AQ66" i="18" s="1"/>
  <c r="AQ66" i="11" s="1"/>
  <c r="AQ66" i="13" s="1"/>
  <c r="AQ65" i="19"/>
  <c r="AQ65" i="18" s="1"/>
  <c r="AQ65" i="11" s="1"/>
  <c r="AQ65" i="13" s="1"/>
  <c r="AO85" i="19"/>
  <c r="AO85" i="18" s="1"/>
  <c r="AO85" i="11" s="1"/>
  <c r="AO85" i="13" s="1"/>
  <c r="AO84" i="19"/>
  <c r="AO84" i="18" s="1"/>
  <c r="AO84" i="11" s="1"/>
  <c r="AO84" i="13" s="1"/>
  <c r="AO83" i="19"/>
  <c r="AO83" i="18" s="1"/>
  <c r="AO83" i="11" s="1"/>
  <c r="AO83" i="13" s="1"/>
  <c r="AO82" i="19"/>
  <c r="AO82" i="18" s="1"/>
  <c r="AO82" i="11" s="1"/>
  <c r="AO82" i="13" s="1"/>
  <c r="AO81" i="19"/>
  <c r="AO81" i="18" s="1"/>
  <c r="AO81" i="11" s="1"/>
  <c r="AO81" i="13" s="1"/>
  <c r="AO80" i="19"/>
  <c r="AO80" i="18" s="1"/>
  <c r="AO80" i="11" s="1"/>
  <c r="AO80" i="13" s="1"/>
  <c r="AO79" i="19"/>
  <c r="AO79" i="18" s="1"/>
  <c r="AO79" i="11" s="1"/>
  <c r="AO79" i="13" s="1"/>
  <c r="AO78" i="19"/>
  <c r="AO78" i="18" s="1"/>
  <c r="AO78" i="11" s="1"/>
  <c r="AO78" i="13" s="1"/>
  <c r="AO77" i="19"/>
  <c r="AO77" i="18" s="1"/>
  <c r="AO77" i="11" s="1"/>
  <c r="AO77" i="13" s="1"/>
  <c r="AO76" i="19"/>
  <c r="AO76" i="18" s="1"/>
  <c r="AO76" i="11" s="1"/>
  <c r="AO76" i="13" s="1"/>
  <c r="AO75" i="19"/>
  <c r="AO75" i="18" s="1"/>
  <c r="AO75" i="11" s="1"/>
  <c r="AO75" i="13" s="1"/>
  <c r="AO74" i="19"/>
  <c r="AO74" i="18" s="1"/>
  <c r="AO74" i="11" s="1"/>
  <c r="AO74" i="13" s="1"/>
  <c r="AO73" i="19"/>
  <c r="AO73" i="18" s="1"/>
  <c r="AO73" i="11" s="1"/>
  <c r="AO73" i="13" s="1"/>
  <c r="AO72" i="19"/>
  <c r="AO72" i="18" s="1"/>
  <c r="AO72" i="11" s="1"/>
  <c r="AO72" i="13" s="1"/>
  <c r="AO71" i="19"/>
  <c r="AO71" i="18" s="1"/>
  <c r="AO71" i="11" s="1"/>
  <c r="AO71" i="13" s="1"/>
  <c r="AO70" i="19"/>
  <c r="AO70" i="18" s="1"/>
  <c r="AO70" i="11" s="1"/>
  <c r="AO70" i="13" s="1"/>
  <c r="AO69" i="19"/>
  <c r="AO69" i="18" s="1"/>
  <c r="AO69" i="11" s="1"/>
  <c r="AO69" i="13" s="1"/>
  <c r="AO68" i="19"/>
  <c r="AO68" i="18" s="1"/>
  <c r="AO68" i="11" s="1"/>
  <c r="AO68" i="13" s="1"/>
  <c r="AO67" i="19"/>
  <c r="AO67" i="18" s="1"/>
  <c r="AO67" i="11" s="1"/>
  <c r="AO67" i="13" s="1"/>
  <c r="AO66" i="19"/>
  <c r="AO66" i="18" s="1"/>
  <c r="AO66" i="11" s="1"/>
  <c r="AO66" i="13" s="1"/>
  <c r="AO65" i="19"/>
  <c r="AO65" i="18" s="1"/>
  <c r="AO65" i="11" s="1"/>
  <c r="AO65" i="13" s="1"/>
  <c r="AM85" i="19"/>
  <c r="AM85" i="18" s="1"/>
  <c r="AM85" i="11" s="1"/>
  <c r="AM85" i="13" s="1"/>
  <c r="AM84" i="19"/>
  <c r="AM84" i="18" s="1"/>
  <c r="AM84" i="11" s="1"/>
  <c r="AM84" i="13" s="1"/>
  <c r="AM83" i="19"/>
  <c r="AM83" i="18" s="1"/>
  <c r="AM83" i="11" s="1"/>
  <c r="AM83" i="13" s="1"/>
  <c r="AM82" i="19"/>
  <c r="AM82" i="18" s="1"/>
  <c r="AM82" i="11" s="1"/>
  <c r="AM82" i="13" s="1"/>
  <c r="AM81" i="19"/>
  <c r="AM81" i="18" s="1"/>
  <c r="AM81" i="11" s="1"/>
  <c r="AM81" i="13" s="1"/>
  <c r="AM80" i="19"/>
  <c r="AM80" i="18" s="1"/>
  <c r="AM80" i="11" s="1"/>
  <c r="AM80" i="13" s="1"/>
  <c r="AM79" i="19"/>
  <c r="AM79" i="18" s="1"/>
  <c r="AM79" i="11" s="1"/>
  <c r="AM79" i="13" s="1"/>
  <c r="AM78" i="19"/>
  <c r="AM78" i="18" s="1"/>
  <c r="AM78" i="11" s="1"/>
  <c r="AM78" i="13" s="1"/>
  <c r="AM77" i="19"/>
  <c r="AM77" i="18" s="1"/>
  <c r="AM77" i="11" s="1"/>
  <c r="AM77" i="13" s="1"/>
  <c r="AM76" i="19"/>
  <c r="AM76" i="18" s="1"/>
  <c r="AM76" i="11" s="1"/>
  <c r="AM76" i="13" s="1"/>
  <c r="AM75" i="19"/>
  <c r="AM75" i="18" s="1"/>
  <c r="AM75" i="11" s="1"/>
  <c r="AM75" i="13" s="1"/>
  <c r="AM74" i="19"/>
  <c r="AM74" i="18" s="1"/>
  <c r="AM74" i="11" s="1"/>
  <c r="AM74" i="13" s="1"/>
  <c r="AM73" i="19"/>
  <c r="AM73" i="18" s="1"/>
  <c r="AM73" i="11" s="1"/>
  <c r="AM73" i="13" s="1"/>
  <c r="AM72" i="19"/>
  <c r="AM72" i="18" s="1"/>
  <c r="AM72" i="11" s="1"/>
  <c r="AM72" i="13" s="1"/>
  <c r="AM71" i="19"/>
  <c r="AM71" i="18" s="1"/>
  <c r="AM71" i="11" s="1"/>
  <c r="AM71" i="13" s="1"/>
  <c r="AM70" i="19"/>
  <c r="AM70" i="18" s="1"/>
  <c r="AM70" i="11" s="1"/>
  <c r="AM70" i="13" s="1"/>
  <c r="AM69" i="19"/>
  <c r="AM69" i="18" s="1"/>
  <c r="AM69" i="11" s="1"/>
  <c r="AM69" i="13" s="1"/>
  <c r="AM68" i="19"/>
  <c r="AM68" i="18" s="1"/>
  <c r="AM68" i="11" s="1"/>
  <c r="AM68" i="13" s="1"/>
  <c r="AM67" i="19"/>
  <c r="AM67" i="18" s="1"/>
  <c r="AM67" i="11" s="1"/>
  <c r="AM67" i="13" s="1"/>
  <c r="AM66" i="19"/>
  <c r="AM66" i="18" s="1"/>
  <c r="AM66" i="11" s="1"/>
  <c r="AM66" i="13" s="1"/>
  <c r="AM65" i="19"/>
  <c r="AM65" i="18" s="1"/>
  <c r="AM65" i="11" s="1"/>
  <c r="AM65" i="13" s="1"/>
  <c r="AK85" i="19"/>
  <c r="AK85" i="18" s="1"/>
  <c r="AK85" i="11" s="1"/>
  <c r="AK85" i="13" s="1"/>
  <c r="AK84" i="19"/>
  <c r="AK84" i="18" s="1"/>
  <c r="AK84" i="11" s="1"/>
  <c r="AK84" i="13" s="1"/>
  <c r="AK83" i="19"/>
  <c r="AK83" i="18" s="1"/>
  <c r="AK83" i="11" s="1"/>
  <c r="AK83" i="13" s="1"/>
  <c r="AK82" i="19"/>
  <c r="AK82" i="18" s="1"/>
  <c r="AK82" i="11" s="1"/>
  <c r="AK82" i="13" s="1"/>
  <c r="AK81" i="19"/>
  <c r="AK81" i="18" s="1"/>
  <c r="AK81" i="11" s="1"/>
  <c r="AK81" i="13" s="1"/>
  <c r="AK80" i="19"/>
  <c r="AK80" i="18" s="1"/>
  <c r="AK80" i="11" s="1"/>
  <c r="AK80" i="13" s="1"/>
  <c r="AK79" i="19"/>
  <c r="AK79" i="18" s="1"/>
  <c r="AK79" i="11" s="1"/>
  <c r="AK79" i="13" s="1"/>
  <c r="AK78" i="19"/>
  <c r="AK78" i="18" s="1"/>
  <c r="AK78" i="11" s="1"/>
  <c r="AK78" i="13" s="1"/>
  <c r="AK77" i="19"/>
  <c r="AK77" i="18" s="1"/>
  <c r="AK77" i="11" s="1"/>
  <c r="AK77" i="13" s="1"/>
  <c r="AK76" i="19"/>
  <c r="AK76" i="18" s="1"/>
  <c r="AK76" i="11" s="1"/>
  <c r="AK76" i="13" s="1"/>
  <c r="AK75" i="19"/>
  <c r="AK75" i="18" s="1"/>
  <c r="AK75" i="11" s="1"/>
  <c r="AK75" i="13" s="1"/>
  <c r="AK74" i="19"/>
  <c r="AK74" i="18" s="1"/>
  <c r="AK74" i="11" s="1"/>
  <c r="AK74" i="13" s="1"/>
  <c r="AK73" i="19"/>
  <c r="AK73" i="18" s="1"/>
  <c r="AK73" i="11" s="1"/>
  <c r="AK73" i="13" s="1"/>
  <c r="AK72" i="19"/>
  <c r="AK72" i="18" s="1"/>
  <c r="AK72" i="11" s="1"/>
  <c r="AK72" i="13" s="1"/>
  <c r="AK71" i="19"/>
  <c r="AK71" i="18" s="1"/>
  <c r="AK71" i="11" s="1"/>
  <c r="AK71" i="13" s="1"/>
  <c r="AK70" i="19"/>
  <c r="AK70" i="18" s="1"/>
  <c r="AK70" i="11" s="1"/>
  <c r="AK70" i="13" s="1"/>
  <c r="AK69" i="19"/>
  <c r="AK69" i="18" s="1"/>
  <c r="AK69" i="11" s="1"/>
  <c r="AK69" i="13" s="1"/>
  <c r="AK68" i="19"/>
  <c r="AK68" i="18" s="1"/>
  <c r="AK68" i="11" s="1"/>
  <c r="AK68" i="13" s="1"/>
  <c r="AK67" i="19"/>
  <c r="AK67" i="18" s="1"/>
  <c r="AK67" i="11" s="1"/>
  <c r="AK67" i="13" s="1"/>
  <c r="AK66" i="19"/>
  <c r="AK66" i="18" s="1"/>
  <c r="AK66" i="11" s="1"/>
  <c r="AK66" i="13" s="1"/>
  <c r="AK65" i="19"/>
  <c r="AK65" i="18" s="1"/>
  <c r="AK65" i="11" s="1"/>
  <c r="AK65" i="13" s="1"/>
  <c r="AI85" i="19"/>
  <c r="AI85" i="18" s="1"/>
  <c r="AI85" i="11" s="1"/>
  <c r="AI85" i="13" s="1"/>
  <c r="AI84" i="19"/>
  <c r="AI84" i="18" s="1"/>
  <c r="AI84" i="11" s="1"/>
  <c r="AI84" i="13" s="1"/>
  <c r="AI83" i="19"/>
  <c r="AI83" i="18" s="1"/>
  <c r="AI83" i="11" s="1"/>
  <c r="AI83" i="13" s="1"/>
  <c r="AI82" i="19"/>
  <c r="AI82" i="18" s="1"/>
  <c r="AI82" i="11" s="1"/>
  <c r="AI82" i="13" s="1"/>
  <c r="AI81" i="19"/>
  <c r="AI81" i="18" s="1"/>
  <c r="AI81" i="11" s="1"/>
  <c r="AI81" i="13" s="1"/>
  <c r="AI80" i="19"/>
  <c r="AI80" i="18" s="1"/>
  <c r="AI80" i="11" s="1"/>
  <c r="AI80" i="13" s="1"/>
  <c r="AI79" i="19"/>
  <c r="AI79" i="18" s="1"/>
  <c r="AI79" i="11" s="1"/>
  <c r="AI79" i="13" s="1"/>
  <c r="AI78" i="19"/>
  <c r="AI78" i="18" s="1"/>
  <c r="AI78" i="11" s="1"/>
  <c r="AI78" i="13" s="1"/>
  <c r="AI77" i="19"/>
  <c r="AI77" i="18" s="1"/>
  <c r="AI77" i="11" s="1"/>
  <c r="AI77" i="13" s="1"/>
  <c r="AI76" i="19"/>
  <c r="AI76" i="18" s="1"/>
  <c r="AI76" i="11" s="1"/>
  <c r="AI76" i="13" s="1"/>
  <c r="AI75" i="19"/>
  <c r="AI75" i="18" s="1"/>
  <c r="AI75" i="11" s="1"/>
  <c r="AI75" i="13" s="1"/>
  <c r="AI74" i="19"/>
  <c r="AI74" i="18" s="1"/>
  <c r="AI74" i="11" s="1"/>
  <c r="AI74" i="13" s="1"/>
  <c r="AI73" i="19"/>
  <c r="AI73" i="18" s="1"/>
  <c r="AI73" i="11" s="1"/>
  <c r="AI73" i="13" s="1"/>
  <c r="AI72" i="19"/>
  <c r="AI72" i="18" s="1"/>
  <c r="AI72" i="11" s="1"/>
  <c r="AI72" i="13" s="1"/>
  <c r="AI71" i="19"/>
  <c r="AI71" i="18" s="1"/>
  <c r="AI71" i="11" s="1"/>
  <c r="AI71" i="13" s="1"/>
  <c r="AI70" i="19"/>
  <c r="AI70" i="18" s="1"/>
  <c r="AI70" i="11" s="1"/>
  <c r="AI70" i="13" s="1"/>
  <c r="AI69" i="19"/>
  <c r="AI69" i="18" s="1"/>
  <c r="AI69" i="11" s="1"/>
  <c r="AI69" i="13" s="1"/>
  <c r="AI68" i="19"/>
  <c r="AI68" i="18" s="1"/>
  <c r="AI68" i="11" s="1"/>
  <c r="AI68" i="13" s="1"/>
  <c r="AI67" i="19"/>
  <c r="AI67" i="18" s="1"/>
  <c r="AI67" i="11" s="1"/>
  <c r="AI67" i="13" s="1"/>
  <c r="AI66" i="19"/>
  <c r="AI66" i="18" s="1"/>
  <c r="AI66" i="11" s="1"/>
  <c r="AI66" i="13" s="1"/>
  <c r="AI65" i="19"/>
  <c r="AI65" i="18" s="1"/>
  <c r="AI65" i="11" s="1"/>
  <c r="AI65" i="13" s="1"/>
  <c r="AG85" i="19"/>
  <c r="AG85" i="18" s="1"/>
  <c r="AG85" i="11" s="1"/>
  <c r="AG85" i="13" s="1"/>
  <c r="AG84" i="19"/>
  <c r="AG84" i="18" s="1"/>
  <c r="AG84" i="11" s="1"/>
  <c r="AG84" i="13" s="1"/>
  <c r="AG83" i="19"/>
  <c r="AG83" i="18" s="1"/>
  <c r="AG83" i="11" s="1"/>
  <c r="AG83" i="13" s="1"/>
  <c r="AG82" i="19"/>
  <c r="AG82" i="18" s="1"/>
  <c r="AG82" i="11" s="1"/>
  <c r="AG82" i="13" s="1"/>
  <c r="AG81" i="19"/>
  <c r="AG81" i="18" s="1"/>
  <c r="AG81" i="11" s="1"/>
  <c r="AG81" i="13" s="1"/>
  <c r="AG80" i="19"/>
  <c r="AG80" i="18" s="1"/>
  <c r="AG80" i="11" s="1"/>
  <c r="AG80" i="13" s="1"/>
  <c r="AG79" i="19"/>
  <c r="AG79" i="18" s="1"/>
  <c r="AG79" i="11" s="1"/>
  <c r="AG79" i="13" s="1"/>
  <c r="AG78" i="19"/>
  <c r="AG78" i="18" s="1"/>
  <c r="AG78" i="11" s="1"/>
  <c r="AG78" i="13" s="1"/>
  <c r="AG77" i="19"/>
  <c r="AG77" i="18" s="1"/>
  <c r="AG77" i="11" s="1"/>
  <c r="AG77" i="13" s="1"/>
  <c r="AG76" i="19"/>
  <c r="AG76" i="18" s="1"/>
  <c r="AG76" i="11" s="1"/>
  <c r="AG76" i="13" s="1"/>
  <c r="AG75" i="19"/>
  <c r="AG75" i="18" s="1"/>
  <c r="AG75" i="11" s="1"/>
  <c r="AG75" i="13" s="1"/>
  <c r="AG74" i="19"/>
  <c r="AG74" i="18" s="1"/>
  <c r="AG74" i="11" s="1"/>
  <c r="AG74" i="13" s="1"/>
  <c r="AG73" i="19"/>
  <c r="AG73" i="18" s="1"/>
  <c r="AG73" i="11" s="1"/>
  <c r="AG73" i="13" s="1"/>
  <c r="AG72" i="19"/>
  <c r="AG72" i="18" s="1"/>
  <c r="AG72" i="11" s="1"/>
  <c r="AG72" i="13" s="1"/>
  <c r="AG71" i="19"/>
  <c r="AG71" i="18" s="1"/>
  <c r="AG71" i="11" s="1"/>
  <c r="AG71" i="13" s="1"/>
  <c r="AG70" i="19"/>
  <c r="AG70" i="18" s="1"/>
  <c r="AG70" i="11" s="1"/>
  <c r="AG70" i="13" s="1"/>
  <c r="AG69" i="19"/>
  <c r="AG69" i="18" s="1"/>
  <c r="AG69" i="11" s="1"/>
  <c r="AG69" i="13" s="1"/>
  <c r="AG68" i="19"/>
  <c r="AG68" i="18" s="1"/>
  <c r="AG68" i="11" s="1"/>
  <c r="AG68" i="13" s="1"/>
  <c r="AG67" i="19"/>
  <c r="AG67" i="18" s="1"/>
  <c r="AG67" i="11" s="1"/>
  <c r="AG67" i="13" s="1"/>
  <c r="AG66" i="19"/>
  <c r="AG66" i="18" s="1"/>
  <c r="AG66" i="11" s="1"/>
  <c r="AG66" i="13" s="1"/>
  <c r="AG65" i="19"/>
  <c r="AG65" i="18" s="1"/>
  <c r="AG65" i="11" s="1"/>
  <c r="AG65" i="13" s="1"/>
  <c r="AE85" i="19"/>
  <c r="AE85" i="18" s="1"/>
  <c r="AE85" i="11" s="1"/>
  <c r="AE85" i="13" s="1"/>
  <c r="AE84" i="19"/>
  <c r="AE84" i="18" s="1"/>
  <c r="AE84" i="11" s="1"/>
  <c r="AE84" i="13" s="1"/>
  <c r="AE83" i="19"/>
  <c r="AE83" i="18" s="1"/>
  <c r="AE83" i="11" s="1"/>
  <c r="AE83" i="13" s="1"/>
  <c r="AE82" i="19"/>
  <c r="AE82" i="18" s="1"/>
  <c r="AE82" i="11" s="1"/>
  <c r="AE82" i="13" s="1"/>
  <c r="AE81" i="19"/>
  <c r="AE81" i="18" s="1"/>
  <c r="AE81" i="11" s="1"/>
  <c r="AE81" i="13" s="1"/>
  <c r="AE80" i="19"/>
  <c r="AE80" i="18" s="1"/>
  <c r="AE80" i="11" s="1"/>
  <c r="AE80" i="13" s="1"/>
  <c r="AE79" i="19"/>
  <c r="AE79" i="18" s="1"/>
  <c r="AE79" i="11" s="1"/>
  <c r="AE79" i="13" s="1"/>
  <c r="AE78" i="19"/>
  <c r="AE78" i="18" s="1"/>
  <c r="AE78" i="11" s="1"/>
  <c r="AE78" i="13" s="1"/>
  <c r="AE77" i="19"/>
  <c r="AE77" i="18" s="1"/>
  <c r="AE77" i="11" s="1"/>
  <c r="AE77" i="13" s="1"/>
  <c r="AE76" i="19"/>
  <c r="AE76" i="18" s="1"/>
  <c r="AE76" i="11" s="1"/>
  <c r="AE76" i="13" s="1"/>
  <c r="AE75" i="19"/>
  <c r="AE75" i="18" s="1"/>
  <c r="AE75" i="11" s="1"/>
  <c r="AE75" i="13" s="1"/>
  <c r="AE74" i="19"/>
  <c r="AE74" i="18" s="1"/>
  <c r="AE74" i="11" s="1"/>
  <c r="AE74" i="13" s="1"/>
  <c r="AE73" i="19"/>
  <c r="AE73" i="18" s="1"/>
  <c r="AE73" i="11" s="1"/>
  <c r="AE73" i="13" s="1"/>
  <c r="AE72" i="19"/>
  <c r="AE72" i="18" s="1"/>
  <c r="AE72" i="11" s="1"/>
  <c r="AE72" i="13" s="1"/>
  <c r="AE71" i="19"/>
  <c r="AE71" i="18" s="1"/>
  <c r="AE71" i="11" s="1"/>
  <c r="AE71" i="13" s="1"/>
  <c r="AE70" i="19"/>
  <c r="AE70" i="18" s="1"/>
  <c r="AE70" i="11" s="1"/>
  <c r="AE70" i="13" s="1"/>
  <c r="AE69" i="19"/>
  <c r="AE69" i="18" s="1"/>
  <c r="AE69" i="11" s="1"/>
  <c r="AE69" i="13" s="1"/>
  <c r="AE68" i="19"/>
  <c r="AE68" i="18" s="1"/>
  <c r="AE68" i="11" s="1"/>
  <c r="AE68" i="13" s="1"/>
  <c r="AE67" i="19"/>
  <c r="AE67" i="18" s="1"/>
  <c r="AE67" i="11" s="1"/>
  <c r="AE67" i="13" s="1"/>
  <c r="AE66" i="19"/>
  <c r="AE66" i="18" s="1"/>
  <c r="AE66" i="11" s="1"/>
  <c r="AE66" i="13" s="1"/>
  <c r="AE65" i="19"/>
  <c r="AE65" i="18" s="1"/>
  <c r="AE65" i="11" s="1"/>
  <c r="AE65" i="13" s="1"/>
  <c r="AC85" i="19"/>
  <c r="AC85" i="18" s="1"/>
  <c r="AC85" i="11" s="1"/>
  <c r="AC85" i="13" s="1"/>
  <c r="AC84" i="19"/>
  <c r="AC84" i="18" s="1"/>
  <c r="AC84" i="11" s="1"/>
  <c r="AC84" i="13" s="1"/>
  <c r="AC83" i="19"/>
  <c r="AC83" i="18" s="1"/>
  <c r="AC83" i="11" s="1"/>
  <c r="AC83" i="13" s="1"/>
  <c r="AC82" i="19"/>
  <c r="AC82" i="18" s="1"/>
  <c r="AC82" i="11" s="1"/>
  <c r="AC82" i="13" s="1"/>
  <c r="AC81" i="19"/>
  <c r="AC81" i="18" s="1"/>
  <c r="AC81" i="11" s="1"/>
  <c r="AC81" i="13" s="1"/>
  <c r="AC80" i="19"/>
  <c r="AC80" i="18" s="1"/>
  <c r="AC80" i="11" s="1"/>
  <c r="AC80" i="13" s="1"/>
  <c r="AC79" i="19"/>
  <c r="AC79" i="18" s="1"/>
  <c r="AC79" i="11" s="1"/>
  <c r="AC79" i="13" s="1"/>
  <c r="AC78" i="19"/>
  <c r="AC78" i="18" s="1"/>
  <c r="AC78" i="11" s="1"/>
  <c r="AC78" i="13" s="1"/>
  <c r="AC77" i="19"/>
  <c r="AC77" i="18" s="1"/>
  <c r="AC77" i="11" s="1"/>
  <c r="AC77" i="13" s="1"/>
  <c r="AC76" i="19"/>
  <c r="AC76" i="18" s="1"/>
  <c r="AC76" i="11" s="1"/>
  <c r="AC76" i="13" s="1"/>
  <c r="AC75" i="19"/>
  <c r="AC75" i="18" s="1"/>
  <c r="AC75" i="11" s="1"/>
  <c r="AC75" i="13" s="1"/>
  <c r="AC74" i="19"/>
  <c r="AC74" i="18" s="1"/>
  <c r="AC74" i="11" s="1"/>
  <c r="AC74" i="13" s="1"/>
  <c r="AC73" i="19"/>
  <c r="AC73" i="18" s="1"/>
  <c r="AC73" i="11" s="1"/>
  <c r="AC73" i="13" s="1"/>
  <c r="AC72" i="19"/>
  <c r="AC72" i="18" s="1"/>
  <c r="AC72" i="11" s="1"/>
  <c r="AC72" i="13" s="1"/>
  <c r="AC71" i="19"/>
  <c r="AC71" i="18" s="1"/>
  <c r="AC71" i="11" s="1"/>
  <c r="AC71" i="13" s="1"/>
  <c r="AC70" i="19"/>
  <c r="AC70" i="18" s="1"/>
  <c r="AC70" i="11" s="1"/>
  <c r="AC70" i="13" s="1"/>
  <c r="AC69" i="19"/>
  <c r="AC69" i="18" s="1"/>
  <c r="AC69" i="11" s="1"/>
  <c r="AC69" i="13" s="1"/>
  <c r="AC68" i="19"/>
  <c r="AC68" i="18" s="1"/>
  <c r="AC68" i="11" s="1"/>
  <c r="AC68" i="13" s="1"/>
  <c r="AC67" i="19"/>
  <c r="AC67" i="18" s="1"/>
  <c r="AC67" i="11" s="1"/>
  <c r="AC67" i="13" s="1"/>
  <c r="AC66" i="19"/>
  <c r="AC66" i="18" s="1"/>
  <c r="AC66" i="11" s="1"/>
  <c r="AC66" i="13" s="1"/>
  <c r="AC65" i="19"/>
  <c r="AC65" i="18" s="1"/>
  <c r="AC65" i="11" s="1"/>
  <c r="AC65" i="13" s="1"/>
  <c r="AA85" i="19"/>
  <c r="AA85" i="18" s="1"/>
  <c r="AA85" i="11" s="1"/>
  <c r="AA85" i="13" s="1"/>
  <c r="AA84" i="19"/>
  <c r="AA84" i="18" s="1"/>
  <c r="AA84" i="11" s="1"/>
  <c r="AA84" i="13" s="1"/>
  <c r="AA83" i="19"/>
  <c r="AA83" i="18" s="1"/>
  <c r="AA83" i="11" s="1"/>
  <c r="AA83" i="13" s="1"/>
  <c r="AA82" i="19"/>
  <c r="AA82" i="18" s="1"/>
  <c r="AA82" i="11" s="1"/>
  <c r="AA82" i="13" s="1"/>
  <c r="AA81" i="19"/>
  <c r="AA81" i="18" s="1"/>
  <c r="AA81" i="11" s="1"/>
  <c r="AA81" i="13" s="1"/>
  <c r="AA80" i="19"/>
  <c r="AA80" i="18" s="1"/>
  <c r="AA80" i="11" s="1"/>
  <c r="AA80" i="13" s="1"/>
  <c r="AA79" i="19"/>
  <c r="AA79" i="18" s="1"/>
  <c r="AA79" i="11" s="1"/>
  <c r="AA79" i="13" s="1"/>
  <c r="AA78" i="19"/>
  <c r="AA78" i="18" s="1"/>
  <c r="AA78" i="11" s="1"/>
  <c r="AA78" i="13" s="1"/>
  <c r="AA77" i="19"/>
  <c r="AA77" i="18" s="1"/>
  <c r="AA77" i="11" s="1"/>
  <c r="AA77" i="13" s="1"/>
  <c r="AA76" i="19"/>
  <c r="AA76" i="18" s="1"/>
  <c r="AA76" i="11" s="1"/>
  <c r="AA76" i="13" s="1"/>
  <c r="AA75" i="19"/>
  <c r="AA75" i="18" s="1"/>
  <c r="AA75" i="11" s="1"/>
  <c r="AA75" i="13" s="1"/>
  <c r="AA74" i="19"/>
  <c r="AA74" i="18" s="1"/>
  <c r="AA74" i="11" s="1"/>
  <c r="AA74" i="13" s="1"/>
  <c r="AA73" i="19"/>
  <c r="AA73" i="18" s="1"/>
  <c r="AA73" i="11" s="1"/>
  <c r="AA73" i="13" s="1"/>
  <c r="AA72" i="19"/>
  <c r="AA72" i="18" s="1"/>
  <c r="AA72" i="11" s="1"/>
  <c r="AA72" i="13" s="1"/>
  <c r="AA71" i="19"/>
  <c r="AA71" i="18" s="1"/>
  <c r="AA71" i="11" s="1"/>
  <c r="AA71" i="13" s="1"/>
  <c r="AA70" i="19"/>
  <c r="AA70" i="18" s="1"/>
  <c r="AA70" i="11" s="1"/>
  <c r="AA70" i="13" s="1"/>
  <c r="AA69" i="19"/>
  <c r="AA69" i="18" s="1"/>
  <c r="AA69" i="11" s="1"/>
  <c r="AA69" i="13" s="1"/>
  <c r="AA68" i="19"/>
  <c r="AA68" i="18" s="1"/>
  <c r="AA68" i="11" s="1"/>
  <c r="AA68" i="13" s="1"/>
  <c r="AA67" i="19"/>
  <c r="AA67" i="18" s="1"/>
  <c r="AA67" i="11" s="1"/>
  <c r="AA67" i="13" s="1"/>
  <c r="AA66" i="19"/>
  <c r="AA66" i="18" s="1"/>
  <c r="AA66" i="11" s="1"/>
  <c r="AA66" i="13" s="1"/>
  <c r="AA65" i="19"/>
  <c r="AA65" i="18" s="1"/>
  <c r="AA65" i="11" s="1"/>
  <c r="AA65" i="13" s="1"/>
  <c r="Y85" i="19"/>
  <c r="Y85" i="18" s="1"/>
  <c r="Y85" i="11" s="1"/>
  <c r="Y85" i="13" s="1"/>
  <c r="Y84" i="19"/>
  <c r="Y84" i="18" s="1"/>
  <c r="Y84" i="11" s="1"/>
  <c r="Y84" i="13" s="1"/>
  <c r="Y83" i="19"/>
  <c r="Y83" i="18" s="1"/>
  <c r="Y83" i="11" s="1"/>
  <c r="Y83" i="13" s="1"/>
  <c r="Y82" i="19"/>
  <c r="Y82" i="18" s="1"/>
  <c r="Y82" i="11" s="1"/>
  <c r="Y82" i="13" s="1"/>
  <c r="Y81" i="19"/>
  <c r="Y81" i="18" s="1"/>
  <c r="Y81" i="11" s="1"/>
  <c r="Y81" i="13" s="1"/>
  <c r="Y80" i="19"/>
  <c r="Y80" i="18" s="1"/>
  <c r="Y80" i="11" s="1"/>
  <c r="Y80" i="13" s="1"/>
  <c r="Y79" i="19"/>
  <c r="Y79" i="18" s="1"/>
  <c r="Y79" i="11" s="1"/>
  <c r="Y79" i="13" s="1"/>
  <c r="Y78" i="19"/>
  <c r="Y78" i="18" s="1"/>
  <c r="Y78" i="11" s="1"/>
  <c r="Y78" i="13" s="1"/>
  <c r="Y77" i="19"/>
  <c r="Y77" i="18" s="1"/>
  <c r="Y77" i="11" s="1"/>
  <c r="Y77" i="13" s="1"/>
  <c r="Y76" i="19"/>
  <c r="Y76" i="18" s="1"/>
  <c r="Y76" i="11" s="1"/>
  <c r="Y76" i="13" s="1"/>
  <c r="Y75" i="19"/>
  <c r="Y75" i="18" s="1"/>
  <c r="Y75" i="11" s="1"/>
  <c r="Y75" i="13" s="1"/>
  <c r="Y74" i="19"/>
  <c r="Y74" i="18" s="1"/>
  <c r="Y74" i="11" s="1"/>
  <c r="Y74" i="13" s="1"/>
  <c r="Y73" i="19"/>
  <c r="Y73" i="18" s="1"/>
  <c r="Y73" i="11" s="1"/>
  <c r="Y73" i="13" s="1"/>
  <c r="Y72" i="19"/>
  <c r="Y72" i="18" s="1"/>
  <c r="Y72" i="11" s="1"/>
  <c r="Y72" i="13" s="1"/>
  <c r="Y71" i="19"/>
  <c r="Y71" i="18" s="1"/>
  <c r="Y71" i="11" s="1"/>
  <c r="Y71" i="13" s="1"/>
  <c r="Y70" i="19"/>
  <c r="Y70" i="18" s="1"/>
  <c r="Y70" i="11" s="1"/>
  <c r="Y70" i="13" s="1"/>
  <c r="Y69" i="19"/>
  <c r="Y69" i="18" s="1"/>
  <c r="Y69" i="11" s="1"/>
  <c r="Y69" i="13" s="1"/>
  <c r="Y68" i="19"/>
  <c r="Y68" i="18" s="1"/>
  <c r="Y68" i="11" s="1"/>
  <c r="Y68" i="13" s="1"/>
  <c r="Y67" i="19"/>
  <c r="Y67" i="18" s="1"/>
  <c r="Y67" i="11" s="1"/>
  <c r="Y67" i="13" s="1"/>
  <c r="Y66" i="19"/>
  <c r="Y66" i="18" s="1"/>
  <c r="Y66" i="11" s="1"/>
  <c r="Y66" i="13" s="1"/>
  <c r="Y65" i="19"/>
  <c r="Y65" i="18" s="1"/>
  <c r="Y65" i="11" s="1"/>
  <c r="Y65" i="13" s="1"/>
  <c r="W85" i="19"/>
  <c r="W85" i="18" s="1"/>
  <c r="W85" i="11" s="1"/>
  <c r="W85" i="13" s="1"/>
  <c r="W84" i="19"/>
  <c r="W84" i="18" s="1"/>
  <c r="W84" i="11" s="1"/>
  <c r="W84" i="13" s="1"/>
  <c r="W83" i="19"/>
  <c r="W83" i="18" s="1"/>
  <c r="W83" i="11" s="1"/>
  <c r="W83" i="13" s="1"/>
  <c r="W82" i="19"/>
  <c r="W82" i="18" s="1"/>
  <c r="W82" i="11" s="1"/>
  <c r="W82" i="13" s="1"/>
  <c r="W81" i="19"/>
  <c r="W81" i="18" s="1"/>
  <c r="W81" i="11" s="1"/>
  <c r="W81" i="13" s="1"/>
  <c r="W80" i="19"/>
  <c r="W80" i="18" s="1"/>
  <c r="W80" i="11" s="1"/>
  <c r="W80" i="13" s="1"/>
  <c r="W79" i="19"/>
  <c r="W79" i="18" s="1"/>
  <c r="W79" i="11" s="1"/>
  <c r="W79" i="13" s="1"/>
  <c r="W78" i="19"/>
  <c r="W78" i="18" s="1"/>
  <c r="W78" i="11" s="1"/>
  <c r="W78" i="13" s="1"/>
  <c r="W77" i="19"/>
  <c r="W77" i="18" s="1"/>
  <c r="W77" i="11" s="1"/>
  <c r="W77" i="13" s="1"/>
  <c r="W76" i="19"/>
  <c r="W76" i="18" s="1"/>
  <c r="W76" i="11" s="1"/>
  <c r="W76" i="13" s="1"/>
  <c r="W75" i="19"/>
  <c r="W75" i="18" s="1"/>
  <c r="W75" i="11" s="1"/>
  <c r="W75" i="13" s="1"/>
  <c r="W74" i="19"/>
  <c r="W74" i="18" s="1"/>
  <c r="W74" i="11" s="1"/>
  <c r="W74" i="13" s="1"/>
  <c r="W73" i="19"/>
  <c r="W73" i="18" s="1"/>
  <c r="W73" i="11" s="1"/>
  <c r="W73" i="13" s="1"/>
  <c r="W72" i="19"/>
  <c r="W72" i="18" s="1"/>
  <c r="W72" i="11" s="1"/>
  <c r="W72" i="13" s="1"/>
  <c r="W71" i="19"/>
  <c r="W71" i="18" s="1"/>
  <c r="W71" i="11" s="1"/>
  <c r="W71" i="13" s="1"/>
  <c r="W70" i="19"/>
  <c r="W70" i="18" s="1"/>
  <c r="W70" i="11" s="1"/>
  <c r="W70" i="13" s="1"/>
  <c r="W69" i="19"/>
  <c r="W69" i="18" s="1"/>
  <c r="W69" i="11" s="1"/>
  <c r="W69" i="13" s="1"/>
  <c r="W68" i="19"/>
  <c r="W68" i="18" s="1"/>
  <c r="W68" i="11" s="1"/>
  <c r="W68" i="13" s="1"/>
  <c r="W67" i="19"/>
  <c r="W67" i="18" s="1"/>
  <c r="W67" i="11" s="1"/>
  <c r="W67" i="13" s="1"/>
  <c r="W66" i="19"/>
  <c r="W66" i="18" s="1"/>
  <c r="W66" i="11" s="1"/>
  <c r="W66" i="13" s="1"/>
  <c r="W65" i="19"/>
  <c r="W65" i="18" s="1"/>
  <c r="W65" i="11" s="1"/>
  <c r="W65" i="13" s="1"/>
  <c r="U85" i="19"/>
  <c r="U85" i="18" s="1"/>
  <c r="U85" i="11" s="1"/>
  <c r="U85" i="13" s="1"/>
  <c r="U84" i="19"/>
  <c r="U84" i="18" s="1"/>
  <c r="U84" i="11" s="1"/>
  <c r="U84" i="13" s="1"/>
  <c r="U83" i="19"/>
  <c r="U83" i="18" s="1"/>
  <c r="U83" i="11" s="1"/>
  <c r="U83" i="13" s="1"/>
  <c r="U82" i="19"/>
  <c r="U82" i="18" s="1"/>
  <c r="U82" i="11" s="1"/>
  <c r="U82" i="13" s="1"/>
  <c r="U81" i="19"/>
  <c r="U81" i="18" s="1"/>
  <c r="U81" i="11" s="1"/>
  <c r="U81" i="13" s="1"/>
  <c r="U80" i="19"/>
  <c r="U80" i="18" s="1"/>
  <c r="U80" i="11" s="1"/>
  <c r="U80" i="13" s="1"/>
  <c r="U79" i="19"/>
  <c r="U79" i="18" s="1"/>
  <c r="U79" i="11" s="1"/>
  <c r="U79" i="13" s="1"/>
  <c r="U78" i="19"/>
  <c r="U78" i="18" s="1"/>
  <c r="U78" i="11" s="1"/>
  <c r="U78" i="13" s="1"/>
  <c r="U77" i="19"/>
  <c r="U77" i="18" s="1"/>
  <c r="U77" i="11" s="1"/>
  <c r="U77" i="13" s="1"/>
  <c r="U76" i="19"/>
  <c r="U76" i="18" s="1"/>
  <c r="U76" i="11" s="1"/>
  <c r="U76" i="13" s="1"/>
  <c r="U75" i="19"/>
  <c r="U75" i="18" s="1"/>
  <c r="U75" i="11" s="1"/>
  <c r="U75" i="13" s="1"/>
  <c r="U74" i="19"/>
  <c r="U74" i="18" s="1"/>
  <c r="U74" i="11" s="1"/>
  <c r="U74" i="13" s="1"/>
  <c r="U73" i="19"/>
  <c r="U73" i="18" s="1"/>
  <c r="U73" i="11" s="1"/>
  <c r="U73" i="13" s="1"/>
  <c r="U72" i="19"/>
  <c r="U72" i="18" s="1"/>
  <c r="U72" i="11" s="1"/>
  <c r="U72" i="13" s="1"/>
  <c r="U71" i="19"/>
  <c r="U71" i="18" s="1"/>
  <c r="U71" i="11" s="1"/>
  <c r="U71" i="13" s="1"/>
  <c r="U70" i="19"/>
  <c r="U70" i="18" s="1"/>
  <c r="U70" i="11" s="1"/>
  <c r="U70" i="13" s="1"/>
  <c r="U69" i="19"/>
  <c r="U69" i="18" s="1"/>
  <c r="U69" i="11" s="1"/>
  <c r="U69" i="13" s="1"/>
  <c r="U68" i="19"/>
  <c r="U68" i="18" s="1"/>
  <c r="U68" i="11" s="1"/>
  <c r="U68" i="13" s="1"/>
  <c r="U67" i="19"/>
  <c r="U67" i="18" s="1"/>
  <c r="U67" i="11" s="1"/>
  <c r="U67" i="13" s="1"/>
  <c r="U66" i="19"/>
  <c r="U66" i="18" s="1"/>
  <c r="U66" i="11" s="1"/>
  <c r="U66" i="13" s="1"/>
  <c r="U65" i="19"/>
  <c r="U65" i="18" s="1"/>
  <c r="U65" i="11" s="1"/>
  <c r="U65" i="13" s="1"/>
  <c r="S85" i="19"/>
  <c r="S85" i="18" s="1"/>
  <c r="S85" i="11" s="1"/>
  <c r="S85" i="13" s="1"/>
  <c r="S84" i="19"/>
  <c r="S84" i="18" s="1"/>
  <c r="S84" i="11" s="1"/>
  <c r="S84" i="13" s="1"/>
  <c r="S83" i="19"/>
  <c r="S83" i="18" s="1"/>
  <c r="S83" i="11" s="1"/>
  <c r="S83" i="13" s="1"/>
  <c r="S82" i="19"/>
  <c r="S82" i="18" s="1"/>
  <c r="S82" i="11" s="1"/>
  <c r="S82" i="13" s="1"/>
  <c r="S81" i="19"/>
  <c r="S81" i="18" s="1"/>
  <c r="S81" i="11" s="1"/>
  <c r="S81" i="13" s="1"/>
  <c r="S80" i="19"/>
  <c r="S80" i="18" s="1"/>
  <c r="S80" i="11" s="1"/>
  <c r="S80" i="13" s="1"/>
  <c r="S79" i="19"/>
  <c r="S79" i="18" s="1"/>
  <c r="S79" i="11" s="1"/>
  <c r="S79" i="13" s="1"/>
  <c r="S78" i="19"/>
  <c r="S78" i="18" s="1"/>
  <c r="S78" i="11" s="1"/>
  <c r="S78" i="13" s="1"/>
  <c r="S77" i="19"/>
  <c r="S77" i="18" s="1"/>
  <c r="S77" i="11" s="1"/>
  <c r="S77" i="13" s="1"/>
  <c r="S76" i="19"/>
  <c r="S76" i="18" s="1"/>
  <c r="S76" i="11" s="1"/>
  <c r="S76" i="13" s="1"/>
  <c r="S75" i="19"/>
  <c r="S75" i="18" s="1"/>
  <c r="S75" i="11" s="1"/>
  <c r="S75" i="13" s="1"/>
  <c r="S74" i="19"/>
  <c r="S74" i="18" s="1"/>
  <c r="S74" i="11" s="1"/>
  <c r="S74" i="13" s="1"/>
  <c r="S73" i="19"/>
  <c r="S73" i="18" s="1"/>
  <c r="S73" i="11" s="1"/>
  <c r="S73" i="13" s="1"/>
  <c r="S72" i="19"/>
  <c r="S72" i="18" s="1"/>
  <c r="S72" i="11" s="1"/>
  <c r="S72" i="13" s="1"/>
  <c r="S71" i="19"/>
  <c r="S71" i="18" s="1"/>
  <c r="S71" i="11" s="1"/>
  <c r="S71" i="13" s="1"/>
  <c r="S70" i="19"/>
  <c r="S70" i="18" s="1"/>
  <c r="S70" i="11" s="1"/>
  <c r="S70" i="13" s="1"/>
  <c r="S69" i="19"/>
  <c r="S69" i="18" s="1"/>
  <c r="S69" i="11" s="1"/>
  <c r="S69" i="13" s="1"/>
  <c r="S68" i="19"/>
  <c r="S68" i="18" s="1"/>
  <c r="S68" i="11" s="1"/>
  <c r="S68" i="13" s="1"/>
  <c r="S67" i="19"/>
  <c r="S67" i="18" s="1"/>
  <c r="S67" i="11" s="1"/>
  <c r="S67" i="13" s="1"/>
  <c r="S66" i="19"/>
  <c r="S66" i="18" s="1"/>
  <c r="S66" i="11" s="1"/>
  <c r="S66" i="13" s="1"/>
  <c r="S65" i="19"/>
  <c r="S65" i="18" s="1"/>
  <c r="S65" i="11" s="1"/>
  <c r="S65" i="13" s="1"/>
  <c r="Q85" i="19"/>
  <c r="Q85" i="18" s="1"/>
  <c r="Q85" i="11" s="1"/>
  <c r="Q85" i="13" s="1"/>
  <c r="Q84" i="19"/>
  <c r="Q84" i="18" s="1"/>
  <c r="Q84" i="11" s="1"/>
  <c r="Q84" i="13" s="1"/>
  <c r="Q83" i="19"/>
  <c r="Q83" i="18" s="1"/>
  <c r="Q83" i="11" s="1"/>
  <c r="Q83" i="13" s="1"/>
  <c r="Q82" i="19"/>
  <c r="Q82" i="18" s="1"/>
  <c r="Q82" i="11" s="1"/>
  <c r="Q82" i="13" s="1"/>
  <c r="Q81" i="19"/>
  <c r="Q81" i="18" s="1"/>
  <c r="Q81" i="11" s="1"/>
  <c r="Q81" i="13" s="1"/>
  <c r="Q80" i="19"/>
  <c r="Q80" i="18" s="1"/>
  <c r="Q80" i="11" s="1"/>
  <c r="Q80" i="13" s="1"/>
  <c r="Q79" i="19"/>
  <c r="Q79" i="18" s="1"/>
  <c r="Q79" i="11" s="1"/>
  <c r="Q79" i="13" s="1"/>
  <c r="Q78" i="19"/>
  <c r="Q78" i="18" s="1"/>
  <c r="Q78" i="11" s="1"/>
  <c r="Q78" i="13" s="1"/>
  <c r="Q77" i="19"/>
  <c r="Q77" i="18" s="1"/>
  <c r="Q77" i="11" s="1"/>
  <c r="Q77" i="13" s="1"/>
  <c r="Q76" i="19"/>
  <c r="Q76" i="18" s="1"/>
  <c r="Q76" i="11" s="1"/>
  <c r="Q76" i="13" s="1"/>
  <c r="Q75" i="19"/>
  <c r="Q75" i="18" s="1"/>
  <c r="Q75" i="11" s="1"/>
  <c r="Q75" i="13" s="1"/>
  <c r="Q74" i="19"/>
  <c r="Q74" i="18" s="1"/>
  <c r="Q74" i="11" s="1"/>
  <c r="Q74" i="13" s="1"/>
  <c r="Q73" i="19"/>
  <c r="Q73" i="18" s="1"/>
  <c r="Q73" i="11" s="1"/>
  <c r="Q73" i="13" s="1"/>
  <c r="Q72" i="19"/>
  <c r="Q72" i="18" s="1"/>
  <c r="Q72" i="11" s="1"/>
  <c r="Q72" i="13" s="1"/>
  <c r="Q71" i="19"/>
  <c r="Q71" i="18" s="1"/>
  <c r="Q71" i="11" s="1"/>
  <c r="Q71" i="13" s="1"/>
  <c r="Q70" i="19"/>
  <c r="Q70" i="18" s="1"/>
  <c r="Q70" i="11" s="1"/>
  <c r="Q70" i="13" s="1"/>
  <c r="Q69" i="19"/>
  <c r="Q69" i="18" s="1"/>
  <c r="Q69" i="11" s="1"/>
  <c r="Q69" i="13" s="1"/>
  <c r="Q68" i="19"/>
  <c r="Q68" i="18" s="1"/>
  <c r="Q68" i="11" s="1"/>
  <c r="Q68" i="13" s="1"/>
  <c r="Q67" i="19"/>
  <c r="Q67" i="18" s="1"/>
  <c r="Q67" i="11" s="1"/>
  <c r="Q67" i="13" s="1"/>
  <c r="Q66" i="19"/>
  <c r="Q66" i="18" s="1"/>
  <c r="Q66" i="11" s="1"/>
  <c r="Q66" i="13" s="1"/>
  <c r="Q65" i="19"/>
  <c r="Q65" i="18" s="1"/>
  <c r="Q65" i="11" s="1"/>
  <c r="Q65" i="13" s="1"/>
  <c r="O85" i="19"/>
  <c r="O85" i="18" s="1"/>
  <c r="O85" i="11" s="1"/>
  <c r="O85" i="13" s="1"/>
  <c r="O84" i="19"/>
  <c r="O84" i="18" s="1"/>
  <c r="O84" i="11" s="1"/>
  <c r="O84" i="13" s="1"/>
  <c r="O83" i="19"/>
  <c r="O83" i="18" s="1"/>
  <c r="O83" i="11" s="1"/>
  <c r="O83" i="13" s="1"/>
  <c r="O82" i="19"/>
  <c r="O82" i="18" s="1"/>
  <c r="O82" i="11" s="1"/>
  <c r="O82" i="13" s="1"/>
  <c r="O81" i="19"/>
  <c r="O81" i="18" s="1"/>
  <c r="O81" i="11" s="1"/>
  <c r="O81" i="13" s="1"/>
  <c r="O80" i="19"/>
  <c r="O80" i="18" s="1"/>
  <c r="O80" i="11" s="1"/>
  <c r="O80" i="13" s="1"/>
  <c r="O79" i="19"/>
  <c r="O79" i="18" s="1"/>
  <c r="O79" i="11" s="1"/>
  <c r="O79" i="13" s="1"/>
  <c r="O78" i="19"/>
  <c r="O78" i="18" s="1"/>
  <c r="O78" i="11" s="1"/>
  <c r="O78" i="13" s="1"/>
  <c r="O77" i="19"/>
  <c r="O77" i="18" s="1"/>
  <c r="O77" i="11" s="1"/>
  <c r="O77" i="13" s="1"/>
  <c r="O76" i="19"/>
  <c r="O76" i="18" s="1"/>
  <c r="O76" i="11" s="1"/>
  <c r="O76" i="13" s="1"/>
  <c r="O75" i="19"/>
  <c r="O75" i="18" s="1"/>
  <c r="O75" i="11" s="1"/>
  <c r="O75" i="13" s="1"/>
  <c r="O74" i="19"/>
  <c r="O74" i="18" s="1"/>
  <c r="O74" i="11" s="1"/>
  <c r="O74" i="13" s="1"/>
  <c r="O73" i="19"/>
  <c r="O73" i="18" s="1"/>
  <c r="O73" i="11" s="1"/>
  <c r="O73" i="13" s="1"/>
  <c r="O72" i="19"/>
  <c r="O72" i="18" s="1"/>
  <c r="O72" i="11" s="1"/>
  <c r="O72" i="13" s="1"/>
  <c r="O71" i="19"/>
  <c r="O71" i="18" s="1"/>
  <c r="O71" i="11" s="1"/>
  <c r="O71" i="13" s="1"/>
  <c r="O70" i="19"/>
  <c r="O70" i="18" s="1"/>
  <c r="O70" i="11" s="1"/>
  <c r="O70" i="13" s="1"/>
  <c r="O69" i="19"/>
  <c r="O69" i="18" s="1"/>
  <c r="O69" i="11" s="1"/>
  <c r="O69" i="13" s="1"/>
  <c r="O68" i="19"/>
  <c r="O68" i="18" s="1"/>
  <c r="O68" i="11" s="1"/>
  <c r="O68" i="13" s="1"/>
  <c r="O67" i="19"/>
  <c r="O67" i="18" s="1"/>
  <c r="O67" i="11" s="1"/>
  <c r="O67" i="13" s="1"/>
  <c r="O66" i="19"/>
  <c r="O66" i="18" s="1"/>
  <c r="O66" i="11" s="1"/>
  <c r="O66" i="13" s="1"/>
  <c r="O65" i="19"/>
  <c r="O65" i="18" s="1"/>
  <c r="O65" i="11" s="1"/>
  <c r="O65" i="13" s="1"/>
  <c r="M85" i="19"/>
  <c r="M85" i="18" s="1"/>
  <c r="M85" i="11" s="1"/>
  <c r="M85" i="13" s="1"/>
  <c r="M84" i="19"/>
  <c r="M84" i="18" s="1"/>
  <c r="M84" i="11" s="1"/>
  <c r="M84" i="13" s="1"/>
  <c r="M83" i="19"/>
  <c r="M83" i="18" s="1"/>
  <c r="M83" i="11" s="1"/>
  <c r="M83" i="13" s="1"/>
  <c r="M82" i="19"/>
  <c r="M82" i="18" s="1"/>
  <c r="M82" i="11" s="1"/>
  <c r="M82" i="13" s="1"/>
  <c r="M81" i="19"/>
  <c r="M81" i="18" s="1"/>
  <c r="M81" i="11" s="1"/>
  <c r="M81" i="13" s="1"/>
  <c r="M80" i="19"/>
  <c r="M80" i="18" s="1"/>
  <c r="M80" i="11" s="1"/>
  <c r="M80" i="13" s="1"/>
  <c r="M79" i="19"/>
  <c r="M79" i="18" s="1"/>
  <c r="M79" i="11" s="1"/>
  <c r="M79" i="13" s="1"/>
  <c r="M78" i="19"/>
  <c r="M78" i="18" s="1"/>
  <c r="M78" i="11" s="1"/>
  <c r="M78" i="13" s="1"/>
  <c r="M77" i="19"/>
  <c r="M77" i="18" s="1"/>
  <c r="M77" i="11" s="1"/>
  <c r="M77" i="13" s="1"/>
  <c r="M76" i="19"/>
  <c r="M76" i="18" s="1"/>
  <c r="M76" i="11" s="1"/>
  <c r="M76" i="13" s="1"/>
  <c r="M75" i="19"/>
  <c r="M75" i="18" s="1"/>
  <c r="M75" i="11" s="1"/>
  <c r="M75" i="13" s="1"/>
  <c r="M74" i="19"/>
  <c r="M74" i="18" s="1"/>
  <c r="M74" i="11" s="1"/>
  <c r="M74" i="13" s="1"/>
  <c r="M73" i="19"/>
  <c r="M73" i="18" s="1"/>
  <c r="M73" i="11" s="1"/>
  <c r="M73" i="13" s="1"/>
  <c r="M72" i="19"/>
  <c r="M72" i="18" s="1"/>
  <c r="M72" i="11" s="1"/>
  <c r="M72" i="13" s="1"/>
  <c r="M71" i="19"/>
  <c r="M71" i="18" s="1"/>
  <c r="M71" i="11" s="1"/>
  <c r="M71" i="13" s="1"/>
  <c r="M70" i="19"/>
  <c r="M70" i="18" s="1"/>
  <c r="M70" i="11" s="1"/>
  <c r="M70" i="13" s="1"/>
  <c r="M69" i="19"/>
  <c r="M69" i="18" s="1"/>
  <c r="M69" i="11" s="1"/>
  <c r="M69" i="13" s="1"/>
  <c r="M68" i="19"/>
  <c r="M68" i="18" s="1"/>
  <c r="M68" i="11" s="1"/>
  <c r="M68" i="13" s="1"/>
  <c r="M67" i="19"/>
  <c r="M67" i="18" s="1"/>
  <c r="M67" i="11" s="1"/>
  <c r="M67" i="13" s="1"/>
  <c r="M66" i="19"/>
  <c r="M66" i="18" s="1"/>
  <c r="M66" i="11" s="1"/>
  <c r="M66" i="13" s="1"/>
  <c r="M65" i="19"/>
  <c r="M65" i="18" s="1"/>
  <c r="M65" i="11" s="1"/>
  <c r="M65" i="13" s="1"/>
  <c r="K85" i="19"/>
  <c r="K85" i="18" s="1"/>
  <c r="K85" i="11" s="1"/>
  <c r="K85" i="13" s="1"/>
  <c r="K84" i="19"/>
  <c r="K84" i="18" s="1"/>
  <c r="K84" i="11" s="1"/>
  <c r="K84" i="13" s="1"/>
  <c r="K83" i="19"/>
  <c r="K83" i="18" s="1"/>
  <c r="K83" i="11" s="1"/>
  <c r="K83" i="13" s="1"/>
  <c r="K82" i="19"/>
  <c r="K82" i="18" s="1"/>
  <c r="K82" i="11" s="1"/>
  <c r="K82" i="13" s="1"/>
  <c r="K81" i="19"/>
  <c r="K81" i="18" s="1"/>
  <c r="K81" i="11" s="1"/>
  <c r="K81" i="13" s="1"/>
  <c r="K80" i="19"/>
  <c r="K80" i="18" s="1"/>
  <c r="K80" i="11" s="1"/>
  <c r="K80" i="13" s="1"/>
  <c r="K79" i="19"/>
  <c r="K79" i="18" s="1"/>
  <c r="K79" i="11" s="1"/>
  <c r="K79" i="13" s="1"/>
  <c r="K78" i="19"/>
  <c r="K78" i="18" s="1"/>
  <c r="K78" i="11" s="1"/>
  <c r="K78" i="13" s="1"/>
  <c r="K77" i="19"/>
  <c r="K77" i="18" s="1"/>
  <c r="K77" i="11" s="1"/>
  <c r="K77" i="13" s="1"/>
  <c r="K76" i="19"/>
  <c r="K76" i="18" s="1"/>
  <c r="K76" i="11" s="1"/>
  <c r="K76" i="13" s="1"/>
  <c r="K75" i="19"/>
  <c r="K75" i="18" s="1"/>
  <c r="K75" i="11" s="1"/>
  <c r="K75" i="13" s="1"/>
  <c r="K74" i="19"/>
  <c r="K74" i="18" s="1"/>
  <c r="K74" i="11" s="1"/>
  <c r="K74" i="13" s="1"/>
  <c r="K73" i="19"/>
  <c r="K73" i="18" s="1"/>
  <c r="K73" i="11" s="1"/>
  <c r="K73" i="13" s="1"/>
  <c r="K72" i="19"/>
  <c r="K72" i="18" s="1"/>
  <c r="K72" i="11" s="1"/>
  <c r="K72" i="13" s="1"/>
  <c r="K71" i="19"/>
  <c r="K71" i="18" s="1"/>
  <c r="K71" i="11" s="1"/>
  <c r="K71" i="13" s="1"/>
  <c r="K70" i="19"/>
  <c r="K70" i="18" s="1"/>
  <c r="K70" i="11" s="1"/>
  <c r="K70" i="13" s="1"/>
  <c r="K69" i="19"/>
  <c r="K69" i="18" s="1"/>
  <c r="K69" i="11" s="1"/>
  <c r="K69" i="13" s="1"/>
  <c r="K68" i="19"/>
  <c r="K68" i="18" s="1"/>
  <c r="K68" i="11" s="1"/>
  <c r="K68" i="13" s="1"/>
  <c r="K67" i="19"/>
  <c r="K67" i="18" s="1"/>
  <c r="K67" i="11" s="1"/>
  <c r="K67" i="13" s="1"/>
  <c r="K66" i="19"/>
  <c r="K66" i="18" s="1"/>
  <c r="K66" i="11" s="1"/>
  <c r="K66" i="13" s="1"/>
  <c r="K65" i="19"/>
  <c r="K65" i="18" s="1"/>
  <c r="K65" i="11" s="1"/>
  <c r="K65" i="13" s="1"/>
  <c r="I85" i="19"/>
  <c r="I85" i="18" s="1"/>
  <c r="I85" i="11" s="1"/>
  <c r="I85" i="13" s="1"/>
  <c r="I84" i="19"/>
  <c r="I84" i="18" s="1"/>
  <c r="I84" i="11" s="1"/>
  <c r="I84" i="13" s="1"/>
  <c r="I83" i="19"/>
  <c r="I83" i="18" s="1"/>
  <c r="I83" i="11" s="1"/>
  <c r="I83" i="13" s="1"/>
  <c r="I82" i="19"/>
  <c r="I82" i="18" s="1"/>
  <c r="I82" i="11" s="1"/>
  <c r="I82" i="13" s="1"/>
  <c r="I81" i="19"/>
  <c r="I81" i="18" s="1"/>
  <c r="I81" i="11" s="1"/>
  <c r="I81" i="13" s="1"/>
  <c r="I80" i="19"/>
  <c r="I80" i="18" s="1"/>
  <c r="I80" i="11" s="1"/>
  <c r="I80" i="13" s="1"/>
  <c r="I79" i="19"/>
  <c r="I79" i="18" s="1"/>
  <c r="I79" i="11" s="1"/>
  <c r="I79" i="13" s="1"/>
  <c r="I78" i="19"/>
  <c r="I78" i="18" s="1"/>
  <c r="I78" i="11" s="1"/>
  <c r="I78" i="13" s="1"/>
  <c r="I77" i="19"/>
  <c r="I77" i="18" s="1"/>
  <c r="I77" i="11" s="1"/>
  <c r="I77" i="13" s="1"/>
  <c r="I76" i="19"/>
  <c r="I76" i="18" s="1"/>
  <c r="I76" i="11" s="1"/>
  <c r="I76" i="13" s="1"/>
  <c r="I75" i="19"/>
  <c r="I75" i="18" s="1"/>
  <c r="I75" i="11" s="1"/>
  <c r="I75" i="13" s="1"/>
  <c r="I74" i="19"/>
  <c r="I74" i="18" s="1"/>
  <c r="I74" i="11" s="1"/>
  <c r="I74" i="13" s="1"/>
  <c r="I73" i="19"/>
  <c r="I73" i="18" s="1"/>
  <c r="I73" i="11" s="1"/>
  <c r="I73" i="13" s="1"/>
  <c r="I72" i="19"/>
  <c r="I72" i="18" s="1"/>
  <c r="I72" i="11" s="1"/>
  <c r="I72" i="13" s="1"/>
  <c r="I71" i="19"/>
  <c r="I71" i="18" s="1"/>
  <c r="I71" i="11" s="1"/>
  <c r="I71" i="13" s="1"/>
  <c r="I70" i="19"/>
  <c r="I70" i="18" s="1"/>
  <c r="I70" i="11" s="1"/>
  <c r="I70" i="13" s="1"/>
  <c r="I69" i="19"/>
  <c r="I69" i="18" s="1"/>
  <c r="I69" i="11" s="1"/>
  <c r="I69" i="13" s="1"/>
  <c r="I68" i="19"/>
  <c r="I68" i="18" s="1"/>
  <c r="I68" i="11" s="1"/>
  <c r="I68" i="13" s="1"/>
  <c r="I67" i="19"/>
  <c r="I67" i="18" s="1"/>
  <c r="I67" i="11" s="1"/>
  <c r="I67" i="13" s="1"/>
  <c r="I66" i="19"/>
  <c r="I66" i="18" s="1"/>
  <c r="I66" i="11" s="1"/>
  <c r="I66" i="13" s="1"/>
  <c r="I65" i="19"/>
  <c r="I65" i="18" s="1"/>
  <c r="I65" i="11" s="1"/>
  <c r="I65" i="13" s="1"/>
  <c r="G85" i="19"/>
  <c r="G85" i="18" s="1"/>
  <c r="G85" i="11" s="1"/>
  <c r="G85" i="13" s="1"/>
  <c r="G84" i="19"/>
  <c r="G84" i="18" s="1"/>
  <c r="G84" i="11" s="1"/>
  <c r="G84" i="13" s="1"/>
  <c r="G83" i="19"/>
  <c r="G83" i="18" s="1"/>
  <c r="G83" i="11" s="1"/>
  <c r="G83" i="13" s="1"/>
  <c r="G82" i="19"/>
  <c r="G82" i="18" s="1"/>
  <c r="G82" i="11" s="1"/>
  <c r="G82" i="13" s="1"/>
  <c r="G81" i="19"/>
  <c r="G81" i="18" s="1"/>
  <c r="G81" i="11" s="1"/>
  <c r="G81" i="13" s="1"/>
  <c r="G80" i="19"/>
  <c r="G80" i="18" s="1"/>
  <c r="G80" i="11" s="1"/>
  <c r="G80" i="13" s="1"/>
  <c r="G79" i="19"/>
  <c r="G79" i="18" s="1"/>
  <c r="G79" i="11" s="1"/>
  <c r="G79" i="13" s="1"/>
  <c r="G78" i="19"/>
  <c r="G78" i="18" s="1"/>
  <c r="G78" i="11" s="1"/>
  <c r="G78" i="13" s="1"/>
  <c r="G77" i="19"/>
  <c r="G77" i="18" s="1"/>
  <c r="G77" i="11" s="1"/>
  <c r="G77" i="13" s="1"/>
  <c r="G76" i="19"/>
  <c r="G76" i="18" s="1"/>
  <c r="G76" i="11" s="1"/>
  <c r="G76" i="13" s="1"/>
  <c r="G75" i="19"/>
  <c r="G75" i="18" s="1"/>
  <c r="G75" i="11" s="1"/>
  <c r="G75" i="13" s="1"/>
  <c r="G74" i="19"/>
  <c r="G74" i="18" s="1"/>
  <c r="G74" i="11" s="1"/>
  <c r="G74" i="13" s="1"/>
  <c r="G73" i="19"/>
  <c r="G73" i="18" s="1"/>
  <c r="G73" i="11" s="1"/>
  <c r="G73" i="13" s="1"/>
  <c r="G72" i="19"/>
  <c r="G72" i="18" s="1"/>
  <c r="G72" i="11" s="1"/>
  <c r="G72" i="13" s="1"/>
  <c r="G71" i="19"/>
  <c r="G71" i="18" s="1"/>
  <c r="G71" i="11" s="1"/>
  <c r="G71" i="13" s="1"/>
  <c r="G70" i="19"/>
  <c r="G70" i="18" s="1"/>
  <c r="G70" i="11" s="1"/>
  <c r="G70" i="13" s="1"/>
  <c r="G69" i="19"/>
  <c r="G69" i="18" s="1"/>
  <c r="G69" i="11" s="1"/>
  <c r="G69" i="13" s="1"/>
  <c r="G68" i="19"/>
  <c r="G68" i="18" s="1"/>
  <c r="G68" i="11" s="1"/>
  <c r="G68" i="13" s="1"/>
  <c r="G67" i="19"/>
  <c r="G67" i="18" s="1"/>
  <c r="G67" i="11" s="1"/>
  <c r="G67" i="13" s="1"/>
  <c r="G66" i="19"/>
  <c r="G66" i="18" s="1"/>
  <c r="G66" i="11" s="1"/>
  <c r="G66" i="13" s="1"/>
  <c r="G65" i="19"/>
  <c r="G65" i="18" s="1"/>
  <c r="G65" i="11" s="1"/>
  <c r="G65" i="13" s="1"/>
  <c r="E85" i="19"/>
  <c r="E85" i="18" s="1"/>
  <c r="E85" i="11" s="1"/>
  <c r="E85" i="13" s="1"/>
  <c r="E84" i="19"/>
  <c r="E84" i="18" s="1"/>
  <c r="E84" i="11" s="1"/>
  <c r="E84" i="13" s="1"/>
  <c r="E83" i="19"/>
  <c r="E83" i="18" s="1"/>
  <c r="E83" i="11" s="1"/>
  <c r="E83" i="13" s="1"/>
  <c r="E82" i="19"/>
  <c r="E82" i="18" s="1"/>
  <c r="E82" i="11" s="1"/>
  <c r="E82" i="13" s="1"/>
  <c r="E81" i="19"/>
  <c r="E81" i="18" s="1"/>
  <c r="E81" i="11" s="1"/>
  <c r="E81" i="13" s="1"/>
  <c r="E80" i="19"/>
  <c r="E80" i="18" s="1"/>
  <c r="E80" i="11" s="1"/>
  <c r="E80" i="13" s="1"/>
  <c r="E79" i="19"/>
  <c r="E79" i="18" s="1"/>
  <c r="E79" i="11" s="1"/>
  <c r="E79" i="13" s="1"/>
  <c r="E78" i="19"/>
  <c r="E78" i="18" s="1"/>
  <c r="E78" i="11" s="1"/>
  <c r="E78" i="13" s="1"/>
  <c r="E77" i="19"/>
  <c r="E77" i="18" s="1"/>
  <c r="E77" i="11" s="1"/>
  <c r="E77" i="13" s="1"/>
  <c r="E76" i="19"/>
  <c r="E76" i="18" s="1"/>
  <c r="E76" i="11" s="1"/>
  <c r="E76" i="13" s="1"/>
  <c r="E75" i="19"/>
  <c r="E75" i="18" s="1"/>
  <c r="E75" i="11" s="1"/>
  <c r="E75" i="13" s="1"/>
  <c r="E74" i="19"/>
  <c r="E74" i="18" s="1"/>
  <c r="E74" i="11" s="1"/>
  <c r="E74" i="13" s="1"/>
  <c r="E73" i="19"/>
  <c r="E73" i="18" s="1"/>
  <c r="E73" i="11" s="1"/>
  <c r="E73" i="13" s="1"/>
  <c r="E72" i="19"/>
  <c r="E72" i="18" s="1"/>
  <c r="E72" i="11" s="1"/>
  <c r="E72" i="13" s="1"/>
  <c r="E71" i="19"/>
  <c r="E71" i="18" s="1"/>
  <c r="E71" i="11" s="1"/>
  <c r="E71" i="13" s="1"/>
  <c r="E70" i="19"/>
  <c r="E70" i="18" s="1"/>
  <c r="E70" i="11" s="1"/>
  <c r="E70" i="13" s="1"/>
  <c r="E69" i="19"/>
  <c r="E69" i="18" s="1"/>
  <c r="E69" i="11" s="1"/>
  <c r="E69" i="13" s="1"/>
  <c r="E68" i="19"/>
  <c r="E68" i="18" s="1"/>
  <c r="E68" i="11" s="1"/>
  <c r="E68" i="13" s="1"/>
  <c r="E67" i="19"/>
  <c r="E67" i="18" s="1"/>
  <c r="E67" i="11" s="1"/>
  <c r="E67" i="13" s="1"/>
  <c r="E66" i="19"/>
  <c r="E66" i="18" s="1"/>
  <c r="E66" i="11" s="1"/>
  <c r="E66" i="13" s="1"/>
  <c r="E65" i="19"/>
  <c r="E65" i="18" s="1"/>
  <c r="E65" i="11" s="1"/>
  <c r="E65" i="13" s="1"/>
  <c r="C85" i="19"/>
  <c r="C85" i="18" s="1"/>
  <c r="C85" i="11" s="1"/>
  <c r="C85" i="13" s="1"/>
  <c r="B85" i="19"/>
  <c r="B85" i="18" s="1"/>
  <c r="C84" i="19"/>
  <c r="C84" i="18" s="1"/>
  <c r="C84" i="11" s="1"/>
  <c r="C84" i="13" s="1"/>
  <c r="B84" i="19"/>
  <c r="B84" i="18" s="1"/>
  <c r="C83" i="19"/>
  <c r="C83" i="18" s="1"/>
  <c r="C83" i="11" s="1"/>
  <c r="C83" i="13" s="1"/>
  <c r="B83" i="19"/>
  <c r="B83" i="18" s="1"/>
  <c r="C82" i="19"/>
  <c r="C82" i="18" s="1"/>
  <c r="C82" i="11" s="1"/>
  <c r="C82" i="13" s="1"/>
  <c r="B82" i="19"/>
  <c r="B82" i="18" s="1"/>
  <c r="C81" i="19"/>
  <c r="C81" i="18" s="1"/>
  <c r="C81" i="11" s="1"/>
  <c r="C81" i="13" s="1"/>
  <c r="B81" i="19"/>
  <c r="B81" i="18" s="1"/>
  <c r="C80" i="19"/>
  <c r="C80" i="18" s="1"/>
  <c r="C80" i="11" s="1"/>
  <c r="C80" i="13" s="1"/>
  <c r="B80" i="19"/>
  <c r="B80" i="18" s="1"/>
  <c r="C79" i="19"/>
  <c r="C79" i="18" s="1"/>
  <c r="C79" i="11" s="1"/>
  <c r="C79" i="13" s="1"/>
  <c r="B79" i="19"/>
  <c r="B79" i="18" s="1"/>
  <c r="C78" i="19"/>
  <c r="C78" i="18" s="1"/>
  <c r="C78" i="11" s="1"/>
  <c r="C78" i="13" s="1"/>
  <c r="B78" i="19"/>
  <c r="B78" i="18" s="1"/>
  <c r="C77" i="19"/>
  <c r="C77" i="18" s="1"/>
  <c r="C77" i="11" s="1"/>
  <c r="C77" i="13" s="1"/>
  <c r="B77" i="19"/>
  <c r="B77" i="18" s="1"/>
  <c r="C76" i="19"/>
  <c r="C76" i="18" s="1"/>
  <c r="C76" i="11" s="1"/>
  <c r="C76" i="13" s="1"/>
  <c r="B76" i="19"/>
  <c r="B76" i="18" s="1"/>
  <c r="C75" i="19"/>
  <c r="C75" i="18" s="1"/>
  <c r="C75" i="11" s="1"/>
  <c r="C75" i="13" s="1"/>
  <c r="B75" i="19"/>
  <c r="B75" i="18" s="1"/>
  <c r="C74" i="19"/>
  <c r="C74" i="18" s="1"/>
  <c r="C74" i="11" s="1"/>
  <c r="C74" i="13" s="1"/>
  <c r="B74" i="19"/>
  <c r="B74" i="18" s="1"/>
  <c r="C73" i="19"/>
  <c r="C73" i="18" s="1"/>
  <c r="C73" i="11" s="1"/>
  <c r="C73" i="13" s="1"/>
  <c r="B73" i="19"/>
  <c r="B73" i="18" s="1"/>
  <c r="C72" i="19"/>
  <c r="C72" i="18" s="1"/>
  <c r="C72" i="11" s="1"/>
  <c r="C72" i="13" s="1"/>
  <c r="B72" i="19"/>
  <c r="B72" i="18" s="1"/>
  <c r="C71" i="19"/>
  <c r="C71" i="18" s="1"/>
  <c r="C71" i="11" s="1"/>
  <c r="C71" i="13" s="1"/>
  <c r="B71" i="19"/>
  <c r="B71" i="18" s="1"/>
  <c r="C70" i="19"/>
  <c r="C70" i="18" s="1"/>
  <c r="C70" i="11" s="1"/>
  <c r="C70" i="13" s="1"/>
  <c r="B70" i="19"/>
  <c r="B70" i="18" s="1"/>
  <c r="C69" i="19"/>
  <c r="C69" i="18" s="1"/>
  <c r="C69" i="11" s="1"/>
  <c r="C69" i="13" s="1"/>
  <c r="B69" i="19"/>
  <c r="B69" i="18" s="1"/>
  <c r="C68" i="19"/>
  <c r="C68" i="18" s="1"/>
  <c r="C68" i="11" s="1"/>
  <c r="C68" i="13" s="1"/>
  <c r="B68" i="19"/>
  <c r="B68" i="18" s="1"/>
  <c r="C67" i="19"/>
  <c r="C67" i="18" s="1"/>
  <c r="C67" i="11" s="1"/>
  <c r="C67" i="13" s="1"/>
  <c r="B67" i="19"/>
  <c r="B67" i="18" s="1"/>
  <c r="C66" i="19"/>
  <c r="C66" i="18" s="1"/>
  <c r="C66" i="11" s="1"/>
  <c r="C66" i="13" s="1"/>
  <c r="B66" i="19"/>
  <c r="B66" i="18" s="1"/>
  <c r="C65" i="19"/>
  <c r="C65" i="18" s="1"/>
  <c r="C65" i="11" s="1"/>
  <c r="C65" i="13" s="1"/>
  <c r="B65" i="19"/>
  <c r="B65" i="18" s="1"/>
  <c r="BI63" i="19"/>
  <c r="BI63" i="18" s="1"/>
  <c r="BI63" i="11" s="1"/>
  <c r="BI63" i="13" s="1"/>
  <c r="BI62" i="19"/>
  <c r="BI62" i="18" s="1"/>
  <c r="BI62" i="11" s="1"/>
  <c r="BI62" i="13" s="1"/>
  <c r="BI61" i="19"/>
  <c r="BI61" i="18" s="1"/>
  <c r="BI61" i="11" s="1"/>
  <c r="BI61" i="13" s="1"/>
  <c r="BI60" i="19"/>
  <c r="BI60" i="18" s="1"/>
  <c r="BI60" i="11" s="1"/>
  <c r="BI60" i="13" s="1"/>
  <c r="BG63" i="19"/>
  <c r="BG63" i="18" s="1"/>
  <c r="BG63" i="11" s="1"/>
  <c r="BG63" i="13" s="1"/>
  <c r="BG62" i="19"/>
  <c r="BG62" i="18" s="1"/>
  <c r="BG62" i="11" s="1"/>
  <c r="BG62" i="13" s="1"/>
  <c r="BG61" i="19"/>
  <c r="BG61" i="18" s="1"/>
  <c r="BG61" i="11" s="1"/>
  <c r="BG61" i="13" s="1"/>
  <c r="BG60" i="19"/>
  <c r="BG60" i="18" s="1"/>
  <c r="BG60" i="11" s="1"/>
  <c r="BG60" i="13" s="1"/>
  <c r="BE63" i="19"/>
  <c r="BE63" i="18" s="1"/>
  <c r="BE63" i="11" s="1"/>
  <c r="BE63" i="13" s="1"/>
  <c r="BE62" i="19"/>
  <c r="BE62" i="18" s="1"/>
  <c r="BE62" i="11" s="1"/>
  <c r="BE62" i="13" s="1"/>
  <c r="BE61" i="19"/>
  <c r="BE61" i="18" s="1"/>
  <c r="BE61" i="11" s="1"/>
  <c r="BE61" i="13" s="1"/>
  <c r="BE60" i="19"/>
  <c r="BE60" i="18" s="1"/>
  <c r="BE60" i="11" s="1"/>
  <c r="BE60" i="13" s="1"/>
  <c r="BC63" i="19"/>
  <c r="BC63" i="18" s="1"/>
  <c r="BC63" i="11" s="1"/>
  <c r="BC63" i="13" s="1"/>
  <c r="BC62" i="19"/>
  <c r="BC62" i="18" s="1"/>
  <c r="BC62" i="11" s="1"/>
  <c r="BC62" i="13" s="1"/>
  <c r="BC61" i="19"/>
  <c r="BC61" i="18" s="1"/>
  <c r="BC61" i="11" s="1"/>
  <c r="BC61" i="13" s="1"/>
  <c r="BC60" i="19"/>
  <c r="BC60" i="18" s="1"/>
  <c r="BC60" i="11" s="1"/>
  <c r="BC60" i="13" s="1"/>
  <c r="BA63" i="19"/>
  <c r="BA63" i="18" s="1"/>
  <c r="BA63" i="11" s="1"/>
  <c r="BA63" i="13" s="1"/>
  <c r="BA62" i="19"/>
  <c r="BA62" i="18" s="1"/>
  <c r="BA62" i="11" s="1"/>
  <c r="BA62" i="13" s="1"/>
  <c r="BA61" i="19"/>
  <c r="BA61" i="18" s="1"/>
  <c r="BA61" i="11" s="1"/>
  <c r="BA61" i="13" s="1"/>
  <c r="BA60" i="19"/>
  <c r="BA60" i="18" s="1"/>
  <c r="BA60" i="11" s="1"/>
  <c r="BA60" i="13" s="1"/>
  <c r="AY63" i="19"/>
  <c r="AY63" i="18" s="1"/>
  <c r="AY63" i="11" s="1"/>
  <c r="AY63" i="13" s="1"/>
  <c r="AY62" i="19"/>
  <c r="AY62" i="18" s="1"/>
  <c r="AY62" i="11" s="1"/>
  <c r="AY62" i="13" s="1"/>
  <c r="AY61" i="19"/>
  <c r="AY61" i="18" s="1"/>
  <c r="AY61" i="11" s="1"/>
  <c r="AY61" i="13" s="1"/>
  <c r="AY60" i="19"/>
  <c r="AY60" i="18" s="1"/>
  <c r="AY60" i="11" s="1"/>
  <c r="AY60" i="13" s="1"/>
  <c r="AW63" i="19"/>
  <c r="AW63" i="18" s="1"/>
  <c r="AW63" i="11" s="1"/>
  <c r="AW63" i="13" s="1"/>
  <c r="AW62" i="19"/>
  <c r="AW62" i="18" s="1"/>
  <c r="AW62" i="11" s="1"/>
  <c r="AW62" i="13" s="1"/>
  <c r="AW61" i="19"/>
  <c r="AW61" i="18" s="1"/>
  <c r="AW61" i="11" s="1"/>
  <c r="AW61" i="13" s="1"/>
  <c r="AW60" i="19"/>
  <c r="AW60" i="18" s="1"/>
  <c r="AW60" i="11" s="1"/>
  <c r="AW60" i="13" s="1"/>
  <c r="AU63" i="19"/>
  <c r="AU63" i="18" s="1"/>
  <c r="AU63" i="11" s="1"/>
  <c r="AU63" i="13" s="1"/>
  <c r="AU62" i="19"/>
  <c r="AU62" i="18" s="1"/>
  <c r="AU62" i="11" s="1"/>
  <c r="AU62" i="13" s="1"/>
  <c r="AU61" i="19"/>
  <c r="AU61" i="18" s="1"/>
  <c r="AU61" i="11" s="1"/>
  <c r="AU61" i="13" s="1"/>
  <c r="AU60" i="19"/>
  <c r="AU60" i="18" s="1"/>
  <c r="AU60" i="11" s="1"/>
  <c r="AU60" i="13" s="1"/>
  <c r="AS63" i="19"/>
  <c r="AS63" i="18" s="1"/>
  <c r="AS63" i="11" s="1"/>
  <c r="AS63" i="13" s="1"/>
  <c r="AS62" i="19"/>
  <c r="AS62" i="18" s="1"/>
  <c r="AS62" i="11" s="1"/>
  <c r="AS62" i="13" s="1"/>
  <c r="AS61" i="19"/>
  <c r="AS61" i="18" s="1"/>
  <c r="AS61" i="11" s="1"/>
  <c r="AS61" i="13" s="1"/>
  <c r="AS60" i="19"/>
  <c r="AS60" i="18" s="1"/>
  <c r="AS60" i="11" s="1"/>
  <c r="AS60" i="13" s="1"/>
  <c r="AQ63" i="19"/>
  <c r="AQ63" i="18" s="1"/>
  <c r="AQ63" i="11" s="1"/>
  <c r="AQ63" i="13" s="1"/>
  <c r="AQ62" i="19"/>
  <c r="AQ62" i="18" s="1"/>
  <c r="AQ62" i="11" s="1"/>
  <c r="AQ62" i="13" s="1"/>
  <c r="AQ61" i="19"/>
  <c r="AQ61" i="18" s="1"/>
  <c r="AQ61" i="11" s="1"/>
  <c r="AQ61" i="13" s="1"/>
  <c r="AQ60" i="19"/>
  <c r="AQ60" i="18" s="1"/>
  <c r="AQ60" i="11" s="1"/>
  <c r="AQ60" i="13" s="1"/>
  <c r="AO63" i="19"/>
  <c r="AO63" i="18" s="1"/>
  <c r="AO63" i="11" s="1"/>
  <c r="AO63" i="13" s="1"/>
  <c r="AO62" i="19"/>
  <c r="AO62" i="18" s="1"/>
  <c r="AO62" i="11" s="1"/>
  <c r="AO62" i="13" s="1"/>
  <c r="AO61" i="19"/>
  <c r="AO61" i="18" s="1"/>
  <c r="AO61" i="11" s="1"/>
  <c r="AO61" i="13" s="1"/>
  <c r="AO60" i="19"/>
  <c r="AO60" i="18" s="1"/>
  <c r="AO60" i="11" s="1"/>
  <c r="AO60" i="13" s="1"/>
  <c r="AM63" i="19"/>
  <c r="AM63" i="18" s="1"/>
  <c r="AM63" i="11" s="1"/>
  <c r="AM63" i="13" s="1"/>
  <c r="AM62" i="19"/>
  <c r="AM62" i="18" s="1"/>
  <c r="AM62" i="11" s="1"/>
  <c r="AM62" i="13" s="1"/>
  <c r="AM61" i="19"/>
  <c r="AM61" i="18" s="1"/>
  <c r="AM61" i="11" s="1"/>
  <c r="AM61" i="13" s="1"/>
  <c r="AM60" i="19"/>
  <c r="AM60" i="18" s="1"/>
  <c r="AM60" i="11" s="1"/>
  <c r="AM60" i="13" s="1"/>
  <c r="AK63" i="19"/>
  <c r="AK63" i="18" s="1"/>
  <c r="AK63" i="11" s="1"/>
  <c r="AK63" i="13" s="1"/>
  <c r="AK62" i="19"/>
  <c r="AK62" i="18" s="1"/>
  <c r="AK62" i="11" s="1"/>
  <c r="AK62" i="13" s="1"/>
  <c r="AK61" i="19"/>
  <c r="AK61" i="18" s="1"/>
  <c r="AK61" i="11" s="1"/>
  <c r="AK61" i="13" s="1"/>
  <c r="AK60" i="19"/>
  <c r="AK60" i="18" s="1"/>
  <c r="AK60" i="11" s="1"/>
  <c r="AK60" i="13" s="1"/>
  <c r="AI63" i="19"/>
  <c r="AI63" i="18" s="1"/>
  <c r="AI63" i="11" s="1"/>
  <c r="AI63" i="13" s="1"/>
  <c r="AI62" i="19"/>
  <c r="AI62" i="18" s="1"/>
  <c r="AI62" i="11" s="1"/>
  <c r="AI62" i="13" s="1"/>
  <c r="AI61" i="19"/>
  <c r="AI61" i="18" s="1"/>
  <c r="AI61" i="11" s="1"/>
  <c r="AI61" i="13" s="1"/>
  <c r="AI60" i="19"/>
  <c r="AI60" i="18" s="1"/>
  <c r="AI60" i="11" s="1"/>
  <c r="AI60" i="13" s="1"/>
  <c r="AG63" i="19"/>
  <c r="AG63" i="18" s="1"/>
  <c r="AG63" i="11" s="1"/>
  <c r="AG63" i="13" s="1"/>
  <c r="AG62" i="19"/>
  <c r="AG62" i="18" s="1"/>
  <c r="AG62" i="11" s="1"/>
  <c r="AG62" i="13" s="1"/>
  <c r="AG61" i="19"/>
  <c r="AG61" i="18" s="1"/>
  <c r="AG61" i="11" s="1"/>
  <c r="AG61" i="13" s="1"/>
  <c r="AG60" i="19"/>
  <c r="AG60" i="18" s="1"/>
  <c r="AG60" i="11" s="1"/>
  <c r="AG60" i="13" s="1"/>
  <c r="AE63" i="19"/>
  <c r="AE63" i="18" s="1"/>
  <c r="AE63" i="11" s="1"/>
  <c r="AE63" i="13" s="1"/>
  <c r="AE62" i="19"/>
  <c r="AE62" i="18" s="1"/>
  <c r="AE62" i="11" s="1"/>
  <c r="AE62" i="13" s="1"/>
  <c r="AE61" i="19"/>
  <c r="AE61" i="18" s="1"/>
  <c r="AE61" i="11" s="1"/>
  <c r="AE61" i="13" s="1"/>
  <c r="AE60" i="19"/>
  <c r="AE60" i="18" s="1"/>
  <c r="AE60" i="11" s="1"/>
  <c r="AE60" i="13" s="1"/>
  <c r="AC63" i="19"/>
  <c r="AC63" i="18" s="1"/>
  <c r="AC63" i="11" s="1"/>
  <c r="AC63" i="13" s="1"/>
  <c r="AC62" i="19"/>
  <c r="AC62" i="18" s="1"/>
  <c r="AC62" i="11" s="1"/>
  <c r="AC62" i="13" s="1"/>
  <c r="AC61" i="19"/>
  <c r="AC61" i="18" s="1"/>
  <c r="AC61" i="11" s="1"/>
  <c r="AC61" i="13" s="1"/>
  <c r="AC60" i="19"/>
  <c r="AC60" i="18" s="1"/>
  <c r="AC60" i="11" s="1"/>
  <c r="AC60" i="13" s="1"/>
  <c r="AA63" i="19"/>
  <c r="AA63" i="18" s="1"/>
  <c r="AA63" i="11" s="1"/>
  <c r="AA63" i="13" s="1"/>
  <c r="AA62" i="19"/>
  <c r="AA62" i="18" s="1"/>
  <c r="AA62" i="11" s="1"/>
  <c r="AA62" i="13" s="1"/>
  <c r="AA61" i="19"/>
  <c r="AA61" i="18" s="1"/>
  <c r="AA61" i="11" s="1"/>
  <c r="AA61" i="13" s="1"/>
  <c r="AA60" i="19"/>
  <c r="AA60" i="18" s="1"/>
  <c r="AA60" i="11" s="1"/>
  <c r="AA60" i="13" s="1"/>
  <c r="Y63" i="19"/>
  <c r="Y63" i="18" s="1"/>
  <c r="Y63" i="11" s="1"/>
  <c r="Y63" i="13" s="1"/>
  <c r="Y62" i="19"/>
  <c r="Y62" i="18" s="1"/>
  <c r="Y62" i="11" s="1"/>
  <c r="Y62" i="13" s="1"/>
  <c r="Y61" i="19"/>
  <c r="Y61" i="18" s="1"/>
  <c r="Y61" i="11" s="1"/>
  <c r="Y61" i="13" s="1"/>
  <c r="Y60" i="19"/>
  <c r="Y60" i="18" s="1"/>
  <c r="Y60" i="11" s="1"/>
  <c r="Y60" i="13" s="1"/>
  <c r="W63" i="19"/>
  <c r="W63" i="18" s="1"/>
  <c r="W63" i="11" s="1"/>
  <c r="W63" i="13" s="1"/>
  <c r="W62" i="19"/>
  <c r="W62" i="18" s="1"/>
  <c r="W62" i="11" s="1"/>
  <c r="W62" i="13" s="1"/>
  <c r="W61" i="19"/>
  <c r="W61" i="18" s="1"/>
  <c r="W61" i="11" s="1"/>
  <c r="W61" i="13" s="1"/>
  <c r="W60" i="19"/>
  <c r="W60" i="18" s="1"/>
  <c r="W60" i="11" s="1"/>
  <c r="W60" i="13" s="1"/>
  <c r="U63" i="19"/>
  <c r="U63" i="18" s="1"/>
  <c r="U63" i="11" s="1"/>
  <c r="U63" i="13" s="1"/>
  <c r="U62" i="19"/>
  <c r="U62" i="18" s="1"/>
  <c r="U62" i="11" s="1"/>
  <c r="U62" i="13" s="1"/>
  <c r="U61" i="19"/>
  <c r="U61" i="18" s="1"/>
  <c r="U61" i="11" s="1"/>
  <c r="U61" i="13" s="1"/>
  <c r="U60" i="19"/>
  <c r="U60" i="18" s="1"/>
  <c r="U60" i="11" s="1"/>
  <c r="U60" i="13" s="1"/>
  <c r="S63" i="19"/>
  <c r="S63" i="18" s="1"/>
  <c r="S63" i="11" s="1"/>
  <c r="S63" i="13" s="1"/>
  <c r="S62" i="19"/>
  <c r="S62" i="18" s="1"/>
  <c r="S62" i="11" s="1"/>
  <c r="S62" i="13" s="1"/>
  <c r="S61" i="19"/>
  <c r="S61" i="18" s="1"/>
  <c r="S61" i="11" s="1"/>
  <c r="S61" i="13" s="1"/>
  <c r="S60" i="19"/>
  <c r="S60" i="18" s="1"/>
  <c r="S60" i="11" s="1"/>
  <c r="S60" i="13" s="1"/>
  <c r="Q63" i="19"/>
  <c r="Q63" i="18" s="1"/>
  <c r="Q63" i="11" s="1"/>
  <c r="Q63" i="13" s="1"/>
  <c r="Q62" i="19"/>
  <c r="Q62" i="18" s="1"/>
  <c r="Q62" i="11" s="1"/>
  <c r="Q62" i="13" s="1"/>
  <c r="Q61" i="19"/>
  <c r="Q61" i="18" s="1"/>
  <c r="Q61" i="11" s="1"/>
  <c r="Q61" i="13" s="1"/>
  <c r="Q60" i="19"/>
  <c r="Q60" i="18" s="1"/>
  <c r="Q60" i="11" s="1"/>
  <c r="Q60" i="13" s="1"/>
  <c r="O63" i="19"/>
  <c r="O63" i="18" s="1"/>
  <c r="O63" i="11" s="1"/>
  <c r="O63" i="13" s="1"/>
  <c r="O62" i="19"/>
  <c r="O62" i="18" s="1"/>
  <c r="O62" i="11" s="1"/>
  <c r="O62" i="13" s="1"/>
  <c r="O61" i="19"/>
  <c r="O61" i="18" s="1"/>
  <c r="O61" i="11" s="1"/>
  <c r="O61" i="13" s="1"/>
  <c r="O60" i="19"/>
  <c r="O60" i="18" s="1"/>
  <c r="O60" i="11" s="1"/>
  <c r="O60" i="13" s="1"/>
  <c r="M63" i="19"/>
  <c r="M63" i="18" s="1"/>
  <c r="M63" i="11" s="1"/>
  <c r="M63" i="13" s="1"/>
  <c r="M62" i="19"/>
  <c r="M62" i="18" s="1"/>
  <c r="M62" i="11" s="1"/>
  <c r="M62" i="13" s="1"/>
  <c r="M61" i="19"/>
  <c r="M61" i="18" s="1"/>
  <c r="M61" i="11" s="1"/>
  <c r="M61" i="13" s="1"/>
  <c r="M60" i="19"/>
  <c r="M60" i="18" s="1"/>
  <c r="M60" i="11" s="1"/>
  <c r="M60" i="13" s="1"/>
  <c r="K63" i="19"/>
  <c r="K63" i="18" s="1"/>
  <c r="K63" i="11" s="1"/>
  <c r="K63" i="13" s="1"/>
  <c r="K62" i="19"/>
  <c r="K62" i="18" s="1"/>
  <c r="K62" i="11" s="1"/>
  <c r="K62" i="13" s="1"/>
  <c r="K61" i="19"/>
  <c r="K61" i="18" s="1"/>
  <c r="K61" i="11" s="1"/>
  <c r="K61" i="13" s="1"/>
  <c r="K60" i="19"/>
  <c r="K60" i="18" s="1"/>
  <c r="K60" i="11" s="1"/>
  <c r="K60" i="13" s="1"/>
  <c r="I63" i="19"/>
  <c r="I63" i="18" s="1"/>
  <c r="I63" i="11" s="1"/>
  <c r="I63" i="13" s="1"/>
  <c r="I62" i="19"/>
  <c r="I62" i="18" s="1"/>
  <c r="I62" i="11" s="1"/>
  <c r="I62" i="13" s="1"/>
  <c r="I61" i="19"/>
  <c r="I61" i="18" s="1"/>
  <c r="I61" i="11" s="1"/>
  <c r="I61" i="13" s="1"/>
  <c r="I60" i="19"/>
  <c r="I60" i="18" s="1"/>
  <c r="I60" i="11" s="1"/>
  <c r="I60" i="13" s="1"/>
  <c r="G63" i="19"/>
  <c r="G63" i="18" s="1"/>
  <c r="G63" i="11" s="1"/>
  <c r="G63" i="13" s="1"/>
  <c r="G62" i="19"/>
  <c r="G62" i="18" s="1"/>
  <c r="G62" i="11" s="1"/>
  <c r="G62" i="13" s="1"/>
  <c r="G61" i="19"/>
  <c r="G61" i="18" s="1"/>
  <c r="G61" i="11" s="1"/>
  <c r="G61" i="13" s="1"/>
  <c r="G60" i="19"/>
  <c r="G60" i="18" s="1"/>
  <c r="G60" i="11" s="1"/>
  <c r="G60" i="13" s="1"/>
  <c r="E63" i="19"/>
  <c r="E63" i="18" s="1"/>
  <c r="E63" i="11" s="1"/>
  <c r="E63" i="13" s="1"/>
  <c r="E62" i="19"/>
  <c r="E62" i="18" s="1"/>
  <c r="E62" i="11" s="1"/>
  <c r="E62" i="13" s="1"/>
  <c r="E61" i="19"/>
  <c r="E61" i="18" s="1"/>
  <c r="E61" i="11" s="1"/>
  <c r="E61" i="13" s="1"/>
  <c r="E60" i="19"/>
  <c r="E60" i="18" s="1"/>
  <c r="E60" i="11" s="1"/>
  <c r="E60" i="13" s="1"/>
  <c r="C63" i="19"/>
  <c r="C63" i="18" s="1"/>
  <c r="C63" i="11" s="1"/>
  <c r="C63" i="13" s="1"/>
  <c r="B63" i="19"/>
  <c r="B63" i="18" s="1"/>
  <c r="C62" i="19"/>
  <c r="C62" i="18" s="1"/>
  <c r="C62" i="11" s="1"/>
  <c r="C62" i="13" s="1"/>
  <c r="B62" i="19"/>
  <c r="B62" i="18" s="1"/>
  <c r="C61" i="19"/>
  <c r="C61" i="18" s="1"/>
  <c r="C61" i="11" s="1"/>
  <c r="C61" i="13" s="1"/>
  <c r="B61" i="19"/>
  <c r="B61" i="18" s="1"/>
  <c r="C60" i="19"/>
  <c r="C60" i="18" s="1"/>
  <c r="C60" i="11" s="1"/>
  <c r="C60" i="13" s="1"/>
  <c r="B60" i="19"/>
  <c r="B60" i="18" s="1"/>
  <c r="BJ6" i="19"/>
  <c r="BJ5" i="19"/>
  <c r="BI4" i="19"/>
  <c r="BH6" i="19"/>
  <c r="BH5" i="19"/>
  <c r="BG4" i="19"/>
  <c r="BF6" i="19"/>
  <c r="BF5" i="19"/>
  <c r="BE4" i="19"/>
  <c r="BD6" i="19"/>
  <c r="BD5" i="19"/>
  <c r="BC4" i="19"/>
  <c r="BB6" i="19"/>
  <c r="BB5" i="19"/>
  <c r="BA4" i="19"/>
  <c r="AZ6" i="19"/>
  <c r="AZ5" i="19"/>
  <c r="AY4" i="19"/>
  <c r="AX6" i="19"/>
  <c r="AX5" i="19"/>
  <c r="AW4" i="19"/>
  <c r="AV6" i="19"/>
  <c r="AV5" i="19"/>
  <c r="AU4" i="19"/>
  <c r="AT6" i="19"/>
  <c r="AT5" i="19"/>
  <c r="AS4" i="19"/>
  <c r="AR6" i="19"/>
  <c r="AR5" i="19"/>
  <c r="AQ4" i="19"/>
  <c r="AP6" i="19"/>
  <c r="AP5" i="19"/>
  <c r="AO4" i="19"/>
  <c r="AN6" i="19"/>
  <c r="AN5" i="19"/>
  <c r="AM4" i="19"/>
  <c r="AL6" i="19"/>
  <c r="AL5" i="19"/>
  <c r="AK4" i="19"/>
  <c r="AJ6" i="19"/>
  <c r="AJ5" i="19"/>
  <c r="AI4" i="19"/>
  <c r="AH6" i="19"/>
  <c r="AH5" i="19"/>
  <c r="AG4" i="19"/>
  <c r="AF6" i="19"/>
  <c r="AF5" i="19"/>
  <c r="AE4" i="19"/>
  <c r="AD6" i="19"/>
  <c r="AD5" i="19"/>
  <c r="AC4" i="19"/>
  <c r="AB6" i="19"/>
  <c r="AB5" i="19"/>
  <c r="AA4" i="19"/>
  <c r="Z6" i="19"/>
  <c r="Z5" i="19"/>
  <c r="Y4" i="19"/>
  <c r="X6" i="19"/>
  <c r="X5" i="19"/>
  <c r="W4" i="19"/>
  <c r="V6" i="19"/>
  <c r="V5" i="19"/>
  <c r="U4" i="19"/>
  <c r="T6" i="19"/>
  <c r="T5" i="19"/>
  <c r="S4" i="19"/>
  <c r="R6" i="19"/>
  <c r="R5" i="19"/>
  <c r="Q4" i="19"/>
  <c r="P6" i="19"/>
  <c r="P5" i="19"/>
  <c r="O4" i="19"/>
  <c r="N6" i="19"/>
  <c r="N5" i="19"/>
  <c r="M4" i="19"/>
  <c r="L6" i="19"/>
  <c r="L5" i="19"/>
  <c r="K4" i="19"/>
  <c r="J6" i="19"/>
  <c r="J5" i="19"/>
  <c r="I4" i="19"/>
  <c r="H6" i="19"/>
  <c r="H5" i="19"/>
  <c r="G4" i="19"/>
  <c r="F6" i="19"/>
  <c r="F5" i="19"/>
  <c r="E4" i="19"/>
  <c r="D6" i="19"/>
  <c r="D5" i="19"/>
  <c r="C4" i="19"/>
  <c r="BI58" i="12"/>
  <c r="BI58" i="17" s="1"/>
  <c r="BI58" i="19" s="1"/>
  <c r="BI58" i="18" s="1"/>
  <c r="BI58" i="11" s="1"/>
  <c r="BI58" i="13" s="1"/>
  <c r="BI57" i="12"/>
  <c r="BI57" i="17" s="1"/>
  <c r="BI57" i="19" s="1"/>
  <c r="BI57" i="18" s="1"/>
  <c r="BI57" i="11" s="1"/>
  <c r="BI57" i="13" s="1"/>
  <c r="BI56" i="12"/>
  <c r="BI56" i="17" s="1"/>
  <c r="BI56" i="19" s="1"/>
  <c r="BI56" i="18" s="1"/>
  <c r="BI56" i="11" s="1"/>
  <c r="BI56" i="13" s="1"/>
  <c r="BI55" i="12"/>
  <c r="BI55" i="17" s="1"/>
  <c r="BI55" i="19" s="1"/>
  <c r="BI55" i="18" s="1"/>
  <c r="BI55" i="11" s="1"/>
  <c r="BI55" i="13" s="1"/>
  <c r="BI54" i="12"/>
  <c r="BI54" i="17" s="1"/>
  <c r="BI54" i="19" s="1"/>
  <c r="BI54" i="18" s="1"/>
  <c r="BI54" i="11" s="1"/>
  <c r="BI54" i="13" s="1"/>
  <c r="BI53" i="12"/>
  <c r="BI53" i="17" s="1"/>
  <c r="BI53" i="19" s="1"/>
  <c r="BI53" i="18" s="1"/>
  <c r="BI53" i="11" s="1"/>
  <c r="BI53" i="13" s="1"/>
  <c r="BI52" i="12"/>
  <c r="BI52" i="17" s="1"/>
  <c r="BI52" i="19" s="1"/>
  <c r="BI52" i="18" s="1"/>
  <c r="BI52" i="11" s="1"/>
  <c r="BI52" i="13" s="1"/>
  <c r="BI51" i="12"/>
  <c r="BI51" i="17" s="1"/>
  <c r="BI51" i="19" s="1"/>
  <c r="BI51" i="18" s="1"/>
  <c r="BI51" i="11" s="1"/>
  <c r="BI51" i="13" s="1"/>
  <c r="BI50" i="12"/>
  <c r="BI50" i="17" s="1"/>
  <c r="BI50" i="19" s="1"/>
  <c r="BI50" i="18" s="1"/>
  <c r="BI50" i="11" s="1"/>
  <c r="BI50" i="13" s="1"/>
  <c r="BI49" i="12"/>
  <c r="BI49" i="17" s="1"/>
  <c r="BI49" i="19" s="1"/>
  <c r="BI49" i="18" s="1"/>
  <c r="BI49" i="11" s="1"/>
  <c r="BI49" i="13" s="1"/>
  <c r="BI48" i="12"/>
  <c r="BI48" i="17" s="1"/>
  <c r="BI48" i="19" s="1"/>
  <c r="BI48" i="18" s="1"/>
  <c r="BI48" i="11" s="1"/>
  <c r="BI48" i="13" s="1"/>
  <c r="BI47" i="12"/>
  <c r="BI47" i="17" s="1"/>
  <c r="BI47" i="19" s="1"/>
  <c r="BI47" i="18" s="1"/>
  <c r="BI47" i="11" s="1"/>
  <c r="BI47" i="13" s="1"/>
  <c r="BI46" i="12"/>
  <c r="BI46" i="17" s="1"/>
  <c r="BI46" i="19" s="1"/>
  <c r="BI46" i="18" s="1"/>
  <c r="BI46" i="11" s="1"/>
  <c r="BI46" i="13" s="1"/>
  <c r="BI45" i="12"/>
  <c r="BI45" i="17" s="1"/>
  <c r="BI45" i="19" s="1"/>
  <c r="BI45" i="18" s="1"/>
  <c r="BI45" i="11" s="1"/>
  <c r="BI45" i="13" s="1"/>
  <c r="BI44" i="12"/>
  <c r="BI44" i="17" s="1"/>
  <c r="BI44" i="19" s="1"/>
  <c r="BI44" i="18" s="1"/>
  <c r="BI44" i="11" s="1"/>
  <c r="BI44" i="13" s="1"/>
  <c r="BI43" i="12"/>
  <c r="BI43" i="17" s="1"/>
  <c r="BI43" i="19" s="1"/>
  <c r="BI43" i="18" s="1"/>
  <c r="BI43" i="11" s="1"/>
  <c r="BI43" i="13" s="1"/>
  <c r="BI42" i="12"/>
  <c r="BI42" i="17" s="1"/>
  <c r="BI42" i="19" s="1"/>
  <c r="BI42" i="18" s="1"/>
  <c r="BI42" i="11" s="1"/>
  <c r="BI42" i="13" s="1"/>
  <c r="BI41" i="12"/>
  <c r="BI41" i="17" s="1"/>
  <c r="BI41" i="19" s="1"/>
  <c r="BI41" i="18" s="1"/>
  <c r="BI41" i="11" s="1"/>
  <c r="BI41" i="13" s="1"/>
  <c r="BI40" i="12"/>
  <c r="BI40" i="17" s="1"/>
  <c r="BI40" i="19" s="1"/>
  <c r="BI40" i="18" s="1"/>
  <c r="BI40" i="11" s="1"/>
  <c r="BI40" i="13" s="1"/>
  <c r="BI39" i="12"/>
  <c r="BI39" i="17" s="1"/>
  <c r="BI39" i="19" s="1"/>
  <c r="BI39" i="18" s="1"/>
  <c r="BI39" i="11" s="1"/>
  <c r="BI39" i="13" s="1"/>
  <c r="BG58" i="12"/>
  <c r="BG58" i="17" s="1"/>
  <c r="BG58" i="19" s="1"/>
  <c r="BG58" i="18" s="1"/>
  <c r="BG58" i="11" s="1"/>
  <c r="BG58" i="13" s="1"/>
  <c r="BG57" i="12"/>
  <c r="BG57" i="17" s="1"/>
  <c r="BG57" i="19" s="1"/>
  <c r="BG57" i="18" s="1"/>
  <c r="BG57" i="11" s="1"/>
  <c r="BG57" i="13" s="1"/>
  <c r="BG56" i="12"/>
  <c r="BG56" i="17" s="1"/>
  <c r="BG56" i="19" s="1"/>
  <c r="BG56" i="18" s="1"/>
  <c r="BG56" i="11" s="1"/>
  <c r="BG56" i="13" s="1"/>
  <c r="BG55" i="12"/>
  <c r="BG55" i="17" s="1"/>
  <c r="BG55" i="19" s="1"/>
  <c r="BG55" i="18" s="1"/>
  <c r="BG55" i="11" s="1"/>
  <c r="BG55" i="13" s="1"/>
  <c r="BG54" i="12"/>
  <c r="BG54" i="17" s="1"/>
  <c r="BG54" i="19" s="1"/>
  <c r="BG54" i="18" s="1"/>
  <c r="BG54" i="11" s="1"/>
  <c r="BG54" i="13" s="1"/>
  <c r="BG53" i="12"/>
  <c r="BG53" i="17" s="1"/>
  <c r="BG53" i="19" s="1"/>
  <c r="BG53" i="18" s="1"/>
  <c r="BG53" i="11" s="1"/>
  <c r="BG53" i="13" s="1"/>
  <c r="BG52" i="12"/>
  <c r="BG52" i="17" s="1"/>
  <c r="BG52" i="19" s="1"/>
  <c r="BG52" i="18" s="1"/>
  <c r="BG52" i="11" s="1"/>
  <c r="BG52" i="13" s="1"/>
  <c r="BG51" i="12"/>
  <c r="BG51" i="17" s="1"/>
  <c r="BG51" i="19" s="1"/>
  <c r="BG51" i="18" s="1"/>
  <c r="BG51" i="11" s="1"/>
  <c r="BG51" i="13" s="1"/>
  <c r="BG50" i="12"/>
  <c r="BG50" i="17" s="1"/>
  <c r="BG50" i="19" s="1"/>
  <c r="BG50" i="18" s="1"/>
  <c r="BG50" i="11" s="1"/>
  <c r="BG50" i="13" s="1"/>
  <c r="BG49" i="12"/>
  <c r="BG49" i="17" s="1"/>
  <c r="BG49" i="19" s="1"/>
  <c r="BG49" i="18" s="1"/>
  <c r="BG49" i="11" s="1"/>
  <c r="BG49" i="13" s="1"/>
  <c r="BG48" i="12"/>
  <c r="BG48" i="17" s="1"/>
  <c r="BG48" i="19" s="1"/>
  <c r="BG48" i="18" s="1"/>
  <c r="BG48" i="11" s="1"/>
  <c r="BG48" i="13" s="1"/>
  <c r="BG47" i="12"/>
  <c r="BG47" i="17" s="1"/>
  <c r="BG47" i="19" s="1"/>
  <c r="BG47" i="18" s="1"/>
  <c r="BG47" i="11" s="1"/>
  <c r="BG47" i="13" s="1"/>
  <c r="BG46" i="12"/>
  <c r="BG46" i="17" s="1"/>
  <c r="BG46" i="19" s="1"/>
  <c r="BG46" i="18" s="1"/>
  <c r="BG46" i="11" s="1"/>
  <c r="BG46" i="13" s="1"/>
  <c r="BG45" i="12"/>
  <c r="BG45" i="17" s="1"/>
  <c r="BG45" i="19" s="1"/>
  <c r="BG45" i="18" s="1"/>
  <c r="BG45" i="11" s="1"/>
  <c r="BG45" i="13" s="1"/>
  <c r="BG44" i="12"/>
  <c r="BG44" i="17" s="1"/>
  <c r="BG44" i="19" s="1"/>
  <c r="BG44" i="18" s="1"/>
  <c r="BG44" i="11" s="1"/>
  <c r="BG44" i="13" s="1"/>
  <c r="BG43" i="12"/>
  <c r="BG43" i="17" s="1"/>
  <c r="BG43" i="19" s="1"/>
  <c r="BG43" i="18" s="1"/>
  <c r="BG43" i="11" s="1"/>
  <c r="BG43" i="13" s="1"/>
  <c r="BG42" i="12"/>
  <c r="BG42" i="17" s="1"/>
  <c r="BG42" i="19" s="1"/>
  <c r="BG42" i="18" s="1"/>
  <c r="BG42" i="11" s="1"/>
  <c r="BG42" i="13" s="1"/>
  <c r="BG41" i="12"/>
  <c r="BG41" i="17" s="1"/>
  <c r="BG41" i="19" s="1"/>
  <c r="BG41" i="18" s="1"/>
  <c r="BG41" i="11" s="1"/>
  <c r="BG41" i="13" s="1"/>
  <c r="BG40" i="12"/>
  <c r="BG40" i="17" s="1"/>
  <c r="BG40" i="19" s="1"/>
  <c r="BG40" i="18" s="1"/>
  <c r="BG40" i="11" s="1"/>
  <c r="BG40" i="13" s="1"/>
  <c r="BG39" i="12"/>
  <c r="BG39" i="17" s="1"/>
  <c r="BG39" i="19" s="1"/>
  <c r="BG39" i="18" s="1"/>
  <c r="BG39" i="11" s="1"/>
  <c r="BG39" i="13" s="1"/>
  <c r="BE58" i="12"/>
  <c r="BE58" i="17" s="1"/>
  <c r="BE58" i="19" s="1"/>
  <c r="BE58" i="18" s="1"/>
  <c r="BE58" i="11" s="1"/>
  <c r="BE58" i="13" s="1"/>
  <c r="BE57" i="12"/>
  <c r="BE57" i="17" s="1"/>
  <c r="BE57" i="19" s="1"/>
  <c r="BE57" i="18" s="1"/>
  <c r="BE57" i="11" s="1"/>
  <c r="BE57" i="13" s="1"/>
  <c r="BE56" i="12"/>
  <c r="BE56" i="17" s="1"/>
  <c r="BE56" i="19" s="1"/>
  <c r="BE56" i="18" s="1"/>
  <c r="BE56" i="11" s="1"/>
  <c r="BE56" i="13" s="1"/>
  <c r="BE55" i="12"/>
  <c r="BE55" i="17" s="1"/>
  <c r="BE55" i="19" s="1"/>
  <c r="BE55" i="18" s="1"/>
  <c r="BE55" i="11" s="1"/>
  <c r="BE55" i="13" s="1"/>
  <c r="BE54" i="12"/>
  <c r="BE54" i="17" s="1"/>
  <c r="BE54" i="19" s="1"/>
  <c r="BE54" i="18" s="1"/>
  <c r="BE54" i="11" s="1"/>
  <c r="BE54" i="13" s="1"/>
  <c r="BE53" i="12"/>
  <c r="BE53" i="17" s="1"/>
  <c r="BE53" i="19" s="1"/>
  <c r="BE53" i="18" s="1"/>
  <c r="BE53" i="11" s="1"/>
  <c r="BE53" i="13" s="1"/>
  <c r="BE52" i="12"/>
  <c r="BE52" i="17" s="1"/>
  <c r="BE52" i="19" s="1"/>
  <c r="BE52" i="18" s="1"/>
  <c r="BE52" i="11" s="1"/>
  <c r="BE52" i="13" s="1"/>
  <c r="BE51" i="12"/>
  <c r="BE51" i="17" s="1"/>
  <c r="BE51" i="19" s="1"/>
  <c r="BE51" i="18" s="1"/>
  <c r="BE51" i="11" s="1"/>
  <c r="BE51" i="13" s="1"/>
  <c r="BE50" i="12"/>
  <c r="BE50" i="17" s="1"/>
  <c r="BE50" i="19" s="1"/>
  <c r="BE50" i="18" s="1"/>
  <c r="BE50" i="11" s="1"/>
  <c r="BE50" i="13" s="1"/>
  <c r="BE49" i="12"/>
  <c r="BE49" i="17" s="1"/>
  <c r="BE49" i="19" s="1"/>
  <c r="BE49" i="18" s="1"/>
  <c r="BE49" i="11" s="1"/>
  <c r="BE49" i="13" s="1"/>
  <c r="BE48" i="12"/>
  <c r="BE48" i="17" s="1"/>
  <c r="BE48" i="19" s="1"/>
  <c r="BE48" i="18" s="1"/>
  <c r="BE48" i="11" s="1"/>
  <c r="BE48" i="13" s="1"/>
  <c r="BE47" i="12"/>
  <c r="BE47" i="17" s="1"/>
  <c r="BE47" i="19" s="1"/>
  <c r="BE47" i="18" s="1"/>
  <c r="BE47" i="11" s="1"/>
  <c r="BE47" i="13" s="1"/>
  <c r="BE46" i="12"/>
  <c r="BE46" i="17" s="1"/>
  <c r="BE46" i="19" s="1"/>
  <c r="BE46" i="18" s="1"/>
  <c r="BE46" i="11" s="1"/>
  <c r="BE46" i="13" s="1"/>
  <c r="BE45" i="12"/>
  <c r="BE45" i="17" s="1"/>
  <c r="BE45" i="19" s="1"/>
  <c r="BE45" i="18" s="1"/>
  <c r="BE45" i="11" s="1"/>
  <c r="BE45" i="13" s="1"/>
  <c r="BE44" i="12"/>
  <c r="BE44" i="17" s="1"/>
  <c r="BE44" i="19" s="1"/>
  <c r="BE44" i="18" s="1"/>
  <c r="BE44" i="11" s="1"/>
  <c r="BE44" i="13" s="1"/>
  <c r="BE43" i="12"/>
  <c r="BE43" i="17" s="1"/>
  <c r="BE43" i="19" s="1"/>
  <c r="BE43" i="18" s="1"/>
  <c r="BE43" i="11" s="1"/>
  <c r="BE43" i="13" s="1"/>
  <c r="BE42" i="12"/>
  <c r="BE42" i="17" s="1"/>
  <c r="BE42" i="19" s="1"/>
  <c r="BE42" i="18" s="1"/>
  <c r="BE42" i="11" s="1"/>
  <c r="BE42" i="13" s="1"/>
  <c r="BE41" i="12"/>
  <c r="BE41" i="17" s="1"/>
  <c r="BE41" i="19" s="1"/>
  <c r="BE41" i="18" s="1"/>
  <c r="BE41" i="11" s="1"/>
  <c r="BE41" i="13" s="1"/>
  <c r="BE40" i="12"/>
  <c r="BE40" i="17" s="1"/>
  <c r="BE40" i="19" s="1"/>
  <c r="BE40" i="18" s="1"/>
  <c r="BE40" i="11" s="1"/>
  <c r="BE40" i="13" s="1"/>
  <c r="BE39" i="12"/>
  <c r="BE39" i="17" s="1"/>
  <c r="BE39" i="19" s="1"/>
  <c r="BE39" i="18" s="1"/>
  <c r="BE39" i="11" s="1"/>
  <c r="BE39" i="13" s="1"/>
  <c r="BC58" i="12"/>
  <c r="BC58" i="17" s="1"/>
  <c r="BC58" i="19" s="1"/>
  <c r="BC58" i="18" s="1"/>
  <c r="BC58" i="11" s="1"/>
  <c r="BC58" i="13" s="1"/>
  <c r="BC57" i="12"/>
  <c r="BC57" i="17" s="1"/>
  <c r="BC57" i="19" s="1"/>
  <c r="BC57" i="18" s="1"/>
  <c r="BC57" i="11" s="1"/>
  <c r="BC57" i="13" s="1"/>
  <c r="BC56" i="12"/>
  <c r="BC56" i="17" s="1"/>
  <c r="BC56" i="19" s="1"/>
  <c r="BC56" i="18" s="1"/>
  <c r="BC56" i="11" s="1"/>
  <c r="BC56" i="13" s="1"/>
  <c r="BC55" i="12"/>
  <c r="BC55" i="17" s="1"/>
  <c r="BC55" i="19" s="1"/>
  <c r="BC55" i="18" s="1"/>
  <c r="BC55" i="11" s="1"/>
  <c r="BC55" i="13" s="1"/>
  <c r="BC54" i="12"/>
  <c r="BC54" i="17" s="1"/>
  <c r="BC54" i="19" s="1"/>
  <c r="BC54" i="18" s="1"/>
  <c r="BC54" i="11" s="1"/>
  <c r="BC54" i="13" s="1"/>
  <c r="BC53" i="12"/>
  <c r="BC53" i="17" s="1"/>
  <c r="BC53" i="19" s="1"/>
  <c r="BC53" i="18" s="1"/>
  <c r="BC53" i="11" s="1"/>
  <c r="BC53" i="13" s="1"/>
  <c r="BC52" i="12"/>
  <c r="BC52" i="17" s="1"/>
  <c r="BC52" i="19" s="1"/>
  <c r="BC52" i="18" s="1"/>
  <c r="BC52" i="11" s="1"/>
  <c r="BC52" i="13" s="1"/>
  <c r="BC51" i="12"/>
  <c r="BC51" i="17" s="1"/>
  <c r="BC51" i="19" s="1"/>
  <c r="BC51" i="18" s="1"/>
  <c r="BC51" i="11" s="1"/>
  <c r="BC51" i="13" s="1"/>
  <c r="BC50" i="12"/>
  <c r="BC50" i="17" s="1"/>
  <c r="BC50" i="19" s="1"/>
  <c r="BC50" i="18" s="1"/>
  <c r="BC50" i="11" s="1"/>
  <c r="BC50" i="13" s="1"/>
  <c r="BC49" i="12"/>
  <c r="BC49" i="17" s="1"/>
  <c r="BC49" i="19" s="1"/>
  <c r="BC49" i="18" s="1"/>
  <c r="BC49" i="11" s="1"/>
  <c r="BC49" i="13" s="1"/>
  <c r="BC48" i="12"/>
  <c r="BC48" i="17" s="1"/>
  <c r="BC48" i="19" s="1"/>
  <c r="BC48" i="18" s="1"/>
  <c r="BC48" i="11" s="1"/>
  <c r="BC48" i="13" s="1"/>
  <c r="BC47" i="12"/>
  <c r="BC47" i="17" s="1"/>
  <c r="BC47" i="19" s="1"/>
  <c r="BC47" i="18" s="1"/>
  <c r="BC47" i="11" s="1"/>
  <c r="BC47" i="13" s="1"/>
  <c r="BC46" i="12"/>
  <c r="BC46" i="17" s="1"/>
  <c r="BC46" i="19" s="1"/>
  <c r="BC46" i="18" s="1"/>
  <c r="BC46" i="11" s="1"/>
  <c r="BC46" i="13" s="1"/>
  <c r="BC45" i="12"/>
  <c r="BC45" i="17" s="1"/>
  <c r="BC45" i="19" s="1"/>
  <c r="BC45" i="18" s="1"/>
  <c r="BC45" i="11" s="1"/>
  <c r="BC45" i="13" s="1"/>
  <c r="BC44" i="12"/>
  <c r="BC44" i="17" s="1"/>
  <c r="BC44" i="19" s="1"/>
  <c r="BC44" i="18" s="1"/>
  <c r="BC44" i="11" s="1"/>
  <c r="BC44" i="13" s="1"/>
  <c r="BC43" i="12"/>
  <c r="BC43" i="17" s="1"/>
  <c r="BC43" i="19" s="1"/>
  <c r="BC43" i="18" s="1"/>
  <c r="BC43" i="11" s="1"/>
  <c r="BC43" i="13" s="1"/>
  <c r="BC42" i="12"/>
  <c r="BC42" i="17" s="1"/>
  <c r="BC42" i="19" s="1"/>
  <c r="BC42" i="18" s="1"/>
  <c r="BC42" i="11" s="1"/>
  <c r="BC42" i="13" s="1"/>
  <c r="BC41" i="12"/>
  <c r="BC41" i="17" s="1"/>
  <c r="BC41" i="19" s="1"/>
  <c r="BC41" i="18" s="1"/>
  <c r="BC41" i="11" s="1"/>
  <c r="BC41" i="13" s="1"/>
  <c r="BC40" i="12"/>
  <c r="BC40" i="17" s="1"/>
  <c r="BC40" i="19" s="1"/>
  <c r="BC40" i="18" s="1"/>
  <c r="BC40" i="11" s="1"/>
  <c r="BC40" i="13" s="1"/>
  <c r="BC39" i="12"/>
  <c r="BC39" i="17" s="1"/>
  <c r="BC39" i="19" s="1"/>
  <c r="BC39" i="18" s="1"/>
  <c r="BC39" i="11" s="1"/>
  <c r="BC39" i="13" s="1"/>
  <c r="BA58" i="12"/>
  <c r="BA58" i="17" s="1"/>
  <c r="BA58" i="19" s="1"/>
  <c r="BA58" i="18" s="1"/>
  <c r="BA58" i="11" s="1"/>
  <c r="BA58" i="13" s="1"/>
  <c r="BA57" i="12"/>
  <c r="BA57" i="17" s="1"/>
  <c r="BA57" i="19" s="1"/>
  <c r="BA57" i="18" s="1"/>
  <c r="BA57" i="11" s="1"/>
  <c r="BA57" i="13" s="1"/>
  <c r="BA56" i="12"/>
  <c r="BA56" i="17" s="1"/>
  <c r="BA56" i="19" s="1"/>
  <c r="BA56" i="18" s="1"/>
  <c r="BA56" i="11" s="1"/>
  <c r="BA56" i="13" s="1"/>
  <c r="BA55" i="12"/>
  <c r="BA55" i="17" s="1"/>
  <c r="BA55" i="19" s="1"/>
  <c r="BA55" i="18" s="1"/>
  <c r="BA55" i="11" s="1"/>
  <c r="BA55" i="13" s="1"/>
  <c r="BA54" i="12"/>
  <c r="BA54" i="17" s="1"/>
  <c r="BA54" i="19" s="1"/>
  <c r="BA54" i="18" s="1"/>
  <c r="BA54" i="11" s="1"/>
  <c r="BA54" i="13" s="1"/>
  <c r="BA53" i="12"/>
  <c r="BA53" i="17" s="1"/>
  <c r="BA53" i="19" s="1"/>
  <c r="BA53" i="18" s="1"/>
  <c r="BA53" i="11" s="1"/>
  <c r="BA53" i="13" s="1"/>
  <c r="BA52" i="12"/>
  <c r="BA52" i="17" s="1"/>
  <c r="BA52" i="19" s="1"/>
  <c r="BA52" i="18" s="1"/>
  <c r="BA52" i="11" s="1"/>
  <c r="BA52" i="13" s="1"/>
  <c r="BA51" i="12"/>
  <c r="BA51" i="17" s="1"/>
  <c r="BA51" i="19" s="1"/>
  <c r="BA51" i="18" s="1"/>
  <c r="BA51" i="11" s="1"/>
  <c r="BA51" i="13" s="1"/>
  <c r="BA50" i="12"/>
  <c r="BA50" i="17" s="1"/>
  <c r="BA50" i="19" s="1"/>
  <c r="BA50" i="18" s="1"/>
  <c r="BA50" i="11" s="1"/>
  <c r="BA50" i="13" s="1"/>
  <c r="BA49" i="12"/>
  <c r="BA49" i="17" s="1"/>
  <c r="BA49" i="19" s="1"/>
  <c r="BA49" i="18" s="1"/>
  <c r="BA49" i="11" s="1"/>
  <c r="BA49" i="13" s="1"/>
  <c r="BA48" i="12"/>
  <c r="BA48" i="17" s="1"/>
  <c r="BA48" i="19" s="1"/>
  <c r="BA48" i="18" s="1"/>
  <c r="BA48" i="11" s="1"/>
  <c r="BA48" i="13" s="1"/>
  <c r="BA47" i="12"/>
  <c r="BA47" i="17" s="1"/>
  <c r="BA47" i="19" s="1"/>
  <c r="BA47" i="18" s="1"/>
  <c r="BA47" i="11" s="1"/>
  <c r="BA47" i="13" s="1"/>
  <c r="BA46" i="12"/>
  <c r="BA46" i="17" s="1"/>
  <c r="BA46" i="19" s="1"/>
  <c r="BA46" i="18" s="1"/>
  <c r="BA46" i="11" s="1"/>
  <c r="BA46" i="13" s="1"/>
  <c r="BA45" i="12"/>
  <c r="BA45" i="17" s="1"/>
  <c r="BA45" i="19" s="1"/>
  <c r="BA45" i="18" s="1"/>
  <c r="BA45" i="11" s="1"/>
  <c r="BA45" i="13" s="1"/>
  <c r="BA44" i="12"/>
  <c r="BA44" i="17" s="1"/>
  <c r="BA44" i="19" s="1"/>
  <c r="BA44" i="18" s="1"/>
  <c r="BA44" i="11" s="1"/>
  <c r="BA44" i="13" s="1"/>
  <c r="BA43" i="12"/>
  <c r="BA43" i="17" s="1"/>
  <c r="BA43" i="19" s="1"/>
  <c r="BA43" i="18" s="1"/>
  <c r="BA43" i="11" s="1"/>
  <c r="BA43" i="13" s="1"/>
  <c r="BA42" i="12"/>
  <c r="BA42" i="17" s="1"/>
  <c r="BA42" i="19" s="1"/>
  <c r="BA42" i="18" s="1"/>
  <c r="BA42" i="11" s="1"/>
  <c r="BA42" i="13" s="1"/>
  <c r="BA41" i="12"/>
  <c r="BA41" i="17" s="1"/>
  <c r="BA41" i="19" s="1"/>
  <c r="BA41" i="18" s="1"/>
  <c r="BA41" i="11" s="1"/>
  <c r="BA41" i="13" s="1"/>
  <c r="BA40" i="12"/>
  <c r="BA40" i="17" s="1"/>
  <c r="BA40" i="19" s="1"/>
  <c r="BA40" i="18" s="1"/>
  <c r="BA40" i="11" s="1"/>
  <c r="BA40" i="13" s="1"/>
  <c r="BA39" i="12"/>
  <c r="BA39" i="17" s="1"/>
  <c r="BA39" i="19" s="1"/>
  <c r="BA39" i="18" s="1"/>
  <c r="BA39" i="11" s="1"/>
  <c r="BA39" i="13" s="1"/>
  <c r="AY58" i="12"/>
  <c r="AY58" i="17" s="1"/>
  <c r="AY58" i="19" s="1"/>
  <c r="AY58" i="18" s="1"/>
  <c r="AY58" i="11" s="1"/>
  <c r="AY58" i="13" s="1"/>
  <c r="AY57" i="12"/>
  <c r="AY57" i="17" s="1"/>
  <c r="AY57" i="19" s="1"/>
  <c r="AY57" i="18" s="1"/>
  <c r="AY57" i="11" s="1"/>
  <c r="AY57" i="13" s="1"/>
  <c r="AY56" i="12"/>
  <c r="AY56" i="17" s="1"/>
  <c r="AY56" i="19" s="1"/>
  <c r="AY56" i="18" s="1"/>
  <c r="AY56" i="11" s="1"/>
  <c r="AY56" i="13" s="1"/>
  <c r="AY55" i="12"/>
  <c r="AY55" i="17" s="1"/>
  <c r="AY55" i="19" s="1"/>
  <c r="AY55" i="18" s="1"/>
  <c r="AY55" i="11" s="1"/>
  <c r="AY55" i="13" s="1"/>
  <c r="AY54" i="12"/>
  <c r="AY54" i="17" s="1"/>
  <c r="AY54" i="19" s="1"/>
  <c r="AY54" i="18" s="1"/>
  <c r="AY54" i="11" s="1"/>
  <c r="AY54" i="13" s="1"/>
  <c r="AY53" i="12"/>
  <c r="AY53" i="17" s="1"/>
  <c r="AY53" i="19" s="1"/>
  <c r="AY53" i="18" s="1"/>
  <c r="AY53" i="11" s="1"/>
  <c r="AY53" i="13" s="1"/>
  <c r="AY52" i="12"/>
  <c r="AY52" i="17" s="1"/>
  <c r="AY52" i="19" s="1"/>
  <c r="AY52" i="18" s="1"/>
  <c r="AY52" i="11" s="1"/>
  <c r="AY52" i="13" s="1"/>
  <c r="AY51" i="12"/>
  <c r="AY51" i="17" s="1"/>
  <c r="AY51" i="19" s="1"/>
  <c r="AY51" i="18" s="1"/>
  <c r="AY51" i="11" s="1"/>
  <c r="AY51" i="13" s="1"/>
  <c r="AY50" i="12"/>
  <c r="AY50" i="17" s="1"/>
  <c r="AY50" i="19" s="1"/>
  <c r="AY50" i="18" s="1"/>
  <c r="AY50" i="11" s="1"/>
  <c r="AY50" i="13" s="1"/>
  <c r="AY49" i="12"/>
  <c r="AY49" i="17" s="1"/>
  <c r="AY49" i="19" s="1"/>
  <c r="AY49" i="18" s="1"/>
  <c r="AY49" i="11" s="1"/>
  <c r="AY49" i="13" s="1"/>
  <c r="AY48" i="12"/>
  <c r="AY48" i="17" s="1"/>
  <c r="AY48" i="19" s="1"/>
  <c r="AY48" i="18" s="1"/>
  <c r="AY48" i="11" s="1"/>
  <c r="AY48" i="13" s="1"/>
  <c r="AY47" i="12"/>
  <c r="AY47" i="17" s="1"/>
  <c r="AY47" i="19" s="1"/>
  <c r="AY47" i="18" s="1"/>
  <c r="AY47" i="11" s="1"/>
  <c r="AY47" i="13" s="1"/>
  <c r="AY46" i="12"/>
  <c r="AY46" i="17" s="1"/>
  <c r="AY46" i="19" s="1"/>
  <c r="AY46" i="18" s="1"/>
  <c r="AY46" i="11" s="1"/>
  <c r="AY46" i="13" s="1"/>
  <c r="AY45" i="12"/>
  <c r="AY45" i="17" s="1"/>
  <c r="AY45" i="19" s="1"/>
  <c r="AY45" i="18" s="1"/>
  <c r="AY45" i="11" s="1"/>
  <c r="AY45" i="13" s="1"/>
  <c r="AY44" i="12"/>
  <c r="AY44" i="17" s="1"/>
  <c r="AY44" i="19" s="1"/>
  <c r="AY44" i="18" s="1"/>
  <c r="AY44" i="11" s="1"/>
  <c r="AY44" i="13" s="1"/>
  <c r="AY43" i="12"/>
  <c r="AY43" i="17" s="1"/>
  <c r="AY43" i="19" s="1"/>
  <c r="AY43" i="18" s="1"/>
  <c r="AY43" i="11" s="1"/>
  <c r="AY43" i="13" s="1"/>
  <c r="AY42" i="12"/>
  <c r="AY42" i="17" s="1"/>
  <c r="AY42" i="19" s="1"/>
  <c r="AY42" i="18" s="1"/>
  <c r="AY42" i="11" s="1"/>
  <c r="AY42" i="13" s="1"/>
  <c r="AY41" i="12"/>
  <c r="AY41" i="17" s="1"/>
  <c r="AY41" i="19" s="1"/>
  <c r="AY41" i="18" s="1"/>
  <c r="AY41" i="11" s="1"/>
  <c r="AY41" i="13" s="1"/>
  <c r="AY40" i="12"/>
  <c r="AY40" i="17" s="1"/>
  <c r="AY40" i="19" s="1"/>
  <c r="AY40" i="18" s="1"/>
  <c r="AY40" i="11" s="1"/>
  <c r="AY40" i="13" s="1"/>
  <c r="AY39" i="12"/>
  <c r="AY39" i="17" s="1"/>
  <c r="AY39" i="19" s="1"/>
  <c r="AY39" i="18" s="1"/>
  <c r="AY39" i="11" s="1"/>
  <c r="AY39" i="13" s="1"/>
  <c r="AW58" i="12"/>
  <c r="AW58" i="17" s="1"/>
  <c r="AW58" i="19" s="1"/>
  <c r="AW58" i="18" s="1"/>
  <c r="AW58" i="11" s="1"/>
  <c r="AW58" i="13" s="1"/>
  <c r="AW57" i="12"/>
  <c r="AW57" i="17" s="1"/>
  <c r="AW57" i="19" s="1"/>
  <c r="AW57" i="18" s="1"/>
  <c r="AW57" i="11" s="1"/>
  <c r="AW57" i="13" s="1"/>
  <c r="AW56" i="12"/>
  <c r="AW56" i="17" s="1"/>
  <c r="AW56" i="19" s="1"/>
  <c r="AW56" i="18" s="1"/>
  <c r="AW56" i="11" s="1"/>
  <c r="AW56" i="13" s="1"/>
  <c r="AW55" i="12"/>
  <c r="AW55" i="17" s="1"/>
  <c r="AW55" i="19" s="1"/>
  <c r="AW55" i="18" s="1"/>
  <c r="AW55" i="11" s="1"/>
  <c r="AW55" i="13" s="1"/>
  <c r="AW54" i="12"/>
  <c r="AW54" i="17" s="1"/>
  <c r="AW54" i="19" s="1"/>
  <c r="AW54" i="18" s="1"/>
  <c r="AW54" i="11" s="1"/>
  <c r="AW54" i="13" s="1"/>
  <c r="AW53" i="12"/>
  <c r="AW53" i="17" s="1"/>
  <c r="AW53" i="19" s="1"/>
  <c r="AW53" i="18" s="1"/>
  <c r="AW53" i="11" s="1"/>
  <c r="AW53" i="13" s="1"/>
  <c r="AW52" i="12"/>
  <c r="AW52" i="17" s="1"/>
  <c r="AW52" i="19" s="1"/>
  <c r="AW52" i="18" s="1"/>
  <c r="AW52" i="11" s="1"/>
  <c r="AW52" i="13" s="1"/>
  <c r="AW51" i="12"/>
  <c r="AW51" i="17" s="1"/>
  <c r="AW51" i="19" s="1"/>
  <c r="AW51" i="18" s="1"/>
  <c r="AW51" i="11" s="1"/>
  <c r="AW51" i="13" s="1"/>
  <c r="AW50" i="12"/>
  <c r="AW50" i="17" s="1"/>
  <c r="AW50" i="19" s="1"/>
  <c r="AW50" i="18" s="1"/>
  <c r="AW50" i="11" s="1"/>
  <c r="AW50" i="13" s="1"/>
  <c r="AW49" i="12"/>
  <c r="AW49" i="17" s="1"/>
  <c r="AW49" i="19" s="1"/>
  <c r="AW49" i="18" s="1"/>
  <c r="AW49" i="11" s="1"/>
  <c r="AW49" i="13" s="1"/>
  <c r="AW48" i="12"/>
  <c r="AW48" i="17" s="1"/>
  <c r="AW48" i="19" s="1"/>
  <c r="AW48" i="18" s="1"/>
  <c r="AW48" i="11" s="1"/>
  <c r="AW48" i="13" s="1"/>
  <c r="AW47" i="12"/>
  <c r="AW47" i="17" s="1"/>
  <c r="AW47" i="19" s="1"/>
  <c r="AW47" i="18" s="1"/>
  <c r="AW47" i="11" s="1"/>
  <c r="AW47" i="13" s="1"/>
  <c r="AW46" i="12"/>
  <c r="AW46" i="17" s="1"/>
  <c r="AW46" i="19" s="1"/>
  <c r="AW46" i="18" s="1"/>
  <c r="AW46" i="11" s="1"/>
  <c r="AW46" i="13" s="1"/>
  <c r="AW45" i="12"/>
  <c r="AW45" i="17" s="1"/>
  <c r="AW45" i="19" s="1"/>
  <c r="AW45" i="18" s="1"/>
  <c r="AW45" i="11" s="1"/>
  <c r="AW45" i="13" s="1"/>
  <c r="AW44" i="12"/>
  <c r="AW44" i="17" s="1"/>
  <c r="AW44" i="19" s="1"/>
  <c r="AW44" i="18" s="1"/>
  <c r="AW44" i="11" s="1"/>
  <c r="AW44" i="13" s="1"/>
  <c r="AW43" i="12"/>
  <c r="AW43" i="17" s="1"/>
  <c r="AW43" i="19" s="1"/>
  <c r="AW43" i="18" s="1"/>
  <c r="AW43" i="11" s="1"/>
  <c r="AW43" i="13" s="1"/>
  <c r="AW42" i="12"/>
  <c r="AW42" i="17" s="1"/>
  <c r="AW42" i="19" s="1"/>
  <c r="AW42" i="18" s="1"/>
  <c r="AW42" i="11" s="1"/>
  <c r="AW42" i="13" s="1"/>
  <c r="AW41" i="12"/>
  <c r="AW41" i="17" s="1"/>
  <c r="AW41" i="19" s="1"/>
  <c r="AW41" i="18" s="1"/>
  <c r="AW41" i="11" s="1"/>
  <c r="AW41" i="13" s="1"/>
  <c r="AW40" i="12"/>
  <c r="AW40" i="17" s="1"/>
  <c r="AW40" i="19" s="1"/>
  <c r="AW40" i="18" s="1"/>
  <c r="AW40" i="11" s="1"/>
  <c r="AW40" i="13" s="1"/>
  <c r="AW39" i="12"/>
  <c r="AW39" i="17" s="1"/>
  <c r="AW39" i="19" s="1"/>
  <c r="AW39" i="18" s="1"/>
  <c r="AW39" i="11" s="1"/>
  <c r="AW39" i="13" s="1"/>
  <c r="AU58" i="12"/>
  <c r="AU58" i="17" s="1"/>
  <c r="AU58" i="19" s="1"/>
  <c r="AU58" i="18" s="1"/>
  <c r="AU58" i="11" s="1"/>
  <c r="AU58" i="13" s="1"/>
  <c r="AU57" i="12"/>
  <c r="AU57" i="17" s="1"/>
  <c r="AU57" i="19" s="1"/>
  <c r="AU57" i="18" s="1"/>
  <c r="AU57" i="11" s="1"/>
  <c r="AU57" i="13" s="1"/>
  <c r="AU56" i="12"/>
  <c r="AU56" i="17" s="1"/>
  <c r="AU56" i="19" s="1"/>
  <c r="AU56" i="18" s="1"/>
  <c r="AU56" i="11" s="1"/>
  <c r="AU56" i="13" s="1"/>
  <c r="AU55" i="12"/>
  <c r="AU55" i="17" s="1"/>
  <c r="AU55" i="19" s="1"/>
  <c r="AU55" i="18" s="1"/>
  <c r="AU55" i="11" s="1"/>
  <c r="AU55" i="13" s="1"/>
  <c r="AU54" i="12"/>
  <c r="AU54" i="17" s="1"/>
  <c r="AU54" i="19" s="1"/>
  <c r="AU54" i="18" s="1"/>
  <c r="AU54" i="11" s="1"/>
  <c r="AU54" i="13" s="1"/>
  <c r="AU53" i="12"/>
  <c r="AU53" i="17" s="1"/>
  <c r="AU53" i="19" s="1"/>
  <c r="AU53" i="18" s="1"/>
  <c r="AU53" i="11" s="1"/>
  <c r="AU53" i="13" s="1"/>
  <c r="AU52" i="12"/>
  <c r="AU52" i="17" s="1"/>
  <c r="AU52" i="19" s="1"/>
  <c r="AU52" i="18" s="1"/>
  <c r="AU52" i="11" s="1"/>
  <c r="AU52" i="13" s="1"/>
  <c r="AU51" i="12"/>
  <c r="AU51" i="17" s="1"/>
  <c r="AU51" i="19" s="1"/>
  <c r="AU51" i="18" s="1"/>
  <c r="AU51" i="11" s="1"/>
  <c r="AU51" i="13" s="1"/>
  <c r="AU50" i="12"/>
  <c r="AU50" i="17" s="1"/>
  <c r="AU50" i="19" s="1"/>
  <c r="AU50" i="18" s="1"/>
  <c r="AU50" i="11" s="1"/>
  <c r="AU50" i="13" s="1"/>
  <c r="AU49" i="12"/>
  <c r="AU49" i="17" s="1"/>
  <c r="AU49" i="19" s="1"/>
  <c r="AU49" i="18" s="1"/>
  <c r="AU49" i="11" s="1"/>
  <c r="AU49" i="13" s="1"/>
  <c r="AU48" i="12"/>
  <c r="AU48" i="17" s="1"/>
  <c r="AU48" i="19" s="1"/>
  <c r="AU48" i="18" s="1"/>
  <c r="AU48" i="11" s="1"/>
  <c r="AU48" i="13" s="1"/>
  <c r="AU47" i="12"/>
  <c r="AU47" i="17" s="1"/>
  <c r="AU47" i="19" s="1"/>
  <c r="AU47" i="18" s="1"/>
  <c r="AU47" i="11" s="1"/>
  <c r="AU47" i="13" s="1"/>
  <c r="AU46" i="12"/>
  <c r="AU46" i="17" s="1"/>
  <c r="AU46" i="19" s="1"/>
  <c r="AU46" i="18" s="1"/>
  <c r="AU46" i="11" s="1"/>
  <c r="AU46" i="13" s="1"/>
  <c r="AU45" i="12"/>
  <c r="AU45" i="17" s="1"/>
  <c r="AU45" i="19" s="1"/>
  <c r="AU45" i="18" s="1"/>
  <c r="AU45" i="11" s="1"/>
  <c r="AU45" i="13" s="1"/>
  <c r="AU44" i="12"/>
  <c r="AU44" i="17" s="1"/>
  <c r="AU44" i="19" s="1"/>
  <c r="AU44" i="18" s="1"/>
  <c r="AU44" i="11" s="1"/>
  <c r="AU44" i="13" s="1"/>
  <c r="AU43" i="12"/>
  <c r="AU43" i="17" s="1"/>
  <c r="AU43" i="19" s="1"/>
  <c r="AU43" i="18" s="1"/>
  <c r="AU43" i="11" s="1"/>
  <c r="AU43" i="13" s="1"/>
  <c r="AU42" i="12"/>
  <c r="AU42" i="17" s="1"/>
  <c r="AU42" i="19" s="1"/>
  <c r="AU42" i="18" s="1"/>
  <c r="AU42" i="11" s="1"/>
  <c r="AU42" i="13" s="1"/>
  <c r="AU41" i="12"/>
  <c r="AU41" i="17" s="1"/>
  <c r="AU41" i="19" s="1"/>
  <c r="AU41" i="18" s="1"/>
  <c r="AU41" i="11" s="1"/>
  <c r="AU41" i="13" s="1"/>
  <c r="AU40" i="12"/>
  <c r="AU40" i="17" s="1"/>
  <c r="AU40" i="19" s="1"/>
  <c r="AU40" i="18" s="1"/>
  <c r="AU40" i="11" s="1"/>
  <c r="AU40" i="13" s="1"/>
  <c r="AU39" i="12"/>
  <c r="AU39" i="17" s="1"/>
  <c r="AU39" i="19" s="1"/>
  <c r="AU39" i="18" s="1"/>
  <c r="AU39" i="11" s="1"/>
  <c r="AU39" i="13" s="1"/>
  <c r="AS58" i="12"/>
  <c r="AS58" i="17" s="1"/>
  <c r="AS58" i="19" s="1"/>
  <c r="AS58" i="18" s="1"/>
  <c r="AS58" i="11" s="1"/>
  <c r="AS58" i="13" s="1"/>
  <c r="AS57" i="12"/>
  <c r="AS57" i="17" s="1"/>
  <c r="AS57" i="19" s="1"/>
  <c r="AS57" i="18" s="1"/>
  <c r="AS57" i="11" s="1"/>
  <c r="AS57" i="13" s="1"/>
  <c r="AS56" i="12"/>
  <c r="AS56" i="17" s="1"/>
  <c r="AS56" i="19" s="1"/>
  <c r="AS56" i="18" s="1"/>
  <c r="AS56" i="11" s="1"/>
  <c r="AS56" i="13" s="1"/>
  <c r="AS55" i="12"/>
  <c r="AS55" i="17" s="1"/>
  <c r="AS55" i="19" s="1"/>
  <c r="AS55" i="18" s="1"/>
  <c r="AS55" i="11" s="1"/>
  <c r="AS55" i="13" s="1"/>
  <c r="AS54" i="12"/>
  <c r="AS54" i="17" s="1"/>
  <c r="AS54" i="19" s="1"/>
  <c r="AS54" i="18" s="1"/>
  <c r="AS54" i="11" s="1"/>
  <c r="AS54" i="13" s="1"/>
  <c r="AS53" i="12"/>
  <c r="AS53" i="17" s="1"/>
  <c r="AS53" i="19" s="1"/>
  <c r="AS53" i="18" s="1"/>
  <c r="AS53" i="11" s="1"/>
  <c r="AS53" i="13" s="1"/>
  <c r="AS52" i="12"/>
  <c r="AS52" i="17" s="1"/>
  <c r="AS52" i="19" s="1"/>
  <c r="AS52" i="18" s="1"/>
  <c r="AS52" i="11" s="1"/>
  <c r="AS52" i="13" s="1"/>
  <c r="AS51" i="12"/>
  <c r="AS51" i="17" s="1"/>
  <c r="AS51" i="19" s="1"/>
  <c r="AS51" i="18" s="1"/>
  <c r="AS51" i="11" s="1"/>
  <c r="AS51" i="13" s="1"/>
  <c r="AS50" i="12"/>
  <c r="AS50" i="17" s="1"/>
  <c r="AS50" i="19" s="1"/>
  <c r="AS50" i="18" s="1"/>
  <c r="AS50" i="11" s="1"/>
  <c r="AS50" i="13" s="1"/>
  <c r="AS49" i="12"/>
  <c r="AS49" i="17" s="1"/>
  <c r="AS49" i="19" s="1"/>
  <c r="AS49" i="18" s="1"/>
  <c r="AS49" i="11" s="1"/>
  <c r="AS49" i="13" s="1"/>
  <c r="AS48" i="12"/>
  <c r="AS48" i="17" s="1"/>
  <c r="AS48" i="19" s="1"/>
  <c r="AS48" i="18" s="1"/>
  <c r="AS48" i="11" s="1"/>
  <c r="AS48" i="13" s="1"/>
  <c r="AS47" i="12"/>
  <c r="AS47" i="17" s="1"/>
  <c r="AS47" i="19" s="1"/>
  <c r="AS47" i="18" s="1"/>
  <c r="AS47" i="11" s="1"/>
  <c r="AS47" i="13" s="1"/>
  <c r="AS46" i="12"/>
  <c r="AS46" i="17" s="1"/>
  <c r="AS46" i="19" s="1"/>
  <c r="AS46" i="18" s="1"/>
  <c r="AS46" i="11" s="1"/>
  <c r="AS46" i="13" s="1"/>
  <c r="AS45" i="12"/>
  <c r="AS45" i="17" s="1"/>
  <c r="AS45" i="19" s="1"/>
  <c r="AS45" i="18" s="1"/>
  <c r="AS45" i="11" s="1"/>
  <c r="AS45" i="13" s="1"/>
  <c r="AS44" i="12"/>
  <c r="AS44" i="17" s="1"/>
  <c r="AS44" i="19" s="1"/>
  <c r="AS44" i="18" s="1"/>
  <c r="AS44" i="11" s="1"/>
  <c r="AS44" i="13" s="1"/>
  <c r="AS43" i="12"/>
  <c r="AS43" i="17" s="1"/>
  <c r="AS43" i="19" s="1"/>
  <c r="AS43" i="18" s="1"/>
  <c r="AS43" i="11" s="1"/>
  <c r="AS43" i="13" s="1"/>
  <c r="AS42" i="12"/>
  <c r="AS42" i="17" s="1"/>
  <c r="AS42" i="19" s="1"/>
  <c r="AS42" i="18" s="1"/>
  <c r="AS42" i="11" s="1"/>
  <c r="AS42" i="13" s="1"/>
  <c r="AS41" i="12"/>
  <c r="AS41" i="17" s="1"/>
  <c r="AS41" i="19" s="1"/>
  <c r="AS41" i="18" s="1"/>
  <c r="AS41" i="11" s="1"/>
  <c r="AS41" i="13" s="1"/>
  <c r="AS40" i="12"/>
  <c r="AS40" i="17" s="1"/>
  <c r="AS40" i="19" s="1"/>
  <c r="AS40" i="18" s="1"/>
  <c r="AS40" i="11" s="1"/>
  <c r="AS40" i="13" s="1"/>
  <c r="AS39" i="12"/>
  <c r="AS39" i="17" s="1"/>
  <c r="AS39" i="19" s="1"/>
  <c r="AS39" i="18" s="1"/>
  <c r="AS39" i="11" s="1"/>
  <c r="AS39" i="13" s="1"/>
  <c r="AQ58" i="12"/>
  <c r="AQ58" i="17" s="1"/>
  <c r="AQ58" i="19" s="1"/>
  <c r="AQ58" i="18" s="1"/>
  <c r="AQ58" i="11" s="1"/>
  <c r="AQ58" i="13" s="1"/>
  <c r="AQ57" i="12"/>
  <c r="AQ57" i="17" s="1"/>
  <c r="AQ57" i="19" s="1"/>
  <c r="AQ57" i="18" s="1"/>
  <c r="AQ57" i="11" s="1"/>
  <c r="AQ57" i="13" s="1"/>
  <c r="AQ56" i="12"/>
  <c r="AQ56" i="17" s="1"/>
  <c r="AQ56" i="19" s="1"/>
  <c r="AQ56" i="18" s="1"/>
  <c r="AQ56" i="11" s="1"/>
  <c r="AQ56" i="13" s="1"/>
  <c r="AQ55" i="12"/>
  <c r="AQ55" i="17" s="1"/>
  <c r="AQ55" i="19" s="1"/>
  <c r="AQ55" i="18" s="1"/>
  <c r="AQ55" i="11" s="1"/>
  <c r="AQ55" i="13" s="1"/>
  <c r="AQ54" i="12"/>
  <c r="AQ54" i="17" s="1"/>
  <c r="AQ54" i="19" s="1"/>
  <c r="AQ54" i="18" s="1"/>
  <c r="AQ54" i="11" s="1"/>
  <c r="AQ54" i="13" s="1"/>
  <c r="AQ53" i="12"/>
  <c r="AQ53" i="17" s="1"/>
  <c r="AQ53" i="19" s="1"/>
  <c r="AQ53" i="18" s="1"/>
  <c r="AQ53" i="11" s="1"/>
  <c r="AQ53" i="13" s="1"/>
  <c r="AQ52" i="12"/>
  <c r="AQ52" i="17" s="1"/>
  <c r="AQ52" i="19" s="1"/>
  <c r="AQ52" i="18" s="1"/>
  <c r="AQ52" i="11" s="1"/>
  <c r="AQ52" i="13" s="1"/>
  <c r="AQ51" i="12"/>
  <c r="AQ51" i="17" s="1"/>
  <c r="AQ51" i="19" s="1"/>
  <c r="AQ51" i="18" s="1"/>
  <c r="AQ51" i="11" s="1"/>
  <c r="AQ51" i="13" s="1"/>
  <c r="AQ50" i="12"/>
  <c r="AQ50" i="17" s="1"/>
  <c r="AQ50" i="19" s="1"/>
  <c r="AQ50" i="18" s="1"/>
  <c r="AQ50" i="11" s="1"/>
  <c r="AQ50" i="13" s="1"/>
  <c r="AQ49" i="12"/>
  <c r="AQ49" i="17" s="1"/>
  <c r="AQ49" i="19" s="1"/>
  <c r="AQ49" i="18" s="1"/>
  <c r="AQ49" i="11" s="1"/>
  <c r="AQ49" i="13" s="1"/>
  <c r="AQ48" i="12"/>
  <c r="AQ48" i="17" s="1"/>
  <c r="AQ48" i="19" s="1"/>
  <c r="AQ48" i="18" s="1"/>
  <c r="AQ48" i="11" s="1"/>
  <c r="AQ48" i="13" s="1"/>
  <c r="AQ47" i="12"/>
  <c r="AQ47" i="17" s="1"/>
  <c r="AQ47" i="19" s="1"/>
  <c r="AQ47" i="18" s="1"/>
  <c r="AQ47" i="11" s="1"/>
  <c r="AQ47" i="13" s="1"/>
  <c r="AQ46" i="12"/>
  <c r="AQ46" i="17" s="1"/>
  <c r="AQ46" i="19" s="1"/>
  <c r="AQ46" i="18" s="1"/>
  <c r="AQ46" i="11" s="1"/>
  <c r="AQ46" i="13" s="1"/>
  <c r="AQ45" i="12"/>
  <c r="AQ45" i="17" s="1"/>
  <c r="AQ45" i="19" s="1"/>
  <c r="AQ45" i="18" s="1"/>
  <c r="AQ45" i="11" s="1"/>
  <c r="AQ45" i="13" s="1"/>
  <c r="AQ44" i="12"/>
  <c r="AQ44" i="17" s="1"/>
  <c r="AQ44" i="19" s="1"/>
  <c r="AQ44" i="18" s="1"/>
  <c r="AQ44" i="11" s="1"/>
  <c r="AQ44" i="13" s="1"/>
  <c r="AQ43" i="12"/>
  <c r="AQ43" i="17" s="1"/>
  <c r="AQ43" i="19" s="1"/>
  <c r="AQ43" i="18" s="1"/>
  <c r="AQ43" i="11" s="1"/>
  <c r="AQ43" i="13" s="1"/>
  <c r="AQ42" i="12"/>
  <c r="AQ42" i="17" s="1"/>
  <c r="AQ42" i="19" s="1"/>
  <c r="AQ42" i="18" s="1"/>
  <c r="AQ42" i="11" s="1"/>
  <c r="AQ42" i="13" s="1"/>
  <c r="AQ41" i="12"/>
  <c r="AQ41" i="17" s="1"/>
  <c r="AQ41" i="19" s="1"/>
  <c r="AQ41" i="18" s="1"/>
  <c r="AQ41" i="11" s="1"/>
  <c r="AQ41" i="13" s="1"/>
  <c r="AQ40" i="12"/>
  <c r="AQ40" i="17" s="1"/>
  <c r="AQ40" i="19" s="1"/>
  <c r="AQ40" i="18" s="1"/>
  <c r="AQ40" i="11" s="1"/>
  <c r="AQ40" i="13" s="1"/>
  <c r="AQ39" i="12"/>
  <c r="AQ39" i="17" s="1"/>
  <c r="AQ39" i="19" s="1"/>
  <c r="AQ39" i="18" s="1"/>
  <c r="AQ39" i="11" s="1"/>
  <c r="AQ39" i="13" s="1"/>
  <c r="AO58" i="12"/>
  <c r="AO58" i="17" s="1"/>
  <c r="AO58" i="19" s="1"/>
  <c r="AO58" i="18" s="1"/>
  <c r="AO58" i="11" s="1"/>
  <c r="AO58" i="13" s="1"/>
  <c r="AO57" i="12"/>
  <c r="AO57" i="17" s="1"/>
  <c r="AO57" i="19" s="1"/>
  <c r="AO57" i="18" s="1"/>
  <c r="AO57" i="11" s="1"/>
  <c r="AO57" i="13" s="1"/>
  <c r="AO56" i="12"/>
  <c r="AO56" i="17" s="1"/>
  <c r="AO56" i="19" s="1"/>
  <c r="AO56" i="18" s="1"/>
  <c r="AO56" i="11" s="1"/>
  <c r="AO56" i="13" s="1"/>
  <c r="AO55" i="12"/>
  <c r="AO55" i="17" s="1"/>
  <c r="AO55" i="19" s="1"/>
  <c r="AO55" i="18" s="1"/>
  <c r="AO55" i="11" s="1"/>
  <c r="AO55" i="13" s="1"/>
  <c r="AO54" i="12"/>
  <c r="AO54" i="17" s="1"/>
  <c r="AO54" i="19" s="1"/>
  <c r="AO54" i="18" s="1"/>
  <c r="AO54" i="11" s="1"/>
  <c r="AO54" i="13" s="1"/>
  <c r="AO53" i="12"/>
  <c r="AO53" i="17" s="1"/>
  <c r="AO53" i="19" s="1"/>
  <c r="AO53" i="18" s="1"/>
  <c r="AO53" i="11" s="1"/>
  <c r="AO53" i="13" s="1"/>
  <c r="AO52" i="12"/>
  <c r="AO52" i="17" s="1"/>
  <c r="AO52" i="19" s="1"/>
  <c r="AO52" i="18" s="1"/>
  <c r="AO52" i="11" s="1"/>
  <c r="AO52" i="13" s="1"/>
  <c r="AO51" i="12"/>
  <c r="AO51" i="17" s="1"/>
  <c r="AO51" i="19" s="1"/>
  <c r="AO51" i="18" s="1"/>
  <c r="AO51" i="11" s="1"/>
  <c r="AO51" i="13" s="1"/>
  <c r="AO50" i="12"/>
  <c r="AO50" i="17" s="1"/>
  <c r="AO50" i="19" s="1"/>
  <c r="AO50" i="18" s="1"/>
  <c r="AO50" i="11" s="1"/>
  <c r="AO50" i="13" s="1"/>
  <c r="AO49" i="12"/>
  <c r="AO49" i="17" s="1"/>
  <c r="AO49" i="19" s="1"/>
  <c r="AO49" i="18" s="1"/>
  <c r="AO49" i="11" s="1"/>
  <c r="AO49" i="13" s="1"/>
  <c r="AO48" i="12"/>
  <c r="AO48" i="17" s="1"/>
  <c r="AO48" i="19" s="1"/>
  <c r="AO48" i="18" s="1"/>
  <c r="AO48" i="11" s="1"/>
  <c r="AO48" i="13" s="1"/>
  <c r="AO47" i="12"/>
  <c r="AO47" i="17" s="1"/>
  <c r="AO47" i="19" s="1"/>
  <c r="AO47" i="18" s="1"/>
  <c r="AO47" i="11" s="1"/>
  <c r="AO47" i="13" s="1"/>
  <c r="AO46" i="12"/>
  <c r="AO46" i="17" s="1"/>
  <c r="AO46" i="19" s="1"/>
  <c r="AO46" i="18" s="1"/>
  <c r="AO46" i="11" s="1"/>
  <c r="AO46" i="13" s="1"/>
  <c r="AO45" i="12"/>
  <c r="AO45" i="17" s="1"/>
  <c r="AO45" i="19" s="1"/>
  <c r="AO45" i="18" s="1"/>
  <c r="AO45" i="11" s="1"/>
  <c r="AO45" i="13" s="1"/>
  <c r="AO44" i="12"/>
  <c r="AO44" i="17" s="1"/>
  <c r="AO44" i="19" s="1"/>
  <c r="AO44" i="18" s="1"/>
  <c r="AO44" i="11" s="1"/>
  <c r="AO44" i="13" s="1"/>
  <c r="AO43" i="12"/>
  <c r="AO43" i="17" s="1"/>
  <c r="AO43" i="19" s="1"/>
  <c r="AO43" i="18" s="1"/>
  <c r="AO43" i="11" s="1"/>
  <c r="AO43" i="13" s="1"/>
  <c r="AO42" i="12"/>
  <c r="AO42" i="17" s="1"/>
  <c r="AO42" i="19" s="1"/>
  <c r="AO42" i="18" s="1"/>
  <c r="AO42" i="11" s="1"/>
  <c r="AO42" i="13" s="1"/>
  <c r="AO41" i="12"/>
  <c r="AO41" i="17" s="1"/>
  <c r="AO41" i="19" s="1"/>
  <c r="AO41" i="18" s="1"/>
  <c r="AO41" i="11" s="1"/>
  <c r="AO41" i="13" s="1"/>
  <c r="AO40" i="12"/>
  <c r="AO40" i="17" s="1"/>
  <c r="AO40" i="19" s="1"/>
  <c r="AO40" i="18" s="1"/>
  <c r="AO40" i="11" s="1"/>
  <c r="AO40" i="13" s="1"/>
  <c r="AO39" i="12"/>
  <c r="AO39" i="17" s="1"/>
  <c r="AO39" i="19" s="1"/>
  <c r="AO39" i="18" s="1"/>
  <c r="AO39" i="11" s="1"/>
  <c r="AO39" i="13" s="1"/>
  <c r="AM58" i="12"/>
  <c r="AM58" i="17" s="1"/>
  <c r="AM58" i="19" s="1"/>
  <c r="AM58" i="18" s="1"/>
  <c r="AM58" i="11" s="1"/>
  <c r="AM58" i="13" s="1"/>
  <c r="AM57" i="12"/>
  <c r="AM57" i="17" s="1"/>
  <c r="AM57" i="19" s="1"/>
  <c r="AM57" i="18" s="1"/>
  <c r="AM57" i="11" s="1"/>
  <c r="AM57" i="13" s="1"/>
  <c r="AM56" i="12"/>
  <c r="AM56" i="17" s="1"/>
  <c r="AM56" i="19" s="1"/>
  <c r="AM56" i="18" s="1"/>
  <c r="AM56" i="11" s="1"/>
  <c r="AM56" i="13" s="1"/>
  <c r="AM55" i="12"/>
  <c r="AM55" i="17" s="1"/>
  <c r="AM55" i="19" s="1"/>
  <c r="AM55" i="18" s="1"/>
  <c r="AM55" i="11" s="1"/>
  <c r="AM55" i="13" s="1"/>
  <c r="AM54" i="12"/>
  <c r="AM54" i="17" s="1"/>
  <c r="AM54" i="19" s="1"/>
  <c r="AM54" i="18" s="1"/>
  <c r="AM54" i="11" s="1"/>
  <c r="AM54" i="13" s="1"/>
  <c r="AM53" i="12"/>
  <c r="AM53" i="17" s="1"/>
  <c r="AM53" i="19" s="1"/>
  <c r="AM53" i="18" s="1"/>
  <c r="AM53" i="11" s="1"/>
  <c r="AM53" i="13" s="1"/>
  <c r="AM52" i="12"/>
  <c r="AM52" i="17" s="1"/>
  <c r="AM52" i="19" s="1"/>
  <c r="AM52" i="18" s="1"/>
  <c r="AM52" i="11" s="1"/>
  <c r="AM52" i="13" s="1"/>
  <c r="AM51" i="12"/>
  <c r="AM51" i="17" s="1"/>
  <c r="AM51" i="19" s="1"/>
  <c r="AM51" i="18" s="1"/>
  <c r="AM51" i="11" s="1"/>
  <c r="AM51" i="13" s="1"/>
  <c r="AM50" i="12"/>
  <c r="AM50" i="17" s="1"/>
  <c r="AM50" i="19" s="1"/>
  <c r="AM50" i="18" s="1"/>
  <c r="AM50" i="11" s="1"/>
  <c r="AM50" i="13" s="1"/>
  <c r="AM49" i="12"/>
  <c r="AM49" i="17" s="1"/>
  <c r="AM49" i="19" s="1"/>
  <c r="AM49" i="18" s="1"/>
  <c r="AM49" i="11" s="1"/>
  <c r="AM49" i="13" s="1"/>
  <c r="AM48" i="12"/>
  <c r="AM48" i="17" s="1"/>
  <c r="AM48" i="19" s="1"/>
  <c r="AM48" i="18" s="1"/>
  <c r="AM48" i="11" s="1"/>
  <c r="AM48" i="13" s="1"/>
  <c r="AM47" i="12"/>
  <c r="AM47" i="17" s="1"/>
  <c r="AM47" i="19" s="1"/>
  <c r="AM47" i="18" s="1"/>
  <c r="AM47" i="11" s="1"/>
  <c r="AM47" i="13" s="1"/>
  <c r="AM46" i="12"/>
  <c r="AM46" i="17" s="1"/>
  <c r="AM46" i="19" s="1"/>
  <c r="AM46" i="18" s="1"/>
  <c r="AM46" i="11" s="1"/>
  <c r="AM46" i="13" s="1"/>
  <c r="AM45" i="12"/>
  <c r="AM45" i="17" s="1"/>
  <c r="AM45" i="19" s="1"/>
  <c r="AM45" i="18" s="1"/>
  <c r="AM45" i="11" s="1"/>
  <c r="AM45" i="13" s="1"/>
  <c r="AM44" i="12"/>
  <c r="AM44" i="17" s="1"/>
  <c r="AM44" i="19" s="1"/>
  <c r="AM44" i="18" s="1"/>
  <c r="AM44" i="11" s="1"/>
  <c r="AM44" i="13" s="1"/>
  <c r="AM43" i="12"/>
  <c r="AM43" i="17" s="1"/>
  <c r="AM43" i="19" s="1"/>
  <c r="AM43" i="18" s="1"/>
  <c r="AM43" i="11" s="1"/>
  <c r="AM43" i="13" s="1"/>
  <c r="AM42" i="12"/>
  <c r="AM42" i="17" s="1"/>
  <c r="AM42" i="19" s="1"/>
  <c r="AM42" i="18" s="1"/>
  <c r="AM42" i="11" s="1"/>
  <c r="AM42" i="13" s="1"/>
  <c r="AM41" i="12"/>
  <c r="AM41" i="17" s="1"/>
  <c r="AM41" i="19" s="1"/>
  <c r="AM41" i="18" s="1"/>
  <c r="AM41" i="11" s="1"/>
  <c r="AM41" i="13" s="1"/>
  <c r="AM40" i="12"/>
  <c r="AM40" i="17" s="1"/>
  <c r="AM40" i="19" s="1"/>
  <c r="AM40" i="18" s="1"/>
  <c r="AM40" i="11" s="1"/>
  <c r="AM40" i="13" s="1"/>
  <c r="AM39" i="12"/>
  <c r="AM39" i="17" s="1"/>
  <c r="AM39" i="19" s="1"/>
  <c r="AM39" i="18" s="1"/>
  <c r="AM39" i="11" s="1"/>
  <c r="AM39" i="13" s="1"/>
  <c r="AK58" i="12"/>
  <c r="AK58" i="17" s="1"/>
  <c r="AK58" i="19" s="1"/>
  <c r="AK58" i="18" s="1"/>
  <c r="AK58" i="11" s="1"/>
  <c r="AK58" i="13" s="1"/>
  <c r="AK57" i="12"/>
  <c r="AK57" i="17" s="1"/>
  <c r="AK57" i="19" s="1"/>
  <c r="AK57" i="18" s="1"/>
  <c r="AK57" i="11" s="1"/>
  <c r="AK57" i="13" s="1"/>
  <c r="AK56" i="12"/>
  <c r="AK56" i="17" s="1"/>
  <c r="AK56" i="19" s="1"/>
  <c r="AK56" i="18" s="1"/>
  <c r="AK56" i="11" s="1"/>
  <c r="AK56" i="13" s="1"/>
  <c r="AK55" i="12"/>
  <c r="AK55" i="17" s="1"/>
  <c r="AK55" i="19" s="1"/>
  <c r="AK55" i="18" s="1"/>
  <c r="AK55" i="11" s="1"/>
  <c r="AK55" i="13" s="1"/>
  <c r="AK54" i="12"/>
  <c r="AK54" i="17" s="1"/>
  <c r="AK54" i="19" s="1"/>
  <c r="AK54" i="18" s="1"/>
  <c r="AK54" i="11" s="1"/>
  <c r="AK54" i="13" s="1"/>
  <c r="AK53" i="12"/>
  <c r="AK53" i="17" s="1"/>
  <c r="AK53" i="19" s="1"/>
  <c r="AK53" i="18" s="1"/>
  <c r="AK53" i="11" s="1"/>
  <c r="AK53" i="13" s="1"/>
  <c r="AK52" i="12"/>
  <c r="AK52" i="17" s="1"/>
  <c r="AK52" i="19" s="1"/>
  <c r="AK52" i="18" s="1"/>
  <c r="AK52" i="11" s="1"/>
  <c r="AK52" i="13" s="1"/>
  <c r="AK51" i="12"/>
  <c r="AK51" i="17" s="1"/>
  <c r="AK51" i="19" s="1"/>
  <c r="AK51" i="18" s="1"/>
  <c r="AK51" i="11" s="1"/>
  <c r="AK51" i="13" s="1"/>
  <c r="AK50" i="12"/>
  <c r="AK50" i="17" s="1"/>
  <c r="AK50" i="19" s="1"/>
  <c r="AK50" i="18" s="1"/>
  <c r="AK50" i="11" s="1"/>
  <c r="AK50" i="13" s="1"/>
  <c r="AK49" i="12"/>
  <c r="AK49" i="17" s="1"/>
  <c r="AK49" i="19" s="1"/>
  <c r="AK49" i="18" s="1"/>
  <c r="AK49" i="11" s="1"/>
  <c r="AK49" i="13" s="1"/>
  <c r="AK48" i="12"/>
  <c r="AK48" i="17" s="1"/>
  <c r="AK48" i="19" s="1"/>
  <c r="AK48" i="18" s="1"/>
  <c r="AK48" i="11" s="1"/>
  <c r="AK48" i="13" s="1"/>
  <c r="AK47" i="12"/>
  <c r="AK47" i="17" s="1"/>
  <c r="AK47" i="19" s="1"/>
  <c r="AK47" i="18" s="1"/>
  <c r="AK47" i="11" s="1"/>
  <c r="AK47" i="13" s="1"/>
  <c r="AK46" i="12"/>
  <c r="AK46" i="17" s="1"/>
  <c r="AK46" i="19" s="1"/>
  <c r="AK46" i="18" s="1"/>
  <c r="AK46" i="11" s="1"/>
  <c r="AK46" i="13" s="1"/>
  <c r="AK45" i="12"/>
  <c r="AK45" i="17" s="1"/>
  <c r="AK45" i="19" s="1"/>
  <c r="AK45" i="18" s="1"/>
  <c r="AK45" i="11" s="1"/>
  <c r="AK45" i="13" s="1"/>
  <c r="AK44" i="12"/>
  <c r="AK44" i="17" s="1"/>
  <c r="AK44" i="19" s="1"/>
  <c r="AK44" i="18" s="1"/>
  <c r="AK44" i="11" s="1"/>
  <c r="AK44" i="13" s="1"/>
  <c r="AK43" i="12"/>
  <c r="AK43" i="17" s="1"/>
  <c r="AK43" i="19" s="1"/>
  <c r="AK43" i="18" s="1"/>
  <c r="AK43" i="11" s="1"/>
  <c r="AK43" i="13" s="1"/>
  <c r="AK42" i="12"/>
  <c r="AK42" i="17" s="1"/>
  <c r="AK42" i="19" s="1"/>
  <c r="AK42" i="18" s="1"/>
  <c r="AK42" i="11" s="1"/>
  <c r="AK42" i="13" s="1"/>
  <c r="AK41" i="12"/>
  <c r="AK41" i="17" s="1"/>
  <c r="AK41" i="19" s="1"/>
  <c r="AK41" i="18" s="1"/>
  <c r="AK41" i="11" s="1"/>
  <c r="AK41" i="13" s="1"/>
  <c r="AK40" i="12"/>
  <c r="AK40" i="17" s="1"/>
  <c r="AK40" i="19" s="1"/>
  <c r="AK40" i="18" s="1"/>
  <c r="AK40" i="11" s="1"/>
  <c r="AK40" i="13" s="1"/>
  <c r="AK39" i="12"/>
  <c r="AK39" i="17" s="1"/>
  <c r="AK39" i="19" s="1"/>
  <c r="AK39" i="18" s="1"/>
  <c r="AK39" i="11" s="1"/>
  <c r="AK39" i="13" s="1"/>
  <c r="AI58" i="12"/>
  <c r="AI58" i="17" s="1"/>
  <c r="AI58" i="19" s="1"/>
  <c r="AI58" i="18" s="1"/>
  <c r="AI58" i="11" s="1"/>
  <c r="AI58" i="13" s="1"/>
  <c r="AI57" i="12"/>
  <c r="AI57" i="17" s="1"/>
  <c r="AI57" i="19" s="1"/>
  <c r="AI57" i="18" s="1"/>
  <c r="AI57" i="11" s="1"/>
  <c r="AI57" i="13" s="1"/>
  <c r="AI56" i="12"/>
  <c r="AI56" i="17" s="1"/>
  <c r="AI56" i="19" s="1"/>
  <c r="AI56" i="18" s="1"/>
  <c r="AI56" i="11" s="1"/>
  <c r="AI56" i="13" s="1"/>
  <c r="AI55" i="12"/>
  <c r="AI55" i="17" s="1"/>
  <c r="AI55" i="19" s="1"/>
  <c r="AI55" i="18" s="1"/>
  <c r="AI55" i="11" s="1"/>
  <c r="AI55" i="13" s="1"/>
  <c r="AI54" i="12"/>
  <c r="AI54" i="17" s="1"/>
  <c r="AI54" i="19" s="1"/>
  <c r="AI54" i="18" s="1"/>
  <c r="AI54" i="11" s="1"/>
  <c r="AI54" i="13" s="1"/>
  <c r="AI53" i="12"/>
  <c r="AI53" i="17" s="1"/>
  <c r="AI53" i="19" s="1"/>
  <c r="AI53" i="18" s="1"/>
  <c r="AI53" i="11" s="1"/>
  <c r="AI53" i="13" s="1"/>
  <c r="AI52" i="12"/>
  <c r="AI52" i="17" s="1"/>
  <c r="AI52" i="19" s="1"/>
  <c r="AI52" i="18" s="1"/>
  <c r="AI52" i="11" s="1"/>
  <c r="AI52" i="13" s="1"/>
  <c r="AI51" i="12"/>
  <c r="AI51" i="17" s="1"/>
  <c r="AI51" i="19" s="1"/>
  <c r="AI51" i="18" s="1"/>
  <c r="AI51" i="11" s="1"/>
  <c r="AI51" i="13" s="1"/>
  <c r="AI50" i="12"/>
  <c r="AI50" i="17" s="1"/>
  <c r="AI50" i="19" s="1"/>
  <c r="AI50" i="18" s="1"/>
  <c r="AI50" i="11" s="1"/>
  <c r="AI50" i="13" s="1"/>
  <c r="AI49" i="12"/>
  <c r="AI49" i="17" s="1"/>
  <c r="AI49" i="19" s="1"/>
  <c r="AI49" i="18" s="1"/>
  <c r="AI49" i="11" s="1"/>
  <c r="AI49" i="13" s="1"/>
  <c r="AI48" i="12"/>
  <c r="AI48" i="17" s="1"/>
  <c r="AI48" i="19" s="1"/>
  <c r="AI48" i="18" s="1"/>
  <c r="AI48" i="11" s="1"/>
  <c r="AI48" i="13" s="1"/>
  <c r="AI47" i="12"/>
  <c r="AI47" i="17" s="1"/>
  <c r="AI47" i="19" s="1"/>
  <c r="AI47" i="18" s="1"/>
  <c r="AI47" i="11" s="1"/>
  <c r="AI47" i="13" s="1"/>
  <c r="AI46" i="12"/>
  <c r="AI46" i="17" s="1"/>
  <c r="AI46" i="19" s="1"/>
  <c r="AI46" i="18" s="1"/>
  <c r="AI46" i="11" s="1"/>
  <c r="AI46" i="13" s="1"/>
  <c r="AI45" i="12"/>
  <c r="AI45" i="17" s="1"/>
  <c r="AI45" i="19" s="1"/>
  <c r="AI45" i="18" s="1"/>
  <c r="AI45" i="11" s="1"/>
  <c r="AI45" i="13" s="1"/>
  <c r="AI44" i="12"/>
  <c r="AI44" i="17" s="1"/>
  <c r="AI44" i="19" s="1"/>
  <c r="AI44" i="18" s="1"/>
  <c r="AI44" i="11" s="1"/>
  <c r="AI44" i="13" s="1"/>
  <c r="AI43" i="12"/>
  <c r="AI43" i="17" s="1"/>
  <c r="AI43" i="19" s="1"/>
  <c r="AI43" i="18" s="1"/>
  <c r="AI43" i="11" s="1"/>
  <c r="AI43" i="13" s="1"/>
  <c r="AI42" i="12"/>
  <c r="AI42" i="17" s="1"/>
  <c r="AI42" i="19" s="1"/>
  <c r="AI42" i="18" s="1"/>
  <c r="AI42" i="11" s="1"/>
  <c r="AI42" i="13" s="1"/>
  <c r="AI41" i="12"/>
  <c r="AI41" i="17" s="1"/>
  <c r="AI41" i="19" s="1"/>
  <c r="AI41" i="18" s="1"/>
  <c r="AI41" i="11" s="1"/>
  <c r="AI41" i="13" s="1"/>
  <c r="AI40" i="12"/>
  <c r="AI40" i="17" s="1"/>
  <c r="AI40" i="19" s="1"/>
  <c r="AI40" i="18" s="1"/>
  <c r="AI40" i="11" s="1"/>
  <c r="AI40" i="13" s="1"/>
  <c r="AI39" i="12"/>
  <c r="AI39" i="17" s="1"/>
  <c r="AI39" i="19" s="1"/>
  <c r="AI39" i="18" s="1"/>
  <c r="AI39" i="11" s="1"/>
  <c r="AI39" i="13" s="1"/>
  <c r="AG58" i="12"/>
  <c r="AG58" i="17" s="1"/>
  <c r="AG58" i="19" s="1"/>
  <c r="AG58" i="18" s="1"/>
  <c r="AG58" i="11" s="1"/>
  <c r="AG58" i="13" s="1"/>
  <c r="AG57" i="12"/>
  <c r="AG57" i="17" s="1"/>
  <c r="AG57" i="19" s="1"/>
  <c r="AG57" i="18" s="1"/>
  <c r="AG57" i="11" s="1"/>
  <c r="AG57" i="13" s="1"/>
  <c r="AG56" i="12"/>
  <c r="AG56" i="17" s="1"/>
  <c r="AG56" i="19" s="1"/>
  <c r="AG56" i="18" s="1"/>
  <c r="AG56" i="11" s="1"/>
  <c r="AG56" i="13" s="1"/>
  <c r="AG55" i="12"/>
  <c r="AG55" i="17" s="1"/>
  <c r="AG55" i="19" s="1"/>
  <c r="AG55" i="18" s="1"/>
  <c r="AG55" i="11" s="1"/>
  <c r="AG55" i="13" s="1"/>
  <c r="AG54" i="12"/>
  <c r="AG54" i="17" s="1"/>
  <c r="AG54" i="19" s="1"/>
  <c r="AG54" i="18" s="1"/>
  <c r="AG54" i="11" s="1"/>
  <c r="AG54" i="13" s="1"/>
  <c r="AG53" i="12"/>
  <c r="AG53" i="17" s="1"/>
  <c r="AG53" i="19" s="1"/>
  <c r="AG53" i="18" s="1"/>
  <c r="AG53" i="11" s="1"/>
  <c r="AG53" i="13" s="1"/>
  <c r="AG52" i="12"/>
  <c r="AG52" i="17" s="1"/>
  <c r="AG52" i="19" s="1"/>
  <c r="AG52" i="18" s="1"/>
  <c r="AG52" i="11" s="1"/>
  <c r="AG52" i="13" s="1"/>
  <c r="AG51" i="12"/>
  <c r="AG51" i="17" s="1"/>
  <c r="AG51" i="19" s="1"/>
  <c r="AG51" i="18" s="1"/>
  <c r="AG51" i="11" s="1"/>
  <c r="AG51" i="13" s="1"/>
  <c r="AG50" i="12"/>
  <c r="AG50" i="17" s="1"/>
  <c r="AG50" i="19" s="1"/>
  <c r="AG50" i="18" s="1"/>
  <c r="AG50" i="11" s="1"/>
  <c r="AG50" i="13" s="1"/>
  <c r="AG49" i="12"/>
  <c r="AG49" i="17" s="1"/>
  <c r="AG49" i="19" s="1"/>
  <c r="AG49" i="18" s="1"/>
  <c r="AG49" i="11" s="1"/>
  <c r="AG49" i="13" s="1"/>
  <c r="AG48" i="12"/>
  <c r="AG48" i="17" s="1"/>
  <c r="AG48" i="19" s="1"/>
  <c r="AG48" i="18" s="1"/>
  <c r="AG48" i="11" s="1"/>
  <c r="AG48" i="13" s="1"/>
  <c r="AG47" i="12"/>
  <c r="AG47" i="17" s="1"/>
  <c r="AG47" i="19" s="1"/>
  <c r="AG47" i="18" s="1"/>
  <c r="AG47" i="11" s="1"/>
  <c r="AG47" i="13" s="1"/>
  <c r="AG46" i="12"/>
  <c r="AG46" i="17" s="1"/>
  <c r="AG46" i="19" s="1"/>
  <c r="AG46" i="18" s="1"/>
  <c r="AG46" i="11" s="1"/>
  <c r="AG46" i="13" s="1"/>
  <c r="AG45" i="12"/>
  <c r="AG45" i="17" s="1"/>
  <c r="AG45" i="19" s="1"/>
  <c r="AG45" i="18" s="1"/>
  <c r="AG45" i="11" s="1"/>
  <c r="AG45" i="13" s="1"/>
  <c r="AG44" i="12"/>
  <c r="AG44" i="17" s="1"/>
  <c r="AG44" i="19" s="1"/>
  <c r="AG44" i="18" s="1"/>
  <c r="AG44" i="11" s="1"/>
  <c r="AG44" i="13" s="1"/>
  <c r="AG43" i="12"/>
  <c r="AG43" i="17" s="1"/>
  <c r="AG43" i="19" s="1"/>
  <c r="AG43" i="18" s="1"/>
  <c r="AG43" i="11" s="1"/>
  <c r="AG43" i="13" s="1"/>
  <c r="AG42" i="12"/>
  <c r="AG42" i="17" s="1"/>
  <c r="AG42" i="19" s="1"/>
  <c r="AG42" i="18" s="1"/>
  <c r="AG42" i="11" s="1"/>
  <c r="AG42" i="13" s="1"/>
  <c r="AG41" i="12"/>
  <c r="AG41" i="17" s="1"/>
  <c r="AG41" i="19" s="1"/>
  <c r="AG41" i="18" s="1"/>
  <c r="AG41" i="11" s="1"/>
  <c r="AG41" i="13" s="1"/>
  <c r="AG40" i="12"/>
  <c r="AG40" i="17" s="1"/>
  <c r="AG40" i="19" s="1"/>
  <c r="AG40" i="18" s="1"/>
  <c r="AG40" i="11" s="1"/>
  <c r="AG40" i="13" s="1"/>
  <c r="AG39" i="12"/>
  <c r="AG39" i="17" s="1"/>
  <c r="AG39" i="19" s="1"/>
  <c r="AG39" i="18" s="1"/>
  <c r="AG39" i="11" s="1"/>
  <c r="AG39" i="13" s="1"/>
  <c r="AE58" i="12"/>
  <c r="AE58" i="17" s="1"/>
  <c r="AE58" i="19" s="1"/>
  <c r="AE58" i="18" s="1"/>
  <c r="AE58" i="11" s="1"/>
  <c r="AE58" i="13" s="1"/>
  <c r="AE57" i="12"/>
  <c r="AE57" i="17" s="1"/>
  <c r="AE57" i="19" s="1"/>
  <c r="AE57" i="18" s="1"/>
  <c r="AE57" i="11" s="1"/>
  <c r="AE57" i="13" s="1"/>
  <c r="AE56" i="12"/>
  <c r="AE56" i="17" s="1"/>
  <c r="AE56" i="19" s="1"/>
  <c r="AE56" i="18" s="1"/>
  <c r="AE56" i="11" s="1"/>
  <c r="AE56" i="13" s="1"/>
  <c r="AE55" i="12"/>
  <c r="AE55" i="17" s="1"/>
  <c r="AE55" i="19" s="1"/>
  <c r="AE55" i="18" s="1"/>
  <c r="AE55" i="11" s="1"/>
  <c r="AE55" i="13" s="1"/>
  <c r="AE54" i="12"/>
  <c r="AE54" i="17" s="1"/>
  <c r="AE54" i="19" s="1"/>
  <c r="AE54" i="18" s="1"/>
  <c r="AE54" i="11" s="1"/>
  <c r="AE54" i="13" s="1"/>
  <c r="AE53" i="12"/>
  <c r="AE53" i="17" s="1"/>
  <c r="AE53" i="19" s="1"/>
  <c r="AE53" i="18" s="1"/>
  <c r="AE53" i="11" s="1"/>
  <c r="AE53" i="13" s="1"/>
  <c r="AE52" i="12"/>
  <c r="AE52" i="17" s="1"/>
  <c r="AE52" i="19" s="1"/>
  <c r="AE52" i="18" s="1"/>
  <c r="AE52" i="11" s="1"/>
  <c r="AE52" i="13" s="1"/>
  <c r="AE51" i="12"/>
  <c r="AE51" i="17" s="1"/>
  <c r="AE51" i="19" s="1"/>
  <c r="AE51" i="18" s="1"/>
  <c r="AE51" i="11" s="1"/>
  <c r="AE51" i="13" s="1"/>
  <c r="AE50" i="12"/>
  <c r="AE50" i="17" s="1"/>
  <c r="AE50" i="19" s="1"/>
  <c r="AE50" i="18" s="1"/>
  <c r="AE50" i="11" s="1"/>
  <c r="AE50" i="13" s="1"/>
  <c r="AE49" i="12"/>
  <c r="AE49" i="17" s="1"/>
  <c r="AE49" i="19" s="1"/>
  <c r="AE49" i="18" s="1"/>
  <c r="AE49" i="11" s="1"/>
  <c r="AE49" i="13" s="1"/>
  <c r="AE48" i="12"/>
  <c r="AE48" i="17" s="1"/>
  <c r="AE48" i="19" s="1"/>
  <c r="AE48" i="18" s="1"/>
  <c r="AE48" i="11" s="1"/>
  <c r="AE48" i="13" s="1"/>
  <c r="AE47" i="12"/>
  <c r="AE47" i="17" s="1"/>
  <c r="AE47" i="19" s="1"/>
  <c r="AE47" i="18" s="1"/>
  <c r="AE47" i="11" s="1"/>
  <c r="AE47" i="13" s="1"/>
  <c r="AE46" i="12"/>
  <c r="AE46" i="17" s="1"/>
  <c r="AE46" i="19" s="1"/>
  <c r="AE46" i="18" s="1"/>
  <c r="AE46" i="11" s="1"/>
  <c r="AE46" i="13" s="1"/>
  <c r="AE45" i="12"/>
  <c r="AE45" i="17" s="1"/>
  <c r="AE45" i="19" s="1"/>
  <c r="AE45" i="18" s="1"/>
  <c r="AE45" i="11" s="1"/>
  <c r="AE45" i="13" s="1"/>
  <c r="AE44" i="12"/>
  <c r="AE44" i="17" s="1"/>
  <c r="AE44" i="19" s="1"/>
  <c r="AE44" i="18" s="1"/>
  <c r="AE44" i="11" s="1"/>
  <c r="AE44" i="13" s="1"/>
  <c r="AE43" i="12"/>
  <c r="AE43" i="17" s="1"/>
  <c r="AE43" i="19" s="1"/>
  <c r="AE43" i="18" s="1"/>
  <c r="AE43" i="11" s="1"/>
  <c r="AE43" i="13" s="1"/>
  <c r="AE42" i="12"/>
  <c r="AE42" i="17" s="1"/>
  <c r="AE42" i="19" s="1"/>
  <c r="AE42" i="18" s="1"/>
  <c r="AE42" i="11" s="1"/>
  <c r="AE42" i="13" s="1"/>
  <c r="AE41" i="12"/>
  <c r="AE41" i="17" s="1"/>
  <c r="AE41" i="19" s="1"/>
  <c r="AE41" i="18" s="1"/>
  <c r="AE41" i="11" s="1"/>
  <c r="AE41" i="13" s="1"/>
  <c r="AE40" i="12"/>
  <c r="AE40" i="17" s="1"/>
  <c r="AE40" i="19" s="1"/>
  <c r="AE40" i="18" s="1"/>
  <c r="AE40" i="11" s="1"/>
  <c r="AE40" i="13" s="1"/>
  <c r="AE39" i="12"/>
  <c r="AE39" i="17" s="1"/>
  <c r="AE39" i="19" s="1"/>
  <c r="AE39" i="18" s="1"/>
  <c r="AE39" i="11" s="1"/>
  <c r="AE39" i="13" s="1"/>
  <c r="AC58" i="12"/>
  <c r="AC58" i="17" s="1"/>
  <c r="AC58" i="19" s="1"/>
  <c r="AC58" i="18" s="1"/>
  <c r="AC58" i="11" s="1"/>
  <c r="AC58" i="13" s="1"/>
  <c r="AC57" i="12"/>
  <c r="AC57" i="17" s="1"/>
  <c r="AC57" i="19" s="1"/>
  <c r="AC57" i="18" s="1"/>
  <c r="AC57" i="11" s="1"/>
  <c r="AC57" i="13" s="1"/>
  <c r="AC56" i="12"/>
  <c r="AC56" i="17" s="1"/>
  <c r="AC56" i="19" s="1"/>
  <c r="AC56" i="18" s="1"/>
  <c r="AC56" i="11" s="1"/>
  <c r="AC56" i="13" s="1"/>
  <c r="AC55" i="12"/>
  <c r="AC55" i="17" s="1"/>
  <c r="AC55" i="19" s="1"/>
  <c r="AC55" i="18" s="1"/>
  <c r="AC55" i="11" s="1"/>
  <c r="AC55" i="13" s="1"/>
  <c r="AC54" i="12"/>
  <c r="AC54" i="17" s="1"/>
  <c r="AC54" i="19" s="1"/>
  <c r="AC54" i="18" s="1"/>
  <c r="AC54" i="11" s="1"/>
  <c r="AC54" i="13" s="1"/>
  <c r="AC53" i="12"/>
  <c r="AC53" i="17" s="1"/>
  <c r="AC53" i="19" s="1"/>
  <c r="AC53" i="18" s="1"/>
  <c r="AC53" i="11" s="1"/>
  <c r="AC53" i="13" s="1"/>
  <c r="AC52" i="12"/>
  <c r="AC52" i="17" s="1"/>
  <c r="AC52" i="19" s="1"/>
  <c r="AC52" i="18" s="1"/>
  <c r="AC52" i="11" s="1"/>
  <c r="AC52" i="13" s="1"/>
  <c r="AC51" i="12"/>
  <c r="AC51" i="17" s="1"/>
  <c r="AC51" i="19" s="1"/>
  <c r="AC51" i="18" s="1"/>
  <c r="AC51" i="11" s="1"/>
  <c r="AC51" i="13" s="1"/>
  <c r="AC50" i="12"/>
  <c r="AC50" i="17" s="1"/>
  <c r="AC50" i="19" s="1"/>
  <c r="AC50" i="18" s="1"/>
  <c r="AC50" i="11" s="1"/>
  <c r="AC50" i="13" s="1"/>
  <c r="AC49" i="12"/>
  <c r="AC49" i="17" s="1"/>
  <c r="AC49" i="19" s="1"/>
  <c r="AC49" i="18" s="1"/>
  <c r="AC49" i="11" s="1"/>
  <c r="AC49" i="13" s="1"/>
  <c r="AC48" i="12"/>
  <c r="AC48" i="17" s="1"/>
  <c r="AC48" i="19" s="1"/>
  <c r="AC48" i="18" s="1"/>
  <c r="AC48" i="11" s="1"/>
  <c r="AC48" i="13" s="1"/>
  <c r="AC47" i="12"/>
  <c r="AC47" i="17" s="1"/>
  <c r="AC47" i="19" s="1"/>
  <c r="AC47" i="18" s="1"/>
  <c r="AC47" i="11" s="1"/>
  <c r="AC47" i="13" s="1"/>
  <c r="AC46" i="12"/>
  <c r="AC46" i="17" s="1"/>
  <c r="AC46" i="19" s="1"/>
  <c r="AC46" i="18" s="1"/>
  <c r="AC46" i="11" s="1"/>
  <c r="AC46" i="13" s="1"/>
  <c r="AC45" i="12"/>
  <c r="AC45" i="17" s="1"/>
  <c r="AC45" i="19" s="1"/>
  <c r="AC45" i="18" s="1"/>
  <c r="AC45" i="11" s="1"/>
  <c r="AC45" i="13" s="1"/>
  <c r="AC44" i="12"/>
  <c r="AC44" i="17" s="1"/>
  <c r="AC44" i="19" s="1"/>
  <c r="AC44" i="18" s="1"/>
  <c r="AC44" i="11" s="1"/>
  <c r="AC44" i="13" s="1"/>
  <c r="AC43" i="12"/>
  <c r="AC43" i="17" s="1"/>
  <c r="AC43" i="19" s="1"/>
  <c r="AC43" i="18" s="1"/>
  <c r="AC43" i="11" s="1"/>
  <c r="AC43" i="13" s="1"/>
  <c r="AC42" i="12"/>
  <c r="AC42" i="17" s="1"/>
  <c r="AC42" i="19" s="1"/>
  <c r="AC42" i="18" s="1"/>
  <c r="AC42" i="11" s="1"/>
  <c r="AC42" i="13" s="1"/>
  <c r="AC41" i="12"/>
  <c r="AC41" i="17" s="1"/>
  <c r="AC41" i="19" s="1"/>
  <c r="AC41" i="18" s="1"/>
  <c r="AC41" i="11" s="1"/>
  <c r="AC41" i="13" s="1"/>
  <c r="AC40" i="12"/>
  <c r="AC40" i="17" s="1"/>
  <c r="AC40" i="19" s="1"/>
  <c r="AC40" i="18" s="1"/>
  <c r="AC40" i="11" s="1"/>
  <c r="AC40" i="13" s="1"/>
  <c r="AC39" i="12"/>
  <c r="AC39" i="17" s="1"/>
  <c r="AC39" i="19" s="1"/>
  <c r="AC39" i="18" s="1"/>
  <c r="AC39" i="11" s="1"/>
  <c r="AC39" i="13" s="1"/>
  <c r="AA58" i="12"/>
  <c r="AA58" i="17" s="1"/>
  <c r="AA58" i="19" s="1"/>
  <c r="AA58" i="18" s="1"/>
  <c r="AA58" i="11" s="1"/>
  <c r="AA58" i="13" s="1"/>
  <c r="AA57" i="12"/>
  <c r="AA57" i="17" s="1"/>
  <c r="AA57" i="19" s="1"/>
  <c r="AA57" i="18" s="1"/>
  <c r="AA57" i="11" s="1"/>
  <c r="AA57" i="13" s="1"/>
  <c r="AA56" i="12"/>
  <c r="AA56" i="17" s="1"/>
  <c r="AA56" i="19" s="1"/>
  <c r="AA56" i="18" s="1"/>
  <c r="AA56" i="11" s="1"/>
  <c r="AA56" i="13" s="1"/>
  <c r="AA55" i="12"/>
  <c r="AA55" i="17" s="1"/>
  <c r="AA55" i="19" s="1"/>
  <c r="AA55" i="18" s="1"/>
  <c r="AA55" i="11" s="1"/>
  <c r="AA55" i="13" s="1"/>
  <c r="AA54" i="12"/>
  <c r="AA54" i="17" s="1"/>
  <c r="AA54" i="19" s="1"/>
  <c r="AA54" i="18" s="1"/>
  <c r="AA54" i="11" s="1"/>
  <c r="AA54" i="13" s="1"/>
  <c r="AA53" i="12"/>
  <c r="AA53" i="17" s="1"/>
  <c r="AA53" i="19" s="1"/>
  <c r="AA53" i="18" s="1"/>
  <c r="AA53" i="11" s="1"/>
  <c r="AA53" i="13" s="1"/>
  <c r="AA52" i="12"/>
  <c r="AA52" i="17" s="1"/>
  <c r="AA52" i="19" s="1"/>
  <c r="AA52" i="18" s="1"/>
  <c r="AA52" i="11" s="1"/>
  <c r="AA52" i="13" s="1"/>
  <c r="AA51" i="12"/>
  <c r="AA51" i="17" s="1"/>
  <c r="AA51" i="19" s="1"/>
  <c r="AA51" i="18" s="1"/>
  <c r="AA51" i="11" s="1"/>
  <c r="AA51" i="13" s="1"/>
  <c r="AA50" i="12"/>
  <c r="AA50" i="17" s="1"/>
  <c r="AA50" i="19" s="1"/>
  <c r="AA50" i="18" s="1"/>
  <c r="AA50" i="11" s="1"/>
  <c r="AA50" i="13" s="1"/>
  <c r="AA49" i="12"/>
  <c r="AA49" i="17" s="1"/>
  <c r="AA49" i="19" s="1"/>
  <c r="AA49" i="18" s="1"/>
  <c r="AA49" i="11" s="1"/>
  <c r="AA49" i="13" s="1"/>
  <c r="AA48" i="12"/>
  <c r="AA48" i="17" s="1"/>
  <c r="AA48" i="19" s="1"/>
  <c r="AA48" i="18" s="1"/>
  <c r="AA48" i="11" s="1"/>
  <c r="AA48" i="13" s="1"/>
  <c r="AA47" i="12"/>
  <c r="AA47" i="17" s="1"/>
  <c r="AA47" i="19" s="1"/>
  <c r="AA47" i="18" s="1"/>
  <c r="AA47" i="11" s="1"/>
  <c r="AA47" i="13" s="1"/>
  <c r="AA46" i="12"/>
  <c r="AA46" i="17" s="1"/>
  <c r="AA46" i="19" s="1"/>
  <c r="AA46" i="18" s="1"/>
  <c r="AA46" i="11" s="1"/>
  <c r="AA46" i="13" s="1"/>
  <c r="AA45" i="12"/>
  <c r="AA45" i="17" s="1"/>
  <c r="AA45" i="19" s="1"/>
  <c r="AA45" i="18" s="1"/>
  <c r="AA45" i="11" s="1"/>
  <c r="AA45" i="13" s="1"/>
  <c r="AA44" i="12"/>
  <c r="AA44" i="17" s="1"/>
  <c r="AA44" i="19" s="1"/>
  <c r="AA44" i="18" s="1"/>
  <c r="AA44" i="11" s="1"/>
  <c r="AA44" i="13" s="1"/>
  <c r="AA43" i="12"/>
  <c r="AA43" i="17" s="1"/>
  <c r="AA43" i="19" s="1"/>
  <c r="AA43" i="18" s="1"/>
  <c r="AA43" i="11" s="1"/>
  <c r="AA43" i="13" s="1"/>
  <c r="AA42" i="12"/>
  <c r="AA42" i="17" s="1"/>
  <c r="AA42" i="19" s="1"/>
  <c r="AA42" i="18" s="1"/>
  <c r="AA42" i="11" s="1"/>
  <c r="AA42" i="13" s="1"/>
  <c r="AA41" i="12"/>
  <c r="AA41" i="17" s="1"/>
  <c r="AA41" i="19" s="1"/>
  <c r="AA41" i="18" s="1"/>
  <c r="AA41" i="11" s="1"/>
  <c r="AA41" i="13" s="1"/>
  <c r="AA40" i="12"/>
  <c r="AA40" i="17" s="1"/>
  <c r="AA40" i="19" s="1"/>
  <c r="AA40" i="18" s="1"/>
  <c r="AA40" i="11" s="1"/>
  <c r="AA40" i="13" s="1"/>
  <c r="AA39" i="12"/>
  <c r="AA39" i="17" s="1"/>
  <c r="AA39" i="19" s="1"/>
  <c r="AA39" i="18" s="1"/>
  <c r="AA39" i="11" s="1"/>
  <c r="AA39" i="13" s="1"/>
  <c r="Y58" i="12"/>
  <c r="Y58" i="17" s="1"/>
  <c r="Y58" i="19" s="1"/>
  <c r="Y58" i="18" s="1"/>
  <c r="Y58" i="11" s="1"/>
  <c r="Y58" i="13" s="1"/>
  <c r="Y57" i="12"/>
  <c r="Y57" i="17" s="1"/>
  <c r="Y57" i="19" s="1"/>
  <c r="Y57" i="18" s="1"/>
  <c r="Y57" i="11" s="1"/>
  <c r="Y57" i="13" s="1"/>
  <c r="Y56" i="12"/>
  <c r="Y56" i="17" s="1"/>
  <c r="Y56" i="19" s="1"/>
  <c r="Y56" i="18" s="1"/>
  <c r="Y56" i="11" s="1"/>
  <c r="Y56" i="13" s="1"/>
  <c r="Y55" i="12"/>
  <c r="Y55" i="17" s="1"/>
  <c r="Y55" i="19" s="1"/>
  <c r="Y55" i="18" s="1"/>
  <c r="Y55" i="11" s="1"/>
  <c r="Y55" i="13" s="1"/>
  <c r="Y54" i="12"/>
  <c r="Y54" i="17" s="1"/>
  <c r="Y54" i="19" s="1"/>
  <c r="Y54" i="18" s="1"/>
  <c r="Y54" i="11" s="1"/>
  <c r="Y54" i="13" s="1"/>
  <c r="Y53" i="12"/>
  <c r="Y53" i="17" s="1"/>
  <c r="Y53" i="19" s="1"/>
  <c r="Y53" i="18" s="1"/>
  <c r="Y53" i="11" s="1"/>
  <c r="Y53" i="13" s="1"/>
  <c r="Y52" i="12"/>
  <c r="Y52" i="17" s="1"/>
  <c r="Y52" i="19" s="1"/>
  <c r="Y52" i="18" s="1"/>
  <c r="Y52" i="11" s="1"/>
  <c r="Y52" i="13" s="1"/>
  <c r="Y51" i="12"/>
  <c r="Y51" i="17" s="1"/>
  <c r="Y51" i="19" s="1"/>
  <c r="Y51" i="18" s="1"/>
  <c r="Y51" i="11" s="1"/>
  <c r="Y51" i="13" s="1"/>
  <c r="Y50" i="12"/>
  <c r="Y50" i="17" s="1"/>
  <c r="Y50" i="19" s="1"/>
  <c r="Y50" i="18" s="1"/>
  <c r="Y50" i="11" s="1"/>
  <c r="Y50" i="13" s="1"/>
  <c r="Y49" i="12"/>
  <c r="Y49" i="17" s="1"/>
  <c r="Y49" i="19" s="1"/>
  <c r="Y49" i="18" s="1"/>
  <c r="Y49" i="11" s="1"/>
  <c r="Y49" i="13" s="1"/>
  <c r="Y48" i="12"/>
  <c r="Y48" i="17" s="1"/>
  <c r="Y48" i="19" s="1"/>
  <c r="Y48" i="18" s="1"/>
  <c r="Y48" i="11" s="1"/>
  <c r="Y48" i="13" s="1"/>
  <c r="Y47" i="12"/>
  <c r="Y47" i="17" s="1"/>
  <c r="Y47" i="19" s="1"/>
  <c r="Y47" i="18" s="1"/>
  <c r="Y47" i="11" s="1"/>
  <c r="Y47" i="13" s="1"/>
  <c r="Y46" i="12"/>
  <c r="Y46" i="17" s="1"/>
  <c r="Y46" i="19" s="1"/>
  <c r="Y46" i="18" s="1"/>
  <c r="Y46" i="11" s="1"/>
  <c r="Y46" i="13" s="1"/>
  <c r="Y45" i="12"/>
  <c r="Y45" i="17" s="1"/>
  <c r="Y45" i="19" s="1"/>
  <c r="Y45" i="18" s="1"/>
  <c r="Y45" i="11" s="1"/>
  <c r="Y45" i="13" s="1"/>
  <c r="Y44" i="12"/>
  <c r="Y44" i="17" s="1"/>
  <c r="Y44" i="19" s="1"/>
  <c r="Y44" i="18" s="1"/>
  <c r="Y44" i="11" s="1"/>
  <c r="Y44" i="13" s="1"/>
  <c r="Y43" i="12"/>
  <c r="Y43" i="17" s="1"/>
  <c r="Y43" i="19" s="1"/>
  <c r="Y43" i="18" s="1"/>
  <c r="Y43" i="11" s="1"/>
  <c r="Y43" i="13" s="1"/>
  <c r="Y42" i="12"/>
  <c r="Y42" i="17" s="1"/>
  <c r="Y42" i="19" s="1"/>
  <c r="Y42" i="18" s="1"/>
  <c r="Y42" i="11" s="1"/>
  <c r="Y42" i="13" s="1"/>
  <c r="Y41" i="12"/>
  <c r="Y41" i="17" s="1"/>
  <c r="Y41" i="19" s="1"/>
  <c r="Y41" i="18" s="1"/>
  <c r="Y41" i="11" s="1"/>
  <c r="Y41" i="13" s="1"/>
  <c r="Y40" i="12"/>
  <c r="Y40" i="17" s="1"/>
  <c r="Y40" i="19" s="1"/>
  <c r="Y40" i="18" s="1"/>
  <c r="Y40" i="11" s="1"/>
  <c r="Y40" i="13" s="1"/>
  <c r="Y39" i="12"/>
  <c r="Y39" i="17" s="1"/>
  <c r="Y39" i="19" s="1"/>
  <c r="Y39" i="18" s="1"/>
  <c r="Y39" i="11" s="1"/>
  <c r="Y39" i="13" s="1"/>
  <c r="W58" i="12"/>
  <c r="W58" i="17" s="1"/>
  <c r="W58" i="19" s="1"/>
  <c r="W58" i="18" s="1"/>
  <c r="W58" i="11" s="1"/>
  <c r="W58" i="13" s="1"/>
  <c r="W57" i="12"/>
  <c r="W57" i="17" s="1"/>
  <c r="W57" i="19" s="1"/>
  <c r="W57" i="18" s="1"/>
  <c r="W57" i="11" s="1"/>
  <c r="W57" i="13" s="1"/>
  <c r="W56" i="12"/>
  <c r="W56" i="17" s="1"/>
  <c r="W56" i="19" s="1"/>
  <c r="W56" i="18" s="1"/>
  <c r="W56" i="11" s="1"/>
  <c r="W56" i="13" s="1"/>
  <c r="W55" i="12"/>
  <c r="W55" i="17" s="1"/>
  <c r="W55" i="19" s="1"/>
  <c r="W55" i="18" s="1"/>
  <c r="W55" i="11" s="1"/>
  <c r="W55" i="13" s="1"/>
  <c r="W54" i="12"/>
  <c r="W54" i="17" s="1"/>
  <c r="W54" i="19" s="1"/>
  <c r="W54" i="18" s="1"/>
  <c r="W54" i="11" s="1"/>
  <c r="W54" i="13" s="1"/>
  <c r="W53" i="12"/>
  <c r="W53" i="17" s="1"/>
  <c r="W53" i="19" s="1"/>
  <c r="W53" i="18" s="1"/>
  <c r="W53" i="11" s="1"/>
  <c r="W53" i="13" s="1"/>
  <c r="W52" i="12"/>
  <c r="W52" i="17" s="1"/>
  <c r="W52" i="19" s="1"/>
  <c r="W52" i="18" s="1"/>
  <c r="W52" i="11" s="1"/>
  <c r="W52" i="13" s="1"/>
  <c r="W51" i="12"/>
  <c r="W51" i="17" s="1"/>
  <c r="W51" i="19" s="1"/>
  <c r="W51" i="18" s="1"/>
  <c r="W51" i="11" s="1"/>
  <c r="W51" i="13" s="1"/>
  <c r="W50" i="12"/>
  <c r="W50" i="17" s="1"/>
  <c r="W50" i="19" s="1"/>
  <c r="W50" i="18" s="1"/>
  <c r="W50" i="11" s="1"/>
  <c r="W50" i="13" s="1"/>
  <c r="W49" i="12"/>
  <c r="W49" i="17" s="1"/>
  <c r="W49" i="19" s="1"/>
  <c r="W49" i="18" s="1"/>
  <c r="W49" i="11" s="1"/>
  <c r="W49" i="13" s="1"/>
  <c r="W48" i="12"/>
  <c r="W48" i="17" s="1"/>
  <c r="W48" i="19" s="1"/>
  <c r="W48" i="18" s="1"/>
  <c r="W48" i="11" s="1"/>
  <c r="W48" i="13" s="1"/>
  <c r="W47" i="12"/>
  <c r="W47" i="17" s="1"/>
  <c r="W47" i="19" s="1"/>
  <c r="W47" i="18" s="1"/>
  <c r="W47" i="11" s="1"/>
  <c r="W47" i="13" s="1"/>
  <c r="W46" i="12"/>
  <c r="W46" i="17" s="1"/>
  <c r="W46" i="19" s="1"/>
  <c r="W46" i="18" s="1"/>
  <c r="W46" i="11" s="1"/>
  <c r="W46" i="13" s="1"/>
  <c r="W45" i="12"/>
  <c r="W45" i="17" s="1"/>
  <c r="W45" i="19" s="1"/>
  <c r="W45" i="18" s="1"/>
  <c r="W45" i="11" s="1"/>
  <c r="W45" i="13" s="1"/>
  <c r="W44" i="12"/>
  <c r="W44" i="17" s="1"/>
  <c r="W44" i="19" s="1"/>
  <c r="W44" i="18" s="1"/>
  <c r="W44" i="11" s="1"/>
  <c r="W44" i="13" s="1"/>
  <c r="W43" i="12"/>
  <c r="W43" i="17" s="1"/>
  <c r="W43" i="19" s="1"/>
  <c r="W43" i="18" s="1"/>
  <c r="W43" i="11" s="1"/>
  <c r="W43" i="13" s="1"/>
  <c r="W42" i="12"/>
  <c r="W42" i="17" s="1"/>
  <c r="W42" i="19" s="1"/>
  <c r="W42" i="18" s="1"/>
  <c r="W42" i="11" s="1"/>
  <c r="W42" i="13" s="1"/>
  <c r="W41" i="12"/>
  <c r="W41" i="17" s="1"/>
  <c r="W41" i="19" s="1"/>
  <c r="W41" i="18" s="1"/>
  <c r="W41" i="11" s="1"/>
  <c r="W41" i="13" s="1"/>
  <c r="W40" i="12"/>
  <c r="W40" i="17" s="1"/>
  <c r="W40" i="19" s="1"/>
  <c r="W40" i="18" s="1"/>
  <c r="W40" i="11" s="1"/>
  <c r="W40" i="13" s="1"/>
  <c r="W39" i="12"/>
  <c r="W39" i="17" s="1"/>
  <c r="W39" i="19" s="1"/>
  <c r="W39" i="18" s="1"/>
  <c r="W39" i="11" s="1"/>
  <c r="W39" i="13" s="1"/>
  <c r="U58" i="12"/>
  <c r="U58" i="17" s="1"/>
  <c r="U58" i="19" s="1"/>
  <c r="U58" i="18" s="1"/>
  <c r="U58" i="11" s="1"/>
  <c r="U58" i="13" s="1"/>
  <c r="U57" i="12"/>
  <c r="U57" i="17" s="1"/>
  <c r="U57" i="19" s="1"/>
  <c r="U57" i="18" s="1"/>
  <c r="U57" i="11" s="1"/>
  <c r="U57" i="13" s="1"/>
  <c r="U56" i="12"/>
  <c r="U56" i="17" s="1"/>
  <c r="U56" i="19" s="1"/>
  <c r="U56" i="18" s="1"/>
  <c r="U56" i="11" s="1"/>
  <c r="U56" i="13" s="1"/>
  <c r="U55" i="12"/>
  <c r="U55" i="17" s="1"/>
  <c r="U55" i="19" s="1"/>
  <c r="U55" i="18" s="1"/>
  <c r="U55" i="11" s="1"/>
  <c r="U55" i="13" s="1"/>
  <c r="U54" i="12"/>
  <c r="U54" i="17" s="1"/>
  <c r="U54" i="19" s="1"/>
  <c r="U54" i="18" s="1"/>
  <c r="U54" i="11" s="1"/>
  <c r="U54" i="13" s="1"/>
  <c r="U53" i="12"/>
  <c r="U53" i="17" s="1"/>
  <c r="U53" i="19" s="1"/>
  <c r="U53" i="18" s="1"/>
  <c r="U53" i="11" s="1"/>
  <c r="U53" i="13" s="1"/>
  <c r="U52" i="12"/>
  <c r="U52" i="17" s="1"/>
  <c r="U52" i="19" s="1"/>
  <c r="U52" i="18" s="1"/>
  <c r="U52" i="11" s="1"/>
  <c r="U52" i="13" s="1"/>
  <c r="U51" i="12"/>
  <c r="U51" i="17" s="1"/>
  <c r="U51" i="19" s="1"/>
  <c r="U51" i="18" s="1"/>
  <c r="U51" i="11" s="1"/>
  <c r="U51" i="13" s="1"/>
  <c r="U50" i="12"/>
  <c r="U50" i="17" s="1"/>
  <c r="U50" i="19" s="1"/>
  <c r="U50" i="18" s="1"/>
  <c r="U50" i="11" s="1"/>
  <c r="U50" i="13" s="1"/>
  <c r="U49" i="12"/>
  <c r="U49" i="17" s="1"/>
  <c r="U49" i="19" s="1"/>
  <c r="U49" i="18" s="1"/>
  <c r="U49" i="11" s="1"/>
  <c r="U49" i="13" s="1"/>
  <c r="U48" i="12"/>
  <c r="U48" i="17" s="1"/>
  <c r="U48" i="19" s="1"/>
  <c r="U48" i="18" s="1"/>
  <c r="U48" i="11" s="1"/>
  <c r="U48" i="13" s="1"/>
  <c r="U47" i="12"/>
  <c r="U47" i="17" s="1"/>
  <c r="U47" i="19" s="1"/>
  <c r="U47" i="18" s="1"/>
  <c r="U47" i="11" s="1"/>
  <c r="U47" i="13" s="1"/>
  <c r="U46" i="12"/>
  <c r="U46" i="17" s="1"/>
  <c r="U46" i="19" s="1"/>
  <c r="U46" i="18" s="1"/>
  <c r="U46" i="11" s="1"/>
  <c r="U46" i="13" s="1"/>
  <c r="U45" i="12"/>
  <c r="U45" i="17" s="1"/>
  <c r="U45" i="19" s="1"/>
  <c r="U45" i="18" s="1"/>
  <c r="U45" i="11" s="1"/>
  <c r="U45" i="13" s="1"/>
  <c r="U44" i="12"/>
  <c r="U44" i="17" s="1"/>
  <c r="U44" i="19" s="1"/>
  <c r="U44" i="18" s="1"/>
  <c r="U44" i="11" s="1"/>
  <c r="U44" i="13" s="1"/>
  <c r="U43" i="12"/>
  <c r="U43" i="17" s="1"/>
  <c r="U43" i="19" s="1"/>
  <c r="U43" i="18" s="1"/>
  <c r="U43" i="11" s="1"/>
  <c r="U43" i="13" s="1"/>
  <c r="U42" i="12"/>
  <c r="U42" i="17" s="1"/>
  <c r="U42" i="19" s="1"/>
  <c r="U42" i="18" s="1"/>
  <c r="U42" i="11" s="1"/>
  <c r="U42" i="13" s="1"/>
  <c r="U41" i="12"/>
  <c r="U41" i="17" s="1"/>
  <c r="U41" i="19" s="1"/>
  <c r="U41" i="18" s="1"/>
  <c r="U41" i="11" s="1"/>
  <c r="U41" i="13" s="1"/>
  <c r="U40" i="12"/>
  <c r="U40" i="17" s="1"/>
  <c r="U40" i="19" s="1"/>
  <c r="U40" i="18" s="1"/>
  <c r="U40" i="11" s="1"/>
  <c r="U40" i="13" s="1"/>
  <c r="U39" i="12"/>
  <c r="U39" i="17" s="1"/>
  <c r="U39" i="19" s="1"/>
  <c r="U39" i="18" s="1"/>
  <c r="U39" i="11" s="1"/>
  <c r="U39" i="13" s="1"/>
  <c r="S58" i="12"/>
  <c r="S58" i="17" s="1"/>
  <c r="S58" i="19" s="1"/>
  <c r="S58" i="18" s="1"/>
  <c r="S58" i="11" s="1"/>
  <c r="S58" i="13" s="1"/>
  <c r="S57" i="12"/>
  <c r="S57" i="17" s="1"/>
  <c r="S57" i="19" s="1"/>
  <c r="S57" i="18" s="1"/>
  <c r="S57" i="11" s="1"/>
  <c r="S57" i="13" s="1"/>
  <c r="S56" i="12"/>
  <c r="S56" i="17" s="1"/>
  <c r="S56" i="19" s="1"/>
  <c r="S56" i="18" s="1"/>
  <c r="S56" i="11" s="1"/>
  <c r="S56" i="13" s="1"/>
  <c r="S55" i="12"/>
  <c r="S55" i="17" s="1"/>
  <c r="S55" i="19" s="1"/>
  <c r="S55" i="18" s="1"/>
  <c r="S55" i="11" s="1"/>
  <c r="S55" i="13" s="1"/>
  <c r="S54" i="12"/>
  <c r="S54" i="17" s="1"/>
  <c r="S54" i="19" s="1"/>
  <c r="S54" i="18" s="1"/>
  <c r="S54" i="11" s="1"/>
  <c r="S54" i="13" s="1"/>
  <c r="S53" i="12"/>
  <c r="S53" i="17" s="1"/>
  <c r="S53" i="19" s="1"/>
  <c r="S53" i="18" s="1"/>
  <c r="S53" i="11" s="1"/>
  <c r="S53" i="13" s="1"/>
  <c r="S52" i="12"/>
  <c r="S52" i="17" s="1"/>
  <c r="S52" i="19" s="1"/>
  <c r="S52" i="18" s="1"/>
  <c r="S52" i="11" s="1"/>
  <c r="S52" i="13" s="1"/>
  <c r="S51" i="12"/>
  <c r="S51" i="17" s="1"/>
  <c r="S51" i="19" s="1"/>
  <c r="S51" i="18" s="1"/>
  <c r="S51" i="11" s="1"/>
  <c r="S51" i="13" s="1"/>
  <c r="S50" i="12"/>
  <c r="S50" i="17" s="1"/>
  <c r="S50" i="19" s="1"/>
  <c r="S50" i="18" s="1"/>
  <c r="S50" i="11" s="1"/>
  <c r="S50" i="13" s="1"/>
  <c r="S49" i="12"/>
  <c r="S49" i="17" s="1"/>
  <c r="S49" i="19" s="1"/>
  <c r="S49" i="18" s="1"/>
  <c r="S49" i="11" s="1"/>
  <c r="S49" i="13" s="1"/>
  <c r="S48" i="12"/>
  <c r="S48" i="17" s="1"/>
  <c r="S48" i="19" s="1"/>
  <c r="S48" i="18" s="1"/>
  <c r="S48" i="11" s="1"/>
  <c r="S48" i="13" s="1"/>
  <c r="S47" i="12"/>
  <c r="S47" i="17" s="1"/>
  <c r="S47" i="19" s="1"/>
  <c r="S47" i="18" s="1"/>
  <c r="S47" i="11" s="1"/>
  <c r="S47" i="13" s="1"/>
  <c r="S46" i="12"/>
  <c r="S46" i="17" s="1"/>
  <c r="S46" i="19" s="1"/>
  <c r="S46" i="18" s="1"/>
  <c r="S46" i="11" s="1"/>
  <c r="S46" i="13" s="1"/>
  <c r="S45" i="12"/>
  <c r="S45" i="17" s="1"/>
  <c r="S45" i="19" s="1"/>
  <c r="S45" i="18" s="1"/>
  <c r="S45" i="11" s="1"/>
  <c r="S45" i="13" s="1"/>
  <c r="S44" i="12"/>
  <c r="S44" i="17" s="1"/>
  <c r="S44" i="19" s="1"/>
  <c r="S44" i="18" s="1"/>
  <c r="S44" i="11" s="1"/>
  <c r="S44" i="13" s="1"/>
  <c r="S43" i="12"/>
  <c r="S43" i="17" s="1"/>
  <c r="S43" i="19" s="1"/>
  <c r="S43" i="18" s="1"/>
  <c r="S43" i="11" s="1"/>
  <c r="S43" i="13" s="1"/>
  <c r="S42" i="12"/>
  <c r="S42" i="17" s="1"/>
  <c r="S42" i="19" s="1"/>
  <c r="S42" i="18" s="1"/>
  <c r="S42" i="11" s="1"/>
  <c r="S42" i="13" s="1"/>
  <c r="S41" i="12"/>
  <c r="S41" i="17" s="1"/>
  <c r="S41" i="19" s="1"/>
  <c r="S41" i="18" s="1"/>
  <c r="S41" i="11" s="1"/>
  <c r="S41" i="13" s="1"/>
  <c r="S40" i="12"/>
  <c r="S40" i="17" s="1"/>
  <c r="S40" i="19" s="1"/>
  <c r="S40" i="18" s="1"/>
  <c r="S40" i="11" s="1"/>
  <c r="S40" i="13" s="1"/>
  <c r="S39" i="12"/>
  <c r="S39" i="17" s="1"/>
  <c r="S39" i="19" s="1"/>
  <c r="S39" i="18" s="1"/>
  <c r="S39" i="11" s="1"/>
  <c r="S39" i="13" s="1"/>
  <c r="Q58" i="12"/>
  <c r="Q58" i="17" s="1"/>
  <c r="Q58" i="19" s="1"/>
  <c r="Q58" i="18" s="1"/>
  <c r="Q58" i="11" s="1"/>
  <c r="Q58" i="13" s="1"/>
  <c r="Q57" i="12"/>
  <c r="Q57" i="17" s="1"/>
  <c r="Q57" i="19" s="1"/>
  <c r="Q57" i="18" s="1"/>
  <c r="Q57" i="11" s="1"/>
  <c r="Q57" i="13" s="1"/>
  <c r="Q56" i="12"/>
  <c r="Q56" i="17" s="1"/>
  <c r="Q56" i="19" s="1"/>
  <c r="Q56" i="18" s="1"/>
  <c r="Q56" i="11" s="1"/>
  <c r="Q56" i="13" s="1"/>
  <c r="Q55" i="12"/>
  <c r="Q55" i="17" s="1"/>
  <c r="Q55" i="19" s="1"/>
  <c r="Q55" i="18" s="1"/>
  <c r="Q55" i="11" s="1"/>
  <c r="Q55" i="13" s="1"/>
  <c r="Q54" i="12"/>
  <c r="Q54" i="17" s="1"/>
  <c r="Q54" i="19" s="1"/>
  <c r="Q54" i="18" s="1"/>
  <c r="Q54" i="11" s="1"/>
  <c r="Q54" i="13" s="1"/>
  <c r="Q53" i="12"/>
  <c r="Q53" i="17" s="1"/>
  <c r="Q53" i="19" s="1"/>
  <c r="Q53" i="18" s="1"/>
  <c r="Q53" i="11" s="1"/>
  <c r="Q53" i="13" s="1"/>
  <c r="Q52" i="12"/>
  <c r="Q52" i="17" s="1"/>
  <c r="Q52" i="19" s="1"/>
  <c r="Q52" i="18" s="1"/>
  <c r="Q52" i="11" s="1"/>
  <c r="Q52" i="13" s="1"/>
  <c r="Q51" i="12"/>
  <c r="Q51" i="17" s="1"/>
  <c r="Q51" i="19" s="1"/>
  <c r="Q51" i="18" s="1"/>
  <c r="Q51" i="11" s="1"/>
  <c r="Q51" i="13" s="1"/>
  <c r="Q50" i="12"/>
  <c r="Q50" i="17" s="1"/>
  <c r="Q50" i="19" s="1"/>
  <c r="Q50" i="18" s="1"/>
  <c r="Q50" i="11" s="1"/>
  <c r="Q50" i="13" s="1"/>
  <c r="Q49" i="12"/>
  <c r="Q49" i="17" s="1"/>
  <c r="Q49" i="19" s="1"/>
  <c r="Q49" i="18" s="1"/>
  <c r="Q49" i="11" s="1"/>
  <c r="Q49" i="13" s="1"/>
  <c r="Q48" i="12"/>
  <c r="Q48" i="17" s="1"/>
  <c r="Q48" i="19" s="1"/>
  <c r="Q48" i="18" s="1"/>
  <c r="Q48" i="11" s="1"/>
  <c r="Q48" i="13" s="1"/>
  <c r="Q47" i="12"/>
  <c r="Q47" i="17" s="1"/>
  <c r="Q47" i="19" s="1"/>
  <c r="Q47" i="18" s="1"/>
  <c r="Q47" i="11" s="1"/>
  <c r="Q47" i="13" s="1"/>
  <c r="Q46" i="12"/>
  <c r="Q46" i="17" s="1"/>
  <c r="Q46" i="19" s="1"/>
  <c r="Q46" i="18" s="1"/>
  <c r="Q46" i="11" s="1"/>
  <c r="Q46" i="13" s="1"/>
  <c r="Q45" i="12"/>
  <c r="Q45" i="17" s="1"/>
  <c r="Q45" i="19" s="1"/>
  <c r="Q45" i="18" s="1"/>
  <c r="Q45" i="11" s="1"/>
  <c r="Q45" i="13" s="1"/>
  <c r="Q44" i="12"/>
  <c r="Q44" i="17" s="1"/>
  <c r="Q44" i="19" s="1"/>
  <c r="Q44" i="18" s="1"/>
  <c r="Q44" i="11" s="1"/>
  <c r="Q44" i="13" s="1"/>
  <c r="Q43" i="12"/>
  <c r="Q43" i="17" s="1"/>
  <c r="Q43" i="19" s="1"/>
  <c r="Q43" i="18" s="1"/>
  <c r="Q43" i="11" s="1"/>
  <c r="Q43" i="13" s="1"/>
  <c r="Q42" i="12"/>
  <c r="Q42" i="17" s="1"/>
  <c r="Q42" i="19" s="1"/>
  <c r="Q42" i="18" s="1"/>
  <c r="Q42" i="11" s="1"/>
  <c r="Q42" i="13" s="1"/>
  <c r="Q41" i="12"/>
  <c r="Q41" i="17" s="1"/>
  <c r="Q41" i="19" s="1"/>
  <c r="Q41" i="18" s="1"/>
  <c r="Q41" i="11" s="1"/>
  <c r="Q41" i="13" s="1"/>
  <c r="Q40" i="12"/>
  <c r="Q40" i="17" s="1"/>
  <c r="Q40" i="19" s="1"/>
  <c r="Q40" i="18" s="1"/>
  <c r="Q40" i="11" s="1"/>
  <c r="Q40" i="13" s="1"/>
  <c r="Q39" i="12"/>
  <c r="Q39" i="17" s="1"/>
  <c r="Q39" i="19" s="1"/>
  <c r="Q39" i="18" s="1"/>
  <c r="Q39" i="11" s="1"/>
  <c r="Q39" i="13" s="1"/>
  <c r="O58" i="12"/>
  <c r="O58" i="17" s="1"/>
  <c r="O58" i="19" s="1"/>
  <c r="O58" i="18" s="1"/>
  <c r="O58" i="11" s="1"/>
  <c r="O58" i="13" s="1"/>
  <c r="O57" i="12"/>
  <c r="O57" i="17" s="1"/>
  <c r="O57" i="19" s="1"/>
  <c r="O57" i="18" s="1"/>
  <c r="O57" i="11" s="1"/>
  <c r="O57" i="13" s="1"/>
  <c r="O56" i="12"/>
  <c r="O56" i="17" s="1"/>
  <c r="O56" i="19" s="1"/>
  <c r="O56" i="18" s="1"/>
  <c r="O56" i="11" s="1"/>
  <c r="O56" i="13" s="1"/>
  <c r="O55" i="12"/>
  <c r="O55" i="17" s="1"/>
  <c r="O55" i="19" s="1"/>
  <c r="O55" i="18" s="1"/>
  <c r="O55" i="11" s="1"/>
  <c r="O55" i="13" s="1"/>
  <c r="O54" i="12"/>
  <c r="O54" i="17" s="1"/>
  <c r="O54" i="19" s="1"/>
  <c r="O54" i="18" s="1"/>
  <c r="O54" i="11" s="1"/>
  <c r="O54" i="13" s="1"/>
  <c r="O53" i="12"/>
  <c r="O53" i="17" s="1"/>
  <c r="O53" i="19" s="1"/>
  <c r="O53" i="18" s="1"/>
  <c r="O53" i="11" s="1"/>
  <c r="O53" i="13" s="1"/>
  <c r="O52" i="12"/>
  <c r="O52" i="17" s="1"/>
  <c r="O52" i="19" s="1"/>
  <c r="O52" i="18" s="1"/>
  <c r="O52" i="11" s="1"/>
  <c r="O52" i="13" s="1"/>
  <c r="O51" i="12"/>
  <c r="O51" i="17" s="1"/>
  <c r="O51" i="19" s="1"/>
  <c r="O51" i="18" s="1"/>
  <c r="O51" i="11" s="1"/>
  <c r="O51" i="13" s="1"/>
  <c r="O50" i="12"/>
  <c r="O50" i="17" s="1"/>
  <c r="O50" i="19" s="1"/>
  <c r="O50" i="18" s="1"/>
  <c r="O50" i="11" s="1"/>
  <c r="O50" i="13" s="1"/>
  <c r="O49" i="12"/>
  <c r="O49" i="17" s="1"/>
  <c r="O49" i="19" s="1"/>
  <c r="O49" i="18" s="1"/>
  <c r="O49" i="11" s="1"/>
  <c r="O49" i="13" s="1"/>
  <c r="O48" i="12"/>
  <c r="O48" i="17" s="1"/>
  <c r="O48" i="19" s="1"/>
  <c r="O48" i="18" s="1"/>
  <c r="O48" i="11" s="1"/>
  <c r="O48" i="13" s="1"/>
  <c r="O47" i="12"/>
  <c r="O47" i="17" s="1"/>
  <c r="O47" i="19" s="1"/>
  <c r="O47" i="18" s="1"/>
  <c r="O47" i="11" s="1"/>
  <c r="O47" i="13" s="1"/>
  <c r="O46" i="12"/>
  <c r="O46" i="17" s="1"/>
  <c r="O46" i="19" s="1"/>
  <c r="O46" i="18" s="1"/>
  <c r="O46" i="11" s="1"/>
  <c r="O46" i="13" s="1"/>
  <c r="O45" i="12"/>
  <c r="O45" i="17" s="1"/>
  <c r="O45" i="19" s="1"/>
  <c r="O45" i="18" s="1"/>
  <c r="O45" i="11" s="1"/>
  <c r="O45" i="13" s="1"/>
  <c r="O44" i="12"/>
  <c r="O44" i="17" s="1"/>
  <c r="O44" i="19" s="1"/>
  <c r="O44" i="18" s="1"/>
  <c r="O44" i="11" s="1"/>
  <c r="O44" i="13" s="1"/>
  <c r="O43" i="12"/>
  <c r="O43" i="17" s="1"/>
  <c r="O43" i="19" s="1"/>
  <c r="O43" i="18" s="1"/>
  <c r="O43" i="11" s="1"/>
  <c r="O43" i="13" s="1"/>
  <c r="O42" i="12"/>
  <c r="O42" i="17" s="1"/>
  <c r="O42" i="19" s="1"/>
  <c r="O42" i="18" s="1"/>
  <c r="O42" i="11" s="1"/>
  <c r="O42" i="13" s="1"/>
  <c r="O41" i="12"/>
  <c r="O41" i="17" s="1"/>
  <c r="O41" i="19" s="1"/>
  <c r="O41" i="18" s="1"/>
  <c r="O41" i="11" s="1"/>
  <c r="O41" i="13" s="1"/>
  <c r="O40" i="12"/>
  <c r="O40" i="17" s="1"/>
  <c r="O40" i="19" s="1"/>
  <c r="O40" i="18" s="1"/>
  <c r="O40" i="11" s="1"/>
  <c r="O40" i="13" s="1"/>
  <c r="O39" i="12"/>
  <c r="O39" i="17" s="1"/>
  <c r="O39" i="19" s="1"/>
  <c r="O39" i="18" s="1"/>
  <c r="O39" i="11" s="1"/>
  <c r="O39" i="13" s="1"/>
  <c r="M58" i="12"/>
  <c r="M58" i="17" s="1"/>
  <c r="M58" i="19" s="1"/>
  <c r="M58" i="18" s="1"/>
  <c r="M58" i="11" s="1"/>
  <c r="M58" i="13" s="1"/>
  <c r="M57" i="12"/>
  <c r="M57" i="17" s="1"/>
  <c r="M57" i="19" s="1"/>
  <c r="M57" i="18" s="1"/>
  <c r="M57" i="11" s="1"/>
  <c r="M57" i="13" s="1"/>
  <c r="M56" i="12"/>
  <c r="M56" i="17" s="1"/>
  <c r="M56" i="19" s="1"/>
  <c r="M56" i="18" s="1"/>
  <c r="M56" i="11" s="1"/>
  <c r="M56" i="13" s="1"/>
  <c r="M55" i="12"/>
  <c r="M55" i="17" s="1"/>
  <c r="M55" i="19" s="1"/>
  <c r="M55" i="18" s="1"/>
  <c r="M55" i="11" s="1"/>
  <c r="M55" i="13" s="1"/>
  <c r="M54" i="12"/>
  <c r="M54" i="17" s="1"/>
  <c r="M54" i="19" s="1"/>
  <c r="M54" i="18" s="1"/>
  <c r="M54" i="11" s="1"/>
  <c r="M54" i="13" s="1"/>
  <c r="M53" i="12"/>
  <c r="M53" i="17" s="1"/>
  <c r="M53" i="19" s="1"/>
  <c r="M53" i="18" s="1"/>
  <c r="M53" i="11" s="1"/>
  <c r="M53" i="13" s="1"/>
  <c r="M52" i="12"/>
  <c r="M52" i="17" s="1"/>
  <c r="M52" i="19" s="1"/>
  <c r="M52" i="18" s="1"/>
  <c r="M52" i="11" s="1"/>
  <c r="M52" i="13" s="1"/>
  <c r="M51" i="12"/>
  <c r="M51" i="17" s="1"/>
  <c r="M51" i="19" s="1"/>
  <c r="M51" i="18" s="1"/>
  <c r="M51" i="11" s="1"/>
  <c r="M51" i="13" s="1"/>
  <c r="M50" i="12"/>
  <c r="M50" i="17" s="1"/>
  <c r="M50" i="19" s="1"/>
  <c r="M50" i="18" s="1"/>
  <c r="M50" i="11" s="1"/>
  <c r="M50" i="13" s="1"/>
  <c r="M49" i="12"/>
  <c r="M49" i="17" s="1"/>
  <c r="M49" i="19" s="1"/>
  <c r="M49" i="18" s="1"/>
  <c r="M49" i="11" s="1"/>
  <c r="M49" i="13" s="1"/>
  <c r="M48" i="12"/>
  <c r="M48" i="17" s="1"/>
  <c r="M48" i="19" s="1"/>
  <c r="M48" i="18" s="1"/>
  <c r="M48" i="11" s="1"/>
  <c r="M48" i="13" s="1"/>
  <c r="M47" i="12"/>
  <c r="M47" i="17" s="1"/>
  <c r="M47" i="19" s="1"/>
  <c r="M47" i="18" s="1"/>
  <c r="M47" i="11" s="1"/>
  <c r="M47" i="13" s="1"/>
  <c r="M46" i="12"/>
  <c r="M46" i="17" s="1"/>
  <c r="M46" i="19" s="1"/>
  <c r="M46" i="18" s="1"/>
  <c r="M46" i="11" s="1"/>
  <c r="M46" i="13" s="1"/>
  <c r="M45" i="12"/>
  <c r="M45" i="17" s="1"/>
  <c r="M45" i="19" s="1"/>
  <c r="M45" i="18" s="1"/>
  <c r="M45" i="11" s="1"/>
  <c r="M45" i="13" s="1"/>
  <c r="M44" i="12"/>
  <c r="M44" i="17" s="1"/>
  <c r="M44" i="19" s="1"/>
  <c r="M44" i="18" s="1"/>
  <c r="M44" i="11" s="1"/>
  <c r="M44" i="13" s="1"/>
  <c r="M43" i="12"/>
  <c r="M43" i="17" s="1"/>
  <c r="M43" i="19" s="1"/>
  <c r="M43" i="18" s="1"/>
  <c r="M43" i="11" s="1"/>
  <c r="M43" i="13" s="1"/>
  <c r="M42" i="12"/>
  <c r="M42" i="17" s="1"/>
  <c r="M42" i="19" s="1"/>
  <c r="M42" i="18" s="1"/>
  <c r="M42" i="11" s="1"/>
  <c r="M42" i="13" s="1"/>
  <c r="M41" i="12"/>
  <c r="M41" i="17" s="1"/>
  <c r="M41" i="19" s="1"/>
  <c r="M41" i="18" s="1"/>
  <c r="M41" i="11" s="1"/>
  <c r="M41" i="13" s="1"/>
  <c r="M40" i="12"/>
  <c r="M40" i="17" s="1"/>
  <c r="M40" i="19" s="1"/>
  <c r="M40" i="18" s="1"/>
  <c r="M40" i="11" s="1"/>
  <c r="M40" i="13" s="1"/>
  <c r="M39" i="12"/>
  <c r="M39" i="17" s="1"/>
  <c r="M39" i="19" s="1"/>
  <c r="M39" i="18" s="1"/>
  <c r="M39" i="11" s="1"/>
  <c r="M39" i="13" s="1"/>
  <c r="K58" i="12"/>
  <c r="K58" i="17" s="1"/>
  <c r="K58" i="19" s="1"/>
  <c r="K58" i="18" s="1"/>
  <c r="K58" i="11" s="1"/>
  <c r="K58" i="13" s="1"/>
  <c r="K57" i="12"/>
  <c r="K57" i="17" s="1"/>
  <c r="K57" i="19" s="1"/>
  <c r="K57" i="18" s="1"/>
  <c r="K57" i="11" s="1"/>
  <c r="K57" i="13" s="1"/>
  <c r="K56" i="12"/>
  <c r="K56" i="17" s="1"/>
  <c r="K56" i="19" s="1"/>
  <c r="K56" i="18" s="1"/>
  <c r="K56" i="11" s="1"/>
  <c r="K56" i="13" s="1"/>
  <c r="K55" i="12"/>
  <c r="K55" i="17" s="1"/>
  <c r="K55" i="19" s="1"/>
  <c r="K55" i="18" s="1"/>
  <c r="K55" i="11" s="1"/>
  <c r="K55" i="13" s="1"/>
  <c r="K54" i="12"/>
  <c r="K54" i="17" s="1"/>
  <c r="K54" i="19" s="1"/>
  <c r="K54" i="18" s="1"/>
  <c r="K54" i="11" s="1"/>
  <c r="K54" i="13" s="1"/>
  <c r="K53" i="12"/>
  <c r="K53" i="17" s="1"/>
  <c r="K53" i="19" s="1"/>
  <c r="K53" i="18" s="1"/>
  <c r="K53" i="11" s="1"/>
  <c r="K53" i="13" s="1"/>
  <c r="K52" i="12"/>
  <c r="K52" i="17" s="1"/>
  <c r="K52" i="19" s="1"/>
  <c r="K52" i="18" s="1"/>
  <c r="K52" i="11" s="1"/>
  <c r="K52" i="13" s="1"/>
  <c r="K51" i="12"/>
  <c r="K51" i="17" s="1"/>
  <c r="K51" i="19" s="1"/>
  <c r="K51" i="18" s="1"/>
  <c r="K51" i="11" s="1"/>
  <c r="K51" i="13" s="1"/>
  <c r="K50" i="12"/>
  <c r="K50" i="17" s="1"/>
  <c r="K50" i="19" s="1"/>
  <c r="K50" i="18" s="1"/>
  <c r="K50" i="11" s="1"/>
  <c r="K50" i="13" s="1"/>
  <c r="K49" i="12"/>
  <c r="K49" i="17" s="1"/>
  <c r="K49" i="19" s="1"/>
  <c r="K49" i="18" s="1"/>
  <c r="K49" i="11" s="1"/>
  <c r="K49" i="13" s="1"/>
  <c r="K48" i="12"/>
  <c r="K48" i="17" s="1"/>
  <c r="K48" i="19" s="1"/>
  <c r="K48" i="18" s="1"/>
  <c r="K48" i="11" s="1"/>
  <c r="K48" i="13" s="1"/>
  <c r="K47" i="12"/>
  <c r="K47" i="17" s="1"/>
  <c r="K47" i="19" s="1"/>
  <c r="K47" i="18" s="1"/>
  <c r="K47" i="11" s="1"/>
  <c r="K47" i="13" s="1"/>
  <c r="K46" i="12"/>
  <c r="K46" i="17" s="1"/>
  <c r="K46" i="19" s="1"/>
  <c r="K46" i="18" s="1"/>
  <c r="K46" i="11" s="1"/>
  <c r="K46" i="13" s="1"/>
  <c r="K45" i="12"/>
  <c r="K45" i="17" s="1"/>
  <c r="K45" i="19" s="1"/>
  <c r="K45" i="18" s="1"/>
  <c r="K45" i="11" s="1"/>
  <c r="K45" i="13" s="1"/>
  <c r="K44" i="12"/>
  <c r="K44" i="17" s="1"/>
  <c r="K44" i="19" s="1"/>
  <c r="K44" i="18" s="1"/>
  <c r="K44" i="11" s="1"/>
  <c r="K44" i="13" s="1"/>
  <c r="K43" i="12"/>
  <c r="K43" i="17" s="1"/>
  <c r="K43" i="19" s="1"/>
  <c r="K43" i="18" s="1"/>
  <c r="K43" i="11" s="1"/>
  <c r="K43" i="13" s="1"/>
  <c r="K42" i="12"/>
  <c r="K42" i="17" s="1"/>
  <c r="K42" i="19" s="1"/>
  <c r="K42" i="18" s="1"/>
  <c r="K42" i="11" s="1"/>
  <c r="K42" i="13" s="1"/>
  <c r="K41" i="12"/>
  <c r="K41" i="17" s="1"/>
  <c r="K41" i="19" s="1"/>
  <c r="K41" i="18" s="1"/>
  <c r="K41" i="11" s="1"/>
  <c r="K41" i="13" s="1"/>
  <c r="K40" i="12"/>
  <c r="K40" i="17" s="1"/>
  <c r="K40" i="19" s="1"/>
  <c r="K40" i="18" s="1"/>
  <c r="K40" i="11" s="1"/>
  <c r="K40" i="13" s="1"/>
  <c r="K39" i="12"/>
  <c r="K39" i="17" s="1"/>
  <c r="K39" i="19" s="1"/>
  <c r="K39" i="18" s="1"/>
  <c r="K39" i="11" s="1"/>
  <c r="K39" i="13" s="1"/>
  <c r="I58" i="12"/>
  <c r="I58" i="17" s="1"/>
  <c r="I58" i="19" s="1"/>
  <c r="I58" i="18" s="1"/>
  <c r="I58" i="11" s="1"/>
  <c r="I58" i="13" s="1"/>
  <c r="I57" i="12"/>
  <c r="I57" i="17" s="1"/>
  <c r="I57" i="19" s="1"/>
  <c r="I57" i="18" s="1"/>
  <c r="I57" i="11" s="1"/>
  <c r="I57" i="13" s="1"/>
  <c r="I56" i="12"/>
  <c r="I56" i="17" s="1"/>
  <c r="I56" i="19" s="1"/>
  <c r="I56" i="18" s="1"/>
  <c r="I56" i="11" s="1"/>
  <c r="I56" i="13" s="1"/>
  <c r="I55" i="12"/>
  <c r="I55" i="17" s="1"/>
  <c r="I55" i="19" s="1"/>
  <c r="I55" i="18" s="1"/>
  <c r="I55" i="11" s="1"/>
  <c r="I55" i="13" s="1"/>
  <c r="I54" i="12"/>
  <c r="I54" i="17" s="1"/>
  <c r="I54" i="19" s="1"/>
  <c r="I54" i="18" s="1"/>
  <c r="I54" i="11" s="1"/>
  <c r="I54" i="13" s="1"/>
  <c r="I53" i="12"/>
  <c r="I53" i="17" s="1"/>
  <c r="I53" i="19" s="1"/>
  <c r="I53" i="18" s="1"/>
  <c r="I53" i="11" s="1"/>
  <c r="I53" i="13" s="1"/>
  <c r="I52" i="12"/>
  <c r="I52" i="17" s="1"/>
  <c r="I52" i="19" s="1"/>
  <c r="I52" i="18" s="1"/>
  <c r="I52" i="11" s="1"/>
  <c r="I52" i="13" s="1"/>
  <c r="I51" i="12"/>
  <c r="I51" i="17" s="1"/>
  <c r="I51" i="19" s="1"/>
  <c r="I51" i="18" s="1"/>
  <c r="I51" i="11" s="1"/>
  <c r="I51" i="13" s="1"/>
  <c r="I50" i="12"/>
  <c r="I50" i="17" s="1"/>
  <c r="I50" i="19" s="1"/>
  <c r="I50" i="18" s="1"/>
  <c r="I50" i="11" s="1"/>
  <c r="I50" i="13" s="1"/>
  <c r="I49" i="12"/>
  <c r="I49" i="17" s="1"/>
  <c r="I49" i="19" s="1"/>
  <c r="I49" i="18" s="1"/>
  <c r="I49" i="11" s="1"/>
  <c r="I49" i="13" s="1"/>
  <c r="I48" i="12"/>
  <c r="I48" i="17" s="1"/>
  <c r="I48" i="19" s="1"/>
  <c r="I48" i="18" s="1"/>
  <c r="I48" i="11" s="1"/>
  <c r="I48" i="13" s="1"/>
  <c r="I47" i="12"/>
  <c r="I47" i="17" s="1"/>
  <c r="I47" i="19" s="1"/>
  <c r="I47" i="18" s="1"/>
  <c r="I47" i="11" s="1"/>
  <c r="I47" i="13" s="1"/>
  <c r="I46" i="12"/>
  <c r="I46" i="17" s="1"/>
  <c r="I46" i="19" s="1"/>
  <c r="I46" i="18" s="1"/>
  <c r="I46" i="11" s="1"/>
  <c r="I46" i="13" s="1"/>
  <c r="I45" i="12"/>
  <c r="I45" i="17" s="1"/>
  <c r="I45" i="19" s="1"/>
  <c r="I45" i="18" s="1"/>
  <c r="I45" i="11" s="1"/>
  <c r="I45" i="13" s="1"/>
  <c r="I44" i="12"/>
  <c r="I44" i="17" s="1"/>
  <c r="I44" i="19" s="1"/>
  <c r="I44" i="18" s="1"/>
  <c r="I44" i="11" s="1"/>
  <c r="I44" i="13" s="1"/>
  <c r="I43" i="12"/>
  <c r="I43" i="17" s="1"/>
  <c r="I43" i="19" s="1"/>
  <c r="I43" i="18" s="1"/>
  <c r="I43" i="11" s="1"/>
  <c r="I43" i="13" s="1"/>
  <c r="I42" i="12"/>
  <c r="I42" i="17" s="1"/>
  <c r="I42" i="19" s="1"/>
  <c r="I42" i="18" s="1"/>
  <c r="I42" i="11" s="1"/>
  <c r="I42" i="13" s="1"/>
  <c r="I41" i="12"/>
  <c r="I41" i="17" s="1"/>
  <c r="I41" i="19" s="1"/>
  <c r="I41" i="18" s="1"/>
  <c r="I41" i="11" s="1"/>
  <c r="I41" i="13" s="1"/>
  <c r="I40" i="12"/>
  <c r="I40" i="17" s="1"/>
  <c r="I40" i="19" s="1"/>
  <c r="I40" i="18" s="1"/>
  <c r="I40" i="11" s="1"/>
  <c r="I40" i="13" s="1"/>
  <c r="I39" i="12"/>
  <c r="I39" i="17" s="1"/>
  <c r="I39" i="19" s="1"/>
  <c r="I39" i="18" s="1"/>
  <c r="I39" i="11" s="1"/>
  <c r="I39" i="13" s="1"/>
  <c r="G58" i="12"/>
  <c r="G58" i="17" s="1"/>
  <c r="G58" i="19" s="1"/>
  <c r="G58" i="18" s="1"/>
  <c r="G58" i="11" s="1"/>
  <c r="G58" i="13" s="1"/>
  <c r="G57" i="12"/>
  <c r="G57" i="17" s="1"/>
  <c r="G57" i="19" s="1"/>
  <c r="G57" i="18" s="1"/>
  <c r="G57" i="11" s="1"/>
  <c r="G57" i="13" s="1"/>
  <c r="G56" i="12"/>
  <c r="G56" i="17" s="1"/>
  <c r="G56" i="19" s="1"/>
  <c r="G56" i="18" s="1"/>
  <c r="G56" i="11" s="1"/>
  <c r="G56" i="13" s="1"/>
  <c r="G55" i="12"/>
  <c r="G55" i="17" s="1"/>
  <c r="G55" i="19" s="1"/>
  <c r="G55" i="18" s="1"/>
  <c r="G55" i="11" s="1"/>
  <c r="G55" i="13" s="1"/>
  <c r="G54" i="12"/>
  <c r="G54" i="17" s="1"/>
  <c r="G54" i="19" s="1"/>
  <c r="G54" i="18" s="1"/>
  <c r="G54" i="11" s="1"/>
  <c r="G54" i="13" s="1"/>
  <c r="G53" i="12"/>
  <c r="G53" i="17" s="1"/>
  <c r="G53" i="19" s="1"/>
  <c r="G53" i="18" s="1"/>
  <c r="G53" i="11" s="1"/>
  <c r="G53" i="13" s="1"/>
  <c r="G52" i="12"/>
  <c r="G52" i="17" s="1"/>
  <c r="G52" i="19" s="1"/>
  <c r="G52" i="18" s="1"/>
  <c r="G52" i="11" s="1"/>
  <c r="G52" i="13" s="1"/>
  <c r="G51" i="12"/>
  <c r="G51" i="17" s="1"/>
  <c r="G51" i="19" s="1"/>
  <c r="G51" i="18" s="1"/>
  <c r="G51" i="11" s="1"/>
  <c r="G51" i="13" s="1"/>
  <c r="G50" i="12"/>
  <c r="G50" i="17" s="1"/>
  <c r="G50" i="19" s="1"/>
  <c r="G50" i="18" s="1"/>
  <c r="G50" i="11" s="1"/>
  <c r="G50" i="13" s="1"/>
  <c r="G49" i="12"/>
  <c r="G49" i="17" s="1"/>
  <c r="G49" i="19" s="1"/>
  <c r="G49" i="18" s="1"/>
  <c r="G49" i="11" s="1"/>
  <c r="G49" i="13" s="1"/>
  <c r="G48" i="12"/>
  <c r="G48" i="17" s="1"/>
  <c r="G48" i="19" s="1"/>
  <c r="G48" i="18" s="1"/>
  <c r="G48" i="11" s="1"/>
  <c r="G48" i="13" s="1"/>
  <c r="G47" i="12"/>
  <c r="G47" i="17" s="1"/>
  <c r="G47" i="19" s="1"/>
  <c r="G47" i="18" s="1"/>
  <c r="G47" i="11" s="1"/>
  <c r="G47" i="13" s="1"/>
  <c r="G46" i="12"/>
  <c r="G46" i="17" s="1"/>
  <c r="G46" i="19" s="1"/>
  <c r="G46" i="18" s="1"/>
  <c r="G46" i="11" s="1"/>
  <c r="G46" i="13" s="1"/>
  <c r="G45" i="12"/>
  <c r="G45" i="17" s="1"/>
  <c r="G45" i="19" s="1"/>
  <c r="G45" i="18" s="1"/>
  <c r="G45" i="11" s="1"/>
  <c r="G45" i="13" s="1"/>
  <c r="G44" i="12"/>
  <c r="G44" i="17" s="1"/>
  <c r="G44" i="19" s="1"/>
  <c r="G44" i="18" s="1"/>
  <c r="G44" i="11" s="1"/>
  <c r="G44" i="13" s="1"/>
  <c r="G43" i="12"/>
  <c r="G43" i="17" s="1"/>
  <c r="G43" i="19" s="1"/>
  <c r="G43" i="18" s="1"/>
  <c r="G43" i="11" s="1"/>
  <c r="G43" i="13" s="1"/>
  <c r="G42" i="12"/>
  <c r="G42" i="17" s="1"/>
  <c r="G42" i="19" s="1"/>
  <c r="G42" i="18" s="1"/>
  <c r="G42" i="11" s="1"/>
  <c r="G42" i="13" s="1"/>
  <c r="G41" i="12"/>
  <c r="G41" i="17" s="1"/>
  <c r="G41" i="19" s="1"/>
  <c r="G41" i="18" s="1"/>
  <c r="G41" i="11" s="1"/>
  <c r="G41" i="13" s="1"/>
  <c r="G40" i="12"/>
  <c r="G40" i="17" s="1"/>
  <c r="G40" i="19" s="1"/>
  <c r="G40" i="18" s="1"/>
  <c r="G40" i="11" s="1"/>
  <c r="G40" i="13" s="1"/>
  <c r="G39" i="12"/>
  <c r="G39" i="17" s="1"/>
  <c r="G39" i="19" s="1"/>
  <c r="G39" i="18" s="1"/>
  <c r="G39" i="11" s="1"/>
  <c r="G39" i="13" s="1"/>
  <c r="E58" i="12"/>
  <c r="E58" i="17" s="1"/>
  <c r="E58" i="19" s="1"/>
  <c r="E58" i="18" s="1"/>
  <c r="E58" i="11" s="1"/>
  <c r="E58" i="13" s="1"/>
  <c r="E57" i="12"/>
  <c r="E57" i="17" s="1"/>
  <c r="E57" i="19" s="1"/>
  <c r="E57" i="18" s="1"/>
  <c r="E57" i="11" s="1"/>
  <c r="E57" i="13" s="1"/>
  <c r="E56" i="12"/>
  <c r="E56" i="17" s="1"/>
  <c r="E56" i="19" s="1"/>
  <c r="E56" i="18" s="1"/>
  <c r="E56" i="11" s="1"/>
  <c r="E56" i="13" s="1"/>
  <c r="E55" i="12"/>
  <c r="E55" i="17" s="1"/>
  <c r="E55" i="19" s="1"/>
  <c r="E55" i="18" s="1"/>
  <c r="E55" i="11" s="1"/>
  <c r="E55" i="13" s="1"/>
  <c r="E54" i="12"/>
  <c r="E54" i="17" s="1"/>
  <c r="E54" i="19" s="1"/>
  <c r="E54" i="18" s="1"/>
  <c r="E54" i="11" s="1"/>
  <c r="E54" i="13" s="1"/>
  <c r="E53" i="12"/>
  <c r="E53" i="17" s="1"/>
  <c r="E53" i="19" s="1"/>
  <c r="E53" i="18" s="1"/>
  <c r="E53" i="11" s="1"/>
  <c r="E53" i="13" s="1"/>
  <c r="E52" i="12"/>
  <c r="E52" i="17" s="1"/>
  <c r="E52" i="19" s="1"/>
  <c r="E52" i="18" s="1"/>
  <c r="E52" i="11" s="1"/>
  <c r="E52" i="13" s="1"/>
  <c r="E51" i="12"/>
  <c r="E51" i="17" s="1"/>
  <c r="E51" i="19" s="1"/>
  <c r="E51" i="18" s="1"/>
  <c r="E51" i="11" s="1"/>
  <c r="E51" i="13" s="1"/>
  <c r="E50" i="12"/>
  <c r="E50" i="17" s="1"/>
  <c r="E50" i="19" s="1"/>
  <c r="E50" i="18" s="1"/>
  <c r="E50" i="11" s="1"/>
  <c r="E50" i="13" s="1"/>
  <c r="E49" i="12"/>
  <c r="E49" i="17" s="1"/>
  <c r="E49" i="19" s="1"/>
  <c r="E49" i="18" s="1"/>
  <c r="E49" i="11" s="1"/>
  <c r="E49" i="13" s="1"/>
  <c r="E48" i="12"/>
  <c r="E48" i="17" s="1"/>
  <c r="E48" i="19" s="1"/>
  <c r="E48" i="18" s="1"/>
  <c r="E48" i="11" s="1"/>
  <c r="E48" i="13" s="1"/>
  <c r="E47" i="12"/>
  <c r="E47" i="17" s="1"/>
  <c r="E47" i="19" s="1"/>
  <c r="E47" i="18" s="1"/>
  <c r="E47" i="11" s="1"/>
  <c r="E47" i="13" s="1"/>
  <c r="E46" i="12"/>
  <c r="E46" i="17" s="1"/>
  <c r="E46" i="19" s="1"/>
  <c r="E46" i="18" s="1"/>
  <c r="E46" i="11" s="1"/>
  <c r="E46" i="13" s="1"/>
  <c r="E45" i="12"/>
  <c r="E45" i="17" s="1"/>
  <c r="E45" i="19" s="1"/>
  <c r="E45" i="18" s="1"/>
  <c r="E45" i="11" s="1"/>
  <c r="E45" i="13" s="1"/>
  <c r="E44" i="12"/>
  <c r="E44" i="17" s="1"/>
  <c r="E44" i="19" s="1"/>
  <c r="E44" i="18" s="1"/>
  <c r="E44" i="11" s="1"/>
  <c r="E44" i="13" s="1"/>
  <c r="E43" i="12"/>
  <c r="E43" i="17" s="1"/>
  <c r="E43" i="19" s="1"/>
  <c r="E43" i="18" s="1"/>
  <c r="E43" i="11" s="1"/>
  <c r="E43" i="13" s="1"/>
  <c r="E42" i="12"/>
  <c r="E42" i="17" s="1"/>
  <c r="E42" i="19" s="1"/>
  <c r="E42" i="18" s="1"/>
  <c r="E42" i="11" s="1"/>
  <c r="E42" i="13" s="1"/>
  <c r="E41" i="12"/>
  <c r="E41" i="17" s="1"/>
  <c r="E41" i="19" s="1"/>
  <c r="E41" i="18" s="1"/>
  <c r="E41" i="11" s="1"/>
  <c r="E41" i="13" s="1"/>
  <c r="E40" i="12"/>
  <c r="E40" i="17" s="1"/>
  <c r="E40" i="19" s="1"/>
  <c r="E40" i="18" s="1"/>
  <c r="E40" i="11" s="1"/>
  <c r="E40" i="13" s="1"/>
  <c r="E39" i="12"/>
  <c r="E39" i="17" s="1"/>
  <c r="E39" i="19" s="1"/>
  <c r="E39" i="18" s="1"/>
  <c r="E39" i="11" s="1"/>
  <c r="E39" i="13" s="1"/>
  <c r="C58" i="12"/>
  <c r="C58" i="17" s="1"/>
  <c r="C58" i="19" s="1"/>
  <c r="C58" i="18" s="1"/>
  <c r="C58" i="11" s="1"/>
  <c r="C58" i="13" s="1"/>
  <c r="B58" i="12"/>
  <c r="B58" i="17" s="1"/>
  <c r="C57" i="12"/>
  <c r="C57" i="17" s="1"/>
  <c r="C57" i="19" s="1"/>
  <c r="C57" i="18" s="1"/>
  <c r="C57" i="11" s="1"/>
  <c r="C57" i="13" s="1"/>
  <c r="B57" i="12"/>
  <c r="B57" i="17" s="1"/>
  <c r="C56" i="12"/>
  <c r="C56" i="17" s="1"/>
  <c r="C56" i="19" s="1"/>
  <c r="C56" i="18" s="1"/>
  <c r="C56" i="11" s="1"/>
  <c r="C56" i="13" s="1"/>
  <c r="B56" i="12"/>
  <c r="B56" i="17" s="1"/>
  <c r="C55" i="12"/>
  <c r="C55" i="17" s="1"/>
  <c r="C55" i="19" s="1"/>
  <c r="C55" i="18" s="1"/>
  <c r="C55" i="11" s="1"/>
  <c r="C55" i="13" s="1"/>
  <c r="B55" i="12"/>
  <c r="B55" i="17" s="1"/>
  <c r="C54" i="12"/>
  <c r="C54" i="17" s="1"/>
  <c r="C54" i="19" s="1"/>
  <c r="C54" i="18" s="1"/>
  <c r="C54" i="11" s="1"/>
  <c r="C54" i="13" s="1"/>
  <c r="B54" i="12"/>
  <c r="B54" i="17" s="1"/>
  <c r="C53" i="12"/>
  <c r="C53" i="17" s="1"/>
  <c r="C53" i="19" s="1"/>
  <c r="C53" i="18" s="1"/>
  <c r="C53" i="11" s="1"/>
  <c r="C53" i="13" s="1"/>
  <c r="B53" i="12"/>
  <c r="B53" i="17" s="1"/>
  <c r="C52" i="12"/>
  <c r="C52" i="17" s="1"/>
  <c r="C52" i="19" s="1"/>
  <c r="C52" i="18" s="1"/>
  <c r="C52" i="11" s="1"/>
  <c r="C52" i="13" s="1"/>
  <c r="B52" i="12"/>
  <c r="B52" i="17" s="1"/>
  <c r="C51" i="12"/>
  <c r="C51" i="17" s="1"/>
  <c r="C51" i="19" s="1"/>
  <c r="C51" i="18" s="1"/>
  <c r="C51" i="11" s="1"/>
  <c r="C51" i="13" s="1"/>
  <c r="B51" i="12"/>
  <c r="B51" i="17" s="1"/>
  <c r="C50" i="12"/>
  <c r="C50" i="17" s="1"/>
  <c r="C50" i="19" s="1"/>
  <c r="C50" i="18" s="1"/>
  <c r="C50" i="11" s="1"/>
  <c r="C50" i="13" s="1"/>
  <c r="B50" i="12"/>
  <c r="B50" i="17" s="1"/>
  <c r="C49" i="12"/>
  <c r="C49" i="17" s="1"/>
  <c r="C49" i="19" s="1"/>
  <c r="C49" i="18" s="1"/>
  <c r="C49" i="11" s="1"/>
  <c r="C49" i="13" s="1"/>
  <c r="B49" i="12"/>
  <c r="B49" i="17" s="1"/>
  <c r="C48" i="12"/>
  <c r="C48" i="17" s="1"/>
  <c r="C48" i="19" s="1"/>
  <c r="C48" i="18" s="1"/>
  <c r="C48" i="11" s="1"/>
  <c r="C48" i="13" s="1"/>
  <c r="B48" i="12"/>
  <c r="B48" i="17" s="1"/>
  <c r="C47" i="12"/>
  <c r="C47" i="17" s="1"/>
  <c r="C47" i="19" s="1"/>
  <c r="C47" i="18" s="1"/>
  <c r="C47" i="11" s="1"/>
  <c r="C47" i="13" s="1"/>
  <c r="B47" i="12"/>
  <c r="B47" i="17" s="1"/>
  <c r="C46" i="12"/>
  <c r="C46" i="17" s="1"/>
  <c r="C46" i="19" s="1"/>
  <c r="C46" i="18" s="1"/>
  <c r="C46" i="11" s="1"/>
  <c r="C46" i="13" s="1"/>
  <c r="B46" i="12"/>
  <c r="B46" i="17" s="1"/>
  <c r="C45" i="12"/>
  <c r="C45" i="17" s="1"/>
  <c r="C45" i="19" s="1"/>
  <c r="C45" i="18" s="1"/>
  <c r="C45" i="11" s="1"/>
  <c r="C45" i="13" s="1"/>
  <c r="B45" i="12"/>
  <c r="B45" i="17" s="1"/>
  <c r="C44" i="12"/>
  <c r="C44" i="17" s="1"/>
  <c r="C44" i="19" s="1"/>
  <c r="C44" i="18" s="1"/>
  <c r="C44" i="11" s="1"/>
  <c r="C44" i="13" s="1"/>
  <c r="B44" i="12"/>
  <c r="B44" i="17" s="1"/>
  <c r="C43" i="12"/>
  <c r="C43" i="17" s="1"/>
  <c r="C43" i="19" s="1"/>
  <c r="C43" i="18" s="1"/>
  <c r="C43" i="11" s="1"/>
  <c r="C43" i="13" s="1"/>
  <c r="B43" i="12"/>
  <c r="B43" i="17" s="1"/>
  <c r="C42" i="12"/>
  <c r="C42" i="17" s="1"/>
  <c r="C42" i="19" s="1"/>
  <c r="C42" i="18" s="1"/>
  <c r="C42" i="11" s="1"/>
  <c r="C42" i="13" s="1"/>
  <c r="B42" i="12"/>
  <c r="B42" i="17" s="1"/>
  <c r="C41" i="12"/>
  <c r="C41" i="17" s="1"/>
  <c r="C41" i="19" s="1"/>
  <c r="C41" i="18" s="1"/>
  <c r="C41" i="11" s="1"/>
  <c r="C41" i="13" s="1"/>
  <c r="B41" i="12"/>
  <c r="B41" i="17" s="1"/>
  <c r="C40" i="12"/>
  <c r="C40" i="17" s="1"/>
  <c r="C40" i="19" s="1"/>
  <c r="C40" i="18" s="1"/>
  <c r="C40" i="11" s="1"/>
  <c r="C40" i="13" s="1"/>
  <c r="B40" i="12"/>
  <c r="B40" i="17" s="1"/>
  <c r="C39" i="12"/>
  <c r="C39" i="17" s="1"/>
  <c r="C39" i="19" s="1"/>
  <c r="C39" i="18" s="1"/>
  <c r="C39" i="11" s="1"/>
  <c r="C39" i="13" s="1"/>
  <c r="B39" i="12"/>
  <c r="B39" i="17" s="1"/>
  <c r="BI37" i="12"/>
  <c r="BI37" i="17" s="1"/>
  <c r="BI37" i="19" s="1"/>
  <c r="BI37" i="18" s="1"/>
  <c r="BI37" i="11" s="1"/>
  <c r="BI37" i="13" s="1"/>
  <c r="BI36" i="12"/>
  <c r="BI36" i="17" s="1"/>
  <c r="BI36" i="19" s="1"/>
  <c r="BI36" i="18" s="1"/>
  <c r="BI36" i="11" s="1"/>
  <c r="BI36" i="13" s="1"/>
  <c r="BI35" i="12"/>
  <c r="BI35" i="17" s="1"/>
  <c r="BI35" i="19" s="1"/>
  <c r="BI35" i="18" s="1"/>
  <c r="BI35" i="11" s="1"/>
  <c r="BI35" i="13" s="1"/>
  <c r="BI34" i="12"/>
  <c r="BI34" i="17" s="1"/>
  <c r="BI34" i="19" s="1"/>
  <c r="BI34" i="18" s="1"/>
  <c r="BI34" i="11" s="1"/>
  <c r="BI34" i="13" s="1"/>
  <c r="BI33" i="12"/>
  <c r="BI33" i="17" s="1"/>
  <c r="BI33" i="19" s="1"/>
  <c r="BI33" i="18" s="1"/>
  <c r="BI33" i="11" s="1"/>
  <c r="BI33" i="13" s="1"/>
  <c r="BI32" i="12"/>
  <c r="BI32" i="17" s="1"/>
  <c r="BI32" i="19" s="1"/>
  <c r="BI32" i="18" s="1"/>
  <c r="BI32" i="11" s="1"/>
  <c r="BI32" i="13" s="1"/>
  <c r="BI31" i="12"/>
  <c r="BI31" i="17" s="1"/>
  <c r="BI31" i="19" s="1"/>
  <c r="BI31" i="18" s="1"/>
  <c r="BI31" i="11" s="1"/>
  <c r="BI31" i="13" s="1"/>
  <c r="BI30" i="12"/>
  <c r="BI30" i="17" s="1"/>
  <c r="BI30" i="19" s="1"/>
  <c r="BI30" i="18" s="1"/>
  <c r="BI30" i="11" s="1"/>
  <c r="BI30" i="13" s="1"/>
  <c r="BI29" i="12"/>
  <c r="BI29" i="17" s="1"/>
  <c r="BI29" i="19" s="1"/>
  <c r="BI29" i="18" s="1"/>
  <c r="BI29" i="11" s="1"/>
  <c r="BI29" i="13" s="1"/>
  <c r="BI28" i="12"/>
  <c r="BI28" i="17" s="1"/>
  <c r="BI28" i="19" s="1"/>
  <c r="BI28" i="18" s="1"/>
  <c r="BI28" i="11" s="1"/>
  <c r="BI28" i="13" s="1"/>
  <c r="BI27" i="12"/>
  <c r="BI27" i="17" s="1"/>
  <c r="BI27" i="19" s="1"/>
  <c r="BI27" i="18" s="1"/>
  <c r="BI27" i="11" s="1"/>
  <c r="BI27" i="13" s="1"/>
  <c r="BI26" i="12"/>
  <c r="BI26" i="17" s="1"/>
  <c r="BI26" i="19" s="1"/>
  <c r="BI26" i="18" s="1"/>
  <c r="BI26" i="11" s="1"/>
  <c r="BI26" i="13" s="1"/>
  <c r="BG37" i="12"/>
  <c r="BG37" i="17" s="1"/>
  <c r="BG37" i="19" s="1"/>
  <c r="BG37" i="18" s="1"/>
  <c r="BG37" i="11" s="1"/>
  <c r="BG37" i="13" s="1"/>
  <c r="BG36" i="12"/>
  <c r="BG36" i="17" s="1"/>
  <c r="BG36" i="19" s="1"/>
  <c r="BG36" i="18" s="1"/>
  <c r="BG36" i="11" s="1"/>
  <c r="BG36" i="13" s="1"/>
  <c r="BG35" i="12"/>
  <c r="BG35" i="17" s="1"/>
  <c r="BG35" i="19" s="1"/>
  <c r="BG35" i="18" s="1"/>
  <c r="BG35" i="11" s="1"/>
  <c r="BG35" i="13" s="1"/>
  <c r="BG34" i="12"/>
  <c r="BG34" i="17" s="1"/>
  <c r="BG34" i="19" s="1"/>
  <c r="BG34" i="18" s="1"/>
  <c r="BG34" i="11" s="1"/>
  <c r="BG34" i="13" s="1"/>
  <c r="BG33" i="12"/>
  <c r="BG33" i="17" s="1"/>
  <c r="BG33" i="19" s="1"/>
  <c r="BG33" i="18" s="1"/>
  <c r="BG33" i="11" s="1"/>
  <c r="BG33" i="13" s="1"/>
  <c r="BG32" i="12"/>
  <c r="BG32" i="17" s="1"/>
  <c r="BG32" i="19" s="1"/>
  <c r="BG32" i="18" s="1"/>
  <c r="BG32" i="11" s="1"/>
  <c r="BG32" i="13" s="1"/>
  <c r="BG31" i="12"/>
  <c r="BG31" i="17" s="1"/>
  <c r="BG31" i="19" s="1"/>
  <c r="BG31" i="18" s="1"/>
  <c r="BG31" i="11" s="1"/>
  <c r="BG31" i="13" s="1"/>
  <c r="BG30" i="12"/>
  <c r="BG30" i="17" s="1"/>
  <c r="BG30" i="19" s="1"/>
  <c r="BG30" i="18" s="1"/>
  <c r="BG30" i="11" s="1"/>
  <c r="BG30" i="13" s="1"/>
  <c r="BG29" i="12"/>
  <c r="BG29" i="17" s="1"/>
  <c r="BG29" i="19" s="1"/>
  <c r="BG29" i="18" s="1"/>
  <c r="BG29" i="11" s="1"/>
  <c r="BG29" i="13" s="1"/>
  <c r="BG28" i="12"/>
  <c r="BG28" i="17" s="1"/>
  <c r="BG28" i="19" s="1"/>
  <c r="BG28" i="18" s="1"/>
  <c r="BG28" i="11" s="1"/>
  <c r="BG28" i="13" s="1"/>
  <c r="BG27" i="12"/>
  <c r="BG27" i="17" s="1"/>
  <c r="BG27" i="19" s="1"/>
  <c r="BG27" i="18" s="1"/>
  <c r="BG27" i="11" s="1"/>
  <c r="BG27" i="13" s="1"/>
  <c r="BG26" i="12"/>
  <c r="BG26" i="17" s="1"/>
  <c r="BG26" i="19" s="1"/>
  <c r="BG26" i="18" s="1"/>
  <c r="BG26" i="11" s="1"/>
  <c r="BG26" i="13" s="1"/>
  <c r="BE37" i="12"/>
  <c r="BE37" i="17" s="1"/>
  <c r="BE37" i="19" s="1"/>
  <c r="BE37" i="18" s="1"/>
  <c r="BE37" i="11" s="1"/>
  <c r="BE37" i="13" s="1"/>
  <c r="BE36" i="12"/>
  <c r="BE36" i="17" s="1"/>
  <c r="BE36" i="19" s="1"/>
  <c r="BE36" i="18" s="1"/>
  <c r="BE36" i="11" s="1"/>
  <c r="BE36" i="13" s="1"/>
  <c r="BE35" i="12"/>
  <c r="BE35" i="17" s="1"/>
  <c r="BE35" i="19" s="1"/>
  <c r="BE35" i="18" s="1"/>
  <c r="BE35" i="11" s="1"/>
  <c r="BE35" i="13" s="1"/>
  <c r="BE34" i="12"/>
  <c r="BE34" i="17" s="1"/>
  <c r="BE34" i="19" s="1"/>
  <c r="BE34" i="18" s="1"/>
  <c r="BE34" i="11" s="1"/>
  <c r="BE34" i="13" s="1"/>
  <c r="BE33" i="12"/>
  <c r="BE33" i="17" s="1"/>
  <c r="BE33" i="19" s="1"/>
  <c r="BE33" i="18" s="1"/>
  <c r="BE33" i="11" s="1"/>
  <c r="BE33" i="13" s="1"/>
  <c r="BE32" i="12"/>
  <c r="BE32" i="17" s="1"/>
  <c r="BE32" i="19" s="1"/>
  <c r="BE32" i="18" s="1"/>
  <c r="BE32" i="11" s="1"/>
  <c r="BE32" i="13" s="1"/>
  <c r="BE31" i="12"/>
  <c r="BE31" i="17" s="1"/>
  <c r="BE31" i="19" s="1"/>
  <c r="BE31" i="18" s="1"/>
  <c r="BE31" i="11" s="1"/>
  <c r="BE31" i="13" s="1"/>
  <c r="BE30" i="12"/>
  <c r="BE30" i="17" s="1"/>
  <c r="BE30" i="19" s="1"/>
  <c r="BE30" i="18" s="1"/>
  <c r="BE30" i="11" s="1"/>
  <c r="BE30" i="13" s="1"/>
  <c r="BE29" i="12"/>
  <c r="BE29" i="17" s="1"/>
  <c r="BE29" i="19" s="1"/>
  <c r="BE29" i="18" s="1"/>
  <c r="BE29" i="11" s="1"/>
  <c r="BE29" i="13" s="1"/>
  <c r="BE28" i="12"/>
  <c r="BE28" i="17" s="1"/>
  <c r="BE28" i="19" s="1"/>
  <c r="BE28" i="18" s="1"/>
  <c r="BE28" i="11" s="1"/>
  <c r="BE28" i="13" s="1"/>
  <c r="BE27" i="12"/>
  <c r="BE27" i="17" s="1"/>
  <c r="BE27" i="19" s="1"/>
  <c r="BE27" i="18" s="1"/>
  <c r="BE27" i="11" s="1"/>
  <c r="BE27" i="13" s="1"/>
  <c r="BE26" i="12"/>
  <c r="BE26" i="17" s="1"/>
  <c r="BE26" i="19" s="1"/>
  <c r="BE26" i="18" s="1"/>
  <c r="BE26" i="11" s="1"/>
  <c r="BE26" i="13" s="1"/>
  <c r="BC37" i="12"/>
  <c r="BC37" i="17" s="1"/>
  <c r="BC37" i="19" s="1"/>
  <c r="BC37" i="18" s="1"/>
  <c r="BC37" i="11" s="1"/>
  <c r="BC37" i="13" s="1"/>
  <c r="BC36" i="12"/>
  <c r="BC36" i="17" s="1"/>
  <c r="BC36" i="19" s="1"/>
  <c r="BC36" i="18" s="1"/>
  <c r="BC36" i="11" s="1"/>
  <c r="BC36" i="13" s="1"/>
  <c r="BC35" i="12"/>
  <c r="BC35" i="17" s="1"/>
  <c r="BC35" i="19" s="1"/>
  <c r="BC35" i="18" s="1"/>
  <c r="BC35" i="11" s="1"/>
  <c r="BC35" i="13" s="1"/>
  <c r="BC34" i="12"/>
  <c r="BC34" i="17" s="1"/>
  <c r="BC34" i="19" s="1"/>
  <c r="BC34" i="18" s="1"/>
  <c r="BC34" i="11" s="1"/>
  <c r="BC34" i="13" s="1"/>
  <c r="BC33" i="12"/>
  <c r="BC33" i="17" s="1"/>
  <c r="BC33" i="19" s="1"/>
  <c r="BC33" i="18" s="1"/>
  <c r="BC33" i="11" s="1"/>
  <c r="BC33" i="13" s="1"/>
  <c r="BC32" i="12"/>
  <c r="BC32" i="17" s="1"/>
  <c r="BC32" i="19" s="1"/>
  <c r="BC32" i="18" s="1"/>
  <c r="BC32" i="11" s="1"/>
  <c r="BC32" i="13" s="1"/>
  <c r="BC31" i="12"/>
  <c r="BC31" i="17" s="1"/>
  <c r="BC31" i="19" s="1"/>
  <c r="BC31" i="18" s="1"/>
  <c r="BC31" i="11" s="1"/>
  <c r="BC31" i="13" s="1"/>
  <c r="BC30" i="12"/>
  <c r="BC30" i="17" s="1"/>
  <c r="BC30" i="19" s="1"/>
  <c r="BC30" i="18" s="1"/>
  <c r="BC30" i="11" s="1"/>
  <c r="BC30" i="13" s="1"/>
  <c r="BC29" i="12"/>
  <c r="BC29" i="17" s="1"/>
  <c r="BC29" i="19" s="1"/>
  <c r="BC29" i="18" s="1"/>
  <c r="BC29" i="11" s="1"/>
  <c r="BC29" i="13" s="1"/>
  <c r="BC28" i="12"/>
  <c r="BC28" i="17" s="1"/>
  <c r="BC28" i="19" s="1"/>
  <c r="BC28" i="18" s="1"/>
  <c r="BC28" i="11" s="1"/>
  <c r="BC28" i="13" s="1"/>
  <c r="BC27" i="12"/>
  <c r="BC27" i="17" s="1"/>
  <c r="BC27" i="19" s="1"/>
  <c r="BC27" i="18" s="1"/>
  <c r="BC27" i="11" s="1"/>
  <c r="BC27" i="13" s="1"/>
  <c r="BC26" i="12"/>
  <c r="BC26" i="17" s="1"/>
  <c r="BC26" i="19" s="1"/>
  <c r="BC26" i="18" s="1"/>
  <c r="BC26" i="11" s="1"/>
  <c r="BC26" i="13" s="1"/>
  <c r="BA37" i="12"/>
  <c r="BA37" i="17" s="1"/>
  <c r="BA37" i="19" s="1"/>
  <c r="BA37" i="18" s="1"/>
  <c r="BA37" i="11" s="1"/>
  <c r="BA37" i="13" s="1"/>
  <c r="BA36" i="12"/>
  <c r="BA36" i="17" s="1"/>
  <c r="BA36" i="19" s="1"/>
  <c r="BA36" i="18" s="1"/>
  <c r="BA36" i="11" s="1"/>
  <c r="BA36" i="13" s="1"/>
  <c r="BA35" i="12"/>
  <c r="BA35" i="17" s="1"/>
  <c r="BA35" i="19" s="1"/>
  <c r="BA35" i="18" s="1"/>
  <c r="BA35" i="11" s="1"/>
  <c r="BA35" i="13" s="1"/>
  <c r="BA34" i="12"/>
  <c r="BA34" i="17" s="1"/>
  <c r="BA34" i="19" s="1"/>
  <c r="BA34" i="18" s="1"/>
  <c r="BA34" i="11" s="1"/>
  <c r="BA34" i="13" s="1"/>
  <c r="BA33" i="12"/>
  <c r="BA33" i="17" s="1"/>
  <c r="BA33" i="19" s="1"/>
  <c r="BA33" i="18" s="1"/>
  <c r="BA33" i="11" s="1"/>
  <c r="BA33" i="13" s="1"/>
  <c r="BA32" i="12"/>
  <c r="BA32" i="17" s="1"/>
  <c r="BA32" i="19" s="1"/>
  <c r="BA32" i="18" s="1"/>
  <c r="BA32" i="11" s="1"/>
  <c r="BA32" i="13" s="1"/>
  <c r="BA31" i="12"/>
  <c r="BA31" i="17" s="1"/>
  <c r="BA31" i="19" s="1"/>
  <c r="BA31" i="18" s="1"/>
  <c r="BA31" i="11" s="1"/>
  <c r="BA31" i="13" s="1"/>
  <c r="BA30" i="12"/>
  <c r="BA30" i="17" s="1"/>
  <c r="BA30" i="19" s="1"/>
  <c r="BA30" i="18" s="1"/>
  <c r="BA30" i="11" s="1"/>
  <c r="BA30" i="13" s="1"/>
  <c r="BA29" i="12"/>
  <c r="BA29" i="17" s="1"/>
  <c r="BA29" i="19" s="1"/>
  <c r="BA29" i="18" s="1"/>
  <c r="BA29" i="11" s="1"/>
  <c r="BA29" i="13" s="1"/>
  <c r="BA28" i="12"/>
  <c r="BA28" i="17" s="1"/>
  <c r="BA28" i="19" s="1"/>
  <c r="BA28" i="18" s="1"/>
  <c r="BA28" i="11" s="1"/>
  <c r="BA28" i="13" s="1"/>
  <c r="BA27" i="12"/>
  <c r="BA27" i="17" s="1"/>
  <c r="BA27" i="19" s="1"/>
  <c r="BA27" i="18" s="1"/>
  <c r="BA27" i="11" s="1"/>
  <c r="BA27" i="13" s="1"/>
  <c r="BA26" i="12"/>
  <c r="BA26" i="17" s="1"/>
  <c r="BA26" i="19" s="1"/>
  <c r="BA26" i="18" s="1"/>
  <c r="BA26" i="11" s="1"/>
  <c r="BA26" i="13" s="1"/>
  <c r="AY37" i="12"/>
  <c r="AY37" i="17" s="1"/>
  <c r="AY37" i="19" s="1"/>
  <c r="AY37" i="18" s="1"/>
  <c r="AY37" i="11" s="1"/>
  <c r="AY37" i="13" s="1"/>
  <c r="AY36" i="12"/>
  <c r="AY36" i="17" s="1"/>
  <c r="AY36" i="19" s="1"/>
  <c r="AY36" i="18" s="1"/>
  <c r="AY36" i="11" s="1"/>
  <c r="AY36" i="13" s="1"/>
  <c r="AY35" i="12"/>
  <c r="AY35" i="17" s="1"/>
  <c r="AY35" i="19" s="1"/>
  <c r="AY35" i="18" s="1"/>
  <c r="AY35" i="11" s="1"/>
  <c r="AY35" i="13" s="1"/>
  <c r="AY34" i="12"/>
  <c r="AY34" i="17" s="1"/>
  <c r="AY34" i="19" s="1"/>
  <c r="AY34" i="18" s="1"/>
  <c r="AY34" i="11" s="1"/>
  <c r="AY34" i="13" s="1"/>
  <c r="AY33" i="12"/>
  <c r="AY33" i="17" s="1"/>
  <c r="AY33" i="19" s="1"/>
  <c r="AY33" i="18" s="1"/>
  <c r="AY33" i="11" s="1"/>
  <c r="AY33" i="13" s="1"/>
  <c r="AY32" i="12"/>
  <c r="AY32" i="17" s="1"/>
  <c r="AY32" i="19" s="1"/>
  <c r="AY32" i="18" s="1"/>
  <c r="AY32" i="11" s="1"/>
  <c r="AY32" i="13" s="1"/>
  <c r="AY31" i="12"/>
  <c r="AY31" i="17" s="1"/>
  <c r="AY31" i="19" s="1"/>
  <c r="AY31" i="18" s="1"/>
  <c r="AY31" i="11" s="1"/>
  <c r="AY31" i="13" s="1"/>
  <c r="AY30" i="12"/>
  <c r="AY30" i="17" s="1"/>
  <c r="AY30" i="19" s="1"/>
  <c r="AY30" i="18" s="1"/>
  <c r="AY30" i="11" s="1"/>
  <c r="AY30" i="13" s="1"/>
  <c r="AY29" i="12"/>
  <c r="AY29" i="17" s="1"/>
  <c r="AY29" i="19" s="1"/>
  <c r="AY29" i="18" s="1"/>
  <c r="AY29" i="11" s="1"/>
  <c r="AY29" i="13" s="1"/>
  <c r="AY28" i="12"/>
  <c r="AY28" i="17" s="1"/>
  <c r="AY28" i="19" s="1"/>
  <c r="AY28" i="18" s="1"/>
  <c r="AY28" i="11" s="1"/>
  <c r="AY28" i="13" s="1"/>
  <c r="AY27" i="12"/>
  <c r="AY27" i="17" s="1"/>
  <c r="AY27" i="19" s="1"/>
  <c r="AY27" i="18" s="1"/>
  <c r="AY27" i="11" s="1"/>
  <c r="AY27" i="13" s="1"/>
  <c r="AY26" i="12"/>
  <c r="AY26" i="17" s="1"/>
  <c r="AY26" i="19" s="1"/>
  <c r="AY26" i="18" s="1"/>
  <c r="AY26" i="11" s="1"/>
  <c r="AY26" i="13" s="1"/>
  <c r="AW37" i="12"/>
  <c r="AW37" i="17" s="1"/>
  <c r="AW37" i="19" s="1"/>
  <c r="AW37" i="18" s="1"/>
  <c r="AW37" i="11" s="1"/>
  <c r="AW37" i="13" s="1"/>
  <c r="AW36" i="12"/>
  <c r="AW36" i="17" s="1"/>
  <c r="AW36" i="19" s="1"/>
  <c r="AW36" i="18" s="1"/>
  <c r="AW36" i="11" s="1"/>
  <c r="AW36" i="13" s="1"/>
  <c r="AW35" i="12"/>
  <c r="AW35" i="17" s="1"/>
  <c r="AW35" i="19" s="1"/>
  <c r="AW35" i="18" s="1"/>
  <c r="AW35" i="11" s="1"/>
  <c r="AW35" i="13" s="1"/>
  <c r="AW34" i="12"/>
  <c r="AW34" i="17" s="1"/>
  <c r="AW34" i="19" s="1"/>
  <c r="AW34" i="18" s="1"/>
  <c r="AW34" i="11" s="1"/>
  <c r="AW34" i="13" s="1"/>
  <c r="AW33" i="12"/>
  <c r="AW33" i="17" s="1"/>
  <c r="AW33" i="19" s="1"/>
  <c r="AW33" i="18" s="1"/>
  <c r="AW33" i="11" s="1"/>
  <c r="AW33" i="13" s="1"/>
  <c r="AW32" i="12"/>
  <c r="AW32" i="17" s="1"/>
  <c r="AW32" i="19" s="1"/>
  <c r="AW32" i="18" s="1"/>
  <c r="AW32" i="11" s="1"/>
  <c r="AW32" i="13" s="1"/>
  <c r="AW31" i="12"/>
  <c r="AW31" i="17" s="1"/>
  <c r="AW31" i="19" s="1"/>
  <c r="AW31" i="18" s="1"/>
  <c r="AW31" i="11" s="1"/>
  <c r="AW31" i="13" s="1"/>
  <c r="AW30" i="12"/>
  <c r="AW30" i="17" s="1"/>
  <c r="AW30" i="19" s="1"/>
  <c r="AW30" i="18" s="1"/>
  <c r="AW30" i="11" s="1"/>
  <c r="AW30" i="13" s="1"/>
  <c r="AW29" i="12"/>
  <c r="AW29" i="17" s="1"/>
  <c r="AW29" i="19" s="1"/>
  <c r="AW29" i="18" s="1"/>
  <c r="AW29" i="11" s="1"/>
  <c r="AW29" i="13" s="1"/>
  <c r="AW28" i="12"/>
  <c r="AW28" i="17" s="1"/>
  <c r="AW28" i="19" s="1"/>
  <c r="AW28" i="18" s="1"/>
  <c r="AW28" i="11" s="1"/>
  <c r="AW28" i="13" s="1"/>
  <c r="AW27" i="12"/>
  <c r="AW27" i="17" s="1"/>
  <c r="AW27" i="19" s="1"/>
  <c r="AW27" i="18" s="1"/>
  <c r="AW27" i="11" s="1"/>
  <c r="AW27" i="13" s="1"/>
  <c r="AW26" i="12"/>
  <c r="AW26" i="17" s="1"/>
  <c r="AW26" i="19" s="1"/>
  <c r="AW26" i="18" s="1"/>
  <c r="AW26" i="11" s="1"/>
  <c r="AW26" i="13" s="1"/>
  <c r="AU37" i="12"/>
  <c r="AU37" i="17" s="1"/>
  <c r="AU37" i="19" s="1"/>
  <c r="AU37" i="18" s="1"/>
  <c r="AU37" i="11" s="1"/>
  <c r="AU37" i="13" s="1"/>
  <c r="AU36" i="12"/>
  <c r="AU36" i="17" s="1"/>
  <c r="AU36" i="19" s="1"/>
  <c r="AU36" i="18" s="1"/>
  <c r="AU36" i="11" s="1"/>
  <c r="AU36" i="13" s="1"/>
  <c r="AU35" i="12"/>
  <c r="AU35" i="17" s="1"/>
  <c r="AU35" i="19" s="1"/>
  <c r="AU35" i="18" s="1"/>
  <c r="AU35" i="11" s="1"/>
  <c r="AU35" i="13" s="1"/>
  <c r="AU34" i="12"/>
  <c r="AU34" i="17" s="1"/>
  <c r="AU34" i="19" s="1"/>
  <c r="AU34" i="18" s="1"/>
  <c r="AU34" i="11" s="1"/>
  <c r="AU34" i="13" s="1"/>
  <c r="AU33" i="12"/>
  <c r="AU33" i="17" s="1"/>
  <c r="AU33" i="19" s="1"/>
  <c r="AU33" i="18" s="1"/>
  <c r="AU33" i="11" s="1"/>
  <c r="AU33" i="13" s="1"/>
  <c r="AU32" i="12"/>
  <c r="AU32" i="17" s="1"/>
  <c r="AU32" i="19" s="1"/>
  <c r="AU32" i="18" s="1"/>
  <c r="AU32" i="11" s="1"/>
  <c r="AU32" i="13" s="1"/>
  <c r="AU31" i="12"/>
  <c r="AU31" i="17" s="1"/>
  <c r="AU31" i="19" s="1"/>
  <c r="AU31" i="18" s="1"/>
  <c r="AU31" i="11" s="1"/>
  <c r="AU31" i="13" s="1"/>
  <c r="AU30" i="12"/>
  <c r="AU30" i="17" s="1"/>
  <c r="AU30" i="19" s="1"/>
  <c r="AU30" i="18" s="1"/>
  <c r="AU30" i="11" s="1"/>
  <c r="AU30" i="13" s="1"/>
  <c r="AU29" i="12"/>
  <c r="AU29" i="17" s="1"/>
  <c r="AU29" i="19" s="1"/>
  <c r="AU29" i="18" s="1"/>
  <c r="AU29" i="11" s="1"/>
  <c r="AU29" i="13" s="1"/>
  <c r="AU28" i="12"/>
  <c r="AU28" i="17" s="1"/>
  <c r="AU28" i="19" s="1"/>
  <c r="AU28" i="18" s="1"/>
  <c r="AU28" i="11" s="1"/>
  <c r="AU28" i="13" s="1"/>
  <c r="AU27" i="12"/>
  <c r="AU27" i="17" s="1"/>
  <c r="AU27" i="19" s="1"/>
  <c r="AU27" i="18" s="1"/>
  <c r="AU27" i="11" s="1"/>
  <c r="AU27" i="13" s="1"/>
  <c r="AU26" i="12"/>
  <c r="AU26" i="17" s="1"/>
  <c r="AU26" i="19" s="1"/>
  <c r="AU26" i="18" s="1"/>
  <c r="AU26" i="11" s="1"/>
  <c r="AU26" i="13" s="1"/>
  <c r="AS37" i="12"/>
  <c r="AS37" i="17" s="1"/>
  <c r="AS37" i="19" s="1"/>
  <c r="AS37" i="18" s="1"/>
  <c r="AS37" i="11" s="1"/>
  <c r="AS37" i="13" s="1"/>
  <c r="AS36" i="12"/>
  <c r="AS36" i="17" s="1"/>
  <c r="AS36" i="19" s="1"/>
  <c r="AS36" i="18" s="1"/>
  <c r="AS36" i="11" s="1"/>
  <c r="AS36" i="13" s="1"/>
  <c r="AS35" i="12"/>
  <c r="AS35" i="17" s="1"/>
  <c r="AS35" i="19" s="1"/>
  <c r="AS35" i="18" s="1"/>
  <c r="AS35" i="11" s="1"/>
  <c r="AS35" i="13" s="1"/>
  <c r="AS34" i="12"/>
  <c r="AS34" i="17" s="1"/>
  <c r="AS34" i="19" s="1"/>
  <c r="AS34" i="18" s="1"/>
  <c r="AS34" i="11" s="1"/>
  <c r="AS34" i="13" s="1"/>
  <c r="AS33" i="12"/>
  <c r="AS33" i="17" s="1"/>
  <c r="AS33" i="19" s="1"/>
  <c r="AS33" i="18" s="1"/>
  <c r="AS33" i="11" s="1"/>
  <c r="AS33" i="13" s="1"/>
  <c r="AS32" i="12"/>
  <c r="AS32" i="17" s="1"/>
  <c r="AS32" i="19" s="1"/>
  <c r="AS32" i="18" s="1"/>
  <c r="AS32" i="11" s="1"/>
  <c r="AS32" i="13" s="1"/>
  <c r="AS31" i="12"/>
  <c r="AS31" i="17" s="1"/>
  <c r="AS31" i="19" s="1"/>
  <c r="AS31" i="18" s="1"/>
  <c r="AS31" i="11" s="1"/>
  <c r="AS31" i="13" s="1"/>
  <c r="AS30" i="12"/>
  <c r="AS30" i="17" s="1"/>
  <c r="AS30" i="19" s="1"/>
  <c r="AS30" i="18" s="1"/>
  <c r="AS30" i="11" s="1"/>
  <c r="AS30" i="13" s="1"/>
  <c r="AS29" i="12"/>
  <c r="AS29" i="17" s="1"/>
  <c r="AS29" i="19" s="1"/>
  <c r="AS29" i="18" s="1"/>
  <c r="AS29" i="11" s="1"/>
  <c r="AS29" i="13" s="1"/>
  <c r="AS28" i="12"/>
  <c r="AS28" i="17" s="1"/>
  <c r="AS28" i="19" s="1"/>
  <c r="AS28" i="18" s="1"/>
  <c r="AS28" i="11" s="1"/>
  <c r="AS28" i="13" s="1"/>
  <c r="AS27" i="12"/>
  <c r="AS27" i="17" s="1"/>
  <c r="AS27" i="19" s="1"/>
  <c r="AS27" i="18" s="1"/>
  <c r="AS27" i="11" s="1"/>
  <c r="AS27" i="13" s="1"/>
  <c r="AS26" i="12"/>
  <c r="AS26" i="17" s="1"/>
  <c r="AS26" i="19" s="1"/>
  <c r="AS26" i="18" s="1"/>
  <c r="AS26" i="11" s="1"/>
  <c r="AS26" i="13" s="1"/>
  <c r="AQ37" i="12"/>
  <c r="AQ37" i="17" s="1"/>
  <c r="AQ37" i="19" s="1"/>
  <c r="AQ37" i="18" s="1"/>
  <c r="AQ37" i="11" s="1"/>
  <c r="AQ37" i="13" s="1"/>
  <c r="AQ36" i="12"/>
  <c r="AQ36" i="17" s="1"/>
  <c r="AQ36" i="19" s="1"/>
  <c r="AQ36" i="18" s="1"/>
  <c r="AQ36" i="11" s="1"/>
  <c r="AQ36" i="13" s="1"/>
  <c r="AQ35" i="12"/>
  <c r="AQ35" i="17" s="1"/>
  <c r="AQ35" i="19" s="1"/>
  <c r="AQ35" i="18" s="1"/>
  <c r="AQ35" i="11" s="1"/>
  <c r="AQ35" i="13" s="1"/>
  <c r="AQ34" i="12"/>
  <c r="AQ34" i="17" s="1"/>
  <c r="AQ34" i="19" s="1"/>
  <c r="AQ34" i="18" s="1"/>
  <c r="AQ34" i="11" s="1"/>
  <c r="AQ34" i="13" s="1"/>
  <c r="AQ33" i="12"/>
  <c r="AQ33" i="17" s="1"/>
  <c r="AQ33" i="19" s="1"/>
  <c r="AQ33" i="18" s="1"/>
  <c r="AQ33" i="11" s="1"/>
  <c r="AQ33" i="13" s="1"/>
  <c r="AQ32" i="12"/>
  <c r="AQ32" i="17" s="1"/>
  <c r="AQ32" i="19" s="1"/>
  <c r="AQ32" i="18" s="1"/>
  <c r="AQ32" i="11" s="1"/>
  <c r="AQ32" i="13" s="1"/>
  <c r="AQ31" i="12"/>
  <c r="AQ31" i="17" s="1"/>
  <c r="AQ31" i="19" s="1"/>
  <c r="AQ31" i="18" s="1"/>
  <c r="AQ31" i="11" s="1"/>
  <c r="AQ31" i="13" s="1"/>
  <c r="AQ30" i="12"/>
  <c r="AQ30" i="17" s="1"/>
  <c r="AQ30" i="19" s="1"/>
  <c r="AQ30" i="18" s="1"/>
  <c r="AQ30" i="11" s="1"/>
  <c r="AQ30" i="13" s="1"/>
  <c r="AQ29" i="12"/>
  <c r="AQ29" i="17" s="1"/>
  <c r="AQ29" i="19" s="1"/>
  <c r="AQ29" i="18" s="1"/>
  <c r="AQ29" i="11" s="1"/>
  <c r="AQ29" i="13" s="1"/>
  <c r="AQ28" i="12"/>
  <c r="AQ28" i="17" s="1"/>
  <c r="AQ28" i="19" s="1"/>
  <c r="AQ28" i="18" s="1"/>
  <c r="AQ28" i="11" s="1"/>
  <c r="AQ28" i="13" s="1"/>
  <c r="AQ27" i="12"/>
  <c r="AQ27" i="17" s="1"/>
  <c r="AQ27" i="19" s="1"/>
  <c r="AQ27" i="18" s="1"/>
  <c r="AQ27" i="11" s="1"/>
  <c r="AQ27" i="13" s="1"/>
  <c r="AQ26" i="12"/>
  <c r="AQ26" i="17" s="1"/>
  <c r="AQ26" i="19" s="1"/>
  <c r="AQ26" i="18" s="1"/>
  <c r="AQ26" i="11" s="1"/>
  <c r="AQ26" i="13" s="1"/>
  <c r="AO37" i="12"/>
  <c r="AO37" i="17" s="1"/>
  <c r="AO37" i="19" s="1"/>
  <c r="AO37" i="18" s="1"/>
  <c r="AO37" i="11" s="1"/>
  <c r="AO37" i="13" s="1"/>
  <c r="AO36" i="12"/>
  <c r="AO36" i="17" s="1"/>
  <c r="AO36" i="19" s="1"/>
  <c r="AO36" i="18" s="1"/>
  <c r="AO36" i="11" s="1"/>
  <c r="AO36" i="13" s="1"/>
  <c r="AO35" i="12"/>
  <c r="AO35" i="17" s="1"/>
  <c r="AO35" i="19" s="1"/>
  <c r="AO35" i="18" s="1"/>
  <c r="AO35" i="11" s="1"/>
  <c r="AO35" i="13" s="1"/>
  <c r="AO34" i="12"/>
  <c r="AO34" i="17" s="1"/>
  <c r="AO34" i="19" s="1"/>
  <c r="AO34" i="18" s="1"/>
  <c r="AO34" i="11" s="1"/>
  <c r="AO34" i="13" s="1"/>
  <c r="AO33" i="12"/>
  <c r="AO33" i="17" s="1"/>
  <c r="AO33" i="19" s="1"/>
  <c r="AO33" i="18" s="1"/>
  <c r="AO33" i="11" s="1"/>
  <c r="AO33" i="13" s="1"/>
  <c r="AO32" i="12"/>
  <c r="AO32" i="17" s="1"/>
  <c r="AO32" i="19" s="1"/>
  <c r="AO32" i="18" s="1"/>
  <c r="AO32" i="11" s="1"/>
  <c r="AO32" i="13" s="1"/>
  <c r="AO31" i="12"/>
  <c r="AO31" i="17" s="1"/>
  <c r="AO31" i="19" s="1"/>
  <c r="AO31" i="18" s="1"/>
  <c r="AO31" i="11" s="1"/>
  <c r="AO31" i="13" s="1"/>
  <c r="AO30" i="12"/>
  <c r="AO30" i="17" s="1"/>
  <c r="AO30" i="19" s="1"/>
  <c r="AO30" i="18" s="1"/>
  <c r="AO30" i="11" s="1"/>
  <c r="AO30" i="13" s="1"/>
  <c r="AO29" i="12"/>
  <c r="AO29" i="17" s="1"/>
  <c r="AO29" i="19" s="1"/>
  <c r="AO29" i="18" s="1"/>
  <c r="AO29" i="11" s="1"/>
  <c r="AO29" i="13" s="1"/>
  <c r="AO28" i="12"/>
  <c r="AO28" i="17" s="1"/>
  <c r="AO28" i="19" s="1"/>
  <c r="AO28" i="18" s="1"/>
  <c r="AO28" i="11" s="1"/>
  <c r="AO28" i="13" s="1"/>
  <c r="AO27" i="12"/>
  <c r="AO27" i="17" s="1"/>
  <c r="AO27" i="19" s="1"/>
  <c r="AO27" i="18" s="1"/>
  <c r="AO27" i="11" s="1"/>
  <c r="AO27" i="13" s="1"/>
  <c r="AO26" i="12"/>
  <c r="AO26" i="17" s="1"/>
  <c r="AO26" i="19" s="1"/>
  <c r="AO26" i="18" s="1"/>
  <c r="AO26" i="11" s="1"/>
  <c r="AO26" i="13" s="1"/>
  <c r="AM37" i="12"/>
  <c r="AM37" i="17" s="1"/>
  <c r="AM37" i="19" s="1"/>
  <c r="AM37" i="18" s="1"/>
  <c r="AM37" i="11" s="1"/>
  <c r="AM37" i="13" s="1"/>
  <c r="AM36" i="12"/>
  <c r="AM36" i="17" s="1"/>
  <c r="AM36" i="19" s="1"/>
  <c r="AM36" i="18" s="1"/>
  <c r="AM36" i="11" s="1"/>
  <c r="AM36" i="13" s="1"/>
  <c r="AM35" i="12"/>
  <c r="AM35" i="17" s="1"/>
  <c r="AM35" i="19" s="1"/>
  <c r="AM35" i="18" s="1"/>
  <c r="AM35" i="11" s="1"/>
  <c r="AM35" i="13" s="1"/>
  <c r="AM34" i="12"/>
  <c r="AM34" i="17" s="1"/>
  <c r="AM34" i="19" s="1"/>
  <c r="AM34" i="18" s="1"/>
  <c r="AM34" i="11" s="1"/>
  <c r="AM34" i="13" s="1"/>
  <c r="AM33" i="12"/>
  <c r="AM33" i="17" s="1"/>
  <c r="AM33" i="19" s="1"/>
  <c r="AM33" i="18" s="1"/>
  <c r="AM33" i="11" s="1"/>
  <c r="AM33" i="13" s="1"/>
  <c r="AM32" i="12"/>
  <c r="AM32" i="17" s="1"/>
  <c r="AM32" i="19" s="1"/>
  <c r="AM32" i="18" s="1"/>
  <c r="AM32" i="11" s="1"/>
  <c r="AM32" i="13" s="1"/>
  <c r="AM31" i="12"/>
  <c r="AM31" i="17" s="1"/>
  <c r="AM31" i="19" s="1"/>
  <c r="AM31" i="18" s="1"/>
  <c r="AM31" i="11" s="1"/>
  <c r="AM31" i="13" s="1"/>
  <c r="AM30" i="12"/>
  <c r="AM30" i="17" s="1"/>
  <c r="AM30" i="19" s="1"/>
  <c r="AM30" i="18" s="1"/>
  <c r="AM30" i="11" s="1"/>
  <c r="AM30" i="13" s="1"/>
  <c r="AM29" i="12"/>
  <c r="AM29" i="17" s="1"/>
  <c r="AM29" i="19" s="1"/>
  <c r="AM29" i="18" s="1"/>
  <c r="AM29" i="11" s="1"/>
  <c r="AM29" i="13" s="1"/>
  <c r="AM28" i="12"/>
  <c r="AM28" i="17" s="1"/>
  <c r="AM28" i="19" s="1"/>
  <c r="AM28" i="18" s="1"/>
  <c r="AM28" i="11" s="1"/>
  <c r="AM28" i="13" s="1"/>
  <c r="AM27" i="12"/>
  <c r="AM27" i="17" s="1"/>
  <c r="AM27" i="19" s="1"/>
  <c r="AM27" i="18" s="1"/>
  <c r="AM27" i="11" s="1"/>
  <c r="AM27" i="13" s="1"/>
  <c r="AM26" i="12"/>
  <c r="AM26" i="17" s="1"/>
  <c r="AM26" i="19" s="1"/>
  <c r="AM26" i="18" s="1"/>
  <c r="AM26" i="11" s="1"/>
  <c r="AM26" i="13" s="1"/>
  <c r="AK37" i="12"/>
  <c r="AK37" i="17" s="1"/>
  <c r="AK37" i="19" s="1"/>
  <c r="AK37" i="18" s="1"/>
  <c r="AK37" i="11" s="1"/>
  <c r="AK37" i="13" s="1"/>
  <c r="AK36" i="12"/>
  <c r="AK36" i="17" s="1"/>
  <c r="AK36" i="19" s="1"/>
  <c r="AK36" i="18" s="1"/>
  <c r="AK36" i="11" s="1"/>
  <c r="AK36" i="13" s="1"/>
  <c r="AK35" i="12"/>
  <c r="AK35" i="17" s="1"/>
  <c r="AK35" i="19" s="1"/>
  <c r="AK35" i="18" s="1"/>
  <c r="AK35" i="11" s="1"/>
  <c r="AK35" i="13" s="1"/>
  <c r="AK34" i="12"/>
  <c r="AK34" i="17" s="1"/>
  <c r="AK34" i="19" s="1"/>
  <c r="AK34" i="18" s="1"/>
  <c r="AK34" i="11" s="1"/>
  <c r="AK34" i="13" s="1"/>
  <c r="AK33" i="12"/>
  <c r="AK33" i="17" s="1"/>
  <c r="AK33" i="19" s="1"/>
  <c r="AK33" i="18" s="1"/>
  <c r="AK33" i="11" s="1"/>
  <c r="AK33" i="13" s="1"/>
  <c r="AK32" i="12"/>
  <c r="AK32" i="17" s="1"/>
  <c r="AK32" i="19" s="1"/>
  <c r="AK32" i="18" s="1"/>
  <c r="AK32" i="11" s="1"/>
  <c r="AK32" i="13" s="1"/>
  <c r="AK31" i="12"/>
  <c r="AK31" i="17" s="1"/>
  <c r="AK31" i="19" s="1"/>
  <c r="AK31" i="18" s="1"/>
  <c r="AK31" i="11" s="1"/>
  <c r="AK31" i="13" s="1"/>
  <c r="AK30" i="12"/>
  <c r="AK30" i="17" s="1"/>
  <c r="AK30" i="19" s="1"/>
  <c r="AK30" i="18" s="1"/>
  <c r="AK30" i="11" s="1"/>
  <c r="AK30" i="13" s="1"/>
  <c r="AK29" i="12"/>
  <c r="AK29" i="17" s="1"/>
  <c r="AK29" i="19" s="1"/>
  <c r="AK29" i="18" s="1"/>
  <c r="AK29" i="11" s="1"/>
  <c r="AK29" i="13" s="1"/>
  <c r="AK28" i="12"/>
  <c r="AK28" i="17" s="1"/>
  <c r="AK28" i="19" s="1"/>
  <c r="AK28" i="18" s="1"/>
  <c r="AK28" i="11" s="1"/>
  <c r="AK28" i="13" s="1"/>
  <c r="AK27" i="12"/>
  <c r="AK27" i="17" s="1"/>
  <c r="AK27" i="19" s="1"/>
  <c r="AK27" i="18" s="1"/>
  <c r="AK27" i="11" s="1"/>
  <c r="AK27" i="13" s="1"/>
  <c r="AK26" i="12"/>
  <c r="AK26" i="17" s="1"/>
  <c r="AK26" i="19" s="1"/>
  <c r="AK26" i="18" s="1"/>
  <c r="AK26" i="11" s="1"/>
  <c r="AK26" i="13" s="1"/>
  <c r="AI37" i="12"/>
  <c r="AI37" i="17" s="1"/>
  <c r="AI37" i="19" s="1"/>
  <c r="AI37" i="18" s="1"/>
  <c r="AI37" i="11" s="1"/>
  <c r="AI37" i="13" s="1"/>
  <c r="AI36" i="12"/>
  <c r="AI36" i="17" s="1"/>
  <c r="AI36" i="19" s="1"/>
  <c r="AI36" i="18" s="1"/>
  <c r="AI36" i="11" s="1"/>
  <c r="AI36" i="13" s="1"/>
  <c r="AI35" i="12"/>
  <c r="AI35" i="17" s="1"/>
  <c r="AI35" i="19" s="1"/>
  <c r="AI35" i="18" s="1"/>
  <c r="AI35" i="11" s="1"/>
  <c r="AI35" i="13" s="1"/>
  <c r="AI34" i="12"/>
  <c r="AI34" i="17" s="1"/>
  <c r="AI34" i="19" s="1"/>
  <c r="AI34" i="18" s="1"/>
  <c r="AI34" i="11" s="1"/>
  <c r="AI34" i="13" s="1"/>
  <c r="AI33" i="12"/>
  <c r="AI33" i="17" s="1"/>
  <c r="AI33" i="19" s="1"/>
  <c r="AI33" i="18" s="1"/>
  <c r="AI33" i="11" s="1"/>
  <c r="AI33" i="13" s="1"/>
  <c r="AI32" i="12"/>
  <c r="AI32" i="17" s="1"/>
  <c r="AI32" i="19" s="1"/>
  <c r="AI32" i="18" s="1"/>
  <c r="AI32" i="11" s="1"/>
  <c r="AI32" i="13" s="1"/>
  <c r="AI31" i="12"/>
  <c r="AI31" i="17" s="1"/>
  <c r="AI31" i="19" s="1"/>
  <c r="AI31" i="18" s="1"/>
  <c r="AI31" i="11" s="1"/>
  <c r="AI31" i="13" s="1"/>
  <c r="AI30" i="12"/>
  <c r="AI30" i="17" s="1"/>
  <c r="AI30" i="19" s="1"/>
  <c r="AI30" i="18" s="1"/>
  <c r="AI30" i="11" s="1"/>
  <c r="AI30" i="13" s="1"/>
  <c r="AI29" i="12"/>
  <c r="AI29" i="17" s="1"/>
  <c r="AI29" i="19" s="1"/>
  <c r="AI29" i="18" s="1"/>
  <c r="AI29" i="11" s="1"/>
  <c r="AI29" i="13" s="1"/>
  <c r="AI28" i="12"/>
  <c r="AI28" i="17" s="1"/>
  <c r="AI28" i="19" s="1"/>
  <c r="AI28" i="18" s="1"/>
  <c r="AI28" i="11" s="1"/>
  <c r="AI28" i="13" s="1"/>
  <c r="AI27" i="12"/>
  <c r="AI27" i="17" s="1"/>
  <c r="AI27" i="19" s="1"/>
  <c r="AI27" i="18" s="1"/>
  <c r="AI27" i="11" s="1"/>
  <c r="AI27" i="13" s="1"/>
  <c r="AI26" i="12"/>
  <c r="AI26" i="17" s="1"/>
  <c r="AI26" i="19" s="1"/>
  <c r="AI26" i="18" s="1"/>
  <c r="AI26" i="11" s="1"/>
  <c r="AI26" i="13" s="1"/>
  <c r="AG37" i="12"/>
  <c r="AG37" i="17" s="1"/>
  <c r="AG37" i="19" s="1"/>
  <c r="AG37" i="18" s="1"/>
  <c r="AG37" i="11" s="1"/>
  <c r="AG37" i="13" s="1"/>
  <c r="AG36" i="12"/>
  <c r="AG36" i="17" s="1"/>
  <c r="AG36" i="19" s="1"/>
  <c r="AG36" i="18" s="1"/>
  <c r="AG36" i="11" s="1"/>
  <c r="AG36" i="13" s="1"/>
  <c r="AG35" i="12"/>
  <c r="AG35" i="17" s="1"/>
  <c r="AG35" i="19" s="1"/>
  <c r="AG35" i="18" s="1"/>
  <c r="AG35" i="11" s="1"/>
  <c r="AG35" i="13" s="1"/>
  <c r="AG34" i="12"/>
  <c r="AG34" i="17" s="1"/>
  <c r="AG34" i="19" s="1"/>
  <c r="AG34" i="18" s="1"/>
  <c r="AG34" i="11" s="1"/>
  <c r="AG34" i="13" s="1"/>
  <c r="AG33" i="12"/>
  <c r="AG33" i="17" s="1"/>
  <c r="AG33" i="19" s="1"/>
  <c r="AG33" i="18" s="1"/>
  <c r="AG33" i="11" s="1"/>
  <c r="AG33" i="13" s="1"/>
  <c r="AG32" i="12"/>
  <c r="AG32" i="17" s="1"/>
  <c r="AG32" i="19" s="1"/>
  <c r="AG32" i="18" s="1"/>
  <c r="AG32" i="11" s="1"/>
  <c r="AG32" i="13" s="1"/>
  <c r="AG31" i="12"/>
  <c r="AG31" i="17" s="1"/>
  <c r="AG31" i="19" s="1"/>
  <c r="AG31" i="18" s="1"/>
  <c r="AG31" i="11" s="1"/>
  <c r="AG31" i="13" s="1"/>
  <c r="AG30" i="12"/>
  <c r="AG30" i="17" s="1"/>
  <c r="AG30" i="19" s="1"/>
  <c r="AG30" i="18" s="1"/>
  <c r="AG30" i="11" s="1"/>
  <c r="AG30" i="13" s="1"/>
  <c r="AG29" i="12"/>
  <c r="AG29" i="17" s="1"/>
  <c r="AG29" i="19" s="1"/>
  <c r="AG29" i="18" s="1"/>
  <c r="AG29" i="11" s="1"/>
  <c r="AG29" i="13" s="1"/>
  <c r="AG28" i="12"/>
  <c r="AG28" i="17" s="1"/>
  <c r="AG28" i="19" s="1"/>
  <c r="AG28" i="18" s="1"/>
  <c r="AG28" i="11" s="1"/>
  <c r="AG28" i="13" s="1"/>
  <c r="AG27" i="12"/>
  <c r="AG27" i="17" s="1"/>
  <c r="AG27" i="19" s="1"/>
  <c r="AG27" i="18" s="1"/>
  <c r="AG27" i="11" s="1"/>
  <c r="AG27" i="13" s="1"/>
  <c r="AG26" i="12"/>
  <c r="AG26" i="17" s="1"/>
  <c r="AG26" i="19" s="1"/>
  <c r="AG26" i="18" s="1"/>
  <c r="AG26" i="11" s="1"/>
  <c r="AG26" i="13" s="1"/>
  <c r="AE37" i="12"/>
  <c r="AE37" i="17" s="1"/>
  <c r="AE37" i="19" s="1"/>
  <c r="AE37" i="18" s="1"/>
  <c r="AE37" i="11" s="1"/>
  <c r="AE37" i="13" s="1"/>
  <c r="AE36" i="12"/>
  <c r="AE36" i="17" s="1"/>
  <c r="AE36" i="19" s="1"/>
  <c r="AE36" i="18" s="1"/>
  <c r="AE36" i="11" s="1"/>
  <c r="AE36" i="13" s="1"/>
  <c r="AE35" i="12"/>
  <c r="AE35" i="17" s="1"/>
  <c r="AE35" i="19" s="1"/>
  <c r="AE35" i="18" s="1"/>
  <c r="AE35" i="11" s="1"/>
  <c r="AE35" i="13" s="1"/>
  <c r="AE34" i="12"/>
  <c r="AE34" i="17" s="1"/>
  <c r="AE34" i="19" s="1"/>
  <c r="AE34" i="18" s="1"/>
  <c r="AE34" i="11" s="1"/>
  <c r="AE34" i="13" s="1"/>
  <c r="AE33" i="12"/>
  <c r="AE33" i="17" s="1"/>
  <c r="AE33" i="19" s="1"/>
  <c r="AE33" i="18" s="1"/>
  <c r="AE33" i="11" s="1"/>
  <c r="AE33" i="13" s="1"/>
  <c r="AE32" i="12"/>
  <c r="AE32" i="17" s="1"/>
  <c r="AE32" i="19" s="1"/>
  <c r="AE32" i="18" s="1"/>
  <c r="AE32" i="11" s="1"/>
  <c r="AE32" i="13" s="1"/>
  <c r="AE31" i="12"/>
  <c r="AE31" i="17" s="1"/>
  <c r="AE31" i="19" s="1"/>
  <c r="AE31" i="18" s="1"/>
  <c r="AE31" i="11" s="1"/>
  <c r="AE31" i="13" s="1"/>
  <c r="AE30" i="12"/>
  <c r="AE30" i="17" s="1"/>
  <c r="AE30" i="19" s="1"/>
  <c r="AE30" i="18" s="1"/>
  <c r="AE30" i="11" s="1"/>
  <c r="AE30" i="13" s="1"/>
  <c r="AE29" i="12"/>
  <c r="AE29" i="17" s="1"/>
  <c r="AE29" i="19" s="1"/>
  <c r="AE29" i="18" s="1"/>
  <c r="AE29" i="11" s="1"/>
  <c r="AE29" i="13" s="1"/>
  <c r="AE28" i="12"/>
  <c r="AE28" i="17" s="1"/>
  <c r="AE28" i="19" s="1"/>
  <c r="AE28" i="18" s="1"/>
  <c r="AE28" i="11" s="1"/>
  <c r="AE28" i="13" s="1"/>
  <c r="AE27" i="12"/>
  <c r="AE27" i="17" s="1"/>
  <c r="AE27" i="19" s="1"/>
  <c r="AE27" i="18" s="1"/>
  <c r="AE27" i="11" s="1"/>
  <c r="AE27" i="13" s="1"/>
  <c r="AE26" i="12"/>
  <c r="AE26" i="17" s="1"/>
  <c r="AE26" i="19" s="1"/>
  <c r="AE26" i="18" s="1"/>
  <c r="AE26" i="11" s="1"/>
  <c r="AE26" i="13" s="1"/>
  <c r="AC37" i="12"/>
  <c r="AC37" i="17" s="1"/>
  <c r="AC37" i="19" s="1"/>
  <c r="AC37" i="18" s="1"/>
  <c r="AC37" i="11" s="1"/>
  <c r="AC37" i="13" s="1"/>
  <c r="AC36" i="12"/>
  <c r="AC36" i="17" s="1"/>
  <c r="AC36" i="19" s="1"/>
  <c r="AC36" i="18" s="1"/>
  <c r="AC36" i="11" s="1"/>
  <c r="AC36" i="13" s="1"/>
  <c r="AC35" i="12"/>
  <c r="AC35" i="17" s="1"/>
  <c r="AC35" i="19" s="1"/>
  <c r="AC35" i="18" s="1"/>
  <c r="AC35" i="11" s="1"/>
  <c r="AC35" i="13" s="1"/>
  <c r="AC34" i="12"/>
  <c r="AC34" i="17" s="1"/>
  <c r="AC34" i="19" s="1"/>
  <c r="AC34" i="18" s="1"/>
  <c r="AC34" i="11" s="1"/>
  <c r="AC34" i="13" s="1"/>
  <c r="AC33" i="12"/>
  <c r="AC33" i="17" s="1"/>
  <c r="AC33" i="19" s="1"/>
  <c r="AC33" i="18" s="1"/>
  <c r="AC33" i="11" s="1"/>
  <c r="AC33" i="13" s="1"/>
  <c r="AC32" i="12"/>
  <c r="AC32" i="17" s="1"/>
  <c r="AC32" i="19" s="1"/>
  <c r="AC32" i="18" s="1"/>
  <c r="AC32" i="11" s="1"/>
  <c r="AC32" i="13" s="1"/>
  <c r="AC31" i="12"/>
  <c r="AC31" i="17" s="1"/>
  <c r="AC31" i="19" s="1"/>
  <c r="AC31" i="18" s="1"/>
  <c r="AC31" i="11" s="1"/>
  <c r="AC31" i="13" s="1"/>
  <c r="AC30" i="12"/>
  <c r="AC30" i="17" s="1"/>
  <c r="AC30" i="19" s="1"/>
  <c r="AC30" i="18" s="1"/>
  <c r="AC30" i="11" s="1"/>
  <c r="AC30" i="13" s="1"/>
  <c r="AC29" i="12"/>
  <c r="AC29" i="17" s="1"/>
  <c r="AC29" i="19" s="1"/>
  <c r="AC29" i="18" s="1"/>
  <c r="AC29" i="11" s="1"/>
  <c r="AC29" i="13" s="1"/>
  <c r="AC28" i="12"/>
  <c r="AC28" i="17" s="1"/>
  <c r="AC28" i="19" s="1"/>
  <c r="AC28" i="18" s="1"/>
  <c r="AC28" i="11" s="1"/>
  <c r="AC28" i="13" s="1"/>
  <c r="AC27" i="12"/>
  <c r="AC27" i="17" s="1"/>
  <c r="AC27" i="19" s="1"/>
  <c r="AC27" i="18" s="1"/>
  <c r="AC27" i="11" s="1"/>
  <c r="AC27" i="13" s="1"/>
  <c r="AC26" i="12"/>
  <c r="AC26" i="17" s="1"/>
  <c r="AC26" i="19" s="1"/>
  <c r="AC26" i="18" s="1"/>
  <c r="AC26" i="11" s="1"/>
  <c r="AC26" i="13" s="1"/>
  <c r="AA37" i="12"/>
  <c r="AA37" i="17" s="1"/>
  <c r="AA37" i="19" s="1"/>
  <c r="AA37" i="18" s="1"/>
  <c r="AA37" i="11" s="1"/>
  <c r="AA37" i="13" s="1"/>
  <c r="AA36" i="12"/>
  <c r="AA36" i="17" s="1"/>
  <c r="AA36" i="19" s="1"/>
  <c r="AA36" i="18" s="1"/>
  <c r="AA36" i="11" s="1"/>
  <c r="AA36" i="13" s="1"/>
  <c r="AA35" i="12"/>
  <c r="AA35" i="17" s="1"/>
  <c r="AA35" i="19" s="1"/>
  <c r="AA35" i="18" s="1"/>
  <c r="AA35" i="11" s="1"/>
  <c r="AA35" i="13" s="1"/>
  <c r="AA34" i="12"/>
  <c r="AA34" i="17" s="1"/>
  <c r="AA34" i="19" s="1"/>
  <c r="AA34" i="18" s="1"/>
  <c r="AA34" i="11" s="1"/>
  <c r="AA34" i="13" s="1"/>
  <c r="AA33" i="12"/>
  <c r="AA33" i="17" s="1"/>
  <c r="AA33" i="19" s="1"/>
  <c r="AA33" i="18" s="1"/>
  <c r="AA33" i="11" s="1"/>
  <c r="AA33" i="13" s="1"/>
  <c r="AA32" i="12"/>
  <c r="AA32" i="17" s="1"/>
  <c r="AA32" i="19" s="1"/>
  <c r="AA32" i="18" s="1"/>
  <c r="AA32" i="11" s="1"/>
  <c r="AA32" i="13" s="1"/>
  <c r="AA31" i="12"/>
  <c r="AA31" i="17" s="1"/>
  <c r="AA31" i="19" s="1"/>
  <c r="AA31" i="18" s="1"/>
  <c r="AA31" i="11" s="1"/>
  <c r="AA31" i="13" s="1"/>
  <c r="AA30" i="12"/>
  <c r="AA30" i="17" s="1"/>
  <c r="AA30" i="19" s="1"/>
  <c r="AA30" i="18" s="1"/>
  <c r="AA30" i="11" s="1"/>
  <c r="AA30" i="13" s="1"/>
  <c r="AA29" i="12"/>
  <c r="AA29" i="17" s="1"/>
  <c r="AA29" i="19" s="1"/>
  <c r="AA29" i="18" s="1"/>
  <c r="AA29" i="11" s="1"/>
  <c r="AA29" i="13" s="1"/>
  <c r="AA28" i="12"/>
  <c r="AA28" i="17" s="1"/>
  <c r="AA28" i="19" s="1"/>
  <c r="AA28" i="18" s="1"/>
  <c r="AA28" i="11" s="1"/>
  <c r="AA28" i="13" s="1"/>
  <c r="AA27" i="12"/>
  <c r="AA27" i="17" s="1"/>
  <c r="AA27" i="19" s="1"/>
  <c r="AA27" i="18" s="1"/>
  <c r="AA27" i="11" s="1"/>
  <c r="AA27" i="13" s="1"/>
  <c r="AA26" i="12"/>
  <c r="AA26" i="17" s="1"/>
  <c r="AA26" i="19" s="1"/>
  <c r="AA26" i="18" s="1"/>
  <c r="AA26" i="11" s="1"/>
  <c r="AA26" i="13" s="1"/>
  <c r="Y37" i="12"/>
  <c r="Y37" i="17" s="1"/>
  <c r="Y37" i="19" s="1"/>
  <c r="Y37" i="18" s="1"/>
  <c r="Y37" i="11" s="1"/>
  <c r="Y37" i="13" s="1"/>
  <c r="Y36" i="12"/>
  <c r="Y36" i="17" s="1"/>
  <c r="Y36" i="19" s="1"/>
  <c r="Y36" i="18" s="1"/>
  <c r="Y36" i="11" s="1"/>
  <c r="Y36" i="13" s="1"/>
  <c r="Y35" i="12"/>
  <c r="Y35" i="17" s="1"/>
  <c r="Y35" i="19" s="1"/>
  <c r="Y35" i="18" s="1"/>
  <c r="Y35" i="11" s="1"/>
  <c r="Y35" i="13" s="1"/>
  <c r="Y34" i="12"/>
  <c r="Y34" i="17" s="1"/>
  <c r="Y34" i="19" s="1"/>
  <c r="Y34" i="18" s="1"/>
  <c r="Y34" i="11" s="1"/>
  <c r="Y34" i="13" s="1"/>
  <c r="Y33" i="12"/>
  <c r="Y33" i="17" s="1"/>
  <c r="Y33" i="19" s="1"/>
  <c r="Y33" i="18" s="1"/>
  <c r="Y33" i="11" s="1"/>
  <c r="Y33" i="13" s="1"/>
  <c r="Y32" i="12"/>
  <c r="Y32" i="17" s="1"/>
  <c r="Y32" i="19" s="1"/>
  <c r="Y32" i="18" s="1"/>
  <c r="Y32" i="11" s="1"/>
  <c r="Y32" i="13" s="1"/>
  <c r="Y31" i="12"/>
  <c r="Y31" i="17" s="1"/>
  <c r="Y31" i="19" s="1"/>
  <c r="Y31" i="18" s="1"/>
  <c r="Y31" i="11" s="1"/>
  <c r="Y31" i="13" s="1"/>
  <c r="Y30" i="12"/>
  <c r="Y30" i="17" s="1"/>
  <c r="Y30" i="19" s="1"/>
  <c r="Y30" i="18" s="1"/>
  <c r="Y30" i="11" s="1"/>
  <c r="Y30" i="13" s="1"/>
  <c r="Y29" i="12"/>
  <c r="Y29" i="17" s="1"/>
  <c r="Y29" i="19" s="1"/>
  <c r="Y29" i="18" s="1"/>
  <c r="Y29" i="11" s="1"/>
  <c r="Y29" i="13" s="1"/>
  <c r="Y28" i="12"/>
  <c r="Y28" i="17" s="1"/>
  <c r="Y28" i="19" s="1"/>
  <c r="Y28" i="18" s="1"/>
  <c r="Y28" i="11" s="1"/>
  <c r="Y28" i="13" s="1"/>
  <c r="Y27" i="12"/>
  <c r="Y27" i="17" s="1"/>
  <c r="Y27" i="19" s="1"/>
  <c r="Y27" i="18" s="1"/>
  <c r="Y27" i="11" s="1"/>
  <c r="Y27" i="13" s="1"/>
  <c r="Y26" i="12"/>
  <c r="Y26" i="17" s="1"/>
  <c r="Y26" i="19" s="1"/>
  <c r="Y26" i="18" s="1"/>
  <c r="Y26" i="11" s="1"/>
  <c r="Y26" i="13" s="1"/>
  <c r="W37" i="12"/>
  <c r="W37" i="17" s="1"/>
  <c r="W37" i="19" s="1"/>
  <c r="W37" i="18" s="1"/>
  <c r="W37" i="11" s="1"/>
  <c r="W37" i="13" s="1"/>
  <c r="W36" i="12"/>
  <c r="W36" i="17" s="1"/>
  <c r="W36" i="19" s="1"/>
  <c r="W36" i="18" s="1"/>
  <c r="W36" i="11" s="1"/>
  <c r="W36" i="13" s="1"/>
  <c r="W35" i="12"/>
  <c r="W35" i="17" s="1"/>
  <c r="W35" i="19" s="1"/>
  <c r="W35" i="18" s="1"/>
  <c r="W35" i="11" s="1"/>
  <c r="W35" i="13" s="1"/>
  <c r="W34" i="12"/>
  <c r="W34" i="17" s="1"/>
  <c r="W34" i="19" s="1"/>
  <c r="W34" i="18" s="1"/>
  <c r="W34" i="11" s="1"/>
  <c r="W34" i="13" s="1"/>
  <c r="W33" i="12"/>
  <c r="W33" i="17" s="1"/>
  <c r="W33" i="19" s="1"/>
  <c r="W33" i="18" s="1"/>
  <c r="W33" i="11" s="1"/>
  <c r="W33" i="13" s="1"/>
  <c r="W32" i="12"/>
  <c r="W32" i="17" s="1"/>
  <c r="W32" i="19" s="1"/>
  <c r="W32" i="18" s="1"/>
  <c r="W32" i="11" s="1"/>
  <c r="W32" i="13" s="1"/>
  <c r="W31" i="12"/>
  <c r="W31" i="17" s="1"/>
  <c r="W31" i="19" s="1"/>
  <c r="W31" i="18" s="1"/>
  <c r="W31" i="11" s="1"/>
  <c r="W31" i="13" s="1"/>
  <c r="W30" i="12"/>
  <c r="W30" i="17" s="1"/>
  <c r="W30" i="19" s="1"/>
  <c r="W30" i="18" s="1"/>
  <c r="W30" i="11" s="1"/>
  <c r="W30" i="13" s="1"/>
  <c r="W29" i="12"/>
  <c r="W29" i="17" s="1"/>
  <c r="W29" i="19" s="1"/>
  <c r="W29" i="18" s="1"/>
  <c r="W29" i="11" s="1"/>
  <c r="W29" i="13" s="1"/>
  <c r="W28" i="12"/>
  <c r="W28" i="17" s="1"/>
  <c r="W28" i="19" s="1"/>
  <c r="W28" i="18" s="1"/>
  <c r="W28" i="11" s="1"/>
  <c r="W28" i="13" s="1"/>
  <c r="W27" i="12"/>
  <c r="W27" i="17" s="1"/>
  <c r="W27" i="19" s="1"/>
  <c r="W27" i="18" s="1"/>
  <c r="W27" i="11" s="1"/>
  <c r="W27" i="13" s="1"/>
  <c r="W26" i="12"/>
  <c r="W26" i="17" s="1"/>
  <c r="W26" i="19" s="1"/>
  <c r="W26" i="18" s="1"/>
  <c r="W26" i="11" s="1"/>
  <c r="W26" i="13" s="1"/>
  <c r="U37" i="12"/>
  <c r="U37" i="17" s="1"/>
  <c r="U37" i="19" s="1"/>
  <c r="U37" i="18" s="1"/>
  <c r="U37" i="11" s="1"/>
  <c r="U37" i="13" s="1"/>
  <c r="U36" i="12"/>
  <c r="U36" i="17" s="1"/>
  <c r="U36" i="19" s="1"/>
  <c r="U36" i="18" s="1"/>
  <c r="U36" i="11" s="1"/>
  <c r="U36" i="13" s="1"/>
  <c r="U35" i="12"/>
  <c r="U35" i="17" s="1"/>
  <c r="U35" i="19" s="1"/>
  <c r="U35" i="18" s="1"/>
  <c r="U35" i="11" s="1"/>
  <c r="U35" i="13" s="1"/>
  <c r="U34" i="12"/>
  <c r="U34" i="17" s="1"/>
  <c r="U34" i="19" s="1"/>
  <c r="U34" i="18" s="1"/>
  <c r="U34" i="11" s="1"/>
  <c r="U34" i="13" s="1"/>
  <c r="U33" i="12"/>
  <c r="U33" i="17" s="1"/>
  <c r="U33" i="19" s="1"/>
  <c r="U33" i="18" s="1"/>
  <c r="U33" i="11" s="1"/>
  <c r="U33" i="13" s="1"/>
  <c r="U32" i="12"/>
  <c r="U32" i="17" s="1"/>
  <c r="U32" i="19" s="1"/>
  <c r="U32" i="18" s="1"/>
  <c r="U32" i="11" s="1"/>
  <c r="U32" i="13" s="1"/>
  <c r="U31" i="12"/>
  <c r="U31" i="17" s="1"/>
  <c r="U31" i="19" s="1"/>
  <c r="U31" i="18" s="1"/>
  <c r="U31" i="11" s="1"/>
  <c r="U31" i="13" s="1"/>
  <c r="U30" i="12"/>
  <c r="U30" i="17" s="1"/>
  <c r="U30" i="19" s="1"/>
  <c r="U30" i="18" s="1"/>
  <c r="U30" i="11" s="1"/>
  <c r="U30" i="13" s="1"/>
  <c r="U29" i="12"/>
  <c r="U29" i="17" s="1"/>
  <c r="U29" i="19" s="1"/>
  <c r="U29" i="18" s="1"/>
  <c r="U29" i="11" s="1"/>
  <c r="U29" i="13" s="1"/>
  <c r="U28" i="12"/>
  <c r="U28" i="17" s="1"/>
  <c r="U28" i="19" s="1"/>
  <c r="U28" i="18" s="1"/>
  <c r="U28" i="11" s="1"/>
  <c r="U28" i="13" s="1"/>
  <c r="U27" i="12"/>
  <c r="U27" i="17" s="1"/>
  <c r="U27" i="19" s="1"/>
  <c r="U27" i="18" s="1"/>
  <c r="U27" i="11" s="1"/>
  <c r="U27" i="13" s="1"/>
  <c r="U26" i="12"/>
  <c r="U26" i="17" s="1"/>
  <c r="U26" i="19" s="1"/>
  <c r="U26" i="18" s="1"/>
  <c r="U26" i="11" s="1"/>
  <c r="U26" i="13" s="1"/>
  <c r="S37" i="12"/>
  <c r="S37" i="17" s="1"/>
  <c r="S37" i="19" s="1"/>
  <c r="S37" i="18" s="1"/>
  <c r="S37" i="11" s="1"/>
  <c r="S37" i="13" s="1"/>
  <c r="S36" i="12"/>
  <c r="S36" i="17" s="1"/>
  <c r="S36" i="19" s="1"/>
  <c r="S36" i="18" s="1"/>
  <c r="S36" i="11" s="1"/>
  <c r="S36" i="13" s="1"/>
  <c r="S35" i="12"/>
  <c r="S35" i="17" s="1"/>
  <c r="S35" i="19" s="1"/>
  <c r="S35" i="18" s="1"/>
  <c r="S35" i="11" s="1"/>
  <c r="S35" i="13" s="1"/>
  <c r="S34" i="12"/>
  <c r="S34" i="17" s="1"/>
  <c r="S34" i="19" s="1"/>
  <c r="S34" i="18" s="1"/>
  <c r="S34" i="11" s="1"/>
  <c r="S34" i="13" s="1"/>
  <c r="S33" i="12"/>
  <c r="S33" i="17" s="1"/>
  <c r="S33" i="19" s="1"/>
  <c r="S33" i="18" s="1"/>
  <c r="S33" i="11" s="1"/>
  <c r="S33" i="13" s="1"/>
  <c r="S32" i="12"/>
  <c r="S32" i="17" s="1"/>
  <c r="S32" i="19" s="1"/>
  <c r="S32" i="18" s="1"/>
  <c r="S32" i="11" s="1"/>
  <c r="S32" i="13" s="1"/>
  <c r="S31" i="12"/>
  <c r="S31" i="17" s="1"/>
  <c r="S31" i="19" s="1"/>
  <c r="S31" i="18" s="1"/>
  <c r="S31" i="11" s="1"/>
  <c r="S31" i="13" s="1"/>
  <c r="S30" i="12"/>
  <c r="S30" i="17" s="1"/>
  <c r="S30" i="19" s="1"/>
  <c r="S30" i="18" s="1"/>
  <c r="S30" i="11" s="1"/>
  <c r="S30" i="13" s="1"/>
  <c r="S29" i="12"/>
  <c r="S29" i="17" s="1"/>
  <c r="S29" i="19" s="1"/>
  <c r="S29" i="18" s="1"/>
  <c r="S29" i="11" s="1"/>
  <c r="S29" i="13" s="1"/>
  <c r="S28" i="12"/>
  <c r="S28" i="17" s="1"/>
  <c r="S28" i="19" s="1"/>
  <c r="S28" i="18" s="1"/>
  <c r="S28" i="11" s="1"/>
  <c r="S28" i="13" s="1"/>
  <c r="S27" i="12"/>
  <c r="S27" i="17" s="1"/>
  <c r="S27" i="19" s="1"/>
  <c r="S27" i="18" s="1"/>
  <c r="S27" i="11" s="1"/>
  <c r="S27" i="13" s="1"/>
  <c r="S26" i="12"/>
  <c r="S26" i="17" s="1"/>
  <c r="S26" i="19" s="1"/>
  <c r="S26" i="18" s="1"/>
  <c r="S26" i="11" s="1"/>
  <c r="S26" i="13" s="1"/>
  <c r="Q37" i="12"/>
  <c r="Q37" i="17" s="1"/>
  <c r="Q37" i="19" s="1"/>
  <c r="Q37" i="18" s="1"/>
  <c r="Q37" i="11" s="1"/>
  <c r="Q37" i="13" s="1"/>
  <c r="Q36" i="12"/>
  <c r="Q36" i="17" s="1"/>
  <c r="Q36" i="19" s="1"/>
  <c r="Q36" i="18" s="1"/>
  <c r="Q36" i="11" s="1"/>
  <c r="Q36" i="13" s="1"/>
  <c r="Q35" i="12"/>
  <c r="Q35" i="17" s="1"/>
  <c r="Q35" i="19" s="1"/>
  <c r="Q35" i="18" s="1"/>
  <c r="Q35" i="11" s="1"/>
  <c r="Q35" i="13" s="1"/>
  <c r="Q34" i="12"/>
  <c r="Q34" i="17" s="1"/>
  <c r="Q34" i="19" s="1"/>
  <c r="Q34" i="18" s="1"/>
  <c r="Q34" i="11" s="1"/>
  <c r="Q34" i="13" s="1"/>
  <c r="Q33" i="12"/>
  <c r="Q33" i="17" s="1"/>
  <c r="Q33" i="19" s="1"/>
  <c r="Q33" i="18" s="1"/>
  <c r="Q33" i="11" s="1"/>
  <c r="Q33" i="13" s="1"/>
  <c r="Q32" i="12"/>
  <c r="Q32" i="17" s="1"/>
  <c r="Q32" i="19" s="1"/>
  <c r="Q32" i="18" s="1"/>
  <c r="Q32" i="11" s="1"/>
  <c r="Q32" i="13" s="1"/>
  <c r="Q31" i="12"/>
  <c r="Q31" i="17" s="1"/>
  <c r="Q31" i="19" s="1"/>
  <c r="Q31" i="18" s="1"/>
  <c r="Q31" i="11" s="1"/>
  <c r="Q31" i="13" s="1"/>
  <c r="Q30" i="12"/>
  <c r="Q30" i="17" s="1"/>
  <c r="Q30" i="19" s="1"/>
  <c r="Q30" i="18" s="1"/>
  <c r="Q30" i="11" s="1"/>
  <c r="Q30" i="13" s="1"/>
  <c r="Q29" i="12"/>
  <c r="Q29" i="17" s="1"/>
  <c r="Q29" i="19" s="1"/>
  <c r="Q29" i="18" s="1"/>
  <c r="Q29" i="11" s="1"/>
  <c r="Q29" i="13" s="1"/>
  <c r="Q28" i="12"/>
  <c r="Q28" i="17" s="1"/>
  <c r="Q28" i="19" s="1"/>
  <c r="Q28" i="18" s="1"/>
  <c r="Q28" i="11" s="1"/>
  <c r="Q28" i="13" s="1"/>
  <c r="Q27" i="12"/>
  <c r="Q27" i="17" s="1"/>
  <c r="Q27" i="19" s="1"/>
  <c r="Q27" i="18" s="1"/>
  <c r="Q27" i="11" s="1"/>
  <c r="Q27" i="13" s="1"/>
  <c r="Q26" i="12"/>
  <c r="Q26" i="17" s="1"/>
  <c r="Q26" i="19" s="1"/>
  <c r="Q26" i="18" s="1"/>
  <c r="Q26" i="11" s="1"/>
  <c r="Q26" i="13" s="1"/>
  <c r="O37" i="12"/>
  <c r="O37" i="17" s="1"/>
  <c r="O37" i="19" s="1"/>
  <c r="O37" i="18" s="1"/>
  <c r="O37" i="11" s="1"/>
  <c r="O37" i="13" s="1"/>
  <c r="O36" i="12"/>
  <c r="O36" i="17" s="1"/>
  <c r="O36" i="19" s="1"/>
  <c r="O36" i="18" s="1"/>
  <c r="O36" i="11" s="1"/>
  <c r="O36" i="13" s="1"/>
  <c r="O35" i="12"/>
  <c r="O35" i="17" s="1"/>
  <c r="O35" i="19" s="1"/>
  <c r="O35" i="18" s="1"/>
  <c r="O35" i="11" s="1"/>
  <c r="O35" i="13" s="1"/>
  <c r="O34" i="12"/>
  <c r="O34" i="17" s="1"/>
  <c r="O34" i="19" s="1"/>
  <c r="O34" i="18" s="1"/>
  <c r="O34" i="11" s="1"/>
  <c r="O34" i="13" s="1"/>
  <c r="O33" i="12"/>
  <c r="O33" i="17" s="1"/>
  <c r="O33" i="19" s="1"/>
  <c r="O33" i="18" s="1"/>
  <c r="O33" i="11" s="1"/>
  <c r="O33" i="13" s="1"/>
  <c r="O32" i="12"/>
  <c r="O32" i="17" s="1"/>
  <c r="O32" i="19" s="1"/>
  <c r="O32" i="18" s="1"/>
  <c r="O32" i="11" s="1"/>
  <c r="O32" i="13" s="1"/>
  <c r="O31" i="12"/>
  <c r="O31" i="17" s="1"/>
  <c r="O31" i="19" s="1"/>
  <c r="O31" i="18" s="1"/>
  <c r="O31" i="11" s="1"/>
  <c r="O31" i="13" s="1"/>
  <c r="O30" i="12"/>
  <c r="O30" i="17" s="1"/>
  <c r="O30" i="19" s="1"/>
  <c r="O30" i="18" s="1"/>
  <c r="O30" i="11" s="1"/>
  <c r="O30" i="13" s="1"/>
  <c r="O29" i="12"/>
  <c r="O29" i="17" s="1"/>
  <c r="O29" i="19" s="1"/>
  <c r="O29" i="18" s="1"/>
  <c r="O29" i="11" s="1"/>
  <c r="O29" i="13" s="1"/>
  <c r="O28" i="12"/>
  <c r="O28" i="17" s="1"/>
  <c r="O28" i="19" s="1"/>
  <c r="O28" i="18" s="1"/>
  <c r="O28" i="11" s="1"/>
  <c r="O28" i="13" s="1"/>
  <c r="O27" i="12"/>
  <c r="O27" i="17" s="1"/>
  <c r="O27" i="19" s="1"/>
  <c r="O27" i="18" s="1"/>
  <c r="O27" i="11" s="1"/>
  <c r="O27" i="13" s="1"/>
  <c r="O26" i="12"/>
  <c r="O26" i="17" s="1"/>
  <c r="O26" i="19" s="1"/>
  <c r="O26" i="18" s="1"/>
  <c r="O26" i="11" s="1"/>
  <c r="O26" i="13" s="1"/>
  <c r="M37" i="12"/>
  <c r="M37" i="17" s="1"/>
  <c r="M37" i="19" s="1"/>
  <c r="M37" i="18" s="1"/>
  <c r="M37" i="11" s="1"/>
  <c r="M37" i="13" s="1"/>
  <c r="M36" i="12"/>
  <c r="M36" i="17" s="1"/>
  <c r="M36" i="19" s="1"/>
  <c r="M36" i="18" s="1"/>
  <c r="M36" i="11" s="1"/>
  <c r="M36" i="13" s="1"/>
  <c r="M35" i="12"/>
  <c r="M35" i="17" s="1"/>
  <c r="M35" i="19" s="1"/>
  <c r="M35" i="18" s="1"/>
  <c r="M35" i="11" s="1"/>
  <c r="M35" i="13" s="1"/>
  <c r="M34" i="12"/>
  <c r="M34" i="17" s="1"/>
  <c r="M34" i="19" s="1"/>
  <c r="M34" i="18" s="1"/>
  <c r="M34" i="11" s="1"/>
  <c r="M34" i="13" s="1"/>
  <c r="M33" i="12"/>
  <c r="M33" i="17" s="1"/>
  <c r="M33" i="19" s="1"/>
  <c r="M33" i="18" s="1"/>
  <c r="M33" i="11" s="1"/>
  <c r="M33" i="13" s="1"/>
  <c r="M32" i="12"/>
  <c r="M32" i="17" s="1"/>
  <c r="M32" i="19" s="1"/>
  <c r="M32" i="18" s="1"/>
  <c r="M32" i="11" s="1"/>
  <c r="M32" i="13" s="1"/>
  <c r="M31" i="12"/>
  <c r="M31" i="17" s="1"/>
  <c r="M31" i="19" s="1"/>
  <c r="M31" i="18" s="1"/>
  <c r="M31" i="11" s="1"/>
  <c r="M31" i="13" s="1"/>
  <c r="M30" i="12"/>
  <c r="M30" i="17" s="1"/>
  <c r="M30" i="19" s="1"/>
  <c r="M30" i="18" s="1"/>
  <c r="M30" i="11" s="1"/>
  <c r="M30" i="13" s="1"/>
  <c r="M29" i="12"/>
  <c r="M29" i="17" s="1"/>
  <c r="M29" i="19" s="1"/>
  <c r="M29" i="18" s="1"/>
  <c r="M29" i="11" s="1"/>
  <c r="M29" i="13" s="1"/>
  <c r="M28" i="12"/>
  <c r="M28" i="17" s="1"/>
  <c r="M28" i="19" s="1"/>
  <c r="M28" i="18" s="1"/>
  <c r="M28" i="11" s="1"/>
  <c r="M28" i="13" s="1"/>
  <c r="M27" i="12"/>
  <c r="M27" i="17" s="1"/>
  <c r="M27" i="19" s="1"/>
  <c r="M27" i="18" s="1"/>
  <c r="M27" i="11" s="1"/>
  <c r="M27" i="13" s="1"/>
  <c r="M26" i="12"/>
  <c r="M26" i="17" s="1"/>
  <c r="M26" i="19" s="1"/>
  <c r="M26" i="18" s="1"/>
  <c r="M26" i="11" s="1"/>
  <c r="M26" i="13" s="1"/>
  <c r="K37" i="12"/>
  <c r="K37" i="17" s="1"/>
  <c r="K37" i="19" s="1"/>
  <c r="K37" i="18" s="1"/>
  <c r="K37" i="11" s="1"/>
  <c r="K37" i="13" s="1"/>
  <c r="K36" i="12"/>
  <c r="K36" i="17" s="1"/>
  <c r="K36" i="19" s="1"/>
  <c r="K36" i="18" s="1"/>
  <c r="K36" i="11" s="1"/>
  <c r="K36" i="13" s="1"/>
  <c r="K35" i="12"/>
  <c r="K35" i="17" s="1"/>
  <c r="K35" i="19" s="1"/>
  <c r="K35" i="18" s="1"/>
  <c r="K35" i="11" s="1"/>
  <c r="K35" i="13" s="1"/>
  <c r="K34" i="12"/>
  <c r="K34" i="17" s="1"/>
  <c r="K34" i="19" s="1"/>
  <c r="K34" i="18" s="1"/>
  <c r="K34" i="11" s="1"/>
  <c r="K34" i="13" s="1"/>
  <c r="K33" i="12"/>
  <c r="K33" i="17" s="1"/>
  <c r="K33" i="19" s="1"/>
  <c r="K33" i="18" s="1"/>
  <c r="K33" i="11" s="1"/>
  <c r="K33" i="13" s="1"/>
  <c r="K32" i="12"/>
  <c r="K32" i="17" s="1"/>
  <c r="K32" i="19" s="1"/>
  <c r="K32" i="18" s="1"/>
  <c r="K32" i="11" s="1"/>
  <c r="K32" i="13" s="1"/>
  <c r="K31" i="12"/>
  <c r="K31" i="17" s="1"/>
  <c r="K31" i="19" s="1"/>
  <c r="K31" i="18" s="1"/>
  <c r="K31" i="11" s="1"/>
  <c r="K31" i="13" s="1"/>
  <c r="K30" i="12"/>
  <c r="K30" i="17" s="1"/>
  <c r="K30" i="19" s="1"/>
  <c r="K30" i="18" s="1"/>
  <c r="K30" i="11" s="1"/>
  <c r="K30" i="13" s="1"/>
  <c r="K29" i="12"/>
  <c r="K29" i="17" s="1"/>
  <c r="K29" i="19" s="1"/>
  <c r="K29" i="18" s="1"/>
  <c r="K29" i="11" s="1"/>
  <c r="K29" i="13" s="1"/>
  <c r="K28" i="12"/>
  <c r="K28" i="17" s="1"/>
  <c r="K28" i="19" s="1"/>
  <c r="K28" i="18" s="1"/>
  <c r="K28" i="11" s="1"/>
  <c r="K28" i="13" s="1"/>
  <c r="K27" i="12"/>
  <c r="K27" i="17" s="1"/>
  <c r="K27" i="19" s="1"/>
  <c r="K27" i="18" s="1"/>
  <c r="K27" i="11" s="1"/>
  <c r="K27" i="13" s="1"/>
  <c r="K26" i="12"/>
  <c r="K26" i="17" s="1"/>
  <c r="K26" i="19" s="1"/>
  <c r="K26" i="18" s="1"/>
  <c r="K26" i="11" s="1"/>
  <c r="K26" i="13" s="1"/>
  <c r="I37" i="12"/>
  <c r="I37" i="17" s="1"/>
  <c r="I37" i="19" s="1"/>
  <c r="I37" i="18" s="1"/>
  <c r="I37" i="11" s="1"/>
  <c r="I37" i="13" s="1"/>
  <c r="I36" i="12"/>
  <c r="I36" i="17" s="1"/>
  <c r="I36" i="19" s="1"/>
  <c r="I36" i="18" s="1"/>
  <c r="I36" i="11" s="1"/>
  <c r="I36" i="13" s="1"/>
  <c r="I35" i="12"/>
  <c r="I35" i="17" s="1"/>
  <c r="I35" i="19" s="1"/>
  <c r="I35" i="18" s="1"/>
  <c r="I35" i="11" s="1"/>
  <c r="I35" i="13" s="1"/>
  <c r="I34" i="12"/>
  <c r="I34" i="17" s="1"/>
  <c r="I34" i="19" s="1"/>
  <c r="I34" i="18" s="1"/>
  <c r="I34" i="11" s="1"/>
  <c r="I34" i="13" s="1"/>
  <c r="I33" i="12"/>
  <c r="I33" i="17" s="1"/>
  <c r="I33" i="19" s="1"/>
  <c r="I33" i="18" s="1"/>
  <c r="I33" i="11" s="1"/>
  <c r="I33" i="13" s="1"/>
  <c r="I32" i="12"/>
  <c r="I32" i="17" s="1"/>
  <c r="I32" i="19" s="1"/>
  <c r="I32" i="18" s="1"/>
  <c r="I32" i="11" s="1"/>
  <c r="I32" i="13" s="1"/>
  <c r="I31" i="12"/>
  <c r="I31" i="17" s="1"/>
  <c r="I31" i="19" s="1"/>
  <c r="I31" i="18" s="1"/>
  <c r="I31" i="11" s="1"/>
  <c r="I31" i="13" s="1"/>
  <c r="I30" i="12"/>
  <c r="I30" i="17" s="1"/>
  <c r="I30" i="19" s="1"/>
  <c r="I30" i="18" s="1"/>
  <c r="I30" i="11" s="1"/>
  <c r="I30" i="13" s="1"/>
  <c r="I29" i="12"/>
  <c r="I29" i="17" s="1"/>
  <c r="I29" i="19" s="1"/>
  <c r="I29" i="18" s="1"/>
  <c r="I29" i="11" s="1"/>
  <c r="I29" i="13" s="1"/>
  <c r="I28" i="12"/>
  <c r="I28" i="17" s="1"/>
  <c r="I28" i="19" s="1"/>
  <c r="I28" i="18" s="1"/>
  <c r="I28" i="11" s="1"/>
  <c r="I28" i="13" s="1"/>
  <c r="I27" i="12"/>
  <c r="I27" i="17" s="1"/>
  <c r="I27" i="19" s="1"/>
  <c r="I27" i="18" s="1"/>
  <c r="I27" i="11" s="1"/>
  <c r="I27" i="13" s="1"/>
  <c r="I26" i="12"/>
  <c r="I26" i="17" s="1"/>
  <c r="I26" i="19" s="1"/>
  <c r="I26" i="18" s="1"/>
  <c r="I26" i="11" s="1"/>
  <c r="I26" i="13" s="1"/>
  <c r="G37" i="12"/>
  <c r="G37" i="17" s="1"/>
  <c r="G37" i="19" s="1"/>
  <c r="G37" i="18" s="1"/>
  <c r="G37" i="11" s="1"/>
  <c r="G37" i="13" s="1"/>
  <c r="G36" i="12"/>
  <c r="G36" i="17" s="1"/>
  <c r="G36" i="19" s="1"/>
  <c r="G36" i="18" s="1"/>
  <c r="G36" i="11" s="1"/>
  <c r="G36" i="13" s="1"/>
  <c r="G35" i="12"/>
  <c r="G35" i="17" s="1"/>
  <c r="G35" i="19" s="1"/>
  <c r="G35" i="18" s="1"/>
  <c r="G35" i="11" s="1"/>
  <c r="G35" i="13" s="1"/>
  <c r="G34" i="12"/>
  <c r="G34" i="17" s="1"/>
  <c r="G34" i="19" s="1"/>
  <c r="G34" i="18" s="1"/>
  <c r="G34" i="11" s="1"/>
  <c r="G34" i="13" s="1"/>
  <c r="G33" i="12"/>
  <c r="G33" i="17" s="1"/>
  <c r="G33" i="19" s="1"/>
  <c r="G33" i="18" s="1"/>
  <c r="G33" i="11" s="1"/>
  <c r="G33" i="13" s="1"/>
  <c r="G32" i="12"/>
  <c r="G32" i="17" s="1"/>
  <c r="G32" i="19" s="1"/>
  <c r="G32" i="18" s="1"/>
  <c r="G32" i="11" s="1"/>
  <c r="G32" i="13" s="1"/>
  <c r="G31" i="12"/>
  <c r="G31" i="17" s="1"/>
  <c r="G31" i="19" s="1"/>
  <c r="G31" i="18" s="1"/>
  <c r="G31" i="11" s="1"/>
  <c r="G31" i="13" s="1"/>
  <c r="G30" i="12"/>
  <c r="G30" i="17" s="1"/>
  <c r="G30" i="19" s="1"/>
  <c r="G30" i="18" s="1"/>
  <c r="G30" i="11" s="1"/>
  <c r="G30" i="13" s="1"/>
  <c r="G29" i="12"/>
  <c r="G29" i="17" s="1"/>
  <c r="G29" i="19" s="1"/>
  <c r="G29" i="18" s="1"/>
  <c r="G29" i="11" s="1"/>
  <c r="G29" i="13" s="1"/>
  <c r="G28" i="12"/>
  <c r="G28" i="17" s="1"/>
  <c r="G28" i="19" s="1"/>
  <c r="G28" i="18" s="1"/>
  <c r="G28" i="11" s="1"/>
  <c r="G28" i="13" s="1"/>
  <c r="G27" i="12"/>
  <c r="G27" i="17" s="1"/>
  <c r="G27" i="19" s="1"/>
  <c r="G27" i="18" s="1"/>
  <c r="G27" i="11" s="1"/>
  <c r="G27" i="13" s="1"/>
  <c r="G26" i="12"/>
  <c r="G26" i="17" s="1"/>
  <c r="G26" i="19" s="1"/>
  <c r="G26" i="18" s="1"/>
  <c r="G26" i="11" s="1"/>
  <c r="G26" i="13" s="1"/>
  <c r="E37" i="12"/>
  <c r="E37" i="17" s="1"/>
  <c r="E37" i="19" s="1"/>
  <c r="E37" i="18" s="1"/>
  <c r="E37" i="11" s="1"/>
  <c r="E37" i="13" s="1"/>
  <c r="E36" i="12"/>
  <c r="E36" i="17" s="1"/>
  <c r="E36" i="19" s="1"/>
  <c r="E36" i="18" s="1"/>
  <c r="E36" i="11" s="1"/>
  <c r="E36" i="13" s="1"/>
  <c r="E35" i="12"/>
  <c r="E35" i="17" s="1"/>
  <c r="E35" i="19" s="1"/>
  <c r="E35" i="18" s="1"/>
  <c r="E35" i="11" s="1"/>
  <c r="E35" i="13" s="1"/>
  <c r="E34" i="12"/>
  <c r="E34" i="17" s="1"/>
  <c r="E34" i="19" s="1"/>
  <c r="E34" i="18" s="1"/>
  <c r="E34" i="11" s="1"/>
  <c r="E34" i="13" s="1"/>
  <c r="E33" i="12"/>
  <c r="E33" i="17" s="1"/>
  <c r="E33" i="19" s="1"/>
  <c r="E33" i="18" s="1"/>
  <c r="E33" i="11" s="1"/>
  <c r="E33" i="13" s="1"/>
  <c r="E32" i="12"/>
  <c r="E32" i="17" s="1"/>
  <c r="E32" i="19" s="1"/>
  <c r="E32" i="18" s="1"/>
  <c r="E32" i="11" s="1"/>
  <c r="E32" i="13" s="1"/>
  <c r="E31" i="12"/>
  <c r="E31" i="17" s="1"/>
  <c r="E31" i="19" s="1"/>
  <c r="E31" i="18" s="1"/>
  <c r="E31" i="11" s="1"/>
  <c r="E31" i="13" s="1"/>
  <c r="E30" i="12"/>
  <c r="E30" i="17" s="1"/>
  <c r="E30" i="19" s="1"/>
  <c r="E30" i="18" s="1"/>
  <c r="E30" i="11" s="1"/>
  <c r="E30" i="13" s="1"/>
  <c r="E29" i="12"/>
  <c r="E29" i="17" s="1"/>
  <c r="E29" i="19" s="1"/>
  <c r="E29" i="18" s="1"/>
  <c r="E29" i="11" s="1"/>
  <c r="E29" i="13" s="1"/>
  <c r="E28" i="12"/>
  <c r="E28" i="17" s="1"/>
  <c r="E28" i="19" s="1"/>
  <c r="E28" i="18" s="1"/>
  <c r="E28" i="11" s="1"/>
  <c r="E28" i="13" s="1"/>
  <c r="E27" i="12"/>
  <c r="E27" i="17" s="1"/>
  <c r="E27" i="19" s="1"/>
  <c r="E27" i="18" s="1"/>
  <c r="E27" i="11" s="1"/>
  <c r="E27" i="13" s="1"/>
  <c r="E26" i="12"/>
  <c r="E26" i="17" s="1"/>
  <c r="E26" i="19" s="1"/>
  <c r="E26" i="18" s="1"/>
  <c r="E26" i="11" s="1"/>
  <c r="E26" i="13" s="1"/>
  <c r="C37" i="12"/>
  <c r="C37" i="17" s="1"/>
  <c r="C37" i="19" s="1"/>
  <c r="C37" i="18" s="1"/>
  <c r="C37" i="11" s="1"/>
  <c r="C37" i="13" s="1"/>
  <c r="B37" i="12"/>
  <c r="B37" i="17" s="1"/>
  <c r="C36" i="12"/>
  <c r="C36" i="17" s="1"/>
  <c r="C36" i="19" s="1"/>
  <c r="C36" i="18" s="1"/>
  <c r="C36" i="11" s="1"/>
  <c r="C36" i="13" s="1"/>
  <c r="B36" i="12"/>
  <c r="B36" i="17" s="1"/>
  <c r="C35" i="12"/>
  <c r="C35" i="17" s="1"/>
  <c r="C35" i="19" s="1"/>
  <c r="C35" i="18" s="1"/>
  <c r="C35" i="11" s="1"/>
  <c r="C35" i="13" s="1"/>
  <c r="B35" i="12"/>
  <c r="B35" i="17" s="1"/>
  <c r="C34" i="12"/>
  <c r="C34" i="17" s="1"/>
  <c r="C34" i="19" s="1"/>
  <c r="C34" i="18" s="1"/>
  <c r="C34" i="11" s="1"/>
  <c r="C34" i="13" s="1"/>
  <c r="B34" i="12"/>
  <c r="B34" i="17" s="1"/>
  <c r="C33" i="12"/>
  <c r="C33" i="17" s="1"/>
  <c r="C33" i="19" s="1"/>
  <c r="C33" i="18" s="1"/>
  <c r="C33" i="11" s="1"/>
  <c r="C33" i="13" s="1"/>
  <c r="B33" i="12"/>
  <c r="B33" i="17" s="1"/>
  <c r="C32" i="12"/>
  <c r="C32" i="17" s="1"/>
  <c r="C32" i="19" s="1"/>
  <c r="C32" i="18" s="1"/>
  <c r="C32" i="11" s="1"/>
  <c r="C32" i="13" s="1"/>
  <c r="B32" i="12"/>
  <c r="B32" i="17" s="1"/>
  <c r="C31" i="12"/>
  <c r="C31" i="17" s="1"/>
  <c r="C31" i="19" s="1"/>
  <c r="C31" i="18" s="1"/>
  <c r="C31" i="11" s="1"/>
  <c r="C31" i="13" s="1"/>
  <c r="B31" i="12"/>
  <c r="B31" i="17" s="1"/>
  <c r="C30" i="12"/>
  <c r="C30" i="17" s="1"/>
  <c r="C30" i="19" s="1"/>
  <c r="C30" i="18" s="1"/>
  <c r="C30" i="11" s="1"/>
  <c r="C30" i="13" s="1"/>
  <c r="B30" i="12"/>
  <c r="B30" i="17" s="1"/>
  <c r="C29" i="12"/>
  <c r="C29" i="17" s="1"/>
  <c r="C29" i="19" s="1"/>
  <c r="C29" i="18" s="1"/>
  <c r="C29" i="11" s="1"/>
  <c r="C29" i="13" s="1"/>
  <c r="B29" i="12"/>
  <c r="B29" i="17" s="1"/>
  <c r="C28" i="12"/>
  <c r="C28" i="17" s="1"/>
  <c r="C28" i="19" s="1"/>
  <c r="C28" i="18" s="1"/>
  <c r="C28" i="11" s="1"/>
  <c r="C28" i="13" s="1"/>
  <c r="B28" i="12"/>
  <c r="B28" i="17" s="1"/>
  <c r="C27" i="12"/>
  <c r="C27" i="17" s="1"/>
  <c r="C27" i="19" s="1"/>
  <c r="C27" i="18" s="1"/>
  <c r="C27" i="11" s="1"/>
  <c r="C27" i="13" s="1"/>
  <c r="B27" i="12"/>
  <c r="B27" i="17" s="1"/>
  <c r="C26" i="12"/>
  <c r="C26" i="17" s="1"/>
  <c r="C26" i="19" s="1"/>
  <c r="C26" i="18" s="1"/>
  <c r="C26" i="11" s="1"/>
  <c r="C26" i="13" s="1"/>
  <c r="B26" i="12"/>
  <c r="B26" i="17" s="1"/>
  <c r="BJ6" i="12"/>
  <c r="BJ5" i="12"/>
  <c r="BI4" i="12"/>
  <c r="BH6" i="12"/>
  <c r="BH5" i="12"/>
  <c r="BG4" i="12"/>
  <c r="BF6" i="12"/>
  <c r="BF5" i="12"/>
  <c r="BE4" i="12"/>
  <c r="BD6" i="12"/>
  <c r="BD5" i="12"/>
  <c r="BC4" i="12"/>
  <c r="BB6" i="12"/>
  <c r="BB5" i="12"/>
  <c r="BA4" i="12"/>
  <c r="AZ6" i="12"/>
  <c r="AZ5" i="12"/>
  <c r="AY4" i="12"/>
  <c r="AX6" i="12"/>
  <c r="AX5" i="12"/>
  <c r="AW4" i="12"/>
  <c r="AV6" i="12"/>
  <c r="AV5" i="12"/>
  <c r="AU4" i="12"/>
  <c r="AT6" i="12"/>
  <c r="AT5" i="12"/>
  <c r="AS4" i="12"/>
  <c r="AR6" i="12"/>
  <c r="AR5" i="12"/>
  <c r="AQ4" i="12"/>
  <c r="AP6" i="12"/>
  <c r="AP5" i="12"/>
  <c r="AO4" i="12"/>
  <c r="AN6" i="12"/>
  <c r="AN5" i="12"/>
  <c r="AM4" i="12"/>
  <c r="AL6" i="12"/>
  <c r="AL5" i="12"/>
  <c r="AK4" i="12"/>
  <c r="AJ6" i="12"/>
  <c r="AJ5" i="12"/>
  <c r="AI4" i="12"/>
  <c r="AH6" i="12"/>
  <c r="AH5" i="12"/>
  <c r="AG4" i="12"/>
  <c r="AF6" i="12"/>
  <c r="AF5" i="12"/>
  <c r="AE4" i="12"/>
  <c r="AD6" i="12"/>
  <c r="AD5" i="12"/>
  <c r="AC4" i="12"/>
  <c r="AB6" i="12"/>
  <c r="AB5" i="12"/>
  <c r="AA4" i="12"/>
  <c r="Z6" i="12"/>
  <c r="Z5" i="12"/>
  <c r="Y4" i="12"/>
  <c r="X6" i="12"/>
  <c r="X5" i="12"/>
  <c r="W4" i="12"/>
  <c r="V6" i="12"/>
  <c r="V5" i="12"/>
  <c r="U4" i="12"/>
  <c r="T6" i="12"/>
  <c r="T5" i="12"/>
  <c r="S4" i="12"/>
  <c r="R6" i="12"/>
  <c r="R5" i="12"/>
  <c r="Q4" i="12"/>
  <c r="P6" i="12"/>
  <c r="P5" i="12"/>
  <c r="O4" i="12"/>
  <c r="N6" i="12"/>
  <c r="N5" i="12"/>
  <c r="M4" i="12"/>
  <c r="L6" i="12"/>
  <c r="L5" i="12"/>
  <c r="K4" i="12"/>
  <c r="J6" i="12"/>
  <c r="J5" i="12"/>
  <c r="I4" i="12"/>
  <c r="H6" i="12"/>
  <c r="H5" i="12"/>
  <c r="G4" i="12"/>
  <c r="F6" i="12"/>
  <c r="F5" i="12"/>
  <c r="E4" i="12"/>
  <c r="D6" i="12"/>
  <c r="D5" i="12"/>
  <c r="C4" i="12"/>
  <c r="BI37" i="1"/>
  <c r="BI37" i="16" s="1"/>
  <c r="BI36" i="1"/>
  <c r="BI36" i="16" s="1"/>
  <c r="BI35" i="1"/>
  <c r="BI35" i="16" s="1"/>
  <c r="BI34" i="1"/>
  <c r="BI34" i="16" s="1"/>
  <c r="BI33" i="1"/>
  <c r="BI33" i="16" s="1"/>
  <c r="BI32" i="1"/>
  <c r="BI32" i="16" s="1"/>
  <c r="BI31" i="1"/>
  <c r="BI31" i="16" s="1"/>
  <c r="BI30" i="1"/>
  <c r="BI30" i="16" s="1"/>
  <c r="BI29" i="1"/>
  <c r="BI29" i="16" s="1"/>
  <c r="BI28" i="1"/>
  <c r="BI28" i="16" s="1"/>
  <c r="BI27" i="1"/>
  <c r="BI27" i="16" s="1"/>
  <c r="BI26" i="1"/>
  <c r="BI26" i="16" s="1"/>
  <c r="BI25" i="1"/>
  <c r="BI25" i="16" s="1"/>
  <c r="BI25" i="12" s="1"/>
  <c r="BI25" i="17" s="1"/>
  <c r="BI25" i="19" s="1"/>
  <c r="BI25" i="18" s="1"/>
  <c r="BI25" i="11" s="1"/>
  <c r="BI25" i="13" s="1"/>
  <c r="BI24" i="1"/>
  <c r="BI24" i="16" s="1"/>
  <c r="BI24" i="12" s="1"/>
  <c r="BI24" i="17" s="1"/>
  <c r="BI24" i="19" s="1"/>
  <c r="BI24" i="18" s="1"/>
  <c r="BI24" i="11" s="1"/>
  <c r="BI24" i="13" s="1"/>
  <c r="BI23" i="1"/>
  <c r="BI23" i="16" s="1"/>
  <c r="BI23" i="12" s="1"/>
  <c r="BI23" i="17" s="1"/>
  <c r="BI23" i="19" s="1"/>
  <c r="BI23" i="18" s="1"/>
  <c r="BI23" i="11" s="1"/>
  <c r="BI23" i="13" s="1"/>
  <c r="BI22" i="1"/>
  <c r="BI22" i="16" s="1"/>
  <c r="BI22" i="12" s="1"/>
  <c r="BI22" i="17" s="1"/>
  <c r="BI22" i="19" s="1"/>
  <c r="BI22" i="18" s="1"/>
  <c r="BI22" i="11" s="1"/>
  <c r="BI22" i="13" s="1"/>
  <c r="BI21" i="1"/>
  <c r="BI21" i="16" s="1"/>
  <c r="BI21" i="12" s="1"/>
  <c r="BI21" i="17" s="1"/>
  <c r="BI21" i="19" s="1"/>
  <c r="BI21" i="18" s="1"/>
  <c r="BI21" i="11" s="1"/>
  <c r="BI21" i="13" s="1"/>
  <c r="BI20" i="1"/>
  <c r="BI20" i="16" s="1"/>
  <c r="BI20" i="12" s="1"/>
  <c r="BI20" i="17" s="1"/>
  <c r="BI20" i="19" s="1"/>
  <c r="BI20" i="18" s="1"/>
  <c r="BI20" i="11" s="1"/>
  <c r="BI20" i="13" s="1"/>
  <c r="BI19" i="1"/>
  <c r="BI19" i="16" s="1"/>
  <c r="BI19" i="12" s="1"/>
  <c r="BI19" i="17" s="1"/>
  <c r="BI19" i="19" s="1"/>
  <c r="BI19" i="18" s="1"/>
  <c r="BI19" i="11" s="1"/>
  <c r="BI19" i="13" s="1"/>
  <c r="BI18" i="1"/>
  <c r="BI18" i="16" s="1"/>
  <c r="BI18" i="12" s="1"/>
  <c r="BI18" i="17" s="1"/>
  <c r="BI18" i="19" s="1"/>
  <c r="BI18" i="18" s="1"/>
  <c r="BI18" i="11" s="1"/>
  <c r="BI18" i="13" s="1"/>
  <c r="BI17" i="1"/>
  <c r="BI17" i="16" s="1"/>
  <c r="BI17" i="12" s="1"/>
  <c r="BI17" i="17" s="1"/>
  <c r="BI17" i="19" s="1"/>
  <c r="BI17" i="18" s="1"/>
  <c r="BI17" i="11" s="1"/>
  <c r="BI17" i="13" s="1"/>
  <c r="BG37" i="1"/>
  <c r="BG37" i="16" s="1"/>
  <c r="BG36" i="1"/>
  <c r="BG36" i="16" s="1"/>
  <c r="BG35" i="1"/>
  <c r="BG35" i="16" s="1"/>
  <c r="BG34" i="1"/>
  <c r="BG34" i="16" s="1"/>
  <c r="BG33" i="1"/>
  <c r="BG33" i="16" s="1"/>
  <c r="BG32" i="1"/>
  <c r="BG32" i="16" s="1"/>
  <c r="BG31" i="1"/>
  <c r="BG31" i="16" s="1"/>
  <c r="BG30" i="1"/>
  <c r="BG30" i="16" s="1"/>
  <c r="BG29" i="1"/>
  <c r="BG29" i="16" s="1"/>
  <c r="BG28" i="1"/>
  <c r="BG28" i="16" s="1"/>
  <c r="BG27" i="1"/>
  <c r="BG27" i="16" s="1"/>
  <c r="BG26" i="1"/>
  <c r="BG26" i="16" s="1"/>
  <c r="BG25" i="1"/>
  <c r="BG25" i="16" s="1"/>
  <c r="BG25" i="12" s="1"/>
  <c r="BG25" i="17" s="1"/>
  <c r="BG25" i="19" s="1"/>
  <c r="BG25" i="18" s="1"/>
  <c r="BG25" i="11" s="1"/>
  <c r="BG25" i="13" s="1"/>
  <c r="BG24" i="1"/>
  <c r="BG24" i="16" s="1"/>
  <c r="BG24" i="12" s="1"/>
  <c r="BG24" i="17" s="1"/>
  <c r="BG24" i="19" s="1"/>
  <c r="BG24" i="18" s="1"/>
  <c r="BG24" i="11" s="1"/>
  <c r="BG24" i="13" s="1"/>
  <c r="BG23" i="1"/>
  <c r="BG23" i="16" s="1"/>
  <c r="BG23" i="12" s="1"/>
  <c r="BG23" i="17" s="1"/>
  <c r="BG23" i="19" s="1"/>
  <c r="BG23" i="18" s="1"/>
  <c r="BG23" i="11" s="1"/>
  <c r="BG23" i="13" s="1"/>
  <c r="BG22" i="1"/>
  <c r="BG22" i="16" s="1"/>
  <c r="BG22" i="12" s="1"/>
  <c r="BG22" i="17" s="1"/>
  <c r="BG22" i="19" s="1"/>
  <c r="BG22" i="18" s="1"/>
  <c r="BG22" i="11" s="1"/>
  <c r="BG22" i="13" s="1"/>
  <c r="BG21" i="1"/>
  <c r="BG21" i="16" s="1"/>
  <c r="BG21" i="12" s="1"/>
  <c r="BG21" i="17" s="1"/>
  <c r="BG21" i="19" s="1"/>
  <c r="BG21" i="18" s="1"/>
  <c r="BG21" i="11" s="1"/>
  <c r="BG21" i="13" s="1"/>
  <c r="BG20" i="1"/>
  <c r="BG20" i="16" s="1"/>
  <c r="BG20" i="12" s="1"/>
  <c r="BG20" i="17" s="1"/>
  <c r="BG20" i="19" s="1"/>
  <c r="BG20" i="18" s="1"/>
  <c r="BG20" i="11" s="1"/>
  <c r="BG20" i="13" s="1"/>
  <c r="BG19" i="1"/>
  <c r="BG19" i="16" s="1"/>
  <c r="BG19" i="12" s="1"/>
  <c r="BG19" i="17" s="1"/>
  <c r="BG19" i="19" s="1"/>
  <c r="BG19" i="18" s="1"/>
  <c r="BG19" i="11" s="1"/>
  <c r="BG19" i="13" s="1"/>
  <c r="BG18" i="1"/>
  <c r="BG18" i="16" s="1"/>
  <c r="BG18" i="12" s="1"/>
  <c r="BG18" i="17" s="1"/>
  <c r="BG18" i="19" s="1"/>
  <c r="BG18" i="18" s="1"/>
  <c r="BG18" i="11" s="1"/>
  <c r="BG18" i="13" s="1"/>
  <c r="BG17" i="1"/>
  <c r="BG17" i="16" s="1"/>
  <c r="BG17" i="12" s="1"/>
  <c r="BG17" i="17" s="1"/>
  <c r="BG17" i="19" s="1"/>
  <c r="BG17" i="18" s="1"/>
  <c r="BG17" i="11" s="1"/>
  <c r="BG17" i="13" s="1"/>
  <c r="BE37" i="1"/>
  <c r="BE37" i="16" s="1"/>
  <c r="BE36" i="1"/>
  <c r="BE36" i="16" s="1"/>
  <c r="BE35" i="1"/>
  <c r="BE35" i="16" s="1"/>
  <c r="BE34" i="1"/>
  <c r="BE34" i="16" s="1"/>
  <c r="BE33" i="1"/>
  <c r="BE33" i="16" s="1"/>
  <c r="BE32" i="1"/>
  <c r="BE32" i="16" s="1"/>
  <c r="BE31" i="1"/>
  <c r="BE31" i="16" s="1"/>
  <c r="BE30" i="1"/>
  <c r="BE30" i="16" s="1"/>
  <c r="BE29" i="1"/>
  <c r="BE29" i="16" s="1"/>
  <c r="BE28" i="1"/>
  <c r="BE28" i="16" s="1"/>
  <c r="BE27" i="1"/>
  <c r="BE27" i="16" s="1"/>
  <c r="BE26" i="1"/>
  <c r="BE26" i="16" s="1"/>
  <c r="BE25" i="1"/>
  <c r="BE25" i="16" s="1"/>
  <c r="BE25" i="12" s="1"/>
  <c r="BE25" i="17" s="1"/>
  <c r="BE25" i="19" s="1"/>
  <c r="BE25" i="18" s="1"/>
  <c r="BE25" i="11" s="1"/>
  <c r="BE25" i="13" s="1"/>
  <c r="BE24" i="1"/>
  <c r="BE24" i="16" s="1"/>
  <c r="BE24" i="12" s="1"/>
  <c r="BE24" i="17" s="1"/>
  <c r="BE24" i="19" s="1"/>
  <c r="BE24" i="18" s="1"/>
  <c r="BE24" i="11" s="1"/>
  <c r="BE24" i="13" s="1"/>
  <c r="BE23" i="1"/>
  <c r="BE23" i="16" s="1"/>
  <c r="BE23" i="12" s="1"/>
  <c r="BE23" i="17" s="1"/>
  <c r="BE23" i="19" s="1"/>
  <c r="BE23" i="18" s="1"/>
  <c r="BE23" i="11" s="1"/>
  <c r="BE23" i="13" s="1"/>
  <c r="BE22" i="1"/>
  <c r="BE22" i="16" s="1"/>
  <c r="BE22" i="12" s="1"/>
  <c r="BE22" i="17" s="1"/>
  <c r="BE22" i="19" s="1"/>
  <c r="BE22" i="18" s="1"/>
  <c r="BE22" i="11" s="1"/>
  <c r="BE22" i="13" s="1"/>
  <c r="BE21" i="1"/>
  <c r="BE21" i="16" s="1"/>
  <c r="BE21" i="12" s="1"/>
  <c r="BE21" i="17" s="1"/>
  <c r="BE21" i="19" s="1"/>
  <c r="BE21" i="18" s="1"/>
  <c r="BE21" i="11" s="1"/>
  <c r="BE21" i="13" s="1"/>
  <c r="BE20" i="1"/>
  <c r="BE20" i="16" s="1"/>
  <c r="BE20" i="12" s="1"/>
  <c r="BE20" i="17" s="1"/>
  <c r="BE20" i="19" s="1"/>
  <c r="BE20" i="18" s="1"/>
  <c r="BE20" i="11" s="1"/>
  <c r="BE20" i="13" s="1"/>
  <c r="BE19" i="1"/>
  <c r="BE19" i="16" s="1"/>
  <c r="BE19" i="12" s="1"/>
  <c r="BE19" i="17" s="1"/>
  <c r="BE19" i="19" s="1"/>
  <c r="BE19" i="18" s="1"/>
  <c r="BE19" i="11" s="1"/>
  <c r="BE19" i="13" s="1"/>
  <c r="BE18" i="1"/>
  <c r="BE18" i="16" s="1"/>
  <c r="BE18" i="12" s="1"/>
  <c r="BE18" i="17" s="1"/>
  <c r="BE18" i="19" s="1"/>
  <c r="BE18" i="18" s="1"/>
  <c r="BE18" i="11" s="1"/>
  <c r="BE18" i="13" s="1"/>
  <c r="BE17" i="1"/>
  <c r="BE17" i="16" s="1"/>
  <c r="BE17" i="12" s="1"/>
  <c r="BE17" i="17" s="1"/>
  <c r="BE17" i="19" s="1"/>
  <c r="BE17" i="18" s="1"/>
  <c r="BE17" i="11" s="1"/>
  <c r="BE17" i="13" s="1"/>
  <c r="BC37" i="1"/>
  <c r="BC37" i="16" s="1"/>
  <c r="BC36" i="1"/>
  <c r="BC36" i="16" s="1"/>
  <c r="BC35" i="1"/>
  <c r="BC35" i="16" s="1"/>
  <c r="BC34" i="1"/>
  <c r="BC34" i="16" s="1"/>
  <c r="BC33" i="1"/>
  <c r="BC33" i="16" s="1"/>
  <c r="BC32" i="1"/>
  <c r="BC32" i="16" s="1"/>
  <c r="BC31" i="1"/>
  <c r="BC31" i="16" s="1"/>
  <c r="BC30" i="1"/>
  <c r="BC30" i="16" s="1"/>
  <c r="BC29" i="1"/>
  <c r="BC29" i="16" s="1"/>
  <c r="BC28" i="1"/>
  <c r="BC28" i="16" s="1"/>
  <c r="BC27" i="1"/>
  <c r="BC27" i="16" s="1"/>
  <c r="BC26" i="1"/>
  <c r="BC26" i="16" s="1"/>
  <c r="BC25" i="1"/>
  <c r="BC25" i="16" s="1"/>
  <c r="BC25" i="12" s="1"/>
  <c r="BC25" i="17" s="1"/>
  <c r="BC25" i="19" s="1"/>
  <c r="BC25" i="18" s="1"/>
  <c r="BC25" i="11" s="1"/>
  <c r="BC25" i="13" s="1"/>
  <c r="BC24" i="1"/>
  <c r="BC24" i="16" s="1"/>
  <c r="BC24" i="12" s="1"/>
  <c r="BC24" i="17" s="1"/>
  <c r="BC24" i="19" s="1"/>
  <c r="BC24" i="18" s="1"/>
  <c r="BC24" i="11" s="1"/>
  <c r="BC24" i="13" s="1"/>
  <c r="BC23" i="1"/>
  <c r="BC23" i="16" s="1"/>
  <c r="BC23" i="12" s="1"/>
  <c r="BC23" i="17" s="1"/>
  <c r="BC23" i="19" s="1"/>
  <c r="BC23" i="18" s="1"/>
  <c r="BC23" i="11" s="1"/>
  <c r="BC23" i="13" s="1"/>
  <c r="BC22" i="1"/>
  <c r="BC22" i="16" s="1"/>
  <c r="BC22" i="12" s="1"/>
  <c r="BC22" i="17" s="1"/>
  <c r="BC22" i="19" s="1"/>
  <c r="BC22" i="18" s="1"/>
  <c r="BC22" i="11" s="1"/>
  <c r="BC22" i="13" s="1"/>
  <c r="BC21" i="1"/>
  <c r="BC21" i="16" s="1"/>
  <c r="BC21" i="12" s="1"/>
  <c r="BC21" i="17" s="1"/>
  <c r="BC21" i="19" s="1"/>
  <c r="BC21" i="18" s="1"/>
  <c r="BC21" i="11" s="1"/>
  <c r="BC21" i="13" s="1"/>
  <c r="BC20" i="1"/>
  <c r="BC20" i="16" s="1"/>
  <c r="BC20" i="12" s="1"/>
  <c r="BC20" i="17" s="1"/>
  <c r="BC20" i="19" s="1"/>
  <c r="BC20" i="18" s="1"/>
  <c r="BC20" i="11" s="1"/>
  <c r="BC20" i="13" s="1"/>
  <c r="BC19" i="1"/>
  <c r="BC19" i="16" s="1"/>
  <c r="BC19" i="12" s="1"/>
  <c r="BC19" i="17" s="1"/>
  <c r="BC19" i="19" s="1"/>
  <c r="BC19" i="18" s="1"/>
  <c r="BC19" i="11" s="1"/>
  <c r="BC19" i="13" s="1"/>
  <c r="BC18" i="1"/>
  <c r="BC18" i="16" s="1"/>
  <c r="BC18" i="12" s="1"/>
  <c r="BC18" i="17" s="1"/>
  <c r="BC18" i="19" s="1"/>
  <c r="BC18" i="18" s="1"/>
  <c r="BC18" i="11" s="1"/>
  <c r="BC18" i="13" s="1"/>
  <c r="BC17" i="1"/>
  <c r="BC17" i="16" s="1"/>
  <c r="BC17" i="12" s="1"/>
  <c r="BC17" i="17" s="1"/>
  <c r="BC17" i="19" s="1"/>
  <c r="BC17" i="18" s="1"/>
  <c r="BC17" i="11" s="1"/>
  <c r="BC17" i="13" s="1"/>
  <c r="BA37" i="1"/>
  <c r="BA37" i="16" s="1"/>
  <c r="BA36" i="1"/>
  <c r="BA36" i="16" s="1"/>
  <c r="BA35" i="1"/>
  <c r="BA35" i="16" s="1"/>
  <c r="BA34" i="1"/>
  <c r="BA34" i="16" s="1"/>
  <c r="BA33" i="1"/>
  <c r="BA33" i="16" s="1"/>
  <c r="BA32" i="1"/>
  <c r="BA32" i="16" s="1"/>
  <c r="BA31" i="1"/>
  <c r="BA31" i="16" s="1"/>
  <c r="BA30" i="1"/>
  <c r="BA30" i="16" s="1"/>
  <c r="BA29" i="1"/>
  <c r="BA29" i="16" s="1"/>
  <c r="BA28" i="1"/>
  <c r="BA28" i="16" s="1"/>
  <c r="BA27" i="1"/>
  <c r="BA27" i="16" s="1"/>
  <c r="BA26" i="1"/>
  <c r="BA26" i="16" s="1"/>
  <c r="BA25" i="1"/>
  <c r="BA25" i="16" s="1"/>
  <c r="BA25" i="12" s="1"/>
  <c r="BA25" i="17" s="1"/>
  <c r="BA25" i="19" s="1"/>
  <c r="BA25" i="18" s="1"/>
  <c r="BA25" i="11" s="1"/>
  <c r="BA25" i="13" s="1"/>
  <c r="BA24" i="1"/>
  <c r="BA24" i="16" s="1"/>
  <c r="BA24" i="12" s="1"/>
  <c r="BA24" i="17" s="1"/>
  <c r="BA24" i="19" s="1"/>
  <c r="BA24" i="18" s="1"/>
  <c r="BA24" i="11" s="1"/>
  <c r="BA24" i="13" s="1"/>
  <c r="BA23" i="1"/>
  <c r="BA23" i="16" s="1"/>
  <c r="BA23" i="12" s="1"/>
  <c r="BA23" i="17" s="1"/>
  <c r="BA23" i="19" s="1"/>
  <c r="BA23" i="18" s="1"/>
  <c r="BA23" i="11" s="1"/>
  <c r="BA23" i="13" s="1"/>
  <c r="BA22" i="1"/>
  <c r="BA22" i="16" s="1"/>
  <c r="BA22" i="12" s="1"/>
  <c r="BA22" i="17" s="1"/>
  <c r="BA22" i="19" s="1"/>
  <c r="BA22" i="18" s="1"/>
  <c r="BA22" i="11" s="1"/>
  <c r="BA22" i="13" s="1"/>
  <c r="BA21" i="1"/>
  <c r="BA21" i="16" s="1"/>
  <c r="BA21" i="12" s="1"/>
  <c r="BA21" i="17" s="1"/>
  <c r="BA21" i="19" s="1"/>
  <c r="BA21" i="18" s="1"/>
  <c r="BA21" i="11" s="1"/>
  <c r="BA21" i="13" s="1"/>
  <c r="BA20" i="1"/>
  <c r="BA20" i="16" s="1"/>
  <c r="BA20" i="12" s="1"/>
  <c r="BA20" i="17" s="1"/>
  <c r="BA20" i="19" s="1"/>
  <c r="BA20" i="18" s="1"/>
  <c r="BA20" i="11" s="1"/>
  <c r="BA20" i="13" s="1"/>
  <c r="BA19" i="1"/>
  <c r="BA19" i="16" s="1"/>
  <c r="BA19" i="12" s="1"/>
  <c r="BA19" i="17" s="1"/>
  <c r="BA19" i="19" s="1"/>
  <c r="BA19" i="18" s="1"/>
  <c r="BA19" i="11" s="1"/>
  <c r="BA19" i="13" s="1"/>
  <c r="BA18" i="1"/>
  <c r="BA18" i="16" s="1"/>
  <c r="BA18" i="12" s="1"/>
  <c r="BA18" i="17" s="1"/>
  <c r="BA18" i="19" s="1"/>
  <c r="BA18" i="18" s="1"/>
  <c r="BA18" i="11" s="1"/>
  <c r="BA18" i="13" s="1"/>
  <c r="BA17" i="1"/>
  <c r="BA17" i="16" s="1"/>
  <c r="BA17" i="12" s="1"/>
  <c r="BA17" i="17" s="1"/>
  <c r="BA17" i="19" s="1"/>
  <c r="BA17" i="18" s="1"/>
  <c r="BA17" i="11" s="1"/>
  <c r="BA17" i="13" s="1"/>
  <c r="AY37" i="1"/>
  <c r="AY37" i="16" s="1"/>
  <c r="AY36" i="1"/>
  <c r="AY36" i="16" s="1"/>
  <c r="AY35" i="1"/>
  <c r="AY35" i="16" s="1"/>
  <c r="AY34" i="1"/>
  <c r="AY34" i="16" s="1"/>
  <c r="AY33" i="1"/>
  <c r="AY33" i="16" s="1"/>
  <c r="AY32" i="1"/>
  <c r="AY32" i="16" s="1"/>
  <c r="AY31" i="1"/>
  <c r="AY31" i="16" s="1"/>
  <c r="AY30" i="1"/>
  <c r="AY30" i="16" s="1"/>
  <c r="AY29" i="1"/>
  <c r="AY29" i="16" s="1"/>
  <c r="AY28" i="1"/>
  <c r="AY28" i="16" s="1"/>
  <c r="AY27" i="1"/>
  <c r="AY27" i="16" s="1"/>
  <c r="AY26" i="1"/>
  <c r="AY26" i="16" s="1"/>
  <c r="AY25" i="1"/>
  <c r="AY25" i="16" s="1"/>
  <c r="AY25" i="12" s="1"/>
  <c r="AY25" i="17" s="1"/>
  <c r="AY25" i="19" s="1"/>
  <c r="AY25" i="18" s="1"/>
  <c r="AY25" i="11" s="1"/>
  <c r="AY25" i="13" s="1"/>
  <c r="AY24" i="1"/>
  <c r="AY24" i="16" s="1"/>
  <c r="AY24" i="12" s="1"/>
  <c r="AY24" i="17" s="1"/>
  <c r="AY24" i="19" s="1"/>
  <c r="AY24" i="18" s="1"/>
  <c r="AY24" i="11" s="1"/>
  <c r="AY24" i="13" s="1"/>
  <c r="AY23" i="1"/>
  <c r="AY23" i="16" s="1"/>
  <c r="AY23" i="12" s="1"/>
  <c r="AY23" i="17" s="1"/>
  <c r="AY23" i="19" s="1"/>
  <c r="AY23" i="18" s="1"/>
  <c r="AY23" i="11" s="1"/>
  <c r="AY23" i="13" s="1"/>
  <c r="AY22" i="1"/>
  <c r="AY22" i="16" s="1"/>
  <c r="AY22" i="12" s="1"/>
  <c r="AY22" i="17" s="1"/>
  <c r="AY22" i="19" s="1"/>
  <c r="AY22" i="18" s="1"/>
  <c r="AY22" i="11" s="1"/>
  <c r="AY22" i="13" s="1"/>
  <c r="AY21" i="1"/>
  <c r="AY21" i="16" s="1"/>
  <c r="AY21" i="12" s="1"/>
  <c r="AY21" i="17" s="1"/>
  <c r="AY21" i="19" s="1"/>
  <c r="AY21" i="18" s="1"/>
  <c r="AY21" i="11" s="1"/>
  <c r="AY21" i="13" s="1"/>
  <c r="AY20" i="1"/>
  <c r="AY20" i="16" s="1"/>
  <c r="AY20" i="12" s="1"/>
  <c r="AY20" i="17" s="1"/>
  <c r="AY20" i="19" s="1"/>
  <c r="AY20" i="18" s="1"/>
  <c r="AY20" i="11" s="1"/>
  <c r="AY20" i="13" s="1"/>
  <c r="AY19" i="1"/>
  <c r="AY19" i="16" s="1"/>
  <c r="AY19" i="12" s="1"/>
  <c r="AY19" i="17" s="1"/>
  <c r="AY19" i="19" s="1"/>
  <c r="AY19" i="18" s="1"/>
  <c r="AY19" i="11" s="1"/>
  <c r="AY19" i="13" s="1"/>
  <c r="AY18" i="1"/>
  <c r="AY18" i="16" s="1"/>
  <c r="AY18" i="12" s="1"/>
  <c r="AY18" i="17" s="1"/>
  <c r="AY18" i="19" s="1"/>
  <c r="AY18" i="18" s="1"/>
  <c r="AY18" i="11" s="1"/>
  <c r="AY18" i="13" s="1"/>
  <c r="AY17" i="1"/>
  <c r="AY17" i="16" s="1"/>
  <c r="AY17" i="12" s="1"/>
  <c r="AY17" i="17" s="1"/>
  <c r="AY17" i="19" s="1"/>
  <c r="AY17" i="18" s="1"/>
  <c r="AY17" i="11" s="1"/>
  <c r="AY17" i="13" s="1"/>
  <c r="AW37" i="1"/>
  <c r="AW37" i="16" s="1"/>
  <c r="AW36" i="1"/>
  <c r="AW36" i="16" s="1"/>
  <c r="AW35" i="1"/>
  <c r="AW35" i="16" s="1"/>
  <c r="AW34" i="1"/>
  <c r="AW34" i="16" s="1"/>
  <c r="AW33" i="1"/>
  <c r="AW33" i="16" s="1"/>
  <c r="AW32" i="1"/>
  <c r="AW32" i="16" s="1"/>
  <c r="AW31" i="1"/>
  <c r="AW31" i="16" s="1"/>
  <c r="AW30" i="1"/>
  <c r="AW30" i="16" s="1"/>
  <c r="AW29" i="1"/>
  <c r="AW29" i="16" s="1"/>
  <c r="AW28" i="1"/>
  <c r="AW28" i="16" s="1"/>
  <c r="AW27" i="1"/>
  <c r="AW27" i="16" s="1"/>
  <c r="AW26" i="1"/>
  <c r="AW26" i="16" s="1"/>
  <c r="AW25" i="1"/>
  <c r="AW25" i="16" s="1"/>
  <c r="AW25" i="12" s="1"/>
  <c r="AW25" i="17" s="1"/>
  <c r="AW25" i="19" s="1"/>
  <c r="AW25" i="18" s="1"/>
  <c r="AW25" i="11" s="1"/>
  <c r="AW25" i="13" s="1"/>
  <c r="AW24" i="1"/>
  <c r="AW24" i="16" s="1"/>
  <c r="AW24" i="12" s="1"/>
  <c r="AW24" i="17" s="1"/>
  <c r="AW24" i="19" s="1"/>
  <c r="AW24" i="18" s="1"/>
  <c r="AW24" i="11" s="1"/>
  <c r="AW24" i="13" s="1"/>
  <c r="AW23" i="1"/>
  <c r="AW23" i="16" s="1"/>
  <c r="AW23" i="12" s="1"/>
  <c r="AW23" i="17" s="1"/>
  <c r="AW23" i="19" s="1"/>
  <c r="AW23" i="18" s="1"/>
  <c r="AW23" i="11" s="1"/>
  <c r="AW23" i="13" s="1"/>
  <c r="AW22" i="1"/>
  <c r="AW22" i="16" s="1"/>
  <c r="AW22" i="12" s="1"/>
  <c r="AW22" i="17" s="1"/>
  <c r="AW22" i="19" s="1"/>
  <c r="AW22" i="18" s="1"/>
  <c r="AW22" i="11" s="1"/>
  <c r="AW22" i="13" s="1"/>
  <c r="AW21" i="1"/>
  <c r="AW21" i="16" s="1"/>
  <c r="AW21" i="12" s="1"/>
  <c r="AW21" i="17" s="1"/>
  <c r="AW21" i="19" s="1"/>
  <c r="AW21" i="18" s="1"/>
  <c r="AW21" i="11" s="1"/>
  <c r="AW21" i="13" s="1"/>
  <c r="AW20" i="1"/>
  <c r="AW20" i="16" s="1"/>
  <c r="AW20" i="12" s="1"/>
  <c r="AW20" i="17" s="1"/>
  <c r="AW20" i="19" s="1"/>
  <c r="AW20" i="18" s="1"/>
  <c r="AW20" i="11" s="1"/>
  <c r="AW20" i="13" s="1"/>
  <c r="AW19" i="1"/>
  <c r="AW19" i="16" s="1"/>
  <c r="AW19" i="12" s="1"/>
  <c r="AW19" i="17" s="1"/>
  <c r="AW19" i="19" s="1"/>
  <c r="AW19" i="18" s="1"/>
  <c r="AW19" i="11" s="1"/>
  <c r="AW19" i="13" s="1"/>
  <c r="AW18" i="1"/>
  <c r="AW18" i="16" s="1"/>
  <c r="AW18" i="12" s="1"/>
  <c r="AW18" i="17" s="1"/>
  <c r="AW18" i="19" s="1"/>
  <c r="AW18" i="18" s="1"/>
  <c r="AW18" i="11" s="1"/>
  <c r="AW18" i="13" s="1"/>
  <c r="AW17" i="1"/>
  <c r="AW17" i="16" s="1"/>
  <c r="AW17" i="12" s="1"/>
  <c r="AW17" i="17" s="1"/>
  <c r="AW17" i="19" s="1"/>
  <c r="AW17" i="18" s="1"/>
  <c r="AW17" i="11" s="1"/>
  <c r="AW17" i="13" s="1"/>
  <c r="AU37" i="1"/>
  <c r="AU37" i="16" s="1"/>
  <c r="AU36" i="1"/>
  <c r="AU36" i="16" s="1"/>
  <c r="AU35" i="1"/>
  <c r="AU35" i="16" s="1"/>
  <c r="AU34" i="1"/>
  <c r="AU34" i="16" s="1"/>
  <c r="AU33" i="1"/>
  <c r="AU33" i="16" s="1"/>
  <c r="AU32" i="1"/>
  <c r="AU32" i="16" s="1"/>
  <c r="AU31" i="1"/>
  <c r="AU31" i="16" s="1"/>
  <c r="AU30" i="1"/>
  <c r="AU30" i="16" s="1"/>
  <c r="AU29" i="1"/>
  <c r="AU29" i="16" s="1"/>
  <c r="AU28" i="1"/>
  <c r="AU28" i="16" s="1"/>
  <c r="AU27" i="1"/>
  <c r="AU27" i="16" s="1"/>
  <c r="AU26" i="1"/>
  <c r="AU26" i="16" s="1"/>
  <c r="AU25" i="1"/>
  <c r="AU25" i="16" s="1"/>
  <c r="AU25" i="12" s="1"/>
  <c r="AU25" i="17" s="1"/>
  <c r="AU25" i="19" s="1"/>
  <c r="AU25" i="18" s="1"/>
  <c r="AU25" i="11" s="1"/>
  <c r="AU25" i="13" s="1"/>
  <c r="AU24" i="1"/>
  <c r="AU24" i="16" s="1"/>
  <c r="AU24" i="12" s="1"/>
  <c r="AU24" i="17" s="1"/>
  <c r="AU24" i="19" s="1"/>
  <c r="AU24" i="18" s="1"/>
  <c r="AU24" i="11" s="1"/>
  <c r="AU24" i="13" s="1"/>
  <c r="AU23" i="1"/>
  <c r="AU23" i="16" s="1"/>
  <c r="AU23" i="12" s="1"/>
  <c r="AU23" i="17" s="1"/>
  <c r="AU23" i="19" s="1"/>
  <c r="AU23" i="18" s="1"/>
  <c r="AU23" i="11" s="1"/>
  <c r="AU23" i="13" s="1"/>
  <c r="AU22" i="1"/>
  <c r="AU22" i="16" s="1"/>
  <c r="AU22" i="12" s="1"/>
  <c r="AU22" i="17" s="1"/>
  <c r="AU22" i="19" s="1"/>
  <c r="AU22" i="18" s="1"/>
  <c r="AU22" i="11" s="1"/>
  <c r="AU22" i="13" s="1"/>
  <c r="AU21" i="1"/>
  <c r="AU21" i="16" s="1"/>
  <c r="AU21" i="12" s="1"/>
  <c r="AU21" i="17" s="1"/>
  <c r="AU21" i="19" s="1"/>
  <c r="AU21" i="18" s="1"/>
  <c r="AU21" i="11" s="1"/>
  <c r="AU21" i="13" s="1"/>
  <c r="AU20" i="1"/>
  <c r="AU20" i="16" s="1"/>
  <c r="AU20" i="12" s="1"/>
  <c r="AU20" i="17" s="1"/>
  <c r="AU20" i="19" s="1"/>
  <c r="AU20" i="18" s="1"/>
  <c r="AU20" i="11" s="1"/>
  <c r="AU20" i="13" s="1"/>
  <c r="AU19" i="1"/>
  <c r="AU19" i="16" s="1"/>
  <c r="AU19" i="12" s="1"/>
  <c r="AU19" i="17" s="1"/>
  <c r="AU19" i="19" s="1"/>
  <c r="AU19" i="18" s="1"/>
  <c r="AU19" i="11" s="1"/>
  <c r="AU19" i="13" s="1"/>
  <c r="AU18" i="1"/>
  <c r="AU18" i="16" s="1"/>
  <c r="AU18" i="12" s="1"/>
  <c r="AU18" i="17" s="1"/>
  <c r="AU18" i="19" s="1"/>
  <c r="AU18" i="18" s="1"/>
  <c r="AU18" i="11" s="1"/>
  <c r="AU18" i="13" s="1"/>
  <c r="AU17" i="1"/>
  <c r="AU17" i="16" s="1"/>
  <c r="AU17" i="12" s="1"/>
  <c r="AU17" i="17" s="1"/>
  <c r="AU17" i="19" s="1"/>
  <c r="AU17" i="18" s="1"/>
  <c r="AU17" i="11" s="1"/>
  <c r="AU17" i="13" s="1"/>
  <c r="AS37" i="1"/>
  <c r="AS37" i="16" s="1"/>
  <c r="AS36" i="1"/>
  <c r="AS36" i="16" s="1"/>
  <c r="AS35" i="1"/>
  <c r="AS35" i="16" s="1"/>
  <c r="AS34" i="1"/>
  <c r="AS34" i="16" s="1"/>
  <c r="AS33" i="1"/>
  <c r="AS33" i="16" s="1"/>
  <c r="AS32" i="1"/>
  <c r="AS32" i="16" s="1"/>
  <c r="AS31" i="1"/>
  <c r="AS31" i="16" s="1"/>
  <c r="AS30" i="1"/>
  <c r="AS30" i="16" s="1"/>
  <c r="AS29" i="1"/>
  <c r="AS29" i="16" s="1"/>
  <c r="AS28" i="1"/>
  <c r="AS28" i="16" s="1"/>
  <c r="AS27" i="1"/>
  <c r="AS27" i="16" s="1"/>
  <c r="AS26" i="1"/>
  <c r="AS26" i="16" s="1"/>
  <c r="AS25" i="1"/>
  <c r="AS25" i="16" s="1"/>
  <c r="AS25" i="12" s="1"/>
  <c r="AS25" i="17" s="1"/>
  <c r="AS25" i="19" s="1"/>
  <c r="AS25" i="18" s="1"/>
  <c r="AS25" i="11" s="1"/>
  <c r="AS25" i="13" s="1"/>
  <c r="AS24" i="1"/>
  <c r="AS24" i="16" s="1"/>
  <c r="AS24" i="12" s="1"/>
  <c r="AS24" i="17" s="1"/>
  <c r="AS24" i="19" s="1"/>
  <c r="AS24" i="18" s="1"/>
  <c r="AS24" i="11" s="1"/>
  <c r="AS24" i="13" s="1"/>
  <c r="AS23" i="1"/>
  <c r="AS23" i="16" s="1"/>
  <c r="AS23" i="12" s="1"/>
  <c r="AS23" i="17" s="1"/>
  <c r="AS23" i="19" s="1"/>
  <c r="AS23" i="18" s="1"/>
  <c r="AS23" i="11" s="1"/>
  <c r="AS23" i="13" s="1"/>
  <c r="AS22" i="1"/>
  <c r="AS22" i="16" s="1"/>
  <c r="AS22" i="12" s="1"/>
  <c r="AS22" i="17" s="1"/>
  <c r="AS22" i="19" s="1"/>
  <c r="AS22" i="18" s="1"/>
  <c r="AS22" i="11" s="1"/>
  <c r="AS22" i="13" s="1"/>
  <c r="AS21" i="1"/>
  <c r="AS21" i="16" s="1"/>
  <c r="AS21" i="12" s="1"/>
  <c r="AS21" i="17" s="1"/>
  <c r="AS21" i="19" s="1"/>
  <c r="AS21" i="18" s="1"/>
  <c r="AS21" i="11" s="1"/>
  <c r="AS21" i="13" s="1"/>
  <c r="AS20" i="1"/>
  <c r="AS20" i="16" s="1"/>
  <c r="AS20" i="12" s="1"/>
  <c r="AS20" i="17" s="1"/>
  <c r="AS20" i="19" s="1"/>
  <c r="AS20" i="18" s="1"/>
  <c r="AS20" i="11" s="1"/>
  <c r="AS20" i="13" s="1"/>
  <c r="AS19" i="1"/>
  <c r="AS19" i="16" s="1"/>
  <c r="AS19" i="12" s="1"/>
  <c r="AS19" i="17" s="1"/>
  <c r="AS19" i="19" s="1"/>
  <c r="AS19" i="18" s="1"/>
  <c r="AS19" i="11" s="1"/>
  <c r="AS19" i="13" s="1"/>
  <c r="AS18" i="1"/>
  <c r="AS18" i="16" s="1"/>
  <c r="AS18" i="12" s="1"/>
  <c r="AS18" i="17" s="1"/>
  <c r="AS18" i="19" s="1"/>
  <c r="AS18" i="18" s="1"/>
  <c r="AS18" i="11" s="1"/>
  <c r="AS18" i="13" s="1"/>
  <c r="AS17" i="1"/>
  <c r="AS17" i="16" s="1"/>
  <c r="AS17" i="12" s="1"/>
  <c r="AS17" i="17" s="1"/>
  <c r="AS17" i="19" s="1"/>
  <c r="AS17" i="18" s="1"/>
  <c r="AS17" i="11" s="1"/>
  <c r="AS17" i="13" s="1"/>
  <c r="AQ37" i="1"/>
  <c r="AQ37" i="16" s="1"/>
  <c r="AQ36" i="1"/>
  <c r="AQ36" i="16" s="1"/>
  <c r="AQ35" i="1"/>
  <c r="AQ35" i="16" s="1"/>
  <c r="AQ34" i="1"/>
  <c r="AQ34" i="16" s="1"/>
  <c r="AQ33" i="1"/>
  <c r="AQ33" i="16" s="1"/>
  <c r="AQ32" i="1"/>
  <c r="AQ32" i="16" s="1"/>
  <c r="AQ31" i="1"/>
  <c r="AQ31" i="16" s="1"/>
  <c r="AQ30" i="1"/>
  <c r="AQ30" i="16" s="1"/>
  <c r="AQ29" i="1"/>
  <c r="AQ29" i="16" s="1"/>
  <c r="AQ28" i="1"/>
  <c r="AQ28" i="16" s="1"/>
  <c r="AQ27" i="1"/>
  <c r="AQ27" i="16" s="1"/>
  <c r="AQ26" i="1"/>
  <c r="AQ26" i="16" s="1"/>
  <c r="AQ25" i="1"/>
  <c r="AQ25" i="16" s="1"/>
  <c r="AQ25" i="12" s="1"/>
  <c r="AQ25" i="17" s="1"/>
  <c r="AQ25" i="19" s="1"/>
  <c r="AQ25" i="18" s="1"/>
  <c r="AQ25" i="11" s="1"/>
  <c r="AQ25" i="13" s="1"/>
  <c r="AQ24" i="1"/>
  <c r="AQ24" i="16" s="1"/>
  <c r="AQ24" i="12" s="1"/>
  <c r="AQ24" i="17" s="1"/>
  <c r="AQ24" i="19" s="1"/>
  <c r="AQ24" i="18" s="1"/>
  <c r="AQ24" i="11" s="1"/>
  <c r="AQ24" i="13" s="1"/>
  <c r="AQ23" i="1"/>
  <c r="AQ23" i="16" s="1"/>
  <c r="AQ23" i="12" s="1"/>
  <c r="AQ23" i="17" s="1"/>
  <c r="AQ23" i="19" s="1"/>
  <c r="AQ23" i="18" s="1"/>
  <c r="AQ23" i="11" s="1"/>
  <c r="AQ23" i="13" s="1"/>
  <c r="AQ22" i="1"/>
  <c r="AQ22" i="16" s="1"/>
  <c r="AQ22" i="12" s="1"/>
  <c r="AQ22" i="17" s="1"/>
  <c r="AQ22" i="19" s="1"/>
  <c r="AQ22" i="18" s="1"/>
  <c r="AQ22" i="11" s="1"/>
  <c r="AQ22" i="13" s="1"/>
  <c r="AQ21" i="1"/>
  <c r="AQ21" i="16" s="1"/>
  <c r="AQ21" i="12" s="1"/>
  <c r="AQ21" i="17" s="1"/>
  <c r="AQ21" i="19" s="1"/>
  <c r="AQ21" i="18" s="1"/>
  <c r="AQ21" i="11" s="1"/>
  <c r="AQ21" i="13" s="1"/>
  <c r="AQ20" i="1"/>
  <c r="AQ20" i="16" s="1"/>
  <c r="AQ20" i="12" s="1"/>
  <c r="AQ20" i="17" s="1"/>
  <c r="AQ20" i="19" s="1"/>
  <c r="AQ20" i="18" s="1"/>
  <c r="AQ20" i="11" s="1"/>
  <c r="AQ20" i="13" s="1"/>
  <c r="AQ19" i="1"/>
  <c r="AQ19" i="16" s="1"/>
  <c r="AQ19" i="12" s="1"/>
  <c r="AQ19" i="17" s="1"/>
  <c r="AQ19" i="19" s="1"/>
  <c r="AQ19" i="18" s="1"/>
  <c r="AQ19" i="11" s="1"/>
  <c r="AQ19" i="13" s="1"/>
  <c r="AQ18" i="1"/>
  <c r="AQ18" i="16" s="1"/>
  <c r="AQ18" i="12" s="1"/>
  <c r="AQ18" i="17" s="1"/>
  <c r="AQ18" i="19" s="1"/>
  <c r="AQ18" i="18" s="1"/>
  <c r="AQ18" i="11" s="1"/>
  <c r="AQ18" i="13" s="1"/>
  <c r="AQ17" i="1"/>
  <c r="AQ17" i="16" s="1"/>
  <c r="AQ17" i="12" s="1"/>
  <c r="AQ17" i="17" s="1"/>
  <c r="AQ17" i="19" s="1"/>
  <c r="AQ17" i="18" s="1"/>
  <c r="AQ17" i="11" s="1"/>
  <c r="AQ17" i="13" s="1"/>
  <c r="AO37" i="1"/>
  <c r="AO37" i="16" s="1"/>
  <c r="AO36" i="1"/>
  <c r="AO36" i="16" s="1"/>
  <c r="AO35" i="1"/>
  <c r="AO35" i="16" s="1"/>
  <c r="AO34" i="1"/>
  <c r="AO34" i="16" s="1"/>
  <c r="AO33" i="1"/>
  <c r="AO33" i="16" s="1"/>
  <c r="AO32" i="1"/>
  <c r="AO32" i="16" s="1"/>
  <c r="AO31" i="1"/>
  <c r="AO31" i="16" s="1"/>
  <c r="AO30" i="1"/>
  <c r="AO30" i="16" s="1"/>
  <c r="AO29" i="1"/>
  <c r="AO29" i="16" s="1"/>
  <c r="AO28" i="1"/>
  <c r="AO28" i="16" s="1"/>
  <c r="AO27" i="1"/>
  <c r="AO27" i="16" s="1"/>
  <c r="AO26" i="1"/>
  <c r="AO26" i="16" s="1"/>
  <c r="AO25" i="1"/>
  <c r="AO25" i="16" s="1"/>
  <c r="AO25" i="12" s="1"/>
  <c r="AO25" i="17" s="1"/>
  <c r="AO25" i="19" s="1"/>
  <c r="AO25" i="18" s="1"/>
  <c r="AO25" i="11" s="1"/>
  <c r="AO25" i="13" s="1"/>
  <c r="AO24" i="1"/>
  <c r="AO24" i="16" s="1"/>
  <c r="AO24" i="12" s="1"/>
  <c r="AO24" i="17" s="1"/>
  <c r="AO24" i="19" s="1"/>
  <c r="AO24" i="18" s="1"/>
  <c r="AO24" i="11" s="1"/>
  <c r="AO24" i="13" s="1"/>
  <c r="AO23" i="1"/>
  <c r="AO23" i="16" s="1"/>
  <c r="AO23" i="12" s="1"/>
  <c r="AO23" i="17" s="1"/>
  <c r="AO23" i="19" s="1"/>
  <c r="AO23" i="18" s="1"/>
  <c r="AO23" i="11" s="1"/>
  <c r="AO23" i="13" s="1"/>
  <c r="AO22" i="1"/>
  <c r="AO22" i="16" s="1"/>
  <c r="AO22" i="12" s="1"/>
  <c r="AO22" i="17" s="1"/>
  <c r="AO22" i="19" s="1"/>
  <c r="AO22" i="18" s="1"/>
  <c r="AO22" i="11" s="1"/>
  <c r="AO22" i="13" s="1"/>
  <c r="AO21" i="1"/>
  <c r="AO21" i="16" s="1"/>
  <c r="AO21" i="12" s="1"/>
  <c r="AO21" i="17" s="1"/>
  <c r="AO21" i="19" s="1"/>
  <c r="AO21" i="18" s="1"/>
  <c r="AO21" i="11" s="1"/>
  <c r="AO21" i="13" s="1"/>
  <c r="AO20" i="1"/>
  <c r="AO20" i="16" s="1"/>
  <c r="AO20" i="12" s="1"/>
  <c r="AO20" i="17" s="1"/>
  <c r="AO20" i="19" s="1"/>
  <c r="AO20" i="18" s="1"/>
  <c r="AO20" i="11" s="1"/>
  <c r="AO20" i="13" s="1"/>
  <c r="AO19" i="1"/>
  <c r="AO19" i="16" s="1"/>
  <c r="AO19" i="12" s="1"/>
  <c r="AO19" i="17" s="1"/>
  <c r="AO19" i="19" s="1"/>
  <c r="AO19" i="18" s="1"/>
  <c r="AO19" i="11" s="1"/>
  <c r="AO19" i="13" s="1"/>
  <c r="AO18" i="1"/>
  <c r="AO18" i="16" s="1"/>
  <c r="AO18" i="12" s="1"/>
  <c r="AO18" i="17" s="1"/>
  <c r="AO18" i="19" s="1"/>
  <c r="AO18" i="18" s="1"/>
  <c r="AO18" i="11" s="1"/>
  <c r="AO18" i="13" s="1"/>
  <c r="AO17" i="1"/>
  <c r="AO17" i="16" s="1"/>
  <c r="AO17" i="12" s="1"/>
  <c r="AO17" i="17" s="1"/>
  <c r="AO17" i="19" s="1"/>
  <c r="AO17" i="18" s="1"/>
  <c r="AO17" i="11" s="1"/>
  <c r="AO17" i="13" s="1"/>
  <c r="AM37" i="1"/>
  <c r="AM37" i="16" s="1"/>
  <c r="AM36" i="1"/>
  <c r="AM36" i="16" s="1"/>
  <c r="AM35" i="1"/>
  <c r="AM35" i="16" s="1"/>
  <c r="AM34" i="1"/>
  <c r="AM34" i="16" s="1"/>
  <c r="AM33" i="1"/>
  <c r="AM33" i="16" s="1"/>
  <c r="AM32" i="1"/>
  <c r="AM32" i="16" s="1"/>
  <c r="AM31" i="1"/>
  <c r="AM31" i="16" s="1"/>
  <c r="AM30" i="1"/>
  <c r="AM30" i="16" s="1"/>
  <c r="AM29" i="1"/>
  <c r="AM29" i="16" s="1"/>
  <c r="AM28" i="1"/>
  <c r="AM28" i="16" s="1"/>
  <c r="AM27" i="1"/>
  <c r="AM27" i="16" s="1"/>
  <c r="AM26" i="1"/>
  <c r="AM26" i="16" s="1"/>
  <c r="AM25" i="1"/>
  <c r="AM25" i="16" s="1"/>
  <c r="AM25" i="12" s="1"/>
  <c r="AM25" i="17" s="1"/>
  <c r="AM25" i="19" s="1"/>
  <c r="AM25" i="18" s="1"/>
  <c r="AM25" i="11" s="1"/>
  <c r="AM25" i="13" s="1"/>
  <c r="AM24" i="1"/>
  <c r="AM24" i="16" s="1"/>
  <c r="AM24" i="12" s="1"/>
  <c r="AM24" i="17" s="1"/>
  <c r="AM24" i="19" s="1"/>
  <c r="AM24" i="18" s="1"/>
  <c r="AM24" i="11" s="1"/>
  <c r="AM24" i="13" s="1"/>
  <c r="AM23" i="1"/>
  <c r="AM23" i="16" s="1"/>
  <c r="AM23" i="12" s="1"/>
  <c r="AM23" i="17" s="1"/>
  <c r="AM23" i="19" s="1"/>
  <c r="AM23" i="18" s="1"/>
  <c r="AM23" i="11" s="1"/>
  <c r="AM23" i="13" s="1"/>
  <c r="AM22" i="1"/>
  <c r="AM22" i="16" s="1"/>
  <c r="AM22" i="12" s="1"/>
  <c r="AM22" i="17" s="1"/>
  <c r="AM22" i="19" s="1"/>
  <c r="AM22" i="18" s="1"/>
  <c r="AM22" i="11" s="1"/>
  <c r="AM22" i="13" s="1"/>
  <c r="AM21" i="1"/>
  <c r="AM21" i="16" s="1"/>
  <c r="AM21" i="12" s="1"/>
  <c r="AM21" i="17" s="1"/>
  <c r="AM21" i="19" s="1"/>
  <c r="AM21" i="18" s="1"/>
  <c r="AM21" i="11" s="1"/>
  <c r="AM21" i="13" s="1"/>
  <c r="AM20" i="1"/>
  <c r="AM20" i="16" s="1"/>
  <c r="AM20" i="12" s="1"/>
  <c r="AM20" i="17" s="1"/>
  <c r="AM20" i="19" s="1"/>
  <c r="AM20" i="18" s="1"/>
  <c r="AM20" i="11" s="1"/>
  <c r="AM20" i="13" s="1"/>
  <c r="AM19" i="1"/>
  <c r="AM19" i="16" s="1"/>
  <c r="AM19" i="12" s="1"/>
  <c r="AM19" i="17" s="1"/>
  <c r="AM19" i="19" s="1"/>
  <c r="AM19" i="18" s="1"/>
  <c r="AM19" i="11" s="1"/>
  <c r="AM19" i="13" s="1"/>
  <c r="AM18" i="1"/>
  <c r="AM18" i="16" s="1"/>
  <c r="AM18" i="12" s="1"/>
  <c r="AM18" i="17" s="1"/>
  <c r="AM18" i="19" s="1"/>
  <c r="AM18" i="18" s="1"/>
  <c r="AM18" i="11" s="1"/>
  <c r="AM18" i="13" s="1"/>
  <c r="AM17" i="1"/>
  <c r="AM17" i="16" s="1"/>
  <c r="AM17" i="12" s="1"/>
  <c r="AM17" i="17" s="1"/>
  <c r="AM17" i="19" s="1"/>
  <c r="AM17" i="18" s="1"/>
  <c r="AM17" i="11" s="1"/>
  <c r="AM17" i="13" s="1"/>
  <c r="AK37" i="1"/>
  <c r="AK37" i="16" s="1"/>
  <c r="AK36" i="1"/>
  <c r="AK36" i="16" s="1"/>
  <c r="AK35" i="1"/>
  <c r="AK35" i="16" s="1"/>
  <c r="AK34" i="1"/>
  <c r="AK34" i="16" s="1"/>
  <c r="AK33" i="1"/>
  <c r="AK33" i="16" s="1"/>
  <c r="AK32" i="1"/>
  <c r="AK32" i="16" s="1"/>
  <c r="AK31" i="1"/>
  <c r="AK31" i="16" s="1"/>
  <c r="AK30" i="1"/>
  <c r="AK30" i="16" s="1"/>
  <c r="AK29" i="1"/>
  <c r="AK29" i="16" s="1"/>
  <c r="AK28" i="1"/>
  <c r="AK28" i="16" s="1"/>
  <c r="AK27" i="1"/>
  <c r="AK27" i="16" s="1"/>
  <c r="AK26" i="1"/>
  <c r="AK26" i="16" s="1"/>
  <c r="AK25" i="1"/>
  <c r="AK25" i="16" s="1"/>
  <c r="AK25" i="12" s="1"/>
  <c r="AK25" i="17" s="1"/>
  <c r="AK25" i="19" s="1"/>
  <c r="AK25" i="18" s="1"/>
  <c r="AK25" i="11" s="1"/>
  <c r="AK25" i="13" s="1"/>
  <c r="AK24" i="1"/>
  <c r="AK24" i="16" s="1"/>
  <c r="AK24" i="12" s="1"/>
  <c r="AK24" i="17" s="1"/>
  <c r="AK24" i="19" s="1"/>
  <c r="AK24" i="18" s="1"/>
  <c r="AK24" i="11" s="1"/>
  <c r="AK24" i="13" s="1"/>
  <c r="AK23" i="1"/>
  <c r="AK23" i="16" s="1"/>
  <c r="AK23" i="12" s="1"/>
  <c r="AK23" i="17" s="1"/>
  <c r="AK23" i="19" s="1"/>
  <c r="AK23" i="18" s="1"/>
  <c r="AK23" i="11" s="1"/>
  <c r="AK23" i="13" s="1"/>
  <c r="AK22" i="1"/>
  <c r="AK22" i="16" s="1"/>
  <c r="AK22" i="12" s="1"/>
  <c r="AK22" i="17" s="1"/>
  <c r="AK22" i="19" s="1"/>
  <c r="AK22" i="18" s="1"/>
  <c r="AK22" i="11" s="1"/>
  <c r="AK22" i="13" s="1"/>
  <c r="AK21" i="1"/>
  <c r="AK21" i="16" s="1"/>
  <c r="AK21" i="12" s="1"/>
  <c r="AK21" i="17" s="1"/>
  <c r="AK21" i="19" s="1"/>
  <c r="AK21" i="18" s="1"/>
  <c r="AK21" i="11" s="1"/>
  <c r="AK21" i="13" s="1"/>
  <c r="AK20" i="1"/>
  <c r="AK20" i="16" s="1"/>
  <c r="AK20" i="12" s="1"/>
  <c r="AK20" i="17" s="1"/>
  <c r="AK20" i="19" s="1"/>
  <c r="AK20" i="18" s="1"/>
  <c r="AK20" i="11" s="1"/>
  <c r="AK20" i="13" s="1"/>
  <c r="AK19" i="1"/>
  <c r="AK19" i="16" s="1"/>
  <c r="AK19" i="12" s="1"/>
  <c r="AK19" i="17" s="1"/>
  <c r="AK19" i="19" s="1"/>
  <c r="AK19" i="18" s="1"/>
  <c r="AK19" i="11" s="1"/>
  <c r="AK19" i="13" s="1"/>
  <c r="AK18" i="1"/>
  <c r="AK18" i="16" s="1"/>
  <c r="AK18" i="12" s="1"/>
  <c r="AK18" i="17" s="1"/>
  <c r="AK18" i="19" s="1"/>
  <c r="AK18" i="18" s="1"/>
  <c r="AK18" i="11" s="1"/>
  <c r="AK18" i="13" s="1"/>
  <c r="AK17" i="1"/>
  <c r="AK17" i="16" s="1"/>
  <c r="AK17" i="12" s="1"/>
  <c r="AK17" i="17" s="1"/>
  <c r="AK17" i="19" s="1"/>
  <c r="AK17" i="18" s="1"/>
  <c r="AK17" i="11" s="1"/>
  <c r="AK17" i="13" s="1"/>
  <c r="AI37" i="1"/>
  <c r="AI37" i="16" s="1"/>
  <c r="AI36" i="1"/>
  <c r="AI36" i="16" s="1"/>
  <c r="AI35" i="1"/>
  <c r="AI35" i="16" s="1"/>
  <c r="AI34" i="1"/>
  <c r="AI34" i="16" s="1"/>
  <c r="AI33" i="1"/>
  <c r="AI33" i="16" s="1"/>
  <c r="AI32" i="1"/>
  <c r="AI32" i="16" s="1"/>
  <c r="AI31" i="1"/>
  <c r="AI31" i="16" s="1"/>
  <c r="AI30" i="1"/>
  <c r="AI30" i="16" s="1"/>
  <c r="AI29" i="1"/>
  <c r="AI29" i="16" s="1"/>
  <c r="AI28" i="1"/>
  <c r="AI28" i="16" s="1"/>
  <c r="AI27" i="1"/>
  <c r="AI27" i="16" s="1"/>
  <c r="AI26" i="1"/>
  <c r="AI26" i="16" s="1"/>
  <c r="AI25" i="1"/>
  <c r="AI25" i="16" s="1"/>
  <c r="AI25" i="12" s="1"/>
  <c r="AI25" i="17" s="1"/>
  <c r="AI25" i="19" s="1"/>
  <c r="AI25" i="18" s="1"/>
  <c r="AI25" i="11" s="1"/>
  <c r="AI25" i="13" s="1"/>
  <c r="AI24" i="1"/>
  <c r="AI24" i="16" s="1"/>
  <c r="AI24" i="12" s="1"/>
  <c r="AI24" i="17" s="1"/>
  <c r="AI24" i="19" s="1"/>
  <c r="AI24" i="18" s="1"/>
  <c r="AI24" i="11" s="1"/>
  <c r="AI24" i="13" s="1"/>
  <c r="AI23" i="1"/>
  <c r="AI23" i="16" s="1"/>
  <c r="AI23" i="12" s="1"/>
  <c r="AI23" i="17" s="1"/>
  <c r="AI23" i="19" s="1"/>
  <c r="AI23" i="18" s="1"/>
  <c r="AI23" i="11" s="1"/>
  <c r="AI23" i="13" s="1"/>
  <c r="AI22" i="1"/>
  <c r="AI22" i="16" s="1"/>
  <c r="AI22" i="12" s="1"/>
  <c r="AI22" i="17" s="1"/>
  <c r="AI22" i="19" s="1"/>
  <c r="AI22" i="18" s="1"/>
  <c r="AI22" i="11" s="1"/>
  <c r="AI22" i="13" s="1"/>
  <c r="AI21" i="1"/>
  <c r="AI21" i="16" s="1"/>
  <c r="AI21" i="12" s="1"/>
  <c r="AI21" i="17" s="1"/>
  <c r="AI21" i="19" s="1"/>
  <c r="AI21" i="18" s="1"/>
  <c r="AI21" i="11" s="1"/>
  <c r="AI21" i="13" s="1"/>
  <c r="AI20" i="1"/>
  <c r="AI20" i="16" s="1"/>
  <c r="AI20" i="12" s="1"/>
  <c r="AI20" i="17" s="1"/>
  <c r="AI20" i="19" s="1"/>
  <c r="AI20" i="18" s="1"/>
  <c r="AI20" i="11" s="1"/>
  <c r="AI20" i="13" s="1"/>
  <c r="AI19" i="1"/>
  <c r="AI19" i="16" s="1"/>
  <c r="AI19" i="12" s="1"/>
  <c r="AI19" i="17" s="1"/>
  <c r="AI19" i="19" s="1"/>
  <c r="AI19" i="18" s="1"/>
  <c r="AI19" i="11" s="1"/>
  <c r="AI19" i="13" s="1"/>
  <c r="AI18" i="1"/>
  <c r="AI18" i="16" s="1"/>
  <c r="AI18" i="12" s="1"/>
  <c r="AI18" i="17" s="1"/>
  <c r="AI18" i="19" s="1"/>
  <c r="AI18" i="18" s="1"/>
  <c r="AI18" i="11" s="1"/>
  <c r="AI18" i="13" s="1"/>
  <c r="AI17" i="1"/>
  <c r="AI17" i="16" s="1"/>
  <c r="AI17" i="12" s="1"/>
  <c r="AI17" i="17" s="1"/>
  <c r="AI17" i="19" s="1"/>
  <c r="AI17" i="18" s="1"/>
  <c r="AI17" i="11" s="1"/>
  <c r="AI17" i="13" s="1"/>
  <c r="AG37" i="1"/>
  <c r="AG37" i="16" s="1"/>
  <c r="AG36" i="1"/>
  <c r="AG36" i="16" s="1"/>
  <c r="AG35" i="1"/>
  <c r="AG35" i="16" s="1"/>
  <c r="AG34" i="1"/>
  <c r="AG34" i="16" s="1"/>
  <c r="AG33" i="1"/>
  <c r="AG33" i="16" s="1"/>
  <c r="AG32" i="1"/>
  <c r="AG32" i="16" s="1"/>
  <c r="AG31" i="1"/>
  <c r="AG31" i="16" s="1"/>
  <c r="AG30" i="1"/>
  <c r="AG30" i="16" s="1"/>
  <c r="AG29" i="1"/>
  <c r="AG29" i="16" s="1"/>
  <c r="AG28" i="1"/>
  <c r="AG28" i="16" s="1"/>
  <c r="AG27" i="1"/>
  <c r="AG27" i="16" s="1"/>
  <c r="AG26" i="1"/>
  <c r="AG26" i="16" s="1"/>
  <c r="AG25" i="1"/>
  <c r="AG25" i="16" s="1"/>
  <c r="AG25" i="12" s="1"/>
  <c r="AG25" i="17" s="1"/>
  <c r="AG25" i="19" s="1"/>
  <c r="AG25" i="18" s="1"/>
  <c r="AG25" i="11" s="1"/>
  <c r="AG25" i="13" s="1"/>
  <c r="AG24" i="1"/>
  <c r="AG24" i="16" s="1"/>
  <c r="AG24" i="12" s="1"/>
  <c r="AG24" i="17" s="1"/>
  <c r="AG24" i="19" s="1"/>
  <c r="AG24" i="18" s="1"/>
  <c r="AG24" i="11" s="1"/>
  <c r="AG24" i="13" s="1"/>
  <c r="AG23" i="1"/>
  <c r="AG23" i="16" s="1"/>
  <c r="AG23" i="12" s="1"/>
  <c r="AG23" i="17" s="1"/>
  <c r="AG23" i="19" s="1"/>
  <c r="AG23" i="18" s="1"/>
  <c r="AG23" i="11" s="1"/>
  <c r="AG23" i="13" s="1"/>
  <c r="AG22" i="1"/>
  <c r="AG22" i="16" s="1"/>
  <c r="AG22" i="12" s="1"/>
  <c r="AG22" i="17" s="1"/>
  <c r="AG22" i="19" s="1"/>
  <c r="AG22" i="18" s="1"/>
  <c r="AG22" i="11" s="1"/>
  <c r="AG22" i="13" s="1"/>
  <c r="AG21" i="1"/>
  <c r="AG21" i="16" s="1"/>
  <c r="AG21" i="12" s="1"/>
  <c r="AG21" i="17" s="1"/>
  <c r="AG21" i="19" s="1"/>
  <c r="AG21" i="18" s="1"/>
  <c r="AG21" i="11" s="1"/>
  <c r="AG21" i="13" s="1"/>
  <c r="AG20" i="1"/>
  <c r="AG20" i="16" s="1"/>
  <c r="AG20" i="12" s="1"/>
  <c r="AG20" i="17" s="1"/>
  <c r="AG20" i="19" s="1"/>
  <c r="AG20" i="18" s="1"/>
  <c r="AG20" i="11" s="1"/>
  <c r="AG20" i="13" s="1"/>
  <c r="AG19" i="1"/>
  <c r="AG19" i="16" s="1"/>
  <c r="AG19" i="12" s="1"/>
  <c r="AG19" i="17" s="1"/>
  <c r="AG19" i="19" s="1"/>
  <c r="AG19" i="18" s="1"/>
  <c r="AG19" i="11" s="1"/>
  <c r="AG19" i="13" s="1"/>
  <c r="AG18" i="1"/>
  <c r="AG18" i="16" s="1"/>
  <c r="AG18" i="12" s="1"/>
  <c r="AG18" i="17" s="1"/>
  <c r="AG18" i="19" s="1"/>
  <c r="AG18" i="18" s="1"/>
  <c r="AG18" i="11" s="1"/>
  <c r="AG18" i="13" s="1"/>
  <c r="AG17" i="1"/>
  <c r="AG17" i="16" s="1"/>
  <c r="AG17" i="12" s="1"/>
  <c r="AG17" i="17" s="1"/>
  <c r="AG17" i="19" s="1"/>
  <c r="AG17" i="18" s="1"/>
  <c r="AG17" i="11" s="1"/>
  <c r="AG17" i="13" s="1"/>
  <c r="AE37" i="1"/>
  <c r="AE37" i="16" s="1"/>
  <c r="AE36" i="1"/>
  <c r="AE36" i="16" s="1"/>
  <c r="AE35" i="1"/>
  <c r="AE35" i="16" s="1"/>
  <c r="AE34" i="1"/>
  <c r="AE34" i="16" s="1"/>
  <c r="AE33" i="1"/>
  <c r="AE33" i="16" s="1"/>
  <c r="AE32" i="1"/>
  <c r="AE32" i="16" s="1"/>
  <c r="AE31" i="1"/>
  <c r="AE31" i="16" s="1"/>
  <c r="AE30" i="1"/>
  <c r="AE30" i="16" s="1"/>
  <c r="AE29" i="1"/>
  <c r="AE29" i="16" s="1"/>
  <c r="AE28" i="1"/>
  <c r="AE28" i="16" s="1"/>
  <c r="AE27" i="1"/>
  <c r="AE27" i="16" s="1"/>
  <c r="AE26" i="1"/>
  <c r="AE26" i="16" s="1"/>
  <c r="AE25" i="1"/>
  <c r="AE25" i="16" s="1"/>
  <c r="AE25" i="12" s="1"/>
  <c r="AE25" i="17" s="1"/>
  <c r="AE25" i="19" s="1"/>
  <c r="AE25" i="18" s="1"/>
  <c r="AE25" i="11" s="1"/>
  <c r="AE25" i="13" s="1"/>
  <c r="AE24" i="1"/>
  <c r="AE24" i="16" s="1"/>
  <c r="AE24" i="12" s="1"/>
  <c r="AE24" i="17" s="1"/>
  <c r="AE24" i="19" s="1"/>
  <c r="AE24" i="18" s="1"/>
  <c r="AE24" i="11" s="1"/>
  <c r="AE24" i="13" s="1"/>
  <c r="AE23" i="1"/>
  <c r="AE23" i="16" s="1"/>
  <c r="AE23" i="12" s="1"/>
  <c r="AE23" i="17" s="1"/>
  <c r="AE23" i="19" s="1"/>
  <c r="AE23" i="18" s="1"/>
  <c r="AE23" i="11" s="1"/>
  <c r="AE23" i="13" s="1"/>
  <c r="AE22" i="1"/>
  <c r="AE22" i="16" s="1"/>
  <c r="AE22" i="12" s="1"/>
  <c r="AE22" i="17" s="1"/>
  <c r="AE22" i="19" s="1"/>
  <c r="AE22" i="18" s="1"/>
  <c r="AE22" i="11" s="1"/>
  <c r="AE22" i="13" s="1"/>
  <c r="AE21" i="1"/>
  <c r="AE21" i="16" s="1"/>
  <c r="AE21" i="12" s="1"/>
  <c r="AE21" i="17" s="1"/>
  <c r="AE21" i="19" s="1"/>
  <c r="AE21" i="18" s="1"/>
  <c r="AE21" i="11" s="1"/>
  <c r="AE21" i="13" s="1"/>
  <c r="AE20" i="1"/>
  <c r="AE20" i="16" s="1"/>
  <c r="AE20" i="12" s="1"/>
  <c r="AE20" i="17" s="1"/>
  <c r="AE20" i="19" s="1"/>
  <c r="AE20" i="18" s="1"/>
  <c r="AE20" i="11" s="1"/>
  <c r="AE20" i="13" s="1"/>
  <c r="AE19" i="1"/>
  <c r="AE19" i="16" s="1"/>
  <c r="AE19" i="12" s="1"/>
  <c r="AE19" i="17" s="1"/>
  <c r="AE19" i="19" s="1"/>
  <c r="AE19" i="18" s="1"/>
  <c r="AE19" i="11" s="1"/>
  <c r="AE19" i="13" s="1"/>
  <c r="AE18" i="1"/>
  <c r="AE18" i="16" s="1"/>
  <c r="AE18" i="12" s="1"/>
  <c r="AE18" i="17" s="1"/>
  <c r="AE18" i="19" s="1"/>
  <c r="AE18" i="18" s="1"/>
  <c r="AE18" i="11" s="1"/>
  <c r="AE18" i="13" s="1"/>
  <c r="AE17" i="1"/>
  <c r="AE17" i="16" s="1"/>
  <c r="AE17" i="12" s="1"/>
  <c r="AE17" i="17" s="1"/>
  <c r="AE17" i="19" s="1"/>
  <c r="AE17" i="18" s="1"/>
  <c r="AE17" i="11" s="1"/>
  <c r="AE17" i="13" s="1"/>
  <c r="AC37" i="1"/>
  <c r="AC37" i="16" s="1"/>
  <c r="AC36" i="1"/>
  <c r="AC36" i="16" s="1"/>
  <c r="AC35" i="1"/>
  <c r="AC35" i="16" s="1"/>
  <c r="AC34" i="1"/>
  <c r="AC34" i="16" s="1"/>
  <c r="AC33" i="1"/>
  <c r="AC33" i="16" s="1"/>
  <c r="AC32" i="1"/>
  <c r="AC32" i="16" s="1"/>
  <c r="AC31" i="1"/>
  <c r="AC31" i="16" s="1"/>
  <c r="AC30" i="1"/>
  <c r="AC30" i="16" s="1"/>
  <c r="AC29" i="1"/>
  <c r="AC29" i="16" s="1"/>
  <c r="AC28" i="1"/>
  <c r="AC28" i="16" s="1"/>
  <c r="AC27" i="1"/>
  <c r="AC27" i="16" s="1"/>
  <c r="AC26" i="1"/>
  <c r="AC26" i="16" s="1"/>
  <c r="AC25" i="1"/>
  <c r="AC25" i="16" s="1"/>
  <c r="AC25" i="12" s="1"/>
  <c r="AC25" i="17" s="1"/>
  <c r="AC25" i="19" s="1"/>
  <c r="AC25" i="18" s="1"/>
  <c r="AC25" i="11" s="1"/>
  <c r="AC25" i="13" s="1"/>
  <c r="AC24" i="1"/>
  <c r="AC24" i="16" s="1"/>
  <c r="AC24" i="12" s="1"/>
  <c r="AC24" i="17" s="1"/>
  <c r="AC24" i="19" s="1"/>
  <c r="AC24" i="18" s="1"/>
  <c r="AC24" i="11" s="1"/>
  <c r="AC24" i="13" s="1"/>
  <c r="AC23" i="1"/>
  <c r="AC23" i="16" s="1"/>
  <c r="AC23" i="12" s="1"/>
  <c r="AC23" i="17" s="1"/>
  <c r="AC23" i="19" s="1"/>
  <c r="AC23" i="18" s="1"/>
  <c r="AC23" i="11" s="1"/>
  <c r="AC23" i="13" s="1"/>
  <c r="AC22" i="1"/>
  <c r="AC22" i="16" s="1"/>
  <c r="AC22" i="12" s="1"/>
  <c r="AC22" i="17" s="1"/>
  <c r="AC22" i="19" s="1"/>
  <c r="AC22" i="18" s="1"/>
  <c r="AC22" i="11" s="1"/>
  <c r="AC22" i="13" s="1"/>
  <c r="AC21" i="1"/>
  <c r="AC21" i="16" s="1"/>
  <c r="AC21" i="12" s="1"/>
  <c r="AC21" i="17" s="1"/>
  <c r="AC21" i="19" s="1"/>
  <c r="AC21" i="18" s="1"/>
  <c r="AC21" i="11" s="1"/>
  <c r="AC21" i="13" s="1"/>
  <c r="AC20" i="1"/>
  <c r="AC20" i="16" s="1"/>
  <c r="AC20" i="12" s="1"/>
  <c r="AC20" i="17" s="1"/>
  <c r="AC20" i="19" s="1"/>
  <c r="AC20" i="18" s="1"/>
  <c r="AC20" i="11" s="1"/>
  <c r="AC20" i="13" s="1"/>
  <c r="AC19" i="1"/>
  <c r="AC19" i="16" s="1"/>
  <c r="AC19" i="12" s="1"/>
  <c r="AC19" i="17" s="1"/>
  <c r="AC19" i="19" s="1"/>
  <c r="AC19" i="18" s="1"/>
  <c r="AC19" i="11" s="1"/>
  <c r="AC19" i="13" s="1"/>
  <c r="AC18" i="1"/>
  <c r="AC18" i="16" s="1"/>
  <c r="AC18" i="12" s="1"/>
  <c r="AC18" i="17" s="1"/>
  <c r="AC18" i="19" s="1"/>
  <c r="AC18" i="18" s="1"/>
  <c r="AC18" i="11" s="1"/>
  <c r="AC18" i="13" s="1"/>
  <c r="AC17" i="1"/>
  <c r="AC17" i="16" s="1"/>
  <c r="AC17" i="12" s="1"/>
  <c r="AC17" i="17" s="1"/>
  <c r="AC17" i="19" s="1"/>
  <c r="AC17" i="18" s="1"/>
  <c r="AC17" i="11" s="1"/>
  <c r="AC17" i="13" s="1"/>
  <c r="AA37" i="1"/>
  <c r="AA37" i="16" s="1"/>
  <c r="AA36" i="1"/>
  <c r="AA36" i="16" s="1"/>
  <c r="AA35" i="1"/>
  <c r="AA35" i="16" s="1"/>
  <c r="AA34" i="1"/>
  <c r="AA34" i="16" s="1"/>
  <c r="AA33" i="1"/>
  <c r="AA33" i="16" s="1"/>
  <c r="AA32" i="1"/>
  <c r="AA32" i="16" s="1"/>
  <c r="AA31" i="1"/>
  <c r="AA31" i="16" s="1"/>
  <c r="AA30" i="1"/>
  <c r="AA30" i="16" s="1"/>
  <c r="AA29" i="1"/>
  <c r="AA29" i="16" s="1"/>
  <c r="AA28" i="1"/>
  <c r="AA28" i="16" s="1"/>
  <c r="AA27" i="1"/>
  <c r="AA27" i="16" s="1"/>
  <c r="AA26" i="1"/>
  <c r="AA26" i="16" s="1"/>
  <c r="AA25" i="1"/>
  <c r="AA25" i="16" s="1"/>
  <c r="AA25" i="12" s="1"/>
  <c r="AA25" i="17" s="1"/>
  <c r="AA25" i="19" s="1"/>
  <c r="AA25" i="18" s="1"/>
  <c r="AA25" i="11" s="1"/>
  <c r="AA25" i="13" s="1"/>
  <c r="AA24" i="1"/>
  <c r="AA24" i="16" s="1"/>
  <c r="AA24" i="12" s="1"/>
  <c r="AA24" i="17" s="1"/>
  <c r="AA24" i="19" s="1"/>
  <c r="AA24" i="18" s="1"/>
  <c r="AA24" i="11" s="1"/>
  <c r="AA24" i="13" s="1"/>
  <c r="AA23" i="1"/>
  <c r="AA23" i="16" s="1"/>
  <c r="AA23" i="12" s="1"/>
  <c r="AA23" i="17" s="1"/>
  <c r="AA23" i="19" s="1"/>
  <c r="AA23" i="18" s="1"/>
  <c r="AA23" i="11" s="1"/>
  <c r="AA23" i="13" s="1"/>
  <c r="AA22" i="1"/>
  <c r="AA22" i="16" s="1"/>
  <c r="AA22" i="12" s="1"/>
  <c r="AA22" i="17" s="1"/>
  <c r="AA22" i="19" s="1"/>
  <c r="AA22" i="18" s="1"/>
  <c r="AA22" i="11" s="1"/>
  <c r="AA22" i="13" s="1"/>
  <c r="AA21" i="1"/>
  <c r="AA21" i="16" s="1"/>
  <c r="AA21" i="12" s="1"/>
  <c r="AA21" i="17" s="1"/>
  <c r="AA21" i="19" s="1"/>
  <c r="AA21" i="18" s="1"/>
  <c r="AA21" i="11" s="1"/>
  <c r="AA21" i="13" s="1"/>
  <c r="AA20" i="1"/>
  <c r="AA20" i="16" s="1"/>
  <c r="AA20" i="12" s="1"/>
  <c r="AA20" i="17" s="1"/>
  <c r="AA20" i="19" s="1"/>
  <c r="AA20" i="18" s="1"/>
  <c r="AA20" i="11" s="1"/>
  <c r="AA20" i="13" s="1"/>
  <c r="AA19" i="1"/>
  <c r="AA19" i="16" s="1"/>
  <c r="AA19" i="12" s="1"/>
  <c r="AA19" i="17" s="1"/>
  <c r="AA19" i="19" s="1"/>
  <c r="AA19" i="18" s="1"/>
  <c r="AA19" i="11" s="1"/>
  <c r="AA19" i="13" s="1"/>
  <c r="AA18" i="1"/>
  <c r="AA18" i="16" s="1"/>
  <c r="AA18" i="12" s="1"/>
  <c r="AA18" i="17" s="1"/>
  <c r="AA18" i="19" s="1"/>
  <c r="AA18" i="18" s="1"/>
  <c r="AA18" i="11" s="1"/>
  <c r="AA18" i="13" s="1"/>
  <c r="AA17" i="1"/>
  <c r="AA17" i="16" s="1"/>
  <c r="AA17" i="12" s="1"/>
  <c r="AA17" i="17" s="1"/>
  <c r="AA17" i="19" s="1"/>
  <c r="AA17" i="18" s="1"/>
  <c r="AA17" i="11" s="1"/>
  <c r="AA17" i="13" s="1"/>
  <c r="Y37" i="1"/>
  <c r="Y37" i="16" s="1"/>
  <c r="Y36" i="1"/>
  <c r="Y36" i="16" s="1"/>
  <c r="Y35" i="1"/>
  <c r="Y35" i="16" s="1"/>
  <c r="Y34" i="1"/>
  <c r="Y34" i="16" s="1"/>
  <c r="Y33" i="1"/>
  <c r="Y33" i="16" s="1"/>
  <c r="Y32" i="1"/>
  <c r="Y32" i="16" s="1"/>
  <c r="Y31" i="1"/>
  <c r="Y31" i="16" s="1"/>
  <c r="Y30" i="1"/>
  <c r="Y30" i="16" s="1"/>
  <c r="Y29" i="1"/>
  <c r="Y29" i="16" s="1"/>
  <c r="Y28" i="1"/>
  <c r="Y28" i="16" s="1"/>
  <c r="Y27" i="1"/>
  <c r="Y27" i="16" s="1"/>
  <c r="Y26" i="1"/>
  <c r="Y26" i="16" s="1"/>
  <c r="Y25" i="1"/>
  <c r="Y25" i="16" s="1"/>
  <c r="Y25" i="12" s="1"/>
  <c r="Y25" i="17" s="1"/>
  <c r="Y25" i="19" s="1"/>
  <c r="Y25" i="18" s="1"/>
  <c r="Y25" i="11" s="1"/>
  <c r="Y25" i="13" s="1"/>
  <c r="Y24" i="1"/>
  <c r="Y24" i="16" s="1"/>
  <c r="Y24" i="12" s="1"/>
  <c r="Y24" i="17" s="1"/>
  <c r="Y24" i="19" s="1"/>
  <c r="Y24" i="18" s="1"/>
  <c r="Y24" i="11" s="1"/>
  <c r="Y24" i="13" s="1"/>
  <c r="Y23" i="1"/>
  <c r="Y23" i="16" s="1"/>
  <c r="Y23" i="12" s="1"/>
  <c r="Y23" i="17" s="1"/>
  <c r="Y23" i="19" s="1"/>
  <c r="Y23" i="18" s="1"/>
  <c r="Y23" i="11" s="1"/>
  <c r="Y23" i="13" s="1"/>
  <c r="Y22" i="1"/>
  <c r="Y22" i="16" s="1"/>
  <c r="Y22" i="12" s="1"/>
  <c r="Y22" i="17" s="1"/>
  <c r="Y22" i="19" s="1"/>
  <c r="Y22" i="18" s="1"/>
  <c r="Y22" i="11" s="1"/>
  <c r="Y22" i="13" s="1"/>
  <c r="Y21" i="1"/>
  <c r="Y21" i="16" s="1"/>
  <c r="Y21" i="12" s="1"/>
  <c r="Y21" i="17" s="1"/>
  <c r="Y21" i="19" s="1"/>
  <c r="Y21" i="18" s="1"/>
  <c r="Y21" i="11" s="1"/>
  <c r="Y21" i="13" s="1"/>
  <c r="Y20" i="1"/>
  <c r="Y20" i="16" s="1"/>
  <c r="Y20" i="12" s="1"/>
  <c r="Y20" i="17" s="1"/>
  <c r="Y20" i="19" s="1"/>
  <c r="Y20" i="18" s="1"/>
  <c r="Y20" i="11" s="1"/>
  <c r="Y20" i="13" s="1"/>
  <c r="Y19" i="1"/>
  <c r="Y19" i="16" s="1"/>
  <c r="Y19" i="12" s="1"/>
  <c r="Y19" i="17" s="1"/>
  <c r="Y19" i="19" s="1"/>
  <c r="Y19" i="18" s="1"/>
  <c r="Y19" i="11" s="1"/>
  <c r="Y19" i="13" s="1"/>
  <c r="Y18" i="1"/>
  <c r="Y18" i="16" s="1"/>
  <c r="Y18" i="12" s="1"/>
  <c r="Y18" i="17" s="1"/>
  <c r="Y18" i="19" s="1"/>
  <c r="Y18" i="18" s="1"/>
  <c r="Y18" i="11" s="1"/>
  <c r="Y18" i="13" s="1"/>
  <c r="Y17" i="1"/>
  <c r="Y17" i="16" s="1"/>
  <c r="Y17" i="12" s="1"/>
  <c r="Y17" i="17" s="1"/>
  <c r="Y17" i="19" s="1"/>
  <c r="Y17" i="18" s="1"/>
  <c r="Y17" i="11" s="1"/>
  <c r="Y17" i="13" s="1"/>
  <c r="W37" i="1"/>
  <c r="W37" i="16" s="1"/>
  <c r="W36" i="1"/>
  <c r="W36" i="16" s="1"/>
  <c r="W35" i="1"/>
  <c r="W35" i="16" s="1"/>
  <c r="W34" i="1"/>
  <c r="W34" i="16" s="1"/>
  <c r="W33" i="1"/>
  <c r="W33" i="16" s="1"/>
  <c r="W32" i="1"/>
  <c r="W32" i="16" s="1"/>
  <c r="W31" i="1"/>
  <c r="W31" i="16" s="1"/>
  <c r="W30" i="1"/>
  <c r="W30" i="16" s="1"/>
  <c r="W29" i="1"/>
  <c r="W29" i="16" s="1"/>
  <c r="W28" i="1"/>
  <c r="W28" i="16" s="1"/>
  <c r="W27" i="1"/>
  <c r="W27" i="16" s="1"/>
  <c r="W26" i="1"/>
  <c r="W26" i="16" s="1"/>
  <c r="W25" i="1"/>
  <c r="W25" i="16" s="1"/>
  <c r="W25" i="12" s="1"/>
  <c r="W25" i="17" s="1"/>
  <c r="W25" i="19" s="1"/>
  <c r="W25" i="18" s="1"/>
  <c r="W25" i="11" s="1"/>
  <c r="W25" i="13" s="1"/>
  <c r="W24" i="1"/>
  <c r="W24" i="16" s="1"/>
  <c r="W24" i="12" s="1"/>
  <c r="W24" i="17" s="1"/>
  <c r="W24" i="19" s="1"/>
  <c r="W24" i="18" s="1"/>
  <c r="W24" i="11" s="1"/>
  <c r="W24" i="13" s="1"/>
  <c r="W23" i="1"/>
  <c r="W23" i="16" s="1"/>
  <c r="W23" i="12" s="1"/>
  <c r="W23" i="17" s="1"/>
  <c r="W23" i="19" s="1"/>
  <c r="W23" i="18" s="1"/>
  <c r="W23" i="11" s="1"/>
  <c r="W23" i="13" s="1"/>
  <c r="W22" i="1"/>
  <c r="W22" i="16" s="1"/>
  <c r="W22" i="12" s="1"/>
  <c r="W22" i="17" s="1"/>
  <c r="W22" i="19" s="1"/>
  <c r="W22" i="18" s="1"/>
  <c r="W22" i="11" s="1"/>
  <c r="W22" i="13" s="1"/>
  <c r="W21" i="1"/>
  <c r="W21" i="16" s="1"/>
  <c r="W21" i="12" s="1"/>
  <c r="W21" i="17" s="1"/>
  <c r="W21" i="19" s="1"/>
  <c r="W21" i="18" s="1"/>
  <c r="W21" i="11" s="1"/>
  <c r="W21" i="13" s="1"/>
  <c r="W20" i="1"/>
  <c r="W20" i="16" s="1"/>
  <c r="W20" i="12" s="1"/>
  <c r="W20" i="17" s="1"/>
  <c r="W20" i="19" s="1"/>
  <c r="W20" i="18" s="1"/>
  <c r="W20" i="11" s="1"/>
  <c r="W20" i="13" s="1"/>
  <c r="W19" i="1"/>
  <c r="W19" i="16" s="1"/>
  <c r="W19" i="12" s="1"/>
  <c r="W19" i="17" s="1"/>
  <c r="W19" i="19" s="1"/>
  <c r="W19" i="18" s="1"/>
  <c r="W19" i="11" s="1"/>
  <c r="W19" i="13" s="1"/>
  <c r="W18" i="1"/>
  <c r="W18" i="16" s="1"/>
  <c r="W18" i="12" s="1"/>
  <c r="W18" i="17" s="1"/>
  <c r="W18" i="19" s="1"/>
  <c r="W18" i="18" s="1"/>
  <c r="W18" i="11" s="1"/>
  <c r="W18" i="13" s="1"/>
  <c r="W17" i="1"/>
  <c r="W17" i="16" s="1"/>
  <c r="W17" i="12" s="1"/>
  <c r="W17" i="17" s="1"/>
  <c r="W17" i="19" s="1"/>
  <c r="W17" i="18" s="1"/>
  <c r="W17" i="11" s="1"/>
  <c r="W17" i="13" s="1"/>
  <c r="U37" i="1"/>
  <c r="U37" i="16" s="1"/>
  <c r="U36" i="1"/>
  <c r="U36" i="16" s="1"/>
  <c r="U35" i="1"/>
  <c r="U35" i="16" s="1"/>
  <c r="U34" i="1"/>
  <c r="U34" i="16" s="1"/>
  <c r="U33" i="1"/>
  <c r="U33" i="16" s="1"/>
  <c r="U32" i="1"/>
  <c r="U32" i="16" s="1"/>
  <c r="U31" i="1"/>
  <c r="U31" i="16" s="1"/>
  <c r="U30" i="1"/>
  <c r="U30" i="16" s="1"/>
  <c r="U29" i="1"/>
  <c r="U29" i="16" s="1"/>
  <c r="U28" i="1"/>
  <c r="U28" i="16" s="1"/>
  <c r="U27" i="1"/>
  <c r="U27" i="16" s="1"/>
  <c r="U26" i="1"/>
  <c r="U26" i="16" s="1"/>
  <c r="U25" i="1"/>
  <c r="U25" i="16" s="1"/>
  <c r="U25" i="12" s="1"/>
  <c r="U25" i="17" s="1"/>
  <c r="U25" i="19" s="1"/>
  <c r="U25" i="18" s="1"/>
  <c r="U25" i="11" s="1"/>
  <c r="U25" i="13" s="1"/>
  <c r="U24" i="1"/>
  <c r="U24" i="16" s="1"/>
  <c r="U24" i="12" s="1"/>
  <c r="U24" i="17" s="1"/>
  <c r="U24" i="19" s="1"/>
  <c r="U24" i="18" s="1"/>
  <c r="U24" i="11" s="1"/>
  <c r="U24" i="13" s="1"/>
  <c r="U23" i="1"/>
  <c r="U23" i="16" s="1"/>
  <c r="U23" i="12" s="1"/>
  <c r="U23" i="17" s="1"/>
  <c r="U23" i="19" s="1"/>
  <c r="U23" i="18" s="1"/>
  <c r="U23" i="11" s="1"/>
  <c r="U23" i="13" s="1"/>
  <c r="U22" i="1"/>
  <c r="U22" i="16" s="1"/>
  <c r="U22" i="12" s="1"/>
  <c r="U22" i="17" s="1"/>
  <c r="U22" i="19" s="1"/>
  <c r="U22" i="18" s="1"/>
  <c r="U22" i="11" s="1"/>
  <c r="U22" i="13" s="1"/>
  <c r="U21" i="1"/>
  <c r="U21" i="16" s="1"/>
  <c r="U21" i="12" s="1"/>
  <c r="U21" i="17" s="1"/>
  <c r="U21" i="19" s="1"/>
  <c r="U21" i="18" s="1"/>
  <c r="U21" i="11" s="1"/>
  <c r="U21" i="13" s="1"/>
  <c r="U20" i="1"/>
  <c r="U20" i="16" s="1"/>
  <c r="U20" i="12" s="1"/>
  <c r="U20" i="17" s="1"/>
  <c r="U20" i="19" s="1"/>
  <c r="U20" i="18" s="1"/>
  <c r="U20" i="11" s="1"/>
  <c r="U20" i="13" s="1"/>
  <c r="U19" i="1"/>
  <c r="U19" i="16" s="1"/>
  <c r="U19" i="12" s="1"/>
  <c r="U19" i="17" s="1"/>
  <c r="U19" i="19" s="1"/>
  <c r="U19" i="18" s="1"/>
  <c r="U19" i="11" s="1"/>
  <c r="U19" i="13" s="1"/>
  <c r="U18" i="1"/>
  <c r="U18" i="16" s="1"/>
  <c r="U18" i="12" s="1"/>
  <c r="U18" i="17" s="1"/>
  <c r="U18" i="19" s="1"/>
  <c r="U18" i="18" s="1"/>
  <c r="U18" i="11" s="1"/>
  <c r="U18" i="13" s="1"/>
  <c r="U17" i="1"/>
  <c r="U17" i="16" s="1"/>
  <c r="U17" i="12" s="1"/>
  <c r="U17" i="17" s="1"/>
  <c r="U17" i="19" s="1"/>
  <c r="U17" i="18" s="1"/>
  <c r="U17" i="11" s="1"/>
  <c r="U17" i="13" s="1"/>
  <c r="S37" i="1"/>
  <c r="S37" i="16" s="1"/>
  <c r="S36" i="1"/>
  <c r="S36" i="16" s="1"/>
  <c r="S35" i="1"/>
  <c r="S35" i="16" s="1"/>
  <c r="S34" i="1"/>
  <c r="S34" i="16" s="1"/>
  <c r="S33" i="1"/>
  <c r="S33" i="16" s="1"/>
  <c r="S32" i="1"/>
  <c r="S32" i="16" s="1"/>
  <c r="S31" i="1"/>
  <c r="S31" i="16" s="1"/>
  <c r="S30" i="1"/>
  <c r="S30" i="16" s="1"/>
  <c r="S29" i="1"/>
  <c r="S29" i="16" s="1"/>
  <c r="S28" i="1"/>
  <c r="S28" i="16" s="1"/>
  <c r="S27" i="1"/>
  <c r="S27" i="16" s="1"/>
  <c r="S26" i="1"/>
  <c r="S26" i="16" s="1"/>
  <c r="S25" i="1"/>
  <c r="S25" i="16" s="1"/>
  <c r="S25" i="12" s="1"/>
  <c r="S25" i="17" s="1"/>
  <c r="S25" i="19" s="1"/>
  <c r="S25" i="18" s="1"/>
  <c r="S25" i="11" s="1"/>
  <c r="S25" i="13" s="1"/>
  <c r="S24" i="1"/>
  <c r="S24" i="16" s="1"/>
  <c r="S24" i="12" s="1"/>
  <c r="S24" i="17" s="1"/>
  <c r="S24" i="19" s="1"/>
  <c r="S24" i="18" s="1"/>
  <c r="S24" i="11" s="1"/>
  <c r="S24" i="13" s="1"/>
  <c r="S23" i="1"/>
  <c r="S23" i="16" s="1"/>
  <c r="S23" i="12" s="1"/>
  <c r="S23" i="17" s="1"/>
  <c r="S23" i="19" s="1"/>
  <c r="S23" i="18" s="1"/>
  <c r="S23" i="11" s="1"/>
  <c r="S23" i="13" s="1"/>
  <c r="S22" i="1"/>
  <c r="S22" i="16" s="1"/>
  <c r="S22" i="12" s="1"/>
  <c r="S22" i="17" s="1"/>
  <c r="S22" i="19" s="1"/>
  <c r="S22" i="18" s="1"/>
  <c r="S22" i="11" s="1"/>
  <c r="S22" i="13" s="1"/>
  <c r="S21" i="1"/>
  <c r="S21" i="16" s="1"/>
  <c r="S21" i="12" s="1"/>
  <c r="S21" i="17" s="1"/>
  <c r="S21" i="19" s="1"/>
  <c r="S21" i="18" s="1"/>
  <c r="S21" i="11" s="1"/>
  <c r="S21" i="13" s="1"/>
  <c r="S20" i="1"/>
  <c r="S20" i="16" s="1"/>
  <c r="S20" i="12" s="1"/>
  <c r="S20" i="17" s="1"/>
  <c r="S20" i="19" s="1"/>
  <c r="S20" i="18" s="1"/>
  <c r="S20" i="11" s="1"/>
  <c r="S20" i="13" s="1"/>
  <c r="S19" i="1"/>
  <c r="S19" i="16" s="1"/>
  <c r="S19" i="12" s="1"/>
  <c r="S19" i="17" s="1"/>
  <c r="S19" i="19" s="1"/>
  <c r="S19" i="18" s="1"/>
  <c r="S19" i="11" s="1"/>
  <c r="S19" i="13" s="1"/>
  <c r="S18" i="1"/>
  <c r="S18" i="16" s="1"/>
  <c r="S18" i="12" s="1"/>
  <c r="S18" i="17" s="1"/>
  <c r="S18" i="19" s="1"/>
  <c r="S18" i="18" s="1"/>
  <c r="S18" i="11" s="1"/>
  <c r="S18" i="13" s="1"/>
  <c r="S17" i="1"/>
  <c r="S17" i="16" s="1"/>
  <c r="S17" i="12" s="1"/>
  <c r="S17" i="17" s="1"/>
  <c r="S17" i="19" s="1"/>
  <c r="S17" i="18" s="1"/>
  <c r="S17" i="11" s="1"/>
  <c r="S17" i="13" s="1"/>
  <c r="Q37" i="1"/>
  <c r="Q37" i="16" s="1"/>
  <c r="Q36" i="1"/>
  <c r="Q36" i="16" s="1"/>
  <c r="Q35" i="1"/>
  <c r="Q35" i="16" s="1"/>
  <c r="Q34" i="1"/>
  <c r="Q34" i="16" s="1"/>
  <c r="Q33" i="1"/>
  <c r="Q33" i="16" s="1"/>
  <c r="Q32" i="1"/>
  <c r="Q32" i="16" s="1"/>
  <c r="Q31" i="1"/>
  <c r="Q31" i="16" s="1"/>
  <c r="Q30" i="1"/>
  <c r="Q30" i="16" s="1"/>
  <c r="Q29" i="1"/>
  <c r="Q29" i="16" s="1"/>
  <c r="Q28" i="1"/>
  <c r="Q28" i="16" s="1"/>
  <c r="Q27" i="1"/>
  <c r="Q27" i="16" s="1"/>
  <c r="Q26" i="1"/>
  <c r="Q26" i="16" s="1"/>
  <c r="Q25" i="1"/>
  <c r="Q25" i="16" s="1"/>
  <c r="Q25" i="12" s="1"/>
  <c r="Q25" i="17" s="1"/>
  <c r="Q25" i="19" s="1"/>
  <c r="Q25" i="18" s="1"/>
  <c r="Q25" i="11" s="1"/>
  <c r="Q25" i="13" s="1"/>
  <c r="Q24" i="1"/>
  <c r="Q24" i="16" s="1"/>
  <c r="Q24" i="12" s="1"/>
  <c r="Q24" i="17" s="1"/>
  <c r="Q24" i="19" s="1"/>
  <c r="Q24" i="18" s="1"/>
  <c r="Q24" i="11" s="1"/>
  <c r="Q24" i="13" s="1"/>
  <c r="Q23" i="1"/>
  <c r="Q23" i="16" s="1"/>
  <c r="Q23" i="12" s="1"/>
  <c r="Q23" i="17" s="1"/>
  <c r="Q23" i="19" s="1"/>
  <c r="Q23" i="18" s="1"/>
  <c r="Q23" i="11" s="1"/>
  <c r="Q23" i="13" s="1"/>
  <c r="Q22" i="1"/>
  <c r="Q22" i="16" s="1"/>
  <c r="Q22" i="12" s="1"/>
  <c r="Q22" i="17" s="1"/>
  <c r="Q22" i="19" s="1"/>
  <c r="Q22" i="18" s="1"/>
  <c r="Q22" i="11" s="1"/>
  <c r="Q22" i="13" s="1"/>
  <c r="Q21" i="1"/>
  <c r="Q21" i="16" s="1"/>
  <c r="Q21" i="12" s="1"/>
  <c r="Q21" i="17" s="1"/>
  <c r="Q21" i="19" s="1"/>
  <c r="Q21" i="18" s="1"/>
  <c r="Q21" i="11" s="1"/>
  <c r="Q21" i="13" s="1"/>
  <c r="Q20" i="1"/>
  <c r="Q20" i="16" s="1"/>
  <c r="Q20" i="12" s="1"/>
  <c r="Q20" i="17" s="1"/>
  <c r="Q20" i="19" s="1"/>
  <c r="Q20" i="18" s="1"/>
  <c r="Q20" i="11" s="1"/>
  <c r="Q20" i="13" s="1"/>
  <c r="Q19" i="1"/>
  <c r="Q19" i="16" s="1"/>
  <c r="Q19" i="12" s="1"/>
  <c r="Q19" i="17" s="1"/>
  <c r="Q19" i="19" s="1"/>
  <c r="Q19" i="18" s="1"/>
  <c r="Q19" i="11" s="1"/>
  <c r="Q19" i="13" s="1"/>
  <c r="Q18" i="1"/>
  <c r="Q18" i="16" s="1"/>
  <c r="Q18" i="12" s="1"/>
  <c r="Q18" i="17" s="1"/>
  <c r="Q18" i="19" s="1"/>
  <c r="Q18" i="18" s="1"/>
  <c r="Q18" i="11" s="1"/>
  <c r="Q18" i="13" s="1"/>
  <c r="Q17" i="1"/>
  <c r="Q17" i="16" s="1"/>
  <c r="Q17" i="12" s="1"/>
  <c r="Q17" i="17" s="1"/>
  <c r="Q17" i="19" s="1"/>
  <c r="Q17" i="18" s="1"/>
  <c r="Q17" i="11" s="1"/>
  <c r="Q17" i="13" s="1"/>
  <c r="O37" i="1"/>
  <c r="O37" i="16" s="1"/>
  <c r="O36" i="1"/>
  <c r="O36" i="16" s="1"/>
  <c r="O35" i="1"/>
  <c r="O35" i="16" s="1"/>
  <c r="O34" i="1"/>
  <c r="O34" i="16" s="1"/>
  <c r="O33" i="1"/>
  <c r="O33" i="16" s="1"/>
  <c r="O32" i="1"/>
  <c r="O32" i="16" s="1"/>
  <c r="O31" i="1"/>
  <c r="O31" i="16" s="1"/>
  <c r="O30" i="1"/>
  <c r="O30" i="16" s="1"/>
  <c r="O29" i="1"/>
  <c r="O29" i="16" s="1"/>
  <c r="O28" i="1"/>
  <c r="O28" i="16" s="1"/>
  <c r="O27" i="1"/>
  <c r="O27" i="16" s="1"/>
  <c r="O26" i="1"/>
  <c r="O26" i="16" s="1"/>
  <c r="O25" i="1"/>
  <c r="O25" i="16" s="1"/>
  <c r="O25" i="12" s="1"/>
  <c r="O25" i="17" s="1"/>
  <c r="O25" i="19" s="1"/>
  <c r="O25" i="18" s="1"/>
  <c r="O25" i="11" s="1"/>
  <c r="O25" i="13" s="1"/>
  <c r="O24" i="1"/>
  <c r="O24" i="16" s="1"/>
  <c r="O24" i="12" s="1"/>
  <c r="O24" i="17" s="1"/>
  <c r="O24" i="19" s="1"/>
  <c r="O24" i="18" s="1"/>
  <c r="O24" i="11" s="1"/>
  <c r="O24" i="13" s="1"/>
  <c r="O23" i="1"/>
  <c r="O23" i="16" s="1"/>
  <c r="O23" i="12" s="1"/>
  <c r="O23" i="17" s="1"/>
  <c r="O23" i="19" s="1"/>
  <c r="O23" i="18" s="1"/>
  <c r="O23" i="11" s="1"/>
  <c r="O23" i="13" s="1"/>
  <c r="O22" i="1"/>
  <c r="O22" i="16" s="1"/>
  <c r="O22" i="12" s="1"/>
  <c r="O22" i="17" s="1"/>
  <c r="O22" i="19" s="1"/>
  <c r="O22" i="18" s="1"/>
  <c r="O22" i="11" s="1"/>
  <c r="O22" i="13" s="1"/>
  <c r="O21" i="1"/>
  <c r="O21" i="16" s="1"/>
  <c r="O21" i="12" s="1"/>
  <c r="O21" i="17" s="1"/>
  <c r="O21" i="19" s="1"/>
  <c r="O21" i="18" s="1"/>
  <c r="O21" i="11" s="1"/>
  <c r="O21" i="13" s="1"/>
  <c r="O20" i="1"/>
  <c r="O20" i="16" s="1"/>
  <c r="O20" i="12" s="1"/>
  <c r="O20" i="17" s="1"/>
  <c r="O20" i="19" s="1"/>
  <c r="O20" i="18" s="1"/>
  <c r="O20" i="11" s="1"/>
  <c r="O20" i="13" s="1"/>
  <c r="O19" i="1"/>
  <c r="O19" i="16" s="1"/>
  <c r="O19" i="12" s="1"/>
  <c r="O19" i="17" s="1"/>
  <c r="O19" i="19" s="1"/>
  <c r="O19" i="18" s="1"/>
  <c r="O19" i="11" s="1"/>
  <c r="O19" i="13" s="1"/>
  <c r="O18" i="1"/>
  <c r="O18" i="16" s="1"/>
  <c r="O18" i="12" s="1"/>
  <c r="O18" i="17" s="1"/>
  <c r="O18" i="19" s="1"/>
  <c r="O18" i="18" s="1"/>
  <c r="O18" i="11" s="1"/>
  <c r="O18" i="13" s="1"/>
  <c r="O17" i="1"/>
  <c r="O17" i="16" s="1"/>
  <c r="O17" i="12" s="1"/>
  <c r="O17" i="17" s="1"/>
  <c r="O17" i="19" s="1"/>
  <c r="O17" i="18" s="1"/>
  <c r="O17" i="11" s="1"/>
  <c r="O17" i="13" s="1"/>
  <c r="M37" i="1"/>
  <c r="M37" i="16" s="1"/>
  <c r="M36" i="1"/>
  <c r="M36" i="16" s="1"/>
  <c r="M35" i="1"/>
  <c r="M35" i="16" s="1"/>
  <c r="M34" i="1"/>
  <c r="M34" i="16" s="1"/>
  <c r="M33" i="1"/>
  <c r="M33" i="16" s="1"/>
  <c r="M32" i="1"/>
  <c r="M32" i="16" s="1"/>
  <c r="M31" i="1"/>
  <c r="M31" i="16" s="1"/>
  <c r="M30" i="1"/>
  <c r="M30" i="16" s="1"/>
  <c r="M29" i="1"/>
  <c r="M29" i="16" s="1"/>
  <c r="M28" i="1"/>
  <c r="M28" i="16" s="1"/>
  <c r="M27" i="1"/>
  <c r="M27" i="16" s="1"/>
  <c r="M26" i="1"/>
  <c r="M26" i="16" s="1"/>
  <c r="M25" i="1"/>
  <c r="M25" i="16" s="1"/>
  <c r="M25" i="12" s="1"/>
  <c r="M25" i="17" s="1"/>
  <c r="M25" i="19" s="1"/>
  <c r="M25" i="18" s="1"/>
  <c r="M25" i="11" s="1"/>
  <c r="M25" i="13" s="1"/>
  <c r="M24" i="1"/>
  <c r="M24" i="16" s="1"/>
  <c r="M24" i="12" s="1"/>
  <c r="M24" i="17" s="1"/>
  <c r="M24" i="19" s="1"/>
  <c r="M24" i="18" s="1"/>
  <c r="M24" i="11" s="1"/>
  <c r="M24" i="13" s="1"/>
  <c r="M23" i="1"/>
  <c r="M23" i="16" s="1"/>
  <c r="M23" i="12" s="1"/>
  <c r="M23" i="17" s="1"/>
  <c r="M23" i="19" s="1"/>
  <c r="M23" i="18" s="1"/>
  <c r="M23" i="11" s="1"/>
  <c r="M23" i="13" s="1"/>
  <c r="M22" i="1"/>
  <c r="M22" i="16" s="1"/>
  <c r="M22" i="12" s="1"/>
  <c r="M22" i="17" s="1"/>
  <c r="M22" i="19" s="1"/>
  <c r="M22" i="18" s="1"/>
  <c r="M22" i="11" s="1"/>
  <c r="M22" i="13" s="1"/>
  <c r="M21" i="1"/>
  <c r="M21" i="16" s="1"/>
  <c r="M21" i="12" s="1"/>
  <c r="M21" i="17" s="1"/>
  <c r="M21" i="19" s="1"/>
  <c r="M21" i="18" s="1"/>
  <c r="M21" i="11" s="1"/>
  <c r="M21" i="13" s="1"/>
  <c r="M20" i="1"/>
  <c r="M20" i="16" s="1"/>
  <c r="M20" i="12" s="1"/>
  <c r="M20" i="17" s="1"/>
  <c r="M20" i="19" s="1"/>
  <c r="M20" i="18" s="1"/>
  <c r="M20" i="11" s="1"/>
  <c r="M20" i="13" s="1"/>
  <c r="M19" i="1"/>
  <c r="M19" i="16" s="1"/>
  <c r="M19" i="12" s="1"/>
  <c r="M19" i="17" s="1"/>
  <c r="M19" i="19" s="1"/>
  <c r="M19" i="18" s="1"/>
  <c r="M19" i="11" s="1"/>
  <c r="M19" i="13" s="1"/>
  <c r="M18" i="1"/>
  <c r="M18" i="16" s="1"/>
  <c r="M18" i="12" s="1"/>
  <c r="M18" i="17" s="1"/>
  <c r="M18" i="19" s="1"/>
  <c r="M18" i="18" s="1"/>
  <c r="M18" i="11" s="1"/>
  <c r="M18" i="13" s="1"/>
  <c r="M17" i="1"/>
  <c r="M17" i="16" s="1"/>
  <c r="M17" i="12" s="1"/>
  <c r="M17" i="17" s="1"/>
  <c r="M17" i="19" s="1"/>
  <c r="M17" i="18" s="1"/>
  <c r="M17" i="11" s="1"/>
  <c r="M17" i="13" s="1"/>
  <c r="K37" i="1"/>
  <c r="K37" i="16" s="1"/>
  <c r="K36" i="1"/>
  <c r="K36" i="16" s="1"/>
  <c r="K35" i="1"/>
  <c r="K35" i="16" s="1"/>
  <c r="K34" i="1"/>
  <c r="K34" i="16" s="1"/>
  <c r="K33" i="1"/>
  <c r="K33" i="16" s="1"/>
  <c r="K32" i="1"/>
  <c r="K32" i="16" s="1"/>
  <c r="K31" i="1"/>
  <c r="K31" i="16" s="1"/>
  <c r="K30" i="1"/>
  <c r="K30" i="16" s="1"/>
  <c r="K29" i="1"/>
  <c r="K29" i="16" s="1"/>
  <c r="K28" i="1"/>
  <c r="K28" i="16" s="1"/>
  <c r="K27" i="1"/>
  <c r="K27" i="16" s="1"/>
  <c r="K26" i="1"/>
  <c r="K26" i="16" s="1"/>
  <c r="K25" i="1"/>
  <c r="K25" i="16" s="1"/>
  <c r="K25" i="12" s="1"/>
  <c r="K25" i="17" s="1"/>
  <c r="K25" i="19" s="1"/>
  <c r="K25" i="18" s="1"/>
  <c r="K25" i="11" s="1"/>
  <c r="K25" i="13" s="1"/>
  <c r="K24" i="1"/>
  <c r="K24" i="16" s="1"/>
  <c r="K24" i="12" s="1"/>
  <c r="K24" i="17" s="1"/>
  <c r="K24" i="19" s="1"/>
  <c r="K24" i="18" s="1"/>
  <c r="K24" i="11" s="1"/>
  <c r="K24" i="13" s="1"/>
  <c r="K23" i="1"/>
  <c r="K23" i="16" s="1"/>
  <c r="K23" i="12" s="1"/>
  <c r="K23" i="17" s="1"/>
  <c r="K23" i="19" s="1"/>
  <c r="K23" i="18" s="1"/>
  <c r="K23" i="11" s="1"/>
  <c r="K23" i="13" s="1"/>
  <c r="K22" i="1"/>
  <c r="K22" i="16" s="1"/>
  <c r="K22" i="12" s="1"/>
  <c r="K22" i="17" s="1"/>
  <c r="K22" i="19" s="1"/>
  <c r="K22" i="18" s="1"/>
  <c r="K22" i="11" s="1"/>
  <c r="K22" i="13" s="1"/>
  <c r="K21" i="1"/>
  <c r="K21" i="16" s="1"/>
  <c r="K21" i="12" s="1"/>
  <c r="K21" i="17" s="1"/>
  <c r="K21" i="19" s="1"/>
  <c r="K21" i="18" s="1"/>
  <c r="K21" i="11" s="1"/>
  <c r="K21" i="13" s="1"/>
  <c r="K20" i="1"/>
  <c r="K20" i="16" s="1"/>
  <c r="K20" i="12" s="1"/>
  <c r="K20" i="17" s="1"/>
  <c r="K20" i="19" s="1"/>
  <c r="K20" i="18" s="1"/>
  <c r="K20" i="11" s="1"/>
  <c r="K20" i="13" s="1"/>
  <c r="K19" i="1"/>
  <c r="K19" i="16" s="1"/>
  <c r="K19" i="12" s="1"/>
  <c r="K19" i="17" s="1"/>
  <c r="K19" i="19" s="1"/>
  <c r="K19" i="18" s="1"/>
  <c r="K19" i="11" s="1"/>
  <c r="K19" i="13" s="1"/>
  <c r="K18" i="1"/>
  <c r="K18" i="16" s="1"/>
  <c r="K18" i="12" s="1"/>
  <c r="K18" i="17" s="1"/>
  <c r="K18" i="19" s="1"/>
  <c r="K18" i="18" s="1"/>
  <c r="K18" i="11" s="1"/>
  <c r="K18" i="13" s="1"/>
  <c r="K17" i="1"/>
  <c r="K17" i="16" s="1"/>
  <c r="K17" i="12" s="1"/>
  <c r="K17" i="17" s="1"/>
  <c r="K17" i="19" s="1"/>
  <c r="K17" i="18" s="1"/>
  <c r="K17" i="11" s="1"/>
  <c r="K17" i="13" s="1"/>
  <c r="I37" i="1"/>
  <c r="I37" i="16" s="1"/>
  <c r="I36" i="1"/>
  <c r="I36" i="16" s="1"/>
  <c r="I35" i="1"/>
  <c r="I35" i="16" s="1"/>
  <c r="I34" i="1"/>
  <c r="I34" i="16" s="1"/>
  <c r="I33" i="1"/>
  <c r="I33" i="16" s="1"/>
  <c r="I32" i="1"/>
  <c r="I32" i="16" s="1"/>
  <c r="I31" i="1"/>
  <c r="I31" i="16" s="1"/>
  <c r="I30" i="1"/>
  <c r="I30" i="16" s="1"/>
  <c r="I29" i="1"/>
  <c r="I29" i="16" s="1"/>
  <c r="I28" i="1"/>
  <c r="I28" i="16" s="1"/>
  <c r="I27" i="1"/>
  <c r="I27" i="16" s="1"/>
  <c r="I26" i="1"/>
  <c r="I26" i="16" s="1"/>
  <c r="I25" i="1"/>
  <c r="I25" i="16" s="1"/>
  <c r="I25" i="12" s="1"/>
  <c r="I25" i="17" s="1"/>
  <c r="I25" i="19" s="1"/>
  <c r="I25" i="18" s="1"/>
  <c r="I25" i="11" s="1"/>
  <c r="I25" i="13" s="1"/>
  <c r="I24" i="1"/>
  <c r="I24" i="16" s="1"/>
  <c r="I24" i="12" s="1"/>
  <c r="I24" i="17" s="1"/>
  <c r="I24" i="19" s="1"/>
  <c r="I24" i="18" s="1"/>
  <c r="I24" i="11" s="1"/>
  <c r="I24" i="13" s="1"/>
  <c r="I23" i="1"/>
  <c r="I23" i="16" s="1"/>
  <c r="I23" i="12" s="1"/>
  <c r="I23" i="17" s="1"/>
  <c r="I23" i="19" s="1"/>
  <c r="I23" i="18" s="1"/>
  <c r="I23" i="11" s="1"/>
  <c r="I23" i="13" s="1"/>
  <c r="I22" i="1"/>
  <c r="I22" i="16" s="1"/>
  <c r="I22" i="12" s="1"/>
  <c r="I22" i="17" s="1"/>
  <c r="I22" i="19" s="1"/>
  <c r="I22" i="18" s="1"/>
  <c r="I22" i="11" s="1"/>
  <c r="I22" i="13" s="1"/>
  <c r="I21" i="1"/>
  <c r="I21" i="16" s="1"/>
  <c r="I21" i="12" s="1"/>
  <c r="I21" i="17" s="1"/>
  <c r="I21" i="19" s="1"/>
  <c r="I21" i="18" s="1"/>
  <c r="I21" i="11" s="1"/>
  <c r="I21" i="13" s="1"/>
  <c r="I20" i="1"/>
  <c r="I20" i="16" s="1"/>
  <c r="I20" i="12" s="1"/>
  <c r="I20" i="17" s="1"/>
  <c r="I20" i="19" s="1"/>
  <c r="I20" i="18" s="1"/>
  <c r="I20" i="11" s="1"/>
  <c r="I20" i="13" s="1"/>
  <c r="I19" i="1"/>
  <c r="I19" i="16" s="1"/>
  <c r="I19" i="12" s="1"/>
  <c r="I19" i="17" s="1"/>
  <c r="I19" i="19" s="1"/>
  <c r="I19" i="18" s="1"/>
  <c r="I19" i="11" s="1"/>
  <c r="I19" i="13" s="1"/>
  <c r="I18" i="1"/>
  <c r="I18" i="16" s="1"/>
  <c r="I18" i="12" s="1"/>
  <c r="I18" i="17" s="1"/>
  <c r="I18" i="19" s="1"/>
  <c r="I18" i="18" s="1"/>
  <c r="I18" i="11" s="1"/>
  <c r="I18" i="13" s="1"/>
  <c r="I17" i="1"/>
  <c r="I17" i="16" s="1"/>
  <c r="I17" i="12" s="1"/>
  <c r="I17" i="17" s="1"/>
  <c r="I17" i="19" s="1"/>
  <c r="I17" i="18" s="1"/>
  <c r="I17" i="11" s="1"/>
  <c r="I17" i="13" s="1"/>
  <c r="G37" i="1"/>
  <c r="G37" i="16" s="1"/>
  <c r="G36" i="1"/>
  <c r="G36" i="16" s="1"/>
  <c r="G35" i="1"/>
  <c r="G35" i="16" s="1"/>
  <c r="G34" i="1"/>
  <c r="G34" i="16" s="1"/>
  <c r="G33" i="1"/>
  <c r="G33" i="16" s="1"/>
  <c r="G32" i="1"/>
  <c r="G32" i="16" s="1"/>
  <c r="G31" i="1"/>
  <c r="G31" i="16" s="1"/>
  <c r="G30" i="1"/>
  <c r="G30" i="16" s="1"/>
  <c r="G29" i="1"/>
  <c r="G29" i="16" s="1"/>
  <c r="G28" i="1"/>
  <c r="G28" i="16" s="1"/>
  <c r="G27" i="1"/>
  <c r="G27" i="16" s="1"/>
  <c r="G26" i="1"/>
  <c r="G26" i="16" s="1"/>
  <c r="G25" i="1"/>
  <c r="G25" i="16" s="1"/>
  <c r="G25" i="12" s="1"/>
  <c r="G25" i="17" s="1"/>
  <c r="G25" i="19" s="1"/>
  <c r="G25" i="18" s="1"/>
  <c r="G25" i="11" s="1"/>
  <c r="G25" i="13" s="1"/>
  <c r="G24" i="1"/>
  <c r="G24" i="16" s="1"/>
  <c r="G24" i="12" s="1"/>
  <c r="G24" i="17" s="1"/>
  <c r="G24" i="19" s="1"/>
  <c r="G24" i="18" s="1"/>
  <c r="G24" i="11" s="1"/>
  <c r="G24" i="13" s="1"/>
  <c r="G23" i="1"/>
  <c r="G23" i="16" s="1"/>
  <c r="G23" i="12" s="1"/>
  <c r="G23" i="17" s="1"/>
  <c r="G23" i="19" s="1"/>
  <c r="G23" i="18" s="1"/>
  <c r="G23" i="11" s="1"/>
  <c r="G23" i="13" s="1"/>
  <c r="G22" i="1"/>
  <c r="G22" i="16" s="1"/>
  <c r="G22" i="12" s="1"/>
  <c r="G22" i="17" s="1"/>
  <c r="G22" i="19" s="1"/>
  <c r="G22" i="18" s="1"/>
  <c r="G22" i="11" s="1"/>
  <c r="G22" i="13" s="1"/>
  <c r="G21" i="1"/>
  <c r="G21" i="16" s="1"/>
  <c r="G21" i="12" s="1"/>
  <c r="G21" i="17" s="1"/>
  <c r="G21" i="19" s="1"/>
  <c r="G21" i="18" s="1"/>
  <c r="G21" i="11" s="1"/>
  <c r="G21" i="13" s="1"/>
  <c r="G20" i="1"/>
  <c r="G20" i="16" s="1"/>
  <c r="G20" i="12" s="1"/>
  <c r="G20" i="17" s="1"/>
  <c r="G20" i="19" s="1"/>
  <c r="G20" i="18" s="1"/>
  <c r="G20" i="11" s="1"/>
  <c r="G20" i="13" s="1"/>
  <c r="G19" i="1"/>
  <c r="G19" i="16" s="1"/>
  <c r="G19" i="12" s="1"/>
  <c r="G19" i="17" s="1"/>
  <c r="G19" i="19" s="1"/>
  <c r="G19" i="18" s="1"/>
  <c r="G19" i="11" s="1"/>
  <c r="G19" i="13" s="1"/>
  <c r="G18" i="1"/>
  <c r="G18" i="16" s="1"/>
  <c r="G18" i="12" s="1"/>
  <c r="G18" i="17" s="1"/>
  <c r="G18" i="19" s="1"/>
  <c r="G18" i="18" s="1"/>
  <c r="G18" i="11" s="1"/>
  <c r="G18" i="13" s="1"/>
  <c r="G17" i="1"/>
  <c r="G17" i="16" s="1"/>
  <c r="G17" i="12" s="1"/>
  <c r="G17" i="17" s="1"/>
  <c r="G17" i="19" s="1"/>
  <c r="G17" i="18" s="1"/>
  <c r="G17" i="11" s="1"/>
  <c r="G17" i="13" s="1"/>
  <c r="E37" i="1"/>
  <c r="E37" i="16" s="1"/>
  <c r="E36" i="1"/>
  <c r="E36" i="16" s="1"/>
  <c r="E35" i="1"/>
  <c r="E35" i="16" s="1"/>
  <c r="E34" i="1"/>
  <c r="E34" i="16" s="1"/>
  <c r="E33" i="1"/>
  <c r="E33" i="16" s="1"/>
  <c r="E32" i="1"/>
  <c r="E32" i="16" s="1"/>
  <c r="E31" i="1"/>
  <c r="E31" i="16" s="1"/>
  <c r="E30" i="1"/>
  <c r="E30" i="16" s="1"/>
  <c r="E29" i="1"/>
  <c r="E29" i="16" s="1"/>
  <c r="E28" i="1"/>
  <c r="E28" i="16" s="1"/>
  <c r="E27" i="1"/>
  <c r="E27" i="16" s="1"/>
  <c r="E26" i="1"/>
  <c r="E26" i="16" s="1"/>
  <c r="E25" i="1"/>
  <c r="E25" i="16" s="1"/>
  <c r="E25" i="12" s="1"/>
  <c r="E25" i="17" s="1"/>
  <c r="E25" i="19" s="1"/>
  <c r="E25" i="18" s="1"/>
  <c r="E25" i="11" s="1"/>
  <c r="E25" i="13" s="1"/>
  <c r="E24" i="1"/>
  <c r="E24" i="16" s="1"/>
  <c r="E24" i="12" s="1"/>
  <c r="E24" i="17" s="1"/>
  <c r="E24" i="19" s="1"/>
  <c r="E24" i="18" s="1"/>
  <c r="E24" i="11" s="1"/>
  <c r="E24" i="13" s="1"/>
  <c r="E23" i="1"/>
  <c r="E23" i="16" s="1"/>
  <c r="E23" i="12" s="1"/>
  <c r="E23" i="17" s="1"/>
  <c r="E23" i="19" s="1"/>
  <c r="E23" i="18" s="1"/>
  <c r="E23" i="11" s="1"/>
  <c r="E23" i="13" s="1"/>
  <c r="E22" i="1"/>
  <c r="E22" i="16" s="1"/>
  <c r="E22" i="12" s="1"/>
  <c r="E22" i="17" s="1"/>
  <c r="E22" i="19" s="1"/>
  <c r="E22" i="18" s="1"/>
  <c r="E22" i="11" s="1"/>
  <c r="E22" i="13" s="1"/>
  <c r="E21" i="1"/>
  <c r="E21" i="16" s="1"/>
  <c r="E21" i="12" s="1"/>
  <c r="E21" i="17" s="1"/>
  <c r="E21" i="19" s="1"/>
  <c r="E21" i="18" s="1"/>
  <c r="E21" i="11" s="1"/>
  <c r="E21" i="13" s="1"/>
  <c r="E20" i="1"/>
  <c r="E20" i="16" s="1"/>
  <c r="E20" i="12" s="1"/>
  <c r="E20" i="17" s="1"/>
  <c r="E20" i="19" s="1"/>
  <c r="E20" i="18" s="1"/>
  <c r="E20" i="11" s="1"/>
  <c r="E20" i="13" s="1"/>
  <c r="E19" i="1"/>
  <c r="E19" i="16" s="1"/>
  <c r="E19" i="12" s="1"/>
  <c r="E19" i="17" s="1"/>
  <c r="E19" i="19" s="1"/>
  <c r="E19" i="18" s="1"/>
  <c r="E19" i="11" s="1"/>
  <c r="E19" i="13" s="1"/>
  <c r="E18" i="1"/>
  <c r="E18" i="16" s="1"/>
  <c r="E18" i="12" s="1"/>
  <c r="E18" i="17" s="1"/>
  <c r="E18" i="19" s="1"/>
  <c r="E18" i="18" s="1"/>
  <c r="E18" i="11" s="1"/>
  <c r="E18" i="13" s="1"/>
  <c r="E17" i="1"/>
  <c r="E17" i="16" s="1"/>
  <c r="E17" i="12" s="1"/>
  <c r="E17" i="17" s="1"/>
  <c r="E17" i="19" s="1"/>
  <c r="E17" i="18" s="1"/>
  <c r="E17" i="11" s="1"/>
  <c r="E17" i="13" s="1"/>
  <c r="C37" i="1"/>
  <c r="C37" i="16" s="1"/>
  <c r="B37" i="1"/>
  <c r="R37" i="1" s="1"/>
  <c r="C36" i="1"/>
  <c r="C36" i="16" s="1"/>
  <c r="B36" i="1"/>
  <c r="L36" i="1" s="1"/>
  <c r="C35" i="1"/>
  <c r="C35" i="16" s="1"/>
  <c r="B35" i="1"/>
  <c r="AL35" i="1" s="1"/>
  <c r="C34" i="1"/>
  <c r="C34" i="16" s="1"/>
  <c r="B34" i="1"/>
  <c r="AF34" i="1" s="1"/>
  <c r="C33" i="1"/>
  <c r="C33" i="16" s="1"/>
  <c r="B33" i="1"/>
  <c r="C32" i="1"/>
  <c r="C32" i="16" s="1"/>
  <c r="B32" i="1"/>
  <c r="C31" i="1"/>
  <c r="C31" i="16" s="1"/>
  <c r="B31" i="1"/>
  <c r="N31" i="1" s="1"/>
  <c r="C30" i="1"/>
  <c r="C30" i="16" s="1"/>
  <c r="B30" i="1"/>
  <c r="H30" i="1" s="1"/>
  <c r="C29" i="1"/>
  <c r="C29" i="16" s="1"/>
  <c r="B29" i="1"/>
  <c r="AH29" i="1" s="1"/>
  <c r="C28" i="1"/>
  <c r="C28" i="16" s="1"/>
  <c r="B28" i="1"/>
  <c r="AB28" i="1" s="1"/>
  <c r="C27" i="1"/>
  <c r="C27" i="16" s="1"/>
  <c r="B27" i="1"/>
  <c r="V27" i="1" s="1"/>
  <c r="C26" i="1"/>
  <c r="C26" i="16" s="1"/>
  <c r="B26" i="1"/>
  <c r="P26" i="1" s="1"/>
  <c r="C25" i="1"/>
  <c r="C25" i="16" s="1"/>
  <c r="C25" i="12" s="1"/>
  <c r="C25" i="17" s="1"/>
  <c r="C25" i="19" s="1"/>
  <c r="C25" i="18" s="1"/>
  <c r="C25" i="11" s="1"/>
  <c r="C25" i="13" s="1"/>
  <c r="B25" i="1"/>
  <c r="AN25" i="1" s="1"/>
  <c r="C24" i="1"/>
  <c r="C24" i="16" s="1"/>
  <c r="C24" i="12" s="1"/>
  <c r="C24" i="17" s="1"/>
  <c r="C24" i="19" s="1"/>
  <c r="C24" i="18" s="1"/>
  <c r="C24" i="11" s="1"/>
  <c r="C24" i="13" s="1"/>
  <c r="B24" i="1"/>
  <c r="AP24" i="1" s="1"/>
  <c r="C23" i="1"/>
  <c r="C23" i="16" s="1"/>
  <c r="C23" i="12" s="1"/>
  <c r="C23" i="17" s="1"/>
  <c r="C23" i="19" s="1"/>
  <c r="C23" i="18" s="1"/>
  <c r="C23" i="11" s="1"/>
  <c r="C23" i="13" s="1"/>
  <c r="B23" i="1"/>
  <c r="AD23" i="1" s="1"/>
  <c r="C22" i="1"/>
  <c r="C22" i="16" s="1"/>
  <c r="C22" i="12" s="1"/>
  <c r="C22" i="17" s="1"/>
  <c r="C22" i="19" s="1"/>
  <c r="C22" i="18" s="1"/>
  <c r="C22" i="11" s="1"/>
  <c r="C22" i="13" s="1"/>
  <c r="B22" i="1"/>
  <c r="X22" i="1" s="1"/>
  <c r="C21" i="1"/>
  <c r="C21" i="16" s="1"/>
  <c r="C21" i="12" s="1"/>
  <c r="C21" i="17" s="1"/>
  <c r="C21" i="19" s="1"/>
  <c r="C21" i="18" s="1"/>
  <c r="C21" i="11" s="1"/>
  <c r="C21" i="13" s="1"/>
  <c r="B21" i="1"/>
  <c r="R21" i="1" s="1"/>
  <c r="C20" i="1"/>
  <c r="C20" i="16" s="1"/>
  <c r="C20" i="12" s="1"/>
  <c r="C20" i="17" s="1"/>
  <c r="C20" i="19" s="1"/>
  <c r="C20" i="18" s="1"/>
  <c r="C20" i="11" s="1"/>
  <c r="C20" i="13" s="1"/>
  <c r="B20" i="1"/>
  <c r="L20" i="1" s="1"/>
  <c r="C19" i="1"/>
  <c r="C19" i="16" s="1"/>
  <c r="C19" i="12" s="1"/>
  <c r="C19" i="17" s="1"/>
  <c r="C19" i="19" s="1"/>
  <c r="C19" i="18" s="1"/>
  <c r="C19" i="11" s="1"/>
  <c r="C19" i="13" s="1"/>
  <c r="B19" i="1"/>
  <c r="AL19" i="1" s="1"/>
  <c r="C18" i="1"/>
  <c r="C18" i="16" s="1"/>
  <c r="C18" i="12" s="1"/>
  <c r="C18" i="17" s="1"/>
  <c r="C18" i="19" s="1"/>
  <c r="C18" i="18" s="1"/>
  <c r="C18" i="11" s="1"/>
  <c r="C18" i="13" s="1"/>
  <c r="B18" i="1"/>
  <c r="AF18" i="1" s="1"/>
  <c r="C17" i="1"/>
  <c r="C17" i="16" s="1"/>
  <c r="C17" i="12" s="1"/>
  <c r="C17" i="17" s="1"/>
  <c r="C17" i="19" s="1"/>
  <c r="C17" i="18" s="1"/>
  <c r="C17" i="11" s="1"/>
  <c r="C17" i="13" s="1"/>
  <c r="B17" i="1"/>
  <c r="BI15" i="1"/>
  <c r="BI15" i="16" s="1"/>
  <c r="BI15" i="12" s="1"/>
  <c r="BI15" i="17" s="1"/>
  <c r="BI15" i="19" s="1"/>
  <c r="BI15" i="18" s="1"/>
  <c r="BI15" i="11" s="1"/>
  <c r="BI15" i="13" s="1"/>
  <c r="BI14" i="1"/>
  <c r="BI14" i="16" s="1"/>
  <c r="BI14" i="12" s="1"/>
  <c r="BI14" i="17" s="1"/>
  <c r="BI14" i="19" s="1"/>
  <c r="BI14" i="18" s="1"/>
  <c r="BI14" i="11" s="1"/>
  <c r="BI14" i="13" s="1"/>
  <c r="BI13" i="1"/>
  <c r="BI13" i="16" s="1"/>
  <c r="BI13" i="12" s="1"/>
  <c r="BI13" i="17" s="1"/>
  <c r="BI13" i="19" s="1"/>
  <c r="BI13" i="18" s="1"/>
  <c r="BI13" i="11" s="1"/>
  <c r="BI13" i="13" s="1"/>
  <c r="BI12" i="1"/>
  <c r="BI12" i="16" s="1"/>
  <c r="BI12" i="12" s="1"/>
  <c r="BI12" i="17" s="1"/>
  <c r="BI12" i="19" s="1"/>
  <c r="BI12" i="18" s="1"/>
  <c r="BI12" i="11" s="1"/>
  <c r="BI12" i="13" s="1"/>
  <c r="BI11" i="1"/>
  <c r="BI11" i="16" s="1"/>
  <c r="BI11" i="12" s="1"/>
  <c r="BI11" i="17" s="1"/>
  <c r="BI11" i="19" s="1"/>
  <c r="BI11" i="18" s="1"/>
  <c r="BI11" i="11" s="1"/>
  <c r="BI11" i="13" s="1"/>
  <c r="BI10" i="1"/>
  <c r="BI10" i="16" s="1"/>
  <c r="BI10" i="12" s="1"/>
  <c r="BI10" i="17" s="1"/>
  <c r="BI10" i="19" s="1"/>
  <c r="BI10" i="18" s="1"/>
  <c r="BI10" i="11" s="1"/>
  <c r="BI10" i="13" s="1"/>
  <c r="BI9" i="1"/>
  <c r="BI9" i="16" s="1"/>
  <c r="BI9" i="12" s="1"/>
  <c r="BI9" i="17" s="1"/>
  <c r="BI9" i="19" s="1"/>
  <c r="BI9" i="18" s="1"/>
  <c r="BI9" i="11" s="1"/>
  <c r="BI9" i="13" s="1"/>
  <c r="BI8" i="1"/>
  <c r="BI8" i="16" s="1"/>
  <c r="BI8" i="12" s="1"/>
  <c r="BI8" i="17" s="1"/>
  <c r="BI8" i="19" s="1"/>
  <c r="BI8" i="18" s="1"/>
  <c r="BI8" i="11" s="1"/>
  <c r="BI8" i="13" s="1"/>
  <c r="BG15" i="1"/>
  <c r="BG15" i="16" s="1"/>
  <c r="BG15" i="12" s="1"/>
  <c r="BG15" i="17" s="1"/>
  <c r="BG15" i="19" s="1"/>
  <c r="BG15" i="18" s="1"/>
  <c r="BG15" i="11" s="1"/>
  <c r="BG15" i="13" s="1"/>
  <c r="BG14" i="1"/>
  <c r="BG14" i="16" s="1"/>
  <c r="BG14" i="12" s="1"/>
  <c r="BG14" i="17" s="1"/>
  <c r="BG14" i="19" s="1"/>
  <c r="BG14" i="18" s="1"/>
  <c r="BG14" i="11" s="1"/>
  <c r="BG14" i="13" s="1"/>
  <c r="BG13" i="1"/>
  <c r="BG13" i="16" s="1"/>
  <c r="BG13" i="12" s="1"/>
  <c r="BG13" i="17" s="1"/>
  <c r="BG13" i="19" s="1"/>
  <c r="BG13" i="18" s="1"/>
  <c r="BG13" i="11" s="1"/>
  <c r="BG13" i="13" s="1"/>
  <c r="BG12" i="1"/>
  <c r="BG12" i="16" s="1"/>
  <c r="BG12" i="12" s="1"/>
  <c r="BG12" i="17" s="1"/>
  <c r="BG12" i="19" s="1"/>
  <c r="BG12" i="18" s="1"/>
  <c r="BG12" i="11" s="1"/>
  <c r="BG12" i="13" s="1"/>
  <c r="BG11" i="1"/>
  <c r="BG11" i="16" s="1"/>
  <c r="BG11" i="12" s="1"/>
  <c r="BG11" i="17" s="1"/>
  <c r="BG11" i="19" s="1"/>
  <c r="BG11" i="18" s="1"/>
  <c r="BG11" i="11" s="1"/>
  <c r="BG11" i="13" s="1"/>
  <c r="BG10" i="1"/>
  <c r="BG10" i="16" s="1"/>
  <c r="BG10" i="12" s="1"/>
  <c r="BG10" i="17" s="1"/>
  <c r="BG10" i="19" s="1"/>
  <c r="BG10" i="18" s="1"/>
  <c r="BG10" i="11" s="1"/>
  <c r="BG10" i="13" s="1"/>
  <c r="BG9" i="1"/>
  <c r="BG9" i="16" s="1"/>
  <c r="BG9" i="12" s="1"/>
  <c r="BG9" i="17" s="1"/>
  <c r="BG9" i="19" s="1"/>
  <c r="BG9" i="18" s="1"/>
  <c r="BG9" i="11" s="1"/>
  <c r="BG9" i="13" s="1"/>
  <c r="BG8" i="1"/>
  <c r="BG8" i="16" s="1"/>
  <c r="BG8" i="12" s="1"/>
  <c r="BG8" i="17" s="1"/>
  <c r="BG8" i="19" s="1"/>
  <c r="BG8" i="18" s="1"/>
  <c r="BG8" i="11" s="1"/>
  <c r="BG8" i="13" s="1"/>
  <c r="BE15" i="1"/>
  <c r="BE15" i="16" s="1"/>
  <c r="BE15" i="12" s="1"/>
  <c r="BE15" i="17" s="1"/>
  <c r="BE15" i="19" s="1"/>
  <c r="BE15" i="18" s="1"/>
  <c r="BE15" i="11" s="1"/>
  <c r="BE15" i="13" s="1"/>
  <c r="BE14" i="1"/>
  <c r="BE14" i="16" s="1"/>
  <c r="BE14" i="12" s="1"/>
  <c r="BE14" i="17" s="1"/>
  <c r="BE14" i="19" s="1"/>
  <c r="BE14" i="18" s="1"/>
  <c r="BE14" i="11" s="1"/>
  <c r="BE14" i="13" s="1"/>
  <c r="BE13" i="1"/>
  <c r="BE13" i="16" s="1"/>
  <c r="BE13" i="12" s="1"/>
  <c r="BE13" i="17" s="1"/>
  <c r="BE13" i="19" s="1"/>
  <c r="BE13" i="18" s="1"/>
  <c r="BE13" i="11" s="1"/>
  <c r="BE13" i="13" s="1"/>
  <c r="BE12" i="1"/>
  <c r="BE12" i="16" s="1"/>
  <c r="BE12" i="12" s="1"/>
  <c r="BE12" i="17" s="1"/>
  <c r="BE12" i="19" s="1"/>
  <c r="BE12" i="18" s="1"/>
  <c r="BE12" i="11" s="1"/>
  <c r="BE12" i="13" s="1"/>
  <c r="BE11" i="1"/>
  <c r="BE11" i="16" s="1"/>
  <c r="BE11" i="12" s="1"/>
  <c r="BE11" i="17" s="1"/>
  <c r="BE11" i="19" s="1"/>
  <c r="BE11" i="18" s="1"/>
  <c r="BE11" i="11" s="1"/>
  <c r="BE11" i="13" s="1"/>
  <c r="BE10" i="1"/>
  <c r="BE10" i="16" s="1"/>
  <c r="BE10" i="12" s="1"/>
  <c r="BE10" i="17" s="1"/>
  <c r="BE10" i="19" s="1"/>
  <c r="BE10" i="18" s="1"/>
  <c r="BE10" i="11" s="1"/>
  <c r="BE10" i="13" s="1"/>
  <c r="BE9" i="1"/>
  <c r="BE9" i="16" s="1"/>
  <c r="BE9" i="12" s="1"/>
  <c r="BE9" i="17" s="1"/>
  <c r="BE9" i="19" s="1"/>
  <c r="BE9" i="18" s="1"/>
  <c r="BE9" i="11" s="1"/>
  <c r="BE9" i="13" s="1"/>
  <c r="BE8" i="1"/>
  <c r="BE8" i="16" s="1"/>
  <c r="BE8" i="12" s="1"/>
  <c r="BE8" i="17" s="1"/>
  <c r="BE8" i="19" s="1"/>
  <c r="BE8" i="18" s="1"/>
  <c r="BE8" i="11" s="1"/>
  <c r="BE8" i="13" s="1"/>
  <c r="BC15" i="1"/>
  <c r="BC15" i="16" s="1"/>
  <c r="BC15" i="12" s="1"/>
  <c r="BC15" i="17" s="1"/>
  <c r="BC15" i="19" s="1"/>
  <c r="BC15" i="18" s="1"/>
  <c r="BC15" i="11" s="1"/>
  <c r="BC15" i="13" s="1"/>
  <c r="BC14" i="1"/>
  <c r="BC14" i="16" s="1"/>
  <c r="BC14" i="12" s="1"/>
  <c r="BC14" i="17" s="1"/>
  <c r="BC14" i="19" s="1"/>
  <c r="BC14" i="18" s="1"/>
  <c r="BC14" i="11" s="1"/>
  <c r="BC14" i="13" s="1"/>
  <c r="BC13" i="1"/>
  <c r="BC13" i="16" s="1"/>
  <c r="BC13" i="12" s="1"/>
  <c r="BC13" i="17" s="1"/>
  <c r="BC13" i="19" s="1"/>
  <c r="BC13" i="18" s="1"/>
  <c r="BC13" i="11" s="1"/>
  <c r="BC13" i="13" s="1"/>
  <c r="BC12" i="1"/>
  <c r="BC12" i="16" s="1"/>
  <c r="BC12" i="12" s="1"/>
  <c r="BC12" i="17" s="1"/>
  <c r="BC12" i="19" s="1"/>
  <c r="BC12" i="18" s="1"/>
  <c r="BC12" i="11" s="1"/>
  <c r="BC12" i="13" s="1"/>
  <c r="BC11" i="1"/>
  <c r="BC11" i="16" s="1"/>
  <c r="BC11" i="12" s="1"/>
  <c r="BC11" i="17" s="1"/>
  <c r="BC11" i="19" s="1"/>
  <c r="BC11" i="18" s="1"/>
  <c r="BC11" i="11" s="1"/>
  <c r="BC11" i="13" s="1"/>
  <c r="BC10" i="1"/>
  <c r="BC10" i="16" s="1"/>
  <c r="BC10" i="12" s="1"/>
  <c r="BC10" i="17" s="1"/>
  <c r="BC10" i="19" s="1"/>
  <c r="BC10" i="18" s="1"/>
  <c r="BC10" i="11" s="1"/>
  <c r="BC10" i="13" s="1"/>
  <c r="BC9" i="1"/>
  <c r="BC9" i="16" s="1"/>
  <c r="BC9" i="12" s="1"/>
  <c r="BC9" i="17" s="1"/>
  <c r="BC9" i="19" s="1"/>
  <c r="BC9" i="18" s="1"/>
  <c r="BC9" i="11" s="1"/>
  <c r="BC9" i="13" s="1"/>
  <c r="BC8" i="1"/>
  <c r="BC8" i="16" s="1"/>
  <c r="BC8" i="12" s="1"/>
  <c r="BC8" i="17" s="1"/>
  <c r="BC8" i="19" s="1"/>
  <c r="BC8" i="18" s="1"/>
  <c r="BC8" i="11" s="1"/>
  <c r="BC8" i="13" s="1"/>
  <c r="BA15" i="1"/>
  <c r="BA15" i="16" s="1"/>
  <c r="BA15" i="12" s="1"/>
  <c r="BA15" i="17" s="1"/>
  <c r="BA15" i="19" s="1"/>
  <c r="BA15" i="18" s="1"/>
  <c r="BA15" i="11" s="1"/>
  <c r="BA15" i="13" s="1"/>
  <c r="BA14" i="1"/>
  <c r="BA14" i="16" s="1"/>
  <c r="BA14" i="12" s="1"/>
  <c r="BA14" i="17" s="1"/>
  <c r="BA14" i="19" s="1"/>
  <c r="BA14" i="18" s="1"/>
  <c r="BA14" i="11" s="1"/>
  <c r="BA14" i="13" s="1"/>
  <c r="BA13" i="1"/>
  <c r="BA13" i="16" s="1"/>
  <c r="BA13" i="12" s="1"/>
  <c r="BA13" i="17" s="1"/>
  <c r="BA13" i="19" s="1"/>
  <c r="BA13" i="18" s="1"/>
  <c r="BA13" i="11" s="1"/>
  <c r="BA13" i="13" s="1"/>
  <c r="BA12" i="1"/>
  <c r="BA12" i="16" s="1"/>
  <c r="BA12" i="12" s="1"/>
  <c r="BA12" i="17" s="1"/>
  <c r="BA12" i="19" s="1"/>
  <c r="BA12" i="18" s="1"/>
  <c r="BA12" i="11" s="1"/>
  <c r="BA12" i="13" s="1"/>
  <c r="BA11" i="1"/>
  <c r="BA11" i="16" s="1"/>
  <c r="BA11" i="12" s="1"/>
  <c r="BA11" i="17" s="1"/>
  <c r="BA11" i="19" s="1"/>
  <c r="BA11" i="18" s="1"/>
  <c r="BA11" i="11" s="1"/>
  <c r="BA11" i="13" s="1"/>
  <c r="BA10" i="1"/>
  <c r="BA10" i="16" s="1"/>
  <c r="BA10" i="12" s="1"/>
  <c r="BA10" i="17" s="1"/>
  <c r="BA10" i="19" s="1"/>
  <c r="BA10" i="18" s="1"/>
  <c r="BA10" i="11" s="1"/>
  <c r="BA10" i="13" s="1"/>
  <c r="BA9" i="1"/>
  <c r="BA9" i="16" s="1"/>
  <c r="BA9" i="12" s="1"/>
  <c r="BA9" i="17" s="1"/>
  <c r="BA9" i="19" s="1"/>
  <c r="BA9" i="18" s="1"/>
  <c r="BA9" i="11" s="1"/>
  <c r="BA9" i="13" s="1"/>
  <c r="BA8" i="1"/>
  <c r="BA8" i="16" s="1"/>
  <c r="BA8" i="12" s="1"/>
  <c r="BA8" i="17" s="1"/>
  <c r="BA8" i="19" s="1"/>
  <c r="BA8" i="18" s="1"/>
  <c r="BA8" i="11" s="1"/>
  <c r="BA8" i="13" s="1"/>
  <c r="AY15" i="1"/>
  <c r="AY15" i="16" s="1"/>
  <c r="AY15" i="12" s="1"/>
  <c r="AY15" i="17" s="1"/>
  <c r="AY15" i="19" s="1"/>
  <c r="AY15" i="18" s="1"/>
  <c r="AY15" i="11" s="1"/>
  <c r="AY15" i="13" s="1"/>
  <c r="AY14" i="1"/>
  <c r="AY14" i="16" s="1"/>
  <c r="AY14" i="12" s="1"/>
  <c r="AY14" i="17" s="1"/>
  <c r="AY14" i="19" s="1"/>
  <c r="AY14" i="18" s="1"/>
  <c r="AY14" i="11" s="1"/>
  <c r="AY14" i="13" s="1"/>
  <c r="AY13" i="1"/>
  <c r="AY13" i="16" s="1"/>
  <c r="AY13" i="12" s="1"/>
  <c r="AY13" i="17" s="1"/>
  <c r="AY13" i="19" s="1"/>
  <c r="AY13" i="18" s="1"/>
  <c r="AY13" i="11" s="1"/>
  <c r="AY13" i="13" s="1"/>
  <c r="AY12" i="1"/>
  <c r="AY12" i="16" s="1"/>
  <c r="AY12" i="12" s="1"/>
  <c r="AY12" i="17" s="1"/>
  <c r="AY12" i="19" s="1"/>
  <c r="AY12" i="18" s="1"/>
  <c r="AY12" i="11" s="1"/>
  <c r="AY12" i="13" s="1"/>
  <c r="AY11" i="1"/>
  <c r="AY11" i="16" s="1"/>
  <c r="AY11" i="12" s="1"/>
  <c r="AY11" i="17" s="1"/>
  <c r="AY11" i="19" s="1"/>
  <c r="AY11" i="18" s="1"/>
  <c r="AY11" i="11" s="1"/>
  <c r="AY11" i="13" s="1"/>
  <c r="AY10" i="1"/>
  <c r="AY10" i="16" s="1"/>
  <c r="AY10" i="12" s="1"/>
  <c r="AY10" i="17" s="1"/>
  <c r="AY10" i="19" s="1"/>
  <c r="AY10" i="18" s="1"/>
  <c r="AY10" i="11" s="1"/>
  <c r="AY10" i="13" s="1"/>
  <c r="AY9" i="1"/>
  <c r="AY9" i="16" s="1"/>
  <c r="AY9" i="12" s="1"/>
  <c r="AY9" i="17" s="1"/>
  <c r="AY9" i="19" s="1"/>
  <c r="AY9" i="18" s="1"/>
  <c r="AY9" i="11" s="1"/>
  <c r="AY9" i="13" s="1"/>
  <c r="AY8" i="1"/>
  <c r="AY8" i="16" s="1"/>
  <c r="AY8" i="12" s="1"/>
  <c r="AY8" i="17" s="1"/>
  <c r="AY8" i="19" s="1"/>
  <c r="AY8" i="18" s="1"/>
  <c r="AY8" i="11" s="1"/>
  <c r="AY8" i="13" s="1"/>
  <c r="AW15" i="1"/>
  <c r="AW15" i="16" s="1"/>
  <c r="AW15" i="12" s="1"/>
  <c r="AW15" i="17" s="1"/>
  <c r="AW15" i="19" s="1"/>
  <c r="AW15" i="18" s="1"/>
  <c r="AW15" i="11" s="1"/>
  <c r="AW15" i="13" s="1"/>
  <c r="AW14" i="1"/>
  <c r="AW14" i="16" s="1"/>
  <c r="AW14" i="12" s="1"/>
  <c r="AW14" i="17" s="1"/>
  <c r="AW14" i="19" s="1"/>
  <c r="AW14" i="18" s="1"/>
  <c r="AW14" i="11" s="1"/>
  <c r="AW14" i="13" s="1"/>
  <c r="AW13" i="1"/>
  <c r="AW13" i="16" s="1"/>
  <c r="AW13" i="12" s="1"/>
  <c r="AW13" i="17" s="1"/>
  <c r="AW13" i="19" s="1"/>
  <c r="AW13" i="18" s="1"/>
  <c r="AW13" i="11" s="1"/>
  <c r="AW13" i="13" s="1"/>
  <c r="AW12" i="1"/>
  <c r="AW12" i="16" s="1"/>
  <c r="AW12" i="12" s="1"/>
  <c r="AW12" i="17" s="1"/>
  <c r="AW12" i="19" s="1"/>
  <c r="AW12" i="18" s="1"/>
  <c r="AW12" i="11" s="1"/>
  <c r="AW12" i="13" s="1"/>
  <c r="AW11" i="1"/>
  <c r="AW11" i="16" s="1"/>
  <c r="AW11" i="12" s="1"/>
  <c r="AW11" i="17" s="1"/>
  <c r="AW11" i="19" s="1"/>
  <c r="AW11" i="18" s="1"/>
  <c r="AW11" i="11" s="1"/>
  <c r="AW11" i="13" s="1"/>
  <c r="AW10" i="1"/>
  <c r="AW10" i="16" s="1"/>
  <c r="AW10" i="12" s="1"/>
  <c r="AW10" i="17" s="1"/>
  <c r="AW10" i="19" s="1"/>
  <c r="AW10" i="18" s="1"/>
  <c r="AW10" i="11" s="1"/>
  <c r="AW10" i="13" s="1"/>
  <c r="AW9" i="1"/>
  <c r="AW9" i="16" s="1"/>
  <c r="AW9" i="12" s="1"/>
  <c r="AW9" i="17" s="1"/>
  <c r="AW9" i="19" s="1"/>
  <c r="AW9" i="18" s="1"/>
  <c r="AW9" i="11" s="1"/>
  <c r="AW9" i="13" s="1"/>
  <c r="AW8" i="1"/>
  <c r="AW8" i="16" s="1"/>
  <c r="AW8" i="12" s="1"/>
  <c r="AW8" i="17" s="1"/>
  <c r="AW8" i="19" s="1"/>
  <c r="AW8" i="18" s="1"/>
  <c r="AW8" i="11" s="1"/>
  <c r="AW8" i="13" s="1"/>
  <c r="AU15" i="1"/>
  <c r="AU15" i="16" s="1"/>
  <c r="AU15" i="12" s="1"/>
  <c r="AU15" i="17" s="1"/>
  <c r="AU15" i="19" s="1"/>
  <c r="AU15" i="18" s="1"/>
  <c r="AU15" i="11" s="1"/>
  <c r="AU15" i="13" s="1"/>
  <c r="AU14" i="1"/>
  <c r="AU14" i="16" s="1"/>
  <c r="AU14" i="12" s="1"/>
  <c r="AU14" i="17" s="1"/>
  <c r="AU14" i="19" s="1"/>
  <c r="AU14" i="18" s="1"/>
  <c r="AU14" i="11" s="1"/>
  <c r="AU14" i="13" s="1"/>
  <c r="AU13" i="1"/>
  <c r="AU13" i="16" s="1"/>
  <c r="AU13" i="12" s="1"/>
  <c r="AU13" i="17" s="1"/>
  <c r="AU13" i="19" s="1"/>
  <c r="AU13" i="18" s="1"/>
  <c r="AU13" i="11" s="1"/>
  <c r="AU13" i="13" s="1"/>
  <c r="AU12" i="1"/>
  <c r="AU12" i="16" s="1"/>
  <c r="AU12" i="12" s="1"/>
  <c r="AU12" i="17" s="1"/>
  <c r="AU12" i="19" s="1"/>
  <c r="AU12" i="18" s="1"/>
  <c r="AU12" i="11" s="1"/>
  <c r="AU12" i="13" s="1"/>
  <c r="AU11" i="1"/>
  <c r="AU11" i="16" s="1"/>
  <c r="AU11" i="12" s="1"/>
  <c r="AU11" i="17" s="1"/>
  <c r="AU11" i="19" s="1"/>
  <c r="AU11" i="18" s="1"/>
  <c r="AU11" i="11" s="1"/>
  <c r="AU11" i="13" s="1"/>
  <c r="AU10" i="1"/>
  <c r="AU10" i="16" s="1"/>
  <c r="AU10" i="12" s="1"/>
  <c r="AU10" i="17" s="1"/>
  <c r="AU10" i="19" s="1"/>
  <c r="AU10" i="18" s="1"/>
  <c r="AU10" i="11" s="1"/>
  <c r="AU10" i="13" s="1"/>
  <c r="AU9" i="1"/>
  <c r="AU9" i="16" s="1"/>
  <c r="AU9" i="12" s="1"/>
  <c r="AU9" i="17" s="1"/>
  <c r="AU9" i="19" s="1"/>
  <c r="AU9" i="18" s="1"/>
  <c r="AU9" i="11" s="1"/>
  <c r="AU9" i="13" s="1"/>
  <c r="AU8" i="1"/>
  <c r="AU8" i="16" s="1"/>
  <c r="AU8" i="12" s="1"/>
  <c r="AU8" i="17" s="1"/>
  <c r="AU8" i="19" s="1"/>
  <c r="AU8" i="18" s="1"/>
  <c r="AU8" i="11" s="1"/>
  <c r="AU8" i="13" s="1"/>
  <c r="AS15" i="1"/>
  <c r="AS15" i="16" s="1"/>
  <c r="AS15" i="12" s="1"/>
  <c r="AS15" i="17" s="1"/>
  <c r="AS15" i="19" s="1"/>
  <c r="AS15" i="18" s="1"/>
  <c r="AS15" i="11" s="1"/>
  <c r="AS15" i="13" s="1"/>
  <c r="AS14" i="1"/>
  <c r="AS14" i="16" s="1"/>
  <c r="AS14" i="12" s="1"/>
  <c r="AS14" i="17" s="1"/>
  <c r="AS14" i="19" s="1"/>
  <c r="AS14" i="18" s="1"/>
  <c r="AS14" i="11" s="1"/>
  <c r="AS14" i="13" s="1"/>
  <c r="AS13" i="1"/>
  <c r="AS13" i="16" s="1"/>
  <c r="AS13" i="12" s="1"/>
  <c r="AS13" i="17" s="1"/>
  <c r="AS13" i="19" s="1"/>
  <c r="AS13" i="18" s="1"/>
  <c r="AS13" i="11" s="1"/>
  <c r="AS13" i="13" s="1"/>
  <c r="AS12" i="1"/>
  <c r="AS12" i="16" s="1"/>
  <c r="AS12" i="12" s="1"/>
  <c r="AS12" i="17" s="1"/>
  <c r="AS12" i="19" s="1"/>
  <c r="AS12" i="18" s="1"/>
  <c r="AS12" i="11" s="1"/>
  <c r="AS12" i="13" s="1"/>
  <c r="AS11" i="1"/>
  <c r="AS11" i="16" s="1"/>
  <c r="AS11" i="12" s="1"/>
  <c r="AS11" i="17" s="1"/>
  <c r="AS11" i="19" s="1"/>
  <c r="AS11" i="18" s="1"/>
  <c r="AS11" i="11" s="1"/>
  <c r="AS11" i="13" s="1"/>
  <c r="AS10" i="1"/>
  <c r="AS10" i="16" s="1"/>
  <c r="AS10" i="12" s="1"/>
  <c r="AS10" i="17" s="1"/>
  <c r="AS10" i="19" s="1"/>
  <c r="AS10" i="18" s="1"/>
  <c r="AS10" i="11" s="1"/>
  <c r="AS10" i="13" s="1"/>
  <c r="AS9" i="1"/>
  <c r="AS9" i="16" s="1"/>
  <c r="AS9" i="12" s="1"/>
  <c r="AS9" i="17" s="1"/>
  <c r="AS9" i="19" s="1"/>
  <c r="AS9" i="18" s="1"/>
  <c r="AS9" i="11" s="1"/>
  <c r="AS9" i="13" s="1"/>
  <c r="AS8" i="1"/>
  <c r="AS8" i="16" s="1"/>
  <c r="AS8" i="12" s="1"/>
  <c r="AS8" i="17" s="1"/>
  <c r="AS8" i="19" s="1"/>
  <c r="AS8" i="18" s="1"/>
  <c r="AS8" i="11" s="1"/>
  <c r="AS8" i="13" s="1"/>
  <c r="AQ15" i="1"/>
  <c r="AQ15" i="16" s="1"/>
  <c r="AQ15" i="12" s="1"/>
  <c r="AQ15" i="17" s="1"/>
  <c r="AQ15" i="19" s="1"/>
  <c r="AQ15" i="18" s="1"/>
  <c r="AQ15" i="11" s="1"/>
  <c r="AQ15" i="13" s="1"/>
  <c r="AQ14" i="1"/>
  <c r="AQ14" i="16" s="1"/>
  <c r="AQ14" i="12" s="1"/>
  <c r="AQ14" i="17" s="1"/>
  <c r="AQ14" i="19" s="1"/>
  <c r="AQ14" i="18" s="1"/>
  <c r="AQ14" i="11" s="1"/>
  <c r="AQ14" i="13" s="1"/>
  <c r="AQ13" i="1"/>
  <c r="AQ13" i="16" s="1"/>
  <c r="AQ13" i="12" s="1"/>
  <c r="AQ13" i="17" s="1"/>
  <c r="AQ13" i="19" s="1"/>
  <c r="AQ13" i="18" s="1"/>
  <c r="AQ13" i="11" s="1"/>
  <c r="AQ13" i="13" s="1"/>
  <c r="AQ12" i="1"/>
  <c r="AQ12" i="16" s="1"/>
  <c r="AQ12" i="12" s="1"/>
  <c r="AQ12" i="17" s="1"/>
  <c r="AQ12" i="19" s="1"/>
  <c r="AQ12" i="18" s="1"/>
  <c r="AQ12" i="11" s="1"/>
  <c r="AQ12" i="13" s="1"/>
  <c r="AQ11" i="1"/>
  <c r="AQ11" i="16" s="1"/>
  <c r="AQ11" i="12" s="1"/>
  <c r="AQ11" i="17" s="1"/>
  <c r="AQ11" i="19" s="1"/>
  <c r="AQ11" i="18" s="1"/>
  <c r="AQ11" i="11" s="1"/>
  <c r="AQ11" i="13" s="1"/>
  <c r="AQ10" i="1"/>
  <c r="AQ10" i="16" s="1"/>
  <c r="AQ10" i="12" s="1"/>
  <c r="AQ10" i="17" s="1"/>
  <c r="AQ10" i="19" s="1"/>
  <c r="AQ10" i="18" s="1"/>
  <c r="AQ10" i="11" s="1"/>
  <c r="AQ10" i="13" s="1"/>
  <c r="AQ9" i="1"/>
  <c r="AQ9" i="16" s="1"/>
  <c r="AQ9" i="12" s="1"/>
  <c r="AQ9" i="17" s="1"/>
  <c r="AQ9" i="19" s="1"/>
  <c r="AQ9" i="18" s="1"/>
  <c r="AQ9" i="11" s="1"/>
  <c r="AQ9" i="13" s="1"/>
  <c r="AQ8" i="1"/>
  <c r="AQ8" i="16" s="1"/>
  <c r="AQ8" i="12" s="1"/>
  <c r="AQ8" i="17" s="1"/>
  <c r="AQ8" i="19" s="1"/>
  <c r="AQ8" i="18" s="1"/>
  <c r="AQ8" i="11" s="1"/>
  <c r="AQ8" i="13" s="1"/>
  <c r="AO15" i="1"/>
  <c r="AO15" i="16" s="1"/>
  <c r="AO15" i="12" s="1"/>
  <c r="AO15" i="17" s="1"/>
  <c r="AO15" i="19" s="1"/>
  <c r="AO15" i="18" s="1"/>
  <c r="AO15" i="11" s="1"/>
  <c r="AO15" i="13" s="1"/>
  <c r="AO14" i="1"/>
  <c r="AO14" i="16" s="1"/>
  <c r="AO14" i="12" s="1"/>
  <c r="AO14" i="17" s="1"/>
  <c r="AO14" i="19" s="1"/>
  <c r="AO14" i="18" s="1"/>
  <c r="AO14" i="11" s="1"/>
  <c r="AO14" i="13" s="1"/>
  <c r="AO13" i="1"/>
  <c r="AO13" i="16" s="1"/>
  <c r="AO13" i="12" s="1"/>
  <c r="AO13" i="17" s="1"/>
  <c r="AO13" i="19" s="1"/>
  <c r="AO13" i="18" s="1"/>
  <c r="AO13" i="11" s="1"/>
  <c r="AO13" i="13" s="1"/>
  <c r="AO12" i="1"/>
  <c r="AO12" i="16" s="1"/>
  <c r="AO12" i="12" s="1"/>
  <c r="AO12" i="17" s="1"/>
  <c r="AO12" i="19" s="1"/>
  <c r="AO12" i="18" s="1"/>
  <c r="AO12" i="11" s="1"/>
  <c r="AO12" i="13" s="1"/>
  <c r="AO11" i="1"/>
  <c r="AO11" i="16" s="1"/>
  <c r="AO11" i="12" s="1"/>
  <c r="AO11" i="17" s="1"/>
  <c r="AO11" i="19" s="1"/>
  <c r="AO11" i="18" s="1"/>
  <c r="AO11" i="11" s="1"/>
  <c r="AO11" i="13" s="1"/>
  <c r="AO10" i="1"/>
  <c r="AO10" i="16" s="1"/>
  <c r="AO10" i="12" s="1"/>
  <c r="AO10" i="17" s="1"/>
  <c r="AO10" i="19" s="1"/>
  <c r="AO10" i="18" s="1"/>
  <c r="AO10" i="11" s="1"/>
  <c r="AO10" i="13" s="1"/>
  <c r="AO9" i="1"/>
  <c r="AO9" i="16" s="1"/>
  <c r="AO9" i="12" s="1"/>
  <c r="AO9" i="17" s="1"/>
  <c r="AO9" i="19" s="1"/>
  <c r="AO9" i="18" s="1"/>
  <c r="AO9" i="11" s="1"/>
  <c r="AO9" i="13" s="1"/>
  <c r="AO8" i="1"/>
  <c r="AO8" i="16" s="1"/>
  <c r="AO8" i="12" s="1"/>
  <c r="AO8" i="17" s="1"/>
  <c r="AO8" i="19" s="1"/>
  <c r="AO8" i="18" s="1"/>
  <c r="AO8" i="11" s="1"/>
  <c r="AO8" i="13" s="1"/>
  <c r="AM15" i="1"/>
  <c r="AM15" i="16" s="1"/>
  <c r="AM15" i="12" s="1"/>
  <c r="AM15" i="17" s="1"/>
  <c r="AM15" i="19" s="1"/>
  <c r="AM15" i="18" s="1"/>
  <c r="AM15" i="11" s="1"/>
  <c r="AM15" i="13" s="1"/>
  <c r="AM14" i="1"/>
  <c r="AM14" i="16" s="1"/>
  <c r="AM14" i="12" s="1"/>
  <c r="AM14" i="17" s="1"/>
  <c r="AM14" i="19" s="1"/>
  <c r="AM14" i="18" s="1"/>
  <c r="AM14" i="11" s="1"/>
  <c r="AM14" i="13" s="1"/>
  <c r="AM13" i="1"/>
  <c r="AM13" i="16" s="1"/>
  <c r="AM13" i="12" s="1"/>
  <c r="AM13" i="17" s="1"/>
  <c r="AM13" i="19" s="1"/>
  <c r="AM13" i="18" s="1"/>
  <c r="AM13" i="11" s="1"/>
  <c r="AM13" i="13" s="1"/>
  <c r="AM12" i="1"/>
  <c r="AM12" i="16" s="1"/>
  <c r="AM12" i="12" s="1"/>
  <c r="AM12" i="17" s="1"/>
  <c r="AM12" i="19" s="1"/>
  <c r="AM12" i="18" s="1"/>
  <c r="AM12" i="11" s="1"/>
  <c r="AM12" i="13" s="1"/>
  <c r="AM11" i="1"/>
  <c r="AM11" i="16" s="1"/>
  <c r="AM11" i="12" s="1"/>
  <c r="AM11" i="17" s="1"/>
  <c r="AM11" i="19" s="1"/>
  <c r="AM11" i="18" s="1"/>
  <c r="AM11" i="11" s="1"/>
  <c r="AM11" i="13" s="1"/>
  <c r="AM10" i="1"/>
  <c r="AM10" i="16" s="1"/>
  <c r="AM10" i="12" s="1"/>
  <c r="AM10" i="17" s="1"/>
  <c r="AM10" i="19" s="1"/>
  <c r="AM10" i="18" s="1"/>
  <c r="AM10" i="11" s="1"/>
  <c r="AM10" i="13" s="1"/>
  <c r="AM9" i="1"/>
  <c r="AM9" i="16" s="1"/>
  <c r="AM9" i="12" s="1"/>
  <c r="AM9" i="17" s="1"/>
  <c r="AM9" i="19" s="1"/>
  <c r="AM9" i="18" s="1"/>
  <c r="AM9" i="11" s="1"/>
  <c r="AM9" i="13" s="1"/>
  <c r="AM8" i="1"/>
  <c r="AM8" i="16" s="1"/>
  <c r="AM8" i="12" s="1"/>
  <c r="AM8" i="17" s="1"/>
  <c r="AM8" i="19" s="1"/>
  <c r="AM8" i="18" s="1"/>
  <c r="AM8" i="11" s="1"/>
  <c r="AM8" i="13" s="1"/>
  <c r="AK15" i="1"/>
  <c r="AK15" i="16" s="1"/>
  <c r="AK15" i="12" s="1"/>
  <c r="AK15" i="17" s="1"/>
  <c r="AK15" i="19" s="1"/>
  <c r="AK15" i="18" s="1"/>
  <c r="AK15" i="11" s="1"/>
  <c r="AK15" i="13" s="1"/>
  <c r="AK14" i="1"/>
  <c r="AK14" i="16" s="1"/>
  <c r="AK14" i="12" s="1"/>
  <c r="AK14" i="17" s="1"/>
  <c r="AK14" i="19" s="1"/>
  <c r="AK14" i="18" s="1"/>
  <c r="AK14" i="11" s="1"/>
  <c r="AK14" i="13" s="1"/>
  <c r="AK13" i="1"/>
  <c r="AK13" i="16" s="1"/>
  <c r="AK13" i="12" s="1"/>
  <c r="AK13" i="17" s="1"/>
  <c r="AK13" i="19" s="1"/>
  <c r="AK13" i="18" s="1"/>
  <c r="AK13" i="11" s="1"/>
  <c r="AK13" i="13" s="1"/>
  <c r="AK12" i="1"/>
  <c r="AK12" i="16" s="1"/>
  <c r="AK12" i="12" s="1"/>
  <c r="AK12" i="17" s="1"/>
  <c r="AK12" i="19" s="1"/>
  <c r="AK12" i="18" s="1"/>
  <c r="AK12" i="11" s="1"/>
  <c r="AK12" i="13" s="1"/>
  <c r="AK11" i="1"/>
  <c r="AK11" i="16" s="1"/>
  <c r="AK11" i="12" s="1"/>
  <c r="AK11" i="17" s="1"/>
  <c r="AK11" i="19" s="1"/>
  <c r="AK11" i="18" s="1"/>
  <c r="AK11" i="11" s="1"/>
  <c r="AK11" i="13" s="1"/>
  <c r="AK10" i="1"/>
  <c r="AK10" i="16" s="1"/>
  <c r="AK10" i="12" s="1"/>
  <c r="AK10" i="17" s="1"/>
  <c r="AK10" i="19" s="1"/>
  <c r="AK10" i="18" s="1"/>
  <c r="AK10" i="11" s="1"/>
  <c r="AK10" i="13" s="1"/>
  <c r="AK9" i="1"/>
  <c r="AK9" i="16" s="1"/>
  <c r="AK9" i="12" s="1"/>
  <c r="AK9" i="17" s="1"/>
  <c r="AK9" i="19" s="1"/>
  <c r="AK9" i="18" s="1"/>
  <c r="AK9" i="11" s="1"/>
  <c r="AK9" i="13" s="1"/>
  <c r="AK8" i="1"/>
  <c r="AK8" i="16" s="1"/>
  <c r="AK8" i="12" s="1"/>
  <c r="AK8" i="17" s="1"/>
  <c r="AK8" i="19" s="1"/>
  <c r="AK8" i="18" s="1"/>
  <c r="AK8" i="11" s="1"/>
  <c r="AK8" i="13" s="1"/>
  <c r="AI15" i="1"/>
  <c r="AI15" i="16" s="1"/>
  <c r="AI15" i="12" s="1"/>
  <c r="AI15" i="17" s="1"/>
  <c r="AI15" i="19" s="1"/>
  <c r="AI15" i="18" s="1"/>
  <c r="AI15" i="11" s="1"/>
  <c r="AI15" i="13" s="1"/>
  <c r="AI14" i="1"/>
  <c r="AI14" i="16" s="1"/>
  <c r="AI14" i="12" s="1"/>
  <c r="AI14" i="17" s="1"/>
  <c r="AI14" i="19" s="1"/>
  <c r="AI14" i="18" s="1"/>
  <c r="AI14" i="11" s="1"/>
  <c r="AI14" i="13" s="1"/>
  <c r="AI13" i="1"/>
  <c r="AI13" i="16" s="1"/>
  <c r="AI13" i="12" s="1"/>
  <c r="AI13" i="17" s="1"/>
  <c r="AI13" i="19" s="1"/>
  <c r="AI13" i="18" s="1"/>
  <c r="AI13" i="11" s="1"/>
  <c r="AI13" i="13" s="1"/>
  <c r="AI12" i="1"/>
  <c r="AI12" i="16" s="1"/>
  <c r="AI12" i="12" s="1"/>
  <c r="AI12" i="17" s="1"/>
  <c r="AI12" i="19" s="1"/>
  <c r="AI12" i="18" s="1"/>
  <c r="AI12" i="11" s="1"/>
  <c r="AI12" i="13" s="1"/>
  <c r="AI11" i="1"/>
  <c r="AI11" i="16" s="1"/>
  <c r="AI11" i="12" s="1"/>
  <c r="AI11" i="17" s="1"/>
  <c r="AI11" i="19" s="1"/>
  <c r="AI11" i="18" s="1"/>
  <c r="AI11" i="11" s="1"/>
  <c r="AI11" i="13" s="1"/>
  <c r="AI10" i="1"/>
  <c r="AI10" i="16" s="1"/>
  <c r="AI10" i="12" s="1"/>
  <c r="AI10" i="17" s="1"/>
  <c r="AI10" i="19" s="1"/>
  <c r="AI10" i="18" s="1"/>
  <c r="AI10" i="11" s="1"/>
  <c r="AI10" i="13" s="1"/>
  <c r="AI9" i="1"/>
  <c r="AI9" i="16" s="1"/>
  <c r="AI9" i="12" s="1"/>
  <c r="AI9" i="17" s="1"/>
  <c r="AI9" i="19" s="1"/>
  <c r="AI9" i="18" s="1"/>
  <c r="AI9" i="11" s="1"/>
  <c r="AI9" i="13" s="1"/>
  <c r="AI8" i="1"/>
  <c r="AI8" i="16" s="1"/>
  <c r="AI8" i="12" s="1"/>
  <c r="AI8" i="17" s="1"/>
  <c r="AI8" i="19" s="1"/>
  <c r="AI8" i="18" s="1"/>
  <c r="AI8" i="11" s="1"/>
  <c r="AI8" i="13" s="1"/>
  <c r="AG15" i="1"/>
  <c r="AG15" i="16" s="1"/>
  <c r="AG15" i="12" s="1"/>
  <c r="AG15" i="17" s="1"/>
  <c r="AG15" i="19" s="1"/>
  <c r="AG15" i="18" s="1"/>
  <c r="AG15" i="11" s="1"/>
  <c r="AG15" i="13" s="1"/>
  <c r="AG14" i="1"/>
  <c r="AG14" i="16" s="1"/>
  <c r="AG14" i="12" s="1"/>
  <c r="AG14" i="17" s="1"/>
  <c r="AG14" i="19" s="1"/>
  <c r="AG14" i="18" s="1"/>
  <c r="AG14" i="11" s="1"/>
  <c r="AG14" i="13" s="1"/>
  <c r="AG13" i="1"/>
  <c r="AG13" i="16" s="1"/>
  <c r="AG13" i="12" s="1"/>
  <c r="AG13" i="17" s="1"/>
  <c r="AG13" i="19" s="1"/>
  <c r="AG13" i="18" s="1"/>
  <c r="AG13" i="11" s="1"/>
  <c r="AG13" i="13" s="1"/>
  <c r="AG12" i="1"/>
  <c r="AG12" i="16" s="1"/>
  <c r="AG12" i="12" s="1"/>
  <c r="AG12" i="17" s="1"/>
  <c r="AG12" i="19" s="1"/>
  <c r="AG12" i="18" s="1"/>
  <c r="AG12" i="11" s="1"/>
  <c r="AG12" i="13" s="1"/>
  <c r="AG11" i="1"/>
  <c r="AG11" i="16" s="1"/>
  <c r="AG11" i="12" s="1"/>
  <c r="AG11" i="17" s="1"/>
  <c r="AG11" i="19" s="1"/>
  <c r="AG11" i="18" s="1"/>
  <c r="AG11" i="11" s="1"/>
  <c r="AG11" i="13" s="1"/>
  <c r="AG10" i="1"/>
  <c r="AG10" i="16" s="1"/>
  <c r="AG10" i="12" s="1"/>
  <c r="AG10" i="17" s="1"/>
  <c r="AG10" i="19" s="1"/>
  <c r="AG10" i="18" s="1"/>
  <c r="AG10" i="11" s="1"/>
  <c r="AG10" i="13" s="1"/>
  <c r="AG9" i="1"/>
  <c r="AG9" i="16" s="1"/>
  <c r="AG9" i="12" s="1"/>
  <c r="AG9" i="17" s="1"/>
  <c r="AG9" i="19" s="1"/>
  <c r="AG9" i="18" s="1"/>
  <c r="AG9" i="11" s="1"/>
  <c r="AG9" i="13" s="1"/>
  <c r="AG8" i="1"/>
  <c r="AG8" i="16" s="1"/>
  <c r="AG8" i="12" s="1"/>
  <c r="AG8" i="17" s="1"/>
  <c r="AG8" i="19" s="1"/>
  <c r="AG8" i="18" s="1"/>
  <c r="AG8" i="11" s="1"/>
  <c r="AG8" i="13" s="1"/>
  <c r="AE15" i="1"/>
  <c r="AE15" i="16" s="1"/>
  <c r="AE15" i="12" s="1"/>
  <c r="AE15" i="17" s="1"/>
  <c r="AE15" i="19" s="1"/>
  <c r="AE15" i="18" s="1"/>
  <c r="AE15" i="11" s="1"/>
  <c r="AE15" i="13" s="1"/>
  <c r="AE14" i="1"/>
  <c r="AE14" i="16" s="1"/>
  <c r="AE14" i="12" s="1"/>
  <c r="AE14" i="17" s="1"/>
  <c r="AE14" i="19" s="1"/>
  <c r="AE14" i="18" s="1"/>
  <c r="AE14" i="11" s="1"/>
  <c r="AE14" i="13" s="1"/>
  <c r="AE13" i="1"/>
  <c r="AE13" i="16" s="1"/>
  <c r="AE13" i="12" s="1"/>
  <c r="AE13" i="17" s="1"/>
  <c r="AE13" i="19" s="1"/>
  <c r="AE13" i="18" s="1"/>
  <c r="AE13" i="11" s="1"/>
  <c r="AE13" i="13" s="1"/>
  <c r="AE12" i="1"/>
  <c r="AE12" i="16" s="1"/>
  <c r="AE12" i="12" s="1"/>
  <c r="AE12" i="17" s="1"/>
  <c r="AE12" i="19" s="1"/>
  <c r="AE12" i="18" s="1"/>
  <c r="AE12" i="11" s="1"/>
  <c r="AE12" i="13" s="1"/>
  <c r="AE11" i="1"/>
  <c r="AE11" i="16" s="1"/>
  <c r="AE11" i="12" s="1"/>
  <c r="AE11" i="17" s="1"/>
  <c r="AE11" i="19" s="1"/>
  <c r="AE11" i="18" s="1"/>
  <c r="AE11" i="11" s="1"/>
  <c r="AE11" i="13" s="1"/>
  <c r="AE10" i="1"/>
  <c r="AE10" i="16" s="1"/>
  <c r="AE10" i="12" s="1"/>
  <c r="AE10" i="17" s="1"/>
  <c r="AE10" i="19" s="1"/>
  <c r="AE10" i="18" s="1"/>
  <c r="AE10" i="11" s="1"/>
  <c r="AE10" i="13" s="1"/>
  <c r="AE9" i="1"/>
  <c r="AE9" i="16" s="1"/>
  <c r="AE9" i="12" s="1"/>
  <c r="AE9" i="17" s="1"/>
  <c r="AE9" i="19" s="1"/>
  <c r="AE9" i="18" s="1"/>
  <c r="AE9" i="11" s="1"/>
  <c r="AE9" i="13" s="1"/>
  <c r="AE8" i="1"/>
  <c r="AE8" i="16" s="1"/>
  <c r="AE8" i="12" s="1"/>
  <c r="AE8" i="17" s="1"/>
  <c r="AE8" i="19" s="1"/>
  <c r="AE8" i="18" s="1"/>
  <c r="AE8" i="11" s="1"/>
  <c r="AE8" i="13" s="1"/>
  <c r="AC15" i="1"/>
  <c r="AC15" i="16" s="1"/>
  <c r="AC15" i="12" s="1"/>
  <c r="AC15" i="17" s="1"/>
  <c r="AC15" i="19" s="1"/>
  <c r="AC15" i="18" s="1"/>
  <c r="AC15" i="11" s="1"/>
  <c r="AC15" i="13" s="1"/>
  <c r="AC14" i="1"/>
  <c r="AC14" i="16" s="1"/>
  <c r="AC14" i="12" s="1"/>
  <c r="AC14" i="17" s="1"/>
  <c r="AC14" i="19" s="1"/>
  <c r="AC14" i="18" s="1"/>
  <c r="AC14" i="11" s="1"/>
  <c r="AC14" i="13" s="1"/>
  <c r="AC13" i="1"/>
  <c r="AC13" i="16" s="1"/>
  <c r="AC13" i="12" s="1"/>
  <c r="AC13" i="17" s="1"/>
  <c r="AC13" i="19" s="1"/>
  <c r="AC13" i="18" s="1"/>
  <c r="AC13" i="11" s="1"/>
  <c r="AC13" i="13" s="1"/>
  <c r="AC12" i="1"/>
  <c r="AC12" i="16" s="1"/>
  <c r="AC12" i="12" s="1"/>
  <c r="AC12" i="17" s="1"/>
  <c r="AC12" i="19" s="1"/>
  <c r="AC12" i="18" s="1"/>
  <c r="AC12" i="11" s="1"/>
  <c r="AC12" i="13" s="1"/>
  <c r="AC11" i="1"/>
  <c r="AC11" i="16" s="1"/>
  <c r="AC11" i="12" s="1"/>
  <c r="AC11" i="17" s="1"/>
  <c r="AC11" i="19" s="1"/>
  <c r="AC11" i="18" s="1"/>
  <c r="AC11" i="11" s="1"/>
  <c r="AC11" i="13" s="1"/>
  <c r="AC10" i="1"/>
  <c r="AC10" i="16" s="1"/>
  <c r="AC10" i="12" s="1"/>
  <c r="AC10" i="17" s="1"/>
  <c r="AC10" i="19" s="1"/>
  <c r="AC10" i="18" s="1"/>
  <c r="AC10" i="11" s="1"/>
  <c r="AC10" i="13" s="1"/>
  <c r="AC9" i="1"/>
  <c r="AC9" i="16" s="1"/>
  <c r="AC9" i="12" s="1"/>
  <c r="AC9" i="17" s="1"/>
  <c r="AC9" i="19" s="1"/>
  <c r="AC9" i="18" s="1"/>
  <c r="AC9" i="11" s="1"/>
  <c r="AC9" i="13" s="1"/>
  <c r="AC8" i="1"/>
  <c r="AC8" i="16" s="1"/>
  <c r="AC8" i="12" s="1"/>
  <c r="AC8" i="17" s="1"/>
  <c r="AC8" i="19" s="1"/>
  <c r="AC8" i="18" s="1"/>
  <c r="AC8" i="11" s="1"/>
  <c r="AC8" i="13" s="1"/>
  <c r="AA15" i="1"/>
  <c r="AA15" i="16" s="1"/>
  <c r="AA15" i="12" s="1"/>
  <c r="AA15" i="17" s="1"/>
  <c r="AA15" i="19" s="1"/>
  <c r="AA15" i="18" s="1"/>
  <c r="AA15" i="11" s="1"/>
  <c r="AA15" i="13" s="1"/>
  <c r="AA14" i="1"/>
  <c r="AA14" i="16" s="1"/>
  <c r="AA14" i="12" s="1"/>
  <c r="AA14" i="17" s="1"/>
  <c r="AA14" i="19" s="1"/>
  <c r="AA14" i="18" s="1"/>
  <c r="AA14" i="11" s="1"/>
  <c r="AA14" i="13" s="1"/>
  <c r="AA13" i="1"/>
  <c r="AA13" i="16" s="1"/>
  <c r="AA13" i="12" s="1"/>
  <c r="AA13" i="17" s="1"/>
  <c r="AA13" i="19" s="1"/>
  <c r="AA13" i="18" s="1"/>
  <c r="AA13" i="11" s="1"/>
  <c r="AA13" i="13" s="1"/>
  <c r="AA12" i="1"/>
  <c r="AA12" i="16" s="1"/>
  <c r="AA12" i="12" s="1"/>
  <c r="AA12" i="17" s="1"/>
  <c r="AA12" i="19" s="1"/>
  <c r="AA12" i="18" s="1"/>
  <c r="AA12" i="11" s="1"/>
  <c r="AA12" i="13" s="1"/>
  <c r="AA11" i="1"/>
  <c r="AA11" i="16" s="1"/>
  <c r="AA11" i="12" s="1"/>
  <c r="AA11" i="17" s="1"/>
  <c r="AA11" i="19" s="1"/>
  <c r="AA11" i="18" s="1"/>
  <c r="AA11" i="11" s="1"/>
  <c r="AA11" i="13" s="1"/>
  <c r="AA10" i="1"/>
  <c r="AA10" i="16" s="1"/>
  <c r="AA10" i="12" s="1"/>
  <c r="AA10" i="17" s="1"/>
  <c r="AA10" i="19" s="1"/>
  <c r="AA10" i="18" s="1"/>
  <c r="AA10" i="11" s="1"/>
  <c r="AA10" i="13" s="1"/>
  <c r="AA9" i="1"/>
  <c r="AA9" i="16" s="1"/>
  <c r="AA9" i="12" s="1"/>
  <c r="AA9" i="17" s="1"/>
  <c r="AA9" i="19" s="1"/>
  <c r="AA9" i="18" s="1"/>
  <c r="AA9" i="11" s="1"/>
  <c r="AA9" i="13" s="1"/>
  <c r="AA8" i="1"/>
  <c r="AA8" i="16" s="1"/>
  <c r="AA8" i="12" s="1"/>
  <c r="AA8" i="17" s="1"/>
  <c r="AA8" i="19" s="1"/>
  <c r="AA8" i="18" s="1"/>
  <c r="AA8" i="11" s="1"/>
  <c r="AA8" i="13" s="1"/>
  <c r="Y15" i="1"/>
  <c r="Y15" i="16" s="1"/>
  <c r="Y15" i="12" s="1"/>
  <c r="Y15" i="17" s="1"/>
  <c r="Y15" i="19" s="1"/>
  <c r="Y15" i="18" s="1"/>
  <c r="Y15" i="11" s="1"/>
  <c r="Y15" i="13" s="1"/>
  <c r="Y14" i="1"/>
  <c r="Y14" i="16" s="1"/>
  <c r="Y14" i="12" s="1"/>
  <c r="Y14" i="17" s="1"/>
  <c r="Y14" i="19" s="1"/>
  <c r="Y14" i="18" s="1"/>
  <c r="Y14" i="11" s="1"/>
  <c r="Y14" i="13" s="1"/>
  <c r="Y13" i="1"/>
  <c r="Y13" i="16" s="1"/>
  <c r="Y13" i="12" s="1"/>
  <c r="Y13" i="17" s="1"/>
  <c r="Y13" i="19" s="1"/>
  <c r="Y13" i="18" s="1"/>
  <c r="Y13" i="11" s="1"/>
  <c r="Y13" i="13" s="1"/>
  <c r="Y12" i="1"/>
  <c r="Y12" i="16" s="1"/>
  <c r="Y12" i="12" s="1"/>
  <c r="Y12" i="17" s="1"/>
  <c r="Y12" i="19" s="1"/>
  <c r="Y12" i="18" s="1"/>
  <c r="Y12" i="11" s="1"/>
  <c r="Y12" i="13" s="1"/>
  <c r="Y11" i="1"/>
  <c r="Y11" i="16" s="1"/>
  <c r="Y11" i="12" s="1"/>
  <c r="Y11" i="17" s="1"/>
  <c r="Y11" i="19" s="1"/>
  <c r="Y11" i="18" s="1"/>
  <c r="Y11" i="11" s="1"/>
  <c r="Y11" i="13" s="1"/>
  <c r="Y10" i="1"/>
  <c r="Y10" i="16" s="1"/>
  <c r="Y10" i="12" s="1"/>
  <c r="Y10" i="17" s="1"/>
  <c r="Y10" i="19" s="1"/>
  <c r="Y10" i="18" s="1"/>
  <c r="Y10" i="11" s="1"/>
  <c r="Y10" i="13" s="1"/>
  <c r="Y9" i="1"/>
  <c r="Y9" i="16" s="1"/>
  <c r="Y9" i="12" s="1"/>
  <c r="Y9" i="17" s="1"/>
  <c r="Y9" i="19" s="1"/>
  <c r="Y9" i="18" s="1"/>
  <c r="Y9" i="11" s="1"/>
  <c r="Y9" i="13" s="1"/>
  <c r="Y8" i="1"/>
  <c r="Y8" i="16" s="1"/>
  <c r="Y8" i="12" s="1"/>
  <c r="Y8" i="17" s="1"/>
  <c r="Y8" i="19" s="1"/>
  <c r="Y8" i="18" s="1"/>
  <c r="Y8" i="11" s="1"/>
  <c r="Y8" i="13" s="1"/>
  <c r="W15" i="1"/>
  <c r="W15" i="16" s="1"/>
  <c r="W15" i="12" s="1"/>
  <c r="W15" i="17" s="1"/>
  <c r="W15" i="19" s="1"/>
  <c r="W15" i="18" s="1"/>
  <c r="W15" i="11" s="1"/>
  <c r="W15" i="13" s="1"/>
  <c r="W14" i="1"/>
  <c r="W14" i="16" s="1"/>
  <c r="W14" i="12" s="1"/>
  <c r="W14" i="17" s="1"/>
  <c r="W14" i="19" s="1"/>
  <c r="W14" i="18" s="1"/>
  <c r="W14" i="11" s="1"/>
  <c r="W14" i="13" s="1"/>
  <c r="W13" i="1"/>
  <c r="W13" i="16" s="1"/>
  <c r="W13" i="12" s="1"/>
  <c r="W13" i="17" s="1"/>
  <c r="W13" i="19" s="1"/>
  <c r="W13" i="18" s="1"/>
  <c r="W13" i="11" s="1"/>
  <c r="W13" i="13" s="1"/>
  <c r="W12" i="1"/>
  <c r="W12" i="16" s="1"/>
  <c r="W12" i="12" s="1"/>
  <c r="W12" i="17" s="1"/>
  <c r="W12" i="19" s="1"/>
  <c r="W12" i="18" s="1"/>
  <c r="W12" i="11" s="1"/>
  <c r="W12" i="13" s="1"/>
  <c r="W11" i="1"/>
  <c r="W11" i="16" s="1"/>
  <c r="W11" i="12" s="1"/>
  <c r="W11" i="17" s="1"/>
  <c r="W11" i="19" s="1"/>
  <c r="W11" i="18" s="1"/>
  <c r="W11" i="11" s="1"/>
  <c r="W11" i="13" s="1"/>
  <c r="W10" i="1"/>
  <c r="W10" i="16" s="1"/>
  <c r="W10" i="12" s="1"/>
  <c r="W10" i="17" s="1"/>
  <c r="W10" i="19" s="1"/>
  <c r="W10" i="18" s="1"/>
  <c r="W10" i="11" s="1"/>
  <c r="W10" i="13" s="1"/>
  <c r="W9" i="1"/>
  <c r="W9" i="16" s="1"/>
  <c r="W9" i="12" s="1"/>
  <c r="W9" i="17" s="1"/>
  <c r="W9" i="19" s="1"/>
  <c r="W9" i="18" s="1"/>
  <c r="W9" i="11" s="1"/>
  <c r="W9" i="13" s="1"/>
  <c r="W8" i="1"/>
  <c r="W8" i="16" s="1"/>
  <c r="W8" i="12" s="1"/>
  <c r="W8" i="17" s="1"/>
  <c r="W8" i="19" s="1"/>
  <c r="W8" i="18" s="1"/>
  <c r="W8" i="11" s="1"/>
  <c r="W8" i="13" s="1"/>
  <c r="U15" i="1"/>
  <c r="U15" i="16" s="1"/>
  <c r="U15" i="12" s="1"/>
  <c r="U15" i="17" s="1"/>
  <c r="U15" i="19" s="1"/>
  <c r="U15" i="18" s="1"/>
  <c r="U15" i="11" s="1"/>
  <c r="U15" i="13" s="1"/>
  <c r="U14" i="1"/>
  <c r="U14" i="16" s="1"/>
  <c r="U14" i="12" s="1"/>
  <c r="U14" i="17" s="1"/>
  <c r="U14" i="19" s="1"/>
  <c r="U14" i="18" s="1"/>
  <c r="U14" i="11" s="1"/>
  <c r="U14" i="13" s="1"/>
  <c r="U13" i="1"/>
  <c r="U13" i="16" s="1"/>
  <c r="U13" i="12" s="1"/>
  <c r="U13" i="17" s="1"/>
  <c r="U13" i="19" s="1"/>
  <c r="U13" i="18" s="1"/>
  <c r="U13" i="11" s="1"/>
  <c r="U13" i="13" s="1"/>
  <c r="U12" i="1"/>
  <c r="U12" i="16" s="1"/>
  <c r="U12" i="12" s="1"/>
  <c r="U12" i="17" s="1"/>
  <c r="U12" i="19" s="1"/>
  <c r="U12" i="18" s="1"/>
  <c r="U12" i="11" s="1"/>
  <c r="U12" i="13" s="1"/>
  <c r="U11" i="1"/>
  <c r="U11" i="16" s="1"/>
  <c r="U11" i="12" s="1"/>
  <c r="U11" i="17" s="1"/>
  <c r="U11" i="19" s="1"/>
  <c r="U11" i="18" s="1"/>
  <c r="U11" i="11" s="1"/>
  <c r="U11" i="13" s="1"/>
  <c r="U10" i="1"/>
  <c r="U10" i="16" s="1"/>
  <c r="U10" i="12" s="1"/>
  <c r="U10" i="17" s="1"/>
  <c r="U10" i="19" s="1"/>
  <c r="U10" i="18" s="1"/>
  <c r="U10" i="11" s="1"/>
  <c r="U10" i="13" s="1"/>
  <c r="U9" i="1"/>
  <c r="U9" i="16" s="1"/>
  <c r="U9" i="12" s="1"/>
  <c r="U9" i="17" s="1"/>
  <c r="U9" i="19" s="1"/>
  <c r="U9" i="18" s="1"/>
  <c r="U9" i="11" s="1"/>
  <c r="U9" i="13" s="1"/>
  <c r="U8" i="1"/>
  <c r="U8" i="16" s="1"/>
  <c r="U8" i="12" s="1"/>
  <c r="U8" i="17" s="1"/>
  <c r="U8" i="19" s="1"/>
  <c r="U8" i="18" s="1"/>
  <c r="U8" i="11" s="1"/>
  <c r="U8" i="13" s="1"/>
  <c r="S15" i="1"/>
  <c r="S15" i="16" s="1"/>
  <c r="S15" i="12" s="1"/>
  <c r="S15" i="17" s="1"/>
  <c r="S15" i="19" s="1"/>
  <c r="S15" i="18" s="1"/>
  <c r="S15" i="11" s="1"/>
  <c r="S15" i="13" s="1"/>
  <c r="S14" i="1"/>
  <c r="S14" i="16" s="1"/>
  <c r="S14" i="12" s="1"/>
  <c r="S14" i="17" s="1"/>
  <c r="S14" i="19" s="1"/>
  <c r="S14" i="18" s="1"/>
  <c r="S14" i="11" s="1"/>
  <c r="S14" i="13" s="1"/>
  <c r="S13" i="1"/>
  <c r="S13" i="16" s="1"/>
  <c r="S13" i="12" s="1"/>
  <c r="S13" i="17" s="1"/>
  <c r="S13" i="19" s="1"/>
  <c r="S13" i="18" s="1"/>
  <c r="S13" i="11" s="1"/>
  <c r="S13" i="13" s="1"/>
  <c r="S12" i="1"/>
  <c r="S12" i="16" s="1"/>
  <c r="S12" i="12" s="1"/>
  <c r="S12" i="17" s="1"/>
  <c r="S12" i="19" s="1"/>
  <c r="S12" i="18" s="1"/>
  <c r="S12" i="11" s="1"/>
  <c r="S12" i="13" s="1"/>
  <c r="S11" i="1"/>
  <c r="S11" i="16" s="1"/>
  <c r="S11" i="12" s="1"/>
  <c r="S11" i="17" s="1"/>
  <c r="S11" i="19" s="1"/>
  <c r="S11" i="18" s="1"/>
  <c r="S11" i="11" s="1"/>
  <c r="S11" i="13" s="1"/>
  <c r="S10" i="1"/>
  <c r="S10" i="16" s="1"/>
  <c r="S10" i="12" s="1"/>
  <c r="S10" i="17" s="1"/>
  <c r="S10" i="19" s="1"/>
  <c r="S10" i="18" s="1"/>
  <c r="S10" i="11" s="1"/>
  <c r="S10" i="13" s="1"/>
  <c r="S9" i="1"/>
  <c r="S9" i="16" s="1"/>
  <c r="S9" i="12" s="1"/>
  <c r="S9" i="17" s="1"/>
  <c r="S9" i="19" s="1"/>
  <c r="S9" i="18" s="1"/>
  <c r="S9" i="11" s="1"/>
  <c r="S9" i="13" s="1"/>
  <c r="S8" i="1"/>
  <c r="S8" i="16" s="1"/>
  <c r="S8" i="12" s="1"/>
  <c r="S8" i="17" s="1"/>
  <c r="S8" i="19" s="1"/>
  <c r="S8" i="18" s="1"/>
  <c r="S8" i="11" s="1"/>
  <c r="S8" i="13" s="1"/>
  <c r="Q15" i="1"/>
  <c r="Q15" i="16" s="1"/>
  <c r="Q15" i="12" s="1"/>
  <c r="Q15" i="17" s="1"/>
  <c r="Q15" i="19" s="1"/>
  <c r="Q15" i="18" s="1"/>
  <c r="Q15" i="11" s="1"/>
  <c r="Q15" i="13" s="1"/>
  <c r="Q14" i="1"/>
  <c r="Q14" i="16" s="1"/>
  <c r="Q14" i="12" s="1"/>
  <c r="Q14" i="17" s="1"/>
  <c r="Q14" i="19" s="1"/>
  <c r="Q14" i="18" s="1"/>
  <c r="Q14" i="11" s="1"/>
  <c r="Q14" i="13" s="1"/>
  <c r="Q13" i="1"/>
  <c r="Q13" i="16" s="1"/>
  <c r="Q13" i="12" s="1"/>
  <c r="Q13" i="17" s="1"/>
  <c r="Q13" i="19" s="1"/>
  <c r="Q13" i="18" s="1"/>
  <c r="Q13" i="11" s="1"/>
  <c r="Q13" i="13" s="1"/>
  <c r="Q12" i="1"/>
  <c r="Q12" i="16" s="1"/>
  <c r="Q12" i="12" s="1"/>
  <c r="Q12" i="17" s="1"/>
  <c r="Q12" i="19" s="1"/>
  <c r="Q12" i="18" s="1"/>
  <c r="Q12" i="11" s="1"/>
  <c r="Q12" i="13" s="1"/>
  <c r="Q11" i="1"/>
  <c r="Q11" i="16" s="1"/>
  <c r="Q11" i="12" s="1"/>
  <c r="Q11" i="17" s="1"/>
  <c r="Q11" i="19" s="1"/>
  <c r="Q11" i="18" s="1"/>
  <c r="Q11" i="11" s="1"/>
  <c r="Q11" i="13" s="1"/>
  <c r="Q10" i="1"/>
  <c r="Q10" i="16" s="1"/>
  <c r="Q10" i="12" s="1"/>
  <c r="Q10" i="17" s="1"/>
  <c r="Q10" i="19" s="1"/>
  <c r="Q10" i="18" s="1"/>
  <c r="Q10" i="11" s="1"/>
  <c r="Q10" i="13" s="1"/>
  <c r="Q9" i="1"/>
  <c r="Q9" i="16" s="1"/>
  <c r="Q9" i="12" s="1"/>
  <c r="Q9" i="17" s="1"/>
  <c r="Q9" i="19" s="1"/>
  <c r="Q9" i="18" s="1"/>
  <c r="Q9" i="11" s="1"/>
  <c r="Q9" i="13" s="1"/>
  <c r="Q8" i="1"/>
  <c r="Q8" i="16" s="1"/>
  <c r="Q8" i="12" s="1"/>
  <c r="Q8" i="17" s="1"/>
  <c r="Q8" i="19" s="1"/>
  <c r="Q8" i="18" s="1"/>
  <c r="Q8" i="11" s="1"/>
  <c r="Q8" i="13" s="1"/>
  <c r="O15" i="1"/>
  <c r="O15" i="16" s="1"/>
  <c r="O15" i="12" s="1"/>
  <c r="O15" i="17" s="1"/>
  <c r="O15" i="19" s="1"/>
  <c r="O15" i="18" s="1"/>
  <c r="O15" i="11" s="1"/>
  <c r="O15" i="13" s="1"/>
  <c r="O14" i="1"/>
  <c r="O14" i="16" s="1"/>
  <c r="O14" i="12" s="1"/>
  <c r="O14" i="17" s="1"/>
  <c r="O14" i="19" s="1"/>
  <c r="O14" i="18" s="1"/>
  <c r="O14" i="11" s="1"/>
  <c r="O14" i="13" s="1"/>
  <c r="O13" i="1"/>
  <c r="O13" i="16" s="1"/>
  <c r="O13" i="12" s="1"/>
  <c r="O13" i="17" s="1"/>
  <c r="O13" i="19" s="1"/>
  <c r="O13" i="18" s="1"/>
  <c r="O13" i="11" s="1"/>
  <c r="O13" i="13" s="1"/>
  <c r="O12" i="1"/>
  <c r="O12" i="16" s="1"/>
  <c r="O12" i="12" s="1"/>
  <c r="O12" i="17" s="1"/>
  <c r="O12" i="19" s="1"/>
  <c r="O12" i="18" s="1"/>
  <c r="O12" i="11" s="1"/>
  <c r="O12" i="13" s="1"/>
  <c r="O11" i="1"/>
  <c r="O11" i="16" s="1"/>
  <c r="O11" i="12" s="1"/>
  <c r="O11" i="17" s="1"/>
  <c r="O11" i="19" s="1"/>
  <c r="O11" i="18" s="1"/>
  <c r="O11" i="11" s="1"/>
  <c r="O11" i="13" s="1"/>
  <c r="O10" i="1"/>
  <c r="O10" i="16" s="1"/>
  <c r="O10" i="12" s="1"/>
  <c r="O10" i="17" s="1"/>
  <c r="O10" i="19" s="1"/>
  <c r="O10" i="18" s="1"/>
  <c r="O10" i="11" s="1"/>
  <c r="O10" i="13" s="1"/>
  <c r="O9" i="1"/>
  <c r="O9" i="16" s="1"/>
  <c r="O9" i="12" s="1"/>
  <c r="O9" i="17" s="1"/>
  <c r="O9" i="19" s="1"/>
  <c r="O9" i="18" s="1"/>
  <c r="O9" i="11" s="1"/>
  <c r="O9" i="13" s="1"/>
  <c r="O8" i="1"/>
  <c r="O8" i="16" s="1"/>
  <c r="O8" i="12" s="1"/>
  <c r="O8" i="17" s="1"/>
  <c r="O8" i="19" s="1"/>
  <c r="O8" i="18" s="1"/>
  <c r="O8" i="11" s="1"/>
  <c r="O8" i="13" s="1"/>
  <c r="M15" i="1"/>
  <c r="M15" i="16" s="1"/>
  <c r="M15" i="12" s="1"/>
  <c r="M15" i="17" s="1"/>
  <c r="M15" i="19" s="1"/>
  <c r="M15" i="18" s="1"/>
  <c r="M15" i="11" s="1"/>
  <c r="M15" i="13" s="1"/>
  <c r="M14" i="1"/>
  <c r="M14" i="16" s="1"/>
  <c r="M14" i="12" s="1"/>
  <c r="M14" i="17" s="1"/>
  <c r="M14" i="19" s="1"/>
  <c r="M14" i="18" s="1"/>
  <c r="M14" i="11" s="1"/>
  <c r="M14" i="13" s="1"/>
  <c r="M13" i="1"/>
  <c r="M13" i="16" s="1"/>
  <c r="M13" i="12" s="1"/>
  <c r="M13" i="17" s="1"/>
  <c r="M13" i="19" s="1"/>
  <c r="M13" i="18" s="1"/>
  <c r="M13" i="11" s="1"/>
  <c r="M13" i="13" s="1"/>
  <c r="M12" i="1"/>
  <c r="M12" i="16" s="1"/>
  <c r="M12" i="12" s="1"/>
  <c r="M12" i="17" s="1"/>
  <c r="M12" i="19" s="1"/>
  <c r="M12" i="18" s="1"/>
  <c r="M12" i="11" s="1"/>
  <c r="M12" i="13" s="1"/>
  <c r="M11" i="1"/>
  <c r="M11" i="16" s="1"/>
  <c r="M11" i="12" s="1"/>
  <c r="M11" i="17" s="1"/>
  <c r="M11" i="19" s="1"/>
  <c r="M11" i="18" s="1"/>
  <c r="M11" i="11" s="1"/>
  <c r="M11" i="13" s="1"/>
  <c r="M10" i="1"/>
  <c r="M10" i="16" s="1"/>
  <c r="M10" i="12" s="1"/>
  <c r="M10" i="17" s="1"/>
  <c r="M10" i="19" s="1"/>
  <c r="M10" i="18" s="1"/>
  <c r="M10" i="11" s="1"/>
  <c r="M10" i="13" s="1"/>
  <c r="M9" i="1"/>
  <c r="M9" i="16" s="1"/>
  <c r="M9" i="12" s="1"/>
  <c r="M9" i="17" s="1"/>
  <c r="M9" i="19" s="1"/>
  <c r="M9" i="18" s="1"/>
  <c r="M9" i="11" s="1"/>
  <c r="M9" i="13" s="1"/>
  <c r="M8" i="1"/>
  <c r="M8" i="16" s="1"/>
  <c r="M8" i="12" s="1"/>
  <c r="M8" i="17" s="1"/>
  <c r="M8" i="19" s="1"/>
  <c r="M8" i="18" s="1"/>
  <c r="M8" i="11" s="1"/>
  <c r="M8" i="13" s="1"/>
  <c r="K15" i="1"/>
  <c r="K15" i="16" s="1"/>
  <c r="K15" i="12" s="1"/>
  <c r="K15" i="17" s="1"/>
  <c r="K15" i="19" s="1"/>
  <c r="K15" i="18" s="1"/>
  <c r="K15" i="11" s="1"/>
  <c r="K15" i="13" s="1"/>
  <c r="K14" i="1"/>
  <c r="K14" i="16" s="1"/>
  <c r="K14" i="12" s="1"/>
  <c r="K14" i="17" s="1"/>
  <c r="K14" i="19" s="1"/>
  <c r="K14" i="18" s="1"/>
  <c r="K14" i="11" s="1"/>
  <c r="K14" i="13" s="1"/>
  <c r="K13" i="1"/>
  <c r="K13" i="16" s="1"/>
  <c r="K13" i="12" s="1"/>
  <c r="K13" i="17" s="1"/>
  <c r="K13" i="19" s="1"/>
  <c r="K13" i="18" s="1"/>
  <c r="K13" i="11" s="1"/>
  <c r="K13" i="13" s="1"/>
  <c r="K12" i="1"/>
  <c r="K12" i="16" s="1"/>
  <c r="K12" i="12" s="1"/>
  <c r="K12" i="17" s="1"/>
  <c r="K12" i="19" s="1"/>
  <c r="K12" i="18" s="1"/>
  <c r="K12" i="11" s="1"/>
  <c r="K12" i="13" s="1"/>
  <c r="K11" i="1"/>
  <c r="K11" i="16" s="1"/>
  <c r="K11" i="12" s="1"/>
  <c r="K11" i="17" s="1"/>
  <c r="K11" i="19" s="1"/>
  <c r="K11" i="18" s="1"/>
  <c r="K11" i="11" s="1"/>
  <c r="K11" i="13" s="1"/>
  <c r="K10" i="1"/>
  <c r="K10" i="16" s="1"/>
  <c r="K10" i="12" s="1"/>
  <c r="K10" i="17" s="1"/>
  <c r="K10" i="19" s="1"/>
  <c r="K10" i="18" s="1"/>
  <c r="K10" i="11" s="1"/>
  <c r="K10" i="13" s="1"/>
  <c r="K9" i="1"/>
  <c r="K9" i="16" s="1"/>
  <c r="K9" i="12" s="1"/>
  <c r="K9" i="17" s="1"/>
  <c r="K9" i="19" s="1"/>
  <c r="K9" i="18" s="1"/>
  <c r="K9" i="11" s="1"/>
  <c r="K9" i="13" s="1"/>
  <c r="K8" i="1"/>
  <c r="K8" i="16" s="1"/>
  <c r="K8" i="12" s="1"/>
  <c r="K8" i="17" s="1"/>
  <c r="K8" i="19" s="1"/>
  <c r="K8" i="18" s="1"/>
  <c r="K8" i="11" s="1"/>
  <c r="K8" i="13" s="1"/>
  <c r="I15" i="1"/>
  <c r="I15" i="16" s="1"/>
  <c r="I15" i="12" s="1"/>
  <c r="I15" i="17" s="1"/>
  <c r="I15" i="19" s="1"/>
  <c r="I15" i="18" s="1"/>
  <c r="I15" i="11" s="1"/>
  <c r="I15" i="13" s="1"/>
  <c r="I14" i="1"/>
  <c r="I14" i="16" s="1"/>
  <c r="I14" i="12" s="1"/>
  <c r="I14" i="17" s="1"/>
  <c r="I14" i="19" s="1"/>
  <c r="I14" i="18" s="1"/>
  <c r="I14" i="11" s="1"/>
  <c r="I14" i="13" s="1"/>
  <c r="I13" i="1"/>
  <c r="I13" i="16" s="1"/>
  <c r="I13" i="12" s="1"/>
  <c r="I13" i="17" s="1"/>
  <c r="I13" i="19" s="1"/>
  <c r="I13" i="18" s="1"/>
  <c r="I13" i="11" s="1"/>
  <c r="I13" i="13" s="1"/>
  <c r="I12" i="1"/>
  <c r="I12" i="16" s="1"/>
  <c r="I12" i="12" s="1"/>
  <c r="I12" i="17" s="1"/>
  <c r="I12" i="19" s="1"/>
  <c r="I12" i="18" s="1"/>
  <c r="I12" i="11" s="1"/>
  <c r="I12" i="13" s="1"/>
  <c r="I11" i="1"/>
  <c r="I11" i="16" s="1"/>
  <c r="I11" i="12" s="1"/>
  <c r="I11" i="17" s="1"/>
  <c r="I11" i="19" s="1"/>
  <c r="I11" i="18" s="1"/>
  <c r="I11" i="11" s="1"/>
  <c r="I11" i="13" s="1"/>
  <c r="I10" i="1"/>
  <c r="I10" i="16" s="1"/>
  <c r="I10" i="12" s="1"/>
  <c r="I10" i="17" s="1"/>
  <c r="I10" i="19" s="1"/>
  <c r="I10" i="18" s="1"/>
  <c r="I10" i="11" s="1"/>
  <c r="I10" i="13" s="1"/>
  <c r="I9" i="1"/>
  <c r="I9" i="16" s="1"/>
  <c r="I9" i="12" s="1"/>
  <c r="I9" i="17" s="1"/>
  <c r="I9" i="19" s="1"/>
  <c r="I9" i="18" s="1"/>
  <c r="I9" i="11" s="1"/>
  <c r="I9" i="13" s="1"/>
  <c r="I8" i="1"/>
  <c r="I8" i="16" s="1"/>
  <c r="I8" i="12" s="1"/>
  <c r="I8" i="17" s="1"/>
  <c r="I8" i="19" s="1"/>
  <c r="I8" i="18" s="1"/>
  <c r="I8" i="11" s="1"/>
  <c r="I8" i="13" s="1"/>
  <c r="G15" i="1"/>
  <c r="G15" i="16" s="1"/>
  <c r="G15" i="12" s="1"/>
  <c r="G15" i="17" s="1"/>
  <c r="G15" i="19" s="1"/>
  <c r="G15" i="18" s="1"/>
  <c r="G15" i="11" s="1"/>
  <c r="G15" i="13" s="1"/>
  <c r="G14" i="1"/>
  <c r="G14" i="16" s="1"/>
  <c r="G14" i="12" s="1"/>
  <c r="G14" i="17" s="1"/>
  <c r="G14" i="19" s="1"/>
  <c r="G14" i="18" s="1"/>
  <c r="G14" i="11" s="1"/>
  <c r="G14" i="13" s="1"/>
  <c r="G13" i="1"/>
  <c r="G13" i="16" s="1"/>
  <c r="G13" i="12" s="1"/>
  <c r="G13" i="17" s="1"/>
  <c r="G13" i="19" s="1"/>
  <c r="G13" i="18" s="1"/>
  <c r="G13" i="11" s="1"/>
  <c r="G13" i="13" s="1"/>
  <c r="G12" i="1"/>
  <c r="G12" i="16" s="1"/>
  <c r="G12" i="12" s="1"/>
  <c r="G12" i="17" s="1"/>
  <c r="G12" i="19" s="1"/>
  <c r="G12" i="18" s="1"/>
  <c r="G12" i="11" s="1"/>
  <c r="G12" i="13" s="1"/>
  <c r="G11" i="1"/>
  <c r="G11" i="16" s="1"/>
  <c r="G11" i="12" s="1"/>
  <c r="G11" i="17" s="1"/>
  <c r="G11" i="19" s="1"/>
  <c r="G11" i="18" s="1"/>
  <c r="G11" i="11" s="1"/>
  <c r="G11" i="13" s="1"/>
  <c r="G10" i="1"/>
  <c r="G10" i="16" s="1"/>
  <c r="G10" i="12" s="1"/>
  <c r="G10" i="17" s="1"/>
  <c r="G10" i="19" s="1"/>
  <c r="G10" i="18" s="1"/>
  <c r="G10" i="11" s="1"/>
  <c r="G10" i="13" s="1"/>
  <c r="G9" i="1"/>
  <c r="G9" i="16" s="1"/>
  <c r="G9" i="12" s="1"/>
  <c r="G9" i="17" s="1"/>
  <c r="G9" i="19" s="1"/>
  <c r="G9" i="18" s="1"/>
  <c r="G9" i="11" s="1"/>
  <c r="G9" i="13" s="1"/>
  <c r="G8" i="1"/>
  <c r="G8" i="16" s="1"/>
  <c r="G8" i="12" s="1"/>
  <c r="G8" i="17" s="1"/>
  <c r="G8" i="19" s="1"/>
  <c r="G8" i="18" s="1"/>
  <c r="G8" i="11" s="1"/>
  <c r="G8" i="13" s="1"/>
  <c r="E15" i="1"/>
  <c r="E15" i="16" s="1"/>
  <c r="E15" i="12" s="1"/>
  <c r="E15" i="17" s="1"/>
  <c r="E15" i="19" s="1"/>
  <c r="E15" i="18" s="1"/>
  <c r="E15" i="11" s="1"/>
  <c r="E15" i="13" s="1"/>
  <c r="E14" i="1"/>
  <c r="E14" i="16" s="1"/>
  <c r="E14" i="12" s="1"/>
  <c r="E14" i="17" s="1"/>
  <c r="E14" i="19" s="1"/>
  <c r="E14" i="18" s="1"/>
  <c r="E14" i="11" s="1"/>
  <c r="E14" i="13" s="1"/>
  <c r="E13" i="1"/>
  <c r="E13" i="16" s="1"/>
  <c r="E13" i="12" s="1"/>
  <c r="E13" i="17" s="1"/>
  <c r="E13" i="19" s="1"/>
  <c r="E13" i="18" s="1"/>
  <c r="E13" i="11" s="1"/>
  <c r="E13" i="13" s="1"/>
  <c r="E12" i="1"/>
  <c r="E12" i="16" s="1"/>
  <c r="E12" i="12" s="1"/>
  <c r="E12" i="17" s="1"/>
  <c r="E12" i="19" s="1"/>
  <c r="E12" i="18" s="1"/>
  <c r="E12" i="11" s="1"/>
  <c r="E12" i="13" s="1"/>
  <c r="E11" i="1"/>
  <c r="E11" i="16" s="1"/>
  <c r="E11" i="12" s="1"/>
  <c r="E11" i="17" s="1"/>
  <c r="E11" i="19" s="1"/>
  <c r="E11" i="18" s="1"/>
  <c r="E11" i="11" s="1"/>
  <c r="E11" i="13" s="1"/>
  <c r="E10" i="1"/>
  <c r="E10" i="16" s="1"/>
  <c r="E10" i="12" s="1"/>
  <c r="E10" i="17" s="1"/>
  <c r="E10" i="19" s="1"/>
  <c r="E10" i="18" s="1"/>
  <c r="E10" i="11" s="1"/>
  <c r="E10" i="13" s="1"/>
  <c r="E9" i="1"/>
  <c r="E9" i="16" s="1"/>
  <c r="E9" i="12" s="1"/>
  <c r="E9" i="17" s="1"/>
  <c r="E9" i="19" s="1"/>
  <c r="E9" i="18" s="1"/>
  <c r="E9" i="11" s="1"/>
  <c r="E9" i="13" s="1"/>
  <c r="E8" i="1"/>
  <c r="E8" i="16" s="1"/>
  <c r="E8" i="12" s="1"/>
  <c r="E8" i="17" s="1"/>
  <c r="E8" i="19" s="1"/>
  <c r="E8" i="18" s="1"/>
  <c r="E8" i="11" s="1"/>
  <c r="E8" i="13" s="1"/>
  <c r="C15" i="1"/>
  <c r="C15" i="16" s="1"/>
  <c r="C15" i="12" s="1"/>
  <c r="C15" i="17" s="1"/>
  <c r="C15" i="19" s="1"/>
  <c r="C15" i="18" s="1"/>
  <c r="C15" i="11" s="1"/>
  <c r="C15" i="13" s="1"/>
  <c r="B15" i="1"/>
  <c r="B15" i="16" s="1"/>
  <c r="C14" i="1"/>
  <c r="C14" i="16" s="1"/>
  <c r="C14" i="12" s="1"/>
  <c r="C14" i="17" s="1"/>
  <c r="C14" i="19" s="1"/>
  <c r="C14" i="18" s="1"/>
  <c r="C14" i="11" s="1"/>
  <c r="C14" i="13" s="1"/>
  <c r="B14" i="1"/>
  <c r="B14" i="16" s="1"/>
  <c r="C13" i="1"/>
  <c r="C13" i="16" s="1"/>
  <c r="C13" i="12" s="1"/>
  <c r="C13" i="17" s="1"/>
  <c r="C13" i="19" s="1"/>
  <c r="C13" i="18" s="1"/>
  <c r="C13" i="11" s="1"/>
  <c r="C13" i="13" s="1"/>
  <c r="B13" i="1"/>
  <c r="B13" i="16" s="1"/>
  <c r="C12" i="1"/>
  <c r="C12" i="16" s="1"/>
  <c r="C12" i="12" s="1"/>
  <c r="C12" i="17" s="1"/>
  <c r="C12" i="19" s="1"/>
  <c r="C12" i="18" s="1"/>
  <c r="C12" i="11" s="1"/>
  <c r="C12" i="13" s="1"/>
  <c r="B12" i="1"/>
  <c r="B12" i="16" s="1"/>
  <c r="C11" i="1"/>
  <c r="C11" i="16" s="1"/>
  <c r="C11" i="12" s="1"/>
  <c r="C11" i="17" s="1"/>
  <c r="C11" i="19" s="1"/>
  <c r="C11" i="18" s="1"/>
  <c r="C11" i="11" s="1"/>
  <c r="C11" i="13" s="1"/>
  <c r="B11" i="1"/>
  <c r="B11" i="16" s="1"/>
  <c r="C10" i="1"/>
  <c r="C10" i="16" s="1"/>
  <c r="C10" i="12" s="1"/>
  <c r="C10" i="17" s="1"/>
  <c r="C10" i="19" s="1"/>
  <c r="C10" i="18" s="1"/>
  <c r="C10" i="11" s="1"/>
  <c r="C10" i="13" s="1"/>
  <c r="B10" i="1"/>
  <c r="B10" i="16" s="1"/>
  <c r="C9" i="1"/>
  <c r="C9" i="16" s="1"/>
  <c r="C9" i="12" s="1"/>
  <c r="C9" i="17" s="1"/>
  <c r="C9" i="19" s="1"/>
  <c r="C9" i="18" s="1"/>
  <c r="C9" i="11" s="1"/>
  <c r="C9" i="13" s="1"/>
  <c r="B9" i="1"/>
  <c r="B9" i="16" s="1"/>
  <c r="C8" i="1"/>
  <c r="C8" i="16" s="1"/>
  <c r="C8" i="12" s="1"/>
  <c r="C8" i="17" s="1"/>
  <c r="C8" i="19" s="1"/>
  <c r="C8" i="18" s="1"/>
  <c r="C8" i="11" s="1"/>
  <c r="C8" i="13" s="1"/>
  <c r="B8" i="1"/>
  <c r="B8" i="16" s="1"/>
  <c r="BJ6" i="1"/>
  <c r="BJ5" i="1"/>
  <c r="BI4" i="1"/>
  <c r="BH6" i="1"/>
  <c r="BH5" i="1"/>
  <c r="BG4" i="1"/>
  <c r="BF6" i="1"/>
  <c r="BF5" i="1"/>
  <c r="BE4" i="1"/>
  <c r="BD6" i="1"/>
  <c r="BD5" i="1"/>
  <c r="BC4" i="1"/>
  <c r="BB6" i="1"/>
  <c r="BB5" i="1"/>
  <c r="BA4" i="1"/>
  <c r="AZ6" i="1"/>
  <c r="AZ5" i="1"/>
  <c r="AY4" i="1"/>
  <c r="AX6" i="1"/>
  <c r="AX5" i="1"/>
  <c r="AW4" i="1"/>
  <c r="AV6" i="1"/>
  <c r="AV5" i="1"/>
  <c r="AU4" i="1"/>
  <c r="AT6" i="1"/>
  <c r="AT5" i="1"/>
  <c r="AS4" i="1"/>
  <c r="AR6" i="1"/>
  <c r="AR5" i="1"/>
  <c r="AQ4" i="1"/>
  <c r="AP6" i="1"/>
  <c r="AP5" i="1"/>
  <c r="AO4" i="1"/>
  <c r="AN6" i="1"/>
  <c r="AN5" i="1"/>
  <c r="AM4" i="1"/>
  <c r="AL6" i="1"/>
  <c r="AL5" i="1"/>
  <c r="AK4" i="1"/>
  <c r="AJ6" i="1"/>
  <c r="AJ5" i="1"/>
  <c r="AI4" i="1"/>
  <c r="AH6" i="1"/>
  <c r="AH5" i="1"/>
  <c r="AG4" i="1"/>
  <c r="AF6" i="1"/>
  <c r="AF5" i="1"/>
  <c r="AE4" i="1"/>
  <c r="AD6" i="1"/>
  <c r="AD5" i="1"/>
  <c r="AC4" i="1"/>
  <c r="AB6" i="1"/>
  <c r="AB5" i="1"/>
  <c r="AA4" i="1"/>
  <c r="Z6" i="1"/>
  <c r="Z5" i="1"/>
  <c r="Y4" i="1"/>
  <c r="X6" i="1"/>
  <c r="X5" i="1"/>
  <c r="W4" i="1"/>
  <c r="V6" i="1"/>
  <c r="V5" i="1"/>
  <c r="U4" i="1"/>
  <c r="T6" i="1"/>
  <c r="T5" i="1"/>
  <c r="S4" i="1"/>
  <c r="R6" i="1"/>
  <c r="R5" i="1"/>
  <c r="Q4" i="1"/>
  <c r="P6" i="1"/>
  <c r="P5" i="1"/>
  <c r="O4" i="1"/>
  <c r="N6" i="1"/>
  <c r="N5" i="1"/>
  <c r="M4" i="1"/>
  <c r="L6" i="1"/>
  <c r="L5" i="1"/>
  <c r="K4" i="1"/>
  <c r="J6" i="1"/>
  <c r="J5" i="1"/>
  <c r="I4" i="1"/>
  <c r="H6" i="1"/>
  <c r="H5" i="1"/>
  <c r="G4" i="1"/>
  <c r="F6" i="1"/>
  <c r="F5" i="1"/>
  <c r="E4" i="1"/>
  <c r="D6" i="1"/>
  <c r="D5" i="1"/>
  <c r="C4" i="1"/>
  <c r="Z33" i="1" l="1"/>
  <c r="N33" i="1"/>
  <c r="D28" i="12"/>
  <c r="D35" i="12"/>
  <c r="D13" i="1"/>
  <c r="D82" i="19"/>
  <c r="D18" i="1"/>
  <c r="D33" i="12"/>
  <c r="Y4" i="16"/>
  <c r="D6" i="16"/>
  <c r="N6" i="16"/>
  <c r="E4" i="16"/>
  <c r="AQ4" i="16"/>
  <c r="AD6" i="16"/>
  <c r="BE4" i="16"/>
  <c r="R6" i="16"/>
  <c r="H6" i="16"/>
  <c r="K4" i="16"/>
  <c r="C4" i="16"/>
  <c r="L6" i="16"/>
  <c r="AJ6" i="16"/>
  <c r="X6" i="16"/>
  <c r="AK4" i="16"/>
  <c r="D28" i="1"/>
  <c r="D50" i="12"/>
  <c r="D21" i="1"/>
  <c r="F12" i="1"/>
  <c r="F31" i="1"/>
  <c r="D84" i="19"/>
  <c r="D31" i="1"/>
  <c r="C38" i="12"/>
  <c r="D85" i="19"/>
  <c r="D29" i="1"/>
  <c r="H34" i="1"/>
  <c r="D29" i="12"/>
  <c r="F68" i="19"/>
  <c r="AK16" i="1"/>
  <c r="D36" i="12"/>
  <c r="D43" i="12"/>
  <c r="F47" i="12"/>
  <c r="D37" i="1"/>
  <c r="H26" i="12"/>
  <c r="D56" i="12"/>
  <c r="D68" i="19"/>
  <c r="D74" i="19"/>
  <c r="F84" i="19"/>
  <c r="D8" i="1"/>
  <c r="H12" i="1"/>
  <c r="F61" i="19"/>
  <c r="D31" i="12"/>
  <c r="D37" i="12"/>
  <c r="H13" i="1"/>
  <c r="F62" i="19"/>
  <c r="D69" i="19"/>
  <c r="H26" i="1"/>
  <c r="D45" i="12"/>
  <c r="D51" i="12"/>
  <c r="D26" i="1"/>
  <c r="J36" i="1"/>
  <c r="D26" i="12"/>
  <c r="H30" i="12"/>
  <c r="F35" i="1"/>
  <c r="F39" i="12"/>
  <c r="H61" i="19"/>
  <c r="F76" i="19"/>
  <c r="F13" i="1"/>
  <c r="F23" i="1"/>
  <c r="F36" i="1"/>
  <c r="D40" i="12"/>
  <c r="F55" i="12"/>
  <c r="D71" i="19"/>
  <c r="D34" i="1"/>
  <c r="H33" i="12"/>
  <c r="D47" i="12"/>
  <c r="D53" i="12"/>
  <c r="F14" i="1"/>
  <c r="D61" i="19"/>
  <c r="H34" i="12"/>
  <c r="D66" i="19"/>
  <c r="D72" i="19"/>
  <c r="J13" i="1"/>
  <c r="D48" i="12"/>
  <c r="J61" i="19"/>
  <c r="AL9" i="16"/>
  <c r="F9" i="16"/>
  <c r="AJ9" i="16"/>
  <c r="AH9" i="16"/>
  <c r="AF9" i="16"/>
  <c r="BJ9" i="16"/>
  <c r="AD9" i="16"/>
  <c r="BH9" i="16"/>
  <c r="AB9" i="16"/>
  <c r="BF9" i="16"/>
  <c r="Z9" i="16"/>
  <c r="BD9" i="16"/>
  <c r="X9" i="16"/>
  <c r="D9" i="16"/>
  <c r="BB9" i="16"/>
  <c r="V9" i="16"/>
  <c r="AZ9" i="16"/>
  <c r="T9" i="16"/>
  <c r="AX9" i="16"/>
  <c r="R9" i="16"/>
  <c r="AV9" i="16"/>
  <c r="P9" i="16"/>
  <c r="AT9" i="16"/>
  <c r="N9" i="16"/>
  <c r="AR9" i="16"/>
  <c r="L9" i="16"/>
  <c r="AP9" i="16"/>
  <c r="J9" i="16"/>
  <c r="AN9" i="16"/>
  <c r="H9" i="16"/>
  <c r="B9" i="12"/>
  <c r="L11" i="1"/>
  <c r="P10" i="1"/>
  <c r="T9" i="1"/>
  <c r="X8" i="1"/>
  <c r="AA7" i="1"/>
  <c r="AB15" i="1"/>
  <c r="AF14" i="1"/>
  <c r="AJ13" i="1"/>
  <c r="AN12" i="1"/>
  <c r="AR11" i="1"/>
  <c r="AV10" i="1"/>
  <c r="AZ9" i="1"/>
  <c r="BD8" i="1"/>
  <c r="BG7" i="1"/>
  <c r="BH15" i="1"/>
  <c r="B32" i="16"/>
  <c r="BH32" i="1"/>
  <c r="BB32" i="1"/>
  <c r="AV32" i="1"/>
  <c r="BJ32" i="1"/>
  <c r="BD32" i="1"/>
  <c r="AX32" i="1"/>
  <c r="AR32" i="1"/>
  <c r="BF32" i="1"/>
  <c r="AZ32" i="1"/>
  <c r="AT32" i="1"/>
  <c r="J20" i="1"/>
  <c r="J28" i="1"/>
  <c r="N17" i="1"/>
  <c r="N25" i="1"/>
  <c r="R22" i="1"/>
  <c r="R30" i="1"/>
  <c r="V19" i="1"/>
  <c r="V35" i="1"/>
  <c r="Y16" i="1"/>
  <c r="Z24" i="1"/>
  <c r="Z32" i="1"/>
  <c r="AD21" i="1"/>
  <c r="AD29" i="1"/>
  <c r="AD37" i="1"/>
  <c r="AH18" i="1"/>
  <c r="AH26" i="1"/>
  <c r="AH34" i="1"/>
  <c r="AL23" i="1"/>
  <c r="AL31" i="1"/>
  <c r="AP19" i="1"/>
  <c r="D14" i="1"/>
  <c r="J12" i="1"/>
  <c r="N11" i="1"/>
  <c r="R10" i="1"/>
  <c r="V9" i="1"/>
  <c r="Z8" i="1"/>
  <c r="AC7" i="1"/>
  <c r="AD15" i="1"/>
  <c r="AH14" i="1"/>
  <c r="AL13" i="1"/>
  <c r="AP12" i="1"/>
  <c r="AT11" i="1"/>
  <c r="AX10" i="1"/>
  <c r="BB9" i="1"/>
  <c r="BF8" i="1"/>
  <c r="BI7" i="1"/>
  <c r="BJ15" i="1"/>
  <c r="B27" i="16"/>
  <c r="BJ27" i="1"/>
  <c r="BD27" i="1"/>
  <c r="AX27" i="1"/>
  <c r="AR27" i="1"/>
  <c r="BF27" i="1"/>
  <c r="AZ27" i="1"/>
  <c r="AT27" i="1"/>
  <c r="AN27" i="1"/>
  <c r="BH27" i="1"/>
  <c r="BB27" i="1"/>
  <c r="AV27" i="1"/>
  <c r="H18" i="1"/>
  <c r="L23" i="1"/>
  <c r="L31" i="1"/>
  <c r="P20" i="1"/>
  <c r="P28" i="1"/>
  <c r="P36" i="1"/>
  <c r="T17" i="1"/>
  <c r="T25" i="1"/>
  <c r="T33" i="1"/>
  <c r="X30" i="1"/>
  <c r="AB19" i="1"/>
  <c r="AB27" i="1"/>
  <c r="AB35" i="1"/>
  <c r="AE16" i="1"/>
  <c r="AF24" i="1"/>
  <c r="AF32" i="1"/>
  <c r="AJ21" i="1"/>
  <c r="AJ29" i="1"/>
  <c r="AJ37" i="1"/>
  <c r="D9" i="1"/>
  <c r="AT15" i="16"/>
  <c r="N15" i="16"/>
  <c r="AR15" i="16"/>
  <c r="L15" i="16"/>
  <c r="AP15" i="16"/>
  <c r="J15" i="16"/>
  <c r="AN15" i="16"/>
  <c r="H15" i="16"/>
  <c r="AL15" i="16"/>
  <c r="F15" i="16"/>
  <c r="AJ15" i="16"/>
  <c r="D15" i="16"/>
  <c r="AH15" i="16"/>
  <c r="AF15" i="16"/>
  <c r="BJ15" i="16"/>
  <c r="AD15" i="16"/>
  <c r="BH15" i="16"/>
  <c r="AB15" i="16"/>
  <c r="BF15" i="16"/>
  <c r="Z15" i="16"/>
  <c r="BD15" i="16"/>
  <c r="X15" i="16"/>
  <c r="BB15" i="16"/>
  <c r="V15" i="16"/>
  <c r="AZ15" i="16"/>
  <c r="T15" i="16"/>
  <c r="AX15" i="16"/>
  <c r="R15" i="16"/>
  <c r="AV15" i="16"/>
  <c r="P15" i="16"/>
  <c r="B15" i="12"/>
  <c r="L12" i="1"/>
  <c r="P11" i="1"/>
  <c r="T10" i="1"/>
  <c r="X9" i="1"/>
  <c r="AB8" i="1"/>
  <c r="AE7" i="1"/>
  <c r="AF15" i="1"/>
  <c r="AJ14" i="1"/>
  <c r="AN13" i="1"/>
  <c r="AR12" i="1"/>
  <c r="AV11" i="1"/>
  <c r="AZ10" i="1"/>
  <c r="BD9" i="1"/>
  <c r="BH8" i="1"/>
  <c r="C16" i="1"/>
  <c r="B22" i="16"/>
  <c r="BF22" i="1"/>
  <c r="AZ22" i="1"/>
  <c r="AT22" i="1"/>
  <c r="AN22" i="1"/>
  <c r="BH22" i="1"/>
  <c r="BB22" i="1"/>
  <c r="AV22" i="1"/>
  <c r="AP22" i="1"/>
  <c r="BJ22" i="1"/>
  <c r="BD22" i="1"/>
  <c r="AX22" i="1"/>
  <c r="AR22" i="1"/>
  <c r="D32" i="1"/>
  <c r="E16" i="1"/>
  <c r="F24" i="1"/>
  <c r="F32" i="1"/>
  <c r="J21" i="1"/>
  <c r="J29" i="1"/>
  <c r="J37" i="1"/>
  <c r="N18" i="1"/>
  <c r="N26" i="1"/>
  <c r="N34" i="1"/>
  <c r="R23" i="1"/>
  <c r="R31" i="1"/>
  <c r="V20" i="1"/>
  <c r="V28" i="1"/>
  <c r="V36" i="1"/>
  <c r="Z17" i="1"/>
  <c r="Z25" i="1"/>
  <c r="AD22" i="1"/>
  <c r="AD30" i="1"/>
  <c r="AH19" i="1"/>
  <c r="AH27" i="1"/>
  <c r="AH35" i="1"/>
  <c r="AL24" i="1"/>
  <c r="AL32" i="1"/>
  <c r="AP20" i="1"/>
  <c r="AP32" i="1"/>
  <c r="AH10" i="16"/>
  <c r="AF10" i="16"/>
  <c r="BJ10" i="16"/>
  <c r="AD10" i="16"/>
  <c r="BH10" i="16"/>
  <c r="AB10" i="16"/>
  <c r="BF10" i="16"/>
  <c r="Z10" i="16"/>
  <c r="D10" i="16"/>
  <c r="BD10" i="16"/>
  <c r="X10" i="16"/>
  <c r="BB10" i="16"/>
  <c r="V10" i="16"/>
  <c r="AZ10" i="16"/>
  <c r="T10" i="16"/>
  <c r="AX10" i="16"/>
  <c r="R10" i="16"/>
  <c r="AV10" i="16"/>
  <c r="P10" i="16"/>
  <c r="AT10" i="16"/>
  <c r="N10" i="16"/>
  <c r="AR10" i="16"/>
  <c r="L10" i="16"/>
  <c r="AP10" i="16"/>
  <c r="J10" i="16"/>
  <c r="AN10" i="16"/>
  <c r="H10" i="16"/>
  <c r="AL10" i="16"/>
  <c r="F10" i="16"/>
  <c r="AJ10" i="16"/>
  <c r="B10" i="12"/>
  <c r="N12" i="1"/>
  <c r="R11" i="1"/>
  <c r="V10" i="1"/>
  <c r="Z9" i="1"/>
  <c r="AD8" i="1"/>
  <c r="AG7" i="1"/>
  <c r="AH15" i="1"/>
  <c r="AL14" i="1"/>
  <c r="AP13" i="1"/>
  <c r="AT12" i="1"/>
  <c r="AX11" i="1"/>
  <c r="BB10" i="1"/>
  <c r="BF9" i="1"/>
  <c r="BJ8" i="1"/>
  <c r="B17" i="16"/>
  <c r="BH17" i="1"/>
  <c r="BB17" i="1"/>
  <c r="BG16" i="1"/>
  <c r="AV17" i="1"/>
  <c r="BA16" i="1"/>
  <c r="AU16" i="1"/>
  <c r="BJ17" i="1"/>
  <c r="BD17" i="1"/>
  <c r="BI16" i="1"/>
  <c r="AX17" i="1"/>
  <c r="BC16" i="1"/>
  <c r="AR17" i="1"/>
  <c r="AW16" i="1"/>
  <c r="AQ16" i="1"/>
  <c r="BF17" i="1"/>
  <c r="AZ17" i="1"/>
  <c r="BE16" i="1"/>
  <c r="AT17" i="1"/>
  <c r="AY16" i="1"/>
  <c r="AS16" i="1"/>
  <c r="D27" i="1"/>
  <c r="B33" i="16"/>
  <c r="BH33" i="1"/>
  <c r="BB33" i="1"/>
  <c r="AV33" i="1"/>
  <c r="BJ33" i="1"/>
  <c r="BD33" i="1"/>
  <c r="AX33" i="1"/>
  <c r="AR33" i="1"/>
  <c r="BF33" i="1"/>
  <c r="AZ33" i="1"/>
  <c r="AT33" i="1"/>
  <c r="H19" i="1"/>
  <c r="H27" i="1"/>
  <c r="H35" i="1"/>
  <c r="K16" i="1"/>
  <c r="L24" i="1"/>
  <c r="L32" i="1"/>
  <c r="P21" i="1"/>
  <c r="P29" i="1"/>
  <c r="P37" i="1"/>
  <c r="T18" i="1"/>
  <c r="T26" i="1"/>
  <c r="T34" i="1"/>
  <c r="X23" i="1"/>
  <c r="X31" i="1"/>
  <c r="AB20" i="1"/>
  <c r="AB36" i="1"/>
  <c r="AF17" i="1"/>
  <c r="AF25" i="1"/>
  <c r="AF33" i="1"/>
  <c r="AJ22" i="1"/>
  <c r="AJ30" i="1"/>
  <c r="AN20" i="1"/>
  <c r="AN32" i="1"/>
  <c r="D15" i="1"/>
  <c r="H14" i="1"/>
  <c r="L13" i="1"/>
  <c r="P12" i="1"/>
  <c r="T11" i="1"/>
  <c r="X10" i="1"/>
  <c r="AB9" i="1"/>
  <c r="AF8" i="1"/>
  <c r="AI7" i="1"/>
  <c r="AJ15" i="1"/>
  <c r="AN14" i="1"/>
  <c r="AR13" i="1"/>
  <c r="AV12" i="1"/>
  <c r="AZ11" i="1"/>
  <c r="BD10" i="1"/>
  <c r="BH9" i="1"/>
  <c r="D22" i="1"/>
  <c r="B28" i="16"/>
  <c r="BD28" i="1"/>
  <c r="AX28" i="1"/>
  <c r="AR28" i="1"/>
  <c r="BF28" i="1"/>
  <c r="AZ28" i="1"/>
  <c r="AT28" i="1"/>
  <c r="BH28" i="1"/>
  <c r="BB28" i="1"/>
  <c r="AV28" i="1"/>
  <c r="AP28" i="1"/>
  <c r="BJ28" i="1"/>
  <c r="F17" i="1"/>
  <c r="F25" i="1"/>
  <c r="F33" i="1"/>
  <c r="J22" i="1"/>
  <c r="J30" i="1"/>
  <c r="N19" i="1"/>
  <c r="N27" i="1"/>
  <c r="N35" i="1"/>
  <c r="Q16" i="1"/>
  <c r="R24" i="1"/>
  <c r="R32" i="1"/>
  <c r="V21" i="1"/>
  <c r="V29" i="1"/>
  <c r="V37" i="1"/>
  <c r="Z18" i="1"/>
  <c r="Z26" i="1"/>
  <c r="Z34" i="1"/>
  <c r="AD31" i="1"/>
  <c r="AH20" i="1"/>
  <c r="AH28" i="1"/>
  <c r="AH36" i="1"/>
  <c r="AL17" i="1"/>
  <c r="AL25" i="1"/>
  <c r="AL33" i="1"/>
  <c r="AP33" i="1"/>
  <c r="D10" i="1"/>
  <c r="E7" i="1"/>
  <c r="F15" i="1"/>
  <c r="J14" i="1"/>
  <c r="N13" i="1"/>
  <c r="R12" i="1"/>
  <c r="V11" i="1"/>
  <c r="Z10" i="1"/>
  <c r="AD9" i="1"/>
  <c r="AH8" i="1"/>
  <c r="AK7" i="1"/>
  <c r="AL15" i="1"/>
  <c r="AP14" i="1"/>
  <c r="AT13" i="1"/>
  <c r="AX12" i="1"/>
  <c r="BB11" i="1"/>
  <c r="BF10" i="1"/>
  <c r="BJ9" i="1"/>
  <c r="D17" i="1"/>
  <c r="B23" i="16"/>
  <c r="AZ23" i="1"/>
  <c r="AT23" i="1"/>
  <c r="AN23" i="1"/>
  <c r="BH23" i="1"/>
  <c r="BB23" i="1"/>
  <c r="AV23" i="1"/>
  <c r="AP23" i="1"/>
  <c r="BJ23" i="1"/>
  <c r="BD23" i="1"/>
  <c r="AX23" i="1"/>
  <c r="AR23" i="1"/>
  <c r="BF23" i="1"/>
  <c r="D33" i="1"/>
  <c r="H20" i="1"/>
  <c r="H28" i="1"/>
  <c r="H36" i="1"/>
  <c r="L17" i="1"/>
  <c r="L25" i="1"/>
  <c r="L33" i="1"/>
  <c r="P22" i="1"/>
  <c r="P30" i="1"/>
  <c r="T19" i="1"/>
  <c r="T27" i="1"/>
  <c r="T35" i="1"/>
  <c r="W16" i="1"/>
  <c r="X24" i="1"/>
  <c r="X32" i="1"/>
  <c r="AB21" i="1"/>
  <c r="AB29" i="1"/>
  <c r="AB37" i="1"/>
  <c r="AF26" i="1"/>
  <c r="AJ23" i="1"/>
  <c r="AJ31" i="1"/>
  <c r="AN33" i="1"/>
  <c r="BJ11" i="16"/>
  <c r="AD11" i="16"/>
  <c r="BH11" i="16"/>
  <c r="AB11" i="16"/>
  <c r="D11" i="16"/>
  <c r="BF11" i="16"/>
  <c r="Z11" i="16"/>
  <c r="BD11" i="16"/>
  <c r="X11" i="16"/>
  <c r="BB11" i="16"/>
  <c r="V11" i="16"/>
  <c r="AZ11" i="16"/>
  <c r="T11" i="16"/>
  <c r="AX11" i="16"/>
  <c r="R11" i="16"/>
  <c r="AV11" i="16"/>
  <c r="P11" i="16"/>
  <c r="AT11" i="16"/>
  <c r="N11" i="16"/>
  <c r="AR11" i="16"/>
  <c r="L11" i="16"/>
  <c r="AP11" i="16"/>
  <c r="J11" i="16"/>
  <c r="AN11" i="16"/>
  <c r="H11" i="16"/>
  <c r="AL11" i="16"/>
  <c r="F11" i="16"/>
  <c r="AJ11" i="16"/>
  <c r="AH11" i="16"/>
  <c r="AF11" i="16"/>
  <c r="B11" i="12"/>
  <c r="G7" i="1"/>
  <c r="H15" i="1"/>
  <c r="L14" i="1"/>
  <c r="P13" i="1"/>
  <c r="T12" i="1"/>
  <c r="X11" i="1"/>
  <c r="AB10" i="1"/>
  <c r="AF9" i="1"/>
  <c r="AJ8" i="1"/>
  <c r="AM7" i="1"/>
  <c r="AN15" i="1"/>
  <c r="AR14" i="1"/>
  <c r="AV13" i="1"/>
  <c r="AZ12" i="1"/>
  <c r="BD11" i="1"/>
  <c r="BH10" i="1"/>
  <c r="B18" i="16"/>
  <c r="AV18" i="1"/>
  <c r="AP18" i="1"/>
  <c r="BJ18" i="1"/>
  <c r="BD18" i="1"/>
  <c r="AX18" i="1"/>
  <c r="AR18" i="1"/>
  <c r="BF18" i="1"/>
  <c r="AZ18" i="1"/>
  <c r="AT18" i="1"/>
  <c r="AN18" i="1"/>
  <c r="BH18" i="1"/>
  <c r="BB18" i="1"/>
  <c r="B34" i="16"/>
  <c r="AV34" i="1"/>
  <c r="AP34" i="1"/>
  <c r="BJ34" i="1"/>
  <c r="BD34" i="1"/>
  <c r="AX34" i="1"/>
  <c r="AR34" i="1"/>
  <c r="BF34" i="1"/>
  <c r="AZ34" i="1"/>
  <c r="AT34" i="1"/>
  <c r="AN34" i="1"/>
  <c r="BH34" i="1"/>
  <c r="BB34" i="1"/>
  <c r="F18" i="1"/>
  <c r="F26" i="1"/>
  <c r="F34" i="1"/>
  <c r="J23" i="1"/>
  <c r="J31" i="1"/>
  <c r="N20" i="1"/>
  <c r="N28" i="1"/>
  <c r="N36" i="1"/>
  <c r="R17" i="1"/>
  <c r="R25" i="1"/>
  <c r="R33" i="1"/>
  <c r="V22" i="1"/>
  <c r="V30" i="1"/>
  <c r="Z19" i="1"/>
  <c r="Z27" i="1"/>
  <c r="Z35" i="1"/>
  <c r="AC16" i="1"/>
  <c r="AD24" i="1"/>
  <c r="AD32" i="1"/>
  <c r="AH21" i="1"/>
  <c r="AH37" i="1"/>
  <c r="AL18" i="1"/>
  <c r="AL26" i="1"/>
  <c r="AL34" i="1"/>
  <c r="F8" i="1"/>
  <c r="I7" i="1"/>
  <c r="J15" i="1"/>
  <c r="N14" i="1"/>
  <c r="R13" i="1"/>
  <c r="V12" i="1"/>
  <c r="Z11" i="1"/>
  <c r="AD10" i="1"/>
  <c r="AH9" i="1"/>
  <c r="AL8" i="1"/>
  <c r="AO7" i="1"/>
  <c r="AP15" i="1"/>
  <c r="AT14" i="1"/>
  <c r="AX13" i="1"/>
  <c r="BB12" i="1"/>
  <c r="BF11" i="1"/>
  <c r="BJ10" i="1"/>
  <c r="D23" i="1"/>
  <c r="B29" i="16"/>
  <c r="AR29" i="1"/>
  <c r="BF29" i="1"/>
  <c r="AZ29" i="1"/>
  <c r="AT29" i="1"/>
  <c r="AN29" i="1"/>
  <c r="BH29" i="1"/>
  <c r="BB29" i="1"/>
  <c r="AV29" i="1"/>
  <c r="AP29" i="1"/>
  <c r="BJ29" i="1"/>
  <c r="BD29" i="1"/>
  <c r="AX29" i="1"/>
  <c r="H21" i="1"/>
  <c r="H29" i="1"/>
  <c r="H37" i="1"/>
  <c r="L18" i="1"/>
  <c r="L26" i="1"/>
  <c r="L34" i="1"/>
  <c r="P23" i="1"/>
  <c r="P31" i="1"/>
  <c r="T20" i="1"/>
  <c r="T28" i="1"/>
  <c r="T36" i="1"/>
  <c r="X17" i="1"/>
  <c r="X25" i="1"/>
  <c r="X33" i="1"/>
  <c r="AB22" i="1"/>
  <c r="AB30" i="1"/>
  <c r="AF19" i="1"/>
  <c r="AF27" i="1"/>
  <c r="AF35" i="1"/>
  <c r="AI16" i="1"/>
  <c r="AJ24" i="1"/>
  <c r="AJ32" i="1"/>
  <c r="AP35" i="1"/>
  <c r="D11" i="1"/>
  <c r="H8" i="1"/>
  <c r="K7" i="1"/>
  <c r="L15" i="1"/>
  <c r="P14" i="1"/>
  <c r="T13" i="1"/>
  <c r="X12" i="1"/>
  <c r="AB11" i="1"/>
  <c r="AF10" i="1"/>
  <c r="AJ9" i="1"/>
  <c r="AN8" i="1"/>
  <c r="AQ7" i="1"/>
  <c r="AR15" i="1"/>
  <c r="AV14" i="1"/>
  <c r="AZ13" i="1"/>
  <c r="BD12" i="1"/>
  <c r="BH11" i="1"/>
  <c r="B24" i="16"/>
  <c r="BH24" i="1"/>
  <c r="BB24" i="1"/>
  <c r="AV24" i="1"/>
  <c r="BJ24" i="1"/>
  <c r="BD24" i="1"/>
  <c r="AX24" i="1"/>
  <c r="AR24" i="1"/>
  <c r="BF24" i="1"/>
  <c r="AZ24" i="1"/>
  <c r="AT24" i="1"/>
  <c r="F19" i="1"/>
  <c r="F27" i="1"/>
  <c r="I16" i="1"/>
  <c r="J24" i="1"/>
  <c r="J32" i="1"/>
  <c r="N21" i="1"/>
  <c r="N29" i="1"/>
  <c r="N37" i="1"/>
  <c r="R18" i="1"/>
  <c r="R26" i="1"/>
  <c r="R34" i="1"/>
  <c r="V23" i="1"/>
  <c r="V31" i="1"/>
  <c r="Z20" i="1"/>
  <c r="Z28" i="1"/>
  <c r="Z36" i="1"/>
  <c r="AD17" i="1"/>
  <c r="AD25" i="1"/>
  <c r="AD33" i="1"/>
  <c r="AH22" i="1"/>
  <c r="AH30" i="1"/>
  <c r="AL27" i="1"/>
  <c r="AN24" i="1"/>
  <c r="BF12" i="16"/>
  <c r="Z12" i="16"/>
  <c r="BD12" i="16"/>
  <c r="X12" i="16"/>
  <c r="BB12" i="16"/>
  <c r="V12" i="16"/>
  <c r="AZ12" i="16"/>
  <c r="T12" i="16"/>
  <c r="AX12" i="16"/>
  <c r="R12" i="16"/>
  <c r="AV12" i="16"/>
  <c r="P12" i="16"/>
  <c r="AT12" i="16"/>
  <c r="N12" i="16"/>
  <c r="AR12" i="16"/>
  <c r="L12" i="16"/>
  <c r="AP12" i="16"/>
  <c r="J12" i="16"/>
  <c r="AN12" i="16"/>
  <c r="H12" i="16"/>
  <c r="AL12" i="16"/>
  <c r="F12" i="16"/>
  <c r="AJ12" i="16"/>
  <c r="AH12" i="16"/>
  <c r="AF12" i="16"/>
  <c r="BJ12" i="16"/>
  <c r="AD12" i="16"/>
  <c r="D12" i="16"/>
  <c r="BH12" i="16"/>
  <c r="AB12" i="16"/>
  <c r="B12" i="12"/>
  <c r="F9" i="1"/>
  <c r="J8" i="1"/>
  <c r="M7" i="1"/>
  <c r="N15" i="1"/>
  <c r="R14" i="1"/>
  <c r="V13" i="1"/>
  <c r="Z12" i="1"/>
  <c r="AD11" i="1"/>
  <c r="AH10" i="1"/>
  <c r="AL9" i="1"/>
  <c r="AP8" i="1"/>
  <c r="AS7" i="1"/>
  <c r="AT15" i="1"/>
  <c r="AX14" i="1"/>
  <c r="BB13" i="1"/>
  <c r="BF12" i="1"/>
  <c r="BJ11" i="1"/>
  <c r="B19" i="16"/>
  <c r="BJ19" i="1"/>
  <c r="BD19" i="1"/>
  <c r="AX19" i="1"/>
  <c r="AR19" i="1"/>
  <c r="BF19" i="1"/>
  <c r="AZ19" i="1"/>
  <c r="AT19" i="1"/>
  <c r="AN19" i="1"/>
  <c r="BH19" i="1"/>
  <c r="BB19" i="1"/>
  <c r="AV19" i="1"/>
  <c r="B35" i="16"/>
  <c r="BJ35" i="1"/>
  <c r="BD35" i="1"/>
  <c r="AX35" i="1"/>
  <c r="AR35" i="1"/>
  <c r="BF35" i="1"/>
  <c r="AZ35" i="1"/>
  <c r="AT35" i="1"/>
  <c r="AN35" i="1"/>
  <c r="BH35" i="1"/>
  <c r="BB35" i="1"/>
  <c r="AV35" i="1"/>
  <c r="H22" i="1"/>
  <c r="L19" i="1"/>
  <c r="L27" i="1"/>
  <c r="L35" i="1"/>
  <c r="O16" i="1"/>
  <c r="P24" i="1"/>
  <c r="P32" i="1"/>
  <c r="T21" i="1"/>
  <c r="T29" i="1"/>
  <c r="T37" i="1"/>
  <c r="X18" i="1"/>
  <c r="X26" i="1"/>
  <c r="X34" i="1"/>
  <c r="AB23" i="1"/>
  <c r="AB31" i="1"/>
  <c r="AF20" i="1"/>
  <c r="AF28" i="1"/>
  <c r="AF36" i="1"/>
  <c r="AJ17" i="1"/>
  <c r="AJ25" i="1"/>
  <c r="AJ33" i="1"/>
  <c r="AN36" i="1"/>
  <c r="AP25" i="1"/>
  <c r="H9" i="1"/>
  <c r="L8" i="1"/>
  <c r="O7" i="1"/>
  <c r="P15" i="1"/>
  <c r="T14" i="1"/>
  <c r="X13" i="1"/>
  <c r="AB12" i="1"/>
  <c r="AF11" i="1"/>
  <c r="AJ10" i="1"/>
  <c r="AN9" i="1"/>
  <c r="AR8" i="1"/>
  <c r="AU7" i="1"/>
  <c r="AV15" i="1"/>
  <c r="AZ14" i="1"/>
  <c r="BD13" i="1"/>
  <c r="BH12" i="1"/>
  <c r="D24" i="1"/>
  <c r="B30" i="16"/>
  <c r="BF30" i="1"/>
  <c r="AZ30" i="1"/>
  <c r="AT30" i="1"/>
  <c r="AN30" i="1"/>
  <c r="BH30" i="1"/>
  <c r="BB30" i="1"/>
  <c r="AV30" i="1"/>
  <c r="AP30" i="1"/>
  <c r="BJ30" i="1"/>
  <c r="BD30" i="1"/>
  <c r="AX30" i="1"/>
  <c r="AR30" i="1"/>
  <c r="F20" i="1"/>
  <c r="F28" i="1"/>
  <c r="J17" i="1"/>
  <c r="J25" i="1"/>
  <c r="J33" i="1"/>
  <c r="N22" i="1"/>
  <c r="N30" i="1"/>
  <c r="R19" i="1"/>
  <c r="R27" i="1"/>
  <c r="R35" i="1"/>
  <c r="U16" i="1"/>
  <c r="V24" i="1"/>
  <c r="V32" i="1"/>
  <c r="Z21" i="1"/>
  <c r="Z29" i="1"/>
  <c r="Z37" i="1"/>
  <c r="AD18" i="1"/>
  <c r="AD26" i="1"/>
  <c r="AD34" i="1"/>
  <c r="AH23" i="1"/>
  <c r="AH31" i="1"/>
  <c r="AL20" i="1"/>
  <c r="AL28" i="1"/>
  <c r="AL36" i="1"/>
  <c r="D12" i="1"/>
  <c r="F10" i="1"/>
  <c r="J9" i="1"/>
  <c r="N8" i="1"/>
  <c r="Q7" i="1"/>
  <c r="R15" i="1"/>
  <c r="V14" i="1"/>
  <c r="Z13" i="1"/>
  <c r="AD12" i="1"/>
  <c r="AH11" i="1"/>
  <c r="AL10" i="1"/>
  <c r="AP9" i="1"/>
  <c r="AT8" i="1"/>
  <c r="AW7" i="1"/>
  <c r="AX15" i="1"/>
  <c r="BB14" i="1"/>
  <c r="BF13" i="1"/>
  <c r="BJ12" i="1"/>
  <c r="D19" i="1"/>
  <c r="B25" i="16"/>
  <c r="BH25" i="1"/>
  <c r="BB25" i="1"/>
  <c r="AV25" i="1"/>
  <c r="BJ25" i="1"/>
  <c r="BD25" i="1"/>
  <c r="AX25" i="1"/>
  <c r="AR25" i="1"/>
  <c r="BF25" i="1"/>
  <c r="AZ25" i="1"/>
  <c r="AT25" i="1"/>
  <c r="D35" i="1"/>
  <c r="H23" i="1"/>
  <c r="H31" i="1"/>
  <c r="L28" i="1"/>
  <c r="P17" i="1"/>
  <c r="P25" i="1"/>
  <c r="P33" i="1"/>
  <c r="T22" i="1"/>
  <c r="T30" i="1"/>
  <c r="X19" i="1"/>
  <c r="X27" i="1"/>
  <c r="X35" i="1"/>
  <c r="AA16" i="1"/>
  <c r="AB24" i="1"/>
  <c r="AB32" i="1"/>
  <c r="AF21" i="1"/>
  <c r="AF29" i="1"/>
  <c r="AF37" i="1"/>
  <c r="AJ18" i="1"/>
  <c r="AJ26" i="1"/>
  <c r="AJ34" i="1"/>
  <c r="AO16" i="1"/>
  <c r="C7" i="1"/>
  <c r="BB13" i="16"/>
  <c r="V13" i="16"/>
  <c r="AZ13" i="16"/>
  <c r="T13" i="16"/>
  <c r="AX13" i="16"/>
  <c r="R13" i="16"/>
  <c r="AV13" i="16"/>
  <c r="P13" i="16"/>
  <c r="AT13" i="16"/>
  <c r="N13" i="16"/>
  <c r="AR13" i="16"/>
  <c r="L13" i="16"/>
  <c r="AP13" i="16"/>
  <c r="J13" i="16"/>
  <c r="AN13" i="16"/>
  <c r="H13" i="16"/>
  <c r="AL13" i="16"/>
  <c r="F13" i="16"/>
  <c r="AJ13" i="16"/>
  <c r="AH13" i="16"/>
  <c r="AF13" i="16"/>
  <c r="D13" i="16"/>
  <c r="BJ13" i="16"/>
  <c r="AD13" i="16"/>
  <c r="BH13" i="16"/>
  <c r="AB13" i="16"/>
  <c r="BF13" i="16"/>
  <c r="Z13" i="16"/>
  <c r="BD13" i="16"/>
  <c r="X13" i="16"/>
  <c r="B13" i="12"/>
  <c r="H10" i="1"/>
  <c r="L9" i="1"/>
  <c r="P8" i="1"/>
  <c r="S7" i="1"/>
  <c r="T15" i="1"/>
  <c r="X14" i="1"/>
  <c r="AB13" i="1"/>
  <c r="AF12" i="1"/>
  <c r="AJ11" i="1"/>
  <c r="AN10" i="1"/>
  <c r="AR9" i="1"/>
  <c r="AV8" i="1"/>
  <c r="AY7" i="1"/>
  <c r="AZ15" i="1"/>
  <c r="BD14" i="1"/>
  <c r="BH13" i="1"/>
  <c r="B20" i="16"/>
  <c r="BD20" i="1"/>
  <c r="AX20" i="1"/>
  <c r="AR20" i="1"/>
  <c r="BF20" i="1"/>
  <c r="AZ20" i="1"/>
  <c r="AT20" i="1"/>
  <c r="BH20" i="1"/>
  <c r="BB20" i="1"/>
  <c r="AV20" i="1"/>
  <c r="BJ20" i="1"/>
  <c r="D30" i="1"/>
  <c r="B36" i="16"/>
  <c r="BD36" i="1"/>
  <c r="AX36" i="1"/>
  <c r="AR36" i="1"/>
  <c r="BF36" i="1"/>
  <c r="AZ36" i="1"/>
  <c r="AT36" i="1"/>
  <c r="BH36" i="1"/>
  <c r="BB36" i="1"/>
  <c r="AV36" i="1"/>
  <c r="AP36" i="1"/>
  <c r="BJ36" i="1"/>
  <c r="F21" i="1"/>
  <c r="F29" i="1"/>
  <c r="F37" i="1"/>
  <c r="J18" i="1"/>
  <c r="J26" i="1"/>
  <c r="J34" i="1"/>
  <c r="N23" i="1"/>
  <c r="R20" i="1"/>
  <c r="R28" i="1"/>
  <c r="R36" i="1"/>
  <c r="V17" i="1"/>
  <c r="V25" i="1"/>
  <c r="V33" i="1"/>
  <c r="Z22" i="1"/>
  <c r="Z30" i="1"/>
  <c r="AD19" i="1"/>
  <c r="AD27" i="1"/>
  <c r="AD35" i="1"/>
  <c r="AG16" i="1"/>
  <c r="AH24" i="1"/>
  <c r="AH32" i="1"/>
  <c r="AL21" i="1"/>
  <c r="AL29" i="1"/>
  <c r="AL37" i="1"/>
  <c r="AP27" i="1"/>
  <c r="AS7" i="16"/>
  <c r="AP8" i="16"/>
  <c r="M7" i="16"/>
  <c r="J8" i="16"/>
  <c r="AQ7" i="16"/>
  <c r="AN8" i="16"/>
  <c r="K7" i="16"/>
  <c r="H8" i="16"/>
  <c r="AO7" i="16"/>
  <c r="AL8" i="16"/>
  <c r="I7" i="16"/>
  <c r="F8" i="16"/>
  <c r="AM7" i="16"/>
  <c r="AJ8" i="16"/>
  <c r="G7" i="16"/>
  <c r="AK7" i="16"/>
  <c r="AH8" i="16"/>
  <c r="E7" i="16"/>
  <c r="AI7" i="16"/>
  <c r="AF8" i="16"/>
  <c r="BJ8" i="16"/>
  <c r="AG7" i="16"/>
  <c r="AD8" i="16"/>
  <c r="BH8" i="16"/>
  <c r="AE7" i="16"/>
  <c r="AB8" i="16"/>
  <c r="BI7" i="16"/>
  <c r="BF8" i="16"/>
  <c r="AC7" i="16"/>
  <c r="Z8" i="16"/>
  <c r="BG7" i="16"/>
  <c r="BD8" i="16"/>
  <c r="AA7" i="16"/>
  <c r="X8" i="16"/>
  <c r="BE7" i="16"/>
  <c r="BB8" i="16"/>
  <c r="Y7" i="16"/>
  <c r="V8" i="16"/>
  <c r="D8" i="16"/>
  <c r="BC7" i="16"/>
  <c r="AZ8" i="16"/>
  <c r="W7" i="16"/>
  <c r="T8" i="16"/>
  <c r="BA7" i="16"/>
  <c r="AX8" i="16"/>
  <c r="U7" i="16"/>
  <c r="R8" i="16"/>
  <c r="AY7" i="16"/>
  <c r="AV8" i="16"/>
  <c r="S7" i="16"/>
  <c r="P8" i="16"/>
  <c r="C7" i="16"/>
  <c r="AW7" i="16"/>
  <c r="AT8" i="16"/>
  <c r="Q7" i="16"/>
  <c r="N8" i="16"/>
  <c r="AU7" i="16"/>
  <c r="AR8" i="16"/>
  <c r="O7" i="16"/>
  <c r="L8" i="16"/>
  <c r="B8" i="12"/>
  <c r="F11" i="1"/>
  <c r="J10" i="1"/>
  <c r="N9" i="1"/>
  <c r="R8" i="1"/>
  <c r="U7" i="1"/>
  <c r="V15" i="1"/>
  <c r="Z14" i="1"/>
  <c r="AD13" i="1"/>
  <c r="AH12" i="1"/>
  <c r="AL11" i="1"/>
  <c r="AP10" i="1"/>
  <c r="AT9" i="1"/>
  <c r="AX8" i="1"/>
  <c r="BA7" i="1"/>
  <c r="BB15" i="1"/>
  <c r="BF14" i="1"/>
  <c r="BJ13" i="1"/>
  <c r="D25" i="1"/>
  <c r="B31" i="16"/>
  <c r="AZ31" i="1"/>
  <c r="AT31" i="1"/>
  <c r="AN31" i="1"/>
  <c r="BH31" i="1"/>
  <c r="BB31" i="1"/>
  <c r="AV31" i="1"/>
  <c r="AP31" i="1"/>
  <c r="BJ31" i="1"/>
  <c r="BD31" i="1"/>
  <c r="AX31" i="1"/>
  <c r="AR31" i="1"/>
  <c r="BF31" i="1"/>
  <c r="G16" i="1"/>
  <c r="H24" i="1"/>
  <c r="H32" i="1"/>
  <c r="L21" i="1"/>
  <c r="L29" i="1"/>
  <c r="L37" i="1"/>
  <c r="P18" i="1"/>
  <c r="P34" i="1"/>
  <c r="T23" i="1"/>
  <c r="T31" i="1"/>
  <c r="X20" i="1"/>
  <c r="X28" i="1"/>
  <c r="X36" i="1"/>
  <c r="AB17" i="1"/>
  <c r="AB25" i="1"/>
  <c r="AB33" i="1"/>
  <c r="AF22" i="1"/>
  <c r="AF30" i="1"/>
  <c r="AJ19" i="1"/>
  <c r="AJ27" i="1"/>
  <c r="AJ35" i="1"/>
  <c r="AM16" i="1"/>
  <c r="AP17" i="1"/>
  <c r="H11" i="1"/>
  <c r="L10" i="1"/>
  <c r="P9" i="1"/>
  <c r="T8" i="1"/>
  <c r="W7" i="1"/>
  <c r="X15" i="1"/>
  <c r="AB14" i="1"/>
  <c r="AF13" i="1"/>
  <c r="AJ12" i="1"/>
  <c r="AN11" i="1"/>
  <c r="AR10" i="1"/>
  <c r="AV9" i="1"/>
  <c r="AZ8" i="1"/>
  <c r="BC7" i="1"/>
  <c r="BD15" i="1"/>
  <c r="BH14" i="1"/>
  <c r="D20" i="1"/>
  <c r="B26" i="16"/>
  <c r="AV26" i="1"/>
  <c r="AP26" i="1"/>
  <c r="BJ26" i="1"/>
  <c r="BD26" i="1"/>
  <c r="AX26" i="1"/>
  <c r="AR26" i="1"/>
  <c r="BF26" i="1"/>
  <c r="AZ26" i="1"/>
  <c r="AT26" i="1"/>
  <c r="AN26" i="1"/>
  <c r="BH26" i="1"/>
  <c r="BB26" i="1"/>
  <c r="D36" i="1"/>
  <c r="F22" i="1"/>
  <c r="F30" i="1"/>
  <c r="J19" i="1"/>
  <c r="J27" i="1"/>
  <c r="J35" i="1"/>
  <c r="M16" i="1"/>
  <c r="N24" i="1"/>
  <c r="N32" i="1"/>
  <c r="R29" i="1"/>
  <c r="V18" i="1"/>
  <c r="V26" i="1"/>
  <c r="V34" i="1"/>
  <c r="Z23" i="1"/>
  <c r="Z31" i="1"/>
  <c r="AD20" i="1"/>
  <c r="AD28" i="1"/>
  <c r="AD36" i="1"/>
  <c r="AH17" i="1"/>
  <c r="AH25" i="1"/>
  <c r="AH33" i="1"/>
  <c r="AL22" i="1"/>
  <c r="AL30" i="1"/>
  <c r="AN28" i="1"/>
  <c r="AX14" i="16"/>
  <c r="R14" i="16"/>
  <c r="AV14" i="16"/>
  <c r="P14" i="16"/>
  <c r="AT14" i="16"/>
  <c r="N14" i="16"/>
  <c r="AR14" i="16"/>
  <c r="L14" i="16"/>
  <c r="AP14" i="16"/>
  <c r="J14" i="16"/>
  <c r="AN14" i="16"/>
  <c r="H14" i="16"/>
  <c r="AL14" i="16"/>
  <c r="F14" i="16"/>
  <c r="AJ14" i="16"/>
  <c r="AH14" i="16"/>
  <c r="D14" i="16"/>
  <c r="AF14" i="16"/>
  <c r="BJ14" i="16"/>
  <c r="AD14" i="16"/>
  <c r="BH14" i="16"/>
  <c r="AB14" i="16"/>
  <c r="BF14" i="16"/>
  <c r="Z14" i="16"/>
  <c r="BD14" i="16"/>
  <c r="X14" i="16"/>
  <c r="BB14" i="16"/>
  <c r="V14" i="16"/>
  <c r="AZ14" i="16"/>
  <c r="T14" i="16"/>
  <c r="B14" i="12"/>
  <c r="J11" i="1"/>
  <c r="N10" i="1"/>
  <c r="R9" i="1"/>
  <c r="V8" i="1"/>
  <c r="Y7" i="1"/>
  <c r="Z15" i="1"/>
  <c r="AD14" i="1"/>
  <c r="AH13" i="1"/>
  <c r="AL12" i="1"/>
  <c r="AP11" i="1"/>
  <c r="AT10" i="1"/>
  <c r="AX9" i="1"/>
  <c r="BB8" i="1"/>
  <c r="BE7" i="1"/>
  <c r="BF15" i="1"/>
  <c r="BJ14" i="1"/>
  <c r="B21" i="16"/>
  <c r="AR21" i="1"/>
  <c r="BF21" i="1"/>
  <c r="AZ21" i="1"/>
  <c r="AT21" i="1"/>
  <c r="AN21" i="1"/>
  <c r="BH21" i="1"/>
  <c r="BB21" i="1"/>
  <c r="AV21" i="1"/>
  <c r="AP21" i="1"/>
  <c r="BJ21" i="1"/>
  <c r="BD21" i="1"/>
  <c r="AX21" i="1"/>
  <c r="B37" i="16"/>
  <c r="AR37" i="1"/>
  <c r="BF37" i="1"/>
  <c r="AZ37" i="1"/>
  <c r="AT37" i="1"/>
  <c r="AN37" i="1"/>
  <c r="BH37" i="1"/>
  <c r="BB37" i="1"/>
  <c r="AV37" i="1"/>
  <c r="AP37" i="1"/>
  <c r="BJ37" i="1"/>
  <c r="BD37" i="1"/>
  <c r="AX37" i="1"/>
  <c r="H17" i="1"/>
  <c r="H25" i="1"/>
  <c r="H33" i="1"/>
  <c r="L22" i="1"/>
  <c r="L30" i="1"/>
  <c r="P19" i="1"/>
  <c r="P27" i="1"/>
  <c r="P35" i="1"/>
  <c r="S16" i="1"/>
  <c r="T24" i="1"/>
  <c r="T32" i="1"/>
  <c r="X21" i="1"/>
  <c r="X29" i="1"/>
  <c r="X37" i="1"/>
  <c r="AB18" i="1"/>
  <c r="AB26" i="1"/>
  <c r="AB34" i="1"/>
  <c r="AF23" i="1"/>
  <c r="AF31" i="1"/>
  <c r="AJ20" i="1"/>
  <c r="AJ28" i="1"/>
  <c r="AJ36" i="1"/>
  <c r="AN17" i="1"/>
  <c r="AZ37" i="17"/>
  <c r="AT37" i="17"/>
  <c r="AN37" i="17"/>
  <c r="AH37" i="17"/>
  <c r="BH37" i="17"/>
  <c r="BB37" i="17"/>
  <c r="AV37" i="17"/>
  <c r="AP37" i="17"/>
  <c r="AJ37" i="17"/>
  <c r="BJ37" i="17"/>
  <c r="BD37" i="17"/>
  <c r="AX37" i="17"/>
  <c r="AR37" i="17"/>
  <c r="AL37" i="17"/>
  <c r="BF37" i="17"/>
  <c r="AF37" i="17"/>
  <c r="Z37" i="17"/>
  <c r="T37" i="17"/>
  <c r="N37" i="17"/>
  <c r="H37" i="17"/>
  <c r="AB37" i="17"/>
  <c r="V37" i="17"/>
  <c r="P37" i="17"/>
  <c r="J37" i="17"/>
  <c r="D37" i="17"/>
  <c r="AD37" i="17"/>
  <c r="X37" i="17"/>
  <c r="R37" i="17"/>
  <c r="L37" i="17"/>
  <c r="F37" i="17"/>
  <c r="B37" i="19"/>
  <c r="L30" i="12"/>
  <c r="P27" i="12"/>
  <c r="P35" i="12"/>
  <c r="T32" i="12"/>
  <c r="X29" i="12"/>
  <c r="X37" i="12"/>
  <c r="AB26" i="12"/>
  <c r="AB34" i="12"/>
  <c r="AF31" i="12"/>
  <c r="AJ28" i="12"/>
  <c r="AJ36" i="12"/>
  <c r="AN33" i="12"/>
  <c r="AR30" i="12"/>
  <c r="AV27" i="12"/>
  <c r="AV35" i="12"/>
  <c r="AZ32" i="12"/>
  <c r="BD29" i="12"/>
  <c r="BD37" i="12"/>
  <c r="BH26" i="12"/>
  <c r="BH34" i="12"/>
  <c r="AX54" i="17"/>
  <c r="AT54" i="17"/>
  <c r="BH54" i="17"/>
  <c r="AP54" i="17"/>
  <c r="BD54" i="17"/>
  <c r="AL54" i="17"/>
  <c r="AZ54" i="17"/>
  <c r="AV54" i="17"/>
  <c r="BJ54" i="17"/>
  <c r="AR54" i="17"/>
  <c r="BF54" i="17"/>
  <c r="AN54" i="17"/>
  <c r="BB54" i="17"/>
  <c r="L54" i="17"/>
  <c r="Z54" i="17"/>
  <c r="H54" i="17"/>
  <c r="V54" i="17"/>
  <c r="R54" i="17"/>
  <c r="AF54" i="17"/>
  <c r="N54" i="17"/>
  <c r="AB54" i="17"/>
  <c r="D54" i="17"/>
  <c r="AJ54" i="17"/>
  <c r="J54" i="17"/>
  <c r="X54" i="17"/>
  <c r="F54" i="17"/>
  <c r="T54" i="17"/>
  <c r="AH54" i="17"/>
  <c r="P54" i="17"/>
  <c r="AD54" i="17"/>
  <c r="B54" i="19"/>
  <c r="H42" i="12"/>
  <c r="H50" i="12"/>
  <c r="H58" i="12"/>
  <c r="L41" i="12"/>
  <c r="L49" i="12"/>
  <c r="L57" i="12"/>
  <c r="P40" i="12"/>
  <c r="P48" i="12"/>
  <c r="P56" i="12"/>
  <c r="T39" i="12"/>
  <c r="T47" i="12"/>
  <c r="T55" i="12"/>
  <c r="W38" i="12"/>
  <c r="X46" i="12"/>
  <c r="X54" i="12"/>
  <c r="AB45" i="12"/>
  <c r="AB53" i="12"/>
  <c r="AF44" i="12"/>
  <c r="AF52" i="12"/>
  <c r="AJ43" i="12"/>
  <c r="AJ51" i="12"/>
  <c r="AN42" i="12"/>
  <c r="AN50" i="12"/>
  <c r="AN58" i="12"/>
  <c r="AR41" i="12"/>
  <c r="AR49" i="12"/>
  <c r="AR57" i="12"/>
  <c r="AV40" i="12"/>
  <c r="AV48" i="12"/>
  <c r="AV56" i="12"/>
  <c r="AZ39" i="12"/>
  <c r="AZ47" i="12"/>
  <c r="AZ55" i="12"/>
  <c r="BC38" i="12"/>
  <c r="BD46" i="12"/>
  <c r="BD54" i="12"/>
  <c r="BH45" i="12"/>
  <c r="BH53" i="12"/>
  <c r="AV32" i="17"/>
  <c r="AP32" i="17"/>
  <c r="AJ32" i="17"/>
  <c r="BJ32" i="17"/>
  <c r="BD32" i="17"/>
  <c r="AX32" i="17"/>
  <c r="AR32" i="17"/>
  <c r="AL32" i="17"/>
  <c r="BF32" i="17"/>
  <c r="AZ32" i="17"/>
  <c r="AT32" i="17"/>
  <c r="AN32" i="17"/>
  <c r="AH32" i="17"/>
  <c r="BH32" i="17"/>
  <c r="BB32" i="17"/>
  <c r="AB32" i="17"/>
  <c r="V32" i="17"/>
  <c r="P32" i="17"/>
  <c r="J32" i="17"/>
  <c r="AD32" i="17"/>
  <c r="X32" i="17"/>
  <c r="R32" i="17"/>
  <c r="L32" i="17"/>
  <c r="F32" i="17"/>
  <c r="D32" i="17"/>
  <c r="AF32" i="17"/>
  <c r="Z32" i="17"/>
  <c r="T32" i="17"/>
  <c r="N32" i="17"/>
  <c r="H32" i="17"/>
  <c r="B32" i="19"/>
  <c r="F31" i="12"/>
  <c r="J28" i="12"/>
  <c r="J36" i="12"/>
  <c r="N33" i="12"/>
  <c r="R30" i="12"/>
  <c r="V27" i="12"/>
  <c r="V35" i="12"/>
  <c r="Z32" i="12"/>
  <c r="AD29" i="12"/>
  <c r="AD37" i="12"/>
  <c r="AH26" i="12"/>
  <c r="AH34" i="12"/>
  <c r="AL31" i="12"/>
  <c r="AP28" i="12"/>
  <c r="AP36" i="12"/>
  <c r="AT33" i="12"/>
  <c r="AX30" i="12"/>
  <c r="BB27" i="12"/>
  <c r="BB35" i="12"/>
  <c r="BF32" i="12"/>
  <c r="BJ29" i="12"/>
  <c r="BJ37" i="12"/>
  <c r="AL49" i="17"/>
  <c r="AZ49" i="17"/>
  <c r="AV49" i="17"/>
  <c r="BJ49" i="17"/>
  <c r="AR49" i="17"/>
  <c r="BF49" i="17"/>
  <c r="BB49" i="17"/>
  <c r="AJ49" i="17"/>
  <c r="AX49" i="17"/>
  <c r="AT49" i="17"/>
  <c r="BH49" i="17"/>
  <c r="AP49" i="17"/>
  <c r="BD49" i="17"/>
  <c r="AF49" i="17"/>
  <c r="N49" i="17"/>
  <c r="AB49" i="17"/>
  <c r="J49" i="17"/>
  <c r="X49" i="17"/>
  <c r="F49" i="17"/>
  <c r="AN49" i="17"/>
  <c r="T49" i="17"/>
  <c r="AH49" i="17"/>
  <c r="D49" i="17"/>
  <c r="P49" i="17"/>
  <c r="AD49" i="17"/>
  <c r="L49" i="17"/>
  <c r="Z49" i="17"/>
  <c r="H49" i="17"/>
  <c r="V49" i="17"/>
  <c r="R49" i="17"/>
  <c r="B49" i="19"/>
  <c r="I38" i="12"/>
  <c r="J46" i="12"/>
  <c r="J54" i="12"/>
  <c r="N45" i="12"/>
  <c r="N53" i="12"/>
  <c r="R44" i="12"/>
  <c r="R52" i="12"/>
  <c r="V43" i="12"/>
  <c r="V51" i="12"/>
  <c r="Z42" i="12"/>
  <c r="Z50" i="12"/>
  <c r="Z58" i="12"/>
  <c r="AD41" i="12"/>
  <c r="AD49" i="12"/>
  <c r="AD57" i="12"/>
  <c r="AH40" i="12"/>
  <c r="AH48" i="12"/>
  <c r="AH56" i="12"/>
  <c r="AL39" i="12"/>
  <c r="AL47" i="12"/>
  <c r="AL55" i="12"/>
  <c r="AO38" i="12"/>
  <c r="AP46" i="12"/>
  <c r="AP54" i="12"/>
  <c r="AT45" i="12"/>
  <c r="AT53" i="12"/>
  <c r="AX44" i="12"/>
  <c r="AX52" i="12"/>
  <c r="BB43" i="12"/>
  <c r="BB51" i="12"/>
  <c r="BF42" i="12"/>
  <c r="BF50" i="12"/>
  <c r="BF58" i="12"/>
  <c r="BJ41" i="12"/>
  <c r="BJ49" i="12"/>
  <c r="BJ57" i="12"/>
  <c r="AR27" i="17"/>
  <c r="AL27" i="17"/>
  <c r="BF27" i="17"/>
  <c r="AZ27" i="17"/>
  <c r="AT27" i="17"/>
  <c r="AN27" i="17"/>
  <c r="AH27" i="17"/>
  <c r="BH27" i="17"/>
  <c r="BB27" i="17"/>
  <c r="AV27" i="17"/>
  <c r="AP27" i="17"/>
  <c r="AJ27" i="17"/>
  <c r="BJ27" i="17"/>
  <c r="BD27" i="17"/>
  <c r="AX27" i="17"/>
  <c r="X27" i="17"/>
  <c r="R27" i="17"/>
  <c r="L27" i="17"/>
  <c r="F27" i="17"/>
  <c r="AF27" i="17"/>
  <c r="Z27" i="17"/>
  <c r="T27" i="17"/>
  <c r="N27" i="17"/>
  <c r="H27" i="17"/>
  <c r="D27" i="17"/>
  <c r="AB27" i="17"/>
  <c r="V27" i="17"/>
  <c r="P27" i="17"/>
  <c r="J27" i="17"/>
  <c r="AD27" i="17"/>
  <c r="B27" i="19"/>
  <c r="L31" i="12"/>
  <c r="P28" i="12"/>
  <c r="P36" i="12"/>
  <c r="T33" i="12"/>
  <c r="X30" i="12"/>
  <c r="AB27" i="12"/>
  <c r="AB35" i="12"/>
  <c r="AF32" i="12"/>
  <c r="AJ29" i="12"/>
  <c r="AJ37" i="12"/>
  <c r="AN26" i="12"/>
  <c r="AN34" i="12"/>
  <c r="AR31" i="12"/>
  <c r="AV28" i="12"/>
  <c r="AV36" i="12"/>
  <c r="AZ33" i="12"/>
  <c r="BD30" i="12"/>
  <c r="BH27" i="12"/>
  <c r="BH35" i="12"/>
  <c r="BF44" i="17"/>
  <c r="AN44" i="17"/>
  <c r="BB44" i="17"/>
  <c r="AJ44" i="17"/>
  <c r="AX44" i="17"/>
  <c r="AT44" i="17"/>
  <c r="BH44" i="17"/>
  <c r="AP44" i="17"/>
  <c r="BD44" i="17"/>
  <c r="AL44" i="17"/>
  <c r="AZ44" i="17"/>
  <c r="AV44" i="17"/>
  <c r="BJ44" i="17"/>
  <c r="T44" i="17"/>
  <c r="AH44" i="17"/>
  <c r="P44" i="17"/>
  <c r="AD44" i="17"/>
  <c r="L44" i="17"/>
  <c r="Z44" i="17"/>
  <c r="H44" i="17"/>
  <c r="D44" i="17"/>
  <c r="V44" i="17"/>
  <c r="R44" i="17"/>
  <c r="AF44" i="17"/>
  <c r="N44" i="17"/>
  <c r="AR44" i="17"/>
  <c r="AB44" i="17"/>
  <c r="J44" i="17"/>
  <c r="X44" i="17"/>
  <c r="F44" i="17"/>
  <c r="B44" i="19"/>
  <c r="D54" i="12"/>
  <c r="H43" i="12"/>
  <c r="H51" i="12"/>
  <c r="L42" i="12"/>
  <c r="L50" i="12"/>
  <c r="L58" i="12"/>
  <c r="P41" i="12"/>
  <c r="P49" i="12"/>
  <c r="P57" i="12"/>
  <c r="T40" i="12"/>
  <c r="T48" i="12"/>
  <c r="T56" i="12"/>
  <c r="X39" i="12"/>
  <c r="X47" i="12"/>
  <c r="X55" i="12"/>
  <c r="AA38" i="12"/>
  <c r="AB46" i="12"/>
  <c r="AB54" i="12"/>
  <c r="AF45" i="12"/>
  <c r="AF53" i="12"/>
  <c r="AJ44" i="12"/>
  <c r="AJ52" i="12"/>
  <c r="AN43" i="12"/>
  <c r="AN51" i="12"/>
  <c r="AR42" i="12"/>
  <c r="AR50" i="12"/>
  <c r="AR58" i="12"/>
  <c r="AV41" i="12"/>
  <c r="AV49" i="12"/>
  <c r="AV57" i="12"/>
  <c r="AZ40" i="12"/>
  <c r="AZ48" i="12"/>
  <c r="AZ56" i="12"/>
  <c r="BD39" i="12"/>
  <c r="BD47" i="12"/>
  <c r="BD55" i="12"/>
  <c r="BG38" i="12"/>
  <c r="BH46" i="12"/>
  <c r="BH54" i="12"/>
  <c r="D32" i="12"/>
  <c r="F32" i="12"/>
  <c r="J29" i="12"/>
  <c r="J37" i="12"/>
  <c r="N26" i="12"/>
  <c r="N34" i="12"/>
  <c r="R31" i="12"/>
  <c r="V28" i="12"/>
  <c r="V36" i="12"/>
  <c r="Z33" i="12"/>
  <c r="AD30" i="12"/>
  <c r="AH27" i="12"/>
  <c r="AH35" i="12"/>
  <c r="AL32" i="12"/>
  <c r="AP29" i="12"/>
  <c r="AP37" i="12"/>
  <c r="AT26" i="12"/>
  <c r="AT34" i="12"/>
  <c r="AX31" i="12"/>
  <c r="BB28" i="12"/>
  <c r="BB36" i="12"/>
  <c r="BF33" i="12"/>
  <c r="BJ30" i="12"/>
  <c r="AW38" i="17"/>
  <c r="AT39" i="17"/>
  <c r="BH39" i="17"/>
  <c r="AS38" i="17"/>
  <c r="AP39" i="17"/>
  <c r="BG38" i="17"/>
  <c r="BD39" i="17"/>
  <c r="AO38" i="17"/>
  <c r="AL39" i="17"/>
  <c r="BC38" i="17"/>
  <c r="AZ39" i="17"/>
  <c r="AK38" i="17"/>
  <c r="AY38" i="17"/>
  <c r="AV39" i="17"/>
  <c r="BJ39" i="17"/>
  <c r="AU38" i="17"/>
  <c r="AR39" i="17"/>
  <c r="BI38" i="17"/>
  <c r="BF39" i="17"/>
  <c r="AQ38" i="17"/>
  <c r="AN39" i="17"/>
  <c r="BE38" i="17"/>
  <c r="BB39" i="17"/>
  <c r="AM38" i="17"/>
  <c r="AJ39" i="17"/>
  <c r="BA38" i="17"/>
  <c r="AX39" i="17"/>
  <c r="K38" i="17"/>
  <c r="H39" i="17"/>
  <c r="Y38" i="17"/>
  <c r="V39" i="17"/>
  <c r="G38" i="17"/>
  <c r="U38" i="17"/>
  <c r="R39" i="17"/>
  <c r="AF39" i="17"/>
  <c r="AI38" i="17"/>
  <c r="Q38" i="17"/>
  <c r="N39" i="17"/>
  <c r="D39" i="17"/>
  <c r="AE38" i="17"/>
  <c r="AB39" i="17"/>
  <c r="M38" i="17"/>
  <c r="J39" i="17"/>
  <c r="AA38" i="17"/>
  <c r="X39" i="17"/>
  <c r="C38" i="17"/>
  <c r="I38" i="17"/>
  <c r="F39" i="17"/>
  <c r="W38" i="17"/>
  <c r="T39" i="17"/>
  <c r="AH39" i="17"/>
  <c r="E38" i="17"/>
  <c r="S38" i="17"/>
  <c r="P39" i="17"/>
  <c r="AG38" i="17"/>
  <c r="AD39" i="17"/>
  <c r="O38" i="17"/>
  <c r="L39" i="17"/>
  <c r="AC38" i="17"/>
  <c r="Z39" i="17"/>
  <c r="B39" i="19"/>
  <c r="D49" i="12"/>
  <c r="AT55" i="17"/>
  <c r="BH55" i="17"/>
  <c r="AP55" i="17"/>
  <c r="BD55" i="17"/>
  <c r="AL55" i="17"/>
  <c r="AZ55" i="17"/>
  <c r="AV55" i="17"/>
  <c r="BJ55" i="17"/>
  <c r="AR55" i="17"/>
  <c r="BF55" i="17"/>
  <c r="AN55" i="17"/>
  <c r="BB55" i="17"/>
  <c r="AJ55" i="17"/>
  <c r="AX55" i="17"/>
  <c r="H55" i="17"/>
  <c r="V55" i="17"/>
  <c r="R55" i="17"/>
  <c r="AF55" i="17"/>
  <c r="N55" i="17"/>
  <c r="D55" i="17"/>
  <c r="AB55" i="17"/>
  <c r="J55" i="17"/>
  <c r="X55" i="17"/>
  <c r="F55" i="17"/>
  <c r="T55" i="17"/>
  <c r="AH55" i="17"/>
  <c r="P55" i="17"/>
  <c r="AD55" i="17"/>
  <c r="L55" i="17"/>
  <c r="Z55" i="17"/>
  <c r="B55" i="19"/>
  <c r="F40" i="12"/>
  <c r="F48" i="12"/>
  <c r="F56" i="12"/>
  <c r="J39" i="12"/>
  <c r="J47" i="12"/>
  <c r="J55" i="12"/>
  <c r="M38" i="12"/>
  <c r="N46" i="12"/>
  <c r="N54" i="12"/>
  <c r="R45" i="12"/>
  <c r="R53" i="12"/>
  <c r="V44" i="12"/>
  <c r="V52" i="12"/>
  <c r="Z43" i="12"/>
  <c r="Z51" i="12"/>
  <c r="AD42" i="12"/>
  <c r="AD50" i="12"/>
  <c r="AD58" i="12"/>
  <c r="AH41" i="12"/>
  <c r="AH49" i="12"/>
  <c r="AH57" i="12"/>
  <c r="AL40" i="12"/>
  <c r="AL48" i="12"/>
  <c r="AL56" i="12"/>
  <c r="AP39" i="12"/>
  <c r="AP47" i="12"/>
  <c r="AP55" i="12"/>
  <c r="AS38" i="12"/>
  <c r="AT46" i="12"/>
  <c r="AT54" i="12"/>
  <c r="AX45" i="12"/>
  <c r="AX53" i="12"/>
  <c r="BB44" i="12"/>
  <c r="BB52" i="12"/>
  <c r="BF43" i="12"/>
  <c r="BF51" i="12"/>
  <c r="BJ42" i="12"/>
  <c r="BJ50" i="12"/>
  <c r="BJ58" i="12"/>
  <c r="D27" i="12"/>
  <c r="AJ33" i="17"/>
  <c r="BJ33" i="17"/>
  <c r="BD33" i="17"/>
  <c r="AX33" i="17"/>
  <c r="AR33" i="17"/>
  <c r="AL33" i="17"/>
  <c r="BF33" i="17"/>
  <c r="AZ33" i="17"/>
  <c r="AT33" i="17"/>
  <c r="AN33" i="17"/>
  <c r="AH33" i="17"/>
  <c r="BH33" i="17"/>
  <c r="BB33" i="17"/>
  <c r="AV33" i="17"/>
  <c r="AP33" i="17"/>
  <c r="P33" i="17"/>
  <c r="J33" i="17"/>
  <c r="AD33" i="17"/>
  <c r="X33" i="17"/>
  <c r="R33" i="17"/>
  <c r="L33" i="17"/>
  <c r="D33" i="17"/>
  <c r="F33" i="17"/>
  <c r="AF33" i="17"/>
  <c r="Z33" i="17"/>
  <c r="T33" i="17"/>
  <c r="N33" i="17"/>
  <c r="H33" i="17"/>
  <c r="AB33" i="17"/>
  <c r="V33" i="17"/>
  <c r="B33" i="19"/>
  <c r="H27" i="12"/>
  <c r="H35" i="12"/>
  <c r="L32" i="12"/>
  <c r="P29" i="12"/>
  <c r="P37" i="12"/>
  <c r="T26" i="12"/>
  <c r="T34" i="12"/>
  <c r="X31" i="12"/>
  <c r="AB28" i="12"/>
  <c r="AB36" i="12"/>
  <c r="AF33" i="12"/>
  <c r="AJ30" i="12"/>
  <c r="AN27" i="12"/>
  <c r="AN35" i="12"/>
  <c r="AR32" i="12"/>
  <c r="AV29" i="12"/>
  <c r="AV37" i="12"/>
  <c r="AZ26" i="12"/>
  <c r="AZ34" i="12"/>
  <c r="BD31" i="12"/>
  <c r="BH28" i="12"/>
  <c r="BH36" i="12"/>
  <c r="D44" i="12"/>
  <c r="AV50" i="17"/>
  <c r="BJ50" i="17"/>
  <c r="AR50" i="17"/>
  <c r="BF50" i="17"/>
  <c r="AN50" i="17"/>
  <c r="BB50" i="17"/>
  <c r="AX50" i="17"/>
  <c r="AT50" i="17"/>
  <c r="BH50" i="17"/>
  <c r="BD50" i="17"/>
  <c r="AZ50" i="17"/>
  <c r="AL50" i="17"/>
  <c r="AB50" i="17"/>
  <c r="J50" i="17"/>
  <c r="X50" i="17"/>
  <c r="F50" i="17"/>
  <c r="T50" i="17"/>
  <c r="D50" i="17"/>
  <c r="AH50" i="17"/>
  <c r="P50" i="17"/>
  <c r="AD50" i="17"/>
  <c r="L50" i="17"/>
  <c r="Z50" i="17"/>
  <c r="H50" i="17"/>
  <c r="AJ50" i="17"/>
  <c r="V50" i="17"/>
  <c r="R50" i="17"/>
  <c r="AF50" i="17"/>
  <c r="AP50" i="17"/>
  <c r="N50" i="17"/>
  <c r="B50" i="19"/>
  <c r="H44" i="12"/>
  <c r="H52" i="12"/>
  <c r="L43" i="12"/>
  <c r="L51" i="12"/>
  <c r="P42" i="12"/>
  <c r="P50" i="12"/>
  <c r="P58" i="12"/>
  <c r="T41" i="12"/>
  <c r="T49" i="12"/>
  <c r="T57" i="12"/>
  <c r="X40" i="12"/>
  <c r="X48" i="12"/>
  <c r="X56" i="12"/>
  <c r="AB39" i="12"/>
  <c r="AB47" i="12"/>
  <c r="AB55" i="12"/>
  <c r="AE38" i="12"/>
  <c r="AF46" i="12"/>
  <c r="AF54" i="12"/>
  <c r="AJ45" i="12"/>
  <c r="AJ53" i="12"/>
  <c r="AN44" i="12"/>
  <c r="AN52" i="12"/>
  <c r="AR43" i="12"/>
  <c r="AR51" i="12"/>
  <c r="AV42" i="12"/>
  <c r="AV50" i="12"/>
  <c r="AV58" i="12"/>
  <c r="AZ41" i="12"/>
  <c r="AZ49" i="12"/>
  <c r="AZ57" i="12"/>
  <c r="BD40" i="12"/>
  <c r="BD48" i="12"/>
  <c r="BD56" i="12"/>
  <c r="BH39" i="12"/>
  <c r="BH47" i="12"/>
  <c r="BH55" i="12"/>
  <c r="BF28" i="17"/>
  <c r="AZ28" i="17"/>
  <c r="AT28" i="17"/>
  <c r="AN28" i="17"/>
  <c r="AH28" i="17"/>
  <c r="BH28" i="17"/>
  <c r="BB28" i="17"/>
  <c r="AV28" i="17"/>
  <c r="AP28" i="17"/>
  <c r="AJ28" i="17"/>
  <c r="BJ28" i="17"/>
  <c r="BD28" i="17"/>
  <c r="AX28" i="17"/>
  <c r="AR28" i="17"/>
  <c r="L28" i="17"/>
  <c r="F28" i="17"/>
  <c r="AF28" i="17"/>
  <c r="Z28" i="17"/>
  <c r="T28" i="17"/>
  <c r="N28" i="17"/>
  <c r="D28" i="17"/>
  <c r="AL28" i="17"/>
  <c r="H28" i="17"/>
  <c r="AB28" i="17"/>
  <c r="V28" i="17"/>
  <c r="P28" i="17"/>
  <c r="J28" i="17"/>
  <c r="AD28" i="17"/>
  <c r="X28" i="17"/>
  <c r="R28" i="17"/>
  <c r="B28" i="19"/>
  <c r="F33" i="12"/>
  <c r="J30" i="12"/>
  <c r="N27" i="12"/>
  <c r="N35" i="12"/>
  <c r="R32" i="12"/>
  <c r="V29" i="12"/>
  <c r="V37" i="12"/>
  <c r="Z26" i="12"/>
  <c r="Z34" i="12"/>
  <c r="AD31" i="12"/>
  <c r="AH28" i="12"/>
  <c r="AH36" i="12"/>
  <c r="AL33" i="12"/>
  <c r="AP30" i="12"/>
  <c r="AT27" i="12"/>
  <c r="AT35" i="12"/>
  <c r="AX32" i="12"/>
  <c r="BB29" i="12"/>
  <c r="BB37" i="12"/>
  <c r="BF26" i="12"/>
  <c r="BF34" i="12"/>
  <c r="BJ31" i="12"/>
  <c r="D39" i="12"/>
  <c r="BB45" i="17"/>
  <c r="AJ45" i="17"/>
  <c r="AX45" i="17"/>
  <c r="AT45" i="17"/>
  <c r="BH45" i="17"/>
  <c r="AP45" i="17"/>
  <c r="BD45" i="17"/>
  <c r="AL45" i="17"/>
  <c r="AZ45" i="17"/>
  <c r="AV45" i="17"/>
  <c r="BJ45" i="17"/>
  <c r="AR45" i="17"/>
  <c r="BF45" i="17"/>
  <c r="P45" i="17"/>
  <c r="AD45" i="17"/>
  <c r="L45" i="17"/>
  <c r="Z45" i="17"/>
  <c r="D45" i="17"/>
  <c r="H45" i="17"/>
  <c r="V45" i="17"/>
  <c r="R45" i="17"/>
  <c r="AF45" i="17"/>
  <c r="AN45" i="17"/>
  <c r="N45" i="17"/>
  <c r="AB45" i="17"/>
  <c r="J45" i="17"/>
  <c r="X45" i="17"/>
  <c r="F45" i="17"/>
  <c r="T45" i="17"/>
  <c r="AH45" i="17"/>
  <c r="B45" i="19"/>
  <c r="D55" i="12"/>
  <c r="F41" i="12"/>
  <c r="F49" i="12"/>
  <c r="F57" i="12"/>
  <c r="J40" i="12"/>
  <c r="J48" i="12"/>
  <c r="J56" i="12"/>
  <c r="N39" i="12"/>
  <c r="N47" i="12"/>
  <c r="N55" i="12"/>
  <c r="Q38" i="12"/>
  <c r="R46" i="12"/>
  <c r="R54" i="12"/>
  <c r="V45" i="12"/>
  <c r="V53" i="12"/>
  <c r="Z44" i="12"/>
  <c r="Z52" i="12"/>
  <c r="AD43" i="12"/>
  <c r="AD51" i="12"/>
  <c r="AH42" i="12"/>
  <c r="AH50" i="12"/>
  <c r="AH58" i="12"/>
  <c r="AL41" i="12"/>
  <c r="AL49" i="12"/>
  <c r="AL57" i="12"/>
  <c r="AP40" i="12"/>
  <c r="AP48" i="12"/>
  <c r="AP56" i="12"/>
  <c r="AT39" i="12"/>
  <c r="AT47" i="12"/>
  <c r="AT55" i="12"/>
  <c r="AW38" i="12"/>
  <c r="AX46" i="12"/>
  <c r="AX54" i="12"/>
  <c r="BB45" i="12"/>
  <c r="BB53" i="12"/>
  <c r="BF44" i="12"/>
  <c r="BF52" i="12"/>
  <c r="BJ43" i="12"/>
  <c r="BJ51" i="12"/>
  <c r="H28" i="12"/>
  <c r="H36" i="12"/>
  <c r="L33" i="12"/>
  <c r="P30" i="12"/>
  <c r="T27" i="12"/>
  <c r="T35" i="12"/>
  <c r="X32" i="12"/>
  <c r="AB29" i="12"/>
  <c r="AB37" i="12"/>
  <c r="AF26" i="12"/>
  <c r="AF34" i="12"/>
  <c r="AJ31" i="12"/>
  <c r="AN28" i="12"/>
  <c r="AN36" i="12"/>
  <c r="AR33" i="12"/>
  <c r="AV30" i="12"/>
  <c r="AZ27" i="12"/>
  <c r="AZ35" i="12"/>
  <c r="BD32" i="12"/>
  <c r="BH29" i="12"/>
  <c r="BH37" i="12"/>
  <c r="AP40" i="17"/>
  <c r="BD40" i="17"/>
  <c r="AL40" i="17"/>
  <c r="AZ40" i="17"/>
  <c r="AV40" i="17"/>
  <c r="BJ40" i="17"/>
  <c r="AR40" i="17"/>
  <c r="BF40" i="17"/>
  <c r="AN40" i="17"/>
  <c r="BB40" i="17"/>
  <c r="AJ40" i="17"/>
  <c r="AX40" i="17"/>
  <c r="AT40" i="17"/>
  <c r="BH40" i="17"/>
  <c r="R40" i="17"/>
  <c r="AF40" i="17"/>
  <c r="D40" i="17"/>
  <c r="N40" i="17"/>
  <c r="AB40" i="17"/>
  <c r="J40" i="17"/>
  <c r="X40" i="17"/>
  <c r="F40" i="17"/>
  <c r="T40" i="17"/>
  <c r="AH40" i="17"/>
  <c r="P40" i="17"/>
  <c r="AD40" i="17"/>
  <c r="L40" i="17"/>
  <c r="Z40" i="17"/>
  <c r="H40" i="17"/>
  <c r="V40" i="17"/>
  <c r="B40" i="19"/>
  <c r="AP56" i="17"/>
  <c r="BD56" i="17"/>
  <c r="AL56" i="17"/>
  <c r="AZ56" i="17"/>
  <c r="AV56" i="17"/>
  <c r="BJ56" i="17"/>
  <c r="AR56" i="17"/>
  <c r="BF56" i="17"/>
  <c r="AN56" i="17"/>
  <c r="BB56" i="17"/>
  <c r="AJ56" i="17"/>
  <c r="AX56" i="17"/>
  <c r="AT56" i="17"/>
  <c r="BH56" i="17"/>
  <c r="R56" i="17"/>
  <c r="AF56" i="17"/>
  <c r="D56" i="17"/>
  <c r="N56" i="17"/>
  <c r="AB56" i="17"/>
  <c r="J56" i="17"/>
  <c r="X56" i="17"/>
  <c r="F56" i="17"/>
  <c r="T56" i="17"/>
  <c r="AH56" i="17"/>
  <c r="P56" i="17"/>
  <c r="AD56" i="17"/>
  <c r="L56" i="17"/>
  <c r="Z56" i="17"/>
  <c r="H56" i="17"/>
  <c r="V56" i="17"/>
  <c r="B56" i="19"/>
  <c r="H45" i="12"/>
  <c r="H53" i="12"/>
  <c r="L44" i="12"/>
  <c r="L52" i="12"/>
  <c r="P43" i="12"/>
  <c r="P51" i="12"/>
  <c r="T42" i="12"/>
  <c r="T50" i="12"/>
  <c r="T58" i="12"/>
  <c r="X41" i="12"/>
  <c r="X49" i="12"/>
  <c r="X57" i="12"/>
  <c r="AB40" i="12"/>
  <c r="AB48" i="12"/>
  <c r="AB56" i="12"/>
  <c r="AF39" i="12"/>
  <c r="AF47" i="12"/>
  <c r="AF55" i="12"/>
  <c r="AI38" i="12"/>
  <c r="AJ46" i="12"/>
  <c r="AJ54" i="12"/>
  <c r="AN45" i="12"/>
  <c r="AN53" i="12"/>
  <c r="AR44" i="12"/>
  <c r="AR52" i="12"/>
  <c r="AV43" i="12"/>
  <c r="AV51" i="12"/>
  <c r="AZ42" i="12"/>
  <c r="AZ50" i="12"/>
  <c r="AZ58" i="12"/>
  <c r="BD41" i="12"/>
  <c r="BD49" i="12"/>
  <c r="BD57" i="12"/>
  <c r="BH40" i="12"/>
  <c r="BH48" i="12"/>
  <c r="BH56" i="12"/>
  <c r="BD34" i="17"/>
  <c r="AX34" i="17"/>
  <c r="AR34" i="17"/>
  <c r="AL34" i="17"/>
  <c r="BF34" i="17"/>
  <c r="AZ34" i="17"/>
  <c r="AT34" i="17"/>
  <c r="AN34" i="17"/>
  <c r="AH34" i="17"/>
  <c r="BH34" i="17"/>
  <c r="BB34" i="17"/>
  <c r="AV34" i="17"/>
  <c r="AP34" i="17"/>
  <c r="AJ34" i="17"/>
  <c r="BJ34" i="17"/>
  <c r="AD34" i="17"/>
  <c r="X34" i="17"/>
  <c r="R34" i="17"/>
  <c r="D34" i="17"/>
  <c r="L34" i="17"/>
  <c r="F34" i="17"/>
  <c r="AF34" i="17"/>
  <c r="Z34" i="17"/>
  <c r="T34" i="17"/>
  <c r="N34" i="17"/>
  <c r="H34" i="17"/>
  <c r="AB34" i="17"/>
  <c r="V34" i="17"/>
  <c r="P34" i="17"/>
  <c r="J34" i="17"/>
  <c r="B34" i="19"/>
  <c r="F26" i="12"/>
  <c r="F34" i="12"/>
  <c r="J31" i="12"/>
  <c r="N28" i="12"/>
  <c r="N36" i="12"/>
  <c r="R33" i="12"/>
  <c r="V30" i="12"/>
  <c r="Z27" i="12"/>
  <c r="Z35" i="12"/>
  <c r="AD32" i="12"/>
  <c r="AH29" i="12"/>
  <c r="AH37" i="12"/>
  <c r="AL26" i="12"/>
  <c r="AL34" i="12"/>
  <c r="AP31" i="12"/>
  <c r="AT28" i="12"/>
  <c r="AT36" i="12"/>
  <c r="AX33" i="12"/>
  <c r="BB30" i="12"/>
  <c r="BF27" i="12"/>
  <c r="BF35" i="12"/>
  <c r="BJ32" i="12"/>
  <c r="BJ51" i="17"/>
  <c r="AR51" i="17"/>
  <c r="BF51" i="17"/>
  <c r="AN51" i="17"/>
  <c r="BB51" i="17"/>
  <c r="AJ51" i="17"/>
  <c r="AX51" i="17"/>
  <c r="AT51" i="17"/>
  <c r="BH51" i="17"/>
  <c r="AP51" i="17"/>
  <c r="BD51" i="17"/>
  <c r="AZ51" i="17"/>
  <c r="X51" i="17"/>
  <c r="F51" i="17"/>
  <c r="D51" i="17"/>
  <c r="T51" i="17"/>
  <c r="AH51" i="17"/>
  <c r="P51" i="17"/>
  <c r="AD51" i="17"/>
  <c r="AV51" i="17"/>
  <c r="L51" i="17"/>
  <c r="Z51" i="17"/>
  <c r="H51" i="17"/>
  <c r="V51" i="17"/>
  <c r="R51" i="17"/>
  <c r="AF51" i="17"/>
  <c r="N51" i="17"/>
  <c r="AB51" i="17"/>
  <c r="AL51" i="17"/>
  <c r="J51" i="17"/>
  <c r="B51" i="19"/>
  <c r="F42" i="12"/>
  <c r="F50" i="12"/>
  <c r="F58" i="12"/>
  <c r="J41" i="12"/>
  <c r="J49" i="12"/>
  <c r="J57" i="12"/>
  <c r="N40" i="12"/>
  <c r="N48" i="12"/>
  <c r="N56" i="12"/>
  <c r="R39" i="12"/>
  <c r="R47" i="12"/>
  <c r="R55" i="12"/>
  <c r="U38" i="12"/>
  <c r="V46" i="12"/>
  <c r="V54" i="12"/>
  <c r="Z45" i="12"/>
  <c r="Z53" i="12"/>
  <c r="AD44" i="12"/>
  <c r="AD52" i="12"/>
  <c r="AH43" i="12"/>
  <c r="AH51" i="12"/>
  <c r="AL42" i="12"/>
  <c r="AL50" i="12"/>
  <c r="AL58" i="12"/>
  <c r="AP41" i="12"/>
  <c r="AP49" i="12"/>
  <c r="AP57" i="12"/>
  <c r="AT40" i="12"/>
  <c r="AT48" i="12"/>
  <c r="AT56" i="12"/>
  <c r="AX39" i="12"/>
  <c r="AX47" i="12"/>
  <c r="AX55" i="12"/>
  <c r="BA38" i="12"/>
  <c r="BB46" i="12"/>
  <c r="BB54" i="12"/>
  <c r="BF45" i="12"/>
  <c r="BF53" i="12"/>
  <c r="BJ44" i="12"/>
  <c r="BJ52" i="12"/>
  <c r="AZ29" i="17"/>
  <c r="AT29" i="17"/>
  <c r="AN29" i="17"/>
  <c r="AH29" i="17"/>
  <c r="BH29" i="17"/>
  <c r="BB29" i="17"/>
  <c r="AV29" i="17"/>
  <c r="AP29" i="17"/>
  <c r="AJ29" i="17"/>
  <c r="BJ29" i="17"/>
  <c r="BD29" i="17"/>
  <c r="AX29" i="17"/>
  <c r="AR29" i="17"/>
  <c r="AL29" i="17"/>
  <c r="BF29" i="17"/>
  <c r="AF29" i="17"/>
  <c r="Z29" i="17"/>
  <c r="T29" i="17"/>
  <c r="D29" i="17"/>
  <c r="N29" i="17"/>
  <c r="H29" i="17"/>
  <c r="AB29" i="17"/>
  <c r="V29" i="17"/>
  <c r="P29" i="17"/>
  <c r="J29" i="17"/>
  <c r="AD29" i="17"/>
  <c r="X29" i="17"/>
  <c r="R29" i="17"/>
  <c r="L29" i="17"/>
  <c r="F29" i="17"/>
  <c r="B29" i="19"/>
  <c r="H29" i="12"/>
  <c r="H37" i="12"/>
  <c r="L26" i="12"/>
  <c r="L34" i="12"/>
  <c r="P31" i="12"/>
  <c r="T28" i="12"/>
  <c r="T36" i="12"/>
  <c r="X33" i="12"/>
  <c r="AB30" i="12"/>
  <c r="AF27" i="12"/>
  <c r="AF35" i="12"/>
  <c r="AJ32" i="12"/>
  <c r="AN29" i="12"/>
  <c r="AN37" i="12"/>
  <c r="AR26" i="12"/>
  <c r="AR34" i="12"/>
  <c r="AV31" i="12"/>
  <c r="AZ28" i="12"/>
  <c r="AZ36" i="12"/>
  <c r="BD33" i="12"/>
  <c r="BH30" i="12"/>
  <c r="AX46" i="17"/>
  <c r="AT46" i="17"/>
  <c r="BH46" i="17"/>
  <c r="AP46" i="17"/>
  <c r="BD46" i="17"/>
  <c r="AL46" i="17"/>
  <c r="AZ46" i="17"/>
  <c r="AV46" i="17"/>
  <c r="BJ46" i="17"/>
  <c r="AR46" i="17"/>
  <c r="BF46" i="17"/>
  <c r="AN46" i="17"/>
  <c r="BB46" i="17"/>
  <c r="L46" i="17"/>
  <c r="D46" i="17"/>
  <c r="Z46" i="17"/>
  <c r="H46" i="17"/>
  <c r="V46" i="17"/>
  <c r="R46" i="17"/>
  <c r="AF46" i="17"/>
  <c r="N46" i="17"/>
  <c r="AB46" i="17"/>
  <c r="J46" i="17"/>
  <c r="X46" i="17"/>
  <c r="F46" i="17"/>
  <c r="T46" i="17"/>
  <c r="AH46" i="17"/>
  <c r="AJ46" i="17"/>
  <c r="P46" i="17"/>
  <c r="AD46" i="17"/>
  <c r="B46" i="19"/>
  <c r="G38" i="12"/>
  <c r="H46" i="12"/>
  <c r="H54" i="12"/>
  <c r="L45" i="12"/>
  <c r="L53" i="12"/>
  <c r="P44" i="12"/>
  <c r="P52" i="12"/>
  <c r="T43" i="12"/>
  <c r="T51" i="12"/>
  <c r="X42" i="12"/>
  <c r="X50" i="12"/>
  <c r="X58" i="12"/>
  <c r="AB41" i="12"/>
  <c r="AB49" i="12"/>
  <c r="AB57" i="12"/>
  <c r="AF40" i="12"/>
  <c r="AF48" i="12"/>
  <c r="AF56" i="12"/>
  <c r="AJ39" i="12"/>
  <c r="AJ47" i="12"/>
  <c r="AJ55" i="12"/>
  <c r="AM38" i="12"/>
  <c r="AN46" i="12"/>
  <c r="AN54" i="12"/>
  <c r="AR45" i="12"/>
  <c r="AR53" i="12"/>
  <c r="AV44" i="12"/>
  <c r="AV52" i="12"/>
  <c r="AZ43" i="12"/>
  <c r="AZ51" i="12"/>
  <c r="BD42" i="12"/>
  <c r="BD50" i="12"/>
  <c r="BD58" i="12"/>
  <c r="BH41" i="12"/>
  <c r="BH49" i="12"/>
  <c r="BH57" i="12"/>
  <c r="D34" i="12"/>
  <c r="F27" i="12"/>
  <c r="F35" i="12"/>
  <c r="J32" i="12"/>
  <c r="N29" i="12"/>
  <c r="N37" i="12"/>
  <c r="R26" i="12"/>
  <c r="R34" i="12"/>
  <c r="V31" i="12"/>
  <c r="Z28" i="12"/>
  <c r="Z36" i="12"/>
  <c r="AD33" i="12"/>
  <c r="AH30" i="12"/>
  <c r="AL27" i="12"/>
  <c r="AL35" i="12"/>
  <c r="AP32" i="12"/>
  <c r="AT29" i="12"/>
  <c r="AT37" i="12"/>
  <c r="AX26" i="12"/>
  <c r="AX34" i="12"/>
  <c r="BB31" i="12"/>
  <c r="BF28" i="12"/>
  <c r="BF36" i="12"/>
  <c r="BJ33" i="12"/>
  <c r="AL41" i="17"/>
  <c r="AZ41" i="17"/>
  <c r="AV41" i="17"/>
  <c r="BJ41" i="17"/>
  <c r="AR41" i="17"/>
  <c r="BF41" i="17"/>
  <c r="BB41" i="17"/>
  <c r="AJ41" i="17"/>
  <c r="AX41" i="17"/>
  <c r="AT41" i="17"/>
  <c r="BH41" i="17"/>
  <c r="AP41" i="17"/>
  <c r="BD41" i="17"/>
  <c r="AF41" i="17"/>
  <c r="N41" i="17"/>
  <c r="AB41" i="17"/>
  <c r="J41" i="17"/>
  <c r="X41" i="17"/>
  <c r="F41" i="17"/>
  <c r="T41" i="17"/>
  <c r="AH41" i="17"/>
  <c r="P41" i="17"/>
  <c r="AD41" i="17"/>
  <c r="AN41" i="17"/>
  <c r="L41" i="17"/>
  <c r="Z41" i="17"/>
  <c r="H41" i="17"/>
  <c r="V41" i="17"/>
  <c r="R41" i="17"/>
  <c r="D41" i="17"/>
  <c r="B41" i="19"/>
  <c r="AL57" i="17"/>
  <c r="AZ57" i="17"/>
  <c r="AV57" i="17"/>
  <c r="BJ57" i="17"/>
  <c r="AR57" i="17"/>
  <c r="BF57" i="17"/>
  <c r="AN57" i="17"/>
  <c r="BB57" i="17"/>
  <c r="AJ57" i="17"/>
  <c r="AX57" i="17"/>
  <c r="AT57" i="17"/>
  <c r="BH57" i="17"/>
  <c r="AP57" i="17"/>
  <c r="BD57" i="17"/>
  <c r="AF57" i="17"/>
  <c r="N57" i="17"/>
  <c r="AB57" i="17"/>
  <c r="J57" i="17"/>
  <c r="X57" i="17"/>
  <c r="F57" i="17"/>
  <c r="T57" i="17"/>
  <c r="AH57" i="17"/>
  <c r="P57" i="17"/>
  <c r="AD57" i="17"/>
  <c r="L57" i="17"/>
  <c r="Z57" i="17"/>
  <c r="H57" i="17"/>
  <c r="V57" i="17"/>
  <c r="R57" i="17"/>
  <c r="D57" i="17"/>
  <c r="B57" i="19"/>
  <c r="F43" i="12"/>
  <c r="F51" i="12"/>
  <c r="J42" i="12"/>
  <c r="J50" i="12"/>
  <c r="J58" i="12"/>
  <c r="N41" i="12"/>
  <c r="N49" i="12"/>
  <c r="N57" i="12"/>
  <c r="R40" i="12"/>
  <c r="R48" i="12"/>
  <c r="R56" i="12"/>
  <c r="V39" i="12"/>
  <c r="V47" i="12"/>
  <c r="V55" i="12"/>
  <c r="Y38" i="12"/>
  <c r="Z46" i="12"/>
  <c r="Z54" i="12"/>
  <c r="AD45" i="12"/>
  <c r="AD53" i="12"/>
  <c r="AH44" i="12"/>
  <c r="AH52" i="12"/>
  <c r="AL43" i="12"/>
  <c r="AL51" i="12"/>
  <c r="AP42" i="12"/>
  <c r="AP50" i="12"/>
  <c r="AP58" i="12"/>
  <c r="AT41" i="12"/>
  <c r="AT49" i="12"/>
  <c r="AT57" i="12"/>
  <c r="AX40" i="12"/>
  <c r="AX48" i="12"/>
  <c r="AX56" i="12"/>
  <c r="BB39" i="12"/>
  <c r="BB47" i="12"/>
  <c r="BB55" i="12"/>
  <c r="BE38" i="12"/>
  <c r="BF46" i="12"/>
  <c r="BF54" i="12"/>
  <c r="BJ45" i="12"/>
  <c r="BJ53" i="12"/>
  <c r="AR35" i="17"/>
  <c r="AL35" i="17"/>
  <c r="BF35" i="17"/>
  <c r="AZ35" i="17"/>
  <c r="AT35" i="17"/>
  <c r="AN35" i="17"/>
  <c r="AH35" i="17"/>
  <c r="BH35" i="17"/>
  <c r="BB35" i="17"/>
  <c r="AV35" i="17"/>
  <c r="AP35" i="17"/>
  <c r="AJ35" i="17"/>
  <c r="BJ35" i="17"/>
  <c r="BD35" i="17"/>
  <c r="AX35" i="17"/>
  <c r="X35" i="17"/>
  <c r="D35" i="17"/>
  <c r="R35" i="17"/>
  <c r="L35" i="17"/>
  <c r="F35" i="17"/>
  <c r="AF35" i="17"/>
  <c r="Z35" i="17"/>
  <c r="T35" i="17"/>
  <c r="N35" i="17"/>
  <c r="H35" i="17"/>
  <c r="AB35" i="17"/>
  <c r="V35" i="17"/>
  <c r="P35" i="17"/>
  <c r="J35" i="17"/>
  <c r="AD35" i="17"/>
  <c r="B35" i="19"/>
  <c r="L27" i="12"/>
  <c r="L35" i="12"/>
  <c r="P32" i="12"/>
  <c r="T29" i="12"/>
  <c r="T37" i="12"/>
  <c r="X26" i="12"/>
  <c r="X34" i="12"/>
  <c r="AB31" i="12"/>
  <c r="AF28" i="12"/>
  <c r="AF36" i="12"/>
  <c r="AJ33" i="12"/>
  <c r="AN30" i="12"/>
  <c r="AR27" i="12"/>
  <c r="AR35" i="12"/>
  <c r="AV32" i="12"/>
  <c r="AZ29" i="12"/>
  <c r="AZ37" i="12"/>
  <c r="BD26" i="12"/>
  <c r="BD34" i="12"/>
  <c r="BH31" i="12"/>
  <c r="D46" i="12"/>
  <c r="BF52" i="17"/>
  <c r="AN52" i="17"/>
  <c r="BB52" i="17"/>
  <c r="AJ52" i="17"/>
  <c r="AX52" i="17"/>
  <c r="AT52" i="17"/>
  <c r="BH52" i="17"/>
  <c r="AP52" i="17"/>
  <c r="BD52" i="17"/>
  <c r="AL52" i="17"/>
  <c r="AZ52" i="17"/>
  <c r="AV52" i="17"/>
  <c r="BJ52" i="17"/>
  <c r="T52" i="17"/>
  <c r="AH52" i="17"/>
  <c r="P52" i="17"/>
  <c r="AD52" i="17"/>
  <c r="L52" i="17"/>
  <c r="Z52" i="17"/>
  <c r="H52" i="17"/>
  <c r="V52" i="17"/>
  <c r="R52" i="17"/>
  <c r="AF52" i="17"/>
  <c r="AR52" i="17"/>
  <c r="N52" i="17"/>
  <c r="AB52" i="17"/>
  <c r="J52" i="17"/>
  <c r="X52" i="17"/>
  <c r="D52" i="17"/>
  <c r="F52" i="17"/>
  <c r="B52" i="19"/>
  <c r="H39" i="12"/>
  <c r="H47" i="12"/>
  <c r="H55" i="12"/>
  <c r="K38" i="12"/>
  <c r="L46" i="12"/>
  <c r="L54" i="12"/>
  <c r="P45" i="12"/>
  <c r="P53" i="12"/>
  <c r="T44" i="12"/>
  <c r="T52" i="12"/>
  <c r="X43" i="12"/>
  <c r="X51" i="12"/>
  <c r="AB42" i="12"/>
  <c r="AB50" i="12"/>
  <c r="AB58" i="12"/>
  <c r="AF41" i="12"/>
  <c r="AF49" i="12"/>
  <c r="AF57" i="12"/>
  <c r="AJ40" i="12"/>
  <c r="AJ48" i="12"/>
  <c r="AJ56" i="12"/>
  <c r="AN39" i="12"/>
  <c r="AN47" i="12"/>
  <c r="AN55" i="12"/>
  <c r="AQ38" i="12"/>
  <c r="AR46" i="12"/>
  <c r="AR54" i="12"/>
  <c r="AV45" i="12"/>
  <c r="AV53" i="12"/>
  <c r="AZ44" i="12"/>
  <c r="AZ52" i="12"/>
  <c r="BD43" i="12"/>
  <c r="BD51" i="12"/>
  <c r="BH42" i="12"/>
  <c r="BH50" i="12"/>
  <c r="BH58" i="12"/>
  <c r="AN30" i="17"/>
  <c r="AH30" i="17"/>
  <c r="BH30" i="17"/>
  <c r="BB30" i="17"/>
  <c r="AV30" i="17"/>
  <c r="AP30" i="17"/>
  <c r="AJ30" i="17"/>
  <c r="BJ30" i="17"/>
  <c r="BD30" i="17"/>
  <c r="AX30" i="17"/>
  <c r="AR30" i="17"/>
  <c r="AL30" i="17"/>
  <c r="BF30" i="17"/>
  <c r="AZ30" i="17"/>
  <c r="AT30" i="17"/>
  <c r="T30" i="17"/>
  <c r="N30" i="17"/>
  <c r="H30" i="17"/>
  <c r="AB30" i="17"/>
  <c r="V30" i="17"/>
  <c r="P30" i="17"/>
  <c r="J30" i="17"/>
  <c r="AD30" i="17"/>
  <c r="X30" i="17"/>
  <c r="R30" i="17"/>
  <c r="L30" i="17"/>
  <c r="F30" i="17"/>
  <c r="AF30" i="17"/>
  <c r="Z30" i="17"/>
  <c r="D30" i="17"/>
  <c r="B30" i="19"/>
  <c r="F28" i="12"/>
  <c r="F36" i="12"/>
  <c r="J33" i="12"/>
  <c r="N30" i="12"/>
  <c r="R27" i="12"/>
  <c r="R35" i="12"/>
  <c r="V32" i="12"/>
  <c r="Z29" i="12"/>
  <c r="Z37" i="12"/>
  <c r="AD26" i="12"/>
  <c r="AD34" i="12"/>
  <c r="AH31" i="12"/>
  <c r="AL28" i="12"/>
  <c r="AL36" i="12"/>
  <c r="AP33" i="12"/>
  <c r="AT30" i="12"/>
  <c r="AX27" i="12"/>
  <c r="AX35" i="12"/>
  <c r="BB32" i="12"/>
  <c r="BF29" i="12"/>
  <c r="BF37" i="12"/>
  <c r="BJ26" i="12"/>
  <c r="BJ34" i="12"/>
  <c r="D41" i="12"/>
  <c r="AT47" i="17"/>
  <c r="BH47" i="17"/>
  <c r="AP47" i="17"/>
  <c r="BD47" i="17"/>
  <c r="AL47" i="17"/>
  <c r="AZ47" i="17"/>
  <c r="AV47" i="17"/>
  <c r="BJ47" i="17"/>
  <c r="AR47" i="17"/>
  <c r="BF47" i="17"/>
  <c r="AN47" i="17"/>
  <c r="BB47" i="17"/>
  <c r="AJ47" i="17"/>
  <c r="AX47" i="17"/>
  <c r="H47" i="17"/>
  <c r="V47" i="17"/>
  <c r="R47" i="17"/>
  <c r="AF47" i="17"/>
  <c r="N47" i="17"/>
  <c r="AB47" i="17"/>
  <c r="J47" i="17"/>
  <c r="X47" i="17"/>
  <c r="F47" i="17"/>
  <c r="T47" i="17"/>
  <c r="AH47" i="17"/>
  <c r="P47" i="17"/>
  <c r="AD47" i="17"/>
  <c r="D47" i="17"/>
  <c r="L47" i="17"/>
  <c r="Z47" i="17"/>
  <c r="B47" i="19"/>
  <c r="D57" i="12"/>
  <c r="F44" i="12"/>
  <c r="F52" i="12"/>
  <c r="J43" i="12"/>
  <c r="J51" i="12"/>
  <c r="N42" i="12"/>
  <c r="N50" i="12"/>
  <c r="N58" i="12"/>
  <c r="R41" i="12"/>
  <c r="R49" i="12"/>
  <c r="R57" i="12"/>
  <c r="V40" i="12"/>
  <c r="V48" i="12"/>
  <c r="V56" i="12"/>
  <c r="Z39" i="12"/>
  <c r="Z47" i="12"/>
  <c r="Z55" i="12"/>
  <c r="AC38" i="12"/>
  <c r="AD46" i="12"/>
  <c r="AD54" i="12"/>
  <c r="AH45" i="12"/>
  <c r="AH53" i="12"/>
  <c r="AL44" i="12"/>
  <c r="AL52" i="12"/>
  <c r="AP43" i="12"/>
  <c r="AP51" i="12"/>
  <c r="AT42" i="12"/>
  <c r="AT50" i="12"/>
  <c r="AT58" i="12"/>
  <c r="AX41" i="12"/>
  <c r="AX49" i="12"/>
  <c r="AX57" i="12"/>
  <c r="BB40" i="12"/>
  <c r="BB48" i="12"/>
  <c r="BB56" i="12"/>
  <c r="BF39" i="12"/>
  <c r="BF47" i="12"/>
  <c r="BF55" i="12"/>
  <c r="BI38" i="12"/>
  <c r="BJ46" i="12"/>
  <c r="BJ54" i="12"/>
  <c r="H31" i="12"/>
  <c r="L28" i="12"/>
  <c r="L36" i="12"/>
  <c r="P33" i="12"/>
  <c r="T30" i="12"/>
  <c r="X27" i="12"/>
  <c r="X35" i="12"/>
  <c r="AB32" i="12"/>
  <c r="AF29" i="12"/>
  <c r="AF37" i="12"/>
  <c r="AJ26" i="12"/>
  <c r="AJ34" i="12"/>
  <c r="AN31" i="12"/>
  <c r="AR28" i="12"/>
  <c r="AR36" i="12"/>
  <c r="AV33" i="12"/>
  <c r="AZ30" i="12"/>
  <c r="BD27" i="12"/>
  <c r="BD35" i="12"/>
  <c r="BH32" i="12"/>
  <c r="AV42" i="17"/>
  <c r="BJ42" i="17"/>
  <c r="AR42" i="17"/>
  <c r="BF42" i="17"/>
  <c r="AN42" i="17"/>
  <c r="BB42" i="17"/>
  <c r="AX42" i="17"/>
  <c r="AT42" i="17"/>
  <c r="BH42" i="17"/>
  <c r="BD42" i="17"/>
  <c r="AZ42" i="17"/>
  <c r="AB42" i="17"/>
  <c r="AP42" i="17"/>
  <c r="AJ42" i="17"/>
  <c r="J42" i="17"/>
  <c r="X42" i="17"/>
  <c r="F42" i="17"/>
  <c r="AL42" i="17"/>
  <c r="T42" i="17"/>
  <c r="AH42" i="17"/>
  <c r="P42" i="17"/>
  <c r="AD42" i="17"/>
  <c r="L42" i="17"/>
  <c r="Z42" i="17"/>
  <c r="H42" i="17"/>
  <c r="V42" i="17"/>
  <c r="D42" i="17"/>
  <c r="R42" i="17"/>
  <c r="AF42" i="17"/>
  <c r="N42" i="17"/>
  <c r="B42" i="19"/>
  <c r="D52" i="12"/>
  <c r="AV58" i="17"/>
  <c r="BJ58" i="17"/>
  <c r="AR58" i="17"/>
  <c r="BF58" i="17"/>
  <c r="AN58" i="17"/>
  <c r="BB58" i="17"/>
  <c r="AX58" i="17"/>
  <c r="AT58" i="17"/>
  <c r="BH58" i="17"/>
  <c r="BD58" i="17"/>
  <c r="AZ58" i="17"/>
  <c r="AB58" i="17"/>
  <c r="J58" i="17"/>
  <c r="X58" i="17"/>
  <c r="F58" i="17"/>
  <c r="T58" i="17"/>
  <c r="AJ58" i="17"/>
  <c r="AH58" i="17"/>
  <c r="P58" i="17"/>
  <c r="AD58" i="17"/>
  <c r="L58" i="17"/>
  <c r="Z58" i="17"/>
  <c r="H58" i="17"/>
  <c r="V58" i="17"/>
  <c r="AL58" i="17"/>
  <c r="D58" i="17"/>
  <c r="AP58" i="17"/>
  <c r="R58" i="17"/>
  <c r="AF58" i="17"/>
  <c r="N58" i="17"/>
  <c r="B58" i="19"/>
  <c r="H40" i="12"/>
  <c r="H48" i="12"/>
  <c r="H56" i="12"/>
  <c r="L39" i="12"/>
  <c r="L47" i="12"/>
  <c r="L55" i="12"/>
  <c r="O38" i="12"/>
  <c r="P46" i="12"/>
  <c r="P54" i="12"/>
  <c r="T45" i="12"/>
  <c r="T53" i="12"/>
  <c r="X44" i="12"/>
  <c r="X52" i="12"/>
  <c r="AB43" i="12"/>
  <c r="AB51" i="12"/>
  <c r="AF42" i="12"/>
  <c r="AF50" i="12"/>
  <c r="AF58" i="12"/>
  <c r="AJ41" i="12"/>
  <c r="AJ49" i="12"/>
  <c r="AJ57" i="12"/>
  <c r="AN40" i="12"/>
  <c r="AN48" i="12"/>
  <c r="AN56" i="12"/>
  <c r="AR39" i="12"/>
  <c r="AR47" i="12"/>
  <c r="AR55" i="12"/>
  <c r="AU38" i="12"/>
  <c r="AV46" i="12"/>
  <c r="AV54" i="12"/>
  <c r="AZ45" i="12"/>
  <c r="AZ53" i="12"/>
  <c r="BD44" i="12"/>
  <c r="BD52" i="12"/>
  <c r="BH43" i="12"/>
  <c r="BH51" i="12"/>
  <c r="D30" i="12"/>
  <c r="BF36" i="17"/>
  <c r="AZ36" i="17"/>
  <c r="AT36" i="17"/>
  <c r="AN36" i="17"/>
  <c r="AH36" i="17"/>
  <c r="BH36" i="17"/>
  <c r="BB36" i="17"/>
  <c r="AV36" i="17"/>
  <c r="AP36" i="17"/>
  <c r="AJ36" i="17"/>
  <c r="BJ36" i="17"/>
  <c r="BD36" i="17"/>
  <c r="AX36" i="17"/>
  <c r="AR36" i="17"/>
  <c r="L36" i="17"/>
  <c r="F36" i="17"/>
  <c r="AF36" i="17"/>
  <c r="Z36" i="17"/>
  <c r="T36" i="17"/>
  <c r="AL36" i="17"/>
  <c r="N36" i="17"/>
  <c r="H36" i="17"/>
  <c r="AB36" i="17"/>
  <c r="V36" i="17"/>
  <c r="P36" i="17"/>
  <c r="J36" i="17"/>
  <c r="AD36" i="17"/>
  <c r="D36" i="17"/>
  <c r="X36" i="17"/>
  <c r="R36" i="17"/>
  <c r="B36" i="19"/>
  <c r="F29" i="12"/>
  <c r="F37" i="12"/>
  <c r="J26" i="12"/>
  <c r="J34" i="12"/>
  <c r="N31" i="12"/>
  <c r="R28" i="12"/>
  <c r="R36" i="12"/>
  <c r="V33" i="12"/>
  <c r="Z30" i="12"/>
  <c r="AD27" i="12"/>
  <c r="AD35" i="12"/>
  <c r="AH32" i="12"/>
  <c r="AL29" i="12"/>
  <c r="AL37" i="12"/>
  <c r="AP26" i="12"/>
  <c r="AP34" i="12"/>
  <c r="AT31" i="12"/>
  <c r="AX28" i="12"/>
  <c r="AX36" i="12"/>
  <c r="BB33" i="12"/>
  <c r="BF30" i="12"/>
  <c r="BJ27" i="12"/>
  <c r="BJ35" i="12"/>
  <c r="BB53" i="17"/>
  <c r="AJ53" i="17"/>
  <c r="AX53" i="17"/>
  <c r="AT53" i="17"/>
  <c r="BH53" i="17"/>
  <c r="AP53" i="17"/>
  <c r="BD53" i="17"/>
  <c r="AL53" i="17"/>
  <c r="AZ53" i="17"/>
  <c r="AV53" i="17"/>
  <c r="BJ53" i="17"/>
  <c r="AR53" i="17"/>
  <c r="BF53" i="17"/>
  <c r="P53" i="17"/>
  <c r="AD53" i="17"/>
  <c r="L53" i="17"/>
  <c r="Z53" i="17"/>
  <c r="H53" i="17"/>
  <c r="AN53" i="17"/>
  <c r="V53" i="17"/>
  <c r="R53" i="17"/>
  <c r="AF53" i="17"/>
  <c r="N53" i="17"/>
  <c r="AB53" i="17"/>
  <c r="J53" i="17"/>
  <c r="D53" i="17"/>
  <c r="X53" i="17"/>
  <c r="F53" i="17"/>
  <c r="T53" i="17"/>
  <c r="AH53" i="17"/>
  <c r="B53" i="19"/>
  <c r="F45" i="12"/>
  <c r="F53" i="12"/>
  <c r="J44" i="12"/>
  <c r="J52" i="12"/>
  <c r="N43" i="12"/>
  <c r="N51" i="12"/>
  <c r="R42" i="12"/>
  <c r="R50" i="12"/>
  <c r="R58" i="12"/>
  <c r="V41" i="12"/>
  <c r="V49" i="12"/>
  <c r="V57" i="12"/>
  <c r="Z40" i="12"/>
  <c r="Z48" i="12"/>
  <c r="Z56" i="12"/>
  <c r="AD39" i="12"/>
  <c r="AD47" i="12"/>
  <c r="AD55" i="12"/>
  <c r="AG38" i="12"/>
  <c r="AH46" i="12"/>
  <c r="AH54" i="12"/>
  <c r="AL45" i="12"/>
  <c r="AL53" i="12"/>
  <c r="AP44" i="12"/>
  <c r="AP52" i="12"/>
  <c r="AT43" i="12"/>
  <c r="AT51" i="12"/>
  <c r="AX42" i="12"/>
  <c r="AX50" i="12"/>
  <c r="AX58" i="12"/>
  <c r="BB41" i="12"/>
  <c r="BB49" i="12"/>
  <c r="BB57" i="12"/>
  <c r="BF40" i="12"/>
  <c r="BF48" i="12"/>
  <c r="BF56" i="12"/>
  <c r="BJ39" i="12"/>
  <c r="BJ47" i="12"/>
  <c r="BJ55" i="12"/>
  <c r="BH31" i="17"/>
  <c r="BB31" i="17"/>
  <c r="AV31" i="17"/>
  <c r="AP31" i="17"/>
  <c r="AJ31" i="17"/>
  <c r="BJ31" i="17"/>
  <c r="BD31" i="17"/>
  <c r="AX31" i="17"/>
  <c r="AR31" i="17"/>
  <c r="AL31" i="17"/>
  <c r="BF31" i="17"/>
  <c r="AZ31" i="17"/>
  <c r="AT31" i="17"/>
  <c r="AN31" i="17"/>
  <c r="H31" i="17"/>
  <c r="AB31" i="17"/>
  <c r="V31" i="17"/>
  <c r="P31" i="17"/>
  <c r="J31" i="17"/>
  <c r="AD31" i="17"/>
  <c r="X31" i="17"/>
  <c r="R31" i="17"/>
  <c r="L31" i="17"/>
  <c r="AH31" i="17"/>
  <c r="F31" i="17"/>
  <c r="AF31" i="17"/>
  <c r="D31" i="17"/>
  <c r="Z31" i="17"/>
  <c r="T31" i="17"/>
  <c r="N31" i="17"/>
  <c r="B31" i="19"/>
  <c r="H32" i="12"/>
  <c r="L29" i="12"/>
  <c r="L37" i="12"/>
  <c r="P26" i="12"/>
  <c r="P34" i="12"/>
  <c r="T31" i="12"/>
  <c r="X28" i="12"/>
  <c r="X36" i="12"/>
  <c r="AB33" i="12"/>
  <c r="AF30" i="12"/>
  <c r="AJ27" i="12"/>
  <c r="AJ35" i="12"/>
  <c r="AN32" i="12"/>
  <c r="AR29" i="12"/>
  <c r="AR37" i="12"/>
  <c r="AV26" i="12"/>
  <c r="AV34" i="12"/>
  <c r="AZ31" i="12"/>
  <c r="BD28" i="12"/>
  <c r="BD36" i="12"/>
  <c r="BH33" i="12"/>
  <c r="D42" i="12"/>
  <c r="AP48" i="17"/>
  <c r="BD48" i="17"/>
  <c r="AL48" i="17"/>
  <c r="AZ48" i="17"/>
  <c r="AV48" i="17"/>
  <c r="BJ48" i="17"/>
  <c r="AR48" i="17"/>
  <c r="BF48" i="17"/>
  <c r="AN48" i="17"/>
  <c r="BB48" i="17"/>
  <c r="AJ48" i="17"/>
  <c r="AX48" i="17"/>
  <c r="AT48" i="17"/>
  <c r="BH48" i="17"/>
  <c r="R48" i="17"/>
  <c r="AF48" i="17"/>
  <c r="N48" i="17"/>
  <c r="AB48" i="17"/>
  <c r="J48" i="17"/>
  <c r="X48" i="17"/>
  <c r="F48" i="17"/>
  <c r="T48" i="17"/>
  <c r="AH48" i="17"/>
  <c r="P48" i="17"/>
  <c r="D48" i="17"/>
  <c r="AD48" i="17"/>
  <c r="L48" i="17"/>
  <c r="Z48" i="17"/>
  <c r="H48" i="17"/>
  <c r="V48" i="17"/>
  <c r="B48" i="19"/>
  <c r="D58" i="12"/>
  <c r="H41" i="12"/>
  <c r="H49" i="12"/>
  <c r="H57" i="12"/>
  <c r="L40" i="12"/>
  <c r="L48" i="12"/>
  <c r="L56" i="12"/>
  <c r="P39" i="12"/>
  <c r="P47" i="12"/>
  <c r="P55" i="12"/>
  <c r="S38" i="12"/>
  <c r="T46" i="12"/>
  <c r="T54" i="12"/>
  <c r="X45" i="12"/>
  <c r="X53" i="12"/>
  <c r="AB44" i="12"/>
  <c r="AB52" i="12"/>
  <c r="AF43" i="12"/>
  <c r="AF51" i="12"/>
  <c r="AJ42" i="12"/>
  <c r="AJ50" i="12"/>
  <c r="AJ58" i="12"/>
  <c r="AN41" i="12"/>
  <c r="AN49" i="12"/>
  <c r="AN57" i="12"/>
  <c r="AR40" i="12"/>
  <c r="AR48" i="12"/>
  <c r="AR56" i="12"/>
  <c r="AV39" i="12"/>
  <c r="AV47" i="12"/>
  <c r="AV55" i="12"/>
  <c r="AY38" i="12"/>
  <c r="AZ46" i="12"/>
  <c r="AZ54" i="12"/>
  <c r="BD45" i="12"/>
  <c r="BD53" i="12"/>
  <c r="BH44" i="12"/>
  <c r="BH52" i="12"/>
  <c r="BD26" i="17"/>
  <c r="AX26" i="17"/>
  <c r="AR26" i="17"/>
  <c r="AL26" i="17"/>
  <c r="BF26" i="17"/>
  <c r="AZ26" i="17"/>
  <c r="AT26" i="17"/>
  <c r="AN26" i="17"/>
  <c r="AH26" i="17"/>
  <c r="BH26" i="17"/>
  <c r="BB26" i="17"/>
  <c r="AV26" i="17"/>
  <c r="AP26" i="17"/>
  <c r="AJ26" i="17"/>
  <c r="BJ26" i="17"/>
  <c r="AD26" i="17"/>
  <c r="X26" i="17"/>
  <c r="R26" i="17"/>
  <c r="L26" i="17"/>
  <c r="F26" i="17"/>
  <c r="AF26" i="17"/>
  <c r="Z26" i="17"/>
  <c r="T26" i="17"/>
  <c r="N26" i="17"/>
  <c r="H26" i="17"/>
  <c r="D26" i="17"/>
  <c r="AB26" i="17"/>
  <c r="V26" i="17"/>
  <c r="P26" i="17"/>
  <c r="J26" i="17"/>
  <c r="B26" i="19"/>
  <c r="F30" i="12"/>
  <c r="J27" i="12"/>
  <c r="J35" i="12"/>
  <c r="N32" i="12"/>
  <c r="R29" i="12"/>
  <c r="R37" i="12"/>
  <c r="V26" i="12"/>
  <c r="V34" i="12"/>
  <c r="Z31" i="12"/>
  <c r="AD28" i="12"/>
  <c r="AD36" i="12"/>
  <c r="AH33" i="12"/>
  <c r="AL30" i="12"/>
  <c r="AP27" i="12"/>
  <c r="AP35" i="12"/>
  <c r="AT32" i="12"/>
  <c r="AX29" i="12"/>
  <c r="AX37" i="12"/>
  <c r="BB26" i="12"/>
  <c r="BB34" i="12"/>
  <c r="BF31" i="12"/>
  <c r="BJ28" i="12"/>
  <c r="BJ36" i="12"/>
  <c r="BJ43" i="17"/>
  <c r="AR43" i="17"/>
  <c r="BF43" i="17"/>
  <c r="AN43" i="17"/>
  <c r="BB43" i="17"/>
  <c r="AX43" i="17"/>
  <c r="AT43" i="17"/>
  <c r="BH43" i="17"/>
  <c r="AP43" i="17"/>
  <c r="BD43" i="17"/>
  <c r="AZ43" i="17"/>
  <c r="AJ43" i="17"/>
  <c r="X43" i="17"/>
  <c r="F43" i="17"/>
  <c r="T43" i="17"/>
  <c r="AL43" i="17"/>
  <c r="AH43" i="17"/>
  <c r="P43" i="17"/>
  <c r="AD43" i="17"/>
  <c r="L43" i="17"/>
  <c r="AV43" i="17"/>
  <c r="Z43" i="17"/>
  <c r="H43" i="17"/>
  <c r="V43" i="17"/>
  <c r="D43" i="17"/>
  <c r="R43" i="17"/>
  <c r="AF43" i="17"/>
  <c r="N43" i="17"/>
  <c r="AB43" i="17"/>
  <c r="J43" i="17"/>
  <c r="B43" i="19"/>
  <c r="E38" i="12"/>
  <c r="F46" i="12"/>
  <c r="F54" i="12"/>
  <c r="J45" i="12"/>
  <c r="J53" i="12"/>
  <c r="N44" i="12"/>
  <c r="N52" i="12"/>
  <c r="R43" i="12"/>
  <c r="R51" i="12"/>
  <c r="V42" i="12"/>
  <c r="V50" i="12"/>
  <c r="V58" i="12"/>
  <c r="Z41" i="12"/>
  <c r="Z49" i="12"/>
  <c r="Z57" i="12"/>
  <c r="AD40" i="12"/>
  <c r="AD48" i="12"/>
  <c r="AD56" i="12"/>
  <c r="AH39" i="12"/>
  <c r="AH47" i="12"/>
  <c r="AH55" i="12"/>
  <c r="AK38" i="12"/>
  <c r="AL46" i="12"/>
  <c r="AL54" i="12"/>
  <c r="AP45" i="12"/>
  <c r="AP53" i="12"/>
  <c r="AT44" i="12"/>
  <c r="AT52" i="12"/>
  <c r="AX43" i="12"/>
  <c r="AX51" i="12"/>
  <c r="BB42" i="12"/>
  <c r="BB50" i="12"/>
  <c r="BB58" i="12"/>
  <c r="BF41" i="12"/>
  <c r="BF49" i="12"/>
  <c r="BF57" i="12"/>
  <c r="BJ40" i="12"/>
  <c r="BJ48" i="12"/>
  <c r="BJ56" i="12"/>
  <c r="B62" i="11"/>
  <c r="AR62" i="18"/>
  <c r="L62" i="18"/>
  <c r="BF62" i="18"/>
  <c r="Z62" i="18"/>
  <c r="AN62" i="18"/>
  <c r="H62" i="18"/>
  <c r="BB62" i="18"/>
  <c r="V62" i="18"/>
  <c r="AJ62" i="18"/>
  <c r="AX62" i="18"/>
  <c r="R62" i="18"/>
  <c r="D62" i="18"/>
  <c r="AF62" i="18"/>
  <c r="AT62" i="18"/>
  <c r="N62" i="18"/>
  <c r="BH62" i="18"/>
  <c r="AB62" i="18"/>
  <c r="AP62" i="18"/>
  <c r="J62" i="18"/>
  <c r="BD62" i="18"/>
  <c r="X62" i="18"/>
  <c r="AL62" i="18"/>
  <c r="F62" i="18"/>
  <c r="AZ62" i="18"/>
  <c r="T62" i="18"/>
  <c r="AH62" i="18"/>
  <c r="AV62" i="18"/>
  <c r="P62" i="18"/>
  <c r="BJ62" i="18"/>
  <c r="AD62" i="18"/>
  <c r="J63" i="19"/>
  <c r="N62" i="19"/>
  <c r="R61" i="19"/>
  <c r="V60" i="19"/>
  <c r="Y59" i="19"/>
  <c r="AP63" i="19"/>
  <c r="AT62" i="19"/>
  <c r="AX61" i="19"/>
  <c r="BB60" i="19"/>
  <c r="BE59" i="19"/>
  <c r="B77" i="11"/>
  <c r="AT77" i="18"/>
  <c r="AN77" i="18"/>
  <c r="AH77" i="18"/>
  <c r="BH77" i="18"/>
  <c r="AB77" i="18"/>
  <c r="BB77" i="18"/>
  <c r="V77" i="18"/>
  <c r="AV77" i="18"/>
  <c r="AP77" i="18"/>
  <c r="AJ77" i="18"/>
  <c r="BJ77" i="18"/>
  <c r="AD77" i="18"/>
  <c r="BD77" i="18"/>
  <c r="AX77" i="18"/>
  <c r="R77" i="18"/>
  <c r="AR77" i="18"/>
  <c r="AL77" i="18"/>
  <c r="AF77" i="18"/>
  <c r="BF77" i="18"/>
  <c r="AZ77" i="18"/>
  <c r="P77" i="18"/>
  <c r="L77" i="18"/>
  <c r="F77" i="18"/>
  <c r="T77" i="18"/>
  <c r="D77" i="18"/>
  <c r="X77" i="18"/>
  <c r="N77" i="18"/>
  <c r="H77" i="18"/>
  <c r="Z77" i="18"/>
  <c r="J77" i="18"/>
  <c r="H69" i="19"/>
  <c r="H77" i="19"/>
  <c r="H85" i="19"/>
  <c r="L66" i="19"/>
  <c r="L74" i="19"/>
  <c r="L82" i="19"/>
  <c r="P71" i="19"/>
  <c r="P79" i="19"/>
  <c r="T68" i="19"/>
  <c r="T76" i="19"/>
  <c r="T84" i="19"/>
  <c r="X65" i="19"/>
  <c r="X73" i="19"/>
  <c r="X81" i="19"/>
  <c r="AB70" i="19"/>
  <c r="AB78" i="19"/>
  <c r="AF67" i="19"/>
  <c r="AF75" i="19"/>
  <c r="AF83" i="19"/>
  <c r="AI64" i="19"/>
  <c r="AJ72" i="19"/>
  <c r="AJ80" i="19"/>
  <c r="AN69" i="19"/>
  <c r="AN77" i="19"/>
  <c r="AN85" i="19"/>
  <c r="AR66" i="19"/>
  <c r="AR74" i="19"/>
  <c r="AR82" i="19"/>
  <c r="AV71" i="19"/>
  <c r="AV79" i="19"/>
  <c r="AZ68" i="19"/>
  <c r="AZ76" i="19"/>
  <c r="AZ84" i="19"/>
  <c r="BD65" i="19"/>
  <c r="BD73" i="19"/>
  <c r="BD81" i="19"/>
  <c r="BH70" i="19"/>
  <c r="BH78" i="19"/>
  <c r="H60" i="19"/>
  <c r="K59" i="19"/>
  <c r="AB63" i="19"/>
  <c r="AF62" i="19"/>
  <c r="AJ61" i="19"/>
  <c r="AN60" i="19"/>
  <c r="AQ59" i="19"/>
  <c r="BH63" i="19"/>
  <c r="B72" i="11"/>
  <c r="AP72" i="18"/>
  <c r="AJ72" i="18"/>
  <c r="BJ72" i="18"/>
  <c r="AD72" i="18"/>
  <c r="BD72" i="18"/>
  <c r="X72" i="18"/>
  <c r="AX72" i="18"/>
  <c r="AR72" i="18"/>
  <c r="AL72" i="18"/>
  <c r="AF72" i="18"/>
  <c r="BF72" i="18"/>
  <c r="Z72" i="18"/>
  <c r="AZ72" i="18"/>
  <c r="AT72" i="18"/>
  <c r="AN72" i="18"/>
  <c r="AH72" i="18"/>
  <c r="BH72" i="18"/>
  <c r="AB72" i="18"/>
  <c r="BB72" i="18"/>
  <c r="AV72" i="18"/>
  <c r="N72" i="18"/>
  <c r="H72" i="18"/>
  <c r="D72" i="18"/>
  <c r="T72" i="18"/>
  <c r="J72" i="18"/>
  <c r="V72" i="18"/>
  <c r="P72" i="18"/>
  <c r="R72" i="18"/>
  <c r="L72" i="18"/>
  <c r="F72" i="18"/>
  <c r="F67" i="19"/>
  <c r="F75" i="19"/>
  <c r="F83" i="19"/>
  <c r="I64" i="19"/>
  <c r="J72" i="19"/>
  <c r="J80" i="19"/>
  <c r="N69" i="19"/>
  <c r="N77" i="19"/>
  <c r="N85" i="19"/>
  <c r="R66" i="19"/>
  <c r="R74" i="19"/>
  <c r="R82" i="19"/>
  <c r="V71" i="19"/>
  <c r="V79" i="19"/>
  <c r="Z68" i="19"/>
  <c r="Z76" i="19"/>
  <c r="Z84" i="19"/>
  <c r="AD65" i="19"/>
  <c r="AD73" i="19"/>
  <c r="AD81" i="19"/>
  <c r="AH70" i="19"/>
  <c r="AH78" i="19"/>
  <c r="AL67" i="19"/>
  <c r="AL75" i="19"/>
  <c r="AL83" i="19"/>
  <c r="AO64" i="19"/>
  <c r="AP72" i="19"/>
  <c r="AP80" i="19"/>
  <c r="AT69" i="19"/>
  <c r="AT77" i="19"/>
  <c r="AT85" i="19"/>
  <c r="AX66" i="19"/>
  <c r="AX74" i="19"/>
  <c r="AX82" i="19"/>
  <c r="BB71" i="19"/>
  <c r="BB79" i="19"/>
  <c r="BF68" i="19"/>
  <c r="BF76" i="19"/>
  <c r="BF84" i="19"/>
  <c r="BJ65" i="19"/>
  <c r="BJ73" i="19"/>
  <c r="BJ81" i="19"/>
  <c r="D62" i="19"/>
  <c r="N63" i="19"/>
  <c r="R62" i="19"/>
  <c r="V61" i="19"/>
  <c r="Z60" i="19"/>
  <c r="AC59" i="19"/>
  <c r="AT63" i="19"/>
  <c r="AX62" i="19"/>
  <c r="BB61" i="19"/>
  <c r="BF60" i="19"/>
  <c r="BI59" i="19"/>
  <c r="B67" i="11"/>
  <c r="AL67" i="18"/>
  <c r="AF67" i="18"/>
  <c r="BF67" i="18"/>
  <c r="Z67" i="18"/>
  <c r="AZ67" i="18"/>
  <c r="T67" i="18"/>
  <c r="AT67" i="18"/>
  <c r="AN67" i="18"/>
  <c r="AH67" i="18"/>
  <c r="BH67" i="18"/>
  <c r="AB67" i="18"/>
  <c r="BB67" i="18"/>
  <c r="V67" i="18"/>
  <c r="AV67" i="18"/>
  <c r="AP67" i="18"/>
  <c r="AJ67" i="18"/>
  <c r="BJ67" i="18"/>
  <c r="AD67" i="18"/>
  <c r="BD67" i="18"/>
  <c r="AX67" i="18"/>
  <c r="AR67" i="18"/>
  <c r="J67" i="18"/>
  <c r="P67" i="18"/>
  <c r="R67" i="18"/>
  <c r="D67" i="18"/>
  <c r="L67" i="18"/>
  <c r="F67" i="18"/>
  <c r="N67" i="18"/>
  <c r="H67" i="18"/>
  <c r="X67" i="18"/>
  <c r="D77" i="19"/>
  <c r="B83" i="11"/>
  <c r="AL83" i="18"/>
  <c r="AF83" i="18"/>
  <c r="BF83" i="18"/>
  <c r="Z83" i="18"/>
  <c r="AZ83" i="18"/>
  <c r="T83" i="18"/>
  <c r="AT83" i="18"/>
  <c r="AN83" i="18"/>
  <c r="AH83" i="18"/>
  <c r="BH83" i="18"/>
  <c r="AB83" i="18"/>
  <c r="BB83" i="18"/>
  <c r="V83" i="18"/>
  <c r="AV83" i="18"/>
  <c r="AP83" i="18"/>
  <c r="AJ83" i="18"/>
  <c r="BJ83" i="18"/>
  <c r="AD83" i="18"/>
  <c r="BD83" i="18"/>
  <c r="AX83" i="18"/>
  <c r="AR83" i="18"/>
  <c r="R83" i="18"/>
  <c r="J83" i="18"/>
  <c r="X83" i="18"/>
  <c r="D83" i="18"/>
  <c r="L83" i="18"/>
  <c r="F83" i="18"/>
  <c r="P83" i="18"/>
  <c r="N83" i="18"/>
  <c r="H83" i="18"/>
  <c r="H70" i="19"/>
  <c r="H78" i="19"/>
  <c r="L67" i="19"/>
  <c r="L75" i="19"/>
  <c r="L83" i="19"/>
  <c r="O64" i="19"/>
  <c r="P72" i="19"/>
  <c r="P80" i="19"/>
  <c r="T69" i="19"/>
  <c r="T77" i="19"/>
  <c r="T85" i="19"/>
  <c r="X66" i="19"/>
  <c r="X74" i="19"/>
  <c r="X82" i="19"/>
  <c r="AB71" i="19"/>
  <c r="AB79" i="19"/>
  <c r="AF68" i="19"/>
  <c r="AF76" i="19"/>
  <c r="AF84" i="19"/>
  <c r="AJ65" i="19"/>
  <c r="AJ73" i="19"/>
  <c r="AJ81" i="19"/>
  <c r="AN70" i="19"/>
  <c r="AN78" i="19"/>
  <c r="AR67" i="19"/>
  <c r="AR75" i="19"/>
  <c r="AR83" i="19"/>
  <c r="AU64" i="19"/>
  <c r="AV72" i="19"/>
  <c r="AV80" i="19"/>
  <c r="AZ69" i="19"/>
  <c r="AZ77" i="19"/>
  <c r="AZ85" i="19"/>
  <c r="BD66" i="19"/>
  <c r="BD74" i="19"/>
  <c r="BD82" i="19"/>
  <c r="BH71" i="19"/>
  <c r="BH79" i="19"/>
  <c r="AE4" i="16"/>
  <c r="AR5" i="16"/>
  <c r="BD6" i="16"/>
  <c r="B63" i="11"/>
  <c r="AN63" i="18"/>
  <c r="H63" i="18"/>
  <c r="BB63" i="18"/>
  <c r="V63" i="18"/>
  <c r="AJ63" i="18"/>
  <c r="D63" i="18"/>
  <c r="AX63" i="18"/>
  <c r="R63" i="18"/>
  <c r="AF63" i="18"/>
  <c r="AT63" i="18"/>
  <c r="N63" i="18"/>
  <c r="BH63" i="18"/>
  <c r="AB63" i="18"/>
  <c r="AP63" i="18"/>
  <c r="J63" i="18"/>
  <c r="BD63" i="18"/>
  <c r="X63" i="18"/>
  <c r="AL63" i="18"/>
  <c r="F63" i="18"/>
  <c r="AZ63" i="18"/>
  <c r="T63" i="18"/>
  <c r="AH63" i="18"/>
  <c r="AV63" i="18"/>
  <c r="P63" i="18"/>
  <c r="BJ63" i="18"/>
  <c r="AD63" i="18"/>
  <c r="AR63" i="18"/>
  <c r="L63" i="18"/>
  <c r="BF63" i="18"/>
  <c r="Z63" i="18"/>
  <c r="L60" i="19"/>
  <c r="O59" i="19"/>
  <c r="AF63" i="19"/>
  <c r="AJ62" i="19"/>
  <c r="AN61" i="19"/>
  <c r="AR60" i="19"/>
  <c r="AU59" i="19"/>
  <c r="B78" i="11"/>
  <c r="AH78" i="18"/>
  <c r="BH78" i="18"/>
  <c r="AB78" i="18"/>
  <c r="BB78" i="18"/>
  <c r="V78" i="18"/>
  <c r="AV78" i="18"/>
  <c r="AP78" i="18"/>
  <c r="AJ78" i="18"/>
  <c r="BJ78" i="18"/>
  <c r="AD78" i="18"/>
  <c r="BD78" i="18"/>
  <c r="X78" i="18"/>
  <c r="AX78" i="18"/>
  <c r="AR78" i="18"/>
  <c r="AL78" i="18"/>
  <c r="AF78" i="18"/>
  <c r="BF78" i="18"/>
  <c r="AZ78" i="18"/>
  <c r="AT78" i="18"/>
  <c r="AN78" i="18"/>
  <c r="F78" i="18"/>
  <c r="T78" i="18"/>
  <c r="D78" i="18"/>
  <c r="R78" i="18"/>
  <c r="N78" i="18"/>
  <c r="H78" i="18"/>
  <c r="Z78" i="18"/>
  <c r="J78" i="18"/>
  <c r="P78" i="18"/>
  <c r="L78" i="18"/>
  <c r="J65" i="19"/>
  <c r="J73" i="19"/>
  <c r="J81" i="19"/>
  <c r="N70" i="19"/>
  <c r="N78" i="19"/>
  <c r="R67" i="19"/>
  <c r="R75" i="19"/>
  <c r="R83" i="19"/>
  <c r="U64" i="19"/>
  <c r="V72" i="19"/>
  <c r="V80" i="19"/>
  <c r="Z69" i="19"/>
  <c r="Z77" i="19"/>
  <c r="Z85" i="19"/>
  <c r="AD66" i="19"/>
  <c r="AD74" i="19"/>
  <c r="AD82" i="19"/>
  <c r="AH71" i="19"/>
  <c r="AH79" i="19"/>
  <c r="AL68" i="19"/>
  <c r="AL76" i="19"/>
  <c r="AL84" i="19"/>
  <c r="AP65" i="19"/>
  <c r="AP73" i="19"/>
  <c r="AP81" i="19"/>
  <c r="AT70" i="19"/>
  <c r="AT78" i="19"/>
  <c r="AX67" i="19"/>
  <c r="AX75" i="19"/>
  <c r="AX83" i="19"/>
  <c r="BA64" i="19"/>
  <c r="BB72" i="19"/>
  <c r="BB80" i="19"/>
  <c r="BF69" i="19"/>
  <c r="BF77" i="19"/>
  <c r="BF85" i="19"/>
  <c r="BJ66" i="19"/>
  <c r="BJ74" i="19"/>
  <c r="BJ82" i="19"/>
  <c r="R63" i="19"/>
  <c r="V62" i="19"/>
  <c r="Z61" i="19"/>
  <c r="AD60" i="19"/>
  <c r="AG59" i="19"/>
  <c r="AX63" i="19"/>
  <c r="BB62" i="19"/>
  <c r="BF61" i="19"/>
  <c r="BJ60" i="19"/>
  <c r="D67" i="19"/>
  <c r="B73" i="11"/>
  <c r="BJ73" i="18"/>
  <c r="AD73" i="18"/>
  <c r="BD73" i="18"/>
  <c r="X73" i="18"/>
  <c r="AX73" i="18"/>
  <c r="R73" i="18"/>
  <c r="AR73" i="18"/>
  <c r="AL73" i="18"/>
  <c r="AF73" i="18"/>
  <c r="BF73" i="18"/>
  <c r="Z73" i="18"/>
  <c r="AZ73" i="18"/>
  <c r="T73" i="18"/>
  <c r="AT73" i="18"/>
  <c r="AN73" i="18"/>
  <c r="AH73" i="18"/>
  <c r="BH73" i="18"/>
  <c r="AB73" i="18"/>
  <c r="BB73" i="18"/>
  <c r="AV73" i="18"/>
  <c r="AP73" i="18"/>
  <c r="D73" i="18"/>
  <c r="AJ73" i="18"/>
  <c r="J73" i="18"/>
  <c r="V73" i="18"/>
  <c r="P73" i="18"/>
  <c r="L73" i="18"/>
  <c r="F73" i="18"/>
  <c r="N73" i="18"/>
  <c r="H73" i="18"/>
  <c r="D83" i="19"/>
  <c r="H71" i="19"/>
  <c r="H79" i="19"/>
  <c r="L68" i="19"/>
  <c r="L76" i="19"/>
  <c r="L84" i="19"/>
  <c r="P65" i="19"/>
  <c r="P73" i="19"/>
  <c r="P81" i="19"/>
  <c r="T70" i="19"/>
  <c r="T78" i="19"/>
  <c r="X67" i="19"/>
  <c r="X75" i="19"/>
  <c r="X83" i="19"/>
  <c r="AA64" i="19"/>
  <c r="AB72" i="19"/>
  <c r="AB80" i="19"/>
  <c r="AF69" i="19"/>
  <c r="AF77" i="19"/>
  <c r="AF85" i="19"/>
  <c r="AJ66" i="19"/>
  <c r="AJ74" i="19"/>
  <c r="AJ82" i="19"/>
  <c r="AN71" i="19"/>
  <c r="AN79" i="19"/>
  <c r="AR68" i="19"/>
  <c r="AR76" i="19"/>
  <c r="AR84" i="19"/>
  <c r="AV65" i="19"/>
  <c r="AV73" i="19"/>
  <c r="AV81" i="19"/>
  <c r="AZ70" i="19"/>
  <c r="AZ78" i="19"/>
  <c r="BD67" i="19"/>
  <c r="BD75" i="19"/>
  <c r="BD83" i="19"/>
  <c r="BG64" i="19"/>
  <c r="BH72" i="19"/>
  <c r="BH80" i="19"/>
  <c r="S4" i="16"/>
  <c r="AF5" i="16"/>
  <c r="AR6" i="16"/>
  <c r="AY4" i="16"/>
  <c r="D63" i="19"/>
  <c r="H62" i="19"/>
  <c r="L61" i="19"/>
  <c r="P60" i="19"/>
  <c r="S59" i="19"/>
  <c r="AJ63" i="19"/>
  <c r="AN62" i="19"/>
  <c r="AR61" i="19"/>
  <c r="AV60" i="19"/>
  <c r="AY59" i="19"/>
  <c r="B68" i="11"/>
  <c r="BF68" i="18"/>
  <c r="Z68" i="18"/>
  <c r="AZ68" i="18"/>
  <c r="T68" i="18"/>
  <c r="AT68" i="18"/>
  <c r="AN68" i="18"/>
  <c r="AH68" i="18"/>
  <c r="BH68" i="18"/>
  <c r="AB68" i="18"/>
  <c r="BB68" i="18"/>
  <c r="V68" i="18"/>
  <c r="AV68" i="18"/>
  <c r="P68" i="18"/>
  <c r="AP68" i="18"/>
  <c r="AJ68" i="18"/>
  <c r="BJ68" i="18"/>
  <c r="AD68" i="18"/>
  <c r="BD68" i="18"/>
  <c r="X68" i="18"/>
  <c r="AX68" i="18"/>
  <c r="AR68" i="18"/>
  <c r="AL68" i="18"/>
  <c r="R68" i="18"/>
  <c r="D68" i="18"/>
  <c r="L68" i="18"/>
  <c r="F68" i="18"/>
  <c r="N68" i="18"/>
  <c r="AF68" i="18"/>
  <c r="H68" i="18"/>
  <c r="J68" i="18"/>
  <c r="D78" i="19"/>
  <c r="B84" i="11"/>
  <c r="BF84" i="18"/>
  <c r="Z84" i="18"/>
  <c r="AZ84" i="18"/>
  <c r="T84" i="18"/>
  <c r="AT84" i="18"/>
  <c r="AN84" i="18"/>
  <c r="AH84" i="18"/>
  <c r="BH84" i="18"/>
  <c r="AB84" i="18"/>
  <c r="BB84" i="18"/>
  <c r="V84" i="18"/>
  <c r="AV84" i="18"/>
  <c r="P84" i="18"/>
  <c r="AP84" i="18"/>
  <c r="AJ84" i="18"/>
  <c r="BJ84" i="18"/>
  <c r="AD84" i="18"/>
  <c r="BD84" i="18"/>
  <c r="X84" i="18"/>
  <c r="AX84" i="18"/>
  <c r="AR84" i="18"/>
  <c r="AL84" i="18"/>
  <c r="D84" i="18"/>
  <c r="L84" i="18"/>
  <c r="F84" i="18"/>
  <c r="AF84" i="18"/>
  <c r="N84" i="18"/>
  <c r="H84" i="18"/>
  <c r="R84" i="18"/>
  <c r="J84" i="18"/>
  <c r="F69" i="19"/>
  <c r="F77" i="19"/>
  <c r="F85" i="19"/>
  <c r="J66" i="19"/>
  <c r="J74" i="19"/>
  <c r="J82" i="19"/>
  <c r="N71" i="19"/>
  <c r="N79" i="19"/>
  <c r="R68" i="19"/>
  <c r="R76" i="19"/>
  <c r="R84" i="19"/>
  <c r="V65" i="19"/>
  <c r="V73" i="19"/>
  <c r="V81" i="19"/>
  <c r="Z70" i="19"/>
  <c r="Z78" i="19"/>
  <c r="AD67" i="19"/>
  <c r="AD75" i="19"/>
  <c r="AD83" i="19"/>
  <c r="AG64" i="19"/>
  <c r="AH72" i="19"/>
  <c r="AH80" i="19"/>
  <c r="AL69" i="19"/>
  <c r="AL77" i="19"/>
  <c r="AL85" i="19"/>
  <c r="AP66" i="19"/>
  <c r="AP74" i="19"/>
  <c r="AP82" i="19"/>
  <c r="AT71" i="19"/>
  <c r="AT79" i="19"/>
  <c r="AX68" i="19"/>
  <c r="AX76" i="19"/>
  <c r="AX84" i="19"/>
  <c r="BB65" i="19"/>
  <c r="BB73" i="19"/>
  <c r="BB81" i="19"/>
  <c r="BF70" i="19"/>
  <c r="BF78" i="19"/>
  <c r="BJ67" i="19"/>
  <c r="BJ75" i="19"/>
  <c r="BJ83" i="19"/>
  <c r="F6" i="16"/>
  <c r="M4" i="16"/>
  <c r="Z5" i="16"/>
  <c r="AL6" i="16"/>
  <c r="AS4" i="16"/>
  <c r="BF5" i="16"/>
  <c r="E59" i="19"/>
  <c r="V63" i="19"/>
  <c r="Z62" i="19"/>
  <c r="AD61" i="19"/>
  <c r="AH60" i="19"/>
  <c r="AK59" i="19"/>
  <c r="BB63" i="19"/>
  <c r="BF62" i="19"/>
  <c r="BJ61" i="19"/>
  <c r="D73" i="19"/>
  <c r="B79" i="11"/>
  <c r="BB79" i="18"/>
  <c r="V79" i="18"/>
  <c r="AV79" i="18"/>
  <c r="P79" i="18"/>
  <c r="AP79" i="18"/>
  <c r="AJ79" i="18"/>
  <c r="BJ79" i="18"/>
  <c r="AD79" i="18"/>
  <c r="BD79" i="18"/>
  <c r="X79" i="18"/>
  <c r="AX79" i="18"/>
  <c r="R79" i="18"/>
  <c r="AR79" i="18"/>
  <c r="AL79" i="18"/>
  <c r="AF79" i="18"/>
  <c r="BF79" i="18"/>
  <c r="Z79" i="18"/>
  <c r="AZ79" i="18"/>
  <c r="T79" i="18"/>
  <c r="AT79" i="18"/>
  <c r="AN79" i="18"/>
  <c r="AH79" i="18"/>
  <c r="BH79" i="18"/>
  <c r="AB79" i="18"/>
  <c r="N79" i="18"/>
  <c r="H79" i="18"/>
  <c r="J79" i="18"/>
  <c r="L79" i="18"/>
  <c r="F79" i="18"/>
  <c r="D79" i="18"/>
  <c r="G64" i="19"/>
  <c r="H72" i="19"/>
  <c r="H80" i="19"/>
  <c r="L69" i="19"/>
  <c r="L77" i="19"/>
  <c r="L85" i="19"/>
  <c r="P66" i="19"/>
  <c r="P74" i="19"/>
  <c r="P82" i="19"/>
  <c r="T71" i="19"/>
  <c r="T79" i="19"/>
  <c r="X68" i="19"/>
  <c r="X76" i="19"/>
  <c r="X84" i="19"/>
  <c r="AB65" i="19"/>
  <c r="AB73" i="19"/>
  <c r="AB81" i="19"/>
  <c r="AF70" i="19"/>
  <c r="AF78" i="19"/>
  <c r="AJ67" i="19"/>
  <c r="AJ75" i="19"/>
  <c r="AJ83" i="19"/>
  <c r="AM64" i="19"/>
  <c r="AN72" i="19"/>
  <c r="AN80" i="19"/>
  <c r="AR69" i="19"/>
  <c r="AR77" i="19"/>
  <c r="AR85" i="19"/>
  <c r="AV66" i="19"/>
  <c r="AV74" i="19"/>
  <c r="AV82" i="19"/>
  <c r="AZ71" i="19"/>
  <c r="AZ79" i="19"/>
  <c r="BD68" i="19"/>
  <c r="BD76" i="19"/>
  <c r="BD84" i="19"/>
  <c r="BH65" i="19"/>
  <c r="BH73" i="19"/>
  <c r="BH81" i="19"/>
  <c r="G4" i="16"/>
  <c r="T5" i="16"/>
  <c r="AF6" i="16"/>
  <c r="AM4" i="16"/>
  <c r="AZ5" i="16"/>
  <c r="H63" i="19"/>
  <c r="L62" i="19"/>
  <c r="P61" i="19"/>
  <c r="T60" i="19"/>
  <c r="W59" i="19"/>
  <c r="AN63" i="19"/>
  <c r="AR62" i="19"/>
  <c r="AV61" i="19"/>
  <c r="AZ60" i="19"/>
  <c r="BC59" i="19"/>
  <c r="B74" i="11"/>
  <c r="AX74" i="18"/>
  <c r="R74" i="18"/>
  <c r="AR74" i="18"/>
  <c r="AL74" i="18"/>
  <c r="AF74" i="18"/>
  <c r="BF74" i="18"/>
  <c r="Z74" i="18"/>
  <c r="AZ74" i="18"/>
  <c r="T74" i="18"/>
  <c r="AT74" i="18"/>
  <c r="AN74" i="18"/>
  <c r="AH74" i="18"/>
  <c r="BH74" i="18"/>
  <c r="BB74" i="18"/>
  <c r="V74" i="18"/>
  <c r="AV74" i="18"/>
  <c r="AP74" i="18"/>
  <c r="AJ74" i="18"/>
  <c r="BJ74" i="18"/>
  <c r="AD74" i="18"/>
  <c r="BD74" i="18"/>
  <c r="AB74" i="18"/>
  <c r="J74" i="18"/>
  <c r="P74" i="18"/>
  <c r="L74" i="18"/>
  <c r="F74" i="18"/>
  <c r="X74" i="18"/>
  <c r="N74" i="18"/>
  <c r="H74" i="18"/>
  <c r="D74" i="18"/>
  <c r="F70" i="19"/>
  <c r="F78" i="19"/>
  <c r="J67" i="19"/>
  <c r="J75" i="19"/>
  <c r="J83" i="19"/>
  <c r="M64" i="19"/>
  <c r="N72" i="19"/>
  <c r="N80" i="19"/>
  <c r="R69" i="19"/>
  <c r="R77" i="19"/>
  <c r="R85" i="19"/>
  <c r="V66" i="19"/>
  <c r="V74" i="19"/>
  <c r="V82" i="19"/>
  <c r="Z71" i="19"/>
  <c r="Z79" i="19"/>
  <c r="AD68" i="19"/>
  <c r="AD76" i="19"/>
  <c r="AD84" i="19"/>
  <c r="AH65" i="19"/>
  <c r="AH73" i="19"/>
  <c r="AH81" i="19"/>
  <c r="AL70" i="19"/>
  <c r="AL78" i="19"/>
  <c r="AP67" i="19"/>
  <c r="AP75" i="19"/>
  <c r="AP83" i="19"/>
  <c r="AS64" i="19"/>
  <c r="AT72" i="19"/>
  <c r="AT80" i="19"/>
  <c r="AX69" i="19"/>
  <c r="AX77" i="19"/>
  <c r="AX85" i="19"/>
  <c r="BB66" i="19"/>
  <c r="BB74" i="19"/>
  <c r="BB82" i="19"/>
  <c r="BF71" i="19"/>
  <c r="BF79" i="19"/>
  <c r="BJ68" i="19"/>
  <c r="BJ76" i="19"/>
  <c r="BJ84" i="19"/>
  <c r="N5" i="16"/>
  <c r="Z6" i="16"/>
  <c r="AG4" i="16"/>
  <c r="AT5" i="16"/>
  <c r="BF6" i="16"/>
  <c r="F60" i="19"/>
  <c r="I59" i="19"/>
  <c r="Z63" i="19"/>
  <c r="AD62" i="19"/>
  <c r="AH61" i="19"/>
  <c r="AL60" i="19"/>
  <c r="AO59" i="19"/>
  <c r="BF63" i="19"/>
  <c r="BJ62" i="19"/>
  <c r="B69" i="11"/>
  <c r="AT69" i="18"/>
  <c r="AN69" i="18"/>
  <c r="AH69" i="18"/>
  <c r="BH69" i="18"/>
  <c r="AB69" i="18"/>
  <c r="BB69" i="18"/>
  <c r="V69" i="18"/>
  <c r="AV69" i="18"/>
  <c r="AP69" i="18"/>
  <c r="AJ69" i="18"/>
  <c r="BJ69" i="18"/>
  <c r="AD69" i="18"/>
  <c r="BD69" i="18"/>
  <c r="AX69" i="18"/>
  <c r="R69" i="18"/>
  <c r="AR69" i="18"/>
  <c r="AL69" i="18"/>
  <c r="AF69" i="18"/>
  <c r="BF69" i="18"/>
  <c r="AZ69" i="18"/>
  <c r="L69" i="18"/>
  <c r="F69" i="18"/>
  <c r="N69" i="18"/>
  <c r="H69" i="18"/>
  <c r="T69" i="18"/>
  <c r="X69" i="18"/>
  <c r="J69" i="18"/>
  <c r="D69" i="18"/>
  <c r="P69" i="18"/>
  <c r="Z69" i="18"/>
  <c r="D79" i="19"/>
  <c r="B85" i="11"/>
  <c r="AT85" i="18"/>
  <c r="AN85" i="18"/>
  <c r="AH85" i="18"/>
  <c r="BH85" i="18"/>
  <c r="AB85" i="18"/>
  <c r="BB85" i="18"/>
  <c r="V85" i="18"/>
  <c r="AV85" i="18"/>
  <c r="AP85" i="18"/>
  <c r="AJ85" i="18"/>
  <c r="BJ85" i="18"/>
  <c r="AD85" i="18"/>
  <c r="BD85" i="18"/>
  <c r="AX85" i="18"/>
  <c r="R85" i="18"/>
  <c r="AR85" i="18"/>
  <c r="AL85" i="18"/>
  <c r="AF85" i="18"/>
  <c r="BF85" i="18"/>
  <c r="AZ85" i="18"/>
  <c r="X85" i="18"/>
  <c r="L85" i="18"/>
  <c r="F85" i="18"/>
  <c r="Z85" i="18"/>
  <c r="P85" i="18"/>
  <c r="H85" i="18"/>
  <c r="N85" i="18"/>
  <c r="J85" i="18"/>
  <c r="D85" i="18"/>
  <c r="T85" i="18"/>
  <c r="H65" i="19"/>
  <c r="H73" i="19"/>
  <c r="H81" i="19"/>
  <c r="L70" i="19"/>
  <c r="L78" i="19"/>
  <c r="P67" i="19"/>
  <c r="P75" i="19"/>
  <c r="P83" i="19"/>
  <c r="S64" i="19"/>
  <c r="T72" i="19"/>
  <c r="T80" i="19"/>
  <c r="X69" i="19"/>
  <c r="X77" i="19"/>
  <c r="X85" i="19"/>
  <c r="AB66" i="19"/>
  <c r="AB74" i="19"/>
  <c r="AB82" i="19"/>
  <c r="AF71" i="19"/>
  <c r="AF79" i="19"/>
  <c r="AJ68" i="19"/>
  <c r="AJ76" i="19"/>
  <c r="AJ84" i="19"/>
  <c r="AN65" i="19"/>
  <c r="AN73" i="19"/>
  <c r="AN81" i="19"/>
  <c r="AR70" i="19"/>
  <c r="AR78" i="19"/>
  <c r="AV67" i="19"/>
  <c r="AV75" i="19"/>
  <c r="AV83" i="19"/>
  <c r="AY64" i="19"/>
  <c r="AZ72" i="19"/>
  <c r="AZ80" i="19"/>
  <c r="BD69" i="19"/>
  <c r="BD77" i="19"/>
  <c r="BD85" i="19"/>
  <c r="BH66" i="19"/>
  <c r="BH74" i="19"/>
  <c r="BH82" i="19"/>
  <c r="H5" i="16"/>
  <c r="T6" i="16"/>
  <c r="AA4" i="16"/>
  <c r="AN5" i="16"/>
  <c r="AZ6" i="16"/>
  <c r="BG4" i="16"/>
  <c r="C59" i="19"/>
  <c r="L63" i="19"/>
  <c r="P62" i="19"/>
  <c r="T61" i="19"/>
  <c r="X60" i="19"/>
  <c r="AA59" i="19"/>
  <c r="AR63" i="19"/>
  <c r="AV62" i="19"/>
  <c r="AZ61" i="19"/>
  <c r="BD60" i="19"/>
  <c r="BG59" i="19"/>
  <c r="B80" i="11"/>
  <c r="AP80" i="18"/>
  <c r="AJ80" i="18"/>
  <c r="BJ80" i="18"/>
  <c r="AD80" i="18"/>
  <c r="BD80" i="18"/>
  <c r="X80" i="18"/>
  <c r="AX80" i="18"/>
  <c r="AR80" i="18"/>
  <c r="AL80" i="18"/>
  <c r="AF80" i="18"/>
  <c r="BF80" i="18"/>
  <c r="Z80" i="18"/>
  <c r="AZ80" i="18"/>
  <c r="AT80" i="18"/>
  <c r="AN80" i="18"/>
  <c r="AH80" i="18"/>
  <c r="BH80" i="18"/>
  <c r="AB80" i="18"/>
  <c r="BB80" i="18"/>
  <c r="AV80" i="18"/>
  <c r="N80" i="18"/>
  <c r="H80" i="18"/>
  <c r="R80" i="18"/>
  <c r="V80" i="18"/>
  <c r="J80" i="18"/>
  <c r="L80" i="18"/>
  <c r="F80" i="18"/>
  <c r="D80" i="18"/>
  <c r="P80" i="18"/>
  <c r="T80" i="18"/>
  <c r="F71" i="19"/>
  <c r="F79" i="19"/>
  <c r="J68" i="19"/>
  <c r="J76" i="19"/>
  <c r="J84" i="19"/>
  <c r="N65" i="19"/>
  <c r="N73" i="19"/>
  <c r="N81" i="19"/>
  <c r="R70" i="19"/>
  <c r="R78" i="19"/>
  <c r="V67" i="19"/>
  <c r="V75" i="19"/>
  <c r="V83" i="19"/>
  <c r="Y64" i="19"/>
  <c r="Z72" i="19"/>
  <c r="Z80" i="19"/>
  <c r="AD69" i="19"/>
  <c r="AD77" i="19"/>
  <c r="AD85" i="19"/>
  <c r="AH66" i="19"/>
  <c r="AH74" i="19"/>
  <c r="AH82" i="19"/>
  <c r="AL71" i="19"/>
  <c r="AL79" i="19"/>
  <c r="AP68" i="19"/>
  <c r="AP76" i="19"/>
  <c r="AP84" i="19"/>
  <c r="AT65" i="19"/>
  <c r="AT73" i="19"/>
  <c r="AT81" i="19"/>
  <c r="AX70" i="19"/>
  <c r="AX78" i="19"/>
  <c r="BB67" i="19"/>
  <c r="BB75" i="19"/>
  <c r="BB83" i="19"/>
  <c r="BE64" i="19"/>
  <c r="BF72" i="19"/>
  <c r="BF80" i="19"/>
  <c r="BJ69" i="19"/>
  <c r="BJ77" i="19"/>
  <c r="BJ85" i="19"/>
  <c r="U4" i="16"/>
  <c r="AH5" i="16"/>
  <c r="AT6" i="16"/>
  <c r="BA4" i="16"/>
  <c r="B60" i="11"/>
  <c r="BC59" i="18"/>
  <c r="AZ60" i="18"/>
  <c r="W59" i="18"/>
  <c r="T60" i="18"/>
  <c r="AK59" i="18"/>
  <c r="AH60" i="18"/>
  <c r="E59" i="18"/>
  <c r="AY59" i="18"/>
  <c r="AV60" i="18"/>
  <c r="S59" i="18"/>
  <c r="P60" i="18"/>
  <c r="BJ60" i="18"/>
  <c r="AG59" i="18"/>
  <c r="AD60" i="18"/>
  <c r="AU59" i="18"/>
  <c r="AR60" i="18"/>
  <c r="O59" i="18"/>
  <c r="L60" i="18"/>
  <c r="BI59" i="18"/>
  <c r="BF60" i="18"/>
  <c r="AC59" i="18"/>
  <c r="Z60" i="18"/>
  <c r="AQ59" i="18"/>
  <c r="AN60" i="18"/>
  <c r="K59" i="18"/>
  <c r="H60" i="18"/>
  <c r="BE59" i="18"/>
  <c r="BB60" i="18"/>
  <c r="Y59" i="18"/>
  <c r="V60" i="18"/>
  <c r="AM59" i="18"/>
  <c r="AJ60" i="18"/>
  <c r="G59" i="18"/>
  <c r="BA59" i="18"/>
  <c r="AX60" i="18"/>
  <c r="U59" i="18"/>
  <c r="R60" i="18"/>
  <c r="AI59" i="18"/>
  <c r="AF60" i="18"/>
  <c r="AW59" i="18"/>
  <c r="AT60" i="18"/>
  <c r="Q59" i="18"/>
  <c r="N60" i="18"/>
  <c r="D60" i="18"/>
  <c r="BH60" i="18"/>
  <c r="AE59" i="18"/>
  <c r="AB60" i="18"/>
  <c r="AS59" i="18"/>
  <c r="AP60" i="18"/>
  <c r="M59" i="18"/>
  <c r="J60" i="18"/>
  <c r="BG59" i="18"/>
  <c r="BD60" i="18"/>
  <c r="AA59" i="18"/>
  <c r="X60" i="18"/>
  <c r="C59" i="18"/>
  <c r="AO59" i="18"/>
  <c r="AL60" i="18"/>
  <c r="I59" i="18"/>
  <c r="F60" i="18"/>
  <c r="J60" i="19"/>
  <c r="M59" i="19"/>
  <c r="AD63" i="19"/>
  <c r="AH62" i="19"/>
  <c r="AL61" i="19"/>
  <c r="AP60" i="19"/>
  <c r="AS59" i="19"/>
  <c r="BJ63" i="19"/>
  <c r="B75" i="11"/>
  <c r="AL75" i="18"/>
  <c r="AF75" i="18"/>
  <c r="BF75" i="18"/>
  <c r="Z75" i="18"/>
  <c r="AZ75" i="18"/>
  <c r="T75" i="18"/>
  <c r="AT75" i="18"/>
  <c r="AN75" i="18"/>
  <c r="AH75" i="18"/>
  <c r="BH75" i="18"/>
  <c r="AB75" i="18"/>
  <c r="BB75" i="18"/>
  <c r="V75" i="18"/>
  <c r="AV75" i="18"/>
  <c r="AP75" i="18"/>
  <c r="AJ75" i="18"/>
  <c r="BJ75" i="18"/>
  <c r="AD75" i="18"/>
  <c r="BD75" i="18"/>
  <c r="AX75" i="18"/>
  <c r="AR75" i="18"/>
  <c r="J75" i="18"/>
  <c r="P75" i="18"/>
  <c r="L75" i="18"/>
  <c r="F75" i="18"/>
  <c r="X75" i="18"/>
  <c r="R75" i="18"/>
  <c r="N75" i="18"/>
  <c r="H75" i="18"/>
  <c r="D75" i="18"/>
  <c r="H66" i="19"/>
  <c r="H74" i="19"/>
  <c r="H82" i="19"/>
  <c r="L71" i="19"/>
  <c r="L79" i="19"/>
  <c r="P68" i="19"/>
  <c r="P76" i="19"/>
  <c r="P84" i="19"/>
  <c r="T65" i="19"/>
  <c r="T73" i="19"/>
  <c r="T81" i="19"/>
  <c r="X70" i="19"/>
  <c r="X78" i="19"/>
  <c r="AB67" i="19"/>
  <c r="AB75" i="19"/>
  <c r="AB83" i="19"/>
  <c r="AE64" i="19"/>
  <c r="AF72" i="19"/>
  <c r="AF80" i="19"/>
  <c r="AJ69" i="19"/>
  <c r="AJ77" i="19"/>
  <c r="AJ85" i="19"/>
  <c r="AN66" i="19"/>
  <c r="AN74" i="19"/>
  <c r="AN82" i="19"/>
  <c r="AR71" i="19"/>
  <c r="AR79" i="19"/>
  <c r="AV68" i="19"/>
  <c r="AV76" i="19"/>
  <c r="AV84" i="19"/>
  <c r="AZ65" i="19"/>
  <c r="AZ73" i="19"/>
  <c r="AZ81" i="19"/>
  <c r="BD70" i="19"/>
  <c r="BD78" i="19"/>
  <c r="BH67" i="19"/>
  <c r="BH75" i="19"/>
  <c r="BH83" i="19"/>
  <c r="O4" i="16"/>
  <c r="AB5" i="16"/>
  <c r="AN6" i="16"/>
  <c r="AU4" i="16"/>
  <c r="BH5" i="16"/>
  <c r="P63" i="19"/>
  <c r="T62" i="19"/>
  <c r="X61" i="19"/>
  <c r="AB60" i="19"/>
  <c r="AE59" i="19"/>
  <c r="AV63" i="19"/>
  <c r="AZ62" i="19"/>
  <c r="BD61" i="19"/>
  <c r="BH60" i="19"/>
  <c r="C64" i="19"/>
  <c r="B70" i="11"/>
  <c r="AH70" i="18"/>
  <c r="BH70" i="18"/>
  <c r="AB70" i="18"/>
  <c r="BB70" i="18"/>
  <c r="V70" i="18"/>
  <c r="AV70" i="18"/>
  <c r="AP70" i="18"/>
  <c r="AJ70" i="18"/>
  <c r="BJ70" i="18"/>
  <c r="AD70" i="18"/>
  <c r="BD70" i="18"/>
  <c r="X70" i="18"/>
  <c r="AX70" i="18"/>
  <c r="AR70" i="18"/>
  <c r="AL70" i="18"/>
  <c r="AF70" i="18"/>
  <c r="BF70" i="18"/>
  <c r="AZ70" i="18"/>
  <c r="AT70" i="18"/>
  <c r="AN70" i="18"/>
  <c r="F70" i="18"/>
  <c r="N70" i="18"/>
  <c r="H70" i="18"/>
  <c r="T70" i="18"/>
  <c r="J70" i="18"/>
  <c r="D70" i="18"/>
  <c r="P70" i="18"/>
  <c r="Z70" i="18"/>
  <c r="R70" i="18"/>
  <c r="L70" i="18"/>
  <c r="D80" i="19"/>
  <c r="E64" i="19"/>
  <c r="F72" i="19"/>
  <c r="F80" i="19"/>
  <c r="J69" i="19"/>
  <c r="J77" i="19"/>
  <c r="J85" i="19"/>
  <c r="N66" i="19"/>
  <c r="N74" i="19"/>
  <c r="N82" i="19"/>
  <c r="R71" i="19"/>
  <c r="R79" i="19"/>
  <c r="V68" i="19"/>
  <c r="V76" i="19"/>
  <c r="V84" i="19"/>
  <c r="Z65" i="19"/>
  <c r="Z73" i="19"/>
  <c r="Z81" i="19"/>
  <c r="AD70" i="19"/>
  <c r="AD78" i="19"/>
  <c r="AH67" i="19"/>
  <c r="AH75" i="19"/>
  <c r="AH83" i="19"/>
  <c r="AK64" i="19"/>
  <c r="AL72" i="19"/>
  <c r="AL80" i="19"/>
  <c r="AP69" i="19"/>
  <c r="AP77" i="19"/>
  <c r="AP85" i="19"/>
  <c r="AT66" i="19"/>
  <c r="AT74" i="19"/>
  <c r="AT82" i="19"/>
  <c r="AX71" i="19"/>
  <c r="AX79" i="19"/>
  <c r="BB68" i="19"/>
  <c r="BB76" i="19"/>
  <c r="BB84" i="19"/>
  <c r="BF65" i="19"/>
  <c r="BF73" i="19"/>
  <c r="BF81" i="19"/>
  <c r="BJ70" i="19"/>
  <c r="BJ78" i="19"/>
  <c r="I4" i="16"/>
  <c r="V5" i="16"/>
  <c r="AH6" i="16"/>
  <c r="AO4" i="16"/>
  <c r="BB5" i="16"/>
  <c r="D60" i="19"/>
  <c r="N60" i="19"/>
  <c r="Q59" i="19"/>
  <c r="AH63" i="19"/>
  <c r="AL62" i="19"/>
  <c r="AP61" i="19"/>
  <c r="AT60" i="19"/>
  <c r="AW59" i="19"/>
  <c r="B65" i="11"/>
  <c r="BJ65" i="18"/>
  <c r="AO64" i="18"/>
  <c r="AD65" i="18"/>
  <c r="BD65" i="18"/>
  <c r="AI64" i="18"/>
  <c r="X65" i="18"/>
  <c r="BI64" i="18"/>
  <c r="AX65" i="18"/>
  <c r="AC64" i="18"/>
  <c r="R65" i="18"/>
  <c r="BC64" i="18"/>
  <c r="AR65" i="18"/>
  <c r="W64" i="18"/>
  <c r="AW64" i="18"/>
  <c r="AL65" i="18"/>
  <c r="AQ64" i="18"/>
  <c r="AF65" i="18"/>
  <c r="BF65" i="18"/>
  <c r="AK64" i="18"/>
  <c r="Z65" i="18"/>
  <c r="AZ65" i="18"/>
  <c r="AE64" i="18"/>
  <c r="T65" i="18"/>
  <c r="BE64" i="18"/>
  <c r="AT65" i="18"/>
  <c r="Y64" i="18"/>
  <c r="AY64" i="18"/>
  <c r="AN65" i="18"/>
  <c r="AS64" i="18"/>
  <c r="AH65" i="18"/>
  <c r="BH65" i="18"/>
  <c r="AM64" i="18"/>
  <c r="AB65" i="18"/>
  <c r="BB65" i="18"/>
  <c r="AG64" i="18"/>
  <c r="BG64" i="18"/>
  <c r="AV65" i="18"/>
  <c r="AA64" i="18"/>
  <c r="BA64" i="18"/>
  <c r="AP65" i="18"/>
  <c r="AU64" i="18"/>
  <c r="M64" i="18"/>
  <c r="G64" i="18"/>
  <c r="AJ65" i="18"/>
  <c r="Q64" i="18"/>
  <c r="J65" i="18"/>
  <c r="P65" i="18"/>
  <c r="I64" i="18"/>
  <c r="O64" i="18"/>
  <c r="L65" i="18"/>
  <c r="D65" i="18"/>
  <c r="F65" i="18"/>
  <c r="V65" i="18"/>
  <c r="K64" i="18"/>
  <c r="S64" i="18"/>
  <c r="E64" i="18"/>
  <c r="C64" i="18"/>
  <c r="U64" i="18"/>
  <c r="N65" i="18"/>
  <c r="H65" i="18"/>
  <c r="D75" i="19"/>
  <c r="B81" i="11"/>
  <c r="BJ81" i="18"/>
  <c r="AD81" i="18"/>
  <c r="BD81" i="18"/>
  <c r="X81" i="18"/>
  <c r="AX81" i="18"/>
  <c r="R81" i="18"/>
  <c r="AR81" i="18"/>
  <c r="AL81" i="18"/>
  <c r="AF81" i="18"/>
  <c r="BF81" i="18"/>
  <c r="Z81" i="18"/>
  <c r="AZ81" i="18"/>
  <c r="T81" i="18"/>
  <c r="AT81" i="18"/>
  <c r="AN81" i="18"/>
  <c r="AH81" i="18"/>
  <c r="BH81" i="18"/>
  <c r="AB81" i="18"/>
  <c r="BB81" i="18"/>
  <c r="AV81" i="18"/>
  <c r="AP81" i="18"/>
  <c r="V81" i="18"/>
  <c r="AJ81" i="18"/>
  <c r="J81" i="18"/>
  <c r="L81" i="18"/>
  <c r="D81" i="18"/>
  <c r="F81" i="18"/>
  <c r="P81" i="18"/>
  <c r="N81" i="18"/>
  <c r="H81" i="18"/>
  <c r="H67" i="19"/>
  <c r="H75" i="19"/>
  <c r="H83" i="19"/>
  <c r="K64" i="19"/>
  <c r="L72" i="19"/>
  <c r="L80" i="19"/>
  <c r="P69" i="19"/>
  <c r="P77" i="19"/>
  <c r="P85" i="19"/>
  <c r="T66" i="19"/>
  <c r="T74" i="19"/>
  <c r="T82" i="19"/>
  <c r="X71" i="19"/>
  <c r="X79" i="19"/>
  <c r="AB68" i="19"/>
  <c r="AB76" i="19"/>
  <c r="AB84" i="19"/>
  <c r="AF65" i="19"/>
  <c r="AF73" i="19"/>
  <c r="AF81" i="19"/>
  <c r="AJ70" i="19"/>
  <c r="AJ78" i="19"/>
  <c r="AN67" i="19"/>
  <c r="AN75" i="19"/>
  <c r="AN83" i="19"/>
  <c r="AQ64" i="19"/>
  <c r="AR72" i="19"/>
  <c r="AR80" i="19"/>
  <c r="AV69" i="19"/>
  <c r="AV77" i="19"/>
  <c r="AV85" i="19"/>
  <c r="AZ66" i="19"/>
  <c r="AZ74" i="19"/>
  <c r="AZ82" i="19"/>
  <c r="BD71" i="19"/>
  <c r="BD79" i="19"/>
  <c r="BH68" i="19"/>
  <c r="BH76" i="19"/>
  <c r="BH84" i="19"/>
  <c r="P5" i="16"/>
  <c r="AB6" i="16"/>
  <c r="AI4" i="16"/>
  <c r="AV5" i="16"/>
  <c r="BH6" i="16"/>
  <c r="B61" i="11"/>
  <c r="AV61" i="18"/>
  <c r="P61" i="18"/>
  <c r="BJ61" i="18"/>
  <c r="AD61" i="18"/>
  <c r="AR61" i="18"/>
  <c r="L61" i="18"/>
  <c r="BF61" i="18"/>
  <c r="Z61" i="18"/>
  <c r="AN61" i="18"/>
  <c r="H61" i="18"/>
  <c r="BB61" i="18"/>
  <c r="V61" i="18"/>
  <c r="AJ61" i="18"/>
  <c r="AX61" i="18"/>
  <c r="R61" i="18"/>
  <c r="AF61" i="18"/>
  <c r="D61" i="18"/>
  <c r="AT61" i="18"/>
  <c r="N61" i="18"/>
  <c r="BH61" i="18"/>
  <c r="AB61" i="18"/>
  <c r="AP61" i="18"/>
  <c r="J61" i="18"/>
  <c r="BD61" i="18"/>
  <c r="X61" i="18"/>
  <c r="AL61" i="18"/>
  <c r="F61" i="18"/>
  <c r="AZ61" i="18"/>
  <c r="T61" i="18"/>
  <c r="AH61" i="18"/>
  <c r="T63" i="19"/>
  <c r="X62" i="19"/>
  <c r="AB61" i="19"/>
  <c r="AF60" i="19"/>
  <c r="AI59" i="19"/>
  <c r="AZ63" i="19"/>
  <c r="BD62" i="19"/>
  <c r="BH61" i="19"/>
  <c r="D70" i="19"/>
  <c r="B76" i="11"/>
  <c r="BF76" i="18"/>
  <c r="Z76" i="18"/>
  <c r="AZ76" i="18"/>
  <c r="T76" i="18"/>
  <c r="AT76" i="18"/>
  <c r="AN76" i="18"/>
  <c r="AH76" i="18"/>
  <c r="BH76" i="18"/>
  <c r="AB76" i="18"/>
  <c r="BB76" i="18"/>
  <c r="V76" i="18"/>
  <c r="AV76" i="18"/>
  <c r="P76" i="18"/>
  <c r="AP76" i="18"/>
  <c r="AJ76" i="18"/>
  <c r="BJ76" i="18"/>
  <c r="AD76" i="18"/>
  <c r="BD76" i="18"/>
  <c r="X76" i="18"/>
  <c r="AX76" i="18"/>
  <c r="AR76" i="18"/>
  <c r="AL76" i="18"/>
  <c r="L76" i="18"/>
  <c r="F76" i="18"/>
  <c r="R76" i="18"/>
  <c r="AF76" i="18"/>
  <c r="N76" i="18"/>
  <c r="D76" i="18"/>
  <c r="H76" i="18"/>
  <c r="J76" i="18"/>
  <c r="F65" i="19"/>
  <c r="F73" i="19"/>
  <c r="F81" i="19"/>
  <c r="J70" i="19"/>
  <c r="J78" i="19"/>
  <c r="N67" i="19"/>
  <c r="N75" i="19"/>
  <c r="N83" i="19"/>
  <c r="Q64" i="19"/>
  <c r="R72" i="19"/>
  <c r="R80" i="19"/>
  <c r="V69" i="19"/>
  <c r="V77" i="19"/>
  <c r="V85" i="19"/>
  <c r="Z66" i="19"/>
  <c r="Z74" i="19"/>
  <c r="Z82" i="19"/>
  <c r="AD71" i="19"/>
  <c r="AD79" i="19"/>
  <c r="AH68" i="19"/>
  <c r="AH76" i="19"/>
  <c r="AH84" i="19"/>
  <c r="AL65" i="19"/>
  <c r="AL73" i="19"/>
  <c r="AL81" i="19"/>
  <c r="AP70" i="19"/>
  <c r="AP78" i="19"/>
  <c r="AT67" i="19"/>
  <c r="AT75" i="19"/>
  <c r="AT83" i="19"/>
  <c r="AW64" i="19"/>
  <c r="AX72" i="19"/>
  <c r="AX80" i="19"/>
  <c r="BB69" i="19"/>
  <c r="BB77" i="19"/>
  <c r="BB85" i="19"/>
  <c r="BF66" i="19"/>
  <c r="BF74" i="19"/>
  <c r="BF82" i="19"/>
  <c r="BJ71" i="19"/>
  <c r="BJ79" i="19"/>
  <c r="D5" i="16"/>
  <c r="J5" i="16"/>
  <c r="V6" i="16"/>
  <c r="AC4" i="16"/>
  <c r="AP5" i="16"/>
  <c r="BB6" i="16"/>
  <c r="BI4" i="16"/>
  <c r="F63" i="19"/>
  <c r="J62" i="19"/>
  <c r="N61" i="19"/>
  <c r="R60" i="19"/>
  <c r="U59" i="19"/>
  <c r="AL63" i="19"/>
  <c r="AP62" i="19"/>
  <c r="AT61" i="19"/>
  <c r="AX60" i="19"/>
  <c r="BA59" i="19"/>
  <c r="D65" i="19"/>
  <c r="B71" i="11"/>
  <c r="BB71" i="18"/>
  <c r="V71" i="18"/>
  <c r="AV71" i="18"/>
  <c r="P71" i="18"/>
  <c r="AP71" i="18"/>
  <c r="AJ71" i="18"/>
  <c r="BJ71" i="18"/>
  <c r="AD71" i="18"/>
  <c r="BD71" i="18"/>
  <c r="X71" i="18"/>
  <c r="AX71" i="18"/>
  <c r="R71" i="18"/>
  <c r="AR71" i="18"/>
  <c r="AL71" i="18"/>
  <c r="AF71" i="18"/>
  <c r="BF71" i="18"/>
  <c r="Z71" i="18"/>
  <c r="AZ71" i="18"/>
  <c r="AT71" i="18"/>
  <c r="AN71" i="18"/>
  <c r="AH71" i="18"/>
  <c r="BH71" i="18"/>
  <c r="N71" i="18"/>
  <c r="AB71" i="18"/>
  <c r="H71" i="18"/>
  <c r="T71" i="18"/>
  <c r="D71" i="18"/>
  <c r="J71" i="18"/>
  <c r="L71" i="18"/>
  <c r="F71" i="18"/>
  <c r="D81" i="19"/>
  <c r="H68" i="19"/>
  <c r="H76" i="19"/>
  <c r="H84" i="19"/>
  <c r="L65" i="19"/>
  <c r="L73" i="19"/>
  <c r="L81" i="19"/>
  <c r="P70" i="19"/>
  <c r="P78" i="19"/>
  <c r="T67" i="19"/>
  <c r="T75" i="19"/>
  <c r="T83" i="19"/>
  <c r="W64" i="19"/>
  <c r="X72" i="19"/>
  <c r="X80" i="19"/>
  <c r="AB69" i="19"/>
  <c r="AB77" i="19"/>
  <c r="AB85" i="19"/>
  <c r="AF66" i="19"/>
  <c r="AF74" i="19"/>
  <c r="AF82" i="19"/>
  <c r="AJ71" i="19"/>
  <c r="AJ79" i="19"/>
  <c r="AN68" i="19"/>
  <c r="AN76" i="19"/>
  <c r="AN84" i="19"/>
  <c r="AR65" i="19"/>
  <c r="AR73" i="19"/>
  <c r="AR81" i="19"/>
  <c r="AV70" i="19"/>
  <c r="AV78" i="19"/>
  <c r="AZ67" i="19"/>
  <c r="AZ75" i="19"/>
  <c r="AZ83" i="19"/>
  <c r="BC64" i="19"/>
  <c r="BD72" i="19"/>
  <c r="BD80" i="19"/>
  <c r="BH69" i="19"/>
  <c r="BH77" i="19"/>
  <c r="BH85" i="19"/>
  <c r="P6" i="16"/>
  <c r="W4" i="16"/>
  <c r="AJ5" i="16"/>
  <c r="AV6" i="16"/>
  <c r="BC4" i="16"/>
  <c r="G59" i="19"/>
  <c r="X63" i="19"/>
  <c r="AB62" i="19"/>
  <c r="AF61" i="19"/>
  <c r="AJ60" i="19"/>
  <c r="AM59" i="19"/>
  <c r="BD63" i="19"/>
  <c r="BH62" i="19"/>
  <c r="B66" i="11"/>
  <c r="AX66" i="18"/>
  <c r="R66" i="18"/>
  <c r="AR66" i="18"/>
  <c r="AL66" i="18"/>
  <c r="AF66" i="18"/>
  <c r="BF66" i="18"/>
  <c r="Z66" i="18"/>
  <c r="AZ66" i="18"/>
  <c r="T66" i="18"/>
  <c r="AT66" i="18"/>
  <c r="AN66" i="18"/>
  <c r="AH66" i="18"/>
  <c r="BH66" i="18"/>
  <c r="BB66" i="18"/>
  <c r="V66" i="18"/>
  <c r="AV66" i="18"/>
  <c r="AP66" i="18"/>
  <c r="AJ66" i="18"/>
  <c r="BJ66" i="18"/>
  <c r="BD66" i="18"/>
  <c r="J66" i="18"/>
  <c r="P66" i="18"/>
  <c r="AB66" i="18"/>
  <c r="D66" i="18"/>
  <c r="L66" i="18"/>
  <c r="F66" i="18"/>
  <c r="AD66" i="18"/>
  <c r="N66" i="18"/>
  <c r="H66" i="18"/>
  <c r="X66" i="18"/>
  <c r="D76" i="19"/>
  <c r="B82" i="11"/>
  <c r="AX82" i="18"/>
  <c r="R82" i="18"/>
  <c r="AR82" i="18"/>
  <c r="AL82" i="18"/>
  <c r="AF82" i="18"/>
  <c r="BF82" i="18"/>
  <c r="Z82" i="18"/>
  <c r="AZ82" i="18"/>
  <c r="T82" i="18"/>
  <c r="AT82" i="18"/>
  <c r="AN82" i="18"/>
  <c r="AH82" i="18"/>
  <c r="BH82" i="18"/>
  <c r="BB82" i="18"/>
  <c r="V82" i="18"/>
  <c r="AV82" i="18"/>
  <c r="AP82" i="18"/>
  <c r="AJ82" i="18"/>
  <c r="BJ82" i="18"/>
  <c r="AD82" i="18"/>
  <c r="BD82" i="18"/>
  <c r="J82" i="18"/>
  <c r="X82" i="18"/>
  <c r="D82" i="18"/>
  <c r="L82" i="18"/>
  <c r="F82" i="18"/>
  <c r="P82" i="18"/>
  <c r="N82" i="18"/>
  <c r="H82" i="18"/>
  <c r="AB82" i="18"/>
  <c r="F66" i="19"/>
  <c r="F74" i="19"/>
  <c r="F82" i="19"/>
  <c r="J71" i="19"/>
  <c r="J79" i="19"/>
  <c r="N68" i="19"/>
  <c r="N76" i="19"/>
  <c r="N84" i="19"/>
  <c r="R65" i="19"/>
  <c r="R73" i="19"/>
  <c r="R81" i="19"/>
  <c r="V70" i="19"/>
  <c r="V78" i="19"/>
  <c r="Z67" i="19"/>
  <c r="Z75" i="19"/>
  <c r="Z83" i="19"/>
  <c r="AC64" i="19"/>
  <c r="AD72" i="19"/>
  <c r="AD80" i="19"/>
  <c r="AH69" i="19"/>
  <c r="AH77" i="19"/>
  <c r="AH85" i="19"/>
  <c r="AL66" i="19"/>
  <c r="AL74" i="19"/>
  <c r="AL82" i="19"/>
  <c r="AP71" i="19"/>
  <c r="AP79" i="19"/>
  <c r="AT68" i="19"/>
  <c r="AT76" i="19"/>
  <c r="AT84" i="19"/>
  <c r="AX65" i="19"/>
  <c r="AX73" i="19"/>
  <c r="AX81" i="19"/>
  <c r="BB70" i="19"/>
  <c r="BB78" i="19"/>
  <c r="BF67" i="19"/>
  <c r="BF75" i="19"/>
  <c r="BF83" i="19"/>
  <c r="BI64" i="19"/>
  <c r="BJ72" i="19"/>
  <c r="BJ80" i="19"/>
  <c r="J6" i="16"/>
  <c r="Q4" i="16"/>
  <c r="AD5" i="16"/>
  <c r="AW4" i="16"/>
  <c r="AF5" i="17"/>
  <c r="AR6" i="17"/>
  <c r="AY4" i="17"/>
  <c r="AS4" i="17"/>
  <c r="BF5" i="17"/>
  <c r="G4" i="17"/>
  <c r="T5" i="17"/>
  <c r="AF6" i="17"/>
  <c r="AM4" i="17"/>
  <c r="AZ5" i="17"/>
  <c r="N5" i="17"/>
  <c r="Z6" i="17"/>
  <c r="AG4" i="17"/>
  <c r="AT5" i="17"/>
  <c r="BF6" i="17"/>
  <c r="H5" i="17"/>
  <c r="T6" i="17"/>
  <c r="AA4" i="17"/>
  <c r="AN5" i="17"/>
  <c r="AZ6" i="17"/>
  <c r="BG4" i="17"/>
  <c r="N6" i="17"/>
  <c r="U4" i="17"/>
  <c r="AH5" i="17"/>
  <c r="AT6" i="17"/>
  <c r="BA4" i="17"/>
  <c r="AU4" i="17"/>
  <c r="BH5" i="17"/>
  <c r="I4" i="17"/>
  <c r="V5" i="17"/>
  <c r="AH6" i="17"/>
  <c r="AO4" i="17"/>
  <c r="BB5" i="17"/>
  <c r="P5" i="17"/>
  <c r="AB6" i="17"/>
  <c r="AI4" i="17"/>
  <c r="AV5" i="17"/>
  <c r="BH6" i="17"/>
  <c r="D5" i="17"/>
  <c r="J5" i="17"/>
  <c r="V6" i="17"/>
  <c r="AC4" i="17"/>
  <c r="AP5" i="17"/>
  <c r="BB6" i="17"/>
  <c r="BI4" i="17"/>
  <c r="P6" i="17"/>
  <c r="W4" i="17"/>
  <c r="AJ5" i="17"/>
  <c r="AV6" i="17"/>
  <c r="BC4" i="17"/>
  <c r="J6" i="17"/>
  <c r="Q4" i="17"/>
  <c r="AD5" i="17"/>
  <c r="AP6" i="17"/>
  <c r="AW4" i="17"/>
  <c r="BJ5" i="17"/>
  <c r="D6" i="17"/>
  <c r="K4" i="17"/>
  <c r="X5" i="17"/>
  <c r="AJ6" i="17"/>
  <c r="AQ4" i="17"/>
  <c r="BD5" i="17"/>
  <c r="E4" i="17"/>
  <c r="R5" i="17"/>
  <c r="AD6" i="17"/>
  <c r="AK4" i="17"/>
  <c r="BB6" i="18"/>
  <c r="BI4" i="18"/>
  <c r="B6" i="13"/>
  <c r="BJ6" i="11"/>
  <c r="AD6" i="11"/>
  <c r="AJ6" i="11"/>
  <c r="D6" i="11"/>
  <c r="AP6" i="11"/>
  <c r="J6" i="11"/>
  <c r="AV6" i="11"/>
  <c r="P6" i="11"/>
  <c r="BB6" i="11"/>
  <c r="V6" i="11"/>
  <c r="BH6" i="11"/>
  <c r="AB6" i="11"/>
  <c r="AH6" i="11"/>
  <c r="AN6" i="11"/>
  <c r="H6" i="11"/>
  <c r="AT6" i="11"/>
  <c r="N6" i="11"/>
  <c r="AZ6" i="11"/>
  <c r="T6" i="11"/>
  <c r="BF6" i="11"/>
  <c r="Z6" i="11"/>
  <c r="AF6" i="11"/>
  <c r="AL6" i="11"/>
  <c r="F6" i="11"/>
  <c r="AR6" i="11"/>
  <c r="L6" i="11"/>
  <c r="AX6" i="11"/>
  <c r="R6" i="11"/>
  <c r="BD6" i="11"/>
  <c r="X6" i="11"/>
  <c r="P6" i="18"/>
  <c r="W4" i="18"/>
  <c r="AV6" i="18"/>
  <c r="BC4" i="18"/>
  <c r="AP6" i="18"/>
  <c r="AW4" i="18"/>
  <c r="D6" i="18"/>
  <c r="K4" i="18"/>
  <c r="AJ6" i="18"/>
  <c r="AQ4" i="18"/>
  <c r="E4" i="18"/>
  <c r="AD6" i="18"/>
  <c r="AK4" i="18"/>
  <c r="AX5" i="18"/>
  <c r="BJ6" i="18"/>
  <c r="X6" i="18"/>
  <c r="AE4" i="18"/>
  <c r="AR5" i="18"/>
  <c r="BD6" i="18"/>
  <c r="R6" i="18"/>
  <c r="Y4" i="18"/>
  <c r="AL5" i="18"/>
  <c r="AX6" i="18"/>
  <c r="BE4" i="18"/>
  <c r="AR6" i="18"/>
  <c r="AY4" i="18"/>
  <c r="F6" i="18"/>
  <c r="M4" i="18"/>
  <c r="Z5" i="18"/>
  <c r="AL6" i="18"/>
  <c r="AS4" i="18"/>
  <c r="BF5" i="18"/>
  <c r="G4" i="18"/>
  <c r="T5" i="18"/>
  <c r="AF6" i="18"/>
  <c r="AM4" i="18"/>
  <c r="AZ5" i="18"/>
  <c r="N5" i="18"/>
  <c r="Z6" i="18"/>
  <c r="AG4" i="18"/>
  <c r="AT5" i="18"/>
  <c r="BF6" i="18"/>
  <c r="H5" i="18"/>
  <c r="T6" i="18"/>
  <c r="AA4" i="18"/>
  <c r="AN5" i="18"/>
  <c r="AZ6" i="18"/>
  <c r="BG4" i="18"/>
  <c r="N6" i="18"/>
  <c r="U4" i="18"/>
  <c r="AH5" i="18"/>
  <c r="AT6" i="18"/>
  <c r="BA4" i="18"/>
  <c r="C4" i="18"/>
  <c r="H6" i="18"/>
  <c r="O4" i="18"/>
  <c r="AB5" i="18"/>
  <c r="AN6" i="18"/>
  <c r="AU4" i="18"/>
  <c r="BH5" i="18"/>
  <c r="B5" i="13"/>
  <c r="AX5" i="11"/>
  <c r="AK4" i="11"/>
  <c r="R5" i="11"/>
  <c r="E4" i="11"/>
  <c r="BD5" i="11"/>
  <c r="AQ4" i="11"/>
  <c r="X5" i="11"/>
  <c r="K4" i="11"/>
  <c r="BJ5" i="11"/>
  <c r="AW4" i="11"/>
  <c r="AD5" i="11"/>
  <c r="Q4" i="11"/>
  <c r="BC4" i="11"/>
  <c r="AJ5" i="11"/>
  <c r="W4" i="11"/>
  <c r="BI4" i="11"/>
  <c r="AP5" i="11"/>
  <c r="AC4" i="11"/>
  <c r="J5" i="11"/>
  <c r="D5" i="11"/>
  <c r="AV5" i="11"/>
  <c r="AI4" i="11"/>
  <c r="P5" i="11"/>
  <c r="BB5" i="11"/>
  <c r="AO4" i="11"/>
  <c r="V5" i="11"/>
  <c r="I4" i="11"/>
  <c r="BH5" i="11"/>
  <c r="AU4" i="11"/>
  <c r="AB5" i="11"/>
  <c r="O4" i="11"/>
  <c r="C4" i="11"/>
  <c r="BA4" i="11"/>
  <c r="AH5" i="11"/>
  <c r="U4" i="11"/>
  <c r="BG4" i="11"/>
  <c r="AN5" i="11"/>
  <c r="AA4" i="11"/>
  <c r="H5" i="11"/>
  <c r="AT5" i="11"/>
  <c r="AG4" i="11"/>
  <c r="N5" i="11"/>
  <c r="AZ5" i="11"/>
  <c r="AM4" i="11"/>
  <c r="T5" i="11"/>
  <c r="G4" i="11"/>
  <c r="BF5" i="11"/>
  <c r="AS4" i="11"/>
  <c r="Z5" i="11"/>
  <c r="M4" i="11"/>
  <c r="AY4" i="11"/>
  <c r="AF5" i="11"/>
  <c r="S4" i="11"/>
  <c r="BE4" i="11"/>
  <c r="AL5" i="11"/>
  <c r="Y4" i="11"/>
  <c r="F5" i="11"/>
  <c r="AR5" i="11"/>
  <c r="AE4" i="11"/>
  <c r="L5" i="11"/>
  <c r="I4" i="18"/>
  <c r="V5" i="18"/>
  <c r="AH6" i="18"/>
  <c r="AO4" i="18"/>
  <c r="BB5" i="18"/>
  <c r="B61" i="13" l="1"/>
  <c r="AP61" i="11"/>
  <c r="J61" i="11"/>
  <c r="BD61" i="11"/>
  <c r="X61" i="11"/>
  <c r="F61" i="11"/>
  <c r="AL61" i="11"/>
  <c r="AH61" i="11"/>
  <c r="AD61" i="11"/>
  <c r="Z61" i="11"/>
  <c r="V61" i="11"/>
  <c r="R61" i="11"/>
  <c r="N61" i="11"/>
  <c r="BJ61" i="11"/>
  <c r="BF61" i="11"/>
  <c r="BB61" i="11"/>
  <c r="AX61" i="11"/>
  <c r="AT61" i="11"/>
  <c r="BH61" i="11"/>
  <c r="AZ61" i="11"/>
  <c r="AR61" i="11"/>
  <c r="P61" i="11"/>
  <c r="D61" i="11"/>
  <c r="AJ61" i="11"/>
  <c r="AB61" i="11"/>
  <c r="H61" i="11"/>
  <c r="AN61" i="11"/>
  <c r="T61" i="11"/>
  <c r="L61" i="11"/>
  <c r="AV61" i="11"/>
  <c r="AF61" i="11"/>
  <c r="B83" i="13"/>
  <c r="AV83" i="11"/>
  <c r="AP83" i="11"/>
  <c r="BJ83" i="11"/>
  <c r="AH83" i="11"/>
  <c r="AD83" i="11"/>
  <c r="H83" i="11"/>
  <c r="Z83" i="11"/>
  <c r="BB83" i="11"/>
  <c r="BF83" i="11"/>
  <c r="V83" i="11"/>
  <c r="AZ83" i="11"/>
  <c r="AT83" i="11"/>
  <c r="AR83" i="11"/>
  <c r="T83" i="11"/>
  <c r="N83" i="11"/>
  <c r="AN83" i="11"/>
  <c r="AJ83" i="11"/>
  <c r="AB83" i="11"/>
  <c r="AX83" i="11"/>
  <c r="R83" i="11"/>
  <c r="AF83" i="11"/>
  <c r="L83" i="11"/>
  <c r="J83" i="11"/>
  <c r="F83" i="11"/>
  <c r="X83" i="11"/>
  <c r="BD83" i="11"/>
  <c r="P83" i="11"/>
  <c r="AL83" i="11"/>
  <c r="D83" i="11"/>
  <c r="BH83" i="11"/>
  <c r="B67" i="13"/>
  <c r="AV67" i="11"/>
  <c r="AP67" i="11"/>
  <c r="BJ67" i="11"/>
  <c r="H67" i="11"/>
  <c r="AZ67" i="11"/>
  <c r="AT67" i="11"/>
  <c r="V67" i="11"/>
  <c r="BF67" i="11"/>
  <c r="AN67" i="11"/>
  <c r="AJ67" i="11"/>
  <c r="AX67" i="11"/>
  <c r="BD67" i="11"/>
  <c r="AR67" i="11"/>
  <c r="R67" i="11"/>
  <c r="AH67" i="11"/>
  <c r="L67" i="11"/>
  <c r="BH67" i="11"/>
  <c r="F67" i="11"/>
  <c r="BB67" i="11"/>
  <c r="X67" i="11"/>
  <c r="P67" i="11"/>
  <c r="J67" i="11"/>
  <c r="AB67" i="11"/>
  <c r="Z67" i="11"/>
  <c r="AF67" i="11"/>
  <c r="N67" i="11"/>
  <c r="D67" i="11"/>
  <c r="AL67" i="11"/>
  <c r="T67" i="11"/>
  <c r="AD67" i="11"/>
  <c r="B56" i="18"/>
  <c r="BH56" i="19"/>
  <c r="BD56" i="19"/>
  <c r="BJ56" i="19"/>
  <c r="BF56" i="19"/>
  <c r="AZ56" i="19"/>
  <c r="T56" i="19"/>
  <c r="AH56" i="19"/>
  <c r="AV56" i="19"/>
  <c r="P56" i="19"/>
  <c r="AD56" i="19"/>
  <c r="AR56" i="19"/>
  <c r="L56" i="19"/>
  <c r="Z56" i="19"/>
  <c r="AN56" i="19"/>
  <c r="H56" i="19"/>
  <c r="V56" i="19"/>
  <c r="AJ56" i="19"/>
  <c r="AX56" i="19"/>
  <c r="R56" i="19"/>
  <c r="AF56" i="19"/>
  <c r="D56" i="19"/>
  <c r="AT56" i="19"/>
  <c r="N56" i="19"/>
  <c r="BB56" i="19"/>
  <c r="AB56" i="19"/>
  <c r="AP56" i="19"/>
  <c r="J56" i="19"/>
  <c r="X56" i="19"/>
  <c r="AL56" i="19"/>
  <c r="F56" i="19"/>
  <c r="BH30" i="16"/>
  <c r="BB30" i="16"/>
  <c r="BJ30" i="16"/>
  <c r="BD30" i="16"/>
  <c r="BF30" i="16"/>
  <c r="AZ30" i="16"/>
  <c r="AN30" i="16"/>
  <c r="H30" i="16"/>
  <c r="AH30" i="16"/>
  <c r="AB30" i="16"/>
  <c r="V30" i="16"/>
  <c r="AV30" i="16"/>
  <c r="P30" i="16"/>
  <c r="AP30" i="16"/>
  <c r="J30" i="16"/>
  <c r="AJ30" i="16"/>
  <c r="AD30" i="16"/>
  <c r="X30" i="16"/>
  <c r="AX30" i="16"/>
  <c r="R30" i="16"/>
  <c r="AR30" i="16"/>
  <c r="L30" i="16"/>
  <c r="AL30" i="16"/>
  <c r="F30" i="16"/>
  <c r="AF30" i="16"/>
  <c r="Z30" i="16"/>
  <c r="D30" i="16"/>
  <c r="T30" i="16"/>
  <c r="AT30" i="16"/>
  <c r="N30" i="16"/>
  <c r="BF19" i="16"/>
  <c r="AZ19" i="16"/>
  <c r="BH19" i="16"/>
  <c r="BB19" i="16"/>
  <c r="BJ19" i="16"/>
  <c r="BD19" i="16"/>
  <c r="AR19" i="16"/>
  <c r="L19" i="16"/>
  <c r="AL19" i="16"/>
  <c r="F19" i="16"/>
  <c r="AF19" i="16"/>
  <c r="Z19" i="16"/>
  <c r="T19" i="16"/>
  <c r="AT19" i="16"/>
  <c r="N19" i="16"/>
  <c r="AN19" i="16"/>
  <c r="H19" i="16"/>
  <c r="AH19" i="16"/>
  <c r="AB19" i="16"/>
  <c r="V19" i="16"/>
  <c r="AV19" i="16"/>
  <c r="P19" i="16"/>
  <c r="AP19" i="16"/>
  <c r="J19" i="16"/>
  <c r="AJ19" i="16"/>
  <c r="AD19" i="16"/>
  <c r="X19" i="16"/>
  <c r="D19" i="16"/>
  <c r="AX19" i="16"/>
  <c r="R19" i="16"/>
  <c r="B19" i="12"/>
  <c r="BF27" i="16"/>
  <c r="AZ27" i="16"/>
  <c r="BH27" i="16"/>
  <c r="BB27" i="16"/>
  <c r="BJ27" i="16"/>
  <c r="BD27" i="16"/>
  <c r="AR27" i="16"/>
  <c r="L27" i="16"/>
  <c r="AL27" i="16"/>
  <c r="F27" i="16"/>
  <c r="AF27" i="16"/>
  <c r="Z27" i="16"/>
  <c r="T27" i="16"/>
  <c r="AT27" i="16"/>
  <c r="N27" i="16"/>
  <c r="AN27" i="16"/>
  <c r="H27" i="16"/>
  <c r="D27" i="16"/>
  <c r="AH27" i="16"/>
  <c r="AB27" i="16"/>
  <c r="V27" i="16"/>
  <c r="AV27" i="16"/>
  <c r="P27" i="16"/>
  <c r="AP27" i="16"/>
  <c r="J27" i="16"/>
  <c r="AJ27" i="16"/>
  <c r="AD27" i="16"/>
  <c r="X27" i="16"/>
  <c r="AX27" i="16"/>
  <c r="R27" i="16"/>
  <c r="B74" i="13"/>
  <c r="BH74" i="11"/>
  <c r="AB74" i="11"/>
  <c r="BB74" i="11"/>
  <c r="BJ74" i="11"/>
  <c r="AV74" i="11"/>
  <c r="AL74" i="11"/>
  <c r="T74" i="11"/>
  <c r="AP74" i="11"/>
  <c r="AH74" i="11"/>
  <c r="AD74" i="11"/>
  <c r="N74" i="11"/>
  <c r="Z74" i="11"/>
  <c r="AZ74" i="11"/>
  <c r="AT74" i="11"/>
  <c r="H74" i="11"/>
  <c r="BD74" i="11"/>
  <c r="AF74" i="11"/>
  <c r="R74" i="11"/>
  <c r="D74" i="11"/>
  <c r="AR74" i="11"/>
  <c r="L74" i="11"/>
  <c r="BF74" i="11"/>
  <c r="V74" i="11"/>
  <c r="AN74" i="11"/>
  <c r="AX74" i="11"/>
  <c r="J74" i="11"/>
  <c r="F74" i="11"/>
  <c r="P74" i="11"/>
  <c r="AJ74" i="11"/>
  <c r="X74" i="11"/>
  <c r="B77" i="13"/>
  <c r="BD77" i="11"/>
  <c r="X77" i="11"/>
  <c r="AX77" i="11"/>
  <c r="BF77" i="11"/>
  <c r="AZ77" i="11"/>
  <c r="P77" i="11"/>
  <c r="AT77" i="11"/>
  <c r="J77" i="11"/>
  <c r="BH77" i="11"/>
  <c r="AN77" i="11"/>
  <c r="AJ77" i="11"/>
  <c r="AF77" i="11"/>
  <c r="AR77" i="11"/>
  <c r="L77" i="11"/>
  <c r="F77" i="11"/>
  <c r="AL77" i="11"/>
  <c r="BJ77" i="11"/>
  <c r="AH77" i="11"/>
  <c r="AP77" i="11"/>
  <c r="AV77" i="11"/>
  <c r="V77" i="11"/>
  <c r="AB77" i="11"/>
  <c r="T77" i="11"/>
  <c r="R77" i="11"/>
  <c r="AD77" i="11"/>
  <c r="D77" i="11"/>
  <c r="BB77" i="11"/>
  <c r="N77" i="11"/>
  <c r="H77" i="11"/>
  <c r="Z77" i="11"/>
  <c r="B29" i="18"/>
  <c r="AJ29" i="19"/>
  <c r="BJ29" i="19"/>
  <c r="AD29" i="19"/>
  <c r="BD29" i="19"/>
  <c r="X29" i="19"/>
  <c r="AX29" i="19"/>
  <c r="R29" i="19"/>
  <c r="AR29" i="19"/>
  <c r="L29" i="19"/>
  <c r="AL29" i="19"/>
  <c r="F29" i="19"/>
  <c r="AF29" i="19"/>
  <c r="BF29" i="19"/>
  <c r="Z29" i="19"/>
  <c r="AZ29" i="19"/>
  <c r="T29" i="19"/>
  <c r="D29" i="19"/>
  <c r="AT29" i="19"/>
  <c r="N29" i="19"/>
  <c r="AN29" i="19"/>
  <c r="H29" i="19"/>
  <c r="AH29" i="19"/>
  <c r="BH29" i="19"/>
  <c r="AB29" i="19"/>
  <c r="BB29" i="19"/>
  <c r="V29" i="19"/>
  <c r="AV29" i="19"/>
  <c r="P29" i="19"/>
  <c r="AP29" i="19"/>
  <c r="J29" i="19"/>
  <c r="B28" i="18"/>
  <c r="AV28" i="19"/>
  <c r="P28" i="19"/>
  <c r="AP28" i="19"/>
  <c r="J28" i="19"/>
  <c r="AJ28" i="19"/>
  <c r="BJ28" i="19"/>
  <c r="AD28" i="19"/>
  <c r="BD28" i="19"/>
  <c r="X28" i="19"/>
  <c r="AX28" i="19"/>
  <c r="R28" i="19"/>
  <c r="AR28" i="19"/>
  <c r="L28" i="19"/>
  <c r="AL28" i="19"/>
  <c r="F28" i="19"/>
  <c r="AF28" i="19"/>
  <c r="BF28" i="19"/>
  <c r="Z28" i="19"/>
  <c r="AZ28" i="19"/>
  <c r="T28" i="19"/>
  <c r="AT28" i="19"/>
  <c r="N28" i="19"/>
  <c r="D28" i="19"/>
  <c r="AN28" i="19"/>
  <c r="H28" i="19"/>
  <c r="AH28" i="19"/>
  <c r="BH28" i="19"/>
  <c r="AB28" i="19"/>
  <c r="BB28" i="19"/>
  <c r="V28" i="19"/>
  <c r="BH37" i="16"/>
  <c r="BB37" i="16"/>
  <c r="BJ37" i="16"/>
  <c r="BD37" i="16"/>
  <c r="AX37" i="16"/>
  <c r="BF37" i="16"/>
  <c r="T37" i="16"/>
  <c r="AT37" i="16"/>
  <c r="N37" i="16"/>
  <c r="AN37" i="16"/>
  <c r="H37" i="16"/>
  <c r="AH37" i="16"/>
  <c r="AB37" i="16"/>
  <c r="V37" i="16"/>
  <c r="AV37" i="16"/>
  <c r="P37" i="16"/>
  <c r="AP37" i="16"/>
  <c r="J37" i="16"/>
  <c r="AJ37" i="16"/>
  <c r="D37" i="16"/>
  <c r="AD37" i="16"/>
  <c r="X37" i="16"/>
  <c r="R37" i="16"/>
  <c r="AZ37" i="16"/>
  <c r="AR37" i="16"/>
  <c r="L37" i="16"/>
  <c r="AL37" i="16"/>
  <c r="F37" i="16"/>
  <c r="AF37" i="16"/>
  <c r="Z37" i="16"/>
  <c r="BJ32" i="16"/>
  <c r="BD32" i="16"/>
  <c r="BF32" i="16"/>
  <c r="AZ32" i="16"/>
  <c r="BH32" i="16"/>
  <c r="BB32" i="16"/>
  <c r="AV32" i="16"/>
  <c r="P32" i="16"/>
  <c r="AP32" i="16"/>
  <c r="J32" i="16"/>
  <c r="AJ32" i="16"/>
  <c r="AD32" i="16"/>
  <c r="X32" i="16"/>
  <c r="AX32" i="16"/>
  <c r="R32" i="16"/>
  <c r="AR32" i="16"/>
  <c r="L32" i="16"/>
  <c r="AL32" i="16"/>
  <c r="F32" i="16"/>
  <c r="D32" i="16"/>
  <c r="AF32" i="16"/>
  <c r="Z32" i="16"/>
  <c r="T32" i="16"/>
  <c r="AT32" i="16"/>
  <c r="N32" i="16"/>
  <c r="AN32" i="16"/>
  <c r="H32" i="16"/>
  <c r="AH32" i="16"/>
  <c r="AB32" i="16"/>
  <c r="V32" i="16"/>
  <c r="B9" i="17"/>
  <c r="AV9" i="12"/>
  <c r="P9" i="12"/>
  <c r="AT9" i="12"/>
  <c r="N9" i="12"/>
  <c r="AR9" i="12"/>
  <c r="L9" i="12"/>
  <c r="AP9" i="12"/>
  <c r="J9" i="12"/>
  <c r="AN9" i="12"/>
  <c r="H9" i="12"/>
  <c r="AL9" i="12"/>
  <c r="F9" i="12"/>
  <c r="AJ9" i="12"/>
  <c r="AH9" i="12"/>
  <c r="AF9" i="12"/>
  <c r="BJ9" i="12"/>
  <c r="AD9" i="12"/>
  <c r="BH9" i="12"/>
  <c r="AB9" i="12"/>
  <c r="BF9" i="12"/>
  <c r="Z9" i="12"/>
  <c r="BD9" i="12"/>
  <c r="X9" i="12"/>
  <c r="D9" i="12"/>
  <c r="BB9" i="12"/>
  <c r="V9" i="12"/>
  <c r="AZ9" i="12"/>
  <c r="T9" i="12"/>
  <c r="AX9" i="12"/>
  <c r="R9" i="12"/>
  <c r="B73" i="13"/>
  <c r="AN73" i="11"/>
  <c r="BH73" i="11"/>
  <c r="BF73" i="11"/>
  <c r="BB73" i="11"/>
  <c r="AV73" i="11"/>
  <c r="AL73" i="11"/>
  <c r="AH73" i="11"/>
  <c r="AP73" i="11"/>
  <c r="AD73" i="11"/>
  <c r="AZ73" i="11"/>
  <c r="AT73" i="11"/>
  <c r="AJ73" i="11"/>
  <c r="T73" i="11"/>
  <c r="AB73" i="11"/>
  <c r="N73" i="11"/>
  <c r="H73" i="11"/>
  <c r="BD73" i="11"/>
  <c r="BJ73" i="11"/>
  <c r="AF73" i="11"/>
  <c r="R73" i="11"/>
  <c r="AR73" i="11"/>
  <c r="L73" i="11"/>
  <c r="Z73" i="11"/>
  <c r="P73" i="11"/>
  <c r="F73" i="11"/>
  <c r="V73" i="11"/>
  <c r="AX73" i="11"/>
  <c r="X73" i="11"/>
  <c r="J73" i="11"/>
  <c r="D73" i="11"/>
  <c r="B78" i="13"/>
  <c r="AR78" i="11"/>
  <c r="BF78" i="11"/>
  <c r="BH78" i="11"/>
  <c r="AN78" i="11"/>
  <c r="AJ78" i="11"/>
  <c r="AF78" i="11"/>
  <c r="AB78" i="11"/>
  <c r="X78" i="11"/>
  <c r="AX78" i="11"/>
  <c r="BD78" i="11"/>
  <c r="BB78" i="11"/>
  <c r="AL78" i="11"/>
  <c r="BJ78" i="11"/>
  <c r="AH78" i="11"/>
  <c r="AP78" i="11"/>
  <c r="P78" i="11"/>
  <c r="J78" i="11"/>
  <c r="AV78" i="11"/>
  <c r="AT78" i="11"/>
  <c r="V78" i="11"/>
  <c r="Z78" i="11"/>
  <c r="T78" i="11"/>
  <c r="N78" i="11"/>
  <c r="AZ78" i="11"/>
  <c r="D78" i="11"/>
  <c r="AD78" i="11"/>
  <c r="H78" i="11"/>
  <c r="F78" i="11"/>
  <c r="L78" i="11"/>
  <c r="R78" i="11"/>
  <c r="B43" i="18"/>
  <c r="AN43" i="19"/>
  <c r="H43" i="19"/>
  <c r="BH43" i="19"/>
  <c r="BD43" i="19"/>
  <c r="V43" i="19"/>
  <c r="D43" i="19"/>
  <c r="BB43" i="19"/>
  <c r="AJ43" i="19"/>
  <c r="AX43" i="19"/>
  <c r="R43" i="19"/>
  <c r="AF43" i="19"/>
  <c r="AT43" i="19"/>
  <c r="N43" i="19"/>
  <c r="AB43" i="19"/>
  <c r="AP43" i="19"/>
  <c r="J43" i="19"/>
  <c r="X43" i="19"/>
  <c r="BJ43" i="19"/>
  <c r="AL43" i="19"/>
  <c r="F43" i="19"/>
  <c r="AZ43" i="19"/>
  <c r="T43" i="19"/>
  <c r="AH43" i="19"/>
  <c r="AV43" i="19"/>
  <c r="P43" i="19"/>
  <c r="AD43" i="19"/>
  <c r="AR43" i="19"/>
  <c r="L43" i="19"/>
  <c r="BF43" i="19"/>
  <c r="Z43" i="19"/>
  <c r="B31" i="18"/>
  <c r="AR31" i="19"/>
  <c r="L31" i="19"/>
  <c r="AL31" i="19"/>
  <c r="F31" i="19"/>
  <c r="AF31" i="19"/>
  <c r="D31" i="19"/>
  <c r="BF31" i="19"/>
  <c r="Z31" i="19"/>
  <c r="AZ31" i="19"/>
  <c r="T31" i="19"/>
  <c r="AT31" i="19"/>
  <c r="N31" i="19"/>
  <c r="AN31" i="19"/>
  <c r="H31" i="19"/>
  <c r="AH31" i="19"/>
  <c r="BH31" i="19"/>
  <c r="AB31" i="19"/>
  <c r="BB31" i="19"/>
  <c r="V31" i="19"/>
  <c r="AV31" i="19"/>
  <c r="P31" i="19"/>
  <c r="AP31" i="19"/>
  <c r="J31" i="19"/>
  <c r="AJ31" i="19"/>
  <c r="BJ31" i="19"/>
  <c r="AD31" i="19"/>
  <c r="BD31" i="19"/>
  <c r="X31" i="19"/>
  <c r="AX31" i="19"/>
  <c r="R31" i="19"/>
  <c r="B58" i="18"/>
  <c r="BH58" i="19"/>
  <c r="BD58" i="19"/>
  <c r="BJ58" i="19"/>
  <c r="BF58" i="19"/>
  <c r="AR58" i="19"/>
  <c r="L58" i="19"/>
  <c r="Z58" i="19"/>
  <c r="AN58" i="19"/>
  <c r="H58" i="19"/>
  <c r="V58" i="19"/>
  <c r="AJ58" i="19"/>
  <c r="D58" i="19"/>
  <c r="AX58" i="19"/>
  <c r="R58" i="19"/>
  <c r="AF58" i="19"/>
  <c r="AT58" i="19"/>
  <c r="N58" i="19"/>
  <c r="BB58" i="19"/>
  <c r="AB58" i="19"/>
  <c r="AP58" i="19"/>
  <c r="J58" i="19"/>
  <c r="X58" i="19"/>
  <c r="AL58" i="19"/>
  <c r="F58" i="19"/>
  <c r="AZ58" i="19"/>
  <c r="T58" i="19"/>
  <c r="AH58" i="19"/>
  <c r="AV58" i="19"/>
  <c r="P58" i="19"/>
  <c r="AD58" i="19"/>
  <c r="B42" i="18"/>
  <c r="BH42" i="19"/>
  <c r="BD42" i="19"/>
  <c r="BJ42" i="19"/>
  <c r="BF42" i="19"/>
  <c r="AR42" i="19"/>
  <c r="L42" i="19"/>
  <c r="Z42" i="19"/>
  <c r="AN42" i="19"/>
  <c r="H42" i="19"/>
  <c r="BB42" i="19"/>
  <c r="V42" i="19"/>
  <c r="AJ42" i="19"/>
  <c r="D42" i="19"/>
  <c r="AX42" i="19"/>
  <c r="R42" i="19"/>
  <c r="AF42" i="19"/>
  <c r="AT42" i="19"/>
  <c r="N42" i="19"/>
  <c r="AB42" i="19"/>
  <c r="AP42" i="19"/>
  <c r="J42" i="19"/>
  <c r="X42" i="19"/>
  <c r="AL42" i="19"/>
  <c r="F42" i="19"/>
  <c r="AZ42" i="19"/>
  <c r="T42" i="19"/>
  <c r="AH42" i="19"/>
  <c r="AV42" i="19"/>
  <c r="P42" i="19"/>
  <c r="AD42" i="19"/>
  <c r="B41" i="18"/>
  <c r="BH41" i="19"/>
  <c r="BJ41" i="19"/>
  <c r="BF41" i="19"/>
  <c r="AV41" i="19"/>
  <c r="P41" i="19"/>
  <c r="AD41" i="19"/>
  <c r="AR41" i="19"/>
  <c r="L41" i="19"/>
  <c r="BD41" i="19"/>
  <c r="Z41" i="19"/>
  <c r="AN41" i="19"/>
  <c r="H41" i="19"/>
  <c r="BB41" i="19"/>
  <c r="V41" i="19"/>
  <c r="AJ41" i="19"/>
  <c r="AX41" i="19"/>
  <c r="R41" i="19"/>
  <c r="D41" i="19"/>
  <c r="AF41" i="19"/>
  <c r="AT41" i="19"/>
  <c r="N41" i="19"/>
  <c r="AB41" i="19"/>
  <c r="AP41" i="19"/>
  <c r="J41" i="19"/>
  <c r="X41" i="19"/>
  <c r="AL41" i="19"/>
  <c r="F41" i="19"/>
  <c r="AZ41" i="19"/>
  <c r="T41" i="19"/>
  <c r="AH41" i="19"/>
  <c r="B55" i="18"/>
  <c r="BB55" i="19"/>
  <c r="BH55" i="19"/>
  <c r="BD55" i="19"/>
  <c r="BJ55" i="19"/>
  <c r="BF55" i="19"/>
  <c r="X55" i="19"/>
  <c r="AL55" i="19"/>
  <c r="F55" i="19"/>
  <c r="AZ55" i="19"/>
  <c r="T55" i="19"/>
  <c r="AH55" i="19"/>
  <c r="AV55" i="19"/>
  <c r="P55" i="19"/>
  <c r="AD55" i="19"/>
  <c r="AR55" i="19"/>
  <c r="L55" i="19"/>
  <c r="Z55" i="19"/>
  <c r="AN55" i="19"/>
  <c r="H55" i="19"/>
  <c r="V55" i="19"/>
  <c r="AJ55" i="19"/>
  <c r="AX55" i="19"/>
  <c r="R55" i="19"/>
  <c r="AF55" i="19"/>
  <c r="AT55" i="19"/>
  <c r="N55" i="19"/>
  <c r="D55" i="19"/>
  <c r="AB55" i="19"/>
  <c r="AP55" i="19"/>
  <c r="J55" i="19"/>
  <c r="B39" i="18"/>
  <c r="BE38" i="19"/>
  <c r="BH39" i="19"/>
  <c r="BG38" i="19"/>
  <c r="BD39" i="19"/>
  <c r="BC38" i="19"/>
  <c r="BJ39" i="19"/>
  <c r="BI38" i="19"/>
  <c r="AA38" i="19"/>
  <c r="X39" i="19"/>
  <c r="C38" i="19"/>
  <c r="AO38" i="19"/>
  <c r="AL39" i="19"/>
  <c r="I38" i="19"/>
  <c r="F39" i="19"/>
  <c r="BF39" i="19"/>
  <c r="AZ39" i="19"/>
  <c r="W38" i="19"/>
  <c r="T39" i="19"/>
  <c r="AK38" i="19"/>
  <c r="AH39" i="19"/>
  <c r="E38" i="19"/>
  <c r="AY38" i="19"/>
  <c r="AV39" i="19"/>
  <c r="S38" i="19"/>
  <c r="P39" i="19"/>
  <c r="AG38" i="19"/>
  <c r="AD39" i="19"/>
  <c r="AU38" i="19"/>
  <c r="AR39" i="19"/>
  <c r="O38" i="19"/>
  <c r="L39" i="19"/>
  <c r="AC38" i="19"/>
  <c r="Z39" i="19"/>
  <c r="AQ38" i="19"/>
  <c r="AN39" i="19"/>
  <c r="K38" i="19"/>
  <c r="H39" i="19"/>
  <c r="BB39" i="19"/>
  <c r="Y38" i="19"/>
  <c r="V39" i="19"/>
  <c r="AM38" i="19"/>
  <c r="AJ39" i="19"/>
  <c r="G38" i="19"/>
  <c r="BA38" i="19"/>
  <c r="AX39" i="19"/>
  <c r="U38" i="19"/>
  <c r="R39" i="19"/>
  <c r="AI38" i="19"/>
  <c r="AF39" i="19"/>
  <c r="AW38" i="19"/>
  <c r="AT39" i="19"/>
  <c r="Q38" i="19"/>
  <c r="N39" i="19"/>
  <c r="D39" i="19"/>
  <c r="AE38" i="19"/>
  <c r="AB39" i="19"/>
  <c r="AS38" i="19"/>
  <c r="AP39" i="19"/>
  <c r="M38" i="19"/>
  <c r="J39" i="19"/>
  <c r="B49" i="18"/>
  <c r="BH49" i="19"/>
  <c r="BD49" i="19"/>
  <c r="BJ49" i="19"/>
  <c r="BF49" i="19"/>
  <c r="AV49" i="19"/>
  <c r="P49" i="19"/>
  <c r="AD49" i="19"/>
  <c r="AR49" i="19"/>
  <c r="L49" i="19"/>
  <c r="Z49" i="19"/>
  <c r="AN49" i="19"/>
  <c r="H49" i="19"/>
  <c r="V49" i="19"/>
  <c r="BB49" i="19"/>
  <c r="AJ49" i="19"/>
  <c r="AX49" i="19"/>
  <c r="R49" i="19"/>
  <c r="AF49" i="19"/>
  <c r="AT49" i="19"/>
  <c r="N49" i="19"/>
  <c r="AB49" i="19"/>
  <c r="AP49" i="19"/>
  <c r="J49" i="19"/>
  <c r="X49" i="19"/>
  <c r="AL49" i="19"/>
  <c r="F49" i="19"/>
  <c r="AZ49" i="19"/>
  <c r="T49" i="19"/>
  <c r="AH49" i="19"/>
  <c r="D49" i="19"/>
  <c r="BF26" i="16"/>
  <c r="AZ26" i="16"/>
  <c r="BH26" i="16"/>
  <c r="BB26" i="16"/>
  <c r="BJ26" i="16"/>
  <c r="BD26" i="16"/>
  <c r="X26" i="16"/>
  <c r="AX26" i="16"/>
  <c r="R26" i="16"/>
  <c r="AR26" i="16"/>
  <c r="L26" i="16"/>
  <c r="AL26" i="16"/>
  <c r="F26" i="16"/>
  <c r="AF26" i="16"/>
  <c r="Z26" i="16"/>
  <c r="T26" i="16"/>
  <c r="AT26" i="16"/>
  <c r="N26" i="16"/>
  <c r="AN26" i="16"/>
  <c r="H26" i="16"/>
  <c r="AH26" i="16"/>
  <c r="D26" i="16"/>
  <c r="AB26" i="16"/>
  <c r="V26" i="16"/>
  <c r="AV26" i="16"/>
  <c r="P26" i="16"/>
  <c r="AP26" i="16"/>
  <c r="J26" i="16"/>
  <c r="AJ26" i="16"/>
  <c r="AD26" i="16"/>
  <c r="B12" i="17"/>
  <c r="AJ12" i="12"/>
  <c r="AH12" i="12"/>
  <c r="AF12" i="12"/>
  <c r="BJ12" i="12"/>
  <c r="AD12" i="12"/>
  <c r="D12" i="12"/>
  <c r="BH12" i="12"/>
  <c r="AB12" i="12"/>
  <c r="BF12" i="12"/>
  <c r="Z12" i="12"/>
  <c r="BD12" i="12"/>
  <c r="X12" i="12"/>
  <c r="BB12" i="12"/>
  <c r="V12" i="12"/>
  <c r="AZ12" i="12"/>
  <c r="T12" i="12"/>
  <c r="AX12" i="12"/>
  <c r="R12" i="12"/>
  <c r="AV12" i="12"/>
  <c r="P12" i="12"/>
  <c r="AT12" i="12"/>
  <c r="N12" i="12"/>
  <c r="AR12" i="12"/>
  <c r="L12" i="12"/>
  <c r="AP12" i="12"/>
  <c r="J12" i="12"/>
  <c r="AN12" i="12"/>
  <c r="H12" i="12"/>
  <c r="AL12" i="12"/>
  <c r="F12" i="12"/>
  <c r="BJ24" i="16"/>
  <c r="BD24" i="16"/>
  <c r="BF24" i="16"/>
  <c r="AZ24" i="16"/>
  <c r="BH24" i="16"/>
  <c r="BB24" i="16"/>
  <c r="AV24" i="16"/>
  <c r="P24" i="16"/>
  <c r="AP24" i="16"/>
  <c r="J24" i="16"/>
  <c r="AJ24" i="16"/>
  <c r="AD24" i="16"/>
  <c r="X24" i="16"/>
  <c r="AX24" i="16"/>
  <c r="R24" i="16"/>
  <c r="AR24" i="16"/>
  <c r="L24" i="16"/>
  <c r="AL24" i="16"/>
  <c r="F24" i="16"/>
  <c r="AF24" i="16"/>
  <c r="Z24" i="16"/>
  <c r="T24" i="16"/>
  <c r="AT24" i="16"/>
  <c r="N24" i="16"/>
  <c r="AN24" i="16"/>
  <c r="H24" i="16"/>
  <c r="AH24" i="16"/>
  <c r="AB24" i="16"/>
  <c r="V24" i="16"/>
  <c r="D24" i="16"/>
  <c r="B24" i="12"/>
  <c r="BH22" i="16"/>
  <c r="BB22" i="16"/>
  <c r="BJ22" i="16"/>
  <c r="BD22" i="16"/>
  <c r="BF22" i="16"/>
  <c r="AZ22" i="16"/>
  <c r="AN22" i="16"/>
  <c r="H22" i="16"/>
  <c r="AH22" i="16"/>
  <c r="AB22" i="16"/>
  <c r="V22" i="16"/>
  <c r="AV22" i="16"/>
  <c r="P22" i="16"/>
  <c r="AP22" i="16"/>
  <c r="J22" i="16"/>
  <c r="D22" i="16"/>
  <c r="AJ22" i="16"/>
  <c r="AD22" i="16"/>
  <c r="X22" i="16"/>
  <c r="AX22" i="16"/>
  <c r="R22" i="16"/>
  <c r="AR22" i="16"/>
  <c r="L22" i="16"/>
  <c r="AL22" i="16"/>
  <c r="F22" i="16"/>
  <c r="AF22" i="16"/>
  <c r="Z22" i="16"/>
  <c r="T22" i="16"/>
  <c r="AT22" i="16"/>
  <c r="N22" i="16"/>
  <c r="B22" i="12"/>
  <c r="B15" i="17"/>
  <c r="BD15" i="12"/>
  <c r="X15" i="12"/>
  <c r="BB15" i="12"/>
  <c r="V15" i="12"/>
  <c r="AZ15" i="12"/>
  <c r="T15" i="12"/>
  <c r="AX15" i="12"/>
  <c r="R15" i="12"/>
  <c r="AV15" i="12"/>
  <c r="P15" i="12"/>
  <c r="AT15" i="12"/>
  <c r="N15" i="12"/>
  <c r="AR15" i="12"/>
  <c r="L15" i="12"/>
  <c r="AP15" i="12"/>
  <c r="J15" i="12"/>
  <c r="AN15" i="12"/>
  <c r="H15" i="12"/>
  <c r="AL15" i="12"/>
  <c r="F15" i="12"/>
  <c r="AJ15" i="12"/>
  <c r="D15" i="12"/>
  <c r="AH15" i="12"/>
  <c r="AF15" i="12"/>
  <c r="BJ15" i="12"/>
  <c r="AD15" i="12"/>
  <c r="BH15" i="12"/>
  <c r="AB15" i="12"/>
  <c r="BF15" i="12"/>
  <c r="Z15" i="12"/>
  <c r="B75" i="13"/>
  <c r="AV75" i="11"/>
  <c r="AP75" i="11"/>
  <c r="BJ75" i="11"/>
  <c r="Z75" i="11"/>
  <c r="H75" i="11"/>
  <c r="D75" i="11"/>
  <c r="V75" i="11"/>
  <c r="AZ75" i="11"/>
  <c r="AT75" i="11"/>
  <c r="BH75" i="11"/>
  <c r="AN75" i="11"/>
  <c r="AX75" i="11"/>
  <c r="BD75" i="11"/>
  <c r="BB75" i="11"/>
  <c r="AF75" i="11"/>
  <c r="AD75" i="11"/>
  <c r="R75" i="11"/>
  <c r="AR75" i="11"/>
  <c r="L75" i="11"/>
  <c r="F75" i="11"/>
  <c r="BF75" i="11"/>
  <c r="AL75" i="11"/>
  <c r="P75" i="11"/>
  <c r="AH75" i="11"/>
  <c r="J75" i="11"/>
  <c r="AB75" i="11"/>
  <c r="T75" i="11"/>
  <c r="AJ75" i="11"/>
  <c r="X75" i="11"/>
  <c r="N75" i="11"/>
  <c r="B57" i="18"/>
  <c r="BH57" i="19"/>
  <c r="BD57" i="19"/>
  <c r="BJ57" i="19"/>
  <c r="BF57" i="19"/>
  <c r="AV57" i="19"/>
  <c r="P57" i="19"/>
  <c r="AD57" i="19"/>
  <c r="AR57" i="19"/>
  <c r="L57" i="19"/>
  <c r="Z57" i="19"/>
  <c r="AN57" i="19"/>
  <c r="H57" i="19"/>
  <c r="V57" i="19"/>
  <c r="AJ57" i="19"/>
  <c r="AX57" i="19"/>
  <c r="R57" i="19"/>
  <c r="D57" i="19"/>
  <c r="AF57" i="19"/>
  <c r="AT57" i="19"/>
  <c r="N57" i="19"/>
  <c r="BB57" i="19"/>
  <c r="AB57" i="19"/>
  <c r="AP57" i="19"/>
  <c r="J57" i="19"/>
  <c r="X57" i="19"/>
  <c r="AL57" i="19"/>
  <c r="F57" i="19"/>
  <c r="AZ57" i="19"/>
  <c r="T57" i="19"/>
  <c r="AH57" i="19"/>
  <c r="B80" i="13"/>
  <c r="AZ80" i="11"/>
  <c r="AT80" i="11"/>
  <c r="BH80" i="11"/>
  <c r="BB80" i="11"/>
  <c r="L80" i="11"/>
  <c r="AX80" i="11"/>
  <c r="F80" i="11"/>
  <c r="D80" i="11"/>
  <c r="AR80" i="11"/>
  <c r="BD80" i="11"/>
  <c r="AL80" i="11"/>
  <c r="AH80" i="11"/>
  <c r="BJ80" i="11"/>
  <c r="AV80" i="11"/>
  <c r="BF80" i="11"/>
  <c r="AP80" i="11"/>
  <c r="P80" i="11"/>
  <c r="J80" i="11"/>
  <c r="V80" i="11"/>
  <c r="T80" i="11"/>
  <c r="Z80" i="11"/>
  <c r="X80" i="11"/>
  <c r="N80" i="11"/>
  <c r="H80" i="11"/>
  <c r="AN80" i="11"/>
  <c r="AD80" i="11"/>
  <c r="AB80" i="11"/>
  <c r="AJ80" i="11"/>
  <c r="AF80" i="11"/>
  <c r="R80" i="11"/>
  <c r="B72" i="13"/>
  <c r="AZ72" i="11"/>
  <c r="AT72" i="11"/>
  <c r="BH72" i="11"/>
  <c r="BD72" i="11"/>
  <c r="AR72" i="11"/>
  <c r="L72" i="11"/>
  <c r="F72" i="11"/>
  <c r="BF72" i="11"/>
  <c r="BB72" i="11"/>
  <c r="AV72" i="11"/>
  <c r="AL72" i="11"/>
  <c r="AH72" i="11"/>
  <c r="AP72" i="11"/>
  <c r="Z72" i="11"/>
  <c r="X72" i="11"/>
  <c r="AJ72" i="11"/>
  <c r="T72" i="11"/>
  <c r="AD72" i="11"/>
  <c r="AB72" i="11"/>
  <c r="N72" i="11"/>
  <c r="H72" i="11"/>
  <c r="BJ72" i="11"/>
  <c r="AF72" i="11"/>
  <c r="R72" i="11"/>
  <c r="P72" i="11"/>
  <c r="AN72" i="11"/>
  <c r="V72" i="11"/>
  <c r="AX72" i="11"/>
  <c r="J72" i="11"/>
  <c r="D72" i="11"/>
  <c r="BF35" i="16"/>
  <c r="AZ35" i="16"/>
  <c r="BH35" i="16"/>
  <c r="BB35" i="16"/>
  <c r="BJ35" i="16"/>
  <c r="BD35" i="16"/>
  <c r="AR35" i="16"/>
  <c r="L35" i="16"/>
  <c r="AL35" i="16"/>
  <c r="F35" i="16"/>
  <c r="AF35" i="16"/>
  <c r="Z35" i="16"/>
  <c r="T35" i="16"/>
  <c r="AT35" i="16"/>
  <c r="N35" i="16"/>
  <c r="AN35" i="16"/>
  <c r="H35" i="16"/>
  <c r="AH35" i="16"/>
  <c r="AB35" i="16"/>
  <c r="V35" i="16"/>
  <c r="AV35" i="16"/>
  <c r="P35" i="16"/>
  <c r="AP35" i="16"/>
  <c r="J35" i="16"/>
  <c r="AJ35" i="16"/>
  <c r="AD35" i="16"/>
  <c r="X35" i="16"/>
  <c r="D35" i="16"/>
  <c r="AX35" i="16"/>
  <c r="R35" i="16"/>
  <c r="B30" i="18"/>
  <c r="BD30" i="19"/>
  <c r="X30" i="19"/>
  <c r="AX30" i="19"/>
  <c r="R30" i="19"/>
  <c r="AR30" i="19"/>
  <c r="L30" i="19"/>
  <c r="AL30" i="19"/>
  <c r="F30" i="19"/>
  <c r="AF30" i="19"/>
  <c r="BF30" i="19"/>
  <c r="Z30" i="19"/>
  <c r="D30" i="19"/>
  <c r="AZ30" i="19"/>
  <c r="T30" i="19"/>
  <c r="AT30" i="19"/>
  <c r="N30" i="19"/>
  <c r="AN30" i="19"/>
  <c r="H30" i="19"/>
  <c r="AH30" i="19"/>
  <c r="BH30" i="19"/>
  <c r="AB30" i="19"/>
  <c r="BB30" i="19"/>
  <c r="V30" i="19"/>
  <c r="AV30" i="19"/>
  <c r="P30" i="19"/>
  <c r="AP30" i="19"/>
  <c r="J30" i="19"/>
  <c r="AJ30" i="19"/>
  <c r="BJ30" i="19"/>
  <c r="AD30" i="19"/>
  <c r="B50" i="18"/>
  <c r="BH50" i="19"/>
  <c r="BD50" i="19"/>
  <c r="BJ50" i="19"/>
  <c r="BF50" i="19"/>
  <c r="AR50" i="19"/>
  <c r="L50" i="19"/>
  <c r="Z50" i="19"/>
  <c r="AN50" i="19"/>
  <c r="H50" i="19"/>
  <c r="V50" i="19"/>
  <c r="BB50" i="19"/>
  <c r="AJ50" i="19"/>
  <c r="AX50" i="19"/>
  <c r="R50" i="19"/>
  <c r="AF50" i="19"/>
  <c r="AT50" i="19"/>
  <c r="N50" i="19"/>
  <c r="AB50" i="19"/>
  <c r="AP50" i="19"/>
  <c r="J50" i="19"/>
  <c r="X50" i="19"/>
  <c r="AL50" i="19"/>
  <c r="F50" i="19"/>
  <c r="AZ50" i="19"/>
  <c r="T50" i="19"/>
  <c r="D50" i="19"/>
  <c r="AH50" i="19"/>
  <c r="AV50" i="19"/>
  <c r="P50" i="19"/>
  <c r="AD50" i="19"/>
  <c r="BF28" i="16"/>
  <c r="AZ28" i="16"/>
  <c r="BH28" i="16"/>
  <c r="BB28" i="16"/>
  <c r="BJ28" i="16"/>
  <c r="BD28" i="16"/>
  <c r="AF28" i="16"/>
  <c r="Z28" i="16"/>
  <c r="T28" i="16"/>
  <c r="AT28" i="16"/>
  <c r="N28" i="16"/>
  <c r="D28" i="16"/>
  <c r="AN28" i="16"/>
  <c r="H28" i="16"/>
  <c r="AH28" i="16"/>
  <c r="AB28" i="16"/>
  <c r="V28" i="16"/>
  <c r="AV28" i="16"/>
  <c r="P28" i="16"/>
  <c r="AP28" i="16"/>
  <c r="J28" i="16"/>
  <c r="AJ28" i="16"/>
  <c r="AD28" i="16"/>
  <c r="X28" i="16"/>
  <c r="AX28" i="16"/>
  <c r="R28" i="16"/>
  <c r="AR28" i="16"/>
  <c r="L28" i="16"/>
  <c r="AL28" i="16"/>
  <c r="F28" i="16"/>
  <c r="B79" i="13"/>
  <c r="AF79" i="11"/>
  <c r="BF79" i="11"/>
  <c r="BH79" i="11"/>
  <c r="AB79" i="11"/>
  <c r="X79" i="11"/>
  <c r="R79" i="11"/>
  <c r="AX79" i="11"/>
  <c r="AR79" i="11"/>
  <c r="BD79" i="11"/>
  <c r="BB79" i="11"/>
  <c r="BJ79" i="11"/>
  <c r="AV79" i="11"/>
  <c r="AH79" i="11"/>
  <c r="AP79" i="11"/>
  <c r="P79" i="11"/>
  <c r="J79" i="11"/>
  <c r="AT79" i="11"/>
  <c r="V79" i="11"/>
  <c r="Z79" i="11"/>
  <c r="T79" i="11"/>
  <c r="N79" i="11"/>
  <c r="AN79" i="11"/>
  <c r="AZ79" i="11"/>
  <c r="D79" i="11"/>
  <c r="AD79" i="11"/>
  <c r="AJ79" i="11"/>
  <c r="H79" i="11"/>
  <c r="L79" i="11"/>
  <c r="F79" i="11"/>
  <c r="AL79" i="11"/>
  <c r="B32" i="18"/>
  <c r="AF32" i="19"/>
  <c r="BF32" i="19"/>
  <c r="Z32" i="19"/>
  <c r="AZ32" i="19"/>
  <c r="T32" i="19"/>
  <c r="AT32" i="19"/>
  <c r="N32" i="19"/>
  <c r="AN32" i="19"/>
  <c r="H32" i="19"/>
  <c r="AH32" i="19"/>
  <c r="BH32" i="19"/>
  <c r="AB32" i="19"/>
  <c r="BB32" i="19"/>
  <c r="V32" i="19"/>
  <c r="AV32" i="19"/>
  <c r="P32" i="19"/>
  <c r="AP32" i="19"/>
  <c r="J32" i="19"/>
  <c r="AJ32" i="19"/>
  <c r="BJ32" i="19"/>
  <c r="AD32" i="19"/>
  <c r="BD32" i="19"/>
  <c r="X32" i="19"/>
  <c r="AX32" i="19"/>
  <c r="R32" i="19"/>
  <c r="AR32" i="19"/>
  <c r="L32" i="19"/>
  <c r="AL32" i="19"/>
  <c r="F32" i="19"/>
  <c r="D32" i="19"/>
  <c r="BB31" i="16"/>
  <c r="BJ31" i="16"/>
  <c r="BD31" i="16"/>
  <c r="BF31" i="16"/>
  <c r="AZ31" i="16"/>
  <c r="BH31" i="16"/>
  <c r="AB31" i="16"/>
  <c r="V31" i="16"/>
  <c r="AV31" i="16"/>
  <c r="P31" i="16"/>
  <c r="AP31" i="16"/>
  <c r="J31" i="16"/>
  <c r="AJ31" i="16"/>
  <c r="AD31" i="16"/>
  <c r="X31" i="16"/>
  <c r="AX31" i="16"/>
  <c r="R31" i="16"/>
  <c r="AR31" i="16"/>
  <c r="L31" i="16"/>
  <c r="AL31" i="16"/>
  <c r="F31" i="16"/>
  <c r="AF31" i="16"/>
  <c r="D31" i="16"/>
  <c r="Z31" i="16"/>
  <c r="T31" i="16"/>
  <c r="AT31" i="16"/>
  <c r="N31" i="16"/>
  <c r="AN31" i="16"/>
  <c r="H31" i="16"/>
  <c r="AH31" i="16"/>
  <c r="BF20" i="16"/>
  <c r="AZ20" i="16"/>
  <c r="BH20" i="16"/>
  <c r="BB20" i="16"/>
  <c r="BJ20" i="16"/>
  <c r="BD20" i="16"/>
  <c r="AF20" i="16"/>
  <c r="Z20" i="16"/>
  <c r="T20" i="16"/>
  <c r="AT20" i="16"/>
  <c r="N20" i="16"/>
  <c r="AN20" i="16"/>
  <c r="H20" i="16"/>
  <c r="AH20" i="16"/>
  <c r="AB20" i="16"/>
  <c r="V20" i="16"/>
  <c r="AV20" i="16"/>
  <c r="P20" i="16"/>
  <c r="AP20" i="16"/>
  <c r="J20" i="16"/>
  <c r="AJ20" i="16"/>
  <c r="AD20" i="16"/>
  <c r="D20" i="16"/>
  <c r="X20" i="16"/>
  <c r="AX20" i="16"/>
  <c r="R20" i="16"/>
  <c r="AR20" i="16"/>
  <c r="L20" i="16"/>
  <c r="AL20" i="16"/>
  <c r="F20" i="16"/>
  <c r="B20" i="12"/>
  <c r="BH29" i="16"/>
  <c r="BB29" i="16"/>
  <c r="BJ29" i="16"/>
  <c r="BD29" i="16"/>
  <c r="BF29" i="16"/>
  <c r="T29" i="16"/>
  <c r="D29" i="16"/>
  <c r="AT29" i="16"/>
  <c r="N29" i="16"/>
  <c r="AN29" i="16"/>
  <c r="H29" i="16"/>
  <c r="AH29" i="16"/>
  <c r="AB29" i="16"/>
  <c r="V29" i="16"/>
  <c r="AV29" i="16"/>
  <c r="P29" i="16"/>
  <c r="AP29" i="16"/>
  <c r="J29" i="16"/>
  <c r="AJ29" i="16"/>
  <c r="AD29" i="16"/>
  <c r="X29" i="16"/>
  <c r="AX29" i="16"/>
  <c r="R29" i="16"/>
  <c r="AR29" i="16"/>
  <c r="L29" i="16"/>
  <c r="AZ29" i="16"/>
  <c r="AL29" i="16"/>
  <c r="F29" i="16"/>
  <c r="AF29" i="16"/>
  <c r="Z29" i="16"/>
  <c r="B76" i="13"/>
  <c r="AJ76" i="11"/>
  <c r="BJ76" i="11"/>
  <c r="V76" i="11"/>
  <c r="AZ76" i="11"/>
  <c r="AT76" i="11"/>
  <c r="BH76" i="11"/>
  <c r="AN76" i="11"/>
  <c r="AX76" i="11"/>
  <c r="AR76" i="11"/>
  <c r="BD76" i="11"/>
  <c r="R76" i="11"/>
  <c r="D76" i="11"/>
  <c r="L76" i="11"/>
  <c r="F76" i="11"/>
  <c r="BF76" i="11"/>
  <c r="AL76" i="11"/>
  <c r="P76" i="11"/>
  <c r="AH76" i="11"/>
  <c r="J76" i="11"/>
  <c r="AP76" i="11"/>
  <c r="X76" i="11"/>
  <c r="AB76" i="11"/>
  <c r="T76" i="11"/>
  <c r="AD76" i="11"/>
  <c r="BB76" i="11"/>
  <c r="AV76" i="11"/>
  <c r="N76" i="11"/>
  <c r="H76" i="11"/>
  <c r="Z76" i="11"/>
  <c r="AF76" i="11"/>
  <c r="B60" i="13"/>
  <c r="AW59" i="11"/>
  <c r="AT60" i="11"/>
  <c r="Q59" i="11"/>
  <c r="N60" i="11"/>
  <c r="D60" i="11"/>
  <c r="BH60" i="11"/>
  <c r="AE59" i="11"/>
  <c r="AB60" i="11"/>
  <c r="J60" i="11"/>
  <c r="F60" i="11"/>
  <c r="AP60" i="11"/>
  <c r="AL60" i="11"/>
  <c r="AH60" i="11"/>
  <c r="AD60" i="11"/>
  <c r="Z60" i="11"/>
  <c r="V60" i="11"/>
  <c r="R60" i="11"/>
  <c r="M59" i="11"/>
  <c r="I59" i="11"/>
  <c r="E59" i="11"/>
  <c r="BJ60" i="11"/>
  <c r="BF60" i="11"/>
  <c r="BB60" i="11"/>
  <c r="AX60" i="11"/>
  <c r="AS59" i="11"/>
  <c r="AO59" i="11"/>
  <c r="AK59" i="11"/>
  <c r="AG59" i="11"/>
  <c r="AM59" i="11"/>
  <c r="AF60" i="11"/>
  <c r="L60" i="11"/>
  <c r="X60" i="11"/>
  <c r="K59" i="11"/>
  <c r="BG59" i="11"/>
  <c r="AZ60" i="11"/>
  <c r="AC59" i="11"/>
  <c r="W59" i="11"/>
  <c r="BE59" i="11"/>
  <c r="AY59" i="11"/>
  <c r="AR60" i="11"/>
  <c r="P60" i="11"/>
  <c r="AQ59" i="11"/>
  <c r="AJ60" i="11"/>
  <c r="U59" i="11"/>
  <c r="O59" i="11"/>
  <c r="C59" i="11"/>
  <c r="AU59" i="11"/>
  <c r="H60" i="11"/>
  <c r="Y59" i="11"/>
  <c r="BI59" i="11"/>
  <c r="G59" i="11"/>
  <c r="BD60" i="11"/>
  <c r="AN60" i="11"/>
  <c r="T60" i="11"/>
  <c r="AI59" i="11"/>
  <c r="BC59" i="11"/>
  <c r="S59" i="11"/>
  <c r="BA59" i="11"/>
  <c r="AA59" i="11"/>
  <c r="AV60" i="11"/>
  <c r="B63" i="13"/>
  <c r="AH63" i="11"/>
  <c r="AV63" i="11"/>
  <c r="P63" i="11"/>
  <c r="BJ63" i="11"/>
  <c r="BF63" i="11"/>
  <c r="BB63" i="11"/>
  <c r="AX63" i="11"/>
  <c r="AT63" i="11"/>
  <c r="AP63" i="11"/>
  <c r="AL63" i="11"/>
  <c r="L63" i="11"/>
  <c r="H63" i="11"/>
  <c r="D63" i="11"/>
  <c r="AZ63" i="11"/>
  <c r="AR63" i="11"/>
  <c r="R63" i="11"/>
  <c r="AJ63" i="11"/>
  <c r="AD63" i="11"/>
  <c r="J63" i="11"/>
  <c r="AB63" i="11"/>
  <c r="V63" i="11"/>
  <c r="BD63" i="11"/>
  <c r="AN63" i="11"/>
  <c r="T63" i="11"/>
  <c r="Z63" i="11"/>
  <c r="X63" i="11"/>
  <c r="BH63" i="11"/>
  <c r="F63" i="11"/>
  <c r="AF63" i="11"/>
  <c r="N63" i="11"/>
  <c r="B26" i="18"/>
  <c r="AN26" i="19"/>
  <c r="H26" i="19"/>
  <c r="AH26" i="19"/>
  <c r="D26" i="19"/>
  <c r="BH26" i="19"/>
  <c r="AB26" i="19"/>
  <c r="BB26" i="19"/>
  <c r="V26" i="19"/>
  <c r="AV26" i="19"/>
  <c r="P26" i="19"/>
  <c r="AP26" i="19"/>
  <c r="J26" i="19"/>
  <c r="AJ26" i="19"/>
  <c r="BJ26" i="19"/>
  <c r="AD26" i="19"/>
  <c r="BD26" i="19"/>
  <c r="X26" i="19"/>
  <c r="AX26" i="19"/>
  <c r="R26" i="19"/>
  <c r="AR26" i="19"/>
  <c r="L26" i="19"/>
  <c r="AL26" i="19"/>
  <c r="F26" i="19"/>
  <c r="AF26" i="19"/>
  <c r="BF26" i="19"/>
  <c r="Z26" i="19"/>
  <c r="AZ26" i="19"/>
  <c r="T26" i="19"/>
  <c r="AT26" i="19"/>
  <c r="N26" i="19"/>
  <c r="B53" i="18"/>
  <c r="BJ53" i="19"/>
  <c r="BH53" i="19"/>
  <c r="BB53" i="19"/>
  <c r="AF53" i="19"/>
  <c r="AT53" i="19"/>
  <c r="N53" i="19"/>
  <c r="AB53" i="19"/>
  <c r="AP53" i="19"/>
  <c r="J53" i="19"/>
  <c r="D53" i="19"/>
  <c r="X53" i="19"/>
  <c r="AL53" i="19"/>
  <c r="F53" i="19"/>
  <c r="BD53" i="19"/>
  <c r="AZ53" i="19"/>
  <c r="T53" i="19"/>
  <c r="BF53" i="19"/>
  <c r="AH53" i="19"/>
  <c r="AV53" i="19"/>
  <c r="P53" i="19"/>
  <c r="AD53" i="19"/>
  <c r="AR53" i="19"/>
  <c r="L53" i="19"/>
  <c r="Z53" i="19"/>
  <c r="AN53" i="19"/>
  <c r="H53" i="19"/>
  <c r="V53" i="19"/>
  <c r="AJ53" i="19"/>
  <c r="AX53" i="19"/>
  <c r="R53" i="19"/>
  <c r="B52" i="18"/>
  <c r="BJ52" i="19"/>
  <c r="AJ52" i="19"/>
  <c r="AX52" i="19"/>
  <c r="R52" i="19"/>
  <c r="BB52" i="19"/>
  <c r="AF52" i="19"/>
  <c r="AT52" i="19"/>
  <c r="N52" i="19"/>
  <c r="AB52" i="19"/>
  <c r="AP52" i="19"/>
  <c r="J52" i="19"/>
  <c r="X52" i="19"/>
  <c r="D52" i="19"/>
  <c r="BD52" i="19"/>
  <c r="AL52" i="19"/>
  <c r="F52" i="19"/>
  <c r="BF52" i="19"/>
  <c r="AZ52" i="19"/>
  <c r="T52" i="19"/>
  <c r="AH52" i="19"/>
  <c r="AV52" i="19"/>
  <c r="P52" i="19"/>
  <c r="AD52" i="19"/>
  <c r="AR52" i="19"/>
  <c r="L52" i="19"/>
  <c r="BH52" i="19"/>
  <c r="Z52" i="19"/>
  <c r="AN52" i="19"/>
  <c r="H52" i="19"/>
  <c r="V52" i="19"/>
  <c r="B51" i="18"/>
  <c r="BD51" i="19"/>
  <c r="AN51" i="19"/>
  <c r="H51" i="19"/>
  <c r="V51" i="19"/>
  <c r="AJ51" i="19"/>
  <c r="BB51" i="19"/>
  <c r="AX51" i="19"/>
  <c r="R51" i="19"/>
  <c r="AF51" i="19"/>
  <c r="AT51" i="19"/>
  <c r="N51" i="19"/>
  <c r="AB51" i="19"/>
  <c r="BJ51" i="19"/>
  <c r="AP51" i="19"/>
  <c r="J51" i="19"/>
  <c r="X51" i="19"/>
  <c r="BF51" i="19"/>
  <c r="AL51" i="19"/>
  <c r="F51" i="19"/>
  <c r="D51" i="19"/>
  <c r="AZ51" i="19"/>
  <c r="T51" i="19"/>
  <c r="AH51" i="19"/>
  <c r="AV51" i="19"/>
  <c r="P51" i="19"/>
  <c r="AD51" i="19"/>
  <c r="BH51" i="19"/>
  <c r="AR51" i="19"/>
  <c r="L51" i="19"/>
  <c r="Z51" i="19"/>
  <c r="B13" i="17"/>
  <c r="AF13" i="12"/>
  <c r="D13" i="12"/>
  <c r="BJ13" i="12"/>
  <c r="AD13" i="12"/>
  <c r="BH13" i="12"/>
  <c r="AB13" i="12"/>
  <c r="BF13" i="12"/>
  <c r="Z13" i="12"/>
  <c r="BD13" i="12"/>
  <c r="X13" i="12"/>
  <c r="BB13" i="12"/>
  <c r="V13" i="12"/>
  <c r="AZ13" i="12"/>
  <c r="T13" i="12"/>
  <c r="AX13" i="12"/>
  <c r="R13" i="12"/>
  <c r="AV13" i="12"/>
  <c r="P13" i="12"/>
  <c r="AT13" i="12"/>
  <c r="N13" i="12"/>
  <c r="AR13" i="12"/>
  <c r="L13" i="12"/>
  <c r="AP13" i="12"/>
  <c r="J13" i="12"/>
  <c r="AN13" i="12"/>
  <c r="H13" i="12"/>
  <c r="AL13" i="12"/>
  <c r="F13" i="12"/>
  <c r="AJ13" i="12"/>
  <c r="AH13" i="12"/>
  <c r="BJ25" i="16"/>
  <c r="BD25" i="16"/>
  <c r="BF25" i="16"/>
  <c r="AZ25" i="16"/>
  <c r="BH25" i="16"/>
  <c r="BB25" i="16"/>
  <c r="AJ25" i="16"/>
  <c r="AD25" i="16"/>
  <c r="X25" i="16"/>
  <c r="AX25" i="16"/>
  <c r="R25" i="16"/>
  <c r="AR25" i="16"/>
  <c r="L25" i="16"/>
  <c r="AL25" i="16"/>
  <c r="F25" i="16"/>
  <c r="AF25" i="16"/>
  <c r="Z25" i="16"/>
  <c r="T25" i="16"/>
  <c r="AT25" i="16"/>
  <c r="N25" i="16"/>
  <c r="AN25" i="16"/>
  <c r="H25" i="16"/>
  <c r="AH25" i="16"/>
  <c r="AB25" i="16"/>
  <c r="D25" i="16"/>
  <c r="V25" i="16"/>
  <c r="AV25" i="16"/>
  <c r="P25" i="16"/>
  <c r="AP25" i="16"/>
  <c r="J25" i="16"/>
  <c r="B25" i="12"/>
  <c r="BJ33" i="16"/>
  <c r="BD33" i="16"/>
  <c r="BF33" i="16"/>
  <c r="AZ33" i="16"/>
  <c r="BH33" i="16"/>
  <c r="BB33" i="16"/>
  <c r="AJ33" i="16"/>
  <c r="AD33" i="16"/>
  <c r="X33" i="16"/>
  <c r="AX33" i="16"/>
  <c r="R33" i="16"/>
  <c r="AR33" i="16"/>
  <c r="L33" i="16"/>
  <c r="D33" i="16"/>
  <c r="AL33" i="16"/>
  <c r="F33" i="16"/>
  <c r="AF33" i="16"/>
  <c r="Z33" i="16"/>
  <c r="T33" i="16"/>
  <c r="AT33" i="16"/>
  <c r="N33" i="16"/>
  <c r="AN33" i="16"/>
  <c r="H33" i="16"/>
  <c r="AH33" i="16"/>
  <c r="AB33" i="16"/>
  <c r="V33" i="16"/>
  <c r="AV33" i="16"/>
  <c r="P33" i="16"/>
  <c r="AP33" i="16"/>
  <c r="J33" i="16"/>
  <c r="B65" i="13"/>
  <c r="AY64" i="11"/>
  <c r="AN65" i="11"/>
  <c r="AS64" i="11"/>
  <c r="BH65" i="11"/>
  <c r="BG64" i="11"/>
  <c r="AV65" i="11"/>
  <c r="K64" i="11"/>
  <c r="BA64" i="11"/>
  <c r="AP65" i="11"/>
  <c r="AL65" i="11"/>
  <c r="AH65" i="11"/>
  <c r="E64" i="11"/>
  <c r="C64" i="11"/>
  <c r="AU64" i="11"/>
  <c r="AD65" i="11"/>
  <c r="AO64" i="11"/>
  <c r="AK64" i="11"/>
  <c r="AG64" i="11"/>
  <c r="Z65" i="11"/>
  <c r="BJ65" i="11"/>
  <c r="AZ65" i="11"/>
  <c r="AT65" i="11"/>
  <c r="BI64" i="11"/>
  <c r="BF65" i="11"/>
  <c r="AF65" i="11"/>
  <c r="S64" i="11"/>
  <c r="H65" i="11"/>
  <c r="AX65" i="11"/>
  <c r="M64" i="11"/>
  <c r="AE64" i="11"/>
  <c r="G64" i="11"/>
  <c r="AW64" i="11"/>
  <c r="R65" i="11"/>
  <c r="L65" i="11"/>
  <c r="BD65" i="11"/>
  <c r="BB65" i="11"/>
  <c r="Q64" i="11"/>
  <c r="AM64" i="11"/>
  <c r="BC64" i="11"/>
  <c r="AJ65" i="11"/>
  <c r="V65" i="11"/>
  <c r="W64" i="11"/>
  <c r="J65" i="11"/>
  <c r="Y64" i="11"/>
  <c r="I64" i="11"/>
  <c r="P65" i="11"/>
  <c r="BE64" i="11"/>
  <c r="N65" i="11"/>
  <c r="O64" i="11"/>
  <c r="AB65" i="11"/>
  <c r="F65" i="11"/>
  <c r="D65" i="11"/>
  <c r="X65" i="11"/>
  <c r="U64" i="11"/>
  <c r="AC64" i="11"/>
  <c r="AA64" i="11"/>
  <c r="AI64" i="11"/>
  <c r="AR65" i="11"/>
  <c r="T65" i="11"/>
  <c r="AQ64" i="11"/>
  <c r="AZ6" i="13"/>
  <c r="BF6" i="13"/>
  <c r="AV6" i="13"/>
  <c r="T6" i="13"/>
  <c r="BJ6" i="13"/>
  <c r="Z6" i="13"/>
  <c r="AN6" i="13"/>
  <c r="AF6" i="13"/>
  <c r="BB6" i="13"/>
  <c r="F6" i="13"/>
  <c r="L6" i="13"/>
  <c r="AT6" i="13"/>
  <c r="AL6" i="13"/>
  <c r="R6" i="13"/>
  <c r="BH6" i="13"/>
  <c r="X6" i="13"/>
  <c r="AD6" i="13"/>
  <c r="N6" i="13"/>
  <c r="AJ6" i="13"/>
  <c r="AX6" i="13"/>
  <c r="V6" i="13"/>
  <c r="J6" i="13"/>
  <c r="AH6" i="13"/>
  <c r="AR6" i="13"/>
  <c r="H6" i="13"/>
  <c r="AB6" i="13"/>
  <c r="BD6" i="13"/>
  <c r="P6" i="13"/>
  <c r="AP6" i="13"/>
  <c r="D6" i="13"/>
  <c r="B82" i="13"/>
  <c r="BH82" i="11"/>
  <c r="AB82" i="11"/>
  <c r="BB82" i="11"/>
  <c r="BJ82" i="11"/>
  <c r="T82" i="11"/>
  <c r="AL82" i="11"/>
  <c r="N82" i="11"/>
  <c r="AV82" i="11"/>
  <c r="AH82" i="11"/>
  <c r="AD82" i="11"/>
  <c r="AP82" i="11"/>
  <c r="Z82" i="11"/>
  <c r="BF82" i="11"/>
  <c r="AZ82" i="11"/>
  <c r="AT82" i="11"/>
  <c r="X82" i="11"/>
  <c r="D82" i="11"/>
  <c r="AR82" i="11"/>
  <c r="H82" i="11"/>
  <c r="AN82" i="11"/>
  <c r="AJ82" i="11"/>
  <c r="AX82" i="11"/>
  <c r="R82" i="11"/>
  <c r="AF82" i="11"/>
  <c r="L82" i="11"/>
  <c r="V82" i="11"/>
  <c r="J82" i="11"/>
  <c r="F82" i="11"/>
  <c r="BD82" i="11"/>
  <c r="P82" i="11"/>
  <c r="B66" i="13"/>
  <c r="BH66" i="11"/>
  <c r="AB66" i="11"/>
  <c r="BB66" i="11"/>
  <c r="BJ66" i="11"/>
  <c r="AH66" i="11"/>
  <c r="AD66" i="11"/>
  <c r="T66" i="11"/>
  <c r="Z66" i="11"/>
  <c r="N66" i="11"/>
  <c r="AZ66" i="11"/>
  <c r="AT66" i="11"/>
  <c r="BF66" i="11"/>
  <c r="BD66" i="11"/>
  <c r="AX66" i="11"/>
  <c r="AV66" i="11"/>
  <c r="AP66" i="11"/>
  <c r="AL66" i="11"/>
  <c r="R66" i="11"/>
  <c r="L66" i="11"/>
  <c r="AN66" i="11"/>
  <c r="F66" i="11"/>
  <c r="AJ66" i="11"/>
  <c r="V66" i="11"/>
  <c r="X66" i="11"/>
  <c r="P66" i="11"/>
  <c r="J66" i="11"/>
  <c r="AF66" i="11"/>
  <c r="H66" i="11"/>
  <c r="D66" i="11"/>
  <c r="AR66" i="11"/>
  <c r="B62" i="13"/>
  <c r="AL62" i="11"/>
  <c r="F62" i="11"/>
  <c r="AZ62" i="11"/>
  <c r="T62" i="11"/>
  <c r="AH62" i="11"/>
  <c r="AD62" i="11"/>
  <c r="Z62" i="11"/>
  <c r="V62" i="11"/>
  <c r="R62" i="11"/>
  <c r="N62" i="11"/>
  <c r="J62" i="11"/>
  <c r="BJ62" i="11"/>
  <c r="BF62" i="11"/>
  <c r="BB62" i="11"/>
  <c r="AX62" i="11"/>
  <c r="AT62" i="11"/>
  <c r="AP62" i="11"/>
  <c r="BH62" i="11"/>
  <c r="X62" i="11"/>
  <c r="AR62" i="11"/>
  <c r="D62" i="11"/>
  <c r="P62" i="11"/>
  <c r="AJ62" i="11"/>
  <c r="AB62" i="11"/>
  <c r="H62" i="11"/>
  <c r="BD62" i="11"/>
  <c r="AV62" i="11"/>
  <c r="AN62" i="11"/>
  <c r="AF62" i="11"/>
  <c r="L62" i="11"/>
  <c r="B8" i="17"/>
  <c r="BC7" i="12"/>
  <c r="AZ8" i="12"/>
  <c r="W7" i="12"/>
  <c r="T8" i="12"/>
  <c r="BA7" i="12"/>
  <c r="AX8" i="12"/>
  <c r="U7" i="12"/>
  <c r="R8" i="12"/>
  <c r="AY7" i="12"/>
  <c r="AV8" i="12"/>
  <c r="S7" i="12"/>
  <c r="P8" i="12"/>
  <c r="C7" i="12"/>
  <c r="AW7" i="12"/>
  <c r="AT8" i="12"/>
  <c r="Q7" i="12"/>
  <c r="N8" i="12"/>
  <c r="AU7" i="12"/>
  <c r="AR8" i="12"/>
  <c r="O7" i="12"/>
  <c r="L8" i="12"/>
  <c r="AS7" i="12"/>
  <c r="AP8" i="12"/>
  <c r="M7" i="12"/>
  <c r="J8" i="12"/>
  <c r="AQ7" i="12"/>
  <c r="AN8" i="12"/>
  <c r="K7" i="12"/>
  <c r="H8" i="12"/>
  <c r="AO7" i="12"/>
  <c r="AL8" i="12"/>
  <c r="I7" i="12"/>
  <c r="F8" i="12"/>
  <c r="AM7" i="12"/>
  <c r="AJ8" i="12"/>
  <c r="G7" i="12"/>
  <c r="AK7" i="12"/>
  <c r="AH8" i="12"/>
  <c r="E7" i="12"/>
  <c r="AI7" i="12"/>
  <c r="AF8" i="12"/>
  <c r="BJ8" i="12"/>
  <c r="AG7" i="12"/>
  <c r="AD8" i="12"/>
  <c r="BH8" i="12"/>
  <c r="AE7" i="12"/>
  <c r="AB8" i="12"/>
  <c r="BI7" i="12"/>
  <c r="BF8" i="12"/>
  <c r="AC7" i="12"/>
  <c r="Z8" i="12"/>
  <c r="BG7" i="12"/>
  <c r="BD8" i="12"/>
  <c r="AA7" i="12"/>
  <c r="X8" i="12"/>
  <c r="BE7" i="12"/>
  <c r="BB8" i="12"/>
  <c r="Y7" i="12"/>
  <c r="V8" i="12"/>
  <c r="D8" i="12"/>
  <c r="B81" i="13"/>
  <c r="AN81" i="11"/>
  <c r="BH81" i="11"/>
  <c r="AR81" i="11"/>
  <c r="BD81" i="11"/>
  <c r="AL81" i="11"/>
  <c r="AH81" i="11"/>
  <c r="BJ81" i="11"/>
  <c r="BB81" i="11"/>
  <c r="AV81" i="11"/>
  <c r="AP81" i="11"/>
  <c r="BF81" i="11"/>
  <c r="V81" i="11"/>
  <c r="T81" i="11"/>
  <c r="AT81" i="11"/>
  <c r="Z81" i="11"/>
  <c r="X81" i="11"/>
  <c r="N81" i="11"/>
  <c r="H81" i="11"/>
  <c r="D81" i="11"/>
  <c r="AD81" i="11"/>
  <c r="AB81" i="11"/>
  <c r="AJ81" i="11"/>
  <c r="AZ81" i="11"/>
  <c r="AX81" i="11"/>
  <c r="R81" i="11"/>
  <c r="L81" i="11"/>
  <c r="J81" i="11"/>
  <c r="AF81" i="11"/>
  <c r="P81" i="11"/>
  <c r="F81" i="11"/>
  <c r="B85" i="13"/>
  <c r="BD85" i="11"/>
  <c r="X85" i="11"/>
  <c r="AX85" i="11"/>
  <c r="BF85" i="11"/>
  <c r="P85" i="11"/>
  <c r="J85" i="11"/>
  <c r="AZ85" i="11"/>
  <c r="BJ85" i="11"/>
  <c r="AT85" i="11"/>
  <c r="AN85" i="11"/>
  <c r="AJ85" i="11"/>
  <c r="AF85" i="11"/>
  <c r="AR85" i="11"/>
  <c r="BH85" i="11"/>
  <c r="R85" i="11"/>
  <c r="L85" i="11"/>
  <c r="AD85" i="11"/>
  <c r="F85" i="11"/>
  <c r="AV85" i="11"/>
  <c r="AL85" i="11"/>
  <c r="V85" i="11"/>
  <c r="H85" i="11"/>
  <c r="N85" i="11"/>
  <c r="D85" i="11"/>
  <c r="T85" i="11"/>
  <c r="AB85" i="11"/>
  <c r="Z85" i="11"/>
  <c r="AH85" i="11"/>
  <c r="BB85" i="11"/>
  <c r="AP85" i="11"/>
  <c r="B69" i="13"/>
  <c r="BD69" i="11"/>
  <c r="AX69" i="11"/>
  <c r="BF69" i="11"/>
  <c r="P69" i="11"/>
  <c r="AN69" i="11"/>
  <c r="J69" i="11"/>
  <c r="AJ69" i="11"/>
  <c r="AF69" i="11"/>
  <c r="AB69" i="11"/>
  <c r="AR69" i="11"/>
  <c r="BJ69" i="11"/>
  <c r="BB69" i="11"/>
  <c r="AZ69" i="11"/>
  <c r="X69" i="11"/>
  <c r="D69" i="11"/>
  <c r="Z69" i="11"/>
  <c r="V69" i="11"/>
  <c r="T69" i="11"/>
  <c r="AD69" i="11"/>
  <c r="N69" i="11"/>
  <c r="L69" i="11"/>
  <c r="H69" i="11"/>
  <c r="AP69" i="11"/>
  <c r="AL69" i="11"/>
  <c r="BH69" i="11"/>
  <c r="AT69" i="11"/>
  <c r="R69" i="11"/>
  <c r="AH69" i="11"/>
  <c r="F69" i="11"/>
  <c r="AV69" i="11"/>
  <c r="B45" i="18"/>
  <c r="BJ45" i="19"/>
  <c r="BH45" i="19"/>
  <c r="AF45" i="19"/>
  <c r="AT45" i="19"/>
  <c r="N45" i="19"/>
  <c r="AB45" i="19"/>
  <c r="AP45" i="19"/>
  <c r="J45" i="19"/>
  <c r="X45" i="19"/>
  <c r="AL45" i="19"/>
  <c r="F45" i="19"/>
  <c r="AZ45" i="19"/>
  <c r="T45" i="19"/>
  <c r="AH45" i="19"/>
  <c r="AV45" i="19"/>
  <c r="P45" i="19"/>
  <c r="AD45" i="19"/>
  <c r="AR45" i="19"/>
  <c r="L45" i="19"/>
  <c r="Z45" i="19"/>
  <c r="D45" i="19"/>
  <c r="AN45" i="19"/>
  <c r="H45" i="19"/>
  <c r="BF45" i="19"/>
  <c r="BD45" i="19"/>
  <c r="V45" i="19"/>
  <c r="BB45" i="19"/>
  <c r="AJ45" i="19"/>
  <c r="AX45" i="19"/>
  <c r="R45" i="19"/>
  <c r="B33" i="18"/>
  <c r="AZ33" i="19"/>
  <c r="T33" i="19"/>
  <c r="AT33" i="19"/>
  <c r="N33" i="19"/>
  <c r="AN33" i="19"/>
  <c r="H33" i="19"/>
  <c r="AH33" i="19"/>
  <c r="BH33" i="19"/>
  <c r="AB33" i="19"/>
  <c r="BB33" i="19"/>
  <c r="V33" i="19"/>
  <c r="AV33" i="19"/>
  <c r="P33" i="19"/>
  <c r="AP33" i="19"/>
  <c r="J33" i="19"/>
  <c r="AJ33" i="19"/>
  <c r="BJ33" i="19"/>
  <c r="AD33" i="19"/>
  <c r="BD33" i="19"/>
  <c r="X33" i="19"/>
  <c r="AX33" i="19"/>
  <c r="R33" i="19"/>
  <c r="AR33" i="19"/>
  <c r="L33" i="19"/>
  <c r="D33" i="19"/>
  <c r="AL33" i="19"/>
  <c r="F33" i="19"/>
  <c r="AF33" i="19"/>
  <c r="BF33" i="19"/>
  <c r="Z33" i="19"/>
  <c r="BF36" i="16"/>
  <c r="AZ36" i="16"/>
  <c r="BH36" i="16"/>
  <c r="BB36" i="16"/>
  <c r="BJ36" i="16"/>
  <c r="BD36" i="16"/>
  <c r="AX36" i="16"/>
  <c r="AF36" i="16"/>
  <c r="Z36" i="16"/>
  <c r="T36" i="16"/>
  <c r="AT36" i="16"/>
  <c r="N36" i="16"/>
  <c r="AN36" i="16"/>
  <c r="H36" i="16"/>
  <c r="AH36" i="16"/>
  <c r="AB36" i="16"/>
  <c r="V36" i="16"/>
  <c r="AV36" i="16"/>
  <c r="P36" i="16"/>
  <c r="AP36" i="16"/>
  <c r="J36" i="16"/>
  <c r="AJ36" i="16"/>
  <c r="AD36" i="16"/>
  <c r="D36" i="16"/>
  <c r="X36" i="16"/>
  <c r="R36" i="16"/>
  <c r="AR36" i="16"/>
  <c r="L36" i="16"/>
  <c r="AL36" i="16"/>
  <c r="F36" i="16"/>
  <c r="BF18" i="16"/>
  <c r="AZ18" i="16"/>
  <c r="BH18" i="16"/>
  <c r="BB18" i="16"/>
  <c r="BJ18" i="16"/>
  <c r="X18" i="16"/>
  <c r="AX18" i="16"/>
  <c r="R18" i="16"/>
  <c r="D18" i="16"/>
  <c r="AR18" i="16"/>
  <c r="L18" i="16"/>
  <c r="AL18" i="16"/>
  <c r="F18" i="16"/>
  <c r="AF18" i="16"/>
  <c r="Z18" i="16"/>
  <c r="T18" i="16"/>
  <c r="AT18" i="16"/>
  <c r="N18" i="16"/>
  <c r="AN18" i="16"/>
  <c r="H18" i="16"/>
  <c r="BD18" i="16"/>
  <c r="AH18" i="16"/>
  <c r="AB18" i="16"/>
  <c r="V18" i="16"/>
  <c r="AV18" i="16"/>
  <c r="P18" i="16"/>
  <c r="AP18" i="16"/>
  <c r="J18" i="16"/>
  <c r="AJ18" i="16"/>
  <c r="AD18" i="16"/>
  <c r="B18" i="12"/>
  <c r="B35" i="18"/>
  <c r="BH35" i="19"/>
  <c r="AB35" i="19"/>
  <c r="BB35" i="19"/>
  <c r="V35" i="19"/>
  <c r="AV35" i="19"/>
  <c r="P35" i="19"/>
  <c r="AP35" i="19"/>
  <c r="J35" i="19"/>
  <c r="AJ35" i="19"/>
  <c r="BJ35" i="19"/>
  <c r="AD35" i="19"/>
  <c r="BD35" i="19"/>
  <c r="X35" i="19"/>
  <c r="D35" i="19"/>
  <c r="AX35" i="19"/>
  <c r="R35" i="19"/>
  <c r="AR35" i="19"/>
  <c r="L35" i="19"/>
  <c r="AL35" i="19"/>
  <c r="F35" i="19"/>
  <c r="AF35" i="19"/>
  <c r="BF35" i="19"/>
  <c r="Z35" i="19"/>
  <c r="AZ35" i="19"/>
  <c r="T35" i="19"/>
  <c r="AT35" i="19"/>
  <c r="N35" i="19"/>
  <c r="AN35" i="19"/>
  <c r="H35" i="19"/>
  <c r="AH35" i="19"/>
  <c r="B54" i="18"/>
  <c r="BF54" i="19"/>
  <c r="BH54" i="19"/>
  <c r="BD54" i="19"/>
  <c r="BJ54" i="19"/>
  <c r="AB54" i="19"/>
  <c r="D54" i="19"/>
  <c r="AP54" i="19"/>
  <c r="J54" i="19"/>
  <c r="X54" i="19"/>
  <c r="AL54" i="19"/>
  <c r="F54" i="19"/>
  <c r="AZ54" i="19"/>
  <c r="T54" i="19"/>
  <c r="AH54" i="19"/>
  <c r="AV54" i="19"/>
  <c r="P54" i="19"/>
  <c r="AD54" i="19"/>
  <c r="AR54" i="19"/>
  <c r="L54" i="19"/>
  <c r="Z54" i="19"/>
  <c r="AN54" i="19"/>
  <c r="H54" i="19"/>
  <c r="V54" i="19"/>
  <c r="AJ54" i="19"/>
  <c r="AX54" i="19"/>
  <c r="R54" i="19"/>
  <c r="BB54" i="19"/>
  <c r="AF54" i="19"/>
  <c r="AT54" i="19"/>
  <c r="N54" i="19"/>
  <c r="B11" i="17"/>
  <c r="AN11" i="12"/>
  <c r="H11" i="12"/>
  <c r="AL11" i="12"/>
  <c r="F11" i="12"/>
  <c r="AJ11" i="12"/>
  <c r="AH11" i="12"/>
  <c r="AF11" i="12"/>
  <c r="BJ11" i="12"/>
  <c r="AD11" i="12"/>
  <c r="BH11" i="12"/>
  <c r="AB11" i="12"/>
  <c r="D11" i="12"/>
  <c r="BF11" i="12"/>
  <c r="Z11" i="12"/>
  <c r="BD11" i="12"/>
  <c r="X11" i="12"/>
  <c r="BB11" i="12"/>
  <c r="V11" i="12"/>
  <c r="AZ11" i="12"/>
  <c r="T11" i="12"/>
  <c r="AX11" i="12"/>
  <c r="R11" i="12"/>
  <c r="AV11" i="12"/>
  <c r="P11" i="12"/>
  <c r="AT11" i="12"/>
  <c r="N11" i="12"/>
  <c r="AR11" i="12"/>
  <c r="L11" i="12"/>
  <c r="AP11" i="12"/>
  <c r="J11" i="12"/>
  <c r="B48" i="18"/>
  <c r="BH48" i="19"/>
  <c r="BD48" i="19"/>
  <c r="BJ48" i="19"/>
  <c r="BF48" i="19"/>
  <c r="AZ48" i="19"/>
  <c r="T48" i="19"/>
  <c r="AH48" i="19"/>
  <c r="AV48" i="19"/>
  <c r="P48" i="19"/>
  <c r="D48" i="19"/>
  <c r="AD48" i="19"/>
  <c r="AR48" i="19"/>
  <c r="L48" i="19"/>
  <c r="Z48" i="19"/>
  <c r="AN48" i="19"/>
  <c r="H48" i="19"/>
  <c r="V48" i="19"/>
  <c r="BB48" i="19"/>
  <c r="AJ48" i="19"/>
  <c r="AX48" i="19"/>
  <c r="R48" i="19"/>
  <c r="AF48" i="19"/>
  <c r="AT48" i="19"/>
  <c r="N48" i="19"/>
  <c r="AB48" i="19"/>
  <c r="AP48" i="19"/>
  <c r="J48" i="19"/>
  <c r="X48" i="19"/>
  <c r="AL48" i="19"/>
  <c r="F48" i="19"/>
  <c r="B46" i="18"/>
  <c r="BF46" i="19"/>
  <c r="BH46" i="19"/>
  <c r="BD46" i="19"/>
  <c r="BJ46" i="19"/>
  <c r="AB46" i="19"/>
  <c r="AP46" i="19"/>
  <c r="J46" i="19"/>
  <c r="X46" i="19"/>
  <c r="AL46" i="19"/>
  <c r="F46" i="19"/>
  <c r="AZ46" i="19"/>
  <c r="T46" i="19"/>
  <c r="AH46" i="19"/>
  <c r="AV46" i="19"/>
  <c r="P46" i="19"/>
  <c r="AD46" i="19"/>
  <c r="AR46" i="19"/>
  <c r="L46" i="19"/>
  <c r="D46" i="19"/>
  <c r="Z46" i="19"/>
  <c r="AN46" i="19"/>
  <c r="H46" i="19"/>
  <c r="V46" i="19"/>
  <c r="BB46" i="19"/>
  <c r="AJ46" i="19"/>
  <c r="AX46" i="19"/>
  <c r="R46" i="19"/>
  <c r="AF46" i="19"/>
  <c r="AT46" i="19"/>
  <c r="N46" i="19"/>
  <c r="B34" i="18"/>
  <c r="AN34" i="19"/>
  <c r="H34" i="19"/>
  <c r="AH34" i="19"/>
  <c r="BH34" i="19"/>
  <c r="AB34" i="19"/>
  <c r="BB34" i="19"/>
  <c r="V34" i="19"/>
  <c r="AV34" i="19"/>
  <c r="P34" i="19"/>
  <c r="AP34" i="19"/>
  <c r="J34" i="19"/>
  <c r="AJ34" i="19"/>
  <c r="BJ34" i="19"/>
  <c r="AD34" i="19"/>
  <c r="BD34" i="19"/>
  <c r="X34" i="19"/>
  <c r="AX34" i="19"/>
  <c r="R34" i="19"/>
  <c r="D34" i="19"/>
  <c r="AR34" i="19"/>
  <c r="L34" i="19"/>
  <c r="AL34" i="19"/>
  <c r="F34" i="19"/>
  <c r="AF34" i="19"/>
  <c r="BF34" i="19"/>
  <c r="Z34" i="19"/>
  <c r="AZ34" i="19"/>
  <c r="T34" i="19"/>
  <c r="AT34" i="19"/>
  <c r="N34" i="19"/>
  <c r="B44" i="18"/>
  <c r="BJ44" i="19"/>
  <c r="BH44" i="19"/>
  <c r="BB44" i="19"/>
  <c r="AJ44" i="19"/>
  <c r="AX44" i="19"/>
  <c r="R44" i="19"/>
  <c r="AF44" i="19"/>
  <c r="AT44" i="19"/>
  <c r="N44" i="19"/>
  <c r="AB44" i="19"/>
  <c r="AP44" i="19"/>
  <c r="J44" i="19"/>
  <c r="X44" i="19"/>
  <c r="AL44" i="19"/>
  <c r="F44" i="19"/>
  <c r="AZ44" i="19"/>
  <c r="T44" i="19"/>
  <c r="AH44" i="19"/>
  <c r="AV44" i="19"/>
  <c r="P44" i="19"/>
  <c r="AD44" i="19"/>
  <c r="AR44" i="19"/>
  <c r="L44" i="19"/>
  <c r="Z44" i="19"/>
  <c r="BF44" i="19"/>
  <c r="AN44" i="19"/>
  <c r="H44" i="19"/>
  <c r="D44" i="19"/>
  <c r="BD44" i="19"/>
  <c r="V44" i="19"/>
  <c r="BB23" i="16"/>
  <c r="BJ23" i="16"/>
  <c r="BD23" i="16"/>
  <c r="BF23" i="16"/>
  <c r="AZ23" i="16"/>
  <c r="BH23" i="16"/>
  <c r="AB23" i="16"/>
  <c r="V23" i="16"/>
  <c r="AV23" i="16"/>
  <c r="P23" i="16"/>
  <c r="D23" i="16"/>
  <c r="AP23" i="16"/>
  <c r="J23" i="16"/>
  <c r="AJ23" i="16"/>
  <c r="AD23" i="16"/>
  <c r="X23" i="16"/>
  <c r="AX23" i="16"/>
  <c r="R23" i="16"/>
  <c r="AR23" i="16"/>
  <c r="L23" i="16"/>
  <c r="AL23" i="16"/>
  <c r="F23" i="16"/>
  <c r="AF23" i="16"/>
  <c r="Z23" i="16"/>
  <c r="T23" i="16"/>
  <c r="AT23" i="16"/>
  <c r="N23" i="16"/>
  <c r="AN23" i="16"/>
  <c r="H23" i="16"/>
  <c r="AH23" i="16"/>
  <c r="B23" i="12"/>
  <c r="B10" i="17"/>
  <c r="AR10" i="12"/>
  <c r="L10" i="12"/>
  <c r="AP10" i="12"/>
  <c r="J10" i="12"/>
  <c r="AN10" i="12"/>
  <c r="H10" i="12"/>
  <c r="AL10" i="12"/>
  <c r="F10" i="12"/>
  <c r="AJ10" i="12"/>
  <c r="AH10" i="12"/>
  <c r="AF10" i="12"/>
  <c r="BJ10" i="12"/>
  <c r="AD10" i="12"/>
  <c r="BH10" i="12"/>
  <c r="AB10" i="12"/>
  <c r="BF10" i="12"/>
  <c r="Z10" i="12"/>
  <c r="D10" i="12"/>
  <c r="BD10" i="12"/>
  <c r="X10" i="12"/>
  <c r="BB10" i="12"/>
  <c r="V10" i="12"/>
  <c r="AZ10" i="12"/>
  <c r="T10" i="12"/>
  <c r="AX10" i="12"/>
  <c r="R10" i="12"/>
  <c r="AV10" i="12"/>
  <c r="P10" i="12"/>
  <c r="AT10" i="12"/>
  <c r="N10" i="12"/>
  <c r="B71" i="13"/>
  <c r="AF71" i="11"/>
  <c r="BF71" i="11"/>
  <c r="BH71" i="11"/>
  <c r="X71" i="11"/>
  <c r="BJ71" i="11"/>
  <c r="AX71" i="11"/>
  <c r="R71" i="11"/>
  <c r="BD71" i="11"/>
  <c r="AR71" i="11"/>
  <c r="BB71" i="11"/>
  <c r="AV71" i="11"/>
  <c r="P71" i="11"/>
  <c r="AN71" i="11"/>
  <c r="Z71" i="11"/>
  <c r="V71" i="11"/>
  <c r="J71" i="11"/>
  <c r="AJ71" i="11"/>
  <c r="T71" i="11"/>
  <c r="AD71" i="11"/>
  <c r="AB71" i="11"/>
  <c r="N71" i="11"/>
  <c r="H71" i="11"/>
  <c r="AL71" i="11"/>
  <c r="AT71" i="11"/>
  <c r="AP71" i="11"/>
  <c r="D71" i="11"/>
  <c r="AH71" i="11"/>
  <c r="F71" i="11"/>
  <c r="AZ71" i="11"/>
  <c r="L71" i="11"/>
  <c r="B84" i="13"/>
  <c r="AJ84" i="11"/>
  <c r="BJ84" i="11"/>
  <c r="BB84" i="11"/>
  <c r="AV84" i="11"/>
  <c r="BF84" i="11"/>
  <c r="AP84" i="11"/>
  <c r="V84" i="11"/>
  <c r="AZ84" i="11"/>
  <c r="AT84" i="11"/>
  <c r="AN84" i="11"/>
  <c r="AX84" i="11"/>
  <c r="H84" i="11"/>
  <c r="AB84" i="11"/>
  <c r="Z84" i="11"/>
  <c r="R84" i="11"/>
  <c r="AF84" i="11"/>
  <c r="AD84" i="11"/>
  <c r="L84" i="11"/>
  <c r="F84" i="11"/>
  <c r="P84" i="11"/>
  <c r="BH84" i="11"/>
  <c r="J84" i="11"/>
  <c r="AH84" i="11"/>
  <c r="X84" i="11"/>
  <c r="BD84" i="11"/>
  <c r="AR84" i="11"/>
  <c r="N84" i="11"/>
  <c r="AL84" i="11"/>
  <c r="D84" i="11"/>
  <c r="T84" i="11"/>
  <c r="B68" i="13"/>
  <c r="AJ68" i="11"/>
  <c r="BJ68" i="11"/>
  <c r="AZ68" i="11"/>
  <c r="AT68" i="11"/>
  <c r="V68" i="11"/>
  <c r="BF68" i="11"/>
  <c r="AN68" i="11"/>
  <c r="AX68" i="11"/>
  <c r="BD68" i="11"/>
  <c r="AR68" i="11"/>
  <c r="AH68" i="11"/>
  <c r="L68" i="11"/>
  <c r="BH68" i="11"/>
  <c r="F68" i="11"/>
  <c r="BB68" i="11"/>
  <c r="X68" i="11"/>
  <c r="P68" i="11"/>
  <c r="J68" i="11"/>
  <c r="D68" i="11"/>
  <c r="AB68" i="11"/>
  <c r="Z68" i="11"/>
  <c r="AV68" i="11"/>
  <c r="N68" i="11"/>
  <c r="H68" i="11"/>
  <c r="AP68" i="11"/>
  <c r="AL68" i="11"/>
  <c r="T68" i="11"/>
  <c r="R68" i="11"/>
  <c r="AF68" i="11"/>
  <c r="AD68" i="11"/>
  <c r="B36" i="18"/>
  <c r="AV36" i="19"/>
  <c r="P36" i="19"/>
  <c r="AP36" i="19"/>
  <c r="J36" i="19"/>
  <c r="AJ36" i="19"/>
  <c r="BJ36" i="19"/>
  <c r="AD36" i="19"/>
  <c r="D36" i="19"/>
  <c r="BD36" i="19"/>
  <c r="X36" i="19"/>
  <c r="AX36" i="19"/>
  <c r="R36" i="19"/>
  <c r="AR36" i="19"/>
  <c r="L36" i="19"/>
  <c r="AL36" i="19"/>
  <c r="F36" i="19"/>
  <c r="AF36" i="19"/>
  <c r="BF36" i="19"/>
  <c r="Z36" i="19"/>
  <c r="AZ36" i="19"/>
  <c r="T36" i="19"/>
  <c r="AT36" i="19"/>
  <c r="N36" i="19"/>
  <c r="AN36" i="19"/>
  <c r="H36" i="19"/>
  <c r="AH36" i="19"/>
  <c r="BH36" i="19"/>
  <c r="AB36" i="19"/>
  <c r="BB36" i="19"/>
  <c r="V36" i="19"/>
  <c r="B47" i="18"/>
  <c r="BH47" i="19"/>
  <c r="BD47" i="19"/>
  <c r="BJ47" i="19"/>
  <c r="X47" i="19"/>
  <c r="AL47" i="19"/>
  <c r="F47" i="19"/>
  <c r="AZ47" i="19"/>
  <c r="T47" i="19"/>
  <c r="AH47" i="19"/>
  <c r="AV47" i="19"/>
  <c r="P47" i="19"/>
  <c r="AD47" i="19"/>
  <c r="D47" i="19"/>
  <c r="AR47" i="19"/>
  <c r="L47" i="19"/>
  <c r="Z47" i="19"/>
  <c r="AN47" i="19"/>
  <c r="H47" i="19"/>
  <c r="V47" i="19"/>
  <c r="BB47" i="19"/>
  <c r="AJ47" i="19"/>
  <c r="AX47" i="19"/>
  <c r="R47" i="19"/>
  <c r="BF47" i="19"/>
  <c r="AF47" i="19"/>
  <c r="AT47" i="19"/>
  <c r="N47" i="19"/>
  <c r="AB47" i="19"/>
  <c r="AP47" i="19"/>
  <c r="J47" i="19"/>
  <c r="BH21" i="16"/>
  <c r="BB21" i="16"/>
  <c r="BJ21" i="16"/>
  <c r="BD21" i="16"/>
  <c r="BF21" i="16"/>
  <c r="T21" i="16"/>
  <c r="AT21" i="16"/>
  <c r="N21" i="16"/>
  <c r="AN21" i="16"/>
  <c r="H21" i="16"/>
  <c r="AH21" i="16"/>
  <c r="AB21" i="16"/>
  <c r="V21" i="16"/>
  <c r="AV21" i="16"/>
  <c r="P21" i="16"/>
  <c r="AP21" i="16"/>
  <c r="J21" i="16"/>
  <c r="AJ21" i="16"/>
  <c r="D21" i="16"/>
  <c r="AD21" i="16"/>
  <c r="X21" i="16"/>
  <c r="AX21" i="16"/>
  <c r="R21" i="16"/>
  <c r="AR21" i="16"/>
  <c r="L21" i="16"/>
  <c r="AL21" i="16"/>
  <c r="F21" i="16"/>
  <c r="AZ21" i="16"/>
  <c r="AF21" i="16"/>
  <c r="Z21" i="16"/>
  <c r="B21" i="12"/>
  <c r="BF34" i="16"/>
  <c r="AZ34" i="16"/>
  <c r="BH34" i="16"/>
  <c r="BB34" i="16"/>
  <c r="BJ34" i="16"/>
  <c r="BD34" i="16"/>
  <c r="X34" i="16"/>
  <c r="AX34" i="16"/>
  <c r="R34" i="16"/>
  <c r="D34" i="16"/>
  <c r="AR34" i="16"/>
  <c r="L34" i="16"/>
  <c r="AL34" i="16"/>
  <c r="F34" i="16"/>
  <c r="AF34" i="16"/>
  <c r="Z34" i="16"/>
  <c r="T34" i="16"/>
  <c r="AT34" i="16"/>
  <c r="N34" i="16"/>
  <c r="AN34" i="16"/>
  <c r="H34" i="16"/>
  <c r="AH34" i="16"/>
  <c r="AB34" i="16"/>
  <c r="V34" i="16"/>
  <c r="AV34" i="16"/>
  <c r="P34" i="16"/>
  <c r="AP34" i="16"/>
  <c r="J34" i="16"/>
  <c r="AJ34" i="16"/>
  <c r="AD34" i="16"/>
  <c r="BJ17" i="16"/>
  <c r="BD17" i="16"/>
  <c r="BI16" i="16"/>
  <c r="BC16" i="16"/>
  <c r="BF17" i="16"/>
  <c r="AZ17" i="16"/>
  <c r="BE16" i="16"/>
  <c r="AY16" i="16"/>
  <c r="BH17" i="16"/>
  <c r="BB17" i="16"/>
  <c r="BG16" i="16"/>
  <c r="BA16" i="16"/>
  <c r="AU16" i="16"/>
  <c r="AJ17" i="16"/>
  <c r="O16" i="16"/>
  <c r="AO16" i="16"/>
  <c r="AD17" i="16"/>
  <c r="I16" i="16"/>
  <c r="AI16" i="16"/>
  <c r="X17" i="16"/>
  <c r="AX17" i="16"/>
  <c r="AC16" i="16"/>
  <c r="R17" i="16"/>
  <c r="AR17" i="16"/>
  <c r="W16" i="16"/>
  <c r="L17" i="16"/>
  <c r="D17" i="16"/>
  <c r="AW16" i="16"/>
  <c r="AL17" i="16"/>
  <c r="Q16" i="16"/>
  <c r="F17" i="16"/>
  <c r="AQ16" i="16"/>
  <c r="AF17" i="16"/>
  <c r="K16" i="16"/>
  <c r="AK16" i="16"/>
  <c r="Z17" i="16"/>
  <c r="E16" i="16"/>
  <c r="C16" i="16"/>
  <c r="AE16" i="16"/>
  <c r="T17" i="16"/>
  <c r="AT17" i="16"/>
  <c r="Y16" i="16"/>
  <c r="N17" i="16"/>
  <c r="AN17" i="16"/>
  <c r="S16" i="16"/>
  <c r="H17" i="16"/>
  <c r="AS16" i="16"/>
  <c r="AH17" i="16"/>
  <c r="M16" i="16"/>
  <c r="AM16" i="16"/>
  <c r="AB17" i="16"/>
  <c r="G16" i="16"/>
  <c r="AG16" i="16"/>
  <c r="V17" i="16"/>
  <c r="AV17" i="16"/>
  <c r="AA16" i="16"/>
  <c r="P17" i="16"/>
  <c r="AP17" i="16"/>
  <c r="U16" i="16"/>
  <c r="J17" i="16"/>
  <c r="B17" i="12"/>
  <c r="BG4" i="13"/>
  <c r="AN5" i="13"/>
  <c r="AT5" i="13"/>
  <c r="AG4" i="13"/>
  <c r="BD5" i="13"/>
  <c r="AA4" i="13"/>
  <c r="H5" i="13"/>
  <c r="AO4" i="13"/>
  <c r="AH5" i="13"/>
  <c r="N5" i="13"/>
  <c r="BC4" i="13"/>
  <c r="AV5" i="13"/>
  <c r="T5" i="13"/>
  <c r="G4" i="13"/>
  <c r="BJ5" i="13"/>
  <c r="Z5" i="13"/>
  <c r="M4" i="13"/>
  <c r="AU4" i="13"/>
  <c r="AM4" i="13"/>
  <c r="AF5" i="13"/>
  <c r="S4" i="13"/>
  <c r="BI4" i="13"/>
  <c r="BB5" i="13"/>
  <c r="Y4" i="13"/>
  <c r="F5" i="13"/>
  <c r="AE4" i="13"/>
  <c r="L5" i="13"/>
  <c r="BA4" i="13"/>
  <c r="AS4" i="13"/>
  <c r="AL5" i="13"/>
  <c r="AZ5" i="13"/>
  <c r="O4" i="13"/>
  <c r="AK4" i="13"/>
  <c r="X5" i="13"/>
  <c r="AY4" i="13"/>
  <c r="C4" i="13"/>
  <c r="W4" i="13"/>
  <c r="K4" i="13"/>
  <c r="AJ5" i="13"/>
  <c r="AX5" i="13"/>
  <c r="AI4" i="13"/>
  <c r="V5" i="13"/>
  <c r="J5" i="13"/>
  <c r="AW4" i="13"/>
  <c r="BH5" i="13"/>
  <c r="U4" i="13"/>
  <c r="I4" i="13"/>
  <c r="AD5" i="13"/>
  <c r="R5" i="13"/>
  <c r="AC4" i="13"/>
  <c r="D5" i="13"/>
  <c r="AB5" i="13"/>
  <c r="BF5" i="13"/>
  <c r="BE4" i="13"/>
  <c r="Q4" i="13"/>
  <c r="AR5" i="13"/>
  <c r="AQ4" i="13"/>
  <c r="AP5" i="13"/>
  <c r="P5" i="13"/>
  <c r="E4" i="13"/>
  <c r="B70" i="13"/>
  <c r="AR70" i="11"/>
  <c r="BF70" i="11"/>
  <c r="AJ70" i="11"/>
  <c r="AF70" i="11"/>
  <c r="AB70" i="11"/>
  <c r="X70" i="11"/>
  <c r="BJ70" i="11"/>
  <c r="AX70" i="11"/>
  <c r="BD70" i="11"/>
  <c r="BB70" i="11"/>
  <c r="AV70" i="11"/>
  <c r="BH70" i="11"/>
  <c r="AZ70" i="11"/>
  <c r="D70" i="11"/>
  <c r="P70" i="11"/>
  <c r="AN70" i="11"/>
  <c r="Z70" i="11"/>
  <c r="V70" i="11"/>
  <c r="J70" i="11"/>
  <c r="T70" i="11"/>
  <c r="AD70" i="11"/>
  <c r="N70" i="11"/>
  <c r="AL70" i="11"/>
  <c r="AT70" i="11"/>
  <c r="R70" i="11"/>
  <c r="AH70" i="11"/>
  <c r="F70" i="11"/>
  <c r="L70" i="11"/>
  <c r="H70" i="11"/>
  <c r="AP70" i="11"/>
  <c r="B40" i="18"/>
  <c r="BH40" i="19"/>
  <c r="BJ40" i="19"/>
  <c r="BF40" i="19"/>
  <c r="AZ40" i="19"/>
  <c r="T40" i="19"/>
  <c r="AH40" i="19"/>
  <c r="AV40" i="19"/>
  <c r="P40" i="19"/>
  <c r="AD40" i="19"/>
  <c r="AR40" i="19"/>
  <c r="L40" i="19"/>
  <c r="BD40" i="19"/>
  <c r="Z40" i="19"/>
  <c r="AN40" i="19"/>
  <c r="H40" i="19"/>
  <c r="BB40" i="19"/>
  <c r="V40" i="19"/>
  <c r="AJ40" i="19"/>
  <c r="AX40" i="19"/>
  <c r="R40" i="19"/>
  <c r="AF40" i="19"/>
  <c r="D40" i="19"/>
  <c r="AT40" i="19"/>
  <c r="N40" i="19"/>
  <c r="AB40" i="19"/>
  <c r="AP40" i="19"/>
  <c r="J40" i="19"/>
  <c r="X40" i="19"/>
  <c r="AL40" i="19"/>
  <c r="F40" i="19"/>
  <c r="B27" i="18"/>
  <c r="BH27" i="19"/>
  <c r="AB27" i="19"/>
  <c r="BB27" i="19"/>
  <c r="V27" i="19"/>
  <c r="AV27" i="19"/>
  <c r="P27" i="19"/>
  <c r="AP27" i="19"/>
  <c r="J27" i="19"/>
  <c r="AJ27" i="19"/>
  <c r="BJ27" i="19"/>
  <c r="AD27" i="19"/>
  <c r="BD27" i="19"/>
  <c r="X27" i="19"/>
  <c r="AX27" i="19"/>
  <c r="R27" i="19"/>
  <c r="AR27" i="19"/>
  <c r="L27" i="19"/>
  <c r="AL27" i="19"/>
  <c r="F27" i="19"/>
  <c r="AF27" i="19"/>
  <c r="BF27" i="19"/>
  <c r="Z27" i="19"/>
  <c r="AZ27" i="19"/>
  <c r="T27" i="19"/>
  <c r="AT27" i="19"/>
  <c r="N27" i="19"/>
  <c r="AN27" i="19"/>
  <c r="H27" i="19"/>
  <c r="D27" i="19"/>
  <c r="AH27" i="19"/>
  <c r="B37" i="18"/>
  <c r="AJ37" i="19"/>
  <c r="D37" i="19"/>
  <c r="BJ37" i="19"/>
  <c r="AD37" i="19"/>
  <c r="BD37" i="19"/>
  <c r="X37" i="19"/>
  <c r="AX37" i="19"/>
  <c r="R37" i="19"/>
  <c r="AR37" i="19"/>
  <c r="L37" i="19"/>
  <c r="AL37" i="19"/>
  <c r="F37" i="19"/>
  <c r="AF37" i="19"/>
  <c r="BF37" i="19"/>
  <c r="Z37" i="19"/>
  <c r="AZ37" i="19"/>
  <c r="T37" i="19"/>
  <c r="AT37" i="19"/>
  <c r="N37" i="19"/>
  <c r="AN37" i="19"/>
  <c r="H37" i="19"/>
  <c r="AH37" i="19"/>
  <c r="BH37" i="19"/>
  <c r="AB37" i="19"/>
  <c r="BB37" i="19"/>
  <c r="V37" i="19"/>
  <c r="AV37" i="19"/>
  <c r="P37" i="19"/>
  <c r="AP37" i="19"/>
  <c r="J37" i="19"/>
  <c r="B14" i="17"/>
  <c r="BH14" i="12"/>
  <c r="AB14" i="12"/>
  <c r="BF14" i="12"/>
  <c r="Z14" i="12"/>
  <c r="BD14" i="12"/>
  <c r="X14" i="12"/>
  <c r="BB14" i="12"/>
  <c r="V14" i="12"/>
  <c r="AZ14" i="12"/>
  <c r="T14" i="12"/>
  <c r="AX14" i="12"/>
  <c r="R14" i="12"/>
  <c r="AV14" i="12"/>
  <c r="P14" i="12"/>
  <c r="AT14" i="12"/>
  <c r="N14" i="12"/>
  <c r="AR14" i="12"/>
  <c r="L14" i="12"/>
  <c r="AP14" i="12"/>
  <c r="J14" i="12"/>
  <c r="AN14" i="12"/>
  <c r="H14" i="12"/>
  <c r="AL14" i="12"/>
  <c r="F14" i="12"/>
  <c r="AJ14" i="12"/>
  <c r="AH14" i="12"/>
  <c r="D14" i="12"/>
  <c r="AF14" i="12"/>
  <c r="BJ14" i="12"/>
  <c r="AD14" i="12"/>
  <c r="BB14" i="17" l="1"/>
  <c r="V14" i="17"/>
  <c r="AZ14" i="17"/>
  <c r="T14" i="17"/>
  <c r="AX14" i="17"/>
  <c r="R14" i="17"/>
  <c r="AV14" i="17"/>
  <c r="P14" i="17"/>
  <c r="AT14" i="17"/>
  <c r="N14" i="17"/>
  <c r="AR14" i="17"/>
  <c r="L14" i="17"/>
  <c r="AP14" i="17"/>
  <c r="J14" i="17"/>
  <c r="AN14" i="17"/>
  <c r="H14" i="17"/>
  <c r="AL14" i="17"/>
  <c r="F14" i="17"/>
  <c r="AJ14" i="17"/>
  <c r="AH14" i="17"/>
  <c r="D14" i="17"/>
  <c r="AF14" i="17"/>
  <c r="BJ14" i="17"/>
  <c r="AD14" i="17"/>
  <c r="BH14" i="17"/>
  <c r="AB14" i="17"/>
  <c r="BF14" i="17"/>
  <c r="Z14" i="17"/>
  <c r="BD14" i="17"/>
  <c r="X14" i="17"/>
  <c r="B14" i="19"/>
  <c r="B36" i="11"/>
  <c r="AJ36" i="18"/>
  <c r="BJ36" i="18"/>
  <c r="AD36" i="18"/>
  <c r="BD36" i="18"/>
  <c r="X36" i="18"/>
  <c r="AX36" i="18"/>
  <c r="R36" i="18"/>
  <c r="AR36" i="18"/>
  <c r="AL36" i="18"/>
  <c r="AF36" i="18"/>
  <c r="BF36" i="18"/>
  <c r="Z36" i="18"/>
  <c r="AZ36" i="18"/>
  <c r="T36" i="18"/>
  <c r="AT36" i="18"/>
  <c r="AN36" i="18"/>
  <c r="AH36" i="18"/>
  <c r="BH36" i="18"/>
  <c r="BB36" i="18"/>
  <c r="V36" i="18"/>
  <c r="AV36" i="18"/>
  <c r="AP36" i="18"/>
  <c r="P36" i="18"/>
  <c r="H36" i="18"/>
  <c r="J36" i="18"/>
  <c r="D36" i="18"/>
  <c r="N36" i="18"/>
  <c r="L36" i="18"/>
  <c r="AB36" i="18"/>
  <c r="F36" i="18"/>
  <c r="B33" i="11"/>
  <c r="AN33" i="18"/>
  <c r="AH33" i="18"/>
  <c r="BH33" i="18"/>
  <c r="AB33" i="18"/>
  <c r="BB33" i="18"/>
  <c r="V33" i="18"/>
  <c r="AV33" i="18"/>
  <c r="AP33" i="18"/>
  <c r="AJ33" i="18"/>
  <c r="BJ33" i="18"/>
  <c r="AD33" i="18"/>
  <c r="BD33" i="18"/>
  <c r="X33" i="18"/>
  <c r="AX33" i="18"/>
  <c r="AR33" i="18"/>
  <c r="AL33" i="18"/>
  <c r="AF33" i="18"/>
  <c r="BF33" i="18"/>
  <c r="Z33" i="18"/>
  <c r="AZ33" i="18"/>
  <c r="AT33" i="18"/>
  <c r="L33" i="18"/>
  <c r="D33" i="18"/>
  <c r="F33" i="18"/>
  <c r="P33" i="18"/>
  <c r="T33" i="18"/>
  <c r="H33" i="18"/>
  <c r="J33" i="18"/>
  <c r="N33" i="18"/>
  <c r="R33" i="18"/>
  <c r="B25" i="17"/>
  <c r="AH25" i="12"/>
  <c r="BH25" i="12"/>
  <c r="AB25" i="12"/>
  <c r="D25" i="12"/>
  <c r="BB25" i="12"/>
  <c r="V25" i="12"/>
  <c r="AV25" i="12"/>
  <c r="P25" i="12"/>
  <c r="AP25" i="12"/>
  <c r="J25" i="12"/>
  <c r="AJ25" i="12"/>
  <c r="BJ25" i="12"/>
  <c r="AD25" i="12"/>
  <c r="BD25" i="12"/>
  <c r="X25" i="12"/>
  <c r="AX25" i="12"/>
  <c r="R25" i="12"/>
  <c r="AR25" i="12"/>
  <c r="L25" i="12"/>
  <c r="AL25" i="12"/>
  <c r="F25" i="12"/>
  <c r="AF25" i="12"/>
  <c r="BF25" i="12"/>
  <c r="Z25" i="12"/>
  <c r="AZ25" i="12"/>
  <c r="T25" i="12"/>
  <c r="AT25" i="12"/>
  <c r="N25" i="12"/>
  <c r="AN25" i="12"/>
  <c r="H25" i="12"/>
  <c r="AP9" i="17"/>
  <c r="J9" i="17"/>
  <c r="AN9" i="17"/>
  <c r="H9" i="17"/>
  <c r="AL9" i="17"/>
  <c r="F9" i="17"/>
  <c r="AJ9" i="17"/>
  <c r="AH9" i="17"/>
  <c r="AF9" i="17"/>
  <c r="BJ9" i="17"/>
  <c r="AD9" i="17"/>
  <c r="BH9" i="17"/>
  <c r="AB9" i="17"/>
  <c r="BF9" i="17"/>
  <c r="Z9" i="17"/>
  <c r="BD9" i="17"/>
  <c r="X9" i="17"/>
  <c r="D9" i="17"/>
  <c r="BB9" i="17"/>
  <c r="V9" i="17"/>
  <c r="AZ9" i="17"/>
  <c r="T9" i="17"/>
  <c r="AX9" i="17"/>
  <c r="R9" i="17"/>
  <c r="AV9" i="17"/>
  <c r="P9" i="17"/>
  <c r="AT9" i="17"/>
  <c r="N9" i="17"/>
  <c r="AR9" i="17"/>
  <c r="L9" i="17"/>
  <c r="B9" i="19"/>
  <c r="BB83" i="13"/>
  <c r="V83" i="13"/>
  <c r="AV83" i="13"/>
  <c r="P83" i="13"/>
  <c r="AP83" i="13"/>
  <c r="J83" i="13"/>
  <c r="AJ83" i="13"/>
  <c r="BJ83" i="13"/>
  <c r="AD83" i="13"/>
  <c r="BD83" i="13"/>
  <c r="X83" i="13"/>
  <c r="D83" i="13"/>
  <c r="AX83" i="13"/>
  <c r="R83" i="13"/>
  <c r="AR83" i="13"/>
  <c r="L83" i="13"/>
  <c r="AL83" i="13"/>
  <c r="AF83" i="13"/>
  <c r="Z83" i="13"/>
  <c r="T83" i="13"/>
  <c r="N83" i="13"/>
  <c r="H83" i="13"/>
  <c r="BH83" i="13"/>
  <c r="AH83" i="13"/>
  <c r="AZ83" i="13"/>
  <c r="AN83" i="13"/>
  <c r="AB83" i="13"/>
  <c r="F83" i="13"/>
  <c r="BF83" i="13"/>
  <c r="AT83" i="13"/>
  <c r="B47" i="11"/>
  <c r="BD47" i="18"/>
  <c r="X47" i="18"/>
  <c r="AL47" i="18"/>
  <c r="AZ47" i="18"/>
  <c r="T47" i="18"/>
  <c r="AH47" i="18"/>
  <c r="AV47" i="18"/>
  <c r="BJ47" i="18"/>
  <c r="AD47" i="18"/>
  <c r="AR47" i="18"/>
  <c r="BF47" i="18"/>
  <c r="Z47" i="18"/>
  <c r="AN47" i="18"/>
  <c r="BB47" i="18"/>
  <c r="V47" i="18"/>
  <c r="AJ47" i="18"/>
  <c r="AX47" i="18"/>
  <c r="AT47" i="18"/>
  <c r="BH47" i="18"/>
  <c r="AP47" i="18"/>
  <c r="R47" i="18"/>
  <c r="AB47" i="18"/>
  <c r="D47" i="18"/>
  <c r="L47" i="18"/>
  <c r="H47" i="18"/>
  <c r="P47" i="18"/>
  <c r="N47" i="18"/>
  <c r="J47" i="18"/>
  <c r="AF47" i="18"/>
  <c r="F47" i="18"/>
  <c r="BE64" i="13"/>
  <c r="AT65" i="13"/>
  <c r="Y64" i="13"/>
  <c r="N65" i="13"/>
  <c r="AY64" i="13"/>
  <c r="AN65" i="13"/>
  <c r="S64" i="13"/>
  <c r="H65" i="13"/>
  <c r="AS64" i="13"/>
  <c r="AH65" i="13"/>
  <c r="M64" i="13"/>
  <c r="BH65" i="13"/>
  <c r="AM64" i="13"/>
  <c r="AB65" i="13"/>
  <c r="G64" i="13"/>
  <c r="BB65" i="13"/>
  <c r="AG64" i="13"/>
  <c r="V65" i="13"/>
  <c r="BG64" i="13"/>
  <c r="AV65" i="13"/>
  <c r="AA64" i="13"/>
  <c r="P65" i="13"/>
  <c r="BA64" i="13"/>
  <c r="AP65" i="13"/>
  <c r="U64" i="13"/>
  <c r="J65" i="13"/>
  <c r="AU64" i="13"/>
  <c r="AJ65" i="13"/>
  <c r="O64" i="13"/>
  <c r="BJ65" i="13"/>
  <c r="I64" i="13"/>
  <c r="BD65" i="13"/>
  <c r="BI64" i="13"/>
  <c r="AX65" i="13"/>
  <c r="BC64" i="13"/>
  <c r="AR65" i="13"/>
  <c r="AW64" i="13"/>
  <c r="AL65" i="13"/>
  <c r="AQ64" i="13"/>
  <c r="AF65" i="13"/>
  <c r="AK64" i="13"/>
  <c r="Z65" i="13"/>
  <c r="AE64" i="13"/>
  <c r="T65" i="13"/>
  <c r="AO64" i="13"/>
  <c r="AD65" i="13"/>
  <c r="AI64" i="13"/>
  <c r="W64" i="13"/>
  <c r="Q64" i="13"/>
  <c r="L65" i="13"/>
  <c r="K64" i="13"/>
  <c r="AC64" i="13"/>
  <c r="BF65" i="13"/>
  <c r="F65" i="13"/>
  <c r="E64" i="13"/>
  <c r="D65" i="13"/>
  <c r="C64" i="13"/>
  <c r="X65" i="13"/>
  <c r="AZ65" i="13"/>
  <c r="R65" i="13"/>
  <c r="AT73" i="13"/>
  <c r="N73" i="13"/>
  <c r="AN73" i="13"/>
  <c r="H73" i="13"/>
  <c r="AH73" i="13"/>
  <c r="BH73" i="13"/>
  <c r="AB73" i="13"/>
  <c r="D73" i="13"/>
  <c r="BB73" i="13"/>
  <c r="V73" i="13"/>
  <c r="AV73" i="13"/>
  <c r="P73" i="13"/>
  <c r="AP73" i="13"/>
  <c r="J73" i="13"/>
  <c r="AJ73" i="13"/>
  <c r="AD73" i="13"/>
  <c r="X73" i="13"/>
  <c r="R73" i="13"/>
  <c r="L73" i="13"/>
  <c r="F73" i="13"/>
  <c r="BF73" i="13"/>
  <c r="AZ73" i="13"/>
  <c r="BJ73" i="13"/>
  <c r="BD73" i="13"/>
  <c r="AX73" i="13"/>
  <c r="AL73" i="13"/>
  <c r="T73" i="13"/>
  <c r="Z73" i="13"/>
  <c r="AR73" i="13"/>
  <c r="AF73" i="13"/>
  <c r="BB67" i="13"/>
  <c r="V67" i="13"/>
  <c r="AV67" i="13"/>
  <c r="P67" i="13"/>
  <c r="AP67" i="13"/>
  <c r="J67" i="13"/>
  <c r="AJ67" i="13"/>
  <c r="BJ67" i="13"/>
  <c r="AD67" i="13"/>
  <c r="BD67" i="13"/>
  <c r="X67" i="13"/>
  <c r="D67" i="13"/>
  <c r="AX67" i="13"/>
  <c r="R67" i="13"/>
  <c r="AR67" i="13"/>
  <c r="L67" i="13"/>
  <c r="AL67" i="13"/>
  <c r="AF67" i="13"/>
  <c r="Z67" i="13"/>
  <c r="T67" i="13"/>
  <c r="N67" i="13"/>
  <c r="H67" i="13"/>
  <c r="BH67" i="13"/>
  <c r="BF67" i="13"/>
  <c r="F67" i="13"/>
  <c r="AT67" i="13"/>
  <c r="AH67" i="13"/>
  <c r="AZ67" i="13"/>
  <c r="AN67" i="13"/>
  <c r="AB67" i="13"/>
  <c r="AX15" i="17"/>
  <c r="R15" i="17"/>
  <c r="AV15" i="17"/>
  <c r="P15" i="17"/>
  <c r="AT15" i="17"/>
  <c r="N15" i="17"/>
  <c r="AR15" i="17"/>
  <c r="L15" i="17"/>
  <c r="AP15" i="17"/>
  <c r="J15" i="17"/>
  <c r="AN15" i="17"/>
  <c r="H15" i="17"/>
  <c r="AL15" i="17"/>
  <c r="F15" i="17"/>
  <c r="AJ15" i="17"/>
  <c r="D15" i="17"/>
  <c r="AH15" i="17"/>
  <c r="AF15" i="17"/>
  <c r="BJ15" i="17"/>
  <c r="AD15" i="17"/>
  <c r="BH15" i="17"/>
  <c r="AB15" i="17"/>
  <c r="BF15" i="17"/>
  <c r="Z15" i="17"/>
  <c r="BD15" i="17"/>
  <c r="X15" i="17"/>
  <c r="BB15" i="17"/>
  <c r="V15" i="17"/>
  <c r="AZ15" i="17"/>
  <c r="T15" i="17"/>
  <c r="B15" i="19"/>
  <c r="B24" i="17"/>
  <c r="AT24" i="12"/>
  <c r="N24" i="12"/>
  <c r="AN24" i="12"/>
  <c r="H24" i="12"/>
  <c r="AH24" i="12"/>
  <c r="BH24" i="12"/>
  <c r="AB24" i="12"/>
  <c r="BB24" i="12"/>
  <c r="V24" i="12"/>
  <c r="D24" i="12"/>
  <c r="AV24" i="12"/>
  <c r="P24" i="12"/>
  <c r="AP24" i="12"/>
  <c r="J24" i="12"/>
  <c r="AJ24" i="12"/>
  <c r="BJ24" i="12"/>
  <c r="AD24" i="12"/>
  <c r="BD24" i="12"/>
  <c r="X24" i="12"/>
  <c r="AX24" i="12"/>
  <c r="R24" i="12"/>
  <c r="AR24" i="12"/>
  <c r="L24" i="12"/>
  <c r="AL24" i="12"/>
  <c r="F24" i="12"/>
  <c r="AF24" i="12"/>
  <c r="BF24" i="12"/>
  <c r="Z24" i="12"/>
  <c r="AZ24" i="12"/>
  <c r="T24" i="12"/>
  <c r="AX78" i="13"/>
  <c r="R78" i="13"/>
  <c r="AR78" i="13"/>
  <c r="L78" i="13"/>
  <c r="AL78" i="13"/>
  <c r="F78" i="13"/>
  <c r="AF78" i="13"/>
  <c r="BF78" i="13"/>
  <c r="Z78" i="13"/>
  <c r="D78" i="13"/>
  <c r="AZ78" i="13"/>
  <c r="T78" i="13"/>
  <c r="AT78" i="13"/>
  <c r="N78" i="13"/>
  <c r="AN78" i="13"/>
  <c r="H78" i="13"/>
  <c r="AH78" i="13"/>
  <c r="AB78" i="13"/>
  <c r="V78" i="13"/>
  <c r="P78" i="13"/>
  <c r="J78" i="13"/>
  <c r="BJ78" i="13"/>
  <c r="BD78" i="13"/>
  <c r="BH78" i="13"/>
  <c r="AP78" i="13"/>
  <c r="AD78" i="13"/>
  <c r="AV78" i="13"/>
  <c r="AJ78" i="13"/>
  <c r="X78" i="13"/>
  <c r="BB78" i="13"/>
  <c r="B56" i="11"/>
  <c r="AZ56" i="18"/>
  <c r="T56" i="18"/>
  <c r="AH56" i="18"/>
  <c r="AV56" i="18"/>
  <c r="P56" i="18"/>
  <c r="BJ56" i="18"/>
  <c r="AD56" i="18"/>
  <c r="AR56" i="18"/>
  <c r="BF56" i="18"/>
  <c r="Z56" i="18"/>
  <c r="AN56" i="18"/>
  <c r="BB56" i="18"/>
  <c r="V56" i="18"/>
  <c r="AJ56" i="18"/>
  <c r="AX56" i="18"/>
  <c r="AF56" i="18"/>
  <c r="AT56" i="18"/>
  <c r="BH56" i="18"/>
  <c r="AP56" i="18"/>
  <c r="BD56" i="18"/>
  <c r="L56" i="18"/>
  <c r="AL56" i="18"/>
  <c r="H56" i="18"/>
  <c r="D56" i="18"/>
  <c r="R56" i="18"/>
  <c r="AB56" i="18"/>
  <c r="X56" i="18"/>
  <c r="J56" i="18"/>
  <c r="N56" i="18"/>
  <c r="F56" i="18"/>
  <c r="B20" i="17"/>
  <c r="BJ20" i="12"/>
  <c r="AD20" i="12"/>
  <c r="D20" i="12"/>
  <c r="BD20" i="12"/>
  <c r="X20" i="12"/>
  <c r="AX20" i="12"/>
  <c r="R20" i="12"/>
  <c r="AR20" i="12"/>
  <c r="L20" i="12"/>
  <c r="AL20" i="12"/>
  <c r="F20" i="12"/>
  <c r="AF20" i="12"/>
  <c r="BF20" i="12"/>
  <c r="Z20" i="12"/>
  <c r="AZ20" i="12"/>
  <c r="T20" i="12"/>
  <c r="AT20" i="12"/>
  <c r="N20" i="12"/>
  <c r="AN20" i="12"/>
  <c r="H20" i="12"/>
  <c r="AH20" i="12"/>
  <c r="BH20" i="12"/>
  <c r="AB20" i="12"/>
  <c r="BB20" i="12"/>
  <c r="V20" i="12"/>
  <c r="AV20" i="12"/>
  <c r="P20" i="12"/>
  <c r="AP20" i="12"/>
  <c r="J20" i="12"/>
  <c r="AJ20" i="12"/>
  <c r="BB75" i="13"/>
  <c r="V75" i="13"/>
  <c r="AV75" i="13"/>
  <c r="P75" i="13"/>
  <c r="AP75" i="13"/>
  <c r="J75" i="13"/>
  <c r="AJ75" i="13"/>
  <c r="BJ75" i="13"/>
  <c r="AD75" i="13"/>
  <c r="BD75" i="13"/>
  <c r="X75" i="13"/>
  <c r="AX75" i="13"/>
  <c r="R75" i="13"/>
  <c r="AR75" i="13"/>
  <c r="L75" i="13"/>
  <c r="F75" i="13"/>
  <c r="BF75" i="13"/>
  <c r="AZ75" i="13"/>
  <c r="AT75" i="13"/>
  <c r="AN75" i="13"/>
  <c r="AH75" i="13"/>
  <c r="AB75" i="13"/>
  <c r="AL75" i="13"/>
  <c r="AF75" i="13"/>
  <c r="T75" i="13"/>
  <c r="Z75" i="13"/>
  <c r="N75" i="13"/>
  <c r="D75" i="13"/>
  <c r="H75" i="13"/>
  <c r="BH75" i="13"/>
  <c r="B22" i="17"/>
  <c r="AL22" i="12"/>
  <c r="F22" i="12"/>
  <c r="AF22" i="12"/>
  <c r="BF22" i="12"/>
  <c r="Z22" i="12"/>
  <c r="AZ22" i="12"/>
  <c r="T22" i="12"/>
  <c r="AT22" i="12"/>
  <c r="N22" i="12"/>
  <c r="AN22" i="12"/>
  <c r="H22" i="12"/>
  <c r="AH22" i="12"/>
  <c r="BH22" i="12"/>
  <c r="AB22" i="12"/>
  <c r="BB22" i="12"/>
  <c r="V22" i="12"/>
  <c r="AV22" i="12"/>
  <c r="P22" i="12"/>
  <c r="AP22" i="12"/>
  <c r="J22" i="12"/>
  <c r="D22" i="12"/>
  <c r="AJ22" i="12"/>
  <c r="BJ22" i="12"/>
  <c r="AD22" i="12"/>
  <c r="BD22" i="12"/>
  <c r="X22" i="12"/>
  <c r="AX22" i="12"/>
  <c r="R22" i="12"/>
  <c r="AR22" i="12"/>
  <c r="L22" i="12"/>
  <c r="B43" i="11"/>
  <c r="AN43" i="18"/>
  <c r="BB43" i="18"/>
  <c r="V43" i="18"/>
  <c r="AJ43" i="18"/>
  <c r="AX43" i="18"/>
  <c r="R43" i="18"/>
  <c r="AF43" i="18"/>
  <c r="AT43" i="18"/>
  <c r="BH43" i="18"/>
  <c r="AB43" i="18"/>
  <c r="AP43" i="18"/>
  <c r="BD43" i="18"/>
  <c r="AL43" i="18"/>
  <c r="AZ43" i="18"/>
  <c r="T43" i="18"/>
  <c r="AH43" i="18"/>
  <c r="AV43" i="18"/>
  <c r="BJ43" i="18"/>
  <c r="AR43" i="18"/>
  <c r="BF43" i="18"/>
  <c r="P43" i="18"/>
  <c r="X43" i="18"/>
  <c r="N43" i="18"/>
  <c r="J43" i="18"/>
  <c r="Z43" i="18"/>
  <c r="AD43" i="18"/>
  <c r="F43" i="18"/>
  <c r="L43" i="18"/>
  <c r="H43" i="18"/>
  <c r="D43" i="18"/>
  <c r="B21" i="17"/>
  <c r="AX21" i="12"/>
  <c r="R21" i="12"/>
  <c r="AR21" i="12"/>
  <c r="L21" i="12"/>
  <c r="AL21" i="12"/>
  <c r="F21" i="12"/>
  <c r="AF21" i="12"/>
  <c r="BF21" i="12"/>
  <c r="Z21" i="12"/>
  <c r="AZ21" i="12"/>
  <c r="T21" i="12"/>
  <c r="AT21" i="12"/>
  <c r="N21" i="12"/>
  <c r="AN21" i="12"/>
  <c r="H21" i="12"/>
  <c r="AH21" i="12"/>
  <c r="BH21" i="12"/>
  <c r="AB21" i="12"/>
  <c r="BB21" i="12"/>
  <c r="V21" i="12"/>
  <c r="AV21" i="12"/>
  <c r="P21" i="12"/>
  <c r="AP21" i="12"/>
  <c r="J21" i="12"/>
  <c r="AJ21" i="12"/>
  <c r="D21" i="12"/>
  <c r="BJ21" i="12"/>
  <c r="AD21" i="12"/>
  <c r="BD21" i="12"/>
  <c r="X21" i="12"/>
  <c r="B35" i="11"/>
  <c r="AV35" i="18"/>
  <c r="P35" i="18"/>
  <c r="AP35" i="18"/>
  <c r="AJ35" i="18"/>
  <c r="BJ35" i="18"/>
  <c r="AD35" i="18"/>
  <c r="BD35" i="18"/>
  <c r="X35" i="18"/>
  <c r="AX35" i="18"/>
  <c r="R35" i="18"/>
  <c r="AR35" i="18"/>
  <c r="AL35" i="18"/>
  <c r="AF35" i="18"/>
  <c r="BF35" i="18"/>
  <c r="Z35" i="18"/>
  <c r="AZ35" i="18"/>
  <c r="T35" i="18"/>
  <c r="AT35" i="18"/>
  <c r="AN35" i="18"/>
  <c r="AH35" i="18"/>
  <c r="BH35" i="18"/>
  <c r="AB35" i="18"/>
  <c r="BB35" i="18"/>
  <c r="H35" i="18"/>
  <c r="V35" i="18"/>
  <c r="J35" i="18"/>
  <c r="N35" i="18"/>
  <c r="D35" i="18"/>
  <c r="L35" i="18"/>
  <c r="F35" i="18"/>
  <c r="AP76" i="13"/>
  <c r="J76" i="13"/>
  <c r="AJ76" i="13"/>
  <c r="BJ76" i="13"/>
  <c r="AD76" i="13"/>
  <c r="BD76" i="13"/>
  <c r="X76" i="13"/>
  <c r="AX76" i="13"/>
  <c r="R76" i="13"/>
  <c r="AR76" i="13"/>
  <c r="L76" i="13"/>
  <c r="AL76" i="13"/>
  <c r="F76" i="13"/>
  <c r="AF76" i="13"/>
  <c r="BF76" i="13"/>
  <c r="AZ76" i="13"/>
  <c r="AT76" i="13"/>
  <c r="AN76" i="13"/>
  <c r="AH76" i="13"/>
  <c r="AB76" i="13"/>
  <c r="V76" i="13"/>
  <c r="P76" i="13"/>
  <c r="Z76" i="13"/>
  <c r="BB76" i="13"/>
  <c r="H76" i="13"/>
  <c r="BH76" i="13"/>
  <c r="AV76" i="13"/>
  <c r="D76" i="13"/>
  <c r="T76" i="13"/>
  <c r="N76" i="13"/>
  <c r="B57" i="11"/>
  <c r="AV57" i="18"/>
  <c r="P57" i="18"/>
  <c r="BJ57" i="18"/>
  <c r="AD57" i="18"/>
  <c r="AR57" i="18"/>
  <c r="BF57" i="18"/>
  <c r="Z57" i="18"/>
  <c r="AN57" i="18"/>
  <c r="BB57" i="18"/>
  <c r="V57" i="18"/>
  <c r="AJ57" i="18"/>
  <c r="AX57" i="18"/>
  <c r="R57" i="18"/>
  <c r="AF57" i="18"/>
  <c r="AT57" i="18"/>
  <c r="BH57" i="18"/>
  <c r="AB57" i="18"/>
  <c r="AP57" i="18"/>
  <c r="BD57" i="18"/>
  <c r="AL57" i="18"/>
  <c r="AZ57" i="18"/>
  <c r="L57" i="18"/>
  <c r="H57" i="18"/>
  <c r="D57" i="18"/>
  <c r="AH57" i="18"/>
  <c r="X57" i="18"/>
  <c r="T57" i="18"/>
  <c r="J57" i="18"/>
  <c r="N57" i="18"/>
  <c r="F57" i="18"/>
  <c r="B31" i="11"/>
  <c r="AF31" i="18"/>
  <c r="BF31" i="18"/>
  <c r="Z31" i="18"/>
  <c r="AZ31" i="18"/>
  <c r="T31" i="18"/>
  <c r="AT31" i="18"/>
  <c r="N31" i="18"/>
  <c r="AN31" i="18"/>
  <c r="AH31" i="18"/>
  <c r="BH31" i="18"/>
  <c r="AB31" i="18"/>
  <c r="BB31" i="18"/>
  <c r="V31" i="18"/>
  <c r="AV31" i="18"/>
  <c r="P31" i="18"/>
  <c r="AP31" i="18"/>
  <c r="AJ31" i="18"/>
  <c r="BJ31" i="18"/>
  <c r="AD31" i="18"/>
  <c r="BD31" i="18"/>
  <c r="AX31" i="18"/>
  <c r="AR31" i="18"/>
  <c r="AL31" i="18"/>
  <c r="R31" i="18"/>
  <c r="L31" i="18"/>
  <c r="F31" i="18"/>
  <c r="D31" i="18"/>
  <c r="H31" i="18"/>
  <c r="X31" i="18"/>
  <c r="J31" i="18"/>
  <c r="B54" i="11"/>
  <c r="BH54" i="18"/>
  <c r="AB54" i="18"/>
  <c r="AP54" i="18"/>
  <c r="BD54" i="18"/>
  <c r="X54" i="18"/>
  <c r="AL54" i="18"/>
  <c r="AZ54" i="18"/>
  <c r="T54" i="18"/>
  <c r="AH54" i="18"/>
  <c r="AV54" i="18"/>
  <c r="P54" i="18"/>
  <c r="BJ54" i="18"/>
  <c r="AD54" i="18"/>
  <c r="AR54" i="18"/>
  <c r="BF54" i="18"/>
  <c r="Z54" i="18"/>
  <c r="AN54" i="18"/>
  <c r="BB54" i="18"/>
  <c r="AJ54" i="18"/>
  <c r="AX54" i="18"/>
  <c r="AF54" i="18"/>
  <c r="AT54" i="18"/>
  <c r="N54" i="18"/>
  <c r="F54" i="18"/>
  <c r="L54" i="18"/>
  <c r="H54" i="18"/>
  <c r="V54" i="18"/>
  <c r="R54" i="18"/>
  <c r="D54" i="18"/>
  <c r="J54" i="18"/>
  <c r="B18" i="17"/>
  <c r="BB18" i="12"/>
  <c r="V18" i="12"/>
  <c r="AV18" i="12"/>
  <c r="P18" i="12"/>
  <c r="AP18" i="12"/>
  <c r="J18" i="12"/>
  <c r="AJ18" i="12"/>
  <c r="BJ18" i="12"/>
  <c r="AD18" i="12"/>
  <c r="BD18" i="12"/>
  <c r="X18" i="12"/>
  <c r="AX18" i="12"/>
  <c r="R18" i="12"/>
  <c r="D18" i="12"/>
  <c r="AR18" i="12"/>
  <c r="L18" i="12"/>
  <c r="AL18" i="12"/>
  <c r="F18" i="12"/>
  <c r="AF18" i="12"/>
  <c r="BF18" i="12"/>
  <c r="Z18" i="12"/>
  <c r="AZ18" i="12"/>
  <c r="T18" i="12"/>
  <c r="AT18" i="12"/>
  <c r="N18" i="12"/>
  <c r="AN18" i="12"/>
  <c r="H18" i="12"/>
  <c r="AH18" i="12"/>
  <c r="BH18" i="12"/>
  <c r="AB18" i="12"/>
  <c r="BG59" i="13"/>
  <c r="BD60" i="13"/>
  <c r="BC59" i="13"/>
  <c r="BJ60" i="13"/>
  <c r="BI59" i="13"/>
  <c r="BF60" i="13"/>
  <c r="AQ59" i="13"/>
  <c r="AN60" i="13"/>
  <c r="K59" i="13"/>
  <c r="H60" i="13"/>
  <c r="BB60" i="13"/>
  <c r="Y59" i="13"/>
  <c r="V60" i="13"/>
  <c r="AM59" i="13"/>
  <c r="AJ60" i="13"/>
  <c r="G59" i="13"/>
  <c r="BA59" i="13"/>
  <c r="AX60" i="13"/>
  <c r="U59" i="13"/>
  <c r="R60" i="13"/>
  <c r="BH60" i="13"/>
  <c r="AZ60" i="13"/>
  <c r="AU59" i="13"/>
  <c r="AB60" i="13"/>
  <c r="W59" i="13"/>
  <c r="AP60" i="13"/>
  <c r="AK59" i="13"/>
  <c r="M59" i="13"/>
  <c r="AY59" i="13"/>
  <c r="AF60" i="13"/>
  <c r="AA59" i="13"/>
  <c r="BE59" i="13"/>
  <c r="AT60" i="13"/>
  <c r="AO59" i="13"/>
  <c r="Q59" i="13"/>
  <c r="D60" i="13"/>
  <c r="AE59" i="13"/>
  <c r="AS59" i="13"/>
  <c r="AI59" i="13"/>
  <c r="C59" i="13"/>
  <c r="AW59" i="13"/>
  <c r="L60" i="13"/>
  <c r="Z60" i="13"/>
  <c r="P60" i="13"/>
  <c r="AD60" i="13"/>
  <c r="F60" i="13"/>
  <c r="AR60" i="13"/>
  <c r="T60" i="13"/>
  <c r="O59" i="13"/>
  <c r="AH60" i="13"/>
  <c r="AC59" i="13"/>
  <c r="J60" i="13"/>
  <c r="E59" i="13"/>
  <c r="X60" i="13"/>
  <c r="S59" i="13"/>
  <c r="N60" i="13"/>
  <c r="AV60" i="13"/>
  <c r="I59" i="13"/>
  <c r="AL60" i="13"/>
  <c r="AG59" i="13"/>
  <c r="BF80" i="13"/>
  <c r="Z80" i="13"/>
  <c r="AZ80" i="13"/>
  <c r="T80" i="13"/>
  <c r="AT80" i="13"/>
  <c r="N80" i="13"/>
  <c r="AN80" i="13"/>
  <c r="H80" i="13"/>
  <c r="AH80" i="13"/>
  <c r="BH80" i="13"/>
  <c r="AB80" i="13"/>
  <c r="BB80" i="13"/>
  <c r="V80" i="13"/>
  <c r="AV80" i="13"/>
  <c r="P80" i="13"/>
  <c r="J80" i="13"/>
  <c r="BJ80" i="13"/>
  <c r="BD80" i="13"/>
  <c r="AX80" i="13"/>
  <c r="AR80" i="13"/>
  <c r="AL80" i="13"/>
  <c r="AF80" i="13"/>
  <c r="AP80" i="13"/>
  <c r="AJ80" i="13"/>
  <c r="X80" i="13"/>
  <c r="R80" i="13"/>
  <c r="L80" i="13"/>
  <c r="D80" i="13"/>
  <c r="AD80" i="13"/>
  <c r="F80" i="13"/>
  <c r="B58" i="11"/>
  <c r="AR58" i="18"/>
  <c r="BF58" i="18"/>
  <c r="Z58" i="18"/>
  <c r="AN58" i="18"/>
  <c r="BB58" i="18"/>
  <c r="V58" i="18"/>
  <c r="AJ58" i="18"/>
  <c r="AX58" i="18"/>
  <c r="AF58" i="18"/>
  <c r="AT58" i="18"/>
  <c r="BH58" i="18"/>
  <c r="AB58" i="18"/>
  <c r="AP58" i="18"/>
  <c r="BD58" i="18"/>
  <c r="X58" i="18"/>
  <c r="AL58" i="18"/>
  <c r="AZ58" i="18"/>
  <c r="AH58" i="18"/>
  <c r="AV58" i="18"/>
  <c r="BJ58" i="18"/>
  <c r="H58" i="18"/>
  <c r="AD58" i="18"/>
  <c r="D58" i="18"/>
  <c r="T58" i="18"/>
  <c r="R58" i="18"/>
  <c r="J58" i="18"/>
  <c r="N58" i="18"/>
  <c r="F58" i="18"/>
  <c r="P58" i="18"/>
  <c r="L58" i="18"/>
  <c r="AH11" i="17"/>
  <c r="AF11" i="17"/>
  <c r="BJ11" i="17"/>
  <c r="AD11" i="17"/>
  <c r="BH11" i="17"/>
  <c r="AB11" i="17"/>
  <c r="D11" i="17"/>
  <c r="BF11" i="17"/>
  <c r="Z11" i="17"/>
  <c r="BD11" i="17"/>
  <c r="X11" i="17"/>
  <c r="BB11" i="17"/>
  <c r="V11" i="17"/>
  <c r="AZ11" i="17"/>
  <c r="T11" i="17"/>
  <c r="AX11" i="17"/>
  <c r="R11" i="17"/>
  <c r="AV11" i="17"/>
  <c r="P11" i="17"/>
  <c r="AT11" i="17"/>
  <c r="N11" i="17"/>
  <c r="AR11" i="17"/>
  <c r="L11" i="17"/>
  <c r="AP11" i="17"/>
  <c r="J11" i="17"/>
  <c r="AN11" i="17"/>
  <c r="H11" i="17"/>
  <c r="AL11" i="17"/>
  <c r="F11" i="17"/>
  <c r="AJ11" i="17"/>
  <c r="B11" i="19"/>
  <c r="AH82" i="13"/>
  <c r="BH82" i="13"/>
  <c r="AB82" i="13"/>
  <c r="BB82" i="13"/>
  <c r="V82" i="13"/>
  <c r="AV82" i="13"/>
  <c r="P82" i="13"/>
  <c r="AP82" i="13"/>
  <c r="J82" i="13"/>
  <c r="AJ82" i="13"/>
  <c r="BJ82" i="13"/>
  <c r="AD82" i="13"/>
  <c r="BD82" i="13"/>
  <c r="X82" i="13"/>
  <c r="AX82" i="13"/>
  <c r="D82" i="13"/>
  <c r="AR82" i="13"/>
  <c r="AL82" i="13"/>
  <c r="AF82" i="13"/>
  <c r="Z82" i="13"/>
  <c r="T82" i="13"/>
  <c r="N82" i="13"/>
  <c r="AT82" i="13"/>
  <c r="R82" i="13"/>
  <c r="L82" i="13"/>
  <c r="AZ82" i="13"/>
  <c r="AN82" i="13"/>
  <c r="F82" i="13"/>
  <c r="BF82" i="13"/>
  <c r="H82" i="13"/>
  <c r="BF72" i="13"/>
  <c r="Z72" i="13"/>
  <c r="AZ72" i="13"/>
  <c r="T72" i="13"/>
  <c r="AT72" i="13"/>
  <c r="N72" i="13"/>
  <c r="AN72" i="13"/>
  <c r="H72" i="13"/>
  <c r="AH72" i="13"/>
  <c r="BH72" i="13"/>
  <c r="AB72" i="13"/>
  <c r="BB72" i="13"/>
  <c r="V72" i="13"/>
  <c r="D72" i="13"/>
  <c r="AV72" i="13"/>
  <c r="P72" i="13"/>
  <c r="AP72" i="13"/>
  <c r="AJ72" i="13"/>
  <c r="AD72" i="13"/>
  <c r="X72" i="13"/>
  <c r="R72" i="13"/>
  <c r="L72" i="13"/>
  <c r="F72" i="13"/>
  <c r="BJ72" i="13"/>
  <c r="AX72" i="13"/>
  <c r="AL72" i="13"/>
  <c r="J72" i="13"/>
  <c r="BD72" i="13"/>
  <c r="AR72" i="13"/>
  <c r="AF72" i="13"/>
  <c r="B42" i="11"/>
  <c r="AR42" i="18"/>
  <c r="BF42" i="18"/>
  <c r="Z42" i="18"/>
  <c r="AN42" i="18"/>
  <c r="BB42" i="18"/>
  <c r="V42" i="18"/>
  <c r="AJ42" i="18"/>
  <c r="AX42" i="18"/>
  <c r="AF42" i="18"/>
  <c r="AT42" i="18"/>
  <c r="BH42" i="18"/>
  <c r="AP42" i="18"/>
  <c r="BD42" i="18"/>
  <c r="X42" i="18"/>
  <c r="AL42" i="18"/>
  <c r="AZ42" i="18"/>
  <c r="AH42" i="18"/>
  <c r="AV42" i="18"/>
  <c r="BJ42" i="18"/>
  <c r="H42" i="18"/>
  <c r="D42" i="18"/>
  <c r="T42" i="18"/>
  <c r="P42" i="18"/>
  <c r="AB42" i="18"/>
  <c r="N42" i="18"/>
  <c r="J42" i="18"/>
  <c r="R42" i="18"/>
  <c r="AD42" i="18"/>
  <c r="F42" i="18"/>
  <c r="L42" i="18"/>
  <c r="B48" i="11"/>
  <c r="AZ48" i="18"/>
  <c r="T48" i="18"/>
  <c r="AH48" i="18"/>
  <c r="AV48" i="18"/>
  <c r="P48" i="18"/>
  <c r="BJ48" i="18"/>
  <c r="AD48" i="18"/>
  <c r="AR48" i="18"/>
  <c r="BF48" i="18"/>
  <c r="Z48" i="18"/>
  <c r="AN48" i="18"/>
  <c r="BB48" i="18"/>
  <c r="V48" i="18"/>
  <c r="AJ48" i="18"/>
  <c r="AX48" i="18"/>
  <c r="AF48" i="18"/>
  <c r="AT48" i="18"/>
  <c r="BH48" i="18"/>
  <c r="AP48" i="18"/>
  <c r="BD48" i="18"/>
  <c r="D48" i="18"/>
  <c r="AB48" i="18"/>
  <c r="X48" i="18"/>
  <c r="R48" i="18"/>
  <c r="L48" i="18"/>
  <c r="H48" i="18"/>
  <c r="AL48" i="18"/>
  <c r="N48" i="18"/>
  <c r="J48" i="18"/>
  <c r="F48" i="18"/>
  <c r="AH66" i="13"/>
  <c r="BH66" i="13"/>
  <c r="AB66" i="13"/>
  <c r="BB66" i="13"/>
  <c r="V66" i="13"/>
  <c r="AV66" i="13"/>
  <c r="P66" i="13"/>
  <c r="AP66" i="13"/>
  <c r="J66" i="13"/>
  <c r="AJ66" i="13"/>
  <c r="BJ66" i="13"/>
  <c r="AD66" i="13"/>
  <c r="BD66" i="13"/>
  <c r="X66" i="13"/>
  <c r="AX66" i="13"/>
  <c r="AR66" i="13"/>
  <c r="AL66" i="13"/>
  <c r="AF66" i="13"/>
  <c r="Z66" i="13"/>
  <c r="T66" i="13"/>
  <c r="N66" i="13"/>
  <c r="BF66" i="13"/>
  <c r="F66" i="13"/>
  <c r="AT66" i="13"/>
  <c r="D66" i="13"/>
  <c r="H66" i="13"/>
  <c r="AZ66" i="13"/>
  <c r="R66" i="13"/>
  <c r="AN66" i="13"/>
  <c r="L66" i="13"/>
  <c r="B41" i="11"/>
  <c r="AV41" i="18"/>
  <c r="P41" i="18"/>
  <c r="BJ41" i="18"/>
  <c r="AD41" i="18"/>
  <c r="AR41" i="18"/>
  <c r="BF41" i="18"/>
  <c r="Z41" i="18"/>
  <c r="AN41" i="18"/>
  <c r="BB41" i="18"/>
  <c r="V41" i="18"/>
  <c r="AJ41" i="18"/>
  <c r="AX41" i="18"/>
  <c r="R41" i="18"/>
  <c r="AF41" i="18"/>
  <c r="AT41" i="18"/>
  <c r="BH41" i="18"/>
  <c r="AB41" i="18"/>
  <c r="AP41" i="18"/>
  <c r="BD41" i="18"/>
  <c r="AL41" i="18"/>
  <c r="AZ41" i="18"/>
  <c r="L41" i="18"/>
  <c r="H41" i="18"/>
  <c r="X41" i="18"/>
  <c r="T41" i="18"/>
  <c r="D41" i="18"/>
  <c r="N41" i="18"/>
  <c r="J41" i="18"/>
  <c r="AH41" i="18"/>
  <c r="F41" i="18"/>
  <c r="B19" i="17"/>
  <c r="AP19" i="12"/>
  <c r="J19" i="12"/>
  <c r="AJ19" i="12"/>
  <c r="BJ19" i="12"/>
  <c r="AD19" i="12"/>
  <c r="BD19" i="12"/>
  <c r="X19" i="12"/>
  <c r="D19" i="12"/>
  <c r="AX19" i="12"/>
  <c r="R19" i="12"/>
  <c r="AR19" i="12"/>
  <c r="L19" i="12"/>
  <c r="AL19" i="12"/>
  <c r="F19" i="12"/>
  <c r="AF19" i="12"/>
  <c r="BF19" i="12"/>
  <c r="Z19" i="12"/>
  <c r="AZ19" i="12"/>
  <c r="T19" i="12"/>
  <c r="AT19" i="12"/>
  <c r="N19" i="12"/>
  <c r="AN19" i="12"/>
  <c r="H19" i="12"/>
  <c r="AH19" i="12"/>
  <c r="BH19" i="12"/>
  <c r="AB19" i="12"/>
  <c r="BB19" i="12"/>
  <c r="V19" i="12"/>
  <c r="AV19" i="12"/>
  <c r="P19" i="12"/>
  <c r="B46" i="11"/>
  <c r="BH46" i="18"/>
  <c r="AB46" i="18"/>
  <c r="AP46" i="18"/>
  <c r="BD46" i="18"/>
  <c r="X46" i="18"/>
  <c r="AL46" i="18"/>
  <c r="AZ46" i="18"/>
  <c r="T46" i="18"/>
  <c r="AH46" i="18"/>
  <c r="AV46" i="18"/>
  <c r="BJ46" i="18"/>
  <c r="AD46" i="18"/>
  <c r="AR46" i="18"/>
  <c r="BF46" i="18"/>
  <c r="Z46" i="18"/>
  <c r="AN46" i="18"/>
  <c r="BB46" i="18"/>
  <c r="AJ46" i="18"/>
  <c r="AX46" i="18"/>
  <c r="AF46" i="18"/>
  <c r="AT46" i="18"/>
  <c r="V46" i="18"/>
  <c r="F46" i="18"/>
  <c r="R46" i="18"/>
  <c r="L46" i="18"/>
  <c r="D46" i="18"/>
  <c r="H46" i="18"/>
  <c r="P46" i="18"/>
  <c r="N46" i="18"/>
  <c r="J46" i="18"/>
  <c r="BJ62" i="13"/>
  <c r="BF62" i="13"/>
  <c r="BB62" i="13"/>
  <c r="AF62" i="13"/>
  <c r="AT62" i="13"/>
  <c r="N62" i="13"/>
  <c r="BH62" i="13"/>
  <c r="AB62" i="13"/>
  <c r="AP62" i="13"/>
  <c r="J62" i="13"/>
  <c r="R62" i="13"/>
  <c r="D62" i="13"/>
  <c r="H62" i="13"/>
  <c r="V62" i="13"/>
  <c r="AJ62" i="13"/>
  <c r="L62" i="13"/>
  <c r="AX62" i="13"/>
  <c r="Z62" i="13"/>
  <c r="BD62" i="13"/>
  <c r="AN62" i="13"/>
  <c r="P62" i="13"/>
  <c r="AD62" i="13"/>
  <c r="F62" i="13"/>
  <c r="AR62" i="13"/>
  <c r="T62" i="13"/>
  <c r="AH62" i="13"/>
  <c r="AV62" i="13"/>
  <c r="X62" i="13"/>
  <c r="AL62" i="13"/>
  <c r="AZ62" i="13"/>
  <c r="BF63" i="13"/>
  <c r="BB63" i="13"/>
  <c r="BH63" i="13"/>
  <c r="AB63" i="13"/>
  <c r="AP63" i="13"/>
  <c r="J63" i="13"/>
  <c r="X63" i="13"/>
  <c r="AL63" i="13"/>
  <c r="F63" i="13"/>
  <c r="AF63" i="13"/>
  <c r="H63" i="13"/>
  <c r="AT63" i="13"/>
  <c r="V63" i="13"/>
  <c r="AJ63" i="13"/>
  <c r="L63" i="13"/>
  <c r="AX63" i="13"/>
  <c r="Z63" i="13"/>
  <c r="BD63" i="13"/>
  <c r="AN63" i="13"/>
  <c r="P63" i="13"/>
  <c r="AD63" i="13"/>
  <c r="AR63" i="13"/>
  <c r="T63" i="13"/>
  <c r="AH63" i="13"/>
  <c r="AV63" i="13"/>
  <c r="AZ63" i="13"/>
  <c r="BJ63" i="13"/>
  <c r="N63" i="13"/>
  <c r="R63" i="13"/>
  <c r="D63" i="13"/>
  <c r="B55" i="11"/>
  <c r="BD55" i="18"/>
  <c r="X55" i="18"/>
  <c r="AL55" i="18"/>
  <c r="AZ55" i="18"/>
  <c r="T55" i="18"/>
  <c r="AH55" i="18"/>
  <c r="AV55" i="18"/>
  <c r="BJ55" i="18"/>
  <c r="AD55" i="18"/>
  <c r="AR55" i="18"/>
  <c r="BF55" i="18"/>
  <c r="Z55" i="18"/>
  <c r="AN55" i="18"/>
  <c r="BB55" i="18"/>
  <c r="V55" i="18"/>
  <c r="AJ55" i="18"/>
  <c r="AX55" i="18"/>
  <c r="AT55" i="18"/>
  <c r="BH55" i="18"/>
  <c r="AP55" i="18"/>
  <c r="P55" i="18"/>
  <c r="L55" i="18"/>
  <c r="H55" i="18"/>
  <c r="R55" i="18"/>
  <c r="D55" i="18"/>
  <c r="AF55" i="18"/>
  <c r="AB55" i="18"/>
  <c r="J55" i="18"/>
  <c r="N55" i="18"/>
  <c r="F55" i="18"/>
  <c r="AH74" i="13"/>
  <c r="D74" i="13"/>
  <c r="BH74" i="13"/>
  <c r="AB74" i="13"/>
  <c r="BB74" i="13"/>
  <c r="V74" i="13"/>
  <c r="AV74" i="13"/>
  <c r="P74" i="13"/>
  <c r="AP74" i="13"/>
  <c r="J74" i="13"/>
  <c r="AJ74" i="13"/>
  <c r="BJ74" i="13"/>
  <c r="AD74" i="13"/>
  <c r="BD74" i="13"/>
  <c r="X74" i="13"/>
  <c r="R74" i="13"/>
  <c r="L74" i="13"/>
  <c r="F74" i="13"/>
  <c r="BF74" i="13"/>
  <c r="AZ74" i="13"/>
  <c r="AT74" i="13"/>
  <c r="AN74" i="13"/>
  <c r="AX74" i="13"/>
  <c r="AR74" i="13"/>
  <c r="AL74" i="13"/>
  <c r="T74" i="13"/>
  <c r="Z74" i="13"/>
  <c r="N74" i="13"/>
  <c r="H74" i="13"/>
  <c r="AF74" i="13"/>
  <c r="B17" i="17"/>
  <c r="AS16" i="12"/>
  <c r="AH17" i="12"/>
  <c r="M16" i="12"/>
  <c r="BH17" i="12"/>
  <c r="AM16" i="12"/>
  <c r="AB17" i="12"/>
  <c r="G16" i="12"/>
  <c r="BB17" i="12"/>
  <c r="AG16" i="12"/>
  <c r="V17" i="12"/>
  <c r="BG16" i="12"/>
  <c r="AV17" i="12"/>
  <c r="AA16" i="12"/>
  <c r="P17" i="12"/>
  <c r="BA16" i="12"/>
  <c r="AP17" i="12"/>
  <c r="U16" i="12"/>
  <c r="J17" i="12"/>
  <c r="AU16" i="12"/>
  <c r="AJ17" i="12"/>
  <c r="O16" i="12"/>
  <c r="BJ17" i="12"/>
  <c r="AO16" i="12"/>
  <c r="AD17" i="12"/>
  <c r="I16" i="12"/>
  <c r="BD17" i="12"/>
  <c r="AI16" i="12"/>
  <c r="X17" i="12"/>
  <c r="BI16" i="12"/>
  <c r="AX17" i="12"/>
  <c r="AC16" i="12"/>
  <c r="R17" i="12"/>
  <c r="BC16" i="12"/>
  <c r="AR17" i="12"/>
  <c r="W16" i="12"/>
  <c r="L17" i="12"/>
  <c r="D17" i="12"/>
  <c r="AW16" i="12"/>
  <c r="AL17" i="12"/>
  <c r="Q16" i="12"/>
  <c r="F17" i="12"/>
  <c r="AQ16" i="12"/>
  <c r="AF17" i="12"/>
  <c r="K16" i="12"/>
  <c r="BF17" i="12"/>
  <c r="AK16" i="12"/>
  <c r="Z17" i="12"/>
  <c r="E16" i="12"/>
  <c r="C16" i="12"/>
  <c r="AZ17" i="12"/>
  <c r="AE16" i="12"/>
  <c r="T17" i="12"/>
  <c r="BE16" i="12"/>
  <c r="AT17" i="12"/>
  <c r="Y16" i="12"/>
  <c r="N17" i="12"/>
  <c r="AY16" i="12"/>
  <c r="AN17" i="12"/>
  <c r="S16" i="12"/>
  <c r="H17" i="12"/>
  <c r="B34" i="11"/>
  <c r="BH34" i="18"/>
  <c r="AB34" i="18"/>
  <c r="BB34" i="18"/>
  <c r="V34" i="18"/>
  <c r="AV34" i="18"/>
  <c r="P34" i="18"/>
  <c r="AP34" i="18"/>
  <c r="AJ34" i="18"/>
  <c r="BJ34" i="18"/>
  <c r="AD34" i="18"/>
  <c r="BD34" i="18"/>
  <c r="X34" i="18"/>
  <c r="AX34" i="18"/>
  <c r="R34" i="18"/>
  <c r="AR34" i="18"/>
  <c r="AL34" i="18"/>
  <c r="AF34" i="18"/>
  <c r="BF34" i="18"/>
  <c r="Z34" i="18"/>
  <c r="AZ34" i="18"/>
  <c r="AT34" i="18"/>
  <c r="AN34" i="18"/>
  <c r="T34" i="18"/>
  <c r="AH34" i="18"/>
  <c r="H34" i="18"/>
  <c r="J34" i="18"/>
  <c r="N34" i="18"/>
  <c r="D34" i="18"/>
  <c r="L34" i="18"/>
  <c r="F34" i="18"/>
  <c r="AW7" i="17"/>
  <c r="AT8" i="17"/>
  <c r="Q7" i="17"/>
  <c r="N8" i="17"/>
  <c r="AU7" i="17"/>
  <c r="AR8" i="17"/>
  <c r="O7" i="17"/>
  <c r="L8" i="17"/>
  <c r="AS7" i="17"/>
  <c r="AP8" i="17"/>
  <c r="M7" i="17"/>
  <c r="J8" i="17"/>
  <c r="AQ7" i="17"/>
  <c r="AN8" i="17"/>
  <c r="K7" i="17"/>
  <c r="H8" i="17"/>
  <c r="AO7" i="17"/>
  <c r="AL8" i="17"/>
  <c r="I7" i="17"/>
  <c r="F8" i="17"/>
  <c r="AM7" i="17"/>
  <c r="AJ8" i="17"/>
  <c r="G7" i="17"/>
  <c r="AK7" i="17"/>
  <c r="AH8" i="17"/>
  <c r="E7" i="17"/>
  <c r="AI7" i="17"/>
  <c r="AF8" i="17"/>
  <c r="BJ8" i="17"/>
  <c r="AG7" i="17"/>
  <c r="AD8" i="17"/>
  <c r="BH8" i="17"/>
  <c r="AE7" i="17"/>
  <c r="AB8" i="17"/>
  <c r="BI7" i="17"/>
  <c r="BF8" i="17"/>
  <c r="AC7" i="17"/>
  <c r="Z8" i="17"/>
  <c r="BG7" i="17"/>
  <c r="BD8" i="17"/>
  <c r="AA7" i="17"/>
  <c r="X8" i="17"/>
  <c r="BE7" i="17"/>
  <c r="BB8" i="17"/>
  <c r="Y7" i="17"/>
  <c r="V8" i="17"/>
  <c r="D8" i="17"/>
  <c r="BC7" i="17"/>
  <c r="AZ8" i="17"/>
  <c r="W7" i="17"/>
  <c r="T8" i="17"/>
  <c r="BA7" i="17"/>
  <c r="AX8" i="17"/>
  <c r="U7" i="17"/>
  <c r="R8" i="17"/>
  <c r="AY7" i="17"/>
  <c r="AV8" i="17"/>
  <c r="S7" i="17"/>
  <c r="P8" i="17"/>
  <c r="C7" i="17"/>
  <c r="B8" i="19"/>
  <c r="B26" i="11"/>
  <c r="BH26" i="18"/>
  <c r="AB26" i="18"/>
  <c r="BB26" i="18"/>
  <c r="V26" i="18"/>
  <c r="AV26" i="18"/>
  <c r="P26" i="18"/>
  <c r="AP26" i="18"/>
  <c r="AJ26" i="18"/>
  <c r="BJ26" i="18"/>
  <c r="AD26" i="18"/>
  <c r="BD26" i="18"/>
  <c r="X26" i="18"/>
  <c r="AX26" i="18"/>
  <c r="R26" i="18"/>
  <c r="AR26" i="18"/>
  <c r="AL26" i="18"/>
  <c r="AF26" i="18"/>
  <c r="BF26" i="18"/>
  <c r="Z26" i="18"/>
  <c r="AZ26" i="18"/>
  <c r="AT26" i="18"/>
  <c r="AN26" i="18"/>
  <c r="AH26" i="18"/>
  <c r="H26" i="18"/>
  <c r="D26" i="18"/>
  <c r="T26" i="18"/>
  <c r="N26" i="18"/>
  <c r="J26" i="18"/>
  <c r="L26" i="18"/>
  <c r="F26" i="18"/>
  <c r="B30" i="11"/>
  <c r="AR30" i="18"/>
  <c r="AL30" i="18"/>
  <c r="AF30" i="18"/>
  <c r="BF30" i="18"/>
  <c r="Z30" i="18"/>
  <c r="AZ30" i="18"/>
  <c r="T30" i="18"/>
  <c r="AT30" i="18"/>
  <c r="AN30" i="18"/>
  <c r="AH30" i="18"/>
  <c r="BH30" i="18"/>
  <c r="AB30" i="18"/>
  <c r="BB30" i="18"/>
  <c r="AV30" i="18"/>
  <c r="AP30" i="18"/>
  <c r="AJ30" i="18"/>
  <c r="BJ30" i="18"/>
  <c r="AD30" i="18"/>
  <c r="BD30" i="18"/>
  <c r="AX30" i="18"/>
  <c r="N30" i="18"/>
  <c r="J30" i="18"/>
  <c r="R30" i="18"/>
  <c r="P30" i="18"/>
  <c r="L30" i="18"/>
  <c r="V30" i="18"/>
  <c r="F30" i="18"/>
  <c r="D30" i="18"/>
  <c r="H30" i="18"/>
  <c r="X30" i="18"/>
  <c r="B39" i="11"/>
  <c r="BG38" i="18"/>
  <c r="BD39" i="18"/>
  <c r="AA38" i="18"/>
  <c r="X39" i="18"/>
  <c r="AO38" i="18"/>
  <c r="AL39" i="18"/>
  <c r="BC38" i="18"/>
  <c r="AZ39" i="18"/>
  <c r="W38" i="18"/>
  <c r="T39" i="18"/>
  <c r="AK38" i="18"/>
  <c r="AH39" i="18"/>
  <c r="AY38" i="18"/>
  <c r="AV39" i="18"/>
  <c r="S38" i="18"/>
  <c r="BJ39" i="18"/>
  <c r="AG38" i="18"/>
  <c r="AD39" i="18"/>
  <c r="AU38" i="18"/>
  <c r="AR39" i="18"/>
  <c r="BI38" i="18"/>
  <c r="BF39" i="18"/>
  <c r="AC38" i="18"/>
  <c r="Z39" i="18"/>
  <c r="AQ38" i="18"/>
  <c r="AN39" i="18"/>
  <c r="BE38" i="18"/>
  <c r="BB39" i="18"/>
  <c r="Y38" i="18"/>
  <c r="V39" i="18"/>
  <c r="AM38" i="18"/>
  <c r="AJ39" i="18"/>
  <c r="BA38" i="18"/>
  <c r="AX39" i="18"/>
  <c r="AI38" i="18"/>
  <c r="AW38" i="18"/>
  <c r="AT39" i="18"/>
  <c r="BH39" i="18"/>
  <c r="AE38" i="18"/>
  <c r="AS38" i="18"/>
  <c r="AF39" i="18"/>
  <c r="AP39" i="18"/>
  <c r="E38" i="18"/>
  <c r="L39" i="18"/>
  <c r="U38" i="18"/>
  <c r="P39" i="18"/>
  <c r="K38" i="18"/>
  <c r="H39" i="18"/>
  <c r="O38" i="18"/>
  <c r="G38" i="18"/>
  <c r="AB39" i="18"/>
  <c r="R39" i="18"/>
  <c r="D39" i="18"/>
  <c r="N39" i="18"/>
  <c r="Q38" i="18"/>
  <c r="J39" i="18"/>
  <c r="M38" i="18"/>
  <c r="C38" i="18"/>
  <c r="I38" i="18"/>
  <c r="F39" i="18"/>
  <c r="BJ77" i="13"/>
  <c r="AD77" i="13"/>
  <c r="BD77" i="13"/>
  <c r="X77" i="13"/>
  <c r="AX77" i="13"/>
  <c r="R77" i="13"/>
  <c r="AR77" i="13"/>
  <c r="L77" i="13"/>
  <c r="AL77" i="13"/>
  <c r="F77" i="13"/>
  <c r="AF77" i="13"/>
  <c r="BF77" i="13"/>
  <c r="Z77" i="13"/>
  <c r="AZ77" i="13"/>
  <c r="T77" i="13"/>
  <c r="D77" i="13"/>
  <c r="AT77" i="13"/>
  <c r="AN77" i="13"/>
  <c r="AH77" i="13"/>
  <c r="AB77" i="13"/>
  <c r="V77" i="13"/>
  <c r="P77" i="13"/>
  <c r="J77" i="13"/>
  <c r="BB77" i="13"/>
  <c r="H77" i="13"/>
  <c r="AP77" i="13"/>
  <c r="BH77" i="13"/>
  <c r="AV77" i="13"/>
  <c r="AJ77" i="13"/>
  <c r="N77" i="13"/>
  <c r="B44" i="11"/>
  <c r="AJ44" i="18"/>
  <c r="AX44" i="18"/>
  <c r="R44" i="18"/>
  <c r="AF44" i="18"/>
  <c r="AT44" i="18"/>
  <c r="BH44" i="18"/>
  <c r="AB44" i="18"/>
  <c r="AP44" i="18"/>
  <c r="BD44" i="18"/>
  <c r="X44" i="18"/>
  <c r="AL44" i="18"/>
  <c r="AZ44" i="18"/>
  <c r="AH44" i="18"/>
  <c r="AV44" i="18"/>
  <c r="BJ44" i="18"/>
  <c r="AR44" i="18"/>
  <c r="BF44" i="18"/>
  <c r="AN44" i="18"/>
  <c r="BB44" i="18"/>
  <c r="T44" i="18"/>
  <c r="N44" i="18"/>
  <c r="J44" i="18"/>
  <c r="Z44" i="18"/>
  <c r="V44" i="18"/>
  <c r="AD44" i="18"/>
  <c r="F44" i="18"/>
  <c r="L44" i="18"/>
  <c r="H44" i="18"/>
  <c r="D44" i="18"/>
  <c r="P44" i="18"/>
  <c r="B53" i="11"/>
  <c r="AF53" i="18"/>
  <c r="AT53" i="18"/>
  <c r="N53" i="18"/>
  <c r="BH53" i="18"/>
  <c r="AB53" i="18"/>
  <c r="AP53" i="18"/>
  <c r="BD53" i="18"/>
  <c r="X53" i="18"/>
  <c r="AL53" i="18"/>
  <c r="AZ53" i="18"/>
  <c r="T53" i="18"/>
  <c r="AH53" i="18"/>
  <c r="AV53" i="18"/>
  <c r="BJ53" i="18"/>
  <c r="AD53" i="18"/>
  <c r="AR53" i="18"/>
  <c r="BF53" i="18"/>
  <c r="AN53" i="18"/>
  <c r="BB53" i="18"/>
  <c r="AJ53" i="18"/>
  <c r="AX53" i="18"/>
  <c r="J53" i="18"/>
  <c r="D53" i="18"/>
  <c r="P53" i="18"/>
  <c r="F53" i="18"/>
  <c r="L53" i="18"/>
  <c r="H53" i="18"/>
  <c r="Z53" i="18"/>
  <c r="V53" i="18"/>
  <c r="R53" i="18"/>
  <c r="B50" i="11"/>
  <c r="AR50" i="18"/>
  <c r="BF50" i="18"/>
  <c r="Z50" i="18"/>
  <c r="AN50" i="18"/>
  <c r="BB50" i="18"/>
  <c r="V50" i="18"/>
  <c r="AJ50" i="18"/>
  <c r="AX50" i="18"/>
  <c r="AF50" i="18"/>
  <c r="AT50" i="18"/>
  <c r="BH50" i="18"/>
  <c r="AP50" i="18"/>
  <c r="BD50" i="18"/>
  <c r="X50" i="18"/>
  <c r="AL50" i="18"/>
  <c r="AZ50" i="18"/>
  <c r="AH50" i="18"/>
  <c r="AV50" i="18"/>
  <c r="BJ50" i="18"/>
  <c r="H50" i="18"/>
  <c r="AD50" i="18"/>
  <c r="P50" i="18"/>
  <c r="N50" i="18"/>
  <c r="J50" i="18"/>
  <c r="F50" i="18"/>
  <c r="D50" i="18"/>
  <c r="T50" i="18"/>
  <c r="L50" i="18"/>
  <c r="AB50" i="18"/>
  <c r="R50" i="18"/>
  <c r="B29" i="11"/>
  <c r="BD29" i="18"/>
  <c r="X29" i="18"/>
  <c r="AX29" i="18"/>
  <c r="R29" i="18"/>
  <c r="AR29" i="18"/>
  <c r="AL29" i="18"/>
  <c r="AF29" i="18"/>
  <c r="BF29" i="18"/>
  <c r="Z29" i="18"/>
  <c r="AZ29" i="18"/>
  <c r="T29" i="18"/>
  <c r="AT29" i="18"/>
  <c r="N29" i="18"/>
  <c r="AN29" i="18"/>
  <c r="AH29" i="18"/>
  <c r="BH29" i="18"/>
  <c r="AB29" i="18"/>
  <c r="BB29" i="18"/>
  <c r="V29" i="18"/>
  <c r="AV29" i="18"/>
  <c r="AP29" i="18"/>
  <c r="AJ29" i="18"/>
  <c r="BJ29" i="18"/>
  <c r="J29" i="18"/>
  <c r="P29" i="18"/>
  <c r="AD29" i="18"/>
  <c r="L29" i="18"/>
  <c r="F29" i="18"/>
  <c r="D29" i="18"/>
  <c r="H29" i="18"/>
  <c r="B52" i="11"/>
  <c r="AJ52" i="18"/>
  <c r="AX52" i="18"/>
  <c r="R52" i="18"/>
  <c r="AF52" i="18"/>
  <c r="AT52" i="18"/>
  <c r="BH52" i="18"/>
  <c r="AB52" i="18"/>
  <c r="AP52" i="18"/>
  <c r="BD52" i="18"/>
  <c r="X52" i="18"/>
  <c r="AL52" i="18"/>
  <c r="AZ52" i="18"/>
  <c r="AH52" i="18"/>
  <c r="AV52" i="18"/>
  <c r="P52" i="18"/>
  <c r="BJ52" i="18"/>
  <c r="AR52" i="18"/>
  <c r="BF52" i="18"/>
  <c r="AN52" i="18"/>
  <c r="BB52" i="18"/>
  <c r="AD52" i="18"/>
  <c r="N52" i="18"/>
  <c r="J52" i="18"/>
  <c r="D52" i="18"/>
  <c r="F52" i="18"/>
  <c r="L52" i="18"/>
  <c r="T52" i="18"/>
  <c r="H52" i="18"/>
  <c r="Z52" i="18"/>
  <c r="V52" i="18"/>
  <c r="B28" i="11"/>
  <c r="AJ28" i="18"/>
  <c r="BJ28" i="18"/>
  <c r="AD28" i="18"/>
  <c r="BD28" i="18"/>
  <c r="X28" i="18"/>
  <c r="AX28" i="18"/>
  <c r="R28" i="18"/>
  <c r="AR28" i="18"/>
  <c r="AL28" i="18"/>
  <c r="AF28" i="18"/>
  <c r="BF28" i="18"/>
  <c r="Z28" i="18"/>
  <c r="AZ28" i="18"/>
  <c r="T28" i="18"/>
  <c r="AT28" i="18"/>
  <c r="AN28" i="18"/>
  <c r="AH28" i="18"/>
  <c r="BH28" i="18"/>
  <c r="BB28" i="18"/>
  <c r="V28" i="18"/>
  <c r="AV28" i="18"/>
  <c r="AP28" i="18"/>
  <c r="H28" i="18"/>
  <c r="N28" i="18"/>
  <c r="J28" i="18"/>
  <c r="P28" i="18"/>
  <c r="L28" i="18"/>
  <c r="F28" i="18"/>
  <c r="AB28" i="18"/>
  <c r="D28" i="18"/>
  <c r="AX70" i="13"/>
  <c r="R70" i="13"/>
  <c r="AR70" i="13"/>
  <c r="L70" i="13"/>
  <c r="AL70" i="13"/>
  <c r="F70" i="13"/>
  <c r="AF70" i="13"/>
  <c r="BF70" i="13"/>
  <c r="Z70" i="13"/>
  <c r="AZ70" i="13"/>
  <c r="T70" i="13"/>
  <c r="AT70" i="13"/>
  <c r="N70" i="13"/>
  <c r="AN70" i="13"/>
  <c r="H70" i="13"/>
  <c r="BH70" i="13"/>
  <c r="BB70" i="13"/>
  <c r="AV70" i="13"/>
  <c r="AP70" i="13"/>
  <c r="D70" i="13"/>
  <c r="AJ70" i="13"/>
  <c r="AD70" i="13"/>
  <c r="X70" i="13"/>
  <c r="AH70" i="13"/>
  <c r="AB70" i="13"/>
  <c r="BJ70" i="13"/>
  <c r="V70" i="13"/>
  <c r="P70" i="13"/>
  <c r="J70" i="13"/>
  <c r="BD70" i="13"/>
  <c r="AL10" i="17"/>
  <c r="F10" i="17"/>
  <c r="AJ10" i="17"/>
  <c r="AH10" i="17"/>
  <c r="AF10" i="17"/>
  <c r="BJ10" i="17"/>
  <c r="AD10" i="17"/>
  <c r="BH10" i="17"/>
  <c r="AB10" i="17"/>
  <c r="BF10" i="17"/>
  <c r="Z10" i="17"/>
  <c r="D10" i="17"/>
  <c r="BD10" i="17"/>
  <c r="X10" i="17"/>
  <c r="BB10" i="17"/>
  <c r="V10" i="17"/>
  <c r="AZ10" i="17"/>
  <c r="T10" i="17"/>
  <c r="AX10" i="17"/>
  <c r="R10" i="17"/>
  <c r="AV10" i="17"/>
  <c r="P10" i="17"/>
  <c r="AT10" i="17"/>
  <c r="N10" i="17"/>
  <c r="AR10" i="17"/>
  <c r="L10" i="17"/>
  <c r="AP10" i="17"/>
  <c r="J10" i="17"/>
  <c r="AN10" i="17"/>
  <c r="H10" i="17"/>
  <c r="B10" i="19"/>
  <c r="AT81" i="13"/>
  <c r="N81" i="13"/>
  <c r="AN81" i="13"/>
  <c r="H81" i="13"/>
  <c r="AH81" i="13"/>
  <c r="BH81" i="13"/>
  <c r="AB81" i="13"/>
  <c r="BB81" i="13"/>
  <c r="V81" i="13"/>
  <c r="AV81" i="13"/>
  <c r="P81" i="13"/>
  <c r="AP81" i="13"/>
  <c r="J81" i="13"/>
  <c r="AJ81" i="13"/>
  <c r="BJ81" i="13"/>
  <c r="BD81" i="13"/>
  <c r="AX81" i="13"/>
  <c r="AR81" i="13"/>
  <c r="D81" i="13"/>
  <c r="AL81" i="13"/>
  <c r="AF81" i="13"/>
  <c r="Z81" i="13"/>
  <c r="T81" i="13"/>
  <c r="AD81" i="13"/>
  <c r="BF81" i="13"/>
  <c r="X81" i="13"/>
  <c r="R81" i="13"/>
  <c r="L81" i="13"/>
  <c r="AZ81" i="13"/>
  <c r="F81" i="13"/>
  <c r="B51" i="11"/>
  <c r="AN51" i="18"/>
  <c r="BB51" i="18"/>
  <c r="V51" i="18"/>
  <c r="AJ51" i="18"/>
  <c r="AX51" i="18"/>
  <c r="R51" i="18"/>
  <c r="AF51" i="18"/>
  <c r="AT51" i="18"/>
  <c r="BH51" i="18"/>
  <c r="AB51" i="18"/>
  <c r="AP51" i="18"/>
  <c r="BD51" i="18"/>
  <c r="AL51" i="18"/>
  <c r="AZ51" i="18"/>
  <c r="T51" i="18"/>
  <c r="AH51" i="18"/>
  <c r="AV51" i="18"/>
  <c r="BJ51" i="18"/>
  <c r="AD51" i="18"/>
  <c r="AR51" i="18"/>
  <c r="BF51" i="18"/>
  <c r="Z51" i="18"/>
  <c r="P51" i="18"/>
  <c r="N51" i="18"/>
  <c r="J51" i="18"/>
  <c r="F51" i="18"/>
  <c r="D51" i="18"/>
  <c r="L51" i="18"/>
  <c r="X51" i="18"/>
  <c r="H51" i="18"/>
  <c r="B49" i="11"/>
  <c r="AV49" i="18"/>
  <c r="P49" i="18"/>
  <c r="BJ49" i="18"/>
  <c r="AD49" i="18"/>
  <c r="AR49" i="18"/>
  <c r="BF49" i="18"/>
  <c r="Z49" i="18"/>
  <c r="AN49" i="18"/>
  <c r="BB49" i="18"/>
  <c r="V49" i="18"/>
  <c r="AJ49" i="18"/>
  <c r="AX49" i="18"/>
  <c r="R49" i="18"/>
  <c r="AF49" i="18"/>
  <c r="AT49" i="18"/>
  <c r="BH49" i="18"/>
  <c r="AB49" i="18"/>
  <c r="AP49" i="18"/>
  <c r="BD49" i="18"/>
  <c r="AL49" i="18"/>
  <c r="AZ49" i="18"/>
  <c r="L49" i="18"/>
  <c r="H49" i="18"/>
  <c r="N49" i="18"/>
  <c r="J49" i="18"/>
  <c r="AH49" i="18"/>
  <c r="F49" i="18"/>
  <c r="D49" i="18"/>
  <c r="X49" i="18"/>
  <c r="T49" i="18"/>
  <c r="B40" i="11"/>
  <c r="AZ40" i="18"/>
  <c r="T40" i="18"/>
  <c r="AH40" i="18"/>
  <c r="AV40" i="18"/>
  <c r="P40" i="18"/>
  <c r="BJ40" i="18"/>
  <c r="AD40" i="18"/>
  <c r="AR40" i="18"/>
  <c r="BF40" i="18"/>
  <c r="Z40" i="18"/>
  <c r="AN40" i="18"/>
  <c r="BB40" i="18"/>
  <c r="V40" i="18"/>
  <c r="AJ40" i="18"/>
  <c r="AX40" i="18"/>
  <c r="AF40" i="18"/>
  <c r="AT40" i="18"/>
  <c r="BH40" i="18"/>
  <c r="AP40" i="18"/>
  <c r="BD40" i="18"/>
  <c r="L40" i="18"/>
  <c r="H40" i="18"/>
  <c r="AL40" i="18"/>
  <c r="AB40" i="18"/>
  <c r="X40" i="18"/>
  <c r="D40" i="18"/>
  <c r="R40" i="18"/>
  <c r="N40" i="18"/>
  <c r="J40" i="18"/>
  <c r="F40" i="18"/>
  <c r="AL71" i="13"/>
  <c r="F71" i="13"/>
  <c r="AF71" i="13"/>
  <c r="BF71" i="13"/>
  <c r="Z71" i="13"/>
  <c r="AZ71" i="13"/>
  <c r="T71" i="13"/>
  <c r="AT71" i="13"/>
  <c r="N71" i="13"/>
  <c r="AN71" i="13"/>
  <c r="H71" i="13"/>
  <c r="AH71" i="13"/>
  <c r="BH71" i="13"/>
  <c r="AB71" i="13"/>
  <c r="BB71" i="13"/>
  <c r="AV71" i="13"/>
  <c r="D71" i="13"/>
  <c r="AP71" i="13"/>
  <c r="AJ71" i="13"/>
  <c r="AD71" i="13"/>
  <c r="X71" i="13"/>
  <c r="R71" i="13"/>
  <c r="BJ71" i="13"/>
  <c r="AX71" i="13"/>
  <c r="V71" i="13"/>
  <c r="P71" i="13"/>
  <c r="J71" i="13"/>
  <c r="BD71" i="13"/>
  <c r="AR71" i="13"/>
  <c r="L71" i="13"/>
  <c r="B23" i="17"/>
  <c r="BF23" i="12"/>
  <c r="Z23" i="12"/>
  <c r="AZ23" i="12"/>
  <c r="T23" i="12"/>
  <c r="AT23" i="12"/>
  <c r="N23" i="12"/>
  <c r="AN23" i="12"/>
  <c r="H23" i="12"/>
  <c r="AH23" i="12"/>
  <c r="BH23" i="12"/>
  <c r="AB23" i="12"/>
  <c r="BB23" i="12"/>
  <c r="V23" i="12"/>
  <c r="AV23" i="12"/>
  <c r="P23" i="12"/>
  <c r="D23" i="12"/>
  <c r="AP23" i="12"/>
  <c r="J23" i="12"/>
  <c r="AJ23" i="12"/>
  <c r="BJ23" i="12"/>
  <c r="AD23" i="12"/>
  <c r="BD23" i="12"/>
  <c r="X23" i="12"/>
  <c r="AX23" i="12"/>
  <c r="R23" i="12"/>
  <c r="AR23" i="12"/>
  <c r="L23" i="12"/>
  <c r="AL23" i="12"/>
  <c r="F23" i="12"/>
  <c r="AF23" i="12"/>
  <c r="BJ85" i="13"/>
  <c r="AD85" i="13"/>
  <c r="BD85" i="13"/>
  <c r="X85" i="13"/>
  <c r="AX85" i="13"/>
  <c r="R85" i="13"/>
  <c r="AR85" i="13"/>
  <c r="L85" i="13"/>
  <c r="AL85" i="13"/>
  <c r="F85" i="13"/>
  <c r="AF85" i="13"/>
  <c r="BF85" i="13"/>
  <c r="Z85" i="13"/>
  <c r="AZ85" i="13"/>
  <c r="T85" i="13"/>
  <c r="N85" i="13"/>
  <c r="H85" i="13"/>
  <c r="BH85" i="13"/>
  <c r="BB85" i="13"/>
  <c r="AV85" i="13"/>
  <c r="AP85" i="13"/>
  <c r="AJ85" i="13"/>
  <c r="AT85" i="13"/>
  <c r="AN85" i="13"/>
  <c r="V85" i="13"/>
  <c r="P85" i="13"/>
  <c r="J85" i="13"/>
  <c r="AB85" i="13"/>
  <c r="D85" i="13"/>
  <c r="AH85" i="13"/>
  <c r="BF13" i="17"/>
  <c r="Z13" i="17"/>
  <c r="BD13" i="17"/>
  <c r="X13" i="17"/>
  <c r="BB13" i="17"/>
  <c r="V13" i="17"/>
  <c r="AZ13" i="17"/>
  <c r="T13" i="17"/>
  <c r="AX13" i="17"/>
  <c r="R13" i="17"/>
  <c r="AV13" i="17"/>
  <c r="P13" i="17"/>
  <c r="AT13" i="17"/>
  <c r="N13" i="17"/>
  <c r="AR13" i="17"/>
  <c r="L13" i="17"/>
  <c r="AP13" i="17"/>
  <c r="J13" i="17"/>
  <c r="AN13" i="17"/>
  <c r="H13" i="17"/>
  <c r="AL13" i="17"/>
  <c r="F13" i="17"/>
  <c r="AJ13" i="17"/>
  <c r="AH13" i="17"/>
  <c r="AF13" i="17"/>
  <c r="D13" i="17"/>
  <c r="BJ13" i="17"/>
  <c r="AD13" i="17"/>
  <c r="BH13" i="17"/>
  <c r="AB13" i="17"/>
  <c r="B13" i="19"/>
  <c r="AL79" i="13"/>
  <c r="F79" i="13"/>
  <c r="AF79" i="13"/>
  <c r="D79" i="13"/>
  <c r="BF79" i="13"/>
  <c r="Z79" i="13"/>
  <c r="AZ79" i="13"/>
  <c r="T79" i="13"/>
  <c r="AT79" i="13"/>
  <c r="N79" i="13"/>
  <c r="AN79" i="13"/>
  <c r="H79" i="13"/>
  <c r="AH79" i="13"/>
  <c r="BH79" i="13"/>
  <c r="AB79" i="13"/>
  <c r="V79" i="13"/>
  <c r="P79" i="13"/>
  <c r="J79" i="13"/>
  <c r="BJ79" i="13"/>
  <c r="BD79" i="13"/>
  <c r="AX79" i="13"/>
  <c r="AR79" i="13"/>
  <c r="BB79" i="13"/>
  <c r="AV79" i="13"/>
  <c r="AD79" i="13"/>
  <c r="AJ79" i="13"/>
  <c r="X79" i="13"/>
  <c r="R79" i="13"/>
  <c r="L79" i="13"/>
  <c r="AP79" i="13"/>
  <c r="B27" i="11"/>
  <c r="AV27" i="18"/>
  <c r="P27" i="18"/>
  <c r="AP27" i="18"/>
  <c r="AJ27" i="18"/>
  <c r="BJ27" i="18"/>
  <c r="AD27" i="18"/>
  <c r="BD27" i="18"/>
  <c r="X27" i="18"/>
  <c r="AX27" i="18"/>
  <c r="R27" i="18"/>
  <c r="AR27" i="18"/>
  <c r="AL27" i="18"/>
  <c r="AF27" i="18"/>
  <c r="BF27" i="18"/>
  <c r="AZ27" i="18"/>
  <c r="T27" i="18"/>
  <c r="AT27" i="18"/>
  <c r="AN27" i="18"/>
  <c r="AH27" i="18"/>
  <c r="BH27" i="18"/>
  <c r="AB27" i="18"/>
  <c r="BB27" i="18"/>
  <c r="H27" i="18"/>
  <c r="D27" i="18"/>
  <c r="Z27" i="18"/>
  <c r="N27" i="18"/>
  <c r="J27" i="18"/>
  <c r="V27" i="18"/>
  <c r="L27" i="18"/>
  <c r="F27" i="18"/>
  <c r="AP84" i="13"/>
  <c r="J84" i="13"/>
  <c r="AJ84" i="13"/>
  <c r="BJ84" i="13"/>
  <c r="AD84" i="13"/>
  <c r="D84" i="13"/>
  <c r="BD84" i="13"/>
  <c r="X84" i="13"/>
  <c r="AX84" i="13"/>
  <c r="R84" i="13"/>
  <c r="AR84" i="13"/>
  <c r="L84" i="13"/>
  <c r="AL84" i="13"/>
  <c r="F84" i="13"/>
  <c r="AF84" i="13"/>
  <c r="Z84" i="13"/>
  <c r="T84" i="13"/>
  <c r="N84" i="13"/>
  <c r="H84" i="13"/>
  <c r="BH84" i="13"/>
  <c r="BB84" i="13"/>
  <c r="AV84" i="13"/>
  <c r="BF84" i="13"/>
  <c r="AZ84" i="13"/>
  <c r="V84" i="13"/>
  <c r="P84" i="13"/>
  <c r="AN84" i="13"/>
  <c r="AB84" i="13"/>
  <c r="AT84" i="13"/>
  <c r="AH84" i="13"/>
  <c r="BJ69" i="13"/>
  <c r="AD69" i="13"/>
  <c r="BD69" i="13"/>
  <c r="X69" i="13"/>
  <c r="AX69" i="13"/>
  <c r="R69" i="13"/>
  <c r="AR69" i="13"/>
  <c r="L69" i="13"/>
  <c r="AL69" i="13"/>
  <c r="F69" i="13"/>
  <c r="AF69" i="13"/>
  <c r="BF69" i="13"/>
  <c r="Z69" i="13"/>
  <c r="AZ69" i="13"/>
  <c r="T69" i="13"/>
  <c r="N69" i="13"/>
  <c r="H69" i="13"/>
  <c r="BH69" i="13"/>
  <c r="BB69" i="13"/>
  <c r="AV69" i="13"/>
  <c r="AP69" i="13"/>
  <c r="AJ69" i="13"/>
  <c r="AT69" i="13"/>
  <c r="AN69" i="13"/>
  <c r="AH69" i="13"/>
  <c r="D69" i="13"/>
  <c r="V69" i="13"/>
  <c r="P69" i="13"/>
  <c r="AB69" i="13"/>
  <c r="J69" i="13"/>
  <c r="B32" i="11"/>
  <c r="AZ32" i="18"/>
  <c r="T32" i="18"/>
  <c r="AT32" i="18"/>
  <c r="N32" i="18"/>
  <c r="AN32" i="18"/>
  <c r="AH32" i="18"/>
  <c r="BH32" i="18"/>
  <c r="AB32" i="18"/>
  <c r="BB32" i="18"/>
  <c r="V32" i="18"/>
  <c r="AV32" i="18"/>
  <c r="P32" i="18"/>
  <c r="AP32" i="18"/>
  <c r="AJ32" i="18"/>
  <c r="BJ32" i="18"/>
  <c r="AD32" i="18"/>
  <c r="BD32" i="18"/>
  <c r="X32" i="18"/>
  <c r="AX32" i="18"/>
  <c r="AR32" i="18"/>
  <c r="AL32" i="18"/>
  <c r="AF32" i="18"/>
  <c r="BF32" i="18"/>
  <c r="R32" i="18"/>
  <c r="Z32" i="18"/>
  <c r="L32" i="18"/>
  <c r="F32" i="18"/>
  <c r="D32" i="18"/>
  <c r="H32" i="18"/>
  <c r="J32" i="18"/>
  <c r="B37" i="11"/>
  <c r="BD37" i="18"/>
  <c r="X37" i="18"/>
  <c r="AX37" i="18"/>
  <c r="R37" i="18"/>
  <c r="AR37" i="18"/>
  <c r="AL37" i="18"/>
  <c r="AF37" i="18"/>
  <c r="BF37" i="18"/>
  <c r="Z37" i="18"/>
  <c r="AZ37" i="18"/>
  <c r="T37" i="18"/>
  <c r="AT37" i="18"/>
  <c r="N37" i="18"/>
  <c r="AN37" i="18"/>
  <c r="AH37" i="18"/>
  <c r="BH37" i="18"/>
  <c r="AB37" i="18"/>
  <c r="BB37" i="18"/>
  <c r="V37" i="18"/>
  <c r="AV37" i="18"/>
  <c r="AP37" i="18"/>
  <c r="AJ37" i="18"/>
  <c r="BJ37" i="18"/>
  <c r="J37" i="18"/>
  <c r="D37" i="18"/>
  <c r="AD37" i="18"/>
  <c r="L37" i="18"/>
  <c r="F37" i="18"/>
  <c r="P37" i="18"/>
  <c r="H37" i="18"/>
  <c r="AP68" i="13"/>
  <c r="J68" i="13"/>
  <c r="AJ68" i="13"/>
  <c r="BJ68" i="13"/>
  <c r="AD68" i="13"/>
  <c r="D68" i="13"/>
  <c r="BD68" i="13"/>
  <c r="X68" i="13"/>
  <c r="AX68" i="13"/>
  <c r="R68" i="13"/>
  <c r="AR68" i="13"/>
  <c r="L68" i="13"/>
  <c r="AL68" i="13"/>
  <c r="F68" i="13"/>
  <c r="AF68" i="13"/>
  <c r="Z68" i="13"/>
  <c r="T68" i="13"/>
  <c r="N68" i="13"/>
  <c r="H68" i="13"/>
  <c r="BH68" i="13"/>
  <c r="BB68" i="13"/>
  <c r="AV68" i="13"/>
  <c r="BF68" i="13"/>
  <c r="AZ68" i="13"/>
  <c r="AT68" i="13"/>
  <c r="AH68" i="13"/>
  <c r="AN68" i="13"/>
  <c r="V68" i="13"/>
  <c r="P68" i="13"/>
  <c r="AB68" i="13"/>
  <c r="B45" i="11"/>
  <c r="AF45" i="18"/>
  <c r="AT45" i="18"/>
  <c r="N45" i="18"/>
  <c r="BH45" i="18"/>
  <c r="AB45" i="18"/>
  <c r="AP45" i="18"/>
  <c r="BD45" i="18"/>
  <c r="X45" i="18"/>
  <c r="AL45" i="18"/>
  <c r="AZ45" i="18"/>
  <c r="T45" i="18"/>
  <c r="AH45" i="18"/>
  <c r="AV45" i="18"/>
  <c r="BJ45" i="18"/>
  <c r="AD45" i="18"/>
  <c r="AR45" i="18"/>
  <c r="BF45" i="18"/>
  <c r="AN45" i="18"/>
  <c r="BB45" i="18"/>
  <c r="AJ45" i="18"/>
  <c r="AX45" i="18"/>
  <c r="J45" i="18"/>
  <c r="Z45" i="18"/>
  <c r="V45" i="18"/>
  <c r="F45" i="18"/>
  <c r="R45" i="18"/>
  <c r="L45" i="18"/>
  <c r="D45" i="18"/>
  <c r="H45" i="18"/>
  <c r="P45" i="18"/>
  <c r="BJ12" i="17"/>
  <c r="AD12" i="17"/>
  <c r="D12" i="17"/>
  <c r="BH12" i="17"/>
  <c r="AB12" i="17"/>
  <c r="BF12" i="17"/>
  <c r="Z12" i="17"/>
  <c r="BD12" i="17"/>
  <c r="X12" i="17"/>
  <c r="BB12" i="17"/>
  <c r="V12" i="17"/>
  <c r="AZ12" i="17"/>
  <c r="T12" i="17"/>
  <c r="AX12" i="17"/>
  <c r="R12" i="17"/>
  <c r="AV12" i="17"/>
  <c r="P12" i="17"/>
  <c r="AT12" i="17"/>
  <c r="N12" i="17"/>
  <c r="AR12" i="17"/>
  <c r="L12" i="17"/>
  <c r="AP12" i="17"/>
  <c r="J12" i="17"/>
  <c r="AN12" i="17"/>
  <c r="H12" i="17"/>
  <c r="AL12" i="17"/>
  <c r="F12" i="17"/>
  <c r="AJ12" i="17"/>
  <c r="AH12" i="17"/>
  <c r="AF12" i="17"/>
  <c r="B12" i="19"/>
  <c r="BJ61" i="13"/>
  <c r="BF61" i="13"/>
  <c r="BB61" i="13"/>
  <c r="AJ61" i="13"/>
  <c r="AX61" i="13"/>
  <c r="R61" i="13"/>
  <c r="AF61" i="13"/>
  <c r="D61" i="13"/>
  <c r="AT61" i="13"/>
  <c r="N61" i="13"/>
  <c r="H61" i="13"/>
  <c r="V61" i="13"/>
  <c r="L61" i="13"/>
  <c r="Z61" i="13"/>
  <c r="BD61" i="13"/>
  <c r="AN61" i="13"/>
  <c r="P61" i="13"/>
  <c r="AD61" i="13"/>
  <c r="F61" i="13"/>
  <c r="AR61" i="13"/>
  <c r="T61" i="13"/>
  <c r="AH61" i="13"/>
  <c r="J61" i="13"/>
  <c r="AV61" i="13"/>
  <c r="X61" i="13"/>
  <c r="AL61" i="13"/>
  <c r="BH61" i="13"/>
  <c r="AZ61" i="13"/>
  <c r="AP61" i="13"/>
  <c r="AB61" i="13"/>
  <c r="BD18" i="17" l="1"/>
  <c r="AX18" i="17"/>
  <c r="AR18" i="17"/>
  <c r="AL18" i="17"/>
  <c r="BF18" i="17"/>
  <c r="AZ18" i="17"/>
  <c r="AT18" i="17"/>
  <c r="AN18" i="17"/>
  <c r="AH18" i="17"/>
  <c r="BH18" i="17"/>
  <c r="BB18" i="17"/>
  <c r="AV18" i="17"/>
  <c r="AP18" i="17"/>
  <c r="AJ18" i="17"/>
  <c r="BJ18" i="17"/>
  <c r="AD18" i="17"/>
  <c r="X18" i="17"/>
  <c r="R18" i="17"/>
  <c r="D18" i="17"/>
  <c r="L18" i="17"/>
  <c r="F18" i="17"/>
  <c r="AF18" i="17"/>
  <c r="Z18" i="17"/>
  <c r="T18" i="17"/>
  <c r="N18" i="17"/>
  <c r="H18" i="17"/>
  <c r="AB18" i="17"/>
  <c r="V18" i="17"/>
  <c r="P18" i="17"/>
  <c r="J18" i="17"/>
  <c r="B18" i="19"/>
  <c r="AV24" i="17"/>
  <c r="AP24" i="17"/>
  <c r="AJ24" i="17"/>
  <c r="BJ24" i="17"/>
  <c r="BD24" i="17"/>
  <c r="AX24" i="17"/>
  <c r="AR24" i="17"/>
  <c r="AL24" i="17"/>
  <c r="BF24" i="17"/>
  <c r="AZ24" i="17"/>
  <c r="AT24" i="17"/>
  <c r="AN24" i="17"/>
  <c r="AH24" i="17"/>
  <c r="BH24" i="17"/>
  <c r="BB24" i="17"/>
  <c r="AB24" i="17"/>
  <c r="V24" i="17"/>
  <c r="D24" i="17"/>
  <c r="P24" i="17"/>
  <c r="J24" i="17"/>
  <c r="AD24" i="17"/>
  <c r="X24" i="17"/>
  <c r="R24" i="17"/>
  <c r="L24" i="17"/>
  <c r="F24" i="17"/>
  <c r="AF24" i="17"/>
  <c r="Z24" i="17"/>
  <c r="T24" i="17"/>
  <c r="N24" i="17"/>
  <c r="H24" i="17"/>
  <c r="B24" i="19"/>
  <c r="BD36" i="11"/>
  <c r="B36" i="13"/>
  <c r="AX36" i="11"/>
  <c r="AJ36" i="11"/>
  <c r="AF36" i="11"/>
  <c r="Z36" i="11"/>
  <c r="BH36" i="11"/>
  <c r="BB36" i="11"/>
  <c r="AV36" i="11"/>
  <c r="BF36" i="11"/>
  <c r="AP36" i="11"/>
  <c r="AL36" i="11"/>
  <c r="AZ36" i="11"/>
  <c r="AH36" i="11"/>
  <c r="H36" i="11"/>
  <c r="BJ36" i="11"/>
  <c r="AN36" i="11"/>
  <c r="X36" i="11"/>
  <c r="AD36" i="11"/>
  <c r="R36" i="11"/>
  <c r="L36" i="11"/>
  <c r="D36" i="11"/>
  <c r="AB36" i="11"/>
  <c r="V36" i="11"/>
  <c r="P36" i="11"/>
  <c r="J36" i="11"/>
  <c r="F36" i="11"/>
  <c r="AT36" i="11"/>
  <c r="T36" i="11"/>
  <c r="N36" i="11"/>
  <c r="AR36" i="11"/>
  <c r="B41" i="13"/>
  <c r="AP41" i="11"/>
  <c r="BD41" i="11"/>
  <c r="AF41" i="11"/>
  <c r="AZ41" i="11"/>
  <c r="BH41" i="11"/>
  <c r="AX41" i="11"/>
  <c r="Z41" i="11"/>
  <c r="P41" i="11"/>
  <c r="H41" i="11"/>
  <c r="BB41" i="11"/>
  <c r="AV41" i="11"/>
  <c r="AT41" i="11"/>
  <c r="AD41" i="11"/>
  <c r="T41" i="11"/>
  <c r="AR41" i="11"/>
  <c r="BF41" i="11"/>
  <c r="X41" i="11"/>
  <c r="AN41" i="11"/>
  <c r="AH41" i="11"/>
  <c r="V41" i="11"/>
  <c r="D41" i="11"/>
  <c r="AJ41" i="11"/>
  <c r="L41" i="11"/>
  <c r="AL41" i="11"/>
  <c r="R41" i="11"/>
  <c r="AB41" i="11"/>
  <c r="J41" i="11"/>
  <c r="N41" i="11"/>
  <c r="BJ41" i="11"/>
  <c r="F41" i="11"/>
  <c r="B15" i="18"/>
  <c r="BJ15" i="19"/>
  <c r="BH15" i="19"/>
  <c r="BF15" i="19"/>
  <c r="BD15" i="19"/>
  <c r="BB15" i="19"/>
  <c r="AZ15" i="19"/>
  <c r="AX15" i="19"/>
  <c r="AV15" i="19"/>
  <c r="AT15" i="19"/>
  <c r="AR15" i="19"/>
  <c r="AP15" i="19"/>
  <c r="AN15" i="19"/>
  <c r="AJ15" i="19"/>
  <c r="V15" i="19"/>
  <c r="T15" i="19"/>
  <c r="R15" i="19"/>
  <c r="AH15" i="19"/>
  <c r="P15" i="19"/>
  <c r="AL15" i="19"/>
  <c r="N15" i="19"/>
  <c r="L15" i="19"/>
  <c r="J15" i="19"/>
  <c r="H15" i="19"/>
  <c r="F15" i="19"/>
  <c r="D15" i="19"/>
  <c r="AB15" i="19"/>
  <c r="AD15" i="19"/>
  <c r="Z15" i="19"/>
  <c r="AF15" i="19"/>
  <c r="X15" i="19"/>
  <c r="B33" i="13"/>
  <c r="BH33" i="11"/>
  <c r="BB33" i="11"/>
  <c r="BJ33" i="11"/>
  <c r="AD33" i="11"/>
  <c r="BD33" i="11"/>
  <c r="AX33" i="11"/>
  <c r="AR33" i="11"/>
  <c r="AN33" i="11"/>
  <c r="AJ33" i="11"/>
  <c r="AV33" i="11"/>
  <c r="AZ33" i="11"/>
  <c r="J33" i="11"/>
  <c r="F33" i="11"/>
  <c r="AT33" i="11"/>
  <c r="AP33" i="11"/>
  <c r="Z33" i="11"/>
  <c r="T33" i="11"/>
  <c r="AH33" i="11"/>
  <c r="N33" i="11"/>
  <c r="AL33" i="11"/>
  <c r="H33" i="11"/>
  <c r="X33" i="11"/>
  <c r="R33" i="11"/>
  <c r="L33" i="11"/>
  <c r="AF33" i="11"/>
  <c r="AB33" i="11"/>
  <c r="BF33" i="11"/>
  <c r="V33" i="11"/>
  <c r="P33" i="11"/>
  <c r="D33" i="11"/>
  <c r="B14" i="18"/>
  <c r="BJ14" i="19"/>
  <c r="AD14" i="19"/>
  <c r="BH14" i="19"/>
  <c r="BF14" i="19"/>
  <c r="BD14" i="19"/>
  <c r="BB14" i="19"/>
  <c r="AZ14" i="19"/>
  <c r="AX14" i="19"/>
  <c r="AV14" i="19"/>
  <c r="AT14" i="19"/>
  <c r="AR14" i="19"/>
  <c r="AN14" i="19"/>
  <c r="Z14" i="19"/>
  <c r="AF14" i="19"/>
  <c r="X14" i="19"/>
  <c r="V14" i="19"/>
  <c r="T14" i="19"/>
  <c r="R14" i="19"/>
  <c r="AL14" i="19"/>
  <c r="AH14" i="19"/>
  <c r="P14" i="19"/>
  <c r="N14" i="19"/>
  <c r="L14" i="19"/>
  <c r="AP14" i="19"/>
  <c r="J14" i="19"/>
  <c r="H14" i="19"/>
  <c r="F14" i="19"/>
  <c r="AJ14" i="19"/>
  <c r="D14" i="19"/>
  <c r="AB14" i="19"/>
  <c r="B26" i="13"/>
  <c r="AV26" i="11"/>
  <c r="X26" i="11"/>
  <c r="AR26" i="11"/>
  <c r="R26" i="11"/>
  <c r="AN26" i="11"/>
  <c r="AJ26" i="11"/>
  <c r="BH26" i="11"/>
  <c r="BB26" i="11"/>
  <c r="N26" i="11"/>
  <c r="BF26" i="11"/>
  <c r="AZ26" i="11"/>
  <c r="AF26" i="11"/>
  <c r="H26" i="11"/>
  <c r="BJ26" i="11"/>
  <c r="BD26" i="11"/>
  <c r="D26" i="11"/>
  <c r="AT26" i="11"/>
  <c r="AD26" i="11"/>
  <c r="L26" i="11"/>
  <c r="AX26" i="11"/>
  <c r="AP26" i="11"/>
  <c r="AB26" i="11"/>
  <c r="AH26" i="11"/>
  <c r="V26" i="11"/>
  <c r="P26" i="11"/>
  <c r="AL26" i="11"/>
  <c r="J26" i="11"/>
  <c r="Z26" i="11"/>
  <c r="T26" i="11"/>
  <c r="F26" i="11"/>
  <c r="AR19" i="17"/>
  <c r="AL19" i="17"/>
  <c r="BF19" i="17"/>
  <c r="AZ19" i="17"/>
  <c r="AT19" i="17"/>
  <c r="AN19" i="17"/>
  <c r="AH19" i="17"/>
  <c r="BH19" i="17"/>
  <c r="BB19" i="17"/>
  <c r="AV19" i="17"/>
  <c r="AP19" i="17"/>
  <c r="AJ19" i="17"/>
  <c r="BJ19" i="17"/>
  <c r="BD19" i="17"/>
  <c r="AX19" i="17"/>
  <c r="X19" i="17"/>
  <c r="D19" i="17"/>
  <c r="R19" i="17"/>
  <c r="L19" i="17"/>
  <c r="F19" i="17"/>
  <c r="AF19" i="17"/>
  <c r="Z19" i="17"/>
  <c r="T19" i="17"/>
  <c r="N19" i="17"/>
  <c r="H19" i="17"/>
  <c r="AB19" i="17"/>
  <c r="V19" i="17"/>
  <c r="P19" i="17"/>
  <c r="J19" i="17"/>
  <c r="AD19" i="17"/>
  <c r="B19" i="19"/>
  <c r="AJ25" i="17"/>
  <c r="BJ25" i="17"/>
  <c r="BD25" i="17"/>
  <c r="AX25" i="17"/>
  <c r="AR25" i="17"/>
  <c r="AL25" i="17"/>
  <c r="BF25" i="17"/>
  <c r="AZ25" i="17"/>
  <c r="AT25" i="17"/>
  <c r="AN25" i="17"/>
  <c r="AH25" i="17"/>
  <c r="BH25" i="17"/>
  <c r="BB25" i="17"/>
  <c r="AV25" i="17"/>
  <c r="AP25" i="17"/>
  <c r="P25" i="17"/>
  <c r="J25" i="17"/>
  <c r="AD25" i="17"/>
  <c r="X25" i="17"/>
  <c r="R25" i="17"/>
  <c r="L25" i="17"/>
  <c r="F25" i="17"/>
  <c r="AF25" i="17"/>
  <c r="Z25" i="17"/>
  <c r="T25" i="17"/>
  <c r="N25" i="17"/>
  <c r="H25" i="17"/>
  <c r="AB25" i="17"/>
  <c r="D25" i="17"/>
  <c r="V25" i="17"/>
  <c r="B25" i="19"/>
  <c r="B10" i="18"/>
  <c r="AX10" i="19"/>
  <c r="AV10" i="19"/>
  <c r="AT10" i="19"/>
  <c r="AP10" i="19"/>
  <c r="AL10" i="19"/>
  <c r="AH10" i="19"/>
  <c r="BJ10" i="19"/>
  <c r="AD10" i="19"/>
  <c r="BH10" i="19"/>
  <c r="BD10" i="19"/>
  <c r="AJ10" i="19"/>
  <c r="J10" i="19"/>
  <c r="H10" i="19"/>
  <c r="AN10" i="19"/>
  <c r="F10" i="19"/>
  <c r="BB10" i="19"/>
  <c r="AR10" i="19"/>
  <c r="AB10" i="19"/>
  <c r="AF10" i="19"/>
  <c r="Z10" i="19"/>
  <c r="D10" i="19"/>
  <c r="AZ10" i="19"/>
  <c r="X10" i="19"/>
  <c r="V10" i="19"/>
  <c r="T10" i="19"/>
  <c r="R10" i="19"/>
  <c r="P10" i="19"/>
  <c r="BF10" i="19"/>
  <c r="N10" i="19"/>
  <c r="L10" i="19"/>
  <c r="B30" i="13"/>
  <c r="BF30" i="11"/>
  <c r="AZ30" i="11"/>
  <c r="AP30" i="11"/>
  <c r="AT30" i="11"/>
  <c r="AL30" i="11"/>
  <c r="AH30" i="11"/>
  <c r="BJ30" i="11"/>
  <c r="BD30" i="11"/>
  <c r="AX30" i="11"/>
  <c r="BB30" i="11"/>
  <c r="AB30" i="11"/>
  <c r="AR30" i="11"/>
  <c r="V30" i="11"/>
  <c r="AV30" i="11"/>
  <c r="P30" i="11"/>
  <c r="J30" i="11"/>
  <c r="AN30" i="11"/>
  <c r="F30" i="11"/>
  <c r="Z30" i="11"/>
  <c r="D30" i="11"/>
  <c r="T30" i="11"/>
  <c r="N30" i="11"/>
  <c r="H30" i="11"/>
  <c r="X30" i="11"/>
  <c r="AD30" i="11"/>
  <c r="R30" i="11"/>
  <c r="BH30" i="11"/>
  <c r="AJ30" i="11"/>
  <c r="AF30" i="11"/>
  <c r="L30" i="11"/>
  <c r="B8" i="18"/>
  <c r="BI7" i="19"/>
  <c r="BF8" i="19"/>
  <c r="BG7" i="19"/>
  <c r="BD8" i="19"/>
  <c r="BE7" i="19"/>
  <c r="BB8" i="19"/>
  <c r="BC7" i="19"/>
  <c r="AZ8" i="19"/>
  <c r="BA7" i="19"/>
  <c r="AX8" i="19"/>
  <c r="AY7" i="19"/>
  <c r="AV8" i="19"/>
  <c r="AW7" i="19"/>
  <c r="AT8" i="19"/>
  <c r="AU7" i="19"/>
  <c r="AS7" i="19"/>
  <c r="AP8" i="19"/>
  <c r="AQ7" i="19"/>
  <c r="AN8" i="19"/>
  <c r="AO7" i="19"/>
  <c r="AL8" i="19"/>
  <c r="AM7" i="19"/>
  <c r="AI7" i="19"/>
  <c r="BJ8" i="19"/>
  <c r="U7" i="19"/>
  <c r="R8" i="19"/>
  <c r="AJ8" i="19"/>
  <c r="S7" i="19"/>
  <c r="P8" i="19"/>
  <c r="C7" i="19"/>
  <c r="Q7" i="19"/>
  <c r="N8" i="19"/>
  <c r="O7" i="19"/>
  <c r="L8" i="19"/>
  <c r="M7" i="19"/>
  <c r="J8" i="19"/>
  <c r="K7" i="19"/>
  <c r="H8" i="19"/>
  <c r="I7" i="19"/>
  <c r="F8" i="19"/>
  <c r="AR8" i="19"/>
  <c r="G7" i="19"/>
  <c r="E7" i="19"/>
  <c r="AK7" i="19"/>
  <c r="AD8" i="19"/>
  <c r="AF8" i="19"/>
  <c r="AB8" i="19"/>
  <c r="AC7" i="19"/>
  <c r="Z8" i="19"/>
  <c r="BH8" i="19"/>
  <c r="AH8" i="19"/>
  <c r="AE7" i="19"/>
  <c r="AA7" i="19"/>
  <c r="X8" i="19"/>
  <c r="AG7" i="19"/>
  <c r="Y7" i="19"/>
  <c r="V8" i="19"/>
  <c r="D8" i="19"/>
  <c r="W7" i="19"/>
  <c r="T8" i="19"/>
  <c r="B46" i="13"/>
  <c r="BB46" i="11"/>
  <c r="AR46" i="11"/>
  <c r="AH46" i="11"/>
  <c r="V46" i="11"/>
  <c r="BD46" i="11"/>
  <c r="AB46" i="11"/>
  <c r="R46" i="11"/>
  <c r="AN46" i="11"/>
  <c r="AL46" i="11"/>
  <c r="AJ46" i="11"/>
  <c r="BJ46" i="11"/>
  <c r="BF46" i="11"/>
  <c r="L46" i="11"/>
  <c r="AF46" i="11"/>
  <c r="Z46" i="11"/>
  <c r="P46" i="11"/>
  <c r="AX46" i="11"/>
  <c r="AZ46" i="11"/>
  <c r="AV46" i="11"/>
  <c r="AT46" i="11"/>
  <c r="BH46" i="11"/>
  <c r="D46" i="11"/>
  <c r="J46" i="11"/>
  <c r="AD46" i="11"/>
  <c r="X46" i="11"/>
  <c r="N46" i="11"/>
  <c r="F46" i="11"/>
  <c r="H46" i="11"/>
  <c r="AP46" i="11"/>
  <c r="T46" i="11"/>
  <c r="B56" i="13"/>
  <c r="AT56" i="11"/>
  <c r="BH56" i="11"/>
  <c r="AV56" i="11"/>
  <c r="AL56" i="11"/>
  <c r="N56" i="11"/>
  <c r="BJ56" i="11"/>
  <c r="AN56" i="11"/>
  <c r="V56" i="11"/>
  <c r="L56" i="11"/>
  <c r="H56" i="11"/>
  <c r="AJ56" i="11"/>
  <c r="Z56" i="11"/>
  <c r="P56" i="11"/>
  <c r="AH56" i="11"/>
  <c r="AF56" i="11"/>
  <c r="T56" i="11"/>
  <c r="BF56" i="11"/>
  <c r="AZ56" i="11"/>
  <c r="AD56" i="11"/>
  <c r="AX56" i="11"/>
  <c r="BD56" i="11"/>
  <c r="AP56" i="11"/>
  <c r="AR56" i="11"/>
  <c r="J56" i="11"/>
  <c r="BB56" i="11"/>
  <c r="R56" i="11"/>
  <c r="F56" i="11"/>
  <c r="D56" i="11"/>
  <c r="AB56" i="11"/>
  <c r="X56" i="11"/>
  <c r="B32" i="13"/>
  <c r="AN32" i="11"/>
  <c r="AZ32" i="11"/>
  <c r="P32" i="11"/>
  <c r="AT32" i="11"/>
  <c r="J32" i="11"/>
  <c r="BJ32" i="11"/>
  <c r="BD32" i="11"/>
  <c r="AX32" i="11"/>
  <c r="AR32" i="11"/>
  <c r="BH32" i="11"/>
  <c r="AF32" i="11"/>
  <c r="BF32" i="11"/>
  <c r="V32" i="11"/>
  <c r="F32" i="11"/>
  <c r="D32" i="11"/>
  <c r="AP32" i="11"/>
  <c r="Z32" i="11"/>
  <c r="AH32" i="11"/>
  <c r="T32" i="11"/>
  <c r="N32" i="11"/>
  <c r="AL32" i="11"/>
  <c r="H32" i="11"/>
  <c r="X32" i="11"/>
  <c r="AD32" i="11"/>
  <c r="R32" i="11"/>
  <c r="L32" i="11"/>
  <c r="AJ32" i="11"/>
  <c r="BB32" i="11"/>
  <c r="AV32" i="11"/>
  <c r="AB32" i="11"/>
  <c r="B51" i="13"/>
  <c r="AH51" i="11"/>
  <c r="AT51" i="11"/>
  <c r="AJ51" i="11"/>
  <c r="BH51" i="11"/>
  <c r="AZ51" i="11"/>
  <c r="BF51" i="11"/>
  <c r="BJ51" i="11"/>
  <c r="AX51" i="11"/>
  <c r="AV51" i="11"/>
  <c r="AD51" i="11"/>
  <c r="T51" i="11"/>
  <c r="BB51" i="11"/>
  <c r="BD51" i="11"/>
  <c r="J51" i="11"/>
  <c r="AR51" i="11"/>
  <c r="X51" i="11"/>
  <c r="N51" i="11"/>
  <c r="AP51" i="11"/>
  <c r="AN51" i="11"/>
  <c r="AB51" i="11"/>
  <c r="R51" i="11"/>
  <c r="AL51" i="11"/>
  <c r="Z51" i="11"/>
  <c r="P51" i="11"/>
  <c r="V51" i="11"/>
  <c r="H51" i="11"/>
  <c r="D51" i="11"/>
  <c r="L51" i="11"/>
  <c r="AF51" i="11"/>
  <c r="F51" i="11"/>
  <c r="B39" i="13"/>
  <c r="BA38" i="11"/>
  <c r="AX39" i="11"/>
  <c r="AV39" i="11"/>
  <c r="AL39" i="11"/>
  <c r="U38" i="11"/>
  <c r="R39" i="11"/>
  <c r="BJ39" i="11"/>
  <c r="BI38" i="11"/>
  <c r="BH39" i="11"/>
  <c r="AI38" i="11"/>
  <c r="AH39" i="11"/>
  <c r="V39" i="11"/>
  <c r="AF39" i="11"/>
  <c r="L39" i="11"/>
  <c r="BG38" i="11"/>
  <c r="AZ39" i="11"/>
  <c r="AG38" i="11"/>
  <c r="BB39" i="11"/>
  <c r="AE38" i="11"/>
  <c r="Z39" i="11"/>
  <c r="P39" i="11"/>
  <c r="K38" i="11"/>
  <c r="H39" i="11"/>
  <c r="BD39" i="11"/>
  <c r="AY38" i="11"/>
  <c r="AW38" i="11"/>
  <c r="AU38" i="11"/>
  <c r="AT39" i="11"/>
  <c r="Y38" i="11"/>
  <c r="O38" i="11"/>
  <c r="BC38" i="11"/>
  <c r="AD39" i="11"/>
  <c r="T39" i="11"/>
  <c r="AS38" i="11"/>
  <c r="AR39" i="11"/>
  <c r="AP39" i="11"/>
  <c r="AC38" i="11"/>
  <c r="BE38" i="11"/>
  <c r="W38" i="11"/>
  <c r="M38" i="11"/>
  <c r="AQ38" i="11"/>
  <c r="F39" i="11"/>
  <c r="S38" i="11"/>
  <c r="G38" i="11"/>
  <c r="E38" i="11"/>
  <c r="AJ39" i="11"/>
  <c r="D39" i="11"/>
  <c r="AK38" i="11"/>
  <c r="C38" i="11"/>
  <c r="AB39" i="11"/>
  <c r="Q38" i="11"/>
  <c r="AN39" i="11"/>
  <c r="X39" i="11"/>
  <c r="N39" i="11"/>
  <c r="BF39" i="11"/>
  <c r="AO38" i="11"/>
  <c r="AA38" i="11"/>
  <c r="J39" i="11"/>
  <c r="AM38" i="11"/>
  <c r="I38" i="11"/>
  <c r="BF20" i="17"/>
  <c r="AZ20" i="17"/>
  <c r="AT20" i="17"/>
  <c r="AN20" i="17"/>
  <c r="AH20" i="17"/>
  <c r="BH20" i="17"/>
  <c r="BB20" i="17"/>
  <c r="AV20" i="17"/>
  <c r="AP20" i="17"/>
  <c r="AJ20" i="17"/>
  <c r="BJ20" i="17"/>
  <c r="BD20" i="17"/>
  <c r="AX20" i="17"/>
  <c r="AR20" i="17"/>
  <c r="L20" i="17"/>
  <c r="F20" i="17"/>
  <c r="AF20" i="17"/>
  <c r="Z20" i="17"/>
  <c r="T20" i="17"/>
  <c r="N20" i="17"/>
  <c r="H20" i="17"/>
  <c r="AL20" i="17"/>
  <c r="AB20" i="17"/>
  <c r="V20" i="17"/>
  <c r="P20" i="17"/>
  <c r="J20" i="17"/>
  <c r="AD20" i="17"/>
  <c r="D20" i="17"/>
  <c r="X20" i="17"/>
  <c r="R20" i="17"/>
  <c r="B20" i="19"/>
  <c r="B37" i="13"/>
  <c r="AR37" i="11"/>
  <c r="BH37" i="11"/>
  <c r="T37" i="11"/>
  <c r="BB37" i="11"/>
  <c r="N37" i="11"/>
  <c r="AV37" i="11"/>
  <c r="BF37" i="11"/>
  <c r="AP37" i="11"/>
  <c r="AL37" i="11"/>
  <c r="AZ37" i="11"/>
  <c r="AH37" i="11"/>
  <c r="AT37" i="11"/>
  <c r="BJ37" i="11"/>
  <c r="AN37" i="11"/>
  <c r="X37" i="11"/>
  <c r="AD37" i="11"/>
  <c r="R37" i="11"/>
  <c r="L37" i="11"/>
  <c r="D37" i="11"/>
  <c r="AB37" i="11"/>
  <c r="AF37" i="11"/>
  <c r="V37" i="11"/>
  <c r="P37" i="11"/>
  <c r="J37" i="11"/>
  <c r="F37" i="11"/>
  <c r="AJ37" i="11"/>
  <c r="BD37" i="11"/>
  <c r="Z37" i="11"/>
  <c r="AX37" i="11"/>
  <c r="H37" i="11"/>
  <c r="B49" i="13"/>
  <c r="AP49" i="11"/>
  <c r="BD49" i="11"/>
  <c r="BJ49" i="11"/>
  <c r="BB49" i="11"/>
  <c r="AF49" i="11"/>
  <c r="BH49" i="11"/>
  <c r="AH49" i="11"/>
  <c r="H49" i="11"/>
  <c r="Z49" i="11"/>
  <c r="P49" i="11"/>
  <c r="AZ49" i="11"/>
  <c r="AX49" i="11"/>
  <c r="T49" i="11"/>
  <c r="AV49" i="11"/>
  <c r="AD49" i="11"/>
  <c r="AT49" i="11"/>
  <c r="X49" i="11"/>
  <c r="AR49" i="11"/>
  <c r="AJ49" i="11"/>
  <c r="J49" i="11"/>
  <c r="AL49" i="11"/>
  <c r="AB49" i="11"/>
  <c r="F49" i="11"/>
  <c r="N49" i="11"/>
  <c r="AN49" i="11"/>
  <c r="V49" i="11"/>
  <c r="BF49" i="11"/>
  <c r="L49" i="11"/>
  <c r="D49" i="11"/>
  <c r="R49" i="11"/>
  <c r="B9" i="18"/>
  <c r="BB9" i="19"/>
  <c r="AZ9" i="19"/>
  <c r="AX9" i="19"/>
  <c r="AV9" i="19"/>
  <c r="AT9" i="19"/>
  <c r="AR9" i="19"/>
  <c r="AP9" i="19"/>
  <c r="AL9" i="19"/>
  <c r="AJ9" i="19"/>
  <c r="AH9" i="19"/>
  <c r="BJ9" i="19"/>
  <c r="BH9" i="19"/>
  <c r="N9" i="19"/>
  <c r="L9" i="19"/>
  <c r="J9" i="19"/>
  <c r="BD9" i="19"/>
  <c r="AN9" i="19"/>
  <c r="H9" i="19"/>
  <c r="F9" i="19"/>
  <c r="AD9" i="19"/>
  <c r="AF9" i="19"/>
  <c r="AB9" i="19"/>
  <c r="Z9" i="19"/>
  <c r="X9" i="19"/>
  <c r="D9" i="19"/>
  <c r="V9" i="19"/>
  <c r="T9" i="19"/>
  <c r="R9" i="19"/>
  <c r="BF9" i="19"/>
  <c r="P9" i="19"/>
  <c r="B40" i="13"/>
  <c r="AT40" i="11"/>
  <c r="BH40" i="11"/>
  <c r="BJ40" i="11"/>
  <c r="BB40" i="11"/>
  <c r="N40" i="11"/>
  <c r="AP40" i="11"/>
  <c r="L40" i="11"/>
  <c r="AZ40" i="11"/>
  <c r="AF40" i="11"/>
  <c r="AX40" i="11"/>
  <c r="Z40" i="11"/>
  <c r="P40" i="11"/>
  <c r="H40" i="11"/>
  <c r="BD40" i="11"/>
  <c r="AV40" i="11"/>
  <c r="AD40" i="11"/>
  <c r="T40" i="11"/>
  <c r="AR40" i="11"/>
  <c r="BF40" i="11"/>
  <c r="F40" i="11"/>
  <c r="AH40" i="11"/>
  <c r="V40" i="11"/>
  <c r="D40" i="11"/>
  <c r="AJ40" i="11"/>
  <c r="AL40" i="11"/>
  <c r="R40" i="11"/>
  <c r="AB40" i="11"/>
  <c r="AN40" i="11"/>
  <c r="J40" i="11"/>
  <c r="X40" i="11"/>
  <c r="B47" i="13"/>
  <c r="AX47" i="11"/>
  <c r="R47" i="11"/>
  <c r="AV47" i="11"/>
  <c r="AL47" i="11"/>
  <c r="BJ47" i="11"/>
  <c r="D47" i="11"/>
  <c r="BF47" i="11"/>
  <c r="AJ47" i="11"/>
  <c r="V47" i="11"/>
  <c r="L47" i="11"/>
  <c r="AH47" i="11"/>
  <c r="AF47" i="11"/>
  <c r="H47" i="11"/>
  <c r="Z47" i="11"/>
  <c r="P47" i="11"/>
  <c r="AZ47" i="11"/>
  <c r="BB47" i="11"/>
  <c r="BH47" i="11"/>
  <c r="BD47" i="11"/>
  <c r="AT47" i="11"/>
  <c r="AD47" i="11"/>
  <c r="J47" i="11"/>
  <c r="AB47" i="11"/>
  <c r="X47" i="11"/>
  <c r="N47" i="11"/>
  <c r="F47" i="11"/>
  <c r="AN47" i="11"/>
  <c r="AP47" i="11"/>
  <c r="T47" i="11"/>
  <c r="AR47" i="11"/>
  <c r="B58" i="13"/>
  <c r="AL58" i="11"/>
  <c r="AZ58" i="11"/>
  <c r="BJ58" i="11"/>
  <c r="BB58" i="11"/>
  <c r="AP58" i="11"/>
  <c r="AF58" i="11"/>
  <c r="BH58" i="11"/>
  <c r="Z58" i="11"/>
  <c r="P58" i="11"/>
  <c r="D58" i="11"/>
  <c r="AH58" i="11"/>
  <c r="T58" i="11"/>
  <c r="BF58" i="11"/>
  <c r="AD58" i="11"/>
  <c r="J58" i="11"/>
  <c r="AX58" i="11"/>
  <c r="AV58" i="11"/>
  <c r="AT58" i="11"/>
  <c r="X58" i="11"/>
  <c r="N58" i="11"/>
  <c r="AR58" i="11"/>
  <c r="AN58" i="11"/>
  <c r="H58" i="11"/>
  <c r="BD58" i="11"/>
  <c r="V58" i="11"/>
  <c r="L58" i="11"/>
  <c r="R58" i="11"/>
  <c r="F58" i="11"/>
  <c r="AJ58" i="11"/>
  <c r="AB58" i="11"/>
  <c r="AN22" i="17"/>
  <c r="AH22" i="17"/>
  <c r="BH22" i="17"/>
  <c r="BB22" i="17"/>
  <c r="AV22" i="17"/>
  <c r="AP22" i="17"/>
  <c r="AJ22" i="17"/>
  <c r="BJ22" i="17"/>
  <c r="BD22" i="17"/>
  <c r="AX22" i="17"/>
  <c r="AR22" i="17"/>
  <c r="AL22" i="17"/>
  <c r="BF22" i="17"/>
  <c r="AZ22" i="17"/>
  <c r="AT22" i="17"/>
  <c r="T22" i="17"/>
  <c r="N22" i="17"/>
  <c r="H22" i="17"/>
  <c r="AB22" i="17"/>
  <c r="V22" i="17"/>
  <c r="P22" i="17"/>
  <c r="J22" i="17"/>
  <c r="D22" i="17"/>
  <c r="AD22" i="17"/>
  <c r="X22" i="17"/>
  <c r="R22" i="17"/>
  <c r="L22" i="17"/>
  <c r="F22" i="17"/>
  <c r="AF22" i="17"/>
  <c r="Z22" i="17"/>
  <c r="B22" i="19"/>
  <c r="B45" i="13"/>
  <c r="BF45" i="11"/>
  <c r="Z45" i="11"/>
  <c r="AP45" i="11"/>
  <c r="F45" i="11"/>
  <c r="AN45" i="11"/>
  <c r="AB45" i="11"/>
  <c r="R45" i="11"/>
  <c r="AL45" i="11"/>
  <c r="AJ45" i="11"/>
  <c r="V45" i="11"/>
  <c r="BJ45" i="11"/>
  <c r="AH45" i="11"/>
  <c r="L45" i="11"/>
  <c r="AF45" i="11"/>
  <c r="BB45" i="11"/>
  <c r="AR45" i="11"/>
  <c r="T45" i="11"/>
  <c r="AT45" i="11"/>
  <c r="BH45" i="11"/>
  <c r="BD45" i="11"/>
  <c r="AV45" i="11"/>
  <c r="P45" i="11"/>
  <c r="D45" i="11"/>
  <c r="AX45" i="11"/>
  <c r="J45" i="11"/>
  <c r="AD45" i="11"/>
  <c r="X45" i="11"/>
  <c r="N45" i="11"/>
  <c r="AZ45" i="11"/>
  <c r="H45" i="11"/>
  <c r="B55" i="13"/>
  <c r="AX55" i="11"/>
  <c r="R55" i="11"/>
  <c r="BD55" i="11"/>
  <c r="BH55" i="11"/>
  <c r="AN55" i="11"/>
  <c r="AL55" i="11"/>
  <c r="V55" i="11"/>
  <c r="L55" i="11"/>
  <c r="H55" i="11"/>
  <c r="AJ55" i="11"/>
  <c r="Z55" i="11"/>
  <c r="P55" i="11"/>
  <c r="AH55" i="11"/>
  <c r="AF55" i="11"/>
  <c r="X55" i="11"/>
  <c r="N55" i="11"/>
  <c r="AD55" i="11"/>
  <c r="AB55" i="11"/>
  <c r="T55" i="11"/>
  <c r="BJ55" i="11"/>
  <c r="AZ55" i="11"/>
  <c r="AP55" i="11"/>
  <c r="BF55" i="11"/>
  <c r="AR55" i="11"/>
  <c r="J55" i="11"/>
  <c r="BB55" i="11"/>
  <c r="AT55" i="11"/>
  <c r="F55" i="11"/>
  <c r="AV55" i="11"/>
  <c r="D55" i="11"/>
  <c r="AH43" i="11"/>
  <c r="B43" i="13"/>
  <c r="BF43" i="11"/>
  <c r="T43" i="11"/>
  <c r="BH43" i="11"/>
  <c r="AT43" i="11"/>
  <c r="AR43" i="11"/>
  <c r="X43" i="11"/>
  <c r="N43" i="11"/>
  <c r="J43" i="11"/>
  <c r="AP43" i="11"/>
  <c r="AN43" i="11"/>
  <c r="AB43" i="11"/>
  <c r="R43" i="11"/>
  <c r="AL43" i="11"/>
  <c r="BJ43" i="11"/>
  <c r="AJ43" i="11"/>
  <c r="AZ43" i="11"/>
  <c r="L43" i="11"/>
  <c r="H43" i="11"/>
  <c r="BB43" i="11"/>
  <c r="AV43" i="11"/>
  <c r="Z43" i="11"/>
  <c r="P43" i="11"/>
  <c r="BD43" i="11"/>
  <c r="AX43" i="11"/>
  <c r="AD43" i="11"/>
  <c r="F43" i="11"/>
  <c r="AF43" i="11"/>
  <c r="V43" i="11"/>
  <c r="D43" i="11"/>
  <c r="BH23" i="17"/>
  <c r="BB23" i="17"/>
  <c r="AV23" i="17"/>
  <c r="AP23" i="17"/>
  <c r="AJ23" i="17"/>
  <c r="BJ23" i="17"/>
  <c r="BD23" i="17"/>
  <c r="AX23" i="17"/>
  <c r="AR23" i="17"/>
  <c r="AL23" i="17"/>
  <c r="BF23" i="17"/>
  <c r="AZ23" i="17"/>
  <c r="AT23" i="17"/>
  <c r="AN23" i="17"/>
  <c r="H23" i="17"/>
  <c r="AB23" i="17"/>
  <c r="V23" i="17"/>
  <c r="P23" i="17"/>
  <c r="D23" i="17"/>
  <c r="J23" i="17"/>
  <c r="AD23" i="17"/>
  <c r="X23" i="17"/>
  <c r="R23" i="17"/>
  <c r="L23" i="17"/>
  <c r="F23" i="17"/>
  <c r="AH23" i="17"/>
  <c r="AF23" i="17"/>
  <c r="Z23" i="17"/>
  <c r="T23" i="17"/>
  <c r="N23" i="17"/>
  <c r="B23" i="19"/>
  <c r="B44" i="13"/>
  <c r="BJ44" i="11"/>
  <c r="AD44" i="11"/>
  <c r="BF44" i="11"/>
  <c r="AX44" i="11"/>
  <c r="AN44" i="11"/>
  <c r="X44" i="11"/>
  <c r="N44" i="11"/>
  <c r="J44" i="11"/>
  <c r="AP44" i="11"/>
  <c r="AB44" i="11"/>
  <c r="R44" i="11"/>
  <c r="AL44" i="11"/>
  <c r="AJ44" i="11"/>
  <c r="V44" i="11"/>
  <c r="AH44" i="11"/>
  <c r="AR44" i="11"/>
  <c r="BB44" i="11"/>
  <c r="T44" i="11"/>
  <c r="AT44" i="11"/>
  <c r="Z44" i="11"/>
  <c r="BH44" i="11"/>
  <c r="BD44" i="11"/>
  <c r="AV44" i="11"/>
  <c r="P44" i="11"/>
  <c r="AF44" i="11"/>
  <c r="F44" i="11"/>
  <c r="D44" i="11"/>
  <c r="H44" i="11"/>
  <c r="L44" i="11"/>
  <c r="AZ44" i="11"/>
  <c r="AZ21" i="17"/>
  <c r="AT21" i="17"/>
  <c r="AN21" i="17"/>
  <c r="AH21" i="17"/>
  <c r="BH21" i="17"/>
  <c r="BB21" i="17"/>
  <c r="AV21" i="17"/>
  <c r="AP21" i="17"/>
  <c r="AJ21" i="17"/>
  <c r="BJ21" i="17"/>
  <c r="BD21" i="17"/>
  <c r="AX21" i="17"/>
  <c r="AR21" i="17"/>
  <c r="AL21" i="17"/>
  <c r="BF21" i="17"/>
  <c r="AF21" i="17"/>
  <c r="Z21" i="17"/>
  <c r="T21" i="17"/>
  <c r="N21" i="17"/>
  <c r="H21" i="17"/>
  <c r="AB21" i="17"/>
  <c r="V21" i="17"/>
  <c r="P21" i="17"/>
  <c r="J21" i="17"/>
  <c r="D21" i="17"/>
  <c r="AD21" i="17"/>
  <c r="X21" i="17"/>
  <c r="R21" i="17"/>
  <c r="L21" i="17"/>
  <c r="F21" i="17"/>
  <c r="B21" i="19"/>
  <c r="BF53" i="11"/>
  <c r="AX53" i="11"/>
  <c r="AD53" i="11"/>
  <c r="Z53" i="11"/>
  <c r="BD53" i="11"/>
  <c r="AT53" i="11"/>
  <c r="X53" i="11"/>
  <c r="N53" i="11"/>
  <c r="AR53" i="11"/>
  <c r="F53" i="11"/>
  <c r="AP53" i="11"/>
  <c r="AB53" i="11"/>
  <c r="R53" i="11"/>
  <c r="B53" i="13"/>
  <c r="BH53" i="11"/>
  <c r="AN53" i="11"/>
  <c r="AL53" i="11"/>
  <c r="V53" i="11"/>
  <c r="AJ53" i="11"/>
  <c r="AH53" i="11"/>
  <c r="AV53" i="11"/>
  <c r="H53" i="11"/>
  <c r="D53" i="11"/>
  <c r="AF53" i="11"/>
  <c r="L53" i="11"/>
  <c r="T53" i="11"/>
  <c r="BJ53" i="11"/>
  <c r="AZ53" i="11"/>
  <c r="BB53" i="11"/>
  <c r="J53" i="11"/>
  <c r="P53" i="11"/>
  <c r="B11" i="18"/>
  <c r="AT11" i="19"/>
  <c r="AR11" i="19"/>
  <c r="AP11" i="19"/>
  <c r="AL11" i="19"/>
  <c r="BJ11" i="19"/>
  <c r="BH11" i="19"/>
  <c r="BF11" i="19"/>
  <c r="BD11" i="19"/>
  <c r="AZ11" i="19"/>
  <c r="F11" i="19"/>
  <c r="AN11" i="19"/>
  <c r="BB11" i="19"/>
  <c r="AD11" i="19"/>
  <c r="AB11" i="19"/>
  <c r="D11" i="19"/>
  <c r="AF11" i="19"/>
  <c r="Z11" i="19"/>
  <c r="X11" i="19"/>
  <c r="V11" i="19"/>
  <c r="AH11" i="19"/>
  <c r="T11" i="19"/>
  <c r="R11" i="19"/>
  <c r="AX11" i="19"/>
  <c r="P11" i="19"/>
  <c r="N11" i="19"/>
  <c r="L11" i="19"/>
  <c r="J11" i="19"/>
  <c r="AV11" i="19"/>
  <c r="AJ11" i="19"/>
  <c r="H11" i="19"/>
  <c r="B35" i="13"/>
  <c r="AJ35" i="11"/>
  <c r="BJ35" i="11"/>
  <c r="AR35" i="11"/>
  <c r="L35" i="11"/>
  <c r="AN35" i="11"/>
  <c r="AF35" i="11"/>
  <c r="BH35" i="11"/>
  <c r="BB35" i="11"/>
  <c r="AV35" i="11"/>
  <c r="AH35" i="11"/>
  <c r="N35" i="11"/>
  <c r="AL35" i="11"/>
  <c r="H35" i="11"/>
  <c r="X35" i="11"/>
  <c r="AD35" i="11"/>
  <c r="R35" i="11"/>
  <c r="AB35" i="11"/>
  <c r="D35" i="11"/>
  <c r="BF35" i="11"/>
  <c r="V35" i="11"/>
  <c r="P35" i="11"/>
  <c r="AZ35" i="11"/>
  <c r="J35" i="11"/>
  <c r="F35" i="11"/>
  <c r="BD35" i="11"/>
  <c r="AT35" i="11"/>
  <c r="Z35" i="11"/>
  <c r="AX35" i="11"/>
  <c r="AP35" i="11"/>
  <c r="T35" i="11"/>
  <c r="B12" i="18"/>
  <c r="AP12" i="19"/>
  <c r="AN12" i="19"/>
  <c r="AL12" i="19"/>
  <c r="BJ12" i="19"/>
  <c r="BH12" i="19"/>
  <c r="BF12" i="19"/>
  <c r="BD12" i="19"/>
  <c r="BB12" i="19"/>
  <c r="AZ12" i="19"/>
  <c r="AV12" i="19"/>
  <c r="AT12" i="19"/>
  <c r="D12" i="19"/>
  <c r="AD12" i="19"/>
  <c r="AB12" i="19"/>
  <c r="AF12" i="19"/>
  <c r="Z12" i="19"/>
  <c r="AR12" i="19"/>
  <c r="X12" i="19"/>
  <c r="V12" i="19"/>
  <c r="AH12" i="19"/>
  <c r="T12" i="19"/>
  <c r="R12" i="19"/>
  <c r="P12" i="19"/>
  <c r="AX12" i="19"/>
  <c r="N12" i="19"/>
  <c r="L12" i="19"/>
  <c r="J12" i="19"/>
  <c r="AJ12" i="19"/>
  <c r="H12" i="19"/>
  <c r="F12" i="19"/>
  <c r="B50" i="13"/>
  <c r="AL50" i="11"/>
  <c r="AZ50" i="11"/>
  <c r="BH50" i="11"/>
  <c r="AF50" i="11"/>
  <c r="BJ50" i="11"/>
  <c r="AX50" i="11"/>
  <c r="T50" i="11"/>
  <c r="AV50" i="11"/>
  <c r="AD50" i="11"/>
  <c r="BB50" i="11"/>
  <c r="AT50" i="11"/>
  <c r="BD50" i="11"/>
  <c r="J50" i="11"/>
  <c r="AR50" i="11"/>
  <c r="X50" i="11"/>
  <c r="N50" i="11"/>
  <c r="AP50" i="11"/>
  <c r="AN50" i="11"/>
  <c r="AB50" i="11"/>
  <c r="F50" i="11"/>
  <c r="Z50" i="11"/>
  <c r="P50" i="11"/>
  <c r="V50" i="11"/>
  <c r="H50" i="11"/>
  <c r="BF50" i="11"/>
  <c r="L50" i="11"/>
  <c r="D50" i="11"/>
  <c r="AH50" i="11"/>
  <c r="AJ50" i="11"/>
  <c r="R50" i="11"/>
  <c r="AU16" i="17"/>
  <c r="AJ17" i="17"/>
  <c r="BJ17" i="17"/>
  <c r="AO16" i="17"/>
  <c r="BD17" i="17"/>
  <c r="AI16" i="17"/>
  <c r="BI16" i="17"/>
  <c r="AX17" i="17"/>
  <c r="BC16" i="17"/>
  <c r="AR17" i="17"/>
  <c r="AW16" i="17"/>
  <c r="AL17" i="17"/>
  <c r="AQ16" i="17"/>
  <c r="BF17" i="17"/>
  <c r="AK16" i="17"/>
  <c r="AZ17" i="17"/>
  <c r="BE16" i="17"/>
  <c r="AT17" i="17"/>
  <c r="AY16" i="17"/>
  <c r="AN17" i="17"/>
  <c r="AS16" i="17"/>
  <c r="BH17" i="17"/>
  <c r="AM16" i="17"/>
  <c r="BB17" i="17"/>
  <c r="BG16" i="17"/>
  <c r="AV17" i="17"/>
  <c r="BA16" i="17"/>
  <c r="AP17" i="17"/>
  <c r="AA16" i="17"/>
  <c r="P17" i="17"/>
  <c r="U16" i="17"/>
  <c r="J17" i="17"/>
  <c r="O16" i="17"/>
  <c r="AD17" i="17"/>
  <c r="I16" i="17"/>
  <c r="X17" i="17"/>
  <c r="AC16" i="17"/>
  <c r="R17" i="17"/>
  <c r="W16" i="17"/>
  <c r="L17" i="17"/>
  <c r="D17" i="17"/>
  <c r="Q16" i="17"/>
  <c r="F17" i="17"/>
  <c r="AF17" i="17"/>
  <c r="K16" i="17"/>
  <c r="Z17" i="17"/>
  <c r="E16" i="17"/>
  <c r="C16" i="17"/>
  <c r="AE16" i="17"/>
  <c r="T17" i="17"/>
  <c r="Y16" i="17"/>
  <c r="N17" i="17"/>
  <c r="S16" i="17"/>
  <c r="H17" i="17"/>
  <c r="AH17" i="17"/>
  <c r="M16" i="17"/>
  <c r="AB17" i="17"/>
  <c r="G16" i="17"/>
  <c r="AG16" i="17"/>
  <c r="V17" i="17"/>
  <c r="B17" i="19"/>
  <c r="B29" i="13"/>
  <c r="AR29" i="11"/>
  <c r="AV29" i="11"/>
  <c r="T29" i="11"/>
  <c r="N29" i="11"/>
  <c r="BF29" i="11"/>
  <c r="AZ29" i="11"/>
  <c r="AP29" i="11"/>
  <c r="AT29" i="11"/>
  <c r="AH29" i="11"/>
  <c r="BJ29" i="11"/>
  <c r="BD29" i="11"/>
  <c r="R29" i="11"/>
  <c r="BH29" i="11"/>
  <c r="AJ29" i="11"/>
  <c r="AF29" i="11"/>
  <c r="L29" i="11"/>
  <c r="AX29" i="11"/>
  <c r="BB29" i="11"/>
  <c r="AB29" i="11"/>
  <c r="V29" i="11"/>
  <c r="P29" i="11"/>
  <c r="J29" i="11"/>
  <c r="AN29" i="11"/>
  <c r="F29" i="11"/>
  <c r="AL29" i="11"/>
  <c r="Z29" i="11"/>
  <c r="D29" i="11"/>
  <c r="H29" i="11"/>
  <c r="AD29" i="11"/>
  <c r="X29" i="11"/>
  <c r="B52" i="13"/>
  <c r="BJ52" i="11"/>
  <c r="AD52" i="11"/>
  <c r="AN52" i="11"/>
  <c r="BF52" i="11"/>
  <c r="BB52" i="11"/>
  <c r="AV52" i="11"/>
  <c r="BD52" i="11"/>
  <c r="AZ52" i="11"/>
  <c r="J52" i="11"/>
  <c r="AT52" i="11"/>
  <c r="AR52" i="11"/>
  <c r="X52" i="11"/>
  <c r="N52" i="11"/>
  <c r="F52" i="11"/>
  <c r="AP52" i="11"/>
  <c r="AB52" i="11"/>
  <c r="R52" i="11"/>
  <c r="BH52" i="11"/>
  <c r="AL52" i="11"/>
  <c r="P52" i="11"/>
  <c r="V52" i="11"/>
  <c r="D52" i="11"/>
  <c r="H52" i="11"/>
  <c r="AX52" i="11"/>
  <c r="L52" i="11"/>
  <c r="AF52" i="11"/>
  <c r="AH52" i="11"/>
  <c r="T52" i="11"/>
  <c r="AJ52" i="11"/>
  <c r="Z52" i="11"/>
  <c r="B42" i="13"/>
  <c r="AL42" i="11"/>
  <c r="AZ42" i="11"/>
  <c r="BH42" i="11"/>
  <c r="AT42" i="11"/>
  <c r="AJ42" i="11"/>
  <c r="BF42" i="11"/>
  <c r="BB42" i="11"/>
  <c r="AV42" i="11"/>
  <c r="D42" i="11"/>
  <c r="BD42" i="11"/>
  <c r="AD42" i="11"/>
  <c r="T42" i="11"/>
  <c r="AR42" i="11"/>
  <c r="X42" i="11"/>
  <c r="N42" i="11"/>
  <c r="J42" i="11"/>
  <c r="AP42" i="11"/>
  <c r="AN42" i="11"/>
  <c r="AB42" i="11"/>
  <c r="L42" i="11"/>
  <c r="H42" i="11"/>
  <c r="R42" i="11"/>
  <c r="Z42" i="11"/>
  <c r="P42" i="11"/>
  <c r="BJ42" i="11"/>
  <c r="AX42" i="11"/>
  <c r="AH42" i="11"/>
  <c r="F42" i="11"/>
  <c r="AF42" i="11"/>
  <c r="V42" i="11"/>
  <c r="B57" i="13"/>
  <c r="AP57" i="11"/>
  <c r="BD57" i="11"/>
  <c r="BJ57" i="11"/>
  <c r="AL57" i="11"/>
  <c r="H57" i="11"/>
  <c r="AJ57" i="11"/>
  <c r="Z57" i="11"/>
  <c r="P57" i="11"/>
  <c r="AH57" i="11"/>
  <c r="AF57" i="11"/>
  <c r="T57" i="11"/>
  <c r="BF57" i="11"/>
  <c r="AZ57" i="11"/>
  <c r="AD57" i="11"/>
  <c r="BB57" i="11"/>
  <c r="AX57" i="11"/>
  <c r="AV57" i="11"/>
  <c r="AT57" i="11"/>
  <c r="BH57" i="11"/>
  <c r="AN57" i="11"/>
  <c r="V57" i="11"/>
  <c r="L57" i="11"/>
  <c r="AR57" i="11"/>
  <c r="J57" i="11"/>
  <c r="D57" i="11"/>
  <c r="R57" i="11"/>
  <c r="F57" i="11"/>
  <c r="X57" i="11"/>
  <c r="N57" i="11"/>
  <c r="AB57" i="11"/>
  <c r="B13" i="18"/>
  <c r="AL13" i="19"/>
  <c r="AJ13" i="19"/>
  <c r="AH13" i="19"/>
  <c r="BJ13" i="19"/>
  <c r="BH13" i="19"/>
  <c r="BF13" i="19"/>
  <c r="BD13" i="19"/>
  <c r="BB13" i="19"/>
  <c r="AZ13" i="19"/>
  <c r="AX13" i="19"/>
  <c r="AV13" i="19"/>
  <c r="AR13" i="19"/>
  <c r="AT13" i="19"/>
  <c r="AN13" i="19"/>
  <c r="AD13" i="19"/>
  <c r="AB13" i="19"/>
  <c r="AF13" i="19"/>
  <c r="Z13" i="19"/>
  <c r="X13" i="19"/>
  <c r="V13" i="19"/>
  <c r="T13" i="19"/>
  <c r="R13" i="19"/>
  <c r="P13" i="19"/>
  <c r="N13" i="19"/>
  <c r="AP13" i="19"/>
  <c r="L13" i="19"/>
  <c r="J13" i="19"/>
  <c r="H13" i="19"/>
  <c r="F13" i="19"/>
  <c r="D13" i="19"/>
  <c r="B28" i="13"/>
  <c r="BD28" i="11"/>
  <c r="AX28" i="11"/>
  <c r="BH28" i="11"/>
  <c r="AF28" i="11"/>
  <c r="BB28" i="11"/>
  <c r="Z28" i="11"/>
  <c r="AV28" i="11"/>
  <c r="BF28" i="11"/>
  <c r="AZ28" i="11"/>
  <c r="AP28" i="11"/>
  <c r="AL28" i="11"/>
  <c r="AT28" i="11"/>
  <c r="BJ28" i="11"/>
  <c r="AD28" i="11"/>
  <c r="X28" i="11"/>
  <c r="R28" i="11"/>
  <c r="AJ28" i="11"/>
  <c r="L28" i="11"/>
  <c r="AR28" i="11"/>
  <c r="AB28" i="11"/>
  <c r="V28" i="11"/>
  <c r="AH28" i="11"/>
  <c r="P28" i="11"/>
  <c r="J28" i="11"/>
  <c r="AN28" i="11"/>
  <c r="F28" i="11"/>
  <c r="T28" i="11"/>
  <c r="N28" i="11"/>
  <c r="H28" i="11"/>
  <c r="D28" i="11"/>
  <c r="B34" i="13"/>
  <c r="AV34" i="11"/>
  <c r="BD34" i="11"/>
  <c r="X34" i="11"/>
  <c r="AX34" i="11"/>
  <c r="R34" i="11"/>
  <c r="AR34" i="11"/>
  <c r="AN34" i="11"/>
  <c r="AJ34" i="11"/>
  <c r="BH34" i="11"/>
  <c r="BB34" i="11"/>
  <c r="AT34" i="11"/>
  <c r="AP34" i="11"/>
  <c r="Z34" i="11"/>
  <c r="T34" i="11"/>
  <c r="AH34" i="11"/>
  <c r="N34" i="11"/>
  <c r="BJ34" i="11"/>
  <c r="AL34" i="11"/>
  <c r="H34" i="11"/>
  <c r="L34" i="11"/>
  <c r="AF34" i="11"/>
  <c r="AD34" i="11"/>
  <c r="AB34" i="11"/>
  <c r="BF34" i="11"/>
  <c r="V34" i="11"/>
  <c r="D34" i="11"/>
  <c r="P34" i="11"/>
  <c r="AZ34" i="11"/>
  <c r="J34" i="11"/>
  <c r="F34" i="11"/>
  <c r="B48" i="13"/>
  <c r="AT48" i="11"/>
  <c r="BH48" i="11"/>
  <c r="N48" i="11"/>
  <c r="BJ48" i="11"/>
  <c r="BF48" i="11"/>
  <c r="AJ48" i="11"/>
  <c r="V48" i="11"/>
  <c r="L48" i="11"/>
  <c r="AH48" i="11"/>
  <c r="H48" i="11"/>
  <c r="AF48" i="11"/>
  <c r="Z48" i="11"/>
  <c r="P48" i="11"/>
  <c r="AZ48" i="11"/>
  <c r="BB48" i="11"/>
  <c r="AX48" i="11"/>
  <c r="T48" i="11"/>
  <c r="BD48" i="11"/>
  <c r="AV48" i="11"/>
  <c r="AD48" i="11"/>
  <c r="D48" i="11"/>
  <c r="R48" i="11"/>
  <c r="J48" i="11"/>
  <c r="AB48" i="11"/>
  <c r="AL48" i="11"/>
  <c r="X48" i="11"/>
  <c r="F48" i="11"/>
  <c r="AN48" i="11"/>
  <c r="AP48" i="11"/>
  <c r="AR48" i="11"/>
  <c r="B31" i="13"/>
  <c r="AZ31" i="11"/>
  <c r="AT31" i="11"/>
  <c r="AP31" i="11"/>
  <c r="AB31" i="11"/>
  <c r="BF31" i="11"/>
  <c r="AL31" i="11"/>
  <c r="AH31" i="11"/>
  <c r="V31" i="11"/>
  <c r="BJ31" i="11"/>
  <c r="BD31" i="11"/>
  <c r="AX31" i="11"/>
  <c r="AR31" i="11"/>
  <c r="AN31" i="11"/>
  <c r="AV31" i="11"/>
  <c r="P31" i="11"/>
  <c r="J31" i="11"/>
  <c r="F31" i="11"/>
  <c r="D31" i="11"/>
  <c r="Z31" i="11"/>
  <c r="T31" i="11"/>
  <c r="N31" i="11"/>
  <c r="H31" i="11"/>
  <c r="X31" i="11"/>
  <c r="AD31" i="11"/>
  <c r="R31" i="11"/>
  <c r="BH31" i="11"/>
  <c r="AJ31" i="11"/>
  <c r="AF31" i="11"/>
  <c r="L31" i="11"/>
  <c r="BB31" i="11"/>
  <c r="B27" i="13"/>
  <c r="AJ27" i="11"/>
  <c r="BJ27" i="11"/>
  <c r="AN27" i="11"/>
  <c r="L27" i="11"/>
  <c r="BH27" i="11"/>
  <c r="AF27" i="11"/>
  <c r="BB27" i="11"/>
  <c r="AV27" i="11"/>
  <c r="BF27" i="11"/>
  <c r="AZ27" i="11"/>
  <c r="AP27" i="11"/>
  <c r="AL27" i="11"/>
  <c r="H27" i="11"/>
  <c r="D27" i="11"/>
  <c r="BD27" i="11"/>
  <c r="AT27" i="11"/>
  <c r="AD27" i="11"/>
  <c r="X27" i="11"/>
  <c r="AX27" i="11"/>
  <c r="R27" i="11"/>
  <c r="AR27" i="11"/>
  <c r="AB27" i="11"/>
  <c r="AH27" i="11"/>
  <c r="V27" i="11"/>
  <c r="P27" i="11"/>
  <c r="J27" i="11"/>
  <c r="Z27" i="11"/>
  <c r="F27" i="11"/>
  <c r="T27" i="11"/>
  <c r="N27" i="11"/>
  <c r="B54" i="13"/>
  <c r="BB54" i="11"/>
  <c r="BF54" i="11"/>
  <c r="V54" i="11"/>
  <c r="AR54" i="11"/>
  <c r="AH54" i="11"/>
  <c r="BD54" i="11"/>
  <c r="AP54" i="11"/>
  <c r="AB54" i="11"/>
  <c r="R54" i="11"/>
  <c r="BH54" i="11"/>
  <c r="AN54" i="11"/>
  <c r="AL54" i="11"/>
  <c r="L54" i="11"/>
  <c r="AJ54" i="11"/>
  <c r="H54" i="11"/>
  <c r="Z54" i="11"/>
  <c r="AF54" i="11"/>
  <c r="AV54" i="11"/>
  <c r="D54" i="11"/>
  <c r="X54" i="11"/>
  <c r="N54" i="11"/>
  <c r="AD54" i="11"/>
  <c r="AX54" i="11"/>
  <c r="T54" i="11"/>
  <c r="BJ54" i="11"/>
  <c r="AZ54" i="11"/>
  <c r="P54" i="11"/>
  <c r="F54" i="11"/>
  <c r="AT54" i="11"/>
  <c r="J54" i="11"/>
  <c r="AJ32" i="13" l="1"/>
  <c r="BJ32" i="13"/>
  <c r="BD32" i="13"/>
  <c r="AX32" i="13"/>
  <c r="BF32" i="13"/>
  <c r="AT32" i="13"/>
  <c r="F32" i="13"/>
  <c r="D32" i="13"/>
  <c r="AF32" i="13"/>
  <c r="AR32" i="13"/>
  <c r="Z32" i="13"/>
  <c r="BB32" i="13"/>
  <c r="T32" i="13"/>
  <c r="N32" i="13"/>
  <c r="H32" i="13"/>
  <c r="AH32" i="13"/>
  <c r="AP32" i="13"/>
  <c r="AB32" i="13"/>
  <c r="V32" i="13"/>
  <c r="AN32" i="13"/>
  <c r="P32" i="13"/>
  <c r="AD32" i="13"/>
  <c r="L32" i="13"/>
  <c r="X32" i="13"/>
  <c r="AL32" i="13"/>
  <c r="AV32" i="13"/>
  <c r="R32" i="13"/>
  <c r="BH32" i="13"/>
  <c r="AZ32" i="13"/>
  <c r="J32" i="13"/>
  <c r="AZ36" i="13"/>
  <c r="AT36" i="13"/>
  <c r="AN36" i="13"/>
  <c r="BH36" i="13"/>
  <c r="BB36" i="13"/>
  <c r="V36" i="13"/>
  <c r="P36" i="13"/>
  <c r="BJ36" i="13"/>
  <c r="BD36" i="13"/>
  <c r="J36" i="13"/>
  <c r="AD36" i="13"/>
  <c r="X36" i="13"/>
  <c r="AV36" i="13"/>
  <c r="AL36" i="13"/>
  <c r="R36" i="13"/>
  <c r="AX36" i="13"/>
  <c r="AJ36" i="13"/>
  <c r="AF36" i="13"/>
  <c r="Z36" i="13"/>
  <c r="T36" i="13"/>
  <c r="AH36" i="13"/>
  <c r="BF36" i="13"/>
  <c r="AB36" i="13"/>
  <c r="N36" i="13"/>
  <c r="H36" i="13"/>
  <c r="AP36" i="13"/>
  <c r="F36" i="13"/>
  <c r="D36" i="13"/>
  <c r="AR36" i="13"/>
  <c r="L36" i="13"/>
  <c r="BD44" i="13"/>
  <c r="AV44" i="13"/>
  <c r="P44" i="13"/>
  <c r="AD44" i="13"/>
  <c r="Z44" i="13"/>
  <c r="AN44" i="13"/>
  <c r="BB44" i="13"/>
  <c r="AT44" i="13"/>
  <c r="V44" i="13"/>
  <c r="AZ44" i="13"/>
  <c r="BJ44" i="13"/>
  <c r="BH44" i="13"/>
  <c r="BF44" i="13"/>
  <c r="L44" i="13"/>
  <c r="AR44" i="13"/>
  <c r="AH44" i="13"/>
  <c r="AJ44" i="13"/>
  <c r="F44" i="13"/>
  <c r="AB44" i="13"/>
  <c r="J44" i="13"/>
  <c r="D44" i="13"/>
  <c r="AP44" i="13"/>
  <c r="T44" i="13"/>
  <c r="R44" i="13"/>
  <c r="AL44" i="13"/>
  <c r="N44" i="13"/>
  <c r="AX44" i="13"/>
  <c r="X44" i="13"/>
  <c r="AF44" i="13"/>
  <c r="H44" i="13"/>
  <c r="BH51" i="13"/>
  <c r="AP51" i="13"/>
  <c r="T51" i="13"/>
  <c r="BJ51" i="13"/>
  <c r="BF51" i="13"/>
  <c r="AX51" i="13"/>
  <c r="AH51" i="13"/>
  <c r="AD51" i="13"/>
  <c r="BD51" i="13"/>
  <c r="AV51" i="13"/>
  <c r="Z51" i="13"/>
  <c r="BB51" i="13"/>
  <c r="AT51" i="13"/>
  <c r="AZ51" i="13"/>
  <c r="AL51" i="13"/>
  <c r="AN51" i="13"/>
  <c r="N51" i="13"/>
  <c r="AF51" i="13"/>
  <c r="D51" i="13"/>
  <c r="X51" i="13"/>
  <c r="L51" i="13"/>
  <c r="F51" i="13"/>
  <c r="R51" i="13"/>
  <c r="J51" i="13"/>
  <c r="H51" i="13"/>
  <c r="AR51" i="13"/>
  <c r="P51" i="13"/>
  <c r="V51" i="13"/>
  <c r="AJ51" i="13"/>
  <c r="AB51" i="13"/>
  <c r="B18" i="18"/>
  <c r="AN18" i="19"/>
  <c r="H18" i="19"/>
  <c r="AH18" i="19"/>
  <c r="BH18" i="19"/>
  <c r="AB18" i="19"/>
  <c r="BB18" i="19"/>
  <c r="V18" i="19"/>
  <c r="AV18" i="19"/>
  <c r="P18" i="19"/>
  <c r="AP18" i="19"/>
  <c r="J18" i="19"/>
  <c r="AJ18" i="19"/>
  <c r="BJ18" i="19"/>
  <c r="AD18" i="19"/>
  <c r="BD18" i="19"/>
  <c r="X18" i="19"/>
  <c r="AX18" i="19"/>
  <c r="R18" i="19"/>
  <c r="D18" i="19"/>
  <c r="AR18" i="19"/>
  <c r="L18" i="19"/>
  <c r="AL18" i="19"/>
  <c r="F18" i="19"/>
  <c r="AF18" i="19"/>
  <c r="BF18" i="19"/>
  <c r="Z18" i="19"/>
  <c r="AZ18" i="19"/>
  <c r="T18" i="19"/>
  <c r="AT18" i="19"/>
  <c r="N18" i="19"/>
  <c r="BB48" i="13"/>
  <c r="AF48" i="13"/>
  <c r="N48" i="13"/>
  <c r="AZ48" i="13"/>
  <c r="AR48" i="13"/>
  <c r="AB48" i="13"/>
  <c r="BH48" i="13"/>
  <c r="AX48" i="13"/>
  <c r="AP48" i="13"/>
  <c r="AL48" i="13"/>
  <c r="BJ48" i="13"/>
  <c r="BF48" i="13"/>
  <c r="BD48" i="13"/>
  <c r="AV48" i="13"/>
  <c r="AJ48" i="13"/>
  <c r="AT48" i="13"/>
  <c r="R48" i="13"/>
  <c r="AD48" i="13"/>
  <c r="P48" i="13"/>
  <c r="V48" i="13"/>
  <c r="H48" i="13"/>
  <c r="X48" i="13"/>
  <c r="AN48" i="13"/>
  <c r="D48" i="13"/>
  <c r="Z48" i="13"/>
  <c r="T48" i="13"/>
  <c r="J48" i="13"/>
  <c r="L48" i="13"/>
  <c r="F48" i="13"/>
  <c r="AH48" i="13"/>
  <c r="B23" i="18"/>
  <c r="AR23" i="19"/>
  <c r="L23" i="19"/>
  <c r="AL23" i="19"/>
  <c r="F23" i="19"/>
  <c r="AF23" i="19"/>
  <c r="BF23" i="19"/>
  <c r="Z23" i="19"/>
  <c r="AZ23" i="19"/>
  <c r="T23" i="19"/>
  <c r="AT23" i="19"/>
  <c r="N23" i="19"/>
  <c r="AN23" i="19"/>
  <c r="H23" i="19"/>
  <c r="AH23" i="19"/>
  <c r="BH23" i="19"/>
  <c r="AB23" i="19"/>
  <c r="BB23" i="19"/>
  <c r="V23" i="19"/>
  <c r="AV23" i="19"/>
  <c r="P23" i="19"/>
  <c r="D23" i="19"/>
  <c r="AP23" i="19"/>
  <c r="J23" i="19"/>
  <c r="AJ23" i="19"/>
  <c r="BJ23" i="19"/>
  <c r="AD23" i="19"/>
  <c r="BD23" i="19"/>
  <c r="X23" i="19"/>
  <c r="AX23" i="19"/>
  <c r="R23" i="19"/>
  <c r="AU38" i="13"/>
  <c r="AR39" i="13"/>
  <c r="BI38" i="13"/>
  <c r="BF39" i="13"/>
  <c r="AM38" i="13"/>
  <c r="AJ39" i="13"/>
  <c r="G38" i="13"/>
  <c r="U38" i="13"/>
  <c r="R39" i="13"/>
  <c r="BH39" i="13"/>
  <c r="AZ39" i="13"/>
  <c r="AQ38" i="13"/>
  <c r="AI38" i="13"/>
  <c r="AF39" i="13"/>
  <c r="BG38" i="13"/>
  <c r="AY38" i="13"/>
  <c r="BJ39" i="13"/>
  <c r="AX39" i="13"/>
  <c r="AP39" i="13"/>
  <c r="BE38" i="13"/>
  <c r="AW38" i="13"/>
  <c r="AO38" i="13"/>
  <c r="BD39" i="13"/>
  <c r="BC38" i="13"/>
  <c r="BB39" i="13"/>
  <c r="AK38" i="13"/>
  <c r="AD39" i="13"/>
  <c r="S38" i="13"/>
  <c r="Q38" i="13"/>
  <c r="I38" i="13"/>
  <c r="AC38" i="13"/>
  <c r="V39" i="13"/>
  <c r="X39" i="13"/>
  <c r="P39" i="13"/>
  <c r="AN39" i="13"/>
  <c r="AE38" i="13"/>
  <c r="D39" i="13"/>
  <c r="W38" i="13"/>
  <c r="O38" i="13"/>
  <c r="N39" i="13"/>
  <c r="H39" i="13"/>
  <c r="AT39" i="13"/>
  <c r="AH39" i="13"/>
  <c r="C38" i="13"/>
  <c r="AV39" i="13"/>
  <c r="M38" i="13"/>
  <c r="AS38" i="13"/>
  <c r="AG38" i="13"/>
  <c r="Z39" i="13"/>
  <c r="AA38" i="13"/>
  <c r="K38" i="13"/>
  <c r="F39" i="13"/>
  <c r="E38" i="13"/>
  <c r="Y38" i="13"/>
  <c r="L39" i="13"/>
  <c r="BA38" i="13"/>
  <c r="J39" i="13"/>
  <c r="AB39" i="13"/>
  <c r="AL39" i="13"/>
  <c r="T39" i="13"/>
  <c r="AX41" i="13"/>
  <c r="AB41" i="13"/>
  <c r="BJ41" i="13"/>
  <c r="AP41" i="13"/>
  <c r="X41" i="13"/>
  <c r="BF41" i="13"/>
  <c r="AL41" i="13"/>
  <c r="AH41" i="13"/>
  <c r="BD41" i="13"/>
  <c r="AV41" i="13"/>
  <c r="AT41" i="13"/>
  <c r="BB41" i="13"/>
  <c r="BH41" i="13"/>
  <c r="AN41" i="13"/>
  <c r="AF41" i="13"/>
  <c r="H41" i="13"/>
  <c r="N41" i="13"/>
  <c r="Z41" i="13"/>
  <c r="AZ41" i="13"/>
  <c r="L41" i="13"/>
  <c r="AR41" i="13"/>
  <c r="AJ41" i="13"/>
  <c r="V41" i="13"/>
  <c r="F41" i="13"/>
  <c r="AD41" i="13"/>
  <c r="P41" i="13"/>
  <c r="R41" i="13"/>
  <c r="T41" i="13"/>
  <c r="D41" i="13"/>
  <c r="J41" i="13"/>
  <c r="B24" i="18"/>
  <c r="AF24" i="19"/>
  <c r="BF24" i="19"/>
  <c r="Z24" i="19"/>
  <c r="AZ24" i="19"/>
  <c r="T24" i="19"/>
  <c r="AT24" i="19"/>
  <c r="N24" i="19"/>
  <c r="AN24" i="19"/>
  <c r="H24" i="19"/>
  <c r="AH24" i="19"/>
  <c r="BH24" i="19"/>
  <c r="AB24" i="19"/>
  <c r="BB24" i="19"/>
  <c r="V24" i="19"/>
  <c r="D24" i="19"/>
  <c r="AV24" i="19"/>
  <c r="P24" i="19"/>
  <c r="AP24" i="19"/>
  <c r="J24" i="19"/>
  <c r="AJ24" i="19"/>
  <c r="BJ24" i="19"/>
  <c r="AD24" i="19"/>
  <c r="BD24" i="19"/>
  <c r="X24" i="19"/>
  <c r="AX24" i="19"/>
  <c r="R24" i="19"/>
  <c r="AR24" i="19"/>
  <c r="L24" i="19"/>
  <c r="AL24" i="19"/>
  <c r="F24" i="19"/>
  <c r="B15" i="11"/>
  <c r="AL15" i="18"/>
  <c r="F15" i="18"/>
  <c r="AJ15" i="18"/>
  <c r="D15" i="18"/>
  <c r="AH15" i="18"/>
  <c r="AF15" i="18"/>
  <c r="BJ15" i="18"/>
  <c r="AD15" i="18"/>
  <c r="BH15" i="18"/>
  <c r="AB15" i="18"/>
  <c r="BF15" i="18"/>
  <c r="Z15" i="18"/>
  <c r="BD15" i="18"/>
  <c r="X15" i="18"/>
  <c r="BB15" i="18"/>
  <c r="V15" i="18"/>
  <c r="AZ15" i="18"/>
  <c r="T15" i="18"/>
  <c r="AX15" i="18"/>
  <c r="R15" i="18"/>
  <c r="AV15" i="18"/>
  <c r="P15" i="18"/>
  <c r="AT15" i="18"/>
  <c r="N15" i="18"/>
  <c r="AR15" i="18"/>
  <c r="L15" i="18"/>
  <c r="AP15" i="18"/>
  <c r="J15" i="18"/>
  <c r="AN15" i="18"/>
  <c r="H15" i="18"/>
  <c r="AZ28" i="13"/>
  <c r="AT28" i="13"/>
  <c r="AN28" i="13"/>
  <c r="BH28" i="13"/>
  <c r="BB28" i="13"/>
  <c r="V28" i="13"/>
  <c r="P28" i="13"/>
  <c r="J28" i="13"/>
  <c r="AX28" i="13"/>
  <c r="AV28" i="13"/>
  <c r="AL28" i="13"/>
  <c r="AD28" i="13"/>
  <c r="AJ28" i="13"/>
  <c r="X28" i="13"/>
  <c r="R28" i="13"/>
  <c r="BF28" i="13"/>
  <c r="BJ28" i="13"/>
  <c r="AF28" i="13"/>
  <c r="AP28" i="13"/>
  <c r="AR28" i="13"/>
  <c r="F28" i="13"/>
  <c r="L28" i="13"/>
  <c r="Z28" i="13"/>
  <c r="T28" i="13"/>
  <c r="AH28" i="13"/>
  <c r="H28" i="13"/>
  <c r="D28" i="13"/>
  <c r="AB28" i="13"/>
  <c r="BD28" i="13"/>
  <c r="N28" i="13"/>
  <c r="B11" i="11"/>
  <c r="BB11" i="18"/>
  <c r="V11" i="18"/>
  <c r="AZ11" i="18"/>
  <c r="T11" i="18"/>
  <c r="AX11" i="18"/>
  <c r="R11" i="18"/>
  <c r="AV11" i="18"/>
  <c r="P11" i="18"/>
  <c r="AT11" i="18"/>
  <c r="N11" i="18"/>
  <c r="AR11" i="18"/>
  <c r="L11" i="18"/>
  <c r="AP11" i="18"/>
  <c r="J11" i="18"/>
  <c r="AN11" i="18"/>
  <c r="H11" i="18"/>
  <c r="AL11" i="18"/>
  <c r="F11" i="18"/>
  <c r="AJ11" i="18"/>
  <c r="AH11" i="18"/>
  <c r="AF11" i="18"/>
  <c r="BJ11" i="18"/>
  <c r="AD11" i="18"/>
  <c r="BH11" i="18"/>
  <c r="AB11" i="18"/>
  <c r="D11" i="18"/>
  <c r="BF11" i="18"/>
  <c r="Z11" i="18"/>
  <c r="BD11" i="18"/>
  <c r="X11" i="18"/>
  <c r="B21" i="18"/>
  <c r="AJ21" i="19"/>
  <c r="D21" i="19"/>
  <c r="BJ21" i="19"/>
  <c r="AD21" i="19"/>
  <c r="BD21" i="19"/>
  <c r="X21" i="19"/>
  <c r="AX21" i="19"/>
  <c r="R21" i="19"/>
  <c r="AR21" i="19"/>
  <c r="L21" i="19"/>
  <c r="AL21" i="19"/>
  <c r="F21" i="19"/>
  <c r="AF21" i="19"/>
  <c r="BF21" i="19"/>
  <c r="Z21" i="19"/>
  <c r="AZ21" i="19"/>
  <c r="T21" i="19"/>
  <c r="AT21" i="19"/>
  <c r="N21" i="19"/>
  <c r="AN21" i="19"/>
  <c r="H21" i="19"/>
  <c r="AH21" i="19"/>
  <c r="BH21" i="19"/>
  <c r="AB21" i="19"/>
  <c r="BB21" i="19"/>
  <c r="V21" i="19"/>
  <c r="AV21" i="19"/>
  <c r="P21" i="19"/>
  <c r="AP21" i="19"/>
  <c r="J21" i="19"/>
  <c r="BJ33" i="13"/>
  <c r="BD33" i="13"/>
  <c r="AX33" i="13"/>
  <c r="AR33" i="13"/>
  <c r="BF33" i="13"/>
  <c r="Z33" i="13"/>
  <c r="BB33" i="13"/>
  <c r="T33" i="13"/>
  <c r="N33" i="13"/>
  <c r="H33" i="13"/>
  <c r="AH33" i="13"/>
  <c r="AP33" i="13"/>
  <c r="AB33" i="13"/>
  <c r="V33" i="13"/>
  <c r="AN33" i="13"/>
  <c r="AL33" i="13"/>
  <c r="D33" i="13"/>
  <c r="AD33" i="13"/>
  <c r="L33" i="13"/>
  <c r="X33" i="13"/>
  <c r="AT33" i="13"/>
  <c r="AF33" i="13"/>
  <c r="AV33" i="13"/>
  <c r="AJ33" i="13"/>
  <c r="BH33" i="13"/>
  <c r="J33" i="13"/>
  <c r="AZ33" i="13"/>
  <c r="F33" i="13"/>
  <c r="R33" i="13"/>
  <c r="P33" i="13"/>
  <c r="BF35" i="13"/>
  <c r="AZ35" i="13"/>
  <c r="BH35" i="13"/>
  <c r="AH35" i="13"/>
  <c r="AP35" i="13"/>
  <c r="AB35" i="13"/>
  <c r="V35" i="13"/>
  <c r="AN35" i="13"/>
  <c r="P35" i="13"/>
  <c r="BJ35" i="13"/>
  <c r="BD35" i="13"/>
  <c r="J35" i="13"/>
  <c r="AD35" i="13"/>
  <c r="X35" i="13"/>
  <c r="AV35" i="13"/>
  <c r="AL35" i="13"/>
  <c r="AX35" i="13"/>
  <c r="AT35" i="13"/>
  <c r="AR35" i="13"/>
  <c r="AF35" i="13"/>
  <c r="H35" i="13"/>
  <c r="AJ35" i="13"/>
  <c r="Z35" i="13"/>
  <c r="BB35" i="13"/>
  <c r="T35" i="13"/>
  <c r="R35" i="13"/>
  <c r="N35" i="13"/>
  <c r="L35" i="13"/>
  <c r="F35" i="13"/>
  <c r="D35" i="13"/>
  <c r="B14" i="11"/>
  <c r="AP14" i="18"/>
  <c r="J14" i="18"/>
  <c r="AN14" i="18"/>
  <c r="H14" i="18"/>
  <c r="AL14" i="18"/>
  <c r="F14" i="18"/>
  <c r="AJ14" i="18"/>
  <c r="AH14" i="18"/>
  <c r="D14" i="18"/>
  <c r="AF14" i="18"/>
  <c r="BJ14" i="18"/>
  <c r="AD14" i="18"/>
  <c r="BH14" i="18"/>
  <c r="AB14" i="18"/>
  <c r="BF14" i="18"/>
  <c r="Z14" i="18"/>
  <c r="BD14" i="18"/>
  <c r="X14" i="18"/>
  <c r="BB14" i="18"/>
  <c r="V14" i="18"/>
  <c r="AZ14" i="18"/>
  <c r="T14" i="18"/>
  <c r="AX14" i="18"/>
  <c r="R14" i="18"/>
  <c r="AV14" i="18"/>
  <c r="P14" i="18"/>
  <c r="AT14" i="18"/>
  <c r="N14" i="18"/>
  <c r="AR14" i="18"/>
  <c r="L14" i="18"/>
  <c r="B12" i="11"/>
  <c r="AX12" i="18"/>
  <c r="R12" i="18"/>
  <c r="AV12" i="18"/>
  <c r="P12" i="18"/>
  <c r="AT12" i="18"/>
  <c r="N12" i="18"/>
  <c r="AR12" i="18"/>
  <c r="L12" i="18"/>
  <c r="AP12" i="18"/>
  <c r="J12" i="18"/>
  <c r="AN12" i="18"/>
  <c r="H12" i="18"/>
  <c r="AL12" i="18"/>
  <c r="F12" i="18"/>
  <c r="AJ12" i="18"/>
  <c r="AH12" i="18"/>
  <c r="AF12" i="18"/>
  <c r="BJ12" i="18"/>
  <c r="AD12" i="18"/>
  <c r="D12" i="18"/>
  <c r="BH12" i="18"/>
  <c r="AB12" i="18"/>
  <c r="BF12" i="18"/>
  <c r="Z12" i="18"/>
  <c r="BD12" i="18"/>
  <c r="X12" i="18"/>
  <c r="BB12" i="18"/>
  <c r="V12" i="18"/>
  <c r="AZ12" i="18"/>
  <c r="T12" i="18"/>
  <c r="AZ53" i="13"/>
  <c r="BJ53" i="13"/>
  <c r="AV53" i="13"/>
  <c r="L53" i="13"/>
  <c r="Z53" i="13"/>
  <c r="BD53" i="13"/>
  <c r="AN53" i="13"/>
  <c r="V53" i="13"/>
  <c r="BB53" i="13"/>
  <c r="AT53" i="13"/>
  <c r="R53" i="13"/>
  <c r="BF53" i="13"/>
  <c r="X53" i="13"/>
  <c r="F53" i="13"/>
  <c r="AH53" i="13"/>
  <c r="J53" i="13"/>
  <c r="AJ53" i="13"/>
  <c r="AB53" i="13"/>
  <c r="AX53" i="13"/>
  <c r="AD53" i="13"/>
  <c r="T53" i="13"/>
  <c r="H53" i="13"/>
  <c r="AL53" i="13"/>
  <c r="AP53" i="13"/>
  <c r="AF53" i="13"/>
  <c r="BH53" i="13"/>
  <c r="P53" i="13"/>
  <c r="N53" i="13"/>
  <c r="AR53" i="13"/>
  <c r="D53" i="13"/>
  <c r="AN37" i="13"/>
  <c r="BH37" i="13"/>
  <c r="BB37" i="13"/>
  <c r="BJ37" i="13"/>
  <c r="BD37" i="13"/>
  <c r="J37" i="13"/>
  <c r="D37" i="13"/>
  <c r="AD37" i="13"/>
  <c r="X37" i="13"/>
  <c r="AV37" i="13"/>
  <c r="AL37" i="13"/>
  <c r="R37" i="13"/>
  <c r="AX37" i="13"/>
  <c r="L37" i="13"/>
  <c r="AJ37" i="13"/>
  <c r="F37" i="13"/>
  <c r="AF37" i="13"/>
  <c r="AZ37" i="13"/>
  <c r="Z37" i="13"/>
  <c r="AT37" i="13"/>
  <c r="T37" i="13"/>
  <c r="AH37" i="13"/>
  <c r="BF37" i="13"/>
  <c r="AB37" i="13"/>
  <c r="V37" i="13"/>
  <c r="N37" i="13"/>
  <c r="H37" i="13"/>
  <c r="AR37" i="13"/>
  <c r="AP37" i="13"/>
  <c r="P37" i="13"/>
  <c r="AR26" i="13"/>
  <c r="AL26" i="13"/>
  <c r="BF26" i="13"/>
  <c r="BH26" i="13"/>
  <c r="BD26" i="13"/>
  <c r="AP26" i="13"/>
  <c r="N26" i="13"/>
  <c r="H26" i="13"/>
  <c r="AN26" i="13"/>
  <c r="AH26" i="13"/>
  <c r="D26" i="13"/>
  <c r="AB26" i="13"/>
  <c r="V26" i="13"/>
  <c r="AZ26" i="13"/>
  <c r="P26" i="13"/>
  <c r="J26" i="13"/>
  <c r="AX26" i="13"/>
  <c r="AV26" i="13"/>
  <c r="AD26" i="13"/>
  <c r="BB26" i="13"/>
  <c r="AT26" i="13"/>
  <c r="AJ26" i="13"/>
  <c r="X26" i="13"/>
  <c r="R26" i="13"/>
  <c r="BJ26" i="13"/>
  <c r="F26" i="13"/>
  <c r="L26" i="13"/>
  <c r="Z26" i="13"/>
  <c r="AF26" i="13"/>
  <c r="T26" i="13"/>
  <c r="AT50" i="13"/>
  <c r="BH50" i="13"/>
  <c r="X50" i="13"/>
  <c r="AP50" i="13"/>
  <c r="AL50" i="13"/>
  <c r="T50" i="13"/>
  <c r="BJ50" i="13"/>
  <c r="BF50" i="13"/>
  <c r="AX50" i="13"/>
  <c r="AH50" i="13"/>
  <c r="AD50" i="13"/>
  <c r="BD50" i="13"/>
  <c r="AV50" i="13"/>
  <c r="BB50" i="13"/>
  <c r="AR50" i="13"/>
  <c r="V50" i="13"/>
  <c r="H50" i="13"/>
  <c r="AZ50" i="13"/>
  <c r="AN50" i="13"/>
  <c r="N50" i="13"/>
  <c r="AF50" i="13"/>
  <c r="D50" i="13"/>
  <c r="L50" i="13"/>
  <c r="F50" i="13"/>
  <c r="Z50" i="13"/>
  <c r="AJ50" i="13"/>
  <c r="R50" i="13"/>
  <c r="J50" i="13"/>
  <c r="P50" i="13"/>
  <c r="AB50" i="13"/>
  <c r="AX49" i="13"/>
  <c r="AZ49" i="13"/>
  <c r="AR49" i="13"/>
  <c r="AB49" i="13"/>
  <c r="J49" i="13"/>
  <c r="BH49" i="13"/>
  <c r="X49" i="13"/>
  <c r="AP49" i="13"/>
  <c r="AL49" i="13"/>
  <c r="BJ49" i="13"/>
  <c r="BF49" i="13"/>
  <c r="AH49" i="13"/>
  <c r="BD49" i="13"/>
  <c r="AV49" i="13"/>
  <c r="BB49" i="13"/>
  <c r="R49" i="13"/>
  <c r="AD49" i="13"/>
  <c r="P49" i="13"/>
  <c r="V49" i="13"/>
  <c r="H49" i="13"/>
  <c r="AN49" i="13"/>
  <c r="N49" i="13"/>
  <c r="AF49" i="13"/>
  <c r="L49" i="13"/>
  <c r="D49" i="13"/>
  <c r="AJ49" i="13"/>
  <c r="Z49" i="13"/>
  <c r="T49" i="13"/>
  <c r="AT49" i="13"/>
  <c r="F49" i="13"/>
  <c r="B20" i="18"/>
  <c r="AV20" i="19"/>
  <c r="P20" i="19"/>
  <c r="AP20" i="19"/>
  <c r="J20" i="19"/>
  <c r="AJ20" i="19"/>
  <c r="BJ20" i="19"/>
  <c r="AD20" i="19"/>
  <c r="D20" i="19"/>
  <c r="BD20" i="19"/>
  <c r="X20" i="19"/>
  <c r="AX20" i="19"/>
  <c r="R20" i="19"/>
  <c r="AR20" i="19"/>
  <c r="L20" i="19"/>
  <c r="AL20" i="19"/>
  <c r="F20" i="19"/>
  <c r="AF20" i="19"/>
  <c r="BF20" i="19"/>
  <c r="Z20" i="19"/>
  <c r="AZ20" i="19"/>
  <c r="T20" i="19"/>
  <c r="AT20" i="19"/>
  <c r="N20" i="19"/>
  <c r="AN20" i="19"/>
  <c r="H20" i="19"/>
  <c r="AH20" i="19"/>
  <c r="BH20" i="19"/>
  <c r="AB20" i="19"/>
  <c r="BB20" i="19"/>
  <c r="V20" i="19"/>
  <c r="AR34" i="13"/>
  <c r="AL34" i="13"/>
  <c r="BF34" i="13"/>
  <c r="N34" i="13"/>
  <c r="H34" i="13"/>
  <c r="AH34" i="13"/>
  <c r="AP34" i="13"/>
  <c r="AB34" i="13"/>
  <c r="V34" i="13"/>
  <c r="AN34" i="13"/>
  <c r="P34" i="13"/>
  <c r="BJ34" i="13"/>
  <c r="BD34" i="13"/>
  <c r="J34" i="13"/>
  <c r="BH34" i="13"/>
  <c r="AD34" i="13"/>
  <c r="X34" i="13"/>
  <c r="L34" i="13"/>
  <c r="AT34" i="13"/>
  <c r="AF34" i="13"/>
  <c r="AV34" i="13"/>
  <c r="AJ34" i="13"/>
  <c r="Z34" i="13"/>
  <c r="BB34" i="13"/>
  <c r="T34" i="13"/>
  <c r="R34" i="13"/>
  <c r="D34" i="13"/>
  <c r="AZ34" i="13"/>
  <c r="F34" i="13"/>
  <c r="AX34" i="13"/>
  <c r="B9" i="11"/>
  <c r="BJ9" i="18"/>
  <c r="AD9" i="18"/>
  <c r="BH9" i="18"/>
  <c r="AB9" i="18"/>
  <c r="BF9" i="18"/>
  <c r="Z9" i="18"/>
  <c r="BD9" i="18"/>
  <c r="X9" i="18"/>
  <c r="D9" i="18"/>
  <c r="BB9" i="18"/>
  <c r="V9" i="18"/>
  <c r="AZ9" i="18"/>
  <c r="T9" i="18"/>
  <c r="AX9" i="18"/>
  <c r="R9" i="18"/>
  <c r="AV9" i="18"/>
  <c r="P9" i="18"/>
  <c r="AT9" i="18"/>
  <c r="N9" i="18"/>
  <c r="AR9" i="18"/>
  <c r="L9" i="18"/>
  <c r="AP9" i="18"/>
  <c r="J9" i="18"/>
  <c r="AN9" i="18"/>
  <c r="H9" i="18"/>
  <c r="AL9" i="18"/>
  <c r="F9" i="18"/>
  <c r="AJ9" i="18"/>
  <c r="AH9" i="18"/>
  <c r="AF9" i="18"/>
  <c r="BB40" i="13"/>
  <c r="BH40" i="13"/>
  <c r="AZ40" i="13"/>
  <c r="AR40" i="13"/>
  <c r="AF40" i="13"/>
  <c r="D40" i="13"/>
  <c r="N40" i="13"/>
  <c r="AB40" i="13"/>
  <c r="BJ40" i="13"/>
  <c r="AX40" i="13"/>
  <c r="AP40" i="13"/>
  <c r="BF40" i="13"/>
  <c r="AL40" i="13"/>
  <c r="BD40" i="13"/>
  <c r="AV40" i="13"/>
  <c r="V40" i="13"/>
  <c r="P40" i="13"/>
  <c r="AN40" i="13"/>
  <c r="X40" i="13"/>
  <c r="H40" i="13"/>
  <c r="AT40" i="13"/>
  <c r="AH40" i="13"/>
  <c r="Z40" i="13"/>
  <c r="L40" i="13"/>
  <c r="F40" i="13"/>
  <c r="AJ40" i="13"/>
  <c r="AD40" i="13"/>
  <c r="R40" i="13"/>
  <c r="J40" i="13"/>
  <c r="T40" i="13"/>
  <c r="B10" i="11"/>
  <c r="BF10" i="18"/>
  <c r="Z10" i="18"/>
  <c r="D10" i="18"/>
  <c r="BD10" i="18"/>
  <c r="X10" i="18"/>
  <c r="BB10" i="18"/>
  <c r="V10" i="18"/>
  <c r="AZ10" i="18"/>
  <c r="T10" i="18"/>
  <c r="AX10" i="18"/>
  <c r="R10" i="18"/>
  <c r="AV10" i="18"/>
  <c r="P10" i="18"/>
  <c r="AT10" i="18"/>
  <c r="N10" i="18"/>
  <c r="AR10" i="18"/>
  <c r="L10" i="18"/>
  <c r="AP10" i="18"/>
  <c r="J10" i="18"/>
  <c r="AN10" i="18"/>
  <c r="H10" i="18"/>
  <c r="AL10" i="18"/>
  <c r="F10" i="18"/>
  <c r="AJ10" i="18"/>
  <c r="AH10" i="18"/>
  <c r="AF10" i="18"/>
  <c r="BJ10" i="18"/>
  <c r="AD10" i="18"/>
  <c r="BH10" i="18"/>
  <c r="AB10" i="18"/>
  <c r="B19" i="18"/>
  <c r="BH19" i="19"/>
  <c r="AB19" i="19"/>
  <c r="BB19" i="19"/>
  <c r="V19" i="19"/>
  <c r="AV19" i="19"/>
  <c r="P19" i="19"/>
  <c r="AP19" i="19"/>
  <c r="J19" i="19"/>
  <c r="AJ19" i="19"/>
  <c r="BJ19" i="19"/>
  <c r="AD19" i="19"/>
  <c r="BD19" i="19"/>
  <c r="X19" i="19"/>
  <c r="D19" i="19"/>
  <c r="AX19" i="19"/>
  <c r="R19" i="19"/>
  <c r="AR19" i="19"/>
  <c r="L19" i="19"/>
  <c r="AL19" i="19"/>
  <c r="F19" i="19"/>
  <c r="AF19" i="19"/>
  <c r="BF19" i="19"/>
  <c r="Z19" i="19"/>
  <c r="AZ19" i="19"/>
  <c r="T19" i="19"/>
  <c r="AT19" i="19"/>
  <c r="N19" i="19"/>
  <c r="AN19" i="19"/>
  <c r="H19" i="19"/>
  <c r="AH19" i="19"/>
  <c r="AR47" i="13"/>
  <c r="BF47" i="13"/>
  <c r="AJ47" i="13"/>
  <c r="R47" i="13"/>
  <c r="AF47" i="13"/>
  <c r="AZ47" i="13"/>
  <c r="BH47" i="13"/>
  <c r="AX47" i="13"/>
  <c r="AP47" i="13"/>
  <c r="BJ47" i="13"/>
  <c r="BD47" i="13"/>
  <c r="AB47" i="13"/>
  <c r="J47" i="13"/>
  <c r="T47" i="13"/>
  <c r="AT47" i="13"/>
  <c r="AL47" i="13"/>
  <c r="AV47" i="13"/>
  <c r="AD47" i="13"/>
  <c r="P47" i="13"/>
  <c r="V47" i="13"/>
  <c r="H47" i="13"/>
  <c r="X47" i="13"/>
  <c r="N47" i="13"/>
  <c r="D47" i="13"/>
  <c r="Z47" i="13"/>
  <c r="AH47" i="13"/>
  <c r="F47" i="13"/>
  <c r="AN47" i="13"/>
  <c r="BB47" i="13"/>
  <c r="L47" i="13"/>
  <c r="BH30" i="13"/>
  <c r="BB30" i="13"/>
  <c r="AV30" i="13"/>
  <c r="BJ30" i="13"/>
  <c r="AD30" i="13"/>
  <c r="AZ30" i="13"/>
  <c r="AJ30" i="13"/>
  <c r="X30" i="13"/>
  <c r="R30" i="13"/>
  <c r="BF30" i="13"/>
  <c r="L30" i="13"/>
  <c r="AT30" i="13"/>
  <c r="AF30" i="13"/>
  <c r="AR30" i="13"/>
  <c r="Z30" i="13"/>
  <c r="T30" i="13"/>
  <c r="BD30" i="13"/>
  <c r="AP30" i="13"/>
  <c r="F30" i="13"/>
  <c r="AH30" i="13"/>
  <c r="H30" i="13"/>
  <c r="AB30" i="13"/>
  <c r="P30" i="13"/>
  <c r="V30" i="13"/>
  <c r="D30" i="13"/>
  <c r="AN30" i="13"/>
  <c r="N30" i="13"/>
  <c r="J30" i="13"/>
  <c r="AL30" i="13"/>
  <c r="AX30" i="13"/>
  <c r="B25" i="18"/>
  <c r="AZ25" i="19"/>
  <c r="T25" i="19"/>
  <c r="AT25" i="19"/>
  <c r="N25" i="19"/>
  <c r="AN25" i="19"/>
  <c r="H25" i="19"/>
  <c r="AH25" i="19"/>
  <c r="BH25" i="19"/>
  <c r="AB25" i="19"/>
  <c r="D25" i="19"/>
  <c r="BB25" i="19"/>
  <c r="V25" i="19"/>
  <c r="AV25" i="19"/>
  <c r="P25" i="19"/>
  <c r="AP25" i="19"/>
  <c r="J25" i="19"/>
  <c r="AJ25" i="19"/>
  <c r="BJ25" i="19"/>
  <c r="AD25" i="19"/>
  <c r="BD25" i="19"/>
  <c r="X25" i="19"/>
  <c r="AX25" i="19"/>
  <c r="R25" i="19"/>
  <c r="AR25" i="19"/>
  <c r="L25" i="19"/>
  <c r="AL25" i="19"/>
  <c r="F25" i="19"/>
  <c r="AF25" i="19"/>
  <c r="BF25" i="19"/>
  <c r="Z25" i="19"/>
  <c r="AV31" i="13"/>
  <c r="AP31" i="13"/>
  <c r="AJ31" i="13"/>
  <c r="BJ31" i="13"/>
  <c r="BD31" i="13"/>
  <c r="R31" i="13"/>
  <c r="BF31" i="13"/>
  <c r="L31" i="13"/>
  <c r="AT31" i="13"/>
  <c r="F31" i="13"/>
  <c r="AF31" i="13"/>
  <c r="AR31" i="13"/>
  <c r="Z31" i="13"/>
  <c r="BB31" i="13"/>
  <c r="T31" i="13"/>
  <c r="N31" i="13"/>
  <c r="AH31" i="13"/>
  <c r="AB31" i="13"/>
  <c r="AZ31" i="13"/>
  <c r="H31" i="13"/>
  <c r="P31" i="13"/>
  <c r="V31" i="13"/>
  <c r="D31" i="13"/>
  <c r="AD31" i="13"/>
  <c r="X31" i="13"/>
  <c r="BH31" i="13"/>
  <c r="AN31" i="13"/>
  <c r="AX31" i="13"/>
  <c r="AL31" i="13"/>
  <c r="J31" i="13"/>
  <c r="AN29" i="13"/>
  <c r="BH29" i="13"/>
  <c r="BB29" i="13"/>
  <c r="BJ29" i="13"/>
  <c r="J29" i="13"/>
  <c r="AX29" i="13"/>
  <c r="AV29" i="13"/>
  <c r="AL29" i="13"/>
  <c r="AD29" i="13"/>
  <c r="AZ29" i="13"/>
  <c r="AJ29" i="13"/>
  <c r="X29" i="13"/>
  <c r="R29" i="13"/>
  <c r="BF29" i="13"/>
  <c r="L29" i="13"/>
  <c r="AT29" i="13"/>
  <c r="F29" i="13"/>
  <c r="AF29" i="13"/>
  <c r="AR29" i="13"/>
  <c r="Z29" i="13"/>
  <c r="T29" i="13"/>
  <c r="AH29" i="13"/>
  <c r="H29" i="13"/>
  <c r="AB29" i="13"/>
  <c r="P29" i="13"/>
  <c r="V29" i="13"/>
  <c r="AP29" i="13"/>
  <c r="D29" i="13"/>
  <c r="N29" i="13"/>
  <c r="BD29" i="13"/>
  <c r="AT58" i="13"/>
  <c r="BH58" i="13"/>
  <c r="AZ58" i="13"/>
  <c r="AR58" i="13"/>
  <c r="X58" i="13"/>
  <c r="AL58" i="13"/>
  <c r="T58" i="13"/>
  <c r="AP58" i="13"/>
  <c r="AH58" i="13"/>
  <c r="BF58" i="13"/>
  <c r="AX58" i="13"/>
  <c r="AD58" i="13"/>
  <c r="BJ58" i="13"/>
  <c r="BD58" i="13"/>
  <c r="AV58" i="13"/>
  <c r="BB58" i="13"/>
  <c r="AJ58" i="13"/>
  <c r="R58" i="13"/>
  <c r="P58" i="13"/>
  <c r="H58" i="13"/>
  <c r="AB58" i="13"/>
  <c r="V58" i="13"/>
  <c r="N58" i="13"/>
  <c r="L58" i="13"/>
  <c r="AF58" i="13"/>
  <c r="F58" i="13"/>
  <c r="Z58" i="13"/>
  <c r="J58" i="13"/>
  <c r="AN58" i="13"/>
  <c r="D58" i="13"/>
  <c r="B8" i="11"/>
  <c r="AK7" i="18"/>
  <c r="AH8" i="18"/>
  <c r="E7" i="18"/>
  <c r="AI7" i="18"/>
  <c r="AF8" i="18"/>
  <c r="BJ8" i="18"/>
  <c r="AG7" i="18"/>
  <c r="AD8" i="18"/>
  <c r="BH8" i="18"/>
  <c r="AE7" i="18"/>
  <c r="AB8" i="18"/>
  <c r="BI7" i="18"/>
  <c r="BF8" i="18"/>
  <c r="AC7" i="18"/>
  <c r="Z8" i="18"/>
  <c r="BG7" i="18"/>
  <c r="BD8" i="18"/>
  <c r="AA7" i="18"/>
  <c r="X8" i="18"/>
  <c r="BE7" i="18"/>
  <c r="BB8" i="18"/>
  <c r="Y7" i="18"/>
  <c r="V8" i="18"/>
  <c r="D8" i="18"/>
  <c r="BC7" i="18"/>
  <c r="AZ8" i="18"/>
  <c r="W7" i="18"/>
  <c r="T8" i="18"/>
  <c r="BA7" i="18"/>
  <c r="AX8" i="18"/>
  <c r="U7" i="18"/>
  <c r="R8" i="18"/>
  <c r="AY7" i="18"/>
  <c r="AV8" i="18"/>
  <c r="S7" i="18"/>
  <c r="P8" i="18"/>
  <c r="C7" i="18"/>
  <c r="AW7" i="18"/>
  <c r="AT8" i="18"/>
  <c r="Q7" i="18"/>
  <c r="N8" i="18"/>
  <c r="AU7" i="18"/>
  <c r="AR8" i="18"/>
  <c r="O7" i="18"/>
  <c r="L8" i="18"/>
  <c r="AS7" i="18"/>
  <c r="AP8" i="18"/>
  <c r="M7" i="18"/>
  <c r="J8" i="18"/>
  <c r="AQ7" i="18"/>
  <c r="AN8" i="18"/>
  <c r="K7" i="18"/>
  <c r="H8" i="18"/>
  <c r="AO7" i="18"/>
  <c r="AL8" i="18"/>
  <c r="I7" i="18"/>
  <c r="F8" i="18"/>
  <c r="AM7" i="18"/>
  <c r="AJ8" i="18"/>
  <c r="G7" i="18"/>
  <c r="BF27" i="13"/>
  <c r="AZ27" i="13"/>
  <c r="BH27" i="13"/>
  <c r="AN27" i="13"/>
  <c r="AH27" i="13"/>
  <c r="AB27" i="13"/>
  <c r="V27" i="13"/>
  <c r="P27" i="13"/>
  <c r="J27" i="13"/>
  <c r="AX27" i="13"/>
  <c r="AV27" i="13"/>
  <c r="AL27" i="13"/>
  <c r="AD27" i="13"/>
  <c r="BB27" i="13"/>
  <c r="AT27" i="13"/>
  <c r="AJ27" i="13"/>
  <c r="X27" i="13"/>
  <c r="D27" i="13"/>
  <c r="N27" i="13"/>
  <c r="AP27" i="13"/>
  <c r="BJ27" i="13"/>
  <c r="AR27" i="13"/>
  <c r="F27" i="13"/>
  <c r="AF27" i="13"/>
  <c r="L27" i="13"/>
  <c r="Z27" i="13"/>
  <c r="R27" i="13"/>
  <c r="T27" i="13"/>
  <c r="H27" i="13"/>
  <c r="BD27" i="13"/>
  <c r="BD52" i="13"/>
  <c r="BH52" i="13"/>
  <c r="P52" i="13"/>
  <c r="AD52" i="13"/>
  <c r="AV52" i="13"/>
  <c r="Z52" i="13"/>
  <c r="AN52" i="13"/>
  <c r="V52" i="13"/>
  <c r="BB52" i="13"/>
  <c r="AT52" i="13"/>
  <c r="AZ52" i="13"/>
  <c r="N52" i="13"/>
  <c r="D52" i="13"/>
  <c r="AP52" i="13"/>
  <c r="AF52" i="13"/>
  <c r="BF52" i="13"/>
  <c r="X52" i="13"/>
  <c r="L52" i="13"/>
  <c r="F52" i="13"/>
  <c r="AH52" i="13"/>
  <c r="AJ52" i="13"/>
  <c r="J52" i="13"/>
  <c r="BJ52" i="13"/>
  <c r="T52" i="13"/>
  <c r="H52" i="13"/>
  <c r="AL52" i="13"/>
  <c r="AB52" i="13"/>
  <c r="R52" i="13"/>
  <c r="AX52" i="13"/>
  <c r="AR52" i="13"/>
  <c r="B17" i="18"/>
  <c r="AZ17" i="19"/>
  <c r="AE16" i="19"/>
  <c r="T17" i="19"/>
  <c r="BE16" i="19"/>
  <c r="AT17" i="19"/>
  <c r="Y16" i="19"/>
  <c r="N17" i="19"/>
  <c r="AY16" i="19"/>
  <c r="AN17" i="19"/>
  <c r="S16" i="19"/>
  <c r="H17" i="19"/>
  <c r="AS16" i="19"/>
  <c r="AH17" i="19"/>
  <c r="M16" i="19"/>
  <c r="BH17" i="19"/>
  <c r="AM16" i="19"/>
  <c r="AB17" i="19"/>
  <c r="G16" i="19"/>
  <c r="BB17" i="19"/>
  <c r="AG16" i="19"/>
  <c r="V17" i="19"/>
  <c r="BG16" i="19"/>
  <c r="AV17" i="19"/>
  <c r="AA16" i="19"/>
  <c r="P17" i="19"/>
  <c r="BA16" i="19"/>
  <c r="AP17" i="19"/>
  <c r="U16" i="19"/>
  <c r="J17" i="19"/>
  <c r="AU16" i="19"/>
  <c r="AJ17" i="19"/>
  <c r="O16" i="19"/>
  <c r="BJ17" i="19"/>
  <c r="AO16" i="19"/>
  <c r="AD17" i="19"/>
  <c r="I16" i="19"/>
  <c r="BD17" i="19"/>
  <c r="AI16" i="19"/>
  <c r="X17" i="19"/>
  <c r="BI16" i="19"/>
  <c r="AX17" i="19"/>
  <c r="AC16" i="19"/>
  <c r="R17" i="19"/>
  <c r="BC16" i="19"/>
  <c r="AR17" i="19"/>
  <c r="W16" i="19"/>
  <c r="L17" i="19"/>
  <c r="D17" i="19"/>
  <c r="AW16" i="19"/>
  <c r="AL17" i="19"/>
  <c r="Q16" i="19"/>
  <c r="F17" i="19"/>
  <c r="AQ16" i="19"/>
  <c r="AF17" i="19"/>
  <c r="K16" i="19"/>
  <c r="BF17" i="19"/>
  <c r="AK16" i="19"/>
  <c r="Z17" i="19"/>
  <c r="E16" i="19"/>
  <c r="C16" i="19"/>
  <c r="AV54" i="13"/>
  <c r="BJ54" i="13"/>
  <c r="BD54" i="13"/>
  <c r="AN54" i="13"/>
  <c r="H54" i="13"/>
  <c r="V54" i="13"/>
  <c r="AJ54" i="13"/>
  <c r="BB54" i="13"/>
  <c r="AT54" i="13"/>
  <c r="AR54" i="13"/>
  <c r="AZ54" i="13"/>
  <c r="BF54" i="13"/>
  <c r="AX54" i="13"/>
  <c r="BH54" i="13"/>
  <c r="F54" i="13"/>
  <c r="L54" i="13"/>
  <c r="AH54" i="13"/>
  <c r="J54" i="13"/>
  <c r="Z54" i="13"/>
  <c r="AB54" i="13"/>
  <c r="R54" i="13"/>
  <c r="T54" i="13"/>
  <c r="P54" i="13"/>
  <c r="AL54" i="13"/>
  <c r="AP54" i="13"/>
  <c r="AF54" i="13"/>
  <c r="N54" i="13"/>
  <c r="X54" i="13"/>
  <c r="D54" i="13"/>
  <c r="AD54" i="13"/>
  <c r="AT42" i="13"/>
  <c r="BH42" i="13"/>
  <c r="X42" i="13"/>
  <c r="BF42" i="13"/>
  <c r="AX42" i="13"/>
  <c r="AL42" i="13"/>
  <c r="AH42" i="13"/>
  <c r="BD42" i="13"/>
  <c r="AV42" i="13"/>
  <c r="AD42" i="13"/>
  <c r="BB42" i="13"/>
  <c r="AF42" i="13"/>
  <c r="H42" i="13"/>
  <c r="N42" i="13"/>
  <c r="Z42" i="13"/>
  <c r="AZ42" i="13"/>
  <c r="L42" i="13"/>
  <c r="AR42" i="13"/>
  <c r="F42" i="13"/>
  <c r="AJ42" i="13"/>
  <c r="AP42" i="13"/>
  <c r="AB42" i="13"/>
  <c r="T42" i="13"/>
  <c r="AN42" i="13"/>
  <c r="P42" i="13"/>
  <c r="BJ42" i="13"/>
  <c r="R42" i="13"/>
  <c r="J42" i="13"/>
  <c r="V42" i="13"/>
  <c r="D42" i="13"/>
  <c r="AZ45" i="13"/>
  <c r="BJ45" i="13"/>
  <c r="BD45" i="13"/>
  <c r="L45" i="13"/>
  <c r="Z45" i="13"/>
  <c r="AN45" i="13"/>
  <c r="BB45" i="13"/>
  <c r="AT45" i="13"/>
  <c r="V45" i="13"/>
  <c r="R45" i="13"/>
  <c r="AR45" i="13"/>
  <c r="BH45" i="13"/>
  <c r="BF45" i="13"/>
  <c r="AX45" i="13"/>
  <c r="AH45" i="13"/>
  <c r="F45" i="13"/>
  <c r="AJ45" i="13"/>
  <c r="AB45" i="13"/>
  <c r="D45" i="13"/>
  <c r="J45" i="13"/>
  <c r="AP45" i="13"/>
  <c r="T45" i="13"/>
  <c r="AV45" i="13"/>
  <c r="AL45" i="13"/>
  <c r="AD45" i="13"/>
  <c r="P45" i="13"/>
  <c r="X45" i="13"/>
  <c r="AF45" i="13"/>
  <c r="H45" i="13"/>
  <c r="N45" i="13"/>
  <c r="AX57" i="13"/>
  <c r="AB57" i="13"/>
  <c r="J57" i="13"/>
  <c r="AZ57" i="13"/>
  <c r="AR57" i="13"/>
  <c r="X57" i="13"/>
  <c r="AL57" i="13"/>
  <c r="AP57" i="13"/>
  <c r="AH57" i="13"/>
  <c r="BH57" i="13"/>
  <c r="BF57" i="13"/>
  <c r="BJ57" i="13"/>
  <c r="BD57" i="13"/>
  <c r="AV57" i="13"/>
  <c r="D57" i="13"/>
  <c r="AJ57" i="13"/>
  <c r="T57" i="13"/>
  <c r="R57" i="13"/>
  <c r="P57" i="13"/>
  <c r="H57" i="13"/>
  <c r="AD57" i="13"/>
  <c r="V57" i="13"/>
  <c r="N57" i="13"/>
  <c r="AF57" i="13"/>
  <c r="F57" i="13"/>
  <c r="Z57" i="13"/>
  <c r="L57" i="13"/>
  <c r="AT57" i="13"/>
  <c r="AN57" i="13"/>
  <c r="BB57" i="13"/>
  <c r="BH43" i="13"/>
  <c r="AP43" i="13"/>
  <c r="T43" i="13"/>
  <c r="AH43" i="13"/>
  <c r="BD43" i="13"/>
  <c r="AV43" i="13"/>
  <c r="AD43" i="13"/>
  <c r="Z43" i="13"/>
  <c r="BB43" i="13"/>
  <c r="AT43" i="13"/>
  <c r="AZ43" i="13"/>
  <c r="BJ43" i="13"/>
  <c r="X43" i="13"/>
  <c r="N43" i="13"/>
  <c r="L43" i="13"/>
  <c r="AR43" i="13"/>
  <c r="BF43" i="13"/>
  <c r="AJ43" i="13"/>
  <c r="F43" i="13"/>
  <c r="AB43" i="13"/>
  <c r="J43" i="13"/>
  <c r="R43" i="13"/>
  <c r="P43" i="13"/>
  <c r="AX43" i="13"/>
  <c r="AL43" i="13"/>
  <c r="D43" i="13"/>
  <c r="AF43" i="13"/>
  <c r="AN43" i="13"/>
  <c r="V43" i="13"/>
  <c r="H43" i="13"/>
  <c r="AR55" i="13"/>
  <c r="BF55" i="13"/>
  <c r="AJ55" i="13"/>
  <c r="BB55" i="13"/>
  <c r="AT55" i="13"/>
  <c r="R55" i="13"/>
  <c r="AF55" i="13"/>
  <c r="AZ55" i="13"/>
  <c r="AX55" i="13"/>
  <c r="BH55" i="13"/>
  <c r="BJ55" i="13"/>
  <c r="AN55" i="13"/>
  <c r="AH55" i="13"/>
  <c r="AV55" i="13"/>
  <c r="J55" i="13"/>
  <c r="Z55" i="13"/>
  <c r="AB55" i="13"/>
  <c r="BD55" i="13"/>
  <c r="T55" i="13"/>
  <c r="P55" i="13"/>
  <c r="D55" i="13"/>
  <c r="AL55" i="13"/>
  <c r="H55" i="13"/>
  <c r="AP55" i="13"/>
  <c r="N55" i="13"/>
  <c r="F55" i="13"/>
  <c r="L55" i="13"/>
  <c r="V55" i="13"/>
  <c r="X55" i="13"/>
  <c r="AD55" i="13"/>
  <c r="B22" i="18"/>
  <c r="BD22" i="19"/>
  <c r="X22" i="19"/>
  <c r="AX22" i="19"/>
  <c r="R22" i="19"/>
  <c r="AR22" i="19"/>
  <c r="L22" i="19"/>
  <c r="AL22" i="19"/>
  <c r="F22" i="19"/>
  <c r="AF22" i="19"/>
  <c r="BF22" i="19"/>
  <c r="Z22" i="19"/>
  <c r="AZ22" i="19"/>
  <c r="T22" i="19"/>
  <c r="AT22" i="19"/>
  <c r="N22" i="19"/>
  <c r="AN22" i="19"/>
  <c r="H22" i="19"/>
  <c r="AH22" i="19"/>
  <c r="BH22" i="19"/>
  <c r="AB22" i="19"/>
  <c r="BB22" i="19"/>
  <c r="V22" i="19"/>
  <c r="AV22" i="19"/>
  <c r="P22" i="19"/>
  <c r="AP22" i="19"/>
  <c r="J22" i="19"/>
  <c r="D22" i="19"/>
  <c r="AJ22" i="19"/>
  <c r="BJ22" i="19"/>
  <c r="AD22" i="19"/>
  <c r="AV46" i="13"/>
  <c r="BJ46" i="13"/>
  <c r="AN46" i="13"/>
  <c r="H46" i="13"/>
  <c r="BB46" i="13"/>
  <c r="AT46" i="13"/>
  <c r="V46" i="13"/>
  <c r="AJ46" i="13"/>
  <c r="AR46" i="13"/>
  <c r="AZ46" i="13"/>
  <c r="BH46" i="13"/>
  <c r="BF46" i="13"/>
  <c r="AX46" i="13"/>
  <c r="Z46" i="13"/>
  <c r="AB46" i="13"/>
  <c r="D46" i="13"/>
  <c r="J46" i="13"/>
  <c r="AP46" i="13"/>
  <c r="T46" i="13"/>
  <c r="R46" i="13"/>
  <c r="AL46" i="13"/>
  <c r="AD46" i="13"/>
  <c r="P46" i="13"/>
  <c r="BD46" i="13"/>
  <c r="AF46" i="13"/>
  <c r="X46" i="13"/>
  <c r="L46" i="13"/>
  <c r="AH46" i="13"/>
  <c r="F46" i="13"/>
  <c r="N46" i="13"/>
  <c r="B13" i="11"/>
  <c r="AT13" i="18"/>
  <c r="N13" i="18"/>
  <c r="AR13" i="18"/>
  <c r="L13" i="18"/>
  <c r="AP13" i="18"/>
  <c r="J13" i="18"/>
  <c r="AN13" i="18"/>
  <c r="H13" i="18"/>
  <c r="AL13" i="18"/>
  <c r="F13" i="18"/>
  <c r="AJ13" i="18"/>
  <c r="AH13" i="18"/>
  <c r="AF13" i="18"/>
  <c r="D13" i="18"/>
  <c r="BJ13" i="18"/>
  <c r="AD13" i="18"/>
  <c r="BH13" i="18"/>
  <c r="AB13" i="18"/>
  <c r="BF13" i="18"/>
  <c r="Z13" i="18"/>
  <c r="BD13" i="18"/>
  <c r="X13" i="18"/>
  <c r="BB13" i="18"/>
  <c r="V13" i="18"/>
  <c r="AZ13" i="18"/>
  <c r="T13" i="18"/>
  <c r="AX13" i="18"/>
  <c r="R13" i="18"/>
  <c r="AV13" i="18"/>
  <c r="P13" i="18"/>
  <c r="BB56" i="13"/>
  <c r="AF56" i="13"/>
  <c r="D56" i="13"/>
  <c r="N56" i="13"/>
  <c r="AB56" i="13"/>
  <c r="AZ56" i="13"/>
  <c r="AR56" i="13"/>
  <c r="AL56" i="13"/>
  <c r="AX56" i="13"/>
  <c r="AP56" i="13"/>
  <c r="BH56" i="13"/>
  <c r="BF56" i="13"/>
  <c r="BJ56" i="13"/>
  <c r="BD56" i="13"/>
  <c r="AV56" i="13"/>
  <c r="J56" i="13"/>
  <c r="Z56" i="13"/>
  <c r="T56" i="13"/>
  <c r="AJ56" i="13"/>
  <c r="R56" i="13"/>
  <c r="P56" i="13"/>
  <c r="H56" i="13"/>
  <c r="AD56" i="13"/>
  <c r="F56" i="13"/>
  <c r="L56" i="13"/>
  <c r="V56" i="13"/>
  <c r="AT56" i="13"/>
  <c r="AH56" i="13"/>
  <c r="AN56" i="13"/>
  <c r="X56" i="13"/>
  <c r="B64" i="13"/>
  <c r="B59" i="13"/>
  <c r="B38" i="13"/>
  <c r="B16" i="13"/>
  <c r="B7" i="13"/>
  <c r="B4" i="13"/>
  <c r="B64" i="11"/>
  <c r="B59" i="11"/>
  <c r="B38" i="11"/>
  <c r="B16" i="11"/>
  <c r="B7" i="11"/>
  <c r="B4" i="11"/>
  <c r="B64" i="18"/>
  <c r="B59" i="18"/>
  <c r="B38" i="18"/>
  <c r="B16" i="18"/>
  <c r="B7" i="18"/>
  <c r="B4" i="18"/>
  <c r="B64" i="19"/>
  <c r="B59" i="19"/>
  <c r="B38" i="19"/>
  <c r="B16" i="19"/>
  <c r="B7" i="19"/>
  <c r="B4" i="19"/>
  <c r="B38" i="17"/>
  <c r="B16" i="17"/>
  <c r="B7" i="17"/>
  <c r="B4" i="17"/>
  <c r="B38" i="12"/>
  <c r="B16" i="12"/>
  <c r="B7" i="12"/>
  <c r="B4" i="12"/>
  <c r="B16" i="16"/>
  <c r="B7" i="16"/>
  <c r="B4" i="16"/>
  <c r="B16" i="1"/>
  <c r="B7" i="1"/>
  <c r="B4" i="1"/>
  <c r="B22" i="11" l="1"/>
  <c r="AR22" i="18"/>
  <c r="AL22" i="18"/>
  <c r="AF22" i="18"/>
  <c r="BF22" i="18"/>
  <c r="Z22" i="18"/>
  <c r="AZ22" i="18"/>
  <c r="T22" i="18"/>
  <c r="AT22" i="18"/>
  <c r="AN22" i="18"/>
  <c r="AH22" i="18"/>
  <c r="BH22" i="18"/>
  <c r="AB22" i="18"/>
  <c r="BB22" i="18"/>
  <c r="AV22" i="18"/>
  <c r="AP22" i="18"/>
  <c r="AJ22" i="18"/>
  <c r="BJ22" i="18"/>
  <c r="AD22" i="18"/>
  <c r="BD22" i="18"/>
  <c r="AX22" i="18"/>
  <c r="X22" i="18"/>
  <c r="J22" i="18"/>
  <c r="D22" i="18"/>
  <c r="L22" i="18"/>
  <c r="F22" i="18"/>
  <c r="R22" i="18"/>
  <c r="V22" i="18"/>
  <c r="N22" i="18"/>
  <c r="H22" i="18"/>
  <c r="P22" i="18"/>
  <c r="B17" i="11"/>
  <c r="AY16" i="18"/>
  <c r="AN17" i="18"/>
  <c r="S16" i="18"/>
  <c r="AS16" i="18"/>
  <c r="AH17" i="18"/>
  <c r="BH17" i="18"/>
  <c r="AM16" i="18"/>
  <c r="AB17" i="18"/>
  <c r="BB17" i="18"/>
  <c r="AG16" i="18"/>
  <c r="V17" i="18"/>
  <c r="BG16" i="18"/>
  <c r="AV17" i="18"/>
  <c r="AA16" i="18"/>
  <c r="BA16" i="18"/>
  <c r="AP17" i="18"/>
  <c r="U16" i="18"/>
  <c r="AU16" i="18"/>
  <c r="AJ17" i="18"/>
  <c r="O16" i="18"/>
  <c r="BJ17" i="18"/>
  <c r="AO16" i="18"/>
  <c r="AD17" i="18"/>
  <c r="BD17" i="18"/>
  <c r="AI16" i="18"/>
  <c r="X17" i="18"/>
  <c r="BI16" i="18"/>
  <c r="AX17" i="18"/>
  <c r="AC16" i="18"/>
  <c r="BC16" i="18"/>
  <c r="AR17" i="18"/>
  <c r="W16" i="18"/>
  <c r="AW16" i="18"/>
  <c r="AL17" i="18"/>
  <c r="AQ16" i="18"/>
  <c r="AF17" i="18"/>
  <c r="BF17" i="18"/>
  <c r="AK16" i="18"/>
  <c r="Z17" i="18"/>
  <c r="AZ17" i="18"/>
  <c r="AE16" i="18"/>
  <c r="BE16" i="18"/>
  <c r="AT17" i="18"/>
  <c r="L17" i="18"/>
  <c r="D17" i="18"/>
  <c r="F17" i="18"/>
  <c r="K16" i="18"/>
  <c r="E16" i="18"/>
  <c r="C16" i="18"/>
  <c r="P17" i="18"/>
  <c r="N17" i="18"/>
  <c r="H17" i="18"/>
  <c r="M16" i="18"/>
  <c r="G16" i="18"/>
  <c r="Y16" i="18"/>
  <c r="J17" i="18"/>
  <c r="R17" i="18"/>
  <c r="T17" i="18"/>
  <c r="Q16" i="18"/>
  <c r="I16" i="18"/>
  <c r="B24" i="11"/>
  <c r="AZ24" i="18"/>
  <c r="T24" i="18"/>
  <c r="AT24" i="18"/>
  <c r="N24" i="18"/>
  <c r="AN24" i="18"/>
  <c r="AH24" i="18"/>
  <c r="BH24" i="18"/>
  <c r="AB24" i="18"/>
  <c r="BB24" i="18"/>
  <c r="V24" i="18"/>
  <c r="AV24" i="18"/>
  <c r="P24" i="18"/>
  <c r="AP24" i="18"/>
  <c r="AJ24" i="18"/>
  <c r="BJ24" i="18"/>
  <c r="AD24" i="18"/>
  <c r="BD24" i="18"/>
  <c r="X24" i="18"/>
  <c r="AX24" i="18"/>
  <c r="AR24" i="18"/>
  <c r="AL24" i="18"/>
  <c r="AF24" i="18"/>
  <c r="BF24" i="18"/>
  <c r="L24" i="18"/>
  <c r="F24" i="18"/>
  <c r="Z24" i="18"/>
  <c r="R24" i="18"/>
  <c r="H24" i="18"/>
  <c r="D24" i="18"/>
  <c r="J24" i="18"/>
  <c r="B15" i="13"/>
  <c r="AJ15" i="11"/>
  <c r="AH15" i="11"/>
  <c r="AF15" i="11"/>
  <c r="BJ15" i="11"/>
  <c r="AD15" i="11"/>
  <c r="BH15" i="11"/>
  <c r="AB15" i="11"/>
  <c r="BF15" i="11"/>
  <c r="Z15" i="11"/>
  <c r="BD15" i="11"/>
  <c r="X15" i="11"/>
  <c r="BB15" i="11"/>
  <c r="V15" i="11"/>
  <c r="AX15" i="11"/>
  <c r="R15" i="11"/>
  <c r="AV15" i="11"/>
  <c r="AT15" i="11"/>
  <c r="AR15" i="11"/>
  <c r="AP15" i="11"/>
  <c r="N15" i="11"/>
  <c r="T15" i="11"/>
  <c r="H15" i="11"/>
  <c r="P15" i="11"/>
  <c r="AL15" i="11"/>
  <c r="J15" i="11"/>
  <c r="AZ15" i="11"/>
  <c r="L15" i="11"/>
  <c r="D15" i="11"/>
  <c r="F15" i="11"/>
  <c r="AN15" i="11"/>
  <c r="B25" i="11"/>
  <c r="AN25" i="18"/>
  <c r="AH25" i="18"/>
  <c r="BH25" i="18"/>
  <c r="AB25" i="18"/>
  <c r="BB25" i="18"/>
  <c r="V25" i="18"/>
  <c r="AV25" i="18"/>
  <c r="AP25" i="18"/>
  <c r="AJ25" i="18"/>
  <c r="BJ25" i="18"/>
  <c r="AD25" i="18"/>
  <c r="BD25" i="18"/>
  <c r="X25" i="18"/>
  <c r="AX25" i="18"/>
  <c r="AR25" i="18"/>
  <c r="AL25" i="18"/>
  <c r="AF25" i="18"/>
  <c r="BF25" i="18"/>
  <c r="Z25" i="18"/>
  <c r="AZ25" i="18"/>
  <c r="AT25" i="18"/>
  <c r="L25" i="18"/>
  <c r="F25" i="18"/>
  <c r="R25" i="18"/>
  <c r="H25" i="18"/>
  <c r="T25" i="18"/>
  <c r="D25" i="18"/>
  <c r="N25" i="18"/>
  <c r="P25" i="18"/>
  <c r="J25" i="18"/>
  <c r="B13" i="13"/>
  <c r="AR13" i="11"/>
  <c r="L13" i="11"/>
  <c r="AP13" i="11"/>
  <c r="J13" i="11"/>
  <c r="AN13" i="11"/>
  <c r="H13" i="11"/>
  <c r="AL13" i="11"/>
  <c r="F13" i="11"/>
  <c r="AJ13" i="11"/>
  <c r="AH13" i="11"/>
  <c r="AF13" i="11"/>
  <c r="BJ13" i="11"/>
  <c r="AD13" i="11"/>
  <c r="BF13" i="11"/>
  <c r="Z13" i="11"/>
  <c r="BD13" i="11"/>
  <c r="BB13" i="11"/>
  <c r="AZ13" i="11"/>
  <c r="AX13" i="11"/>
  <c r="AT13" i="11"/>
  <c r="X13" i="11"/>
  <c r="T13" i="11"/>
  <c r="N13" i="11"/>
  <c r="AB13" i="11"/>
  <c r="P13" i="11"/>
  <c r="V13" i="11"/>
  <c r="BH13" i="11"/>
  <c r="R13" i="11"/>
  <c r="AV13" i="11"/>
  <c r="D13" i="11"/>
  <c r="B11" i="13"/>
  <c r="AZ11" i="11"/>
  <c r="T11" i="11"/>
  <c r="AX11" i="11"/>
  <c r="R11" i="11"/>
  <c r="AV11" i="11"/>
  <c r="P11" i="11"/>
  <c r="AT11" i="11"/>
  <c r="N11" i="11"/>
  <c r="AR11" i="11"/>
  <c r="L11" i="11"/>
  <c r="AP11" i="11"/>
  <c r="J11" i="11"/>
  <c r="AN11" i="11"/>
  <c r="AL11" i="11"/>
  <c r="AH11" i="11"/>
  <c r="AF11" i="11"/>
  <c r="BJ11" i="11"/>
  <c r="BH11" i="11"/>
  <c r="BF11" i="11"/>
  <c r="AD11" i="11"/>
  <c r="BD11" i="11"/>
  <c r="F11" i="11"/>
  <c r="H11" i="11"/>
  <c r="D11" i="11"/>
  <c r="BB11" i="11"/>
  <c r="AB11" i="11"/>
  <c r="X11" i="11"/>
  <c r="AJ11" i="11"/>
  <c r="Z11" i="11"/>
  <c r="V11" i="11"/>
  <c r="B21" i="11"/>
  <c r="BD21" i="18"/>
  <c r="X21" i="18"/>
  <c r="AX21" i="18"/>
  <c r="R21" i="18"/>
  <c r="AR21" i="18"/>
  <c r="AL21" i="18"/>
  <c r="AF21" i="18"/>
  <c r="BF21" i="18"/>
  <c r="Z21" i="18"/>
  <c r="AZ21" i="18"/>
  <c r="T21" i="18"/>
  <c r="AT21" i="18"/>
  <c r="N21" i="18"/>
  <c r="AN21" i="18"/>
  <c r="AH21" i="18"/>
  <c r="BH21" i="18"/>
  <c r="AB21" i="18"/>
  <c r="BB21" i="18"/>
  <c r="V21" i="18"/>
  <c r="AV21" i="18"/>
  <c r="AP21" i="18"/>
  <c r="AJ21" i="18"/>
  <c r="BJ21" i="18"/>
  <c r="P21" i="18"/>
  <c r="J21" i="18"/>
  <c r="D21" i="18"/>
  <c r="L21" i="18"/>
  <c r="F21" i="18"/>
  <c r="AD21" i="18"/>
  <c r="H21" i="18"/>
  <c r="B20" i="11"/>
  <c r="AJ20" i="18"/>
  <c r="BJ20" i="18"/>
  <c r="AD20" i="18"/>
  <c r="BD20" i="18"/>
  <c r="X20" i="18"/>
  <c r="AX20" i="18"/>
  <c r="R20" i="18"/>
  <c r="AR20" i="18"/>
  <c r="AL20" i="18"/>
  <c r="AF20" i="18"/>
  <c r="BF20" i="18"/>
  <c r="Z20" i="18"/>
  <c r="AZ20" i="18"/>
  <c r="T20" i="18"/>
  <c r="AT20" i="18"/>
  <c r="AN20" i="18"/>
  <c r="AH20" i="18"/>
  <c r="BH20" i="18"/>
  <c r="BB20" i="18"/>
  <c r="AV20" i="18"/>
  <c r="AP20" i="18"/>
  <c r="H20" i="18"/>
  <c r="P20" i="18"/>
  <c r="J20" i="18"/>
  <c r="D20" i="18"/>
  <c r="L20" i="18"/>
  <c r="F20" i="18"/>
  <c r="V20" i="18"/>
  <c r="AB20" i="18"/>
  <c r="N20" i="18"/>
  <c r="B18" i="11"/>
  <c r="BH18" i="18"/>
  <c r="AB18" i="18"/>
  <c r="BB18" i="18"/>
  <c r="V18" i="18"/>
  <c r="AV18" i="18"/>
  <c r="P18" i="18"/>
  <c r="AP18" i="18"/>
  <c r="AJ18" i="18"/>
  <c r="BJ18" i="18"/>
  <c r="AD18" i="18"/>
  <c r="BD18" i="18"/>
  <c r="X18" i="18"/>
  <c r="AX18" i="18"/>
  <c r="R18" i="18"/>
  <c r="AR18" i="18"/>
  <c r="AL18" i="18"/>
  <c r="AF18" i="18"/>
  <c r="BF18" i="18"/>
  <c r="Z18" i="18"/>
  <c r="AZ18" i="18"/>
  <c r="AT18" i="18"/>
  <c r="AN18" i="18"/>
  <c r="N18" i="18"/>
  <c r="AH18" i="18"/>
  <c r="H18" i="18"/>
  <c r="J18" i="18"/>
  <c r="T18" i="18"/>
  <c r="D18" i="18"/>
  <c r="L18" i="18"/>
  <c r="F18" i="18"/>
  <c r="B8" i="13"/>
  <c r="AI7" i="11"/>
  <c r="AF8" i="11"/>
  <c r="BJ8" i="11"/>
  <c r="AG7" i="11"/>
  <c r="AD8" i="11"/>
  <c r="BH8" i="11"/>
  <c r="AE7" i="11"/>
  <c r="AB8" i="11"/>
  <c r="BI7" i="11"/>
  <c r="BF8" i="11"/>
  <c r="AC7" i="11"/>
  <c r="Z8" i="11"/>
  <c r="BG7" i="11"/>
  <c r="BD8" i="11"/>
  <c r="AA7" i="11"/>
  <c r="X8" i="11"/>
  <c r="BE7" i="11"/>
  <c r="BB8" i="11"/>
  <c r="Y7" i="11"/>
  <c r="V8" i="11"/>
  <c r="BC7" i="11"/>
  <c r="AZ8" i="11"/>
  <c r="W7" i="11"/>
  <c r="BA7" i="11"/>
  <c r="AX8" i="11"/>
  <c r="AW7" i="11"/>
  <c r="AT8" i="11"/>
  <c r="AU7" i="11"/>
  <c r="AR8" i="11"/>
  <c r="AS7" i="11"/>
  <c r="AO7" i="11"/>
  <c r="U7" i="11"/>
  <c r="AV8" i="11"/>
  <c r="AJ8" i="11"/>
  <c r="I7" i="11"/>
  <c r="R8" i="11"/>
  <c r="AN8" i="11"/>
  <c r="L8" i="11"/>
  <c r="Q7" i="11"/>
  <c r="AM7" i="11"/>
  <c r="K7" i="11"/>
  <c r="AH8" i="11"/>
  <c r="T8" i="11"/>
  <c r="N8" i="11"/>
  <c r="AQ7" i="11"/>
  <c r="F8" i="11"/>
  <c r="AL8" i="11"/>
  <c r="S7" i="11"/>
  <c r="M7" i="11"/>
  <c r="AY7" i="11"/>
  <c r="H8" i="11"/>
  <c r="E7" i="11"/>
  <c r="AK7" i="11"/>
  <c r="D8" i="11"/>
  <c r="AP8" i="11"/>
  <c r="P8" i="11"/>
  <c r="G7" i="11"/>
  <c r="O7" i="11"/>
  <c r="J8" i="11"/>
  <c r="C7" i="11"/>
  <c r="B9" i="13"/>
  <c r="BH9" i="11"/>
  <c r="AB9" i="11"/>
  <c r="BF9" i="11"/>
  <c r="Z9" i="11"/>
  <c r="BD9" i="11"/>
  <c r="X9" i="11"/>
  <c r="D9" i="11"/>
  <c r="BB9" i="11"/>
  <c r="V9" i="11"/>
  <c r="AZ9" i="11"/>
  <c r="T9" i="11"/>
  <c r="AX9" i="11"/>
  <c r="R9" i="11"/>
  <c r="AV9" i="11"/>
  <c r="AT9" i="11"/>
  <c r="AP9" i="11"/>
  <c r="AN9" i="11"/>
  <c r="L9" i="11"/>
  <c r="AD9" i="11"/>
  <c r="AH9" i="11"/>
  <c r="N9" i="11"/>
  <c r="AR9" i="11"/>
  <c r="F9" i="11"/>
  <c r="AL9" i="11"/>
  <c r="H9" i="11"/>
  <c r="BJ9" i="11"/>
  <c r="P9" i="11"/>
  <c r="AF9" i="11"/>
  <c r="J9" i="11"/>
  <c r="AJ9" i="11"/>
  <c r="B23" i="11"/>
  <c r="AF23" i="18"/>
  <c r="BF23" i="18"/>
  <c r="Z23" i="18"/>
  <c r="AZ23" i="18"/>
  <c r="T23" i="18"/>
  <c r="AT23" i="18"/>
  <c r="N23" i="18"/>
  <c r="AN23" i="18"/>
  <c r="AH23" i="18"/>
  <c r="BH23" i="18"/>
  <c r="AB23" i="18"/>
  <c r="BB23" i="18"/>
  <c r="V23" i="18"/>
  <c r="AV23" i="18"/>
  <c r="AP23" i="18"/>
  <c r="AJ23" i="18"/>
  <c r="BJ23" i="18"/>
  <c r="AD23" i="18"/>
  <c r="BD23" i="18"/>
  <c r="AX23" i="18"/>
  <c r="AR23" i="18"/>
  <c r="AL23" i="18"/>
  <c r="X23" i="18"/>
  <c r="L23" i="18"/>
  <c r="F23" i="18"/>
  <c r="R23" i="18"/>
  <c r="H23" i="18"/>
  <c r="P23" i="18"/>
  <c r="D23" i="18"/>
  <c r="J23" i="18"/>
  <c r="B14" i="13"/>
  <c r="AN14" i="11"/>
  <c r="H14" i="11"/>
  <c r="AL14" i="11"/>
  <c r="F14" i="11"/>
  <c r="AJ14" i="11"/>
  <c r="AH14" i="11"/>
  <c r="D14" i="11"/>
  <c r="AF14" i="11"/>
  <c r="BJ14" i="11"/>
  <c r="AD14" i="11"/>
  <c r="BH14" i="11"/>
  <c r="AB14" i="11"/>
  <c r="BF14" i="11"/>
  <c r="Z14" i="11"/>
  <c r="BB14" i="11"/>
  <c r="V14" i="11"/>
  <c r="AZ14" i="11"/>
  <c r="AX14" i="11"/>
  <c r="AV14" i="11"/>
  <c r="AT14" i="11"/>
  <c r="BD14" i="11"/>
  <c r="X14" i="11"/>
  <c r="T14" i="11"/>
  <c r="N14" i="11"/>
  <c r="AR14" i="11"/>
  <c r="P14" i="11"/>
  <c r="J14" i="11"/>
  <c r="AP14" i="11"/>
  <c r="R14" i="11"/>
  <c r="L14" i="11"/>
  <c r="B12" i="13"/>
  <c r="AV12" i="11"/>
  <c r="P12" i="11"/>
  <c r="AT12" i="11"/>
  <c r="N12" i="11"/>
  <c r="AR12" i="11"/>
  <c r="L12" i="11"/>
  <c r="AP12" i="11"/>
  <c r="J12" i="11"/>
  <c r="AN12" i="11"/>
  <c r="AL12" i="11"/>
  <c r="AJ12" i="11"/>
  <c r="AH12" i="11"/>
  <c r="BJ12" i="11"/>
  <c r="AD12" i="11"/>
  <c r="BH12" i="11"/>
  <c r="AB12" i="11"/>
  <c r="BF12" i="11"/>
  <c r="BD12" i="11"/>
  <c r="BB12" i="11"/>
  <c r="R12" i="11"/>
  <c r="F12" i="11"/>
  <c r="D12" i="11"/>
  <c r="H12" i="11"/>
  <c r="X12" i="11"/>
  <c r="T12" i="11"/>
  <c r="AZ12" i="11"/>
  <c r="AF12" i="11"/>
  <c r="AX12" i="11"/>
  <c r="Z12" i="11"/>
  <c r="V12" i="11"/>
  <c r="B10" i="13"/>
  <c r="BD10" i="11"/>
  <c r="X10" i="11"/>
  <c r="BB10" i="11"/>
  <c r="V10" i="11"/>
  <c r="AZ10" i="11"/>
  <c r="T10" i="11"/>
  <c r="AX10" i="11"/>
  <c r="R10" i="11"/>
  <c r="AV10" i="11"/>
  <c r="P10" i="11"/>
  <c r="AT10" i="11"/>
  <c r="N10" i="11"/>
  <c r="AR10" i="11"/>
  <c r="AP10" i="11"/>
  <c r="AL10" i="11"/>
  <c r="AJ10" i="11"/>
  <c r="BJ10" i="11"/>
  <c r="BF10" i="11"/>
  <c r="AN10" i="11"/>
  <c r="Z10" i="11"/>
  <c r="AD10" i="11"/>
  <c r="AH10" i="11"/>
  <c r="F10" i="11"/>
  <c r="H10" i="11"/>
  <c r="D10" i="11"/>
  <c r="AB10" i="11"/>
  <c r="AF10" i="11"/>
  <c r="J10" i="11"/>
  <c r="BH10" i="11"/>
  <c r="L10" i="11"/>
  <c r="B19" i="11"/>
  <c r="AV19" i="18"/>
  <c r="P19" i="18"/>
  <c r="AP19" i="18"/>
  <c r="AJ19" i="18"/>
  <c r="BJ19" i="18"/>
  <c r="AD19" i="18"/>
  <c r="BD19" i="18"/>
  <c r="X19" i="18"/>
  <c r="AX19" i="18"/>
  <c r="R19" i="18"/>
  <c r="AR19" i="18"/>
  <c r="AL19" i="18"/>
  <c r="AF19" i="18"/>
  <c r="BF19" i="18"/>
  <c r="AZ19" i="18"/>
  <c r="T19" i="18"/>
  <c r="AT19" i="18"/>
  <c r="AN19" i="18"/>
  <c r="AH19" i="18"/>
  <c r="BH19" i="18"/>
  <c r="AB19" i="18"/>
  <c r="BB19" i="18"/>
  <c r="N19" i="18"/>
  <c r="H19" i="18"/>
  <c r="Z19" i="18"/>
  <c r="J19" i="18"/>
  <c r="D19" i="18"/>
  <c r="L19" i="18"/>
  <c r="F19" i="18"/>
  <c r="V19" i="18"/>
  <c r="B3" i="13"/>
  <c r="B3" i="11"/>
  <c r="B3" i="18"/>
  <c r="B3" i="17"/>
  <c r="B3" i="16"/>
  <c r="B3" i="19"/>
  <c r="B3" i="12"/>
  <c r="B3" i="1"/>
  <c r="AJ14" i="13" l="1"/>
  <c r="AH14" i="13"/>
  <c r="D14" i="13"/>
  <c r="H14" i="13"/>
  <c r="AL14" i="13"/>
  <c r="J14" i="13"/>
  <c r="AN14" i="13"/>
  <c r="L14" i="13"/>
  <c r="AP14" i="13"/>
  <c r="N14" i="13"/>
  <c r="AR14" i="13"/>
  <c r="P14" i="13"/>
  <c r="AT14" i="13"/>
  <c r="R14" i="13"/>
  <c r="AV14" i="13"/>
  <c r="T14" i="13"/>
  <c r="AX14" i="13"/>
  <c r="V14" i="13"/>
  <c r="AZ14" i="13"/>
  <c r="X14" i="13"/>
  <c r="BF14" i="13"/>
  <c r="AB14" i="13"/>
  <c r="BJ14" i="13"/>
  <c r="AF14" i="13"/>
  <c r="BD14" i="13"/>
  <c r="F14" i="13"/>
  <c r="Z14" i="13"/>
  <c r="BH14" i="13"/>
  <c r="AD14" i="13"/>
  <c r="BB14" i="13"/>
  <c r="B17" i="13"/>
  <c r="BH17" i="11"/>
  <c r="AM16" i="11"/>
  <c r="BB17" i="11"/>
  <c r="BC16" i="11"/>
  <c r="O16" i="11"/>
  <c r="AW16" i="11"/>
  <c r="AD17" i="11"/>
  <c r="I16" i="11"/>
  <c r="AR17" i="11"/>
  <c r="AN17" i="11"/>
  <c r="AJ17" i="11"/>
  <c r="BG16" i="11"/>
  <c r="AV17" i="11"/>
  <c r="AQ16" i="11"/>
  <c r="BA16" i="11"/>
  <c r="AI16" i="11"/>
  <c r="AU16" i="11"/>
  <c r="AE16" i="11"/>
  <c r="AO16" i="11"/>
  <c r="AF17" i="11"/>
  <c r="Y16" i="11"/>
  <c r="N17" i="11"/>
  <c r="F17" i="11"/>
  <c r="S16" i="11"/>
  <c r="M16" i="11"/>
  <c r="E16" i="11"/>
  <c r="C16" i="11"/>
  <c r="X17" i="11"/>
  <c r="AH17" i="11"/>
  <c r="AC16" i="11"/>
  <c r="R17" i="11"/>
  <c r="AG16" i="11"/>
  <c r="W16" i="11"/>
  <c r="L17" i="11"/>
  <c r="H17" i="11"/>
  <c r="AL17" i="11"/>
  <c r="Q16" i="11"/>
  <c r="K16" i="11"/>
  <c r="G16" i="11"/>
  <c r="BF17" i="11"/>
  <c r="AK16" i="11"/>
  <c r="BJ17" i="11"/>
  <c r="AB17" i="11"/>
  <c r="BE16" i="11"/>
  <c r="AZ17" i="11"/>
  <c r="V17" i="11"/>
  <c r="BI16" i="11"/>
  <c r="BD17" i="11"/>
  <c r="AA16" i="11"/>
  <c r="P17" i="11"/>
  <c r="AY16" i="11"/>
  <c r="AT17" i="11"/>
  <c r="U16" i="11"/>
  <c r="J17" i="11"/>
  <c r="AX17" i="11"/>
  <c r="AS16" i="11"/>
  <c r="AP17" i="11"/>
  <c r="Z17" i="11"/>
  <c r="T17" i="11"/>
  <c r="D17" i="11"/>
  <c r="B19" i="13"/>
  <c r="AJ19" i="11"/>
  <c r="BJ19" i="11"/>
  <c r="BH19" i="11"/>
  <c r="L19" i="11"/>
  <c r="BB19" i="11"/>
  <c r="AV19" i="11"/>
  <c r="AF19" i="11"/>
  <c r="BF19" i="11"/>
  <c r="AZ19" i="11"/>
  <c r="AT19" i="11"/>
  <c r="AP19" i="11"/>
  <c r="AH19" i="11"/>
  <c r="AD19" i="11"/>
  <c r="AN19" i="11"/>
  <c r="X19" i="11"/>
  <c r="H19" i="11"/>
  <c r="R19" i="11"/>
  <c r="AL19" i="11"/>
  <c r="AB19" i="11"/>
  <c r="V19" i="11"/>
  <c r="BD19" i="11"/>
  <c r="P19" i="11"/>
  <c r="J19" i="11"/>
  <c r="AX19" i="11"/>
  <c r="D19" i="11"/>
  <c r="Z19" i="11"/>
  <c r="T19" i="11"/>
  <c r="N19" i="11"/>
  <c r="F19" i="11"/>
  <c r="AR19" i="11"/>
  <c r="B24" i="13"/>
  <c r="AN24" i="11"/>
  <c r="P24" i="11"/>
  <c r="BJ24" i="11"/>
  <c r="J24" i="11"/>
  <c r="BD24" i="11"/>
  <c r="AX24" i="11"/>
  <c r="AR24" i="11"/>
  <c r="BH24" i="11"/>
  <c r="AJ24" i="11"/>
  <c r="BB24" i="11"/>
  <c r="AV24" i="11"/>
  <c r="AF24" i="11"/>
  <c r="AL24" i="11"/>
  <c r="Z24" i="11"/>
  <c r="F24" i="11"/>
  <c r="T24" i="11"/>
  <c r="N24" i="11"/>
  <c r="BF24" i="11"/>
  <c r="AZ24" i="11"/>
  <c r="AD24" i="11"/>
  <c r="X24" i="11"/>
  <c r="H24" i="11"/>
  <c r="R24" i="11"/>
  <c r="AT24" i="11"/>
  <c r="L24" i="11"/>
  <c r="AP24" i="11"/>
  <c r="D24" i="11"/>
  <c r="AH24" i="11"/>
  <c r="AB24" i="11"/>
  <c r="V24" i="11"/>
  <c r="AF15" i="13"/>
  <c r="BJ15" i="13"/>
  <c r="AD15" i="13"/>
  <c r="AN15" i="13"/>
  <c r="L15" i="13"/>
  <c r="AP15" i="13"/>
  <c r="N15" i="13"/>
  <c r="AR15" i="13"/>
  <c r="P15" i="13"/>
  <c r="AT15" i="13"/>
  <c r="R15" i="13"/>
  <c r="AV15" i="13"/>
  <c r="T15" i="13"/>
  <c r="AX15" i="13"/>
  <c r="V15" i="13"/>
  <c r="AZ15" i="13"/>
  <c r="X15" i="13"/>
  <c r="BB15" i="13"/>
  <c r="Z15" i="13"/>
  <c r="BD15" i="13"/>
  <c r="AB15" i="13"/>
  <c r="AH15" i="13"/>
  <c r="AL15" i="13"/>
  <c r="F15" i="13"/>
  <c r="J15" i="13"/>
  <c r="BH15" i="13"/>
  <c r="D15" i="13"/>
  <c r="AJ15" i="13"/>
  <c r="BF15" i="13"/>
  <c r="H15" i="13"/>
  <c r="AR12" i="13"/>
  <c r="L12" i="13"/>
  <c r="AP12" i="13"/>
  <c r="J12" i="13"/>
  <c r="BH12" i="13"/>
  <c r="AF12" i="13"/>
  <c r="BJ12" i="13"/>
  <c r="AH12" i="13"/>
  <c r="F12" i="13"/>
  <c r="AJ12" i="13"/>
  <c r="H12" i="13"/>
  <c r="AL12" i="13"/>
  <c r="D12" i="13"/>
  <c r="AN12" i="13"/>
  <c r="N12" i="13"/>
  <c r="AD12" i="13"/>
  <c r="P12" i="13"/>
  <c r="BB12" i="13"/>
  <c r="T12" i="13"/>
  <c r="AV12" i="13"/>
  <c r="X12" i="13"/>
  <c r="BF12" i="13"/>
  <c r="AB12" i="13"/>
  <c r="AZ12" i="13"/>
  <c r="AT12" i="13"/>
  <c r="R12" i="13"/>
  <c r="Z12" i="13"/>
  <c r="AX12" i="13"/>
  <c r="V12" i="13"/>
  <c r="BD12" i="13"/>
  <c r="B25" i="13"/>
  <c r="BH25" i="11"/>
  <c r="BB25" i="11"/>
  <c r="BD25" i="11"/>
  <c r="AX25" i="11"/>
  <c r="AD25" i="11"/>
  <c r="AR25" i="11"/>
  <c r="AN25" i="11"/>
  <c r="AV25" i="11"/>
  <c r="Z25" i="11"/>
  <c r="F25" i="11"/>
  <c r="T25" i="11"/>
  <c r="N25" i="11"/>
  <c r="BF25" i="11"/>
  <c r="AJ25" i="11"/>
  <c r="AZ25" i="11"/>
  <c r="AF25" i="11"/>
  <c r="X25" i="11"/>
  <c r="H25" i="11"/>
  <c r="BJ25" i="11"/>
  <c r="R25" i="11"/>
  <c r="AT25" i="11"/>
  <c r="L25" i="11"/>
  <c r="D25" i="11"/>
  <c r="AP25" i="11"/>
  <c r="AB25" i="11"/>
  <c r="AH25" i="11"/>
  <c r="V25" i="11"/>
  <c r="P25" i="11"/>
  <c r="AL25" i="11"/>
  <c r="J25" i="11"/>
  <c r="AV11" i="13"/>
  <c r="P11" i="13"/>
  <c r="AT11" i="13"/>
  <c r="N11" i="13"/>
  <c r="BD11" i="13"/>
  <c r="AB11" i="13"/>
  <c r="BF11" i="13"/>
  <c r="AD11" i="13"/>
  <c r="BH11" i="13"/>
  <c r="AF11" i="13"/>
  <c r="BJ11" i="13"/>
  <c r="AH11" i="13"/>
  <c r="F11" i="13"/>
  <c r="AJ11" i="13"/>
  <c r="H11" i="13"/>
  <c r="AL11" i="13"/>
  <c r="J11" i="13"/>
  <c r="AN11" i="13"/>
  <c r="L11" i="13"/>
  <c r="D11" i="13"/>
  <c r="AP11" i="13"/>
  <c r="AR11" i="13"/>
  <c r="BB11" i="13"/>
  <c r="T11" i="13"/>
  <c r="X11" i="13"/>
  <c r="AZ11" i="13"/>
  <c r="Z11" i="13"/>
  <c r="AX11" i="13"/>
  <c r="V11" i="13"/>
  <c r="R11" i="13"/>
  <c r="B21" i="13"/>
  <c r="AR21" i="11"/>
  <c r="T21" i="11"/>
  <c r="BF21" i="11"/>
  <c r="N21" i="11"/>
  <c r="AZ21" i="11"/>
  <c r="AT21" i="11"/>
  <c r="AP21" i="11"/>
  <c r="AL21" i="11"/>
  <c r="BJ21" i="11"/>
  <c r="BD21" i="11"/>
  <c r="AB21" i="11"/>
  <c r="V21" i="11"/>
  <c r="P21" i="11"/>
  <c r="D21" i="11"/>
  <c r="J21" i="11"/>
  <c r="BH21" i="11"/>
  <c r="AX21" i="11"/>
  <c r="BB21" i="11"/>
  <c r="Z21" i="11"/>
  <c r="F21" i="11"/>
  <c r="AJ21" i="11"/>
  <c r="AV21" i="11"/>
  <c r="AF21" i="11"/>
  <c r="AD21" i="11"/>
  <c r="AN21" i="11"/>
  <c r="X21" i="11"/>
  <c r="H21" i="11"/>
  <c r="R21" i="11"/>
  <c r="AH21" i="11"/>
  <c r="L21" i="11"/>
  <c r="B20" i="13"/>
  <c r="BD20" i="11"/>
  <c r="AX20" i="11"/>
  <c r="AV20" i="11"/>
  <c r="AF20" i="11"/>
  <c r="Z20" i="11"/>
  <c r="BF20" i="11"/>
  <c r="AZ20" i="11"/>
  <c r="AT20" i="11"/>
  <c r="AP20" i="11"/>
  <c r="AL20" i="11"/>
  <c r="AH20" i="11"/>
  <c r="R20" i="11"/>
  <c r="L20" i="11"/>
  <c r="AB20" i="11"/>
  <c r="V20" i="11"/>
  <c r="P20" i="11"/>
  <c r="J20" i="11"/>
  <c r="D20" i="11"/>
  <c r="BJ20" i="11"/>
  <c r="BH20" i="11"/>
  <c r="T20" i="11"/>
  <c r="BB20" i="11"/>
  <c r="N20" i="11"/>
  <c r="F20" i="11"/>
  <c r="AR20" i="11"/>
  <c r="AJ20" i="11"/>
  <c r="AD20" i="11"/>
  <c r="AN20" i="11"/>
  <c r="X20" i="11"/>
  <c r="H20" i="11"/>
  <c r="B18" i="13"/>
  <c r="AV18" i="11"/>
  <c r="AR18" i="11"/>
  <c r="X18" i="11"/>
  <c r="AN18" i="11"/>
  <c r="AJ18" i="11"/>
  <c r="R18" i="11"/>
  <c r="BH18" i="11"/>
  <c r="BB18" i="11"/>
  <c r="BF18" i="11"/>
  <c r="AZ18" i="11"/>
  <c r="AP18" i="11"/>
  <c r="AH18" i="11"/>
  <c r="AD18" i="11"/>
  <c r="L18" i="11"/>
  <c r="H18" i="11"/>
  <c r="AL18" i="11"/>
  <c r="AB18" i="11"/>
  <c r="BJ18" i="11"/>
  <c r="V18" i="11"/>
  <c r="BD18" i="11"/>
  <c r="P18" i="11"/>
  <c r="AT18" i="11"/>
  <c r="J18" i="11"/>
  <c r="AX18" i="11"/>
  <c r="Z18" i="11"/>
  <c r="D18" i="11"/>
  <c r="T18" i="11"/>
  <c r="AF18" i="11"/>
  <c r="N18" i="11"/>
  <c r="F18" i="11"/>
  <c r="BH8" i="13"/>
  <c r="AE7" i="13"/>
  <c r="AB8" i="13"/>
  <c r="BI7" i="13"/>
  <c r="BF8" i="13"/>
  <c r="AC7" i="13"/>
  <c r="Z8" i="13"/>
  <c r="AV8" i="13"/>
  <c r="AQ7" i="13"/>
  <c r="T8" i="13"/>
  <c r="O7" i="13"/>
  <c r="C7" i="13"/>
  <c r="AX8" i="13"/>
  <c r="AS7" i="13"/>
  <c r="V8" i="13"/>
  <c r="Q7" i="13"/>
  <c r="AZ8" i="13"/>
  <c r="AU7" i="13"/>
  <c r="X8" i="13"/>
  <c r="S7" i="13"/>
  <c r="BB8" i="13"/>
  <c r="AW7" i="13"/>
  <c r="U7" i="13"/>
  <c r="BD8" i="13"/>
  <c r="AY7" i="13"/>
  <c r="W7" i="13"/>
  <c r="BA7" i="13"/>
  <c r="Y7" i="13"/>
  <c r="BC7" i="13"/>
  <c r="AA7" i="13"/>
  <c r="BE7" i="13"/>
  <c r="AD8" i="13"/>
  <c r="BG7" i="13"/>
  <c r="AF8" i="13"/>
  <c r="AN8" i="13"/>
  <c r="H8" i="13"/>
  <c r="AM7" i="13"/>
  <c r="AH8" i="13"/>
  <c r="L8" i="13"/>
  <c r="G7" i="13"/>
  <c r="AR8" i="13"/>
  <c r="AG7" i="13"/>
  <c r="D8" i="13"/>
  <c r="P8" i="13"/>
  <c r="K7" i="13"/>
  <c r="AL8" i="13"/>
  <c r="BJ8" i="13"/>
  <c r="AK7" i="13"/>
  <c r="F8" i="13"/>
  <c r="AO7" i="13"/>
  <c r="R8" i="13"/>
  <c r="N8" i="13"/>
  <c r="AJ8" i="13"/>
  <c r="M7" i="13"/>
  <c r="AI7" i="13"/>
  <c r="J8" i="13"/>
  <c r="E7" i="13"/>
  <c r="AP8" i="13"/>
  <c r="I7" i="13"/>
  <c r="AT8" i="13"/>
  <c r="AZ10" i="13"/>
  <c r="T10" i="13"/>
  <c r="AX10" i="13"/>
  <c r="R10" i="13"/>
  <c r="X10" i="13"/>
  <c r="BB10" i="13"/>
  <c r="Z10" i="13"/>
  <c r="BD10" i="13"/>
  <c r="AB10" i="13"/>
  <c r="BF10" i="13"/>
  <c r="AD10" i="13"/>
  <c r="BH10" i="13"/>
  <c r="AF10" i="13"/>
  <c r="BJ10" i="13"/>
  <c r="AH10" i="13"/>
  <c r="F10" i="13"/>
  <c r="AJ10" i="13"/>
  <c r="H10" i="13"/>
  <c r="AL10" i="13"/>
  <c r="J10" i="13"/>
  <c r="AN10" i="13"/>
  <c r="L10" i="13"/>
  <c r="AR10" i="13"/>
  <c r="D10" i="13"/>
  <c r="P10" i="13"/>
  <c r="AV10" i="13"/>
  <c r="AP10" i="13"/>
  <c r="N10" i="13"/>
  <c r="AT10" i="13"/>
  <c r="V10" i="13"/>
  <c r="BD9" i="13"/>
  <c r="X9" i="13"/>
  <c r="D9" i="13"/>
  <c r="BB9" i="13"/>
  <c r="V9" i="13"/>
  <c r="AZ9" i="13"/>
  <c r="Z9" i="13"/>
  <c r="AB9" i="13"/>
  <c r="BF9" i="13"/>
  <c r="AD9" i="13"/>
  <c r="BH9" i="13"/>
  <c r="AF9" i="13"/>
  <c r="BJ9" i="13"/>
  <c r="AH9" i="13"/>
  <c r="F9" i="13"/>
  <c r="AJ9" i="13"/>
  <c r="H9" i="13"/>
  <c r="AX9" i="13"/>
  <c r="L9" i="13"/>
  <c r="AR9" i="13"/>
  <c r="P9" i="13"/>
  <c r="AL9" i="13"/>
  <c r="T9" i="13"/>
  <c r="AV9" i="13"/>
  <c r="AP9" i="13"/>
  <c r="J9" i="13"/>
  <c r="AN9" i="13"/>
  <c r="N9" i="13"/>
  <c r="R9" i="13"/>
  <c r="AT9" i="13"/>
  <c r="AN13" i="13"/>
  <c r="H13" i="13"/>
  <c r="AL13" i="13"/>
  <c r="F13" i="13"/>
  <c r="AJ13" i="13"/>
  <c r="D13" i="13"/>
  <c r="J13" i="13"/>
  <c r="L13" i="13"/>
  <c r="AP13" i="13"/>
  <c r="N13" i="13"/>
  <c r="AR13" i="13"/>
  <c r="P13" i="13"/>
  <c r="AT13" i="13"/>
  <c r="R13" i="13"/>
  <c r="AV13" i="13"/>
  <c r="T13" i="13"/>
  <c r="AH13" i="13"/>
  <c r="X13" i="13"/>
  <c r="BF13" i="13"/>
  <c r="AB13" i="13"/>
  <c r="AZ13" i="13"/>
  <c r="BJ13" i="13"/>
  <c r="AF13" i="13"/>
  <c r="BD13" i="13"/>
  <c r="V13" i="13"/>
  <c r="BB13" i="13"/>
  <c r="Z13" i="13"/>
  <c r="AX13" i="13"/>
  <c r="BH13" i="13"/>
  <c r="AD13" i="13"/>
  <c r="B23" i="13"/>
  <c r="AZ23" i="11"/>
  <c r="AT23" i="11"/>
  <c r="AL23" i="11"/>
  <c r="AH23" i="11"/>
  <c r="AB23" i="11"/>
  <c r="V23" i="11"/>
  <c r="BJ23" i="11"/>
  <c r="BD23" i="11"/>
  <c r="AX23" i="11"/>
  <c r="AR23" i="11"/>
  <c r="AN23" i="11"/>
  <c r="BH23" i="11"/>
  <c r="AJ23" i="11"/>
  <c r="J23" i="11"/>
  <c r="BB23" i="11"/>
  <c r="Z23" i="11"/>
  <c r="F23" i="11"/>
  <c r="T23" i="11"/>
  <c r="AV23" i="11"/>
  <c r="N23" i="11"/>
  <c r="BF23" i="11"/>
  <c r="AF23" i="11"/>
  <c r="AD23" i="11"/>
  <c r="X23" i="11"/>
  <c r="H23" i="11"/>
  <c r="R23" i="11"/>
  <c r="L23" i="11"/>
  <c r="AP23" i="11"/>
  <c r="D23" i="11"/>
  <c r="P23" i="11"/>
  <c r="B22" i="13"/>
  <c r="BF22" i="11"/>
  <c r="AZ22" i="11"/>
  <c r="AT22" i="11"/>
  <c r="AP22" i="11"/>
  <c r="AL22" i="11"/>
  <c r="AH22" i="11"/>
  <c r="BJ22" i="11"/>
  <c r="BD22" i="11"/>
  <c r="AX22" i="11"/>
  <c r="V22" i="11"/>
  <c r="D22" i="11"/>
  <c r="P22" i="11"/>
  <c r="J22" i="11"/>
  <c r="BH22" i="11"/>
  <c r="BB22" i="11"/>
  <c r="Z22" i="11"/>
  <c r="F22" i="11"/>
  <c r="AJ22" i="11"/>
  <c r="T22" i="11"/>
  <c r="AV22" i="11"/>
  <c r="AR22" i="11"/>
  <c r="N22" i="11"/>
  <c r="AF22" i="11"/>
  <c r="AN22" i="11"/>
  <c r="AD22" i="11"/>
  <c r="X22" i="11"/>
  <c r="H22" i="11"/>
  <c r="R22" i="11"/>
  <c r="L22" i="11"/>
  <c r="AB22" i="11"/>
  <c r="AI59" i="12"/>
  <c r="AW86" i="19"/>
  <c r="AE3" i="12"/>
  <c r="W86" i="19"/>
  <c r="BD17" i="13" l="1"/>
  <c r="BI16" i="13"/>
  <c r="AX17" i="13"/>
  <c r="BC16" i="13"/>
  <c r="AR17" i="13"/>
  <c r="AW16" i="13"/>
  <c r="BF17" i="13"/>
  <c r="BE16" i="13"/>
  <c r="Z17" i="13"/>
  <c r="E16" i="13"/>
  <c r="C16" i="13"/>
  <c r="AO16" i="13"/>
  <c r="AN17" i="13"/>
  <c r="AE16" i="13"/>
  <c r="T17" i="13"/>
  <c r="AZ17" i="13"/>
  <c r="Y16" i="13"/>
  <c r="N17" i="13"/>
  <c r="AM16" i="13"/>
  <c r="AL17" i="13"/>
  <c r="S16" i="13"/>
  <c r="AY16" i="13"/>
  <c r="AH17" i="13"/>
  <c r="M16" i="13"/>
  <c r="BB17" i="13"/>
  <c r="AK16" i="13"/>
  <c r="AB17" i="13"/>
  <c r="G16" i="13"/>
  <c r="AV17" i="13"/>
  <c r="AG16" i="13"/>
  <c r="V17" i="13"/>
  <c r="BJ17" i="13"/>
  <c r="BA16" i="13"/>
  <c r="AA16" i="13"/>
  <c r="AU16" i="13"/>
  <c r="AT17" i="13"/>
  <c r="U16" i="13"/>
  <c r="AJ17" i="13"/>
  <c r="BG16" i="13"/>
  <c r="AC16" i="13"/>
  <c r="AF17" i="13"/>
  <c r="W16" i="13"/>
  <c r="P17" i="13"/>
  <c r="O16" i="13"/>
  <c r="L17" i="13"/>
  <c r="K16" i="13"/>
  <c r="H17" i="13"/>
  <c r="F17" i="13"/>
  <c r="X17" i="13"/>
  <c r="J17" i="13"/>
  <c r="D17" i="13"/>
  <c r="AP17" i="13"/>
  <c r="I16" i="13"/>
  <c r="BH17" i="13"/>
  <c r="AI16" i="13"/>
  <c r="AS16" i="13"/>
  <c r="R17" i="13"/>
  <c r="AQ16" i="13"/>
  <c r="AD17" i="13"/>
  <c r="Q16" i="13"/>
  <c r="BF19" i="13"/>
  <c r="AZ19" i="13"/>
  <c r="BH19" i="13"/>
  <c r="AH19" i="13"/>
  <c r="BB19" i="13"/>
  <c r="AX19" i="13"/>
  <c r="AB19" i="13"/>
  <c r="AV19" i="13"/>
  <c r="AL19" i="13"/>
  <c r="V19" i="13"/>
  <c r="BJ19" i="13"/>
  <c r="P19" i="13"/>
  <c r="AT19" i="13"/>
  <c r="J19" i="13"/>
  <c r="AJ19" i="13"/>
  <c r="AD19" i="13"/>
  <c r="X19" i="13"/>
  <c r="BD19" i="13"/>
  <c r="AR19" i="13"/>
  <c r="L19" i="13"/>
  <c r="T19" i="13"/>
  <c r="F19" i="13"/>
  <c r="AN19" i="13"/>
  <c r="D19" i="13"/>
  <c r="AP19" i="13"/>
  <c r="H19" i="13"/>
  <c r="R19" i="13"/>
  <c r="AF19" i="13"/>
  <c r="Z19" i="13"/>
  <c r="N19" i="13"/>
  <c r="AJ24" i="13"/>
  <c r="BJ24" i="13"/>
  <c r="BD24" i="13"/>
  <c r="AX24" i="13"/>
  <c r="BF24" i="13"/>
  <c r="F24" i="13"/>
  <c r="AF24" i="13"/>
  <c r="Z24" i="13"/>
  <c r="T24" i="13"/>
  <c r="BH24" i="13"/>
  <c r="AP24" i="13"/>
  <c r="N24" i="13"/>
  <c r="H24" i="13"/>
  <c r="AN24" i="13"/>
  <c r="AH24" i="13"/>
  <c r="AB24" i="13"/>
  <c r="AZ24" i="13"/>
  <c r="AL24" i="13"/>
  <c r="V24" i="13"/>
  <c r="J24" i="13"/>
  <c r="R24" i="13"/>
  <c r="D24" i="13"/>
  <c r="AR24" i="13"/>
  <c r="AT24" i="13"/>
  <c r="AD24" i="13"/>
  <c r="L24" i="13"/>
  <c r="P24" i="13"/>
  <c r="BB24" i="13"/>
  <c r="X24" i="13"/>
  <c r="AV24" i="13"/>
  <c r="AV23" i="13"/>
  <c r="AP23" i="13"/>
  <c r="BJ23" i="13"/>
  <c r="BD23" i="13"/>
  <c r="R23" i="13"/>
  <c r="AR23" i="13"/>
  <c r="L23" i="13"/>
  <c r="F23" i="13"/>
  <c r="AF23" i="13"/>
  <c r="Z23" i="13"/>
  <c r="T23" i="13"/>
  <c r="BH23" i="13"/>
  <c r="N23" i="13"/>
  <c r="AN23" i="13"/>
  <c r="AH23" i="13"/>
  <c r="BF23" i="13"/>
  <c r="AX23" i="13"/>
  <c r="AB23" i="13"/>
  <c r="AZ23" i="13"/>
  <c r="J23" i="13"/>
  <c r="P23" i="13"/>
  <c r="BB23" i="13"/>
  <c r="AJ23" i="13"/>
  <c r="V23" i="13"/>
  <c r="AT23" i="13"/>
  <c r="AD23" i="13"/>
  <c r="D23" i="13"/>
  <c r="H23" i="13"/>
  <c r="AL23" i="13"/>
  <c r="X23" i="13"/>
  <c r="BD25" i="13"/>
  <c r="AX25" i="13"/>
  <c r="AR25" i="13"/>
  <c r="BF25" i="13"/>
  <c r="Z25" i="13"/>
  <c r="T25" i="13"/>
  <c r="BH25" i="13"/>
  <c r="AP25" i="13"/>
  <c r="N25" i="13"/>
  <c r="AN25" i="13"/>
  <c r="AH25" i="13"/>
  <c r="AB25" i="13"/>
  <c r="AZ25" i="13"/>
  <c r="AL25" i="13"/>
  <c r="V25" i="13"/>
  <c r="AV25" i="13"/>
  <c r="J25" i="13"/>
  <c r="R25" i="13"/>
  <c r="D25" i="13"/>
  <c r="BJ25" i="13"/>
  <c r="BB25" i="13"/>
  <c r="AT25" i="13"/>
  <c r="AD25" i="13"/>
  <c r="P25" i="13"/>
  <c r="AJ25" i="13"/>
  <c r="AF25" i="13"/>
  <c r="L25" i="13"/>
  <c r="F25" i="13"/>
  <c r="H25" i="13"/>
  <c r="X25" i="13"/>
  <c r="BH22" i="13"/>
  <c r="BB22" i="13"/>
  <c r="AV22" i="13"/>
  <c r="BJ22" i="13"/>
  <c r="AD22" i="13"/>
  <c r="AT22" i="13"/>
  <c r="X22" i="13"/>
  <c r="BD22" i="13"/>
  <c r="R22" i="13"/>
  <c r="AR22" i="13"/>
  <c r="L22" i="13"/>
  <c r="AP22" i="13"/>
  <c r="AF22" i="13"/>
  <c r="Z22" i="13"/>
  <c r="AN22" i="13"/>
  <c r="AZ22" i="13"/>
  <c r="N22" i="13"/>
  <c r="BF22" i="13"/>
  <c r="J22" i="13"/>
  <c r="P22" i="13"/>
  <c r="AJ22" i="13"/>
  <c r="V22" i="13"/>
  <c r="AH22" i="13"/>
  <c r="F22" i="13"/>
  <c r="D22" i="13"/>
  <c r="AB22" i="13"/>
  <c r="H22" i="13"/>
  <c r="AL22" i="13"/>
  <c r="T22" i="13"/>
  <c r="AX22" i="13"/>
  <c r="AN21" i="13"/>
  <c r="BH21" i="13"/>
  <c r="BB21" i="13"/>
  <c r="BJ21" i="13"/>
  <c r="J21" i="13"/>
  <c r="AJ21" i="13"/>
  <c r="D21" i="13"/>
  <c r="AD21" i="13"/>
  <c r="AT21" i="13"/>
  <c r="X21" i="13"/>
  <c r="BD21" i="13"/>
  <c r="R21" i="13"/>
  <c r="AR21" i="13"/>
  <c r="L21" i="13"/>
  <c r="AP21" i="13"/>
  <c r="AF21" i="13"/>
  <c r="Z21" i="13"/>
  <c r="T21" i="13"/>
  <c r="AL21" i="13"/>
  <c r="P21" i="13"/>
  <c r="AX21" i="13"/>
  <c r="H21" i="13"/>
  <c r="AZ21" i="13"/>
  <c r="N21" i="13"/>
  <c r="BF21" i="13"/>
  <c r="AB21" i="13"/>
  <c r="AV21" i="13"/>
  <c r="V21" i="13"/>
  <c r="AH21" i="13"/>
  <c r="F21" i="13"/>
  <c r="AZ20" i="13"/>
  <c r="AT20" i="13"/>
  <c r="AN20" i="13"/>
  <c r="BH20" i="13"/>
  <c r="BB20" i="13"/>
  <c r="AV20" i="13"/>
  <c r="AL20" i="13"/>
  <c r="V20" i="13"/>
  <c r="BJ20" i="13"/>
  <c r="P20" i="13"/>
  <c r="J20" i="13"/>
  <c r="AJ20" i="13"/>
  <c r="AD20" i="13"/>
  <c r="X20" i="13"/>
  <c r="BD20" i="13"/>
  <c r="R20" i="13"/>
  <c r="AR20" i="13"/>
  <c r="AP20" i="13"/>
  <c r="AF20" i="13"/>
  <c r="F20" i="13"/>
  <c r="D20" i="13"/>
  <c r="AX20" i="13"/>
  <c r="H20" i="13"/>
  <c r="N20" i="13"/>
  <c r="AB20" i="13"/>
  <c r="Z20" i="13"/>
  <c r="L20" i="13"/>
  <c r="BF20" i="13"/>
  <c r="T20" i="13"/>
  <c r="AH20" i="13"/>
  <c r="AR18" i="13"/>
  <c r="AL18" i="13"/>
  <c r="BF18" i="13"/>
  <c r="AZ18" i="13"/>
  <c r="N18" i="13"/>
  <c r="H18" i="13"/>
  <c r="AH18" i="13"/>
  <c r="BB18" i="13"/>
  <c r="AX18" i="13"/>
  <c r="AB18" i="13"/>
  <c r="AV18" i="13"/>
  <c r="V18" i="13"/>
  <c r="BJ18" i="13"/>
  <c r="P18" i="13"/>
  <c r="AT18" i="13"/>
  <c r="J18" i="13"/>
  <c r="AJ18" i="13"/>
  <c r="BH18" i="13"/>
  <c r="AD18" i="13"/>
  <c r="X18" i="13"/>
  <c r="BD18" i="13"/>
  <c r="Z18" i="13"/>
  <c r="L18" i="13"/>
  <c r="T18" i="13"/>
  <c r="F18" i="13"/>
  <c r="AN18" i="13"/>
  <c r="D18" i="13"/>
  <c r="AP18" i="13"/>
  <c r="AF18" i="13"/>
  <c r="R18" i="13"/>
  <c r="AA59" i="17"/>
  <c r="AA3" i="17"/>
  <c r="Y3" i="17"/>
  <c r="Y59" i="17"/>
  <c r="AW3" i="17"/>
  <c r="AW59" i="17"/>
  <c r="BG3" i="17"/>
  <c r="BG59" i="17"/>
  <c r="AM59" i="17"/>
  <c r="AM3" i="17"/>
  <c r="BE3" i="17"/>
  <c r="BE59" i="17"/>
  <c r="Q3" i="17"/>
  <c r="Q59" i="17"/>
  <c r="AI3" i="17"/>
  <c r="AI59" i="17"/>
  <c r="S3" i="17"/>
  <c r="S59" i="17"/>
  <c r="AK3" i="17"/>
  <c r="AK59" i="17"/>
  <c r="BC3" i="17"/>
  <c r="BC59" i="17"/>
  <c r="AY3" i="17"/>
  <c r="AY59" i="17"/>
  <c r="AO3" i="17"/>
  <c r="AO59" i="17"/>
  <c r="C3" i="17"/>
  <c r="C59" i="17"/>
  <c r="E3" i="17"/>
  <c r="E59" i="17"/>
  <c r="AE3" i="17"/>
  <c r="AE59" i="17"/>
  <c r="M59" i="17"/>
  <c r="M3" i="17"/>
  <c r="U3" i="17"/>
  <c r="U59" i="17"/>
  <c r="W3" i="17"/>
  <c r="W59" i="17"/>
  <c r="I3" i="17"/>
  <c r="I59" i="17"/>
  <c r="G3" i="17"/>
  <c r="G59" i="17"/>
  <c r="AQ59" i="17"/>
  <c r="AQ3" i="17"/>
  <c r="BI3" i="17"/>
  <c r="BI59" i="17"/>
  <c r="AS59" i="17"/>
  <c r="AS3" i="17"/>
  <c r="AU3" i="17"/>
  <c r="AU59" i="17"/>
  <c r="BA3" i="17"/>
  <c r="BA59" i="17"/>
  <c r="O3" i="17"/>
  <c r="O59" i="17"/>
  <c r="K59" i="17"/>
  <c r="K3" i="17"/>
  <c r="AC3" i="17"/>
  <c r="AC59" i="17"/>
  <c r="AG59" i="17"/>
  <c r="AG3" i="17"/>
  <c r="AI3" i="12"/>
  <c r="BG3" i="12"/>
  <c r="AS86" i="19"/>
  <c r="AA59" i="12"/>
  <c r="AA3" i="12"/>
  <c r="I3" i="12"/>
  <c r="I59" i="12"/>
  <c r="BA3" i="12"/>
  <c r="BA59" i="12"/>
  <c r="C3" i="12"/>
  <c r="C59" i="12"/>
  <c r="W59" i="12"/>
  <c r="W3" i="12"/>
  <c r="AK59" i="12"/>
  <c r="AK3" i="12"/>
  <c r="Y59" i="12"/>
  <c r="Y3" i="12"/>
  <c r="AQ3" i="12"/>
  <c r="AQ59" i="12"/>
  <c r="AO3" i="12"/>
  <c r="AO59" i="12"/>
  <c r="U59" i="12"/>
  <c r="U3" i="12"/>
  <c r="BE59" i="12"/>
  <c r="BE3" i="12"/>
  <c r="AY59" i="12"/>
  <c r="AY3" i="12"/>
  <c r="AW3" i="12"/>
  <c r="AW59" i="12"/>
  <c r="AM59" i="12"/>
  <c r="AM3" i="12"/>
  <c r="BC3" i="12"/>
  <c r="BC59" i="12"/>
  <c r="S59" i="12"/>
  <c r="S3" i="12"/>
  <c r="G3" i="12"/>
  <c r="G59" i="12"/>
  <c r="K3" i="12"/>
  <c r="K59" i="12"/>
  <c r="AE59" i="12"/>
  <c r="O3" i="12"/>
  <c r="O59" i="12"/>
  <c r="AS3" i="12"/>
  <c r="AS59" i="12"/>
  <c r="Q3" i="12"/>
  <c r="Q59" i="12"/>
  <c r="AG3" i="12"/>
  <c r="AG59" i="12"/>
  <c r="AC59" i="12"/>
  <c r="AC3" i="12"/>
  <c r="E3" i="12"/>
  <c r="E59" i="12"/>
  <c r="AU59" i="12"/>
  <c r="AU3" i="12"/>
  <c r="BI59" i="12"/>
  <c r="BI3" i="12"/>
  <c r="BG59" i="12"/>
  <c r="M59" i="12"/>
  <c r="M3" i="12"/>
  <c r="O86" i="19"/>
  <c r="G86" i="19"/>
  <c r="AG86" i="19"/>
  <c r="AE86" i="19"/>
  <c r="BA86" i="19"/>
  <c r="BC86" i="19"/>
  <c r="AU86" i="19"/>
  <c r="AM86" i="19"/>
  <c r="AI86" i="19"/>
  <c r="U86" i="19"/>
  <c r="E86" i="19"/>
  <c r="K86" i="19"/>
  <c r="AC86" i="19"/>
  <c r="AK86" i="19"/>
  <c r="BI86" i="19"/>
  <c r="BE86" i="19"/>
  <c r="AQ86" i="19"/>
  <c r="AO86" i="19"/>
  <c r="S86" i="19"/>
  <c r="AA86" i="19"/>
  <c r="Y86" i="19"/>
  <c r="AY86" i="19"/>
  <c r="BG86" i="19"/>
  <c r="Q86" i="19"/>
  <c r="I86" i="19"/>
  <c r="M86" i="19"/>
  <c r="BI86" i="18"/>
  <c r="BG86" i="18"/>
  <c r="BE86" i="18"/>
  <c r="BC86" i="18"/>
  <c r="BA86" i="18"/>
  <c r="AY86" i="18"/>
  <c r="AW86" i="18"/>
  <c r="AU86" i="18"/>
  <c r="AS86" i="18"/>
  <c r="AQ86" i="18"/>
  <c r="AO86" i="18"/>
  <c r="AM86" i="18"/>
  <c r="AK86" i="18"/>
  <c r="AI86" i="18"/>
  <c r="AG86" i="18"/>
  <c r="AE86" i="18"/>
  <c r="AC86" i="18"/>
  <c r="AA86" i="18"/>
  <c r="Y86" i="18"/>
  <c r="W86" i="18"/>
  <c r="U86" i="18"/>
  <c r="S86" i="18"/>
  <c r="Q86" i="18"/>
  <c r="O86" i="18"/>
  <c r="M86" i="18"/>
  <c r="K86" i="18"/>
  <c r="I86" i="18"/>
  <c r="G86" i="18"/>
  <c r="E86" i="18"/>
  <c r="AO86" i="11" l="1"/>
  <c r="I86" i="11"/>
  <c r="AM86" i="11"/>
  <c r="BE86" i="11"/>
  <c r="AC86" i="11"/>
  <c r="AE86" i="11"/>
  <c r="AU86" i="11"/>
  <c r="BG86" i="11"/>
  <c r="W86" i="11"/>
  <c r="AG86" i="11"/>
  <c r="AW86" i="11"/>
  <c r="Y86" i="11"/>
  <c r="K86" i="11"/>
  <c r="O86" i="11"/>
  <c r="U86" i="11"/>
  <c r="Q86" i="11"/>
  <c r="AA86" i="11"/>
  <c r="AQ86" i="11"/>
  <c r="S86" i="11"/>
  <c r="BA86" i="11"/>
  <c r="AI86" i="11"/>
  <c r="M86" i="11"/>
  <c r="BC86" i="11"/>
  <c r="E86" i="11"/>
  <c r="AS86" i="11"/>
  <c r="AY86" i="11"/>
  <c r="BI86" i="11"/>
  <c r="AK86" i="11"/>
  <c r="G86" i="11"/>
  <c r="I3" i="16"/>
  <c r="K38" i="16"/>
  <c r="G3" i="16"/>
  <c r="AO38" i="16"/>
  <c r="S86" i="13" l="1"/>
  <c r="BG86" i="13"/>
  <c r="BE86" i="13"/>
  <c r="Q86" i="13"/>
  <c r="BI86" i="13"/>
  <c r="AO86" i="13"/>
  <c r="AQ86" i="13"/>
  <c r="AU86" i="13"/>
  <c r="AA86" i="13"/>
  <c r="BC86" i="13"/>
  <c r="AE86" i="13"/>
  <c r="AW86" i="13"/>
  <c r="E86" i="13"/>
  <c r="BA86" i="13"/>
  <c r="I86" i="13"/>
  <c r="AI86" i="13"/>
  <c r="Y86" i="13"/>
  <c r="U86" i="13"/>
  <c r="K86" i="13"/>
  <c r="G86" i="13"/>
  <c r="AG86" i="13"/>
  <c r="AK86" i="13"/>
  <c r="AC86" i="13"/>
  <c r="W86" i="13"/>
  <c r="AS86" i="13"/>
  <c r="M86" i="13"/>
  <c r="O86" i="13"/>
  <c r="AM86" i="13"/>
  <c r="AY86" i="13"/>
  <c r="BA3" i="16"/>
  <c r="O3" i="16"/>
  <c r="Y3" i="16"/>
  <c r="Q3" i="16"/>
  <c r="E3" i="16"/>
  <c r="AU3" i="1"/>
  <c r="AS3" i="16"/>
  <c r="M3" i="16"/>
  <c r="AO3" i="19"/>
  <c r="AE3" i="19"/>
  <c r="U3" i="16"/>
  <c r="Y3" i="18"/>
  <c r="AW3" i="16"/>
  <c r="U38" i="1"/>
  <c r="AA3" i="16"/>
  <c r="K38" i="1"/>
  <c r="I38" i="1"/>
  <c r="AM38" i="1"/>
  <c r="G38" i="1"/>
  <c r="BA3" i="1"/>
  <c r="E3" i="1"/>
  <c r="AK3" i="1"/>
  <c r="Y3" i="1"/>
  <c r="M38" i="1"/>
  <c r="BI3" i="1"/>
  <c r="BA38" i="1"/>
  <c r="BI38" i="1"/>
  <c r="AQ3" i="16"/>
  <c r="W3" i="19"/>
  <c r="I38" i="16"/>
  <c r="BG3" i="19"/>
  <c r="G3" i="19"/>
  <c r="AM3" i="1"/>
  <c r="BE3" i="19"/>
  <c r="E3" i="19"/>
  <c r="AU3" i="16"/>
  <c r="BA3" i="18"/>
  <c r="Y3" i="19"/>
  <c r="G3" i="1"/>
  <c r="BC3" i="16"/>
  <c r="AW38" i="16"/>
  <c r="AG3" i="19"/>
  <c r="AS3" i="1"/>
  <c r="AO38" i="1"/>
  <c r="W3" i="16"/>
  <c r="AK38" i="1"/>
  <c r="U3" i="18"/>
  <c r="AC3" i="19"/>
  <c r="BA38" i="16"/>
  <c r="BE3" i="16"/>
  <c r="AI3" i="19"/>
  <c r="C86" i="19"/>
  <c r="AA3" i="1"/>
  <c r="AW3" i="19"/>
  <c r="BE38" i="1"/>
  <c r="AM3" i="19"/>
  <c r="AA3" i="19"/>
  <c r="Q3" i="1"/>
  <c r="BA3" i="19"/>
  <c r="AQ3" i="1"/>
  <c r="U3" i="19"/>
  <c r="BC3" i="19"/>
  <c r="K3" i="1"/>
  <c r="C3" i="16"/>
  <c r="AG38" i="16"/>
  <c r="S3" i="18"/>
  <c r="AK3" i="19"/>
  <c r="AO3" i="1"/>
  <c r="AM38" i="16"/>
  <c r="AY3" i="18"/>
  <c r="I3" i="19"/>
  <c r="BI3" i="19"/>
  <c r="BG3" i="16"/>
  <c r="K3" i="18"/>
  <c r="AQ3" i="19"/>
  <c r="K3" i="19"/>
  <c r="AY3" i="19"/>
  <c r="S3" i="19"/>
  <c r="AU3" i="19"/>
  <c r="C3" i="19"/>
  <c r="O3" i="19"/>
  <c r="AS3" i="19"/>
  <c r="M3" i="19"/>
  <c r="Q3" i="19"/>
  <c r="O38" i="16"/>
  <c r="AS38" i="16"/>
  <c r="BE3" i="18"/>
  <c r="M38" i="16"/>
  <c r="AI38" i="1"/>
  <c r="U38" i="16"/>
  <c r="AQ38" i="16"/>
  <c r="BG38" i="16"/>
  <c r="AI3" i="18"/>
  <c r="BG3" i="18"/>
  <c r="BG3" i="1"/>
  <c r="AY3" i="1"/>
  <c r="AG38" i="1"/>
  <c r="AA38" i="16"/>
  <c r="AC3" i="18"/>
  <c r="O3" i="18"/>
  <c r="S3" i="1"/>
  <c r="AE38" i="1"/>
  <c r="O38" i="1"/>
  <c r="AY38" i="16"/>
  <c r="AW3" i="18"/>
  <c r="W3" i="1"/>
  <c r="AW3" i="1"/>
  <c r="AU38" i="1"/>
  <c r="S38" i="16"/>
  <c r="M3" i="18"/>
  <c r="AS3" i="18"/>
  <c r="W3" i="18"/>
  <c r="AO3" i="18"/>
  <c r="I3" i="18"/>
  <c r="AQ3" i="18"/>
  <c r="BC3" i="1"/>
  <c r="AI3" i="16"/>
  <c r="AE3" i="18"/>
  <c r="AG3" i="18"/>
  <c r="AE3" i="16"/>
  <c r="Q3" i="18"/>
  <c r="I3" i="1"/>
  <c r="AK3" i="16"/>
  <c r="AO3" i="16"/>
  <c r="AA3" i="18"/>
  <c r="AM3" i="16"/>
  <c r="W38" i="16"/>
  <c r="AK3" i="18"/>
  <c r="C3" i="18"/>
  <c r="C86" i="18"/>
  <c r="E3" i="18"/>
  <c r="AM3" i="18"/>
  <c r="BC3" i="18"/>
  <c r="BI3" i="18"/>
  <c r="AU3" i="18"/>
  <c r="G3" i="18"/>
  <c r="G38" i="16"/>
  <c r="K3" i="16"/>
  <c r="E38" i="16"/>
  <c r="AI38" i="16"/>
  <c r="C38" i="16"/>
  <c r="AG3" i="16"/>
  <c r="Y38" i="16"/>
  <c r="BE38" i="16"/>
  <c r="BC38" i="16"/>
  <c r="BI3" i="16"/>
  <c r="Q38" i="16"/>
  <c r="AC3" i="16"/>
  <c r="AY3" i="16"/>
  <c r="AU38" i="16"/>
  <c r="BI38" i="16"/>
  <c r="AE38" i="16"/>
  <c r="S3" i="16"/>
  <c r="AK38" i="16"/>
  <c r="AC38" i="16"/>
  <c r="O3" i="1"/>
  <c r="AY38" i="1"/>
  <c r="AA38" i="1"/>
  <c r="AG3" i="1"/>
  <c r="AE3" i="1"/>
  <c r="AS38" i="1"/>
  <c r="BC38" i="1"/>
  <c r="BG38" i="1"/>
  <c r="U3" i="1"/>
  <c r="AC38" i="1"/>
  <c r="S38" i="1"/>
  <c r="AI3" i="1"/>
  <c r="Y38" i="1"/>
  <c r="W38" i="1"/>
  <c r="AC3" i="1"/>
  <c r="E38" i="1"/>
  <c r="Q38" i="1"/>
  <c r="AW38" i="1"/>
  <c r="AQ38" i="1"/>
  <c r="M3" i="1"/>
  <c r="BE3" i="1"/>
  <c r="C3" i="1"/>
  <c r="C38" i="1"/>
  <c r="M3" i="11"/>
  <c r="BC3" i="11"/>
  <c r="K3" i="11"/>
  <c r="BI3" i="11"/>
  <c r="AW3" i="11"/>
  <c r="Y3" i="11"/>
  <c r="AA3" i="11"/>
  <c r="AO3" i="11"/>
  <c r="AI3" i="11"/>
  <c r="AG3" i="11"/>
  <c r="BE3" i="11"/>
  <c r="AC3" i="11"/>
  <c r="G3" i="11"/>
  <c r="Q3" i="11"/>
  <c r="AK3" i="11"/>
  <c r="S3" i="11"/>
  <c r="AQ3" i="11"/>
  <c r="BA3" i="11"/>
  <c r="W3" i="11"/>
  <c r="AY3" i="11"/>
  <c r="C86" i="11"/>
  <c r="C3" i="11"/>
  <c r="BG3" i="11"/>
  <c r="AM3" i="11"/>
  <c r="AS3" i="11"/>
  <c r="I3" i="11"/>
  <c r="AE3" i="11"/>
  <c r="O3" i="11"/>
  <c r="AU3" i="11"/>
  <c r="S3" i="13"/>
  <c r="E3" i="11"/>
  <c r="U3" i="11"/>
  <c r="BI3" i="13" l="1"/>
  <c r="M3" i="13"/>
  <c r="BE3" i="13"/>
  <c r="AI3" i="13"/>
  <c r="Y3" i="13"/>
  <c r="I3" i="13"/>
  <c r="BA3" i="13"/>
  <c r="AU3" i="13"/>
  <c r="AS3" i="13"/>
  <c r="U3" i="13"/>
  <c r="AE3" i="13"/>
  <c r="AA3" i="13"/>
  <c r="AO3" i="13"/>
  <c r="AW3" i="13"/>
  <c r="AK3" i="13"/>
  <c r="C3" i="13"/>
  <c r="C86" i="13"/>
  <c r="AY3" i="13"/>
  <c r="AG3" i="13"/>
  <c r="G3" i="13"/>
  <c r="AQ3" i="13"/>
  <c r="AM3" i="13"/>
  <c r="E3" i="13"/>
  <c r="BG3" i="13"/>
  <c r="W3" i="13"/>
  <c r="BC3" i="13" l="1"/>
  <c r="AC3" i="13"/>
  <c r="K3" i="13"/>
  <c r="Q3" i="13"/>
  <c r="O3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<sst xmlns="http://schemas.openxmlformats.org/spreadsheetml/2006/main" count="685" uniqueCount="103">
  <si>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</si>
  <si>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</si>
  <si>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</si>
  <si>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</si>
  <si>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</si>
  <si>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</si>
  <si>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</si>
  <si>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</si>
  <si>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</si>
  <si>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</si>
  <si>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</si>
  <si>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</si>
  <si>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</si>
  <si>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</si>
  <si>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</si>
  <si>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</si>
  <si>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</si>
  <si>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</si>
  <si>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</si>
  <si>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</si>
  <si>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</si>
  <si>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</si>
  <si>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</si>
  <si>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</si>
  <si>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</si>
  <si>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</si>
  <si>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</si>
  <si>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</si>
  <si>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</si>
  <si>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</si>
  <si>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</si>
  <si>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</si>
  <si>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</si>
  <si>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</si>
  <si>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</si>
  <si>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</si>
  <si>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</si>
  <si>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</si>
  <si>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</si>
  <si>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</si>
  <si>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</si>
  <si>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</si>
  <si>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</si>
  <si>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</si>
  <si>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</si>
  <si>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</si>
  <si>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</si>
  <si>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</si>
  <si>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</si>
  <si>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</si>
  <si>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</si>
  <si>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</si>
  <si>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</si>
  <si>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</si>
  <si>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</si>
  <si>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</si>
  <si>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</si>
  <si>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</si>
  <si>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</si>
  <si>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</si>
  <si>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</si>
  <si>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</si>
  <si>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</si>
  <si>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</si>
  <si>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</si>
  <si>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</si>
  <si>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</si>
  <si>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</si>
  <si>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</si>
  <si>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</si>
  <si>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</si>
  <si>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</si>
  <si>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</si>
  <si>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</si>
  <si>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</si>
  <si>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</si>
  <si>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</si>
  <si>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</si>
  <si>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</si>
  <si>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</si>
  <si>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</si>
  <si>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</si>
  <si>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</si>
  <si>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</si>
  <si>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</si>
  <si>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1ª</t>
  </si>
  <si>
    <t>2ª</t>
  </si>
  <si>
    <t>ORD</t>
  </si>
  <si>
    <t>EXTRA</t>
  </si>
  <si>
    <t>Evaluaciones</t>
  </si>
  <si>
    <t>Desde</t>
  </si>
  <si>
    <t>Hasta</t>
  </si>
  <si>
    <t>3.9</t>
  </si>
  <si>
    <t>3.10</t>
  </si>
  <si>
    <t>4.20</t>
  </si>
  <si>
    <t>3ª</t>
  </si>
  <si>
    <t>5.1</t>
  </si>
  <si>
    <t>1ª Ev</t>
  </si>
  <si>
    <t>2ª Ev</t>
  </si>
  <si>
    <t>Ordinaria</t>
  </si>
  <si>
    <t>Rec 1ª</t>
  </si>
  <si>
    <t>Rec 2ª</t>
  </si>
  <si>
    <t>Rec 3ª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</si>
</sst>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72"/>
      <color theme="7" tint="0.59999389629810485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36"/>
      <color theme="7" tint="0.59999389629810485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48"/>
      <color theme="7" tint="0.59999389629810485"/>
      <name val="Calibri"/>
      <family val="2"/>
      <scheme val="minor"/>
    </font>
    <font>
      <b/>
      <sz val="22"/>
      <color theme="0"/>
      <name val="Arial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9" tint="-0.249977111117893"/>
        <bgColor rgb="FF000000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justify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justify" vertical="center" wrapText="1"/>
    </xf>
    <xf numFmtId="0" fontId="6" fillId="3" borderId="1" xfId="0" applyFont="1" applyFill="1" applyBorder="1" applyAlignment="1">
      <alignment horizontal="center" vertical="center" wrapText="1"/>
    </xf>
    <xf numFmtId="9" fontId="2" fillId="3" borderId="3" xfId="0" applyNumberFormat="1" applyFont="1" applyFill="1" applyBorder="1" applyAlignment="1">
      <alignment horizontal="center" vertical="center"/>
    </xf>
    <xf numFmtId="9" fontId="11" fillId="2" borderId="4" xfId="0" applyNumberFormat="1" applyFont="1" applyFill="1" applyBorder="1" applyAlignment="1">
      <alignment vertical="center"/>
    </xf>
    <xf numFmtId="16" fontId="19" fillId="8" borderId="4" xfId="0" applyNumberFormat="1" applyFont="1" applyFill="1" applyBorder="1" applyAlignment="1">
      <alignment vertical="center"/>
    </xf>
    <xf numFmtId="16" fontId="20" fillId="6" borderId="4" xfId="0" applyNumberFormat="1" applyFont="1" applyFill="1" applyBorder="1" applyAlignment="1">
      <alignment vertical="center"/>
    </xf>
    <xf numFmtId="16" fontId="11" fillId="2" borderId="4" xfId="0" applyNumberFormat="1" applyFont="1" applyFill="1" applyBorder="1" applyAlignment="1">
      <alignment vertical="center"/>
    </xf>
    <xf numFmtId="16" fontId="22" fillId="9" borderId="4" xfId="0" applyNumberFormat="1" applyFont="1" applyFill="1" applyBorder="1" applyAlignment="1">
      <alignment vertical="center"/>
    </xf>
    <xf numFmtId="0" fontId="7" fillId="0" borderId="3" xfId="0" applyNumberFormat="1" applyFont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 wrapText="1"/>
      <protection locked="0"/>
    </xf>
    <xf numFmtId="9" fontId="17" fillId="10" borderId="7" xfId="0" applyNumberFormat="1" applyFont="1" applyFill="1" applyBorder="1" applyAlignment="1">
      <alignment horizontal="center" vertical="center"/>
    </xf>
    <xf numFmtId="9" fontId="17" fillId="10" borderId="11" xfId="0" applyNumberFormat="1" applyFont="1" applyFill="1" applyBorder="1" applyAlignment="1">
      <alignment horizontal="center" vertical="center" wrapText="1"/>
    </xf>
    <xf numFmtId="9" fontId="17" fillId="10" borderId="6" xfId="0" applyNumberFormat="1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>
      <alignment horizontal="center" vertical="center" wrapText="1"/>
    </xf>
    <xf numFmtId="0" fontId="0" fillId="10" borderId="0" xfId="0" applyFill="1"/>
    <xf numFmtId="0" fontId="24" fillId="11" borderId="1" xfId="0" applyFont="1" applyFill="1" applyBorder="1" applyAlignment="1">
      <alignment horizontal="center" vertical="center" wrapText="1"/>
    </xf>
    <xf numFmtId="0" fontId="24" fillId="11" borderId="6" xfId="0" applyFont="1" applyFill="1" applyBorder="1" applyAlignment="1">
      <alignment horizontal="center" vertical="center" wrapText="1"/>
    </xf>
    <xf numFmtId="0" fontId="25" fillId="2" borderId="0" xfId="0" applyFont="1" applyFill="1"/>
    <xf numFmtId="0" fontId="24" fillId="12" borderId="1" xfId="0" applyFont="1" applyFill="1" applyBorder="1" applyAlignment="1">
      <alignment horizontal="center" vertical="center" wrapText="1"/>
    </xf>
    <xf numFmtId="0" fontId="24" fillId="12" borderId="8" xfId="0" applyFont="1" applyFill="1" applyBorder="1" applyAlignment="1">
      <alignment horizontal="center" vertical="center" wrapText="1"/>
    </xf>
    <xf numFmtId="0" fontId="24" fillId="12" borderId="9" xfId="0" applyFont="1" applyFill="1" applyBorder="1" applyAlignment="1">
      <alignment horizontal="center" vertical="center" wrapText="1"/>
    </xf>
    <xf numFmtId="9" fontId="26" fillId="8" borderId="7" xfId="0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right"/>
    </xf>
    <xf numFmtId="0" fontId="28" fillId="2" borderId="4" xfId="0" applyFont="1" applyFill="1" applyBorder="1" applyAlignment="1">
      <alignment horizontal="center" vertical="center"/>
    </xf>
    <xf numFmtId="0" fontId="28" fillId="8" borderId="4" xfId="0" applyFont="1" applyFill="1" applyBorder="1" applyAlignment="1">
      <alignment horizontal="center" vertical="center"/>
    </xf>
    <xf numFmtId="0" fontId="0" fillId="0" borderId="0" xfId="0" applyFill="1" applyBorder="1"/>
    <xf numFmtId="2" fontId="10" fillId="5" borderId="13" xfId="0" applyNumberFormat="1" applyFont="1" applyFill="1" applyBorder="1" applyAlignment="1" applyProtection="1">
      <alignment vertical="center"/>
      <protection locked="0"/>
    </xf>
    <xf numFmtId="9" fontId="0" fillId="5" borderId="13" xfId="1" applyFont="1" applyFill="1" applyBorder="1" applyAlignment="1">
      <alignment vertical="center"/>
    </xf>
    <xf numFmtId="2" fontId="10" fillId="5" borderId="13" xfId="0" applyNumberFormat="1" applyFont="1" applyFill="1" applyBorder="1" applyAlignment="1" applyProtection="1">
      <alignment vertical="center"/>
    </xf>
    <xf numFmtId="2" fontId="10" fillId="5" borderId="14" xfId="0" applyNumberFormat="1" applyFont="1" applyFill="1" applyBorder="1" applyAlignment="1" applyProtection="1">
      <alignment vertical="center"/>
    </xf>
    <xf numFmtId="9" fontId="0" fillId="5" borderId="14" xfId="1" applyFont="1" applyFill="1" applyBorder="1" applyAlignment="1">
      <alignment vertical="center"/>
    </xf>
    <xf numFmtId="0" fontId="28" fillId="6" borderId="4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/>
    </xf>
    <xf numFmtId="0" fontId="28" fillId="7" borderId="4" xfId="0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 applyProtection="1">
      <alignment horizontal="center" vertical="center"/>
      <protection locked="0"/>
    </xf>
    <xf numFmtId="9" fontId="17" fillId="10" borderId="10" xfId="0" applyNumberFormat="1" applyFont="1" applyFill="1" applyBorder="1" applyAlignment="1" applyProtection="1">
      <alignment horizontal="center" vertical="center"/>
      <protection locked="0"/>
    </xf>
    <xf numFmtId="9" fontId="17" fillId="10" borderId="11" xfId="0" applyNumberFormat="1" applyFont="1" applyFill="1" applyBorder="1" applyAlignment="1" applyProtection="1">
      <alignment horizontal="center" vertical="center" wrapText="1"/>
      <protection locked="0"/>
    </xf>
    <xf numFmtId="9" fontId="17" fillId="10" borderId="6" xfId="0" applyNumberFormat="1" applyFont="1" applyFill="1" applyBorder="1" applyAlignment="1" applyProtection="1">
      <alignment horizontal="center" vertical="center"/>
      <protection locked="0"/>
    </xf>
    <xf numFmtId="9" fontId="17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23" fillId="2" borderId="0" xfId="0" applyFont="1" applyFill="1" applyAlignment="1">
      <alignment horizontal="center" vertical="center"/>
    </xf>
    <xf numFmtId="2" fontId="9" fillId="0" borderId="13" xfId="0" applyNumberFormat="1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textRotation="90" wrapText="1"/>
    </xf>
    <xf numFmtId="2" fontId="10" fillId="5" borderId="13" xfId="0" applyNumberFormat="1" applyFont="1" applyFill="1" applyBorder="1" applyAlignment="1">
      <alignment horizontal="center" vertical="center"/>
    </xf>
    <xf numFmtId="2" fontId="9" fillId="5" borderId="13" xfId="0" applyNumberFormat="1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16" fontId="13" fillId="2" borderId="12" xfId="0" applyNumberFormat="1" applyFont="1" applyFill="1" applyBorder="1" applyAlignment="1">
      <alignment horizontal="center" vertical="center"/>
    </xf>
    <xf numFmtId="16" fontId="13" fillId="2" borderId="0" xfId="0" applyNumberFormat="1" applyFont="1" applyFill="1" applyBorder="1" applyAlignment="1">
      <alignment horizontal="center" vertical="center"/>
    </xf>
    <xf numFmtId="16" fontId="21" fillId="2" borderId="12" xfId="0" applyNumberFormat="1" applyFont="1" applyFill="1" applyBorder="1" applyAlignment="1">
      <alignment horizontal="center" vertical="center" textRotation="90"/>
    </xf>
    <xf numFmtId="16" fontId="21" fillId="2" borderId="0" xfId="0" applyNumberFormat="1" applyFont="1" applyFill="1" applyBorder="1" applyAlignment="1">
      <alignment horizontal="center" vertical="center" textRotation="90"/>
    </xf>
    <xf numFmtId="0" fontId="14" fillId="8" borderId="0" xfId="0" applyFont="1" applyFill="1" applyAlignment="1">
      <alignment horizontal="center" vertical="center"/>
    </xf>
    <xf numFmtId="0" fontId="16" fillId="8" borderId="13" xfId="0" applyFont="1" applyFill="1" applyBorder="1" applyAlignment="1">
      <alignment horizontal="center" textRotation="90" wrapText="1"/>
    </xf>
    <xf numFmtId="0" fontId="12" fillId="8" borderId="13" xfId="0" applyFont="1" applyFill="1" applyBorder="1" applyAlignment="1">
      <alignment horizontal="center" vertical="center"/>
    </xf>
    <xf numFmtId="16" fontId="15" fillId="8" borderId="12" xfId="0" applyNumberFormat="1" applyFont="1" applyFill="1" applyBorder="1" applyAlignment="1">
      <alignment horizontal="center" vertical="center"/>
    </xf>
    <xf numFmtId="16" fontId="15" fillId="8" borderId="0" xfId="0" applyNumberFormat="1" applyFont="1" applyFill="1" applyBorder="1" applyAlignment="1">
      <alignment horizontal="center" vertical="center"/>
    </xf>
    <xf numFmtId="16" fontId="18" fillId="8" borderId="12" xfId="0" applyNumberFormat="1" applyFont="1" applyFill="1" applyBorder="1" applyAlignment="1">
      <alignment horizontal="center" vertical="center" textRotation="90"/>
    </xf>
    <xf numFmtId="16" fontId="18" fillId="8" borderId="0" xfId="0" applyNumberFormat="1" applyFont="1" applyFill="1" applyBorder="1" applyAlignment="1">
      <alignment horizontal="center" vertical="center" textRotation="90"/>
    </xf>
    <xf numFmtId="0" fontId="14" fillId="6" borderId="0" xfId="0" applyFont="1" applyFill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textRotation="90" wrapText="1"/>
    </xf>
    <xf numFmtId="16" fontId="15" fillId="6" borderId="12" xfId="0" applyNumberFormat="1" applyFont="1" applyFill="1" applyBorder="1" applyAlignment="1">
      <alignment horizontal="center" vertical="center"/>
    </xf>
    <xf numFmtId="16" fontId="15" fillId="6" borderId="0" xfId="0" applyNumberFormat="1" applyFont="1" applyFill="1" applyBorder="1" applyAlignment="1">
      <alignment horizontal="center" vertical="center"/>
    </xf>
    <xf numFmtId="16" fontId="18" fillId="6" borderId="12" xfId="0" applyNumberFormat="1" applyFont="1" applyFill="1" applyBorder="1" applyAlignment="1">
      <alignment horizontal="center" vertical="center" textRotation="90"/>
    </xf>
    <xf numFmtId="16" fontId="18" fillId="6" borderId="0" xfId="0" applyNumberFormat="1" applyFont="1" applyFill="1" applyBorder="1" applyAlignment="1">
      <alignment horizontal="center" vertical="center" textRotation="90"/>
    </xf>
    <xf numFmtId="0" fontId="14" fillId="9" borderId="0" xfId="0" applyFont="1" applyFill="1" applyAlignment="1">
      <alignment horizontal="center" vertical="center"/>
    </xf>
    <xf numFmtId="0" fontId="16" fillId="9" borderId="13" xfId="0" applyFont="1" applyFill="1" applyBorder="1" applyAlignment="1">
      <alignment horizontal="center" textRotation="90" wrapText="1"/>
    </xf>
    <xf numFmtId="0" fontId="12" fillId="9" borderId="13" xfId="0" applyFont="1" applyFill="1" applyBorder="1" applyAlignment="1">
      <alignment horizontal="center" vertical="center"/>
    </xf>
    <xf numFmtId="16" fontId="14" fillId="9" borderId="12" xfId="0" applyNumberFormat="1" applyFont="1" applyFill="1" applyBorder="1" applyAlignment="1">
      <alignment horizontal="center" vertical="center" textRotation="90"/>
    </xf>
    <xf numFmtId="16" fontId="14" fillId="9" borderId="0" xfId="0" applyNumberFormat="1" applyFont="1" applyFill="1" applyBorder="1" applyAlignment="1">
      <alignment horizontal="center" vertical="center" textRotation="90"/>
    </xf>
    <xf numFmtId="0" fontId="14" fillId="7" borderId="0" xfId="0" applyFont="1" applyFill="1" applyAlignment="1">
      <alignment horizontal="center" vertical="center"/>
    </xf>
    <xf numFmtId="16" fontId="18" fillId="2" borderId="12" xfId="0" applyNumberFormat="1" applyFont="1" applyFill="1" applyBorder="1" applyAlignment="1">
      <alignment horizontal="center" vertical="center" textRotation="90"/>
    </xf>
    <xf numFmtId="16" fontId="18" fillId="2" borderId="0" xfId="0" applyNumberFormat="1" applyFont="1" applyFill="1" applyBorder="1" applyAlignment="1">
      <alignment horizontal="center" vertical="center" textRotation="90"/>
    </xf>
  </cellXfs>
  <cellStyles count="2">
    <cellStyle name="Normal" xfId="0" builtinId="0"/>
    <cellStyle name="Percent" xfId="1" builtinId="5"/>
  </cellStyles>
  <dxfs count="42607"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A1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amen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amen11"/>
      <sheetName val="Examen12"/>
      <sheetName val="Examen13"/>
      <sheetName val="Examen21"/>
      <sheetName val="Examen22"/>
      <sheetName val="Examen23"/>
      <sheetName val="Examen31"/>
      <sheetName val="Examen32"/>
      <sheetName val="Examen33"/>
      <sheetName val="Alumnos"/>
      <sheetName val="template"/>
      <sheetName val="Examenes"/>
    </sheetNames>
    <definedNames>
      <definedName name="GRUPO" refersTo="='Alumnos'!$B$2"/>
      <definedName name="VERSION" refersTo="='Alumnos'!$A$36"/>
    </definedNames>
    <sheetDataSet>
      <sheetData sheetId="0">
        <row r="2">
          <cell r="C2" t="str">
            <v>Alma Casa, Mario</v>
          </cell>
          <cell r="E2" t="str">
            <v>Amado Luz, Martín</v>
          </cell>
          <cell r="G2" t="str">
            <v>Bonete Cune, Carla</v>
          </cell>
          <cell r="I2" t="str">
            <v>Casado Marín, María</v>
          </cell>
          <cell r="K2" t="str">
            <v>Concepción García, Elena</v>
          </cell>
          <cell r="M2" t="str">
            <v>Díaz Lucas, Ricardo</v>
          </cell>
          <cell r="O2" t="str">
            <v>Díaz Ríos, Lucía</v>
          </cell>
          <cell r="Q2" t="str">
            <v>García López, Juan Ángel</v>
          </cell>
          <cell r="S2" t="str">
            <v>García Pérez, Luis</v>
          </cell>
          <cell r="U2" t="str">
            <v>Garijo Piqueras, María</v>
          </cell>
          <cell r="W2" t="str">
            <v>Gómez Luna, José</v>
          </cell>
          <cell r="Y2" t="str">
            <v>González García, Juan</v>
          </cell>
          <cell r="AA2" t="str">
            <v>González Pérez, María</v>
          </cell>
          <cell r="AC2" t="str">
            <v>Laín Hernández, Luisa</v>
          </cell>
          <cell r="AE2" t="str">
            <v>Lirios Lara, Juan</v>
          </cell>
          <cell r="AG2" t="str">
            <v>López Picazo, Marta</v>
          </cell>
          <cell r="AI2" t="str">
            <v>Molina Pérez, Marina</v>
          </cell>
          <cell r="AK2" t="str">
            <v>Molina Sánchez, Inmaculada</v>
          </cell>
          <cell r="AM2" t="str">
            <v>Montero Pacheco, Pablo</v>
          </cell>
          <cell r="AO2" t="str">
            <v>Mora García, Javier</v>
          </cell>
          <cell r="AQ2" t="str">
            <v>Morcillo Pared, Luna</v>
          </cell>
          <cell r="AS2" t="str">
            <v>Moreno Hernández, Francisco</v>
          </cell>
          <cell r="AU2" t="str">
            <v>Muñoz Garijo, Pablo</v>
          </cell>
          <cell r="AW2" t="str">
            <v>Pérez Garrido, Francisco</v>
          </cell>
          <cell r="AY2" t="str">
            <v>Serna Serna, Susana</v>
          </cell>
          <cell r="BA2" t="str">
            <v>Soriano Tornero, Manuel</v>
          </cell>
          <cell r="BC2" t="str">
            <v>Zarza Parrilla, Manuel</v>
          </cell>
          <cell r="BE2" t="str">
            <v/>
          </cell>
          <cell r="BG2" t="str">
            <v/>
          </cell>
          <cell r="BI2" t="str">
            <v/>
          </cell>
        </row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9">
          <cell r="B9"/>
          <cell r="C9"/>
          <cell r="E9"/>
          <cell r="G9"/>
          <cell r="I9"/>
          <cell r="K9"/>
          <cell r="M9"/>
          <cell r="O9"/>
          <cell r="Q9"/>
          <cell r="S9"/>
          <cell r="U9"/>
          <cell r="W9"/>
          <cell r="Y9"/>
          <cell r="AA9"/>
          <cell r="AC9"/>
          <cell r="AE9"/>
          <cell r="AG9"/>
          <cell r="AI9"/>
          <cell r="AK9"/>
          <cell r="AM9"/>
          <cell r="AO9"/>
          <cell r="AQ9"/>
          <cell r="AS9"/>
          <cell r="AU9"/>
          <cell r="AW9"/>
          <cell r="AY9"/>
          <cell r="BA9"/>
          <cell r="BC9"/>
          <cell r="BE9"/>
          <cell r="BG9"/>
          <cell r="BI9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</sheetData>
      <sheetData sheetId="1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9">
          <cell r="B9"/>
          <cell r="C9"/>
          <cell r="E9"/>
          <cell r="G9"/>
          <cell r="I9"/>
          <cell r="K9"/>
          <cell r="M9"/>
          <cell r="O9"/>
          <cell r="Q9"/>
          <cell r="S9"/>
          <cell r="U9"/>
          <cell r="W9"/>
          <cell r="Y9"/>
          <cell r="AA9"/>
          <cell r="AC9"/>
          <cell r="AE9"/>
          <cell r="AG9"/>
          <cell r="AI9"/>
          <cell r="AK9"/>
          <cell r="AM9"/>
          <cell r="AO9"/>
          <cell r="AQ9"/>
          <cell r="AS9"/>
          <cell r="AU9"/>
          <cell r="AW9"/>
          <cell r="AY9"/>
          <cell r="BA9"/>
          <cell r="BC9"/>
          <cell r="BE9"/>
          <cell r="BG9"/>
          <cell r="BI9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</sheetData>
      <sheetData sheetId="2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9">
          <cell r="B9"/>
          <cell r="C9"/>
          <cell r="E9"/>
          <cell r="G9"/>
          <cell r="I9"/>
          <cell r="K9"/>
          <cell r="M9"/>
          <cell r="O9"/>
          <cell r="Q9"/>
          <cell r="S9"/>
          <cell r="U9"/>
          <cell r="W9"/>
          <cell r="Y9"/>
          <cell r="AA9"/>
          <cell r="AC9"/>
          <cell r="AE9"/>
          <cell r="AG9"/>
          <cell r="AI9"/>
          <cell r="AK9"/>
          <cell r="AM9"/>
          <cell r="AO9"/>
          <cell r="AQ9"/>
          <cell r="AS9"/>
          <cell r="AU9"/>
          <cell r="AW9"/>
          <cell r="AY9"/>
          <cell r="BA9"/>
          <cell r="BC9"/>
          <cell r="BE9"/>
          <cell r="BG9"/>
          <cell r="BI9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</sheetData>
      <sheetData sheetId="3"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  <row r="35">
          <cell r="B35"/>
          <cell r="C35"/>
          <cell r="E35"/>
          <cell r="G35"/>
          <cell r="I35"/>
          <cell r="K35"/>
          <cell r="M35"/>
          <cell r="O35"/>
          <cell r="Q35"/>
          <cell r="S35"/>
          <cell r="U35"/>
          <cell r="W35"/>
          <cell r="Y35"/>
          <cell r="AA35"/>
          <cell r="AC35"/>
          <cell r="AE35"/>
          <cell r="AG35"/>
          <cell r="AI35"/>
          <cell r="AK35"/>
          <cell r="AM35"/>
          <cell r="AO35"/>
          <cell r="AQ35"/>
          <cell r="AS35"/>
          <cell r="AU35"/>
          <cell r="AW35"/>
          <cell r="AY35"/>
          <cell r="BA35"/>
          <cell r="BC35"/>
          <cell r="BE35"/>
          <cell r="BG35"/>
          <cell r="BI35"/>
        </row>
        <row r="36">
          <cell r="B36"/>
          <cell r="C36"/>
          <cell r="E36"/>
          <cell r="G36"/>
          <cell r="I36"/>
          <cell r="K36"/>
          <cell r="M36"/>
          <cell r="O36"/>
          <cell r="Q36"/>
          <cell r="S36"/>
          <cell r="U36"/>
          <cell r="W36"/>
          <cell r="Y36"/>
          <cell r="AA36"/>
          <cell r="AC36"/>
          <cell r="AE36"/>
          <cell r="AG36"/>
          <cell r="AI36"/>
          <cell r="AK36"/>
          <cell r="AM36"/>
          <cell r="AO36"/>
          <cell r="AQ36"/>
          <cell r="AS36"/>
          <cell r="AU36"/>
          <cell r="AW36"/>
          <cell r="AY36"/>
          <cell r="BA36"/>
          <cell r="BC36"/>
          <cell r="BE36"/>
          <cell r="BG36"/>
          <cell r="BI36"/>
        </row>
        <row r="37">
          <cell r="B37"/>
          <cell r="C37"/>
          <cell r="E37"/>
          <cell r="G37"/>
          <cell r="I37"/>
          <cell r="K37"/>
          <cell r="M37"/>
          <cell r="O37"/>
          <cell r="Q37"/>
          <cell r="S37"/>
          <cell r="U37"/>
          <cell r="W37"/>
          <cell r="Y37"/>
          <cell r="AA37"/>
          <cell r="AC37"/>
          <cell r="AE37"/>
          <cell r="AG37"/>
          <cell r="AI37"/>
          <cell r="AK37"/>
          <cell r="AM37"/>
          <cell r="AO37"/>
          <cell r="AQ37"/>
          <cell r="AS37"/>
          <cell r="AU37"/>
          <cell r="AW37"/>
          <cell r="AY37"/>
          <cell r="BA37"/>
          <cell r="BC37"/>
          <cell r="BE37"/>
          <cell r="BG37"/>
          <cell r="BI37"/>
        </row>
        <row r="38">
          <cell r="B38"/>
          <cell r="C38"/>
          <cell r="E38"/>
          <cell r="G38"/>
          <cell r="I38"/>
          <cell r="K38"/>
          <cell r="M38"/>
          <cell r="O38"/>
          <cell r="Q38"/>
          <cell r="S38"/>
          <cell r="U38"/>
          <cell r="W38"/>
          <cell r="Y38"/>
          <cell r="AA38"/>
          <cell r="AC38"/>
          <cell r="AE38"/>
          <cell r="AG38"/>
          <cell r="AI38"/>
          <cell r="AK38"/>
          <cell r="AM38"/>
          <cell r="AO38"/>
          <cell r="AQ38"/>
          <cell r="AS38"/>
          <cell r="AU38"/>
          <cell r="AW38"/>
          <cell r="AY38"/>
          <cell r="BA38"/>
          <cell r="BC38"/>
          <cell r="BE38"/>
          <cell r="BG38"/>
          <cell r="BI38"/>
        </row>
        <row r="39">
          <cell r="B39"/>
          <cell r="C39"/>
          <cell r="E39"/>
          <cell r="G39"/>
          <cell r="I39"/>
          <cell r="K39"/>
          <cell r="M39"/>
          <cell r="O39"/>
          <cell r="Q39"/>
          <cell r="S39"/>
          <cell r="U39"/>
          <cell r="W39"/>
          <cell r="Y39"/>
          <cell r="AA39"/>
          <cell r="AC39"/>
          <cell r="AE39"/>
          <cell r="AG39"/>
          <cell r="AI39"/>
          <cell r="AK39"/>
          <cell r="AM39"/>
          <cell r="AO39"/>
          <cell r="AQ39"/>
          <cell r="AS39"/>
          <cell r="AU39"/>
          <cell r="AW39"/>
          <cell r="AY39"/>
          <cell r="BA39"/>
          <cell r="BC39"/>
          <cell r="BE39"/>
          <cell r="BG39"/>
          <cell r="BI39"/>
        </row>
        <row r="40">
          <cell r="B40"/>
          <cell r="C40"/>
          <cell r="E40"/>
          <cell r="G40"/>
          <cell r="I40"/>
          <cell r="K40"/>
          <cell r="M40"/>
          <cell r="O40"/>
          <cell r="Q40"/>
          <cell r="S40"/>
          <cell r="U40"/>
          <cell r="W40"/>
          <cell r="Y40"/>
          <cell r="AA40"/>
          <cell r="AC40"/>
          <cell r="AE40"/>
          <cell r="AG40"/>
          <cell r="AI40"/>
          <cell r="AK40"/>
          <cell r="AM40"/>
          <cell r="AO40"/>
          <cell r="AQ40"/>
          <cell r="AS40"/>
          <cell r="AU40"/>
          <cell r="AW40"/>
          <cell r="AY40"/>
          <cell r="BA40"/>
          <cell r="BC40"/>
          <cell r="BE40"/>
          <cell r="BG40"/>
          <cell r="BI40"/>
        </row>
        <row r="41">
          <cell r="B41"/>
          <cell r="C41"/>
          <cell r="E41"/>
          <cell r="G41"/>
          <cell r="I41"/>
          <cell r="K41"/>
          <cell r="M41"/>
          <cell r="O41"/>
          <cell r="Q41"/>
          <cell r="S41"/>
          <cell r="U41"/>
          <cell r="W41"/>
          <cell r="Y41"/>
          <cell r="AA41"/>
          <cell r="AC41"/>
          <cell r="AE41"/>
          <cell r="AG41"/>
          <cell r="AI41"/>
          <cell r="AK41"/>
          <cell r="AM41"/>
          <cell r="AO41"/>
          <cell r="AQ41"/>
          <cell r="AS41"/>
          <cell r="AU41"/>
          <cell r="AW41"/>
          <cell r="AY41"/>
          <cell r="BA41"/>
          <cell r="BC41"/>
          <cell r="BE41"/>
          <cell r="BG41"/>
          <cell r="BI41"/>
        </row>
        <row r="42">
          <cell r="B42"/>
          <cell r="C42"/>
          <cell r="E42"/>
          <cell r="G42"/>
          <cell r="I42"/>
          <cell r="K42"/>
          <cell r="M42"/>
          <cell r="O42"/>
          <cell r="Q42"/>
          <cell r="S42"/>
          <cell r="U42"/>
          <cell r="W42"/>
          <cell r="Y42"/>
          <cell r="AA42"/>
          <cell r="AC42"/>
          <cell r="AE42"/>
          <cell r="AG42"/>
          <cell r="AI42"/>
          <cell r="AK42"/>
          <cell r="AM42"/>
          <cell r="AO42"/>
          <cell r="AQ42"/>
          <cell r="AS42"/>
          <cell r="AU42"/>
          <cell r="AW42"/>
          <cell r="AY42"/>
          <cell r="BA42"/>
          <cell r="BC42"/>
          <cell r="BE42"/>
          <cell r="BG42"/>
          <cell r="BI42"/>
        </row>
        <row r="43">
          <cell r="B43"/>
          <cell r="C43"/>
          <cell r="E43"/>
          <cell r="G43"/>
          <cell r="I43"/>
          <cell r="K43"/>
          <cell r="M43"/>
          <cell r="O43"/>
          <cell r="Q43"/>
          <cell r="S43"/>
          <cell r="U43"/>
          <cell r="W43"/>
          <cell r="Y43"/>
          <cell r="AA43"/>
          <cell r="AC43"/>
          <cell r="AE43"/>
          <cell r="AG43"/>
          <cell r="AI43"/>
          <cell r="AK43"/>
          <cell r="AM43"/>
          <cell r="AO43"/>
          <cell r="AQ43"/>
          <cell r="AS43"/>
          <cell r="AU43"/>
          <cell r="AW43"/>
          <cell r="AY43"/>
          <cell r="BA43"/>
          <cell r="BC43"/>
          <cell r="BE43"/>
          <cell r="BG43"/>
          <cell r="BI43"/>
        </row>
        <row r="44">
          <cell r="B44"/>
          <cell r="C44"/>
          <cell r="E44"/>
          <cell r="G44"/>
          <cell r="I44"/>
          <cell r="K44"/>
          <cell r="M44"/>
          <cell r="O44"/>
          <cell r="Q44"/>
          <cell r="S44"/>
          <cell r="U44"/>
          <cell r="W44"/>
          <cell r="Y44"/>
          <cell r="AA44"/>
          <cell r="AC44"/>
          <cell r="AE44"/>
          <cell r="AG44"/>
          <cell r="AI44"/>
          <cell r="AK44"/>
          <cell r="AM44"/>
          <cell r="AO44"/>
          <cell r="AQ44"/>
          <cell r="AS44"/>
          <cell r="AU44"/>
          <cell r="AW44"/>
          <cell r="AY44"/>
          <cell r="BA44"/>
          <cell r="BC44"/>
          <cell r="BE44"/>
          <cell r="BG44"/>
          <cell r="BI44"/>
        </row>
        <row r="45">
          <cell r="B45"/>
          <cell r="C45"/>
          <cell r="E45"/>
          <cell r="G45"/>
          <cell r="I45"/>
          <cell r="K45"/>
          <cell r="M45"/>
          <cell r="O45"/>
          <cell r="Q45"/>
          <cell r="S45"/>
          <cell r="U45"/>
          <cell r="W45"/>
          <cell r="Y45"/>
          <cell r="AA45"/>
          <cell r="AC45"/>
          <cell r="AE45"/>
          <cell r="AG45"/>
          <cell r="AI45"/>
          <cell r="AK45"/>
          <cell r="AM45"/>
          <cell r="AO45"/>
          <cell r="AQ45"/>
          <cell r="AS45"/>
          <cell r="AU45"/>
          <cell r="AW45"/>
          <cell r="AY45"/>
          <cell r="BA45"/>
          <cell r="BC45"/>
          <cell r="BE45"/>
          <cell r="BG45"/>
          <cell r="BI45"/>
        </row>
        <row r="46">
          <cell r="B46"/>
          <cell r="C46"/>
          <cell r="E46"/>
          <cell r="G46"/>
          <cell r="I46"/>
          <cell r="K46"/>
          <cell r="M46"/>
          <cell r="O46"/>
          <cell r="Q46"/>
          <cell r="S46"/>
          <cell r="U46"/>
          <cell r="W46"/>
          <cell r="Y46"/>
          <cell r="AA46"/>
          <cell r="AC46"/>
          <cell r="AE46"/>
          <cell r="AG46"/>
          <cell r="AI46"/>
          <cell r="AK46"/>
          <cell r="AM46"/>
          <cell r="AO46"/>
          <cell r="AQ46"/>
          <cell r="AS46"/>
          <cell r="AU46"/>
          <cell r="AW46"/>
          <cell r="AY46"/>
          <cell r="BA46"/>
          <cell r="BC46"/>
          <cell r="BE46"/>
          <cell r="BG46"/>
          <cell r="BI46"/>
        </row>
      </sheetData>
      <sheetData sheetId="4"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  <row r="35">
          <cell r="B35"/>
          <cell r="C35"/>
          <cell r="E35"/>
          <cell r="G35"/>
          <cell r="I35"/>
          <cell r="K35"/>
          <cell r="M35"/>
          <cell r="O35"/>
          <cell r="Q35"/>
          <cell r="S35"/>
          <cell r="U35"/>
          <cell r="W35"/>
          <cell r="Y35"/>
          <cell r="AA35"/>
          <cell r="AC35"/>
          <cell r="AE35"/>
          <cell r="AG35"/>
          <cell r="AI35"/>
          <cell r="AK35"/>
          <cell r="AM35"/>
          <cell r="AO35"/>
          <cell r="AQ35"/>
          <cell r="AS35"/>
          <cell r="AU35"/>
          <cell r="AW35"/>
          <cell r="AY35"/>
          <cell r="BA35"/>
          <cell r="BC35"/>
          <cell r="BE35"/>
          <cell r="BG35"/>
          <cell r="BI35"/>
        </row>
        <row r="36">
          <cell r="B36"/>
          <cell r="C36"/>
          <cell r="E36"/>
          <cell r="G36"/>
          <cell r="I36"/>
          <cell r="K36"/>
          <cell r="M36"/>
          <cell r="O36"/>
          <cell r="Q36"/>
          <cell r="S36"/>
          <cell r="U36"/>
          <cell r="W36"/>
          <cell r="Y36"/>
          <cell r="AA36"/>
          <cell r="AC36"/>
          <cell r="AE36"/>
          <cell r="AG36"/>
          <cell r="AI36"/>
          <cell r="AK36"/>
          <cell r="AM36"/>
          <cell r="AO36"/>
          <cell r="AQ36"/>
          <cell r="AS36"/>
          <cell r="AU36"/>
          <cell r="AW36"/>
          <cell r="AY36"/>
          <cell r="BA36"/>
          <cell r="BC36"/>
          <cell r="BE36"/>
          <cell r="BG36"/>
          <cell r="BI36"/>
        </row>
        <row r="37">
          <cell r="B37"/>
          <cell r="C37"/>
          <cell r="E37"/>
          <cell r="G37"/>
          <cell r="I37"/>
          <cell r="K37"/>
          <cell r="M37"/>
          <cell r="O37"/>
          <cell r="Q37"/>
          <cell r="S37"/>
          <cell r="U37"/>
          <cell r="W37"/>
          <cell r="Y37"/>
          <cell r="AA37"/>
          <cell r="AC37"/>
          <cell r="AE37"/>
          <cell r="AG37"/>
          <cell r="AI37"/>
          <cell r="AK37"/>
          <cell r="AM37"/>
          <cell r="AO37"/>
          <cell r="AQ37"/>
          <cell r="AS37"/>
          <cell r="AU37"/>
          <cell r="AW37"/>
          <cell r="AY37"/>
          <cell r="BA37"/>
          <cell r="BC37"/>
          <cell r="BE37"/>
          <cell r="BG37"/>
          <cell r="BI37"/>
        </row>
        <row r="38">
          <cell r="B38"/>
          <cell r="C38"/>
          <cell r="E38"/>
          <cell r="G38"/>
          <cell r="I38"/>
          <cell r="K38"/>
          <cell r="M38"/>
          <cell r="O38"/>
          <cell r="Q38"/>
          <cell r="S38"/>
          <cell r="U38"/>
          <cell r="W38"/>
          <cell r="Y38"/>
          <cell r="AA38"/>
          <cell r="AC38"/>
          <cell r="AE38"/>
          <cell r="AG38"/>
          <cell r="AI38"/>
          <cell r="AK38"/>
          <cell r="AM38"/>
          <cell r="AO38"/>
          <cell r="AQ38"/>
          <cell r="AS38"/>
          <cell r="AU38"/>
          <cell r="AW38"/>
          <cell r="AY38"/>
          <cell r="BA38"/>
          <cell r="BC38"/>
          <cell r="BE38"/>
          <cell r="BG38"/>
          <cell r="BI38"/>
        </row>
        <row r="39">
          <cell r="B39"/>
          <cell r="C39"/>
          <cell r="E39"/>
          <cell r="G39"/>
          <cell r="I39"/>
          <cell r="K39"/>
          <cell r="M39"/>
          <cell r="O39"/>
          <cell r="Q39"/>
          <cell r="S39"/>
          <cell r="U39"/>
          <cell r="W39"/>
          <cell r="Y39"/>
          <cell r="AA39"/>
          <cell r="AC39"/>
          <cell r="AE39"/>
          <cell r="AG39"/>
          <cell r="AI39"/>
          <cell r="AK39"/>
          <cell r="AM39"/>
          <cell r="AO39"/>
          <cell r="AQ39"/>
          <cell r="AS39"/>
          <cell r="AU39"/>
          <cell r="AW39"/>
          <cell r="AY39"/>
          <cell r="BA39"/>
          <cell r="BC39"/>
          <cell r="BE39"/>
          <cell r="BG39"/>
          <cell r="BI39"/>
        </row>
        <row r="40">
          <cell r="B40"/>
          <cell r="C40"/>
          <cell r="E40"/>
          <cell r="G40"/>
          <cell r="I40"/>
          <cell r="K40"/>
          <cell r="M40"/>
          <cell r="O40"/>
          <cell r="Q40"/>
          <cell r="S40"/>
          <cell r="U40"/>
          <cell r="W40"/>
          <cell r="Y40"/>
          <cell r="AA40"/>
          <cell r="AC40"/>
          <cell r="AE40"/>
          <cell r="AG40"/>
          <cell r="AI40"/>
          <cell r="AK40"/>
          <cell r="AM40"/>
          <cell r="AO40"/>
          <cell r="AQ40"/>
          <cell r="AS40"/>
          <cell r="AU40"/>
          <cell r="AW40"/>
          <cell r="AY40"/>
          <cell r="BA40"/>
          <cell r="BC40"/>
          <cell r="BE40"/>
          <cell r="BG40"/>
          <cell r="BI40"/>
        </row>
        <row r="41">
          <cell r="B41"/>
          <cell r="C41"/>
          <cell r="E41"/>
          <cell r="G41"/>
          <cell r="I41"/>
          <cell r="K41"/>
          <cell r="M41"/>
          <cell r="O41"/>
          <cell r="Q41"/>
          <cell r="S41"/>
          <cell r="U41"/>
          <cell r="W41"/>
          <cell r="Y41"/>
          <cell r="AA41"/>
          <cell r="AC41"/>
          <cell r="AE41"/>
          <cell r="AG41"/>
          <cell r="AI41"/>
          <cell r="AK41"/>
          <cell r="AM41"/>
          <cell r="AO41"/>
          <cell r="AQ41"/>
          <cell r="AS41"/>
          <cell r="AU41"/>
          <cell r="AW41"/>
          <cell r="AY41"/>
          <cell r="BA41"/>
          <cell r="BC41"/>
          <cell r="BE41"/>
          <cell r="BG41"/>
          <cell r="BI41"/>
        </row>
        <row r="42">
          <cell r="B42"/>
          <cell r="C42"/>
          <cell r="E42"/>
          <cell r="G42"/>
          <cell r="I42"/>
          <cell r="K42"/>
          <cell r="M42"/>
          <cell r="O42"/>
          <cell r="Q42"/>
          <cell r="S42"/>
          <cell r="U42"/>
          <cell r="W42"/>
          <cell r="Y42"/>
          <cell r="AA42"/>
          <cell r="AC42"/>
          <cell r="AE42"/>
          <cell r="AG42"/>
          <cell r="AI42"/>
          <cell r="AK42"/>
          <cell r="AM42"/>
          <cell r="AO42"/>
          <cell r="AQ42"/>
          <cell r="AS42"/>
          <cell r="AU42"/>
          <cell r="AW42"/>
          <cell r="AY42"/>
          <cell r="BA42"/>
          <cell r="BC42"/>
          <cell r="BE42"/>
          <cell r="BG42"/>
          <cell r="BI42"/>
        </row>
        <row r="43">
          <cell r="B43"/>
          <cell r="C43"/>
          <cell r="E43"/>
          <cell r="G43"/>
          <cell r="I43"/>
          <cell r="K43"/>
          <cell r="M43"/>
          <cell r="O43"/>
          <cell r="Q43"/>
          <cell r="S43"/>
          <cell r="U43"/>
          <cell r="W43"/>
          <cell r="Y43"/>
          <cell r="AA43"/>
          <cell r="AC43"/>
          <cell r="AE43"/>
          <cell r="AG43"/>
          <cell r="AI43"/>
          <cell r="AK43"/>
          <cell r="AM43"/>
          <cell r="AO43"/>
          <cell r="AQ43"/>
          <cell r="AS43"/>
          <cell r="AU43"/>
          <cell r="AW43"/>
          <cell r="AY43"/>
          <cell r="BA43"/>
          <cell r="BC43"/>
          <cell r="BE43"/>
          <cell r="BG43"/>
          <cell r="BI43"/>
        </row>
        <row r="44">
          <cell r="B44"/>
          <cell r="C44"/>
          <cell r="E44"/>
          <cell r="G44"/>
          <cell r="I44"/>
          <cell r="K44"/>
          <cell r="M44"/>
          <cell r="O44"/>
          <cell r="Q44"/>
          <cell r="S44"/>
          <cell r="U44"/>
          <cell r="W44"/>
          <cell r="Y44"/>
          <cell r="AA44"/>
          <cell r="AC44"/>
          <cell r="AE44"/>
          <cell r="AG44"/>
          <cell r="AI44"/>
          <cell r="AK44"/>
          <cell r="AM44"/>
          <cell r="AO44"/>
          <cell r="AQ44"/>
          <cell r="AS44"/>
          <cell r="AU44"/>
          <cell r="AW44"/>
          <cell r="AY44"/>
          <cell r="BA44"/>
          <cell r="BC44"/>
          <cell r="BE44"/>
          <cell r="BG44"/>
          <cell r="BI44"/>
        </row>
        <row r="45">
          <cell r="B45"/>
          <cell r="C45"/>
          <cell r="E45"/>
          <cell r="G45"/>
          <cell r="I45"/>
          <cell r="K45"/>
          <cell r="M45"/>
          <cell r="O45"/>
          <cell r="Q45"/>
          <cell r="S45"/>
          <cell r="U45"/>
          <cell r="W45"/>
          <cell r="Y45"/>
          <cell r="AA45"/>
          <cell r="AC45"/>
          <cell r="AE45"/>
          <cell r="AG45"/>
          <cell r="AI45"/>
          <cell r="AK45"/>
          <cell r="AM45"/>
          <cell r="AO45"/>
          <cell r="AQ45"/>
          <cell r="AS45"/>
          <cell r="AU45"/>
          <cell r="AW45"/>
          <cell r="AY45"/>
          <cell r="BA45"/>
          <cell r="BC45"/>
          <cell r="BE45"/>
          <cell r="BG45"/>
          <cell r="BI45"/>
        </row>
        <row r="46">
          <cell r="B46"/>
          <cell r="C46"/>
          <cell r="E46"/>
          <cell r="G46"/>
          <cell r="I46"/>
          <cell r="K46"/>
          <cell r="M46"/>
          <cell r="O46"/>
          <cell r="Q46"/>
          <cell r="S46"/>
          <cell r="U46"/>
          <cell r="W46"/>
          <cell r="Y46"/>
          <cell r="AA46"/>
          <cell r="AC46"/>
          <cell r="AE46"/>
          <cell r="AG46"/>
          <cell r="AI46"/>
          <cell r="AK46"/>
          <cell r="AM46"/>
          <cell r="AO46"/>
          <cell r="AQ46"/>
          <cell r="AS46"/>
          <cell r="AU46"/>
          <cell r="AW46"/>
          <cell r="AY46"/>
          <cell r="BA46"/>
          <cell r="BC46"/>
          <cell r="BE46"/>
          <cell r="BG46"/>
          <cell r="BI46"/>
        </row>
      </sheetData>
      <sheetData sheetId="5"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  <row r="35">
          <cell r="B35"/>
          <cell r="C35"/>
          <cell r="E35"/>
          <cell r="G35"/>
          <cell r="I35"/>
          <cell r="K35"/>
          <cell r="M35"/>
          <cell r="O35"/>
          <cell r="Q35"/>
          <cell r="S35"/>
          <cell r="U35"/>
          <cell r="W35"/>
          <cell r="Y35"/>
          <cell r="AA35"/>
          <cell r="AC35"/>
          <cell r="AE35"/>
          <cell r="AG35"/>
          <cell r="AI35"/>
          <cell r="AK35"/>
          <cell r="AM35"/>
          <cell r="AO35"/>
          <cell r="AQ35"/>
          <cell r="AS35"/>
          <cell r="AU35"/>
          <cell r="AW35"/>
          <cell r="AY35"/>
          <cell r="BA35"/>
          <cell r="BC35"/>
          <cell r="BE35"/>
          <cell r="BG35"/>
          <cell r="BI35"/>
        </row>
        <row r="36">
          <cell r="B36"/>
          <cell r="C36"/>
          <cell r="E36"/>
          <cell r="G36"/>
          <cell r="I36"/>
          <cell r="K36"/>
          <cell r="M36"/>
          <cell r="O36"/>
          <cell r="Q36"/>
          <cell r="S36"/>
          <cell r="U36"/>
          <cell r="W36"/>
          <cell r="Y36"/>
          <cell r="AA36"/>
          <cell r="AC36"/>
          <cell r="AE36"/>
          <cell r="AG36"/>
          <cell r="AI36"/>
          <cell r="AK36"/>
          <cell r="AM36"/>
          <cell r="AO36"/>
          <cell r="AQ36"/>
          <cell r="AS36"/>
          <cell r="AU36"/>
          <cell r="AW36"/>
          <cell r="AY36"/>
          <cell r="BA36"/>
          <cell r="BC36"/>
          <cell r="BE36"/>
          <cell r="BG36"/>
          <cell r="BI36"/>
        </row>
        <row r="37">
          <cell r="B37"/>
          <cell r="C37"/>
          <cell r="E37"/>
          <cell r="G37"/>
          <cell r="I37"/>
          <cell r="K37"/>
          <cell r="M37"/>
          <cell r="O37"/>
          <cell r="Q37"/>
          <cell r="S37"/>
          <cell r="U37"/>
          <cell r="W37"/>
          <cell r="Y37"/>
          <cell r="AA37"/>
          <cell r="AC37"/>
          <cell r="AE37"/>
          <cell r="AG37"/>
          <cell r="AI37"/>
          <cell r="AK37"/>
          <cell r="AM37"/>
          <cell r="AO37"/>
          <cell r="AQ37"/>
          <cell r="AS37"/>
          <cell r="AU37"/>
          <cell r="AW37"/>
          <cell r="AY37"/>
          <cell r="BA37"/>
          <cell r="BC37"/>
          <cell r="BE37"/>
          <cell r="BG37"/>
          <cell r="BI37"/>
        </row>
        <row r="38">
          <cell r="B38"/>
          <cell r="C38"/>
          <cell r="E38"/>
          <cell r="G38"/>
          <cell r="I38"/>
          <cell r="K38"/>
          <cell r="M38"/>
          <cell r="O38"/>
          <cell r="Q38"/>
          <cell r="S38"/>
          <cell r="U38"/>
          <cell r="W38"/>
          <cell r="Y38"/>
          <cell r="AA38"/>
          <cell r="AC38"/>
          <cell r="AE38"/>
          <cell r="AG38"/>
          <cell r="AI38"/>
          <cell r="AK38"/>
          <cell r="AM38"/>
          <cell r="AO38"/>
          <cell r="AQ38"/>
          <cell r="AS38"/>
          <cell r="AU38"/>
          <cell r="AW38"/>
          <cell r="AY38"/>
          <cell r="BA38"/>
          <cell r="BC38"/>
          <cell r="BE38"/>
          <cell r="BG38"/>
          <cell r="BI38"/>
        </row>
        <row r="39">
          <cell r="B39"/>
          <cell r="C39"/>
          <cell r="E39"/>
          <cell r="G39"/>
          <cell r="I39"/>
          <cell r="K39"/>
          <cell r="M39"/>
          <cell r="O39"/>
          <cell r="Q39"/>
          <cell r="S39"/>
          <cell r="U39"/>
          <cell r="W39"/>
          <cell r="Y39"/>
          <cell r="AA39"/>
          <cell r="AC39"/>
          <cell r="AE39"/>
          <cell r="AG39"/>
          <cell r="AI39"/>
          <cell r="AK39"/>
          <cell r="AM39"/>
          <cell r="AO39"/>
          <cell r="AQ39"/>
          <cell r="AS39"/>
          <cell r="AU39"/>
          <cell r="AW39"/>
          <cell r="AY39"/>
          <cell r="BA39"/>
          <cell r="BC39"/>
          <cell r="BE39"/>
          <cell r="BG39"/>
          <cell r="BI39"/>
        </row>
        <row r="40">
          <cell r="B40"/>
          <cell r="C40"/>
          <cell r="E40"/>
          <cell r="G40"/>
          <cell r="I40"/>
          <cell r="K40"/>
          <cell r="M40"/>
          <cell r="O40"/>
          <cell r="Q40"/>
          <cell r="S40"/>
          <cell r="U40"/>
          <cell r="W40"/>
          <cell r="Y40"/>
          <cell r="AA40"/>
          <cell r="AC40"/>
          <cell r="AE40"/>
          <cell r="AG40"/>
          <cell r="AI40"/>
          <cell r="AK40"/>
          <cell r="AM40"/>
          <cell r="AO40"/>
          <cell r="AQ40"/>
          <cell r="AS40"/>
          <cell r="AU40"/>
          <cell r="AW40"/>
          <cell r="AY40"/>
          <cell r="BA40"/>
          <cell r="BC40"/>
          <cell r="BE40"/>
          <cell r="BG40"/>
          <cell r="BI40"/>
        </row>
        <row r="41">
          <cell r="B41"/>
          <cell r="C41"/>
          <cell r="E41"/>
          <cell r="G41"/>
          <cell r="I41"/>
          <cell r="K41"/>
          <cell r="M41"/>
          <cell r="O41"/>
          <cell r="Q41"/>
          <cell r="S41"/>
          <cell r="U41"/>
          <cell r="W41"/>
          <cell r="Y41"/>
          <cell r="AA41"/>
          <cell r="AC41"/>
          <cell r="AE41"/>
          <cell r="AG41"/>
          <cell r="AI41"/>
          <cell r="AK41"/>
          <cell r="AM41"/>
          <cell r="AO41"/>
          <cell r="AQ41"/>
          <cell r="AS41"/>
          <cell r="AU41"/>
          <cell r="AW41"/>
          <cell r="AY41"/>
          <cell r="BA41"/>
          <cell r="BC41"/>
          <cell r="BE41"/>
          <cell r="BG41"/>
          <cell r="BI41"/>
        </row>
        <row r="42">
          <cell r="B42"/>
          <cell r="C42"/>
          <cell r="E42"/>
          <cell r="G42"/>
          <cell r="I42"/>
          <cell r="K42"/>
          <cell r="M42"/>
          <cell r="O42"/>
          <cell r="Q42"/>
          <cell r="S42"/>
          <cell r="U42"/>
          <cell r="W42"/>
          <cell r="Y42"/>
          <cell r="AA42"/>
          <cell r="AC42"/>
          <cell r="AE42"/>
          <cell r="AG42"/>
          <cell r="AI42"/>
          <cell r="AK42"/>
          <cell r="AM42"/>
          <cell r="AO42"/>
          <cell r="AQ42"/>
          <cell r="AS42"/>
          <cell r="AU42"/>
          <cell r="AW42"/>
          <cell r="AY42"/>
          <cell r="BA42"/>
          <cell r="BC42"/>
          <cell r="BE42"/>
          <cell r="BG42"/>
          <cell r="BI42"/>
        </row>
        <row r="43">
          <cell r="B43"/>
          <cell r="C43"/>
          <cell r="E43"/>
          <cell r="G43"/>
          <cell r="I43"/>
          <cell r="K43"/>
          <cell r="M43"/>
          <cell r="O43"/>
          <cell r="Q43"/>
          <cell r="S43"/>
          <cell r="U43"/>
          <cell r="W43"/>
          <cell r="Y43"/>
          <cell r="AA43"/>
          <cell r="AC43"/>
          <cell r="AE43"/>
          <cell r="AG43"/>
          <cell r="AI43"/>
          <cell r="AK43"/>
          <cell r="AM43"/>
          <cell r="AO43"/>
          <cell r="AQ43"/>
          <cell r="AS43"/>
          <cell r="AU43"/>
          <cell r="AW43"/>
          <cell r="AY43"/>
          <cell r="BA43"/>
          <cell r="BC43"/>
          <cell r="BE43"/>
          <cell r="BG43"/>
          <cell r="BI43"/>
        </row>
        <row r="44">
          <cell r="B44"/>
          <cell r="C44"/>
          <cell r="E44"/>
          <cell r="G44"/>
          <cell r="I44"/>
          <cell r="K44"/>
          <cell r="M44"/>
          <cell r="O44"/>
          <cell r="Q44"/>
          <cell r="S44"/>
          <cell r="U44"/>
          <cell r="W44"/>
          <cell r="Y44"/>
          <cell r="AA44"/>
          <cell r="AC44"/>
          <cell r="AE44"/>
          <cell r="AG44"/>
          <cell r="AI44"/>
          <cell r="AK44"/>
          <cell r="AM44"/>
          <cell r="AO44"/>
          <cell r="AQ44"/>
          <cell r="AS44"/>
          <cell r="AU44"/>
          <cell r="AW44"/>
          <cell r="AY44"/>
          <cell r="BA44"/>
          <cell r="BC44"/>
          <cell r="BE44"/>
          <cell r="BG44"/>
          <cell r="BI44"/>
        </row>
        <row r="45">
          <cell r="B45"/>
          <cell r="C45"/>
          <cell r="E45"/>
          <cell r="G45"/>
          <cell r="I45"/>
          <cell r="K45"/>
          <cell r="M45"/>
          <cell r="O45"/>
          <cell r="Q45"/>
          <cell r="S45"/>
          <cell r="U45"/>
          <cell r="W45"/>
          <cell r="Y45"/>
          <cell r="AA45"/>
          <cell r="AC45"/>
          <cell r="AE45"/>
          <cell r="AG45"/>
          <cell r="AI45"/>
          <cell r="AK45"/>
          <cell r="AM45"/>
          <cell r="AO45"/>
          <cell r="AQ45"/>
          <cell r="AS45"/>
          <cell r="AU45"/>
          <cell r="AW45"/>
          <cell r="AY45"/>
          <cell r="BA45"/>
          <cell r="BC45"/>
          <cell r="BE45"/>
          <cell r="BG45"/>
          <cell r="BI45"/>
        </row>
        <row r="46">
          <cell r="B46"/>
          <cell r="C46"/>
          <cell r="E46"/>
          <cell r="G46"/>
          <cell r="I46"/>
          <cell r="K46"/>
          <cell r="M46"/>
          <cell r="O46"/>
          <cell r="Q46"/>
          <cell r="S46"/>
          <cell r="U46"/>
          <cell r="W46"/>
          <cell r="Y46"/>
          <cell r="AA46"/>
          <cell r="AC46"/>
          <cell r="AE46"/>
          <cell r="AG46"/>
          <cell r="AI46"/>
          <cell r="AK46"/>
          <cell r="AM46"/>
          <cell r="AO46"/>
          <cell r="AQ46"/>
          <cell r="AS46"/>
          <cell r="AU46"/>
          <cell r="AW46"/>
          <cell r="AY46"/>
          <cell r="BA46"/>
          <cell r="BC46"/>
          <cell r="BE46"/>
          <cell r="BG46"/>
          <cell r="BI46"/>
        </row>
      </sheetData>
      <sheetData sheetId="6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3">
          <cell r="B13"/>
          <cell r="C13"/>
          <cell r="E13"/>
          <cell r="G13"/>
          <cell r="I13"/>
          <cell r="K13"/>
          <cell r="M13"/>
          <cell r="O13"/>
          <cell r="Q13"/>
          <cell r="S13"/>
          <cell r="U13"/>
          <cell r="W13"/>
          <cell r="Y13"/>
          <cell r="AA13"/>
          <cell r="AC13"/>
          <cell r="AE13"/>
          <cell r="AG13"/>
          <cell r="AI13"/>
          <cell r="AK13"/>
          <cell r="AM13"/>
          <cell r="AO13"/>
          <cell r="AQ13"/>
          <cell r="AS13"/>
          <cell r="AU13"/>
          <cell r="AW13"/>
          <cell r="AY13"/>
          <cell r="BA13"/>
          <cell r="BC13"/>
          <cell r="BE13"/>
          <cell r="BG13"/>
          <cell r="BI13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</sheetData>
      <sheetData sheetId="7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3">
          <cell r="B13"/>
          <cell r="C13"/>
          <cell r="E13"/>
          <cell r="G13"/>
          <cell r="I13"/>
          <cell r="K13"/>
          <cell r="M13"/>
          <cell r="O13"/>
          <cell r="Q13"/>
          <cell r="S13"/>
          <cell r="U13"/>
          <cell r="W13"/>
          <cell r="Y13"/>
          <cell r="AA13"/>
          <cell r="AC13"/>
          <cell r="AE13"/>
          <cell r="AG13"/>
          <cell r="AI13"/>
          <cell r="AK13"/>
          <cell r="AM13"/>
          <cell r="AO13"/>
          <cell r="AQ13"/>
          <cell r="AS13"/>
          <cell r="AU13"/>
          <cell r="AW13"/>
          <cell r="AY13"/>
          <cell r="BA13"/>
          <cell r="BC13"/>
          <cell r="BE13"/>
          <cell r="BG13"/>
          <cell r="BI13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</sheetData>
      <sheetData sheetId="8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3">
          <cell r="B13"/>
          <cell r="C13"/>
          <cell r="E13"/>
          <cell r="G13"/>
          <cell r="I13"/>
          <cell r="K13"/>
          <cell r="M13"/>
          <cell r="O13"/>
          <cell r="Q13"/>
          <cell r="S13"/>
          <cell r="U13"/>
          <cell r="W13"/>
          <cell r="Y13"/>
          <cell r="AA13"/>
          <cell r="AC13"/>
          <cell r="AE13"/>
          <cell r="AG13"/>
          <cell r="AI13"/>
          <cell r="AK13"/>
          <cell r="AM13"/>
          <cell r="AO13"/>
          <cell r="AQ13"/>
          <cell r="AS13"/>
          <cell r="AU13"/>
          <cell r="AW13"/>
          <cell r="AY13"/>
          <cell r="BA13"/>
          <cell r="BC13"/>
          <cell r="BE13"/>
          <cell r="BG13"/>
          <cell r="BI13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</sheetData>
      <sheetData sheetId="9">
        <row r="2">
          <cell r="B2" t="str">
            <v>2º Bach.</v>
          </cell>
        </row>
        <row r="36">
          <cell r="A36" t="str">
            <v>Versión 1.1</v>
          </cell>
        </row>
      </sheetData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40"/>
  <sheetViews>
    <sheetView showGridLines="0" showRowColHeaders="0"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L6" sqref="L6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44" t="str" cm="1">
        <f t="array" ref="A1">[1]!GRUPO</f>
        <v>2º Bach.</v>
      </c>
      <c r="B1" s="55" t="s">
        <v>85</v>
      </c>
      <c r="C1" s="50">
        <v>1</v>
      </c>
      <c r="D1" s="50"/>
      <c r="E1" s="50">
        <v>2</v>
      </c>
      <c r="F1" s="50" t="s">
        <v>0</v>
      </c>
      <c r="G1" s="50">
        <v>3</v>
      </c>
      <c r="H1" s="50" t="s">
        <v>0</v>
      </c>
      <c r="I1" s="50">
        <v>4</v>
      </c>
      <c r="J1" s="50" t="s">
        <v>0</v>
      </c>
      <c r="K1" s="50">
        <v>5</v>
      </c>
      <c r="L1" s="50" t="s">
        <v>0</v>
      </c>
      <c r="M1" s="50">
        <v>6</v>
      </c>
      <c r="N1" s="50" t="s">
        <v>0</v>
      </c>
      <c r="O1" s="50">
        <v>7</v>
      </c>
      <c r="P1" s="50" t="s">
        <v>0</v>
      </c>
      <c r="Q1" s="50">
        <v>8</v>
      </c>
      <c r="R1" s="50" t="s">
        <v>0</v>
      </c>
      <c r="S1" s="50">
        <v>9</v>
      </c>
      <c r="T1" s="50" t="s">
        <v>0</v>
      </c>
      <c r="U1" s="50">
        <v>10</v>
      </c>
      <c r="V1" s="50" t="s">
        <v>0</v>
      </c>
      <c r="W1" s="50">
        <v>11</v>
      </c>
      <c r="X1" s="50" t="s">
        <v>0</v>
      </c>
      <c r="Y1" s="50">
        <v>12</v>
      </c>
      <c r="Z1" s="50" t="s">
        <v>1</v>
      </c>
      <c r="AA1" s="50">
        <v>13</v>
      </c>
      <c r="AB1" s="50" t="s">
        <v>0</v>
      </c>
      <c r="AC1" s="50">
        <v>14</v>
      </c>
      <c r="AD1" s="50" t="s">
        <v>0</v>
      </c>
      <c r="AE1" s="50">
        <v>15</v>
      </c>
      <c r="AF1" s="50" t="s">
        <v>0</v>
      </c>
      <c r="AG1" s="50">
        <v>16</v>
      </c>
      <c r="AH1" s="50" t="s">
        <v>0</v>
      </c>
      <c r="AI1" s="50">
        <v>17</v>
      </c>
      <c r="AJ1" s="50"/>
      <c r="AK1" s="50">
        <v>18</v>
      </c>
      <c r="AL1" s="50"/>
      <c r="AM1" s="50">
        <v>19</v>
      </c>
      <c r="AN1" s="50"/>
      <c r="AO1" s="50">
        <v>20</v>
      </c>
      <c r="AP1" s="50" t="s">
        <v>0</v>
      </c>
      <c r="AQ1" s="50">
        <v>21</v>
      </c>
      <c r="AR1" s="50"/>
      <c r="AS1" s="50">
        <v>22</v>
      </c>
      <c r="AT1" s="50" t="s">
        <v>0</v>
      </c>
      <c r="AU1" s="50">
        <v>23</v>
      </c>
      <c r="AV1" s="50" t="s">
        <v>0</v>
      </c>
      <c r="AW1" s="50">
        <v>24</v>
      </c>
      <c r="AX1" s="50"/>
      <c r="AY1" s="50">
        <v>25</v>
      </c>
      <c r="AZ1" s="50"/>
      <c r="BA1" s="50">
        <v>26</v>
      </c>
      <c r="BB1" s="50"/>
      <c r="BC1" s="50">
        <v>27</v>
      </c>
      <c r="BD1" s="50"/>
      <c r="BE1" s="50">
        <v>28</v>
      </c>
      <c r="BF1" s="50"/>
      <c r="BG1" s="50">
        <v>29</v>
      </c>
      <c r="BH1" s="50"/>
      <c r="BI1" s="50">
        <v>30</v>
      </c>
      <c r="BJ1" s="50"/>
    </row>
    <row r="2" spans="1:62" ht="115" customHeight="1" x14ac:dyDescent="0.2">
      <c r="A2" s="44"/>
      <c r="B2" s="56"/>
      <c r="C2" s="51" t="str">
        <f>[1]Examen11!C$2</f>
        <v>Alma Casa, Mario</v>
      </c>
      <c r="D2" s="51"/>
      <c r="E2" s="51" t="str">
        <f>[1]Examen11!E$2</f>
        <v>Amado Luz, Martín</v>
      </c>
      <c r="F2" s="51"/>
      <c r="G2" s="51" t="str">
        <f>[1]Examen11!G$2</f>
        <v>Bonete Cune, Carla</v>
      </c>
      <c r="H2" s="51"/>
      <c r="I2" s="51" t="str">
        <f>[1]Examen11!I$2</f>
        <v>Casado Marín, María</v>
      </c>
      <c r="J2" s="51"/>
      <c r="K2" s="51" t="str">
        <f>[1]Examen11!K$2</f>
        <v>Concepción García, Elena</v>
      </c>
      <c r="L2" s="51"/>
      <c r="M2" s="51" t="str">
        <f>[1]Examen11!M$2</f>
        <v>Díaz Lucas, Ricardo</v>
      </c>
      <c r="N2" s="51"/>
      <c r="O2" s="51" t="str">
        <f>[1]Examen11!O$2</f>
        <v>Díaz Ríos, Lucía</v>
      </c>
      <c r="P2" s="51"/>
      <c r="Q2" s="51" t="str">
        <f>[1]Examen11!Q$2</f>
        <v>García López, Juan Ángel</v>
      </c>
      <c r="R2" s="51"/>
      <c r="S2" s="51" t="str">
        <f>[1]Examen11!S$2</f>
        <v>García Pérez, Luis</v>
      </c>
      <c r="T2" s="51"/>
      <c r="U2" s="51" t="str">
        <f>[1]Examen11!U$2</f>
        <v>Garijo Piqueras, María</v>
      </c>
      <c r="V2" s="51"/>
      <c r="W2" s="51" t="str">
        <f>[1]Examen11!W$2</f>
        <v>Gómez Luna, José</v>
      </c>
      <c r="X2" s="51"/>
      <c r="Y2" s="51" t="str">
        <f>[1]Examen11!Y$2</f>
        <v>González García, Juan</v>
      </c>
      <c r="Z2" s="51"/>
      <c r="AA2" s="51" t="str">
        <f>[1]Examen11!AA$2</f>
        <v>González Pérez, María</v>
      </c>
      <c r="AB2" s="51"/>
      <c r="AC2" s="51" t="str">
        <f>[1]Examen11!AC$2</f>
        <v>Laín Hernández, Luisa</v>
      </c>
      <c r="AD2" s="51"/>
      <c r="AE2" s="51" t="str">
        <f>[1]Examen11!AE$2</f>
        <v>Lirios Lara, Juan</v>
      </c>
      <c r="AF2" s="51"/>
      <c r="AG2" s="51" t="str">
        <f>[1]Examen11!AG$2</f>
        <v>López Picazo, Marta</v>
      </c>
      <c r="AH2" s="51"/>
      <c r="AI2" s="51" t="str">
        <f>[1]Examen11!AI$2</f>
        <v>Molina Pérez, Marina</v>
      </c>
      <c r="AJ2" s="51"/>
      <c r="AK2" s="51" t="str">
        <f>[1]Examen11!AK$2</f>
        <v>Molina Sánchez, Inmaculada</v>
      </c>
      <c r="AL2" s="51"/>
      <c r="AM2" s="51" t="str">
        <f>[1]Examen11!AM$2</f>
        <v>Montero Pacheco, Pablo</v>
      </c>
      <c r="AN2" s="51"/>
      <c r="AO2" s="51" t="str">
        <f>[1]Examen11!AO$2</f>
        <v>Mora García, Javier</v>
      </c>
      <c r="AP2" s="51"/>
      <c r="AQ2" s="51" t="str">
        <f>[1]Examen11!AQ$2</f>
        <v>Morcillo Pared, Luna</v>
      </c>
      <c r="AR2" s="51"/>
      <c r="AS2" s="51" t="str">
        <f>[1]Examen11!AS$2</f>
        <v>Moreno Hernández, Francisco</v>
      </c>
      <c r="AT2" s="51"/>
      <c r="AU2" s="51" t="str">
        <f>[1]Examen11!AU$2</f>
        <v>Muñoz Garijo, Pablo</v>
      </c>
      <c r="AV2" s="51"/>
      <c r="AW2" s="51" t="str">
        <f>[1]Examen11!AW$2</f>
        <v>Pérez Garrido, Francisco</v>
      </c>
      <c r="AX2" s="51"/>
      <c r="AY2" s="51" t="str">
        <f>[1]Examen11!AY$2</f>
        <v>Serna Serna, Susana</v>
      </c>
      <c r="AZ2" s="51"/>
      <c r="BA2" s="51" t="str">
        <f>[1]Examen11!BA$2</f>
        <v>Soriano Tornero, Manuel</v>
      </c>
      <c r="BB2" s="51"/>
      <c r="BC2" s="51" t="str">
        <f>[1]Examen11!BC$2</f>
        <v>Zarza Parrilla, Manuel</v>
      </c>
      <c r="BD2" s="51"/>
      <c r="BE2" s="51" t="str">
        <f>[1]Examen11!BE$2</f>
        <v/>
      </c>
      <c r="BF2" s="51"/>
      <c r="BG2" s="51" t="str">
        <f>[1]Examen11!BG$2</f>
        <v/>
      </c>
      <c r="BH2" s="51"/>
      <c r="BI2" s="51" t="str">
        <f>[1]Examen11!BI$2</f>
        <v/>
      </c>
      <c r="BJ2" s="51"/>
    </row>
    <row r="3" spans="1:62" ht="33" customHeight="1" x14ac:dyDescent="0.2">
      <c r="A3" s="28" t="str" cm="1">
        <f t="array" ref="A3">[1]!VERSION</f>
        <v>Versión 1.1</v>
      </c>
      <c r="B3" s="8" t="str">
        <f>IF((B4+B7+B16)=1,"Ok","Error % Bloques")</f>
        <v>Ok</v>
      </c>
      <c r="C3" s="53">
        <f>SUM(C4,C7,C16)</f>
        <v>0</v>
      </c>
      <c r="D3" s="54"/>
      <c r="E3" s="53">
        <f t="shared" ref="E3" si="0">SUM(E4,E7,E16)</f>
        <v>0</v>
      </c>
      <c r="F3" s="54"/>
      <c r="G3" s="53">
        <f t="shared" ref="G3" si="1">SUM(G4,G7,G16)</f>
        <v>0</v>
      </c>
      <c r="H3" s="54"/>
      <c r="I3" s="53">
        <f t="shared" ref="I3" si="2">SUM(I4,I7,I16)</f>
        <v>0</v>
      </c>
      <c r="J3" s="54"/>
      <c r="K3" s="53">
        <f t="shared" ref="K3" si="3">SUM(K4,K7,K16)</f>
        <v>0</v>
      </c>
      <c r="L3" s="54"/>
      <c r="M3" s="53">
        <f t="shared" ref="M3" si="4">SUM(M4,M7,M16)</f>
        <v>0</v>
      </c>
      <c r="N3" s="54"/>
      <c r="O3" s="53">
        <f t="shared" ref="O3" si="5">SUM(O4,O7,O16)</f>
        <v>0</v>
      </c>
      <c r="P3" s="54"/>
      <c r="Q3" s="53">
        <f t="shared" ref="Q3" si="6">SUM(Q4,Q7,Q16)</f>
        <v>0</v>
      </c>
      <c r="R3" s="54"/>
      <c r="S3" s="53">
        <f t="shared" ref="S3" si="7">SUM(S4,S7,S16)</f>
        <v>0</v>
      </c>
      <c r="T3" s="54"/>
      <c r="U3" s="53">
        <f t="shared" ref="U3" si="8">SUM(U4,U7,U16)</f>
        <v>0</v>
      </c>
      <c r="V3" s="54"/>
      <c r="W3" s="53">
        <f t="shared" ref="W3" si="9">SUM(W4,W7,W16)</f>
        <v>0</v>
      </c>
      <c r="X3" s="54"/>
      <c r="Y3" s="53">
        <f t="shared" ref="Y3" si="10">SUM(Y4,Y7,Y16)</f>
        <v>0</v>
      </c>
      <c r="Z3" s="54"/>
      <c r="AA3" s="53">
        <f t="shared" ref="AA3" si="11">SUM(AA4,AA7,AA16)</f>
        <v>0</v>
      </c>
      <c r="AB3" s="54"/>
      <c r="AC3" s="53">
        <f t="shared" ref="AC3" si="12">SUM(AC4,AC7,AC16)</f>
        <v>0</v>
      </c>
      <c r="AD3" s="54"/>
      <c r="AE3" s="53">
        <f t="shared" ref="AE3" si="13">SUM(AE4,AE7,AE16)</f>
        <v>0</v>
      </c>
      <c r="AF3" s="54"/>
      <c r="AG3" s="53">
        <f t="shared" ref="AG3" si="14">SUM(AG4,AG7,AG16)</f>
        <v>0</v>
      </c>
      <c r="AH3" s="54"/>
      <c r="AI3" s="53">
        <f t="shared" ref="AI3" si="15">SUM(AI4,AI7,AI16)</f>
        <v>0</v>
      </c>
      <c r="AJ3" s="54"/>
      <c r="AK3" s="53">
        <f t="shared" ref="AK3" si="16">SUM(AK4,AK7,AK16)</f>
        <v>0</v>
      </c>
      <c r="AL3" s="54"/>
      <c r="AM3" s="53">
        <f t="shared" ref="AM3" si="17">SUM(AM4,AM7,AM16)</f>
        <v>0</v>
      </c>
      <c r="AN3" s="54"/>
      <c r="AO3" s="53">
        <f t="shared" ref="AO3" si="18">SUM(AO4,AO7,AO16)</f>
        <v>0</v>
      </c>
      <c r="AP3" s="54"/>
      <c r="AQ3" s="53">
        <f t="shared" ref="AQ3" si="19">SUM(AQ4,AQ7,AQ16)</f>
        <v>0</v>
      </c>
      <c r="AR3" s="54"/>
      <c r="AS3" s="53">
        <f t="shared" ref="AS3" si="20">SUM(AS4,AS7,AS16)</f>
        <v>0</v>
      </c>
      <c r="AT3" s="54"/>
      <c r="AU3" s="53">
        <f t="shared" ref="AU3" si="21">SUM(AU4,AU7,AU16)</f>
        <v>0</v>
      </c>
      <c r="AV3" s="54"/>
      <c r="AW3" s="53">
        <f t="shared" ref="AW3" si="22">SUM(AW4,AW7,AW16)</f>
        <v>0</v>
      </c>
      <c r="AX3" s="54"/>
      <c r="AY3" s="53">
        <f t="shared" ref="AY3" si="23">SUM(AY4,AY7,AY16)</f>
        <v>0</v>
      </c>
      <c r="AZ3" s="54"/>
      <c r="BA3" s="53">
        <f t="shared" ref="BA3" si="24">SUM(BA4,BA7,BA16)</f>
        <v>0</v>
      </c>
      <c r="BB3" s="54"/>
      <c r="BC3" s="53">
        <f t="shared" ref="BC3" si="25">SUM(BC4,BC7,BC16)</f>
        <v>0</v>
      </c>
      <c r="BD3" s="54"/>
      <c r="BE3" s="53">
        <f t="shared" ref="BE3" si="26">SUM(BE4,BE7,BE16)</f>
        <v>0</v>
      </c>
      <c r="BF3" s="54"/>
      <c r="BG3" s="53">
        <f t="shared" ref="BG3" si="27">SUM(BG4,BG7,BG16)</f>
        <v>0</v>
      </c>
      <c r="BH3" s="54"/>
      <c r="BI3" s="53">
        <f t="shared" ref="BI3" si="28">SUM(BI4,BI7,BI16)</f>
        <v>0</v>
      </c>
      <c r="BJ3" s="54"/>
    </row>
    <row r="4" spans="1:62" ht="38" x14ac:dyDescent="0.2">
      <c r="A4" s="6" t="s">
        <v>2</v>
      </c>
      <c r="B4" s="7">
        <f>Estructura!B2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MAX([1]Examen11!B5,[1]Examen12!B5,[1]Examen13!B5)</f>
        <v>0</v>
      </c>
      <c r="C8" s="33">
        <f>MAX([1]Examen11!C5,[1]Examen12!C5,[1]Examen13!C5)</f>
        <v>0</v>
      </c>
      <c r="D8" s="32">
        <f t="shared" ref="D8:D15" si="29">IF($B8,C8/$B8,-1)</f>
        <v>-1</v>
      </c>
      <c r="E8" s="33">
        <f>MAX([1]Examen11!E5,[1]Examen12!E5,[1]Examen13!E5)</f>
        <v>0</v>
      </c>
      <c r="F8" s="32">
        <f t="shared" ref="F8:F15" si="30">IF($B8,E8/$B8,-1)</f>
        <v>-1</v>
      </c>
      <c r="G8" s="33">
        <f>MAX([1]Examen11!G5,[1]Examen12!G5,[1]Examen13!G5)</f>
        <v>0</v>
      </c>
      <c r="H8" s="32">
        <f t="shared" ref="H8:H15" si="31">IF($B8,G8/$B8,-1)</f>
        <v>-1</v>
      </c>
      <c r="I8" s="33">
        <f>MAX([1]Examen11!I5,[1]Examen12!I5,[1]Examen13!I5)</f>
        <v>0</v>
      </c>
      <c r="J8" s="32">
        <f t="shared" ref="J8:J15" si="32">IF($B8,I8/$B8,-1)</f>
        <v>-1</v>
      </c>
      <c r="K8" s="33">
        <f>MAX([1]Examen11!K5,[1]Examen12!K5,[1]Examen13!K5)</f>
        <v>0</v>
      </c>
      <c r="L8" s="32">
        <f t="shared" ref="L8:L15" si="33">IF($B8,K8/$B8,-1)</f>
        <v>-1</v>
      </c>
      <c r="M8" s="33">
        <f>MAX([1]Examen11!M5,[1]Examen12!M5,[1]Examen13!M5)</f>
        <v>0</v>
      </c>
      <c r="N8" s="32">
        <f t="shared" ref="N8:N15" si="34">IF($B8,M8/$B8,-1)</f>
        <v>-1</v>
      </c>
      <c r="O8" s="33">
        <f>MAX([1]Examen11!O5,[1]Examen12!O5,[1]Examen13!O5)</f>
        <v>0</v>
      </c>
      <c r="P8" s="32">
        <f t="shared" ref="P8:P15" si="35">IF($B8,O8/$B8,-1)</f>
        <v>-1</v>
      </c>
      <c r="Q8" s="33">
        <f>MAX([1]Examen11!Q5,[1]Examen12!Q5,[1]Examen13!Q5)</f>
        <v>0</v>
      </c>
      <c r="R8" s="32">
        <f t="shared" ref="R8:R15" si="36">IF($B8,Q8/$B8,-1)</f>
        <v>-1</v>
      </c>
      <c r="S8" s="33">
        <f>MAX([1]Examen11!S5,[1]Examen12!S5,[1]Examen13!S5)</f>
        <v>0</v>
      </c>
      <c r="T8" s="32">
        <f t="shared" ref="T8:T15" si="37">IF($B8,S8/$B8,-1)</f>
        <v>-1</v>
      </c>
      <c r="U8" s="33">
        <f>MAX([1]Examen11!U5,[1]Examen12!U5,[1]Examen13!U5)</f>
        <v>0</v>
      </c>
      <c r="V8" s="32">
        <f t="shared" ref="V8:V15" si="38">IF($B8,U8/$B8,-1)</f>
        <v>-1</v>
      </c>
      <c r="W8" s="33">
        <f>MAX([1]Examen11!W5,[1]Examen12!W5,[1]Examen13!W5)</f>
        <v>0</v>
      </c>
      <c r="X8" s="32">
        <f t="shared" ref="X8:X15" si="39">IF($B8,W8/$B8,-1)</f>
        <v>-1</v>
      </c>
      <c r="Y8" s="33">
        <f>MAX([1]Examen11!Y5,[1]Examen12!Y5,[1]Examen13!Y5)</f>
        <v>0</v>
      </c>
      <c r="Z8" s="32">
        <f t="shared" ref="Z8:Z15" si="40">IF($B8,Y8/$B8,-1)</f>
        <v>-1</v>
      </c>
      <c r="AA8" s="33">
        <f>MAX([1]Examen11!AA5,[1]Examen12!AA5,[1]Examen13!AA5)</f>
        <v>0</v>
      </c>
      <c r="AB8" s="32">
        <f t="shared" ref="AB8:AB15" si="41">IF($B8,AA8/$B8,-1)</f>
        <v>-1</v>
      </c>
      <c r="AC8" s="33">
        <f>MAX([1]Examen11!AC5,[1]Examen12!AC5,[1]Examen13!AC5)</f>
        <v>0</v>
      </c>
      <c r="AD8" s="32">
        <f t="shared" ref="AD8:AD15" si="42">IF($B8,AC8/$B8,-1)</f>
        <v>-1</v>
      </c>
      <c r="AE8" s="33">
        <f>MAX([1]Examen11!AE5,[1]Examen12!AE5,[1]Examen13!AE5)</f>
        <v>0</v>
      </c>
      <c r="AF8" s="32">
        <f t="shared" ref="AF8:AF15" si="43">IF($B8,AE8/$B8,-1)</f>
        <v>-1</v>
      </c>
      <c r="AG8" s="33">
        <f>MAX([1]Examen11!AG5,[1]Examen12!AG5,[1]Examen13!AG5)</f>
        <v>0</v>
      </c>
      <c r="AH8" s="32">
        <f t="shared" ref="AH8:AH15" si="44">IF($B8,AG8/$B8,-1)</f>
        <v>-1</v>
      </c>
      <c r="AI8" s="33">
        <f>MAX([1]Examen11!AI5,[1]Examen12!AI5,[1]Examen13!AI5)</f>
        <v>0</v>
      </c>
      <c r="AJ8" s="32">
        <f t="shared" ref="AJ8:AJ15" si="45">IF($B8,AI8/$B8,-1)</f>
        <v>-1</v>
      </c>
      <c r="AK8" s="33">
        <f>MAX([1]Examen11!AK5,[1]Examen12!AK5,[1]Examen13!AK5)</f>
        <v>0</v>
      </c>
      <c r="AL8" s="32">
        <f t="shared" ref="AL8:AL15" si="46">IF($B8,AK8/$B8,-1)</f>
        <v>-1</v>
      </c>
      <c r="AM8" s="33">
        <f>MAX([1]Examen11!AM5,[1]Examen12!AM5,[1]Examen13!AM5)</f>
        <v>0</v>
      </c>
      <c r="AN8" s="32">
        <f t="shared" ref="AN8:AN15" si="47">IF($B8,AM8/$B8,-1)</f>
        <v>-1</v>
      </c>
      <c r="AO8" s="33">
        <f>MAX([1]Examen11!AO5,[1]Examen12!AO5,[1]Examen13!AO5)</f>
        <v>0</v>
      </c>
      <c r="AP8" s="32">
        <f t="shared" ref="AP8:AP15" si="48">IF($B8,AO8/$B8,-1)</f>
        <v>-1</v>
      </c>
      <c r="AQ8" s="33">
        <f>MAX([1]Examen11!AQ5,[1]Examen12!AQ5,[1]Examen13!AQ5)</f>
        <v>0</v>
      </c>
      <c r="AR8" s="32">
        <f t="shared" ref="AR8:AR15" si="49">IF($B8,AQ8/$B8,-1)</f>
        <v>-1</v>
      </c>
      <c r="AS8" s="33">
        <f>MAX([1]Examen11!AS5,[1]Examen12!AS5,[1]Examen13!AS5)</f>
        <v>0</v>
      </c>
      <c r="AT8" s="32">
        <f t="shared" ref="AT8:AT15" si="50">IF($B8,AS8/$B8,-1)</f>
        <v>-1</v>
      </c>
      <c r="AU8" s="33">
        <f>MAX([1]Examen11!AU5,[1]Examen12!AU5,[1]Examen13!AU5)</f>
        <v>0</v>
      </c>
      <c r="AV8" s="32">
        <f t="shared" ref="AV8:AV15" si="51">IF($B8,AU8/$B8,-1)</f>
        <v>-1</v>
      </c>
      <c r="AW8" s="33">
        <f>MAX([1]Examen11!AW5,[1]Examen12!AW5,[1]Examen13!AW5)</f>
        <v>0</v>
      </c>
      <c r="AX8" s="32">
        <f t="shared" ref="AX8:AX15" si="52">IF($B8,AW8/$B8,-1)</f>
        <v>-1</v>
      </c>
      <c r="AY8" s="33">
        <f>MAX([1]Examen11!AY5,[1]Examen12!AY5,[1]Examen13!AY5)</f>
        <v>0</v>
      </c>
      <c r="AZ8" s="32">
        <f t="shared" ref="AZ8:AZ15" si="53">IF($B8,AY8/$B8,-1)</f>
        <v>-1</v>
      </c>
      <c r="BA8" s="33">
        <f>MAX([1]Examen11!BA5,[1]Examen12!BA5,[1]Examen13!BA5)</f>
        <v>0</v>
      </c>
      <c r="BB8" s="32">
        <f t="shared" ref="BB8:BB15" si="54">IF($B8,BA8/$B8,-1)</f>
        <v>-1</v>
      </c>
      <c r="BC8" s="33">
        <f>MAX([1]Examen11!BC5,[1]Examen12!BC5,[1]Examen13!BC5)</f>
        <v>0</v>
      </c>
      <c r="BD8" s="32">
        <f t="shared" ref="BD8:BD15" si="55">IF($B8,BC8/$B8,-1)</f>
        <v>-1</v>
      </c>
      <c r="BE8" s="33">
        <f>MAX([1]Examen11!BE5,[1]Examen12!BE5,[1]Examen13!BE5)</f>
        <v>0</v>
      </c>
      <c r="BF8" s="32">
        <f t="shared" ref="BF8:BF15" si="56">IF($B8,BE8/$B8,-1)</f>
        <v>-1</v>
      </c>
      <c r="BG8" s="33">
        <f>MAX([1]Examen11!BG5,[1]Examen12!BG5,[1]Examen13!BG5)</f>
        <v>0</v>
      </c>
      <c r="BH8" s="32">
        <f t="shared" ref="BH8:BH15" si="57">IF($B8,BG8/$B8,-1)</f>
        <v>-1</v>
      </c>
      <c r="BI8" s="33">
        <f>MAX([1]Examen11!BI5,[1]Examen12!BI5,[1]Examen13!BI5)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MAX([1]Examen11!B6,[1]Examen12!B6,[1]Examen13!B6)</f>
        <v>0</v>
      </c>
      <c r="C9" s="33">
        <f>MAX([1]Examen11!C6,[1]Examen12!C6,[1]Examen13!C6)</f>
        <v>0</v>
      </c>
      <c r="D9" s="32">
        <f t="shared" si="29"/>
        <v>-1</v>
      </c>
      <c r="E9" s="33">
        <f>MAX([1]Examen11!E6,[1]Examen12!E6,[1]Examen13!E6)</f>
        <v>0</v>
      </c>
      <c r="F9" s="32">
        <f t="shared" si="30"/>
        <v>-1</v>
      </c>
      <c r="G9" s="33">
        <f>MAX([1]Examen11!G6,[1]Examen12!G6,[1]Examen13!G6)</f>
        <v>0</v>
      </c>
      <c r="H9" s="32">
        <f t="shared" si="31"/>
        <v>-1</v>
      </c>
      <c r="I9" s="33">
        <f>MAX([1]Examen11!I6,[1]Examen12!I6,[1]Examen13!I6)</f>
        <v>0</v>
      </c>
      <c r="J9" s="32">
        <f t="shared" si="32"/>
        <v>-1</v>
      </c>
      <c r="K9" s="33">
        <f>MAX([1]Examen11!K6,[1]Examen12!K6,[1]Examen13!K6)</f>
        <v>0</v>
      </c>
      <c r="L9" s="32">
        <f t="shared" si="33"/>
        <v>-1</v>
      </c>
      <c r="M9" s="33">
        <f>MAX([1]Examen11!M6,[1]Examen12!M6,[1]Examen13!M6)</f>
        <v>0</v>
      </c>
      <c r="N9" s="32">
        <f t="shared" si="34"/>
        <v>-1</v>
      </c>
      <c r="O9" s="33">
        <f>MAX([1]Examen11!O6,[1]Examen12!O6,[1]Examen13!O6)</f>
        <v>0</v>
      </c>
      <c r="P9" s="32">
        <f t="shared" si="35"/>
        <v>-1</v>
      </c>
      <c r="Q9" s="33">
        <f>MAX([1]Examen11!Q6,[1]Examen12!Q6,[1]Examen13!Q6)</f>
        <v>0</v>
      </c>
      <c r="R9" s="32">
        <f t="shared" si="36"/>
        <v>-1</v>
      </c>
      <c r="S9" s="33">
        <f>MAX([1]Examen11!S6,[1]Examen12!S6,[1]Examen13!S6)</f>
        <v>0</v>
      </c>
      <c r="T9" s="32">
        <f t="shared" si="37"/>
        <v>-1</v>
      </c>
      <c r="U9" s="33">
        <f>MAX([1]Examen11!U6,[1]Examen12!U6,[1]Examen13!U6)</f>
        <v>0</v>
      </c>
      <c r="V9" s="32">
        <f t="shared" si="38"/>
        <v>-1</v>
      </c>
      <c r="W9" s="33">
        <f>MAX([1]Examen11!W6,[1]Examen12!W6,[1]Examen13!W6)</f>
        <v>0</v>
      </c>
      <c r="X9" s="32">
        <f t="shared" si="39"/>
        <v>-1</v>
      </c>
      <c r="Y9" s="33">
        <f>MAX([1]Examen11!Y6,[1]Examen12!Y6,[1]Examen13!Y6)</f>
        <v>0</v>
      </c>
      <c r="Z9" s="32">
        <f t="shared" si="40"/>
        <v>-1</v>
      </c>
      <c r="AA9" s="33">
        <f>MAX([1]Examen11!AA6,[1]Examen12!AA6,[1]Examen13!AA6)</f>
        <v>0</v>
      </c>
      <c r="AB9" s="32">
        <f t="shared" si="41"/>
        <v>-1</v>
      </c>
      <c r="AC9" s="33">
        <f>MAX([1]Examen11!AC6,[1]Examen12!AC6,[1]Examen13!AC6)</f>
        <v>0</v>
      </c>
      <c r="AD9" s="32">
        <f t="shared" si="42"/>
        <v>-1</v>
      </c>
      <c r="AE9" s="33">
        <f>MAX([1]Examen11!AE6,[1]Examen12!AE6,[1]Examen13!AE6)</f>
        <v>0</v>
      </c>
      <c r="AF9" s="32">
        <f t="shared" si="43"/>
        <v>-1</v>
      </c>
      <c r="AG9" s="33">
        <f>MAX([1]Examen11!AG6,[1]Examen12!AG6,[1]Examen13!AG6)</f>
        <v>0</v>
      </c>
      <c r="AH9" s="32">
        <f t="shared" si="44"/>
        <v>-1</v>
      </c>
      <c r="AI9" s="33">
        <f>MAX([1]Examen11!AI6,[1]Examen12!AI6,[1]Examen13!AI6)</f>
        <v>0</v>
      </c>
      <c r="AJ9" s="32">
        <f t="shared" si="45"/>
        <v>-1</v>
      </c>
      <c r="AK9" s="33">
        <f>MAX([1]Examen11!AK6,[1]Examen12!AK6,[1]Examen13!AK6)</f>
        <v>0</v>
      </c>
      <c r="AL9" s="32">
        <f t="shared" si="46"/>
        <v>-1</v>
      </c>
      <c r="AM9" s="33">
        <f>MAX([1]Examen11!AM6,[1]Examen12!AM6,[1]Examen13!AM6)</f>
        <v>0</v>
      </c>
      <c r="AN9" s="32">
        <f t="shared" si="47"/>
        <v>-1</v>
      </c>
      <c r="AO9" s="33">
        <f>MAX([1]Examen11!AO6,[1]Examen12!AO6,[1]Examen13!AO6)</f>
        <v>0</v>
      </c>
      <c r="AP9" s="32">
        <f t="shared" si="48"/>
        <v>-1</v>
      </c>
      <c r="AQ9" s="33">
        <f>MAX([1]Examen11!AQ6,[1]Examen12!AQ6,[1]Examen13!AQ6)</f>
        <v>0</v>
      </c>
      <c r="AR9" s="32">
        <f t="shared" si="49"/>
        <v>-1</v>
      </c>
      <c r="AS9" s="33">
        <f>MAX([1]Examen11!AS6,[1]Examen12!AS6,[1]Examen13!AS6)</f>
        <v>0</v>
      </c>
      <c r="AT9" s="32">
        <f t="shared" si="50"/>
        <v>-1</v>
      </c>
      <c r="AU9" s="33">
        <f>MAX([1]Examen11!AU6,[1]Examen12!AU6,[1]Examen13!AU6)</f>
        <v>0</v>
      </c>
      <c r="AV9" s="32">
        <f t="shared" si="51"/>
        <v>-1</v>
      </c>
      <c r="AW9" s="33">
        <f>MAX([1]Examen11!AW6,[1]Examen12!AW6,[1]Examen13!AW6)</f>
        <v>0</v>
      </c>
      <c r="AX9" s="32">
        <f t="shared" si="52"/>
        <v>-1</v>
      </c>
      <c r="AY9" s="33">
        <f>MAX([1]Examen11!AY6,[1]Examen12!AY6,[1]Examen13!AY6)</f>
        <v>0</v>
      </c>
      <c r="AZ9" s="32">
        <f t="shared" si="53"/>
        <v>-1</v>
      </c>
      <c r="BA9" s="33">
        <f>MAX([1]Examen11!BA6,[1]Examen12!BA6,[1]Examen13!BA6)</f>
        <v>0</v>
      </c>
      <c r="BB9" s="32">
        <f t="shared" si="54"/>
        <v>-1</v>
      </c>
      <c r="BC9" s="33">
        <f>MAX([1]Examen11!BC6,[1]Examen12!BC6,[1]Examen13!BC6)</f>
        <v>0</v>
      </c>
      <c r="BD9" s="32">
        <f t="shared" si="55"/>
        <v>-1</v>
      </c>
      <c r="BE9" s="33">
        <f>MAX([1]Examen11!BE6,[1]Examen12!BE6,[1]Examen13!BE6)</f>
        <v>0</v>
      </c>
      <c r="BF9" s="32">
        <f t="shared" si="56"/>
        <v>-1</v>
      </c>
      <c r="BG9" s="33">
        <f>MAX([1]Examen11!BG6,[1]Examen12!BG6,[1]Examen13!BG6)</f>
        <v>0</v>
      </c>
      <c r="BH9" s="32">
        <f t="shared" si="57"/>
        <v>-1</v>
      </c>
      <c r="BI9" s="33">
        <f>MAX([1]Examen11!BI6,[1]Examen12!BI6,[1]Examen13!BI6)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MAX([1]Examen11!B7,[1]Examen12!B7,[1]Examen13!B7)</f>
        <v>0</v>
      </c>
      <c r="C10" s="33">
        <f>MAX([1]Examen11!C7,[1]Examen12!C7,[1]Examen13!C7)</f>
        <v>0</v>
      </c>
      <c r="D10" s="32">
        <f t="shared" si="29"/>
        <v>-1</v>
      </c>
      <c r="E10" s="33">
        <f>MAX([1]Examen11!E7,[1]Examen12!E7,[1]Examen13!E7)</f>
        <v>0</v>
      </c>
      <c r="F10" s="32">
        <f t="shared" si="30"/>
        <v>-1</v>
      </c>
      <c r="G10" s="33">
        <f>MAX([1]Examen11!G7,[1]Examen12!G7,[1]Examen13!G7)</f>
        <v>0</v>
      </c>
      <c r="H10" s="32">
        <f t="shared" si="31"/>
        <v>-1</v>
      </c>
      <c r="I10" s="33">
        <f>MAX([1]Examen11!I7,[1]Examen12!I7,[1]Examen13!I7)</f>
        <v>0</v>
      </c>
      <c r="J10" s="32">
        <f t="shared" si="32"/>
        <v>-1</v>
      </c>
      <c r="K10" s="33">
        <f>MAX([1]Examen11!K7,[1]Examen12!K7,[1]Examen13!K7)</f>
        <v>0</v>
      </c>
      <c r="L10" s="32">
        <f t="shared" si="33"/>
        <v>-1</v>
      </c>
      <c r="M10" s="33">
        <f>MAX([1]Examen11!M7,[1]Examen12!M7,[1]Examen13!M7)</f>
        <v>0</v>
      </c>
      <c r="N10" s="32">
        <f t="shared" si="34"/>
        <v>-1</v>
      </c>
      <c r="O10" s="33">
        <f>MAX([1]Examen11!O7,[1]Examen12!O7,[1]Examen13!O7)</f>
        <v>0</v>
      </c>
      <c r="P10" s="32">
        <f t="shared" si="35"/>
        <v>-1</v>
      </c>
      <c r="Q10" s="33">
        <f>MAX([1]Examen11!Q7,[1]Examen12!Q7,[1]Examen13!Q7)</f>
        <v>0</v>
      </c>
      <c r="R10" s="32">
        <f t="shared" si="36"/>
        <v>-1</v>
      </c>
      <c r="S10" s="33">
        <f>MAX([1]Examen11!S7,[1]Examen12!S7,[1]Examen13!S7)</f>
        <v>0</v>
      </c>
      <c r="T10" s="32">
        <f t="shared" si="37"/>
        <v>-1</v>
      </c>
      <c r="U10" s="33">
        <f>MAX([1]Examen11!U7,[1]Examen12!U7,[1]Examen13!U7)</f>
        <v>0</v>
      </c>
      <c r="V10" s="32">
        <f t="shared" si="38"/>
        <v>-1</v>
      </c>
      <c r="W10" s="33">
        <f>MAX([1]Examen11!W7,[1]Examen12!W7,[1]Examen13!W7)</f>
        <v>0</v>
      </c>
      <c r="X10" s="32">
        <f t="shared" si="39"/>
        <v>-1</v>
      </c>
      <c r="Y10" s="33">
        <f>MAX([1]Examen11!Y7,[1]Examen12!Y7,[1]Examen13!Y7)</f>
        <v>0</v>
      </c>
      <c r="Z10" s="32">
        <f t="shared" si="40"/>
        <v>-1</v>
      </c>
      <c r="AA10" s="33">
        <f>MAX([1]Examen11!AA7,[1]Examen12!AA7,[1]Examen13!AA7)</f>
        <v>0</v>
      </c>
      <c r="AB10" s="32">
        <f t="shared" si="41"/>
        <v>-1</v>
      </c>
      <c r="AC10" s="33">
        <f>MAX([1]Examen11!AC7,[1]Examen12!AC7,[1]Examen13!AC7)</f>
        <v>0</v>
      </c>
      <c r="AD10" s="32">
        <f t="shared" si="42"/>
        <v>-1</v>
      </c>
      <c r="AE10" s="33">
        <f>MAX([1]Examen11!AE7,[1]Examen12!AE7,[1]Examen13!AE7)</f>
        <v>0</v>
      </c>
      <c r="AF10" s="32">
        <f t="shared" si="43"/>
        <v>-1</v>
      </c>
      <c r="AG10" s="33">
        <f>MAX([1]Examen11!AG7,[1]Examen12!AG7,[1]Examen13!AG7)</f>
        <v>0</v>
      </c>
      <c r="AH10" s="32">
        <f t="shared" si="44"/>
        <v>-1</v>
      </c>
      <c r="AI10" s="33">
        <f>MAX([1]Examen11!AI7,[1]Examen12!AI7,[1]Examen13!AI7)</f>
        <v>0</v>
      </c>
      <c r="AJ10" s="32">
        <f t="shared" si="45"/>
        <v>-1</v>
      </c>
      <c r="AK10" s="33">
        <f>MAX([1]Examen11!AK7,[1]Examen12!AK7,[1]Examen13!AK7)</f>
        <v>0</v>
      </c>
      <c r="AL10" s="32">
        <f t="shared" si="46"/>
        <v>-1</v>
      </c>
      <c r="AM10" s="33">
        <f>MAX([1]Examen11!AM7,[1]Examen12!AM7,[1]Examen13!AM7)</f>
        <v>0</v>
      </c>
      <c r="AN10" s="32">
        <f t="shared" si="47"/>
        <v>-1</v>
      </c>
      <c r="AO10" s="33">
        <f>MAX([1]Examen11!AO7,[1]Examen12!AO7,[1]Examen13!AO7)</f>
        <v>0</v>
      </c>
      <c r="AP10" s="32">
        <f t="shared" si="48"/>
        <v>-1</v>
      </c>
      <c r="AQ10" s="33">
        <f>MAX([1]Examen11!AQ7,[1]Examen12!AQ7,[1]Examen13!AQ7)</f>
        <v>0</v>
      </c>
      <c r="AR10" s="32">
        <f t="shared" si="49"/>
        <v>-1</v>
      </c>
      <c r="AS10" s="33">
        <f>MAX([1]Examen11!AS7,[1]Examen12!AS7,[1]Examen13!AS7)</f>
        <v>0</v>
      </c>
      <c r="AT10" s="32">
        <f t="shared" si="50"/>
        <v>-1</v>
      </c>
      <c r="AU10" s="33">
        <f>MAX([1]Examen11!AU7,[1]Examen12!AU7,[1]Examen13!AU7)</f>
        <v>0</v>
      </c>
      <c r="AV10" s="32">
        <f t="shared" si="51"/>
        <v>-1</v>
      </c>
      <c r="AW10" s="33">
        <f>MAX([1]Examen11!AW7,[1]Examen12!AW7,[1]Examen13!AW7)</f>
        <v>0</v>
      </c>
      <c r="AX10" s="32">
        <f t="shared" si="52"/>
        <v>-1</v>
      </c>
      <c r="AY10" s="33">
        <f>MAX([1]Examen11!AY7,[1]Examen12!AY7,[1]Examen13!AY7)</f>
        <v>0</v>
      </c>
      <c r="AZ10" s="32">
        <f t="shared" si="53"/>
        <v>-1</v>
      </c>
      <c r="BA10" s="33">
        <f>MAX([1]Examen11!BA7,[1]Examen12!BA7,[1]Examen13!BA7)</f>
        <v>0</v>
      </c>
      <c r="BB10" s="32">
        <f t="shared" si="54"/>
        <v>-1</v>
      </c>
      <c r="BC10" s="33">
        <f>MAX([1]Examen11!BC7,[1]Examen12!BC7,[1]Examen13!BC7)</f>
        <v>0</v>
      </c>
      <c r="BD10" s="32">
        <f t="shared" si="55"/>
        <v>-1</v>
      </c>
      <c r="BE10" s="33">
        <f>MAX([1]Examen11!BE7,[1]Examen12!BE7,[1]Examen13!BE7)</f>
        <v>0</v>
      </c>
      <c r="BF10" s="32">
        <f t="shared" si="56"/>
        <v>-1</v>
      </c>
      <c r="BG10" s="33">
        <f>MAX([1]Examen11!BG7,[1]Examen12!BG7,[1]Examen13!BG7)</f>
        <v>0</v>
      </c>
      <c r="BH10" s="32">
        <f t="shared" si="57"/>
        <v>-1</v>
      </c>
      <c r="BI10" s="33">
        <f>MAX([1]Examen11!BI7,[1]Examen12!BI7,[1]Examen13!BI7)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MAX([1]Examen11!B8,[1]Examen12!B8,[1]Examen13!B8)</f>
        <v>0</v>
      </c>
      <c r="C11" s="33">
        <f>MAX([1]Examen11!C8,[1]Examen12!C8,[1]Examen13!C8)</f>
        <v>0</v>
      </c>
      <c r="D11" s="32">
        <f t="shared" si="29"/>
        <v>-1</v>
      </c>
      <c r="E11" s="33">
        <f>MAX([1]Examen11!E8,[1]Examen12!E8,[1]Examen13!E8)</f>
        <v>0</v>
      </c>
      <c r="F11" s="32">
        <f t="shared" si="30"/>
        <v>-1</v>
      </c>
      <c r="G11" s="33">
        <f>MAX([1]Examen11!G8,[1]Examen12!G8,[1]Examen13!G8)</f>
        <v>0</v>
      </c>
      <c r="H11" s="32">
        <f t="shared" si="31"/>
        <v>-1</v>
      </c>
      <c r="I11" s="33">
        <f>MAX([1]Examen11!I8,[1]Examen12!I8,[1]Examen13!I8)</f>
        <v>0</v>
      </c>
      <c r="J11" s="32">
        <f t="shared" si="32"/>
        <v>-1</v>
      </c>
      <c r="K11" s="33">
        <f>MAX([1]Examen11!K8,[1]Examen12!K8,[1]Examen13!K8)</f>
        <v>0</v>
      </c>
      <c r="L11" s="32">
        <f t="shared" si="33"/>
        <v>-1</v>
      </c>
      <c r="M11" s="33">
        <f>MAX([1]Examen11!M8,[1]Examen12!M8,[1]Examen13!M8)</f>
        <v>0</v>
      </c>
      <c r="N11" s="32">
        <f t="shared" si="34"/>
        <v>-1</v>
      </c>
      <c r="O11" s="33">
        <f>MAX([1]Examen11!O8,[1]Examen12!O8,[1]Examen13!O8)</f>
        <v>0</v>
      </c>
      <c r="P11" s="32">
        <f t="shared" si="35"/>
        <v>-1</v>
      </c>
      <c r="Q11" s="33">
        <f>MAX([1]Examen11!Q8,[1]Examen12!Q8,[1]Examen13!Q8)</f>
        <v>0</v>
      </c>
      <c r="R11" s="32">
        <f t="shared" si="36"/>
        <v>-1</v>
      </c>
      <c r="S11" s="33">
        <f>MAX([1]Examen11!S8,[1]Examen12!S8,[1]Examen13!S8)</f>
        <v>0</v>
      </c>
      <c r="T11" s="32">
        <f t="shared" si="37"/>
        <v>-1</v>
      </c>
      <c r="U11" s="33">
        <f>MAX([1]Examen11!U8,[1]Examen12!U8,[1]Examen13!U8)</f>
        <v>0</v>
      </c>
      <c r="V11" s="32">
        <f t="shared" si="38"/>
        <v>-1</v>
      </c>
      <c r="W11" s="33">
        <f>MAX([1]Examen11!W8,[1]Examen12!W8,[1]Examen13!W8)</f>
        <v>0</v>
      </c>
      <c r="X11" s="32">
        <f t="shared" si="39"/>
        <v>-1</v>
      </c>
      <c r="Y11" s="33">
        <f>MAX([1]Examen11!Y8,[1]Examen12!Y8,[1]Examen13!Y8)</f>
        <v>0</v>
      </c>
      <c r="Z11" s="32">
        <f t="shared" si="40"/>
        <v>-1</v>
      </c>
      <c r="AA11" s="33">
        <f>MAX([1]Examen11!AA8,[1]Examen12!AA8,[1]Examen13!AA8)</f>
        <v>0</v>
      </c>
      <c r="AB11" s="32">
        <f t="shared" si="41"/>
        <v>-1</v>
      </c>
      <c r="AC11" s="33">
        <f>MAX([1]Examen11!AC8,[1]Examen12!AC8,[1]Examen13!AC8)</f>
        <v>0</v>
      </c>
      <c r="AD11" s="32">
        <f t="shared" si="42"/>
        <v>-1</v>
      </c>
      <c r="AE11" s="33">
        <f>MAX([1]Examen11!AE8,[1]Examen12!AE8,[1]Examen13!AE8)</f>
        <v>0</v>
      </c>
      <c r="AF11" s="32">
        <f t="shared" si="43"/>
        <v>-1</v>
      </c>
      <c r="AG11" s="33">
        <f>MAX([1]Examen11!AG8,[1]Examen12!AG8,[1]Examen13!AG8)</f>
        <v>0</v>
      </c>
      <c r="AH11" s="32">
        <f t="shared" si="44"/>
        <v>-1</v>
      </c>
      <c r="AI11" s="33">
        <f>MAX([1]Examen11!AI8,[1]Examen12!AI8,[1]Examen13!AI8)</f>
        <v>0</v>
      </c>
      <c r="AJ11" s="32">
        <f t="shared" si="45"/>
        <v>-1</v>
      </c>
      <c r="AK11" s="33">
        <f>MAX([1]Examen11!AK8,[1]Examen12!AK8,[1]Examen13!AK8)</f>
        <v>0</v>
      </c>
      <c r="AL11" s="32">
        <f t="shared" si="46"/>
        <v>-1</v>
      </c>
      <c r="AM11" s="33">
        <f>MAX([1]Examen11!AM8,[1]Examen12!AM8,[1]Examen13!AM8)</f>
        <v>0</v>
      </c>
      <c r="AN11" s="32">
        <f t="shared" si="47"/>
        <v>-1</v>
      </c>
      <c r="AO11" s="33">
        <f>MAX([1]Examen11!AO8,[1]Examen12!AO8,[1]Examen13!AO8)</f>
        <v>0</v>
      </c>
      <c r="AP11" s="32">
        <f t="shared" si="48"/>
        <v>-1</v>
      </c>
      <c r="AQ11" s="33">
        <f>MAX([1]Examen11!AQ8,[1]Examen12!AQ8,[1]Examen13!AQ8)</f>
        <v>0</v>
      </c>
      <c r="AR11" s="32">
        <f t="shared" si="49"/>
        <v>-1</v>
      </c>
      <c r="AS11" s="33">
        <f>MAX([1]Examen11!AS8,[1]Examen12!AS8,[1]Examen13!AS8)</f>
        <v>0</v>
      </c>
      <c r="AT11" s="32">
        <f t="shared" si="50"/>
        <v>-1</v>
      </c>
      <c r="AU11" s="33">
        <f>MAX([1]Examen11!AU8,[1]Examen12!AU8,[1]Examen13!AU8)</f>
        <v>0</v>
      </c>
      <c r="AV11" s="32">
        <f t="shared" si="51"/>
        <v>-1</v>
      </c>
      <c r="AW11" s="33">
        <f>MAX([1]Examen11!AW8,[1]Examen12!AW8,[1]Examen13!AW8)</f>
        <v>0</v>
      </c>
      <c r="AX11" s="32">
        <f t="shared" si="52"/>
        <v>-1</v>
      </c>
      <c r="AY11" s="33">
        <f>MAX([1]Examen11!AY8,[1]Examen12!AY8,[1]Examen13!AY8)</f>
        <v>0</v>
      </c>
      <c r="AZ11" s="32">
        <f t="shared" si="53"/>
        <v>-1</v>
      </c>
      <c r="BA11" s="33">
        <f>MAX([1]Examen11!BA8,[1]Examen12!BA8,[1]Examen13!BA8)</f>
        <v>0</v>
      </c>
      <c r="BB11" s="32">
        <f t="shared" si="54"/>
        <v>-1</v>
      </c>
      <c r="BC11" s="33">
        <f>MAX([1]Examen11!BC8,[1]Examen12!BC8,[1]Examen13!BC8)</f>
        <v>0</v>
      </c>
      <c r="BD11" s="32">
        <f t="shared" si="55"/>
        <v>-1</v>
      </c>
      <c r="BE11" s="33">
        <f>MAX([1]Examen11!BE8,[1]Examen12!BE8,[1]Examen13!BE8)</f>
        <v>0</v>
      </c>
      <c r="BF11" s="32">
        <f t="shared" si="56"/>
        <v>-1</v>
      </c>
      <c r="BG11" s="33">
        <f>MAX([1]Examen11!BG8,[1]Examen12!BG8,[1]Examen13!BG8)</f>
        <v>0</v>
      </c>
      <c r="BH11" s="32">
        <f t="shared" si="57"/>
        <v>-1</v>
      </c>
      <c r="BI11" s="33">
        <f>MAX([1]Examen11!BI8,[1]Examen12!BI8,[1]Examen13!BI8)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MAX([1]Examen11!B9,[1]Examen12!B9,[1]Examen13!B9)</f>
        <v>0</v>
      </c>
      <c r="C12" s="33">
        <f>MAX([1]Examen11!C9,[1]Examen12!C9,[1]Examen13!C9)</f>
        <v>0</v>
      </c>
      <c r="D12" s="32">
        <f t="shared" si="29"/>
        <v>-1</v>
      </c>
      <c r="E12" s="33">
        <f>MAX([1]Examen11!E9,[1]Examen12!E9,[1]Examen13!E9)</f>
        <v>0</v>
      </c>
      <c r="F12" s="32">
        <f t="shared" si="30"/>
        <v>-1</v>
      </c>
      <c r="G12" s="33">
        <f>MAX([1]Examen11!G9,[1]Examen12!G9,[1]Examen13!G9)</f>
        <v>0</v>
      </c>
      <c r="H12" s="32">
        <f t="shared" si="31"/>
        <v>-1</v>
      </c>
      <c r="I12" s="33">
        <f>MAX([1]Examen11!I9,[1]Examen12!I9,[1]Examen13!I9)</f>
        <v>0</v>
      </c>
      <c r="J12" s="32">
        <f t="shared" si="32"/>
        <v>-1</v>
      </c>
      <c r="K12" s="33">
        <f>MAX([1]Examen11!K9,[1]Examen12!K9,[1]Examen13!K9)</f>
        <v>0</v>
      </c>
      <c r="L12" s="32">
        <f t="shared" si="33"/>
        <v>-1</v>
      </c>
      <c r="M12" s="33">
        <f>MAX([1]Examen11!M9,[1]Examen12!M9,[1]Examen13!M9)</f>
        <v>0</v>
      </c>
      <c r="N12" s="32">
        <f t="shared" si="34"/>
        <v>-1</v>
      </c>
      <c r="O12" s="33">
        <f>MAX([1]Examen11!O9,[1]Examen12!O9,[1]Examen13!O9)</f>
        <v>0</v>
      </c>
      <c r="P12" s="32">
        <f t="shared" si="35"/>
        <v>-1</v>
      </c>
      <c r="Q12" s="33">
        <f>MAX([1]Examen11!Q9,[1]Examen12!Q9,[1]Examen13!Q9)</f>
        <v>0</v>
      </c>
      <c r="R12" s="32">
        <f t="shared" si="36"/>
        <v>-1</v>
      </c>
      <c r="S12" s="33">
        <f>MAX([1]Examen11!S9,[1]Examen12!S9,[1]Examen13!S9)</f>
        <v>0</v>
      </c>
      <c r="T12" s="32">
        <f t="shared" si="37"/>
        <v>-1</v>
      </c>
      <c r="U12" s="33">
        <f>MAX([1]Examen11!U9,[1]Examen12!U9,[1]Examen13!U9)</f>
        <v>0</v>
      </c>
      <c r="V12" s="32">
        <f t="shared" si="38"/>
        <v>-1</v>
      </c>
      <c r="W12" s="33">
        <f>MAX([1]Examen11!W9,[1]Examen12!W9,[1]Examen13!W9)</f>
        <v>0</v>
      </c>
      <c r="X12" s="32">
        <f t="shared" si="39"/>
        <v>-1</v>
      </c>
      <c r="Y12" s="33">
        <f>MAX([1]Examen11!Y9,[1]Examen12!Y9,[1]Examen13!Y9)</f>
        <v>0</v>
      </c>
      <c r="Z12" s="32">
        <f t="shared" si="40"/>
        <v>-1</v>
      </c>
      <c r="AA12" s="33">
        <f>MAX([1]Examen11!AA9,[1]Examen12!AA9,[1]Examen13!AA9)</f>
        <v>0</v>
      </c>
      <c r="AB12" s="32">
        <f t="shared" si="41"/>
        <v>-1</v>
      </c>
      <c r="AC12" s="33">
        <f>MAX([1]Examen11!AC9,[1]Examen12!AC9,[1]Examen13!AC9)</f>
        <v>0</v>
      </c>
      <c r="AD12" s="32">
        <f t="shared" si="42"/>
        <v>-1</v>
      </c>
      <c r="AE12" s="33">
        <f>MAX([1]Examen11!AE9,[1]Examen12!AE9,[1]Examen13!AE9)</f>
        <v>0</v>
      </c>
      <c r="AF12" s="32">
        <f t="shared" si="43"/>
        <v>-1</v>
      </c>
      <c r="AG12" s="33">
        <f>MAX([1]Examen11!AG9,[1]Examen12!AG9,[1]Examen13!AG9)</f>
        <v>0</v>
      </c>
      <c r="AH12" s="32">
        <f t="shared" si="44"/>
        <v>-1</v>
      </c>
      <c r="AI12" s="33">
        <f>MAX([1]Examen11!AI9,[1]Examen12!AI9,[1]Examen13!AI9)</f>
        <v>0</v>
      </c>
      <c r="AJ12" s="32">
        <f t="shared" si="45"/>
        <v>-1</v>
      </c>
      <c r="AK12" s="33">
        <f>MAX([1]Examen11!AK9,[1]Examen12!AK9,[1]Examen13!AK9)</f>
        <v>0</v>
      </c>
      <c r="AL12" s="32">
        <f t="shared" si="46"/>
        <v>-1</v>
      </c>
      <c r="AM12" s="33">
        <f>MAX([1]Examen11!AM9,[1]Examen12!AM9,[1]Examen13!AM9)</f>
        <v>0</v>
      </c>
      <c r="AN12" s="32">
        <f t="shared" si="47"/>
        <v>-1</v>
      </c>
      <c r="AO12" s="33">
        <f>MAX([1]Examen11!AO9,[1]Examen12!AO9,[1]Examen13!AO9)</f>
        <v>0</v>
      </c>
      <c r="AP12" s="32">
        <f t="shared" si="48"/>
        <v>-1</v>
      </c>
      <c r="AQ12" s="33">
        <f>MAX([1]Examen11!AQ9,[1]Examen12!AQ9,[1]Examen13!AQ9)</f>
        <v>0</v>
      </c>
      <c r="AR12" s="32">
        <f t="shared" si="49"/>
        <v>-1</v>
      </c>
      <c r="AS12" s="33">
        <f>MAX([1]Examen11!AS9,[1]Examen12!AS9,[1]Examen13!AS9)</f>
        <v>0</v>
      </c>
      <c r="AT12" s="32">
        <f t="shared" si="50"/>
        <v>-1</v>
      </c>
      <c r="AU12" s="33">
        <f>MAX([1]Examen11!AU9,[1]Examen12!AU9,[1]Examen13!AU9)</f>
        <v>0</v>
      </c>
      <c r="AV12" s="32">
        <f t="shared" si="51"/>
        <v>-1</v>
      </c>
      <c r="AW12" s="33">
        <f>MAX([1]Examen11!AW9,[1]Examen12!AW9,[1]Examen13!AW9)</f>
        <v>0</v>
      </c>
      <c r="AX12" s="32">
        <f t="shared" si="52"/>
        <v>-1</v>
      </c>
      <c r="AY12" s="33">
        <f>MAX([1]Examen11!AY9,[1]Examen12!AY9,[1]Examen13!AY9)</f>
        <v>0</v>
      </c>
      <c r="AZ12" s="32">
        <f t="shared" si="53"/>
        <v>-1</v>
      </c>
      <c r="BA12" s="33">
        <f>MAX([1]Examen11!BA9,[1]Examen12!BA9,[1]Examen13!BA9)</f>
        <v>0</v>
      </c>
      <c r="BB12" s="32">
        <f t="shared" si="54"/>
        <v>-1</v>
      </c>
      <c r="BC12" s="33">
        <f>MAX([1]Examen11!BC9,[1]Examen12!BC9,[1]Examen13!BC9)</f>
        <v>0</v>
      </c>
      <c r="BD12" s="32">
        <f t="shared" si="55"/>
        <v>-1</v>
      </c>
      <c r="BE12" s="33">
        <f>MAX([1]Examen11!BE9,[1]Examen12!BE9,[1]Examen13!BE9)</f>
        <v>0</v>
      </c>
      <c r="BF12" s="32">
        <f t="shared" si="56"/>
        <v>-1</v>
      </c>
      <c r="BG12" s="33">
        <f>MAX([1]Examen11!BG9,[1]Examen12!BG9,[1]Examen13!BG9)</f>
        <v>0</v>
      </c>
      <c r="BH12" s="32">
        <f t="shared" si="57"/>
        <v>-1</v>
      </c>
      <c r="BI12" s="33">
        <f>MAX([1]Examen11!BI9,[1]Examen12!BI9,[1]Examen13!BI9)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MAX([1]Examen11!B10,[1]Examen12!B10,[1]Examen13!B10)</f>
        <v>0</v>
      </c>
      <c r="C13" s="33">
        <f>MAX([1]Examen11!C10,[1]Examen12!C10,[1]Examen13!C10)</f>
        <v>0</v>
      </c>
      <c r="D13" s="32">
        <f t="shared" si="29"/>
        <v>-1</v>
      </c>
      <c r="E13" s="33">
        <f>MAX([1]Examen11!E10,[1]Examen12!E10,[1]Examen13!E10)</f>
        <v>0</v>
      </c>
      <c r="F13" s="32">
        <f t="shared" si="30"/>
        <v>-1</v>
      </c>
      <c r="G13" s="33">
        <f>MAX([1]Examen11!G10,[1]Examen12!G10,[1]Examen13!G10)</f>
        <v>0</v>
      </c>
      <c r="H13" s="32">
        <f t="shared" si="31"/>
        <v>-1</v>
      </c>
      <c r="I13" s="33">
        <f>MAX([1]Examen11!I10,[1]Examen12!I10,[1]Examen13!I10)</f>
        <v>0</v>
      </c>
      <c r="J13" s="32">
        <f t="shared" si="32"/>
        <v>-1</v>
      </c>
      <c r="K13" s="33">
        <f>MAX([1]Examen11!K10,[1]Examen12!K10,[1]Examen13!K10)</f>
        <v>0</v>
      </c>
      <c r="L13" s="32">
        <f t="shared" si="33"/>
        <v>-1</v>
      </c>
      <c r="M13" s="33">
        <f>MAX([1]Examen11!M10,[1]Examen12!M10,[1]Examen13!M10)</f>
        <v>0</v>
      </c>
      <c r="N13" s="32">
        <f t="shared" si="34"/>
        <v>-1</v>
      </c>
      <c r="O13" s="33">
        <f>MAX([1]Examen11!O10,[1]Examen12!O10,[1]Examen13!O10)</f>
        <v>0</v>
      </c>
      <c r="P13" s="32">
        <f t="shared" si="35"/>
        <v>-1</v>
      </c>
      <c r="Q13" s="33">
        <f>MAX([1]Examen11!Q10,[1]Examen12!Q10,[1]Examen13!Q10)</f>
        <v>0</v>
      </c>
      <c r="R13" s="32">
        <f t="shared" si="36"/>
        <v>-1</v>
      </c>
      <c r="S13" s="33">
        <f>MAX([1]Examen11!S10,[1]Examen12!S10,[1]Examen13!S10)</f>
        <v>0</v>
      </c>
      <c r="T13" s="32">
        <f t="shared" si="37"/>
        <v>-1</v>
      </c>
      <c r="U13" s="33">
        <f>MAX([1]Examen11!U10,[1]Examen12!U10,[1]Examen13!U10)</f>
        <v>0</v>
      </c>
      <c r="V13" s="32">
        <f t="shared" si="38"/>
        <v>-1</v>
      </c>
      <c r="W13" s="33">
        <f>MAX([1]Examen11!W10,[1]Examen12!W10,[1]Examen13!W10)</f>
        <v>0</v>
      </c>
      <c r="X13" s="32">
        <f t="shared" si="39"/>
        <v>-1</v>
      </c>
      <c r="Y13" s="33">
        <f>MAX([1]Examen11!Y10,[1]Examen12!Y10,[1]Examen13!Y10)</f>
        <v>0</v>
      </c>
      <c r="Z13" s="32">
        <f t="shared" si="40"/>
        <v>-1</v>
      </c>
      <c r="AA13" s="33">
        <f>MAX([1]Examen11!AA10,[1]Examen12!AA10,[1]Examen13!AA10)</f>
        <v>0</v>
      </c>
      <c r="AB13" s="32">
        <f t="shared" si="41"/>
        <v>-1</v>
      </c>
      <c r="AC13" s="33">
        <f>MAX([1]Examen11!AC10,[1]Examen12!AC10,[1]Examen13!AC10)</f>
        <v>0</v>
      </c>
      <c r="AD13" s="32">
        <f t="shared" si="42"/>
        <v>-1</v>
      </c>
      <c r="AE13" s="33">
        <f>MAX([1]Examen11!AE10,[1]Examen12!AE10,[1]Examen13!AE10)</f>
        <v>0</v>
      </c>
      <c r="AF13" s="32">
        <f t="shared" si="43"/>
        <v>-1</v>
      </c>
      <c r="AG13" s="33">
        <f>MAX([1]Examen11!AG10,[1]Examen12!AG10,[1]Examen13!AG10)</f>
        <v>0</v>
      </c>
      <c r="AH13" s="32">
        <f t="shared" si="44"/>
        <v>-1</v>
      </c>
      <c r="AI13" s="33">
        <f>MAX([1]Examen11!AI10,[1]Examen12!AI10,[1]Examen13!AI10)</f>
        <v>0</v>
      </c>
      <c r="AJ13" s="32">
        <f t="shared" si="45"/>
        <v>-1</v>
      </c>
      <c r="AK13" s="33">
        <f>MAX([1]Examen11!AK10,[1]Examen12!AK10,[1]Examen13!AK10)</f>
        <v>0</v>
      </c>
      <c r="AL13" s="32">
        <f t="shared" si="46"/>
        <v>-1</v>
      </c>
      <c r="AM13" s="33">
        <f>MAX([1]Examen11!AM10,[1]Examen12!AM10,[1]Examen13!AM10)</f>
        <v>0</v>
      </c>
      <c r="AN13" s="32">
        <f t="shared" si="47"/>
        <v>-1</v>
      </c>
      <c r="AO13" s="33">
        <f>MAX([1]Examen11!AO10,[1]Examen12!AO10,[1]Examen13!AO10)</f>
        <v>0</v>
      </c>
      <c r="AP13" s="32">
        <f t="shared" si="48"/>
        <v>-1</v>
      </c>
      <c r="AQ13" s="33">
        <f>MAX([1]Examen11!AQ10,[1]Examen12!AQ10,[1]Examen13!AQ10)</f>
        <v>0</v>
      </c>
      <c r="AR13" s="32">
        <f t="shared" si="49"/>
        <v>-1</v>
      </c>
      <c r="AS13" s="33">
        <f>MAX([1]Examen11!AS10,[1]Examen12!AS10,[1]Examen13!AS10)</f>
        <v>0</v>
      </c>
      <c r="AT13" s="32">
        <f t="shared" si="50"/>
        <v>-1</v>
      </c>
      <c r="AU13" s="33">
        <f>MAX([1]Examen11!AU10,[1]Examen12!AU10,[1]Examen13!AU10)</f>
        <v>0</v>
      </c>
      <c r="AV13" s="32">
        <f t="shared" si="51"/>
        <v>-1</v>
      </c>
      <c r="AW13" s="33">
        <f>MAX([1]Examen11!AW10,[1]Examen12!AW10,[1]Examen13!AW10)</f>
        <v>0</v>
      </c>
      <c r="AX13" s="32">
        <f t="shared" si="52"/>
        <v>-1</v>
      </c>
      <c r="AY13" s="33">
        <f>MAX([1]Examen11!AY10,[1]Examen12!AY10,[1]Examen13!AY10)</f>
        <v>0</v>
      </c>
      <c r="AZ13" s="32">
        <f t="shared" si="53"/>
        <v>-1</v>
      </c>
      <c r="BA13" s="33">
        <f>MAX([1]Examen11!BA10,[1]Examen12!BA10,[1]Examen13!BA10)</f>
        <v>0</v>
      </c>
      <c r="BB13" s="32">
        <f t="shared" si="54"/>
        <v>-1</v>
      </c>
      <c r="BC13" s="33">
        <f>MAX([1]Examen11!BC10,[1]Examen12!BC10,[1]Examen13!BC10)</f>
        <v>0</v>
      </c>
      <c r="BD13" s="32">
        <f t="shared" si="55"/>
        <v>-1</v>
      </c>
      <c r="BE13" s="33">
        <f>MAX([1]Examen11!BE10,[1]Examen12!BE10,[1]Examen13!BE10)</f>
        <v>0</v>
      </c>
      <c r="BF13" s="32">
        <f t="shared" si="56"/>
        <v>-1</v>
      </c>
      <c r="BG13" s="33">
        <f>MAX([1]Examen11!BG10,[1]Examen12!BG10,[1]Examen13!BG10)</f>
        <v>0</v>
      </c>
      <c r="BH13" s="32">
        <f t="shared" si="57"/>
        <v>-1</v>
      </c>
      <c r="BI13" s="33">
        <f>MAX([1]Examen11!BI10,[1]Examen12!BI10,[1]Examen13!BI10)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MAX([1]Examen11!B11,[1]Examen12!B11,[1]Examen13!B11)</f>
        <v>0</v>
      </c>
      <c r="C14" s="33">
        <f>MAX([1]Examen11!C11,[1]Examen12!C11,[1]Examen13!C11)</f>
        <v>0</v>
      </c>
      <c r="D14" s="32">
        <f t="shared" si="29"/>
        <v>-1</v>
      </c>
      <c r="E14" s="33">
        <f>MAX([1]Examen11!E11,[1]Examen12!E11,[1]Examen13!E11)</f>
        <v>0</v>
      </c>
      <c r="F14" s="32">
        <f t="shared" si="30"/>
        <v>-1</v>
      </c>
      <c r="G14" s="33">
        <f>MAX([1]Examen11!G11,[1]Examen12!G11,[1]Examen13!G11)</f>
        <v>0</v>
      </c>
      <c r="H14" s="32">
        <f t="shared" si="31"/>
        <v>-1</v>
      </c>
      <c r="I14" s="33">
        <f>MAX([1]Examen11!I11,[1]Examen12!I11,[1]Examen13!I11)</f>
        <v>0</v>
      </c>
      <c r="J14" s="32">
        <f t="shared" si="32"/>
        <v>-1</v>
      </c>
      <c r="K14" s="33">
        <f>MAX([1]Examen11!K11,[1]Examen12!K11,[1]Examen13!K11)</f>
        <v>0</v>
      </c>
      <c r="L14" s="32">
        <f t="shared" si="33"/>
        <v>-1</v>
      </c>
      <c r="M14" s="33">
        <f>MAX([1]Examen11!M11,[1]Examen12!M11,[1]Examen13!M11)</f>
        <v>0</v>
      </c>
      <c r="N14" s="32">
        <f t="shared" si="34"/>
        <v>-1</v>
      </c>
      <c r="O14" s="33">
        <f>MAX([1]Examen11!O11,[1]Examen12!O11,[1]Examen13!O11)</f>
        <v>0</v>
      </c>
      <c r="P14" s="32">
        <f t="shared" si="35"/>
        <v>-1</v>
      </c>
      <c r="Q14" s="33">
        <f>MAX([1]Examen11!Q11,[1]Examen12!Q11,[1]Examen13!Q11)</f>
        <v>0</v>
      </c>
      <c r="R14" s="32">
        <f t="shared" si="36"/>
        <v>-1</v>
      </c>
      <c r="S14" s="33">
        <f>MAX([1]Examen11!S11,[1]Examen12!S11,[1]Examen13!S11)</f>
        <v>0</v>
      </c>
      <c r="T14" s="32">
        <f t="shared" si="37"/>
        <v>-1</v>
      </c>
      <c r="U14" s="33">
        <f>MAX([1]Examen11!U11,[1]Examen12!U11,[1]Examen13!U11)</f>
        <v>0</v>
      </c>
      <c r="V14" s="32">
        <f t="shared" si="38"/>
        <v>-1</v>
      </c>
      <c r="W14" s="33">
        <f>MAX([1]Examen11!W11,[1]Examen12!W11,[1]Examen13!W11)</f>
        <v>0</v>
      </c>
      <c r="X14" s="32">
        <f t="shared" si="39"/>
        <v>-1</v>
      </c>
      <c r="Y14" s="33">
        <f>MAX([1]Examen11!Y11,[1]Examen12!Y11,[1]Examen13!Y11)</f>
        <v>0</v>
      </c>
      <c r="Z14" s="32">
        <f t="shared" si="40"/>
        <v>-1</v>
      </c>
      <c r="AA14" s="33">
        <f>MAX([1]Examen11!AA11,[1]Examen12!AA11,[1]Examen13!AA11)</f>
        <v>0</v>
      </c>
      <c r="AB14" s="32">
        <f t="shared" si="41"/>
        <v>-1</v>
      </c>
      <c r="AC14" s="33">
        <f>MAX([1]Examen11!AC11,[1]Examen12!AC11,[1]Examen13!AC11)</f>
        <v>0</v>
      </c>
      <c r="AD14" s="32">
        <f t="shared" si="42"/>
        <v>-1</v>
      </c>
      <c r="AE14" s="33">
        <f>MAX([1]Examen11!AE11,[1]Examen12!AE11,[1]Examen13!AE11)</f>
        <v>0</v>
      </c>
      <c r="AF14" s="32">
        <f t="shared" si="43"/>
        <v>-1</v>
      </c>
      <c r="AG14" s="33">
        <f>MAX([1]Examen11!AG11,[1]Examen12!AG11,[1]Examen13!AG11)</f>
        <v>0</v>
      </c>
      <c r="AH14" s="32">
        <f t="shared" si="44"/>
        <v>-1</v>
      </c>
      <c r="AI14" s="33">
        <f>MAX([1]Examen11!AI11,[1]Examen12!AI11,[1]Examen13!AI11)</f>
        <v>0</v>
      </c>
      <c r="AJ14" s="32">
        <f t="shared" si="45"/>
        <v>-1</v>
      </c>
      <c r="AK14" s="33">
        <f>MAX([1]Examen11!AK11,[1]Examen12!AK11,[1]Examen13!AK11)</f>
        <v>0</v>
      </c>
      <c r="AL14" s="32">
        <f t="shared" si="46"/>
        <v>-1</v>
      </c>
      <c r="AM14" s="33">
        <f>MAX([1]Examen11!AM11,[1]Examen12!AM11,[1]Examen13!AM11)</f>
        <v>0</v>
      </c>
      <c r="AN14" s="32">
        <f t="shared" si="47"/>
        <v>-1</v>
      </c>
      <c r="AO14" s="33">
        <f>MAX([1]Examen11!AO11,[1]Examen12!AO11,[1]Examen13!AO11)</f>
        <v>0</v>
      </c>
      <c r="AP14" s="32">
        <f t="shared" si="48"/>
        <v>-1</v>
      </c>
      <c r="AQ14" s="33">
        <f>MAX([1]Examen11!AQ11,[1]Examen12!AQ11,[1]Examen13!AQ11)</f>
        <v>0</v>
      </c>
      <c r="AR14" s="32">
        <f t="shared" si="49"/>
        <v>-1</v>
      </c>
      <c r="AS14" s="33">
        <f>MAX([1]Examen11!AS11,[1]Examen12!AS11,[1]Examen13!AS11)</f>
        <v>0</v>
      </c>
      <c r="AT14" s="32">
        <f t="shared" si="50"/>
        <v>-1</v>
      </c>
      <c r="AU14" s="33">
        <f>MAX([1]Examen11!AU11,[1]Examen12!AU11,[1]Examen13!AU11)</f>
        <v>0</v>
      </c>
      <c r="AV14" s="32">
        <f t="shared" si="51"/>
        <v>-1</v>
      </c>
      <c r="AW14" s="33">
        <f>MAX([1]Examen11!AW11,[1]Examen12!AW11,[1]Examen13!AW11)</f>
        <v>0</v>
      </c>
      <c r="AX14" s="32">
        <f t="shared" si="52"/>
        <v>-1</v>
      </c>
      <c r="AY14" s="33">
        <f>MAX([1]Examen11!AY11,[1]Examen12!AY11,[1]Examen13!AY11)</f>
        <v>0</v>
      </c>
      <c r="AZ14" s="32">
        <f t="shared" si="53"/>
        <v>-1</v>
      </c>
      <c r="BA14" s="33">
        <f>MAX([1]Examen11!BA11,[1]Examen12!BA11,[1]Examen13!BA11)</f>
        <v>0</v>
      </c>
      <c r="BB14" s="32">
        <f t="shared" si="54"/>
        <v>-1</v>
      </c>
      <c r="BC14" s="33">
        <f>MAX([1]Examen11!BC11,[1]Examen12!BC11,[1]Examen13!BC11)</f>
        <v>0</v>
      </c>
      <c r="BD14" s="32">
        <f t="shared" si="55"/>
        <v>-1</v>
      </c>
      <c r="BE14" s="33">
        <f>MAX([1]Examen11!BE11,[1]Examen12!BE11,[1]Examen13!BE11)</f>
        <v>0</v>
      </c>
      <c r="BF14" s="32">
        <f t="shared" si="56"/>
        <v>-1</v>
      </c>
      <c r="BG14" s="33">
        <f>MAX([1]Examen11!BG11,[1]Examen12!BG11,[1]Examen13!BG11)</f>
        <v>0</v>
      </c>
      <c r="BH14" s="32">
        <f t="shared" si="57"/>
        <v>-1</v>
      </c>
      <c r="BI14" s="33">
        <f>MAX([1]Examen11!BI11,[1]Examen12!BI11,[1]Examen13!BI11)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MAX([1]Examen11!B12,[1]Examen12!B12,[1]Examen13!B12)</f>
        <v>0</v>
      </c>
      <c r="C15" s="33">
        <f>MAX([1]Examen11!C12,[1]Examen12!C12,[1]Examen13!C12)</f>
        <v>0</v>
      </c>
      <c r="D15" s="32">
        <f t="shared" si="29"/>
        <v>-1</v>
      </c>
      <c r="E15" s="33">
        <f>MAX([1]Examen11!E12,[1]Examen12!E12,[1]Examen13!E12)</f>
        <v>0</v>
      </c>
      <c r="F15" s="32">
        <f t="shared" si="30"/>
        <v>-1</v>
      </c>
      <c r="G15" s="33">
        <f>MAX([1]Examen11!G12,[1]Examen12!G12,[1]Examen13!G12)</f>
        <v>0</v>
      </c>
      <c r="H15" s="32">
        <f t="shared" si="31"/>
        <v>-1</v>
      </c>
      <c r="I15" s="33">
        <f>MAX([1]Examen11!I12,[1]Examen12!I12,[1]Examen13!I12)</f>
        <v>0</v>
      </c>
      <c r="J15" s="32">
        <f t="shared" si="32"/>
        <v>-1</v>
      </c>
      <c r="K15" s="33">
        <f>MAX([1]Examen11!K12,[1]Examen12!K12,[1]Examen13!K12)</f>
        <v>0</v>
      </c>
      <c r="L15" s="32">
        <f t="shared" si="33"/>
        <v>-1</v>
      </c>
      <c r="M15" s="33">
        <f>MAX([1]Examen11!M12,[1]Examen12!M12,[1]Examen13!M12)</f>
        <v>0</v>
      </c>
      <c r="N15" s="32">
        <f t="shared" si="34"/>
        <v>-1</v>
      </c>
      <c r="O15" s="33">
        <f>MAX([1]Examen11!O12,[1]Examen12!O12,[1]Examen13!O12)</f>
        <v>0</v>
      </c>
      <c r="P15" s="32">
        <f t="shared" si="35"/>
        <v>-1</v>
      </c>
      <c r="Q15" s="33">
        <f>MAX([1]Examen11!Q12,[1]Examen12!Q12,[1]Examen13!Q12)</f>
        <v>0</v>
      </c>
      <c r="R15" s="32">
        <f t="shared" si="36"/>
        <v>-1</v>
      </c>
      <c r="S15" s="33">
        <f>MAX([1]Examen11!S12,[1]Examen12!S12,[1]Examen13!S12)</f>
        <v>0</v>
      </c>
      <c r="T15" s="32">
        <f t="shared" si="37"/>
        <v>-1</v>
      </c>
      <c r="U15" s="33">
        <f>MAX([1]Examen11!U12,[1]Examen12!U12,[1]Examen13!U12)</f>
        <v>0</v>
      </c>
      <c r="V15" s="32">
        <f t="shared" si="38"/>
        <v>-1</v>
      </c>
      <c r="W15" s="33">
        <f>MAX([1]Examen11!W12,[1]Examen12!W12,[1]Examen13!W12)</f>
        <v>0</v>
      </c>
      <c r="X15" s="32">
        <f t="shared" si="39"/>
        <v>-1</v>
      </c>
      <c r="Y15" s="33">
        <f>MAX([1]Examen11!Y12,[1]Examen12!Y12,[1]Examen13!Y12)</f>
        <v>0</v>
      </c>
      <c r="Z15" s="32">
        <f t="shared" si="40"/>
        <v>-1</v>
      </c>
      <c r="AA15" s="33">
        <f>MAX([1]Examen11!AA12,[1]Examen12!AA12,[1]Examen13!AA12)</f>
        <v>0</v>
      </c>
      <c r="AB15" s="32">
        <f t="shared" si="41"/>
        <v>-1</v>
      </c>
      <c r="AC15" s="33">
        <f>MAX([1]Examen11!AC12,[1]Examen12!AC12,[1]Examen13!AC12)</f>
        <v>0</v>
      </c>
      <c r="AD15" s="32">
        <f t="shared" si="42"/>
        <v>-1</v>
      </c>
      <c r="AE15" s="33">
        <f>MAX([1]Examen11!AE12,[1]Examen12!AE12,[1]Examen13!AE12)</f>
        <v>0</v>
      </c>
      <c r="AF15" s="32">
        <f t="shared" si="43"/>
        <v>-1</v>
      </c>
      <c r="AG15" s="33">
        <f>MAX([1]Examen11!AG12,[1]Examen12!AG12,[1]Examen13!AG12)</f>
        <v>0</v>
      </c>
      <c r="AH15" s="32">
        <f t="shared" si="44"/>
        <v>-1</v>
      </c>
      <c r="AI15" s="33">
        <f>MAX([1]Examen11!AI12,[1]Examen12!AI12,[1]Examen13!AI12)</f>
        <v>0</v>
      </c>
      <c r="AJ15" s="32">
        <f t="shared" si="45"/>
        <v>-1</v>
      </c>
      <c r="AK15" s="33">
        <f>MAX([1]Examen11!AK12,[1]Examen12!AK12,[1]Examen13!AK12)</f>
        <v>0</v>
      </c>
      <c r="AL15" s="32">
        <f t="shared" si="46"/>
        <v>-1</v>
      </c>
      <c r="AM15" s="33">
        <f>MAX([1]Examen11!AM12,[1]Examen12!AM12,[1]Examen13!AM12)</f>
        <v>0</v>
      </c>
      <c r="AN15" s="32">
        <f t="shared" si="47"/>
        <v>-1</v>
      </c>
      <c r="AO15" s="33">
        <f>MAX([1]Examen11!AO12,[1]Examen12!AO12,[1]Examen13!AO12)</f>
        <v>0</v>
      </c>
      <c r="AP15" s="32">
        <f t="shared" si="48"/>
        <v>-1</v>
      </c>
      <c r="AQ15" s="33">
        <f>MAX([1]Examen11!AQ12,[1]Examen12!AQ12,[1]Examen13!AQ12)</f>
        <v>0</v>
      </c>
      <c r="AR15" s="32">
        <f t="shared" si="49"/>
        <v>-1</v>
      </c>
      <c r="AS15" s="33">
        <f>MAX([1]Examen11!AS12,[1]Examen12!AS12,[1]Examen13!AS12)</f>
        <v>0</v>
      </c>
      <c r="AT15" s="32">
        <f t="shared" si="50"/>
        <v>-1</v>
      </c>
      <c r="AU15" s="33">
        <f>MAX([1]Examen11!AU12,[1]Examen12!AU12,[1]Examen13!AU12)</f>
        <v>0</v>
      </c>
      <c r="AV15" s="32">
        <f t="shared" si="51"/>
        <v>-1</v>
      </c>
      <c r="AW15" s="33">
        <f>MAX([1]Examen11!AW12,[1]Examen12!AW12,[1]Examen13!AW12)</f>
        <v>0</v>
      </c>
      <c r="AX15" s="32">
        <f t="shared" si="52"/>
        <v>-1</v>
      </c>
      <c r="AY15" s="33">
        <f>MAX([1]Examen11!AY12,[1]Examen12!AY12,[1]Examen13!AY12)</f>
        <v>0</v>
      </c>
      <c r="AZ15" s="32">
        <f t="shared" si="53"/>
        <v>-1</v>
      </c>
      <c r="BA15" s="33">
        <f>MAX([1]Examen11!BA12,[1]Examen12!BA12,[1]Examen13!BA12)</f>
        <v>0</v>
      </c>
      <c r="BB15" s="32">
        <f t="shared" si="54"/>
        <v>-1</v>
      </c>
      <c r="BC15" s="33">
        <f>MAX([1]Examen11!BC12,[1]Examen12!BC12,[1]Examen13!BC12)</f>
        <v>0</v>
      </c>
      <c r="BD15" s="32">
        <f t="shared" si="55"/>
        <v>-1</v>
      </c>
      <c r="BE15" s="33">
        <f>MAX([1]Examen11!BE12,[1]Examen12!BE12,[1]Examen13!BE12)</f>
        <v>0</v>
      </c>
      <c r="BF15" s="32">
        <f t="shared" si="56"/>
        <v>-1</v>
      </c>
      <c r="BG15" s="33">
        <f>MAX([1]Examen11!BG12,[1]Examen12!BG12,[1]Examen13!BG12)</f>
        <v>0</v>
      </c>
      <c r="BH15" s="32">
        <f t="shared" si="57"/>
        <v>-1</v>
      </c>
      <c r="BI15" s="33">
        <f>MAX([1]Examen11!BI12,[1]Examen12!BI12,[1]Examen13!BI12)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MAX([1]Examen11!B14,[1]Examen12!B14,[1]Examen13!B14)</f>
        <v>0</v>
      </c>
      <c r="C17" s="33">
        <f>MAX([1]Examen11!C14,[1]Examen12!C14,[1]Examen13!C14)</f>
        <v>0</v>
      </c>
      <c r="D17" s="32">
        <f t="shared" ref="D17:D37" si="59">IF($B17,C17/$B17,-1)</f>
        <v>-1</v>
      </c>
      <c r="E17" s="33">
        <f>MAX([1]Examen11!E14,[1]Examen12!E14,[1]Examen13!E14)</f>
        <v>0</v>
      </c>
      <c r="F17" s="32">
        <f t="shared" ref="F17:F37" si="60">IF($B17,E17/$B17,-1)</f>
        <v>-1</v>
      </c>
      <c r="G17" s="33">
        <f>MAX([1]Examen11!G14,[1]Examen12!G14,[1]Examen13!G14)</f>
        <v>0</v>
      </c>
      <c r="H17" s="32">
        <f t="shared" ref="H17:H37" si="61">IF($B17,G17/$B17,-1)</f>
        <v>-1</v>
      </c>
      <c r="I17" s="33">
        <f>MAX([1]Examen11!I14,[1]Examen12!I14,[1]Examen13!I14)</f>
        <v>0</v>
      </c>
      <c r="J17" s="32">
        <f t="shared" ref="J17:J37" si="62">IF($B17,I17/$B17,-1)</f>
        <v>-1</v>
      </c>
      <c r="K17" s="33">
        <f>MAX([1]Examen11!K14,[1]Examen12!K14,[1]Examen13!K14)</f>
        <v>0</v>
      </c>
      <c r="L17" s="32">
        <f t="shared" ref="L17:L37" si="63">IF($B17,K17/$B17,-1)</f>
        <v>-1</v>
      </c>
      <c r="M17" s="33">
        <f>MAX([1]Examen11!M14,[1]Examen12!M14,[1]Examen13!M14)</f>
        <v>0</v>
      </c>
      <c r="N17" s="32">
        <f t="shared" ref="N17:N37" si="64">IF($B17,M17/$B17,-1)</f>
        <v>-1</v>
      </c>
      <c r="O17" s="33">
        <f>MAX([1]Examen11!O14,[1]Examen12!O14,[1]Examen13!O14)</f>
        <v>0</v>
      </c>
      <c r="P17" s="32">
        <f t="shared" ref="P17:P37" si="65">IF($B17,O17/$B17,-1)</f>
        <v>-1</v>
      </c>
      <c r="Q17" s="33">
        <f>MAX([1]Examen11!Q14,[1]Examen12!Q14,[1]Examen13!Q14)</f>
        <v>0</v>
      </c>
      <c r="R17" s="32">
        <f t="shared" ref="R17:R37" si="66">IF($B17,Q17/$B17,-1)</f>
        <v>-1</v>
      </c>
      <c r="S17" s="33">
        <f>MAX([1]Examen11!S14,[1]Examen12!S14,[1]Examen13!S14)</f>
        <v>0</v>
      </c>
      <c r="T17" s="32">
        <f t="shared" ref="T17:T37" si="67">IF($B17,S17/$B17,-1)</f>
        <v>-1</v>
      </c>
      <c r="U17" s="33">
        <f>MAX([1]Examen11!U14,[1]Examen12!U14,[1]Examen13!U14)</f>
        <v>0</v>
      </c>
      <c r="V17" s="32">
        <f t="shared" ref="V17:V37" si="68">IF($B17,U17/$B17,-1)</f>
        <v>-1</v>
      </c>
      <c r="W17" s="33">
        <f>MAX([1]Examen11!W14,[1]Examen12!W14,[1]Examen13!W14)</f>
        <v>0</v>
      </c>
      <c r="X17" s="32">
        <f t="shared" ref="X17:X37" si="69">IF($B17,W17/$B17,-1)</f>
        <v>-1</v>
      </c>
      <c r="Y17" s="33">
        <f>MAX([1]Examen11!Y14,[1]Examen12!Y14,[1]Examen13!Y14)</f>
        <v>0</v>
      </c>
      <c r="Z17" s="32">
        <f t="shared" ref="Z17:Z37" si="70">IF($B17,Y17/$B17,-1)</f>
        <v>-1</v>
      </c>
      <c r="AA17" s="33">
        <f>MAX([1]Examen11!AA14,[1]Examen12!AA14,[1]Examen13!AA14)</f>
        <v>0</v>
      </c>
      <c r="AB17" s="32">
        <f t="shared" ref="AB17:AB37" si="71">IF($B17,AA17/$B17,-1)</f>
        <v>-1</v>
      </c>
      <c r="AC17" s="33">
        <f>MAX([1]Examen11!AC14,[1]Examen12!AC14,[1]Examen13!AC14)</f>
        <v>0</v>
      </c>
      <c r="AD17" s="32">
        <f t="shared" ref="AD17:AD37" si="72">IF($B17,AC17/$B17,-1)</f>
        <v>-1</v>
      </c>
      <c r="AE17" s="33">
        <f>MAX([1]Examen11!AE14,[1]Examen12!AE14,[1]Examen13!AE14)</f>
        <v>0</v>
      </c>
      <c r="AF17" s="32">
        <f t="shared" ref="AF17:AF37" si="73">IF($B17,AE17/$B17,-1)</f>
        <v>-1</v>
      </c>
      <c r="AG17" s="33">
        <f>MAX([1]Examen11!AG14,[1]Examen12!AG14,[1]Examen13!AG14)</f>
        <v>0</v>
      </c>
      <c r="AH17" s="32">
        <f t="shared" ref="AH17:AH37" si="74">IF($B17,AG17/$B17,-1)</f>
        <v>-1</v>
      </c>
      <c r="AI17" s="33">
        <f>MAX([1]Examen11!AI14,[1]Examen12!AI14,[1]Examen13!AI14)</f>
        <v>0</v>
      </c>
      <c r="AJ17" s="32">
        <f t="shared" ref="AJ17:AJ37" si="75">IF($B17,AI17/$B17,-1)</f>
        <v>-1</v>
      </c>
      <c r="AK17" s="33">
        <f>MAX([1]Examen11!AK14,[1]Examen12!AK14,[1]Examen13!AK14)</f>
        <v>0</v>
      </c>
      <c r="AL17" s="32">
        <f t="shared" ref="AL17:AL37" si="76">IF($B17,AK17/$B17,-1)</f>
        <v>-1</v>
      </c>
      <c r="AM17" s="33">
        <f>MAX([1]Examen11!AM14,[1]Examen12!AM14,[1]Examen13!AM14)</f>
        <v>0</v>
      </c>
      <c r="AN17" s="32">
        <f t="shared" ref="AN17:AN37" si="77">IF($B17,AM17/$B17,-1)</f>
        <v>-1</v>
      </c>
      <c r="AO17" s="33">
        <f>MAX([1]Examen11!AO14,[1]Examen12!AO14,[1]Examen13!AO14)</f>
        <v>0</v>
      </c>
      <c r="AP17" s="32">
        <f t="shared" ref="AP17:AP37" si="78">IF($B17,AO17/$B17,-1)</f>
        <v>-1</v>
      </c>
      <c r="AQ17" s="33">
        <f>MAX([1]Examen11!AQ14,[1]Examen12!AQ14,[1]Examen13!AQ14)</f>
        <v>0</v>
      </c>
      <c r="AR17" s="32">
        <f t="shared" ref="AR17:AR37" si="79">IF($B17,AQ17/$B17,-1)</f>
        <v>-1</v>
      </c>
      <c r="AS17" s="33">
        <f>MAX([1]Examen11!AS14,[1]Examen12!AS14,[1]Examen13!AS14)</f>
        <v>0</v>
      </c>
      <c r="AT17" s="32">
        <f t="shared" ref="AT17:AT37" si="80">IF($B17,AS17/$B17,-1)</f>
        <v>-1</v>
      </c>
      <c r="AU17" s="33">
        <f>MAX([1]Examen11!AU14,[1]Examen12!AU14,[1]Examen13!AU14)</f>
        <v>0</v>
      </c>
      <c r="AV17" s="32">
        <f t="shared" ref="AV17:AV37" si="81">IF($B17,AU17/$B17,-1)</f>
        <v>-1</v>
      </c>
      <c r="AW17" s="33">
        <f>MAX([1]Examen11!AW14,[1]Examen12!AW14,[1]Examen13!AW14)</f>
        <v>0</v>
      </c>
      <c r="AX17" s="32">
        <f t="shared" ref="AX17:AX37" si="82">IF($B17,AW17/$B17,-1)</f>
        <v>-1</v>
      </c>
      <c r="AY17" s="33">
        <f>MAX([1]Examen11!AY14,[1]Examen12!AY14,[1]Examen13!AY14)</f>
        <v>0</v>
      </c>
      <c r="AZ17" s="32">
        <f t="shared" ref="AZ17:AZ37" si="83">IF($B17,AY17/$B17,-1)</f>
        <v>-1</v>
      </c>
      <c r="BA17" s="33">
        <f>MAX([1]Examen11!BA14,[1]Examen12!BA14,[1]Examen13!BA14)</f>
        <v>0</v>
      </c>
      <c r="BB17" s="32">
        <f t="shared" ref="BB17:BB37" si="84">IF($B17,BA17/$B17,-1)</f>
        <v>-1</v>
      </c>
      <c r="BC17" s="33">
        <f>MAX([1]Examen11!BC14,[1]Examen12!BC14,[1]Examen13!BC14)</f>
        <v>0</v>
      </c>
      <c r="BD17" s="32">
        <f t="shared" ref="BD17:BD37" si="85">IF($B17,BC17/$B17,-1)</f>
        <v>-1</v>
      </c>
      <c r="BE17" s="33">
        <f>MAX([1]Examen11!BE14,[1]Examen12!BE14,[1]Examen13!BE14)</f>
        <v>0</v>
      </c>
      <c r="BF17" s="32">
        <f t="shared" ref="BF17:BF37" si="86">IF($B17,BE17/$B17,-1)</f>
        <v>-1</v>
      </c>
      <c r="BG17" s="33">
        <f>MAX([1]Examen11!BG14,[1]Examen12!BG14,[1]Examen13!BG14)</f>
        <v>0</v>
      </c>
      <c r="BH17" s="32">
        <f t="shared" ref="BH17:BH37" si="87">IF($B17,BG17/$B17,-1)</f>
        <v>-1</v>
      </c>
      <c r="BI17" s="33">
        <f>MAX([1]Examen11!BI14,[1]Examen12!BI14,[1]Examen13!BI14)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MAX([1]Examen11!B15,[1]Examen12!B15,[1]Examen13!B15)</f>
        <v>0</v>
      </c>
      <c r="C18" s="33">
        <f>MAX([1]Examen11!C15,[1]Examen12!C15,[1]Examen13!C15)</f>
        <v>0</v>
      </c>
      <c r="D18" s="32">
        <f t="shared" si="59"/>
        <v>-1</v>
      </c>
      <c r="E18" s="33">
        <f>MAX([1]Examen11!E15,[1]Examen12!E15,[1]Examen13!E15)</f>
        <v>0</v>
      </c>
      <c r="F18" s="32">
        <f t="shared" si="60"/>
        <v>-1</v>
      </c>
      <c r="G18" s="33">
        <f>MAX([1]Examen11!G15,[1]Examen12!G15,[1]Examen13!G15)</f>
        <v>0</v>
      </c>
      <c r="H18" s="32">
        <f t="shared" si="61"/>
        <v>-1</v>
      </c>
      <c r="I18" s="33">
        <f>MAX([1]Examen11!I15,[1]Examen12!I15,[1]Examen13!I15)</f>
        <v>0</v>
      </c>
      <c r="J18" s="32">
        <f t="shared" si="62"/>
        <v>-1</v>
      </c>
      <c r="K18" s="33">
        <f>MAX([1]Examen11!K15,[1]Examen12!K15,[1]Examen13!K15)</f>
        <v>0</v>
      </c>
      <c r="L18" s="32">
        <f t="shared" si="63"/>
        <v>-1</v>
      </c>
      <c r="M18" s="33">
        <f>MAX([1]Examen11!M15,[1]Examen12!M15,[1]Examen13!M15)</f>
        <v>0</v>
      </c>
      <c r="N18" s="32">
        <f t="shared" si="64"/>
        <v>-1</v>
      </c>
      <c r="O18" s="33">
        <f>MAX([1]Examen11!O15,[1]Examen12!O15,[1]Examen13!O15)</f>
        <v>0</v>
      </c>
      <c r="P18" s="32">
        <f t="shared" si="65"/>
        <v>-1</v>
      </c>
      <c r="Q18" s="33">
        <f>MAX([1]Examen11!Q15,[1]Examen12!Q15,[1]Examen13!Q15)</f>
        <v>0</v>
      </c>
      <c r="R18" s="32">
        <f t="shared" si="66"/>
        <v>-1</v>
      </c>
      <c r="S18" s="33">
        <f>MAX([1]Examen11!S15,[1]Examen12!S15,[1]Examen13!S15)</f>
        <v>0</v>
      </c>
      <c r="T18" s="32">
        <f t="shared" si="67"/>
        <v>-1</v>
      </c>
      <c r="U18" s="33">
        <f>MAX([1]Examen11!U15,[1]Examen12!U15,[1]Examen13!U15)</f>
        <v>0</v>
      </c>
      <c r="V18" s="32">
        <f t="shared" si="68"/>
        <v>-1</v>
      </c>
      <c r="W18" s="33">
        <f>MAX([1]Examen11!W15,[1]Examen12!W15,[1]Examen13!W15)</f>
        <v>0</v>
      </c>
      <c r="X18" s="32">
        <f t="shared" si="69"/>
        <v>-1</v>
      </c>
      <c r="Y18" s="33">
        <f>MAX([1]Examen11!Y15,[1]Examen12!Y15,[1]Examen13!Y15)</f>
        <v>0</v>
      </c>
      <c r="Z18" s="32">
        <f t="shared" si="70"/>
        <v>-1</v>
      </c>
      <c r="AA18" s="33">
        <f>MAX([1]Examen11!AA15,[1]Examen12!AA15,[1]Examen13!AA15)</f>
        <v>0</v>
      </c>
      <c r="AB18" s="32">
        <f t="shared" si="71"/>
        <v>-1</v>
      </c>
      <c r="AC18" s="33">
        <f>MAX([1]Examen11!AC15,[1]Examen12!AC15,[1]Examen13!AC15)</f>
        <v>0</v>
      </c>
      <c r="AD18" s="32">
        <f t="shared" si="72"/>
        <v>-1</v>
      </c>
      <c r="AE18" s="33">
        <f>MAX([1]Examen11!AE15,[1]Examen12!AE15,[1]Examen13!AE15)</f>
        <v>0</v>
      </c>
      <c r="AF18" s="32">
        <f t="shared" si="73"/>
        <v>-1</v>
      </c>
      <c r="AG18" s="33">
        <f>MAX([1]Examen11!AG15,[1]Examen12!AG15,[1]Examen13!AG15)</f>
        <v>0</v>
      </c>
      <c r="AH18" s="32">
        <f t="shared" si="74"/>
        <v>-1</v>
      </c>
      <c r="AI18" s="33">
        <f>MAX([1]Examen11!AI15,[1]Examen12!AI15,[1]Examen13!AI15)</f>
        <v>0</v>
      </c>
      <c r="AJ18" s="32">
        <f t="shared" si="75"/>
        <v>-1</v>
      </c>
      <c r="AK18" s="33">
        <f>MAX([1]Examen11!AK15,[1]Examen12!AK15,[1]Examen13!AK15)</f>
        <v>0</v>
      </c>
      <c r="AL18" s="32">
        <f t="shared" si="76"/>
        <v>-1</v>
      </c>
      <c r="AM18" s="33">
        <f>MAX([1]Examen11!AM15,[1]Examen12!AM15,[1]Examen13!AM15)</f>
        <v>0</v>
      </c>
      <c r="AN18" s="32">
        <f t="shared" si="77"/>
        <v>-1</v>
      </c>
      <c r="AO18" s="33">
        <f>MAX([1]Examen11!AO15,[1]Examen12!AO15,[1]Examen13!AO15)</f>
        <v>0</v>
      </c>
      <c r="AP18" s="32">
        <f t="shared" si="78"/>
        <v>-1</v>
      </c>
      <c r="AQ18" s="33">
        <f>MAX([1]Examen11!AQ15,[1]Examen12!AQ15,[1]Examen13!AQ15)</f>
        <v>0</v>
      </c>
      <c r="AR18" s="32">
        <f t="shared" si="79"/>
        <v>-1</v>
      </c>
      <c r="AS18" s="33">
        <f>MAX([1]Examen11!AS15,[1]Examen12!AS15,[1]Examen13!AS15)</f>
        <v>0</v>
      </c>
      <c r="AT18" s="32">
        <f t="shared" si="80"/>
        <v>-1</v>
      </c>
      <c r="AU18" s="33">
        <f>MAX([1]Examen11!AU15,[1]Examen12!AU15,[1]Examen13!AU15)</f>
        <v>0</v>
      </c>
      <c r="AV18" s="32">
        <f t="shared" si="81"/>
        <v>-1</v>
      </c>
      <c r="AW18" s="33">
        <f>MAX([1]Examen11!AW15,[1]Examen12!AW15,[1]Examen13!AW15)</f>
        <v>0</v>
      </c>
      <c r="AX18" s="32">
        <f t="shared" si="82"/>
        <v>-1</v>
      </c>
      <c r="AY18" s="33">
        <f>MAX([1]Examen11!AY15,[1]Examen12!AY15,[1]Examen13!AY15)</f>
        <v>0</v>
      </c>
      <c r="AZ18" s="32">
        <f t="shared" si="83"/>
        <v>-1</v>
      </c>
      <c r="BA18" s="33">
        <f>MAX([1]Examen11!BA15,[1]Examen12!BA15,[1]Examen13!BA15)</f>
        <v>0</v>
      </c>
      <c r="BB18" s="32">
        <f t="shared" si="84"/>
        <v>-1</v>
      </c>
      <c r="BC18" s="33">
        <f>MAX([1]Examen11!BC15,[1]Examen12!BC15,[1]Examen13!BC15)</f>
        <v>0</v>
      </c>
      <c r="BD18" s="32">
        <f t="shared" si="85"/>
        <v>-1</v>
      </c>
      <c r="BE18" s="33">
        <f>MAX([1]Examen11!BE15,[1]Examen12!BE15,[1]Examen13!BE15)</f>
        <v>0</v>
      </c>
      <c r="BF18" s="32">
        <f t="shared" si="86"/>
        <v>-1</v>
      </c>
      <c r="BG18" s="33">
        <f>MAX([1]Examen11!BG15,[1]Examen12!BG15,[1]Examen13!BG15)</f>
        <v>0</v>
      </c>
      <c r="BH18" s="32">
        <f t="shared" si="87"/>
        <v>-1</v>
      </c>
      <c r="BI18" s="33">
        <f>MAX([1]Examen11!BI15,[1]Examen12!BI15,[1]Examen13!BI15)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MAX([1]Examen11!B16,[1]Examen12!B16,[1]Examen13!B16)</f>
        <v>0</v>
      </c>
      <c r="C19" s="33">
        <f>MAX([1]Examen11!C16,[1]Examen12!C16,[1]Examen13!C16)</f>
        <v>0</v>
      </c>
      <c r="D19" s="32">
        <f t="shared" si="59"/>
        <v>-1</v>
      </c>
      <c r="E19" s="33">
        <f>MAX([1]Examen11!E16,[1]Examen12!E16,[1]Examen13!E16)</f>
        <v>0</v>
      </c>
      <c r="F19" s="32">
        <f t="shared" si="60"/>
        <v>-1</v>
      </c>
      <c r="G19" s="33">
        <f>MAX([1]Examen11!G16,[1]Examen12!G16,[1]Examen13!G16)</f>
        <v>0</v>
      </c>
      <c r="H19" s="32">
        <f t="shared" si="61"/>
        <v>-1</v>
      </c>
      <c r="I19" s="33">
        <f>MAX([1]Examen11!I16,[1]Examen12!I16,[1]Examen13!I16)</f>
        <v>0</v>
      </c>
      <c r="J19" s="32">
        <f t="shared" si="62"/>
        <v>-1</v>
      </c>
      <c r="K19" s="33">
        <f>MAX([1]Examen11!K16,[1]Examen12!K16,[1]Examen13!K16)</f>
        <v>0</v>
      </c>
      <c r="L19" s="32">
        <f t="shared" si="63"/>
        <v>-1</v>
      </c>
      <c r="M19" s="33">
        <f>MAX([1]Examen11!M16,[1]Examen12!M16,[1]Examen13!M16)</f>
        <v>0</v>
      </c>
      <c r="N19" s="32">
        <f t="shared" si="64"/>
        <v>-1</v>
      </c>
      <c r="O19" s="33">
        <f>MAX([1]Examen11!O16,[1]Examen12!O16,[1]Examen13!O16)</f>
        <v>0</v>
      </c>
      <c r="P19" s="32">
        <f t="shared" si="65"/>
        <v>-1</v>
      </c>
      <c r="Q19" s="33">
        <f>MAX([1]Examen11!Q16,[1]Examen12!Q16,[1]Examen13!Q16)</f>
        <v>0</v>
      </c>
      <c r="R19" s="32">
        <f t="shared" si="66"/>
        <v>-1</v>
      </c>
      <c r="S19" s="33">
        <f>MAX([1]Examen11!S16,[1]Examen12!S16,[1]Examen13!S16)</f>
        <v>0</v>
      </c>
      <c r="T19" s="32">
        <f t="shared" si="67"/>
        <v>-1</v>
      </c>
      <c r="U19" s="33">
        <f>MAX([1]Examen11!U16,[1]Examen12!U16,[1]Examen13!U16)</f>
        <v>0</v>
      </c>
      <c r="V19" s="32">
        <f t="shared" si="68"/>
        <v>-1</v>
      </c>
      <c r="W19" s="33">
        <f>MAX([1]Examen11!W16,[1]Examen12!W16,[1]Examen13!W16)</f>
        <v>0</v>
      </c>
      <c r="X19" s="32">
        <f t="shared" si="69"/>
        <v>-1</v>
      </c>
      <c r="Y19" s="33">
        <f>MAX([1]Examen11!Y16,[1]Examen12!Y16,[1]Examen13!Y16)</f>
        <v>0</v>
      </c>
      <c r="Z19" s="32">
        <f t="shared" si="70"/>
        <v>-1</v>
      </c>
      <c r="AA19" s="33">
        <f>MAX([1]Examen11!AA16,[1]Examen12!AA16,[1]Examen13!AA16)</f>
        <v>0</v>
      </c>
      <c r="AB19" s="32">
        <f t="shared" si="71"/>
        <v>-1</v>
      </c>
      <c r="AC19" s="33">
        <f>MAX([1]Examen11!AC16,[1]Examen12!AC16,[1]Examen13!AC16)</f>
        <v>0</v>
      </c>
      <c r="AD19" s="32">
        <f t="shared" si="72"/>
        <v>-1</v>
      </c>
      <c r="AE19" s="33">
        <f>MAX([1]Examen11!AE16,[1]Examen12!AE16,[1]Examen13!AE16)</f>
        <v>0</v>
      </c>
      <c r="AF19" s="32">
        <f t="shared" si="73"/>
        <v>-1</v>
      </c>
      <c r="AG19" s="33">
        <f>MAX([1]Examen11!AG16,[1]Examen12!AG16,[1]Examen13!AG16)</f>
        <v>0</v>
      </c>
      <c r="AH19" s="32">
        <f t="shared" si="74"/>
        <v>-1</v>
      </c>
      <c r="AI19" s="33">
        <f>MAX([1]Examen11!AI16,[1]Examen12!AI16,[1]Examen13!AI16)</f>
        <v>0</v>
      </c>
      <c r="AJ19" s="32">
        <f t="shared" si="75"/>
        <v>-1</v>
      </c>
      <c r="AK19" s="33">
        <f>MAX([1]Examen11!AK16,[1]Examen12!AK16,[1]Examen13!AK16)</f>
        <v>0</v>
      </c>
      <c r="AL19" s="32">
        <f t="shared" si="76"/>
        <v>-1</v>
      </c>
      <c r="AM19" s="33">
        <f>MAX([1]Examen11!AM16,[1]Examen12!AM16,[1]Examen13!AM16)</f>
        <v>0</v>
      </c>
      <c r="AN19" s="32">
        <f t="shared" si="77"/>
        <v>-1</v>
      </c>
      <c r="AO19" s="33">
        <f>MAX([1]Examen11!AO16,[1]Examen12!AO16,[1]Examen13!AO16)</f>
        <v>0</v>
      </c>
      <c r="AP19" s="32">
        <f t="shared" si="78"/>
        <v>-1</v>
      </c>
      <c r="AQ19" s="33">
        <f>MAX([1]Examen11!AQ16,[1]Examen12!AQ16,[1]Examen13!AQ16)</f>
        <v>0</v>
      </c>
      <c r="AR19" s="32">
        <f t="shared" si="79"/>
        <v>-1</v>
      </c>
      <c r="AS19" s="33">
        <f>MAX([1]Examen11!AS16,[1]Examen12!AS16,[1]Examen13!AS16)</f>
        <v>0</v>
      </c>
      <c r="AT19" s="32">
        <f t="shared" si="80"/>
        <v>-1</v>
      </c>
      <c r="AU19" s="33">
        <f>MAX([1]Examen11!AU16,[1]Examen12!AU16,[1]Examen13!AU16)</f>
        <v>0</v>
      </c>
      <c r="AV19" s="32">
        <f t="shared" si="81"/>
        <v>-1</v>
      </c>
      <c r="AW19" s="33">
        <f>MAX([1]Examen11!AW16,[1]Examen12!AW16,[1]Examen13!AW16)</f>
        <v>0</v>
      </c>
      <c r="AX19" s="32">
        <f t="shared" si="82"/>
        <v>-1</v>
      </c>
      <c r="AY19" s="33">
        <f>MAX([1]Examen11!AY16,[1]Examen12!AY16,[1]Examen13!AY16)</f>
        <v>0</v>
      </c>
      <c r="AZ19" s="32">
        <f t="shared" si="83"/>
        <v>-1</v>
      </c>
      <c r="BA19" s="33">
        <f>MAX([1]Examen11!BA16,[1]Examen12!BA16,[1]Examen13!BA16)</f>
        <v>0</v>
      </c>
      <c r="BB19" s="32">
        <f t="shared" si="84"/>
        <v>-1</v>
      </c>
      <c r="BC19" s="33">
        <f>MAX([1]Examen11!BC16,[1]Examen12!BC16,[1]Examen13!BC16)</f>
        <v>0</v>
      </c>
      <c r="BD19" s="32">
        <f t="shared" si="85"/>
        <v>-1</v>
      </c>
      <c r="BE19" s="33">
        <f>MAX([1]Examen11!BE16,[1]Examen12!BE16,[1]Examen13!BE16)</f>
        <v>0</v>
      </c>
      <c r="BF19" s="32">
        <f t="shared" si="86"/>
        <v>-1</v>
      </c>
      <c r="BG19" s="33">
        <f>MAX([1]Examen11!BG16,[1]Examen12!BG16,[1]Examen13!BG16)</f>
        <v>0</v>
      </c>
      <c r="BH19" s="32">
        <f t="shared" si="87"/>
        <v>-1</v>
      </c>
      <c r="BI19" s="33">
        <f>MAX([1]Examen11!BI16,[1]Examen12!BI16,[1]Examen13!BI16)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MAX([1]Examen11!B17,[1]Examen12!B17,[1]Examen13!B17)</f>
        <v>0</v>
      </c>
      <c r="C20" s="33">
        <f>MAX([1]Examen11!C17,[1]Examen12!C17,[1]Examen13!C17)</f>
        <v>0</v>
      </c>
      <c r="D20" s="32">
        <f t="shared" si="59"/>
        <v>-1</v>
      </c>
      <c r="E20" s="33">
        <f>MAX([1]Examen11!E17,[1]Examen12!E17,[1]Examen13!E17)</f>
        <v>0</v>
      </c>
      <c r="F20" s="32">
        <f t="shared" si="60"/>
        <v>-1</v>
      </c>
      <c r="G20" s="33">
        <f>MAX([1]Examen11!G17,[1]Examen12!G17,[1]Examen13!G17)</f>
        <v>0</v>
      </c>
      <c r="H20" s="32">
        <f t="shared" si="61"/>
        <v>-1</v>
      </c>
      <c r="I20" s="33">
        <f>MAX([1]Examen11!I17,[1]Examen12!I17,[1]Examen13!I17)</f>
        <v>0</v>
      </c>
      <c r="J20" s="32">
        <f t="shared" si="62"/>
        <v>-1</v>
      </c>
      <c r="K20" s="33">
        <f>MAX([1]Examen11!K17,[1]Examen12!K17,[1]Examen13!K17)</f>
        <v>0</v>
      </c>
      <c r="L20" s="32">
        <f t="shared" si="63"/>
        <v>-1</v>
      </c>
      <c r="M20" s="33">
        <f>MAX([1]Examen11!M17,[1]Examen12!M17,[1]Examen13!M17)</f>
        <v>0</v>
      </c>
      <c r="N20" s="32">
        <f t="shared" si="64"/>
        <v>-1</v>
      </c>
      <c r="O20" s="33">
        <f>MAX([1]Examen11!O17,[1]Examen12!O17,[1]Examen13!O17)</f>
        <v>0</v>
      </c>
      <c r="P20" s="32">
        <f t="shared" si="65"/>
        <v>-1</v>
      </c>
      <c r="Q20" s="33">
        <f>MAX([1]Examen11!Q17,[1]Examen12!Q17,[1]Examen13!Q17)</f>
        <v>0</v>
      </c>
      <c r="R20" s="32">
        <f t="shared" si="66"/>
        <v>-1</v>
      </c>
      <c r="S20" s="33">
        <f>MAX([1]Examen11!S17,[1]Examen12!S17,[1]Examen13!S17)</f>
        <v>0</v>
      </c>
      <c r="T20" s="32">
        <f t="shared" si="67"/>
        <v>-1</v>
      </c>
      <c r="U20" s="33">
        <f>MAX([1]Examen11!U17,[1]Examen12!U17,[1]Examen13!U17)</f>
        <v>0</v>
      </c>
      <c r="V20" s="32">
        <f t="shared" si="68"/>
        <v>-1</v>
      </c>
      <c r="W20" s="33">
        <f>MAX([1]Examen11!W17,[1]Examen12!W17,[1]Examen13!W17)</f>
        <v>0</v>
      </c>
      <c r="X20" s="32">
        <f t="shared" si="69"/>
        <v>-1</v>
      </c>
      <c r="Y20" s="33">
        <f>MAX([1]Examen11!Y17,[1]Examen12!Y17,[1]Examen13!Y17)</f>
        <v>0</v>
      </c>
      <c r="Z20" s="32">
        <f t="shared" si="70"/>
        <v>-1</v>
      </c>
      <c r="AA20" s="33">
        <f>MAX([1]Examen11!AA17,[1]Examen12!AA17,[1]Examen13!AA17)</f>
        <v>0</v>
      </c>
      <c r="AB20" s="32">
        <f t="shared" si="71"/>
        <v>-1</v>
      </c>
      <c r="AC20" s="33">
        <f>MAX([1]Examen11!AC17,[1]Examen12!AC17,[1]Examen13!AC17)</f>
        <v>0</v>
      </c>
      <c r="AD20" s="32">
        <f t="shared" si="72"/>
        <v>-1</v>
      </c>
      <c r="AE20" s="33">
        <f>MAX([1]Examen11!AE17,[1]Examen12!AE17,[1]Examen13!AE17)</f>
        <v>0</v>
      </c>
      <c r="AF20" s="32">
        <f t="shared" si="73"/>
        <v>-1</v>
      </c>
      <c r="AG20" s="33">
        <f>MAX([1]Examen11!AG17,[1]Examen12!AG17,[1]Examen13!AG17)</f>
        <v>0</v>
      </c>
      <c r="AH20" s="32">
        <f t="shared" si="74"/>
        <v>-1</v>
      </c>
      <c r="AI20" s="33">
        <f>MAX([1]Examen11!AI17,[1]Examen12!AI17,[1]Examen13!AI17)</f>
        <v>0</v>
      </c>
      <c r="AJ20" s="32">
        <f t="shared" si="75"/>
        <v>-1</v>
      </c>
      <c r="AK20" s="33">
        <f>MAX([1]Examen11!AK17,[1]Examen12!AK17,[1]Examen13!AK17)</f>
        <v>0</v>
      </c>
      <c r="AL20" s="32">
        <f t="shared" si="76"/>
        <v>-1</v>
      </c>
      <c r="AM20" s="33">
        <f>MAX([1]Examen11!AM17,[1]Examen12!AM17,[1]Examen13!AM17)</f>
        <v>0</v>
      </c>
      <c r="AN20" s="32">
        <f t="shared" si="77"/>
        <v>-1</v>
      </c>
      <c r="AO20" s="33">
        <f>MAX([1]Examen11!AO17,[1]Examen12!AO17,[1]Examen13!AO17)</f>
        <v>0</v>
      </c>
      <c r="AP20" s="32">
        <f t="shared" si="78"/>
        <v>-1</v>
      </c>
      <c r="AQ20" s="33">
        <f>MAX([1]Examen11!AQ17,[1]Examen12!AQ17,[1]Examen13!AQ17)</f>
        <v>0</v>
      </c>
      <c r="AR20" s="32">
        <f t="shared" si="79"/>
        <v>-1</v>
      </c>
      <c r="AS20" s="33">
        <f>MAX([1]Examen11!AS17,[1]Examen12!AS17,[1]Examen13!AS17)</f>
        <v>0</v>
      </c>
      <c r="AT20" s="32">
        <f t="shared" si="80"/>
        <v>-1</v>
      </c>
      <c r="AU20" s="33">
        <f>MAX([1]Examen11!AU17,[1]Examen12!AU17,[1]Examen13!AU17)</f>
        <v>0</v>
      </c>
      <c r="AV20" s="32">
        <f t="shared" si="81"/>
        <v>-1</v>
      </c>
      <c r="AW20" s="33">
        <f>MAX([1]Examen11!AW17,[1]Examen12!AW17,[1]Examen13!AW17)</f>
        <v>0</v>
      </c>
      <c r="AX20" s="32">
        <f t="shared" si="82"/>
        <v>-1</v>
      </c>
      <c r="AY20" s="33">
        <f>MAX([1]Examen11!AY17,[1]Examen12!AY17,[1]Examen13!AY17)</f>
        <v>0</v>
      </c>
      <c r="AZ20" s="32">
        <f t="shared" si="83"/>
        <v>-1</v>
      </c>
      <c r="BA20" s="33">
        <f>MAX([1]Examen11!BA17,[1]Examen12!BA17,[1]Examen13!BA17)</f>
        <v>0</v>
      </c>
      <c r="BB20" s="32">
        <f t="shared" si="84"/>
        <v>-1</v>
      </c>
      <c r="BC20" s="33">
        <f>MAX([1]Examen11!BC17,[1]Examen12!BC17,[1]Examen13!BC17)</f>
        <v>0</v>
      </c>
      <c r="BD20" s="32">
        <f t="shared" si="85"/>
        <v>-1</v>
      </c>
      <c r="BE20" s="33">
        <f>MAX([1]Examen11!BE17,[1]Examen12!BE17,[1]Examen13!BE17)</f>
        <v>0</v>
      </c>
      <c r="BF20" s="32">
        <f t="shared" si="86"/>
        <v>-1</v>
      </c>
      <c r="BG20" s="33">
        <f>MAX([1]Examen11!BG17,[1]Examen12!BG17,[1]Examen13!BG17)</f>
        <v>0</v>
      </c>
      <c r="BH20" s="32">
        <f t="shared" si="87"/>
        <v>-1</v>
      </c>
      <c r="BI20" s="33">
        <f>MAX([1]Examen11!BI17,[1]Examen12!BI17,[1]Examen13!BI17)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MAX([1]Examen11!B18,[1]Examen12!B18,[1]Examen13!B18)</f>
        <v>0</v>
      </c>
      <c r="C21" s="33">
        <f>MAX([1]Examen11!C18,[1]Examen12!C18,[1]Examen13!C18)</f>
        <v>0</v>
      </c>
      <c r="D21" s="32">
        <f t="shared" si="59"/>
        <v>-1</v>
      </c>
      <c r="E21" s="33">
        <f>MAX([1]Examen11!E18,[1]Examen12!E18,[1]Examen13!E18)</f>
        <v>0</v>
      </c>
      <c r="F21" s="32">
        <f t="shared" si="60"/>
        <v>-1</v>
      </c>
      <c r="G21" s="33">
        <f>MAX([1]Examen11!G18,[1]Examen12!G18,[1]Examen13!G18)</f>
        <v>0</v>
      </c>
      <c r="H21" s="32">
        <f t="shared" si="61"/>
        <v>-1</v>
      </c>
      <c r="I21" s="33">
        <f>MAX([1]Examen11!I18,[1]Examen12!I18,[1]Examen13!I18)</f>
        <v>0</v>
      </c>
      <c r="J21" s="32">
        <f t="shared" si="62"/>
        <v>-1</v>
      </c>
      <c r="K21" s="33">
        <f>MAX([1]Examen11!K18,[1]Examen12!K18,[1]Examen13!K18)</f>
        <v>0</v>
      </c>
      <c r="L21" s="32">
        <f t="shared" si="63"/>
        <v>-1</v>
      </c>
      <c r="M21" s="33">
        <f>MAX([1]Examen11!M18,[1]Examen12!M18,[1]Examen13!M18)</f>
        <v>0</v>
      </c>
      <c r="N21" s="32">
        <f t="shared" si="64"/>
        <v>-1</v>
      </c>
      <c r="O21" s="33">
        <f>MAX([1]Examen11!O18,[1]Examen12!O18,[1]Examen13!O18)</f>
        <v>0</v>
      </c>
      <c r="P21" s="32">
        <f t="shared" si="65"/>
        <v>-1</v>
      </c>
      <c r="Q21" s="33">
        <f>MAX([1]Examen11!Q18,[1]Examen12!Q18,[1]Examen13!Q18)</f>
        <v>0</v>
      </c>
      <c r="R21" s="32">
        <f t="shared" si="66"/>
        <v>-1</v>
      </c>
      <c r="S21" s="33">
        <f>MAX([1]Examen11!S18,[1]Examen12!S18,[1]Examen13!S18)</f>
        <v>0</v>
      </c>
      <c r="T21" s="32">
        <f t="shared" si="67"/>
        <v>-1</v>
      </c>
      <c r="U21" s="33">
        <f>MAX([1]Examen11!U18,[1]Examen12!U18,[1]Examen13!U18)</f>
        <v>0</v>
      </c>
      <c r="V21" s="32">
        <f t="shared" si="68"/>
        <v>-1</v>
      </c>
      <c r="W21" s="33">
        <f>MAX([1]Examen11!W18,[1]Examen12!W18,[1]Examen13!W18)</f>
        <v>0</v>
      </c>
      <c r="X21" s="32">
        <f t="shared" si="69"/>
        <v>-1</v>
      </c>
      <c r="Y21" s="33">
        <f>MAX([1]Examen11!Y18,[1]Examen12!Y18,[1]Examen13!Y18)</f>
        <v>0</v>
      </c>
      <c r="Z21" s="32">
        <f t="shared" si="70"/>
        <v>-1</v>
      </c>
      <c r="AA21" s="33">
        <f>MAX([1]Examen11!AA18,[1]Examen12!AA18,[1]Examen13!AA18)</f>
        <v>0</v>
      </c>
      <c r="AB21" s="32">
        <f t="shared" si="71"/>
        <v>-1</v>
      </c>
      <c r="AC21" s="33">
        <f>MAX([1]Examen11!AC18,[1]Examen12!AC18,[1]Examen13!AC18)</f>
        <v>0</v>
      </c>
      <c r="AD21" s="32">
        <f t="shared" si="72"/>
        <v>-1</v>
      </c>
      <c r="AE21" s="33">
        <f>MAX([1]Examen11!AE18,[1]Examen12!AE18,[1]Examen13!AE18)</f>
        <v>0</v>
      </c>
      <c r="AF21" s="32">
        <f t="shared" si="73"/>
        <v>-1</v>
      </c>
      <c r="AG21" s="33">
        <f>MAX([1]Examen11!AG18,[1]Examen12!AG18,[1]Examen13!AG18)</f>
        <v>0</v>
      </c>
      <c r="AH21" s="32">
        <f t="shared" si="74"/>
        <v>-1</v>
      </c>
      <c r="AI21" s="33">
        <f>MAX([1]Examen11!AI18,[1]Examen12!AI18,[1]Examen13!AI18)</f>
        <v>0</v>
      </c>
      <c r="AJ21" s="32">
        <f t="shared" si="75"/>
        <v>-1</v>
      </c>
      <c r="AK21" s="33">
        <f>MAX([1]Examen11!AK18,[1]Examen12!AK18,[1]Examen13!AK18)</f>
        <v>0</v>
      </c>
      <c r="AL21" s="32">
        <f t="shared" si="76"/>
        <v>-1</v>
      </c>
      <c r="AM21" s="33">
        <f>MAX([1]Examen11!AM18,[1]Examen12!AM18,[1]Examen13!AM18)</f>
        <v>0</v>
      </c>
      <c r="AN21" s="32">
        <f t="shared" si="77"/>
        <v>-1</v>
      </c>
      <c r="AO21" s="33">
        <f>MAX([1]Examen11!AO18,[1]Examen12!AO18,[1]Examen13!AO18)</f>
        <v>0</v>
      </c>
      <c r="AP21" s="32">
        <f t="shared" si="78"/>
        <v>-1</v>
      </c>
      <c r="AQ21" s="33">
        <f>MAX([1]Examen11!AQ18,[1]Examen12!AQ18,[1]Examen13!AQ18)</f>
        <v>0</v>
      </c>
      <c r="AR21" s="32">
        <f t="shared" si="79"/>
        <v>-1</v>
      </c>
      <c r="AS21" s="33">
        <f>MAX([1]Examen11!AS18,[1]Examen12!AS18,[1]Examen13!AS18)</f>
        <v>0</v>
      </c>
      <c r="AT21" s="32">
        <f t="shared" si="80"/>
        <v>-1</v>
      </c>
      <c r="AU21" s="33">
        <f>MAX([1]Examen11!AU18,[1]Examen12!AU18,[1]Examen13!AU18)</f>
        <v>0</v>
      </c>
      <c r="AV21" s="32">
        <f t="shared" si="81"/>
        <v>-1</v>
      </c>
      <c r="AW21" s="33">
        <f>MAX([1]Examen11!AW18,[1]Examen12!AW18,[1]Examen13!AW18)</f>
        <v>0</v>
      </c>
      <c r="AX21" s="32">
        <f t="shared" si="82"/>
        <v>-1</v>
      </c>
      <c r="AY21" s="33">
        <f>MAX([1]Examen11!AY18,[1]Examen12!AY18,[1]Examen13!AY18)</f>
        <v>0</v>
      </c>
      <c r="AZ21" s="32">
        <f t="shared" si="83"/>
        <v>-1</v>
      </c>
      <c r="BA21" s="33">
        <f>MAX([1]Examen11!BA18,[1]Examen12!BA18,[1]Examen13!BA18)</f>
        <v>0</v>
      </c>
      <c r="BB21" s="32">
        <f t="shared" si="84"/>
        <v>-1</v>
      </c>
      <c r="BC21" s="33">
        <f>MAX([1]Examen11!BC18,[1]Examen12!BC18,[1]Examen13!BC18)</f>
        <v>0</v>
      </c>
      <c r="BD21" s="32">
        <f t="shared" si="85"/>
        <v>-1</v>
      </c>
      <c r="BE21" s="33">
        <f>MAX([1]Examen11!BE18,[1]Examen12!BE18,[1]Examen13!BE18)</f>
        <v>0</v>
      </c>
      <c r="BF21" s="32">
        <f t="shared" si="86"/>
        <v>-1</v>
      </c>
      <c r="BG21" s="33">
        <f>MAX([1]Examen11!BG18,[1]Examen12!BG18,[1]Examen13!BG18)</f>
        <v>0</v>
      </c>
      <c r="BH21" s="32">
        <f t="shared" si="87"/>
        <v>-1</v>
      </c>
      <c r="BI21" s="33">
        <f>MAX([1]Examen11!BI18,[1]Examen12!BI18,[1]Examen13!BI18)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MAX([1]Examen11!B19,[1]Examen12!B19,[1]Examen13!B19)</f>
        <v>0</v>
      </c>
      <c r="C22" s="33">
        <f>MAX([1]Examen11!C19,[1]Examen12!C19,[1]Examen13!C19)</f>
        <v>0</v>
      </c>
      <c r="D22" s="32">
        <f t="shared" si="59"/>
        <v>-1</v>
      </c>
      <c r="E22" s="33">
        <f>MAX([1]Examen11!E19,[1]Examen12!E19,[1]Examen13!E19)</f>
        <v>0</v>
      </c>
      <c r="F22" s="32">
        <f t="shared" si="60"/>
        <v>-1</v>
      </c>
      <c r="G22" s="33">
        <f>MAX([1]Examen11!G19,[1]Examen12!G19,[1]Examen13!G19)</f>
        <v>0</v>
      </c>
      <c r="H22" s="32">
        <f t="shared" si="61"/>
        <v>-1</v>
      </c>
      <c r="I22" s="33">
        <f>MAX([1]Examen11!I19,[1]Examen12!I19,[1]Examen13!I19)</f>
        <v>0</v>
      </c>
      <c r="J22" s="32">
        <f t="shared" si="62"/>
        <v>-1</v>
      </c>
      <c r="K22" s="33">
        <f>MAX([1]Examen11!K19,[1]Examen12!K19,[1]Examen13!K19)</f>
        <v>0</v>
      </c>
      <c r="L22" s="32">
        <f t="shared" si="63"/>
        <v>-1</v>
      </c>
      <c r="M22" s="33">
        <f>MAX([1]Examen11!M19,[1]Examen12!M19,[1]Examen13!M19)</f>
        <v>0</v>
      </c>
      <c r="N22" s="32">
        <f t="shared" si="64"/>
        <v>-1</v>
      </c>
      <c r="O22" s="33">
        <f>MAX([1]Examen11!O19,[1]Examen12!O19,[1]Examen13!O19)</f>
        <v>0</v>
      </c>
      <c r="P22" s="32">
        <f t="shared" si="65"/>
        <v>-1</v>
      </c>
      <c r="Q22" s="33">
        <f>MAX([1]Examen11!Q19,[1]Examen12!Q19,[1]Examen13!Q19)</f>
        <v>0</v>
      </c>
      <c r="R22" s="32">
        <f t="shared" si="66"/>
        <v>-1</v>
      </c>
      <c r="S22" s="33">
        <f>MAX([1]Examen11!S19,[1]Examen12!S19,[1]Examen13!S19)</f>
        <v>0</v>
      </c>
      <c r="T22" s="32">
        <f t="shared" si="67"/>
        <v>-1</v>
      </c>
      <c r="U22" s="33">
        <f>MAX([1]Examen11!U19,[1]Examen12!U19,[1]Examen13!U19)</f>
        <v>0</v>
      </c>
      <c r="V22" s="32">
        <f t="shared" si="68"/>
        <v>-1</v>
      </c>
      <c r="W22" s="33">
        <f>MAX([1]Examen11!W19,[1]Examen12!W19,[1]Examen13!W19)</f>
        <v>0</v>
      </c>
      <c r="X22" s="32">
        <f t="shared" si="69"/>
        <v>-1</v>
      </c>
      <c r="Y22" s="33">
        <f>MAX([1]Examen11!Y19,[1]Examen12!Y19,[1]Examen13!Y19)</f>
        <v>0</v>
      </c>
      <c r="Z22" s="32">
        <f t="shared" si="70"/>
        <v>-1</v>
      </c>
      <c r="AA22" s="33">
        <f>MAX([1]Examen11!AA19,[1]Examen12!AA19,[1]Examen13!AA19)</f>
        <v>0</v>
      </c>
      <c r="AB22" s="32">
        <f t="shared" si="71"/>
        <v>-1</v>
      </c>
      <c r="AC22" s="33">
        <f>MAX([1]Examen11!AC19,[1]Examen12!AC19,[1]Examen13!AC19)</f>
        <v>0</v>
      </c>
      <c r="AD22" s="32">
        <f t="shared" si="72"/>
        <v>-1</v>
      </c>
      <c r="AE22" s="33">
        <f>MAX([1]Examen11!AE19,[1]Examen12!AE19,[1]Examen13!AE19)</f>
        <v>0</v>
      </c>
      <c r="AF22" s="32">
        <f t="shared" si="73"/>
        <v>-1</v>
      </c>
      <c r="AG22" s="33">
        <f>MAX([1]Examen11!AG19,[1]Examen12!AG19,[1]Examen13!AG19)</f>
        <v>0</v>
      </c>
      <c r="AH22" s="32">
        <f t="shared" si="74"/>
        <v>-1</v>
      </c>
      <c r="AI22" s="33">
        <f>MAX([1]Examen11!AI19,[1]Examen12!AI19,[1]Examen13!AI19)</f>
        <v>0</v>
      </c>
      <c r="AJ22" s="32">
        <f t="shared" si="75"/>
        <v>-1</v>
      </c>
      <c r="AK22" s="33">
        <f>MAX([1]Examen11!AK19,[1]Examen12!AK19,[1]Examen13!AK19)</f>
        <v>0</v>
      </c>
      <c r="AL22" s="32">
        <f t="shared" si="76"/>
        <v>-1</v>
      </c>
      <c r="AM22" s="33">
        <f>MAX([1]Examen11!AM19,[1]Examen12!AM19,[1]Examen13!AM19)</f>
        <v>0</v>
      </c>
      <c r="AN22" s="32">
        <f t="shared" si="77"/>
        <v>-1</v>
      </c>
      <c r="AO22" s="33">
        <f>MAX([1]Examen11!AO19,[1]Examen12!AO19,[1]Examen13!AO19)</f>
        <v>0</v>
      </c>
      <c r="AP22" s="32">
        <f t="shared" si="78"/>
        <v>-1</v>
      </c>
      <c r="AQ22" s="33">
        <f>MAX([1]Examen11!AQ19,[1]Examen12!AQ19,[1]Examen13!AQ19)</f>
        <v>0</v>
      </c>
      <c r="AR22" s="32">
        <f t="shared" si="79"/>
        <v>-1</v>
      </c>
      <c r="AS22" s="33">
        <f>MAX([1]Examen11!AS19,[1]Examen12!AS19,[1]Examen13!AS19)</f>
        <v>0</v>
      </c>
      <c r="AT22" s="32">
        <f t="shared" si="80"/>
        <v>-1</v>
      </c>
      <c r="AU22" s="33">
        <f>MAX([1]Examen11!AU19,[1]Examen12!AU19,[1]Examen13!AU19)</f>
        <v>0</v>
      </c>
      <c r="AV22" s="32">
        <f t="shared" si="81"/>
        <v>-1</v>
      </c>
      <c r="AW22" s="33">
        <f>MAX([1]Examen11!AW19,[1]Examen12!AW19,[1]Examen13!AW19)</f>
        <v>0</v>
      </c>
      <c r="AX22" s="32">
        <f t="shared" si="82"/>
        <v>-1</v>
      </c>
      <c r="AY22" s="33">
        <f>MAX([1]Examen11!AY19,[1]Examen12!AY19,[1]Examen13!AY19)</f>
        <v>0</v>
      </c>
      <c r="AZ22" s="32">
        <f t="shared" si="83"/>
        <v>-1</v>
      </c>
      <c r="BA22" s="33">
        <f>MAX([1]Examen11!BA19,[1]Examen12!BA19,[1]Examen13!BA19)</f>
        <v>0</v>
      </c>
      <c r="BB22" s="32">
        <f t="shared" si="84"/>
        <v>-1</v>
      </c>
      <c r="BC22" s="33">
        <f>MAX([1]Examen11!BC19,[1]Examen12!BC19,[1]Examen13!BC19)</f>
        <v>0</v>
      </c>
      <c r="BD22" s="32">
        <f t="shared" si="85"/>
        <v>-1</v>
      </c>
      <c r="BE22" s="33">
        <f>MAX([1]Examen11!BE19,[1]Examen12!BE19,[1]Examen13!BE19)</f>
        <v>0</v>
      </c>
      <c r="BF22" s="32">
        <f t="shared" si="86"/>
        <v>-1</v>
      </c>
      <c r="BG22" s="33">
        <f>MAX([1]Examen11!BG19,[1]Examen12!BG19,[1]Examen13!BG19)</f>
        <v>0</v>
      </c>
      <c r="BH22" s="32">
        <f t="shared" si="87"/>
        <v>-1</v>
      </c>
      <c r="BI22" s="33">
        <f>MAX([1]Examen11!BI19,[1]Examen12!BI19,[1]Examen13!BI19)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MAX([1]Examen11!B20,[1]Examen12!B20,[1]Examen13!B20)</f>
        <v>0</v>
      </c>
      <c r="C23" s="33">
        <f>MAX([1]Examen11!C20,[1]Examen12!C20,[1]Examen13!C20)</f>
        <v>0</v>
      </c>
      <c r="D23" s="32">
        <f t="shared" si="59"/>
        <v>-1</v>
      </c>
      <c r="E23" s="33">
        <f>MAX([1]Examen11!E20,[1]Examen12!E20,[1]Examen13!E20)</f>
        <v>0</v>
      </c>
      <c r="F23" s="32">
        <f t="shared" si="60"/>
        <v>-1</v>
      </c>
      <c r="G23" s="33">
        <f>MAX([1]Examen11!G20,[1]Examen12!G20,[1]Examen13!G20)</f>
        <v>0</v>
      </c>
      <c r="H23" s="32">
        <f t="shared" si="61"/>
        <v>-1</v>
      </c>
      <c r="I23" s="33">
        <f>MAX([1]Examen11!I20,[1]Examen12!I20,[1]Examen13!I20)</f>
        <v>0</v>
      </c>
      <c r="J23" s="32">
        <f t="shared" si="62"/>
        <v>-1</v>
      </c>
      <c r="K23" s="33">
        <f>MAX([1]Examen11!K20,[1]Examen12!K20,[1]Examen13!K20)</f>
        <v>0</v>
      </c>
      <c r="L23" s="32">
        <f t="shared" si="63"/>
        <v>-1</v>
      </c>
      <c r="M23" s="33">
        <f>MAX([1]Examen11!M20,[1]Examen12!M20,[1]Examen13!M20)</f>
        <v>0</v>
      </c>
      <c r="N23" s="32">
        <f t="shared" si="64"/>
        <v>-1</v>
      </c>
      <c r="O23" s="33">
        <f>MAX([1]Examen11!O20,[1]Examen12!O20,[1]Examen13!O20)</f>
        <v>0</v>
      </c>
      <c r="P23" s="32">
        <f t="shared" si="65"/>
        <v>-1</v>
      </c>
      <c r="Q23" s="33">
        <f>MAX([1]Examen11!Q20,[1]Examen12!Q20,[1]Examen13!Q20)</f>
        <v>0</v>
      </c>
      <c r="R23" s="32">
        <f t="shared" si="66"/>
        <v>-1</v>
      </c>
      <c r="S23" s="33">
        <f>MAX([1]Examen11!S20,[1]Examen12!S20,[1]Examen13!S20)</f>
        <v>0</v>
      </c>
      <c r="T23" s="32">
        <f t="shared" si="67"/>
        <v>-1</v>
      </c>
      <c r="U23" s="33">
        <f>MAX([1]Examen11!U20,[1]Examen12!U20,[1]Examen13!U20)</f>
        <v>0</v>
      </c>
      <c r="V23" s="32">
        <f t="shared" si="68"/>
        <v>-1</v>
      </c>
      <c r="W23" s="33">
        <f>MAX([1]Examen11!W20,[1]Examen12!W20,[1]Examen13!W20)</f>
        <v>0</v>
      </c>
      <c r="X23" s="32">
        <f t="shared" si="69"/>
        <v>-1</v>
      </c>
      <c r="Y23" s="33">
        <f>MAX([1]Examen11!Y20,[1]Examen12!Y20,[1]Examen13!Y20)</f>
        <v>0</v>
      </c>
      <c r="Z23" s="32">
        <f t="shared" si="70"/>
        <v>-1</v>
      </c>
      <c r="AA23" s="33">
        <f>MAX([1]Examen11!AA20,[1]Examen12!AA20,[1]Examen13!AA20)</f>
        <v>0</v>
      </c>
      <c r="AB23" s="32">
        <f t="shared" si="71"/>
        <v>-1</v>
      </c>
      <c r="AC23" s="33">
        <f>MAX([1]Examen11!AC20,[1]Examen12!AC20,[1]Examen13!AC20)</f>
        <v>0</v>
      </c>
      <c r="AD23" s="32">
        <f t="shared" si="72"/>
        <v>-1</v>
      </c>
      <c r="AE23" s="33">
        <f>MAX([1]Examen11!AE20,[1]Examen12!AE20,[1]Examen13!AE20)</f>
        <v>0</v>
      </c>
      <c r="AF23" s="32">
        <f t="shared" si="73"/>
        <v>-1</v>
      </c>
      <c r="AG23" s="33">
        <f>MAX([1]Examen11!AG20,[1]Examen12!AG20,[1]Examen13!AG20)</f>
        <v>0</v>
      </c>
      <c r="AH23" s="32">
        <f t="shared" si="74"/>
        <v>-1</v>
      </c>
      <c r="AI23" s="33">
        <f>MAX([1]Examen11!AI20,[1]Examen12!AI20,[1]Examen13!AI20)</f>
        <v>0</v>
      </c>
      <c r="AJ23" s="32">
        <f t="shared" si="75"/>
        <v>-1</v>
      </c>
      <c r="AK23" s="33">
        <f>MAX([1]Examen11!AK20,[1]Examen12!AK20,[1]Examen13!AK20)</f>
        <v>0</v>
      </c>
      <c r="AL23" s="32">
        <f t="shared" si="76"/>
        <v>-1</v>
      </c>
      <c r="AM23" s="33">
        <f>MAX([1]Examen11!AM20,[1]Examen12!AM20,[1]Examen13!AM20)</f>
        <v>0</v>
      </c>
      <c r="AN23" s="32">
        <f t="shared" si="77"/>
        <v>-1</v>
      </c>
      <c r="AO23" s="33">
        <f>MAX([1]Examen11!AO20,[1]Examen12!AO20,[1]Examen13!AO20)</f>
        <v>0</v>
      </c>
      <c r="AP23" s="32">
        <f t="shared" si="78"/>
        <v>-1</v>
      </c>
      <c r="AQ23" s="33">
        <f>MAX([1]Examen11!AQ20,[1]Examen12!AQ20,[1]Examen13!AQ20)</f>
        <v>0</v>
      </c>
      <c r="AR23" s="32">
        <f t="shared" si="79"/>
        <v>-1</v>
      </c>
      <c r="AS23" s="33">
        <f>MAX([1]Examen11!AS20,[1]Examen12!AS20,[1]Examen13!AS20)</f>
        <v>0</v>
      </c>
      <c r="AT23" s="32">
        <f t="shared" si="80"/>
        <v>-1</v>
      </c>
      <c r="AU23" s="33">
        <f>MAX([1]Examen11!AU20,[1]Examen12!AU20,[1]Examen13!AU20)</f>
        <v>0</v>
      </c>
      <c r="AV23" s="32">
        <f t="shared" si="81"/>
        <v>-1</v>
      </c>
      <c r="AW23" s="33">
        <f>MAX([1]Examen11!AW20,[1]Examen12!AW20,[1]Examen13!AW20)</f>
        <v>0</v>
      </c>
      <c r="AX23" s="32">
        <f t="shared" si="82"/>
        <v>-1</v>
      </c>
      <c r="AY23" s="33">
        <f>MAX([1]Examen11!AY20,[1]Examen12!AY20,[1]Examen13!AY20)</f>
        <v>0</v>
      </c>
      <c r="AZ23" s="32">
        <f t="shared" si="83"/>
        <v>-1</v>
      </c>
      <c r="BA23" s="33">
        <f>MAX([1]Examen11!BA20,[1]Examen12!BA20,[1]Examen13!BA20)</f>
        <v>0</v>
      </c>
      <c r="BB23" s="32">
        <f t="shared" si="84"/>
        <v>-1</v>
      </c>
      <c r="BC23" s="33">
        <f>MAX([1]Examen11!BC20,[1]Examen12!BC20,[1]Examen13!BC20)</f>
        <v>0</v>
      </c>
      <c r="BD23" s="32">
        <f t="shared" si="85"/>
        <v>-1</v>
      </c>
      <c r="BE23" s="33">
        <f>MAX([1]Examen11!BE20,[1]Examen12!BE20,[1]Examen13!BE20)</f>
        <v>0</v>
      </c>
      <c r="BF23" s="32">
        <f t="shared" si="86"/>
        <v>-1</v>
      </c>
      <c r="BG23" s="33">
        <f>MAX([1]Examen11!BG20,[1]Examen12!BG20,[1]Examen13!BG20)</f>
        <v>0</v>
      </c>
      <c r="BH23" s="32">
        <f t="shared" si="87"/>
        <v>-1</v>
      </c>
      <c r="BI23" s="33">
        <f>MAX([1]Examen11!BI20,[1]Examen12!BI20,[1]Examen13!BI20)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MAX([1]Examen11!B21,[1]Examen12!B21,[1]Examen13!B21)</f>
        <v>0</v>
      </c>
      <c r="C24" s="33">
        <f>MAX([1]Examen11!C21,[1]Examen12!C21,[1]Examen13!C21)</f>
        <v>0</v>
      </c>
      <c r="D24" s="32">
        <f t="shared" si="59"/>
        <v>-1</v>
      </c>
      <c r="E24" s="33">
        <f>MAX([1]Examen11!E21,[1]Examen12!E21,[1]Examen13!E21)</f>
        <v>0</v>
      </c>
      <c r="F24" s="32">
        <f t="shared" si="60"/>
        <v>-1</v>
      </c>
      <c r="G24" s="33">
        <f>MAX([1]Examen11!G21,[1]Examen12!G21,[1]Examen13!G21)</f>
        <v>0</v>
      </c>
      <c r="H24" s="32">
        <f t="shared" si="61"/>
        <v>-1</v>
      </c>
      <c r="I24" s="33">
        <f>MAX([1]Examen11!I21,[1]Examen12!I21,[1]Examen13!I21)</f>
        <v>0</v>
      </c>
      <c r="J24" s="32">
        <f t="shared" si="62"/>
        <v>-1</v>
      </c>
      <c r="K24" s="33">
        <f>MAX([1]Examen11!K21,[1]Examen12!K21,[1]Examen13!K21)</f>
        <v>0</v>
      </c>
      <c r="L24" s="32">
        <f t="shared" si="63"/>
        <v>-1</v>
      </c>
      <c r="M24" s="33">
        <f>MAX([1]Examen11!M21,[1]Examen12!M21,[1]Examen13!M21)</f>
        <v>0</v>
      </c>
      <c r="N24" s="32">
        <f t="shared" si="64"/>
        <v>-1</v>
      </c>
      <c r="O24" s="33">
        <f>MAX([1]Examen11!O21,[1]Examen12!O21,[1]Examen13!O21)</f>
        <v>0</v>
      </c>
      <c r="P24" s="32">
        <f t="shared" si="65"/>
        <v>-1</v>
      </c>
      <c r="Q24" s="33">
        <f>MAX([1]Examen11!Q21,[1]Examen12!Q21,[1]Examen13!Q21)</f>
        <v>0</v>
      </c>
      <c r="R24" s="32">
        <f t="shared" si="66"/>
        <v>-1</v>
      </c>
      <c r="S24" s="33">
        <f>MAX([1]Examen11!S21,[1]Examen12!S21,[1]Examen13!S21)</f>
        <v>0</v>
      </c>
      <c r="T24" s="32">
        <f t="shared" si="67"/>
        <v>-1</v>
      </c>
      <c r="U24" s="33">
        <f>MAX([1]Examen11!U21,[1]Examen12!U21,[1]Examen13!U21)</f>
        <v>0</v>
      </c>
      <c r="V24" s="32">
        <f t="shared" si="68"/>
        <v>-1</v>
      </c>
      <c r="W24" s="33">
        <f>MAX([1]Examen11!W21,[1]Examen12!W21,[1]Examen13!W21)</f>
        <v>0</v>
      </c>
      <c r="X24" s="32">
        <f t="shared" si="69"/>
        <v>-1</v>
      </c>
      <c r="Y24" s="33">
        <f>MAX([1]Examen11!Y21,[1]Examen12!Y21,[1]Examen13!Y21)</f>
        <v>0</v>
      </c>
      <c r="Z24" s="32">
        <f t="shared" si="70"/>
        <v>-1</v>
      </c>
      <c r="AA24" s="33">
        <f>MAX([1]Examen11!AA21,[1]Examen12!AA21,[1]Examen13!AA21)</f>
        <v>0</v>
      </c>
      <c r="AB24" s="32">
        <f t="shared" si="71"/>
        <v>-1</v>
      </c>
      <c r="AC24" s="33">
        <f>MAX([1]Examen11!AC21,[1]Examen12!AC21,[1]Examen13!AC21)</f>
        <v>0</v>
      </c>
      <c r="AD24" s="32">
        <f t="shared" si="72"/>
        <v>-1</v>
      </c>
      <c r="AE24" s="33">
        <f>MAX([1]Examen11!AE21,[1]Examen12!AE21,[1]Examen13!AE21)</f>
        <v>0</v>
      </c>
      <c r="AF24" s="32">
        <f t="shared" si="73"/>
        <v>-1</v>
      </c>
      <c r="AG24" s="33">
        <f>MAX([1]Examen11!AG21,[1]Examen12!AG21,[1]Examen13!AG21)</f>
        <v>0</v>
      </c>
      <c r="AH24" s="32">
        <f t="shared" si="74"/>
        <v>-1</v>
      </c>
      <c r="AI24" s="33">
        <f>MAX([1]Examen11!AI21,[1]Examen12!AI21,[1]Examen13!AI21)</f>
        <v>0</v>
      </c>
      <c r="AJ24" s="32">
        <f t="shared" si="75"/>
        <v>-1</v>
      </c>
      <c r="AK24" s="33">
        <f>MAX([1]Examen11!AK21,[1]Examen12!AK21,[1]Examen13!AK21)</f>
        <v>0</v>
      </c>
      <c r="AL24" s="32">
        <f t="shared" si="76"/>
        <v>-1</v>
      </c>
      <c r="AM24" s="33">
        <f>MAX([1]Examen11!AM21,[1]Examen12!AM21,[1]Examen13!AM21)</f>
        <v>0</v>
      </c>
      <c r="AN24" s="32">
        <f t="shared" si="77"/>
        <v>-1</v>
      </c>
      <c r="AO24" s="33">
        <f>MAX([1]Examen11!AO21,[1]Examen12!AO21,[1]Examen13!AO21)</f>
        <v>0</v>
      </c>
      <c r="AP24" s="32">
        <f t="shared" si="78"/>
        <v>-1</v>
      </c>
      <c r="AQ24" s="33">
        <f>MAX([1]Examen11!AQ21,[1]Examen12!AQ21,[1]Examen13!AQ21)</f>
        <v>0</v>
      </c>
      <c r="AR24" s="32">
        <f t="shared" si="79"/>
        <v>-1</v>
      </c>
      <c r="AS24" s="33">
        <f>MAX([1]Examen11!AS21,[1]Examen12!AS21,[1]Examen13!AS21)</f>
        <v>0</v>
      </c>
      <c r="AT24" s="32">
        <f t="shared" si="80"/>
        <v>-1</v>
      </c>
      <c r="AU24" s="33">
        <f>MAX([1]Examen11!AU21,[1]Examen12!AU21,[1]Examen13!AU21)</f>
        <v>0</v>
      </c>
      <c r="AV24" s="32">
        <f t="shared" si="81"/>
        <v>-1</v>
      </c>
      <c r="AW24" s="33">
        <f>MAX([1]Examen11!AW21,[1]Examen12!AW21,[1]Examen13!AW21)</f>
        <v>0</v>
      </c>
      <c r="AX24" s="32">
        <f t="shared" si="82"/>
        <v>-1</v>
      </c>
      <c r="AY24" s="33">
        <f>MAX([1]Examen11!AY21,[1]Examen12!AY21,[1]Examen13!AY21)</f>
        <v>0</v>
      </c>
      <c r="AZ24" s="32">
        <f t="shared" si="83"/>
        <v>-1</v>
      </c>
      <c r="BA24" s="33">
        <f>MAX([1]Examen11!BA21,[1]Examen12!BA21,[1]Examen13!BA21)</f>
        <v>0</v>
      </c>
      <c r="BB24" s="32">
        <f t="shared" si="84"/>
        <v>-1</v>
      </c>
      <c r="BC24" s="33">
        <f>MAX([1]Examen11!BC21,[1]Examen12!BC21,[1]Examen13!BC21)</f>
        <v>0</v>
      </c>
      <c r="BD24" s="32">
        <f t="shared" si="85"/>
        <v>-1</v>
      </c>
      <c r="BE24" s="33">
        <f>MAX([1]Examen11!BE21,[1]Examen12!BE21,[1]Examen13!BE21)</f>
        <v>0</v>
      </c>
      <c r="BF24" s="32">
        <f t="shared" si="86"/>
        <v>-1</v>
      </c>
      <c r="BG24" s="33">
        <f>MAX([1]Examen11!BG21,[1]Examen12!BG21,[1]Examen13!BG21)</f>
        <v>0</v>
      </c>
      <c r="BH24" s="32">
        <f t="shared" si="87"/>
        <v>-1</v>
      </c>
      <c r="BI24" s="33">
        <f>MAX([1]Examen11!BI21,[1]Examen12!BI21,[1]Examen13!BI21)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MAX([1]Examen11!B22,[1]Examen12!B22,[1]Examen13!B22)</f>
        <v>0</v>
      </c>
      <c r="C25" s="33">
        <f>MAX([1]Examen11!C22,[1]Examen12!C22,[1]Examen13!C22)</f>
        <v>0</v>
      </c>
      <c r="D25" s="32">
        <f t="shared" si="59"/>
        <v>-1</v>
      </c>
      <c r="E25" s="33">
        <f>MAX([1]Examen11!E22,[1]Examen12!E22,[1]Examen13!E22)</f>
        <v>0</v>
      </c>
      <c r="F25" s="32">
        <f t="shared" si="60"/>
        <v>-1</v>
      </c>
      <c r="G25" s="33">
        <f>MAX([1]Examen11!G22,[1]Examen12!G22,[1]Examen13!G22)</f>
        <v>0</v>
      </c>
      <c r="H25" s="32">
        <f t="shared" si="61"/>
        <v>-1</v>
      </c>
      <c r="I25" s="33">
        <f>MAX([1]Examen11!I22,[1]Examen12!I22,[1]Examen13!I22)</f>
        <v>0</v>
      </c>
      <c r="J25" s="32">
        <f t="shared" si="62"/>
        <v>-1</v>
      </c>
      <c r="K25" s="33">
        <f>MAX([1]Examen11!K22,[1]Examen12!K22,[1]Examen13!K22)</f>
        <v>0</v>
      </c>
      <c r="L25" s="32">
        <f t="shared" si="63"/>
        <v>-1</v>
      </c>
      <c r="M25" s="33">
        <f>MAX([1]Examen11!M22,[1]Examen12!M22,[1]Examen13!M22)</f>
        <v>0</v>
      </c>
      <c r="N25" s="32">
        <f t="shared" si="64"/>
        <v>-1</v>
      </c>
      <c r="O25" s="33">
        <f>MAX([1]Examen11!O22,[1]Examen12!O22,[1]Examen13!O22)</f>
        <v>0</v>
      </c>
      <c r="P25" s="32">
        <f t="shared" si="65"/>
        <v>-1</v>
      </c>
      <c r="Q25" s="33">
        <f>MAX([1]Examen11!Q22,[1]Examen12!Q22,[1]Examen13!Q22)</f>
        <v>0</v>
      </c>
      <c r="R25" s="32">
        <f t="shared" si="66"/>
        <v>-1</v>
      </c>
      <c r="S25" s="33">
        <f>MAX([1]Examen11!S22,[1]Examen12!S22,[1]Examen13!S22)</f>
        <v>0</v>
      </c>
      <c r="T25" s="32">
        <f t="shared" si="67"/>
        <v>-1</v>
      </c>
      <c r="U25" s="33">
        <f>MAX([1]Examen11!U22,[1]Examen12!U22,[1]Examen13!U22)</f>
        <v>0</v>
      </c>
      <c r="V25" s="32">
        <f t="shared" si="68"/>
        <v>-1</v>
      </c>
      <c r="W25" s="33">
        <f>MAX([1]Examen11!W22,[1]Examen12!W22,[1]Examen13!W22)</f>
        <v>0</v>
      </c>
      <c r="X25" s="32">
        <f t="shared" si="69"/>
        <v>-1</v>
      </c>
      <c r="Y25" s="33">
        <f>MAX([1]Examen11!Y22,[1]Examen12!Y22,[1]Examen13!Y22)</f>
        <v>0</v>
      </c>
      <c r="Z25" s="32">
        <f t="shared" si="70"/>
        <v>-1</v>
      </c>
      <c r="AA25" s="33">
        <f>MAX([1]Examen11!AA22,[1]Examen12!AA22,[1]Examen13!AA22)</f>
        <v>0</v>
      </c>
      <c r="AB25" s="32">
        <f t="shared" si="71"/>
        <v>-1</v>
      </c>
      <c r="AC25" s="33">
        <f>MAX([1]Examen11!AC22,[1]Examen12!AC22,[1]Examen13!AC22)</f>
        <v>0</v>
      </c>
      <c r="AD25" s="32">
        <f t="shared" si="72"/>
        <v>-1</v>
      </c>
      <c r="AE25" s="33">
        <f>MAX([1]Examen11!AE22,[1]Examen12!AE22,[1]Examen13!AE22)</f>
        <v>0</v>
      </c>
      <c r="AF25" s="32">
        <f t="shared" si="73"/>
        <v>-1</v>
      </c>
      <c r="AG25" s="33">
        <f>MAX([1]Examen11!AG22,[1]Examen12!AG22,[1]Examen13!AG22)</f>
        <v>0</v>
      </c>
      <c r="AH25" s="32">
        <f t="shared" si="74"/>
        <v>-1</v>
      </c>
      <c r="AI25" s="33">
        <f>MAX([1]Examen11!AI22,[1]Examen12!AI22,[1]Examen13!AI22)</f>
        <v>0</v>
      </c>
      <c r="AJ25" s="32">
        <f t="shared" si="75"/>
        <v>-1</v>
      </c>
      <c r="AK25" s="33">
        <f>MAX([1]Examen11!AK22,[1]Examen12!AK22,[1]Examen13!AK22)</f>
        <v>0</v>
      </c>
      <c r="AL25" s="32">
        <f t="shared" si="76"/>
        <v>-1</v>
      </c>
      <c r="AM25" s="33">
        <f>MAX([1]Examen11!AM22,[1]Examen12!AM22,[1]Examen13!AM22)</f>
        <v>0</v>
      </c>
      <c r="AN25" s="32">
        <f t="shared" si="77"/>
        <v>-1</v>
      </c>
      <c r="AO25" s="33">
        <f>MAX([1]Examen11!AO22,[1]Examen12!AO22,[1]Examen13!AO22)</f>
        <v>0</v>
      </c>
      <c r="AP25" s="32">
        <f t="shared" si="78"/>
        <v>-1</v>
      </c>
      <c r="AQ25" s="33">
        <f>MAX([1]Examen11!AQ22,[1]Examen12!AQ22,[1]Examen13!AQ22)</f>
        <v>0</v>
      </c>
      <c r="AR25" s="32">
        <f t="shared" si="79"/>
        <v>-1</v>
      </c>
      <c r="AS25" s="33">
        <f>MAX([1]Examen11!AS22,[1]Examen12!AS22,[1]Examen13!AS22)</f>
        <v>0</v>
      </c>
      <c r="AT25" s="32">
        <f t="shared" si="80"/>
        <v>-1</v>
      </c>
      <c r="AU25" s="33">
        <f>MAX([1]Examen11!AU22,[1]Examen12!AU22,[1]Examen13!AU22)</f>
        <v>0</v>
      </c>
      <c r="AV25" s="32">
        <f t="shared" si="81"/>
        <v>-1</v>
      </c>
      <c r="AW25" s="33">
        <f>MAX([1]Examen11!AW22,[1]Examen12!AW22,[1]Examen13!AW22)</f>
        <v>0</v>
      </c>
      <c r="AX25" s="32">
        <f t="shared" si="82"/>
        <v>-1</v>
      </c>
      <c r="AY25" s="33">
        <f>MAX([1]Examen11!AY22,[1]Examen12!AY22,[1]Examen13!AY22)</f>
        <v>0</v>
      </c>
      <c r="AZ25" s="32">
        <f t="shared" si="83"/>
        <v>-1</v>
      </c>
      <c r="BA25" s="33">
        <f>MAX([1]Examen11!BA22,[1]Examen12!BA22,[1]Examen13!BA22)</f>
        <v>0</v>
      </c>
      <c r="BB25" s="32">
        <f t="shared" si="84"/>
        <v>-1</v>
      </c>
      <c r="BC25" s="33">
        <f>MAX([1]Examen11!BC22,[1]Examen12!BC22,[1]Examen13!BC22)</f>
        <v>0</v>
      </c>
      <c r="BD25" s="32">
        <f t="shared" si="85"/>
        <v>-1</v>
      </c>
      <c r="BE25" s="33">
        <f>MAX([1]Examen11!BE22,[1]Examen12!BE22,[1]Examen13!BE22)</f>
        <v>0</v>
      </c>
      <c r="BF25" s="32">
        <f t="shared" si="86"/>
        <v>-1</v>
      </c>
      <c r="BG25" s="33">
        <f>MAX([1]Examen11!BG22,[1]Examen12!BG22,[1]Examen13!BG22)</f>
        <v>0</v>
      </c>
      <c r="BH25" s="32">
        <f t="shared" si="87"/>
        <v>-1</v>
      </c>
      <c r="BI25" s="33">
        <f>MAX([1]Examen11!BI22,[1]Examen12!BI22,[1]Examen13!BI22)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MAX([1]Examen11!B23,[1]Examen12!B23,[1]Examen13!B23)</f>
        <v>0</v>
      </c>
      <c r="C26" s="33">
        <f>MAX([1]Examen11!C23,[1]Examen12!C23,[1]Examen13!C23)</f>
        <v>0</v>
      </c>
      <c r="D26" s="32">
        <f t="shared" si="59"/>
        <v>-1</v>
      </c>
      <c r="E26" s="33">
        <f>MAX([1]Examen11!E23,[1]Examen12!E23,[1]Examen13!E23)</f>
        <v>0</v>
      </c>
      <c r="F26" s="32">
        <f t="shared" si="60"/>
        <v>-1</v>
      </c>
      <c r="G26" s="33">
        <f>MAX([1]Examen11!G23,[1]Examen12!G23,[1]Examen13!G23)</f>
        <v>0</v>
      </c>
      <c r="H26" s="32">
        <f t="shared" si="61"/>
        <v>-1</v>
      </c>
      <c r="I26" s="33">
        <f>MAX([1]Examen11!I23,[1]Examen12!I23,[1]Examen13!I23)</f>
        <v>0</v>
      </c>
      <c r="J26" s="32">
        <f t="shared" si="62"/>
        <v>-1</v>
      </c>
      <c r="K26" s="33">
        <f>MAX([1]Examen11!K23,[1]Examen12!K23,[1]Examen13!K23)</f>
        <v>0</v>
      </c>
      <c r="L26" s="32">
        <f t="shared" si="63"/>
        <v>-1</v>
      </c>
      <c r="M26" s="33">
        <f>MAX([1]Examen11!M23,[1]Examen12!M23,[1]Examen13!M23)</f>
        <v>0</v>
      </c>
      <c r="N26" s="32">
        <f t="shared" si="64"/>
        <v>-1</v>
      </c>
      <c r="O26" s="33">
        <f>MAX([1]Examen11!O23,[1]Examen12!O23,[1]Examen13!O23)</f>
        <v>0</v>
      </c>
      <c r="P26" s="32">
        <f t="shared" si="65"/>
        <v>-1</v>
      </c>
      <c r="Q26" s="33">
        <f>MAX([1]Examen11!Q23,[1]Examen12!Q23,[1]Examen13!Q23)</f>
        <v>0</v>
      </c>
      <c r="R26" s="32">
        <f t="shared" si="66"/>
        <v>-1</v>
      </c>
      <c r="S26" s="33">
        <f>MAX([1]Examen11!S23,[1]Examen12!S23,[1]Examen13!S23)</f>
        <v>0</v>
      </c>
      <c r="T26" s="32">
        <f t="shared" si="67"/>
        <v>-1</v>
      </c>
      <c r="U26" s="33">
        <f>MAX([1]Examen11!U23,[1]Examen12!U23,[1]Examen13!U23)</f>
        <v>0</v>
      </c>
      <c r="V26" s="32">
        <f t="shared" si="68"/>
        <v>-1</v>
      </c>
      <c r="W26" s="33">
        <f>MAX([1]Examen11!W23,[1]Examen12!W23,[1]Examen13!W23)</f>
        <v>0</v>
      </c>
      <c r="X26" s="32">
        <f t="shared" si="69"/>
        <v>-1</v>
      </c>
      <c r="Y26" s="33">
        <f>MAX([1]Examen11!Y23,[1]Examen12!Y23,[1]Examen13!Y23)</f>
        <v>0</v>
      </c>
      <c r="Z26" s="32">
        <f t="shared" si="70"/>
        <v>-1</v>
      </c>
      <c r="AA26" s="33">
        <f>MAX([1]Examen11!AA23,[1]Examen12!AA23,[1]Examen13!AA23)</f>
        <v>0</v>
      </c>
      <c r="AB26" s="32">
        <f t="shared" si="71"/>
        <v>-1</v>
      </c>
      <c r="AC26" s="33">
        <f>MAX([1]Examen11!AC23,[1]Examen12!AC23,[1]Examen13!AC23)</f>
        <v>0</v>
      </c>
      <c r="AD26" s="32">
        <f t="shared" si="72"/>
        <v>-1</v>
      </c>
      <c r="AE26" s="33">
        <f>MAX([1]Examen11!AE23,[1]Examen12!AE23,[1]Examen13!AE23)</f>
        <v>0</v>
      </c>
      <c r="AF26" s="32">
        <f t="shared" si="73"/>
        <v>-1</v>
      </c>
      <c r="AG26" s="33">
        <f>MAX([1]Examen11!AG23,[1]Examen12!AG23,[1]Examen13!AG23)</f>
        <v>0</v>
      </c>
      <c r="AH26" s="32">
        <f t="shared" si="74"/>
        <v>-1</v>
      </c>
      <c r="AI26" s="33">
        <f>MAX([1]Examen11!AI23,[1]Examen12!AI23,[1]Examen13!AI23)</f>
        <v>0</v>
      </c>
      <c r="AJ26" s="32">
        <f t="shared" si="75"/>
        <v>-1</v>
      </c>
      <c r="AK26" s="33">
        <f>MAX([1]Examen11!AK23,[1]Examen12!AK23,[1]Examen13!AK23)</f>
        <v>0</v>
      </c>
      <c r="AL26" s="32">
        <f t="shared" si="76"/>
        <v>-1</v>
      </c>
      <c r="AM26" s="33">
        <f>MAX([1]Examen11!AM23,[1]Examen12!AM23,[1]Examen13!AM23)</f>
        <v>0</v>
      </c>
      <c r="AN26" s="32">
        <f t="shared" si="77"/>
        <v>-1</v>
      </c>
      <c r="AO26" s="33">
        <f>MAX([1]Examen11!AO23,[1]Examen12!AO23,[1]Examen13!AO23)</f>
        <v>0</v>
      </c>
      <c r="AP26" s="32">
        <f t="shared" si="78"/>
        <v>-1</v>
      </c>
      <c r="AQ26" s="33">
        <f>MAX([1]Examen11!AQ23,[1]Examen12!AQ23,[1]Examen13!AQ23)</f>
        <v>0</v>
      </c>
      <c r="AR26" s="32">
        <f t="shared" si="79"/>
        <v>-1</v>
      </c>
      <c r="AS26" s="33">
        <f>MAX([1]Examen11!AS23,[1]Examen12!AS23,[1]Examen13!AS23)</f>
        <v>0</v>
      </c>
      <c r="AT26" s="32">
        <f t="shared" si="80"/>
        <v>-1</v>
      </c>
      <c r="AU26" s="33">
        <f>MAX([1]Examen11!AU23,[1]Examen12!AU23,[1]Examen13!AU23)</f>
        <v>0</v>
      </c>
      <c r="AV26" s="32">
        <f t="shared" si="81"/>
        <v>-1</v>
      </c>
      <c r="AW26" s="33">
        <f>MAX([1]Examen11!AW23,[1]Examen12!AW23,[1]Examen13!AW23)</f>
        <v>0</v>
      </c>
      <c r="AX26" s="32">
        <f t="shared" si="82"/>
        <v>-1</v>
      </c>
      <c r="AY26" s="33">
        <f>MAX([1]Examen11!AY23,[1]Examen12!AY23,[1]Examen13!AY23)</f>
        <v>0</v>
      </c>
      <c r="AZ26" s="32">
        <f t="shared" si="83"/>
        <v>-1</v>
      </c>
      <c r="BA26" s="33">
        <f>MAX([1]Examen11!BA23,[1]Examen12!BA23,[1]Examen13!BA23)</f>
        <v>0</v>
      </c>
      <c r="BB26" s="32">
        <f t="shared" si="84"/>
        <v>-1</v>
      </c>
      <c r="BC26" s="33">
        <f>MAX([1]Examen11!BC23,[1]Examen12!BC23,[1]Examen13!BC23)</f>
        <v>0</v>
      </c>
      <c r="BD26" s="32">
        <f t="shared" si="85"/>
        <v>-1</v>
      </c>
      <c r="BE26" s="33">
        <f>MAX([1]Examen11!BE23,[1]Examen12!BE23,[1]Examen13!BE23)</f>
        <v>0</v>
      </c>
      <c r="BF26" s="32">
        <f t="shared" si="86"/>
        <v>-1</v>
      </c>
      <c r="BG26" s="33">
        <f>MAX([1]Examen11!BG23,[1]Examen12!BG23,[1]Examen13!BG23)</f>
        <v>0</v>
      </c>
      <c r="BH26" s="32">
        <f t="shared" si="87"/>
        <v>-1</v>
      </c>
      <c r="BI26" s="33">
        <f>MAX([1]Examen11!BI23,[1]Examen12!BI23,[1]Examen13!BI23)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MAX([1]Examen11!B24,[1]Examen12!B24,[1]Examen13!B24)</f>
        <v>0</v>
      </c>
      <c r="C27" s="33">
        <f>MAX([1]Examen11!C24,[1]Examen12!C24,[1]Examen13!C24)</f>
        <v>0</v>
      </c>
      <c r="D27" s="32">
        <f t="shared" si="59"/>
        <v>-1</v>
      </c>
      <c r="E27" s="33">
        <f>MAX([1]Examen11!E24,[1]Examen12!E24,[1]Examen13!E24)</f>
        <v>0</v>
      </c>
      <c r="F27" s="32">
        <f t="shared" si="60"/>
        <v>-1</v>
      </c>
      <c r="G27" s="33">
        <f>MAX([1]Examen11!G24,[1]Examen12!G24,[1]Examen13!G24)</f>
        <v>0</v>
      </c>
      <c r="H27" s="32">
        <f t="shared" si="61"/>
        <v>-1</v>
      </c>
      <c r="I27" s="33">
        <f>MAX([1]Examen11!I24,[1]Examen12!I24,[1]Examen13!I24)</f>
        <v>0</v>
      </c>
      <c r="J27" s="32">
        <f t="shared" si="62"/>
        <v>-1</v>
      </c>
      <c r="K27" s="33">
        <f>MAX([1]Examen11!K24,[1]Examen12!K24,[1]Examen13!K24)</f>
        <v>0</v>
      </c>
      <c r="L27" s="32">
        <f t="shared" si="63"/>
        <v>-1</v>
      </c>
      <c r="M27" s="33">
        <f>MAX([1]Examen11!M24,[1]Examen12!M24,[1]Examen13!M24)</f>
        <v>0</v>
      </c>
      <c r="N27" s="32">
        <f t="shared" si="64"/>
        <v>-1</v>
      </c>
      <c r="O27" s="33">
        <f>MAX([1]Examen11!O24,[1]Examen12!O24,[1]Examen13!O24)</f>
        <v>0</v>
      </c>
      <c r="P27" s="32">
        <f t="shared" si="65"/>
        <v>-1</v>
      </c>
      <c r="Q27" s="33">
        <f>MAX([1]Examen11!Q24,[1]Examen12!Q24,[1]Examen13!Q24)</f>
        <v>0</v>
      </c>
      <c r="R27" s="32">
        <f t="shared" si="66"/>
        <v>-1</v>
      </c>
      <c r="S27" s="33">
        <f>MAX([1]Examen11!S24,[1]Examen12!S24,[1]Examen13!S24)</f>
        <v>0</v>
      </c>
      <c r="T27" s="32">
        <f t="shared" si="67"/>
        <v>-1</v>
      </c>
      <c r="U27" s="33">
        <f>MAX([1]Examen11!U24,[1]Examen12!U24,[1]Examen13!U24)</f>
        <v>0</v>
      </c>
      <c r="V27" s="32">
        <f t="shared" si="68"/>
        <v>-1</v>
      </c>
      <c r="W27" s="33">
        <f>MAX([1]Examen11!W24,[1]Examen12!W24,[1]Examen13!W24)</f>
        <v>0</v>
      </c>
      <c r="X27" s="32">
        <f t="shared" si="69"/>
        <v>-1</v>
      </c>
      <c r="Y27" s="33">
        <f>MAX([1]Examen11!Y24,[1]Examen12!Y24,[1]Examen13!Y24)</f>
        <v>0</v>
      </c>
      <c r="Z27" s="32">
        <f t="shared" si="70"/>
        <v>-1</v>
      </c>
      <c r="AA27" s="33">
        <f>MAX([1]Examen11!AA24,[1]Examen12!AA24,[1]Examen13!AA24)</f>
        <v>0</v>
      </c>
      <c r="AB27" s="32">
        <f t="shared" si="71"/>
        <v>-1</v>
      </c>
      <c r="AC27" s="33">
        <f>MAX([1]Examen11!AC24,[1]Examen12!AC24,[1]Examen13!AC24)</f>
        <v>0</v>
      </c>
      <c r="AD27" s="32">
        <f t="shared" si="72"/>
        <v>-1</v>
      </c>
      <c r="AE27" s="33">
        <f>MAX([1]Examen11!AE24,[1]Examen12!AE24,[1]Examen13!AE24)</f>
        <v>0</v>
      </c>
      <c r="AF27" s="32">
        <f t="shared" si="73"/>
        <v>-1</v>
      </c>
      <c r="AG27" s="33">
        <f>MAX([1]Examen11!AG24,[1]Examen12!AG24,[1]Examen13!AG24)</f>
        <v>0</v>
      </c>
      <c r="AH27" s="32">
        <f t="shared" si="74"/>
        <v>-1</v>
      </c>
      <c r="AI27" s="33">
        <f>MAX([1]Examen11!AI24,[1]Examen12!AI24,[1]Examen13!AI24)</f>
        <v>0</v>
      </c>
      <c r="AJ27" s="32">
        <f t="shared" si="75"/>
        <v>-1</v>
      </c>
      <c r="AK27" s="33">
        <f>MAX([1]Examen11!AK24,[1]Examen12!AK24,[1]Examen13!AK24)</f>
        <v>0</v>
      </c>
      <c r="AL27" s="32">
        <f t="shared" si="76"/>
        <v>-1</v>
      </c>
      <c r="AM27" s="33">
        <f>MAX([1]Examen11!AM24,[1]Examen12!AM24,[1]Examen13!AM24)</f>
        <v>0</v>
      </c>
      <c r="AN27" s="32">
        <f t="shared" si="77"/>
        <v>-1</v>
      </c>
      <c r="AO27" s="33">
        <f>MAX([1]Examen11!AO24,[1]Examen12!AO24,[1]Examen13!AO24)</f>
        <v>0</v>
      </c>
      <c r="AP27" s="32">
        <f t="shared" si="78"/>
        <v>-1</v>
      </c>
      <c r="AQ27" s="33">
        <f>MAX([1]Examen11!AQ24,[1]Examen12!AQ24,[1]Examen13!AQ24)</f>
        <v>0</v>
      </c>
      <c r="AR27" s="32">
        <f t="shared" si="79"/>
        <v>-1</v>
      </c>
      <c r="AS27" s="33">
        <f>MAX([1]Examen11!AS24,[1]Examen12!AS24,[1]Examen13!AS24)</f>
        <v>0</v>
      </c>
      <c r="AT27" s="32">
        <f t="shared" si="80"/>
        <v>-1</v>
      </c>
      <c r="AU27" s="33">
        <f>MAX([1]Examen11!AU24,[1]Examen12!AU24,[1]Examen13!AU24)</f>
        <v>0</v>
      </c>
      <c r="AV27" s="32">
        <f t="shared" si="81"/>
        <v>-1</v>
      </c>
      <c r="AW27" s="33">
        <f>MAX([1]Examen11!AW24,[1]Examen12!AW24,[1]Examen13!AW24)</f>
        <v>0</v>
      </c>
      <c r="AX27" s="32">
        <f t="shared" si="82"/>
        <v>-1</v>
      </c>
      <c r="AY27" s="33">
        <f>MAX([1]Examen11!AY24,[1]Examen12!AY24,[1]Examen13!AY24)</f>
        <v>0</v>
      </c>
      <c r="AZ27" s="32">
        <f t="shared" si="83"/>
        <v>-1</v>
      </c>
      <c r="BA27" s="33">
        <f>MAX([1]Examen11!BA24,[1]Examen12!BA24,[1]Examen13!BA24)</f>
        <v>0</v>
      </c>
      <c r="BB27" s="32">
        <f t="shared" si="84"/>
        <v>-1</v>
      </c>
      <c r="BC27" s="33">
        <f>MAX([1]Examen11!BC24,[1]Examen12!BC24,[1]Examen13!BC24)</f>
        <v>0</v>
      </c>
      <c r="BD27" s="32">
        <f t="shared" si="85"/>
        <v>-1</v>
      </c>
      <c r="BE27" s="33">
        <f>MAX([1]Examen11!BE24,[1]Examen12!BE24,[1]Examen13!BE24)</f>
        <v>0</v>
      </c>
      <c r="BF27" s="32">
        <f t="shared" si="86"/>
        <v>-1</v>
      </c>
      <c r="BG27" s="33">
        <f>MAX([1]Examen11!BG24,[1]Examen12!BG24,[1]Examen13!BG24)</f>
        <v>0</v>
      </c>
      <c r="BH27" s="32">
        <f t="shared" si="87"/>
        <v>-1</v>
      </c>
      <c r="BI27" s="33">
        <f>MAX([1]Examen11!BI24,[1]Examen12!BI24,[1]Examen13!BI24)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MAX([1]Examen11!B25,[1]Examen12!B25,[1]Examen13!B25)</f>
        <v>0</v>
      </c>
      <c r="C28" s="33">
        <f>MAX([1]Examen11!C25,[1]Examen12!C25,[1]Examen13!C25)</f>
        <v>0</v>
      </c>
      <c r="D28" s="32">
        <f t="shared" si="59"/>
        <v>-1</v>
      </c>
      <c r="E28" s="33">
        <f>MAX([1]Examen11!E25,[1]Examen12!E25,[1]Examen13!E25)</f>
        <v>0</v>
      </c>
      <c r="F28" s="32">
        <f t="shared" si="60"/>
        <v>-1</v>
      </c>
      <c r="G28" s="33">
        <f>MAX([1]Examen11!G25,[1]Examen12!G25,[1]Examen13!G25)</f>
        <v>0</v>
      </c>
      <c r="H28" s="32">
        <f t="shared" si="61"/>
        <v>-1</v>
      </c>
      <c r="I28" s="33">
        <f>MAX([1]Examen11!I25,[1]Examen12!I25,[1]Examen13!I25)</f>
        <v>0</v>
      </c>
      <c r="J28" s="32">
        <f t="shared" si="62"/>
        <v>-1</v>
      </c>
      <c r="K28" s="33">
        <f>MAX([1]Examen11!K25,[1]Examen12!K25,[1]Examen13!K25)</f>
        <v>0</v>
      </c>
      <c r="L28" s="32">
        <f t="shared" si="63"/>
        <v>-1</v>
      </c>
      <c r="M28" s="33">
        <f>MAX([1]Examen11!M25,[1]Examen12!M25,[1]Examen13!M25)</f>
        <v>0</v>
      </c>
      <c r="N28" s="32">
        <f t="shared" si="64"/>
        <v>-1</v>
      </c>
      <c r="O28" s="33">
        <f>MAX([1]Examen11!O25,[1]Examen12!O25,[1]Examen13!O25)</f>
        <v>0</v>
      </c>
      <c r="P28" s="32">
        <f t="shared" si="65"/>
        <v>-1</v>
      </c>
      <c r="Q28" s="33">
        <f>MAX([1]Examen11!Q25,[1]Examen12!Q25,[1]Examen13!Q25)</f>
        <v>0</v>
      </c>
      <c r="R28" s="32">
        <f t="shared" si="66"/>
        <v>-1</v>
      </c>
      <c r="S28" s="33">
        <f>MAX([1]Examen11!S25,[1]Examen12!S25,[1]Examen13!S25)</f>
        <v>0</v>
      </c>
      <c r="T28" s="32">
        <f t="shared" si="67"/>
        <v>-1</v>
      </c>
      <c r="U28" s="33">
        <f>MAX([1]Examen11!U25,[1]Examen12!U25,[1]Examen13!U25)</f>
        <v>0</v>
      </c>
      <c r="V28" s="32">
        <f t="shared" si="68"/>
        <v>-1</v>
      </c>
      <c r="W28" s="33">
        <f>MAX([1]Examen11!W25,[1]Examen12!W25,[1]Examen13!W25)</f>
        <v>0</v>
      </c>
      <c r="X28" s="32">
        <f t="shared" si="69"/>
        <v>-1</v>
      </c>
      <c r="Y28" s="33">
        <f>MAX([1]Examen11!Y25,[1]Examen12!Y25,[1]Examen13!Y25)</f>
        <v>0</v>
      </c>
      <c r="Z28" s="32">
        <f t="shared" si="70"/>
        <v>-1</v>
      </c>
      <c r="AA28" s="33">
        <f>MAX([1]Examen11!AA25,[1]Examen12!AA25,[1]Examen13!AA25)</f>
        <v>0</v>
      </c>
      <c r="AB28" s="32">
        <f t="shared" si="71"/>
        <v>-1</v>
      </c>
      <c r="AC28" s="33">
        <f>MAX([1]Examen11!AC25,[1]Examen12!AC25,[1]Examen13!AC25)</f>
        <v>0</v>
      </c>
      <c r="AD28" s="32">
        <f t="shared" si="72"/>
        <v>-1</v>
      </c>
      <c r="AE28" s="33">
        <f>MAX([1]Examen11!AE25,[1]Examen12!AE25,[1]Examen13!AE25)</f>
        <v>0</v>
      </c>
      <c r="AF28" s="32">
        <f t="shared" si="73"/>
        <v>-1</v>
      </c>
      <c r="AG28" s="33">
        <f>MAX([1]Examen11!AG25,[1]Examen12!AG25,[1]Examen13!AG25)</f>
        <v>0</v>
      </c>
      <c r="AH28" s="32">
        <f t="shared" si="74"/>
        <v>-1</v>
      </c>
      <c r="AI28" s="33">
        <f>MAX([1]Examen11!AI25,[1]Examen12!AI25,[1]Examen13!AI25)</f>
        <v>0</v>
      </c>
      <c r="AJ28" s="32">
        <f t="shared" si="75"/>
        <v>-1</v>
      </c>
      <c r="AK28" s="33">
        <f>MAX([1]Examen11!AK25,[1]Examen12!AK25,[1]Examen13!AK25)</f>
        <v>0</v>
      </c>
      <c r="AL28" s="32">
        <f t="shared" si="76"/>
        <v>-1</v>
      </c>
      <c r="AM28" s="33">
        <f>MAX([1]Examen11!AM25,[1]Examen12!AM25,[1]Examen13!AM25)</f>
        <v>0</v>
      </c>
      <c r="AN28" s="32">
        <f t="shared" si="77"/>
        <v>-1</v>
      </c>
      <c r="AO28" s="33">
        <f>MAX([1]Examen11!AO25,[1]Examen12!AO25,[1]Examen13!AO25)</f>
        <v>0</v>
      </c>
      <c r="AP28" s="32">
        <f t="shared" si="78"/>
        <v>-1</v>
      </c>
      <c r="AQ28" s="33">
        <f>MAX([1]Examen11!AQ25,[1]Examen12!AQ25,[1]Examen13!AQ25)</f>
        <v>0</v>
      </c>
      <c r="AR28" s="32">
        <f t="shared" si="79"/>
        <v>-1</v>
      </c>
      <c r="AS28" s="33">
        <f>MAX([1]Examen11!AS25,[1]Examen12!AS25,[1]Examen13!AS25)</f>
        <v>0</v>
      </c>
      <c r="AT28" s="32">
        <f t="shared" si="80"/>
        <v>-1</v>
      </c>
      <c r="AU28" s="33">
        <f>MAX([1]Examen11!AU25,[1]Examen12!AU25,[1]Examen13!AU25)</f>
        <v>0</v>
      </c>
      <c r="AV28" s="32">
        <f t="shared" si="81"/>
        <v>-1</v>
      </c>
      <c r="AW28" s="33">
        <f>MAX([1]Examen11!AW25,[1]Examen12!AW25,[1]Examen13!AW25)</f>
        <v>0</v>
      </c>
      <c r="AX28" s="32">
        <f t="shared" si="82"/>
        <v>-1</v>
      </c>
      <c r="AY28" s="33">
        <f>MAX([1]Examen11!AY25,[1]Examen12!AY25,[1]Examen13!AY25)</f>
        <v>0</v>
      </c>
      <c r="AZ28" s="32">
        <f t="shared" si="83"/>
        <v>-1</v>
      </c>
      <c r="BA28" s="33">
        <f>MAX([1]Examen11!BA25,[1]Examen12!BA25,[1]Examen13!BA25)</f>
        <v>0</v>
      </c>
      <c r="BB28" s="32">
        <f t="shared" si="84"/>
        <v>-1</v>
      </c>
      <c r="BC28" s="33">
        <f>MAX([1]Examen11!BC25,[1]Examen12!BC25,[1]Examen13!BC25)</f>
        <v>0</v>
      </c>
      <c r="BD28" s="32">
        <f t="shared" si="85"/>
        <v>-1</v>
      </c>
      <c r="BE28" s="33">
        <f>MAX([1]Examen11!BE25,[1]Examen12!BE25,[1]Examen13!BE25)</f>
        <v>0</v>
      </c>
      <c r="BF28" s="32">
        <f t="shared" si="86"/>
        <v>-1</v>
      </c>
      <c r="BG28" s="33">
        <f>MAX([1]Examen11!BG25,[1]Examen12!BG25,[1]Examen13!BG25)</f>
        <v>0</v>
      </c>
      <c r="BH28" s="32">
        <f t="shared" si="87"/>
        <v>-1</v>
      </c>
      <c r="BI28" s="33">
        <f>MAX([1]Examen11!BI25,[1]Examen12!BI25,[1]Examen13!BI25)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MAX([1]Examen11!B26,[1]Examen12!B26,[1]Examen13!B26)</f>
        <v>0</v>
      </c>
      <c r="C29" s="33">
        <f>MAX([1]Examen11!C26,[1]Examen12!C26,[1]Examen13!C26)</f>
        <v>0</v>
      </c>
      <c r="D29" s="32">
        <f t="shared" si="59"/>
        <v>-1</v>
      </c>
      <c r="E29" s="33">
        <f>MAX([1]Examen11!E26,[1]Examen12!E26,[1]Examen13!E26)</f>
        <v>0</v>
      </c>
      <c r="F29" s="32">
        <f t="shared" si="60"/>
        <v>-1</v>
      </c>
      <c r="G29" s="33">
        <f>MAX([1]Examen11!G26,[1]Examen12!G26,[1]Examen13!G26)</f>
        <v>0</v>
      </c>
      <c r="H29" s="32">
        <f t="shared" si="61"/>
        <v>-1</v>
      </c>
      <c r="I29" s="33">
        <f>MAX([1]Examen11!I26,[1]Examen12!I26,[1]Examen13!I26)</f>
        <v>0</v>
      </c>
      <c r="J29" s="32">
        <f t="shared" si="62"/>
        <v>-1</v>
      </c>
      <c r="K29" s="33">
        <f>MAX([1]Examen11!K26,[1]Examen12!K26,[1]Examen13!K26)</f>
        <v>0</v>
      </c>
      <c r="L29" s="32">
        <f t="shared" si="63"/>
        <v>-1</v>
      </c>
      <c r="M29" s="33">
        <f>MAX([1]Examen11!M26,[1]Examen12!M26,[1]Examen13!M26)</f>
        <v>0</v>
      </c>
      <c r="N29" s="32">
        <f t="shared" si="64"/>
        <v>-1</v>
      </c>
      <c r="O29" s="33">
        <f>MAX([1]Examen11!O26,[1]Examen12!O26,[1]Examen13!O26)</f>
        <v>0</v>
      </c>
      <c r="P29" s="32">
        <f t="shared" si="65"/>
        <v>-1</v>
      </c>
      <c r="Q29" s="33">
        <f>MAX([1]Examen11!Q26,[1]Examen12!Q26,[1]Examen13!Q26)</f>
        <v>0</v>
      </c>
      <c r="R29" s="32">
        <f t="shared" si="66"/>
        <v>-1</v>
      </c>
      <c r="S29" s="33">
        <f>MAX([1]Examen11!S26,[1]Examen12!S26,[1]Examen13!S26)</f>
        <v>0</v>
      </c>
      <c r="T29" s="32">
        <f t="shared" si="67"/>
        <v>-1</v>
      </c>
      <c r="U29" s="33">
        <f>MAX([1]Examen11!U26,[1]Examen12!U26,[1]Examen13!U26)</f>
        <v>0</v>
      </c>
      <c r="V29" s="32">
        <f t="shared" si="68"/>
        <v>-1</v>
      </c>
      <c r="W29" s="33">
        <f>MAX([1]Examen11!W26,[1]Examen12!W26,[1]Examen13!W26)</f>
        <v>0</v>
      </c>
      <c r="X29" s="32">
        <f t="shared" si="69"/>
        <v>-1</v>
      </c>
      <c r="Y29" s="33">
        <f>MAX([1]Examen11!Y26,[1]Examen12!Y26,[1]Examen13!Y26)</f>
        <v>0</v>
      </c>
      <c r="Z29" s="32">
        <f t="shared" si="70"/>
        <v>-1</v>
      </c>
      <c r="AA29" s="33">
        <f>MAX([1]Examen11!AA26,[1]Examen12!AA26,[1]Examen13!AA26)</f>
        <v>0</v>
      </c>
      <c r="AB29" s="32">
        <f t="shared" si="71"/>
        <v>-1</v>
      </c>
      <c r="AC29" s="33">
        <f>MAX([1]Examen11!AC26,[1]Examen12!AC26,[1]Examen13!AC26)</f>
        <v>0</v>
      </c>
      <c r="AD29" s="32">
        <f t="shared" si="72"/>
        <v>-1</v>
      </c>
      <c r="AE29" s="33">
        <f>MAX([1]Examen11!AE26,[1]Examen12!AE26,[1]Examen13!AE26)</f>
        <v>0</v>
      </c>
      <c r="AF29" s="32">
        <f t="shared" si="73"/>
        <v>-1</v>
      </c>
      <c r="AG29" s="33">
        <f>MAX([1]Examen11!AG26,[1]Examen12!AG26,[1]Examen13!AG26)</f>
        <v>0</v>
      </c>
      <c r="AH29" s="32">
        <f t="shared" si="74"/>
        <v>-1</v>
      </c>
      <c r="AI29" s="33">
        <f>MAX([1]Examen11!AI26,[1]Examen12!AI26,[1]Examen13!AI26)</f>
        <v>0</v>
      </c>
      <c r="AJ29" s="32">
        <f t="shared" si="75"/>
        <v>-1</v>
      </c>
      <c r="AK29" s="33">
        <f>MAX([1]Examen11!AK26,[1]Examen12!AK26,[1]Examen13!AK26)</f>
        <v>0</v>
      </c>
      <c r="AL29" s="32">
        <f t="shared" si="76"/>
        <v>-1</v>
      </c>
      <c r="AM29" s="33">
        <f>MAX([1]Examen11!AM26,[1]Examen12!AM26,[1]Examen13!AM26)</f>
        <v>0</v>
      </c>
      <c r="AN29" s="32">
        <f t="shared" si="77"/>
        <v>-1</v>
      </c>
      <c r="AO29" s="33">
        <f>MAX([1]Examen11!AO26,[1]Examen12!AO26,[1]Examen13!AO26)</f>
        <v>0</v>
      </c>
      <c r="AP29" s="32">
        <f t="shared" si="78"/>
        <v>-1</v>
      </c>
      <c r="AQ29" s="33">
        <f>MAX([1]Examen11!AQ26,[1]Examen12!AQ26,[1]Examen13!AQ26)</f>
        <v>0</v>
      </c>
      <c r="AR29" s="32">
        <f t="shared" si="79"/>
        <v>-1</v>
      </c>
      <c r="AS29" s="33">
        <f>MAX([1]Examen11!AS26,[1]Examen12!AS26,[1]Examen13!AS26)</f>
        <v>0</v>
      </c>
      <c r="AT29" s="32">
        <f t="shared" si="80"/>
        <v>-1</v>
      </c>
      <c r="AU29" s="33">
        <f>MAX([1]Examen11!AU26,[1]Examen12!AU26,[1]Examen13!AU26)</f>
        <v>0</v>
      </c>
      <c r="AV29" s="32">
        <f t="shared" si="81"/>
        <v>-1</v>
      </c>
      <c r="AW29" s="33">
        <f>MAX([1]Examen11!AW26,[1]Examen12!AW26,[1]Examen13!AW26)</f>
        <v>0</v>
      </c>
      <c r="AX29" s="32">
        <f t="shared" si="82"/>
        <v>-1</v>
      </c>
      <c r="AY29" s="33">
        <f>MAX([1]Examen11!AY26,[1]Examen12!AY26,[1]Examen13!AY26)</f>
        <v>0</v>
      </c>
      <c r="AZ29" s="32">
        <f t="shared" si="83"/>
        <v>-1</v>
      </c>
      <c r="BA29" s="33">
        <f>MAX([1]Examen11!BA26,[1]Examen12!BA26,[1]Examen13!BA26)</f>
        <v>0</v>
      </c>
      <c r="BB29" s="32">
        <f t="shared" si="84"/>
        <v>-1</v>
      </c>
      <c r="BC29" s="33">
        <f>MAX([1]Examen11!BC26,[1]Examen12!BC26,[1]Examen13!BC26)</f>
        <v>0</v>
      </c>
      <c r="BD29" s="32">
        <f t="shared" si="85"/>
        <v>-1</v>
      </c>
      <c r="BE29" s="33">
        <f>MAX([1]Examen11!BE26,[1]Examen12!BE26,[1]Examen13!BE26)</f>
        <v>0</v>
      </c>
      <c r="BF29" s="32">
        <f t="shared" si="86"/>
        <v>-1</v>
      </c>
      <c r="BG29" s="33">
        <f>MAX([1]Examen11!BG26,[1]Examen12!BG26,[1]Examen13!BG26)</f>
        <v>0</v>
      </c>
      <c r="BH29" s="32">
        <f t="shared" si="87"/>
        <v>-1</v>
      </c>
      <c r="BI29" s="33">
        <f>MAX([1]Examen11!BI26,[1]Examen12!BI26,[1]Examen13!BI26)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MAX([1]Examen11!B27,[1]Examen12!B27,[1]Examen13!B27)</f>
        <v>0</v>
      </c>
      <c r="C30" s="33">
        <f>MAX([1]Examen11!C27,[1]Examen12!C27,[1]Examen13!C27)</f>
        <v>0</v>
      </c>
      <c r="D30" s="32">
        <f t="shared" si="59"/>
        <v>-1</v>
      </c>
      <c r="E30" s="33">
        <f>MAX([1]Examen11!E27,[1]Examen12!E27,[1]Examen13!E27)</f>
        <v>0</v>
      </c>
      <c r="F30" s="32">
        <f t="shared" si="60"/>
        <v>-1</v>
      </c>
      <c r="G30" s="33">
        <f>MAX([1]Examen11!G27,[1]Examen12!G27,[1]Examen13!G27)</f>
        <v>0</v>
      </c>
      <c r="H30" s="32">
        <f t="shared" si="61"/>
        <v>-1</v>
      </c>
      <c r="I30" s="33">
        <f>MAX([1]Examen11!I27,[1]Examen12!I27,[1]Examen13!I27)</f>
        <v>0</v>
      </c>
      <c r="J30" s="32">
        <f t="shared" si="62"/>
        <v>-1</v>
      </c>
      <c r="K30" s="33">
        <f>MAX([1]Examen11!K27,[1]Examen12!K27,[1]Examen13!K27)</f>
        <v>0</v>
      </c>
      <c r="L30" s="32">
        <f t="shared" si="63"/>
        <v>-1</v>
      </c>
      <c r="M30" s="33">
        <f>MAX([1]Examen11!M27,[1]Examen12!M27,[1]Examen13!M27)</f>
        <v>0</v>
      </c>
      <c r="N30" s="32">
        <f t="shared" si="64"/>
        <v>-1</v>
      </c>
      <c r="O30" s="33">
        <f>MAX([1]Examen11!O27,[1]Examen12!O27,[1]Examen13!O27)</f>
        <v>0</v>
      </c>
      <c r="P30" s="32">
        <f t="shared" si="65"/>
        <v>-1</v>
      </c>
      <c r="Q30" s="33">
        <f>MAX([1]Examen11!Q27,[1]Examen12!Q27,[1]Examen13!Q27)</f>
        <v>0</v>
      </c>
      <c r="R30" s="32">
        <f t="shared" si="66"/>
        <v>-1</v>
      </c>
      <c r="S30" s="33">
        <f>MAX([1]Examen11!S27,[1]Examen12!S27,[1]Examen13!S27)</f>
        <v>0</v>
      </c>
      <c r="T30" s="32">
        <f t="shared" si="67"/>
        <v>-1</v>
      </c>
      <c r="U30" s="33">
        <f>MAX([1]Examen11!U27,[1]Examen12!U27,[1]Examen13!U27)</f>
        <v>0</v>
      </c>
      <c r="V30" s="32">
        <f t="shared" si="68"/>
        <v>-1</v>
      </c>
      <c r="W30" s="33">
        <f>MAX([1]Examen11!W27,[1]Examen12!W27,[1]Examen13!W27)</f>
        <v>0</v>
      </c>
      <c r="X30" s="32">
        <f t="shared" si="69"/>
        <v>-1</v>
      </c>
      <c r="Y30" s="33">
        <f>MAX([1]Examen11!Y27,[1]Examen12!Y27,[1]Examen13!Y27)</f>
        <v>0</v>
      </c>
      <c r="Z30" s="32">
        <f t="shared" si="70"/>
        <v>-1</v>
      </c>
      <c r="AA30" s="33">
        <f>MAX([1]Examen11!AA27,[1]Examen12!AA27,[1]Examen13!AA27)</f>
        <v>0</v>
      </c>
      <c r="AB30" s="32">
        <f t="shared" si="71"/>
        <v>-1</v>
      </c>
      <c r="AC30" s="33">
        <f>MAX([1]Examen11!AC27,[1]Examen12!AC27,[1]Examen13!AC27)</f>
        <v>0</v>
      </c>
      <c r="AD30" s="32">
        <f t="shared" si="72"/>
        <v>-1</v>
      </c>
      <c r="AE30" s="33">
        <f>MAX([1]Examen11!AE27,[1]Examen12!AE27,[1]Examen13!AE27)</f>
        <v>0</v>
      </c>
      <c r="AF30" s="32">
        <f t="shared" si="73"/>
        <v>-1</v>
      </c>
      <c r="AG30" s="33">
        <f>MAX([1]Examen11!AG27,[1]Examen12!AG27,[1]Examen13!AG27)</f>
        <v>0</v>
      </c>
      <c r="AH30" s="32">
        <f t="shared" si="74"/>
        <v>-1</v>
      </c>
      <c r="AI30" s="33">
        <f>MAX([1]Examen11!AI27,[1]Examen12!AI27,[1]Examen13!AI27)</f>
        <v>0</v>
      </c>
      <c r="AJ30" s="32">
        <f t="shared" si="75"/>
        <v>-1</v>
      </c>
      <c r="AK30" s="33">
        <f>MAX([1]Examen11!AK27,[1]Examen12!AK27,[1]Examen13!AK27)</f>
        <v>0</v>
      </c>
      <c r="AL30" s="32">
        <f t="shared" si="76"/>
        <v>-1</v>
      </c>
      <c r="AM30" s="33">
        <f>MAX([1]Examen11!AM27,[1]Examen12!AM27,[1]Examen13!AM27)</f>
        <v>0</v>
      </c>
      <c r="AN30" s="32">
        <f t="shared" si="77"/>
        <v>-1</v>
      </c>
      <c r="AO30" s="33">
        <f>MAX([1]Examen11!AO27,[1]Examen12!AO27,[1]Examen13!AO27)</f>
        <v>0</v>
      </c>
      <c r="AP30" s="32">
        <f t="shared" si="78"/>
        <v>-1</v>
      </c>
      <c r="AQ30" s="33">
        <f>MAX([1]Examen11!AQ27,[1]Examen12!AQ27,[1]Examen13!AQ27)</f>
        <v>0</v>
      </c>
      <c r="AR30" s="32">
        <f t="shared" si="79"/>
        <v>-1</v>
      </c>
      <c r="AS30" s="33">
        <f>MAX([1]Examen11!AS27,[1]Examen12!AS27,[1]Examen13!AS27)</f>
        <v>0</v>
      </c>
      <c r="AT30" s="32">
        <f t="shared" si="80"/>
        <v>-1</v>
      </c>
      <c r="AU30" s="33">
        <f>MAX([1]Examen11!AU27,[1]Examen12!AU27,[1]Examen13!AU27)</f>
        <v>0</v>
      </c>
      <c r="AV30" s="32">
        <f t="shared" si="81"/>
        <v>-1</v>
      </c>
      <c r="AW30" s="33">
        <f>MAX([1]Examen11!AW27,[1]Examen12!AW27,[1]Examen13!AW27)</f>
        <v>0</v>
      </c>
      <c r="AX30" s="32">
        <f t="shared" si="82"/>
        <v>-1</v>
      </c>
      <c r="AY30" s="33">
        <f>MAX([1]Examen11!AY27,[1]Examen12!AY27,[1]Examen13!AY27)</f>
        <v>0</v>
      </c>
      <c r="AZ30" s="32">
        <f t="shared" si="83"/>
        <v>-1</v>
      </c>
      <c r="BA30" s="33">
        <f>MAX([1]Examen11!BA27,[1]Examen12!BA27,[1]Examen13!BA27)</f>
        <v>0</v>
      </c>
      <c r="BB30" s="32">
        <f t="shared" si="84"/>
        <v>-1</v>
      </c>
      <c r="BC30" s="33">
        <f>MAX([1]Examen11!BC27,[1]Examen12!BC27,[1]Examen13!BC27)</f>
        <v>0</v>
      </c>
      <c r="BD30" s="32">
        <f t="shared" si="85"/>
        <v>-1</v>
      </c>
      <c r="BE30" s="33">
        <f>MAX([1]Examen11!BE27,[1]Examen12!BE27,[1]Examen13!BE27)</f>
        <v>0</v>
      </c>
      <c r="BF30" s="32">
        <f t="shared" si="86"/>
        <v>-1</v>
      </c>
      <c r="BG30" s="33">
        <f>MAX([1]Examen11!BG27,[1]Examen12!BG27,[1]Examen13!BG27)</f>
        <v>0</v>
      </c>
      <c r="BH30" s="32">
        <f t="shared" si="87"/>
        <v>-1</v>
      </c>
      <c r="BI30" s="33">
        <f>MAX([1]Examen11!BI27,[1]Examen12!BI27,[1]Examen13!BI27)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MAX([1]Examen11!B28,[1]Examen12!B28,[1]Examen13!B28)</f>
        <v>0</v>
      </c>
      <c r="C31" s="33">
        <f>MAX([1]Examen11!C28,[1]Examen12!C28,[1]Examen13!C28)</f>
        <v>0</v>
      </c>
      <c r="D31" s="32">
        <f t="shared" si="59"/>
        <v>-1</v>
      </c>
      <c r="E31" s="33">
        <f>MAX([1]Examen11!E28,[1]Examen12!E28,[1]Examen13!E28)</f>
        <v>0</v>
      </c>
      <c r="F31" s="32">
        <f t="shared" si="60"/>
        <v>-1</v>
      </c>
      <c r="G31" s="33">
        <f>MAX([1]Examen11!G28,[1]Examen12!G28,[1]Examen13!G28)</f>
        <v>0</v>
      </c>
      <c r="H31" s="32">
        <f t="shared" si="61"/>
        <v>-1</v>
      </c>
      <c r="I31" s="33">
        <f>MAX([1]Examen11!I28,[1]Examen12!I28,[1]Examen13!I28)</f>
        <v>0</v>
      </c>
      <c r="J31" s="32">
        <f t="shared" si="62"/>
        <v>-1</v>
      </c>
      <c r="K31" s="33">
        <f>MAX([1]Examen11!K28,[1]Examen12!K28,[1]Examen13!K28)</f>
        <v>0</v>
      </c>
      <c r="L31" s="32">
        <f t="shared" si="63"/>
        <v>-1</v>
      </c>
      <c r="M31" s="33">
        <f>MAX([1]Examen11!M28,[1]Examen12!M28,[1]Examen13!M28)</f>
        <v>0</v>
      </c>
      <c r="N31" s="32">
        <f t="shared" si="64"/>
        <v>-1</v>
      </c>
      <c r="O31" s="33">
        <f>MAX([1]Examen11!O28,[1]Examen12!O28,[1]Examen13!O28)</f>
        <v>0</v>
      </c>
      <c r="P31" s="32">
        <f t="shared" si="65"/>
        <v>-1</v>
      </c>
      <c r="Q31" s="33">
        <f>MAX([1]Examen11!Q28,[1]Examen12!Q28,[1]Examen13!Q28)</f>
        <v>0</v>
      </c>
      <c r="R31" s="32">
        <f t="shared" si="66"/>
        <v>-1</v>
      </c>
      <c r="S31" s="33">
        <f>MAX([1]Examen11!S28,[1]Examen12!S28,[1]Examen13!S28)</f>
        <v>0</v>
      </c>
      <c r="T31" s="32">
        <f t="shared" si="67"/>
        <v>-1</v>
      </c>
      <c r="U31" s="33">
        <f>MAX([1]Examen11!U28,[1]Examen12!U28,[1]Examen13!U28)</f>
        <v>0</v>
      </c>
      <c r="V31" s="32">
        <f t="shared" si="68"/>
        <v>-1</v>
      </c>
      <c r="W31" s="33">
        <f>MAX([1]Examen11!W28,[1]Examen12!W28,[1]Examen13!W28)</f>
        <v>0</v>
      </c>
      <c r="X31" s="32">
        <f t="shared" si="69"/>
        <v>-1</v>
      </c>
      <c r="Y31" s="33">
        <f>MAX([1]Examen11!Y28,[1]Examen12!Y28,[1]Examen13!Y28)</f>
        <v>0</v>
      </c>
      <c r="Z31" s="32">
        <f t="shared" si="70"/>
        <v>-1</v>
      </c>
      <c r="AA31" s="33">
        <f>MAX([1]Examen11!AA28,[1]Examen12!AA28,[1]Examen13!AA28)</f>
        <v>0</v>
      </c>
      <c r="AB31" s="32">
        <f t="shared" si="71"/>
        <v>-1</v>
      </c>
      <c r="AC31" s="33">
        <f>MAX([1]Examen11!AC28,[1]Examen12!AC28,[1]Examen13!AC28)</f>
        <v>0</v>
      </c>
      <c r="AD31" s="32">
        <f t="shared" si="72"/>
        <v>-1</v>
      </c>
      <c r="AE31" s="33">
        <f>MAX([1]Examen11!AE28,[1]Examen12!AE28,[1]Examen13!AE28)</f>
        <v>0</v>
      </c>
      <c r="AF31" s="32">
        <f t="shared" si="73"/>
        <v>-1</v>
      </c>
      <c r="AG31" s="33">
        <f>MAX([1]Examen11!AG28,[1]Examen12!AG28,[1]Examen13!AG28)</f>
        <v>0</v>
      </c>
      <c r="AH31" s="32">
        <f t="shared" si="74"/>
        <v>-1</v>
      </c>
      <c r="AI31" s="33">
        <f>MAX([1]Examen11!AI28,[1]Examen12!AI28,[1]Examen13!AI28)</f>
        <v>0</v>
      </c>
      <c r="AJ31" s="32">
        <f t="shared" si="75"/>
        <v>-1</v>
      </c>
      <c r="AK31" s="33">
        <f>MAX([1]Examen11!AK28,[1]Examen12!AK28,[1]Examen13!AK28)</f>
        <v>0</v>
      </c>
      <c r="AL31" s="32">
        <f t="shared" si="76"/>
        <v>-1</v>
      </c>
      <c r="AM31" s="33">
        <f>MAX([1]Examen11!AM28,[1]Examen12!AM28,[1]Examen13!AM28)</f>
        <v>0</v>
      </c>
      <c r="AN31" s="32">
        <f t="shared" si="77"/>
        <v>-1</v>
      </c>
      <c r="AO31" s="33">
        <f>MAX([1]Examen11!AO28,[1]Examen12!AO28,[1]Examen13!AO28)</f>
        <v>0</v>
      </c>
      <c r="AP31" s="32">
        <f t="shared" si="78"/>
        <v>-1</v>
      </c>
      <c r="AQ31" s="33">
        <f>MAX([1]Examen11!AQ28,[1]Examen12!AQ28,[1]Examen13!AQ28)</f>
        <v>0</v>
      </c>
      <c r="AR31" s="32">
        <f t="shared" si="79"/>
        <v>-1</v>
      </c>
      <c r="AS31" s="33">
        <f>MAX([1]Examen11!AS28,[1]Examen12!AS28,[1]Examen13!AS28)</f>
        <v>0</v>
      </c>
      <c r="AT31" s="32">
        <f t="shared" si="80"/>
        <v>-1</v>
      </c>
      <c r="AU31" s="33">
        <f>MAX([1]Examen11!AU28,[1]Examen12!AU28,[1]Examen13!AU28)</f>
        <v>0</v>
      </c>
      <c r="AV31" s="32">
        <f t="shared" si="81"/>
        <v>-1</v>
      </c>
      <c r="AW31" s="33">
        <f>MAX([1]Examen11!AW28,[1]Examen12!AW28,[1]Examen13!AW28)</f>
        <v>0</v>
      </c>
      <c r="AX31" s="32">
        <f t="shared" si="82"/>
        <v>-1</v>
      </c>
      <c r="AY31" s="33">
        <f>MAX([1]Examen11!AY28,[1]Examen12!AY28,[1]Examen13!AY28)</f>
        <v>0</v>
      </c>
      <c r="AZ31" s="32">
        <f t="shared" si="83"/>
        <v>-1</v>
      </c>
      <c r="BA31" s="33">
        <f>MAX([1]Examen11!BA28,[1]Examen12!BA28,[1]Examen13!BA28)</f>
        <v>0</v>
      </c>
      <c r="BB31" s="32">
        <f t="shared" si="84"/>
        <v>-1</v>
      </c>
      <c r="BC31" s="33">
        <f>MAX([1]Examen11!BC28,[1]Examen12!BC28,[1]Examen13!BC28)</f>
        <v>0</v>
      </c>
      <c r="BD31" s="32">
        <f t="shared" si="85"/>
        <v>-1</v>
      </c>
      <c r="BE31" s="33">
        <f>MAX([1]Examen11!BE28,[1]Examen12!BE28,[1]Examen13!BE28)</f>
        <v>0</v>
      </c>
      <c r="BF31" s="32">
        <f t="shared" si="86"/>
        <v>-1</v>
      </c>
      <c r="BG31" s="33">
        <f>MAX([1]Examen11!BG28,[1]Examen12!BG28,[1]Examen13!BG28)</f>
        <v>0</v>
      </c>
      <c r="BH31" s="32">
        <f t="shared" si="87"/>
        <v>-1</v>
      </c>
      <c r="BI31" s="33">
        <f>MAX([1]Examen11!BI28,[1]Examen12!BI28,[1]Examen13!BI28)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MAX([1]Examen11!B29,[1]Examen12!B29,[1]Examen13!B29)</f>
        <v>0</v>
      </c>
      <c r="C32" s="33">
        <f>MAX([1]Examen11!C29,[1]Examen12!C29,[1]Examen13!C29)</f>
        <v>0</v>
      </c>
      <c r="D32" s="32">
        <f t="shared" si="59"/>
        <v>-1</v>
      </c>
      <c r="E32" s="33">
        <f>MAX([1]Examen11!E29,[1]Examen12!E29,[1]Examen13!E29)</f>
        <v>0</v>
      </c>
      <c r="F32" s="32">
        <f t="shared" si="60"/>
        <v>-1</v>
      </c>
      <c r="G32" s="33">
        <f>MAX([1]Examen11!G29,[1]Examen12!G29,[1]Examen13!G29)</f>
        <v>0</v>
      </c>
      <c r="H32" s="32">
        <f t="shared" si="61"/>
        <v>-1</v>
      </c>
      <c r="I32" s="33">
        <f>MAX([1]Examen11!I29,[1]Examen12!I29,[1]Examen13!I29)</f>
        <v>0</v>
      </c>
      <c r="J32" s="32">
        <f t="shared" si="62"/>
        <v>-1</v>
      </c>
      <c r="K32" s="33">
        <f>MAX([1]Examen11!K29,[1]Examen12!K29,[1]Examen13!K29)</f>
        <v>0</v>
      </c>
      <c r="L32" s="32">
        <f t="shared" si="63"/>
        <v>-1</v>
      </c>
      <c r="M32" s="33">
        <f>MAX([1]Examen11!M29,[1]Examen12!M29,[1]Examen13!M29)</f>
        <v>0</v>
      </c>
      <c r="N32" s="32">
        <f t="shared" si="64"/>
        <v>-1</v>
      </c>
      <c r="O32" s="33">
        <f>MAX([1]Examen11!O29,[1]Examen12!O29,[1]Examen13!O29)</f>
        <v>0</v>
      </c>
      <c r="P32" s="32">
        <f t="shared" si="65"/>
        <v>-1</v>
      </c>
      <c r="Q32" s="33">
        <f>MAX([1]Examen11!Q29,[1]Examen12!Q29,[1]Examen13!Q29)</f>
        <v>0</v>
      </c>
      <c r="R32" s="32">
        <f t="shared" si="66"/>
        <v>-1</v>
      </c>
      <c r="S32" s="33">
        <f>MAX([1]Examen11!S29,[1]Examen12!S29,[1]Examen13!S29)</f>
        <v>0</v>
      </c>
      <c r="T32" s="32">
        <f t="shared" si="67"/>
        <v>-1</v>
      </c>
      <c r="U32" s="33">
        <f>MAX([1]Examen11!U29,[1]Examen12!U29,[1]Examen13!U29)</f>
        <v>0</v>
      </c>
      <c r="V32" s="32">
        <f t="shared" si="68"/>
        <v>-1</v>
      </c>
      <c r="W32" s="33">
        <f>MAX([1]Examen11!W29,[1]Examen12!W29,[1]Examen13!W29)</f>
        <v>0</v>
      </c>
      <c r="X32" s="32">
        <f t="shared" si="69"/>
        <v>-1</v>
      </c>
      <c r="Y32" s="33">
        <f>MAX([1]Examen11!Y29,[1]Examen12!Y29,[1]Examen13!Y29)</f>
        <v>0</v>
      </c>
      <c r="Z32" s="32">
        <f t="shared" si="70"/>
        <v>-1</v>
      </c>
      <c r="AA32" s="33">
        <f>MAX([1]Examen11!AA29,[1]Examen12!AA29,[1]Examen13!AA29)</f>
        <v>0</v>
      </c>
      <c r="AB32" s="32">
        <f t="shared" si="71"/>
        <v>-1</v>
      </c>
      <c r="AC32" s="33">
        <f>MAX([1]Examen11!AC29,[1]Examen12!AC29,[1]Examen13!AC29)</f>
        <v>0</v>
      </c>
      <c r="AD32" s="32">
        <f t="shared" si="72"/>
        <v>-1</v>
      </c>
      <c r="AE32" s="33">
        <f>MAX([1]Examen11!AE29,[1]Examen12!AE29,[1]Examen13!AE29)</f>
        <v>0</v>
      </c>
      <c r="AF32" s="32">
        <f t="shared" si="73"/>
        <v>-1</v>
      </c>
      <c r="AG32" s="33">
        <f>MAX([1]Examen11!AG29,[1]Examen12!AG29,[1]Examen13!AG29)</f>
        <v>0</v>
      </c>
      <c r="AH32" s="32">
        <f t="shared" si="74"/>
        <v>-1</v>
      </c>
      <c r="AI32" s="33">
        <f>MAX([1]Examen11!AI29,[1]Examen12!AI29,[1]Examen13!AI29)</f>
        <v>0</v>
      </c>
      <c r="AJ32" s="32">
        <f t="shared" si="75"/>
        <v>-1</v>
      </c>
      <c r="AK32" s="33">
        <f>MAX([1]Examen11!AK29,[1]Examen12!AK29,[1]Examen13!AK29)</f>
        <v>0</v>
      </c>
      <c r="AL32" s="32">
        <f t="shared" si="76"/>
        <v>-1</v>
      </c>
      <c r="AM32" s="33">
        <f>MAX([1]Examen11!AM29,[1]Examen12!AM29,[1]Examen13!AM29)</f>
        <v>0</v>
      </c>
      <c r="AN32" s="32">
        <f t="shared" si="77"/>
        <v>-1</v>
      </c>
      <c r="AO32" s="33">
        <f>MAX([1]Examen11!AO29,[1]Examen12!AO29,[1]Examen13!AO29)</f>
        <v>0</v>
      </c>
      <c r="AP32" s="32">
        <f t="shared" si="78"/>
        <v>-1</v>
      </c>
      <c r="AQ32" s="33">
        <f>MAX([1]Examen11!AQ29,[1]Examen12!AQ29,[1]Examen13!AQ29)</f>
        <v>0</v>
      </c>
      <c r="AR32" s="32">
        <f t="shared" si="79"/>
        <v>-1</v>
      </c>
      <c r="AS32" s="33">
        <f>MAX([1]Examen11!AS29,[1]Examen12!AS29,[1]Examen13!AS29)</f>
        <v>0</v>
      </c>
      <c r="AT32" s="32">
        <f t="shared" si="80"/>
        <v>-1</v>
      </c>
      <c r="AU32" s="33">
        <f>MAX([1]Examen11!AU29,[1]Examen12!AU29,[1]Examen13!AU29)</f>
        <v>0</v>
      </c>
      <c r="AV32" s="32">
        <f t="shared" si="81"/>
        <v>-1</v>
      </c>
      <c r="AW32" s="33">
        <f>MAX([1]Examen11!AW29,[1]Examen12!AW29,[1]Examen13!AW29)</f>
        <v>0</v>
      </c>
      <c r="AX32" s="32">
        <f t="shared" si="82"/>
        <v>-1</v>
      </c>
      <c r="AY32" s="33">
        <f>MAX([1]Examen11!AY29,[1]Examen12!AY29,[1]Examen13!AY29)</f>
        <v>0</v>
      </c>
      <c r="AZ32" s="32">
        <f t="shared" si="83"/>
        <v>-1</v>
      </c>
      <c r="BA32" s="33">
        <f>MAX([1]Examen11!BA29,[1]Examen12!BA29,[1]Examen13!BA29)</f>
        <v>0</v>
      </c>
      <c r="BB32" s="32">
        <f t="shared" si="84"/>
        <v>-1</v>
      </c>
      <c r="BC32" s="33">
        <f>MAX([1]Examen11!BC29,[1]Examen12!BC29,[1]Examen13!BC29)</f>
        <v>0</v>
      </c>
      <c r="BD32" s="32">
        <f t="shared" si="85"/>
        <v>-1</v>
      </c>
      <c r="BE32" s="33">
        <f>MAX([1]Examen11!BE29,[1]Examen12!BE29,[1]Examen13!BE29)</f>
        <v>0</v>
      </c>
      <c r="BF32" s="32">
        <f t="shared" si="86"/>
        <v>-1</v>
      </c>
      <c r="BG32" s="33">
        <f>MAX([1]Examen11!BG29,[1]Examen12!BG29,[1]Examen13!BG29)</f>
        <v>0</v>
      </c>
      <c r="BH32" s="32">
        <f t="shared" si="87"/>
        <v>-1</v>
      </c>
      <c r="BI32" s="33">
        <f>MAX([1]Examen11!BI29,[1]Examen12!BI29,[1]Examen13!BI29)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MAX([1]Examen11!B30,[1]Examen12!B30,[1]Examen13!B30)</f>
        <v>0</v>
      </c>
      <c r="C33" s="33">
        <f>MAX([1]Examen11!C30,[1]Examen12!C30,[1]Examen13!C30)</f>
        <v>0</v>
      </c>
      <c r="D33" s="32">
        <f t="shared" si="59"/>
        <v>-1</v>
      </c>
      <c r="E33" s="33">
        <f>MAX([1]Examen11!E30,[1]Examen12!E30,[1]Examen13!E30)</f>
        <v>0</v>
      </c>
      <c r="F33" s="32">
        <f t="shared" si="60"/>
        <v>-1</v>
      </c>
      <c r="G33" s="33">
        <f>MAX([1]Examen11!G30,[1]Examen12!G30,[1]Examen13!G30)</f>
        <v>0</v>
      </c>
      <c r="H33" s="32">
        <f t="shared" si="61"/>
        <v>-1</v>
      </c>
      <c r="I33" s="33">
        <f>MAX([1]Examen11!I30,[1]Examen12!I30,[1]Examen13!I30)</f>
        <v>0</v>
      </c>
      <c r="J33" s="32">
        <f t="shared" si="62"/>
        <v>-1</v>
      </c>
      <c r="K33" s="33">
        <f>MAX([1]Examen11!K30,[1]Examen12!K30,[1]Examen13!K30)</f>
        <v>0</v>
      </c>
      <c r="L33" s="32">
        <f t="shared" si="63"/>
        <v>-1</v>
      </c>
      <c r="M33" s="33">
        <f>MAX([1]Examen11!M30,[1]Examen12!M30,[1]Examen13!M30)</f>
        <v>0</v>
      </c>
      <c r="N33" s="32">
        <f t="shared" si="64"/>
        <v>-1</v>
      </c>
      <c r="O33" s="33">
        <f>MAX([1]Examen11!O30,[1]Examen12!O30,[1]Examen13!O30)</f>
        <v>0</v>
      </c>
      <c r="P33" s="32">
        <f t="shared" si="65"/>
        <v>-1</v>
      </c>
      <c r="Q33" s="33">
        <f>MAX([1]Examen11!Q30,[1]Examen12!Q30,[1]Examen13!Q30)</f>
        <v>0</v>
      </c>
      <c r="R33" s="32">
        <f t="shared" si="66"/>
        <v>-1</v>
      </c>
      <c r="S33" s="33">
        <f>MAX([1]Examen11!S30,[1]Examen12!S30,[1]Examen13!S30)</f>
        <v>0</v>
      </c>
      <c r="T33" s="32">
        <f t="shared" si="67"/>
        <v>-1</v>
      </c>
      <c r="U33" s="33">
        <f>MAX([1]Examen11!U30,[1]Examen12!U30,[1]Examen13!U30)</f>
        <v>0</v>
      </c>
      <c r="V33" s="32">
        <f t="shared" si="68"/>
        <v>-1</v>
      </c>
      <c r="W33" s="33">
        <f>MAX([1]Examen11!W30,[1]Examen12!W30,[1]Examen13!W30)</f>
        <v>0</v>
      </c>
      <c r="X33" s="32">
        <f t="shared" si="69"/>
        <v>-1</v>
      </c>
      <c r="Y33" s="33">
        <f>MAX([1]Examen11!Y30,[1]Examen12!Y30,[1]Examen13!Y30)</f>
        <v>0</v>
      </c>
      <c r="Z33" s="32">
        <f t="shared" si="70"/>
        <v>-1</v>
      </c>
      <c r="AA33" s="33">
        <f>MAX([1]Examen11!AA30,[1]Examen12!AA30,[1]Examen13!AA30)</f>
        <v>0</v>
      </c>
      <c r="AB33" s="32">
        <f t="shared" si="71"/>
        <v>-1</v>
      </c>
      <c r="AC33" s="33">
        <f>MAX([1]Examen11!AC30,[1]Examen12!AC30,[1]Examen13!AC30)</f>
        <v>0</v>
      </c>
      <c r="AD33" s="32">
        <f t="shared" si="72"/>
        <v>-1</v>
      </c>
      <c r="AE33" s="33">
        <f>MAX([1]Examen11!AE30,[1]Examen12!AE30,[1]Examen13!AE30)</f>
        <v>0</v>
      </c>
      <c r="AF33" s="32">
        <f t="shared" si="73"/>
        <v>-1</v>
      </c>
      <c r="AG33" s="33">
        <f>MAX([1]Examen11!AG30,[1]Examen12!AG30,[1]Examen13!AG30)</f>
        <v>0</v>
      </c>
      <c r="AH33" s="32">
        <f t="shared" si="74"/>
        <v>-1</v>
      </c>
      <c r="AI33" s="33">
        <f>MAX([1]Examen11!AI30,[1]Examen12!AI30,[1]Examen13!AI30)</f>
        <v>0</v>
      </c>
      <c r="AJ33" s="32">
        <f t="shared" si="75"/>
        <v>-1</v>
      </c>
      <c r="AK33" s="33">
        <f>MAX([1]Examen11!AK30,[1]Examen12!AK30,[1]Examen13!AK30)</f>
        <v>0</v>
      </c>
      <c r="AL33" s="32">
        <f t="shared" si="76"/>
        <v>-1</v>
      </c>
      <c r="AM33" s="33">
        <f>MAX([1]Examen11!AM30,[1]Examen12!AM30,[1]Examen13!AM30)</f>
        <v>0</v>
      </c>
      <c r="AN33" s="32">
        <f t="shared" si="77"/>
        <v>-1</v>
      </c>
      <c r="AO33" s="33">
        <f>MAX([1]Examen11!AO30,[1]Examen12!AO30,[1]Examen13!AO30)</f>
        <v>0</v>
      </c>
      <c r="AP33" s="32">
        <f t="shared" si="78"/>
        <v>-1</v>
      </c>
      <c r="AQ33" s="33">
        <f>MAX([1]Examen11!AQ30,[1]Examen12!AQ30,[1]Examen13!AQ30)</f>
        <v>0</v>
      </c>
      <c r="AR33" s="32">
        <f t="shared" si="79"/>
        <v>-1</v>
      </c>
      <c r="AS33" s="33">
        <f>MAX([1]Examen11!AS30,[1]Examen12!AS30,[1]Examen13!AS30)</f>
        <v>0</v>
      </c>
      <c r="AT33" s="32">
        <f t="shared" si="80"/>
        <v>-1</v>
      </c>
      <c r="AU33" s="33">
        <f>MAX([1]Examen11!AU30,[1]Examen12!AU30,[1]Examen13!AU30)</f>
        <v>0</v>
      </c>
      <c r="AV33" s="32">
        <f t="shared" si="81"/>
        <v>-1</v>
      </c>
      <c r="AW33" s="33">
        <f>MAX([1]Examen11!AW30,[1]Examen12!AW30,[1]Examen13!AW30)</f>
        <v>0</v>
      </c>
      <c r="AX33" s="32">
        <f t="shared" si="82"/>
        <v>-1</v>
      </c>
      <c r="AY33" s="33">
        <f>MAX([1]Examen11!AY30,[1]Examen12!AY30,[1]Examen13!AY30)</f>
        <v>0</v>
      </c>
      <c r="AZ33" s="32">
        <f t="shared" si="83"/>
        <v>-1</v>
      </c>
      <c r="BA33" s="33">
        <f>MAX([1]Examen11!BA30,[1]Examen12!BA30,[1]Examen13!BA30)</f>
        <v>0</v>
      </c>
      <c r="BB33" s="32">
        <f t="shared" si="84"/>
        <v>-1</v>
      </c>
      <c r="BC33" s="33">
        <f>MAX([1]Examen11!BC30,[1]Examen12!BC30,[1]Examen13!BC30)</f>
        <v>0</v>
      </c>
      <c r="BD33" s="32">
        <f t="shared" si="85"/>
        <v>-1</v>
      </c>
      <c r="BE33" s="33">
        <f>MAX([1]Examen11!BE30,[1]Examen12!BE30,[1]Examen13!BE30)</f>
        <v>0</v>
      </c>
      <c r="BF33" s="32">
        <f t="shared" si="86"/>
        <v>-1</v>
      </c>
      <c r="BG33" s="33">
        <f>MAX([1]Examen11!BG30,[1]Examen12!BG30,[1]Examen13!BG30)</f>
        <v>0</v>
      </c>
      <c r="BH33" s="32">
        <f t="shared" si="87"/>
        <v>-1</v>
      </c>
      <c r="BI33" s="33">
        <f>MAX([1]Examen11!BI30,[1]Examen12!BI30,[1]Examen13!BI30)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MAX([1]Examen11!B31,[1]Examen12!B31,[1]Examen13!B31)</f>
        <v>0</v>
      </c>
      <c r="C34" s="33">
        <f>MAX([1]Examen11!C31,[1]Examen12!C31,[1]Examen13!C31)</f>
        <v>0</v>
      </c>
      <c r="D34" s="32">
        <f t="shared" si="59"/>
        <v>-1</v>
      </c>
      <c r="E34" s="33">
        <f>MAX([1]Examen11!E31,[1]Examen12!E31,[1]Examen13!E31)</f>
        <v>0</v>
      </c>
      <c r="F34" s="32">
        <f t="shared" si="60"/>
        <v>-1</v>
      </c>
      <c r="G34" s="33">
        <f>MAX([1]Examen11!G31,[1]Examen12!G31,[1]Examen13!G31)</f>
        <v>0</v>
      </c>
      <c r="H34" s="32">
        <f t="shared" si="61"/>
        <v>-1</v>
      </c>
      <c r="I34" s="33">
        <f>MAX([1]Examen11!I31,[1]Examen12!I31,[1]Examen13!I31)</f>
        <v>0</v>
      </c>
      <c r="J34" s="32">
        <f t="shared" si="62"/>
        <v>-1</v>
      </c>
      <c r="K34" s="33">
        <f>MAX([1]Examen11!K31,[1]Examen12!K31,[1]Examen13!K31)</f>
        <v>0</v>
      </c>
      <c r="L34" s="32">
        <f t="shared" si="63"/>
        <v>-1</v>
      </c>
      <c r="M34" s="33">
        <f>MAX([1]Examen11!M31,[1]Examen12!M31,[1]Examen13!M31)</f>
        <v>0</v>
      </c>
      <c r="N34" s="32">
        <f t="shared" si="64"/>
        <v>-1</v>
      </c>
      <c r="O34" s="33">
        <f>MAX([1]Examen11!O31,[1]Examen12!O31,[1]Examen13!O31)</f>
        <v>0</v>
      </c>
      <c r="P34" s="32">
        <f t="shared" si="65"/>
        <v>-1</v>
      </c>
      <c r="Q34" s="33">
        <f>MAX([1]Examen11!Q31,[1]Examen12!Q31,[1]Examen13!Q31)</f>
        <v>0</v>
      </c>
      <c r="R34" s="32">
        <f t="shared" si="66"/>
        <v>-1</v>
      </c>
      <c r="S34" s="33">
        <f>MAX([1]Examen11!S31,[1]Examen12!S31,[1]Examen13!S31)</f>
        <v>0</v>
      </c>
      <c r="T34" s="32">
        <f t="shared" si="67"/>
        <v>-1</v>
      </c>
      <c r="U34" s="33">
        <f>MAX([1]Examen11!U31,[1]Examen12!U31,[1]Examen13!U31)</f>
        <v>0</v>
      </c>
      <c r="V34" s="32">
        <f t="shared" si="68"/>
        <v>-1</v>
      </c>
      <c r="W34" s="33">
        <f>MAX([1]Examen11!W31,[1]Examen12!W31,[1]Examen13!W31)</f>
        <v>0</v>
      </c>
      <c r="X34" s="32">
        <f t="shared" si="69"/>
        <v>-1</v>
      </c>
      <c r="Y34" s="33">
        <f>MAX([1]Examen11!Y31,[1]Examen12!Y31,[1]Examen13!Y31)</f>
        <v>0</v>
      </c>
      <c r="Z34" s="32">
        <f t="shared" si="70"/>
        <v>-1</v>
      </c>
      <c r="AA34" s="33">
        <f>MAX([1]Examen11!AA31,[1]Examen12!AA31,[1]Examen13!AA31)</f>
        <v>0</v>
      </c>
      <c r="AB34" s="32">
        <f t="shared" si="71"/>
        <v>-1</v>
      </c>
      <c r="AC34" s="33">
        <f>MAX([1]Examen11!AC31,[1]Examen12!AC31,[1]Examen13!AC31)</f>
        <v>0</v>
      </c>
      <c r="AD34" s="32">
        <f t="shared" si="72"/>
        <v>-1</v>
      </c>
      <c r="AE34" s="33">
        <f>MAX([1]Examen11!AE31,[1]Examen12!AE31,[1]Examen13!AE31)</f>
        <v>0</v>
      </c>
      <c r="AF34" s="32">
        <f t="shared" si="73"/>
        <v>-1</v>
      </c>
      <c r="AG34" s="33">
        <f>MAX([1]Examen11!AG31,[1]Examen12!AG31,[1]Examen13!AG31)</f>
        <v>0</v>
      </c>
      <c r="AH34" s="32">
        <f t="shared" si="74"/>
        <v>-1</v>
      </c>
      <c r="AI34" s="33">
        <f>MAX([1]Examen11!AI31,[1]Examen12!AI31,[1]Examen13!AI31)</f>
        <v>0</v>
      </c>
      <c r="AJ34" s="32">
        <f t="shared" si="75"/>
        <v>-1</v>
      </c>
      <c r="AK34" s="33">
        <f>MAX([1]Examen11!AK31,[1]Examen12!AK31,[1]Examen13!AK31)</f>
        <v>0</v>
      </c>
      <c r="AL34" s="32">
        <f t="shared" si="76"/>
        <v>-1</v>
      </c>
      <c r="AM34" s="33">
        <f>MAX([1]Examen11!AM31,[1]Examen12!AM31,[1]Examen13!AM31)</f>
        <v>0</v>
      </c>
      <c r="AN34" s="32">
        <f t="shared" si="77"/>
        <v>-1</v>
      </c>
      <c r="AO34" s="33">
        <f>MAX([1]Examen11!AO31,[1]Examen12!AO31,[1]Examen13!AO31)</f>
        <v>0</v>
      </c>
      <c r="AP34" s="32">
        <f t="shared" si="78"/>
        <v>-1</v>
      </c>
      <c r="AQ34" s="33">
        <f>MAX([1]Examen11!AQ31,[1]Examen12!AQ31,[1]Examen13!AQ31)</f>
        <v>0</v>
      </c>
      <c r="AR34" s="32">
        <f t="shared" si="79"/>
        <v>-1</v>
      </c>
      <c r="AS34" s="33">
        <f>MAX([1]Examen11!AS31,[1]Examen12!AS31,[1]Examen13!AS31)</f>
        <v>0</v>
      </c>
      <c r="AT34" s="32">
        <f t="shared" si="80"/>
        <v>-1</v>
      </c>
      <c r="AU34" s="33">
        <f>MAX([1]Examen11!AU31,[1]Examen12!AU31,[1]Examen13!AU31)</f>
        <v>0</v>
      </c>
      <c r="AV34" s="32">
        <f t="shared" si="81"/>
        <v>-1</v>
      </c>
      <c r="AW34" s="33">
        <f>MAX([1]Examen11!AW31,[1]Examen12!AW31,[1]Examen13!AW31)</f>
        <v>0</v>
      </c>
      <c r="AX34" s="32">
        <f t="shared" si="82"/>
        <v>-1</v>
      </c>
      <c r="AY34" s="33">
        <f>MAX([1]Examen11!AY31,[1]Examen12!AY31,[1]Examen13!AY31)</f>
        <v>0</v>
      </c>
      <c r="AZ34" s="32">
        <f t="shared" si="83"/>
        <v>-1</v>
      </c>
      <c r="BA34" s="33">
        <f>MAX([1]Examen11!BA31,[1]Examen12!BA31,[1]Examen13!BA31)</f>
        <v>0</v>
      </c>
      <c r="BB34" s="32">
        <f t="shared" si="84"/>
        <v>-1</v>
      </c>
      <c r="BC34" s="33">
        <f>MAX([1]Examen11!BC31,[1]Examen12!BC31,[1]Examen13!BC31)</f>
        <v>0</v>
      </c>
      <c r="BD34" s="32">
        <f t="shared" si="85"/>
        <v>-1</v>
      </c>
      <c r="BE34" s="33">
        <f>MAX([1]Examen11!BE31,[1]Examen12!BE31,[1]Examen13!BE31)</f>
        <v>0</v>
      </c>
      <c r="BF34" s="32">
        <f t="shared" si="86"/>
        <v>-1</v>
      </c>
      <c r="BG34" s="33">
        <f>MAX([1]Examen11!BG31,[1]Examen12!BG31,[1]Examen13!BG31)</f>
        <v>0</v>
      </c>
      <c r="BH34" s="32">
        <f t="shared" si="87"/>
        <v>-1</v>
      </c>
      <c r="BI34" s="33">
        <f>MAX([1]Examen11!BI31,[1]Examen12!BI31,[1]Examen13!BI31)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MAX([1]Examen11!B32,[1]Examen12!B32,[1]Examen13!B32)</f>
        <v>0</v>
      </c>
      <c r="C35" s="33">
        <f>MAX([1]Examen11!C32,[1]Examen12!C32,[1]Examen13!C32)</f>
        <v>0</v>
      </c>
      <c r="D35" s="32">
        <f t="shared" si="59"/>
        <v>-1</v>
      </c>
      <c r="E35" s="33">
        <f>MAX([1]Examen11!E32,[1]Examen12!E32,[1]Examen13!E32)</f>
        <v>0</v>
      </c>
      <c r="F35" s="32">
        <f t="shared" si="60"/>
        <v>-1</v>
      </c>
      <c r="G35" s="33">
        <f>MAX([1]Examen11!G32,[1]Examen12!G32,[1]Examen13!G32)</f>
        <v>0</v>
      </c>
      <c r="H35" s="32">
        <f t="shared" si="61"/>
        <v>-1</v>
      </c>
      <c r="I35" s="33">
        <f>MAX([1]Examen11!I32,[1]Examen12!I32,[1]Examen13!I32)</f>
        <v>0</v>
      </c>
      <c r="J35" s="32">
        <f t="shared" si="62"/>
        <v>-1</v>
      </c>
      <c r="K35" s="33">
        <f>MAX([1]Examen11!K32,[1]Examen12!K32,[1]Examen13!K32)</f>
        <v>0</v>
      </c>
      <c r="L35" s="32">
        <f t="shared" si="63"/>
        <v>-1</v>
      </c>
      <c r="M35" s="33">
        <f>MAX([1]Examen11!M32,[1]Examen12!M32,[1]Examen13!M32)</f>
        <v>0</v>
      </c>
      <c r="N35" s="32">
        <f t="shared" si="64"/>
        <v>-1</v>
      </c>
      <c r="O35" s="33">
        <f>MAX([1]Examen11!O32,[1]Examen12!O32,[1]Examen13!O32)</f>
        <v>0</v>
      </c>
      <c r="P35" s="32">
        <f t="shared" si="65"/>
        <v>-1</v>
      </c>
      <c r="Q35" s="33">
        <f>MAX([1]Examen11!Q32,[1]Examen12!Q32,[1]Examen13!Q32)</f>
        <v>0</v>
      </c>
      <c r="R35" s="32">
        <f t="shared" si="66"/>
        <v>-1</v>
      </c>
      <c r="S35" s="33">
        <f>MAX([1]Examen11!S32,[1]Examen12!S32,[1]Examen13!S32)</f>
        <v>0</v>
      </c>
      <c r="T35" s="32">
        <f t="shared" si="67"/>
        <v>-1</v>
      </c>
      <c r="U35" s="33">
        <f>MAX([1]Examen11!U32,[1]Examen12!U32,[1]Examen13!U32)</f>
        <v>0</v>
      </c>
      <c r="V35" s="32">
        <f t="shared" si="68"/>
        <v>-1</v>
      </c>
      <c r="W35" s="33">
        <f>MAX([1]Examen11!W32,[1]Examen12!W32,[1]Examen13!W32)</f>
        <v>0</v>
      </c>
      <c r="X35" s="32">
        <f t="shared" si="69"/>
        <v>-1</v>
      </c>
      <c r="Y35" s="33">
        <f>MAX([1]Examen11!Y32,[1]Examen12!Y32,[1]Examen13!Y32)</f>
        <v>0</v>
      </c>
      <c r="Z35" s="32">
        <f t="shared" si="70"/>
        <v>-1</v>
      </c>
      <c r="AA35" s="33">
        <f>MAX([1]Examen11!AA32,[1]Examen12!AA32,[1]Examen13!AA32)</f>
        <v>0</v>
      </c>
      <c r="AB35" s="32">
        <f t="shared" si="71"/>
        <v>-1</v>
      </c>
      <c r="AC35" s="33">
        <f>MAX([1]Examen11!AC32,[1]Examen12!AC32,[1]Examen13!AC32)</f>
        <v>0</v>
      </c>
      <c r="AD35" s="32">
        <f t="shared" si="72"/>
        <v>-1</v>
      </c>
      <c r="AE35" s="33">
        <f>MAX([1]Examen11!AE32,[1]Examen12!AE32,[1]Examen13!AE32)</f>
        <v>0</v>
      </c>
      <c r="AF35" s="32">
        <f t="shared" si="73"/>
        <v>-1</v>
      </c>
      <c r="AG35" s="33">
        <f>MAX([1]Examen11!AG32,[1]Examen12!AG32,[1]Examen13!AG32)</f>
        <v>0</v>
      </c>
      <c r="AH35" s="32">
        <f t="shared" si="74"/>
        <v>-1</v>
      </c>
      <c r="AI35" s="33">
        <f>MAX([1]Examen11!AI32,[1]Examen12!AI32,[1]Examen13!AI32)</f>
        <v>0</v>
      </c>
      <c r="AJ35" s="32">
        <f t="shared" si="75"/>
        <v>-1</v>
      </c>
      <c r="AK35" s="33">
        <f>MAX([1]Examen11!AK32,[1]Examen12!AK32,[1]Examen13!AK32)</f>
        <v>0</v>
      </c>
      <c r="AL35" s="32">
        <f t="shared" si="76"/>
        <v>-1</v>
      </c>
      <c r="AM35" s="33">
        <f>MAX([1]Examen11!AM32,[1]Examen12!AM32,[1]Examen13!AM32)</f>
        <v>0</v>
      </c>
      <c r="AN35" s="32">
        <f t="shared" si="77"/>
        <v>-1</v>
      </c>
      <c r="AO35" s="33">
        <f>MAX([1]Examen11!AO32,[1]Examen12!AO32,[1]Examen13!AO32)</f>
        <v>0</v>
      </c>
      <c r="AP35" s="32">
        <f t="shared" si="78"/>
        <v>-1</v>
      </c>
      <c r="AQ35" s="33">
        <f>MAX([1]Examen11!AQ32,[1]Examen12!AQ32,[1]Examen13!AQ32)</f>
        <v>0</v>
      </c>
      <c r="AR35" s="32">
        <f t="shared" si="79"/>
        <v>-1</v>
      </c>
      <c r="AS35" s="33">
        <f>MAX([1]Examen11!AS32,[1]Examen12!AS32,[1]Examen13!AS32)</f>
        <v>0</v>
      </c>
      <c r="AT35" s="32">
        <f t="shared" si="80"/>
        <v>-1</v>
      </c>
      <c r="AU35" s="33">
        <f>MAX([1]Examen11!AU32,[1]Examen12!AU32,[1]Examen13!AU32)</f>
        <v>0</v>
      </c>
      <c r="AV35" s="32">
        <f t="shared" si="81"/>
        <v>-1</v>
      </c>
      <c r="AW35" s="33">
        <f>MAX([1]Examen11!AW32,[1]Examen12!AW32,[1]Examen13!AW32)</f>
        <v>0</v>
      </c>
      <c r="AX35" s="32">
        <f t="shared" si="82"/>
        <v>-1</v>
      </c>
      <c r="AY35" s="33">
        <f>MAX([1]Examen11!AY32,[1]Examen12!AY32,[1]Examen13!AY32)</f>
        <v>0</v>
      </c>
      <c r="AZ35" s="32">
        <f t="shared" si="83"/>
        <v>-1</v>
      </c>
      <c r="BA35" s="33">
        <f>MAX([1]Examen11!BA32,[1]Examen12!BA32,[1]Examen13!BA32)</f>
        <v>0</v>
      </c>
      <c r="BB35" s="32">
        <f t="shared" si="84"/>
        <v>-1</v>
      </c>
      <c r="BC35" s="33">
        <f>MAX([1]Examen11!BC32,[1]Examen12!BC32,[1]Examen13!BC32)</f>
        <v>0</v>
      </c>
      <c r="BD35" s="32">
        <f t="shared" si="85"/>
        <v>-1</v>
      </c>
      <c r="BE35" s="33">
        <f>MAX([1]Examen11!BE32,[1]Examen12!BE32,[1]Examen13!BE32)</f>
        <v>0</v>
      </c>
      <c r="BF35" s="32">
        <f t="shared" si="86"/>
        <v>-1</v>
      </c>
      <c r="BG35" s="33">
        <f>MAX([1]Examen11!BG32,[1]Examen12!BG32,[1]Examen13!BG32)</f>
        <v>0</v>
      </c>
      <c r="BH35" s="32">
        <f t="shared" si="87"/>
        <v>-1</v>
      </c>
      <c r="BI35" s="33">
        <f>MAX([1]Examen11!BI32,[1]Examen12!BI32,[1]Examen13!BI32)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MAX([1]Examen11!B33,[1]Examen12!B33,[1]Examen13!B33)</f>
        <v>0</v>
      </c>
      <c r="C36" s="33">
        <f>MAX([1]Examen11!C33,[1]Examen12!C33,[1]Examen13!C33)</f>
        <v>0</v>
      </c>
      <c r="D36" s="32">
        <f t="shared" si="59"/>
        <v>-1</v>
      </c>
      <c r="E36" s="33">
        <f>MAX([1]Examen11!E33,[1]Examen12!E33,[1]Examen13!E33)</f>
        <v>0</v>
      </c>
      <c r="F36" s="32">
        <f t="shared" si="60"/>
        <v>-1</v>
      </c>
      <c r="G36" s="33">
        <f>MAX([1]Examen11!G33,[1]Examen12!G33,[1]Examen13!G33)</f>
        <v>0</v>
      </c>
      <c r="H36" s="32">
        <f t="shared" si="61"/>
        <v>-1</v>
      </c>
      <c r="I36" s="33">
        <f>MAX([1]Examen11!I33,[1]Examen12!I33,[1]Examen13!I33)</f>
        <v>0</v>
      </c>
      <c r="J36" s="32">
        <f t="shared" si="62"/>
        <v>-1</v>
      </c>
      <c r="K36" s="33">
        <f>MAX([1]Examen11!K33,[1]Examen12!K33,[1]Examen13!K33)</f>
        <v>0</v>
      </c>
      <c r="L36" s="32">
        <f t="shared" si="63"/>
        <v>-1</v>
      </c>
      <c r="M36" s="33">
        <f>MAX([1]Examen11!M33,[1]Examen12!M33,[1]Examen13!M33)</f>
        <v>0</v>
      </c>
      <c r="N36" s="32">
        <f t="shared" si="64"/>
        <v>-1</v>
      </c>
      <c r="O36" s="33">
        <f>MAX([1]Examen11!O33,[1]Examen12!O33,[1]Examen13!O33)</f>
        <v>0</v>
      </c>
      <c r="P36" s="32">
        <f t="shared" si="65"/>
        <v>-1</v>
      </c>
      <c r="Q36" s="33">
        <f>MAX([1]Examen11!Q33,[1]Examen12!Q33,[1]Examen13!Q33)</f>
        <v>0</v>
      </c>
      <c r="R36" s="32">
        <f t="shared" si="66"/>
        <v>-1</v>
      </c>
      <c r="S36" s="33">
        <f>MAX([1]Examen11!S33,[1]Examen12!S33,[1]Examen13!S33)</f>
        <v>0</v>
      </c>
      <c r="T36" s="32">
        <f t="shared" si="67"/>
        <v>-1</v>
      </c>
      <c r="U36" s="33">
        <f>MAX([1]Examen11!U33,[1]Examen12!U33,[1]Examen13!U33)</f>
        <v>0</v>
      </c>
      <c r="V36" s="32">
        <f t="shared" si="68"/>
        <v>-1</v>
      </c>
      <c r="W36" s="33">
        <f>MAX([1]Examen11!W33,[1]Examen12!W33,[1]Examen13!W33)</f>
        <v>0</v>
      </c>
      <c r="X36" s="32">
        <f t="shared" si="69"/>
        <v>-1</v>
      </c>
      <c r="Y36" s="33">
        <f>MAX([1]Examen11!Y33,[1]Examen12!Y33,[1]Examen13!Y33)</f>
        <v>0</v>
      </c>
      <c r="Z36" s="32">
        <f t="shared" si="70"/>
        <v>-1</v>
      </c>
      <c r="AA36" s="33">
        <f>MAX([1]Examen11!AA33,[1]Examen12!AA33,[1]Examen13!AA33)</f>
        <v>0</v>
      </c>
      <c r="AB36" s="32">
        <f t="shared" si="71"/>
        <v>-1</v>
      </c>
      <c r="AC36" s="33">
        <f>MAX([1]Examen11!AC33,[1]Examen12!AC33,[1]Examen13!AC33)</f>
        <v>0</v>
      </c>
      <c r="AD36" s="32">
        <f t="shared" si="72"/>
        <v>-1</v>
      </c>
      <c r="AE36" s="33">
        <f>MAX([1]Examen11!AE33,[1]Examen12!AE33,[1]Examen13!AE33)</f>
        <v>0</v>
      </c>
      <c r="AF36" s="32">
        <f t="shared" si="73"/>
        <v>-1</v>
      </c>
      <c r="AG36" s="33">
        <f>MAX([1]Examen11!AG33,[1]Examen12!AG33,[1]Examen13!AG33)</f>
        <v>0</v>
      </c>
      <c r="AH36" s="32">
        <f t="shared" si="74"/>
        <v>-1</v>
      </c>
      <c r="AI36" s="33">
        <f>MAX([1]Examen11!AI33,[1]Examen12!AI33,[1]Examen13!AI33)</f>
        <v>0</v>
      </c>
      <c r="AJ36" s="32">
        <f t="shared" si="75"/>
        <v>-1</v>
      </c>
      <c r="AK36" s="33">
        <f>MAX([1]Examen11!AK33,[1]Examen12!AK33,[1]Examen13!AK33)</f>
        <v>0</v>
      </c>
      <c r="AL36" s="32">
        <f t="shared" si="76"/>
        <v>-1</v>
      </c>
      <c r="AM36" s="33">
        <f>MAX([1]Examen11!AM33,[1]Examen12!AM33,[1]Examen13!AM33)</f>
        <v>0</v>
      </c>
      <c r="AN36" s="32">
        <f t="shared" si="77"/>
        <v>-1</v>
      </c>
      <c r="AO36" s="33">
        <f>MAX([1]Examen11!AO33,[1]Examen12!AO33,[1]Examen13!AO33)</f>
        <v>0</v>
      </c>
      <c r="AP36" s="32">
        <f t="shared" si="78"/>
        <v>-1</v>
      </c>
      <c r="AQ36" s="33">
        <f>MAX([1]Examen11!AQ33,[1]Examen12!AQ33,[1]Examen13!AQ33)</f>
        <v>0</v>
      </c>
      <c r="AR36" s="32">
        <f t="shared" si="79"/>
        <v>-1</v>
      </c>
      <c r="AS36" s="33">
        <f>MAX([1]Examen11!AS33,[1]Examen12!AS33,[1]Examen13!AS33)</f>
        <v>0</v>
      </c>
      <c r="AT36" s="32">
        <f t="shared" si="80"/>
        <v>-1</v>
      </c>
      <c r="AU36" s="33">
        <f>MAX([1]Examen11!AU33,[1]Examen12!AU33,[1]Examen13!AU33)</f>
        <v>0</v>
      </c>
      <c r="AV36" s="32">
        <f t="shared" si="81"/>
        <v>-1</v>
      </c>
      <c r="AW36" s="33">
        <f>MAX([1]Examen11!AW33,[1]Examen12!AW33,[1]Examen13!AW33)</f>
        <v>0</v>
      </c>
      <c r="AX36" s="32">
        <f t="shared" si="82"/>
        <v>-1</v>
      </c>
      <c r="AY36" s="33">
        <f>MAX([1]Examen11!AY33,[1]Examen12!AY33,[1]Examen13!AY33)</f>
        <v>0</v>
      </c>
      <c r="AZ36" s="32">
        <f t="shared" si="83"/>
        <v>-1</v>
      </c>
      <c r="BA36" s="33">
        <f>MAX([1]Examen11!BA33,[1]Examen12!BA33,[1]Examen13!BA33)</f>
        <v>0</v>
      </c>
      <c r="BB36" s="32">
        <f t="shared" si="84"/>
        <v>-1</v>
      </c>
      <c r="BC36" s="33">
        <f>MAX([1]Examen11!BC33,[1]Examen12!BC33,[1]Examen13!BC33)</f>
        <v>0</v>
      </c>
      <c r="BD36" s="32">
        <f t="shared" si="85"/>
        <v>-1</v>
      </c>
      <c r="BE36" s="33">
        <f>MAX([1]Examen11!BE33,[1]Examen12!BE33,[1]Examen13!BE33)</f>
        <v>0</v>
      </c>
      <c r="BF36" s="32">
        <f t="shared" si="86"/>
        <v>-1</v>
      </c>
      <c r="BG36" s="33">
        <f>MAX([1]Examen11!BG33,[1]Examen12!BG33,[1]Examen13!BG33)</f>
        <v>0</v>
      </c>
      <c r="BH36" s="32">
        <f t="shared" si="87"/>
        <v>-1</v>
      </c>
      <c r="BI36" s="33">
        <f>MAX([1]Examen11!BI33,[1]Examen12!BI33,[1]Examen13!BI33)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MAX([1]Examen11!B34,[1]Examen12!B34,[1]Examen13!B34)</f>
        <v>0</v>
      </c>
      <c r="C37" s="34">
        <f>MAX([1]Examen11!C34,[1]Examen12!C34,[1]Examen13!C34)</f>
        <v>0</v>
      </c>
      <c r="D37" s="35">
        <f t="shared" si="59"/>
        <v>-1</v>
      </c>
      <c r="E37" s="34">
        <f>MAX([1]Examen11!E34,[1]Examen12!E34,[1]Examen13!E34)</f>
        <v>0</v>
      </c>
      <c r="F37" s="35">
        <f t="shared" si="60"/>
        <v>-1</v>
      </c>
      <c r="G37" s="34">
        <f>MAX([1]Examen11!G34,[1]Examen12!G34,[1]Examen13!G34)</f>
        <v>0</v>
      </c>
      <c r="H37" s="35">
        <f t="shared" si="61"/>
        <v>-1</v>
      </c>
      <c r="I37" s="34">
        <f>MAX([1]Examen11!I34,[1]Examen12!I34,[1]Examen13!I34)</f>
        <v>0</v>
      </c>
      <c r="J37" s="35">
        <f t="shared" si="62"/>
        <v>-1</v>
      </c>
      <c r="K37" s="34">
        <f>MAX([1]Examen11!K34,[1]Examen12!K34,[1]Examen13!K34)</f>
        <v>0</v>
      </c>
      <c r="L37" s="35">
        <f t="shared" si="63"/>
        <v>-1</v>
      </c>
      <c r="M37" s="34">
        <f>MAX([1]Examen11!M34,[1]Examen12!M34,[1]Examen13!M34)</f>
        <v>0</v>
      </c>
      <c r="N37" s="35">
        <f t="shared" si="64"/>
        <v>-1</v>
      </c>
      <c r="O37" s="34">
        <f>MAX([1]Examen11!O34,[1]Examen12!O34,[1]Examen13!O34)</f>
        <v>0</v>
      </c>
      <c r="P37" s="35">
        <f t="shared" si="65"/>
        <v>-1</v>
      </c>
      <c r="Q37" s="34">
        <f>MAX([1]Examen11!Q34,[1]Examen12!Q34,[1]Examen13!Q34)</f>
        <v>0</v>
      </c>
      <c r="R37" s="35">
        <f t="shared" si="66"/>
        <v>-1</v>
      </c>
      <c r="S37" s="34">
        <f>MAX([1]Examen11!S34,[1]Examen12!S34,[1]Examen13!S34)</f>
        <v>0</v>
      </c>
      <c r="T37" s="35">
        <f t="shared" si="67"/>
        <v>-1</v>
      </c>
      <c r="U37" s="34">
        <f>MAX([1]Examen11!U34,[1]Examen12!U34,[1]Examen13!U34)</f>
        <v>0</v>
      </c>
      <c r="V37" s="35">
        <f t="shared" si="68"/>
        <v>-1</v>
      </c>
      <c r="W37" s="34">
        <f>MAX([1]Examen11!W34,[1]Examen12!W34,[1]Examen13!W34)</f>
        <v>0</v>
      </c>
      <c r="X37" s="35">
        <f t="shared" si="69"/>
        <v>-1</v>
      </c>
      <c r="Y37" s="34">
        <f>MAX([1]Examen11!Y34,[1]Examen12!Y34,[1]Examen13!Y34)</f>
        <v>0</v>
      </c>
      <c r="Z37" s="35">
        <f t="shared" si="70"/>
        <v>-1</v>
      </c>
      <c r="AA37" s="34">
        <f>MAX([1]Examen11!AA34,[1]Examen12!AA34,[1]Examen13!AA34)</f>
        <v>0</v>
      </c>
      <c r="AB37" s="35">
        <f t="shared" si="71"/>
        <v>-1</v>
      </c>
      <c r="AC37" s="34">
        <f>MAX([1]Examen11!AC34,[1]Examen12!AC34,[1]Examen13!AC34)</f>
        <v>0</v>
      </c>
      <c r="AD37" s="35">
        <f t="shared" si="72"/>
        <v>-1</v>
      </c>
      <c r="AE37" s="34">
        <f>MAX([1]Examen11!AE34,[1]Examen12!AE34,[1]Examen13!AE34)</f>
        <v>0</v>
      </c>
      <c r="AF37" s="35">
        <f t="shared" si="73"/>
        <v>-1</v>
      </c>
      <c r="AG37" s="34">
        <f>MAX([1]Examen11!AG34,[1]Examen12!AG34,[1]Examen13!AG34)</f>
        <v>0</v>
      </c>
      <c r="AH37" s="35">
        <f t="shared" si="74"/>
        <v>-1</v>
      </c>
      <c r="AI37" s="34">
        <f>MAX([1]Examen11!AI34,[1]Examen12!AI34,[1]Examen13!AI34)</f>
        <v>0</v>
      </c>
      <c r="AJ37" s="35">
        <f t="shared" si="75"/>
        <v>-1</v>
      </c>
      <c r="AK37" s="34">
        <f>MAX([1]Examen11!AK34,[1]Examen12!AK34,[1]Examen13!AK34)</f>
        <v>0</v>
      </c>
      <c r="AL37" s="35">
        <f t="shared" si="76"/>
        <v>-1</v>
      </c>
      <c r="AM37" s="34">
        <f>MAX([1]Examen11!AM34,[1]Examen12!AM34,[1]Examen13!AM34)</f>
        <v>0</v>
      </c>
      <c r="AN37" s="35">
        <f t="shared" si="77"/>
        <v>-1</v>
      </c>
      <c r="AO37" s="34">
        <f>MAX([1]Examen11!AO34,[1]Examen12!AO34,[1]Examen13!AO34)</f>
        <v>0</v>
      </c>
      <c r="AP37" s="35">
        <f t="shared" si="78"/>
        <v>-1</v>
      </c>
      <c r="AQ37" s="34">
        <f>MAX([1]Examen11!AQ34,[1]Examen12!AQ34,[1]Examen13!AQ34)</f>
        <v>0</v>
      </c>
      <c r="AR37" s="35">
        <f t="shared" si="79"/>
        <v>-1</v>
      </c>
      <c r="AS37" s="34">
        <f>MAX([1]Examen11!AS34,[1]Examen12!AS34,[1]Examen13!AS34)</f>
        <v>0</v>
      </c>
      <c r="AT37" s="35">
        <f t="shared" si="80"/>
        <v>-1</v>
      </c>
      <c r="AU37" s="34">
        <f>MAX([1]Examen11!AU34,[1]Examen12!AU34,[1]Examen13!AU34)</f>
        <v>0</v>
      </c>
      <c r="AV37" s="35">
        <f t="shared" si="81"/>
        <v>-1</v>
      </c>
      <c r="AW37" s="34">
        <f>MAX([1]Examen11!AW34,[1]Examen12!AW34,[1]Examen13!AW34)</f>
        <v>0</v>
      </c>
      <c r="AX37" s="35">
        <f t="shared" si="82"/>
        <v>-1</v>
      </c>
      <c r="AY37" s="34">
        <f>MAX([1]Examen11!AY34,[1]Examen12!AY34,[1]Examen13!AY34)</f>
        <v>0</v>
      </c>
      <c r="AZ37" s="35">
        <f t="shared" si="83"/>
        <v>-1</v>
      </c>
      <c r="BA37" s="34">
        <f>MAX([1]Examen11!BA34,[1]Examen12!BA34,[1]Examen13!BA34)</f>
        <v>0</v>
      </c>
      <c r="BB37" s="35">
        <f t="shared" si="84"/>
        <v>-1</v>
      </c>
      <c r="BC37" s="34">
        <f>MAX([1]Examen11!BC34,[1]Examen12!BC34,[1]Examen13!BC34)</f>
        <v>0</v>
      </c>
      <c r="BD37" s="35">
        <f t="shared" si="85"/>
        <v>-1</v>
      </c>
      <c r="BE37" s="34">
        <f>MAX([1]Examen11!BE34,[1]Examen12!BE34,[1]Examen13!BE34)</f>
        <v>0</v>
      </c>
      <c r="BF37" s="35">
        <f t="shared" si="86"/>
        <v>-1</v>
      </c>
      <c r="BG37" s="34">
        <f>MAX([1]Examen11!BG34,[1]Examen12!BG34,[1]Examen13!BG34)</f>
        <v>0</v>
      </c>
      <c r="BH37" s="35">
        <f t="shared" si="87"/>
        <v>-1</v>
      </c>
      <c r="BI37" s="34">
        <f>MAX([1]Examen11!BI34,[1]Examen12!BI34,[1]Examen13!BI34)</f>
        <v>0</v>
      </c>
      <c r="BJ37" s="35">
        <f t="shared" si="88"/>
        <v>-1</v>
      </c>
    </row>
    <row r="38" spans="1:62" ht="19" customHeight="1" x14ac:dyDescent="0.2">
      <c r="A38" s="47" t="s">
        <v>84</v>
      </c>
      <c r="B38" s="47"/>
      <c r="C38" s="45">
        <f>SUM(C4,C7,C16)</f>
        <v>0</v>
      </c>
      <c r="D38" s="46"/>
      <c r="E38" s="45">
        <f t="shared" ref="E38" si="89">SUM(E4,E7,E16)</f>
        <v>0</v>
      </c>
      <c r="F38" s="46"/>
      <c r="G38" s="45">
        <f t="shared" ref="G38" si="90">SUM(G4,G7,G16)</f>
        <v>0</v>
      </c>
      <c r="H38" s="46"/>
      <c r="I38" s="45">
        <f t="shared" ref="I38" si="91">SUM(I4,I7,I16)</f>
        <v>0</v>
      </c>
      <c r="J38" s="46"/>
      <c r="K38" s="45">
        <f t="shared" ref="K38" si="92">SUM(K4,K7,K16)</f>
        <v>0</v>
      </c>
      <c r="L38" s="46"/>
      <c r="M38" s="45">
        <f t="shared" ref="M38" si="93">SUM(M4,M7,M16)</f>
        <v>0</v>
      </c>
      <c r="N38" s="46"/>
      <c r="O38" s="45">
        <f t="shared" ref="O38" si="94">SUM(O4,O7,O16)</f>
        <v>0</v>
      </c>
      <c r="P38" s="46"/>
      <c r="Q38" s="45">
        <f t="shared" ref="Q38" si="95">SUM(Q4,Q7,Q16)</f>
        <v>0</v>
      </c>
      <c r="R38" s="46"/>
      <c r="S38" s="45">
        <f t="shared" ref="S38" si="96">SUM(S4,S7,S16)</f>
        <v>0</v>
      </c>
      <c r="T38" s="46"/>
      <c r="U38" s="45">
        <f t="shared" ref="U38" si="97">SUM(U4,U7,U16)</f>
        <v>0</v>
      </c>
      <c r="V38" s="46"/>
      <c r="W38" s="45">
        <f t="shared" ref="W38" si="98">SUM(W4,W7,W16)</f>
        <v>0</v>
      </c>
      <c r="X38" s="46"/>
      <c r="Y38" s="45">
        <f t="shared" ref="Y38" si="99">SUM(Y4,Y7,Y16)</f>
        <v>0</v>
      </c>
      <c r="Z38" s="46"/>
      <c r="AA38" s="45">
        <f t="shared" ref="AA38" si="100">SUM(AA4,AA7,AA16)</f>
        <v>0</v>
      </c>
      <c r="AB38" s="46"/>
      <c r="AC38" s="45">
        <f t="shared" ref="AC38" si="101">SUM(AC4,AC7,AC16)</f>
        <v>0</v>
      </c>
      <c r="AD38" s="46"/>
      <c r="AE38" s="45">
        <f t="shared" ref="AE38" si="102">SUM(AE4,AE7,AE16)</f>
        <v>0</v>
      </c>
      <c r="AF38" s="46"/>
      <c r="AG38" s="45">
        <f t="shared" ref="AG38" si="103">SUM(AG4,AG7,AG16)</f>
        <v>0</v>
      </c>
      <c r="AH38" s="46"/>
      <c r="AI38" s="45">
        <f t="shared" ref="AI38" si="104">SUM(AI4,AI7,AI16)</f>
        <v>0</v>
      </c>
      <c r="AJ38" s="46"/>
      <c r="AK38" s="45">
        <f t="shared" ref="AK38" si="105">SUM(AK4,AK7,AK16)</f>
        <v>0</v>
      </c>
      <c r="AL38" s="46"/>
      <c r="AM38" s="45">
        <f t="shared" ref="AM38" si="106">SUM(AM4,AM7,AM16)</f>
        <v>0</v>
      </c>
      <c r="AN38" s="46"/>
      <c r="AO38" s="45">
        <f t="shared" ref="AO38" si="107">SUM(AO4,AO7,AO16)</f>
        <v>0</v>
      </c>
      <c r="AP38" s="46"/>
      <c r="AQ38" s="45">
        <f t="shared" ref="AQ38" si="108">SUM(AQ4,AQ7,AQ16)</f>
        <v>0</v>
      </c>
      <c r="AR38" s="46"/>
      <c r="AS38" s="45">
        <f t="shared" ref="AS38" si="109">SUM(AS4,AS7,AS16)</f>
        <v>0</v>
      </c>
      <c r="AT38" s="46"/>
      <c r="AU38" s="45">
        <f t="shared" ref="AU38" si="110">SUM(AU4,AU7,AU16)</f>
        <v>0</v>
      </c>
      <c r="AV38" s="46"/>
      <c r="AW38" s="45">
        <f t="shared" ref="AW38" si="111">SUM(AW4,AW7,AW16)</f>
        <v>0</v>
      </c>
      <c r="AX38" s="46"/>
      <c r="AY38" s="45">
        <f t="shared" ref="AY38" si="112">SUM(AY4,AY7,AY16)</f>
        <v>0</v>
      </c>
      <c r="AZ38" s="46"/>
      <c r="BA38" s="45">
        <f t="shared" ref="BA38" si="113">SUM(BA4,BA7,BA16)</f>
        <v>0</v>
      </c>
      <c r="BB38" s="46"/>
      <c r="BC38" s="45">
        <f t="shared" ref="BC38" si="114">SUM(BC4,BC7,BC16)</f>
        <v>0</v>
      </c>
      <c r="BD38" s="46"/>
      <c r="BE38" s="45">
        <f t="shared" ref="BE38" si="115">SUM(BE4,BE7,BE16)</f>
        <v>0</v>
      </c>
      <c r="BF38" s="46"/>
      <c r="BG38" s="45">
        <f t="shared" ref="BG38" si="116">SUM(BG4,BG7,BG16)</f>
        <v>0</v>
      </c>
      <c r="BH38" s="46"/>
      <c r="BI38" s="45">
        <f t="shared" ref="BI38" si="117">SUM(BI4,BI7,BI16)</f>
        <v>0</v>
      </c>
      <c r="BJ38" s="46"/>
    </row>
    <row r="39" spans="1:62" ht="19" customHeight="1" x14ac:dyDescent="0.2">
      <c r="A39" s="48"/>
      <c r="B39" s="49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</row>
    <row r="40" spans="1:62" ht="19" customHeight="1" x14ac:dyDescent="0.2">
      <c r="A40" s="48"/>
      <c r="B40" s="49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</row>
  </sheetData>
  <sheetProtection algorithmName="SHA-512" hashValue="+AHbTi7r6Fp3FNKqBQGxqbY7fAL+PdebcweuP+Pb/IdIH0pqNxRRJmxT2cHyjRZmf7cX+xwS1aeRXvoiEwv6fQ==" saltValue="HebgY2tFtT456NaCjfZAyQ==" spinCount="100000" sheet="1" objects="1" scenarios="1" formatCells="0" autoFilter="0"/>
  <mergeCells count="213">
    <mergeCell ref="B1:B2"/>
    <mergeCell ref="BE3:BF3"/>
    <mergeCell ref="BG3:BH3"/>
    <mergeCell ref="BI3:BJ3"/>
    <mergeCell ref="AG3:AH3"/>
    <mergeCell ref="AI3:AJ3"/>
    <mergeCell ref="AK3:AL3"/>
    <mergeCell ref="AM3:AN3"/>
    <mergeCell ref="AO3:AP3"/>
    <mergeCell ref="AQ3:AR3"/>
    <mergeCell ref="AS3:AT3"/>
    <mergeCell ref="AU3:AV3"/>
    <mergeCell ref="AW3:AX3"/>
    <mergeCell ref="E2:F2"/>
    <mergeCell ref="I2:J2"/>
    <mergeCell ref="K2:L2"/>
    <mergeCell ref="M2:N2"/>
    <mergeCell ref="O2:P2"/>
    <mergeCell ref="AU2:AV2"/>
    <mergeCell ref="G1:H1"/>
    <mergeCell ref="I1:J1"/>
    <mergeCell ref="U3:V3"/>
    <mergeCell ref="W3:X3"/>
    <mergeCell ref="C3:D3"/>
    <mergeCell ref="E3:F3"/>
    <mergeCell ref="G3:H3"/>
    <mergeCell ref="I3:J3"/>
    <mergeCell ref="K3:L3"/>
    <mergeCell ref="M3:N3"/>
    <mergeCell ref="O3:P3"/>
    <mergeCell ref="Q3:R3"/>
    <mergeCell ref="S3:T3"/>
    <mergeCell ref="BG16:BH16"/>
    <mergeCell ref="AO7:AP7"/>
    <mergeCell ref="AQ7:AR7"/>
    <mergeCell ref="AS7:AT7"/>
    <mergeCell ref="AU7:AV7"/>
    <mergeCell ref="AW7:AX7"/>
    <mergeCell ref="AY7:AZ7"/>
    <mergeCell ref="U16:V16"/>
    <mergeCell ref="W16:X16"/>
    <mergeCell ref="Y16:Z16"/>
    <mergeCell ref="AA16:AB16"/>
    <mergeCell ref="AC16:AD16"/>
    <mergeCell ref="AE16:AF16"/>
    <mergeCell ref="AG16:AH16"/>
    <mergeCell ref="AI16:AJ16"/>
    <mergeCell ref="AK16:AL16"/>
    <mergeCell ref="BI16:BJ16"/>
    <mergeCell ref="Y3:Z3"/>
    <mergeCell ref="AA3:AB3"/>
    <mergeCell ref="AC3:AD3"/>
    <mergeCell ref="AE3:AF3"/>
    <mergeCell ref="AY3:AZ3"/>
    <mergeCell ref="BA3:BB3"/>
    <mergeCell ref="BC3:BD3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BE16:BF16"/>
    <mergeCell ref="BA7:BB7"/>
    <mergeCell ref="BC7:BD7"/>
    <mergeCell ref="BE7:BF7"/>
    <mergeCell ref="BG7:BH7"/>
    <mergeCell ref="BI7:BJ7"/>
    <mergeCell ref="AM16:AN16"/>
    <mergeCell ref="AM7:AN7"/>
    <mergeCell ref="C16:D16"/>
    <mergeCell ref="E16:F16"/>
    <mergeCell ref="G16:H16"/>
    <mergeCell ref="I16:J16"/>
    <mergeCell ref="K16:L16"/>
    <mergeCell ref="M16:N16"/>
    <mergeCell ref="O16:P16"/>
    <mergeCell ref="Q16:R16"/>
    <mergeCell ref="S16:T16"/>
    <mergeCell ref="U7:V7"/>
    <mergeCell ref="W7:X7"/>
    <mergeCell ref="Y7:Z7"/>
    <mergeCell ref="AA7:AB7"/>
    <mergeCell ref="AC7:AD7"/>
    <mergeCell ref="AE7:AF7"/>
    <mergeCell ref="AG7:AH7"/>
    <mergeCell ref="AI7:AJ7"/>
    <mergeCell ref="AK7:AL7"/>
    <mergeCell ref="C7:D7"/>
    <mergeCell ref="E7:F7"/>
    <mergeCell ref="G7:H7"/>
    <mergeCell ref="I7:J7"/>
    <mergeCell ref="K7:L7"/>
    <mergeCell ref="M7:N7"/>
    <mergeCell ref="O7:P7"/>
    <mergeCell ref="Q7:R7"/>
    <mergeCell ref="S7:T7"/>
    <mergeCell ref="AS4:AT4"/>
    <mergeCell ref="AU4:AV4"/>
    <mergeCell ref="AW4:AX4"/>
    <mergeCell ref="AY4:AZ4"/>
    <mergeCell ref="BA4:BB4"/>
    <mergeCell ref="BC4:BD4"/>
    <mergeCell ref="BE4:BF4"/>
    <mergeCell ref="BG4:BH4"/>
    <mergeCell ref="BI4:BJ4"/>
    <mergeCell ref="AA4:AB4"/>
    <mergeCell ref="AC4:AD4"/>
    <mergeCell ref="AE4:AF4"/>
    <mergeCell ref="AG4:AH4"/>
    <mergeCell ref="AI4:AJ4"/>
    <mergeCell ref="AK4:AL4"/>
    <mergeCell ref="AM4:AN4"/>
    <mergeCell ref="AO4:AP4"/>
    <mergeCell ref="AQ4:AR4"/>
    <mergeCell ref="AO1:AP1"/>
    <mergeCell ref="M4:N4"/>
    <mergeCell ref="O4:P4"/>
    <mergeCell ref="AQ2:AR2"/>
    <mergeCell ref="AS2:AT2"/>
    <mergeCell ref="G2:H2"/>
    <mergeCell ref="AE2:AF2"/>
    <mergeCell ref="AG2:AH2"/>
    <mergeCell ref="AI2:AJ2"/>
    <mergeCell ref="AK2:AL2"/>
    <mergeCell ref="AM2:AN2"/>
    <mergeCell ref="AO2:AP2"/>
    <mergeCell ref="S2:T2"/>
    <mergeCell ref="U2:V2"/>
    <mergeCell ref="Q2:R2"/>
    <mergeCell ref="W2:X2"/>
    <mergeCell ref="Y2:Z2"/>
    <mergeCell ref="AA2:AB2"/>
    <mergeCell ref="AC2:AD2"/>
    <mergeCell ref="Q4:R4"/>
    <mergeCell ref="S4:T4"/>
    <mergeCell ref="U4:V4"/>
    <mergeCell ref="W4:X4"/>
    <mergeCell ref="Y4:Z4"/>
    <mergeCell ref="K4:L4"/>
    <mergeCell ref="BA1:BB1"/>
    <mergeCell ref="BC1:BD1"/>
    <mergeCell ref="BE1:BF1"/>
    <mergeCell ref="BG1:BH1"/>
    <mergeCell ref="BI1:BJ1"/>
    <mergeCell ref="AW1:AX1"/>
    <mergeCell ref="AY1:AZ1"/>
    <mergeCell ref="BC2:BD2"/>
    <mergeCell ref="BE2:BF2"/>
    <mergeCell ref="BG2:BH2"/>
    <mergeCell ref="BI2:BJ2"/>
    <mergeCell ref="AW2:AX2"/>
    <mergeCell ref="AY2:AZ2"/>
    <mergeCell ref="BA2:BB2"/>
    <mergeCell ref="AQ1:AR1"/>
    <mergeCell ref="AS1:AT1"/>
    <mergeCell ref="AU1:AV1"/>
    <mergeCell ref="AC1:AD1"/>
    <mergeCell ref="AE1:AF1"/>
    <mergeCell ref="AG1:AH1"/>
    <mergeCell ref="AI1:AJ1"/>
    <mergeCell ref="AK1:AL1"/>
    <mergeCell ref="AM1:AN1"/>
    <mergeCell ref="AK38:AL40"/>
    <mergeCell ref="AM38:AN40"/>
    <mergeCell ref="C1:D1"/>
    <mergeCell ref="C2:D2"/>
    <mergeCell ref="E1:F1"/>
    <mergeCell ref="G38:H40"/>
    <mergeCell ref="I38:J40"/>
    <mergeCell ref="K38:L40"/>
    <mergeCell ref="M38:N40"/>
    <mergeCell ref="O38:P40"/>
    <mergeCell ref="Q38:R40"/>
    <mergeCell ref="K1:L1"/>
    <mergeCell ref="M1:N1"/>
    <mergeCell ref="O1:P1"/>
    <mergeCell ref="Q1:R1"/>
    <mergeCell ref="S1:T1"/>
    <mergeCell ref="U1:V1"/>
    <mergeCell ref="W1:X1"/>
    <mergeCell ref="Y1:Z1"/>
    <mergeCell ref="AA1:AB1"/>
    <mergeCell ref="C4:D4"/>
    <mergeCell ref="E4:F4"/>
    <mergeCell ref="G4:H4"/>
    <mergeCell ref="I4:J4"/>
    <mergeCell ref="A1:A2"/>
    <mergeCell ref="BG38:BH40"/>
    <mergeCell ref="BI38:BJ40"/>
    <mergeCell ref="AQ38:AR40"/>
    <mergeCell ref="AS38:AT40"/>
    <mergeCell ref="AU38:AV40"/>
    <mergeCell ref="AW38:AX40"/>
    <mergeCell ref="AY38:AZ40"/>
    <mergeCell ref="BA38:BB40"/>
    <mergeCell ref="A38:B40"/>
    <mergeCell ref="AO38:AP40"/>
    <mergeCell ref="S38:T40"/>
    <mergeCell ref="U38:V40"/>
    <mergeCell ref="W38:X40"/>
    <mergeCell ref="Y38:Z40"/>
    <mergeCell ref="AA38:AB40"/>
    <mergeCell ref="AC38:AD40"/>
    <mergeCell ref="BC38:BD40"/>
    <mergeCell ref="BE38:BF40"/>
    <mergeCell ref="C38:D40"/>
    <mergeCell ref="E38:F40"/>
    <mergeCell ref="AE38:AF40"/>
    <mergeCell ref="AG38:AH40"/>
    <mergeCell ref="AI38:AJ40"/>
  </mergeCells>
  <conditionalFormatting sqref="C38 E38 G38 I38 K38 M38 O38 Q38 S38 U38 W38 Y38 AA38 AC38 AE38 AG38 AI38 AK38 AM38 AO38 AQ38 AS38 AU38 AW38 AY38 BA38 BC38 BE38 BG38 BI38">
    <cfRule type="cellIs" dxfId="42606" priority="129" stopIfTrue="1" operator="lessThan">
      <formula>5</formula>
    </cfRule>
    <cfRule type="cellIs" dxfId="42605" priority="130" operator="greaterThanOrEqual">
      <formula>5</formula>
    </cfRule>
  </conditionalFormatting>
  <conditionalFormatting sqref="C3 E3 G3 I3 K3 M3 O3 Q3 S3 U3 W3 Y3 AA3 AC3 AE3 AG3 AI3 AK3 AM3 AO3 AQ3 AS3 AU3 AW3 AY3 BA3 BC3 BE3 BG3 BI3">
    <cfRule type="cellIs" dxfId="42604" priority="4" stopIfTrue="1" operator="lessThan">
      <formula>5</formula>
    </cfRule>
    <cfRule type="cellIs" dxfId="42603" priority="5" operator="greaterThanOrEqual">
      <formula>5</formula>
    </cfRule>
  </conditionalFormatting>
  <conditionalFormatting sqref="B3">
    <cfRule type="cellIs" dxfId="42602" priority="1" stopIfTrue="1" operator="notEqual">
      <formula>"Ok"</formula>
    </cfRule>
  </conditionalFormatting>
  <conditionalFormatting sqref="D5">
    <cfRule type="cellIs" dxfId="42601" priority="80506" stopIfTrue="1" operator="equal">
      <formula>-1</formula>
    </cfRule>
  </conditionalFormatting>
  <conditionalFormatting sqref="D5">
    <cfRule type="cellIs" dxfId="42600" priority="80507" stopIfTrue="1" operator="lessThan">
      <formula>0.5</formula>
    </cfRule>
  </conditionalFormatting>
  <conditionalFormatting sqref="D5">
    <cfRule type="cellIs" dxfId="42599" priority="80508" stopIfTrue="1" operator="greaterThanOrEqual">
      <formula>0.5</formula>
    </cfRule>
  </conditionalFormatting>
  <conditionalFormatting sqref="D6">
    <cfRule type="cellIs" dxfId="42598" priority="80509" stopIfTrue="1" operator="equal">
      <formula>-1</formula>
    </cfRule>
  </conditionalFormatting>
  <conditionalFormatting sqref="D6">
    <cfRule type="cellIs" dxfId="42597" priority="80510" stopIfTrue="1" operator="lessThan">
      <formula>0.5</formula>
    </cfRule>
  </conditionalFormatting>
  <conditionalFormatting sqref="D6">
    <cfRule type="cellIs" dxfId="42596" priority="80511" stopIfTrue="1" operator="greaterThanOrEqual">
      <formula>0.5</formula>
    </cfRule>
  </conditionalFormatting>
  <conditionalFormatting sqref="F5">
    <cfRule type="cellIs" dxfId="42595" priority="80512" stopIfTrue="1" operator="equal">
      <formula>-1</formula>
    </cfRule>
  </conditionalFormatting>
  <conditionalFormatting sqref="F5">
    <cfRule type="cellIs" dxfId="42594" priority="80513" stopIfTrue="1" operator="lessThan">
      <formula>0.5</formula>
    </cfRule>
  </conditionalFormatting>
  <conditionalFormatting sqref="F5">
    <cfRule type="cellIs" dxfId="42593" priority="80514" stopIfTrue="1" operator="greaterThanOrEqual">
      <formula>0.5</formula>
    </cfRule>
  </conditionalFormatting>
  <conditionalFormatting sqref="F6">
    <cfRule type="cellIs" dxfId="42592" priority="80515" stopIfTrue="1" operator="equal">
      <formula>-1</formula>
    </cfRule>
  </conditionalFormatting>
  <conditionalFormatting sqref="F6">
    <cfRule type="cellIs" dxfId="42591" priority="80516" stopIfTrue="1" operator="lessThan">
      <formula>0.5</formula>
    </cfRule>
  </conditionalFormatting>
  <conditionalFormatting sqref="F6">
    <cfRule type="cellIs" dxfId="42590" priority="80517" stopIfTrue="1" operator="greaterThanOrEqual">
      <formula>0.5</formula>
    </cfRule>
  </conditionalFormatting>
  <conditionalFormatting sqref="H5">
    <cfRule type="cellIs" dxfId="42589" priority="80518" stopIfTrue="1" operator="equal">
      <formula>-1</formula>
    </cfRule>
  </conditionalFormatting>
  <conditionalFormatting sqref="H5">
    <cfRule type="cellIs" dxfId="42588" priority="80519" stopIfTrue="1" operator="lessThan">
      <formula>0.5</formula>
    </cfRule>
  </conditionalFormatting>
  <conditionalFormatting sqref="H5">
    <cfRule type="cellIs" dxfId="42587" priority="80520" stopIfTrue="1" operator="greaterThanOrEqual">
      <formula>0.5</formula>
    </cfRule>
  </conditionalFormatting>
  <conditionalFormatting sqref="H6">
    <cfRule type="cellIs" dxfId="42586" priority="80521" stopIfTrue="1" operator="equal">
      <formula>-1</formula>
    </cfRule>
  </conditionalFormatting>
  <conditionalFormatting sqref="H6">
    <cfRule type="cellIs" dxfId="42585" priority="80522" stopIfTrue="1" operator="lessThan">
      <formula>0.5</formula>
    </cfRule>
  </conditionalFormatting>
  <conditionalFormatting sqref="H6">
    <cfRule type="cellIs" dxfId="42584" priority="80523" stopIfTrue="1" operator="greaterThanOrEqual">
      <formula>0.5</formula>
    </cfRule>
  </conditionalFormatting>
  <conditionalFormatting sqref="J5">
    <cfRule type="cellIs" dxfId="42583" priority="80524" stopIfTrue="1" operator="equal">
      <formula>-1</formula>
    </cfRule>
  </conditionalFormatting>
  <conditionalFormatting sqref="J5">
    <cfRule type="cellIs" dxfId="42582" priority="80525" stopIfTrue="1" operator="lessThan">
      <formula>0.5</formula>
    </cfRule>
  </conditionalFormatting>
  <conditionalFormatting sqref="J5">
    <cfRule type="cellIs" dxfId="42581" priority="80526" stopIfTrue="1" operator="greaterThanOrEqual">
      <formula>0.5</formula>
    </cfRule>
  </conditionalFormatting>
  <conditionalFormatting sqref="J6">
    <cfRule type="cellIs" dxfId="42580" priority="80527" stopIfTrue="1" operator="equal">
      <formula>-1</formula>
    </cfRule>
  </conditionalFormatting>
  <conditionalFormatting sqref="J6">
    <cfRule type="cellIs" dxfId="42579" priority="80528" stopIfTrue="1" operator="lessThan">
      <formula>0.5</formula>
    </cfRule>
  </conditionalFormatting>
  <conditionalFormatting sqref="J6">
    <cfRule type="cellIs" dxfId="42578" priority="80529" stopIfTrue="1" operator="greaterThanOrEqual">
      <formula>0.5</formula>
    </cfRule>
  </conditionalFormatting>
  <conditionalFormatting sqref="L5">
    <cfRule type="cellIs" dxfId="42577" priority="80530" stopIfTrue="1" operator="equal">
      <formula>-1</formula>
    </cfRule>
  </conditionalFormatting>
  <conditionalFormatting sqref="L5">
    <cfRule type="cellIs" dxfId="42576" priority="80531" stopIfTrue="1" operator="lessThan">
      <formula>0.5</formula>
    </cfRule>
  </conditionalFormatting>
  <conditionalFormatting sqref="L5">
    <cfRule type="cellIs" dxfId="42575" priority="80532" stopIfTrue="1" operator="greaterThanOrEqual">
      <formula>0.5</formula>
    </cfRule>
  </conditionalFormatting>
  <conditionalFormatting sqref="L6">
    <cfRule type="cellIs" dxfId="42574" priority="80533" stopIfTrue="1" operator="equal">
      <formula>-1</formula>
    </cfRule>
  </conditionalFormatting>
  <conditionalFormatting sqref="L6">
    <cfRule type="cellIs" dxfId="42573" priority="80534" stopIfTrue="1" operator="lessThan">
      <formula>0.5</formula>
    </cfRule>
  </conditionalFormatting>
  <conditionalFormatting sqref="L6">
    <cfRule type="cellIs" dxfId="42572" priority="80535" stopIfTrue="1" operator="greaterThanOrEqual">
      <formula>0.5</formula>
    </cfRule>
  </conditionalFormatting>
  <conditionalFormatting sqref="N5">
    <cfRule type="cellIs" dxfId="42571" priority="80536" stopIfTrue="1" operator="equal">
      <formula>-1</formula>
    </cfRule>
  </conditionalFormatting>
  <conditionalFormatting sqref="N5">
    <cfRule type="cellIs" dxfId="42570" priority="80537" stopIfTrue="1" operator="lessThan">
      <formula>0.5</formula>
    </cfRule>
  </conditionalFormatting>
  <conditionalFormatting sqref="N5">
    <cfRule type="cellIs" dxfId="42569" priority="80538" stopIfTrue="1" operator="greaterThanOrEqual">
      <formula>0.5</formula>
    </cfRule>
  </conditionalFormatting>
  <conditionalFormatting sqref="N6">
    <cfRule type="cellIs" dxfId="42568" priority="80539" stopIfTrue="1" operator="equal">
      <formula>-1</formula>
    </cfRule>
  </conditionalFormatting>
  <conditionalFormatting sqref="N6">
    <cfRule type="cellIs" dxfId="42567" priority="80540" stopIfTrue="1" operator="lessThan">
      <formula>0.5</formula>
    </cfRule>
  </conditionalFormatting>
  <conditionalFormatting sqref="N6">
    <cfRule type="cellIs" dxfId="42566" priority="80541" stopIfTrue="1" operator="greaterThanOrEqual">
      <formula>0.5</formula>
    </cfRule>
  </conditionalFormatting>
  <conditionalFormatting sqref="P5">
    <cfRule type="cellIs" dxfId="42565" priority="80542" stopIfTrue="1" operator="equal">
      <formula>-1</formula>
    </cfRule>
  </conditionalFormatting>
  <conditionalFormatting sqref="P5">
    <cfRule type="cellIs" dxfId="42564" priority="80543" stopIfTrue="1" operator="lessThan">
      <formula>0.5</formula>
    </cfRule>
  </conditionalFormatting>
  <conditionalFormatting sqref="P5">
    <cfRule type="cellIs" dxfId="42563" priority="80544" stopIfTrue="1" operator="greaterThanOrEqual">
      <formula>0.5</formula>
    </cfRule>
  </conditionalFormatting>
  <conditionalFormatting sqref="P6">
    <cfRule type="cellIs" dxfId="42562" priority="80545" stopIfTrue="1" operator="equal">
      <formula>-1</formula>
    </cfRule>
  </conditionalFormatting>
  <conditionalFormatting sqref="P6">
    <cfRule type="cellIs" dxfId="42561" priority="80546" stopIfTrue="1" operator="lessThan">
      <formula>0.5</formula>
    </cfRule>
  </conditionalFormatting>
  <conditionalFormatting sqref="P6">
    <cfRule type="cellIs" dxfId="42560" priority="80547" stopIfTrue="1" operator="greaterThanOrEqual">
      <formula>0.5</formula>
    </cfRule>
  </conditionalFormatting>
  <conditionalFormatting sqref="R5">
    <cfRule type="cellIs" dxfId="42559" priority="80548" stopIfTrue="1" operator="equal">
      <formula>-1</formula>
    </cfRule>
  </conditionalFormatting>
  <conditionalFormatting sqref="R5">
    <cfRule type="cellIs" dxfId="42558" priority="80549" stopIfTrue="1" operator="lessThan">
      <formula>0.5</formula>
    </cfRule>
  </conditionalFormatting>
  <conditionalFormatting sqref="R5">
    <cfRule type="cellIs" dxfId="42557" priority="80550" stopIfTrue="1" operator="greaterThanOrEqual">
      <formula>0.5</formula>
    </cfRule>
  </conditionalFormatting>
  <conditionalFormatting sqref="R6">
    <cfRule type="cellIs" dxfId="42556" priority="80551" stopIfTrue="1" operator="equal">
      <formula>-1</formula>
    </cfRule>
  </conditionalFormatting>
  <conditionalFormatting sqref="R6">
    <cfRule type="cellIs" dxfId="42555" priority="80552" stopIfTrue="1" operator="lessThan">
      <formula>0.5</formula>
    </cfRule>
  </conditionalFormatting>
  <conditionalFormatting sqref="R6">
    <cfRule type="cellIs" dxfId="42554" priority="80553" stopIfTrue="1" operator="greaterThanOrEqual">
      <formula>0.5</formula>
    </cfRule>
  </conditionalFormatting>
  <conditionalFormatting sqref="T5">
    <cfRule type="cellIs" dxfId="42553" priority="80554" stopIfTrue="1" operator="equal">
      <formula>-1</formula>
    </cfRule>
  </conditionalFormatting>
  <conditionalFormatting sqref="T5">
    <cfRule type="cellIs" dxfId="42552" priority="80555" stopIfTrue="1" operator="lessThan">
      <formula>0.5</formula>
    </cfRule>
  </conditionalFormatting>
  <conditionalFormatting sqref="T5">
    <cfRule type="cellIs" dxfId="42551" priority="80556" stopIfTrue="1" operator="greaterThanOrEqual">
      <formula>0.5</formula>
    </cfRule>
  </conditionalFormatting>
  <conditionalFormatting sqref="T6">
    <cfRule type="cellIs" dxfId="42550" priority="80557" stopIfTrue="1" operator="equal">
      <formula>-1</formula>
    </cfRule>
  </conditionalFormatting>
  <conditionalFormatting sqref="T6">
    <cfRule type="cellIs" dxfId="42549" priority="80558" stopIfTrue="1" operator="lessThan">
      <formula>0.5</formula>
    </cfRule>
  </conditionalFormatting>
  <conditionalFormatting sqref="T6">
    <cfRule type="cellIs" dxfId="42548" priority="80559" stopIfTrue="1" operator="greaterThanOrEqual">
      <formula>0.5</formula>
    </cfRule>
  </conditionalFormatting>
  <conditionalFormatting sqref="V5">
    <cfRule type="cellIs" dxfId="42547" priority="80560" stopIfTrue="1" operator="equal">
      <formula>-1</formula>
    </cfRule>
  </conditionalFormatting>
  <conditionalFormatting sqref="V5">
    <cfRule type="cellIs" dxfId="42546" priority="80561" stopIfTrue="1" operator="lessThan">
      <formula>0.5</formula>
    </cfRule>
  </conditionalFormatting>
  <conditionalFormatting sqref="V5">
    <cfRule type="cellIs" dxfId="42545" priority="80562" stopIfTrue="1" operator="greaterThanOrEqual">
      <formula>0.5</formula>
    </cfRule>
  </conditionalFormatting>
  <conditionalFormatting sqref="V6">
    <cfRule type="cellIs" dxfId="42544" priority="80563" stopIfTrue="1" operator="equal">
      <formula>-1</formula>
    </cfRule>
  </conditionalFormatting>
  <conditionalFormatting sqref="V6">
    <cfRule type="cellIs" dxfId="42543" priority="80564" stopIfTrue="1" operator="lessThan">
      <formula>0.5</formula>
    </cfRule>
  </conditionalFormatting>
  <conditionalFormatting sqref="V6">
    <cfRule type="cellIs" dxfId="42542" priority="80565" stopIfTrue="1" operator="greaterThanOrEqual">
      <formula>0.5</formula>
    </cfRule>
  </conditionalFormatting>
  <conditionalFormatting sqref="X5">
    <cfRule type="cellIs" dxfId="42541" priority="80566" stopIfTrue="1" operator="equal">
      <formula>-1</formula>
    </cfRule>
  </conditionalFormatting>
  <conditionalFormatting sqref="X5">
    <cfRule type="cellIs" dxfId="42540" priority="80567" stopIfTrue="1" operator="lessThan">
      <formula>0.5</formula>
    </cfRule>
  </conditionalFormatting>
  <conditionalFormatting sqref="X5">
    <cfRule type="cellIs" dxfId="42539" priority="80568" stopIfTrue="1" operator="greaterThanOrEqual">
      <formula>0.5</formula>
    </cfRule>
  </conditionalFormatting>
  <conditionalFormatting sqref="X6">
    <cfRule type="cellIs" dxfId="42538" priority="80569" stopIfTrue="1" operator="equal">
      <formula>-1</formula>
    </cfRule>
  </conditionalFormatting>
  <conditionalFormatting sqref="X6">
    <cfRule type="cellIs" dxfId="42537" priority="80570" stopIfTrue="1" operator="lessThan">
      <formula>0.5</formula>
    </cfRule>
  </conditionalFormatting>
  <conditionalFormatting sqref="X6">
    <cfRule type="cellIs" dxfId="42536" priority="80571" stopIfTrue="1" operator="greaterThanOrEqual">
      <formula>0.5</formula>
    </cfRule>
  </conditionalFormatting>
  <conditionalFormatting sqref="Z5">
    <cfRule type="cellIs" dxfId="42535" priority="80572" stopIfTrue="1" operator="equal">
      <formula>-1</formula>
    </cfRule>
  </conditionalFormatting>
  <conditionalFormatting sqref="Z5">
    <cfRule type="cellIs" dxfId="42534" priority="80573" stopIfTrue="1" operator="lessThan">
      <formula>0.5</formula>
    </cfRule>
  </conditionalFormatting>
  <conditionalFormatting sqref="Z5">
    <cfRule type="cellIs" dxfId="42533" priority="80574" stopIfTrue="1" operator="greaterThanOrEqual">
      <formula>0.5</formula>
    </cfRule>
  </conditionalFormatting>
  <conditionalFormatting sqref="Z6">
    <cfRule type="cellIs" dxfId="42532" priority="80575" stopIfTrue="1" operator="equal">
      <formula>-1</formula>
    </cfRule>
  </conditionalFormatting>
  <conditionalFormatting sqref="Z6">
    <cfRule type="cellIs" dxfId="42531" priority="80576" stopIfTrue="1" operator="lessThan">
      <formula>0.5</formula>
    </cfRule>
  </conditionalFormatting>
  <conditionalFormatting sqref="Z6">
    <cfRule type="cellIs" dxfId="42530" priority="80577" stopIfTrue="1" operator="greaterThanOrEqual">
      <formula>0.5</formula>
    </cfRule>
  </conditionalFormatting>
  <conditionalFormatting sqref="AB5">
    <cfRule type="cellIs" dxfId="42529" priority="80578" stopIfTrue="1" operator="equal">
      <formula>-1</formula>
    </cfRule>
  </conditionalFormatting>
  <conditionalFormatting sqref="AB5">
    <cfRule type="cellIs" dxfId="42528" priority="80579" stopIfTrue="1" operator="lessThan">
      <formula>0.5</formula>
    </cfRule>
  </conditionalFormatting>
  <conditionalFormatting sqref="AB5">
    <cfRule type="cellIs" dxfId="42527" priority="80580" stopIfTrue="1" operator="greaterThanOrEqual">
      <formula>0.5</formula>
    </cfRule>
  </conditionalFormatting>
  <conditionalFormatting sqref="AB6">
    <cfRule type="cellIs" dxfId="42526" priority="80581" stopIfTrue="1" operator="equal">
      <formula>-1</formula>
    </cfRule>
  </conditionalFormatting>
  <conditionalFormatting sqref="AB6">
    <cfRule type="cellIs" dxfId="42525" priority="80582" stopIfTrue="1" operator="lessThan">
      <formula>0.5</formula>
    </cfRule>
  </conditionalFormatting>
  <conditionalFormatting sqref="AB6">
    <cfRule type="cellIs" dxfId="42524" priority="80583" stopIfTrue="1" operator="greaterThanOrEqual">
      <formula>0.5</formula>
    </cfRule>
  </conditionalFormatting>
  <conditionalFormatting sqref="AD5">
    <cfRule type="cellIs" dxfId="42523" priority="80584" stopIfTrue="1" operator="equal">
      <formula>-1</formula>
    </cfRule>
  </conditionalFormatting>
  <conditionalFormatting sqref="AD5">
    <cfRule type="cellIs" dxfId="42522" priority="80585" stopIfTrue="1" operator="lessThan">
      <formula>0.5</formula>
    </cfRule>
  </conditionalFormatting>
  <conditionalFormatting sqref="AD5">
    <cfRule type="cellIs" dxfId="42521" priority="80586" stopIfTrue="1" operator="greaterThanOrEqual">
      <formula>0.5</formula>
    </cfRule>
  </conditionalFormatting>
  <conditionalFormatting sqref="AD6">
    <cfRule type="cellIs" dxfId="42520" priority="80587" stopIfTrue="1" operator="equal">
      <formula>-1</formula>
    </cfRule>
  </conditionalFormatting>
  <conditionalFormatting sqref="AD6">
    <cfRule type="cellIs" dxfId="42519" priority="80588" stopIfTrue="1" operator="lessThan">
      <formula>0.5</formula>
    </cfRule>
  </conditionalFormatting>
  <conditionalFormatting sqref="AD6">
    <cfRule type="cellIs" dxfId="42518" priority="80589" stopIfTrue="1" operator="greaterThanOrEqual">
      <formula>0.5</formula>
    </cfRule>
  </conditionalFormatting>
  <conditionalFormatting sqref="AF5">
    <cfRule type="cellIs" dxfId="42517" priority="80590" stopIfTrue="1" operator="equal">
      <formula>-1</formula>
    </cfRule>
  </conditionalFormatting>
  <conditionalFormatting sqref="AF5">
    <cfRule type="cellIs" dxfId="42516" priority="80591" stopIfTrue="1" operator="lessThan">
      <formula>0.5</formula>
    </cfRule>
  </conditionalFormatting>
  <conditionalFormatting sqref="AF5">
    <cfRule type="cellIs" dxfId="42515" priority="80592" stopIfTrue="1" operator="greaterThanOrEqual">
      <formula>0.5</formula>
    </cfRule>
  </conditionalFormatting>
  <conditionalFormatting sqref="AF6">
    <cfRule type="cellIs" dxfId="42514" priority="80593" stopIfTrue="1" operator="equal">
      <formula>-1</formula>
    </cfRule>
  </conditionalFormatting>
  <conditionalFormatting sqref="AF6">
    <cfRule type="cellIs" dxfId="42513" priority="80594" stopIfTrue="1" operator="lessThan">
      <formula>0.5</formula>
    </cfRule>
  </conditionalFormatting>
  <conditionalFormatting sqref="AF6">
    <cfRule type="cellIs" dxfId="42512" priority="80595" stopIfTrue="1" operator="greaterThanOrEqual">
      <formula>0.5</formula>
    </cfRule>
  </conditionalFormatting>
  <conditionalFormatting sqref="AH5">
    <cfRule type="cellIs" dxfId="42511" priority="80596" stopIfTrue="1" operator="equal">
      <formula>-1</formula>
    </cfRule>
  </conditionalFormatting>
  <conditionalFormatting sqref="AH5">
    <cfRule type="cellIs" dxfId="42510" priority="80597" stopIfTrue="1" operator="lessThan">
      <formula>0.5</formula>
    </cfRule>
  </conditionalFormatting>
  <conditionalFormatting sqref="AH5">
    <cfRule type="cellIs" dxfId="42509" priority="80598" stopIfTrue="1" operator="greaterThanOrEqual">
      <formula>0.5</formula>
    </cfRule>
  </conditionalFormatting>
  <conditionalFormatting sqref="AH6">
    <cfRule type="cellIs" dxfId="42508" priority="80599" stopIfTrue="1" operator="equal">
      <formula>-1</formula>
    </cfRule>
  </conditionalFormatting>
  <conditionalFormatting sqref="AH6">
    <cfRule type="cellIs" dxfId="42507" priority="80600" stopIfTrue="1" operator="lessThan">
      <formula>0.5</formula>
    </cfRule>
  </conditionalFormatting>
  <conditionalFormatting sqref="AH6">
    <cfRule type="cellIs" dxfId="42506" priority="80601" stopIfTrue="1" operator="greaterThanOrEqual">
      <formula>0.5</formula>
    </cfRule>
  </conditionalFormatting>
  <conditionalFormatting sqref="AJ5">
    <cfRule type="cellIs" dxfId="42505" priority="80602" stopIfTrue="1" operator="equal">
      <formula>-1</formula>
    </cfRule>
  </conditionalFormatting>
  <conditionalFormatting sqref="AJ5">
    <cfRule type="cellIs" dxfId="42504" priority="80603" stopIfTrue="1" operator="lessThan">
      <formula>0.5</formula>
    </cfRule>
  </conditionalFormatting>
  <conditionalFormatting sqref="AJ5">
    <cfRule type="cellIs" dxfId="42503" priority="80604" stopIfTrue="1" operator="greaterThanOrEqual">
      <formula>0.5</formula>
    </cfRule>
  </conditionalFormatting>
  <conditionalFormatting sqref="AJ6">
    <cfRule type="cellIs" dxfId="42502" priority="80605" stopIfTrue="1" operator="equal">
      <formula>-1</formula>
    </cfRule>
  </conditionalFormatting>
  <conditionalFormatting sqref="AJ6">
    <cfRule type="cellIs" dxfId="42501" priority="80606" stopIfTrue="1" operator="lessThan">
      <formula>0.5</formula>
    </cfRule>
  </conditionalFormatting>
  <conditionalFormatting sqref="AJ6">
    <cfRule type="cellIs" dxfId="42500" priority="80607" stopIfTrue="1" operator="greaterThanOrEqual">
      <formula>0.5</formula>
    </cfRule>
  </conditionalFormatting>
  <conditionalFormatting sqref="AL5">
    <cfRule type="cellIs" dxfId="42499" priority="80608" stopIfTrue="1" operator="equal">
      <formula>-1</formula>
    </cfRule>
  </conditionalFormatting>
  <conditionalFormatting sqref="AL5">
    <cfRule type="cellIs" dxfId="42498" priority="80609" stopIfTrue="1" operator="lessThan">
      <formula>0.5</formula>
    </cfRule>
  </conditionalFormatting>
  <conditionalFormatting sqref="AL5">
    <cfRule type="cellIs" dxfId="42497" priority="80610" stopIfTrue="1" operator="greaterThanOrEqual">
      <formula>0.5</formula>
    </cfRule>
  </conditionalFormatting>
  <conditionalFormatting sqref="AL6">
    <cfRule type="cellIs" dxfId="42496" priority="80611" stopIfTrue="1" operator="equal">
      <formula>-1</formula>
    </cfRule>
  </conditionalFormatting>
  <conditionalFormatting sqref="AL6">
    <cfRule type="cellIs" dxfId="42495" priority="80612" stopIfTrue="1" operator="lessThan">
      <formula>0.5</formula>
    </cfRule>
  </conditionalFormatting>
  <conditionalFormatting sqref="AL6">
    <cfRule type="cellIs" dxfId="42494" priority="80613" stopIfTrue="1" operator="greaterThanOrEqual">
      <formula>0.5</formula>
    </cfRule>
  </conditionalFormatting>
  <conditionalFormatting sqref="AN5">
    <cfRule type="cellIs" dxfId="42493" priority="80614" stopIfTrue="1" operator="equal">
      <formula>-1</formula>
    </cfRule>
  </conditionalFormatting>
  <conditionalFormatting sqref="AN5">
    <cfRule type="cellIs" dxfId="42492" priority="80615" stopIfTrue="1" operator="lessThan">
      <formula>0.5</formula>
    </cfRule>
  </conditionalFormatting>
  <conditionalFormatting sqref="AN5">
    <cfRule type="cellIs" dxfId="42491" priority="80616" stopIfTrue="1" operator="greaterThanOrEqual">
      <formula>0.5</formula>
    </cfRule>
  </conditionalFormatting>
  <conditionalFormatting sqref="AN6">
    <cfRule type="cellIs" dxfId="42490" priority="80617" stopIfTrue="1" operator="equal">
      <formula>-1</formula>
    </cfRule>
  </conditionalFormatting>
  <conditionalFormatting sqref="AN6">
    <cfRule type="cellIs" dxfId="42489" priority="80618" stopIfTrue="1" operator="lessThan">
      <formula>0.5</formula>
    </cfRule>
  </conditionalFormatting>
  <conditionalFormatting sqref="AN6">
    <cfRule type="cellIs" dxfId="42488" priority="80619" stopIfTrue="1" operator="greaterThanOrEqual">
      <formula>0.5</formula>
    </cfRule>
  </conditionalFormatting>
  <conditionalFormatting sqref="AP5">
    <cfRule type="cellIs" dxfId="42487" priority="80620" stopIfTrue="1" operator="equal">
      <formula>-1</formula>
    </cfRule>
  </conditionalFormatting>
  <conditionalFormatting sqref="AP5">
    <cfRule type="cellIs" dxfId="42486" priority="80621" stopIfTrue="1" operator="lessThan">
      <formula>0.5</formula>
    </cfRule>
  </conditionalFormatting>
  <conditionalFormatting sqref="AP5">
    <cfRule type="cellIs" dxfId="42485" priority="80622" stopIfTrue="1" operator="greaterThanOrEqual">
      <formula>0.5</formula>
    </cfRule>
  </conditionalFormatting>
  <conditionalFormatting sqref="AP6">
    <cfRule type="cellIs" dxfId="42484" priority="80623" stopIfTrue="1" operator="equal">
      <formula>-1</formula>
    </cfRule>
  </conditionalFormatting>
  <conditionalFormatting sqref="AP6">
    <cfRule type="cellIs" dxfId="42483" priority="80624" stopIfTrue="1" operator="lessThan">
      <formula>0.5</formula>
    </cfRule>
  </conditionalFormatting>
  <conditionalFormatting sqref="AP6">
    <cfRule type="cellIs" dxfId="42482" priority="80625" stopIfTrue="1" operator="greaterThanOrEqual">
      <formula>0.5</formula>
    </cfRule>
  </conditionalFormatting>
  <conditionalFormatting sqref="AR5">
    <cfRule type="cellIs" dxfId="42481" priority="80626" stopIfTrue="1" operator="equal">
      <formula>-1</formula>
    </cfRule>
  </conditionalFormatting>
  <conditionalFormatting sqref="AR5">
    <cfRule type="cellIs" dxfId="42480" priority="80627" stopIfTrue="1" operator="lessThan">
      <formula>0.5</formula>
    </cfRule>
  </conditionalFormatting>
  <conditionalFormatting sqref="AR5">
    <cfRule type="cellIs" dxfId="42479" priority="80628" stopIfTrue="1" operator="greaterThanOrEqual">
      <formula>0.5</formula>
    </cfRule>
  </conditionalFormatting>
  <conditionalFormatting sqref="AR6">
    <cfRule type="cellIs" dxfId="42478" priority="80629" stopIfTrue="1" operator="equal">
      <formula>-1</formula>
    </cfRule>
  </conditionalFormatting>
  <conditionalFormatting sqref="AR6">
    <cfRule type="cellIs" dxfId="42477" priority="80630" stopIfTrue="1" operator="lessThan">
      <formula>0.5</formula>
    </cfRule>
  </conditionalFormatting>
  <conditionalFormatting sqref="AR6">
    <cfRule type="cellIs" dxfId="42476" priority="80631" stopIfTrue="1" operator="greaterThanOrEqual">
      <formula>0.5</formula>
    </cfRule>
  </conditionalFormatting>
  <conditionalFormatting sqref="AT5">
    <cfRule type="cellIs" dxfId="42475" priority="80632" stopIfTrue="1" operator="equal">
      <formula>-1</formula>
    </cfRule>
  </conditionalFormatting>
  <conditionalFormatting sqref="AT5">
    <cfRule type="cellIs" dxfId="42474" priority="80633" stopIfTrue="1" operator="lessThan">
      <formula>0.5</formula>
    </cfRule>
  </conditionalFormatting>
  <conditionalFormatting sqref="AT5">
    <cfRule type="cellIs" dxfId="42473" priority="80634" stopIfTrue="1" operator="greaterThanOrEqual">
      <formula>0.5</formula>
    </cfRule>
  </conditionalFormatting>
  <conditionalFormatting sqref="AT6">
    <cfRule type="cellIs" dxfId="42472" priority="80635" stopIfTrue="1" operator="equal">
      <formula>-1</formula>
    </cfRule>
  </conditionalFormatting>
  <conditionalFormatting sqref="AT6">
    <cfRule type="cellIs" dxfId="42471" priority="80636" stopIfTrue="1" operator="lessThan">
      <formula>0.5</formula>
    </cfRule>
  </conditionalFormatting>
  <conditionalFormatting sqref="AT6">
    <cfRule type="cellIs" dxfId="42470" priority="80637" stopIfTrue="1" operator="greaterThanOrEqual">
      <formula>0.5</formula>
    </cfRule>
  </conditionalFormatting>
  <conditionalFormatting sqref="AV5">
    <cfRule type="cellIs" dxfId="42469" priority="80638" stopIfTrue="1" operator="equal">
      <formula>-1</formula>
    </cfRule>
  </conditionalFormatting>
  <conditionalFormatting sqref="AV5">
    <cfRule type="cellIs" dxfId="42468" priority="80639" stopIfTrue="1" operator="lessThan">
      <formula>0.5</formula>
    </cfRule>
  </conditionalFormatting>
  <conditionalFormatting sqref="AV5">
    <cfRule type="cellIs" dxfId="42467" priority="80640" stopIfTrue="1" operator="greaterThanOrEqual">
      <formula>0.5</formula>
    </cfRule>
  </conditionalFormatting>
  <conditionalFormatting sqref="AV6">
    <cfRule type="cellIs" dxfId="42466" priority="80641" stopIfTrue="1" operator="equal">
      <formula>-1</formula>
    </cfRule>
  </conditionalFormatting>
  <conditionalFormatting sqref="AV6">
    <cfRule type="cellIs" dxfId="42465" priority="80642" stopIfTrue="1" operator="lessThan">
      <formula>0.5</formula>
    </cfRule>
  </conditionalFormatting>
  <conditionalFormatting sqref="AV6">
    <cfRule type="cellIs" dxfId="42464" priority="80643" stopIfTrue="1" operator="greaterThanOrEqual">
      <formula>0.5</formula>
    </cfRule>
  </conditionalFormatting>
  <conditionalFormatting sqref="AX5">
    <cfRule type="cellIs" dxfId="42463" priority="80644" stopIfTrue="1" operator="equal">
      <formula>-1</formula>
    </cfRule>
  </conditionalFormatting>
  <conditionalFormatting sqref="AX5">
    <cfRule type="cellIs" dxfId="42462" priority="80645" stopIfTrue="1" operator="lessThan">
      <formula>0.5</formula>
    </cfRule>
  </conditionalFormatting>
  <conditionalFormatting sqref="AX5">
    <cfRule type="cellIs" dxfId="42461" priority="80646" stopIfTrue="1" operator="greaterThanOrEqual">
      <formula>0.5</formula>
    </cfRule>
  </conditionalFormatting>
  <conditionalFormatting sqref="AX6">
    <cfRule type="cellIs" dxfId="42460" priority="80647" stopIfTrue="1" operator="equal">
      <formula>-1</formula>
    </cfRule>
  </conditionalFormatting>
  <conditionalFormatting sqref="AX6">
    <cfRule type="cellIs" dxfId="42459" priority="80648" stopIfTrue="1" operator="lessThan">
      <formula>0.5</formula>
    </cfRule>
  </conditionalFormatting>
  <conditionalFormatting sqref="AX6">
    <cfRule type="cellIs" dxfId="42458" priority="80649" stopIfTrue="1" operator="greaterThanOrEqual">
      <formula>0.5</formula>
    </cfRule>
  </conditionalFormatting>
  <conditionalFormatting sqref="AZ5">
    <cfRule type="cellIs" dxfId="42457" priority="80650" stopIfTrue="1" operator="equal">
      <formula>-1</formula>
    </cfRule>
  </conditionalFormatting>
  <conditionalFormatting sqref="AZ5">
    <cfRule type="cellIs" dxfId="42456" priority="80651" stopIfTrue="1" operator="lessThan">
      <formula>0.5</formula>
    </cfRule>
  </conditionalFormatting>
  <conditionalFormatting sqref="AZ5">
    <cfRule type="cellIs" dxfId="42455" priority="80652" stopIfTrue="1" operator="greaterThanOrEqual">
      <formula>0.5</formula>
    </cfRule>
  </conditionalFormatting>
  <conditionalFormatting sqref="AZ6">
    <cfRule type="cellIs" dxfId="42454" priority="80653" stopIfTrue="1" operator="equal">
      <formula>-1</formula>
    </cfRule>
  </conditionalFormatting>
  <conditionalFormatting sqref="AZ6">
    <cfRule type="cellIs" dxfId="42453" priority="80654" stopIfTrue="1" operator="lessThan">
      <formula>0.5</formula>
    </cfRule>
  </conditionalFormatting>
  <conditionalFormatting sqref="AZ6">
    <cfRule type="cellIs" dxfId="42452" priority="80655" stopIfTrue="1" operator="greaterThanOrEqual">
      <formula>0.5</formula>
    </cfRule>
  </conditionalFormatting>
  <conditionalFormatting sqref="BB5">
    <cfRule type="cellIs" dxfId="42451" priority="80656" stopIfTrue="1" operator="equal">
      <formula>-1</formula>
    </cfRule>
  </conditionalFormatting>
  <conditionalFormatting sqref="BB5">
    <cfRule type="cellIs" dxfId="42450" priority="80657" stopIfTrue="1" operator="lessThan">
      <formula>0.5</formula>
    </cfRule>
  </conditionalFormatting>
  <conditionalFormatting sqref="BB5">
    <cfRule type="cellIs" dxfId="42449" priority="80658" stopIfTrue="1" operator="greaterThanOrEqual">
      <formula>0.5</formula>
    </cfRule>
  </conditionalFormatting>
  <conditionalFormatting sqref="BB6">
    <cfRule type="cellIs" dxfId="42448" priority="80659" stopIfTrue="1" operator="equal">
      <formula>-1</formula>
    </cfRule>
  </conditionalFormatting>
  <conditionalFormatting sqref="BB6">
    <cfRule type="cellIs" dxfId="42447" priority="80660" stopIfTrue="1" operator="lessThan">
      <formula>0.5</formula>
    </cfRule>
  </conditionalFormatting>
  <conditionalFormatting sqref="BB6">
    <cfRule type="cellIs" dxfId="42446" priority="80661" stopIfTrue="1" operator="greaterThanOrEqual">
      <formula>0.5</formula>
    </cfRule>
  </conditionalFormatting>
  <conditionalFormatting sqref="BD5">
    <cfRule type="cellIs" dxfId="42445" priority="80662" stopIfTrue="1" operator="equal">
      <formula>-1</formula>
    </cfRule>
  </conditionalFormatting>
  <conditionalFormatting sqref="BD5">
    <cfRule type="cellIs" dxfId="42444" priority="80663" stopIfTrue="1" operator="lessThan">
      <formula>0.5</formula>
    </cfRule>
  </conditionalFormatting>
  <conditionalFormatting sqref="BD5">
    <cfRule type="cellIs" dxfId="42443" priority="80664" stopIfTrue="1" operator="greaterThanOrEqual">
      <formula>0.5</formula>
    </cfRule>
  </conditionalFormatting>
  <conditionalFormatting sqref="BD6">
    <cfRule type="cellIs" dxfId="42442" priority="80665" stopIfTrue="1" operator="equal">
      <formula>-1</formula>
    </cfRule>
  </conditionalFormatting>
  <conditionalFormatting sqref="BD6">
    <cfRule type="cellIs" dxfId="42441" priority="80666" stopIfTrue="1" operator="lessThan">
      <formula>0.5</formula>
    </cfRule>
  </conditionalFormatting>
  <conditionalFormatting sqref="BD6">
    <cfRule type="cellIs" dxfId="42440" priority="80667" stopIfTrue="1" operator="greaterThanOrEqual">
      <formula>0.5</formula>
    </cfRule>
  </conditionalFormatting>
  <conditionalFormatting sqref="BF5">
    <cfRule type="cellIs" dxfId="42439" priority="80668" stopIfTrue="1" operator="equal">
      <formula>-1</formula>
    </cfRule>
  </conditionalFormatting>
  <conditionalFormatting sqref="BF5">
    <cfRule type="cellIs" dxfId="42438" priority="80669" stopIfTrue="1" operator="lessThan">
      <formula>0.5</formula>
    </cfRule>
  </conditionalFormatting>
  <conditionalFormatting sqref="BF5">
    <cfRule type="cellIs" dxfId="42437" priority="80670" stopIfTrue="1" operator="greaterThanOrEqual">
      <formula>0.5</formula>
    </cfRule>
  </conditionalFormatting>
  <conditionalFormatting sqref="BF6">
    <cfRule type="cellIs" dxfId="42436" priority="80671" stopIfTrue="1" operator="equal">
      <formula>-1</formula>
    </cfRule>
  </conditionalFormatting>
  <conditionalFormatting sqref="BF6">
    <cfRule type="cellIs" dxfId="42435" priority="80672" stopIfTrue="1" operator="lessThan">
      <formula>0.5</formula>
    </cfRule>
  </conditionalFormatting>
  <conditionalFormatting sqref="BF6">
    <cfRule type="cellIs" dxfId="42434" priority="80673" stopIfTrue="1" operator="greaterThanOrEqual">
      <formula>0.5</formula>
    </cfRule>
  </conditionalFormatting>
  <conditionalFormatting sqref="BH5">
    <cfRule type="cellIs" dxfId="42433" priority="80674" stopIfTrue="1" operator="equal">
      <formula>-1</formula>
    </cfRule>
  </conditionalFormatting>
  <conditionalFormatting sqref="BH5">
    <cfRule type="cellIs" dxfId="42432" priority="80675" stopIfTrue="1" operator="lessThan">
      <formula>0.5</formula>
    </cfRule>
  </conditionalFormatting>
  <conditionalFormatting sqref="BH5">
    <cfRule type="cellIs" dxfId="42431" priority="80676" stopIfTrue="1" operator="greaterThanOrEqual">
      <formula>0.5</formula>
    </cfRule>
  </conditionalFormatting>
  <conditionalFormatting sqref="BH6">
    <cfRule type="cellIs" dxfId="42430" priority="80677" stopIfTrue="1" operator="equal">
      <formula>-1</formula>
    </cfRule>
  </conditionalFormatting>
  <conditionalFormatting sqref="BH6">
    <cfRule type="cellIs" dxfId="42429" priority="80678" stopIfTrue="1" operator="lessThan">
      <formula>0.5</formula>
    </cfRule>
  </conditionalFormatting>
  <conditionalFormatting sqref="BH6">
    <cfRule type="cellIs" dxfId="42428" priority="80679" stopIfTrue="1" operator="greaterThanOrEqual">
      <formula>0.5</formula>
    </cfRule>
  </conditionalFormatting>
  <conditionalFormatting sqref="BJ5">
    <cfRule type="cellIs" dxfId="42427" priority="80680" stopIfTrue="1" operator="equal">
      <formula>-1</formula>
    </cfRule>
  </conditionalFormatting>
  <conditionalFormatting sqref="BJ5">
    <cfRule type="cellIs" dxfId="42426" priority="80681" stopIfTrue="1" operator="lessThan">
      <formula>0.5</formula>
    </cfRule>
  </conditionalFormatting>
  <conditionalFormatting sqref="BJ5">
    <cfRule type="cellIs" dxfId="42425" priority="80682" stopIfTrue="1" operator="greaterThanOrEqual">
      <formula>0.5</formula>
    </cfRule>
  </conditionalFormatting>
  <conditionalFormatting sqref="BJ6">
    <cfRule type="cellIs" dxfId="42424" priority="80683" stopIfTrue="1" operator="equal">
      <formula>-1</formula>
    </cfRule>
  </conditionalFormatting>
  <conditionalFormatting sqref="BJ6">
    <cfRule type="cellIs" dxfId="42423" priority="80684" stopIfTrue="1" operator="lessThan">
      <formula>0.5</formula>
    </cfRule>
  </conditionalFormatting>
  <conditionalFormatting sqref="BJ6">
    <cfRule type="cellIs" dxfId="42422" priority="80685" stopIfTrue="1" operator="greaterThanOrEqual">
      <formula>0.5</formula>
    </cfRule>
  </conditionalFormatting>
  <conditionalFormatting sqref="D8">
    <cfRule type="cellIs" dxfId="42421" priority="80686" stopIfTrue="1" operator="equal">
      <formula>-1</formula>
    </cfRule>
  </conditionalFormatting>
  <conditionalFormatting sqref="D8">
    <cfRule type="cellIs" dxfId="42420" priority="80687" stopIfTrue="1" operator="lessThan">
      <formula>0.5</formula>
    </cfRule>
  </conditionalFormatting>
  <conditionalFormatting sqref="D8">
    <cfRule type="cellIs" dxfId="42419" priority="80688" stopIfTrue="1" operator="greaterThanOrEqual">
      <formula>0.5</formula>
    </cfRule>
  </conditionalFormatting>
  <conditionalFormatting sqref="D9">
    <cfRule type="cellIs" dxfId="42418" priority="80689" stopIfTrue="1" operator="equal">
      <formula>-1</formula>
    </cfRule>
  </conditionalFormatting>
  <conditionalFormatting sqref="D9">
    <cfRule type="cellIs" dxfId="42417" priority="80690" stopIfTrue="1" operator="lessThan">
      <formula>0.5</formula>
    </cfRule>
  </conditionalFormatting>
  <conditionalFormatting sqref="D9">
    <cfRule type="cellIs" dxfId="42416" priority="80691" stopIfTrue="1" operator="greaterThanOrEqual">
      <formula>0.5</formula>
    </cfRule>
  </conditionalFormatting>
  <conditionalFormatting sqref="D10">
    <cfRule type="cellIs" dxfId="42415" priority="80692" stopIfTrue="1" operator="equal">
      <formula>-1</formula>
    </cfRule>
  </conditionalFormatting>
  <conditionalFormatting sqref="D10">
    <cfRule type="cellIs" dxfId="42414" priority="80693" stopIfTrue="1" operator="lessThan">
      <formula>0.5</formula>
    </cfRule>
  </conditionalFormatting>
  <conditionalFormatting sqref="D10">
    <cfRule type="cellIs" dxfId="42413" priority="80694" stopIfTrue="1" operator="greaterThanOrEqual">
      <formula>0.5</formula>
    </cfRule>
  </conditionalFormatting>
  <conditionalFormatting sqref="D11">
    <cfRule type="cellIs" dxfId="42412" priority="80695" stopIfTrue="1" operator="equal">
      <formula>-1</formula>
    </cfRule>
  </conditionalFormatting>
  <conditionalFormatting sqref="D11">
    <cfRule type="cellIs" dxfId="42411" priority="80696" stopIfTrue="1" operator="lessThan">
      <formula>0.5</formula>
    </cfRule>
  </conditionalFormatting>
  <conditionalFormatting sqref="D11">
    <cfRule type="cellIs" dxfId="42410" priority="80697" stopIfTrue="1" operator="greaterThanOrEqual">
      <formula>0.5</formula>
    </cfRule>
  </conditionalFormatting>
  <conditionalFormatting sqref="D12">
    <cfRule type="cellIs" dxfId="42409" priority="80698" stopIfTrue="1" operator="equal">
      <formula>-1</formula>
    </cfRule>
  </conditionalFormatting>
  <conditionalFormatting sqref="D12">
    <cfRule type="cellIs" dxfId="42408" priority="80699" stopIfTrue="1" operator="lessThan">
      <formula>0.5</formula>
    </cfRule>
  </conditionalFormatting>
  <conditionalFormatting sqref="D12">
    <cfRule type="cellIs" dxfId="42407" priority="80700" stopIfTrue="1" operator="greaterThanOrEqual">
      <formula>0.5</formula>
    </cfRule>
  </conditionalFormatting>
  <conditionalFormatting sqref="D13">
    <cfRule type="cellIs" dxfId="42406" priority="80701" stopIfTrue="1" operator="equal">
      <formula>-1</formula>
    </cfRule>
  </conditionalFormatting>
  <conditionalFormatting sqref="D13">
    <cfRule type="cellIs" dxfId="42405" priority="80702" stopIfTrue="1" operator="lessThan">
      <formula>0.5</formula>
    </cfRule>
  </conditionalFormatting>
  <conditionalFormatting sqref="D13">
    <cfRule type="cellIs" dxfId="42404" priority="80703" stopIfTrue="1" operator="greaterThanOrEqual">
      <formula>0.5</formula>
    </cfRule>
  </conditionalFormatting>
  <conditionalFormatting sqref="D14">
    <cfRule type="cellIs" dxfId="42403" priority="80704" stopIfTrue="1" operator="equal">
      <formula>-1</formula>
    </cfRule>
  </conditionalFormatting>
  <conditionalFormatting sqref="D14">
    <cfRule type="cellIs" dxfId="42402" priority="80705" stopIfTrue="1" operator="lessThan">
      <formula>0.5</formula>
    </cfRule>
  </conditionalFormatting>
  <conditionalFormatting sqref="D14">
    <cfRule type="cellIs" dxfId="42401" priority="80706" stopIfTrue="1" operator="greaterThanOrEqual">
      <formula>0.5</formula>
    </cfRule>
  </conditionalFormatting>
  <conditionalFormatting sqref="D15">
    <cfRule type="cellIs" dxfId="42400" priority="80707" stopIfTrue="1" operator="equal">
      <formula>-1</formula>
    </cfRule>
  </conditionalFormatting>
  <conditionalFormatting sqref="D15">
    <cfRule type="cellIs" dxfId="42399" priority="80708" stopIfTrue="1" operator="lessThan">
      <formula>0.5</formula>
    </cfRule>
  </conditionalFormatting>
  <conditionalFormatting sqref="D15">
    <cfRule type="cellIs" dxfId="42398" priority="80709" stopIfTrue="1" operator="greaterThanOrEqual">
      <formula>0.5</formula>
    </cfRule>
  </conditionalFormatting>
  <conditionalFormatting sqref="F8">
    <cfRule type="cellIs" dxfId="42397" priority="80710" stopIfTrue="1" operator="equal">
      <formula>-1</formula>
    </cfRule>
  </conditionalFormatting>
  <conditionalFormatting sqref="F8">
    <cfRule type="cellIs" dxfId="42396" priority="80711" stopIfTrue="1" operator="lessThan">
      <formula>0.5</formula>
    </cfRule>
  </conditionalFormatting>
  <conditionalFormatting sqref="F8">
    <cfRule type="cellIs" dxfId="42395" priority="80712" stopIfTrue="1" operator="greaterThanOrEqual">
      <formula>0.5</formula>
    </cfRule>
  </conditionalFormatting>
  <conditionalFormatting sqref="F9">
    <cfRule type="cellIs" dxfId="42394" priority="80713" stopIfTrue="1" operator="equal">
      <formula>-1</formula>
    </cfRule>
  </conditionalFormatting>
  <conditionalFormatting sqref="F9">
    <cfRule type="cellIs" dxfId="42393" priority="80714" stopIfTrue="1" operator="lessThan">
      <formula>0.5</formula>
    </cfRule>
  </conditionalFormatting>
  <conditionalFormatting sqref="F9">
    <cfRule type="cellIs" dxfId="42392" priority="80715" stopIfTrue="1" operator="greaterThanOrEqual">
      <formula>0.5</formula>
    </cfRule>
  </conditionalFormatting>
  <conditionalFormatting sqref="F10">
    <cfRule type="cellIs" dxfId="42391" priority="80716" stopIfTrue="1" operator="equal">
      <formula>-1</formula>
    </cfRule>
  </conditionalFormatting>
  <conditionalFormatting sqref="F10">
    <cfRule type="cellIs" dxfId="42390" priority="80717" stopIfTrue="1" operator="lessThan">
      <formula>0.5</formula>
    </cfRule>
  </conditionalFormatting>
  <conditionalFormatting sqref="F10">
    <cfRule type="cellIs" dxfId="42389" priority="80718" stopIfTrue="1" operator="greaterThanOrEqual">
      <formula>0.5</formula>
    </cfRule>
  </conditionalFormatting>
  <conditionalFormatting sqref="F11">
    <cfRule type="cellIs" dxfId="42388" priority="80719" stopIfTrue="1" operator="equal">
      <formula>-1</formula>
    </cfRule>
  </conditionalFormatting>
  <conditionalFormatting sqref="F11">
    <cfRule type="cellIs" dxfId="42387" priority="80720" stopIfTrue="1" operator="lessThan">
      <formula>0.5</formula>
    </cfRule>
  </conditionalFormatting>
  <conditionalFormatting sqref="F11">
    <cfRule type="cellIs" dxfId="42386" priority="80721" stopIfTrue="1" operator="greaterThanOrEqual">
      <formula>0.5</formula>
    </cfRule>
  </conditionalFormatting>
  <conditionalFormatting sqref="F12">
    <cfRule type="cellIs" dxfId="42385" priority="80722" stopIfTrue="1" operator="equal">
      <formula>-1</formula>
    </cfRule>
  </conditionalFormatting>
  <conditionalFormatting sqref="F12">
    <cfRule type="cellIs" dxfId="42384" priority="80723" stopIfTrue="1" operator="lessThan">
      <formula>0.5</formula>
    </cfRule>
  </conditionalFormatting>
  <conditionalFormatting sqref="F12">
    <cfRule type="cellIs" dxfId="42383" priority="80724" stopIfTrue="1" operator="greaterThanOrEqual">
      <formula>0.5</formula>
    </cfRule>
  </conditionalFormatting>
  <conditionalFormatting sqref="F13">
    <cfRule type="cellIs" dxfId="42382" priority="80725" stopIfTrue="1" operator="equal">
      <formula>-1</formula>
    </cfRule>
  </conditionalFormatting>
  <conditionalFormatting sqref="F13">
    <cfRule type="cellIs" dxfId="42381" priority="80726" stopIfTrue="1" operator="lessThan">
      <formula>0.5</formula>
    </cfRule>
  </conditionalFormatting>
  <conditionalFormatting sqref="F13">
    <cfRule type="cellIs" dxfId="42380" priority="80727" stopIfTrue="1" operator="greaterThanOrEqual">
      <formula>0.5</formula>
    </cfRule>
  </conditionalFormatting>
  <conditionalFormatting sqref="F14">
    <cfRule type="cellIs" dxfId="42379" priority="80728" stopIfTrue="1" operator="equal">
      <formula>-1</formula>
    </cfRule>
  </conditionalFormatting>
  <conditionalFormatting sqref="F14">
    <cfRule type="cellIs" dxfId="42378" priority="80729" stopIfTrue="1" operator="lessThan">
      <formula>0.5</formula>
    </cfRule>
  </conditionalFormatting>
  <conditionalFormatting sqref="F14">
    <cfRule type="cellIs" dxfId="42377" priority="80730" stopIfTrue="1" operator="greaterThanOrEqual">
      <formula>0.5</formula>
    </cfRule>
  </conditionalFormatting>
  <conditionalFormatting sqref="F15">
    <cfRule type="cellIs" dxfId="42376" priority="80731" stopIfTrue="1" operator="equal">
      <formula>-1</formula>
    </cfRule>
  </conditionalFormatting>
  <conditionalFormatting sqref="F15">
    <cfRule type="cellIs" dxfId="42375" priority="80732" stopIfTrue="1" operator="lessThan">
      <formula>0.5</formula>
    </cfRule>
  </conditionalFormatting>
  <conditionalFormatting sqref="F15">
    <cfRule type="cellIs" dxfId="42374" priority="80733" stopIfTrue="1" operator="greaterThanOrEqual">
      <formula>0.5</formula>
    </cfRule>
  </conditionalFormatting>
  <conditionalFormatting sqref="H8">
    <cfRule type="cellIs" dxfId="42373" priority="80734" stopIfTrue="1" operator="equal">
      <formula>-1</formula>
    </cfRule>
  </conditionalFormatting>
  <conditionalFormatting sqref="H8">
    <cfRule type="cellIs" dxfId="42372" priority="80735" stopIfTrue="1" operator="lessThan">
      <formula>0.5</formula>
    </cfRule>
  </conditionalFormatting>
  <conditionalFormatting sqref="H8">
    <cfRule type="cellIs" dxfId="42371" priority="80736" stopIfTrue="1" operator="greaterThanOrEqual">
      <formula>0.5</formula>
    </cfRule>
  </conditionalFormatting>
  <conditionalFormatting sqref="H9">
    <cfRule type="cellIs" dxfId="42370" priority="80737" stopIfTrue="1" operator="equal">
      <formula>-1</formula>
    </cfRule>
  </conditionalFormatting>
  <conditionalFormatting sqref="H9">
    <cfRule type="cellIs" dxfId="42369" priority="80738" stopIfTrue="1" operator="lessThan">
      <formula>0.5</formula>
    </cfRule>
  </conditionalFormatting>
  <conditionalFormatting sqref="H9">
    <cfRule type="cellIs" dxfId="42368" priority="80739" stopIfTrue="1" operator="greaterThanOrEqual">
      <formula>0.5</formula>
    </cfRule>
  </conditionalFormatting>
  <conditionalFormatting sqref="H10">
    <cfRule type="cellIs" dxfId="42367" priority="80740" stopIfTrue="1" operator="equal">
      <formula>-1</formula>
    </cfRule>
  </conditionalFormatting>
  <conditionalFormatting sqref="H10">
    <cfRule type="cellIs" dxfId="42366" priority="80741" stopIfTrue="1" operator="lessThan">
      <formula>0.5</formula>
    </cfRule>
  </conditionalFormatting>
  <conditionalFormatting sqref="H10">
    <cfRule type="cellIs" dxfId="42365" priority="80742" stopIfTrue="1" operator="greaterThanOrEqual">
      <formula>0.5</formula>
    </cfRule>
  </conditionalFormatting>
  <conditionalFormatting sqref="H11">
    <cfRule type="cellIs" dxfId="42364" priority="80743" stopIfTrue="1" operator="equal">
      <formula>-1</formula>
    </cfRule>
  </conditionalFormatting>
  <conditionalFormatting sqref="H11">
    <cfRule type="cellIs" dxfId="42363" priority="80744" stopIfTrue="1" operator="lessThan">
      <formula>0.5</formula>
    </cfRule>
  </conditionalFormatting>
  <conditionalFormatting sqref="H11">
    <cfRule type="cellIs" dxfId="42362" priority="80745" stopIfTrue="1" operator="greaterThanOrEqual">
      <formula>0.5</formula>
    </cfRule>
  </conditionalFormatting>
  <conditionalFormatting sqref="H12">
    <cfRule type="cellIs" dxfId="42361" priority="80746" stopIfTrue="1" operator="equal">
      <formula>-1</formula>
    </cfRule>
  </conditionalFormatting>
  <conditionalFormatting sqref="H12">
    <cfRule type="cellIs" dxfId="42360" priority="80747" stopIfTrue="1" operator="lessThan">
      <formula>0.5</formula>
    </cfRule>
  </conditionalFormatting>
  <conditionalFormatting sqref="H12">
    <cfRule type="cellIs" dxfId="42359" priority="80748" stopIfTrue="1" operator="greaterThanOrEqual">
      <formula>0.5</formula>
    </cfRule>
  </conditionalFormatting>
  <conditionalFormatting sqref="H13">
    <cfRule type="cellIs" dxfId="42358" priority="80749" stopIfTrue="1" operator="equal">
      <formula>-1</formula>
    </cfRule>
  </conditionalFormatting>
  <conditionalFormatting sqref="H13">
    <cfRule type="cellIs" dxfId="42357" priority="80750" stopIfTrue="1" operator="lessThan">
      <formula>0.5</formula>
    </cfRule>
  </conditionalFormatting>
  <conditionalFormatting sqref="H13">
    <cfRule type="cellIs" dxfId="42356" priority="80751" stopIfTrue="1" operator="greaterThanOrEqual">
      <formula>0.5</formula>
    </cfRule>
  </conditionalFormatting>
  <conditionalFormatting sqref="H14">
    <cfRule type="cellIs" dxfId="42355" priority="80752" stopIfTrue="1" operator="equal">
      <formula>-1</formula>
    </cfRule>
  </conditionalFormatting>
  <conditionalFormatting sqref="H14">
    <cfRule type="cellIs" dxfId="42354" priority="80753" stopIfTrue="1" operator="lessThan">
      <formula>0.5</formula>
    </cfRule>
  </conditionalFormatting>
  <conditionalFormatting sqref="H14">
    <cfRule type="cellIs" dxfId="42353" priority="80754" stopIfTrue="1" operator="greaterThanOrEqual">
      <formula>0.5</formula>
    </cfRule>
  </conditionalFormatting>
  <conditionalFormatting sqref="H15">
    <cfRule type="cellIs" dxfId="42352" priority="80755" stopIfTrue="1" operator="equal">
      <formula>-1</formula>
    </cfRule>
  </conditionalFormatting>
  <conditionalFormatting sqref="H15">
    <cfRule type="cellIs" dxfId="42351" priority="80756" stopIfTrue="1" operator="lessThan">
      <formula>0.5</formula>
    </cfRule>
  </conditionalFormatting>
  <conditionalFormatting sqref="H15">
    <cfRule type="cellIs" dxfId="42350" priority="80757" stopIfTrue="1" operator="greaterThanOrEqual">
      <formula>0.5</formula>
    </cfRule>
  </conditionalFormatting>
  <conditionalFormatting sqref="J8">
    <cfRule type="cellIs" dxfId="42349" priority="80758" stopIfTrue="1" operator="equal">
      <formula>-1</formula>
    </cfRule>
  </conditionalFormatting>
  <conditionalFormatting sqref="J8">
    <cfRule type="cellIs" dxfId="42348" priority="80759" stopIfTrue="1" operator="lessThan">
      <formula>0.5</formula>
    </cfRule>
  </conditionalFormatting>
  <conditionalFormatting sqref="J8">
    <cfRule type="cellIs" dxfId="42347" priority="80760" stopIfTrue="1" operator="greaterThanOrEqual">
      <formula>0.5</formula>
    </cfRule>
  </conditionalFormatting>
  <conditionalFormatting sqref="J9">
    <cfRule type="cellIs" dxfId="42346" priority="80761" stopIfTrue="1" operator="equal">
      <formula>-1</formula>
    </cfRule>
  </conditionalFormatting>
  <conditionalFormatting sqref="J9">
    <cfRule type="cellIs" dxfId="42345" priority="80762" stopIfTrue="1" operator="lessThan">
      <formula>0.5</formula>
    </cfRule>
  </conditionalFormatting>
  <conditionalFormatting sqref="J9">
    <cfRule type="cellIs" dxfId="42344" priority="80763" stopIfTrue="1" operator="greaterThanOrEqual">
      <formula>0.5</formula>
    </cfRule>
  </conditionalFormatting>
  <conditionalFormatting sqref="J10">
    <cfRule type="cellIs" dxfId="42343" priority="80764" stopIfTrue="1" operator="equal">
      <formula>-1</formula>
    </cfRule>
  </conditionalFormatting>
  <conditionalFormatting sqref="J10">
    <cfRule type="cellIs" dxfId="42342" priority="80765" stopIfTrue="1" operator="lessThan">
      <formula>0.5</formula>
    </cfRule>
  </conditionalFormatting>
  <conditionalFormatting sqref="J10">
    <cfRule type="cellIs" dxfId="42341" priority="80766" stopIfTrue="1" operator="greaterThanOrEqual">
      <formula>0.5</formula>
    </cfRule>
  </conditionalFormatting>
  <conditionalFormatting sqref="J11">
    <cfRule type="cellIs" dxfId="42340" priority="80767" stopIfTrue="1" operator="equal">
      <formula>-1</formula>
    </cfRule>
  </conditionalFormatting>
  <conditionalFormatting sqref="J11">
    <cfRule type="cellIs" dxfId="42339" priority="80768" stopIfTrue="1" operator="lessThan">
      <formula>0.5</formula>
    </cfRule>
  </conditionalFormatting>
  <conditionalFormatting sqref="J11">
    <cfRule type="cellIs" dxfId="42338" priority="80769" stopIfTrue="1" operator="greaterThanOrEqual">
      <formula>0.5</formula>
    </cfRule>
  </conditionalFormatting>
  <conditionalFormatting sqref="J12">
    <cfRule type="cellIs" dxfId="42337" priority="80770" stopIfTrue="1" operator="equal">
      <formula>-1</formula>
    </cfRule>
  </conditionalFormatting>
  <conditionalFormatting sqref="J12">
    <cfRule type="cellIs" dxfId="42336" priority="80771" stopIfTrue="1" operator="lessThan">
      <formula>0.5</formula>
    </cfRule>
  </conditionalFormatting>
  <conditionalFormatting sqref="J12">
    <cfRule type="cellIs" dxfId="42335" priority="80772" stopIfTrue="1" operator="greaterThanOrEqual">
      <formula>0.5</formula>
    </cfRule>
  </conditionalFormatting>
  <conditionalFormatting sqref="J13">
    <cfRule type="cellIs" dxfId="42334" priority="80773" stopIfTrue="1" operator="equal">
      <formula>-1</formula>
    </cfRule>
  </conditionalFormatting>
  <conditionalFormatting sqref="J13">
    <cfRule type="cellIs" dxfId="42333" priority="80774" stopIfTrue="1" operator="lessThan">
      <formula>0.5</formula>
    </cfRule>
  </conditionalFormatting>
  <conditionalFormatting sqref="J13">
    <cfRule type="cellIs" dxfId="42332" priority="80775" stopIfTrue="1" operator="greaterThanOrEqual">
      <formula>0.5</formula>
    </cfRule>
  </conditionalFormatting>
  <conditionalFormatting sqref="J14">
    <cfRule type="cellIs" dxfId="42331" priority="80776" stopIfTrue="1" operator="equal">
      <formula>-1</formula>
    </cfRule>
  </conditionalFormatting>
  <conditionalFormatting sqref="J14">
    <cfRule type="cellIs" dxfId="42330" priority="80777" stopIfTrue="1" operator="lessThan">
      <formula>0.5</formula>
    </cfRule>
  </conditionalFormatting>
  <conditionalFormatting sqref="J14">
    <cfRule type="cellIs" dxfId="42329" priority="80778" stopIfTrue="1" operator="greaterThanOrEqual">
      <formula>0.5</formula>
    </cfRule>
  </conditionalFormatting>
  <conditionalFormatting sqref="J15">
    <cfRule type="cellIs" dxfId="42328" priority="80779" stopIfTrue="1" operator="equal">
      <formula>-1</formula>
    </cfRule>
  </conditionalFormatting>
  <conditionalFormatting sqref="J15">
    <cfRule type="cellIs" dxfId="42327" priority="80780" stopIfTrue="1" operator="lessThan">
      <formula>0.5</formula>
    </cfRule>
  </conditionalFormatting>
  <conditionalFormatting sqref="J15">
    <cfRule type="cellIs" dxfId="42326" priority="80781" stopIfTrue="1" operator="greaterThanOrEqual">
      <formula>0.5</formula>
    </cfRule>
  </conditionalFormatting>
  <conditionalFormatting sqref="L8">
    <cfRule type="cellIs" dxfId="42325" priority="80782" stopIfTrue="1" operator="equal">
      <formula>-1</formula>
    </cfRule>
  </conditionalFormatting>
  <conditionalFormatting sqref="L8">
    <cfRule type="cellIs" dxfId="42324" priority="80783" stopIfTrue="1" operator="lessThan">
      <formula>0.5</formula>
    </cfRule>
  </conditionalFormatting>
  <conditionalFormatting sqref="L8">
    <cfRule type="cellIs" dxfId="42323" priority="80784" stopIfTrue="1" operator="greaterThanOrEqual">
      <formula>0.5</formula>
    </cfRule>
  </conditionalFormatting>
  <conditionalFormatting sqref="L9">
    <cfRule type="cellIs" dxfId="42322" priority="80785" stopIfTrue="1" operator="equal">
      <formula>-1</formula>
    </cfRule>
  </conditionalFormatting>
  <conditionalFormatting sqref="L9">
    <cfRule type="cellIs" dxfId="42321" priority="80786" stopIfTrue="1" operator="lessThan">
      <formula>0.5</formula>
    </cfRule>
  </conditionalFormatting>
  <conditionalFormatting sqref="L9">
    <cfRule type="cellIs" dxfId="42320" priority="80787" stopIfTrue="1" operator="greaterThanOrEqual">
      <formula>0.5</formula>
    </cfRule>
  </conditionalFormatting>
  <conditionalFormatting sqref="L10">
    <cfRule type="cellIs" dxfId="42319" priority="80788" stopIfTrue="1" operator="equal">
      <formula>-1</formula>
    </cfRule>
  </conditionalFormatting>
  <conditionalFormatting sqref="L10">
    <cfRule type="cellIs" dxfId="42318" priority="80789" stopIfTrue="1" operator="lessThan">
      <formula>0.5</formula>
    </cfRule>
  </conditionalFormatting>
  <conditionalFormatting sqref="L10">
    <cfRule type="cellIs" dxfId="42317" priority="80790" stopIfTrue="1" operator="greaterThanOrEqual">
      <formula>0.5</formula>
    </cfRule>
  </conditionalFormatting>
  <conditionalFormatting sqref="L11">
    <cfRule type="cellIs" dxfId="42316" priority="80791" stopIfTrue="1" operator="equal">
      <formula>-1</formula>
    </cfRule>
  </conditionalFormatting>
  <conditionalFormatting sqref="L11">
    <cfRule type="cellIs" dxfId="42315" priority="80792" stopIfTrue="1" operator="lessThan">
      <formula>0.5</formula>
    </cfRule>
  </conditionalFormatting>
  <conditionalFormatting sqref="L11">
    <cfRule type="cellIs" dxfId="42314" priority="80793" stopIfTrue="1" operator="greaterThanOrEqual">
      <formula>0.5</formula>
    </cfRule>
  </conditionalFormatting>
  <conditionalFormatting sqref="L12">
    <cfRule type="cellIs" dxfId="42313" priority="80794" stopIfTrue="1" operator="equal">
      <formula>-1</formula>
    </cfRule>
  </conditionalFormatting>
  <conditionalFormatting sqref="L12">
    <cfRule type="cellIs" dxfId="42312" priority="80795" stopIfTrue="1" operator="lessThan">
      <formula>0.5</formula>
    </cfRule>
  </conditionalFormatting>
  <conditionalFormatting sqref="L12">
    <cfRule type="cellIs" dxfId="42311" priority="80796" stopIfTrue="1" operator="greaterThanOrEqual">
      <formula>0.5</formula>
    </cfRule>
  </conditionalFormatting>
  <conditionalFormatting sqref="L13">
    <cfRule type="cellIs" dxfId="42310" priority="80797" stopIfTrue="1" operator="equal">
      <formula>-1</formula>
    </cfRule>
  </conditionalFormatting>
  <conditionalFormatting sqref="L13">
    <cfRule type="cellIs" dxfId="42309" priority="80798" stopIfTrue="1" operator="lessThan">
      <formula>0.5</formula>
    </cfRule>
  </conditionalFormatting>
  <conditionalFormatting sqref="L13">
    <cfRule type="cellIs" dxfId="42308" priority="80799" stopIfTrue="1" operator="greaterThanOrEqual">
      <formula>0.5</formula>
    </cfRule>
  </conditionalFormatting>
  <conditionalFormatting sqref="L14">
    <cfRule type="cellIs" dxfId="42307" priority="80800" stopIfTrue="1" operator="equal">
      <formula>-1</formula>
    </cfRule>
  </conditionalFormatting>
  <conditionalFormatting sqref="L14">
    <cfRule type="cellIs" dxfId="42306" priority="80801" stopIfTrue="1" operator="lessThan">
      <formula>0.5</formula>
    </cfRule>
  </conditionalFormatting>
  <conditionalFormatting sqref="L14">
    <cfRule type="cellIs" dxfId="42305" priority="80802" stopIfTrue="1" operator="greaterThanOrEqual">
      <formula>0.5</formula>
    </cfRule>
  </conditionalFormatting>
  <conditionalFormatting sqref="L15">
    <cfRule type="cellIs" dxfId="42304" priority="80803" stopIfTrue="1" operator="equal">
      <formula>-1</formula>
    </cfRule>
  </conditionalFormatting>
  <conditionalFormatting sqref="L15">
    <cfRule type="cellIs" dxfId="42303" priority="80804" stopIfTrue="1" operator="lessThan">
      <formula>0.5</formula>
    </cfRule>
  </conditionalFormatting>
  <conditionalFormatting sqref="L15">
    <cfRule type="cellIs" dxfId="42302" priority="80805" stopIfTrue="1" operator="greaterThanOrEqual">
      <formula>0.5</formula>
    </cfRule>
  </conditionalFormatting>
  <conditionalFormatting sqref="N8">
    <cfRule type="cellIs" dxfId="42301" priority="80806" stopIfTrue="1" operator="equal">
      <formula>-1</formula>
    </cfRule>
  </conditionalFormatting>
  <conditionalFormatting sqref="N8">
    <cfRule type="cellIs" dxfId="42300" priority="80807" stopIfTrue="1" operator="lessThan">
      <formula>0.5</formula>
    </cfRule>
  </conditionalFormatting>
  <conditionalFormatting sqref="N8">
    <cfRule type="cellIs" dxfId="42299" priority="80808" stopIfTrue="1" operator="greaterThanOrEqual">
      <formula>0.5</formula>
    </cfRule>
  </conditionalFormatting>
  <conditionalFormatting sqref="N9">
    <cfRule type="cellIs" dxfId="42298" priority="80809" stopIfTrue="1" operator="equal">
      <formula>-1</formula>
    </cfRule>
  </conditionalFormatting>
  <conditionalFormatting sqref="N9">
    <cfRule type="cellIs" dxfId="42297" priority="80810" stopIfTrue="1" operator="lessThan">
      <formula>0.5</formula>
    </cfRule>
  </conditionalFormatting>
  <conditionalFormatting sqref="N9">
    <cfRule type="cellIs" dxfId="42296" priority="80811" stopIfTrue="1" operator="greaterThanOrEqual">
      <formula>0.5</formula>
    </cfRule>
  </conditionalFormatting>
  <conditionalFormatting sqref="N10">
    <cfRule type="cellIs" dxfId="42295" priority="80812" stopIfTrue="1" operator="equal">
      <formula>-1</formula>
    </cfRule>
  </conditionalFormatting>
  <conditionalFormatting sqref="N10">
    <cfRule type="cellIs" dxfId="42294" priority="80813" stopIfTrue="1" operator="lessThan">
      <formula>0.5</formula>
    </cfRule>
  </conditionalFormatting>
  <conditionalFormatting sqref="N10">
    <cfRule type="cellIs" dxfId="42293" priority="80814" stopIfTrue="1" operator="greaterThanOrEqual">
      <formula>0.5</formula>
    </cfRule>
  </conditionalFormatting>
  <conditionalFormatting sqref="N11">
    <cfRule type="cellIs" dxfId="42292" priority="80815" stopIfTrue="1" operator="equal">
      <formula>-1</formula>
    </cfRule>
  </conditionalFormatting>
  <conditionalFormatting sqref="N11">
    <cfRule type="cellIs" dxfId="42291" priority="80816" stopIfTrue="1" operator="lessThan">
      <formula>0.5</formula>
    </cfRule>
  </conditionalFormatting>
  <conditionalFormatting sqref="N11">
    <cfRule type="cellIs" dxfId="42290" priority="80817" stopIfTrue="1" operator="greaterThanOrEqual">
      <formula>0.5</formula>
    </cfRule>
  </conditionalFormatting>
  <conditionalFormatting sqref="N12">
    <cfRule type="cellIs" dxfId="42289" priority="80818" stopIfTrue="1" operator="equal">
      <formula>-1</formula>
    </cfRule>
  </conditionalFormatting>
  <conditionalFormatting sqref="N12">
    <cfRule type="cellIs" dxfId="42288" priority="80819" stopIfTrue="1" operator="lessThan">
      <formula>0.5</formula>
    </cfRule>
  </conditionalFormatting>
  <conditionalFormatting sqref="N12">
    <cfRule type="cellIs" dxfId="42287" priority="80820" stopIfTrue="1" operator="greaterThanOrEqual">
      <formula>0.5</formula>
    </cfRule>
  </conditionalFormatting>
  <conditionalFormatting sqref="N13">
    <cfRule type="cellIs" dxfId="42286" priority="80821" stopIfTrue="1" operator="equal">
      <formula>-1</formula>
    </cfRule>
  </conditionalFormatting>
  <conditionalFormatting sqref="N13">
    <cfRule type="cellIs" dxfId="42285" priority="80822" stopIfTrue="1" operator="lessThan">
      <formula>0.5</formula>
    </cfRule>
  </conditionalFormatting>
  <conditionalFormatting sqref="N13">
    <cfRule type="cellIs" dxfId="42284" priority="80823" stopIfTrue="1" operator="greaterThanOrEqual">
      <formula>0.5</formula>
    </cfRule>
  </conditionalFormatting>
  <conditionalFormatting sqref="N14">
    <cfRule type="cellIs" dxfId="42283" priority="80824" stopIfTrue="1" operator="equal">
      <formula>-1</formula>
    </cfRule>
  </conditionalFormatting>
  <conditionalFormatting sqref="N14">
    <cfRule type="cellIs" dxfId="42282" priority="80825" stopIfTrue="1" operator="lessThan">
      <formula>0.5</formula>
    </cfRule>
  </conditionalFormatting>
  <conditionalFormatting sqref="N14">
    <cfRule type="cellIs" dxfId="42281" priority="80826" stopIfTrue="1" operator="greaterThanOrEqual">
      <formula>0.5</formula>
    </cfRule>
  </conditionalFormatting>
  <conditionalFormatting sqref="N15">
    <cfRule type="cellIs" dxfId="42280" priority="80827" stopIfTrue="1" operator="equal">
      <formula>-1</formula>
    </cfRule>
  </conditionalFormatting>
  <conditionalFormatting sqref="N15">
    <cfRule type="cellIs" dxfId="42279" priority="80828" stopIfTrue="1" operator="lessThan">
      <formula>0.5</formula>
    </cfRule>
  </conditionalFormatting>
  <conditionalFormatting sqref="N15">
    <cfRule type="cellIs" dxfId="42278" priority="80829" stopIfTrue="1" operator="greaterThanOrEqual">
      <formula>0.5</formula>
    </cfRule>
  </conditionalFormatting>
  <conditionalFormatting sqref="P8">
    <cfRule type="cellIs" dxfId="42277" priority="80830" stopIfTrue="1" operator="equal">
      <formula>-1</formula>
    </cfRule>
  </conditionalFormatting>
  <conditionalFormatting sqref="P8">
    <cfRule type="cellIs" dxfId="42276" priority="80831" stopIfTrue="1" operator="lessThan">
      <formula>0.5</formula>
    </cfRule>
  </conditionalFormatting>
  <conditionalFormatting sqref="P8">
    <cfRule type="cellIs" dxfId="42275" priority="80832" stopIfTrue="1" operator="greaterThanOrEqual">
      <formula>0.5</formula>
    </cfRule>
  </conditionalFormatting>
  <conditionalFormatting sqref="P9">
    <cfRule type="cellIs" dxfId="42274" priority="80833" stopIfTrue="1" operator="equal">
      <formula>-1</formula>
    </cfRule>
  </conditionalFormatting>
  <conditionalFormatting sqref="P9">
    <cfRule type="cellIs" dxfId="42273" priority="80834" stopIfTrue="1" operator="lessThan">
      <formula>0.5</formula>
    </cfRule>
  </conditionalFormatting>
  <conditionalFormatting sqref="P9">
    <cfRule type="cellIs" dxfId="42272" priority="80835" stopIfTrue="1" operator="greaterThanOrEqual">
      <formula>0.5</formula>
    </cfRule>
  </conditionalFormatting>
  <conditionalFormatting sqref="P10">
    <cfRule type="cellIs" dxfId="42271" priority="80836" stopIfTrue="1" operator="equal">
      <formula>-1</formula>
    </cfRule>
  </conditionalFormatting>
  <conditionalFormatting sqref="P10">
    <cfRule type="cellIs" dxfId="42270" priority="80837" stopIfTrue="1" operator="lessThan">
      <formula>0.5</formula>
    </cfRule>
  </conditionalFormatting>
  <conditionalFormatting sqref="P10">
    <cfRule type="cellIs" dxfId="42269" priority="80838" stopIfTrue="1" operator="greaterThanOrEqual">
      <formula>0.5</formula>
    </cfRule>
  </conditionalFormatting>
  <conditionalFormatting sqref="P11">
    <cfRule type="cellIs" dxfId="42268" priority="80839" stopIfTrue="1" operator="equal">
      <formula>-1</formula>
    </cfRule>
  </conditionalFormatting>
  <conditionalFormatting sqref="P11">
    <cfRule type="cellIs" dxfId="42267" priority="80840" stopIfTrue="1" operator="lessThan">
      <formula>0.5</formula>
    </cfRule>
  </conditionalFormatting>
  <conditionalFormatting sqref="P11">
    <cfRule type="cellIs" dxfId="42266" priority="80841" stopIfTrue="1" operator="greaterThanOrEqual">
      <formula>0.5</formula>
    </cfRule>
  </conditionalFormatting>
  <conditionalFormatting sqref="P12">
    <cfRule type="cellIs" dxfId="42265" priority="80842" stopIfTrue="1" operator="equal">
      <formula>-1</formula>
    </cfRule>
  </conditionalFormatting>
  <conditionalFormatting sqref="P12">
    <cfRule type="cellIs" dxfId="42264" priority="80843" stopIfTrue="1" operator="lessThan">
      <formula>0.5</formula>
    </cfRule>
  </conditionalFormatting>
  <conditionalFormatting sqref="P12">
    <cfRule type="cellIs" dxfId="42263" priority="80844" stopIfTrue="1" operator="greaterThanOrEqual">
      <formula>0.5</formula>
    </cfRule>
  </conditionalFormatting>
  <conditionalFormatting sqref="P13">
    <cfRule type="cellIs" dxfId="42262" priority="80845" stopIfTrue="1" operator="equal">
      <formula>-1</formula>
    </cfRule>
  </conditionalFormatting>
  <conditionalFormatting sqref="P13">
    <cfRule type="cellIs" dxfId="42261" priority="80846" stopIfTrue="1" operator="lessThan">
      <formula>0.5</formula>
    </cfRule>
  </conditionalFormatting>
  <conditionalFormatting sqref="P13">
    <cfRule type="cellIs" dxfId="42260" priority="80847" stopIfTrue="1" operator="greaterThanOrEqual">
      <formula>0.5</formula>
    </cfRule>
  </conditionalFormatting>
  <conditionalFormatting sqref="P14">
    <cfRule type="cellIs" dxfId="42259" priority="80848" stopIfTrue="1" operator="equal">
      <formula>-1</formula>
    </cfRule>
  </conditionalFormatting>
  <conditionalFormatting sqref="P14">
    <cfRule type="cellIs" dxfId="42258" priority="80849" stopIfTrue="1" operator="lessThan">
      <formula>0.5</formula>
    </cfRule>
  </conditionalFormatting>
  <conditionalFormatting sqref="P14">
    <cfRule type="cellIs" dxfId="42257" priority="80850" stopIfTrue="1" operator="greaterThanOrEqual">
      <formula>0.5</formula>
    </cfRule>
  </conditionalFormatting>
  <conditionalFormatting sqref="P15">
    <cfRule type="cellIs" dxfId="42256" priority="80851" stopIfTrue="1" operator="equal">
      <formula>-1</formula>
    </cfRule>
  </conditionalFormatting>
  <conditionalFormatting sqref="P15">
    <cfRule type="cellIs" dxfId="42255" priority="80852" stopIfTrue="1" operator="lessThan">
      <formula>0.5</formula>
    </cfRule>
  </conditionalFormatting>
  <conditionalFormatting sqref="P15">
    <cfRule type="cellIs" dxfId="42254" priority="80853" stopIfTrue="1" operator="greaterThanOrEqual">
      <formula>0.5</formula>
    </cfRule>
  </conditionalFormatting>
  <conditionalFormatting sqref="R8">
    <cfRule type="cellIs" dxfId="42253" priority="80854" stopIfTrue="1" operator="equal">
      <formula>-1</formula>
    </cfRule>
  </conditionalFormatting>
  <conditionalFormatting sqref="R8">
    <cfRule type="cellIs" dxfId="42252" priority="80855" stopIfTrue="1" operator="lessThan">
      <formula>0.5</formula>
    </cfRule>
  </conditionalFormatting>
  <conditionalFormatting sqref="R8">
    <cfRule type="cellIs" dxfId="42251" priority="80856" stopIfTrue="1" operator="greaterThanOrEqual">
      <formula>0.5</formula>
    </cfRule>
  </conditionalFormatting>
  <conditionalFormatting sqref="R9">
    <cfRule type="cellIs" dxfId="42250" priority="80857" stopIfTrue="1" operator="equal">
      <formula>-1</formula>
    </cfRule>
  </conditionalFormatting>
  <conditionalFormatting sqref="R9">
    <cfRule type="cellIs" dxfId="42249" priority="80858" stopIfTrue="1" operator="lessThan">
      <formula>0.5</formula>
    </cfRule>
  </conditionalFormatting>
  <conditionalFormatting sqref="R9">
    <cfRule type="cellIs" dxfId="42248" priority="80859" stopIfTrue="1" operator="greaterThanOrEqual">
      <formula>0.5</formula>
    </cfRule>
  </conditionalFormatting>
  <conditionalFormatting sqref="R10">
    <cfRule type="cellIs" dxfId="42247" priority="80860" stopIfTrue="1" operator="equal">
      <formula>-1</formula>
    </cfRule>
  </conditionalFormatting>
  <conditionalFormatting sqref="R10">
    <cfRule type="cellIs" dxfId="42246" priority="80861" stopIfTrue="1" operator="lessThan">
      <formula>0.5</formula>
    </cfRule>
  </conditionalFormatting>
  <conditionalFormatting sqref="R10">
    <cfRule type="cellIs" dxfId="42245" priority="80862" stopIfTrue="1" operator="greaterThanOrEqual">
      <formula>0.5</formula>
    </cfRule>
  </conditionalFormatting>
  <conditionalFormatting sqref="R11">
    <cfRule type="cellIs" dxfId="42244" priority="80863" stopIfTrue="1" operator="equal">
      <formula>-1</formula>
    </cfRule>
  </conditionalFormatting>
  <conditionalFormatting sqref="R11">
    <cfRule type="cellIs" dxfId="42243" priority="80864" stopIfTrue="1" operator="lessThan">
      <formula>0.5</formula>
    </cfRule>
  </conditionalFormatting>
  <conditionalFormatting sqref="R11">
    <cfRule type="cellIs" dxfId="42242" priority="80865" stopIfTrue="1" operator="greaterThanOrEqual">
      <formula>0.5</formula>
    </cfRule>
  </conditionalFormatting>
  <conditionalFormatting sqref="R12">
    <cfRule type="cellIs" dxfId="42241" priority="80866" stopIfTrue="1" operator="equal">
      <formula>-1</formula>
    </cfRule>
  </conditionalFormatting>
  <conditionalFormatting sqref="R12">
    <cfRule type="cellIs" dxfId="42240" priority="80867" stopIfTrue="1" operator="lessThan">
      <formula>0.5</formula>
    </cfRule>
  </conditionalFormatting>
  <conditionalFormatting sqref="R12">
    <cfRule type="cellIs" dxfId="42239" priority="80868" stopIfTrue="1" operator="greaterThanOrEqual">
      <formula>0.5</formula>
    </cfRule>
  </conditionalFormatting>
  <conditionalFormatting sqref="R13">
    <cfRule type="cellIs" dxfId="42238" priority="80869" stopIfTrue="1" operator="equal">
      <formula>-1</formula>
    </cfRule>
  </conditionalFormatting>
  <conditionalFormatting sqref="R13">
    <cfRule type="cellIs" dxfId="42237" priority="80870" stopIfTrue="1" operator="lessThan">
      <formula>0.5</formula>
    </cfRule>
  </conditionalFormatting>
  <conditionalFormatting sqref="R13">
    <cfRule type="cellIs" dxfId="42236" priority="80871" stopIfTrue="1" operator="greaterThanOrEqual">
      <formula>0.5</formula>
    </cfRule>
  </conditionalFormatting>
  <conditionalFormatting sqref="R14">
    <cfRule type="cellIs" dxfId="42235" priority="80872" stopIfTrue="1" operator="equal">
      <formula>-1</formula>
    </cfRule>
  </conditionalFormatting>
  <conditionalFormatting sqref="R14">
    <cfRule type="cellIs" dxfId="42234" priority="80873" stopIfTrue="1" operator="lessThan">
      <formula>0.5</formula>
    </cfRule>
  </conditionalFormatting>
  <conditionalFormatting sqref="R14">
    <cfRule type="cellIs" dxfId="42233" priority="80874" stopIfTrue="1" operator="greaterThanOrEqual">
      <formula>0.5</formula>
    </cfRule>
  </conditionalFormatting>
  <conditionalFormatting sqref="R15">
    <cfRule type="cellIs" dxfId="42232" priority="80875" stopIfTrue="1" operator="equal">
      <formula>-1</formula>
    </cfRule>
  </conditionalFormatting>
  <conditionalFormatting sqref="R15">
    <cfRule type="cellIs" dxfId="42231" priority="80876" stopIfTrue="1" operator="lessThan">
      <formula>0.5</formula>
    </cfRule>
  </conditionalFormatting>
  <conditionalFormatting sqref="R15">
    <cfRule type="cellIs" dxfId="42230" priority="80877" stopIfTrue="1" operator="greaterThanOrEqual">
      <formula>0.5</formula>
    </cfRule>
  </conditionalFormatting>
  <conditionalFormatting sqref="T8">
    <cfRule type="cellIs" dxfId="42229" priority="80878" stopIfTrue="1" operator="equal">
      <formula>-1</formula>
    </cfRule>
  </conditionalFormatting>
  <conditionalFormatting sqref="T8">
    <cfRule type="cellIs" dxfId="42228" priority="80879" stopIfTrue="1" operator="lessThan">
      <formula>0.5</formula>
    </cfRule>
  </conditionalFormatting>
  <conditionalFormatting sqref="T8">
    <cfRule type="cellIs" dxfId="42227" priority="80880" stopIfTrue="1" operator="greaterThanOrEqual">
      <formula>0.5</formula>
    </cfRule>
  </conditionalFormatting>
  <conditionalFormatting sqref="T9">
    <cfRule type="cellIs" dxfId="42226" priority="80881" stopIfTrue="1" operator="equal">
      <formula>-1</formula>
    </cfRule>
  </conditionalFormatting>
  <conditionalFormatting sqref="T9">
    <cfRule type="cellIs" dxfId="42225" priority="80882" stopIfTrue="1" operator="lessThan">
      <formula>0.5</formula>
    </cfRule>
  </conditionalFormatting>
  <conditionalFormatting sqref="T9">
    <cfRule type="cellIs" dxfId="42224" priority="80883" stopIfTrue="1" operator="greaterThanOrEqual">
      <formula>0.5</formula>
    </cfRule>
  </conditionalFormatting>
  <conditionalFormatting sqref="T10">
    <cfRule type="cellIs" dxfId="42223" priority="80884" stopIfTrue="1" operator="equal">
      <formula>-1</formula>
    </cfRule>
  </conditionalFormatting>
  <conditionalFormatting sqref="T10">
    <cfRule type="cellIs" dxfId="42222" priority="80885" stopIfTrue="1" operator="lessThan">
      <formula>0.5</formula>
    </cfRule>
  </conditionalFormatting>
  <conditionalFormatting sqref="T10">
    <cfRule type="cellIs" dxfId="42221" priority="80886" stopIfTrue="1" operator="greaterThanOrEqual">
      <formula>0.5</formula>
    </cfRule>
  </conditionalFormatting>
  <conditionalFormatting sqref="T11">
    <cfRule type="cellIs" dxfId="42220" priority="80887" stopIfTrue="1" operator="equal">
      <formula>-1</formula>
    </cfRule>
  </conditionalFormatting>
  <conditionalFormatting sqref="T11">
    <cfRule type="cellIs" dxfId="42219" priority="80888" stopIfTrue="1" operator="lessThan">
      <formula>0.5</formula>
    </cfRule>
  </conditionalFormatting>
  <conditionalFormatting sqref="T11">
    <cfRule type="cellIs" dxfId="42218" priority="80889" stopIfTrue="1" operator="greaterThanOrEqual">
      <formula>0.5</formula>
    </cfRule>
  </conditionalFormatting>
  <conditionalFormatting sqref="T12">
    <cfRule type="cellIs" dxfId="42217" priority="80890" stopIfTrue="1" operator="equal">
      <formula>-1</formula>
    </cfRule>
  </conditionalFormatting>
  <conditionalFormatting sqref="T12">
    <cfRule type="cellIs" dxfId="42216" priority="80891" stopIfTrue="1" operator="lessThan">
      <formula>0.5</formula>
    </cfRule>
  </conditionalFormatting>
  <conditionalFormatting sqref="T12">
    <cfRule type="cellIs" dxfId="42215" priority="80892" stopIfTrue="1" operator="greaterThanOrEqual">
      <formula>0.5</formula>
    </cfRule>
  </conditionalFormatting>
  <conditionalFormatting sqref="T13">
    <cfRule type="cellIs" dxfId="42214" priority="80893" stopIfTrue="1" operator="equal">
      <formula>-1</formula>
    </cfRule>
  </conditionalFormatting>
  <conditionalFormatting sqref="T13">
    <cfRule type="cellIs" dxfId="42213" priority="80894" stopIfTrue="1" operator="lessThan">
      <formula>0.5</formula>
    </cfRule>
  </conditionalFormatting>
  <conditionalFormatting sqref="T13">
    <cfRule type="cellIs" dxfId="42212" priority="80895" stopIfTrue="1" operator="greaterThanOrEqual">
      <formula>0.5</formula>
    </cfRule>
  </conditionalFormatting>
  <conditionalFormatting sqref="T14">
    <cfRule type="cellIs" dxfId="42211" priority="80896" stopIfTrue="1" operator="equal">
      <formula>-1</formula>
    </cfRule>
  </conditionalFormatting>
  <conditionalFormatting sqref="T14">
    <cfRule type="cellIs" dxfId="42210" priority="80897" stopIfTrue="1" operator="lessThan">
      <formula>0.5</formula>
    </cfRule>
  </conditionalFormatting>
  <conditionalFormatting sqref="T14">
    <cfRule type="cellIs" dxfId="42209" priority="80898" stopIfTrue="1" operator="greaterThanOrEqual">
      <formula>0.5</formula>
    </cfRule>
  </conditionalFormatting>
  <conditionalFormatting sqref="T15">
    <cfRule type="cellIs" dxfId="42208" priority="80899" stopIfTrue="1" operator="equal">
      <formula>-1</formula>
    </cfRule>
  </conditionalFormatting>
  <conditionalFormatting sqref="T15">
    <cfRule type="cellIs" dxfId="42207" priority="80900" stopIfTrue="1" operator="lessThan">
      <formula>0.5</formula>
    </cfRule>
  </conditionalFormatting>
  <conditionalFormatting sqref="T15">
    <cfRule type="cellIs" dxfId="42206" priority="80901" stopIfTrue="1" operator="greaterThanOrEqual">
      <formula>0.5</formula>
    </cfRule>
  </conditionalFormatting>
  <conditionalFormatting sqref="V8">
    <cfRule type="cellIs" dxfId="42205" priority="80902" stopIfTrue="1" operator="equal">
      <formula>-1</formula>
    </cfRule>
  </conditionalFormatting>
  <conditionalFormatting sqref="V8">
    <cfRule type="cellIs" dxfId="42204" priority="80903" stopIfTrue="1" operator="lessThan">
      <formula>0.5</formula>
    </cfRule>
  </conditionalFormatting>
  <conditionalFormatting sqref="V8">
    <cfRule type="cellIs" dxfId="42203" priority="80904" stopIfTrue="1" operator="greaterThanOrEqual">
      <formula>0.5</formula>
    </cfRule>
  </conditionalFormatting>
  <conditionalFormatting sqref="V9">
    <cfRule type="cellIs" dxfId="42202" priority="80905" stopIfTrue="1" operator="equal">
      <formula>-1</formula>
    </cfRule>
  </conditionalFormatting>
  <conditionalFormatting sqref="V9">
    <cfRule type="cellIs" dxfId="42201" priority="80906" stopIfTrue="1" operator="lessThan">
      <formula>0.5</formula>
    </cfRule>
  </conditionalFormatting>
  <conditionalFormatting sqref="V9">
    <cfRule type="cellIs" dxfId="42200" priority="80907" stopIfTrue="1" operator="greaterThanOrEqual">
      <formula>0.5</formula>
    </cfRule>
  </conditionalFormatting>
  <conditionalFormatting sqref="V10">
    <cfRule type="cellIs" dxfId="42199" priority="80908" stopIfTrue="1" operator="equal">
      <formula>-1</formula>
    </cfRule>
  </conditionalFormatting>
  <conditionalFormatting sqref="V10">
    <cfRule type="cellIs" dxfId="42198" priority="80909" stopIfTrue="1" operator="lessThan">
      <formula>0.5</formula>
    </cfRule>
  </conditionalFormatting>
  <conditionalFormatting sqref="V10">
    <cfRule type="cellIs" dxfId="42197" priority="80910" stopIfTrue="1" operator="greaterThanOrEqual">
      <formula>0.5</formula>
    </cfRule>
  </conditionalFormatting>
  <conditionalFormatting sqref="V11">
    <cfRule type="cellIs" dxfId="42196" priority="80911" stopIfTrue="1" operator="equal">
      <formula>-1</formula>
    </cfRule>
  </conditionalFormatting>
  <conditionalFormatting sqref="V11">
    <cfRule type="cellIs" dxfId="42195" priority="80912" stopIfTrue="1" operator="lessThan">
      <formula>0.5</formula>
    </cfRule>
  </conditionalFormatting>
  <conditionalFormatting sqref="V11">
    <cfRule type="cellIs" dxfId="42194" priority="80913" stopIfTrue="1" operator="greaterThanOrEqual">
      <formula>0.5</formula>
    </cfRule>
  </conditionalFormatting>
  <conditionalFormatting sqref="V12">
    <cfRule type="cellIs" dxfId="42193" priority="80914" stopIfTrue="1" operator="equal">
      <formula>-1</formula>
    </cfRule>
  </conditionalFormatting>
  <conditionalFormatting sqref="V12">
    <cfRule type="cellIs" dxfId="42192" priority="80915" stopIfTrue="1" operator="lessThan">
      <formula>0.5</formula>
    </cfRule>
  </conditionalFormatting>
  <conditionalFormatting sqref="V12">
    <cfRule type="cellIs" dxfId="42191" priority="80916" stopIfTrue="1" operator="greaterThanOrEqual">
      <formula>0.5</formula>
    </cfRule>
  </conditionalFormatting>
  <conditionalFormatting sqref="V13">
    <cfRule type="cellIs" dxfId="42190" priority="80917" stopIfTrue="1" operator="equal">
      <formula>-1</formula>
    </cfRule>
  </conditionalFormatting>
  <conditionalFormatting sqref="V13">
    <cfRule type="cellIs" dxfId="42189" priority="80918" stopIfTrue="1" operator="lessThan">
      <formula>0.5</formula>
    </cfRule>
  </conditionalFormatting>
  <conditionalFormatting sqref="V13">
    <cfRule type="cellIs" dxfId="42188" priority="80919" stopIfTrue="1" operator="greaterThanOrEqual">
      <formula>0.5</formula>
    </cfRule>
  </conditionalFormatting>
  <conditionalFormatting sqref="V14">
    <cfRule type="cellIs" dxfId="42187" priority="80920" stopIfTrue="1" operator="equal">
      <formula>-1</formula>
    </cfRule>
  </conditionalFormatting>
  <conditionalFormatting sqref="V14">
    <cfRule type="cellIs" dxfId="42186" priority="80921" stopIfTrue="1" operator="lessThan">
      <formula>0.5</formula>
    </cfRule>
  </conditionalFormatting>
  <conditionalFormatting sqref="V14">
    <cfRule type="cellIs" dxfId="42185" priority="80922" stopIfTrue="1" operator="greaterThanOrEqual">
      <formula>0.5</formula>
    </cfRule>
  </conditionalFormatting>
  <conditionalFormatting sqref="V15">
    <cfRule type="cellIs" dxfId="42184" priority="80923" stopIfTrue="1" operator="equal">
      <formula>-1</formula>
    </cfRule>
  </conditionalFormatting>
  <conditionalFormatting sqref="V15">
    <cfRule type="cellIs" dxfId="42183" priority="80924" stopIfTrue="1" operator="lessThan">
      <formula>0.5</formula>
    </cfRule>
  </conditionalFormatting>
  <conditionalFormatting sqref="V15">
    <cfRule type="cellIs" dxfId="42182" priority="80925" stopIfTrue="1" operator="greaterThanOrEqual">
      <formula>0.5</formula>
    </cfRule>
  </conditionalFormatting>
  <conditionalFormatting sqref="X8">
    <cfRule type="cellIs" dxfId="42181" priority="80926" stopIfTrue="1" operator="equal">
      <formula>-1</formula>
    </cfRule>
  </conditionalFormatting>
  <conditionalFormatting sqref="X8">
    <cfRule type="cellIs" dxfId="42180" priority="80927" stopIfTrue="1" operator="lessThan">
      <formula>0.5</formula>
    </cfRule>
  </conditionalFormatting>
  <conditionalFormatting sqref="X8">
    <cfRule type="cellIs" dxfId="42179" priority="80928" stopIfTrue="1" operator="greaterThanOrEqual">
      <formula>0.5</formula>
    </cfRule>
  </conditionalFormatting>
  <conditionalFormatting sqref="X9">
    <cfRule type="cellIs" dxfId="42178" priority="80929" stopIfTrue="1" operator="equal">
      <formula>-1</formula>
    </cfRule>
  </conditionalFormatting>
  <conditionalFormatting sqref="X9">
    <cfRule type="cellIs" dxfId="42177" priority="80930" stopIfTrue="1" operator="lessThan">
      <formula>0.5</formula>
    </cfRule>
  </conditionalFormatting>
  <conditionalFormatting sqref="X9">
    <cfRule type="cellIs" dxfId="42176" priority="80931" stopIfTrue="1" operator="greaterThanOrEqual">
      <formula>0.5</formula>
    </cfRule>
  </conditionalFormatting>
  <conditionalFormatting sqref="X10">
    <cfRule type="cellIs" dxfId="42175" priority="80932" stopIfTrue="1" operator="equal">
      <formula>-1</formula>
    </cfRule>
  </conditionalFormatting>
  <conditionalFormatting sqref="X10">
    <cfRule type="cellIs" dxfId="42174" priority="80933" stopIfTrue="1" operator="lessThan">
      <formula>0.5</formula>
    </cfRule>
  </conditionalFormatting>
  <conditionalFormatting sqref="X10">
    <cfRule type="cellIs" dxfId="42173" priority="80934" stopIfTrue="1" operator="greaterThanOrEqual">
      <formula>0.5</formula>
    </cfRule>
  </conditionalFormatting>
  <conditionalFormatting sqref="X11">
    <cfRule type="cellIs" dxfId="42172" priority="80935" stopIfTrue="1" operator="equal">
      <formula>-1</formula>
    </cfRule>
  </conditionalFormatting>
  <conditionalFormatting sqref="X11">
    <cfRule type="cellIs" dxfId="42171" priority="80936" stopIfTrue="1" operator="lessThan">
      <formula>0.5</formula>
    </cfRule>
  </conditionalFormatting>
  <conditionalFormatting sqref="X11">
    <cfRule type="cellIs" dxfId="42170" priority="80937" stopIfTrue="1" operator="greaterThanOrEqual">
      <formula>0.5</formula>
    </cfRule>
  </conditionalFormatting>
  <conditionalFormatting sqref="X12">
    <cfRule type="cellIs" dxfId="42169" priority="80938" stopIfTrue="1" operator="equal">
      <formula>-1</formula>
    </cfRule>
  </conditionalFormatting>
  <conditionalFormatting sqref="X12">
    <cfRule type="cellIs" dxfId="42168" priority="80939" stopIfTrue="1" operator="lessThan">
      <formula>0.5</formula>
    </cfRule>
  </conditionalFormatting>
  <conditionalFormatting sqref="X12">
    <cfRule type="cellIs" dxfId="42167" priority="80940" stopIfTrue="1" operator="greaterThanOrEqual">
      <formula>0.5</formula>
    </cfRule>
  </conditionalFormatting>
  <conditionalFormatting sqref="X13">
    <cfRule type="cellIs" dxfId="42166" priority="80941" stopIfTrue="1" operator="equal">
      <formula>-1</formula>
    </cfRule>
  </conditionalFormatting>
  <conditionalFormatting sqref="X13">
    <cfRule type="cellIs" dxfId="42165" priority="80942" stopIfTrue="1" operator="lessThan">
      <formula>0.5</formula>
    </cfRule>
  </conditionalFormatting>
  <conditionalFormatting sqref="X13">
    <cfRule type="cellIs" dxfId="42164" priority="80943" stopIfTrue="1" operator="greaterThanOrEqual">
      <formula>0.5</formula>
    </cfRule>
  </conditionalFormatting>
  <conditionalFormatting sqref="X14">
    <cfRule type="cellIs" dxfId="42163" priority="80944" stopIfTrue="1" operator="equal">
      <formula>-1</formula>
    </cfRule>
  </conditionalFormatting>
  <conditionalFormatting sqref="X14">
    <cfRule type="cellIs" dxfId="42162" priority="80945" stopIfTrue="1" operator="lessThan">
      <formula>0.5</formula>
    </cfRule>
  </conditionalFormatting>
  <conditionalFormatting sqref="X14">
    <cfRule type="cellIs" dxfId="42161" priority="80946" stopIfTrue="1" operator="greaterThanOrEqual">
      <formula>0.5</formula>
    </cfRule>
  </conditionalFormatting>
  <conditionalFormatting sqref="X15">
    <cfRule type="cellIs" dxfId="42160" priority="80947" stopIfTrue="1" operator="equal">
      <formula>-1</formula>
    </cfRule>
  </conditionalFormatting>
  <conditionalFormatting sqref="X15">
    <cfRule type="cellIs" dxfId="42159" priority="80948" stopIfTrue="1" operator="lessThan">
      <formula>0.5</formula>
    </cfRule>
  </conditionalFormatting>
  <conditionalFormatting sqref="X15">
    <cfRule type="cellIs" dxfId="42158" priority="80949" stopIfTrue="1" operator="greaterThanOrEqual">
      <formula>0.5</formula>
    </cfRule>
  </conditionalFormatting>
  <conditionalFormatting sqref="Z8">
    <cfRule type="cellIs" dxfId="42157" priority="80950" stopIfTrue="1" operator="equal">
      <formula>-1</formula>
    </cfRule>
  </conditionalFormatting>
  <conditionalFormatting sqref="Z8">
    <cfRule type="cellIs" dxfId="42156" priority="80951" stopIfTrue="1" operator="lessThan">
      <formula>0.5</formula>
    </cfRule>
  </conditionalFormatting>
  <conditionalFormatting sqref="Z8">
    <cfRule type="cellIs" dxfId="42155" priority="80952" stopIfTrue="1" operator="greaterThanOrEqual">
      <formula>0.5</formula>
    </cfRule>
  </conditionalFormatting>
  <conditionalFormatting sqref="Z9">
    <cfRule type="cellIs" dxfId="42154" priority="80953" stopIfTrue="1" operator="equal">
      <formula>-1</formula>
    </cfRule>
  </conditionalFormatting>
  <conditionalFormatting sqref="Z9">
    <cfRule type="cellIs" dxfId="42153" priority="80954" stopIfTrue="1" operator="lessThan">
      <formula>0.5</formula>
    </cfRule>
  </conditionalFormatting>
  <conditionalFormatting sqref="Z9">
    <cfRule type="cellIs" dxfId="42152" priority="80955" stopIfTrue="1" operator="greaterThanOrEqual">
      <formula>0.5</formula>
    </cfRule>
  </conditionalFormatting>
  <conditionalFormatting sqref="Z10">
    <cfRule type="cellIs" dxfId="42151" priority="80956" stopIfTrue="1" operator="equal">
      <formula>-1</formula>
    </cfRule>
  </conditionalFormatting>
  <conditionalFormatting sqref="Z10">
    <cfRule type="cellIs" dxfId="42150" priority="80957" stopIfTrue="1" operator="lessThan">
      <formula>0.5</formula>
    </cfRule>
  </conditionalFormatting>
  <conditionalFormatting sqref="Z10">
    <cfRule type="cellIs" dxfId="42149" priority="80958" stopIfTrue="1" operator="greaterThanOrEqual">
      <formula>0.5</formula>
    </cfRule>
  </conditionalFormatting>
  <conditionalFormatting sqref="Z11">
    <cfRule type="cellIs" dxfId="42148" priority="80959" stopIfTrue="1" operator="equal">
      <formula>-1</formula>
    </cfRule>
  </conditionalFormatting>
  <conditionalFormatting sqref="Z11">
    <cfRule type="cellIs" dxfId="42147" priority="80960" stopIfTrue="1" operator="lessThan">
      <formula>0.5</formula>
    </cfRule>
  </conditionalFormatting>
  <conditionalFormatting sqref="Z11">
    <cfRule type="cellIs" dxfId="42146" priority="80961" stopIfTrue="1" operator="greaterThanOrEqual">
      <formula>0.5</formula>
    </cfRule>
  </conditionalFormatting>
  <conditionalFormatting sqref="Z12">
    <cfRule type="cellIs" dxfId="42145" priority="80962" stopIfTrue="1" operator="equal">
      <formula>-1</formula>
    </cfRule>
  </conditionalFormatting>
  <conditionalFormatting sqref="Z12">
    <cfRule type="cellIs" dxfId="42144" priority="80963" stopIfTrue="1" operator="lessThan">
      <formula>0.5</formula>
    </cfRule>
  </conditionalFormatting>
  <conditionalFormatting sqref="Z12">
    <cfRule type="cellIs" dxfId="42143" priority="80964" stopIfTrue="1" operator="greaterThanOrEqual">
      <formula>0.5</formula>
    </cfRule>
  </conditionalFormatting>
  <conditionalFormatting sqref="Z13">
    <cfRule type="cellIs" dxfId="42142" priority="80965" stopIfTrue="1" operator="equal">
      <formula>-1</formula>
    </cfRule>
  </conditionalFormatting>
  <conditionalFormatting sqref="Z13">
    <cfRule type="cellIs" dxfId="42141" priority="80966" stopIfTrue="1" operator="lessThan">
      <formula>0.5</formula>
    </cfRule>
  </conditionalFormatting>
  <conditionalFormatting sqref="Z13">
    <cfRule type="cellIs" dxfId="42140" priority="80967" stopIfTrue="1" operator="greaterThanOrEqual">
      <formula>0.5</formula>
    </cfRule>
  </conditionalFormatting>
  <conditionalFormatting sqref="Z14">
    <cfRule type="cellIs" dxfId="42139" priority="80968" stopIfTrue="1" operator="equal">
      <formula>-1</formula>
    </cfRule>
  </conditionalFormatting>
  <conditionalFormatting sqref="Z14">
    <cfRule type="cellIs" dxfId="42138" priority="80969" stopIfTrue="1" operator="lessThan">
      <formula>0.5</formula>
    </cfRule>
  </conditionalFormatting>
  <conditionalFormatting sqref="Z14">
    <cfRule type="cellIs" dxfId="42137" priority="80970" stopIfTrue="1" operator="greaterThanOrEqual">
      <formula>0.5</formula>
    </cfRule>
  </conditionalFormatting>
  <conditionalFormatting sqref="Z15">
    <cfRule type="cellIs" dxfId="42136" priority="80971" stopIfTrue="1" operator="equal">
      <formula>-1</formula>
    </cfRule>
  </conditionalFormatting>
  <conditionalFormatting sqref="Z15">
    <cfRule type="cellIs" dxfId="42135" priority="80972" stopIfTrue="1" operator="lessThan">
      <formula>0.5</formula>
    </cfRule>
  </conditionalFormatting>
  <conditionalFormatting sqref="Z15">
    <cfRule type="cellIs" dxfId="42134" priority="80973" stopIfTrue="1" operator="greaterThanOrEqual">
      <formula>0.5</formula>
    </cfRule>
  </conditionalFormatting>
  <conditionalFormatting sqref="AB8">
    <cfRule type="cellIs" dxfId="42133" priority="80974" stopIfTrue="1" operator="equal">
      <formula>-1</formula>
    </cfRule>
  </conditionalFormatting>
  <conditionalFormatting sqref="AB8">
    <cfRule type="cellIs" dxfId="42132" priority="80975" stopIfTrue="1" operator="lessThan">
      <formula>0.5</formula>
    </cfRule>
  </conditionalFormatting>
  <conditionalFormatting sqref="AB8">
    <cfRule type="cellIs" dxfId="42131" priority="80976" stopIfTrue="1" operator="greaterThanOrEqual">
      <formula>0.5</formula>
    </cfRule>
  </conditionalFormatting>
  <conditionalFormatting sqref="AB9">
    <cfRule type="cellIs" dxfId="42130" priority="80977" stopIfTrue="1" operator="equal">
      <formula>-1</formula>
    </cfRule>
  </conditionalFormatting>
  <conditionalFormatting sqref="AB9">
    <cfRule type="cellIs" dxfId="42129" priority="80978" stopIfTrue="1" operator="lessThan">
      <formula>0.5</formula>
    </cfRule>
  </conditionalFormatting>
  <conditionalFormatting sqref="AB9">
    <cfRule type="cellIs" dxfId="42128" priority="80979" stopIfTrue="1" operator="greaterThanOrEqual">
      <formula>0.5</formula>
    </cfRule>
  </conditionalFormatting>
  <conditionalFormatting sqref="AB10">
    <cfRule type="cellIs" dxfId="42127" priority="80980" stopIfTrue="1" operator="equal">
      <formula>-1</formula>
    </cfRule>
  </conditionalFormatting>
  <conditionalFormatting sqref="AB10">
    <cfRule type="cellIs" dxfId="42126" priority="80981" stopIfTrue="1" operator="lessThan">
      <formula>0.5</formula>
    </cfRule>
  </conditionalFormatting>
  <conditionalFormatting sqref="AB10">
    <cfRule type="cellIs" dxfId="42125" priority="80982" stopIfTrue="1" operator="greaterThanOrEqual">
      <formula>0.5</formula>
    </cfRule>
  </conditionalFormatting>
  <conditionalFormatting sqref="AB11">
    <cfRule type="cellIs" dxfId="42124" priority="80983" stopIfTrue="1" operator="equal">
      <formula>-1</formula>
    </cfRule>
  </conditionalFormatting>
  <conditionalFormatting sqref="AB11">
    <cfRule type="cellIs" dxfId="42123" priority="80984" stopIfTrue="1" operator="lessThan">
      <formula>0.5</formula>
    </cfRule>
  </conditionalFormatting>
  <conditionalFormatting sqref="AB11">
    <cfRule type="cellIs" dxfId="42122" priority="80985" stopIfTrue="1" operator="greaterThanOrEqual">
      <formula>0.5</formula>
    </cfRule>
  </conditionalFormatting>
  <conditionalFormatting sqref="AB12">
    <cfRule type="cellIs" dxfId="42121" priority="80986" stopIfTrue="1" operator="equal">
      <formula>-1</formula>
    </cfRule>
  </conditionalFormatting>
  <conditionalFormatting sqref="AB12">
    <cfRule type="cellIs" dxfId="42120" priority="80987" stopIfTrue="1" operator="lessThan">
      <formula>0.5</formula>
    </cfRule>
  </conditionalFormatting>
  <conditionalFormatting sqref="AB12">
    <cfRule type="cellIs" dxfId="42119" priority="80988" stopIfTrue="1" operator="greaterThanOrEqual">
      <formula>0.5</formula>
    </cfRule>
  </conditionalFormatting>
  <conditionalFormatting sqref="AB13">
    <cfRule type="cellIs" dxfId="42118" priority="80989" stopIfTrue="1" operator="equal">
      <formula>-1</formula>
    </cfRule>
  </conditionalFormatting>
  <conditionalFormatting sqref="AB13">
    <cfRule type="cellIs" dxfId="42117" priority="80990" stopIfTrue="1" operator="lessThan">
      <formula>0.5</formula>
    </cfRule>
  </conditionalFormatting>
  <conditionalFormatting sqref="AB13">
    <cfRule type="cellIs" dxfId="42116" priority="80991" stopIfTrue="1" operator="greaterThanOrEqual">
      <formula>0.5</formula>
    </cfRule>
  </conditionalFormatting>
  <conditionalFormatting sqref="AB14">
    <cfRule type="cellIs" dxfId="42115" priority="80992" stopIfTrue="1" operator="equal">
      <formula>-1</formula>
    </cfRule>
  </conditionalFormatting>
  <conditionalFormatting sqref="AB14">
    <cfRule type="cellIs" dxfId="42114" priority="80993" stopIfTrue="1" operator="lessThan">
      <formula>0.5</formula>
    </cfRule>
  </conditionalFormatting>
  <conditionalFormatting sqref="AB14">
    <cfRule type="cellIs" dxfId="42113" priority="80994" stopIfTrue="1" operator="greaterThanOrEqual">
      <formula>0.5</formula>
    </cfRule>
  </conditionalFormatting>
  <conditionalFormatting sqref="AB15">
    <cfRule type="cellIs" dxfId="42112" priority="80995" stopIfTrue="1" operator="equal">
      <formula>-1</formula>
    </cfRule>
  </conditionalFormatting>
  <conditionalFormatting sqref="AB15">
    <cfRule type="cellIs" dxfId="42111" priority="80996" stopIfTrue="1" operator="lessThan">
      <formula>0.5</formula>
    </cfRule>
  </conditionalFormatting>
  <conditionalFormatting sqref="AB15">
    <cfRule type="cellIs" dxfId="42110" priority="80997" stopIfTrue="1" operator="greaterThanOrEqual">
      <formula>0.5</formula>
    </cfRule>
  </conditionalFormatting>
  <conditionalFormatting sqref="AD8">
    <cfRule type="cellIs" dxfId="42109" priority="80998" stopIfTrue="1" operator="equal">
      <formula>-1</formula>
    </cfRule>
  </conditionalFormatting>
  <conditionalFormatting sqref="AD8">
    <cfRule type="cellIs" dxfId="42108" priority="80999" stopIfTrue="1" operator="lessThan">
      <formula>0.5</formula>
    </cfRule>
  </conditionalFormatting>
  <conditionalFormatting sqref="AD8">
    <cfRule type="cellIs" dxfId="42107" priority="81000" stopIfTrue="1" operator="greaterThanOrEqual">
      <formula>0.5</formula>
    </cfRule>
  </conditionalFormatting>
  <conditionalFormatting sqref="AD9">
    <cfRule type="cellIs" dxfId="42106" priority="81001" stopIfTrue="1" operator="equal">
      <formula>-1</formula>
    </cfRule>
  </conditionalFormatting>
  <conditionalFormatting sqref="AD9">
    <cfRule type="cellIs" dxfId="42105" priority="81002" stopIfTrue="1" operator="lessThan">
      <formula>0.5</formula>
    </cfRule>
  </conditionalFormatting>
  <conditionalFormatting sqref="AD9">
    <cfRule type="cellIs" dxfId="42104" priority="81003" stopIfTrue="1" operator="greaterThanOrEqual">
      <formula>0.5</formula>
    </cfRule>
  </conditionalFormatting>
  <conditionalFormatting sqref="AD10">
    <cfRule type="cellIs" dxfId="42103" priority="81004" stopIfTrue="1" operator="equal">
      <formula>-1</formula>
    </cfRule>
  </conditionalFormatting>
  <conditionalFormatting sqref="AD10">
    <cfRule type="cellIs" dxfId="42102" priority="81005" stopIfTrue="1" operator="lessThan">
      <formula>0.5</formula>
    </cfRule>
  </conditionalFormatting>
  <conditionalFormatting sqref="AD10">
    <cfRule type="cellIs" dxfId="42101" priority="81006" stopIfTrue="1" operator="greaterThanOrEqual">
      <formula>0.5</formula>
    </cfRule>
  </conditionalFormatting>
  <conditionalFormatting sqref="AD11">
    <cfRule type="cellIs" dxfId="42100" priority="81007" stopIfTrue="1" operator="equal">
      <formula>-1</formula>
    </cfRule>
  </conditionalFormatting>
  <conditionalFormatting sqref="AD11">
    <cfRule type="cellIs" dxfId="42099" priority="81008" stopIfTrue="1" operator="lessThan">
      <formula>0.5</formula>
    </cfRule>
  </conditionalFormatting>
  <conditionalFormatting sqref="AD11">
    <cfRule type="cellIs" dxfId="42098" priority="81009" stopIfTrue="1" operator="greaterThanOrEqual">
      <formula>0.5</formula>
    </cfRule>
  </conditionalFormatting>
  <conditionalFormatting sqref="AD12">
    <cfRule type="cellIs" dxfId="42097" priority="81010" stopIfTrue="1" operator="equal">
      <formula>-1</formula>
    </cfRule>
  </conditionalFormatting>
  <conditionalFormatting sqref="AD12">
    <cfRule type="cellIs" dxfId="42096" priority="81011" stopIfTrue="1" operator="lessThan">
      <formula>0.5</formula>
    </cfRule>
  </conditionalFormatting>
  <conditionalFormatting sqref="AD12">
    <cfRule type="cellIs" dxfId="42095" priority="81012" stopIfTrue="1" operator="greaterThanOrEqual">
      <formula>0.5</formula>
    </cfRule>
  </conditionalFormatting>
  <conditionalFormatting sqref="AD13">
    <cfRule type="cellIs" dxfId="42094" priority="81013" stopIfTrue="1" operator="equal">
      <formula>-1</formula>
    </cfRule>
  </conditionalFormatting>
  <conditionalFormatting sqref="AD13">
    <cfRule type="cellIs" dxfId="42093" priority="81014" stopIfTrue="1" operator="lessThan">
      <formula>0.5</formula>
    </cfRule>
  </conditionalFormatting>
  <conditionalFormatting sqref="AD13">
    <cfRule type="cellIs" dxfId="42092" priority="81015" stopIfTrue="1" operator="greaterThanOrEqual">
      <formula>0.5</formula>
    </cfRule>
  </conditionalFormatting>
  <conditionalFormatting sqref="AD14">
    <cfRule type="cellIs" dxfId="42091" priority="81016" stopIfTrue="1" operator="equal">
      <formula>-1</formula>
    </cfRule>
  </conditionalFormatting>
  <conditionalFormatting sqref="AD14">
    <cfRule type="cellIs" dxfId="42090" priority="81017" stopIfTrue="1" operator="lessThan">
      <formula>0.5</formula>
    </cfRule>
  </conditionalFormatting>
  <conditionalFormatting sqref="AD14">
    <cfRule type="cellIs" dxfId="42089" priority="81018" stopIfTrue="1" operator="greaterThanOrEqual">
      <formula>0.5</formula>
    </cfRule>
  </conditionalFormatting>
  <conditionalFormatting sqref="AD15">
    <cfRule type="cellIs" dxfId="42088" priority="81019" stopIfTrue="1" operator="equal">
      <formula>-1</formula>
    </cfRule>
  </conditionalFormatting>
  <conditionalFormatting sqref="AD15">
    <cfRule type="cellIs" dxfId="42087" priority="81020" stopIfTrue="1" operator="lessThan">
      <formula>0.5</formula>
    </cfRule>
  </conditionalFormatting>
  <conditionalFormatting sqref="AD15">
    <cfRule type="cellIs" dxfId="42086" priority="81021" stopIfTrue="1" operator="greaterThanOrEqual">
      <formula>0.5</formula>
    </cfRule>
  </conditionalFormatting>
  <conditionalFormatting sqref="AF8">
    <cfRule type="cellIs" dxfId="42085" priority="81022" stopIfTrue="1" operator="equal">
      <formula>-1</formula>
    </cfRule>
  </conditionalFormatting>
  <conditionalFormatting sqref="AF8">
    <cfRule type="cellIs" dxfId="42084" priority="81023" stopIfTrue="1" operator="lessThan">
      <formula>0.5</formula>
    </cfRule>
  </conditionalFormatting>
  <conditionalFormatting sqref="AF8">
    <cfRule type="cellIs" dxfId="42083" priority="81024" stopIfTrue="1" operator="greaterThanOrEqual">
      <formula>0.5</formula>
    </cfRule>
  </conditionalFormatting>
  <conditionalFormatting sqref="AF9">
    <cfRule type="cellIs" dxfId="42082" priority="81025" stopIfTrue="1" operator="equal">
      <formula>-1</formula>
    </cfRule>
  </conditionalFormatting>
  <conditionalFormatting sqref="AF9">
    <cfRule type="cellIs" dxfId="42081" priority="81026" stopIfTrue="1" operator="lessThan">
      <formula>0.5</formula>
    </cfRule>
  </conditionalFormatting>
  <conditionalFormatting sqref="AF9">
    <cfRule type="cellIs" dxfId="42080" priority="81027" stopIfTrue="1" operator="greaterThanOrEqual">
      <formula>0.5</formula>
    </cfRule>
  </conditionalFormatting>
  <conditionalFormatting sqref="AF10">
    <cfRule type="cellIs" dxfId="42079" priority="81028" stopIfTrue="1" operator="equal">
      <formula>-1</formula>
    </cfRule>
  </conditionalFormatting>
  <conditionalFormatting sqref="AF10">
    <cfRule type="cellIs" dxfId="42078" priority="81029" stopIfTrue="1" operator="lessThan">
      <formula>0.5</formula>
    </cfRule>
  </conditionalFormatting>
  <conditionalFormatting sqref="AF10">
    <cfRule type="cellIs" dxfId="42077" priority="81030" stopIfTrue="1" operator="greaterThanOrEqual">
      <formula>0.5</formula>
    </cfRule>
  </conditionalFormatting>
  <conditionalFormatting sqref="AF11">
    <cfRule type="cellIs" dxfId="42076" priority="81031" stopIfTrue="1" operator="equal">
      <formula>-1</formula>
    </cfRule>
  </conditionalFormatting>
  <conditionalFormatting sqref="AF11">
    <cfRule type="cellIs" dxfId="42075" priority="81032" stopIfTrue="1" operator="lessThan">
      <formula>0.5</formula>
    </cfRule>
  </conditionalFormatting>
  <conditionalFormatting sqref="AF11">
    <cfRule type="cellIs" dxfId="42074" priority="81033" stopIfTrue="1" operator="greaterThanOrEqual">
      <formula>0.5</formula>
    </cfRule>
  </conditionalFormatting>
  <conditionalFormatting sqref="AF12">
    <cfRule type="cellIs" dxfId="42073" priority="81034" stopIfTrue="1" operator="equal">
      <formula>-1</formula>
    </cfRule>
  </conditionalFormatting>
  <conditionalFormatting sqref="AF12">
    <cfRule type="cellIs" dxfId="42072" priority="81035" stopIfTrue="1" operator="lessThan">
      <formula>0.5</formula>
    </cfRule>
  </conditionalFormatting>
  <conditionalFormatting sqref="AF12">
    <cfRule type="cellIs" dxfId="42071" priority="81036" stopIfTrue="1" operator="greaterThanOrEqual">
      <formula>0.5</formula>
    </cfRule>
  </conditionalFormatting>
  <conditionalFormatting sqref="AF13">
    <cfRule type="cellIs" dxfId="42070" priority="81037" stopIfTrue="1" operator="equal">
      <formula>-1</formula>
    </cfRule>
  </conditionalFormatting>
  <conditionalFormatting sqref="AF13">
    <cfRule type="cellIs" dxfId="42069" priority="81038" stopIfTrue="1" operator="lessThan">
      <formula>0.5</formula>
    </cfRule>
  </conditionalFormatting>
  <conditionalFormatting sqref="AF13">
    <cfRule type="cellIs" dxfId="42068" priority="81039" stopIfTrue="1" operator="greaterThanOrEqual">
      <formula>0.5</formula>
    </cfRule>
  </conditionalFormatting>
  <conditionalFormatting sqref="AF14">
    <cfRule type="cellIs" dxfId="42067" priority="81040" stopIfTrue="1" operator="equal">
      <formula>-1</formula>
    </cfRule>
  </conditionalFormatting>
  <conditionalFormatting sqref="AF14">
    <cfRule type="cellIs" dxfId="42066" priority="81041" stopIfTrue="1" operator="lessThan">
      <formula>0.5</formula>
    </cfRule>
  </conditionalFormatting>
  <conditionalFormatting sqref="AF14">
    <cfRule type="cellIs" dxfId="42065" priority="81042" stopIfTrue="1" operator="greaterThanOrEqual">
      <formula>0.5</formula>
    </cfRule>
  </conditionalFormatting>
  <conditionalFormatting sqref="AF15">
    <cfRule type="cellIs" dxfId="42064" priority="81043" stopIfTrue="1" operator="equal">
      <formula>-1</formula>
    </cfRule>
  </conditionalFormatting>
  <conditionalFormatting sqref="AF15">
    <cfRule type="cellIs" dxfId="42063" priority="81044" stopIfTrue="1" operator="lessThan">
      <formula>0.5</formula>
    </cfRule>
  </conditionalFormatting>
  <conditionalFormatting sqref="AF15">
    <cfRule type="cellIs" dxfId="42062" priority="81045" stopIfTrue="1" operator="greaterThanOrEqual">
      <formula>0.5</formula>
    </cfRule>
  </conditionalFormatting>
  <conditionalFormatting sqref="AH8">
    <cfRule type="cellIs" dxfId="42061" priority="81046" stopIfTrue="1" operator="equal">
      <formula>-1</formula>
    </cfRule>
  </conditionalFormatting>
  <conditionalFormatting sqref="AH8">
    <cfRule type="cellIs" dxfId="42060" priority="81047" stopIfTrue="1" operator="lessThan">
      <formula>0.5</formula>
    </cfRule>
  </conditionalFormatting>
  <conditionalFormatting sqref="AH8">
    <cfRule type="cellIs" dxfId="42059" priority="81048" stopIfTrue="1" operator="greaterThanOrEqual">
      <formula>0.5</formula>
    </cfRule>
  </conditionalFormatting>
  <conditionalFormatting sqref="AH9">
    <cfRule type="cellIs" dxfId="42058" priority="81049" stopIfTrue="1" operator="equal">
      <formula>-1</formula>
    </cfRule>
  </conditionalFormatting>
  <conditionalFormatting sqref="AH9">
    <cfRule type="cellIs" dxfId="42057" priority="81050" stopIfTrue="1" operator="lessThan">
      <formula>0.5</formula>
    </cfRule>
  </conditionalFormatting>
  <conditionalFormatting sqref="AH9">
    <cfRule type="cellIs" dxfId="42056" priority="81051" stopIfTrue="1" operator="greaterThanOrEqual">
      <formula>0.5</formula>
    </cfRule>
  </conditionalFormatting>
  <conditionalFormatting sqref="AH10">
    <cfRule type="cellIs" dxfId="42055" priority="81052" stopIfTrue="1" operator="equal">
      <formula>-1</formula>
    </cfRule>
  </conditionalFormatting>
  <conditionalFormatting sqref="AH10">
    <cfRule type="cellIs" dxfId="42054" priority="81053" stopIfTrue="1" operator="lessThan">
      <formula>0.5</formula>
    </cfRule>
  </conditionalFormatting>
  <conditionalFormatting sqref="AH10">
    <cfRule type="cellIs" dxfId="42053" priority="81054" stopIfTrue="1" operator="greaterThanOrEqual">
      <formula>0.5</formula>
    </cfRule>
  </conditionalFormatting>
  <conditionalFormatting sqref="AH11">
    <cfRule type="cellIs" dxfId="42052" priority="81055" stopIfTrue="1" operator="equal">
      <formula>-1</formula>
    </cfRule>
  </conditionalFormatting>
  <conditionalFormatting sqref="AH11">
    <cfRule type="cellIs" dxfId="42051" priority="81056" stopIfTrue="1" operator="lessThan">
      <formula>0.5</formula>
    </cfRule>
  </conditionalFormatting>
  <conditionalFormatting sqref="AH11">
    <cfRule type="cellIs" dxfId="42050" priority="81057" stopIfTrue="1" operator="greaterThanOrEqual">
      <formula>0.5</formula>
    </cfRule>
  </conditionalFormatting>
  <conditionalFormatting sqref="AH12">
    <cfRule type="cellIs" dxfId="42049" priority="81058" stopIfTrue="1" operator="equal">
      <formula>-1</formula>
    </cfRule>
  </conditionalFormatting>
  <conditionalFormatting sqref="AH12">
    <cfRule type="cellIs" dxfId="42048" priority="81059" stopIfTrue="1" operator="lessThan">
      <formula>0.5</formula>
    </cfRule>
  </conditionalFormatting>
  <conditionalFormatting sqref="AH12">
    <cfRule type="cellIs" dxfId="42047" priority="81060" stopIfTrue="1" operator="greaterThanOrEqual">
      <formula>0.5</formula>
    </cfRule>
  </conditionalFormatting>
  <conditionalFormatting sqref="AH13">
    <cfRule type="cellIs" dxfId="42046" priority="81061" stopIfTrue="1" operator="equal">
      <formula>-1</formula>
    </cfRule>
  </conditionalFormatting>
  <conditionalFormatting sqref="AH13">
    <cfRule type="cellIs" dxfId="42045" priority="81062" stopIfTrue="1" operator="lessThan">
      <formula>0.5</formula>
    </cfRule>
  </conditionalFormatting>
  <conditionalFormatting sqref="AH13">
    <cfRule type="cellIs" dxfId="42044" priority="81063" stopIfTrue="1" operator="greaterThanOrEqual">
      <formula>0.5</formula>
    </cfRule>
  </conditionalFormatting>
  <conditionalFormatting sqref="AH14">
    <cfRule type="cellIs" dxfId="42043" priority="81064" stopIfTrue="1" operator="equal">
      <formula>-1</formula>
    </cfRule>
  </conditionalFormatting>
  <conditionalFormatting sqref="AH14">
    <cfRule type="cellIs" dxfId="42042" priority="81065" stopIfTrue="1" operator="lessThan">
      <formula>0.5</formula>
    </cfRule>
  </conditionalFormatting>
  <conditionalFormatting sqref="AH14">
    <cfRule type="cellIs" dxfId="42041" priority="81066" stopIfTrue="1" operator="greaterThanOrEqual">
      <formula>0.5</formula>
    </cfRule>
  </conditionalFormatting>
  <conditionalFormatting sqref="AH15">
    <cfRule type="cellIs" dxfId="42040" priority="81067" stopIfTrue="1" operator="equal">
      <formula>-1</formula>
    </cfRule>
  </conditionalFormatting>
  <conditionalFormatting sqref="AH15">
    <cfRule type="cellIs" dxfId="42039" priority="81068" stopIfTrue="1" operator="lessThan">
      <formula>0.5</formula>
    </cfRule>
  </conditionalFormatting>
  <conditionalFormatting sqref="AH15">
    <cfRule type="cellIs" dxfId="42038" priority="81069" stopIfTrue="1" operator="greaterThanOrEqual">
      <formula>0.5</formula>
    </cfRule>
  </conditionalFormatting>
  <conditionalFormatting sqref="AJ8">
    <cfRule type="cellIs" dxfId="42037" priority="81070" stopIfTrue="1" operator="equal">
      <formula>-1</formula>
    </cfRule>
  </conditionalFormatting>
  <conditionalFormatting sqref="AJ8">
    <cfRule type="cellIs" dxfId="42036" priority="81071" stopIfTrue="1" operator="lessThan">
      <formula>0.5</formula>
    </cfRule>
  </conditionalFormatting>
  <conditionalFormatting sqref="AJ8">
    <cfRule type="cellIs" dxfId="42035" priority="81072" stopIfTrue="1" operator="greaterThanOrEqual">
      <formula>0.5</formula>
    </cfRule>
  </conditionalFormatting>
  <conditionalFormatting sqref="AJ9">
    <cfRule type="cellIs" dxfId="42034" priority="81073" stopIfTrue="1" operator="equal">
      <formula>-1</formula>
    </cfRule>
  </conditionalFormatting>
  <conditionalFormatting sqref="AJ9">
    <cfRule type="cellIs" dxfId="42033" priority="81074" stopIfTrue="1" operator="lessThan">
      <formula>0.5</formula>
    </cfRule>
  </conditionalFormatting>
  <conditionalFormatting sqref="AJ9">
    <cfRule type="cellIs" dxfId="42032" priority="81075" stopIfTrue="1" operator="greaterThanOrEqual">
      <formula>0.5</formula>
    </cfRule>
  </conditionalFormatting>
  <conditionalFormatting sqref="AJ10">
    <cfRule type="cellIs" dxfId="42031" priority="81076" stopIfTrue="1" operator="equal">
      <formula>-1</formula>
    </cfRule>
  </conditionalFormatting>
  <conditionalFormatting sqref="AJ10">
    <cfRule type="cellIs" dxfId="42030" priority="81077" stopIfTrue="1" operator="lessThan">
      <formula>0.5</formula>
    </cfRule>
  </conditionalFormatting>
  <conditionalFormatting sqref="AJ10">
    <cfRule type="cellIs" dxfId="42029" priority="81078" stopIfTrue="1" operator="greaterThanOrEqual">
      <formula>0.5</formula>
    </cfRule>
  </conditionalFormatting>
  <conditionalFormatting sqref="AJ11">
    <cfRule type="cellIs" dxfId="42028" priority="81079" stopIfTrue="1" operator="equal">
      <formula>-1</formula>
    </cfRule>
  </conditionalFormatting>
  <conditionalFormatting sqref="AJ11">
    <cfRule type="cellIs" dxfId="42027" priority="81080" stopIfTrue="1" operator="lessThan">
      <formula>0.5</formula>
    </cfRule>
  </conditionalFormatting>
  <conditionalFormatting sqref="AJ11">
    <cfRule type="cellIs" dxfId="42026" priority="81081" stopIfTrue="1" operator="greaterThanOrEqual">
      <formula>0.5</formula>
    </cfRule>
  </conditionalFormatting>
  <conditionalFormatting sqref="AJ12">
    <cfRule type="cellIs" dxfId="42025" priority="81082" stopIfTrue="1" operator="equal">
      <formula>-1</formula>
    </cfRule>
  </conditionalFormatting>
  <conditionalFormatting sqref="AJ12">
    <cfRule type="cellIs" dxfId="42024" priority="81083" stopIfTrue="1" operator="lessThan">
      <formula>0.5</formula>
    </cfRule>
  </conditionalFormatting>
  <conditionalFormatting sqref="AJ12">
    <cfRule type="cellIs" dxfId="42023" priority="81084" stopIfTrue="1" operator="greaterThanOrEqual">
      <formula>0.5</formula>
    </cfRule>
  </conditionalFormatting>
  <conditionalFormatting sqref="AJ13">
    <cfRule type="cellIs" dxfId="42022" priority="81085" stopIfTrue="1" operator="equal">
      <formula>-1</formula>
    </cfRule>
  </conditionalFormatting>
  <conditionalFormatting sqref="AJ13">
    <cfRule type="cellIs" dxfId="42021" priority="81086" stopIfTrue="1" operator="lessThan">
      <formula>0.5</formula>
    </cfRule>
  </conditionalFormatting>
  <conditionalFormatting sqref="AJ13">
    <cfRule type="cellIs" dxfId="42020" priority="81087" stopIfTrue="1" operator="greaterThanOrEqual">
      <formula>0.5</formula>
    </cfRule>
  </conditionalFormatting>
  <conditionalFormatting sqref="AJ14">
    <cfRule type="cellIs" dxfId="42019" priority="81088" stopIfTrue="1" operator="equal">
      <formula>-1</formula>
    </cfRule>
  </conditionalFormatting>
  <conditionalFormatting sqref="AJ14">
    <cfRule type="cellIs" dxfId="42018" priority="81089" stopIfTrue="1" operator="lessThan">
      <formula>0.5</formula>
    </cfRule>
  </conditionalFormatting>
  <conditionalFormatting sqref="AJ14">
    <cfRule type="cellIs" dxfId="42017" priority="81090" stopIfTrue="1" operator="greaterThanOrEqual">
      <formula>0.5</formula>
    </cfRule>
  </conditionalFormatting>
  <conditionalFormatting sqref="AJ15">
    <cfRule type="cellIs" dxfId="42016" priority="81091" stopIfTrue="1" operator="equal">
      <formula>-1</formula>
    </cfRule>
  </conditionalFormatting>
  <conditionalFormatting sqref="AJ15">
    <cfRule type="cellIs" dxfId="42015" priority="81092" stopIfTrue="1" operator="lessThan">
      <formula>0.5</formula>
    </cfRule>
  </conditionalFormatting>
  <conditionalFormatting sqref="AJ15">
    <cfRule type="cellIs" dxfId="42014" priority="81093" stopIfTrue="1" operator="greaterThanOrEqual">
      <formula>0.5</formula>
    </cfRule>
  </conditionalFormatting>
  <conditionalFormatting sqref="AL8">
    <cfRule type="cellIs" dxfId="42013" priority="81094" stopIfTrue="1" operator="equal">
      <formula>-1</formula>
    </cfRule>
  </conditionalFormatting>
  <conditionalFormatting sqref="AL8">
    <cfRule type="cellIs" dxfId="42012" priority="81095" stopIfTrue="1" operator="lessThan">
      <formula>0.5</formula>
    </cfRule>
  </conditionalFormatting>
  <conditionalFormatting sqref="AL8">
    <cfRule type="cellIs" dxfId="42011" priority="81096" stopIfTrue="1" operator="greaterThanOrEqual">
      <formula>0.5</formula>
    </cfRule>
  </conditionalFormatting>
  <conditionalFormatting sqref="AL9">
    <cfRule type="cellIs" dxfId="42010" priority="81097" stopIfTrue="1" operator="equal">
      <formula>-1</formula>
    </cfRule>
  </conditionalFormatting>
  <conditionalFormatting sqref="AL9">
    <cfRule type="cellIs" dxfId="42009" priority="81098" stopIfTrue="1" operator="lessThan">
      <formula>0.5</formula>
    </cfRule>
  </conditionalFormatting>
  <conditionalFormatting sqref="AL9">
    <cfRule type="cellIs" dxfId="42008" priority="81099" stopIfTrue="1" operator="greaterThanOrEqual">
      <formula>0.5</formula>
    </cfRule>
  </conditionalFormatting>
  <conditionalFormatting sqref="AL10">
    <cfRule type="cellIs" dxfId="42007" priority="81100" stopIfTrue="1" operator="equal">
      <formula>-1</formula>
    </cfRule>
  </conditionalFormatting>
  <conditionalFormatting sqref="AL10">
    <cfRule type="cellIs" dxfId="42006" priority="81101" stopIfTrue="1" operator="lessThan">
      <formula>0.5</formula>
    </cfRule>
  </conditionalFormatting>
  <conditionalFormatting sqref="AL10">
    <cfRule type="cellIs" dxfId="42005" priority="81102" stopIfTrue="1" operator="greaterThanOrEqual">
      <formula>0.5</formula>
    </cfRule>
  </conditionalFormatting>
  <conditionalFormatting sqref="AL11">
    <cfRule type="cellIs" dxfId="42004" priority="81103" stopIfTrue="1" operator="equal">
      <formula>-1</formula>
    </cfRule>
  </conditionalFormatting>
  <conditionalFormatting sqref="AL11">
    <cfRule type="cellIs" dxfId="42003" priority="81104" stopIfTrue="1" operator="lessThan">
      <formula>0.5</formula>
    </cfRule>
  </conditionalFormatting>
  <conditionalFormatting sqref="AL11">
    <cfRule type="cellIs" dxfId="42002" priority="81105" stopIfTrue="1" operator="greaterThanOrEqual">
      <formula>0.5</formula>
    </cfRule>
  </conditionalFormatting>
  <conditionalFormatting sqref="AL12">
    <cfRule type="cellIs" dxfId="42001" priority="81106" stopIfTrue="1" operator="equal">
      <formula>-1</formula>
    </cfRule>
  </conditionalFormatting>
  <conditionalFormatting sqref="AL12">
    <cfRule type="cellIs" dxfId="42000" priority="81107" stopIfTrue="1" operator="lessThan">
      <formula>0.5</formula>
    </cfRule>
  </conditionalFormatting>
  <conditionalFormatting sqref="AL12">
    <cfRule type="cellIs" dxfId="41999" priority="81108" stopIfTrue="1" operator="greaterThanOrEqual">
      <formula>0.5</formula>
    </cfRule>
  </conditionalFormatting>
  <conditionalFormatting sqref="AL13">
    <cfRule type="cellIs" dxfId="41998" priority="81109" stopIfTrue="1" operator="equal">
      <formula>-1</formula>
    </cfRule>
  </conditionalFormatting>
  <conditionalFormatting sqref="AL13">
    <cfRule type="cellIs" dxfId="41997" priority="81110" stopIfTrue="1" operator="lessThan">
      <formula>0.5</formula>
    </cfRule>
  </conditionalFormatting>
  <conditionalFormatting sqref="AL13">
    <cfRule type="cellIs" dxfId="41996" priority="81111" stopIfTrue="1" operator="greaterThanOrEqual">
      <formula>0.5</formula>
    </cfRule>
  </conditionalFormatting>
  <conditionalFormatting sqref="AL14">
    <cfRule type="cellIs" dxfId="41995" priority="81112" stopIfTrue="1" operator="equal">
      <formula>-1</formula>
    </cfRule>
  </conditionalFormatting>
  <conditionalFormatting sqref="AL14">
    <cfRule type="cellIs" dxfId="41994" priority="81113" stopIfTrue="1" operator="lessThan">
      <formula>0.5</formula>
    </cfRule>
  </conditionalFormatting>
  <conditionalFormatting sqref="AL14">
    <cfRule type="cellIs" dxfId="41993" priority="81114" stopIfTrue="1" operator="greaterThanOrEqual">
      <formula>0.5</formula>
    </cfRule>
  </conditionalFormatting>
  <conditionalFormatting sqref="AL15">
    <cfRule type="cellIs" dxfId="41992" priority="81115" stopIfTrue="1" operator="equal">
      <formula>-1</formula>
    </cfRule>
  </conditionalFormatting>
  <conditionalFormatting sqref="AL15">
    <cfRule type="cellIs" dxfId="41991" priority="81116" stopIfTrue="1" operator="lessThan">
      <formula>0.5</formula>
    </cfRule>
  </conditionalFormatting>
  <conditionalFormatting sqref="AL15">
    <cfRule type="cellIs" dxfId="41990" priority="81117" stopIfTrue="1" operator="greaterThanOrEqual">
      <formula>0.5</formula>
    </cfRule>
  </conditionalFormatting>
  <conditionalFormatting sqref="AN8">
    <cfRule type="cellIs" dxfId="41989" priority="81118" stopIfTrue="1" operator="equal">
      <formula>-1</formula>
    </cfRule>
  </conditionalFormatting>
  <conditionalFormatting sqref="AN8">
    <cfRule type="cellIs" dxfId="41988" priority="81119" stopIfTrue="1" operator="lessThan">
      <formula>0.5</formula>
    </cfRule>
  </conditionalFormatting>
  <conditionalFormatting sqref="AN8">
    <cfRule type="cellIs" dxfId="41987" priority="81120" stopIfTrue="1" operator="greaterThanOrEqual">
      <formula>0.5</formula>
    </cfRule>
  </conditionalFormatting>
  <conditionalFormatting sqref="AN9">
    <cfRule type="cellIs" dxfId="41986" priority="81121" stopIfTrue="1" operator="equal">
      <formula>-1</formula>
    </cfRule>
  </conditionalFormatting>
  <conditionalFormatting sqref="AN9">
    <cfRule type="cellIs" dxfId="41985" priority="81122" stopIfTrue="1" operator="lessThan">
      <formula>0.5</formula>
    </cfRule>
  </conditionalFormatting>
  <conditionalFormatting sqref="AN9">
    <cfRule type="cellIs" dxfId="41984" priority="81123" stopIfTrue="1" operator="greaterThanOrEqual">
      <formula>0.5</formula>
    </cfRule>
  </conditionalFormatting>
  <conditionalFormatting sqref="AN10">
    <cfRule type="cellIs" dxfId="41983" priority="81124" stopIfTrue="1" operator="equal">
      <formula>-1</formula>
    </cfRule>
  </conditionalFormatting>
  <conditionalFormatting sqref="AN10">
    <cfRule type="cellIs" dxfId="41982" priority="81125" stopIfTrue="1" operator="lessThan">
      <formula>0.5</formula>
    </cfRule>
  </conditionalFormatting>
  <conditionalFormatting sqref="AN10">
    <cfRule type="cellIs" dxfId="41981" priority="81126" stopIfTrue="1" operator="greaterThanOrEqual">
      <formula>0.5</formula>
    </cfRule>
  </conditionalFormatting>
  <conditionalFormatting sqref="AN11">
    <cfRule type="cellIs" dxfId="41980" priority="81127" stopIfTrue="1" operator="equal">
      <formula>-1</formula>
    </cfRule>
  </conditionalFormatting>
  <conditionalFormatting sqref="AN11">
    <cfRule type="cellIs" dxfId="41979" priority="81128" stopIfTrue="1" operator="lessThan">
      <formula>0.5</formula>
    </cfRule>
  </conditionalFormatting>
  <conditionalFormatting sqref="AN11">
    <cfRule type="cellIs" dxfId="41978" priority="81129" stopIfTrue="1" operator="greaterThanOrEqual">
      <formula>0.5</formula>
    </cfRule>
  </conditionalFormatting>
  <conditionalFormatting sqref="AN12">
    <cfRule type="cellIs" dxfId="41977" priority="81130" stopIfTrue="1" operator="equal">
      <formula>-1</formula>
    </cfRule>
  </conditionalFormatting>
  <conditionalFormatting sqref="AN12">
    <cfRule type="cellIs" dxfId="41976" priority="81131" stopIfTrue="1" operator="lessThan">
      <formula>0.5</formula>
    </cfRule>
  </conditionalFormatting>
  <conditionalFormatting sqref="AN12">
    <cfRule type="cellIs" dxfId="41975" priority="81132" stopIfTrue="1" operator="greaterThanOrEqual">
      <formula>0.5</formula>
    </cfRule>
  </conditionalFormatting>
  <conditionalFormatting sqref="AN13">
    <cfRule type="cellIs" dxfId="41974" priority="81133" stopIfTrue="1" operator="equal">
      <formula>-1</formula>
    </cfRule>
  </conditionalFormatting>
  <conditionalFormatting sqref="AN13">
    <cfRule type="cellIs" dxfId="41973" priority="81134" stopIfTrue="1" operator="lessThan">
      <formula>0.5</formula>
    </cfRule>
  </conditionalFormatting>
  <conditionalFormatting sqref="AN13">
    <cfRule type="cellIs" dxfId="41972" priority="81135" stopIfTrue="1" operator="greaterThanOrEqual">
      <formula>0.5</formula>
    </cfRule>
  </conditionalFormatting>
  <conditionalFormatting sqref="AN14">
    <cfRule type="cellIs" dxfId="41971" priority="81136" stopIfTrue="1" operator="equal">
      <formula>-1</formula>
    </cfRule>
  </conditionalFormatting>
  <conditionalFormatting sqref="AN14">
    <cfRule type="cellIs" dxfId="41970" priority="81137" stopIfTrue="1" operator="lessThan">
      <formula>0.5</formula>
    </cfRule>
  </conditionalFormatting>
  <conditionalFormatting sqref="AN14">
    <cfRule type="cellIs" dxfId="41969" priority="81138" stopIfTrue="1" operator="greaterThanOrEqual">
      <formula>0.5</formula>
    </cfRule>
  </conditionalFormatting>
  <conditionalFormatting sqref="AN15">
    <cfRule type="cellIs" dxfId="41968" priority="81139" stopIfTrue="1" operator="equal">
      <formula>-1</formula>
    </cfRule>
  </conditionalFormatting>
  <conditionalFormatting sqref="AN15">
    <cfRule type="cellIs" dxfId="41967" priority="81140" stopIfTrue="1" operator="lessThan">
      <formula>0.5</formula>
    </cfRule>
  </conditionalFormatting>
  <conditionalFormatting sqref="AN15">
    <cfRule type="cellIs" dxfId="41966" priority="81141" stopIfTrue="1" operator="greaterThanOrEqual">
      <formula>0.5</formula>
    </cfRule>
  </conditionalFormatting>
  <conditionalFormatting sqref="AP8">
    <cfRule type="cellIs" dxfId="41965" priority="81142" stopIfTrue="1" operator="equal">
      <formula>-1</formula>
    </cfRule>
  </conditionalFormatting>
  <conditionalFormatting sqref="AP8">
    <cfRule type="cellIs" dxfId="41964" priority="81143" stopIfTrue="1" operator="lessThan">
      <formula>0.5</formula>
    </cfRule>
  </conditionalFormatting>
  <conditionalFormatting sqref="AP8">
    <cfRule type="cellIs" dxfId="41963" priority="81144" stopIfTrue="1" operator="greaterThanOrEqual">
      <formula>0.5</formula>
    </cfRule>
  </conditionalFormatting>
  <conditionalFormatting sqref="AP9">
    <cfRule type="cellIs" dxfId="41962" priority="81145" stopIfTrue="1" operator="equal">
      <formula>-1</formula>
    </cfRule>
  </conditionalFormatting>
  <conditionalFormatting sqref="AP9">
    <cfRule type="cellIs" dxfId="41961" priority="81146" stopIfTrue="1" operator="lessThan">
      <formula>0.5</formula>
    </cfRule>
  </conditionalFormatting>
  <conditionalFormatting sqref="AP9">
    <cfRule type="cellIs" dxfId="41960" priority="81147" stopIfTrue="1" operator="greaterThanOrEqual">
      <formula>0.5</formula>
    </cfRule>
  </conditionalFormatting>
  <conditionalFormatting sqref="AP10">
    <cfRule type="cellIs" dxfId="41959" priority="81148" stopIfTrue="1" operator="equal">
      <formula>-1</formula>
    </cfRule>
  </conditionalFormatting>
  <conditionalFormatting sqref="AP10">
    <cfRule type="cellIs" dxfId="41958" priority="81149" stopIfTrue="1" operator="lessThan">
      <formula>0.5</formula>
    </cfRule>
  </conditionalFormatting>
  <conditionalFormatting sqref="AP10">
    <cfRule type="cellIs" dxfId="41957" priority="81150" stopIfTrue="1" operator="greaterThanOrEqual">
      <formula>0.5</formula>
    </cfRule>
  </conditionalFormatting>
  <conditionalFormatting sqref="AP11">
    <cfRule type="cellIs" dxfId="41956" priority="81151" stopIfTrue="1" operator="equal">
      <formula>-1</formula>
    </cfRule>
  </conditionalFormatting>
  <conditionalFormatting sqref="AP11">
    <cfRule type="cellIs" dxfId="41955" priority="81152" stopIfTrue="1" operator="lessThan">
      <formula>0.5</formula>
    </cfRule>
  </conditionalFormatting>
  <conditionalFormatting sqref="AP11">
    <cfRule type="cellIs" dxfId="41954" priority="81153" stopIfTrue="1" operator="greaterThanOrEqual">
      <formula>0.5</formula>
    </cfRule>
  </conditionalFormatting>
  <conditionalFormatting sqref="AP12">
    <cfRule type="cellIs" dxfId="41953" priority="81154" stopIfTrue="1" operator="equal">
      <formula>-1</formula>
    </cfRule>
  </conditionalFormatting>
  <conditionalFormatting sqref="AP12">
    <cfRule type="cellIs" dxfId="41952" priority="81155" stopIfTrue="1" operator="lessThan">
      <formula>0.5</formula>
    </cfRule>
  </conditionalFormatting>
  <conditionalFormatting sqref="AP12">
    <cfRule type="cellIs" dxfId="41951" priority="81156" stopIfTrue="1" operator="greaterThanOrEqual">
      <formula>0.5</formula>
    </cfRule>
  </conditionalFormatting>
  <conditionalFormatting sqref="AP13">
    <cfRule type="cellIs" dxfId="41950" priority="81157" stopIfTrue="1" operator="equal">
      <formula>-1</formula>
    </cfRule>
  </conditionalFormatting>
  <conditionalFormatting sqref="AP13">
    <cfRule type="cellIs" dxfId="41949" priority="81158" stopIfTrue="1" operator="lessThan">
      <formula>0.5</formula>
    </cfRule>
  </conditionalFormatting>
  <conditionalFormatting sqref="AP13">
    <cfRule type="cellIs" dxfId="41948" priority="81159" stopIfTrue="1" operator="greaterThanOrEqual">
      <formula>0.5</formula>
    </cfRule>
  </conditionalFormatting>
  <conditionalFormatting sqref="AP14">
    <cfRule type="cellIs" dxfId="41947" priority="81160" stopIfTrue="1" operator="equal">
      <formula>-1</formula>
    </cfRule>
  </conditionalFormatting>
  <conditionalFormatting sqref="AP14">
    <cfRule type="cellIs" dxfId="41946" priority="81161" stopIfTrue="1" operator="lessThan">
      <formula>0.5</formula>
    </cfRule>
  </conditionalFormatting>
  <conditionalFormatting sqref="AP14">
    <cfRule type="cellIs" dxfId="41945" priority="81162" stopIfTrue="1" operator="greaterThanOrEqual">
      <formula>0.5</formula>
    </cfRule>
  </conditionalFormatting>
  <conditionalFormatting sqref="AP15">
    <cfRule type="cellIs" dxfId="41944" priority="81163" stopIfTrue="1" operator="equal">
      <formula>-1</formula>
    </cfRule>
  </conditionalFormatting>
  <conditionalFormatting sqref="AP15">
    <cfRule type="cellIs" dxfId="41943" priority="81164" stopIfTrue="1" operator="lessThan">
      <formula>0.5</formula>
    </cfRule>
  </conditionalFormatting>
  <conditionalFormatting sqref="AP15">
    <cfRule type="cellIs" dxfId="41942" priority="81165" stopIfTrue="1" operator="greaterThanOrEqual">
      <formula>0.5</formula>
    </cfRule>
  </conditionalFormatting>
  <conditionalFormatting sqref="AR8">
    <cfRule type="cellIs" dxfId="41941" priority="81166" stopIfTrue="1" operator="equal">
      <formula>-1</formula>
    </cfRule>
  </conditionalFormatting>
  <conditionalFormatting sqref="AR8">
    <cfRule type="cellIs" dxfId="41940" priority="81167" stopIfTrue="1" operator="lessThan">
      <formula>0.5</formula>
    </cfRule>
  </conditionalFormatting>
  <conditionalFormatting sqref="AR8">
    <cfRule type="cellIs" dxfId="41939" priority="81168" stopIfTrue="1" operator="greaterThanOrEqual">
      <formula>0.5</formula>
    </cfRule>
  </conditionalFormatting>
  <conditionalFormatting sqref="AR9">
    <cfRule type="cellIs" dxfId="41938" priority="81169" stopIfTrue="1" operator="equal">
      <formula>-1</formula>
    </cfRule>
  </conditionalFormatting>
  <conditionalFormatting sqref="AR9">
    <cfRule type="cellIs" dxfId="41937" priority="81170" stopIfTrue="1" operator="lessThan">
      <formula>0.5</formula>
    </cfRule>
  </conditionalFormatting>
  <conditionalFormatting sqref="AR9">
    <cfRule type="cellIs" dxfId="41936" priority="81171" stopIfTrue="1" operator="greaterThanOrEqual">
      <formula>0.5</formula>
    </cfRule>
  </conditionalFormatting>
  <conditionalFormatting sqref="AR10">
    <cfRule type="cellIs" dxfId="41935" priority="81172" stopIfTrue="1" operator="equal">
      <formula>-1</formula>
    </cfRule>
  </conditionalFormatting>
  <conditionalFormatting sqref="AR10">
    <cfRule type="cellIs" dxfId="41934" priority="81173" stopIfTrue="1" operator="lessThan">
      <formula>0.5</formula>
    </cfRule>
  </conditionalFormatting>
  <conditionalFormatting sqref="AR10">
    <cfRule type="cellIs" dxfId="41933" priority="81174" stopIfTrue="1" operator="greaterThanOrEqual">
      <formula>0.5</formula>
    </cfRule>
  </conditionalFormatting>
  <conditionalFormatting sqref="AR11">
    <cfRule type="cellIs" dxfId="41932" priority="81175" stopIfTrue="1" operator="equal">
      <formula>-1</formula>
    </cfRule>
  </conditionalFormatting>
  <conditionalFormatting sqref="AR11">
    <cfRule type="cellIs" dxfId="41931" priority="81176" stopIfTrue="1" operator="lessThan">
      <formula>0.5</formula>
    </cfRule>
  </conditionalFormatting>
  <conditionalFormatting sqref="AR11">
    <cfRule type="cellIs" dxfId="41930" priority="81177" stopIfTrue="1" operator="greaterThanOrEqual">
      <formula>0.5</formula>
    </cfRule>
  </conditionalFormatting>
  <conditionalFormatting sqref="AR12">
    <cfRule type="cellIs" dxfId="41929" priority="81178" stopIfTrue="1" operator="equal">
      <formula>-1</formula>
    </cfRule>
  </conditionalFormatting>
  <conditionalFormatting sqref="AR12">
    <cfRule type="cellIs" dxfId="41928" priority="81179" stopIfTrue="1" operator="lessThan">
      <formula>0.5</formula>
    </cfRule>
  </conditionalFormatting>
  <conditionalFormatting sqref="AR12">
    <cfRule type="cellIs" dxfId="41927" priority="81180" stopIfTrue="1" operator="greaterThanOrEqual">
      <formula>0.5</formula>
    </cfRule>
  </conditionalFormatting>
  <conditionalFormatting sqref="AR13">
    <cfRule type="cellIs" dxfId="41926" priority="81181" stopIfTrue="1" operator="equal">
      <formula>-1</formula>
    </cfRule>
  </conditionalFormatting>
  <conditionalFormatting sqref="AR13">
    <cfRule type="cellIs" dxfId="41925" priority="81182" stopIfTrue="1" operator="lessThan">
      <formula>0.5</formula>
    </cfRule>
  </conditionalFormatting>
  <conditionalFormatting sqref="AR13">
    <cfRule type="cellIs" dxfId="41924" priority="81183" stopIfTrue="1" operator="greaterThanOrEqual">
      <formula>0.5</formula>
    </cfRule>
  </conditionalFormatting>
  <conditionalFormatting sqref="AR14">
    <cfRule type="cellIs" dxfId="41923" priority="81184" stopIfTrue="1" operator="equal">
      <formula>-1</formula>
    </cfRule>
  </conditionalFormatting>
  <conditionalFormatting sqref="AR14">
    <cfRule type="cellIs" dxfId="41922" priority="81185" stopIfTrue="1" operator="lessThan">
      <formula>0.5</formula>
    </cfRule>
  </conditionalFormatting>
  <conditionalFormatting sqref="AR14">
    <cfRule type="cellIs" dxfId="41921" priority="81186" stopIfTrue="1" operator="greaterThanOrEqual">
      <formula>0.5</formula>
    </cfRule>
  </conditionalFormatting>
  <conditionalFormatting sqref="AR15">
    <cfRule type="cellIs" dxfId="41920" priority="81187" stopIfTrue="1" operator="equal">
      <formula>-1</formula>
    </cfRule>
  </conditionalFormatting>
  <conditionalFormatting sqref="AR15">
    <cfRule type="cellIs" dxfId="41919" priority="81188" stopIfTrue="1" operator="lessThan">
      <formula>0.5</formula>
    </cfRule>
  </conditionalFormatting>
  <conditionalFormatting sqref="AR15">
    <cfRule type="cellIs" dxfId="41918" priority="81189" stopIfTrue="1" operator="greaterThanOrEqual">
      <formula>0.5</formula>
    </cfRule>
  </conditionalFormatting>
  <conditionalFormatting sqref="AT8">
    <cfRule type="cellIs" dxfId="41917" priority="81190" stopIfTrue="1" operator="equal">
      <formula>-1</formula>
    </cfRule>
  </conditionalFormatting>
  <conditionalFormatting sqref="AT8">
    <cfRule type="cellIs" dxfId="41916" priority="81191" stopIfTrue="1" operator="lessThan">
      <formula>0.5</formula>
    </cfRule>
  </conditionalFormatting>
  <conditionalFormatting sqref="AT8">
    <cfRule type="cellIs" dxfId="41915" priority="81192" stopIfTrue="1" operator="greaterThanOrEqual">
      <formula>0.5</formula>
    </cfRule>
  </conditionalFormatting>
  <conditionalFormatting sqref="AT9">
    <cfRule type="cellIs" dxfId="41914" priority="81193" stopIfTrue="1" operator="equal">
      <formula>-1</formula>
    </cfRule>
  </conditionalFormatting>
  <conditionalFormatting sqref="AT9">
    <cfRule type="cellIs" dxfId="41913" priority="81194" stopIfTrue="1" operator="lessThan">
      <formula>0.5</formula>
    </cfRule>
  </conditionalFormatting>
  <conditionalFormatting sqref="AT9">
    <cfRule type="cellIs" dxfId="41912" priority="81195" stopIfTrue="1" operator="greaterThanOrEqual">
      <formula>0.5</formula>
    </cfRule>
  </conditionalFormatting>
  <conditionalFormatting sqref="AT10">
    <cfRule type="cellIs" dxfId="41911" priority="81196" stopIfTrue="1" operator="equal">
      <formula>-1</formula>
    </cfRule>
  </conditionalFormatting>
  <conditionalFormatting sqref="AT10">
    <cfRule type="cellIs" dxfId="41910" priority="81197" stopIfTrue="1" operator="lessThan">
      <formula>0.5</formula>
    </cfRule>
  </conditionalFormatting>
  <conditionalFormatting sqref="AT10">
    <cfRule type="cellIs" dxfId="41909" priority="81198" stopIfTrue="1" operator="greaterThanOrEqual">
      <formula>0.5</formula>
    </cfRule>
  </conditionalFormatting>
  <conditionalFormatting sqref="AT11">
    <cfRule type="cellIs" dxfId="41908" priority="81199" stopIfTrue="1" operator="equal">
      <formula>-1</formula>
    </cfRule>
  </conditionalFormatting>
  <conditionalFormatting sqref="AT11">
    <cfRule type="cellIs" dxfId="41907" priority="81200" stopIfTrue="1" operator="lessThan">
      <formula>0.5</formula>
    </cfRule>
  </conditionalFormatting>
  <conditionalFormatting sqref="AT11">
    <cfRule type="cellIs" dxfId="41906" priority="81201" stopIfTrue="1" operator="greaterThanOrEqual">
      <formula>0.5</formula>
    </cfRule>
  </conditionalFormatting>
  <conditionalFormatting sqref="AT12">
    <cfRule type="cellIs" dxfId="41905" priority="81202" stopIfTrue="1" operator="equal">
      <formula>-1</formula>
    </cfRule>
  </conditionalFormatting>
  <conditionalFormatting sqref="AT12">
    <cfRule type="cellIs" dxfId="41904" priority="81203" stopIfTrue="1" operator="lessThan">
      <formula>0.5</formula>
    </cfRule>
  </conditionalFormatting>
  <conditionalFormatting sqref="AT12">
    <cfRule type="cellIs" dxfId="41903" priority="81204" stopIfTrue="1" operator="greaterThanOrEqual">
      <formula>0.5</formula>
    </cfRule>
  </conditionalFormatting>
  <conditionalFormatting sqref="AT13">
    <cfRule type="cellIs" dxfId="41902" priority="81205" stopIfTrue="1" operator="equal">
      <formula>-1</formula>
    </cfRule>
  </conditionalFormatting>
  <conditionalFormatting sqref="AT13">
    <cfRule type="cellIs" dxfId="41901" priority="81206" stopIfTrue="1" operator="lessThan">
      <formula>0.5</formula>
    </cfRule>
  </conditionalFormatting>
  <conditionalFormatting sqref="AT13">
    <cfRule type="cellIs" dxfId="41900" priority="81207" stopIfTrue="1" operator="greaterThanOrEqual">
      <formula>0.5</formula>
    </cfRule>
  </conditionalFormatting>
  <conditionalFormatting sqref="AT14">
    <cfRule type="cellIs" dxfId="41899" priority="81208" stopIfTrue="1" operator="equal">
      <formula>-1</formula>
    </cfRule>
  </conditionalFormatting>
  <conditionalFormatting sqref="AT14">
    <cfRule type="cellIs" dxfId="41898" priority="81209" stopIfTrue="1" operator="lessThan">
      <formula>0.5</formula>
    </cfRule>
  </conditionalFormatting>
  <conditionalFormatting sqref="AT14">
    <cfRule type="cellIs" dxfId="41897" priority="81210" stopIfTrue="1" operator="greaterThanOrEqual">
      <formula>0.5</formula>
    </cfRule>
  </conditionalFormatting>
  <conditionalFormatting sqref="AT15">
    <cfRule type="cellIs" dxfId="41896" priority="81211" stopIfTrue="1" operator="equal">
      <formula>-1</formula>
    </cfRule>
  </conditionalFormatting>
  <conditionalFormatting sqref="AT15">
    <cfRule type="cellIs" dxfId="41895" priority="81212" stopIfTrue="1" operator="lessThan">
      <formula>0.5</formula>
    </cfRule>
  </conditionalFormatting>
  <conditionalFormatting sqref="AT15">
    <cfRule type="cellIs" dxfId="41894" priority="81213" stopIfTrue="1" operator="greaterThanOrEqual">
      <formula>0.5</formula>
    </cfRule>
  </conditionalFormatting>
  <conditionalFormatting sqref="AV8">
    <cfRule type="cellIs" dxfId="41893" priority="81214" stopIfTrue="1" operator="equal">
      <formula>-1</formula>
    </cfRule>
  </conditionalFormatting>
  <conditionalFormatting sqref="AV8">
    <cfRule type="cellIs" dxfId="41892" priority="81215" stopIfTrue="1" operator="lessThan">
      <formula>0.5</formula>
    </cfRule>
  </conditionalFormatting>
  <conditionalFormatting sqref="AV8">
    <cfRule type="cellIs" dxfId="41891" priority="81216" stopIfTrue="1" operator="greaterThanOrEqual">
      <formula>0.5</formula>
    </cfRule>
  </conditionalFormatting>
  <conditionalFormatting sqref="AV9">
    <cfRule type="cellIs" dxfId="41890" priority="81217" stopIfTrue="1" operator="equal">
      <formula>-1</formula>
    </cfRule>
  </conditionalFormatting>
  <conditionalFormatting sqref="AV9">
    <cfRule type="cellIs" dxfId="41889" priority="81218" stopIfTrue="1" operator="lessThan">
      <formula>0.5</formula>
    </cfRule>
  </conditionalFormatting>
  <conditionalFormatting sqref="AV9">
    <cfRule type="cellIs" dxfId="41888" priority="81219" stopIfTrue="1" operator="greaterThanOrEqual">
      <formula>0.5</formula>
    </cfRule>
  </conditionalFormatting>
  <conditionalFormatting sqref="AV10">
    <cfRule type="cellIs" dxfId="41887" priority="81220" stopIfTrue="1" operator="equal">
      <formula>-1</formula>
    </cfRule>
  </conditionalFormatting>
  <conditionalFormatting sqref="AV10">
    <cfRule type="cellIs" dxfId="41886" priority="81221" stopIfTrue="1" operator="lessThan">
      <formula>0.5</formula>
    </cfRule>
  </conditionalFormatting>
  <conditionalFormatting sqref="AV10">
    <cfRule type="cellIs" dxfId="41885" priority="81222" stopIfTrue="1" operator="greaterThanOrEqual">
      <formula>0.5</formula>
    </cfRule>
  </conditionalFormatting>
  <conditionalFormatting sqref="AV11">
    <cfRule type="cellIs" dxfId="41884" priority="81223" stopIfTrue="1" operator="equal">
      <formula>-1</formula>
    </cfRule>
  </conditionalFormatting>
  <conditionalFormatting sqref="AV11">
    <cfRule type="cellIs" dxfId="41883" priority="81224" stopIfTrue="1" operator="lessThan">
      <formula>0.5</formula>
    </cfRule>
  </conditionalFormatting>
  <conditionalFormatting sqref="AV11">
    <cfRule type="cellIs" dxfId="41882" priority="81225" stopIfTrue="1" operator="greaterThanOrEqual">
      <formula>0.5</formula>
    </cfRule>
  </conditionalFormatting>
  <conditionalFormatting sqref="AV12">
    <cfRule type="cellIs" dxfId="41881" priority="81226" stopIfTrue="1" operator="equal">
      <formula>-1</formula>
    </cfRule>
  </conditionalFormatting>
  <conditionalFormatting sqref="AV12">
    <cfRule type="cellIs" dxfId="41880" priority="81227" stopIfTrue="1" operator="lessThan">
      <formula>0.5</formula>
    </cfRule>
  </conditionalFormatting>
  <conditionalFormatting sqref="AV12">
    <cfRule type="cellIs" dxfId="41879" priority="81228" stopIfTrue="1" operator="greaterThanOrEqual">
      <formula>0.5</formula>
    </cfRule>
  </conditionalFormatting>
  <conditionalFormatting sqref="AV13">
    <cfRule type="cellIs" dxfId="41878" priority="81229" stopIfTrue="1" operator="equal">
      <formula>-1</formula>
    </cfRule>
  </conditionalFormatting>
  <conditionalFormatting sqref="AV13">
    <cfRule type="cellIs" dxfId="41877" priority="81230" stopIfTrue="1" operator="lessThan">
      <formula>0.5</formula>
    </cfRule>
  </conditionalFormatting>
  <conditionalFormatting sqref="AV13">
    <cfRule type="cellIs" dxfId="41876" priority="81231" stopIfTrue="1" operator="greaterThanOrEqual">
      <formula>0.5</formula>
    </cfRule>
  </conditionalFormatting>
  <conditionalFormatting sqref="AV14">
    <cfRule type="cellIs" dxfId="41875" priority="81232" stopIfTrue="1" operator="equal">
      <formula>-1</formula>
    </cfRule>
  </conditionalFormatting>
  <conditionalFormatting sqref="AV14">
    <cfRule type="cellIs" dxfId="41874" priority="81233" stopIfTrue="1" operator="lessThan">
      <formula>0.5</formula>
    </cfRule>
  </conditionalFormatting>
  <conditionalFormatting sqref="AV14">
    <cfRule type="cellIs" dxfId="41873" priority="81234" stopIfTrue="1" operator="greaterThanOrEqual">
      <formula>0.5</formula>
    </cfRule>
  </conditionalFormatting>
  <conditionalFormatting sqref="AV15">
    <cfRule type="cellIs" dxfId="41872" priority="81235" stopIfTrue="1" operator="equal">
      <formula>-1</formula>
    </cfRule>
  </conditionalFormatting>
  <conditionalFormatting sqref="AV15">
    <cfRule type="cellIs" dxfId="41871" priority="81236" stopIfTrue="1" operator="lessThan">
      <formula>0.5</formula>
    </cfRule>
  </conditionalFormatting>
  <conditionalFormatting sqref="AV15">
    <cfRule type="cellIs" dxfId="41870" priority="81237" stopIfTrue="1" operator="greaterThanOrEqual">
      <formula>0.5</formula>
    </cfRule>
  </conditionalFormatting>
  <conditionalFormatting sqref="AX8">
    <cfRule type="cellIs" dxfId="41869" priority="81238" stopIfTrue="1" operator="equal">
      <formula>-1</formula>
    </cfRule>
  </conditionalFormatting>
  <conditionalFormatting sqref="AX8">
    <cfRule type="cellIs" dxfId="41868" priority="81239" stopIfTrue="1" operator="lessThan">
      <formula>0.5</formula>
    </cfRule>
  </conditionalFormatting>
  <conditionalFormatting sqref="AX8">
    <cfRule type="cellIs" dxfId="41867" priority="81240" stopIfTrue="1" operator="greaterThanOrEqual">
      <formula>0.5</formula>
    </cfRule>
  </conditionalFormatting>
  <conditionalFormatting sqref="AX9">
    <cfRule type="cellIs" dxfId="41866" priority="81241" stopIfTrue="1" operator="equal">
      <formula>-1</formula>
    </cfRule>
  </conditionalFormatting>
  <conditionalFormatting sqref="AX9">
    <cfRule type="cellIs" dxfId="41865" priority="81242" stopIfTrue="1" operator="lessThan">
      <formula>0.5</formula>
    </cfRule>
  </conditionalFormatting>
  <conditionalFormatting sqref="AX9">
    <cfRule type="cellIs" dxfId="41864" priority="81243" stopIfTrue="1" operator="greaterThanOrEqual">
      <formula>0.5</formula>
    </cfRule>
  </conditionalFormatting>
  <conditionalFormatting sqref="AX10">
    <cfRule type="cellIs" dxfId="41863" priority="81244" stopIfTrue="1" operator="equal">
      <formula>-1</formula>
    </cfRule>
  </conditionalFormatting>
  <conditionalFormatting sqref="AX10">
    <cfRule type="cellIs" dxfId="41862" priority="81245" stopIfTrue="1" operator="lessThan">
      <formula>0.5</formula>
    </cfRule>
  </conditionalFormatting>
  <conditionalFormatting sqref="AX10">
    <cfRule type="cellIs" dxfId="41861" priority="81246" stopIfTrue="1" operator="greaterThanOrEqual">
      <formula>0.5</formula>
    </cfRule>
  </conditionalFormatting>
  <conditionalFormatting sqref="AX11">
    <cfRule type="cellIs" dxfId="41860" priority="81247" stopIfTrue="1" operator="equal">
      <formula>-1</formula>
    </cfRule>
  </conditionalFormatting>
  <conditionalFormatting sqref="AX11">
    <cfRule type="cellIs" dxfId="41859" priority="81248" stopIfTrue="1" operator="lessThan">
      <formula>0.5</formula>
    </cfRule>
  </conditionalFormatting>
  <conditionalFormatting sqref="AX11">
    <cfRule type="cellIs" dxfId="41858" priority="81249" stopIfTrue="1" operator="greaterThanOrEqual">
      <formula>0.5</formula>
    </cfRule>
  </conditionalFormatting>
  <conditionalFormatting sqref="AX12">
    <cfRule type="cellIs" dxfId="41857" priority="81250" stopIfTrue="1" operator="equal">
      <formula>-1</formula>
    </cfRule>
  </conditionalFormatting>
  <conditionalFormatting sqref="AX12">
    <cfRule type="cellIs" dxfId="41856" priority="81251" stopIfTrue="1" operator="lessThan">
      <formula>0.5</formula>
    </cfRule>
  </conditionalFormatting>
  <conditionalFormatting sqref="AX12">
    <cfRule type="cellIs" dxfId="41855" priority="81252" stopIfTrue="1" operator="greaterThanOrEqual">
      <formula>0.5</formula>
    </cfRule>
  </conditionalFormatting>
  <conditionalFormatting sqref="AX13">
    <cfRule type="cellIs" dxfId="41854" priority="81253" stopIfTrue="1" operator="equal">
      <formula>-1</formula>
    </cfRule>
  </conditionalFormatting>
  <conditionalFormatting sqref="AX13">
    <cfRule type="cellIs" dxfId="41853" priority="81254" stopIfTrue="1" operator="lessThan">
      <formula>0.5</formula>
    </cfRule>
  </conditionalFormatting>
  <conditionalFormatting sqref="AX13">
    <cfRule type="cellIs" dxfId="41852" priority="81255" stopIfTrue="1" operator="greaterThanOrEqual">
      <formula>0.5</formula>
    </cfRule>
  </conditionalFormatting>
  <conditionalFormatting sqref="AX14">
    <cfRule type="cellIs" dxfId="41851" priority="81256" stopIfTrue="1" operator="equal">
      <formula>-1</formula>
    </cfRule>
  </conditionalFormatting>
  <conditionalFormatting sqref="AX14">
    <cfRule type="cellIs" dxfId="41850" priority="81257" stopIfTrue="1" operator="lessThan">
      <formula>0.5</formula>
    </cfRule>
  </conditionalFormatting>
  <conditionalFormatting sqref="AX14">
    <cfRule type="cellIs" dxfId="41849" priority="81258" stopIfTrue="1" operator="greaterThanOrEqual">
      <formula>0.5</formula>
    </cfRule>
  </conditionalFormatting>
  <conditionalFormatting sqref="AX15">
    <cfRule type="cellIs" dxfId="41848" priority="81259" stopIfTrue="1" operator="equal">
      <formula>-1</formula>
    </cfRule>
  </conditionalFormatting>
  <conditionalFormatting sqref="AX15">
    <cfRule type="cellIs" dxfId="41847" priority="81260" stopIfTrue="1" operator="lessThan">
      <formula>0.5</formula>
    </cfRule>
  </conditionalFormatting>
  <conditionalFormatting sqref="AX15">
    <cfRule type="cellIs" dxfId="41846" priority="81261" stopIfTrue="1" operator="greaterThanOrEqual">
      <formula>0.5</formula>
    </cfRule>
  </conditionalFormatting>
  <conditionalFormatting sqref="AZ8">
    <cfRule type="cellIs" dxfId="41845" priority="81262" stopIfTrue="1" operator="equal">
      <formula>-1</formula>
    </cfRule>
  </conditionalFormatting>
  <conditionalFormatting sqref="AZ8">
    <cfRule type="cellIs" dxfId="41844" priority="81263" stopIfTrue="1" operator="lessThan">
      <formula>0.5</formula>
    </cfRule>
  </conditionalFormatting>
  <conditionalFormatting sqref="AZ8">
    <cfRule type="cellIs" dxfId="41843" priority="81264" stopIfTrue="1" operator="greaterThanOrEqual">
      <formula>0.5</formula>
    </cfRule>
  </conditionalFormatting>
  <conditionalFormatting sqref="AZ9">
    <cfRule type="cellIs" dxfId="41842" priority="81265" stopIfTrue="1" operator="equal">
      <formula>-1</formula>
    </cfRule>
  </conditionalFormatting>
  <conditionalFormatting sqref="AZ9">
    <cfRule type="cellIs" dxfId="41841" priority="81266" stopIfTrue="1" operator="lessThan">
      <formula>0.5</formula>
    </cfRule>
  </conditionalFormatting>
  <conditionalFormatting sqref="AZ9">
    <cfRule type="cellIs" dxfId="41840" priority="81267" stopIfTrue="1" operator="greaterThanOrEqual">
      <formula>0.5</formula>
    </cfRule>
  </conditionalFormatting>
  <conditionalFormatting sqref="AZ10">
    <cfRule type="cellIs" dxfId="41839" priority="81268" stopIfTrue="1" operator="equal">
      <formula>-1</formula>
    </cfRule>
  </conditionalFormatting>
  <conditionalFormatting sqref="AZ10">
    <cfRule type="cellIs" dxfId="41838" priority="81269" stopIfTrue="1" operator="lessThan">
      <formula>0.5</formula>
    </cfRule>
  </conditionalFormatting>
  <conditionalFormatting sqref="AZ10">
    <cfRule type="cellIs" dxfId="41837" priority="81270" stopIfTrue="1" operator="greaterThanOrEqual">
      <formula>0.5</formula>
    </cfRule>
  </conditionalFormatting>
  <conditionalFormatting sqref="AZ11">
    <cfRule type="cellIs" dxfId="41836" priority="81271" stopIfTrue="1" operator="equal">
      <formula>-1</formula>
    </cfRule>
  </conditionalFormatting>
  <conditionalFormatting sqref="AZ11">
    <cfRule type="cellIs" dxfId="41835" priority="81272" stopIfTrue="1" operator="lessThan">
      <formula>0.5</formula>
    </cfRule>
  </conditionalFormatting>
  <conditionalFormatting sqref="AZ11">
    <cfRule type="cellIs" dxfId="41834" priority="81273" stopIfTrue="1" operator="greaterThanOrEqual">
      <formula>0.5</formula>
    </cfRule>
  </conditionalFormatting>
  <conditionalFormatting sqref="AZ12">
    <cfRule type="cellIs" dxfId="41833" priority="81274" stopIfTrue="1" operator="equal">
      <formula>-1</formula>
    </cfRule>
  </conditionalFormatting>
  <conditionalFormatting sqref="AZ12">
    <cfRule type="cellIs" dxfId="41832" priority="81275" stopIfTrue="1" operator="lessThan">
      <formula>0.5</formula>
    </cfRule>
  </conditionalFormatting>
  <conditionalFormatting sqref="AZ12">
    <cfRule type="cellIs" dxfId="41831" priority="81276" stopIfTrue="1" operator="greaterThanOrEqual">
      <formula>0.5</formula>
    </cfRule>
  </conditionalFormatting>
  <conditionalFormatting sqref="AZ13">
    <cfRule type="cellIs" dxfId="41830" priority="81277" stopIfTrue="1" operator="equal">
      <formula>-1</formula>
    </cfRule>
  </conditionalFormatting>
  <conditionalFormatting sqref="AZ13">
    <cfRule type="cellIs" dxfId="41829" priority="81278" stopIfTrue="1" operator="lessThan">
      <formula>0.5</formula>
    </cfRule>
  </conditionalFormatting>
  <conditionalFormatting sqref="AZ13">
    <cfRule type="cellIs" dxfId="41828" priority="81279" stopIfTrue="1" operator="greaterThanOrEqual">
      <formula>0.5</formula>
    </cfRule>
  </conditionalFormatting>
  <conditionalFormatting sqref="AZ14">
    <cfRule type="cellIs" dxfId="41827" priority="81280" stopIfTrue="1" operator="equal">
      <formula>-1</formula>
    </cfRule>
  </conditionalFormatting>
  <conditionalFormatting sqref="AZ14">
    <cfRule type="cellIs" dxfId="41826" priority="81281" stopIfTrue="1" operator="lessThan">
      <formula>0.5</formula>
    </cfRule>
  </conditionalFormatting>
  <conditionalFormatting sqref="AZ14">
    <cfRule type="cellIs" dxfId="41825" priority="81282" stopIfTrue="1" operator="greaterThanOrEqual">
      <formula>0.5</formula>
    </cfRule>
  </conditionalFormatting>
  <conditionalFormatting sqref="AZ15">
    <cfRule type="cellIs" dxfId="41824" priority="81283" stopIfTrue="1" operator="equal">
      <formula>-1</formula>
    </cfRule>
  </conditionalFormatting>
  <conditionalFormatting sqref="AZ15">
    <cfRule type="cellIs" dxfId="41823" priority="81284" stopIfTrue="1" operator="lessThan">
      <formula>0.5</formula>
    </cfRule>
  </conditionalFormatting>
  <conditionalFormatting sqref="AZ15">
    <cfRule type="cellIs" dxfId="41822" priority="81285" stopIfTrue="1" operator="greaterThanOrEqual">
      <formula>0.5</formula>
    </cfRule>
  </conditionalFormatting>
  <conditionalFormatting sqref="BB8">
    <cfRule type="cellIs" dxfId="41821" priority="81286" stopIfTrue="1" operator="equal">
      <formula>-1</formula>
    </cfRule>
  </conditionalFormatting>
  <conditionalFormatting sqref="BB8">
    <cfRule type="cellIs" dxfId="41820" priority="81287" stopIfTrue="1" operator="lessThan">
      <formula>0.5</formula>
    </cfRule>
  </conditionalFormatting>
  <conditionalFormatting sqref="BB8">
    <cfRule type="cellIs" dxfId="41819" priority="81288" stopIfTrue="1" operator="greaterThanOrEqual">
      <formula>0.5</formula>
    </cfRule>
  </conditionalFormatting>
  <conditionalFormatting sqref="BB9">
    <cfRule type="cellIs" dxfId="41818" priority="81289" stopIfTrue="1" operator="equal">
      <formula>-1</formula>
    </cfRule>
  </conditionalFormatting>
  <conditionalFormatting sqref="BB9">
    <cfRule type="cellIs" dxfId="41817" priority="81290" stopIfTrue="1" operator="lessThan">
      <formula>0.5</formula>
    </cfRule>
  </conditionalFormatting>
  <conditionalFormatting sqref="BB9">
    <cfRule type="cellIs" dxfId="41816" priority="81291" stopIfTrue="1" operator="greaterThanOrEqual">
      <formula>0.5</formula>
    </cfRule>
  </conditionalFormatting>
  <conditionalFormatting sqref="BB10">
    <cfRule type="cellIs" dxfId="41815" priority="81292" stopIfTrue="1" operator="equal">
      <formula>-1</formula>
    </cfRule>
  </conditionalFormatting>
  <conditionalFormatting sqref="BB10">
    <cfRule type="cellIs" dxfId="41814" priority="81293" stopIfTrue="1" operator="lessThan">
      <formula>0.5</formula>
    </cfRule>
  </conditionalFormatting>
  <conditionalFormatting sqref="BB10">
    <cfRule type="cellIs" dxfId="41813" priority="81294" stopIfTrue="1" operator="greaterThanOrEqual">
      <formula>0.5</formula>
    </cfRule>
  </conditionalFormatting>
  <conditionalFormatting sqref="BB11">
    <cfRule type="cellIs" dxfId="41812" priority="81295" stopIfTrue="1" operator="equal">
      <formula>-1</formula>
    </cfRule>
  </conditionalFormatting>
  <conditionalFormatting sqref="BB11">
    <cfRule type="cellIs" dxfId="41811" priority="81296" stopIfTrue="1" operator="lessThan">
      <formula>0.5</formula>
    </cfRule>
  </conditionalFormatting>
  <conditionalFormatting sqref="BB11">
    <cfRule type="cellIs" dxfId="41810" priority="81297" stopIfTrue="1" operator="greaterThanOrEqual">
      <formula>0.5</formula>
    </cfRule>
  </conditionalFormatting>
  <conditionalFormatting sqref="BB12">
    <cfRule type="cellIs" dxfId="41809" priority="81298" stopIfTrue="1" operator="equal">
      <formula>-1</formula>
    </cfRule>
  </conditionalFormatting>
  <conditionalFormatting sqref="BB12">
    <cfRule type="cellIs" dxfId="41808" priority="81299" stopIfTrue="1" operator="lessThan">
      <formula>0.5</formula>
    </cfRule>
  </conditionalFormatting>
  <conditionalFormatting sqref="BB12">
    <cfRule type="cellIs" dxfId="41807" priority="81300" stopIfTrue="1" operator="greaterThanOrEqual">
      <formula>0.5</formula>
    </cfRule>
  </conditionalFormatting>
  <conditionalFormatting sqref="BB13">
    <cfRule type="cellIs" dxfId="41806" priority="81301" stopIfTrue="1" operator="equal">
      <formula>-1</formula>
    </cfRule>
  </conditionalFormatting>
  <conditionalFormatting sqref="BB13">
    <cfRule type="cellIs" dxfId="41805" priority="81302" stopIfTrue="1" operator="lessThan">
      <formula>0.5</formula>
    </cfRule>
  </conditionalFormatting>
  <conditionalFormatting sqref="BB13">
    <cfRule type="cellIs" dxfId="41804" priority="81303" stopIfTrue="1" operator="greaterThanOrEqual">
      <formula>0.5</formula>
    </cfRule>
  </conditionalFormatting>
  <conditionalFormatting sqref="BB14">
    <cfRule type="cellIs" dxfId="41803" priority="81304" stopIfTrue="1" operator="equal">
      <formula>-1</formula>
    </cfRule>
  </conditionalFormatting>
  <conditionalFormatting sqref="BB14">
    <cfRule type="cellIs" dxfId="41802" priority="81305" stopIfTrue="1" operator="lessThan">
      <formula>0.5</formula>
    </cfRule>
  </conditionalFormatting>
  <conditionalFormatting sqref="BB14">
    <cfRule type="cellIs" dxfId="41801" priority="81306" stopIfTrue="1" operator="greaterThanOrEqual">
      <formula>0.5</formula>
    </cfRule>
  </conditionalFormatting>
  <conditionalFormatting sqref="BB15">
    <cfRule type="cellIs" dxfId="41800" priority="81307" stopIfTrue="1" operator="equal">
      <formula>-1</formula>
    </cfRule>
  </conditionalFormatting>
  <conditionalFormatting sqref="BB15">
    <cfRule type="cellIs" dxfId="41799" priority="81308" stopIfTrue="1" operator="lessThan">
      <formula>0.5</formula>
    </cfRule>
  </conditionalFormatting>
  <conditionalFormatting sqref="BB15">
    <cfRule type="cellIs" dxfId="41798" priority="81309" stopIfTrue="1" operator="greaterThanOrEqual">
      <formula>0.5</formula>
    </cfRule>
  </conditionalFormatting>
  <conditionalFormatting sqref="BD8">
    <cfRule type="cellIs" dxfId="41797" priority="81310" stopIfTrue="1" operator="equal">
      <formula>-1</formula>
    </cfRule>
  </conditionalFormatting>
  <conditionalFormatting sqref="BD8">
    <cfRule type="cellIs" dxfId="41796" priority="81311" stopIfTrue="1" operator="lessThan">
      <formula>0.5</formula>
    </cfRule>
  </conditionalFormatting>
  <conditionalFormatting sqref="BD8">
    <cfRule type="cellIs" dxfId="41795" priority="81312" stopIfTrue="1" operator="greaterThanOrEqual">
      <formula>0.5</formula>
    </cfRule>
  </conditionalFormatting>
  <conditionalFormatting sqref="BD9">
    <cfRule type="cellIs" dxfId="41794" priority="81313" stopIfTrue="1" operator="equal">
      <formula>-1</formula>
    </cfRule>
  </conditionalFormatting>
  <conditionalFormatting sqref="BD9">
    <cfRule type="cellIs" dxfId="41793" priority="81314" stopIfTrue="1" operator="lessThan">
      <formula>0.5</formula>
    </cfRule>
  </conditionalFormatting>
  <conditionalFormatting sqref="BD9">
    <cfRule type="cellIs" dxfId="41792" priority="81315" stopIfTrue="1" operator="greaterThanOrEqual">
      <formula>0.5</formula>
    </cfRule>
  </conditionalFormatting>
  <conditionalFormatting sqref="BD10">
    <cfRule type="cellIs" dxfId="41791" priority="81316" stopIfTrue="1" operator="equal">
      <formula>-1</formula>
    </cfRule>
  </conditionalFormatting>
  <conditionalFormatting sqref="BD10">
    <cfRule type="cellIs" dxfId="41790" priority="81317" stopIfTrue="1" operator="lessThan">
      <formula>0.5</formula>
    </cfRule>
  </conditionalFormatting>
  <conditionalFormatting sqref="BD10">
    <cfRule type="cellIs" dxfId="41789" priority="81318" stopIfTrue="1" operator="greaterThanOrEqual">
      <formula>0.5</formula>
    </cfRule>
  </conditionalFormatting>
  <conditionalFormatting sqref="BD11">
    <cfRule type="cellIs" dxfId="41788" priority="81319" stopIfTrue="1" operator="equal">
      <formula>-1</formula>
    </cfRule>
  </conditionalFormatting>
  <conditionalFormatting sqref="BD11">
    <cfRule type="cellIs" dxfId="41787" priority="81320" stopIfTrue="1" operator="lessThan">
      <formula>0.5</formula>
    </cfRule>
  </conditionalFormatting>
  <conditionalFormatting sqref="BD11">
    <cfRule type="cellIs" dxfId="41786" priority="81321" stopIfTrue="1" operator="greaterThanOrEqual">
      <formula>0.5</formula>
    </cfRule>
  </conditionalFormatting>
  <conditionalFormatting sqref="BD12">
    <cfRule type="cellIs" dxfId="41785" priority="81322" stopIfTrue="1" operator="equal">
      <formula>-1</formula>
    </cfRule>
  </conditionalFormatting>
  <conditionalFormatting sqref="BD12">
    <cfRule type="cellIs" dxfId="41784" priority="81323" stopIfTrue="1" operator="lessThan">
      <formula>0.5</formula>
    </cfRule>
  </conditionalFormatting>
  <conditionalFormatting sqref="BD12">
    <cfRule type="cellIs" dxfId="41783" priority="81324" stopIfTrue="1" operator="greaterThanOrEqual">
      <formula>0.5</formula>
    </cfRule>
  </conditionalFormatting>
  <conditionalFormatting sqref="BD13">
    <cfRule type="cellIs" dxfId="41782" priority="81325" stopIfTrue="1" operator="equal">
      <formula>-1</formula>
    </cfRule>
  </conditionalFormatting>
  <conditionalFormatting sqref="BD13">
    <cfRule type="cellIs" dxfId="41781" priority="81326" stopIfTrue="1" operator="lessThan">
      <formula>0.5</formula>
    </cfRule>
  </conditionalFormatting>
  <conditionalFormatting sqref="BD13">
    <cfRule type="cellIs" dxfId="41780" priority="81327" stopIfTrue="1" operator="greaterThanOrEqual">
      <formula>0.5</formula>
    </cfRule>
  </conditionalFormatting>
  <conditionalFormatting sqref="BD14">
    <cfRule type="cellIs" dxfId="41779" priority="81328" stopIfTrue="1" operator="equal">
      <formula>-1</formula>
    </cfRule>
  </conditionalFormatting>
  <conditionalFormatting sqref="BD14">
    <cfRule type="cellIs" dxfId="41778" priority="81329" stopIfTrue="1" operator="lessThan">
      <formula>0.5</formula>
    </cfRule>
  </conditionalFormatting>
  <conditionalFormatting sqref="BD14">
    <cfRule type="cellIs" dxfId="41777" priority="81330" stopIfTrue="1" operator="greaterThanOrEqual">
      <formula>0.5</formula>
    </cfRule>
  </conditionalFormatting>
  <conditionalFormatting sqref="BD15">
    <cfRule type="cellIs" dxfId="41776" priority="81331" stopIfTrue="1" operator="equal">
      <formula>-1</formula>
    </cfRule>
  </conditionalFormatting>
  <conditionalFormatting sqref="BD15">
    <cfRule type="cellIs" dxfId="41775" priority="81332" stopIfTrue="1" operator="lessThan">
      <formula>0.5</formula>
    </cfRule>
  </conditionalFormatting>
  <conditionalFormatting sqref="BD15">
    <cfRule type="cellIs" dxfId="41774" priority="81333" stopIfTrue="1" operator="greaterThanOrEqual">
      <formula>0.5</formula>
    </cfRule>
  </conditionalFormatting>
  <conditionalFormatting sqref="BF8">
    <cfRule type="cellIs" dxfId="41773" priority="81334" stopIfTrue="1" operator="equal">
      <formula>-1</formula>
    </cfRule>
  </conditionalFormatting>
  <conditionalFormatting sqref="BF8">
    <cfRule type="cellIs" dxfId="41772" priority="81335" stopIfTrue="1" operator="lessThan">
      <formula>0.5</formula>
    </cfRule>
  </conditionalFormatting>
  <conditionalFormatting sqref="BF8">
    <cfRule type="cellIs" dxfId="41771" priority="81336" stopIfTrue="1" operator="greaterThanOrEqual">
      <formula>0.5</formula>
    </cfRule>
  </conditionalFormatting>
  <conditionalFormatting sqref="BF9">
    <cfRule type="cellIs" dxfId="41770" priority="81337" stopIfTrue="1" operator="equal">
      <formula>-1</formula>
    </cfRule>
  </conditionalFormatting>
  <conditionalFormatting sqref="BF9">
    <cfRule type="cellIs" dxfId="41769" priority="81338" stopIfTrue="1" operator="lessThan">
      <formula>0.5</formula>
    </cfRule>
  </conditionalFormatting>
  <conditionalFormatting sqref="BF9">
    <cfRule type="cellIs" dxfId="41768" priority="81339" stopIfTrue="1" operator="greaterThanOrEqual">
      <formula>0.5</formula>
    </cfRule>
  </conditionalFormatting>
  <conditionalFormatting sqref="BF10">
    <cfRule type="cellIs" dxfId="41767" priority="81340" stopIfTrue="1" operator="equal">
      <formula>-1</formula>
    </cfRule>
  </conditionalFormatting>
  <conditionalFormatting sqref="BF10">
    <cfRule type="cellIs" dxfId="41766" priority="81341" stopIfTrue="1" operator="lessThan">
      <formula>0.5</formula>
    </cfRule>
  </conditionalFormatting>
  <conditionalFormatting sqref="BF10">
    <cfRule type="cellIs" dxfId="41765" priority="81342" stopIfTrue="1" operator="greaterThanOrEqual">
      <formula>0.5</formula>
    </cfRule>
  </conditionalFormatting>
  <conditionalFormatting sqref="BF11">
    <cfRule type="cellIs" dxfId="41764" priority="81343" stopIfTrue="1" operator="equal">
      <formula>-1</formula>
    </cfRule>
  </conditionalFormatting>
  <conditionalFormatting sqref="BF11">
    <cfRule type="cellIs" dxfId="41763" priority="81344" stopIfTrue="1" operator="lessThan">
      <formula>0.5</formula>
    </cfRule>
  </conditionalFormatting>
  <conditionalFormatting sqref="BF11">
    <cfRule type="cellIs" dxfId="41762" priority="81345" stopIfTrue="1" operator="greaterThanOrEqual">
      <formula>0.5</formula>
    </cfRule>
  </conditionalFormatting>
  <conditionalFormatting sqref="BF12">
    <cfRule type="cellIs" dxfId="41761" priority="81346" stopIfTrue="1" operator="equal">
      <formula>-1</formula>
    </cfRule>
  </conditionalFormatting>
  <conditionalFormatting sqref="BF12">
    <cfRule type="cellIs" dxfId="41760" priority="81347" stopIfTrue="1" operator="lessThan">
      <formula>0.5</formula>
    </cfRule>
  </conditionalFormatting>
  <conditionalFormatting sqref="BF12">
    <cfRule type="cellIs" dxfId="41759" priority="81348" stopIfTrue="1" operator="greaterThanOrEqual">
      <formula>0.5</formula>
    </cfRule>
  </conditionalFormatting>
  <conditionalFormatting sqref="BF13">
    <cfRule type="cellIs" dxfId="41758" priority="81349" stopIfTrue="1" operator="equal">
      <formula>-1</formula>
    </cfRule>
  </conditionalFormatting>
  <conditionalFormatting sqref="BF13">
    <cfRule type="cellIs" dxfId="41757" priority="81350" stopIfTrue="1" operator="lessThan">
      <formula>0.5</formula>
    </cfRule>
  </conditionalFormatting>
  <conditionalFormatting sqref="BF13">
    <cfRule type="cellIs" dxfId="41756" priority="81351" stopIfTrue="1" operator="greaterThanOrEqual">
      <formula>0.5</formula>
    </cfRule>
  </conditionalFormatting>
  <conditionalFormatting sqref="BF14">
    <cfRule type="cellIs" dxfId="41755" priority="81352" stopIfTrue="1" operator="equal">
      <formula>-1</formula>
    </cfRule>
  </conditionalFormatting>
  <conditionalFormatting sqref="BF14">
    <cfRule type="cellIs" dxfId="41754" priority="81353" stopIfTrue="1" operator="lessThan">
      <formula>0.5</formula>
    </cfRule>
  </conditionalFormatting>
  <conditionalFormatting sqref="BF14">
    <cfRule type="cellIs" dxfId="41753" priority="81354" stopIfTrue="1" operator="greaterThanOrEqual">
      <formula>0.5</formula>
    </cfRule>
  </conditionalFormatting>
  <conditionalFormatting sqref="BF15">
    <cfRule type="cellIs" dxfId="41752" priority="81355" stopIfTrue="1" operator="equal">
      <formula>-1</formula>
    </cfRule>
  </conditionalFormatting>
  <conditionalFormatting sqref="BF15">
    <cfRule type="cellIs" dxfId="41751" priority="81356" stopIfTrue="1" operator="lessThan">
      <formula>0.5</formula>
    </cfRule>
  </conditionalFormatting>
  <conditionalFormatting sqref="BF15">
    <cfRule type="cellIs" dxfId="41750" priority="81357" stopIfTrue="1" operator="greaterThanOrEqual">
      <formula>0.5</formula>
    </cfRule>
  </conditionalFormatting>
  <conditionalFormatting sqref="BH8">
    <cfRule type="cellIs" dxfId="41749" priority="81358" stopIfTrue="1" operator="equal">
      <formula>-1</formula>
    </cfRule>
  </conditionalFormatting>
  <conditionalFormatting sqref="BH8">
    <cfRule type="cellIs" dxfId="41748" priority="81359" stopIfTrue="1" operator="lessThan">
      <formula>0.5</formula>
    </cfRule>
  </conditionalFormatting>
  <conditionalFormatting sqref="BH8">
    <cfRule type="cellIs" dxfId="41747" priority="81360" stopIfTrue="1" operator="greaterThanOrEqual">
      <formula>0.5</formula>
    </cfRule>
  </conditionalFormatting>
  <conditionalFormatting sqref="BH9">
    <cfRule type="cellIs" dxfId="41746" priority="81361" stopIfTrue="1" operator="equal">
      <formula>-1</formula>
    </cfRule>
  </conditionalFormatting>
  <conditionalFormatting sqref="BH9">
    <cfRule type="cellIs" dxfId="41745" priority="81362" stopIfTrue="1" operator="lessThan">
      <formula>0.5</formula>
    </cfRule>
  </conditionalFormatting>
  <conditionalFormatting sqref="BH9">
    <cfRule type="cellIs" dxfId="41744" priority="81363" stopIfTrue="1" operator="greaterThanOrEqual">
      <formula>0.5</formula>
    </cfRule>
  </conditionalFormatting>
  <conditionalFormatting sqref="BH10">
    <cfRule type="cellIs" dxfId="41743" priority="81364" stopIfTrue="1" operator="equal">
      <formula>-1</formula>
    </cfRule>
  </conditionalFormatting>
  <conditionalFormatting sqref="BH10">
    <cfRule type="cellIs" dxfId="41742" priority="81365" stopIfTrue="1" operator="lessThan">
      <formula>0.5</formula>
    </cfRule>
  </conditionalFormatting>
  <conditionalFormatting sqref="BH10">
    <cfRule type="cellIs" dxfId="41741" priority="81366" stopIfTrue="1" operator="greaterThanOrEqual">
      <formula>0.5</formula>
    </cfRule>
  </conditionalFormatting>
  <conditionalFormatting sqref="BH11">
    <cfRule type="cellIs" dxfId="41740" priority="81367" stopIfTrue="1" operator="equal">
      <formula>-1</formula>
    </cfRule>
  </conditionalFormatting>
  <conditionalFormatting sqref="BH11">
    <cfRule type="cellIs" dxfId="41739" priority="81368" stopIfTrue="1" operator="lessThan">
      <formula>0.5</formula>
    </cfRule>
  </conditionalFormatting>
  <conditionalFormatting sqref="BH11">
    <cfRule type="cellIs" dxfId="41738" priority="81369" stopIfTrue="1" operator="greaterThanOrEqual">
      <formula>0.5</formula>
    </cfRule>
  </conditionalFormatting>
  <conditionalFormatting sqref="BH12">
    <cfRule type="cellIs" dxfId="41737" priority="81370" stopIfTrue="1" operator="equal">
      <formula>-1</formula>
    </cfRule>
  </conditionalFormatting>
  <conditionalFormatting sqref="BH12">
    <cfRule type="cellIs" dxfId="41736" priority="81371" stopIfTrue="1" operator="lessThan">
      <formula>0.5</formula>
    </cfRule>
  </conditionalFormatting>
  <conditionalFormatting sqref="BH12">
    <cfRule type="cellIs" dxfId="41735" priority="81372" stopIfTrue="1" operator="greaterThanOrEqual">
      <formula>0.5</formula>
    </cfRule>
  </conditionalFormatting>
  <conditionalFormatting sqref="BH13">
    <cfRule type="cellIs" dxfId="41734" priority="81373" stopIfTrue="1" operator="equal">
      <formula>-1</formula>
    </cfRule>
  </conditionalFormatting>
  <conditionalFormatting sqref="BH13">
    <cfRule type="cellIs" dxfId="41733" priority="81374" stopIfTrue="1" operator="lessThan">
      <formula>0.5</formula>
    </cfRule>
  </conditionalFormatting>
  <conditionalFormatting sqref="BH13">
    <cfRule type="cellIs" dxfId="41732" priority="81375" stopIfTrue="1" operator="greaterThanOrEqual">
      <formula>0.5</formula>
    </cfRule>
  </conditionalFormatting>
  <conditionalFormatting sqref="BH14">
    <cfRule type="cellIs" dxfId="41731" priority="81376" stopIfTrue="1" operator="equal">
      <formula>-1</formula>
    </cfRule>
  </conditionalFormatting>
  <conditionalFormatting sqref="BH14">
    <cfRule type="cellIs" dxfId="41730" priority="81377" stopIfTrue="1" operator="lessThan">
      <formula>0.5</formula>
    </cfRule>
  </conditionalFormatting>
  <conditionalFormatting sqref="BH14">
    <cfRule type="cellIs" dxfId="41729" priority="81378" stopIfTrue="1" operator="greaterThanOrEqual">
      <formula>0.5</formula>
    </cfRule>
  </conditionalFormatting>
  <conditionalFormatting sqref="BH15">
    <cfRule type="cellIs" dxfId="41728" priority="81379" stopIfTrue="1" operator="equal">
      <formula>-1</formula>
    </cfRule>
  </conditionalFormatting>
  <conditionalFormatting sqref="BH15">
    <cfRule type="cellIs" dxfId="41727" priority="81380" stopIfTrue="1" operator="lessThan">
      <formula>0.5</formula>
    </cfRule>
  </conditionalFormatting>
  <conditionalFormatting sqref="BH15">
    <cfRule type="cellIs" dxfId="41726" priority="81381" stopIfTrue="1" operator="greaterThanOrEqual">
      <formula>0.5</formula>
    </cfRule>
  </conditionalFormatting>
  <conditionalFormatting sqref="BJ8">
    <cfRule type="cellIs" dxfId="41725" priority="81382" stopIfTrue="1" operator="equal">
      <formula>-1</formula>
    </cfRule>
  </conditionalFormatting>
  <conditionalFormatting sqref="BJ8">
    <cfRule type="cellIs" dxfId="41724" priority="81383" stopIfTrue="1" operator="lessThan">
      <formula>0.5</formula>
    </cfRule>
  </conditionalFormatting>
  <conditionalFormatting sqref="BJ8">
    <cfRule type="cellIs" dxfId="41723" priority="81384" stopIfTrue="1" operator="greaterThanOrEqual">
      <formula>0.5</formula>
    </cfRule>
  </conditionalFormatting>
  <conditionalFormatting sqref="BJ9">
    <cfRule type="cellIs" dxfId="41722" priority="81385" stopIfTrue="1" operator="equal">
      <formula>-1</formula>
    </cfRule>
  </conditionalFormatting>
  <conditionalFormatting sqref="BJ9">
    <cfRule type="cellIs" dxfId="41721" priority="81386" stopIfTrue="1" operator="lessThan">
      <formula>0.5</formula>
    </cfRule>
  </conditionalFormatting>
  <conditionalFormatting sqref="BJ9">
    <cfRule type="cellIs" dxfId="41720" priority="81387" stopIfTrue="1" operator="greaterThanOrEqual">
      <formula>0.5</formula>
    </cfRule>
  </conditionalFormatting>
  <conditionalFormatting sqref="BJ10">
    <cfRule type="cellIs" dxfId="41719" priority="81388" stopIfTrue="1" operator="equal">
      <formula>-1</formula>
    </cfRule>
  </conditionalFormatting>
  <conditionalFormatting sqref="BJ10">
    <cfRule type="cellIs" dxfId="41718" priority="81389" stopIfTrue="1" operator="lessThan">
      <formula>0.5</formula>
    </cfRule>
  </conditionalFormatting>
  <conditionalFormatting sqref="BJ10">
    <cfRule type="cellIs" dxfId="41717" priority="81390" stopIfTrue="1" operator="greaterThanOrEqual">
      <formula>0.5</formula>
    </cfRule>
  </conditionalFormatting>
  <conditionalFormatting sqref="BJ11">
    <cfRule type="cellIs" dxfId="41716" priority="81391" stopIfTrue="1" operator="equal">
      <formula>-1</formula>
    </cfRule>
  </conditionalFormatting>
  <conditionalFormatting sqref="BJ11">
    <cfRule type="cellIs" dxfId="41715" priority="81392" stopIfTrue="1" operator="lessThan">
      <formula>0.5</formula>
    </cfRule>
  </conditionalFormatting>
  <conditionalFormatting sqref="BJ11">
    <cfRule type="cellIs" dxfId="41714" priority="81393" stopIfTrue="1" operator="greaterThanOrEqual">
      <formula>0.5</formula>
    </cfRule>
  </conditionalFormatting>
  <conditionalFormatting sqref="BJ12">
    <cfRule type="cellIs" dxfId="41713" priority="81394" stopIfTrue="1" operator="equal">
      <formula>-1</formula>
    </cfRule>
  </conditionalFormatting>
  <conditionalFormatting sqref="BJ12">
    <cfRule type="cellIs" dxfId="41712" priority="81395" stopIfTrue="1" operator="lessThan">
      <formula>0.5</formula>
    </cfRule>
  </conditionalFormatting>
  <conditionalFormatting sqref="BJ12">
    <cfRule type="cellIs" dxfId="41711" priority="81396" stopIfTrue="1" operator="greaterThanOrEqual">
      <formula>0.5</formula>
    </cfRule>
  </conditionalFormatting>
  <conditionalFormatting sqref="BJ13">
    <cfRule type="cellIs" dxfId="41710" priority="81397" stopIfTrue="1" operator="equal">
      <formula>-1</formula>
    </cfRule>
  </conditionalFormatting>
  <conditionalFormatting sqref="BJ13">
    <cfRule type="cellIs" dxfId="41709" priority="81398" stopIfTrue="1" operator="lessThan">
      <formula>0.5</formula>
    </cfRule>
  </conditionalFormatting>
  <conditionalFormatting sqref="BJ13">
    <cfRule type="cellIs" dxfId="41708" priority="81399" stopIfTrue="1" operator="greaterThanOrEqual">
      <formula>0.5</formula>
    </cfRule>
  </conditionalFormatting>
  <conditionalFormatting sqref="BJ14">
    <cfRule type="cellIs" dxfId="41707" priority="81400" stopIfTrue="1" operator="equal">
      <formula>-1</formula>
    </cfRule>
  </conditionalFormatting>
  <conditionalFormatting sqref="BJ14">
    <cfRule type="cellIs" dxfId="41706" priority="81401" stopIfTrue="1" operator="lessThan">
      <formula>0.5</formula>
    </cfRule>
  </conditionalFormatting>
  <conditionalFormatting sqref="BJ14">
    <cfRule type="cellIs" dxfId="41705" priority="81402" stopIfTrue="1" operator="greaterThanOrEqual">
      <formula>0.5</formula>
    </cfRule>
  </conditionalFormatting>
  <conditionalFormatting sqref="BJ15">
    <cfRule type="cellIs" dxfId="41704" priority="81403" stopIfTrue="1" operator="equal">
      <formula>-1</formula>
    </cfRule>
  </conditionalFormatting>
  <conditionalFormatting sqref="BJ15">
    <cfRule type="cellIs" dxfId="41703" priority="81404" stopIfTrue="1" operator="lessThan">
      <formula>0.5</formula>
    </cfRule>
  </conditionalFormatting>
  <conditionalFormatting sqref="BJ15">
    <cfRule type="cellIs" dxfId="41702" priority="81405" stopIfTrue="1" operator="greaterThanOrEqual">
      <formula>0.5</formula>
    </cfRule>
  </conditionalFormatting>
  <conditionalFormatting sqref="D17">
    <cfRule type="cellIs" dxfId="41701" priority="81406" stopIfTrue="1" operator="equal">
      <formula>-1</formula>
    </cfRule>
  </conditionalFormatting>
  <conditionalFormatting sqref="D17">
    <cfRule type="cellIs" dxfId="41700" priority="81407" stopIfTrue="1" operator="lessThan">
      <formula>0.5</formula>
    </cfRule>
  </conditionalFormatting>
  <conditionalFormatting sqref="D17">
    <cfRule type="cellIs" dxfId="41699" priority="81408" stopIfTrue="1" operator="greaterThanOrEqual">
      <formula>0.5</formula>
    </cfRule>
  </conditionalFormatting>
  <conditionalFormatting sqref="D18">
    <cfRule type="cellIs" dxfId="41698" priority="81409" stopIfTrue="1" operator="equal">
      <formula>-1</formula>
    </cfRule>
  </conditionalFormatting>
  <conditionalFormatting sqref="D18">
    <cfRule type="cellIs" dxfId="41697" priority="81410" stopIfTrue="1" operator="lessThan">
      <formula>0.5</formula>
    </cfRule>
  </conditionalFormatting>
  <conditionalFormatting sqref="D18">
    <cfRule type="cellIs" dxfId="41696" priority="81411" stopIfTrue="1" operator="greaterThanOrEqual">
      <formula>0.5</formula>
    </cfRule>
  </conditionalFormatting>
  <conditionalFormatting sqref="D19">
    <cfRule type="cellIs" dxfId="41695" priority="81412" stopIfTrue="1" operator="equal">
      <formula>-1</formula>
    </cfRule>
  </conditionalFormatting>
  <conditionalFormatting sqref="D19">
    <cfRule type="cellIs" dxfId="41694" priority="81413" stopIfTrue="1" operator="lessThan">
      <formula>0.5</formula>
    </cfRule>
  </conditionalFormatting>
  <conditionalFormatting sqref="D19">
    <cfRule type="cellIs" dxfId="41693" priority="81414" stopIfTrue="1" operator="greaterThanOrEqual">
      <formula>0.5</formula>
    </cfRule>
  </conditionalFormatting>
  <conditionalFormatting sqref="D20">
    <cfRule type="cellIs" dxfId="41692" priority="81415" stopIfTrue="1" operator="equal">
      <formula>-1</formula>
    </cfRule>
  </conditionalFormatting>
  <conditionalFormatting sqref="D20">
    <cfRule type="cellIs" dxfId="41691" priority="81416" stopIfTrue="1" operator="lessThan">
      <formula>0.5</formula>
    </cfRule>
  </conditionalFormatting>
  <conditionalFormatting sqref="D20">
    <cfRule type="cellIs" dxfId="41690" priority="81417" stopIfTrue="1" operator="greaterThanOrEqual">
      <formula>0.5</formula>
    </cfRule>
  </conditionalFormatting>
  <conditionalFormatting sqref="D21">
    <cfRule type="cellIs" dxfId="41689" priority="81418" stopIfTrue="1" operator="equal">
      <formula>-1</formula>
    </cfRule>
  </conditionalFormatting>
  <conditionalFormatting sqref="D21">
    <cfRule type="cellIs" dxfId="41688" priority="81419" stopIfTrue="1" operator="lessThan">
      <formula>0.5</formula>
    </cfRule>
  </conditionalFormatting>
  <conditionalFormatting sqref="D21">
    <cfRule type="cellIs" dxfId="41687" priority="81420" stopIfTrue="1" operator="greaterThanOrEqual">
      <formula>0.5</formula>
    </cfRule>
  </conditionalFormatting>
  <conditionalFormatting sqref="D22">
    <cfRule type="cellIs" dxfId="41686" priority="81421" stopIfTrue="1" operator="equal">
      <formula>-1</formula>
    </cfRule>
  </conditionalFormatting>
  <conditionalFormatting sqref="D22">
    <cfRule type="cellIs" dxfId="41685" priority="81422" stopIfTrue="1" operator="lessThan">
      <formula>0.5</formula>
    </cfRule>
  </conditionalFormatting>
  <conditionalFormatting sqref="D22">
    <cfRule type="cellIs" dxfId="41684" priority="81423" stopIfTrue="1" operator="greaterThanOrEqual">
      <formula>0.5</formula>
    </cfRule>
  </conditionalFormatting>
  <conditionalFormatting sqref="D23">
    <cfRule type="cellIs" dxfId="41683" priority="81424" stopIfTrue="1" operator="equal">
      <formula>-1</formula>
    </cfRule>
  </conditionalFormatting>
  <conditionalFormatting sqref="D23">
    <cfRule type="cellIs" dxfId="41682" priority="81425" stopIfTrue="1" operator="lessThan">
      <formula>0.5</formula>
    </cfRule>
  </conditionalFormatting>
  <conditionalFormatting sqref="D23">
    <cfRule type="cellIs" dxfId="41681" priority="81426" stopIfTrue="1" operator="greaterThanOrEqual">
      <formula>0.5</formula>
    </cfRule>
  </conditionalFormatting>
  <conditionalFormatting sqref="D24">
    <cfRule type="cellIs" dxfId="41680" priority="81427" stopIfTrue="1" operator="equal">
      <formula>-1</formula>
    </cfRule>
  </conditionalFormatting>
  <conditionalFormatting sqref="D24">
    <cfRule type="cellIs" dxfId="41679" priority="81428" stopIfTrue="1" operator="lessThan">
      <formula>0.5</formula>
    </cfRule>
  </conditionalFormatting>
  <conditionalFormatting sqref="D24">
    <cfRule type="cellIs" dxfId="41678" priority="81429" stopIfTrue="1" operator="greaterThanOrEqual">
      <formula>0.5</formula>
    </cfRule>
  </conditionalFormatting>
  <conditionalFormatting sqref="D25">
    <cfRule type="cellIs" dxfId="41677" priority="81430" stopIfTrue="1" operator="equal">
      <formula>-1</formula>
    </cfRule>
  </conditionalFormatting>
  <conditionalFormatting sqref="D25">
    <cfRule type="cellIs" dxfId="41676" priority="81431" stopIfTrue="1" operator="lessThan">
      <formula>0.5</formula>
    </cfRule>
  </conditionalFormatting>
  <conditionalFormatting sqref="D25">
    <cfRule type="cellIs" dxfId="41675" priority="81432" stopIfTrue="1" operator="greaterThanOrEqual">
      <formula>0.5</formula>
    </cfRule>
  </conditionalFormatting>
  <conditionalFormatting sqref="D26">
    <cfRule type="cellIs" dxfId="41674" priority="81433" stopIfTrue="1" operator="equal">
      <formula>-1</formula>
    </cfRule>
  </conditionalFormatting>
  <conditionalFormatting sqref="D26">
    <cfRule type="cellIs" dxfId="41673" priority="81434" stopIfTrue="1" operator="lessThan">
      <formula>0.5</formula>
    </cfRule>
  </conditionalFormatting>
  <conditionalFormatting sqref="D26">
    <cfRule type="cellIs" dxfId="41672" priority="81435" stopIfTrue="1" operator="greaterThanOrEqual">
      <formula>0.5</formula>
    </cfRule>
  </conditionalFormatting>
  <conditionalFormatting sqref="D27">
    <cfRule type="cellIs" dxfId="41671" priority="81436" stopIfTrue="1" operator="equal">
      <formula>-1</formula>
    </cfRule>
  </conditionalFormatting>
  <conditionalFormatting sqref="D27">
    <cfRule type="cellIs" dxfId="41670" priority="81437" stopIfTrue="1" operator="lessThan">
      <formula>0.5</formula>
    </cfRule>
  </conditionalFormatting>
  <conditionalFormatting sqref="D27">
    <cfRule type="cellIs" dxfId="41669" priority="81438" stopIfTrue="1" operator="greaterThanOrEqual">
      <formula>0.5</formula>
    </cfRule>
  </conditionalFormatting>
  <conditionalFormatting sqref="D28">
    <cfRule type="cellIs" dxfId="41668" priority="81439" stopIfTrue="1" operator="equal">
      <formula>-1</formula>
    </cfRule>
  </conditionalFormatting>
  <conditionalFormatting sqref="D28">
    <cfRule type="cellIs" dxfId="41667" priority="81440" stopIfTrue="1" operator="lessThan">
      <formula>0.5</formula>
    </cfRule>
  </conditionalFormatting>
  <conditionalFormatting sqref="D28">
    <cfRule type="cellIs" dxfId="41666" priority="81441" stopIfTrue="1" operator="greaterThanOrEqual">
      <formula>0.5</formula>
    </cfRule>
  </conditionalFormatting>
  <conditionalFormatting sqref="D29">
    <cfRule type="cellIs" dxfId="41665" priority="81442" stopIfTrue="1" operator="equal">
      <formula>-1</formula>
    </cfRule>
  </conditionalFormatting>
  <conditionalFormatting sqref="D29">
    <cfRule type="cellIs" dxfId="41664" priority="81443" stopIfTrue="1" operator="lessThan">
      <formula>0.5</formula>
    </cfRule>
  </conditionalFormatting>
  <conditionalFormatting sqref="D29">
    <cfRule type="cellIs" dxfId="41663" priority="81444" stopIfTrue="1" operator="greaterThanOrEqual">
      <formula>0.5</formula>
    </cfRule>
  </conditionalFormatting>
  <conditionalFormatting sqref="D30">
    <cfRule type="cellIs" dxfId="41662" priority="81445" stopIfTrue="1" operator="equal">
      <formula>-1</formula>
    </cfRule>
  </conditionalFormatting>
  <conditionalFormatting sqref="D30">
    <cfRule type="cellIs" dxfId="41661" priority="81446" stopIfTrue="1" operator="lessThan">
      <formula>0.5</formula>
    </cfRule>
  </conditionalFormatting>
  <conditionalFormatting sqref="D30">
    <cfRule type="cellIs" dxfId="41660" priority="81447" stopIfTrue="1" operator="greaterThanOrEqual">
      <formula>0.5</formula>
    </cfRule>
  </conditionalFormatting>
  <conditionalFormatting sqref="D31">
    <cfRule type="cellIs" dxfId="41659" priority="81448" stopIfTrue="1" operator="equal">
      <formula>-1</formula>
    </cfRule>
  </conditionalFormatting>
  <conditionalFormatting sqref="D31">
    <cfRule type="cellIs" dxfId="41658" priority="81449" stopIfTrue="1" operator="lessThan">
      <formula>0.5</formula>
    </cfRule>
  </conditionalFormatting>
  <conditionalFormatting sqref="D31">
    <cfRule type="cellIs" dxfId="41657" priority="81450" stopIfTrue="1" operator="greaterThanOrEqual">
      <formula>0.5</formula>
    </cfRule>
  </conditionalFormatting>
  <conditionalFormatting sqref="D32">
    <cfRule type="cellIs" dxfId="41656" priority="81451" stopIfTrue="1" operator="equal">
      <formula>-1</formula>
    </cfRule>
  </conditionalFormatting>
  <conditionalFormatting sqref="D32">
    <cfRule type="cellIs" dxfId="41655" priority="81452" stopIfTrue="1" operator="lessThan">
      <formula>0.5</formula>
    </cfRule>
  </conditionalFormatting>
  <conditionalFormatting sqref="D32">
    <cfRule type="cellIs" dxfId="41654" priority="81453" stopIfTrue="1" operator="greaterThanOrEqual">
      <formula>0.5</formula>
    </cfRule>
  </conditionalFormatting>
  <conditionalFormatting sqref="D33">
    <cfRule type="cellIs" dxfId="41653" priority="81454" stopIfTrue="1" operator="equal">
      <formula>-1</formula>
    </cfRule>
  </conditionalFormatting>
  <conditionalFormatting sqref="D33">
    <cfRule type="cellIs" dxfId="41652" priority="81455" stopIfTrue="1" operator="lessThan">
      <formula>0.5</formula>
    </cfRule>
  </conditionalFormatting>
  <conditionalFormatting sqref="D33">
    <cfRule type="cellIs" dxfId="41651" priority="81456" stopIfTrue="1" operator="greaterThanOrEqual">
      <formula>0.5</formula>
    </cfRule>
  </conditionalFormatting>
  <conditionalFormatting sqref="D34">
    <cfRule type="cellIs" dxfId="41650" priority="81457" stopIfTrue="1" operator="equal">
      <formula>-1</formula>
    </cfRule>
  </conditionalFormatting>
  <conditionalFormatting sqref="D34">
    <cfRule type="cellIs" dxfId="41649" priority="81458" stopIfTrue="1" operator="lessThan">
      <formula>0.5</formula>
    </cfRule>
  </conditionalFormatting>
  <conditionalFormatting sqref="D34">
    <cfRule type="cellIs" dxfId="41648" priority="81459" stopIfTrue="1" operator="greaterThanOrEqual">
      <formula>0.5</formula>
    </cfRule>
  </conditionalFormatting>
  <conditionalFormatting sqref="D35">
    <cfRule type="cellIs" dxfId="41647" priority="81460" stopIfTrue="1" operator="equal">
      <formula>-1</formula>
    </cfRule>
  </conditionalFormatting>
  <conditionalFormatting sqref="D35">
    <cfRule type="cellIs" dxfId="41646" priority="81461" stopIfTrue="1" operator="lessThan">
      <formula>0.5</formula>
    </cfRule>
  </conditionalFormatting>
  <conditionalFormatting sqref="D35">
    <cfRule type="cellIs" dxfId="41645" priority="81462" stopIfTrue="1" operator="greaterThanOrEqual">
      <formula>0.5</formula>
    </cfRule>
  </conditionalFormatting>
  <conditionalFormatting sqref="D36">
    <cfRule type="cellIs" dxfId="41644" priority="81463" stopIfTrue="1" operator="equal">
      <formula>-1</formula>
    </cfRule>
  </conditionalFormatting>
  <conditionalFormatting sqref="D36">
    <cfRule type="cellIs" dxfId="41643" priority="81464" stopIfTrue="1" operator="lessThan">
      <formula>0.5</formula>
    </cfRule>
  </conditionalFormatting>
  <conditionalFormatting sqref="D36">
    <cfRule type="cellIs" dxfId="41642" priority="81465" stopIfTrue="1" operator="greaterThanOrEqual">
      <formula>0.5</formula>
    </cfRule>
  </conditionalFormatting>
  <conditionalFormatting sqref="D37">
    <cfRule type="cellIs" dxfId="41641" priority="81466" stopIfTrue="1" operator="equal">
      <formula>-1</formula>
    </cfRule>
  </conditionalFormatting>
  <conditionalFormatting sqref="D37">
    <cfRule type="cellIs" dxfId="41640" priority="81467" stopIfTrue="1" operator="lessThan">
      <formula>0.5</formula>
    </cfRule>
  </conditionalFormatting>
  <conditionalFormatting sqref="D37">
    <cfRule type="cellIs" dxfId="41639" priority="81468" stopIfTrue="1" operator="greaterThanOrEqual">
      <formula>0.5</formula>
    </cfRule>
  </conditionalFormatting>
  <conditionalFormatting sqref="F17">
    <cfRule type="cellIs" dxfId="41638" priority="81469" stopIfTrue="1" operator="equal">
      <formula>-1</formula>
    </cfRule>
  </conditionalFormatting>
  <conditionalFormatting sqref="F17">
    <cfRule type="cellIs" dxfId="41637" priority="81470" stopIfTrue="1" operator="lessThan">
      <formula>0.5</formula>
    </cfRule>
  </conditionalFormatting>
  <conditionalFormatting sqref="F17">
    <cfRule type="cellIs" dxfId="41636" priority="81471" stopIfTrue="1" operator="greaterThanOrEqual">
      <formula>0.5</formula>
    </cfRule>
  </conditionalFormatting>
  <conditionalFormatting sqref="F18">
    <cfRule type="cellIs" dxfId="41635" priority="81472" stopIfTrue="1" operator="equal">
      <formula>-1</formula>
    </cfRule>
  </conditionalFormatting>
  <conditionalFormatting sqref="F18">
    <cfRule type="cellIs" dxfId="41634" priority="81473" stopIfTrue="1" operator="lessThan">
      <formula>0.5</formula>
    </cfRule>
  </conditionalFormatting>
  <conditionalFormatting sqref="F18">
    <cfRule type="cellIs" dxfId="41633" priority="81474" stopIfTrue="1" operator="greaterThanOrEqual">
      <formula>0.5</formula>
    </cfRule>
  </conditionalFormatting>
  <conditionalFormatting sqref="F19">
    <cfRule type="cellIs" dxfId="41632" priority="81475" stopIfTrue="1" operator="equal">
      <formula>-1</formula>
    </cfRule>
  </conditionalFormatting>
  <conditionalFormatting sqref="F19">
    <cfRule type="cellIs" dxfId="41631" priority="81476" stopIfTrue="1" operator="lessThan">
      <formula>0.5</formula>
    </cfRule>
  </conditionalFormatting>
  <conditionalFormatting sqref="F19">
    <cfRule type="cellIs" dxfId="41630" priority="81477" stopIfTrue="1" operator="greaterThanOrEqual">
      <formula>0.5</formula>
    </cfRule>
  </conditionalFormatting>
  <conditionalFormatting sqref="F20">
    <cfRule type="cellIs" dxfId="41629" priority="81478" stopIfTrue="1" operator="equal">
      <formula>-1</formula>
    </cfRule>
  </conditionalFormatting>
  <conditionalFormatting sqref="F20">
    <cfRule type="cellIs" dxfId="41628" priority="81479" stopIfTrue="1" operator="lessThan">
      <formula>0.5</formula>
    </cfRule>
  </conditionalFormatting>
  <conditionalFormatting sqref="F20">
    <cfRule type="cellIs" dxfId="41627" priority="81480" stopIfTrue="1" operator="greaterThanOrEqual">
      <formula>0.5</formula>
    </cfRule>
  </conditionalFormatting>
  <conditionalFormatting sqref="F21">
    <cfRule type="cellIs" dxfId="41626" priority="81481" stopIfTrue="1" operator="equal">
      <formula>-1</formula>
    </cfRule>
  </conditionalFormatting>
  <conditionalFormatting sqref="F21">
    <cfRule type="cellIs" dxfId="41625" priority="81482" stopIfTrue="1" operator="lessThan">
      <formula>0.5</formula>
    </cfRule>
  </conditionalFormatting>
  <conditionalFormatting sqref="F21">
    <cfRule type="cellIs" dxfId="41624" priority="81483" stopIfTrue="1" operator="greaterThanOrEqual">
      <formula>0.5</formula>
    </cfRule>
  </conditionalFormatting>
  <conditionalFormatting sqref="F22">
    <cfRule type="cellIs" dxfId="41623" priority="81484" stopIfTrue="1" operator="equal">
      <formula>-1</formula>
    </cfRule>
  </conditionalFormatting>
  <conditionalFormatting sqref="F22">
    <cfRule type="cellIs" dxfId="41622" priority="81485" stopIfTrue="1" operator="lessThan">
      <formula>0.5</formula>
    </cfRule>
  </conditionalFormatting>
  <conditionalFormatting sqref="F22">
    <cfRule type="cellIs" dxfId="41621" priority="81486" stopIfTrue="1" operator="greaterThanOrEqual">
      <formula>0.5</formula>
    </cfRule>
  </conditionalFormatting>
  <conditionalFormatting sqref="F23">
    <cfRule type="cellIs" dxfId="41620" priority="81487" stopIfTrue="1" operator="equal">
      <formula>-1</formula>
    </cfRule>
  </conditionalFormatting>
  <conditionalFormatting sqref="F23">
    <cfRule type="cellIs" dxfId="41619" priority="81488" stopIfTrue="1" operator="lessThan">
      <formula>0.5</formula>
    </cfRule>
  </conditionalFormatting>
  <conditionalFormatting sqref="F23">
    <cfRule type="cellIs" dxfId="41618" priority="81489" stopIfTrue="1" operator="greaterThanOrEqual">
      <formula>0.5</formula>
    </cfRule>
  </conditionalFormatting>
  <conditionalFormatting sqref="F24">
    <cfRule type="cellIs" dxfId="41617" priority="81490" stopIfTrue="1" operator="equal">
      <formula>-1</formula>
    </cfRule>
  </conditionalFormatting>
  <conditionalFormatting sqref="F24">
    <cfRule type="cellIs" dxfId="41616" priority="81491" stopIfTrue="1" operator="lessThan">
      <formula>0.5</formula>
    </cfRule>
  </conditionalFormatting>
  <conditionalFormatting sqref="F24">
    <cfRule type="cellIs" dxfId="41615" priority="81492" stopIfTrue="1" operator="greaterThanOrEqual">
      <formula>0.5</formula>
    </cfRule>
  </conditionalFormatting>
  <conditionalFormatting sqref="F25">
    <cfRule type="cellIs" dxfId="41614" priority="81493" stopIfTrue="1" operator="equal">
      <formula>-1</formula>
    </cfRule>
  </conditionalFormatting>
  <conditionalFormatting sqref="F25">
    <cfRule type="cellIs" dxfId="41613" priority="81494" stopIfTrue="1" operator="lessThan">
      <formula>0.5</formula>
    </cfRule>
  </conditionalFormatting>
  <conditionalFormatting sqref="F25">
    <cfRule type="cellIs" dxfId="41612" priority="81495" stopIfTrue="1" operator="greaterThanOrEqual">
      <formula>0.5</formula>
    </cfRule>
  </conditionalFormatting>
  <conditionalFormatting sqref="F26">
    <cfRule type="cellIs" dxfId="41611" priority="81496" stopIfTrue="1" operator="equal">
      <formula>-1</formula>
    </cfRule>
  </conditionalFormatting>
  <conditionalFormatting sqref="F26">
    <cfRule type="cellIs" dxfId="41610" priority="81497" stopIfTrue="1" operator="lessThan">
      <formula>0.5</formula>
    </cfRule>
  </conditionalFormatting>
  <conditionalFormatting sqref="F26">
    <cfRule type="cellIs" dxfId="41609" priority="81498" stopIfTrue="1" operator="greaterThanOrEqual">
      <formula>0.5</formula>
    </cfRule>
  </conditionalFormatting>
  <conditionalFormatting sqref="F27">
    <cfRule type="cellIs" dxfId="41608" priority="81499" stopIfTrue="1" operator="equal">
      <formula>-1</formula>
    </cfRule>
  </conditionalFormatting>
  <conditionalFormatting sqref="F27">
    <cfRule type="cellIs" dxfId="41607" priority="81500" stopIfTrue="1" operator="lessThan">
      <formula>0.5</formula>
    </cfRule>
  </conditionalFormatting>
  <conditionalFormatting sqref="F27">
    <cfRule type="cellIs" dxfId="41606" priority="81501" stopIfTrue="1" operator="greaterThanOrEqual">
      <formula>0.5</formula>
    </cfRule>
  </conditionalFormatting>
  <conditionalFormatting sqref="F28">
    <cfRule type="cellIs" dxfId="41605" priority="81502" stopIfTrue="1" operator="equal">
      <formula>-1</formula>
    </cfRule>
  </conditionalFormatting>
  <conditionalFormatting sqref="F28">
    <cfRule type="cellIs" dxfId="41604" priority="81503" stopIfTrue="1" operator="lessThan">
      <formula>0.5</formula>
    </cfRule>
  </conditionalFormatting>
  <conditionalFormatting sqref="F28">
    <cfRule type="cellIs" dxfId="41603" priority="81504" stopIfTrue="1" operator="greaterThanOrEqual">
      <formula>0.5</formula>
    </cfRule>
  </conditionalFormatting>
  <conditionalFormatting sqref="F29">
    <cfRule type="cellIs" dxfId="41602" priority="81505" stopIfTrue="1" operator="equal">
      <formula>-1</formula>
    </cfRule>
  </conditionalFormatting>
  <conditionalFormatting sqref="F29">
    <cfRule type="cellIs" dxfId="41601" priority="81506" stopIfTrue="1" operator="lessThan">
      <formula>0.5</formula>
    </cfRule>
  </conditionalFormatting>
  <conditionalFormatting sqref="F29">
    <cfRule type="cellIs" dxfId="41600" priority="81507" stopIfTrue="1" operator="greaterThanOrEqual">
      <formula>0.5</formula>
    </cfRule>
  </conditionalFormatting>
  <conditionalFormatting sqref="F30">
    <cfRule type="cellIs" dxfId="41599" priority="81508" stopIfTrue="1" operator="equal">
      <formula>-1</formula>
    </cfRule>
  </conditionalFormatting>
  <conditionalFormatting sqref="F30">
    <cfRule type="cellIs" dxfId="41598" priority="81509" stopIfTrue="1" operator="lessThan">
      <formula>0.5</formula>
    </cfRule>
  </conditionalFormatting>
  <conditionalFormatting sqref="F30">
    <cfRule type="cellIs" dxfId="41597" priority="81510" stopIfTrue="1" operator="greaterThanOrEqual">
      <formula>0.5</formula>
    </cfRule>
  </conditionalFormatting>
  <conditionalFormatting sqref="F31">
    <cfRule type="cellIs" dxfId="41596" priority="81511" stopIfTrue="1" operator="equal">
      <formula>-1</formula>
    </cfRule>
  </conditionalFormatting>
  <conditionalFormatting sqref="F31">
    <cfRule type="cellIs" dxfId="41595" priority="81512" stopIfTrue="1" operator="lessThan">
      <formula>0.5</formula>
    </cfRule>
  </conditionalFormatting>
  <conditionalFormatting sqref="F31">
    <cfRule type="cellIs" dxfId="41594" priority="81513" stopIfTrue="1" operator="greaterThanOrEqual">
      <formula>0.5</formula>
    </cfRule>
  </conditionalFormatting>
  <conditionalFormatting sqref="F32">
    <cfRule type="cellIs" dxfId="41593" priority="81514" stopIfTrue="1" operator="equal">
      <formula>-1</formula>
    </cfRule>
  </conditionalFormatting>
  <conditionalFormatting sqref="F32">
    <cfRule type="cellIs" dxfId="41592" priority="81515" stopIfTrue="1" operator="lessThan">
      <formula>0.5</formula>
    </cfRule>
  </conditionalFormatting>
  <conditionalFormatting sqref="F32">
    <cfRule type="cellIs" dxfId="41591" priority="81516" stopIfTrue="1" operator="greaterThanOrEqual">
      <formula>0.5</formula>
    </cfRule>
  </conditionalFormatting>
  <conditionalFormatting sqref="F33">
    <cfRule type="cellIs" dxfId="41590" priority="81517" stopIfTrue="1" operator="equal">
      <formula>-1</formula>
    </cfRule>
  </conditionalFormatting>
  <conditionalFormatting sqref="F33">
    <cfRule type="cellIs" dxfId="41589" priority="81518" stopIfTrue="1" operator="lessThan">
      <formula>0.5</formula>
    </cfRule>
  </conditionalFormatting>
  <conditionalFormatting sqref="F33">
    <cfRule type="cellIs" dxfId="41588" priority="81519" stopIfTrue="1" operator="greaterThanOrEqual">
      <formula>0.5</formula>
    </cfRule>
  </conditionalFormatting>
  <conditionalFormatting sqref="F34">
    <cfRule type="cellIs" dxfId="41587" priority="81520" stopIfTrue="1" operator="equal">
      <formula>-1</formula>
    </cfRule>
  </conditionalFormatting>
  <conditionalFormatting sqref="F34">
    <cfRule type="cellIs" dxfId="41586" priority="81521" stopIfTrue="1" operator="lessThan">
      <formula>0.5</formula>
    </cfRule>
  </conditionalFormatting>
  <conditionalFormatting sqref="F34">
    <cfRule type="cellIs" dxfId="41585" priority="81522" stopIfTrue="1" operator="greaterThanOrEqual">
      <formula>0.5</formula>
    </cfRule>
  </conditionalFormatting>
  <conditionalFormatting sqref="F35">
    <cfRule type="cellIs" dxfId="41584" priority="81523" stopIfTrue="1" operator="equal">
      <formula>-1</formula>
    </cfRule>
  </conditionalFormatting>
  <conditionalFormatting sqref="F35">
    <cfRule type="cellIs" dxfId="41583" priority="81524" stopIfTrue="1" operator="lessThan">
      <formula>0.5</formula>
    </cfRule>
  </conditionalFormatting>
  <conditionalFormatting sqref="F35">
    <cfRule type="cellIs" dxfId="41582" priority="81525" stopIfTrue="1" operator="greaterThanOrEqual">
      <formula>0.5</formula>
    </cfRule>
  </conditionalFormatting>
  <conditionalFormatting sqref="F36">
    <cfRule type="cellIs" dxfId="41581" priority="81526" stopIfTrue="1" operator="equal">
      <formula>-1</formula>
    </cfRule>
  </conditionalFormatting>
  <conditionalFormatting sqref="F36">
    <cfRule type="cellIs" dxfId="41580" priority="81527" stopIfTrue="1" operator="lessThan">
      <formula>0.5</formula>
    </cfRule>
  </conditionalFormatting>
  <conditionalFormatting sqref="F36">
    <cfRule type="cellIs" dxfId="41579" priority="81528" stopIfTrue="1" operator="greaterThanOrEqual">
      <formula>0.5</formula>
    </cfRule>
  </conditionalFormatting>
  <conditionalFormatting sqref="F37">
    <cfRule type="cellIs" dxfId="41578" priority="81529" stopIfTrue="1" operator="equal">
      <formula>-1</formula>
    </cfRule>
  </conditionalFormatting>
  <conditionalFormatting sqref="F37">
    <cfRule type="cellIs" dxfId="41577" priority="81530" stopIfTrue="1" operator="lessThan">
      <formula>0.5</formula>
    </cfRule>
  </conditionalFormatting>
  <conditionalFormatting sqref="F37">
    <cfRule type="cellIs" dxfId="41576" priority="81531" stopIfTrue="1" operator="greaterThanOrEqual">
      <formula>0.5</formula>
    </cfRule>
  </conditionalFormatting>
  <conditionalFormatting sqref="H17">
    <cfRule type="cellIs" dxfId="41575" priority="81532" stopIfTrue="1" operator="equal">
      <formula>-1</formula>
    </cfRule>
  </conditionalFormatting>
  <conditionalFormatting sqref="H17">
    <cfRule type="cellIs" dxfId="41574" priority="81533" stopIfTrue="1" operator="lessThan">
      <formula>0.5</formula>
    </cfRule>
  </conditionalFormatting>
  <conditionalFormatting sqref="H17">
    <cfRule type="cellIs" dxfId="41573" priority="81534" stopIfTrue="1" operator="greaterThanOrEqual">
      <formula>0.5</formula>
    </cfRule>
  </conditionalFormatting>
  <conditionalFormatting sqref="H18">
    <cfRule type="cellIs" dxfId="41572" priority="81535" stopIfTrue="1" operator="equal">
      <formula>-1</formula>
    </cfRule>
  </conditionalFormatting>
  <conditionalFormatting sqref="H18">
    <cfRule type="cellIs" dxfId="41571" priority="81536" stopIfTrue="1" operator="lessThan">
      <formula>0.5</formula>
    </cfRule>
  </conditionalFormatting>
  <conditionalFormatting sqref="H18">
    <cfRule type="cellIs" dxfId="41570" priority="81537" stopIfTrue="1" operator="greaterThanOrEqual">
      <formula>0.5</formula>
    </cfRule>
  </conditionalFormatting>
  <conditionalFormatting sqref="H19">
    <cfRule type="cellIs" dxfId="41569" priority="81538" stopIfTrue="1" operator="equal">
      <formula>-1</formula>
    </cfRule>
  </conditionalFormatting>
  <conditionalFormatting sqref="H19">
    <cfRule type="cellIs" dxfId="41568" priority="81539" stopIfTrue="1" operator="lessThan">
      <formula>0.5</formula>
    </cfRule>
  </conditionalFormatting>
  <conditionalFormatting sqref="H19">
    <cfRule type="cellIs" dxfId="41567" priority="81540" stopIfTrue="1" operator="greaterThanOrEqual">
      <formula>0.5</formula>
    </cfRule>
  </conditionalFormatting>
  <conditionalFormatting sqref="H20">
    <cfRule type="cellIs" dxfId="41566" priority="81541" stopIfTrue="1" operator="equal">
      <formula>-1</formula>
    </cfRule>
  </conditionalFormatting>
  <conditionalFormatting sqref="H20">
    <cfRule type="cellIs" dxfId="41565" priority="81542" stopIfTrue="1" operator="lessThan">
      <formula>0.5</formula>
    </cfRule>
  </conditionalFormatting>
  <conditionalFormatting sqref="H20">
    <cfRule type="cellIs" dxfId="41564" priority="81543" stopIfTrue="1" operator="greaterThanOrEqual">
      <formula>0.5</formula>
    </cfRule>
  </conditionalFormatting>
  <conditionalFormatting sqref="H21">
    <cfRule type="cellIs" dxfId="41563" priority="81544" stopIfTrue="1" operator="equal">
      <formula>-1</formula>
    </cfRule>
  </conditionalFormatting>
  <conditionalFormatting sqref="H21">
    <cfRule type="cellIs" dxfId="41562" priority="81545" stopIfTrue="1" operator="lessThan">
      <formula>0.5</formula>
    </cfRule>
  </conditionalFormatting>
  <conditionalFormatting sqref="H21">
    <cfRule type="cellIs" dxfId="41561" priority="81546" stopIfTrue="1" operator="greaterThanOrEqual">
      <formula>0.5</formula>
    </cfRule>
  </conditionalFormatting>
  <conditionalFormatting sqref="H22">
    <cfRule type="cellIs" dxfId="41560" priority="81547" stopIfTrue="1" operator="equal">
      <formula>-1</formula>
    </cfRule>
  </conditionalFormatting>
  <conditionalFormatting sqref="H22">
    <cfRule type="cellIs" dxfId="41559" priority="81548" stopIfTrue="1" operator="lessThan">
      <formula>0.5</formula>
    </cfRule>
  </conditionalFormatting>
  <conditionalFormatting sqref="H22">
    <cfRule type="cellIs" dxfId="41558" priority="81549" stopIfTrue="1" operator="greaterThanOrEqual">
      <formula>0.5</formula>
    </cfRule>
  </conditionalFormatting>
  <conditionalFormatting sqref="H23">
    <cfRule type="cellIs" dxfId="41557" priority="81550" stopIfTrue="1" operator="equal">
      <formula>-1</formula>
    </cfRule>
  </conditionalFormatting>
  <conditionalFormatting sqref="H23">
    <cfRule type="cellIs" dxfId="41556" priority="81551" stopIfTrue="1" operator="lessThan">
      <formula>0.5</formula>
    </cfRule>
  </conditionalFormatting>
  <conditionalFormatting sqref="H23">
    <cfRule type="cellIs" dxfId="41555" priority="81552" stopIfTrue="1" operator="greaterThanOrEqual">
      <formula>0.5</formula>
    </cfRule>
  </conditionalFormatting>
  <conditionalFormatting sqref="H24">
    <cfRule type="cellIs" dxfId="41554" priority="81553" stopIfTrue="1" operator="equal">
      <formula>-1</formula>
    </cfRule>
  </conditionalFormatting>
  <conditionalFormatting sqref="H24">
    <cfRule type="cellIs" dxfId="41553" priority="81554" stopIfTrue="1" operator="lessThan">
      <formula>0.5</formula>
    </cfRule>
  </conditionalFormatting>
  <conditionalFormatting sqref="H24">
    <cfRule type="cellIs" dxfId="41552" priority="81555" stopIfTrue="1" operator="greaterThanOrEqual">
      <formula>0.5</formula>
    </cfRule>
  </conditionalFormatting>
  <conditionalFormatting sqref="H25">
    <cfRule type="cellIs" dxfId="41551" priority="81556" stopIfTrue="1" operator="equal">
      <formula>-1</formula>
    </cfRule>
  </conditionalFormatting>
  <conditionalFormatting sqref="H25">
    <cfRule type="cellIs" dxfId="41550" priority="81557" stopIfTrue="1" operator="lessThan">
      <formula>0.5</formula>
    </cfRule>
  </conditionalFormatting>
  <conditionalFormatting sqref="H25">
    <cfRule type="cellIs" dxfId="41549" priority="81558" stopIfTrue="1" operator="greaterThanOrEqual">
      <formula>0.5</formula>
    </cfRule>
  </conditionalFormatting>
  <conditionalFormatting sqref="H26">
    <cfRule type="cellIs" dxfId="41548" priority="81559" stopIfTrue="1" operator="equal">
      <formula>-1</formula>
    </cfRule>
  </conditionalFormatting>
  <conditionalFormatting sqref="H26">
    <cfRule type="cellIs" dxfId="41547" priority="81560" stopIfTrue="1" operator="lessThan">
      <formula>0.5</formula>
    </cfRule>
  </conditionalFormatting>
  <conditionalFormatting sqref="H26">
    <cfRule type="cellIs" dxfId="41546" priority="81561" stopIfTrue="1" operator="greaterThanOrEqual">
      <formula>0.5</formula>
    </cfRule>
  </conditionalFormatting>
  <conditionalFormatting sqref="H27">
    <cfRule type="cellIs" dxfId="41545" priority="81562" stopIfTrue="1" operator="equal">
      <formula>-1</formula>
    </cfRule>
  </conditionalFormatting>
  <conditionalFormatting sqref="H27">
    <cfRule type="cellIs" dxfId="41544" priority="81563" stopIfTrue="1" operator="lessThan">
      <formula>0.5</formula>
    </cfRule>
  </conditionalFormatting>
  <conditionalFormatting sqref="H27">
    <cfRule type="cellIs" dxfId="41543" priority="81564" stopIfTrue="1" operator="greaterThanOrEqual">
      <formula>0.5</formula>
    </cfRule>
  </conditionalFormatting>
  <conditionalFormatting sqref="H28">
    <cfRule type="cellIs" dxfId="41542" priority="81565" stopIfTrue="1" operator="equal">
      <formula>-1</formula>
    </cfRule>
  </conditionalFormatting>
  <conditionalFormatting sqref="H28">
    <cfRule type="cellIs" dxfId="41541" priority="81566" stopIfTrue="1" operator="lessThan">
      <formula>0.5</formula>
    </cfRule>
  </conditionalFormatting>
  <conditionalFormatting sqref="H28">
    <cfRule type="cellIs" dxfId="41540" priority="81567" stopIfTrue="1" operator="greaterThanOrEqual">
      <formula>0.5</formula>
    </cfRule>
  </conditionalFormatting>
  <conditionalFormatting sqref="H29">
    <cfRule type="cellIs" dxfId="41539" priority="81568" stopIfTrue="1" operator="equal">
      <formula>-1</formula>
    </cfRule>
  </conditionalFormatting>
  <conditionalFormatting sqref="H29">
    <cfRule type="cellIs" dxfId="41538" priority="81569" stopIfTrue="1" operator="lessThan">
      <formula>0.5</formula>
    </cfRule>
  </conditionalFormatting>
  <conditionalFormatting sqref="H29">
    <cfRule type="cellIs" dxfId="41537" priority="81570" stopIfTrue="1" operator="greaterThanOrEqual">
      <formula>0.5</formula>
    </cfRule>
  </conditionalFormatting>
  <conditionalFormatting sqref="H30">
    <cfRule type="cellIs" dxfId="41536" priority="81571" stopIfTrue="1" operator="equal">
      <formula>-1</formula>
    </cfRule>
  </conditionalFormatting>
  <conditionalFormatting sqref="H30">
    <cfRule type="cellIs" dxfId="41535" priority="81572" stopIfTrue="1" operator="lessThan">
      <formula>0.5</formula>
    </cfRule>
  </conditionalFormatting>
  <conditionalFormatting sqref="H30">
    <cfRule type="cellIs" dxfId="41534" priority="81573" stopIfTrue="1" operator="greaterThanOrEqual">
      <formula>0.5</formula>
    </cfRule>
  </conditionalFormatting>
  <conditionalFormatting sqref="H31">
    <cfRule type="cellIs" dxfId="41533" priority="81574" stopIfTrue="1" operator="equal">
      <formula>-1</formula>
    </cfRule>
  </conditionalFormatting>
  <conditionalFormatting sqref="H31">
    <cfRule type="cellIs" dxfId="41532" priority="81575" stopIfTrue="1" operator="lessThan">
      <formula>0.5</formula>
    </cfRule>
  </conditionalFormatting>
  <conditionalFormatting sqref="H31">
    <cfRule type="cellIs" dxfId="41531" priority="81576" stopIfTrue="1" operator="greaterThanOrEqual">
      <formula>0.5</formula>
    </cfRule>
  </conditionalFormatting>
  <conditionalFormatting sqref="H32">
    <cfRule type="cellIs" dxfId="41530" priority="81577" stopIfTrue="1" operator="equal">
      <formula>-1</formula>
    </cfRule>
  </conditionalFormatting>
  <conditionalFormatting sqref="H32">
    <cfRule type="cellIs" dxfId="41529" priority="81578" stopIfTrue="1" operator="lessThan">
      <formula>0.5</formula>
    </cfRule>
  </conditionalFormatting>
  <conditionalFormatting sqref="H32">
    <cfRule type="cellIs" dxfId="41528" priority="81579" stopIfTrue="1" operator="greaterThanOrEqual">
      <formula>0.5</formula>
    </cfRule>
  </conditionalFormatting>
  <conditionalFormatting sqref="H33">
    <cfRule type="cellIs" dxfId="41527" priority="81580" stopIfTrue="1" operator="equal">
      <formula>-1</formula>
    </cfRule>
  </conditionalFormatting>
  <conditionalFormatting sqref="H33">
    <cfRule type="cellIs" dxfId="41526" priority="81581" stopIfTrue="1" operator="lessThan">
      <formula>0.5</formula>
    </cfRule>
  </conditionalFormatting>
  <conditionalFormatting sqref="H33">
    <cfRule type="cellIs" dxfId="41525" priority="81582" stopIfTrue="1" operator="greaterThanOrEqual">
      <formula>0.5</formula>
    </cfRule>
  </conditionalFormatting>
  <conditionalFormatting sqref="H34">
    <cfRule type="cellIs" dxfId="41524" priority="81583" stopIfTrue="1" operator="equal">
      <formula>-1</formula>
    </cfRule>
  </conditionalFormatting>
  <conditionalFormatting sqref="H34">
    <cfRule type="cellIs" dxfId="41523" priority="81584" stopIfTrue="1" operator="lessThan">
      <formula>0.5</formula>
    </cfRule>
  </conditionalFormatting>
  <conditionalFormatting sqref="H34">
    <cfRule type="cellIs" dxfId="41522" priority="81585" stopIfTrue="1" operator="greaterThanOrEqual">
      <formula>0.5</formula>
    </cfRule>
  </conditionalFormatting>
  <conditionalFormatting sqref="H35">
    <cfRule type="cellIs" dxfId="41521" priority="81586" stopIfTrue="1" operator="equal">
      <formula>-1</formula>
    </cfRule>
  </conditionalFormatting>
  <conditionalFormatting sqref="H35">
    <cfRule type="cellIs" dxfId="41520" priority="81587" stopIfTrue="1" operator="lessThan">
      <formula>0.5</formula>
    </cfRule>
  </conditionalFormatting>
  <conditionalFormatting sqref="H35">
    <cfRule type="cellIs" dxfId="41519" priority="81588" stopIfTrue="1" operator="greaterThanOrEqual">
      <formula>0.5</formula>
    </cfRule>
  </conditionalFormatting>
  <conditionalFormatting sqref="H36">
    <cfRule type="cellIs" dxfId="41518" priority="81589" stopIfTrue="1" operator="equal">
      <formula>-1</formula>
    </cfRule>
  </conditionalFormatting>
  <conditionalFormatting sqref="H36">
    <cfRule type="cellIs" dxfId="41517" priority="81590" stopIfTrue="1" operator="lessThan">
      <formula>0.5</formula>
    </cfRule>
  </conditionalFormatting>
  <conditionalFormatting sqref="H36">
    <cfRule type="cellIs" dxfId="41516" priority="81591" stopIfTrue="1" operator="greaterThanOrEqual">
      <formula>0.5</formula>
    </cfRule>
  </conditionalFormatting>
  <conditionalFormatting sqref="H37">
    <cfRule type="cellIs" dxfId="41515" priority="81592" stopIfTrue="1" operator="equal">
      <formula>-1</formula>
    </cfRule>
  </conditionalFormatting>
  <conditionalFormatting sqref="H37">
    <cfRule type="cellIs" dxfId="41514" priority="81593" stopIfTrue="1" operator="lessThan">
      <formula>0.5</formula>
    </cfRule>
  </conditionalFormatting>
  <conditionalFormatting sqref="H37">
    <cfRule type="cellIs" dxfId="41513" priority="81594" stopIfTrue="1" operator="greaterThanOrEqual">
      <formula>0.5</formula>
    </cfRule>
  </conditionalFormatting>
  <conditionalFormatting sqref="J17">
    <cfRule type="cellIs" dxfId="41512" priority="81595" stopIfTrue="1" operator="equal">
      <formula>-1</formula>
    </cfRule>
  </conditionalFormatting>
  <conditionalFormatting sqref="J17">
    <cfRule type="cellIs" dxfId="41511" priority="81596" stopIfTrue="1" operator="lessThan">
      <formula>0.5</formula>
    </cfRule>
  </conditionalFormatting>
  <conditionalFormatting sqref="J17">
    <cfRule type="cellIs" dxfId="41510" priority="81597" stopIfTrue="1" operator="greaterThanOrEqual">
      <formula>0.5</formula>
    </cfRule>
  </conditionalFormatting>
  <conditionalFormatting sqref="J18">
    <cfRule type="cellIs" dxfId="41509" priority="81598" stopIfTrue="1" operator="equal">
      <formula>-1</formula>
    </cfRule>
  </conditionalFormatting>
  <conditionalFormatting sqref="J18">
    <cfRule type="cellIs" dxfId="41508" priority="81599" stopIfTrue="1" operator="lessThan">
      <formula>0.5</formula>
    </cfRule>
  </conditionalFormatting>
  <conditionalFormatting sqref="J18">
    <cfRule type="cellIs" dxfId="41507" priority="81600" stopIfTrue="1" operator="greaterThanOrEqual">
      <formula>0.5</formula>
    </cfRule>
  </conditionalFormatting>
  <conditionalFormatting sqref="J19">
    <cfRule type="cellIs" dxfId="41506" priority="81601" stopIfTrue="1" operator="equal">
      <formula>-1</formula>
    </cfRule>
  </conditionalFormatting>
  <conditionalFormatting sqref="J19">
    <cfRule type="cellIs" dxfId="41505" priority="81602" stopIfTrue="1" operator="lessThan">
      <formula>0.5</formula>
    </cfRule>
  </conditionalFormatting>
  <conditionalFormatting sqref="J19">
    <cfRule type="cellIs" dxfId="41504" priority="81603" stopIfTrue="1" operator="greaterThanOrEqual">
      <formula>0.5</formula>
    </cfRule>
  </conditionalFormatting>
  <conditionalFormatting sqref="J20">
    <cfRule type="cellIs" dxfId="41503" priority="81604" stopIfTrue="1" operator="equal">
      <formula>-1</formula>
    </cfRule>
  </conditionalFormatting>
  <conditionalFormatting sqref="J20">
    <cfRule type="cellIs" dxfId="41502" priority="81605" stopIfTrue="1" operator="lessThan">
      <formula>0.5</formula>
    </cfRule>
  </conditionalFormatting>
  <conditionalFormatting sqref="J20">
    <cfRule type="cellIs" dxfId="41501" priority="81606" stopIfTrue="1" operator="greaterThanOrEqual">
      <formula>0.5</formula>
    </cfRule>
  </conditionalFormatting>
  <conditionalFormatting sqref="J21">
    <cfRule type="cellIs" dxfId="41500" priority="81607" stopIfTrue="1" operator="equal">
      <formula>-1</formula>
    </cfRule>
  </conditionalFormatting>
  <conditionalFormatting sqref="J21">
    <cfRule type="cellIs" dxfId="41499" priority="81608" stopIfTrue="1" operator="lessThan">
      <formula>0.5</formula>
    </cfRule>
  </conditionalFormatting>
  <conditionalFormatting sqref="J21">
    <cfRule type="cellIs" dxfId="41498" priority="81609" stopIfTrue="1" operator="greaterThanOrEqual">
      <formula>0.5</formula>
    </cfRule>
  </conditionalFormatting>
  <conditionalFormatting sqref="J22">
    <cfRule type="cellIs" dxfId="41497" priority="81610" stopIfTrue="1" operator="equal">
      <formula>-1</formula>
    </cfRule>
  </conditionalFormatting>
  <conditionalFormatting sqref="J22">
    <cfRule type="cellIs" dxfId="41496" priority="81611" stopIfTrue="1" operator="lessThan">
      <formula>0.5</formula>
    </cfRule>
  </conditionalFormatting>
  <conditionalFormatting sqref="J22">
    <cfRule type="cellIs" dxfId="41495" priority="81612" stopIfTrue="1" operator="greaterThanOrEqual">
      <formula>0.5</formula>
    </cfRule>
  </conditionalFormatting>
  <conditionalFormatting sqref="J23">
    <cfRule type="cellIs" dxfId="41494" priority="81613" stopIfTrue="1" operator="equal">
      <formula>-1</formula>
    </cfRule>
  </conditionalFormatting>
  <conditionalFormatting sqref="J23">
    <cfRule type="cellIs" dxfId="41493" priority="81614" stopIfTrue="1" operator="lessThan">
      <formula>0.5</formula>
    </cfRule>
  </conditionalFormatting>
  <conditionalFormatting sqref="J23">
    <cfRule type="cellIs" dxfId="41492" priority="81615" stopIfTrue="1" operator="greaterThanOrEqual">
      <formula>0.5</formula>
    </cfRule>
  </conditionalFormatting>
  <conditionalFormatting sqref="J24">
    <cfRule type="cellIs" dxfId="41491" priority="81616" stopIfTrue="1" operator="equal">
      <formula>-1</formula>
    </cfRule>
  </conditionalFormatting>
  <conditionalFormatting sqref="J24">
    <cfRule type="cellIs" dxfId="41490" priority="81617" stopIfTrue="1" operator="lessThan">
      <formula>0.5</formula>
    </cfRule>
  </conditionalFormatting>
  <conditionalFormatting sqref="J24">
    <cfRule type="cellIs" dxfId="41489" priority="81618" stopIfTrue="1" operator="greaterThanOrEqual">
      <formula>0.5</formula>
    </cfRule>
  </conditionalFormatting>
  <conditionalFormatting sqref="J25">
    <cfRule type="cellIs" dxfId="41488" priority="81619" stopIfTrue="1" operator="equal">
      <formula>-1</formula>
    </cfRule>
  </conditionalFormatting>
  <conditionalFormatting sqref="J25">
    <cfRule type="cellIs" dxfId="41487" priority="81620" stopIfTrue="1" operator="lessThan">
      <formula>0.5</formula>
    </cfRule>
  </conditionalFormatting>
  <conditionalFormatting sqref="J25">
    <cfRule type="cellIs" dxfId="41486" priority="81621" stopIfTrue="1" operator="greaterThanOrEqual">
      <formula>0.5</formula>
    </cfRule>
  </conditionalFormatting>
  <conditionalFormatting sqref="J26">
    <cfRule type="cellIs" dxfId="41485" priority="81622" stopIfTrue="1" operator="equal">
      <formula>-1</formula>
    </cfRule>
  </conditionalFormatting>
  <conditionalFormatting sqref="J26">
    <cfRule type="cellIs" dxfId="41484" priority="81623" stopIfTrue="1" operator="lessThan">
      <formula>0.5</formula>
    </cfRule>
  </conditionalFormatting>
  <conditionalFormatting sqref="J26">
    <cfRule type="cellIs" dxfId="41483" priority="81624" stopIfTrue="1" operator="greaterThanOrEqual">
      <formula>0.5</formula>
    </cfRule>
  </conditionalFormatting>
  <conditionalFormatting sqref="J27">
    <cfRule type="cellIs" dxfId="41482" priority="81625" stopIfTrue="1" operator="equal">
      <formula>-1</formula>
    </cfRule>
  </conditionalFormatting>
  <conditionalFormatting sqref="J27">
    <cfRule type="cellIs" dxfId="41481" priority="81626" stopIfTrue="1" operator="lessThan">
      <formula>0.5</formula>
    </cfRule>
  </conditionalFormatting>
  <conditionalFormatting sqref="J27">
    <cfRule type="cellIs" dxfId="41480" priority="81627" stopIfTrue="1" operator="greaterThanOrEqual">
      <formula>0.5</formula>
    </cfRule>
  </conditionalFormatting>
  <conditionalFormatting sqref="J28">
    <cfRule type="cellIs" dxfId="41479" priority="81628" stopIfTrue="1" operator="equal">
      <formula>-1</formula>
    </cfRule>
  </conditionalFormatting>
  <conditionalFormatting sqref="J28">
    <cfRule type="cellIs" dxfId="41478" priority="81629" stopIfTrue="1" operator="lessThan">
      <formula>0.5</formula>
    </cfRule>
  </conditionalFormatting>
  <conditionalFormatting sqref="J28">
    <cfRule type="cellIs" dxfId="41477" priority="81630" stopIfTrue="1" operator="greaterThanOrEqual">
      <formula>0.5</formula>
    </cfRule>
  </conditionalFormatting>
  <conditionalFormatting sqref="J29">
    <cfRule type="cellIs" dxfId="41476" priority="81631" stopIfTrue="1" operator="equal">
      <formula>-1</formula>
    </cfRule>
  </conditionalFormatting>
  <conditionalFormatting sqref="J29">
    <cfRule type="cellIs" dxfId="41475" priority="81632" stopIfTrue="1" operator="lessThan">
      <formula>0.5</formula>
    </cfRule>
  </conditionalFormatting>
  <conditionalFormatting sqref="J29">
    <cfRule type="cellIs" dxfId="41474" priority="81633" stopIfTrue="1" operator="greaterThanOrEqual">
      <formula>0.5</formula>
    </cfRule>
  </conditionalFormatting>
  <conditionalFormatting sqref="J30">
    <cfRule type="cellIs" dxfId="41473" priority="81634" stopIfTrue="1" operator="equal">
      <formula>-1</formula>
    </cfRule>
  </conditionalFormatting>
  <conditionalFormatting sqref="J30">
    <cfRule type="cellIs" dxfId="41472" priority="81635" stopIfTrue="1" operator="lessThan">
      <formula>0.5</formula>
    </cfRule>
  </conditionalFormatting>
  <conditionalFormatting sqref="J30">
    <cfRule type="cellIs" dxfId="41471" priority="81636" stopIfTrue="1" operator="greaterThanOrEqual">
      <formula>0.5</formula>
    </cfRule>
  </conditionalFormatting>
  <conditionalFormatting sqref="J31">
    <cfRule type="cellIs" dxfId="41470" priority="81637" stopIfTrue="1" operator="equal">
      <formula>-1</formula>
    </cfRule>
  </conditionalFormatting>
  <conditionalFormatting sqref="J31">
    <cfRule type="cellIs" dxfId="41469" priority="81638" stopIfTrue="1" operator="lessThan">
      <formula>0.5</formula>
    </cfRule>
  </conditionalFormatting>
  <conditionalFormatting sqref="J31">
    <cfRule type="cellIs" dxfId="41468" priority="81639" stopIfTrue="1" operator="greaterThanOrEqual">
      <formula>0.5</formula>
    </cfRule>
  </conditionalFormatting>
  <conditionalFormatting sqref="J32">
    <cfRule type="cellIs" dxfId="41467" priority="81640" stopIfTrue="1" operator="equal">
      <formula>-1</formula>
    </cfRule>
  </conditionalFormatting>
  <conditionalFormatting sqref="J32">
    <cfRule type="cellIs" dxfId="41466" priority="81641" stopIfTrue="1" operator="lessThan">
      <formula>0.5</formula>
    </cfRule>
  </conditionalFormatting>
  <conditionalFormatting sqref="J32">
    <cfRule type="cellIs" dxfId="41465" priority="81642" stopIfTrue="1" operator="greaterThanOrEqual">
      <formula>0.5</formula>
    </cfRule>
  </conditionalFormatting>
  <conditionalFormatting sqref="J33">
    <cfRule type="cellIs" dxfId="41464" priority="81643" stopIfTrue="1" operator="equal">
      <formula>-1</formula>
    </cfRule>
  </conditionalFormatting>
  <conditionalFormatting sqref="J33">
    <cfRule type="cellIs" dxfId="41463" priority="81644" stopIfTrue="1" operator="lessThan">
      <formula>0.5</formula>
    </cfRule>
  </conditionalFormatting>
  <conditionalFormatting sqref="J33">
    <cfRule type="cellIs" dxfId="41462" priority="81645" stopIfTrue="1" operator="greaterThanOrEqual">
      <formula>0.5</formula>
    </cfRule>
  </conditionalFormatting>
  <conditionalFormatting sqref="J34">
    <cfRule type="cellIs" dxfId="41461" priority="81646" stopIfTrue="1" operator="equal">
      <formula>-1</formula>
    </cfRule>
  </conditionalFormatting>
  <conditionalFormatting sqref="J34">
    <cfRule type="cellIs" dxfId="41460" priority="81647" stopIfTrue="1" operator="lessThan">
      <formula>0.5</formula>
    </cfRule>
  </conditionalFormatting>
  <conditionalFormatting sqref="J34">
    <cfRule type="cellIs" dxfId="41459" priority="81648" stopIfTrue="1" operator="greaterThanOrEqual">
      <formula>0.5</formula>
    </cfRule>
  </conditionalFormatting>
  <conditionalFormatting sqref="J35">
    <cfRule type="cellIs" dxfId="41458" priority="81649" stopIfTrue="1" operator="equal">
      <formula>-1</formula>
    </cfRule>
  </conditionalFormatting>
  <conditionalFormatting sqref="J35">
    <cfRule type="cellIs" dxfId="41457" priority="81650" stopIfTrue="1" operator="lessThan">
      <formula>0.5</formula>
    </cfRule>
  </conditionalFormatting>
  <conditionalFormatting sqref="J35">
    <cfRule type="cellIs" dxfId="41456" priority="81651" stopIfTrue="1" operator="greaterThanOrEqual">
      <formula>0.5</formula>
    </cfRule>
  </conditionalFormatting>
  <conditionalFormatting sqref="J36">
    <cfRule type="cellIs" dxfId="41455" priority="81652" stopIfTrue="1" operator="equal">
      <formula>-1</formula>
    </cfRule>
  </conditionalFormatting>
  <conditionalFormatting sqref="J36">
    <cfRule type="cellIs" dxfId="41454" priority="81653" stopIfTrue="1" operator="lessThan">
      <formula>0.5</formula>
    </cfRule>
  </conditionalFormatting>
  <conditionalFormatting sqref="J36">
    <cfRule type="cellIs" dxfId="41453" priority="81654" stopIfTrue="1" operator="greaterThanOrEqual">
      <formula>0.5</formula>
    </cfRule>
  </conditionalFormatting>
  <conditionalFormatting sqref="J37">
    <cfRule type="cellIs" dxfId="41452" priority="81655" stopIfTrue="1" operator="equal">
      <formula>-1</formula>
    </cfRule>
  </conditionalFormatting>
  <conditionalFormatting sqref="J37">
    <cfRule type="cellIs" dxfId="41451" priority="81656" stopIfTrue="1" operator="lessThan">
      <formula>0.5</formula>
    </cfRule>
  </conditionalFormatting>
  <conditionalFormatting sqref="J37">
    <cfRule type="cellIs" dxfId="41450" priority="81657" stopIfTrue="1" operator="greaterThanOrEqual">
      <formula>0.5</formula>
    </cfRule>
  </conditionalFormatting>
  <conditionalFormatting sqref="L17">
    <cfRule type="cellIs" dxfId="41449" priority="81658" stopIfTrue="1" operator="equal">
      <formula>-1</formula>
    </cfRule>
  </conditionalFormatting>
  <conditionalFormatting sqref="L17">
    <cfRule type="cellIs" dxfId="41448" priority="81659" stopIfTrue="1" operator="lessThan">
      <formula>0.5</formula>
    </cfRule>
  </conditionalFormatting>
  <conditionalFormatting sqref="L17">
    <cfRule type="cellIs" dxfId="41447" priority="81660" stopIfTrue="1" operator="greaterThanOrEqual">
      <formula>0.5</formula>
    </cfRule>
  </conditionalFormatting>
  <conditionalFormatting sqref="L18">
    <cfRule type="cellIs" dxfId="41446" priority="81661" stopIfTrue="1" operator="equal">
      <formula>-1</formula>
    </cfRule>
  </conditionalFormatting>
  <conditionalFormatting sqref="L18">
    <cfRule type="cellIs" dxfId="41445" priority="81662" stopIfTrue="1" operator="lessThan">
      <formula>0.5</formula>
    </cfRule>
  </conditionalFormatting>
  <conditionalFormatting sqref="L18">
    <cfRule type="cellIs" dxfId="41444" priority="81663" stopIfTrue="1" operator="greaterThanOrEqual">
      <formula>0.5</formula>
    </cfRule>
  </conditionalFormatting>
  <conditionalFormatting sqref="L19">
    <cfRule type="cellIs" dxfId="41443" priority="81664" stopIfTrue="1" operator="equal">
      <formula>-1</formula>
    </cfRule>
  </conditionalFormatting>
  <conditionalFormatting sqref="L19">
    <cfRule type="cellIs" dxfId="41442" priority="81665" stopIfTrue="1" operator="lessThan">
      <formula>0.5</formula>
    </cfRule>
  </conditionalFormatting>
  <conditionalFormatting sqref="L19">
    <cfRule type="cellIs" dxfId="41441" priority="81666" stopIfTrue="1" operator="greaterThanOrEqual">
      <formula>0.5</formula>
    </cfRule>
  </conditionalFormatting>
  <conditionalFormatting sqref="L20">
    <cfRule type="cellIs" dxfId="41440" priority="81667" stopIfTrue="1" operator="equal">
      <formula>-1</formula>
    </cfRule>
  </conditionalFormatting>
  <conditionalFormatting sqref="L20">
    <cfRule type="cellIs" dxfId="41439" priority="81668" stopIfTrue="1" operator="lessThan">
      <formula>0.5</formula>
    </cfRule>
  </conditionalFormatting>
  <conditionalFormatting sqref="L20">
    <cfRule type="cellIs" dxfId="41438" priority="81669" stopIfTrue="1" operator="greaterThanOrEqual">
      <formula>0.5</formula>
    </cfRule>
  </conditionalFormatting>
  <conditionalFormatting sqref="L21">
    <cfRule type="cellIs" dxfId="41437" priority="81670" stopIfTrue="1" operator="equal">
      <formula>-1</formula>
    </cfRule>
  </conditionalFormatting>
  <conditionalFormatting sqref="L21">
    <cfRule type="cellIs" dxfId="41436" priority="81671" stopIfTrue="1" operator="lessThan">
      <formula>0.5</formula>
    </cfRule>
  </conditionalFormatting>
  <conditionalFormatting sqref="L21">
    <cfRule type="cellIs" dxfId="41435" priority="81672" stopIfTrue="1" operator="greaterThanOrEqual">
      <formula>0.5</formula>
    </cfRule>
  </conditionalFormatting>
  <conditionalFormatting sqref="L22">
    <cfRule type="cellIs" dxfId="41434" priority="81673" stopIfTrue="1" operator="equal">
      <formula>-1</formula>
    </cfRule>
  </conditionalFormatting>
  <conditionalFormatting sqref="L22">
    <cfRule type="cellIs" dxfId="41433" priority="81674" stopIfTrue="1" operator="lessThan">
      <formula>0.5</formula>
    </cfRule>
  </conditionalFormatting>
  <conditionalFormatting sqref="L22">
    <cfRule type="cellIs" dxfId="41432" priority="81675" stopIfTrue="1" operator="greaterThanOrEqual">
      <formula>0.5</formula>
    </cfRule>
  </conditionalFormatting>
  <conditionalFormatting sqref="L23">
    <cfRule type="cellIs" dxfId="41431" priority="81676" stopIfTrue="1" operator="equal">
      <formula>-1</formula>
    </cfRule>
  </conditionalFormatting>
  <conditionalFormatting sqref="L23">
    <cfRule type="cellIs" dxfId="41430" priority="81677" stopIfTrue="1" operator="lessThan">
      <formula>0.5</formula>
    </cfRule>
  </conditionalFormatting>
  <conditionalFormatting sqref="L23">
    <cfRule type="cellIs" dxfId="41429" priority="81678" stopIfTrue="1" operator="greaterThanOrEqual">
      <formula>0.5</formula>
    </cfRule>
  </conditionalFormatting>
  <conditionalFormatting sqref="L24">
    <cfRule type="cellIs" dxfId="41428" priority="81679" stopIfTrue="1" operator="equal">
      <formula>-1</formula>
    </cfRule>
  </conditionalFormatting>
  <conditionalFormatting sqref="L24">
    <cfRule type="cellIs" dxfId="41427" priority="81680" stopIfTrue="1" operator="lessThan">
      <formula>0.5</formula>
    </cfRule>
  </conditionalFormatting>
  <conditionalFormatting sqref="L24">
    <cfRule type="cellIs" dxfId="41426" priority="81681" stopIfTrue="1" operator="greaterThanOrEqual">
      <formula>0.5</formula>
    </cfRule>
  </conditionalFormatting>
  <conditionalFormatting sqref="L25">
    <cfRule type="cellIs" dxfId="41425" priority="81682" stopIfTrue="1" operator="equal">
      <formula>-1</formula>
    </cfRule>
  </conditionalFormatting>
  <conditionalFormatting sqref="L25">
    <cfRule type="cellIs" dxfId="41424" priority="81683" stopIfTrue="1" operator="lessThan">
      <formula>0.5</formula>
    </cfRule>
  </conditionalFormatting>
  <conditionalFormatting sqref="L25">
    <cfRule type="cellIs" dxfId="41423" priority="81684" stopIfTrue="1" operator="greaterThanOrEqual">
      <formula>0.5</formula>
    </cfRule>
  </conditionalFormatting>
  <conditionalFormatting sqref="L26">
    <cfRule type="cellIs" dxfId="41422" priority="81685" stopIfTrue="1" operator="equal">
      <formula>-1</formula>
    </cfRule>
  </conditionalFormatting>
  <conditionalFormatting sqref="L26">
    <cfRule type="cellIs" dxfId="41421" priority="81686" stopIfTrue="1" operator="lessThan">
      <formula>0.5</formula>
    </cfRule>
  </conditionalFormatting>
  <conditionalFormatting sqref="L26">
    <cfRule type="cellIs" dxfId="41420" priority="81687" stopIfTrue="1" operator="greaterThanOrEqual">
      <formula>0.5</formula>
    </cfRule>
  </conditionalFormatting>
  <conditionalFormatting sqref="L27">
    <cfRule type="cellIs" dxfId="41419" priority="81688" stopIfTrue="1" operator="equal">
      <formula>-1</formula>
    </cfRule>
  </conditionalFormatting>
  <conditionalFormatting sqref="L27">
    <cfRule type="cellIs" dxfId="41418" priority="81689" stopIfTrue="1" operator="lessThan">
      <formula>0.5</formula>
    </cfRule>
  </conditionalFormatting>
  <conditionalFormatting sqref="L27">
    <cfRule type="cellIs" dxfId="41417" priority="81690" stopIfTrue="1" operator="greaterThanOrEqual">
      <formula>0.5</formula>
    </cfRule>
  </conditionalFormatting>
  <conditionalFormatting sqref="L28">
    <cfRule type="cellIs" dxfId="41416" priority="81691" stopIfTrue="1" operator="equal">
      <formula>-1</formula>
    </cfRule>
  </conditionalFormatting>
  <conditionalFormatting sqref="L28">
    <cfRule type="cellIs" dxfId="41415" priority="81692" stopIfTrue="1" operator="lessThan">
      <formula>0.5</formula>
    </cfRule>
  </conditionalFormatting>
  <conditionalFormatting sqref="L28">
    <cfRule type="cellIs" dxfId="41414" priority="81693" stopIfTrue="1" operator="greaterThanOrEqual">
      <formula>0.5</formula>
    </cfRule>
  </conditionalFormatting>
  <conditionalFormatting sqref="L29">
    <cfRule type="cellIs" dxfId="41413" priority="81694" stopIfTrue="1" operator="equal">
      <formula>-1</formula>
    </cfRule>
  </conditionalFormatting>
  <conditionalFormatting sqref="L29">
    <cfRule type="cellIs" dxfId="41412" priority="81695" stopIfTrue="1" operator="lessThan">
      <formula>0.5</formula>
    </cfRule>
  </conditionalFormatting>
  <conditionalFormatting sqref="L29">
    <cfRule type="cellIs" dxfId="41411" priority="81696" stopIfTrue="1" operator="greaterThanOrEqual">
      <formula>0.5</formula>
    </cfRule>
  </conditionalFormatting>
  <conditionalFormatting sqref="L30">
    <cfRule type="cellIs" dxfId="41410" priority="81697" stopIfTrue="1" operator="equal">
      <formula>-1</formula>
    </cfRule>
  </conditionalFormatting>
  <conditionalFormatting sqref="L30">
    <cfRule type="cellIs" dxfId="41409" priority="81698" stopIfTrue="1" operator="lessThan">
      <formula>0.5</formula>
    </cfRule>
  </conditionalFormatting>
  <conditionalFormatting sqref="L30">
    <cfRule type="cellIs" dxfId="41408" priority="81699" stopIfTrue="1" operator="greaterThanOrEqual">
      <formula>0.5</formula>
    </cfRule>
  </conditionalFormatting>
  <conditionalFormatting sqref="L31">
    <cfRule type="cellIs" dxfId="41407" priority="81700" stopIfTrue="1" operator="equal">
      <formula>-1</formula>
    </cfRule>
  </conditionalFormatting>
  <conditionalFormatting sqref="L31">
    <cfRule type="cellIs" dxfId="41406" priority="81701" stopIfTrue="1" operator="lessThan">
      <formula>0.5</formula>
    </cfRule>
  </conditionalFormatting>
  <conditionalFormatting sqref="L31">
    <cfRule type="cellIs" dxfId="41405" priority="81702" stopIfTrue="1" operator="greaterThanOrEqual">
      <formula>0.5</formula>
    </cfRule>
  </conditionalFormatting>
  <conditionalFormatting sqref="L32">
    <cfRule type="cellIs" dxfId="41404" priority="81703" stopIfTrue="1" operator="equal">
      <formula>-1</formula>
    </cfRule>
  </conditionalFormatting>
  <conditionalFormatting sqref="L32">
    <cfRule type="cellIs" dxfId="41403" priority="81704" stopIfTrue="1" operator="lessThan">
      <formula>0.5</formula>
    </cfRule>
  </conditionalFormatting>
  <conditionalFormatting sqref="L32">
    <cfRule type="cellIs" dxfId="41402" priority="81705" stopIfTrue="1" operator="greaterThanOrEqual">
      <formula>0.5</formula>
    </cfRule>
  </conditionalFormatting>
  <conditionalFormatting sqref="L33">
    <cfRule type="cellIs" dxfId="41401" priority="81706" stopIfTrue="1" operator="equal">
      <formula>-1</formula>
    </cfRule>
  </conditionalFormatting>
  <conditionalFormatting sqref="L33">
    <cfRule type="cellIs" dxfId="41400" priority="81707" stopIfTrue="1" operator="lessThan">
      <formula>0.5</formula>
    </cfRule>
  </conditionalFormatting>
  <conditionalFormatting sqref="L33">
    <cfRule type="cellIs" dxfId="41399" priority="81708" stopIfTrue="1" operator="greaterThanOrEqual">
      <formula>0.5</formula>
    </cfRule>
  </conditionalFormatting>
  <conditionalFormatting sqref="L34">
    <cfRule type="cellIs" dxfId="41398" priority="81709" stopIfTrue="1" operator="equal">
      <formula>-1</formula>
    </cfRule>
  </conditionalFormatting>
  <conditionalFormatting sqref="L34">
    <cfRule type="cellIs" dxfId="41397" priority="81710" stopIfTrue="1" operator="lessThan">
      <formula>0.5</formula>
    </cfRule>
  </conditionalFormatting>
  <conditionalFormatting sqref="L34">
    <cfRule type="cellIs" dxfId="41396" priority="81711" stopIfTrue="1" operator="greaterThanOrEqual">
      <formula>0.5</formula>
    </cfRule>
  </conditionalFormatting>
  <conditionalFormatting sqref="L35">
    <cfRule type="cellIs" dxfId="41395" priority="81712" stopIfTrue="1" operator="equal">
      <formula>-1</formula>
    </cfRule>
  </conditionalFormatting>
  <conditionalFormatting sqref="L35">
    <cfRule type="cellIs" dxfId="41394" priority="81713" stopIfTrue="1" operator="lessThan">
      <formula>0.5</formula>
    </cfRule>
  </conditionalFormatting>
  <conditionalFormatting sqref="L35">
    <cfRule type="cellIs" dxfId="41393" priority="81714" stopIfTrue="1" operator="greaterThanOrEqual">
      <formula>0.5</formula>
    </cfRule>
  </conditionalFormatting>
  <conditionalFormatting sqref="L36">
    <cfRule type="cellIs" dxfId="41392" priority="81715" stopIfTrue="1" operator="equal">
      <formula>-1</formula>
    </cfRule>
  </conditionalFormatting>
  <conditionalFormatting sqref="L36">
    <cfRule type="cellIs" dxfId="41391" priority="81716" stopIfTrue="1" operator="lessThan">
      <formula>0.5</formula>
    </cfRule>
  </conditionalFormatting>
  <conditionalFormatting sqref="L36">
    <cfRule type="cellIs" dxfId="41390" priority="81717" stopIfTrue="1" operator="greaterThanOrEqual">
      <formula>0.5</formula>
    </cfRule>
  </conditionalFormatting>
  <conditionalFormatting sqref="L37">
    <cfRule type="cellIs" dxfId="41389" priority="81718" stopIfTrue="1" operator="equal">
      <formula>-1</formula>
    </cfRule>
  </conditionalFormatting>
  <conditionalFormatting sqref="L37">
    <cfRule type="cellIs" dxfId="41388" priority="81719" stopIfTrue="1" operator="lessThan">
      <formula>0.5</formula>
    </cfRule>
  </conditionalFormatting>
  <conditionalFormatting sqref="L37">
    <cfRule type="cellIs" dxfId="41387" priority="81720" stopIfTrue="1" operator="greaterThanOrEqual">
      <formula>0.5</formula>
    </cfRule>
  </conditionalFormatting>
  <conditionalFormatting sqref="N17">
    <cfRule type="cellIs" dxfId="41386" priority="81721" stopIfTrue="1" operator="equal">
      <formula>-1</formula>
    </cfRule>
  </conditionalFormatting>
  <conditionalFormatting sqref="N17">
    <cfRule type="cellIs" dxfId="41385" priority="81722" stopIfTrue="1" operator="lessThan">
      <formula>0.5</formula>
    </cfRule>
  </conditionalFormatting>
  <conditionalFormatting sqref="N17">
    <cfRule type="cellIs" dxfId="41384" priority="81723" stopIfTrue="1" operator="greaterThanOrEqual">
      <formula>0.5</formula>
    </cfRule>
  </conditionalFormatting>
  <conditionalFormatting sqref="N18">
    <cfRule type="cellIs" dxfId="41383" priority="81724" stopIfTrue="1" operator="equal">
      <formula>-1</formula>
    </cfRule>
  </conditionalFormatting>
  <conditionalFormatting sqref="N18">
    <cfRule type="cellIs" dxfId="41382" priority="81725" stopIfTrue="1" operator="lessThan">
      <formula>0.5</formula>
    </cfRule>
  </conditionalFormatting>
  <conditionalFormatting sqref="N18">
    <cfRule type="cellIs" dxfId="41381" priority="81726" stopIfTrue="1" operator="greaterThanOrEqual">
      <formula>0.5</formula>
    </cfRule>
  </conditionalFormatting>
  <conditionalFormatting sqref="N19">
    <cfRule type="cellIs" dxfId="41380" priority="81727" stopIfTrue="1" operator="equal">
      <formula>-1</formula>
    </cfRule>
  </conditionalFormatting>
  <conditionalFormatting sqref="N19">
    <cfRule type="cellIs" dxfId="41379" priority="81728" stopIfTrue="1" operator="lessThan">
      <formula>0.5</formula>
    </cfRule>
  </conditionalFormatting>
  <conditionalFormatting sqref="N19">
    <cfRule type="cellIs" dxfId="41378" priority="81729" stopIfTrue="1" operator="greaterThanOrEqual">
      <formula>0.5</formula>
    </cfRule>
  </conditionalFormatting>
  <conditionalFormatting sqref="N20">
    <cfRule type="cellIs" dxfId="41377" priority="81730" stopIfTrue="1" operator="equal">
      <formula>-1</formula>
    </cfRule>
  </conditionalFormatting>
  <conditionalFormatting sqref="N20">
    <cfRule type="cellIs" dxfId="41376" priority="81731" stopIfTrue="1" operator="lessThan">
      <formula>0.5</formula>
    </cfRule>
  </conditionalFormatting>
  <conditionalFormatting sqref="N20">
    <cfRule type="cellIs" dxfId="41375" priority="81732" stopIfTrue="1" operator="greaterThanOrEqual">
      <formula>0.5</formula>
    </cfRule>
  </conditionalFormatting>
  <conditionalFormatting sqref="N21">
    <cfRule type="cellIs" dxfId="41374" priority="81733" stopIfTrue="1" operator="equal">
      <formula>-1</formula>
    </cfRule>
  </conditionalFormatting>
  <conditionalFormatting sqref="N21">
    <cfRule type="cellIs" dxfId="41373" priority="81734" stopIfTrue="1" operator="lessThan">
      <formula>0.5</formula>
    </cfRule>
  </conditionalFormatting>
  <conditionalFormatting sqref="N21">
    <cfRule type="cellIs" dxfId="41372" priority="81735" stopIfTrue="1" operator="greaterThanOrEqual">
      <formula>0.5</formula>
    </cfRule>
  </conditionalFormatting>
  <conditionalFormatting sqref="N22">
    <cfRule type="cellIs" dxfId="41371" priority="81736" stopIfTrue="1" operator="equal">
      <formula>-1</formula>
    </cfRule>
  </conditionalFormatting>
  <conditionalFormatting sqref="N22">
    <cfRule type="cellIs" dxfId="41370" priority="81737" stopIfTrue="1" operator="lessThan">
      <formula>0.5</formula>
    </cfRule>
  </conditionalFormatting>
  <conditionalFormatting sqref="N22">
    <cfRule type="cellIs" dxfId="41369" priority="81738" stopIfTrue="1" operator="greaterThanOrEqual">
      <formula>0.5</formula>
    </cfRule>
  </conditionalFormatting>
  <conditionalFormatting sqref="N23">
    <cfRule type="cellIs" dxfId="41368" priority="81739" stopIfTrue="1" operator="equal">
      <formula>-1</formula>
    </cfRule>
  </conditionalFormatting>
  <conditionalFormatting sqref="N23">
    <cfRule type="cellIs" dxfId="41367" priority="81740" stopIfTrue="1" operator="lessThan">
      <formula>0.5</formula>
    </cfRule>
  </conditionalFormatting>
  <conditionalFormatting sqref="N23">
    <cfRule type="cellIs" dxfId="41366" priority="81741" stopIfTrue="1" operator="greaterThanOrEqual">
      <formula>0.5</formula>
    </cfRule>
  </conditionalFormatting>
  <conditionalFormatting sqref="N24">
    <cfRule type="cellIs" dxfId="41365" priority="81742" stopIfTrue="1" operator="equal">
      <formula>-1</formula>
    </cfRule>
  </conditionalFormatting>
  <conditionalFormatting sqref="N24">
    <cfRule type="cellIs" dxfId="41364" priority="81743" stopIfTrue="1" operator="lessThan">
      <formula>0.5</formula>
    </cfRule>
  </conditionalFormatting>
  <conditionalFormatting sqref="N24">
    <cfRule type="cellIs" dxfId="41363" priority="81744" stopIfTrue="1" operator="greaterThanOrEqual">
      <formula>0.5</formula>
    </cfRule>
  </conditionalFormatting>
  <conditionalFormatting sqref="N25">
    <cfRule type="cellIs" dxfId="41362" priority="81745" stopIfTrue="1" operator="equal">
      <formula>-1</formula>
    </cfRule>
  </conditionalFormatting>
  <conditionalFormatting sqref="N25">
    <cfRule type="cellIs" dxfId="41361" priority="81746" stopIfTrue="1" operator="lessThan">
      <formula>0.5</formula>
    </cfRule>
  </conditionalFormatting>
  <conditionalFormatting sqref="N25">
    <cfRule type="cellIs" dxfId="41360" priority="81747" stopIfTrue="1" operator="greaterThanOrEqual">
      <formula>0.5</formula>
    </cfRule>
  </conditionalFormatting>
  <conditionalFormatting sqref="N26">
    <cfRule type="cellIs" dxfId="41359" priority="81748" stopIfTrue="1" operator="equal">
      <formula>-1</formula>
    </cfRule>
  </conditionalFormatting>
  <conditionalFormatting sqref="N26">
    <cfRule type="cellIs" dxfId="41358" priority="81749" stopIfTrue="1" operator="lessThan">
      <formula>0.5</formula>
    </cfRule>
  </conditionalFormatting>
  <conditionalFormatting sqref="N26">
    <cfRule type="cellIs" dxfId="41357" priority="81750" stopIfTrue="1" operator="greaterThanOrEqual">
      <formula>0.5</formula>
    </cfRule>
  </conditionalFormatting>
  <conditionalFormatting sqref="N27">
    <cfRule type="cellIs" dxfId="41356" priority="81751" stopIfTrue="1" operator="equal">
      <formula>-1</formula>
    </cfRule>
  </conditionalFormatting>
  <conditionalFormatting sqref="N27">
    <cfRule type="cellIs" dxfId="41355" priority="81752" stopIfTrue="1" operator="lessThan">
      <formula>0.5</formula>
    </cfRule>
  </conditionalFormatting>
  <conditionalFormatting sqref="N27">
    <cfRule type="cellIs" dxfId="41354" priority="81753" stopIfTrue="1" operator="greaterThanOrEqual">
      <formula>0.5</formula>
    </cfRule>
  </conditionalFormatting>
  <conditionalFormatting sqref="N28">
    <cfRule type="cellIs" dxfId="41353" priority="81754" stopIfTrue="1" operator="equal">
      <formula>-1</formula>
    </cfRule>
  </conditionalFormatting>
  <conditionalFormatting sqref="N28">
    <cfRule type="cellIs" dxfId="41352" priority="81755" stopIfTrue="1" operator="lessThan">
      <formula>0.5</formula>
    </cfRule>
  </conditionalFormatting>
  <conditionalFormatting sqref="N28">
    <cfRule type="cellIs" dxfId="41351" priority="81756" stopIfTrue="1" operator="greaterThanOrEqual">
      <formula>0.5</formula>
    </cfRule>
  </conditionalFormatting>
  <conditionalFormatting sqref="N29">
    <cfRule type="cellIs" dxfId="41350" priority="81757" stopIfTrue="1" operator="equal">
      <formula>-1</formula>
    </cfRule>
  </conditionalFormatting>
  <conditionalFormatting sqref="N29">
    <cfRule type="cellIs" dxfId="41349" priority="81758" stopIfTrue="1" operator="lessThan">
      <formula>0.5</formula>
    </cfRule>
  </conditionalFormatting>
  <conditionalFormatting sqref="N29">
    <cfRule type="cellIs" dxfId="41348" priority="81759" stopIfTrue="1" operator="greaterThanOrEqual">
      <formula>0.5</formula>
    </cfRule>
  </conditionalFormatting>
  <conditionalFormatting sqref="N30">
    <cfRule type="cellIs" dxfId="41347" priority="81760" stopIfTrue="1" operator="equal">
      <formula>-1</formula>
    </cfRule>
  </conditionalFormatting>
  <conditionalFormatting sqref="N30">
    <cfRule type="cellIs" dxfId="41346" priority="81761" stopIfTrue="1" operator="lessThan">
      <formula>0.5</formula>
    </cfRule>
  </conditionalFormatting>
  <conditionalFormatting sqref="N30">
    <cfRule type="cellIs" dxfId="41345" priority="81762" stopIfTrue="1" operator="greaterThanOrEqual">
      <formula>0.5</formula>
    </cfRule>
  </conditionalFormatting>
  <conditionalFormatting sqref="N31">
    <cfRule type="cellIs" dxfId="41344" priority="81763" stopIfTrue="1" operator="equal">
      <formula>-1</formula>
    </cfRule>
  </conditionalFormatting>
  <conditionalFormatting sqref="N31">
    <cfRule type="cellIs" dxfId="41343" priority="81764" stopIfTrue="1" operator="lessThan">
      <formula>0.5</formula>
    </cfRule>
  </conditionalFormatting>
  <conditionalFormatting sqref="N31">
    <cfRule type="cellIs" dxfId="41342" priority="81765" stopIfTrue="1" operator="greaterThanOrEqual">
      <formula>0.5</formula>
    </cfRule>
  </conditionalFormatting>
  <conditionalFormatting sqref="N32:N33">
    <cfRule type="cellIs" dxfId="41341" priority="81766" stopIfTrue="1" operator="equal">
      <formula>-1</formula>
    </cfRule>
  </conditionalFormatting>
  <conditionalFormatting sqref="N32:N33">
    <cfRule type="cellIs" dxfId="41340" priority="81767" stopIfTrue="1" operator="lessThan">
      <formula>0.5</formula>
    </cfRule>
  </conditionalFormatting>
  <conditionalFormatting sqref="N32:N33">
    <cfRule type="cellIs" dxfId="41339" priority="81768" stopIfTrue="1" operator="greaterThanOrEqual">
      <formula>0.5</formula>
    </cfRule>
  </conditionalFormatting>
  <conditionalFormatting sqref="N34">
    <cfRule type="cellIs" dxfId="41338" priority="81772" stopIfTrue="1" operator="equal">
      <formula>-1</formula>
    </cfRule>
  </conditionalFormatting>
  <conditionalFormatting sqref="N34">
    <cfRule type="cellIs" dxfId="41337" priority="81773" stopIfTrue="1" operator="lessThan">
      <formula>0.5</formula>
    </cfRule>
  </conditionalFormatting>
  <conditionalFormatting sqref="N34">
    <cfRule type="cellIs" dxfId="41336" priority="81774" stopIfTrue="1" operator="greaterThanOrEqual">
      <formula>0.5</formula>
    </cfRule>
  </conditionalFormatting>
  <conditionalFormatting sqref="N35">
    <cfRule type="cellIs" dxfId="41335" priority="81775" stopIfTrue="1" operator="equal">
      <formula>-1</formula>
    </cfRule>
  </conditionalFormatting>
  <conditionalFormatting sqref="N35">
    <cfRule type="cellIs" dxfId="41334" priority="81776" stopIfTrue="1" operator="lessThan">
      <formula>0.5</formula>
    </cfRule>
  </conditionalFormatting>
  <conditionalFormatting sqref="N35">
    <cfRule type="cellIs" dxfId="41333" priority="81777" stopIfTrue="1" operator="greaterThanOrEqual">
      <formula>0.5</formula>
    </cfRule>
  </conditionalFormatting>
  <conditionalFormatting sqref="N36">
    <cfRule type="cellIs" dxfId="41332" priority="81778" stopIfTrue="1" operator="equal">
      <formula>-1</formula>
    </cfRule>
  </conditionalFormatting>
  <conditionalFormatting sqref="N36">
    <cfRule type="cellIs" dxfId="41331" priority="81779" stopIfTrue="1" operator="lessThan">
      <formula>0.5</formula>
    </cfRule>
  </conditionalFormatting>
  <conditionalFormatting sqref="N36">
    <cfRule type="cellIs" dxfId="41330" priority="81780" stopIfTrue="1" operator="greaterThanOrEqual">
      <formula>0.5</formula>
    </cfRule>
  </conditionalFormatting>
  <conditionalFormatting sqref="N37">
    <cfRule type="cellIs" dxfId="41329" priority="81781" stopIfTrue="1" operator="equal">
      <formula>-1</formula>
    </cfRule>
  </conditionalFormatting>
  <conditionalFormatting sqref="N37">
    <cfRule type="cellIs" dxfId="41328" priority="81782" stopIfTrue="1" operator="lessThan">
      <formula>0.5</formula>
    </cfRule>
  </conditionalFormatting>
  <conditionalFormatting sqref="N37">
    <cfRule type="cellIs" dxfId="41327" priority="81783" stopIfTrue="1" operator="greaterThanOrEqual">
      <formula>0.5</formula>
    </cfRule>
  </conditionalFormatting>
  <conditionalFormatting sqref="P17">
    <cfRule type="cellIs" dxfId="41326" priority="81784" stopIfTrue="1" operator="equal">
      <formula>-1</formula>
    </cfRule>
  </conditionalFormatting>
  <conditionalFormatting sqref="P17">
    <cfRule type="cellIs" dxfId="41325" priority="81785" stopIfTrue="1" operator="lessThan">
      <formula>0.5</formula>
    </cfRule>
  </conditionalFormatting>
  <conditionalFormatting sqref="P17">
    <cfRule type="cellIs" dxfId="41324" priority="81786" stopIfTrue="1" operator="greaterThanOrEqual">
      <formula>0.5</formula>
    </cfRule>
  </conditionalFormatting>
  <conditionalFormatting sqref="P18">
    <cfRule type="cellIs" dxfId="41323" priority="81787" stopIfTrue="1" operator="equal">
      <formula>-1</formula>
    </cfRule>
  </conditionalFormatting>
  <conditionalFormatting sqref="P18">
    <cfRule type="cellIs" dxfId="41322" priority="81788" stopIfTrue="1" operator="lessThan">
      <formula>0.5</formula>
    </cfRule>
  </conditionalFormatting>
  <conditionalFormatting sqref="P18">
    <cfRule type="cellIs" dxfId="41321" priority="81789" stopIfTrue="1" operator="greaterThanOrEqual">
      <formula>0.5</formula>
    </cfRule>
  </conditionalFormatting>
  <conditionalFormatting sqref="P19">
    <cfRule type="cellIs" dxfId="41320" priority="81790" stopIfTrue="1" operator="equal">
      <formula>-1</formula>
    </cfRule>
  </conditionalFormatting>
  <conditionalFormatting sqref="P19">
    <cfRule type="cellIs" dxfId="41319" priority="81791" stopIfTrue="1" operator="lessThan">
      <formula>0.5</formula>
    </cfRule>
  </conditionalFormatting>
  <conditionalFormatting sqref="P19">
    <cfRule type="cellIs" dxfId="41318" priority="81792" stopIfTrue="1" operator="greaterThanOrEqual">
      <formula>0.5</formula>
    </cfRule>
  </conditionalFormatting>
  <conditionalFormatting sqref="P20">
    <cfRule type="cellIs" dxfId="41317" priority="81793" stopIfTrue="1" operator="equal">
      <formula>-1</formula>
    </cfRule>
  </conditionalFormatting>
  <conditionalFormatting sqref="P20">
    <cfRule type="cellIs" dxfId="41316" priority="81794" stopIfTrue="1" operator="lessThan">
      <formula>0.5</formula>
    </cfRule>
  </conditionalFormatting>
  <conditionalFormatting sqref="P20">
    <cfRule type="cellIs" dxfId="41315" priority="81795" stopIfTrue="1" operator="greaterThanOrEqual">
      <formula>0.5</formula>
    </cfRule>
  </conditionalFormatting>
  <conditionalFormatting sqref="P21">
    <cfRule type="cellIs" dxfId="41314" priority="81796" stopIfTrue="1" operator="equal">
      <formula>-1</formula>
    </cfRule>
  </conditionalFormatting>
  <conditionalFormatting sqref="P21">
    <cfRule type="cellIs" dxfId="41313" priority="81797" stopIfTrue="1" operator="lessThan">
      <formula>0.5</formula>
    </cfRule>
  </conditionalFormatting>
  <conditionalFormatting sqref="P21">
    <cfRule type="cellIs" dxfId="41312" priority="81798" stopIfTrue="1" operator="greaterThanOrEqual">
      <formula>0.5</formula>
    </cfRule>
  </conditionalFormatting>
  <conditionalFormatting sqref="P22">
    <cfRule type="cellIs" dxfId="41311" priority="81799" stopIfTrue="1" operator="equal">
      <formula>-1</formula>
    </cfRule>
  </conditionalFormatting>
  <conditionalFormatting sqref="P22">
    <cfRule type="cellIs" dxfId="41310" priority="81800" stopIfTrue="1" operator="lessThan">
      <formula>0.5</formula>
    </cfRule>
  </conditionalFormatting>
  <conditionalFormatting sqref="P22">
    <cfRule type="cellIs" dxfId="41309" priority="81801" stopIfTrue="1" operator="greaterThanOrEqual">
      <formula>0.5</formula>
    </cfRule>
  </conditionalFormatting>
  <conditionalFormatting sqref="P23">
    <cfRule type="cellIs" dxfId="41308" priority="81802" stopIfTrue="1" operator="equal">
      <formula>-1</formula>
    </cfRule>
  </conditionalFormatting>
  <conditionalFormatting sqref="P23">
    <cfRule type="cellIs" dxfId="41307" priority="81803" stopIfTrue="1" operator="lessThan">
      <formula>0.5</formula>
    </cfRule>
  </conditionalFormatting>
  <conditionalFormatting sqref="P23">
    <cfRule type="cellIs" dxfId="41306" priority="81804" stopIfTrue="1" operator="greaterThanOrEqual">
      <formula>0.5</formula>
    </cfRule>
  </conditionalFormatting>
  <conditionalFormatting sqref="P24">
    <cfRule type="cellIs" dxfId="41305" priority="81805" stopIfTrue="1" operator="equal">
      <formula>-1</formula>
    </cfRule>
  </conditionalFormatting>
  <conditionalFormatting sqref="P24">
    <cfRule type="cellIs" dxfId="41304" priority="81806" stopIfTrue="1" operator="lessThan">
      <formula>0.5</formula>
    </cfRule>
  </conditionalFormatting>
  <conditionalFormatting sqref="P24">
    <cfRule type="cellIs" dxfId="41303" priority="81807" stopIfTrue="1" operator="greaterThanOrEqual">
      <formula>0.5</formula>
    </cfRule>
  </conditionalFormatting>
  <conditionalFormatting sqref="P25">
    <cfRule type="cellIs" dxfId="41302" priority="81808" stopIfTrue="1" operator="equal">
      <formula>-1</formula>
    </cfRule>
  </conditionalFormatting>
  <conditionalFormatting sqref="P25">
    <cfRule type="cellIs" dxfId="41301" priority="81809" stopIfTrue="1" operator="lessThan">
      <formula>0.5</formula>
    </cfRule>
  </conditionalFormatting>
  <conditionalFormatting sqref="P25">
    <cfRule type="cellIs" dxfId="41300" priority="81810" stopIfTrue="1" operator="greaterThanOrEqual">
      <formula>0.5</formula>
    </cfRule>
  </conditionalFormatting>
  <conditionalFormatting sqref="P26">
    <cfRule type="cellIs" dxfId="41299" priority="81811" stopIfTrue="1" operator="equal">
      <formula>-1</formula>
    </cfRule>
  </conditionalFormatting>
  <conditionalFormatting sqref="P26">
    <cfRule type="cellIs" dxfId="41298" priority="81812" stopIfTrue="1" operator="lessThan">
      <formula>0.5</formula>
    </cfRule>
  </conditionalFormatting>
  <conditionalFormatting sqref="P26">
    <cfRule type="cellIs" dxfId="41297" priority="81813" stopIfTrue="1" operator="greaterThanOrEqual">
      <formula>0.5</formula>
    </cfRule>
  </conditionalFormatting>
  <conditionalFormatting sqref="P27">
    <cfRule type="cellIs" dxfId="41296" priority="81814" stopIfTrue="1" operator="equal">
      <formula>-1</formula>
    </cfRule>
  </conditionalFormatting>
  <conditionalFormatting sqref="P27">
    <cfRule type="cellIs" dxfId="41295" priority="81815" stopIfTrue="1" operator="lessThan">
      <formula>0.5</formula>
    </cfRule>
  </conditionalFormatting>
  <conditionalFormatting sqref="P27">
    <cfRule type="cellIs" dxfId="41294" priority="81816" stopIfTrue="1" operator="greaterThanOrEqual">
      <formula>0.5</formula>
    </cfRule>
  </conditionalFormatting>
  <conditionalFormatting sqref="P28">
    <cfRule type="cellIs" dxfId="41293" priority="81817" stopIfTrue="1" operator="equal">
      <formula>-1</formula>
    </cfRule>
  </conditionalFormatting>
  <conditionalFormatting sqref="P28">
    <cfRule type="cellIs" dxfId="41292" priority="81818" stopIfTrue="1" operator="lessThan">
      <formula>0.5</formula>
    </cfRule>
  </conditionalFormatting>
  <conditionalFormatting sqref="P28">
    <cfRule type="cellIs" dxfId="41291" priority="81819" stopIfTrue="1" operator="greaterThanOrEqual">
      <formula>0.5</formula>
    </cfRule>
  </conditionalFormatting>
  <conditionalFormatting sqref="P29">
    <cfRule type="cellIs" dxfId="41290" priority="81820" stopIfTrue="1" operator="equal">
      <formula>-1</formula>
    </cfRule>
  </conditionalFormatting>
  <conditionalFormatting sqref="P29">
    <cfRule type="cellIs" dxfId="41289" priority="81821" stopIfTrue="1" operator="lessThan">
      <formula>0.5</formula>
    </cfRule>
  </conditionalFormatting>
  <conditionalFormatting sqref="P29">
    <cfRule type="cellIs" dxfId="41288" priority="81822" stopIfTrue="1" operator="greaterThanOrEqual">
      <formula>0.5</formula>
    </cfRule>
  </conditionalFormatting>
  <conditionalFormatting sqref="P30">
    <cfRule type="cellIs" dxfId="41287" priority="81823" stopIfTrue="1" operator="equal">
      <formula>-1</formula>
    </cfRule>
  </conditionalFormatting>
  <conditionalFormatting sqref="P30">
    <cfRule type="cellIs" dxfId="41286" priority="81824" stopIfTrue="1" operator="lessThan">
      <formula>0.5</formula>
    </cfRule>
  </conditionalFormatting>
  <conditionalFormatting sqref="P30">
    <cfRule type="cellIs" dxfId="41285" priority="81825" stopIfTrue="1" operator="greaterThanOrEqual">
      <formula>0.5</formula>
    </cfRule>
  </conditionalFormatting>
  <conditionalFormatting sqref="P31">
    <cfRule type="cellIs" dxfId="41284" priority="81826" stopIfTrue="1" operator="equal">
      <formula>-1</formula>
    </cfRule>
  </conditionalFormatting>
  <conditionalFormatting sqref="P31">
    <cfRule type="cellIs" dxfId="41283" priority="81827" stopIfTrue="1" operator="lessThan">
      <formula>0.5</formula>
    </cfRule>
  </conditionalFormatting>
  <conditionalFormatting sqref="P31">
    <cfRule type="cellIs" dxfId="41282" priority="81828" stopIfTrue="1" operator="greaterThanOrEqual">
      <formula>0.5</formula>
    </cfRule>
  </conditionalFormatting>
  <conditionalFormatting sqref="P32">
    <cfRule type="cellIs" dxfId="41281" priority="81829" stopIfTrue="1" operator="equal">
      <formula>-1</formula>
    </cfRule>
  </conditionalFormatting>
  <conditionalFormatting sqref="P32">
    <cfRule type="cellIs" dxfId="41280" priority="81830" stopIfTrue="1" operator="lessThan">
      <formula>0.5</formula>
    </cfRule>
  </conditionalFormatting>
  <conditionalFormatting sqref="P32">
    <cfRule type="cellIs" dxfId="41279" priority="81831" stopIfTrue="1" operator="greaterThanOrEqual">
      <formula>0.5</formula>
    </cfRule>
  </conditionalFormatting>
  <conditionalFormatting sqref="P33">
    <cfRule type="cellIs" dxfId="41278" priority="81832" stopIfTrue="1" operator="equal">
      <formula>-1</formula>
    </cfRule>
  </conditionalFormatting>
  <conditionalFormatting sqref="P33">
    <cfRule type="cellIs" dxfId="41277" priority="81833" stopIfTrue="1" operator="lessThan">
      <formula>0.5</formula>
    </cfRule>
  </conditionalFormatting>
  <conditionalFormatting sqref="P33">
    <cfRule type="cellIs" dxfId="41276" priority="81834" stopIfTrue="1" operator="greaterThanOrEqual">
      <formula>0.5</formula>
    </cfRule>
  </conditionalFormatting>
  <conditionalFormatting sqref="P34">
    <cfRule type="cellIs" dxfId="41275" priority="81835" stopIfTrue="1" operator="equal">
      <formula>-1</formula>
    </cfRule>
  </conditionalFormatting>
  <conditionalFormatting sqref="P34">
    <cfRule type="cellIs" dxfId="41274" priority="81836" stopIfTrue="1" operator="lessThan">
      <formula>0.5</formula>
    </cfRule>
  </conditionalFormatting>
  <conditionalFormatting sqref="P34">
    <cfRule type="cellIs" dxfId="41273" priority="81837" stopIfTrue="1" operator="greaterThanOrEqual">
      <formula>0.5</formula>
    </cfRule>
  </conditionalFormatting>
  <conditionalFormatting sqref="P35">
    <cfRule type="cellIs" dxfId="41272" priority="81838" stopIfTrue="1" operator="equal">
      <formula>-1</formula>
    </cfRule>
  </conditionalFormatting>
  <conditionalFormatting sqref="P35">
    <cfRule type="cellIs" dxfId="41271" priority="81839" stopIfTrue="1" operator="lessThan">
      <formula>0.5</formula>
    </cfRule>
  </conditionalFormatting>
  <conditionalFormatting sqref="P35">
    <cfRule type="cellIs" dxfId="41270" priority="81840" stopIfTrue="1" operator="greaterThanOrEqual">
      <formula>0.5</formula>
    </cfRule>
  </conditionalFormatting>
  <conditionalFormatting sqref="P36">
    <cfRule type="cellIs" dxfId="41269" priority="81841" stopIfTrue="1" operator="equal">
      <formula>-1</formula>
    </cfRule>
  </conditionalFormatting>
  <conditionalFormatting sqref="P36">
    <cfRule type="cellIs" dxfId="41268" priority="81842" stopIfTrue="1" operator="lessThan">
      <formula>0.5</formula>
    </cfRule>
  </conditionalFormatting>
  <conditionalFormatting sqref="P36">
    <cfRule type="cellIs" dxfId="41267" priority="81843" stopIfTrue="1" operator="greaterThanOrEqual">
      <formula>0.5</formula>
    </cfRule>
  </conditionalFormatting>
  <conditionalFormatting sqref="P37">
    <cfRule type="cellIs" dxfId="41266" priority="81844" stopIfTrue="1" operator="equal">
      <formula>-1</formula>
    </cfRule>
  </conditionalFormatting>
  <conditionalFormatting sqref="P37">
    <cfRule type="cellIs" dxfId="41265" priority="81845" stopIfTrue="1" operator="lessThan">
      <formula>0.5</formula>
    </cfRule>
  </conditionalFormatting>
  <conditionalFormatting sqref="P37">
    <cfRule type="cellIs" dxfId="41264" priority="81846" stopIfTrue="1" operator="greaterThanOrEqual">
      <formula>0.5</formula>
    </cfRule>
  </conditionalFormatting>
  <conditionalFormatting sqref="R17">
    <cfRule type="cellIs" dxfId="41263" priority="81847" stopIfTrue="1" operator="equal">
      <formula>-1</formula>
    </cfRule>
  </conditionalFormatting>
  <conditionalFormatting sqref="R17">
    <cfRule type="cellIs" dxfId="41262" priority="81848" stopIfTrue="1" operator="lessThan">
      <formula>0.5</formula>
    </cfRule>
  </conditionalFormatting>
  <conditionalFormatting sqref="R17">
    <cfRule type="cellIs" dxfId="41261" priority="81849" stopIfTrue="1" operator="greaterThanOrEqual">
      <formula>0.5</formula>
    </cfRule>
  </conditionalFormatting>
  <conditionalFormatting sqref="R18">
    <cfRule type="cellIs" dxfId="41260" priority="81850" stopIfTrue="1" operator="equal">
      <formula>-1</formula>
    </cfRule>
  </conditionalFormatting>
  <conditionalFormatting sqref="R18">
    <cfRule type="cellIs" dxfId="41259" priority="81851" stopIfTrue="1" operator="lessThan">
      <formula>0.5</formula>
    </cfRule>
  </conditionalFormatting>
  <conditionalFormatting sqref="R18">
    <cfRule type="cellIs" dxfId="41258" priority="81852" stopIfTrue="1" operator="greaterThanOrEqual">
      <formula>0.5</formula>
    </cfRule>
  </conditionalFormatting>
  <conditionalFormatting sqref="R19">
    <cfRule type="cellIs" dxfId="41257" priority="81853" stopIfTrue="1" operator="equal">
      <formula>-1</formula>
    </cfRule>
  </conditionalFormatting>
  <conditionalFormatting sqref="R19">
    <cfRule type="cellIs" dxfId="41256" priority="81854" stopIfTrue="1" operator="lessThan">
      <formula>0.5</formula>
    </cfRule>
  </conditionalFormatting>
  <conditionalFormatting sqref="R19">
    <cfRule type="cellIs" dxfId="41255" priority="81855" stopIfTrue="1" operator="greaterThanOrEqual">
      <formula>0.5</formula>
    </cfRule>
  </conditionalFormatting>
  <conditionalFormatting sqref="R20">
    <cfRule type="cellIs" dxfId="41254" priority="81856" stopIfTrue="1" operator="equal">
      <formula>-1</formula>
    </cfRule>
  </conditionalFormatting>
  <conditionalFormatting sqref="R20">
    <cfRule type="cellIs" dxfId="41253" priority="81857" stopIfTrue="1" operator="lessThan">
      <formula>0.5</formula>
    </cfRule>
  </conditionalFormatting>
  <conditionalFormatting sqref="R20">
    <cfRule type="cellIs" dxfId="41252" priority="81858" stopIfTrue="1" operator="greaterThanOrEqual">
      <formula>0.5</formula>
    </cfRule>
  </conditionalFormatting>
  <conditionalFormatting sqref="R21">
    <cfRule type="cellIs" dxfId="41251" priority="81859" stopIfTrue="1" operator="equal">
      <formula>-1</formula>
    </cfRule>
  </conditionalFormatting>
  <conditionalFormatting sqref="R21">
    <cfRule type="cellIs" dxfId="41250" priority="81860" stopIfTrue="1" operator="lessThan">
      <formula>0.5</formula>
    </cfRule>
  </conditionalFormatting>
  <conditionalFormatting sqref="R21">
    <cfRule type="cellIs" dxfId="41249" priority="81861" stopIfTrue="1" operator="greaterThanOrEqual">
      <formula>0.5</formula>
    </cfRule>
  </conditionalFormatting>
  <conditionalFormatting sqref="R22">
    <cfRule type="cellIs" dxfId="41248" priority="81862" stopIfTrue="1" operator="equal">
      <formula>-1</formula>
    </cfRule>
  </conditionalFormatting>
  <conditionalFormatting sqref="R22">
    <cfRule type="cellIs" dxfId="41247" priority="81863" stopIfTrue="1" operator="lessThan">
      <formula>0.5</formula>
    </cfRule>
  </conditionalFormatting>
  <conditionalFormatting sqref="R22">
    <cfRule type="cellIs" dxfId="41246" priority="81864" stopIfTrue="1" operator="greaterThanOrEqual">
      <formula>0.5</formula>
    </cfRule>
  </conditionalFormatting>
  <conditionalFormatting sqref="R23">
    <cfRule type="cellIs" dxfId="41245" priority="81865" stopIfTrue="1" operator="equal">
      <formula>-1</formula>
    </cfRule>
  </conditionalFormatting>
  <conditionalFormatting sqref="R23">
    <cfRule type="cellIs" dxfId="41244" priority="81866" stopIfTrue="1" operator="lessThan">
      <formula>0.5</formula>
    </cfRule>
  </conditionalFormatting>
  <conditionalFormatting sqref="R23">
    <cfRule type="cellIs" dxfId="41243" priority="81867" stopIfTrue="1" operator="greaterThanOrEqual">
      <formula>0.5</formula>
    </cfRule>
  </conditionalFormatting>
  <conditionalFormatting sqref="R24">
    <cfRule type="cellIs" dxfId="41242" priority="81868" stopIfTrue="1" operator="equal">
      <formula>-1</formula>
    </cfRule>
  </conditionalFormatting>
  <conditionalFormatting sqref="R24">
    <cfRule type="cellIs" dxfId="41241" priority="81869" stopIfTrue="1" operator="lessThan">
      <formula>0.5</formula>
    </cfRule>
  </conditionalFormatting>
  <conditionalFormatting sqref="R24">
    <cfRule type="cellIs" dxfId="41240" priority="81870" stopIfTrue="1" operator="greaterThanOrEqual">
      <formula>0.5</formula>
    </cfRule>
  </conditionalFormatting>
  <conditionalFormatting sqref="R25">
    <cfRule type="cellIs" dxfId="41239" priority="81871" stopIfTrue="1" operator="equal">
      <formula>-1</formula>
    </cfRule>
  </conditionalFormatting>
  <conditionalFormatting sqref="R25">
    <cfRule type="cellIs" dxfId="41238" priority="81872" stopIfTrue="1" operator="lessThan">
      <formula>0.5</formula>
    </cfRule>
  </conditionalFormatting>
  <conditionalFormatting sqref="R25">
    <cfRule type="cellIs" dxfId="41237" priority="81873" stopIfTrue="1" operator="greaterThanOrEqual">
      <formula>0.5</formula>
    </cfRule>
  </conditionalFormatting>
  <conditionalFormatting sqref="R26">
    <cfRule type="cellIs" dxfId="41236" priority="81874" stopIfTrue="1" operator="equal">
      <formula>-1</formula>
    </cfRule>
  </conditionalFormatting>
  <conditionalFormatting sqref="R26">
    <cfRule type="cellIs" dxfId="41235" priority="81875" stopIfTrue="1" operator="lessThan">
      <formula>0.5</formula>
    </cfRule>
  </conditionalFormatting>
  <conditionalFormatting sqref="R26">
    <cfRule type="cellIs" dxfId="41234" priority="81876" stopIfTrue="1" operator="greaterThanOrEqual">
      <formula>0.5</formula>
    </cfRule>
  </conditionalFormatting>
  <conditionalFormatting sqref="R27">
    <cfRule type="cellIs" dxfId="41233" priority="81877" stopIfTrue="1" operator="equal">
      <formula>-1</formula>
    </cfRule>
  </conditionalFormatting>
  <conditionalFormatting sqref="R27">
    <cfRule type="cellIs" dxfId="41232" priority="81878" stopIfTrue="1" operator="lessThan">
      <formula>0.5</formula>
    </cfRule>
  </conditionalFormatting>
  <conditionalFormatting sqref="R27">
    <cfRule type="cellIs" dxfId="41231" priority="81879" stopIfTrue="1" operator="greaterThanOrEqual">
      <formula>0.5</formula>
    </cfRule>
  </conditionalFormatting>
  <conditionalFormatting sqref="R28">
    <cfRule type="cellIs" dxfId="41230" priority="81880" stopIfTrue="1" operator="equal">
      <formula>-1</formula>
    </cfRule>
  </conditionalFormatting>
  <conditionalFormatting sqref="R28">
    <cfRule type="cellIs" dxfId="41229" priority="81881" stopIfTrue="1" operator="lessThan">
      <formula>0.5</formula>
    </cfRule>
  </conditionalFormatting>
  <conditionalFormatting sqref="R28">
    <cfRule type="cellIs" dxfId="41228" priority="81882" stopIfTrue="1" operator="greaterThanOrEqual">
      <formula>0.5</formula>
    </cfRule>
  </conditionalFormatting>
  <conditionalFormatting sqref="R29">
    <cfRule type="cellIs" dxfId="41227" priority="81883" stopIfTrue="1" operator="equal">
      <formula>-1</formula>
    </cfRule>
  </conditionalFormatting>
  <conditionalFormatting sqref="R29">
    <cfRule type="cellIs" dxfId="41226" priority="81884" stopIfTrue="1" operator="lessThan">
      <formula>0.5</formula>
    </cfRule>
  </conditionalFormatting>
  <conditionalFormatting sqref="R29">
    <cfRule type="cellIs" dxfId="41225" priority="81885" stopIfTrue="1" operator="greaterThanOrEqual">
      <formula>0.5</formula>
    </cfRule>
  </conditionalFormatting>
  <conditionalFormatting sqref="R30">
    <cfRule type="cellIs" dxfId="41224" priority="81886" stopIfTrue="1" operator="equal">
      <formula>-1</formula>
    </cfRule>
  </conditionalFormatting>
  <conditionalFormatting sqref="R30">
    <cfRule type="cellIs" dxfId="41223" priority="81887" stopIfTrue="1" operator="lessThan">
      <formula>0.5</formula>
    </cfRule>
  </conditionalFormatting>
  <conditionalFormatting sqref="R30">
    <cfRule type="cellIs" dxfId="41222" priority="81888" stopIfTrue="1" operator="greaterThanOrEqual">
      <formula>0.5</formula>
    </cfRule>
  </conditionalFormatting>
  <conditionalFormatting sqref="R31">
    <cfRule type="cellIs" dxfId="41221" priority="81889" stopIfTrue="1" operator="equal">
      <formula>-1</formula>
    </cfRule>
  </conditionalFormatting>
  <conditionalFormatting sqref="R31">
    <cfRule type="cellIs" dxfId="41220" priority="81890" stopIfTrue="1" operator="lessThan">
      <formula>0.5</formula>
    </cfRule>
  </conditionalFormatting>
  <conditionalFormatting sqref="R31">
    <cfRule type="cellIs" dxfId="41219" priority="81891" stopIfTrue="1" operator="greaterThanOrEqual">
      <formula>0.5</formula>
    </cfRule>
  </conditionalFormatting>
  <conditionalFormatting sqref="R32">
    <cfRule type="cellIs" dxfId="41218" priority="81892" stopIfTrue="1" operator="equal">
      <formula>-1</formula>
    </cfRule>
  </conditionalFormatting>
  <conditionalFormatting sqref="R32">
    <cfRule type="cellIs" dxfId="41217" priority="81893" stopIfTrue="1" operator="lessThan">
      <formula>0.5</formula>
    </cfRule>
  </conditionalFormatting>
  <conditionalFormatting sqref="R32">
    <cfRule type="cellIs" dxfId="41216" priority="81894" stopIfTrue="1" operator="greaterThanOrEqual">
      <formula>0.5</formula>
    </cfRule>
  </conditionalFormatting>
  <conditionalFormatting sqref="R33">
    <cfRule type="cellIs" dxfId="41215" priority="81895" stopIfTrue="1" operator="equal">
      <formula>-1</formula>
    </cfRule>
  </conditionalFormatting>
  <conditionalFormatting sqref="R33">
    <cfRule type="cellIs" dxfId="41214" priority="81896" stopIfTrue="1" operator="lessThan">
      <formula>0.5</formula>
    </cfRule>
  </conditionalFormatting>
  <conditionalFormatting sqref="R33">
    <cfRule type="cellIs" dxfId="41213" priority="81897" stopIfTrue="1" operator="greaterThanOrEqual">
      <formula>0.5</formula>
    </cfRule>
  </conditionalFormatting>
  <conditionalFormatting sqref="R34">
    <cfRule type="cellIs" dxfId="41212" priority="81898" stopIfTrue="1" operator="equal">
      <formula>-1</formula>
    </cfRule>
  </conditionalFormatting>
  <conditionalFormatting sqref="R34">
    <cfRule type="cellIs" dxfId="41211" priority="81899" stopIfTrue="1" operator="lessThan">
      <formula>0.5</formula>
    </cfRule>
  </conditionalFormatting>
  <conditionalFormatting sqref="R34">
    <cfRule type="cellIs" dxfId="41210" priority="81900" stopIfTrue="1" operator="greaterThanOrEqual">
      <formula>0.5</formula>
    </cfRule>
  </conditionalFormatting>
  <conditionalFormatting sqref="R35">
    <cfRule type="cellIs" dxfId="41209" priority="81901" stopIfTrue="1" operator="equal">
      <formula>-1</formula>
    </cfRule>
  </conditionalFormatting>
  <conditionalFormatting sqref="R35">
    <cfRule type="cellIs" dxfId="41208" priority="81902" stopIfTrue="1" operator="lessThan">
      <formula>0.5</formula>
    </cfRule>
  </conditionalFormatting>
  <conditionalFormatting sqref="R35">
    <cfRule type="cellIs" dxfId="41207" priority="81903" stopIfTrue="1" operator="greaterThanOrEqual">
      <formula>0.5</formula>
    </cfRule>
  </conditionalFormatting>
  <conditionalFormatting sqref="R36">
    <cfRule type="cellIs" dxfId="41206" priority="81904" stopIfTrue="1" operator="equal">
      <formula>-1</formula>
    </cfRule>
  </conditionalFormatting>
  <conditionalFormatting sqref="R36">
    <cfRule type="cellIs" dxfId="41205" priority="81905" stopIfTrue="1" operator="lessThan">
      <formula>0.5</formula>
    </cfRule>
  </conditionalFormatting>
  <conditionalFormatting sqref="R36">
    <cfRule type="cellIs" dxfId="41204" priority="81906" stopIfTrue="1" operator="greaterThanOrEqual">
      <formula>0.5</formula>
    </cfRule>
  </conditionalFormatting>
  <conditionalFormatting sqref="R37">
    <cfRule type="cellIs" dxfId="41203" priority="81907" stopIfTrue="1" operator="equal">
      <formula>-1</formula>
    </cfRule>
  </conditionalFormatting>
  <conditionalFormatting sqref="R37">
    <cfRule type="cellIs" dxfId="41202" priority="81908" stopIfTrue="1" operator="lessThan">
      <formula>0.5</formula>
    </cfRule>
  </conditionalFormatting>
  <conditionalFormatting sqref="R37">
    <cfRule type="cellIs" dxfId="41201" priority="81909" stopIfTrue="1" operator="greaterThanOrEqual">
      <formula>0.5</formula>
    </cfRule>
  </conditionalFormatting>
  <conditionalFormatting sqref="T17">
    <cfRule type="cellIs" dxfId="41200" priority="81910" stopIfTrue="1" operator="equal">
      <formula>-1</formula>
    </cfRule>
  </conditionalFormatting>
  <conditionalFormatting sqref="T17">
    <cfRule type="cellIs" dxfId="41199" priority="81911" stopIfTrue="1" operator="lessThan">
      <formula>0.5</formula>
    </cfRule>
  </conditionalFormatting>
  <conditionalFormatting sqref="T17">
    <cfRule type="cellIs" dxfId="41198" priority="81912" stopIfTrue="1" operator="greaterThanOrEqual">
      <formula>0.5</formula>
    </cfRule>
  </conditionalFormatting>
  <conditionalFormatting sqref="T18">
    <cfRule type="cellIs" dxfId="41197" priority="81913" stopIfTrue="1" operator="equal">
      <formula>-1</formula>
    </cfRule>
  </conditionalFormatting>
  <conditionalFormatting sqref="T18">
    <cfRule type="cellIs" dxfId="41196" priority="81914" stopIfTrue="1" operator="lessThan">
      <formula>0.5</formula>
    </cfRule>
  </conditionalFormatting>
  <conditionalFormatting sqref="T18">
    <cfRule type="cellIs" dxfId="41195" priority="81915" stopIfTrue="1" operator="greaterThanOrEqual">
      <formula>0.5</formula>
    </cfRule>
  </conditionalFormatting>
  <conditionalFormatting sqref="T19">
    <cfRule type="cellIs" dxfId="41194" priority="81916" stopIfTrue="1" operator="equal">
      <formula>-1</formula>
    </cfRule>
  </conditionalFormatting>
  <conditionalFormatting sqref="T19">
    <cfRule type="cellIs" dxfId="41193" priority="81917" stopIfTrue="1" operator="lessThan">
      <formula>0.5</formula>
    </cfRule>
  </conditionalFormatting>
  <conditionalFormatting sqref="T19">
    <cfRule type="cellIs" dxfId="41192" priority="81918" stopIfTrue="1" operator="greaterThanOrEqual">
      <formula>0.5</formula>
    </cfRule>
  </conditionalFormatting>
  <conditionalFormatting sqref="T20">
    <cfRule type="cellIs" dxfId="41191" priority="81919" stopIfTrue="1" operator="equal">
      <formula>-1</formula>
    </cfRule>
  </conditionalFormatting>
  <conditionalFormatting sqref="T20">
    <cfRule type="cellIs" dxfId="41190" priority="81920" stopIfTrue="1" operator="lessThan">
      <formula>0.5</formula>
    </cfRule>
  </conditionalFormatting>
  <conditionalFormatting sqref="T20">
    <cfRule type="cellIs" dxfId="41189" priority="81921" stopIfTrue="1" operator="greaterThanOrEqual">
      <formula>0.5</formula>
    </cfRule>
  </conditionalFormatting>
  <conditionalFormatting sqref="T21">
    <cfRule type="cellIs" dxfId="41188" priority="81922" stopIfTrue="1" operator="equal">
      <formula>-1</formula>
    </cfRule>
  </conditionalFormatting>
  <conditionalFormatting sqref="T21">
    <cfRule type="cellIs" dxfId="41187" priority="81923" stopIfTrue="1" operator="lessThan">
      <formula>0.5</formula>
    </cfRule>
  </conditionalFormatting>
  <conditionalFormatting sqref="T21">
    <cfRule type="cellIs" dxfId="41186" priority="81924" stopIfTrue="1" operator="greaterThanOrEqual">
      <formula>0.5</formula>
    </cfRule>
  </conditionalFormatting>
  <conditionalFormatting sqref="T22">
    <cfRule type="cellIs" dxfId="41185" priority="81925" stopIfTrue="1" operator="equal">
      <formula>-1</formula>
    </cfRule>
  </conditionalFormatting>
  <conditionalFormatting sqref="T22">
    <cfRule type="cellIs" dxfId="41184" priority="81926" stopIfTrue="1" operator="lessThan">
      <formula>0.5</formula>
    </cfRule>
  </conditionalFormatting>
  <conditionalFormatting sqref="T22">
    <cfRule type="cellIs" dxfId="41183" priority="81927" stopIfTrue="1" operator="greaterThanOrEqual">
      <formula>0.5</formula>
    </cfRule>
  </conditionalFormatting>
  <conditionalFormatting sqref="T23">
    <cfRule type="cellIs" dxfId="41182" priority="81928" stopIfTrue="1" operator="equal">
      <formula>-1</formula>
    </cfRule>
  </conditionalFormatting>
  <conditionalFormatting sqref="T23">
    <cfRule type="cellIs" dxfId="41181" priority="81929" stopIfTrue="1" operator="lessThan">
      <formula>0.5</formula>
    </cfRule>
  </conditionalFormatting>
  <conditionalFormatting sqref="T23">
    <cfRule type="cellIs" dxfId="41180" priority="81930" stopIfTrue="1" operator="greaterThanOrEqual">
      <formula>0.5</formula>
    </cfRule>
  </conditionalFormatting>
  <conditionalFormatting sqref="T24">
    <cfRule type="cellIs" dxfId="41179" priority="81931" stopIfTrue="1" operator="equal">
      <formula>-1</formula>
    </cfRule>
  </conditionalFormatting>
  <conditionalFormatting sqref="T24">
    <cfRule type="cellIs" dxfId="41178" priority="81932" stopIfTrue="1" operator="lessThan">
      <formula>0.5</formula>
    </cfRule>
  </conditionalFormatting>
  <conditionalFormatting sqref="T24">
    <cfRule type="cellIs" dxfId="41177" priority="81933" stopIfTrue="1" operator="greaterThanOrEqual">
      <formula>0.5</formula>
    </cfRule>
  </conditionalFormatting>
  <conditionalFormatting sqref="T25">
    <cfRule type="cellIs" dxfId="41176" priority="81934" stopIfTrue="1" operator="equal">
      <formula>-1</formula>
    </cfRule>
  </conditionalFormatting>
  <conditionalFormatting sqref="T25">
    <cfRule type="cellIs" dxfId="41175" priority="81935" stopIfTrue="1" operator="lessThan">
      <formula>0.5</formula>
    </cfRule>
  </conditionalFormatting>
  <conditionalFormatting sqref="T25">
    <cfRule type="cellIs" dxfId="41174" priority="81936" stopIfTrue="1" operator="greaterThanOrEqual">
      <formula>0.5</formula>
    </cfRule>
  </conditionalFormatting>
  <conditionalFormatting sqref="T26">
    <cfRule type="cellIs" dxfId="41173" priority="81937" stopIfTrue="1" operator="equal">
      <formula>-1</formula>
    </cfRule>
  </conditionalFormatting>
  <conditionalFormatting sqref="T26">
    <cfRule type="cellIs" dxfId="41172" priority="81938" stopIfTrue="1" operator="lessThan">
      <formula>0.5</formula>
    </cfRule>
  </conditionalFormatting>
  <conditionalFormatting sqref="T26">
    <cfRule type="cellIs" dxfId="41171" priority="81939" stopIfTrue="1" operator="greaterThanOrEqual">
      <formula>0.5</formula>
    </cfRule>
  </conditionalFormatting>
  <conditionalFormatting sqref="T27">
    <cfRule type="cellIs" dxfId="41170" priority="81940" stopIfTrue="1" operator="equal">
      <formula>-1</formula>
    </cfRule>
  </conditionalFormatting>
  <conditionalFormatting sqref="T27">
    <cfRule type="cellIs" dxfId="41169" priority="81941" stopIfTrue="1" operator="lessThan">
      <formula>0.5</formula>
    </cfRule>
  </conditionalFormatting>
  <conditionalFormatting sqref="T27">
    <cfRule type="cellIs" dxfId="41168" priority="81942" stopIfTrue="1" operator="greaterThanOrEqual">
      <formula>0.5</formula>
    </cfRule>
  </conditionalFormatting>
  <conditionalFormatting sqref="T28">
    <cfRule type="cellIs" dxfId="41167" priority="81943" stopIfTrue="1" operator="equal">
      <formula>-1</formula>
    </cfRule>
  </conditionalFormatting>
  <conditionalFormatting sqref="T28">
    <cfRule type="cellIs" dxfId="41166" priority="81944" stopIfTrue="1" operator="lessThan">
      <formula>0.5</formula>
    </cfRule>
  </conditionalFormatting>
  <conditionalFormatting sqref="T28">
    <cfRule type="cellIs" dxfId="41165" priority="81945" stopIfTrue="1" operator="greaterThanOrEqual">
      <formula>0.5</formula>
    </cfRule>
  </conditionalFormatting>
  <conditionalFormatting sqref="T29">
    <cfRule type="cellIs" dxfId="41164" priority="81946" stopIfTrue="1" operator="equal">
      <formula>-1</formula>
    </cfRule>
  </conditionalFormatting>
  <conditionalFormatting sqref="T29">
    <cfRule type="cellIs" dxfId="41163" priority="81947" stopIfTrue="1" operator="lessThan">
      <formula>0.5</formula>
    </cfRule>
  </conditionalFormatting>
  <conditionalFormatting sqref="T29">
    <cfRule type="cellIs" dxfId="41162" priority="81948" stopIfTrue="1" operator="greaterThanOrEqual">
      <formula>0.5</formula>
    </cfRule>
  </conditionalFormatting>
  <conditionalFormatting sqref="T30">
    <cfRule type="cellIs" dxfId="41161" priority="81949" stopIfTrue="1" operator="equal">
      <formula>-1</formula>
    </cfRule>
  </conditionalFormatting>
  <conditionalFormatting sqref="T30">
    <cfRule type="cellIs" dxfId="41160" priority="81950" stopIfTrue="1" operator="lessThan">
      <formula>0.5</formula>
    </cfRule>
  </conditionalFormatting>
  <conditionalFormatting sqref="T30">
    <cfRule type="cellIs" dxfId="41159" priority="81951" stopIfTrue="1" operator="greaterThanOrEqual">
      <formula>0.5</formula>
    </cfRule>
  </conditionalFormatting>
  <conditionalFormatting sqref="T31">
    <cfRule type="cellIs" dxfId="41158" priority="81952" stopIfTrue="1" operator="equal">
      <formula>-1</formula>
    </cfRule>
  </conditionalFormatting>
  <conditionalFormatting sqref="T31">
    <cfRule type="cellIs" dxfId="41157" priority="81953" stopIfTrue="1" operator="lessThan">
      <formula>0.5</formula>
    </cfRule>
  </conditionalFormatting>
  <conditionalFormatting sqref="T31">
    <cfRule type="cellIs" dxfId="41156" priority="81954" stopIfTrue="1" operator="greaterThanOrEqual">
      <formula>0.5</formula>
    </cfRule>
  </conditionalFormatting>
  <conditionalFormatting sqref="T32">
    <cfRule type="cellIs" dxfId="41155" priority="81955" stopIfTrue="1" operator="equal">
      <formula>-1</formula>
    </cfRule>
  </conditionalFormatting>
  <conditionalFormatting sqref="T32">
    <cfRule type="cellIs" dxfId="41154" priority="81956" stopIfTrue="1" operator="lessThan">
      <formula>0.5</formula>
    </cfRule>
  </conditionalFormatting>
  <conditionalFormatting sqref="T32">
    <cfRule type="cellIs" dxfId="41153" priority="81957" stopIfTrue="1" operator="greaterThanOrEqual">
      <formula>0.5</formula>
    </cfRule>
  </conditionalFormatting>
  <conditionalFormatting sqref="T33">
    <cfRule type="cellIs" dxfId="41152" priority="81958" stopIfTrue="1" operator="equal">
      <formula>-1</formula>
    </cfRule>
  </conditionalFormatting>
  <conditionalFormatting sqref="T33">
    <cfRule type="cellIs" dxfId="41151" priority="81959" stopIfTrue="1" operator="lessThan">
      <formula>0.5</formula>
    </cfRule>
  </conditionalFormatting>
  <conditionalFormatting sqref="T33">
    <cfRule type="cellIs" dxfId="41150" priority="81960" stopIfTrue="1" operator="greaterThanOrEqual">
      <formula>0.5</formula>
    </cfRule>
  </conditionalFormatting>
  <conditionalFormatting sqref="T34">
    <cfRule type="cellIs" dxfId="41149" priority="81961" stopIfTrue="1" operator="equal">
      <formula>-1</formula>
    </cfRule>
  </conditionalFormatting>
  <conditionalFormatting sqref="T34">
    <cfRule type="cellIs" dxfId="41148" priority="81962" stopIfTrue="1" operator="lessThan">
      <formula>0.5</formula>
    </cfRule>
  </conditionalFormatting>
  <conditionalFormatting sqref="T34">
    <cfRule type="cellIs" dxfId="41147" priority="81963" stopIfTrue="1" operator="greaterThanOrEqual">
      <formula>0.5</formula>
    </cfRule>
  </conditionalFormatting>
  <conditionalFormatting sqref="T35">
    <cfRule type="cellIs" dxfId="41146" priority="81964" stopIfTrue="1" operator="equal">
      <formula>-1</formula>
    </cfRule>
  </conditionalFormatting>
  <conditionalFormatting sqref="T35">
    <cfRule type="cellIs" dxfId="41145" priority="81965" stopIfTrue="1" operator="lessThan">
      <formula>0.5</formula>
    </cfRule>
  </conditionalFormatting>
  <conditionalFormatting sqref="T35">
    <cfRule type="cellIs" dxfId="41144" priority="81966" stopIfTrue="1" operator="greaterThanOrEqual">
      <formula>0.5</formula>
    </cfRule>
  </conditionalFormatting>
  <conditionalFormatting sqref="T36">
    <cfRule type="cellIs" dxfId="41143" priority="81967" stopIfTrue="1" operator="equal">
      <formula>-1</formula>
    </cfRule>
  </conditionalFormatting>
  <conditionalFormatting sqref="T36">
    <cfRule type="cellIs" dxfId="41142" priority="81968" stopIfTrue="1" operator="lessThan">
      <formula>0.5</formula>
    </cfRule>
  </conditionalFormatting>
  <conditionalFormatting sqref="T36">
    <cfRule type="cellIs" dxfId="41141" priority="81969" stopIfTrue="1" operator="greaterThanOrEqual">
      <formula>0.5</formula>
    </cfRule>
  </conditionalFormatting>
  <conditionalFormatting sqref="T37">
    <cfRule type="cellIs" dxfId="41140" priority="81970" stopIfTrue="1" operator="equal">
      <formula>-1</formula>
    </cfRule>
  </conditionalFormatting>
  <conditionalFormatting sqref="T37">
    <cfRule type="cellIs" dxfId="41139" priority="81971" stopIfTrue="1" operator="lessThan">
      <formula>0.5</formula>
    </cfRule>
  </conditionalFormatting>
  <conditionalFormatting sqref="T37">
    <cfRule type="cellIs" dxfId="41138" priority="81972" stopIfTrue="1" operator="greaterThanOrEqual">
      <formula>0.5</formula>
    </cfRule>
  </conditionalFormatting>
  <conditionalFormatting sqref="V17">
    <cfRule type="cellIs" dxfId="41137" priority="81973" stopIfTrue="1" operator="equal">
      <formula>-1</formula>
    </cfRule>
  </conditionalFormatting>
  <conditionalFormatting sqref="V17">
    <cfRule type="cellIs" dxfId="41136" priority="81974" stopIfTrue="1" operator="lessThan">
      <formula>0.5</formula>
    </cfRule>
  </conditionalFormatting>
  <conditionalFormatting sqref="V17">
    <cfRule type="cellIs" dxfId="41135" priority="81975" stopIfTrue="1" operator="greaterThanOrEqual">
      <formula>0.5</formula>
    </cfRule>
  </conditionalFormatting>
  <conditionalFormatting sqref="V18">
    <cfRule type="cellIs" dxfId="41134" priority="81976" stopIfTrue="1" operator="equal">
      <formula>-1</formula>
    </cfRule>
  </conditionalFormatting>
  <conditionalFormatting sqref="V18">
    <cfRule type="cellIs" dxfId="41133" priority="81977" stopIfTrue="1" operator="lessThan">
      <formula>0.5</formula>
    </cfRule>
  </conditionalFormatting>
  <conditionalFormatting sqref="V18">
    <cfRule type="cellIs" dxfId="41132" priority="81978" stopIfTrue="1" operator="greaterThanOrEqual">
      <formula>0.5</formula>
    </cfRule>
  </conditionalFormatting>
  <conditionalFormatting sqref="V19">
    <cfRule type="cellIs" dxfId="41131" priority="81979" stopIfTrue="1" operator="equal">
      <formula>-1</formula>
    </cfRule>
  </conditionalFormatting>
  <conditionalFormatting sqref="V19">
    <cfRule type="cellIs" dxfId="41130" priority="81980" stopIfTrue="1" operator="lessThan">
      <formula>0.5</formula>
    </cfRule>
  </conditionalFormatting>
  <conditionalFormatting sqref="V19">
    <cfRule type="cellIs" dxfId="41129" priority="81981" stopIfTrue="1" operator="greaterThanOrEqual">
      <formula>0.5</formula>
    </cfRule>
  </conditionalFormatting>
  <conditionalFormatting sqref="V20">
    <cfRule type="cellIs" dxfId="41128" priority="81982" stopIfTrue="1" operator="equal">
      <formula>-1</formula>
    </cfRule>
  </conditionalFormatting>
  <conditionalFormatting sqref="V20">
    <cfRule type="cellIs" dxfId="41127" priority="81983" stopIfTrue="1" operator="lessThan">
      <formula>0.5</formula>
    </cfRule>
  </conditionalFormatting>
  <conditionalFormatting sqref="V20">
    <cfRule type="cellIs" dxfId="41126" priority="81984" stopIfTrue="1" operator="greaterThanOrEqual">
      <formula>0.5</formula>
    </cfRule>
  </conditionalFormatting>
  <conditionalFormatting sqref="V21">
    <cfRule type="cellIs" dxfId="41125" priority="81985" stopIfTrue="1" operator="equal">
      <formula>-1</formula>
    </cfRule>
  </conditionalFormatting>
  <conditionalFormatting sqref="V21">
    <cfRule type="cellIs" dxfId="41124" priority="81986" stopIfTrue="1" operator="lessThan">
      <formula>0.5</formula>
    </cfRule>
  </conditionalFormatting>
  <conditionalFormatting sqref="V21">
    <cfRule type="cellIs" dxfId="41123" priority="81987" stopIfTrue="1" operator="greaterThanOrEqual">
      <formula>0.5</formula>
    </cfRule>
  </conditionalFormatting>
  <conditionalFormatting sqref="V22">
    <cfRule type="cellIs" dxfId="41122" priority="81988" stopIfTrue="1" operator="equal">
      <formula>-1</formula>
    </cfRule>
  </conditionalFormatting>
  <conditionalFormatting sqref="V22">
    <cfRule type="cellIs" dxfId="41121" priority="81989" stopIfTrue="1" operator="lessThan">
      <formula>0.5</formula>
    </cfRule>
  </conditionalFormatting>
  <conditionalFormatting sqref="V22">
    <cfRule type="cellIs" dxfId="41120" priority="81990" stopIfTrue="1" operator="greaterThanOrEqual">
      <formula>0.5</formula>
    </cfRule>
  </conditionalFormatting>
  <conditionalFormatting sqref="V23">
    <cfRule type="cellIs" dxfId="41119" priority="81991" stopIfTrue="1" operator="equal">
      <formula>-1</formula>
    </cfRule>
  </conditionalFormatting>
  <conditionalFormatting sqref="V23">
    <cfRule type="cellIs" dxfId="41118" priority="81992" stopIfTrue="1" operator="lessThan">
      <formula>0.5</formula>
    </cfRule>
  </conditionalFormatting>
  <conditionalFormatting sqref="V23">
    <cfRule type="cellIs" dxfId="41117" priority="81993" stopIfTrue="1" operator="greaterThanOrEqual">
      <formula>0.5</formula>
    </cfRule>
  </conditionalFormatting>
  <conditionalFormatting sqref="V24">
    <cfRule type="cellIs" dxfId="41116" priority="81994" stopIfTrue="1" operator="equal">
      <formula>-1</formula>
    </cfRule>
  </conditionalFormatting>
  <conditionalFormatting sqref="V24">
    <cfRule type="cellIs" dxfId="41115" priority="81995" stopIfTrue="1" operator="lessThan">
      <formula>0.5</formula>
    </cfRule>
  </conditionalFormatting>
  <conditionalFormatting sqref="V24">
    <cfRule type="cellIs" dxfId="41114" priority="81996" stopIfTrue="1" operator="greaterThanOrEqual">
      <formula>0.5</formula>
    </cfRule>
  </conditionalFormatting>
  <conditionalFormatting sqref="V25">
    <cfRule type="cellIs" dxfId="41113" priority="81997" stopIfTrue="1" operator="equal">
      <formula>-1</formula>
    </cfRule>
  </conditionalFormatting>
  <conditionalFormatting sqref="V25">
    <cfRule type="cellIs" dxfId="41112" priority="81998" stopIfTrue="1" operator="lessThan">
      <formula>0.5</formula>
    </cfRule>
  </conditionalFormatting>
  <conditionalFormatting sqref="V25">
    <cfRule type="cellIs" dxfId="41111" priority="81999" stopIfTrue="1" operator="greaterThanOrEqual">
      <formula>0.5</formula>
    </cfRule>
  </conditionalFormatting>
  <conditionalFormatting sqref="V26">
    <cfRule type="cellIs" dxfId="41110" priority="82000" stopIfTrue="1" operator="equal">
      <formula>-1</formula>
    </cfRule>
  </conditionalFormatting>
  <conditionalFormatting sqref="V26">
    <cfRule type="cellIs" dxfId="41109" priority="82001" stopIfTrue="1" operator="lessThan">
      <formula>0.5</formula>
    </cfRule>
  </conditionalFormatting>
  <conditionalFormatting sqref="V26">
    <cfRule type="cellIs" dxfId="41108" priority="82002" stopIfTrue="1" operator="greaterThanOrEqual">
      <formula>0.5</formula>
    </cfRule>
  </conditionalFormatting>
  <conditionalFormatting sqref="V27">
    <cfRule type="cellIs" dxfId="41107" priority="82003" stopIfTrue="1" operator="equal">
      <formula>-1</formula>
    </cfRule>
  </conditionalFormatting>
  <conditionalFormatting sqref="V27">
    <cfRule type="cellIs" dxfId="41106" priority="82004" stopIfTrue="1" operator="lessThan">
      <formula>0.5</formula>
    </cfRule>
  </conditionalFormatting>
  <conditionalFormatting sqref="V27">
    <cfRule type="cellIs" dxfId="41105" priority="82005" stopIfTrue="1" operator="greaterThanOrEqual">
      <formula>0.5</formula>
    </cfRule>
  </conditionalFormatting>
  <conditionalFormatting sqref="V28">
    <cfRule type="cellIs" dxfId="41104" priority="82006" stopIfTrue="1" operator="equal">
      <formula>-1</formula>
    </cfRule>
  </conditionalFormatting>
  <conditionalFormatting sqref="V28">
    <cfRule type="cellIs" dxfId="41103" priority="82007" stopIfTrue="1" operator="lessThan">
      <formula>0.5</formula>
    </cfRule>
  </conditionalFormatting>
  <conditionalFormatting sqref="V28">
    <cfRule type="cellIs" dxfId="41102" priority="82008" stopIfTrue="1" operator="greaterThanOrEqual">
      <formula>0.5</formula>
    </cfRule>
  </conditionalFormatting>
  <conditionalFormatting sqref="V29">
    <cfRule type="cellIs" dxfId="41101" priority="82009" stopIfTrue="1" operator="equal">
      <formula>-1</formula>
    </cfRule>
  </conditionalFormatting>
  <conditionalFormatting sqref="V29">
    <cfRule type="cellIs" dxfId="41100" priority="82010" stopIfTrue="1" operator="lessThan">
      <formula>0.5</formula>
    </cfRule>
  </conditionalFormatting>
  <conditionalFormatting sqref="V29">
    <cfRule type="cellIs" dxfId="41099" priority="82011" stopIfTrue="1" operator="greaterThanOrEqual">
      <formula>0.5</formula>
    </cfRule>
  </conditionalFormatting>
  <conditionalFormatting sqref="V30">
    <cfRule type="cellIs" dxfId="41098" priority="82012" stopIfTrue="1" operator="equal">
      <formula>-1</formula>
    </cfRule>
  </conditionalFormatting>
  <conditionalFormatting sqref="V30">
    <cfRule type="cellIs" dxfId="41097" priority="82013" stopIfTrue="1" operator="lessThan">
      <formula>0.5</formula>
    </cfRule>
  </conditionalFormatting>
  <conditionalFormatting sqref="V30">
    <cfRule type="cellIs" dxfId="41096" priority="82014" stopIfTrue="1" operator="greaterThanOrEqual">
      <formula>0.5</formula>
    </cfRule>
  </conditionalFormatting>
  <conditionalFormatting sqref="V31">
    <cfRule type="cellIs" dxfId="41095" priority="82015" stopIfTrue="1" operator="equal">
      <formula>-1</formula>
    </cfRule>
  </conditionalFormatting>
  <conditionalFormatting sqref="V31">
    <cfRule type="cellIs" dxfId="41094" priority="82016" stopIfTrue="1" operator="lessThan">
      <formula>0.5</formula>
    </cfRule>
  </conditionalFormatting>
  <conditionalFormatting sqref="V31">
    <cfRule type="cellIs" dxfId="41093" priority="82017" stopIfTrue="1" operator="greaterThanOrEqual">
      <formula>0.5</formula>
    </cfRule>
  </conditionalFormatting>
  <conditionalFormatting sqref="V32">
    <cfRule type="cellIs" dxfId="41092" priority="82018" stopIfTrue="1" operator="equal">
      <formula>-1</formula>
    </cfRule>
  </conditionalFormatting>
  <conditionalFormatting sqref="V32">
    <cfRule type="cellIs" dxfId="41091" priority="82019" stopIfTrue="1" operator="lessThan">
      <formula>0.5</formula>
    </cfRule>
  </conditionalFormatting>
  <conditionalFormatting sqref="V32">
    <cfRule type="cellIs" dxfId="41090" priority="82020" stopIfTrue="1" operator="greaterThanOrEqual">
      <formula>0.5</formula>
    </cfRule>
  </conditionalFormatting>
  <conditionalFormatting sqref="V33">
    <cfRule type="cellIs" dxfId="41089" priority="82021" stopIfTrue="1" operator="equal">
      <formula>-1</formula>
    </cfRule>
  </conditionalFormatting>
  <conditionalFormatting sqref="V33">
    <cfRule type="cellIs" dxfId="41088" priority="82022" stopIfTrue="1" operator="lessThan">
      <formula>0.5</formula>
    </cfRule>
  </conditionalFormatting>
  <conditionalFormatting sqref="V33">
    <cfRule type="cellIs" dxfId="41087" priority="82023" stopIfTrue="1" operator="greaterThanOrEqual">
      <formula>0.5</formula>
    </cfRule>
  </conditionalFormatting>
  <conditionalFormatting sqref="V34">
    <cfRule type="cellIs" dxfId="41086" priority="82024" stopIfTrue="1" operator="equal">
      <formula>-1</formula>
    </cfRule>
  </conditionalFormatting>
  <conditionalFormatting sqref="V34">
    <cfRule type="cellIs" dxfId="41085" priority="82025" stopIfTrue="1" operator="lessThan">
      <formula>0.5</formula>
    </cfRule>
  </conditionalFormatting>
  <conditionalFormatting sqref="V34">
    <cfRule type="cellIs" dxfId="41084" priority="82026" stopIfTrue="1" operator="greaterThanOrEqual">
      <formula>0.5</formula>
    </cfRule>
  </conditionalFormatting>
  <conditionalFormatting sqref="V35">
    <cfRule type="cellIs" dxfId="41083" priority="82027" stopIfTrue="1" operator="equal">
      <formula>-1</formula>
    </cfRule>
  </conditionalFormatting>
  <conditionalFormatting sqref="V35">
    <cfRule type="cellIs" dxfId="41082" priority="82028" stopIfTrue="1" operator="lessThan">
      <formula>0.5</formula>
    </cfRule>
  </conditionalFormatting>
  <conditionalFormatting sqref="V35">
    <cfRule type="cellIs" dxfId="41081" priority="82029" stopIfTrue="1" operator="greaterThanOrEqual">
      <formula>0.5</formula>
    </cfRule>
  </conditionalFormatting>
  <conditionalFormatting sqref="V36">
    <cfRule type="cellIs" dxfId="41080" priority="82030" stopIfTrue="1" operator="equal">
      <formula>-1</formula>
    </cfRule>
  </conditionalFormatting>
  <conditionalFormatting sqref="V36">
    <cfRule type="cellIs" dxfId="41079" priority="82031" stopIfTrue="1" operator="lessThan">
      <formula>0.5</formula>
    </cfRule>
  </conditionalFormatting>
  <conditionalFormatting sqref="V36">
    <cfRule type="cellIs" dxfId="41078" priority="82032" stopIfTrue="1" operator="greaterThanOrEqual">
      <formula>0.5</formula>
    </cfRule>
  </conditionalFormatting>
  <conditionalFormatting sqref="V37">
    <cfRule type="cellIs" dxfId="41077" priority="82033" stopIfTrue="1" operator="equal">
      <formula>-1</formula>
    </cfRule>
  </conditionalFormatting>
  <conditionalFormatting sqref="V37">
    <cfRule type="cellIs" dxfId="41076" priority="82034" stopIfTrue="1" operator="lessThan">
      <formula>0.5</formula>
    </cfRule>
  </conditionalFormatting>
  <conditionalFormatting sqref="V37">
    <cfRule type="cellIs" dxfId="41075" priority="82035" stopIfTrue="1" operator="greaterThanOrEqual">
      <formula>0.5</formula>
    </cfRule>
  </conditionalFormatting>
  <conditionalFormatting sqref="X17">
    <cfRule type="cellIs" dxfId="41074" priority="82036" stopIfTrue="1" operator="equal">
      <formula>-1</formula>
    </cfRule>
  </conditionalFormatting>
  <conditionalFormatting sqref="X17">
    <cfRule type="cellIs" dxfId="41073" priority="82037" stopIfTrue="1" operator="lessThan">
      <formula>0.5</formula>
    </cfRule>
  </conditionalFormatting>
  <conditionalFormatting sqref="X17">
    <cfRule type="cellIs" dxfId="41072" priority="82038" stopIfTrue="1" operator="greaterThanOrEqual">
      <formula>0.5</formula>
    </cfRule>
  </conditionalFormatting>
  <conditionalFormatting sqref="X18">
    <cfRule type="cellIs" dxfId="41071" priority="82039" stopIfTrue="1" operator="equal">
      <formula>-1</formula>
    </cfRule>
  </conditionalFormatting>
  <conditionalFormatting sqref="X18">
    <cfRule type="cellIs" dxfId="41070" priority="82040" stopIfTrue="1" operator="lessThan">
      <formula>0.5</formula>
    </cfRule>
  </conditionalFormatting>
  <conditionalFormatting sqref="X18">
    <cfRule type="cellIs" dxfId="41069" priority="82041" stopIfTrue="1" operator="greaterThanOrEqual">
      <formula>0.5</formula>
    </cfRule>
  </conditionalFormatting>
  <conditionalFormatting sqref="X19">
    <cfRule type="cellIs" dxfId="41068" priority="82042" stopIfTrue="1" operator="equal">
      <formula>-1</formula>
    </cfRule>
  </conditionalFormatting>
  <conditionalFormatting sqref="X19">
    <cfRule type="cellIs" dxfId="41067" priority="82043" stopIfTrue="1" operator="lessThan">
      <formula>0.5</formula>
    </cfRule>
  </conditionalFormatting>
  <conditionalFormatting sqref="X19">
    <cfRule type="cellIs" dxfId="41066" priority="82044" stopIfTrue="1" operator="greaterThanOrEqual">
      <formula>0.5</formula>
    </cfRule>
  </conditionalFormatting>
  <conditionalFormatting sqref="X20">
    <cfRule type="cellIs" dxfId="41065" priority="82045" stopIfTrue="1" operator="equal">
      <formula>-1</formula>
    </cfRule>
  </conditionalFormatting>
  <conditionalFormatting sqref="X20">
    <cfRule type="cellIs" dxfId="41064" priority="82046" stopIfTrue="1" operator="lessThan">
      <formula>0.5</formula>
    </cfRule>
  </conditionalFormatting>
  <conditionalFormatting sqref="X20">
    <cfRule type="cellIs" dxfId="41063" priority="82047" stopIfTrue="1" operator="greaterThanOrEqual">
      <formula>0.5</formula>
    </cfRule>
  </conditionalFormatting>
  <conditionalFormatting sqref="X21">
    <cfRule type="cellIs" dxfId="41062" priority="82048" stopIfTrue="1" operator="equal">
      <formula>-1</formula>
    </cfRule>
  </conditionalFormatting>
  <conditionalFormatting sqref="X21">
    <cfRule type="cellIs" dxfId="41061" priority="82049" stopIfTrue="1" operator="lessThan">
      <formula>0.5</formula>
    </cfRule>
  </conditionalFormatting>
  <conditionalFormatting sqref="X21">
    <cfRule type="cellIs" dxfId="41060" priority="82050" stopIfTrue="1" operator="greaterThanOrEqual">
      <formula>0.5</formula>
    </cfRule>
  </conditionalFormatting>
  <conditionalFormatting sqref="X22">
    <cfRule type="cellIs" dxfId="41059" priority="82051" stopIfTrue="1" operator="equal">
      <formula>-1</formula>
    </cfRule>
  </conditionalFormatting>
  <conditionalFormatting sqref="X22">
    <cfRule type="cellIs" dxfId="41058" priority="82052" stopIfTrue="1" operator="lessThan">
      <formula>0.5</formula>
    </cfRule>
  </conditionalFormatting>
  <conditionalFormatting sqref="X22">
    <cfRule type="cellIs" dxfId="41057" priority="82053" stopIfTrue="1" operator="greaterThanOrEqual">
      <formula>0.5</formula>
    </cfRule>
  </conditionalFormatting>
  <conditionalFormatting sqref="X23">
    <cfRule type="cellIs" dxfId="41056" priority="82054" stopIfTrue="1" operator="equal">
      <formula>-1</formula>
    </cfRule>
  </conditionalFormatting>
  <conditionalFormatting sqref="X23">
    <cfRule type="cellIs" dxfId="41055" priority="82055" stopIfTrue="1" operator="lessThan">
      <formula>0.5</formula>
    </cfRule>
  </conditionalFormatting>
  <conditionalFormatting sqref="X23">
    <cfRule type="cellIs" dxfId="41054" priority="82056" stopIfTrue="1" operator="greaterThanOrEqual">
      <formula>0.5</formula>
    </cfRule>
  </conditionalFormatting>
  <conditionalFormatting sqref="X24">
    <cfRule type="cellIs" dxfId="41053" priority="82057" stopIfTrue="1" operator="equal">
      <formula>-1</formula>
    </cfRule>
  </conditionalFormatting>
  <conditionalFormatting sqref="X24">
    <cfRule type="cellIs" dxfId="41052" priority="82058" stopIfTrue="1" operator="lessThan">
      <formula>0.5</formula>
    </cfRule>
  </conditionalFormatting>
  <conditionalFormatting sqref="X24">
    <cfRule type="cellIs" dxfId="41051" priority="82059" stopIfTrue="1" operator="greaterThanOrEqual">
      <formula>0.5</formula>
    </cfRule>
  </conditionalFormatting>
  <conditionalFormatting sqref="X25">
    <cfRule type="cellIs" dxfId="41050" priority="82060" stopIfTrue="1" operator="equal">
      <formula>-1</formula>
    </cfRule>
  </conditionalFormatting>
  <conditionalFormatting sqref="X25">
    <cfRule type="cellIs" dxfId="41049" priority="82061" stopIfTrue="1" operator="lessThan">
      <formula>0.5</formula>
    </cfRule>
  </conditionalFormatting>
  <conditionalFormatting sqref="X25">
    <cfRule type="cellIs" dxfId="41048" priority="82062" stopIfTrue="1" operator="greaterThanOrEqual">
      <formula>0.5</formula>
    </cfRule>
  </conditionalFormatting>
  <conditionalFormatting sqref="X26">
    <cfRule type="cellIs" dxfId="41047" priority="82063" stopIfTrue="1" operator="equal">
      <formula>-1</formula>
    </cfRule>
  </conditionalFormatting>
  <conditionalFormatting sqref="X26">
    <cfRule type="cellIs" dxfId="41046" priority="82064" stopIfTrue="1" operator="lessThan">
      <formula>0.5</formula>
    </cfRule>
  </conditionalFormatting>
  <conditionalFormatting sqref="X26">
    <cfRule type="cellIs" dxfId="41045" priority="82065" stopIfTrue="1" operator="greaterThanOrEqual">
      <formula>0.5</formula>
    </cfRule>
  </conditionalFormatting>
  <conditionalFormatting sqref="X27">
    <cfRule type="cellIs" dxfId="41044" priority="82066" stopIfTrue="1" operator="equal">
      <formula>-1</formula>
    </cfRule>
  </conditionalFormatting>
  <conditionalFormatting sqref="X27">
    <cfRule type="cellIs" dxfId="41043" priority="82067" stopIfTrue="1" operator="lessThan">
      <formula>0.5</formula>
    </cfRule>
  </conditionalFormatting>
  <conditionalFormatting sqref="X27">
    <cfRule type="cellIs" dxfId="41042" priority="82068" stopIfTrue="1" operator="greaterThanOrEqual">
      <formula>0.5</formula>
    </cfRule>
  </conditionalFormatting>
  <conditionalFormatting sqref="X28">
    <cfRule type="cellIs" dxfId="41041" priority="82069" stopIfTrue="1" operator="equal">
      <formula>-1</formula>
    </cfRule>
  </conditionalFormatting>
  <conditionalFormatting sqref="X28">
    <cfRule type="cellIs" dxfId="41040" priority="82070" stopIfTrue="1" operator="lessThan">
      <formula>0.5</formula>
    </cfRule>
  </conditionalFormatting>
  <conditionalFormatting sqref="X28">
    <cfRule type="cellIs" dxfId="41039" priority="82071" stopIfTrue="1" operator="greaterThanOrEqual">
      <formula>0.5</formula>
    </cfRule>
  </conditionalFormatting>
  <conditionalFormatting sqref="X29">
    <cfRule type="cellIs" dxfId="41038" priority="82072" stopIfTrue="1" operator="equal">
      <formula>-1</formula>
    </cfRule>
  </conditionalFormatting>
  <conditionalFormatting sqref="X29">
    <cfRule type="cellIs" dxfId="41037" priority="82073" stopIfTrue="1" operator="lessThan">
      <formula>0.5</formula>
    </cfRule>
  </conditionalFormatting>
  <conditionalFormatting sqref="X29">
    <cfRule type="cellIs" dxfId="41036" priority="82074" stopIfTrue="1" operator="greaterThanOrEqual">
      <formula>0.5</formula>
    </cfRule>
  </conditionalFormatting>
  <conditionalFormatting sqref="X30">
    <cfRule type="cellIs" dxfId="41035" priority="82075" stopIfTrue="1" operator="equal">
      <formula>-1</formula>
    </cfRule>
  </conditionalFormatting>
  <conditionalFormatting sqref="X30">
    <cfRule type="cellIs" dxfId="41034" priority="82076" stopIfTrue="1" operator="lessThan">
      <formula>0.5</formula>
    </cfRule>
  </conditionalFormatting>
  <conditionalFormatting sqref="X30">
    <cfRule type="cellIs" dxfId="41033" priority="82077" stopIfTrue="1" operator="greaterThanOrEqual">
      <formula>0.5</formula>
    </cfRule>
  </conditionalFormatting>
  <conditionalFormatting sqref="X31">
    <cfRule type="cellIs" dxfId="41032" priority="82078" stopIfTrue="1" operator="equal">
      <formula>-1</formula>
    </cfRule>
  </conditionalFormatting>
  <conditionalFormatting sqref="X31">
    <cfRule type="cellIs" dxfId="41031" priority="82079" stopIfTrue="1" operator="lessThan">
      <formula>0.5</formula>
    </cfRule>
  </conditionalFormatting>
  <conditionalFormatting sqref="X31">
    <cfRule type="cellIs" dxfId="41030" priority="82080" stopIfTrue="1" operator="greaterThanOrEqual">
      <formula>0.5</formula>
    </cfRule>
  </conditionalFormatting>
  <conditionalFormatting sqref="X32">
    <cfRule type="cellIs" dxfId="41029" priority="82081" stopIfTrue="1" operator="equal">
      <formula>-1</formula>
    </cfRule>
  </conditionalFormatting>
  <conditionalFormatting sqref="X32">
    <cfRule type="cellIs" dxfId="41028" priority="82082" stopIfTrue="1" operator="lessThan">
      <formula>0.5</formula>
    </cfRule>
  </conditionalFormatting>
  <conditionalFormatting sqref="X32">
    <cfRule type="cellIs" dxfId="41027" priority="82083" stopIfTrue="1" operator="greaterThanOrEqual">
      <formula>0.5</formula>
    </cfRule>
  </conditionalFormatting>
  <conditionalFormatting sqref="X33">
    <cfRule type="cellIs" dxfId="41026" priority="82084" stopIfTrue="1" operator="equal">
      <formula>-1</formula>
    </cfRule>
  </conditionalFormatting>
  <conditionalFormatting sqref="X33">
    <cfRule type="cellIs" dxfId="41025" priority="82085" stopIfTrue="1" operator="lessThan">
      <formula>0.5</formula>
    </cfRule>
  </conditionalFormatting>
  <conditionalFormatting sqref="X33">
    <cfRule type="cellIs" dxfId="41024" priority="82086" stopIfTrue="1" operator="greaterThanOrEqual">
      <formula>0.5</formula>
    </cfRule>
  </conditionalFormatting>
  <conditionalFormatting sqref="X34">
    <cfRule type="cellIs" dxfId="41023" priority="82087" stopIfTrue="1" operator="equal">
      <formula>-1</formula>
    </cfRule>
  </conditionalFormatting>
  <conditionalFormatting sqref="X34">
    <cfRule type="cellIs" dxfId="41022" priority="82088" stopIfTrue="1" operator="lessThan">
      <formula>0.5</formula>
    </cfRule>
  </conditionalFormatting>
  <conditionalFormatting sqref="X34">
    <cfRule type="cellIs" dxfId="41021" priority="82089" stopIfTrue="1" operator="greaterThanOrEqual">
      <formula>0.5</formula>
    </cfRule>
  </conditionalFormatting>
  <conditionalFormatting sqref="X35">
    <cfRule type="cellIs" dxfId="41020" priority="82090" stopIfTrue="1" operator="equal">
      <formula>-1</formula>
    </cfRule>
  </conditionalFormatting>
  <conditionalFormatting sqref="X35">
    <cfRule type="cellIs" dxfId="41019" priority="82091" stopIfTrue="1" operator="lessThan">
      <formula>0.5</formula>
    </cfRule>
  </conditionalFormatting>
  <conditionalFormatting sqref="X35">
    <cfRule type="cellIs" dxfId="41018" priority="82092" stopIfTrue="1" operator="greaterThanOrEqual">
      <formula>0.5</formula>
    </cfRule>
  </conditionalFormatting>
  <conditionalFormatting sqref="X36">
    <cfRule type="cellIs" dxfId="41017" priority="82093" stopIfTrue="1" operator="equal">
      <formula>-1</formula>
    </cfRule>
  </conditionalFormatting>
  <conditionalFormatting sqref="X36">
    <cfRule type="cellIs" dxfId="41016" priority="82094" stopIfTrue="1" operator="lessThan">
      <formula>0.5</formula>
    </cfRule>
  </conditionalFormatting>
  <conditionalFormatting sqref="X36">
    <cfRule type="cellIs" dxfId="41015" priority="82095" stopIfTrue="1" operator="greaterThanOrEqual">
      <formula>0.5</formula>
    </cfRule>
  </conditionalFormatting>
  <conditionalFormatting sqref="X37">
    <cfRule type="cellIs" dxfId="41014" priority="82096" stopIfTrue="1" operator="equal">
      <formula>-1</formula>
    </cfRule>
  </conditionalFormatting>
  <conditionalFormatting sqref="X37">
    <cfRule type="cellIs" dxfId="41013" priority="82097" stopIfTrue="1" operator="lessThan">
      <formula>0.5</formula>
    </cfRule>
  </conditionalFormatting>
  <conditionalFormatting sqref="X37">
    <cfRule type="cellIs" dxfId="41012" priority="82098" stopIfTrue="1" operator="greaterThanOrEqual">
      <formula>0.5</formula>
    </cfRule>
  </conditionalFormatting>
  <conditionalFormatting sqref="Z17">
    <cfRule type="cellIs" dxfId="41011" priority="82099" stopIfTrue="1" operator="equal">
      <formula>-1</formula>
    </cfRule>
  </conditionalFormatting>
  <conditionalFormatting sqref="Z17">
    <cfRule type="cellIs" dxfId="41010" priority="82100" stopIfTrue="1" operator="lessThan">
      <formula>0.5</formula>
    </cfRule>
  </conditionalFormatting>
  <conditionalFormatting sqref="Z17">
    <cfRule type="cellIs" dxfId="41009" priority="82101" stopIfTrue="1" operator="greaterThanOrEqual">
      <formula>0.5</formula>
    </cfRule>
  </conditionalFormatting>
  <conditionalFormatting sqref="Z18">
    <cfRule type="cellIs" dxfId="41008" priority="82102" stopIfTrue="1" operator="equal">
      <formula>-1</formula>
    </cfRule>
  </conditionalFormatting>
  <conditionalFormatting sqref="Z18">
    <cfRule type="cellIs" dxfId="41007" priority="82103" stopIfTrue="1" operator="lessThan">
      <formula>0.5</formula>
    </cfRule>
  </conditionalFormatting>
  <conditionalFormatting sqref="Z18">
    <cfRule type="cellIs" dxfId="41006" priority="82104" stopIfTrue="1" operator="greaterThanOrEqual">
      <formula>0.5</formula>
    </cfRule>
  </conditionalFormatting>
  <conditionalFormatting sqref="Z19">
    <cfRule type="cellIs" dxfId="41005" priority="82105" stopIfTrue="1" operator="equal">
      <formula>-1</formula>
    </cfRule>
  </conditionalFormatting>
  <conditionalFormatting sqref="Z19">
    <cfRule type="cellIs" dxfId="41004" priority="82106" stopIfTrue="1" operator="lessThan">
      <formula>0.5</formula>
    </cfRule>
  </conditionalFormatting>
  <conditionalFormatting sqref="Z19">
    <cfRule type="cellIs" dxfId="41003" priority="82107" stopIfTrue="1" operator="greaterThanOrEqual">
      <formula>0.5</formula>
    </cfRule>
  </conditionalFormatting>
  <conditionalFormatting sqref="Z20">
    <cfRule type="cellIs" dxfId="41002" priority="82108" stopIfTrue="1" operator="equal">
      <formula>-1</formula>
    </cfRule>
  </conditionalFormatting>
  <conditionalFormatting sqref="Z20">
    <cfRule type="cellIs" dxfId="41001" priority="82109" stopIfTrue="1" operator="lessThan">
      <formula>0.5</formula>
    </cfRule>
  </conditionalFormatting>
  <conditionalFormatting sqref="Z20">
    <cfRule type="cellIs" dxfId="41000" priority="82110" stopIfTrue="1" operator="greaterThanOrEqual">
      <formula>0.5</formula>
    </cfRule>
  </conditionalFormatting>
  <conditionalFormatting sqref="Z21">
    <cfRule type="cellIs" dxfId="40999" priority="82111" stopIfTrue="1" operator="equal">
      <formula>-1</formula>
    </cfRule>
  </conditionalFormatting>
  <conditionalFormatting sqref="Z21">
    <cfRule type="cellIs" dxfId="40998" priority="82112" stopIfTrue="1" operator="lessThan">
      <formula>0.5</formula>
    </cfRule>
  </conditionalFormatting>
  <conditionalFormatting sqref="Z21">
    <cfRule type="cellIs" dxfId="40997" priority="82113" stopIfTrue="1" operator="greaterThanOrEqual">
      <formula>0.5</formula>
    </cfRule>
  </conditionalFormatting>
  <conditionalFormatting sqref="Z22">
    <cfRule type="cellIs" dxfId="40996" priority="82114" stopIfTrue="1" operator="equal">
      <formula>-1</formula>
    </cfRule>
  </conditionalFormatting>
  <conditionalFormatting sqref="Z22">
    <cfRule type="cellIs" dxfId="40995" priority="82115" stopIfTrue="1" operator="lessThan">
      <formula>0.5</formula>
    </cfRule>
  </conditionalFormatting>
  <conditionalFormatting sqref="Z22">
    <cfRule type="cellIs" dxfId="40994" priority="82116" stopIfTrue="1" operator="greaterThanOrEqual">
      <formula>0.5</formula>
    </cfRule>
  </conditionalFormatting>
  <conditionalFormatting sqref="Z23">
    <cfRule type="cellIs" dxfId="40993" priority="82117" stopIfTrue="1" operator="equal">
      <formula>-1</formula>
    </cfRule>
  </conditionalFormatting>
  <conditionalFormatting sqref="Z23">
    <cfRule type="cellIs" dxfId="40992" priority="82118" stopIfTrue="1" operator="lessThan">
      <formula>0.5</formula>
    </cfRule>
  </conditionalFormatting>
  <conditionalFormatting sqref="Z23">
    <cfRule type="cellIs" dxfId="40991" priority="82119" stopIfTrue="1" operator="greaterThanOrEqual">
      <formula>0.5</formula>
    </cfRule>
  </conditionalFormatting>
  <conditionalFormatting sqref="Z24">
    <cfRule type="cellIs" dxfId="40990" priority="82120" stopIfTrue="1" operator="equal">
      <formula>-1</formula>
    </cfRule>
  </conditionalFormatting>
  <conditionalFormatting sqref="Z24">
    <cfRule type="cellIs" dxfId="40989" priority="82121" stopIfTrue="1" operator="lessThan">
      <formula>0.5</formula>
    </cfRule>
  </conditionalFormatting>
  <conditionalFormatting sqref="Z24">
    <cfRule type="cellIs" dxfId="40988" priority="82122" stopIfTrue="1" operator="greaterThanOrEqual">
      <formula>0.5</formula>
    </cfRule>
  </conditionalFormatting>
  <conditionalFormatting sqref="Z25">
    <cfRule type="cellIs" dxfId="40987" priority="82123" stopIfTrue="1" operator="equal">
      <formula>-1</formula>
    </cfRule>
  </conditionalFormatting>
  <conditionalFormatting sqref="Z25">
    <cfRule type="cellIs" dxfId="40986" priority="82124" stopIfTrue="1" operator="lessThan">
      <formula>0.5</formula>
    </cfRule>
  </conditionalFormatting>
  <conditionalFormatting sqref="Z25">
    <cfRule type="cellIs" dxfId="40985" priority="82125" stopIfTrue="1" operator="greaterThanOrEqual">
      <formula>0.5</formula>
    </cfRule>
  </conditionalFormatting>
  <conditionalFormatting sqref="Z26">
    <cfRule type="cellIs" dxfId="40984" priority="82126" stopIfTrue="1" operator="equal">
      <formula>-1</formula>
    </cfRule>
  </conditionalFormatting>
  <conditionalFormatting sqref="Z26">
    <cfRule type="cellIs" dxfId="40983" priority="82127" stopIfTrue="1" operator="lessThan">
      <formula>0.5</formula>
    </cfRule>
  </conditionalFormatting>
  <conditionalFormatting sqref="Z26">
    <cfRule type="cellIs" dxfId="40982" priority="82128" stopIfTrue="1" operator="greaterThanOrEqual">
      <formula>0.5</formula>
    </cfRule>
  </conditionalFormatting>
  <conditionalFormatting sqref="Z27">
    <cfRule type="cellIs" dxfId="40981" priority="82129" stopIfTrue="1" operator="equal">
      <formula>-1</formula>
    </cfRule>
  </conditionalFormatting>
  <conditionalFormatting sqref="Z27">
    <cfRule type="cellIs" dxfId="40980" priority="82130" stopIfTrue="1" operator="lessThan">
      <formula>0.5</formula>
    </cfRule>
  </conditionalFormatting>
  <conditionalFormatting sqref="Z27">
    <cfRule type="cellIs" dxfId="40979" priority="82131" stopIfTrue="1" operator="greaterThanOrEqual">
      <formula>0.5</formula>
    </cfRule>
  </conditionalFormatting>
  <conditionalFormatting sqref="Z28">
    <cfRule type="cellIs" dxfId="40978" priority="82132" stopIfTrue="1" operator="equal">
      <formula>-1</formula>
    </cfRule>
  </conditionalFormatting>
  <conditionalFormatting sqref="Z28">
    <cfRule type="cellIs" dxfId="40977" priority="82133" stopIfTrue="1" operator="lessThan">
      <formula>0.5</formula>
    </cfRule>
  </conditionalFormatting>
  <conditionalFormatting sqref="Z28">
    <cfRule type="cellIs" dxfId="40976" priority="82134" stopIfTrue="1" operator="greaterThanOrEqual">
      <formula>0.5</formula>
    </cfRule>
  </conditionalFormatting>
  <conditionalFormatting sqref="Z29">
    <cfRule type="cellIs" dxfId="40975" priority="82135" stopIfTrue="1" operator="equal">
      <formula>-1</formula>
    </cfRule>
  </conditionalFormatting>
  <conditionalFormatting sqref="Z29">
    <cfRule type="cellIs" dxfId="40974" priority="82136" stopIfTrue="1" operator="lessThan">
      <formula>0.5</formula>
    </cfRule>
  </conditionalFormatting>
  <conditionalFormatting sqref="Z29">
    <cfRule type="cellIs" dxfId="40973" priority="82137" stopIfTrue="1" operator="greaterThanOrEqual">
      <formula>0.5</formula>
    </cfRule>
  </conditionalFormatting>
  <conditionalFormatting sqref="Z30">
    <cfRule type="cellIs" dxfId="40972" priority="82138" stopIfTrue="1" operator="equal">
      <formula>-1</formula>
    </cfRule>
  </conditionalFormatting>
  <conditionalFormatting sqref="Z30">
    <cfRule type="cellIs" dxfId="40971" priority="82139" stopIfTrue="1" operator="lessThan">
      <formula>0.5</formula>
    </cfRule>
  </conditionalFormatting>
  <conditionalFormatting sqref="Z30">
    <cfRule type="cellIs" dxfId="40970" priority="82140" stopIfTrue="1" operator="greaterThanOrEqual">
      <formula>0.5</formula>
    </cfRule>
  </conditionalFormatting>
  <conditionalFormatting sqref="Z31">
    <cfRule type="cellIs" dxfId="40969" priority="82141" stopIfTrue="1" operator="equal">
      <formula>-1</formula>
    </cfRule>
  </conditionalFormatting>
  <conditionalFormatting sqref="Z31">
    <cfRule type="cellIs" dxfId="40968" priority="82142" stopIfTrue="1" operator="lessThan">
      <formula>0.5</formula>
    </cfRule>
  </conditionalFormatting>
  <conditionalFormatting sqref="Z31">
    <cfRule type="cellIs" dxfId="40967" priority="82143" stopIfTrue="1" operator="greaterThanOrEqual">
      <formula>0.5</formula>
    </cfRule>
  </conditionalFormatting>
  <conditionalFormatting sqref="Z32">
    <cfRule type="cellIs" dxfId="40966" priority="82144" stopIfTrue="1" operator="equal">
      <formula>-1</formula>
    </cfRule>
  </conditionalFormatting>
  <conditionalFormatting sqref="Z32">
    <cfRule type="cellIs" dxfId="40965" priority="82145" stopIfTrue="1" operator="lessThan">
      <formula>0.5</formula>
    </cfRule>
  </conditionalFormatting>
  <conditionalFormatting sqref="Z32">
    <cfRule type="cellIs" dxfId="40964" priority="82146" stopIfTrue="1" operator="greaterThanOrEqual">
      <formula>0.5</formula>
    </cfRule>
  </conditionalFormatting>
  <conditionalFormatting sqref="Z33">
    <cfRule type="cellIs" dxfId="40963" priority="82147" stopIfTrue="1" operator="equal">
      <formula>-1</formula>
    </cfRule>
  </conditionalFormatting>
  <conditionalFormatting sqref="Z33">
    <cfRule type="cellIs" dxfId="40962" priority="82148" stopIfTrue="1" operator="lessThan">
      <formula>0.5</formula>
    </cfRule>
  </conditionalFormatting>
  <conditionalFormatting sqref="Z33">
    <cfRule type="cellIs" dxfId="40961" priority="82149" stopIfTrue="1" operator="greaterThanOrEqual">
      <formula>0.5</formula>
    </cfRule>
  </conditionalFormatting>
  <conditionalFormatting sqref="Z34">
    <cfRule type="cellIs" dxfId="40960" priority="82150" stopIfTrue="1" operator="equal">
      <formula>-1</formula>
    </cfRule>
  </conditionalFormatting>
  <conditionalFormatting sqref="Z34">
    <cfRule type="cellIs" dxfId="40959" priority="82151" stopIfTrue="1" operator="lessThan">
      <formula>0.5</formula>
    </cfRule>
  </conditionalFormatting>
  <conditionalFormatting sqref="Z34">
    <cfRule type="cellIs" dxfId="40958" priority="82152" stopIfTrue="1" operator="greaterThanOrEqual">
      <formula>0.5</formula>
    </cfRule>
  </conditionalFormatting>
  <conditionalFormatting sqref="Z35">
    <cfRule type="cellIs" dxfId="40957" priority="82153" stopIfTrue="1" operator="equal">
      <formula>-1</formula>
    </cfRule>
  </conditionalFormatting>
  <conditionalFormatting sqref="Z35">
    <cfRule type="cellIs" dxfId="40956" priority="82154" stopIfTrue="1" operator="lessThan">
      <formula>0.5</formula>
    </cfRule>
  </conditionalFormatting>
  <conditionalFormatting sqref="Z35">
    <cfRule type="cellIs" dxfId="40955" priority="82155" stopIfTrue="1" operator="greaterThanOrEqual">
      <formula>0.5</formula>
    </cfRule>
  </conditionalFormatting>
  <conditionalFormatting sqref="Z36">
    <cfRule type="cellIs" dxfId="40954" priority="82156" stopIfTrue="1" operator="equal">
      <formula>-1</formula>
    </cfRule>
  </conditionalFormatting>
  <conditionalFormatting sqref="Z36">
    <cfRule type="cellIs" dxfId="40953" priority="82157" stopIfTrue="1" operator="lessThan">
      <formula>0.5</formula>
    </cfRule>
  </conditionalFormatting>
  <conditionalFormatting sqref="Z36">
    <cfRule type="cellIs" dxfId="40952" priority="82158" stopIfTrue="1" operator="greaterThanOrEqual">
      <formula>0.5</formula>
    </cfRule>
  </conditionalFormatting>
  <conditionalFormatting sqref="Z37">
    <cfRule type="cellIs" dxfId="40951" priority="82159" stopIfTrue="1" operator="equal">
      <formula>-1</formula>
    </cfRule>
  </conditionalFormatting>
  <conditionalFormatting sqref="Z37">
    <cfRule type="cellIs" dxfId="40950" priority="82160" stopIfTrue="1" operator="lessThan">
      <formula>0.5</formula>
    </cfRule>
  </conditionalFormatting>
  <conditionalFormatting sqref="Z37">
    <cfRule type="cellIs" dxfId="40949" priority="82161" stopIfTrue="1" operator="greaterThanOrEqual">
      <formula>0.5</formula>
    </cfRule>
  </conditionalFormatting>
  <conditionalFormatting sqref="AB17">
    <cfRule type="cellIs" dxfId="40948" priority="82162" stopIfTrue="1" operator="equal">
      <formula>-1</formula>
    </cfRule>
  </conditionalFormatting>
  <conditionalFormatting sqref="AB17">
    <cfRule type="cellIs" dxfId="40947" priority="82163" stopIfTrue="1" operator="lessThan">
      <formula>0.5</formula>
    </cfRule>
  </conditionalFormatting>
  <conditionalFormatting sqref="AB17">
    <cfRule type="cellIs" dxfId="40946" priority="82164" stopIfTrue="1" operator="greaterThanOrEqual">
      <formula>0.5</formula>
    </cfRule>
  </conditionalFormatting>
  <conditionalFormatting sqref="AB18">
    <cfRule type="cellIs" dxfId="40945" priority="82165" stopIfTrue="1" operator="equal">
      <formula>-1</formula>
    </cfRule>
  </conditionalFormatting>
  <conditionalFormatting sqref="AB18">
    <cfRule type="cellIs" dxfId="40944" priority="82166" stopIfTrue="1" operator="lessThan">
      <formula>0.5</formula>
    </cfRule>
  </conditionalFormatting>
  <conditionalFormatting sqref="AB18">
    <cfRule type="cellIs" dxfId="40943" priority="82167" stopIfTrue="1" operator="greaterThanOrEqual">
      <formula>0.5</formula>
    </cfRule>
  </conditionalFormatting>
  <conditionalFormatting sqref="AB19">
    <cfRule type="cellIs" dxfId="40942" priority="82168" stopIfTrue="1" operator="equal">
      <formula>-1</formula>
    </cfRule>
  </conditionalFormatting>
  <conditionalFormatting sqref="AB19">
    <cfRule type="cellIs" dxfId="40941" priority="82169" stopIfTrue="1" operator="lessThan">
      <formula>0.5</formula>
    </cfRule>
  </conditionalFormatting>
  <conditionalFormatting sqref="AB19">
    <cfRule type="cellIs" dxfId="40940" priority="82170" stopIfTrue="1" operator="greaterThanOrEqual">
      <formula>0.5</formula>
    </cfRule>
  </conditionalFormatting>
  <conditionalFormatting sqref="AB20">
    <cfRule type="cellIs" dxfId="40939" priority="82171" stopIfTrue="1" operator="equal">
      <formula>-1</formula>
    </cfRule>
  </conditionalFormatting>
  <conditionalFormatting sqref="AB20">
    <cfRule type="cellIs" dxfId="40938" priority="82172" stopIfTrue="1" operator="lessThan">
      <formula>0.5</formula>
    </cfRule>
  </conditionalFormatting>
  <conditionalFormatting sqref="AB20">
    <cfRule type="cellIs" dxfId="40937" priority="82173" stopIfTrue="1" operator="greaterThanOrEqual">
      <formula>0.5</formula>
    </cfRule>
  </conditionalFormatting>
  <conditionalFormatting sqref="AB21">
    <cfRule type="cellIs" dxfId="40936" priority="82174" stopIfTrue="1" operator="equal">
      <formula>-1</formula>
    </cfRule>
  </conditionalFormatting>
  <conditionalFormatting sqref="AB21">
    <cfRule type="cellIs" dxfId="40935" priority="82175" stopIfTrue="1" operator="lessThan">
      <formula>0.5</formula>
    </cfRule>
  </conditionalFormatting>
  <conditionalFormatting sqref="AB21">
    <cfRule type="cellIs" dxfId="40934" priority="82176" stopIfTrue="1" operator="greaterThanOrEqual">
      <formula>0.5</formula>
    </cfRule>
  </conditionalFormatting>
  <conditionalFormatting sqref="AB22">
    <cfRule type="cellIs" dxfId="40933" priority="82177" stopIfTrue="1" operator="equal">
      <formula>-1</formula>
    </cfRule>
  </conditionalFormatting>
  <conditionalFormatting sqref="AB22">
    <cfRule type="cellIs" dxfId="40932" priority="82178" stopIfTrue="1" operator="lessThan">
      <formula>0.5</formula>
    </cfRule>
  </conditionalFormatting>
  <conditionalFormatting sqref="AB22">
    <cfRule type="cellIs" dxfId="40931" priority="82179" stopIfTrue="1" operator="greaterThanOrEqual">
      <formula>0.5</formula>
    </cfRule>
  </conditionalFormatting>
  <conditionalFormatting sqref="AB23">
    <cfRule type="cellIs" dxfId="40930" priority="82180" stopIfTrue="1" operator="equal">
      <formula>-1</formula>
    </cfRule>
  </conditionalFormatting>
  <conditionalFormatting sqref="AB23">
    <cfRule type="cellIs" dxfId="40929" priority="82181" stopIfTrue="1" operator="lessThan">
      <formula>0.5</formula>
    </cfRule>
  </conditionalFormatting>
  <conditionalFormatting sqref="AB23">
    <cfRule type="cellIs" dxfId="40928" priority="82182" stopIfTrue="1" operator="greaterThanOrEqual">
      <formula>0.5</formula>
    </cfRule>
  </conditionalFormatting>
  <conditionalFormatting sqref="AB24">
    <cfRule type="cellIs" dxfId="40927" priority="82183" stopIfTrue="1" operator="equal">
      <formula>-1</formula>
    </cfRule>
  </conditionalFormatting>
  <conditionalFormatting sqref="AB24">
    <cfRule type="cellIs" dxfId="40926" priority="82184" stopIfTrue="1" operator="lessThan">
      <formula>0.5</formula>
    </cfRule>
  </conditionalFormatting>
  <conditionalFormatting sqref="AB24">
    <cfRule type="cellIs" dxfId="40925" priority="82185" stopIfTrue="1" operator="greaterThanOrEqual">
      <formula>0.5</formula>
    </cfRule>
  </conditionalFormatting>
  <conditionalFormatting sqref="AB25">
    <cfRule type="cellIs" dxfId="40924" priority="82186" stopIfTrue="1" operator="equal">
      <formula>-1</formula>
    </cfRule>
  </conditionalFormatting>
  <conditionalFormatting sqref="AB25">
    <cfRule type="cellIs" dxfId="40923" priority="82187" stopIfTrue="1" operator="lessThan">
      <formula>0.5</formula>
    </cfRule>
  </conditionalFormatting>
  <conditionalFormatting sqref="AB25">
    <cfRule type="cellIs" dxfId="40922" priority="82188" stopIfTrue="1" operator="greaterThanOrEqual">
      <formula>0.5</formula>
    </cfRule>
  </conditionalFormatting>
  <conditionalFormatting sqref="AB26">
    <cfRule type="cellIs" dxfId="40921" priority="82189" stopIfTrue="1" operator="equal">
      <formula>-1</formula>
    </cfRule>
  </conditionalFormatting>
  <conditionalFormatting sqref="AB26">
    <cfRule type="cellIs" dxfId="40920" priority="82190" stopIfTrue="1" operator="lessThan">
      <formula>0.5</formula>
    </cfRule>
  </conditionalFormatting>
  <conditionalFormatting sqref="AB26">
    <cfRule type="cellIs" dxfId="40919" priority="82191" stopIfTrue="1" operator="greaterThanOrEqual">
      <formula>0.5</formula>
    </cfRule>
  </conditionalFormatting>
  <conditionalFormatting sqref="AB27">
    <cfRule type="cellIs" dxfId="40918" priority="82192" stopIfTrue="1" operator="equal">
      <formula>-1</formula>
    </cfRule>
  </conditionalFormatting>
  <conditionalFormatting sqref="AB27">
    <cfRule type="cellIs" dxfId="40917" priority="82193" stopIfTrue="1" operator="lessThan">
      <formula>0.5</formula>
    </cfRule>
  </conditionalFormatting>
  <conditionalFormatting sqref="AB27">
    <cfRule type="cellIs" dxfId="40916" priority="82194" stopIfTrue="1" operator="greaterThanOrEqual">
      <formula>0.5</formula>
    </cfRule>
  </conditionalFormatting>
  <conditionalFormatting sqref="AB28">
    <cfRule type="cellIs" dxfId="40915" priority="82195" stopIfTrue="1" operator="equal">
      <formula>-1</formula>
    </cfRule>
  </conditionalFormatting>
  <conditionalFormatting sqref="AB28">
    <cfRule type="cellIs" dxfId="40914" priority="82196" stopIfTrue="1" operator="lessThan">
      <formula>0.5</formula>
    </cfRule>
  </conditionalFormatting>
  <conditionalFormatting sqref="AB28">
    <cfRule type="cellIs" dxfId="40913" priority="82197" stopIfTrue="1" operator="greaterThanOrEqual">
      <formula>0.5</formula>
    </cfRule>
  </conditionalFormatting>
  <conditionalFormatting sqref="AB29">
    <cfRule type="cellIs" dxfId="40912" priority="82198" stopIfTrue="1" operator="equal">
      <formula>-1</formula>
    </cfRule>
  </conditionalFormatting>
  <conditionalFormatting sqref="AB29">
    <cfRule type="cellIs" dxfId="40911" priority="82199" stopIfTrue="1" operator="lessThan">
      <formula>0.5</formula>
    </cfRule>
  </conditionalFormatting>
  <conditionalFormatting sqref="AB29">
    <cfRule type="cellIs" dxfId="40910" priority="82200" stopIfTrue="1" operator="greaterThanOrEqual">
      <formula>0.5</formula>
    </cfRule>
  </conditionalFormatting>
  <conditionalFormatting sqref="AB30">
    <cfRule type="cellIs" dxfId="40909" priority="82201" stopIfTrue="1" operator="equal">
      <formula>-1</formula>
    </cfRule>
  </conditionalFormatting>
  <conditionalFormatting sqref="AB30">
    <cfRule type="cellIs" dxfId="40908" priority="82202" stopIfTrue="1" operator="lessThan">
      <formula>0.5</formula>
    </cfRule>
  </conditionalFormatting>
  <conditionalFormatting sqref="AB30">
    <cfRule type="cellIs" dxfId="40907" priority="82203" stopIfTrue="1" operator="greaterThanOrEqual">
      <formula>0.5</formula>
    </cfRule>
  </conditionalFormatting>
  <conditionalFormatting sqref="AB31">
    <cfRule type="cellIs" dxfId="40906" priority="82204" stopIfTrue="1" operator="equal">
      <formula>-1</formula>
    </cfRule>
  </conditionalFormatting>
  <conditionalFormatting sqref="AB31">
    <cfRule type="cellIs" dxfId="40905" priority="82205" stopIfTrue="1" operator="lessThan">
      <formula>0.5</formula>
    </cfRule>
  </conditionalFormatting>
  <conditionalFormatting sqref="AB31">
    <cfRule type="cellIs" dxfId="40904" priority="82206" stopIfTrue="1" operator="greaterThanOrEqual">
      <formula>0.5</formula>
    </cfRule>
  </conditionalFormatting>
  <conditionalFormatting sqref="AB32">
    <cfRule type="cellIs" dxfId="40903" priority="82207" stopIfTrue="1" operator="equal">
      <formula>-1</formula>
    </cfRule>
  </conditionalFormatting>
  <conditionalFormatting sqref="AB32">
    <cfRule type="cellIs" dxfId="40902" priority="82208" stopIfTrue="1" operator="lessThan">
      <formula>0.5</formula>
    </cfRule>
  </conditionalFormatting>
  <conditionalFormatting sqref="AB32">
    <cfRule type="cellIs" dxfId="40901" priority="82209" stopIfTrue="1" operator="greaterThanOrEqual">
      <formula>0.5</formula>
    </cfRule>
  </conditionalFormatting>
  <conditionalFormatting sqref="AB33">
    <cfRule type="cellIs" dxfId="40900" priority="82210" stopIfTrue="1" operator="equal">
      <formula>-1</formula>
    </cfRule>
  </conditionalFormatting>
  <conditionalFormatting sqref="AB33">
    <cfRule type="cellIs" dxfId="40899" priority="82211" stopIfTrue="1" operator="lessThan">
      <formula>0.5</formula>
    </cfRule>
  </conditionalFormatting>
  <conditionalFormatting sqref="AB33">
    <cfRule type="cellIs" dxfId="40898" priority="82212" stopIfTrue="1" operator="greaterThanOrEqual">
      <formula>0.5</formula>
    </cfRule>
  </conditionalFormatting>
  <conditionalFormatting sqref="AB34">
    <cfRule type="cellIs" dxfId="40897" priority="82213" stopIfTrue="1" operator="equal">
      <formula>-1</formula>
    </cfRule>
  </conditionalFormatting>
  <conditionalFormatting sqref="AB34">
    <cfRule type="cellIs" dxfId="40896" priority="82214" stopIfTrue="1" operator="lessThan">
      <formula>0.5</formula>
    </cfRule>
  </conditionalFormatting>
  <conditionalFormatting sqref="AB34">
    <cfRule type="cellIs" dxfId="40895" priority="82215" stopIfTrue="1" operator="greaterThanOrEqual">
      <formula>0.5</formula>
    </cfRule>
  </conditionalFormatting>
  <conditionalFormatting sqref="AB35">
    <cfRule type="cellIs" dxfId="40894" priority="82216" stopIfTrue="1" operator="equal">
      <formula>-1</formula>
    </cfRule>
  </conditionalFormatting>
  <conditionalFormatting sqref="AB35">
    <cfRule type="cellIs" dxfId="40893" priority="82217" stopIfTrue="1" operator="lessThan">
      <formula>0.5</formula>
    </cfRule>
  </conditionalFormatting>
  <conditionalFormatting sqref="AB35">
    <cfRule type="cellIs" dxfId="40892" priority="82218" stopIfTrue="1" operator="greaterThanOrEqual">
      <formula>0.5</formula>
    </cfRule>
  </conditionalFormatting>
  <conditionalFormatting sqref="AB36">
    <cfRule type="cellIs" dxfId="40891" priority="82219" stopIfTrue="1" operator="equal">
      <formula>-1</formula>
    </cfRule>
  </conditionalFormatting>
  <conditionalFormatting sqref="AB36">
    <cfRule type="cellIs" dxfId="40890" priority="82220" stopIfTrue="1" operator="lessThan">
      <formula>0.5</formula>
    </cfRule>
  </conditionalFormatting>
  <conditionalFormatting sqref="AB36">
    <cfRule type="cellIs" dxfId="40889" priority="82221" stopIfTrue="1" operator="greaterThanOrEqual">
      <formula>0.5</formula>
    </cfRule>
  </conditionalFormatting>
  <conditionalFormatting sqref="AB37">
    <cfRule type="cellIs" dxfId="40888" priority="82222" stopIfTrue="1" operator="equal">
      <formula>-1</formula>
    </cfRule>
  </conditionalFormatting>
  <conditionalFormatting sqref="AB37">
    <cfRule type="cellIs" dxfId="40887" priority="82223" stopIfTrue="1" operator="lessThan">
      <formula>0.5</formula>
    </cfRule>
  </conditionalFormatting>
  <conditionalFormatting sqref="AB37">
    <cfRule type="cellIs" dxfId="40886" priority="82224" stopIfTrue="1" operator="greaterThanOrEqual">
      <formula>0.5</formula>
    </cfRule>
  </conditionalFormatting>
  <conditionalFormatting sqref="AD17">
    <cfRule type="cellIs" dxfId="40885" priority="82225" stopIfTrue="1" operator="equal">
      <formula>-1</formula>
    </cfRule>
  </conditionalFormatting>
  <conditionalFormatting sqref="AD17">
    <cfRule type="cellIs" dxfId="40884" priority="82226" stopIfTrue="1" operator="lessThan">
      <formula>0.5</formula>
    </cfRule>
  </conditionalFormatting>
  <conditionalFormatting sqref="AD17">
    <cfRule type="cellIs" dxfId="40883" priority="82227" stopIfTrue="1" operator="greaterThanOrEqual">
      <formula>0.5</formula>
    </cfRule>
  </conditionalFormatting>
  <conditionalFormatting sqref="AD18">
    <cfRule type="cellIs" dxfId="40882" priority="82228" stopIfTrue="1" operator="equal">
      <formula>-1</formula>
    </cfRule>
  </conditionalFormatting>
  <conditionalFormatting sqref="AD18">
    <cfRule type="cellIs" dxfId="40881" priority="82229" stopIfTrue="1" operator="lessThan">
      <formula>0.5</formula>
    </cfRule>
  </conditionalFormatting>
  <conditionalFormatting sqref="AD18">
    <cfRule type="cellIs" dxfId="40880" priority="82230" stopIfTrue="1" operator="greaterThanOrEqual">
      <formula>0.5</formula>
    </cfRule>
  </conditionalFormatting>
  <conditionalFormatting sqref="AD19">
    <cfRule type="cellIs" dxfId="40879" priority="82231" stopIfTrue="1" operator="equal">
      <formula>-1</formula>
    </cfRule>
  </conditionalFormatting>
  <conditionalFormatting sqref="AD19">
    <cfRule type="cellIs" dxfId="40878" priority="82232" stopIfTrue="1" operator="lessThan">
      <formula>0.5</formula>
    </cfRule>
  </conditionalFormatting>
  <conditionalFormatting sqref="AD19">
    <cfRule type="cellIs" dxfId="40877" priority="82233" stopIfTrue="1" operator="greaterThanOrEqual">
      <formula>0.5</formula>
    </cfRule>
  </conditionalFormatting>
  <conditionalFormatting sqref="AD20">
    <cfRule type="cellIs" dxfId="40876" priority="82234" stopIfTrue="1" operator="equal">
      <formula>-1</formula>
    </cfRule>
  </conditionalFormatting>
  <conditionalFormatting sqref="AD20">
    <cfRule type="cellIs" dxfId="40875" priority="82235" stopIfTrue="1" operator="lessThan">
      <formula>0.5</formula>
    </cfRule>
  </conditionalFormatting>
  <conditionalFormatting sqref="AD20">
    <cfRule type="cellIs" dxfId="40874" priority="82236" stopIfTrue="1" operator="greaterThanOrEqual">
      <formula>0.5</formula>
    </cfRule>
  </conditionalFormatting>
  <conditionalFormatting sqref="AD21">
    <cfRule type="cellIs" dxfId="40873" priority="82237" stopIfTrue="1" operator="equal">
      <formula>-1</formula>
    </cfRule>
  </conditionalFormatting>
  <conditionalFormatting sqref="AD21">
    <cfRule type="cellIs" dxfId="40872" priority="82238" stopIfTrue="1" operator="lessThan">
      <formula>0.5</formula>
    </cfRule>
  </conditionalFormatting>
  <conditionalFormatting sqref="AD21">
    <cfRule type="cellIs" dxfId="40871" priority="82239" stopIfTrue="1" operator="greaterThanOrEqual">
      <formula>0.5</formula>
    </cfRule>
  </conditionalFormatting>
  <conditionalFormatting sqref="AD22">
    <cfRule type="cellIs" dxfId="40870" priority="82240" stopIfTrue="1" operator="equal">
      <formula>-1</formula>
    </cfRule>
  </conditionalFormatting>
  <conditionalFormatting sqref="AD22">
    <cfRule type="cellIs" dxfId="40869" priority="82241" stopIfTrue="1" operator="lessThan">
      <formula>0.5</formula>
    </cfRule>
  </conditionalFormatting>
  <conditionalFormatting sqref="AD22">
    <cfRule type="cellIs" dxfId="40868" priority="82242" stopIfTrue="1" operator="greaterThanOrEqual">
      <formula>0.5</formula>
    </cfRule>
  </conditionalFormatting>
  <conditionalFormatting sqref="AD23">
    <cfRule type="cellIs" dxfId="40867" priority="82243" stopIfTrue="1" operator="equal">
      <formula>-1</formula>
    </cfRule>
  </conditionalFormatting>
  <conditionalFormatting sqref="AD23">
    <cfRule type="cellIs" dxfId="40866" priority="82244" stopIfTrue="1" operator="lessThan">
      <formula>0.5</formula>
    </cfRule>
  </conditionalFormatting>
  <conditionalFormatting sqref="AD23">
    <cfRule type="cellIs" dxfId="40865" priority="82245" stopIfTrue="1" operator="greaterThanOrEqual">
      <formula>0.5</formula>
    </cfRule>
  </conditionalFormatting>
  <conditionalFormatting sqref="AD24">
    <cfRule type="cellIs" dxfId="40864" priority="82246" stopIfTrue="1" operator="equal">
      <formula>-1</formula>
    </cfRule>
  </conditionalFormatting>
  <conditionalFormatting sqref="AD24">
    <cfRule type="cellIs" dxfId="40863" priority="82247" stopIfTrue="1" operator="lessThan">
      <formula>0.5</formula>
    </cfRule>
  </conditionalFormatting>
  <conditionalFormatting sqref="AD24">
    <cfRule type="cellIs" dxfId="40862" priority="82248" stopIfTrue="1" operator="greaterThanOrEqual">
      <formula>0.5</formula>
    </cfRule>
  </conditionalFormatting>
  <conditionalFormatting sqref="AD25">
    <cfRule type="cellIs" dxfId="40861" priority="82249" stopIfTrue="1" operator="equal">
      <formula>-1</formula>
    </cfRule>
  </conditionalFormatting>
  <conditionalFormatting sqref="AD25">
    <cfRule type="cellIs" dxfId="40860" priority="82250" stopIfTrue="1" operator="lessThan">
      <formula>0.5</formula>
    </cfRule>
  </conditionalFormatting>
  <conditionalFormatting sqref="AD25">
    <cfRule type="cellIs" dxfId="40859" priority="82251" stopIfTrue="1" operator="greaterThanOrEqual">
      <formula>0.5</formula>
    </cfRule>
  </conditionalFormatting>
  <conditionalFormatting sqref="AD26">
    <cfRule type="cellIs" dxfId="40858" priority="82252" stopIfTrue="1" operator="equal">
      <formula>-1</formula>
    </cfRule>
  </conditionalFormatting>
  <conditionalFormatting sqref="AD26">
    <cfRule type="cellIs" dxfId="40857" priority="82253" stopIfTrue="1" operator="lessThan">
      <formula>0.5</formula>
    </cfRule>
  </conditionalFormatting>
  <conditionalFormatting sqref="AD26">
    <cfRule type="cellIs" dxfId="40856" priority="82254" stopIfTrue="1" operator="greaterThanOrEqual">
      <formula>0.5</formula>
    </cfRule>
  </conditionalFormatting>
  <conditionalFormatting sqref="AD27">
    <cfRule type="cellIs" dxfId="40855" priority="82255" stopIfTrue="1" operator="equal">
      <formula>-1</formula>
    </cfRule>
  </conditionalFormatting>
  <conditionalFormatting sqref="AD27">
    <cfRule type="cellIs" dxfId="40854" priority="82256" stopIfTrue="1" operator="lessThan">
      <formula>0.5</formula>
    </cfRule>
  </conditionalFormatting>
  <conditionalFormatting sqref="AD27">
    <cfRule type="cellIs" dxfId="40853" priority="82257" stopIfTrue="1" operator="greaterThanOrEqual">
      <formula>0.5</formula>
    </cfRule>
  </conditionalFormatting>
  <conditionalFormatting sqref="AD28">
    <cfRule type="cellIs" dxfId="40852" priority="82258" stopIfTrue="1" operator="equal">
      <formula>-1</formula>
    </cfRule>
  </conditionalFormatting>
  <conditionalFormatting sqref="AD28">
    <cfRule type="cellIs" dxfId="40851" priority="82259" stopIfTrue="1" operator="lessThan">
      <formula>0.5</formula>
    </cfRule>
  </conditionalFormatting>
  <conditionalFormatting sqref="AD28">
    <cfRule type="cellIs" dxfId="40850" priority="82260" stopIfTrue="1" operator="greaterThanOrEqual">
      <formula>0.5</formula>
    </cfRule>
  </conditionalFormatting>
  <conditionalFormatting sqref="AD29">
    <cfRule type="cellIs" dxfId="40849" priority="82261" stopIfTrue="1" operator="equal">
      <formula>-1</formula>
    </cfRule>
  </conditionalFormatting>
  <conditionalFormatting sqref="AD29">
    <cfRule type="cellIs" dxfId="40848" priority="82262" stopIfTrue="1" operator="lessThan">
      <formula>0.5</formula>
    </cfRule>
  </conditionalFormatting>
  <conditionalFormatting sqref="AD29">
    <cfRule type="cellIs" dxfId="40847" priority="82263" stopIfTrue="1" operator="greaterThanOrEqual">
      <formula>0.5</formula>
    </cfRule>
  </conditionalFormatting>
  <conditionalFormatting sqref="AD30">
    <cfRule type="cellIs" dxfId="40846" priority="82264" stopIfTrue="1" operator="equal">
      <formula>-1</formula>
    </cfRule>
  </conditionalFormatting>
  <conditionalFormatting sqref="AD30">
    <cfRule type="cellIs" dxfId="40845" priority="82265" stopIfTrue="1" operator="lessThan">
      <formula>0.5</formula>
    </cfRule>
  </conditionalFormatting>
  <conditionalFormatting sqref="AD30">
    <cfRule type="cellIs" dxfId="40844" priority="82266" stopIfTrue="1" operator="greaterThanOrEqual">
      <formula>0.5</formula>
    </cfRule>
  </conditionalFormatting>
  <conditionalFormatting sqref="AD31">
    <cfRule type="cellIs" dxfId="40843" priority="82267" stopIfTrue="1" operator="equal">
      <formula>-1</formula>
    </cfRule>
  </conditionalFormatting>
  <conditionalFormatting sqref="AD31">
    <cfRule type="cellIs" dxfId="40842" priority="82268" stopIfTrue="1" operator="lessThan">
      <formula>0.5</formula>
    </cfRule>
  </conditionalFormatting>
  <conditionalFormatting sqref="AD31">
    <cfRule type="cellIs" dxfId="40841" priority="82269" stopIfTrue="1" operator="greaterThanOrEqual">
      <formula>0.5</formula>
    </cfRule>
  </conditionalFormatting>
  <conditionalFormatting sqref="AD32">
    <cfRule type="cellIs" dxfId="40840" priority="82270" stopIfTrue="1" operator="equal">
      <formula>-1</formula>
    </cfRule>
  </conditionalFormatting>
  <conditionalFormatting sqref="AD32">
    <cfRule type="cellIs" dxfId="40839" priority="82271" stopIfTrue="1" operator="lessThan">
      <formula>0.5</formula>
    </cfRule>
  </conditionalFormatting>
  <conditionalFormatting sqref="AD32">
    <cfRule type="cellIs" dxfId="40838" priority="82272" stopIfTrue="1" operator="greaterThanOrEqual">
      <formula>0.5</formula>
    </cfRule>
  </conditionalFormatting>
  <conditionalFormatting sqref="AD33">
    <cfRule type="cellIs" dxfId="40837" priority="82273" stopIfTrue="1" operator="equal">
      <formula>-1</formula>
    </cfRule>
  </conditionalFormatting>
  <conditionalFormatting sqref="AD33">
    <cfRule type="cellIs" dxfId="40836" priority="82274" stopIfTrue="1" operator="lessThan">
      <formula>0.5</formula>
    </cfRule>
  </conditionalFormatting>
  <conditionalFormatting sqref="AD33">
    <cfRule type="cellIs" dxfId="40835" priority="82275" stopIfTrue="1" operator="greaterThanOrEqual">
      <formula>0.5</formula>
    </cfRule>
  </conditionalFormatting>
  <conditionalFormatting sqref="AD34">
    <cfRule type="cellIs" dxfId="40834" priority="82276" stopIfTrue="1" operator="equal">
      <formula>-1</formula>
    </cfRule>
  </conditionalFormatting>
  <conditionalFormatting sqref="AD34">
    <cfRule type="cellIs" dxfId="40833" priority="82277" stopIfTrue="1" operator="lessThan">
      <formula>0.5</formula>
    </cfRule>
  </conditionalFormatting>
  <conditionalFormatting sqref="AD34">
    <cfRule type="cellIs" dxfId="40832" priority="82278" stopIfTrue="1" operator="greaterThanOrEqual">
      <formula>0.5</formula>
    </cfRule>
  </conditionalFormatting>
  <conditionalFormatting sqref="AD35">
    <cfRule type="cellIs" dxfId="40831" priority="82279" stopIfTrue="1" operator="equal">
      <formula>-1</formula>
    </cfRule>
  </conditionalFormatting>
  <conditionalFormatting sqref="AD35">
    <cfRule type="cellIs" dxfId="40830" priority="82280" stopIfTrue="1" operator="lessThan">
      <formula>0.5</formula>
    </cfRule>
  </conditionalFormatting>
  <conditionalFormatting sqref="AD35">
    <cfRule type="cellIs" dxfId="40829" priority="82281" stopIfTrue="1" operator="greaterThanOrEqual">
      <formula>0.5</formula>
    </cfRule>
  </conditionalFormatting>
  <conditionalFormatting sqref="AD36">
    <cfRule type="cellIs" dxfId="40828" priority="82282" stopIfTrue="1" operator="equal">
      <formula>-1</formula>
    </cfRule>
  </conditionalFormatting>
  <conditionalFormatting sqref="AD36">
    <cfRule type="cellIs" dxfId="40827" priority="82283" stopIfTrue="1" operator="lessThan">
      <formula>0.5</formula>
    </cfRule>
  </conditionalFormatting>
  <conditionalFormatting sqref="AD36">
    <cfRule type="cellIs" dxfId="40826" priority="82284" stopIfTrue="1" operator="greaterThanOrEqual">
      <formula>0.5</formula>
    </cfRule>
  </conditionalFormatting>
  <conditionalFormatting sqref="AD37">
    <cfRule type="cellIs" dxfId="40825" priority="82285" stopIfTrue="1" operator="equal">
      <formula>-1</formula>
    </cfRule>
  </conditionalFormatting>
  <conditionalFormatting sqref="AD37">
    <cfRule type="cellIs" dxfId="40824" priority="82286" stopIfTrue="1" operator="lessThan">
      <formula>0.5</formula>
    </cfRule>
  </conditionalFormatting>
  <conditionalFormatting sqref="AD37">
    <cfRule type="cellIs" dxfId="40823" priority="82287" stopIfTrue="1" operator="greaterThanOrEqual">
      <formula>0.5</formula>
    </cfRule>
  </conditionalFormatting>
  <conditionalFormatting sqref="AF17">
    <cfRule type="cellIs" dxfId="40822" priority="82288" stopIfTrue="1" operator="equal">
      <formula>-1</formula>
    </cfRule>
  </conditionalFormatting>
  <conditionalFormatting sqref="AF17">
    <cfRule type="cellIs" dxfId="40821" priority="82289" stopIfTrue="1" operator="lessThan">
      <formula>0.5</formula>
    </cfRule>
  </conditionalFormatting>
  <conditionalFormatting sqref="AF17">
    <cfRule type="cellIs" dxfId="40820" priority="82290" stopIfTrue="1" operator="greaterThanOrEqual">
      <formula>0.5</formula>
    </cfRule>
  </conditionalFormatting>
  <conditionalFormatting sqref="AF18">
    <cfRule type="cellIs" dxfId="40819" priority="82291" stopIfTrue="1" operator="equal">
      <formula>-1</formula>
    </cfRule>
  </conditionalFormatting>
  <conditionalFormatting sqref="AF18">
    <cfRule type="cellIs" dxfId="40818" priority="82292" stopIfTrue="1" operator="lessThan">
      <formula>0.5</formula>
    </cfRule>
  </conditionalFormatting>
  <conditionalFormatting sqref="AF18">
    <cfRule type="cellIs" dxfId="40817" priority="82293" stopIfTrue="1" operator="greaterThanOrEqual">
      <formula>0.5</formula>
    </cfRule>
  </conditionalFormatting>
  <conditionalFormatting sqref="AF19">
    <cfRule type="cellIs" dxfId="40816" priority="82294" stopIfTrue="1" operator="equal">
      <formula>-1</formula>
    </cfRule>
  </conditionalFormatting>
  <conditionalFormatting sqref="AF19">
    <cfRule type="cellIs" dxfId="40815" priority="82295" stopIfTrue="1" operator="lessThan">
      <formula>0.5</formula>
    </cfRule>
  </conditionalFormatting>
  <conditionalFormatting sqref="AF19">
    <cfRule type="cellIs" dxfId="40814" priority="82296" stopIfTrue="1" operator="greaterThanOrEqual">
      <formula>0.5</formula>
    </cfRule>
  </conditionalFormatting>
  <conditionalFormatting sqref="AF20">
    <cfRule type="cellIs" dxfId="40813" priority="82297" stopIfTrue="1" operator="equal">
      <formula>-1</formula>
    </cfRule>
  </conditionalFormatting>
  <conditionalFormatting sqref="AF20">
    <cfRule type="cellIs" dxfId="40812" priority="82298" stopIfTrue="1" operator="lessThan">
      <formula>0.5</formula>
    </cfRule>
  </conditionalFormatting>
  <conditionalFormatting sqref="AF20">
    <cfRule type="cellIs" dxfId="40811" priority="82299" stopIfTrue="1" operator="greaterThanOrEqual">
      <formula>0.5</formula>
    </cfRule>
  </conditionalFormatting>
  <conditionalFormatting sqref="AF21">
    <cfRule type="cellIs" dxfId="40810" priority="82300" stopIfTrue="1" operator="equal">
      <formula>-1</formula>
    </cfRule>
  </conditionalFormatting>
  <conditionalFormatting sqref="AF21">
    <cfRule type="cellIs" dxfId="40809" priority="82301" stopIfTrue="1" operator="lessThan">
      <formula>0.5</formula>
    </cfRule>
  </conditionalFormatting>
  <conditionalFormatting sqref="AF21">
    <cfRule type="cellIs" dxfId="40808" priority="82302" stopIfTrue="1" operator="greaterThanOrEqual">
      <formula>0.5</formula>
    </cfRule>
  </conditionalFormatting>
  <conditionalFormatting sqref="AF22">
    <cfRule type="cellIs" dxfId="40807" priority="82303" stopIfTrue="1" operator="equal">
      <formula>-1</formula>
    </cfRule>
  </conditionalFormatting>
  <conditionalFormatting sqref="AF22">
    <cfRule type="cellIs" dxfId="40806" priority="82304" stopIfTrue="1" operator="lessThan">
      <formula>0.5</formula>
    </cfRule>
  </conditionalFormatting>
  <conditionalFormatting sqref="AF22">
    <cfRule type="cellIs" dxfId="40805" priority="82305" stopIfTrue="1" operator="greaterThanOrEqual">
      <formula>0.5</formula>
    </cfRule>
  </conditionalFormatting>
  <conditionalFormatting sqref="AF23">
    <cfRule type="cellIs" dxfId="40804" priority="82306" stopIfTrue="1" operator="equal">
      <formula>-1</formula>
    </cfRule>
  </conditionalFormatting>
  <conditionalFormatting sqref="AF23">
    <cfRule type="cellIs" dxfId="40803" priority="82307" stopIfTrue="1" operator="lessThan">
      <formula>0.5</formula>
    </cfRule>
  </conditionalFormatting>
  <conditionalFormatting sqref="AF23">
    <cfRule type="cellIs" dxfId="40802" priority="82308" stopIfTrue="1" operator="greaterThanOrEqual">
      <formula>0.5</formula>
    </cfRule>
  </conditionalFormatting>
  <conditionalFormatting sqref="AF24">
    <cfRule type="cellIs" dxfId="40801" priority="82309" stopIfTrue="1" operator="equal">
      <formula>-1</formula>
    </cfRule>
  </conditionalFormatting>
  <conditionalFormatting sqref="AF24">
    <cfRule type="cellIs" dxfId="40800" priority="82310" stopIfTrue="1" operator="lessThan">
      <formula>0.5</formula>
    </cfRule>
  </conditionalFormatting>
  <conditionalFormatting sqref="AF24">
    <cfRule type="cellIs" dxfId="40799" priority="82311" stopIfTrue="1" operator="greaterThanOrEqual">
      <formula>0.5</formula>
    </cfRule>
  </conditionalFormatting>
  <conditionalFormatting sqref="AF25">
    <cfRule type="cellIs" dxfId="40798" priority="82312" stopIfTrue="1" operator="equal">
      <formula>-1</formula>
    </cfRule>
  </conditionalFormatting>
  <conditionalFormatting sqref="AF25">
    <cfRule type="cellIs" dxfId="40797" priority="82313" stopIfTrue="1" operator="lessThan">
      <formula>0.5</formula>
    </cfRule>
  </conditionalFormatting>
  <conditionalFormatting sqref="AF25">
    <cfRule type="cellIs" dxfId="40796" priority="82314" stopIfTrue="1" operator="greaterThanOrEqual">
      <formula>0.5</formula>
    </cfRule>
  </conditionalFormatting>
  <conditionalFormatting sqref="AF26">
    <cfRule type="cellIs" dxfId="40795" priority="82315" stopIfTrue="1" operator="equal">
      <formula>-1</formula>
    </cfRule>
  </conditionalFormatting>
  <conditionalFormatting sqref="AF26">
    <cfRule type="cellIs" dxfId="40794" priority="82316" stopIfTrue="1" operator="lessThan">
      <formula>0.5</formula>
    </cfRule>
  </conditionalFormatting>
  <conditionalFormatting sqref="AF26">
    <cfRule type="cellIs" dxfId="40793" priority="82317" stopIfTrue="1" operator="greaterThanOrEqual">
      <formula>0.5</formula>
    </cfRule>
  </conditionalFormatting>
  <conditionalFormatting sqref="AF27">
    <cfRule type="cellIs" dxfId="40792" priority="82318" stopIfTrue="1" operator="equal">
      <formula>-1</formula>
    </cfRule>
  </conditionalFormatting>
  <conditionalFormatting sqref="AF27">
    <cfRule type="cellIs" dxfId="40791" priority="82319" stopIfTrue="1" operator="lessThan">
      <formula>0.5</formula>
    </cfRule>
  </conditionalFormatting>
  <conditionalFormatting sqref="AF27">
    <cfRule type="cellIs" dxfId="40790" priority="82320" stopIfTrue="1" operator="greaterThanOrEqual">
      <formula>0.5</formula>
    </cfRule>
  </conditionalFormatting>
  <conditionalFormatting sqref="AF28">
    <cfRule type="cellIs" dxfId="40789" priority="82321" stopIfTrue="1" operator="equal">
      <formula>-1</formula>
    </cfRule>
  </conditionalFormatting>
  <conditionalFormatting sqref="AF28">
    <cfRule type="cellIs" dxfId="40788" priority="82322" stopIfTrue="1" operator="lessThan">
      <formula>0.5</formula>
    </cfRule>
  </conditionalFormatting>
  <conditionalFormatting sqref="AF28">
    <cfRule type="cellIs" dxfId="40787" priority="82323" stopIfTrue="1" operator="greaterThanOrEqual">
      <formula>0.5</formula>
    </cfRule>
  </conditionalFormatting>
  <conditionalFormatting sqref="AF29">
    <cfRule type="cellIs" dxfId="40786" priority="82324" stopIfTrue="1" operator="equal">
      <formula>-1</formula>
    </cfRule>
  </conditionalFormatting>
  <conditionalFormatting sqref="AF29">
    <cfRule type="cellIs" dxfId="40785" priority="82325" stopIfTrue="1" operator="lessThan">
      <formula>0.5</formula>
    </cfRule>
  </conditionalFormatting>
  <conditionalFormatting sqref="AF29">
    <cfRule type="cellIs" dxfId="40784" priority="82326" stopIfTrue="1" operator="greaterThanOrEqual">
      <formula>0.5</formula>
    </cfRule>
  </conditionalFormatting>
  <conditionalFormatting sqref="AF30">
    <cfRule type="cellIs" dxfId="40783" priority="82327" stopIfTrue="1" operator="equal">
      <formula>-1</formula>
    </cfRule>
  </conditionalFormatting>
  <conditionalFormatting sqref="AF30">
    <cfRule type="cellIs" dxfId="40782" priority="82328" stopIfTrue="1" operator="lessThan">
      <formula>0.5</formula>
    </cfRule>
  </conditionalFormatting>
  <conditionalFormatting sqref="AF30">
    <cfRule type="cellIs" dxfId="40781" priority="82329" stopIfTrue="1" operator="greaterThanOrEqual">
      <formula>0.5</formula>
    </cfRule>
  </conditionalFormatting>
  <conditionalFormatting sqref="AF31">
    <cfRule type="cellIs" dxfId="40780" priority="82330" stopIfTrue="1" operator="equal">
      <formula>-1</formula>
    </cfRule>
  </conditionalFormatting>
  <conditionalFormatting sqref="AF31">
    <cfRule type="cellIs" dxfId="40779" priority="82331" stopIfTrue="1" operator="lessThan">
      <formula>0.5</formula>
    </cfRule>
  </conditionalFormatting>
  <conditionalFormatting sqref="AF31">
    <cfRule type="cellIs" dxfId="40778" priority="82332" stopIfTrue="1" operator="greaterThanOrEqual">
      <formula>0.5</formula>
    </cfRule>
  </conditionalFormatting>
  <conditionalFormatting sqref="AF32">
    <cfRule type="cellIs" dxfId="40777" priority="82333" stopIfTrue="1" operator="equal">
      <formula>-1</formula>
    </cfRule>
  </conditionalFormatting>
  <conditionalFormatting sqref="AF32">
    <cfRule type="cellIs" dxfId="40776" priority="82334" stopIfTrue="1" operator="lessThan">
      <formula>0.5</formula>
    </cfRule>
  </conditionalFormatting>
  <conditionalFormatting sqref="AF32">
    <cfRule type="cellIs" dxfId="40775" priority="82335" stopIfTrue="1" operator="greaterThanOrEqual">
      <formula>0.5</formula>
    </cfRule>
  </conditionalFormatting>
  <conditionalFormatting sqref="AF33">
    <cfRule type="cellIs" dxfId="40774" priority="82336" stopIfTrue="1" operator="equal">
      <formula>-1</formula>
    </cfRule>
  </conditionalFormatting>
  <conditionalFormatting sqref="AF33">
    <cfRule type="cellIs" dxfId="40773" priority="82337" stopIfTrue="1" operator="lessThan">
      <formula>0.5</formula>
    </cfRule>
  </conditionalFormatting>
  <conditionalFormatting sqref="AF33">
    <cfRule type="cellIs" dxfId="40772" priority="82338" stopIfTrue="1" operator="greaterThanOrEqual">
      <formula>0.5</formula>
    </cfRule>
  </conditionalFormatting>
  <conditionalFormatting sqref="AF34">
    <cfRule type="cellIs" dxfId="40771" priority="82339" stopIfTrue="1" operator="equal">
      <formula>-1</formula>
    </cfRule>
  </conditionalFormatting>
  <conditionalFormatting sqref="AF34">
    <cfRule type="cellIs" dxfId="40770" priority="82340" stopIfTrue="1" operator="lessThan">
      <formula>0.5</formula>
    </cfRule>
  </conditionalFormatting>
  <conditionalFormatting sqref="AF34">
    <cfRule type="cellIs" dxfId="40769" priority="82341" stopIfTrue="1" operator="greaterThanOrEqual">
      <formula>0.5</formula>
    </cfRule>
  </conditionalFormatting>
  <conditionalFormatting sqref="AF35">
    <cfRule type="cellIs" dxfId="40768" priority="82342" stopIfTrue="1" operator="equal">
      <formula>-1</formula>
    </cfRule>
  </conditionalFormatting>
  <conditionalFormatting sqref="AF35">
    <cfRule type="cellIs" dxfId="40767" priority="82343" stopIfTrue="1" operator="lessThan">
      <formula>0.5</formula>
    </cfRule>
  </conditionalFormatting>
  <conditionalFormatting sqref="AF35">
    <cfRule type="cellIs" dxfId="40766" priority="82344" stopIfTrue="1" operator="greaterThanOrEqual">
      <formula>0.5</formula>
    </cfRule>
  </conditionalFormatting>
  <conditionalFormatting sqref="AF36">
    <cfRule type="cellIs" dxfId="40765" priority="82345" stopIfTrue="1" operator="equal">
      <formula>-1</formula>
    </cfRule>
  </conditionalFormatting>
  <conditionalFormatting sqref="AF36">
    <cfRule type="cellIs" dxfId="40764" priority="82346" stopIfTrue="1" operator="lessThan">
      <formula>0.5</formula>
    </cfRule>
  </conditionalFormatting>
  <conditionalFormatting sqref="AF36">
    <cfRule type="cellIs" dxfId="40763" priority="82347" stopIfTrue="1" operator="greaterThanOrEqual">
      <formula>0.5</formula>
    </cfRule>
  </conditionalFormatting>
  <conditionalFormatting sqref="AF37">
    <cfRule type="cellIs" dxfId="40762" priority="82348" stopIfTrue="1" operator="equal">
      <formula>-1</formula>
    </cfRule>
  </conditionalFormatting>
  <conditionalFormatting sqref="AF37">
    <cfRule type="cellIs" dxfId="40761" priority="82349" stopIfTrue="1" operator="lessThan">
      <formula>0.5</formula>
    </cfRule>
  </conditionalFormatting>
  <conditionalFormatting sqref="AF37">
    <cfRule type="cellIs" dxfId="40760" priority="82350" stopIfTrue="1" operator="greaterThanOrEqual">
      <formula>0.5</formula>
    </cfRule>
  </conditionalFormatting>
  <conditionalFormatting sqref="AH17">
    <cfRule type="cellIs" dxfId="40759" priority="82351" stopIfTrue="1" operator="equal">
      <formula>-1</formula>
    </cfRule>
  </conditionalFormatting>
  <conditionalFormatting sqref="AH17">
    <cfRule type="cellIs" dxfId="40758" priority="82352" stopIfTrue="1" operator="lessThan">
      <formula>0.5</formula>
    </cfRule>
  </conditionalFormatting>
  <conditionalFormatting sqref="AH17">
    <cfRule type="cellIs" dxfId="40757" priority="82353" stopIfTrue="1" operator="greaterThanOrEqual">
      <formula>0.5</formula>
    </cfRule>
  </conditionalFormatting>
  <conditionalFormatting sqref="AH18">
    <cfRule type="cellIs" dxfId="40756" priority="82354" stopIfTrue="1" operator="equal">
      <formula>-1</formula>
    </cfRule>
  </conditionalFormatting>
  <conditionalFormatting sqref="AH18">
    <cfRule type="cellIs" dxfId="40755" priority="82355" stopIfTrue="1" operator="lessThan">
      <formula>0.5</formula>
    </cfRule>
  </conditionalFormatting>
  <conditionalFormatting sqref="AH18">
    <cfRule type="cellIs" dxfId="40754" priority="82356" stopIfTrue="1" operator="greaterThanOrEqual">
      <formula>0.5</formula>
    </cfRule>
  </conditionalFormatting>
  <conditionalFormatting sqref="AH19">
    <cfRule type="cellIs" dxfId="40753" priority="82357" stopIfTrue="1" operator="equal">
      <formula>-1</formula>
    </cfRule>
  </conditionalFormatting>
  <conditionalFormatting sqref="AH19">
    <cfRule type="cellIs" dxfId="40752" priority="82358" stopIfTrue="1" operator="lessThan">
      <formula>0.5</formula>
    </cfRule>
  </conditionalFormatting>
  <conditionalFormatting sqref="AH19">
    <cfRule type="cellIs" dxfId="40751" priority="82359" stopIfTrue="1" operator="greaterThanOrEqual">
      <formula>0.5</formula>
    </cfRule>
  </conditionalFormatting>
  <conditionalFormatting sqref="AH20">
    <cfRule type="cellIs" dxfId="40750" priority="82360" stopIfTrue="1" operator="equal">
      <formula>-1</formula>
    </cfRule>
  </conditionalFormatting>
  <conditionalFormatting sqref="AH20">
    <cfRule type="cellIs" dxfId="40749" priority="82361" stopIfTrue="1" operator="lessThan">
      <formula>0.5</formula>
    </cfRule>
  </conditionalFormatting>
  <conditionalFormatting sqref="AH20">
    <cfRule type="cellIs" dxfId="40748" priority="82362" stopIfTrue="1" operator="greaterThanOrEqual">
      <formula>0.5</formula>
    </cfRule>
  </conditionalFormatting>
  <conditionalFormatting sqref="AH21">
    <cfRule type="cellIs" dxfId="40747" priority="82363" stopIfTrue="1" operator="equal">
      <formula>-1</formula>
    </cfRule>
  </conditionalFormatting>
  <conditionalFormatting sqref="AH21">
    <cfRule type="cellIs" dxfId="40746" priority="82364" stopIfTrue="1" operator="lessThan">
      <formula>0.5</formula>
    </cfRule>
  </conditionalFormatting>
  <conditionalFormatting sqref="AH21">
    <cfRule type="cellIs" dxfId="40745" priority="82365" stopIfTrue="1" operator="greaterThanOrEqual">
      <formula>0.5</formula>
    </cfRule>
  </conditionalFormatting>
  <conditionalFormatting sqref="AH22">
    <cfRule type="cellIs" dxfId="40744" priority="82366" stopIfTrue="1" operator="equal">
      <formula>-1</formula>
    </cfRule>
  </conditionalFormatting>
  <conditionalFormatting sqref="AH22">
    <cfRule type="cellIs" dxfId="40743" priority="82367" stopIfTrue="1" operator="lessThan">
      <formula>0.5</formula>
    </cfRule>
  </conditionalFormatting>
  <conditionalFormatting sqref="AH22">
    <cfRule type="cellIs" dxfId="40742" priority="82368" stopIfTrue="1" operator="greaterThanOrEqual">
      <formula>0.5</formula>
    </cfRule>
  </conditionalFormatting>
  <conditionalFormatting sqref="AH23">
    <cfRule type="cellIs" dxfId="40741" priority="82369" stopIfTrue="1" operator="equal">
      <formula>-1</formula>
    </cfRule>
  </conditionalFormatting>
  <conditionalFormatting sqref="AH23">
    <cfRule type="cellIs" dxfId="40740" priority="82370" stopIfTrue="1" operator="lessThan">
      <formula>0.5</formula>
    </cfRule>
  </conditionalFormatting>
  <conditionalFormatting sqref="AH23">
    <cfRule type="cellIs" dxfId="40739" priority="82371" stopIfTrue="1" operator="greaterThanOrEqual">
      <formula>0.5</formula>
    </cfRule>
  </conditionalFormatting>
  <conditionalFormatting sqref="AH24">
    <cfRule type="cellIs" dxfId="40738" priority="82372" stopIfTrue="1" operator="equal">
      <formula>-1</formula>
    </cfRule>
  </conditionalFormatting>
  <conditionalFormatting sqref="AH24">
    <cfRule type="cellIs" dxfId="40737" priority="82373" stopIfTrue="1" operator="lessThan">
      <formula>0.5</formula>
    </cfRule>
  </conditionalFormatting>
  <conditionalFormatting sqref="AH24">
    <cfRule type="cellIs" dxfId="40736" priority="82374" stopIfTrue="1" operator="greaterThanOrEqual">
      <formula>0.5</formula>
    </cfRule>
  </conditionalFormatting>
  <conditionalFormatting sqref="AH25">
    <cfRule type="cellIs" dxfId="40735" priority="82375" stopIfTrue="1" operator="equal">
      <formula>-1</formula>
    </cfRule>
  </conditionalFormatting>
  <conditionalFormatting sqref="AH25">
    <cfRule type="cellIs" dxfId="40734" priority="82376" stopIfTrue="1" operator="lessThan">
      <formula>0.5</formula>
    </cfRule>
  </conditionalFormatting>
  <conditionalFormatting sqref="AH25">
    <cfRule type="cellIs" dxfId="40733" priority="82377" stopIfTrue="1" operator="greaterThanOrEqual">
      <formula>0.5</formula>
    </cfRule>
  </conditionalFormatting>
  <conditionalFormatting sqref="AH26">
    <cfRule type="cellIs" dxfId="40732" priority="82378" stopIfTrue="1" operator="equal">
      <formula>-1</formula>
    </cfRule>
  </conditionalFormatting>
  <conditionalFormatting sqref="AH26">
    <cfRule type="cellIs" dxfId="40731" priority="82379" stopIfTrue="1" operator="lessThan">
      <formula>0.5</formula>
    </cfRule>
  </conditionalFormatting>
  <conditionalFormatting sqref="AH26">
    <cfRule type="cellIs" dxfId="40730" priority="82380" stopIfTrue="1" operator="greaterThanOrEqual">
      <formula>0.5</formula>
    </cfRule>
  </conditionalFormatting>
  <conditionalFormatting sqref="AH27">
    <cfRule type="cellIs" dxfId="40729" priority="82381" stopIfTrue="1" operator="equal">
      <formula>-1</formula>
    </cfRule>
  </conditionalFormatting>
  <conditionalFormatting sqref="AH27">
    <cfRule type="cellIs" dxfId="40728" priority="82382" stopIfTrue="1" operator="lessThan">
      <formula>0.5</formula>
    </cfRule>
  </conditionalFormatting>
  <conditionalFormatting sqref="AH27">
    <cfRule type="cellIs" dxfId="40727" priority="82383" stopIfTrue="1" operator="greaterThanOrEqual">
      <formula>0.5</formula>
    </cfRule>
  </conditionalFormatting>
  <conditionalFormatting sqref="AH28">
    <cfRule type="cellIs" dxfId="40726" priority="82384" stopIfTrue="1" operator="equal">
      <formula>-1</formula>
    </cfRule>
  </conditionalFormatting>
  <conditionalFormatting sqref="AH28">
    <cfRule type="cellIs" dxfId="40725" priority="82385" stopIfTrue="1" operator="lessThan">
      <formula>0.5</formula>
    </cfRule>
  </conditionalFormatting>
  <conditionalFormatting sqref="AH28">
    <cfRule type="cellIs" dxfId="40724" priority="82386" stopIfTrue="1" operator="greaterThanOrEqual">
      <formula>0.5</formula>
    </cfRule>
  </conditionalFormatting>
  <conditionalFormatting sqref="AH29">
    <cfRule type="cellIs" dxfId="40723" priority="82387" stopIfTrue="1" operator="equal">
      <formula>-1</formula>
    </cfRule>
  </conditionalFormatting>
  <conditionalFormatting sqref="AH29">
    <cfRule type="cellIs" dxfId="40722" priority="82388" stopIfTrue="1" operator="lessThan">
      <formula>0.5</formula>
    </cfRule>
  </conditionalFormatting>
  <conditionalFormatting sqref="AH29">
    <cfRule type="cellIs" dxfId="40721" priority="82389" stopIfTrue="1" operator="greaterThanOrEqual">
      <formula>0.5</formula>
    </cfRule>
  </conditionalFormatting>
  <conditionalFormatting sqref="AH30">
    <cfRule type="cellIs" dxfId="40720" priority="82390" stopIfTrue="1" operator="equal">
      <formula>-1</formula>
    </cfRule>
  </conditionalFormatting>
  <conditionalFormatting sqref="AH30">
    <cfRule type="cellIs" dxfId="40719" priority="82391" stopIfTrue="1" operator="lessThan">
      <formula>0.5</formula>
    </cfRule>
  </conditionalFormatting>
  <conditionalFormatting sqref="AH30">
    <cfRule type="cellIs" dxfId="40718" priority="82392" stopIfTrue="1" operator="greaterThanOrEqual">
      <formula>0.5</formula>
    </cfRule>
  </conditionalFormatting>
  <conditionalFormatting sqref="AH31">
    <cfRule type="cellIs" dxfId="40717" priority="82393" stopIfTrue="1" operator="equal">
      <formula>-1</formula>
    </cfRule>
  </conditionalFormatting>
  <conditionalFormatting sqref="AH31">
    <cfRule type="cellIs" dxfId="40716" priority="82394" stopIfTrue="1" operator="lessThan">
      <formula>0.5</formula>
    </cfRule>
  </conditionalFormatting>
  <conditionalFormatting sqref="AH31">
    <cfRule type="cellIs" dxfId="40715" priority="82395" stopIfTrue="1" operator="greaterThanOrEqual">
      <formula>0.5</formula>
    </cfRule>
  </conditionalFormatting>
  <conditionalFormatting sqref="AH32">
    <cfRule type="cellIs" dxfId="40714" priority="82396" stopIfTrue="1" operator="equal">
      <formula>-1</formula>
    </cfRule>
  </conditionalFormatting>
  <conditionalFormatting sqref="AH32">
    <cfRule type="cellIs" dxfId="40713" priority="82397" stopIfTrue="1" operator="lessThan">
      <formula>0.5</formula>
    </cfRule>
  </conditionalFormatting>
  <conditionalFormatting sqref="AH32">
    <cfRule type="cellIs" dxfId="40712" priority="82398" stopIfTrue="1" operator="greaterThanOrEqual">
      <formula>0.5</formula>
    </cfRule>
  </conditionalFormatting>
  <conditionalFormatting sqref="AH33">
    <cfRule type="cellIs" dxfId="40711" priority="82399" stopIfTrue="1" operator="equal">
      <formula>-1</formula>
    </cfRule>
  </conditionalFormatting>
  <conditionalFormatting sqref="AH33">
    <cfRule type="cellIs" dxfId="40710" priority="82400" stopIfTrue="1" operator="lessThan">
      <formula>0.5</formula>
    </cfRule>
  </conditionalFormatting>
  <conditionalFormatting sqref="AH33">
    <cfRule type="cellIs" dxfId="40709" priority="82401" stopIfTrue="1" operator="greaterThanOrEqual">
      <formula>0.5</formula>
    </cfRule>
  </conditionalFormatting>
  <conditionalFormatting sqref="AH34">
    <cfRule type="cellIs" dxfId="40708" priority="82402" stopIfTrue="1" operator="equal">
      <formula>-1</formula>
    </cfRule>
  </conditionalFormatting>
  <conditionalFormatting sqref="AH34">
    <cfRule type="cellIs" dxfId="40707" priority="82403" stopIfTrue="1" operator="lessThan">
      <formula>0.5</formula>
    </cfRule>
  </conditionalFormatting>
  <conditionalFormatting sqref="AH34">
    <cfRule type="cellIs" dxfId="40706" priority="82404" stopIfTrue="1" operator="greaterThanOrEqual">
      <formula>0.5</formula>
    </cfRule>
  </conditionalFormatting>
  <conditionalFormatting sqref="AH35">
    <cfRule type="cellIs" dxfId="40705" priority="82405" stopIfTrue="1" operator="equal">
      <formula>-1</formula>
    </cfRule>
  </conditionalFormatting>
  <conditionalFormatting sqref="AH35">
    <cfRule type="cellIs" dxfId="40704" priority="82406" stopIfTrue="1" operator="lessThan">
      <formula>0.5</formula>
    </cfRule>
  </conditionalFormatting>
  <conditionalFormatting sqref="AH35">
    <cfRule type="cellIs" dxfId="40703" priority="82407" stopIfTrue="1" operator="greaterThanOrEqual">
      <formula>0.5</formula>
    </cfRule>
  </conditionalFormatting>
  <conditionalFormatting sqref="AH36">
    <cfRule type="cellIs" dxfId="40702" priority="82408" stopIfTrue="1" operator="equal">
      <formula>-1</formula>
    </cfRule>
  </conditionalFormatting>
  <conditionalFormatting sqref="AH36">
    <cfRule type="cellIs" dxfId="40701" priority="82409" stopIfTrue="1" operator="lessThan">
      <formula>0.5</formula>
    </cfRule>
  </conditionalFormatting>
  <conditionalFormatting sqref="AH36">
    <cfRule type="cellIs" dxfId="40700" priority="82410" stopIfTrue="1" operator="greaterThanOrEqual">
      <formula>0.5</formula>
    </cfRule>
  </conditionalFormatting>
  <conditionalFormatting sqref="AH37">
    <cfRule type="cellIs" dxfId="40699" priority="82411" stopIfTrue="1" operator="equal">
      <formula>-1</formula>
    </cfRule>
  </conditionalFormatting>
  <conditionalFormatting sqref="AH37">
    <cfRule type="cellIs" dxfId="40698" priority="82412" stopIfTrue="1" operator="lessThan">
      <formula>0.5</formula>
    </cfRule>
  </conditionalFormatting>
  <conditionalFormatting sqref="AH37">
    <cfRule type="cellIs" dxfId="40697" priority="82413" stopIfTrue="1" operator="greaterThanOrEqual">
      <formula>0.5</formula>
    </cfRule>
  </conditionalFormatting>
  <conditionalFormatting sqref="AJ17">
    <cfRule type="cellIs" dxfId="40696" priority="82414" stopIfTrue="1" operator="equal">
      <formula>-1</formula>
    </cfRule>
  </conditionalFormatting>
  <conditionalFormatting sqref="AJ17">
    <cfRule type="cellIs" dxfId="40695" priority="82415" stopIfTrue="1" operator="lessThan">
      <formula>0.5</formula>
    </cfRule>
  </conditionalFormatting>
  <conditionalFormatting sqref="AJ17">
    <cfRule type="cellIs" dxfId="40694" priority="82416" stopIfTrue="1" operator="greaterThanOrEqual">
      <formula>0.5</formula>
    </cfRule>
  </conditionalFormatting>
  <conditionalFormatting sqref="AJ18">
    <cfRule type="cellIs" dxfId="40693" priority="82417" stopIfTrue="1" operator="equal">
      <formula>-1</formula>
    </cfRule>
  </conditionalFormatting>
  <conditionalFormatting sqref="AJ18">
    <cfRule type="cellIs" dxfId="40692" priority="82418" stopIfTrue="1" operator="lessThan">
      <formula>0.5</formula>
    </cfRule>
  </conditionalFormatting>
  <conditionalFormatting sqref="AJ18">
    <cfRule type="cellIs" dxfId="40691" priority="82419" stopIfTrue="1" operator="greaterThanOrEqual">
      <formula>0.5</formula>
    </cfRule>
  </conditionalFormatting>
  <conditionalFormatting sqref="AJ19">
    <cfRule type="cellIs" dxfId="40690" priority="82420" stopIfTrue="1" operator="equal">
      <formula>-1</formula>
    </cfRule>
  </conditionalFormatting>
  <conditionalFormatting sqref="AJ19">
    <cfRule type="cellIs" dxfId="40689" priority="82421" stopIfTrue="1" operator="lessThan">
      <formula>0.5</formula>
    </cfRule>
  </conditionalFormatting>
  <conditionalFormatting sqref="AJ19">
    <cfRule type="cellIs" dxfId="40688" priority="82422" stopIfTrue="1" operator="greaterThanOrEqual">
      <formula>0.5</formula>
    </cfRule>
  </conditionalFormatting>
  <conditionalFormatting sqref="AJ20">
    <cfRule type="cellIs" dxfId="40687" priority="82423" stopIfTrue="1" operator="equal">
      <formula>-1</formula>
    </cfRule>
  </conditionalFormatting>
  <conditionalFormatting sqref="AJ20">
    <cfRule type="cellIs" dxfId="40686" priority="82424" stopIfTrue="1" operator="lessThan">
      <formula>0.5</formula>
    </cfRule>
  </conditionalFormatting>
  <conditionalFormatting sqref="AJ20">
    <cfRule type="cellIs" dxfId="40685" priority="82425" stopIfTrue="1" operator="greaterThanOrEqual">
      <formula>0.5</formula>
    </cfRule>
  </conditionalFormatting>
  <conditionalFormatting sqref="AJ21">
    <cfRule type="cellIs" dxfId="40684" priority="82426" stopIfTrue="1" operator="equal">
      <formula>-1</formula>
    </cfRule>
  </conditionalFormatting>
  <conditionalFormatting sqref="AJ21">
    <cfRule type="cellIs" dxfId="40683" priority="82427" stopIfTrue="1" operator="lessThan">
      <formula>0.5</formula>
    </cfRule>
  </conditionalFormatting>
  <conditionalFormatting sqref="AJ21">
    <cfRule type="cellIs" dxfId="40682" priority="82428" stopIfTrue="1" operator="greaterThanOrEqual">
      <formula>0.5</formula>
    </cfRule>
  </conditionalFormatting>
  <conditionalFormatting sqref="AJ22">
    <cfRule type="cellIs" dxfId="40681" priority="82429" stopIfTrue="1" operator="equal">
      <formula>-1</formula>
    </cfRule>
  </conditionalFormatting>
  <conditionalFormatting sqref="AJ22">
    <cfRule type="cellIs" dxfId="40680" priority="82430" stopIfTrue="1" operator="lessThan">
      <formula>0.5</formula>
    </cfRule>
  </conditionalFormatting>
  <conditionalFormatting sqref="AJ22">
    <cfRule type="cellIs" dxfId="40679" priority="82431" stopIfTrue="1" operator="greaterThanOrEqual">
      <formula>0.5</formula>
    </cfRule>
  </conditionalFormatting>
  <conditionalFormatting sqref="AJ23">
    <cfRule type="cellIs" dxfId="40678" priority="82432" stopIfTrue="1" operator="equal">
      <formula>-1</formula>
    </cfRule>
  </conditionalFormatting>
  <conditionalFormatting sqref="AJ23">
    <cfRule type="cellIs" dxfId="40677" priority="82433" stopIfTrue="1" operator="lessThan">
      <formula>0.5</formula>
    </cfRule>
  </conditionalFormatting>
  <conditionalFormatting sqref="AJ23">
    <cfRule type="cellIs" dxfId="40676" priority="82434" stopIfTrue="1" operator="greaterThanOrEqual">
      <formula>0.5</formula>
    </cfRule>
  </conditionalFormatting>
  <conditionalFormatting sqref="AJ24">
    <cfRule type="cellIs" dxfId="40675" priority="82435" stopIfTrue="1" operator="equal">
      <formula>-1</formula>
    </cfRule>
  </conditionalFormatting>
  <conditionalFormatting sqref="AJ24">
    <cfRule type="cellIs" dxfId="40674" priority="82436" stopIfTrue="1" operator="lessThan">
      <formula>0.5</formula>
    </cfRule>
  </conditionalFormatting>
  <conditionalFormatting sqref="AJ24">
    <cfRule type="cellIs" dxfId="40673" priority="82437" stopIfTrue="1" operator="greaterThanOrEqual">
      <formula>0.5</formula>
    </cfRule>
  </conditionalFormatting>
  <conditionalFormatting sqref="AJ25">
    <cfRule type="cellIs" dxfId="40672" priority="82438" stopIfTrue="1" operator="equal">
      <formula>-1</formula>
    </cfRule>
  </conditionalFormatting>
  <conditionalFormatting sqref="AJ25">
    <cfRule type="cellIs" dxfId="40671" priority="82439" stopIfTrue="1" operator="lessThan">
      <formula>0.5</formula>
    </cfRule>
  </conditionalFormatting>
  <conditionalFormatting sqref="AJ25">
    <cfRule type="cellIs" dxfId="40670" priority="82440" stopIfTrue="1" operator="greaterThanOrEqual">
      <formula>0.5</formula>
    </cfRule>
  </conditionalFormatting>
  <conditionalFormatting sqref="AJ26">
    <cfRule type="cellIs" dxfId="40669" priority="82441" stopIfTrue="1" operator="equal">
      <formula>-1</formula>
    </cfRule>
  </conditionalFormatting>
  <conditionalFormatting sqref="AJ26">
    <cfRule type="cellIs" dxfId="40668" priority="82442" stopIfTrue="1" operator="lessThan">
      <formula>0.5</formula>
    </cfRule>
  </conditionalFormatting>
  <conditionalFormatting sqref="AJ26">
    <cfRule type="cellIs" dxfId="40667" priority="82443" stopIfTrue="1" operator="greaterThanOrEqual">
      <formula>0.5</formula>
    </cfRule>
  </conditionalFormatting>
  <conditionalFormatting sqref="AJ27">
    <cfRule type="cellIs" dxfId="40666" priority="82444" stopIfTrue="1" operator="equal">
      <formula>-1</formula>
    </cfRule>
  </conditionalFormatting>
  <conditionalFormatting sqref="AJ27">
    <cfRule type="cellIs" dxfId="40665" priority="82445" stopIfTrue="1" operator="lessThan">
      <formula>0.5</formula>
    </cfRule>
  </conditionalFormatting>
  <conditionalFormatting sqref="AJ27">
    <cfRule type="cellIs" dxfId="40664" priority="82446" stopIfTrue="1" operator="greaterThanOrEqual">
      <formula>0.5</formula>
    </cfRule>
  </conditionalFormatting>
  <conditionalFormatting sqref="AJ28">
    <cfRule type="cellIs" dxfId="40663" priority="82447" stopIfTrue="1" operator="equal">
      <formula>-1</formula>
    </cfRule>
  </conditionalFormatting>
  <conditionalFormatting sqref="AJ28">
    <cfRule type="cellIs" dxfId="40662" priority="82448" stopIfTrue="1" operator="lessThan">
      <formula>0.5</formula>
    </cfRule>
  </conditionalFormatting>
  <conditionalFormatting sqref="AJ28">
    <cfRule type="cellIs" dxfId="40661" priority="82449" stopIfTrue="1" operator="greaterThanOrEqual">
      <formula>0.5</formula>
    </cfRule>
  </conditionalFormatting>
  <conditionalFormatting sqref="AJ29">
    <cfRule type="cellIs" dxfId="40660" priority="82450" stopIfTrue="1" operator="equal">
      <formula>-1</formula>
    </cfRule>
  </conditionalFormatting>
  <conditionalFormatting sqref="AJ29">
    <cfRule type="cellIs" dxfId="40659" priority="82451" stopIfTrue="1" operator="lessThan">
      <formula>0.5</formula>
    </cfRule>
  </conditionalFormatting>
  <conditionalFormatting sqref="AJ29">
    <cfRule type="cellIs" dxfId="40658" priority="82452" stopIfTrue="1" operator="greaterThanOrEqual">
      <formula>0.5</formula>
    </cfRule>
  </conditionalFormatting>
  <conditionalFormatting sqref="AJ30">
    <cfRule type="cellIs" dxfId="40657" priority="82453" stopIfTrue="1" operator="equal">
      <formula>-1</formula>
    </cfRule>
  </conditionalFormatting>
  <conditionalFormatting sqref="AJ30">
    <cfRule type="cellIs" dxfId="40656" priority="82454" stopIfTrue="1" operator="lessThan">
      <formula>0.5</formula>
    </cfRule>
  </conditionalFormatting>
  <conditionalFormatting sqref="AJ30">
    <cfRule type="cellIs" dxfId="40655" priority="82455" stopIfTrue="1" operator="greaterThanOrEqual">
      <formula>0.5</formula>
    </cfRule>
  </conditionalFormatting>
  <conditionalFormatting sqref="AJ31">
    <cfRule type="cellIs" dxfId="40654" priority="82456" stopIfTrue="1" operator="equal">
      <formula>-1</formula>
    </cfRule>
  </conditionalFormatting>
  <conditionalFormatting sqref="AJ31">
    <cfRule type="cellIs" dxfId="40653" priority="82457" stopIfTrue="1" operator="lessThan">
      <formula>0.5</formula>
    </cfRule>
  </conditionalFormatting>
  <conditionalFormatting sqref="AJ31">
    <cfRule type="cellIs" dxfId="40652" priority="82458" stopIfTrue="1" operator="greaterThanOrEqual">
      <formula>0.5</formula>
    </cfRule>
  </conditionalFormatting>
  <conditionalFormatting sqref="AJ32">
    <cfRule type="cellIs" dxfId="40651" priority="82459" stopIfTrue="1" operator="equal">
      <formula>-1</formula>
    </cfRule>
  </conditionalFormatting>
  <conditionalFormatting sqref="AJ32">
    <cfRule type="cellIs" dxfId="40650" priority="82460" stopIfTrue="1" operator="lessThan">
      <formula>0.5</formula>
    </cfRule>
  </conditionalFormatting>
  <conditionalFormatting sqref="AJ32">
    <cfRule type="cellIs" dxfId="40649" priority="82461" stopIfTrue="1" operator="greaterThanOrEqual">
      <formula>0.5</formula>
    </cfRule>
  </conditionalFormatting>
  <conditionalFormatting sqref="AJ33">
    <cfRule type="cellIs" dxfId="40648" priority="82462" stopIfTrue="1" operator="equal">
      <formula>-1</formula>
    </cfRule>
  </conditionalFormatting>
  <conditionalFormatting sqref="AJ33">
    <cfRule type="cellIs" dxfId="40647" priority="82463" stopIfTrue="1" operator="lessThan">
      <formula>0.5</formula>
    </cfRule>
  </conditionalFormatting>
  <conditionalFormatting sqref="AJ33">
    <cfRule type="cellIs" dxfId="40646" priority="82464" stopIfTrue="1" operator="greaterThanOrEqual">
      <formula>0.5</formula>
    </cfRule>
  </conditionalFormatting>
  <conditionalFormatting sqref="AJ34">
    <cfRule type="cellIs" dxfId="40645" priority="82465" stopIfTrue="1" operator="equal">
      <formula>-1</formula>
    </cfRule>
  </conditionalFormatting>
  <conditionalFormatting sqref="AJ34">
    <cfRule type="cellIs" dxfId="40644" priority="82466" stopIfTrue="1" operator="lessThan">
      <formula>0.5</formula>
    </cfRule>
  </conditionalFormatting>
  <conditionalFormatting sqref="AJ34">
    <cfRule type="cellIs" dxfId="40643" priority="82467" stopIfTrue="1" operator="greaterThanOrEqual">
      <formula>0.5</formula>
    </cfRule>
  </conditionalFormatting>
  <conditionalFormatting sqref="AJ35">
    <cfRule type="cellIs" dxfId="40642" priority="82468" stopIfTrue="1" operator="equal">
      <formula>-1</formula>
    </cfRule>
  </conditionalFormatting>
  <conditionalFormatting sqref="AJ35">
    <cfRule type="cellIs" dxfId="40641" priority="82469" stopIfTrue="1" operator="lessThan">
      <formula>0.5</formula>
    </cfRule>
  </conditionalFormatting>
  <conditionalFormatting sqref="AJ35">
    <cfRule type="cellIs" dxfId="40640" priority="82470" stopIfTrue="1" operator="greaterThanOrEqual">
      <formula>0.5</formula>
    </cfRule>
  </conditionalFormatting>
  <conditionalFormatting sqref="AJ36">
    <cfRule type="cellIs" dxfId="40639" priority="82471" stopIfTrue="1" operator="equal">
      <formula>-1</formula>
    </cfRule>
  </conditionalFormatting>
  <conditionalFormatting sqref="AJ36">
    <cfRule type="cellIs" dxfId="40638" priority="82472" stopIfTrue="1" operator="lessThan">
      <formula>0.5</formula>
    </cfRule>
  </conditionalFormatting>
  <conditionalFormatting sqref="AJ36">
    <cfRule type="cellIs" dxfId="40637" priority="82473" stopIfTrue="1" operator="greaterThanOrEqual">
      <formula>0.5</formula>
    </cfRule>
  </conditionalFormatting>
  <conditionalFormatting sqref="AJ37">
    <cfRule type="cellIs" dxfId="40636" priority="82474" stopIfTrue="1" operator="equal">
      <formula>-1</formula>
    </cfRule>
  </conditionalFormatting>
  <conditionalFormatting sqref="AJ37">
    <cfRule type="cellIs" dxfId="40635" priority="82475" stopIfTrue="1" operator="lessThan">
      <formula>0.5</formula>
    </cfRule>
  </conditionalFormatting>
  <conditionalFormatting sqref="AJ37">
    <cfRule type="cellIs" dxfId="40634" priority="82476" stopIfTrue="1" operator="greaterThanOrEqual">
      <formula>0.5</formula>
    </cfRule>
  </conditionalFormatting>
  <conditionalFormatting sqref="AL17">
    <cfRule type="cellIs" dxfId="40633" priority="82477" stopIfTrue="1" operator="equal">
      <formula>-1</formula>
    </cfRule>
  </conditionalFormatting>
  <conditionalFormatting sqref="AL17">
    <cfRule type="cellIs" dxfId="40632" priority="82478" stopIfTrue="1" operator="lessThan">
      <formula>0.5</formula>
    </cfRule>
  </conditionalFormatting>
  <conditionalFormatting sqref="AL17">
    <cfRule type="cellIs" dxfId="40631" priority="82479" stopIfTrue="1" operator="greaterThanOrEqual">
      <formula>0.5</formula>
    </cfRule>
  </conditionalFormatting>
  <conditionalFormatting sqref="AL18">
    <cfRule type="cellIs" dxfId="40630" priority="82480" stopIfTrue="1" operator="equal">
      <formula>-1</formula>
    </cfRule>
  </conditionalFormatting>
  <conditionalFormatting sqref="AL18">
    <cfRule type="cellIs" dxfId="40629" priority="82481" stopIfTrue="1" operator="lessThan">
      <formula>0.5</formula>
    </cfRule>
  </conditionalFormatting>
  <conditionalFormatting sqref="AL18">
    <cfRule type="cellIs" dxfId="40628" priority="82482" stopIfTrue="1" operator="greaterThanOrEqual">
      <formula>0.5</formula>
    </cfRule>
  </conditionalFormatting>
  <conditionalFormatting sqref="AL19">
    <cfRule type="cellIs" dxfId="40627" priority="82483" stopIfTrue="1" operator="equal">
      <formula>-1</formula>
    </cfRule>
  </conditionalFormatting>
  <conditionalFormatting sqref="AL19">
    <cfRule type="cellIs" dxfId="40626" priority="82484" stopIfTrue="1" operator="lessThan">
      <formula>0.5</formula>
    </cfRule>
  </conditionalFormatting>
  <conditionalFormatting sqref="AL19">
    <cfRule type="cellIs" dxfId="40625" priority="82485" stopIfTrue="1" operator="greaterThanOrEqual">
      <formula>0.5</formula>
    </cfRule>
  </conditionalFormatting>
  <conditionalFormatting sqref="AL20">
    <cfRule type="cellIs" dxfId="40624" priority="82486" stopIfTrue="1" operator="equal">
      <formula>-1</formula>
    </cfRule>
  </conditionalFormatting>
  <conditionalFormatting sqref="AL20">
    <cfRule type="cellIs" dxfId="40623" priority="82487" stopIfTrue="1" operator="lessThan">
      <formula>0.5</formula>
    </cfRule>
  </conditionalFormatting>
  <conditionalFormatting sqref="AL20">
    <cfRule type="cellIs" dxfId="40622" priority="82488" stopIfTrue="1" operator="greaterThanOrEqual">
      <formula>0.5</formula>
    </cfRule>
  </conditionalFormatting>
  <conditionalFormatting sqref="AL21">
    <cfRule type="cellIs" dxfId="40621" priority="82489" stopIfTrue="1" operator="equal">
      <formula>-1</formula>
    </cfRule>
  </conditionalFormatting>
  <conditionalFormatting sqref="AL21">
    <cfRule type="cellIs" dxfId="40620" priority="82490" stopIfTrue="1" operator="lessThan">
      <formula>0.5</formula>
    </cfRule>
  </conditionalFormatting>
  <conditionalFormatting sqref="AL21">
    <cfRule type="cellIs" dxfId="40619" priority="82491" stopIfTrue="1" operator="greaterThanOrEqual">
      <formula>0.5</formula>
    </cfRule>
  </conditionalFormatting>
  <conditionalFormatting sqref="AL22">
    <cfRule type="cellIs" dxfId="40618" priority="82492" stopIfTrue="1" operator="equal">
      <formula>-1</formula>
    </cfRule>
  </conditionalFormatting>
  <conditionalFormatting sqref="AL22">
    <cfRule type="cellIs" dxfId="40617" priority="82493" stopIfTrue="1" operator="lessThan">
      <formula>0.5</formula>
    </cfRule>
  </conditionalFormatting>
  <conditionalFormatting sqref="AL22">
    <cfRule type="cellIs" dxfId="40616" priority="82494" stopIfTrue="1" operator="greaterThanOrEqual">
      <formula>0.5</formula>
    </cfRule>
  </conditionalFormatting>
  <conditionalFormatting sqref="AL23">
    <cfRule type="cellIs" dxfId="40615" priority="82495" stopIfTrue="1" operator="equal">
      <formula>-1</formula>
    </cfRule>
  </conditionalFormatting>
  <conditionalFormatting sqref="AL23">
    <cfRule type="cellIs" dxfId="40614" priority="82496" stopIfTrue="1" operator="lessThan">
      <formula>0.5</formula>
    </cfRule>
  </conditionalFormatting>
  <conditionalFormatting sqref="AL23">
    <cfRule type="cellIs" dxfId="40613" priority="82497" stopIfTrue="1" operator="greaterThanOrEqual">
      <formula>0.5</formula>
    </cfRule>
  </conditionalFormatting>
  <conditionalFormatting sqref="AL24">
    <cfRule type="cellIs" dxfId="40612" priority="82498" stopIfTrue="1" operator="equal">
      <formula>-1</formula>
    </cfRule>
  </conditionalFormatting>
  <conditionalFormatting sqref="AL24">
    <cfRule type="cellIs" dxfId="40611" priority="82499" stopIfTrue="1" operator="lessThan">
      <formula>0.5</formula>
    </cfRule>
  </conditionalFormatting>
  <conditionalFormatting sqref="AL24">
    <cfRule type="cellIs" dxfId="40610" priority="82500" stopIfTrue="1" operator="greaterThanOrEqual">
      <formula>0.5</formula>
    </cfRule>
  </conditionalFormatting>
  <conditionalFormatting sqref="AL25">
    <cfRule type="cellIs" dxfId="40609" priority="82501" stopIfTrue="1" operator="equal">
      <formula>-1</formula>
    </cfRule>
  </conditionalFormatting>
  <conditionalFormatting sqref="AL25">
    <cfRule type="cellIs" dxfId="40608" priority="82502" stopIfTrue="1" operator="lessThan">
      <formula>0.5</formula>
    </cfRule>
  </conditionalFormatting>
  <conditionalFormatting sqref="AL25">
    <cfRule type="cellIs" dxfId="40607" priority="82503" stopIfTrue="1" operator="greaterThanOrEqual">
      <formula>0.5</formula>
    </cfRule>
  </conditionalFormatting>
  <conditionalFormatting sqref="AL26">
    <cfRule type="cellIs" dxfId="40606" priority="82504" stopIfTrue="1" operator="equal">
      <formula>-1</formula>
    </cfRule>
  </conditionalFormatting>
  <conditionalFormatting sqref="AL26">
    <cfRule type="cellIs" dxfId="40605" priority="82505" stopIfTrue="1" operator="lessThan">
      <formula>0.5</formula>
    </cfRule>
  </conditionalFormatting>
  <conditionalFormatting sqref="AL26">
    <cfRule type="cellIs" dxfId="40604" priority="82506" stopIfTrue="1" operator="greaterThanOrEqual">
      <formula>0.5</formula>
    </cfRule>
  </conditionalFormatting>
  <conditionalFormatting sqref="AL27">
    <cfRule type="cellIs" dxfId="40603" priority="82507" stopIfTrue="1" operator="equal">
      <formula>-1</formula>
    </cfRule>
  </conditionalFormatting>
  <conditionalFormatting sqref="AL27">
    <cfRule type="cellIs" dxfId="40602" priority="82508" stopIfTrue="1" operator="lessThan">
      <formula>0.5</formula>
    </cfRule>
  </conditionalFormatting>
  <conditionalFormatting sqref="AL27">
    <cfRule type="cellIs" dxfId="40601" priority="82509" stopIfTrue="1" operator="greaterThanOrEqual">
      <formula>0.5</formula>
    </cfRule>
  </conditionalFormatting>
  <conditionalFormatting sqref="AL28">
    <cfRule type="cellIs" dxfId="40600" priority="82510" stopIfTrue="1" operator="equal">
      <formula>-1</formula>
    </cfRule>
  </conditionalFormatting>
  <conditionalFormatting sqref="AL28">
    <cfRule type="cellIs" dxfId="40599" priority="82511" stopIfTrue="1" operator="lessThan">
      <formula>0.5</formula>
    </cfRule>
  </conditionalFormatting>
  <conditionalFormatting sqref="AL28">
    <cfRule type="cellIs" dxfId="40598" priority="82512" stopIfTrue="1" operator="greaterThanOrEqual">
      <formula>0.5</formula>
    </cfRule>
  </conditionalFormatting>
  <conditionalFormatting sqref="AL29">
    <cfRule type="cellIs" dxfId="40597" priority="82513" stopIfTrue="1" operator="equal">
      <formula>-1</formula>
    </cfRule>
  </conditionalFormatting>
  <conditionalFormatting sqref="AL29">
    <cfRule type="cellIs" dxfId="40596" priority="82514" stopIfTrue="1" operator="lessThan">
      <formula>0.5</formula>
    </cfRule>
  </conditionalFormatting>
  <conditionalFormatting sqref="AL29">
    <cfRule type="cellIs" dxfId="40595" priority="82515" stopIfTrue="1" operator="greaterThanOrEqual">
      <formula>0.5</formula>
    </cfRule>
  </conditionalFormatting>
  <conditionalFormatting sqref="AL30">
    <cfRule type="cellIs" dxfId="40594" priority="82516" stopIfTrue="1" operator="equal">
      <formula>-1</formula>
    </cfRule>
  </conditionalFormatting>
  <conditionalFormatting sqref="AL30">
    <cfRule type="cellIs" dxfId="40593" priority="82517" stopIfTrue="1" operator="lessThan">
      <formula>0.5</formula>
    </cfRule>
  </conditionalFormatting>
  <conditionalFormatting sqref="AL30">
    <cfRule type="cellIs" dxfId="40592" priority="82518" stopIfTrue="1" operator="greaterThanOrEqual">
      <formula>0.5</formula>
    </cfRule>
  </conditionalFormatting>
  <conditionalFormatting sqref="AL31">
    <cfRule type="cellIs" dxfId="40591" priority="82519" stopIfTrue="1" operator="equal">
      <formula>-1</formula>
    </cfRule>
  </conditionalFormatting>
  <conditionalFormatting sqref="AL31">
    <cfRule type="cellIs" dxfId="40590" priority="82520" stopIfTrue="1" operator="lessThan">
      <formula>0.5</formula>
    </cfRule>
  </conditionalFormatting>
  <conditionalFormatting sqref="AL31">
    <cfRule type="cellIs" dxfId="40589" priority="82521" stopIfTrue="1" operator="greaterThanOrEqual">
      <formula>0.5</formula>
    </cfRule>
  </conditionalFormatting>
  <conditionalFormatting sqref="AL32">
    <cfRule type="cellIs" dxfId="40588" priority="82522" stopIfTrue="1" operator="equal">
      <formula>-1</formula>
    </cfRule>
  </conditionalFormatting>
  <conditionalFormatting sqref="AL32">
    <cfRule type="cellIs" dxfId="40587" priority="82523" stopIfTrue="1" operator="lessThan">
      <formula>0.5</formula>
    </cfRule>
  </conditionalFormatting>
  <conditionalFormatting sqref="AL32">
    <cfRule type="cellIs" dxfId="40586" priority="82524" stopIfTrue="1" operator="greaterThanOrEqual">
      <formula>0.5</formula>
    </cfRule>
  </conditionalFormatting>
  <conditionalFormatting sqref="AL33">
    <cfRule type="cellIs" dxfId="40585" priority="82525" stopIfTrue="1" operator="equal">
      <formula>-1</formula>
    </cfRule>
  </conditionalFormatting>
  <conditionalFormatting sqref="AL33">
    <cfRule type="cellIs" dxfId="40584" priority="82526" stopIfTrue="1" operator="lessThan">
      <formula>0.5</formula>
    </cfRule>
  </conditionalFormatting>
  <conditionalFormatting sqref="AL33">
    <cfRule type="cellIs" dxfId="40583" priority="82527" stopIfTrue="1" operator="greaterThanOrEqual">
      <formula>0.5</formula>
    </cfRule>
  </conditionalFormatting>
  <conditionalFormatting sqref="AL34">
    <cfRule type="cellIs" dxfId="40582" priority="82528" stopIfTrue="1" operator="equal">
      <formula>-1</formula>
    </cfRule>
  </conditionalFormatting>
  <conditionalFormatting sqref="AL34">
    <cfRule type="cellIs" dxfId="40581" priority="82529" stopIfTrue="1" operator="lessThan">
      <formula>0.5</formula>
    </cfRule>
  </conditionalFormatting>
  <conditionalFormatting sqref="AL34">
    <cfRule type="cellIs" dxfId="40580" priority="82530" stopIfTrue="1" operator="greaterThanOrEqual">
      <formula>0.5</formula>
    </cfRule>
  </conditionalFormatting>
  <conditionalFormatting sqref="AL35">
    <cfRule type="cellIs" dxfId="40579" priority="82531" stopIfTrue="1" operator="equal">
      <formula>-1</formula>
    </cfRule>
  </conditionalFormatting>
  <conditionalFormatting sqref="AL35">
    <cfRule type="cellIs" dxfId="40578" priority="82532" stopIfTrue="1" operator="lessThan">
      <formula>0.5</formula>
    </cfRule>
  </conditionalFormatting>
  <conditionalFormatting sqref="AL35">
    <cfRule type="cellIs" dxfId="40577" priority="82533" stopIfTrue="1" operator="greaterThanOrEqual">
      <formula>0.5</formula>
    </cfRule>
  </conditionalFormatting>
  <conditionalFormatting sqref="AL36">
    <cfRule type="cellIs" dxfId="40576" priority="82534" stopIfTrue="1" operator="equal">
      <formula>-1</formula>
    </cfRule>
  </conditionalFormatting>
  <conditionalFormatting sqref="AL36">
    <cfRule type="cellIs" dxfId="40575" priority="82535" stopIfTrue="1" operator="lessThan">
      <formula>0.5</formula>
    </cfRule>
  </conditionalFormatting>
  <conditionalFormatting sqref="AL36">
    <cfRule type="cellIs" dxfId="40574" priority="82536" stopIfTrue="1" operator="greaterThanOrEqual">
      <formula>0.5</formula>
    </cfRule>
  </conditionalFormatting>
  <conditionalFormatting sqref="AL37">
    <cfRule type="cellIs" dxfId="40573" priority="82537" stopIfTrue="1" operator="equal">
      <formula>-1</formula>
    </cfRule>
  </conditionalFormatting>
  <conditionalFormatting sqref="AL37">
    <cfRule type="cellIs" dxfId="40572" priority="82538" stopIfTrue="1" operator="lessThan">
      <formula>0.5</formula>
    </cfRule>
  </conditionalFormatting>
  <conditionalFormatting sqref="AL37">
    <cfRule type="cellIs" dxfId="40571" priority="82539" stopIfTrue="1" operator="greaterThanOrEqual">
      <formula>0.5</formula>
    </cfRule>
  </conditionalFormatting>
  <conditionalFormatting sqref="AN17">
    <cfRule type="cellIs" dxfId="40570" priority="82540" stopIfTrue="1" operator="equal">
      <formula>-1</formula>
    </cfRule>
  </conditionalFormatting>
  <conditionalFormatting sqref="AN17">
    <cfRule type="cellIs" dxfId="40569" priority="82541" stopIfTrue="1" operator="lessThan">
      <formula>0.5</formula>
    </cfRule>
  </conditionalFormatting>
  <conditionalFormatting sqref="AN17">
    <cfRule type="cellIs" dxfId="40568" priority="82542" stopIfTrue="1" operator="greaterThanOrEqual">
      <formula>0.5</formula>
    </cfRule>
  </conditionalFormatting>
  <conditionalFormatting sqref="AN18">
    <cfRule type="cellIs" dxfId="40567" priority="82543" stopIfTrue="1" operator="equal">
      <formula>-1</formula>
    </cfRule>
  </conditionalFormatting>
  <conditionalFormatting sqref="AN18">
    <cfRule type="cellIs" dxfId="40566" priority="82544" stopIfTrue="1" operator="lessThan">
      <formula>0.5</formula>
    </cfRule>
  </conditionalFormatting>
  <conditionalFormatting sqref="AN18">
    <cfRule type="cellIs" dxfId="40565" priority="82545" stopIfTrue="1" operator="greaterThanOrEqual">
      <formula>0.5</formula>
    </cfRule>
  </conditionalFormatting>
  <conditionalFormatting sqref="AN19">
    <cfRule type="cellIs" dxfId="40564" priority="82546" stopIfTrue="1" operator="equal">
      <formula>-1</formula>
    </cfRule>
  </conditionalFormatting>
  <conditionalFormatting sqref="AN19">
    <cfRule type="cellIs" dxfId="40563" priority="82547" stopIfTrue="1" operator="lessThan">
      <formula>0.5</formula>
    </cfRule>
  </conditionalFormatting>
  <conditionalFormatting sqref="AN19">
    <cfRule type="cellIs" dxfId="40562" priority="82548" stopIfTrue="1" operator="greaterThanOrEqual">
      <formula>0.5</formula>
    </cfRule>
  </conditionalFormatting>
  <conditionalFormatting sqref="AN20">
    <cfRule type="cellIs" dxfId="40561" priority="82549" stopIfTrue="1" operator="equal">
      <formula>-1</formula>
    </cfRule>
  </conditionalFormatting>
  <conditionalFormatting sqref="AN20">
    <cfRule type="cellIs" dxfId="40560" priority="82550" stopIfTrue="1" operator="lessThan">
      <formula>0.5</formula>
    </cfRule>
  </conditionalFormatting>
  <conditionalFormatting sqref="AN20">
    <cfRule type="cellIs" dxfId="40559" priority="82551" stopIfTrue="1" operator="greaterThanOrEqual">
      <formula>0.5</formula>
    </cfRule>
  </conditionalFormatting>
  <conditionalFormatting sqref="AN21">
    <cfRule type="cellIs" dxfId="40558" priority="82552" stopIfTrue="1" operator="equal">
      <formula>-1</formula>
    </cfRule>
  </conditionalFormatting>
  <conditionalFormatting sqref="AN21">
    <cfRule type="cellIs" dxfId="40557" priority="82553" stopIfTrue="1" operator="lessThan">
      <formula>0.5</formula>
    </cfRule>
  </conditionalFormatting>
  <conditionalFormatting sqref="AN21">
    <cfRule type="cellIs" dxfId="40556" priority="82554" stopIfTrue="1" operator="greaterThanOrEqual">
      <formula>0.5</formula>
    </cfRule>
  </conditionalFormatting>
  <conditionalFormatting sqref="AN22">
    <cfRule type="cellIs" dxfId="40555" priority="82555" stopIfTrue="1" operator="equal">
      <formula>-1</formula>
    </cfRule>
  </conditionalFormatting>
  <conditionalFormatting sqref="AN22">
    <cfRule type="cellIs" dxfId="40554" priority="82556" stopIfTrue="1" operator="lessThan">
      <formula>0.5</formula>
    </cfRule>
  </conditionalFormatting>
  <conditionalFormatting sqref="AN22">
    <cfRule type="cellIs" dxfId="40553" priority="82557" stopIfTrue="1" operator="greaterThanOrEqual">
      <formula>0.5</formula>
    </cfRule>
  </conditionalFormatting>
  <conditionalFormatting sqref="AN23">
    <cfRule type="cellIs" dxfId="40552" priority="82558" stopIfTrue="1" operator="equal">
      <formula>-1</formula>
    </cfRule>
  </conditionalFormatting>
  <conditionalFormatting sqref="AN23">
    <cfRule type="cellIs" dxfId="40551" priority="82559" stopIfTrue="1" operator="lessThan">
      <formula>0.5</formula>
    </cfRule>
  </conditionalFormatting>
  <conditionalFormatting sqref="AN23">
    <cfRule type="cellIs" dxfId="40550" priority="82560" stopIfTrue="1" operator="greaterThanOrEqual">
      <formula>0.5</formula>
    </cfRule>
  </conditionalFormatting>
  <conditionalFormatting sqref="AN24">
    <cfRule type="cellIs" dxfId="40549" priority="82561" stopIfTrue="1" operator="equal">
      <formula>-1</formula>
    </cfRule>
  </conditionalFormatting>
  <conditionalFormatting sqref="AN24">
    <cfRule type="cellIs" dxfId="40548" priority="82562" stopIfTrue="1" operator="lessThan">
      <formula>0.5</formula>
    </cfRule>
  </conditionalFormatting>
  <conditionalFormatting sqref="AN24">
    <cfRule type="cellIs" dxfId="40547" priority="82563" stopIfTrue="1" operator="greaterThanOrEqual">
      <formula>0.5</formula>
    </cfRule>
  </conditionalFormatting>
  <conditionalFormatting sqref="AN25">
    <cfRule type="cellIs" dxfId="40546" priority="82564" stopIfTrue="1" operator="equal">
      <formula>-1</formula>
    </cfRule>
  </conditionalFormatting>
  <conditionalFormatting sqref="AN25">
    <cfRule type="cellIs" dxfId="40545" priority="82565" stopIfTrue="1" operator="lessThan">
      <formula>0.5</formula>
    </cfRule>
  </conditionalFormatting>
  <conditionalFormatting sqref="AN25">
    <cfRule type="cellIs" dxfId="40544" priority="82566" stopIfTrue="1" operator="greaterThanOrEqual">
      <formula>0.5</formula>
    </cfRule>
  </conditionalFormatting>
  <conditionalFormatting sqref="AN26">
    <cfRule type="cellIs" dxfId="40543" priority="82567" stopIfTrue="1" operator="equal">
      <formula>-1</formula>
    </cfRule>
  </conditionalFormatting>
  <conditionalFormatting sqref="AN26">
    <cfRule type="cellIs" dxfId="40542" priority="82568" stopIfTrue="1" operator="lessThan">
      <formula>0.5</formula>
    </cfRule>
  </conditionalFormatting>
  <conditionalFormatting sqref="AN26">
    <cfRule type="cellIs" dxfId="40541" priority="82569" stopIfTrue="1" operator="greaterThanOrEqual">
      <formula>0.5</formula>
    </cfRule>
  </conditionalFormatting>
  <conditionalFormatting sqref="AN27">
    <cfRule type="cellIs" dxfId="40540" priority="82570" stopIfTrue="1" operator="equal">
      <formula>-1</formula>
    </cfRule>
  </conditionalFormatting>
  <conditionalFormatting sqref="AN27">
    <cfRule type="cellIs" dxfId="40539" priority="82571" stopIfTrue="1" operator="lessThan">
      <formula>0.5</formula>
    </cfRule>
  </conditionalFormatting>
  <conditionalFormatting sqref="AN27">
    <cfRule type="cellIs" dxfId="40538" priority="82572" stopIfTrue="1" operator="greaterThanOrEqual">
      <formula>0.5</formula>
    </cfRule>
  </conditionalFormatting>
  <conditionalFormatting sqref="AN28">
    <cfRule type="cellIs" dxfId="40537" priority="82573" stopIfTrue="1" operator="equal">
      <formula>-1</formula>
    </cfRule>
  </conditionalFormatting>
  <conditionalFormatting sqref="AN28">
    <cfRule type="cellIs" dxfId="40536" priority="82574" stopIfTrue="1" operator="lessThan">
      <formula>0.5</formula>
    </cfRule>
  </conditionalFormatting>
  <conditionalFormatting sqref="AN28">
    <cfRule type="cellIs" dxfId="40535" priority="82575" stopIfTrue="1" operator="greaterThanOrEqual">
      <formula>0.5</formula>
    </cfRule>
  </conditionalFormatting>
  <conditionalFormatting sqref="AN29">
    <cfRule type="cellIs" dxfId="40534" priority="82576" stopIfTrue="1" operator="equal">
      <formula>-1</formula>
    </cfRule>
  </conditionalFormatting>
  <conditionalFormatting sqref="AN29">
    <cfRule type="cellIs" dxfId="40533" priority="82577" stopIfTrue="1" operator="lessThan">
      <formula>0.5</formula>
    </cfRule>
  </conditionalFormatting>
  <conditionalFormatting sqref="AN29">
    <cfRule type="cellIs" dxfId="40532" priority="82578" stopIfTrue="1" operator="greaterThanOrEqual">
      <formula>0.5</formula>
    </cfRule>
  </conditionalFormatting>
  <conditionalFormatting sqref="AN30">
    <cfRule type="cellIs" dxfId="40531" priority="82579" stopIfTrue="1" operator="equal">
      <formula>-1</formula>
    </cfRule>
  </conditionalFormatting>
  <conditionalFormatting sqref="AN30">
    <cfRule type="cellIs" dxfId="40530" priority="82580" stopIfTrue="1" operator="lessThan">
      <formula>0.5</formula>
    </cfRule>
  </conditionalFormatting>
  <conditionalFormatting sqref="AN30">
    <cfRule type="cellIs" dxfId="40529" priority="82581" stopIfTrue="1" operator="greaterThanOrEqual">
      <formula>0.5</formula>
    </cfRule>
  </conditionalFormatting>
  <conditionalFormatting sqref="AN31">
    <cfRule type="cellIs" dxfId="40528" priority="82582" stopIfTrue="1" operator="equal">
      <formula>-1</formula>
    </cfRule>
  </conditionalFormatting>
  <conditionalFormatting sqref="AN31">
    <cfRule type="cellIs" dxfId="40527" priority="82583" stopIfTrue="1" operator="lessThan">
      <formula>0.5</formula>
    </cfRule>
  </conditionalFormatting>
  <conditionalFormatting sqref="AN31">
    <cfRule type="cellIs" dxfId="40526" priority="82584" stopIfTrue="1" operator="greaterThanOrEqual">
      <formula>0.5</formula>
    </cfRule>
  </conditionalFormatting>
  <conditionalFormatting sqref="AN32">
    <cfRule type="cellIs" dxfId="40525" priority="82585" stopIfTrue="1" operator="equal">
      <formula>-1</formula>
    </cfRule>
  </conditionalFormatting>
  <conditionalFormatting sqref="AN32">
    <cfRule type="cellIs" dxfId="40524" priority="82586" stopIfTrue="1" operator="lessThan">
      <formula>0.5</formula>
    </cfRule>
  </conditionalFormatting>
  <conditionalFormatting sqref="AN32">
    <cfRule type="cellIs" dxfId="40523" priority="82587" stopIfTrue="1" operator="greaterThanOrEqual">
      <formula>0.5</formula>
    </cfRule>
  </conditionalFormatting>
  <conditionalFormatting sqref="AN33">
    <cfRule type="cellIs" dxfId="40522" priority="82588" stopIfTrue="1" operator="equal">
      <formula>-1</formula>
    </cfRule>
  </conditionalFormatting>
  <conditionalFormatting sqref="AN33">
    <cfRule type="cellIs" dxfId="40521" priority="82589" stopIfTrue="1" operator="lessThan">
      <formula>0.5</formula>
    </cfRule>
  </conditionalFormatting>
  <conditionalFormatting sqref="AN33">
    <cfRule type="cellIs" dxfId="40520" priority="82590" stopIfTrue="1" operator="greaterThanOrEqual">
      <formula>0.5</formula>
    </cfRule>
  </conditionalFormatting>
  <conditionalFormatting sqref="AN34">
    <cfRule type="cellIs" dxfId="40519" priority="82591" stopIfTrue="1" operator="equal">
      <formula>-1</formula>
    </cfRule>
  </conditionalFormatting>
  <conditionalFormatting sqref="AN34">
    <cfRule type="cellIs" dxfId="40518" priority="82592" stopIfTrue="1" operator="lessThan">
      <formula>0.5</formula>
    </cfRule>
  </conditionalFormatting>
  <conditionalFormatting sqref="AN34">
    <cfRule type="cellIs" dxfId="40517" priority="82593" stopIfTrue="1" operator="greaterThanOrEqual">
      <formula>0.5</formula>
    </cfRule>
  </conditionalFormatting>
  <conditionalFormatting sqref="AN35">
    <cfRule type="cellIs" dxfId="40516" priority="82594" stopIfTrue="1" operator="equal">
      <formula>-1</formula>
    </cfRule>
  </conditionalFormatting>
  <conditionalFormatting sqref="AN35">
    <cfRule type="cellIs" dxfId="40515" priority="82595" stopIfTrue="1" operator="lessThan">
      <formula>0.5</formula>
    </cfRule>
  </conditionalFormatting>
  <conditionalFormatting sqref="AN35">
    <cfRule type="cellIs" dxfId="40514" priority="82596" stopIfTrue="1" operator="greaterThanOrEqual">
      <formula>0.5</formula>
    </cfRule>
  </conditionalFormatting>
  <conditionalFormatting sqref="AN36">
    <cfRule type="cellIs" dxfId="40513" priority="82597" stopIfTrue="1" operator="equal">
      <formula>-1</formula>
    </cfRule>
  </conditionalFormatting>
  <conditionalFormatting sqref="AN36">
    <cfRule type="cellIs" dxfId="40512" priority="82598" stopIfTrue="1" operator="lessThan">
      <formula>0.5</formula>
    </cfRule>
  </conditionalFormatting>
  <conditionalFormatting sqref="AN36">
    <cfRule type="cellIs" dxfId="40511" priority="82599" stopIfTrue="1" operator="greaterThanOrEqual">
      <formula>0.5</formula>
    </cfRule>
  </conditionalFormatting>
  <conditionalFormatting sqref="AN37">
    <cfRule type="cellIs" dxfId="40510" priority="82600" stopIfTrue="1" operator="equal">
      <formula>-1</formula>
    </cfRule>
  </conditionalFormatting>
  <conditionalFormatting sqref="AN37">
    <cfRule type="cellIs" dxfId="40509" priority="82601" stopIfTrue="1" operator="lessThan">
      <formula>0.5</formula>
    </cfRule>
  </conditionalFormatting>
  <conditionalFormatting sqref="AN37">
    <cfRule type="cellIs" dxfId="40508" priority="82602" stopIfTrue="1" operator="greaterThanOrEqual">
      <formula>0.5</formula>
    </cfRule>
  </conditionalFormatting>
  <conditionalFormatting sqref="AP17">
    <cfRule type="cellIs" dxfId="40507" priority="82603" stopIfTrue="1" operator="equal">
      <formula>-1</formula>
    </cfRule>
  </conditionalFormatting>
  <conditionalFormatting sqref="AP17">
    <cfRule type="cellIs" dxfId="40506" priority="82604" stopIfTrue="1" operator="lessThan">
      <formula>0.5</formula>
    </cfRule>
  </conditionalFormatting>
  <conditionalFormatting sqref="AP17">
    <cfRule type="cellIs" dxfId="40505" priority="82605" stopIfTrue="1" operator="greaterThanOrEqual">
      <formula>0.5</formula>
    </cfRule>
  </conditionalFormatting>
  <conditionalFormatting sqref="AP18">
    <cfRule type="cellIs" dxfId="40504" priority="82606" stopIfTrue="1" operator="equal">
      <formula>-1</formula>
    </cfRule>
  </conditionalFormatting>
  <conditionalFormatting sqref="AP18">
    <cfRule type="cellIs" dxfId="40503" priority="82607" stopIfTrue="1" operator="lessThan">
      <formula>0.5</formula>
    </cfRule>
  </conditionalFormatting>
  <conditionalFormatting sqref="AP18">
    <cfRule type="cellIs" dxfId="40502" priority="82608" stopIfTrue="1" operator="greaterThanOrEqual">
      <formula>0.5</formula>
    </cfRule>
  </conditionalFormatting>
  <conditionalFormatting sqref="AP19">
    <cfRule type="cellIs" dxfId="40501" priority="82609" stopIfTrue="1" operator="equal">
      <formula>-1</formula>
    </cfRule>
  </conditionalFormatting>
  <conditionalFormatting sqref="AP19">
    <cfRule type="cellIs" dxfId="40500" priority="82610" stopIfTrue="1" operator="lessThan">
      <formula>0.5</formula>
    </cfRule>
  </conditionalFormatting>
  <conditionalFormatting sqref="AP19">
    <cfRule type="cellIs" dxfId="40499" priority="82611" stopIfTrue="1" operator="greaterThanOrEqual">
      <formula>0.5</formula>
    </cfRule>
  </conditionalFormatting>
  <conditionalFormatting sqref="AP20">
    <cfRule type="cellIs" dxfId="40498" priority="82612" stopIfTrue="1" operator="equal">
      <formula>-1</formula>
    </cfRule>
  </conditionalFormatting>
  <conditionalFormatting sqref="AP20">
    <cfRule type="cellIs" dxfId="40497" priority="82613" stopIfTrue="1" operator="lessThan">
      <formula>0.5</formula>
    </cfRule>
  </conditionalFormatting>
  <conditionalFormatting sqref="AP20">
    <cfRule type="cellIs" dxfId="40496" priority="82614" stopIfTrue="1" operator="greaterThanOrEqual">
      <formula>0.5</formula>
    </cfRule>
  </conditionalFormatting>
  <conditionalFormatting sqref="AP21">
    <cfRule type="cellIs" dxfId="40495" priority="82615" stopIfTrue="1" operator="equal">
      <formula>-1</formula>
    </cfRule>
  </conditionalFormatting>
  <conditionalFormatting sqref="AP21">
    <cfRule type="cellIs" dxfId="40494" priority="82616" stopIfTrue="1" operator="lessThan">
      <formula>0.5</formula>
    </cfRule>
  </conditionalFormatting>
  <conditionalFormatting sqref="AP21">
    <cfRule type="cellIs" dxfId="40493" priority="82617" stopIfTrue="1" operator="greaterThanOrEqual">
      <formula>0.5</formula>
    </cfRule>
  </conditionalFormatting>
  <conditionalFormatting sqref="AP22">
    <cfRule type="cellIs" dxfId="40492" priority="82618" stopIfTrue="1" operator="equal">
      <formula>-1</formula>
    </cfRule>
  </conditionalFormatting>
  <conditionalFormatting sqref="AP22">
    <cfRule type="cellIs" dxfId="40491" priority="82619" stopIfTrue="1" operator="lessThan">
      <formula>0.5</formula>
    </cfRule>
  </conditionalFormatting>
  <conditionalFormatting sqref="AP22">
    <cfRule type="cellIs" dxfId="40490" priority="82620" stopIfTrue="1" operator="greaterThanOrEqual">
      <formula>0.5</formula>
    </cfRule>
  </conditionalFormatting>
  <conditionalFormatting sqref="AP23">
    <cfRule type="cellIs" dxfId="40489" priority="82621" stopIfTrue="1" operator="equal">
      <formula>-1</formula>
    </cfRule>
  </conditionalFormatting>
  <conditionalFormatting sqref="AP23">
    <cfRule type="cellIs" dxfId="40488" priority="82622" stopIfTrue="1" operator="lessThan">
      <formula>0.5</formula>
    </cfRule>
  </conditionalFormatting>
  <conditionalFormatting sqref="AP23">
    <cfRule type="cellIs" dxfId="40487" priority="82623" stopIfTrue="1" operator="greaterThanOrEqual">
      <formula>0.5</formula>
    </cfRule>
  </conditionalFormatting>
  <conditionalFormatting sqref="AP24">
    <cfRule type="cellIs" dxfId="40486" priority="82624" stopIfTrue="1" operator="equal">
      <formula>-1</formula>
    </cfRule>
  </conditionalFormatting>
  <conditionalFormatting sqref="AP24">
    <cfRule type="cellIs" dxfId="40485" priority="82625" stopIfTrue="1" operator="lessThan">
      <formula>0.5</formula>
    </cfRule>
  </conditionalFormatting>
  <conditionalFormatting sqref="AP24">
    <cfRule type="cellIs" dxfId="40484" priority="82626" stopIfTrue="1" operator="greaterThanOrEqual">
      <formula>0.5</formula>
    </cfRule>
  </conditionalFormatting>
  <conditionalFormatting sqref="AP25">
    <cfRule type="cellIs" dxfId="40483" priority="82627" stopIfTrue="1" operator="equal">
      <formula>-1</formula>
    </cfRule>
  </conditionalFormatting>
  <conditionalFormatting sqref="AP25">
    <cfRule type="cellIs" dxfId="40482" priority="82628" stopIfTrue="1" operator="lessThan">
      <formula>0.5</formula>
    </cfRule>
  </conditionalFormatting>
  <conditionalFormatting sqref="AP25">
    <cfRule type="cellIs" dxfId="40481" priority="82629" stopIfTrue="1" operator="greaterThanOrEqual">
      <formula>0.5</formula>
    </cfRule>
  </conditionalFormatting>
  <conditionalFormatting sqref="AP26">
    <cfRule type="cellIs" dxfId="40480" priority="82630" stopIfTrue="1" operator="equal">
      <formula>-1</formula>
    </cfRule>
  </conditionalFormatting>
  <conditionalFormatting sqref="AP26">
    <cfRule type="cellIs" dxfId="40479" priority="82631" stopIfTrue="1" operator="lessThan">
      <formula>0.5</formula>
    </cfRule>
  </conditionalFormatting>
  <conditionalFormatting sqref="AP26">
    <cfRule type="cellIs" dxfId="40478" priority="82632" stopIfTrue="1" operator="greaterThanOrEqual">
      <formula>0.5</formula>
    </cfRule>
  </conditionalFormatting>
  <conditionalFormatting sqref="AP27">
    <cfRule type="cellIs" dxfId="40477" priority="82633" stopIfTrue="1" operator="equal">
      <formula>-1</formula>
    </cfRule>
  </conditionalFormatting>
  <conditionalFormatting sqref="AP27">
    <cfRule type="cellIs" dxfId="40476" priority="82634" stopIfTrue="1" operator="lessThan">
      <formula>0.5</formula>
    </cfRule>
  </conditionalFormatting>
  <conditionalFormatting sqref="AP27">
    <cfRule type="cellIs" dxfId="40475" priority="82635" stopIfTrue="1" operator="greaterThanOrEqual">
      <formula>0.5</formula>
    </cfRule>
  </conditionalFormatting>
  <conditionalFormatting sqref="AP28">
    <cfRule type="cellIs" dxfId="40474" priority="82636" stopIfTrue="1" operator="equal">
      <formula>-1</formula>
    </cfRule>
  </conditionalFormatting>
  <conditionalFormatting sqref="AP28">
    <cfRule type="cellIs" dxfId="40473" priority="82637" stopIfTrue="1" operator="lessThan">
      <formula>0.5</formula>
    </cfRule>
  </conditionalFormatting>
  <conditionalFormatting sqref="AP28">
    <cfRule type="cellIs" dxfId="40472" priority="82638" stopIfTrue="1" operator="greaterThanOrEqual">
      <formula>0.5</formula>
    </cfRule>
  </conditionalFormatting>
  <conditionalFormatting sqref="AP29">
    <cfRule type="cellIs" dxfId="40471" priority="82639" stopIfTrue="1" operator="equal">
      <formula>-1</formula>
    </cfRule>
  </conditionalFormatting>
  <conditionalFormatting sqref="AP29">
    <cfRule type="cellIs" dxfId="40470" priority="82640" stopIfTrue="1" operator="lessThan">
      <formula>0.5</formula>
    </cfRule>
  </conditionalFormatting>
  <conditionalFormatting sqref="AP29">
    <cfRule type="cellIs" dxfId="40469" priority="82641" stopIfTrue="1" operator="greaterThanOrEqual">
      <formula>0.5</formula>
    </cfRule>
  </conditionalFormatting>
  <conditionalFormatting sqref="AP30">
    <cfRule type="cellIs" dxfId="40468" priority="82642" stopIfTrue="1" operator="equal">
      <formula>-1</formula>
    </cfRule>
  </conditionalFormatting>
  <conditionalFormatting sqref="AP30">
    <cfRule type="cellIs" dxfId="40467" priority="82643" stopIfTrue="1" operator="lessThan">
      <formula>0.5</formula>
    </cfRule>
  </conditionalFormatting>
  <conditionalFormatting sqref="AP30">
    <cfRule type="cellIs" dxfId="40466" priority="82644" stopIfTrue="1" operator="greaterThanOrEqual">
      <formula>0.5</formula>
    </cfRule>
  </conditionalFormatting>
  <conditionalFormatting sqref="AP31">
    <cfRule type="cellIs" dxfId="40465" priority="82645" stopIfTrue="1" operator="equal">
      <formula>-1</formula>
    </cfRule>
  </conditionalFormatting>
  <conditionalFormatting sqref="AP31">
    <cfRule type="cellIs" dxfId="40464" priority="82646" stopIfTrue="1" operator="lessThan">
      <formula>0.5</formula>
    </cfRule>
  </conditionalFormatting>
  <conditionalFormatting sqref="AP31">
    <cfRule type="cellIs" dxfId="40463" priority="82647" stopIfTrue="1" operator="greaterThanOrEqual">
      <formula>0.5</formula>
    </cfRule>
  </conditionalFormatting>
  <conditionalFormatting sqref="AP32">
    <cfRule type="cellIs" dxfId="40462" priority="82648" stopIfTrue="1" operator="equal">
      <formula>-1</formula>
    </cfRule>
  </conditionalFormatting>
  <conditionalFormatting sqref="AP32">
    <cfRule type="cellIs" dxfId="40461" priority="82649" stopIfTrue="1" operator="lessThan">
      <formula>0.5</formula>
    </cfRule>
  </conditionalFormatting>
  <conditionalFormatting sqref="AP32">
    <cfRule type="cellIs" dxfId="40460" priority="82650" stopIfTrue="1" operator="greaterThanOrEqual">
      <formula>0.5</formula>
    </cfRule>
  </conditionalFormatting>
  <conditionalFormatting sqref="AP33">
    <cfRule type="cellIs" dxfId="40459" priority="82651" stopIfTrue="1" operator="equal">
      <formula>-1</formula>
    </cfRule>
  </conditionalFormatting>
  <conditionalFormatting sqref="AP33">
    <cfRule type="cellIs" dxfId="40458" priority="82652" stopIfTrue="1" operator="lessThan">
      <formula>0.5</formula>
    </cfRule>
  </conditionalFormatting>
  <conditionalFormatting sqref="AP33">
    <cfRule type="cellIs" dxfId="40457" priority="82653" stopIfTrue="1" operator="greaterThanOrEqual">
      <formula>0.5</formula>
    </cfRule>
  </conditionalFormatting>
  <conditionalFormatting sqref="AP34">
    <cfRule type="cellIs" dxfId="40456" priority="82654" stopIfTrue="1" operator="equal">
      <formula>-1</formula>
    </cfRule>
  </conditionalFormatting>
  <conditionalFormatting sqref="AP34">
    <cfRule type="cellIs" dxfId="40455" priority="82655" stopIfTrue="1" operator="lessThan">
      <formula>0.5</formula>
    </cfRule>
  </conditionalFormatting>
  <conditionalFormatting sqref="AP34">
    <cfRule type="cellIs" dxfId="40454" priority="82656" stopIfTrue="1" operator="greaterThanOrEqual">
      <formula>0.5</formula>
    </cfRule>
  </conditionalFormatting>
  <conditionalFormatting sqref="AP35">
    <cfRule type="cellIs" dxfId="40453" priority="82657" stopIfTrue="1" operator="equal">
      <formula>-1</formula>
    </cfRule>
  </conditionalFormatting>
  <conditionalFormatting sqref="AP35">
    <cfRule type="cellIs" dxfId="40452" priority="82658" stopIfTrue="1" operator="lessThan">
      <formula>0.5</formula>
    </cfRule>
  </conditionalFormatting>
  <conditionalFormatting sqref="AP35">
    <cfRule type="cellIs" dxfId="40451" priority="82659" stopIfTrue="1" operator="greaterThanOrEqual">
      <formula>0.5</formula>
    </cfRule>
  </conditionalFormatting>
  <conditionalFormatting sqref="AP36">
    <cfRule type="cellIs" dxfId="40450" priority="82660" stopIfTrue="1" operator="equal">
      <formula>-1</formula>
    </cfRule>
  </conditionalFormatting>
  <conditionalFormatting sqref="AP36">
    <cfRule type="cellIs" dxfId="40449" priority="82661" stopIfTrue="1" operator="lessThan">
      <formula>0.5</formula>
    </cfRule>
  </conditionalFormatting>
  <conditionalFormatting sqref="AP36">
    <cfRule type="cellIs" dxfId="40448" priority="82662" stopIfTrue="1" operator="greaterThanOrEqual">
      <formula>0.5</formula>
    </cfRule>
  </conditionalFormatting>
  <conditionalFormatting sqref="AP37">
    <cfRule type="cellIs" dxfId="40447" priority="82663" stopIfTrue="1" operator="equal">
      <formula>-1</formula>
    </cfRule>
  </conditionalFormatting>
  <conditionalFormatting sqref="AP37">
    <cfRule type="cellIs" dxfId="40446" priority="82664" stopIfTrue="1" operator="lessThan">
      <formula>0.5</formula>
    </cfRule>
  </conditionalFormatting>
  <conditionalFormatting sqref="AP37">
    <cfRule type="cellIs" dxfId="40445" priority="82665" stopIfTrue="1" operator="greaterThanOrEqual">
      <formula>0.5</formula>
    </cfRule>
  </conditionalFormatting>
  <conditionalFormatting sqref="AR17">
    <cfRule type="cellIs" dxfId="40444" priority="82666" stopIfTrue="1" operator="equal">
      <formula>-1</formula>
    </cfRule>
  </conditionalFormatting>
  <conditionalFormatting sqref="AR17">
    <cfRule type="cellIs" dxfId="40443" priority="82667" stopIfTrue="1" operator="lessThan">
      <formula>0.5</formula>
    </cfRule>
  </conditionalFormatting>
  <conditionalFormatting sqref="AR17">
    <cfRule type="cellIs" dxfId="40442" priority="82668" stopIfTrue="1" operator="greaterThanOrEqual">
      <formula>0.5</formula>
    </cfRule>
  </conditionalFormatting>
  <conditionalFormatting sqref="AR18">
    <cfRule type="cellIs" dxfId="40441" priority="82669" stopIfTrue="1" operator="equal">
      <formula>-1</formula>
    </cfRule>
  </conditionalFormatting>
  <conditionalFormatting sqref="AR18">
    <cfRule type="cellIs" dxfId="40440" priority="82670" stopIfTrue="1" operator="lessThan">
      <formula>0.5</formula>
    </cfRule>
  </conditionalFormatting>
  <conditionalFormatting sqref="AR18">
    <cfRule type="cellIs" dxfId="40439" priority="82671" stopIfTrue="1" operator="greaterThanOrEqual">
      <formula>0.5</formula>
    </cfRule>
  </conditionalFormatting>
  <conditionalFormatting sqref="AR19">
    <cfRule type="cellIs" dxfId="40438" priority="82672" stopIfTrue="1" operator="equal">
      <formula>-1</formula>
    </cfRule>
  </conditionalFormatting>
  <conditionalFormatting sqref="AR19">
    <cfRule type="cellIs" dxfId="40437" priority="82673" stopIfTrue="1" operator="lessThan">
      <formula>0.5</formula>
    </cfRule>
  </conditionalFormatting>
  <conditionalFormatting sqref="AR19">
    <cfRule type="cellIs" dxfId="40436" priority="82674" stopIfTrue="1" operator="greaterThanOrEqual">
      <formula>0.5</formula>
    </cfRule>
  </conditionalFormatting>
  <conditionalFormatting sqref="AR20">
    <cfRule type="cellIs" dxfId="40435" priority="82675" stopIfTrue="1" operator="equal">
      <formula>-1</formula>
    </cfRule>
  </conditionalFormatting>
  <conditionalFormatting sqref="AR20">
    <cfRule type="cellIs" dxfId="40434" priority="82676" stopIfTrue="1" operator="lessThan">
      <formula>0.5</formula>
    </cfRule>
  </conditionalFormatting>
  <conditionalFormatting sqref="AR20">
    <cfRule type="cellIs" dxfId="40433" priority="82677" stopIfTrue="1" operator="greaterThanOrEqual">
      <formula>0.5</formula>
    </cfRule>
  </conditionalFormatting>
  <conditionalFormatting sqref="AR21">
    <cfRule type="cellIs" dxfId="40432" priority="82678" stopIfTrue="1" operator="equal">
      <formula>-1</formula>
    </cfRule>
  </conditionalFormatting>
  <conditionalFormatting sqref="AR21">
    <cfRule type="cellIs" dxfId="40431" priority="82679" stopIfTrue="1" operator="lessThan">
      <formula>0.5</formula>
    </cfRule>
  </conditionalFormatting>
  <conditionalFormatting sqref="AR21">
    <cfRule type="cellIs" dxfId="40430" priority="82680" stopIfTrue="1" operator="greaterThanOrEqual">
      <formula>0.5</formula>
    </cfRule>
  </conditionalFormatting>
  <conditionalFormatting sqref="AR22">
    <cfRule type="cellIs" dxfId="40429" priority="82681" stopIfTrue="1" operator="equal">
      <formula>-1</formula>
    </cfRule>
  </conditionalFormatting>
  <conditionalFormatting sqref="AR22">
    <cfRule type="cellIs" dxfId="40428" priority="82682" stopIfTrue="1" operator="lessThan">
      <formula>0.5</formula>
    </cfRule>
  </conditionalFormatting>
  <conditionalFormatting sqref="AR22">
    <cfRule type="cellIs" dxfId="40427" priority="82683" stopIfTrue="1" operator="greaterThanOrEqual">
      <formula>0.5</formula>
    </cfRule>
  </conditionalFormatting>
  <conditionalFormatting sqref="AR23">
    <cfRule type="cellIs" dxfId="40426" priority="82684" stopIfTrue="1" operator="equal">
      <formula>-1</formula>
    </cfRule>
  </conditionalFormatting>
  <conditionalFormatting sqref="AR23">
    <cfRule type="cellIs" dxfId="40425" priority="82685" stopIfTrue="1" operator="lessThan">
      <formula>0.5</formula>
    </cfRule>
  </conditionalFormatting>
  <conditionalFormatting sqref="AR23">
    <cfRule type="cellIs" dxfId="40424" priority="82686" stopIfTrue="1" operator="greaterThanOrEqual">
      <formula>0.5</formula>
    </cfRule>
  </conditionalFormatting>
  <conditionalFormatting sqref="AR24">
    <cfRule type="cellIs" dxfId="40423" priority="82687" stopIfTrue="1" operator="equal">
      <formula>-1</formula>
    </cfRule>
  </conditionalFormatting>
  <conditionalFormatting sqref="AR24">
    <cfRule type="cellIs" dxfId="40422" priority="82688" stopIfTrue="1" operator="lessThan">
      <formula>0.5</formula>
    </cfRule>
  </conditionalFormatting>
  <conditionalFormatting sqref="AR24">
    <cfRule type="cellIs" dxfId="40421" priority="82689" stopIfTrue="1" operator="greaterThanOrEqual">
      <formula>0.5</formula>
    </cfRule>
  </conditionalFormatting>
  <conditionalFormatting sqref="AR25">
    <cfRule type="cellIs" dxfId="40420" priority="82690" stopIfTrue="1" operator="equal">
      <formula>-1</formula>
    </cfRule>
  </conditionalFormatting>
  <conditionalFormatting sqref="AR25">
    <cfRule type="cellIs" dxfId="40419" priority="82691" stopIfTrue="1" operator="lessThan">
      <formula>0.5</formula>
    </cfRule>
  </conditionalFormatting>
  <conditionalFormatting sqref="AR25">
    <cfRule type="cellIs" dxfId="40418" priority="82692" stopIfTrue="1" operator="greaterThanOrEqual">
      <formula>0.5</formula>
    </cfRule>
  </conditionalFormatting>
  <conditionalFormatting sqref="AR26">
    <cfRule type="cellIs" dxfId="40417" priority="82693" stopIfTrue="1" operator="equal">
      <formula>-1</formula>
    </cfRule>
  </conditionalFormatting>
  <conditionalFormatting sqref="AR26">
    <cfRule type="cellIs" dxfId="40416" priority="82694" stopIfTrue="1" operator="lessThan">
      <formula>0.5</formula>
    </cfRule>
  </conditionalFormatting>
  <conditionalFormatting sqref="AR26">
    <cfRule type="cellIs" dxfId="40415" priority="82695" stopIfTrue="1" operator="greaterThanOrEqual">
      <formula>0.5</formula>
    </cfRule>
  </conditionalFormatting>
  <conditionalFormatting sqref="AR27">
    <cfRule type="cellIs" dxfId="40414" priority="82696" stopIfTrue="1" operator="equal">
      <formula>-1</formula>
    </cfRule>
  </conditionalFormatting>
  <conditionalFormatting sqref="AR27">
    <cfRule type="cellIs" dxfId="40413" priority="82697" stopIfTrue="1" operator="lessThan">
      <formula>0.5</formula>
    </cfRule>
  </conditionalFormatting>
  <conditionalFormatting sqref="AR27">
    <cfRule type="cellIs" dxfId="40412" priority="82698" stopIfTrue="1" operator="greaterThanOrEqual">
      <formula>0.5</formula>
    </cfRule>
  </conditionalFormatting>
  <conditionalFormatting sqref="AR28">
    <cfRule type="cellIs" dxfId="40411" priority="82699" stopIfTrue="1" operator="equal">
      <formula>-1</formula>
    </cfRule>
  </conditionalFormatting>
  <conditionalFormatting sqref="AR28">
    <cfRule type="cellIs" dxfId="40410" priority="82700" stopIfTrue="1" operator="lessThan">
      <formula>0.5</formula>
    </cfRule>
  </conditionalFormatting>
  <conditionalFormatting sqref="AR28">
    <cfRule type="cellIs" dxfId="40409" priority="82701" stopIfTrue="1" operator="greaterThanOrEqual">
      <formula>0.5</formula>
    </cfRule>
  </conditionalFormatting>
  <conditionalFormatting sqref="AR29">
    <cfRule type="cellIs" dxfId="40408" priority="82702" stopIfTrue="1" operator="equal">
      <formula>-1</formula>
    </cfRule>
  </conditionalFormatting>
  <conditionalFormatting sqref="AR29">
    <cfRule type="cellIs" dxfId="40407" priority="82703" stopIfTrue="1" operator="lessThan">
      <formula>0.5</formula>
    </cfRule>
  </conditionalFormatting>
  <conditionalFormatting sqref="AR29">
    <cfRule type="cellIs" dxfId="40406" priority="82704" stopIfTrue="1" operator="greaterThanOrEqual">
      <formula>0.5</formula>
    </cfRule>
  </conditionalFormatting>
  <conditionalFormatting sqref="AR30">
    <cfRule type="cellIs" dxfId="40405" priority="82705" stopIfTrue="1" operator="equal">
      <formula>-1</formula>
    </cfRule>
  </conditionalFormatting>
  <conditionalFormatting sqref="AR30">
    <cfRule type="cellIs" dxfId="40404" priority="82706" stopIfTrue="1" operator="lessThan">
      <formula>0.5</formula>
    </cfRule>
  </conditionalFormatting>
  <conditionalFormatting sqref="AR30">
    <cfRule type="cellIs" dxfId="40403" priority="82707" stopIfTrue="1" operator="greaterThanOrEqual">
      <formula>0.5</formula>
    </cfRule>
  </conditionalFormatting>
  <conditionalFormatting sqref="AR31">
    <cfRule type="cellIs" dxfId="40402" priority="82708" stopIfTrue="1" operator="equal">
      <formula>-1</formula>
    </cfRule>
  </conditionalFormatting>
  <conditionalFormatting sqref="AR31">
    <cfRule type="cellIs" dxfId="40401" priority="82709" stopIfTrue="1" operator="lessThan">
      <formula>0.5</formula>
    </cfRule>
  </conditionalFormatting>
  <conditionalFormatting sqref="AR31">
    <cfRule type="cellIs" dxfId="40400" priority="82710" stopIfTrue="1" operator="greaterThanOrEqual">
      <formula>0.5</formula>
    </cfRule>
  </conditionalFormatting>
  <conditionalFormatting sqref="AR32">
    <cfRule type="cellIs" dxfId="40399" priority="82711" stopIfTrue="1" operator="equal">
      <formula>-1</formula>
    </cfRule>
  </conditionalFormatting>
  <conditionalFormatting sqref="AR32">
    <cfRule type="cellIs" dxfId="40398" priority="82712" stopIfTrue="1" operator="lessThan">
      <formula>0.5</formula>
    </cfRule>
  </conditionalFormatting>
  <conditionalFormatting sqref="AR32">
    <cfRule type="cellIs" dxfId="40397" priority="82713" stopIfTrue="1" operator="greaterThanOrEqual">
      <formula>0.5</formula>
    </cfRule>
  </conditionalFormatting>
  <conditionalFormatting sqref="AR33">
    <cfRule type="cellIs" dxfId="40396" priority="82714" stopIfTrue="1" operator="equal">
      <formula>-1</formula>
    </cfRule>
  </conditionalFormatting>
  <conditionalFormatting sqref="AR33">
    <cfRule type="cellIs" dxfId="40395" priority="82715" stopIfTrue="1" operator="lessThan">
      <formula>0.5</formula>
    </cfRule>
  </conditionalFormatting>
  <conditionalFormatting sqref="AR33">
    <cfRule type="cellIs" dxfId="40394" priority="82716" stopIfTrue="1" operator="greaterThanOrEqual">
      <formula>0.5</formula>
    </cfRule>
  </conditionalFormatting>
  <conditionalFormatting sqref="AR34">
    <cfRule type="cellIs" dxfId="40393" priority="82717" stopIfTrue="1" operator="equal">
      <formula>-1</formula>
    </cfRule>
  </conditionalFormatting>
  <conditionalFormatting sqref="AR34">
    <cfRule type="cellIs" dxfId="40392" priority="82718" stopIfTrue="1" operator="lessThan">
      <formula>0.5</formula>
    </cfRule>
  </conditionalFormatting>
  <conditionalFormatting sqref="AR34">
    <cfRule type="cellIs" dxfId="40391" priority="82719" stopIfTrue="1" operator="greaterThanOrEqual">
      <formula>0.5</formula>
    </cfRule>
  </conditionalFormatting>
  <conditionalFormatting sqref="AR35">
    <cfRule type="cellIs" dxfId="40390" priority="82720" stopIfTrue="1" operator="equal">
      <formula>-1</formula>
    </cfRule>
  </conditionalFormatting>
  <conditionalFormatting sqref="AR35">
    <cfRule type="cellIs" dxfId="40389" priority="82721" stopIfTrue="1" operator="lessThan">
      <formula>0.5</formula>
    </cfRule>
  </conditionalFormatting>
  <conditionalFormatting sqref="AR35">
    <cfRule type="cellIs" dxfId="40388" priority="82722" stopIfTrue="1" operator="greaterThanOrEqual">
      <formula>0.5</formula>
    </cfRule>
  </conditionalFormatting>
  <conditionalFormatting sqref="AR36">
    <cfRule type="cellIs" dxfId="40387" priority="82723" stopIfTrue="1" operator="equal">
      <formula>-1</formula>
    </cfRule>
  </conditionalFormatting>
  <conditionalFormatting sqref="AR36">
    <cfRule type="cellIs" dxfId="40386" priority="82724" stopIfTrue="1" operator="lessThan">
      <formula>0.5</formula>
    </cfRule>
  </conditionalFormatting>
  <conditionalFormatting sqref="AR36">
    <cfRule type="cellIs" dxfId="40385" priority="82725" stopIfTrue="1" operator="greaterThanOrEqual">
      <formula>0.5</formula>
    </cfRule>
  </conditionalFormatting>
  <conditionalFormatting sqref="AR37">
    <cfRule type="cellIs" dxfId="40384" priority="82726" stopIfTrue="1" operator="equal">
      <formula>-1</formula>
    </cfRule>
  </conditionalFormatting>
  <conditionalFormatting sqref="AR37">
    <cfRule type="cellIs" dxfId="40383" priority="82727" stopIfTrue="1" operator="lessThan">
      <formula>0.5</formula>
    </cfRule>
  </conditionalFormatting>
  <conditionalFormatting sqref="AR37">
    <cfRule type="cellIs" dxfId="40382" priority="82728" stopIfTrue="1" operator="greaterThanOrEqual">
      <formula>0.5</formula>
    </cfRule>
  </conditionalFormatting>
  <conditionalFormatting sqref="AT17">
    <cfRule type="cellIs" dxfId="40381" priority="82729" stopIfTrue="1" operator="equal">
      <formula>-1</formula>
    </cfRule>
  </conditionalFormatting>
  <conditionalFormatting sqref="AT17">
    <cfRule type="cellIs" dxfId="40380" priority="82730" stopIfTrue="1" operator="lessThan">
      <formula>0.5</formula>
    </cfRule>
  </conditionalFormatting>
  <conditionalFormatting sqref="AT17">
    <cfRule type="cellIs" dxfId="40379" priority="82731" stopIfTrue="1" operator="greaterThanOrEqual">
      <formula>0.5</formula>
    </cfRule>
  </conditionalFormatting>
  <conditionalFormatting sqref="AT18">
    <cfRule type="cellIs" dxfId="40378" priority="82732" stopIfTrue="1" operator="equal">
      <formula>-1</formula>
    </cfRule>
  </conditionalFormatting>
  <conditionalFormatting sqref="AT18">
    <cfRule type="cellIs" dxfId="40377" priority="82733" stopIfTrue="1" operator="lessThan">
      <formula>0.5</formula>
    </cfRule>
  </conditionalFormatting>
  <conditionalFormatting sqref="AT18">
    <cfRule type="cellIs" dxfId="40376" priority="82734" stopIfTrue="1" operator="greaterThanOrEqual">
      <formula>0.5</formula>
    </cfRule>
  </conditionalFormatting>
  <conditionalFormatting sqref="AT19">
    <cfRule type="cellIs" dxfId="40375" priority="82735" stopIfTrue="1" operator="equal">
      <formula>-1</formula>
    </cfRule>
  </conditionalFormatting>
  <conditionalFormatting sqref="AT19">
    <cfRule type="cellIs" dxfId="40374" priority="82736" stopIfTrue="1" operator="lessThan">
      <formula>0.5</formula>
    </cfRule>
  </conditionalFormatting>
  <conditionalFormatting sqref="AT19">
    <cfRule type="cellIs" dxfId="40373" priority="82737" stopIfTrue="1" operator="greaterThanOrEqual">
      <formula>0.5</formula>
    </cfRule>
  </conditionalFormatting>
  <conditionalFormatting sqref="AT20">
    <cfRule type="cellIs" dxfId="40372" priority="82738" stopIfTrue="1" operator="equal">
      <formula>-1</formula>
    </cfRule>
  </conditionalFormatting>
  <conditionalFormatting sqref="AT20">
    <cfRule type="cellIs" dxfId="40371" priority="82739" stopIfTrue="1" operator="lessThan">
      <formula>0.5</formula>
    </cfRule>
  </conditionalFormatting>
  <conditionalFormatting sqref="AT20">
    <cfRule type="cellIs" dxfId="40370" priority="82740" stopIfTrue="1" operator="greaterThanOrEqual">
      <formula>0.5</formula>
    </cfRule>
  </conditionalFormatting>
  <conditionalFormatting sqref="AT21">
    <cfRule type="cellIs" dxfId="40369" priority="82741" stopIfTrue="1" operator="equal">
      <formula>-1</formula>
    </cfRule>
  </conditionalFormatting>
  <conditionalFormatting sqref="AT21">
    <cfRule type="cellIs" dxfId="40368" priority="82742" stopIfTrue="1" operator="lessThan">
      <formula>0.5</formula>
    </cfRule>
  </conditionalFormatting>
  <conditionalFormatting sqref="AT21">
    <cfRule type="cellIs" dxfId="40367" priority="82743" stopIfTrue="1" operator="greaterThanOrEqual">
      <formula>0.5</formula>
    </cfRule>
  </conditionalFormatting>
  <conditionalFormatting sqref="AT22">
    <cfRule type="cellIs" dxfId="40366" priority="82744" stopIfTrue="1" operator="equal">
      <formula>-1</formula>
    </cfRule>
  </conditionalFormatting>
  <conditionalFormatting sqref="AT22">
    <cfRule type="cellIs" dxfId="40365" priority="82745" stopIfTrue="1" operator="lessThan">
      <formula>0.5</formula>
    </cfRule>
  </conditionalFormatting>
  <conditionalFormatting sqref="AT22">
    <cfRule type="cellIs" dxfId="40364" priority="82746" stopIfTrue="1" operator="greaterThanOrEqual">
      <formula>0.5</formula>
    </cfRule>
  </conditionalFormatting>
  <conditionalFormatting sqref="AT23">
    <cfRule type="cellIs" dxfId="40363" priority="82747" stopIfTrue="1" operator="equal">
      <formula>-1</formula>
    </cfRule>
  </conditionalFormatting>
  <conditionalFormatting sqref="AT23">
    <cfRule type="cellIs" dxfId="40362" priority="82748" stopIfTrue="1" operator="lessThan">
      <formula>0.5</formula>
    </cfRule>
  </conditionalFormatting>
  <conditionalFormatting sqref="AT23">
    <cfRule type="cellIs" dxfId="40361" priority="82749" stopIfTrue="1" operator="greaterThanOrEqual">
      <formula>0.5</formula>
    </cfRule>
  </conditionalFormatting>
  <conditionalFormatting sqref="AT24">
    <cfRule type="cellIs" dxfId="40360" priority="82750" stopIfTrue="1" operator="equal">
      <formula>-1</formula>
    </cfRule>
  </conditionalFormatting>
  <conditionalFormatting sqref="AT24">
    <cfRule type="cellIs" dxfId="40359" priority="82751" stopIfTrue="1" operator="lessThan">
      <formula>0.5</formula>
    </cfRule>
  </conditionalFormatting>
  <conditionalFormatting sqref="AT24">
    <cfRule type="cellIs" dxfId="40358" priority="82752" stopIfTrue="1" operator="greaterThanOrEqual">
      <formula>0.5</formula>
    </cfRule>
  </conditionalFormatting>
  <conditionalFormatting sqref="AT25">
    <cfRule type="cellIs" dxfId="40357" priority="82753" stopIfTrue="1" operator="equal">
      <formula>-1</formula>
    </cfRule>
  </conditionalFormatting>
  <conditionalFormatting sqref="AT25">
    <cfRule type="cellIs" dxfId="40356" priority="82754" stopIfTrue="1" operator="lessThan">
      <formula>0.5</formula>
    </cfRule>
  </conditionalFormatting>
  <conditionalFormatting sqref="AT25">
    <cfRule type="cellIs" dxfId="40355" priority="82755" stopIfTrue="1" operator="greaterThanOrEqual">
      <formula>0.5</formula>
    </cfRule>
  </conditionalFormatting>
  <conditionalFormatting sqref="AT26">
    <cfRule type="cellIs" dxfId="40354" priority="82756" stopIfTrue="1" operator="equal">
      <formula>-1</formula>
    </cfRule>
  </conditionalFormatting>
  <conditionalFormatting sqref="AT26">
    <cfRule type="cellIs" dxfId="40353" priority="82757" stopIfTrue="1" operator="lessThan">
      <formula>0.5</formula>
    </cfRule>
  </conditionalFormatting>
  <conditionalFormatting sqref="AT26">
    <cfRule type="cellIs" dxfId="40352" priority="82758" stopIfTrue="1" operator="greaterThanOrEqual">
      <formula>0.5</formula>
    </cfRule>
  </conditionalFormatting>
  <conditionalFormatting sqref="AT27">
    <cfRule type="cellIs" dxfId="40351" priority="82759" stopIfTrue="1" operator="equal">
      <formula>-1</formula>
    </cfRule>
  </conditionalFormatting>
  <conditionalFormatting sqref="AT27">
    <cfRule type="cellIs" dxfId="40350" priority="82760" stopIfTrue="1" operator="lessThan">
      <formula>0.5</formula>
    </cfRule>
  </conditionalFormatting>
  <conditionalFormatting sqref="AT27">
    <cfRule type="cellIs" dxfId="40349" priority="82761" stopIfTrue="1" operator="greaterThanOrEqual">
      <formula>0.5</formula>
    </cfRule>
  </conditionalFormatting>
  <conditionalFormatting sqref="AT28">
    <cfRule type="cellIs" dxfId="40348" priority="82762" stopIfTrue="1" operator="equal">
      <formula>-1</formula>
    </cfRule>
  </conditionalFormatting>
  <conditionalFormatting sqref="AT28">
    <cfRule type="cellIs" dxfId="40347" priority="82763" stopIfTrue="1" operator="lessThan">
      <formula>0.5</formula>
    </cfRule>
  </conditionalFormatting>
  <conditionalFormatting sqref="AT28">
    <cfRule type="cellIs" dxfId="40346" priority="82764" stopIfTrue="1" operator="greaterThanOrEqual">
      <formula>0.5</formula>
    </cfRule>
  </conditionalFormatting>
  <conditionalFormatting sqref="AT29">
    <cfRule type="cellIs" dxfId="40345" priority="82765" stopIfTrue="1" operator="equal">
      <formula>-1</formula>
    </cfRule>
  </conditionalFormatting>
  <conditionalFormatting sqref="AT29">
    <cfRule type="cellIs" dxfId="40344" priority="82766" stopIfTrue="1" operator="lessThan">
      <formula>0.5</formula>
    </cfRule>
  </conditionalFormatting>
  <conditionalFormatting sqref="AT29">
    <cfRule type="cellIs" dxfId="40343" priority="82767" stopIfTrue="1" operator="greaterThanOrEqual">
      <formula>0.5</formula>
    </cfRule>
  </conditionalFormatting>
  <conditionalFormatting sqref="AT30">
    <cfRule type="cellIs" dxfId="40342" priority="82768" stopIfTrue="1" operator="equal">
      <formula>-1</formula>
    </cfRule>
  </conditionalFormatting>
  <conditionalFormatting sqref="AT30">
    <cfRule type="cellIs" dxfId="40341" priority="82769" stopIfTrue="1" operator="lessThan">
      <formula>0.5</formula>
    </cfRule>
  </conditionalFormatting>
  <conditionalFormatting sqref="AT30">
    <cfRule type="cellIs" dxfId="40340" priority="82770" stopIfTrue="1" operator="greaterThanOrEqual">
      <formula>0.5</formula>
    </cfRule>
  </conditionalFormatting>
  <conditionalFormatting sqref="AT31">
    <cfRule type="cellIs" dxfId="40339" priority="82771" stopIfTrue="1" operator="equal">
      <formula>-1</formula>
    </cfRule>
  </conditionalFormatting>
  <conditionalFormatting sqref="AT31">
    <cfRule type="cellIs" dxfId="40338" priority="82772" stopIfTrue="1" operator="lessThan">
      <formula>0.5</formula>
    </cfRule>
  </conditionalFormatting>
  <conditionalFormatting sqref="AT31">
    <cfRule type="cellIs" dxfId="40337" priority="82773" stopIfTrue="1" operator="greaterThanOrEqual">
      <formula>0.5</formula>
    </cfRule>
  </conditionalFormatting>
  <conditionalFormatting sqref="AT32">
    <cfRule type="cellIs" dxfId="40336" priority="82774" stopIfTrue="1" operator="equal">
      <formula>-1</formula>
    </cfRule>
  </conditionalFormatting>
  <conditionalFormatting sqref="AT32">
    <cfRule type="cellIs" dxfId="40335" priority="82775" stopIfTrue="1" operator="lessThan">
      <formula>0.5</formula>
    </cfRule>
  </conditionalFormatting>
  <conditionalFormatting sqref="AT32">
    <cfRule type="cellIs" dxfId="40334" priority="82776" stopIfTrue="1" operator="greaterThanOrEqual">
      <formula>0.5</formula>
    </cfRule>
  </conditionalFormatting>
  <conditionalFormatting sqref="AT33">
    <cfRule type="cellIs" dxfId="40333" priority="82777" stopIfTrue="1" operator="equal">
      <formula>-1</formula>
    </cfRule>
  </conditionalFormatting>
  <conditionalFormatting sqref="AT33">
    <cfRule type="cellIs" dxfId="40332" priority="82778" stopIfTrue="1" operator="lessThan">
      <formula>0.5</formula>
    </cfRule>
  </conditionalFormatting>
  <conditionalFormatting sqref="AT33">
    <cfRule type="cellIs" dxfId="40331" priority="82779" stopIfTrue="1" operator="greaterThanOrEqual">
      <formula>0.5</formula>
    </cfRule>
  </conditionalFormatting>
  <conditionalFormatting sqref="AT34">
    <cfRule type="cellIs" dxfId="40330" priority="82780" stopIfTrue="1" operator="equal">
      <formula>-1</formula>
    </cfRule>
  </conditionalFormatting>
  <conditionalFormatting sqref="AT34">
    <cfRule type="cellIs" dxfId="40329" priority="82781" stopIfTrue="1" operator="lessThan">
      <formula>0.5</formula>
    </cfRule>
  </conditionalFormatting>
  <conditionalFormatting sqref="AT34">
    <cfRule type="cellIs" dxfId="40328" priority="82782" stopIfTrue="1" operator="greaterThanOrEqual">
      <formula>0.5</formula>
    </cfRule>
  </conditionalFormatting>
  <conditionalFormatting sqref="AT35">
    <cfRule type="cellIs" dxfId="40327" priority="82783" stopIfTrue="1" operator="equal">
      <formula>-1</formula>
    </cfRule>
  </conditionalFormatting>
  <conditionalFormatting sqref="AT35">
    <cfRule type="cellIs" dxfId="40326" priority="82784" stopIfTrue="1" operator="lessThan">
      <formula>0.5</formula>
    </cfRule>
  </conditionalFormatting>
  <conditionalFormatting sqref="AT35">
    <cfRule type="cellIs" dxfId="40325" priority="82785" stopIfTrue="1" operator="greaterThanOrEqual">
      <formula>0.5</formula>
    </cfRule>
  </conditionalFormatting>
  <conditionalFormatting sqref="AT36">
    <cfRule type="cellIs" dxfId="40324" priority="82786" stopIfTrue="1" operator="equal">
      <formula>-1</formula>
    </cfRule>
  </conditionalFormatting>
  <conditionalFormatting sqref="AT36">
    <cfRule type="cellIs" dxfId="40323" priority="82787" stopIfTrue="1" operator="lessThan">
      <formula>0.5</formula>
    </cfRule>
  </conditionalFormatting>
  <conditionalFormatting sqref="AT36">
    <cfRule type="cellIs" dxfId="40322" priority="82788" stopIfTrue="1" operator="greaterThanOrEqual">
      <formula>0.5</formula>
    </cfRule>
  </conditionalFormatting>
  <conditionalFormatting sqref="AT37">
    <cfRule type="cellIs" dxfId="40321" priority="82789" stopIfTrue="1" operator="equal">
      <formula>-1</formula>
    </cfRule>
  </conditionalFormatting>
  <conditionalFormatting sqref="AT37">
    <cfRule type="cellIs" dxfId="40320" priority="82790" stopIfTrue="1" operator="lessThan">
      <formula>0.5</formula>
    </cfRule>
  </conditionalFormatting>
  <conditionalFormatting sqref="AT37">
    <cfRule type="cellIs" dxfId="40319" priority="82791" stopIfTrue="1" operator="greaterThanOrEqual">
      <formula>0.5</formula>
    </cfRule>
  </conditionalFormatting>
  <conditionalFormatting sqref="AV17">
    <cfRule type="cellIs" dxfId="40318" priority="82792" stopIfTrue="1" operator="equal">
      <formula>-1</formula>
    </cfRule>
  </conditionalFormatting>
  <conditionalFormatting sqref="AV17">
    <cfRule type="cellIs" dxfId="40317" priority="82793" stopIfTrue="1" operator="lessThan">
      <formula>0.5</formula>
    </cfRule>
  </conditionalFormatting>
  <conditionalFormatting sqref="AV17">
    <cfRule type="cellIs" dxfId="40316" priority="82794" stopIfTrue="1" operator="greaterThanOrEqual">
      <formula>0.5</formula>
    </cfRule>
  </conditionalFormatting>
  <conditionalFormatting sqref="AV18">
    <cfRule type="cellIs" dxfId="40315" priority="82795" stopIfTrue="1" operator="equal">
      <formula>-1</formula>
    </cfRule>
  </conditionalFormatting>
  <conditionalFormatting sqref="AV18">
    <cfRule type="cellIs" dxfId="40314" priority="82796" stopIfTrue="1" operator="lessThan">
      <formula>0.5</formula>
    </cfRule>
  </conditionalFormatting>
  <conditionalFormatting sqref="AV18">
    <cfRule type="cellIs" dxfId="40313" priority="82797" stopIfTrue="1" operator="greaterThanOrEqual">
      <formula>0.5</formula>
    </cfRule>
  </conditionalFormatting>
  <conditionalFormatting sqref="AV19">
    <cfRule type="cellIs" dxfId="40312" priority="82798" stopIfTrue="1" operator="equal">
      <formula>-1</formula>
    </cfRule>
  </conditionalFormatting>
  <conditionalFormatting sqref="AV19">
    <cfRule type="cellIs" dxfId="40311" priority="82799" stopIfTrue="1" operator="lessThan">
      <formula>0.5</formula>
    </cfRule>
  </conditionalFormatting>
  <conditionalFormatting sqref="AV19">
    <cfRule type="cellIs" dxfId="40310" priority="82800" stopIfTrue="1" operator="greaterThanOrEqual">
      <formula>0.5</formula>
    </cfRule>
  </conditionalFormatting>
  <conditionalFormatting sqref="AV20">
    <cfRule type="cellIs" dxfId="40309" priority="82801" stopIfTrue="1" operator="equal">
      <formula>-1</formula>
    </cfRule>
  </conditionalFormatting>
  <conditionalFormatting sqref="AV20">
    <cfRule type="cellIs" dxfId="40308" priority="82802" stopIfTrue="1" operator="lessThan">
      <formula>0.5</formula>
    </cfRule>
  </conditionalFormatting>
  <conditionalFormatting sqref="AV20">
    <cfRule type="cellIs" dxfId="40307" priority="82803" stopIfTrue="1" operator="greaterThanOrEqual">
      <formula>0.5</formula>
    </cfRule>
  </conditionalFormatting>
  <conditionalFormatting sqref="AV21">
    <cfRule type="cellIs" dxfId="40306" priority="82804" stopIfTrue="1" operator="equal">
      <formula>-1</formula>
    </cfRule>
  </conditionalFormatting>
  <conditionalFormatting sqref="AV21">
    <cfRule type="cellIs" dxfId="40305" priority="82805" stopIfTrue="1" operator="lessThan">
      <formula>0.5</formula>
    </cfRule>
  </conditionalFormatting>
  <conditionalFormatting sqref="AV21">
    <cfRule type="cellIs" dxfId="40304" priority="82806" stopIfTrue="1" operator="greaterThanOrEqual">
      <formula>0.5</formula>
    </cfRule>
  </conditionalFormatting>
  <conditionalFormatting sqref="AV22">
    <cfRule type="cellIs" dxfId="40303" priority="82807" stopIfTrue="1" operator="equal">
      <formula>-1</formula>
    </cfRule>
  </conditionalFormatting>
  <conditionalFormatting sqref="AV22">
    <cfRule type="cellIs" dxfId="40302" priority="82808" stopIfTrue="1" operator="lessThan">
      <formula>0.5</formula>
    </cfRule>
  </conditionalFormatting>
  <conditionalFormatting sqref="AV22">
    <cfRule type="cellIs" dxfId="40301" priority="82809" stopIfTrue="1" operator="greaterThanOrEqual">
      <formula>0.5</formula>
    </cfRule>
  </conditionalFormatting>
  <conditionalFormatting sqref="AV23">
    <cfRule type="cellIs" dxfId="40300" priority="82810" stopIfTrue="1" operator="equal">
      <formula>-1</formula>
    </cfRule>
  </conditionalFormatting>
  <conditionalFormatting sqref="AV23">
    <cfRule type="cellIs" dxfId="40299" priority="82811" stopIfTrue="1" operator="lessThan">
      <formula>0.5</formula>
    </cfRule>
  </conditionalFormatting>
  <conditionalFormatting sqref="AV23">
    <cfRule type="cellIs" dxfId="40298" priority="82812" stopIfTrue="1" operator="greaterThanOrEqual">
      <formula>0.5</formula>
    </cfRule>
  </conditionalFormatting>
  <conditionalFormatting sqref="AV24">
    <cfRule type="cellIs" dxfId="40297" priority="82813" stopIfTrue="1" operator="equal">
      <formula>-1</formula>
    </cfRule>
  </conditionalFormatting>
  <conditionalFormatting sqref="AV24">
    <cfRule type="cellIs" dxfId="40296" priority="82814" stopIfTrue="1" operator="lessThan">
      <formula>0.5</formula>
    </cfRule>
  </conditionalFormatting>
  <conditionalFormatting sqref="AV24">
    <cfRule type="cellIs" dxfId="40295" priority="82815" stopIfTrue="1" operator="greaterThanOrEqual">
      <formula>0.5</formula>
    </cfRule>
  </conditionalFormatting>
  <conditionalFormatting sqref="AV25">
    <cfRule type="cellIs" dxfId="40294" priority="82816" stopIfTrue="1" operator="equal">
      <formula>-1</formula>
    </cfRule>
  </conditionalFormatting>
  <conditionalFormatting sqref="AV25">
    <cfRule type="cellIs" dxfId="40293" priority="82817" stopIfTrue="1" operator="lessThan">
      <formula>0.5</formula>
    </cfRule>
  </conditionalFormatting>
  <conditionalFormatting sqref="AV25">
    <cfRule type="cellIs" dxfId="40292" priority="82818" stopIfTrue="1" operator="greaterThanOrEqual">
      <formula>0.5</formula>
    </cfRule>
  </conditionalFormatting>
  <conditionalFormatting sqref="AV26">
    <cfRule type="cellIs" dxfId="40291" priority="82819" stopIfTrue="1" operator="equal">
      <formula>-1</formula>
    </cfRule>
  </conditionalFormatting>
  <conditionalFormatting sqref="AV26">
    <cfRule type="cellIs" dxfId="40290" priority="82820" stopIfTrue="1" operator="lessThan">
      <formula>0.5</formula>
    </cfRule>
  </conditionalFormatting>
  <conditionalFormatting sqref="AV26">
    <cfRule type="cellIs" dxfId="40289" priority="82821" stopIfTrue="1" operator="greaterThanOrEqual">
      <formula>0.5</formula>
    </cfRule>
  </conditionalFormatting>
  <conditionalFormatting sqref="AV27">
    <cfRule type="cellIs" dxfId="40288" priority="82822" stopIfTrue="1" operator="equal">
      <formula>-1</formula>
    </cfRule>
  </conditionalFormatting>
  <conditionalFormatting sqref="AV27">
    <cfRule type="cellIs" dxfId="40287" priority="82823" stopIfTrue="1" operator="lessThan">
      <formula>0.5</formula>
    </cfRule>
  </conditionalFormatting>
  <conditionalFormatting sqref="AV27">
    <cfRule type="cellIs" dxfId="40286" priority="82824" stopIfTrue="1" operator="greaterThanOrEqual">
      <formula>0.5</formula>
    </cfRule>
  </conditionalFormatting>
  <conditionalFormatting sqref="AV28">
    <cfRule type="cellIs" dxfId="40285" priority="82825" stopIfTrue="1" operator="equal">
      <formula>-1</formula>
    </cfRule>
  </conditionalFormatting>
  <conditionalFormatting sqref="AV28">
    <cfRule type="cellIs" dxfId="40284" priority="82826" stopIfTrue="1" operator="lessThan">
      <formula>0.5</formula>
    </cfRule>
  </conditionalFormatting>
  <conditionalFormatting sqref="AV28">
    <cfRule type="cellIs" dxfId="40283" priority="82827" stopIfTrue="1" operator="greaterThanOrEqual">
      <formula>0.5</formula>
    </cfRule>
  </conditionalFormatting>
  <conditionalFormatting sqref="AV29">
    <cfRule type="cellIs" dxfId="40282" priority="82828" stopIfTrue="1" operator="equal">
      <formula>-1</formula>
    </cfRule>
  </conditionalFormatting>
  <conditionalFormatting sqref="AV29">
    <cfRule type="cellIs" dxfId="40281" priority="82829" stopIfTrue="1" operator="lessThan">
      <formula>0.5</formula>
    </cfRule>
  </conditionalFormatting>
  <conditionalFormatting sqref="AV29">
    <cfRule type="cellIs" dxfId="40280" priority="82830" stopIfTrue="1" operator="greaterThanOrEqual">
      <formula>0.5</formula>
    </cfRule>
  </conditionalFormatting>
  <conditionalFormatting sqref="AV30">
    <cfRule type="cellIs" dxfId="40279" priority="82831" stopIfTrue="1" operator="equal">
      <formula>-1</formula>
    </cfRule>
  </conditionalFormatting>
  <conditionalFormatting sqref="AV30">
    <cfRule type="cellIs" dxfId="40278" priority="82832" stopIfTrue="1" operator="lessThan">
      <formula>0.5</formula>
    </cfRule>
  </conditionalFormatting>
  <conditionalFormatting sqref="AV30">
    <cfRule type="cellIs" dxfId="40277" priority="82833" stopIfTrue="1" operator="greaterThanOrEqual">
      <formula>0.5</formula>
    </cfRule>
  </conditionalFormatting>
  <conditionalFormatting sqref="AV31">
    <cfRule type="cellIs" dxfId="40276" priority="82834" stopIfTrue="1" operator="equal">
      <formula>-1</formula>
    </cfRule>
  </conditionalFormatting>
  <conditionalFormatting sqref="AV31">
    <cfRule type="cellIs" dxfId="40275" priority="82835" stopIfTrue="1" operator="lessThan">
      <formula>0.5</formula>
    </cfRule>
  </conditionalFormatting>
  <conditionalFormatting sqref="AV31">
    <cfRule type="cellIs" dxfId="40274" priority="82836" stopIfTrue="1" operator="greaterThanOrEqual">
      <formula>0.5</formula>
    </cfRule>
  </conditionalFormatting>
  <conditionalFormatting sqref="AV32">
    <cfRule type="cellIs" dxfId="40273" priority="82837" stopIfTrue="1" operator="equal">
      <formula>-1</formula>
    </cfRule>
  </conditionalFormatting>
  <conditionalFormatting sqref="AV32">
    <cfRule type="cellIs" dxfId="40272" priority="82838" stopIfTrue="1" operator="lessThan">
      <formula>0.5</formula>
    </cfRule>
  </conditionalFormatting>
  <conditionalFormatting sqref="AV32">
    <cfRule type="cellIs" dxfId="40271" priority="82839" stopIfTrue="1" operator="greaterThanOrEqual">
      <formula>0.5</formula>
    </cfRule>
  </conditionalFormatting>
  <conditionalFormatting sqref="AV33">
    <cfRule type="cellIs" dxfId="40270" priority="82840" stopIfTrue="1" operator="equal">
      <formula>-1</formula>
    </cfRule>
  </conditionalFormatting>
  <conditionalFormatting sqref="AV33">
    <cfRule type="cellIs" dxfId="40269" priority="82841" stopIfTrue="1" operator="lessThan">
      <formula>0.5</formula>
    </cfRule>
  </conditionalFormatting>
  <conditionalFormatting sqref="AV33">
    <cfRule type="cellIs" dxfId="40268" priority="82842" stopIfTrue="1" operator="greaterThanOrEqual">
      <formula>0.5</formula>
    </cfRule>
  </conditionalFormatting>
  <conditionalFormatting sqref="AV34">
    <cfRule type="cellIs" dxfId="40267" priority="82843" stopIfTrue="1" operator="equal">
      <formula>-1</formula>
    </cfRule>
  </conditionalFormatting>
  <conditionalFormatting sqref="AV34">
    <cfRule type="cellIs" dxfId="40266" priority="82844" stopIfTrue="1" operator="lessThan">
      <formula>0.5</formula>
    </cfRule>
  </conditionalFormatting>
  <conditionalFormatting sqref="AV34">
    <cfRule type="cellIs" dxfId="40265" priority="82845" stopIfTrue="1" operator="greaterThanOrEqual">
      <formula>0.5</formula>
    </cfRule>
  </conditionalFormatting>
  <conditionalFormatting sqref="AV35">
    <cfRule type="cellIs" dxfId="40264" priority="82846" stopIfTrue="1" operator="equal">
      <formula>-1</formula>
    </cfRule>
  </conditionalFormatting>
  <conditionalFormatting sqref="AV35">
    <cfRule type="cellIs" dxfId="40263" priority="82847" stopIfTrue="1" operator="lessThan">
      <formula>0.5</formula>
    </cfRule>
  </conditionalFormatting>
  <conditionalFormatting sqref="AV35">
    <cfRule type="cellIs" dxfId="40262" priority="82848" stopIfTrue="1" operator="greaterThanOrEqual">
      <formula>0.5</formula>
    </cfRule>
  </conditionalFormatting>
  <conditionalFormatting sqref="AV36">
    <cfRule type="cellIs" dxfId="40261" priority="82849" stopIfTrue="1" operator="equal">
      <formula>-1</formula>
    </cfRule>
  </conditionalFormatting>
  <conditionalFormatting sqref="AV36">
    <cfRule type="cellIs" dxfId="40260" priority="82850" stopIfTrue="1" operator="lessThan">
      <formula>0.5</formula>
    </cfRule>
  </conditionalFormatting>
  <conditionalFormatting sqref="AV36">
    <cfRule type="cellIs" dxfId="40259" priority="82851" stopIfTrue="1" operator="greaterThanOrEqual">
      <formula>0.5</formula>
    </cfRule>
  </conditionalFormatting>
  <conditionalFormatting sqref="AV37">
    <cfRule type="cellIs" dxfId="40258" priority="82852" stopIfTrue="1" operator="equal">
      <formula>-1</formula>
    </cfRule>
  </conditionalFormatting>
  <conditionalFormatting sqref="AV37">
    <cfRule type="cellIs" dxfId="40257" priority="82853" stopIfTrue="1" operator="lessThan">
      <formula>0.5</formula>
    </cfRule>
  </conditionalFormatting>
  <conditionalFormatting sqref="AV37">
    <cfRule type="cellIs" dxfId="40256" priority="82854" stopIfTrue="1" operator="greaterThanOrEqual">
      <formula>0.5</formula>
    </cfRule>
  </conditionalFormatting>
  <conditionalFormatting sqref="AX17">
    <cfRule type="cellIs" dxfId="40255" priority="82855" stopIfTrue="1" operator="equal">
      <formula>-1</formula>
    </cfRule>
  </conditionalFormatting>
  <conditionalFormatting sqref="AX17">
    <cfRule type="cellIs" dxfId="40254" priority="82856" stopIfTrue="1" operator="lessThan">
      <formula>0.5</formula>
    </cfRule>
  </conditionalFormatting>
  <conditionalFormatting sqref="AX17">
    <cfRule type="cellIs" dxfId="40253" priority="82857" stopIfTrue="1" operator="greaterThanOrEqual">
      <formula>0.5</formula>
    </cfRule>
  </conditionalFormatting>
  <conditionalFormatting sqref="AX18">
    <cfRule type="cellIs" dxfId="40252" priority="82858" stopIfTrue="1" operator="equal">
      <formula>-1</formula>
    </cfRule>
  </conditionalFormatting>
  <conditionalFormatting sqref="AX18">
    <cfRule type="cellIs" dxfId="40251" priority="82859" stopIfTrue="1" operator="lessThan">
      <formula>0.5</formula>
    </cfRule>
  </conditionalFormatting>
  <conditionalFormatting sqref="AX18">
    <cfRule type="cellIs" dxfId="40250" priority="82860" stopIfTrue="1" operator="greaterThanOrEqual">
      <formula>0.5</formula>
    </cfRule>
  </conditionalFormatting>
  <conditionalFormatting sqref="AX19">
    <cfRule type="cellIs" dxfId="40249" priority="82861" stopIfTrue="1" operator="equal">
      <formula>-1</formula>
    </cfRule>
  </conditionalFormatting>
  <conditionalFormatting sqref="AX19">
    <cfRule type="cellIs" dxfId="40248" priority="82862" stopIfTrue="1" operator="lessThan">
      <formula>0.5</formula>
    </cfRule>
  </conditionalFormatting>
  <conditionalFormatting sqref="AX19">
    <cfRule type="cellIs" dxfId="40247" priority="82863" stopIfTrue="1" operator="greaterThanOrEqual">
      <formula>0.5</formula>
    </cfRule>
  </conditionalFormatting>
  <conditionalFormatting sqref="AX20">
    <cfRule type="cellIs" dxfId="40246" priority="82864" stopIfTrue="1" operator="equal">
      <formula>-1</formula>
    </cfRule>
  </conditionalFormatting>
  <conditionalFormatting sqref="AX20">
    <cfRule type="cellIs" dxfId="40245" priority="82865" stopIfTrue="1" operator="lessThan">
      <formula>0.5</formula>
    </cfRule>
  </conditionalFormatting>
  <conditionalFormatting sqref="AX20">
    <cfRule type="cellIs" dxfId="40244" priority="82866" stopIfTrue="1" operator="greaterThanOrEqual">
      <formula>0.5</formula>
    </cfRule>
  </conditionalFormatting>
  <conditionalFormatting sqref="AX21">
    <cfRule type="cellIs" dxfId="40243" priority="82867" stopIfTrue="1" operator="equal">
      <formula>-1</formula>
    </cfRule>
  </conditionalFormatting>
  <conditionalFormatting sqref="AX21">
    <cfRule type="cellIs" dxfId="40242" priority="82868" stopIfTrue="1" operator="lessThan">
      <formula>0.5</formula>
    </cfRule>
  </conditionalFormatting>
  <conditionalFormatting sqref="AX21">
    <cfRule type="cellIs" dxfId="40241" priority="82869" stopIfTrue="1" operator="greaterThanOrEqual">
      <formula>0.5</formula>
    </cfRule>
  </conditionalFormatting>
  <conditionalFormatting sqref="AX22">
    <cfRule type="cellIs" dxfId="40240" priority="82870" stopIfTrue="1" operator="equal">
      <formula>-1</formula>
    </cfRule>
  </conditionalFormatting>
  <conditionalFormatting sqref="AX22">
    <cfRule type="cellIs" dxfId="40239" priority="82871" stopIfTrue="1" operator="lessThan">
      <formula>0.5</formula>
    </cfRule>
  </conditionalFormatting>
  <conditionalFormatting sqref="AX22">
    <cfRule type="cellIs" dxfId="40238" priority="82872" stopIfTrue="1" operator="greaterThanOrEqual">
      <formula>0.5</formula>
    </cfRule>
  </conditionalFormatting>
  <conditionalFormatting sqref="AX23">
    <cfRule type="cellIs" dxfId="40237" priority="82873" stopIfTrue="1" operator="equal">
      <formula>-1</formula>
    </cfRule>
  </conditionalFormatting>
  <conditionalFormatting sqref="AX23">
    <cfRule type="cellIs" dxfId="40236" priority="82874" stopIfTrue="1" operator="lessThan">
      <formula>0.5</formula>
    </cfRule>
  </conditionalFormatting>
  <conditionalFormatting sqref="AX23">
    <cfRule type="cellIs" dxfId="40235" priority="82875" stopIfTrue="1" operator="greaterThanOrEqual">
      <formula>0.5</formula>
    </cfRule>
  </conditionalFormatting>
  <conditionalFormatting sqref="AX24">
    <cfRule type="cellIs" dxfId="40234" priority="82876" stopIfTrue="1" operator="equal">
      <formula>-1</formula>
    </cfRule>
  </conditionalFormatting>
  <conditionalFormatting sqref="AX24">
    <cfRule type="cellIs" dxfId="40233" priority="82877" stopIfTrue="1" operator="lessThan">
      <formula>0.5</formula>
    </cfRule>
  </conditionalFormatting>
  <conditionalFormatting sqref="AX24">
    <cfRule type="cellIs" dxfId="40232" priority="82878" stopIfTrue="1" operator="greaterThanOrEqual">
      <formula>0.5</formula>
    </cfRule>
  </conditionalFormatting>
  <conditionalFormatting sqref="AX25">
    <cfRule type="cellIs" dxfId="40231" priority="82879" stopIfTrue="1" operator="equal">
      <formula>-1</formula>
    </cfRule>
  </conditionalFormatting>
  <conditionalFormatting sqref="AX25">
    <cfRule type="cellIs" dxfId="40230" priority="82880" stopIfTrue="1" operator="lessThan">
      <formula>0.5</formula>
    </cfRule>
  </conditionalFormatting>
  <conditionalFormatting sqref="AX25">
    <cfRule type="cellIs" dxfId="40229" priority="82881" stopIfTrue="1" operator="greaterThanOrEqual">
      <formula>0.5</formula>
    </cfRule>
  </conditionalFormatting>
  <conditionalFormatting sqref="AX26">
    <cfRule type="cellIs" dxfId="40228" priority="82882" stopIfTrue="1" operator="equal">
      <formula>-1</formula>
    </cfRule>
  </conditionalFormatting>
  <conditionalFormatting sqref="AX26">
    <cfRule type="cellIs" dxfId="40227" priority="82883" stopIfTrue="1" operator="lessThan">
      <formula>0.5</formula>
    </cfRule>
  </conditionalFormatting>
  <conditionalFormatting sqref="AX26">
    <cfRule type="cellIs" dxfId="40226" priority="82884" stopIfTrue="1" operator="greaterThanOrEqual">
      <formula>0.5</formula>
    </cfRule>
  </conditionalFormatting>
  <conditionalFormatting sqref="AX27">
    <cfRule type="cellIs" dxfId="40225" priority="82885" stopIfTrue="1" operator="equal">
      <formula>-1</formula>
    </cfRule>
  </conditionalFormatting>
  <conditionalFormatting sqref="AX27">
    <cfRule type="cellIs" dxfId="40224" priority="82886" stopIfTrue="1" operator="lessThan">
      <formula>0.5</formula>
    </cfRule>
  </conditionalFormatting>
  <conditionalFormatting sqref="AX27">
    <cfRule type="cellIs" dxfId="40223" priority="82887" stopIfTrue="1" operator="greaterThanOrEqual">
      <formula>0.5</formula>
    </cfRule>
  </conditionalFormatting>
  <conditionalFormatting sqref="AX28">
    <cfRule type="cellIs" dxfId="40222" priority="82888" stopIfTrue="1" operator="equal">
      <formula>-1</formula>
    </cfRule>
  </conditionalFormatting>
  <conditionalFormatting sqref="AX28">
    <cfRule type="cellIs" dxfId="40221" priority="82889" stopIfTrue="1" operator="lessThan">
      <formula>0.5</formula>
    </cfRule>
  </conditionalFormatting>
  <conditionalFormatting sqref="AX28">
    <cfRule type="cellIs" dxfId="40220" priority="82890" stopIfTrue="1" operator="greaterThanOrEqual">
      <formula>0.5</formula>
    </cfRule>
  </conditionalFormatting>
  <conditionalFormatting sqref="AX29">
    <cfRule type="cellIs" dxfId="40219" priority="82891" stopIfTrue="1" operator="equal">
      <formula>-1</formula>
    </cfRule>
  </conditionalFormatting>
  <conditionalFormatting sqref="AX29">
    <cfRule type="cellIs" dxfId="40218" priority="82892" stopIfTrue="1" operator="lessThan">
      <formula>0.5</formula>
    </cfRule>
  </conditionalFormatting>
  <conditionalFormatting sqref="AX29">
    <cfRule type="cellIs" dxfId="40217" priority="82893" stopIfTrue="1" operator="greaterThanOrEqual">
      <formula>0.5</formula>
    </cfRule>
  </conditionalFormatting>
  <conditionalFormatting sqref="AX30">
    <cfRule type="cellIs" dxfId="40216" priority="82894" stopIfTrue="1" operator="equal">
      <formula>-1</formula>
    </cfRule>
  </conditionalFormatting>
  <conditionalFormatting sqref="AX30">
    <cfRule type="cellIs" dxfId="40215" priority="82895" stopIfTrue="1" operator="lessThan">
      <formula>0.5</formula>
    </cfRule>
  </conditionalFormatting>
  <conditionalFormatting sqref="AX30">
    <cfRule type="cellIs" dxfId="40214" priority="82896" stopIfTrue="1" operator="greaterThanOrEqual">
      <formula>0.5</formula>
    </cfRule>
  </conditionalFormatting>
  <conditionalFormatting sqref="AX31">
    <cfRule type="cellIs" dxfId="40213" priority="82897" stopIfTrue="1" operator="equal">
      <formula>-1</formula>
    </cfRule>
  </conditionalFormatting>
  <conditionalFormatting sqref="AX31">
    <cfRule type="cellIs" dxfId="40212" priority="82898" stopIfTrue="1" operator="lessThan">
      <formula>0.5</formula>
    </cfRule>
  </conditionalFormatting>
  <conditionalFormatting sqref="AX31">
    <cfRule type="cellIs" dxfId="40211" priority="82899" stopIfTrue="1" operator="greaterThanOrEqual">
      <formula>0.5</formula>
    </cfRule>
  </conditionalFormatting>
  <conditionalFormatting sqref="AX32">
    <cfRule type="cellIs" dxfId="40210" priority="82900" stopIfTrue="1" operator="equal">
      <formula>-1</formula>
    </cfRule>
  </conditionalFormatting>
  <conditionalFormatting sqref="AX32">
    <cfRule type="cellIs" dxfId="40209" priority="82901" stopIfTrue="1" operator="lessThan">
      <formula>0.5</formula>
    </cfRule>
  </conditionalFormatting>
  <conditionalFormatting sqref="AX32">
    <cfRule type="cellIs" dxfId="40208" priority="82902" stopIfTrue="1" operator="greaterThanOrEqual">
      <formula>0.5</formula>
    </cfRule>
  </conditionalFormatting>
  <conditionalFormatting sqref="AX33">
    <cfRule type="cellIs" dxfId="40207" priority="82903" stopIfTrue="1" operator="equal">
      <formula>-1</formula>
    </cfRule>
  </conditionalFormatting>
  <conditionalFormatting sqref="AX33">
    <cfRule type="cellIs" dxfId="40206" priority="82904" stopIfTrue="1" operator="lessThan">
      <formula>0.5</formula>
    </cfRule>
  </conditionalFormatting>
  <conditionalFormatting sqref="AX33">
    <cfRule type="cellIs" dxfId="40205" priority="82905" stopIfTrue="1" operator="greaterThanOrEqual">
      <formula>0.5</formula>
    </cfRule>
  </conditionalFormatting>
  <conditionalFormatting sqref="AX34">
    <cfRule type="cellIs" dxfId="40204" priority="82906" stopIfTrue="1" operator="equal">
      <formula>-1</formula>
    </cfRule>
  </conditionalFormatting>
  <conditionalFormatting sqref="AX34">
    <cfRule type="cellIs" dxfId="40203" priority="82907" stopIfTrue="1" operator="lessThan">
      <formula>0.5</formula>
    </cfRule>
  </conditionalFormatting>
  <conditionalFormatting sqref="AX34">
    <cfRule type="cellIs" dxfId="40202" priority="82908" stopIfTrue="1" operator="greaterThanOrEqual">
      <formula>0.5</formula>
    </cfRule>
  </conditionalFormatting>
  <conditionalFormatting sqref="AX35">
    <cfRule type="cellIs" dxfId="40201" priority="82909" stopIfTrue="1" operator="equal">
      <formula>-1</formula>
    </cfRule>
  </conditionalFormatting>
  <conditionalFormatting sqref="AX35">
    <cfRule type="cellIs" dxfId="40200" priority="82910" stopIfTrue="1" operator="lessThan">
      <formula>0.5</formula>
    </cfRule>
  </conditionalFormatting>
  <conditionalFormatting sqref="AX35">
    <cfRule type="cellIs" dxfId="40199" priority="82911" stopIfTrue="1" operator="greaterThanOrEqual">
      <formula>0.5</formula>
    </cfRule>
  </conditionalFormatting>
  <conditionalFormatting sqref="AX36">
    <cfRule type="cellIs" dxfId="40198" priority="82912" stopIfTrue="1" operator="equal">
      <formula>-1</formula>
    </cfRule>
  </conditionalFormatting>
  <conditionalFormatting sqref="AX36">
    <cfRule type="cellIs" dxfId="40197" priority="82913" stopIfTrue="1" operator="lessThan">
      <formula>0.5</formula>
    </cfRule>
  </conditionalFormatting>
  <conditionalFormatting sqref="AX36">
    <cfRule type="cellIs" dxfId="40196" priority="82914" stopIfTrue="1" operator="greaterThanOrEqual">
      <formula>0.5</formula>
    </cfRule>
  </conditionalFormatting>
  <conditionalFormatting sqref="AX37">
    <cfRule type="cellIs" dxfId="40195" priority="82915" stopIfTrue="1" operator="equal">
      <formula>-1</formula>
    </cfRule>
  </conditionalFormatting>
  <conditionalFormatting sqref="AX37">
    <cfRule type="cellIs" dxfId="40194" priority="82916" stopIfTrue="1" operator="lessThan">
      <formula>0.5</formula>
    </cfRule>
  </conditionalFormatting>
  <conditionalFormatting sqref="AX37">
    <cfRule type="cellIs" dxfId="40193" priority="82917" stopIfTrue="1" operator="greaterThanOrEqual">
      <formula>0.5</formula>
    </cfRule>
  </conditionalFormatting>
  <conditionalFormatting sqref="AZ17">
    <cfRule type="cellIs" dxfId="40192" priority="82918" stopIfTrue="1" operator="equal">
      <formula>-1</formula>
    </cfRule>
  </conditionalFormatting>
  <conditionalFormatting sqref="AZ17">
    <cfRule type="cellIs" dxfId="40191" priority="82919" stopIfTrue="1" operator="lessThan">
      <formula>0.5</formula>
    </cfRule>
  </conditionalFormatting>
  <conditionalFormatting sqref="AZ17">
    <cfRule type="cellIs" dxfId="40190" priority="82920" stopIfTrue="1" operator="greaterThanOrEqual">
      <formula>0.5</formula>
    </cfRule>
  </conditionalFormatting>
  <conditionalFormatting sqref="AZ18">
    <cfRule type="cellIs" dxfId="40189" priority="82921" stopIfTrue="1" operator="equal">
      <formula>-1</formula>
    </cfRule>
  </conditionalFormatting>
  <conditionalFormatting sqref="AZ18">
    <cfRule type="cellIs" dxfId="40188" priority="82922" stopIfTrue="1" operator="lessThan">
      <formula>0.5</formula>
    </cfRule>
  </conditionalFormatting>
  <conditionalFormatting sqref="AZ18">
    <cfRule type="cellIs" dxfId="40187" priority="82923" stopIfTrue="1" operator="greaterThanOrEqual">
      <formula>0.5</formula>
    </cfRule>
  </conditionalFormatting>
  <conditionalFormatting sqref="AZ19">
    <cfRule type="cellIs" dxfId="40186" priority="82924" stopIfTrue="1" operator="equal">
      <formula>-1</formula>
    </cfRule>
  </conditionalFormatting>
  <conditionalFormatting sqref="AZ19">
    <cfRule type="cellIs" dxfId="40185" priority="82925" stopIfTrue="1" operator="lessThan">
      <formula>0.5</formula>
    </cfRule>
  </conditionalFormatting>
  <conditionalFormatting sqref="AZ19">
    <cfRule type="cellIs" dxfId="40184" priority="82926" stopIfTrue="1" operator="greaterThanOrEqual">
      <formula>0.5</formula>
    </cfRule>
  </conditionalFormatting>
  <conditionalFormatting sqref="AZ20">
    <cfRule type="cellIs" dxfId="40183" priority="82927" stopIfTrue="1" operator="equal">
      <formula>-1</formula>
    </cfRule>
  </conditionalFormatting>
  <conditionalFormatting sqref="AZ20">
    <cfRule type="cellIs" dxfId="40182" priority="82928" stopIfTrue="1" operator="lessThan">
      <formula>0.5</formula>
    </cfRule>
  </conditionalFormatting>
  <conditionalFormatting sqref="AZ20">
    <cfRule type="cellIs" dxfId="40181" priority="82929" stopIfTrue="1" operator="greaterThanOrEqual">
      <formula>0.5</formula>
    </cfRule>
  </conditionalFormatting>
  <conditionalFormatting sqref="AZ21">
    <cfRule type="cellIs" dxfId="40180" priority="82930" stopIfTrue="1" operator="equal">
      <formula>-1</formula>
    </cfRule>
  </conditionalFormatting>
  <conditionalFormatting sqref="AZ21">
    <cfRule type="cellIs" dxfId="40179" priority="82931" stopIfTrue="1" operator="lessThan">
      <formula>0.5</formula>
    </cfRule>
  </conditionalFormatting>
  <conditionalFormatting sqref="AZ21">
    <cfRule type="cellIs" dxfId="40178" priority="82932" stopIfTrue="1" operator="greaterThanOrEqual">
      <formula>0.5</formula>
    </cfRule>
  </conditionalFormatting>
  <conditionalFormatting sqref="AZ22">
    <cfRule type="cellIs" dxfId="40177" priority="82933" stopIfTrue="1" operator="equal">
      <formula>-1</formula>
    </cfRule>
  </conditionalFormatting>
  <conditionalFormatting sqref="AZ22">
    <cfRule type="cellIs" dxfId="40176" priority="82934" stopIfTrue="1" operator="lessThan">
      <formula>0.5</formula>
    </cfRule>
  </conditionalFormatting>
  <conditionalFormatting sqref="AZ22">
    <cfRule type="cellIs" dxfId="40175" priority="82935" stopIfTrue="1" operator="greaterThanOrEqual">
      <formula>0.5</formula>
    </cfRule>
  </conditionalFormatting>
  <conditionalFormatting sqref="AZ23">
    <cfRule type="cellIs" dxfId="40174" priority="82936" stopIfTrue="1" operator="equal">
      <formula>-1</formula>
    </cfRule>
  </conditionalFormatting>
  <conditionalFormatting sqref="AZ23">
    <cfRule type="cellIs" dxfId="40173" priority="82937" stopIfTrue="1" operator="lessThan">
      <formula>0.5</formula>
    </cfRule>
  </conditionalFormatting>
  <conditionalFormatting sqref="AZ23">
    <cfRule type="cellIs" dxfId="40172" priority="82938" stopIfTrue="1" operator="greaterThanOrEqual">
      <formula>0.5</formula>
    </cfRule>
  </conditionalFormatting>
  <conditionalFormatting sqref="AZ24">
    <cfRule type="cellIs" dxfId="40171" priority="82939" stopIfTrue="1" operator="equal">
      <formula>-1</formula>
    </cfRule>
  </conditionalFormatting>
  <conditionalFormatting sqref="AZ24">
    <cfRule type="cellIs" dxfId="40170" priority="82940" stopIfTrue="1" operator="lessThan">
      <formula>0.5</formula>
    </cfRule>
  </conditionalFormatting>
  <conditionalFormatting sqref="AZ24">
    <cfRule type="cellIs" dxfId="40169" priority="82941" stopIfTrue="1" operator="greaterThanOrEqual">
      <formula>0.5</formula>
    </cfRule>
  </conditionalFormatting>
  <conditionalFormatting sqref="AZ25">
    <cfRule type="cellIs" dxfId="40168" priority="82942" stopIfTrue="1" operator="equal">
      <formula>-1</formula>
    </cfRule>
  </conditionalFormatting>
  <conditionalFormatting sqref="AZ25">
    <cfRule type="cellIs" dxfId="40167" priority="82943" stopIfTrue="1" operator="lessThan">
      <formula>0.5</formula>
    </cfRule>
  </conditionalFormatting>
  <conditionalFormatting sqref="AZ25">
    <cfRule type="cellIs" dxfId="40166" priority="82944" stopIfTrue="1" operator="greaterThanOrEqual">
      <formula>0.5</formula>
    </cfRule>
  </conditionalFormatting>
  <conditionalFormatting sqref="AZ26">
    <cfRule type="cellIs" dxfId="40165" priority="82945" stopIfTrue="1" operator="equal">
      <formula>-1</formula>
    </cfRule>
  </conditionalFormatting>
  <conditionalFormatting sqref="AZ26">
    <cfRule type="cellIs" dxfId="40164" priority="82946" stopIfTrue="1" operator="lessThan">
      <formula>0.5</formula>
    </cfRule>
  </conditionalFormatting>
  <conditionalFormatting sqref="AZ26">
    <cfRule type="cellIs" dxfId="40163" priority="82947" stopIfTrue="1" operator="greaterThanOrEqual">
      <formula>0.5</formula>
    </cfRule>
  </conditionalFormatting>
  <conditionalFormatting sqref="AZ27">
    <cfRule type="cellIs" dxfId="40162" priority="82948" stopIfTrue="1" operator="equal">
      <formula>-1</formula>
    </cfRule>
  </conditionalFormatting>
  <conditionalFormatting sqref="AZ27">
    <cfRule type="cellIs" dxfId="40161" priority="82949" stopIfTrue="1" operator="lessThan">
      <formula>0.5</formula>
    </cfRule>
  </conditionalFormatting>
  <conditionalFormatting sqref="AZ27">
    <cfRule type="cellIs" dxfId="40160" priority="82950" stopIfTrue="1" operator="greaterThanOrEqual">
      <formula>0.5</formula>
    </cfRule>
  </conditionalFormatting>
  <conditionalFormatting sqref="AZ28">
    <cfRule type="cellIs" dxfId="40159" priority="82951" stopIfTrue="1" operator="equal">
      <formula>-1</formula>
    </cfRule>
  </conditionalFormatting>
  <conditionalFormatting sqref="AZ28">
    <cfRule type="cellIs" dxfId="40158" priority="82952" stopIfTrue="1" operator="lessThan">
      <formula>0.5</formula>
    </cfRule>
  </conditionalFormatting>
  <conditionalFormatting sqref="AZ28">
    <cfRule type="cellIs" dxfId="40157" priority="82953" stopIfTrue="1" operator="greaterThanOrEqual">
      <formula>0.5</formula>
    </cfRule>
  </conditionalFormatting>
  <conditionalFormatting sqref="AZ29">
    <cfRule type="cellIs" dxfId="40156" priority="82954" stopIfTrue="1" operator="equal">
      <formula>-1</formula>
    </cfRule>
  </conditionalFormatting>
  <conditionalFormatting sqref="AZ29">
    <cfRule type="cellIs" dxfId="40155" priority="82955" stopIfTrue="1" operator="lessThan">
      <formula>0.5</formula>
    </cfRule>
  </conditionalFormatting>
  <conditionalFormatting sqref="AZ29">
    <cfRule type="cellIs" dxfId="40154" priority="82956" stopIfTrue="1" operator="greaterThanOrEqual">
      <formula>0.5</formula>
    </cfRule>
  </conditionalFormatting>
  <conditionalFormatting sqref="AZ30">
    <cfRule type="cellIs" dxfId="40153" priority="82957" stopIfTrue="1" operator="equal">
      <formula>-1</formula>
    </cfRule>
  </conditionalFormatting>
  <conditionalFormatting sqref="AZ30">
    <cfRule type="cellIs" dxfId="40152" priority="82958" stopIfTrue="1" operator="lessThan">
      <formula>0.5</formula>
    </cfRule>
  </conditionalFormatting>
  <conditionalFormatting sqref="AZ30">
    <cfRule type="cellIs" dxfId="40151" priority="82959" stopIfTrue="1" operator="greaterThanOrEqual">
      <formula>0.5</formula>
    </cfRule>
  </conditionalFormatting>
  <conditionalFormatting sqref="AZ31">
    <cfRule type="cellIs" dxfId="40150" priority="82960" stopIfTrue="1" operator="equal">
      <formula>-1</formula>
    </cfRule>
  </conditionalFormatting>
  <conditionalFormatting sqref="AZ31">
    <cfRule type="cellIs" dxfId="40149" priority="82961" stopIfTrue="1" operator="lessThan">
      <formula>0.5</formula>
    </cfRule>
  </conditionalFormatting>
  <conditionalFormatting sqref="AZ31">
    <cfRule type="cellIs" dxfId="40148" priority="82962" stopIfTrue="1" operator="greaterThanOrEqual">
      <formula>0.5</formula>
    </cfRule>
  </conditionalFormatting>
  <conditionalFormatting sqref="AZ32">
    <cfRule type="cellIs" dxfId="40147" priority="82963" stopIfTrue="1" operator="equal">
      <formula>-1</formula>
    </cfRule>
  </conditionalFormatting>
  <conditionalFormatting sqref="AZ32">
    <cfRule type="cellIs" dxfId="40146" priority="82964" stopIfTrue="1" operator="lessThan">
      <formula>0.5</formula>
    </cfRule>
  </conditionalFormatting>
  <conditionalFormatting sqref="AZ32">
    <cfRule type="cellIs" dxfId="40145" priority="82965" stopIfTrue="1" operator="greaterThanOrEqual">
      <formula>0.5</formula>
    </cfRule>
  </conditionalFormatting>
  <conditionalFormatting sqref="AZ33">
    <cfRule type="cellIs" dxfId="40144" priority="82966" stopIfTrue="1" operator="equal">
      <formula>-1</formula>
    </cfRule>
  </conditionalFormatting>
  <conditionalFormatting sqref="AZ33">
    <cfRule type="cellIs" dxfId="40143" priority="82967" stopIfTrue="1" operator="lessThan">
      <formula>0.5</formula>
    </cfRule>
  </conditionalFormatting>
  <conditionalFormatting sqref="AZ33">
    <cfRule type="cellIs" dxfId="40142" priority="82968" stopIfTrue="1" operator="greaterThanOrEqual">
      <formula>0.5</formula>
    </cfRule>
  </conditionalFormatting>
  <conditionalFormatting sqref="AZ34">
    <cfRule type="cellIs" dxfId="40141" priority="82969" stopIfTrue="1" operator="equal">
      <formula>-1</formula>
    </cfRule>
  </conditionalFormatting>
  <conditionalFormatting sqref="AZ34">
    <cfRule type="cellIs" dxfId="40140" priority="82970" stopIfTrue="1" operator="lessThan">
      <formula>0.5</formula>
    </cfRule>
  </conditionalFormatting>
  <conditionalFormatting sqref="AZ34">
    <cfRule type="cellIs" dxfId="40139" priority="82971" stopIfTrue="1" operator="greaterThanOrEqual">
      <formula>0.5</formula>
    </cfRule>
  </conditionalFormatting>
  <conditionalFormatting sqref="AZ35">
    <cfRule type="cellIs" dxfId="40138" priority="82972" stopIfTrue="1" operator="equal">
      <formula>-1</formula>
    </cfRule>
  </conditionalFormatting>
  <conditionalFormatting sqref="AZ35">
    <cfRule type="cellIs" dxfId="40137" priority="82973" stopIfTrue="1" operator="lessThan">
      <formula>0.5</formula>
    </cfRule>
  </conditionalFormatting>
  <conditionalFormatting sqref="AZ35">
    <cfRule type="cellIs" dxfId="40136" priority="82974" stopIfTrue="1" operator="greaterThanOrEqual">
      <formula>0.5</formula>
    </cfRule>
  </conditionalFormatting>
  <conditionalFormatting sqref="AZ36">
    <cfRule type="cellIs" dxfId="40135" priority="82975" stopIfTrue="1" operator="equal">
      <formula>-1</formula>
    </cfRule>
  </conditionalFormatting>
  <conditionalFormatting sqref="AZ36">
    <cfRule type="cellIs" dxfId="40134" priority="82976" stopIfTrue="1" operator="lessThan">
      <formula>0.5</formula>
    </cfRule>
  </conditionalFormatting>
  <conditionalFormatting sqref="AZ36">
    <cfRule type="cellIs" dxfId="40133" priority="82977" stopIfTrue="1" operator="greaterThanOrEqual">
      <formula>0.5</formula>
    </cfRule>
  </conditionalFormatting>
  <conditionalFormatting sqref="AZ37">
    <cfRule type="cellIs" dxfId="40132" priority="82978" stopIfTrue="1" operator="equal">
      <formula>-1</formula>
    </cfRule>
  </conditionalFormatting>
  <conditionalFormatting sqref="AZ37">
    <cfRule type="cellIs" dxfId="40131" priority="82979" stopIfTrue="1" operator="lessThan">
      <formula>0.5</formula>
    </cfRule>
  </conditionalFormatting>
  <conditionalFormatting sqref="AZ37">
    <cfRule type="cellIs" dxfId="40130" priority="82980" stopIfTrue="1" operator="greaterThanOrEqual">
      <formula>0.5</formula>
    </cfRule>
  </conditionalFormatting>
  <conditionalFormatting sqref="BB17">
    <cfRule type="cellIs" dxfId="40129" priority="82981" stopIfTrue="1" operator="equal">
      <formula>-1</formula>
    </cfRule>
  </conditionalFormatting>
  <conditionalFormatting sqref="BB17">
    <cfRule type="cellIs" dxfId="40128" priority="82982" stopIfTrue="1" operator="lessThan">
      <formula>0.5</formula>
    </cfRule>
  </conditionalFormatting>
  <conditionalFormatting sqref="BB17">
    <cfRule type="cellIs" dxfId="40127" priority="82983" stopIfTrue="1" operator="greaterThanOrEqual">
      <formula>0.5</formula>
    </cfRule>
  </conditionalFormatting>
  <conditionalFormatting sqref="BB18">
    <cfRule type="cellIs" dxfId="40126" priority="82984" stopIfTrue="1" operator="equal">
      <formula>-1</formula>
    </cfRule>
  </conditionalFormatting>
  <conditionalFormatting sqref="BB18">
    <cfRule type="cellIs" dxfId="40125" priority="82985" stopIfTrue="1" operator="lessThan">
      <formula>0.5</formula>
    </cfRule>
  </conditionalFormatting>
  <conditionalFormatting sqref="BB18">
    <cfRule type="cellIs" dxfId="40124" priority="82986" stopIfTrue="1" operator="greaterThanOrEqual">
      <formula>0.5</formula>
    </cfRule>
  </conditionalFormatting>
  <conditionalFormatting sqref="BB19">
    <cfRule type="cellIs" dxfId="40123" priority="82987" stopIfTrue="1" operator="equal">
      <formula>-1</formula>
    </cfRule>
  </conditionalFormatting>
  <conditionalFormatting sqref="BB19">
    <cfRule type="cellIs" dxfId="40122" priority="82988" stopIfTrue="1" operator="lessThan">
      <formula>0.5</formula>
    </cfRule>
  </conditionalFormatting>
  <conditionalFormatting sqref="BB19">
    <cfRule type="cellIs" dxfId="40121" priority="82989" stopIfTrue="1" operator="greaterThanOrEqual">
      <formula>0.5</formula>
    </cfRule>
  </conditionalFormatting>
  <conditionalFormatting sqref="BB20">
    <cfRule type="cellIs" dxfId="40120" priority="82990" stopIfTrue="1" operator="equal">
      <formula>-1</formula>
    </cfRule>
  </conditionalFormatting>
  <conditionalFormatting sqref="BB20">
    <cfRule type="cellIs" dxfId="40119" priority="82991" stopIfTrue="1" operator="lessThan">
      <formula>0.5</formula>
    </cfRule>
  </conditionalFormatting>
  <conditionalFormatting sqref="BB20">
    <cfRule type="cellIs" dxfId="40118" priority="82992" stopIfTrue="1" operator="greaterThanOrEqual">
      <formula>0.5</formula>
    </cfRule>
  </conditionalFormatting>
  <conditionalFormatting sqref="BB21">
    <cfRule type="cellIs" dxfId="40117" priority="82993" stopIfTrue="1" operator="equal">
      <formula>-1</formula>
    </cfRule>
  </conditionalFormatting>
  <conditionalFormatting sqref="BB21">
    <cfRule type="cellIs" dxfId="40116" priority="82994" stopIfTrue="1" operator="lessThan">
      <formula>0.5</formula>
    </cfRule>
  </conditionalFormatting>
  <conditionalFormatting sqref="BB21">
    <cfRule type="cellIs" dxfId="40115" priority="82995" stopIfTrue="1" operator="greaterThanOrEqual">
      <formula>0.5</formula>
    </cfRule>
  </conditionalFormatting>
  <conditionalFormatting sqref="BB22">
    <cfRule type="cellIs" dxfId="40114" priority="82996" stopIfTrue="1" operator="equal">
      <formula>-1</formula>
    </cfRule>
  </conditionalFormatting>
  <conditionalFormatting sqref="BB22">
    <cfRule type="cellIs" dxfId="40113" priority="82997" stopIfTrue="1" operator="lessThan">
      <formula>0.5</formula>
    </cfRule>
  </conditionalFormatting>
  <conditionalFormatting sqref="BB22">
    <cfRule type="cellIs" dxfId="40112" priority="82998" stopIfTrue="1" operator="greaterThanOrEqual">
      <formula>0.5</formula>
    </cfRule>
  </conditionalFormatting>
  <conditionalFormatting sqref="BB23">
    <cfRule type="cellIs" dxfId="40111" priority="82999" stopIfTrue="1" operator="equal">
      <formula>-1</formula>
    </cfRule>
  </conditionalFormatting>
  <conditionalFormatting sqref="BB23">
    <cfRule type="cellIs" dxfId="40110" priority="83000" stopIfTrue="1" operator="lessThan">
      <formula>0.5</formula>
    </cfRule>
  </conditionalFormatting>
  <conditionalFormatting sqref="BB23">
    <cfRule type="cellIs" dxfId="40109" priority="83001" stopIfTrue="1" operator="greaterThanOrEqual">
      <formula>0.5</formula>
    </cfRule>
  </conditionalFormatting>
  <conditionalFormatting sqref="BB24">
    <cfRule type="cellIs" dxfId="40108" priority="83002" stopIfTrue="1" operator="equal">
      <formula>-1</formula>
    </cfRule>
  </conditionalFormatting>
  <conditionalFormatting sqref="BB24">
    <cfRule type="cellIs" dxfId="40107" priority="83003" stopIfTrue="1" operator="lessThan">
      <formula>0.5</formula>
    </cfRule>
  </conditionalFormatting>
  <conditionalFormatting sqref="BB24">
    <cfRule type="cellIs" dxfId="40106" priority="83004" stopIfTrue="1" operator="greaterThanOrEqual">
      <formula>0.5</formula>
    </cfRule>
  </conditionalFormatting>
  <conditionalFormatting sqref="BB25">
    <cfRule type="cellIs" dxfId="40105" priority="83005" stopIfTrue="1" operator="equal">
      <formula>-1</formula>
    </cfRule>
  </conditionalFormatting>
  <conditionalFormatting sqref="BB25">
    <cfRule type="cellIs" dxfId="40104" priority="83006" stopIfTrue="1" operator="lessThan">
      <formula>0.5</formula>
    </cfRule>
  </conditionalFormatting>
  <conditionalFormatting sqref="BB25">
    <cfRule type="cellIs" dxfId="40103" priority="83007" stopIfTrue="1" operator="greaterThanOrEqual">
      <formula>0.5</formula>
    </cfRule>
  </conditionalFormatting>
  <conditionalFormatting sqref="BB26">
    <cfRule type="cellIs" dxfId="40102" priority="83008" stopIfTrue="1" operator="equal">
      <formula>-1</formula>
    </cfRule>
  </conditionalFormatting>
  <conditionalFormatting sqref="BB26">
    <cfRule type="cellIs" dxfId="40101" priority="83009" stopIfTrue="1" operator="lessThan">
      <formula>0.5</formula>
    </cfRule>
  </conditionalFormatting>
  <conditionalFormatting sqref="BB26">
    <cfRule type="cellIs" dxfId="40100" priority="83010" stopIfTrue="1" operator="greaterThanOrEqual">
      <formula>0.5</formula>
    </cfRule>
  </conditionalFormatting>
  <conditionalFormatting sqref="BB27">
    <cfRule type="cellIs" dxfId="40099" priority="83011" stopIfTrue="1" operator="equal">
      <formula>-1</formula>
    </cfRule>
  </conditionalFormatting>
  <conditionalFormatting sqref="BB27">
    <cfRule type="cellIs" dxfId="40098" priority="83012" stopIfTrue="1" operator="lessThan">
      <formula>0.5</formula>
    </cfRule>
  </conditionalFormatting>
  <conditionalFormatting sqref="BB27">
    <cfRule type="cellIs" dxfId="40097" priority="83013" stopIfTrue="1" operator="greaterThanOrEqual">
      <formula>0.5</formula>
    </cfRule>
  </conditionalFormatting>
  <conditionalFormatting sqref="BB28">
    <cfRule type="cellIs" dxfId="40096" priority="83014" stopIfTrue="1" operator="equal">
      <formula>-1</formula>
    </cfRule>
  </conditionalFormatting>
  <conditionalFormatting sqref="BB28">
    <cfRule type="cellIs" dxfId="40095" priority="83015" stopIfTrue="1" operator="lessThan">
      <formula>0.5</formula>
    </cfRule>
  </conditionalFormatting>
  <conditionalFormatting sqref="BB28">
    <cfRule type="cellIs" dxfId="40094" priority="83016" stopIfTrue="1" operator="greaterThanOrEqual">
      <formula>0.5</formula>
    </cfRule>
  </conditionalFormatting>
  <conditionalFormatting sqref="BB29">
    <cfRule type="cellIs" dxfId="40093" priority="83017" stopIfTrue="1" operator="equal">
      <formula>-1</formula>
    </cfRule>
  </conditionalFormatting>
  <conditionalFormatting sqref="BB29">
    <cfRule type="cellIs" dxfId="40092" priority="83018" stopIfTrue="1" operator="lessThan">
      <formula>0.5</formula>
    </cfRule>
  </conditionalFormatting>
  <conditionalFormatting sqref="BB29">
    <cfRule type="cellIs" dxfId="40091" priority="83019" stopIfTrue="1" operator="greaterThanOrEqual">
      <formula>0.5</formula>
    </cfRule>
  </conditionalFormatting>
  <conditionalFormatting sqref="BB30">
    <cfRule type="cellIs" dxfId="40090" priority="83020" stopIfTrue="1" operator="equal">
      <formula>-1</formula>
    </cfRule>
  </conditionalFormatting>
  <conditionalFormatting sqref="BB30">
    <cfRule type="cellIs" dxfId="40089" priority="83021" stopIfTrue="1" operator="lessThan">
      <formula>0.5</formula>
    </cfRule>
  </conditionalFormatting>
  <conditionalFormatting sqref="BB30">
    <cfRule type="cellIs" dxfId="40088" priority="83022" stopIfTrue="1" operator="greaterThanOrEqual">
      <formula>0.5</formula>
    </cfRule>
  </conditionalFormatting>
  <conditionalFormatting sqref="BB31">
    <cfRule type="cellIs" dxfId="40087" priority="83023" stopIfTrue="1" operator="equal">
      <formula>-1</formula>
    </cfRule>
  </conditionalFormatting>
  <conditionalFormatting sqref="BB31">
    <cfRule type="cellIs" dxfId="40086" priority="83024" stopIfTrue="1" operator="lessThan">
      <formula>0.5</formula>
    </cfRule>
  </conditionalFormatting>
  <conditionalFormatting sqref="BB31">
    <cfRule type="cellIs" dxfId="40085" priority="83025" stopIfTrue="1" operator="greaterThanOrEqual">
      <formula>0.5</formula>
    </cfRule>
  </conditionalFormatting>
  <conditionalFormatting sqref="BB32">
    <cfRule type="cellIs" dxfId="40084" priority="83026" stopIfTrue="1" operator="equal">
      <formula>-1</formula>
    </cfRule>
  </conditionalFormatting>
  <conditionalFormatting sqref="BB32">
    <cfRule type="cellIs" dxfId="40083" priority="83027" stopIfTrue="1" operator="lessThan">
      <formula>0.5</formula>
    </cfRule>
  </conditionalFormatting>
  <conditionalFormatting sqref="BB32">
    <cfRule type="cellIs" dxfId="40082" priority="83028" stopIfTrue="1" operator="greaterThanOrEqual">
      <formula>0.5</formula>
    </cfRule>
  </conditionalFormatting>
  <conditionalFormatting sqref="BB33">
    <cfRule type="cellIs" dxfId="40081" priority="83029" stopIfTrue="1" operator="equal">
      <formula>-1</formula>
    </cfRule>
  </conditionalFormatting>
  <conditionalFormatting sqref="BB33">
    <cfRule type="cellIs" dxfId="40080" priority="83030" stopIfTrue="1" operator="lessThan">
      <formula>0.5</formula>
    </cfRule>
  </conditionalFormatting>
  <conditionalFormatting sqref="BB33">
    <cfRule type="cellIs" dxfId="40079" priority="83031" stopIfTrue="1" operator="greaterThanOrEqual">
      <formula>0.5</formula>
    </cfRule>
  </conditionalFormatting>
  <conditionalFormatting sqref="BB34">
    <cfRule type="cellIs" dxfId="40078" priority="83032" stopIfTrue="1" operator="equal">
      <formula>-1</formula>
    </cfRule>
  </conditionalFormatting>
  <conditionalFormatting sqref="BB34">
    <cfRule type="cellIs" dxfId="40077" priority="83033" stopIfTrue="1" operator="lessThan">
      <formula>0.5</formula>
    </cfRule>
  </conditionalFormatting>
  <conditionalFormatting sqref="BB34">
    <cfRule type="cellIs" dxfId="40076" priority="83034" stopIfTrue="1" operator="greaterThanOrEqual">
      <formula>0.5</formula>
    </cfRule>
  </conditionalFormatting>
  <conditionalFormatting sqref="BB35">
    <cfRule type="cellIs" dxfId="40075" priority="83035" stopIfTrue="1" operator="equal">
      <formula>-1</formula>
    </cfRule>
  </conditionalFormatting>
  <conditionalFormatting sqref="BB35">
    <cfRule type="cellIs" dxfId="40074" priority="83036" stopIfTrue="1" operator="lessThan">
      <formula>0.5</formula>
    </cfRule>
  </conditionalFormatting>
  <conditionalFormatting sqref="BB35">
    <cfRule type="cellIs" dxfId="40073" priority="83037" stopIfTrue="1" operator="greaterThanOrEqual">
      <formula>0.5</formula>
    </cfRule>
  </conditionalFormatting>
  <conditionalFormatting sqref="BB36">
    <cfRule type="cellIs" dxfId="40072" priority="83038" stopIfTrue="1" operator="equal">
      <formula>-1</formula>
    </cfRule>
  </conditionalFormatting>
  <conditionalFormatting sqref="BB36">
    <cfRule type="cellIs" dxfId="40071" priority="83039" stopIfTrue="1" operator="lessThan">
      <formula>0.5</formula>
    </cfRule>
  </conditionalFormatting>
  <conditionalFormatting sqref="BB36">
    <cfRule type="cellIs" dxfId="40070" priority="83040" stopIfTrue="1" operator="greaterThanOrEqual">
      <formula>0.5</formula>
    </cfRule>
  </conditionalFormatting>
  <conditionalFormatting sqref="BB37">
    <cfRule type="cellIs" dxfId="40069" priority="83041" stopIfTrue="1" operator="equal">
      <formula>-1</formula>
    </cfRule>
  </conditionalFormatting>
  <conditionalFormatting sqref="BB37">
    <cfRule type="cellIs" dxfId="40068" priority="83042" stopIfTrue="1" operator="lessThan">
      <formula>0.5</formula>
    </cfRule>
  </conditionalFormatting>
  <conditionalFormatting sqref="BB37">
    <cfRule type="cellIs" dxfId="40067" priority="83043" stopIfTrue="1" operator="greaterThanOrEqual">
      <formula>0.5</formula>
    </cfRule>
  </conditionalFormatting>
  <conditionalFormatting sqref="BD17">
    <cfRule type="cellIs" dxfId="40066" priority="83044" stopIfTrue="1" operator="equal">
      <formula>-1</formula>
    </cfRule>
  </conditionalFormatting>
  <conditionalFormatting sqref="BD17">
    <cfRule type="cellIs" dxfId="40065" priority="83045" stopIfTrue="1" operator="lessThan">
      <formula>0.5</formula>
    </cfRule>
  </conditionalFormatting>
  <conditionalFormatting sqref="BD17">
    <cfRule type="cellIs" dxfId="40064" priority="83046" stopIfTrue="1" operator="greaterThanOrEqual">
      <formula>0.5</formula>
    </cfRule>
  </conditionalFormatting>
  <conditionalFormatting sqref="BD18">
    <cfRule type="cellIs" dxfId="40063" priority="83047" stopIfTrue="1" operator="equal">
      <formula>-1</formula>
    </cfRule>
  </conditionalFormatting>
  <conditionalFormatting sqref="BD18">
    <cfRule type="cellIs" dxfId="40062" priority="83048" stopIfTrue="1" operator="lessThan">
      <formula>0.5</formula>
    </cfRule>
  </conditionalFormatting>
  <conditionalFormatting sqref="BD18">
    <cfRule type="cellIs" dxfId="40061" priority="83049" stopIfTrue="1" operator="greaterThanOrEqual">
      <formula>0.5</formula>
    </cfRule>
  </conditionalFormatting>
  <conditionalFormatting sqref="BD19">
    <cfRule type="cellIs" dxfId="40060" priority="83050" stopIfTrue="1" operator="equal">
      <formula>-1</formula>
    </cfRule>
  </conditionalFormatting>
  <conditionalFormatting sqref="BD19">
    <cfRule type="cellIs" dxfId="40059" priority="83051" stopIfTrue="1" operator="lessThan">
      <formula>0.5</formula>
    </cfRule>
  </conditionalFormatting>
  <conditionalFormatting sqref="BD19">
    <cfRule type="cellIs" dxfId="40058" priority="83052" stopIfTrue="1" operator="greaterThanOrEqual">
      <formula>0.5</formula>
    </cfRule>
  </conditionalFormatting>
  <conditionalFormatting sqref="BD20">
    <cfRule type="cellIs" dxfId="40057" priority="83053" stopIfTrue="1" operator="equal">
      <formula>-1</formula>
    </cfRule>
  </conditionalFormatting>
  <conditionalFormatting sqref="BD20">
    <cfRule type="cellIs" dxfId="40056" priority="83054" stopIfTrue="1" operator="lessThan">
      <formula>0.5</formula>
    </cfRule>
  </conditionalFormatting>
  <conditionalFormatting sqref="BD20">
    <cfRule type="cellIs" dxfId="40055" priority="83055" stopIfTrue="1" operator="greaterThanOrEqual">
      <formula>0.5</formula>
    </cfRule>
  </conditionalFormatting>
  <conditionalFormatting sqref="BD21">
    <cfRule type="cellIs" dxfId="40054" priority="83056" stopIfTrue="1" operator="equal">
      <formula>-1</formula>
    </cfRule>
  </conditionalFormatting>
  <conditionalFormatting sqref="BD21">
    <cfRule type="cellIs" dxfId="40053" priority="83057" stopIfTrue="1" operator="lessThan">
      <formula>0.5</formula>
    </cfRule>
  </conditionalFormatting>
  <conditionalFormatting sqref="BD21">
    <cfRule type="cellIs" dxfId="40052" priority="83058" stopIfTrue="1" operator="greaterThanOrEqual">
      <formula>0.5</formula>
    </cfRule>
  </conditionalFormatting>
  <conditionalFormatting sqref="BD22">
    <cfRule type="cellIs" dxfId="40051" priority="83059" stopIfTrue="1" operator="equal">
      <formula>-1</formula>
    </cfRule>
  </conditionalFormatting>
  <conditionalFormatting sqref="BD22">
    <cfRule type="cellIs" dxfId="40050" priority="83060" stopIfTrue="1" operator="lessThan">
      <formula>0.5</formula>
    </cfRule>
  </conditionalFormatting>
  <conditionalFormatting sqref="BD22">
    <cfRule type="cellIs" dxfId="40049" priority="83061" stopIfTrue="1" operator="greaterThanOrEqual">
      <formula>0.5</formula>
    </cfRule>
  </conditionalFormatting>
  <conditionalFormatting sqref="BD23">
    <cfRule type="cellIs" dxfId="40048" priority="83062" stopIfTrue="1" operator="equal">
      <formula>-1</formula>
    </cfRule>
  </conditionalFormatting>
  <conditionalFormatting sqref="BD23">
    <cfRule type="cellIs" dxfId="40047" priority="83063" stopIfTrue="1" operator="lessThan">
      <formula>0.5</formula>
    </cfRule>
  </conditionalFormatting>
  <conditionalFormatting sqref="BD23">
    <cfRule type="cellIs" dxfId="40046" priority="83064" stopIfTrue="1" operator="greaterThanOrEqual">
      <formula>0.5</formula>
    </cfRule>
  </conditionalFormatting>
  <conditionalFormatting sqref="BD24">
    <cfRule type="cellIs" dxfId="40045" priority="83065" stopIfTrue="1" operator="equal">
      <formula>-1</formula>
    </cfRule>
  </conditionalFormatting>
  <conditionalFormatting sqref="BD24">
    <cfRule type="cellIs" dxfId="40044" priority="83066" stopIfTrue="1" operator="lessThan">
      <formula>0.5</formula>
    </cfRule>
  </conditionalFormatting>
  <conditionalFormatting sqref="BD24">
    <cfRule type="cellIs" dxfId="40043" priority="83067" stopIfTrue="1" operator="greaterThanOrEqual">
      <formula>0.5</formula>
    </cfRule>
  </conditionalFormatting>
  <conditionalFormatting sqref="BD25">
    <cfRule type="cellIs" dxfId="40042" priority="83068" stopIfTrue="1" operator="equal">
      <formula>-1</formula>
    </cfRule>
  </conditionalFormatting>
  <conditionalFormatting sqref="BD25">
    <cfRule type="cellIs" dxfId="40041" priority="83069" stopIfTrue="1" operator="lessThan">
      <formula>0.5</formula>
    </cfRule>
  </conditionalFormatting>
  <conditionalFormatting sqref="BD25">
    <cfRule type="cellIs" dxfId="40040" priority="83070" stopIfTrue="1" operator="greaterThanOrEqual">
      <formula>0.5</formula>
    </cfRule>
  </conditionalFormatting>
  <conditionalFormatting sqref="BD26">
    <cfRule type="cellIs" dxfId="40039" priority="83071" stopIfTrue="1" operator="equal">
      <formula>-1</formula>
    </cfRule>
  </conditionalFormatting>
  <conditionalFormatting sqref="BD26">
    <cfRule type="cellIs" dxfId="40038" priority="83072" stopIfTrue="1" operator="lessThan">
      <formula>0.5</formula>
    </cfRule>
  </conditionalFormatting>
  <conditionalFormatting sqref="BD26">
    <cfRule type="cellIs" dxfId="40037" priority="83073" stopIfTrue="1" operator="greaterThanOrEqual">
      <formula>0.5</formula>
    </cfRule>
  </conditionalFormatting>
  <conditionalFormatting sqref="BD27">
    <cfRule type="cellIs" dxfId="40036" priority="83074" stopIfTrue="1" operator="equal">
      <formula>-1</formula>
    </cfRule>
  </conditionalFormatting>
  <conditionalFormatting sqref="BD27">
    <cfRule type="cellIs" dxfId="40035" priority="83075" stopIfTrue="1" operator="lessThan">
      <formula>0.5</formula>
    </cfRule>
  </conditionalFormatting>
  <conditionalFormatting sqref="BD27">
    <cfRule type="cellIs" dxfId="40034" priority="83076" stopIfTrue="1" operator="greaterThanOrEqual">
      <formula>0.5</formula>
    </cfRule>
  </conditionalFormatting>
  <conditionalFormatting sqref="BD28">
    <cfRule type="cellIs" dxfId="40033" priority="83077" stopIfTrue="1" operator="equal">
      <formula>-1</formula>
    </cfRule>
  </conditionalFormatting>
  <conditionalFormatting sqref="BD28">
    <cfRule type="cellIs" dxfId="40032" priority="83078" stopIfTrue="1" operator="lessThan">
      <formula>0.5</formula>
    </cfRule>
  </conditionalFormatting>
  <conditionalFormatting sqref="BD28">
    <cfRule type="cellIs" dxfId="40031" priority="83079" stopIfTrue="1" operator="greaterThanOrEqual">
      <formula>0.5</formula>
    </cfRule>
  </conditionalFormatting>
  <conditionalFormatting sqref="BD29">
    <cfRule type="cellIs" dxfId="40030" priority="83080" stopIfTrue="1" operator="equal">
      <formula>-1</formula>
    </cfRule>
  </conditionalFormatting>
  <conditionalFormatting sqref="BD29">
    <cfRule type="cellIs" dxfId="40029" priority="83081" stopIfTrue="1" operator="lessThan">
      <formula>0.5</formula>
    </cfRule>
  </conditionalFormatting>
  <conditionalFormatting sqref="BD29">
    <cfRule type="cellIs" dxfId="40028" priority="83082" stopIfTrue="1" operator="greaterThanOrEqual">
      <formula>0.5</formula>
    </cfRule>
  </conditionalFormatting>
  <conditionalFormatting sqref="BD30">
    <cfRule type="cellIs" dxfId="40027" priority="83083" stopIfTrue="1" operator="equal">
      <formula>-1</formula>
    </cfRule>
  </conditionalFormatting>
  <conditionalFormatting sqref="BD30">
    <cfRule type="cellIs" dxfId="40026" priority="83084" stopIfTrue="1" operator="lessThan">
      <formula>0.5</formula>
    </cfRule>
  </conditionalFormatting>
  <conditionalFormatting sqref="BD30">
    <cfRule type="cellIs" dxfId="40025" priority="83085" stopIfTrue="1" operator="greaterThanOrEqual">
      <formula>0.5</formula>
    </cfRule>
  </conditionalFormatting>
  <conditionalFormatting sqref="BD31">
    <cfRule type="cellIs" dxfId="40024" priority="83086" stopIfTrue="1" operator="equal">
      <formula>-1</formula>
    </cfRule>
  </conditionalFormatting>
  <conditionalFormatting sqref="BD31">
    <cfRule type="cellIs" dxfId="40023" priority="83087" stopIfTrue="1" operator="lessThan">
      <formula>0.5</formula>
    </cfRule>
  </conditionalFormatting>
  <conditionalFormatting sqref="BD31">
    <cfRule type="cellIs" dxfId="40022" priority="83088" stopIfTrue="1" operator="greaterThanOrEqual">
      <formula>0.5</formula>
    </cfRule>
  </conditionalFormatting>
  <conditionalFormatting sqref="BD32">
    <cfRule type="cellIs" dxfId="40021" priority="83089" stopIfTrue="1" operator="equal">
      <formula>-1</formula>
    </cfRule>
  </conditionalFormatting>
  <conditionalFormatting sqref="BD32">
    <cfRule type="cellIs" dxfId="40020" priority="83090" stopIfTrue="1" operator="lessThan">
      <formula>0.5</formula>
    </cfRule>
  </conditionalFormatting>
  <conditionalFormatting sqref="BD32">
    <cfRule type="cellIs" dxfId="40019" priority="83091" stopIfTrue="1" operator="greaterThanOrEqual">
      <formula>0.5</formula>
    </cfRule>
  </conditionalFormatting>
  <conditionalFormatting sqref="BD33">
    <cfRule type="cellIs" dxfId="40018" priority="83092" stopIfTrue="1" operator="equal">
      <formula>-1</formula>
    </cfRule>
  </conditionalFormatting>
  <conditionalFormatting sqref="BD33">
    <cfRule type="cellIs" dxfId="40017" priority="83093" stopIfTrue="1" operator="lessThan">
      <formula>0.5</formula>
    </cfRule>
  </conditionalFormatting>
  <conditionalFormatting sqref="BD33">
    <cfRule type="cellIs" dxfId="40016" priority="83094" stopIfTrue="1" operator="greaterThanOrEqual">
      <formula>0.5</formula>
    </cfRule>
  </conditionalFormatting>
  <conditionalFormatting sqref="BD34">
    <cfRule type="cellIs" dxfId="40015" priority="83095" stopIfTrue="1" operator="equal">
      <formula>-1</formula>
    </cfRule>
  </conditionalFormatting>
  <conditionalFormatting sqref="BD34">
    <cfRule type="cellIs" dxfId="40014" priority="83096" stopIfTrue="1" operator="lessThan">
      <formula>0.5</formula>
    </cfRule>
  </conditionalFormatting>
  <conditionalFormatting sqref="BD34">
    <cfRule type="cellIs" dxfId="40013" priority="83097" stopIfTrue="1" operator="greaterThanOrEqual">
      <formula>0.5</formula>
    </cfRule>
  </conditionalFormatting>
  <conditionalFormatting sqref="BD35">
    <cfRule type="cellIs" dxfId="40012" priority="83098" stopIfTrue="1" operator="equal">
      <formula>-1</formula>
    </cfRule>
  </conditionalFormatting>
  <conditionalFormatting sqref="BD35">
    <cfRule type="cellIs" dxfId="40011" priority="83099" stopIfTrue="1" operator="lessThan">
      <formula>0.5</formula>
    </cfRule>
  </conditionalFormatting>
  <conditionalFormatting sqref="BD35">
    <cfRule type="cellIs" dxfId="40010" priority="83100" stopIfTrue="1" operator="greaterThanOrEqual">
      <formula>0.5</formula>
    </cfRule>
  </conditionalFormatting>
  <conditionalFormatting sqref="BD36">
    <cfRule type="cellIs" dxfId="40009" priority="83101" stopIfTrue="1" operator="equal">
      <formula>-1</formula>
    </cfRule>
  </conditionalFormatting>
  <conditionalFormatting sqref="BD36">
    <cfRule type="cellIs" dxfId="40008" priority="83102" stopIfTrue="1" operator="lessThan">
      <formula>0.5</formula>
    </cfRule>
  </conditionalFormatting>
  <conditionalFormatting sqref="BD36">
    <cfRule type="cellIs" dxfId="40007" priority="83103" stopIfTrue="1" operator="greaterThanOrEqual">
      <formula>0.5</formula>
    </cfRule>
  </conditionalFormatting>
  <conditionalFormatting sqref="BD37">
    <cfRule type="cellIs" dxfId="40006" priority="83104" stopIfTrue="1" operator="equal">
      <formula>-1</formula>
    </cfRule>
  </conditionalFormatting>
  <conditionalFormatting sqref="BD37">
    <cfRule type="cellIs" dxfId="40005" priority="83105" stopIfTrue="1" operator="lessThan">
      <formula>0.5</formula>
    </cfRule>
  </conditionalFormatting>
  <conditionalFormatting sqref="BD37">
    <cfRule type="cellIs" dxfId="40004" priority="83106" stopIfTrue="1" operator="greaterThanOrEqual">
      <formula>0.5</formula>
    </cfRule>
  </conditionalFormatting>
  <conditionalFormatting sqref="BF17">
    <cfRule type="cellIs" dxfId="40003" priority="83107" stopIfTrue="1" operator="equal">
      <formula>-1</formula>
    </cfRule>
  </conditionalFormatting>
  <conditionalFormatting sqref="BF17">
    <cfRule type="cellIs" dxfId="40002" priority="83108" stopIfTrue="1" operator="lessThan">
      <formula>0.5</formula>
    </cfRule>
  </conditionalFormatting>
  <conditionalFormatting sqref="BF17">
    <cfRule type="cellIs" dxfId="40001" priority="83109" stopIfTrue="1" operator="greaterThanOrEqual">
      <formula>0.5</formula>
    </cfRule>
  </conditionalFormatting>
  <conditionalFormatting sqref="BF18">
    <cfRule type="cellIs" dxfId="40000" priority="83110" stopIfTrue="1" operator="equal">
      <formula>-1</formula>
    </cfRule>
  </conditionalFormatting>
  <conditionalFormatting sqref="BF18">
    <cfRule type="cellIs" dxfId="39999" priority="83111" stopIfTrue="1" operator="lessThan">
      <formula>0.5</formula>
    </cfRule>
  </conditionalFormatting>
  <conditionalFormatting sqref="BF18">
    <cfRule type="cellIs" dxfId="39998" priority="83112" stopIfTrue="1" operator="greaterThanOrEqual">
      <formula>0.5</formula>
    </cfRule>
  </conditionalFormatting>
  <conditionalFormatting sqref="BF19">
    <cfRule type="cellIs" dxfId="39997" priority="83113" stopIfTrue="1" operator="equal">
      <formula>-1</formula>
    </cfRule>
  </conditionalFormatting>
  <conditionalFormatting sqref="BF19">
    <cfRule type="cellIs" dxfId="39996" priority="83114" stopIfTrue="1" operator="lessThan">
      <formula>0.5</formula>
    </cfRule>
  </conditionalFormatting>
  <conditionalFormatting sqref="BF19">
    <cfRule type="cellIs" dxfId="39995" priority="83115" stopIfTrue="1" operator="greaterThanOrEqual">
      <formula>0.5</formula>
    </cfRule>
  </conditionalFormatting>
  <conditionalFormatting sqref="BF20">
    <cfRule type="cellIs" dxfId="39994" priority="83116" stopIfTrue="1" operator="equal">
      <formula>-1</formula>
    </cfRule>
  </conditionalFormatting>
  <conditionalFormatting sqref="BF20">
    <cfRule type="cellIs" dxfId="39993" priority="83117" stopIfTrue="1" operator="lessThan">
      <formula>0.5</formula>
    </cfRule>
  </conditionalFormatting>
  <conditionalFormatting sqref="BF20">
    <cfRule type="cellIs" dxfId="39992" priority="83118" stopIfTrue="1" operator="greaterThanOrEqual">
      <formula>0.5</formula>
    </cfRule>
  </conditionalFormatting>
  <conditionalFormatting sqref="BF21">
    <cfRule type="cellIs" dxfId="39991" priority="83119" stopIfTrue="1" operator="equal">
      <formula>-1</formula>
    </cfRule>
  </conditionalFormatting>
  <conditionalFormatting sqref="BF21">
    <cfRule type="cellIs" dxfId="39990" priority="83120" stopIfTrue="1" operator="lessThan">
      <formula>0.5</formula>
    </cfRule>
  </conditionalFormatting>
  <conditionalFormatting sqref="BF21">
    <cfRule type="cellIs" dxfId="39989" priority="83121" stopIfTrue="1" operator="greaterThanOrEqual">
      <formula>0.5</formula>
    </cfRule>
  </conditionalFormatting>
  <conditionalFormatting sqref="BF22">
    <cfRule type="cellIs" dxfId="39988" priority="83122" stopIfTrue="1" operator="equal">
      <formula>-1</formula>
    </cfRule>
  </conditionalFormatting>
  <conditionalFormatting sqref="BF22">
    <cfRule type="cellIs" dxfId="39987" priority="83123" stopIfTrue="1" operator="lessThan">
      <formula>0.5</formula>
    </cfRule>
  </conditionalFormatting>
  <conditionalFormatting sqref="BF22">
    <cfRule type="cellIs" dxfId="39986" priority="83124" stopIfTrue="1" operator="greaterThanOrEqual">
      <formula>0.5</formula>
    </cfRule>
  </conditionalFormatting>
  <conditionalFormatting sqref="BF23">
    <cfRule type="cellIs" dxfId="39985" priority="83125" stopIfTrue="1" operator="equal">
      <formula>-1</formula>
    </cfRule>
  </conditionalFormatting>
  <conditionalFormatting sqref="BF23">
    <cfRule type="cellIs" dxfId="39984" priority="83126" stopIfTrue="1" operator="lessThan">
      <formula>0.5</formula>
    </cfRule>
  </conditionalFormatting>
  <conditionalFormatting sqref="BF23">
    <cfRule type="cellIs" dxfId="39983" priority="83127" stopIfTrue="1" operator="greaterThanOrEqual">
      <formula>0.5</formula>
    </cfRule>
  </conditionalFormatting>
  <conditionalFormatting sqref="BF24">
    <cfRule type="cellIs" dxfId="39982" priority="83128" stopIfTrue="1" operator="equal">
      <formula>-1</formula>
    </cfRule>
  </conditionalFormatting>
  <conditionalFormatting sqref="BF24">
    <cfRule type="cellIs" dxfId="39981" priority="83129" stopIfTrue="1" operator="lessThan">
      <formula>0.5</formula>
    </cfRule>
  </conditionalFormatting>
  <conditionalFormatting sqref="BF24">
    <cfRule type="cellIs" dxfId="39980" priority="83130" stopIfTrue="1" operator="greaterThanOrEqual">
      <formula>0.5</formula>
    </cfRule>
  </conditionalFormatting>
  <conditionalFormatting sqref="BF25">
    <cfRule type="cellIs" dxfId="39979" priority="83131" stopIfTrue="1" operator="equal">
      <formula>-1</formula>
    </cfRule>
  </conditionalFormatting>
  <conditionalFormatting sqref="BF25">
    <cfRule type="cellIs" dxfId="39978" priority="83132" stopIfTrue="1" operator="lessThan">
      <formula>0.5</formula>
    </cfRule>
  </conditionalFormatting>
  <conditionalFormatting sqref="BF25">
    <cfRule type="cellIs" dxfId="39977" priority="83133" stopIfTrue="1" operator="greaterThanOrEqual">
      <formula>0.5</formula>
    </cfRule>
  </conditionalFormatting>
  <conditionalFormatting sqref="BF26">
    <cfRule type="cellIs" dxfId="39976" priority="83134" stopIfTrue="1" operator="equal">
      <formula>-1</formula>
    </cfRule>
  </conditionalFormatting>
  <conditionalFormatting sqref="BF26">
    <cfRule type="cellIs" dxfId="39975" priority="83135" stopIfTrue="1" operator="lessThan">
      <formula>0.5</formula>
    </cfRule>
  </conditionalFormatting>
  <conditionalFormatting sqref="BF26">
    <cfRule type="cellIs" dxfId="39974" priority="83136" stopIfTrue="1" operator="greaterThanOrEqual">
      <formula>0.5</formula>
    </cfRule>
  </conditionalFormatting>
  <conditionalFormatting sqref="BF27">
    <cfRule type="cellIs" dxfId="39973" priority="83137" stopIfTrue="1" operator="equal">
      <formula>-1</formula>
    </cfRule>
  </conditionalFormatting>
  <conditionalFormatting sqref="BF27">
    <cfRule type="cellIs" dxfId="39972" priority="83138" stopIfTrue="1" operator="lessThan">
      <formula>0.5</formula>
    </cfRule>
  </conditionalFormatting>
  <conditionalFormatting sqref="BF27">
    <cfRule type="cellIs" dxfId="39971" priority="83139" stopIfTrue="1" operator="greaterThanOrEqual">
      <formula>0.5</formula>
    </cfRule>
  </conditionalFormatting>
  <conditionalFormatting sqref="BF28">
    <cfRule type="cellIs" dxfId="39970" priority="83140" stopIfTrue="1" operator="equal">
      <formula>-1</formula>
    </cfRule>
  </conditionalFormatting>
  <conditionalFormatting sqref="BF28">
    <cfRule type="cellIs" dxfId="39969" priority="83141" stopIfTrue="1" operator="lessThan">
      <formula>0.5</formula>
    </cfRule>
  </conditionalFormatting>
  <conditionalFormatting sqref="BF28">
    <cfRule type="cellIs" dxfId="39968" priority="83142" stopIfTrue="1" operator="greaterThanOrEqual">
      <formula>0.5</formula>
    </cfRule>
  </conditionalFormatting>
  <conditionalFormatting sqref="BF29">
    <cfRule type="cellIs" dxfId="39967" priority="83143" stopIfTrue="1" operator="equal">
      <formula>-1</formula>
    </cfRule>
  </conditionalFormatting>
  <conditionalFormatting sqref="BF29">
    <cfRule type="cellIs" dxfId="39966" priority="83144" stopIfTrue="1" operator="lessThan">
      <formula>0.5</formula>
    </cfRule>
  </conditionalFormatting>
  <conditionalFormatting sqref="BF29">
    <cfRule type="cellIs" dxfId="39965" priority="83145" stopIfTrue="1" operator="greaterThanOrEqual">
      <formula>0.5</formula>
    </cfRule>
  </conditionalFormatting>
  <conditionalFormatting sqref="BF30">
    <cfRule type="cellIs" dxfId="39964" priority="83146" stopIfTrue="1" operator="equal">
      <formula>-1</formula>
    </cfRule>
  </conditionalFormatting>
  <conditionalFormatting sqref="BF30">
    <cfRule type="cellIs" dxfId="39963" priority="83147" stopIfTrue="1" operator="lessThan">
      <formula>0.5</formula>
    </cfRule>
  </conditionalFormatting>
  <conditionalFormatting sqref="BF30">
    <cfRule type="cellIs" dxfId="39962" priority="83148" stopIfTrue="1" operator="greaterThanOrEqual">
      <formula>0.5</formula>
    </cfRule>
  </conditionalFormatting>
  <conditionalFormatting sqref="BF31">
    <cfRule type="cellIs" dxfId="39961" priority="83149" stopIfTrue="1" operator="equal">
      <formula>-1</formula>
    </cfRule>
  </conditionalFormatting>
  <conditionalFormatting sqref="BF31">
    <cfRule type="cellIs" dxfId="39960" priority="83150" stopIfTrue="1" operator="lessThan">
      <formula>0.5</formula>
    </cfRule>
  </conditionalFormatting>
  <conditionalFormatting sqref="BF31">
    <cfRule type="cellIs" dxfId="39959" priority="83151" stopIfTrue="1" operator="greaterThanOrEqual">
      <formula>0.5</formula>
    </cfRule>
  </conditionalFormatting>
  <conditionalFormatting sqref="BF32">
    <cfRule type="cellIs" dxfId="39958" priority="83152" stopIfTrue="1" operator="equal">
      <formula>-1</formula>
    </cfRule>
  </conditionalFormatting>
  <conditionalFormatting sqref="BF32">
    <cfRule type="cellIs" dxfId="39957" priority="83153" stopIfTrue="1" operator="lessThan">
      <formula>0.5</formula>
    </cfRule>
  </conditionalFormatting>
  <conditionalFormatting sqref="BF32">
    <cfRule type="cellIs" dxfId="39956" priority="83154" stopIfTrue="1" operator="greaterThanOrEqual">
      <formula>0.5</formula>
    </cfRule>
  </conditionalFormatting>
  <conditionalFormatting sqref="BF33">
    <cfRule type="cellIs" dxfId="39955" priority="83155" stopIfTrue="1" operator="equal">
      <formula>-1</formula>
    </cfRule>
  </conditionalFormatting>
  <conditionalFormatting sqref="BF33">
    <cfRule type="cellIs" dxfId="39954" priority="83156" stopIfTrue="1" operator="lessThan">
      <formula>0.5</formula>
    </cfRule>
  </conditionalFormatting>
  <conditionalFormatting sqref="BF33">
    <cfRule type="cellIs" dxfId="39953" priority="83157" stopIfTrue="1" operator="greaterThanOrEqual">
      <formula>0.5</formula>
    </cfRule>
  </conditionalFormatting>
  <conditionalFormatting sqref="BF34">
    <cfRule type="cellIs" dxfId="39952" priority="83158" stopIfTrue="1" operator="equal">
      <formula>-1</formula>
    </cfRule>
  </conditionalFormatting>
  <conditionalFormatting sqref="BF34">
    <cfRule type="cellIs" dxfId="39951" priority="83159" stopIfTrue="1" operator="lessThan">
      <formula>0.5</formula>
    </cfRule>
  </conditionalFormatting>
  <conditionalFormatting sqref="BF34">
    <cfRule type="cellIs" dxfId="39950" priority="83160" stopIfTrue="1" operator="greaterThanOrEqual">
      <formula>0.5</formula>
    </cfRule>
  </conditionalFormatting>
  <conditionalFormatting sqref="BF35">
    <cfRule type="cellIs" dxfId="39949" priority="83161" stopIfTrue="1" operator="equal">
      <formula>-1</formula>
    </cfRule>
  </conditionalFormatting>
  <conditionalFormatting sqref="BF35">
    <cfRule type="cellIs" dxfId="39948" priority="83162" stopIfTrue="1" operator="lessThan">
      <formula>0.5</formula>
    </cfRule>
  </conditionalFormatting>
  <conditionalFormatting sqref="BF35">
    <cfRule type="cellIs" dxfId="39947" priority="83163" stopIfTrue="1" operator="greaterThanOrEqual">
      <formula>0.5</formula>
    </cfRule>
  </conditionalFormatting>
  <conditionalFormatting sqref="BF36">
    <cfRule type="cellIs" dxfId="39946" priority="83164" stopIfTrue="1" operator="equal">
      <formula>-1</formula>
    </cfRule>
  </conditionalFormatting>
  <conditionalFormatting sqref="BF36">
    <cfRule type="cellIs" dxfId="39945" priority="83165" stopIfTrue="1" operator="lessThan">
      <formula>0.5</formula>
    </cfRule>
  </conditionalFormatting>
  <conditionalFormatting sqref="BF36">
    <cfRule type="cellIs" dxfId="39944" priority="83166" stopIfTrue="1" operator="greaterThanOrEqual">
      <formula>0.5</formula>
    </cfRule>
  </conditionalFormatting>
  <conditionalFormatting sqref="BF37">
    <cfRule type="cellIs" dxfId="39943" priority="83167" stopIfTrue="1" operator="equal">
      <formula>-1</formula>
    </cfRule>
  </conditionalFormatting>
  <conditionalFormatting sqref="BF37">
    <cfRule type="cellIs" dxfId="39942" priority="83168" stopIfTrue="1" operator="lessThan">
      <formula>0.5</formula>
    </cfRule>
  </conditionalFormatting>
  <conditionalFormatting sqref="BF37">
    <cfRule type="cellIs" dxfId="39941" priority="83169" stopIfTrue="1" operator="greaterThanOrEqual">
      <formula>0.5</formula>
    </cfRule>
  </conditionalFormatting>
  <conditionalFormatting sqref="BH17">
    <cfRule type="cellIs" dxfId="39940" priority="83170" stopIfTrue="1" operator="equal">
      <formula>-1</formula>
    </cfRule>
  </conditionalFormatting>
  <conditionalFormatting sqref="BH17">
    <cfRule type="cellIs" dxfId="39939" priority="83171" stopIfTrue="1" operator="lessThan">
      <formula>0.5</formula>
    </cfRule>
  </conditionalFormatting>
  <conditionalFormatting sqref="BH17">
    <cfRule type="cellIs" dxfId="39938" priority="83172" stopIfTrue="1" operator="greaterThanOrEqual">
      <formula>0.5</formula>
    </cfRule>
  </conditionalFormatting>
  <conditionalFormatting sqref="BH18">
    <cfRule type="cellIs" dxfId="39937" priority="83173" stopIfTrue="1" operator="equal">
      <formula>-1</formula>
    </cfRule>
  </conditionalFormatting>
  <conditionalFormatting sqref="BH18">
    <cfRule type="cellIs" dxfId="39936" priority="83174" stopIfTrue="1" operator="lessThan">
      <formula>0.5</formula>
    </cfRule>
  </conditionalFormatting>
  <conditionalFormatting sqref="BH18">
    <cfRule type="cellIs" dxfId="39935" priority="83175" stopIfTrue="1" operator="greaterThanOrEqual">
      <formula>0.5</formula>
    </cfRule>
  </conditionalFormatting>
  <conditionalFormatting sqref="BH19">
    <cfRule type="cellIs" dxfId="39934" priority="83176" stopIfTrue="1" operator="equal">
      <formula>-1</formula>
    </cfRule>
  </conditionalFormatting>
  <conditionalFormatting sqref="BH19">
    <cfRule type="cellIs" dxfId="39933" priority="83177" stopIfTrue="1" operator="lessThan">
      <formula>0.5</formula>
    </cfRule>
  </conditionalFormatting>
  <conditionalFormatting sqref="BH19">
    <cfRule type="cellIs" dxfId="39932" priority="83178" stopIfTrue="1" operator="greaterThanOrEqual">
      <formula>0.5</formula>
    </cfRule>
  </conditionalFormatting>
  <conditionalFormatting sqref="BH20">
    <cfRule type="cellIs" dxfId="39931" priority="83179" stopIfTrue="1" operator="equal">
      <formula>-1</formula>
    </cfRule>
  </conditionalFormatting>
  <conditionalFormatting sqref="BH20">
    <cfRule type="cellIs" dxfId="39930" priority="83180" stopIfTrue="1" operator="lessThan">
      <formula>0.5</formula>
    </cfRule>
  </conditionalFormatting>
  <conditionalFormatting sqref="BH20">
    <cfRule type="cellIs" dxfId="39929" priority="83181" stopIfTrue="1" operator="greaterThanOrEqual">
      <formula>0.5</formula>
    </cfRule>
  </conditionalFormatting>
  <conditionalFormatting sqref="BH21">
    <cfRule type="cellIs" dxfId="39928" priority="83182" stopIfTrue="1" operator="equal">
      <formula>-1</formula>
    </cfRule>
  </conditionalFormatting>
  <conditionalFormatting sqref="BH21">
    <cfRule type="cellIs" dxfId="39927" priority="83183" stopIfTrue="1" operator="lessThan">
      <formula>0.5</formula>
    </cfRule>
  </conditionalFormatting>
  <conditionalFormatting sqref="BH21">
    <cfRule type="cellIs" dxfId="39926" priority="83184" stopIfTrue="1" operator="greaterThanOrEqual">
      <formula>0.5</formula>
    </cfRule>
  </conditionalFormatting>
  <conditionalFormatting sqref="BH22">
    <cfRule type="cellIs" dxfId="39925" priority="83185" stopIfTrue="1" operator="equal">
      <formula>-1</formula>
    </cfRule>
  </conditionalFormatting>
  <conditionalFormatting sqref="BH22">
    <cfRule type="cellIs" dxfId="39924" priority="83186" stopIfTrue="1" operator="lessThan">
      <formula>0.5</formula>
    </cfRule>
  </conditionalFormatting>
  <conditionalFormatting sqref="BH22">
    <cfRule type="cellIs" dxfId="39923" priority="83187" stopIfTrue="1" operator="greaterThanOrEqual">
      <formula>0.5</formula>
    </cfRule>
  </conditionalFormatting>
  <conditionalFormatting sqref="BH23">
    <cfRule type="cellIs" dxfId="39922" priority="83188" stopIfTrue="1" operator="equal">
      <formula>-1</formula>
    </cfRule>
  </conditionalFormatting>
  <conditionalFormatting sqref="BH23">
    <cfRule type="cellIs" dxfId="39921" priority="83189" stopIfTrue="1" operator="lessThan">
      <formula>0.5</formula>
    </cfRule>
  </conditionalFormatting>
  <conditionalFormatting sqref="BH23">
    <cfRule type="cellIs" dxfId="39920" priority="83190" stopIfTrue="1" operator="greaterThanOrEqual">
      <formula>0.5</formula>
    </cfRule>
  </conditionalFormatting>
  <conditionalFormatting sqref="BH24">
    <cfRule type="cellIs" dxfId="39919" priority="83191" stopIfTrue="1" operator="equal">
      <formula>-1</formula>
    </cfRule>
  </conditionalFormatting>
  <conditionalFormatting sqref="BH24">
    <cfRule type="cellIs" dxfId="39918" priority="83192" stopIfTrue="1" operator="lessThan">
      <formula>0.5</formula>
    </cfRule>
  </conditionalFormatting>
  <conditionalFormatting sqref="BH24">
    <cfRule type="cellIs" dxfId="39917" priority="83193" stopIfTrue="1" operator="greaterThanOrEqual">
      <formula>0.5</formula>
    </cfRule>
  </conditionalFormatting>
  <conditionalFormatting sqref="BH25">
    <cfRule type="cellIs" dxfId="39916" priority="83194" stopIfTrue="1" operator="equal">
      <formula>-1</formula>
    </cfRule>
  </conditionalFormatting>
  <conditionalFormatting sqref="BH25">
    <cfRule type="cellIs" dxfId="39915" priority="83195" stopIfTrue="1" operator="lessThan">
      <formula>0.5</formula>
    </cfRule>
  </conditionalFormatting>
  <conditionalFormatting sqref="BH25">
    <cfRule type="cellIs" dxfId="39914" priority="83196" stopIfTrue="1" operator="greaterThanOrEqual">
      <formula>0.5</formula>
    </cfRule>
  </conditionalFormatting>
  <conditionalFormatting sqref="BH26">
    <cfRule type="cellIs" dxfId="39913" priority="83197" stopIfTrue="1" operator="equal">
      <formula>-1</formula>
    </cfRule>
  </conditionalFormatting>
  <conditionalFormatting sqref="BH26">
    <cfRule type="cellIs" dxfId="39912" priority="83198" stopIfTrue="1" operator="lessThan">
      <formula>0.5</formula>
    </cfRule>
  </conditionalFormatting>
  <conditionalFormatting sqref="BH26">
    <cfRule type="cellIs" dxfId="39911" priority="83199" stopIfTrue="1" operator="greaterThanOrEqual">
      <formula>0.5</formula>
    </cfRule>
  </conditionalFormatting>
  <conditionalFormatting sqref="BH27">
    <cfRule type="cellIs" dxfId="39910" priority="83200" stopIfTrue="1" operator="equal">
      <formula>-1</formula>
    </cfRule>
  </conditionalFormatting>
  <conditionalFormatting sqref="BH27">
    <cfRule type="cellIs" dxfId="39909" priority="83201" stopIfTrue="1" operator="lessThan">
      <formula>0.5</formula>
    </cfRule>
  </conditionalFormatting>
  <conditionalFormatting sqref="BH27">
    <cfRule type="cellIs" dxfId="39908" priority="83202" stopIfTrue="1" operator="greaterThanOrEqual">
      <formula>0.5</formula>
    </cfRule>
  </conditionalFormatting>
  <conditionalFormatting sqref="BH28">
    <cfRule type="cellIs" dxfId="39907" priority="83203" stopIfTrue="1" operator="equal">
      <formula>-1</formula>
    </cfRule>
  </conditionalFormatting>
  <conditionalFormatting sqref="BH28">
    <cfRule type="cellIs" dxfId="39906" priority="83204" stopIfTrue="1" operator="lessThan">
      <formula>0.5</formula>
    </cfRule>
  </conditionalFormatting>
  <conditionalFormatting sqref="BH28">
    <cfRule type="cellIs" dxfId="39905" priority="83205" stopIfTrue="1" operator="greaterThanOrEqual">
      <formula>0.5</formula>
    </cfRule>
  </conditionalFormatting>
  <conditionalFormatting sqref="BH29">
    <cfRule type="cellIs" dxfId="39904" priority="83206" stopIfTrue="1" operator="equal">
      <formula>-1</formula>
    </cfRule>
  </conditionalFormatting>
  <conditionalFormatting sqref="BH29">
    <cfRule type="cellIs" dxfId="39903" priority="83207" stopIfTrue="1" operator="lessThan">
      <formula>0.5</formula>
    </cfRule>
  </conditionalFormatting>
  <conditionalFormatting sqref="BH29">
    <cfRule type="cellIs" dxfId="39902" priority="83208" stopIfTrue="1" operator="greaterThanOrEqual">
      <formula>0.5</formula>
    </cfRule>
  </conditionalFormatting>
  <conditionalFormatting sqref="BH30">
    <cfRule type="cellIs" dxfId="39901" priority="83209" stopIfTrue="1" operator="equal">
      <formula>-1</formula>
    </cfRule>
  </conditionalFormatting>
  <conditionalFormatting sqref="BH30">
    <cfRule type="cellIs" dxfId="39900" priority="83210" stopIfTrue="1" operator="lessThan">
      <formula>0.5</formula>
    </cfRule>
  </conditionalFormatting>
  <conditionalFormatting sqref="BH30">
    <cfRule type="cellIs" dxfId="39899" priority="83211" stopIfTrue="1" operator="greaterThanOrEqual">
      <formula>0.5</formula>
    </cfRule>
  </conditionalFormatting>
  <conditionalFormatting sqref="BH31">
    <cfRule type="cellIs" dxfId="39898" priority="83212" stopIfTrue="1" operator="equal">
      <formula>-1</formula>
    </cfRule>
  </conditionalFormatting>
  <conditionalFormatting sqref="BH31">
    <cfRule type="cellIs" dxfId="39897" priority="83213" stopIfTrue="1" operator="lessThan">
      <formula>0.5</formula>
    </cfRule>
  </conditionalFormatting>
  <conditionalFormatting sqref="BH31">
    <cfRule type="cellIs" dxfId="39896" priority="83214" stopIfTrue="1" operator="greaterThanOrEqual">
      <formula>0.5</formula>
    </cfRule>
  </conditionalFormatting>
  <conditionalFormatting sqref="BH32">
    <cfRule type="cellIs" dxfId="39895" priority="83215" stopIfTrue="1" operator="equal">
      <formula>-1</formula>
    </cfRule>
  </conditionalFormatting>
  <conditionalFormatting sqref="BH32">
    <cfRule type="cellIs" dxfId="39894" priority="83216" stopIfTrue="1" operator="lessThan">
      <formula>0.5</formula>
    </cfRule>
  </conditionalFormatting>
  <conditionalFormatting sqref="BH32">
    <cfRule type="cellIs" dxfId="39893" priority="83217" stopIfTrue="1" operator="greaterThanOrEqual">
      <formula>0.5</formula>
    </cfRule>
  </conditionalFormatting>
  <conditionalFormatting sqref="BH33">
    <cfRule type="cellIs" dxfId="39892" priority="83218" stopIfTrue="1" operator="equal">
      <formula>-1</formula>
    </cfRule>
  </conditionalFormatting>
  <conditionalFormatting sqref="BH33">
    <cfRule type="cellIs" dxfId="39891" priority="83219" stopIfTrue="1" operator="lessThan">
      <formula>0.5</formula>
    </cfRule>
  </conditionalFormatting>
  <conditionalFormatting sqref="BH33">
    <cfRule type="cellIs" dxfId="39890" priority="83220" stopIfTrue="1" operator="greaterThanOrEqual">
      <formula>0.5</formula>
    </cfRule>
  </conditionalFormatting>
  <conditionalFormatting sqref="BH34">
    <cfRule type="cellIs" dxfId="39889" priority="83221" stopIfTrue="1" operator="equal">
      <formula>-1</formula>
    </cfRule>
  </conditionalFormatting>
  <conditionalFormatting sqref="BH34">
    <cfRule type="cellIs" dxfId="39888" priority="83222" stopIfTrue="1" operator="lessThan">
      <formula>0.5</formula>
    </cfRule>
  </conditionalFormatting>
  <conditionalFormatting sqref="BH34">
    <cfRule type="cellIs" dxfId="39887" priority="83223" stopIfTrue="1" operator="greaterThanOrEqual">
      <formula>0.5</formula>
    </cfRule>
  </conditionalFormatting>
  <conditionalFormatting sqref="BH35">
    <cfRule type="cellIs" dxfId="39886" priority="83224" stopIfTrue="1" operator="equal">
      <formula>-1</formula>
    </cfRule>
  </conditionalFormatting>
  <conditionalFormatting sqref="BH35">
    <cfRule type="cellIs" dxfId="39885" priority="83225" stopIfTrue="1" operator="lessThan">
      <formula>0.5</formula>
    </cfRule>
  </conditionalFormatting>
  <conditionalFormatting sqref="BH35">
    <cfRule type="cellIs" dxfId="39884" priority="83226" stopIfTrue="1" operator="greaterThanOrEqual">
      <formula>0.5</formula>
    </cfRule>
  </conditionalFormatting>
  <conditionalFormatting sqref="BH36">
    <cfRule type="cellIs" dxfId="39883" priority="83227" stopIfTrue="1" operator="equal">
      <formula>-1</formula>
    </cfRule>
  </conditionalFormatting>
  <conditionalFormatting sqref="BH36">
    <cfRule type="cellIs" dxfId="39882" priority="83228" stopIfTrue="1" operator="lessThan">
      <formula>0.5</formula>
    </cfRule>
  </conditionalFormatting>
  <conditionalFormatting sqref="BH36">
    <cfRule type="cellIs" dxfId="39881" priority="83229" stopIfTrue="1" operator="greaterThanOrEqual">
      <formula>0.5</formula>
    </cfRule>
  </conditionalFormatting>
  <conditionalFormatting sqref="BH37">
    <cfRule type="cellIs" dxfId="39880" priority="83230" stopIfTrue="1" operator="equal">
      <formula>-1</formula>
    </cfRule>
  </conditionalFormatting>
  <conditionalFormatting sqref="BH37">
    <cfRule type="cellIs" dxfId="39879" priority="83231" stopIfTrue="1" operator="lessThan">
      <formula>0.5</formula>
    </cfRule>
  </conditionalFormatting>
  <conditionalFormatting sqref="BH37">
    <cfRule type="cellIs" dxfId="39878" priority="83232" stopIfTrue="1" operator="greaterThanOrEqual">
      <formula>0.5</formula>
    </cfRule>
  </conditionalFormatting>
  <conditionalFormatting sqref="BJ17">
    <cfRule type="cellIs" dxfId="39877" priority="83233" stopIfTrue="1" operator="equal">
      <formula>-1</formula>
    </cfRule>
  </conditionalFormatting>
  <conditionalFormatting sqref="BJ17">
    <cfRule type="cellIs" dxfId="39876" priority="83234" stopIfTrue="1" operator="lessThan">
      <formula>0.5</formula>
    </cfRule>
  </conditionalFormatting>
  <conditionalFormatting sqref="BJ17">
    <cfRule type="cellIs" dxfId="39875" priority="83235" stopIfTrue="1" operator="greaterThanOrEqual">
      <formula>0.5</formula>
    </cfRule>
  </conditionalFormatting>
  <conditionalFormatting sqref="BJ18">
    <cfRule type="cellIs" dxfId="39874" priority="83236" stopIfTrue="1" operator="equal">
      <formula>-1</formula>
    </cfRule>
  </conditionalFormatting>
  <conditionalFormatting sqref="BJ18">
    <cfRule type="cellIs" dxfId="39873" priority="83237" stopIfTrue="1" operator="lessThan">
      <formula>0.5</formula>
    </cfRule>
  </conditionalFormatting>
  <conditionalFormatting sqref="BJ18">
    <cfRule type="cellIs" dxfId="39872" priority="83238" stopIfTrue="1" operator="greaterThanOrEqual">
      <formula>0.5</formula>
    </cfRule>
  </conditionalFormatting>
  <conditionalFormatting sqref="BJ19">
    <cfRule type="cellIs" dxfId="39871" priority="83239" stopIfTrue="1" operator="equal">
      <formula>-1</formula>
    </cfRule>
  </conditionalFormatting>
  <conditionalFormatting sqref="BJ19">
    <cfRule type="cellIs" dxfId="39870" priority="83240" stopIfTrue="1" operator="lessThan">
      <formula>0.5</formula>
    </cfRule>
  </conditionalFormatting>
  <conditionalFormatting sqref="BJ19">
    <cfRule type="cellIs" dxfId="39869" priority="83241" stopIfTrue="1" operator="greaterThanOrEqual">
      <formula>0.5</formula>
    </cfRule>
  </conditionalFormatting>
  <conditionalFormatting sqref="BJ20">
    <cfRule type="cellIs" dxfId="39868" priority="83242" stopIfTrue="1" operator="equal">
      <formula>-1</formula>
    </cfRule>
  </conditionalFormatting>
  <conditionalFormatting sqref="BJ20">
    <cfRule type="cellIs" dxfId="39867" priority="83243" stopIfTrue="1" operator="lessThan">
      <formula>0.5</formula>
    </cfRule>
  </conditionalFormatting>
  <conditionalFormatting sqref="BJ20">
    <cfRule type="cellIs" dxfId="39866" priority="83244" stopIfTrue="1" operator="greaterThanOrEqual">
      <formula>0.5</formula>
    </cfRule>
  </conditionalFormatting>
  <conditionalFormatting sqref="BJ21">
    <cfRule type="cellIs" dxfId="39865" priority="83245" stopIfTrue="1" operator="equal">
      <formula>-1</formula>
    </cfRule>
  </conditionalFormatting>
  <conditionalFormatting sqref="BJ21">
    <cfRule type="cellIs" dxfId="39864" priority="83246" stopIfTrue="1" operator="lessThan">
      <formula>0.5</formula>
    </cfRule>
  </conditionalFormatting>
  <conditionalFormatting sqref="BJ21">
    <cfRule type="cellIs" dxfId="39863" priority="83247" stopIfTrue="1" operator="greaterThanOrEqual">
      <formula>0.5</formula>
    </cfRule>
  </conditionalFormatting>
  <conditionalFormatting sqref="BJ22">
    <cfRule type="cellIs" dxfId="39862" priority="83248" stopIfTrue="1" operator="equal">
      <formula>-1</formula>
    </cfRule>
  </conditionalFormatting>
  <conditionalFormatting sqref="BJ22">
    <cfRule type="cellIs" dxfId="39861" priority="83249" stopIfTrue="1" operator="lessThan">
      <formula>0.5</formula>
    </cfRule>
  </conditionalFormatting>
  <conditionalFormatting sqref="BJ22">
    <cfRule type="cellIs" dxfId="39860" priority="83250" stopIfTrue="1" operator="greaterThanOrEqual">
      <formula>0.5</formula>
    </cfRule>
  </conditionalFormatting>
  <conditionalFormatting sqref="BJ23">
    <cfRule type="cellIs" dxfId="39859" priority="83251" stopIfTrue="1" operator="equal">
      <formula>-1</formula>
    </cfRule>
  </conditionalFormatting>
  <conditionalFormatting sqref="BJ23">
    <cfRule type="cellIs" dxfId="39858" priority="83252" stopIfTrue="1" operator="lessThan">
      <formula>0.5</formula>
    </cfRule>
  </conditionalFormatting>
  <conditionalFormatting sqref="BJ23">
    <cfRule type="cellIs" dxfId="39857" priority="83253" stopIfTrue="1" operator="greaterThanOrEqual">
      <formula>0.5</formula>
    </cfRule>
  </conditionalFormatting>
  <conditionalFormatting sqref="BJ24">
    <cfRule type="cellIs" dxfId="39856" priority="83254" stopIfTrue="1" operator="equal">
      <formula>-1</formula>
    </cfRule>
  </conditionalFormatting>
  <conditionalFormatting sqref="BJ24">
    <cfRule type="cellIs" dxfId="39855" priority="83255" stopIfTrue="1" operator="lessThan">
      <formula>0.5</formula>
    </cfRule>
  </conditionalFormatting>
  <conditionalFormatting sqref="BJ24">
    <cfRule type="cellIs" dxfId="39854" priority="83256" stopIfTrue="1" operator="greaterThanOrEqual">
      <formula>0.5</formula>
    </cfRule>
  </conditionalFormatting>
  <conditionalFormatting sqref="BJ25">
    <cfRule type="cellIs" dxfId="39853" priority="83257" stopIfTrue="1" operator="equal">
      <formula>-1</formula>
    </cfRule>
  </conditionalFormatting>
  <conditionalFormatting sqref="BJ25">
    <cfRule type="cellIs" dxfId="39852" priority="83258" stopIfTrue="1" operator="lessThan">
      <formula>0.5</formula>
    </cfRule>
  </conditionalFormatting>
  <conditionalFormatting sqref="BJ25">
    <cfRule type="cellIs" dxfId="39851" priority="83259" stopIfTrue="1" operator="greaterThanOrEqual">
      <formula>0.5</formula>
    </cfRule>
  </conditionalFormatting>
  <conditionalFormatting sqref="BJ26">
    <cfRule type="cellIs" dxfId="39850" priority="83260" stopIfTrue="1" operator="equal">
      <formula>-1</formula>
    </cfRule>
  </conditionalFormatting>
  <conditionalFormatting sqref="BJ26">
    <cfRule type="cellIs" dxfId="39849" priority="83261" stopIfTrue="1" operator="lessThan">
      <formula>0.5</formula>
    </cfRule>
  </conditionalFormatting>
  <conditionalFormatting sqref="BJ26">
    <cfRule type="cellIs" dxfId="39848" priority="83262" stopIfTrue="1" operator="greaterThanOrEqual">
      <formula>0.5</formula>
    </cfRule>
  </conditionalFormatting>
  <conditionalFormatting sqref="BJ27">
    <cfRule type="cellIs" dxfId="39847" priority="83263" stopIfTrue="1" operator="equal">
      <formula>-1</formula>
    </cfRule>
  </conditionalFormatting>
  <conditionalFormatting sqref="BJ27">
    <cfRule type="cellIs" dxfId="39846" priority="83264" stopIfTrue="1" operator="lessThan">
      <formula>0.5</formula>
    </cfRule>
  </conditionalFormatting>
  <conditionalFormatting sqref="BJ27">
    <cfRule type="cellIs" dxfId="39845" priority="83265" stopIfTrue="1" operator="greaterThanOrEqual">
      <formula>0.5</formula>
    </cfRule>
  </conditionalFormatting>
  <conditionalFormatting sqref="BJ28">
    <cfRule type="cellIs" dxfId="39844" priority="83266" stopIfTrue="1" operator="equal">
      <formula>-1</formula>
    </cfRule>
  </conditionalFormatting>
  <conditionalFormatting sqref="BJ28">
    <cfRule type="cellIs" dxfId="39843" priority="83267" stopIfTrue="1" operator="lessThan">
      <formula>0.5</formula>
    </cfRule>
  </conditionalFormatting>
  <conditionalFormatting sqref="BJ28">
    <cfRule type="cellIs" dxfId="39842" priority="83268" stopIfTrue="1" operator="greaterThanOrEqual">
      <formula>0.5</formula>
    </cfRule>
  </conditionalFormatting>
  <conditionalFormatting sqref="BJ29">
    <cfRule type="cellIs" dxfId="39841" priority="83269" stopIfTrue="1" operator="equal">
      <formula>-1</formula>
    </cfRule>
  </conditionalFormatting>
  <conditionalFormatting sqref="BJ29">
    <cfRule type="cellIs" dxfId="39840" priority="83270" stopIfTrue="1" operator="lessThan">
      <formula>0.5</formula>
    </cfRule>
  </conditionalFormatting>
  <conditionalFormatting sqref="BJ29">
    <cfRule type="cellIs" dxfId="39839" priority="83271" stopIfTrue="1" operator="greaterThanOrEqual">
      <formula>0.5</formula>
    </cfRule>
  </conditionalFormatting>
  <conditionalFormatting sqref="BJ30">
    <cfRule type="cellIs" dxfId="39838" priority="83272" stopIfTrue="1" operator="equal">
      <formula>-1</formula>
    </cfRule>
  </conditionalFormatting>
  <conditionalFormatting sqref="BJ30">
    <cfRule type="cellIs" dxfId="39837" priority="83273" stopIfTrue="1" operator="lessThan">
      <formula>0.5</formula>
    </cfRule>
  </conditionalFormatting>
  <conditionalFormatting sqref="BJ30">
    <cfRule type="cellIs" dxfId="39836" priority="83274" stopIfTrue="1" operator="greaterThanOrEqual">
      <formula>0.5</formula>
    </cfRule>
  </conditionalFormatting>
  <conditionalFormatting sqref="BJ31">
    <cfRule type="cellIs" dxfId="39835" priority="83275" stopIfTrue="1" operator="equal">
      <formula>-1</formula>
    </cfRule>
  </conditionalFormatting>
  <conditionalFormatting sqref="BJ31">
    <cfRule type="cellIs" dxfId="39834" priority="83276" stopIfTrue="1" operator="lessThan">
      <formula>0.5</formula>
    </cfRule>
  </conditionalFormatting>
  <conditionalFormatting sqref="BJ31">
    <cfRule type="cellIs" dxfId="39833" priority="83277" stopIfTrue="1" operator="greaterThanOrEqual">
      <formula>0.5</formula>
    </cfRule>
  </conditionalFormatting>
  <conditionalFormatting sqref="BJ32">
    <cfRule type="cellIs" dxfId="39832" priority="83278" stopIfTrue="1" operator="equal">
      <formula>-1</formula>
    </cfRule>
  </conditionalFormatting>
  <conditionalFormatting sqref="BJ32">
    <cfRule type="cellIs" dxfId="39831" priority="83279" stopIfTrue="1" operator="lessThan">
      <formula>0.5</formula>
    </cfRule>
  </conditionalFormatting>
  <conditionalFormatting sqref="BJ32">
    <cfRule type="cellIs" dxfId="39830" priority="83280" stopIfTrue="1" operator="greaterThanOrEqual">
      <formula>0.5</formula>
    </cfRule>
  </conditionalFormatting>
  <conditionalFormatting sqref="BJ33">
    <cfRule type="cellIs" dxfId="39829" priority="83281" stopIfTrue="1" operator="equal">
      <formula>-1</formula>
    </cfRule>
  </conditionalFormatting>
  <conditionalFormatting sqref="BJ33">
    <cfRule type="cellIs" dxfId="39828" priority="83282" stopIfTrue="1" operator="lessThan">
      <formula>0.5</formula>
    </cfRule>
  </conditionalFormatting>
  <conditionalFormatting sqref="BJ33">
    <cfRule type="cellIs" dxfId="39827" priority="83283" stopIfTrue="1" operator="greaterThanOrEqual">
      <formula>0.5</formula>
    </cfRule>
  </conditionalFormatting>
  <conditionalFormatting sqref="BJ34">
    <cfRule type="cellIs" dxfId="39826" priority="83284" stopIfTrue="1" operator="equal">
      <formula>-1</formula>
    </cfRule>
  </conditionalFormatting>
  <conditionalFormatting sqref="BJ34">
    <cfRule type="cellIs" dxfId="39825" priority="83285" stopIfTrue="1" operator="lessThan">
      <formula>0.5</formula>
    </cfRule>
  </conditionalFormatting>
  <conditionalFormatting sqref="BJ34">
    <cfRule type="cellIs" dxfId="39824" priority="83286" stopIfTrue="1" operator="greaterThanOrEqual">
      <formula>0.5</formula>
    </cfRule>
  </conditionalFormatting>
  <conditionalFormatting sqref="BJ35">
    <cfRule type="cellIs" dxfId="39823" priority="83287" stopIfTrue="1" operator="equal">
      <formula>-1</formula>
    </cfRule>
  </conditionalFormatting>
  <conditionalFormatting sqref="BJ35">
    <cfRule type="cellIs" dxfId="39822" priority="83288" stopIfTrue="1" operator="lessThan">
      <formula>0.5</formula>
    </cfRule>
  </conditionalFormatting>
  <conditionalFormatting sqref="BJ35">
    <cfRule type="cellIs" dxfId="39821" priority="83289" stopIfTrue="1" operator="greaterThanOrEqual">
      <formula>0.5</formula>
    </cfRule>
  </conditionalFormatting>
  <conditionalFormatting sqref="BJ36">
    <cfRule type="cellIs" dxfId="39820" priority="83290" stopIfTrue="1" operator="equal">
      <formula>-1</formula>
    </cfRule>
  </conditionalFormatting>
  <conditionalFormatting sqref="BJ36">
    <cfRule type="cellIs" dxfId="39819" priority="83291" stopIfTrue="1" operator="lessThan">
      <formula>0.5</formula>
    </cfRule>
  </conditionalFormatting>
  <conditionalFormatting sqref="BJ36">
    <cfRule type="cellIs" dxfId="39818" priority="83292" stopIfTrue="1" operator="greaterThanOrEqual">
      <formula>0.5</formula>
    </cfRule>
  </conditionalFormatting>
  <conditionalFormatting sqref="BJ37">
    <cfRule type="cellIs" dxfId="39817" priority="83293" stopIfTrue="1" operator="equal">
      <formula>-1</formula>
    </cfRule>
  </conditionalFormatting>
  <conditionalFormatting sqref="BJ37">
    <cfRule type="cellIs" dxfId="39816" priority="83294" stopIfTrue="1" operator="lessThan">
      <formula>0.5</formula>
    </cfRule>
  </conditionalFormatting>
  <conditionalFormatting sqref="BJ37">
    <cfRule type="cellIs" dxfId="39815" priority="8329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020DC-A58D-944F-A06E-1FAA87CC4EC7}">
  <sheetPr codeName="Sheet6">
    <tabColor theme="4"/>
    <pageSetUpPr fitToPage="1"/>
  </sheetPr>
  <dimension ref="A1:BJ40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" sqref="C2:D2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44" t="str" cm="1">
        <f t="array" ref="A1">[1]!GRUPO</f>
        <v>2º Bach.</v>
      </c>
      <c r="B1" s="57" t="s">
        <v>100</v>
      </c>
      <c r="C1" s="50">
        <v>1</v>
      </c>
      <c r="D1" s="50"/>
      <c r="E1" s="50">
        <v>2</v>
      </c>
      <c r="F1" s="50" t="s">
        <v>0</v>
      </c>
      <c r="G1" s="50">
        <v>3</v>
      </c>
      <c r="H1" s="50" t="s">
        <v>0</v>
      </c>
      <c r="I1" s="50">
        <v>4</v>
      </c>
      <c r="J1" s="50" t="s">
        <v>0</v>
      </c>
      <c r="K1" s="50">
        <v>5</v>
      </c>
      <c r="L1" s="50" t="s">
        <v>0</v>
      </c>
      <c r="M1" s="50">
        <v>6</v>
      </c>
      <c r="N1" s="50" t="s">
        <v>0</v>
      </c>
      <c r="O1" s="50">
        <v>7</v>
      </c>
      <c r="P1" s="50" t="s">
        <v>0</v>
      </c>
      <c r="Q1" s="50">
        <v>8</v>
      </c>
      <c r="R1" s="50" t="s">
        <v>0</v>
      </c>
      <c r="S1" s="50">
        <v>9</v>
      </c>
      <c r="T1" s="50" t="s">
        <v>0</v>
      </c>
      <c r="U1" s="50">
        <v>10</v>
      </c>
      <c r="V1" s="50" t="s">
        <v>0</v>
      </c>
      <c r="W1" s="50">
        <v>11</v>
      </c>
      <c r="X1" s="50" t="s">
        <v>0</v>
      </c>
      <c r="Y1" s="50">
        <v>12</v>
      </c>
      <c r="Z1" s="50" t="s">
        <v>1</v>
      </c>
      <c r="AA1" s="50">
        <v>13</v>
      </c>
      <c r="AB1" s="50" t="s">
        <v>0</v>
      </c>
      <c r="AC1" s="50">
        <v>14</v>
      </c>
      <c r="AD1" s="50" t="s">
        <v>0</v>
      </c>
      <c r="AE1" s="50">
        <v>15</v>
      </c>
      <c r="AF1" s="50" t="s">
        <v>0</v>
      </c>
      <c r="AG1" s="50">
        <v>16</v>
      </c>
      <c r="AH1" s="50" t="s">
        <v>0</v>
      </c>
      <c r="AI1" s="50">
        <v>17</v>
      </c>
      <c r="AJ1" s="50"/>
      <c r="AK1" s="50">
        <v>18</v>
      </c>
      <c r="AL1" s="50"/>
      <c r="AM1" s="50">
        <v>19</v>
      </c>
      <c r="AN1" s="50"/>
      <c r="AO1" s="50">
        <v>20</v>
      </c>
      <c r="AP1" s="50" t="s">
        <v>0</v>
      </c>
      <c r="AQ1" s="50">
        <v>21</v>
      </c>
      <c r="AR1" s="50"/>
      <c r="AS1" s="50">
        <v>22</v>
      </c>
      <c r="AT1" s="50" t="s">
        <v>0</v>
      </c>
      <c r="AU1" s="50">
        <v>23</v>
      </c>
      <c r="AV1" s="50" t="s">
        <v>0</v>
      </c>
      <c r="AW1" s="50">
        <v>24</v>
      </c>
      <c r="AX1" s="50"/>
      <c r="AY1" s="50">
        <v>25</v>
      </c>
      <c r="AZ1" s="50"/>
      <c r="BA1" s="50">
        <v>26</v>
      </c>
      <c r="BB1" s="50"/>
      <c r="BC1" s="50">
        <v>27</v>
      </c>
      <c r="BD1" s="50"/>
      <c r="BE1" s="50">
        <v>28</v>
      </c>
      <c r="BF1" s="50"/>
      <c r="BG1" s="50">
        <v>29</v>
      </c>
      <c r="BH1" s="50"/>
      <c r="BI1" s="50">
        <v>30</v>
      </c>
      <c r="BJ1" s="50"/>
    </row>
    <row r="2" spans="1:62" ht="115" customHeight="1" x14ac:dyDescent="0.2">
      <c r="A2" s="44"/>
      <c r="B2" s="58"/>
      <c r="C2" s="51" t="str">
        <f>[1]Examen11!C$2</f>
        <v>Alma Casa, Mario</v>
      </c>
      <c r="D2" s="51"/>
      <c r="E2" s="51" t="str">
        <f>[1]Examen11!E$2</f>
        <v>Amado Luz, Martín</v>
      </c>
      <c r="F2" s="51"/>
      <c r="G2" s="51" t="str">
        <f>[1]Examen11!G$2</f>
        <v>Bonete Cune, Carla</v>
      </c>
      <c r="H2" s="51"/>
      <c r="I2" s="51" t="str">
        <f>[1]Examen11!I$2</f>
        <v>Casado Marín, María</v>
      </c>
      <c r="J2" s="51"/>
      <c r="K2" s="51" t="str">
        <f>[1]Examen11!K$2</f>
        <v>Concepción García, Elena</v>
      </c>
      <c r="L2" s="51"/>
      <c r="M2" s="51" t="str">
        <f>[1]Examen11!M$2</f>
        <v>Díaz Lucas, Ricardo</v>
      </c>
      <c r="N2" s="51"/>
      <c r="O2" s="51" t="str">
        <f>[1]Examen11!O$2</f>
        <v>Díaz Ríos, Lucía</v>
      </c>
      <c r="P2" s="51"/>
      <c r="Q2" s="51" t="str">
        <f>[1]Examen11!Q$2</f>
        <v>García López, Juan Ángel</v>
      </c>
      <c r="R2" s="51"/>
      <c r="S2" s="51" t="str">
        <f>[1]Examen11!S$2</f>
        <v>García Pérez, Luis</v>
      </c>
      <c r="T2" s="51"/>
      <c r="U2" s="51" t="str">
        <f>[1]Examen11!U$2</f>
        <v>Garijo Piqueras, María</v>
      </c>
      <c r="V2" s="51"/>
      <c r="W2" s="51" t="str">
        <f>[1]Examen11!W$2</f>
        <v>Gómez Luna, José</v>
      </c>
      <c r="X2" s="51"/>
      <c r="Y2" s="51" t="str">
        <f>[1]Examen11!Y$2</f>
        <v>González García, Juan</v>
      </c>
      <c r="Z2" s="51"/>
      <c r="AA2" s="51" t="str">
        <f>[1]Examen11!AA$2</f>
        <v>González Pérez, María</v>
      </c>
      <c r="AB2" s="51"/>
      <c r="AC2" s="51" t="str">
        <f>[1]Examen11!AC$2</f>
        <v>Laín Hernández, Luisa</v>
      </c>
      <c r="AD2" s="51"/>
      <c r="AE2" s="51" t="str">
        <f>[1]Examen11!AE$2</f>
        <v>Lirios Lara, Juan</v>
      </c>
      <c r="AF2" s="51"/>
      <c r="AG2" s="51" t="str">
        <f>[1]Examen11!AG$2</f>
        <v>López Picazo, Marta</v>
      </c>
      <c r="AH2" s="51"/>
      <c r="AI2" s="51" t="str">
        <f>[1]Examen11!AI$2</f>
        <v>Molina Pérez, Marina</v>
      </c>
      <c r="AJ2" s="51"/>
      <c r="AK2" s="51" t="str">
        <f>[1]Examen11!AK$2</f>
        <v>Molina Sánchez, Inmaculada</v>
      </c>
      <c r="AL2" s="51"/>
      <c r="AM2" s="51" t="str">
        <f>[1]Examen11!AM$2</f>
        <v>Montero Pacheco, Pablo</v>
      </c>
      <c r="AN2" s="51"/>
      <c r="AO2" s="51" t="str">
        <f>[1]Examen11!AO$2</f>
        <v>Mora García, Javier</v>
      </c>
      <c r="AP2" s="51"/>
      <c r="AQ2" s="51" t="str">
        <f>[1]Examen11!AQ$2</f>
        <v>Morcillo Pared, Luna</v>
      </c>
      <c r="AR2" s="51"/>
      <c r="AS2" s="51" t="str">
        <f>[1]Examen11!AS$2</f>
        <v>Moreno Hernández, Francisco</v>
      </c>
      <c r="AT2" s="51"/>
      <c r="AU2" s="51" t="str">
        <f>[1]Examen11!AU$2</f>
        <v>Muñoz Garijo, Pablo</v>
      </c>
      <c r="AV2" s="51"/>
      <c r="AW2" s="51" t="str">
        <f>[1]Examen11!AW$2</f>
        <v>Pérez Garrido, Francisco</v>
      </c>
      <c r="AX2" s="51"/>
      <c r="AY2" s="51" t="str">
        <f>[1]Examen11!AY$2</f>
        <v>Serna Serna, Susana</v>
      </c>
      <c r="AZ2" s="51"/>
      <c r="BA2" s="51" t="str">
        <f>[1]Examen11!BA$2</f>
        <v>Soriano Tornero, Manuel</v>
      </c>
      <c r="BB2" s="51"/>
      <c r="BC2" s="51" t="str">
        <f>[1]Examen11!BC$2</f>
        <v>Zarza Parrilla, Manuel</v>
      </c>
      <c r="BD2" s="51"/>
      <c r="BE2" s="51" t="str">
        <f>[1]Examen11!BE$2</f>
        <v/>
      </c>
      <c r="BF2" s="51"/>
      <c r="BG2" s="51" t="str">
        <f>[1]Examen11!BG$2</f>
        <v/>
      </c>
      <c r="BH2" s="51"/>
      <c r="BI2" s="51" t="str">
        <f>[1]Examen11!BI$2</f>
        <v/>
      </c>
      <c r="BJ2" s="51"/>
    </row>
    <row r="3" spans="1:62" ht="33" customHeight="1" x14ac:dyDescent="0.2">
      <c r="A3" s="28" t="str" cm="1">
        <f t="array" ref="A3">[1]!VERSION</f>
        <v>Versión 1.1</v>
      </c>
      <c r="B3" s="11" t="str">
        <f>IF((B4+B7+B16)=1,"Ok","Error % Bloques")</f>
        <v>Ok</v>
      </c>
      <c r="C3" s="53">
        <f>SUM(C4,C7,C16)</f>
        <v>0</v>
      </c>
      <c r="D3" s="54"/>
      <c r="E3" s="53">
        <f t="shared" ref="E3" si="0">SUM(E4,E7,E16)</f>
        <v>0</v>
      </c>
      <c r="F3" s="54"/>
      <c r="G3" s="53">
        <f t="shared" ref="G3" si="1">SUM(G4,G7,G16)</f>
        <v>0</v>
      </c>
      <c r="H3" s="54"/>
      <c r="I3" s="53">
        <f t="shared" ref="I3" si="2">SUM(I4,I7,I16)</f>
        <v>0</v>
      </c>
      <c r="J3" s="54"/>
      <c r="K3" s="53">
        <f t="shared" ref="K3" si="3">SUM(K4,K7,K16)</f>
        <v>0</v>
      </c>
      <c r="L3" s="54"/>
      <c r="M3" s="53">
        <f t="shared" ref="M3" si="4">SUM(M4,M7,M16)</f>
        <v>0</v>
      </c>
      <c r="N3" s="54"/>
      <c r="O3" s="53">
        <f t="shared" ref="O3" si="5">SUM(O4,O7,O16)</f>
        <v>0</v>
      </c>
      <c r="P3" s="54"/>
      <c r="Q3" s="53">
        <f t="shared" ref="Q3" si="6">SUM(Q4,Q7,Q16)</f>
        <v>0</v>
      </c>
      <c r="R3" s="54"/>
      <c r="S3" s="53">
        <f t="shared" ref="S3" si="7">SUM(S4,S7,S16)</f>
        <v>0</v>
      </c>
      <c r="T3" s="54"/>
      <c r="U3" s="53">
        <f t="shared" ref="U3" si="8">SUM(U4,U7,U16)</f>
        <v>0</v>
      </c>
      <c r="V3" s="54"/>
      <c r="W3" s="53">
        <f t="shared" ref="W3" si="9">SUM(W4,W7,W16)</f>
        <v>0</v>
      </c>
      <c r="X3" s="54"/>
      <c r="Y3" s="53">
        <f t="shared" ref="Y3" si="10">SUM(Y4,Y7,Y16)</f>
        <v>0</v>
      </c>
      <c r="Z3" s="54"/>
      <c r="AA3" s="53">
        <f t="shared" ref="AA3" si="11">SUM(AA4,AA7,AA16)</f>
        <v>0</v>
      </c>
      <c r="AB3" s="54"/>
      <c r="AC3" s="53">
        <f t="shared" ref="AC3" si="12">SUM(AC4,AC7,AC16)</f>
        <v>0</v>
      </c>
      <c r="AD3" s="54"/>
      <c r="AE3" s="53">
        <f t="shared" ref="AE3" si="13">SUM(AE4,AE7,AE16)</f>
        <v>0</v>
      </c>
      <c r="AF3" s="54"/>
      <c r="AG3" s="53">
        <f t="shared" ref="AG3" si="14">SUM(AG4,AG7,AG16)</f>
        <v>0</v>
      </c>
      <c r="AH3" s="54"/>
      <c r="AI3" s="53">
        <f t="shared" ref="AI3" si="15">SUM(AI4,AI7,AI16)</f>
        <v>0</v>
      </c>
      <c r="AJ3" s="54"/>
      <c r="AK3" s="53">
        <f t="shared" ref="AK3" si="16">SUM(AK4,AK7,AK16)</f>
        <v>0</v>
      </c>
      <c r="AL3" s="54"/>
      <c r="AM3" s="53">
        <f t="shared" ref="AM3" si="17">SUM(AM4,AM7,AM16)</f>
        <v>0</v>
      </c>
      <c r="AN3" s="54"/>
      <c r="AO3" s="53">
        <f t="shared" ref="AO3" si="18">SUM(AO4,AO7,AO16)</f>
        <v>0</v>
      </c>
      <c r="AP3" s="54"/>
      <c r="AQ3" s="53">
        <f t="shared" ref="AQ3" si="19">SUM(AQ4,AQ7,AQ16)</f>
        <v>0</v>
      </c>
      <c r="AR3" s="54"/>
      <c r="AS3" s="53">
        <f t="shared" ref="AS3" si="20">SUM(AS4,AS7,AS16)</f>
        <v>0</v>
      </c>
      <c r="AT3" s="54"/>
      <c r="AU3" s="53">
        <f t="shared" ref="AU3" si="21">SUM(AU4,AU7,AU16)</f>
        <v>0</v>
      </c>
      <c r="AV3" s="54"/>
      <c r="AW3" s="53">
        <f t="shared" ref="AW3" si="22">SUM(AW4,AW7,AW16)</f>
        <v>0</v>
      </c>
      <c r="AX3" s="54"/>
      <c r="AY3" s="53">
        <f t="shared" ref="AY3" si="23">SUM(AY4,AY7,AY16)</f>
        <v>0</v>
      </c>
      <c r="AZ3" s="54"/>
      <c r="BA3" s="53">
        <f t="shared" ref="BA3" si="24">SUM(BA4,BA7,BA16)</f>
        <v>0</v>
      </c>
      <c r="BB3" s="54"/>
      <c r="BC3" s="53">
        <f t="shared" ref="BC3" si="25">SUM(BC4,BC7,BC16)</f>
        <v>0</v>
      </c>
      <c r="BD3" s="54"/>
      <c r="BE3" s="53">
        <f t="shared" ref="BE3" si="26">SUM(BE4,BE7,BE16)</f>
        <v>0</v>
      </c>
      <c r="BF3" s="54"/>
      <c r="BG3" s="53">
        <f t="shared" ref="BG3" si="27">SUM(BG4,BG7,BG16)</f>
        <v>0</v>
      </c>
      <c r="BH3" s="54"/>
      <c r="BI3" s="53">
        <f t="shared" ref="BI3" si="28">SUM(BI4,BI7,BI16)</f>
        <v>0</v>
      </c>
      <c r="BJ3" s="54"/>
    </row>
    <row r="4" spans="1:62" ht="38" x14ac:dyDescent="0.2">
      <c r="A4" s="6" t="s">
        <v>2</v>
      </c>
      <c r="B4" s="7">
        <f>Estructura!B2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3">
        <f>Primera!B5</f>
        <v>0</v>
      </c>
      <c r="C5" s="31">
        <f>Primera!C5</f>
        <v>0</v>
      </c>
      <c r="D5" s="32">
        <f>IF($B5,C5/$B5,-1)</f>
        <v>-1</v>
      </c>
      <c r="E5" s="31">
        <f>Primera!E5</f>
        <v>0</v>
      </c>
      <c r="F5" s="32">
        <f>IF($B5,E5/$B5,-1)</f>
        <v>-1</v>
      </c>
      <c r="G5" s="31">
        <f>Primera!G5</f>
        <v>0</v>
      </c>
      <c r="H5" s="32">
        <f>IF($B5,G5/$B5,-1)</f>
        <v>-1</v>
      </c>
      <c r="I5" s="31">
        <f>Primera!I5</f>
        <v>0</v>
      </c>
      <c r="J5" s="32">
        <f>IF($B5,I5/$B5,-1)</f>
        <v>-1</v>
      </c>
      <c r="K5" s="31">
        <f>Primera!K5</f>
        <v>0</v>
      </c>
      <c r="L5" s="32">
        <f>IF($B5,K5/$B5,-1)</f>
        <v>-1</v>
      </c>
      <c r="M5" s="31">
        <f>Primera!M5</f>
        <v>0</v>
      </c>
      <c r="N5" s="32">
        <f>IF($B5,M5/$B5,-1)</f>
        <v>-1</v>
      </c>
      <c r="O5" s="31">
        <f>Primera!O5</f>
        <v>0</v>
      </c>
      <c r="P5" s="32">
        <f>IF($B5,O5/$B5,-1)</f>
        <v>-1</v>
      </c>
      <c r="Q5" s="31">
        <f>Primera!Q5</f>
        <v>0</v>
      </c>
      <c r="R5" s="32">
        <f>IF($B5,Q5/$B5,-1)</f>
        <v>-1</v>
      </c>
      <c r="S5" s="31">
        <f>Primera!S5</f>
        <v>0</v>
      </c>
      <c r="T5" s="32">
        <f>IF($B5,S5/$B5,-1)</f>
        <v>-1</v>
      </c>
      <c r="U5" s="31">
        <f>Primera!U5</f>
        <v>0</v>
      </c>
      <c r="V5" s="32">
        <f>IF($B5,U5/$B5,-1)</f>
        <v>-1</v>
      </c>
      <c r="W5" s="31">
        <f>Primera!W5</f>
        <v>0</v>
      </c>
      <c r="X5" s="32">
        <f>IF($B5,W5/$B5,-1)</f>
        <v>-1</v>
      </c>
      <c r="Y5" s="31">
        <f>Primera!Y5</f>
        <v>0</v>
      </c>
      <c r="Z5" s="32">
        <f>IF($B5,Y5/$B5,-1)</f>
        <v>-1</v>
      </c>
      <c r="AA5" s="31">
        <f>Primera!AA5</f>
        <v>0</v>
      </c>
      <c r="AB5" s="32">
        <f>IF($B5,AA5/$B5,-1)</f>
        <v>-1</v>
      </c>
      <c r="AC5" s="31">
        <f>Primera!AC5</f>
        <v>0</v>
      </c>
      <c r="AD5" s="32">
        <f>IF($B5,AC5/$B5,-1)</f>
        <v>-1</v>
      </c>
      <c r="AE5" s="31">
        <f>Primera!AE5</f>
        <v>0</v>
      </c>
      <c r="AF5" s="32">
        <f>IF($B5,AE5/$B5,-1)</f>
        <v>-1</v>
      </c>
      <c r="AG5" s="31">
        <f>Primera!AG5</f>
        <v>0</v>
      </c>
      <c r="AH5" s="32">
        <f>IF($B5,AG5/$B5,-1)</f>
        <v>-1</v>
      </c>
      <c r="AI5" s="31">
        <f>Primera!AI5</f>
        <v>0</v>
      </c>
      <c r="AJ5" s="32">
        <f>IF($B5,AI5/$B5,-1)</f>
        <v>-1</v>
      </c>
      <c r="AK5" s="31">
        <f>Primera!AK5</f>
        <v>0</v>
      </c>
      <c r="AL5" s="32">
        <f>IF($B5,AK5/$B5,-1)</f>
        <v>-1</v>
      </c>
      <c r="AM5" s="31">
        <f>Primera!AM5</f>
        <v>0</v>
      </c>
      <c r="AN5" s="32">
        <f>IF($B5,AM5/$B5,-1)</f>
        <v>-1</v>
      </c>
      <c r="AO5" s="31">
        <f>Primera!AO5</f>
        <v>0</v>
      </c>
      <c r="AP5" s="32">
        <f>IF($B5,AO5/$B5,-1)</f>
        <v>-1</v>
      </c>
      <c r="AQ5" s="31">
        <f>Primera!AQ5</f>
        <v>0</v>
      </c>
      <c r="AR5" s="32">
        <f>IF($B5,AQ5/$B5,-1)</f>
        <v>-1</v>
      </c>
      <c r="AS5" s="31">
        <f>Primera!AS5</f>
        <v>0</v>
      </c>
      <c r="AT5" s="32">
        <f>IF($B5,AS5/$B5,-1)</f>
        <v>-1</v>
      </c>
      <c r="AU5" s="31">
        <f>Primera!AU5</f>
        <v>0</v>
      </c>
      <c r="AV5" s="32">
        <f>IF($B5,AU5/$B5,-1)</f>
        <v>-1</v>
      </c>
      <c r="AW5" s="31">
        <f>Primera!AW5</f>
        <v>0</v>
      </c>
      <c r="AX5" s="32">
        <f>IF($B5,AW5/$B5,-1)</f>
        <v>-1</v>
      </c>
      <c r="AY5" s="31">
        <f>Primera!AY5</f>
        <v>0</v>
      </c>
      <c r="AZ5" s="32">
        <f>IF($B5,AY5/$B5,-1)</f>
        <v>-1</v>
      </c>
      <c r="BA5" s="31">
        <f>Primera!BA5</f>
        <v>0</v>
      </c>
      <c r="BB5" s="32">
        <f>IF($B5,BA5/$B5,-1)</f>
        <v>-1</v>
      </c>
      <c r="BC5" s="31">
        <f>Primera!BC5</f>
        <v>0</v>
      </c>
      <c r="BD5" s="32">
        <f>IF($B5,BC5/$B5,-1)</f>
        <v>-1</v>
      </c>
      <c r="BE5" s="31">
        <f>Primera!BE5</f>
        <v>0</v>
      </c>
      <c r="BF5" s="32">
        <f>IF($B5,BE5/$B5,-1)</f>
        <v>-1</v>
      </c>
      <c r="BG5" s="31">
        <f>Primera!BG5</f>
        <v>0</v>
      </c>
      <c r="BH5" s="32">
        <f>IF($B5,BG5/$B5,-1)</f>
        <v>-1</v>
      </c>
      <c r="BI5" s="31">
        <f>Primera!BI5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Primera!B6</f>
        <v>0</v>
      </c>
      <c r="C6" s="31">
        <f>Primera!C6</f>
        <v>0</v>
      </c>
      <c r="D6" s="32">
        <f>IF($B6,C6/$B6,-1)</f>
        <v>-1</v>
      </c>
      <c r="E6" s="31">
        <f>Primera!E6</f>
        <v>0</v>
      </c>
      <c r="F6" s="32">
        <f>IF($B6,E6/$B6,-1)</f>
        <v>-1</v>
      </c>
      <c r="G6" s="31">
        <f>Primera!G6</f>
        <v>0</v>
      </c>
      <c r="H6" s="32">
        <f>IF($B6,G6/$B6,-1)</f>
        <v>-1</v>
      </c>
      <c r="I6" s="31">
        <f>Primera!I6</f>
        <v>0</v>
      </c>
      <c r="J6" s="32">
        <f>IF($B6,I6/$B6,-1)</f>
        <v>-1</v>
      </c>
      <c r="K6" s="31">
        <f>Primera!K6</f>
        <v>0</v>
      </c>
      <c r="L6" s="32">
        <f>IF($B6,K6/$B6,-1)</f>
        <v>-1</v>
      </c>
      <c r="M6" s="31">
        <f>Primera!M6</f>
        <v>0</v>
      </c>
      <c r="N6" s="32">
        <f>IF($B6,M6/$B6,-1)</f>
        <v>-1</v>
      </c>
      <c r="O6" s="31">
        <f>Primera!O6</f>
        <v>0</v>
      </c>
      <c r="P6" s="32">
        <f>IF($B6,O6/$B6,-1)</f>
        <v>-1</v>
      </c>
      <c r="Q6" s="31">
        <f>Primera!Q6</f>
        <v>0</v>
      </c>
      <c r="R6" s="32">
        <f>IF($B6,Q6/$B6,-1)</f>
        <v>-1</v>
      </c>
      <c r="S6" s="31">
        <f>Primera!S6</f>
        <v>0</v>
      </c>
      <c r="T6" s="32">
        <f>IF($B6,S6/$B6,-1)</f>
        <v>-1</v>
      </c>
      <c r="U6" s="31">
        <f>Primera!U6</f>
        <v>0</v>
      </c>
      <c r="V6" s="32">
        <f>IF($B6,U6/$B6,-1)</f>
        <v>-1</v>
      </c>
      <c r="W6" s="31">
        <f>Primera!W6</f>
        <v>0</v>
      </c>
      <c r="X6" s="32">
        <f>IF($B6,W6/$B6,-1)</f>
        <v>-1</v>
      </c>
      <c r="Y6" s="31">
        <f>Primera!Y6</f>
        <v>0</v>
      </c>
      <c r="Z6" s="32">
        <f>IF($B6,Y6/$B6,-1)</f>
        <v>-1</v>
      </c>
      <c r="AA6" s="31">
        <f>Primera!AA6</f>
        <v>0</v>
      </c>
      <c r="AB6" s="32">
        <f>IF($B6,AA6/$B6,-1)</f>
        <v>-1</v>
      </c>
      <c r="AC6" s="31">
        <f>Primera!AC6</f>
        <v>0</v>
      </c>
      <c r="AD6" s="32">
        <f>IF($B6,AC6/$B6,-1)</f>
        <v>-1</v>
      </c>
      <c r="AE6" s="31">
        <f>Primera!AE6</f>
        <v>0</v>
      </c>
      <c r="AF6" s="32">
        <f>IF($B6,AE6/$B6,-1)</f>
        <v>-1</v>
      </c>
      <c r="AG6" s="31">
        <f>Primera!AG6</f>
        <v>0</v>
      </c>
      <c r="AH6" s="32">
        <f>IF($B6,AG6/$B6,-1)</f>
        <v>-1</v>
      </c>
      <c r="AI6" s="31">
        <f>Primera!AI6</f>
        <v>0</v>
      </c>
      <c r="AJ6" s="32">
        <f>IF($B6,AI6/$B6,-1)</f>
        <v>-1</v>
      </c>
      <c r="AK6" s="31">
        <f>Primera!AK6</f>
        <v>0</v>
      </c>
      <c r="AL6" s="32">
        <f>IF($B6,AK6/$B6,-1)</f>
        <v>-1</v>
      </c>
      <c r="AM6" s="31">
        <f>Primera!AM6</f>
        <v>0</v>
      </c>
      <c r="AN6" s="32">
        <f>IF($B6,AM6/$B6,-1)</f>
        <v>-1</v>
      </c>
      <c r="AO6" s="31">
        <f>Primera!AO6</f>
        <v>0</v>
      </c>
      <c r="AP6" s="32">
        <f>IF($B6,AO6/$B6,-1)</f>
        <v>-1</v>
      </c>
      <c r="AQ6" s="31">
        <f>Primera!AQ6</f>
        <v>0</v>
      </c>
      <c r="AR6" s="32">
        <f>IF($B6,AQ6/$B6,-1)</f>
        <v>-1</v>
      </c>
      <c r="AS6" s="31">
        <f>Primera!AS6</f>
        <v>0</v>
      </c>
      <c r="AT6" s="32">
        <f>IF($B6,AS6/$B6,-1)</f>
        <v>-1</v>
      </c>
      <c r="AU6" s="31">
        <f>Primera!AU6</f>
        <v>0</v>
      </c>
      <c r="AV6" s="32">
        <f>IF($B6,AU6/$B6,-1)</f>
        <v>-1</v>
      </c>
      <c r="AW6" s="31">
        <f>Primera!AW6</f>
        <v>0</v>
      </c>
      <c r="AX6" s="32">
        <f>IF($B6,AW6/$B6,-1)</f>
        <v>-1</v>
      </c>
      <c r="AY6" s="31">
        <f>Primera!AY6</f>
        <v>0</v>
      </c>
      <c r="AZ6" s="32">
        <f>IF($B6,AY6/$B6,-1)</f>
        <v>-1</v>
      </c>
      <c r="BA6" s="31">
        <f>Primera!BA6</f>
        <v>0</v>
      </c>
      <c r="BB6" s="32">
        <f>IF($B6,BA6/$B6,-1)</f>
        <v>-1</v>
      </c>
      <c r="BC6" s="31">
        <f>Primera!BC6</f>
        <v>0</v>
      </c>
      <c r="BD6" s="32">
        <f>IF($B6,BC6/$B6,-1)</f>
        <v>-1</v>
      </c>
      <c r="BE6" s="31">
        <f>Primera!BE6</f>
        <v>0</v>
      </c>
      <c r="BF6" s="32">
        <f>IF($B6,BE6/$B6,-1)</f>
        <v>-1</v>
      </c>
      <c r="BG6" s="31">
        <f>Primera!BG6</f>
        <v>0</v>
      </c>
      <c r="BH6" s="32">
        <f>IF($B6,BG6/$B6,-1)</f>
        <v>-1</v>
      </c>
      <c r="BI6" s="31">
        <f>Primera!BI6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Primera!B8</f>
        <v>0</v>
      </c>
      <c r="C8" s="31">
        <f>Primera!C8</f>
        <v>0</v>
      </c>
      <c r="D8" s="32">
        <f t="shared" ref="D8:D15" si="29">IF($B8,C8/$B8,-1)</f>
        <v>-1</v>
      </c>
      <c r="E8" s="31">
        <f>Primera!E8</f>
        <v>0</v>
      </c>
      <c r="F8" s="32">
        <f t="shared" ref="F8:F15" si="30">IF($B8,E8/$B8,-1)</f>
        <v>-1</v>
      </c>
      <c r="G8" s="31">
        <f>Primera!G8</f>
        <v>0</v>
      </c>
      <c r="H8" s="32">
        <f t="shared" ref="H8:H15" si="31">IF($B8,G8/$B8,-1)</f>
        <v>-1</v>
      </c>
      <c r="I8" s="31">
        <f>Primera!I8</f>
        <v>0</v>
      </c>
      <c r="J8" s="32">
        <f t="shared" ref="J8:J15" si="32">IF($B8,I8/$B8,-1)</f>
        <v>-1</v>
      </c>
      <c r="K8" s="31">
        <f>Primera!K8</f>
        <v>0</v>
      </c>
      <c r="L8" s="32">
        <f t="shared" ref="L8:L15" si="33">IF($B8,K8/$B8,-1)</f>
        <v>-1</v>
      </c>
      <c r="M8" s="31">
        <f>Primera!M8</f>
        <v>0</v>
      </c>
      <c r="N8" s="32">
        <f t="shared" ref="N8:N15" si="34">IF($B8,M8/$B8,-1)</f>
        <v>-1</v>
      </c>
      <c r="O8" s="31">
        <f>Primera!O8</f>
        <v>0</v>
      </c>
      <c r="P8" s="32">
        <f t="shared" ref="P8:P15" si="35">IF($B8,O8/$B8,-1)</f>
        <v>-1</v>
      </c>
      <c r="Q8" s="31">
        <f>Primera!Q8</f>
        <v>0</v>
      </c>
      <c r="R8" s="32">
        <f t="shared" ref="R8:R15" si="36">IF($B8,Q8/$B8,-1)</f>
        <v>-1</v>
      </c>
      <c r="S8" s="31">
        <f>Primera!S8</f>
        <v>0</v>
      </c>
      <c r="T8" s="32">
        <f t="shared" ref="T8:T15" si="37">IF($B8,S8/$B8,-1)</f>
        <v>-1</v>
      </c>
      <c r="U8" s="31">
        <f>Primera!U8</f>
        <v>0</v>
      </c>
      <c r="V8" s="32">
        <f t="shared" ref="V8:V15" si="38">IF($B8,U8/$B8,-1)</f>
        <v>-1</v>
      </c>
      <c r="W8" s="31">
        <f>Primera!W8</f>
        <v>0</v>
      </c>
      <c r="X8" s="32">
        <f t="shared" ref="X8:X15" si="39">IF($B8,W8/$B8,-1)</f>
        <v>-1</v>
      </c>
      <c r="Y8" s="31">
        <f>Primera!Y8</f>
        <v>0</v>
      </c>
      <c r="Z8" s="32">
        <f t="shared" ref="Z8:Z15" si="40">IF($B8,Y8/$B8,-1)</f>
        <v>-1</v>
      </c>
      <c r="AA8" s="31">
        <f>Primera!AA8</f>
        <v>0</v>
      </c>
      <c r="AB8" s="32">
        <f t="shared" ref="AB8:AB15" si="41">IF($B8,AA8/$B8,-1)</f>
        <v>-1</v>
      </c>
      <c r="AC8" s="31">
        <f>Primera!AC8</f>
        <v>0</v>
      </c>
      <c r="AD8" s="32">
        <f t="shared" ref="AD8:AD15" si="42">IF($B8,AC8/$B8,-1)</f>
        <v>-1</v>
      </c>
      <c r="AE8" s="31">
        <f>Primera!AE8</f>
        <v>0</v>
      </c>
      <c r="AF8" s="32">
        <f t="shared" ref="AF8:AF15" si="43">IF($B8,AE8/$B8,-1)</f>
        <v>-1</v>
      </c>
      <c r="AG8" s="31">
        <f>Primera!AG8</f>
        <v>0</v>
      </c>
      <c r="AH8" s="32">
        <f t="shared" ref="AH8:AH15" si="44">IF($B8,AG8/$B8,-1)</f>
        <v>-1</v>
      </c>
      <c r="AI8" s="31">
        <f>Primera!AI8</f>
        <v>0</v>
      </c>
      <c r="AJ8" s="32">
        <f t="shared" ref="AJ8:AJ15" si="45">IF($B8,AI8/$B8,-1)</f>
        <v>-1</v>
      </c>
      <c r="AK8" s="31">
        <f>Primera!AK8</f>
        <v>0</v>
      </c>
      <c r="AL8" s="32">
        <f t="shared" ref="AL8:AL15" si="46">IF($B8,AK8/$B8,-1)</f>
        <v>-1</v>
      </c>
      <c r="AM8" s="31">
        <f>Primera!AM8</f>
        <v>0</v>
      </c>
      <c r="AN8" s="32">
        <f t="shared" ref="AN8:AN15" si="47">IF($B8,AM8/$B8,-1)</f>
        <v>-1</v>
      </c>
      <c r="AO8" s="31">
        <f>Primera!AO8</f>
        <v>0</v>
      </c>
      <c r="AP8" s="32">
        <f t="shared" ref="AP8:AP15" si="48">IF($B8,AO8/$B8,-1)</f>
        <v>-1</v>
      </c>
      <c r="AQ8" s="31">
        <f>Primera!AQ8</f>
        <v>0</v>
      </c>
      <c r="AR8" s="32">
        <f t="shared" ref="AR8:AR15" si="49">IF($B8,AQ8/$B8,-1)</f>
        <v>-1</v>
      </c>
      <c r="AS8" s="31">
        <f>Primera!AS8</f>
        <v>0</v>
      </c>
      <c r="AT8" s="32">
        <f t="shared" ref="AT8:AT15" si="50">IF($B8,AS8/$B8,-1)</f>
        <v>-1</v>
      </c>
      <c r="AU8" s="31">
        <f>Primera!AU8</f>
        <v>0</v>
      </c>
      <c r="AV8" s="32">
        <f t="shared" ref="AV8:AV15" si="51">IF($B8,AU8/$B8,-1)</f>
        <v>-1</v>
      </c>
      <c r="AW8" s="31">
        <f>Primera!AW8</f>
        <v>0</v>
      </c>
      <c r="AX8" s="32">
        <f t="shared" ref="AX8:AX15" si="52">IF($B8,AW8/$B8,-1)</f>
        <v>-1</v>
      </c>
      <c r="AY8" s="31">
        <f>Primera!AY8</f>
        <v>0</v>
      </c>
      <c r="AZ8" s="32">
        <f t="shared" ref="AZ8:AZ15" si="53">IF($B8,AY8/$B8,-1)</f>
        <v>-1</v>
      </c>
      <c r="BA8" s="31">
        <f>Primera!BA8</f>
        <v>0</v>
      </c>
      <c r="BB8" s="32">
        <f t="shared" ref="BB8:BB15" si="54">IF($B8,BA8/$B8,-1)</f>
        <v>-1</v>
      </c>
      <c r="BC8" s="31">
        <f>Primera!BC8</f>
        <v>0</v>
      </c>
      <c r="BD8" s="32">
        <f t="shared" ref="BD8:BD15" si="55">IF($B8,BC8/$B8,-1)</f>
        <v>-1</v>
      </c>
      <c r="BE8" s="31">
        <f>Primera!BE8</f>
        <v>0</v>
      </c>
      <c r="BF8" s="32">
        <f t="shared" ref="BF8:BF15" si="56">IF($B8,BE8/$B8,-1)</f>
        <v>-1</v>
      </c>
      <c r="BG8" s="31">
        <f>Primera!BG8</f>
        <v>0</v>
      </c>
      <c r="BH8" s="32">
        <f t="shared" ref="BH8:BH15" si="57">IF($B8,BG8/$B8,-1)</f>
        <v>-1</v>
      </c>
      <c r="BI8" s="31">
        <f>Primera!BI8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Primera!B9</f>
        <v>0</v>
      </c>
      <c r="C9" s="31">
        <f>Primera!C9</f>
        <v>0</v>
      </c>
      <c r="D9" s="32">
        <f t="shared" si="29"/>
        <v>-1</v>
      </c>
      <c r="E9" s="31">
        <f>Primera!E9</f>
        <v>0</v>
      </c>
      <c r="F9" s="32">
        <f t="shared" si="30"/>
        <v>-1</v>
      </c>
      <c r="G9" s="31">
        <f>Primera!G9</f>
        <v>0</v>
      </c>
      <c r="H9" s="32">
        <f t="shared" si="31"/>
        <v>-1</v>
      </c>
      <c r="I9" s="31">
        <f>Primera!I9</f>
        <v>0</v>
      </c>
      <c r="J9" s="32">
        <f t="shared" si="32"/>
        <v>-1</v>
      </c>
      <c r="K9" s="31">
        <f>Primera!K9</f>
        <v>0</v>
      </c>
      <c r="L9" s="32">
        <f t="shared" si="33"/>
        <v>-1</v>
      </c>
      <c r="M9" s="31">
        <f>Primera!M9</f>
        <v>0</v>
      </c>
      <c r="N9" s="32">
        <f t="shared" si="34"/>
        <v>-1</v>
      </c>
      <c r="O9" s="31">
        <f>Primera!O9</f>
        <v>0</v>
      </c>
      <c r="P9" s="32">
        <f t="shared" si="35"/>
        <v>-1</v>
      </c>
      <c r="Q9" s="31">
        <f>Primera!Q9</f>
        <v>0</v>
      </c>
      <c r="R9" s="32">
        <f t="shared" si="36"/>
        <v>-1</v>
      </c>
      <c r="S9" s="31">
        <f>Primera!S9</f>
        <v>0</v>
      </c>
      <c r="T9" s="32">
        <f t="shared" si="37"/>
        <v>-1</v>
      </c>
      <c r="U9" s="31">
        <f>Primera!U9</f>
        <v>0</v>
      </c>
      <c r="V9" s="32">
        <f t="shared" si="38"/>
        <v>-1</v>
      </c>
      <c r="W9" s="31">
        <f>Primera!W9</f>
        <v>0</v>
      </c>
      <c r="X9" s="32">
        <f t="shared" si="39"/>
        <v>-1</v>
      </c>
      <c r="Y9" s="31">
        <f>Primera!Y9</f>
        <v>0</v>
      </c>
      <c r="Z9" s="32">
        <f t="shared" si="40"/>
        <v>-1</v>
      </c>
      <c r="AA9" s="31">
        <f>Primera!AA9</f>
        <v>0</v>
      </c>
      <c r="AB9" s="32">
        <f t="shared" si="41"/>
        <v>-1</v>
      </c>
      <c r="AC9" s="31">
        <f>Primera!AC9</f>
        <v>0</v>
      </c>
      <c r="AD9" s="32">
        <f t="shared" si="42"/>
        <v>-1</v>
      </c>
      <c r="AE9" s="31">
        <f>Primera!AE9</f>
        <v>0</v>
      </c>
      <c r="AF9" s="32">
        <f t="shared" si="43"/>
        <v>-1</v>
      </c>
      <c r="AG9" s="31">
        <f>Primera!AG9</f>
        <v>0</v>
      </c>
      <c r="AH9" s="32">
        <f t="shared" si="44"/>
        <v>-1</v>
      </c>
      <c r="AI9" s="31">
        <f>Primera!AI9</f>
        <v>0</v>
      </c>
      <c r="AJ9" s="32">
        <f t="shared" si="45"/>
        <v>-1</v>
      </c>
      <c r="AK9" s="31">
        <f>Primera!AK9</f>
        <v>0</v>
      </c>
      <c r="AL9" s="32">
        <f t="shared" si="46"/>
        <v>-1</v>
      </c>
      <c r="AM9" s="31">
        <f>Primera!AM9</f>
        <v>0</v>
      </c>
      <c r="AN9" s="32">
        <f t="shared" si="47"/>
        <v>-1</v>
      </c>
      <c r="AO9" s="31">
        <f>Primera!AO9</f>
        <v>0</v>
      </c>
      <c r="AP9" s="32">
        <f t="shared" si="48"/>
        <v>-1</v>
      </c>
      <c r="AQ9" s="31">
        <f>Primera!AQ9</f>
        <v>0</v>
      </c>
      <c r="AR9" s="32">
        <f t="shared" si="49"/>
        <v>-1</v>
      </c>
      <c r="AS9" s="31">
        <f>Primera!AS9</f>
        <v>0</v>
      </c>
      <c r="AT9" s="32">
        <f t="shared" si="50"/>
        <v>-1</v>
      </c>
      <c r="AU9" s="31">
        <f>Primera!AU9</f>
        <v>0</v>
      </c>
      <c r="AV9" s="32">
        <f t="shared" si="51"/>
        <v>-1</v>
      </c>
      <c r="AW9" s="31">
        <f>Primera!AW9</f>
        <v>0</v>
      </c>
      <c r="AX9" s="32">
        <f t="shared" si="52"/>
        <v>-1</v>
      </c>
      <c r="AY9" s="31">
        <f>Primera!AY9</f>
        <v>0</v>
      </c>
      <c r="AZ9" s="32">
        <f t="shared" si="53"/>
        <v>-1</v>
      </c>
      <c r="BA9" s="31">
        <f>Primera!BA9</f>
        <v>0</v>
      </c>
      <c r="BB9" s="32">
        <f t="shared" si="54"/>
        <v>-1</v>
      </c>
      <c r="BC9" s="31">
        <f>Primera!BC9</f>
        <v>0</v>
      </c>
      <c r="BD9" s="32">
        <f t="shared" si="55"/>
        <v>-1</v>
      </c>
      <c r="BE9" s="31">
        <f>Primera!BE9</f>
        <v>0</v>
      </c>
      <c r="BF9" s="32">
        <f t="shared" si="56"/>
        <v>-1</v>
      </c>
      <c r="BG9" s="31">
        <f>Primera!BG9</f>
        <v>0</v>
      </c>
      <c r="BH9" s="32">
        <f t="shared" si="57"/>
        <v>-1</v>
      </c>
      <c r="BI9" s="31">
        <f>Primera!BI9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Primera!B10</f>
        <v>0</v>
      </c>
      <c r="C10" s="31">
        <f>Primera!C10</f>
        <v>0</v>
      </c>
      <c r="D10" s="32">
        <f t="shared" si="29"/>
        <v>-1</v>
      </c>
      <c r="E10" s="31">
        <f>Primera!E10</f>
        <v>0</v>
      </c>
      <c r="F10" s="32">
        <f t="shared" si="30"/>
        <v>-1</v>
      </c>
      <c r="G10" s="31">
        <f>Primera!G10</f>
        <v>0</v>
      </c>
      <c r="H10" s="32">
        <f t="shared" si="31"/>
        <v>-1</v>
      </c>
      <c r="I10" s="31">
        <f>Primera!I10</f>
        <v>0</v>
      </c>
      <c r="J10" s="32">
        <f t="shared" si="32"/>
        <v>-1</v>
      </c>
      <c r="K10" s="31">
        <f>Primera!K10</f>
        <v>0</v>
      </c>
      <c r="L10" s="32">
        <f t="shared" si="33"/>
        <v>-1</v>
      </c>
      <c r="M10" s="31">
        <f>Primera!M10</f>
        <v>0</v>
      </c>
      <c r="N10" s="32">
        <f t="shared" si="34"/>
        <v>-1</v>
      </c>
      <c r="O10" s="31">
        <f>Primera!O10</f>
        <v>0</v>
      </c>
      <c r="P10" s="32">
        <f t="shared" si="35"/>
        <v>-1</v>
      </c>
      <c r="Q10" s="31">
        <f>Primera!Q10</f>
        <v>0</v>
      </c>
      <c r="R10" s="32">
        <f t="shared" si="36"/>
        <v>-1</v>
      </c>
      <c r="S10" s="31">
        <f>Primera!S10</f>
        <v>0</v>
      </c>
      <c r="T10" s="32">
        <f t="shared" si="37"/>
        <v>-1</v>
      </c>
      <c r="U10" s="31">
        <f>Primera!U10</f>
        <v>0</v>
      </c>
      <c r="V10" s="32">
        <f t="shared" si="38"/>
        <v>-1</v>
      </c>
      <c r="W10" s="31">
        <f>Primera!W10</f>
        <v>0</v>
      </c>
      <c r="X10" s="32">
        <f t="shared" si="39"/>
        <v>-1</v>
      </c>
      <c r="Y10" s="31">
        <f>Primera!Y10</f>
        <v>0</v>
      </c>
      <c r="Z10" s="32">
        <f t="shared" si="40"/>
        <v>-1</v>
      </c>
      <c r="AA10" s="31">
        <f>Primera!AA10</f>
        <v>0</v>
      </c>
      <c r="AB10" s="32">
        <f t="shared" si="41"/>
        <v>-1</v>
      </c>
      <c r="AC10" s="31">
        <f>Primera!AC10</f>
        <v>0</v>
      </c>
      <c r="AD10" s="32">
        <f t="shared" si="42"/>
        <v>-1</v>
      </c>
      <c r="AE10" s="31">
        <f>Primera!AE10</f>
        <v>0</v>
      </c>
      <c r="AF10" s="32">
        <f t="shared" si="43"/>
        <v>-1</v>
      </c>
      <c r="AG10" s="31">
        <f>Primera!AG10</f>
        <v>0</v>
      </c>
      <c r="AH10" s="32">
        <f t="shared" si="44"/>
        <v>-1</v>
      </c>
      <c r="AI10" s="31">
        <f>Primera!AI10</f>
        <v>0</v>
      </c>
      <c r="AJ10" s="32">
        <f t="shared" si="45"/>
        <v>-1</v>
      </c>
      <c r="AK10" s="31">
        <f>Primera!AK10</f>
        <v>0</v>
      </c>
      <c r="AL10" s="32">
        <f t="shared" si="46"/>
        <v>-1</v>
      </c>
      <c r="AM10" s="31">
        <f>Primera!AM10</f>
        <v>0</v>
      </c>
      <c r="AN10" s="32">
        <f t="shared" si="47"/>
        <v>-1</v>
      </c>
      <c r="AO10" s="31">
        <f>Primera!AO10</f>
        <v>0</v>
      </c>
      <c r="AP10" s="32">
        <f t="shared" si="48"/>
        <v>-1</v>
      </c>
      <c r="AQ10" s="31">
        <f>Primera!AQ10</f>
        <v>0</v>
      </c>
      <c r="AR10" s="32">
        <f t="shared" si="49"/>
        <v>-1</v>
      </c>
      <c r="AS10" s="31">
        <f>Primera!AS10</f>
        <v>0</v>
      </c>
      <c r="AT10" s="32">
        <f t="shared" si="50"/>
        <v>-1</v>
      </c>
      <c r="AU10" s="31">
        <f>Primera!AU10</f>
        <v>0</v>
      </c>
      <c r="AV10" s="32">
        <f t="shared" si="51"/>
        <v>-1</v>
      </c>
      <c r="AW10" s="31">
        <f>Primera!AW10</f>
        <v>0</v>
      </c>
      <c r="AX10" s="32">
        <f t="shared" si="52"/>
        <v>-1</v>
      </c>
      <c r="AY10" s="31">
        <f>Primera!AY10</f>
        <v>0</v>
      </c>
      <c r="AZ10" s="32">
        <f t="shared" si="53"/>
        <v>-1</v>
      </c>
      <c r="BA10" s="31">
        <f>Primera!BA10</f>
        <v>0</v>
      </c>
      <c r="BB10" s="32">
        <f t="shared" si="54"/>
        <v>-1</v>
      </c>
      <c r="BC10" s="31">
        <f>Primera!BC10</f>
        <v>0</v>
      </c>
      <c r="BD10" s="32">
        <f t="shared" si="55"/>
        <v>-1</v>
      </c>
      <c r="BE10" s="31">
        <f>Primera!BE10</f>
        <v>0</v>
      </c>
      <c r="BF10" s="32">
        <f t="shared" si="56"/>
        <v>-1</v>
      </c>
      <c r="BG10" s="31">
        <f>Primera!BG10</f>
        <v>0</v>
      </c>
      <c r="BH10" s="32">
        <f t="shared" si="57"/>
        <v>-1</v>
      </c>
      <c r="BI10" s="31">
        <f>Primera!BI10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Primera!B11</f>
        <v>0</v>
      </c>
      <c r="C11" s="31">
        <f>Primera!C11</f>
        <v>0</v>
      </c>
      <c r="D11" s="32">
        <f t="shared" si="29"/>
        <v>-1</v>
      </c>
      <c r="E11" s="31">
        <f>Primera!E11</f>
        <v>0</v>
      </c>
      <c r="F11" s="32">
        <f t="shared" si="30"/>
        <v>-1</v>
      </c>
      <c r="G11" s="31">
        <f>Primera!G11</f>
        <v>0</v>
      </c>
      <c r="H11" s="32">
        <f t="shared" si="31"/>
        <v>-1</v>
      </c>
      <c r="I11" s="31">
        <f>Primera!I11</f>
        <v>0</v>
      </c>
      <c r="J11" s="32">
        <f t="shared" si="32"/>
        <v>-1</v>
      </c>
      <c r="K11" s="31">
        <f>Primera!K11</f>
        <v>0</v>
      </c>
      <c r="L11" s="32">
        <f t="shared" si="33"/>
        <v>-1</v>
      </c>
      <c r="M11" s="31">
        <f>Primera!M11</f>
        <v>0</v>
      </c>
      <c r="N11" s="32">
        <f t="shared" si="34"/>
        <v>-1</v>
      </c>
      <c r="O11" s="31">
        <f>Primera!O11</f>
        <v>0</v>
      </c>
      <c r="P11" s="32">
        <f t="shared" si="35"/>
        <v>-1</v>
      </c>
      <c r="Q11" s="31">
        <f>Primera!Q11</f>
        <v>0</v>
      </c>
      <c r="R11" s="32">
        <f t="shared" si="36"/>
        <v>-1</v>
      </c>
      <c r="S11" s="31">
        <f>Primera!S11</f>
        <v>0</v>
      </c>
      <c r="T11" s="32">
        <f t="shared" si="37"/>
        <v>-1</v>
      </c>
      <c r="U11" s="31">
        <f>Primera!U11</f>
        <v>0</v>
      </c>
      <c r="V11" s="32">
        <f t="shared" si="38"/>
        <v>-1</v>
      </c>
      <c r="W11" s="31">
        <f>Primera!W11</f>
        <v>0</v>
      </c>
      <c r="X11" s="32">
        <f t="shared" si="39"/>
        <v>-1</v>
      </c>
      <c r="Y11" s="31">
        <f>Primera!Y11</f>
        <v>0</v>
      </c>
      <c r="Z11" s="32">
        <f t="shared" si="40"/>
        <v>-1</v>
      </c>
      <c r="AA11" s="31">
        <f>Primera!AA11</f>
        <v>0</v>
      </c>
      <c r="AB11" s="32">
        <f t="shared" si="41"/>
        <v>-1</v>
      </c>
      <c r="AC11" s="31">
        <f>Primera!AC11</f>
        <v>0</v>
      </c>
      <c r="AD11" s="32">
        <f t="shared" si="42"/>
        <v>-1</v>
      </c>
      <c r="AE11" s="31">
        <f>Primera!AE11</f>
        <v>0</v>
      </c>
      <c r="AF11" s="32">
        <f t="shared" si="43"/>
        <v>-1</v>
      </c>
      <c r="AG11" s="31">
        <f>Primera!AG11</f>
        <v>0</v>
      </c>
      <c r="AH11" s="32">
        <f t="shared" si="44"/>
        <v>-1</v>
      </c>
      <c r="AI11" s="31">
        <f>Primera!AI11</f>
        <v>0</v>
      </c>
      <c r="AJ11" s="32">
        <f t="shared" si="45"/>
        <v>-1</v>
      </c>
      <c r="AK11" s="31">
        <f>Primera!AK11</f>
        <v>0</v>
      </c>
      <c r="AL11" s="32">
        <f t="shared" si="46"/>
        <v>-1</v>
      </c>
      <c r="AM11" s="31">
        <f>Primera!AM11</f>
        <v>0</v>
      </c>
      <c r="AN11" s="32">
        <f t="shared" si="47"/>
        <v>-1</v>
      </c>
      <c r="AO11" s="31">
        <f>Primera!AO11</f>
        <v>0</v>
      </c>
      <c r="AP11" s="32">
        <f t="shared" si="48"/>
        <v>-1</v>
      </c>
      <c r="AQ11" s="31">
        <f>Primera!AQ11</f>
        <v>0</v>
      </c>
      <c r="AR11" s="32">
        <f t="shared" si="49"/>
        <v>-1</v>
      </c>
      <c r="AS11" s="31">
        <f>Primera!AS11</f>
        <v>0</v>
      </c>
      <c r="AT11" s="32">
        <f t="shared" si="50"/>
        <v>-1</v>
      </c>
      <c r="AU11" s="31">
        <f>Primera!AU11</f>
        <v>0</v>
      </c>
      <c r="AV11" s="32">
        <f t="shared" si="51"/>
        <v>-1</v>
      </c>
      <c r="AW11" s="31">
        <f>Primera!AW11</f>
        <v>0</v>
      </c>
      <c r="AX11" s="32">
        <f t="shared" si="52"/>
        <v>-1</v>
      </c>
      <c r="AY11" s="31">
        <f>Primera!AY11</f>
        <v>0</v>
      </c>
      <c r="AZ11" s="32">
        <f t="shared" si="53"/>
        <v>-1</v>
      </c>
      <c r="BA11" s="31">
        <f>Primera!BA11</f>
        <v>0</v>
      </c>
      <c r="BB11" s="32">
        <f t="shared" si="54"/>
        <v>-1</v>
      </c>
      <c r="BC11" s="31">
        <f>Primera!BC11</f>
        <v>0</v>
      </c>
      <c r="BD11" s="32">
        <f t="shared" si="55"/>
        <v>-1</v>
      </c>
      <c r="BE11" s="31">
        <f>Primera!BE11</f>
        <v>0</v>
      </c>
      <c r="BF11" s="32">
        <f t="shared" si="56"/>
        <v>-1</v>
      </c>
      <c r="BG11" s="31">
        <f>Primera!BG11</f>
        <v>0</v>
      </c>
      <c r="BH11" s="32">
        <f t="shared" si="57"/>
        <v>-1</v>
      </c>
      <c r="BI11" s="31">
        <f>Primera!BI11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Primera!B12</f>
        <v>0</v>
      </c>
      <c r="C12" s="31">
        <f>Primera!C12</f>
        <v>0</v>
      </c>
      <c r="D12" s="32">
        <f t="shared" si="29"/>
        <v>-1</v>
      </c>
      <c r="E12" s="31">
        <f>Primera!E12</f>
        <v>0</v>
      </c>
      <c r="F12" s="32">
        <f t="shared" si="30"/>
        <v>-1</v>
      </c>
      <c r="G12" s="31">
        <f>Primera!G12</f>
        <v>0</v>
      </c>
      <c r="H12" s="32">
        <f t="shared" si="31"/>
        <v>-1</v>
      </c>
      <c r="I12" s="31">
        <f>Primera!I12</f>
        <v>0</v>
      </c>
      <c r="J12" s="32">
        <f t="shared" si="32"/>
        <v>-1</v>
      </c>
      <c r="K12" s="31">
        <f>Primera!K12</f>
        <v>0</v>
      </c>
      <c r="L12" s="32">
        <f t="shared" si="33"/>
        <v>-1</v>
      </c>
      <c r="M12" s="31">
        <f>Primera!M12</f>
        <v>0</v>
      </c>
      <c r="N12" s="32">
        <f t="shared" si="34"/>
        <v>-1</v>
      </c>
      <c r="O12" s="31">
        <f>Primera!O12</f>
        <v>0</v>
      </c>
      <c r="P12" s="32">
        <f t="shared" si="35"/>
        <v>-1</v>
      </c>
      <c r="Q12" s="31">
        <f>Primera!Q12</f>
        <v>0</v>
      </c>
      <c r="R12" s="32">
        <f t="shared" si="36"/>
        <v>-1</v>
      </c>
      <c r="S12" s="31">
        <f>Primera!S12</f>
        <v>0</v>
      </c>
      <c r="T12" s="32">
        <f t="shared" si="37"/>
        <v>-1</v>
      </c>
      <c r="U12" s="31">
        <f>Primera!U12</f>
        <v>0</v>
      </c>
      <c r="V12" s="32">
        <f t="shared" si="38"/>
        <v>-1</v>
      </c>
      <c r="W12" s="31">
        <f>Primera!W12</f>
        <v>0</v>
      </c>
      <c r="X12" s="32">
        <f t="shared" si="39"/>
        <v>-1</v>
      </c>
      <c r="Y12" s="31">
        <f>Primera!Y12</f>
        <v>0</v>
      </c>
      <c r="Z12" s="32">
        <f t="shared" si="40"/>
        <v>-1</v>
      </c>
      <c r="AA12" s="31">
        <f>Primera!AA12</f>
        <v>0</v>
      </c>
      <c r="AB12" s="32">
        <f t="shared" si="41"/>
        <v>-1</v>
      </c>
      <c r="AC12" s="31">
        <f>Primera!AC12</f>
        <v>0</v>
      </c>
      <c r="AD12" s="32">
        <f t="shared" si="42"/>
        <v>-1</v>
      </c>
      <c r="AE12" s="31">
        <f>Primera!AE12</f>
        <v>0</v>
      </c>
      <c r="AF12" s="32">
        <f t="shared" si="43"/>
        <v>-1</v>
      </c>
      <c r="AG12" s="31">
        <f>Primera!AG12</f>
        <v>0</v>
      </c>
      <c r="AH12" s="32">
        <f t="shared" si="44"/>
        <v>-1</v>
      </c>
      <c r="AI12" s="31">
        <f>Primera!AI12</f>
        <v>0</v>
      </c>
      <c r="AJ12" s="32">
        <f t="shared" si="45"/>
        <v>-1</v>
      </c>
      <c r="AK12" s="31">
        <f>Primera!AK12</f>
        <v>0</v>
      </c>
      <c r="AL12" s="32">
        <f t="shared" si="46"/>
        <v>-1</v>
      </c>
      <c r="AM12" s="31">
        <f>Primera!AM12</f>
        <v>0</v>
      </c>
      <c r="AN12" s="32">
        <f t="shared" si="47"/>
        <v>-1</v>
      </c>
      <c r="AO12" s="31">
        <f>Primera!AO12</f>
        <v>0</v>
      </c>
      <c r="AP12" s="32">
        <f t="shared" si="48"/>
        <v>-1</v>
      </c>
      <c r="AQ12" s="31">
        <f>Primera!AQ12</f>
        <v>0</v>
      </c>
      <c r="AR12" s="32">
        <f t="shared" si="49"/>
        <v>-1</v>
      </c>
      <c r="AS12" s="31">
        <f>Primera!AS12</f>
        <v>0</v>
      </c>
      <c r="AT12" s="32">
        <f t="shared" si="50"/>
        <v>-1</v>
      </c>
      <c r="AU12" s="31">
        <f>Primera!AU12</f>
        <v>0</v>
      </c>
      <c r="AV12" s="32">
        <f t="shared" si="51"/>
        <v>-1</v>
      </c>
      <c r="AW12" s="31">
        <f>Primera!AW12</f>
        <v>0</v>
      </c>
      <c r="AX12" s="32">
        <f t="shared" si="52"/>
        <v>-1</v>
      </c>
      <c r="AY12" s="31">
        <f>Primera!AY12</f>
        <v>0</v>
      </c>
      <c r="AZ12" s="32">
        <f t="shared" si="53"/>
        <v>-1</v>
      </c>
      <c r="BA12" s="31">
        <f>Primera!BA12</f>
        <v>0</v>
      </c>
      <c r="BB12" s="32">
        <f t="shared" si="54"/>
        <v>-1</v>
      </c>
      <c r="BC12" s="31">
        <f>Primera!BC12</f>
        <v>0</v>
      </c>
      <c r="BD12" s="32">
        <f t="shared" si="55"/>
        <v>-1</v>
      </c>
      <c r="BE12" s="31">
        <f>Primera!BE12</f>
        <v>0</v>
      </c>
      <c r="BF12" s="32">
        <f t="shared" si="56"/>
        <v>-1</v>
      </c>
      <c r="BG12" s="31">
        <f>Primera!BG12</f>
        <v>0</v>
      </c>
      <c r="BH12" s="32">
        <f t="shared" si="57"/>
        <v>-1</v>
      </c>
      <c r="BI12" s="31">
        <f>Primera!BI12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Primera!B13</f>
        <v>0</v>
      </c>
      <c r="C13" s="31">
        <f>Primera!C13</f>
        <v>0</v>
      </c>
      <c r="D13" s="32">
        <f t="shared" si="29"/>
        <v>-1</v>
      </c>
      <c r="E13" s="31">
        <f>Primera!E13</f>
        <v>0</v>
      </c>
      <c r="F13" s="32">
        <f t="shared" si="30"/>
        <v>-1</v>
      </c>
      <c r="G13" s="31">
        <f>Primera!G13</f>
        <v>0</v>
      </c>
      <c r="H13" s="32">
        <f t="shared" si="31"/>
        <v>-1</v>
      </c>
      <c r="I13" s="31">
        <f>Primera!I13</f>
        <v>0</v>
      </c>
      <c r="J13" s="32">
        <f t="shared" si="32"/>
        <v>-1</v>
      </c>
      <c r="K13" s="31">
        <f>Primera!K13</f>
        <v>0</v>
      </c>
      <c r="L13" s="32">
        <f t="shared" si="33"/>
        <v>-1</v>
      </c>
      <c r="M13" s="31">
        <f>Primera!M13</f>
        <v>0</v>
      </c>
      <c r="N13" s="32">
        <f t="shared" si="34"/>
        <v>-1</v>
      </c>
      <c r="O13" s="31">
        <f>Primera!O13</f>
        <v>0</v>
      </c>
      <c r="P13" s="32">
        <f t="shared" si="35"/>
        <v>-1</v>
      </c>
      <c r="Q13" s="31">
        <f>Primera!Q13</f>
        <v>0</v>
      </c>
      <c r="R13" s="32">
        <f t="shared" si="36"/>
        <v>-1</v>
      </c>
      <c r="S13" s="31">
        <f>Primera!S13</f>
        <v>0</v>
      </c>
      <c r="T13" s="32">
        <f t="shared" si="37"/>
        <v>-1</v>
      </c>
      <c r="U13" s="31">
        <f>Primera!U13</f>
        <v>0</v>
      </c>
      <c r="V13" s="32">
        <f t="shared" si="38"/>
        <v>-1</v>
      </c>
      <c r="W13" s="31">
        <f>Primera!W13</f>
        <v>0</v>
      </c>
      <c r="X13" s="32">
        <f t="shared" si="39"/>
        <v>-1</v>
      </c>
      <c r="Y13" s="31">
        <f>Primera!Y13</f>
        <v>0</v>
      </c>
      <c r="Z13" s="32">
        <f t="shared" si="40"/>
        <v>-1</v>
      </c>
      <c r="AA13" s="31">
        <f>Primera!AA13</f>
        <v>0</v>
      </c>
      <c r="AB13" s="32">
        <f t="shared" si="41"/>
        <v>-1</v>
      </c>
      <c r="AC13" s="31">
        <f>Primera!AC13</f>
        <v>0</v>
      </c>
      <c r="AD13" s="32">
        <f t="shared" si="42"/>
        <v>-1</v>
      </c>
      <c r="AE13" s="31">
        <f>Primera!AE13</f>
        <v>0</v>
      </c>
      <c r="AF13" s="32">
        <f t="shared" si="43"/>
        <v>-1</v>
      </c>
      <c r="AG13" s="31">
        <f>Primera!AG13</f>
        <v>0</v>
      </c>
      <c r="AH13" s="32">
        <f t="shared" si="44"/>
        <v>-1</v>
      </c>
      <c r="AI13" s="31">
        <f>Primera!AI13</f>
        <v>0</v>
      </c>
      <c r="AJ13" s="32">
        <f t="shared" si="45"/>
        <v>-1</v>
      </c>
      <c r="AK13" s="31">
        <f>Primera!AK13</f>
        <v>0</v>
      </c>
      <c r="AL13" s="32">
        <f t="shared" si="46"/>
        <v>-1</v>
      </c>
      <c r="AM13" s="31">
        <f>Primera!AM13</f>
        <v>0</v>
      </c>
      <c r="AN13" s="32">
        <f t="shared" si="47"/>
        <v>-1</v>
      </c>
      <c r="AO13" s="31">
        <f>Primera!AO13</f>
        <v>0</v>
      </c>
      <c r="AP13" s="32">
        <f t="shared" si="48"/>
        <v>-1</v>
      </c>
      <c r="AQ13" s="31">
        <f>Primera!AQ13</f>
        <v>0</v>
      </c>
      <c r="AR13" s="32">
        <f t="shared" si="49"/>
        <v>-1</v>
      </c>
      <c r="AS13" s="31">
        <f>Primera!AS13</f>
        <v>0</v>
      </c>
      <c r="AT13" s="32">
        <f t="shared" si="50"/>
        <v>-1</v>
      </c>
      <c r="AU13" s="31">
        <f>Primera!AU13</f>
        <v>0</v>
      </c>
      <c r="AV13" s="32">
        <f t="shared" si="51"/>
        <v>-1</v>
      </c>
      <c r="AW13" s="31">
        <f>Primera!AW13</f>
        <v>0</v>
      </c>
      <c r="AX13" s="32">
        <f t="shared" si="52"/>
        <v>-1</v>
      </c>
      <c r="AY13" s="31">
        <f>Primera!AY13</f>
        <v>0</v>
      </c>
      <c r="AZ13" s="32">
        <f t="shared" si="53"/>
        <v>-1</v>
      </c>
      <c r="BA13" s="31">
        <f>Primera!BA13</f>
        <v>0</v>
      </c>
      <c r="BB13" s="32">
        <f t="shared" si="54"/>
        <v>-1</v>
      </c>
      <c r="BC13" s="31">
        <f>Primera!BC13</f>
        <v>0</v>
      </c>
      <c r="BD13" s="32">
        <f t="shared" si="55"/>
        <v>-1</v>
      </c>
      <c r="BE13" s="31">
        <f>Primera!BE13</f>
        <v>0</v>
      </c>
      <c r="BF13" s="32">
        <f t="shared" si="56"/>
        <v>-1</v>
      </c>
      <c r="BG13" s="31">
        <f>Primera!BG13</f>
        <v>0</v>
      </c>
      <c r="BH13" s="32">
        <f t="shared" si="57"/>
        <v>-1</v>
      </c>
      <c r="BI13" s="31">
        <f>Primera!BI13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Primera!B14</f>
        <v>0</v>
      </c>
      <c r="C14" s="31">
        <f>Primera!C14</f>
        <v>0</v>
      </c>
      <c r="D14" s="32">
        <f t="shared" si="29"/>
        <v>-1</v>
      </c>
      <c r="E14" s="31">
        <f>Primera!E14</f>
        <v>0</v>
      </c>
      <c r="F14" s="32">
        <f t="shared" si="30"/>
        <v>-1</v>
      </c>
      <c r="G14" s="31">
        <f>Primera!G14</f>
        <v>0</v>
      </c>
      <c r="H14" s="32">
        <f t="shared" si="31"/>
        <v>-1</v>
      </c>
      <c r="I14" s="31">
        <f>Primera!I14</f>
        <v>0</v>
      </c>
      <c r="J14" s="32">
        <f t="shared" si="32"/>
        <v>-1</v>
      </c>
      <c r="K14" s="31">
        <f>Primera!K14</f>
        <v>0</v>
      </c>
      <c r="L14" s="32">
        <f t="shared" si="33"/>
        <v>-1</v>
      </c>
      <c r="M14" s="31">
        <f>Primera!M14</f>
        <v>0</v>
      </c>
      <c r="N14" s="32">
        <f t="shared" si="34"/>
        <v>-1</v>
      </c>
      <c r="O14" s="31">
        <f>Primera!O14</f>
        <v>0</v>
      </c>
      <c r="P14" s="32">
        <f t="shared" si="35"/>
        <v>-1</v>
      </c>
      <c r="Q14" s="31">
        <f>Primera!Q14</f>
        <v>0</v>
      </c>
      <c r="R14" s="32">
        <f t="shared" si="36"/>
        <v>-1</v>
      </c>
      <c r="S14" s="31">
        <f>Primera!S14</f>
        <v>0</v>
      </c>
      <c r="T14" s="32">
        <f t="shared" si="37"/>
        <v>-1</v>
      </c>
      <c r="U14" s="31">
        <f>Primera!U14</f>
        <v>0</v>
      </c>
      <c r="V14" s="32">
        <f t="shared" si="38"/>
        <v>-1</v>
      </c>
      <c r="W14" s="31">
        <f>Primera!W14</f>
        <v>0</v>
      </c>
      <c r="X14" s="32">
        <f t="shared" si="39"/>
        <v>-1</v>
      </c>
      <c r="Y14" s="31">
        <f>Primera!Y14</f>
        <v>0</v>
      </c>
      <c r="Z14" s="32">
        <f t="shared" si="40"/>
        <v>-1</v>
      </c>
      <c r="AA14" s="31">
        <f>Primera!AA14</f>
        <v>0</v>
      </c>
      <c r="AB14" s="32">
        <f t="shared" si="41"/>
        <v>-1</v>
      </c>
      <c r="AC14" s="31">
        <f>Primera!AC14</f>
        <v>0</v>
      </c>
      <c r="AD14" s="32">
        <f t="shared" si="42"/>
        <v>-1</v>
      </c>
      <c r="AE14" s="31">
        <f>Primera!AE14</f>
        <v>0</v>
      </c>
      <c r="AF14" s="32">
        <f t="shared" si="43"/>
        <v>-1</v>
      </c>
      <c r="AG14" s="31">
        <f>Primera!AG14</f>
        <v>0</v>
      </c>
      <c r="AH14" s="32">
        <f t="shared" si="44"/>
        <v>-1</v>
      </c>
      <c r="AI14" s="31">
        <f>Primera!AI14</f>
        <v>0</v>
      </c>
      <c r="AJ14" s="32">
        <f t="shared" si="45"/>
        <v>-1</v>
      </c>
      <c r="AK14" s="31">
        <f>Primera!AK14</f>
        <v>0</v>
      </c>
      <c r="AL14" s="32">
        <f t="shared" si="46"/>
        <v>-1</v>
      </c>
      <c r="AM14" s="31">
        <f>Primera!AM14</f>
        <v>0</v>
      </c>
      <c r="AN14" s="32">
        <f t="shared" si="47"/>
        <v>-1</v>
      </c>
      <c r="AO14" s="31">
        <f>Primera!AO14</f>
        <v>0</v>
      </c>
      <c r="AP14" s="32">
        <f t="shared" si="48"/>
        <v>-1</v>
      </c>
      <c r="AQ14" s="31">
        <f>Primera!AQ14</f>
        <v>0</v>
      </c>
      <c r="AR14" s="32">
        <f t="shared" si="49"/>
        <v>-1</v>
      </c>
      <c r="AS14" s="31">
        <f>Primera!AS14</f>
        <v>0</v>
      </c>
      <c r="AT14" s="32">
        <f t="shared" si="50"/>
        <v>-1</v>
      </c>
      <c r="AU14" s="31">
        <f>Primera!AU14</f>
        <v>0</v>
      </c>
      <c r="AV14" s="32">
        <f t="shared" si="51"/>
        <v>-1</v>
      </c>
      <c r="AW14" s="31">
        <f>Primera!AW14</f>
        <v>0</v>
      </c>
      <c r="AX14" s="32">
        <f t="shared" si="52"/>
        <v>-1</v>
      </c>
      <c r="AY14" s="31">
        <f>Primera!AY14</f>
        <v>0</v>
      </c>
      <c r="AZ14" s="32">
        <f t="shared" si="53"/>
        <v>-1</v>
      </c>
      <c r="BA14" s="31">
        <f>Primera!BA14</f>
        <v>0</v>
      </c>
      <c r="BB14" s="32">
        <f t="shared" si="54"/>
        <v>-1</v>
      </c>
      <c r="BC14" s="31">
        <f>Primera!BC14</f>
        <v>0</v>
      </c>
      <c r="BD14" s="32">
        <f t="shared" si="55"/>
        <v>-1</v>
      </c>
      <c r="BE14" s="31">
        <f>Primera!BE14</f>
        <v>0</v>
      </c>
      <c r="BF14" s="32">
        <f t="shared" si="56"/>
        <v>-1</v>
      </c>
      <c r="BG14" s="31">
        <f>Primera!BG14</f>
        <v>0</v>
      </c>
      <c r="BH14" s="32">
        <f t="shared" si="57"/>
        <v>-1</v>
      </c>
      <c r="BI14" s="31">
        <f>Primera!BI14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Primera!B15</f>
        <v>0</v>
      </c>
      <c r="C15" s="31">
        <f>Primera!C15</f>
        <v>0</v>
      </c>
      <c r="D15" s="32">
        <f t="shared" si="29"/>
        <v>-1</v>
      </c>
      <c r="E15" s="31">
        <f>Primera!E15</f>
        <v>0</v>
      </c>
      <c r="F15" s="32">
        <f t="shared" si="30"/>
        <v>-1</v>
      </c>
      <c r="G15" s="31">
        <f>Primera!G15</f>
        <v>0</v>
      </c>
      <c r="H15" s="32">
        <f t="shared" si="31"/>
        <v>-1</v>
      </c>
      <c r="I15" s="31">
        <f>Primera!I15</f>
        <v>0</v>
      </c>
      <c r="J15" s="32">
        <f t="shared" si="32"/>
        <v>-1</v>
      </c>
      <c r="K15" s="31">
        <f>Primera!K15</f>
        <v>0</v>
      </c>
      <c r="L15" s="32">
        <f t="shared" si="33"/>
        <v>-1</v>
      </c>
      <c r="M15" s="31">
        <f>Primera!M15</f>
        <v>0</v>
      </c>
      <c r="N15" s="32">
        <f t="shared" si="34"/>
        <v>-1</v>
      </c>
      <c r="O15" s="31">
        <f>Primera!O15</f>
        <v>0</v>
      </c>
      <c r="P15" s="32">
        <f t="shared" si="35"/>
        <v>-1</v>
      </c>
      <c r="Q15" s="31">
        <f>Primera!Q15</f>
        <v>0</v>
      </c>
      <c r="R15" s="32">
        <f t="shared" si="36"/>
        <v>-1</v>
      </c>
      <c r="S15" s="31">
        <f>Primera!S15</f>
        <v>0</v>
      </c>
      <c r="T15" s="32">
        <f t="shared" si="37"/>
        <v>-1</v>
      </c>
      <c r="U15" s="31">
        <f>Primera!U15</f>
        <v>0</v>
      </c>
      <c r="V15" s="32">
        <f t="shared" si="38"/>
        <v>-1</v>
      </c>
      <c r="W15" s="31">
        <f>Primera!W15</f>
        <v>0</v>
      </c>
      <c r="X15" s="32">
        <f t="shared" si="39"/>
        <v>-1</v>
      </c>
      <c r="Y15" s="31">
        <f>Primera!Y15</f>
        <v>0</v>
      </c>
      <c r="Z15" s="32">
        <f t="shared" si="40"/>
        <v>-1</v>
      </c>
      <c r="AA15" s="31">
        <f>Primera!AA15</f>
        <v>0</v>
      </c>
      <c r="AB15" s="32">
        <f t="shared" si="41"/>
        <v>-1</v>
      </c>
      <c r="AC15" s="31">
        <f>Primera!AC15</f>
        <v>0</v>
      </c>
      <c r="AD15" s="32">
        <f t="shared" si="42"/>
        <v>-1</v>
      </c>
      <c r="AE15" s="31">
        <f>Primera!AE15</f>
        <v>0</v>
      </c>
      <c r="AF15" s="32">
        <f t="shared" si="43"/>
        <v>-1</v>
      </c>
      <c r="AG15" s="31">
        <f>Primera!AG15</f>
        <v>0</v>
      </c>
      <c r="AH15" s="32">
        <f t="shared" si="44"/>
        <v>-1</v>
      </c>
      <c r="AI15" s="31">
        <f>Primera!AI15</f>
        <v>0</v>
      </c>
      <c r="AJ15" s="32">
        <f t="shared" si="45"/>
        <v>-1</v>
      </c>
      <c r="AK15" s="31">
        <f>Primera!AK15</f>
        <v>0</v>
      </c>
      <c r="AL15" s="32">
        <f t="shared" si="46"/>
        <v>-1</v>
      </c>
      <c r="AM15" s="31">
        <f>Primera!AM15</f>
        <v>0</v>
      </c>
      <c r="AN15" s="32">
        <f t="shared" si="47"/>
        <v>-1</v>
      </c>
      <c r="AO15" s="31">
        <f>Primera!AO15</f>
        <v>0</v>
      </c>
      <c r="AP15" s="32">
        <f t="shared" si="48"/>
        <v>-1</v>
      </c>
      <c r="AQ15" s="31">
        <f>Primera!AQ15</f>
        <v>0</v>
      </c>
      <c r="AR15" s="32">
        <f t="shared" si="49"/>
        <v>-1</v>
      </c>
      <c r="AS15" s="31">
        <f>Primera!AS15</f>
        <v>0</v>
      </c>
      <c r="AT15" s="32">
        <f t="shared" si="50"/>
        <v>-1</v>
      </c>
      <c r="AU15" s="31">
        <f>Primera!AU15</f>
        <v>0</v>
      </c>
      <c r="AV15" s="32">
        <f t="shared" si="51"/>
        <v>-1</v>
      </c>
      <c r="AW15" s="31">
        <f>Primera!AW15</f>
        <v>0</v>
      </c>
      <c r="AX15" s="32">
        <f t="shared" si="52"/>
        <v>-1</v>
      </c>
      <c r="AY15" s="31">
        <f>Primera!AY15</f>
        <v>0</v>
      </c>
      <c r="AZ15" s="32">
        <f t="shared" si="53"/>
        <v>-1</v>
      </c>
      <c r="BA15" s="31">
        <f>Primera!BA15</f>
        <v>0</v>
      </c>
      <c r="BB15" s="32">
        <f t="shared" si="54"/>
        <v>-1</v>
      </c>
      <c r="BC15" s="31">
        <f>Primera!BC15</f>
        <v>0</v>
      </c>
      <c r="BD15" s="32">
        <f t="shared" si="55"/>
        <v>-1</v>
      </c>
      <c r="BE15" s="31">
        <f>Primera!BE15</f>
        <v>0</v>
      </c>
      <c r="BF15" s="32">
        <f t="shared" si="56"/>
        <v>-1</v>
      </c>
      <c r="BG15" s="31">
        <f>Primera!BG15</f>
        <v>0</v>
      </c>
      <c r="BH15" s="32">
        <f t="shared" si="57"/>
        <v>-1</v>
      </c>
      <c r="BI15" s="31">
        <f>Primera!BI15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Primera!B17</f>
        <v>0</v>
      </c>
      <c r="C17" s="31">
        <f>Primera!C17</f>
        <v>0</v>
      </c>
      <c r="D17" s="32">
        <f t="shared" ref="D17:D37" si="59">IF($B17,C17/$B17,-1)</f>
        <v>-1</v>
      </c>
      <c r="E17" s="31">
        <f>Primera!E17</f>
        <v>0</v>
      </c>
      <c r="F17" s="32">
        <f t="shared" ref="F17:F37" si="60">IF($B17,E17/$B17,-1)</f>
        <v>-1</v>
      </c>
      <c r="G17" s="31">
        <f>Primera!G17</f>
        <v>0</v>
      </c>
      <c r="H17" s="32">
        <f t="shared" ref="H17:H37" si="61">IF($B17,G17/$B17,-1)</f>
        <v>-1</v>
      </c>
      <c r="I17" s="31">
        <f>Primera!I17</f>
        <v>0</v>
      </c>
      <c r="J17" s="32">
        <f t="shared" ref="J17:J37" si="62">IF($B17,I17/$B17,-1)</f>
        <v>-1</v>
      </c>
      <c r="K17" s="31">
        <f>Primera!K17</f>
        <v>0</v>
      </c>
      <c r="L17" s="32">
        <f t="shared" ref="L17:L37" si="63">IF($B17,K17/$B17,-1)</f>
        <v>-1</v>
      </c>
      <c r="M17" s="31">
        <f>Primera!M17</f>
        <v>0</v>
      </c>
      <c r="N17" s="32">
        <f t="shared" ref="N17:N37" si="64">IF($B17,M17/$B17,-1)</f>
        <v>-1</v>
      </c>
      <c r="O17" s="31">
        <f>Primera!O17</f>
        <v>0</v>
      </c>
      <c r="P17" s="32">
        <f t="shared" ref="P17:P37" si="65">IF($B17,O17/$B17,-1)</f>
        <v>-1</v>
      </c>
      <c r="Q17" s="31">
        <f>Primera!Q17</f>
        <v>0</v>
      </c>
      <c r="R17" s="32">
        <f t="shared" ref="R17:R37" si="66">IF($B17,Q17/$B17,-1)</f>
        <v>-1</v>
      </c>
      <c r="S17" s="31">
        <f>Primera!S17</f>
        <v>0</v>
      </c>
      <c r="T17" s="32">
        <f t="shared" ref="T17:T37" si="67">IF($B17,S17/$B17,-1)</f>
        <v>-1</v>
      </c>
      <c r="U17" s="31">
        <f>Primera!U17</f>
        <v>0</v>
      </c>
      <c r="V17" s="32">
        <f t="shared" ref="V17:V37" si="68">IF($B17,U17/$B17,-1)</f>
        <v>-1</v>
      </c>
      <c r="W17" s="31">
        <f>Primera!W17</f>
        <v>0</v>
      </c>
      <c r="X17" s="32">
        <f t="shared" ref="X17:X37" si="69">IF($B17,W17/$B17,-1)</f>
        <v>-1</v>
      </c>
      <c r="Y17" s="31">
        <f>Primera!Y17</f>
        <v>0</v>
      </c>
      <c r="Z17" s="32">
        <f t="shared" ref="Z17:Z37" si="70">IF($B17,Y17/$B17,-1)</f>
        <v>-1</v>
      </c>
      <c r="AA17" s="31">
        <f>Primera!AA17</f>
        <v>0</v>
      </c>
      <c r="AB17" s="32">
        <f t="shared" ref="AB17:AB37" si="71">IF($B17,AA17/$B17,-1)</f>
        <v>-1</v>
      </c>
      <c r="AC17" s="31">
        <f>Primera!AC17</f>
        <v>0</v>
      </c>
      <c r="AD17" s="32">
        <f t="shared" ref="AD17:AD37" si="72">IF($B17,AC17/$B17,-1)</f>
        <v>-1</v>
      </c>
      <c r="AE17" s="31">
        <f>Primera!AE17</f>
        <v>0</v>
      </c>
      <c r="AF17" s="32">
        <f t="shared" ref="AF17:AF37" si="73">IF($B17,AE17/$B17,-1)</f>
        <v>-1</v>
      </c>
      <c r="AG17" s="31">
        <f>Primera!AG17</f>
        <v>0</v>
      </c>
      <c r="AH17" s="32">
        <f t="shared" ref="AH17:AH37" si="74">IF($B17,AG17/$B17,-1)</f>
        <v>-1</v>
      </c>
      <c r="AI17" s="31">
        <f>Primera!AI17</f>
        <v>0</v>
      </c>
      <c r="AJ17" s="32">
        <f t="shared" ref="AJ17:AJ37" si="75">IF($B17,AI17/$B17,-1)</f>
        <v>-1</v>
      </c>
      <c r="AK17" s="31">
        <f>Primera!AK17</f>
        <v>0</v>
      </c>
      <c r="AL17" s="32">
        <f t="shared" ref="AL17:AL37" si="76">IF($B17,AK17/$B17,-1)</f>
        <v>-1</v>
      </c>
      <c r="AM17" s="31">
        <f>Primera!AM17</f>
        <v>0</v>
      </c>
      <c r="AN17" s="32">
        <f t="shared" ref="AN17:AN37" si="77">IF($B17,AM17/$B17,-1)</f>
        <v>-1</v>
      </c>
      <c r="AO17" s="31">
        <f>Primera!AO17</f>
        <v>0</v>
      </c>
      <c r="AP17" s="32">
        <f t="shared" ref="AP17:AP37" si="78">IF($B17,AO17/$B17,-1)</f>
        <v>-1</v>
      </c>
      <c r="AQ17" s="31">
        <f>Primera!AQ17</f>
        <v>0</v>
      </c>
      <c r="AR17" s="32">
        <f t="shared" ref="AR17:AR37" si="79">IF($B17,AQ17/$B17,-1)</f>
        <v>-1</v>
      </c>
      <c r="AS17" s="31">
        <f>Primera!AS17</f>
        <v>0</v>
      </c>
      <c r="AT17" s="32">
        <f t="shared" ref="AT17:AT37" si="80">IF($B17,AS17/$B17,-1)</f>
        <v>-1</v>
      </c>
      <c r="AU17" s="31">
        <f>Primera!AU17</f>
        <v>0</v>
      </c>
      <c r="AV17" s="32">
        <f t="shared" ref="AV17:AV37" si="81">IF($B17,AU17/$B17,-1)</f>
        <v>-1</v>
      </c>
      <c r="AW17" s="31">
        <f>Primera!AW17</f>
        <v>0</v>
      </c>
      <c r="AX17" s="32">
        <f t="shared" ref="AX17:AX37" si="82">IF($B17,AW17/$B17,-1)</f>
        <v>-1</v>
      </c>
      <c r="AY17" s="31">
        <f>Primera!AY17</f>
        <v>0</v>
      </c>
      <c r="AZ17" s="32">
        <f t="shared" ref="AZ17:AZ37" si="83">IF($B17,AY17/$B17,-1)</f>
        <v>-1</v>
      </c>
      <c r="BA17" s="31">
        <f>Primera!BA17</f>
        <v>0</v>
      </c>
      <c r="BB17" s="32">
        <f t="shared" ref="BB17:BB37" si="84">IF($B17,BA17/$B17,-1)</f>
        <v>-1</v>
      </c>
      <c r="BC17" s="31">
        <f>Primera!BC17</f>
        <v>0</v>
      </c>
      <c r="BD17" s="32">
        <f t="shared" ref="BD17:BD37" si="85">IF($B17,BC17/$B17,-1)</f>
        <v>-1</v>
      </c>
      <c r="BE17" s="31">
        <f>Primera!BE17</f>
        <v>0</v>
      </c>
      <c r="BF17" s="32">
        <f t="shared" ref="BF17:BF37" si="86">IF($B17,BE17/$B17,-1)</f>
        <v>-1</v>
      </c>
      <c r="BG17" s="31">
        <f>Primera!BG17</f>
        <v>0</v>
      </c>
      <c r="BH17" s="32">
        <f t="shared" ref="BH17:BH37" si="87">IF($B17,BG17/$B17,-1)</f>
        <v>-1</v>
      </c>
      <c r="BI17" s="31">
        <f>Primera!BI17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Primera!B18</f>
        <v>0</v>
      </c>
      <c r="C18" s="31">
        <f>Primera!C18</f>
        <v>0</v>
      </c>
      <c r="D18" s="32">
        <f t="shared" si="59"/>
        <v>-1</v>
      </c>
      <c r="E18" s="31">
        <f>Primera!E18</f>
        <v>0</v>
      </c>
      <c r="F18" s="32">
        <f t="shared" si="60"/>
        <v>-1</v>
      </c>
      <c r="G18" s="31">
        <f>Primera!G18</f>
        <v>0</v>
      </c>
      <c r="H18" s="32">
        <f t="shared" si="61"/>
        <v>-1</v>
      </c>
      <c r="I18" s="31">
        <f>Primera!I18</f>
        <v>0</v>
      </c>
      <c r="J18" s="32">
        <f t="shared" si="62"/>
        <v>-1</v>
      </c>
      <c r="K18" s="31">
        <f>Primera!K18</f>
        <v>0</v>
      </c>
      <c r="L18" s="32">
        <f t="shared" si="63"/>
        <v>-1</v>
      </c>
      <c r="M18" s="31">
        <f>Primera!M18</f>
        <v>0</v>
      </c>
      <c r="N18" s="32">
        <f t="shared" si="64"/>
        <v>-1</v>
      </c>
      <c r="O18" s="31">
        <f>Primera!O18</f>
        <v>0</v>
      </c>
      <c r="P18" s="32">
        <f t="shared" si="65"/>
        <v>-1</v>
      </c>
      <c r="Q18" s="31">
        <f>Primera!Q18</f>
        <v>0</v>
      </c>
      <c r="R18" s="32">
        <f t="shared" si="66"/>
        <v>-1</v>
      </c>
      <c r="S18" s="31">
        <f>Primera!S18</f>
        <v>0</v>
      </c>
      <c r="T18" s="32">
        <f t="shared" si="67"/>
        <v>-1</v>
      </c>
      <c r="U18" s="31">
        <f>Primera!U18</f>
        <v>0</v>
      </c>
      <c r="V18" s="32">
        <f t="shared" si="68"/>
        <v>-1</v>
      </c>
      <c r="W18" s="31">
        <f>Primera!W18</f>
        <v>0</v>
      </c>
      <c r="X18" s="32">
        <f t="shared" si="69"/>
        <v>-1</v>
      </c>
      <c r="Y18" s="31">
        <f>Primera!Y18</f>
        <v>0</v>
      </c>
      <c r="Z18" s="32">
        <f t="shared" si="70"/>
        <v>-1</v>
      </c>
      <c r="AA18" s="31">
        <f>Primera!AA18</f>
        <v>0</v>
      </c>
      <c r="AB18" s="32">
        <f t="shared" si="71"/>
        <v>-1</v>
      </c>
      <c r="AC18" s="31">
        <f>Primera!AC18</f>
        <v>0</v>
      </c>
      <c r="AD18" s="32">
        <f t="shared" si="72"/>
        <v>-1</v>
      </c>
      <c r="AE18" s="31">
        <f>Primera!AE18</f>
        <v>0</v>
      </c>
      <c r="AF18" s="32">
        <f t="shared" si="73"/>
        <v>-1</v>
      </c>
      <c r="AG18" s="31">
        <f>Primera!AG18</f>
        <v>0</v>
      </c>
      <c r="AH18" s="32">
        <f t="shared" si="74"/>
        <v>-1</v>
      </c>
      <c r="AI18" s="31">
        <f>Primera!AI18</f>
        <v>0</v>
      </c>
      <c r="AJ18" s="32">
        <f t="shared" si="75"/>
        <v>-1</v>
      </c>
      <c r="AK18" s="31">
        <f>Primera!AK18</f>
        <v>0</v>
      </c>
      <c r="AL18" s="32">
        <f t="shared" si="76"/>
        <v>-1</v>
      </c>
      <c r="AM18" s="31">
        <f>Primera!AM18</f>
        <v>0</v>
      </c>
      <c r="AN18" s="32">
        <f t="shared" si="77"/>
        <v>-1</v>
      </c>
      <c r="AO18" s="31">
        <f>Primera!AO18</f>
        <v>0</v>
      </c>
      <c r="AP18" s="32">
        <f t="shared" si="78"/>
        <v>-1</v>
      </c>
      <c r="AQ18" s="31">
        <f>Primera!AQ18</f>
        <v>0</v>
      </c>
      <c r="AR18" s="32">
        <f t="shared" si="79"/>
        <v>-1</v>
      </c>
      <c r="AS18" s="31">
        <f>Primera!AS18</f>
        <v>0</v>
      </c>
      <c r="AT18" s="32">
        <f t="shared" si="80"/>
        <v>-1</v>
      </c>
      <c r="AU18" s="31">
        <f>Primera!AU18</f>
        <v>0</v>
      </c>
      <c r="AV18" s="32">
        <f t="shared" si="81"/>
        <v>-1</v>
      </c>
      <c r="AW18" s="31">
        <f>Primera!AW18</f>
        <v>0</v>
      </c>
      <c r="AX18" s="32">
        <f t="shared" si="82"/>
        <v>-1</v>
      </c>
      <c r="AY18" s="31">
        <f>Primera!AY18</f>
        <v>0</v>
      </c>
      <c r="AZ18" s="32">
        <f t="shared" si="83"/>
        <v>-1</v>
      </c>
      <c r="BA18" s="31">
        <f>Primera!BA18</f>
        <v>0</v>
      </c>
      <c r="BB18" s="32">
        <f t="shared" si="84"/>
        <v>-1</v>
      </c>
      <c r="BC18" s="31">
        <f>Primera!BC18</f>
        <v>0</v>
      </c>
      <c r="BD18" s="32">
        <f t="shared" si="85"/>
        <v>-1</v>
      </c>
      <c r="BE18" s="31">
        <f>Primera!BE18</f>
        <v>0</v>
      </c>
      <c r="BF18" s="32">
        <f t="shared" si="86"/>
        <v>-1</v>
      </c>
      <c r="BG18" s="31">
        <f>Primera!BG18</f>
        <v>0</v>
      </c>
      <c r="BH18" s="32">
        <f t="shared" si="87"/>
        <v>-1</v>
      </c>
      <c r="BI18" s="31">
        <f>Primera!BI18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Primera!B19</f>
        <v>0</v>
      </c>
      <c r="C19" s="31">
        <f>Primera!C19</f>
        <v>0</v>
      </c>
      <c r="D19" s="32">
        <f t="shared" si="59"/>
        <v>-1</v>
      </c>
      <c r="E19" s="31">
        <f>Primera!E19</f>
        <v>0</v>
      </c>
      <c r="F19" s="32">
        <f t="shared" si="60"/>
        <v>-1</v>
      </c>
      <c r="G19" s="31">
        <f>Primera!G19</f>
        <v>0</v>
      </c>
      <c r="H19" s="32">
        <f t="shared" si="61"/>
        <v>-1</v>
      </c>
      <c r="I19" s="31">
        <f>Primera!I19</f>
        <v>0</v>
      </c>
      <c r="J19" s="32">
        <f t="shared" si="62"/>
        <v>-1</v>
      </c>
      <c r="K19" s="31">
        <f>Primera!K19</f>
        <v>0</v>
      </c>
      <c r="L19" s="32">
        <f t="shared" si="63"/>
        <v>-1</v>
      </c>
      <c r="M19" s="31">
        <f>Primera!M19</f>
        <v>0</v>
      </c>
      <c r="N19" s="32">
        <f t="shared" si="64"/>
        <v>-1</v>
      </c>
      <c r="O19" s="31">
        <f>Primera!O19</f>
        <v>0</v>
      </c>
      <c r="P19" s="32">
        <f t="shared" si="65"/>
        <v>-1</v>
      </c>
      <c r="Q19" s="31">
        <f>Primera!Q19</f>
        <v>0</v>
      </c>
      <c r="R19" s="32">
        <f t="shared" si="66"/>
        <v>-1</v>
      </c>
      <c r="S19" s="31">
        <f>Primera!S19</f>
        <v>0</v>
      </c>
      <c r="T19" s="32">
        <f t="shared" si="67"/>
        <v>-1</v>
      </c>
      <c r="U19" s="31">
        <f>Primera!U19</f>
        <v>0</v>
      </c>
      <c r="V19" s="32">
        <f t="shared" si="68"/>
        <v>-1</v>
      </c>
      <c r="W19" s="31">
        <f>Primera!W19</f>
        <v>0</v>
      </c>
      <c r="X19" s="32">
        <f t="shared" si="69"/>
        <v>-1</v>
      </c>
      <c r="Y19" s="31">
        <f>Primera!Y19</f>
        <v>0</v>
      </c>
      <c r="Z19" s="32">
        <f t="shared" si="70"/>
        <v>-1</v>
      </c>
      <c r="AA19" s="31">
        <f>Primera!AA19</f>
        <v>0</v>
      </c>
      <c r="AB19" s="32">
        <f t="shared" si="71"/>
        <v>-1</v>
      </c>
      <c r="AC19" s="31">
        <f>Primera!AC19</f>
        <v>0</v>
      </c>
      <c r="AD19" s="32">
        <f t="shared" si="72"/>
        <v>-1</v>
      </c>
      <c r="AE19" s="31">
        <f>Primera!AE19</f>
        <v>0</v>
      </c>
      <c r="AF19" s="32">
        <f t="shared" si="73"/>
        <v>-1</v>
      </c>
      <c r="AG19" s="31">
        <f>Primera!AG19</f>
        <v>0</v>
      </c>
      <c r="AH19" s="32">
        <f t="shared" si="74"/>
        <v>-1</v>
      </c>
      <c r="AI19" s="31">
        <f>Primera!AI19</f>
        <v>0</v>
      </c>
      <c r="AJ19" s="32">
        <f t="shared" si="75"/>
        <v>-1</v>
      </c>
      <c r="AK19" s="31">
        <f>Primera!AK19</f>
        <v>0</v>
      </c>
      <c r="AL19" s="32">
        <f t="shared" si="76"/>
        <v>-1</v>
      </c>
      <c r="AM19" s="31">
        <f>Primera!AM19</f>
        <v>0</v>
      </c>
      <c r="AN19" s="32">
        <f t="shared" si="77"/>
        <v>-1</v>
      </c>
      <c r="AO19" s="31">
        <f>Primera!AO19</f>
        <v>0</v>
      </c>
      <c r="AP19" s="32">
        <f t="shared" si="78"/>
        <v>-1</v>
      </c>
      <c r="AQ19" s="31">
        <f>Primera!AQ19</f>
        <v>0</v>
      </c>
      <c r="AR19" s="32">
        <f t="shared" si="79"/>
        <v>-1</v>
      </c>
      <c r="AS19" s="31">
        <f>Primera!AS19</f>
        <v>0</v>
      </c>
      <c r="AT19" s="32">
        <f t="shared" si="80"/>
        <v>-1</v>
      </c>
      <c r="AU19" s="31">
        <f>Primera!AU19</f>
        <v>0</v>
      </c>
      <c r="AV19" s="32">
        <f t="shared" si="81"/>
        <v>-1</v>
      </c>
      <c r="AW19" s="31">
        <f>Primera!AW19</f>
        <v>0</v>
      </c>
      <c r="AX19" s="32">
        <f t="shared" si="82"/>
        <v>-1</v>
      </c>
      <c r="AY19" s="31">
        <f>Primera!AY19</f>
        <v>0</v>
      </c>
      <c r="AZ19" s="32">
        <f t="shared" si="83"/>
        <v>-1</v>
      </c>
      <c r="BA19" s="31">
        <f>Primera!BA19</f>
        <v>0</v>
      </c>
      <c r="BB19" s="32">
        <f t="shared" si="84"/>
        <v>-1</v>
      </c>
      <c r="BC19" s="31">
        <f>Primera!BC19</f>
        <v>0</v>
      </c>
      <c r="BD19" s="32">
        <f t="shared" si="85"/>
        <v>-1</v>
      </c>
      <c r="BE19" s="31">
        <f>Primera!BE19</f>
        <v>0</v>
      </c>
      <c r="BF19" s="32">
        <f t="shared" si="86"/>
        <v>-1</v>
      </c>
      <c r="BG19" s="31">
        <f>Primera!BG19</f>
        <v>0</v>
      </c>
      <c r="BH19" s="32">
        <f t="shared" si="87"/>
        <v>-1</v>
      </c>
      <c r="BI19" s="31">
        <f>Primera!BI19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Primera!B20</f>
        <v>0</v>
      </c>
      <c r="C20" s="31">
        <f>Primera!C20</f>
        <v>0</v>
      </c>
      <c r="D20" s="32">
        <f t="shared" si="59"/>
        <v>-1</v>
      </c>
      <c r="E20" s="31">
        <f>Primera!E20</f>
        <v>0</v>
      </c>
      <c r="F20" s="32">
        <f t="shared" si="60"/>
        <v>-1</v>
      </c>
      <c r="G20" s="31">
        <f>Primera!G20</f>
        <v>0</v>
      </c>
      <c r="H20" s="32">
        <f t="shared" si="61"/>
        <v>-1</v>
      </c>
      <c r="I20" s="31">
        <f>Primera!I20</f>
        <v>0</v>
      </c>
      <c r="J20" s="32">
        <f t="shared" si="62"/>
        <v>-1</v>
      </c>
      <c r="K20" s="31">
        <f>Primera!K20</f>
        <v>0</v>
      </c>
      <c r="L20" s="32">
        <f t="shared" si="63"/>
        <v>-1</v>
      </c>
      <c r="M20" s="31">
        <f>Primera!M20</f>
        <v>0</v>
      </c>
      <c r="N20" s="32">
        <f t="shared" si="64"/>
        <v>-1</v>
      </c>
      <c r="O20" s="31">
        <f>Primera!O20</f>
        <v>0</v>
      </c>
      <c r="P20" s="32">
        <f t="shared" si="65"/>
        <v>-1</v>
      </c>
      <c r="Q20" s="31">
        <f>Primera!Q20</f>
        <v>0</v>
      </c>
      <c r="R20" s="32">
        <f t="shared" si="66"/>
        <v>-1</v>
      </c>
      <c r="S20" s="31">
        <f>Primera!S20</f>
        <v>0</v>
      </c>
      <c r="T20" s="32">
        <f t="shared" si="67"/>
        <v>-1</v>
      </c>
      <c r="U20" s="31">
        <f>Primera!U20</f>
        <v>0</v>
      </c>
      <c r="V20" s="32">
        <f t="shared" si="68"/>
        <v>-1</v>
      </c>
      <c r="W20" s="31">
        <f>Primera!W20</f>
        <v>0</v>
      </c>
      <c r="X20" s="32">
        <f t="shared" si="69"/>
        <v>-1</v>
      </c>
      <c r="Y20" s="31">
        <f>Primera!Y20</f>
        <v>0</v>
      </c>
      <c r="Z20" s="32">
        <f t="shared" si="70"/>
        <v>-1</v>
      </c>
      <c r="AA20" s="31">
        <f>Primera!AA20</f>
        <v>0</v>
      </c>
      <c r="AB20" s="32">
        <f t="shared" si="71"/>
        <v>-1</v>
      </c>
      <c r="AC20" s="31">
        <f>Primera!AC20</f>
        <v>0</v>
      </c>
      <c r="AD20" s="32">
        <f t="shared" si="72"/>
        <v>-1</v>
      </c>
      <c r="AE20" s="31">
        <f>Primera!AE20</f>
        <v>0</v>
      </c>
      <c r="AF20" s="32">
        <f t="shared" si="73"/>
        <v>-1</v>
      </c>
      <c r="AG20" s="31">
        <f>Primera!AG20</f>
        <v>0</v>
      </c>
      <c r="AH20" s="32">
        <f t="shared" si="74"/>
        <v>-1</v>
      </c>
      <c r="AI20" s="31">
        <f>Primera!AI20</f>
        <v>0</v>
      </c>
      <c r="AJ20" s="32">
        <f t="shared" si="75"/>
        <v>-1</v>
      </c>
      <c r="AK20" s="31">
        <f>Primera!AK20</f>
        <v>0</v>
      </c>
      <c r="AL20" s="32">
        <f t="shared" si="76"/>
        <v>-1</v>
      </c>
      <c r="AM20" s="31">
        <f>Primera!AM20</f>
        <v>0</v>
      </c>
      <c r="AN20" s="32">
        <f t="shared" si="77"/>
        <v>-1</v>
      </c>
      <c r="AO20" s="31">
        <f>Primera!AO20</f>
        <v>0</v>
      </c>
      <c r="AP20" s="32">
        <f t="shared" si="78"/>
        <v>-1</v>
      </c>
      <c r="AQ20" s="31">
        <f>Primera!AQ20</f>
        <v>0</v>
      </c>
      <c r="AR20" s="32">
        <f t="shared" si="79"/>
        <v>-1</v>
      </c>
      <c r="AS20" s="31">
        <f>Primera!AS20</f>
        <v>0</v>
      </c>
      <c r="AT20" s="32">
        <f t="shared" si="80"/>
        <v>-1</v>
      </c>
      <c r="AU20" s="31">
        <f>Primera!AU20</f>
        <v>0</v>
      </c>
      <c r="AV20" s="32">
        <f t="shared" si="81"/>
        <v>-1</v>
      </c>
      <c r="AW20" s="31">
        <f>Primera!AW20</f>
        <v>0</v>
      </c>
      <c r="AX20" s="32">
        <f t="shared" si="82"/>
        <v>-1</v>
      </c>
      <c r="AY20" s="31">
        <f>Primera!AY20</f>
        <v>0</v>
      </c>
      <c r="AZ20" s="32">
        <f t="shared" si="83"/>
        <v>-1</v>
      </c>
      <c r="BA20" s="31">
        <f>Primera!BA20</f>
        <v>0</v>
      </c>
      <c r="BB20" s="32">
        <f t="shared" si="84"/>
        <v>-1</v>
      </c>
      <c r="BC20" s="31">
        <f>Primera!BC20</f>
        <v>0</v>
      </c>
      <c r="BD20" s="32">
        <f t="shared" si="85"/>
        <v>-1</v>
      </c>
      <c r="BE20" s="31">
        <f>Primera!BE20</f>
        <v>0</v>
      </c>
      <c r="BF20" s="32">
        <f t="shared" si="86"/>
        <v>-1</v>
      </c>
      <c r="BG20" s="31">
        <f>Primera!BG20</f>
        <v>0</v>
      </c>
      <c r="BH20" s="32">
        <f t="shared" si="87"/>
        <v>-1</v>
      </c>
      <c r="BI20" s="31">
        <f>Primera!BI20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Primera!B21</f>
        <v>0</v>
      </c>
      <c r="C21" s="31">
        <f>Primera!C21</f>
        <v>0</v>
      </c>
      <c r="D21" s="32">
        <f t="shared" si="59"/>
        <v>-1</v>
      </c>
      <c r="E21" s="31">
        <f>Primera!E21</f>
        <v>0</v>
      </c>
      <c r="F21" s="32">
        <f t="shared" si="60"/>
        <v>-1</v>
      </c>
      <c r="G21" s="31">
        <f>Primera!G21</f>
        <v>0</v>
      </c>
      <c r="H21" s="32">
        <f t="shared" si="61"/>
        <v>-1</v>
      </c>
      <c r="I21" s="31">
        <f>Primera!I21</f>
        <v>0</v>
      </c>
      <c r="J21" s="32">
        <f t="shared" si="62"/>
        <v>-1</v>
      </c>
      <c r="K21" s="31">
        <f>Primera!K21</f>
        <v>0</v>
      </c>
      <c r="L21" s="32">
        <f t="shared" si="63"/>
        <v>-1</v>
      </c>
      <c r="M21" s="31">
        <f>Primera!M21</f>
        <v>0</v>
      </c>
      <c r="N21" s="32">
        <f t="shared" si="64"/>
        <v>-1</v>
      </c>
      <c r="O21" s="31">
        <f>Primera!O21</f>
        <v>0</v>
      </c>
      <c r="P21" s="32">
        <f t="shared" si="65"/>
        <v>-1</v>
      </c>
      <c r="Q21" s="31">
        <f>Primera!Q21</f>
        <v>0</v>
      </c>
      <c r="R21" s="32">
        <f t="shared" si="66"/>
        <v>-1</v>
      </c>
      <c r="S21" s="31">
        <f>Primera!S21</f>
        <v>0</v>
      </c>
      <c r="T21" s="32">
        <f t="shared" si="67"/>
        <v>-1</v>
      </c>
      <c r="U21" s="31">
        <f>Primera!U21</f>
        <v>0</v>
      </c>
      <c r="V21" s="32">
        <f t="shared" si="68"/>
        <v>-1</v>
      </c>
      <c r="W21" s="31">
        <f>Primera!W21</f>
        <v>0</v>
      </c>
      <c r="X21" s="32">
        <f t="shared" si="69"/>
        <v>-1</v>
      </c>
      <c r="Y21" s="31">
        <f>Primera!Y21</f>
        <v>0</v>
      </c>
      <c r="Z21" s="32">
        <f t="shared" si="70"/>
        <v>-1</v>
      </c>
      <c r="AA21" s="31">
        <f>Primera!AA21</f>
        <v>0</v>
      </c>
      <c r="AB21" s="32">
        <f t="shared" si="71"/>
        <v>-1</v>
      </c>
      <c r="AC21" s="31">
        <f>Primera!AC21</f>
        <v>0</v>
      </c>
      <c r="AD21" s="32">
        <f t="shared" si="72"/>
        <v>-1</v>
      </c>
      <c r="AE21" s="31">
        <f>Primera!AE21</f>
        <v>0</v>
      </c>
      <c r="AF21" s="32">
        <f t="shared" si="73"/>
        <v>-1</v>
      </c>
      <c r="AG21" s="31">
        <f>Primera!AG21</f>
        <v>0</v>
      </c>
      <c r="AH21" s="32">
        <f t="shared" si="74"/>
        <v>-1</v>
      </c>
      <c r="AI21" s="31">
        <f>Primera!AI21</f>
        <v>0</v>
      </c>
      <c r="AJ21" s="32">
        <f t="shared" si="75"/>
        <v>-1</v>
      </c>
      <c r="AK21" s="31">
        <f>Primera!AK21</f>
        <v>0</v>
      </c>
      <c r="AL21" s="32">
        <f t="shared" si="76"/>
        <v>-1</v>
      </c>
      <c r="AM21" s="31">
        <f>Primera!AM21</f>
        <v>0</v>
      </c>
      <c r="AN21" s="32">
        <f t="shared" si="77"/>
        <v>-1</v>
      </c>
      <c r="AO21" s="31">
        <f>Primera!AO21</f>
        <v>0</v>
      </c>
      <c r="AP21" s="32">
        <f t="shared" si="78"/>
        <v>-1</v>
      </c>
      <c r="AQ21" s="31">
        <f>Primera!AQ21</f>
        <v>0</v>
      </c>
      <c r="AR21" s="32">
        <f t="shared" si="79"/>
        <v>-1</v>
      </c>
      <c r="AS21" s="31">
        <f>Primera!AS21</f>
        <v>0</v>
      </c>
      <c r="AT21" s="32">
        <f t="shared" si="80"/>
        <v>-1</v>
      </c>
      <c r="AU21" s="31">
        <f>Primera!AU21</f>
        <v>0</v>
      </c>
      <c r="AV21" s="32">
        <f t="shared" si="81"/>
        <v>-1</v>
      </c>
      <c r="AW21" s="31">
        <f>Primera!AW21</f>
        <v>0</v>
      </c>
      <c r="AX21" s="32">
        <f t="shared" si="82"/>
        <v>-1</v>
      </c>
      <c r="AY21" s="31">
        <f>Primera!AY21</f>
        <v>0</v>
      </c>
      <c r="AZ21" s="32">
        <f t="shared" si="83"/>
        <v>-1</v>
      </c>
      <c r="BA21" s="31">
        <f>Primera!BA21</f>
        <v>0</v>
      </c>
      <c r="BB21" s="32">
        <f t="shared" si="84"/>
        <v>-1</v>
      </c>
      <c r="BC21" s="31">
        <f>Primera!BC21</f>
        <v>0</v>
      </c>
      <c r="BD21" s="32">
        <f t="shared" si="85"/>
        <v>-1</v>
      </c>
      <c r="BE21" s="31">
        <f>Primera!BE21</f>
        <v>0</v>
      </c>
      <c r="BF21" s="32">
        <f t="shared" si="86"/>
        <v>-1</v>
      </c>
      <c r="BG21" s="31">
        <f>Primera!BG21</f>
        <v>0</v>
      </c>
      <c r="BH21" s="32">
        <f t="shared" si="87"/>
        <v>-1</v>
      </c>
      <c r="BI21" s="31">
        <f>Primera!BI21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Primera!B22</f>
        <v>0</v>
      </c>
      <c r="C22" s="31">
        <f>Primera!C22</f>
        <v>0</v>
      </c>
      <c r="D22" s="32">
        <f t="shared" si="59"/>
        <v>-1</v>
      </c>
      <c r="E22" s="31">
        <f>Primera!E22</f>
        <v>0</v>
      </c>
      <c r="F22" s="32">
        <f t="shared" si="60"/>
        <v>-1</v>
      </c>
      <c r="G22" s="31">
        <f>Primera!G22</f>
        <v>0</v>
      </c>
      <c r="H22" s="32">
        <f t="shared" si="61"/>
        <v>-1</v>
      </c>
      <c r="I22" s="31">
        <f>Primera!I22</f>
        <v>0</v>
      </c>
      <c r="J22" s="32">
        <f t="shared" si="62"/>
        <v>-1</v>
      </c>
      <c r="K22" s="31">
        <f>Primera!K22</f>
        <v>0</v>
      </c>
      <c r="L22" s="32">
        <f t="shared" si="63"/>
        <v>-1</v>
      </c>
      <c r="M22" s="31">
        <f>Primera!M22</f>
        <v>0</v>
      </c>
      <c r="N22" s="32">
        <f t="shared" si="64"/>
        <v>-1</v>
      </c>
      <c r="O22" s="31">
        <f>Primera!O22</f>
        <v>0</v>
      </c>
      <c r="P22" s="32">
        <f t="shared" si="65"/>
        <v>-1</v>
      </c>
      <c r="Q22" s="31">
        <f>Primera!Q22</f>
        <v>0</v>
      </c>
      <c r="R22" s="32">
        <f t="shared" si="66"/>
        <v>-1</v>
      </c>
      <c r="S22" s="31">
        <f>Primera!S22</f>
        <v>0</v>
      </c>
      <c r="T22" s="32">
        <f t="shared" si="67"/>
        <v>-1</v>
      </c>
      <c r="U22" s="31">
        <f>Primera!U22</f>
        <v>0</v>
      </c>
      <c r="V22" s="32">
        <f t="shared" si="68"/>
        <v>-1</v>
      </c>
      <c r="W22" s="31">
        <f>Primera!W22</f>
        <v>0</v>
      </c>
      <c r="X22" s="32">
        <f t="shared" si="69"/>
        <v>-1</v>
      </c>
      <c r="Y22" s="31">
        <f>Primera!Y22</f>
        <v>0</v>
      </c>
      <c r="Z22" s="32">
        <f t="shared" si="70"/>
        <v>-1</v>
      </c>
      <c r="AA22" s="31">
        <f>Primera!AA22</f>
        <v>0</v>
      </c>
      <c r="AB22" s="32">
        <f t="shared" si="71"/>
        <v>-1</v>
      </c>
      <c r="AC22" s="31">
        <f>Primera!AC22</f>
        <v>0</v>
      </c>
      <c r="AD22" s="32">
        <f t="shared" si="72"/>
        <v>-1</v>
      </c>
      <c r="AE22" s="31">
        <f>Primera!AE22</f>
        <v>0</v>
      </c>
      <c r="AF22" s="32">
        <f t="shared" si="73"/>
        <v>-1</v>
      </c>
      <c r="AG22" s="31">
        <f>Primera!AG22</f>
        <v>0</v>
      </c>
      <c r="AH22" s="32">
        <f t="shared" si="74"/>
        <v>-1</v>
      </c>
      <c r="AI22" s="31">
        <f>Primera!AI22</f>
        <v>0</v>
      </c>
      <c r="AJ22" s="32">
        <f t="shared" si="75"/>
        <v>-1</v>
      </c>
      <c r="AK22" s="31">
        <f>Primera!AK22</f>
        <v>0</v>
      </c>
      <c r="AL22" s="32">
        <f t="shared" si="76"/>
        <v>-1</v>
      </c>
      <c r="AM22" s="31">
        <f>Primera!AM22</f>
        <v>0</v>
      </c>
      <c r="AN22" s="32">
        <f t="shared" si="77"/>
        <v>-1</v>
      </c>
      <c r="AO22" s="31">
        <f>Primera!AO22</f>
        <v>0</v>
      </c>
      <c r="AP22" s="32">
        <f t="shared" si="78"/>
        <v>-1</v>
      </c>
      <c r="AQ22" s="31">
        <f>Primera!AQ22</f>
        <v>0</v>
      </c>
      <c r="AR22" s="32">
        <f t="shared" si="79"/>
        <v>-1</v>
      </c>
      <c r="AS22" s="31">
        <f>Primera!AS22</f>
        <v>0</v>
      </c>
      <c r="AT22" s="32">
        <f t="shared" si="80"/>
        <v>-1</v>
      </c>
      <c r="AU22" s="31">
        <f>Primera!AU22</f>
        <v>0</v>
      </c>
      <c r="AV22" s="32">
        <f t="shared" si="81"/>
        <v>-1</v>
      </c>
      <c r="AW22" s="31">
        <f>Primera!AW22</f>
        <v>0</v>
      </c>
      <c r="AX22" s="32">
        <f t="shared" si="82"/>
        <v>-1</v>
      </c>
      <c r="AY22" s="31">
        <f>Primera!AY22</f>
        <v>0</v>
      </c>
      <c r="AZ22" s="32">
        <f t="shared" si="83"/>
        <v>-1</v>
      </c>
      <c r="BA22" s="31">
        <f>Primera!BA22</f>
        <v>0</v>
      </c>
      <c r="BB22" s="32">
        <f t="shared" si="84"/>
        <v>-1</v>
      </c>
      <c r="BC22" s="31">
        <f>Primera!BC22</f>
        <v>0</v>
      </c>
      <c r="BD22" s="32">
        <f t="shared" si="85"/>
        <v>-1</v>
      </c>
      <c r="BE22" s="31">
        <f>Primera!BE22</f>
        <v>0</v>
      </c>
      <c r="BF22" s="32">
        <f t="shared" si="86"/>
        <v>-1</v>
      </c>
      <c r="BG22" s="31">
        <f>Primera!BG22</f>
        <v>0</v>
      </c>
      <c r="BH22" s="32">
        <f t="shared" si="87"/>
        <v>-1</v>
      </c>
      <c r="BI22" s="31">
        <f>Primera!BI22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Primera!B23</f>
        <v>0</v>
      </c>
      <c r="C23" s="31">
        <f>Primera!C23</f>
        <v>0</v>
      </c>
      <c r="D23" s="32">
        <f t="shared" si="59"/>
        <v>-1</v>
      </c>
      <c r="E23" s="31">
        <f>Primera!E23</f>
        <v>0</v>
      </c>
      <c r="F23" s="32">
        <f t="shared" si="60"/>
        <v>-1</v>
      </c>
      <c r="G23" s="31">
        <f>Primera!G23</f>
        <v>0</v>
      </c>
      <c r="H23" s="32">
        <f t="shared" si="61"/>
        <v>-1</v>
      </c>
      <c r="I23" s="31">
        <f>Primera!I23</f>
        <v>0</v>
      </c>
      <c r="J23" s="32">
        <f t="shared" si="62"/>
        <v>-1</v>
      </c>
      <c r="K23" s="31">
        <f>Primera!K23</f>
        <v>0</v>
      </c>
      <c r="L23" s="32">
        <f t="shared" si="63"/>
        <v>-1</v>
      </c>
      <c r="M23" s="31">
        <f>Primera!M23</f>
        <v>0</v>
      </c>
      <c r="N23" s="32">
        <f t="shared" si="64"/>
        <v>-1</v>
      </c>
      <c r="O23" s="31">
        <f>Primera!O23</f>
        <v>0</v>
      </c>
      <c r="P23" s="32">
        <f t="shared" si="65"/>
        <v>-1</v>
      </c>
      <c r="Q23" s="31">
        <f>Primera!Q23</f>
        <v>0</v>
      </c>
      <c r="R23" s="32">
        <f t="shared" si="66"/>
        <v>-1</v>
      </c>
      <c r="S23" s="31">
        <f>Primera!S23</f>
        <v>0</v>
      </c>
      <c r="T23" s="32">
        <f t="shared" si="67"/>
        <v>-1</v>
      </c>
      <c r="U23" s="31">
        <f>Primera!U23</f>
        <v>0</v>
      </c>
      <c r="V23" s="32">
        <f t="shared" si="68"/>
        <v>-1</v>
      </c>
      <c r="W23" s="31">
        <f>Primera!W23</f>
        <v>0</v>
      </c>
      <c r="X23" s="32">
        <f t="shared" si="69"/>
        <v>-1</v>
      </c>
      <c r="Y23" s="31">
        <f>Primera!Y23</f>
        <v>0</v>
      </c>
      <c r="Z23" s="32">
        <f t="shared" si="70"/>
        <v>-1</v>
      </c>
      <c r="AA23" s="31">
        <f>Primera!AA23</f>
        <v>0</v>
      </c>
      <c r="AB23" s="32">
        <f t="shared" si="71"/>
        <v>-1</v>
      </c>
      <c r="AC23" s="31">
        <f>Primera!AC23</f>
        <v>0</v>
      </c>
      <c r="AD23" s="32">
        <f t="shared" si="72"/>
        <v>-1</v>
      </c>
      <c r="AE23" s="31">
        <f>Primera!AE23</f>
        <v>0</v>
      </c>
      <c r="AF23" s="32">
        <f t="shared" si="73"/>
        <v>-1</v>
      </c>
      <c r="AG23" s="31">
        <f>Primera!AG23</f>
        <v>0</v>
      </c>
      <c r="AH23" s="32">
        <f t="shared" si="74"/>
        <v>-1</v>
      </c>
      <c r="AI23" s="31">
        <f>Primera!AI23</f>
        <v>0</v>
      </c>
      <c r="AJ23" s="32">
        <f t="shared" si="75"/>
        <v>-1</v>
      </c>
      <c r="AK23" s="31">
        <f>Primera!AK23</f>
        <v>0</v>
      </c>
      <c r="AL23" s="32">
        <f t="shared" si="76"/>
        <v>-1</v>
      </c>
      <c r="AM23" s="31">
        <f>Primera!AM23</f>
        <v>0</v>
      </c>
      <c r="AN23" s="32">
        <f t="shared" si="77"/>
        <v>-1</v>
      </c>
      <c r="AO23" s="31">
        <f>Primera!AO23</f>
        <v>0</v>
      </c>
      <c r="AP23" s="32">
        <f t="shared" si="78"/>
        <v>-1</v>
      </c>
      <c r="AQ23" s="31">
        <f>Primera!AQ23</f>
        <v>0</v>
      </c>
      <c r="AR23" s="32">
        <f t="shared" si="79"/>
        <v>-1</v>
      </c>
      <c r="AS23" s="31">
        <f>Primera!AS23</f>
        <v>0</v>
      </c>
      <c r="AT23" s="32">
        <f t="shared" si="80"/>
        <v>-1</v>
      </c>
      <c r="AU23" s="31">
        <f>Primera!AU23</f>
        <v>0</v>
      </c>
      <c r="AV23" s="32">
        <f t="shared" si="81"/>
        <v>-1</v>
      </c>
      <c r="AW23" s="31">
        <f>Primera!AW23</f>
        <v>0</v>
      </c>
      <c r="AX23" s="32">
        <f t="shared" si="82"/>
        <v>-1</v>
      </c>
      <c r="AY23" s="31">
        <f>Primera!AY23</f>
        <v>0</v>
      </c>
      <c r="AZ23" s="32">
        <f t="shared" si="83"/>
        <v>-1</v>
      </c>
      <c r="BA23" s="31">
        <f>Primera!BA23</f>
        <v>0</v>
      </c>
      <c r="BB23" s="32">
        <f t="shared" si="84"/>
        <v>-1</v>
      </c>
      <c r="BC23" s="31">
        <f>Primera!BC23</f>
        <v>0</v>
      </c>
      <c r="BD23" s="32">
        <f t="shared" si="85"/>
        <v>-1</v>
      </c>
      <c r="BE23" s="31">
        <f>Primera!BE23</f>
        <v>0</v>
      </c>
      <c r="BF23" s="32">
        <f t="shared" si="86"/>
        <v>-1</v>
      </c>
      <c r="BG23" s="31">
        <f>Primera!BG23</f>
        <v>0</v>
      </c>
      <c r="BH23" s="32">
        <f t="shared" si="87"/>
        <v>-1</v>
      </c>
      <c r="BI23" s="31">
        <f>Primera!BI23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Primera!B24</f>
        <v>0</v>
      </c>
      <c r="C24" s="31">
        <f>Primera!C24</f>
        <v>0</v>
      </c>
      <c r="D24" s="32">
        <f t="shared" si="59"/>
        <v>-1</v>
      </c>
      <c r="E24" s="31">
        <f>Primera!E24</f>
        <v>0</v>
      </c>
      <c r="F24" s="32">
        <f t="shared" si="60"/>
        <v>-1</v>
      </c>
      <c r="G24" s="31">
        <f>Primera!G24</f>
        <v>0</v>
      </c>
      <c r="H24" s="32">
        <f t="shared" si="61"/>
        <v>-1</v>
      </c>
      <c r="I24" s="31">
        <f>Primera!I24</f>
        <v>0</v>
      </c>
      <c r="J24" s="32">
        <f t="shared" si="62"/>
        <v>-1</v>
      </c>
      <c r="K24" s="31">
        <f>Primera!K24</f>
        <v>0</v>
      </c>
      <c r="L24" s="32">
        <f t="shared" si="63"/>
        <v>-1</v>
      </c>
      <c r="M24" s="31">
        <f>Primera!M24</f>
        <v>0</v>
      </c>
      <c r="N24" s="32">
        <f t="shared" si="64"/>
        <v>-1</v>
      </c>
      <c r="O24" s="31">
        <f>Primera!O24</f>
        <v>0</v>
      </c>
      <c r="P24" s="32">
        <f t="shared" si="65"/>
        <v>-1</v>
      </c>
      <c r="Q24" s="31">
        <f>Primera!Q24</f>
        <v>0</v>
      </c>
      <c r="R24" s="32">
        <f t="shared" si="66"/>
        <v>-1</v>
      </c>
      <c r="S24" s="31">
        <f>Primera!S24</f>
        <v>0</v>
      </c>
      <c r="T24" s="32">
        <f t="shared" si="67"/>
        <v>-1</v>
      </c>
      <c r="U24" s="31">
        <f>Primera!U24</f>
        <v>0</v>
      </c>
      <c r="V24" s="32">
        <f t="shared" si="68"/>
        <v>-1</v>
      </c>
      <c r="W24" s="31">
        <f>Primera!W24</f>
        <v>0</v>
      </c>
      <c r="X24" s="32">
        <f t="shared" si="69"/>
        <v>-1</v>
      </c>
      <c r="Y24" s="31">
        <f>Primera!Y24</f>
        <v>0</v>
      </c>
      <c r="Z24" s="32">
        <f t="shared" si="70"/>
        <v>-1</v>
      </c>
      <c r="AA24" s="31">
        <f>Primera!AA24</f>
        <v>0</v>
      </c>
      <c r="AB24" s="32">
        <f t="shared" si="71"/>
        <v>-1</v>
      </c>
      <c r="AC24" s="31">
        <f>Primera!AC24</f>
        <v>0</v>
      </c>
      <c r="AD24" s="32">
        <f t="shared" si="72"/>
        <v>-1</v>
      </c>
      <c r="AE24" s="31">
        <f>Primera!AE24</f>
        <v>0</v>
      </c>
      <c r="AF24" s="32">
        <f t="shared" si="73"/>
        <v>-1</v>
      </c>
      <c r="AG24" s="31">
        <f>Primera!AG24</f>
        <v>0</v>
      </c>
      <c r="AH24" s="32">
        <f t="shared" si="74"/>
        <v>-1</v>
      </c>
      <c r="AI24" s="31">
        <f>Primera!AI24</f>
        <v>0</v>
      </c>
      <c r="AJ24" s="32">
        <f t="shared" si="75"/>
        <v>-1</v>
      </c>
      <c r="AK24" s="31">
        <f>Primera!AK24</f>
        <v>0</v>
      </c>
      <c r="AL24" s="32">
        <f t="shared" si="76"/>
        <v>-1</v>
      </c>
      <c r="AM24" s="31">
        <f>Primera!AM24</f>
        <v>0</v>
      </c>
      <c r="AN24" s="32">
        <f t="shared" si="77"/>
        <v>-1</v>
      </c>
      <c r="AO24" s="31">
        <f>Primera!AO24</f>
        <v>0</v>
      </c>
      <c r="AP24" s="32">
        <f t="shared" si="78"/>
        <v>-1</v>
      </c>
      <c r="AQ24" s="31">
        <f>Primera!AQ24</f>
        <v>0</v>
      </c>
      <c r="AR24" s="32">
        <f t="shared" si="79"/>
        <v>-1</v>
      </c>
      <c r="AS24" s="31">
        <f>Primera!AS24</f>
        <v>0</v>
      </c>
      <c r="AT24" s="32">
        <f t="shared" si="80"/>
        <v>-1</v>
      </c>
      <c r="AU24" s="31">
        <f>Primera!AU24</f>
        <v>0</v>
      </c>
      <c r="AV24" s="32">
        <f t="shared" si="81"/>
        <v>-1</v>
      </c>
      <c r="AW24" s="31">
        <f>Primera!AW24</f>
        <v>0</v>
      </c>
      <c r="AX24" s="32">
        <f t="shared" si="82"/>
        <v>-1</v>
      </c>
      <c r="AY24" s="31">
        <f>Primera!AY24</f>
        <v>0</v>
      </c>
      <c r="AZ24" s="32">
        <f t="shared" si="83"/>
        <v>-1</v>
      </c>
      <c r="BA24" s="31">
        <f>Primera!BA24</f>
        <v>0</v>
      </c>
      <c r="BB24" s="32">
        <f t="shared" si="84"/>
        <v>-1</v>
      </c>
      <c r="BC24" s="31">
        <f>Primera!BC24</f>
        <v>0</v>
      </c>
      <c r="BD24" s="32">
        <f t="shared" si="85"/>
        <v>-1</v>
      </c>
      <c r="BE24" s="31">
        <f>Primera!BE24</f>
        <v>0</v>
      </c>
      <c r="BF24" s="32">
        <f t="shared" si="86"/>
        <v>-1</v>
      </c>
      <c r="BG24" s="31">
        <f>Primera!BG24</f>
        <v>0</v>
      </c>
      <c r="BH24" s="32">
        <f t="shared" si="87"/>
        <v>-1</v>
      </c>
      <c r="BI24" s="31">
        <f>Primera!BI24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Primera!B25</f>
        <v>0</v>
      </c>
      <c r="C25" s="31">
        <f>Primera!C25</f>
        <v>0</v>
      </c>
      <c r="D25" s="32">
        <f t="shared" si="59"/>
        <v>-1</v>
      </c>
      <c r="E25" s="31">
        <f>Primera!E25</f>
        <v>0</v>
      </c>
      <c r="F25" s="32">
        <f t="shared" si="60"/>
        <v>-1</v>
      </c>
      <c r="G25" s="31">
        <f>Primera!G25</f>
        <v>0</v>
      </c>
      <c r="H25" s="32">
        <f t="shared" si="61"/>
        <v>-1</v>
      </c>
      <c r="I25" s="31">
        <f>Primera!I25</f>
        <v>0</v>
      </c>
      <c r="J25" s="32">
        <f t="shared" si="62"/>
        <v>-1</v>
      </c>
      <c r="K25" s="31">
        <f>Primera!K25</f>
        <v>0</v>
      </c>
      <c r="L25" s="32">
        <f t="shared" si="63"/>
        <v>-1</v>
      </c>
      <c r="M25" s="31">
        <f>Primera!M25</f>
        <v>0</v>
      </c>
      <c r="N25" s="32">
        <f t="shared" si="64"/>
        <v>-1</v>
      </c>
      <c r="O25" s="31">
        <f>Primera!O25</f>
        <v>0</v>
      </c>
      <c r="P25" s="32">
        <f t="shared" si="65"/>
        <v>-1</v>
      </c>
      <c r="Q25" s="31">
        <f>Primera!Q25</f>
        <v>0</v>
      </c>
      <c r="R25" s="32">
        <f t="shared" si="66"/>
        <v>-1</v>
      </c>
      <c r="S25" s="31">
        <f>Primera!S25</f>
        <v>0</v>
      </c>
      <c r="T25" s="32">
        <f t="shared" si="67"/>
        <v>-1</v>
      </c>
      <c r="U25" s="31">
        <f>Primera!U25</f>
        <v>0</v>
      </c>
      <c r="V25" s="32">
        <f t="shared" si="68"/>
        <v>-1</v>
      </c>
      <c r="W25" s="31">
        <f>Primera!W25</f>
        <v>0</v>
      </c>
      <c r="X25" s="32">
        <f t="shared" si="69"/>
        <v>-1</v>
      </c>
      <c r="Y25" s="31">
        <f>Primera!Y25</f>
        <v>0</v>
      </c>
      <c r="Z25" s="32">
        <f t="shared" si="70"/>
        <v>-1</v>
      </c>
      <c r="AA25" s="31">
        <f>Primera!AA25</f>
        <v>0</v>
      </c>
      <c r="AB25" s="32">
        <f t="shared" si="71"/>
        <v>-1</v>
      </c>
      <c r="AC25" s="31">
        <f>Primera!AC25</f>
        <v>0</v>
      </c>
      <c r="AD25" s="32">
        <f t="shared" si="72"/>
        <v>-1</v>
      </c>
      <c r="AE25" s="31">
        <f>Primera!AE25</f>
        <v>0</v>
      </c>
      <c r="AF25" s="32">
        <f t="shared" si="73"/>
        <v>-1</v>
      </c>
      <c r="AG25" s="31">
        <f>Primera!AG25</f>
        <v>0</v>
      </c>
      <c r="AH25" s="32">
        <f t="shared" si="74"/>
        <v>-1</v>
      </c>
      <c r="AI25" s="31">
        <f>Primera!AI25</f>
        <v>0</v>
      </c>
      <c r="AJ25" s="32">
        <f t="shared" si="75"/>
        <v>-1</v>
      </c>
      <c r="AK25" s="31">
        <f>Primera!AK25</f>
        <v>0</v>
      </c>
      <c r="AL25" s="32">
        <f t="shared" si="76"/>
        <v>-1</v>
      </c>
      <c r="AM25" s="31">
        <f>Primera!AM25</f>
        <v>0</v>
      </c>
      <c r="AN25" s="32">
        <f t="shared" si="77"/>
        <v>-1</v>
      </c>
      <c r="AO25" s="31">
        <f>Primera!AO25</f>
        <v>0</v>
      </c>
      <c r="AP25" s="32">
        <f t="shared" si="78"/>
        <v>-1</v>
      </c>
      <c r="AQ25" s="31">
        <f>Primera!AQ25</f>
        <v>0</v>
      </c>
      <c r="AR25" s="32">
        <f t="shared" si="79"/>
        <v>-1</v>
      </c>
      <c r="AS25" s="31">
        <f>Primera!AS25</f>
        <v>0</v>
      </c>
      <c r="AT25" s="32">
        <f t="shared" si="80"/>
        <v>-1</v>
      </c>
      <c r="AU25" s="31">
        <f>Primera!AU25</f>
        <v>0</v>
      </c>
      <c r="AV25" s="32">
        <f t="shared" si="81"/>
        <v>-1</v>
      </c>
      <c r="AW25" s="31">
        <f>Primera!AW25</f>
        <v>0</v>
      </c>
      <c r="AX25" s="32">
        <f t="shared" si="82"/>
        <v>-1</v>
      </c>
      <c r="AY25" s="31">
        <f>Primera!AY25</f>
        <v>0</v>
      </c>
      <c r="AZ25" s="32">
        <f t="shared" si="83"/>
        <v>-1</v>
      </c>
      <c r="BA25" s="31">
        <f>Primera!BA25</f>
        <v>0</v>
      </c>
      <c r="BB25" s="32">
        <f t="shared" si="84"/>
        <v>-1</v>
      </c>
      <c r="BC25" s="31">
        <f>Primera!BC25</f>
        <v>0</v>
      </c>
      <c r="BD25" s="32">
        <f t="shared" si="85"/>
        <v>-1</v>
      </c>
      <c r="BE25" s="31">
        <f>Primera!BE25</f>
        <v>0</v>
      </c>
      <c r="BF25" s="32">
        <f t="shared" si="86"/>
        <v>-1</v>
      </c>
      <c r="BG25" s="31">
        <f>Primera!BG25</f>
        <v>0</v>
      </c>
      <c r="BH25" s="32">
        <f t="shared" si="87"/>
        <v>-1</v>
      </c>
      <c r="BI25" s="31">
        <f>Primera!BI25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Primera!B26</f>
        <v>0</v>
      </c>
      <c r="C26" s="31">
        <f>Primera!C26</f>
        <v>0</v>
      </c>
      <c r="D26" s="32">
        <f t="shared" si="59"/>
        <v>-1</v>
      </c>
      <c r="E26" s="31">
        <f>Primera!E26</f>
        <v>0</v>
      </c>
      <c r="F26" s="32">
        <f t="shared" si="60"/>
        <v>-1</v>
      </c>
      <c r="G26" s="31">
        <f>Primera!G26</f>
        <v>0</v>
      </c>
      <c r="H26" s="32">
        <f t="shared" si="61"/>
        <v>-1</v>
      </c>
      <c r="I26" s="31">
        <f>Primera!I26</f>
        <v>0</v>
      </c>
      <c r="J26" s="32">
        <f t="shared" si="62"/>
        <v>-1</v>
      </c>
      <c r="K26" s="31">
        <f>Primera!K26</f>
        <v>0</v>
      </c>
      <c r="L26" s="32">
        <f t="shared" si="63"/>
        <v>-1</v>
      </c>
      <c r="M26" s="31">
        <f>Primera!M26</f>
        <v>0</v>
      </c>
      <c r="N26" s="32">
        <f t="shared" si="64"/>
        <v>-1</v>
      </c>
      <c r="O26" s="31">
        <f>Primera!O26</f>
        <v>0</v>
      </c>
      <c r="P26" s="32">
        <f t="shared" si="65"/>
        <v>-1</v>
      </c>
      <c r="Q26" s="31">
        <f>Primera!Q26</f>
        <v>0</v>
      </c>
      <c r="R26" s="32">
        <f t="shared" si="66"/>
        <v>-1</v>
      </c>
      <c r="S26" s="31">
        <f>Primera!S26</f>
        <v>0</v>
      </c>
      <c r="T26" s="32">
        <f t="shared" si="67"/>
        <v>-1</v>
      </c>
      <c r="U26" s="31">
        <f>Primera!U26</f>
        <v>0</v>
      </c>
      <c r="V26" s="32">
        <f t="shared" si="68"/>
        <v>-1</v>
      </c>
      <c r="W26" s="31">
        <f>Primera!W26</f>
        <v>0</v>
      </c>
      <c r="X26" s="32">
        <f t="shared" si="69"/>
        <v>-1</v>
      </c>
      <c r="Y26" s="31">
        <f>Primera!Y26</f>
        <v>0</v>
      </c>
      <c r="Z26" s="32">
        <f t="shared" si="70"/>
        <v>-1</v>
      </c>
      <c r="AA26" s="31">
        <f>Primera!AA26</f>
        <v>0</v>
      </c>
      <c r="AB26" s="32">
        <f t="shared" si="71"/>
        <v>-1</v>
      </c>
      <c r="AC26" s="31">
        <f>Primera!AC26</f>
        <v>0</v>
      </c>
      <c r="AD26" s="32">
        <f t="shared" si="72"/>
        <v>-1</v>
      </c>
      <c r="AE26" s="31">
        <f>Primera!AE26</f>
        <v>0</v>
      </c>
      <c r="AF26" s="32">
        <f t="shared" si="73"/>
        <v>-1</v>
      </c>
      <c r="AG26" s="31">
        <f>Primera!AG26</f>
        <v>0</v>
      </c>
      <c r="AH26" s="32">
        <f t="shared" si="74"/>
        <v>-1</v>
      </c>
      <c r="AI26" s="31">
        <f>Primera!AI26</f>
        <v>0</v>
      </c>
      <c r="AJ26" s="32">
        <f t="shared" si="75"/>
        <v>-1</v>
      </c>
      <c r="AK26" s="31">
        <f>Primera!AK26</f>
        <v>0</v>
      </c>
      <c r="AL26" s="32">
        <f t="shared" si="76"/>
        <v>-1</v>
      </c>
      <c r="AM26" s="31">
        <f>Primera!AM26</f>
        <v>0</v>
      </c>
      <c r="AN26" s="32">
        <f t="shared" si="77"/>
        <v>-1</v>
      </c>
      <c r="AO26" s="31">
        <f>Primera!AO26</f>
        <v>0</v>
      </c>
      <c r="AP26" s="32">
        <f t="shared" si="78"/>
        <v>-1</v>
      </c>
      <c r="AQ26" s="31">
        <f>Primera!AQ26</f>
        <v>0</v>
      </c>
      <c r="AR26" s="32">
        <f t="shared" si="79"/>
        <v>-1</v>
      </c>
      <c r="AS26" s="31">
        <f>Primera!AS26</f>
        <v>0</v>
      </c>
      <c r="AT26" s="32">
        <f t="shared" si="80"/>
        <v>-1</v>
      </c>
      <c r="AU26" s="31">
        <f>Primera!AU26</f>
        <v>0</v>
      </c>
      <c r="AV26" s="32">
        <f t="shared" si="81"/>
        <v>-1</v>
      </c>
      <c r="AW26" s="31">
        <f>Primera!AW26</f>
        <v>0</v>
      </c>
      <c r="AX26" s="32">
        <f t="shared" si="82"/>
        <v>-1</v>
      </c>
      <c r="AY26" s="31">
        <f>Primera!AY26</f>
        <v>0</v>
      </c>
      <c r="AZ26" s="32">
        <f t="shared" si="83"/>
        <v>-1</v>
      </c>
      <c r="BA26" s="31">
        <f>Primera!BA26</f>
        <v>0</v>
      </c>
      <c r="BB26" s="32">
        <f t="shared" si="84"/>
        <v>-1</v>
      </c>
      <c r="BC26" s="31">
        <f>Primera!BC26</f>
        <v>0</v>
      </c>
      <c r="BD26" s="32">
        <f t="shared" si="85"/>
        <v>-1</v>
      </c>
      <c r="BE26" s="31">
        <f>Primera!BE26</f>
        <v>0</v>
      </c>
      <c r="BF26" s="32">
        <f t="shared" si="86"/>
        <v>-1</v>
      </c>
      <c r="BG26" s="31">
        <f>Primera!BG26</f>
        <v>0</v>
      </c>
      <c r="BH26" s="32">
        <f t="shared" si="87"/>
        <v>-1</v>
      </c>
      <c r="BI26" s="31">
        <f>Primera!BI26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Primera!B27</f>
        <v>0</v>
      </c>
      <c r="C27" s="31">
        <f>Primera!C27</f>
        <v>0</v>
      </c>
      <c r="D27" s="32">
        <f t="shared" si="59"/>
        <v>-1</v>
      </c>
      <c r="E27" s="31">
        <f>Primera!E27</f>
        <v>0</v>
      </c>
      <c r="F27" s="32">
        <f t="shared" si="60"/>
        <v>-1</v>
      </c>
      <c r="G27" s="31">
        <f>Primera!G27</f>
        <v>0</v>
      </c>
      <c r="H27" s="32">
        <f t="shared" si="61"/>
        <v>-1</v>
      </c>
      <c r="I27" s="31">
        <f>Primera!I27</f>
        <v>0</v>
      </c>
      <c r="J27" s="32">
        <f t="shared" si="62"/>
        <v>-1</v>
      </c>
      <c r="K27" s="31">
        <f>Primera!K27</f>
        <v>0</v>
      </c>
      <c r="L27" s="32">
        <f t="shared" si="63"/>
        <v>-1</v>
      </c>
      <c r="M27" s="31">
        <f>Primera!M27</f>
        <v>0</v>
      </c>
      <c r="N27" s="32">
        <f t="shared" si="64"/>
        <v>-1</v>
      </c>
      <c r="O27" s="31">
        <f>Primera!O27</f>
        <v>0</v>
      </c>
      <c r="P27" s="32">
        <f t="shared" si="65"/>
        <v>-1</v>
      </c>
      <c r="Q27" s="31">
        <f>Primera!Q27</f>
        <v>0</v>
      </c>
      <c r="R27" s="32">
        <f t="shared" si="66"/>
        <v>-1</v>
      </c>
      <c r="S27" s="31">
        <f>Primera!S27</f>
        <v>0</v>
      </c>
      <c r="T27" s="32">
        <f t="shared" si="67"/>
        <v>-1</v>
      </c>
      <c r="U27" s="31">
        <f>Primera!U27</f>
        <v>0</v>
      </c>
      <c r="V27" s="32">
        <f t="shared" si="68"/>
        <v>-1</v>
      </c>
      <c r="W27" s="31">
        <f>Primera!W27</f>
        <v>0</v>
      </c>
      <c r="X27" s="32">
        <f t="shared" si="69"/>
        <v>-1</v>
      </c>
      <c r="Y27" s="31">
        <f>Primera!Y27</f>
        <v>0</v>
      </c>
      <c r="Z27" s="32">
        <f t="shared" si="70"/>
        <v>-1</v>
      </c>
      <c r="AA27" s="31">
        <f>Primera!AA27</f>
        <v>0</v>
      </c>
      <c r="AB27" s="32">
        <f t="shared" si="71"/>
        <v>-1</v>
      </c>
      <c r="AC27" s="31">
        <f>Primera!AC27</f>
        <v>0</v>
      </c>
      <c r="AD27" s="32">
        <f t="shared" si="72"/>
        <v>-1</v>
      </c>
      <c r="AE27" s="31">
        <f>Primera!AE27</f>
        <v>0</v>
      </c>
      <c r="AF27" s="32">
        <f t="shared" si="73"/>
        <v>-1</v>
      </c>
      <c r="AG27" s="31">
        <f>Primera!AG27</f>
        <v>0</v>
      </c>
      <c r="AH27" s="32">
        <f t="shared" si="74"/>
        <v>-1</v>
      </c>
      <c r="AI27" s="31">
        <f>Primera!AI27</f>
        <v>0</v>
      </c>
      <c r="AJ27" s="32">
        <f t="shared" si="75"/>
        <v>-1</v>
      </c>
      <c r="AK27" s="31">
        <f>Primera!AK27</f>
        <v>0</v>
      </c>
      <c r="AL27" s="32">
        <f t="shared" si="76"/>
        <v>-1</v>
      </c>
      <c r="AM27" s="31">
        <f>Primera!AM27</f>
        <v>0</v>
      </c>
      <c r="AN27" s="32">
        <f t="shared" si="77"/>
        <v>-1</v>
      </c>
      <c r="AO27" s="31">
        <f>Primera!AO27</f>
        <v>0</v>
      </c>
      <c r="AP27" s="32">
        <f t="shared" si="78"/>
        <v>-1</v>
      </c>
      <c r="AQ27" s="31">
        <f>Primera!AQ27</f>
        <v>0</v>
      </c>
      <c r="AR27" s="32">
        <f t="shared" si="79"/>
        <v>-1</v>
      </c>
      <c r="AS27" s="31">
        <f>Primera!AS27</f>
        <v>0</v>
      </c>
      <c r="AT27" s="32">
        <f t="shared" si="80"/>
        <v>-1</v>
      </c>
      <c r="AU27" s="31">
        <f>Primera!AU27</f>
        <v>0</v>
      </c>
      <c r="AV27" s="32">
        <f t="shared" si="81"/>
        <v>-1</v>
      </c>
      <c r="AW27" s="31">
        <f>Primera!AW27</f>
        <v>0</v>
      </c>
      <c r="AX27" s="32">
        <f t="shared" si="82"/>
        <v>-1</v>
      </c>
      <c r="AY27" s="31">
        <f>Primera!AY27</f>
        <v>0</v>
      </c>
      <c r="AZ27" s="32">
        <f t="shared" si="83"/>
        <v>-1</v>
      </c>
      <c r="BA27" s="31">
        <f>Primera!BA27</f>
        <v>0</v>
      </c>
      <c r="BB27" s="32">
        <f t="shared" si="84"/>
        <v>-1</v>
      </c>
      <c r="BC27" s="31">
        <f>Primera!BC27</f>
        <v>0</v>
      </c>
      <c r="BD27" s="32">
        <f t="shared" si="85"/>
        <v>-1</v>
      </c>
      <c r="BE27" s="31">
        <f>Primera!BE27</f>
        <v>0</v>
      </c>
      <c r="BF27" s="32">
        <f t="shared" si="86"/>
        <v>-1</v>
      </c>
      <c r="BG27" s="31">
        <f>Primera!BG27</f>
        <v>0</v>
      </c>
      <c r="BH27" s="32">
        <f t="shared" si="87"/>
        <v>-1</v>
      </c>
      <c r="BI27" s="31">
        <f>Primera!BI27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Primera!B28</f>
        <v>0</v>
      </c>
      <c r="C28" s="31">
        <f>Primera!C28</f>
        <v>0</v>
      </c>
      <c r="D28" s="32">
        <f t="shared" si="59"/>
        <v>-1</v>
      </c>
      <c r="E28" s="31">
        <f>Primera!E28</f>
        <v>0</v>
      </c>
      <c r="F28" s="32">
        <f t="shared" si="60"/>
        <v>-1</v>
      </c>
      <c r="G28" s="31">
        <f>Primera!G28</f>
        <v>0</v>
      </c>
      <c r="H28" s="32">
        <f t="shared" si="61"/>
        <v>-1</v>
      </c>
      <c r="I28" s="31">
        <f>Primera!I28</f>
        <v>0</v>
      </c>
      <c r="J28" s="32">
        <f t="shared" si="62"/>
        <v>-1</v>
      </c>
      <c r="K28" s="31">
        <f>Primera!K28</f>
        <v>0</v>
      </c>
      <c r="L28" s="32">
        <f t="shared" si="63"/>
        <v>-1</v>
      </c>
      <c r="M28" s="31">
        <f>Primera!M28</f>
        <v>0</v>
      </c>
      <c r="N28" s="32">
        <f t="shared" si="64"/>
        <v>-1</v>
      </c>
      <c r="O28" s="31">
        <f>Primera!O28</f>
        <v>0</v>
      </c>
      <c r="P28" s="32">
        <f t="shared" si="65"/>
        <v>-1</v>
      </c>
      <c r="Q28" s="31">
        <f>Primera!Q28</f>
        <v>0</v>
      </c>
      <c r="R28" s="32">
        <f t="shared" si="66"/>
        <v>-1</v>
      </c>
      <c r="S28" s="31">
        <f>Primera!S28</f>
        <v>0</v>
      </c>
      <c r="T28" s="32">
        <f t="shared" si="67"/>
        <v>-1</v>
      </c>
      <c r="U28" s="31">
        <f>Primera!U28</f>
        <v>0</v>
      </c>
      <c r="V28" s="32">
        <f t="shared" si="68"/>
        <v>-1</v>
      </c>
      <c r="W28" s="31">
        <f>Primera!W28</f>
        <v>0</v>
      </c>
      <c r="X28" s="32">
        <f t="shared" si="69"/>
        <v>-1</v>
      </c>
      <c r="Y28" s="31">
        <f>Primera!Y28</f>
        <v>0</v>
      </c>
      <c r="Z28" s="32">
        <f t="shared" si="70"/>
        <v>-1</v>
      </c>
      <c r="AA28" s="31">
        <f>Primera!AA28</f>
        <v>0</v>
      </c>
      <c r="AB28" s="32">
        <f t="shared" si="71"/>
        <v>-1</v>
      </c>
      <c r="AC28" s="31">
        <f>Primera!AC28</f>
        <v>0</v>
      </c>
      <c r="AD28" s="32">
        <f t="shared" si="72"/>
        <v>-1</v>
      </c>
      <c r="AE28" s="31">
        <f>Primera!AE28</f>
        <v>0</v>
      </c>
      <c r="AF28" s="32">
        <f t="shared" si="73"/>
        <v>-1</v>
      </c>
      <c r="AG28" s="31">
        <f>Primera!AG28</f>
        <v>0</v>
      </c>
      <c r="AH28" s="32">
        <f t="shared" si="74"/>
        <v>-1</v>
      </c>
      <c r="AI28" s="31">
        <f>Primera!AI28</f>
        <v>0</v>
      </c>
      <c r="AJ28" s="32">
        <f t="shared" si="75"/>
        <v>-1</v>
      </c>
      <c r="AK28" s="31">
        <f>Primera!AK28</f>
        <v>0</v>
      </c>
      <c r="AL28" s="32">
        <f t="shared" si="76"/>
        <v>-1</v>
      </c>
      <c r="AM28" s="31">
        <f>Primera!AM28</f>
        <v>0</v>
      </c>
      <c r="AN28" s="32">
        <f t="shared" si="77"/>
        <v>-1</v>
      </c>
      <c r="AO28" s="31">
        <f>Primera!AO28</f>
        <v>0</v>
      </c>
      <c r="AP28" s="32">
        <f t="shared" si="78"/>
        <v>-1</v>
      </c>
      <c r="AQ28" s="31">
        <f>Primera!AQ28</f>
        <v>0</v>
      </c>
      <c r="AR28" s="32">
        <f t="shared" si="79"/>
        <v>-1</v>
      </c>
      <c r="AS28" s="31">
        <f>Primera!AS28</f>
        <v>0</v>
      </c>
      <c r="AT28" s="32">
        <f t="shared" si="80"/>
        <v>-1</v>
      </c>
      <c r="AU28" s="31">
        <f>Primera!AU28</f>
        <v>0</v>
      </c>
      <c r="AV28" s="32">
        <f t="shared" si="81"/>
        <v>-1</v>
      </c>
      <c r="AW28" s="31">
        <f>Primera!AW28</f>
        <v>0</v>
      </c>
      <c r="AX28" s="32">
        <f t="shared" si="82"/>
        <v>-1</v>
      </c>
      <c r="AY28" s="31">
        <f>Primera!AY28</f>
        <v>0</v>
      </c>
      <c r="AZ28" s="32">
        <f t="shared" si="83"/>
        <v>-1</v>
      </c>
      <c r="BA28" s="31">
        <f>Primera!BA28</f>
        <v>0</v>
      </c>
      <c r="BB28" s="32">
        <f t="shared" si="84"/>
        <v>-1</v>
      </c>
      <c r="BC28" s="31">
        <f>Primera!BC28</f>
        <v>0</v>
      </c>
      <c r="BD28" s="32">
        <f t="shared" si="85"/>
        <v>-1</v>
      </c>
      <c r="BE28" s="31">
        <f>Primera!BE28</f>
        <v>0</v>
      </c>
      <c r="BF28" s="32">
        <f t="shared" si="86"/>
        <v>-1</v>
      </c>
      <c r="BG28" s="31">
        <f>Primera!BG28</f>
        <v>0</v>
      </c>
      <c r="BH28" s="32">
        <f t="shared" si="87"/>
        <v>-1</v>
      </c>
      <c r="BI28" s="31">
        <f>Primera!BI28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Primera!B29</f>
        <v>0</v>
      </c>
      <c r="C29" s="31">
        <f>Primera!C29</f>
        <v>0</v>
      </c>
      <c r="D29" s="32">
        <f t="shared" si="59"/>
        <v>-1</v>
      </c>
      <c r="E29" s="31">
        <f>Primera!E29</f>
        <v>0</v>
      </c>
      <c r="F29" s="32">
        <f t="shared" si="60"/>
        <v>-1</v>
      </c>
      <c r="G29" s="31">
        <f>Primera!G29</f>
        <v>0</v>
      </c>
      <c r="H29" s="32">
        <f t="shared" si="61"/>
        <v>-1</v>
      </c>
      <c r="I29" s="31">
        <f>Primera!I29</f>
        <v>0</v>
      </c>
      <c r="J29" s="32">
        <f t="shared" si="62"/>
        <v>-1</v>
      </c>
      <c r="K29" s="31">
        <f>Primera!K29</f>
        <v>0</v>
      </c>
      <c r="L29" s="32">
        <f t="shared" si="63"/>
        <v>-1</v>
      </c>
      <c r="M29" s="31">
        <f>Primera!M29</f>
        <v>0</v>
      </c>
      <c r="N29" s="32">
        <f t="shared" si="64"/>
        <v>-1</v>
      </c>
      <c r="O29" s="31">
        <f>Primera!O29</f>
        <v>0</v>
      </c>
      <c r="P29" s="32">
        <f t="shared" si="65"/>
        <v>-1</v>
      </c>
      <c r="Q29" s="31">
        <f>Primera!Q29</f>
        <v>0</v>
      </c>
      <c r="R29" s="32">
        <f t="shared" si="66"/>
        <v>-1</v>
      </c>
      <c r="S29" s="31">
        <f>Primera!S29</f>
        <v>0</v>
      </c>
      <c r="T29" s="32">
        <f t="shared" si="67"/>
        <v>-1</v>
      </c>
      <c r="U29" s="31">
        <f>Primera!U29</f>
        <v>0</v>
      </c>
      <c r="V29" s="32">
        <f t="shared" si="68"/>
        <v>-1</v>
      </c>
      <c r="W29" s="31">
        <f>Primera!W29</f>
        <v>0</v>
      </c>
      <c r="X29" s="32">
        <f t="shared" si="69"/>
        <v>-1</v>
      </c>
      <c r="Y29" s="31">
        <f>Primera!Y29</f>
        <v>0</v>
      </c>
      <c r="Z29" s="32">
        <f t="shared" si="70"/>
        <v>-1</v>
      </c>
      <c r="AA29" s="31">
        <f>Primera!AA29</f>
        <v>0</v>
      </c>
      <c r="AB29" s="32">
        <f t="shared" si="71"/>
        <v>-1</v>
      </c>
      <c r="AC29" s="31">
        <f>Primera!AC29</f>
        <v>0</v>
      </c>
      <c r="AD29" s="32">
        <f t="shared" si="72"/>
        <v>-1</v>
      </c>
      <c r="AE29" s="31">
        <f>Primera!AE29</f>
        <v>0</v>
      </c>
      <c r="AF29" s="32">
        <f t="shared" si="73"/>
        <v>-1</v>
      </c>
      <c r="AG29" s="31">
        <f>Primera!AG29</f>
        <v>0</v>
      </c>
      <c r="AH29" s="32">
        <f t="shared" si="74"/>
        <v>-1</v>
      </c>
      <c r="AI29" s="31">
        <f>Primera!AI29</f>
        <v>0</v>
      </c>
      <c r="AJ29" s="32">
        <f t="shared" si="75"/>
        <v>-1</v>
      </c>
      <c r="AK29" s="31">
        <f>Primera!AK29</f>
        <v>0</v>
      </c>
      <c r="AL29" s="32">
        <f t="shared" si="76"/>
        <v>-1</v>
      </c>
      <c r="AM29" s="31">
        <f>Primera!AM29</f>
        <v>0</v>
      </c>
      <c r="AN29" s="32">
        <f t="shared" si="77"/>
        <v>-1</v>
      </c>
      <c r="AO29" s="31">
        <f>Primera!AO29</f>
        <v>0</v>
      </c>
      <c r="AP29" s="32">
        <f t="shared" si="78"/>
        <v>-1</v>
      </c>
      <c r="AQ29" s="31">
        <f>Primera!AQ29</f>
        <v>0</v>
      </c>
      <c r="AR29" s="32">
        <f t="shared" si="79"/>
        <v>-1</v>
      </c>
      <c r="AS29" s="31">
        <f>Primera!AS29</f>
        <v>0</v>
      </c>
      <c r="AT29" s="32">
        <f t="shared" si="80"/>
        <v>-1</v>
      </c>
      <c r="AU29" s="31">
        <f>Primera!AU29</f>
        <v>0</v>
      </c>
      <c r="AV29" s="32">
        <f t="shared" si="81"/>
        <v>-1</v>
      </c>
      <c r="AW29" s="31">
        <f>Primera!AW29</f>
        <v>0</v>
      </c>
      <c r="AX29" s="32">
        <f t="shared" si="82"/>
        <v>-1</v>
      </c>
      <c r="AY29" s="31">
        <f>Primera!AY29</f>
        <v>0</v>
      </c>
      <c r="AZ29" s="32">
        <f t="shared" si="83"/>
        <v>-1</v>
      </c>
      <c r="BA29" s="31">
        <f>Primera!BA29</f>
        <v>0</v>
      </c>
      <c r="BB29" s="32">
        <f t="shared" si="84"/>
        <v>-1</v>
      </c>
      <c r="BC29" s="31">
        <f>Primera!BC29</f>
        <v>0</v>
      </c>
      <c r="BD29" s="32">
        <f t="shared" si="85"/>
        <v>-1</v>
      </c>
      <c r="BE29" s="31">
        <f>Primera!BE29</f>
        <v>0</v>
      </c>
      <c r="BF29" s="32">
        <f t="shared" si="86"/>
        <v>-1</v>
      </c>
      <c r="BG29" s="31">
        <f>Primera!BG29</f>
        <v>0</v>
      </c>
      <c r="BH29" s="32">
        <f t="shared" si="87"/>
        <v>-1</v>
      </c>
      <c r="BI29" s="31">
        <f>Primera!BI29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Primera!B30</f>
        <v>0</v>
      </c>
      <c r="C30" s="31">
        <f>Primera!C30</f>
        <v>0</v>
      </c>
      <c r="D30" s="32">
        <f t="shared" si="59"/>
        <v>-1</v>
      </c>
      <c r="E30" s="31">
        <f>Primera!E30</f>
        <v>0</v>
      </c>
      <c r="F30" s="32">
        <f t="shared" si="60"/>
        <v>-1</v>
      </c>
      <c r="G30" s="31">
        <f>Primera!G30</f>
        <v>0</v>
      </c>
      <c r="H30" s="32">
        <f t="shared" si="61"/>
        <v>-1</v>
      </c>
      <c r="I30" s="31">
        <f>Primera!I30</f>
        <v>0</v>
      </c>
      <c r="J30" s="32">
        <f t="shared" si="62"/>
        <v>-1</v>
      </c>
      <c r="K30" s="31">
        <f>Primera!K30</f>
        <v>0</v>
      </c>
      <c r="L30" s="32">
        <f t="shared" si="63"/>
        <v>-1</v>
      </c>
      <c r="M30" s="31">
        <f>Primera!M30</f>
        <v>0</v>
      </c>
      <c r="N30" s="32">
        <f t="shared" si="64"/>
        <v>-1</v>
      </c>
      <c r="O30" s="31">
        <f>Primera!O30</f>
        <v>0</v>
      </c>
      <c r="P30" s="32">
        <f t="shared" si="65"/>
        <v>-1</v>
      </c>
      <c r="Q30" s="31">
        <f>Primera!Q30</f>
        <v>0</v>
      </c>
      <c r="R30" s="32">
        <f t="shared" si="66"/>
        <v>-1</v>
      </c>
      <c r="S30" s="31">
        <f>Primera!S30</f>
        <v>0</v>
      </c>
      <c r="T30" s="32">
        <f t="shared" si="67"/>
        <v>-1</v>
      </c>
      <c r="U30" s="31">
        <f>Primera!U30</f>
        <v>0</v>
      </c>
      <c r="V30" s="32">
        <f t="shared" si="68"/>
        <v>-1</v>
      </c>
      <c r="W30" s="31">
        <f>Primera!W30</f>
        <v>0</v>
      </c>
      <c r="X30" s="32">
        <f t="shared" si="69"/>
        <v>-1</v>
      </c>
      <c r="Y30" s="31">
        <f>Primera!Y30</f>
        <v>0</v>
      </c>
      <c r="Z30" s="32">
        <f t="shared" si="70"/>
        <v>-1</v>
      </c>
      <c r="AA30" s="31">
        <f>Primera!AA30</f>
        <v>0</v>
      </c>
      <c r="AB30" s="32">
        <f t="shared" si="71"/>
        <v>-1</v>
      </c>
      <c r="AC30" s="31">
        <f>Primera!AC30</f>
        <v>0</v>
      </c>
      <c r="AD30" s="32">
        <f t="shared" si="72"/>
        <v>-1</v>
      </c>
      <c r="AE30" s="31">
        <f>Primera!AE30</f>
        <v>0</v>
      </c>
      <c r="AF30" s="32">
        <f t="shared" si="73"/>
        <v>-1</v>
      </c>
      <c r="AG30" s="31">
        <f>Primera!AG30</f>
        <v>0</v>
      </c>
      <c r="AH30" s="32">
        <f t="shared" si="74"/>
        <v>-1</v>
      </c>
      <c r="AI30" s="31">
        <f>Primera!AI30</f>
        <v>0</v>
      </c>
      <c r="AJ30" s="32">
        <f t="shared" si="75"/>
        <v>-1</v>
      </c>
      <c r="AK30" s="31">
        <f>Primera!AK30</f>
        <v>0</v>
      </c>
      <c r="AL30" s="32">
        <f t="shared" si="76"/>
        <v>-1</v>
      </c>
      <c r="AM30" s="31">
        <f>Primera!AM30</f>
        <v>0</v>
      </c>
      <c r="AN30" s="32">
        <f t="shared" si="77"/>
        <v>-1</v>
      </c>
      <c r="AO30" s="31">
        <f>Primera!AO30</f>
        <v>0</v>
      </c>
      <c r="AP30" s="32">
        <f t="shared" si="78"/>
        <v>-1</v>
      </c>
      <c r="AQ30" s="31">
        <f>Primera!AQ30</f>
        <v>0</v>
      </c>
      <c r="AR30" s="32">
        <f t="shared" si="79"/>
        <v>-1</v>
      </c>
      <c r="AS30" s="31">
        <f>Primera!AS30</f>
        <v>0</v>
      </c>
      <c r="AT30" s="32">
        <f t="shared" si="80"/>
        <v>-1</v>
      </c>
      <c r="AU30" s="31">
        <f>Primera!AU30</f>
        <v>0</v>
      </c>
      <c r="AV30" s="32">
        <f t="shared" si="81"/>
        <v>-1</v>
      </c>
      <c r="AW30" s="31">
        <f>Primera!AW30</f>
        <v>0</v>
      </c>
      <c r="AX30" s="32">
        <f t="shared" si="82"/>
        <v>-1</v>
      </c>
      <c r="AY30" s="31">
        <f>Primera!AY30</f>
        <v>0</v>
      </c>
      <c r="AZ30" s="32">
        <f t="shared" si="83"/>
        <v>-1</v>
      </c>
      <c r="BA30" s="31">
        <f>Primera!BA30</f>
        <v>0</v>
      </c>
      <c r="BB30" s="32">
        <f t="shared" si="84"/>
        <v>-1</v>
      </c>
      <c r="BC30" s="31">
        <f>Primera!BC30</f>
        <v>0</v>
      </c>
      <c r="BD30" s="32">
        <f t="shared" si="85"/>
        <v>-1</v>
      </c>
      <c r="BE30" s="31">
        <f>Primera!BE30</f>
        <v>0</v>
      </c>
      <c r="BF30" s="32">
        <f t="shared" si="86"/>
        <v>-1</v>
      </c>
      <c r="BG30" s="31">
        <f>Primera!BG30</f>
        <v>0</v>
      </c>
      <c r="BH30" s="32">
        <f t="shared" si="87"/>
        <v>-1</v>
      </c>
      <c r="BI30" s="31">
        <f>Primera!BI30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Primera!B31</f>
        <v>0</v>
      </c>
      <c r="C31" s="31">
        <f>Primera!C31</f>
        <v>0</v>
      </c>
      <c r="D31" s="32">
        <f t="shared" si="59"/>
        <v>-1</v>
      </c>
      <c r="E31" s="31">
        <f>Primera!E31</f>
        <v>0</v>
      </c>
      <c r="F31" s="32">
        <f t="shared" si="60"/>
        <v>-1</v>
      </c>
      <c r="G31" s="31">
        <f>Primera!G31</f>
        <v>0</v>
      </c>
      <c r="H31" s="32">
        <f t="shared" si="61"/>
        <v>-1</v>
      </c>
      <c r="I31" s="31">
        <f>Primera!I31</f>
        <v>0</v>
      </c>
      <c r="J31" s="32">
        <f t="shared" si="62"/>
        <v>-1</v>
      </c>
      <c r="K31" s="31">
        <f>Primera!K31</f>
        <v>0</v>
      </c>
      <c r="L31" s="32">
        <f t="shared" si="63"/>
        <v>-1</v>
      </c>
      <c r="M31" s="31">
        <f>Primera!M31</f>
        <v>0</v>
      </c>
      <c r="N31" s="32">
        <f t="shared" si="64"/>
        <v>-1</v>
      </c>
      <c r="O31" s="31">
        <f>Primera!O31</f>
        <v>0</v>
      </c>
      <c r="P31" s="32">
        <f t="shared" si="65"/>
        <v>-1</v>
      </c>
      <c r="Q31" s="31">
        <f>Primera!Q31</f>
        <v>0</v>
      </c>
      <c r="R31" s="32">
        <f t="shared" si="66"/>
        <v>-1</v>
      </c>
      <c r="S31" s="31">
        <f>Primera!S31</f>
        <v>0</v>
      </c>
      <c r="T31" s="32">
        <f t="shared" si="67"/>
        <v>-1</v>
      </c>
      <c r="U31" s="31">
        <f>Primera!U31</f>
        <v>0</v>
      </c>
      <c r="V31" s="32">
        <f t="shared" si="68"/>
        <v>-1</v>
      </c>
      <c r="W31" s="31">
        <f>Primera!W31</f>
        <v>0</v>
      </c>
      <c r="X31" s="32">
        <f t="shared" si="69"/>
        <v>-1</v>
      </c>
      <c r="Y31" s="31">
        <f>Primera!Y31</f>
        <v>0</v>
      </c>
      <c r="Z31" s="32">
        <f t="shared" si="70"/>
        <v>-1</v>
      </c>
      <c r="AA31" s="31">
        <f>Primera!AA31</f>
        <v>0</v>
      </c>
      <c r="AB31" s="32">
        <f t="shared" si="71"/>
        <v>-1</v>
      </c>
      <c r="AC31" s="31">
        <f>Primera!AC31</f>
        <v>0</v>
      </c>
      <c r="AD31" s="32">
        <f t="shared" si="72"/>
        <v>-1</v>
      </c>
      <c r="AE31" s="31">
        <f>Primera!AE31</f>
        <v>0</v>
      </c>
      <c r="AF31" s="32">
        <f t="shared" si="73"/>
        <v>-1</v>
      </c>
      <c r="AG31" s="31">
        <f>Primera!AG31</f>
        <v>0</v>
      </c>
      <c r="AH31" s="32">
        <f t="shared" si="74"/>
        <v>-1</v>
      </c>
      <c r="AI31" s="31">
        <f>Primera!AI31</f>
        <v>0</v>
      </c>
      <c r="AJ31" s="32">
        <f t="shared" si="75"/>
        <v>-1</v>
      </c>
      <c r="AK31" s="31">
        <f>Primera!AK31</f>
        <v>0</v>
      </c>
      <c r="AL31" s="32">
        <f t="shared" si="76"/>
        <v>-1</v>
      </c>
      <c r="AM31" s="31">
        <f>Primera!AM31</f>
        <v>0</v>
      </c>
      <c r="AN31" s="32">
        <f t="shared" si="77"/>
        <v>-1</v>
      </c>
      <c r="AO31" s="31">
        <f>Primera!AO31</f>
        <v>0</v>
      </c>
      <c r="AP31" s="32">
        <f t="shared" si="78"/>
        <v>-1</v>
      </c>
      <c r="AQ31" s="31">
        <f>Primera!AQ31</f>
        <v>0</v>
      </c>
      <c r="AR31" s="32">
        <f t="shared" si="79"/>
        <v>-1</v>
      </c>
      <c r="AS31" s="31">
        <f>Primera!AS31</f>
        <v>0</v>
      </c>
      <c r="AT31" s="32">
        <f t="shared" si="80"/>
        <v>-1</v>
      </c>
      <c r="AU31" s="31">
        <f>Primera!AU31</f>
        <v>0</v>
      </c>
      <c r="AV31" s="32">
        <f t="shared" si="81"/>
        <v>-1</v>
      </c>
      <c r="AW31" s="31">
        <f>Primera!AW31</f>
        <v>0</v>
      </c>
      <c r="AX31" s="32">
        <f t="shared" si="82"/>
        <v>-1</v>
      </c>
      <c r="AY31" s="31">
        <f>Primera!AY31</f>
        <v>0</v>
      </c>
      <c r="AZ31" s="32">
        <f t="shared" si="83"/>
        <v>-1</v>
      </c>
      <c r="BA31" s="31">
        <f>Primera!BA31</f>
        <v>0</v>
      </c>
      <c r="BB31" s="32">
        <f t="shared" si="84"/>
        <v>-1</v>
      </c>
      <c r="BC31" s="31">
        <f>Primera!BC31</f>
        <v>0</v>
      </c>
      <c r="BD31" s="32">
        <f t="shared" si="85"/>
        <v>-1</v>
      </c>
      <c r="BE31" s="31">
        <f>Primera!BE31</f>
        <v>0</v>
      </c>
      <c r="BF31" s="32">
        <f t="shared" si="86"/>
        <v>-1</v>
      </c>
      <c r="BG31" s="31">
        <f>Primera!BG31</f>
        <v>0</v>
      </c>
      <c r="BH31" s="32">
        <f t="shared" si="87"/>
        <v>-1</v>
      </c>
      <c r="BI31" s="31">
        <f>Primera!BI31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Primera!B32</f>
        <v>0</v>
      </c>
      <c r="C32" s="31">
        <f>Primera!C32</f>
        <v>0</v>
      </c>
      <c r="D32" s="32">
        <f t="shared" si="59"/>
        <v>-1</v>
      </c>
      <c r="E32" s="31">
        <f>Primera!E32</f>
        <v>0</v>
      </c>
      <c r="F32" s="32">
        <f t="shared" si="60"/>
        <v>-1</v>
      </c>
      <c r="G32" s="31">
        <f>Primera!G32</f>
        <v>0</v>
      </c>
      <c r="H32" s="32">
        <f t="shared" si="61"/>
        <v>-1</v>
      </c>
      <c r="I32" s="31">
        <f>Primera!I32</f>
        <v>0</v>
      </c>
      <c r="J32" s="32">
        <f t="shared" si="62"/>
        <v>-1</v>
      </c>
      <c r="K32" s="31">
        <f>Primera!K32</f>
        <v>0</v>
      </c>
      <c r="L32" s="32">
        <f t="shared" si="63"/>
        <v>-1</v>
      </c>
      <c r="M32" s="31">
        <f>Primera!M32</f>
        <v>0</v>
      </c>
      <c r="N32" s="32">
        <f t="shared" si="64"/>
        <v>-1</v>
      </c>
      <c r="O32" s="31">
        <f>Primera!O32</f>
        <v>0</v>
      </c>
      <c r="P32" s="32">
        <f t="shared" si="65"/>
        <v>-1</v>
      </c>
      <c r="Q32" s="31">
        <f>Primera!Q32</f>
        <v>0</v>
      </c>
      <c r="R32" s="32">
        <f t="shared" si="66"/>
        <v>-1</v>
      </c>
      <c r="S32" s="31">
        <f>Primera!S32</f>
        <v>0</v>
      </c>
      <c r="T32" s="32">
        <f t="shared" si="67"/>
        <v>-1</v>
      </c>
      <c r="U32" s="31">
        <f>Primera!U32</f>
        <v>0</v>
      </c>
      <c r="V32" s="32">
        <f t="shared" si="68"/>
        <v>-1</v>
      </c>
      <c r="W32" s="31">
        <f>Primera!W32</f>
        <v>0</v>
      </c>
      <c r="X32" s="32">
        <f t="shared" si="69"/>
        <v>-1</v>
      </c>
      <c r="Y32" s="31">
        <f>Primera!Y32</f>
        <v>0</v>
      </c>
      <c r="Z32" s="32">
        <f t="shared" si="70"/>
        <v>-1</v>
      </c>
      <c r="AA32" s="31">
        <f>Primera!AA32</f>
        <v>0</v>
      </c>
      <c r="AB32" s="32">
        <f t="shared" si="71"/>
        <v>-1</v>
      </c>
      <c r="AC32" s="31">
        <f>Primera!AC32</f>
        <v>0</v>
      </c>
      <c r="AD32" s="32">
        <f t="shared" si="72"/>
        <v>-1</v>
      </c>
      <c r="AE32" s="31">
        <f>Primera!AE32</f>
        <v>0</v>
      </c>
      <c r="AF32" s="32">
        <f t="shared" si="73"/>
        <v>-1</v>
      </c>
      <c r="AG32" s="31">
        <f>Primera!AG32</f>
        <v>0</v>
      </c>
      <c r="AH32" s="32">
        <f t="shared" si="74"/>
        <v>-1</v>
      </c>
      <c r="AI32" s="31">
        <f>Primera!AI32</f>
        <v>0</v>
      </c>
      <c r="AJ32" s="32">
        <f t="shared" si="75"/>
        <v>-1</v>
      </c>
      <c r="AK32" s="31">
        <f>Primera!AK32</f>
        <v>0</v>
      </c>
      <c r="AL32" s="32">
        <f t="shared" si="76"/>
        <v>-1</v>
      </c>
      <c r="AM32" s="31">
        <f>Primera!AM32</f>
        <v>0</v>
      </c>
      <c r="AN32" s="32">
        <f t="shared" si="77"/>
        <v>-1</v>
      </c>
      <c r="AO32" s="31">
        <f>Primera!AO32</f>
        <v>0</v>
      </c>
      <c r="AP32" s="32">
        <f t="shared" si="78"/>
        <v>-1</v>
      </c>
      <c r="AQ32" s="31">
        <f>Primera!AQ32</f>
        <v>0</v>
      </c>
      <c r="AR32" s="32">
        <f t="shared" si="79"/>
        <v>-1</v>
      </c>
      <c r="AS32" s="31">
        <f>Primera!AS32</f>
        <v>0</v>
      </c>
      <c r="AT32" s="32">
        <f t="shared" si="80"/>
        <v>-1</v>
      </c>
      <c r="AU32" s="31">
        <f>Primera!AU32</f>
        <v>0</v>
      </c>
      <c r="AV32" s="32">
        <f t="shared" si="81"/>
        <v>-1</v>
      </c>
      <c r="AW32" s="31">
        <f>Primera!AW32</f>
        <v>0</v>
      </c>
      <c r="AX32" s="32">
        <f t="shared" si="82"/>
        <v>-1</v>
      </c>
      <c r="AY32" s="31">
        <f>Primera!AY32</f>
        <v>0</v>
      </c>
      <c r="AZ32" s="32">
        <f t="shared" si="83"/>
        <v>-1</v>
      </c>
      <c r="BA32" s="31">
        <f>Primera!BA32</f>
        <v>0</v>
      </c>
      <c r="BB32" s="32">
        <f t="shared" si="84"/>
        <v>-1</v>
      </c>
      <c r="BC32" s="31">
        <f>Primera!BC32</f>
        <v>0</v>
      </c>
      <c r="BD32" s="32">
        <f t="shared" si="85"/>
        <v>-1</v>
      </c>
      <c r="BE32" s="31">
        <f>Primera!BE32</f>
        <v>0</v>
      </c>
      <c r="BF32" s="32">
        <f t="shared" si="86"/>
        <v>-1</v>
      </c>
      <c r="BG32" s="31">
        <f>Primera!BG32</f>
        <v>0</v>
      </c>
      <c r="BH32" s="32">
        <f t="shared" si="87"/>
        <v>-1</v>
      </c>
      <c r="BI32" s="31">
        <f>Primera!BI32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Primera!B33</f>
        <v>0</v>
      </c>
      <c r="C33" s="31">
        <f>Primera!C33</f>
        <v>0</v>
      </c>
      <c r="D33" s="32">
        <f t="shared" si="59"/>
        <v>-1</v>
      </c>
      <c r="E33" s="31">
        <f>Primera!E33</f>
        <v>0</v>
      </c>
      <c r="F33" s="32">
        <f t="shared" si="60"/>
        <v>-1</v>
      </c>
      <c r="G33" s="31">
        <f>Primera!G33</f>
        <v>0</v>
      </c>
      <c r="H33" s="32">
        <f t="shared" si="61"/>
        <v>-1</v>
      </c>
      <c r="I33" s="31">
        <f>Primera!I33</f>
        <v>0</v>
      </c>
      <c r="J33" s="32">
        <f t="shared" si="62"/>
        <v>-1</v>
      </c>
      <c r="K33" s="31">
        <f>Primera!K33</f>
        <v>0</v>
      </c>
      <c r="L33" s="32">
        <f t="shared" si="63"/>
        <v>-1</v>
      </c>
      <c r="M33" s="31">
        <f>Primera!M33</f>
        <v>0</v>
      </c>
      <c r="N33" s="32">
        <f t="shared" si="64"/>
        <v>-1</v>
      </c>
      <c r="O33" s="31">
        <f>Primera!O33</f>
        <v>0</v>
      </c>
      <c r="P33" s="32">
        <f t="shared" si="65"/>
        <v>-1</v>
      </c>
      <c r="Q33" s="31">
        <f>Primera!Q33</f>
        <v>0</v>
      </c>
      <c r="R33" s="32">
        <f t="shared" si="66"/>
        <v>-1</v>
      </c>
      <c r="S33" s="31">
        <f>Primera!S33</f>
        <v>0</v>
      </c>
      <c r="T33" s="32">
        <f t="shared" si="67"/>
        <v>-1</v>
      </c>
      <c r="U33" s="31">
        <f>Primera!U33</f>
        <v>0</v>
      </c>
      <c r="V33" s="32">
        <f t="shared" si="68"/>
        <v>-1</v>
      </c>
      <c r="W33" s="31">
        <f>Primera!W33</f>
        <v>0</v>
      </c>
      <c r="X33" s="32">
        <f t="shared" si="69"/>
        <v>-1</v>
      </c>
      <c r="Y33" s="31">
        <f>Primera!Y33</f>
        <v>0</v>
      </c>
      <c r="Z33" s="32">
        <f t="shared" si="70"/>
        <v>-1</v>
      </c>
      <c r="AA33" s="31">
        <f>Primera!AA33</f>
        <v>0</v>
      </c>
      <c r="AB33" s="32">
        <f t="shared" si="71"/>
        <v>-1</v>
      </c>
      <c r="AC33" s="31">
        <f>Primera!AC33</f>
        <v>0</v>
      </c>
      <c r="AD33" s="32">
        <f t="shared" si="72"/>
        <v>-1</v>
      </c>
      <c r="AE33" s="31">
        <f>Primera!AE33</f>
        <v>0</v>
      </c>
      <c r="AF33" s="32">
        <f t="shared" si="73"/>
        <v>-1</v>
      </c>
      <c r="AG33" s="31">
        <f>Primera!AG33</f>
        <v>0</v>
      </c>
      <c r="AH33" s="32">
        <f t="shared" si="74"/>
        <v>-1</v>
      </c>
      <c r="AI33" s="31">
        <f>Primera!AI33</f>
        <v>0</v>
      </c>
      <c r="AJ33" s="32">
        <f t="shared" si="75"/>
        <v>-1</v>
      </c>
      <c r="AK33" s="31">
        <f>Primera!AK33</f>
        <v>0</v>
      </c>
      <c r="AL33" s="32">
        <f t="shared" si="76"/>
        <v>-1</v>
      </c>
      <c r="AM33" s="31">
        <f>Primera!AM33</f>
        <v>0</v>
      </c>
      <c r="AN33" s="32">
        <f t="shared" si="77"/>
        <v>-1</v>
      </c>
      <c r="AO33" s="31">
        <f>Primera!AO33</f>
        <v>0</v>
      </c>
      <c r="AP33" s="32">
        <f t="shared" si="78"/>
        <v>-1</v>
      </c>
      <c r="AQ33" s="31">
        <f>Primera!AQ33</f>
        <v>0</v>
      </c>
      <c r="AR33" s="32">
        <f t="shared" si="79"/>
        <v>-1</v>
      </c>
      <c r="AS33" s="31">
        <f>Primera!AS33</f>
        <v>0</v>
      </c>
      <c r="AT33" s="32">
        <f t="shared" si="80"/>
        <v>-1</v>
      </c>
      <c r="AU33" s="31">
        <f>Primera!AU33</f>
        <v>0</v>
      </c>
      <c r="AV33" s="32">
        <f t="shared" si="81"/>
        <v>-1</v>
      </c>
      <c r="AW33" s="31">
        <f>Primera!AW33</f>
        <v>0</v>
      </c>
      <c r="AX33" s="32">
        <f t="shared" si="82"/>
        <v>-1</v>
      </c>
      <c r="AY33" s="31">
        <f>Primera!AY33</f>
        <v>0</v>
      </c>
      <c r="AZ33" s="32">
        <f t="shared" si="83"/>
        <v>-1</v>
      </c>
      <c r="BA33" s="31">
        <f>Primera!BA33</f>
        <v>0</v>
      </c>
      <c r="BB33" s="32">
        <f t="shared" si="84"/>
        <v>-1</v>
      </c>
      <c r="BC33" s="31">
        <f>Primera!BC33</f>
        <v>0</v>
      </c>
      <c r="BD33" s="32">
        <f t="shared" si="85"/>
        <v>-1</v>
      </c>
      <c r="BE33" s="31">
        <f>Primera!BE33</f>
        <v>0</v>
      </c>
      <c r="BF33" s="32">
        <f t="shared" si="86"/>
        <v>-1</v>
      </c>
      <c r="BG33" s="31">
        <f>Primera!BG33</f>
        <v>0</v>
      </c>
      <c r="BH33" s="32">
        <f t="shared" si="87"/>
        <v>-1</v>
      </c>
      <c r="BI33" s="31">
        <f>Primera!BI33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Primera!B34</f>
        <v>0</v>
      </c>
      <c r="C34" s="31">
        <f>Primera!C34</f>
        <v>0</v>
      </c>
      <c r="D34" s="32">
        <f t="shared" si="59"/>
        <v>-1</v>
      </c>
      <c r="E34" s="31">
        <f>Primera!E34</f>
        <v>0</v>
      </c>
      <c r="F34" s="32">
        <f t="shared" si="60"/>
        <v>-1</v>
      </c>
      <c r="G34" s="31">
        <f>Primera!G34</f>
        <v>0</v>
      </c>
      <c r="H34" s="32">
        <f t="shared" si="61"/>
        <v>-1</v>
      </c>
      <c r="I34" s="31">
        <f>Primera!I34</f>
        <v>0</v>
      </c>
      <c r="J34" s="32">
        <f t="shared" si="62"/>
        <v>-1</v>
      </c>
      <c r="K34" s="31">
        <f>Primera!K34</f>
        <v>0</v>
      </c>
      <c r="L34" s="32">
        <f t="shared" si="63"/>
        <v>-1</v>
      </c>
      <c r="M34" s="31">
        <f>Primera!M34</f>
        <v>0</v>
      </c>
      <c r="N34" s="32">
        <f t="shared" si="64"/>
        <v>-1</v>
      </c>
      <c r="O34" s="31">
        <f>Primera!O34</f>
        <v>0</v>
      </c>
      <c r="P34" s="32">
        <f t="shared" si="65"/>
        <v>-1</v>
      </c>
      <c r="Q34" s="31">
        <f>Primera!Q34</f>
        <v>0</v>
      </c>
      <c r="R34" s="32">
        <f t="shared" si="66"/>
        <v>-1</v>
      </c>
      <c r="S34" s="31">
        <f>Primera!S34</f>
        <v>0</v>
      </c>
      <c r="T34" s="32">
        <f t="shared" si="67"/>
        <v>-1</v>
      </c>
      <c r="U34" s="31">
        <f>Primera!U34</f>
        <v>0</v>
      </c>
      <c r="V34" s="32">
        <f t="shared" si="68"/>
        <v>-1</v>
      </c>
      <c r="W34" s="31">
        <f>Primera!W34</f>
        <v>0</v>
      </c>
      <c r="X34" s="32">
        <f t="shared" si="69"/>
        <v>-1</v>
      </c>
      <c r="Y34" s="31">
        <f>Primera!Y34</f>
        <v>0</v>
      </c>
      <c r="Z34" s="32">
        <f t="shared" si="70"/>
        <v>-1</v>
      </c>
      <c r="AA34" s="31">
        <f>Primera!AA34</f>
        <v>0</v>
      </c>
      <c r="AB34" s="32">
        <f t="shared" si="71"/>
        <v>-1</v>
      </c>
      <c r="AC34" s="31">
        <f>Primera!AC34</f>
        <v>0</v>
      </c>
      <c r="AD34" s="32">
        <f t="shared" si="72"/>
        <v>-1</v>
      </c>
      <c r="AE34" s="31">
        <f>Primera!AE34</f>
        <v>0</v>
      </c>
      <c r="AF34" s="32">
        <f t="shared" si="73"/>
        <v>-1</v>
      </c>
      <c r="AG34" s="31">
        <f>Primera!AG34</f>
        <v>0</v>
      </c>
      <c r="AH34" s="32">
        <f t="shared" si="74"/>
        <v>-1</v>
      </c>
      <c r="AI34" s="31">
        <f>Primera!AI34</f>
        <v>0</v>
      </c>
      <c r="AJ34" s="32">
        <f t="shared" si="75"/>
        <v>-1</v>
      </c>
      <c r="AK34" s="31">
        <f>Primera!AK34</f>
        <v>0</v>
      </c>
      <c r="AL34" s="32">
        <f t="shared" si="76"/>
        <v>-1</v>
      </c>
      <c r="AM34" s="31">
        <f>Primera!AM34</f>
        <v>0</v>
      </c>
      <c r="AN34" s="32">
        <f t="shared" si="77"/>
        <v>-1</v>
      </c>
      <c r="AO34" s="31">
        <f>Primera!AO34</f>
        <v>0</v>
      </c>
      <c r="AP34" s="32">
        <f t="shared" si="78"/>
        <v>-1</v>
      </c>
      <c r="AQ34" s="31">
        <f>Primera!AQ34</f>
        <v>0</v>
      </c>
      <c r="AR34" s="32">
        <f t="shared" si="79"/>
        <v>-1</v>
      </c>
      <c r="AS34" s="31">
        <f>Primera!AS34</f>
        <v>0</v>
      </c>
      <c r="AT34" s="32">
        <f t="shared" si="80"/>
        <v>-1</v>
      </c>
      <c r="AU34" s="31">
        <f>Primera!AU34</f>
        <v>0</v>
      </c>
      <c r="AV34" s="32">
        <f t="shared" si="81"/>
        <v>-1</v>
      </c>
      <c r="AW34" s="31">
        <f>Primera!AW34</f>
        <v>0</v>
      </c>
      <c r="AX34" s="32">
        <f t="shared" si="82"/>
        <v>-1</v>
      </c>
      <c r="AY34" s="31">
        <f>Primera!AY34</f>
        <v>0</v>
      </c>
      <c r="AZ34" s="32">
        <f t="shared" si="83"/>
        <v>-1</v>
      </c>
      <c r="BA34" s="31">
        <f>Primera!BA34</f>
        <v>0</v>
      </c>
      <c r="BB34" s="32">
        <f t="shared" si="84"/>
        <v>-1</v>
      </c>
      <c r="BC34" s="31">
        <f>Primera!BC34</f>
        <v>0</v>
      </c>
      <c r="BD34" s="32">
        <f t="shared" si="85"/>
        <v>-1</v>
      </c>
      <c r="BE34" s="31">
        <f>Primera!BE34</f>
        <v>0</v>
      </c>
      <c r="BF34" s="32">
        <f t="shared" si="86"/>
        <v>-1</v>
      </c>
      <c r="BG34" s="31">
        <f>Primera!BG34</f>
        <v>0</v>
      </c>
      <c r="BH34" s="32">
        <f t="shared" si="87"/>
        <v>-1</v>
      </c>
      <c r="BI34" s="31">
        <f>Primera!BI34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Primera!B35</f>
        <v>0</v>
      </c>
      <c r="C35" s="31">
        <f>Primera!C35</f>
        <v>0</v>
      </c>
      <c r="D35" s="32">
        <f t="shared" si="59"/>
        <v>-1</v>
      </c>
      <c r="E35" s="31">
        <f>Primera!E35</f>
        <v>0</v>
      </c>
      <c r="F35" s="32">
        <f t="shared" si="60"/>
        <v>-1</v>
      </c>
      <c r="G35" s="31">
        <f>Primera!G35</f>
        <v>0</v>
      </c>
      <c r="H35" s="32">
        <f t="shared" si="61"/>
        <v>-1</v>
      </c>
      <c r="I35" s="31">
        <f>Primera!I35</f>
        <v>0</v>
      </c>
      <c r="J35" s="32">
        <f t="shared" si="62"/>
        <v>-1</v>
      </c>
      <c r="K35" s="31">
        <f>Primera!K35</f>
        <v>0</v>
      </c>
      <c r="L35" s="32">
        <f t="shared" si="63"/>
        <v>-1</v>
      </c>
      <c r="M35" s="31">
        <f>Primera!M35</f>
        <v>0</v>
      </c>
      <c r="N35" s="32">
        <f t="shared" si="64"/>
        <v>-1</v>
      </c>
      <c r="O35" s="31">
        <f>Primera!O35</f>
        <v>0</v>
      </c>
      <c r="P35" s="32">
        <f t="shared" si="65"/>
        <v>-1</v>
      </c>
      <c r="Q35" s="31">
        <f>Primera!Q35</f>
        <v>0</v>
      </c>
      <c r="R35" s="32">
        <f t="shared" si="66"/>
        <v>-1</v>
      </c>
      <c r="S35" s="31">
        <f>Primera!S35</f>
        <v>0</v>
      </c>
      <c r="T35" s="32">
        <f t="shared" si="67"/>
        <v>-1</v>
      </c>
      <c r="U35" s="31">
        <f>Primera!U35</f>
        <v>0</v>
      </c>
      <c r="V35" s="32">
        <f t="shared" si="68"/>
        <v>-1</v>
      </c>
      <c r="W35" s="31">
        <f>Primera!W35</f>
        <v>0</v>
      </c>
      <c r="X35" s="32">
        <f t="shared" si="69"/>
        <v>-1</v>
      </c>
      <c r="Y35" s="31">
        <f>Primera!Y35</f>
        <v>0</v>
      </c>
      <c r="Z35" s="32">
        <f t="shared" si="70"/>
        <v>-1</v>
      </c>
      <c r="AA35" s="31">
        <f>Primera!AA35</f>
        <v>0</v>
      </c>
      <c r="AB35" s="32">
        <f t="shared" si="71"/>
        <v>-1</v>
      </c>
      <c r="AC35" s="31">
        <f>Primera!AC35</f>
        <v>0</v>
      </c>
      <c r="AD35" s="32">
        <f t="shared" si="72"/>
        <v>-1</v>
      </c>
      <c r="AE35" s="31">
        <f>Primera!AE35</f>
        <v>0</v>
      </c>
      <c r="AF35" s="32">
        <f t="shared" si="73"/>
        <v>-1</v>
      </c>
      <c r="AG35" s="31">
        <f>Primera!AG35</f>
        <v>0</v>
      </c>
      <c r="AH35" s="32">
        <f t="shared" si="74"/>
        <v>-1</v>
      </c>
      <c r="AI35" s="31">
        <f>Primera!AI35</f>
        <v>0</v>
      </c>
      <c r="AJ35" s="32">
        <f t="shared" si="75"/>
        <v>-1</v>
      </c>
      <c r="AK35" s="31">
        <f>Primera!AK35</f>
        <v>0</v>
      </c>
      <c r="AL35" s="32">
        <f t="shared" si="76"/>
        <v>-1</v>
      </c>
      <c r="AM35" s="31">
        <f>Primera!AM35</f>
        <v>0</v>
      </c>
      <c r="AN35" s="32">
        <f t="shared" si="77"/>
        <v>-1</v>
      </c>
      <c r="AO35" s="31">
        <f>Primera!AO35</f>
        <v>0</v>
      </c>
      <c r="AP35" s="32">
        <f t="shared" si="78"/>
        <v>-1</v>
      </c>
      <c r="AQ35" s="31">
        <f>Primera!AQ35</f>
        <v>0</v>
      </c>
      <c r="AR35" s="32">
        <f t="shared" si="79"/>
        <v>-1</v>
      </c>
      <c r="AS35" s="31">
        <f>Primera!AS35</f>
        <v>0</v>
      </c>
      <c r="AT35" s="32">
        <f t="shared" si="80"/>
        <v>-1</v>
      </c>
      <c r="AU35" s="31">
        <f>Primera!AU35</f>
        <v>0</v>
      </c>
      <c r="AV35" s="32">
        <f t="shared" si="81"/>
        <v>-1</v>
      </c>
      <c r="AW35" s="31">
        <f>Primera!AW35</f>
        <v>0</v>
      </c>
      <c r="AX35" s="32">
        <f t="shared" si="82"/>
        <v>-1</v>
      </c>
      <c r="AY35" s="31">
        <f>Primera!AY35</f>
        <v>0</v>
      </c>
      <c r="AZ35" s="32">
        <f t="shared" si="83"/>
        <v>-1</v>
      </c>
      <c r="BA35" s="31">
        <f>Primera!BA35</f>
        <v>0</v>
      </c>
      <c r="BB35" s="32">
        <f t="shared" si="84"/>
        <v>-1</v>
      </c>
      <c r="BC35" s="31">
        <f>Primera!BC35</f>
        <v>0</v>
      </c>
      <c r="BD35" s="32">
        <f t="shared" si="85"/>
        <v>-1</v>
      </c>
      <c r="BE35" s="31">
        <f>Primera!BE35</f>
        <v>0</v>
      </c>
      <c r="BF35" s="32">
        <f t="shared" si="86"/>
        <v>-1</v>
      </c>
      <c r="BG35" s="31">
        <f>Primera!BG35</f>
        <v>0</v>
      </c>
      <c r="BH35" s="32">
        <f t="shared" si="87"/>
        <v>-1</v>
      </c>
      <c r="BI35" s="31">
        <f>Primera!BI35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Primera!B36</f>
        <v>0</v>
      </c>
      <c r="C36" s="31">
        <f>Primera!C36</f>
        <v>0</v>
      </c>
      <c r="D36" s="32">
        <f t="shared" si="59"/>
        <v>-1</v>
      </c>
      <c r="E36" s="31">
        <f>Primera!E36</f>
        <v>0</v>
      </c>
      <c r="F36" s="32">
        <f t="shared" si="60"/>
        <v>-1</v>
      </c>
      <c r="G36" s="31">
        <f>Primera!G36</f>
        <v>0</v>
      </c>
      <c r="H36" s="32">
        <f t="shared" si="61"/>
        <v>-1</v>
      </c>
      <c r="I36" s="31">
        <f>Primera!I36</f>
        <v>0</v>
      </c>
      <c r="J36" s="32">
        <f t="shared" si="62"/>
        <v>-1</v>
      </c>
      <c r="K36" s="31">
        <f>Primera!K36</f>
        <v>0</v>
      </c>
      <c r="L36" s="32">
        <f t="shared" si="63"/>
        <v>-1</v>
      </c>
      <c r="M36" s="31">
        <f>Primera!M36</f>
        <v>0</v>
      </c>
      <c r="N36" s="32">
        <f t="shared" si="64"/>
        <v>-1</v>
      </c>
      <c r="O36" s="31">
        <f>Primera!O36</f>
        <v>0</v>
      </c>
      <c r="P36" s="32">
        <f t="shared" si="65"/>
        <v>-1</v>
      </c>
      <c r="Q36" s="31">
        <f>Primera!Q36</f>
        <v>0</v>
      </c>
      <c r="R36" s="32">
        <f t="shared" si="66"/>
        <v>-1</v>
      </c>
      <c r="S36" s="31">
        <f>Primera!S36</f>
        <v>0</v>
      </c>
      <c r="T36" s="32">
        <f t="shared" si="67"/>
        <v>-1</v>
      </c>
      <c r="U36" s="31">
        <f>Primera!U36</f>
        <v>0</v>
      </c>
      <c r="V36" s="32">
        <f t="shared" si="68"/>
        <v>-1</v>
      </c>
      <c r="W36" s="31">
        <f>Primera!W36</f>
        <v>0</v>
      </c>
      <c r="X36" s="32">
        <f t="shared" si="69"/>
        <v>-1</v>
      </c>
      <c r="Y36" s="31">
        <f>Primera!Y36</f>
        <v>0</v>
      </c>
      <c r="Z36" s="32">
        <f t="shared" si="70"/>
        <v>-1</v>
      </c>
      <c r="AA36" s="31">
        <f>Primera!AA36</f>
        <v>0</v>
      </c>
      <c r="AB36" s="32">
        <f t="shared" si="71"/>
        <v>-1</v>
      </c>
      <c r="AC36" s="31">
        <f>Primera!AC36</f>
        <v>0</v>
      </c>
      <c r="AD36" s="32">
        <f t="shared" si="72"/>
        <v>-1</v>
      </c>
      <c r="AE36" s="31">
        <f>Primera!AE36</f>
        <v>0</v>
      </c>
      <c r="AF36" s="32">
        <f t="shared" si="73"/>
        <v>-1</v>
      </c>
      <c r="AG36" s="31">
        <f>Primera!AG36</f>
        <v>0</v>
      </c>
      <c r="AH36" s="32">
        <f t="shared" si="74"/>
        <v>-1</v>
      </c>
      <c r="AI36" s="31">
        <f>Primera!AI36</f>
        <v>0</v>
      </c>
      <c r="AJ36" s="32">
        <f t="shared" si="75"/>
        <v>-1</v>
      </c>
      <c r="AK36" s="31">
        <f>Primera!AK36</f>
        <v>0</v>
      </c>
      <c r="AL36" s="32">
        <f t="shared" si="76"/>
        <v>-1</v>
      </c>
      <c r="AM36" s="31">
        <f>Primera!AM36</f>
        <v>0</v>
      </c>
      <c r="AN36" s="32">
        <f t="shared" si="77"/>
        <v>-1</v>
      </c>
      <c r="AO36" s="31">
        <f>Primera!AO36</f>
        <v>0</v>
      </c>
      <c r="AP36" s="32">
        <f t="shared" si="78"/>
        <v>-1</v>
      </c>
      <c r="AQ36" s="31">
        <f>Primera!AQ36</f>
        <v>0</v>
      </c>
      <c r="AR36" s="32">
        <f t="shared" si="79"/>
        <v>-1</v>
      </c>
      <c r="AS36" s="31">
        <f>Primera!AS36</f>
        <v>0</v>
      </c>
      <c r="AT36" s="32">
        <f t="shared" si="80"/>
        <v>-1</v>
      </c>
      <c r="AU36" s="31">
        <f>Primera!AU36</f>
        <v>0</v>
      </c>
      <c r="AV36" s="32">
        <f t="shared" si="81"/>
        <v>-1</v>
      </c>
      <c r="AW36" s="31">
        <f>Primera!AW36</f>
        <v>0</v>
      </c>
      <c r="AX36" s="32">
        <f t="shared" si="82"/>
        <v>-1</v>
      </c>
      <c r="AY36" s="31">
        <f>Primera!AY36</f>
        <v>0</v>
      </c>
      <c r="AZ36" s="32">
        <f t="shared" si="83"/>
        <v>-1</v>
      </c>
      <c r="BA36" s="31">
        <f>Primera!BA36</f>
        <v>0</v>
      </c>
      <c r="BB36" s="32">
        <f t="shared" si="84"/>
        <v>-1</v>
      </c>
      <c r="BC36" s="31">
        <f>Primera!BC36</f>
        <v>0</v>
      </c>
      <c r="BD36" s="32">
        <f t="shared" si="85"/>
        <v>-1</v>
      </c>
      <c r="BE36" s="31">
        <f>Primera!BE36</f>
        <v>0</v>
      </c>
      <c r="BF36" s="32">
        <f t="shared" si="86"/>
        <v>-1</v>
      </c>
      <c r="BG36" s="31">
        <f>Primera!BG36</f>
        <v>0</v>
      </c>
      <c r="BH36" s="32">
        <f t="shared" si="87"/>
        <v>-1</v>
      </c>
      <c r="BI36" s="31">
        <f>Primera!BI36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Primera!B37</f>
        <v>0</v>
      </c>
      <c r="C37" s="31">
        <f>Primera!C37</f>
        <v>0</v>
      </c>
      <c r="D37" s="32">
        <f t="shared" si="59"/>
        <v>-1</v>
      </c>
      <c r="E37" s="31">
        <f>Primera!E37</f>
        <v>0</v>
      </c>
      <c r="F37" s="32">
        <f t="shared" si="60"/>
        <v>-1</v>
      </c>
      <c r="G37" s="31">
        <f>Primera!G37</f>
        <v>0</v>
      </c>
      <c r="H37" s="32">
        <f t="shared" si="61"/>
        <v>-1</v>
      </c>
      <c r="I37" s="31">
        <f>Primera!I37</f>
        <v>0</v>
      </c>
      <c r="J37" s="32">
        <f t="shared" si="62"/>
        <v>-1</v>
      </c>
      <c r="K37" s="31">
        <f>Primera!K37</f>
        <v>0</v>
      </c>
      <c r="L37" s="32">
        <f t="shared" si="63"/>
        <v>-1</v>
      </c>
      <c r="M37" s="31">
        <f>Primera!M37</f>
        <v>0</v>
      </c>
      <c r="N37" s="32">
        <f t="shared" si="64"/>
        <v>-1</v>
      </c>
      <c r="O37" s="31">
        <f>Primera!O37</f>
        <v>0</v>
      </c>
      <c r="P37" s="32">
        <f t="shared" si="65"/>
        <v>-1</v>
      </c>
      <c r="Q37" s="31">
        <f>Primera!Q37</f>
        <v>0</v>
      </c>
      <c r="R37" s="32">
        <f t="shared" si="66"/>
        <v>-1</v>
      </c>
      <c r="S37" s="31">
        <f>Primera!S37</f>
        <v>0</v>
      </c>
      <c r="T37" s="32">
        <f t="shared" si="67"/>
        <v>-1</v>
      </c>
      <c r="U37" s="31">
        <f>Primera!U37</f>
        <v>0</v>
      </c>
      <c r="V37" s="32">
        <f t="shared" si="68"/>
        <v>-1</v>
      </c>
      <c r="W37" s="31">
        <f>Primera!W37</f>
        <v>0</v>
      </c>
      <c r="X37" s="32">
        <f t="shared" si="69"/>
        <v>-1</v>
      </c>
      <c r="Y37" s="31">
        <f>Primera!Y37</f>
        <v>0</v>
      </c>
      <c r="Z37" s="32">
        <f t="shared" si="70"/>
        <v>-1</v>
      </c>
      <c r="AA37" s="31">
        <f>Primera!AA37</f>
        <v>0</v>
      </c>
      <c r="AB37" s="32">
        <f t="shared" si="71"/>
        <v>-1</v>
      </c>
      <c r="AC37" s="31">
        <f>Primera!AC37</f>
        <v>0</v>
      </c>
      <c r="AD37" s="32">
        <f t="shared" si="72"/>
        <v>-1</v>
      </c>
      <c r="AE37" s="31">
        <f>Primera!AE37</f>
        <v>0</v>
      </c>
      <c r="AF37" s="32">
        <f t="shared" si="73"/>
        <v>-1</v>
      </c>
      <c r="AG37" s="31">
        <f>Primera!AG37</f>
        <v>0</v>
      </c>
      <c r="AH37" s="32">
        <f t="shared" si="74"/>
        <v>-1</v>
      </c>
      <c r="AI37" s="31">
        <f>Primera!AI37</f>
        <v>0</v>
      </c>
      <c r="AJ37" s="32">
        <f t="shared" si="75"/>
        <v>-1</v>
      </c>
      <c r="AK37" s="31">
        <f>Primera!AK37</f>
        <v>0</v>
      </c>
      <c r="AL37" s="32">
        <f t="shared" si="76"/>
        <v>-1</v>
      </c>
      <c r="AM37" s="31">
        <f>Primera!AM37</f>
        <v>0</v>
      </c>
      <c r="AN37" s="32">
        <f t="shared" si="77"/>
        <v>-1</v>
      </c>
      <c r="AO37" s="31">
        <f>Primera!AO37</f>
        <v>0</v>
      </c>
      <c r="AP37" s="32">
        <f t="shared" si="78"/>
        <v>-1</v>
      </c>
      <c r="AQ37" s="31">
        <f>Primera!AQ37</f>
        <v>0</v>
      </c>
      <c r="AR37" s="32">
        <f t="shared" si="79"/>
        <v>-1</v>
      </c>
      <c r="AS37" s="31">
        <f>Primera!AS37</f>
        <v>0</v>
      </c>
      <c r="AT37" s="32">
        <f t="shared" si="80"/>
        <v>-1</v>
      </c>
      <c r="AU37" s="31">
        <f>Primera!AU37</f>
        <v>0</v>
      </c>
      <c r="AV37" s="32">
        <f t="shared" si="81"/>
        <v>-1</v>
      </c>
      <c r="AW37" s="31">
        <f>Primera!AW37</f>
        <v>0</v>
      </c>
      <c r="AX37" s="32">
        <f t="shared" si="82"/>
        <v>-1</v>
      </c>
      <c r="AY37" s="31">
        <f>Primera!AY37</f>
        <v>0</v>
      </c>
      <c r="AZ37" s="32">
        <f t="shared" si="83"/>
        <v>-1</v>
      </c>
      <c r="BA37" s="31">
        <f>Primera!BA37</f>
        <v>0</v>
      </c>
      <c r="BB37" s="32">
        <f t="shared" si="84"/>
        <v>-1</v>
      </c>
      <c r="BC37" s="31">
        <f>Primera!BC37</f>
        <v>0</v>
      </c>
      <c r="BD37" s="32">
        <f t="shared" si="85"/>
        <v>-1</v>
      </c>
      <c r="BE37" s="31">
        <f>Primera!BE37</f>
        <v>0</v>
      </c>
      <c r="BF37" s="32">
        <f t="shared" si="86"/>
        <v>-1</v>
      </c>
      <c r="BG37" s="31">
        <f>Primera!BG37</f>
        <v>0</v>
      </c>
      <c r="BH37" s="32">
        <f t="shared" si="87"/>
        <v>-1</v>
      </c>
      <c r="BI37" s="31">
        <f>Primera!BI37</f>
        <v>0</v>
      </c>
      <c r="BJ37" s="32">
        <f t="shared" si="88"/>
        <v>-1</v>
      </c>
    </row>
    <row r="38" spans="1:62" ht="19" customHeight="1" x14ac:dyDescent="0.2">
      <c r="A38" s="47" t="s">
        <v>84</v>
      </c>
      <c r="B38" s="47"/>
      <c r="C38" s="53">
        <f>SUM(C4,C7,C16)</f>
        <v>0</v>
      </c>
      <c r="D38" s="54"/>
      <c r="E38" s="53">
        <f t="shared" ref="E38" si="89">SUM(E4,E7,E16)</f>
        <v>0</v>
      </c>
      <c r="F38" s="54"/>
      <c r="G38" s="53">
        <f t="shared" ref="G38" si="90">SUM(G4,G7,G16)</f>
        <v>0</v>
      </c>
      <c r="H38" s="54"/>
      <c r="I38" s="53">
        <f t="shared" ref="I38" si="91">SUM(I4,I7,I16)</f>
        <v>0</v>
      </c>
      <c r="J38" s="54"/>
      <c r="K38" s="53">
        <f t="shared" ref="K38" si="92">SUM(K4,K7,K16)</f>
        <v>0</v>
      </c>
      <c r="L38" s="54"/>
      <c r="M38" s="53">
        <f t="shared" ref="M38" si="93">SUM(M4,M7,M16)</f>
        <v>0</v>
      </c>
      <c r="N38" s="54"/>
      <c r="O38" s="53">
        <f t="shared" ref="O38" si="94">SUM(O4,O7,O16)</f>
        <v>0</v>
      </c>
      <c r="P38" s="54"/>
      <c r="Q38" s="53">
        <f t="shared" ref="Q38" si="95">SUM(Q4,Q7,Q16)</f>
        <v>0</v>
      </c>
      <c r="R38" s="54"/>
      <c r="S38" s="53">
        <f t="shared" ref="S38" si="96">SUM(S4,S7,S16)</f>
        <v>0</v>
      </c>
      <c r="T38" s="54"/>
      <c r="U38" s="53">
        <f t="shared" ref="U38" si="97">SUM(U4,U7,U16)</f>
        <v>0</v>
      </c>
      <c r="V38" s="54"/>
      <c r="W38" s="53">
        <f t="shared" ref="W38" si="98">SUM(W4,W7,W16)</f>
        <v>0</v>
      </c>
      <c r="X38" s="54"/>
      <c r="Y38" s="53">
        <f t="shared" ref="Y38" si="99">SUM(Y4,Y7,Y16)</f>
        <v>0</v>
      </c>
      <c r="Z38" s="54"/>
      <c r="AA38" s="53">
        <f t="shared" ref="AA38" si="100">SUM(AA4,AA7,AA16)</f>
        <v>0</v>
      </c>
      <c r="AB38" s="54"/>
      <c r="AC38" s="53">
        <f t="shared" ref="AC38" si="101">SUM(AC4,AC7,AC16)</f>
        <v>0</v>
      </c>
      <c r="AD38" s="54"/>
      <c r="AE38" s="53">
        <f t="shared" ref="AE38" si="102">SUM(AE4,AE7,AE16)</f>
        <v>0</v>
      </c>
      <c r="AF38" s="54"/>
      <c r="AG38" s="53">
        <f t="shared" ref="AG38" si="103">SUM(AG4,AG7,AG16)</f>
        <v>0</v>
      </c>
      <c r="AH38" s="54"/>
      <c r="AI38" s="53">
        <f t="shared" ref="AI38" si="104">SUM(AI4,AI7,AI16)</f>
        <v>0</v>
      </c>
      <c r="AJ38" s="54"/>
      <c r="AK38" s="53">
        <f t="shared" ref="AK38" si="105">SUM(AK4,AK7,AK16)</f>
        <v>0</v>
      </c>
      <c r="AL38" s="54"/>
      <c r="AM38" s="53">
        <f t="shared" ref="AM38" si="106">SUM(AM4,AM7,AM16)</f>
        <v>0</v>
      </c>
      <c r="AN38" s="54"/>
      <c r="AO38" s="53">
        <f t="shared" ref="AO38" si="107">SUM(AO4,AO7,AO16)</f>
        <v>0</v>
      </c>
      <c r="AP38" s="54"/>
      <c r="AQ38" s="53">
        <f t="shared" ref="AQ38" si="108">SUM(AQ4,AQ7,AQ16)</f>
        <v>0</v>
      </c>
      <c r="AR38" s="54"/>
      <c r="AS38" s="53">
        <f t="shared" ref="AS38" si="109">SUM(AS4,AS7,AS16)</f>
        <v>0</v>
      </c>
      <c r="AT38" s="54"/>
      <c r="AU38" s="53">
        <f t="shared" ref="AU38" si="110">SUM(AU4,AU7,AU16)</f>
        <v>0</v>
      </c>
      <c r="AV38" s="54"/>
      <c r="AW38" s="53">
        <f t="shared" ref="AW38" si="111">SUM(AW4,AW7,AW16)</f>
        <v>0</v>
      </c>
      <c r="AX38" s="54"/>
      <c r="AY38" s="53">
        <f t="shared" ref="AY38" si="112">SUM(AY4,AY7,AY16)</f>
        <v>0</v>
      </c>
      <c r="AZ38" s="54"/>
      <c r="BA38" s="53">
        <f t="shared" ref="BA38" si="113">SUM(BA4,BA7,BA16)</f>
        <v>0</v>
      </c>
      <c r="BB38" s="54"/>
      <c r="BC38" s="53">
        <f t="shared" ref="BC38" si="114">SUM(BC4,BC7,BC16)</f>
        <v>0</v>
      </c>
      <c r="BD38" s="54"/>
      <c r="BE38" s="53">
        <f t="shared" ref="BE38" si="115">SUM(BE4,BE7,BE16)</f>
        <v>0</v>
      </c>
      <c r="BF38" s="54"/>
      <c r="BG38" s="53">
        <f t="shared" ref="BG38" si="116">SUM(BG4,BG7,BG16)</f>
        <v>0</v>
      </c>
      <c r="BH38" s="54"/>
      <c r="BI38" s="53">
        <f t="shared" ref="BI38" si="117">SUM(BI4,BI7,BI16)</f>
        <v>0</v>
      </c>
      <c r="BJ38" s="54"/>
    </row>
    <row r="39" spans="1:62" ht="19" customHeight="1" x14ac:dyDescent="0.2">
      <c r="A39" s="48"/>
      <c r="B39" s="49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</row>
    <row r="40" spans="1:62" ht="19" customHeight="1" x14ac:dyDescent="0.2">
      <c r="A40" s="48"/>
      <c r="B40" s="49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</row>
  </sheetData>
  <sheetProtection algorithmName="SHA-512" hashValue="rGCpds73sdOL4GC9XWUsZzFg9zJKXObLWgVMt8r2N7W6Z43TwRb3gE3WN4DKXsRLA2P1bMmC9E4+FMQLM764gQ==" saltValue="uwE9So+iep508WTsFDhdwQ==" spinCount="100000" sheet="1" objects="1" scenarios="1" formatCells="0" autoFilter="0"/>
  <mergeCells count="21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U16:V16"/>
    <mergeCell ref="W16:X16"/>
    <mergeCell ref="Y16:Z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BA16:BB16"/>
    <mergeCell ref="BC16:BD16"/>
    <mergeCell ref="U38:V40"/>
    <mergeCell ref="W38:X40"/>
    <mergeCell ref="A38:B40"/>
    <mergeCell ref="C38:D40"/>
    <mergeCell ref="E38:F40"/>
    <mergeCell ref="G38:H40"/>
    <mergeCell ref="I38:J40"/>
    <mergeCell ref="K38:L40"/>
    <mergeCell ref="AY16:AZ16"/>
    <mergeCell ref="C16:D16"/>
    <mergeCell ref="E16:F16"/>
    <mergeCell ref="G16:H16"/>
    <mergeCell ref="I16:J16"/>
    <mergeCell ref="K16:L16"/>
    <mergeCell ref="M16:N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A1:A2"/>
    <mergeCell ref="BI38:BJ40"/>
    <mergeCell ref="AW38:AX40"/>
    <mergeCell ref="AY38:AZ40"/>
    <mergeCell ref="BA38:BB40"/>
    <mergeCell ref="BC38:BD40"/>
    <mergeCell ref="BE38:BF40"/>
    <mergeCell ref="BG38:BH40"/>
    <mergeCell ref="AK38:AL40"/>
    <mergeCell ref="AM38:AN40"/>
    <mergeCell ref="AO38:AP40"/>
    <mergeCell ref="AQ38:AR40"/>
    <mergeCell ref="AS38:AT40"/>
    <mergeCell ref="AU38:AV40"/>
    <mergeCell ref="Y38:Z40"/>
    <mergeCell ref="AA38:AB40"/>
    <mergeCell ref="AC38:AD40"/>
    <mergeCell ref="AE38:AF40"/>
    <mergeCell ref="AG38:AH40"/>
    <mergeCell ref="AI38:AJ40"/>
    <mergeCell ref="M38:N40"/>
    <mergeCell ref="O38:P40"/>
    <mergeCell ref="Q38:R40"/>
    <mergeCell ref="S38:T40"/>
  </mergeCells>
  <conditionalFormatting sqref="C38 E38 G38 I38 K38 M38 O38 Q38 S38 U38 W38 Y38 AA38 AC38 AE38 AG38 AI38 AK38 AM38 AO38 AQ38 AS38 AU38 AW38 AY38 BA38 BC38 BE38 BG38 BI38">
    <cfRule type="cellIs" dxfId="39814" priority="92" stopIfTrue="1" operator="lessThan">
      <formula>5</formula>
    </cfRule>
    <cfRule type="cellIs" dxfId="3981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9812" priority="2" stopIfTrue="1" operator="lessThan">
      <formula>5</formula>
    </cfRule>
    <cfRule type="cellIs" dxfId="39811" priority="3" operator="greaterThanOrEqual">
      <formula>5</formula>
    </cfRule>
  </conditionalFormatting>
  <conditionalFormatting sqref="B3">
    <cfRule type="cellIs" dxfId="39810" priority="1" stopIfTrue="1" operator="notEqual">
      <formula>"Ok"</formula>
    </cfRule>
  </conditionalFormatting>
  <conditionalFormatting sqref="D5">
    <cfRule type="cellIs" dxfId="39809" priority="53106" stopIfTrue="1" operator="equal">
      <formula>-1</formula>
    </cfRule>
  </conditionalFormatting>
  <conditionalFormatting sqref="D5">
    <cfRule type="cellIs" dxfId="39808" priority="53107" stopIfTrue="1" operator="lessThan">
      <formula>0.5</formula>
    </cfRule>
  </conditionalFormatting>
  <conditionalFormatting sqref="D5">
    <cfRule type="cellIs" dxfId="39807" priority="53108" stopIfTrue="1" operator="greaterThanOrEqual">
      <formula>0.5</formula>
    </cfRule>
  </conditionalFormatting>
  <conditionalFormatting sqref="D6">
    <cfRule type="cellIs" dxfId="39806" priority="53109" stopIfTrue="1" operator="equal">
      <formula>-1</formula>
    </cfRule>
  </conditionalFormatting>
  <conditionalFormatting sqref="D6">
    <cfRule type="cellIs" dxfId="39805" priority="53110" stopIfTrue="1" operator="lessThan">
      <formula>0.5</formula>
    </cfRule>
  </conditionalFormatting>
  <conditionalFormatting sqref="D6">
    <cfRule type="cellIs" dxfId="39804" priority="53111" stopIfTrue="1" operator="greaterThanOrEqual">
      <formula>0.5</formula>
    </cfRule>
  </conditionalFormatting>
  <conditionalFormatting sqref="F5">
    <cfRule type="cellIs" dxfId="39803" priority="53112" stopIfTrue="1" operator="equal">
      <formula>-1</formula>
    </cfRule>
  </conditionalFormatting>
  <conditionalFormatting sqref="F5">
    <cfRule type="cellIs" dxfId="39802" priority="53113" stopIfTrue="1" operator="lessThan">
      <formula>0.5</formula>
    </cfRule>
  </conditionalFormatting>
  <conditionalFormatting sqref="F5">
    <cfRule type="cellIs" dxfId="39801" priority="53114" stopIfTrue="1" operator="greaterThanOrEqual">
      <formula>0.5</formula>
    </cfRule>
  </conditionalFormatting>
  <conditionalFormatting sqref="F6">
    <cfRule type="cellIs" dxfId="39800" priority="53115" stopIfTrue="1" operator="equal">
      <formula>-1</formula>
    </cfRule>
  </conditionalFormatting>
  <conditionalFormatting sqref="F6">
    <cfRule type="cellIs" dxfId="39799" priority="53116" stopIfTrue="1" operator="lessThan">
      <formula>0.5</formula>
    </cfRule>
  </conditionalFormatting>
  <conditionalFormatting sqref="F6">
    <cfRule type="cellIs" dxfId="39798" priority="53117" stopIfTrue="1" operator="greaterThanOrEqual">
      <formula>0.5</formula>
    </cfRule>
  </conditionalFormatting>
  <conditionalFormatting sqref="H5">
    <cfRule type="cellIs" dxfId="39797" priority="53118" stopIfTrue="1" operator="equal">
      <formula>-1</formula>
    </cfRule>
  </conditionalFormatting>
  <conditionalFormatting sqref="H5">
    <cfRule type="cellIs" dxfId="39796" priority="53119" stopIfTrue="1" operator="lessThan">
      <formula>0.5</formula>
    </cfRule>
  </conditionalFormatting>
  <conditionalFormatting sqref="H5">
    <cfRule type="cellIs" dxfId="39795" priority="53120" stopIfTrue="1" operator="greaterThanOrEqual">
      <formula>0.5</formula>
    </cfRule>
  </conditionalFormatting>
  <conditionalFormatting sqref="H6">
    <cfRule type="cellIs" dxfId="39794" priority="53121" stopIfTrue="1" operator="equal">
      <formula>-1</formula>
    </cfRule>
  </conditionalFormatting>
  <conditionalFormatting sqref="H6">
    <cfRule type="cellIs" dxfId="39793" priority="53122" stopIfTrue="1" operator="lessThan">
      <formula>0.5</formula>
    </cfRule>
  </conditionalFormatting>
  <conditionalFormatting sqref="H6">
    <cfRule type="cellIs" dxfId="39792" priority="53123" stopIfTrue="1" operator="greaterThanOrEqual">
      <formula>0.5</formula>
    </cfRule>
  </conditionalFormatting>
  <conditionalFormatting sqref="J5">
    <cfRule type="cellIs" dxfId="39791" priority="53124" stopIfTrue="1" operator="equal">
      <formula>-1</formula>
    </cfRule>
  </conditionalFormatting>
  <conditionalFormatting sqref="J5">
    <cfRule type="cellIs" dxfId="39790" priority="53125" stopIfTrue="1" operator="lessThan">
      <formula>0.5</formula>
    </cfRule>
  </conditionalFormatting>
  <conditionalFormatting sqref="J5">
    <cfRule type="cellIs" dxfId="39789" priority="53126" stopIfTrue="1" operator="greaterThanOrEqual">
      <formula>0.5</formula>
    </cfRule>
  </conditionalFormatting>
  <conditionalFormatting sqref="J6">
    <cfRule type="cellIs" dxfId="39788" priority="53127" stopIfTrue="1" operator="equal">
      <formula>-1</formula>
    </cfRule>
  </conditionalFormatting>
  <conditionalFormatting sqref="J6">
    <cfRule type="cellIs" dxfId="39787" priority="53128" stopIfTrue="1" operator="lessThan">
      <formula>0.5</formula>
    </cfRule>
  </conditionalFormatting>
  <conditionalFormatting sqref="J6">
    <cfRule type="cellIs" dxfId="39786" priority="53129" stopIfTrue="1" operator="greaterThanOrEqual">
      <formula>0.5</formula>
    </cfRule>
  </conditionalFormatting>
  <conditionalFormatting sqref="L5">
    <cfRule type="cellIs" dxfId="39785" priority="53130" stopIfTrue="1" operator="equal">
      <formula>-1</formula>
    </cfRule>
  </conditionalFormatting>
  <conditionalFormatting sqref="L5">
    <cfRule type="cellIs" dxfId="39784" priority="53131" stopIfTrue="1" operator="lessThan">
      <formula>0.5</formula>
    </cfRule>
  </conditionalFormatting>
  <conditionalFormatting sqref="L5">
    <cfRule type="cellIs" dxfId="39783" priority="53132" stopIfTrue="1" operator="greaterThanOrEqual">
      <formula>0.5</formula>
    </cfRule>
  </conditionalFormatting>
  <conditionalFormatting sqref="L6">
    <cfRule type="cellIs" dxfId="39782" priority="53133" stopIfTrue="1" operator="equal">
      <formula>-1</formula>
    </cfRule>
  </conditionalFormatting>
  <conditionalFormatting sqref="L6">
    <cfRule type="cellIs" dxfId="39781" priority="53134" stopIfTrue="1" operator="lessThan">
      <formula>0.5</formula>
    </cfRule>
  </conditionalFormatting>
  <conditionalFormatting sqref="L6">
    <cfRule type="cellIs" dxfId="39780" priority="53135" stopIfTrue="1" operator="greaterThanOrEqual">
      <formula>0.5</formula>
    </cfRule>
  </conditionalFormatting>
  <conditionalFormatting sqref="N5">
    <cfRule type="cellIs" dxfId="39779" priority="53136" stopIfTrue="1" operator="equal">
      <formula>-1</formula>
    </cfRule>
  </conditionalFormatting>
  <conditionalFormatting sqref="N5">
    <cfRule type="cellIs" dxfId="39778" priority="53137" stopIfTrue="1" operator="lessThan">
      <formula>0.5</formula>
    </cfRule>
  </conditionalFormatting>
  <conditionalFormatting sqref="N5">
    <cfRule type="cellIs" dxfId="39777" priority="53138" stopIfTrue="1" operator="greaterThanOrEqual">
      <formula>0.5</formula>
    </cfRule>
  </conditionalFormatting>
  <conditionalFormatting sqref="N6">
    <cfRule type="cellIs" dxfId="39776" priority="53139" stopIfTrue="1" operator="equal">
      <formula>-1</formula>
    </cfRule>
  </conditionalFormatting>
  <conditionalFormatting sqref="N6">
    <cfRule type="cellIs" dxfId="39775" priority="53140" stopIfTrue="1" operator="lessThan">
      <formula>0.5</formula>
    </cfRule>
  </conditionalFormatting>
  <conditionalFormatting sqref="N6">
    <cfRule type="cellIs" dxfId="39774" priority="53141" stopIfTrue="1" operator="greaterThanOrEqual">
      <formula>0.5</formula>
    </cfRule>
  </conditionalFormatting>
  <conditionalFormatting sqref="P5">
    <cfRule type="cellIs" dxfId="39773" priority="53142" stopIfTrue="1" operator="equal">
      <formula>-1</formula>
    </cfRule>
  </conditionalFormatting>
  <conditionalFormatting sqref="P5">
    <cfRule type="cellIs" dxfId="39772" priority="53143" stopIfTrue="1" operator="lessThan">
      <formula>0.5</formula>
    </cfRule>
  </conditionalFormatting>
  <conditionalFormatting sqref="P5">
    <cfRule type="cellIs" dxfId="39771" priority="53144" stopIfTrue="1" operator="greaterThanOrEqual">
      <formula>0.5</formula>
    </cfRule>
  </conditionalFormatting>
  <conditionalFormatting sqref="P6">
    <cfRule type="cellIs" dxfId="39770" priority="53145" stopIfTrue="1" operator="equal">
      <formula>-1</formula>
    </cfRule>
  </conditionalFormatting>
  <conditionalFormatting sqref="P6">
    <cfRule type="cellIs" dxfId="39769" priority="53146" stopIfTrue="1" operator="lessThan">
      <formula>0.5</formula>
    </cfRule>
  </conditionalFormatting>
  <conditionalFormatting sqref="P6">
    <cfRule type="cellIs" dxfId="39768" priority="53147" stopIfTrue="1" operator="greaterThanOrEqual">
      <formula>0.5</formula>
    </cfRule>
  </conditionalFormatting>
  <conditionalFormatting sqref="R5">
    <cfRule type="cellIs" dxfId="39767" priority="53148" stopIfTrue="1" operator="equal">
      <formula>-1</formula>
    </cfRule>
  </conditionalFormatting>
  <conditionalFormatting sqref="R5">
    <cfRule type="cellIs" dxfId="39766" priority="53149" stopIfTrue="1" operator="lessThan">
      <formula>0.5</formula>
    </cfRule>
  </conditionalFormatting>
  <conditionalFormatting sqref="R5">
    <cfRule type="cellIs" dxfId="39765" priority="53150" stopIfTrue="1" operator="greaterThanOrEqual">
      <formula>0.5</formula>
    </cfRule>
  </conditionalFormatting>
  <conditionalFormatting sqref="R6">
    <cfRule type="cellIs" dxfId="39764" priority="53151" stopIfTrue="1" operator="equal">
      <formula>-1</formula>
    </cfRule>
  </conditionalFormatting>
  <conditionalFormatting sqref="R6">
    <cfRule type="cellIs" dxfId="39763" priority="53152" stopIfTrue="1" operator="lessThan">
      <formula>0.5</formula>
    </cfRule>
  </conditionalFormatting>
  <conditionalFormatting sqref="R6">
    <cfRule type="cellIs" dxfId="39762" priority="53153" stopIfTrue="1" operator="greaterThanOrEqual">
      <formula>0.5</formula>
    </cfRule>
  </conditionalFormatting>
  <conditionalFormatting sqref="T5">
    <cfRule type="cellIs" dxfId="39761" priority="53154" stopIfTrue="1" operator="equal">
      <formula>-1</formula>
    </cfRule>
  </conditionalFormatting>
  <conditionalFormatting sqref="T5">
    <cfRule type="cellIs" dxfId="39760" priority="53155" stopIfTrue="1" operator="lessThan">
      <formula>0.5</formula>
    </cfRule>
  </conditionalFormatting>
  <conditionalFormatting sqref="T5">
    <cfRule type="cellIs" dxfId="39759" priority="53156" stopIfTrue="1" operator="greaterThanOrEqual">
      <formula>0.5</formula>
    </cfRule>
  </conditionalFormatting>
  <conditionalFormatting sqref="T6">
    <cfRule type="cellIs" dxfId="39758" priority="53157" stopIfTrue="1" operator="equal">
      <formula>-1</formula>
    </cfRule>
  </conditionalFormatting>
  <conditionalFormatting sqref="T6">
    <cfRule type="cellIs" dxfId="39757" priority="53158" stopIfTrue="1" operator="lessThan">
      <formula>0.5</formula>
    </cfRule>
  </conditionalFormatting>
  <conditionalFormatting sqref="T6">
    <cfRule type="cellIs" dxfId="39756" priority="53159" stopIfTrue="1" operator="greaterThanOrEqual">
      <formula>0.5</formula>
    </cfRule>
  </conditionalFormatting>
  <conditionalFormatting sqref="V5">
    <cfRule type="cellIs" dxfId="39755" priority="53160" stopIfTrue="1" operator="equal">
      <formula>-1</formula>
    </cfRule>
  </conditionalFormatting>
  <conditionalFormatting sqref="V5">
    <cfRule type="cellIs" dxfId="39754" priority="53161" stopIfTrue="1" operator="lessThan">
      <formula>0.5</formula>
    </cfRule>
  </conditionalFormatting>
  <conditionalFormatting sqref="V5">
    <cfRule type="cellIs" dxfId="39753" priority="53162" stopIfTrue="1" operator="greaterThanOrEqual">
      <formula>0.5</formula>
    </cfRule>
  </conditionalFormatting>
  <conditionalFormatting sqref="V6">
    <cfRule type="cellIs" dxfId="39752" priority="53163" stopIfTrue="1" operator="equal">
      <formula>-1</formula>
    </cfRule>
  </conditionalFormatting>
  <conditionalFormatting sqref="V6">
    <cfRule type="cellIs" dxfId="39751" priority="53164" stopIfTrue="1" operator="lessThan">
      <formula>0.5</formula>
    </cfRule>
  </conditionalFormatting>
  <conditionalFormatting sqref="V6">
    <cfRule type="cellIs" dxfId="39750" priority="53165" stopIfTrue="1" operator="greaterThanOrEqual">
      <formula>0.5</formula>
    </cfRule>
  </conditionalFormatting>
  <conditionalFormatting sqref="X5">
    <cfRule type="cellIs" dxfId="39749" priority="53166" stopIfTrue="1" operator="equal">
      <formula>-1</formula>
    </cfRule>
  </conditionalFormatting>
  <conditionalFormatting sqref="X5">
    <cfRule type="cellIs" dxfId="39748" priority="53167" stopIfTrue="1" operator="lessThan">
      <formula>0.5</formula>
    </cfRule>
  </conditionalFormatting>
  <conditionalFormatting sqref="X5">
    <cfRule type="cellIs" dxfId="39747" priority="53168" stopIfTrue="1" operator="greaterThanOrEqual">
      <formula>0.5</formula>
    </cfRule>
  </conditionalFormatting>
  <conditionalFormatting sqref="X6">
    <cfRule type="cellIs" dxfId="39746" priority="53169" stopIfTrue="1" operator="equal">
      <formula>-1</formula>
    </cfRule>
  </conditionalFormatting>
  <conditionalFormatting sqref="X6">
    <cfRule type="cellIs" dxfId="39745" priority="53170" stopIfTrue="1" operator="lessThan">
      <formula>0.5</formula>
    </cfRule>
  </conditionalFormatting>
  <conditionalFormatting sqref="X6">
    <cfRule type="cellIs" dxfId="39744" priority="53171" stopIfTrue="1" operator="greaterThanOrEqual">
      <formula>0.5</formula>
    </cfRule>
  </conditionalFormatting>
  <conditionalFormatting sqref="Z5">
    <cfRule type="cellIs" dxfId="39743" priority="53172" stopIfTrue="1" operator="equal">
      <formula>-1</formula>
    </cfRule>
  </conditionalFormatting>
  <conditionalFormatting sqref="Z5">
    <cfRule type="cellIs" dxfId="39742" priority="53173" stopIfTrue="1" operator="lessThan">
      <formula>0.5</formula>
    </cfRule>
  </conditionalFormatting>
  <conditionalFormatting sqref="Z5">
    <cfRule type="cellIs" dxfId="39741" priority="53174" stopIfTrue="1" operator="greaterThanOrEqual">
      <formula>0.5</formula>
    </cfRule>
  </conditionalFormatting>
  <conditionalFormatting sqref="Z6">
    <cfRule type="cellIs" dxfId="39740" priority="53175" stopIfTrue="1" operator="equal">
      <formula>-1</formula>
    </cfRule>
  </conditionalFormatting>
  <conditionalFormatting sqref="Z6">
    <cfRule type="cellIs" dxfId="39739" priority="53176" stopIfTrue="1" operator="lessThan">
      <formula>0.5</formula>
    </cfRule>
  </conditionalFormatting>
  <conditionalFormatting sqref="Z6">
    <cfRule type="cellIs" dxfId="39738" priority="53177" stopIfTrue="1" operator="greaterThanOrEqual">
      <formula>0.5</formula>
    </cfRule>
  </conditionalFormatting>
  <conditionalFormatting sqref="AB5">
    <cfRule type="cellIs" dxfId="39737" priority="53178" stopIfTrue="1" operator="equal">
      <formula>-1</formula>
    </cfRule>
  </conditionalFormatting>
  <conditionalFormatting sqref="AB5">
    <cfRule type="cellIs" dxfId="39736" priority="53179" stopIfTrue="1" operator="lessThan">
      <formula>0.5</formula>
    </cfRule>
  </conditionalFormatting>
  <conditionalFormatting sqref="AB5">
    <cfRule type="cellIs" dxfId="39735" priority="53180" stopIfTrue="1" operator="greaterThanOrEqual">
      <formula>0.5</formula>
    </cfRule>
  </conditionalFormatting>
  <conditionalFormatting sqref="AB6">
    <cfRule type="cellIs" dxfId="39734" priority="53181" stopIfTrue="1" operator="equal">
      <formula>-1</formula>
    </cfRule>
  </conditionalFormatting>
  <conditionalFormatting sqref="AB6">
    <cfRule type="cellIs" dxfId="39733" priority="53182" stopIfTrue="1" operator="lessThan">
      <formula>0.5</formula>
    </cfRule>
  </conditionalFormatting>
  <conditionalFormatting sqref="AB6">
    <cfRule type="cellIs" dxfId="39732" priority="53183" stopIfTrue="1" operator="greaterThanOrEqual">
      <formula>0.5</formula>
    </cfRule>
  </conditionalFormatting>
  <conditionalFormatting sqref="AD5">
    <cfRule type="cellIs" dxfId="39731" priority="53184" stopIfTrue="1" operator="equal">
      <formula>-1</formula>
    </cfRule>
  </conditionalFormatting>
  <conditionalFormatting sqref="AD5">
    <cfRule type="cellIs" dxfId="39730" priority="53185" stopIfTrue="1" operator="lessThan">
      <formula>0.5</formula>
    </cfRule>
  </conditionalFormatting>
  <conditionalFormatting sqref="AD5">
    <cfRule type="cellIs" dxfId="39729" priority="53186" stopIfTrue="1" operator="greaterThanOrEqual">
      <formula>0.5</formula>
    </cfRule>
  </conditionalFormatting>
  <conditionalFormatting sqref="AD6">
    <cfRule type="cellIs" dxfId="39728" priority="53187" stopIfTrue="1" operator="equal">
      <formula>-1</formula>
    </cfRule>
  </conditionalFormatting>
  <conditionalFormatting sqref="AD6">
    <cfRule type="cellIs" dxfId="39727" priority="53188" stopIfTrue="1" operator="lessThan">
      <formula>0.5</formula>
    </cfRule>
  </conditionalFormatting>
  <conditionalFormatting sqref="AD6">
    <cfRule type="cellIs" dxfId="39726" priority="53189" stopIfTrue="1" operator="greaterThanOrEqual">
      <formula>0.5</formula>
    </cfRule>
  </conditionalFormatting>
  <conditionalFormatting sqref="AF5">
    <cfRule type="cellIs" dxfId="39725" priority="53190" stopIfTrue="1" operator="equal">
      <formula>-1</formula>
    </cfRule>
  </conditionalFormatting>
  <conditionalFormatting sqref="AF5">
    <cfRule type="cellIs" dxfId="39724" priority="53191" stopIfTrue="1" operator="lessThan">
      <formula>0.5</formula>
    </cfRule>
  </conditionalFormatting>
  <conditionalFormatting sqref="AF5">
    <cfRule type="cellIs" dxfId="39723" priority="53192" stopIfTrue="1" operator="greaterThanOrEqual">
      <formula>0.5</formula>
    </cfRule>
  </conditionalFormatting>
  <conditionalFormatting sqref="AF6">
    <cfRule type="cellIs" dxfId="39722" priority="53193" stopIfTrue="1" operator="equal">
      <formula>-1</formula>
    </cfRule>
  </conditionalFormatting>
  <conditionalFormatting sqref="AF6">
    <cfRule type="cellIs" dxfId="39721" priority="53194" stopIfTrue="1" operator="lessThan">
      <formula>0.5</formula>
    </cfRule>
  </conditionalFormatting>
  <conditionalFormatting sqref="AF6">
    <cfRule type="cellIs" dxfId="39720" priority="53195" stopIfTrue="1" operator="greaterThanOrEqual">
      <formula>0.5</formula>
    </cfRule>
  </conditionalFormatting>
  <conditionalFormatting sqref="AH5">
    <cfRule type="cellIs" dxfId="39719" priority="53196" stopIfTrue="1" operator="equal">
      <formula>-1</formula>
    </cfRule>
  </conditionalFormatting>
  <conditionalFormatting sqref="AH5">
    <cfRule type="cellIs" dxfId="39718" priority="53197" stopIfTrue="1" operator="lessThan">
      <formula>0.5</formula>
    </cfRule>
  </conditionalFormatting>
  <conditionalFormatting sqref="AH5">
    <cfRule type="cellIs" dxfId="39717" priority="53198" stopIfTrue="1" operator="greaterThanOrEqual">
      <formula>0.5</formula>
    </cfRule>
  </conditionalFormatting>
  <conditionalFormatting sqref="AH6">
    <cfRule type="cellIs" dxfId="39716" priority="53199" stopIfTrue="1" operator="equal">
      <formula>-1</formula>
    </cfRule>
  </conditionalFormatting>
  <conditionalFormatting sqref="AH6">
    <cfRule type="cellIs" dxfId="39715" priority="53200" stopIfTrue="1" operator="lessThan">
      <formula>0.5</formula>
    </cfRule>
  </conditionalFormatting>
  <conditionalFormatting sqref="AH6">
    <cfRule type="cellIs" dxfId="39714" priority="53201" stopIfTrue="1" operator="greaterThanOrEqual">
      <formula>0.5</formula>
    </cfRule>
  </conditionalFormatting>
  <conditionalFormatting sqref="AJ5">
    <cfRule type="cellIs" dxfId="39713" priority="53202" stopIfTrue="1" operator="equal">
      <formula>-1</formula>
    </cfRule>
  </conditionalFormatting>
  <conditionalFormatting sqref="AJ5">
    <cfRule type="cellIs" dxfId="39712" priority="53203" stopIfTrue="1" operator="lessThan">
      <formula>0.5</formula>
    </cfRule>
  </conditionalFormatting>
  <conditionalFormatting sqref="AJ5">
    <cfRule type="cellIs" dxfId="39711" priority="53204" stopIfTrue="1" operator="greaterThanOrEqual">
      <formula>0.5</formula>
    </cfRule>
  </conditionalFormatting>
  <conditionalFormatting sqref="AJ6">
    <cfRule type="cellIs" dxfId="39710" priority="53205" stopIfTrue="1" operator="equal">
      <formula>-1</formula>
    </cfRule>
  </conditionalFormatting>
  <conditionalFormatting sqref="AJ6">
    <cfRule type="cellIs" dxfId="39709" priority="53206" stopIfTrue="1" operator="lessThan">
      <formula>0.5</formula>
    </cfRule>
  </conditionalFormatting>
  <conditionalFormatting sqref="AJ6">
    <cfRule type="cellIs" dxfId="39708" priority="53207" stopIfTrue="1" operator="greaterThanOrEqual">
      <formula>0.5</formula>
    </cfRule>
  </conditionalFormatting>
  <conditionalFormatting sqref="AL5">
    <cfRule type="cellIs" dxfId="39707" priority="53208" stopIfTrue="1" operator="equal">
      <formula>-1</formula>
    </cfRule>
  </conditionalFormatting>
  <conditionalFormatting sqref="AL5">
    <cfRule type="cellIs" dxfId="39706" priority="53209" stopIfTrue="1" operator="lessThan">
      <formula>0.5</formula>
    </cfRule>
  </conditionalFormatting>
  <conditionalFormatting sqref="AL5">
    <cfRule type="cellIs" dxfId="39705" priority="53210" stopIfTrue="1" operator="greaterThanOrEqual">
      <formula>0.5</formula>
    </cfRule>
  </conditionalFormatting>
  <conditionalFormatting sqref="AL6">
    <cfRule type="cellIs" dxfId="39704" priority="53211" stopIfTrue="1" operator="equal">
      <formula>-1</formula>
    </cfRule>
  </conditionalFormatting>
  <conditionalFormatting sqref="AL6">
    <cfRule type="cellIs" dxfId="39703" priority="53212" stopIfTrue="1" operator="lessThan">
      <formula>0.5</formula>
    </cfRule>
  </conditionalFormatting>
  <conditionalFormatting sqref="AL6">
    <cfRule type="cellIs" dxfId="39702" priority="53213" stopIfTrue="1" operator="greaterThanOrEqual">
      <formula>0.5</formula>
    </cfRule>
  </conditionalFormatting>
  <conditionalFormatting sqref="AN5">
    <cfRule type="cellIs" dxfId="39701" priority="53214" stopIfTrue="1" operator="equal">
      <formula>-1</formula>
    </cfRule>
  </conditionalFormatting>
  <conditionalFormatting sqref="AN5">
    <cfRule type="cellIs" dxfId="39700" priority="53215" stopIfTrue="1" operator="lessThan">
      <formula>0.5</formula>
    </cfRule>
  </conditionalFormatting>
  <conditionalFormatting sqref="AN5">
    <cfRule type="cellIs" dxfId="39699" priority="53216" stopIfTrue="1" operator="greaterThanOrEqual">
      <formula>0.5</formula>
    </cfRule>
  </conditionalFormatting>
  <conditionalFormatting sqref="AN6">
    <cfRule type="cellIs" dxfId="39698" priority="53217" stopIfTrue="1" operator="equal">
      <formula>-1</formula>
    </cfRule>
  </conditionalFormatting>
  <conditionalFormatting sqref="AN6">
    <cfRule type="cellIs" dxfId="39697" priority="53218" stopIfTrue="1" operator="lessThan">
      <formula>0.5</formula>
    </cfRule>
  </conditionalFormatting>
  <conditionalFormatting sqref="AN6">
    <cfRule type="cellIs" dxfId="39696" priority="53219" stopIfTrue="1" operator="greaterThanOrEqual">
      <formula>0.5</formula>
    </cfRule>
  </conditionalFormatting>
  <conditionalFormatting sqref="AP5">
    <cfRule type="cellIs" dxfId="39695" priority="53220" stopIfTrue="1" operator="equal">
      <formula>-1</formula>
    </cfRule>
  </conditionalFormatting>
  <conditionalFormatting sqref="AP5">
    <cfRule type="cellIs" dxfId="39694" priority="53221" stopIfTrue="1" operator="lessThan">
      <formula>0.5</formula>
    </cfRule>
  </conditionalFormatting>
  <conditionalFormatting sqref="AP5">
    <cfRule type="cellIs" dxfId="39693" priority="53222" stopIfTrue="1" operator="greaterThanOrEqual">
      <formula>0.5</formula>
    </cfRule>
  </conditionalFormatting>
  <conditionalFormatting sqref="AP6">
    <cfRule type="cellIs" dxfId="39692" priority="53223" stopIfTrue="1" operator="equal">
      <formula>-1</formula>
    </cfRule>
  </conditionalFormatting>
  <conditionalFormatting sqref="AP6">
    <cfRule type="cellIs" dxfId="39691" priority="53224" stopIfTrue="1" operator="lessThan">
      <formula>0.5</formula>
    </cfRule>
  </conditionalFormatting>
  <conditionalFormatting sqref="AP6">
    <cfRule type="cellIs" dxfId="39690" priority="53225" stopIfTrue="1" operator="greaterThanOrEqual">
      <formula>0.5</formula>
    </cfRule>
  </conditionalFormatting>
  <conditionalFormatting sqref="AR5">
    <cfRule type="cellIs" dxfId="39689" priority="53226" stopIfTrue="1" operator="equal">
      <formula>-1</formula>
    </cfRule>
  </conditionalFormatting>
  <conditionalFormatting sqref="AR5">
    <cfRule type="cellIs" dxfId="39688" priority="53227" stopIfTrue="1" operator="lessThan">
      <formula>0.5</formula>
    </cfRule>
  </conditionalFormatting>
  <conditionalFormatting sqref="AR5">
    <cfRule type="cellIs" dxfId="39687" priority="53228" stopIfTrue="1" operator="greaterThanOrEqual">
      <formula>0.5</formula>
    </cfRule>
  </conditionalFormatting>
  <conditionalFormatting sqref="AR6">
    <cfRule type="cellIs" dxfId="39686" priority="53229" stopIfTrue="1" operator="equal">
      <formula>-1</formula>
    </cfRule>
  </conditionalFormatting>
  <conditionalFormatting sqref="AR6">
    <cfRule type="cellIs" dxfId="39685" priority="53230" stopIfTrue="1" operator="lessThan">
      <formula>0.5</formula>
    </cfRule>
  </conditionalFormatting>
  <conditionalFormatting sqref="AR6">
    <cfRule type="cellIs" dxfId="39684" priority="53231" stopIfTrue="1" operator="greaterThanOrEqual">
      <formula>0.5</formula>
    </cfRule>
  </conditionalFormatting>
  <conditionalFormatting sqref="AT5">
    <cfRule type="cellIs" dxfId="39683" priority="53232" stopIfTrue="1" operator="equal">
      <formula>-1</formula>
    </cfRule>
  </conditionalFormatting>
  <conditionalFormatting sqref="AT5">
    <cfRule type="cellIs" dxfId="39682" priority="53233" stopIfTrue="1" operator="lessThan">
      <formula>0.5</formula>
    </cfRule>
  </conditionalFormatting>
  <conditionalFormatting sqref="AT5">
    <cfRule type="cellIs" dxfId="39681" priority="53234" stopIfTrue="1" operator="greaterThanOrEqual">
      <formula>0.5</formula>
    </cfRule>
  </conditionalFormatting>
  <conditionalFormatting sqref="AT6">
    <cfRule type="cellIs" dxfId="39680" priority="53235" stopIfTrue="1" operator="equal">
      <formula>-1</formula>
    </cfRule>
  </conditionalFormatting>
  <conditionalFormatting sqref="AT6">
    <cfRule type="cellIs" dxfId="39679" priority="53236" stopIfTrue="1" operator="lessThan">
      <formula>0.5</formula>
    </cfRule>
  </conditionalFormatting>
  <conditionalFormatting sqref="AT6">
    <cfRule type="cellIs" dxfId="39678" priority="53237" stopIfTrue="1" operator="greaterThanOrEqual">
      <formula>0.5</formula>
    </cfRule>
  </conditionalFormatting>
  <conditionalFormatting sqref="AV5">
    <cfRule type="cellIs" dxfId="39677" priority="53238" stopIfTrue="1" operator="equal">
      <formula>-1</formula>
    </cfRule>
  </conditionalFormatting>
  <conditionalFormatting sqref="AV5">
    <cfRule type="cellIs" dxfId="39676" priority="53239" stopIfTrue="1" operator="lessThan">
      <formula>0.5</formula>
    </cfRule>
  </conditionalFormatting>
  <conditionalFormatting sqref="AV5">
    <cfRule type="cellIs" dxfId="39675" priority="53240" stopIfTrue="1" operator="greaterThanOrEqual">
      <formula>0.5</formula>
    </cfRule>
  </conditionalFormatting>
  <conditionalFormatting sqref="AV6">
    <cfRule type="cellIs" dxfId="39674" priority="53241" stopIfTrue="1" operator="equal">
      <formula>-1</formula>
    </cfRule>
  </conditionalFormatting>
  <conditionalFormatting sqref="AV6">
    <cfRule type="cellIs" dxfId="39673" priority="53242" stopIfTrue="1" operator="lessThan">
      <formula>0.5</formula>
    </cfRule>
  </conditionalFormatting>
  <conditionalFormatting sqref="AV6">
    <cfRule type="cellIs" dxfId="39672" priority="53243" stopIfTrue="1" operator="greaterThanOrEqual">
      <formula>0.5</formula>
    </cfRule>
  </conditionalFormatting>
  <conditionalFormatting sqref="AX5">
    <cfRule type="cellIs" dxfId="39671" priority="53244" stopIfTrue="1" operator="equal">
      <formula>-1</formula>
    </cfRule>
  </conditionalFormatting>
  <conditionalFormatting sqref="AX5">
    <cfRule type="cellIs" dxfId="39670" priority="53245" stopIfTrue="1" operator="lessThan">
      <formula>0.5</formula>
    </cfRule>
  </conditionalFormatting>
  <conditionalFormatting sqref="AX5">
    <cfRule type="cellIs" dxfId="39669" priority="53246" stopIfTrue="1" operator="greaterThanOrEqual">
      <formula>0.5</formula>
    </cfRule>
  </conditionalFormatting>
  <conditionalFormatting sqref="AX6">
    <cfRule type="cellIs" dxfId="39668" priority="53247" stopIfTrue="1" operator="equal">
      <formula>-1</formula>
    </cfRule>
  </conditionalFormatting>
  <conditionalFormatting sqref="AX6">
    <cfRule type="cellIs" dxfId="39667" priority="53248" stopIfTrue="1" operator="lessThan">
      <formula>0.5</formula>
    </cfRule>
  </conditionalFormatting>
  <conditionalFormatting sqref="AX6">
    <cfRule type="cellIs" dxfId="39666" priority="53249" stopIfTrue="1" operator="greaterThanOrEqual">
      <formula>0.5</formula>
    </cfRule>
  </conditionalFormatting>
  <conditionalFormatting sqref="AZ5">
    <cfRule type="cellIs" dxfId="39665" priority="53250" stopIfTrue="1" operator="equal">
      <formula>-1</formula>
    </cfRule>
  </conditionalFormatting>
  <conditionalFormatting sqref="AZ5">
    <cfRule type="cellIs" dxfId="39664" priority="53251" stopIfTrue="1" operator="lessThan">
      <formula>0.5</formula>
    </cfRule>
  </conditionalFormatting>
  <conditionalFormatting sqref="AZ5">
    <cfRule type="cellIs" dxfId="39663" priority="53252" stopIfTrue="1" operator="greaterThanOrEqual">
      <formula>0.5</formula>
    </cfRule>
  </conditionalFormatting>
  <conditionalFormatting sqref="AZ6">
    <cfRule type="cellIs" dxfId="39662" priority="53253" stopIfTrue="1" operator="equal">
      <formula>-1</formula>
    </cfRule>
  </conditionalFormatting>
  <conditionalFormatting sqref="AZ6">
    <cfRule type="cellIs" dxfId="39661" priority="53254" stopIfTrue="1" operator="lessThan">
      <formula>0.5</formula>
    </cfRule>
  </conditionalFormatting>
  <conditionalFormatting sqref="AZ6">
    <cfRule type="cellIs" dxfId="39660" priority="53255" stopIfTrue="1" operator="greaterThanOrEqual">
      <formula>0.5</formula>
    </cfRule>
  </conditionalFormatting>
  <conditionalFormatting sqref="BB5">
    <cfRule type="cellIs" dxfId="39659" priority="53256" stopIfTrue="1" operator="equal">
      <formula>-1</formula>
    </cfRule>
  </conditionalFormatting>
  <conditionalFormatting sqref="BB5">
    <cfRule type="cellIs" dxfId="39658" priority="53257" stopIfTrue="1" operator="lessThan">
      <formula>0.5</formula>
    </cfRule>
  </conditionalFormatting>
  <conditionalFormatting sqref="BB5">
    <cfRule type="cellIs" dxfId="39657" priority="53258" stopIfTrue="1" operator="greaterThanOrEqual">
      <formula>0.5</formula>
    </cfRule>
  </conditionalFormatting>
  <conditionalFormatting sqref="BB6">
    <cfRule type="cellIs" dxfId="39656" priority="53259" stopIfTrue="1" operator="equal">
      <formula>-1</formula>
    </cfRule>
  </conditionalFormatting>
  <conditionalFormatting sqref="BB6">
    <cfRule type="cellIs" dxfId="39655" priority="53260" stopIfTrue="1" operator="lessThan">
      <formula>0.5</formula>
    </cfRule>
  </conditionalFormatting>
  <conditionalFormatting sqref="BB6">
    <cfRule type="cellIs" dxfId="39654" priority="53261" stopIfTrue="1" operator="greaterThanOrEqual">
      <formula>0.5</formula>
    </cfRule>
  </conditionalFormatting>
  <conditionalFormatting sqref="BD5">
    <cfRule type="cellIs" dxfId="39653" priority="53262" stopIfTrue="1" operator="equal">
      <formula>-1</formula>
    </cfRule>
  </conditionalFormatting>
  <conditionalFormatting sqref="BD5">
    <cfRule type="cellIs" dxfId="39652" priority="53263" stopIfTrue="1" operator="lessThan">
      <formula>0.5</formula>
    </cfRule>
  </conditionalFormatting>
  <conditionalFormatting sqref="BD5">
    <cfRule type="cellIs" dxfId="39651" priority="53264" stopIfTrue="1" operator="greaterThanOrEqual">
      <formula>0.5</formula>
    </cfRule>
  </conditionalFormatting>
  <conditionalFormatting sqref="BD6">
    <cfRule type="cellIs" dxfId="39650" priority="53265" stopIfTrue="1" operator="equal">
      <formula>-1</formula>
    </cfRule>
  </conditionalFormatting>
  <conditionalFormatting sqref="BD6">
    <cfRule type="cellIs" dxfId="39649" priority="53266" stopIfTrue="1" operator="lessThan">
      <formula>0.5</formula>
    </cfRule>
  </conditionalFormatting>
  <conditionalFormatting sqref="BD6">
    <cfRule type="cellIs" dxfId="39648" priority="53267" stopIfTrue="1" operator="greaterThanOrEqual">
      <formula>0.5</formula>
    </cfRule>
  </conditionalFormatting>
  <conditionalFormatting sqref="BF5">
    <cfRule type="cellIs" dxfId="39647" priority="53268" stopIfTrue="1" operator="equal">
      <formula>-1</formula>
    </cfRule>
  </conditionalFormatting>
  <conditionalFormatting sqref="BF5">
    <cfRule type="cellIs" dxfId="39646" priority="53269" stopIfTrue="1" operator="lessThan">
      <formula>0.5</formula>
    </cfRule>
  </conditionalFormatting>
  <conditionalFormatting sqref="BF5">
    <cfRule type="cellIs" dxfId="39645" priority="53270" stopIfTrue="1" operator="greaterThanOrEqual">
      <formula>0.5</formula>
    </cfRule>
  </conditionalFormatting>
  <conditionalFormatting sqref="BF6">
    <cfRule type="cellIs" dxfId="39644" priority="53271" stopIfTrue="1" operator="equal">
      <formula>-1</formula>
    </cfRule>
  </conditionalFormatting>
  <conditionalFormatting sqref="BF6">
    <cfRule type="cellIs" dxfId="39643" priority="53272" stopIfTrue="1" operator="lessThan">
      <formula>0.5</formula>
    </cfRule>
  </conditionalFormatting>
  <conditionalFormatting sqref="BF6">
    <cfRule type="cellIs" dxfId="39642" priority="53273" stopIfTrue="1" operator="greaterThanOrEqual">
      <formula>0.5</formula>
    </cfRule>
  </conditionalFormatting>
  <conditionalFormatting sqref="BH5">
    <cfRule type="cellIs" dxfId="39641" priority="53274" stopIfTrue="1" operator="equal">
      <formula>-1</formula>
    </cfRule>
  </conditionalFormatting>
  <conditionalFormatting sqref="BH5">
    <cfRule type="cellIs" dxfId="39640" priority="53275" stopIfTrue="1" operator="lessThan">
      <formula>0.5</formula>
    </cfRule>
  </conditionalFormatting>
  <conditionalFormatting sqref="BH5">
    <cfRule type="cellIs" dxfId="39639" priority="53276" stopIfTrue="1" operator="greaterThanOrEqual">
      <formula>0.5</formula>
    </cfRule>
  </conditionalFormatting>
  <conditionalFormatting sqref="BH6">
    <cfRule type="cellIs" dxfId="39638" priority="53277" stopIfTrue="1" operator="equal">
      <formula>-1</formula>
    </cfRule>
  </conditionalFormatting>
  <conditionalFormatting sqref="BH6">
    <cfRule type="cellIs" dxfId="39637" priority="53278" stopIfTrue="1" operator="lessThan">
      <formula>0.5</formula>
    </cfRule>
  </conditionalFormatting>
  <conditionalFormatting sqref="BH6">
    <cfRule type="cellIs" dxfId="39636" priority="53279" stopIfTrue="1" operator="greaterThanOrEqual">
      <formula>0.5</formula>
    </cfRule>
  </conditionalFormatting>
  <conditionalFormatting sqref="BJ5">
    <cfRule type="cellIs" dxfId="39635" priority="53280" stopIfTrue="1" operator="equal">
      <formula>-1</formula>
    </cfRule>
  </conditionalFormatting>
  <conditionalFormatting sqref="BJ5">
    <cfRule type="cellIs" dxfId="39634" priority="53281" stopIfTrue="1" operator="lessThan">
      <formula>0.5</formula>
    </cfRule>
  </conditionalFormatting>
  <conditionalFormatting sqref="BJ5">
    <cfRule type="cellIs" dxfId="39633" priority="53282" stopIfTrue="1" operator="greaterThanOrEqual">
      <formula>0.5</formula>
    </cfRule>
  </conditionalFormatting>
  <conditionalFormatting sqref="BJ6">
    <cfRule type="cellIs" dxfId="39632" priority="53283" stopIfTrue="1" operator="equal">
      <formula>-1</formula>
    </cfRule>
  </conditionalFormatting>
  <conditionalFormatting sqref="BJ6">
    <cfRule type="cellIs" dxfId="39631" priority="53284" stopIfTrue="1" operator="lessThan">
      <formula>0.5</formula>
    </cfRule>
  </conditionalFormatting>
  <conditionalFormatting sqref="BJ6">
    <cfRule type="cellIs" dxfId="39630" priority="53285" stopIfTrue="1" operator="greaterThanOrEqual">
      <formula>0.5</formula>
    </cfRule>
  </conditionalFormatting>
  <conditionalFormatting sqref="D8">
    <cfRule type="cellIs" dxfId="39629" priority="53286" stopIfTrue="1" operator="equal">
      <formula>-1</formula>
    </cfRule>
  </conditionalFormatting>
  <conditionalFormatting sqref="D8">
    <cfRule type="cellIs" dxfId="39628" priority="53287" stopIfTrue="1" operator="lessThan">
      <formula>0.5</formula>
    </cfRule>
  </conditionalFormatting>
  <conditionalFormatting sqref="D8">
    <cfRule type="cellIs" dxfId="39627" priority="53288" stopIfTrue="1" operator="greaterThanOrEqual">
      <formula>0.5</formula>
    </cfRule>
  </conditionalFormatting>
  <conditionalFormatting sqref="D9">
    <cfRule type="cellIs" dxfId="39626" priority="53289" stopIfTrue="1" operator="equal">
      <formula>-1</formula>
    </cfRule>
  </conditionalFormatting>
  <conditionalFormatting sqref="D9">
    <cfRule type="cellIs" dxfId="39625" priority="53290" stopIfTrue="1" operator="lessThan">
      <formula>0.5</formula>
    </cfRule>
  </conditionalFormatting>
  <conditionalFormatting sqref="D9">
    <cfRule type="cellIs" dxfId="39624" priority="53291" stopIfTrue="1" operator="greaterThanOrEqual">
      <formula>0.5</formula>
    </cfRule>
  </conditionalFormatting>
  <conditionalFormatting sqref="D10">
    <cfRule type="cellIs" dxfId="39623" priority="53292" stopIfTrue="1" operator="equal">
      <formula>-1</formula>
    </cfRule>
  </conditionalFormatting>
  <conditionalFormatting sqref="D10">
    <cfRule type="cellIs" dxfId="39622" priority="53293" stopIfTrue="1" operator="lessThan">
      <formula>0.5</formula>
    </cfRule>
  </conditionalFormatting>
  <conditionalFormatting sqref="D10">
    <cfRule type="cellIs" dxfId="39621" priority="53294" stopIfTrue="1" operator="greaterThanOrEqual">
      <formula>0.5</formula>
    </cfRule>
  </conditionalFormatting>
  <conditionalFormatting sqref="D11">
    <cfRule type="cellIs" dxfId="39620" priority="53295" stopIfTrue="1" operator="equal">
      <formula>-1</formula>
    </cfRule>
  </conditionalFormatting>
  <conditionalFormatting sqref="D11">
    <cfRule type="cellIs" dxfId="39619" priority="53296" stopIfTrue="1" operator="lessThan">
      <formula>0.5</formula>
    </cfRule>
  </conditionalFormatting>
  <conditionalFormatting sqref="D11">
    <cfRule type="cellIs" dxfId="39618" priority="53297" stopIfTrue="1" operator="greaterThanOrEqual">
      <formula>0.5</formula>
    </cfRule>
  </conditionalFormatting>
  <conditionalFormatting sqref="D12">
    <cfRule type="cellIs" dxfId="39617" priority="53298" stopIfTrue="1" operator="equal">
      <formula>-1</formula>
    </cfRule>
  </conditionalFormatting>
  <conditionalFormatting sqref="D12">
    <cfRule type="cellIs" dxfId="39616" priority="53299" stopIfTrue="1" operator="lessThan">
      <formula>0.5</formula>
    </cfRule>
  </conditionalFormatting>
  <conditionalFormatting sqref="D12">
    <cfRule type="cellIs" dxfId="39615" priority="53300" stopIfTrue="1" operator="greaterThanOrEqual">
      <formula>0.5</formula>
    </cfRule>
  </conditionalFormatting>
  <conditionalFormatting sqref="D13">
    <cfRule type="cellIs" dxfId="39614" priority="53301" stopIfTrue="1" operator="equal">
      <formula>-1</formula>
    </cfRule>
  </conditionalFormatting>
  <conditionalFormatting sqref="D13">
    <cfRule type="cellIs" dxfId="39613" priority="53302" stopIfTrue="1" operator="lessThan">
      <formula>0.5</formula>
    </cfRule>
  </conditionalFormatting>
  <conditionalFormatting sqref="D13">
    <cfRule type="cellIs" dxfId="39612" priority="53303" stopIfTrue="1" operator="greaterThanOrEqual">
      <formula>0.5</formula>
    </cfRule>
  </conditionalFormatting>
  <conditionalFormatting sqref="D14">
    <cfRule type="cellIs" dxfId="39611" priority="53304" stopIfTrue="1" operator="equal">
      <formula>-1</formula>
    </cfRule>
  </conditionalFormatting>
  <conditionalFormatting sqref="D14">
    <cfRule type="cellIs" dxfId="39610" priority="53305" stopIfTrue="1" operator="lessThan">
      <formula>0.5</formula>
    </cfRule>
  </conditionalFormatting>
  <conditionalFormatting sqref="D14">
    <cfRule type="cellIs" dxfId="39609" priority="53306" stopIfTrue="1" operator="greaterThanOrEqual">
      <formula>0.5</formula>
    </cfRule>
  </conditionalFormatting>
  <conditionalFormatting sqref="D15">
    <cfRule type="cellIs" dxfId="39608" priority="53307" stopIfTrue="1" operator="equal">
      <formula>-1</formula>
    </cfRule>
  </conditionalFormatting>
  <conditionalFormatting sqref="D15">
    <cfRule type="cellIs" dxfId="39607" priority="53308" stopIfTrue="1" operator="lessThan">
      <formula>0.5</formula>
    </cfRule>
  </conditionalFormatting>
  <conditionalFormatting sqref="D15">
    <cfRule type="cellIs" dxfId="39606" priority="53309" stopIfTrue="1" operator="greaterThanOrEqual">
      <formula>0.5</formula>
    </cfRule>
  </conditionalFormatting>
  <conditionalFormatting sqref="F8">
    <cfRule type="cellIs" dxfId="39605" priority="53310" stopIfTrue="1" operator="equal">
      <formula>-1</formula>
    </cfRule>
  </conditionalFormatting>
  <conditionalFormatting sqref="F8">
    <cfRule type="cellIs" dxfId="39604" priority="53311" stopIfTrue="1" operator="lessThan">
      <formula>0.5</formula>
    </cfRule>
  </conditionalFormatting>
  <conditionalFormatting sqref="F8">
    <cfRule type="cellIs" dxfId="39603" priority="53312" stopIfTrue="1" operator="greaterThanOrEqual">
      <formula>0.5</formula>
    </cfRule>
  </conditionalFormatting>
  <conditionalFormatting sqref="F9">
    <cfRule type="cellIs" dxfId="39602" priority="53313" stopIfTrue="1" operator="equal">
      <formula>-1</formula>
    </cfRule>
  </conditionalFormatting>
  <conditionalFormatting sqref="F9">
    <cfRule type="cellIs" dxfId="39601" priority="53314" stopIfTrue="1" operator="lessThan">
      <formula>0.5</formula>
    </cfRule>
  </conditionalFormatting>
  <conditionalFormatting sqref="F9">
    <cfRule type="cellIs" dxfId="39600" priority="53315" stopIfTrue="1" operator="greaterThanOrEqual">
      <formula>0.5</formula>
    </cfRule>
  </conditionalFormatting>
  <conditionalFormatting sqref="F10">
    <cfRule type="cellIs" dxfId="39599" priority="53316" stopIfTrue="1" operator="equal">
      <formula>-1</formula>
    </cfRule>
  </conditionalFormatting>
  <conditionalFormatting sqref="F10">
    <cfRule type="cellIs" dxfId="39598" priority="53317" stopIfTrue="1" operator="lessThan">
      <formula>0.5</formula>
    </cfRule>
  </conditionalFormatting>
  <conditionalFormatting sqref="F10">
    <cfRule type="cellIs" dxfId="39597" priority="53318" stopIfTrue="1" operator="greaterThanOrEqual">
      <formula>0.5</formula>
    </cfRule>
  </conditionalFormatting>
  <conditionalFormatting sqref="F11">
    <cfRule type="cellIs" dxfId="39596" priority="53319" stopIfTrue="1" operator="equal">
      <formula>-1</formula>
    </cfRule>
  </conditionalFormatting>
  <conditionalFormatting sqref="F11">
    <cfRule type="cellIs" dxfId="39595" priority="53320" stopIfTrue="1" operator="lessThan">
      <formula>0.5</formula>
    </cfRule>
  </conditionalFormatting>
  <conditionalFormatting sqref="F11">
    <cfRule type="cellIs" dxfId="39594" priority="53321" stopIfTrue="1" operator="greaterThanOrEqual">
      <formula>0.5</formula>
    </cfRule>
  </conditionalFormatting>
  <conditionalFormatting sqref="F12">
    <cfRule type="cellIs" dxfId="39593" priority="53322" stopIfTrue="1" operator="equal">
      <formula>-1</formula>
    </cfRule>
  </conditionalFormatting>
  <conditionalFormatting sqref="F12">
    <cfRule type="cellIs" dxfId="39592" priority="53323" stopIfTrue="1" operator="lessThan">
      <formula>0.5</formula>
    </cfRule>
  </conditionalFormatting>
  <conditionalFormatting sqref="F12">
    <cfRule type="cellIs" dxfId="39591" priority="53324" stopIfTrue="1" operator="greaterThanOrEqual">
      <formula>0.5</formula>
    </cfRule>
  </conditionalFormatting>
  <conditionalFormatting sqref="F13">
    <cfRule type="cellIs" dxfId="39590" priority="53325" stopIfTrue="1" operator="equal">
      <formula>-1</formula>
    </cfRule>
  </conditionalFormatting>
  <conditionalFormatting sqref="F13">
    <cfRule type="cellIs" dxfId="39589" priority="53326" stopIfTrue="1" operator="lessThan">
      <formula>0.5</formula>
    </cfRule>
  </conditionalFormatting>
  <conditionalFormatting sqref="F13">
    <cfRule type="cellIs" dxfId="39588" priority="53327" stopIfTrue="1" operator="greaterThanOrEqual">
      <formula>0.5</formula>
    </cfRule>
  </conditionalFormatting>
  <conditionalFormatting sqref="F14">
    <cfRule type="cellIs" dxfId="39587" priority="53328" stopIfTrue="1" operator="equal">
      <formula>-1</formula>
    </cfRule>
  </conditionalFormatting>
  <conditionalFormatting sqref="F14">
    <cfRule type="cellIs" dxfId="39586" priority="53329" stopIfTrue="1" operator="lessThan">
      <formula>0.5</formula>
    </cfRule>
  </conditionalFormatting>
  <conditionalFormatting sqref="F14">
    <cfRule type="cellIs" dxfId="39585" priority="53330" stopIfTrue="1" operator="greaterThanOrEqual">
      <formula>0.5</formula>
    </cfRule>
  </conditionalFormatting>
  <conditionalFormatting sqref="F15">
    <cfRule type="cellIs" dxfId="39584" priority="53331" stopIfTrue="1" operator="equal">
      <formula>-1</formula>
    </cfRule>
  </conditionalFormatting>
  <conditionalFormatting sqref="F15">
    <cfRule type="cellIs" dxfId="39583" priority="53332" stopIfTrue="1" operator="lessThan">
      <formula>0.5</formula>
    </cfRule>
  </conditionalFormatting>
  <conditionalFormatting sqref="F15">
    <cfRule type="cellIs" dxfId="39582" priority="53333" stopIfTrue="1" operator="greaterThanOrEqual">
      <formula>0.5</formula>
    </cfRule>
  </conditionalFormatting>
  <conditionalFormatting sqref="H8">
    <cfRule type="cellIs" dxfId="39581" priority="53334" stopIfTrue="1" operator="equal">
      <formula>-1</formula>
    </cfRule>
  </conditionalFormatting>
  <conditionalFormatting sqref="H8">
    <cfRule type="cellIs" dxfId="39580" priority="53335" stopIfTrue="1" operator="lessThan">
      <formula>0.5</formula>
    </cfRule>
  </conditionalFormatting>
  <conditionalFormatting sqref="H8">
    <cfRule type="cellIs" dxfId="39579" priority="53336" stopIfTrue="1" operator="greaterThanOrEqual">
      <formula>0.5</formula>
    </cfRule>
  </conditionalFormatting>
  <conditionalFormatting sqref="H9">
    <cfRule type="cellIs" dxfId="39578" priority="53337" stopIfTrue="1" operator="equal">
      <formula>-1</formula>
    </cfRule>
  </conditionalFormatting>
  <conditionalFormatting sqref="H9">
    <cfRule type="cellIs" dxfId="39577" priority="53338" stopIfTrue="1" operator="lessThan">
      <formula>0.5</formula>
    </cfRule>
  </conditionalFormatting>
  <conditionalFormatting sqref="H9">
    <cfRule type="cellIs" dxfId="39576" priority="53339" stopIfTrue="1" operator="greaterThanOrEqual">
      <formula>0.5</formula>
    </cfRule>
  </conditionalFormatting>
  <conditionalFormatting sqref="H10">
    <cfRule type="cellIs" dxfId="39575" priority="53340" stopIfTrue="1" operator="equal">
      <formula>-1</formula>
    </cfRule>
  </conditionalFormatting>
  <conditionalFormatting sqref="H10">
    <cfRule type="cellIs" dxfId="39574" priority="53341" stopIfTrue="1" operator="lessThan">
      <formula>0.5</formula>
    </cfRule>
  </conditionalFormatting>
  <conditionalFormatting sqref="H10">
    <cfRule type="cellIs" dxfId="39573" priority="53342" stopIfTrue="1" operator="greaterThanOrEqual">
      <formula>0.5</formula>
    </cfRule>
  </conditionalFormatting>
  <conditionalFormatting sqref="H11">
    <cfRule type="cellIs" dxfId="39572" priority="53343" stopIfTrue="1" operator="equal">
      <formula>-1</formula>
    </cfRule>
  </conditionalFormatting>
  <conditionalFormatting sqref="H11">
    <cfRule type="cellIs" dxfId="39571" priority="53344" stopIfTrue="1" operator="lessThan">
      <formula>0.5</formula>
    </cfRule>
  </conditionalFormatting>
  <conditionalFormatting sqref="H11">
    <cfRule type="cellIs" dxfId="39570" priority="53345" stopIfTrue="1" operator="greaterThanOrEqual">
      <formula>0.5</formula>
    </cfRule>
  </conditionalFormatting>
  <conditionalFormatting sqref="H12">
    <cfRule type="cellIs" dxfId="39569" priority="53346" stopIfTrue="1" operator="equal">
      <formula>-1</formula>
    </cfRule>
  </conditionalFormatting>
  <conditionalFormatting sqref="H12">
    <cfRule type="cellIs" dxfId="39568" priority="53347" stopIfTrue="1" operator="lessThan">
      <formula>0.5</formula>
    </cfRule>
  </conditionalFormatting>
  <conditionalFormatting sqref="H12">
    <cfRule type="cellIs" dxfId="39567" priority="53348" stopIfTrue="1" operator="greaterThanOrEqual">
      <formula>0.5</formula>
    </cfRule>
  </conditionalFormatting>
  <conditionalFormatting sqref="H13">
    <cfRule type="cellIs" dxfId="39566" priority="53349" stopIfTrue="1" operator="equal">
      <formula>-1</formula>
    </cfRule>
  </conditionalFormatting>
  <conditionalFormatting sqref="H13">
    <cfRule type="cellIs" dxfId="39565" priority="53350" stopIfTrue="1" operator="lessThan">
      <formula>0.5</formula>
    </cfRule>
  </conditionalFormatting>
  <conditionalFormatting sqref="H13">
    <cfRule type="cellIs" dxfId="39564" priority="53351" stopIfTrue="1" operator="greaterThanOrEqual">
      <formula>0.5</formula>
    </cfRule>
  </conditionalFormatting>
  <conditionalFormatting sqref="H14">
    <cfRule type="cellIs" dxfId="39563" priority="53352" stopIfTrue="1" operator="equal">
      <formula>-1</formula>
    </cfRule>
  </conditionalFormatting>
  <conditionalFormatting sqref="H14">
    <cfRule type="cellIs" dxfId="39562" priority="53353" stopIfTrue="1" operator="lessThan">
      <formula>0.5</formula>
    </cfRule>
  </conditionalFormatting>
  <conditionalFormatting sqref="H14">
    <cfRule type="cellIs" dxfId="39561" priority="53354" stopIfTrue="1" operator="greaterThanOrEqual">
      <formula>0.5</formula>
    </cfRule>
  </conditionalFormatting>
  <conditionalFormatting sqref="H15">
    <cfRule type="cellIs" dxfId="39560" priority="53355" stopIfTrue="1" operator="equal">
      <formula>-1</formula>
    </cfRule>
  </conditionalFormatting>
  <conditionalFormatting sqref="H15">
    <cfRule type="cellIs" dxfId="39559" priority="53356" stopIfTrue="1" operator="lessThan">
      <formula>0.5</formula>
    </cfRule>
  </conditionalFormatting>
  <conditionalFormatting sqref="H15">
    <cfRule type="cellIs" dxfId="39558" priority="53357" stopIfTrue="1" operator="greaterThanOrEqual">
      <formula>0.5</formula>
    </cfRule>
  </conditionalFormatting>
  <conditionalFormatting sqref="J8">
    <cfRule type="cellIs" dxfId="39557" priority="53358" stopIfTrue="1" operator="equal">
      <formula>-1</formula>
    </cfRule>
  </conditionalFormatting>
  <conditionalFormatting sqref="J8">
    <cfRule type="cellIs" dxfId="39556" priority="53359" stopIfTrue="1" operator="lessThan">
      <formula>0.5</formula>
    </cfRule>
  </conditionalFormatting>
  <conditionalFormatting sqref="J8">
    <cfRule type="cellIs" dxfId="39555" priority="53360" stopIfTrue="1" operator="greaterThanOrEqual">
      <formula>0.5</formula>
    </cfRule>
  </conditionalFormatting>
  <conditionalFormatting sqref="J9">
    <cfRule type="cellIs" dxfId="39554" priority="53361" stopIfTrue="1" operator="equal">
      <formula>-1</formula>
    </cfRule>
  </conditionalFormatting>
  <conditionalFormatting sqref="J9">
    <cfRule type="cellIs" dxfId="39553" priority="53362" stopIfTrue="1" operator="lessThan">
      <formula>0.5</formula>
    </cfRule>
  </conditionalFormatting>
  <conditionalFormatting sqref="J9">
    <cfRule type="cellIs" dxfId="39552" priority="53363" stopIfTrue="1" operator="greaterThanOrEqual">
      <formula>0.5</formula>
    </cfRule>
  </conditionalFormatting>
  <conditionalFormatting sqref="J10">
    <cfRule type="cellIs" dxfId="39551" priority="53364" stopIfTrue="1" operator="equal">
      <formula>-1</formula>
    </cfRule>
  </conditionalFormatting>
  <conditionalFormatting sqref="J10">
    <cfRule type="cellIs" dxfId="39550" priority="53365" stopIfTrue="1" operator="lessThan">
      <formula>0.5</formula>
    </cfRule>
  </conditionalFormatting>
  <conditionalFormatting sqref="J10">
    <cfRule type="cellIs" dxfId="39549" priority="53366" stopIfTrue="1" operator="greaterThanOrEqual">
      <formula>0.5</formula>
    </cfRule>
  </conditionalFormatting>
  <conditionalFormatting sqref="J11">
    <cfRule type="cellIs" dxfId="39548" priority="53367" stopIfTrue="1" operator="equal">
      <formula>-1</formula>
    </cfRule>
  </conditionalFormatting>
  <conditionalFormatting sqref="J11">
    <cfRule type="cellIs" dxfId="39547" priority="53368" stopIfTrue="1" operator="lessThan">
      <formula>0.5</formula>
    </cfRule>
  </conditionalFormatting>
  <conditionalFormatting sqref="J11">
    <cfRule type="cellIs" dxfId="39546" priority="53369" stopIfTrue="1" operator="greaterThanOrEqual">
      <formula>0.5</formula>
    </cfRule>
  </conditionalFormatting>
  <conditionalFormatting sqref="J12">
    <cfRule type="cellIs" dxfId="39545" priority="53370" stopIfTrue="1" operator="equal">
      <formula>-1</formula>
    </cfRule>
  </conditionalFormatting>
  <conditionalFormatting sqref="J12">
    <cfRule type="cellIs" dxfId="39544" priority="53371" stopIfTrue="1" operator="lessThan">
      <formula>0.5</formula>
    </cfRule>
  </conditionalFormatting>
  <conditionalFormatting sqref="J12">
    <cfRule type="cellIs" dxfId="39543" priority="53372" stopIfTrue="1" operator="greaterThanOrEqual">
      <formula>0.5</formula>
    </cfRule>
  </conditionalFormatting>
  <conditionalFormatting sqref="J13">
    <cfRule type="cellIs" dxfId="39542" priority="53373" stopIfTrue="1" operator="equal">
      <formula>-1</formula>
    </cfRule>
  </conditionalFormatting>
  <conditionalFormatting sqref="J13">
    <cfRule type="cellIs" dxfId="39541" priority="53374" stopIfTrue="1" operator="lessThan">
      <formula>0.5</formula>
    </cfRule>
  </conditionalFormatting>
  <conditionalFormatting sqref="J13">
    <cfRule type="cellIs" dxfId="39540" priority="53375" stopIfTrue="1" operator="greaterThanOrEqual">
      <formula>0.5</formula>
    </cfRule>
  </conditionalFormatting>
  <conditionalFormatting sqref="J14">
    <cfRule type="cellIs" dxfId="39539" priority="53376" stopIfTrue="1" operator="equal">
      <formula>-1</formula>
    </cfRule>
  </conditionalFormatting>
  <conditionalFormatting sqref="J14">
    <cfRule type="cellIs" dxfId="39538" priority="53377" stopIfTrue="1" operator="lessThan">
      <formula>0.5</formula>
    </cfRule>
  </conditionalFormatting>
  <conditionalFormatting sqref="J14">
    <cfRule type="cellIs" dxfId="39537" priority="53378" stopIfTrue="1" operator="greaterThanOrEqual">
      <formula>0.5</formula>
    </cfRule>
  </conditionalFormatting>
  <conditionalFormatting sqref="J15">
    <cfRule type="cellIs" dxfId="39536" priority="53379" stopIfTrue="1" operator="equal">
      <formula>-1</formula>
    </cfRule>
  </conditionalFormatting>
  <conditionalFormatting sqref="J15">
    <cfRule type="cellIs" dxfId="39535" priority="53380" stopIfTrue="1" operator="lessThan">
      <formula>0.5</formula>
    </cfRule>
  </conditionalFormatting>
  <conditionalFormatting sqref="J15">
    <cfRule type="cellIs" dxfId="39534" priority="53381" stopIfTrue="1" operator="greaterThanOrEqual">
      <formula>0.5</formula>
    </cfRule>
  </conditionalFormatting>
  <conditionalFormatting sqref="L8">
    <cfRule type="cellIs" dxfId="39533" priority="53382" stopIfTrue="1" operator="equal">
      <formula>-1</formula>
    </cfRule>
  </conditionalFormatting>
  <conditionalFormatting sqref="L8">
    <cfRule type="cellIs" dxfId="39532" priority="53383" stopIfTrue="1" operator="lessThan">
      <formula>0.5</formula>
    </cfRule>
  </conditionalFormatting>
  <conditionalFormatting sqref="L8">
    <cfRule type="cellIs" dxfId="39531" priority="53384" stopIfTrue="1" operator="greaterThanOrEqual">
      <formula>0.5</formula>
    </cfRule>
  </conditionalFormatting>
  <conditionalFormatting sqref="L9">
    <cfRule type="cellIs" dxfId="39530" priority="53385" stopIfTrue="1" operator="equal">
      <formula>-1</formula>
    </cfRule>
  </conditionalFormatting>
  <conditionalFormatting sqref="L9">
    <cfRule type="cellIs" dxfId="39529" priority="53386" stopIfTrue="1" operator="lessThan">
      <formula>0.5</formula>
    </cfRule>
  </conditionalFormatting>
  <conditionalFormatting sqref="L9">
    <cfRule type="cellIs" dxfId="39528" priority="53387" stopIfTrue="1" operator="greaterThanOrEqual">
      <formula>0.5</formula>
    </cfRule>
  </conditionalFormatting>
  <conditionalFormatting sqref="L10">
    <cfRule type="cellIs" dxfId="39527" priority="53388" stopIfTrue="1" operator="equal">
      <formula>-1</formula>
    </cfRule>
  </conditionalFormatting>
  <conditionalFormatting sqref="L10">
    <cfRule type="cellIs" dxfId="39526" priority="53389" stopIfTrue="1" operator="lessThan">
      <formula>0.5</formula>
    </cfRule>
  </conditionalFormatting>
  <conditionalFormatting sqref="L10">
    <cfRule type="cellIs" dxfId="39525" priority="53390" stopIfTrue="1" operator="greaterThanOrEqual">
      <formula>0.5</formula>
    </cfRule>
  </conditionalFormatting>
  <conditionalFormatting sqref="L11">
    <cfRule type="cellIs" dxfId="39524" priority="53391" stopIfTrue="1" operator="equal">
      <formula>-1</formula>
    </cfRule>
  </conditionalFormatting>
  <conditionalFormatting sqref="L11">
    <cfRule type="cellIs" dxfId="39523" priority="53392" stopIfTrue="1" operator="lessThan">
      <formula>0.5</formula>
    </cfRule>
  </conditionalFormatting>
  <conditionalFormatting sqref="L11">
    <cfRule type="cellIs" dxfId="39522" priority="53393" stopIfTrue="1" operator="greaterThanOrEqual">
      <formula>0.5</formula>
    </cfRule>
  </conditionalFormatting>
  <conditionalFormatting sqref="L12">
    <cfRule type="cellIs" dxfId="39521" priority="53394" stopIfTrue="1" operator="equal">
      <formula>-1</formula>
    </cfRule>
  </conditionalFormatting>
  <conditionalFormatting sqref="L12">
    <cfRule type="cellIs" dxfId="39520" priority="53395" stopIfTrue="1" operator="lessThan">
      <formula>0.5</formula>
    </cfRule>
  </conditionalFormatting>
  <conditionalFormatting sqref="L12">
    <cfRule type="cellIs" dxfId="39519" priority="53396" stopIfTrue="1" operator="greaterThanOrEqual">
      <formula>0.5</formula>
    </cfRule>
  </conditionalFormatting>
  <conditionalFormatting sqref="L13">
    <cfRule type="cellIs" dxfId="39518" priority="53397" stopIfTrue="1" operator="equal">
      <formula>-1</formula>
    </cfRule>
  </conditionalFormatting>
  <conditionalFormatting sqref="L13">
    <cfRule type="cellIs" dxfId="39517" priority="53398" stopIfTrue="1" operator="lessThan">
      <formula>0.5</formula>
    </cfRule>
  </conditionalFormatting>
  <conditionalFormatting sqref="L13">
    <cfRule type="cellIs" dxfId="39516" priority="53399" stopIfTrue="1" operator="greaterThanOrEqual">
      <formula>0.5</formula>
    </cfRule>
  </conditionalFormatting>
  <conditionalFormatting sqref="L14">
    <cfRule type="cellIs" dxfId="39515" priority="53400" stopIfTrue="1" operator="equal">
      <formula>-1</formula>
    </cfRule>
  </conditionalFormatting>
  <conditionalFormatting sqref="L14">
    <cfRule type="cellIs" dxfId="39514" priority="53401" stopIfTrue="1" operator="lessThan">
      <formula>0.5</formula>
    </cfRule>
  </conditionalFormatting>
  <conditionalFormatting sqref="L14">
    <cfRule type="cellIs" dxfId="39513" priority="53402" stopIfTrue="1" operator="greaterThanOrEqual">
      <formula>0.5</formula>
    </cfRule>
  </conditionalFormatting>
  <conditionalFormatting sqref="L15">
    <cfRule type="cellIs" dxfId="39512" priority="53403" stopIfTrue="1" operator="equal">
      <formula>-1</formula>
    </cfRule>
  </conditionalFormatting>
  <conditionalFormatting sqref="L15">
    <cfRule type="cellIs" dxfId="39511" priority="53404" stopIfTrue="1" operator="lessThan">
      <formula>0.5</formula>
    </cfRule>
  </conditionalFormatting>
  <conditionalFormatting sqref="L15">
    <cfRule type="cellIs" dxfId="39510" priority="53405" stopIfTrue="1" operator="greaterThanOrEqual">
      <formula>0.5</formula>
    </cfRule>
  </conditionalFormatting>
  <conditionalFormatting sqref="N8">
    <cfRule type="cellIs" dxfId="39509" priority="53406" stopIfTrue="1" operator="equal">
      <formula>-1</formula>
    </cfRule>
  </conditionalFormatting>
  <conditionalFormatting sqref="N8">
    <cfRule type="cellIs" dxfId="39508" priority="53407" stopIfTrue="1" operator="lessThan">
      <formula>0.5</formula>
    </cfRule>
  </conditionalFormatting>
  <conditionalFormatting sqref="N8">
    <cfRule type="cellIs" dxfId="39507" priority="53408" stopIfTrue="1" operator="greaterThanOrEqual">
      <formula>0.5</formula>
    </cfRule>
  </conditionalFormatting>
  <conditionalFormatting sqref="N9">
    <cfRule type="cellIs" dxfId="39506" priority="53409" stopIfTrue="1" operator="equal">
      <formula>-1</formula>
    </cfRule>
  </conditionalFormatting>
  <conditionalFormatting sqref="N9">
    <cfRule type="cellIs" dxfId="39505" priority="53410" stopIfTrue="1" operator="lessThan">
      <formula>0.5</formula>
    </cfRule>
  </conditionalFormatting>
  <conditionalFormatting sqref="N9">
    <cfRule type="cellIs" dxfId="39504" priority="53411" stopIfTrue="1" operator="greaterThanOrEqual">
      <formula>0.5</formula>
    </cfRule>
  </conditionalFormatting>
  <conditionalFormatting sqref="N10">
    <cfRule type="cellIs" dxfId="39503" priority="53412" stopIfTrue="1" operator="equal">
      <formula>-1</formula>
    </cfRule>
  </conditionalFormatting>
  <conditionalFormatting sqref="N10">
    <cfRule type="cellIs" dxfId="39502" priority="53413" stopIfTrue="1" operator="lessThan">
      <formula>0.5</formula>
    </cfRule>
  </conditionalFormatting>
  <conditionalFormatting sqref="N10">
    <cfRule type="cellIs" dxfId="39501" priority="53414" stopIfTrue="1" operator="greaterThanOrEqual">
      <formula>0.5</formula>
    </cfRule>
  </conditionalFormatting>
  <conditionalFormatting sqref="N11">
    <cfRule type="cellIs" dxfId="39500" priority="53415" stopIfTrue="1" operator="equal">
      <formula>-1</formula>
    </cfRule>
  </conditionalFormatting>
  <conditionalFormatting sqref="N11">
    <cfRule type="cellIs" dxfId="39499" priority="53416" stopIfTrue="1" operator="lessThan">
      <formula>0.5</formula>
    </cfRule>
  </conditionalFormatting>
  <conditionalFormatting sqref="N11">
    <cfRule type="cellIs" dxfId="39498" priority="53417" stopIfTrue="1" operator="greaterThanOrEqual">
      <formula>0.5</formula>
    </cfRule>
  </conditionalFormatting>
  <conditionalFormatting sqref="N12">
    <cfRule type="cellIs" dxfId="39497" priority="53418" stopIfTrue="1" operator="equal">
      <formula>-1</formula>
    </cfRule>
  </conditionalFormatting>
  <conditionalFormatting sqref="N12">
    <cfRule type="cellIs" dxfId="39496" priority="53419" stopIfTrue="1" operator="lessThan">
      <formula>0.5</formula>
    </cfRule>
  </conditionalFormatting>
  <conditionalFormatting sqref="N12">
    <cfRule type="cellIs" dxfId="39495" priority="53420" stopIfTrue="1" operator="greaterThanOrEqual">
      <formula>0.5</formula>
    </cfRule>
  </conditionalFormatting>
  <conditionalFormatting sqref="N13">
    <cfRule type="cellIs" dxfId="39494" priority="53421" stopIfTrue="1" operator="equal">
      <formula>-1</formula>
    </cfRule>
  </conditionalFormatting>
  <conditionalFormatting sqref="N13">
    <cfRule type="cellIs" dxfId="39493" priority="53422" stopIfTrue="1" operator="lessThan">
      <formula>0.5</formula>
    </cfRule>
  </conditionalFormatting>
  <conditionalFormatting sqref="N13">
    <cfRule type="cellIs" dxfId="39492" priority="53423" stopIfTrue="1" operator="greaterThanOrEqual">
      <formula>0.5</formula>
    </cfRule>
  </conditionalFormatting>
  <conditionalFormatting sqref="N14">
    <cfRule type="cellIs" dxfId="39491" priority="53424" stopIfTrue="1" operator="equal">
      <formula>-1</formula>
    </cfRule>
  </conditionalFormatting>
  <conditionalFormatting sqref="N14">
    <cfRule type="cellIs" dxfId="39490" priority="53425" stopIfTrue="1" operator="lessThan">
      <formula>0.5</formula>
    </cfRule>
  </conditionalFormatting>
  <conditionalFormatting sqref="N14">
    <cfRule type="cellIs" dxfId="39489" priority="53426" stopIfTrue="1" operator="greaterThanOrEqual">
      <formula>0.5</formula>
    </cfRule>
  </conditionalFormatting>
  <conditionalFormatting sqref="N15">
    <cfRule type="cellIs" dxfId="39488" priority="53427" stopIfTrue="1" operator="equal">
      <formula>-1</formula>
    </cfRule>
  </conditionalFormatting>
  <conditionalFormatting sqref="N15">
    <cfRule type="cellIs" dxfId="39487" priority="53428" stopIfTrue="1" operator="lessThan">
      <formula>0.5</formula>
    </cfRule>
  </conditionalFormatting>
  <conditionalFormatting sqref="N15">
    <cfRule type="cellIs" dxfId="39486" priority="53429" stopIfTrue="1" operator="greaterThanOrEqual">
      <formula>0.5</formula>
    </cfRule>
  </conditionalFormatting>
  <conditionalFormatting sqref="P8">
    <cfRule type="cellIs" dxfId="39485" priority="53430" stopIfTrue="1" operator="equal">
      <formula>-1</formula>
    </cfRule>
  </conditionalFormatting>
  <conditionalFormatting sqref="P8">
    <cfRule type="cellIs" dxfId="39484" priority="53431" stopIfTrue="1" operator="lessThan">
      <formula>0.5</formula>
    </cfRule>
  </conditionalFormatting>
  <conditionalFormatting sqref="P8">
    <cfRule type="cellIs" dxfId="39483" priority="53432" stopIfTrue="1" operator="greaterThanOrEqual">
      <formula>0.5</formula>
    </cfRule>
  </conditionalFormatting>
  <conditionalFormatting sqref="P9">
    <cfRule type="cellIs" dxfId="39482" priority="53433" stopIfTrue="1" operator="equal">
      <formula>-1</formula>
    </cfRule>
  </conditionalFormatting>
  <conditionalFormatting sqref="P9">
    <cfRule type="cellIs" dxfId="39481" priority="53434" stopIfTrue="1" operator="lessThan">
      <formula>0.5</formula>
    </cfRule>
  </conditionalFormatting>
  <conditionalFormatting sqref="P9">
    <cfRule type="cellIs" dxfId="39480" priority="53435" stopIfTrue="1" operator="greaterThanOrEqual">
      <formula>0.5</formula>
    </cfRule>
  </conditionalFormatting>
  <conditionalFormatting sqref="P10">
    <cfRule type="cellIs" dxfId="39479" priority="53436" stopIfTrue="1" operator="equal">
      <formula>-1</formula>
    </cfRule>
  </conditionalFormatting>
  <conditionalFormatting sqref="P10">
    <cfRule type="cellIs" dxfId="39478" priority="53437" stopIfTrue="1" operator="lessThan">
      <formula>0.5</formula>
    </cfRule>
  </conditionalFormatting>
  <conditionalFormatting sqref="P10">
    <cfRule type="cellIs" dxfId="39477" priority="53438" stopIfTrue="1" operator="greaterThanOrEqual">
      <formula>0.5</formula>
    </cfRule>
  </conditionalFormatting>
  <conditionalFormatting sqref="P11">
    <cfRule type="cellIs" dxfId="39476" priority="53439" stopIfTrue="1" operator="equal">
      <formula>-1</formula>
    </cfRule>
  </conditionalFormatting>
  <conditionalFormatting sqref="P11">
    <cfRule type="cellIs" dxfId="39475" priority="53440" stopIfTrue="1" operator="lessThan">
      <formula>0.5</formula>
    </cfRule>
  </conditionalFormatting>
  <conditionalFormatting sqref="P11">
    <cfRule type="cellIs" dxfId="39474" priority="53441" stopIfTrue="1" operator="greaterThanOrEqual">
      <formula>0.5</formula>
    </cfRule>
  </conditionalFormatting>
  <conditionalFormatting sqref="P12">
    <cfRule type="cellIs" dxfId="39473" priority="53442" stopIfTrue="1" operator="equal">
      <formula>-1</formula>
    </cfRule>
  </conditionalFormatting>
  <conditionalFormatting sqref="P12">
    <cfRule type="cellIs" dxfId="39472" priority="53443" stopIfTrue="1" operator="lessThan">
      <formula>0.5</formula>
    </cfRule>
  </conditionalFormatting>
  <conditionalFormatting sqref="P12">
    <cfRule type="cellIs" dxfId="39471" priority="53444" stopIfTrue="1" operator="greaterThanOrEqual">
      <formula>0.5</formula>
    </cfRule>
  </conditionalFormatting>
  <conditionalFormatting sqref="P13">
    <cfRule type="cellIs" dxfId="39470" priority="53445" stopIfTrue="1" operator="equal">
      <formula>-1</formula>
    </cfRule>
  </conditionalFormatting>
  <conditionalFormatting sqref="P13">
    <cfRule type="cellIs" dxfId="39469" priority="53446" stopIfTrue="1" operator="lessThan">
      <formula>0.5</formula>
    </cfRule>
  </conditionalFormatting>
  <conditionalFormatting sqref="P13">
    <cfRule type="cellIs" dxfId="39468" priority="53447" stopIfTrue="1" operator="greaterThanOrEqual">
      <formula>0.5</formula>
    </cfRule>
  </conditionalFormatting>
  <conditionalFormatting sqref="P14">
    <cfRule type="cellIs" dxfId="39467" priority="53448" stopIfTrue="1" operator="equal">
      <formula>-1</formula>
    </cfRule>
  </conditionalFormatting>
  <conditionalFormatting sqref="P14">
    <cfRule type="cellIs" dxfId="39466" priority="53449" stopIfTrue="1" operator="lessThan">
      <formula>0.5</formula>
    </cfRule>
  </conditionalFormatting>
  <conditionalFormatting sqref="P14">
    <cfRule type="cellIs" dxfId="39465" priority="53450" stopIfTrue="1" operator="greaterThanOrEqual">
      <formula>0.5</formula>
    </cfRule>
  </conditionalFormatting>
  <conditionalFormatting sqref="P15">
    <cfRule type="cellIs" dxfId="39464" priority="53451" stopIfTrue="1" operator="equal">
      <formula>-1</formula>
    </cfRule>
  </conditionalFormatting>
  <conditionalFormatting sqref="P15">
    <cfRule type="cellIs" dxfId="39463" priority="53452" stopIfTrue="1" operator="lessThan">
      <formula>0.5</formula>
    </cfRule>
  </conditionalFormatting>
  <conditionalFormatting sqref="P15">
    <cfRule type="cellIs" dxfId="39462" priority="53453" stopIfTrue="1" operator="greaterThanOrEqual">
      <formula>0.5</formula>
    </cfRule>
  </conditionalFormatting>
  <conditionalFormatting sqref="R8">
    <cfRule type="cellIs" dxfId="39461" priority="53454" stopIfTrue="1" operator="equal">
      <formula>-1</formula>
    </cfRule>
  </conditionalFormatting>
  <conditionalFormatting sqref="R8">
    <cfRule type="cellIs" dxfId="39460" priority="53455" stopIfTrue="1" operator="lessThan">
      <formula>0.5</formula>
    </cfRule>
  </conditionalFormatting>
  <conditionalFormatting sqref="R8">
    <cfRule type="cellIs" dxfId="39459" priority="53456" stopIfTrue="1" operator="greaterThanOrEqual">
      <formula>0.5</formula>
    </cfRule>
  </conditionalFormatting>
  <conditionalFormatting sqref="R9">
    <cfRule type="cellIs" dxfId="39458" priority="53457" stopIfTrue="1" operator="equal">
      <formula>-1</formula>
    </cfRule>
  </conditionalFormatting>
  <conditionalFormatting sqref="R9">
    <cfRule type="cellIs" dxfId="39457" priority="53458" stopIfTrue="1" operator="lessThan">
      <formula>0.5</formula>
    </cfRule>
  </conditionalFormatting>
  <conditionalFormatting sqref="R9">
    <cfRule type="cellIs" dxfId="39456" priority="53459" stopIfTrue="1" operator="greaterThanOrEqual">
      <formula>0.5</formula>
    </cfRule>
  </conditionalFormatting>
  <conditionalFormatting sqref="R10">
    <cfRule type="cellIs" dxfId="39455" priority="53460" stopIfTrue="1" operator="equal">
      <formula>-1</formula>
    </cfRule>
  </conditionalFormatting>
  <conditionalFormatting sqref="R10">
    <cfRule type="cellIs" dxfId="39454" priority="53461" stopIfTrue="1" operator="lessThan">
      <formula>0.5</formula>
    </cfRule>
  </conditionalFormatting>
  <conditionalFormatting sqref="R10">
    <cfRule type="cellIs" dxfId="39453" priority="53462" stopIfTrue="1" operator="greaterThanOrEqual">
      <formula>0.5</formula>
    </cfRule>
  </conditionalFormatting>
  <conditionalFormatting sqref="R11">
    <cfRule type="cellIs" dxfId="39452" priority="53463" stopIfTrue="1" operator="equal">
      <formula>-1</formula>
    </cfRule>
  </conditionalFormatting>
  <conditionalFormatting sqref="R11">
    <cfRule type="cellIs" dxfId="39451" priority="53464" stopIfTrue="1" operator="lessThan">
      <formula>0.5</formula>
    </cfRule>
  </conditionalFormatting>
  <conditionalFormatting sqref="R11">
    <cfRule type="cellIs" dxfId="39450" priority="53465" stopIfTrue="1" operator="greaterThanOrEqual">
      <formula>0.5</formula>
    </cfRule>
  </conditionalFormatting>
  <conditionalFormatting sqref="R12">
    <cfRule type="cellIs" dxfId="39449" priority="53466" stopIfTrue="1" operator="equal">
      <formula>-1</formula>
    </cfRule>
  </conditionalFormatting>
  <conditionalFormatting sqref="R12">
    <cfRule type="cellIs" dxfId="39448" priority="53467" stopIfTrue="1" operator="lessThan">
      <formula>0.5</formula>
    </cfRule>
  </conditionalFormatting>
  <conditionalFormatting sqref="R12">
    <cfRule type="cellIs" dxfId="39447" priority="53468" stopIfTrue="1" operator="greaterThanOrEqual">
      <formula>0.5</formula>
    </cfRule>
  </conditionalFormatting>
  <conditionalFormatting sqref="R13">
    <cfRule type="cellIs" dxfId="39446" priority="53469" stopIfTrue="1" operator="equal">
      <formula>-1</formula>
    </cfRule>
  </conditionalFormatting>
  <conditionalFormatting sqref="R13">
    <cfRule type="cellIs" dxfId="39445" priority="53470" stopIfTrue="1" operator="lessThan">
      <formula>0.5</formula>
    </cfRule>
  </conditionalFormatting>
  <conditionalFormatting sqref="R13">
    <cfRule type="cellIs" dxfId="39444" priority="53471" stopIfTrue="1" operator="greaterThanOrEqual">
      <formula>0.5</formula>
    </cfRule>
  </conditionalFormatting>
  <conditionalFormatting sqref="R14">
    <cfRule type="cellIs" dxfId="39443" priority="53472" stopIfTrue="1" operator="equal">
      <formula>-1</formula>
    </cfRule>
  </conditionalFormatting>
  <conditionalFormatting sqref="R14">
    <cfRule type="cellIs" dxfId="39442" priority="53473" stopIfTrue="1" operator="lessThan">
      <formula>0.5</formula>
    </cfRule>
  </conditionalFormatting>
  <conditionalFormatting sqref="R14">
    <cfRule type="cellIs" dxfId="39441" priority="53474" stopIfTrue="1" operator="greaterThanOrEqual">
      <formula>0.5</formula>
    </cfRule>
  </conditionalFormatting>
  <conditionalFormatting sqref="R15">
    <cfRule type="cellIs" dxfId="39440" priority="53475" stopIfTrue="1" operator="equal">
      <formula>-1</formula>
    </cfRule>
  </conditionalFormatting>
  <conditionalFormatting sqref="R15">
    <cfRule type="cellIs" dxfId="39439" priority="53476" stopIfTrue="1" operator="lessThan">
      <formula>0.5</formula>
    </cfRule>
  </conditionalFormatting>
  <conditionalFormatting sqref="R15">
    <cfRule type="cellIs" dxfId="39438" priority="53477" stopIfTrue="1" operator="greaterThanOrEqual">
      <formula>0.5</formula>
    </cfRule>
  </conditionalFormatting>
  <conditionalFormatting sqref="T8">
    <cfRule type="cellIs" dxfId="39437" priority="53478" stopIfTrue="1" operator="equal">
      <formula>-1</formula>
    </cfRule>
  </conditionalFormatting>
  <conditionalFormatting sqref="T8">
    <cfRule type="cellIs" dxfId="39436" priority="53479" stopIfTrue="1" operator="lessThan">
      <formula>0.5</formula>
    </cfRule>
  </conditionalFormatting>
  <conditionalFormatting sqref="T8">
    <cfRule type="cellIs" dxfId="39435" priority="53480" stopIfTrue="1" operator="greaterThanOrEqual">
      <formula>0.5</formula>
    </cfRule>
  </conditionalFormatting>
  <conditionalFormatting sqref="T9">
    <cfRule type="cellIs" dxfId="39434" priority="53481" stopIfTrue="1" operator="equal">
      <formula>-1</formula>
    </cfRule>
  </conditionalFormatting>
  <conditionalFormatting sqref="T9">
    <cfRule type="cellIs" dxfId="39433" priority="53482" stopIfTrue="1" operator="lessThan">
      <formula>0.5</formula>
    </cfRule>
  </conditionalFormatting>
  <conditionalFormatting sqref="T9">
    <cfRule type="cellIs" dxfId="39432" priority="53483" stopIfTrue="1" operator="greaterThanOrEqual">
      <formula>0.5</formula>
    </cfRule>
  </conditionalFormatting>
  <conditionalFormatting sqref="T10">
    <cfRule type="cellIs" dxfId="39431" priority="53484" stopIfTrue="1" operator="equal">
      <formula>-1</formula>
    </cfRule>
  </conditionalFormatting>
  <conditionalFormatting sqref="T10">
    <cfRule type="cellIs" dxfId="39430" priority="53485" stopIfTrue="1" operator="lessThan">
      <formula>0.5</formula>
    </cfRule>
  </conditionalFormatting>
  <conditionalFormatting sqref="T10">
    <cfRule type="cellIs" dxfId="39429" priority="53486" stopIfTrue="1" operator="greaterThanOrEqual">
      <formula>0.5</formula>
    </cfRule>
  </conditionalFormatting>
  <conditionalFormatting sqref="T11">
    <cfRule type="cellIs" dxfId="39428" priority="53487" stopIfTrue="1" operator="equal">
      <formula>-1</formula>
    </cfRule>
  </conditionalFormatting>
  <conditionalFormatting sqref="T11">
    <cfRule type="cellIs" dxfId="39427" priority="53488" stopIfTrue="1" operator="lessThan">
      <formula>0.5</formula>
    </cfRule>
  </conditionalFormatting>
  <conditionalFormatting sqref="T11">
    <cfRule type="cellIs" dxfId="39426" priority="53489" stopIfTrue="1" operator="greaterThanOrEqual">
      <formula>0.5</formula>
    </cfRule>
  </conditionalFormatting>
  <conditionalFormatting sqref="T12">
    <cfRule type="cellIs" dxfId="39425" priority="53490" stopIfTrue="1" operator="equal">
      <formula>-1</formula>
    </cfRule>
  </conditionalFormatting>
  <conditionalFormatting sqref="T12">
    <cfRule type="cellIs" dxfId="39424" priority="53491" stopIfTrue="1" operator="lessThan">
      <formula>0.5</formula>
    </cfRule>
  </conditionalFormatting>
  <conditionalFormatting sqref="T12">
    <cfRule type="cellIs" dxfId="39423" priority="53492" stopIfTrue="1" operator="greaterThanOrEqual">
      <formula>0.5</formula>
    </cfRule>
  </conditionalFormatting>
  <conditionalFormatting sqref="T13">
    <cfRule type="cellIs" dxfId="39422" priority="53493" stopIfTrue="1" operator="equal">
      <formula>-1</formula>
    </cfRule>
  </conditionalFormatting>
  <conditionalFormatting sqref="T13">
    <cfRule type="cellIs" dxfId="39421" priority="53494" stopIfTrue="1" operator="lessThan">
      <formula>0.5</formula>
    </cfRule>
  </conditionalFormatting>
  <conditionalFormatting sqref="T13">
    <cfRule type="cellIs" dxfId="39420" priority="53495" stopIfTrue="1" operator="greaterThanOrEqual">
      <formula>0.5</formula>
    </cfRule>
  </conditionalFormatting>
  <conditionalFormatting sqref="T14">
    <cfRule type="cellIs" dxfId="39419" priority="53496" stopIfTrue="1" operator="equal">
      <formula>-1</formula>
    </cfRule>
  </conditionalFormatting>
  <conditionalFormatting sqref="T14">
    <cfRule type="cellIs" dxfId="39418" priority="53497" stopIfTrue="1" operator="lessThan">
      <formula>0.5</formula>
    </cfRule>
  </conditionalFormatting>
  <conditionalFormatting sqref="T14">
    <cfRule type="cellIs" dxfId="39417" priority="53498" stopIfTrue="1" operator="greaterThanOrEqual">
      <formula>0.5</formula>
    </cfRule>
  </conditionalFormatting>
  <conditionalFormatting sqref="T15">
    <cfRule type="cellIs" dxfId="39416" priority="53499" stopIfTrue="1" operator="equal">
      <formula>-1</formula>
    </cfRule>
  </conditionalFormatting>
  <conditionalFormatting sqref="T15">
    <cfRule type="cellIs" dxfId="39415" priority="53500" stopIfTrue="1" operator="lessThan">
      <formula>0.5</formula>
    </cfRule>
  </conditionalFormatting>
  <conditionalFormatting sqref="T15">
    <cfRule type="cellIs" dxfId="39414" priority="53501" stopIfTrue="1" operator="greaterThanOrEqual">
      <formula>0.5</formula>
    </cfRule>
  </conditionalFormatting>
  <conditionalFormatting sqref="V8">
    <cfRule type="cellIs" dxfId="39413" priority="53502" stopIfTrue="1" operator="equal">
      <formula>-1</formula>
    </cfRule>
  </conditionalFormatting>
  <conditionalFormatting sqref="V8">
    <cfRule type="cellIs" dxfId="39412" priority="53503" stopIfTrue="1" operator="lessThan">
      <formula>0.5</formula>
    </cfRule>
  </conditionalFormatting>
  <conditionalFormatting sqref="V8">
    <cfRule type="cellIs" dxfId="39411" priority="53504" stopIfTrue="1" operator="greaterThanOrEqual">
      <formula>0.5</formula>
    </cfRule>
  </conditionalFormatting>
  <conditionalFormatting sqref="V9">
    <cfRule type="cellIs" dxfId="39410" priority="53505" stopIfTrue="1" operator="equal">
      <formula>-1</formula>
    </cfRule>
  </conditionalFormatting>
  <conditionalFormatting sqref="V9">
    <cfRule type="cellIs" dxfId="39409" priority="53506" stopIfTrue="1" operator="lessThan">
      <formula>0.5</formula>
    </cfRule>
  </conditionalFormatting>
  <conditionalFormatting sqref="V9">
    <cfRule type="cellIs" dxfId="39408" priority="53507" stopIfTrue="1" operator="greaterThanOrEqual">
      <formula>0.5</formula>
    </cfRule>
  </conditionalFormatting>
  <conditionalFormatting sqref="V10">
    <cfRule type="cellIs" dxfId="39407" priority="53508" stopIfTrue="1" operator="equal">
      <formula>-1</formula>
    </cfRule>
  </conditionalFormatting>
  <conditionalFormatting sqref="V10">
    <cfRule type="cellIs" dxfId="39406" priority="53509" stopIfTrue="1" operator="lessThan">
      <formula>0.5</formula>
    </cfRule>
  </conditionalFormatting>
  <conditionalFormatting sqref="V10">
    <cfRule type="cellIs" dxfId="39405" priority="53510" stopIfTrue="1" operator="greaterThanOrEqual">
      <formula>0.5</formula>
    </cfRule>
  </conditionalFormatting>
  <conditionalFormatting sqref="V11">
    <cfRule type="cellIs" dxfId="39404" priority="53511" stopIfTrue="1" operator="equal">
      <formula>-1</formula>
    </cfRule>
  </conditionalFormatting>
  <conditionalFormatting sqref="V11">
    <cfRule type="cellIs" dxfId="39403" priority="53512" stopIfTrue="1" operator="lessThan">
      <formula>0.5</formula>
    </cfRule>
  </conditionalFormatting>
  <conditionalFormatting sqref="V11">
    <cfRule type="cellIs" dxfId="39402" priority="53513" stopIfTrue="1" operator="greaterThanOrEqual">
      <formula>0.5</formula>
    </cfRule>
  </conditionalFormatting>
  <conditionalFormatting sqref="V12">
    <cfRule type="cellIs" dxfId="39401" priority="53514" stopIfTrue="1" operator="equal">
      <formula>-1</formula>
    </cfRule>
  </conditionalFormatting>
  <conditionalFormatting sqref="V12">
    <cfRule type="cellIs" dxfId="39400" priority="53515" stopIfTrue="1" operator="lessThan">
      <formula>0.5</formula>
    </cfRule>
  </conditionalFormatting>
  <conditionalFormatting sqref="V12">
    <cfRule type="cellIs" dxfId="39399" priority="53516" stopIfTrue="1" operator="greaterThanOrEqual">
      <formula>0.5</formula>
    </cfRule>
  </conditionalFormatting>
  <conditionalFormatting sqref="V13">
    <cfRule type="cellIs" dxfId="39398" priority="53517" stopIfTrue="1" operator="equal">
      <formula>-1</formula>
    </cfRule>
  </conditionalFormatting>
  <conditionalFormatting sqref="V13">
    <cfRule type="cellIs" dxfId="39397" priority="53518" stopIfTrue="1" operator="lessThan">
      <formula>0.5</formula>
    </cfRule>
  </conditionalFormatting>
  <conditionalFormatting sqref="V13">
    <cfRule type="cellIs" dxfId="39396" priority="53519" stopIfTrue="1" operator="greaterThanOrEqual">
      <formula>0.5</formula>
    </cfRule>
  </conditionalFormatting>
  <conditionalFormatting sqref="V14">
    <cfRule type="cellIs" dxfId="39395" priority="53520" stopIfTrue="1" operator="equal">
      <formula>-1</formula>
    </cfRule>
  </conditionalFormatting>
  <conditionalFormatting sqref="V14">
    <cfRule type="cellIs" dxfId="39394" priority="53521" stopIfTrue="1" operator="lessThan">
      <formula>0.5</formula>
    </cfRule>
  </conditionalFormatting>
  <conditionalFormatting sqref="V14">
    <cfRule type="cellIs" dxfId="39393" priority="53522" stopIfTrue="1" operator="greaterThanOrEqual">
      <formula>0.5</formula>
    </cfRule>
  </conditionalFormatting>
  <conditionalFormatting sqref="V15">
    <cfRule type="cellIs" dxfId="39392" priority="53523" stopIfTrue="1" operator="equal">
      <formula>-1</formula>
    </cfRule>
  </conditionalFormatting>
  <conditionalFormatting sqref="V15">
    <cfRule type="cellIs" dxfId="39391" priority="53524" stopIfTrue="1" operator="lessThan">
      <formula>0.5</formula>
    </cfRule>
  </conditionalFormatting>
  <conditionalFormatting sqref="V15">
    <cfRule type="cellIs" dxfId="39390" priority="53525" stopIfTrue="1" operator="greaterThanOrEqual">
      <formula>0.5</formula>
    </cfRule>
  </conditionalFormatting>
  <conditionalFormatting sqref="X8">
    <cfRule type="cellIs" dxfId="39389" priority="53526" stopIfTrue="1" operator="equal">
      <formula>-1</formula>
    </cfRule>
  </conditionalFormatting>
  <conditionalFormatting sqref="X8">
    <cfRule type="cellIs" dxfId="39388" priority="53527" stopIfTrue="1" operator="lessThan">
      <formula>0.5</formula>
    </cfRule>
  </conditionalFormatting>
  <conditionalFormatting sqref="X8">
    <cfRule type="cellIs" dxfId="39387" priority="53528" stopIfTrue="1" operator="greaterThanOrEqual">
      <formula>0.5</formula>
    </cfRule>
  </conditionalFormatting>
  <conditionalFormatting sqref="X9">
    <cfRule type="cellIs" dxfId="39386" priority="53529" stopIfTrue="1" operator="equal">
      <formula>-1</formula>
    </cfRule>
  </conditionalFormatting>
  <conditionalFormatting sqref="X9">
    <cfRule type="cellIs" dxfId="39385" priority="53530" stopIfTrue="1" operator="lessThan">
      <formula>0.5</formula>
    </cfRule>
  </conditionalFormatting>
  <conditionalFormatting sqref="X9">
    <cfRule type="cellIs" dxfId="39384" priority="53531" stopIfTrue="1" operator="greaterThanOrEqual">
      <formula>0.5</formula>
    </cfRule>
  </conditionalFormatting>
  <conditionalFormatting sqref="X10">
    <cfRule type="cellIs" dxfId="39383" priority="53532" stopIfTrue="1" operator="equal">
      <formula>-1</formula>
    </cfRule>
  </conditionalFormatting>
  <conditionalFormatting sqref="X10">
    <cfRule type="cellIs" dxfId="39382" priority="53533" stopIfTrue="1" operator="lessThan">
      <formula>0.5</formula>
    </cfRule>
  </conditionalFormatting>
  <conditionalFormatting sqref="X10">
    <cfRule type="cellIs" dxfId="39381" priority="53534" stopIfTrue="1" operator="greaterThanOrEqual">
      <formula>0.5</formula>
    </cfRule>
  </conditionalFormatting>
  <conditionalFormatting sqref="X11">
    <cfRule type="cellIs" dxfId="39380" priority="53535" stopIfTrue="1" operator="equal">
      <formula>-1</formula>
    </cfRule>
  </conditionalFormatting>
  <conditionalFormatting sqref="X11">
    <cfRule type="cellIs" dxfId="39379" priority="53536" stopIfTrue="1" operator="lessThan">
      <formula>0.5</formula>
    </cfRule>
  </conditionalFormatting>
  <conditionalFormatting sqref="X11">
    <cfRule type="cellIs" dxfId="39378" priority="53537" stopIfTrue="1" operator="greaterThanOrEqual">
      <formula>0.5</formula>
    </cfRule>
  </conditionalFormatting>
  <conditionalFormatting sqref="X12">
    <cfRule type="cellIs" dxfId="39377" priority="53538" stopIfTrue="1" operator="equal">
      <formula>-1</formula>
    </cfRule>
  </conditionalFormatting>
  <conditionalFormatting sqref="X12">
    <cfRule type="cellIs" dxfId="39376" priority="53539" stopIfTrue="1" operator="lessThan">
      <formula>0.5</formula>
    </cfRule>
  </conditionalFormatting>
  <conditionalFormatting sqref="X12">
    <cfRule type="cellIs" dxfId="39375" priority="53540" stopIfTrue="1" operator="greaterThanOrEqual">
      <formula>0.5</formula>
    </cfRule>
  </conditionalFormatting>
  <conditionalFormatting sqref="X13">
    <cfRule type="cellIs" dxfId="39374" priority="53541" stopIfTrue="1" operator="equal">
      <formula>-1</formula>
    </cfRule>
  </conditionalFormatting>
  <conditionalFormatting sqref="X13">
    <cfRule type="cellIs" dxfId="39373" priority="53542" stopIfTrue="1" operator="lessThan">
      <formula>0.5</formula>
    </cfRule>
  </conditionalFormatting>
  <conditionalFormatting sqref="X13">
    <cfRule type="cellIs" dxfId="39372" priority="53543" stopIfTrue="1" operator="greaterThanOrEqual">
      <formula>0.5</formula>
    </cfRule>
  </conditionalFormatting>
  <conditionalFormatting sqref="X14">
    <cfRule type="cellIs" dxfId="39371" priority="53544" stopIfTrue="1" operator="equal">
      <formula>-1</formula>
    </cfRule>
  </conditionalFormatting>
  <conditionalFormatting sqref="X14">
    <cfRule type="cellIs" dxfId="39370" priority="53545" stopIfTrue="1" operator="lessThan">
      <formula>0.5</formula>
    </cfRule>
  </conditionalFormatting>
  <conditionalFormatting sqref="X14">
    <cfRule type="cellIs" dxfId="39369" priority="53546" stopIfTrue="1" operator="greaterThanOrEqual">
      <formula>0.5</formula>
    </cfRule>
  </conditionalFormatting>
  <conditionalFormatting sqref="X15">
    <cfRule type="cellIs" dxfId="39368" priority="53547" stopIfTrue="1" operator="equal">
      <formula>-1</formula>
    </cfRule>
  </conditionalFormatting>
  <conditionalFormatting sqref="X15">
    <cfRule type="cellIs" dxfId="39367" priority="53548" stopIfTrue="1" operator="lessThan">
      <formula>0.5</formula>
    </cfRule>
  </conditionalFormatting>
  <conditionalFormatting sqref="X15">
    <cfRule type="cellIs" dxfId="39366" priority="53549" stopIfTrue="1" operator="greaterThanOrEqual">
      <formula>0.5</formula>
    </cfRule>
  </conditionalFormatting>
  <conditionalFormatting sqref="Z8">
    <cfRule type="cellIs" dxfId="39365" priority="53550" stopIfTrue="1" operator="equal">
      <formula>-1</formula>
    </cfRule>
  </conditionalFormatting>
  <conditionalFormatting sqref="Z8">
    <cfRule type="cellIs" dxfId="39364" priority="53551" stopIfTrue="1" operator="lessThan">
      <formula>0.5</formula>
    </cfRule>
  </conditionalFormatting>
  <conditionalFormatting sqref="Z8">
    <cfRule type="cellIs" dxfId="39363" priority="53552" stopIfTrue="1" operator="greaterThanOrEqual">
      <formula>0.5</formula>
    </cfRule>
  </conditionalFormatting>
  <conditionalFormatting sqref="Z9">
    <cfRule type="cellIs" dxfId="39362" priority="53553" stopIfTrue="1" operator="equal">
      <formula>-1</formula>
    </cfRule>
  </conditionalFormatting>
  <conditionalFormatting sqref="Z9">
    <cfRule type="cellIs" dxfId="39361" priority="53554" stopIfTrue="1" operator="lessThan">
      <formula>0.5</formula>
    </cfRule>
  </conditionalFormatting>
  <conditionalFormatting sqref="Z9">
    <cfRule type="cellIs" dxfId="39360" priority="53555" stopIfTrue="1" operator="greaterThanOrEqual">
      <formula>0.5</formula>
    </cfRule>
  </conditionalFormatting>
  <conditionalFormatting sqref="Z10">
    <cfRule type="cellIs" dxfId="39359" priority="53556" stopIfTrue="1" operator="equal">
      <formula>-1</formula>
    </cfRule>
  </conditionalFormatting>
  <conditionalFormatting sqref="Z10">
    <cfRule type="cellIs" dxfId="39358" priority="53557" stopIfTrue="1" operator="lessThan">
      <formula>0.5</formula>
    </cfRule>
  </conditionalFormatting>
  <conditionalFormatting sqref="Z10">
    <cfRule type="cellIs" dxfId="39357" priority="53558" stopIfTrue="1" operator="greaterThanOrEqual">
      <formula>0.5</formula>
    </cfRule>
  </conditionalFormatting>
  <conditionalFormatting sqref="Z11">
    <cfRule type="cellIs" dxfId="39356" priority="53559" stopIfTrue="1" operator="equal">
      <formula>-1</formula>
    </cfRule>
  </conditionalFormatting>
  <conditionalFormatting sqref="Z11">
    <cfRule type="cellIs" dxfId="39355" priority="53560" stopIfTrue="1" operator="lessThan">
      <formula>0.5</formula>
    </cfRule>
  </conditionalFormatting>
  <conditionalFormatting sqref="Z11">
    <cfRule type="cellIs" dxfId="39354" priority="53561" stopIfTrue="1" operator="greaterThanOrEqual">
      <formula>0.5</formula>
    </cfRule>
  </conditionalFormatting>
  <conditionalFormatting sqref="Z12">
    <cfRule type="cellIs" dxfId="39353" priority="53562" stopIfTrue="1" operator="equal">
      <formula>-1</formula>
    </cfRule>
  </conditionalFormatting>
  <conditionalFormatting sqref="Z12">
    <cfRule type="cellIs" dxfId="39352" priority="53563" stopIfTrue="1" operator="lessThan">
      <formula>0.5</formula>
    </cfRule>
  </conditionalFormatting>
  <conditionalFormatting sqref="Z12">
    <cfRule type="cellIs" dxfId="39351" priority="53564" stopIfTrue="1" operator="greaterThanOrEqual">
      <formula>0.5</formula>
    </cfRule>
  </conditionalFormatting>
  <conditionalFormatting sqref="Z13">
    <cfRule type="cellIs" dxfId="39350" priority="53565" stopIfTrue="1" operator="equal">
      <formula>-1</formula>
    </cfRule>
  </conditionalFormatting>
  <conditionalFormatting sqref="Z13">
    <cfRule type="cellIs" dxfId="39349" priority="53566" stopIfTrue="1" operator="lessThan">
      <formula>0.5</formula>
    </cfRule>
  </conditionalFormatting>
  <conditionalFormatting sqref="Z13">
    <cfRule type="cellIs" dxfId="39348" priority="53567" stopIfTrue="1" operator="greaterThanOrEqual">
      <formula>0.5</formula>
    </cfRule>
  </conditionalFormatting>
  <conditionalFormatting sqref="Z14">
    <cfRule type="cellIs" dxfId="39347" priority="53568" stopIfTrue="1" operator="equal">
      <formula>-1</formula>
    </cfRule>
  </conditionalFormatting>
  <conditionalFormatting sqref="Z14">
    <cfRule type="cellIs" dxfId="39346" priority="53569" stopIfTrue="1" operator="lessThan">
      <formula>0.5</formula>
    </cfRule>
  </conditionalFormatting>
  <conditionalFormatting sqref="Z14">
    <cfRule type="cellIs" dxfId="39345" priority="53570" stopIfTrue="1" operator="greaterThanOrEqual">
      <formula>0.5</formula>
    </cfRule>
  </conditionalFormatting>
  <conditionalFormatting sqref="Z15">
    <cfRule type="cellIs" dxfId="39344" priority="53571" stopIfTrue="1" operator="equal">
      <formula>-1</formula>
    </cfRule>
  </conditionalFormatting>
  <conditionalFormatting sqref="Z15">
    <cfRule type="cellIs" dxfId="39343" priority="53572" stopIfTrue="1" operator="lessThan">
      <formula>0.5</formula>
    </cfRule>
  </conditionalFormatting>
  <conditionalFormatting sqref="Z15">
    <cfRule type="cellIs" dxfId="39342" priority="53573" stopIfTrue="1" operator="greaterThanOrEqual">
      <formula>0.5</formula>
    </cfRule>
  </conditionalFormatting>
  <conditionalFormatting sqref="AB8">
    <cfRule type="cellIs" dxfId="39341" priority="53574" stopIfTrue="1" operator="equal">
      <formula>-1</formula>
    </cfRule>
  </conditionalFormatting>
  <conditionalFormatting sqref="AB8">
    <cfRule type="cellIs" dxfId="39340" priority="53575" stopIfTrue="1" operator="lessThan">
      <formula>0.5</formula>
    </cfRule>
  </conditionalFormatting>
  <conditionalFormatting sqref="AB8">
    <cfRule type="cellIs" dxfId="39339" priority="53576" stopIfTrue="1" operator="greaterThanOrEqual">
      <formula>0.5</formula>
    </cfRule>
  </conditionalFormatting>
  <conditionalFormatting sqref="AB9">
    <cfRule type="cellIs" dxfId="39338" priority="53577" stopIfTrue="1" operator="equal">
      <formula>-1</formula>
    </cfRule>
  </conditionalFormatting>
  <conditionalFormatting sqref="AB9">
    <cfRule type="cellIs" dxfId="39337" priority="53578" stopIfTrue="1" operator="lessThan">
      <formula>0.5</formula>
    </cfRule>
  </conditionalFormatting>
  <conditionalFormatting sqref="AB9">
    <cfRule type="cellIs" dxfId="39336" priority="53579" stopIfTrue="1" operator="greaterThanOrEqual">
      <formula>0.5</formula>
    </cfRule>
  </conditionalFormatting>
  <conditionalFormatting sqref="AB10">
    <cfRule type="cellIs" dxfId="39335" priority="53580" stopIfTrue="1" operator="equal">
      <formula>-1</formula>
    </cfRule>
  </conditionalFormatting>
  <conditionalFormatting sqref="AB10">
    <cfRule type="cellIs" dxfId="39334" priority="53581" stopIfTrue="1" operator="lessThan">
      <formula>0.5</formula>
    </cfRule>
  </conditionalFormatting>
  <conditionalFormatting sqref="AB10">
    <cfRule type="cellIs" dxfId="39333" priority="53582" stopIfTrue="1" operator="greaterThanOrEqual">
      <formula>0.5</formula>
    </cfRule>
  </conditionalFormatting>
  <conditionalFormatting sqref="AB11">
    <cfRule type="cellIs" dxfId="39332" priority="53583" stopIfTrue="1" operator="equal">
      <formula>-1</formula>
    </cfRule>
  </conditionalFormatting>
  <conditionalFormatting sqref="AB11">
    <cfRule type="cellIs" dxfId="39331" priority="53584" stopIfTrue="1" operator="lessThan">
      <formula>0.5</formula>
    </cfRule>
  </conditionalFormatting>
  <conditionalFormatting sqref="AB11">
    <cfRule type="cellIs" dxfId="39330" priority="53585" stopIfTrue="1" operator="greaterThanOrEqual">
      <formula>0.5</formula>
    </cfRule>
  </conditionalFormatting>
  <conditionalFormatting sqref="AB12">
    <cfRule type="cellIs" dxfId="39329" priority="53586" stopIfTrue="1" operator="equal">
      <formula>-1</formula>
    </cfRule>
  </conditionalFormatting>
  <conditionalFormatting sqref="AB12">
    <cfRule type="cellIs" dxfId="39328" priority="53587" stopIfTrue="1" operator="lessThan">
      <formula>0.5</formula>
    </cfRule>
  </conditionalFormatting>
  <conditionalFormatting sqref="AB12">
    <cfRule type="cellIs" dxfId="39327" priority="53588" stopIfTrue="1" operator="greaterThanOrEqual">
      <formula>0.5</formula>
    </cfRule>
  </conditionalFormatting>
  <conditionalFormatting sqref="AB13">
    <cfRule type="cellIs" dxfId="39326" priority="53589" stopIfTrue="1" operator="equal">
      <formula>-1</formula>
    </cfRule>
  </conditionalFormatting>
  <conditionalFormatting sqref="AB13">
    <cfRule type="cellIs" dxfId="39325" priority="53590" stopIfTrue="1" operator="lessThan">
      <formula>0.5</formula>
    </cfRule>
  </conditionalFormatting>
  <conditionalFormatting sqref="AB13">
    <cfRule type="cellIs" dxfId="39324" priority="53591" stopIfTrue="1" operator="greaterThanOrEqual">
      <formula>0.5</formula>
    </cfRule>
  </conditionalFormatting>
  <conditionalFormatting sqref="AB14">
    <cfRule type="cellIs" dxfId="39323" priority="53592" stopIfTrue="1" operator="equal">
      <formula>-1</formula>
    </cfRule>
  </conditionalFormatting>
  <conditionalFormatting sqref="AB14">
    <cfRule type="cellIs" dxfId="39322" priority="53593" stopIfTrue="1" operator="lessThan">
      <formula>0.5</formula>
    </cfRule>
  </conditionalFormatting>
  <conditionalFormatting sqref="AB14">
    <cfRule type="cellIs" dxfId="39321" priority="53594" stopIfTrue="1" operator="greaterThanOrEqual">
      <formula>0.5</formula>
    </cfRule>
  </conditionalFormatting>
  <conditionalFormatting sqref="AB15">
    <cfRule type="cellIs" dxfId="39320" priority="53595" stopIfTrue="1" operator="equal">
      <formula>-1</formula>
    </cfRule>
  </conditionalFormatting>
  <conditionalFormatting sqref="AB15">
    <cfRule type="cellIs" dxfId="39319" priority="53596" stopIfTrue="1" operator="lessThan">
      <formula>0.5</formula>
    </cfRule>
  </conditionalFormatting>
  <conditionalFormatting sqref="AB15">
    <cfRule type="cellIs" dxfId="39318" priority="53597" stopIfTrue="1" operator="greaterThanOrEqual">
      <formula>0.5</formula>
    </cfRule>
  </conditionalFormatting>
  <conditionalFormatting sqref="AD8">
    <cfRule type="cellIs" dxfId="39317" priority="53598" stopIfTrue="1" operator="equal">
      <formula>-1</formula>
    </cfRule>
  </conditionalFormatting>
  <conditionalFormatting sqref="AD8">
    <cfRule type="cellIs" dxfId="39316" priority="53599" stopIfTrue="1" operator="lessThan">
      <formula>0.5</formula>
    </cfRule>
  </conditionalFormatting>
  <conditionalFormatting sqref="AD8">
    <cfRule type="cellIs" dxfId="39315" priority="53600" stopIfTrue="1" operator="greaterThanOrEqual">
      <formula>0.5</formula>
    </cfRule>
  </conditionalFormatting>
  <conditionalFormatting sqref="AD9">
    <cfRule type="cellIs" dxfId="39314" priority="53601" stopIfTrue="1" operator="equal">
      <formula>-1</formula>
    </cfRule>
  </conditionalFormatting>
  <conditionalFormatting sqref="AD9">
    <cfRule type="cellIs" dxfId="39313" priority="53602" stopIfTrue="1" operator="lessThan">
      <formula>0.5</formula>
    </cfRule>
  </conditionalFormatting>
  <conditionalFormatting sqref="AD9">
    <cfRule type="cellIs" dxfId="39312" priority="53603" stopIfTrue="1" operator="greaterThanOrEqual">
      <formula>0.5</formula>
    </cfRule>
  </conditionalFormatting>
  <conditionalFormatting sqref="AD10">
    <cfRule type="cellIs" dxfId="39311" priority="53604" stopIfTrue="1" operator="equal">
      <formula>-1</formula>
    </cfRule>
  </conditionalFormatting>
  <conditionalFormatting sqref="AD10">
    <cfRule type="cellIs" dxfId="39310" priority="53605" stopIfTrue="1" operator="lessThan">
      <formula>0.5</formula>
    </cfRule>
  </conditionalFormatting>
  <conditionalFormatting sqref="AD10">
    <cfRule type="cellIs" dxfId="39309" priority="53606" stopIfTrue="1" operator="greaterThanOrEqual">
      <formula>0.5</formula>
    </cfRule>
  </conditionalFormatting>
  <conditionalFormatting sqref="AD11">
    <cfRule type="cellIs" dxfId="39308" priority="53607" stopIfTrue="1" operator="equal">
      <formula>-1</formula>
    </cfRule>
  </conditionalFormatting>
  <conditionalFormatting sqref="AD11">
    <cfRule type="cellIs" dxfId="39307" priority="53608" stopIfTrue="1" operator="lessThan">
      <formula>0.5</formula>
    </cfRule>
  </conditionalFormatting>
  <conditionalFormatting sqref="AD11">
    <cfRule type="cellIs" dxfId="39306" priority="53609" stopIfTrue="1" operator="greaterThanOrEqual">
      <formula>0.5</formula>
    </cfRule>
  </conditionalFormatting>
  <conditionalFormatting sqref="AD12">
    <cfRule type="cellIs" dxfId="39305" priority="53610" stopIfTrue="1" operator="equal">
      <formula>-1</formula>
    </cfRule>
  </conditionalFormatting>
  <conditionalFormatting sqref="AD12">
    <cfRule type="cellIs" dxfId="39304" priority="53611" stopIfTrue="1" operator="lessThan">
      <formula>0.5</formula>
    </cfRule>
  </conditionalFormatting>
  <conditionalFormatting sqref="AD12">
    <cfRule type="cellIs" dxfId="39303" priority="53612" stopIfTrue="1" operator="greaterThanOrEqual">
      <formula>0.5</formula>
    </cfRule>
  </conditionalFormatting>
  <conditionalFormatting sqref="AD13">
    <cfRule type="cellIs" dxfId="39302" priority="53613" stopIfTrue="1" operator="equal">
      <formula>-1</formula>
    </cfRule>
  </conditionalFormatting>
  <conditionalFormatting sqref="AD13">
    <cfRule type="cellIs" dxfId="39301" priority="53614" stopIfTrue="1" operator="lessThan">
      <formula>0.5</formula>
    </cfRule>
  </conditionalFormatting>
  <conditionalFormatting sqref="AD13">
    <cfRule type="cellIs" dxfId="39300" priority="53615" stopIfTrue="1" operator="greaterThanOrEqual">
      <formula>0.5</formula>
    </cfRule>
  </conditionalFormatting>
  <conditionalFormatting sqref="AD14">
    <cfRule type="cellIs" dxfId="39299" priority="53616" stopIfTrue="1" operator="equal">
      <formula>-1</formula>
    </cfRule>
  </conditionalFormatting>
  <conditionalFormatting sqref="AD14">
    <cfRule type="cellIs" dxfId="39298" priority="53617" stopIfTrue="1" operator="lessThan">
      <formula>0.5</formula>
    </cfRule>
  </conditionalFormatting>
  <conditionalFormatting sqref="AD14">
    <cfRule type="cellIs" dxfId="39297" priority="53618" stopIfTrue="1" operator="greaterThanOrEqual">
      <formula>0.5</formula>
    </cfRule>
  </conditionalFormatting>
  <conditionalFormatting sqref="AD15">
    <cfRule type="cellIs" dxfId="39296" priority="53619" stopIfTrue="1" operator="equal">
      <formula>-1</formula>
    </cfRule>
  </conditionalFormatting>
  <conditionalFormatting sqref="AD15">
    <cfRule type="cellIs" dxfId="39295" priority="53620" stopIfTrue="1" operator="lessThan">
      <formula>0.5</formula>
    </cfRule>
  </conditionalFormatting>
  <conditionalFormatting sqref="AD15">
    <cfRule type="cellIs" dxfId="39294" priority="53621" stopIfTrue="1" operator="greaterThanOrEqual">
      <formula>0.5</formula>
    </cfRule>
  </conditionalFormatting>
  <conditionalFormatting sqref="AF8">
    <cfRule type="cellIs" dxfId="39293" priority="53622" stopIfTrue="1" operator="equal">
      <formula>-1</formula>
    </cfRule>
  </conditionalFormatting>
  <conditionalFormatting sqref="AF8">
    <cfRule type="cellIs" dxfId="39292" priority="53623" stopIfTrue="1" operator="lessThan">
      <formula>0.5</formula>
    </cfRule>
  </conditionalFormatting>
  <conditionalFormatting sqref="AF8">
    <cfRule type="cellIs" dxfId="39291" priority="53624" stopIfTrue="1" operator="greaterThanOrEqual">
      <formula>0.5</formula>
    </cfRule>
  </conditionalFormatting>
  <conditionalFormatting sqref="AF9">
    <cfRule type="cellIs" dxfId="39290" priority="53625" stopIfTrue="1" operator="equal">
      <formula>-1</formula>
    </cfRule>
  </conditionalFormatting>
  <conditionalFormatting sqref="AF9">
    <cfRule type="cellIs" dxfId="39289" priority="53626" stopIfTrue="1" operator="lessThan">
      <formula>0.5</formula>
    </cfRule>
  </conditionalFormatting>
  <conditionalFormatting sqref="AF9">
    <cfRule type="cellIs" dxfId="39288" priority="53627" stopIfTrue="1" operator="greaterThanOrEqual">
      <formula>0.5</formula>
    </cfRule>
  </conditionalFormatting>
  <conditionalFormatting sqref="AF10">
    <cfRule type="cellIs" dxfId="39287" priority="53628" stopIfTrue="1" operator="equal">
      <formula>-1</formula>
    </cfRule>
  </conditionalFormatting>
  <conditionalFormatting sqref="AF10">
    <cfRule type="cellIs" dxfId="39286" priority="53629" stopIfTrue="1" operator="lessThan">
      <formula>0.5</formula>
    </cfRule>
  </conditionalFormatting>
  <conditionalFormatting sqref="AF10">
    <cfRule type="cellIs" dxfId="39285" priority="53630" stopIfTrue="1" operator="greaterThanOrEqual">
      <formula>0.5</formula>
    </cfRule>
  </conditionalFormatting>
  <conditionalFormatting sqref="AF11">
    <cfRule type="cellIs" dxfId="39284" priority="53631" stopIfTrue="1" operator="equal">
      <formula>-1</formula>
    </cfRule>
  </conditionalFormatting>
  <conditionalFormatting sqref="AF11">
    <cfRule type="cellIs" dxfId="39283" priority="53632" stopIfTrue="1" operator="lessThan">
      <formula>0.5</formula>
    </cfRule>
  </conditionalFormatting>
  <conditionalFormatting sqref="AF11">
    <cfRule type="cellIs" dxfId="39282" priority="53633" stopIfTrue="1" operator="greaterThanOrEqual">
      <formula>0.5</formula>
    </cfRule>
  </conditionalFormatting>
  <conditionalFormatting sqref="AF12">
    <cfRule type="cellIs" dxfId="39281" priority="53634" stopIfTrue="1" operator="equal">
      <formula>-1</formula>
    </cfRule>
  </conditionalFormatting>
  <conditionalFormatting sqref="AF12">
    <cfRule type="cellIs" dxfId="39280" priority="53635" stopIfTrue="1" operator="lessThan">
      <formula>0.5</formula>
    </cfRule>
  </conditionalFormatting>
  <conditionalFormatting sqref="AF12">
    <cfRule type="cellIs" dxfId="39279" priority="53636" stopIfTrue="1" operator="greaterThanOrEqual">
      <formula>0.5</formula>
    </cfRule>
  </conditionalFormatting>
  <conditionalFormatting sqref="AF13">
    <cfRule type="cellIs" dxfId="39278" priority="53637" stopIfTrue="1" operator="equal">
      <formula>-1</formula>
    </cfRule>
  </conditionalFormatting>
  <conditionalFormatting sqref="AF13">
    <cfRule type="cellIs" dxfId="39277" priority="53638" stopIfTrue="1" operator="lessThan">
      <formula>0.5</formula>
    </cfRule>
  </conditionalFormatting>
  <conditionalFormatting sqref="AF13">
    <cfRule type="cellIs" dxfId="39276" priority="53639" stopIfTrue="1" operator="greaterThanOrEqual">
      <formula>0.5</formula>
    </cfRule>
  </conditionalFormatting>
  <conditionalFormatting sqref="AF14">
    <cfRule type="cellIs" dxfId="39275" priority="53640" stopIfTrue="1" operator="equal">
      <formula>-1</formula>
    </cfRule>
  </conditionalFormatting>
  <conditionalFormatting sqref="AF14">
    <cfRule type="cellIs" dxfId="39274" priority="53641" stopIfTrue="1" operator="lessThan">
      <formula>0.5</formula>
    </cfRule>
  </conditionalFormatting>
  <conditionalFormatting sqref="AF14">
    <cfRule type="cellIs" dxfId="39273" priority="53642" stopIfTrue="1" operator="greaterThanOrEqual">
      <formula>0.5</formula>
    </cfRule>
  </conditionalFormatting>
  <conditionalFormatting sqref="AF15">
    <cfRule type="cellIs" dxfId="39272" priority="53643" stopIfTrue="1" operator="equal">
      <formula>-1</formula>
    </cfRule>
  </conditionalFormatting>
  <conditionalFormatting sqref="AF15">
    <cfRule type="cellIs" dxfId="39271" priority="53644" stopIfTrue="1" operator="lessThan">
      <formula>0.5</formula>
    </cfRule>
  </conditionalFormatting>
  <conditionalFormatting sqref="AF15">
    <cfRule type="cellIs" dxfId="39270" priority="53645" stopIfTrue="1" operator="greaterThanOrEqual">
      <formula>0.5</formula>
    </cfRule>
  </conditionalFormatting>
  <conditionalFormatting sqref="AH8">
    <cfRule type="cellIs" dxfId="39269" priority="53646" stopIfTrue="1" operator="equal">
      <formula>-1</formula>
    </cfRule>
  </conditionalFormatting>
  <conditionalFormatting sqref="AH8">
    <cfRule type="cellIs" dxfId="39268" priority="53647" stopIfTrue="1" operator="lessThan">
      <formula>0.5</formula>
    </cfRule>
  </conditionalFormatting>
  <conditionalFormatting sqref="AH8">
    <cfRule type="cellIs" dxfId="39267" priority="53648" stopIfTrue="1" operator="greaterThanOrEqual">
      <formula>0.5</formula>
    </cfRule>
  </conditionalFormatting>
  <conditionalFormatting sqref="AH9">
    <cfRule type="cellIs" dxfId="39266" priority="53649" stopIfTrue="1" operator="equal">
      <formula>-1</formula>
    </cfRule>
  </conditionalFormatting>
  <conditionalFormatting sqref="AH9">
    <cfRule type="cellIs" dxfId="39265" priority="53650" stopIfTrue="1" operator="lessThan">
      <formula>0.5</formula>
    </cfRule>
  </conditionalFormatting>
  <conditionalFormatting sqref="AH9">
    <cfRule type="cellIs" dxfId="39264" priority="53651" stopIfTrue="1" operator="greaterThanOrEqual">
      <formula>0.5</formula>
    </cfRule>
  </conditionalFormatting>
  <conditionalFormatting sqref="AH10">
    <cfRule type="cellIs" dxfId="39263" priority="53652" stopIfTrue="1" operator="equal">
      <formula>-1</formula>
    </cfRule>
  </conditionalFormatting>
  <conditionalFormatting sqref="AH10">
    <cfRule type="cellIs" dxfId="39262" priority="53653" stopIfTrue="1" operator="lessThan">
      <formula>0.5</formula>
    </cfRule>
  </conditionalFormatting>
  <conditionalFormatting sqref="AH10">
    <cfRule type="cellIs" dxfId="39261" priority="53654" stopIfTrue="1" operator="greaterThanOrEqual">
      <formula>0.5</formula>
    </cfRule>
  </conditionalFormatting>
  <conditionalFormatting sqref="AH11">
    <cfRule type="cellIs" dxfId="39260" priority="53655" stopIfTrue="1" operator="equal">
      <formula>-1</formula>
    </cfRule>
  </conditionalFormatting>
  <conditionalFormatting sqref="AH11">
    <cfRule type="cellIs" dxfId="39259" priority="53656" stopIfTrue="1" operator="lessThan">
      <formula>0.5</formula>
    </cfRule>
  </conditionalFormatting>
  <conditionalFormatting sqref="AH11">
    <cfRule type="cellIs" dxfId="39258" priority="53657" stopIfTrue="1" operator="greaterThanOrEqual">
      <formula>0.5</formula>
    </cfRule>
  </conditionalFormatting>
  <conditionalFormatting sqref="AH12">
    <cfRule type="cellIs" dxfId="39257" priority="53658" stopIfTrue="1" operator="equal">
      <formula>-1</formula>
    </cfRule>
  </conditionalFormatting>
  <conditionalFormatting sqref="AH12">
    <cfRule type="cellIs" dxfId="39256" priority="53659" stopIfTrue="1" operator="lessThan">
      <formula>0.5</formula>
    </cfRule>
  </conditionalFormatting>
  <conditionalFormatting sqref="AH12">
    <cfRule type="cellIs" dxfId="39255" priority="53660" stopIfTrue="1" operator="greaterThanOrEqual">
      <formula>0.5</formula>
    </cfRule>
  </conditionalFormatting>
  <conditionalFormatting sqref="AH13">
    <cfRule type="cellIs" dxfId="39254" priority="53661" stopIfTrue="1" operator="equal">
      <formula>-1</formula>
    </cfRule>
  </conditionalFormatting>
  <conditionalFormatting sqref="AH13">
    <cfRule type="cellIs" dxfId="39253" priority="53662" stopIfTrue="1" operator="lessThan">
      <formula>0.5</formula>
    </cfRule>
  </conditionalFormatting>
  <conditionalFormatting sqref="AH13">
    <cfRule type="cellIs" dxfId="39252" priority="53663" stopIfTrue="1" operator="greaterThanOrEqual">
      <formula>0.5</formula>
    </cfRule>
  </conditionalFormatting>
  <conditionalFormatting sqref="AH14">
    <cfRule type="cellIs" dxfId="39251" priority="53664" stopIfTrue="1" operator="equal">
      <formula>-1</formula>
    </cfRule>
  </conditionalFormatting>
  <conditionalFormatting sqref="AH14">
    <cfRule type="cellIs" dxfId="39250" priority="53665" stopIfTrue="1" operator="lessThan">
      <formula>0.5</formula>
    </cfRule>
  </conditionalFormatting>
  <conditionalFormatting sqref="AH14">
    <cfRule type="cellIs" dxfId="39249" priority="53666" stopIfTrue="1" operator="greaterThanOrEqual">
      <formula>0.5</formula>
    </cfRule>
  </conditionalFormatting>
  <conditionalFormatting sqref="AH15">
    <cfRule type="cellIs" dxfId="39248" priority="53667" stopIfTrue="1" operator="equal">
      <formula>-1</formula>
    </cfRule>
  </conditionalFormatting>
  <conditionalFormatting sqref="AH15">
    <cfRule type="cellIs" dxfId="39247" priority="53668" stopIfTrue="1" operator="lessThan">
      <formula>0.5</formula>
    </cfRule>
  </conditionalFormatting>
  <conditionalFormatting sqref="AH15">
    <cfRule type="cellIs" dxfId="39246" priority="53669" stopIfTrue="1" operator="greaterThanOrEqual">
      <formula>0.5</formula>
    </cfRule>
  </conditionalFormatting>
  <conditionalFormatting sqref="AJ8">
    <cfRule type="cellIs" dxfId="39245" priority="53670" stopIfTrue="1" operator="equal">
      <formula>-1</formula>
    </cfRule>
  </conditionalFormatting>
  <conditionalFormatting sqref="AJ8">
    <cfRule type="cellIs" dxfId="39244" priority="53671" stopIfTrue="1" operator="lessThan">
      <formula>0.5</formula>
    </cfRule>
  </conditionalFormatting>
  <conditionalFormatting sqref="AJ8">
    <cfRule type="cellIs" dxfId="39243" priority="53672" stopIfTrue="1" operator="greaterThanOrEqual">
      <formula>0.5</formula>
    </cfRule>
  </conditionalFormatting>
  <conditionalFormatting sqref="AJ9">
    <cfRule type="cellIs" dxfId="39242" priority="53673" stopIfTrue="1" operator="equal">
      <formula>-1</formula>
    </cfRule>
  </conditionalFormatting>
  <conditionalFormatting sqref="AJ9">
    <cfRule type="cellIs" dxfId="39241" priority="53674" stopIfTrue="1" operator="lessThan">
      <formula>0.5</formula>
    </cfRule>
  </conditionalFormatting>
  <conditionalFormatting sqref="AJ9">
    <cfRule type="cellIs" dxfId="39240" priority="53675" stopIfTrue="1" operator="greaterThanOrEqual">
      <formula>0.5</formula>
    </cfRule>
  </conditionalFormatting>
  <conditionalFormatting sqref="AJ10">
    <cfRule type="cellIs" dxfId="39239" priority="53676" stopIfTrue="1" operator="equal">
      <formula>-1</formula>
    </cfRule>
  </conditionalFormatting>
  <conditionalFormatting sqref="AJ10">
    <cfRule type="cellIs" dxfId="39238" priority="53677" stopIfTrue="1" operator="lessThan">
      <formula>0.5</formula>
    </cfRule>
  </conditionalFormatting>
  <conditionalFormatting sqref="AJ10">
    <cfRule type="cellIs" dxfId="39237" priority="53678" stopIfTrue="1" operator="greaterThanOrEqual">
      <formula>0.5</formula>
    </cfRule>
  </conditionalFormatting>
  <conditionalFormatting sqref="AJ11">
    <cfRule type="cellIs" dxfId="39236" priority="53679" stopIfTrue="1" operator="equal">
      <formula>-1</formula>
    </cfRule>
  </conditionalFormatting>
  <conditionalFormatting sqref="AJ11">
    <cfRule type="cellIs" dxfId="39235" priority="53680" stopIfTrue="1" operator="lessThan">
      <formula>0.5</formula>
    </cfRule>
  </conditionalFormatting>
  <conditionalFormatting sqref="AJ11">
    <cfRule type="cellIs" dxfId="39234" priority="53681" stopIfTrue="1" operator="greaterThanOrEqual">
      <formula>0.5</formula>
    </cfRule>
  </conditionalFormatting>
  <conditionalFormatting sqref="AJ12">
    <cfRule type="cellIs" dxfId="39233" priority="53682" stopIfTrue="1" operator="equal">
      <formula>-1</formula>
    </cfRule>
  </conditionalFormatting>
  <conditionalFormatting sqref="AJ12">
    <cfRule type="cellIs" dxfId="39232" priority="53683" stopIfTrue="1" operator="lessThan">
      <formula>0.5</formula>
    </cfRule>
  </conditionalFormatting>
  <conditionalFormatting sqref="AJ12">
    <cfRule type="cellIs" dxfId="39231" priority="53684" stopIfTrue="1" operator="greaterThanOrEqual">
      <formula>0.5</formula>
    </cfRule>
  </conditionalFormatting>
  <conditionalFormatting sqref="AJ13">
    <cfRule type="cellIs" dxfId="39230" priority="53685" stopIfTrue="1" operator="equal">
      <formula>-1</formula>
    </cfRule>
  </conditionalFormatting>
  <conditionalFormatting sqref="AJ13">
    <cfRule type="cellIs" dxfId="39229" priority="53686" stopIfTrue="1" operator="lessThan">
      <formula>0.5</formula>
    </cfRule>
  </conditionalFormatting>
  <conditionalFormatting sqref="AJ13">
    <cfRule type="cellIs" dxfId="39228" priority="53687" stopIfTrue="1" operator="greaterThanOrEqual">
      <formula>0.5</formula>
    </cfRule>
  </conditionalFormatting>
  <conditionalFormatting sqref="AJ14">
    <cfRule type="cellIs" dxfId="39227" priority="53688" stopIfTrue="1" operator="equal">
      <formula>-1</formula>
    </cfRule>
  </conditionalFormatting>
  <conditionalFormatting sqref="AJ14">
    <cfRule type="cellIs" dxfId="39226" priority="53689" stopIfTrue="1" operator="lessThan">
      <formula>0.5</formula>
    </cfRule>
  </conditionalFormatting>
  <conditionalFormatting sqref="AJ14">
    <cfRule type="cellIs" dxfId="39225" priority="53690" stopIfTrue="1" operator="greaterThanOrEqual">
      <formula>0.5</formula>
    </cfRule>
  </conditionalFormatting>
  <conditionalFormatting sqref="AJ15">
    <cfRule type="cellIs" dxfId="39224" priority="53691" stopIfTrue="1" operator="equal">
      <formula>-1</formula>
    </cfRule>
  </conditionalFormatting>
  <conditionalFormatting sqref="AJ15">
    <cfRule type="cellIs" dxfId="39223" priority="53692" stopIfTrue="1" operator="lessThan">
      <formula>0.5</formula>
    </cfRule>
  </conditionalFormatting>
  <conditionalFormatting sqref="AJ15">
    <cfRule type="cellIs" dxfId="39222" priority="53693" stopIfTrue="1" operator="greaterThanOrEqual">
      <formula>0.5</formula>
    </cfRule>
  </conditionalFormatting>
  <conditionalFormatting sqref="AL8">
    <cfRule type="cellIs" dxfId="39221" priority="53694" stopIfTrue="1" operator="equal">
      <formula>-1</formula>
    </cfRule>
  </conditionalFormatting>
  <conditionalFormatting sqref="AL8">
    <cfRule type="cellIs" dxfId="39220" priority="53695" stopIfTrue="1" operator="lessThan">
      <formula>0.5</formula>
    </cfRule>
  </conditionalFormatting>
  <conditionalFormatting sqref="AL8">
    <cfRule type="cellIs" dxfId="39219" priority="53696" stopIfTrue="1" operator="greaterThanOrEqual">
      <formula>0.5</formula>
    </cfRule>
  </conditionalFormatting>
  <conditionalFormatting sqref="AL9">
    <cfRule type="cellIs" dxfId="39218" priority="53697" stopIfTrue="1" operator="equal">
      <formula>-1</formula>
    </cfRule>
  </conditionalFormatting>
  <conditionalFormatting sqref="AL9">
    <cfRule type="cellIs" dxfId="39217" priority="53698" stopIfTrue="1" operator="lessThan">
      <formula>0.5</formula>
    </cfRule>
  </conditionalFormatting>
  <conditionalFormatting sqref="AL9">
    <cfRule type="cellIs" dxfId="39216" priority="53699" stopIfTrue="1" operator="greaterThanOrEqual">
      <formula>0.5</formula>
    </cfRule>
  </conditionalFormatting>
  <conditionalFormatting sqref="AL10">
    <cfRule type="cellIs" dxfId="39215" priority="53700" stopIfTrue="1" operator="equal">
      <formula>-1</formula>
    </cfRule>
  </conditionalFormatting>
  <conditionalFormatting sqref="AL10">
    <cfRule type="cellIs" dxfId="39214" priority="53701" stopIfTrue="1" operator="lessThan">
      <formula>0.5</formula>
    </cfRule>
  </conditionalFormatting>
  <conditionalFormatting sqref="AL10">
    <cfRule type="cellIs" dxfId="39213" priority="53702" stopIfTrue="1" operator="greaterThanOrEqual">
      <formula>0.5</formula>
    </cfRule>
  </conditionalFormatting>
  <conditionalFormatting sqref="AL11">
    <cfRule type="cellIs" dxfId="39212" priority="53703" stopIfTrue="1" operator="equal">
      <formula>-1</formula>
    </cfRule>
  </conditionalFormatting>
  <conditionalFormatting sqref="AL11">
    <cfRule type="cellIs" dxfId="39211" priority="53704" stopIfTrue="1" operator="lessThan">
      <formula>0.5</formula>
    </cfRule>
  </conditionalFormatting>
  <conditionalFormatting sqref="AL11">
    <cfRule type="cellIs" dxfId="39210" priority="53705" stopIfTrue="1" operator="greaterThanOrEqual">
      <formula>0.5</formula>
    </cfRule>
  </conditionalFormatting>
  <conditionalFormatting sqref="AL12">
    <cfRule type="cellIs" dxfId="39209" priority="53706" stopIfTrue="1" operator="equal">
      <formula>-1</formula>
    </cfRule>
  </conditionalFormatting>
  <conditionalFormatting sqref="AL12">
    <cfRule type="cellIs" dxfId="39208" priority="53707" stopIfTrue="1" operator="lessThan">
      <formula>0.5</formula>
    </cfRule>
  </conditionalFormatting>
  <conditionalFormatting sqref="AL12">
    <cfRule type="cellIs" dxfId="39207" priority="53708" stopIfTrue="1" operator="greaterThanOrEqual">
      <formula>0.5</formula>
    </cfRule>
  </conditionalFormatting>
  <conditionalFormatting sqref="AL13">
    <cfRule type="cellIs" dxfId="39206" priority="53709" stopIfTrue="1" operator="equal">
      <formula>-1</formula>
    </cfRule>
  </conditionalFormatting>
  <conditionalFormatting sqref="AL13">
    <cfRule type="cellIs" dxfId="39205" priority="53710" stopIfTrue="1" operator="lessThan">
      <formula>0.5</formula>
    </cfRule>
  </conditionalFormatting>
  <conditionalFormatting sqref="AL13">
    <cfRule type="cellIs" dxfId="39204" priority="53711" stopIfTrue="1" operator="greaterThanOrEqual">
      <formula>0.5</formula>
    </cfRule>
  </conditionalFormatting>
  <conditionalFormatting sqref="AL14">
    <cfRule type="cellIs" dxfId="39203" priority="53712" stopIfTrue="1" operator="equal">
      <formula>-1</formula>
    </cfRule>
  </conditionalFormatting>
  <conditionalFormatting sqref="AL14">
    <cfRule type="cellIs" dxfId="39202" priority="53713" stopIfTrue="1" operator="lessThan">
      <formula>0.5</formula>
    </cfRule>
  </conditionalFormatting>
  <conditionalFormatting sqref="AL14">
    <cfRule type="cellIs" dxfId="39201" priority="53714" stopIfTrue="1" operator="greaterThanOrEqual">
      <formula>0.5</formula>
    </cfRule>
  </conditionalFormatting>
  <conditionalFormatting sqref="AL15">
    <cfRule type="cellIs" dxfId="39200" priority="53715" stopIfTrue="1" operator="equal">
      <formula>-1</formula>
    </cfRule>
  </conditionalFormatting>
  <conditionalFormatting sqref="AL15">
    <cfRule type="cellIs" dxfId="39199" priority="53716" stopIfTrue="1" operator="lessThan">
      <formula>0.5</formula>
    </cfRule>
  </conditionalFormatting>
  <conditionalFormatting sqref="AL15">
    <cfRule type="cellIs" dxfId="39198" priority="53717" stopIfTrue="1" operator="greaterThanOrEqual">
      <formula>0.5</formula>
    </cfRule>
  </conditionalFormatting>
  <conditionalFormatting sqref="AN8">
    <cfRule type="cellIs" dxfId="39197" priority="53718" stopIfTrue="1" operator="equal">
      <formula>-1</formula>
    </cfRule>
  </conditionalFormatting>
  <conditionalFormatting sqref="AN8">
    <cfRule type="cellIs" dxfId="39196" priority="53719" stopIfTrue="1" operator="lessThan">
      <formula>0.5</formula>
    </cfRule>
  </conditionalFormatting>
  <conditionalFormatting sqref="AN8">
    <cfRule type="cellIs" dxfId="39195" priority="53720" stopIfTrue="1" operator="greaterThanOrEqual">
      <formula>0.5</formula>
    </cfRule>
  </conditionalFormatting>
  <conditionalFormatting sqref="AN9">
    <cfRule type="cellIs" dxfId="39194" priority="53721" stopIfTrue="1" operator="equal">
      <formula>-1</formula>
    </cfRule>
  </conditionalFormatting>
  <conditionalFormatting sqref="AN9">
    <cfRule type="cellIs" dxfId="39193" priority="53722" stopIfTrue="1" operator="lessThan">
      <formula>0.5</formula>
    </cfRule>
  </conditionalFormatting>
  <conditionalFormatting sqref="AN9">
    <cfRule type="cellIs" dxfId="39192" priority="53723" stopIfTrue="1" operator="greaterThanOrEqual">
      <formula>0.5</formula>
    </cfRule>
  </conditionalFormatting>
  <conditionalFormatting sqref="AN10">
    <cfRule type="cellIs" dxfId="39191" priority="53724" stopIfTrue="1" operator="equal">
      <formula>-1</formula>
    </cfRule>
  </conditionalFormatting>
  <conditionalFormatting sqref="AN10">
    <cfRule type="cellIs" dxfId="39190" priority="53725" stopIfTrue="1" operator="lessThan">
      <formula>0.5</formula>
    </cfRule>
  </conditionalFormatting>
  <conditionalFormatting sqref="AN10">
    <cfRule type="cellIs" dxfId="39189" priority="53726" stopIfTrue="1" operator="greaterThanOrEqual">
      <formula>0.5</formula>
    </cfRule>
  </conditionalFormatting>
  <conditionalFormatting sqref="AN11">
    <cfRule type="cellIs" dxfId="39188" priority="53727" stopIfTrue="1" operator="equal">
      <formula>-1</formula>
    </cfRule>
  </conditionalFormatting>
  <conditionalFormatting sqref="AN11">
    <cfRule type="cellIs" dxfId="39187" priority="53728" stopIfTrue="1" operator="lessThan">
      <formula>0.5</formula>
    </cfRule>
  </conditionalFormatting>
  <conditionalFormatting sqref="AN11">
    <cfRule type="cellIs" dxfId="39186" priority="53729" stopIfTrue="1" operator="greaterThanOrEqual">
      <formula>0.5</formula>
    </cfRule>
  </conditionalFormatting>
  <conditionalFormatting sqref="AN12">
    <cfRule type="cellIs" dxfId="39185" priority="53730" stopIfTrue="1" operator="equal">
      <formula>-1</formula>
    </cfRule>
  </conditionalFormatting>
  <conditionalFormatting sqref="AN12">
    <cfRule type="cellIs" dxfId="39184" priority="53731" stopIfTrue="1" operator="lessThan">
      <formula>0.5</formula>
    </cfRule>
  </conditionalFormatting>
  <conditionalFormatting sqref="AN12">
    <cfRule type="cellIs" dxfId="39183" priority="53732" stopIfTrue="1" operator="greaterThanOrEqual">
      <formula>0.5</formula>
    </cfRule>
  </conditionalFormatting>
  <conditionalFormatting sqref="AN13">
    <cfRule type="cellIs" dxfId="39182" priority="53733" stopIfTrue="1" operator="equal">
      <formula>-1</formula>
    </cfRule>
  </conditionalFormatting>
  <conditionalFormatting sqref="AN13">
    <cfRule type="cellIs" dxfId="39181" priority="53734" stopIfTrue="1" operator="lessThan">
      <formula>0.5</formula>
    </cfRule>
  </conditionalFormatting>
  <conditionalFormatting sqref="AN13">
    <cfRule type="cellIs" dxfId="39180" priority="53735" stopIfTrue="1" operator="greaterThanOrEqual">
      <formula>0.5</formula>
    </cfRule>
  </conditionalFormatting>
  <conditionalFormatting sqref="AN14">
    <cfRule type="cellIs" dxfId="39179" priority="53736" stopIfTrue="1" operator="equal">
      <formula>-1</formula>
    </cfRule>
  </conditionalFormatting>
  <conditionalFormatting sqref="AN14">
    <cfRule type="cellIs" dxfId="39178" priority="53737" stopIfTrue="1" operator="lessThan">
      <formula>0.5</formula>
    </cfRule>
  </conditionalFormatting>
  <conditionalFormatting sqref="AN14">
    <cfRule type="cellIs" dxfId="39177" priority="53738" stopIfTrue="1" operator="greaterThanOrEqual">
      <formula>0.5</formula>
    </cfRule>
  </conditionalFormatting>
  <conditionalFormatting sqref="AN15">
    <cfRule type="cellIs" dxfId="39176" priority="53739" stopIfTrue="1" operator="equal">
      <formula>-1</formula>
    </cfRule>
  </conditionalFormatting>
  <conditionalFormatting sqref="AN15">
    <cfRule type="cellIs" dxfId="39175" priority="53740" stopIfTrue="1" operator="lessThan">
      <formula>0.5</formula>
    </cfRule>
  </conditionalFormatting>
  <conditionalFormatting sqref="AN15">
    <cfRule type="cellIs" dxfId="39174" priority="53741" stopIfTrue="1" operator="greaterThanOrEqual">
      <formula>0.5</formula>
    </cfRule>
  </conditionalFormatting>
  <conditionalFormatting sqref="AP8">
    <cfRule type="cellIs" dxfId="39173" priority="53742" stopIfTrue="1" operator="equal">
      <formula>-1</formula>
    </cfRule>
  </conditionalFormatting>
  <conditionalFormatting sqref="AP8">
    <cfRule type="cellIs" dxfId="39172" priority="53743" stopIfTrue="1" operator="lessThan">
      <formula>0.5</formula>
    </cfRule>
  </conditionalFormatting>
  <conditionalFormatting sqref="AP8">
    <cfRule type="cellIs" dxfId="39171" priority="53744" stopIfTrue="1" operator="greaterThanOrEqual">
      <formula>0.5</formula>
    </cfRule>
  </conditionalFormatting>
  <conditionalFormatting sqref="AP9">
    <cfRule type="cellIs" dxfId="39170" priority="53745" stopIfTrue="1" operator="equal">
      <formula>-1</formula>
    </cfRule>
  </conditionalFormatting>
  <conditionalFormatting sqref="AP9">
    <cfRule type="cellIs" dxfId="39169" priority="53746" stopIfTrue="1" operator="lessThan">
      <formula>0.5</formula>
    </cfRule>
  </conditionalFormatting>
  <conditionalFormatting sqref="AP9">
    <cfRule type="cellIs" dxfId="39168" priority="53747" stopIfTrue="1" operator="greaterThanOrEqual">
      <formula>0.5</formula>
    </cfRule>
  </conditionalFormatting>
  <conditionalFormatting sqref="AP10">
    <cfRule type="cellIs" dxfId="39167" priority="53748" stopIfTrue="1" operator="equal">
      <formula>-1</formula>
    </cfRule>
  </conditionalFormatting>
  <conditionalFormatting sqref="AP10">
    <cfRule type="cellIs" dxfId="39166" priority="53749" stopIfTrue="1" operator="lessThan">
      <formula>0.5</formula>
    </cfRule>
  </conditionalFormatting>
  <conditionalFormatting sqref="AP10">
    <cfRule type="cellIs" dxfId="39165" priority="53750" stopIfTrue="1" operator="greaterThanOrEqual">
      <formula>0.5</formula>
    </cfRule>
  </conditionalFormatting>
  <conditionalFormatting sqref="AP11">
    <cfRule type="cellIs" dxfId="39164" priority="53751" stopIfTrue="1" operator="equal">
      <formula>-1</formula>
    </cfRule>
  </conditionalFormatting>
  <conditionalFormatting sqref="AP11">
    <cfRule type="cellIs" dxfId="39163" priority="53752" stopIfTrue="1" operator="lessThan">
      <formula>0.5</formula>
    </cfRule>
  </conditionalFormatting>
  <conditionalFormatting sqref="AP11">
    <cfRule type="cellIs" dxfId="39162" priority="53753" stopIfTrue="1" operator="greaterThanOrEqual">
      <formula>0.5</formula>
    </cfRule>
  </conditionalFormatting>
  <conditionalFormatting sqref="AP12">
    <cfRule type="cellIs" dxfId="39161" priority="53754" stopIfTrue="1" operator="equal">
      <formula>-1</formula>
    </cfRule>
  </conditionalFormatting>
  <conditionalFormatting sqref="AP12">
    <cfRule type="cellIs" dxfId="39160" priority="53755" stopIfTrue="1" operator="lessThan">
      <formula>0.5</formula>
    </cfRule>
  </conditionalFormatting>
  <conditionalFormatting sqref="AP12">
    <cfRule type="cellIs" dxfId="39159" priority="53756" stopIfTrue="1" operator="greaterThanOrEqual">
      <formula>0.5</formula>
    </cfRule>
  </conditionalFormatting>
  <conditionalFormatting sqref="AP13">
    <cfRule type="cellIs" dxfId="39158" priority="53757" stopIfTrue="1" operator="equal">
      <formula>-1</formula>
    </cfRule>
  </conditionalFormatting>
  <conditionalFormatting sqref="AP13">
    <cfRule type="cellIs" dxfId="39157" priority="53758" stopIfTrue="1" operator="lessThan">
      <formula>0.5</formula>
    </cfRule>
  </conditionalFormatting>
  <conditionalFormatting sqref="AP13">
    <cfRule type="cellIs" dxfId="39156" priority="53759" stopIfTrue="1" operator="greaterThanOrEqual">
      <formula>0.5</formula>
    </cfRule>
  </conditionalFormatting>
  <conditionalFormatting sqref="AP14">
    <cfRule type="cellIs" dxfId="39155" priority="53760" stopIfTrue="1" operator="equal">
      <formula>-1</formula>
    </cfRule>
  </conditionalFormatting>
  <conditionalFormatting sqref="AP14">
    <cfRule type="cellIs" dxfId="39154" priority="53761" stopIfTrue="1" operator="lessThan">
      <formula>0.5</formula>
    </cfRule>
  </conditionalFormatting>
  <conditionalFormatting sqref="AP14">
    <cfRule type="cellIs" dxfId="39153" priority="53762" stopIfTrue="1" operator="greaterThanOrEqual">
      <formula>0.5</formula>
    </cfRule>
  </conditionalFormatting>
  <conditionalFormatting sqref="AP15">
    <cfRule type="cellIs" dxfId="39152" priority="53763" stopIfTrue="1" operator="equal">
      <formula>-1</formula>
    </cfRule>
  </conditionalFormatting>
  <conditionalFormatting sqref="AP15">
    <cfRule type="cellIs" dxfId="39151" priority="53764" stopIfTrue="1" operator="lessThan">
      <formula>0.5</formula>
    </cfRule>
  </conditionalFormatting>
  <conditionalFormatting sqref="AP15">
    <cfRule type="cellIs" dxfId="39150" priority="53765" stopIfTrue="1" operator="greaterThanOrEqual">
      <formula>0.5</formula>
    </cfRule>
  </conditionalFormatting>
  <conditionalFormatting sqref="AR8">
    <cfRule type="cellIs" dxfId="39149" priority="53766" stopIfTrue="1" operator="equal">
      <formula>-1</formula>
    </cfRule>
  </conditionalFormatting>
  <conditionalFormatting sqref="AR8">
    <cfRule type="cellIs" dxfId="39148" priority="53767" stopIfTrue="1" operator="lessThan">
      <formula>0.5</formula>
    </cfRule>
  </conditionalFormatting>
  <conditionalFormatting sqref="AR8">
    <cfRule type="cellIs" dxfId="39147" priority="53768" stopIfTrue="1" operator="greaterThanOrEqual">
      <formula>0.5</formula>
    </cfRule>
  </conditionalFormatting>
  <conditionalFormatting sqref="AR9">
    <cfRule type="cellIs" dxfId="39146" priority="53769" stopIfTrue="1" operator="equal">
      <formula>-1</formula>
    </cfRule>
  </conditionalFormatting>
  <conditionalFormatting sqref="AR9">
    <cfRule type="cellIs" dxfId="39145" priority="53770" stopIfTrue="1" operator="lessThan">
      <formula>0.5</formula>
    </cfRule>
  </conditionalFormatting>
  <conditionalFormatting sqref="AR9">
    <cfRule type="cellIs" dxfId="39144" priority="53771" stopIfTrue="1" operator="greaterThanOrEqual">
      <formula>0.5</formula>
    </cfRule>
  </conditionalFormatting>
  <conditionalFormatting sqref="AR10">
    <cfRule type="cellIs" dxfId="39143" priority="53772" stopIfTrue="1" operator="equal">
      <formula>-1</formula>
    </cfRule>
  </conditionalFormatting>
  <conditionalFormatting sqref="AR10">
    <cfRule type="cellIs" dxfId="39142" priority="53773" stopIfTrue="1" operator="lessThan">
      <formula>0.5</formula>
    </cfRule>
  </conditionalFormatting>
  <conditionalFormatting sqref="AR10">
    <cfRule type="cellIs" dxfId="39141" priority="53774" stopIfTrue="1" operator="greaterThanOrEqual">
      <formula>0.5</formula>
    </cfRule>
  </conditionalFormatting>
  <conditionalFormatting sqref="AR11">
    <cfRule type="cellIs" dxfId="39140" priority="53775" stopIfTrue="1" operator="equal">
      <formula>-1</formula>
    </cfRule>
  </conditionalFormatting>
  <conditionalFormatting sqref="AR11">
    <cfRule type="cellIs" dxfId="39139" priority="53776" stopIfTrue="1" operator="lessThan">
      <formula>0.5</formula>
    </cfRule>
  </conditionalFormatting>
  <conditionalFormatting sqref="AR11">
    <cfRule type="cellIs" dxfId="39138" priority="53777" stopIfTrue="1" operator="greaterThanOrEqual">
      <formula>0.5</formula>
    </cfRule>
  </conditionalFormatting>
  <conditionalFormatting sqref="AR12">
    <cfRule type="cellIs" dxfId="39137" priority="53778" stopIfTrue="1" operator="equal">
      <formula>-1</formula>
    </cfRule>
  </conditionalFormatting>
  <conditionalFormatting sqref="AR12">
    <cfRule type="cellIs" dxfId="39136" priority="53779" stopIfTrue="1" operator="lessThan">
      <formula>0.5</formula>
    </cfRule>
  </conditionalFormatting>
  <conditionalFormatting sqref="AR12">
    <cfRule type="cellIs" dxfId="39135" priority="53780" stopIfTrue="1" operator="greaterThanOrEqual">
      <formula>0.5</formula>
    </cfRule>
  </conditionalFormatting>
  <conditionalFormatting sqref="AR13">
    <cfRule type="cellIs" dxfId="39134" priority="53781" stopIfTrue="1" operator="equal">
      <formula>-1</formula>
    </cfRule>
  </conditionalFormatting>
  <conditionalFormatting sqref="AR13">
    <cfRule type="cellIs" dxfId="39133" priority="53782" stopIfTrue="1" operator="lessThan">
      <formula>0.5</formula>
    </cfRule>
  </conditionalFormatting>
  <conditionalFormatting sqref="AR13">
    <cfRule type="cellIs" dxfId="39132" priority="53783" stopIfTrue="1" operator="greaterThanOrEqual">
      <formula>0.5</formula>
    </cfRule>
  </conditionalFormatting>
  <conditionalFormatting sqref="AR14">
    <cfRule type="cellIs" dxfId="39131" priority="53784" stopIfTrue="1" operator="equal">
      <formula>-1</formula>
    </cfRule>
  </conditionalFormatting>
  <conditionalFormatting sqref="AR14">
    <cfRule type="cellIs" dxfId="39130" priority="53785" stopIfTrue="1" operator="lessThan">
      <formula>0.5</formula>
    </cfRule>
  </conditionalFormatting>
  <conditionalFormatting sqref="AR14">
    <cfRule type="cellIs" dxfId="39129" priority="53786" stopIfTrue="1" operator="greaterThanOrEqual">
      <formula>0.5</formula>
    </cfRule>
  </conditionalFormatting>
  <conditionalFormatting sqref="AR15">
    <cfRule type="cellIs" dxfId="39128" priority="53787" stopIfTrue="1" operator="equal">
      <formula>-1</formula>
    </cfRule>
  </conditionalFormatting>
  <conditionalFormatting sqref="AR15">
    <cfRule type="cellIs" dxfId="39127" priority="53788" stopIfTrue="1" operator="lessThan">
      <formula>0.5</formula>
    </cfRule>
  </conditionalFormatting>
  <conditionalFormatting sqref="AR15">
    <cfRule type="cellIs" dxfId="39126" priority="53789" stopIfTrue="1" operator="greaterThanOrEqual">
      <formula>0.5</formula>
    </cfRule>
  </conditionalFormatting>
  <conditionalFormatting sqref="AT8">
    <cfRule type="cellIs" dxfId="39125" priority="53790" stopIfTrue="1" operator="equal">
      <formula>-1</formula>
    </cfRule>
  </conditionalFormatting>
  <conditionalFormatting sqref="AT8">
    <cfRule type="cellIs" dxfId="39124" priority="53791" stopIfTrue="1" operator="lessThan">
      <formula>0.5</formula>
    </cfRule>
  </conditionalFormatting>
  <conditionalFormatting sqref="AT8">
    <cfRule type="cellIs" dxfId="39123" priority="53792" stopIfTrue="1" operator="greaterThanOrEqual">
      <formula>0.5</formula>
    </cfRule>
  </conditionalFormatting>
  <conditionalFormatting sqref="AT9">
    <cfRule type="cellIs" dxfId="39122" priority="53793" stopIfTrue="1" operator="equal">
      <formula>-1</formula>
    </cfRule>
  </conditionalFormatting>
  <conditionalFormatting sqref="AT9">
    <cfRule type="cellIs" dxfId="39121" priority="53794" stopIfTrue="1" operator="lessThan">
      <formula>0.5</formula>
    </cfRule>
  </conditionalFormatting>
  <conditionalFormatting sqref="AT9">
    <cfRule type="cellIs" dxfId="39120" priority="53795" stopIfTrue="1" operator="greaterThanOrEqual">
      <formula>0.5</formula>
    </cfRule>
  </conditionalFormatting>
  <conditionalFormatting sqref="AT10">
    <cfRule type="cellIs" dxfId="39119" priority="53796" stopIfTrue="1" operator="equal">
      <formula>-1</formula>
    </cfRule>
  </conditionalFormatting>
  <conditionalFormatting sqref="AT10">
    <cfRule type="cellIs" dxfId="39118" priority="53797" stopIfTrue="1" operator="lessThan">
      <formula>0.5</formula>
    </cfRule>
  </conditionalFormatting>
  <conditionalFormatting sqref="AT10">
    <cfRule type="cellIs" dxfId="39117" priority="53798" stopIfTrue="1" operator="greaterThanOrEqual">
      <formula>0.5</formula>
    </cfRule>
  </conditionalFormatting>
  <conditionalFormatting sqref="AT11">
    <cfRule type="cellIs" dxfId="39116" priority="53799" stopIfTrue="1" operator="equal">
      <formula>-1</formula>
    </cfRule>
  </conditionalFormatting>
  <conditionalFormatting sqref="AT11">
    <cfRule type="cellIs" dxfId="39115" priority="53800" stopIfTrue="1" operator="lessThan">
      <formula>0.5</formula>
    </cfRule>
  </conditionalFormatting>
  <conditionalFormatting sqref="AT11">
    <cfRule type="cellIs" dxfId="39114" priority="53801" stopIfTrue="1" operator="greaterThanOrEqual">
      <formula>0.5</formula>
    </cfRule>
  </conditionalFormatting>
  <conditionalFormatting sqref="AT12">
    <cfRule type="cellIs" dxfId="39113" priority="53802" stopIfTrue="1" operator="equal">
      <formula>-1</formula>
    </cfRule>
  </conditionalFormatting>
  <conditionalFormatting sqref="AT12">
    <cfRule type="cellIs" dxfId="39112" priority="53803" stopIfTrue="1" operator="lessThan">
      <formula>0.5</formula>
    </cfRule>
  </conditionalFormatting>
  <conditionalFormatting sqref="AT12">
    <cfRule type="cellIs" dxfId="39111" priority="53804" stopIfTrue="1" operator="greaterThanOrEqual">
      <formula>0.5</formula>
    </cfRule>
  </conditionalFormatting>
  <conditionalFormatting sqref="AT13">
    <cfRule type="cellIs" dxfId="39110" priority="53805" stopIfTrue="1" operator="equal">
      <formula>-1</formula>
    </cfRule>
  </conditionalFormatting>
  <conditionalFormatting sqref="AT13">
    <cfRule type="cellIs" dxfId="39109" priority="53806" stopIfTrue="1" operator="lessThan">
      <formula>0.5</formula>
    </cfRule>
  </conditionalFormatting>
  <conditionalFormatting sqref="AT13">
    <cfRule type="cellIs" dxfId="39108" priority="53807" stopIfTrue="1" operator="greaterThanOrEqual">
      <formula>0.5</formula>
    </cfRule>
  </conditionalFormatting>
  <conditionalFormatting sqref="AT14">
    <cfRule type="cellIs" dxfId="39107" priority="53808" stopIfTrue="1" operator="equal">
      <formula>-1</formula>
    </cfRule>
  </conditionalFormatting>
  <conditionalFormatting sqref="AT14">
    <cfRule type="cellIs" dxfId="39106" priority="53809" stopIfTrue="1" operator="lessThan">
      <formula>0.5</formula>
    </cfRule>
  </conditionalFormatting>
  <conditionalFormatting sqref="AT14">
    <cfRule type="cellIs" dxfId="39105" priority="53810" stopIfTrue="1" operator="greaterThanOrEqual">
      <formula>0.5</formula>
    </cfRule>
  </conditionalFormatting>
  <conditionalFormatting sqref="AT15">
    <cfRule type="cellIs" dxfId="39104" priority="53811" stopIfTrue="1" operator="equal">
      <formula>-1</formula>
    </cfRule>
  </conditionalFormatting>
  <conditionalFormatting sqref="AT15">
    <cfRule type="cellIs" dxfId="39103" priority="53812" stopIfTrue="1" operator="lessThan">
      <formula>0.5</formula>
    </cfRule>
  </conditionalFormatting>
  <conditionalFormatting sqref="AT15">
    <cfRule type="cellIs" dxfId="39102" priority="53813" stopIfTrue="1" operator="greaterThanOrEqual">
      <formula>0.5</formula>
    </cfRule>
  </conditionalFormatting>
  <conditionalFormatting sqref="AV8">
    <cfRule type="cellIs" dxfId="39101" priority="53814" stopIfTrue="1" operator="equal">
      <formula>-1</formula>
    </cfRule>
  </conditionalFormatting>
  <conditionalFormatting sqref="AV8">
    <cfRule type="cellIs" dxfId="39100" priority="53815" stopIfTrue="1" operator="lessThan">
      <formula>0.5</formula>
    </cfRule>
  </conditionalFormatting>
  <conditionalFormatting sqref="AV8">
    <cfRule type="cellIs" dxfId="39099" priority="53816" stopIfTrue="1" operator="greaterThanOrEqual">
      <formula>0.5</formula>
    </cfRule>
  </conditionalFormatting>
  <conditionalFormatting sqref="AV9">
    <cfRule type="cellIs" dxfId="39098" priority="53817" stopIfTrue="1" operator="equal">
      <formula>-1</formula>
    </cfRule>
  </conditionalFormatting>
  <conditionalFormatting sqref="AV9">
    <cfRule type="cellIs" dxfId="39097" priority="53818" stopIfTrue="1" operator="lessThan">
      <formula>0.5</formula>
    </cfRule>
  </conditionalFormatting>
  <conditionalFormatting sqref="AV9">
    <cfRule type="cellIs" dxfId="39096" priority="53819" stopIfTrue="1" operator="greaterThanOrEqual">
      <formula>0.5</formula>
    </cfRule>
  </conditionalFormatting>
  <conditionalFormatting sqref="AV10">
    <cfRule type="cellIs" dxfId="39095" priority="53820" stopIfTrue="1" operator="equal">
      <formula>-1</formula>
    </cfRule>
  </conditionalFormatting>
  <conditionalFormatting sqref="AV10">
    <cfRule type="cellIs" dxfId="39094" priority="53821" stopIfTrue="1" operator="lessThan">
      <formula>0.5</formula>
    </cfRule>
  </conditionalFormatting>
  <conditionalFormatting sqref="AV10">
    <cfRule type="cellIs" dxfId="39093" priority="53822" stopIfTrue="1" operator="greaterThanOrEqual">
      <formula>0.5</formula>
    </cfRule>
  </conditionalFormatting>
  <conditionalFormatting sqref="AV11">
    <cfRule type="cellIs" dxfId="39092" priority="53823" stopIfTrue="1" operator="equal">
      <formula>-1</formula>
    </cfRule>
  </conditionalFormatting>
  <conditionalFormatting sqref="AV11">
    <cfRule type="cellIs" dxfId="39091" priority="53824" stopIfTrue="1" operator="lessThan">
      <formula>0.5</formula>
    </cfRule>
  </conditionalFormatting>
  <conditionalFormatting sqref="AV11">
    <cfRule type="cellIs" dxfId="39090" priority="53825" stopIfTrue="1" operator="greaterThanOrEqual">
      <formula>0.5</formula>
    </cfRule>
  </conditionalFormatting>
  <conditionalFormatting sqref="AV12">
    <cfRule type="cellIs" dxfId="39089" priority="53826" stopIfTrue="1" operator="equal">
      <formula>-1</formula>
    </cfRule>
  </conditionalFormatting>
  <conditionalFormatting sqref="AV12">
    <cfRule type="cellIs" dxfId="39088" priority="53827" stopIfTrue="1" operator="lessThan">
      <formula>0.5</formula>
    </cfRule>
  </conditionalFormatting>
  <conditionalFormatting sqref="AV12">
    <cfRule type="cellIs" dxfId="39087" priority="53828" stopIfTrue="1" operator="greaterThanOrEqual">
      <formula>0.5</formula>
    </cfRule>
  </conditionalFormatting>
  <conditionalFormatting sqref="AV13">
    <cfRule type="cellIs" dxfId="39086" priority="53829" stopIfTrue="1" operator="equal">
      <formula>-1</formula>
    </cfRule>
  </conditionalFormatting>
  <conditionalFormatting sqref="AV13">
    <cfRule type="cellIs" dxfId="39085" priority="53830" stopIfTrue="1" operator="lessThan">
      <formula>0.5</formula>
    </cfRule>
  </conditionalFormatting>
  <conditionalFormatting sqref="AV13">
    <cfRule type="cellIs" dxfId="39084" priority="53831" stopIfTrue="1" operator="greaterThanOrEqual">
      <formula>0.5</formula>
    </cfRule>
  </conditionalFormatting>
  <conditionalFormatting sqref="AV14">
    <cfRule type="cellIs" dxfId="39083" priority="53832" stopIfTrue="1" operator="equal">
      <formula>-1</formula>
    </cfRule>
  </conditionalFormatting>
  <conditionalFormatting sqref="AV14">
    <cfRule type="cellIs" dxfId="39082" priority="53833" stopIfTrue="1" operator="lessThan">
      <formula>0.5</formula>
    </cfRule>
  </conditionalFormatting>
  <conditionalFormatting sqref="AV14">
    <cfRule type="cellIs" dxfId="39081" priority="53834" stopIfTrue="1" operator="greaterThanOrEqual">
      <formula>0.5</formula>
    </cfRule>
  </conditionalFormatting>
  <conditionalFormatting sqref="AV15">
    <cfRule type="cellIs" dxfId="39080" priority="53835" stopIfTrue="1" operator="equal">
      <formula>-1</formula>
    </cfRule>
  </conditionalFormatting>
  <conditionalFormatting sqref="AV15">
    <cfRule type="cellIs" dxfId="39079" priority="53836" stopIfTrue="1" operator="lessThan">
      <formula>0.5</formula>
    </cfRule>
  </conditionalFormatting>
  <conditionalFormatting sqref="AV15">
    <cfRule type="cellIs" dxfId="39078" priority="53837" stopIfTrue="1" operator="greaterThanOrEqual">
      <formula>0.5</formula>
    </cfRule>
  </conditionalFormatting>
  <conditionalFormatting sqref="AX8">
    <cfRule type="cellIs" dxfId="39077" priority="53838" stopIfTrue="1" operator="equal">
      <formula>-1</formula>
    </cfRule>
  </conditionalFormatting>
  <conditionalFormatting sqref="AX8">
    <cfRule type="cellIs" dxfId="39076" priority="53839" stopIfTrue="1" operator="lessThan">
      <formula>0.5</formula>
    </cfRule>
  </conditionalFormatting>
  <conditionalFormatting sqref="AX8">
    <cfRule type="cellIs" dxfId="39075" priority="53840" stopIfTrue="1" operator="greaterThanOrEqual">
      <formula>0.5</formula>
    </cfRule>
  </conditionalFormatting>
  <conditionalFormatting sqref="AX9">
    <cfRule type="cellIs" dxfId="39074" priority="53841" stopIfTrue="1" operator="equal">
      <formula>-1</formula>
    </cfRule>
  </conditionalFormatting>
  <conditionalFormatting sqref="AX9">
    <cfRule type="cellIs" dxfId="39073" priority="53842" stopIfTrue="1" operator="lessThan">
      <formula>0.5</formula>
    </cfRule>
  </conditionalFormatting>
  <conditionalFormatting sqref="AX9">
    <cfRule type="cellIs" dxfId="39072" priority="53843" stopIfTrue="1" operator="greaterThanOrEqual">
      <formula>0.5</formula>
    </cfRule>
  </conditionalFormatting>
  <conditionalFormatting sqref="AX10">
    <cfRule type="cellIs" dxfId="39071" priority="53844" stopIfTrue="1" operator="equal">
      <formula>-1</formula>
    </cfRule>
  </conditionalFormatting>
  <conditionalFormatting sqref="AX10">
    <cfRule type="cellIs" dxfId="39070" priority="53845" stopIfTrue="1" operator="lessThan">
      <formula>0.5</formula>
    </cfRule>
  </conditionalFormatting>
  <conditionalFormatting sqref="AX10">
    <cfRule type="cellIs" dxfId="39069" priority="53846" stopIfTrue="1" operator="greaterThanOrEqual">
      <formula>0.5</formula>
    </cfRule>
  </conditionalFormatting>
  <conditionalFormatting sqref="AX11">
    <cfRule type="cellIs" dxfId="39068" priority="53847" stopIfTrue="1" operator="equal">
      <formula>-1</formula>
    </cfRule>
  </conditionalFormatting>
  <conditionalFormatting sqref="AX11">
    <cfRule type="cellIs" dxfId="39067" priority="53848" stopIfTrue="1" operator="lessThan">
      <formula>0.5</formula>
    </cfRule>
  </conditionalFormatting>
  <conditionalFormatting sqref="AX11">
    <cfRule type="cellIs" dxfId="39066" priority="53849" stopIfTrue="1" operator="greaterThanOrEqual">
      <formula>0.5</formula>
    </cfRule>
  </conditionalFormatting>
  <conditionalFormatting sqref="AX12">
    <cfRule type="cellIs" dxfId="39065" priority="53850" stopIfTrue="1" operator="equal">
      <formula>-1</formula>
    </cfRule>
  </conditionalFormatting>
  <conditionalFormatting sqref="AX12">
    <cfRule type="cellIs" dxfId="39064" priority="53851" stopIfTrue="1" operator="lessThan">
      <formula>0.5</formula>
    </cfRule>
  </conditionalFormatting>
  <conditionalFormatting sqref="AX12">
    <cfRule type="cellIs" dxfId="39063" priority="53852" stopIfTrue="1" operator="greaterThanOrEqual">
      <formula>0.5</formula>
    </cfRule>
  </conditionalFormatting>
  <conditionalFormatting sqref="AX13">
    <cfRule type="cellIs" dxfId="39062" priority="53853" stopIfTrue="1" operator="equal">
      <formula>-1</formula>
    </cfRule>
  </conditionalFormatting>
  <conditionalFormatting sqref="AX13">
    <cfRule type="cellIs" dxfId="39061" priority="53854" stopIfTrue="1" operator="lessThan">
      <formula>0.5</formula>
    </cfRule>
  </conditionalFormatting>
  <conditionalFormatting sqref="AX13">
    <cfRule type="cellIs" dxfId="39060" priority="53855" stopIfTrue="1" operator="greaterThanOrEqual">
      <formula>0.5</formula>
    </cfRule>
  </conditionalFormatting>
  <conditionalFormatting sqref="AX14">
    <cfRule type="cellIs" dxfId="39059" priority="53856" stopIfTrue="1" operator="equal">
      <formula>-1</formula>
    </cfRule>
  </conditionalFormatting>
  <conditionalFormatting sqref="AX14">
    <cfRule type="cellIs" dxfId="39058" priority="53857" stopIfTrue="1" operator="lessThan">
      <formula>0.5</formula>
    </cfRule>
  </conditionalFormatting>
  <conditionalFormatting sqref="AX14">
    <cfRule type="cellIs" dxfId="39057" priority="53858" stopIfTrue="1" operator="greaterThanOrEqual">
      <formula>0.5</formula>
    </cfRule>
  </conditionalFormatting>
  <conditionalFormatting sqref="AX15">
    <cfRule type="cellIs" dxfId="39056" priority="53859" stopIfTrue="1" operator="equal">
      <formula>-1</formula>
    </cfRule>
  </conditionalFormatting>
  <conditionalFormatting sqref="AX15">
    <cfRule type="cellIs" dxfId="39055" priority="53860" stopIfTrue="1" operator="lessThan">
      <formula>0.5</formula>
    </cfRule>
  </conditionalFormatting>
  <conditionalFormatting sqref="AX15">
    <cfRule type="cellIs" dxfId="39054" priority="53861" stopIfTrue="1" operator="greaterThanOrEqual">
      <formula>0.5</formula>
    </cfRule>
  </conditionalFormatting>
  <conditionalFormatting sqref="AZ8">
    <cfRule type="cellIs" dxfId="39053" priority="53862" stopIfTrue="1" operator="equal">
      <formula>-1</formula>
    </cfRule>
  </conditionalFormatting>
  <conditionalFormatting sqref="AZ8">
    <cfRule type="cellIs" dxfId="39052" priority="53863" stopIfTrue="1" operator="lessThan">
      <formula>0.5</formula>
    </cfRule>
  </conditionalFormatting>
  <conditionalFormatting sqref="AZ8">
    <cfRule type="cellIs" dxfId="39051" priority="53864" stopIfTrue="1" operator="greaterThanOrEqual">
      <formula>0.5</formula>
    </cfRule>
  </conditionalFormatting>
  <conditionalFormatting sqref="AZ9">
    <cfRule type="cellIs" dxfId="39050" priority="53865" stopIfTrue="1" operator="equal">
      <formula>-1</formula>
    </cfRule>
  </conditionalFormatting>
  <conditionalFormatting sqref="AZ9">
    <cfRule type="cellIs" dxfId="39049" priority="53866" stopIfTrue="1" operator="lessThan">
      <formula>0.5</formula>
    </cfRule>
  </conditionalFormatting>
  <conditionalFormatting sqref="AZ9">
    <cfRule type="cellIs" dxfId="39048" priority="53867" stopIfTrue="1" operator="greaterThanOrEqual">
      <formula>0.5</formula>
    </cfRule>
  </conditionalFormatting>
  <conditionalFormatting sqref="AZ10">
    <cfRule type="cellIs" dxfId="39047" priority="53868" stopIfTrue="1" operator="equal">
      <formula>-1</formula>
    </cfRule>
  </conditionalFormatting>
  <conditionalFormatting sqref="AZ10">
    <cfRule type="cellIs" dxfId="39046" priority="53869" stopIfTrue="1" operator="lessThan">
      <formula>0.5</formula>
    </cfRule>
  </conditionalFormatting>
  <conditionalFormatting sqref="AZ10">
    <cfRule type="cellIs" dxfId="39045" priority="53870" stopIfTrue="1" operator="greaterThanOrEqual">
      <formula>0.5</formula>
    </cfRule>
  </conditionalFormatting>
  <conditionalFormatting sqref="AZ11">
    <cfRule type="cellIs" dxfId="39044" priority="53871" stopIfTrue="1" operator="equal">
      <formula>-1</formula>
    </cfRule>
  </conditionalFormatting>
  <conditionalFormatting sqref="AZ11">
    <cfRule type="cellIs" dxfId="39043" priority="53872" stopIfTrue="1" operator="lessThan">
      <formula>0.5</formula>
    </cfRule>
  </conditionalFormatting>
  <conditionalFormatting sqref="AZ11">
    <cfRule type="cellIs" dxfId="39042" priority="53873" stopIfTrue="1" operator="greaterThanOrEqual">
      <formula>0.5</formula>
    </cfRule>
  </conditionalFormatting>
  <conditionalFormatting sqref="AZ12">
    <cfRule type="cellIs" dxfId="39041" priority="53874" stopIfTrue="1" operator="equal">
      <formula>-1</formula>
    </cfRule>
  </conditionalFormatting>
  <conditionalFormatting sqref="AZ12">
    <cfRule type="cellIs" dxfId="39040" priority="53875" stopIfTrue="1" operator="lessThan">
      <formula>0.5</formula>
    </cfRule>
  </conditionalFormatting>
  <conditionalFormatting sqref="AZ12">
    <cfRule type="cellIs" dxfId="39039" priority="53876" stopIfTrue="1" operator="greaterThanOrEqual">
      <formula>0.5</formula>
    </cfRule>
  </conditionalFormatting>
  <conditionalFormatting sqref="AZ13">
    <cfRule type="cellIs" dxfId="39038" priority="53877" stopIfTrue="1" operator="equal">
      <formula>-1</formula>
    </cfRule>
  </conditionalFormatting>
  <conditionalFormatting sqref="AZ13">
    <cfRule type="cellIs" dxfId="39037" priority="53878" stopIfTrue="1" operator="lessThan">
      <formula>0.5</formula>
    </cfRule>
  </conditionalFormatting>
  <conditionalFormatting sqref="AZ13">
    <cfRule type="cellIs" dxfId="39036" priority="53879" stopIfTrue="1" operator="greaterThanOrEqual">
      <formula>0.5</formula>
    </cfRule>
  </conditionalFormatting>
  <conditionalFormatting sqref="AZ14">
    <cfRule type="cellIs" dxfId="39035" priority="53880" stopIfTrue="1" operator="equal">
      <formula>-1</formula>
    </cfRule>
  </conditionalFormatting>
  <conditionalFormatting sqref="AZ14">
    <cfRule type="cellIs" dxfId="39034" priority="53881" stopIfTrue="1" operator="lessThan">
      <formula>0.5</formula>
    </cfRule>
  </conditionalFormatting>
  <conditionalFormatting sqref="AZ14">
    <cfRule type="cellIs" dxfId="39033" priority="53882" stopIfTrue="1" operator="greaterThanOrEqual">
      <formula>0.5</formula>
    </cfRule>
  </conditionalFormatting>
  <conditionalFormatting sqref="AZ15">
    <cfRule type="cellIs" dxfId="39032" priority="53883" stopIfTrue="1" operator="equal">
      <formula>-1</formula>
    </cfRule>
  </conditionalFormatting>
  <conditionalFormatting sqref="AZ15">
    <cfRule type="cellIs" dxfId="39031" priority="53884" stopIfTrue="1" operator="lessThan">
      <formula>0.5</formula>
    </cfRule>
  </conditionalFormatting>
  <conditionalFormatting sqref="AZ15">
    <cfRule type="cellIs" dxfId="39030" priority="53885" stopIfTrue="1" operator="greaterThanOrEqual">
      <formula>0.5</formula>
    </cfRule>
  </conditionalFormatting>
  <conditionalFormatting sqref="BB8">
    <cfRule type="cellIs" dxfId="39029" priority="53886" stopIfTrue="1" operator="equal">
      <formula>-1</formula>
    </cfRule>
  </conditionalFormatting>
  <conditionalFormatting sqref="BB8">
    <cfRule type="cellIs" dxfId="39028" priority="53887" stopIfTrue="1" operator="lessThan">
      <formula>0.5</formula>
    </cfRule>
  </conditionalFormatting>
  <conditionalFormatting sqref="BB8">
    <cfRule type="cellIs" dxfId="39027" priority="53888" stopIfTrue="1" operator="greaterThanOrEqual">
      <formula>0.5</formula>
    </cfRule>
  </conditionalFormatting>
  <conditionalFormatting sqref="BB9">
    <cfRule type="cellIs" dxfId="39026" priority="53889" stopIfTrue="1" operator="equal">
      <formula>-1</formula>
    </cfRule>
  </conditionalFormatting>
  <conditionalFormatting sqref="BB9">
    <cfRule type="cellIs" dxfId="39025" priority="53890" stopIfTrue="1" operator="lessThan">
      <formula>0.5</formula>
    </cfRule>
  </conditionalFormatting>
  <conditionalFormatting sqref="BB9">
    <cfRule type="cellIs" dxfId="39024" priority="53891" stopIfTrue="1" operator="greaterThanOrEqual">
      <formula>0.5</formula>
    </cfRule>
  </conditionalFormatting>
  <conditionalFormatting sqref="BB10">
    <cfRule type="cellIs" dxfId="39023" priority="53892" stopIfTrue="1" operator="equal">
      <formula>-1</formula>
    </cfRule>
  </conditionalFormatting>
  <conditionalFormatting sqref="BB10">
    <cfRule type="cellIs" dxfId="39022" priority="53893" stopIfTrue="1" operator="lessThan">
      <formula>0.5</formula>
    </cfRule>
  </conditionalFormatting>
  <conditionalFormatting sqref="BB10">
    <cfRule type="cellIs" dxfId="39021" priority="53894" stopIfTrue="1" operator="greaterThanOrEqual">
      <formula>0.5</formula>
    </cfRule>
  </conditionalFormatting>
  <conditionalFormatting sqref="BB11">
    <cfRule type="cellIs" dxfId="39020" priority="53895" stopIfTrue="1" operator="equal">
      <formula>-1</formula>
    </cfRule>
  </conditionalFormatting>
  <conditionalFormatting sqref="BB11">
    <cfRule type="cellIs" dxfId="39019" priority="53896" stopIfTrue="1" operator="lessThan">
      <formula>0.5</formula>
    </cfRule>
  </conditionalFormatting>
  <conditionalFormatting sqref="BB11">
    <cfRule type="cellIs" dxfId="39018" priority="53897" stopIfTrue="1" operator="greaterThanOrEqual">
      <formula>0.5</formula>
    </cfRule>
  </conditionalFormatting>
  <conditionalFormatting sqref="BB12">
    <cfRule type="cellIs" dxfId="39017" priority="53898" stopIfTrue="1" operator="equal">
      <formula>-1</formula>
    </cfRule>
  </conditionalFormatting>
  <conditionalFormatting sqref="BB12">
    <cfRule type="cellIs" dxfId="39016" priority="53899" stopIfTrue="1" operator="lessThan">
      <formula>0.5</formula>
    </cfRule>
  </conditionalFormatting>
  <conditionalFormatting sqref="BB12">
    <cfRule type="cellIs" dxfId="39015" priority="53900" stopIfTrue="1" operator="greaterThanOrEqual">
      <formula>0.5</formula>
    </cfRule>
  </conditionalFormatting>
  <conditionalFormatting sqref="BB13">
    <cfRule type="cellIs" dxfId="39014" priority="53901" stopIfTrue="1" operator="equal">
      <formula>-1</formula>
    </cfRule>
  </conditionalFormatting>
  <conditionalFormatting sqref="BB13">
    <cfRule type="cellIs" dxfId="39013" priority="53902" stopIfTrue="1" operator="lessThan">
      <formula>0.5</formula>
    </cfRule>
  </conditionalFormatting>
  <conditionalFormatting sqref="BB13">
    <cfRule type="cellIs" dxfId="39012" priority="53903" stopIfTrue="1" operator="greaterThanOrEqual">
      <formula>0.5</formula>
    </cfRule>
  </conditionalFormatting>
  <conditionalFormatting sqref="BB14">
    <cfRule type="cellIs" dxfId="39011" priority="53904" stopIfTrue="1" operator="equal">
      <formula>-1</formula>
    </cfRule>
  </conditionalFormatting>
  <conditionalFormatting sqref="BB14">
    <cfRule type="cellIs" dxfId="39010" priority="53905" stopIfTrue="1" operator="lessThan">
      <formula>0.5</formula>
    </cfRule>
  </conditionalFormatting>
  <conditionalFormatting sqref="BB14">
    <cfRule type="cellIs" dxfId="39009" priority="53906" stopIfTrue="1" operator="greaterThanOrEqual">
      <formula>0.5</formula>
    </cfRule>
  </conditionalFormatting>
  <conditionalFormatting sqref="BB15">
    <cfRule type="cellIs" dxfId="39008" priority="53907" stopIfTrue="1" operator="equal">
      <formula>-1</formula>
    </cfRule>
  </conditionalFormatting>
  <conditionalFormatting sqref="BB15">
    <cfRule type="cellIs" dxfId="39007" priority="53908" stopIfTrue="1" operator="lessThan">
      <formula>0.5</formula>
    </cfRule>
  </conditionalFormatting>
  <conditionalFormatting sqref="BB15">
    <cfRule type="cellIs" dxfId="39006" priority="53909" stopIfTrue="1" operator="greaterThanOrEqual">
      <formula>0.5</formula>
    </cfRule>
  </conditionalFormatting>
  <conditionalFormatting sqref="BD8">
    <cfRule type="cellIs" dxfId="39005" priority="53910" stopIfTrue="1" operator="equal">
      <formula>-1</formula>
    </cfRule>
  </conditionalFormatting>
  <conditionalFormatting sqref="BD8">
    <cfRule type="cellIs" dxfId="39004" priority="53911" stopIfTrue="1" operator="lessThan">
      <formula>0.5</formula>
    </cfRule>
  </conditionalFormatting>
  <conditionalFormatting sqref="BD8">
    <cfRule type="cellIs" dxfId="39003" priority="53912" stopIfTrue="1" operator="greaterThanOrEqual">
      <formula>0.5</formula>
    </cfRule>
  </conditionalFormatting>
  <conditionalFormatting sqref="BD9">
    <cfRule type="cellIs" dxfId="39002" priority="53913" stopIfTrue="1" operator="equal">
      <formula>-1</formula>
    </cfRule>
  </conditionalFormatting>
  <conditionalFormatting sqref="BD9">
    <cfRule type="cellIs" dxfId="39001" priority="53914" stopIfTrue="1" operator="lessThan">
      <formula>0.5</formula>
    </cfRule>
  </conditionalFormatting>
  <conditionalFormatting sqref="BD9">
    <cfRule type="cellIs" dxfId="39000" priority="53915" stopIfTrue="1" operator="greaterThanOrEqual">
      <formula>0.5</formula>
    </cfRule>
  </conditionalFormatting>
  <conditionalFormatting sqref="BD10">
    <cfRule type="cellIs" dxfId="38999" priority="53916" stopIfTrue="1" operator="equal">
      <formula>-1</formula>
    </cfRule>
  </conditionalFormatting>
  <conditionalFormatting sqref="BD10">
    <cfRule type="cellIs" dxfId="38998" priority="53917" stopIfTrue="1" operator="lessThan">
      <formula>0.5</formula>
    </cfRule>
  </conditionalFormatting>
  <conditionalFormatting sqref="BD10">
    <cfRule type="cellIs" dxfId="38997" priority="53918" stopIfTrue="1" operator="greaterThanOrEqual">
      <formula>0.5</formula>
    </cfRule>
  </conditionalFormatting>
  <conditionalFormatting sqref="BD11">
    <cfRule type="cellIs" dxfId="38996" priority="53919" stopIfTrue="1" operator="equal">
      <formula>-1</formula>
    </cfRule>
  </conditionalFormatting>
  <conditionalFormatting sqref="BD11">
    <cfRule type="cellIs" dxfId="38995" priority="53920" stopIfTrue="1" operator="lessThan">
      <formula>0.5</formula>
    </cfRule>
  </conditionalFormatting>
  <conditionalFormatting sqref="BD11">
    <cfRule type="cellIs" dxfId="38994" priority="53921" stopIfTrue="1" operator="greaterThanOrEqual">
      <formula>0.5</formula>
    </cfRule>
  </conditionalFormatting>
  <conditionalFormatting sqref="BD12">
    <cfRule type="cellIs" dxfId="38993" priority="53922" stopIfTrue="1" operator="equal">
      <formula>-1</formula>
    </cfRule>
  </conditionalFormatting>
  <conditionalFormatting sqref="BD12">
    <cfRule type="cellIs" dxfId="38992" priority="53923" stopIfTrue="1" operator="lessThan">
      <formula>0.5</formula>
    </cfRule>
  </conditionalFormatting>
  <conditionalFormatting sqref="BD12">
    <cfRule type="cellIs" dxfId="38991" priority="53924" stopIfTrue="1" operator="greaterThanOrEqual">
      <formula>0.5</formula>
    </cfRule>
  </conditionalFormatting>
  <conditionalFormatting sqref="BD13">
    <cfRule type="cellIs" dxfId="38990" priority="53925" stopIfTrue="1" operator="equal">
      <formula>-1</formula>
    </cfRule>
  </conditionalFormatting>
  <conditionalFormatting sqref="BD13">
    <cfRule type="cellIs" dxfId="38989" priority="53926" stopIfTrue="1" operator="lessThan">
      <formula>0.5</formula>
    </cfRule>
  </conditionalFormatting>
  <conditionalFormatting sqref="BD13">
    <cfRule type="cellIs" dxfId="38988" priority="53927" stopIfTrue="1" operator="greaterThanOrEqual">
      <formula>0.5</formula>
    </cfRule>
  </conditionalFormatting>
  <conditionalFormatting sqref="BD14">
    <cfRule type="cellIs" dxfId="38987" priority="53928" stopIfTrue="1" operator="equal">
      <formula>-1</formula>
    </cfRule>
  </conditionalFormatting>
  <conditionalFormatting sqref="BD14">
    <cfRule type="cellIs" dxfId="38986" priority="53929" stopIfTrue="1" operator="lessThan">
      <formula>0.5</formula>
    </cfRule>
  </conditionalFormatting>
  <conditionalFormatting sqref="BD14">
    <cfRule type="cellIs" dxfId="38985" priority="53930" stopIfTrue="1" operator="greaterThanOrEqual">
      <formula>0.5</formula>
    </cfRule>
  </conditionalFormatting>
  <conditionalFormatting sqref="BD15">
    <cfRule type="cellIs" dxfId="38984" priority="53931" stopIfTrue="1" operator="equal">
      <formula>-1</formula>
    </cfRule>
  </conditionalFormatting>
  <conditionalFormatting sqref="BD15">
    <cfRule type="cellIs" dxfId="38983" priority="53932" stopIfTrue="1" operator="lessThan">
      <formula>0.5</formula>
    </cfRule>
  </conditionalFormatting>
  <conditionalFormatting sqref="BD15">
    <cfRule type="cellIs" dxfId="38982" priority="53933" stopIfTrue="1" operator="greaterThanOrEqual">
      <formula>0.5</formula>
    </cfRule>
  </conditionalFormatting>
  <conditionalFormatting sqref="BF8">
    <cfRule type="cellIs" dxfId="38981" priority="53934" stopIfTrue="1" operator="equal">
      <formula>-1</formula>
    </cfRule>
  </conditionalFormatting>
  <conditionalFormatting sqref="BF8">
    <cfRule type="cellIs" dxfId="38980" priority="53935" stopIfTrue="1" operator="lessThan">
      <formula>0.5</formula>
    </cfRule>
  </conditionalFormatting>
  <conditionalFormatting sqref="BF8">
    <cfRule type="cellIs" dxfId="38979" priority="53936" stopIfTrue="1" operator="greaterThanOrEqual">
      <formula>0.5</formula>
    </cfRule>
  </conditionalFormatting>
  <conditionalFormatting sqref="BF9">
    <cfRule type="cellIs" dxfId="38978" priority="53937" stopIfTrue="1" operator="equal">
      <formula>-1</formula>
    </cfRule>
  </conditionalFormatting>
  <conditionalFormatting sqref="BF9">
    <cfRule type="cellIs" dxfId="38977" priority="53938" stopIfTrue="1" operator="lessThan">
      <formula>0.5</formula>
    </cfRule>
  </conditionalFormatting>
  <conditionalFormatting sqref="BF9">
    <cfRule type="cellIs" dxfId="38976" priority="53939" stopIfTrue="1" operator="greaterThanOrEqual">
      <formula>0.5</formula>
    </cfRule>
  </conditionalFormatting>
  <conditionalFormatting sqref="BF10">
    <cfRule type="cellIs" dxfId="38975" priority="53940" stopIfTrue="1" operator="equal">
      <formula>-1</formula>
    </cfRule>
  </conditionalFormatting>
  <conditionalFormatting sqref="BF10">
    <cfRule type="cellIs" dxfId="38974" priority="53941" stopIfTrue="1" operator="lessThan">
      <formula>0.5</formula>
    </cfRule>
  </conditionalFormatting>
  <conditionalFormatting sqref="BF10">
    <cfRule type="cellIs" dxfId="38973" priority="53942" stopIfTrue="1" operator="greaterThanOrEqual">
      <formula>0.5</formula>
    </cfRule>
  </conditionalFormatting>
  <conditionalFormatting sqref="BF11">
    <cfRule type="cellIs" dxfId="38972" priority="53943" stopIfTrue="1" operator="equal">
      <formula>-1</formula>
    </cfRule>
  </conditionalFormatting>
  <conditionalFormatting sqref="BF11">
    <cfRule type="cellIs" dxfId="38971" priority="53944" stopIfTrue="1" operator="lessThan">
      <formula>0.5</formula>
    </cfRule>
  </conditionalFormatting>
  <conditionalFormatting sqref="BF11">
    <cfRule type="cellIs" dxfId="38970" priority="53945" stopIfTrue="1" operator="greaterThanOrEqual">
      <formula>0.5</formula>
    </cfRule>
  </conditionalFormatting>
  <conditionalFormatting sqref="BF12">
    <cfRule type="cellIs" dxfId="38969" priority="53946" stopIfTrue="1" operator="equal">
      <formula>-1</formula>
    </cfRule>
  </conditionalFormatting>
  <conditionalFormatting sqref="BF12">
    <cfRule type="cellIs" dxfId="38968" priority="53947" stopIfTrue="1" operator="lessThan">
      <formula>0.5</formula>
    </cfRule>
  </conditionalFormatting>
  <conditionalFormatting sqref="BF12">
    <cfRule type="cellIs" dxfId="38967" priority="53948" stopIfTrue="1" operator="greaterThanOrEqual">
      <formula>0.5</formula>
    </cfRule>
  </conditionalFormatting>
  <conditionalFormatting sqref="BF13">
    <cfRule type="cellIs" dxfId="38966" priority="53949" stopIfTrue="1" operator="equal">
      <formula>-1</formula>
    </cfRule>
  </conditionalFormatting>
  <conditionalFormatting sqref="BF13">
    <cfRule type="cellIs" dxfId="38965" priority="53950" stopIfTrue="1" operator="lessThan">
      <formula>0.5</formula>
    </cfRule>
  </conditionalFormatting>
  <conditionalFormatting sqref="BF13">
    <cfRule type="cellIs" dxfId="38964" priority="53951" stopIfTrue="1" operator="greaterThanOrEqual">
      <formula>0.5</formula>
    </cfRule>
  </conditionalFormatting>
  <conditionalFormatting sqref="BF14">
    <cfRule type="cellIs" dxfId="38963" priority="53952" stopIfTrue="1" operator="equal">
      <formula>-1</formula>
    </cfRule>
  </conditionalFormatting>
  <conditionalFormatting sqref="BF14">
    <cfRule type="cellIs" dxfId="38962" priority="53953" stopIfTrue="1" operator="lessThan">
      <formula>0.5</formula>
    </cfRule>
  </conditionalFormatting>
  <conditionalFormatting sqref="BF14">
    <cfRule type="cellIs" dxfId="38961" priority="53954" stopIfTrue="1" operator="greaterThanOrEqual">
      <formula>0.5</formula>
    </cfRule>
  </conditionalFormatting>
  <conditionalFormatting sqref="BF15">
    <cfRule type="cellIs" dxfId="38960" priority="53955" stopIfTrue="1" operator="equal">
      <formula>-1</formula>
    </cfRule>
  </conditionalFormatting>
  <conditionalFormatting sqref="BF15">
    <cfRule type="cellIs" dxfId="38959" priority="53956" stopIfTrue="1" operator="lessThan">
      <formula>0.5</formula>
    </cfRule>
  </conditionalFormatting>
  <conditionalFormatting sqref="BF15">
    <cfRule type="cellIs" dxfId="38958" priority="53957" stopIfTrue="1" operator="greaterThanOrEqual">
      <formula>0.5</formula>
    </cfRule>
  </conditionalFormatting>
  <conditionalFormatting sqref="BH8">
    <cfRule type="cellIs" dxfId="38957" priority="53958" stopIfTrue="1" operator="equal">
      <formula>-1</formula>
    </cfRule>
  </conditionalFormatting>
  <conditionalFormatting sqref="BH8">
    <cfRule type="cellIs" dxfId="38956" priority="53959" stopIfTrue="1" operator="lessThan">
      <formula>0.5</formula>
    </cfRule>
  </conditionalFormatting>
  <conditionalFormatting sqref="BH8">
    <cfRule type="cellIs" dxfId="38955" priority="53960" stopIfTrue="1" operator="greaterThanOrEqual">
      <formula>0.5</formula>
    </cfRule>
  </conditionalFormatting>
  <conditionalFormatting sqref="BH9">
    <cfRule type="cellIs" dxfId="38954" priority="53961" stopIfTrue="1" operator="equal">
      <formula>-1</formula>
    </cfRule>
  </conditionalFormatting>
  <conditionalFormatting sqref="BH9">
    <cfRule type="cellIs" dxfId="38953" priority="53962" stopIfTrue="1" operator="lessThan">
      <formula>0.5</formula>
    </cfRule>
  </conditionalFormatting>
  <conditionalFormatting sqref="BH9">
    <cfRule type="cellIs" dxfId="38952" priority="53963" stopIfTrue="1" operator="greaterThanOrEqual">
      <formula>0.5</formula>
    </cfRule>
  </conditionalFormatting>
  <conditionalFormatting sqref="BH10">
    <cfRule type="cellIs" dxfId="38951" priority="53964" stopIfTrue="1" operator="equal">
      <formula>-1</formula>
    </cfRule>
  </conditionalFormatting>
  <conditionalFormatting sqref="BH10">
    <cfRule type="cellIs" dxfId="38950" priority="53965" stopIfTrue="1" operator="lessThan">
      <formula>0.5</formula>
    </cfRule>
  </conditionalFormatting>
  <conditionalFormatting sqref="BH10">
    <cfRule type="cellIs" dxfId="38949" priority="53966" stopIfTrue="1" operator="greaterThanOrEqual">
      <formula>0.5</formula>
    </cfRule>
  </conditionalFormatting>
  <conditionalFormatting sqref="BH11">
    <cfRule type="cellIs" dxfId="38948" priority="53967" stopIfTrue="1" operator="equal">
      <formula>-1</formula>
    </cfRule>
  </conditionalFormatting>
  <conditionalFormatting sqref="BH11">
    <cfRule type="cellIs" dxfId="38947" priority="53968" stopIfTrue="1" operator="lessThan">
      <formula>0.5</formula>
    </cfRule>
  </conditionalFormatting>
  <conditionalFormatting sqref="BH11">
    <cfRule type="cellIs" dxfId="38946" priority="53969" stopIfTrue="1" operator="greaterThanOrEqual">
      <formula>0.5</formula>
    </cfRule>
  </conditionalFormatting>
  <conditionalFormatting sqref="BH12">
    <cfRule type="cellIs" dxfId="38945" priority="53970" stopIfTrue="1" operator="equal">
      <formula>-1</formula>
    </cfRule>
  </conditionalFormatting>
  <conditionalFormatting sqref="BH12">
    <cfRule type="cellIs" dxfId="38944" priority="53971" stopIfTrue="1" operator="lessThan">
      <formula>0.5</formula>
    </cfRule>
  </conditionalFormatting>
  <conditionalFormatting sqref="BH12">
    <cfRule type="cellIs" dxfId="38943" priority="53972" stopIfTrue="1" operator="greaterThanOrEqual">
      <formula>0.5</formula>
    </cfRule>
  </conditionalFormatting>
  <conditionalFormatting sqref="BH13">
    <cfRule type="cellIs" dxfId="38942" priority="53973" stopIfTrue="1" operator="equal">
      <formula>-1</formula>
    </cfRule>
  </conditionalFormatting>
  <conditionalFormatting sqref="BH13">
    <cfRule type="cellIs" dxfId="38941" priority="53974" stopIfTrue="1" operator="lessThan">
      <formula>0.5</formula>
    </cfRule>
  </conditionalFormatting>
  <conditionalFormatting sqref="BH13">
    <cfRule type="cellIs" dxfId="38940" priority="53975" stopIfTrue="1" operator="greaterThanOrEqual">
      <formula>0.5</formula>
    </cfRule>
  </conditionalFormatting>
  <conditionalFormatting sqref="BH14">
    <cfRule type="cellIs" dxfId="38939" priority="53976" stopIfTrue="1" operator="equal">
      <formula>-1</formula>
    </cfRule>
  </conditionalFormatting>
  <conditionalFormatting sqref="BH14">
    <cfRule type="cellIs" dxfId="38938" priority="53977" stopIfTrue="1" operator="lessThan">
      <formula>0.5</formula>
    </cfRule>
  </conditionalFormatting>
  <conditionalFormatting sqref="BH14">
    <cfRule type="cellIs" dxfId="38937" priority="53978" stopIfTrue="1" operator="greaterThanOrEqual">
      <formula>0.5</formula>
    </cfRule>
  </conditionalFormatting>
  <conditionalFormatting sqref="BH15">
    <cfRule type="cellIs" dxfId="38936" priority="53979" stopIfTrue="1" operator="equal">
      <formula>-1</formula>
    </cfRule>
  </conditionalFormatting>
  <conditionalFormatting sqref="BH15">
    <cfRule type="cellIs" dxfId="38935" priority="53980" stopIfTrue="1" operator="lessThan">
      <formula>0.5</formula>
    </cfRule>
  </conditionalFormatting>
  <conditionalFormatting sqref="BH15">
    <cfRule type="cellIs" dxfId="38934" priority="53981" stopIfTrue="1" operator="greaterThanOrEqual">
      <formula>0.5</formula>
    </cfRule>
  </conditionalFormatting>
  <conditionalFormatting sqref="BJ8">
    <cfRule type="cellIs" dxfId="38933" priority="53982" stopIfTrue="1" operator="equal">
      <formula>-1</formula>
    </cfRule>
  </conditionalFormatting>
  <conditionalFormatting sqref="BJ8">
    <cfRule type="cellIs" dxfId="38932" priority="53983" stopIfTrue="1" operator="lessThan">
      <formula>0.5</formula>
    </cfRule>
  </conditionalFormatting>
  <conditionalFormatting sqref="BJ8">
    <cfRule type="cellIs" dxfId="38931" priority="53984" stopIfTrue="1" operator="greaterThanOrEqual">
      <formula>0.5</formula>
    </cfRule>
  </conditionalFormatting>
  <conditionalFormatting sqref="BJ9">
    <cfRule type="cellIs" dxfId="38930" priority="53985" stopIfTrue="1" operator="equal">
      <formula>-1</formula>
    </cfRule>
  </conditionalFormatting>
  <conditionalFormatting sqref="BJ9">
    <cfRule type="cellIs" dxfId="38929" priority="53986" stopIfTrue="1" operator="lessThan">
      <formula>0.5</formula>
    </cfRule>
  </conditionalFormatting>
  <conditionalFormatting sqref="BJ9">
    <cfRule type="cellIs" dxfId="38928" priority="53987" stopIfTrue="1" operator="greaterThanOrEqual">
      <formula>0.5</formula>
    </cfRule>
  </conditionalFormatting>
  <conditionalFormatting sqref="BJ10">
    <cfRule type="cellIs" dxfId="38927" priority="53988" stopIfTrue="1" operator="equal">
      <formula>-1</formula>
    </cfRule>
  </conditionalFormatting>
  <conditionalFormatting sqref="BJ10">
    <cfRule type="cellIs" dxfId="38926" priority="53989" stopIfTrue="1" operator="lessThan">
      <formula>0.5</formula>
    </cfRule>
  </conditionalFormatting>
  <conditionalFormatting sqref="BJ10">
    <cfRule type="cellIs" dxfId="38925" priority="53990" stopIfTrue="1" operator="greaterThanOrEqual">
      <formula>0.5</formula>
    </cfRule>
  </conditionalFormatting>
  <conditionalFormatting sqref="BJ11">
    <cfRule type="cellIs" dxfId="38924" priority="53991" stopIfTrue="1" operator="equal">
      <formula>-1</formula>
    </cfRule>
  </conditionalFormatting>
  <conditionalFormatting sqref="BJ11">
    <cfRule type="cellIs" dxfId="38923" priority="53992" stopIfTrue="1" operator="lessThan">
      <formula>0.5</formula>
    </cfRule>
  </conditionalFormatting>
  <conditionalFormatting sqref="BJ11">
    <cfRule type="cellIs" dxfId="38922" priority="53993" stopIfTrue="1" operator="greaterThanOrEqual">
      <formula>0.5</formula>
    </cfRule>
  </conditionalFormatting>
  <conditionalFormatting sqref="BJ12">
    <cfRule type="cellIs" dxfId="38921" priority="53994" stopIfTrue="1" operator="equal">
      <formula>-1</formula>
    </cfRule>
  </conditionalFormatting>
  <conditionalFormatting sqref="BJ12">
    <cfRule type="cellIs" dxfId="38920" priority="53995" stopIfTrue="1" operator="lessThan">
      <formula>0.5</formula>
    </cfRule>
  </conditionalFormatting>
  <conditionalFormatting sqref="BJ12">
    <cfRule type="cellIs" dxfId="38919" priority="53996" stopIfTrue="1" operator="greaterThanOrEqual">
      <formula>0.5</formula>
    </cfRule>
  </conditionalFormatting>
  <conditionalFormatting sqref="BJ13">
    <cfRule type="cellIs" dxfId="38918" priority="53997" stopIfTrue="1" operator="equal">
      <formula>-1</formula>
    </cfRule>
  </conditionalFormatting>
  <conditionalFormatting sqref="BJ13">
    <cfRule type="cellIs" dxfId="38917" priority="53998" stopIfTrue="1" operator="lessThan">
      <formula>0.5</formula>
    </cfRule>
  </conditionalFormatting>
  <conditionalFormatting sqref="BJ13">
    <cfRule type="cellIs" dxfId="38916" priority="53999" stopIfTrue="1" operator="greaterThanOrEqual">
      <formula>0.5</formula>
    </cfRule>
  </conditionalFormatting>
  <conditionalFormatting sqref="BJ14">
    <cfRule type="cellIs" dxfId="38915" priority="54000" stopIfTrue="1" operator="equal">
      <formula>-1</formula>
    </cfRule>
  </conditionalFormatting>
  <conditionalFormatting sqref="BJ14">
    <cfRule type="cellIs" dxfId="38914" priority="54001" stopIfTrue="1" operator="lessThan">
      <formula>0.5</formula>
    </cfRule>
  </conditionalFormatting>
  <conditionalFormatting sqref="BJ14">
    <cfRule type="cellIs" dxfId="38913" priority="54002" stopIfTrue="1" operator="greaterThanOrEqual">
      <formula>0.5</formula>
    </cfRule>
  </conditionalFormatting>
  <conditionalFormatting sqref="BJ15">
    <cfRule type="cellIs" dxfId="38912" priority="54003" stopIfTrue="1" operator="equal">
      <formula>-1</formula>
    </cfRule>
  </conditionalFormatting>
  <conditionalFormatting sqref="BJ15">
    <cfRule type="cellIs" dxfId="38911" priority="54004" stopIfTrue="1" operator="lessThan">
      <formula>0.5</formula>
    </cfRule>
  </conditionalFormatting>
  <conditionalFormatting sqref="BJ15">
    <cfRule type="cellIs" dxfId="38910" priority="54005" stopIfTrue="1" operator="greaterThanOrEqual">
      <formula>0.5</formula>
    </cfRule>
  </conditionalFormatting>
  <conditionalFormatting sqref="D17">
    <cfRule type="cellIs" dxfId="38909" priority="54006" stopIfTrue="1" operator="equal">
      <formula>-1</formula>
    </cfRule>
  </conditionalFormatting>
  <conditionalFormatting sqref="D17">
    <cfRule type="cellIs" dxfId="38908" priority="54007" stopIfTrue="1" operator="lessThan">
      <formula>0.5</formula>
    </cfRule>
  </conditionalFormatting>
  <conditionalFormatting sqref="D17">
    <cfRule type="cellIs" dxfId="38907" priority="54008" stopIfTrue="1" operator="greaterThanOrEqual">
      <formula>0.5</formula>
    </cfRule>
  </conditionalFormatting>
  <conditionalFormatting sqref="D18">
    <cfRule type="cellIs" dxfId="38906" priority="54009" stopIfTrue="1" operator="equal">
      <formula>-1</formula>
    </cfRule>
  </conditionalFormatting>
  <conditionalFormatting sqref="D18">
    <cfRule type="cellIs" dxfId="38905" priority="54010" stopIfTrue="1" operator="lessThan">
      <formula>0.5</formula>
    </cfRule>
  </conditionalFormatting>
  <conditionalFormatting sqref="D18">
    <cfRule type="cellIs" dxfId="38904" priority="54011" stopIfTrue="1" operator="greaterThanOrEqual">
      <formula>0.5</formula>
    </cfRule>
  </conditionalFormatting>
  <conditionalFormatting sqref="D19">
    <cfRule type="cellIs" dxfId="38903" priority="54012" stopIfTrue="1" operator="equal">
      <formula>-1</formula>
    </cfRule>
  </conditionalFormatting>
  <conditionalFormatting sqref="D19">
    <cfRule type="cellIs" dxfId="38902" priority="54013" stopIfTrue="1" operator="lessThan">
      <formula>0.5</formula>
    </cfRule>
  </conditionalFormatting>
  <conditionalFormatting sqref="D19">
    <cfRule type="cellIs" dxfId="38901" priority="54014" stopIfTrue="1" operator="greaterThanOrEqual">
      <formula>0.5</formula>
    </cfRule>
  </conditionalFormatting>
  <conditionalFormatting sqref="D20">
    <cfRule type="cellIs" dxfId="38900" priority="54015" stopIfTrue="1" operator="equal">
      <formula>-1</formula>
    </cfRule>
  </conditionalFormatting>
  <conditionalFormatting sqref="D20">
    <cfRule type="cellIs" dxfId="38899" priority="54016" stopIfTrue="1" operator="lessThan">
      <formula>0.5</formula>
    </cfRule>
  </conditionalFormatting>
  <conditionalFormatting sqref="D20">
    <cfRule type="cellIs" dxfId="38898" priority="54017" stopIfTrue="1" operator="greaterThanOrEqual">
      <formula>0.5</formula>
    </cfRule>
  </conditionalFormatting>
  <conditionalFormatting sqref="D21">
    <cfRule type="cellIs" dxfId="38897" priority="54018" stopIfTrue="1" operator="equal">
      <formula>-1</formula>
    </cfRule>
  </conditionalFormatting>
  <conditionalFormatting sqref="D21">
    <cfRule type="cellIs" dxfId="38896" priority="54019" stopIfTrue="1" operator="lessThan">
      <formula>0.5</formula>
    </cfRule>
  </conditionalFormatting>
  <conditionalFormatting sqref="D21">
    <cfRule type="cellIs" dxfId="38895" priority="54020" stopIfTrue="1" operator="greaterThanOrEqual">
      <formula>0.5</formula>
    </cfRule>
  </conditionalFormatting>
  <conditionalFormatting sqref="D22">
    <cfRule type="cellIs" dxfId="38894" priority="54021" stopIfTrue="1" operator="equal">
      <formula>-1</formula>
    </cfRule>
  </conditionalFormatting>
  <conditionalFormatting sqref="D22">
    <cfRule type="cellIs" dxfId="38893" priority="54022" stopIfTrue="1" operator="lessThan">
      <formula>0.5</formula>
    </cfRule>
  </conditionalFormatting>
  <conditionalFormatting sqref="D22">
    <cfRule type="cellIs" dxfId="38892" priority="54023" stopIfTrue="1" operator="greaterThanOrEqual">
      <formula>0.5</formula>
    </cfRule>
  </conditionalFormatting>
  <conditionalFormatting sqref="D23">
    <cfRule type="cellIs" dxfId="38891" priority="54024" stopIfTrue="1" operator="equal">
      <formula>-1</formula>
    </cfRule>
  </conditionalFormatting>
  <conditionalFormatting sqref="D23">
    <cfRule type="cellIs" dxfId="38890" priority="54025" stopIfTrue="1" operator="lessThan">
      <formula>0.5</formula>
    </cfRule>
  </conditionalFormatting>
  <conditionalFormatting sqref="D23">
    <cfRule type="cellIs" dxfId="38889" priority="54026" stopIfTrue="1" operator="greaterThanOrEqual">
      <formula>0.5</formula>
    </cfRule>
  </conditionalFormatting>
  <conditionalFormatting sqref="D24">
    <cfRule type="cellIs" dxfId="38888" priority="54027" stopIfTrue="1" operator="equal">
      <formula>-1</formula>
    </cfRule>
  </conditionalFormatting>
  <conditionalFormatting sqref="D24">
    <cfRule type="cellIs" dxfId="38887" priority="54028" stopIfTrue="1" operator="lessThan">
      <formula>0.5</formula>
    </cfRule>
  </conditionalFormatting>
  <conditionalFormatting sqref="D24">
    <cfRule type="cellIs" dxfId="38886" priority="54029" stopIfTrue="1" operator="greaterThanOrEqual">
      <formula>0.5</formula>
    </cfRule>
  </conditionalFormatting>
  <conditionalFormatting sqref="D25">
    <cfRule type="cellIs" dxfId="38885" priority="54030" stopIfTrue="1" operator="equal">
      <formula>-1</formula>
    </cfRule>
  </conditionalFormatting>
  <conditionalFormatting sqref="D25">
    <cfRule type="cellIs" dxfId="38884" priority="54031" stopIfTrue="1" operator="lessThan">
      <formula>0.5</formula>
    </cfRule>
  </conditionalFormatting>
  <conditionalFormatting sqref="D25">
    <cfRule type="cellIs" dxfId="38883" priority="54032" stopIfTrue="1" operator="greaterThanOrEqual">
      <formula>0.5</formula>
    </cfRule>
  </conditionalFormatting>
  <conditionalFormatting sqref="D26">
    <cfRule type="cellIs" dxfId="38882" priority="54033" stopIfTrue="1" operator="equal">
      <formula>-1</formula>
    </cfRule>
  </conditionalFormatting>
  <conditionalFormatting sqref="D26">
    <cfRule type="cellIs" dxfId="38881" priority="54034" stopIfTrue="1" operator="lessThan">
      <formula>0.5</formula>
    </cfRule>
  </conditionalFormatting>
  <conditionalFormatting sqref="D26">
    <cfRule type="cellIs" dxfId="38880" priority="54035" stopIfTrue="1" operator="greaterThanOrEqual">
      <formula>0.5</formula>
    </cfRule>
  </conditionalFormatting>
  <conditionalFormatting sqref="D27">
    <cfRule type="cellIs" dxfId="38879" priority="54036" stopIfTrue="1" operator="equal">
      <formula>-1</formula>
    </cfRule>
  </conditionalFormatting>
  <conditionalFormatting sqref="D27">
    <cfRule type="cellIs" dxfId="38878" priority="54037" stopIfTrue="1" operator="lessThan">
      <formula>0.5</formula>
    </cfRule>
  </conditionalFormatting>
  <conditionalFormatting sqref="D27">
    <cfRule type="cellIs" dxfId="38877" priority="54038" stopIfTrue="1" operator="greaterThanOrEqual">
      <formula>0.5</formula>
    </cfRule>
  </conditionalFormatting>
  <conditionalFormatting sqref="D28">
    <cfRule type="cellIs" dxfId="38876" priority="54039" stopIfTrue="1" operator="equal">
      <formula>-1</formula>
    </cfRule>
  </conditionalFormatting>
  <conditionalFormatting sqref="D28">
    <cfRule type="cellIs" dxfId="38875" priority="54040" stopIfTrue="1" operator="lessThan">
      <formula>0.5</formula>
    </cfRule>
  </conditionalFormatting>
  <conditionalFormatting sqref="D28">
    <cfRule type="cellIs" dxfId="38874" priority="54041" stopIfTrue="1" operator="greaterThanOrEqual">
      <formula>0.5</formula>
    </cfRule>
  </conditionalFormatting>
  <conditionalFormatting sqref="D29">
    <cfRule type="cellIs" dxfId="38873" priority="54042" stopIfTrue="1" operator="equal">
      <formula>-1</formula>
    </cfRule>
  </conditionalFormatting>
  <conditionalFormatting sqref="D29">
    <cfRule type="cellIs" dxfId="38872" priority="54043" stopIfTrue="1" operator="lessThan">
      <formula>0.5</formula>
    </cfRule>
  </conditionalFormatting>
  <conditionalFormatting sqref="D29">
    <cfRule type="cellIs" dxfId="38871" priority="54044" stopIfTrue="1" operator="greaterThanOrEqual">
      <formula>0.5</formula>
    </cfRule>
  </conditionalFormatting>
  <conditionalFormatting sqref="D30">
    <cfRule type="cellIs" dxfId="38870" priority="54045" stopIfTrue="1" operator="equal">
      <formula>-1</formula>
    </cfRule>
  </conditionalFormatting>
  <conditionalFormatting sqref="D30">
    <cfRule type="cellIs" dxfId="38869" priority="54046" stopIfTrue="1" operator="lessThan">
      <formula>0.5</formula>
    </cfRule>
  </conditionalFormatting>
  <conditionalFormatting sqref="D30">
    <cfRule type="cellIs" dxfId="38868" priority="54047" stopIfTrue="1" operator="greaterThanOrEqual">
      <formula>0.5</formula>
    </cfRule>
  </conditionalFormatting>
  <conditionalFormatting sqref="D31">
    <cfRule type="cellIs" dxfId="38867" priority="54048" stopIfTrue="1" operator="equal">
      <formula>-1</formula>
    </cfRule>
  </conditionalFormatting>
  <conditionalFormatting sqref="D31">
    <cfRule type="cellIs" dxfId="38866" priority="54049" stopIfTrue="1" operator="lessThan">
      <formula>0.5</formula>
    </cfRule>
  </conditionalFormatting>
  <conditionalFormatting sqref="D31">
    <cfRule type="cellIs" dxfId="38865" priority="54050" stopIfTrue="1" operator="greaterThanOrEqual">
      <formula>0.5</formula>
    </cfRule>
  </conditionalFormatting>
  <conditionalFormatting sqref="D32">
    <cfRule type="cellIs" dxfId="38864" priority="54051" stopIfTrue="1" operator="equal">
      <formula>-1</formula>
    </cfRule>
  </conditionalFormatting>
  <conditionalFormatting sqref="D32">
    <cfRule type="cellIs" dxfId="38863" priority="54052" stopIfTrue="1" operator="lessThan">
      <formula>0.5</formula>
    </cfRule>
  </conditionalFormatting>
  <conditionalFormatting sqref="D32">
    <cfRule type="cellIs" dxfId="38862" priority="54053" stopIfTrue="1" operator="greaterThanOrEqual">
      <formula>0.5</formula>
    </cfRule>
  </conditionalFormatting>
  <conditionalFormatting sqref="D33">
    <cfRule type="cellIs" dxfId="38861" priority="54054" stopIfTrue="1" operator="equal">
      <formula>-1</formula>
    </cfRule>
  </conditionalFormatting>
  <conditionalFormatting sqref="D33">
    <cfRule type="cellIs" dxfId="38860" priority="54055" stopIfTrue="1" operator="lessThan">
      <formula>0.5</formula>
    </cfRule>
  </conditionalFormatting>
  <conditionalFormatting sqref="D33">
    <cfRule type="cellIs" dxfId="38859" priority="54056" stopIfTrue="1" operator="greaterThanOrEqual">
      <formula>0.5</formula>
    </cfRule>
  </conditionalFormatting>
  <conditionalFormatting sqref="D34">
    <cfRule type="cellIs" dxfId="38858" priority="54057" stopIfTrue="1" operator="equal">
      <formula>-1</formula>
    </cfRule>
  </conditionalFormatting>
  <conditionalFormatting sqref="D34">
    <cfRule type="cellIs" dxfId="38857" priority="54058" stopIfTrue="1" operator="lessThan">
      <formula>0.5</formula>
    </cfRule>
  </conditionalFormatting>
  <conditionalFormatting sqref="D34">
    <cfRule type="cellIs" dxfId="38856" priority="54059" stopIfTrue="1" operator="greaterThanOrEqual">
      <formula>0.5</formula>
    </cfRule>
  </conditionalFormatting>
  <conditionalFormatting sqref="D35">
    <cfRule type="cellIs" dxfId="38855" priority="54060" stopIfTrue="1" operator="equal">
      <formula>-1</formula>
    </cfRule>
  </conditionalFormatting>
  <conditionalFormatting sqref="D35">
    <cfRule type="cellIs" dxfId="38854" priority="54061" stopIfTrue="1" operator="lessThan">
      <formula>0.5</formula>
    </cfRule>
  </conditionalFormatting>
  <conditionalFormatting sqref="D35">
    <cfRule type="cellIs" dxfId="38853" priority="54062" stopIfTrue="1" operator="greaterThanOrEqual">
      <formula>0.5</formula>
    </cfRule>
  </conditionalFormatting>
  <conditionalFormatting sqref="D36">
    <cfRule type="cellIs" dxfId="38852" priority="54063" stopIfTrue="1" operator="equal">
      <formula>-1</formula>
    </cfRule>
  </conditionalFormatting>
  <conditionalFormatting sqref="D36">
    <cfRule type="cellIs" dxfId="38851" priority="54064" stopIfTrue="1" operator="lessThan">
      <formula>0.5</formula>
    </cfRule>
  </conditionalFormatting>
  <conditionalFormatting sqref="D36">
    <cfRule type="cellIs" dxfId="38850" priority="54065" stopIfTrue="1" operator="greaterThanOrEqual">
      <formula>0.5</formula>
    </cfRule>
  </conditionalFormatting>
  <conditionalFormatting sqref="D37">
    <cfRule type="cellIs" dxfId="38849" priority="54066" stopIfTrue="1" operator="equal">
      <formula>-1</formula>
    </cfRule>
  </conditionalFormatting>
  <conditionalFormatting sqref="D37">
    <cfRule type="cellIs" dxfId="38848" priority="54067" stopIfTrue="1" operator="lessThan">
      <formula>0.5</formula>
    </cfRule>
  </conditionalFormatting>
  <conditionalFormatting sqref="D37">
    <cfRule type="cellIs" dxfId="38847" priority="54068" stopIfTrue="1" operator="greaterThanOrEqual">
      <formula>0.5</formula>
    </cfRule>
  </conditionalFormatting>
  <conditionalFormatting sqref="F17">
    <cfRule type="cellIs" dxfId="38846" priority="54069" stopIfTrue="1" operator="equal">
      <formula>-1</formula>
    </cfRule>
  </conditionalFormatting>
  <conditionalFormatting sqref="F17">
    <cfRule type="cellIs" dxfId="38845" priority="54070" stopIfTrue="1" operator="lessThan">
      <formula>0.5</formula>
    </cfRule>
  </conditionalFormatting>
  <conditionalFormatting sqref="F17">
    <cfRule type="cellIs" dxfId="38844" priority="54071" stopIfTrue="1" operator="greaterThanOrEqual">
      <formula>0.5</formula>
    </cfRule>
  </conditionalFormatting>
  <conditionalFormatting sqref="F18">
    <cfRule type="cellIs" dxfId="38843" priority="54072" stopIfTrue="1" operator="equal">
      <formula>-1</formula>
    </cfRule>
  </conditionalFormatting>
  <conditionalFormatting sqref="F18">
    <cfRule type="cellIs" dxfId="38842" priority="54073" stopIfTrue="1" operator="lessThan">
      <formula>0.5</formula>
    </cfRule>
  </conditionalFormatting>
  <conditionalFormatting sqref="F18">
    <cfRule type="cellIs" dxfId="38841" priority="54074" stopIfTrue="1" operator="greaterThanOrEqual">
      <formula>0.5</formula>
    </cfRule>
  </conditionalFormatting>
  <conditionalFormatting sqref="F19">
    <cfRule type="cellIs" dxfId="38840" priority="54075" stopIfTrue="1" operator="equal">
      <formula>-1</formula>
    </cfRule>
  </conditionalFormatting>
  <conditionalFormatting sqref="F19">
    <cfRule type="cellIs" dxfId="38839" priority="54076" stopIfTrue="1" operator="lessThan">
      <formula>0.5</formula>
    </cfRule>
  </conditionalFormatting>
  <conditionalFormatting sqref="F19">
    <cfRule type="cellIs" dxfId="38838" priority="54077" stopIfTrue="1" operator="greaterThanOrEqual">
      <formula>0.5</formula>
    </cfRule>
  </conditionalFormatting>
  <conditionalFormatting sqref="F20">
    <cfRule type="cellIs" dxfId="38837" priority="54078" stopIfTrue="1" operator="equal">
      <formula>-1</formula>
    </cfRule>
  </conditionalFormatting>
  <conditionalFormatting sqref="F20">
    <cfRule type="cellIs" dxfId="38836" priority="54079" stopIfTrue="1" operator="lessThan">
      <formula>0.5</formula>
    </cfRule>
  </conditionalFormatting>
  <conditionalFormatting sqref="F20">
    <cfRule type="cellIs" dxfId="38835" priority="54080" stopIfTrue="1" operator="greaterThanOrEqual">
      <formula>0.5</formula>
    </cfRule>
  </conditionalFormatting>
  <conditionalFormatting sqref="F21">
    <cfRule type="cellIs" dxfId="38834" priority="54081" stopIfTrue="1" operator="equal">
      <formula>-1</formula>
    </cfRule>
  </conditionalFormatting>
  <conditionalFormatting sqref="F21">
    <cfRule type="cellIs" dxfId="38833" priority="54082" stopIfTrue="1" operator="lessThan">
      <formula>0.5</formula>
    </cfRule>
  </conditionalFormatting>
  <conditionalFormatting sqref="F21">
    <cfRule type="cellIs" dxfId="38832" priority="54083" stopIfTrue="1" operator="greaterThanOrEqual">
      <formula>0.5</formula>
    </cfRule>
  </conditionalFormatting>
  <conditionalFormatting sqref="F22">
    <cfRule type="cellIs" dxfId="38831" priority="54084" stopIfTrue="1" operator="equal">
      <formula>-1</formula>
    </cfRule>
  </conditionalFormatting>
  <conditionalFormatting sqref="F22">
    <cfRule type="cellIs" dxfId="38830" priority="54085" stopIfTrue="1" operator="lessThan">
      <formula>0.5</formula>
    </cfRule>
  </conditionalFormatting>
  <conditionalFormatting sqref="F22">
    <cfRule type="cellIs" dxfId="38829" priority="54086" stopIfTrue="1" operator="greaterThanOrEqual">
      <formula>0.5</formula>
    </cfRule>
  </conditionalFormatting>
  <conditionalFormatting sqref="F23">
    <cfRule type="cellIs" dxfId="38828" priority="54087" stopIfTrue="1" operator="equal">
      <formula>-1</formula>
    </cfRule>
  </conditionalFormatting>
  <conditionalFormatting sqref="F23">
    <cfRule type="cellIs" dxfId="38827" priority="54088" stopIfTrue="1" operator="lessThan">
      <formula>0.5</formula>
    </cfRule>
  </conditionalFormatting>
  <conditionalFormatting sqref="F23">
    <cfRule type="cellIs" dxfId="38826" priority="54089" stopIfTrue="1" operator="greaterThanOrEqual">
      <formula>0.5</formula>
    </cfRule>
  </conditionalFormatting>
  <conditionalFormatting sqref="F24">
    <cfRule type="cellIs" dxfId="38825" priority="54090" stopIfTrue="1" operator="equal">
      <formula>-1</formula>
    </cfRule>
  </conditionalFormatting>
  <conditionalFormatting sqref="F24">
    <cfRule type="cellIs" dxfId="38824" priority="54091" stopIfTrue="1" operator="lessThan">
      <formula>0.5</formula>
    </cfRule>
  </conditionalFormatting>
  <conditionalFormatting sqref="F24">
    <cfRule type="cellIs" dxfId="38823" priority="54092" stopIfTrue="1" operator="greaterThanOrEqual">
      <formula>0.5</formula>
    </cfRule>
  </conditionalFormatting>
  <conditionalFormatting sqref="F25">
    <cfRule type="cellIs" dxfId="38822" priority="54093" stopIfTrue="1" operator="equal">
      <formula>-1</formula>
    </cfRule>
  </conditionalFormatting>
  <conditionalFormatting sqref="F25">
    <cfRule type="cellIs" dxfId="38821" priority="54094" stopIfTrue="1" operator="lessThan">
      <formula>0.5</formula>
    </cfRule>
  </conditionalFormatting>
  <conditionalFormatting sqref="F25">
    <cfRule type="cellIs" dxfId="38820" priority="54095" stopIfTrue="1" operator="greaterThanOrEqual">
      <formula>0.5</formula>
    </cfRule>
  </conditionalFormatting>
  <conditionalFormatting sqref="F26">
    <cfRule type="cellIs" dxfId="38819" priority="54096" stopIfTrue="1" operator="equal">
      <formula>-1</formula>
    </cfRule>
  </conditionalFormatting>
  <conditionalFormatting sqref="F26">
    <cfRule type="cellIs" dxfId="38818" priority="54097" stopIfTrue="1" operator="lessThan">
      <formula>0.5</formula>
    </cfRule>
  </conditionalFormatting>
  <conditionalFormatting sqref="F26">
    <cfRule type="cellIs" dxfId="38817" priority="54098" stopIfTrue="1" operator="greaterThanOrEqual">
      <formula>0.5</formula>
    </cfRule>
  </conditionalFormatting>
  <conditionalFormatting sqref="F27">
    <cfRule type="cellIs" dxfId="38816" priority="54099" stopIfTrue="1" operator="equal">
      <formula>-1</formula>
    </cfRule>
  </conditionalFormatting>
  <conditionalFormatting sqref="F27">
    <cfRule type="cellIs" dxfId="38815" priority="54100" stopIfTrue="1" operator="lessThan">
      <formula>0.5</formula>
    </cfRule>
  </conditionalFormatting>
  <conditionalFormatting sqref="F27">
    <cfRule type="cellIs" dxfId="38814" priority="54101" stopIfTrue="1" operator="greaterThanOrEqual">
      <formula>0.5</formula>
    </cfRule>
  </conditionalFormatting>
  <conditionalFormatting sqref="F28">
    <cfRule type="cellIs" dxfId="38813" priority="54102" stopIfTrue="1" operator="equal">
      <formula>-1</formula>
    </cfRule>
  </conditionalFormatting>
  <conditionalFormatting sqref="F28">
    <cfRule type="cellIs" dxfId="38812" priority="54103" stopIfTrue="1" operator="lessThan">
      <formula>0.5</formula>
    </cfRule>
  </conditionalFormatting>
  <conditionalFormatting sqref="F28">
    <cfRule type="cellIs" dxfId="38811" priority="54104" stopIfTrue="1" operator="greaterThanOrEqual">
      <formula>0.5</formula>
    </cfRule>
  </conditionalFormatting>
  <conditionalFormatting sqref="F29">
    <cfRule type="cellIs" dxfId="38810" priority="54105" stopIfTrue="1" operator="equal">
      <formula>-1</formula>
    </cfRule>
  </conditionalFormatting>
  <conditionalFormatting sqref="F29">
    <cfRule type="cellIs" dxfId="38809" priority="54106" stopIfTrue="1" operator="lessThan">
      <formula>0.5</formula>
    </cfRule>
  </conditionalFormatting>
  <conditionalFormatting sqref="F29">
    <cfRule type="cellIs" dxfId="38808" priority="54107" stopIfTrue="1" operator="greaterThanOrEqual">
      <formula>0.5</formula>
    </cfRule>
  </conditionalFormatting>
  <conditionalFormatting sqref="F30">
    <cfRule type="cellIs" dxfId="38807" priority="54108" stopIfTrue="1" operator="equal">
      <formula>-1</formula>
    </cfRule>
  </conditionalFormatting>
  <conditionalFormatting sqref="F30">
    <cfRule type="cellIs" dxfId="38806" priority="54109" stopIfTrue="1" operator="lessThan">
      <formula>0.5</formula>
    </cfRule>
  </conditionalFormatting>
  <conditionalFormatting sqref="F30">
    <cfRule type="cellIs" dxfId="38805" priority="54110" stopIfTrue="1" operator="greaterThanOrEqual">
      <formula>0.5</formula>
    </cfRule>
  </conditionalFormatting>
  <conditionalFormatting sqref="F31">
    <cfRule type="cellIs" dxfId="38804" priority="54111" stopIfTrue="1" operator="equal">
      <formula>-1</formula>
    </cfRule>
  </conditionalFormatting>
  <conditionalFormatting sqref="F31">
    <cfRule type="cellIs" dxfId="38803" priority="54112" stopIfTrue="1" operator="lessThan">
      <formula>0.5</formula>
    </cfRule>
  </conditionalFormatting>
  <conditionalFormatting sqref="F31">
    <cfRule type="cellIs" dxfId="38802" priority="54113" stopIfTrue="1" operator="greaterThanOrEqual">
      <formula>0.5</formula>
    </cfRule>
  </conditionalFormatting>
  <conditionalFormatting sqref="F32">
    <cfRule type="cellIs" dxfId="38801" priority="54114" stopIfTrue="1" operator="equal">
      <formula>-1</formula>
    </cfRule>
  </conditionalFormatting>
  <conditionalFormatting sqref="F32">
    <cfRule type="cellIs" dxfId="38800" priority="54115" stopIfTrue="1" operator="lessThan">
      <formula>0.5</formula>
    </cfRule>
  </conditionalFormatting>
  <conditionalFormatting sqref="F32">
    <cfRule type="cellIs" dxfId="38799" priority="54116" stopIfTrue="1" operator="greaterThanOrEqual">
      <formula>0.5</formula>
    </cfRule>
  </conditionalFormatting>
  <conditionalFormatting sqref="F33">
    <cfRule type="cellIs" dxfId="38798" priority="54117" stopIfTrue="1" operator="equal">
      <formula>-1</formula>
    </cfRule>
  </conditionalFormatting>
  <conditionalFormatting sqref="F33">
    <cfRule type="cellIs" dxfId="38797" priority="54118" stopIfTrue="1" operator="lessThan">
      <formula>0.5</formula>
    </cfRule>
  </conditionalFormatting>
  <conditionalFormatting sqref="F33">
    <cfRule type="cellIs" dxfId="38796" priority="54119" stopIfTrue="1" operator="greaterThanOrEqual">
      <formula>0.5</formula>
    </cfRule>
  </conditionalFormatting>
  <conditionalFormatting sqref="F34">
    <cfRule type="cellIs" dxfId="38795" priority="54120" stopIfTrue="1" operator="equal">
      <formula>-1</formula>
    </cfRule>
  </conditionalFormatting>
  <conditionalFormatting sqref="F34">
    <cfRule type="cellIs" dxfId="38794" priority="54121" stopIfTrue="1" operator="lessThan">
      <formula>0.5</formula>
    </cfRule>
  </conditionalFormatting>
  <conditionalFormatting sqref="F34">
    <cfRule type="cellIs" dxfId="38793" priority="54122" stopIfTrue="1" operator="greaterThanOrEqual">
      <formula>0.5</formula>
    </cfRule>
  </conditionalFormatting>
  <conditionalFormatting sqref="F35">
    <cfRule type="cellIs" dxfId="38792" priority="54123" stopIfTrue="1" operator="equal">
      <formula>-1</formula>
    </cfRule>
  </conditionalFormatting>
  <conditionalFormatting sqref="F35">
    <cfRule type="cellIs" dxfId="38791" priority="54124" stopIfTrue="1" operator="lessThan">
      <formula>0.5</formula>
    </cfRule>
  </conditionalFormatting>
  <conditionalFormatting sqref="F35">
    <cfRule type="cellIs" dxfId="38790" priority="54125" stopIfTrue="1" operator="greaterThanOrEqual">
      <formula>0.5</formula>
    </cfRule>
  </conditionalFormatting>
  <conditionalFormatting sqref="F36">
    <cfRule type="cellIs" dxfId="38789" priority="54126" stopIfTrue="1" operator="equal">
      <formula>-1</formula>
    </cfRule>
  </conditionalFormatting>
  <conditionalFormatting sqref="F36">
    <cfRule type="cellIs" dxfId="38788" priority="54127" stopIfTrue="1" operator="lessThan">
      <formula>0.5</formula>
    </cfRule>
  </conditionalFormatting>
  <conditionalFormatting sqref="F36">
    <cfRule type="cellIs" dxfId="38787" priority="54128" stopIfTrue="1" operator="greaterThanOrEqual">
      <formula>0.5</formula>
    </cfRule>
  </conditionalFormatting>
  <conditionalFormatting sqref="F37">
    <cfRule type="cellIs" dxfId="38786" priority="54129" stopIfTrue="1" operator="equal">
      <formula>-1</formula>
    </cfRule>
  </conditionalFormatting>
  <conditionalFormatting sqref="F37">
    <cfRule type="cellIs" dxfId="38785" priority="54130" stopIfTrue="1" operator="lessThan">
      <formula>0.5</formula>
    </cfRule>
  </conditionalFormatting>
  <conditionalFormatting sqref="F37">
    <cfRule type="cellIs" dxfId="38784" priority="54131" stopIfTrue="1" operator="greaterThanOrEqual">
      <formula>0.5</formula>
    </cfRule>
  </conditionalFormatting>
  <conditionalFormatting sqref="H17">
    <cfRule type="cellIs" dxfId="38783" priority="54132" stopIfTrue="1" operator="equal">
      <formula>-1</formula>
    </cfRule>
  </conditionalFormatting>
  <conditionalFormatting sqref="H17">
    <cfRule type="cellIs" dxfId="38782" priority="54133" stopIfTrue="1" operator="lessThan">
      <formula>0.5</formula>
    </cfRule>
  </conditionalFormatting>
  <conditionalFormatting sqref="H17">
    <cfRule type="cellIs" dxfId="38781" priority="54134" stopIfTrue="1" operator="greaterThanOrEqual">
      <formula>0.5</formula>
    </cfRule>
  </conditionalFormatting>
  <conditionalFormatting sqref="H18">
    <cfRule type="cellIs" dxfId="38780" priority="54135" stopIfTrue="1" operator="equal">
      <formula>-1</formula>
    </cfRule>
  </conditionalFormatting>
  <conditionalFormatting sqref="H18">
    <cfRule type="cellIs" dxfId="38779" priority="54136" stopIfTrue="1" operator="lessThan">
      <formula>0.5</formula>
    </cfRule>
  </conditionalFormatting>
  <conditionalFormatting sqref="H18">
    <cfRule type="cellIs" dxfId="38778" priority="54137" stopIfTrue="1" operator="greaterThanOrEqual">
      <formula>0.5</formula>
    </cfRule>
  </conditionalFormatting>
  <conditionalFormatting sqref="H19">
    <cfRule type="cellIs" dxfId="38777" priority="54138" stopIfTrue="1" operator="equal">
      <formula>-1</formula>
    </cfRule>
  </conditionalFormatting>
  <conditionalFormatting sqref="H19">
    <cfRule type="cellIs" dxfId="38776" priority="54139" stopIfTrue="1" operator="lessThan">
      <formula>0.5</formula>
    </cfRule>
  </conditionalFormatting>
  <conditionalFormatting sqref="H19">
    <cfRule type="cellIs" dxfId="38775" priority="54140" stopIfTrue="1" operator="greaterThanOrEqual">
      <formula>0.5</formula>
    </cfRule>
  </conditionalFormatting>
  <conditionalFormatting sqref="H20">
    <cfRule type="cellIs" dxfId="38774" priority="54141" stopIfTrue="1" operator="equal">
      <formula>-1</formula>
    </cfRule>
  </conditionalFormatting>
  <conditionalFormatting sqref="H20">
    <cfRule type="cellIs" dxfId="38773" priority="54142" stopIfTrue="1" operator="lessThan">
      <formula>0.5</formula>
    </cfRule>
  </conditionalFormatting>
  <conditionalFormatting sqref="H20">
    <cfRule type="cellIs" dxfId="38772" priority="54143" stopIfTrue="1" operator="greaterThanOrEqual">
      <formula>0.5</formula>
    </cfRule>
  </conditionalFormatting>
  <conditionalFormatting sqref="H21">
    <cfRule type="cellIs" dxfId="38771" priority="54144" stopIfTrue="1" operator="equal">
      <formula>-1</formula>
    </cfRule>
  </conditionalFormatting>
  <conditionalFormatting sqref="H21">
    <cfRule type="cellIs" dxfId="38770" priority="54145" stopIfTrue="1" operator="lessThan">
      <formula>0.5</formula>
    </cfRule>
  </conditionalFormatting>
  <conditionalFormatting sqref="H21">
    <cfRule type="cellIs" dxfId="38769" priority="54146" stopIfTrue="1" operator="greaterThanOrEqual">
      <formula>0.5</formula>
    </cfRule>
  </conditionalFormatting>
  <conditionalFormatting sqref="H22">
    <cfRule type="cellIs" dxfId="38768" priority="54147" stopIfTrue="1" operator="equal">
      <formula>-1</formula>
    </cfRule>
  </conditionalFormatting>
  <conditionalFormatting sqref="H22">
    <cfRule type="cellIs" dxfId="38767" priority="54148" stopIfTrue="1" operator="lessThan">
      <formula>0.5</formula>
    </cfRule>
  </conditionalFormatting>
  <conditionalFormatting sqref="H22">
    <cfRule type="cellIs" dxfId="38766" priority="54149" stopIfTrue="1" operator="greaterThanOrEqual">
      <formula>0.5</formula>
    </cfRule>
  </conditionalFormatting>
  <conditionalFormatting sqref="H23">
    <cfRule type="cellIs" dxfId="38765" priority="54150" stopIfTrue="1" operator="equal">
      <formula>-1</formula>
    </cfRule>
  </conditionalFormatting>
  <conditionalFormatting sqref="H23">
    <cfRule type="cellIs" dxfId="38764" priority="54151" stopIfTrue="1" operator="lessThan">
      <formula>0.5</formula>
    </cfRule>
  </conditionalFormatting>
  <conditionalFormatting sqref="H23">
    <cfRule type="cellIs" dxfId="38763" priority="54152" stopIfTrue="1" operator="greaterThanOrEqual">
      <formula>0.5</formula>
    </cfRule>
  </conditionalFormatting>
  <conditionalFormatting sqref="H24">
    <cfRule type="cellIs" dxfId="38762" priority="54153" stopIfTrue="1" operator="equal">
      <formula>-1</formula>
    </cfRule>
  </conditionalFormatting>
  <conditionalFormatting sqref="H24">
    <cfRule type="cellIs" dxfId="38761" priority="54154" stopIfTrue="1" operator="lessThan">
      <formula>0.5</formula>
    </cfRule>
  </conditionalFormatting>
  <conditionalFormatting sqref="H24">
    <cfRule type="cellIs" dxfId="38760" priority="54155" stopIfTrue="1" operator="greaterThanOrEqual">
      <formula>0.5</formula>
    </cfRule>
  </conditionalFormatting>
  <conditionalFormatting sqref="H25">
    <cfRule type="cellIs" dxfId="38759" priority="54156" stopIfTrue="1" operator="equal">
      <formula>-1</formula>
    </cfRule>
  </conditionalFormatting>
  <conditionalFormatting sqref="H25">
    <cfRule type="cellIs" dxfId="38758" priority="54157" stopIfTrue="1" operator="lessThan">
      <formula>0.5</formula>
    </cfRule>
  </conditionalFormatting>
  <conditionalFormatting sqref="H25">
    <cfRule type="cellIs" dxfId="38757" priority="54158" stopIfTrue="1" operator="greaterThanOrEqual">
      <formula>0.5</formula>
    </cfRule>
  </conditionalFormatting>
  <conditionalFormatting sqref="H26">
    <cfRule type="cellIs" dxfId="38756" priority="54159" stopIfTrue="1" operator="equal">
      <formula>-1</formula>
    </cfRule>
  </conditionalFormatting>
  <conditionalFormatting sqref="H26">
    <cfRule type="cellIs" dxfId="38755" priority="54160" stopIfTrue="1" operator="lessThan">
      <formula>0.5</formula>
    </cfRule>
  </conditionalFormatting>
  <conditionalFormatting sqref="H26">
    <cfRule type="cellIs" dxfId="38754" priority="54161" stopIfTrue="1" operator="greaterThanOrEqual">
      <formula>0.5</formula>
    </cfRule>
  </conditionalFormatting>
  <conditionalFormatting sqref="H27">
    <cfRule type="cellIs" dxfId="38753" priority="54162" stopIfTrue="1" operator="equal">
      <formula>-1</formula>
    </cfRule>
  </conditionalFormatting>
  <conditionalFormatting sqref="H27">
    <cfRule type="cellIs" dxfId="38752" priority="54163" stopIfTrue="1" operator="lessThan">
      <formula>0.5</formula>
    </cfRule>
  </conditionalFormatting>
  <conditionalFormatting sqref="H27">
    <cfRule type="cellIs" dxfId="38751" priority="54164" stopIfTrue="1" operator="greaterThanOrEqual">
      <formula>0.5</formula>
    </cfRule>
  </conditionalFormatting>
  <conditionalFormatting sqref="H28">
    <cfRule type="cellIs" dxfId="38750" priority="54165" stopIfTrue="1" operator="equal">
      <formula>-1</formula>
    </cfRule>
  </conditionalFormatting>
  <conditionalFormatting sqref="H28">
    <cfRule type="cellIs" dxfId="38749" priority="54166" stopIfTrue="1" operator="lessThan">
      <formula>0.5</formula>
    </cfRule>
  </conditionalFormatting>
  <conditionalFormatting sqref="H28">
    <cfRule type="cellIs" dxfId="38748" priority="54167" stopIfTrue="1" operator="greaterThanOrEqual">
      <formula>0.5</formula>
    </cfRule>
  </conditionalFormatting>
  <conditionalFormatting sqref="H29">
    <cfRule type="cellIs" dxfId="38747" priority="54168" stopIfTrue="1" operator="equal">
      <formula>-1</formula>
    </cfRule>
  </conditionalFormatting>
  <conditionalFormatting sqref="H29">
    <cfRule type="cellIs" dxfId="38746" priority="54169" stopIfTrue="1" operator="lessThan">
      <formula>0.5</formula>
    </cfRule>
  </conditionalFormatting>
  <conditionalFormatting sqref="H29">
    <cfRule type="cellIs" dxfId="38745" priority="54170" stopIfTrue="1" operator="greaterThanOrEqual">
      <formula>0.5</formula>
    </cfRule>
  </conditionalFormatting>
  <conditionalFormatting sqref="H30">
    <cfRule type="cellIs" dxfId="38744" priority="54171" stopIfTrue="1" operator="equal">
      <formula>-1</formula>
    </cfRule>
  </conditionalFormatting>
  <conditionalFormatting sqref="H30">
    <cfRule type="cellIs" dxfId="38743" priority="54172" stopIfTrue="1" operator="lessThan">
      <formula>0.5</formula>
    </cfRule>
  </conditionalFormatting>
  <conditionalFormatting sqref="H30">
    <cfRule type="cellIs" dxfId="38742" priority="54173" stopIfTrue="1" operator="greaterThanOrEqual">
      <formula>0.5</formula>
    </cfRule>
  </conditionalFormatting>
  <conditionalFormatting sqref="H31">
    <cfRule type="cellIs" dxfId="38741" priority="54174" stopIfTrue="1" operator="equal">
      <formula>-1</formula>
    </cfRule>
  </conditionalFormatting>
  <conditionalFormatting sqref="H31">
    <cfRule type="cellIs" dxfId="38740" priority="54175" stopIfTrue="1" operator="lessThan">
      <formula>0.5</formula>
    </cfRule>
  </conditionalFormatting>
  <conditionalFormatting sqref="H31">
    <cfRule type="cellIs" dxfId="38739" priority="54176" stopIfTrue="1" operator="greaterThanOrEqual">
      <formula>0.5</formula>
    </cfRule>
  </conditionalFormatting>
  <conditionalFormatting sqref="H32">
    <cfRule type="cellIs" dxfId="38738" priority="54177" stopIfTrue="1" operator="equal">
      <formula>-1</formula>
    </cfRule>
  </conditionalFormatting>
  <conditionalFormatting sqref="H32">
    <cfRule type="cellIs" dxfId="38737" priority="54178" stopIfTrue="1" operator="lessThan">
      <formula>0.5</formula>
    </cfRule>
  </conditionalFormatting>
  <conditionalFormatting sqref="H32">
    <cfRule type="cellIs" dxfId="38736" priority="54179" stopIfTrue="1" operator="greaterThanOrEqual">
      <formula>0.5</formula>
    </cfRule>
  </conditionalFormatting>
  <conditionalFormatting sqref="H33">
    <cfRule type="cellIs" dxfId="38735" priority="54180" stopIfTrue="1" operator="equal">
      <formula>-1</formula>
    </cfRule>
  </conditionalFormatting>
  <conditionalFormatting sqref="H33">
    <cfRule type="cellIs" dxfId="38734" priority="54181" stopIfTrue="1" operator="lessThan">
      <formula>0.5</formula>
    </cfRule>
  </conditionalFormatting>
  <conditionalFormatting sqref="H33">
    <cfRule type="cellIs" dxfId="38733" priority="54182" stopIfTrue="1" operator="greaterThanOrEqual">
      <formula>0.5</formula>
    </cfRule>
  </conditionalFormatting>
  <conditionalFormatting sqref="H34">
    <cfRule type="cellIs" dxfId="38732" priority="54183" stopIfTrue="1" operator="equal">
      <formula>-1</formula>
    </cfRule>
  </conditionalFormatting>
  <conditionalFormatting sqref="H34">
    <cfRule type="cellIs" dxfId="38731" priority="54184" stopIfTrue="1" operator="lessThan">
      <formula>0.5</formula>
    </cfRule>
  </conditionalFormatting>
  <conditionalFormatting sqref="H34">
    <cfRule type="cellIs" dxfId="38730" priority="54185" stopIfTrue="1" operator="greaterThanOrEqual">
      <formula>0.5</formula>
    </cfRule>
  </conditionalFormatting>
  <conditionalFormatting sqref="H35">
    <cfRule type="cellIs" dxfId="38729" priority="54186" stopIfTrue="1" operator="equal">
      <formula>-1</formula>
    </cfRule>
  </conditionalFormatting>
  <conditionalFormatting sqref="H35">
    <cfRule type="cellIs" dxfId="38728" priority="54187" stopIfTrue="1" operator="lessThan">
      <formula>0.5</formula>
    </cfRule>
  </conditionalFormatting>
  <conditionalFormatting sqref="H35">
    <cfRule type="cellIs" dxfId="38727" priority="54188" stopIfTrue="1" operator="greaterThanOrEqual">
      <formula>0.5</formula>
    </cfRule>
  </conditionalFormatting>
  <conditionalFormatting sqref="H36">
    <cfRule type="cellIs" dxfId="38726" priority="54189" stopIfTrue="1" operator="equal">
      <formula>-1</formula>
    </cfRule>
  </conditionalFormatting>
  <conditionalFormatting sqref="H36">
    <cfRule type="cellIs" dxfId="38725" priority="54190" stopIfTrue="1" operator="lessThan">
      <formula>0.5</formula>
    </cfRule>
  </conditionalFormatting>
  <conditionalFormatting sqref="H36">
    <cfRule type="cellIs" dxfId="38724" priority="54191" stopIfTrue="1" operator="greaterThanOrEqual">
      <formula>0.5</formula>
    </cfRule>
  </conditionalFormatting>
  <conditionalFormatting sqref="H37">
    <cfRule type="cellIs" dxfId="38723" priority="54192" stopIfTrue="1" operator="equal">
      <formula>-1</formula>
    </cfRule>
  </conditionalFormatting>
  <conditionalFormatting sqref="H37">
    <cfRule type="cellIs" dxfId="38722" priority="54193" stopIfTrue="1" operator="lessThan">
      <formula>0.5</formula>
    </cfRule>
  </conditionalFormatting>
  <conditionalFormatting sqref="H37">
    <cfRule type="cellIs" dxfId="38721" priority="54194" stopIfTrue="1" operator="greaterThanOrEqual">
      <formula>0.5</formula>
    </cfRule>
  </conditionalFormatting>
  <conditionalFormatting sqref="J17">
    <cfRule type="cellIs" dxfId="38720" priority="54195" stopIfTrue="1" operator="equal">
      <formula>-1</formula>
    </cfRule>
  </conditionalFormatting>
  <conditionalFormatting sqref="J17">
    <cfRule type="cellIs" dxfId="38719" priority="54196" stopIfTrue="1" operator="lessThan">
      <formula>0.5</formula>
    </cfRule>
  </conditionalFormatting>
  <conditionalFormatting sqref="J17">
    <cfRule type="cellIs" dxfId="38718" priority="54197" stopIfTrue="1" operator="greaterThanOrEqual">
      <formula>0.5</formula>
    </cfRule>
  </conditionalFormatting>
  <conditionalFormatting sqref="J18">
    <cfRule type="cellIs" dxfId="38717" priority="54198" stopIfTrue="1" operator="equal">
      <formula>-1</formula>
    </cfRule>
  </conditionalFormatting>
  <conditionalFormatting sqref="J18">
    <cfRule type="cellIs" dxfId="38716" priority="54199" stopIfTrue="1" operator="lessThan">
      <formula>0.5</formula>
    </cfRule>
  </conditionalFormatting>
  <conditionalFormatting sqref="J18">
    <cfRule type="cellIs" dxfId="38715" priority="54200" stopIfTrue="1" operator="greaterThanOrEqual">
      <formula>0.5</formula>
    </cfRule>
  </conditionalFormatting>
  <conditionalFormatting sqref="J19">
    <cfRule type="cellIs" dxfId="38714" priority="54201" stopIfTrue="1" operator="equal">
      <formula>-1</formula>
    </cfRule>
  </conditionalFormatting>
  <conditionalFormatting sqref="J19">
    <cfRule type="cellIs" dxfId="38713" priority="54202" stopIfTrue="1" operator="lessThan">
      <formula>0.5</formula>
    </cfRule>
  </conditionalFormatting>
  <conditionalFormatting sqref="J19">
    <cfRule type="cellIs" dxfId="38712" priority="54203" stopIfTrue="1" operator="greaterThanOrEqual">
      <formula>0.5</formula>
    </cfRule>
  </conditionalFormatting>
  <conditionalFormatting sqref="J20">
    <cfRule type="cellIs" dxfId="38711" priority="54204" stopIfTrue="1" operator="equal">
      <formula>-1</formula>
    </cfRule>
  </conditionalFormatting>
  <conditionalFormatting sqref="J20">
    <cfRule type="cellIs" dxfId="38710" priority="54205" stopIfTrue="1" operator="lessThan">
      <formula>0.5</formula>
    </cfRule>
  </conditionalFormatting>
  <conditionalFormatting sqref="J20">
    <cfRule type="cellIs" dxfId="38709" priority="54206" stopIfTrue="1" operator="greaterThanOrEqual">
      <formula>0.5</formula>
    </cfRule>
  </conditionalFormatting>
  <conditionalFormatting sqref="J21">
    <cfRule type="cellIs" dxfId="38708" priority="54207" stopIfTrue="1" operator="equal">
      <formula>-1</formula>
    </cfRule>
  </conditionalFormatting>
  <conditionalFormatting sqref="J21">
    <cfRule type="cellIs" dxfId="38707" priority="54208" stopIfTrue="1" operator="lessThan">
      <formula>0.5</formula>
    </cfRule>
  </conditionalFormatting>
  <conditionalFormatting sqref="J21">
    <cfRule type="cellIs" dxfId="38706" priority="54209" stopIfTrue="1" operator="greaterThanOrEqual">
      <formula>0.5</formula>
    </cfRule>
  </conditionalFormatting>
  <conditionalFormatting sqref="J22">
    <cfRule type="cellIs" dxfId="38705" priority="54210" stopIfTrue="1" operator="equal">
      <formula>-1</formula>
    </cfRule>
  </conditionalFormatting>
  <conditionalFormatting sqref="J22">
    <cfRule type="cellIs" dxfId="38704" priority="54211" stopIfTrue="1" operator="lessThan">
      <formula>0.5</formula>
    </cfRule>
  </conditionalFormatting>
  <conditionalFormatting sqref="J22">
    <cfRule type="cellIs" dxfId="38703" priority="54212" stopIfTrue="1" operator="greaterThanOrEqual">
      <formula>0.5</formula>
    </cfRule>
  </conditionalFormatting>
  <conditionalFormatting sqref="J23">
    <cfRule type="cellIs" dxfId="38702" priority="54213" stopIfTrue="1" operator="equal">
      <formula>-1</formula>
    </cfRule>
  </conditionalFormatting>
  <conditionalFormatting sqref="J23">
    <cfRule type="cellIs" dxfId="38701" priority="54214" stopIfTrue="1" operator="lessThan">
      <formula>0.5</formula>
    </cfRule>
  </conditionalFormatting>
  <conditionalFormatting sqref="J23">
    <cfRule type="cellIs" dxfId="38700" priority="54215" stopIfTrue="1" operator="greaterThanOrEqual">
      <formula>0.5</formula>
    </cfRule>
  </conditionalFormatting>
  <conditionalFormatting sqref="J24">
    <cfRule type="cellIs" dxfId="38699" priority="54216" stopIfTrue="1" operator="equal">
      <formula>-1</formula>
    </cfRule>
  </conditionalFormatting>
  <conditionalFormatting sqref="J24">
    <cfRule type="cellIs" dxfId="38698" priority="54217" stopIfTrue="1" operator="lessThan">
      <formula>0.5</formula>
    </cfRule>
  </conditionalFormatting>
  <conditionalFormatting sqref="J24">
    <cfRule type="cellIs" dxfId="38697" priority="54218" stopIfTrue="1" operator="greaterThanOrEqual">
      <formula>0.5</formula>
    </cfRule>
  </conditionalFormatting>
  <conditionalFormatting sqref="J25">
    <cfRule type="cellIs" dxfId="38696" priority="54219" stopIfTrue="1" operator="equal">
      <formula>-1</formula>
    </cfRule>
  </conditionalFormatting>
  <conditionalFormatting sqref="J25">
    <cfRule type="cellIs" dxfId="38695" priority="54220" stopIfTrue="1" operator="lessThan">
      <formula>0.5</formula>
    </cfRule>
  </conditionalFormatting>
  <conditionalFormatting sqref="J25">
    <cfRule type="cellIs" dxfId="38694" priority="54221" stopIfTrue="1" operator="greaterThanOrEqual">
      <formula>0.5</formula>
    </cfRule>
  </conditionalFormatting>
  <conditionalFormatting sqref="J26">
    <cfRule type="cellIs" dxfId="38693" priority="54222" stopIfTrue="1" operator="equal">
      <formula>-1</formula>
    </cfRule>
  </conditionalFormatting>
  <conditionalFormatting sqref="J26">
    <cfRule type="cellIs" dxfId="38692" priority="54223" stopIfTrue="1" operator="lessThan">
      <formula>0.5</formula>
    </cfRule>
  </conditionalFormatting>
  <conditionalFormatting sqref="J26">
    <cfRule type="cellIs" dxfId="38691" priority="54224" stopIfTrue="1" operator="greaterThanOrEqual">
      <formula>0.5</formula>
    </cfRule>
  </conditionalFormatting>
  <conditionalFormatting sqref="J27">
    <cfRule type="cellIs" dxfId="38690" priority="54225" stopIfTrue="1" operator="equal">
      <formula>-1</formula>
    </cfRule>
  </conditionalFormatting>
  <conditionalFormatting sqref="J27">
    <cfRule type="cellIs" dxfId="38689" priority="54226" stopIfTrue="1" operator="lessThan">
      <formula>0.5</formula>
    </cfRule>
  </conditionalFormatting>
  <conditionalFormatting sqref="J27">
    <cfRule type="cellIs" dxfId="38688" priority="54227" stopIfTrue="1" operator="greaterThanOrEqual">
      <formula>0.5</formula>
    </cfRule>
  </conditionalFormatting>
  <conditionalFormatting sqref="J28">
    <cfRule type="cellIs" dxfId="38687" priority="54228" stopIfTrue="1" operator="equal">
      <formula>-1</formula>
    </cfRule>
  </conditionalFormatting>
  <conditionalFormatting sqref="J28">
    <cfRule type="cellIs" dxfId="38686" priority="54229" stopIfTrue="1" operator="lessThan">
      <formula>0.5</formula>
    </cfRule>
  </conditionalFormatting>
  <conditionalFormatting sqref="J28">
    <cfRule type="cellIs" dxfId="38685" priority="54230" stopIfTrue="1" operator="greaterThanOrEqual">
      <formula>0.5</formula>
    </cfRule>
  </conditionalFormatting>
  <conditionalFormatting sqref="J29">
    <cfRule type="cellIs" dxfId="38684" priority="54231" stopIfTrue="1" operator="equal">
      <formula>-1</formula>
    </cfRule>
  </conditionalFormatting>
  <conditionalFormatting sqref="J29">
    <cfRule type="cellIs" dxfId="38683" priority="54232" stopIfTrue="1" operator="lessThan">
      <formula>0.5</formula>
    </cfRule>
  </conditionalFormatting>
  <conditionalFormatting sqref="J29">
    <cfRule type="cellIs" dxfId="38682" priority="54233" stopIfTrue="1" operator="greaterThanOrEqual">
      <formula>0.5</formula>
    </cfRule>
  </conditionalFormatting>
  <conditionalFormatting sqref="J30">
    <cfRule type="cellIs" dxfId="38681" priority="54234" stopIfTrue="1" operator="equal">
      <formula>-1</formula>
    </cfRule>
  </conditionalFormatting>
  <conditionalFormatting sqref="J30">
    <cfRule type="cellIs" dxfId="38680" priority="54235" stopIfTrue="1" operator="lessThan">
      <formula>0.5</formula>
    </cfRule>
  </conditionalFormatting>
  <conditionalFormatting sqref="J30">
    <cfRule type="cellIs" dxfId="38679" priority="54236" stopIfTrue="1" operator="greaterThanOrEqual">
      <formula>0.5</formula>
    </cfRule>
  </conditionalFormatting>
  <conditionalFormatting sqref="J31">
    <cfRule type="cellIs" dxfId="38678" priority="54237" stopIfTrue="1" operator="equal">
      <formula>-1</formula>
    </cfRule>
  </conditionalFormatting>
  <conditionalFormatting sqref="J31">
    <cfRule type="cellIs" dxfId="38677" priority="54238" stopIfTrue="1" operator="lessThan">
      <formula>0.5</formula>
    </cfRule>
  </conditionalFormatting>
  <conditionalFormatting sqref="J31">
    <cfRule type="cellIs" dxfId="38676" priority="54239" stopIfTrue="1" operator="greaterThanOrEqual">
      <formula>0.5</formula>
    </cfRule>
  </conditionalFormatting>
  <conditionalFormatting sqref="J32">
    <cfRule type="cellIs" dxfId="38675" priority="54240" stopIfTrue="1" operator="equal">
      <formula>-1</formula>
    </cfRule>
  </conditionalFormatting>
  <conditionalFormatting sqref="J32">
    <cfRule type="cellIs" dxfId="38674" priority="54241" stopIfTrue="1" operator="lessThan">
      <formula>0.5</formula>
    </cfRule>
  </conditionalFormatting>
  <conditionalFormatting sqref="J32">
    <cfRule type="cellIs" dxfId="38673" priority="54242" stopIfTrue="1" operator="greaterThanOrEqual">
      <formula>0.5</formula>
    </cfRule>
  </conditionalFormatting>
  <conditionalFormatting sqref="J33">
    <cfRule type="cellIs" dxfId="38672" priority="54243" stopIfTrue="1" operator="equal">
      <formula>-1</formula>
    </cfRule>
  </conditionalFormatting>
  <conditionalFormatting sqref="J33">
    <cfRule type="cellIs" dxfId="38671" priority="54244" stopIfTrue="1" operator="lessThan">
      <formula>0.5</formula>
    </cfRule>
  </conditionalFormatting>
  <conditionalFormatting sqref="J33">
    <cfRule type="cellIs" dxfId="38670" priority="54245" stopIfTrue="1" operator="greaterThanOrEqual">
      <formula>0.5</formula>
    </cfRule>
  </conditionalFormatting>
  <conditionalFormatting sqref="J34">
    <cfRule type="cellIs" dxfId="38669" priority="54246" stopIfTrue="1" operator="equal">
      <formula>-1</formula>
    </cfRule>
  </conditionalFormatting>
  <conditionalFormatting sqref="J34">
    <cfRule type="cellIs" dxfId="38668" priority="54247" stopIfTrue="1" operator="lessThan">
      <formula>0.5</formula>
    </cfRule>
  </conditionalFormatting>
  <conditionalFormatting sqref="J34">
    <cfRule type="cellIs" dxfId="38667" priority="54248" stopIfTrue="1" operator="greaterThanOrEqual">
      <formula>0.5</formula>
    </cfRule>
  </conditionalFormatting>
  <conditionalFormatting sqref="J35">
    <cfRule type="cellIs" dxfId="38666" priority="54249" stopIfTrue="1" operator="equal">
      <formula>-1</formula>
    </cfRule>
  </conditionalFormatting>
  <conditionalFormatting sqref="J35">
    <cfRule type="cellIs" dxfId="38665" priority="54250" stopIfTrue="1" operator="lessThan">
      <formula>0.5</formula>
    </cfRule>
  </conditionalFormatting>
  <conditionalFormatting sqref="J35">
    <cfRule type="cellIs" dxfId="38664" priority="54251" stopIfTrue="1" operator="greaterThanOrEqual">
      <formula>0.5</formula>
    </cfRule>
  </conditionalFormatting>
  <conditionalFormatting sqref="J36">
    <cfRule type="cellIs" dxfId="38663" priority="54252" stopIfTrue="1" operator="equal">
      <formula>-1</formula>
    </cfRule>
  </conditionalFormatting>
  <conditionalFormatting sqref="J36">
    <cfRule type="cellIs" dxfId="38662" priority="54253" stopIfTrue="1" operator="lessThan">
      <formula>0.5</formula>
    </cfRule>
  </conditionalFormatting>
  <conditionalFormatting sqref="J36">
    <cfRule type="cellIs" dxfId="38661" priority="54254" stopIfTrue="1" operator="greaterThanOrEqual">
      <formula>0.5</formula>
    </cfRule>
  </conditionalFormatting>
  <conditionalFormatting sqref="J37">
    <cfRule type="cellIs" dxfId="38660" priority="54255" stopIfTrue="1" operator="equal">
      <formula>-1</formula>
    </cfRule>
  </conditionalFormatting>
  <conditionalFormatting sqref="J37">
    <cfRule type="cellIs" dxfId="38659" priority="54256" stopIfTrue="1" operator="lessThan">
      <formula>0.5</formula>
    </cfRule>
  </conditionalFormatting>
  <conditionalFormatting sqref="J37">
    <cfRule type="cellIs" dxfId="38658" priority="54257" stopIfTrue="1" operator="greaterThanOrEqual">
      <formula>0.5</formula>
    </cfRule>
  </conditionalFormatting>
  <conditionalFormatting sqref="L17">
    <cfRule type="cellIs" dxfId="38657" priority="54258" stopIfTrue="1" operator="equal">
      <formula>-1</formula>
    </cfRule>
  </conditionalFormatting>
  <conditionalFormatting sqref="L17">
    <cfRule type="cellIs" dxfId="38656" priority="54259" stopIfTrue="1" operator="lessThan">
      <formula>0.5</formula>
    </cfRule>
  </conditionalFormatting>
  <conditionalFormatting sqref="L17">
    <cfRule type="cellIs" dxfId="38655" priority="54260" stopIfTrue="1" operator="greaterThanOrEqual">
      <formula>0.5</formula>
    </cfRule>
  </conditionalFormatting>
  <conditionalFormatting sqref="L18">
    <cfRule type="cellIs" dxfId="38654" priority="54261" stopIfTrue="1" operator="equal">
      <formula>-1</formula>
    </cfRule>
  </conditionalFormatting>
  <conditionalFormatting sqref="L18">
    <cfRule type="cellIs" dxfId="38653" priority="54262" stopIfTrue="1" operator="lessThan">
      <formula>0.5</formula>
    </cfRule>
  </conditionalFormatting>
  <conditionalFormatting sqref="L18">
    <cfRule type="cellIs" dxfId="38652" priority="54263" stopIfTrue="1" operator="greaterThanOrEqual">
      <formula>0.5</formula>
    </cfRule>
  </conditionalFormatting>
  <conditionalFormatting sqref="L19">
    <cfRule type="cellIs" dxfId="38651" priority="54264" stopIfTrue="1" operator="equal">
      <formula>-1</formula>
    </cfRule>
  </conditionalFormatting>
  <conditionalFormatting sqref="L19">
    <cfRule type="cellIs" dxfId="38650" priority="54265" stopIfTrue="1" operator="lessThan">
      <formula>0.5</formula>
    </cfRule>
  </conditionalFormatting>
  <conditionalFormatting sqref="L19">
    <cfRule type="cellIs" dxfId="38649" priority="54266" stopIfTrue="1" operator="greaterThanOrEqual">
      <formula>0.5</formula>
    </cfRule>
  </conditionalFormatting>
  <conditionalFormatting sqref="L20">
    <cfRule type="cellIs" dxfId="38648" priority="54267" stopIfTrue="1" operator="equal">
      <formula>-1</formula>
    </cfRule>
  </conditionalFormatting>
  <conditionalFormatting sqref="L20">
    <cfRule type="cellIs" dxfId="38647" priority="54268" stopIfTrue="1" operator="lessThan">
      <formula>0.5</formula>
    </cfRule>
  </conditionalFormatting>
  <conditionalFormatting sqref="L20">
    <cfRule type="cellIs" dxfId="38646" priority="54269" stopIfTrue="1" operator="greaterThanOrEqual">
      <formula>0.5</formula>
    </cfRule>
  </conditionalFormatting>
  <conditionalFormatting sqref="L21">
    <cfRule type="cellIs" dxfId="38645" priority="54270" stopIfTrue="1" operator="equal">
      <formula>-1</formula>
    </cfRule>
  </conditionalFormatting>
  <conditionalFormatting sqref="L21">
    <cfRule type="cellIs" dxfId="38644" priority="54271" stopIfTrue="1" operator="lessThan">
      <formula>0.5</formula>
    </cfRule>
  </conditionalFormatting>
  <conditionalFormatting sqref="L21">
    <cfRule type="cellIs" dxfId="38643" priority="54272" stopIfTrue="1" operator="greaterThanOrEqual">
      <formula>0.5</formula>
    </cfRule>
  </conditionalFormatting>
  <conditionalFormatting sqref="L22">
    <cfRule type="cellIs" dxfId="38642" priority="54273" stopIfTrue="1" operator="equal">
      <formula>-1</formula>
    </cfRule>
  </conditionalFormatting>
  <conditionalFormatting sqref="L22">
    <cfRule type="cellIs" dxfId="38641" priority="54274" stopIfTrue="1" operator="lessThan">
      <formula>0.5</formula>
    </cfRule>
  </conditionalFormatting>
  <conditionalFormatting sqref="L22">
    <cfRule type="cellIs" dxfId="38640" priority="54275" stopIfTrue="1" operator="greaterThanOrEqual">
      <formula>0.5</formula>
    </cfRule>
  </conditionalFormatting>
  <conditionalFormatting sqref="L23">
    <cfRule type="cellIs" dxfId="38639" priority="54276" stopIfTrue="1" operator="equal">
      <formula>-1</formula>
    </cfRule>
  </conditionalFormatting>
  <conditionalFormatting sqref="L23">
    <cfRule type="cellIs" dxfId="38638" priority="54277" stopIfTrue="1" operator="lessThan">
      <formula>0.5</formula>
    </cfRule>
  </conditionalFormatting>
  <conditionalFormatting sqref="L23">
    <cfRule type="cellIs" dxfId="38637" priority="54278" stopIfTrue="1" operator="greaterThanOrEqual">
      <formula>0.5</formula>
    </cfRule>
  </conditionalFormatting>
  <conditionalFormatting sqref="L24">
    <cfRule type="cellIs" dxfId="38636" priority="54279" stopIfTrue="1" operator="equal">
      <formula>-1</formula>
    </cfRule>
  </conditionalFormatting>
  <conditionalFormatting sqref="L24">
    <cfRule type="cellIs" dxfId="38635" priority="54280" stopIfTrue="1" operator="lessThan">
      <formula>0.5</formula>
    </cfRule>
  </conditionalFormatting>
  <conditionalFormatting sqref="L24">
    <cfRule type="cellIs" dxfId="38634" priority="54281" stopIfTrue="1" operator="greaterThanOrEqual">
      <formula>0.5</formula>
    </cfRule>
  </conditionalFormatting>
  <conditionalFormatting sqref="L25">
    <cfRule type="cellIs" dxfId="38633" priority="54282" stopIfTrue="1" operator="equal">
      <formula>-1</formula>
    </cfRule>
  </conditionalFormatting>
  <conditionalFormatting sqref="L25">
    <cfRule type="cellIs" dxfId="38632" priority="54283" stopIfTrue="1" operator="lessThan">
      <formula>0.5</formula>
    </cfRule>
  </conditionalFormatting>
  <conditionalFormatting sqref="L25">
    <cfRule type="cellIs" dxfId="38631" priority="54284" stopIfTrue="1" operator="greaterThanOrEqual">
      <formula>0.5</formula>
    </cfRule>
  </conditionalFormatting>
  <conditionalFormatting sqref="L26">
    <cfRule type="cellIs" dxfId="38630" priority="54285" stopIfTrue="1" operator="equal">
      <formula>-1</formula>
    </cfRule>
  </conditionalFormatting>
  <conditionalFormatting sqref="L26">
    <cfRule type="cellIs" dxfId="38629" priority="54286" stopIfTrue="1" operator="lessThan">
      <formula>0.5</formula>
    </cfRule>
  </conditionalFormatting>
  <conditionalFormatting sqref="L26">
    <cfRule type="cellIs" dxfId="38628" priority="54287" stopIfTrue="1" operator="greaterThanOrEqual">
      <formula>0.5</formula>
    </cfRule>
  </conditionalFormatting>
  <conditionalFormatting sqref="L27">
    <cfRule type="cellIs" dxfId="38627" priority="54288" stopIfTrue="1" operator="equal">
      <formula>-1</formula>
    </cfRule>
  </conditionalFormatting>
  <conditionalFormatting sqref="L27">
    <cfRule type="cellIs" dxfId="38626" priority="54289" stopIfTrue="1" operator="lessThan">
      <formula>0.5</formula>
    </cfRule>
  </conditionalFormatting>
  <conditionalFormatting sqref="L27">
    <cfRule type="cellIs" dxfId="38625" priority="54290" stopIfTrue="1" operator="greaterThanOrEqual">
      <formula>0.5</formula>
    </cfRule>
  </conditionalFormatting>
  <conditionalFormatting sqref="L28">
    <cfRule type="cellIs" dxfId="38624" priority="54291" stopIfTrue="1" operator="equal">
      <formula>-1</formula>
    </cfRule>
  </conditionalFormatting>
  <conditionalFormatting sqref="L28">
    <cfRule type="cellIs" dxfId="38623" priority="54292" stopIfTrue="1" operator="lessThan">
      <formula>0.5</formula>
    </cfRule>
  </conditionalFormatting>
  <conditionalFormatting sqref="L28">
    <cfRule type="cellIs" dxfId="38622" priority="54293" stopIfTrue="1" operator="greaterThanOrEqual">
      <formula>0.5</formula>
    </cfRule>
  </conditionalFormatting>
  <conditionalFormatting sqref="L29">
    <cfRule type="cellIs" dxfId="38621" priority="54294" stopIfTrue="1" operator="equal">
      <formula>-1</formula>
    </cfRule>
  </conditionalFormatting>
  <conditionalFormatting sqref="L29">
    <cfRule type="cellIs" dxfId="38620" priority="54295" stopIfTrue="1" operator="lessThan">
      <formula>0.5</formula>
    </cfRule>
  </conditionalFormatting>
  <conditionalFormatting sqref="L29">
    <cfRule type="cellIs" dxfId="38619" priority="54296" stopIfTrue="1" operator="greaterThanOrEqual">
      <formula>0.5</formula>
    </cfRule>
  </conditionalFormatting>
  <conditionalFormatting sqref="L30">
    <cfRule type="cellIs" dxfId="38618" priority="54297" stopIfTrue="1" operator="equal">
      <formula>-1</formula>
    </cfRule>
  </conditionalFormatting>
  <conditionalFormatting sqref="L30">
    <cfRule type="cellIs" dxfId="38617" priority="54298" stopIfTrue="1" operator="lessThan">
      <formula>0.5</formula>
    </cfRule>
  </conditionalFormatting>
  <conditionalFormatting sqref="L30">
    <cfRule type="cellIs" dxfId="38616" priority="54299" stopIfTrue="1" operator="greaterThanOrEqual">
      <formula>0.5</formula>
    </cfRule>
  </conditionalFormatting>
  <conditionalFormatting sqref="L31">
    <cfRule type="cellIs" dxfId="38615" priority="54300" stopIfTrue="1" operator="equal">
      <formula>-1</formula>
    </cfRule>
  </conditionalFormatting>
  <conditionalFormatting sqref="L31">
    <cfRule type="cellIs" dxfId="38614" priority="54301" stopIfTrue="1" operator="lessThan">
      <formula>0.5</formula>
    </cfRule>
  </conditionalFormatting>
  <conditionalFormatting sqref="L31">
    <cfRule type="cellIs" dxfId="38613" priority="54302" stopIfTrue="1" operator="greaterThanOrEqual">
      <formula>0.5</formula>
    </cfRule>
  </conditionalFormatting>
  <conditionalFormatting sqref="L32">
    <cfRule type="cellIs" dxfId="38612" priority="54303" stopIfTrue="1" operator="equal">
      <formula>-1</formula>
    </cfRule>
  </conditionalFormatting>
  <conditionalFormatting sqref="L32">
    <cfRule type="cellIs" dxfId="38611" priority="54304" stopIfTrue="1" operator="lessThan">
      <formula>0.5</formula>
    </cfRule>
  </conditionalFormatting>
  <conditionalFormatting sqref="L32">
    <cfRule type="cellIs" dxfId="38610" priority="54305" stopIfTrue="1" operator="greaterThanOrEqual">
      <formula>0.5</formula>
    </cfRule>
  </conditionalFormatting>
  <conditionalFormatting sqref="L33">
    <cfRule type="cellIs" dxfId="38609" priority="54306" stopIfTrue="1" operator="equal">
      <formula>-1</formula>
    </cfRule>
  </conditionalFormatting>
  <conditionalFormatting sqref="L33">
    <cfRule type="cellIs" dxfId="38608" priority="54307" stopIfTrue="1" operator="lessThan">
      <formula>0.5</formula>
    </cfRule>
  </conditionalFormatting>
  <conditionalFormatting sqref="L33">
    <cfRule type="cellIs" dxfId="38607" priority="54308" stopIfTrue="1" operator="greaterThanOrEqual">
      <formula>0.5</formula>
    </cfRule>
  </conditionalFormatting>
  <conditionalFormatting sqref="L34">
    <cfRule type="cellIs" dxfId="38606" priority="54309" stopIfTrue="1" operator="equal">
      <formula>-1</formula>
    </cfRule>
  </conditionalFormatting>
  <conditionalFormatting sqref="L34">
    <cfRule type="cellIs" dxfId="38605" priority="54310" stopIfTrue="1" operator="lessThan">
      <formula>0.5</formula>
    </cfRule>
  </conditionalFormatting>
  <conditionalFormatting sqref="L34">
    <cfRule type="cellIs" dxfId="38604" priority="54311" stopIfTrue="1" operator="greaterThanOrEqual">
      <formula>0.5</formula>
    </cfRule>
  </conditionalFormatting>
  <conditionalFormatting sqref="L35">
    <cfRule type="cellIs" dxfId="38603" priority="54312" stopIfTrue="1" operator="equal">
      <formula>-1</formula>
    </cfRule>
  </conditionalFormatting>
  <conditionalFormatting sqref="L35">
    <cfRule type="cellIs" dxfId="38602" priority="54313" stopIfTrue="1" operator="lessThan">
      <formula>0.5</formula>
    </cfRule>
  </conditionalFormatting>
  <conditionalFormatting sqref="L35">
    <cfRule type="cellIs" dxfId="38601" priority="54314" stopIfTrue="1" operator="greaterThanOrEqual">
      <formula>0.5</formula>
    </cfRule>
  </conditionalFormatting>
  <conditionalFormatting sqref="L36">
    <cfRule type="cellIs" dxfId="38600" priority="54315" stopIfTrue="1" operator="equal">
      <formula>-1</formula>
    </cfRule>
  </conditionalFormatting>
  <conditionalFormatting sqref="L36">
    <cfRule type="cellIs" dxfId="38599" priority="54316" stopIfTrue="1" operator="lessThan">
      <formula>0.5</formula>
    </cfRule>
  </conditionalFormatting>
  <conditionalFormatting sqref="L36">
    <cfRule type="cellIs" dxfId="38598" priority="54317" stopIfTrue="1" operator="greaterThanOrEqual">
      <formula>0.5</formula>
    </cfRule>
  </conditionalFormatting>
  <conditionalFormatting sqref="L37">
    <cfRule type="cellIs" dxfId="38597" priority="54318" stopIfTrue="1" operator="equal">
      <formula>-1</formula>
    </cfRule>
  </conditionalFormatting>
  <conditionalFormatting sqref="L37">
    <cfRule type="cellIs" dxfId="38596" priority="54319" stopIfTrue="1" operator="lessThan">
      <formula>0.5</formula>
    </cfRule>
  </conditionalFormatting>
  <conditionalFormatting sqref="L37">
    <cfRule type="cellIs" dxfId="38595" priority="54320" stopIfTrue="1" operator="greaterThanOrEqual">
      <formula>0.5</formula>
    </cfRule>
  </conditionalFormatting>
  <conditionalFormatting sqref="N17">
    <cfRule type="cellIs" dxfId="38594" priority="54321" stopIfTrue="1" operator="equal">
      <formula>-1</formula>
    </cfRule>
  </conditionalFormatting>
  <conditionalFormatting sqref="N17">
    <cfRule type="cellIs" dxfId="38593" priority="54322" stopIfTrue="1" operator="lessThan">
      <formula>0.5</formula>
    </cfRule>
  </conditionalFormatting>
  <conditionalFormatting sqref="N17">
    <cfRule type="cellIs" dxfId="38592" priority="54323" stopIfTrue="1" operator="greaterThanOrEqual">
      <formula>0.5</formula>
    </cfRule>
  </conditionalFormatting>
  <conditionalFormatting sqref="N18">
    <cfRule type="cellIs" dxfId="38591" priority="54324" stopIfTrue="1" operator="equal">
      <formula>-1</formula>
    </cfRule>
  </conditionalFormatting>
  <conditionalFormatting sqref="N18">
    <cfRule type="cellIs" dxfId="38590" priority="54325" stopIfTrue="1" operator="lessThan">
      <formula>0.5</formula>
    </cfRule>
  </conditionalFormatting>
  <conditionalFormatting sqref="N18">
    <cfRule type="cellIs" dxfId="38589" priority="54326" stopIfTrue="1" operator="greaterThanOrEqual">
      <formula>0.5</formula>
    </cfRule>
  </conditionalFormatting>
  <conditionalFormatting sqref="N19">
    <cfRule type="cellIs" dxfId="38588" priority="54327" stopIfTrue="1" operator="equal">
      <formula>-1</formula>
    </cfRule>
  </conditionalFormatting>
  <conditionalFormatting sqref="N19">
    <cfRule type="cellIs" dxfId="38587" priority="54328" stopIfTrue="1" operator="lessThan">
      <formula>0.5</formula>
    </cfRule>
  </conditionalFormatting>
  <conditionalFormatting sqref="N19">
    <cfRule type="cellIs" dxfId="38586" priority="54329" stopIfTrue="1" operator="greaterThanOrEqual">
      <formula>0.5</formula>
    </cfRule>
  </conditionalFormatting>
  <conditionalFormatting sqref="N20">
    <cfRule type="cellIs" dxfId="38585" priority="54330" stopIfTrue="1" operator="equal">
      <formula>-1</formula>
    </cfRule>
  </conditionalFormatting>
  <conditionalFormatting sqref="N20">
    <cfRule type="cellIs" dxfId="38584" priority="54331" stopIfTrue="1" operator="lessThan">
      <formula>0.5</formula>
    </cfRule>
  </conditionalFormatting>
  <conditionalFormatting sqref="N20">
    <cfRule type="cellIs" dxfId="38583" priority="54332" stopIfTrue="1" operator="greaterThanOrEqual">
      <formula>0.5</formula>
    </cfRule>
  </conditionalFormatting>
  <conditionalFormatting sqref="N21">
    <cfRule type="cellIs" dxfId="38582" priority="54333" stopIfTrue="1" operator="equal">
      <formula>-1</formula>
    </cfRule>
  </conditionalFormatting>
  <conditionalFormatting sqref="N21">
    <cfRule type="cellIs" dxfId="38581" priority="54334" stopIfTrue="1" operator="lessThan">
      <formula>0.5</formula>
    </cfRule>
  </conditionalFormatting>
  <conditionalFormatting sqref="N21">
    <cfRule type="cellIs" dxfId="38580" priority="54335" stopIfTrue="1" operator="greaterThanOrEqual">
      <formula>0.5</formula>
    </cfRule>
  </conditionalFormatting>
  <conditionalFormatting sqref="N22">
    <cfRule type="cellIs" dxfId="38579" priority="54336" stopIfTrue="1" operator="equal">
      <formula>-1</formula>
    </cfRule>
  </conditionalFormatting>
  <conditionalFormatting sqref="N22">
    <cfRule type="cellIs" dxfId="38578" priority="54337" stopIfTrue="1" operator="lessThan">
      <formula>0.5</formula>
    </cfRule>
  </conditionalFormatting>
  <conditionalFormatting sqref="N22">
    <cfRule type="cellIs" dxfId="38577" priority="54338" stopIfTrue="1" operator="greaterThanOrEqual">
      <formula>0.5</formula>
    </cfRule>
  </conditionalFormatting>
  <conditionalFormatting sqref="N23">
    <cfRule type="cellIs" dxfId="38576" priority="54339" stopIfTrue="1" operator="equal">
      <formula>-1</formula>
    </cfRule>
  </conditionalFormatting>
  <conditionalFormatting sqref="N23">
    <cfRule type="cellIs" dxfId="38575" priority="54340" stopIfTrue="1" operator="lessThan">
      <formula>0.5</formula>
    </cfRule>
  </conditionalFormatting>
  <conditionalFormatting sqref="N23">
    <cfRule type="cellIs" dxfId="38574" priority="54341" stopIfTrue="1" operator="greaterThanOrEqual">
      <formula>0.5</formula>
    </cfRule>
  </conditionalFormatting>
  <conditionalFormatting sqref="N24">
    <cfRule type="cellIs" dxfId="38573" priority="54342" stopIfTrue="1" operator="equal">
      <formula>-1</formula>
    </cfRule>
  </conditionalFormatting>
  <conditionalFormatting sqref="N24">
    <cfRule type="cellIs" dxfId="38572" priority="54343" stopIfTrue="1" operator="lessThan">
      <formula>0.5</formula>
    </cfRule>
  </conditionalFormatting>
  <conditionalFormatting sqref="N24">
    <cfRule type="cellIs" dxfId="38571" priority="54344" stopIfTrue="1" operator="greaterThanOrEqual">
      <formula>0.5</formula>
    </cfRule>
  </conditionalFormatting>
  <conditionalFormatting sqref="N25">
    <cfRule type="cellIs" dxfId="38570" priority="54345" stopIfTrue="1" operator="equal">
      <formula>-1</formula>
    </cfRule>
  </conditionalFormatting>
  <conditionalFormatting sqref="N25">
    <cfRule type="cellIs" dxfId="38569" priority="54346" stopIfTrue="1" operator="lessThan">
      <formula>0.5</formula>
    </cfRule>
  </conditionalFormatting>
  <conditionalFormatting sqref="N25">
    <cfRule type="cellIs" dxfId="38568" priority="54347" stopIfTrue="1" operator="greaterThanOrEqual">
      <formula>0.5</formula>
    </cfRule>
  </conditionalFormatting>
  <conditionalFormatting sqref="N26">
    <cfRule type="cellIs" dxfId="38567" priority="54348" stopIfTrue="1" operator="equal">
      <formula>-1</formula>
    </cfRule>
  </conditionalFormatting>
  <conditionalFormatting sqref="N26">
    <cfRule type="cellIs" dxfId="38566" priority="54349" stopIfTrue="1" operator="lessThan">
      <formula>0.5</formula>
    </cfRule>
  </conditionalFormatting>
  <conditionalFormatting sqref="N26">
    <cfRule type="cellIs" dxfId="38565" priority="54350" stopIfTrue="1" operator="greaterThanOrEqual">
      <formula>0.5</formula>
    </cfRule>
  </conditionalFormatting>
  <conditionalFormatting sqref="N27">
    <cfRule type="cellIs" dxfId="38564" priority="54351" stopIfTrue="1" operator="equal">
      <formula>-1</formula>
    </cfRule>
  </conditionalFormatting>
  <conditionalFormatting sqref="N27">
    <cfRule type="cellIs" dxfId="38563" priority="54352" stopIfTrue="1" operator="lessThan">
      <formula>0.5</formula>
    </cfRule>
  </conditionalFormatting>
  <conditionalFormatting sqref="N27">
    <cfRule type="cellIs" dxfId="38562" priority="54353" stopIfTrue="1" operator="greaterThanOrEqual">
      <formula>0.5</formula>
    </cfRule>
  </conditionalFormatting>
  <conditionalFormatting sqref="N28">
    <cfRule type="cellIs" dxfId="38561" priority="54354" stopIfTrue="1" operator="equal">
      <formula>-1</formula>
    </cfRule>
  </conditionalFormatting>
  <conditionalFormatting sqref="N28">
    <cfRule type="cellIs" dxfId="38560" priority="54355" stopIfTrue="1" operator="lessThan">
      <formula>0.5</formula>
    </cfRule>
  </conditionalFormatting>
  <conditionalFormatting sqref="N28">
    <cfRule type="cellIs" dxfId="38559" priority="54356" stopIfTrue="1" operator="greaterThanOrEqual">
      <formula>0.5</formula>
    </cfRule>
  </conditionalFormatting>
  <conditionalFormatting sqref="N29">
    <cfRule type="cellIs" dxfId="38558" priority="54357" stopIfTrue="1" operator="equal">
      <formula>-1</formula>
    </cfRule>
  </conditionalFormatting>
  <conditionalFormatting sqref="N29">
    <cfRule type="cellIs" dxfId="38557" priority="54358" stopIfTrue="1" operator="lessThan">
      <formula>0.5</formula>
    </cfRule>
  </conditionalFormatting>
  <conditionalFormatting sqref="N29">
    <cfRule type="cellIs" dxfId="38556" priority="54359" stopIfTrue="1" operator="greaterThanOrEqual">
      <formula>0.5</formula>
    </cfRule>
  </conditionalFormatting>
  <conditionalFormatting sqref="N30">
    <cfRule type="cellIs" dxfId="38555" priority="54360" stopIfTrue="1" operator="equal">
      <formula>-1</formula>
    </cfRule>
  </conditionalFormatting>
  <conditionalFormatting sqref="N30">
    <cfRule type="cellIs" dxfId="38554" priority="54361" stopIfTrue="1" operator="lessThan">
      <formula>0.5</formula>
    </cfRule>
  </conditionalFormatting>
  <conditionalFormatting sqref="N30">
    <cfRule type="cellIs" dxfId="38553" priority="54362" stopIfTrue="1" operator="greaterThanOrEqual">
      <formula>0.5</formula>
    </cfRule>
  </conditionalFormatting>
  <conditionalFormatting sqref="N31">
    <cfRule type="cellIs" dxfId="38552" priority="54363" stopIfTrue="1" operator="equal">
      <formula>-1</formula>
    </cfRule>
  </conditionalFormatting>
  <conditionalFormatting sqref="N31">
    <cfRule type="cellIs" dxfId="38551" priority="54364" stopIfTrue="1" operator="lessThan">
      <formula>0.5</formula>
    </cfRule>
  </conditionalFormatting>
  <conditionalFormatting sqref="N31">
    <cfRule type="cellIs" dxfId="38550" priority="54365" stopIfTrue="1" operator="greaterThanOrEqual">
      <formula>0.5</formula>
    </cfRule>
  </conditionalFormatting>
  <conditionalFormatting sqref="N32">
    <cfRule type="cellIs" dxfId="38549" priority="54366" stopIfTrue="1" operator="equal">
      <formula>-1</formula>
    </cfRule>
  </conditionalFormatting>
  <conditionalFormatting sqref="N32">
    <cfRule type="cellIs" dxfId="38548" priority="54367" stopIfTrue="1" operator="lessThan">
      <formula>0.5</formula>
    </cfRule>
  </conditionalFormatting>
  <conditionalFormatting sqref="N32">
    <cfRule type="cellIs" dxfId="38547" priority="54368" stopIfTrue="1" operator="greaterThanOrEqual">
      <formula>0.5</formula>
    </cfRule>
  </conditionalFormatting>
  <conditionalFormatting sqref="N33">
    <cfRule type="cellIs" dxfId="38546" priority="54369" stopIfTrue="1" operator="equal">
      <formula>-1</formula>
    </cfRule>
  </conditionalFormatting>
  <conditionalFormatting sqref="N33">
    <cfRule type="cellIs" dxfId="38545" priority="54370" stopIfTrue="1" operator="lessThan">
      <formula>0.5</formula>
    </cfRule>
  </conditionalFormatting>
  <conditionalFormatting sqref="N33">
    <cfRule type="cellIs" dxfId="38544" priority="54371" stopIfTrue="1" operator="greaterThanOrEqual">
      <formula>0.5</formula>
    </cfRule>
  </conditionalFormatting>
  <conditionalFormatting sqref="N34">
    <cfRule type="cellIs" dxfId="38543" priority="54372" stopIfTrue="1" operator="equal">
      <formula>-1</formula>
    </cfRule>
  </conditionalFormatting>
  <conditionalFormatting sqref="N34">
    <cfRule type="cellIs" dxfId="38542" priority="54373" stopIfTrue="1" operator="lessThan">
      <formula>0.5</formula>
    </cfRule>
  </conditionalFormatting>
  <conditionalFormatting sqref="N34">
    <cfRule type="cellIs" dxfId="38541" priority="54374" stopIfTrue="1" operator="greaterThanOrEqual">
      <formula>0.5</formula>
    </cfRule>
  </conditionalFormatting>
  <conditionalFormatting sqref="N35">
    <cfRule type="cellIs" dxfId="38540" priority="54375" stopIfTrue="1" operator="equal">
      <formula>-1</formula>
    </cfRule>
  </conditionalFormatting>
  <conditionalFormatting sqref="N35">
    <cfRule type="cellIs" dxfId="38539" priority="54376" stopIfTrue="1" operator="lessThan">
      <formula>0.5</formula>
    </cfRule>
  </conditionalFormatting>
  <conditionalFormatting sqref="N35">
    <cfRule type="cellIs" dxfId="38538" priority="54377" stopIfTrue="1" operator="greaterThanOrEqual">
      <formula>0.5</formula>
    </cfRule>
  </conditionalFormatting>
  <conditionalFormatting sqref="N36">
    <cfRule type="cellIs" dxfId="38537" priority="54378" stopIfTrue="1" operator="equal">
      <formula>-1</formula>
    </cfRule>
  </conditionalFormatting>
  <conditionalFormatting sqref="N36">
    <cfRule type="cellIs" dxfId="38536" priority="54379" stopIfTrue="1" operator="lessThan">
      <formula>0.5</formula>
    </cfRule>
  </conditionalFormatting>
  <conditionalFormatting sqref="N36">
    <cfRule type="cellIs" dxfId="38535" priority="54380" stopIfTrue="1" operator="greaterThanOrEqual">
      <formula>0.5</formula>
    </cfRule>
  </conditionalFormatting>
  <conditionalFormatting sqref="N37">
    <cfRule type="cellIs" dxfId="38534" priority="54381" stopIfTrue="1" operator="equal">
      <formula>-1</formula>
    </cfRule>
  </conditionalFormatting>
  <conditionalFormatting sqref="N37">
    <cfRule type="cellIs" dxfId="38533" priority="54382" stopIfTrue="1" operator="lessThan">
      <formula>0.5</formula>
    </cfRule>
  </conditionalFormatting>
  <conditionalFormatting sqref="N37">
    <cfRule type="cellIs" dxfId="38532" priority="54383" stopIfTrue="1" operator="greaterThanOrEqual">
      <formula>0.5</formula>
    </cfRule>
  </conditionalFormatting>
  <conditionalFormatting sqref="P17">
    <cfRule type="cellIs" dxfId="38531" priority="54384" stopIfTrue="1" operator="equal">
      <formula>-1</formula>
    </cfRule>
  </conditionalFormatting>
  <conditionalFormatting sqref="P17">
    <cfRule type="cellIs" dxfId="38530" priority="54385" stopIfTrue="1" operator="lessThan">
      <formula>0.5</formula>
    </cfRule>
  </conditionalFormatting>
  <conditionalFormatting sqref="P17">
    <cfRule type="cellIs" dxfId="38529" priority="54386" stopIfTrue="1" operator="greaterThanOrEqual">
      <formula>0.5</formula>
    </cfRule>
  </conditionalFormatting>
  <conditionalFormatting sqref="P18">
    <cfRule type="cellIs" dxfId="38528" priority="54387" stopIfTrue="1" operator="equal">
      <formula>-1</formula>
    </cfRule>
  </conditionalFormatting>
  <conditionalFormatting sqref="P18">
    <cfRule type="cellIs" dxfId="38527" priority="54388" stopIfTrue="1" operator="lessThan">
      <formula>0.5</formula>
    </cfRule>
  </conditionalFormatting>
  <conditionalFormatting sqref="P18">
    <cfRule type="cellIs" dxfId="38526" priority="54389" stopIfTrue="1" operator="greaterThanOrEqual">
      <formula>0.5</formula>
    </cfRule>
  </conditionalFormatting>
  <conditionalFormatting sqref="P19">
    <cfRule type="cellIs" dxfId="38525" priority="54390" stopIfTrue="1" operator="equal">
      <formula>-1</formula>
    </cfRule>
  </conditionalFormatting>
  <conditionalFormatting sqref="P19">
    <cfRule type="cellIs" dxfId="38524" priority="54391" stopIfTrue="1" operator="lessThan">
      <formula>0.5</formula>
    </cfRule>
  </conditionalFormatting>
  <conditionalFormatting sqref="P19">
    <cfRule type="cellIs" dxfId="38523" priority="54392" stopIfTrue="1" operator="greaterThanOrEqual">
      <formula>0.5</formula>
    </cfRule>
  </conditionalFormatting>
  <conditionalFormatting sqref="P20">
    <cfRule type="cellIs" dxfId="38522" priority="54393" stopIfTrue="1" operator="equal">
      <formula>-1</formula>
    </cfRule>
  </conditionalFormatting>
  <conditionalFormatting sqref="P20">
    <cfRule type="cellIs" dxfId="38521" priority="54394" stopIfTrue="1" operator="lessThan">
      <formula>0.5</formula>
    </cfRule>
  </conditionalFormatting>
  <conditionalFormatting sqref="P20">
    <cfRule type="cellIs" dxfId="38520" priority="54395" stopIfTrue="1" operator="greaterThanOrEqual">
      <formula>0.5</formula>
    </cfRule>
  </conditionalFormatting>
  <conditionalFormatting sqref="P21">
    <cfRule type="cellIs" dxfId="38519" priority="54396" stopIfTrue="1" operator="equal">
      <formula>-1</formula>
    </cfRule>
  </conditionalFormatting>
  <conditionalFormatting sqref="P21">
    <cfRule type="cellIs" dxfId="38518" priority="54397" stopIfTrue="1" operator="lessThan">
      <formula>0.5</formula>
    </cfRule>
  </conditionalFormatting>
  <conditionalFormatting sqref="P21">
    <cfRule type="cellIs" dxfId="38517" priority="54398" stopIfTrue="1" operator="greaterThanOrEqual">
      <formula>0.5</formula>
    </cfRule>
  </conditionalFormatting>
  <conditionalFormatting sqref="P22">
    <cfRule type="cellIs" dxfId="38516" priority="54399" stopIfTrue="1" operator="equal">
      <formula>-1</formula>
    </cfRule>
  </conditionalFormatting>
  <conditionalFormatting sqref="P22">
    <cfRule type="cellIs" dxfId="38515" priority="54400" stopIfTrue="1" operator="lessThan">
      <formula>0.5</formula>
    </cfRule>
  </conditionalFormatting>
  <conditionalFormatting sqref="P22">
    <cfRule type="cellIs" dxfId="38514" priority="54401" stopIfTrue="1" operator="greaterThanOrEqual">
      <formula>0.5</formula>
    </cfRule>
  </conditionalFormatting>
  <conditionalFormatting sqref="P23">
    <cfRule type="cellIs" dxfId="38513" priority="54402" stopIfTrue="1" operator="equal">
      <formula>-1</formula>
    </cfRule>
  </conditionalFormatting>
  <conditionalFormatting sqref="P23">
    <cfRule type="cellIs" dxfId="38512" priority="54403" stopIfTrue="1" operator="lessThan">
      <formula>0.5</formula>
    </cfRule>
  </conditionalFormatting>
  <conditionalFormatting sqref="P23">
    <cfRule type="cellIs" dxfId="38511" priority="54404" stopIfTrue="1" operator="greaterThanOrEqual">
      <formula>0.5</formula>
    </cfRule>
  </conditionalFormatting>
  <conditionalFormatting sqref="P24">
    <cfRule type="cellIs" dxfId="38510" priority="54405" stopIfTrue="1" operator="equal">
      <formula>-1</formula>
    </cfRule>
  </conditionalFormatting>
  <conditionalFormatting sqref="P24">
    <cfRule type="cellIs" dxfId="38509" priority="54406" stopIfTrue="1" operator="lessThan">
      <formula>0.5</formula>
    </cfRule>
  </conditionalFormatting>
  <conditionalFormatting sqref="P24">
    <cfRule type="cellIs" dxfId="38508" priority="54407" stopIfTrue="1" operator="greaterThanOrEqual">
      <formula>0.5</formula>
    </cfRule>
  </conditionalFormatting>
  <conditionalFormatting sqref="P25">
    <cfRule type="cellIs" dxfId="38507" priority="54408" stopIfTrue="1" operator="equal">
      <formula>-1</formula>
    </cfRule>
  </conditionalFormatting>
  <conditionalFormatting sqref="P25">
    <cfRule type="cellIs" dxfId="38506" priority="54409" stopIfTrue="1" operator="lessThan">
      <formula>0.5</formula>
    </cfRule>
  </conditionalFormatting>
  <conditionalFormatting sqref="P25">
    <cfRule type="cellIs" dxfId="38505" priority="54410" stopIfTrue="1" operator="greaterThanOrEqual">
      <formula>0.5</formula>
    </cfRule>
  </conditionalFormatting>
  <conditionalFormatting sqref="P26">
    <cfRule type="cellIs" dxfId="38504" priority="54411" stopIfTrue="1" operator="equal">
      <formula>-1</formula>
    </cfRule>
  </conditionalFormatting>
  <conditionalFormatting sqref="P26">
    <cfRule type="cellIs" dxfId="38503" priority="54412" stopIfTrue="1" operator="lessThan">
      <formula>0.5</formula>
    </cfRule>
  </conditionalFormatting>
  <conditionalFormatting sqref="P26">
    <cfRule type="cellIs" dxfId="38502" priority="54413" stopIfTrue="1" operator="greaterThanOrEqual">
      <formula>0.5</formula>
    </cfRule>
  </conditionalFormatting>
  <conditionalFormatting sqref="P27">
    <cfRule type="cellIs" dxfId="38501" priority="54414" stopIfTrue="1" operator="equal">
      <formula>-1</formula>
    </cfRule>
  </conditionalFormatting>
  <conditionalFormatting sqref="P27">
    <cfRule type="cellIs" dxfId="38500" priority="54415" stopIfTrue="1" operator="lessThan">
      <formula>0.5</formula>
    </cfRule>
  </conditionalFormatting>
  <conditionalFormatting sqref="P27">
    <cfRule type="cellIs" dxfId="38499" priority="54416" stopIfTrue="1" operator="greaterThanOrEqual">
      <formula>0.5</formula>
    </cfRule>
  </conditionalFormatting>
  <conditionalFormatting sqref="P28">
    <cfRule type="cellIs" dxfId="38498" priority="54417" stopIfTrue="1" operator="equal">
      <formula>-1</formula>
    </cfRule>
  </conditionalFormatting>
  <conditionalFormatting sqref="P28">
    <cfRule type="cellIs" dxfId="38497" priority="54418" stopIfTrue="1" operator="lessThan">
      <formula>0.5</formula>
    </cfRule>
  </conditionalFormatting>
  <conditionalFormatting sqref="P28">
    <cfRule type="cellIs" dxfId="38496" priority="54419" stopIfTrue="1" operator="greaterThanOrEqual">
      <formula>0.5</formula>
    </cfRule>
  </conditionalFormatting>
  <conditionalFormatting sqref="P29">
    <cfRule type="cellIs" dxfId="38495" priority="54420" stopIfTrue="1" operator="equal">
      <formula>-1</formula>
    </cfRule>
  </conditionalFormatting>
  <conditionalFormatting sqref="P29">
    <cfRule type="cellIs" dxfId="38494" priority="54421" stopIfTrue="1" operator="lessThan">
      <formula>0.5</formula>
    </cfRule>
  </conditionalFormatting>
  <conditionalFormatting sqref="P29">
    <cfRule type="cellIs" dxfId="38493" priority="54422" stopIfTrue="1" operator="greaterThanOrEqual">
      <formula>0.5</formula>
    </cfRule>
  </conditionalFormatting>
  <conditionalFormatting sqref="P30">
    <cfRule type="cellIs" dxfId="38492" priority="54423" stopIfTrue="1" operator="equal">
      <formula>-1</formula>
    </cfRule>
  </conditionalFormatting>
  <conditionalFormatting sqref="P30">
    <cfRule type="cellIs" dxfId="38491" priority="54424" stopIfTrue="1" operator="lessThan">
      <formula>0.5</formula>
    </cfRule>
  </conditionalFormatting>
  <conditionalFormatting sqref="P30">
    <cfRule type="cellIs" dxfId="38490" priority="54425" stopIfTrue="1" operator="greaterThanOrEqual">
      <formula>0.5</formula>
    </cfRule>
  </conditionalFormatting>
  <conditionalFormatting sqref="P31">
    <cfRule type="cellIs" dxfId="38489" priority="54426" stopIfTrue="1" operator="equal">
      <formula>-1</formula>
    </cfRule>
  </conditionalFormatting>
  <conditionalFormatting sqref="P31">
    <cfRule type="cellIs" dxfId="38488" priority="54427" stopIfTrue="1" operator="lessThan">
      <formula>0.5</formula>
    </cfRule>
  </conditionalFormatting>
  <conditionalFormatting sqref="P31">
    <cfRule type="cellIs" dxfId="38487" priority="54428" stopIfTrue="1" operator="greaterThanOrEqual">
      <formula>0.5</formula>
    </cfRule>
  </conditionalFormatting>
  <conditionalFormatting sqref="P32">
    <cfRule type="cellIs" dxfId="38486" priority="54429" stopIfTrue="1" operator="equal">
      <formula>-1</formula>
    </cfRule>
  </conditionalFormatting>
  <conditionalFormatting sqref="P32">
    <cfRule type="cellIs" dxfId="38485" priority="54430" stopIfTrue="1" operator="lessThan">
      <formula>0.5</formula>
    </cfRule>
  </conditionalFormatting>
  <conditionalFormatting sqref="P32">
    <cfRule type="cellIs" dxfId="38484" priority="54431" stopIfTrue="1" operator="greaterThanOrEqual">
      <formula>0.5</formula>
    </cfRule>
  </conditionalFormatting>
  <conditionalFormatting sqref="P33">
    <cfRule type="cellIs" dxfId="38483" priority="54432" stopIfTrue="1" operator="equal">
      <formula>-1</formula>
    </cfRule>
  </conditionalFormatting>
  <conditionalFormatting sqref="P33">
    <cfRule type="cellIs" dxfId="38482" priority="54433" stopIfTrue="1" operator="lessThan">
      <formula>0.5</formula>
    </cfRule>
  </conditionalFormatting>
  <conditionalFormatting sqref="P33">
    <cfRule type="cellIs" dxfId="38481" priority="54434" stopIfTrue="1" operator="greaterThanOrEqual">
      <formula>0.5</formula>
    </cfRule>
  </conditionalFormatting>
  <conditionalFormatting sqref="P34">
    <cfRule type="cellIs" dxfId="38480" priority="54435" stopIfTrue="1" operator="equal">
      <formula>-1</formula>
    </cfRule>
  </conditionalFormatting>
  <conditionalFormatting sqref="P34">
    <cfRule type="cellIs" dxfId="38479" priority="54436" stopIfTrue="1" operator="lessThan">
      <formula>0.5</formula>
    </cfRule>
  </conditionalFormatting>
  <conditionalFormatting sqref="P34">
    <cfRule type="cellIs" dxfId="38478" priority="54437" stopIfTrue="1" operator="greaterThanOrEqual">
      <formula>0.5</formula>
    </cfRule>
  </conditionalFormatting>
  <conditionalFormatting sqref="P35">
    <cfRule type="cellIs" dxfId="38477" priority="54438" stopIfTrue="1" operator="equal">
      <formula>-1</formula>
    </cfRule>
  </conditionalFormatting>
  <conditionalFormatting sqref="P35">
    <cfRule type="cellIs" dxfId="38476" priority="54439" stopIfTrue="1" operator="lessThan">
      <formula>0.5</formula>
    </cfRule>
  </conditionalFormatting>
  <conditionalFormatting sqref="P35">
    <cfRule type="cellIs" dxfId="38475" priority="54440" stopIfTrue="1" operator="greaterThanOrEqual">
      <formula>0.5</formula>
    </cfRule>
  </conditionalFormatting>
  <conditionalFormatting sqref="P36">
    <cfRule type="cellIs" dxfId="38474" priority="54441" stopIfTrue="1" operator="equal">
      <formula>-1</formula>
    </cfRule>
  </conditionalFormatting>
  <conditionalFormatting sqref="P36">
    <cfRule type="cellIs" dxfId="38473" priority="54442" stopIfTrue="1" operator="lessThan">
      <formula>0.5</formula>
    </cfRule>
  </conditionalFormatting>
  <conditionalFormatting sqref="P36">
    <cfRule type="cellIs" dxfId="38472" priority="54443" stopIfTrue="1" operator="greaterThanOrEqual">
      <formula>0.5</formula>
    </cfRule>
  </conditionalFormatting>
  <conditionalFormatting sqref="P37">
    <cfRule type="cellIs" dxfId="38471" priority="54444" stopIfTrue="1" operator="equal">
      <formula>-1</formula>
    </cfRule>
  </conditionalFormatting>
  <conditionalFormatting sqref="P37">
    <cfRule type="cellIs" dxfId="38470" priority="54445" stopIfTrue="1" operator="lessThan">
      <formula>0.5</formula>
    </cfRule>
  </conditionalFormatting>
  <conditionalFormatting sqref="P37">
    <cfRule type="cellIs" dxfId="38469" priority="54446" stopIfTrue="1" operator="greaterThanOrEqual">
      <formula>0.5</formula>
    </cfRule>
  </conditionalFormatting>
  <conditionalFormatting sqref="R17">
    <cfRule type="cellIs" dxfId="38468" priority="54447" stopIfTrue="1" operator="equal">
      <formula>-1</formula>
    </cfRule>
  </conditionalFormatting>
  <conditionalFormatting sqref="R17">
    <cfRule type="cellIs" dxfId="38467" priority="54448" stopIfTrue="1" operator="lessThan">
      <formula>0.5</formula>
    </cfRule>
  </conditionalFormatting>
  <conditionalFormatting sqref="R17">
    <cfRule type="cellIs" dxfId="38466" priority="54449" stopIfTrue="1" operator="greaterThanOrEqual">
      <formula>0.5</formula>
    </cfRule>
  </conditionalFormatting>
  <conditionalFormatting sqref="R18">
    <cfRule type="cellIs" dxfId="38465" priority="54450" stopIfTrue="1" operator="equal">
      <formula>-1</formula>
    </cfRule>
  </conditionalFormatting>
  <conditionalFormatting sqref="R18">
    <cfRule type="cellIs" dxfId="38464" priority="54451" stopIfTrue="1" operator="lessThan">
      <formula>0.5</formula>
    </cfRule>
  </conditionalFormatting>
  <conditionalFormatting sqref="R18">
    <cfRule type="cellIs" dxfId="38463" priority="54452" stopIfTrue="1" operator="greaterThanOrEqual">
      <formula>0.5</formula>
    </cfRule>
  </conditionalFormatting>
  <conditionalFormatting sqref="R19">
    <cfRule type="cellIs" dxfId="38462" priority="54453" stopIfTrue="1" operator="equal">
      <formula>-1</formula>
    </cfRule>
  </conditionalFormatting>
  <conditionalFormatting sqref="R19">
    <cfRule type="cellIs" dxfId="38461" priority="54454" stopIfTrue="1" operator="lessThan">
      <formula>0.5</formula>
    </cfRule>
  </conditionalFormatting>
  <conditionalFormatting sqref="R19">
    <cfRule type="cellIs" dxfId="38460" priority="54455" stopIfTrue="1" operator="greaterThanOrEqual">
      <formula>0.5</formula>
    </cfRule>
  </conditionalFormatting>
  <conditionalFormatting sqref="R20">
    <cfRule type="cellIs" dxfId="38459" priority="54456" stopIfTrue="1" operator="equal">
      <formula>-1</formula>
    </cfRule>
  </conditionalFormatting>
  <conditionalFormatting sqref="R20">
    <cfRule type="cellIs" dxfId="38458" priority="54457" stopIfTrue="1" operator="lessThan">
      <formula>0.5</formula>
    </cfRule>
  </conditionalFormatting>
  <conditionalFormatting sqref="R20">
    <cfRule type="cellIs" dxfId="38457" priority="54458" stopIfTrue="1" operator="greaterThanOrEqual">
      <formula>0.5</formula>
    </cfRule>
  </conditionalFormatting>
  <conditionalFormatting sqref="R21">
    <cfRule type="cellIs" dxfId="38456" priority="54459" stopIfTrue="1" operator="equal">
      <formula>-1</formula>
    </cfRule>
  </conditionalFormatting>
  <conditionalFormatting sqref="R21">
    <cfRule type="cellIs" dxfId="38455" priority="54460" stopIfTrue="1" operator="lessThan">
      <formula>0.5</formula>
    </cfRule>
  </conditionalFormatting>
  <conditionalFormatting sqref="R21">
    <cfRule type="cellIs" dxfId="38454" priority="54461" stopIfTrue="1" operator="greaterThanOrEqual">
      <formula>0.5</formula>
    </cfRule>
  </conditionalFormatting>
  <conditionalFormatting sqref="R22">
    <cfRule type="cellIs" dxfId="38453" priority="54462" stopIfTrue="1" operator="equal">
      <formula>-1</formula>
    </cfRule>
  </conditionalFormatting>
  <conditionalFormatting sqref="R22">
    <cfRule type="cellIs" dxfId="38452" priority="54463" stopIfTrue="1" operator="lessThan">
      <formula>0.5</formula>
    </cfRule>
  </conditionalFormatting>
  <conditionalFormatting sqref="R22">
    <cfRule type="cellIs" dxfId="38451" priority="54464" stopIfTrue="1" operator="greaterThanOrEqual">
      <formula>0.5</formula>
    </cfRule>
  </conditionalFormatting>
  <conditionalFormatting sqref="R23">
    <cfRule type="cellIs" dxfId="38450" priority="54465" stopIfTrue="1" operator="equal">
      <formula>-1</formula>
    </cfRule>
  </conditionalFormatting>
  <conditionalFormatting sqref="R23">
    <cfRule type="cellIs" dxfId="38449" priority="54466" stopIfTrue="1" operator="lessThan">
      <formula>0.5</formula>
    </cfRule>
  </conditionalFormatting>
  <conditionalFormatting sqref="R23">
    <cfRule type="cellIs" dxfId="38448" priority="54467" stopIfTrue="1" operator="greaterThanOrEqual">
      <formula>0.5</formula>
    </cfRule>
  </conditionalFormatting>
  <conditionalFormatting sqref="R24">
    <cfRule type="cellIs" dxfId="38447" priority="54468" stopIfTrue="1" operator="equal">
      <formula>-1</formula>
    </cfRule>
  </conditionalFormatting>
  <conditionalFormatting sqref="R24">
    <cfRule type="cellIs" dxfId="38446" priority="54469" stopIfTrue="1" operator="lessThan">
      <formula>0.5</formula>
    </cfRule>
  </conditionalFormatting>
  <conditionalFormatting sqref="R24">
    <cfRule type="cellIs" dxfId="38445" priority="54470" stopIfTrue="1" operator="greaterThanOrEqual">
      <formula>0.5</formula>
    </cfRule>
  </conditionalFormatting>
  <conditionalFormatting sqref="R25">
    <cfRule type="cellIs" dxfId="38444" priority="54471" stopIfTrue="1" operator="equal">
      <formula>-1</formula>
    </cfRule>
  </conditionalFormatting>
  <conditionalFormatting sqref="R25">
    <cfRule type="cellIs" dxfId="38443" priority="54472" stopIfTrue="1" operator="lessThan">
      <formula>0.5</formula>
    </cfRule>
  </conditionalFormatting>
  <conditionalFormatting sqref="R25">
    <cfRule type="cellIs" dxfId="38442" priority="54473" stopIfTrue="1" operator="greaterThanOrEqual">
      <formula>0.5</formula>
    </cfRule>
  </conditionalFormatting>
  <conditionalFormatting sqref="R26">
    <cfRule type="cellIs" dxfId="38441" priority="54474" stopIfTrue="1" operator="equal">
      <formula>-1</formula>
    </cfRule>
  </conditionalFormatting>
  <conditionalFormatting sqref="R26">
    <cfRule type="cellIs" dxfId="38440" priority="54475" stopIfTrue="1" operator="lessThan">
      <formula>0.5</formula>
    </cfRule>
  </conditionalFormatting>
  <conditionalFormatting sqref="R26">
    <cfRule type="cellIs" dxfId="38439" priority="54476" stopIfTrue="1" operator="greaterThanOrEqual">
      <formula>0.5</formula>
    </cfRule>
  </conditionalFormatting>
  <conditionalFormatting sqref="R27">
    <cfRule type="cellIs" dxfId="38438" priority="54477" stopIfTrue="1" operator="equal">
      <formula>-1</formula>
    </cfRule>
  </conditionalFormatting>
  <conditionalFormatting sqref="R27">
    <cfRule type="cellIs" dxfId="38437" priority="54478" stopIfTrue="1" operator="lessThan">
      <formula>0.5</formula>
    </cfRule>
  </conditionalFormatting>
  <conditionalFormatting sqref="R27">
    <cfRule type="cellIs" dxfId="38436" priority="54479" stopIfTrue="1" operator="greaterThanOrEqual">
      <formula>0.5</formula>
    </cfRule>
  </conditionalFormatting>
  <conditionalFormatting sqref="R28">
    <cfRule type="cellIs" dxfId="38435" priority="54480" stopIfTrue="1" operator="equal">
      <formula>-1</formula>
    </cfRule>
  </conditionalFormatting>
  <conditionalFormatting sqref="R28">
    <cfRule type="cellIs" dxfId="38434" priority="54481" stopIfTrue="1" operator="lessThan">
      <formula>0.5</formula>
    </cfRule>
  </conditionalFormatting>
  <conditionalFormatting sqref="R28">
    <cfRule type="cellIs" dxfId="38433" priority="54482" stopIfTrue="1" operator="greaterThanOrEqual">
      <formula>0.5</formula>
    </cfRule>
  </conditionalFormatting>
  <conditionalFormatting sqref="R29">
    <cfRule type="cellIs" dxfId="38432" priority="54483" stopIfTrue="1" operator="equal">
      <formula>-1</formula>
    </cfRule>
  </conditionalFormatting>
  <conditionalFormatting sqref="R29">
    <cfRule type="cellIs" dxfId="38431" priority="54484" stopIfTrue="1" operator="lessThan">
      <formula>0.5</formula>
    </cfRule>
  </conditionalFormatting>
  <conditionalFormatting sqref="R29">
    <cfRule type="cellIs" dxfId="38430" priority="54485" stopIfTrue="1" operator="greaterThanOrEqual">
      <formula>0.5</formula>
    </cfRule>
  </conditionalFormatting>
  <conditionalFormatting sqref="R30">
    <cfRule type="cellIs" dxfId="38429" priority="54486" stopIfTrue="1" operator="equal">
      <formula>-1</formula>
    </cfRule>
  </conditionalFormatting>
  <conditionalFormatting sqref="R30">
    <cfRule type="cellIs" dxfId="38428" priority="54487" stopIfTrue="1" operator="lessThan">
      <formula>0.5</formula>
    </cfRule>
  </conditionalFormatting>
  <conditionalFormatting sqref="R30">
    <cfRule type="cellIs" dxfId="38427" priority="54488" stopIfTrue="1" operator="greaterThanOrEqual">
      <formula>0.5</formula>
    </cfRule>
  </conditionalFormatting>
  <conditionalFormatting sqref="R31">
    <cfRule type="cellIs" dxfId="38426" priority="54489" stopIfTrue="1" operator="equal">
      <formula>-1</formula>
    </cfRule>
  </conditionalFormatting>
  <conditionalFormatting sqref="R31">
    <cfRule type="cellIs" dxfId="38425" priority="54490" stopIfTrue="1" operator="lessThan">
      <formula>0.5</formula>
    </cfRule>
  </conditionalFormatting>
  <conditionalFormatting sqref="R31">
    <cfRule type="cellIs" dxfId="38424" priority="54491" stopIfTrue="1" operator="greaterThanOrEqual">
      <formula>0.5</formula>
    </cfRule>
  </conditionalFormatting>
  <conditionalFormatting sqref="R32">
    <cfRule type="cellIs" dxfId="38423" priority="54492" stopIfTrue="1" operator="equal">
      <formula>-1</formula>
    </cfRule>
  </conditionalFormatting>
  <conditionalFormatting sqref="R32">
    <cfRule type="cellIs" dxfId="38422" priority="54493" stopIfTrue="1" operator="lessThan">
      <formula>0.5</formula>
    </cfRule>
  </conditionalFormatting>
  <conditionalFormatting sqref="R32">
    <cfRule type="cellIs" dxfId="38421" priority="54494" stopIfTrue="1" operator="greaterThanOrEqual">
      <formula>0.5</formula>
    </cfRule>
  </conditionalFormatting>
  <conditionalFormatting sqref="R33">
    <cfRule type="cellIs" dxfId="38420" priority="54495" stopIfTrue="1" operator="equal">
      <formula>-1</formula>
    </cfRule>
  </conditionalFormatting>
  <conditionalFormatting sqref="R33">
    <cfRule type="cellIs" dxfId="38419" priority="54496" stopIfTrue="1" operator="lessThan">
      <formula>0.5</formula>
    </cfRule>
  </conditionalFormatting>
  <conditionalFormatting sqref="R33">
    <cfRule type="cellIs" dxfId="38418" priority="54497" stopIfTrue="1" operator="greaterThanOrEqual">
      <formula>0.5</formula>
    </cfRule>
  </conditionalFormatting>
  <conditionalFormatting sqref="R34">
    <cfRule type="cellIs" dxfId="38417" priority="54498" stopIfTrue="1" operator="equal">
      <formula>-1</formula>
    </cfRule>
  </conditionalFormatting>
  <conditionalFormatting sqref="R34">
    <cfRule type="cellIs" dxfId="38416" priority="54499" stopIfTrue="1" operator="lessThan">
      <formula>0.5</formula>
    </cfRule>
  </conditionalFormatting>
  <conditionalFormatting sqref="R34">
    <cfRule type="cellIs" dxfId="38415" priority="54500" stopIfTrue="1" operator="greaterThanOrEqual">
      <formula>0.5</formula>
    </cfRule>
  </conditionalFormatting>
  <conditionalFormatting sqref="R35">
    <cfRule type="cellIs" dxfId="38414" priority="54501" stopIfTrue="1" operator="equal">
      <formula>-1</formula>
    </cfRule>
  </conditionalFormatting>
  <conditionalFormatting sqref="R35">
    <cfRule type="cellIs" dxfId="38413" priority="54502" stopIfTrue="1" operator="lessThan">
      <formula>0.5</formula>
    </cfRule>
  </conditionalFormatting>
  <conditionalFormatting sqref="R35">
    <cfRule type="cellIs" dxfId="38412" priority="54503" stopIfTrue="1" operator="greaterThanOrEqual">
      <formula>0.5</formula>
    </cfRule>
  </conditionalFormatting>
  <conditionalFormatting sqref="R36">
    <cfRule type="cellIs" dxfId="38411" priority="54504" stopIfTrue="1" operator="equal">
      <formula>-1</formula>
    </cfRule>
  </conditionalFormatting>
  <conditionalFormatting sqref="R36">
    <cfRule type="cellIs" dxfId="38410" priority="54505" stopIfTrue="1" operator="lessThan">
      <formula>0.5</formula>
    </cfRule>
  </conditionalFormatting>
  <conditionalFormatting sqref="R36">
    <cfRule type="cellIs" dxfId="38409" priority="54506" stopIfTrue="1" operator="greaterThanOrEqual">
      <formula>0.5</formula>
    </cfRule>
  </conditionalFormatting>
  <conditionalFormatting sqref="R37">
    <cfRule type="cellIs" dxfId="38408" priority="54507" stopIfTrue="1" operator="equal">
      <formula>-1</formula>
    </cfRule>
  </conditionalFormatting>
  <conditionalFormatting sqref="R37">
    <cfRule type="cellIs" dxfId="38407" priority="54508" stopIfTrue="1" operator="lessThan">
      <formula>0.5</formula>
    </cfRule>
  </conditionalFormatting>
  <conditionalFormatting sqref="R37">
    <cfRule type="cellIs" dxfId="38406" priority="54509" stopIfTrue="1" operator="greaterThanOrEqual">
      <formula>0.5</formula>
    </cfRule>
  </conditionalFormatting>
  <conditionalFormatting sqref="T17">
    <cfRule type="cellIs" dxfId="38405" priority="54510" stopIfTrue="1" operator="equal">
      <formula>-1</formula>
    </cfRule>
  </conditionalFormatting>
  <conditionalFormatting sqref="T17">
    <cfRule type="cellIs" dxfId="38404" priority="54511" stopIfTrue="1" operator="lessThan">
      <formula>0.5</formula>
    </cfRule>
  </conditionalFormatting>
  <conditionalFormatting sqref="T17">
    <cfRule type="cellIs" dxfId="38403" priority="54512" stopIfTrue="1" operator="greaterThanOrEqual">
      <formula>0.5</formula>
    </cfRule>
  </conditionalFormatting>
  <conditionalFormatting sqref="T18">
    <cfRule type="cellIs" dxfId="38402" priority="54513" stopIfTrue="1" operator="equal">
      <formula>-1</formula>
    </cfRule>
  </conditionalFormatting>
  <conditionalFormatting sqref="T18">
    <cfRule type="cellIs" dxfId="38401" priority="54514" stopIfTrue="1" operator="lessThan">
      <formula>0.5</formula>
    </cfRule>
  </conditionalFormatting>
  <conditionalFormatting sqref="T18">
    <cfRule type="cellIs" dxfId="38400" priority="54515" stopIfTrue="1" operator="greaterThanOrEqual">
      <formula>0.5</formula>
    </cfRule>
  </conditionalFormatting>
  <conditionalFormatting sqref="T19">
    <cfRule type="cellIs" dxfId="38399" priority="54516" stopIfTrue="1" operator="equal">
      <formula>-1</formula>
    </cfRule>
  </conditionalFormatting>
  <conditionalFormatting sqref="T19">
    <cfRule type="cellIs" dxfId="38398" priority="54517" stopIfTrue="1" operator="lessThan">
      <formula>0.5</formula>
    </cfRule>
  </conditionalFormatting>
  <conditionalFormatting sqref="T19">
    <cfRule type="cellIs" dxfId="38397" priority="54518" stopIfTrue="1" operator="greaterThanOrEqual">
      <formula>0.5</formula>
    </cfRule>
  </conditionalFormatting>
  <conditionalFormatting sqref="T20">
    <cfRule type="cellIs" dxfId="38396" priority="54519" stopIfTrue="1" operator="equal">
      <formula>-1</formula>
    </cfRule>
  </conditionalFormatting>
  <conditionalFormatting sqref="T20">
    <cfRule type="cellIs" dxfId="38395" priority="54520" stopIfTrue="1" operator="lessThan">
      <formula>0.5</formula>
    </cfRule>
  </conditionalFormatting>
  <conditionalFormatting sqref="T20">
    <cfRule type="cellIs" dxfId="38394" priority="54521" stopIfTrue="1" operator="greaterThanOrEqual">
      <formula>0.5</formula>
    </cfRule>
  </conditionalFormatting>
  <conditionalFormatting sqref="T21">
    <cfRule type="cellIs" dxfId="38393" priority="54522" stopIfTrue="1" operator="equal">
      <formula>-1</formula>
    </cfRule>
  </conditionalFormatting>
  <conditionalFormatting sqref="T21">
    <cfRule type="cellIs" dxfId="38392" priority="54523" stopIfTrue="1" operator="lessThan">
      <formula>0.5</formula>
    </cfRule>
  </conditionalFormatting>
  <conditionalFormatting sqref="T21">
    <cfRule type="cellIs" dxfId="38391" priority="54524" stopIfTrue="1" operator="greaterThanOrEqual">
      <formula>0.5</formula>
    </cfRule>
  </conditionalFormatting>
  <conditionalFormatting sqref="T22">
    <cfRule type="cellIs" dxfId="38390" priority="54525" stopIfTrue="1" operator="equal">
      <formula>-1</formula>
    </cfRule>
  </conditionalFormatting>
  <conditionalFormatting sqref="T22">
    <cfRule type="cellIs" dxfId="38389" priority="54526" stopIfTrue="1" operator="lessThan">
      <formula>0.5</formula>
    </cfRule>
  </conditionalFormatting>
  <conditionalFormatting sqref="T22">
    <cfRule type="cellIs" dxfId="38388" priority="54527" stopIfTrue="1" operator="greaterThanOrEqual">
      <formula>0.5</formula>
    </cfRule>
  </conditionalFormatting>
  <conditionalFormatting sqref="T23">
    <cfRule type="cellIs" dxfId="38387" priority="54528" stopIfTrue="1" operator="equal">
      <formula>-1</formula>
    </cfRule>
  </conditionalFormatting>
  <conditionalFormatting sqref="T23">
    <cfRule type="cellIs" dxfId="38386" priority="54529" stopIfTrue="1" operator="lessThan">
      <formula>0.5</formula>
    </cfRule>
  </conditionalFormatting>
  <conditionalFormatting sqref="T23">
    <cfRule type="cellIs" dxfId="38385" priority="54530" stopIfTrue="1" operator="greaterThanOrEqual">
      <formula>0.5</formula>
    </cfRule>
  </conditionalFormatting>
  <conditionalFormatting sqref="T24">
    <cfRule type="cellIs" dxfId="38384" priority="54531" stopIfTrue="1" operator="equal">
      <formula>-1</formula>
    </cfRule>
  </conditionalFormatting>
  <conditionalFormatting sqref="T24">
    <cfRule type="cellIs" dxfId="38383" priority="54532" stopIfTrue="1" operator="lessThan">
      <formula>0.5</formula>
    </cfRule>
  </conditionalFormatting>
  <conditionalFormatting sqref="T24">
    <cfRule type="cellIs" dxfId="38382" priority="54533" stopIfTrue="1" operator="greaterThanOrEqual">
      <formula>0.5</formula>
    </cfRule>
  </conditionalFormatting>
  <conditionalFormatting sqref="T25">
    <cfRule type="cellIs" dxfId="38381" priority="54534" stopIfTrue="1" operator="equal">
      <formula>-1</formula>
    </cfRule>
  </conditionalFormatting>
  <conditionalFormatting sqref="T25">
    <cfRule type="cellIs" dxfId="38380" priority="54535" stopIfTrue="1" operator="lessThan">
      <formula>0.5</formula>
    </cfRule>
  </conditionalFormatting>
  <conditionalFormatting sqref="T25">
    <cfRule type="cellIs" dxfId="38379" priority="54536" stopIfTrue="1" operator="greaterThanOrEqual">
      <formula>0.5</formula>
    </cfRule>
  </conditionalFormatting>
  <conditionalFormatting sqref="T26">
    <cfRule type="cellIs" dxfId="38378" priority="54537" stopIfTrue="1" operator="equal">
      <formula>-1</formula>
    </cfRule>
  </conditionalFormatting>
  <conditionalFormatting sqref="T26">
    <cfRule type="cellIs" dxfId="38377" priority="54538" stopIfTrue="1" operator="lessThan">
      <formula>0.5</formula>
    </cfRule>
  </conditionalFormatting>
  <conditionalFormatting sqref="T26">
    <cfRule type="cellIs" dxfId="38376" priority="54539" stopIfTrue="1" operator="greaterThanOrEqual">
      <formula>0.5</formula>
    </cfRule>
  </conditionalFormatting>
  <conditionalFormatting sqref="T27">
    <cfRule type="cellIs" dxfId="38375" priority="54540" stopIfTrue="1" operator="equal">
      <formula>-1</formula>
    </cfRule>
  </conditionalFormatting>
  <conditionalFormatting sqref="T27">
    <cfRule type="cellIs" dxfId="38374" priority="54541" stopIfTrue="1" operator="lessThan">
      <formula>0.5</formula>
    </cfRule>
  </conditionalFormatting>
  <conditionalFormatting sqref="T27">
    <cfRule type="cellIs" dxfId="38373" priority="54542" stopIfTrue="1" operator="greaterThanOrEqual">
      <formula>0.5</formula>
    </cfRule>
  </conditionalFormatting>
  <conditionalFormatting sqref="T28">
    <cfRule type="cellIs" dxfId="38372" priority="54543" stopIfTrue="1" operator="equal">
      <formula>-1</formula>
    </cfRule>
  </conditionalFormatting>
  <conditionalFormatting sqref="T28">
    <cfRule type="cellIs" dxfId="38371" priority="54544" stopIfTrue="1" operator="lessThan">
      <formula>0.5</formula>
    </cfRule>
  </conditionalFormatting>
  <conditionalFormatting sqref="T28">
    <cfRule type="cellIs" dxfId="38370" priority="54545" stopIfTrue="1" operator="greaterThanOrEqual">
      <formula>0.5</formula>
    </cfRule>
  </conditionalFormatting>
  <conditionalFormatting sqref="T29">
    <cfRule type="cellIs" dxfId="38369" priority="54546" stopIfTrue="1" operator="equal">
      <formula>-1</formula>
    </cfRule>
  </conditionalFormatting>
  <conditionalFormatting sqref="T29">
    <cfRule type="cellIs" dxfId="38368" priority="54547" stopIfTrue="1" operator="lessThan">
      <formula>0.5</formula>
    </cfRule>
  </conditionalFormatting>
  <conditionalFormatting sqref="T29">
    <cfRule type="cellIs" dxfId="38367" priority="54548" stopIfTrue="1" operator="greaterThanOrEqual">
      <formula>0.5</formula>
    </cfRule>
  </conditionalFormatting>
  <conditionalFormatting sqref="T30">
    <cfRule type="cellIs" dxfId="38366" priority="54549" stopIfTrue="1" operator="equal">
      <formula>-1</formula>
    </cfRule>
  </conditionalFormatting>
  <conditionalFormatting sqref="T30">
    <cfRule type="cellIs" dxfId="38365" priority="54550" stopIfTrue="1" operator="lessThan">
      <formula>0.5</formula>
    </cfRule>
  </conditionalFormatting>
  <conditionalFormatting sqref="T30">
    <cfRule type="cellIs" dxfId="38364" priority="54551" stopIfTrue="1" operator="greaterThanOrEqual">
      <formula>0.5</formula>
    </cfRule>
  </conditionalFormatting>
  <conditionalFormatting sqref="T31">
    <cfRule type="cellIs" dxfId="38363" priority="54552" stopIfTrue="1" operator="equal">
      <formula>-1</formula>
    </cfRule>
  </conditionalFormatting>
  <conditionalFormatting sqref="T31">
    <cfRule type="cellIs" dxfId="38362" priority="54553" stopIfTrue="1" operator="lessThan">
      <formula>0.5</formula>
    </cfRule>
  </conditionalFormatting>
  <conditionalFormatting sqref="T31">
    <cfRule type="cellIs" dxfId="38361" priority="54554" stopIfTrue="1" operator="greaterThanOrEqual">
      <formula>0.5</formula>
    </cfRule>
  </conditionalFormatting>
  <conditionalFormatting sqref="T32">
    <cfRule type="cellIs" dxfId="38360" priority="54555" stopIfTrue="1" operator="equal">
      <formula>-1</formula>
    </cfRule>
  </conditionalFormatting>
  <conditionalFormatting sqref="T32">
    <cfRule type="cellIs" dxfId="38359" priority="54556" stopIfTrue="1" operator="lessThan">
      <formula>0.5</formula>
    </cfRule>
  </conditionalFormatting>
  <conditionalFormatting sqref="T32">
    <cfRule type="cellIs" dxfId="38358" priority="54557" stopIfTrue="1" operator="greaterThanOrEqual">
      <formula>0.5</formula>
    </cfRule>
  </conditionalFormatting>
  <conditionalFormatting sqref="T33">
    <cfRule type="cellIs" dxfId="38357" priority="54558" stopIfTrue="1" operator="equal">
      <formula>-1</formula>
    </cfRule>
  </conditionalFormatting>
  <conditionalFormatting sqref="T33">
    <cfRule type="cellIs" dxfId="38356" priority="54559" stopIfTrue="1" operator="lessThan">
      <formula>0.5</formula>
    </cfRule>
  </conditionalFormatting>
  <conditionalFormatting sqref="T33">
    <cfRule type="cellIs" dxfId="38355" priority="54560" stopIfTrue="1" operator="greaterThanOrEqual">
      <formula>0.5</formula>
    </cfRule>
  </conditionalFormatting>
  <conditionalFormatting sqref="T34">
    <cfRule type="cellIs" dxfId="38354" priority="54561" stopIfTrue="1" operator="equal">
      <formula>-1</formula>
    </cfRule>
  </conditionalFormatting>
  <conditionalFormatting sqref="T34">
    <cfRule type="cellIs" dxfId="38353" priority="54562" stopIfTrue="1" operator="lessThan">
      <formula>0.5</formula>
    </cfRule>
  </conditionalFormatting>
  <conditionalFormatting sqref="T34">
    <cfRule type="cellIs" dxfId="38352" priority="54563" stopIfTrue="1" operator="greaterThanOrEqual">
      <formula>0.5</formula>
    </cfRule>
  </conditionalFormatting>
  <conditionalFormatting sqref="T35">
    <cfRule type="cellIs" dxfId="38351" priority="54564" stopIfTrue="1" operator="equal">
      <formula>-1</formula>
    </cfRule>
  </conditionalFormatting>
  <conditionalFormatting sqref="T35">
    <cfRule type="cellIs" dxfId="38350" priority="54565" stopIfTrue="1" operator="lessThan">
      <formula>0.5</formula>
    </cfRule>
  </conditionalFormatting>
  <conditionalFormatting sqref="T35">
    <cfRule type="cellIs" dxfId="38349" priority="54566" stopIfTrue="1" operator="greaterThanOrEqual">
      <formula>0.5</formula>
    </cfRule>
  </conditionalFormatting>
  <conditionalFormatting sqref="T36">
    <cfRule type="cellIs" dxfId="38348" priority="54567" stopIfTrue="1" operator="equal">
      <formula>-1</formula>
    </cfRule>
  </conditionalFormatting>
  <conditionalFormatting sqref="T36">
    <cfRule type="cellIs" dxfId="38347" priority="54568" stopIfTrue="1" operator="lessThan">
      <formula>0.5</formula>
    </cfRule>
  </conditionalFormatting>
  <conditionalFormatting sqref="T36">
    <cfRule type="cellIs" dxfId="38346" priority="54569" stopIfTrue="1" operator="greaterThanOrEqual">
      <formula>0.5</formula>
    </cfRule>
  </conditionalFormatting>
  <conditionalFormatting sqref="T37">
    <cfRule type="cellIs" dxfId="38345" priority="54570" stopIfTrue="1" operator="equal">
      <formula>-1</formula>
    </cfRule>
  </conditionalFormatting>
  <conditionalFormatting sqref="T37">
    <cfRule type="cellIs" dxfId="38344" priority="54571" stopIfTrue="1" operator="lessThan">
      <formula>0.5</formula>
    </cfRule>
  </conditionalFormatting>
  <conditionalFormatting sqref="T37">
    <cfRule type="cellIs" dxfId="38343" priority="54572" stopIfTrue="1" operator="greaterThanOrEqual">
      <formula>0.5</formula>
    </cfRule>
  </conditionalFormatting>
  <conditionalFormatting sqref="V17">
    <cfRule type="cellIs" dxfId="38342" priority="54573" stopIfTrue="1" operator="equal">
      <formula>-1</formula>
    </cfRule>
  </conditionalFormatting>
  <conditionalFormatting sqref="V17">
    <cfRule type="cellIs" dxfId="38341" priority="54574" stopIfTrue="1" operator="lessThan">
      <formula>0.5</formula>
    </cfRule>
  </conditionalFormatting>
  <conditionalFormatting sqref="V17">
    <cfRule type="cellIs" dxfId="38340" priority="54575" stopIfTrue="1" operator="greaterThanOrEqual">
      <formula>0.5</formula>
    </cfRule>
  </conditionalFormatting>
  <conditionalFormatting sqref="V18">
    <cfRule type="cellIs" dxfId="38339" priority="54576" stopIfTrue="1" operator="equal">
      <formula>-1</formula>
    </cfRule>
  </conditionalFormatting>
  <conditionalFormatting sqref="V18">
    <cfRule type="cellIs" dxfId="38338" priority="54577" stopIfTrue="1" operator="lessThan">
      <formula>0.5</formula>
    </cfRule>
  </conditionalFormatting>
  <conditionalFormatting sqref="V18">
    <cfRule type="cellIs" dxfId="38337" priority="54578" stopIfTrue="1" operator="greaterThanOrEqual">
      <formula>0.5</formula>
    </cfRule>
  </conditionalFormatting>
  <conditionalFormatting sqref="V19">
    <cfRule type="cellIs" dxfId="38336" priority="54579" stopIfTrue="1" operator="equal">
      <formula>-1</formula>
    </cfRule>
  </conditionalFormatting>
  <conditionalFormatting sqref="V19">
    <cfRule type="cellIs" dxfId="38335" priority="54580" stopIfTrue="1" operator="lessThan">
      <formula>0.5</formula>
    </cfRule>
  </conditionalFormatting>
  <conditionalFormatting sqref="V19">
    <cfRule type="cellIs" dxfId="38334" priority="54581" stopIfTrue="1" operator="greaterThanOrEqual">
      <formula>0.5</formula>
    </cfRule>
  </conditionalFormatting>
  <conditionalFormatting sqref="V20">
    <cfRule type="cellIs" dxfId="38333" priority="54582" stopIfTrue="1" operator="equal">
      <formula>-1</formula>
    </cfRule>
  </conditionalFormatting>
  <conditionalFormatting sqref="V20">
    <cfRule type="cellIs" dxfId="38332" priority="54583" stopIfTrue="1" operator="lessThan">
      <formula>0.5</formula>
    </cfRule>
  </conditionalFormatting>
  <conditionalFormatting sqref="V20">
    <cfRule type="cellIs" dxfId="38331" priority="54584" stopIfTrue="1" operator="greaterThanOrEqual">
      <formula>0.5</formula>
    </cfRule>
  </conditionalFormatting>
  <conditionalFormatting sqref="V21">
    <cfRule type="cellIs" dxfId="38330" priority="54585" stopIfTrue="1" operator="equal">
      <formula>-1</formula>
    </cfRule>
  </conditionalFormatting>
  <conditionalFormatting sqref="V21">
    <cfRule type="cellIs" dxfId="38329" priority="54586" stopIfTrue="1" operator="lessThan">
      <formula>0.5</formula>
    </cfRule>
  </conditionalFormatting>
  <conditionalFormatting sqref="V21">
    <cfRule type="cellIs" dxfId="38328" priority="54587" stopIfTrue="1" operator="greaterThanOrEqual">
      <formula>0.5</formula>
    </cfRule>
  </conditionalFormatting>
  <conditionalFormatting sqref="V22">
    <cfRule type="cellIs" dxfId="38327" priority="54588" stopIfTrue="1" operator="equal">
      <formula>-1</formula>
    </cfRule>
  </conditionalFormatting>
  <conditionalFormatting sqref="V22">
    <cfRule type="cellIs" dxfId="38326" priority="54589" stopIfTrue="1" operator="lessThan">
      <formula>0.5</formula>
    </cfRule>
  </conditionalFormatting>
  <conditionalFormatting sqref="V22">
    <cfRule type="cellIs" dxfId="38325" priority="54590" stopIfTrue="1" operator="greaterThanOrEqual">
      <formula>0.5</formula>
    </cfRule>
  </conditionalFormatting>
  <conditionalFormatting sqref="V23">
    <cfRule type="cellIs" dxfId="38324" priority="54591" stopIfTrue="1" operator="equal">
      <formula>-1</formula>
    </cfRule>
  </conditionalFormatting>
  <conditionalFormatting sqref="V23">
    <cfRule type="cellIs" dxfId="38323" priority="54592" stopIfTrue="1" operator="lessThan">
      <formula>0.5</formula>
    </cfRule>
  </conditionalFormatting>
  <conditionalFormatting sqref="V23">
    <cfRule type="cellIs" dxfId="38322" priority="54593" stopIfTrue="1" operator="greaterThanOrEqual">
      <formula>0.5</formula>
    </cfRule>
  </conditionalFormatting>
  <conditionalFormatting sqref="V24">
    <cfRule type="cellIs" dxfId="38321" priority="54594" stopIfTrue="1" operator="equal">
      <formula>-1</formula>
    </cfRule>
  </conditionalFormatting>
  <conditionalFormatting sqref="V24">
    <cfRule type="cellIs" dxfId="38320" priority="54595" stopIfTrue="1" operator="lessThan">
      <formula>0.5</formula>
    </cfRule>
  </conditionalFormatting>
  <conditionalFormatting sqref="V24">
    <cfRule type="cellIs" dxfId="38319" priority="54596" stopIfTrue="1" operator="greaterThanOrEqual">
      <formula>0.5</formula>
    </cfRule>
  </conditionalFormatting>
  <conditionalFormatting sqref="V25">
    <cfRule type="cellIs" dxfId="38318" priority="54597" stopIfTrue="1" operator="equal">
      <formula>-1</formula>
    </cfRule>
  </conditionalFormatting>
  <conditionalFormatting sqref="V25">
    <cfRule type="cellIs" dxfId="38317" priority="54598" stopIfTrue="1" operator="lessThan">
      <formula>0.5</formula>
    </cfRule>
  </conditionalFormatting>
  <conditionalFormatting sqref="V25">
    <cfRule type="cellIs" dxfId="38316" priority="54599" stopIfTrue="1" operator="greaterThanOrEqual">
      <formula>0.5</formula>
    </cfRule>
  </conditionalFormatting>
  <conditionalFormatting sqref="V26">
    <cfRule type="cellIs" dxfId="38315" priority="54600" stopIfTrue="1" operator="equal">
      <formula>-1</formula>
    </cfRule>
  </conditionalFormatting>
  <conditionalFormatting sqref="V26">
    <cfRule type="cellIs" dxfId="38314" priority="54601" stopIfTrue="1" operator="lessThan">
      <formula>0.5</formula>
    </cfRule>
  </conditionalFormatting>
  <conditionalFormatting sqref="V26">
    <cfRule type="cellIs" dxfId="38313" priority="54602" stopIfTrue="1" operator="greaterThanOrEqual">
      <formula>0.5</formula>
    </cfRule>
  </conditionalFormatting>
  <conditionalFormatting sqref="V27">
    <cfRule type="cellIs" dxfId="38312" priority="54603" stopIfTrue="1" operator="equal">
      <formula>-1</formula>
    </cfRule>
  </conditionalFormatting>
  <conditionalFormatting sqref="V27">
    <cfRule type="cellIs" dxfId="38311" priority="54604" stopIfTrue="1" operator="lessThan">
      <formula>0.5</formula>
    </cfRule>
  </conditionalFormatting>
  <conditionalFormatting sqref="V27">
    <cfRule type="cellIs" dxfId="38310" priority="54605" stopIfTrue="1" operator="greaterThanOrEqual">
      <formula>0.5</formula>
    </cfRule>
  </conditionalFormatting>
  <conditionalFormatting sqref="V28">
    <cfRule type="cellIs" dxfId="38309" priority="54606" stopIfTrue="1" operator="equal">
      <formula>-1</formula>
    </cfRule>
  </conditionalFormatting>
  <conditionalFormatting sqref="V28">
    <cfRule type="cellIs" dxfId="38308" priority="54607" stopIfTrue="1" operator="lessThan">
      <formula>0.5</formula>
    </cfRule>
  </conditionalFormatting>
  <conditionalFormatting sqref="V28">
    <cfRule type="cellIs" dxfId="38307" priority="54608" stopIfTrue="1" operator="greaterThanOrEqual">
      <formula>0.5</formula>
    </cfRule>
  </conditionalFormatting>
  <conditionalFormatting sqref="V29">
    <cfRule type="cellIs" dxfId="38306" priority="54609" stopIfTrue="1" operator="equal">
      <formula>-1</formula>
    </cfRule>
  </conditionalFormatting>
  <conditionalFormatting sqref="V29">
    <cfRule type="cellIs" dxfId="38305" priority="54610" stopIfTrue="1" operator="lessThan">
      <formula>0.5</formula>
    </cfRule>
  </conditionalFormatting>
  <conditionalFormatting sqref="V29">
    <cfRule type="cellIs" dxfId="38304" priority="54611" stopIfTrue="1" operator="greaterThanOrEqual">
      <formula>0.5</formula>
    </cfRule>
  </conditionalFormatting>
  <conditionalFormatting sqref="V30">
    <cfRule type="cellIs" dxfId="38303" priority="54612" stopIfTrue="1" operator="equal">
      <formula>-1</formula>
    </cfRule>
  </conditionalFormatting>
  <conditionalFormatting sqref="V30">
    <cfRule type="cellIs" dxfId="38302" priority="54613" stopIfTrue="1" operator="lessThan">
      <formula>0.5</formula>
    </cfRule>
  </conditionalFormatting>
  <conditionalFormatting sqref="V30">
    <cfRule type="cellIs" dxfId="38301" priority="54614" stopIfTrue="1" operator="greaterThanOrEqual">
      <formula>0.5</formula>
    </cfRule>
  </conditionalFormatting>
  <conditionalFormatting sqref="V31">
    <cfRule type="cellIs" dxfId="38300" priority="54615" stopIfTrue="1" operator="equal">
      <formula>-1</formula>
    </cfRule>
  </conditionalFormatting>
  <conditionalFormatting sqref="V31">
    <cfRule type="cellIs" dxfId="38299" priority="54616" stopIfTrue="1" operator="lessThan">
      <formula>0.5</formula>
    </cfRule>
  </conditionalFormatting>
  <conditionalFormatting sqref="V31">
    <cfRule type="cellIs" dxfId="38298" priority="54617" stopIfTrue="1" operator="greaterThanOrEqual">
      <formula>0.5</formula>
    </cfRule>
  </conditionalFormatting>
  <conditionalFormatting sqref="V32">
    <cfRule type="cellIs" dxfId="38297" priority="54618" stopIfTrue="1" operator="equal">
      <formula>-1</formula>
    </cfRule>
  </conditionalFormatting>
  <conditionalFormatting sqref="V32">
    <cfRule type="cellIs" dxfId="38296" priority="54619" stopIfTrue="1" operator="lessThan">
      <formula>0.5</formula>
    </cfRule>
  </conditionalFormatting>
  <conditionalFormatting sqref="V32">
    <cfRule type="cellIs" dxfId="38295" priority="54620" stopIfTrue="1" operator="greaterThanOrEqual">
      <formula>0.5</formula>
    </cfRule>
  </conditionalFormatting>
  <conditionalFormatting sqref="V33">
    <cfRule type="cellIs" dxfId="38294" priority="54621" stopIfTrue="1" operator="equal">
      <formula>-1</formula>
    </cfRule>
  </conditionalFormatting>
  <conditionalFormatting sqref="V33">
    <cfRule type="cellIs" dxfId="38293" priority="54622" stopIfTrue="1" operator="lessThan">
      <formula>0.5</formula>
    </cfRule>
  </conditionalFormatting>
  <conditionalFormatting sqref="V33">
    <cfRule type="cellIs" dxfId="38292" priority="54623" stopIfTrue="1" operator="greaterThanOrEqual">
      <formula>0.5</formula>
    </cfRule>
  </conditionalFormatting>
  <conditionalFormatting sqref="V34">
    <cfRule type="cellIs" dxfId="38291" priority="54624" stopIfTrue="1" operator="equal">
      <formula>-1</formula>
    </cfRule>
  </conditionalFormatting>
  <conditionalFormatting sqref="V34">
    <cfRule type="cellIs" dxfId="38290" priority="54625" stopIfTrue="1" operator="lessThan">
      <formula>0.5</formula>
    </cfRule>
  </conditionalFormatting>
  <conditionalFormatting sqref="V34">
    <cfRule type="cellIs" dxfId="38289" priority="54626" stopIfTrue="1" operator="greaterThanOrEqual">
      <formula>0.5</formula>
    </cfRule>
  </conditionalFormatting>
  <conditionalFormatting sqref="V35">
    <cfRule type="cellIs" dxfId="38288" priority="54627" stopIfTrue="1" operator="equal">
      <formula>-1</formula>
    </cfRule>
  </conditionalFormatting>
  <conditionalFormatting sqref="V35">
    <cfRule type="cellIs" dxfId="38287" priority="54628" stopIfTrue="1" operator="lessThan">
      <formula>0.5</formula>
    </cfRule>
  </conditionalFormatting>
  <conditionalFormatting sqref="V35">
    <cfRule type="cellIs" dxfId="38286" priority="54629" stopIfTrue="1" operator="greaterThanOrEqual">
      <formula>0.5</formula>
    </cfRule>
  </conditionalFormatting>
  <conditionalFormatting sqref="V36">
    <cfRule type="cellIs" dxfId="38285" priority="54630" stopIfTrue="1" operator="equal">
      <formula>-1</formula>
    </cfRule>
  </conditionalFormatting>
  <conditionalFormatting sqref="V36">
    <cfRule type="cellIs" dxfId="38284" priority="54631" stopIfTrue="1" operator="lessThan">
      <formula>0.5</formula>
    </cfRule>
  </conditionalFormatting>
  <conditionalFormatting sqref="V36">
    <cfRule type="cellIs" dxfId="38283" priority="54632" stopIfTrue="1" operator="greaterThanOrEqual">
      <formula>0.5</formula>
    </cfRule>
  </conditionalFormatting>
  <conditionalFormatting sqref="V37">
    <cfRule type="cellIs" dxfId="38282" priority="54633" stopIfTrue="1" operator="equal">
      <formula>-1</formula>
    </cfRule>
  </conditionalFormatting>
  <conditionalFormatting sqref="V37">
    <cfRule type="cellIs" dxfId="38281" priority="54634" stopIfTrue="1" operator="lessThan">
      <formula>0.5</formula>
    </cfRule>
  </conditionalFormatting>
  <conditionalFormatting sqref="V37">
    <cfRule type="cellIs" dxfId="38280" priority="54635" stopIfTrue="1" operator="greaterThanOrEqual">
      <formula>0.5</formula>
    </cfRule>
  </conditionalFormatting>
  <conditionalFormatting sqref="X17">
    <cfRule type="cellIs" dxfId="38279" priority="54636" stopIfTrue="1" operator="equal">
      <formula>-1</formula>
    </cfRule>
  </conditionalFormatting>
  <conditionalFormatting sqref="X17">
    <cfRule type="cellIs" dxfId="38278" priority="54637" stopIfTrue="1" operator="lessThan">
      <formula>0.5</formula>
    </cfRule>
  </conditionalFormatting>
  <conditionalFormatting sqref="X17">
    <cfRule type="cellIs" dxfId="38277" priority="54638" stopIfTrue="1" operator="greaterThanOrEqual">
      <formula>0.5</formula>
    </cfRule>
  </conditionalFormatting>
  <conditionalFormatting sqref="X18">
    <cfRule type="cellIs" dxfId="38276" priority="54639" stopIfTrue="1" operator="equal">
      <formula>-1</formula>
    </cfRule>
  </conditionalFormatting>
  <conditionalFormatting sqref="X18">
    <cfRule type="cellIs" dxfId="38275" priority="54640" stopIfTrue="1" operator="lessThan">
      <formula>0.5</formula>
    </cfRule>
  </conditionalFormatting>
  <conditionalFormatting sqref="X18">
    <cfRule type="cellIs" dxfId="38274" priority="54641" stopIfTrue="1" operator="greaterThanOrEqual">
      <formula>0.5</formula>
    </cfRule>
  </conditionalFormatting>
  <conditionalFormatting sqref="X19">
    <cfRule type="cellIs" dxfId="38273" priority="54642" stopIfTrue="1" operator="equal">
      <formula>-1</formula>
    </cfRule>
  </conditionalFormatting>
  <conditionalFormatting sqref="X19">
    <cfRule type="cellIs" dxfId="38272" priority="54643" stopIfTrue="1" operator="lessThan">
      <formula>0.5</formula>
    </cfRule>
  </conditionalFormatting>
  <conditionalFormatting sqref="X19">
    <cfRule type="cellIs" dxfId="38271" priority="54644" stopIfTrue="1" operator="greaterThanOrEqual">
      <formula>0.5</formula>
    </cfRule>
  </conditionalFormatting>
  <conditionalFormatting sqref="X20">
    <cfRule type="cellIs" dxfId="38270" priority="54645" stopIfTrue="1" operator="equal">
      <formula>-1</formula>
    </cfRule>
  </conditionalFormatting>
  <conditionalFormatting sqref="X20">
    <cfRule type="cellIs" dxfId="38269" priority="54646" stopIfTrue="1" operator="lessThan">
      <formula>0.5</formula>
    </cfRule>
  </conditionalFormatting>
  <conditionalFormatting sqref="X20">
    <cfRule type="cellIs" dxfId="38268" priority="54647" stopIfTrue="1" operator="greaterThanOrEqual">
      <formula>0.5</formula>
    </cfRule>
  </conditionalFormatting>
  <conditionalFormatting sqref="X21">
    <cfRule type="cellIs" dxfId="38267" priority="54648" stopIfTrue="1" operator="equal">
      <formula>-1</formula>
    </cfRule>
  </conditionalFormatting>
  <conditionalFormatting sqref="X21">
    <cfRule type="cellIs" dxfId="38266" priority="54649" stopIfTrue="1" operator="lessThan">
      <formula>0.5</formula>
    </cfRule>
  </conditionalFormatting>
  <conditionalFormatting sqref="X21">
    <cfRule type="cellIs" dxfId="38265" priority="54650" stopIfTrue="1" operator="greaterThanOrEqual">
      <formula>0.5</formula>
    </cfRule>
  </conditionalFormatting>
  <conditionalFormatting sqref="X22">
    <cfRule type="cellIs" dxfId="38264" priority="54651" stopIfTrue="1" operator="equal">
      <formula>-1</formula>
    </cfRule>
  </conditionalFormatting>
  <conditionalFormatting sqref="X22">
    <cfRule type="cellIs" dxfId="38263" priority="54652" stopIfTrue="1" operator="lessThan">
      <formula>0.5</formula>
    </cfRule>
  </conditionalFormatting>
  <conditionalFormatting sqref="X22">
    <cfRule type="cellIs" dxfId="38262" priority="54653" stopIfTrue="1" operator="greaterThanOrEqual">
      <formula>0.5</formula>
    </cfRule>
  </conditionalFormatting>
  <conditionalFormatting sqref="X23">
    <cfRule type="cellIs" dxfId="38261" priority="54654" stopIfTrue="1" operator="equal">
      <formula>-1</formula>
    </cfRule>
  </conditionalFormatting>
  <conditionalFormatting sqref="X23">
    <cfRule type="cellIs" dxfId="38260" priority="54655" stopIfTrue="1" operator="lessThan">
      <formula>0.5</formula>
    </cfRule>
  </conditionalFormatting>
  <conditionalFormatting sqref="X23">
    <cfRule type="cellIs" dxfId="38259" priority="54656" stopIfTrue="1" operator="greaterThanOrEqual">
      <formula>0.5</formula>
    </cfRule>
  </conditionalFormatting>
  <conditionalFormatting sqref="X24">
    <cfRule type="cellIs" dxfId="38258" priority="54657" stopIfTrue="1" operator="equal">
      <formula>-1</formula>
    </cfRule>
  </conditionalFormatting>
  <conditionalFormatting sqref="X24">
    <cfRule type="cellIs" dxfId="38257" priority="54658" stopIfTrue="1" operator="lessThan">
      <formula>0.5</formula>
    </cfRule>
  </conditionalFormatting>
  <conditionalFormatting sqref="X24">
    <cfRule type="cellIs" dxfId="38256" priority="54659" stopIfTrue="1" operator="greaterThanOrEqual">
      <formula>0.5</formula>
    </cfRule>
  </conditionalFormatting>
  <conditionalFormatting sqref="X25">
    <cfRule type="cellIs" dxfId="38255" priority="54660" stopIfTrue="1" operator="equal">
      <formula>-1</formula>
    </cfRule>
  </conditionalFormatting>
  <conditionalFormatting sqref="X25">
    <cfRule type="cellIs" dxfId="38254" priority="54661" stopIfTrue="1" operator="lessThan">
      <formula>0.5</formula>
    </cfRule>
  </conditionalFormatting>
  <conditionalFormatting sqref="X25">
    <cfRule type="cellIs" dxfId="38253" priority="54662" stopIfTrue="1" operator="greaterThanOrEqual">
      <formula>0.5</formula>
    </cfRule>
  </conditionalFormatting>
  <conditionalFormatting sqref="X26">
    <cfRule type="cellIs" dxfId="38252" priority="54663" stopIfTrue="1" operator="equal">
      <formula>-1</formula>
    </cfRule>
  </conditionalFormatting>
  <conditionalFormatting sqref="X26">
    <cfRule type="cellIs" dxfId="38251" priority="54664" stopIfTrue="1" operator="lessThan">
      <formula>0.5</formula>
    </cfRule>
  </conditionalFormatting>
  <conditionalFormatting sqref="X26">
    <cfRule type="cellIs" dxfId="38250" priority="54665" stopIfTrue="1" operator="greaterThanOrEqual">
      <formula>0.5</formula>
    </cfRule>
  </conditionalFormatting>
  <conditionalFormatting sqref="X27">
    <cfRule type="cellIs" dxfId="38249" priority="54666" stopIfTrue="1" operator="equal">
      <formula>-1</formula>
    </cfRule>
  </conditionalFormatting>
  <conditionalFormatting sqref="X27">
    <cfRule type="cellIs" dxfId="38248" priority="54667" stopIfTrue="1" operator="lessThan">
      <formula>0.5</formula>
    </cfRule>
  </conditionalFormatting>
  <conditionalFormatting sqref="X27">
    <cfRule type="cellIs" dxfId="38247" priority="54668" stopIfTrue="1" operator="greaterThanOrEqual">
      <formula>0.5</formula>
    </cfRule>
  </conditionalFormatting>
  <conditionalFormatting sqref="X28">
    <cfRule type="cellIs" dxfId="38246" priority="54669" stopIfTrue="1" operator="equal">
      <formula>-1</formula>
    </cfRule>
  </conditionalFormatting>
  <conditionalFormatting sqref="X28">
    <cfRule type="cellIs" dxfId="38245" priority="54670" stopIfTrue="1" operator="lessThan">
      <formula>0.5</formula>
    </cfRule>
  </conditionalFormatting>
  <conditionalFormatting sqref="X28">
    <cfRule type="cellIs" dxfId="38244" priority="54671" stopIfTrue="1" operator="greaterThanOrEqual">
      <formula>0.5</formula>
    </cfRule>
  </conditionalFormatting>
  <conditionalFormatting sqref="X29">
    <cfRule type="cellIs" dxfId="38243" priority="54672" stopIfTrue="1" operator="equal">
      <formula>-1</formula>
    </cfRule>
  </conditionalFormatting>
  <conditionalFormatting sqref="X29">
    <cfRule type="cellIs" dxfId="38242" priority="54673" stopIfTrue="1" operator="lessThan">
      <formula>0.5</formula>
    </cfRule>
  </conditionalFormatting>
  <conditionalFormatting sqref="X29">
    <cfRule type="cellIs" dxfId="38241" priority="54674" stopIfTrue="1" operator="greaterThanOrEqual">
      <formula>0.5</formula>
    </cfRule>
  </conditionalFormatting>
  <conditionalFormatting sqref="X30">
    <cfRule type="cellIs" dxfId="38240" priority="54675" stopIfTrue="1" operator="equal">
      <formula>-1</formula>
    </cfRule>
  </conditionalFormatting>
  <conditionalFormatting sqref="X30">
    <cfRule type="cellIs" dxfId="38239" priority="54676" stopIfTrue="1" operator="lessThan">
      <formula>0.5</formula>
    </cfRule>
  </conditionalFormatting>
  <conditionalFormatting sqref="X30">
    <cfRule type="cellIs" dxfId="38238" priority="54677" stopIfTrue="1" operator="greaterThanOrEqual">
      <formula>0.5</formula>
    </cfRule>
  </conditionalFormatting>
  <conditionalFormatting sqref="X31">
    <cfRule type="cellIs" dxfId="38237" priority="54678" stopIfTrue="1" operator="equal">
      <formula>-1</formula>
    </cfRule>
  </conditionalFormatting>
  <conditionalFormatting sqref="X31">
    <cfRule type="cellIs" dxfId="38236" priority="54679" stopIfTrue="1" operator="lessThan">
      <formula>0.5</formula>
    </cfRule>
  </conditionalFormatting>
  <conditionalFormatting sqref="X31">
    <cfRule type="cellIs" dxfId="38235" priority="54680" stopIfTrue="1" operator="greaterThanOrEqual">
      <formula>0.5</formula>
    </cfRule>
  </conditionalFormatting>
  <conditionalFormatting sqref="X32">
    <cfRule type="cellIs" dxfId="38234" priority="54681" stopIfTrue="1" operator="equal">
      <formula>-1</formula>
    </cfRule>
  </conditionalFormatting>
  <conditionalFormatting sqref="X32">
    <cfRule type="cellIs" dxfId="38233" priority="54682" stopIfTrue="1" operator="lessThan">
      <formula>0.5</formula>
    </cfRule>
  </conditionalFormatting>
  <conditionalFormatting sqref="X32">
    <cfRule type="cellIs" dxfId="38232" priority="54683" stopIfTrue="1" operator="greaterThanOrEqual">
      <formula>0.5</formula>
    </cfRule>
  </conditionalFormatting>
  <conditionalFormatting sqref="X33">
    <cfRule type="cellIs" dxfId="38231" priority="54684" stopIfTrue="1" operator="equal">
      <formula>-1</formula>
    </cfRule>
  </conditionalFormatting>
  <conditionalFormatting sqref="X33">
    <cfRule type="cellIs" dxfId="38230" priority="54685" stopIfTrue="1" operator="lessThan">
      <formula>0.5</formula>
    </cfRule>
  </conditionalFormatting>
  <conditionalFormatting sqref="X33">
    <cfRule type="cellIs" dxfId="38229" priority="54686" stopIfTrue="1" operator="greaterThanOrEqual">
      <formula>0.5</formula>
    </cfRule>
  </conditionalFormatting>
  <conditionalFormatting sqref="X34">
    <cfRule type="cellIs" dxfId="38228" priority="54687" stopIfTrue="1" operator="equal">
      <formula>-1</formula>
    </cfRule>
  </conditionalFormatting>
  <conditionalFormatting sqref="X34">
    <cfRule type="cellIs" dxfId="38227" priority="54688" stopIfTrue="1" operator="lessThan">
      <formula>0.5</formula>
    </cfRule>
  </conditionalFormatting>
  <conditionalFormatting sqref="X34">
    <cfRule type="cellIs" dxfId="38226" priority="54689" stopIfTrue="1" operator="greaterThanOrEqual">
      <formula>0.5</formula>
    </cfRule>
  </conditionalFormatting>
  <conditionalFormatting sqref="X35">
    <cfRule type="cellIs" dxfId="38225" priority="54690" stopIfTrue="1" operator="equal">
      <formula>-1</formula>
    </cfRule>
  </conditionalFormatting>
  <conditionalFormatting sqref="X35">
    <cfRule type="cellIs" dxfId="38224" priority="54691" stopIfTrue="1" operator="lessThan">
      <formula>0.5</formula>
    </cfRule>
  </conditionalFormatting>
  <conditionalFormatting sqref="X35">
    <cfRule type="cellIs" dxfId="38223" priority="54692" stopIfTrue="1" operator="greaterThanOrEqual">
      <formula>0.5</formula>
    </cfRule>
  </conditionalFormatting>
  <conditionalFormatting sqref="X36">
    <cfRule type="cellIs" dxfId="38222" priority="54693" stopIfTrue="1" operator="equal">
      <formula>-1</formula>
    </cfRule>
  </conditionalFormatting>
  <conditionalFormatting sqref="X36">
    <cfRule type="cellIs" dxfId="38221" priority="54694" stopIfTrue="1" operator="lessThan">
      <formula>0.5</formula>
    </cfRule>
  </conditionalFormatting>
  <conditionalFormatting sqref="X36">
    <cfRule type="cellIs" dxfId="38220" priority="54695" stopIfTrue="1" operator="greaterThanOrEqual">
      <formula>0.5</formula>
    </cfRule>
  </conditionalFormatting>
  <conditionalFormatting sqref="X37">
    <cfRule type="cellIs" dxfId="38219" priority="54696" stopIfTrue="1" operator="equal">
      <formula>-1</formula>
    </cfRule>
  </conditionalFormatting>
  <conditionalFormatting sqref="X37">
    <cfRule type="cellIs" dxfId="38218" priority="54697" stopIfTrue="1" operator="lessThan">
      <formula>0.5</formula>
    </cfRule>
  </conditionalFormatting>
  <conditionalFormatting sqref="X37">
    <cfRule type="cellIs" dxfId="38217" priority="54698" stopIfTrue="1" operator="greaterThanOrEqual">
      <formula>0.5</formula>
    </cfRule>
  </conditionalFormatting>
  <conditionalFormatting sqref="Z17">
    <cfRule type="cellIs" dxfId="38216" priority="54699" stopIfTrue="1" operator="equal">
      <formula>-1</formula>
    </cfRule>
  </conditionalFormatting>
  <conditionalFormatting sqref="Z17">
    <cfRule type="cellIs" dxfId="38215" priority="54700" stopIfTrue="1" operator="lessThan">
      <formula>0.5</formula>
    </cfRule>
  </conditionalFormatting>
  <conditionalFormatting sqref="Z17">
    <cfRule type="cellIs" dxfId="38214" priority="54701" stopIfTrue="1" operator="greaterThanOrEqual">
      <formula>0.5</formula>
    </cfRule>
  </conditionalFormatting>
  <conditionalFormatting sqref="Z18">
    <cfRule type="cellIs" dxfId="38213" priority="54702" stopIfTrue="1" operator="equal">
      <formula>-1</formula>
    </cfRule>
  </conditionalFormatting>
  <conditionalFormatting sqref="Z18">
    <cfRule type="cellIs" dxfId="38212" priority="54703" stopIfTrue="1" operator="lessThan">
      <formula>0.5</formula>
    </cfRule>
  </conditionalFormatting>
  <conditionalFormatting sqref="Z18">
    <cfRule type="cellIs" dxfId="38211" priority="54704" stopIfTrue="1" operator="greaterThanOrEqual">
      <formula>0.5</formula>
    </cfRule>
  </conditionalFormatting>
  <conditionalFormatting sqref="Z19">
    <cfRule type="cellIs" dxfId="38210" priority="54705" stopIfTrue="1" operator="equal">
      <formula>-1</formula>
    </cfRule>
  </conditionalFormatting>
  <conditionalFormatting sqref="Z19">
    <cfRule type="cellIs" dxfId="38209" priority="54706" stopIfTrue="1" operator="lessThan">
      <formula>0.5</formula>
    </cfRule>
  </conditionalFormatting>
  <conditionalFormatting sqref="Z19">
    <cfRule type="cellIs" dxfId="38208" priority="54707" stopIfTrue="1" operator="greaterThanOrEqual">
      <formula>0.5</formula>
    </cfRule>
  </conditionalFormatting>
  <conditionalFormatting sqref="Z20">
    <cfRule type="cellIs" dxfId="38207" priority="54708" stopIfTrue="1" operator="equal">
      <formula>-1</formula>
    </cfRule>
  </conditionalFormatting>
  <conditionalFormatting sqref="Z20">
    <cfRule type="cellIs" dxfId="38206" priority="54709" stopIfTrue="1" operator="lessThan">
      <formula>0.5</formula>
    </cfRule>
  </conditionalFormatting>
  <conditionalFormatting sqref="Z20">
    <cfRule type="cellIs" dxfId="38205" priority="54710" stopIfTrue="1" operator="greaterThanOrEqual">
      <formula>0.5</formula>
    </cfRule>
  </conditionalFormatting>
  <conditionalFormatting sqref="Z21">
    <cfRule type="cellIs" dxfId="38204" priority="54711" stopIfTrue="1" operator="equal">
      <formula>-1</formula>
    </cfRule>
  </conditionalFormatting>
  <conditionalFormatting sqref="Z21">
    <cfRule type="cellIs" dxfId="38203" priority="54712" stopIfTrue="1" operator="lessThan">
      <formula>0.5</formula>
    </cfRule>
  </conditionalFormatting>
  <conditionalFormatting sqref="Z21">
    <cfRule type="cellIs" dxfId="38202" priority="54713" stopIfTrue="1" operator="greaterThanOrEqual">
      <formula>0.5</formula>
    </cfRule>
  </conditionalFormatting>
  <conditionalFormatting sqref="Z22">
    <cfRule type="cellIs" dxfId="38201" priority="54714" stopIfTrue="1" operator="equal">
      <formula>-1</formula>
    </cfRule>
  </conditionalFormatting>
  <conditionalFormatting sqref="Z22">
    <cfRule type="cellIs" dxfId="38200" priority="54715" stopIfTrue="1" operator="lessThan">
      <formula>0.5</formula>
    </cfRule>
  </conditionalFormatting>
  <conditionalFormatting sqref="Z22">
    <cfRule type="cellIs" dxfId="38199" priority="54716" stopIfTrue="1" operator="greaterThanOrEqual">
      <formula>0.5</formula>
    </cfRule>
  </conditionalFormatting>
  <conditionalFormatting sqref="Z23">
    <cfRule type="cellIs" dxfId="38198" priority="54717" stopIfTrue="1" operator="equal">
      <formula>-1</formula>
    </cfRule>
  </conditionalFormatting>
  <conditionalFormatting sqref="Z23">
    <cfRule type="cellIs" dxfId="38197" priority="54718" stopIfTrue="1" operator="lessThan">
      <formula>0.5</formula>
    </cfRule>
  </conditionalFormatting>
  <conditionalFormatting sqref="Z23">
    <cfRule type="cellIs" dxfId="38196" priority="54719" stopIfTrue="1" operator="greaterThanOrEqual">
      <formula>0.5</formula>
    </cfRule>
  </conditionalFormatting>
  <conditionalFormatting sqref="Z24">
    <cfRule type="cellIs" dxfId="38195" priority="54720" stopIfTrue="1" operator="equal">
      <formula>-1</formula>
    </cfRule>
  </conditionalFormatting>
  <conditionalFormatting sqref="Z24">
    <cfRule type="cellIs" dxfId="38194" priority="54721" stopIfTrue="1" operator="lessThan">
      <formula>0.5</formula>
    </cfRule>
  </conditionalFormatting>
  <conditionalFormatting sqref="Z24">
    <cfRule type="cellIs" dxfId="38193" priority="54722" stopIfTrue="1" operator="greaterThanOrEqual">
      <formula>0.5</formula>
    </cfRule>
  </conditionalFormatting>
  <conditionalFormatting sqref="Z25">
    <cfRule type="cellIs" dxfId="38192" priority="54723" stopIfTrue="1" operator="equal">
      <formula>-1</formula>
    </cfRule>
  </conditionalFormatting>
  <conditionalFormatting sqref="Z25">
    <cfRule type="cellIs" dxfId="38191" priority="54724" stopIfTrue="1" operator="lessThan">
      <formula>0.5</formula>
    </cfRule>
  </conditionalFormatting>
  <conditionalFormatting sqref="Z25">
    <cfRule type="cellIs" dxfId="38190" priority="54725" stopIfTrue="1" operator="greaterThanOrEqual">
      <formula>0.5</formula>
    </cfRule>
  </conditionalFormatting>
  <conditionalFormatting sqref="Z26">
    <cfRule type="cellIs" dxfId="38189" priority="54726" stopIfTrue="1" operator="equal">
      <formula>-1</formula>
    </cfRule>
  </conditionalFormatting>
  <conditionalFormatting sqref="Z26">
    <cfRule type="cellIs" dxfId="38188" priority="54727" stopIfTrue="1" operator="lessThan">
      <formula>0.5</formula>
    </cfRule>
  </conditionalFormatting>
  <conditionalFormatting sqref="Z26">
    <cfRule type="cellIs" dxfId="38187" priority="54728" stopIfTrue="1" operator="greaterThanOrEqual">
      <formula>0.5</formula>
    </cfRule>
  </conditionalFormatting>
  <conditionalFormatting sqref="Z27">
    <cfRule type="cellIs" dxfId="38186" priority="54729" stopIfTrue="1" operator="equal">
      <formula>-1</formula>
    </cfRule>
  </conditionalFormatting>
  <conditionalFormatting sqref="Z27">
    <cfRule type="cellIs" dxfId="38185" priority="54730" stopIfTrue="1" operator="lessThan">
      <formula>0.5</formula>
    </cfRule>
  </conditionalFormatting>
  <conditionalFormatting sqref="Z27">
    <cfRule type="cellIs" dxfId="38184" priority="54731" stopIfTrue="1" operator="greaterThanOrEqual">
      <formula>0.5</formula>
    </cfRule>
  </conditionalFormatting>
  <conditionalFormatting sqref="Z28">
    <cfRule type="cellIs" dxfId="38183" priority="54732" stopIfTrue="1" operator="equal">
      <formula>-1</formula>
    </cfRule>
  </conditionalFormatting>
  <conditionalFormatting sqref="Z28">
    <cfRule type="cellIs" dxfId="38182" priority="54733" stopIfTrue="1" operator="lessThan">
      <formula>0.5</formula>
    </cfRule>
  </conditionalFormatting>
  <conditionalFormatting sqref="Z28">
    <cfRule type="cellIs" dxfId="38181" priority="54734" stopIfTrue="1" operator="greaterThanOrEqual">
      <formula>0.5</formula>
    </cfRule>
  </conditionalFormatting>
  <conditionalFormatting sqref="Z29">
    <cfRule type="cellIs" dxfId="38180" priority="54735" stopIfTrue="1" operator="equal">
      <formula>-1</formula>
    </cfRule>
  </conditionalFormatting>
  <conditionalFormatting sqref="Z29">
    <cfRule type="cellIs" dxfId="38179" priority="54736" stopIfTrue="1" operator="lessThan">
      <formula>0.5</formula>
    </cfRule>
  </conditionalFormatting>
  <conditionalFormatting sqref="Z29">
    <cfRule type="cellIs" dxfId="38178" priority="54737" stopIfTrue="1" operator="greaterThanOrEqual">
      <formula>0.5</formula>
    </cfRule>
  </conditionalFormatting>
  <conditionalFormatting sqref="Z30">
    <cfRule type="cellIs" dxfId="38177" priority="54738" stopIfTrue="1" operator="equal">
      <formula>-1</formula>
    </cfRule>
  </conditionalFormatting>
  <conditionalFormatting sqref="Z30">
    <cfRule type="cellIs" dxfId="38176" priority="54739" stopIfTrue="1" operator="lessThan">
      <formula>0.5</formula>
    </cfRule>
  </conditionalFormatting>
  <conditionalFormatting sqref="Z30">
    <cfRule type="cellIs" dxfId="38175" priority="54740" stopIfTrue="1" operator="greaterThanOrEqual">
      <formula>0.5</formula>
    </cfRule>
  </conditionalFormatting>
  <conditionalFormatting sqref="Z31">
    <cfRule type="cellIs" dxfId="38174" priority="54741" stopIfTrue="1" operator="equal">
      <formula>-1</formula>
    </cfRule>
  </conditionalFormatting>
  <conditionalFormatting sqref="Z31">
    <cfRule type="cellIs" dxfId="38173" priority="54742" stopIfTrue="1" operator="lessThan">
      <formula>0.5</formula>
    </cfRule>
  </conditionalFormatting>
  <conditionalFormatting sqref="Z31">
    <cfRule type="cellIs" dxfId="38172" priority="54743" stopIfTrue="1" operator="greaterThanOrEqual">
      <formula>0.5</formula>
    </cfRule>
  </conditionalFormatting>
  <conditionalFormatting sqref="Z32">
    <cfRule type="cellIs" dxfId="38171" priority="54744" stopIfTrue="1" operator="equal">
      <formula>-1</formula>
    </cfRule>
  </conditionalFormatting>
  <conditionalFormatting sqref="Z32">
    <cfRule type="cellIs" dxfId="38170" priority="54745" stopIfTrue="1" operator="lessThan">
      <formula>0.5</formula>
    </cfRule>
  </conditionalFormatting>
  <conditionalFormatting sqref="Z32">
    <cfRule type="cellIs" dxfId="38169" priority="54746" stopIfTrue="1" operator="greaterThanOrEqual">
      <formula>0.5</formula>
    </cfRule>
  </conditionalFormatting>
  <conditionalFormatting sqref="Z33">
    <cfRule type="cellIs" dxfId="38168" priority="54747" stopIfTrue="1" operator="equal">
      <formula>-1</formula>
    </cfRule>
  </conditionalFormatting>
  <conditionalFormatting sqref="Z33">
    <cfRule type="cellIs" dxfId="38167" priority="54748" stopIfTrue="1" operator="lessThan">
      <formula>0.5</formula>
    </cfRule>
  </conditionalFormatting>
  <conditionalFormatting sqref="Z33">
    <cfRule type="cellIs" dxfId="38166" priority="54749" stopIfTrue="1" operator="greaterThanOrEqual">
      <formula>0.5</formula>
    </cfRule>
  </conditionalFormatting>
  <conditionalFormatting sqref="Z34">
    <cfRule type="cellIs" dxfId="38165" priority="54750" stopIfTrue="1" operator="equal">
      <formula>-1</formula>
    </cfRule>
  </conditionalFormatting>
  <conditionalFormatting sqref="Z34">
    <cfRule type="cellIs" dxfId="38164" priority="54751" stopIfTrue="1" operator="lessThan">
      <formula>0.5</formula>
    </cfRule>
  </conditionalFormatting>
  <conditionalFormatting sqref="Z34">
    <cfRule type="cellIs" dxfId="38163" priority="54752" stopIfTrue="1" operator="greaterThanOrEqual">
      <formula>0.5</formula>
    </cfRule>
  </conditionalFormatting>
  <conditionalFormatting sqref="Z35">
    <cfRule type="cellIs" dxfId="38162" priority="54753" stopIfTrue="1" operator="equal">
      <formula>-1</formula>
    </cfRule>
  </conditionalFormatting>
  <conditionalFormatting sqref="Z35">
    <cfRule type="cellIs" dxfId="38161" priority="54754" stopIfTrue="1" operator="lessThan">
      <formula>0.5</formula>
    </cfRule>
  </conditionalFormatting>
  <conditionalFormatting sqref="Z35">
    <cfRule type="cellIs" dxfId="38160" priority="54755" stopIfTrue="1" operator="greaterThanOrEqual">
      <formula>0.5</formula>
    </cfRule>
  </conditionalFormatting>
  <conditionalFormatting sqref="Z36">
    <cfRule type="cellIs" dxfId="38159" priority="54756" stopIfTrue="1" operator="equal">
      <formula>-1</formula>
    </cfRule>
  </conditionalFormatting>
  <conditionalFormatting sqref="Z36">
    <cfRule type="cellIs" dxfId="38158" priority="54757" stopIfTrue="1" operator="lessThan">
      <formula>0.5</formula>
    </cfRule>
  </conditionalFormatting>
  <conditionalFormatting sqref="Z36">
    <cfRule type="cellIs" dxfId="38157" priority="54758" stopIfTrue="1" operator="greaterThanOrEqual">
      <formula>0.5</formula>
    </cfRule>
  </conditionalFormatting>
  <conditionalFormatting sqref="Z37">
    <cfRule type="cellIs" dxfId="38156" priority="54759" stopIfTrue="1" operator="equal">
      <formula>-1</formula>
    </cfRule>
  </conditionalFormatting>
  <conditionalFormatting sqref="Z37">
    <cfRule type="cellIs" dxfId="38155" priority="54760" stopIfTrue="1" operator="lessThan">
      <formula>0.5</formula>
    </cfRule>
  </conditionalFormatting>
  <conditionalFormatting sqref="Z37">
    <cfRule type="cellIs" dxfId="38154" priority="54761" stopIfTrue="1" operator="greaterThanOrEqual">
      <formula>0.5</formula>
    </cfRule>
  </conditionalFormatting>
  <conditionalFormatting sqref="AB17">
    <cfRule type="cellIs" dxfId="38153" priority="54762" stopIfTrue="1" operator="equal">
      <formula>-1</formula>
    </cfRule>
  </conditionalFormatting>
  <conditionalFormatting sqref="AB17">
    <cfRule type="cellIs" dxfId="38152" priority="54763" stopIfTrue="1" operator="lessThan">
      <formula>0.5</formula>
    </cfRule>
  </conditionalFormatting>
  <conditionalFormatting sqref="AB17">
    <cfRule type="cellIs" dxfId="38151" priority="54764" stopIfTrue="1" operator="greaterThanOrEqual">
      <formula>0.5</formula>
    </cfRule>
  </conditionalFormatting>
  <conditionalFormatting sqref="AB18">
    <cfRule type="cellIs" dxfId="38150" priority="54765" stopIfTrue="1" operator="equal">
      <formula>-1</formula>
    </cfRule>
  </conditionalFormatting>
  <conditionalFormatting sqref="AB18">
    <cfRule type="cellIs" dxfId="38149" priority="54766" stopIfTrue="1" operator="lessThan">
      <formula>0.5</formula>
    </cfRule>
  </conditionalFormatting>
  <conditionalFormatting sqref="AB18">
    <cfRule type="cellIs" dxfId="38148" priority="54767" stopIfTrue="1" operator="greaterThanOrEqual">
      <formula>0.5</formula>
    </cfRule>
  </conditionalFormatting>
  <conditionalFormatting sqref="AB19">
    <cfRule type="cellIs" dxfId="38147" priority="54768" stopIfTrue="1" operator="equal">
      <formula>-1</formula>
    </cfRule>
  </conditionalFormatting>
  <conditionalFormatting sqref="AB19">
    <cfRule type="cellIs" dxfId="38146" priority="54769" stopIfTrue="1" operator="lessThan">
      <formula>0.5</formula>
    </cfRule>
  </conditionalFormatting>
  <conditionalFormatting sqref="AB19">
    <cfRule type="cellIs" dxfId="38145" priority="54770" stopIfTrue="1" operator="greaterThanOrEqual">
      <formula>0.5</formula>
    </cfRule>
  </conditionalFormatting>
  <conditionalFormatting sqref="AB20">
    <cfRule type="cellIs" dxfId="38144" priority="54771" stopIfTrue="1" operator="equal">
      <formula>-1</formula>
    </cfRule>
  </conditionalFormatting>
  <conditionalFormatting sqref="AB20">
    <cfRule type="cellIs" dxfId="38143" priority="54772" stopIfTrue="1" operator="lessThan">
      <formula>0.5</formula>
    </cfRule>
  </conditionalFormatting>
  <conditionalFormatting sqref="AB20">
    <cfRule type="cellIs" dxfId="38142" priority="54773" stopIfTrue="1" operator="greaterThanOrEqual">
      <formula>0.5</formula>
    </cfRule>
  </conditionalFormatting>
  <conditionalFormatting sqref="AB21">
    <cfRule type="cellIs" dxfId="38141" priority="54774" stopIfTrue="1" operator="equal">
      <formula>-1</formula>
    </cfRule>
  </conditionalFormatting>
  <conditionalFormatting sqref="AB21">
    <cfRule type="cellIs" dxfId="38140" priority="54775" stopIfTrue="1" operator="lessThan">
      <formula>0.5</formula>
    </cfRule>
  </conditionalFormatting>
  <conditionalFormatting sqref="AB21">
    <cfRule type="cellIs" dxfId="38139" priority="54776" stopIfTrue="1" operator="greaterThanOrEqual">
      <formula>0.5</formula>
    </cfRule>
  </conditionalFormatting>
  <conditionalFormatting sqref="AB22">
    <cfRule type="cellIs" dxfId="38138" priority="54777" stopIfTrue="1" operator="equal">
      <formula>-1</formula>
    </cfRule>
  </conditionalFormatting>
  <conditionalFormatting sqref="AB22">
    <cfRule type="cellIs" dxfId="38137" priority="54778" stopIfTrue="1" operator="lessThan">
      <formula>0.5</formula>
    </cfRule>
  </conditionalFormatting>
  <conditionalFormatting sqref="AB22">
    <cfRule type="cellIs" dxfId="38136" priority="54779" stopIfTrue="1" operator="greaterThanOrEqual">
      <formula>0.5</formula>
    </cfRule>
  </conditionalFormatting>
  <conditionalFormatting sqref="AB23">
    <cfRule type="cellIs" dxfId="38135" priority="54780" stopIfTrue="1" operator="equal">
      <formula>-1</formula>
    </cfRule>
  </conditionalFormatting>
  <conditionalFormatting sqref="AB23">
    <cfRule type="cellIs" dxfId="38134" priority="54781" stopIfTrue="1" operator="lessThan">
      <formula>0.5</formula>
    </cfRule>
  </conditionalFormatting>
  <conditionalFormatting sqref="AB23">
    <cfRule type="cellIs" dxfId="38133" priority="54782" stopIfTrue="1" operator="greaterThanOrEqual">
      <formula>0.5</formula>
    </cfRule>
  </conditionalFormatting>
  <conditionalFormatting sqref="AB24">
    <cfRule type="cellIs" dxfId="38132" priority="54783" stopIfTrue="1" operator="equal">
      <formula>-1</formula>
    </cfRule>
  </conditionalFormatting>
  <conditionalFormatting sqref="AB24">
    <cfRule type="cellIs" dxfId="38131" priority="54784" stopIfTrue="1" operator="lessThan">
      <formula>0.5</formula>
    </cfRule>
  </conditionalFormatting>
  <conditionalFormatting sqref="AB24">
    <cfRule type="cellIs" dxfId="38130" priority="54785" stopIfTrue="1" operator="greaterThanOrEqual">
      <formula>0.5</formula>
    </cfRule>
  </conditionalFormatting>
  <conditionalFormatting sqref="AB25">
    <cfRule type="cellIs" dxfId="38129" priority="54786" stopIfTrue="1" operator="equal">
      <formula>-1</formula>
    </cfRule>
  </conditionalFormatting>
  <conditionalFormatting sqref="AB25">
    <cfRule type="cellIs" dxfId="38128" priority="54787" stopIfTrue="1" operator="lessThan">
      <formula>0.5</formula>
    </cfRule>
  </conditionalFormatting>
  <conditionalFormatting sqref="AB25">
    <cfRule type="cellIs" dxfId="38127" priority="54788" stopIfTrue="1" operator="greaterThanOrEqual">
      <formula>0.5</formula>
    </cfRule>
  </conditionalFormatting>
  <conditionalFormatting sqref="AB26">
    <cfRule type="cellIs" dxfId="38126" priority="54789" stopIfTrue="1" operator="equal">
      <formula>-1</formula>
    </cfRule>
  </conditionalFormatting>
  <conditionalFormatting sqref="AB26">
    <cfRule type="cellIs" dxfId="38125" priority="54790" stopIfTrue="1" operator="lessThan">
      <formula>0.5</formula>
    </cfRule>
  </conditionalFormatting>
  <conditionalFormatting sqref="AB26">
    <cfRule type="cellIs" dxfId="38124" priority="54791" stopIfTrue="1" operator="greaterThanOrEqual">
      <formula>0.5</formula>
    </cfRule>
  </conditionalFormatting>
  <conditionalFormatting sqref="AB27">
    <cfRule type="cellIs" dxfId="38123" priority="54792" stopIfTrue="1" operator="equal">
      <formula>-1</formula>
    </cfRule>
  </conditionalFormatting>
  <conditionalFormatting sqref="AB27">
    <cfRule type="cellIs" dxfId="38122" priority="54793" stopIfTrue="1" operator="lessThan">
      <formula>0.5</formula>
    </cfRule>
  </conditionalFormatting>
  <conditionalFormatting sqref="AB27">
    <cfRule type="cellIs" dxfId="38121" priority="54794" stopIfTrue="1" operator="greaterThanOrEqual">
      <formula>0.5</formula>
    </cfRule>
  </conditionalFormatting>
  <conditionalFormatting sqref="AB28">
    <cfRule type="cellIs" dxfId="38120" priority="54795" stopIfTrue="1" operator="equal">
      <formula>-1</formula>
    </cfRule>
  </conditionalFormatting>
  <conditionalFormatting sqref="AB28">
    <cfRule type="cellIs" dxfId="38119" priority="54796" stopIfTrue="1" operator="lessThan">
      <formula>0.5</formula>
    </cfRule>
  </conditionalFormatting>
  <conditionalFormatting sqref="AB28">
    <cfRule type="cellIs" dxfId="38118" priority="54797" stopIfTrue="1" operator="greaterThanOrEqual">
      <formula>0.5</formula>
    </cfRule>
  </conditionalFormatting>
  <conditionalFormatting sqref="AB29">
    <cfRule type="cellIs" dxfId="38117" priority="54798" stopIfTrue="1" operator="equal">
      <formula>-1</formula>
    </cfRule>
  </conditionalFormatting>
  <conditionalFormatting sqref="AB29">
    <cfRule type="cellIs" dxfId="38116" priority="54799" stopIfTrue="1" operator="lessThan">
      <formula>0.5</formula>
    </cfRule>
  </conditionalFormatting>
  <conditionalFormatting sqref="AB29">
    <cfRule type="cellIs" dxfId="38115" priority="54800" stopIfTrue="1" operator="greaterThanOrEqual">
      <formula>0.5</formula>
    </cfRule>
  </conditionalFormatting>
  <conditionalFormatting sqref="AB30">
    <cfRule type="cellIs" dxfId="38114" priority="54801" stopIfTrue="1" operator="equal">
      <formula>-1</formula>
    </cfRule>
  </conditionalFormatting>
  <conditionalFormatting sqref="AB30">
    <cfRule type="cellIs" dxfId="38113" priority="54802" stopIfTrue="1" operator="lessThan">
      <formula>0.5</formula>
    </cfRule>
  </conditionalFormatting>
  <conditionalFormatting sqref="AB30">
    <cfRule type="cellIs" dxfId="38112" priority="54803" stopIfTrue="1" operator="greaterThanOrEqual">
      <formula>0.5</formula>
    </cfRule>
  </conditionalFormatting>
  <conditionalFormatting sqref="AB31">
    <cfRule type="cellIs" dxfId="38111" priority="54804" stopIfTrue="1" operator="equal">
      <formula>-1</formula>
    </cfRule>
  </conditionalFormatting>
  <conditionalFormatting sqref="AB31">
    <cfRule type="cellIs" dxfId="38110" priority="54805" stopIfTrue="1" operator="lessThan">
      <formula>0.5</formula>
    </cfRule>
  </conditionalFormatting>
  <conditionalFormatting sqref="AB31">
    <cfRule type="cellIs" dxfId="38109" priority="54806" stopIfTrue="1" operator="greaterThanOrEqual">
      <formula>0.5</formula>
    </cfRule>
  </conditionalFormatting>
  <conditionalFormatting sqref="AB32">
    <cfRule type="cellIs" dxfId="38108" priority="54807" stopIfTrue="1" operator="equal">
      <formula>-1</formula>
    </cfRule>
  </conditionalFormatting>
  <conditionalFormatting sqref="AB32">
    <cfRule type="cellIs" dxfId="38107" priority="54808" stopIfTrue="1" operator="lessThan">
      <formula>0.5</formula>
    </cfRule>
  </conditionalFormatting>
  <conditionalFormatting sqref="AB32">
    <cfRule type="cellIs" dxfId="38106" priority="54809" stopIfTrue="1" operator="greaterThanOrEqual">
      <formula>0.5</formula>
    </cfRule>
  </conditionalFormatting>
  <conditionalFormatting sqref="AB33">
    <cfRule type="cellIs" dxfId="38105" priority="54810" stopIfTrue="1" operator="equal">
      <formula>-1</formula>
    </cfRule>
  </conditionalFormatting>
  <conditionalFormatting sqref="AB33">
    <cfRule type="cellIs" dxfId="38104" priority="54811" stopIfTrue="1" operator="lessThan">
      <formula>0.5</formula>
    </cfRule>
  </conditionalFormatting>
  <conditionalFormatting sqref="AB33">
    <cfRule type="cellIs" dxfId="38103" priority="54812" stopIfTrue="1" operator="greaterThanOrEqual">
      <formula>0.5</formula>
    </cfRule>
  </conditionalFormatting>
  <conditionalFormatting sqref="AB34">
    <cfRule type="cellIs" dxfId="38102" priority="54813" stopIfTrue="1" operator="equal">
      <formula>-1</formula>
    </cfRule>
  </conditionalFormatting>
  <conditionalFormatting sqref="AB34">
    <cfRule type="cellIs" dxfId="38101" priority="54814" stopIfTrue="1" operator="lessThan">
      <formula>0.5</formula>
    </cfRule>
  </conditionalFormatting>
  <conditionalFormatting sqref="AB34">
    <cfRule type="cellIs" dxfId="38100" priority="54815" stopIfTrue="1" operator="greaterThanOrEqual">
      <formula>0.5</formula>
    </cfRule>
  </conditionalFormatting>
  <conditionalFormatting sqref="AB35">
    <cfRule type="cellIs" dxfId="38099" priority="54816" stopIfTrue="1" operator="equal">
      <formula>-1</formula>
    </cfRule>
  </conditionalFormatting>
  <conditionalFormatting sqref="AB35">
    <cfRule type="cellIs" dxfId="38098" priority="54817" stopIfTrue="1" operator="lessThan">
      <formula>0.5</formula>
    </cfRule>
  </conditionalFormatting>
  <conditionalFormatting sqref="AB35">
    <cfRule type="cellIs" dxfId="38097" priority="54818" stopIfTrue="1" operator="greaterThanOrEqual">
      <formula>0.5</formula>
    </cfRule>
  </conditionalFormatting>
  <conditionalFormatting sqref="AB36">
    <cfRule type="cellIs" dxfId="38096" priority="54819" stopIfTrue="1" operator="equal">
      <formula>-1</formula>
    </cfRule>
  </conditionalFormatting>
  <conditionalFormatting sqref="AB36">
    <cfRule type="cellIs" dxfId="38095" priority="54820" stopIfTrue="1" operator="lessThan">
      <formula>0.5</formula>
    </cfRule>
  </conditionalFormatting>
  <conditionalFormatting sqref="AB36">
    <cfRule type="cellIs" dxfId="38094" priority="54821" stopIfTrue="1" operator="greaterThanOrEqual">
      <formula>0.5</formula>
    </cfRule>
  </conditionalFormatting>
  <conditionalFormatting sqref="AB37">
    <cfRule type="cellIs" dxfId="38093" priority="54822" stopIfTrue="1" operator="equal">
      <formula>-1</formula>
    </cfRule>
  </conditionalFormatting>
  <conditionalFormatting sqref="AB37">
    <cfRule type="cellIs" dxfId="38092" priority="54823" stopIfTrue="1" operator="lessThan">
      <formula>0.5</formula>
    </cfRule>
  </conditionalFormatting>
  <conditionalFormatting sqref="AB37">
    <cfRule type="cellIs" dxfId="38091" priority="54824" stopIfTrue="1" operator="greaterThanOrEqual">
      <formula>0.5</formula>
    </cfRule>
  </conditionalFormatting>
  <conditionalFormatting sqref="AD17">
    <cfRule type="cellIs" dxfId="38090" priority="54825" stopIfTrue="1" operator="equal">
      <formula>-1</formula>
    </cfRule>
  </conditionalFormatting>
  <conditionalFormatting sqref="AD17">
    <cfRule type="cellIs" dxfId="38089" priority="54826" stopIfTrue="1" operator="lessThan">
      <formula>0.5</formula>
    </cfRule>
  </conditionalFormatting>
  <conditionalFormatting sqref="AD17">
    <cfRule type="cellIs" dxfId="38088" priority="54827" stopIfTrue="1" operator="greaterThanOrEqual">
      <formula>0.5</formula>
    </cfRule>
  </conditionalFormatting>
  <conditionalFormatting sqref="AD18">
    <cfRule type="cellIs" dxfId="38087" priority="54828" stopIfTrue="1" operator="equal">
      <formula>-1</formula>
    </cfRule>
  </conditionalFormatting>
  <conditionalFormatting sqref="AD18">
    <cfRule type="cellIs" dxfId="38086" priority="54829" stopIfTrue="1" operator="lessThan">
      <formula>0.5</formula>
    </cfRule>
  </conditionalFormatting>
  <conditionalFormatting sqref="AD18">
    <cfRule type="cellIs" dxfId="38085" priority="54830" stopIfTrue="1" operator="greaterThanOrEqual">
      <formula>0.5</formula>
    </cfRule>
  </conditionalFormatting>
  <conditionalFormatting sqref="AD19">
    <cfRule type="cellIs" dxfId="38084" priority="54831" stopIfTrue="1" operator="equal">
      <formula>-1</formula>
    </cfRule>
  </conditionalFormatting>
  <conditionalFormatting sqref="AD19">
    <cfRule type="cellIs" dxfId="38083" priority="54832" stopIfTrue="1" operator="lessThan">
      <formula>0.5</formula>
    </cfRule>
  </conditionalFormatting>
  <conditionalFormatting sqref="AD19">
    <cfRule type="cellIs" dxfId="38082" priority="54833" stopIfTrue="1" operator="greaterThanOrEqual">
      <formula>0.5</formula>
    </cfRule>
  </conditionalFormatting>
  <conditionalFormatting sqref="AD20">
    <cfRule type="cellIs" dxfId="38081" priority="54834" stopIfTrue="1" operator="equal">
      <formula>-1</formula>
    </cfRule>
  </conditionalFormatting>
  <conditionalFormatting sqref="AD20">
    <cfRule type="cellIs" dxfId="38080" priority="54835" stopIfTrue="1" operator="lessThan">
      <formula>0.5</formula>
    </cfRule>
  </conditionalFormatting>
  <conditionalFormatting sqref="AD20">
    <cfRule type="cellIs" dxfId="38079" priority="54836" stopIfTrue="1" operator="greaterThanOrEqual">
      <formula>0.5</formula>
    </cfRule>
  </conditionalFormatting>
  <conditionalFormatting sqref="AD21">
    <cfRule type="cellIs" dxfId="38078" priority="54837" stopIfTrue="1" operator="equal">
      <formula>-1</formula>
    </cfRule>
  </conditionalFormatting>
  <conditionalFormatting sqref="AD21">
    <cfRule type="cellIs" dxfId="38077" priority="54838" stopIfTrue="1" operator="lessThan">
      <formula>0.5</formula>
    </cfRule>
  </conditionalFormatting>
  <conditionalFormatting sqref="AD21">
    <cfRule type="cellIs" dxfId="38076" priority="54839" stopIfTrue="1" operator="greaterThanOrEqual">
      <formula>0.5</formula>
    </cfRule>
  </conditionalFormatting>
  <conditionalFormatting sqref="AD22">
    <cfRule type="cellIs" dxfId="38075" priority="54840" stopIfTrue="1" operator="equal">
      <formula>-1</formula>
    </cfRule>
  </conditionalFormatting>
  <conditionalFormatting sqref="AD22">
    <cfRule type="cellIs" dxfId="38074" priority="54841" stopIfTrue="1" operator="lessThan">
      <formula>0.5</formula>
    </cfRule>
  </conditionalFormatting>
  <conditionalFormatting sqref="AD22">
    <cfRule type="cellIs" dxfId="38073" priority="54842" stopIfTrue="1" operator="greaterThanOrEqual">
      <formula>0.5</formula>
    </cfRule>
  </conditionalFormatting>
  <conditionalFormatting sqref="AD23">
    <cfRule type="cellIs" dxfId="38072" priority="54843" stopIfTrue="1" operator="equal">
      <formula>-1</formula>
    </cfRule>
  </conditionalFormatting>
  <conditionalFormatting sqref="AD23">
    <cfRule type="cellIs" dxfId="38071" priority="54844" stopIfTrue="1" operator="lessThan">
      <formula>0.5</formula>
    </cfRule>
  </conditionalFormatting>
  <conditionalFormatting sqref="AD23">
    <cfRule type="cellIs" dxfId="38070" priority="54845" stopIfTrue="1" operator="greaterThanOrEqual">
      <formula>0.5</formula>
    </cfRule>
  </conditionalFormatting>
  <conditionalFormatting sqref="AD24">
    <cfRule type="cellIs" dxfId="38069" priority="54846" stopIfTrue="1" operator="equal">
      <formula>-1</formula>
    </cfRule>
  </conditionalFormatting>
  <conditionalFormatting sqref="AD24">
    <cfRule type="cellIs" dxfId="38068" priority="54847" stopIfTrue="1" operator="lessThan">
      <formula>0.5</formula>
    </cfRule>
  </conditionalFormatting>
  <conditionalFormatting sqref="AD24">
    <cfRule type="cellIs" dxfId="38067" priority="54848" stopIfTrue="1" operator="greaterThanOrEqual">
      <formula>0.5</formula>
    </cfRule>
  </conditionalFormatting>
  <conditionalFormatting sqref="AD25">
    <cfRule type="cellIs" dxfId="38066" priority="54849" stopIfTrue="1" operator="equal">
      <formula>-1</formula>
    </cfRule>
  </conditionalFormatting>
  <conditionalFormatting sqref="AD25">
    <cfRule type="cellIs" dxfId="38065" priority="54850" stopIfTrue="1" operator="lessThan">
      <formula>0.5</formula>
    </cfRule>
  </conditionalFormatting>
  <conditionalFormatting sqref="AD25">
    <cfRule type="cellIs" dxfId="38064" priority="54851" stopIfTrue="1" operator="greaterThanOrEqual">
      <formula>0.5</formula>
    </cfRule>
  </conditionalFormatting>
  <conditionalFormatting sqref="AD26">
    <cfRule type="cellIs" dxfId="38063" priority="54852" stopIfTrue="1" operator="equal">
      <formula>-1</formula>
    </cfRule>
  </conditionalFormatting>
  <conditionalFormatting sqref="AD26">
    <cfRule type="cellIs" dxfId="38062" priority="54853" stopIfTrue="1" operator="lessThan">
      <formula>0.5</formula>
    </cfRule>
  </conditionalFormatting>
  <conditionalFormatting sqref="AD26">
    <cfRule type="cellIs" dxfId="38061" priority="54854" stopIfTrue="1" operator="greaterThanOrEqual">
      <formula>0.5</formula>
    </cfRule>
  </conditionalFormatting>
  <conditionalFormatting sqref="AD27">
    <cfRule type="cellIs" dxfId="38060" priority="54855" stopIfTrue="1" operator="equal">
      <formula>-1</formula>
    </cfRule>
  </conditionalFormatting>
  <conditionalFormatting sqref="AD27">
    <cfRule type="cellIs" dxfId="38059" priority="54856" stopIfTrue="1" operator="lessThan">
      <formula>0.5</formula>
    </cfRule>
  </conditionalFormatting>
  <conditionalFormatting sqref="AD27">
    <cfRule type="cellIs" dxfId="38058" priority="54857" stopIfTrue="1" operator="greaterThanOrEqual">
      <formula>0.5</formula>
    </cfRule>
  </conditionalFormatting>
  <conditionalFormatting sqref="AD28">
    <cfRule type="cellIs" dxfId="38057" priority="54858" stopIfTrue="1" operator="equal">
      <formula>-1</formula>
    </cfRule>
  </conditionalFormatting>
  <conditionalFormatting sqref="AD28">
    <cfRule type="cellIs" dxfId="38056" priority="54859" stopIfTrue="1" operator="lessThan">
      <formula>0.5</formula>
    </cfRule>
  </conditionalFormatting>
  <conditionalFormatting sqref="AD28">
    <cfRule type="cellIs" dxfId="38055" priority="54860" stopIfTrue="1" operator="greaterThanOrEqual">
      <formula>0.5</formula>
    </cfRule>
  </conditionalFormatting>
  <conditionalFormatting sqref="AD29">
    <cfRule type="cellIs" dxfId="38054" priority="54861" stopIfTrue="1" operator="equal">
      <formula>-1</formula>
    </cfRule>
  </conditionalFormatting>
  <conditionalFormatting sqref="AD29">
    <cfRule type="cellIs" dxfId="38053" priority="54862" stopIfTrue="1" operator="lessThan">
      <formula>0.5</formula>
    </cfRule>
  </conditionalFormatting>
  <conditionalFormatting sqref="AD29">
    <cfRule type="cellIs" dxfId="38052" priority="54863" stopIfTrue="1" operator="greaterThanOrEqual">
      <formula>0.5</formula>
    </cfRule>
  </conditionalFormatting>
  <conditionalFormatting sqref="AD30">
    <cfRule type="cellIs" dxfId="38051" priority="54864" stopIfTrue="1" operator="equal">
      <formula>-1</formula>
    </cfRule>
  </conditionalFormatting>
  <conditionalFormatting sqref="AD30">
    <cfRule type="cellIs" dxfId="38050" priority="54865" stopIfTrue="1" operator="lessThan">
      <formula>0.5</formula>
    </cfRule>
  </conditionalFormatting>
  <conditionalFormatting sqref="AD30">
    <cfRule type="cellIs" dxfId="38049" priority="54866" stopIfTrue="1" operator="greaterThanOrEqual">
      <formula>0.5</formula>
    </cfRule>
  </conditionalFormatting>
  <conditionalFormatting sqref="AD31">
    <cfRule type="cellIs" dxfId="38048" priority="54867" stopIfTrue="1" operator="equal">
      <formula>-1</formula>
    </cfRule>
  </conditionalFormatting>
  <conditionalFormatting sqref="AD31">
    <cfRule type="cellIs" dxfId="38047" priority="54868" stopIfTrue="1" operator="lessThan">
      <formula>0.5</formula>
    </cfRule>
  </conditionalFormatting>
  <conditionalFormatting sqref="AD31">
    <cfRule type="cellIs" dxfId="38046" priority="54869" stopIfTrue="1" operator="greaterThanOrEqual">
      <formula>0.5</formula>
    </cfRule>
  </conditionalFormatting>
  <conditionalFormatting sqref="AD32">
    <cfRule type="cellIs" dxfId="38045" priority="54870" stopIfTrue="1" operator="equal">
      <formula>-1</formula>
    </cfRule>
  </conditionalFormatting>
  <conditionalFormatting sqref="AD32">
    <cfRule type="cellIs" dxfId="38044" priority="54871" stopIfTrue="1" operator="lessThan">
      <formula>0.5</formula>
    </cfRule>
  </conditionalFormatting>
  <conditionalFormatting sqref="AD32">
    <cfRule type="cellIs" dxfId="38043" priority="54872" stopIfTrue="1" operator="greaterThanOrEqual">
      <formula>0.5</formula>
    </cfRule>
  </conditionalFormatting>
  <conditionalFormatting sqref="AD33">
    <cfRule type="cellIs" dxfId="38042" priority="54873" stopIfTrue="1" operator="equal">
      <formula>-1</formula>
    </cfRule>
  </conditionalFormatting>
  <conditionalFormatting sqref="AD33">
    <cfRule type="cellIs" dxfId="38041" priority="54874" stopIfTrue="1" operator="lessThan">
      <formula>0.5</formula>
    </cfRule>
  </conditionalFormatting>
  <conditionalFormatting sqref="AD33">
    <cfRule type="cellIs" dxfId="38040" priority="54875" stopIfTrue="1" operator="greaterThanOrEqual">
      <formula>0.5</formula>
    </cfRule>
  </conditionalFormatting>
  <conditionalFormatting sqref="AD34">
    <cfRule type="cellIs" dxfId="38039" priority="54876" stopIfTrue="1" operator="equal">
      <formula>-1</formula>
    </cfRule>
  </conditionalFormatting>
  <conditionalFormatting sqref="AD34">
    <cfRule type="cellIs" dxfId="38038" priority="54877" stopIfTrue="1" operator="lessThan">
      <formula>0.5</formula>
    </cfRule>
  </conditionalFormatting>
  <conditionalFormatting sqref="AD34">
    <cfRule type="cellIs" dxfId="38037" priority="54878" stopIfTrue="1" operator="greaterThanOrEqual">
      <formula>0.5</formula>
    </cfRule>
  </conditionalFormatting>
  <conditionalFormatting sqref="AD35">
    <cfRule type="cellIs" dxfId="38036" priority="54879" stopIfTrue="1" operator="equal">
      <formula>-1</formula>
    </cfRule>
  </conditionalFormatting>
  <conditionalFormatting sqref="AD35">
    <cfRule type="cellIs" dxfId="38035" priority="54880" stopIfTrue="1" operator="lessThan">
      <formula>0.5</formula>
    </cfRule>
  </conditionalFormatting>
  <conditionalFormatting sqref="AD35">
    <cfRule type="cellIs" dxfId="38034" priority="54881" stopIfTrue="1" operator="greaterThanOrEqual">
      <formula>0.5</formula>
    </cfRule>
  </conditionalFormatting>
  <conditionalFormatting sqref="AD36">
    <cfRule type="cellIs" dxfId="38033" priority="54882" stopIfTrue="1" operator="equal">
      <formula>-1</formula>
    </cfRule>
  </conditionalFormatting>
  <conditionalFormatting sqref="AD36">
    <cfRule type="cellIs" dxfId="38032" priority="54883" stopIfTrue="1" operator="lessThan">
      <formula>0.5</formula>
    </cfRule>
  </conditionalFormatting>
  <conditionalFormatting sqref="AD36">
    <cfRule type="cellIs" dxfId="38031" priority="54884" stopIfTrue="1" operator="greaterThanOrEqual">
      <formula>0.5</formula>
    </cfRule>
  </conditionalFormatting>
  <conditionalFormatting sqref="AD37">
    <cfRule type="cellIs" dxfId="38030" priority="54885" stopIfTrue="1" operator="equal">
      <formula>-1</formula>
    </cfRule>
  </conditionalFormatting>
  <conditionalFormatting sqref="AD37">
    <cfRule type="cellIs" dxfId="38029" priority="54886" stopIfTrue="1" operator="lessThan">
      <formula>0.5</formula>
    </cfRule>
  </conditionalFormatting>
  <conditionalFormatting sqref="AD37">
    <cfRule type="cellIs" dxfId="38028" priority="54887" stopIfTrue="1" operator="greaterThanOrEqual">
      <formula>0.5</formula>
    </cfRule>
  </conditionalFormatting>
  <conditionalFormatting sqref="AF17">
    <cfRule type="cellIs" dxfId="38027" priority="54888" stopIfTrue="1" operator="equal">
      <formula>-1</formula>
    </cfRule>
  </conditionalFormatting>
  <conditionalFormatting sqref="AF17">
    <cfRule type="cellIs" dxfId="38026" priority="54889" stopIfTrue="1" operator="lessThan">
      <formula>0.5</formula>
    </cfRule>
  </conditionalFormatting>
  <conditionalFormatting sqref="AF17">
    <cfRule type="cellIs" dxfId="38025" priority="54890" stopIfTrue="1" operator="greaterThanOrEqual">
      <formula>0.5</formula>
    </cfRule>
  </conditionalFormatting>
  <conditionalFormatting sqref="AF18">
    <cfRule type="cellIs" dxfId="38024" priority="54891" stopIfTrue="1" operator="equal">
      <formula>-1</formula>
    </cfRule>
  </conditionalFormatting>
  <conditionalFormatting sqref="AF18">
    <cfRule type="cellIs" dxfId="38023" priority="54892" stopIfTrue="1" operator="lessThan">
      <formula>0.5</formula>
    </cfRule>
  </conditionalFormatting>
  <conditionalFormatting sqref="AF18">
    <cfRule type="cellIs" dxfId="38022" priority="54893" stopIfTrue="1" operator="greaterThanOrEqual">
      <formula>0.5</formula>
    </cfRule>
  </conditionalFormatting>
  <conditionalFormatting sqref="AF19">
    <cfRule type="cellIs" dxfId="38021" priority="54894" stopIfTrue="1" operator="equal">
      <formula>-1</formula>
    </cfRule>
  </conditionalFormatting>
  <conditionalFormatting sqref="AF19">
    <cfRule type="cellIs" dxfId="38020" priority="54895" stopIfTrue="1" operator="lessThan">
      <formula>0.5</formula>
    </cfRule>
  </conditionalFormatting>
  <conditionalFormatting sqref="AF19">
    <cfRule type="cellIs" dxfId="38019" priority="54896" stopIfTrue="1" operator="greaterThanOrEqual">
      <formula>0.5</formula>
    </cfRule>
  </conditionalFormatting>
  <conditionalFormatting sqref="AF20">
    <cfRule type="cellIs" dxfId="38018" priority="54897" stopIfTrue="1" operator="equal">
      <formula>-1</formula>
    </cfRule>
  </conditionalFormatting>
  <conditionalFormatting sqref="AF20">
    <cfRule type="cellIs" dxfId="38017" priority="54898" stopIfTrue="1" operator="lessThan">
      <formula>0.5</formula>
    </cfRule>
  </conditionalFormatting>
  <conditionalFormatting sqref="AF20">
    <cfRule type="cellIs" dxfId="38016" priority="54899" stopIfTrue="1" operator="greaterThanOrEqual">
      <formula>0.5</formula>
    </cfRule>
  </conditionalFormatting>
  <conditionalFormatting sqref="AF21">
    <cfRule type="cellIs" dxfId="38015" priority="54900" stopIfTrue="1" operator="equal">
      <formula>-1</formula>
    </cfRule>
  </conditionalFormatting>
  <conditionalFormatting sqref="AF21">
    <cfRule type="cellIs" dxfId="38014" priority="54901" stopIfTrue="1" operator="lessThan">
      <formula>0.5</formula>
    </cfRule>
  </conditionalFormatting>
  <conditionalFormatting sqref="AF21">
    <cfRule type="cellIs" dxfId="38013" priority="54902" stopIfTrue="1" operator="greaterThanOrEqual">
      <formula>0.5</formula>
    </cfRule>
  </conditionalFormatting>
  <conditionalFormatting sqref="AF22">
    <cfRule type="cellIs" dxfId="38012" priority="54903" stopIfTrue="1" operator="equal">
      <formula>-1</formula>
    </cfRule>
  </conditionalFormatting>
  <conditionalFormatting sqref="AF22">
    <cfRule type="cellIs" dxfId="38011" priority="54904" stopIfTrue="1" operator="lessThan">
      <formula>0.5</formula>
    </cfRule>
  </conditionalFormatting>
  <conditionalFormatting sqref="AF22">
    <cfRule type="cellIs" dxfId="38010" priority="54905" stopIfTrue="1" operator="greaterThanOrEqual">
      <formula>0.5</formula>
    </cfRule>
  </conditionalFormatting>
  <conditionalFormatting sqref="AF23">
    <cfRule type="cellIs" dxfId="38009" priority="54906" stopIfTrue="1" operator="equal">
      <formula>-1</formula>
    </cfRule>
  </conditionalFormatting>
  <conditionalFormatting sqref="AF23">
    <cfRule type="cellIs" dxfId="38008" priority="54907" stopIfTrue="1" operator="lessThan">
      <formula>0.5</formula>
    </cfRule>
  </conditionalFormatting>
  <conditionalFormatting sqref="AF23">
    <cfRule type="cellIs" dxfId="38007" priority="54908" stopIfTrue="1" operator="greaterThanOrEqual">
      <formula>0.5</formula>
    </cfRule>
  </conditionalFormatting>
  <conditionalFormatting sqref="AF24">
    <cfRule type="cellIs" dxfId="38006" priority="54909" stopIfTrue="1" operator="equal">
      <formula>-1</formula>
    </cfRule>
  </conditionalFormatting>
  <conditionalFormatting sqref="AF24">
    <cfRule type="cellIs" dxfId="38005" priority="54910" stopIfTrue="1" operator="lessThan">
      <formula>0.5</formula>
    </cfRule>
  </conditionalFormatting>
  <conditionalFormatting sqref="AF24">
    <cfRule type="cellIs" dxfId="38004" priority="54911" stopIfTrue="1" operator="greaterThanOrEqual">
      <formula>0.5</formula>
    </cfRule>
  </conditionalFormatting>
  <conditionalFormatting sqref="AF25">
    <cfRule type="cellIs" dxfId="38003" priority="54912" stopIfTrue="1" operator="equal">
      <formula>-1</formula>
    </cfRule>
  </conditionalFormatting>
  <conditionalFormatting sqref="AF25">
    <cfRule type="cellIs" dxfId="38002" priority="54913" stopIfTrue="1" operator="lessThan">
      <formula>0.5</formula>
    </cfRule>
  </conditionalFormatting>
  <conditionalFormatting sqref="AF25">
    <cfRule type="cellIs" dxfId="38001" priority="54914" stopIfTrue="1" operator="greaterThanOrEqual">
      <formula>0.5</formula>
    </cfRule>
  </conditionalFormatting>
  <conditionalFormatting sqref="AF26">
    <cfRule type="cellIs" dxfId="38000" priority="54915" stopIfTrue="1" operator="equal">
      <formula>-1</formula>
    </cfRule>
  </conditionalFormatting>
  <conditionalFormatting sqref="AF26">
    <cfRule type="cellIs" dxfId="37999" priority="54916" stopIfTrue="1" operator="lessThan">
      <formula>0.5</formula>
    </cfRule>
  </conditionalFormatting>
  <conditionalFormatting sqref="AF26">
    <cfRule type="cellIs" dxfId="37998" priority="54917" stopIfTrue="1" operator="greaterThanOrEqual">
      <formula>0.5</formula>
    </cfRule>
  </conditionalFormatting>
  <conditionalFormatting sqref="AF27">
    <cfRule type="cellIs" dxfId="37997" priority="54918" stopIfTrue="1" operator="equal">
      <formula>-1</formula>
    </cfRule>
  </conditionalFormatting>
  <conditionalFormatting sqref="AF27">
    <cfRule type="cellIs" dxfId="37996" priority="54919" stopIfTrue="1" operator="lessThan">
      <formula>0.5</formula>
    </cfRule>
  </conditionalFormatting>
  <conditionalFormatting sqref="AF27">
    <cfRule type="cellIs" dxfId="37995" priority="54920" stopIfTrue="1" operator="greaterThanOrEqual">
      <formula>0.5</formula>
    </cfRule>
  </conditionalFormatting>
  <conditionalFormatting sqref="AF28">
    <cfRule type="cellIs" dxfId="37994" priority="54921" stopIfTrue="1" operator="equal">
      <formula>-1</formula>
    </cfRule>
  </conditionalFormatting>
  <conditionalFormatting sqref="AF28">
    <cfRule type="cellIs" dxfId="37993" priority="54922" stopIfTrue="1" operator="lessThan">
      <formula>0.5</formula>
    </cfRule>
  </conditionalFormatting>
  <conditionalFormatting sqref="AF28">
    <cfRule type="cellIs" dxfId="37992" priority="54923" stopIfTrue="1" operator="greaterThanOrEqual">
      <formula>0.5</formula>
    </cfRule>
  </conditionalFormatting>
  <conditionalFormatting sqref="AF29">
    <cfRule type="cellIs" dxfId="37991" priority="54924" stopIfTrue="1" operator="equal">
      <formula>-1</formula>
    </cfRule>
  </conditionalFormatting>
  <conditionalFormatting sqref="AF29">
    <cfRule type="cellIs" dxfId="37990" priority="54925" stopIfTrue="1" operator="lessThan">
      <formula>0.5</formula>
    </cfRule>
  </conditionalFormatting>
  <conditionalFormatting sqref="AF29">
    <cfRule type="cellIs" dxfId="37989" priority="54926" stopIfTrue="1" operator="greaterThanOrEqual">
      <formula>0.5</formula>
    </cfRule>
  </conditionalFormatting>
  <conditionalFormatting sqref="AF30">
    <cfRule type="cellIs" dxfId="37988" priority="54927" stopIfTrue="1" operator="equal">
      <formula>-1</formula>
    </cfRule>
  </conditionalFormatting>
  <conditionalFormatting sqref="AF30">
    <cfRule type="cellIs" dxfId="37987" priority="54928" stopIfTrue="1" operator="lessThan">
      <formula>0.5</formula>
    </cfRule>
  </conditionalFormatting>
  <conditionalFormatting sqref="AF30">
    <cfRule type="cellIs" dxfId="37986" priority="54929" stopIfTrue="1" operator="greaterThanOrEqual">
      <formula>0.5</formula>
    </cfRule>
  </conditionalFormatting>
  <conditionalFormatting sqref="AF31">
    <cfRule type="cellIs" dxfId="37985" priority="54930" stopIfTrue="1" operator="equal">
      <formula>-1</formula>
    </cfRule>
  </conditionalFormatting>
  <conditionalFormatting sqref="AF31">
    <cfRule type="cellIs" dxfId="37984" priority="54931" stopIfTrue="1" operator="lessThan">
      <formula>0.5</formula>
    </cfRule>
  </conditionalFormatting>
  <conditionalFormatting sqref="AF31">
    <cfRule type="cellIs" dxfId="37983" priority="54932" stopIfTrue="1" operator="greaterThanOrEqual">
      <formula>0.5</formula>
    </cfRule>
  </conditionalFormatting>
  <conditionalFormatting sqref="AF32">
    <cfRule type="cellIs" dxfId="37982" priority="54933" stopIfTrue="1" operator="equal">
      <formula>-1</formula>
    </cfRule>
  </conditionalFormatting>
  <conditionalFormatting sqref="AF32">
    <cfRule type="cellIs" dxfId="37981" priority="54934" stopIfTrue="1" operator="lessThan">
      <formula>0.5</formula>
    </cfRule>
  </conditionalFormatting>
  <conditionalFormatting sqref="AF32">
    <cfRule type="cellIs" dxfId="37980" priority="54935" stopIfTrue="1" operator="greaterThanOrEqual">
      <formula>0.5</formula>
    </cfRule>
  </conditionalFormatting>
  <conditionalFormatting sqref="AF33">
    <cfRule type="cellIs" dxfId="37979" priority="54936" stopIfTrue="1" operator="equal">
      <formula>-1</formula>
    </cfRule>
  </conditionalFormatting>
  <conditionalFormatting sqref="AF33">
    <cfRule type="cellIs" dxfId="37978" priority="54937" stopIfTrue="1" operator="lessThan">
      <formula>0.5</formula>
    </cfRule>
  </conditionalFormatting>
  <conditionalFormatting sqref="AF33">
    <cfRule type="cellIs" dxfId="37977" priority="54938" stopIfTrue="1" operator="greaterThanOrEqual">
      <formula>0.5</formula>
    </cfRule>
  </conditionalFormatting>
  <conditionalFormatting sqref="AF34">
    <cfRule type="cellIs" dxfId="37976" priority="54939" stopIfTrue="1" operator="equal">
      <formula>-1</formula>
    </cfRule>
  </conditionalFormatting>
  <conditionalFormatting sqref="AF34">
    <cfRule type="cellIs" dxfId="37975" priority="54940" stopIfTrue="1" operator="lessThan">
      <formula>0.5</formula>
    </cfRule>
  </conditionalFormatting>
  <conditionalFormatting sqref="AF34">
    <cfRule type="cellIs" dxfId="37974" priority="54941" stopIfTrue="1" operator="greaterThanOrEqual">
      <formula>0.5</formula>
    </cfRule>
  </conditionalFormatting>
  <conditionalFormatting sqref="AF35">
    <cfRule type="cellIs" dxfId="37973" priority="54942" stopIfTrue="1" operator="equal">
      <formula>-1</formula>
    </cfRule>
  </conditionalFormatting>
  <conditionalFormatting sqref="AF35">
    <cfRule type="cellIs" dxfId="37972" priority="54943" stopIfTrue="1" operator="lessThan">
      <formula>0.5</formula>
    </cfRule>
  </conditionalFormatting>
  <conditionalFormatting sqref="AF35">
    <cfRule type="cellIs" dxfId="37971" priority="54944" stopIfTrue="1" operator="greaterThanOrEqual">
      <formula>0.5</formula>
    </cfRule>
  </conditionalFormatting>
  <conditionalFormatting sqref="AF36">
    <cfRule type="cellIs" dxfId="37970" priority="54945" stopIfTrue="1" operator="equal">
      <formula>-1</formula>
    </cfRule>
  </conditionalFormatting>
  <conditionalFormatting sqref="AF36">
    <cfRule type="cellIs" dxfId="37969" priority="54946" stopIfTrue="1" operator="lessThan">
      <formula>0.5</formula>
    </cfRule>
  </conditionalFormatting>
  <conditionalFormatting sqref="AF36">
    <cfRule type="cellIs" dxfId="37968" priority="54947" stopIfTrue="1" operator="greaterThanOrEqual">
      <formula>0.5</formula>
    </cfRule>
  </conditionalFormatting>
  <conditionalFormatting sqref="AF37">
    <cfRule type="cellIs" dxfId="37967" priority="54948" stopIfTrue="1" operator="equal">
      <formula>-1</formula>
    </cfRule>
  </conditionalFormatting>
  <conditionalFormatting sqref="AF37">
    <cfRule type="cellIs" dxfId="37966" priority="54949" stopIfTrue="1" operator="lessThan">
      <formula>0.5</formula>
    </cfRule>
  </conditionalFormatting>
  <conditionalFormatting sqref="AF37">
    <cfRule type="cellIs" dxfId="37965" priority="54950" stopIfTrue="1" operator="greaterThanOrEqual">
      <formula>0.5</formula>
    </cfRule>
  </conditionalFormatting>
  <conditionalFormatting sqref="AH17">
    <cfRule type="cellIs" dxfId="37964" priority="54951" stopIfTrue="1" operator="equal">
      <formula>-1</formula>
    </cfRule>
  </conditionalFormatting>
  <conditionalFormatting sqref="AH17">
    <cfRule type="cellIs" dxfId="37963" priority="54952" stopIfTrue="1" operator="lessThan">
      <formula>0.5</formula>
    </cfRule>
  </conditionalFormatting>
  <conditionalFormatting sqref="AH17">
    <cfRule type="cellIs" dxfId="37962" priority="54953" stopIfTrue="1" operator="greaterThanOrEqual">
      <formula>0.5</formula>
    </cfRule>
  </conditionalFormatting>
  <conditionalFormatting sqref="AH18">
    <cfRule type="cellIs" dxfId="37961" priority="54954" stopIfTrue="1" operator="equal">
      <formula>-1</formula>
    </cfRule>
  </conditionalFormatting>
  <conditionalFormatting sqref="AH18">
    <cfRule type="cellIs" dxfId="37960" priority="54955" stopIfTrue="1" operator="lessThan">
      <formula>0.5</formula>
    </cfRule>
  </conditionalFormatting>
  <conditionalFormatting sqref="AH18">
    <cfRule type="cellIs" dxfId="37959" priority="54956" stopIfTrue="1" operator="greaterThanOrEqual">
      <formula>0.5</formula>
    </cfRule>
  </conditionalFormatting>
  <conditionalFormatting sqref="AH19">
    <cfRule type="cellIs" dxfId="37958" priority="54957" stopIfTrue="1" operator="equal">
      <formula>-1</formula>
    </cfRule>
  </conditionalFormatting>
  <conditionalFormatting sqref="AH19">
    <cfRule type="cellIs" dxfId="37957" priority="54958" stopIfTrue="1" operator="lessThan">
      <formula>0.5</formula>
    </cfRule>
  </conditionalFormatting>
  <conditionalFormatting sqref="AH19">
    <cfRule type="cellIs" dxfId="37956" priority="54959" stopIfTrue="1" operator="greaterThanOrEqual">
      <formula>0.5</formula>
    </cfRule>
  </conditionalFormatting>
  <conditionalFormatting sqref="AH20">
    <cfRule type="cellIs" dxfId="37955" priority="54960" stopIfTrue="1" operator="equal">
      <formula>-1</formula>
    </cfRule>
  </conditionalFormatting>
  <conditionalFormatting sqref="AH20">
    <cfRule type="cellIs" dxfId="37954" priority="54961" stopIfTrue="1" operator="lessThan">
      <formula>0.5</formula>
    </cfRule>
  </conditionalFormatting>
  <conditionalFormatting sqref="AH20">
    <cfRule type="cellIs" dxfId="37953" priority="54962" stopIfTrue="1" operator="greaterThanOrEqual">
      <formula>0.5</formula>
    </cfRule>
  </conditionalFormatting>
  <conditionalFormatting sqref="AH21">
    <cfRule type="cellIs" dxfId="37952" priority="54963" stopIfTrue="1" operator="equal">
      <formula>-1</formula>
    </cfRule>
  </conditionalFormatting>
  <conditionalFormatting sqref="AH21">
    <cfRule type="cellIs" dxfId="37951" priority="54964" stopIfTrue="1" operator="lessThan">
      <formula>0.5</formula>
    </cfRule>
  </conditionalFormatting>
  <conditionalFormatting sqref="AH21">
    <cfRule type="cellIs" dxfId="37950" priority="54965" stopIfTrue="1" operator="greaterThanOrEqual">
      <formula>0.5</formula>
    </cfRule>
  </conditionalFormatting>
  <conditionalFormatting sqref="AH22">
    <cfRule type="cellIs" dxfId="37949" priority="54966" stopIfTrue="1" operator="equal">
      <formula>-1</formula>
    </cfRule>
  </conditionalFormatting>
  <conditionalFormatting sqref="AH22">
    <cfRule type="cellIs" dxfId="37948" priority="54967" stopIfTrue="1" operator="lessThan">
      <formula>0.5</formula>
    </cfRule>
  </conditionalFormatting>
  <conditionalFormatting sqref="AH22">
    <cfRule type="cellIs" dxfId="37947" priority="54968" stopIfTrue="1" operator="greaterThanOrEqual">
      <formula>0.5</formula>
    </cfRule>
  </conditionalFormatting>
  <conditionalFormatting sqref="AH23">
    <cfRule type="cellIs" dxfId="37946" priority="54969" stopIfTrue="1" operator="equal">
      <formula>-1</formula>
    </cfRule>
  </conditionalFormatting>
  <conditionalFormatting sqref="AH23">
    <cfRule type="cellIs" dxfId="37945" priority="54970" stopIfTrue="1" operator="lessThan">
      <formula>0.5</formula>
    </cfRule>
  </conditionalFormatting>
  <conditionalFormatting sqref="AH23">
    <cfRule type="cellIs" dxfId="37944" priority="54971" stopIfTrue="1" operator="greaterThanOrEqual">
      <formula>0.5</formula>
    </cfRule>
  </conditionalFormatting>
  <conditionalFormatting sqref="AH24">
    <cfRule type="cellIs" dxfId="37943" priority="54972" stopIfTrue="1" operator="equal">
      <formula>-1</formula>
    </cfRule>
  </conditionalFormatting>
  <conditionalFormatting sqref="AH24">
    <cfRule type="cellIs" dxfId="37942" priority="54973" stopIfTrue="1" operator="lessThan">
      <formula>0.5</formula>
    </cfRule>
  </conditionalFormatting>
  <conditionalFormatting sqref="AH24">
    <cfRule type="cellIs" dxfId="37941" priority="54974" stopIfTrue="1" operator="greaterThanOrEqual">
      <formula>0.5</formula>
    </cfRule>
  </conditionalFormatting>
  <conditionalFormatting sqref="AH25">
    <cfRule type="cellIs" dxfId="37940" priority="54975" stopIfTrue="1" operator="equal">
      <formula>-1</formula>
    </cfRule>
  </conditionalFormatting>
  <conditionalFormatting sqref="AH25">
    <cfRule type="cellIs" dxfId="37939" priority="54976" stopIfTrue="1" operator="lessThan">
      <formula>0.5</formula>
    </cfRule>
  </conditionalFormatting>
  <conditionalFormatting sqref="AH25">
    <cfRule type="cellIs" dxfId="37938" priority="54977" stopIfTrue="1" operator="greaterThanOrEqual">
      <formula>0.5</formula>
    </cfRule>
  </conditionalFormatting>
  <conditionalFormatting sqref="AH26">
    <cfRule type="cellIs" dxfId="37937" priority="54978" stopIfTrue="1" operator="equal">
      <formula>-1</formula>
    </cfRule>
  </conditionalFormatting>
  <conditionalFormatting sqref="AH26">
    <cfRule type="cellIs" dxfId="37936" priority="54979" stopIfTrue="1" operator="lessThan">
      <formula>0.5</formula>
    </cfRule>
  </conditionalFormatting>
  <conditionalFormatting sqref="AH26">
    <cfRule type="cellIs" dxfId="37935" priority="54980" stopIfTrue="1" operator="greaterThanOrEqual">
      <formula>0.5</formula>
    </cfRule>
  </conditionalFormatting>
  <conditionalFormatting sqref="AH27">
    <cfRule type="cellIs" dxfId="37934" priority="54981" stopIfTrue="1" operator="equal">
      <formula>-1</formula>
    </cfRule>
  </conditionalFormatting>
  <conditionalFormatting sqref="AH27">
    <cfRule type="cellIs" dxfId="37933" priority="54982" stopIfTrue="1" operator="lessThan">
      <formula>0.5</formula>
    </cfRule>
  </conditionalFormatting>
  <conditionalFormatting sqref="AH27">
    <cfRule type="cellIs" dxfId="37932" priority="54983" stopIfTrue="1" operator="greaterThanOrEqual">
      <formula>0.5</formula>
    </cfRule>
  </conditionalFormatting>
  <conditionalFormatting sqref="AH28">
    <cfRule type="cellIs" dxfId="37931" priority="54984" stopIfTrue="1" operator="equal">
      <formula>-1</formula>
    </cfRule>
  </conditionalFormatting>
  <conditionalFormatting sqref="AH28">
    <cfRule type="cellIs" dxfId="37930" priority="54985" stopIfTrue="1" operator="lessThan">
      <formula>0.5</formula>
    </cfRule>
  </conditionalFormatting>
  <conditionalFormatting sqref="AH28">
    <cfRule type="cellIs" dxfId="37929" priority="54986" stopIfTrue="1" operator="greaterThanOrEqual">
      <formula>0.5</formula>
    </cfRule>
  </conditionalFormatting>
  <conditionalFormatting sqref="AH29">
    <cfRule type="cellIs" dxfId="37928" priority="54987" stopIfTrue="1" operator="equal">
      <formula>-1</formula>
    </cfRule>
  </conditionalFormatting>
  <conditionalFormatting sqref="AH29">
    <cfRule type="cellIs" dxfId="37927" priority="54988" stopIfTrue="1" operator="lessThan">
      <formula>0.5</formula>
    </cfRule>
  </conditionalFormatting>
  <conditionalFormatting sqref="AH29">
    <cfRule type="cellIs" dxfId="37926" priority="54989" stopIfTrue="1" operator="greaterThanOrEqual">
      <formula>0.5</formula>
    </cfRule>
  </conditionalFormatting>
  <conditionalFormatting sqref="AH30">
    <cfRule type="cellIs" dxfId="37925" priority="54990" stopIfTrue="1" operator="equal">
      <formula>-1</formula>
    </cfRule>
  </conditionalFormatting>
  <conditionalFormatting sqref="AH30">
    <cfRule type="cellIs" dxfId="37924" priority="54991" stopIfTrue="1" operator="lessThan">
      <formula>0.5</formula>
    </cfRule>
  </conditionalFormatting>
  <conditionalFormatting sqref="AH30">
    <cfRule type="cellIs" dxfId="37923" priority="54992" stopIfTrue="1" operator="greaterThanOrEqual">
      <formula>0.5</formula>
    </cfRule>
  </conditionalFormatting>
  <conditionalFormatting sqref="AH31">
    <cfRule type="cellIs" dxfId="37922" priority="54993" stopIfTrue="1" operator="equal">
      <formula>-1</formula>
    </cfRule>
  </conditionalFormatting>
  <conditionalFormatting sqref="AH31">
    <cfRule type="cellIs" dxfId="37921" priority="54994" stopIfTrue="1" operator="lessThan">
      <formula>0.5</formula>
    </cfRule>
  </conditionalFormatting>
  <conditionalFormatting sqref="AH31">
    <cfRule type="cellIs" dxfId="37920" priority="54995" stopIfTrue="1" operator="greaterThanOrEqual">
      <formula>0.5</formula>
    </cfRule>
  </conditionalFormatting>
  <conditionalFormatting sqref="AH32">
    <cfRule type="cellIs" dxfId="37919" priority="54996" stopIfTrue="1" operator="equal">
      <formula>-1</formula>
    </cfRule>
  </conditionalFormatting>
  <conditionalFormatting sqref="AH32">
    <cfRule type="cellIs" dxfId="37918" priority="54997" stopIfTrue="1" operator="lessThan">
      <formula>0.5</formula>
    </cfRule>
  </conditionalFormatting>
  <conditionalFormatting sqref="AH32">
    <cfRule type="cellIs" dxfId="37917" priority="54998" stopIfTrue="1" operator="greaterThanOrEqual">
      <formula>0.5</formula>
    </cfRule>
  </conditionalFormatting>
  <conditionalFormatting sqref="AH33">
    <cfRule type="cellIs" dxfId="37916" priority="54999" stopIfTrue="1" operator="equal">
      <formula>-1</formula>
    </cfRule>
  </conditionalFormatting>
  <conditionalFormatting sqref="AH33">
    <cfRule type="cellIs" dxfId="37915" priority="55000" stopIfTrue="1" operator="lessThan">
      <formula>0.5</formula>
    </cfRule>
  </conditionalFormatting>
  <conditionalFormatting sqref="AH33">
    <cfRule type="cellIs" dxfId="37914" priority="55001" stopIfTrue="1" operator="greaterThanOrEqual">
      <formula>0.5</formula>
    </cfRule>
  </conditionalFormatting>
  <conditionalFormatting sqref="AH34">
    <cfRule type="cellIs" dxfId="37913" priority="55002" stopIfTrue="1" operator="equal">
      <formula>-1</formula>
    </cfRule>
  </conditionalFormatting>
  <conditionalFormatting sqref="AH34">
    <cfRule type="cellIs" dxfId="37912" priority="55003" stopIfTrue="1" operator="lessThan">
      <formula>0.5</formula>
    </cfRule>
  </conditionalFormatting>
  <conditionalFormatting sqref="AH34">
    <cfRule type="cellIs" dxfId="37911" priority="55004" stopIfTrue="1" operator="greaterThanOrEqual">
      <formula>0.5</formula>
    </cfRule>
  </conditionalFormatting>
  <conditionalFormatting sqref="AH35">
    <cfRule type="cellIs" dxfId="37910" priority="55005" stopIfTrue="1" operator="equal">
      <formula>-1</formula>
    </cfRule>
  </conditionalFormatting>
  <conditionalFormatting sqref="AH35">
    <cfRule type="cellIs" dxfId="37909" priority="55006" stopIfTrue="1" operator="lessThan">
      <formula>0.5</formula>
    </cfRule>
  </conditionalFormatting>
  <conditionalFormatting sqref="AH35">
    <cfRule type="cellIs" dxfId="37908" priority="55007" stopIfTrue="1" operator="greaterThanOrEqual">
      <formula>0.5</formula>
    </cfRule>
  </conditionalFormatting>
  <conditionalFormatting sqref="AH36">
    <cfRule type="cellIs" dxfId="37907" priority="55008" stopIfTrue="1" operator="equal">
      <formula>-1</formula>
    </cfRule>
  </conditionalFormatting>
  <conditionalFormatting sqref="AH36">
    <cfRule type="cellIs" dxfId="37906" priority="55009" stopIfTrue="1" operator="lessThan">
      <formula>0.5</formula>
    </cfRule>
  </conditionalFormatting>
  <conditionalFormatting sqref="AH36">
    <cfRule type="cellIs" dxfId="37905" priority="55010" stopIfTrue="1" operator="greaterThanOrEqual">
      <formula>0.5</formula>
    </cfRule>
  </conditionalFormatting>
  <conditionalFormatting sqref="AH37">
    <cfRule type="cellIs" dxfId="37904" priority="55011" stopIfTrue="1" operator="equal">
      <formula>-1</formula>
    </cfRule>
  </conditionalFormatting>
  <conditionalFormatting sqref="AH37">
    <cfRule type="cellIs" dxfId="37903" priority="55012" stopIfTrue="1" operator="lessThan">
      <formula>0.5</formula>
    </cfRule>
  </conditionalFormatting>
  <conditionalFormatting sqref="AH37">
    <cfRule type="cellIs" dxfId="37902" priority="55013" stopIfTrue="1" operator="greaterThanOrEqual">
      <formula>0.5</formula>
    </cfRule>
  </conditionalFormatting>
  <conditionalFormatting sqref="AJ17">
    <cfRule type="cellIs" dxfId="37901" priority="55014" stopIfTrue="1" operator="equal">
      <formula>-1</formula>
    </cfRule>
  </conditionalFormatting>
  <conditionalFormatting sqref="AJ17">
    <cfRule type="cellIs" dxfId="37900" priority="55015" stopIfTrue="1" operator="lessThan">
      <formula>0.5</formula>
    </cfRule>
  </conditionalFormatting>
  <conditionalFormatting sqref="AJ17">
    <cfRule type="cellIs" dxfId="37899" priority="55016" stopIfTrue="1" operator="greaterThanOrEqual">
      <formula>0.5</formula>
    </cfRule>
  </conditionalFormatting>
  <conditionalFormatting sqref="AJ18">
    <cfRule type="cellIs" dxfId="37898" priority="55017" stopIfTrue="1" operator="equal">
      <formula>-1</formula>
    </cfRule>
  </conditionalFormatting>
  <conditionalFormatting sqref="AJ18">
    <cfRule type="cellIs" dxfId="37897" priority="55018" stopIfTrue="1" operator="lessThan">
      <formula>0.5</formula>
    </cfRule>
  </conditionalFormatting>
  <conditionalFormatting sqref="AJ18">
    <cfRule type="cellIs" dxfId="37896" priority="55019" stopIfTrue="1" operator="greaterThanOrEqual">
      <formula>0.5</formula>
    </cfRule>
  </conditionalFormatting>
  <conditionalFormatting sqref="AJ19">
    <cfRule type="cellIs" dxfId="37895" priority="55020" stopIfTrue="1" operator="equal">
      <formula>-1</formula>
    </cfRule>
  </conditionalFormatting>
  <conditionalFormatting sqref="AJ19">
    <cfRule type="cellIs" dxfId="37894" priority="55021" stopIfTrue="1" operator="lessThan">
      <formula>0.5</formula>
    </cfRule>
  </conditionalFormatting>
  <conditionalFormatting sqref="AJ19">
    <cfRule type="cellIs" dxfId="37893" priority="55022" stopIfTrue="1" operator="greaterThanOrEqual">
      <formula>0.5</formula>
    </cfRule>
  </conditionalFormatting>
  <conditionalFormatting sqref="AJ20">
    <cfRule type="cellIs" dxfId="37892" priority="55023" stopIfTrue="1" operator="equal">
      <formula>-1</formula>
    </cfRule>
  </conditionalFormatting>
  <conditionalFormatting sqref="AJ20">
    <cfRule type="cellIs" dxfId="37891" priority="55024" stopIfTrue="1" operator="lessThan">
      <formula>0.5</formula>
    </cfRule>
  </conditionalFormatting>
  <conditionalFormatting sqref="AJ20">
    <cfRule type="cellIs" dxfId="37890" priority="55025" stopIfTrue="1" operator="greaterThanOrEqual">
      <formula>0.5</formula>
    </cfRule>
  </conditionalFormatting>
  <conditionalFormatting sqref="AJ21">
    <cfRule type="cellIs" dxfId="37889" priority="55026" stopIfTrue="1" operator="equal">
      <formula>-1</formula>
    </cfRule>
  </conditionalFormatting>
  <conditionalFormatting sqref="AJ21">
    <cfRule type="cellIs" dxfId="37888" priority="55027" stopIfTrue="1" operator="lessThan">
      <formula>0.5</formula>
    </cfRule>
  </conditionalFormatting>
  <conditionalFormatting sqref="AJ21">
    <cfRule type="cellIs" dxfId="37887" priority="55028" stopIfTrue="1" operator="greaterThanOrEqual">
      <formula>0.5</formula>
    </cfRule>
  </conditionalFormatting>
  <conditionalFormatting sqref="AJ22">
    <cfRule type="cellIs" dxfId="37886" priority="55029" stopIfTrue="1" operator="equal">
      <formula>-1</formula>
    </cfRule>
  </conditionalFormatting>
  <conditionalFormatting sqref="AJ22">
    <cfRule type="cellIs" dxfId="37885" priority="55030" stopIfTrue="1" operator="lessThan">
      <formula>0.5</formula>
    </cfRule>
  </conditionalFormatting>
  <conditionalFormatting sqref="AJ22">
    <cfRule type="cellIs" dxfId="37884" priority="55031" stopIfTrue="1" operator="greaterThanOrEqual">
      <formula>0.5</formula>
    </cfRule>
  </conditionalFormatting>
  <conditionalFormatting sqref="AJ23">
    <cfRule type="cellIs" dxfId="37883" priority="55032" stopIfTrue="1" operator="equal">
      <formula>-1</formula>
    </cfRule>
  </conditionalFormatting>
  <conditionalFormatting sqref="AJ23">
    <cfRule type="cellIs" dxfId="37882" priority="55033" stopIfTrue="1" operator="lessThan">
      <formula>0.5</formula>
    </cfRule>
  </conditionalFormatting>
  <conditionalFormatting sqref="AJ23">
    <cfRule type="cellIs" dxfId="37881" priority="55034" stopIfTrue="1" operator="greaterThanOrEqual">
      <formula>0.5</formula>
    </cfRule>
  </conditionalFormatting>
  <conditionalFormatting sqref="AJ24">
    <cfRule type="cellIs" dxfId="37880" priority="55035" stopIfTrue="1" operator="equal">
      <formula>-1</formula>
    </cfRule>
  </conditionalFormatting>
  <conditionalFormatting sqref="AJ24">
    <cfRule type="cellIs" dxfId="37879" priority="55036" stopIfTrue="1" operator="lessThan">
      <formula>0.5</formula>
    </cfRule>
  </conditionalFormatting>
  <conditionalFormatting sqref="AJ24">
    <cfRule type="cellIs" dxfId="37878" priority="55037" stopIfTrue="1" operator="greaterThanOrEqual">
      <formula>0.5</formula>
    </cfRule>
  </conditionalFormatting>
  <conditionalFormatting sqref="AJ25">
    <cfRule type="cellIs" dxfId="37877" priority="55038" stopIfTrue="1" operator="equal">
      <formula>-1</formula>
    </cfRule>
  </conditionalFormatting>
  <conditionalFormatting sqref="AJ25">
    <cfRule type="cellIs" dxfId="37876" priority="55039" stopIfTrue="1" operator="lessThan">
      <formula>0.5</formula>
    </cfRule>
  </conditionalFormatting>
  <conditionalFormatting sqref="AJ25">
    <cfRule type="cellIs" dxfId="37875" priority="55040" stopIfTrue="1" operator="greaterThanOrEqual">
      <formula>0.5</formula>
    </cfRule>
  </conditionalFormatting>
  <conditionalFormatting sqref="AJ26">
    <cfRule type="cellIs" dxfId="37874" priority="55041" stopIfTrue="1" operator="equal">
      <formula>-1</formula>
    </cfRule>
  </conditionalFormatting>
  <conditionalFormatting sqref="AJ26">
    <cfRule type="cellIs" dxfId="37873" priority="55042" stopIfTrue="1" operator="lessThan">
      <formula>0.5</formula>
    </cfRule>
  </conditionalFormatting>
  <conditionalFormatting sqref="AJ26">
    <cfRule type="cellIs" dxfId="37872" priority="55043" stopIfTrue="1" operator="greaterThanOrEqual">
      <formula>0.5</formula>
    </cfRule>
  </conditionalFormatting>
  <conditionalFormatting sqref="AJ27">
    <cfRule type="cellIs" dxfId="37871" priority="55044" stopIfTrue="1" operator="equal">
      <formula>-1</formula>
    </cfRule>
  </conditionalFormatting>
  <conditionalFormatting sqref="AJ27">
    <cfRule type="cellIs" dxfId="37870" priority="55045" stopIfTrue="1" operator="lessThan">
      <formula>0.5</formula>
    </cfRule>
  </conditionalFormatting>
  <conditionalFormatting sqref="AJ27">
    <cfRule type="cellIs" dxfId="37869" priority="55046" stopIfTrue="1" operator="greaterThanOrEqual">
      <formula>0.5</formula>
    </cfRule>
  </conditionalFormatting>
  <conditionalFormatting sqref="AJ28">
    <cfRule type="cellIs" dxfId="37868" priority="55047" stopIfTrue="1" operator="equal">
      <formula>-1</formula>
    </cfRule>
  </conditionalFormatting>
  <conditionalFormatting sqref="AJ28">
    <cfRule type="cellIs" dxfId="37867" priority="55048" stopIfTrue="1" operator="lessThan">
      <formula>0.5</formula>
    </cfRule>
  </conditionalFormatting>
  <conditionalFormatting sqref="AJ28">
    <cfRule type="cellIs" dxfId="37866" priority="55049" stopIfTrue="1" operator="greaterThanOrEqual">
      <formula>0.5</formula>
    </cfRule>
  </conditionalFormatting>
  <conditionalFormatting sqref="AJ29">
    <cfRule type="cellIs" dxfId="37865" priority="55050" stopIfTrue="1" operator="equal">
      <formula>-1</formula>
    </cfRule>
  </conditionalFormatting>
  <conditionalFormatting sqref="AJ29">
    <cfRule type="cellIs" dxfId="37864" priority="55051" stopIfTrue="1" operator="lessThan">
      <formula>0.5</formula>
    </cfRule>
  </conditionalFormatting>
  <conditionalFormatting sqref="AJ29">
    <cfRule type="cellIs" dxfId="37863" priority="55052" stopIfTrue="1" operator="greaterThanOrEqual">
      <formula>0.5</formula>
    </cfRule>
  </conditionalFormatting>
  <conditionalFormatting sqref="AJ30">
    <cfRule type="cellIs" dxfId="37862" priority="55053" stopIfTrue="1" operator="equal">
      <formula>-1</formula>
    </cfRule>
  </conditionalFormatting>
  <conditionalFormatting sqref="AJ30">
    <cfRule type="cellIs" dxfId="37861" priority="55054" stopIfTrue="1" operator="lessThan">
      <formula>0.5</formula>
    </cfRule>
  </conditionalFormatting>
  <conditionalFormatting sqref="AJ30">
    <cfRule type="cellIs" dxfId="37860" priority="55055" stopIfTrue="1" operator="greaterThanOrEqual">
      <formula>0.5</formula>
    </cfRule>
  </conditionalFormatting>
  <conditionalFormatting sqref="AJ31">
    <cfRule type="cellIs" dxfId="37859" priority="55056" stopIfTrue="1" operator="equal">
      <formula>-1</formula>
    </cfRule>
  </conditionalFormatting>
  <conditionalFormatting sqref="AJ31">
    <cfRule type="cellIs" dxfId="37858" priority="55057" stopIfTrue="1" operator="lessThan">
      <formula>0.5</formula>
    </cfRule>
  </conditionalFormatting>
  <conditionalFormatting sqref="AJ31">
    <cfRule type="cellIs" dxfId="37857" priority="55058" stopIfTrue="1" operator="greaterThanOrEqual">
      <formula>0.5</formula>
    </cfRule>
  </conditionalFormatting>
  <conditionalFormatting sqref="AJ32">
    <cfRule type="cellIs" dxfId="37856" priority="55059" stopIfTrue="1" operator="equal">
      <formula>-1</formula>
    </cfRule>
  </conditionalFormatting>
  <conditionalFormatting sqref="AJ32">
    <cfRule type="cellIs" dxfId="37855" priority="55060" stopIfTrue="1" operator="lessThan">
      <formula>0.5</formula>
    </cfRule>
  </conditionalFormatting>
  <conditionalFormatting sqref="AJ32">
    <cfRule type="cellIs" dxfId="37854" priority="55061" stopIfTrue="1" operator="greaterThanOrEqual">
      <formula>0.5</formula>
    </cfRule>
  </conditionalFormatting>
  <conditionalFormatting sqref="AJ33">
    <cfRule type="cellIs" dxfId="37853" priority="55062" stopIfTrue="1" operator="equal">
      <formula>-1</formula>
    </cfRule>
  </conditionalFormatting>
  <conditionalFormatting sqref="AJ33">
    <cfRule type="cellIs" dxfId="37852" priority="55063" stopIfTrue="1" operator="lessThan">
      <formula>0.5</formula>
    </cfRule>
  </conditionalFormatting>
  <conditionalFormatting sqref="AJ33">
    <cfRule type="cellIs" dxfId="37851" priority="55064" stopIfTrue="1" operator="greaterThanOrEqual">
      <formula>0.5</formula>
    </cfRule>
  </conditionalFormatting>
  <conditionalFormatting sqref="AJ34">
    <cfRule type="cellIs" dxfId="37850" priority="55065" stopIfTrue="1" operator="equal">
      <formula>-1</formula>
    </cfRule>
  </conditionalFormatting>
  <conditionalFormatting sqref="AJ34">
    <cfRule type="cellIs" dxfId="37849" priority="55066" stopIfTrue="1" operator="lessThan">
      <formula>0.5</formula>
    </cfRule>
  </conditionalFormatting>
  <conditionalFormatting sqref="AJ34">
    <cfRule type="cellIs" dxfId="37848" priority="55067" stopIfTrue="1" operator="greaterThanOrEqual">
      <formula>0.5</formula>
    </cfRule>
  </conditionalFormatting>
  <conditionalFormatting sqref="AJ35">
    <cfRule type="cellIs" dxfId="37847" priority="55068" stopIfTrue="1" operator="equal">
      <formula>-1</formula>
    </cfRule>
  </conditionalFormatting>
  <conditionalFormatting sqref="AJ35">
    <cfRule type="cellIs" dxfId="37846" priority="55069" stopIfTrue="1" operator="lessThan">
      <formula>0.5</formula>
    </cfRule>
  </conditionalFormatting>
  <conditionalFormatting sqref="AJ35">
    <cfRule type="cellIs" dxfId="37845" priority="55070" stopIfTrue="1" operator="greaterThanOrEqual">
      <formula>0.5</formula>
    </cfRule>
  </conditionalFormatting>
  <conditionalFormatting sqref="AJ36">
    <cfRule type="cellIs" dxfId="37844" priority="55071" stopIfTrue="1" operator="equal">
      <formula>-1</formula>
    </cfRule>
  </conditionalFormatting>
  <conditionalFormatting sqref="AJ36">
    <cfRule type="cellIs" dxfId="37843" priority="55072" stopIfTrue="1" operator="lessThan">
      <formula>0.5</formula>
    </cfRule>
  </conditionalFormatting>
  <conditionalFormatting sqref="AJ36">
    <cfRule type="cellIs" dxfId="37842" priority="55073" stopIfTrue="1" operator="greaterThanOrEqual">
      <formula>0.5</formula>
    </cfRule>
  </conditionalFormatting>
  <conditionalFormatting sqref="AJ37">
    <cfRule type="cellIs" dxfId="37841" priority="55074" stopIfTrue="1" operator="equal">
      <formula>-1</formula>
    </cfRule>
  </conditionalFormatting>
  <conditionalFormatting sqref="AJ37">
    <cfRule type="cellIs" dxfId="37840" priority="55075" stopIfTrue="1" operator="lessThan">
      <formula>0.5</formula>
    </cfRule>
  </conditionalFormatting>
  <conditionalFormatting sqref="AJ37">
    <cfRule type="cellIs" dxfId="37839" priority="55076" stopIfTrue="1" operator="greaterThanOrEqual">
      <formula>0.5</formula>
    </cfRule>
  </conditionalFormatting>
  <conditionalFormatting sqref="AL17">
    <cfRule type="cellIs" dxfId="37838" priority="55077" stopIfTrue="1" operator="equal">
      <formula>-1</formula>
    </cfRule>
  </conditionalFormatting>
  <conditionalFormatting sqref="AL17">
    <cfRule type="cellIs" dxfId="37837" priority="55078" stopIfTrue="1" operator="lessThan">
      <formula>0.5</formula>
    </cfRule>
  </conditionalFormatting>
  <conditionalFormatting sqref="AL17">
    <cfRule type="cellIs" dxfId="37836" priority="55079" stopIfTrue="1" operator="greaterThanOrEqual">
      <formula>0.5</formula>
    </cfRule>
  </conditionalFormatting>
  <conditionalFormatting sqref="AL18">
    <cfRule type="cellIs" dxfId="37835" priority="55080" stopIfTrue="1" operator="equal">
      <formula>-1</formula>
    </cfRule>
  </conditionalFormatting>
  <conditionalFormatting sqref="AL18">
    <cfRule type="cellIs" dxfId="37834" priority="55081" stopIfTrue="1" operator="lessThan">
      <formula>0.5</formula>
    </cfRule>
  </conditionalFormatting>
  <conditionalFormatting sqref="AL18">
    <cfRule type="cellIs" dxfId="37833" priority="55082" stopIfTrue="1" operator="greaterThanOrEqual">
      <formula>0.5</formula>
    </cfRule>
  </conditionalFormatting>
  <conditionalFormatting sqref="AL19">
    <cfRule type="cellIs" dxfId="37832" priority="55083" stopIfTrue="1" operator="equal">
      <formula>-1</formula>
    </cfRule>
  </conditionalFormatting>
  <conditionalFormatting sqref="AL19">
    <cfRule type="cellIs" dxfId="37831" priority="55084" stopIfTrue="1" operator="lessThan">
      <formula>0.5</formula>
    </cfRule>
  </conditionalFormatting>
  <conditionalFormatting sqref="AL19">
    <cfRule type="cellIs" dxfId="37830" priority="55085" stopIfTrue="1" operator="greaterThanOrEqual">
      <formula>0.5</formula>
    </cfRule>
  </conditionalFormatting>
  <conditionalFormatting sqref="AL20">
    <cfRule type="cellIs" dxfId="37829" priority="55086" stopIfTrue="1" operator="equal">
      <formula>-1</formula>
    </cfRule>
  </conditionalFormatting>
  <conditionalFormatting sqref="AL20">
    <cfRule type="cellIs" dxfId="37828" priority="55087" stopIfTrue="1" operator="lessThan">
      <formula>0.5</formula>
    </cfRule>
  </conditionalFormatting>
  <conditionalFormatting sqref="AL20">
    <cfRule type="cellIs" dxfId="37827" priority="55088" stopIfTrue="1" operator="greaterThanOrEqual">
      <formula>0.5</formula>
    </cfRule>
  </conditionalFormatting>
  <conditionalFormatting sqref="AL21">
    <cfRule type="cellIs" dxfId="37826" priority="55089" stopIfTrue="1" operator="equal">
      <formula>-1</formula>
    </cfRule>
  </conditionalFormatting>
  <conditionalFormatting sqref="AL21">
    <cfRule type="cellIs" dxfId="37825" priority="55090" stopIfTrue="1" operator="lessThan">
      <formula>0.5</formula>
    </cfRule>
  </conditionalFormatting>
  <conditionalFormatting sqref="AL21">
    <cfRule type="cellIs" dxfId="37824" priority="55091" stopIfTrue="1" operator="greaterThanOrEqual">
      <formula>0.5</formula>
    </cfRule>
  </conditionalFormatting>
  <conditionalFormatting sqref="AL22">
    <cfRule type="cellIs" dxfId="37823" priority="55092" stopIfTrue="1" operator="equal">
      <formula>-1</formula>
    </cfRule>
  </conditionalFormatting>
  <conditionalFormatting sqref="AL22">
    <cfRule type="cellIs" dxfId="37822" priority="55093" stopIfTrue="1" operator="lessThan">
      <formula>0.5</formula>
    </cfRule>
  </conditionalFormatting>
  <conditionalFormatting sqref="AL22">
    <cfRule type="cellIs" dxfId="37821" priority="55094" stopIfTrue="1" operator="greaterThanOrEqual">
      <formula>0.5</formula>
    </cfRule>
  </conditionalFormatting>
  <conditionalFormatting sqref="AL23">
    <cfRule type="cellIs" dxfId="37820" priority="55095" stopIfTrue="1" operator="equal">
      <formula>-1</formula>
    </cfRule>
  </conditionalFormatting>
  <conditionalFormatting sqref="AL23">
    <cfRule type="cellIs" dxfId="37819" priority="55096" stopIfTrue="1" operator="lessThan">
      <formula>0.5</formula>
    </cfRule>
  </conditionalFormatting>
  <conditionalFormatting sqref="AL23">
    <cfRule type="cellIs" dxfId="37818" priority="55097" stopIfTrue="1" operator="greaterThanOrEqual">
      <formula>0.5</formula>
    </cfRule>
  </conditionalFormatting>
  <conditionalFormatting sqref="AL24">
    <cfRule type="cellIs" dxfId="37817" priority="55098" stopIfTrue="1" operator="equal">
      <formula>-1</formula>
    </cfRule>
  </conditionalFormatting>
  <conditionalFormatting sqref="AL24">
    <cfRule type="cellIs" dxfId="37816" priority="55099" stopIfTrue="1" operator="lessThan">
      <formula>0.5</formula>
    </cfRule>
  </conditionalFormatting>
  <conditionalFormatting sqref="AL24">
    <cfRule type="cellIs" dxfId="37815" priority="55100" stopIfTrue="1" operator="greaterThanOrEqual">
      <formula>0.5</formula>
    </cfRule>
  </conditionalFormatting>
  <conditionalFormatting sqref="AL25">
    <cfRule type="cellIs" dxfId="37814" priority="55101" stopIfTrue="1" operator="equal">
      <formula>-1</formula>
    </cfRule>
  </conditionalFormatting>
  <conditionalFormatting sqref="AL25">
    <cfRule type="cellIs" dxfId="37813" priority="55102" stopIfTrue="1" operator="lessThan">
      <formula>0.5</formula>
    </cfRule>
  </conditionalFormatting>
  <conditionalFormatting sqref="AL25">
    <cfRule type="cellIs" dxfId="37812" priority="55103" stopIfTrue="1" operator="greaterThanOrEqual">
      <formula>0.5</formula>
    </cfRule>
  </conditionalFormatting>
  <conditionalFormatting sqref="AL26">
    <cfRule type="cellIs" dxfId="37811" priority="55104" stopIfTrue="1" operator="equal">
      <formula>-1</formula>
    </cfRule>
  </conditionalFormatting>
  <conditionalFormatting sqref="AL26">
    <cfRule type="cellIs" dxfId="37810" priority="55105" stopIfTrue="1" operator="lessThan">
      <formula>0.5</formula>
    </cfRule>
  </conditionalFormatting>
  <conditionalFormatting sqref="AL26">
    <cfRule type="cellIs" dxfId="37809" priority="55106" stopIfTrue="1" operator="greaterThanOrEqual">
      <formula>0.5</formula>
    </cfRule>
  </conditionalFormatting>
  <conditionalFormatting sqref="AL27">
    <cfRule type="cellIs" dxfId="37808" priority="55107" stopIfTrue="1" operator="equal">
      <formula>-1</formula>
    </cfRule>
  </conditionalFormatting>
  <conditionalFormatting sqref="AL27">
    <cfRule type="cellIs" dxfId="37807" priority="55108" stopIfTrue="1" operator="lessThan">
      <formula>0.5</formula>
    </cfRule>
  </conditionalFormatting>
  <conditionalFormatting sqref="AL27">
    <cfRule type="cellIs" dxfId="37806" priority="55109" stopIfTrue="1" operator="greaterThanOrEqual">
      <formula>0.5</formula>
    </cfRule>
  </conditionalFormatting>
  <conditionalFormatting sqref="AL28">
    <cfRule type="cellIs" dxfId="37805" priority="55110" stopIfTrue="1" operator="equal">
      <formula>-1</formula>
    </cfRule>
  </conditionalFormatting>
  <conditionalFormatting sqref="AL28">
    <cfRule type="cellIs" dxfId="37804" priority="55111" stopIfTrue="1" operator="lessThan">
      <formula>0.5</formula>
    </cfRule>
  </conditionalFormatting>
  <conditionalFormatting sqref="AL28">
    <cfRule type="cellIs" dxfId="37803" priority="55112" stopIfTrue="1" operator="greaterThanOrEqual">
      <formula>0.5</formula>
    </cfRule>
  </conditionalFormatting>
  <conditionalFormatting sqref="AL29">
    <cfRule type="cellIs" dxfId="37802" priority="55113" stopIfTrue="1" operator="equal">
      <formula>-1</formula>
    </cfRule>
  </conditionalFormatting>
  <conditionalFormatting sqref="AL29">
    <cfRule type="cellIs" dxfId="37801" priority="55114" stopIfTrue="1" operator="lessThan">
      <formula>0.5</formula>
    </cfRule>
  </conditionalFormatting>
  <conditionalFormatting sqref="AL29">
    <cfRule type="cellIs" dxfId="37800" priority="55115" stopIfTrue="1" operator="greaterThanOrEqual">
      <formula>0.5</formula>
    </cfRule>
  </conditionalFormatting>
  <conditionalFormatting sqref="AL30">
    <cfRule type="cellIs" dxfId="37799" priority="55116" stopIfTrue="1" operator="equal">
      <formula>-1</formula>
    </cfRule>
  </conditionalFormatting>
  <conditionalFormatting sqref="AL30">
    <cfRule type="cellIs" dxfId="37798" priority="55117" stopIfTrue="1" operator="lessThan">
      <formula>0.5</formula>
    </cfRule>
  </conditionalFormatting>
  <conditionalFormatting sqref="AL30">
    <cfRule type="cellIs" dxfId="37797" priority="55118" stopIfTrue="1" operator="greaterThanOrEqual">
      <formula>0.5</formula>
    </cfRule>
  </conditionalFormatting>
  <conditionalFormatting sqref="AL31">
    <cfRule type="cellIs" dxfId="37796" priority="55119" stopIfTrue="1" operator="equal">
      <formula>-1</formula>
    </cfRule>
  </conditionalFormatting>
  <conditionalFormatting sqref="AL31">
    <cfRule type="cellIs" dxfId="37795" priority="55120" stopIfTrue="1" operator="lessThan">
      <formula>0.5</formula>
    </cfRule>
  </conditionalFormatting>
  <conditionalFormatting sqref="AL31">
    <cfRule type="cellIs" dxfId="37794" priority="55121" stopIfTrue="1" operator="greaterThanOrEqual">
      <formula>0.5</formula>
    </cfRule>
  </conditionalFormatting>
  <conditionalFormatting sqref="AL32">
    <cfRule type="cellIs" dxfId="37793" priority="55122" stopIfTrue="1" operator="equal">
      <formula>-1</formula>
    </cfRule>
  </conditionalFormatting>
  <conditionalFormatting sqref="AL32">
    <cfRule type="cellIs" dxfId="37792" priority="55123" stopIfTrue="1" operator="lessThan">
      <formula>0.5</formula>
    </cfRule>
  </conditionalFormatting>
  <conditionalFormatting sqref="AL32">
    <cfRule type="cellIs" dxfId="37791" priority="55124" stopIfTrue="1" operator="greaterThanOrEqual">
      <formula>0.5</formula>
    </cfRule>
  </conditionalFormatting>
  <conditionalFormatting sqref="AL33">
    <cfRule type="cellIs" dxfId="37790" priority="55125" stopIfTrue="1" operator="equal">
      <formula>-1</formula>
    </cfRule>
    <cfRule type="cellIs" dxfId="37789" priority="55126" stopIfTrue="1" operator="lessThan">
      <formula>0.5</formula>
    </cfRule>
    <cfRule type="cellIs" dxfId="37788" priority="55127" stopIfTrue="1" operator="greaterThanOrEqual">
      <formula>0.5</formula>
    </cfRule>
  </conditionalFormatting>
  <conditionalFormatting sqref="AL34">
    <cfRule type="cellIs" dxfId="37787" priority="55128" stopIfTrue="1" operator="equal">
      <formula>-1</formula>
    </cfRule>
    <cfRule type="cellIs" dxfId="37786" priority="55129" stopIfTrue="1" operator="lessThan">
      <formula>0.5</formula>
    </cfRule>
    <cfRule type="cellIs" dxfId="37785" priority="55130" stopIfTrue="1" operator="greaterThanOrEqual">
      <formula>0.5</formula>
    </cfRule>
  </conditionalFormatting>
  <conditionalFormatting sqref="AL35">
    <cfRule type="cellIs" dxfId="37784" priority="55131" stopIfTrue="1" operator="equal">
      <formula>-1</formula>
    </cfRule>
    <cfRule type="cellIs" dxfId="37783" priority="55132" stopIfTrue="1" operator="lessThan">
      <formula>0.5</formula>
    </cfRule>
    <cfRule type="cellIs" dxfId="37782" priority="55133" stopIfTrue="1" operator="greaterThanOrEqual">
      <formula>0.5</formula>
    </cfRule>
  </conditionalFormatting>
  <conditionalFormatting sqref="AL36">
    <cfRule type="cellIs" dxfId="37781" priority="55134" stopIfTrue="1" operator="equal">
      <formula>-1</formula>
    </cfRule>
  </conditionalFormatting>
  <conditionalFormatting sqref="AL36">
    <cfRule type="cellIs" dxfId="37780" priority="55135" stopIfTrue="1" operator="lessThan">
      <formula>0.5</formula>
    </cfRule>
  </conditionalFormatting>
  <conditionalFormatting sqref="AL36">
    <cfRule type="cellIs" dxfId="37779" priority="55136" stopIfTrue="1" operator="greaterThanOrEqual">
      <formula>0.5</formula>
    </cfRule>
  </conditionalFormatting>
  <conditionalFormatting sqref="AL37">
    <cfRule type="cellIs" dxfId="37778" priority="55137" stopIfTrue="1" operator="equal">
      <formula>-1</formula>
    </cfRule>
  </conditionalFormatting>
  <conditionalFormatting sqref="AL37">
    <cfRule type="cellIs" dxfId="37777" priority="55138" stopIfTrue="1" operator="lessThan">
      <formula>0.5</formula>
    </cfRule>
  </conditionalFormatting>
  <conditionalFormatting sqref="AL37">
    <cfRule type="cellIs" dxfId="37776" priority="55139" stopIfTrue="1" operator="greaterThanOrEqual">
      <formula>0.5</formula>
    </cfRule>
  </conditionalFormatting>
  <conditionalFormatting sqref="AN17">
    <cfRule type="cellIs" dxfId="37775" priority="55140" stopIfTrue="1" operator="equal">
      <formula>-1</formula>
    </cfRule>
  </conditionalFormatting>
  <conditionalFormatting sqref="AN17">
    <cfRule type="cellIs" dxfId="37774" priority="55141" stopIfTrue="1" operator="lessThan">
      <formula>0.5</formula>
    </cfRule>
  </conditionalFormatting>
  <conditionalFormatting sqref="AN17">
    <cfRule type="cellIs" dxfId="37773" priority="55142" stopIfTrue="1" operator="greaterThanOrEqual">
      <formula>0.5</formula>
    </cfRule>
  </conditionalFormatting>
  <conditionalFormatting sqref="AN18">
    <cfRule type="cellIs" dxfId="37772" priority="55143" stopIfTrue="1" operator="equal">
      <formula>-1</formula>
    </cfRule>
  </conditionalFormatting>
  <conditionalFormatting sqref="AN18">
    <cfRule type="cellIs" dxfId="37771" priority="55144" stopIfTrue="1" operator="lessThan">
      <formula>0.5</formula>
    </cfRule>
  </conditionalFormatting>
  <conditionalFormatting sqref="AN18">
    <cfRule type="cellIs" dxfId="37770" priority="55145" stopIfTrue="1" operator="greaterThanOrEqual">
      <formula>0.5</formula>
    </cfRule>
  </conditionalFormatting>
  <conditionalFormatting sqref="AN19">
    <cfRule type="cellIs" dxfId="37769" priority="55146" stopIfTrue="1" operator="equal">
      <formula>-1</formula>
    </cfRule>
  </conditionalFormatting>
  <conditionalFormatting sqref="AN19">
    <cfRule type="cellIs" dxfId="37768" priority="55147" stopIfTrue="1" operator="lessThan">
      <formula>0.5</formula>
    </cfRule>
  </conditionalFormatting>
  <conditionalFormatting sqref="AN19">
    <cfRule type="cellIs" dxfId="37767" priority="55148" stopIfTrue="1" operator="greaterThanOrEqual">
      <formula>0.5</formula>
    </cfRule>
  </conditionalFormatting>
  <conditionalFormatting sqref="AN20">
    <cfRule type="cellIs" dxfId="37766" priority="55149" stopIfTrue="1" operator="equal">
      <formula>-1</formula>
    </cfRule>
  </conditionalFormatting>
  <conditionalFormatting sqref="AN20">
    <cfRule type="cellIs" dxfId="37765" priority="55150" stopIfTrue="1" operator="lessThan">
      <formula>0.5</formula>
    </cfRule>
  </conditionalFormatting>
  <conditionalFormatting sqref="AN20">
    <cfRule type="cellIs" dxfId="37764" priority="55151" stopIfTrue="1" operator="greaterThanOrEqual">
      <formula>0.5</formula>
    </cfRule>
  </conditionalFormatting>
  <conditionalFormatting sqref="AN21">
    <cfRule type="cellIs" dxfId="37763" priority="55152" stopIfTrue="1" operator="equal">
      <formula>-1</formula>
    </cfRule>
  </conditionalFormatting>
  <conditionalFormatting sqref="AN21">
    <cfRule type="cellIs" dxfId="37762" priority="55153" stopIfTrue="1" operator="lessThan">
      <formula>0.5</formula>
    </cfRule>
  </conditionalFormatting>
  <conditionalFormatting sqref="AN21">
    <cfRule type="cellIs" dxfId="37761" priority="55154" stopIfTrue="1" operator="greaterThanOrEqual">
      <formula>0.5</formula>
    </cfRule>
  </conditionalFormatting>
  <conditionalFormatting sqref="AN22">
    <cfRule type="cellIs" dxfId="37760" priority="55155" stopIfTrue="1" operator="equal">
      <formula>-1</formula>
    </cfRule>
  </conditionalFormatting>
  <conditionalFormatting sqref="AN22">
    <cfRule type="cellIs" dxfId="37759" priority="55156" stopIfTrue="1" operator="lessThan">
      <formula>0.5</formula>
    </cfRule>
  </conditionalFormatting>
  <conditionalFormatting sqref="AN22">
    <cfRule type="cellIs" dxfId="37758" priority="55157" stopIfTrue="1" operator="greaterThanOrEqual">
      <formula>0.5</formula>
    </cfRule>
  </conditionalFormatting>
  <conditionalFormatting sqref="AN23">
    <cfRule type="cellIs" dxfId="37757" priority="55158" stopIfTrue="1" operator="equal">
      <formula>-1</formula>
    </cfRule>
  </conditionalFormatting>
  <conditionalFormatting sqref="AN23">
    <cfRule type="cellIs" dxfId="37756" priority="55159" stopIfTrue="1" operator="lessThan">
      <formula>0.5</formula>
    </cfRule>
  </conditionalFormatting>
  <conditionalFormatting sqref="AN23">
    <cfRule type="cellIs" dxfId="37755" priority="55160" stopIfTrue="1" operator="greaterThanOrEqual">
      <formula>0.5</formula>
    </cfRule>
  </conditionalFormatting>
  <conditionalFormatting sqref="AN24">
    <cfRule type="cellIs" dxfId="37754" priority="55161" stopIfTrue="1" operator="equal">
      <formula>-1</formula>
    </cfRule>
  </conditionalFormatting>
  <conditionalFormatting sqref="AN24">
    <cfRule type="cellIs" dxfId="37753" priority="55162" stopIfTrue="1" operator="lessThan">
      <formula>0.5</formula>
    </cfRule>
  </conditionalFormatting>
  <conditionalFormatting sqref="AN24">
    <cfRule type="cellIs" dxfId="37752" priority="55163" stopIfTrue="1" operator="greaterThanOrEqual">
      <formula>0.5</formula>
    </cfRule>
  </conditionalFormatting>
  <conditionalFormatting sqref="AN25">
    <cfRule type="cellIs" dxfId="37751" priority="55164" stopIfTrue="1" operator="equal">
      <formula>-1</formula>
    </cfRule>
  </conditionalFormatting>
  <conditionalFormatting sqref="AN25">
    <cfRule type="cellIs" dxfId="37750" priority="55165" stopIfTrue="1" operator="lessThan">
      <formula>0.5</formula>
    </cfRule>
  </conditionalFormatting>
  <conditionalFormatting sqref="AN25">
    <cfRule type="cellIs" dxfId="37749" priority="55166" stopIfTrue="1" operator="greaterThanOrEqual">
      <formula>0.5</formula>
    </cfRule>
  </conditionalFormatting>
  <conditionalFormatting sqref="AN26">
    <cfRule type="cellIs" dxfId="37748" priority="55167" stopIfTrue="1" operator="equal">
      <formula>-1</formula>
    </cfRule>
  </conditionalFormatting>
  <conditionalFormatting sqref="AN26">
    <cfRule type="cellIs" dxfId="37747" priority="55168" stopIfTrue="1" operator="lessThan">
      <formula>0.5</formula>
    </cfRule>
  </conditionalFormatting>
  <conditionalFormatting sqref="AN26">
    <cfRule type="cellIs" dxfId="37746" priority="55169" stopIfTrue="1" operator="greaterThanOrEqual">
      <formula>0.5</formula>
    </cfRule>
  </conditionalFormatting>
  <conditionalFormatting sqref="AN27">
    <cfRule type="cellIs" dxfId="37745" priority="55170" stopIfTrue="1" operator="equal">
      <formula>-1</formula>
    </cfRule>
  </conditionalFormatting>
  <conditionalFormatting sqref="AN27">
    <cfRule type="cellIs" dxfId="37744" priority="55171" stopIfTrue="1" operator="lessThan">
      <formula>0.5</formula>
    </cfRule>
  </conditionalFormatting>
  <conditionalFormatting sqref="AN27">
    <cfRule type="cellIs" dxfId="37743" priority="55172" stopIfTrue="1" operator="greaterThanOrEqual">
      <formula>0.5</formula>
    </cfRule>
  </conditionalFormatting>
  <conditionalFormatting sqref="AN28">
    <cfRule type="cellIs" dxfId="37742" priority="55173" stopIfTrue="1" operator="equal">
      <formula>-1</formula>
    </cfRule>
  </conditionalFormatting>
  <conditionalFormatting sqref="AN28">
    <cfRule type="cellIs" dxfId="37741" priority="55174" stopIfTrue="1" operator="lessThan">
      <formula>0.5</formula>
    </cfRule>
  </conditionalFormatting>
  <conditionalFormatting sqref="AN28">
    <cfRule type="cellIs" dxfId="37740" priority="55175" stopIfTrue="1" operator="greaterThanOrEqual">
      <formula>0.5</formula>
    </cfRule>
  </conditionalFormatting>
  <conditionalFormatting sqref="AN29">
    <cfRule type="cellIs" dxfId="37739" priority="55176" stopIfTrue="1" operator="equal">
      <formula>-1</formula>
    </cfRule>
  </conditionalFormatting>
  <conditionalFormatting sqref="AN29">
    <cfRule type="cellIs" dxfId="37738" priority="55177" stopIfTrue="1" operator="lessThan">
      <formula>0.5</formula>
    </cfRule>
  </conditionalFormatting>
  <conditionalFormatting sqref="AN29">
    <cfRule type="cellIs" dxfId="37737" priority="55178" stopIfTrue="1" operator="greaterThanOrEqual">
      <formula>0.5</formula>
    </cfRule>
  </conditionalFormatting>
  <conditionalFormatting sqref="AN30">
    <cfRule type="cellIs" dxfId="37736" priority="55179" stopIfTrue="1" operator="equal">
      <formula>-1</formula>
    </cfRule>
  </conditionalFormatting>
  <conditionalFormatting sqref="AN30">
    <cfRule type="cellIs" dxfId="37735" priority="55180" stopIfTrue="1" operator="lessThan">
      <formula>0.5</formula>
    </cfRule>
  </conditionalFormatting>
  <conditionalFormatting sqref="AN30">
    <cfRule type="cellIs" dxfId="37734" priority="55181" stopIfTrue="1" operator="greaterThanOrEqual">
      <formula>0.5</formula>
    </cfRule>
  </conditionalFormatting>
  <conditionalFormatting sqref="AN31">
    <cfRule type="cellIs" dxfId="37733" priority="55182" stopIfTrue="1" operator="equal">
      <formula>-1</formula>
    </cfRule>
  </conditionalFormatting>
  <conditionalFormatting sqref="AN31">
    <cfRule type="cellIs" dxfId="37732" priority="55183" stopIfTrue="1" operator="lessThan">
      <formula>0.5</formula>
    </cfRule>
  </conditionalFormatting>
  <conditionalFormatting sqref="AN31">
    <cfRule type="cellIs" dxfId="37731" priority="55184" stopIfTrue="1" operator="greaterThanOrEqual">
      <formula>0.5</formula>
    </cfRule>
  </conditionalFormatting>
  <conditionalFormatting sqref="AN32">
    <cfRule type="cellIs" dxfId="37730" priority="55185" stopIfTrue="1" operator="equal">
      <formula>-1</formula>
    </cfRule>
  </conditionalFormatting>
  <conditionalFormatting sqref="AN32">
    <cfRule type="cellIs" dxfId="37729" priority="55186" stopIfTrue="1" operator="lessThan">
      <formula>0.5</formula>
    </cfRule>
  </conditionalFormatting>
  <conditionalFormatting sqref="AN32">
    <cfRule type="cellIs" dxfId="37728" priority="55187" stopIfTrue="1" operator="greaterThanOrEqual">
      <formula>0.5</formula>
    </cfRule>
  </conditionalFormatting>
  <conditionalFormatting sqref="AN33">
    <cfRule type="cellIs" dxfId="37727" priority="55188" stopIfTrue="1" operator="equal">
      <formula>-1</formula>
    </cfRule>
    <cfRule type="cellIs" dxfId="37726" priority="55189" stopIfTrue="1" operator="lessThan">
      <formula>0.5</formula>
    </cfRule>
    <cfRule type="cellIs" dxfId="37725" priority="55190" stopIfTrue="1" operator="greaterThanOrEqual">
      <formula>0.5</formula>
    </cfRule>
  </conditionalFormatting>
  <conditionalFormatting sqref="AN34">
    <cfRule type="cellIs" dxfId="37724" priority="55191" stopIfTrue="1" operator="equal">
      <formula>-1</formula>
    </cfRule>
    <cfRule type="cellIs" dxfId="37723" priority="55192" stopIfTrue="1" operator="lessThan">
      <formula>0.5</formula>
    </cfRule>
    <cfRule type="cellIs" dxfId="37722" priority="55193" stopIfTrue="1" operator="greaterThanOrEqual">
      <formula>0.5</formula>
    </cfRule>
  </conditionalFormatting>
  <conditionalFormatting sqref="AN35">
    <cfRule type="cellIs" dxfId="37721" priority="55194" stopIfTrue="1" operator="equal">
      <formula>-1</formula>
    </cfRule>
    <cfRule type="cellIs" dxfId="37720" priority="55195" stopIfTrue="1" operator="lessThan">
      <formula>0.5</formula>
    </cfRule>
    <cfRule type="cellIs" dxfId="37719" priority="55196" stopIfTrue="1" operator="greaterThanOrEqual">
      <formula>0.5</formula>
    </cfRule>
  </conditionalFormatting>
  <conditionalFormatting sqref="AN36">
    <cfRule type="cellIs" dxfId="37718" priority="55197" stopIfTrue="1" operator="equal">
      <formula>-1</formula>
    </cfRule>
  </conditionalFormatting>
  <conditionalFormatting sqref="AN36">
    <cfRule type="cellIs" dxfId="37717" priority="55198" stopIfTrue="1" operator="lessThan">
      <formula>0.5</formula>
    </cfRule>
  </conditionalFormatting>
  <conditionalFormatting sqref="AN36">
    <cfRule type="cellIs" dxfId="37716" priority="55199" stopIfTrue="1" operator="greaterThanOrEqual">
      <formula>0.5</formula>
    </cfRule>
  </conditionalFormatting>
  <conditionalFormatting sqref="AN37">
    <cfRule type="cellIs" dxfId="37715" priority="55200" stopIfTrue="1" operator="equal">
      <formula>-1</formula>
    </cfRule>
  </conditionalFormatting>
  <conditionalFormatting sqref="AN37">
    <cfRule type="cellIs" dxfId="37714" priority="55201" stopIfTrue="1" operator="lessThan">
      <formula>0.5</formula>
    </cfRule>
  </conditionalFormatting>
  <conditionalFormatting sqref="AN37">
    <cfRule type="cellIs" dxfId="37713" priority="55202" stopIfTrue="1" operator="greaterThanOrEqual">
      <formula>0.5</formula>
    </cfRule>
  </conditionalFormatting>
  <conditionalFormatting sqref="AP17">
    <cfRule type="cellIs" dxfId="37712" priority="55203" stopIfTrue="1" operator="equal">
      <formula>-1</formula>
    </cfRule>
  </conditionalFormatting>
  <conditionalFormatting sqref="AP17">
    <cfRule type="cellIs" dxfId="37711" priority="55204" stopIfTrue="1" operator="lessThan">
      <formula>0.5</formula>
    </cfRule>
  </conditionalFormatting>
  <conditionalFormatting sqref="AP17">
    <cfRule type="cellIs" dxfId="37710" priority="55205" stopIfTrue="1" operator="greaterThanOrEqual">
      <formula>0.5</formula>
    </cfRule>
  </conditionalFormatting>
  <conditionalFormatting sqref="AP18">
    <cfRule type="cellIs" dxfId="37709" priority="55206" stopIfTrue="1" operator="equal">
      <formula>-1</formula>
    </cfRule>
  </conditionalFormatting>
  <conditionalFormatting sqref="AP18">
    <cfRule type="cellIs" dxfId="37708" priority="55207" stopIfTrue="1" operator="lessThan">
      <formula>0.5</formula>
    </cfRule>
  </conditionalFormatting>
  <conditionalFormatting sqref="AP18">
    <cfRule type="cellIs" dxfId="37707" priority="55208" stopIfTrue="1" operator="greaterThanOrEqual">
      <formula>0.5</formula>
    </cfRule>
  </conditionalFormatting>
  <conditionalFormatting sqref="AP19">
    <cfRule type="cellIs" dxfId="37706" priority="55209" stopIfTrue="1" operator="equal">
      <formula>-1</formula>
    </cfRule>
  </conditionalFormatting>
  <conditionalFormatting sqref="AP19">
    <cfRule type="cellIs" dxfId="37705" priority="55210" stopIfTrue="1" operator="lessThan">
      <formula>0.5</formula>
    </cfRule>
  </conditionalFormatting>
  <conditionalFormatting sqref="AP19">
    <cfRule type="cellIs" dxfId="37704" priority="55211" stopIfTrue="1" operator="greaterThanOrEqual">
      <formula>0.5</formula>
    </cfRule>
  </conditionalFormatting>
  <conditionalFormatting sqref="AP20">
    <cfRule type="cellIs" dxfId="37703" priority="55212" stopIfTrue="1" operator="equal">
      <formula>-1</formula>
    </cfRule>
  </conditionalFormatting>
  <conditionalFormatting sqref="AP20">
    <cfRule type="cellIs" dxfId="37702" priority="55213" stopIfTrue="1" operator="lessThan">
      <formula>0.5</formula>
    </cfRule>
  </conditionalFormatting>
  <conditionalFormatting sqref="AP20">
    <cfRule type="cellIs" dxfId="37701" priority="55214" stopIfTrue="1" operator="greaterThanOrEqual">
      <formula>0.5</formula>
    </cfRule>
  </conditionalFormatting>
  <conditionalFormatting sqref="AP21">
    <cfRule type="cellIs" dxfId="37700" priority="55215" stopIfTrue="1" operator="equal">
      <formula>-1</formula>
    </cfRule>
  </conditionalFormatting>
  <conditionalFormatting sqref="AP21">
    <cfRule type="cellIs" dxfId="37699" priority="55216" stopIfTrue="1" operator="lessThan">
      <formula>0.5</formula>
    </cfRule>
  </conditionalFormatting>
  <conditionalFormatting sqref="AP21">
    <cfRule type="cellIs" dxfId="37698" priority="55217" stopIfTrue="1" operator="greaterThanOrEqual">
      <formula>0.5</formula>
    </cfRule>
  </conditionalFormatting>
  <conditionalFormatting sqref="AP22">
    <cfRule type="cellIs" dxfId="37697" priority="55218" stopIfTrue="1" operator="equal">
      <formula>-1</formula>
    </cfRule>
  </conditionalFormatting>
  <conditionalFormatting sqref="AP22">
    <cfRule type="cellIs" dxfId="37696" priority="55219" stopIfTrue="1" operator="lessThan">
      <formula>0.5</formula>
    </cfRule>
  </conditionalFormatting>
  <conditionalFormatting sqref="AP22">
    <cfRule type="cellIs" dxfId="37695" priority="55220" stopIfTrue="1" operator="greaterThanOrEqual">
      <formula>0.5</formula>
    </cfRule>
  </conditionalFormatting>
  <conditionalFormatting sqref="AP23">
    <cfRule type="cellIs" dxfId="37694" priority="55221" stopIfTrue="1" operator="equal">
      <formula>-1</formula>
    </cfRule>
  </conditionalFormatting>
  <conditionalFormatting sqref="AP23">
    <cfRule type="cellIs" dxfId="37693" priority="55222" stopIfTrue="1" operator="lessThan">
      <formula>0.5</formula>
    </cfRule>
  </conditionalFormatting>
  <conditionalFormatting sqref="AP23">
    <cfRule type="cellIs" dxfId="37692" priority="55223" stopIfTrue="1" operator="greaterThanOrEqual">
      <formula>0.5</formula>
    </cfRule>
  </conditionalFormatting>
  <conditionalFormatting sqref="AP24">
    <cfRule type="cellIs" dxfId="37691" priority="55224" stopIfTrue="1" operator="equal">
      <formula>-1</formula>
    </cfRule>
  </conditionalFormatting>
  <conditionalFormatting sqref="AP24">
    <cfRule type="cellIs" dxfId="37690" priority="55225" stopIfTrue="1" operator="lessThan">
      <formula>0.5</formula>
    </cfRule>
  </conditionalFormatting>
  <conditionalFormatting sqref="AP24">
    <cfRule type="cellIs" dxfId="37689" priority="55226" stopIfTrue="1" operator="greaterThanOrEqual">
      <formula>0.5</formula>
    </cfRule>
  </conditionalFormatting>
  <conditionalFormatting sqref="AP25">
    <cfRule type="cellIs" dxfId="37688" priority="55227" stopIfTrue="1" operator="equal">
      <formula>-1</formula>
    </cfRule>
  </conditionalFormatting>
  <conditionalFormatting sqref="AP25">
    <cfRule type="cellIs" dxfId="37687" priority="55228" stopIfTrue="1" operator="lessThan">
      <formula>0.5</formula>
    </cfRule>
  </conditionalFormatting>
  <conditionalFormatting sqref="AP25">
    <cfRule type="cellIs" dxfId="37686" priority="55229" stopIfTrue="1" operator="greaterThanOrEqual">
      <formula>0.5</formula>
    </cfRule>
  </conditionalFormatting>
  <conditionalFormatting sqref="AP26">
    <cfRule type="cellIs" dxfId="37685" priority="55230" stopIfTrue="1" operator="equal">
      <formula>-1</formula>
    </cfRule>
  </conditionalFormatting>
  <conditionalFormatting sqref="AP26">
    <cfRule type="cellIs" dxfId="37684" priority="55231" stopIfTrue="1" operator="lessThan">
      <formula>0.5</formula>
    </cfRule>
  </conditionalFormatting>
  <conditionalFormatting sqref="AP26">
    <cfRule type="cellIs" dxfId="37683" priority="55232" stopIfTrue="1" operator="greaterThanOrEqual">
      <formula>0.5</formula>
    </cfRule>
  </conditionalFormatting>
  <conditionalFormatting sqref="AP27">
    <cfRule type="cellIs" dxfId="37682" priority="55233" stopIfTrue="1" operator="equal">
      <formula>-1</formula>
    </cfRule>
  </conditionalFormatting>
  <conditionalFormatting sqref="AP27">
    <cfRule type="cellIs" dxfId="37681" priority="55234" stopIfTrue="1" operator="lessThan">
      <formula>0.5</formula>
    </cfRule>
  </conditionalFormatting>
  <conditionalFormatting sqref="AP27">
    <cfRule type="cellIs" dxfId="37680" priority="55235" stopIfTrue="1" operator="greaterThanOrEqual">
      <formula>0.5</formula>
    </cfRule>
  </conditionalFormatting>
  <conditionalFormatting sqref="AP28">
    <cfRule type="cellIs" dxfId="37679" priority="55236" stopIfTrue="1" operator="equal">
      <formula>-1</formula>
    </cfRule>
  </conditionalFormatting>
  <conditionalFormatting sqref="AP28">
    <cfRule type="cellIs" dxfId="37678" priority="55237" stopIfTrue="1" operator="lessThan">
      <formula>0.5</formula>
    </cfRule>
  </conditionalFormatting>
  <conditionalFormatting sqref="AP28">
    <cfRule type="cellIs" dxfId="37677" priority="55238" stopIfTrue="1" operator="greaterThanOrEqual">
      <formula>0.5</formula>
    </cfRule>
  </conditionalFormatting>
  <conditionalFormatting sqref="AP29">
    <cfRule type="cellIs" dxfId="37676" priority="55239" stopIfTrue="1" operator="equal">
      <formula>-1</formula>
    </cfRule>
  </conditionalFormatting>
  <conditionalFormatting sqref="AP29">
    <cfRule type="cellIs" dxfId="37675" priority="55240" stopIfTrue="1" operator="lessThan">
      <formula>0.5</formula>
    </cfRule>
  </conditionalFormatting>
  <conditionalFormatting sqref="AP29">
    <cfRule type="cellIs" dxfId="37674" priority="55241" stopIfTrue="1" operator="greaterThanOrEqual">
      <formula>0.5</formula>
    </cfRule>
  </conditionalFormatting>
  <conditionalFormatting sqref="AP30">
    <cfRule type="cellIs" dxfId="37673" priority="55242" stopIfTrue="1" operator="equal">
      <formula>-1</formula>
    </cfRule>
  </conditionalFormatting>
  <conditionalFormatting sqref="AP30">
    <cfRule type="cellIs" dxfId="37672" priority="55243" stopIfTrue="1" operator="lessThan">
      <formula>0.5</formula>
    </cfRule>
  </conditionalFormatting>
  <conditionalFormatting sqref="AP30">
    <cfRule type="cellIs" dxfId="37671" priority="55244" stopIfTrue="1" operator="greaterThanOrEqual">
      <formula>0.5</formula>
    </cfRule>
  </conditionalFormatting>
  <conditionalFormatting sqref="AP31">
    <cfRule type="cellIs" dxfId="37670" priority="55245" stopIfTrue="1" operator="equal">
      <formula>-1</formula>
    </cfRule>
  </conditionalFormatting>
  <conditionalFormatting sqref="AP31">
    <cfRule type="cellIs" dxfId="37669" priority="55246" stopIfTrue="1" operator="lessThan">
      <formula>0.5</formula>
    </cfRule>
  </conditionalFormatting>
  <conditionalFormatting sqref="AP31">
    <cfRule type="cellIs" dxfId="37668" priority="55247" stopIfTrue="1" operator="greaterThanOrEqual">
      <formula>0.5</formula>
    </cfRule>
  </conditionalFormatting>
  <conditionalFormatting sqref="AP32">
    <cfRule type="cellIs" dxfId="37667" priority="55248" stopIfTrue="1" operator="equal">
      <formula>-1</formula>
    </cfRule>
  </conditionalFormatting>
  <conditionalFormatting sqref="AP32">
    <cfRule type="cellIs" dxfId="37666" priority="55249" stopIfTrue="1" operator="lessThan">
      <formula>0.5</formula>
    </cfRule>
  </conditionalFormatting>
  <conditionalFormatting sqref="AP32">
    <cfRule type="cellIs" dxfId="37665" priority="55250" stopIfTrue="1" operator="greaterThanOrEqual">
      <formula>0.5</formula>
    </cfRule>
  </conditionalFormatting>
  <conditionalFormatting sqref="AP33">
    <cfRule type="cellIs" dxfId="37664" priority="55251" stopIfTrue="1" operator="equal">
      <formula>-1</formula>
    </cfRule>
    <cfRule type="cellIs" dxfId="37663" priority="55252" stopIfTrue="1" operator="lessThan">
      <formula>0.5</formula>
    </cfRule>
    <cfRule type="cellIs" dxfId="37662" priority="55253" stopIfTrue="1" operator="greaterThanOrEqual">
      <formula>0.5</formula>
    </cfRule>
  </conditionalFormatting>
  <conditionalFormatting sqref="AP34">
    <cfRule type="cellIs" dxfId="37661" priority="55254" stopIfTrue="1" operator="equal">
      <formula>-1</formula>
    </cfRule>
    <cfRule type="cellIs" dxfId="37660" priority="55255" stopIfTrue="1" operator="lessThan">
      <formula>0.5</formula>
    </cfRule>
    <cfRule type="cellIs" dxfId="37659" priority="55256" stopIfTrue="1" operator="greaterThanOrEqual">
      <formula>0.5</formula>
    </cfRule>
  </conditionalFormatting>
  <conditionalFormatting sqref="AP35">
    <cfRule type="cellIs" dxfId="37658" priority="55257" stopIfTrue="1" operator="equal">
      <formula>-1</formula>
    </cfRule>
  </conditionalFormatting>
  <conditionalFormatting sqref="AP35">
    <cfRule type="cellIs" dxfId="37657" priority="55258" stopIfTrue="1" operator="lessThan">
      <formula>0.5</formula>
    </cfRule>
  </conditionalFormatting>
  <conditionalFormatting sqref="AP35">
    <cfRule type="cellIs" dxfId="37656" priority="55259" stopIfTrue="1" operator="greaterThanOrEqual">
      <formula>0.5</formula>
    </cfRule>
  </conditionalFormatting>
  <conditionalFormatting sqref="AP36">
    <cfRule type="cellIs" dxfId="37655" priority="55260" stopIfTrue="1" operator="equal">
      <formula>-1</formula>
    </cfRule>
  </conditionalFormatting>
  <conditionalFormatting sqref="AP36">
    <cfRule type="cellIs" dxfId="37654" priority="55261" stopIfTrue="1" operator="lessThan">
      <formula>0.5</formula>
    </cfRule>
  </conditionalFormatting>
  <conditionalFormatting sqref="AP36">
    <cfRule type="cellIs" dxfId="37653" priority="55262" stopIfTrue="1" operator="greaterThanOrEqual">
      <formula>0.5</formula>
    </cfRule>
  </conditionalFormatting>
  <conditionalFormatting sqref="AP37">
    <cfRule type="cellIs" dxfId="37652" priority="55263" stopIfTrue="1" operator="equal">
      <formula>-1</formula>
    </cfRule>
  </conditionalFormatting>
  <conditionalFormatting sqref="AP37">
    <cfRule type="cellIs" dxfId="37651" priority="55264" stopIfTrue="1" operator="lessThan">
      <formula>0.5</formula>
    </cfRule>
  </conditionalFormatting>
  <conditionalFormatting sqref="AP37">
    <cfRule type="cellIs" dxfId="37650" priority="55265" stopIfTrue="1" operator="greaterThanOrEqual">
      <formula>0.5</formula>
    </cfRule>
  </conditionalFormatting>
  <conditionalFormatting sqref="AR17">
    <cfRule type="cellIs" dxfId="37649" priority="55266" stopIfTrue="1" operator="equal">
      <formula>-1</formula>
    </cfRule>
  </conditionalFormatting>
  <conditionalFormatting sqref="AR17">
    <cfRule type="cellIs" dxfId="37648" priority="55267" stopIfTrue="1" operator="lessThan">
      <formula>0.5</formula>
    </cfRule>
  </conditionalFormatting>
  <conditionalFormatting sqref="AR17">
    <cfRule type="cellIs" dxfId="37647" priority="55268" stopIfTrue="1" operator="greaterThanOrEqual">
      <formula>0.5</formula>
    </cfRule>
  </conditionalFormatting>
  <conditionalFormatting sqref="AR18">
    <cfRule type="cellIs" dxfId="37646" priority="55269" stopIfTrue="1" operator="equal">
      <formula>-1</formula>
    </cfRule>
  </conditionalFormatting>
  <conditionalFormatting sqref="AR18">
    <cfRule type="cellIs" dxfId="37645" priority="55270" stopIfTrue="1" operator="lessThan">
      <formula>0.5</formula>
    </cfRule>
  </conditionalFormatting>
  <conditionalFormatting sqref="AR18">
    <cfRule type="cellIs" dxfId="37644" priority="55271" stopIfTrue="1" operator="greaterThanOrEqual">
      <formula>0.5</formula>
    </cfRule>
  </conditionalFormatting>
  <conditionalFormatting sqref="AR19">
    <cfRule type="cellIs" dxfId="37643" priority="55272" stopIfTrue="1" operator="equal">
      <formula>-1</formula>
    </cfRule>
  </conditionalFormatting>
  <conditionalFormatting sqref="AR19">
    <cfRule type="cellIs" dxfId="37642" priority="55273" stopIfTrue="1" operator="lessThan">
      <formula>0.5</formula>
    </cfRule>
  </conditionalFormatting>
  <conditionalFormatting sqref="AR19">
    <cfRule type="cellIs" dxfId="37641" priority="55274" stopIfTrue="1" operator="greaterThanOrEqual">
      <formula>0.5</formula>
    </cfRule>
  </conditionalFormatting>
  <conditionalFormatting sqref="AR20">
    <cfRule type="cellIs" dxfId="37640" priority="55275" stopIfTrue="1" operator="equal">
      <formula>-1</formula>
    </cfRule>
  </conditionalFormatting>
  <conditionalFormatting sqref="AR20">
    <cfRule type="cellIs" dxfId="37639" priority="55276" stopIfTrue="1" operator="lessThan">
      <formula>0.5</formula>
    </cfRule>
  </conditionalFormatting>
  <conditionalFormatting sqref="AR20">
    <cfRule type="cellIs" dxfId="37638" priority="55277" stopIfTrue="1" operator="greaterThanOrEqual">
      <formula>0.5</formula>
    </cfRule>
  </conditionalFormatting>
  <conditionalFormatting sqref="AR21">
    <cfRule type="cellIs" dxfId="37637" priority="55278" stopIfTrue="1" operator="equal">
      <formula>-1</formula>
    </cfRule>
  </conditionalFormatting>
  <conditionalFormatting sqref="AR21">
    <cfRule type="cellIs" dxfId="37636" priority="55279" stopIfTrue="1" operator="lessThan">
      <formula>0.5</formula>
    </cfRule>
  </conditionalFormatting>
  <conditionalFormatting sqref="AR21">
    <cfRule type="cellIs" dxfId="37635" priority="55280" stopIfTrue="1" operator="greaterThanOrEqual">
      <formula>0.5</formula>
    </cfRule>
  </conditionalFormatting>
  <conditionalFormatting sqref="AR22">
    <cfRule type="cellIs" dxfId="37634" priority="55281" stopIfTrue="1" operator="equal">
      <formula>-1</formula>
    </cfRule>
  </conditionalFormatting>
  <conditionalFormatting sqref="AR22">
    <cfRule type="cellIs" dxfId="37633" priority="55282" stopIfTrue="1" operator="lessThan">
      <formula>0.5</formula>
    </cfRule>
  </conditionalFormatting>
  <conditionalFormatting sqref="AR22">
    <cfRule type="cellIs" dxfId="37632" priority="55283" stopIfTrue="1" operator="greaterThanOrEqual">
      <formula>0.5</formula>
    </cfRule>
  </conditionalFormatting>
  <conditionalFormatting sqref="AR23">
    <cfRule type="cellIs" dxfId="37631" priority="55284" stopIfTrue="1" operator="equal">
      <formula>-1</formula>
    </cfRule>
  </conditionalFormatting>
  <conditionalFormatting sqref="AR23">
    <cfRule type="cellIs" dxfId="37630" priority="55285" stopIfTrue="1" operator="lessThan">
      <formula>0.5</formula>
    </cfRule>
  </conditionalFormatting>
  <conditionalFormatting sqref="AR23">
    <cfRule type="cellIs" dxfId="37629" priority="55286" stopIfTrue="1" operator="greaterThanOrEqual">
      <formula>0.5</formula>
    </cfRule>
  </conditionalFormatting>
  <conditionalFormatting sqref="AR24">
    <cfRule type="cellIs" dxfId="37628" priority="55287" stopIfTrue="1" operator="equal">
      <formula>-1</formula>
    </cfRule>
  </conditionalFormatting>
  <conditionalFormatting sqref="AR24">
    <cfRule type="cellIs" dxfId="37627" priority="55288" stopIfTrue="1" operator="lessThan">
      <formula>0.5</formula>
    </cfRule>
  </conditionalFormatting>
  <conditionalFormatting sqref="AR24">
    <cfRule type="cellIs" dxfId="37626" priority="55289" stopIfTrue="1" operator="greaterThanOrEqual">
      <formula>0.5</formula>
    </cfRule>
  </conditionalFormatting>
  <conditionalFormatting sqref="AR25">
    <cfRule type="cellIs" dxfId="37625" priority="55290" stopIfTrue="1" operator="equal">
      <formula>-1</formula>
    </cfRule>
  </conditionalFormatting>
  <conditionalFormatting sqref="AR25">
    <cfRule type="cellIs" dxfId="37624" priority="55291" stopIfTrue="1" operator="lessThan">
      <formula>0.5</formula>
    </cfRule>
  </conditionalFormatting>
  <conditionalFormatting sqref="AR25">
    <cfRule type="cellIs" dxfId="37623" priority="55292" stopIfTrue="1" operator="greaterThanOrEqual">
      <formula>0.5</formula>
    </cfRule>
  </conditionalFormatting>
  <conditionalFormatting sqref="AR26">
    <cfRule type="cellIs" dxfId="37622" priority="55293" stopIfTrue="1" operator="equal">
      <formula>-1</formula>
    </cfRule>
  </conditionalFormatting>
  <conditionalFormatting sqref="AR26">
    <cfRule type="cellIs" dxfId="37621" priority="55294" stopIfTrue="1" operator="lessThan">
      <formula>0.5</formula>
    </cfRule>
  </conditionalFormatting>
  <conditionalFormatting sqref="AR26">
    <cfRule type="cellIs" dxfId="37620" priority="55295" stopIfTrue="1" operator="greaterThanOrEqual">
      <formula>0.5</formula>
    </cfRule>
  </conditionalFormatting>
  <conditionalFormatting sqref="AR27">
    <cfRule type="cellIs" dxfId="37619" priority="55296" stopIfTrue="1" operator="equal">
      <formula>-1</formula>
    </cfRule>
  </conditionalFormatting>
  <conditionalFormatting sqref="AR27">
    <cfRule type="cellIs" dxfId="37618" priority="55297" stopIfTrue="1" operator="lessThan">
      <formula>0.5</formula>
    </cfRule>
  </conditionalFormatting>
  <conditionalFormatting sqref="AR27">
    <cfRule type="cellIs" dxfId="37617" priority="55298" stopIfTrue="1" operator="greaterThanOrEqual">
      <formula>0.5</formula>
    </cfRule>
  </conditionalFormatting>
  <conditionalFormatting sqref="AR28">
    <cfRule type="cellIs" dxfId="37616" priority="55299" stopIfTrue="1" operator="equal">
      <formula>-1</formula>
    </cfRule>
  </conditionalFormatting>
  <conditionalFormatting sqref="AR28">
    <cfRule type="cellIs" dxfId="37615" priority="55300" stopIfTrue="1" operator="lessThan">
      <formula>0.5</formula>
    </cfRule>
  </conditionalFormatting>
  <conditionalFormatting sqref="AR28">
    <cfRule type="cellIs" dxfId="37614" priority="55301" stopIfTrue="1" operator="greaterThanOrEqual">
      <formula>0.5</formula>
    </cfRule>
  </conditionalFormatting>
  <conditionalFormatting sqref="AR29">
    <cfRule type="cellIs" dxfId="37613" priority="55302" stopIfTrue="1" operator="equal">
      <formula>-1</formula>
    </cfRule>
  </conditionalFormatting>
  <conditionalFormatting sqref="AR29">
    <cfRule type="cellIs" dxfId="37612" priority="55303" stopIfTrue="1" operator="lessThan">
      <formula>0.5</formula>
    </cfRule>
  </conditionalFormatting>
  <conditionalFormatting sqref="AR29">
    <cfRule type="cellIs" dxfId="37611" priority="55304" stopIfTrue="1" operator="greaterThanOrEqual">
      <formula>0.5</formula>
    </cfRule>
  </conditionalFormatting>
  <conditionalFormatting sqref="AR30">
    <cfRule type="cellIs" dxfId="37610" priority="55305" stopIfTrue="1" operator="equal">
      <formula>-1</formula>
    </cfRule>
  </conditionalFormatting>
  <conditionalFormatting sqref="AR30">
    <cfRule type="cellIs" dxfId="37609" priority="55306" stopIfTrue="1" operator="lessThan">
      <formula>0.5</formula>
    </cfRule>
  </conditionalFormatting>
  <conditionalFormatting sqref="AR30">
    <cfRule type="cellIs" dxfId="37608" priority="55307" stopIfTrue="1" operator="greaterThanOrEqual">
      <formula>0.5</formula>
    </cfRule>
  </conditionalFormatting>
  <conditionalFormatting sqref="AR31">
    <cfRule type="cellIs" dxfId="37607" priority="55308" stopIfTrue="1" operator="equal">
      <formula>-1</formula>
    </cfRule>
  </conditionalFormatting>
  <conditionalFormatting sqref="AR31">
    <cfRule type="cellIs" dxfId="37606" priority="55309" stopIfTrue="1" operator="lessThan">
      <formula>0.5</formula>
    </cfRule>
  </conditionalFormatting>
  <conditionalFormatting sqref="AR31">
    <cfRule type="cellIs" dxfId="37605" priority="55310" stopIfTrue="1" operator="greaterThanOrEqual">
      <formula>0.5</formula>
    </cfRule>
  </conditionalFormatting>
  <conditionalFormatting sqref="AR32">
    <cfRule type="cellIs" dxfId="37604" priority="55311" stopIfTrue="1" operator="equal">
      <formula>-1</formula>
    </cfRule>
  </conditionalFormatting>
  <conditionalFormatting sqref="AR32">
    <cfRule type="cellIs" dxfId="37603" priority="55312" stopIfTrue="1" operator="lessThan">
      <formula>0.5</formula>
    </cfRule>
  </conditionalFormatting>
  <conditionalFormatting sqref="AR32">
    <cfRule type="cellIs" dxfId="37602" priority="55313" stopIfTrue="1" operator="greaterThanOrEqual">
      <formula>0.5</formula>
    </cfRule>
  </conditionalFormatting>
  <conditionalFormatting sqref="AR33">
    <cfRule type="cellIs" dxfId="37601" priority="55314" stopIfTrue="1" operator="equal">
      <formula>-1</formula>
    </cfRule>
  </conditionalFormatting>
  <conditionalFormatting sqref="AR33">
    <cfRule type="cellIs" dxfId="37600" priority="55315" stopIfTrue="1" operator="lessThan">
      <formula>0.5</formula>
    </cfRule>
  </conditionalFormatting>
  <conditionalFormatting sqref="AR33">
    <cfRule type="cellIs" dxfId="37599" priority="55316" stopIfTrue="1" operator="greaterThanOrEqual">
      <formula>0.5</formula>
    </cfRule>
  </conditionalFormatting>
  <conditionalFormatting sqref="AR34">
    <cfRule type="cellIs" dxfId="37598" priority="55317" stopIfTrue="1" operator="equal">
      <formula>-1</formula>
    </cfRule>
  </conditionalFormatting>
  <conditionalFormatting sqref="AR34">
    <cfRule type="cellIs" dxfId="37597" priority="55318" stopIfTrue="1" operator="lessThan">
      <formula>0.5</formula>
    </cfRule>
  </conditionalFormatting>
  <conditionalFormatting sqref="AR34">
    <cfRule type="cellIs" dxfId="37596" priority="55319" stopIfTrue="1" operator="greaterThanOrEqual">
      <formula>0.5</formula>
    </cfRule>
  </conditionalFormatting>
  <conditionalFormatting sqref="AR35">
    <cfRule type="cellIs" dxfId="37595" priority="55320" stopIfTrue="1" operator="equal">
      <formula>-1</formula>
    </cfRule>
  </conditionalFormatting>
  <conditionalFormatting sqref="AR35">
    <cfRule type="cellIs" dxfId="37594" priority="55321" stopIfTrue="1" operator="lessThan">
      <formula>0.5</formula>
    </cfRule>
  </conditionalFormatting>
  <conditionalFormatting sqref="AR35">
    <cfRule type="cellIs" dxfId="37593" priority="55322" stopIfTrue="1" operator="greaterThanOrEqual">
      <formula>0.5</formula>
    </cfRule>
  </conditionalFormatting>
  <conditionalFormatting sqref="AR36">
    <cfRule type="cellIs" dxfId="37592" priority="55323" stopIfTrue="1" operator="equal">
      <formula>-1</formula>
    </cfRule>
  </conditionalFormatting>
  <conditionalFormatting sqref="AR36">
    <cfRule type="cellIs" dxfId="37591" priority="55324" stopIfTrue="1" operator="lessThan">
      <formula>0.5</formula>
    </cfRule>
  </conditionalFormatting>
  <conditionalFormatting sqref="AR36">
    <cfRule type="cellIs" dxfId="37590" priority="55325" stopIfTrue="1" operator="greaterThanOrEqual">
      <formula>0.5</formula>
    </cfRule>
  </conditionalFormatting>
  <conditionalFormatting sqref="AR37">
    <cfRule type="cellIs" dxfId="37589" priority="55326" stopIfTrue="1" operator="equal">
      <formula>-1</formula>
    </cfRule>
  </conditionalFormatting>
  <conditionalFormatting sqref="AR37">
    <cfRule type="cellIs" dxfId="37588" priority="55327" stopIfTrue="1" operator="lessThan">
      <formula>0.5</formula>
    </cfRule>
  </conditionalFormatting>
  <conditionalFormatting sqref="AR37">
    <cfRule type="cellIs" dxfId="37587" priority="55328" stopIfTrue="1" operator="greaterThanOrEqual">
      <formula>0.5</formula>
    </cfRule>
  </conditionalFormatting>
  <conditionalFormatting sqref="AT17">
    <cfRule type="cellIs" dxfId="37586" priority="55329" stopIfTrue="1" operator="equal">
      <formula>-1</formula>
    </cfRule>
  </conditionalFormatting>
  <conditionalFormatting sqref="AT17">
    <cfRule type="cellIs" dxfId="37585" priority="55330" stopIfTrue="1" operator="lessThan">
      <formula>0.5</formula>
    </cfRule>
  </conditionalFormatting>
  <conditionalFormatting sqref="AT17">
    <cfRule type="cellIs" dxfId="37584" priority="55331" stopIfTrue="1" operator="greaterThanOrEqual">
      <formula>0.5</formula>
    </cfRule>
  </conditionalFormatting>
  <conditionalFormatting sqref="AT18">
    <cfRule type="cellIs" dxfId="37583" priority="55332" stopIfTrue="1" operator="equal">
      <formula>-1</formula>
    </cfRule>
  </conditionalFormatting>
  <conditionalFormatting sqref="AT18">
    <cfRule type="cellIs" dxfId="37582" priority="55333" stopIfTrue="1" operator="lessThan">
      <formula>0.5</formula>
    </cfRule>
  </conditionalFormatting>
  <conditionalFormatting sqref="AT18">
    <cfRule type="cellIs" dxfId="37581" priority="55334" stopIfTrue="1" operator="greaterThanOrEqual">
      <formula>0.5</formula>
    </cfRule>
  </conditionalFormatting>
  <conditionalFormatting sqref="AT19">
    <cfRule type="cellIs" dxfId="37580" priority="55335" stopIfTrue="1" operator="equal">
      <formula>-1</formula>
    </cfRule>
  </conditionalFormatting>
  <conditionalFormatting sqref="AT19">
    <cfRule type="cellIs" dxfId="37579" priority="55336" stopIfTrue="1" operator="lessThan">
      <formula>0.5</formula>
    </cfRule>
  </conditionalFormatting>
  <conditionalFormatting sqref="AT19">
    <cfRule type="cellIs" dxfId="37578" priority="55337" stopIfTrue="1" operator="greaterThanOrEqual">
      <formula>0.5</formula>
    </cfRule>
  </conditionalFormatting>
  <conditionalFormatting sqref="AT20">
    <cfRule type="cellIs" dxfId="37577" priority="55338" stopIfTrue="1" operator="equal">
      <formula>-1</formula>
    </cfRule>
  </conditionalFormatting>
  <conditionalFormatting sqref="AT20">
    <cfRule type="cellIs" dxfId="37576" priority="55339" stopIfTrue="1" operator="lessThan">
      <formula>0.5</formula>
    </cfRule>
  </conditionalFormatting>
  <conditionalFormatting sqref="AT20">
    <cfRule type="cellIs" dxfId="37575" priority="55340" stopIfTrue="1" operator="greaterThanOrEqual">
      <formula>0.5</formula>
    </cfRule>
  </conditionalFormatting>
  <conditionalFormatting sqref="AT21">
    <cfRule type="cellIs" dxfId="37574" priority="55341" stopIfTrue="1" operator="equal">
      <formula>-1</formula>
    </cfRule>
  </conditionalFormatting>
  <conditionalFormatting sqref="AT21">
    <cfRule type="cellIs" dxfId="37573" priority="55342" stopIfTrue="1" operator="lessThan">
      <formula>0.5</formula>
    </cfRule>
  </conditionalFormatting>
  <conditionalFormatting sqref="AT21">
    <cfRule type="cellIs" dxfId="37572" priority="55343" stopIfTrue="1" operator="greaterThanOrEqual">
      <formula>0.5</formula>
    </cfRule>
  </conditionalFormatting>
  <conditionalFormatting sqref="AT22">
    <cfRule type="cellIs" dxfId="37571" priority="55344" stopIfTrue="1" operator="equal">
      <formula>-1</formula>
    </cfRule>
  </conditionalFormatting>
  <conditionalFormatting sqref="AT22">
    <cfRule type="cellIs" dxfId="37570" priority="55345" stopIfTrue="1" operator="lessThan">
      <formula>0.5</formula>
    </cfRule>
  </conditionalFormatting>
  <conditionalFormatting sqref="AT22">
    <cfRule type="cellIs" dxfId="37569" priority="55346" stopIfTrue="1" operator="greaterThanOrEqual">
      <formula>0.5</formula>
    </cfRule>
  </conditionalFormatting>
  <conditionalFormatting sqref="AT23">
    <cfRule type="cellIs" dxfId="37568" priority="55347" stopIfTrue="1" operator="equal">
      <formula>-1</formula>
    </cfRule>
  </conditionalFormatting>
  <conditionalFormatting sqref="AT23">
    <cfRule type="cellIs" dxfId="37567" priority="55348" stopIfTrue="1" operator="lessThan">
      <formula>0.5</formula>
    </cfRule>
  </conditionalFormatting>
  <conditionalFormatting sqref="AT23">
    <cfRule type="cellIs" dxfId="37566" priority="55349" stopIfTrue="1" operator="greaterThanOrEqual">
      <formula>0.5</formula>
    </cfRule>
  </conditionalFormatting>
  <conditionalFormatting sqref="AT24">
    <cfRule type="cellIs" dxfId="37565" priority="55350" stopIfTrue="1" operator="equal">
      <formula>-1</formula>
    </cfRule>
  </conditionalFormatting>
  <conditionalFormatting sqref="AT24">
    <cfRule type="cellIs" dxfId="37564" priority="55351" stopIfTrue="1" operator="lessThan">
      <formula>0.5</formula>
    </cfRule>
  </conditionalFormatting>
  <conditionalFormatting sqref="AT24">
    <cfRule type="cellIs" dxfId="37563" priority="55352" stopIfTrue="1" operator="greaterThanOrEqual">
      <formula>0.5</formula>
    </cfRule>
  </conditionalFormatting>
  <conditionalFormatting sqref="AT25">
    <cfRule type="cellIs" dxfId="37562" priority="55353" stopIfTrue="1" operator="equal">
      <formula>-1</formula>
    </cfRule>
  </conditionalFormatting>
  <conditionalFormatting sqref="AT25">
    <cfRule type="cellIs" dxfId="37561" priority="55354" stopIfTrue="1" operator="lessThan">
      <formula>0.5</formula>
    </cfRule>
  </conditionalFormatting>
  <conditionalFormatting sqref="AT25">
    <cfRule type="cellIs" dxfId="37560" priority="55355" stopIfTrue="1" operator="greaterThanOrEqual">
      <formula>0.5</formula>
    </cfRule>
  </conditionalFormatting>
  <conditionalFormatting sqref="AT26">
    <cfRule type="cellIs" dxfId="37559" priority="55356" stopIfTrue="1" operator="equal">
      <formula>-1</formula>
    </cfRule>
  </conditionalFormatting>
  <conditionalFormatting sqref="AT26">
    <cfRule type="cellIs" dxfId="37558" priority="55357" stopIfTrue="1" operator="lessThan">
      <formula>0.5</formula>
    </cfRule>
  </conditionalFormatting>
  <conditionalFormatting sqref="AT26">
    <cfRule type="cellIs" dxfId="37557" priority="55358" stopIfTrue="1" operator="greaterThanOrEqual">
      <formula>0.5</formula>
    </cfRule>
  </conditionalFormatting>
  <conditionalFormatting sqref="AT27">
    <cfRule type="cellIs" dxfId="37556" priority="55359" stopIfTrue="1" operator="equal">
      <formula>-1</formula>
    </cfRule>
  </conditionalFormatting>
  <conditionalFormatting sqref="AT27">
    <cfRule type="cellIs" dxfId="37555" priority="55360" stopIfTrue="1" operator="lessThan">
      <formula>0.5</formula>
    </cfRule>
  </conditionalFormatting>
  <conditionalFormatting sqref="AT27">
    <cfRule type="cellIs" dxfId="37554" priority="55361" stopIfTrue="1" operator="greaterThanOrEqual">
      <formula>0.5</formula>
    </cfRule>
  </conditionalFormatting>
  <conditionalFormatting sqref="AT28">
    <cfRule type="cellIs" dxfId="37553" priority="55362" stopIfTrue="1" operator="equal">
      <formula>-1</formula>
    </cfRule>
  </conditionalFormatting>
  <conditionalFormatting sqref="AT28">
    <cfRule type="cellIs" dxfId="37552" priority="55363" stopIfTrue="1" operator="lessThan">
      <formula>0.5</formula>
    </cfRule>
  </conditionalFormatting>
  <conditionalFormatting sqref="AT28">
    <cfRule type="cellIs" dxfId="37551" priority="55364" stopIfTrue="1" operator="greaterThanOrEqual">
      <formula>0.5</formula>
    </cfRule>
  </conditionalFormatting>
  <conditionalFormatting sqref="AT29">
    <cfRule type="cellIs" dxfId="37550" priority="55365" stopIfTrue="1" operator="equal">
      <formula>-1</formula>
    </cfRule>
  </conditionalFormatting>
  <conditionalFormatting sqref="AT29">
    <cfRule type="cellIs" dxfId="37549" priority="55366" stopIfTrue="1" operator="lessThan">
      <formula>0.5</formula>
    </cfRule>
  </conditionalFormatting>
  <conditionalFormatting sqref="AT29">
    <cfRule type="cellIs" dxfId="37548" priority="55367" stopIfTrue="1" operator="greaterThanOrEqual">
      <formula>0.5</formula>
    </cfRule>
  </conditionalFormatting>
  <conditionalFormatting sqref="AT30">
    <cfRule type="cellIs" dxfId="37547" priority="55368" stopIfTrue="1" operator="equal">
      <formula>-1</formula>
    </cfRule>
  </conditionalFormatting>
  <conditionalFormatting sqref="AT30">
    <cfRule type="cellIs" dxfId="37546" priority="55369" stopIfTrue="1" operator="lessThan">
      <formula>0.5</formula>
    </cfRule>
  </conditionalFormatting>
  <conditionalFormatting sqref="AT30">
    <cfRule type="cellIs" dxfId="37545" priority="55370" stopIfTrue="1" operator="greaterThanOrEqual">
      <formula>0.5</formula>
    </cfRule>
  </conditionalFormatting>
  <conditionalFormatting sqref="AT31">
    <cfRule type="cellIs" dxfId="37544" priority="55371" stopIfTrue="1" operator="equal">
      <formula>-1</formula>
    </cfRule>
  </conditionalFormatting>
  <conditionalFormatting sqref="AT31">
    <cfRule type="cellIs" dxfId="37543" priority="55372" stopIfTrue="1" operator="lessThan">
      <formula>0.5</formula>
    </cfRule>
  </conditionalFormatting>
  <conditionalFormatting sqref="AT31">
    <cfRule type="cellIs" dxfId="37542" priority="55373" stopIfTrue="1" operator="greaterThanOrEqual">
      <formula>0.5</formula>
    </cfRule>
  </conditionalFormatting>
  <conditionalFormatting sqref="AT32">
    <cfRule type="cellIs" dxfId="37541" priority="55374" stopIfTrue="1" operator="equal">
      <formula>-1</formula>
    </cfRule>
  </conditionalFormatting>
  <conditionalFormatting sqref="AT32">
    <cfRule type="cellIs" dxfId="37540" priority="55375" stopIfTrue="1" operator="lessThan">
      <formula>0.5</formula>
    </cfRule>
  </conditionalFormatting>
  <conditionalFormatting sqref="AT32">
    <cfRule type="cellIs" dxfId="37539" priority="55376" stopIfTrue="1" operator="greaterThanOrEqual">
      <formula>0.5</formula>
    </cfRule>
  </conditionalFormatting>
  <conditionalFormatting sqref="AT33">
    <cfRule type="cellIs" dxfId="37538" priority="55377" stopIfTrue="1" operator="equal">
      <formula>-1</formula>
    </cfRule>
  </conditionalFormatting>
  <conditionalFormatting sqref="AT33">
    <cfRule type="cellIs" dxfId="37537" priority="55378" stopIfTrue="1" operator="lessThan">
      <formula>0.5</formula>
    </cfRule>
  </conditionalFormatting>
  <conditionalFormatting sqref="AT33">
    <cfRule type="cellIs" dxfId="37536" priority="55379" stopIfTrue="1" operator="greaterThanOrEqual">
      <formula>0.5</formula>
    </cfRule>
  </conditionalFormatting>
  <conditionalFormatting sqref="AT34">
    <cfRule type="cellIs" dxfId="37535" priority="55380" stopIfTrue="1" operator="equal">
      <formula>-1</formula>
    </cfRule>
  </conditionalFormatting>
  <conditionalFormatting sqref="AT34">
    <cfRule type="cellIs" dxfId="37534" priority="55381" stopIfTrue="1" operator="lessThan">
      <formula>0.5</formula>
    </cfRule>
  </conditionalFormatting>
  <conditionalFormatting sqref="AT34">
    <cfRule type="cellIs" dxfId="37533" priority="55382" stopIfTrue="1" operator="greaterThanOrEqual">
      <formula>0.5</formula>
    </cfRule>
  </conditionalFormatting>
  <conditionalFormatting sqref="AT35">
    <cfRule type="cellIs" dxfId="37532" priority="55383" stopIfTrue="1" operator="equal">
      <formula>-1</formula>
    </cfRule>
  </conditionalFormatting>
  <conditionalFormatting sqref="AT35">
    <cfRule type="cellIs" dxfId="37531" priority="55384" stopIfTrue="1" operator="lessThan">
      <formula>0.5</formula>
    </cfRule>
  </conditionalFormatting>
  <conditionalFormatting sqref="AT35">
    <cfRule type="cellIs" dxfId="37530" priority="55385" stopIfTrue="1" operator="greaterThanOrEqual">
      <formula>0.5</formula>
    </cfRule>
  </conditionalFormatting>
  <conditionalFormatting sqref="AT36">
    <cfRule type="cellIs" dxfId="37529" priority="55386" stopIfTrue="1" operator="equal">
      <formula>-1</formula>
    </cfRule>
  </conditionalFormatting>
  <conditionalFormatting sqref="AT36">
    <cfRule type="cellIs" dxfId="37528" priority="55387" stopIfTrue="1" operator="lessThan">
      <formula>0.5</formula>
    </cfRule>
  </conditionalFormatting>
  <conditionalFormatting sqref="AT36">
    <cfRule type="cellIs" dxfId="37527" priority="55388" stopIfTrue="1" operator="greaterThanOrEqual">
      <formula>0.5</formula>
    </cfRule>
  </conditionalFormatting>
  <conditionalFormatting sqref="AT37">
    <cfRule type="cellIs" dxfId="37526" priority="55389" stopIfTrue="1" operator="equal">
      <formula>-1</formula>
    </cfRule>
  </conditionalFormatting>
  <conditionalFormatting sqref="AT37">
    <cfRule type="cellIs" dxfId="37525" priority="55390" stopIfTrue="1" operator="lessThan">
      <formula>0.5</formula>
    </cfRule>
  </conditionalFormatting>
  <conditionalFormatting sqref="AT37">
    <cfRule type="cellIs" dxfId="37524" priority="55391" stopIfTrue="1" operator="greaterThanOrEqual">
      <formula>0.5</formula>
    </cfRule>
  </conditionalFormatting>
  <conditionalFormatting sqref="AV17">
    <cfRule type="cellIs" dxfId="37523" priority="55392" stopIfTrue="1" operator="equal">
      <formula>-1</formula>
    </cfRule>
  </conditionalFormatting>
  <conditionalFormatting sqref="AV17">
    <cfRule type="cellIs" dxfId="37522" priority="55393" stopIfTrue="1" operator="lessThan">
      <formula>0.5</formula>
    </cfRule>
  </conditionalFormatting>
  <conditionalFormatting sqref="AV17">
    <cfRule type="cellIs" dxfId="37521" priority="55394" stopIfTrue="1" operator="greaterThanOrEqual">
      <formula>0.5</formula>
    </cfRule>
  </conditionalFormatting>
  <conditionalFormatting sqref="AV18">
    <cfRule type="cellIs" dxfId="37520" priority="55395" stopIfTrue="1" operator="equal">
      <formula>-1</formula>
    </cfRule>
  </conditionalFormatting>
  <conditionalFormatting sqref="AV18">
    <cfRule type="cellIs" dxfId="37519" priority="55396" stopIfTrue="1" operator="lessThan">
      <formula>0.5</formula>
    </cfRule>
  </conditionalFormatting>
  <conditionalFormatting sqref="AV18">
    <cfRule type="cellIs" dxfId="37518" priority="55397" stopIfTrue="1" operator="greaterThanOrEqual">
      <formula>0.5</formula>
    </cfRule>
  </conditionalFormatting>
  <conditionalFormatting sqref="AV19">
    <cfRule type="cellIs" dxfId="37517" priority="55398" stopIfTrue="1" operator="equal">
      <formula>-1</formula>
    </cfRule>
  </conditionalFormatting>
  <conditionalFormatting sqref="AV19">
    <cfRule type="cellIs" dxfId="37516" priority="55399" stopIfTrue="1" operator="lessThan">
      <formula>0.5</formula>
    </cfRule>
  </conditionalFormatting>
  <conditionalFormatting sqref="AV19">
    <cfRule type="cellIs" dxfId="37515" priority="55400" stopIfTrue="1" operator="greaterThanOrEqual">
      <formula>0.5</formula>
    </cfRule>
  </conditionalFormatting>
  <conditionalFormatting sqref="AV20">
    <cfRule type="cellIs" dxfId="37514" priority="55401" stopIfTrue="1" operator="equal">
      <formula>-1</formula>
    </cfRule>
  </conditionalFormatting>
  <conditionalFormatting sqref="AV20">
    <cfRule type="cellIs" dxfId="37513" priority="55402" stopIfTrue="1" operator="lessThan">
      <formula>0.5</formula>
    </cfRule>
  </conditionalFormatting>
  <conditionalFormatting sqref="AV20">
    <cfRule type="cellIs" dxfId="37512" priority="55403" stopIfTrue="1" operator="greaterThanOrEqual">
      <formula>0.5</formula>
    </cfRule>
  </conditionalFormatting>
  <conditionalFormatting sqref="AV21">
    <cfRule type="cellIs" dxfId="37511" priority="55404" stopIfTrue="1" operator="equal">
      <formula>-1</formula>
    </cfRule>
  </conditionalFormatting>
  <conditionalFormatting sqref="AV21">
    <cfRule type="cellIs" dxfId="37510" priority="55405" stopIfTrue="1" operator="lessThan">
      <formula>0.5</formula>
    </cfRule>
  </conditionalFormatting>
  <conditionalFormatting sqref="AV21">
    <cfRule type="cellIs" dxfId="37509" priority="55406" stopIfTrue="1" operator="greaterThanOrEqual">
      <formula>0.5</formula>
    </cfRule>
  </conditionalFormatting>
  <conditionalFormatting sqref="AV22">
    <cfRule type="cellIs" dxfId="37508" priority="55407" stopIfTrue="1" operator="equal">
      <formula>-1</formula>
    </cfRule>
  </conditionalFormatting>
  <conditionalFormatting sqref="AV22">
    <cfRule type="cellIs" dxfId="37507" priority="55408" stopIfTrue="1" operator="lessThan">
      <formula>0.5</formula>
    </cfRule>
  </conditionalFormatting>
  <conditionalFormatting sqref="AV22">
    <cfRule type="cellIs" dxfId="37506" priority="55409" stopIfTrue="1" operator="greaterThanOrEqual">
      <formula>0.5</formula>
    </cfRule>
  </conditionalFormatting>
  <conditionalFormatting sqref="AV23">
    <cfRule type="cellIs" dxfId="37505" priority="55410" stopIfTrue="1" operator="equal">
      <formula>-1</formula>
    </cfRule>
  </conditionalFormatting>
  <conditionalFormatting sqref="AV23">
    <cfRule type="cellIs" dxfId="37504" priority="55411" stopIfTrue="1" operator="lessThan">
      <formula>0.5</formula>
    </cfRule>
  </conditionalFormatting>
  <conditionalFormatting sqref="AV23">
    <cfRule type="cellIs" dxfId="37503" priority="55412" stopIfTrue="1" operator="greaterThanOrEqual">
      <formula>0.5</formula>
    </cfRule>
  </conditionalFormatting>
  <conditionalFormatting sqref="AV24">
    <cfRule type="cellIs" dxfId="37502" priority="55413" stopIfTrue="1" operator="equal">
      <formula>-1</formula>
    </cfRule>
  </conditionalFormatting>
  <conditionalFormatting sqref="AV24">
    <cfRule type="cellIs" dxfId="37501" priority="55414" stopIfTrue="1" operator="lessThan">
      <formula>0.5</formula>
    </cfRule>
  </conditionalFormatting>
  <conditionalFormatting sqref="AV24">
    <cfRule type="cellIs" dxfId="37500" priority="55415" stopIfTrue="1" operator="greaterThanOrEqual">
      <formula>0.5</formula>
    </cfRule>
  </conditionalFormatting>
  <conditionalFormatting sqref="AV25">
    <cfRule type="cellIs" dxfId="37499" priority="55416" stopIfTrue="1" operator="equal">
      <formula>-1</formula>
    </cfRule>
  </conditionalFormatting>
  <conditionalFormatting sqref="AV25">
    <cfRule type="cellIs" dxfId="37498" priority="55417" stopIfTrue="1" operator="lessThan">
      <formula>0.5</formula>
    </cfRule>
  </conditionalFormatting>
  <conditionalFormatting sqref="AV25">
    <cfRule type="cellIs" dxfId="37497" priority="55418" stopIfTrue="1" operator="greaterThanOrEqual">
      <formula>0.5</formula>
    </cfRule>
  </conditionalFormatting>
  <conditionalFormatting sqref="AV26">
    <cfRule type="cellIs" dxfId="37496" priority="55419" stopIfTrue="1" operator="equal">
      <formula>-1</formula>
    </cfRule>
  </conditionalFormatting>
  <conditionalFormatting sqref="AV26">
    <cfRule type="cellIs" dxfId="37495" priority="55420" stopIfTrue="1" operator="lessThan">
      <formula>0.5</formula>
    </cfRule>
  </conditionalFormatting>
  <conditionalFormatting sqref="AV26">
    <cfRule type="cellIs" dxfId="37494" priority="55421" stopIfTrue="1" operator="greaterThanOrEqual">
      <formula>0.5</formula>
    </cfRule>
  </conditionalFormatting>
  <conditionalFormatting sqref="AV27">
    <cfRule type="cellIs" dxfId="37493" priority="55422" stopIfTrue="1" operator="equal">
      <formula>-1</formula>
    </cfRule>
  </conditionalFormatting>
  <conditionalFormatting sqref="AV27">
    <cfRule type="cellIs" dxfId="37492" priority="55423" stopIfTrue="1" operator="lessThan">
      <formula>0.5</formula>
    </cfRule>
  </conditionalFormatting>
  <conditionalFormatting sqref="AV27">
    <cfRule type="cellIs" dxfId="37491" priority="55424" stopIfTrue="1" operator="greaterThanOrEqual">
      <formula>0.5</formula>
    </cfRule>
  </conditionalFormatting>
  <conditionalFormatting sqref="AV28">
    <cfRule type="cellIs" dxfId="37490" priority="55425" stopIfTrue="1" operator="equal">
      <formula>-1</formula>
    </cfRule>
  </conditionalFormatting>
  <conditionalFormatting sqref="AV28">
    <cfRule type="cellIs" dxfId="37489" priority="55426" stopIfTrue="1" operator="lessThan">
      <formula>0.5</formula>
    </cfRule>
  </conditionalFormatting>
  <conditionalFormatting sqref="AV28">
    <cfRule type="cellIs" dxfId="37488" priority="55427" stopIfTrue="1" operator="greaterThanOrEqual">
      <formula>0.5</formula>
    </cfRule>
  </conditionalFormatting>
  <conditionalFormatting sqref="AV29">
    <cfRule type="cellIs" dxfId="37487" priority="55428" stopIfTrue="1" operator="equal">
      <formula>-1</formula>
    </cfRule>
  </conditionalFormatting>
  <conditionalFormatting sqref="AV29">
    <cfRule type="cellIs" dxfId="37486" priority="55429" stopIfTrue="1" operator="lessThan">
      <formula>0.5</formula>
    </cfRule>
  </conditionalFormatting>
  <conditionalFormatting sqref="AV29">
    <cfRule type="cellIs" dxfId="37485" priority="55430" stopIfTrue="1" operator="greaterThanOrEqual">
      <formula>0.5</formula>
    </cfRule>
  </conditionalFormatting>
  <conditionalFormatting sqref="AV30">
    <cfRule type="cellIs" dxfId="37484" priority="55431" stopIfTrue="1" operator="equal">
      <formula>-1</formula>
    </cfRule>
  </conditionalFormatting>
  <conditionalFormatting sqref="AV30">
    <cfRule type="cellIs" dxfId="37483" priority="55432" stopIfTrue="1" operator="lessThan">
      <formula>0.5</formula>
    </cfRule>
  </conditionalFormatting>
  <conditionalFormatting sqref="AV30">
    <cfRule type="cellIs" dxfId="37482" priority="55433" stopIfTrue="1" operator="greaterThanOrEqual">
      <formula>0.5</formula>
    </cfRule>
  </conditionalFormatting>
  <conditionalFormatting sqref="AV31">
    <cfRule type="cellIs" dxfId="37481" priority="55434" stopIfTrue="1" operator="equal">
      <formula>-1</formula>
    </cfRule>
  </conditionalFormatting>
  <conditionalFormatting sqref="AV31">
    <cfRule type="cellIs" dxfId="37480" priority="55435" stopIfTrue="1" operator="lessThan">
      <formula>0.5</formula>
    </cfRule>
  </conditionalFormatting>
  <conditionalFormatting sqref="AV31">
    <cfRule type="cellIs" dxfId="37479" priority="55436" stopIfTrue="1" operator="greaterThanOrEqual">
      <formula>0.5</formula>
    </cfRule>
  </conditionalFormatting>
  <conditionalFormatting sqref="AV32">
    <cfRule type="cellIs" dxfId="37478" priority="55437" stopIfTrue="1" operator="equal">
      <formula>-1</formula>
    </cfRule>
  </conditionalFormatting>
  <conditionalFormatting sqref="AV32">
    <cfRule type="cellIs" dxfId="37477" priority="55438" stopIfTrue="1" operator="lessThan">
      <formula>0.5</formula>
    </cfRule>
  </conditionalFormatting>
  <conditionalFormatting sqref="AV32">
    <cfRule type="cellIs" dxfId="37476" priority="55439" stopIfTrue="1" operator="greaterThanOrEqual">
      <formula>0.5</formula>
    </cfRule>
  </conditionalFormatting>
  <conditionalFormatting sqref="AV33">
    <cfRule type="cellIs" dxfId="37475" priority="55440" stopIfTrue="1" operator="equal">
      <formula>-1</formula>
    </cfRule>
  </conditionalFormatting>
  <conditionalFormatting sqref="AV33">
    <cfRule type="cellIs" dxfId="37474" priority="55441" stopIfTrue="1" operator="lessThan">
      <formula>0.5</formula>
    </cfRule>
  </conditionalFormatting>
  <conditionalFormatting sqref="AV33">
    <cfRule type="cellIs" dxfId="37473" priority="55442" stopIfTrue="1" operator="greaterThanOrEqual">
      <formula>0.5</formula>
    </cfRule>
  </conditionalFormatting>
  <conditionalFormatting sqref="AV34">
    <cfRule type="cellIs" dxfId="37472" priority="55443" stopIfTrue="1" operator="equal">
      <formula>-1</formula>
    </cfRule>
  </conditionalFormatting>
  <conditionalFormatting sqref="AV34">
    <cfRule type="cellIs" dxfId="37471" priority="55444" stopIfTrue="1" operator="lessThan">
      <formula>0.5</formula>
    </cfRule>
  </conditionalFormatting>
  <conditionalFormatting sqref="AV34">
    <cfRule type="cellIs" dxfId="37470" priority="55445" stopIfTrue="1" operator="greaterThanOrEqual">
      <formula>0.5</formula>
    </cfRule>
  </conditionalFormatting>
  <conditionalFormatting sqref="AV35">
    <cfRule type="cellIs" dxfId="37469" priority="55446" stopIfTrue="1" operator="equal">
      <formula>-1</formula>
    </cfRule>
  </conditionalFormatting>
  <conditionalFormatting sqref="AV35">
    <cfRule type="cellIs" dxfId="37468" priority="55447" stopIfTrue="1" operator="lessThan">
      <formula>0.5</formula>
    </cfRule>
  </conditionalFormatting>
  <conditionalFormatting sqref="AV35">
    <cfRule type="cellIs" dxfId="37467" priority="55448" stopIfTrue="1" operator="greaterThanOrEqual">
      <formula>0.5</formula>
    </cfRule>
  </conditionalFormatting>
  <conditionalFormatting sqref="AV36">
    <cfRule type="cellIs" dxfId="37466" priority="55449" stopIfTrue="1" operator="equal">
      <formula>-1</formula>
    </cfRule>
  </conditionalFormatting>
  <conditionalFormatting sqref="AV36">
    <cfRule type="cellIs" dxfId="37465" priority="55450" stopIfTrue="1" operator="lessThan">
      <formula>0.5</formula>
    </cfRule>
  </conditionalFormatting>
  <conditionalFormatting sqref="AV36">
    <cfRule type="cellIs" dxfId="37464" priority="55451" stopIfTrue="1" operator="greaterThanOrEqual">
      <formula>0.5</formula>
    </cfRule>
  </conditionalFormatting>
  <conditionalFormatting sqref="AV37">
    <cfRule type="cellIs" dxfId="37463" priority="55452" stopIfTrue="1" operator="equal">
      <formula>-1</formula>
    </cfRule>
  </conditionalFormatting>
  <conditionalFormatting sqref="AV37">
    <cfRule type="cellIs" dxfId="37462" priority="55453" stopIfTrue="1" operator="lessThan">
      <formula>0.5</formula>
    </cfRule>
  </conditionalFormatting>
  <conditionalFormatting sqref="AV37">
    <cfRule type="cellIs" dxfId="37461" priority="55454" stopIfTrue="1" operator="greaterThanOrEqual">
      <formula>0.5</formula>
    </cfRule>
  </conditionalFormatting>
  <conditionalFormatting sqref="AX17">
    <cfRule type="cellIs" dxfId="37460" priority="55455" stopIfTrue="1" operator="equal">
      <formula>-1</formula>
    </cfRule>
  </conditionalFormatting>
  <conditionalFormatting sqref="AX17">
    <cfRule type="cellIs" dxfId="37459" priority="55456" stopIfTrue="1" operator="lessThan">
      <formula>0.5</formula>
    </cfRule>
  </conditionalFormatting>
  <conditionalFormatting sqref="AX17">
    <cfRule type="cellIs" dxfId="37458" priority="55457" stopIfTrue="1" operator="greaterThanOrEqual">
      <formula>0.5</formula>
    </cfRule>
  </conditionalFormatting>
  <conditionalFormatting sqref="AX18">
    <cfRule type="cellIs" dxfId="37457" priority="55458" stopIfTrue="1" operator="equal">
      <formula>-1</formula>
    </cfRule>
  </conditionalFormatting>
  <conditionalFormatting sqref="AX18">
    <cfRule type="cellIs" dxfId="37456" priority="55459" stopIfTrue="1" operator="lessThan">
      <formula>0.5</formula>
    </cfRule>
  </conditionalFormatting>
  <conditionalFormatting sqref="AX18">
    <cfRule type="cellIs" dxfId="37455" priority="55460" stopIfTrue="1" operator="greaterThanOrEqual">
      <formula>0.5</formula>
    </cfRule>
  </conditionalFormatting>
  <conditionalFormatting sqref="AX19">
    <cfRule type="cellIs" dxfId="37454" priority="55461" stopIfTrue="1" operator="equal">
      <formula>-1</formula>
    </cfRule>
  </conditionalFormatting>
  <conditionalFormatting sqref="AX19">
    <cfRule type="cellIs" dxfId="37453" priority="55462" stopIfTrue="1" operator="lessThan">
      <formula>0.5</formula>
    </cfRule>
  </conditionalFormatting>
  <conditionalFormatting sqref="AX19">
    <cfRule type="cellIs" dxfId="37452" priority="55463" stopIfTrue="1" operator="greaterThanOrEqual">
      <formula>0.5</formula>
    </cfRule>
  </conditionalFormatting>
  <conditionalFormatting sqref="AX20">
    <cfRule type="cellIs" dxfId="37451" priority="55464" stopIfTrue="1" operator="equal">
      <formula>-1</formula>
    </cfRule>
  </conditionalFormatting>
  <conditionalFormatting sqref="AX20">
    <cfRule type="cellIs" dxfId="37450" priority="55465" stopIfTrue="1" operator="lessThan">
      <formula>0.5</formula>
    </cfRule>
  </conditionalFormatting>
  <conditionalFormatting sqref="AX20">
    <cfRule type="cellIs" dxfId="37449" priority="55466" stopIfTrue="1" operator="greaterThanOrEqual">
      <formula>0.5</formula>
    </cfRule>
  </conditionalFormatting>
  <conditionalFormatting sqref="AX21">
    <cfRule type="cellIs" dxfId="37448" priority="55467" stopIfTrue="1" operator="equal">
      <formula>-1</formula>
    </cfRule>
  </conditionalFormatting>
  <conditionalFormatting sqref="AX21">
    <cfRule type="cellIs" dxfId="37447" priority="55468" stopIfTrue="1" operator="lessThan">
      <formula>0.5</formula>
    </cfRule>
  </conditionalFormatting>
  <conditionalFormatting sqref="AX21">
    <cfRule type="cellIs" dxfId="37446" priority="55469" stopIfTrue="1" operator="greaterThanOrEqual">
      <formula>0.5</formula>
    </cfRule>
  </conditionalFormatting>
  <conditionalFormatting sqref="AX22">
    <cfRule type="cellIs" dxfId="37445" priority="55470" stopIfTrue="1" operator="equal">
      <formula>-1</formula>
    </cfRule>
  </conditionalFormatting>
  <conditionalFormatting sqref="AX22">
    <cfRule type="cellIs" dxfId="37444" priority="55471" stopIfTrue="1" operator="lessThan">
      <formula>0.5</formula>
    </cfRule>
  </conditionalFormatting>
  <conditionalFormatting sqref="AX22">
    <cfRule type="cellIs" dxfId="37443" priority="55472" stopIfTrue="1" operator="greaterThanOrEqual">
      <formula>0.5</formula>
    </cfRule>
  </conditionalFormatting>
  <conditionalFormatting sqref="AX23">
    <cfRule type="cellIs" dxfId="37442" priority="55473" stopIfTrue="1" operator="equal">
      <formula>-1</formula>
    </cfRule>
  </conditionalFormatting>
  <conditionalFormatting sqref="AX23">
    <cfRule type="cellIs" dxfId="37441" priority="55474" stopIfTrue="1" operator="lessThan">
      <formula>0.5</formula>
    </cfRule>
  </conditionalFormatting>
  <conditionalFormatting sqref="AX23">
    <cfRule type="cellIs" dxfId="37440" priority="55475" stopIfTrue="1" operator="greaterThanOrEqual">
      <formula>0.5</formula>
    </cfRule>
  </conditionalFormatting>
  <conditionalFormatting sqref="AX24">
    <cfRule type="cellIs" dxfId="37439" priority="55476" stopIfTrue="1" operator="equal">
      <formula>-1</formula>
    </cfRule>
  </conditionalFormatting>
  <conditionalFormatting sqref="AX24">
    <cfRule type="cellIs" dxfId="37438" priority="55477" stopIfTrue="1" operator="lessThan">
      <formula>0.5</formula>
    </cfRule>
  </conditionalFormatting>
  <conditionalFormatting sqref="AX24">
    <cfRule type="cellIs" dxfId="37437" priority="55478" stopIfTrue="1" operator="greaterThanOrEqual">
      <formula>0.5</formula>
    </cfRule>
  </conditionalFormatting>
  <conditionalFormatting sqref="AX25">
    <cfRule type="cellIs" dxfId="37436" priority="55479" stopIfTrue="1" operator="equal">
      <formula>-1</formula>
    </cfRule>
  </conditionalFormatting>
  <conditionalFormatting sqref="AX25">
    <cfRule type="cellIs" dxfId="37435" priority="55480" stopIfTrue="1" operator="lessThan">
      <formula>0.5</formula>
    </cfRule>
  </conditionalFormatting>
  <conditionalFormatting sqref="AX25">
    <cfRule type="cellIs" dxfId="37434" priority="55481" stopIfTrue="1" operator="greaterThanOrEqual">
      <formula>0.5</formula>
    </cfRule>
  </conditionalFormatting>
  <conditionalFormatting sqref="AX26">
    <cfRule type="cellIs" dxfId="37433" priority="55482" stopIfTrue="1" operator="equal">
      <formula>-1</formula>
    </cfRule>
  </conditionalFormatting>
  <conditionalFormatting sqref="AX26">
    <cfRule type="cellIs" dxfId="37432" priority="55483" stopIfTrue="1" operator="lessThan">
      <formula>0.5</formula>
    </cfRule>
  </conditionalFormatting>
  <conditionalFormatting sqref="AX26">
    <cfRule type="cellIs" dxfId="37431" priority="55484" stopIfTrue="1" operator="greaterThanOrEqual">
      <formula>0.5</formula>
    </cfRule>
  </conditionalFormatting>
  <conditionalFormatting sqref="AX27">
    <cfRule type="cellIs" dxfId="37430" priority="55485" stopIfTrue="1" operator="equal">
      <formula>-1</formula>
    </cfRule>
  </conditionalFormatting>
  <conditionalFormatting sqref="AX27">
    <cfRule type="cellIs" dxfId="37429" priority="55486" stopIfTrue="1" operator="lessThan">
      <formula>0.5</formula>
    </cfRule>
  </conditionalFormatting>
  <conditionalFormatting sqref="AX27">
    <cfRule type="cellIs" dxfId="37428" priority="55487" stopIfTrue="1" operator="greaterThanOrEqual">
      <formula>0.5</formula>
    </cfRule>
  </conditionalFormatting>
  <conditionalFormatting sqref="AX28">
    <cfRule type="cellIs" dxfId="37427" priority="55488" stopIfTrue="1" operator="equal">
      <formula>-1</formula>
    </cfRule>
  </conditionalFormatting>
  <conditionalFormatting sqref="AX28">
    <cfRule type="cellIs" dxfId="37426" priority="55489" stopIfTrue="1" operator="lessThan">
      <formula>0.5</formula>
    </cfRule>
  </conditionalFormatting>
  <conditionalFormatting sqref="AX28">
    <cfRule type="cellIs" dxfId="37425" priority="55490" stopIfTrue="1" operator="greaterThanOrEqual">
      <formula>0.5</formula>
    </cfRule>
  </conditionalFormatting>
  <conditionalFormatting sqref="AX29">
    <cfRule type="cellIs" dxfId="37424" priority="55491" stopIfTrue="1" operator="equal">
      <formula>-1</formula>
    </cfRule>
  </conditionalFormatting>
  <conditionalFormatting sqref="AX29">
    <cfRule type="cellIs" dxfId="37423" priority="55492" stopIfTrue="1" operator="lessThan">
      <formula>0.5</formula>
    </cfRule>
  </conditionalFormatting>
  <conditionalFormatting sqref="AX29">
    <cfRule type="cellIs" dxfId="37422" priority="55493" stopIfTrue="1" operator="greaterThanOrEqual">
      <formula>0.5</formula>
    </cfRule>
  </conditionalFormatting>
  <conditionalFormatting sqref="AX30">
    <cfRule type="cellIs" dxfId="37421" priority="55494" stopIfTrue="1" operator="equal">
      <formula>-1</formula>
    </cfRule>
  </conditionalFormatting>
  <conditionalFormatting sqref="AX30">
    <cfRule type="cellIs" dxfId="37420" priority="55495" stopIfTrue="1" operator="lessThan">
      <formula>0.5</formula>
    </cfRule>
  </conditionalFormatting>
  <conditionalFormatting sqref="AX30">
    <cfRule type="cellIs" dxfId="37419" priority="55496" stopIfTrue="1" operator="greaterThanOrEqual">
      <formula>0.5</formula>
    </cfRule>
  </conditionalFormatting>
  <conditionalFormatting sqref="AX31">
    <cfRule type="cellIs" dxfId="37418" priority="55497" stopIfTrue="1" operator="equal">
      <formula>-1</formula>
    </cfRule>
  </conditionalFormatting>
  <conditionalFormatting sqref="AX31">
    <cfRule type="cellIs" dxfId="37417" priority="55498" stopIfTrue="1" operator="lessThan">
      <formula>0.5</formula>
    </cfRule>
  </conditionalFormatting>
  <conditionalFormatting sqref="AX31">
    <cfRule type="cellIs" dxfId="37416" priority="55499" stopIfTrue="1" operator="greaterThanOrEqual">
      <formula>0.5</formula>
    </cfRule>
  </conditionalFormatting>
  <conditionalFormatting sqref="AX32">
    <cfRule type="cellIs" dxfId="37415" priority="55500" stopIfTrue="1" operator="equal">
      <formula>-1</formula>
    </cfRule>
  </conditionalFormatting>
  <conditionalFormatting sqref="AX32">
    <cfRule type="cellIs" dxfId="37414" priority="55501" stopIfTrue="1" operator="lessThan">
      <formula>0.5</formula>
    </cfRule>
  </conditionalFormatting>
  <conditionalFormatting sqref="AX32">
    <cfRule type="cellIs" dxfId="37413" priority="55502" stopIfTrue="1" operator="greaterThanOrEqual">
      <formula>0.5</formula>
    </cfRule>
  </conditionalFormatting>
  <conditionalFormatting sqref="AX33">
    <cfRule type="cellIs" dxfId="37412" priority="55503" stopIfTrue="1" operator="equal">
      <formula>-1</formula>
    </cfRule>
  </conditionalFormatting>
  <conditionalFormatting sqref="AX33">
    <cfRule type="cellIs" dxfId="37411" priority="55504" stopIfTrue="1" operator="lessThan">
      <formula>0.5</formula>
    </cfRule>
  </conditionalFormatting>
  <conditionalFormatting sqref="AX33">
    <cfRule type="cellIs" dxfId="37410" priority="55505" stopIfTrue="1" operator="greaterThanOrEqual">
      <formula>0.5</formula>
    </cfRule>
  </conditionalFormatting>
  <conditionalFormatting sqref="AX34">
    <cfRule type="cellIs" dxfId="37409" priority="55506" stopIfTrue="1" operator="equal">
      <formula>-1</formula>
    </cfRule>
  </conditionalFormatting>
  <conditionalFormatting sqref="AX34">
    <cfRule type="cellIs" dxfId="37408" priority="55507" stopIfTrue="1" operator="lessThan">
      <formula>0.5</formula>
    </cfRule>
  </conditionalFormatting>
  <conditionalFormatting sqref="AX34">
    <cfRule type="cellIs" dxfId="37407" priority="55508" stopIfTrue="1" operator="greaterThanOrEqual">
      <formula>0.5</formula>
    </cfRule>
  </conditionalFormatting>
  <conditionalFormatting sqref="AX35">
    <cfRule type="cellIs" dxfId="37406" priority="55509" stopIfTrue="1" operator="equal">
      <formula>-1</formula>
    </cfRule>
  </conditionalFormatting>
  <conditionalFormatting sqref="AX35">
    <cfRule type="cellIs" dxfId="37405" priority="55510" stopIfTrue="1" operator="lessThan">
      <formula>0.5</formula>
    </cfRule>
  </conditionalFormatting>
  <conditionalFormatting sqref="AX35">
    <cfRule type="cellIs" dxfId="37404" priority="55511" stopIfTrue="1" operator="greaterThanOrEqual">
      <formula>0.5</formula>
    </cfRule>
  </conditionalFormatting>
  <conditionalFormatting sqref="AX36">
    <cfRule type="cellIs" dxfId="37403" priority="55512" stopIfTrue="1" operator="equal">
      <formula>-1</formula>
    </cfRule>
  </conditionalFormatting>
  <conditionalFormatting sqref="AX36">
    <cfRule type="cellIs" dxfId="37402" priority="55513" stopIfTrue="1" operator="lessThan">
      <formula>0.5</formula>
    </cfRule>
  </conditionalFormatting>
  <conditionalFormatting sqref="AX36">
    <cfRule type="cellIs" dxfId="37401" priority="55514" stopIfTrue="1" operator="greaterThanOrEqual">
      <formula>0.5</formula>
    </cfRule>
  </conditionalFormatting>
  <conditionalFormatting sqref="AX37">
    <cfRule type="cellIs" dxfId="37400" priority="55515" stopIfTrue="1" operator="equal">
      <formula>-1</formula>
    </cfRule>
  </conditionalFormatting>
  <conditionalFormatting sqref="AX37">
    <cfRule type="cellIs" dxfId="37399" priority="55516" stopIfTrue="1" operator="lessThan">
      <formula>0.5</formula>
    </cfRule>
  </conditionalFormatting>
  <conditionalFormatting sqref="AX37">
    <cfRule type="cellIs" dxfId="37398" priority="55517" stopIfTrue="1" operator="greaterThanOrEqual">
      <formula>0.5</formula>
    </cfRule>
  </conditionalFormatting>
  <conditionalFormatting sqref="AZ17">
    <cfRule type="cellIs" dxfId="37397" priority="55518" stopIfTrue="1" operator="equal">
      <formula>-1</formula>
    </cfRule>
  </conditionalFormatting>
  <conditionalFormatting sqref="AZ17">
    <cfRule type="cellIs" dxfId="37396" priority="55519" stopIfTrue="1" operator="lessThan">
      <formula>0.5</formula>
    </cfRule>
  </conditionalFormatting>
  <conditionalFormatting sqref="AZ17">
    <cfRule type="cellIs" dxfId="37395" priority="55520" stopIfTrue="1" operator="greaterThanOrEqual">
      <formula>0.5</formula>
    </cfRule>
  </conditionalFormatting>
  <conditionalFormatting sqref="AZ18">
    <cfRule type="cellIs" dxfId="37394" priority="55521" stopIfTrue="1" operator="equal">
      <formula>-1</formula>
    </cfRule>
  </conditionalFormatting>
  <conditionalFormatting sqref="AZ18">
    <cfRule type="cellIs" dxfId="37393" priority="55522" stopIfTrue="1" operator="lessThan">
      <formula>0.5</formula>
    </cfRule>
  </conditionalFormatting>
  <conditionalFormatting sqref="AZ18">
    <cfRule type="cellIs" dxfId="37392" priority="55523" stopIfTrue="1" operator="greaterThanOrEqual">
      <formula>0.5</formula>
    </cfRule>
  </conditionalFormatting>
  <conditionalFormatting sqref="AZ19">
    <cfRule type="cellIs" dxfId="37391" priority="55524" stopIfTrue="1" operator="equal">
      <formula>-1</formula>
    </cfRule>
  </conditionalFormatting>
  <conditionalFormatting sqref="AZ19">
    <cfRule type="cellIs" dxfId="37390" priority="55525" stopIfTrue="1" operator="lessThan">
      <formula>0.5</formula>
    </cfRule>
  </conditionalFormatting>
  <conditionalFormatting sqref="AZ19">
    <cfRule type="cellIs" dxfId="37389" priority="55526" stopIfTrue="1" operator="greaterThanOrEqual">
      <formula>0.5</formula>
    </cfRule>
  </conditionalFormatting>
  <conditionalFormatting sqref="AZ20">
    <cfRule type="cellIs" dxfId="37388" priority="55527" stopIfTrue="1" operator="equal">
      <formula>-1</formula>
    </cfRule>
  </conditionalFormatting>
  <conditionalFormatting sqref="AZ20">
    <cfRule type="cellIs" dxfId="37387" priority="55528" stopIfTrue="1" operator="lessThan">
      <formula>0.5</formula>
    </cfRule>
  </conditionalFormatting>
  <conditionalFormatting sqref="AZ20">
    <cfRule type="cellIs" dxfId="37386" priority="55529" stopIfTrue="1" operator="greaterThanOrEqual">
      <formula>0.5</formula>
    </cfRule>
  </conditionalFormatting>
  <conditionalFormatting sqref="AZ21">
    <cfRule type="cellIs" dxfId="37385" priority="55530" stopIfTrue="1" operator="equal">
      <formula>-1</formula>
    </cfRule>
  </conditionalFormatting>
  <conditionalFormatting sqref="AZ21">
    <cfRule type="cellIs" dxfId="37384" priority="55531" stopIfTrue="1" operator="lessThan">
      <formula>0.5</formula>
    </cfRule>
  </conditionalFormatting>
  <conditionalFormatting sqref="AZ21">
    <cfRule type="cellIs" dxfId="37383" priority="55532" stopIfTrue="1" operator="greaterThanOrEqual">
      <formula>0.5</formula>
    </cfRule>
  </conditionalFormatting>
  <conditionalFormatting sqref="AZ22">
    <cfRule type="cellIs" dxfId="37382" priority="55533" stopIfTrue="1" operator="equal">
      <formula>-1</formula>
    </cfRule>
  </conditionalFormatting>
  <conditionalFormatting sqref="AZ22">
    <cfRule type="cellIs" dxfId="37381" priority="55534" stopIfTrue="1" operator="lessThan">
      <formula>0.5</formula>
    </cfRule>
  </conditionalFormatting>
  <conditionalFormatting sqref="AZ22">
    <cfRule type="cellIs" dxfId="37380" priority="55535" stopIfTrue="1" operator="greaterThanOrEqual">
      <formula>0.5</formula>
    </cfRule>
  </conditionalFormatting>
  <conditionalFormatting sqref="AZ23">
    <cfRule type="cellIs" dxfId="37379" priority="55536" stopIfTrue="1" operator="equal">
      <formula>-1</formula>
    </cfRule>
  </conditionalFormatting>
  <conditionalFormatting sqref="AZ23">
    <cfRule type="cellIs" dxfId="37378" priority="55537" stopIfTrue="1" operator="lessThan">
      <formula>0.5</formula>
    </cfRule>
  </conditionalFormatting>
  <conditionalFormatting sqref="AZ23">
    <cfRule type="cellIs" dxfId="37377" priority="55538" stopIfTrue="1" operator="greaterThanOrEqual">
      <formula>0.5</formula>
    </cfRule>
  </conditionalFormatting>
  <conditionalFormatting sqref="AZ24">
    <cfRule type="cellIs" dxfId="37376" priority="55539" stopIfTrue="1" operator="equal">
      <formula>-1</formula>
    </cfRule>
  </conditionalFormatting>
  <conditionalFormatting sqref="AZ24">
    <cfRule type="cellIs" dxfId="37375" priority="55540" stopIfTrue="1" operator="lessThan">
      <formula>0.5</formula>
    </cfRule>
  </conditionalFormatting>
  <conditionalFormatting sqref="AZ24">
    <cfRule type="cellIs" dxfId="37374" priority="55541" stopIfTrue="1" operator="greaterThanOrEqual">
      <formula>0.5</formula>
    </cfRule>
  </conditionalFormatting>
  <conditionalFormatting sqref="AZ25">
    <cfRule type="cellIs" dxfId="37373" priority="55542" stopIfTrue="1" operator="equal">
      <formula>-1</formula>
    </cfRule>
  </conditionalFormatting>
  <conditionalFormatting sqref="AZ25">
    <cfRule type="cellIs" dxfId="37372" priority="55543" stopIfTrue="1" operator="lessThan">
      <formula>0.5</formula>
    </cfRule>
  </conditionalFormatting>
  <conditionalFormatting sqref="AZ25">
    <cfRule type="cellIs" dxfId="37371" priority="55544" stopIfTrue="1" operator="greaterThanOrEqual">
      <formula>0.5</formula>
    </cfRule>
  </conditionalFormatting>
  <conditionalFormatting sqref="AZ26">
    <cfRule type="cellIs" dxfId="37370" priority="55545" stopIfTrue="1" operator="equal">
      <formula>-1</formula>
    </cfRule>
  </conditionalFormatting>
  <conditionalFormatting sqref="AZ26">
    <cfRule type="cellIs" dxfId="37369" priority="55546" stopIfTrue="1" operator="lessThan">
      <formula>0.5</formula>
    </cfRule>
  </conditionalFormatting>
  <conditionalFormatting sqref="AZ26">
    <cfRule type="cellIs" dxfId="37368" priority="55547" stopIfTrue="1" operator="greaterThanOrEqual">
      <formula>0.5</formula>
    </cfRule>
  </conditionalFormatting>
  <conditionalFormatting sqref="AZ27">
    <cfRule type="cellIs" dxfId="37367" priority="55548" stopIfTrue="1" operator="equal">
      <formula>-1</formula>
    </cfRule>
  </conditionalFormatting>
  <conditionalFormatting sqref="AZ27">
    <cfRule type="cellIs" dxfId="37366" priority="55549" stopIfTrue="1" operator="lessThan">
      <formula>0.5</formula>
    </cfRule>
  </conditionalFormatting>
  <conditionalFormatting sqref="AZ27">
    <cfRule type="cellIs" dxfId="37365" priority="55550" stopIfTrue="1" operator="greaterThanOrEqual">
      <formula>0.5</formula>
    </cfRule>
  </conditionalFormatting>
  <conditionalFormatting sqref="AZ28">
    <cfRule type="cellIs" dxfId="37364" priority="55551" stopIfTrue="1" operator="equal">
      <formula>-1</formula>
    </cfRule>
  </conditionalFormatting>
  <conditionalFormatting sqref="AZ28">
    <cfRule type="cellIs" dxfId="37363" priority="55552" stopIfTrue="1" operator="lessThan">
      <formula>0.5</formula>
    </cfRule>
  </conditionalFormatting>
  <conditionalFormatting sqref="AZ28">
    <cfRule type="cellIs" dxfId="37362" priority="55553" stopIfTrue="1" operator="greaterThanOrEqual">
      <formula>0.5</formula>
    </cfRule>
  </conditionalFormatting>
  <conditionalFormatting sqref="AZ29">
    <cfRule type="cellIs" dxfId="37361" priority="55554" stopIfTrue="1" operator="equal">
      <formula>-1</formula>
    </cfRule>
  </conditionalFormatting>
  <conditionalFormatting sqref="AZ29">
    <cfRule type="cellIs" dxfId="37360" priority="55555" stopIfTrue="1" operator="lessThan">
      <formula>0.5</formula>
    </cfRule>
  </conditionalFormatting>
  <conditionalFormatting sqref="AZ29">
    <cfRule type="cellIs" dxfId="37359" priority="55556" stopIfTrue="1" operator="greaterThanOrEqual">
      <formula>0.5</formula>
    </cfRule>
  </conditionalFormatting>
  <conditionalFormatting sqref="AZ30">
    <cfRule type="cellIs" dxfId="37358" priority="55557" stopIfTrue="1" operator="equal">
      <formula>-1</formula>
    </cfRule>
  </conditionalFormatting>
  <conditionalFormatting sqref="AZ30">
    <cfRule type="cellIs" dxfId="37357" priority="55558" stopIfTrue="1" operator="lessThan">
      <formula>0.5</formula>
    </cfRule>
  </conditionalFormatting>
  <conditionalFormatting sqref="AZ30">
    <cfRule type="cellIs" dxfId="37356" priority="55559" stopIfTrue="1" operator="greaterThanOrEqual">
      <formula>0.5</formula>
    </cfRule>
  </conditionalFormatting>
  <conditionalFormatting sqref="AZ31">
    <cfRule type="cellIs" dxfId="37355" priority="55560" stopIfTrue="1" operator="equal">
      <formula>-1</formula>
    </cfRule>
  </conditionalFormatting>
  <conditionalFormatting sqref="AZ31">
    <cfRule type="cellIs" dxfId="37354" priority="55561" stopIfTrue="1" operator="lessThan">
      <formula>0.5</formula>
    </cfRule>
  </conditionalFormatting>
  <conditionalFormatting sqref="AZ31">
    <cfRule type="cellIs" dxfId="37353" priority="55562" stopIfTrue="1" operator="greaterThanOrEqual">
      <formula>0.5</formula>
    </cfRule>
  </conditionalFormatting>
  <conditionalFormatting sqref="AZ32">
    <cfRule type="cellIs" dxfId="37352" priority="55563" stopIfTrue="1" operator="equal">
      <formula>-1</formula>
    </cfRule>
  </conditionalFormatting>
  <conditionalFormatting sqref="AZ32">
    <cfRule type="cellIs" dxfId="37351" priority="55564" stopIfTrue="1" operator="lessThan">
      <formula>0.5</formula>
    </cfRule>
  </conditionalFormatting>
  <conditionalFormatting sqref="AZ32">
    <cfRule type="cellIs" dxfId="37350" priority="55565" stopIfTrue="1" operator="greaterThanOrEqual">
      <formula>0.5</formula>
    </cfRule>
  </conditionalFormatting>
  <conditionalFormatting sqref="AZ33">
    <cfRule type="cellIs" dxfId="37349" priority="55566" stopIfTrue="1" operator="equal">
      <formula>-1</formula>
    </cfRule>
  </conditionalFormatting>
  <conditionalFormatting sqref="AZ33">
    <cfRule type="cellIs" dxfId="37348" priority="55567" stopIfTrue="1" operator="lessThan">
      <formula>0.5</formula>
    </cfRule>
  </conditionalFormatting>
  <conditionalFormatting sqref="AZ33">
    <cfRule type="cellIs" dxfId="37347" priority="55568" stopIfTrue="1" operator="greaterThanOrEqual">
      <formula>0.5</formula>
    </cfRule>
  </conditionalFormatting>
  <conditionalFormatting sqref="AZ34">
    <cfRule type="cellIs" dxfId="37346" priority="55569" stopIfTrue="1" operator="equal">
      <formula>-1</formula>
    </cfRule>
  </conditionalFormatting>
  <conditionalFormatting sqref="AZ34">
    <cfRule type="cellIs" dxfId="37345" priority="55570" stopIfTrue="1" operator="lessThan">
      <formula>0.5</formula>
    </cfRule>
  </conditionalFormatting>
  <conditionalFormatting sqref="AZ34">
    <cfRule type="cellIs" dxfId="37344" priority="55571" stopIfTrue="1" operator="greaterThanOrEqual">
      <formula>0.5</formula>
    </cfRule>
  </conditionalFormatting>
  <conditionalFormatting sqref="AZ35">
    <cfRule type="cellIs" dxfId="37343" priority="55572" stopIfTrue="1" operator="equal">
      <formula>-1</formula>
    </cfRule>
  </conditionalFormatting>
  <conditionalFormatting sqref="AZ35">
    <cfRule type="cellIs" dxfId="37342" priority="55573" stopIfTrue="1" operator="lessThan">
      <formula>0.5</formula>
    </cfRule>
  </conditionalFormatting>
  <conditionalFormatting sqref="AZ35">
    <cfRule type="cellIs" dxfId="37341" priority="55574" stopIfTrue="1" operator="greaterThanOrEqual">
      <formula>0.5</formula>
    </cfRule>
  </conditionalFormatting>
  <conditionalFormatting sqref="AZ36">
    <cfRule type="cellIs" dxfId="37340" priority="55575" stopIfTrue="1" operator="equal">
      <formula>-1</formula>
    </cfRule>
  </conditionalFormatting>
  <conditionalFormatting sqref="AZ36">
    <cfRule type="cellIs" dxfId="37339" priority="55576" stopIfTrue="1" operator="lessThan">
      <formula>0.5</formula>
    </cfRule>
  </conditionalFormatting>
  <conditionalFormatting sqref="AZ36">
    <cfRule type="cellIs" dxfId="37338" priority="55577" stopIfTrue="1" operator="greaterThanOrEqual">
      <formula>0.5</formula>
    </cfRule>
  </conditionalFormatting>
  <conditionalFormatting sqref="AZ37">
    <cfRule type="cellIs" dxfId="37337" priority="55578" stopIfTrue="1" operator="equal">
      <formula>-1</formula>
    </cfRule>
  </conditionalFormatting>
  <conditionalFormatting sqref="AZ37">
    <cfRule type="cellIs" dxfId="37336" priority="55579" stopIfTrue="1" operator="lessThan">
      <formula>0.5</formula>
    </cfRule>
  </conditionalFormatting>
  <conditionalFormatting sqref="AZ37">
    <cfRule type="cellIs" dxfId="37335" priority="55580" stopIfTrue="1" operator="greaterThanOrEqual">
      <formula>0.5</formula>
    </cfRule>
  </conditionalFormatting>
  <conditionalFormatting sqref="BB17">
    <cfRule type="cellIs" dxfId="37334" priority="55581" stopIfTrue="1" operator="equal">
      <formula>-1</formula>
    </cfRule>
  </conditionalFormatting>
  <conditionalFormatting sqref="BB17">
    <cfRule type="cellIs" dxfId="37333" priority="55582" stopIfTrue="1" operator="lessThan">
      <formula>0.5</formula>
    </cfRule>
  </conditionalFormatting>
  <conditionalFormatting sqref="BB17">
    <cfRule type="cellIs" dxfId="37332" priority="55583" stopIfTrue="1" operator="greaterThanOrEqual">
      <formula>0.5</formula>
    </cfRule>
  </conditionalFormatting>
  <conditionalFormatting sqref="BB18">
    <cfRule type="cellIs" dxfId="37331" priority="55584" stopIfTrue="1" operator="equal">
      <formula>-1</formula>
    </cfRule>
  </conditionalFormatting>
  <conditionalFormatting sqref="BB18">
    <cfRule type="cellIs" dxfId="37330" priority="55585" stopIfTrue="1" operator="lessThan">
      <formula>0.5</formula>
    </cfRule>
  </conditionalFormatting>
  <conditionalFormatting sqref="BB18">
    <cfRule type="cellIs" dxfId="37329" priority="55586" stopIfTrue="1" operator="greaterThanOrEqual">
      <formula>0.5</formula>
    </cfRule>
  </conditionalFormatting>
  <conditionalFormatting sqref="BB19">
    <cfRule type="cellIs" dxfId="37328" priority="55587" stopIfTrue="1" operator="equal">
      <formula>-1</formula>
    </cfRule>
  </conditionalFormatting>
  <conditionalFormatting sqref="BB19">
    <cfRule type="cellIs" dxfId="37327" priority="55588" stopIfTrue="1" operator="lessThan">
      <formula>0.5</formula>
    </cfRule>
  </conditionalFormatting>
  <conditionalFormatting sqref="BB19">
    <cfRule type="cellIs" dxfId="37326" priority="55589" stopIfTrue="1" operator="greaterThanOrEqual">
      <formula>0.5</formula>
    </cfRule>
  </conditionalFormatting>
  <conditionalFormatting sqref="BB20">
    <cfRule type="cellIs" dxfId="37325" priority="55590" stopIfTrue="1" operator="equal">
      <formula>-1</formula>
    </cfRule>
  </conditionalFormatting>
  <conditionalFormatting sqref="BB20">
    <cfRule type="cellIs" dxfId="37324" priority="55591" stopIfTrue="1" operator="lessThan">
      <formula>0.5</formula>
    </cfRule>
  </conditionalFormatting>
  <conditionalFormatting sqref="BB20">
    <cfRule type="cellIs" dxfId="37323" priority="55592" stopIfTrue="1" operator="greaterThanOrEqual">
      <formula>0.5</formula>
    </cfRule>
  </conditionalFormatting>
  <conditionalFormatting sqref="BB21">
    <cfRule type="cellIs" dxfId="37322" priority="55593" stopIfTrue="1" operator="equal">
      <formula>-1</formula>
    </cfRule>
  </conditionalFormatting>
  <conditionalFormatting sqref="BB21">
    <cfRule type="cellIs" dxfId="37321" priority="55594" stopIfTrue="1" operator="lessThan">
      <formula>0.5</formula>
    </cfRule>
  </conditionalFormatting>
  <conditionalFormatting sqref="BB21">
    <cfRule type="cellIs" dxfId="37320" priority="55595" stopIfTrue="1" operator="greaterThanOrEqual">
      <formula>0.5</formula>
    </cfRule>
  </conditionalFormatting>
  <conditionalFormatting sqref="BB22">
    <cfRule type="cellIs" dxfId="37319" priority="55596" stopIfTrue="1" operator="equal">
      <formula>-1</formula>
    </cfRule>
  </conditionalFormatting>
  <conditionalFormatting sqref="BB22">
    <cfRule type="cellIs" dxfId="37318" priority="55597" stopIfTrue="1" operator="lessThan">
      <formula>0.5</formula>
    </cfRule>
  </conditionalFormatting>
  <conditionalFormatting sqref="BB22">
    <cfRule type="cellIs" dxfId="37317" priority="55598" stopIfTrue="1" operator="greaterThanOrEqual">
      <formula>0.5</formula>
    </cfRule>
  </conditionalFormatting>
  <conditionalFormatting sqref="BB23">
    <cfRule type="cellIs" dxfId="37316" priority="55599" stopIfTrue="1" operator="equal">
      <formula>-1</formula>
    </cfRule>
  </conditionalFormatting>
  <conditionalFormatting sqref="BB23">
    <cfRule type="cellIs" dxfId="37315" priority="55600" stopIfTrue="1" operator="lessThan">
      <formula>0.5</formula>
    </cfRule>
  </conditionalFormatting>
  <conditionalFormatting sqref="BB23">
    <cfRule type="cellIs" dxfId="37314" priority="55601" stopIfTrue="1" operator="greaterThanOrEqual">
      <formula>0.5</formula>
    </cfRule>
  </conditionalFormatting>
  <conditionalFormatting sqref="BB24">
    <cfRule type="cellIs" dxfId="37313" priority="55602" stopIfTrue="1" operator="equal">
      <formula>-1</formula>
    </cfRule>
  </conditionalFormatting>
  <conditionalFormatting sqref="BB24">
    <cfRule type="cellIs" dxfId="37312" priority="55603" stopIfTrue="1" operator="lessThan">
      <formula>0.5</formula>
    </cfRule>
  </conditionalFormatting>
  <conditionalFormatting sqref="BB24">
    <cfRule type="cellIs" dxfId="37311" priority="55604" stopIfTrue="1" operator="greaterThanOrEqual">
      <formula>0.5</formula>
    </cfRule>
  </conditionalFormatting>
  <conditionalFormatting sqref="BB25">
    <cfRule type="cellIs" dxfId="37310" priority="55605" stopIfTrue="1" operator="equal">
      <formula>-1</formula>
    </cfRule>
  </conditionalFormatting>
  <conditionalFormatting sqref="BB25">
    <cfRule type="cellIs" dxfId="37309" priority="55606" stopIfTrue="1" operator="lessThan">
      <formula>0.5</formula>
    </cfRule>
  </conditionalFormatting>
  <conditionalFormatting sqref="BB25">
    <cfRule type="cellIs" dxfId="37308" priority="55607" stopIfTrue="1" operator="greaterThanOrEqual">
      <formula>0.5</formula>
    </cfRule>
  </conditionalFormatting>
  <conditionalFormatting sqref="BB26">
    <cfRule type="cellIs" dxfId="37307" priority="55608" stopIfTrue="1" operator="equal">
      <formula>-1</formula>
    </cfRule>
  </conditionalFormatting>
  <conditionalFormatting sqref="BB26">
    <cfRule type="cellIs" dxfId="37306" priority="55609" stopIfTrue="1" operator="lessThan">
      <formula>0.5</formula>
    </cfRule>
  </conditionalFormatting>
  <conditionalFormatting sqref="BB26">
    <cfRule type="cellIs" dxfId="37305" priority="55610" stopIfTrue="1" operator="greaterThanOrEqual">
      <formula>0.5</formula>
    </cfRule>
  </conditionalFormatting>
  <conditionalFormatting sqref="BB27">
    <cfRule type="cellIs" dxfId="37304" priority="55611" stopIfTrue="1" operator="equal">
      <formula>-1</formula>
    </cfRule>
  </conditionalFormatting>
  <conditionalFormatting sqref="BB27">
    <cfRule type="cellIs" dxfId="37303" priority="55612" stopIfTrue="1" operator="lessThan">
      <formula>0.5</formula>
    </cfRule>
  </conditionalFormatting>
  <conditionalFormatting sqref="BB27">
    <cfRule type="cellIs" dxfId="37302" priority="55613" stopIfTrue="1" operator="greaterThanOrEqual">
      <formula>0.5</formula>
    </cfRule>
  </conditionalFormatting>
  <conditionalFormatting sqref="BB28">
    <cfRule type="cellIs" dxfId="37301" priority="55614" stopIfTrue="1" operator="equal">
      <formula>-1</formula>
    </cfRule>
  </conditionalFormatting>
  <conditionalFormatting sqref="BB28">
    <cfRule type="cellIs" dxfId="37300" priority="55615" stopIfTrue="1" operator="lessThan">
      <formula>0.5</formula>
    </cfRule>
  </conditionalFormatting>
  <conditionalFormatting sqref="BB28">
    <cfRule type="cellIs" dxfId="37299" priority="55616" stopIfTrue="1" operator="greaterThanOrEqual">
      <formula>0.5</formula>
    </cfRule>
  </conditionalFormatting>
  <conditionalFormatting sqref="BB29">
    <cfRule type="cellIs" dxfId="37298" priority="55617" stopIfTrue="1" operator="equal">
      <formula>-1</formula>
    </cfRule>
  </conditionalFormatting>
  <conditionalFormatting sqref="BB29">
    <cfRule type="cellIs" dxfId="37297" priority="55618" stopIfTrue="1" operator="lessThan">
      <formula>0.5</formula>
    </cfRule>
  </conditionalFormatting>
  <conditionalFormatting sqref="BB29">
    <cfRule type="cellIs" dxfId="37296" priority="55619" stopIfTrue="1" operator="greaterThanOrEqual">
      <formula>0.5</formula>
    </cfRule>
  </conditionalFormatting>
  <conditionalFormatting sqref="BB30">
    <cfRule type="cellIs" dxfId="37295" priority="55620" stopIfTrue="1" operator="equal">
      <formula>-1</formula>
    </cfRule>
  </conditionalFormatting>
  <conditionalFormatting sqref="BB30">
    <cfRule type="cellIs" dxfId="37294" priority="55621" stopIfTrue="1" operator="lessThan">
      <formula>0.5</formula>
    </cfRule>
  </conditionalFormatting>
  <conditionalFormatting sqref="BB30">
    <cfRule type="cellIs" dxfId="37293" priority="55622" stopIfTrue="1" operator="greaterThanOrEqual">
      <formula>0.5</formula>
    </cfRule>
  </conditionalFormatting>
  <conditionalFormatting sqref="BB31">
    <cfRule type="cellIs" dxfId="37292" priority="55623" stopIfTrue="1" operator="equal">
      <formula>-1</formula>
    </cfRule>
  </conditionalFormatting>
  <conditionalFormatting sqref="BB31">
    <cfRule type="cellIs" dxfId="37291" priority="55624" stopIfTrue="1" operator="lessThan">
      <formula>0.5</formula>
    </cfRule>
  </conditionalFormatting>
  <conditionalFormatting sqref="BB31">
    <cfRule type="cellIs" dxfId="37290" priority="55625" stopIfTrue="1" operator="greaterThanOrEqual">
      <formula>0.5</formula>
    </cfRule>
  </conditionalFormatting>
  <conditionalFormatting sqref="BB32">
    <cfRule type="cellIs" dxfId="37289" priority="55626" stopIfTrue="1" operator="equal">
      <formula>-1</formula>
    </cfRule>
  </conditionalFormatting>
  <conditionalFormatting sqref="BB32">
    <cfRule type="cellIs" dxfId="37288" priority="55627" stopIfTrue="1" operator="lessThan">
      <formula>0.5</formula>
    </cfRule>
  </conditionalFormatting>
  <conditionalFormatting sqref="BB32">
    <cfRule type="cellIs" dxfId="37287" priority="55628" stopIfTrue="1" operator="greaterThanOrEqual">
      <formula>0.5</formula>
    </cfRule>
  </conditionalFormatting>
  <conditionalFormatting sqref="BB33">
    <cfRule type="cellIs" dxfId="37286" priority="55629" stopIfTrue="1" operator="equal">
      <formula>-1</formula>
    </cfRule>
  </conditionalFormatting>
  <conditionalFormatting sqref="BB33">
    <cfRule type="cellIs" dxfId="37285" priority="55630" stopIfTrue="1" operator="lessThan">
      <formula>0.5</formula>
    </cfRule>
  </conditionalFormatting>
  <conditionalFormatting sqref="BB33">
    <cfRule type="cellIs" dxfId="37284" priority="55631" stopIfTrue="1" operator="greaterThanOrEqual">
      <formula>0.5</formula>
    </cfRule>
  </conditionalFormatting>
  <conditionalFormatting sqref="BB34">
    <cfRule type="cellIs" dxfId="37283" priority="55632" stopIfTrue="1" operator="equal">
      <formula>-1</formula>
    </cfRule>
  </conditionalFormatting>
  <conditionalFormatting sqref="BB34">
    <cfRule type="cellIs" dxfId="37282" priority="55633" stopIfTrue="1" operator="lessThan">
      <formula>0.5</formula>
    </cfRule>
  </conditionalFormatting>
  <conditionalFormatting sqref="BB34">
    <cfRule type="cellIs" dxfId="37281" priority="55634" stopIfTrue="1" operator="greaterThanOrEqual">
      <formula>0.5</formula>
    </cfRule>
  </conditionalFormatting>
  <conditionalFormatting sqref="BB35">
    <cfRule type="cellIs" dxfId="37280" priority="55635" stopIfTrue="1" operator="equal">
      <formula>-1</formula>
    </cfRule>
  </conditionalFormatting>
  <conditionalFormatting sqref="BB35">
    <cfRule type="cellIs" dxfId="37279" priority="55636" stopIfTrue="1" operator="lessThan">
      <formula>0.5</formula>
    </cfRule>
  </conditionalFormatting>
  <conditionalFormatting sqref="BB35">
    <cfRule type="cellIs" dxfId="37278" priority="55637" stopIfTrue="1" operator="greaterThanOrEqual">
      <formula>0.5</formula>
    </cfRule>
  </conditionalFormatting>
  <conditionalFormatting sqref="BB36">
    <cfRule type="cellIs" dxfId="37277" priority="55638" stopIfTrue="1" operator="equal">
      <formula>-1</formula>
    </cfRule>
  </conditionalFormatting>
  <conditionalFormatting sqref="BB36">
    <cfRule type="cellIs" dxfId="37276" priority="55639" stopIfTrue="1" operator="lessThan">
      <formula>0.5</formula>
    </cfRule>
  </conditionalFormatting>
  <conditionalFormatting sqref="BB36">
    <cfRule type="cellIs" dxfId="37275" priority="55640" stopIfTrue="1" operator="greaterThanOrEqual">
      <formula>0.5</formula>
    </cfRule>
  </conditionalFormatting>
  <conditionalFormatting sqref="BB37">
    <cfRule type="cellIs" dxfId="37274" priority="55641" stopIfTrue="1" operator="equal">
      <formula>-1</formula>
    </cfRule>
  </conditionalFormatting>
  <conditionalFormatting sqref="BB37">
    <cfRule type="cellIs" dxfId="37273" priority="55642" stopIfTrue="1" operator="lessThan">
      <formula>0.5</formula>
    </cfRule>
  </conditionalFormatting>
  <conditionalFormatting sqref="BB37">
    <cfRule type="cellIs" dxfId="37272" priority="55643" stopIfTrue="1" operator="greaterThanOrEqual">
      <formula>0.5</formula>
    </cfRule>
  </conditionalFormatting>
  <conditionalFormatting sqref="BD17">
    <cfRule type="cellIs" dxfId="37271" priority="55644" stopIfTrue="1" operator="equal">
      <formula>-1</formula>
    </cfRule>
  </conditionalFormatting>
  <conditionalFormatting sqref="BD17">
    <cfRule type="cellIs" dxfId="37270" priority="55645" stopIfTrue="1" operator="lessThan">
      <formula>0.5</formula>
    </cfRule>
  </conditionalFormatting>
  <conditionalFormatting sqref="BD17">
    <cfRule type="cellIs" dxfId="37269" priority="55646" stopIfTrue="1" operator="greaterThanOrEqual">
      <formula>0.5</formula>
    </cfRule>
  </conditionalFormatting>
  <conditionalFormatting sqref="BD18">
    <cfRule type="cellIs" dxfId="37268" priority="55647" stopIfTrue="1" operator="equal">
      <formula>-1</formula>
    </cfRule>
  </conditionalFormatting>
  <conditionalFormatting sqref="BD18">
    <cfRule type="cellIs" dxfId="37267" priority="55648" stopIfTrue="1" operator="lessThan">
      <formula>0.5</formula>
    </cfRule>
  </conditionalFormatting>
  <conditionalFormatting sqref="BD18">
    <cfRule type="cellIs" dxfId="37266" priority="55649" stopIfTrue="1" operator="greaterThanOrEqual">
      <formula>0.5</formula>
    </cfRule>
  </conditionalFormatting>
  <conditionalFormatting sqref="BD19">
    <cfRule type="cellIs" dxfId="37265" priority="55650" stopIfTrue="1" operator="equal">
      <formula>-1</formula>
    </cfRule>
  </conditionalFormatting>
  <conditionalFormatting sqref="BD19">
    <cfRule type="cellIs" dxfId="37264" priority="55651" stopIfTrue="1" operator="lessThan">
      <formula>0.5</formula>
    </cfRule>
  </conditionalFormatting>
  <conditionalFormatting sqref="BD19">
    <cfRule type="cellIs" dxfId="37263" priority="55652" stopIfTrue="1" operator="greaterThanOrEqual">
      <formula>0.5</formula>
    </cfRule>
  </conditionalFormatting>
  <conditionalFormatting sqref="BD20">
    <cfRule type="cellIs" dxfId="37262" priority="55653" stopIfTrue="1" operator="equal">
      <formula>-1</formula>
    </cfRule>
  </conditionalFormatting>
  <conditionalFormatting sqref="BD20">
    <cfRule type="cellIs" dxfId="37261" priority="55654" stopIfTrue="1" operator="lessThan">
      <formula>0.5</formula>
    </cfRule>
  </conditionalFormatting>
  <conditionalFormatting sqref="BD20">
    <cfRule type="cellIs" dxfId="37260" priority="55655" stopIfTrue="1" operator="greaterThanOrEqual">
      <formula>0.5</formula>
    </cfRule>
  </conditionalFormatting>
  <conditionalFormatting sqref="BD21">
    <cfRule type="cellIs" dxfId="37259" priority="55656" stopIfTrue="1" operator="equal">
      <formula>-1</formula>
    </cfRule>
  </conditionalFormatting>
  <conditionalFormatting sqref="BD21">
    <cfRule type="cellIs" dxfId="37258" priority="55657" stopIfTrue="1" operator="lessThan">
      <formula>0.5</formula>
    </cfRule>
  </conditionalFormatting>
  <conditionalFormatting sqref="BD21">
    <cfRule type="cellIs" dxfId="37257" priority="55658" stopIfTrue="1" operator="greaterThanOrEqual">
      <formula>0.5</formula>
    </cfRule>
  </conditionalFormatting>
  <conditionalFormatting sqref="BD22">
    <cfRule type="cellIs" dxfId="37256" priority="55659" stopIfTrue="1" operator="equal">
      <formula>-1</formula>
    </cfRule>
  </conditionalFormatting>
  <conditionalFormatting sqref="BD22">
    <cfRule type="cellIs" dxfId="37255" priority="55660" stopIfTrue="1" operator="lessThan">
      <formula>0.5</formula>
    </cfRule>
  </conditionalFormatting>
  <conditionalFormatting sqref="BD22">
    <cfRule type="cellIs" dxfId="37254" priority="55661" stopIfTrue="1" operator="greaterThanOrEqual">
      <formula>0.5</formula>
    </cfRule>
  </conditionalFormatting>
  <conditionalFormatting sqref="BD23">
    <cfRule type="cellIs" dxfId="37253" priority="55662" stopIfTrue="1" operator="equal">
      <formula>-1</formula>
    </cfRule>
  </conditionalFormatting>
  <conditionalFormatting sqref="BD23">
    <cfRule type="cellIs" dxfId="37252" priority="55663" stopIfTrue="1" operator="lessThan">
      <formula>0.5</formula>
    </cfRule>
  </conditionalFormatting>
  <conditionalFormatting sqref="BD23">
    <cfRule type="cellIs" dxfId="37251" priority="55664" stopIfTrue="1" operator="greaterThanOrEqual">
      <formula>0.5</formula>
    </cfRule>
  </conditionalFormatting>
  <conditionalFormatting sqref="BD24">
    <cfRule type="cellIs" dxfId="37250" priority="55665" stopIfTrue="1" operator="equal">
      <formula>-1</formula>
    </cfRule>
  </conditionalFormatting>
  <conditionalFormatting sqref="BD24">
    <cfRule type="cellIs" dxfId="37249" priority="55666" stopIfTrue="1" operator="lessThan">
      <formula>0.5</formula>
    </cfRule>
  </conditionalFormatting>
  <conditionalFormatting sqref="BD24">
    <cfRule type="cellIs" dxfId="37248" priority="55667" stopIfTrue="1" operator="greaterThanOrEqual">
      <formula>0.5</formula>
    </cfRule>
  </conditionalFormatting>
  <conditionalFormatting sqref="BD25">
    <cfRule type="cellIs" dxfId="37247" priority="55668" stopIfTrue="1" operator="equal">
      <formula>-1</formula>
    </cfRule>
  </conditionalFormatting>
  <conditionalFormatting sqref="BD25">
    <cfRule type="cellIs" dxfId="37246" priority="55669" stopIfTrue="1" operator="lessThan">
      <formula>0.5</formula>
    </cfRule>
  </conditionalFormatting>
  <conditionalFormatting sqref="BD25">
    <cfRule type="cellIs" dxfId="37245" priority="55670" stopIfTrue="1" operator="greaterThanOrEqual">
      <formula>0.5</formula>
    </cfRule>
  </conditionalFormatting>
  <conditionalFormatting sqref="BD26">
    <cfRule type="cellIs" dxfId="37244" priority="55671" stopIfTrue="1" operator="equal">
      <formula>-1</formula>
    </cfRule>
  </conditionalFormatting>
  <conditionalFormatting sqref="BD26">
    <cfRule type="cellIs" dxfId="37243" priority="55672" stopIfTrue="1" operator="lessThan">
      <formula>0.5</formula>
    </cfRule>
  </conditionalFormatting>
  <conditionalFormatting sqref="BD26">
    <cfRule type="cellIs" dxfId="37242" priority="55673" stopIfTrue="1" operator="greaterThanOrEqual">
      <formula>0.5</formula>
    </cfRule>
  </conditionalFormatting>
  <conditionalFormatting sqref="BD27">
    <cfRule type="cellIs" dxfId="37241" priority="55674" stopIfTrue="1" operator="equal">
      <formula>-1</formula>
    </cfRule>
  </conditionalFormatting>
  <conditionalFormatting sqref="BD27">
    <cfRule type="cellIs" dxfId="37240" priority="55675" stopIfTrue="1" operator="lessThan">
      <formula>0.5</formula>
    </cfRule>
  </conditionalFormatting>
  <conditionalFormatting sqref="BD27">
    <cfRule type="cellIs" dxfId="37239" priority="55676" stopIfTrue="1" operator="greaterThanOrEqual">
      <formula>0.5</formula>
    </cfRule>
  </conditionalFormatting>
  <conditionalFormatting sqref="BD28">
    <cfRule type="cellIs" dxfId="37238" priority="55677" stopIfTrue="1" operator="equal">
      <formula>-1</formula>
    </cfRule>
  </conditionalFormatting>
  <conditionalFormatting sqref="BD28">
    <cfRule type="cellIs" dxfId="37237" priority="55678" stopIfTrue="1" operator="lessThan">
      <formula>0.5</formula>
    </cfRule>
  </conditionalFormatting>
  <conditionalFormatting sqref="BD28">
    <cfRule type="cellIs" dxfId="37236" priority="55679" stopIfTrue="1" operator="greaterThanOrEqual">
      <formula>0.5</formula>
    </cfRule>
  </conditionalFormatting>
  <conditionalFormatting sqref="BD29">
    <cfRule type="cellIs" dxfId="37235" priority="55680" stopIfTrue="1" operator="equal">
      <formula>-1</formula>
    </cfRule>
  </conditionalFormatting>
  <conditionalFormatting sqref="BD29">
    <cfRule type="cellIs" dxfId="37234" priority="55681" stopIfTrue="1" operator="lessThan">
      <formula>0.5</formula>
    </cfRule>
  </conditionalFormatting>
  <conditionalFormatting sqref="BD29">
    <cfRule type="cellIs" dxfId="37233" priority="55682" stopIfTrue="1" operator="greaterThanOrEqual">
      <formula>0.5</formula>
    </cfRule>
  </conditionalFormatting>
  <conditionalFormatting sqref="BD30">
    <cfRule type="cellIs" dxfId="37232" priority="55683" stopIfTrue="1" operator="equal">
      <formula>-1</formula>
    </cfRule>
  </conditionalFormatting>
  <conditionalFormatting sqref="BD30">
    <cfRule type="cellIs" dxfId="37231" priority="55684" stopIfTrue="1" operator="lessThan">
      <formula>0.5</formula>
    </cfRule>
  </conditionalFormatting>
  <conditionalFormatting sqref="BD30">
    <cfRule type="cellIs" dxfId="37230" priority="55685" stopIfTrue="1" operator="greaterThanOrEqual">
      <formula>0.5</formula>
    </cfRule>
  </conditionalFormatting>
  <conditionalFormatting sqref="BD31">
    <cfRule type="cellIs" dxfId="37229" priority="55686" stopIfTrue="1" operator="equal">
      <formula>-1</formula>
    </cfRule>
  </conditionalFormatting>
  <conditionalFormatting sqref="BD31">
    <cfRule type="cellIs" dxfId="37228" priority="55687" stopIfTrue="1" operator="lessThan">
      <formula>0.5</formula>
    </cfRule>
  </conditionalFormatting>
  <conditionalFormatting sqref="BD31">
    <cfRule type="cellIs" dxfId="37227" priority="55688" stopIfTrue="1" operator="greaterThanOrEqual">
      <formula>0.5</formula>
    </cfRule>
  </conditionalFormatting>
  <conditionalFormatting sqref="BD32">
    <cfRule type="cellIs" dxfId="37226" priority="55689" stopIfTrue="1" operator="equal">
      <formula>-1</formula>
    </cfRule>
  </conditionalFormatting>
  <conditionalFormatting sqref="BD32">
    <cfRule type="cellIs" dxfId="37225" priority="55690" stopIfTrue="1" operator="lessThan">
      <formula>0.5</formula>
    </cfRule>
  </conditionalFormatting>
  <conditionalFormatting sqref="BD32">
    <cfRule type="cellIs" dxfId="37224" priority="55691" stopIfTrue="1" operator="greaterThanOrEqual">
      <formula>0.5</formula>
    </cfRule>
  </conditionalFormatting>
  <conditionalFormatting sqref="BD33">
    <cfRule type="cellIs" dxfId="37223" priority="55692" stopIfTrue="1" operator="equal">
      <formula>-1</formula>
    </cfRule>
  </conditionalFormatting>
  <conditionalFormatting sqref="BD33">
    <cfRule type="cellIs" dxfId="37222" priority="55693" stopIfTrue="1" operator="lessThan">
      <formula>0.5</formula>
    </cfRule>
  </conditionalFormatting>
  <conditionalFormatting sqref="BD33">
    <cfRule type="cellIs" dxfId="37221" priority="55694" stopIfTrue="1" operator="greaterThanOrEqual">
      <formula>0.5</formula>
    </cfRule>
  </conditionalFormatting>
  <conditionalFormatting sqref="BD34">
    <cfRule type="cellIs" dxfId="37220" priority="55695" stopIfTrue="1" operator="equal">
      <formula>-1</formula>
    </cfRule>
  </conditionalFormatting>
  <conditionalFormatting sqref="BD34">
    <cfRule type="cellIs" dxfId="37219" priority="55696" stopIfTrue="1" operator="lessThan">
      <formula>0.5</formula>
    </cfRule>
  </conditionalFormatting>
  <conditionalFormatting sqref="BD34">
    <cfRule type="cellIs" dxfId="37218" priority="55697" stopIfTrue="1" operator="greaterThanOrEqual">
      <formula>0.5</formula>
    </cfRule>
  </conditionalFormatting>
  <conditionalFormatting sqref="BD35">
    <cfRule type="cellIs" dxfId="37217" priority="55698" stopIfTrue="1" operator="equal">
      <formula>-1</formula>
    </cfRule>
  </conditionalFormatting>
  <conditionalFormatting sqref="BD35">
    <cfRule type="cellIs" dxfId="37216" priority="55699" stopIfTrue="1" operator="lessThan">
      <formula>0.5</formula>
    </cfRule>
  </conditionalFormatting>
  <conditionalFormatting sqref="BD35">
    <cfRule type="cellIs" dxfId="37215" priority="55700" stopIfTrue="1" operator="greaterThanOrEqual">
      <formula>0.5</formula>
    </cfRule>
  </conditionalFormatting>
  <conditionalFormatting sqref="BD36">
    <cfRule type="cellIs" dxfId="37214" priority="55701" stopIfTrue="1" operator="equal">
      <formula>-1</formula>
    </cfRule>
  </conditionalFormatting>
  <conditionalFormatting sqref="BD36">
    <cfRule type="cellIs" dxfId="37213" priority="55702" stopIfTrue="1" operator="lessThan">
      <formula>0.5</formula>
    </cfRule>
  </conditionalFormatting>
  <conditionalFormatting sqref="BD36">
    <cfRule type="cellIs" dxfId="37212" priority="55703" stopIfTrue="1" operator="greaterThanOrEqual">
      <formula>0.5</formula>
    </cfRule>
  </conditionalFormatting>
  <conditionalFormatting sqref="BD37">
    <cfRule type="cellIs" dxfId="37211" priority="55704" stopIfTrue="1" operator="equal">
      <formula>-1</formula>
    </cfRule>
  </conditionalFormatting>
  <conditionalFormatting sqref="BD37">
    <cfRule type="cellIs" dxfId="37210" priority="55705" stopIfTrue="1" operator="lessThan">
      <formula>0.5</formula>
    </cfRule>
  </conditionalFormatting>
  <conditionalFormatting sqref="BD37">
    <cfRule type="cellIs" dxfId="37209" priority="55706" stopIfTrue="1" operator="greaterThanOrEqual">
      <formula>0.5</formula>
    </cfRule>
  </conditionalFormatting>
  <conditionalFormatting sqref="BF17">
    <cfRule type="cellIs" dxfId="37208" priority="55707" stopIfTrue="1" operator="equal">
      <formula>-1</formula>
    </cfRule>
  </conditionalFormatting>
  <conditionalFormatting sqref="BF17">
    <cfRule type="cellIs" dxfId="37207" priority="55708" stopIfTrue="1" operator="lessThan">
      <formula>0.5</formula>
    </cfRule>
  </conditionalFormatting>
  <conditionalFormatting sqref="BF17">
    <cfRule type="cellIs" dxfId="37206" priority="55709" stopIfTrue="1" operator="greaterThanOrEqual">
      <formula>0.5</formula>
    </cfRule>
  </conditionalFormatting>
  <conditionalFormatting sqref="BF18">
    <cfRule type="cellIs" dxfId="37205" priority="55710" stopIfTrue="1" operator="equal">
      <formula>-1</formula>
    </cfRule>
  </conditionalFormatting>
  <conditionalFormatting sqref="BF18">
    <cfRule type="cellIs" dxfId="37204" priority="55711" stopIfTrue="1" operator="lessThan">
      <formula>0.5</formula>
    </cfRule>
  </conditionalFormatting>
  <conditionalFormatting sqref="BF18">
    <cfRule type="cellIs" dxfId="37203" priority="55712" stopIfTrue="1" operator="greaterThanOrEqual">
      <formula>0.5</formula>
    </cfRule>
  </conditionalFormatting>
  <conditionalFormatting sqref="BF19">
    <cfRule type="cellIs" dxfId="37202" priority="55713" stopIfTrue="1" operator="equal">
      <formula>-1</formula>
    </cfRule>
  </conditionalFormatting>
  <conditionalFormatting sqref="BF19">
    <cfRule type="cellIs" dxfId="37201" priority="55714" stopIfTrue="1" operator="lessThan">
      <formula>0.5</formula>
    </cfRule>
  </conditionalFormatting>
  <conditionalFormatting sqref="BF19">
    <cfRule type="cellIs" dxfId="37200" priority="55715" stopIfTrue="1" operator="greaterThanOrEqual">
      <formula>0.5</formula>
    </cfRule>
  </conditionalFormatting>
  <conditionalFormatting sqref="BF20">
    <cfRule type="cellIs" dxfId="37199" priority="55716" stopIfTrue="1" operator="equal">
      <formula>-1</formula>
    </cfRule>
  </conditionalFormatting>
  <conditionalFormatting sqref="BF20">
    <cfRule type="cellIs" dxfId="37198" priority="55717" stopIfTrue="1" operator="lessThan">
      <formula>0.5</formula>
    </cfRule>
  </conditionalFormatting>
  <conditionalFormatting sqref="BF20">
    <cfRule type="cellIs" dxfId="37197" priority="55718" stopIfTrue="1" operator="greaterThanOrEqual">
      <formula>0.5</formula>
    </cfRule>
  </conditionalFormatting>
  <conditionalFormatting sqref="BF21">
    <cfRule type="cellIs" dxfId="37196" priority="55719" stopIfTrue="1" operator="equal">
      <formula>-1</formula>
    </cfRule>
  </conditionalFormatting>
  <conditionalFormatting sqref="BF21">
    <cfRule type="cellIs" dxfId="37195" priority="55720" stopIfTrue="1" operator="lessThan">
      <formula>0.5</formula>
    </cfRule>
  </conditionalFormatting>
  <conditionalFormatting sqref="BF21">
    <cfRule type="cellIs" dxfId="37194" priority="55721" stopIfTrue="1" operator="greaterThanOrEqual">
      <formula>0.5</formula>
    </cfRule>
  </conditionalFormatting>
  <conditionalFormatting sqref="BF22">
    <cfRule type="cellIs" dxfId="37193" priority="55722" stopIfTrue="1" operator="equal">
      <formula>-1</formula>
    </cfRule>
  </conditionalFormatting>
  <conditionalFormatting sqref="BF22">
    <cfRule type="cellIs" dxfId="37192" priority="55723" stopIfTrue="1" operator="lessThan">
      <formula>0.5</formula>
    </cfRule>
  </conditionalFormatting>
  <conditionalFormatting sqref="BF22">
    <cfRule type="cellIs" dxfId="37191" priority="55724" stopIfTrue="1" operator="greaterThanOrEqual">
      <formula>0.5</formula>
    </cfRule>
  </conditionalFormatting>
  <conditionalFormatting sqref="BF23">
    <cfRule type="cellIs" dxfId="37190" priority="55725" stopIfTrue="1" operator="equal">
      <formula>-1</formula>
    </cfRule>
  </conditionalFormatting>
  <conditionalFormatting sqref="BF23">
    <cfRule type="cellIs" dxfId="37189" priority="55726" stopIfTrue="1" operator="lessThan">
      <formula>0.5</formula>
    </cfRule>
  </conditionalFormatting>
  <conditionalFormatting sqref="BF23">
    <cfRule type="cellIs" dxfId="37188" priority="55727" stopIfTrue="1" operator="greaterThanOrEqual">
      <formula>0.5</formula>
    </cfRule>
  </conditionalFormatting>
  <conditionalFormatting sqref="BF24">
    <cfRule type="cellIs" dxfId="37187" priority="55728" stopIfTrue="1" operator="equal">
      <formula>-1</formula>
    </cfRule>
  </conditionalFormatting>
  <conditionalFormatting sqref="BF24">
    <cfRule type="cellIs" dxfId="37186" priority="55729" stopIfTrue="1" operator="lessThan">
      <formula>0.5</formula>
    </cfRule>
  </conditionalFormatting>
  <conditionalFormatting sqref="BF24">
    <cfRule type="cellIs" dxfId="37185" priority="55730" stopIfTrue="1" operator="greaterThanOrEqual">
      <formula>0.5</formula>
    </cfRule>
  </conditionalFormatting>
  <conditionalFormatting sqref="BF25">
    <cfRule type="cellIs" dxfId="37184" priority="55731" stopIfTrue="1" operator="equal">
      <formula>-1</formula>
    </cfRule>
  </conditionalFormatting>
  <conditionalFormatting sqref="BF25">
    <cfRule type="cellIs" dxfId="37183" priority="55732" stopIfTrue="1" operator="lessThan">
      <formula>0.5</formula>
    </cfRule>
  </conditionalFormatting>
  <conditionalFormatting sqref="BF25">
    <cfRule type="cellIs" dxfId="37182" priority="55733" stopIfTrue="1" operator="greaterThanOrEqual">
      <formula>0.5</formula>
    </cfRule>
  </conditionalFormatting>
  <conditionalFormatting sqref="BF26">
    <cfRule type="cellIs" dxfId="37181" priority="55734" stopIfTrue="1" operator="equal">
      <formula>-1</formula>
    </cfRule>
  </conditionalFormatting>
  <conditionalFormatting sqref="BF26">
    <cfRule type="cellIs" dxfId="37180" priority="55735" stopIfTrue="1" operator="lessThan">
      <formula>0.5</formula>
    </cfRule>
  </conditionalFormatting>
  <conditionalFormatting sqref="BF26">
    <cfRule type="cellIs" dxfId="37179" priority="55736" stopIfTrue="1" operator="greaterThanOrEqual">
      <formula>0.5</formula>
    </cfRule>
  </conditionalFormatting>
  <conditionalFormatting sqref="BF27">
    <cfRule type="cellIs" dxfId="37178" priority="55737" stopIfTrue="1" operator="equal">
      <formula>-1</formula>
    </cfRule>
  </conditionalFormatting>
  <conditionalFormatting sqref="BF27">
    <cfRule type="cellIs" dxfId="37177" priority="55738" stopIfTrue="1" operator="lessThan">
      <formula>0.5</formula>
    </cfRule>
  </conditionalFormatting>
  <conditionalFormatting sqref="BF27">
    <cfRule type="cellIs" dxfId="37176" priority="55739" stopIfTrue="1" operator="greaterThanOrEqual">
      <formula>0.5</formula>
    </cfRule>
  </conditionalFormatting>
  <conditionalFormatting sqref="BF28">
    <cfRule type="cellIs" dxfId="37175" priority="55740" stopIfTrue="1" operator="equal">
      <formula>-1</formula>
    </cfRule>
  </conditionalFormatting>
  <conditionalFormatting sqref="BF28">
    <cfRule type="cellIs" dxfId="37174" priority="55741" stopIfTrue="1" operator="lessThan">
      <formula>0.5</formula>
    </cfRule>
  </conditionalFormatting>
  <conditionalFormatting sqref="BF28">
    <cfRule type="cellIs" dxfId="37173" priority="55742" stopIfTrue="1" operator="greaterThanOrEqual">
      <formula>0.5</formula>
    </cfRule>
  </conditionalFormatting>
  <conditionalFormatting sqref="BF29">
    <cfRule type="cellIs" dxfId="37172" priority="55743" stopIfTrue="1" operator="equal">
      <formula>-1</formula>
    </cfRule>
  </conditionalFormatting>
  <conditionalFormatting sqref="BF29">
    <cfRule type="cellIs" dxfId="37171" priority="55744" stopIfTrue="1" operator="lessThan">
      <formula>0.5</formula>
    </cfRule>
  </conditionalFormatting>
  <conditionalFormatting sqref="BF29">
    <cfRule type="cellIs" dxfId="37170" priority="55745" stopIfTrue="1" operator="greaterThanOrEqual">
      <formula>0.5</formula>
    </cfRule>
  </conditionalFormatting>
  <conditionalFormatting sqref="BF30">
    <cfRule type="cellIs" dxfId="37169" priority="55746" stopIfTrue="1" operator="equal">
      <formula>-1</formula>
    </cfRule>
  </conditionalFormatting>
  <conditionalFormatting sqref="BF30">
    <cfRule type="cellIs" dxfId="37168" priority="55747" stopIfTrue="1" operator="lessThan">
      <formula>0.5</formula>
    </cfRule>
  </conditionalFormatting>
  <conditionalFormatting sqref="BF30">
    <cfRule type="cellIs" dxfId="37167" priority="55748" stopIfTrue="1" operator="greaterThanOrEqual">
      <formula>0.5</formula>
    </cfRule>
  </conditionalFormatting>
  <conditionalFormatting sqref="BF31">
    <cfRule type="cellIs" dxfId="37166" priority="55749" stopIfTrue="1" operator="equal">
      <formula>-1</formula>
    </cfRule>
  </conditionalFormatting>
  <conditionalFormatting sqref="BF31">
    <cfRule type="cellIs" dxfId="37165" priority="55750" stopIfTrue="1" operator="lessThan">
      <formula>0.5</formula>
    </cfRule>
  </conditionalFormatting>
  <conditionalFormatting sqref="BF31">
    <cfRule type="cellIs" dxfId="37164" priority="55751" stopIfTrue="1" operator="greaterThanOrEqual">
      <formula>0.5</formula>
    </cfRule>
  </conditionalFormatting>
  <conditionalFormatting sqref="BF32">
    <cfRule type="cellIs" dxfId="37163" priority="55752" stopIfTrue="1" operator="equal">
      <formula>-1</formula>
    </cfRule>
  </conditionalFormatting>
  <conditionalFormatting sqref="BF32">
    <cfRule type="cellIs" dxfId="37162" priority="55753" stopIfTrue="1" operator="lessThan">
      <formula>0.5</formula>
    </cfRule>
  </conditionalFormatting>
  <conditionalFormatting sqref="BF32">
    <cfRule type="cellIs" dxfId="37161" priority="55754" stopIfTrue="1" operator="greaterThanOrEqual">
      <formula>0.5</formula>
    </cfRule>
  </conditionalFormatting>
  <conditionalFormatting sqref="BF33">
    <cfRule type="cellIs" dxfId="37160" priority="55755" stopIfTrue="1" operator="equal">
      <formula>-1</formula>
    </cfRule>
  </conditionalFormatting>
  <conditionalFormatting sqref="BF33">
    <cfRule type="cellIs" dxfId="37159" priority="55756" stopIfTrue="1" operator="lessThan">
      <formula>0.5</formula>
    </cfRule>
  </conditionalFormatting>
  <conditionalFormatting sqref="BF33">
    <cfRule type="cellIs" dxfId="37158" priority="55757" stopIfTrue="1" operator="greaterThanOrEqual">
      <formula>0.5</formula>
    </cfRule>
  </conditionalFormatting>
  <conditionalFormatting sqref="BF34">
    <cfRule type="cellIs" dxfId="37157" priority="55758" stopIfTrue="1" operator="equal">
      <formula>-1</formula>
    </cfRule>
  </conditionalFormatting>
  <conditionalFormatting sqref="BF34">
    <cfRule type="cellIs" dxfId="37156" priority="55759" stopIfTrue="1" operator="lessThan">
      <formula>0.5</formula>
    </cfRule>
  </conditionalFormatting>
  <conditionalFormatting sqref="BF34">
    <cfRule type="cellIs" dxfId="37155" priority="55760" stopIfTrue="1" operator="greaterThanOrEqual">
      <formula>0.5</formula>
    </cfRule>
  </conditionalFormatting>
  <conditionalFormatting sqref="BF35">
    <cfRule type="cellIs" dxfId="37154" priority="55761" stopIfTrue="1" operator="equal">
      <formula>-1</formula>
    </cfRule>
  </conditionalFormatting>
  <conditionalFormatting sqref="BF35">
    <cfRule type="cellIs" dxfId="37153" priority="55762" stopIfTrue="1" operator="lessThan">
      <formula>0.5</formula>
    </cfRule>
  </conditionalFormatting>
  <conditionalFormatting sqref="BF35">
    <cfRule type="cellIs" dxfId="37152" priority="55763" stopIfTrue="1" operator="greaterThanOrEqual">
      <formula>0.5</formula>
    </cfRule>
  </conditionalFormatting>
  <conditionalFormatting sqref="BF36">
    <cfRule type="cellIs" dxfId="37151" priority="55764" stopIfTrue="1" operator="equal">
      <formula>-1</formula>
    </cfRule>
  </conditionalFormatting>
  <conditionalFormatting sqref="BF36">
    <cfRule type="cellIs" dxfId="37150" priority="55765" stopIfTrue="1" operator="lessThan">
      <formula>0.5</formula>
    </cfRule>
  </conditionalFormatting>
  <conditionalFormatting sqref="BF36">
    <cfRule type="cellIs" dxfId="37149" priority="55766" stopIfTrue="1" operator="greaterThanOrEqual">
      <formula>0.5</formula>
    </cfRule>
  </conditionalFormatting>
  <conditionalFormatting sqref="BF37">
    <cfRule type="cellIs" dxfId="37148" priority="55767" stopIfTrue="1" operator="equal">
      <formula>-1</formula>
    </cfRule>
  </conditionalFormatting>
  <conditionalFormatting sqref="BF37">
    <cfRule type="cellIs" dxfId="37147" priority="55768" stopIfTrue="1" operator="lessThan">
      <formula>0.5</formula>
    </cfRule>
  </conditionalFormatting>
  <conditionalFormatting sqref="BF37">
    <cfRule type="cellIs" dxfId="37146" priority="55769" stopIfTrue="1" operator="greaterThanOrEqual">
      <formula>0.5</formula>
    </cfRule>
  </conditionalFormatting>
  <conditionalFormatting sqref="BH17">
    <cfRule type="cellIs" dxfId="37145" priority="55770" stopIfTrue="1" operator="equal">
      <formula>-1</formula>
    </cfRule>
  </conditionalFormatting>
  <conditionalFormatting sqref="BH17">
    <cfRule type="cellIs" dxfId="37144" priority="55771" stopIfTrue="1" operator="lessThan">
      <formula>0.5</formula>
    </cfRule>
  </conditionalFormatting>
  <conditionalFormatting sqref="BH17">
    <cfRule type="cellIs" dxfId="37143" priority="55772" stopIfTrue="1" operator="greaterThanOrEqual">
      <formula>0.5</formula>
    </cfRule>
  </conditionalFormatting>
  <conditionalFormatting sqref="BH18">
    <cfRule type="cellIs" dxfId="37142" priority="55773" stopIfTrue="1" operator="equal">
      <formula>-1</formula>
    </cfRule>
  </conditionalFormatting>
  <conditionalFormatting sqref="BH18">
    <cfRule type="cellIs" dxfId="37141" priority="55774" stopIfTrue="1" operator="lessThan">
      <formula>0.5</formula>
    </cfRule>
  </conditionalFormatting>
  <conditionalFormatting sqref="BH18">
    <cfRule type="cellIs" dxfId="37140" priority="55775" stopIfTrue="1" operator="greaterThanOrEqual">
      <formula>0.5</formula>
    </cfRule>
  </conditionalFormatting>
  <conditionalFormatting sqref="BH19">
    <cfRule type="cellIs" dxfId="37139" priority="55776" stopIfTrue="1" operator="equal">
      <formula>-1</formula>
    </cfRule>
  </conditionalFormatting>
  <conditionalFormatting sqref="BH19">
    <cfRule type="cellIs" dxfId="37138" priority="55777" stopIfTrue="1" operator="lessThan">
      <formula>0.5</formula>
    </cfRule>
  </conditionalFormatting>
  <conditionalFormatting sqref="BH19">
    <cfRule type="cellIs" dxfId="37137" priority="55778" stopIfTrue="1" operator="greaterThanOrEqual">
      <formula>0.5</formula>
    </cfRule>
  </conditionalFormatting>
  <conditionalFormatting sqref="BH20">
    <cfRule type="cellIs" dxfId="37136" priority="55779" stopIfTrue="1" operator="equal">
      <formula>-1</formula>
    </cfRule>
  </conditionalFormatting>
  <conditionalFormatting sqref="BH20">
    <cfRule type="cellIs" dxfId="37135" priority="55780" stopIfTrue="1" operator="lessThan">
      <formula>0.5</formula>
    </cfRule>
  </conditionalFormatting>
  <conditionalFormatting sqref="BH20">
    <cfRule type="cellIs" dxfId="37134" priority="55781" stopIfTrue="1" operator="greaterThanOrEqual">
      <formula>0.5</formula>
    </cfRule>
  </conditionalFormatting>
  <conditionalFormatting sqref="BH21">
    <cfRule type="cellIs" dxfId="37133" priority="55782" stopIfTrue="1" operator="equal">
      <formula>-1</formula>
    </cfRule>
  </conditionalFormatting>
  <conditionalFormatting sqref="BH21">
    <cfRule type="cellIs" dxfId="37132" priority="55783" stopIfTrue="1" operator="lessThan">
      <formula>0.5</formula>
    </cfRule>
  </conditionalFormatting>
  <conditionalFormatting sqref="BH21">
    <cfRule type="cellIs" dxfId="37131" priority="55784" stopIfTrue="1" operator="greaterThanOrEqual">
      <formula>0.5</formula>
    </cfRule>
  </conditionalFormatting>
  <conditionalFormatting sqref="BH22">
    <cfRule type="cellIs" dxfId="37130" priority="55785" stopIfTrue="1" operator="equal">
      <formula>-1</formula>
    </cfRule>
  </conditionalFormatting>
  <conditionalFormatting sqref="BH22">
    <cfRule type="cellIs" dxfId="37129" priority="55786" stopIfTrue="1" operator="lessThan">
      <formula>0.5</formula>
    </cfRule>
  </conditionalFormatting>
  <conditionalFormatting sqref="BH22">
    <cfRule type="cellIs" dxfId="37128" priority="55787" stopIfTrue="1" operator="greaterThanOrEqual">
      <formula>0.5</formula>
    </cfRule>
  </conditionalFormatting>
  <conditionalFormatting sqref="BH23">
    <cfRule type="cellIs" dxfId="37127" priority="55788" stopIfTrue="1" operator="equal">
      <formula>-1</formula>
    </cfRule>
  </conditionalFormatting>
  <conditionalFormatting sqref="BH23">
    <cfRule type="cellIs" dxfId="37126" priority="55789" stopIfTrue="1" operator="lessThan">
      <formula>0.5</formula>
    </cfRule>
  </conditionalFormatting>
  <conditionalFormatting sqref="BH23">
    <cfRule type="cellIs" dxfId="37125" priority="55790" stopIfTrue="1" operator="greaterThanOrEqual">
      <formula>0.5</formula>
    </cfRule>
  </conditionalFormatting>
  <conditionalFormatting sqref="BH24">
    <cfRule type="cellIs" dxfId="37124" priority="55791" stopIfTrue="1" operator="equal">
      <formula>-1</formula>
    </cfRule>
  </conditionalFormatting>
  <conditionalFormatting sqref="BH24">
    <cfRule type="cellIs" dxfId="37123" priority="55792" stopIfTrue="1" operator="lessThan">
      <formula>0.5</formula>
    </cfRule>
  </conditionalFormatting>
  <conditionalFormatting sqref="BH24">
    <cfRule type="cellIs" dxfId="37122" priority="55793" stopIfTrue="1" operator="greaterThanOrEqual">
      <formula>0.5</formula>
    </cfRule>
  </conditionalFormatting>
  <conditionalFormatting sqref="BH25">
    <cfRule type="cellIs" dxfId="37121" priority="55794" stopIfTrue="1" operator="equal">
      <formula>-1</formula>
    </cfRule>
  </conditionalFormatting>
  <conditionalFormatting sqref="BH25">
    <cfRule type="cellIs" dxfId="37120" priority="55795" stopIfTrue="1" operator="lessThan">
      <formula>0.5</formula>
    </cfRule>
  </conditionalFormatting>
  <conditionalFormatting sqref="BH25">
    <cfRule type="cellIs" dxfId="37119" priority="55796" stopIfTrue="1" operator="greaterThanOrEqual">
      <formula>0.5</formula>
    </cfRule>
  </conditionalFormatting>
  <conditionalFormatting sqref="BH26">
    <cfRule type="cellIs" dxfId="37118" priority="55797" stopIfTrue="1" operator="equal">
      <formula>-1</formula>
    </cfRule>
  </conditionalFormatting>
  <conditionalFormatting sqref="BH26">
    <cfRule type="cellIs" dxfId="37117" priority="55798" stopIfTrue="1" operator="lessThan">
      <formula>0.5</formula>
    </cfRule>
  </conditionalFormatting>
  <conditionalFormatting sqref="BH26">
    <cfRule type="cellIs" dxfId="37116" priority="55799" stopIfTrue="1" operator="greaterThanOrEqual">
      <formula>0.5</formula>
    </cfRule>
  </conditionalFormatting>
  <conditionalFormatting sqref="BH27">
    <cfRule type="cellIs" dxfId="37115" priority="55800" stopIfTrue="1" operator="equal">
      <formula>-1</formula>
    </cfRule>
  </conditionalFormatting>
  <conditionalFormatting sqref="BH27">
    <cfRule type="cellIs" dxfId="37114" priority="55801" stopIfTrue="1" operator="lessThan">
      <formula>0.5</formula>
    </cfRule>
  </conditionalFormatting>
  <conditionalFormatting sqref="BH27">
    <cfRule type="cellIs" dxfId="37113" priority="55802" stopIfTrue="1" operator="greaterThanOrEqual">
      <formula>0.5</formula>
    </cfRule>
  </conditionalFormatting>
  <conditionalFormatting sqref="BH28">
    <cfRule type="cellIs" dxfId="37112" priority="55803" stopIfTrue="1" operator="equal">
      <formula>-1</formula>
    </cfRule>
  </conditionalFormatting>
  <conditionalFormatting sqref="BH28">
    <cfRule type="cellIs" dxfId="37111" priority="55804" stopIfTrue="1" operator="lessThan">
      <formula>0.5</formula>
    </cfRule>
  </conditionalFormatting>
  <conditionalFormatting sqref="BH28">
    <cfRule type="cellIs" dxfId="37110" priority="55805" stopIfTrue="1" operator="greaterThanOrEqual">
      <formula>0.5</formula>
    </cfRule>
  </conditionalFormatting>
  <conditionalFormatting sqref="BH29">
    <cfRule type="cellIs" dxfId="37109" priority="55806" stopIfTrue="1" operator="equal">
      <formula>-1</formula>
    </cfRule>
  </conditionalFormatting>
  <conditionalFormatting sqref="BH29">
    <cfRule type="cellIs" dxfId="37108" priority="55807" stopIfTrue="1" operator="lessThan">
      <formula>0.5</formula>
    </cfRule>
  </conditionalFormatting>
  <conditionalFormatting sqref="BH29">
    <cfRule type="cellIs" dxfId="37107" priority="55808" stopIfTrue="1" operator="greaterThanOrEqual">
      <formula>0.5</formula>
    </cfRule>
  </conditionalFormatting>
  <conditionalFormatting sqref="BH30">
    <cfRule type="cellIs" dxfId="37106" priority="55809" stopIfTrue="1" operator="equal">
      <formula>-1</formula>
    </cfRule>
  </conditionalFormatting>
  <conditionalFormatting sqref="BH30">
    <cfRule type="cellIs" dxfId="37105" priority="55810" stopIfTrue="1" operator="lessThan">
      <formula>0.5</formula>
    </cfRule>
  </conditionalFormatting>
  <conditionalFormatting sqref="BH30">
    <cfRule type="cellIs" dxfId="37104" priority="55811" stopIfTrue="1" operator="greaterThanOrEqual">
      <formula>0.5</formula>
    </cfRule>
  </conditionalFormatting>
  <conditionalFormatting sqref="BH31">
    <cfRule type="cellIs" dxfId="37103" priority="55812" stopIfTrue="1" operator="equal">
      <formula>-1</formula>
    </cfRule>
  </conditionalFormatting>
  <conditionalFormatting sqref="BH31">
    <cfRule type="cellIs" dxfId="37102" priority="55813" stopIfTrue="1" operator="lessThan">
      <formula>0.5</formula>
    </cfRule>
  </conditionalFormatting>
  <conditionalFormatting sqref="BH31">
    <cfRule type="cellIs" dxfId="37101" priority="55814" stopIfTrue="1" operator="greaterThanOrEqual">
      <formula>0.5</formula>
    </cfRule>
  </conditionalFormatting>
  <conditionalFormatting sqref="BH32">
    <cfRule type="cellIs" dxfId="37100" priority="55815" stopIfTrue="1" operator="equal">
      <formula>-1</formula>
    </cfRule>
  </conditionalFormatting>
  <conditionalFormatting sqref="BH32">
    <cfRule type="cellIs" dxfId="37099" priority="55816" stopIfTrue="1" operator="lessThan">
      <formula>0.5</formula>
    </cfRule>
  </conditionalFormatting>
  <conditionalFormatting sqref="BH32">
    <cfRule type="cellIs" dxfId="37098" priority="55817" stopIfTrue="1" operator="greaterThanOrEqual">
      <formula>0.5</formula>
    </cfRule>
  </conditionalFormatting>
  <conditionalFormatting sqref="BH33">
    <cfRule type="cellIs" dxfId="37097" priority="55818" stopIfTrue="1" operator="equal">
      <formula>-1</formula>
    </cfRule>
  </conditionalFormatting>
  <conditionalFormatting sqref="BH33">
    <cfRule type="cellIs" dxfId="37096" priority="55819" stopIfTrue="1" operator="lessThan">
      <formula>0.5</formula>
    </cfRule>
  </conditionalFormatting>
  <conditionalFormatting sqref="BH33">
    <cfRule type="cellIs" dxfId="37095" priority="55820" stopIfTrue="1" operator="greaterThanOrEqual">
      <formula>0.5</formula>
    </cfRule>
  </conditionalFormatting>
  <conditionalFormatting sqref="BH34">
    <cfRule type="cellIs" dxfId="37094" priority="55821" stopIfTrue="1" operator="equal">
      <formula>-1</formula>
    </cfRule>
  </conditionalFormatting>
  <conditionalFormatting sqref="BH34">
    <cfRule type="cellIs" dxfId="37093" priority="55822" stopIfTrue="1" operator="lessThan">
      <formula>0.5</formula>
    </cfRule>
  </conditionalFormatting>
  <conditionalFormatting sqref="BH34">
    <cfRule type="cellIs" dxfId="37092" priority="55823" stopIfTrue="1" operator="greaterThanOrEqual">
      <formula>0.5</formula>
    </cfRule>
  </conditionalFormatting>
  <conditionalFormatting sqref="BH35">
    <cfRule type="cellIs" dxfId="37091" priority="55824" stopIfTrue="1" operator="equal">
      <formula>-1</formula>
    </cfRule>
  </conditionalFormatting>
  <conditionalFormatting sqref="BH35">
    <cfRule type="cellIs" dxfId="37090" priority="55825" stopIfTrue="1" operator="lessThan">
      <formula>0.5</formula>
    </cfRule>
  </conditionalFormatting>
  <conditionalFormatting sqref="BH35">
    <cfRule type="cellIs" dxfId="37089" priority="55826" stopIfTrue="1" operator="greaterThanOrEqual">
      <formula>0.5</formula>
    </cfRule>
  </conditionalFormatting>
  <conditionalFormatting sqref="BH36">
    <cfRule type="cellIs" dxfId="37088" priority="55827" stopIfTrue="1" operator="equal">
      <formula>-1</formula>
    </cfRule>
  </conditionalFormatting>
  <conditionalFormatting sqref="BH36">
    <cfRule type="cellIs" dxfId="37087" priority="55828" stopIfTrue="1" operator="lessThan">
      <formula>0.5</formula>
    </cfRule>
  </conditionalFormatting>
  <conditionalFormatting sqref="BH36">
    <cfRule type="cellIs" dxfId="37086" priority="55829" stopIfTrue="1" operator="greaterThanOrEqual">
      <formula>0.5</formula>
    </cfRule>
  </conditionalFormatting>
  <conditionalFormatting sqref="BH37">
    <cfRule type="cellIs" dxfId="37085" priority="55830" stopIfTrue="1" operator="equal">
      <formula>-1</formula>
    </cfRule>
  </conditionalFormatting>
  <conditionalFormatting sqref="BH37">
    <cfRule type="cellIs" dxfId="37084" priority="55831" stopIfTrue="1" operator="lessThan">
      <formula>0.5</formula>
    </cfRule>
  </conditionalFormatting>
  <conditionalFormatting sqref="BH37">
    <cfRule type="cellIs" dxfId="37083" priority="55832" stopIfTrue="1" operator="greaterThanOrEqual">
      <formula>0.5</formula>
    </cfRule>
  </conditionalFormatting>
  <conditionalFormatting sqref="BJ17">
    <cfRule type="cellIs" dxfId="37082" priority="55833" stopIfTrue="1" operator="equal">
      <formula>-1</formula>
    </cfRule>
  </conditionalFormatting>
  <conditionalFormatting sqref="BJ17">
    <cfRule type="cellIs" dxfId="37081" priority="55834" stopIfTrue="1" operator="lessThan">
      <formula>0.5</formula>
    </cfRule>
  </conditionalFormatting>
  <conditionalFormatting sqref="BJ17">
    <cfRule type="cellIs" dxfId="37080" priority="55835" stopIfTrue="1" operator="greaterThanOrEqual">
      <formula>0.5</formula>
    </cfRule>
  </conditionalFormatting>
  <conditionalFormatting sqref="BJ18">
    <cfRule type="cellIs" dxfId="37079" priority="55836" stopIfTrue="1" operator="equal">
      <formula>-1</formula>
    </cfRule>
  </conditionalFormatting>
  <conditionalFormatting sqref="BJ18">
    <cfRule type="cellIs" dxfId="37078" priority="55837" stopIfTrue="1" operator="lessThan">
      <formula>0.5</formula>
    </cfRule>
  </conditionalFormatting>
  <conditionalFormatting sqref="BJ18">
    <cfRule type="cellIs" dxfId="37077" priority="55838" stopIfTrue="1" operator="greaterThanOrEqual">
      <formula>0.5</formula>
    </cfRule>
  </conditionalFormatting>
  <conditionalFormatting sqref="BJ19">
    <cfRule type="cellIs" dxfId="37076" priority="55839" stopIfTrue="1" operator="equal">
      <formula>-1</formula>
    </cfRule>
  </conditionalFormatting>
  <conditionalFormatting sqref="BJ19">
    <cfRule type="cellIs" dxfId="37075" priority="55840" stopIfTrue="1" operator="lessThan">
      <formula>0.5</formula>
    </cfRule>
  </conditionalFormatting>
  <conditionalFormatting sqref="BJ19">
    <cfRule type="cellIs" dxfId="37074" priority="55841" stopIfTrue="1" operator="greaterThanOrEqual">
      <formula>0.5</formula>
    </cfRule>
  </conditionalFormatting>
  <conditionalFormatting sqref="BJ20">
    <cfRule type="cellIs" dxfId="37073" priority="55842" stopIfTrue="1" operator="equal">
      <formula>-1</formula>
    </cfRule>
  </conditionalFormatting>
  <conditionalFormatting sqref="BJ20">
    <cfRule type="cellIs" dxfId="37072" priority="55843" stopIfTrue="1" operator="lessThan">
      <formula>0.5</formula>
    </cfRule>
  </conditionalFormatting>
  <conditionalFormatting sqref="BJ20">
    <cfRule type="cellIs" dxfId="37071" priority="55844" stopIfTrue="1" operator="greaterThanOrEqual">
      <formula>0.5</formula>
    </cfRule>
  </conditionalFormatting>
  <conditionalFormatting sqref="BJ21">
    <cfRule type="cellIs" dxfId="37070" priority="55845" stopIfTrue="1" operator="equal">
      <formula>-1</formula>
    </cfRule>
  </conditionalFormatting>
  <conditionalFormatting sqref="BJ21">
    <cfRule type="cellIs" dxfId="37069" priority="55846" stopIfTrue="1" operator="lessThan">
      <formula>0.5</formula>
    </cfRule>
  </conditionalFormatting>
  <conditionalFormatting sqref="BJ21">
    <cfRule type="cellIs" dxfId="37068" priority="55847" stopIfTrue="1" operator="greaterThanOrEqual">
      <formula>0.5</formula>
    </cfRule>
  </conditionalFormatting>
  <conditionalFormatting sqref="BJ22">
    <cfRule type="cellIs" dxfId="37067" priority="55848" stopIfTrue="1" operator="equal">
      <formula>-1</formula>
    </cfRule>
  </conditionalFormatting>
  <conditionalFormatting sqref="BJ22">
    <cfRule type="cellIs" dxfId="37066" priority="55849" stopIfTrue="1" operator="lessThan">
      <formula>0.5</formula>
    </cfRule>
  </conditionalFormatting>
  <conditionalFormatting sqref="BJ22">
    <cfRule type="cellIs" dxfId="37065" priority="55850" stopIfTrue="1" operator="greaterThanOrEqual">
      <formula>0.5</formula>
    </cfRule>
  </conditionalFormatting>
  <conditionalFormatting sqref="BJ23">
    <cfRule type="cellIs" dxfId="37064" priority="55851" stopIfTrue="1" operator="equal">
      <formula>-1</formula>
    </cfRule>
  </conditionalFormatting>
  <conditionalFormatting sqref="BJ23">
    <cfRule type="cellIs" dxfId="37063" priority="55852" stopIfTrue="1" operator="lessThan">
      <formula>0.5</formula>
    </cfRule>
  </conditionalFormatting>
  <conditionalFormatting sqref="BJ23">
    <cfRule type="cellIs" dxfId="37062" priority="55853" stopIfTrue="1" operator="greaterThanOrEqual">
      <formula>0.5</formula>
    </cfRule>
  </conditionalFormatting>
  <conditionalFormatting sqref="BJ24">
    <cfRule type="cellIs" dxfId="37061" priority="55854" stopIfTrue="1" operator="equal">
      <formula>-1</formula>
    </cfRule>
  </conditionalFormatting>
  <conditionalFormatting sqref="BJ24">
    <cfRule type="cellIs" dxfId="37060" priority="55855" stopIfTrue="1" operator="lessThan">
      <formula>0.5</formula>
    </cfRule>
  </conditionalFormatting>
  <conditionalFormatting sqref="BJ24">
    <cfRule type="cellIs" dxfId="37059" priority="55856" stopIfTrue="1" operator="greaterThanOrEqual">
      <formula>0.5</formula>
    </cfRule>
  </conditionalFormatting>
  <conditionalFormatting sqref="BJ25">
    <cfRule type="cellIs" dxfId="37058" priority="55857" stopIfTrue="1" operator="equal">
      <formula>-1</formula>
    </cfRule>
  </conditionalFormatting>
  <conditionalFormatting sqref="BJ25">
    <cfRule type="cellIs" dxfId="37057" priority="55858" stopIfTrue="1" operator="lessThan">
      <formula>0.5</formula>
    </cfRule>
  </conditionalFormatting>
  <conditionalFormatting sqref="BJ25">
    <cfRule type="cellIs" dxfId="37056" priority="55859" stopIfTrue="1" operator="greaterThanOrEqual">
      <formula>0.5</formula>
    </cfRule>
  </conditionalFormatting>
  <conditionalFormatting sqref="BJ26">
    <cfRule type="cellIs" dxfId="37055" priority="55860" stopIfTrue="1" operator="equal">
      <formula>-1</formula>
    </cfRule>
  </conditionalFormatting>
  <conditionalFormatting sqref="BJ26">
    <cfRule type="cellIs" dxfId="37054" priority="55861" stopIfTrue="1" operator="lessThan">
      <formula>0.5</formula>
    </cfRule>
  </conditionalFormatting>
  <conditionalFormatting sqref="BJ26">
    <cfRule type="cellIs" dxfId="37053" priority="55862" stopIfTrue="1" operator="greaterThanOrEqual">
      <formula>0.5</formula>
    </cfRule>
  </conditionalFormatting>
  <conditionalFormatting sqref="BJ27">
    <cfRule type="cellIs" dxfId="37052" priority="55863" stopIfTrue="1" operator="equal">
      <formula>-1</formula>
    </cfRule>
  </conditionalFormatting>
  <conditionalFormatting sqref="BJ27">
    <cfRule type="cellIs" dxfId="37051" priority="55864" stopIfTrue="1" operator="lessThan">
      <formula>0.5</formula>
    </cfRule>
  </conditionalFormatting>
  <conditionalFormatting sqref="BJ27">
    <cfRule type="cellIs" dxfId="37050" priority="55865" stopIfTrue="1" operator="greaterThanOrEqual">
      <formula>0.5</formula>
    </cfRule>
  </conditionalFormatting>
  <conditionalFormatting sqref="BJ28">
    <cfRule type="cellIs" dxfId="37049" priority="55866" stopIfTrue="1" operator="equal">
      <formula>-1</formula>
    </cfRule>
  </conditionalFormatting>
  <conditionalFormatting sqref="BJ28">
    <cfRule type="cellIs" dxfId="37048" priority="55867" stopIfTrue="1" operator="lessThan">
      <formula>0.5</formula>
    </cfRule>
  </conditionalFormatting>
  <conditionalFormatting sqref="BJ28">
    <cfRule type="cellIs" dxfId="37047" priority="55868" stopIfTrue="1" operator="greaterThanOrEqual">
      <formula>0.5</formula>
    </cfRule>
  </conditionalFormatting>
  <conditionalFormatting sqref="BJ29">
    <cfRule type="cellIs" dxfId="37046" priority="55869" stopIfTrue="1" operator="equal">
      <formula>-1</formula>
    </cfRule>
  </conditionalFormatting>
  <conditionalFormatting sqref="BJ29">
    <cfRule type="cellIs" dxfId="37045" priority="55870" stopIfTrue="1" operator="lessThan">
      <formula>0.5</formula>
    </cfRule>
  </conditionalFormatting>
  <conditionalFormatting sqref="BJ29">
    <cfRule type="cellIs" dxfId="37044" priority="55871" stopIfTrue="1" operator="greaterThanOrEqual">
      <formula>0.5</formula>
    </cfRule>
  </conditionalFormatting>
  <conditionalFormatting sqref="BJ30">
    <cfRule type="cellIs" dxfId="37043" priority="55872" stopIfTrue="1" operator="equal">
      <formula>-1</formula>
    </cfRule>
  </conditionalFormatting>
  <conditionalFormatting sqref="BJ30">
    <cfRule type="cellIs" dxfId="37042" priority="55873" stopIfTrue="1" operator="lessThan">
      <formula>0.5</formula>
    </cfRule>
  </conditionalFormatting>
  <conditionalFormatting sqref="BJ30">
    <cfRule type="cellIs" dxfId="37041" priority="55874" stopIfTrue="1" operator="greaterThanOrEqual">
      <formula>0.5</formula>
    </cfRule>
  </conditionalFormatting>
  <conditionalFormatting sqref="BJ31">
    <cfRule type="cellIs" dxfId="37040" priority="55875" stopIfTrue="1" operator="equal">
      <formula>-1</formula>
    </cfRule>
  </conditionalFormatting>
  <conditionalFormatting sqref="BJ31">
    <cfRule type="cellIs" dxfId="37039" priority="55876" stopIfTrue="1" operator="lessThan">
      <formula>0.5</formula>
    </cfRule>
  </conditionalFormatting>
  <conditionalFormatting sqref="BJ31">
    <cfRule type="cellIs" dxfId="37038" priority="55877" stopIfTrue="1" operator="greaterThanOrEqual">
      <formula>0.5</formula>
    </cfRule>
  </conditionalFormatting>
  <conditionalFormatting sqref="BJ32">
    <cfRule type="cellIs" dxfId="37037" priority="55878" stopIfTrue="1" operator="equal">
      <formula>-1</formula>
    </cfRule>
  </conditionalFormatting>
  <conditionalFormatting sqref="BJ32">
    <cfRule type="cellIs" dxfId="37036" priority="55879" stopIfTrue="1" operator="lessThan">
      <formula>0.5</formula>
    </cfRule>
  </conditionalFormatting>
  <conditionalFormatting sqref="BJ32">
    <cfRule type="cellIs" dxfId="37035" priority="55880" stopIfTrue="1" operator="greaterThanOrEqual">
      <formula>0.5</formula>
    </cfRule>
  </conditionalFormatting>
  <conditionalFormatting sqref="BJ33">
    <cfRule type="cellIs" dxfId="37034" priority="55881" stopIfTrue="1" operator="equal">
      <formula>-1</formula>
    </cfRule>
  </conditionalFormatting>
  <conditionalFormatting sqref="BJ33">
    <cfRule type="cellIs" dxfId="37033" priority="55882" stopIfTrue="1" operator="lessThan">
      <formula>0.5</formula>
    </cfRule>
  </conditionalFormatting>
  <conditionalFormatting sqref="BJ33">
    <cfRule type="cellIs" dxfId="37032" priority="55883" stopIfTrue="1" operator="greaterThanOrEqual">
      <formula>0.5</formula>
    </cfRule>
  </conditionalFormatting>
  <conditionalFormatting sqref="BJ34">
    <cfRule type="cellIs" dxfId="37031" priority="55884" stopIfTrue="1" operator="equal">
      <formula>-1</formula>
    </cfRule>
  </conditionalFormatting>
  <conditionalFormatting sqref="BJ34">
    <cfRule type="cellIs" dxfId="37030" priority="55885" stopIfTrue="1" operator="lessThan">
      <formula>0.5</formula>
    </cfRule>
  </conditionalFormatting>
  <conditionalFormatting sqref="BJ34">
    <cfRule type="cellIs" dxfId="37029" priority="55886" stopIfTrue="1" operator="greaterThanOrEqual">
      <formula>0.5</formula>
    </cfRule>
  </conditionalFormatting>
  <conditionalFormatting sqref="BJ35">
    <cfRule type="cellIs" dxfId="37028" priority="55887" stopIfTrue="1" operator="equal">
      <formula>-1</formula>
    </cfRule>
  </conditionalFormatting>
  <conditionalFormatting sqref="BJ35">
    <cfRule type="cellIs" dxfId="37027" priority="55888" stopIfTrue="1" operator="lessThan">
      <formula>0.5</formula>
    </cfRule>
  </conditionalFormatting>
  <conditionalFormatting sqref="BJ35">
    <cfRule type="cellIs" dxfId="37026" priority="55889" stopIfTrue="1" operator="greaterThanOrEqual">
      <formula>0.5</formula>
    </cfRule>
  </conditionalFormatting>
  <conditionalFormatting sqref="BJ36">
    <cfRule type="cellIs" dxfId="37025" priority="55890" stopIfTrue="1" operator="equal">
      <formula>-1</formula>
    </cfRule>
  </conditionalFormatting>
  <conditionalFormatting sqref="BJ36">
    <cfRule type="cellIs" dxfId="37024" priority="55891" stopIfTrue="1" operator="lessThan">
      <formula>0.5</formula>
    </cfRule>
  </conditionalFormatting>
  <conditionalFormatting sqref="BJ36">
    <cfRule type="cellIs" dxfId="37023" priority="55892" stopIfTrue="1" operator="greaterThanOrEqual">
      <formula>0.5</formula>
    </cfRule>
  </conditionalFormatting>
  <conditionalFormatting sqref="BJ37">
    <cfRule type="cellIs" dxfId="37022" priority="55893" stopIfTrue="1" operator="equal">
      <formula>-1</formula>
    </cfRule>
  </conditionalFormatting>
  <conditionalFormatting sqref="BJ37">
    <cfRule type="cellIs" dxfId="37021" priority="55894" stopIfTrue="1" operator="lessThan">
      <formula>0.5</formula>
    </cfRule>
  </conditionalFormatting>
  <conditionalFormatting sqref="BJ37">
    <cfRule type="cellIs" dxfId="37020" priority="5589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3D0D5-0313-394B-91E9-BAD0C60F0AE2}">
  <sheetPr codeName="Sheet2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59" t="str" cm="1">
        <f t="array" ref="A1">[1]!GRUPO</f>
        <v>2º Bach.</v>
      </c>
      <c r="B1" s="62" t="s">
        <v>86</v>
      </c>
      <c r="C1" s="61">
        <v>1</v>
      </c>
      <c r="D1" s="61"/>
      <c r="E1" s="61">
        <v>2</v>
      </c>
      <c r="F1" s="61" t="s">
        <v>0</v>
      </c>
      <c r="G1" s="61">
        <v>3</v>
      </c>
      <c r="H1" s="61" t="s">
        <v>0</v>
      </c>
      <c r="I1" s="61">
        <v>4</v>
      </c>
      <c r="J1" s="61" t="s">
        <v>0</v>
      </c>
      <c r="K1" s="61">
        <v>5</v>
      </c>
      <c r="L1" s="61" t="s">
        <v>0</v>
      </c>
      <c r="M1" s="61">
        <v>6</v>
      </c>
      <c r="N1" s="61" t="s">
        <v>0</v>
      </c>
      <c r="O1" s="61">
        <v>7</v>
      </c>
      <c r="P1" s="61" t="s">
        <v>0</v>
      </c>
      <c r="Q1" s="61">
        <v>8</v>
      </c>
      <c r="R1" s="61" t="s">
        <v>0</v>
      </c>
      <c r="S1" s="61">
        <v>9</v>
      </c>
      <c r="T1" s="61" t="s">
        <v>0</v>
      </c>
      <c r="U1" s="61">
        <v>10</v>
      </c>
      <c r="V1" s="61" t="s">
        <v>0</v>
      </c>
      <c r="W1" s="61">
        <v>11</v>
      </c>
      <c r="X1" s="61" t="s">
        <v>0</v>
      </c>
      <c r="Y1" s="61">
        <v>12</v>
      </c>
      <c r="Z1" s="61" t="s">
        <v>1</v>
      </c>
      <c r="AA1" s="61">
        <v>13</v>
      </c>
      <c r="AB1" s="61" t="s">
        <v>0</v>
      </c>
      <c r="AC1" s="61">
        <v>14</v>
      </c>
      <c r="AD1" s="61" t="s">
        <v>0</v>
      </c>
      <c r="AE1" s="61">
        <v>15</v>
      </c>
      <c r="AF1" s="61" t="s">
        <v>0</v>
      </c>
      <c r="AG1" s="61">
        <v>16</v>
      </c>
      <c r="AH1" s="61" t="s">
        <v>0</v>
      </c>
      <c r="AI1" s="61">
        <v>17</v>
      </c>
      <c r="AJ1" s="61"/>
      <c r="AK1" s="61">
        <v>18</v>
      </c>
      <c r="AL1" s="61"/>
      <c r="AM1" s="61">
        <v>19</v>
      </c>
      <c r="AN1" s="61"/>
      <c r="AO1" s="61">
        <v>20</v>
      </c>
      <c r="AP1" s="61" t="s">
        <v>0</v>
      </c>
      <c r="AQ1" s="61">
        <v>21</v>
      </c>
      <c r="AR1" s="61"/>
      <c r="AS1" s="61">
        <v>22</v>
      </c>
      <c r="AT1" s="61" t="s">
        <v>0</v>
      </c>
      <c r="AU1" s="61">
        <v>23</v>
      </c>
      <c r="AV1" s="61" t="s">
        <v>0</v>
      </c>
      <c r="AW1" s="61">
        <v>24</v>
      </c>
      <c r="AX1" s="61"/>
      <c r="AY1" s="61">
        <v>25</v>
      </c>
      <c r="AZ1" s="61"/>
      <c r="BA1" s="61">
        <v>26</v>
      </c>
      <c r="BB1" s="61"/>
      <c r="BC1" s="61">
        <v>27</v>
      </c>
      <c r="BD1" s="61"/>
      <c r="BE1" s="61">
        <v>28</v>
      </c>
      <c r="BF1" s="61"/>
      <c r="BG1" s="61">
        <v>29</v>
      </c>
      <c r="BH1" s="61"/>
      <c r="BI1" s="61">
        <v>30</v>
      </c>
      <c r="BJ1" s="61"/>
    </row>
    <row r="2" spans="1:62" ht="115" customHeight="1" x14ac:dyDescent="0.2">
      <c r="A2" s="59"/>
      <c r="B2" s="63"/>
      <c r="C2" s="60" t="str">
        <f>[1]Examen11!C$2</f>
        <v>Alma Casa, Mario</v>
      </c>
      <c r="D2" s="60"/>
      <c r="E2" s="60" t="str">
        <f>[1]Examen11!E$2</f>
        <v>Amado Luz, Martín</v>
      </c>
      <c r="F2" s="60"/>
      <c r="G2" s="60" t="str">
        <f>[1]Examen11!G$2</f>
        <v>Bonete Cune, Carla</v>
      </c>
      <c r="H2" s="60"/>
      <c r="I2" s="60" t="str">
        <f>[1]Examen11!I$2</f>
        <v>Casado Marín, María</v>
      </c>
      <c r="J2" s="60"/>
      <c r="K2" s="60" t="str">
        <f>[1]Examen11!K$2</f>
        <v>Concepción García, Elena</v>
      </c>
      <c r="L2" s="60"/>
      <c r="M2" s="60" t="str">
        <f>[1]Examen11!M$2</f>
        <v>Díaz Lucas, Ricardo</v>
      </c>
      <c r="N2" s="60"/>
      <c r="O2" s="60" t="str">
        <f>[1]Examen11!O$2</f>
        <v>Díaz Ríos, Lucía</v>
      </c>
      <c r="P2" s="60"/>
      <c r="Q2" s="60" t="str">
        <f>[1]Examen11!Q$2</f>
        <v>García López, Juan Ángel</v>
      </c>
      <c r="R2" s="60"/>
      <c r="S2" s="60" t="str">
        <f>[1]Examen11!S$2</f>
        <v>García Pérez, Luis</v>
      </c>
      <c r="T2" s="60"/>
      <c r="U2" s="60" t="str">
        <f>[1]Examen11!U$2</f>
        <v>Garijo Piqueras, María</v>
      </c>
      <c r="V2" s="60"/>
      <c r="W2" s="60" t="str">
        <f>[1]Examen11!W$2</f>
        <v>Gómez Luna, José</v>
      </c>
      <c r="X2" s="60"/>
      <c r="Y2" s="60" t="str">
        <f>[1]Examen11!Y$2</f>
        <v>González García, Juan</v>
      </c>
      <c r="Z2" s="60"/>
      <c r="AA2" s="60" t="str">
        <f>[1]Examen11!AA$2</f>
        <v>González Pérez, María</v>
      </c>
      <c r="AB2" s="60"/>
      <c r="AC2" s="60" t="str">
        <f>[1]Examen11!AC$2</f>
        <v>Laín Hernández, Luisa</v>
      </c>
      <c r="AD2" s="60"/>
      <c r="AE2" s="60" t="str">
        <f>[1]Examen11!AE$2</f>
        <v>Lirios Lara, Juan</v>
      </c>
      <c r="AF2" s="60"/>
      <c r="AG2" s="60" t="str">
        <f>[1]Examen11!AG$2</f>
        <v>López Picazo, Marta</v>
      </c>
      <c r="AH2" s="60"/>
      <c r="AI2" s="60" t="str">
        <f>[1]Examen11!AI$2</f>
        <v>Molina Pérez, Marina</v>
      </c>
      <c r="AJ2" s="60"/>
      <c r="AK2" s="60" t="str">
        <f>[1]Examen11!AK$2</f>
        <v>Molina Sánchez, Inmaculada</v>
      </c>
      <c r="AL2" s="60"/>
      <c r="AM2" s="60" t="str">
        <f>[1]Examen11!AM$2</f>
        <v>Montero Pacheco, Pablo</v>
      </c>
      <c r="AN2" s="60"/>
      <c r="AO2" s="60" t="str">
        <f>[1]Examen11!AO$2</f>
        <v>Mora García, Javier</v>
      </c>
      <c r="AP2" s="60"/>
      <c r="AQ2" s="60" t="str">
        <f>[1]Examen11!AQ$2</f>
        <v>Morcillo Pared, Luna</v>
      </c>
      <c r="AR2" s="60"/>
      <c r="AS2" s="60" t="str">
        <f>[1]Examen11!AS$2</f>
        <v>Moreno Hernández, Francisco</v>
      </c>
      <c r="AT2" s="60"/>
      <c r="AU2" s="60" t="str">
        <f>[1]Examen11!AU$2</f>
        <v>Muñoz Garijo, Pablo</v>
      </c>
      <c r="AV2" s="60"/>
      <c r="AW2" s="60" t="str">
        <f>[1]Examen11!AW$2</f>
        <v>Pérez Garrido, Francisco</v>
      </c>
      <c r="AX2" s="60"/>
      <c r="AY2" s="60" t="str">
        <f>[1]Examen11!AY$2</f>
        <v>Serna Serna, Susana</v>
      </c>
      <c r="AZ2" s="60"/>
      <c r="BA2" s="60" t="str">
        <f>[1]Examen11!BA$2</f>
        <v>Soriano Tornero, Manuel</v>
      </c>
      <c r="BB2" s="60"/>
      <c r="BC2" s="60" t="str">
        <f>[1]Examen11!BC$2</f>
        <v>Zarza Parrilla, Manuel</v>
      </c>
      <c r="BD2" s="60"/>
      <c r="BE2" s="60" t="str">
        <f>[1]Examen11!BE$2</f>
        <v/>
      </c>
      <c r="BF2" s="60"/>
      <c r="BG2" s="60" t="str">
        <f>[1]Examen11!BG$2</f>
        <v/>
      </c>
      <c r="BH2" s="60"/>
      <c r="BI2" s="60" t="str">
        <f>[1]Examen11!BI$2</f>
        <v/>
      </c>
      <c r="BJ2" s="60"/>
    </row>
    <row r="3" spans="1:62" ht="33" customHeight="1" x14ac:dyDescent="0.2">
      <c r="A3" s="29" t="str" cm="1">
        <f t="array" ref="A3">[1]!VERSION</f>
        <v>Versión 1.1</v>
      </c>
      <c r="B3" s="9" t="str">
        <f>IF((B4+B7+B16+B38)=1,"Ok","Error % Bloques")</f>
        <v>Ok</v>
      </c>
      <c r="C3" s="53">
        <f>SUM(C4,C7,C16,C38)</f>
        <v>0</v>
      </c>
      <c r="D3" s="54"/>
      <c r="E3" s="53">
        <f t="shared" ref="E3" si="0">SUM(E4,E7,E16,E38)</f>
        <v>0</v>
      </c>
      <c r="F3" s="54"/>
      <c r="G3" s="53">
        <f t="shared" ref="G3" si="1">SUM(G4,G7,G16,G38)</f>
        <v>0</v>
      </c>
      <c r="H3" s="54"/>
      <c r="I3" s="53">
        <f t="shared" ref="I3" si="2">SUM(I4,I7,I16,I38)</f>
        <v>0</v>
      </c>
      <c r="J3" s="54"/>
      <c r="K3" s="53">
        <f t="shared" ref="K3" si="3">SUM(K4,K7,K16,K38)</f>
        <v>0</v>
      </c>
      <c r="L3" s="54"/>
      <c r="M3" s="53">
        <f t="shared" ref="M3" si="4">SUM(M4,M7,M16,M38)</f>
        <v>0</v>
      </c>
      <c r="N3" s="54"/>
      <c r="O3" s="53">
        <f t="shared" ref="O3" si="5">SUM(O4,O7,O16,O38)</f>
        <v>0</v>
      </c>
      <c r="P3" s="54"/>
      <c r="Q3" s="53">
        <f t="shared" ref="Q3" si="6">SUM(Q4,Q7,Q16,Q38)</f>
        <v>0</v>
      </c>
      <c r="R3" s="54"/>
      <c r="S3" s="53">
        <f t="shared" ref="S3" si="7">SUM(S4,S7,S16,S38)</f>
        <v>0</v>
      </c>
      <c r="T3" s="54"/>
      <c r="U3" s="53">
        <f t="shared" ref="U3" si="8">SUM(U4,U7,U16,U38)</f>
        <v>0</v>
      </c>
      <c r="V3" s="54"/>
      <c r="W3" s="53">
        <f t="shared" ref="W3" si="9">SUM(W4,W7,W16,W38)</f>
        <v>0</v>
      </c>
      <c r="X3" s="54"/>
      <c r="Y3" s="53">
        <f t="shared" ref="Y3" si="10">SUM(Y4,Y7,Y16,Y38)</f>
        <v>0</v>
      </c>
      <c r="Z3" s="54"/>
      <c r="AA3" s="53">
        <f t="shared" ref="AA3" si="11">SUM(AA4,AA7,AA16,AA38)</f>
        <v>0</v>
      </c>
      <c r="AB3" s="54"/>
      <c r="AC3" s="53">
        <f t="shared" ref="AC3" si="12">SUM(AC4,AC7,AC16,AC38)</f>
        <v>0</v>
      </c>
      <c r="AD3" s="54"/>
      <c r="AE3" s="53">
        <f t="shared" ref="AE3" si="13">SUM(AE4,AE7,AE16,AE38)</f>
        <v>0</v>
      </c>
      <c r="AF3" s="54"/>
      <c r="AG3" s="53">
        <f t="shared" ref="AG3" si="14">SUM(AG4,AG7,AG16,AG38)</f>
        <v>0</v>
      </c>
      <c r="AH3" s="54"/>
      <c r="AI3" s="53">
        <f t="shared" ref="AI3" si="15">SUM(AI4,AI7,AI16,AI38)</f>
        <v>0</v>
      </c>
      <c r="AJ3" s="54"/>
      <c r="AK3" s="53">
        <f t="shared" ref="AK3" si="16">SUM(AK4,AK7,AK16,AK38)</f>
        <v>0</v>
      </c>
      <c r="AL3" s="54"/>
      <c r="AM3" s="53">
        <f t="shared" ref="AM3" si="17">SUM(AM4,AM7,AM16,AM38)</f>
        <v>0</v>
      </c>
      <c r="AN3" s="54"/>
      <c r="AO3" s="53">
        <f t="shared" ref="AO3" si="18">SUM(AO4,AO7,AO16,AO38)</f>
        <v>0</v>
      </c>
      <c r="AP3" s="54"/>
      <c r="AQ3" s="53">
        <f t="shared" ref="AQ3" si="19">SUM(AQ4,AQ7,AQ16,AQ38)</f>
        <v>0</v>
      </c>
      <c r="AR3" s="54"/>
      <c r="AS3" s="53">
        <f t="shared" ref="AS3" si="20">SUM(AS4,AS7,AS16,AS38)</f>
        <v>0</v>
      </c>
      <c r="AT3" s="54"/>
      <c r="AU3" s="53">
        <f t="shared" ref="AU3" si="21">SUM(AU4,AU7,AU16,AU38)</f>
        <v>0</v>
      </c>
      <c r="AV3" s="54"/>
      <c r="AW3" s="53">
        <f t="shared" ref="AW3" si="22">SUM(AW4,AW7,AW16,AW38)</f>
        <v>0</v>
      </c>
      <c r="AX3" s="54"/>
      <c r="AY3" s="53">
        <f t="shared" ref="AY3" si="23">SUM(AY4,AY7,AY16,AY38)</f>
        <v>0</v>
      </c>
      <c r="AZ3" s="54"/>
      <c r="BA3" s="53">
        <f t="shared" ref="BA3" si="24">SUM(BA4,BA7,BA16,BA38)</f>
        <v>0</v>
      </c>
      <c r="BB3" s="54"/>
      <c r="BC3" s="53">
        <f t="shared" ref="BC3" si="25">SUM(BC4,BC7,BC16,BC38)</f>
        <v>0</v>
      </c>
      <c r="BD3" s="54"/>
      <c r="BE3" s="53">
        <f t="shared" ref="BE3" si="26">SUM(BE4,BE7,BE16,BE38)</f>
        <v>0</v>
      </c>
      <c r="BF3" s="54"/>
      <c r="BG3" s="53">
        <f t="shared" ref="BG3" si="27">SUM(BG4,BG7,BG16,BG38)</f>
        <v>0</v>
      </c>
      <c r="BH3" s="54"/>
      <c r="BI3" s="53">
        <f t="shared" ref="BI3" si="28">SUM(BI4,BI7,BI16,BI38)</f>
        <v>0</v>
      </c>
      <c r="BJ3" s="54"/>
    </row>
    <row r="4" spans="1:62" ht="38" x14ac:dyDescent="0.2">
      <c r="A4" s="6" t="s">
        <v>2</v>
      </c>
      <c r="B4" s="7">
        <f>Estructura!C2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Recu1!B8</f>
        <v>0</v>
      </c>
      <c r="C8" s="33">
        <f>Recu1!C8</f>
        <v>0</v>
      </c>
      <c r="D8" s="32">
        <f t="shared" ref="D8:D15" si="29">IF($B8,C8/$B8,-1)</f>
        <v>-1</v>
      </c>
      <c r="E8" s="33">
        <f>Recu1!E8</f>
        <v>0</v>
      </c>
      <c r="F8" s="32">
        <f t="shared" ref="F8:F15" si="30">IF($B8,E8/$B8,-1)</f>
        <v>-1</v>
      </c>
      <c r="G8" s="33">
        <f>Recu1!G8</f>
        <v>0</v>
      </c>
      <c r="H8" s="32">
        <f t="shared" ref="H8:H15" si="31">IF($B8,G8/$B8,-1)</f>
        <v>-1</v>
      </c>
      <c r="I8" s="33">
        <f>Recu1!I8</f>
        <v>0</v>
      </c>
      <c r="J8" s="32">
        <f t="shared" ref="J8:J15" si="32">IF($B8,I8/$B8,-1)</f>
        <v>-1</v>
      </c>
      <c r="K8" s="33">
        <f>Recu1!K8</f>
        <v>0</v>
      </c>
      <c r="L8" s="32">
        <f t="shared" ref="L8:L15" si="33">IF($B8,K8/$B8,-1)</f>
        <v>-1</v>
      </c>
      <c r="M8" s="33">
        <f>Recu1!M8</f>
        <v>0</v>
      </c>
      <c r="N8" s="32">
        <f t="shared" ref="N8:N15" si="34">IF($B8,M8/$B8,-1)</f>
        <v>-1</v>
      </c>
      <c r="O8" s="33">
        <f>Recu1!O8</f>
        <v>0</v>
      </c>
      <c r="P8" s="32">
        <f t="shared" ref="P8:P15" si="35">IF($B8,O8/$B8,-1)</f>
        <v>-1</v>
      </c>
      <c r="Q8" s="33">
        <f>Recu1!Q8</f>
        <v>0</v>
      </c>
      <c r="R8" s="32">
        <f t="shared" ref="R8:R15" si="36">IF($B8,Q8/$B8,-1)</f>
        <v>-1</v>
      </c>
      <c r="S8" s="33">
        <f>Recu1!S8</f>
        <v>0</v>
      </c>
      <c r="T8" s="32">
        <f t="shared" ref="T8:T15" si="37">IF($B8,S8/$B8,-1)</f>
        <v>-1</v>
      </c>
      <c r="U8" s="33">
        <f>Recu1!U8</f>
        <v>0</v>
      </c>
      <c r="V8" s="32">
        <f t="shared" ref="V8:V15" si="38">IF($B8,U8/$B8,-1)</f>
        <v>-1</v>
      </c>
      <c r="W8" s="33">
        <f>Recu1!W8</f>
        <v>0</v>
      </c>
      <c r="X8" s="32">
        <f t="shared" ref="X8:X15" si="39">IF($B8,W8/$B8,-1)</f>
        <v>-1</v>
      </c>
      <c r="Y8" s="33">
        <f>Recu1!Y8</f>
        <v>0</v>
      </c>
      <c r="Z8" s="32">
        <f t="shared" ref="Z8:Z15" si="40">IF($B8,Y8/$B8,-1)</f>
        <v>-1</v>
      </c>
      <c r="AA8" s="33">
        <f>Recu1!AA8</f>
        <v>0</v>
      </c>
      <c r="AB8" s="32">
        <f t="shared" ref="AB8:AB15" si="41">IF($B8,AA8/$B8,-1)</f>
        <v>-1</v>
      </c>
      <c r="AC8" s="33">
        <f>Recu1!AC8</f>
        <v>0</v>
      </c>
      <c r="AD8" s="32">
        <f t="shared" ref="AD8:AD15" si="42">IF($B8,AC8/$B8,-1)</f>
        <v>-1</v>
      </c>
      <c r="AE8" s="33">
        <f>Recu1!AE8</f>
        <v>0</v>
      </c>
      <c r="AF8" s="32">
        <f t="shared" ref="AF8:AF15" si="43">IF($B8,AE8/$B8,-1)</f>
        <v>-1</v>
      </c>
      <c r="AG8" s="33">
        <f>Recu1!AG8</f>
        <v>0</v>
      </c>
      <c r="AH8" s="32">
        <f t="shared" ref="AH8:AH15" si="44">IF($B8,AG8/$B8,-1)</f>
        <v>-1</v>
      </c>
      <c r="AI8" s="33">
        <f>Recu1!AI8</f>
        <v>0</v>
      </c>
      <c r="AJ8" s="32">
        <f t="shared" ref="AJ8:AJ15" si="45">IF($B8,AI8/$B8,-1)</f>
        <v>-1</v>
      </c>
      <c r="AK8" s="33">
        <f>Recu1!AK8</f>
        <v>0</v>
      </c>
      <c r="AL8" s="32">
        <f t="shared" ref="AL8:AL15" si="46">IF($B8,AK8/$B8,-1)</f>
        <v>-1</v>
      </c>
      <c r="AM8" s="33">
        <f>Recu1!AM8</f>
        <v>0</v>
      </c>
      <c r="AN8" s="32">
        <f t="shared" ref="AN8:AN15" si="47">IF($B8,AM8/$B8,-1)</f>
        <v>-1</v>
      </c>
      <c r="AO8" s="33">
        <f>Recu1!AO8</f>
        <v>0</v>
      </c>
      <c r="AP8" s="32">
        <f t="shared" ref="AP8:AP15" si="48">IF($B8,AO8/$B8,-1)</f>
        <v>-1</v>
      </c>
      <c r="AQ8" s="33">
        <f>Recu1!AQ8</f>
        <v>0</v>
      </c>
      <c r="AR8" s="32">
        <f t="shared" ref="AR8:AR15" si="49">IF($B8,AQ8/$B8,-1)</f>
        <v>-1</v>
      </c>
      <c r="AS8" s="33">
        <f>Recu1!AS8</f>
        <v>0</v>
      </c>
      <c r="AT8" s="32">
        <f t="shared" ref="AT8:AT15" si="50">IF($B8,AS8/$B8,-1)</f>
        <v>-1</v>
      </c>
      <c r="AU8" s="33">
        <f>Recu1!AU8</f>
        <v>0</v>
      </c>
      <c r="AV8" s="32">
        <f t="shared" ref="AV8:AV15" si="51">IF($B8,AU8/$B8,-1)</f>
        <v>-1</v>
      </c>
      <c r="AW8" s="33">
        <f>Recu1!AW8</f>
        <v>0</v>
      </c>
      <c r="AX8" s="32">
        <f t="shared" ref="AX8:AX15" si="52">IF($B8,AW8/$B8,-1)</f>
        <v>-1</v>
      </c>
      <c r="AY8" s="33">
        <f>Recu1!AY8</f>
        <v>0</v>
      </c>
      <c r="AZ8" s="32">
        <f t="shared" ref="AZ8:AZ15" si="53">IF($B8,AY8/$B8,-1)</f>
        <v>-1</v>
      </c>
      <c r="BA8" s="33">
        <f>Recu1!BA8</f>
        <v>0</v>
      </c>
      <c r="BB8" s="32">
        <f t="shared" ref="BB8:BB15" si="54">IF($B8,BA8/$B8,-1)</f>
        <v>-1</v>
      </c>
      <c r="BC8" s="33">
        <f>Recu1!BC8</f>
        <v>0</v>
      </c>
      <c r="BD8" s="32">
        <f t="shared" ref="BD8:BD15" si="55">IF($B8,BC8/$B8,-1)</f>
        <v>-1</v>
      </c>
      <c r="BE8" s="33">
        <f>Recu1!BE8</f>
        <v>0</v>
      </c>
      <c r="BF8" s="32">
        <f t="shared" ref="BF8:BF15" si="56">IF($B8,BE8/$B8,-1)</f>
        <v>-1</v>
      </c>
      <c r="BG8" s="33">
        <f>Recu1!BG8</f>
        <v>0</v>
      </c>
      <c r="BH8" s="32">
        <f t="shared" ref="BH8:BH15" si="57">IF($B8,BG8/$B8,-1)</f>
        <v>-1</v>
      </c>
      <c r="BI8" s="33">
        <f>Recu1!BI8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Recu1!B9</f>
        <v>0</v>
      </c>
      <c r="C9" s="33">
        <f>Recu1!C9</f>
        <v>0</v>
      </c>
      <c r="D9" s="32">
        <f t="shared" si="29"/>
        <v>-1</v>
      </c>
      <c r="E9" s="33">
        <f>Recu1!E9</f>
        <v>0</v>
      </c>
      <c r="F9" s="32">
        <f t="shared" si="30"/>
        <v>-1</v>
      </c>
      <c r="G9" s="33">
        <f>Recu1!G9</f>
        <v>0</v>
      </c>
      <c r="H9" s="32">
        <f t="shared" si="31"/>
        <v>-1</v>
      </c>
      <c r="I9" s="33">
        <f>Recu1!I9</f>
        <v>0</v>
      </c>
      <c r="J9" s="32">
        <f t="shared" si="32"/>
        <v>-1</v>
      </c>
      <c r="K9" s="33">
        <f>Recu1!K9</f>
        <v>0</v>
      </c>
      <c r="L9" s="32">
        <f t="shared" si="33"/>
        <v>-1</v>
      </c>
      <c r="M9" s="33">
        <f>Recu1!M9</f>
        <v>0</v>
      </c>
      <c r="N9" s="32">
        <f t="shared" si="34"/>
        <v>-1</v>
      </c>
      <c r="O9" s="33">
        <f>Recu1!O9</f>
        <v>0</v>
      </c>
      <c r="P9" s="32">
        <f t="shared" si="35"/>
        <v>-1</v>
      </c>
      <c r="Q9" s="33">
        <f>Recu1!Q9</f>
        <v>0</v>
      </c>
      <c r="R9" s="32">
        <f t="shared" si="36"/>
        <v>-1</v>
      </c>
      <c r="S9" s="33">
        <f>Recu1!S9</f>
        <v>0</v>
      </c>
      <c r="T9" s="32">
        <f t="shared" si="37"/>
        <v>-1</v>
      </c>
      <c r="U9" s="33">
        <f>Recu1!U9</f>
        <v>0</v>
      </c>
      <c r="V9" s="32">
        <f t="shared" si="38"/>
        <v>-1</v>
      </c>
      <c r="W9" s="33">
        <f>Recu1!W9</f>
        <v>0</v>
      </c>
      <c r="X9" s="32">
        <f t="shared" si="39"/>
        <v>-1</v>
      </c>
      <c r="Y9" s="33">
        <f>Recu1!Y9</f>
        <v>0</v>
      </c>
      <c r="Z9" s="32">
        <f t="shared" si="40"/>
        <v>-1</v>
      </c>
      <c r="AA9" s="33">
        <f>Recu1!AA9</f>
        <v>0</v>
      </c>
      <c r="AB9" s="32">
        <f t="shared" si="41"/>
        <v>-1</v>
      </c>
      <c r="AC9" s="33">
        <f>Recu1!AC9</f>
        <v>0</v>
      </c>
      <c r="AD9" s="32">
        <f t="shared" si="42"/>
        <v>-1</v>
      </c>
      <c r="AE9" s="33">
        <f>Recu1!AE9</f>
        <v>0</v>
      </c>
      <c r="AF9" s="32">
        <f t="shared" si="43"/>
        <v>-1</v>
      </c>
      <c r="AG9" s="33">
        <f>Recu1!AG9</f>
        <v>0</v>
      </c>
      <c r="AH9" s="32">
        <f t="shared" si="44"/>
        <v>-1</v>
      </c>
      <c r="AI9" s="33">
        <f>Recu1!AI9</f>
        <v>0</v>
      </c>
      <c r="AJ9" s="32">
        <f t="shared" si="45"/>
        <v>-1</v>
      </c>
      <c r="AK9" s="33">
        <f>Recu1!AK9</f>
        <v>0</v>
      </c>
      <c r="AL9" s="32">
        <f t="shared" si="46"/>
        <v>-1</v>
      </c>
      <c r="AM9" s="33">
        <f>Recu1!AM9</f>
        <v>0</v>
      </c>
      <c r="AN9" s="32">
        <f t="shared" si="47"/>
        <v>-1</v>
      </c>
      <c r="AO9" s="33">
        <f>Recu1!AO9</f>
        <v>0</v>
      </c>
      <c r="AP9" s="32">
        <f t="shared" si="48"/>
        <v>-1</v>
      </c>
      <c r="AQ9" s="33">
        <f>Recu1!AQ9</f>
        <v>0</v>
      </c>
      <c r="AR9" s="32">
        <f t="shared" si="49"/>
        <v>-1</v>
      </c>
      <c r="AS9" s="33">
        <f>Recu1!AS9</f>
        <v>0</v>
      </c>
      <c r="AT9" s="32">
        <f t="shared" si="50"/>
        <v>-1</v>
      </c>
      <c r="AU9" s="33">
        <f>Recu1!AU9</f>
        <v>0</v>
      </c>
      <c r="AV9" s="32">
        <f t="shared" si="51"/>
        <v>-1</v>
      </c>
      <c r="AW9" s="33">
        <f>Recu1!AW9</f>
        <v>0</v>
      </c>
      <c r="AX9" s="32">
        <f t="shared" si="52"/>
        <v>-1</v>
      </c>
      <c r="AY9" s="33">
        <f>Recu1!AY9</f>
        <v>0</v>
      </c>
      <c r="AZ9" s="32">
        <f t="shared" si="53"/>
        <v>-1</v>
      </c>
      <c r="BA9" s="33">
        <f>Recu1!BA9</f>
        <v>0</v>
      </c>
      <c r="BB9" s="32">
        <f t="shared" si="54"/>
        <v>-1</v>
      </c>
      <c r="BC9" s="33">
        <f>Recu1!BC9</f>
        <v>0</v>
      </c>
      <c r="BD9" s="32">
        <f t="shared" si="55"/>
        <v>-1</v>
      </c>
      <c r="BE9" s="33">
        <f>Recu1!BE9</f>
        <v>0</v>
      </c>
      <c r="BF9" s="32">
        <f t="shared" si="56"/>
        <v>-1</v>
      </c>
      <c r="BG9" s="33">
        <f>Recu1!BG9</f>
        <v>0</v>
      </c>
      <c r="BH9" s="32">
        <f t="shared" si="57"/>
        <v>-1</v>
      </c>
      <c r="BI9" s="33">
        <f>Recu1!BI9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Recu1!B10</f>
        <v>0</v>
      </c>
      <c r="C10" s="33">
        <f>Recu1!C10</f>
        <v>0</v>
      </c>
      <c r="D10" s="32">
        <f t="shared" si="29"/>
        <v>-1</v>
      </c>
      <c r="E10" s="33">
        <f>Recu1!E10</f>
        <v>0</v>
      </c>
      <c r="F10" s="32">
        <f t="shared" si="30"/>
        <v>-1</v>
      </c>
      <c r="G10" s="33">
        <f>Recu1!G10</f>
        <v>0</v>
      </c>
      <c r="H10" s="32">
        <f t="shared" si="31"/>
        <v>-1</v>
      </c>
      <c r="I10" s="33">
        <f>Recu1!I10</f>
        <v>0</v>
      </c>
      <c r="J10" s="32">
        <f t="shared" si="32"/>
        <v>-1</v>
      </c>
      <c r="K10" s="33">
        <f>Recu1!K10</f>
        <v>0</v>
      </c>
      <c r="L10" s="32">
        <f t="shared" si="33"/>
        <v>-1</v>
      </c>
      <c r="M10" s="33">
        <f>Recu1!M10</f>
        <v>0</v>
      </c>
      <c r="N10" s="32">
        <f t="shared" si="34"/>
        <v>-1</v>
      </c>
      <c r="O10" s="33">
        <f>Recu1!O10</f>
        <v>0</v>
      </c>
      <c r="P10" s="32">
        <f t="shared" si="35"/>
        <v>-1</v>
      </c>
      <c r="Q10" s="33">
        <f>Recu1!Q10</f>
        <v>0</v>
      </c>
      <c r="R10" s="32">
        <f t="shared" si="36"/>
        <v>-1</v>
      </c>
      <c r="S10" s="33">
        <f>Recu1!S10</f>
        <v>0</v>
      </c>
      <c r="T10" s="32">
        <f t="shared" si="37"/>
        <v>-1</v>
      </c>
      <c r="U10" s="33">
        <f>Recu1!U10</f>
        <v>0</v>
      </c>
      <c r="V10" s="32">
        <f t="shared" si="38"/>
        <v>-1</v>
      </c>
      <c r="W10" s="33">
        <f>Recu1!W10</f>
        <v>0</v>
      </c>
      <c r="X10" s="32">
        <f t="shared" si="39"/>
        <v>-1</v>
      </c>
      <c r="Y10" s="33">
        <f>Recu1!Y10</f>
        <v>0</v>
      </c>
      <c r="Z10" s="32">
        <f t="shared" si="40"/>
        <v>-1</v>
      </c>
      <c r="AA10" s="33">
        <f>Recu1!AA10</f>
        <v>0</v>
      </c>
      <c r="AB10" s="32">
        <f t="shared" si="41"/>
        <v>-1</v>
      </c>
      <c r="AC10" s="33">
        <f>Recu1!AC10</f>
        <v>0</v>
      </c>
      <c r="AD10" s="32">
        <f t="shared" si="42"/>
        <v>-1</v>
      </c>
      <c r="AE10" s="33">
        <f>Recu1!AE10</f>
        <v>0</v>
      </c>
      <c r="AF10" s="32">
        <f t="shared" si="43"/>
        <v>-1</v>
      </c>
      <c r="AG10" s="33">
        <f>Recu1!AG10</f>
        <v>0</v>
      </c>
      <c r="AH10" s="32">
        <f t="shared" si="44"/>
        <v>-1</v>
      </c>
      <c r="AI10" s="33">
        <f>Recu1!AI10</f>
        <v>0</v>
      </c>
      <c r="AJ10" s="32">
        <f t="shared" si="45"/>
        <v>-1</v>
      </c>
      <c r="AK10" s="33">
        <f>Recu1!AK10</f>
        <v>0</v>
      </c>
      <c r="AL10" s="32">
        <f t="shared" si="46"/>
        <v>-1</v>
      </c>
      <c r="AM10" s="33">
        <f>Recu1!AM10</f>
        <v>0</v>
      </c>
      <c r="AN10" s="32">
        <f t="shared" si="47"/>
        <v>-1</v>
      </c>
      <c r="AO10" s="33">
        <f>Recu1!AO10</f>
        <v>0</v>
      </c>
      <c r="AP10" s="32">
        <f t="shared" si="48"/>
        <v>-1</v>
      </c>
      <c r="AQ10" s="33">
        <f>Recu1!AQ10</f>
        <v>0</v>
      </c>
      <c r="AR10" s="32">
        <f t="shared" si="49"/>
        <v>-1</v>
      </c>
      <c r="AS10" s="33">
        <f>Recu1!AS10</f>
        <v>0</v>
      </c>
      <c r="AT10" s="32">
        <f t="shared" si="50"/>
        <v>-1</v>
      </c>
      <c r="AU10" s="33">
        <f>Recu1!AU10</f>
        <v>0</v>
      </c>
      <c r="AV10" s="32">
        <f t="shared" si="51"/>
        <v>-1</v>
      </c>
      <c r="AW10" s="33">
        <f>Recu1!AW10</f>
        <v>0</v>
      </c>
      <c r="AX10" s="32">
        <f t="shared" si="52"/>
        <v>-1</v>
      </c>
      <c r="AY10" s="33">
        <f>Recu1!AY10</f>
        <v>0</v>
      </c>
      <c r="AZ10" s="32">
        <f t="shared" si="53"/>
        <v>-1</v>
      </c>
      <c r="BA10" s="33">
        <f>Recu1!BA10</f>
        <v>0</v>
      </c>
      <c r="BB10" s="32">
        <f t="shared" si="54"/>
        <v>-1</v>
      </c>
      <c r="BC10" s="33">
        <f>Recu1!BC10</f>
        <v>0</v>
      </c>
      <c r="BD10" s="32">
        <f t="shared" si="55"/>
        <v>-1</v>
      </c>
      <c r="BE10" s="33">
        <f>Recu1!BE10</f>
        <v>0</v>
      </c>
      <c r="BF10" s="32">
        <f t="shared" si="56"/>
        <v>-1</v>
      </c>
      <c r="BG10" s="33">
        <f>Recu1!BG10</f>
        <v>0</v>
      </c>
      <c r="BH10" s="32">
        <f t="shared" si="57"/>
        <v>-1</v>
      </c>
      <c r="BI10" s="33">
        <f>Recu1!BI10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Recu1!B11</f>
        <v>0</v>
      </c>
      <c r="C11" s="33">
        <f>Recu1!C11</f>
        <v>0</v>
      </c>
      <c r="D11" s="32">
        <f t="shared" si="29"/>
        <v>-1</v>
      </c>
      <c r="E11" s="33">
        <f>Recu1!E11</f>
        <v>0</v>
      </c>
      <c r="F11" s="32">
        <f t="shared" si="30"/>
        <v>-1</v>
      </c>
      <c r="G11" s="33">
        <f>Recu1!G11</f>
        <v>0</v>
      </c>
      <c r="H11" s="32">
        <f t="shared" si="31"/>
        <v>-1</v>
      </c>
      <c r="I11" s="33">
        <f>Recu1!I11</f>
        <v>0</v>
      </c>
      <c r="J11" s="32">
        <f t="shared" si="32"/>
        <v>-1</v>
      </c>
      <c r="K11" s="33">
        <f>Recu1!K11</f>
        <v>0</v>
      </c>
      <c r="L11" s="32">
        <f t="shared" si="33"/>
        <v>-1</v>
      </c>
      <c r="M11" s="33">
        <f>Recu1!M11</f>
        <v>0</v>
      </c>
      <c r="N11" s="32">
        <f t="shared" si="34"/>
        <v>-1</v>
      </c>
      <c r="O11" s="33">
        <f>Recu1!O11</f>
        <v>0</v>
      </c>
      <c r="P11" s="32">
        <f t="shared" si="35"/>
        <v>-1</v>
      </c>
      <c r="Q11" s="33">
        <f>Recu1!Q11</f>
        <v>0</v>
      </c>
      <c r="R11" s="32">
        <f t="shared" si="36"/>
        <v>-1</v>
      </c>
      <c r="S11" s="33">
        <f>Recu1!S11</f>
        <v>0</v>
      </c>
      <c r="T11" s="32">
        <f t="shared" si="37"/>
        <v>-1</v>
      </c>
      <c r="U11" s="33">
        <f>Recu1!U11</f>
        <v>0</v>
      </c>
      <c r="V11" s="32">
        <f t="shared" si="38"/>
        <v>-1</v>
      </c>
      <c r="W11" s="33">
        <f>Recu1!W11</f>
        <v>0</v>
      </c>
      <c r="X11" s="32">
        <f t="shared" si="39"/>
        <v>-1</v>
      </c>
      <c r="Y11" s="33">
        <f>Recu1!Y11</f>
        <v>0</v>
      </c>
      <c r="Z11" s="32">
        <f t="shared" si="40"/>
        <v>-1</v>
      </c>
      <c r="AA11" s="33">
        <f>Recu1!AA11</f>
        <v>0</v>
      </c>
      <c r="AB11" s="32">
        <f t="shared" si="41"/>
        <v>-1</v>
      </c>
      <c r="AC11" s="33">
        <f>Recu1!AC11</f>
        <v>0</v>
      </c>
      <c r="AD11" s="32">
        <f t="shared" si="42"/>
        <v>-1</v>
      </c>
      <c r="AE11" s="33">
        <f>Recu1!AE11</f>
        <v>0</v>
      </c>
      <c r="AF11" s="32">
        <f t="shared" si="43"/>
        <v>-1</v>
      </c>
      <c r="AG11" s="33">
        <f>Recu1!AG11</f>
        <v>0</v>
      </c>
      <c r="AH11" s="32">
        <f t="shared" si="44"/>
        <v>-1</v>
      </c>
      <c r="AI11" s="33">
        <f>Recu1!AI11</f>
        <v>0</v>
      </c>
      <c r="AJ11" s="32">
        <f t="shared" si="45"/>
        <v>-1</v>
      </c>
      <c r="AK11" s="33">
        <f>Recu1!AK11</f>
        <v>0</v>
      </c>
      <c r="AL11" s="32">
        <f t="shared" si="46"/>
        <v>-1</v>
      </c>
      <c r="AM11" s="33">
        <f>Recu1!AM11</f>
        <v>0</v>
      </c>
      <c r="AN11" s="32">
        <f t="shared" si="47"/>
        <v>-1</v>
      </c>
      <c r="AO11" s="33">
        <f>Recu1!AO11</f>
        <v>0</v>
      </c>
      <c r="AP11" s="32">
        <f t="shared" si="48"/>
        <v>-1</v>
      </c>
      <c r="AQ11" s="33">
        <f>Recu1!AQ11</f>
        <v>0</v>
      </c>
      <c r="AR11" s="32">
        <f t="shared" si="49"/>
        <v>-1</v>
      </c>
      <c r="AS11" s="33">
        <f>Recu1!AS11</f>
        <v>0</v>
      </c>
      <c r="AT11" s="32">
        <f t="shared" si="50"/>
        <v>-1</v>
      </c>
      <c r="AU11" s="33">
        <f>Recu1!AU11</f>
        <v>0</v>
      </c>
      <c r="AV11" s="32">
        <f t="shared" si="51"/>
        <v>-1</v>
      </c>
      <c r="AW11" s="33">
        <f>Recu1!AW11</f>
        <v>0</v>
      </c>
      <c r="AX11" s="32">
        <f t="shared" si="52"/>
        <v>-1</v>
      </c>
      <c r="AY11" s="33">
        <f>Recu1!AY11</f>
        <v>0</v>
      </c>
      <c r="AZ11" s="32">
        <f t="shared" si="53"/>
        <v>-1</v>
      </c>
      <c r="BA11" s="33">
        <f>Recu1!BA11</f>
        <v>0</v>
      </c>
      <c r="BB11" s="32">
        <f t="shared" si="54"/>
        <v>-1</v>
      </c>
      <c r="BC11" s="33">
        <f>Recu1!BC11</f>
        <v>0</v>
      </c>
      <c r="BD11" s="32">
        <f t="shared" si="55"/>
        <v>-1</v>
      </c>
      <c r="BE11" s="33">
        <f>Recu1!BE11</f>
        <v>0</v>
      </c>
      <c r="BF11" s="32">
        <f t="shared" si="56"/>
        <v>-1</v>
      </c>
      <c r="BG11" s="33">
        <f>Recu1!BG11</f>
        <v>0</v>
      </c>
      <c r="BH11" s="32">
        <f t="shared" si="57"/>
        <v>-1</v>
      </c>
      <c r="BI11" s="33">
        <f>Recu1!BI11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Recu1!B12</f>
        <v>0</v>
      </c>
      <c r="C12" s="33">
        <f>Recu1!C12</f>
        <v>0</v>
      </c>
      <c r="D12" s="32">
        <f t="shared" si="29"/>
        <v>-1</v>
      </c>
      <c r="E12" s="33">
        <f>Recu1!E12</f>
        <v>0</v>
      </c>
      <c r="F12" s="32">
        <f t="shared" si="30"/>
        <v>-1</v>
      </c>
      <c r="G12" s="33">
        <f>Recu1!G12</f>
        <v>0</v>
      </c>
      <c r="H12" s="32">
        <f t="shared" si="31"/>
        <v>-1</v>
      </c>
      <c r="I12" s="33">
        <f>Recu1!I12</f>
        <v>0</v>
      </c>
      <c r="J12" s="32">
        <f t="shared" si="32"/>
        <v>-1</v>
      </c>
      <c r="K12" s="33">
        <f>Recu1!K12</f>
        <v>0</v>
      </c>
      <c r="L12" s="32">
        <f t="shared" si="33"/>
        <v>-1</v>
      </c>
      <c r="M12" s="33">
        <f>Recu1!M12</f>
        <v>0</v>
      </c>
      <c r="N12" s="32">
        <f t="shared" si="34"/>
        <v>-1</v>
      </c>
      <c r="O12" s="33">
        <f>Recu1!O12</f>
        <v>0</v>
      </c>
      <c r="P12" s="32">
        <f t="shared" si="35"/>
        <v>-1</v>
      </c>
      <c r="Q12" s="33">
        <f>Recu1!Q12</f>
        <v>0</v>
      </c>
      <c r="R12" s="32">
        <f t="shared" si="36"/>
        <v>-1</v>
      </c>
      <c r="S12" s="33">
        <f>Recu1!S12</f>
        <v>0</v>
      </c>
      <c r="T12" s="32">
        <f t="shared" si="37"/>
        <v>-1</v>
      </c>
      <c r="U12" s="33">
        <f>Recu1!U12</f>
        <v>0</v>
      </c>
      <c r="V12" s="32">
        <f t="shared" si="38"/>
        <v>-1</v>
      </c>
      <c r="W12" s="33">
        <f>Recu1!W12</f>
        <v>0</v>
      </c>
      <c r="X12" s="32">
        <f t="shared" si="39"/>
        <v>-1</v>
      </c>
      <c r="Y12" s="33">
        <f>Recu1!Y12</f>
        <v>0</v>
      </c>
      <c r="Z12" s="32">
        <f t="shared" si="40"/>
        <v>-1</v>
      </c>
      <c r="AA12" s="33">
        <f>Recu1!AA12</f>
        <v>0</v>
      </c>
      <c r="AB12" s="32">
        <f t="shared" si="41"/>
        <v>-1</v>
      </c>
      <c r="AC12" s="33">
        <f>Recu1!AC12</f>
        <v>0</v>
      </c>
      <c r="AD12" s="32">
        <f t="shared" si="42"/>
        <v>-1</v>
      </c>
      <c r="AE12" s="33">
        <f>Recu1!AE12</f>
        <v>0</v>
      </c>
      <c r="AF12" s="32">
        <f t="shared" si="43"/>
        <v>-1</v>
      </c>
      <c r="AG12" s="33">
        <f>Recu1!AG12</f>
        <v>0</v>
      </c>
      <c r="AH12" s="32">
        <f t="shared" si="44"/>
        <v>-1</v>
      </c>
      <c r="AI12" s="33">
        <f>Recu1!AI12</f>
        <v>0</v>
      </c>
      <c r="AJ12" s="32">
        <f t="shared" si="45"/>
        <v>-1</v>
      </c>
      <c r="AK12" s="33">
        <f>Recu1!AK12</f>
        <v>0</v>
      </c>
      <c r="AL12" s="32">
        <f t="shared" si="46"/>
        <v>-1</v>
      </c>
      <c r="AM12" s="33">
        <f>Recu1!AM12</f>
        <v>0</v>
      </c>
      <c r="AN12" s="32">
        <f t="shared" si="47"/>
        <v>-1</v>
      </c>
      <c r="AO12" s="33">
        <f>Recu1!AO12</f>
        <v>0</v>
      </c>
      <c r="AP12" s="32">
        <f t="shared" si="48"/>
        <v>-1</v>
      </c>
      <c r="AQ12" s="33">
        <f>Recu1!AQ12</f>
        <v>0</v>
      </c>
      <c r="AR12" s="32">
        <f t="shared" si="49"/>
        <v>-1</v>
      </c>
      <c r="AS12" s="33">
        <f>Recu1!AS12</f>
        <v>0</v>
      </c>
      <c r="AT12" s="32">
        <f t="shared" si="50"/>
        <v>-1</v>
      </c>
      <c r="AU12" s="33">
        <f>Recu1!AU12</f>
        <v>0</v>
      </c>
      <c r="AV12" s="32">
        <f t="shared" si="51"/>
        <v>-1</v>
      </c>
      <c r="AW12" s="33">
        <f>Recu1!AW12</f>
        <v>0</v>
      </c>
      <c r="AX12" s="32">
        <f t="shared" si="52"/>
        <v>-1</v>
      </c>
      <c r="AY12" s="33">
        <f>Recu1!AY12</f>
        <v>0</v>
      </c>
      <c r="AZ12" s="32">
        <f t="shared" si="53"/>
        <v>-1</v>
      </c>
      <c r="BA12" s="33">
        <f>Recu1!BA12</f>
        <v>0</v>
      </c>
      <c r="BB12" s="32">
        <f t="shared" si="54"/>
        <v>-1</v>
      </c>
      <c r="BC12" s="33">
        <f>Recu1!BC12</f>
        <v>0</v>
      </c>
      <c r="BD12" s="32">
        <f t="shared" si="55"/>
        <v>-1</v>
      </c>
      <c r="BE12" s="33">
        <f>Recu1!BE12</f>
        <v>0</v>
      </c>
      <c r="BF12" s="32">
        <f t="shared" si="56"/>
        <v>-1</v>
      </c>
      <c r="BG12" s="33">
        <f>Recu1!BG12</f>
        <v>0</v>
      </c>
      <c r="BH12" s="32">
        <f t="shared" si="57"/>
        <v>-1</v>
      </c>
      <c r="BI12" s="33">
        <f>Recu1!BI12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Recu1!B13</f>
        <v>0</v>
      </c>
      <c r="C13" s="33">
        <f>Recu1!C13</f>
        <v>0</v>
      </c>
      <c r="D13" s="32">
        <f t="shared" si="29"/>
        <v>-1</v>
      </c>
      <c r="E13" s="33">
        <f>Recu1!E13</f>
        <v>0</v>
      </c>
      <c r="F13" s="32">
        <f t="shared" si="30"/>
        <v>-1</v>
      </c>
      <c r="G13" s="33">
        <f>Recu1!G13</f>
        <v>0</v>
      </c>
      <c r="H13" s="32">
        <f t="shared" si="31"/>
        <v>-1</v>
      </c>
      <c r="I13" s="33">
        <f>Recu1!I13</f>
        <v>0</v>
      </c>
      <c r="J13" s="32">
        <f t="shared" si="32"/>
        <v>-1</v>
      </c>
      <c r="K13" s="33">
        <f>Recu1!K13</f>
        <v>0</v>
      </c>
      <c r="L13" s="32">
        <f t="shared" si="33"/>
        <v>-1</v>
      </c>
      <c r="M13" s="33">
        <f>Recu1!M13</f>
        <v>0</v>
      </c>
      <c r="N13" s="32">
        <f t="shared" si="34"/>
        <v>-1</v>
      </c>
      <c r="O13" s="33">
        <f>Recu1!O13</f>
        <v>0</v>
      </c>
      <c r="P13" s="32">
        <f t="shared" si="35"/>
        <v>-1</v>
      </c>
      <c r="Q13" s="33">
        <f>Recu1!Q13</f>
        <v>0</v>
      </c>
      <c r="R13" s="32">
        <f t="shared" si="36"/>
        <v>-1</v>
      </c>
      <c r="S13" s="33">
        <f>Recu1!S13</f>
        <v>0</v>
      </c>
      <c r="T13" s="32">
        <f t="shared" si="37"/>
        <v>-1</v>
      </c>
      <c r="U13" s="33">
        <f>Recu1!U13</f>
        <v>0</v>
      </c>
      <c r="V13" s="32">
        <f t="shared" si="38"/>
        <v>-1</v>
      </c>
      <c r="W13" s="33">
        <f>Recu1!W13</f>
        <v>0</v>
      </c>
      <c r="X13" s="32">
        <f t="shared" si="39"/>
        <v>-1</v>
      </c>
      <c r="Y13" s="33">
        <f>Recu1!Y13</f>
        <v>0</v>
      </c>
      <c r="Z13" s="32">
        <f t="shared" si="40"/>
        <v>-1</v>
      </c>
      <c r="AA13" s="33">
        <f>Recu1!AA13</f>
        <v>0</v>
      </c>
      <c r="AB13" s="32">
        <f t="shared" si="41"/>
        <v>-1</v>
      </c>
      <c r="AC13" s="33">
        <f>Recu1!AC13</f>
        <v>0</v>
      </c>
      <c r="AD13" s="32">
        <f t="shared" si="42"/>
        <v>-1</v>
      </c>
      <c r="AE13" s="33">
        <f>Recu1!AE13</f>
        <v>0</v>
      </c>
      <c r="AF13" s="32">
        <f t="shared" si="43"/>
        <v>-1</v>
      </c>
      <c r="AG13" s="33">
        <f>Recu1!AG13</f>
        <v>0</v>
      </c>
      <c r="AH13" s="32">
        <f t="shared" si="44"/>
        <v>-1</v>
      </c>
      <c r="AI13" s="33">
        <f>Recu1!AI13</f>
        <v>0</v>
      </c>
      <c r="AJ13" s="32">
        <f t="shared" si="45"/>
        <v>-1</v>
      </c>
      <c r="AK13" s="33">
        <f>Recu1!AK13</f>
        <v>0</v>
      </c>
      <c r="AL13" s="32">
        <f t="shared" si="46"/>
        <v>-1</v>
      </c>
      <c r="AM13" s="33">
        <f>Recu1!AM13</f>
        <v>0</v>
      </c>
      <c r="AN13" s="32">
        <f t="shared" si="47"/>
        <v>-1</v>
      </c>
      <c r="AO13" s="33">
        <f>Recu1!AO13</f>
        <v>0</v>
      </c>
      <c r="AP13" s="32">
        <f t="shared" si="48"/>
        <v>-1</v>
      </c>
      <c r="AQ13" s="33">
        <f>Recu1!AQ13</f>
        <v>0</v>
      </c>
      <c r="AR13" s="32">
        <f t="shared" si="49"/>
        <v>-1</v>
      </c>
      <c r="AS13" s="33">
        <f>Recu1!AS13</f>
        <v>0</v>
      </c>
      <c r="AT13" s="32">
        <f t="shared" si="50"/>
        <v>-1</v>
      </c>
      <c r="AU13" s="33">
        <f>Recu1!AU13</f>
        <v>0</v>
      </c>
      <c r="AV13" s="32">
        <f t="shared" si="51"/>
        <v>-1</v>
      </c>
      <c r="AW13" s="33">
        <f>Recu1!AW13</f>
        <v>0</v>
      </c>
      <c r="AX13" s="32">
        <f t="shared" si="52"/>
        <v>-1</v>
      </c>
      <c r="AY13" s="33">
        <f>Recu1!AY13</f>
        <v>0</v>
      </c>
      <c r="AZ13" s="32">
        <f t="shared" si="53"/>
        <v>-1</v>
      </c>
      <c r="BA13" s="33">
        <f>Recu1!BA13</f>
        <v>0</v>
      </c>
      <c r="BB13" s="32">
        <f t="shared" si="54"/>
        <v>-1</v>
      </c>
      <c r="BC13" s="33">
        <f>Recu1!BC13</f>
        <v>0</v>
      </c>
      <c r="BD13" s="32">
        <f t="shared" si="55"/>
        <v>-1</v>
      </c>
      <c r="BE13" s="33">
        <f>Recu1!BE13</f>
        <v>0</v>
      </c>
      <c r="BF13" s="32">
        <f t="shared" si="56"/>
        <v>-1</v>
      </c>
      <c r="BG13" s="33">
        <f>Recu1!BG13</f>
        <v>0</v>
      </c>
      <c r="BH13" s="32">
        <f t="shared" si="57"/>
        <v>-1</v>
      </c>
      <c r="BI13" s="33">
        <f>Recu1!BI13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Recu1!B14</f>
        <v>0</v>
      </c>
      <c r="C14" s="33">
        <f>Recu1!C14</f>
        <v>0</v>
      </c>
      <c r="D14" s="32">
        <f t="shared" si="29"/>
        <v>-1</v>
      </c>
      <c r="E14" s="33">
        <f>Recu1!E14</f>
        <v>0</v>
      </c>
      <c r="F14" s="32">
        <f t="shared" si="30"/>
        <v>-1</v>
      </c>
      <c r="G14" s="33">
        <f>Recu1!G14</f>
        <v>0</v>
      </c>
      <c r="H14" s="32">
        <f t="shared" si="31"/>
        <v>-1</v>
      </c>
      <c r="I14" s="33">
        <f>Recu1!I14</f>
        <v>0</v>
      </c>
      <c r="J14" s="32">
        <f t="shared" si="32"/>
        <v>-1</v>
      </c>
      <c r="K14" s="33">
        <f>Recu1!K14</f>
        <v>0</v>
      </c>
      <c r="L14" s="32">
        <f t="shared" si="33"/>
        <v>-1</v>
      </c>
      <c r="M14" s="33">
        <f>Recu1!M14</f>
        <v>0</v>
      </c>
      <c r="N14" s="32">
        <f t="shared" si="34"/>
        <v>-1</v>
      </c>
      <c r="O14" s="33">
        <f>Recu1!O14</f>
        <v>0</v>
      </c>
      <c r="P14" s="32">
        <f t="shared" si="35"/>
        <v>-1</v>
      </c>
      <c r="Q14" s="33">
        <f>Recu1!Q14</f>
        <v>0</v>
      </c>
      <c r="R14" s="32">
        <f t="shared" si="36"/>
        <v>-1</v>
      </c>
      <c r="S14" s="33">
        <f>Recu1!S14</f>
        <v>0</v>
      </c>
      <c r="T14" s="32">
        <f t="shared" si="37"/>
        <v>-1</v>
      </c>
      <c r="U14" s="33">
        <f>Recu1!U14</f>
        <v>0</v>
      </c>
      <c r="V14" s="32">
        <f t="shared" si="38"/>
        <v>-1</v>
      </c>
      <c r="W14" s="33">
        <f>Recu1!W14</f>
        <v>0</v>
      </c>
      <c r="X14" s="32">
        <f t="shared" si="39"/>
        <v>-1</v>
      </c>
      <c r="Y14" s="33">
        <f>Recu1!Y14</f>
        <v>0</v>
      </c>
      <c r="Z14" s="32">
        <f t="shared" si="40"/>
        <v>-1</v>
      </c>
      <c r="AA14" s="33">
        <f>Recu1!AA14</f>
        <v>0</v>
      </c>
      <c r="AB14" s="32">
        <f t="shared" si="41"/>
        <v>-1</v>
      </c>
      <c r="AC14" s="33">
        <f>Recu1!AC14</f>
        <v>0</v>
      </c>
      <c r="AD14" s="32">
        <f t="shared" si="42"/>
        <v>-1</v>
      </c>
      <c r="AE14" s="33">
        <f>Recu1!AE14</f>
        <v>0</v>
      </c>
      <c r="AF14" s="32">
        <f t="shared" si="43"/>
        <v>-1</v>
      </c>
      <c r="AG14" s="33">
        <f>Recu1!AG14</f>
        <v>0</v>
      </c>
      <c r="AH14" s="32">
        <f t="shared" si="44"/>
        <v>-1</v>
      </c>
      <c r="AI14" s="33">
        <f>Recu1!AI14</f>
        <v>0</v>
      </c>
      <c r="AJ14" s="32">
        <f t="shared" si="45"/>
        <v>-1</v>
      </c>
      <c r="AK14" s="33">
        <f>Recu1!AK14</f>
        <v>0</v>
      </c>
      <c r="AL14" s="32">
        <f t="shared" si="46"/>
        <v>-1</v>
      </c>
      <c r="AM14" s="33">
        <f>Recu1!AM14</f>
        <v>0</v>
      </c>
      <c r="AN14" s="32">
        <f t="shared" si="47"/>
        <v>-1</v>
      </c>
      <c r="AO14" s="33">
        <f>Recu1!AO14</f>
        <v>0</v>
      </c>
      <c r="AP14" s="32">
        <f t="shared" si="48"/>
        <v>-1</v>
      </c>
      <c r="AQ14" s="33">
        <f>Recu1!AQ14</f>
        <v>0</v>
      </c>
      <c r="AR14" s="32">
        <f t="shared" si="49"/>
        <v>-1</v>
      </c>
      <c r="AS14" s="33">
        <f>Recu1!AS14</f>
        <v>0</v>
      </c>
      <c r="AT14" s="32">
        <f t="shared" si="50"/>
        <v>-1</v>
      </c>
      <c r="AU14" s="33">
        <f>Recu1!AU14</f>
        <v>0</v>
      </c>
      <c r="AV14" s="32">
        <f t="shared" si="51"/>
        <v>-1</v>
      </c>
      <c r="AW14" s="33">
        <f>Recu1!AW14</f>
        <v>0</v>
      </c>
      <c r="AX14" s="32">
        <f t="shared" si="52"/>
        <v>-1</v>
      </c>
      <c r="AY14" s="33">
        <f>Recu1!AY14</f>
        <v>0</v>
      </c>
      <c r="AZ14" s="32">
        <f t="shared" si="53"/>
        <v>-1</v>
      </c>
      <c r="BA14" s="33">
        <f>Recu1!BA14</f>
        <v>0</v>
      </c>
      <c r="BB14" s="32">
        <f t="shared" si="54"/>
        <v>-1</v>
      </c>
      <c r="BC14" s="33">
        <f>Recu1!BC14</f>
        <v>0</v>
      </c>
      <c r="BD14" s="32">
        <f t="shared" si="55"/>
        <v>-1</v>
      </c>
      <c r="BE14" s="33">
        <f>Recu1!BE14</f>
        <v>0</v>
      </c>
      <c r="BF14" s="32">
        <f t="shared" si="56"/>
        <v>-1</v>
      </c>
      <c r="BG14" s="33">
        <f>Recu1!BG14</f>
        <v>0</v>
      </c>
      <c r="BH14" s="32">
        <f t="shared" si="57"/>
        <v>-1</v>
      </c>
      <c r="BI14" s="33">
        <f>Recu1!BI14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Recu1!B15</f>
        <v>0</v>
      </c>
      <c r="C15" s="33">
        <f>Recu1!C15</f>
        <v>0</v>
      </c>
      <c r="D15" s="32">
        <f t="shared" si="29"/>
        <v>-1</v>
      </c>
      <c r="E15" s="33">
        <f>Recu1!E15</f>
        <v>0</v>
      </c>
      <c r="F15" s="32">
        <f t="shared" si="30"/>
        <v>-1</v>
      </c>
      <c r="G15" s="33">
        <f>Recu1!G15</f>
        <v>0</v>
      </c>
      <c r="H15" s="32">
        <f t="shared" si="31"/>
        <v>-1</v>
      </c>
      <c r="I15" s="33">
        <f>Recu1!I15</f>
        <v>0</v>
      </c>
      <c r="J15" s="32">
        <f t="shared" si="32"/>
        <v>-1</v>
      </c>
      <c r="K15" s="33">
        <f>Recu1!K15</f>
        <v>0</v>
      </c>
      <c r="L15" s="32">
        <f t="shared" si="33"/>
        <v>-1</v>
      </c>
      <c r="M15" s="33">
        <f>Recu1!M15</f>
        <v>0</v>
      </c>
      <c r="N15" s="32">
        <f t="shared" si="34"/>
        <v>-1</v>
      </c>
      <c r="O15" s="33">
        <f>Recu1!O15</f>
        <v>0</v>
      </c>
      <c r="P15" s="32">
        <f t="shared" si="35"/>
        <v>-1</v>
      </c>
      <c r="Q15" s="33">
        <f>Recu1!Q15</f>
        <v>0</v>
      </c>
      <c r="R15" s="32">
        <f t="shared" si="36"/>
        <v>-1</v>
      </c>
      <c r="S15" s="33">
        <f>Recu1!S15</f>
        <v>0</v>
      </c>
      <c r="T15" s="32">
        <f t="shared" si="37"/>
        <v>-1</v>
      </c>
      <c r="U15" s="33">
        <f>Recu1!U15</f>
        <v>0</v>
      </c>
      <c r="V15" s="32">
        <f t="shared" si="38"/>
        <v>-1</v>
      </c>
      <c r="W15" s="33">
        <f>Recu1!W15</f>
        <v>0</v>
      </c>
      <c r="X15" s="32">
        <f t="shared" si="39"/>
        <v>-1</v>
      </c>
      <c r="Y15" s="33">
        <f>Recu1!Y15</f>
        <v>0</v>
      </c>
      <c r="Z15" s="32">
        <f t="shared" si="40"/>
        <v>-1</v>
      </c>
      <c r="AA15" s="33">
        <f>Recu1!AA15</f>
        <v>0</v>
      </c>
      <c r="AB15" s="32">
        <f t="shared" si="41"/>
        <v>-1</v>
      </c>
      <c r="AC15" s="33">
        <f>Recu1!AC15</f>
        <v>0</v>
      </c>
      <c r="AD15" s="32">
        <f t="shared" si="42"/>
        <v>-1</v>
      </c>
      <c r="AE15" s="33">
        <f>Recu1!AE15</f>
        <v>0</v>
      </c>
      <c r="AF15" s="32">
        <f t="shared" si="43"/>
        <v>-1</v>
      </c>
      <c r="AG15" s="33">
        <f>Recu1!AG15</f>
        <v>0</v>
      </c>
      <c r="AH15" s="32">
        <f t="shared" si="44"/>
        <v>-1</v>
      </c>
      <c r="AI15" s="33">
        <f>Recu1!AI15</f>
        <v>0</v>
      </c>
      <c r="AJ15" s="32">
        <f t="shared" si="45"/>
        <v>-1</v>
      </c>
      <c r="AK15" s="33">
        <f>Recu1!AK15</f>
        <v>0</v>
      </c>
      <c r="AL15" s="32">
        <f t="shared" si="46"/>
        <v>-1</v>
      </c>
      <c r="AM15" s="33">
        <f>Recu1!AM15</f>
        <v>0</v>
      </c>
      <c r="AN15" s="32">
        <f t="shared" si="47"/>
        <v>-1</v>
      </c>
      <c r="AO15" s="33">
        <f>Recu1!AO15</f>
        <v>0</v>
      </c>
      <c r="AP15" s="32">
        <f t="shared" si="48"/>
        <v>-1</v>
      </c>
      <c r="AQ15" s="33">
        <f>Recu1!AQ15</f>
        <v>0</v>
      </c>
      <c r="AR15" s="32">
        <f t="shared" si="49"/>
        <v>-1</v>
      </c>
      <c r="AS15" s="33">
        <f>Recu1!AS15</f>
        <v>0</v>
      </c>
      <c r="AT15" s="32">
        <f t="shared" si="50"/>
        <v>-1</v>
      </c>
      <c r="AU15" s="33">
        <f>Recu1!AU15</f>
        <v>0</v>
      </c>
      <c r="AV15" s="32">
        <f t="shared" si="51"/>
        <v>-1</v>
      </c>
      <c r="AW15" s="33">
        <f>Recu1!AW15</f>
        <v>0</v>
      </c>
      <c r="AX15" s="32">
        <f t="shared" si="52"/>
        <v>-1</v>
      </c>
      <c r="AY15" s="33">
        <f>Recu1!AY15</f>
        <v>0</v>
      </c>
      <c r="AZ15" s="32">
        <f t="shared" si="53"/>
        <v>-1</v>
      </c>
      <c r="BA15" s="33">
        <f>Recu1!BA15</f>
        <v>0</v>
      </c>
      <c r="BB15" s="32">
        <f t="shared" si="54"/>
        <v>-1</v>
      </c>
      <c r="BC15" s="33">
        <f>Recu1!BC15</f>
        <v>0</v>
      </c>
      <c r="BD15" s="32">
        <f t="shared" si="55"/>
        <v>-1</v>
      </c>
      <c r="BE15" s="33">
        <f>Recu1!BE15</f>
        <v>0</v>
      </c>
      <c r="BF15" s="32">
        <f t="shared" si="56"/>
        <v>-1</v>
      </c>
      <c r="BG15" s="33">
        <f>Recu1!BG15</f>
        <v>0</v>
      </c>
      <c r="BH15" s="32">
        <f t="shared" si="57"/>
        <v>-1</v>
      </c>
      <c r="BI15" s="33">
        <f>Recu1!BI15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Recu1!B17</f>
        <v>0</v>
      </c>
      <c r="C17" s="33">
        <f>Recu1!C17</f>
        <v>0</v>
      </c>
      <c r="D17" s="32">
        <f t="shared" ref="D17:D37" si="59">IF($B17,C17/$B17,-1)</f>
        <v>-1</v>
      </c>
      <c r="E17" s="33">
        <f>Recu1!E17</f>
        <v>0</v>
      </c>
      <c r="F17" s="32">
        <f t="shared" ref="F17:F37" si="60">IF($B17,E17/$B17,-1)</f>
        <v>-1</v>
      </c>
      <c r="G17" s="33">
        <f>Recu1!G17</f>
        <v>0</v>
      </c>
      <c r="H17" s="32">
        <f t="shared" ref="H17:H37" si="61">IF($B17,G17/$B17,-1)</f>
        <v>-1</v>
      </c>
      <c r="I17" s="33">
        <f>Recu1!I17</f>
        <v>0</v>
      </c>
      <c r="J17" s="32">
        <f t="shared" ref="J17:J37" si="62">IF($B17,I17/$B17,-1)</f>
        <v>-1</v>
      </c>
      <c r="K17" s="33">
        <f>Recu1!K17</f>
        <v>0</v>
      </c>
      <c r="L17" s="32">
        <f t="shared" ref="L17:L37" si="63">IF($B17,K17/$B17,-1)</f>
        <v>-1</v>
      </c>
      <c r="M17" s="33">
        <f>Recu1!M17</f>
        <v>0</v>
      </c>
      <c r="N17" s="32">
        <f t="shared" ref="N17:N37" si="64">IF($B17,M17/$B17,-1)</f>
        <v>-1</v>
      </c>
      <c r="O17" s="33">
        <f>Recu1!O17</f>
        <v>0</v>
      </c>
      <c r="P17" s="32">
        <f t="shared" ref="P17:P37" si="65">IF($B17,O17/$B17,-1)</f>
        <v>-1</v>
      </c>
      <c r="Q17" s="33">
        <f>Recu1!Q17</f>
        <v>0</v>
      </c>
      <c r="R17" s="32">
        <f t="shared" ref="R17:R37" si="66">IF($B17,Q17/$B17,-1)</f>
        <v>-1</v>
      </c>
      <c r="S17" s="33">
        <f>Recu1!S17</f>
        <v>0</v>
      </c>
      <c r="T17" s="32">
        <f t="shared" ref="T17:T37" si="67">IF($B17,S17/$B17,-1)</f>
        <v>-1</v>
      </c>
      <c r="U17" s="33">
        <f>Recu1!U17</f>
        <v>0</v>
      </c>
      <c r="V17" s="32">
        <f t="shared" ref="V17:V37" si="68">IF($B17,U17/$B17,-1)</f>
        <v>-1</v>
      </c>
      <c r="W17" s="33">
        <f>Recu1!W17</f>
        <v>0</v>
      </c>
      <c r="X17" s="32">
        <f t="shared" ref="X17:X37" si="69">IF($B17,W17/$B17,-1)</f>
        <v>-1</v>
      </c>
      <c r="Y17" s="33">
        <f>Recu1!Y17</f>
        <v>0</v>
      </c>
      <c r="Z17" s="32">
        <f t="shared" ref="Z17:Z37" si="70">IF($B17,Y17/$B17,-1)</f>
        <v>-1</v>
      </c>
      <c r="AA17" s="33">
        <f>Recu1!AA17</f>
        <v>0</v>
      </c>
      <c r="AB17" s="32">
        <f t="shared" ref="AB17:AB37" si="71">IF($B17,AA17/$B17,-1)</f>
        <v>-1</v>
      </c>
      <c r="AC17" s="33">
        <f>Recu1!AC17</f>
        <v>0</v>
      </c>
      <c r="AD17" s="32">
        <f t="shared" ref="AD17:AD37" si="72">IF($B17,AC17/$B17,-1)</f>
        <v>-1</v>
      </c>
      <c r="AE17" s="33">
        <f>Recu1!AE17</f>
        <v>0</v>
      </c>
      <c r="AF17" s="32">
        <f t="shared" ref="AF17:AF37" si="73">IF($B17,AE17/$B17,-1)</f>
        <v>-1</v>
      </c>
      <c r="AG17" s="33">
        <f>Recu1!AG17</f>
        <v>0</v>
      </c>
      <c r="AH17" s="32">
        <f t="shared" ref="AH17:AH37" si="74">IF($B17,AG17/$B17,-1)</f>
        <v>-1</v>
      </c>
      <c r="AI17" s="33">
        <f>Recu1!AI17</f>
        <v>0</v>
      </c>
      <c r="AJ17" s="32">
        <f t="shared" ref="AJ17:AJ37" si="75">IF($B17,AI17/$B17,-1)</f>
        <v>-1</v>
      </c>
      <c r="AK17" s="33">
        <f>Recu1!AK17</f>
        <v>0</v>
      </c>
      <c r="AL17" s="32">
        <f t="shared" ref="AL17:AL37" si="76">IF($B17,AK17/$B17,-1)</f>
        <v>-1</v>
      </c>
      <c r="AM17" s="33">
        <f>Recu1!AM17</f>
        <v>0</v>
      </c>
      <c r="AN17" s="32">
        <f t="shared" ref="AN17:AN37" si="77">IF($B17,AM17/$B17,-1)</f>
        <v>-1</v>
      </c>
      <c r="AO17" s="33">
        <f>Recu1!AO17</f>
        <v>0</v>
      </c>
      <c r="AP17" s="32">
        <f t="shared" ref="AP17:AP37" si="78">IF($B17,AO17/$B17,-1)</f>
        <v>-1</v>
      </c>
      <c r="AQ17" s="33">
        <f>Recu1!AQ17</f>
        <v>0</v>
      </c>
      <c r="AR17" s="32">
        <f t="shared" ref="AR17:AR37" si="79">IF($B17,AQ17/$B17,-1)</f>
        <v>-1</v>
      </c>
      <c r="AS17" s="33">
        <f>Recu1!AS17</f>
        <v>0</v>
      </c>
      <c r="AT17" s="32">
        <f t="shared" ref="AT17:AT37" si="80">IF($B17,AS17/$B17,-1)</f>
        <v>-1</v>
      </c>
      <c r="AU17" s="33">
        <f>Recu1!AU17</f>
        <v>0</v>
      </c>
      <c r="AV17" s="32">
        <f t="shared" ref="AV17:AV37" si="81">IF($B17,AU17/$B17,-1)</f>
        <v>-1</v>
      </c>
      <c r="AW17" s="33">
        <f>Recu1!AW17</f>
        <v>0</v>
      </c>
      <c r="AX17" s="32">
        <f t="shared" ref="AX17:AX37" si="82">IF($B17,AW17/$B17,-1)</f>
        <v>-1</v>
      </c>
      <c r="AY17" s="33">
        <f>Recu1!AY17</f>
        <v>0</v>
      </c>
      <c r="AZ17" s="32">
        <f t="shared" ref="AZ17:AZ37" si="83">IF($B17,AY17/$B17,-1)</f>
        <v>-1</v>
      </c>
      <c r="BA17" s="33">
        <f>Recu1!BA17</f>
        <v>0</v>
      </c>
      <c r="BB17" s="32">
        <f t="shared" ref="BB17:BB37" si="84">IF($B17,BA17/$B17,-1)</f>
        <v>-1</v>
      </c>
      <c r="BC17" s="33">
        <f>Recu1!BC17</f>
        <v>0</v>
      </c>
      <c r="BD17" s="32">
        <f t="shared" ref="BD17:BD37" si="85">IF($B17,BC17/$B17,-1)</f>
        <v>-1</v>
      </c>
      <c r="BE17" s="33">
        <f>Recu1!BE17</f>
        <v>0</v>
      </c>
      <c r="BF17" s="32">
        <f t="shared" ref="BF17:BF37" si="86">IF($B17,BE17/$B17,-1)</f>
        <v>-1</v>
      </c>
      <c r="BG17" s="33">
        <f>Recu1!BG17</f>
        <v>0</v>
      </c>
      <c r="BH17" s="32">
        <f t="shared" ref="BH17:BH37" si="87">IF($B17,BG17/$B17,-1)</f>
        <v>-1</v>
      </c>
      <c r="BI17" s="33">
        <f>Recu1!BI17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Recu1!B18</f>
        <v>0</v>
      </c>
      <c r="C18" s="33">
        <f>Recu1!C18</f>
        <v>0</v>
      </c>
      <c r="D18" s="32">
        <f t="shared" si="59"/>
        <v>-1</v>
      </c>
      <c r="E18" s="33">
        <f>Recu1!E18</f>
        <v>0</v>
      </c>
      <c r="F18" s="32">
        <f t="shared" si="60"/>
        <v>-1</v>
      </c>
      <c r="G18" s="33">
        <f>Recu1!G18</f>
        <v>0</v>
      </c>
      <c r="H18" s="32">
        <f t="shared" si="61"/>
        <v>-1</v>
      </c>
      <c r="I18" s="33">
        <f>Recu1!I18</f>
        <v>0</v>
      </c>
      <c r="J18" s="32">
        <f t="shared" si="62"/>
        <v>-1</v>
      </c>
      <c r="K18" s="33">
        <f>Recu1!K18</f>
        <v>0</v>
      </c>
      <c r="L18" s="32">
        <f t="shared" si="63"/>
        <v>-1</v>
      </c>
      <c r="M18" s="33">
        <f>Recu1!M18</f>
        <v>0</v>
      </c>
      <c r="N18" s="32">
        <f t="shared" si="64"/>
        <v>-1</v>
      </c>
      <c r="O18" s="33">
        <f>Recu1!O18</f>
        <v>0</v>
      </c>
      <c r="P18" s="32">
        <f t="shared" si="65"/>
        <v>-1</v>
      </c>
      <c r="Q18" s="33">
        <f>Recu1!Q18</f>
        <v>0</v>
      </c>
      <c r="R18" s="32">
        <f t="shared" si="66"/>
        <v>-1</v>
      </c>
      <c r="S18" s="33">
        <f>Recu1!S18</f>
        <v>0</v>
      </c>
      <c r="T18" s="32">
        <f t="shared" si="67"/>
        <v>-1</v>
      </c>
      <c r="U18" s="33">
        <f>Recu1!U18</f>
        <v>0</v>
      </c>
      <c r="V18" s="32">
        <f t="shared" si="68"/>
        <v>-1</v>
      </c>
      <c r="W18" s="33">
        <f>Recu1!W18</f>
        <v>0</v>
      </c>
      <c r="X18" s="32">
        <f t="shared" si="69"/>
        <v>-1</v>
      </c>
      <c r="Y18" s="33">
        <f>Recu1!Y18</f>
        <v>0</v>
      </c>
      <c r="Z18" s="32">
        <f t="shared" si="70"/>
        <v>-1</v>
      </c>
      <c r="AA18" s="33">
        <f>Recu1!AA18</f>
        <v>0</v>
      </c>
      <c r="AB18" s="32">
        <f t="shared" si="71"/>
        <v>-1</v>
      </c>
      <c r="AC18" s="33">
        <f>Recu1!AC18</f>
        <v>0</v>
      </c>
      <c r="AD18" s="32">
        <f t="shared" si="72"/>
        <v>-1</v>
      </c>
      <c r="AE18" s="33">
        <f>Recu1!AE18</f>
        <v>0</v>
      </c>
      <c r="AF18" s="32">
        <f t="shared" si="73"/>
        <v>-1</v>
      </c>
      <c r="AG18" s="33">
        <f>Recu1!AG18</f>
        <v>0</v>
      </c>
      <c r="AH18" s="32">
        <f t="shared" si="74"/>
        <v>-1</v>
      </c>
      <c r="AI18" s="33">
        <f>Recu1!AI18</f>
        <v>0</v>
      </c>
      <c r="AJ18" s="32">
        <f t="shared" si="75"/>
        <v>-1</v>
      </c>
      <c r="AK18" s="33">
        <f>Recu1!AK18</f>
        <v>0</v>
      </c>
      <c r="AL18" s="32">
        <f t="shared" si="76"/>
        <v>-1</v>
      </c>
      <c r="AM18" s="33">
        <f>Recu1!AM18</f>
        <v>0</v>
      </c>
      <c r="AN18" s="32">
        <f t="shared" si="77"/>
        <v>-1</v>
      </c>
      <c r="AO18" s="33">
        <f>Recu1!AO18</f>
        <v>0</v>
      </c>
      <c r="AP18" s="32">
        <f t="shared" si="78"/>
        <v>-1</v>
      </c>
      <c r="AQ18" s="33">
        <f>Recu1!AQ18</f>
        <v>0</v>
      </c>
      <c r="AR18" s="32">
        <f t="shared" si="79"/>
        <v>-1</v>
      </c>
      <c r="AS18" s="33">
        <f>Recu1!AS18</f>
        <v>0</v>
      </c>
      <c r="AT18" s="32">
        <f t="shared" si="80"/>
        <v>-1</v>
      </c>
      <c r="AU18" s="33">
        <f>Recu1!AU18</f>
        <v>0</v>
      </c>
      <c r="AV18" s="32">
        <f t="shared" si="81"/>
        <v>-1</v>
      </c>
      <c r="AW18" s="33">
        <f>Recu1!AW18</f>
        <v>0</v>
      </c>
      <c r="AX18" s="32">
        <f t="shared" si="82"/>
        <v>-1</v>
      </c>
      <c r="AY18" s="33">
        <f>Recu1!AY18</f>
        <v>0</v>
      </c>
      <c r="AZ18" s="32">
        <f t="shared" si="83"/>
        <v>-1</v>
      </c>
      <c r="BA18" s="33">
        <f>Recu1!BA18</f>
        <v>0</v>
      </c>
      <c r="BB18" s="32">
        <f t="shared" si="84"/>
        <v>-1</v>
      </c>
      <c r="BC18" s="33">
        <f>Recu1!BC18</f>
        <v>0</v>
      </c>
      <c r="BD18" s="32">
        <f t="shared" si="85"/>
        <v>-1</v>
      </c>
      <c r="BE18" s="33">
        <f>Recu1!BE18</f>
        <v>0</v>
      </c>
      <c r="BF18" s="32">
        <f t="shared" si="86"/>
        <v>-1</v>
      </c>
      <c r="BG18" s="33">
        <f>Recu1!BG18</f>
        <v>0</v>
      </c>
      <c r="BH18" s="32">
        <f t="shared" si="87"/>
        <v>-1</v>
      </c>
      <c r="BI18" s="33">
        <f>Recu1!BI18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Recu1!B19</f>
        <v>0</v>
      </c>
      <c r="C19" s="33">
        <f>Recu1!C19</f>
        <v>0</v>
      </c>
      <c r="D19" s="32">
        <f t="shared" si="59"/>
        <v>-1</v>
      </c>
      <c r="E19" s="33">
        <f>Recu1!E19</f>
        <v>0</v>
      </c>
      <c r="F19" s="32">
        <f t="shared" si="60"/>
        <v>-1</v>
      </c>
      <c r="G19" s="33">
        <f>Recu1!G19</f>
        <v>0</v>
      </c>
      <c r="H19" s="32">
        <f t="shared" si="61"/>
        <v>-1</v>
      </c>
      <c r="I19" s="33">
        <f>Recu1!I19</f>
        <v>0</v>
      </c>
      <c r="J19" s="32">
        <f t="shared" si="62"/>
        <v>-1</v>
      </c>
      <c r="K19" s="33">
        <f>Recu1!K19</f>
        <v>0</v>
      </c>
      <c r="L19" s="32">
        <f t="shared" si="63"/>
        <v>-1</v>
      </c>
      <c r="M19" s="33">
        <f>Recu1!M19</f>
        <v>0</v>
      </c>
      <c r="N19" s="32">
        <f t="shared" si="64"/>
        <v>-1</v>
      </c>
      <c r="O19" s="33">
        <f>Recu1!O19</f>
        <v>0</v>
      </c>
      <c r="P19" s="32">
        <f t="shared" si="65"/>
        <v>-1</v>
      </c>
      <c r="Q19" s="33">
        <f>Recu1!Q19</f>
        <v>0</v>
      </c>
      <c r="R19" s="32">
        <f t="shared" si="66"/>
        <v>-1</v>
      </c>
      <c r="S19" s="33">
        <f>Recu1!S19</f>
        <v>0</v>
      </c>
      <c r="T19" s="32">
        <f t="shared" si="67"/>
        <v>-1</v>
      </c>
      <c r="U19" s="33">
        <f>Recu1!U19</f>
        <v>0</v>
      </c>
      <c r="V19" s="32">
        <f t="shared" si="68"/>
        <v>-1</v>
      </c>
      <c r="W19" s="33">
        <f>Recu1!W19</f>
        <v>0</v>
      </c>
      <c r="X19" s="32">
        <f t="shared" si="69"/>
        <v>-1</v>
      </c>
      <c r="Y19" s="33">
        <f>Recu1!Y19</f>
        <v>0</v>
      </c>
      <c r="Z19" s="32">
        <f t="shared" si="70"/>
        <v>-1</v>
      </c>
      <c r="AA19" s="33">
        <f>Recu1!AA19</f>
        <v>0</v>
      </c>
      <c r="AB19" s="32">
        <f t="shared" si="71"/>
        <v>-1</v>
      </c>
      <c r="AC19" s="33">
        <f>Recu1!AC19</f>
        <v>0</v>
      </c>
      <c r="AD19" s="32">
        <f t="shared" si="72"/>
        <v>-1</v>
      </c>
      <c r="AE19" s="33">
        <f>Recu1!AE19</f>
        <v>0</v>
      </c>
      <c r="AF19" s="32">
        <f t="shared" si="73"/>
        <v>-1</v>
      </c>
      <c r="AG19" s="33">
        <f>Recu1!AG19</f>
        <v>0</v>
      </c>
      <c r="AH19" s="32">
        <f t="shared" si="74"/>
        <v>-1</v>
      </c>
      <c r="AI19" s="33">
        <f>Recu1!AI19</f>
        <v>0</v>
      </c>
      <c r="AJ19" s="32">
        <f t="shared" si="75"/>
        <v>-1</v>
      </c>
      <c r="AK19" s="33">
        <f>Recu1!AK19</f>
        <v>0</v>
      </c>
      <c r="AL19" s="32">
        <f t="shared" si="76"/>
        <v>-1</v>
      </c>
      <c r="AM19" s="33">
        <f>Recu1!AM19</f>
        <v>0</v>
      </c>
      <c r="AN19" s="32">
        <f t="shared" si="77"/>
        <v>-1</v>
      </c>
      <c r="AO19" s="33">
        <f>Recu1!AO19</f>
        <v>0</v>
      </c>
      <c r="AP19" s="32">
        <f t="shared" si="78"/>
        <v>-1</v>
      </c>
      <c r="AQ19" s="33">
        <f>Recu1!AQ19</f>
        <v>0</v>
      </c>
      <c r="AR19" s="32">
        <f t="shared" si="79"/>
        <v>-1</v>
      </c>
      <c r="AS19" s="33">
        <f>Recu1!AS19</f>
        <v>0</v>
      </c>
      <c r="AT19" s="32">
        <f t="shared" si="80"/>
        <v>-1</v>
      </c>
      <c r="AU19" s="33">
        <f>Recu1!AU19</f>
        <v>0</v>
      </c>
      <c r="AV19" s="32">
        <f t="shared" si="81"/>
        <v>-1</v>
      </c>
      <c r="AW19" s="33">
        <f>Recu1!AW19</f>
        <v>0</v>
      </c>
      <c r="AX19" s="32">
        <f t="shared" si="82"/>
        <v>-1</v>
      </c>
      <c r="AY19" s="33">
        <f>Recu1!AY19</f>
        <v>0</v>
      </c>
      <c r="AZ19" s="32">
        <f t="shared" si="83"/>
        <v>-1</v>
      </c>
      <c r="BA19" s="33">
        <f>Recu1!BA19</f>
        <v>0</v>
      </c>
      <c r="BB19" s="32">
        <f t="shared" si="84"/>
        <v>-1</v>
      </c>
      <c r="BC19" s="33">
        <f>Recu1!BC19</f>
        <v>0</v>
      </c>
      <c r="BD19" s="32">
        <f t="shared" si="85"/>
        <v>-1</v>
      </c>
      <c r="BE19" s="33">
        <f>Recu1!BE19</f>
        <v>0</v>
      </c>
      <c r="BF19" s="32">
        <f t="shared" si="86"/>
        <v>-1</v>
      </c>
      <c r="BG19" s="33">
        <f>Recu1!BG19</f>
        <v>0</v>
      </c>
      <c r="BH19" s="32">
        <f t="shared" si="87"/>
        <v>-1</v>
      </c>
      <c r="BI19" s="33">
        <f>Recu1!BI19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Recu1!B20</f>
        <v>0</v>
      </c>
      <c r="C20" s="33">
        <f>Recu1!C20</f>
        <v>0</v>
      </c>
      <c r="D20" s="32">
        <f t="shared" si="59"/>
        <v>-1</v>
      </c>
      <c r="E20" s="33">
        <f>Recu1!E20</f>
        <v>0</v>
      </c>
      <c r="F20" s="32">
        <f t="shared" si="60"/>
        <v>-1</v>
      </c>
      <c r="G20" s="33">
        <f>Recu1!G20</f>
        <v>0</v>
      </c>
      <c r="H20" s="32">
        <f t="shared" si="61"/>
        <v>-1</v>
      </c>
      <c r="I20" s="33">
        <f>Recu1!I20</f>
        <v>0</v>
      </c>
      <c r="J20" s="32">
        <f t="shared" si="62"/>
        <v>-1</v>
      </c>
      <c r="K20" s="33">
        <f>Recu1!K20</f>
        <v>0</v>
      </c>
      <c r="L20" s="32">
        <f t="shared" si="63"/>
        <v>-1</v>
      </c>
      <c r="M20" s="33">
        <f>Recu1!M20</f>
        <v>0</v>
      </c>
      <c r="N20" s="32">
        <f t="shared" si="64"/>
        <v>-1</v>
      </c>
      <c r="O20" s="33">
        <f>Recu1!O20</f>
        <v>0</v>
      </c>
      <c r="P20" s="32">
        <f t="shared" si="65"/>
        <v>-1</v>
      </c>
      <c r="Q20" s="33">
        <f>Recu1!Q20</f>
        <v>0</v>
      </c>
      <c r="R20" s="32">
        <f t="shared" si="66"/>
        <v>-1</v>
      </c>
      <c r="S20" s="33">
        <f>Recu1!S20</f>
        <v>0</v>
      </c>
      <c r="T20" s="32">
        <f t="shared" si="67"/>
        <v>-1</v>
      </c>
      <c r="U20" s="33">
        <f>Recu1!U20</f>
        <v>0</v>
      </c>
      <c r="V20" s="32">
        <f t="shared" si="68"/>
        <v>-1</v>
      </c>
      <c r="W20" s="33">
        <f>Recu1!W20</f>
        <v>0</v>
      </c>
      <c r="X20" s="32">
        <f t="shared" si="69"/>
        <v>-1</v>
      </c>
      <c r="Y20" s="33">
        <f>Recu1!Y20</f>
        <v>0</v>
      </c>
      <c r="Z20" s="32">
        <f t="shared" si="70"/>
        <v>-1</v>
      </c>
      <c r="AA20" s="33">
        <f>Recu1!AA20</f>
        <v>0</v>
      </c>
      <c r="AB20" s="32">
        <f t="shared" si="71"/>
        <v>-1</v>
      </c>
      <c r="AC20" s="33">
        <f>Recu1!AC20</f>
        <v>0</v>
      </c>
      <c r="AD20" s="32">
        <f t="shared" si="72"/>
        <v>-1</v>
      </c>
      <c r="AE20" s="33">
        <f>Recu1!AE20</f>
        <v>0</v>
      </c>
      <c r="AF20" s="32">
        <f t="shared" si="73"/>
        <v>-1</v>
      </c>
      <c r="AG20" s="33">
        <f>Recu1!AG20</f>
        <v>0</v>
      </c>
      <c r="AH20" s="32">
        <f t="shared" si="74"/>
        <v>-1</v>
      </c>
      <c r="AI20" s="33">
        <f>Recu1!AI20</f>
        <v>0</v>
      </c>
      <c r="AJ20" s="32">
        <f t="shared" si="75"/>
        <v>-1</v>
      </c>
      <c r="AK20" s="33">
        <f>Recu1!AK20</f>
        <v>0</v>
      </c>
      <c r="AL20" s="32">
        <f t="shared" si="76"/>
        <v>-1</v>
      </c>
      <c r="AM20" s="33">
        <f>Recu1!AM20</f>
        <v>0</v>
      </c>
      <c r="AN20" s="32">
        <f t="shared" si="77"/>
        <v>-1</v>
      </c>
      <c r="AO20" s="33">
        <f>Recu1!AO20</f>
        <v>0</v>
      </c>
      <c r="AP20" s="32">
        <f t="shared" si="78"/>
        <v>-1</v>
      </c>
      <c r="AQ20" s="33">
        <f>Recu1!AQ20</f>
        <v>0</v>
      </c>
      <c r="AR20" s="32">
        <f t="shared" si="79"/>
        <v>-1</v>
      </c>
      <c r="AS20" s="33">
        <f>Recu1!AS20</f>
        <v>0</v>
      </c>
      <c r="AT20" s="32">
        <f t="shared" si="80"/>
        <v>-1</v>
      </c>
      <c r="AU20" s="33">
        <f>Recu1!AU20</f>
        <v>0</v>
      </c>
      <c r="AV20" s="32">
        <f t="shared" si="81"/>
        <v>-1</v>
      </c>
      <c r="AW20" s="33">
        <f>Recu1!AW20</f>
        <v>0</v>
      </c>
      <c r="AX20" s="32">
        <f t="shared" si="82"/>
        <v>-1</v>
      </c>
      <c r="AY20" s="33">
        <f>Recu1!AY20</f>
        <v>0</v>
      </c>
      <c r="AZ20" s="32">
        <f t="shared" si="83"/>
        <v>-1</v>
      </c>
      <c r="BA20" s="33">
        <f>Recu1!BA20</f>
        <v>0</v>
      </c>
      <c r="BB20" s="32">
        <f t="shared" si="84"/>
        <v>-1</v>
      </c>
      <c r="BC20" s="33">
        <f>Recu1!BC20</f>
        <v>0</v>
      </c>
      <c r="BD20" s="32">
        <f t="shared" si="85"/>
        <v>-1</v>
      </c>
      <c r="BE20" s="33">
        <f>Recu1!BE20</f>
        <v>0</v>
      </c>
      <c r="BF20" s="32">
        <f t="shared" si="86"/>
        <v>-1</v>
      </c>
      <c r="BG20" s="33">
        <f>Recu1!BG20</f>
        <v>0</v>
      </c>
      <c r="BH20" s="32">
        <f t="shared" si="87"/>
        <v>-1</v>
      </c>
      <c r="BI20" s="33">
        <f>Recu1!BI20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Recu1!B21</f>
        <v>0</v>
      </c>
      <c r="C21" s="33">
        <f>Recu1!C21</f>
        <v>0</v>
      </c>
      <c r="D21" s="32">
        <f t="shared" si="59"/>
        <v>-1</v>
      </c>
      <c r="E21" s="33">
        <f>Recu1!E21</f>
        <v>0</v>
      </c>
      <c r="F21" s="32">
        <f t="shared" si="60"/>
        <v>-1</v>
      </c>
      <c r="G21" s="33">
        <f>Recu1!G21</f>
        <v>0</v>
      </c>
      <c r="H21" s="32">
        <f t="shared" si="61"/>
        <v>-1</v>
      </c>
      <c r="I21" s="33">
        <f>Recu1!I21</f>
        <v>0</v>
      </c>
      <c r="J21" s="32">
        <f t="shared" si="62"/>
        <v>-1</v>
      </c>
      <c r="K21" s="33">
        <f>Recu1!K21</f>
        <v>0</v>
      </c>
      <c r="L21" s="32">
        <f t="shared" si="63"/>
        <v>-1</v>
      </c>
      <c r="M21" s="33">
        <f>Recu1!M21</f>
        <v>0</v>
      </c>
      <c r="N21" s="32">
        <f t="shared" si="64"/>
        <v>-1</v>
      </c>
      <c r="O21" s="33">
        <f>Recu1!O21</f>
        <v>0</v>
      </c>
      <c r="P21" s="32">
        <f t="shared" si="65"/>
        <v>-1</v>
      </c>
      <c r="Q21" s="33">
        <f>Recu1!Q21</f>
        <v>0</v>
      </c>
      <c r="R21" s="32">
        <f t="shared" si="66"/>
        <v>-1</v>
      </c>
      <c r="S21" s="33">
        <f>Recu1!S21</f>
        <v>0</v>
      </c>
      <c r="T21" s="32">
        <f t="shared" si="67"/>
        <v>-1</v>
      </c>
      <c r="U21" s="33">
        <f>Recu1!U21</f>
        <v>0</v>
      </c>
      <c r="V21" s="32">
        <f t="shared" si="68"/>
        <v>-1</v>
      </c>
      <c r="W21" s="33">
        <f>Recu1!W21</f>
        <v>0</v>
      </c>
      <c r="X21" s="32">
        <f t="shared" si="69"/>
        <v>-1</v>
      </c>
      <c r="Y21" s="33">
        <f>Recu1!Y21</f>
        <v>0</v>
      </c>
      <c r="Z21" s="32">
        <f t="shared" si="70"/>
        <v>-1</v>
      </c>
      <c r="AA21" s="33">
        <f>Recu1!AA21</f>
        <v>0</v>
      </c>
      <c r="AB21" s="32">
        <f t="shared" si="71"/>
        <v>-1</v>
      </c>
      <c r="AC21" s="33">
        <f>Recu1!AC21</f>
        <v>0</v>
      </c>
      <c r="AD21" s="32">
        <f t="shared" si="72"/>
        <v>-1</v>
      </c>
      <c r="AE21" s="33">
        <f>Recu1!AE21</f>
        <v>0</v>
      </c>
      <c r="AF21" s="32">
        <f t="shared" si="73"/>
        <v>-1</v>
      </c>
      <c r="AG21" s="33">
        <f>Recu1!AG21</f>
        <v>0</v>
      </c>
      <c r="AH21" s="32">
        <f t="shared" si="74"/>
        <v>-1</v>
      </c>
      <c r="AI21" s="33">
        <f>Recu1!AI21</f>
        <v>0</v>
      </c>
      <c r="AJ21" s="32">
        <f t="shared" si="75"/>
        <v>-1</v>
      </c>
      <c r="AK21" s="33">
        <f>Recu1!AK21</f>
        <v>0</v>
      </c>
      <c r="AL21" s="32">
        <f t="shared" si="76"/>
        <v>-1</v>
      </c>
      <c r="AM21" s="33">
        <f>Recu1!AM21</f>
        <v>0</v>
      </c>
      <c r="AN21" s="32">
        <f t="shared" si="77"/>
        <v>-1</v>
      </c>
      <c r="AO21" s="33">
        <f>Recu1!AO21</f>
        <v>0</v>
      </c>
      <c r="AP21" s="32">
        <f t="shared" si="78"/>
        <v>-1</v>
      </c>
      <c r="AQ21" s="33">
        <f>Recu1!AQ21</f>
        <v>0</v>
      </c>
      <c r="AR21" s="32">
        <f t="shared" si="79"/>
        <v>-1</v>
      </c>
      <c r="AS21" s="33">
        <f>Recu1!AS21</f>
        <v>0</v>
      </c>
      <c r="AT21" s="32">
        <f t="shared" si="80"/>
        <v>-1</v>
      </c>
      <c r="AU21" s="33">
        <f>Recu1!AU21</f>
        <v>0</v>
      </c>
      <c r="AV21" s="32">
        <f t="shared" si="81"/>
        <v>-1</v>
      </c>
      <c r="AW21" s="33">
        <f>Recu1!AW21</f>
        <v>0</v>
      </c>
      <c r="AX21" s="32">
        <f t="shared" si="82"/>
        <v>-1</v>
      </c>
      <c r="AY21" s="33">
        <f>Recu1!AY21</f>
        <v>0</v>
      </c>
      <c r="AZ21" s="32">
        <f t="shared" si="83"/>
        <v>-1</v>
      </c>
      <c r="BA21" s="33">
        <f>Recu1!BA21</f>
        <v>0</v>
      </c>
      <c r="BB21" s="32">
        <f t="shared" si="84"/>
        <v>-1</v>
      </c>
      <c r="BC21" s="33">
        <f>Recu1!BC21</f>
        <v>0</v>
      </c>
      <c r="BD21" s="32">
        <f t="shared" si="85"/>
        <v>-1</v>
      </c>
      <c r="BE21" s="33">
        <f>Recu1!BE21</f>
        <v>0</v>
      </c>
      <c r="BF21" s="32">
        <f t="shared" si="86"/>
        <v>-1</v>
      </c>
      <c r="BG21" s="33">
        <f>Recu1!BG21</f>
        <v>0</v>
      </c>
      <c r="BH21" s="32">
        <f t="shared" si="87"/>
        <v>-1</v>
      </c>
      <c r="BI21" s="33">
        <f>Recu1!BI21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Recu1!B22</f>
        <v>0</v>
      </c>
      <c r="C22" s="33">
        <f>Recu1!C22</f>
        <v>0</v>
      </c>
      <c r="D22" s="32">
        <f t="shared" si="59"/>
        <v>-1</v>
      </c>
      <c r="E22" s="33">
        <f>Recu1!E22</f>
        <v>0</v>
      </c>
      <c r="F22" s="32">
        <f t="shared" si="60"/>
        <v>-1</v>
      </c>
      <c r="G22" s="33">
        <f>Recu1!G22</f>
        <v>0</v>
      </c>
      <c r="H22" s="32">
        <f t="shared" si="61"/>
        <v>-1</v>
      </c>
      <c r="I22" s="33">
        <f>Recu1!I22</f>
        <v>0</v>
      </c>
      <c r="J22" s="32">
        <f t="shared" si="62"/>
        <v>-1</v>
      </c>
      <c r="K22" s="33">
        <f>Recu1!K22</f>
        <v>0</v>
      </c>
      <c r="L22" s="32">
        <f t="shared" si="63"/>
        <v>-1</v>
      </c>
      <c r="M22" s="33">
        <f>Recu1!M22</f>
        <v>0</v>
      </c>
      <c r="N22" s="32">
        <f t="shared" si="64"/>
        <v>-1</v>
      </c>
      <c r="O22" s="33">
        <f>Recu1!O22</f>
        <v>0</v>
      </c>
      <c r="P22" s="32">
        <f t="shared" si="65"/>
        <v>-1</v>
      </c>
      <c r="Q22" s="33">
        <f>Recu1!Q22</f>
        <v>0</v>
      </c>
      <c r="R22" s="32">
        <f t="shared" si="66"/>
        <v>-1</v>
      </c>
      <c r="S22" s="33">
        <f>Recu1!S22</f>
        <v>0</v>
      </c>
      <c r="T22" s="32">
        <f t="shared" si="67"/>
        <v>-1</v>
      </c>
      <c r="U22" s="33">
        <f>Recu1!U22</f>
        <v>0</v>
      </c>
      <c r="V22" s="32">
        <f t="shared" si="68"/>
        <v>-1</v>
      </c>
      <c r="W22" s="33">
        <f>Recu1!W22</f>
        <v>0</v>
      </c>
      <c r="X22" s="32">
        <f t="shared" si="69"/>
        <v>-1</v>
      </c>
      <c r="Y22" s="33">
        <f>Recu1!Y22</f>
        <v>0</v>
      </c>
      <c r="Z22" s="32">
        <f t="shared" si="70"/>
        <v>-1</v>
      </c>
      <c r="AA22" s="33">
        <f>Recu1!AA22</f>
        <v>0</v>
      </c>
      <c r="AB22" s="32">
        <f t="shared" si="71"/>
        <v>-1</v>
      </c>
      <c r="AC22" s="33">
        <f>Recu1!AC22</f>
        <v>0</v>
      </c>
      <c r="AD22" s="32">
        <f t="shared" si="72"/>
        <v>-1</v>
      </c>
      <c r="AE22" s="33">
        <f>Recu1!AE22</f>
        <v>0</v>
      </c>
      <c r="AF22" s="32">
        <f t="shared" si="73"/>
        <v>-1</v>
      </c>
      <c r="AG22" s="33">
        <f>Recu1!AG22</f>
        <v>0</v>
      </c>
      <c r="AH22" s="32">
        <f t="shared" si="74"/>
        <v>-1</v>
      </c>
      <c r="AI22" s="33">
        <f>Recu1!AI22</f>
        <v>0</v>
      </c>
      <c r="AJ22" s="32">
        <f t="shared" si="75"/>
        <v>-1</v>
      </c>
      <c r="AK22" s="33">
        <f>Recu1!AK22</f>
        <v>0</v>
      </c>
      <c r="AL22" s="32">
        <f t="shared" si="76"/>
        <v>-1</v>
      </c>
      <c r="AM22" s="33">
        <f>Recu1!AM22</f>
        <v>0</v>
      </c>
      <c r="AN22" s="32">
        <f t="shared" si="77"/>
        <v>-1</v>
      </c>
      <c r="AO22" s="33">
        <f>Recu1!AO22</f>
        <v>0</v>
      </c>
      <c r="AP22" s="32">
        <f t="shared" si="78"/>
        <v>-1</v>
      </c>
      <c r="AQ22" s="33">
        <f>Recu1!AQ22</f>
        <v>0</v>
      </c>
      <c r="AR22" s="32">
        <f t="shared" si="79"/>
        <v>-1</v>
      </c>
      <c r="AS22" s="33">
        <f>Recu1!AS22</f>
        <v>0</v>
      </c>
      <c r="AT22" s="32">
        <f t="shared" si="80"/>
        <v>-1</v>
      </c>
      <c r="AU22" s="33">
        <f>Recu1!AU22</f>
        <v>0</v>
      </c>
      <c r="AV22" s="32">
        <f t="shared" si="81"/>
        <v>-1</v>
      </c>
      <c r="AW22" s="33">
        <f>Recu1!AW22</f>
        <v>0</v>
      </c>
      <c r="AX22" s="32">
        <f t="shared" si="82"/>
        <v>-1</v>
      </c>
      <c r="AY22" s="33">
        <f>Recu1!AY22</f>
        <v>0</v>
      </c>
      <c r="AZ22" s="32">
        <f t="shared" si="83"/>
        <v>-1</v>
      </c>
      <c r="BA22" s="33">
        <f>Recu1!BA22</f>
        <v>0</v>
      </c>
      <c r="BB22" s="32">
        <f t="shared" si="84"/>
        <v>-1</v>
      </c>
      <c r="BC22" s="33">
        <f>Recu1!BC22</f>
        <v>0</v>
      </c>
      <c r="BD22" s="32">
        <f t="shared" si="85"/>
        <v>-1</v>
      </c>
      <c r="BE22" s="33">
        <f>Recu1!BE22</f>
        <v>0</v>
      </c>
      <c r="BF22" s="32">
        <f t="shared" si="86"/>
        <v>-1</v>
      </c>
      <c r="BG22" s="33">
        <f>Recu1!BG22</f>
        <v>0</v>
      </c>
      <c r="BH22" s="32">
        <f t="shared" si="87"/>
        <v>-1</v>
      </c>
      <c r="BI22" s="33">
        <f>Recu1!BI22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Recu1!B23</f>
        <v>0</v>
      </c>
      <c r="C23" s="33">
        <f>Recu1!C23</f>
        <v>0</v>
      </c>
      <c r="D23" s="32">
        <f t="shared" si="59"/>
        <v>-1</v>
      </c>
      <c r="E23" s="33">
        <f>Recu1!E23</f>
        <v>0</v>
      </c>
      <c r="F23" s="32">
        <f t="shared" si="60"/>
        <v>-1</v>
      </c>
      <c r="G23" s="33">
        <f>Recu1!G23</f>
        <v>0</v>
      </c>
      <c r="H23" s="32">
        <f t="shared" si="61"/>
        <v>-1</v>
      </c>
      <c r="I23" s="33">
        <f>Recu1!I23</f>
        <v>0</v>
      </c>
      <c r="J23" s="32">
        <f t="shared" si="62"/>
        <v>-1</v>
      </c>
      <c r="K23" s="33">
        <f>Recu1!K23</f>
        <v>0</v>
      </c>
      <c r="L23" s="32">
        <f t="shared" si="63"/>
        <v>-1</v>
      </c>
      <c r="M23" s="33">
        <f>Recu1!M23</f>
        <v>0</v>
      </c>
      <c r="N23" s="32">
        <f t="shared" si="64"/>
        <v>-1</v>
      </c>
      <c r="O23" s="33">
        <f>Recu1!O23</f>
        <v>0</v>
      </c>
      <c r="P23" s="32">
        <f t="shared" si="65"/>
        <v>-1</v>
      </c>
      <c r="Q23" s="33">
        <f>Recu1!Q23</f>
        <v>0</v>
      </c>
      <c r="R23" s="32">
        <f t="shared" si="66"/>
        <v>-1</v>
      </c>
      <c r="S23" s="33">
        <f>Recu1!S23</f>
        <v>0</v>
      </c>
      <c r="T23" s="32">
        <f t="shared" si="67"/>
        <v>-1</v>
      </c>
      <c r="U23" s="33">
        <f>Recu1!U23</f>
        <v>0</v>
      </c>
      <c r="V23" s="32">
        <f t="shared" si="68"/>
        <v>-1</v>
      </c>
      <c r="W23" s="33">
        <f>Recu1!W23</f>
        <v>0</v>
      </c>
      <c r="X23" s="32">
        <f t="shared" si="69"/>
        <v>-1</v>
      </c>
      <c r="Y23" s="33">
        <f>Recu1!Y23</f>
        <v>0</v>
      </c>
      <c r="Z23" s="32">
        <f t="shared" si="70"/>
        <v>-1</v>
      </c>
      <c r="AA23" s="33">
        <f>Recu1!AA23</f>
        <v>0</v>
      </c>
      <c r="AB23" s="32">
        <f t="shared" si="71"/>
        <v>-1</v>
      </c>
      <c r="AC23" s="33">
        <f>Recu1!AC23</f>
        <v>0</v>
      </c>
      <c r="AD23" s="32">
        <f t="shared" si="72"/>
        <v>-1</v>
      </c>
      <c r="AE23" s="33">
        <f>Recu1!AE23</f>
        <v>0</v>
      </c>
      <c r="AF23" s="32">
        <f t="shared" si="73"/>
        <v>-1</v>
      </c>
      <c r="AG23" s="33">
        <f>Recu1!AG23</f>
        <v>0</v>
      </c>
      <c r="AH23" s="32">
        <f t="shared" si="74"/>
        <v>-1</v>
      </c>
      <c r="AI23" s="33">
        <f>Recu1!AI23</f>
        <v>0</v>
      </c>
      <c r="AJ23" s="32">
        <f t="shared" si="75"/>
        <v>-1</v>
      </c>
      <c r="AK23" s="33">
        <f>Recu1!AK23</f>
        <v>0</v>
      </c>
      <c r="AL23" s="32">
        <f t="shared" si="76"/>
        <v>-1</v>
      </c>
      <c r="AM23" s="33">
        <f>Recu1!AM23</f>
        <v>0</v>
      </c>
      <c r="AN23" s="32">
        <f t="shared" si="77"/>
        <v>-1</v>
      </c>
      <c r="AO23" s="33">
        <f>Recu1!AO23</f>
        <v>0</v>
      </c>
      <c r="AP23" s="32">
        <f t="shared" si="78"/>
        <v>-1</v>
      </c>
      <c r="AQ23" s="33">
        <f>Recu1!AQ23</f>
        <v>0</v>
      </c>
      <c r="AR23" s="32">
        <f t="shared" si="79"/>
        <v>-1</v>
      </c>
      <c r="AS23" s="33">
        <f>Recu1!AS23</f>
        <v>0</v>
      </c>
      <c r="AT23" s="32">
        <f t="shared" si="80"/>
        <v>-1</v>
      </c>
      <c r="AU23" s="33">
        <f>Recu1!AU23</f>
        <v>0</v>
      </c>
      <c r="AV23" s="32">
        <f t="shared" si="81"/>
        <v>-1</v>
      </c>
      <c r="AW23" s="33">
        <f>Recu1!AW23</f>
        <v>0</v>
      </c>
      <c r="AX23" s="32">
        <f t="shared" si="82"/>
        <v>-1</v>
      </c>
      <c r="AY23" s="33">
        <f>Recu1!AY23</f>
        <v>0</v>
      </c>
      <c r="AZ23" s="32">
        <f t="shared" si="83"/>
        <v>-1</v>
      </c>
      <c r="BA23" s="33">
        <f>Recu1!BA23</f>
        <v>0</v>
      </c>
      <c r="BB23" s="32">
        <f t="shared" si="84"/>
        <v>-1</v>
      </c>
      <c r="BC23" s="33">
        <f>Recu1!BC23</f>
        <v>0</v>
      </c>
      <c r="BD23" s="32">
        <f t="shared" si="85"/>
        <v>-1</v>
      </c>
      <c r="BE23" s="33">
        <f>Recu1!BE23</f>
        <v>0</v>
      </c>
      <c r="BF23" s="32">
        <f t="shared" si="86"/>
        <v>-1</v>
      </c>
      <c r="BG23" s="33">
        <f>Recu1!BG23</f>
        <v>0</v>
      </c>
      <c r="BH23" s="32">
        <f t="shared" si="87"/>
        <v>-1</v>
      </c>
      <c r="BI23" s="33">
        <f>Recu1!BI23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Recu1!B24</f>
        <v>0</v>
      </c>
      <c r="C24" s="33">
        <f>Recu1!C24</f>
        <v>0</v>
      </c>
      <c r="D24" s="32">
        <f t="shared" si="59"/>
        <v>-1</v>
      </c>
      <c r="E24" s="33">
        <f>Recu1!E24</f>
        <v>0</v>
      </c>
      <c r="F24" s="32">
        <f t="shared" si="60"/>
        <v>-1</v>
      </c>
      <c r="G24" s="33">
        <f>Recu1!G24</f>
        <v>0</v>
      </c>
      <c r="H24" s="32">
        <f t="shared" si="61"/>
        <v>-1</v>
      </c>
      <c r="I24" s="33">
        <f>Recu1!I24</f>
        <v>0</v>
      </c>
      <c r="J24" s="32">
        <f t="shared" si="62"/>
        <v>-1</v>
      </c>
      <c r="K24" s="33">
        <f>Recu1!K24</f>
        <v>0</v>
      </c>
      <c r="L24" s="32">
        <f t="shared" si="63"/>
        <v>-1</v>
      </c>
      <c r="M24" s="33">
        <f>Recu1!M24</f>
        <v>0</v>
      </c>
      <c r="N24" s="32">
        <f t="shared" si="64"/>
        <v>-1</v>
      </c>
      <c r="O24" s="33">
        <f>Recu1!O24</f>
        <v>0</v>
      </c>
      <c r="P24" s="32">
        <f t="shared" si="65"/>
        <v>-1</v>
      </c>
      <c r="Q24" s="33">
        <f>Recu1!Q24</f>
        <v>0</v>
      </c>
      <c r="R24" s="32">
        <f t="shared" si="66"/>
        <v>-1</v>
      </c>
      <c r="S24" s="33">
        <f>Recu1!S24</f>
        <v>0</v>
      </c>
      <c r="T24" s="32">
        <f t="shared" si="67"/>
        <v>-1</v>
      </c>
      <c r="U24" s="33">
        <f>Recu1!U24</f>
        <v>0</v>
      </c>
      <c r="V24" s="32">
        <f t="shared" si="68"/>
        <v>-1</v>
      </c>
      <c r="W24" s="33">
        <f>Recu1!W24</f>
        <v>0</v>
      </c>
      <c r="X24" s="32">
        <f t="shared" si="69"/>
        <v>-1</v>
      </c>
      <c r="Y24" s="33">
        <f>Recu1!Y24</f>
        <v>0</v>
      </c>
      <c r="Z24" s="32">
        <f t="shared" si="70"/>
        <v>-1</v>
      </c>
      <c r="AA24" s="33">
        <f>Recu1!AA24</f>
        <v>0</v>
      </c>
      <c r="AB24" s="32">
        <f t="shared" si="71"/>
        <v>-1</v>
      </c>
      <c r="AC24" s="33">
        <f>Recu1!AC24</f>
        <v>0</v>
      </c>
      <c r="AD24" s="32">
        <f t="shared" si="72"/>
        <v>-1</v>
      </c>
      <c r="AE24" s="33">
        <f>Recu1!AE24</f>
        <v>0</v>
      </c>
      <c r="AF24" s="32">
        <f t="shared" si="73"/>
        <v>-1</v>
      </c>
      <c r="AG24" s="33">
        <f>Recu1!AG24</f>
        <v>0</v>
      </c>
      <c r="AH24" s="32">
        <f t="shared" si="74"/>
        <v>-1</v>
      </c>
      <c r="AI24" s="33">
        <f>Recu1!AI24</f>
        <v>0</v>
      </c>
      <c r="AJ24" s="32">
        <f t="shared" si="75"/>
        <v>-1</v>
      </c>
      <c r="AK24" s="33">
        <f>Recu1!AK24</f>
        <v>0</v>
      </c>
      <c r="AL24" s="32">
        <f t="shared" si="76"/>
        <v>-1</v>
      </c>
      <c r="AM24" s="33">
        <f>Recu1!AM24</f>
        <v>0</v>
      </c>
      <c r="AN24" s="32">
        <f t="shared" si="77"/>
        <v>-1</v>
      </c>
      <c r="AO24" s="33">
        <f>Recu1!AO24</f>
        <v>0</v>
      </c>
      <c r="AP24" s="32">
        <f t="shared" si="78"/>
        <v>-1</v>
      </c>
      <c r="AQ24" s="33">
        <f>Recu1!AQ24</f>
        <v>0</v>
      </c>
      <c r="AR24" s="32">
        <f t="shared" si="79"/>
        <v>-1</v>
      </c>
      <c r="AS24" s="33">
        <f>Recu1!AS24</f>
        <v>0</v>
      </c>
      <c r="AT24" s="32">
        <f t="shared" si="80"/>
        <v>-1</v>
      </c>
      <c r="AU24" s="33">
        <f>Recu1!AU24</f>
        <v>0</v>
      </c>
      <c r="AV24" s="32">
        <f t="shared" si="81"/>
        <v>-1</v>
      </c>
      <c r="AW24" s="33">
        <f>Recu1!AW24</f>
        <v>0</v>
      </c>
      <c r="AX24" s="32">
        <f t="shared" si="82"/>
        <v>-1</v>
      </c>
      <c r="AY24" s="33">
        <f>Recu1!AY24</f>
        <v>0</v>
      </c>
      <c r="AZ24" s="32">
        <f t="shared" si="83"/>
        <v>-1</v>
      </c>
      <c r="BA24" s="33">
        <f>Recu1!BA24</f>
        <v>0</v>
      </c>
      <c r="BB24" s="32">
        <f t="shared" si="84"/>
        <v>-1</v>
      </c>
      <c r="BC24" s="33">
        <f>Recu1!BC24</f>
        <v>0</v>
      </c>
      <c r="BD24" s="32">
        <f t="shared" si="85"/>
        <v>-1</v>
      </c>
      <c r="BE24" s="33">
        <f>Recu1!BE24</f>
        <v>0</v>
      </c>
      <c r="BF24" s="32">
        <f t="shared" si="86"/>
        <v>-1</v>
      </c>
      <c r="BG24" s="33">
        <f>Recu1!BG24</f>
        <v>0</v>
      </c>
      <c r="BH24" s="32">
        <f t="shared" si="87"/>
        <v>-1</v>
      </c>
      <c r="BI24" s="33">
        <f>Recu1!BI24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Recu1!B25</f>
        <v>0</v>
      </c>
      <c r="C25" s="33">
        <f>Recu1!C25</f>
        <v>0</v>
      </c>
      <c r="D25" s="32">
        <f t="shared" si="59"/>
        <v>-1</v>
      </c>
      <c r="E25" s="33">
        <f>Recu1!E25</f>
        <v>0</v>
      </c>
      <c r="F25" s="32">
        <f t="shared" si="60"/>
        <v>-1</v>
      </c>
      <c r="G25" s="33">
        <f>Recu1!G25</f>
        <v>0</v>
      </c>
      <c r="H25" s="32">
        <f t="shared" si="61"/>
        <v>-1</v>
      </c>
      <c r="I25" s="33">
        <f>Recu1!I25</f>
        <v>0</v>
      </c>
      <c r="J25" s="32">
        <f t="shared" si="62"/>
        <v>-1</v>
      </c>
      <c r="K25" s="33">
        <f>Recu1!K25</f>
        <v>0</v>
      </c>
      <c r="L25" s="32">
        <f t="shared" si="63"/>
        <v>-1</v>
      </c>
      <c r="M25" s="33">
        <f>Recu1!M25</f>
        <v>0</v>
      </c>
      <c r="N25" s="32">
        <f t="shared" si="64"/>
        <v>-1</v>
      </c>
      <c r="O25" s="33">
        <f>Recu1!O25</f>
        <v>0</v>
      </c>
      <c r="P25" s="32">
        <f t="shared" si="65"/>
        <v>-1</v>
      </c>
      <c r="Q25" s="33">
        <f>Recu1!Q25</f>
        <v>0</v>
      </c>
      <c r="R25" s="32">
        <f t="shared" si="66"/>
        <v>-1</v>
      </c>
      <c r="S25" s="33">
        <f>Recu1!S25</f>
        <v>0</v>
      </c>
      <c r="T25" s="32">
        <f t="shared" si="67"/>
        <v>-1</v>
      </c>
      <c r="U25" s="33">
        <f>Recu1!U25</f>
        <v>0</v>
      </c>
      <c r="V25" s="32">
        <f t="shared" si="68"/>
        <v>-1</v>
      </c>
      <c r="W25" s="33">
        <f>Recu1!W25</f>
        <v>0</v>
      </c>
      <c r="X25" s="32">
        <f t="shared" si="69"/>
        <v>-1</v>
      </c>
      <c r="Y25" s="33">
        <f>Recu1!Y25</f>
        <v>0</v>
      </c>
      <c r="Z25" s="32">
        <f t="shared" si="70"/>
        <v>-1</v>
      </c>
      <c r="AA25" s="33">
        <f>Recu1!AA25</f>
        <v>0</v>
      </c>
      <c r="AB25" s="32">
        <f t="shared" si="71"/>
        <v>-1</v>
      </c>
      <c r="AC25" s="33">
        <f>Recu1!AC25</f>
        <v>0</v>
      </c>
      <c r="AD25" s="32">
        <f t="shared" si="72"/>
        <v>-1</v>
      </c>
      <c r="AE25" s="33">
        <f>Recu1!AE25</f>
        <v>0</v>
      </c>
      <c r="AF25" s="32">
        <f t="shared" si="73"/>
        <v>-1</v>
      </c>
      <c r="AG25" s="33">
        <f>Recu1!AG25</f>
        <v>0</v>
      </c>
      <c r="AH25" s="32">
        <f t="shared" si="74"/>
        <v>-1</v>
      </c>
      <c r="AI25" s="33">
        <f>Recu1!AI25</f>
        <v>0</v>
      </c>
      <c r="AJ25" s="32">
        <f t="shared" si="75"/>
        <v>-1</v>
      </c>
      <c r="AK25" s="33">
        <f>Recu1!AK25</f>
        <v>0</v>
      </c>
      <c r="AL25" s="32">
        <f t="shared" si="76"/>
        <v>-1</v>
      </c>
      <c r="AM25" s="33">
        <f>Recu1!AM25</f>
        <v>0</v>
      </c>
      <c r="AN25" s="32">
        <f t="shared" si="77"/>
        <v>-1</v>
      </c>
      <c r="AO25" s="33">
        <f>Recu1!AO25</f>
        <v>0</v>
      </c>
      <c r="AP25" s="32">
        <f t="shared" si="78"/>
        <v>-1</v>
      </c>
      <c r="AQ25" s="33">
        <f>Recu1!AQ25</f>
        <v>0</v>
      </c>
      <c r="AR25" s="32">
        <f t="shared" si="79"/>
        <v>-1</v>
      </c>
      <c r="AS25" s="33">
        <f>Recu1!AS25</f>
        <v>0</v>
      </c>
      <c r="AT25" s="32">
        <f t="shared" si="80"/>
        <v>-1</v>
      </c>
      <c r="AU25" s="33">
        <f>Recu1!AU25</f>
        <v>0</v>
      </c>
      <c r="AV25" s="32">
        <f t="shared" si="81"/>
        <v>-1</v>
      </c>
      <c r="AW25" s="33">
        <f>Recu1!AW25</f>
        <v>0</v>
      </c>
      <c r="AX25" s="32">
        <f t="shared" si="82"/>
        <v>-1</v>
      </c>
      <c r="AY25" s="33">
        <f>Recu1!AY25</f>
        <v>0</v>
      </c>
      <c r="AZ25" s="32">
        <f t="shared" si="83"/>
        <v>-1</v>
      </c>
      <c r="BA25" s="33">
        <f>Recu1!BA25</f>
        <v>0</v>
      </c>
      <c r="BB25" s="32">
        <f t="shared" si="84"/>
        <v>-1</v>
      </c>
      <c r="BC25" s="33">
        <f>Recu1!BC25</f>
        <v>0</v>
      </c>
      <c r="BD25" s="32">
        <f t="shared" si="85"/>
        <v>-1</v>
      </c>
      <c r="BE25" s="33">
        <f>Recu1!BE25</f>
        <v>0</v>
      </c>
      <c r="BF25" s="32">
        <f t="shared" si="86"/>
        <v>-1</v>
      </c>
      <c r="BG25" s="33">
        <f>Recu1!BG25</f>
        <v>0</v>
      </c>
      <c r="BH25" s="32">
        <f t="shared" si="87"/>
        <v>-1</v>
      </c>
      <c r="BI25" s="33">
        <f>Recu1!BI25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MAX([1]Examen21!B14,[1]Examen22!B14,[1]Examen23!B14)</f>
        <v>0</v>
      </c>
      <c r="C26" s="33">
        <f>MAX([1]Examen21!C14,[1]Examen22!C14,[1]Examen23!C14)</f>
        <v>0</v>
      </c>
      <c r="D26" s="32">
        <f t="shared" si="59"/>
        <v>-1</v>
      </c>
      <c r="E26" s="33">
        <f>MAX([1]Examen21!E14,[1]Examen22!E14,[1]Examen23!E14)</f>
        <v>0</v>
      </c>
      <c r="F26" s="32">
        <f t="shared" si="60"/>
        <v>-1</v>
      </c>
      <c r="G26" s="33">
        <f>MAX([1]Examen21!G14,[1]Examen22!G14,[1]Examen23!G14)</f>
        <v>0</v>
      </c>
      <c r="H26" s="32">
        <f t="shared" si="61"/>
        <v>-1</v>
      </c>
      <c r="I26" s="33">
        <f>MAX([1]Examen21!I14,[1]Examen22!I14,[1]Examen23!I14)</f>
        <v>0</v>
      </c>
      <c r="J26" s="32">
        <f t="shared" si="62"/>
        <v>-1</v>
      </c>
      <c r="K26" s="33">
        <f>MAX([1]Examen21!K14,[1]Examen22!K14,[1]Examen23!K14)</f>
        <v>0</v>
      </c>
      <c r="L26" s="32">
        <f t="shared" si="63"/>
        <v>-1</v>
      </c>
      <c r="M26" s="33">
        <f>MAX([1]Examen21!M14,[1]Examen22!M14,[1]Examen23!M14)</f>
        <v>0</v>
      </c>
      <c r="N26" s="32">
        <f t="shared" si="64"/>
        <v>-1</v>
      </c>
      <c r="O26" s="33">
        <f>MAX([1]Examen21!O14,[1]Examen22!O14,[1]Examen23!O14)</f>
        <v>0</v>
      </c>
      <c r="P26" s="32">
        <f t="shared" si="65"/>
        <v>-1</v>
      </c>
      <c r="Q26" s="33">
        <f>MAX([1]Examen21!Q14,[1]Examen22!Q14,[1]Examen23!Q14)</f>
        <v>0</v>
      </c>
      <c r="R26" s="32">
        <f t="shared" si="66"/>
        <v>-1</v>
      </c>
      <c r="S26" s="33">
        <f>MAX([1]Examen21!S14,[1]Examen22!S14,[1]Examen23!S14)</f>
        <v>0</v>
      </c>
      <c r="T26" s="32">
        <f t="shared" si="67"/>
        <v>-1</v>
      </c>
      <c r="U26" s="33">
        <f>MAX([1]Examen21!U14,[1]Examen22!U14,[1]Examen23!U14)</f>
        <v>0</v>
      </c>
      <c r="V26" s="32">
        <f t="shared" si="68"/>
        <v>-1</v>
      </c>
      <c r="W26" s="33">
        <f>MAX([1]Examen21!W14,[1]Examen22!W14,[1]Examen23!W14)</f>
        <v>0</v>
      </c>
      <c r="X26" s="32">
        <f t="shared" si="69"/>
        <v>-1</v>
      </c>
      <c r="Y26" s="33">
        <f>MAX([1]Examen21!Y14,[1]Examen22!Y14,[1]Examen23!Y14)</f>
        <v>0</v>
      </c>
      <c r="Z26" s="32">
        <f t="shared" si="70"/>
        <v>-1</v>
      </c>
      <c r="AA26" s="33">
        <f>MAX([1]Examen21!AA14,[1]Examen22!AA14,[1]Examen23!AA14)</f>
        <v>0</v>
      </c>
      <c r="AB26" s="32">
        <f t="shared" si="71"/>
        <v>-1</v>
      </c>
      <c r="AC26" s="33">
        <f>MAX([1]Examen21!AC14,[1]Examen22!AC14,[1]Examen23!AC14)</f>
        <v>0</v>
      </c>
      <c r="AD26" s="32">
        <f t="shared" si="72"/>
        <v>-1</v>
      </c>
      <c r="AE26" s="33">
        <f>MAX([1]Examen21!AE14,[1]Examen22!AE14,[1]Examen23!AE14)</f>
        <v>0</v>
      </c>
      <c r="AF26" s="32">
        <f t="shared" si="73"/>
        <v>-1</v>
      </c>
      <c r="AG26" s="33">
        <f>MAX([1]Examen21!AG14,[1]Examen22!AG14,[1]Examen23!AG14)</f>
        <v>0</v>
      </c>
      <c r="AH26" s="32">
        <f t="shared" si="74"/>
        <v>-1</v>
      </c>
      <c r="AI26" s="33">
        <f>MAX([1]Examen21!AI14,[1]Examen22!AI14,[1]Examen23!AI14)</f>
        <v>0</v>
      </c>
      <c r="AJ26" s="32">
        <f t="shared" si="75"/>
        <v>-1</v>
      </c>
      <c r="AK26" s="33">
        <f>MAX([1]Examen21!AK14,[1]Examen22!AK14,[1]Examen23!AK14)</f>
        <v>0</v>
      </c>
      <c r="AL26" s="32">
        <f t="shared" si="76"/>
        <v>-1</v>
      </c>
      <c r="AM26" s="33">
        <f>MAX([1]Examen21!AM14,[1]Examen22!AM14,[1]Examen23!AM14)</f>
        <v>0</v>
      </c>
      <c r="AN26" s="32">
        <f t="shared" si="77"/>
        <v>-1</v>
      </c>
      <c r="AO26" s="33">
        <f>MAX([1]Examen21!AO14,[1]Examen22!AO14,[1]Examen23!AO14)</f>
        <v>0</v>
      </c>
      <c r="AP26" s="32">
        <f t="shared" si="78"/>
        <v>-1</v>
      </c>
      <c r="AQ26" s="33">
        <f>MAX([1]Examen21!AQ14,[1]Examen22!AQ14,[1]Examen23!AQ14)</f>
        <v>0</v>
      </c>
      <c r="AR26" s="32">
        <f t="shared" si="79"/>
        <v>-1</v>
      </c>
      <c r="AS26" s="33">
        <f>MAX([1]Examen21!AS14,[1]Examen22!AS14,[1]Examen23!AS14)</f>
        <v>0</v>
      </c>
      <c r="AT26" s="32">
        <f t="shared" si="80"/>
        <v>-1</v>
      </c>
      <c r="AU26" s="33">
        <f>MAX([1]Examen21!AU14,[1]Examen22!AU14,[1]Examen23!AU14)</f>
        <v>0</v>
      </c>
      <c r="AV26" s="32">
        <f t="shared" si="81"/>
        <v>-1</v>
      </c>
      <c r="AW26" s="33">
        <f>MAX([1]Examen21!AW14,[1]Examen22!AW14,[1]Examen23!AW14)</f>
        <v>0</v>
      </c>
      <c r="AX26" s="32">
        <f t="shared" si="82"/>
        <v>-1</v>
      </c>
      <c r="AY26" s="33">
        <f>MAX([1]Examen21!AY14,[1]Examen22!AY14,[1]Examen23!AY14)</f>
        <v>0</v>
      </c>
      <c r="AZ26" s="32">
        <f t="shared" si="83"/>
        <v>-1</v>
      </c>
      <c r="BA26" s="33">
        <f>MAX([1]Examen21!BA14,[1]Examen22!BA14,[1]Examen23!BA14)</f>
        <v>0</v>
      </c>
      <c r="BB26" s="32">
        <f t="shared" si="84"/>
        <v>-1</v>
      </c>
      <c r="BC26" s="33">
        <f>MAX([1]Examen21!BC14,[1]Examen22!BC14,[1]Examen23!BC14)</f>
        <v>0</v>
      </c>
      <c r="BD26" s="32">
        <f t="shared" si="85"/>
        <v>-1</v>
      </c>
      <c r="BE26" s="33">
        <f>MAX([1]Examen21!BE14,[1]Examen22!BE14,[1]Examen23!BE14)</f>
        <v>0</v>
      </c>
      <c r="BF26" s="32">
        <f t="shared" si="86"/>
        <v>-1</v>
      </c>
      <c r="BG26" s="33">
        <f>MAX([1]Examen21!BG14,[1]Examen22!BG14,[1]Examen23!BG14)</f>
        <v>0</v>
      </c>
      <c r="BH26" s="32">
        <f t="shared" si="87"/>
        <v>-1</v>
      </c>
      <c r="BI26" s="33">
        <f>MAX([1]Examen21!BI14,[1]Examen22!BI14,[1]Examen23!BI14)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MAX([1]Examen21!B15,[1]Examen22!B15,[1]Examen23!B15)</f>
        <v>0</v>
      </c>
      <c r="C27" s="33">
        <f>MAX([1]Examen21!C15,[1]Examen22!C15,[1]Examen23!C15)</f>
        <v>0</v>
      </c>
      <c r="D27" s="32">
        <f t="shared" si="59"/>
        <v>-1</v>
      </c>
      <c r="E27" s="33">
        <f>MAX([1]Examen21!E15,[1]Examen22!E15,[1]Examen23!E15)</f>
        <v>0</v>
      </c>
      <c r="F27" s="32">
        <f t="shared" si="60"/>
        <v>-1</v>
      </c>
      <c r="G27" s="33">
        <f>MAX([1]Examen21!G15,[1]Examen22!G15,[1]Examen23!G15)</f>
        <v>0</v>
      </c>
      <c r="H27" s="32">
        <f t="shared" si="61"/>
        <v>-1</v>
      </c>
      <c r="I27" s="33">
        <f>MAX([1]Examen21!I15,[1]Examen22!I15,[1]Examen23!I15)</f>
        <v>0</v>
      </c>
      <c r="J27" s="32">
        <f t="shared" si="62"/>
        <v>-1</v>
      </c>
      <c r="K27" s="33">
        <f>MAX([1]Examen21!K15,[1]Examen22!K15,[1]Examen23!K15)</f>
        <v>0</v>
      </c>
      <c r="L27" s="32">
        <f t="shared" si="63"/>
        <v>-1</v>
      </c>
      <c r="M27" s="33">
        <f>MAX([1]Examen21!M15,[1]Examen22!M15,[1]Examen23!M15)</f>
        <v>0</v>
      </c>
      <c r="N27" s="32">
        <f t="shared" si="64"/>
        <v>-1</v>
      </c>
      <c r="O27" s="33">
        <f>MAX([1]Examen21!O15,[1]Examen22!O15,[1]Examen23!O15)</f>
        <v>0</v>
      </c>
      <c r="P27" s="32">
        <f t="shared" si="65"/>
        <v>-1</v>
      </c>
      <c r="Q27" s="33">
        <f>MAX([1]Examen21!Q15,[1]Examen22!Q15,[1]Examen23!Q15)</f>
        <v>0</v>
      </c>
      <c r="R27" s="32">
        <f t="shared" si="66"/>
        <v>-1</v>
      </c>
      <c r="S27" s="33">
        <f>MAX([1]Examen21!S15,[1]Examen22!S15,[1]Examen23!S15)</f>
        <v>0</v>
      </c>
      <c r="T27" s="32">
        <f t="shared" si="67"/>
        <v>-1</v>
      </c>
      <c r="U27" s="33">
        <f>MAX([1]Examen21!U15,[1]Examen22!U15,[1]Examen23!U15)</f>
        <v>0</v>
      </c>
      <c r="V27" s="32">
        <f t="shared" si="68"/>
        <v>-1</v>
      </c>
      <c r="W27" s="33">
        <f>MAX([1]Examen21!W15,[1]Examen22!W15,[1]Examen23!W15)</f>
        <v>0</v>
      </c>
      <c r="X27" s="32">
        <f t="shared" si="69"/>
        <v>-1</v>
      </c>
      <c r="Y27" s="33">
        <f>MAX([1]Examen21!Y15,[1]Examen22!Y15,[1]Examen23!Y15)</f>
        <v>0</v>
      </c>
      <c r="Z27" s="32">
        <f t="shared" si="70"/>
        <v>-1</v>
      </c>
      <c r="AA27" s="33">
        <f>MAX([1]Examen21!AA15,[1]Examen22!AA15,[1]Examen23!AA15)</f>
        <v>0</v>
      </c>
      <c r="AB27" s="32">
        <f t="shared" si="71"/>
        <v>-1</v>
      </c>
      <c r="AC27" s="33">
        <f>MAX([1]Examen21!AC15,[1]Examen22!AC15,[1]Examen23!AC15)</f>
        <v>0</v>
      </c>
      <c r="AD27" s="32">
        <f t="shared" si="72"/>
        <v>-1</v>
      </c>
      <c r="AE27" s="33">
        <f>MAX([1]Examen21!AE15,[1]Examen22!AE15,[1]Examen23!AE15)</f>
        <v>0</v>
      </c>
      <c r="AF27" s="32">
        <f t="shared" si="73"/>
        <v>-1</v>
      </c>
      <c r="AG27" s="33">
        <f>MAX([1]Examen21!AG15,[1]Examen22!AG15,[1]Examen23!AG15)</f>
        <v>0</v>
      </c>
      <c r="AH27" s="32">
        <f t="shared" si="74"/>
        <v>-1</v>
      </c>
      <c r="AI27" s="33">
        <f>MAX([1]Examen21!AI15,[1]Examen22!AI15,[1]Examen23!AI15)</f>
        <v>0</v>
      </c>
      <c r="AJ27" s="32">
        <f t="shared" si="75"/>
        <v>-1</v>
      </c>
      <c r="AK27" s="33">
        <f>MAX([1]Examen21!AK15,[1]Examen22!AK15,[1]Examen23!AK15)</f>
        <v>0</v>
      </c>
      <c r="AL27" s="32">
        <f t="shared" si="76"/>
        <v>-1</v>
      </c>
      <c r="AM27" s="33">
        <f>MAX([1]Examen21!AM15,[1]Examen22!AM15,[1]Examen23!AM15)</f>
        <v>0</v>
      </c>
      <c r="AN27" s="32">
        <f t="shared" si="77"/>
        <v>-1</v>
      </c>
      <c r="AO27" s="33">
        <f>MAX([1]Examen21!AO15,[1]Examen22!AO15,[1]Examen23!AO15)</f>
        <v>0</v>
      </c>
      <c r="AP27" s="32">
        <f t="shared" si="78"/>
        <v>-1</v>
      </c>
      <c r="AQ27" s="33">
        <f>MAX([1]Examen21!AQ15,[1]Examen22!AQ15,[1]Examen23!AQ15)</f>
        <v>0</v>
      </c>
      <c r="AR27" s="32">
        <f t="shared" si="79"/>
        <v>-1</v>
      </c>
      <c r="AS27" s="33">
        <f>MAX([1]Examen21!AS15,[1]Examen22!AS15,[1]Examen23!AS15)</f>
        <v>0</v>
      </c>
      <c r="AT27" s="32">
        <f t="shared" si="80"/>
        <v>-1</v>
      </c>
      <c r="AU27" s="33">
        <f>MAX([1]Examen21!AU15,[1]Examen22!AU15,[1]Examen23!AU15)</f>
        <v>0</v>
      </c>
      <c r="AV27" s="32">
        <f t="shared" si="81"/>
        <v>-1</v>
      </c>
      <c r="AW27" s="33">
        <f>MAX([1]Examen21!AW15,[1]Examen22!AW15,[1]Examen23!AW15)</f>
        <v>0</v>
      </c>
      <c r="AX27" s="32">
        <f t="shared" si="82"/>
        <v>-1</v>
      </c>
      <c r="AY27" s="33">
        <f>MAX([1]Examen21!AY15,[1]Examen22!AY15,[1]Examen23!AY15)</f>
        <v>0</v>
      </c>
      <c r="AZ27" s="32">
        <f t="shared" si="83"/>
        <v>-1</v>
      </c>
      <c r="BA27" s="33">
        <f>MAX([1]Examen21!BA15,[1]Examen22!BA15,[1]Examen23!BA15)</f>
        <v>0</v>
      </c>
      <c r="BB27" s="32">
        <f t="shared" si="84"/>
        <v>-1</v>
      </c>
      <c r="BC27" s="33">
        <f>MAX([1]Examen21!BC15,[1]Examen22!BC15,[1]Examen23!BC15)</f>
        <v>0</v>
      </c>
      <c r="BD27" s="32">
        <f t="shared" si="85"/>
        <v>-1</v>
      </c>
      <c r="BE27" s="33">
        <f>MAX([1]Examen21!BE15,[1]Examen22!BE15,[1]Examen23!BE15)</f>
        <v>0</v>
      </c>
      <c r="BF27" s="32">
        <f t="shared" si="86"/>
        <v>-1</v>
      </c>
      <c r="BG27" s="33">
        <f>MAX([1]Examen21!BG15,[1]Examen22!BG15,[1]Examen23!BG15)</f>
        <v>0</v>
      </c>
      <c r="BH27" s="32">
        <f t="shared" si="87"/>
        <v>-1</v>
      </c>
      <c r="BI27" s="33">
        <f>MAX([1]Examen21!BI15,[1]Examen22!BI15,[1]Examen23!BI15)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MAX([1]Examen21!B16,[1]Examen22!B16,[1]Examen23!B16)</f>
        <v>0</v>
      </c>
      <c r="C28" s="33">
        <f>MAX([1]Examen21!C16,[1]Examen22!C16,[1]Examen23!C16)</f>
        <v>0</v>
      </c>
      <c r="D28" s="32">
        <f t="shared" si="59"/>
        <v>-1</v>
      </c>
      <c r="E28" s="33">
        <f>MAX([1]Examen21!E16,[1]Examen22!E16,[1]Examen23!E16)</f>
        <v>0</v>
      </c>
      <c r="F28" s="32">
        <f t="shared" si="60"/>
        <v>-1</v>
      </c>
      <c r="G28" s="33">
        <f>MAX([1]Examen21!G16,[1]Examen22!G16,[1]Examen23!G16)</f>
        <v>0</v>
      </c>
      <c r="H28" s="32">
        <f t="shared" si="61"/>
        <v>-1</v>
      </c>
      <c r="I28" s="33">
        <f>MAX([1]Examen21!I16,[1]Examen22!I16,[1]Examen23!I16)</f>
        <v>0</v>
      </c>
      <c r="J28" s="32">
        <f t="shared" si="62"/>
        <v>-1</v>
      </c>
      <c r="K28" s="33">
        <f>MAX([1]Examen21!K16,[1]Examen22!K16,[1]Examen23!K16)</f>
        <v>0</v>
      </c>
      <c r="L28" s="32">
        <f t="shared" si="63"/>
        <v>-1</v>
      </c>
      <c r="M28" s="33">
        <f>MAX([1]Examen21!M16,[1]Examen22!M16,[1]Examen23!M16)</f>
        <v>0</v>
      </c>
      <c r="N28" s="32">
        <f t="shared" si="64"/>
        <v>-1</v>
      </c>
      <c r="O28" s="33">
        <f>MAX([1]Examen21!O16,[1]Examen22!O16,[1]Examen23!O16)</f>
        <v>0</v>
      </c>
      <c r="P28" s="32">
        <f t="shared" si="65"/>
        <v>-1</v>
      </c>
      <c r="Q28" s="33">
        <f>MAX([1]Examen21!Q16,[1]Examen22!Q16,[1]Examen23!Q16)</f>
        <v>0</v>
      </c>
      <c r="R28" s="32">
        <f t="shared" si="66"/>
        <v>-1</v>
      </c>
      <c r="S28" s="33">
        <f>MAX([1]Examen21!S16,[1]Examen22!S16,[1]Examen23!S16)</f>
        <v>0</v>
      </c>
      <c r="T28" s="32">
        <f t="shared" si="67"/>
        <v>-1</v>
      </c>
      <c r="U28" s="33">
        <f>MAX([1]Examen21!U16,[1]Examen22!U16,[1]Examen23!U16)</f>
        <v>0</v>
      </c>
      <c r="V28" s="32">
        <f t="shared" si="68"/>
        <v>-1</v>
      </c>
      <c r="W28" s="33">
        <f>MAX([1]Examen21!W16,[1]Examen22!W16,[1]Examen23!W16)</f>
        <v>0</v>
      </c>
      <c r="X28" s="32">
        <f t="shared" si="69"/>
        <v>-1</v>
      </c>
      <c r="Y28" s="33">
        <f>MAX([1]Examen21!Y16,[1]Examen22!Y16,[1]Examen23!Y16)</f>
        <v>0</v>
      </c>
      <c r="Z28" s="32">
        <f t="shared" si="70"/>
        <v>-1</v>
      </c>
      <c r="AA28" s="33">
        <f>MAX([1]Examen21!AA16,[1]Examen22!AA16,[1]Examen23!AA16)</f>
        <v>0</v>
      </c>
      <c r="AB28" s="32">
        <f t="shared" si="71"/>
        <v>-1</v>
      </c>
      <c r="AC28" s="33">
        <f>MAX([1]Examen21!AC16,[1]Examen22!AC16,[1]Examen23!AC16)</f>
        <v>0</v>
      </c>
      <c r="AD28" s="32">
        <f t="shared" si="72"/>
        <v>-1</v>
      </c>
      <c r="AE28" s="33">
        <f>MAX([1]Examen21!AE16,[1]Examen22!AE16,[1]Examen23!AE16)</f>
        <v>0</v>
      </c>
      <c r="AF28" s="32">
        <f t="shared" si="73"/>
        <v>-1</v>
      </c>
      <c r="AG28" s="33">
        <f>MAX([1]Examen21!AG16,[1]Examen22!AG16,[1]Examen23!AG16)</f>
        <v>0</v>
      </c>
      <c r="AH28" s="32">
        <f t="shared" si="74"/>
        <v>-1</v>
      </c>
      <c r="AI28" s="33">
        <f>MAX([1]Examen21!AI16,[1]Examen22!AI16,[1]Examen23!AI16)</f>
        <v>0</v>
      </c>
      <c r="AJ28" s="32">
        <f t="shared" si="75"/>
        <v>-1</v>
      </c>
      <c r="AK28" s="33">
        <f>MAX([1]Examen21!AK16,[1]Examen22!AK16,[1]Examen23!AK16)</f>
        <v>0</v>
      </c>
      <c r="AL28" s="32">
        <f t="shared" si="76"/>
        <v>-1</v>
      </c>
      <c r="AM28" s="33">
        <f>MAX([1]Examen21!AM16,[1]Examen22!AM16,[1]Examen23!AM16)</f>
        <v>0</v>
      </c>
      <c r="AN28" s="32">
        <f t="shared" si="77"/>
        <v>-1</v>
      </c>
      <c r="AO28" s="33">
        <f>MAX([1]Examen21!AO16,[1]Examen22!AO16,[1]Examen23!AO16)</f>
        <v>0</v>
      </c>
      <c r="AP28" s="32">
        <f t="shared" si="78"/>
        <v>-1</v>
      </c>
      <c r="AQ28" s="33">
        <f>MAX([1]Examen21!AQ16,[1]Examen22!AQ16,[1]Examen23!AQ16)</f>
        <v>0</v>
      </c>
      <c r="AR28" s="32">
        <f t="shared" si="79"/>
        <v>-1</v>
      </c>
      <c r="AS28" s="33">
        <f>MAX([1]Examen21!AS16,[1]Examen22!AS16,[1]Examen23!AS16)</f>
        <v>0</v>
      </c>
      <c r="AT28" s="32">
        <f t="shared" si="80"/>
        <v>-1</v>
      </c>
      <c r="AU28" s="33">
        <f>MAX([1]Examen21!AU16,[1]Examen22!AU16,[1]Examen23!AU16)</f>
        <v>0</v>
      </c>
      <c r="AV28" s="32">
        <f t="shared" si="81"/>
        <v>-1</v>
      </c>
      <c r="AW28" s="33">
        <f>MAX([1]Examen21!AW16,[1]Examen22!AW16,[1]Examen23!AW16)</f>
        <v>0</v>
      </c>
      <c r="AX28" s="32">
        <f t="shared" si="82"/>
        <v>-1</v>
      </c>
      <c r="AY28" s="33">
        <f>MAX([1]Examen21!AY16,[1]Examen22!AY16,[1]Examen23!AY16)</f>
        <v>0</v>
      </c>
      <c r="AZ28" s="32">
        <f t="shared" si="83"/>
        <v>-1</v>
      </c>
      <c r="BA28" s="33">
        <f>MAX([1]Examen21!BA16,[1]Examen22!BA16,[1]Examen23!BA16)</f>
        <v>0</v>
      </c>
      <c r="BB28" s="32">
        <f t="shared" si="84"/>
        <v>-1</v>
      </c>
      <c r="BC28" s="33">
        <f>MAX([1]Examen21!BC16,[1]Examen22!BC16,[1]Examen23!BC16)</f>
        <v>0</v>
      </c>
      <c r="BD28" s="32">
        <f t="shared" si="85"/>
        <v>-1</v>
      </c>
      <c r="BE28" s="33">
        <f>MAX([1]Examen21!BE16,[1]Examen22!BE16,[1]Examen23!BE16)</f>
        <v>0</v>
      </c>
      <c r="BF28" s="32">
        <f t="shared" si="86"/>
        <v>-1</v>
      </c>
      <c r="BG28" s="33">
        <f>MAX([1]Examen21!BG16,[1]Examen22!BG16,[1]Examen23!BG16)</f>
        <v>0</v>
      </c>
      <c r="BH28" s="32">
        <f t="shared" si="87"/>
        <v>-1</v>
      </c>
      <c r="BI28" s="33">
        <f>MAX([1]Examen21!BI16,[1]Examen22!BI16,[1]Examen23!BI16)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MAX([1]Examen21!B17,[1]Examen22!B17,[1]Examen23!B17)</f>
        <v>0</v>
      </c>
      <c r="C29" s="33">
        <f>MAX([1]Examen21!C17,[1]Examen22!C17,[1]Examen23!C17)</f>
        <v>0</v>
      </c>
      <c r="D29" s="32">
        <f t="shared" si="59"/>
        <v>-1</v>
      </c>
      <c r="E29" s="33">
        <f>MAX([1]Examen21!E17,[1]Examen22!E17,[1]Examen23!E17)</f>
        <v>0</v>
      </c>
      <c r="F29" s="32">
        <f t="shared" si="60"/>
        <v>-1</v>
      </c>
      <c r="G29" s="33">
        <f>MAX([1]Examen21!G17,[1]Examen22!G17,[1]Examen23!G17)</f>
        <v>0</v>
      </c>
      <c r="H29" s="32">
        <f t="shared" si="61"/>
        <v>-1</v>
      </c>
      <c r="I29" s="33">
        <f>MAX([1]Examen21!I17,[1]Examen22!I17,[1]Examen23!I17)</f>
        <v>0</v>
      </c>
      <c r="J29" s="32">
        <f t="shared" si="62"/>
        <v>-1</v>
      </c>
      <c r="K29" s="33">
        <f>MAX([1]Examen21!K17,[1]Examen22!K17,[1]Examen23!K17)</f>
        <v>0</v>
      </c>
      <c r="L29" s="32">
        <f t="shared" si="63"/>
        <v>-1</v>
      </c>
      <c r="M29" s="33">
        <f>MAX([1]Examen21!M17,[1]Examen22!M17,[1]Examen23!M17)</f>
        <v>0</v>
      </c>
      <c r="N29" s="32">
        <f t="shared" si="64"/>
        <v>-1</v>
      </c>
      <c r="O29" s="33">
        <f>MAX([1]Examen21!O17,[1]Examen22!O17,[1]Examen23!O17)</f>
        <v>0</v>
      </c>
      <c r="P29" s="32">
        <f t="shared" si="65"/>
        <v>-1</v>
      </c>
      <c r="Q29" s="33">
        <f>MAX([1]Examen21!Q17,[1]Examen22!Q17,[1]Examen23!Q17)</f>
        <v>0</v>
      </c>
      <c r="R29" s="32">
        <f t="shared" si="66"/>
        <v>-1</v>
      </c>
      <c r="S29" s="33">
        <f>MAX([1]Examen21!S17,[1]Examen22!S17,[1]Examen23!S17)</f>
        <v>0</v>
      </c>
      <c r="T29" s="32">
        <f t="shared" si="67"/>
        <v>-1</v>
      </c>
      <c r="U29" s="33">
        <f>MAX([1]Examen21!U17,[1]Examen22!U17,[1]Examen23!U17)</f>
        <v>0</v>
      </c>
      <c r="V29" s="32">
        <f t="shared" si="68"/>
        <v>-1</v>
      </c>
      <c r="W29" s="33">
        <f>MAX([1]Examen21!W17,[1]Examen22!W17,[1]Examen23!W17)</f>
        <v>0</v>
      </c>
      <c r="X29" s="32">
        <f t="shared" si="69"/>
        <v>-1</v>
      </c>
      <c r="Y29" s="33">
        <f>MAX([1]Examen21!Y17,[1]Examen22!Y17,[1]Examen23!Y17)</f>
        <v>0</v>
      </c>
      <c r="Z29" s="32">
        <f t="shared" si="70"/>
        <v>-1</v>
      </c>
      <c r="AA29" s="33">
        <f>MAX([1]Examen21!AA17,[1]Examen22!AA17,[1]Examen23!AA17)</f>
        <v>0</v>
      </c>
      <c r="AB29" s="32">
        <f t="shared" si="71"/>
        <v>-1</v>
      </c>
      <c r="AC29" s="33">
        <f>MAX([1]Examen21!AC17,[1]Examen22!AC17,[1]Examen23!AC17)</f>
        <v>0</v>
      </c>
      <c r="AD29" s="32">
        <f t="shared" si="72"/>
        <v>-1</v>
      </c>
      <c r="AE29" s="33">
        <f>MAX([1]Examen21!AE17,[1]Examen22!AE17,[1]Examen23!AE17)</f>
        <v>0</v>
      </c>
      <c r="AF29" s="32">
        <f t="shared" si="73"/>
        <v>-1</v>
      </c>
      <c r="AG29" s="33">
        <f>MAX([1]Examen21!AG17,[1]Examen22!AG17,[1]Examen23!AG17)</f>
        <v>0</v>
      </c>
      <c r="AH29" s="32">
        <f t="shared" si="74"/>
        <v>-1</v>
      </c>
      <c r="AI29" s="33">
        <f>MAX([1]Examen21!AI17,[1]Examen22!AI17,[1]Examen23!AI17)</f>
        <v>0</v>
      </c>
      <c r="AJ29" s="32">
        <f t="shared" si="75"/>
        <v>-1</v>
      </c>
      <c r="AK29" s="33">
        <f>MAX([1]Examen21!AK17,[1]Examen22!AK17,[1]Examen23!AK17)</f>
        <v>0</v>
      </c>
      <c r="AL29" s="32">
        <f t="shared" si="76"/>
        <v>-1</v>
      </c>
      <c r="AM29" s="33">
        <f>MAX([1]Examen21!AM17,[1]Examen22!AM17,[1]Examen23!AM17)</f>
        <v>0</v>
      </c>
      <c r="AN29" s="32">
        <f t="shared" si="77"/>
        <v>-1</v>
      </c>
      <c r="AO29" s="33">
        <f>MAX([1]Examen21!AO17,[1]Examen22!AO17,[1]Examen23!AO17)</f>
        <v>0</v>
      </c>
      <c r="AP29" s="32">
        <f t="shared" si="78"/>
        <v>-1</v>
      </c>
      <c r="AQ29" s="33">
        <f>MAX([1]Examen21!AQ17,[1]Examen22!AQ17,[1]Examen23!AQ17)</f>
        <v>0</v>
      </c>
      <c r="AR29" s="32">
        <f t="shared" si="79"/>
        <v>-1</v>
      </c>
      <c r="AS29" s="33">
        <f>MAX([1]Examen21!AS17,[1]Examen22!AS17,[1]Examen23!AS17)</f>
        <v>0</v>
      </c>
      <c r="AT29" s="32">
        <f t="shared" si="80"/>
        <v>-1</v>
      </c>
      <c r="AU29" s="33">
        <f>MAX([1]Examen21!AU17,[1]Examen22!AU17,[1]Examen23!AU17)</f>
        <v>0</v>
      </c>
      <c r="AV29" s="32">
        <f t="shared" si="81"/>
        <v>-1</v>
      </c>
      <c r="AW29" s="33">
        <f>MAX([1]Examen21!AW17,[1]Examen22!AW17,[1]Examen23!AW17)</f>
        <v>0</v>
      </c>
      <c r="AX29" s="32">
        <f t="shared" si="82"/>
        <v>-1</v>
      </c>
      <c r="AY29" s="33">
        <f>MAX([1]Examen21!AY17,[1]Examen22!AY17,[1]Examen23!AY17)</f>
        <v>0</v>
      </c>
      <c r="AZ29" s="32">
        <f t="shared" si="83"/>
        <v>-1</v>
      </c>
      <c r="BA29" s="33">
        <f>MAX([1]Examen21!BA17,[1]Examen22!BA17,[1]Examen23!BA17)</f>
        <v>0</v>
      </c>
      <c r="BB29" s="32">
        <f t="shared" si="84"/>
        <v>-1</v>
      </c>
      <c r="BC29" s="33">
        <f>MAX([1]Examen21!BC17,[1]Examen22!BC17,[1]Examen23!BC17)</f>
        <v>0</v>
      </c>
      <c r="BD29" s="32">
        <f t="shared" si="85"/>
        <v>-1</v>
      </c>
      <c r="BE29" s="33">
        <f>MAX([1]Examen21!BE17,[1]Examen22!BE17,[1]Examen23!BE17)</f>
        <v>0</v>
      </c>
      <c r="BF29" s="32">
        <f t="shared" si="86"/>
        <v>-1</v>
      </c>
      <c r="BG29" s="33">
        <f>MAX([1]Examen21!BG17,[1]Examen22!BG17,[1]Examen23!BG17)</f>
        <v>0</v>
      </c>
      <c r="BH29" s="32">
        <f t="shared" si="87"/>
        <v>-1</v>
      </c>
      <c r="BI29" s="33">
        <f>MAX([1]Examen21!BI17,[1]Examen22!BI17,[1]Examen23!BI17)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MAX([1]Examen21!B18,[1]Examen22!B18,[1]Examen23!B18)</f>
        <v>0</v>
      </c>
      <c r="C30" s="33">
        <f>MAX([1]Examen21!C18,[1]Examen22!C18,[1]Examen23!C18)</f>
        <v>0</v>
      </c>
      <c r="D30" s="32">
        <f t="shared" si="59"/>
        <v>-1</v>
      </c>
      <c r="E30" s="33">
        <f>MAX([1]Examen21!E18,[1]Examen22!E18,[1]Examen23!E18)</f>
        <v>0</v>
      </c>
      <c r="F30" s="32">
        <f t="shared" si="60"/>
        <v>-1</v>
      </c>
      <c r="G30" s="33">
        <f>MAX([1]Examen21!G18,[1]Examen22!G18,[1]Examen23!G18)</f>
        <v>0</v>
      </c>
      <c r="H30" s="32">
        <f t="shared" si="61"/>
        <v>-1</v>
      </c>
      <c r="I30" s="33">
        <f>MAX([1]Examen21!I18,[1]Examen22!I18,[1]Examen23!I18)</f>
        <v>0</v>
      </c>
      <c r="J30" s="32">
        <f t="shared" si="62"/>
        <v>-1</v>
      </c>
      <c r="K30" s="33">
        <f>MAX([1]Examen21!K18,[1]Examen22!K18,[1]Examen23!K18)</f>
        <v>0</v>
      </c>
      <c r="L30" s="32">
        <f t="shared" si="63"/>
        <v>-1</v>
      </c>
      <c r="M30" s="33">
        <f>MAX([1]Examen21!M18,[1]Examen22!M18,[1]Examen23!M18)</f>
        <v>0</v>
      </c>
      <c r="N30" s="32">
        <f t="shared" si="64"/>
        <v>-1</v>
      </c>
      <c r="O30" s="33">
        <f>MAX([1]Examen21!O18,[1]Examen22!O18,[1]Examen23!O18)</f>
        <v>0</v>
      </c>
      <c r="P30" s="32">
        <f t="shared" si="65"/>
        <v>-1</v>
      </c>
      <c r="Q30" s="33">
        <f>MAX([1]Examen21!Q18,[1]Examen22!Q18,[1]Examen23!Q18)</f>
        <v>0</v>
      </c>
      <c r="R30" s="32">
        <f t="shared" si="66"/>
        <v>-1</v>
      </c>
      <c r="S30" s="33">
        <f>MAX([1]Examen21!S18,[1]Examen22!S18,[1]Examen23!S18)</f>
        <v>0</v>
      </c>
      <c r="T30" s="32">
        <f t="shared" si="67"/>
        <v>-1</v>
      </c>
      <c r="U30" s="33">
        <f>MAX([1]Examen21!U18,[1]Examen22!U18,[1]Examen23!U18)</f>
        <v>0</v>
      </c>
      <c r="V30" s="32">
        <f t="shared" si="68"/>
        <v>-1</v>
      </c>
      <c r="W30" s="33">
        <f>MAX([1]Examen21!W18,[1]Examen22!W18,[1]Examen23!W18)</f>
        <v>0</v>
      </c>
      <c r="X30" s="32">
        <f t="shared" si="69"/>
        <v>-1</v>
      </c>
      <c r="Y30" s="33">
        <f>MAX([1]Examen21!Y18,[1]Examen22!Y18,[1]Examen23!Y18)</f>
        <v>0</v>
      </c>
      <c r="Z30" s="32">
        <f t="shared" si="70"/>
        <v>-1</v>
      </c>
      <c r="AA30" s="33">
        <f>MAX([1]Examen21!AA18,[1]Examen22!AA18,[1]Examen23!AA18)</f>
        <v>0</v>
      </c>
      <c r="AB30" s="32">
        <f t="shared" si="71"/>
        <v>-1</v>
      </c>
      <c r="AC30" s="33">
        <f>MAX([1]Examen21!AC18,[1]Examen22!AC18,[1]Examen23!AC18)</f>
        <v>0</v>
      </c>
      <c r="AD30" s="32">
        <f t="shared" si="72"/>
        <v>-1</v>
      </c>
      <c r="AE30" s="33">
        <f>MAX([1]Examen21!AE18,[1]Examen22!AE18,[1]Examen23!AE18)</f>
        <v>0</v>
      </c>
      <c r="AF30" s="32">
        <f t="shared" si="73"/>
        <v>-1</v>
      </c>
      <c r="AG30" s="33">
        <f>MAX([1]Examen21!AG18,[1]Examen22!AG18,[1]Examen23!AG18)</f>
        <v>0</v>
      </c>
      <c r="AH30" s="32">
        <f t="shared" si="74"/>
        <v>-1</v>
      </c>
      <c r="AI30" s="33">
        <f>MAX([1]Examen21!AI18,[1]Examen22!AI18,[1]Examen23!AI18)</f>
        <v>0</v>
      </c>
      <c r="AJ30" s="32">
        <f t="shared" si="75"/>
        <v>-1</v>
      </c>
      <c r="AK30" s="33">
        <f>MAX([1]Examen21!AK18,[1]Examen22!AK18,[1]Examen23!AK18)</f>
        <v>0</v>
      </c>
      <c r="AL30" s="32">
        <f t="shared" si="76"/>
        <v>-1</v>
      </c>
      <c r="AM30" s="33">
        <f>MAX([1]Examen21!AM18,[1]Examen22!AM18,[1]Examen23!AM18)</f>
        <v>0</v>
      </c>
      <c r="AN30" s="32">
        <f t="shared" si="77"/>
        <v>-1</v>
      </c>
      <c r="AO30" s="33">
        <f>MAX([1]Examen21!AO18,[1]Examen22!AO18,[1]Examen23!AO18)</f>
        <v>0</v>
      </c>
      <c r="AP30" s="32">
        <f t="shared" si="78"/>
        <v>-1</v>
      </c>
      <c r="AQ30" s="33">
        <f>MAX([1]Examen21!AQ18,[1]Examen22!AQ18,[1]Examen23!AQ18)</f>
        <v>0</v>
      </c>
      <c r="AR30" s="32">
        <f t="shared" si="79"/>
        <v>-1</v>
      </c>
      <c r="AS30" s="33">
        <f>MAX([1]Examen21!AS18,[1]Examen22!AS18,[1]Examen23!AS18)</f>
        <v>0</v>
      </c>
      <c r="AT30" s="32">
        <f t="shared" si="80"/>
        <v>-1</v>
      </c>
      <c r="AU30" s="33">
        <f>MAX([1]Examen21!AU18,[1]Examen22!AU18,[1]Examen23!AU18)</f>
        <v>0</v>
      </c>
      <c r="AV30" s="32">
        <f t="shared" si="81"/>
        <v>-1</v>
      </c>
      <c r="AW30" s="33">
        <f>MAX([1]Examen21!AW18,[1]Examen22!AW18,[1]Examen23!AW18)</f>
        <v>0</v>
      </c>
      <c r="AX30" s="32">
        <f t="shared" si="82"/>
        <v>-1</v>
      </c>
      <c r="AY30" s="33">
        <f>MAX([1]Examen21!AY18,[1]Examen22!AY18,[1]Examen23!AY18)</f>
        <v>0</v>
      </c>
      <c r="AZ30" s="32">
        <f t="shared" si="83"/>
        <v>-1</v>
      </c>
      <c r="BA30" s="33">
        <f>MAX([1]Examen21!BA18,[1]Examen22!BA18,[1]Examen23!BA18)</f>
        <v>0</v>
      </c>
      <c r="BB30" s="32">
        <f t="shared" si="84"/>
        <v>-1</v>
      </c>
      <c r="BC30" s="33">
        <f>MAX([1]Examen21!BC18,[1]Examen22!BC18,[1]Examen23!BC18)</f>
        <v>0</v>
      </c>
      <c r="BD30" s="32">
        <f t="shared" si="85"/>
        <v>-1</v>
      </c>
      <c r="BE30" s="33">
        <f>MAX([1]Examen21!BE18,[1]Examen22!BE18,[1]Examen23!BE18)</f>
        <v>0</v>
      </c>
      <c r="BF30" s="32">
        <f t="shared" si="86"/>
        <v>-1</v>
      </c>
      <c r="BG30" s="33">
        <f>MAX([1]Examen21!BG18,[1]Examen22!BG18,[1]Examen23!BG18)</f>
        <v>0</v>
      </c>
      <c r="BH30" s="32">
        <f t="shared" si="87"/>
        <v>-1</v>
      </c>
      <c r="BI30" s="33">
        <f>MAX([1]Examen21!BI18,[1]Examen22!BI18,[1]Examen23!BI18)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MAX([1]Examen21!B19,[1]Examen22!B19,[1]Examen23!B19)</f>
        <v>0</v>
      </c>
      <c r="C31" s="33">
        <f>MAX([1]Examen21!C19,[1]Examen22!C19,[1]Examen23!C19)</f>
        <v>0</v>
      </c>
      <c r="D31" s="32">
        <f t="shared" si="59"/>
        <v>-1</v>
      </c>
      <c r="E31" s="33">
        <f>MAX([1]Examen21!E19,[1]Examen22!E19,[1]Examen23!E19)</f>
        <v>0</v>
      </c>
      <c r="F31" s="32">
        <f t="shared" si="60"/>
        <v>-1</v>
      </c>
      <c r="G31" s="33">
        <f>MAX([1]Examen21!G19,[1]Examen22!G19,[1]Examen23!G19)</f>
        <v>0</v>
      </c>
      <c r="H31" s="32">
        <f t="shared" si="61"/>
        <v>-1</v>
      </c>
      <c r="I31" s="33">
        <f>MAX([1]Examen21!I19,[1]Examen22!I19,[1]Examen23!I19)</f>
        <v>0</v>
      </c>
      <c r="J31" s="32">
        <f t="shared" si="62"/>
        <v>-1</v>
      </c>
      <c r="K31" s="33">
        <f>MAX([1]Examen21!K19,[1]Examen22!K19,[1]Examen23!K19)</f>
        <v>0</v>
      </c>
      <c r="L31" s="32">
        <f t="shared" si="63"/>
        <v>-1</v>
      </c>
      <c r="M31" s="33">
        <f>MAX([1]Examen21!M19,[1]Examen22!M19,[1]Examen23!M19)</f>
        <v>0</v>
      </c>
      <c r="N31" s="32">
        <f t="shared" si="64"/>
        <v>-1</v>
      </c>
      <c r="O31" s="33">
        <f>MAX([1]Examen21!O19,[1]Examen22!O19,[1]Examen23!O19)</f>
        <v>0</v>
      </c>
      <c r="P31" s="32">
        <f t="shared" si="65"/>
        <v>-1</v>
      </c>
      <c r="Q31" s="33">
        <f>MAX([1]Examen21!Q19,[1]Examen22!Q19,[1]Examen23!Q19)</f>
        <v>0</v>
      </c>
      <c r="R31" s="32">
        <f t="shared" si="66"/>
        <v>-1</v>
      </c>
      <c r="S31" s="33">
        <f>MAX([1]Examen21!S19,[1]Examen22!S19,[1]Examen23!S19)</f>
        <v>0</v>
      </c>
      <c r="T31" s="32">
        <f t="shared" si="67"/>
        <v>-1</v>
      </c>
      <c r="U31" s="33">
        <f>MAX([1]Examen21!U19,[1]Examen22!U19,[1]Examen23!U19)</f>
        <v>0</v>
      </c>
      <c r="V31" s="32">
        <f t="shared" si="68"/>
        <v>-1</v>
      </c>
      <c r="W31" s="33">
        <f>MAX([1]Examen21!W19,[1]Examen22!W19,[1]Examen23!W19)</f>
        <v>0</v>
      </c>
      <c r="X31" s="32">
        <f t="shared" si="69"/>
        <v>-1</v>
      </c>
      <c r="Y31" s="33">
        <f>MAX([1]Examen21!Y19,[1]Examen22!Y19,[1]Examen23!Y19)</f>
        <v>0</v>
      </c>
      <c r="Z31" s="32">
        <f t="shared" si="70"/>
        <v>-1</v>
      </c>
      <c r="AA31" s="33">
        <f>MAX([1]Examen21!AA19,[1]Examen22!AA19,[1]Examen23!AA19)</f>
        <v>0</v>
      </c>
      <c r="AB31" s="32">
        <f t="shared" si="71"/>
        <v>-1</v>
      </c>
      <c r="AC31" s="33">
        <f>MAX([1]Examen21!AC19,[1]Examen22!AC19,[1]Examen23!AC19)</f>
        <v>0</v>
      </c>
      <c r="AD31" s="32">
        <f t="shared" si="72"/>
        <v>-1</v>
      </c>
      <c r="AE31" s="33">
        <f>MAX([1]Examen21!AE19,[1]Examen22!AE19,[1]Examen23!AE19)</f>
        <v>0</v>
      </c>
      <c r="AF31" s="32">
        <f t="shared" si="73"/>
        <v>-1</v>
      </c>
      <c r="AG31" s="33">
        <f>MAX([1]Examen21!AG19,[1]Examen22!AG19,[1]Examen23!AG19)</f>
        <v>0</v>
      </c>
      <c r="AH31" s="32">
        <f t="shared" si="74"/>
        <v>-1</v>
      </c>
      <c r="AI31" s="33">
        <f>MAX([1]Examen21!AI19,[1]Examen22!AI19,[1]Examen23!AI19)</f>
        <v>0</v>
      </c>
      <c r="AJ31" s="32">
        <f t="shared" si="75"/>
        <v>-1</v>
      </c>
      <c r="AK31" s="33">
        <f>MAX([1]Examen21!AK19,[1]Examen22!AK19,[1]Examen23!AK19)</f>
        <v>0</v>
      </c>
      <c r="AL31" s="32">
        <f t="shared" si="76"/>
        <v>-1</v>
      </c>
      <c r="AM31" s="33">
        <f>MAX([1]Examen21!AM19,[1]Examen22!AM19,[1]Examen23!AM19)</f>
        <v>0</v>
      </c>
      <c r="AN31" s="32">
        <f t="shared" si="77"/>
        <v>-1</v>
      </c>
      <c r="AO31" s="33">
        <f>MAX([1]Examen21!AO19,[1]Examen22!AO19,[1]Examen23!AO19)</f>
        <v>0</v>
      </c>
      <c r="AP31" s="32">
        <f t="shared" si="78"/>
        <v>-1</v>
      </c>
      <c r="AQ31" s="33">
        <f>MAX([1]Examen21!AQ19,[1]Examen22!AQ19,[1]Examen23!AQ19)</f>
        <v>0</v>
      </c>
      <c r="AR31" s="32">
        <f t="shared" si="79"/>
        <v>-1</v>
      </c>
      <c r="AS31" s="33">
        <f>MAX([1]Examen21!AS19,[1]Examen22!AS19,[1]Examen23!AS19)</f>
        <v>0</v>
      </c>
      <c r="AT31" s="32">
        <f t="shared" si="80"/>
        <v>-1</v>
      </c>
      <c r="AU31" s="33">
        <f>MAX([1]Examen21!AU19,[1]Examen22!AU19,[1]Examen23!AU19)</f>
        <v>0</v>
      </c>
      <c r="AV31" s="32">
        <f t="shared" si="81"/>
        <v>-1</v>
      </c>
      <c r="AW31" s="33">
        <f>MAX([1]Examen21!AW19,[1]Examen22!AW19,[1]Examen23!AW19)</f>
        <v>0</v>
      </c>
      <c r="AX31" s="32">
        <f t="shared" si="82"/>
        <v>-1</v>
      </c>
      <c r="AY31" s="33">
        <f>MAX([1]Examen21!AY19,[1]Examen22!AY19,[1]Examen23!AY19)</f>
        <v>0</v>
      </c>
      <c r="AZ31" s="32">
        <f t="shared" si="83"/>
        <v>-1</v>
      </c>
      <c r="BA31" s="33">
        <f>MAX([1]Examen21!BA19,[1]Examen22!BA19,[1]Examen23!BA19)</f>
        <v>0</v>
      </c>
      <c r="BB31" s="32">
        <f t="shared" si="84"/>
        <v>-1</v>
      </c>
      <c r="BC31" s="33">
        <f>MAX([1]Examen21!BC19,[1]Examen22!BC19,[1]Examen23!BC19)</f>
        <v>0</v>
      </c>
      <c r="BD31" s="32">
        <f t="shared" si="85"/>
        <v>-1</v>
      </c>
      <c r="BE31" s="33">
        <f>MAX([1]Examen21!BE19,[1]Examen22!BE19,[1]Examen23!BE19)</f>
        <v>0</v>
      </c>
      <c r="BF31" s="32">
        <f t="shared" si="86"/>
        <v>-1</v>
      </c>
      <c r="BG31" s="33">
        <f>MAX([1]Examen21!BG19,[1]Examen22!BG19,[1]Examen23!BG19)</f>
        <v>0</v>
      </c>
      <c r="BH31" s="32">
        <f t="shared" si="87"/>
        <v>-1</v>
      </c>
      <c r="BI31" s="33">
        <f>MAX([1]Examen21!BI19,[1]Examen22!BI19,[1]Examen23!BI19)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MAX([1]Examen21!B20,[1]Examen22!B20,[1]Examen23!B20)</f>
        <v>0</v>
      </c>
      <c r="C32" s="33">
        <f>MAX([1]Examen21!C20,[1]Examen22!C20,[1]Examen23!C20)</f>
        <v>0</v>
      </c>
      <c r="D32" s="32">
        <f t="shared" si="59"/>
        <v>-1</v>
      </c>
      <c r="E32" s="33">
        <f>MAX([1]Examen21!E20,[1]Examen22!E20,[1]Examen23!E20)</f>
        <v>0</v>
      </c>
      <c r="F32" s="32">
        <f t="shared" si="60"/>
        <v>-1</v>
      </c>
      <c r="G32" s="33">
        <f>MAX([1]Examen21!G20,[1]Examen22!G20,[1]Examen23!G20)</f>
        <v>0</v>
      </c>
      <c r="H32" s="32">
        <f t="shared" si="61"/>
        <v>-1</v>
      </c>
      <c r="I32" s="33">
        <f>MAX([1]Examen21!I20,[1]Examen22!I20,[1]Examen23!I20)</f>
        <v>0</v>
      </c>
      <c r="J32" s="32">
        <f t="shared" si="62"/>
        <v>-1</v>
      </c>
      <c r="K32" s="33">
        <f>MAX([1]Examen21!K20,[1]Examen22!K20,[1]Examen23!K20)</f>
        <v>0</v>
      </c>
      <c r="L32" s="32">
        <f t="shared" si="63"/>
        <v>-1</v>
      </c>
      <c r="M32" s="33">
        <f>MAX([1]Examen21!M20,[1]Examen22!M20,[1]Examen23!M20)</f>
        <v>0</v>
      </c>
      <c r="N32" s="32">
        <f t="shared" si="64"/>
        <v>-1</v>
      </c>
      <c r="O32" s="33">
        <f>MAX([1]Examen21!O20,[1]Examen22!O20,[1]Examen23!O20)</f>
        <v>0</v>
      </c>
      <c r="P32" s="32">
        <f t="shared" si="65"/>
        <v>-1</v>
      </c>
      <c r="Q32" s="33">
        <f>MAX([1]Examen21!Q20,[1]Examen22!Q20,[1]Examen23!Q20)</f>
        <v>0</v>
      </c>
      <c r="R32" s="32">
        <f t="shared" si="66"/>
        <v>-1</v>
      </c>
      <c r="S32" s="33">
        <f>MAX([1]Examen21!S20,[1]Examen22!S20,[1]Examen23!S20)</f>
        <v>0</v>
      </c>
      <c r="T32" s="32">
        <f t="shared" si="67"/>
        <v>-1</v>
      </c>
      <c r="U32" s="33">
        <f>MAX([1]Examen21!U20,[1]Examen22!U20,[1]Examen23!U20)</f>
        <v>0</v>
      </c>
      <c r="V32" s="32">
        <f t="shared" si="68"/>
        <v>-1</v>
      </c>
      <c r="W32" s="33">
        <f>MAX([1]Examen21!W20,[1]Examen22!W20,[1]Examen23!W20)</f>
        <v>0</v>
      </c>
      <c r="X32" s="32">
        <f t="shared" si="69"/>
        <v>-1</v>
      </c>
      <c r="Y32" s="33">
        <f>MAX([1]Examen21!Y20,[1]Examen22!Y20,[1]Examen23!Y20)</f>
        <v>0</v>
      </c>
      <c r="Z32" s="32">
        <f t="shared" si="70"/>
        <v>-1</v>
      </c>
      <c r="AA32" s="33">
        <f>MAX([1]Examen21!AA20,[1]Examen22!AA20,[1]Examen23!AA20)</f>
        <v>0</v>
      </c>
      <c r="AB32" s="32">
        <f t="shared" si="71"/>
        <v>-1</v>
      </c>
      <c r="AC32" s="33">
        <f>MAX([1]Examen21!AC20,[1]Examen22!AC20,[1]Examen23!AC20)</f>
        <v>0</v>
      </c>
      <c r="AD32" s="32">
        <f t="shared" si="72"/>
        <v>-1</v>
      </c>
      <c r="AE32" s="33">
        <f>MAX([1]Examen21!AE20,[1]Examen22!AE20,[1]Examen23!AE20)</f>
        <v>0</v>
      </c>
      <c r="AF32" s="32">
        <f t="shared" si="73"/>
        <v>-1</v>
      </c>
      <c r="AG32" s="33">
        <f>MAX([1]Examen21!AG20,[1]Examen22!AG20,[1]Examen23!AG20)</f>
        <v>0</v>
      </c>
      <c r="AH32" s="32">
        <f t="shared" si="74"/>
        <v>-1</v>
      </c>
      <c r="AI32" s="33">
        <f>MAX([1]Examen21!AI20,[1]Examen22!AI20,[1]Examen23!AI20)</f>
        <v>0</v>
      </c>
      <c r="AJ32" s="32">
        <f t="shared" si="75"/>
        <v>-1</v>
      </c>
      <c r="AK32" s="33">
        <f>MAX([1]Examen21!AK20,[1]Examen22!AK20,[1]Examen23!AK20)</f>
        <v>0</v>
      </c>
      <c r="AL32" s="32">
        <f t="shared" si="76"/>
        <v>-1</v>
      </c>
      <c r="AM32" s="33">
        <f>MAX([1]Examen21!AM20,[1]Examen22!AM20,[1]Examen23!AM20)</f>
        <v>0</v>
      </c>
      <c r="AN32" s="32">
        <f t="shared" si="77"/>
        <v>-1</v>
      </c>
      <c r="AO32" s="33">
        <f>MAX([1]Examen21!AO20,[1]Examen22!AO20,[1]Examen23!AO20)</f>
        <v>0</v>
      </c>
      <c r="AP32" s="32">
        <f t="shared" si="78"/>
        <v>-1</v>
      </c>
      <c r="AQ32" s="33">
        <f>MAX([1]Examen21!AQ20,[1]Examen22!AQ20,[1]Examen23!AQ20)</f>
        <v>0</v>
      </c>
      <c r="AR32" s="32">
        <f t="shared" si="79"/>
        <v>-1</v>
      </c>
      <c r="AS32" s="33">
        <f>MAX([1]Examen21!AS20,[1]Examen22!AS20,[1]Examen23!AS20)</f>
        <v>0</v>
      </c>
      <c r="AT32" s="32">
        <f t="shared" si="80"/>
        <v>-1</v>
      </c>
      <c r="AU32" s="33">
        <f>MAX([1]Examen21!AU20,[1]Examen22!AU20,[1]Examen23!AU20)</f>
        <v>0</v>
      </c>
      <c r="AV32" s="32">
        <f t="shared" si="81"/>
        <v>-1</v>
      </c>
      <c r="AW32" s="33">
        <f>MAX([1]Examen21!AW20,[1]Examen22!AW20,[1]Examen23!AW20)</f>
        <v>0</v>
      </c>
      <c r="AX32" s="32">
        <f t="shared" si="82"/>
        <v>-1</v>
      </c>
      <c r="AY32" s="33">
        <f>MAX([1]Examen21!AY20,[1]Examen22!AY20,[1]Examen23!AY20)</f>
        <v>0</v>
      </c>
      <c r="AZ32" s="32">
        <f t="shared" si="83"/>
        <v>-1</v>
      </c>
      <c r="BA32" s="33">
        <f>MAX([1]Examen21!BA20,[1]Examen22!BA20,[1]Examen23!BA20)</f>
        <v>0</v>
      </c>
      <c r="BB32" s="32">
        <f t="shared" si="84"/>
        <v>-1</v>
      </c>
      <c r="BC32" s="33">
        <f>MAX([1]Examen21!BC20,[1]Examen22!BC20,[1]Examen23!BC20)</f>
        <v>0</v>
      </c>
      <c r="BD32" s="32">
        <f t="shared" si="85"/>
        <v>-1</v>
      </c>
      <c r="BE32" s="33">
        <f>MAX([1]Examen21!BE20,[1]Examen22!BE20,[1]Examen23!BE20)</f>
        <v>0</v>
      </c>
      <c r="BF32" s="32">
        <f t="shared" si="86"/>
        <v>-1</v>
      </c>
      <c r="BG32" s="33">
        <f>MAX([1]Examen21!BG20,[1]Examen22!BG20,[1]Examen23!BG20)</f>
        <v>0</v>
      </c>
      <c r="BH32" s="32">
        <f t="shared" si="87"/>
        <v>-1</v>
      </c>
      <c r="BI32" s="33">
        <f>MAX([1]Examen21!BI20,[1]Examen22!BI20,[1]Examen23!BI20)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MAX([1]Examen21!B21,[1]Examen22!B21,[1]Examen23!B21)</f>
        <v>0</v>
      </c>
      <c r="C33" s="33">
        <f>MAX([1]Examen21!C21,[1]Examen22!C21,[1]Examen23!C21)</f>
        <v>0</v>
      </c>
      <c r="D33" s="32">
        <f t="shared" si="59"/>
        <v>-1</v>
      </c>
      <c r="E33" s="33">
        <f>MAX([1]Examen21!E21,[1]Examen22!E21,[1]Examen23!E21)</f>
        <v>0</v>
      </c>
      <c r="F33" s="32">
        <f t="shared" si="60"/>
        <v>-1</v>
      </c>
      <c r="G33" s="33">
        <f>MAX([1]Examen21!G21,[1]Examen22!G21,[1]Examen23!G21)</f>
        <v>0</v>
      </c>
      <c r="H33" s="32">
        <f t="shared" si="61"/>
        <v>-1</v>
      </c>
      <c r="I33" s="33">
        <f>MAX([1]Examen21!I21,[1]Examen22!I21,[1]Examen23!I21)</f>
        <v>0</v>
      </c>
      <c r="J33" s="32">
        <f t="shared" si="62"/>
        <v>-1</v>
      </c>
      <c r="K33" s="33">
        <f>MAX([1]Examen21!K21,[1]Examen22!K21,[1]Examen23!K21)</f>
        <v>0</v>
      </c>
      <c r="L33" s="32">
        <f t="shared" si="63"/>
        <v>-1</v>
      </c>
      <c r="M33" s="33">
        <f>MAX([1]Examen21!M21,[1]Examen22!M21,[1]Examen23!M21)</f>
        <v>0</v>
      </c>
      <c r="N33" s="32">
        <f t="shared" si="64"/>
        <v>-1</v>
      </c>
      <c r="O33" s="33">
        <f>MAX([1]Examen21!O21,[1]Examen22!O21,[1]Examen23!O21)</f>
        <v>0</v>
      </c>
      <c r="P33" s="32">
        <f t="shared" si="65"/>
        <v>-1</v>
      </c>
      <c r="Q33" s="33">
        <f>MAX([1]Examen21!Q21,[1]Examen22!Q21,[1]Examen23!Q21)</f>
        <v>0</v>
      </c>
      <c r="R33" s="32">
        <f t="shared" si="66"/>
        <v>-1</v>
      </c>
      <c r="S33" s="33">
        <f>MAX([1]Examen21!S21,[1]Examen22!S21,[1]Examen23!S21)</f>
        <v>0</v>
      </c>
      <c r="T33" s="32">
        <f t="shared" si="67"/>
        <v>-1</v>
      </c>
      <c r="U33" s="33">
        <f>MAX([1]Examen21!U21,[1]Examen22!U21,[1]Examen23!U21)</f>
        <v>0</v>
      </c>
      <c r="V33" s="32">
        <f t="shared" si="68"/>
        <v>-1</v>
      </c>
      <c r="W33" s="33">
        <f>MAX([1]Examen21!W21,[1]Examen22!W21,[1]Examen23!W21)</f>
        <v>0</v>
      </c>
      <c r="X33" s="32">
        <f t="shared" si="69"/>
        <v>-1</v>
      </c>
      <c r="Y33" s="33">
        <f>MAX([1]Examen21!Y21,[1]Examen22!Y21,[1]Examen23!Y21)</f>
        <v>0</v>
      </c>
      <c r="Z33" s="32">
        <f t="shared" si="70"/>
        <v>-1</v>
      </c>
      <c r="AA33" s="33">
        <f>MAX([1]Examen21!AA21,[1]Examen22!AA21,[1]Examen23!AA21)</f>
        <v>0</v>
      </c>
      <c r="AB33" s="32">
        <f t="shared" si="71"/>
        <v>-1</v>
      </c>
      <c r="AC33" s="33">
        <f>MAX([1]Examen21!AC21,[1]Examen22!AC21,[1]Examen23!AC21)</f>
        <v>0</v>
      </c>
      <c r="AD33" s="32">
        <f t="shared" si="72"/>
        <v>-1</v>
      </c>
      <c r="AE33" s="33">
        <f>MAX([1]Examen21!AE21,[1]Examen22!AE21,[1]Examen23!AE21)</f>
        <v>0</v>
      </c>
      <c r="AF33" s="32">
        <f t="shared" si="73"/>
        <v>-1</v>
      </c>
      <c r="AG33" s="33">
        <f>MAX([1]Examen21!AG21,[1]Examen22!AG21,[1]Examen23!AG21)</f>
        <v>0</v>
      </c>
      <c r="AH33" s="32">
        <f t="shared" si="74"/>
        <v>-1</v>
      </c>
      <c r="AI33" s="33">
        <f>MAX([1]Examen21!AI21,[1]Examen22!AI21,[1]Examen23!AI21)</f>
        <v>0</v>
      </c>
      <c r="AJ33" s="32">
        <f t="shared" si="75"/>
        <v>-1</v>
      </c>
      <c r="AK33" s="33">
        <f>MAX([1]Examen21!AK21,[1]Examen22!AK21,[1]Examen23!AK21)</f>
        <v>0</v>
      </c>
      <c r="AL33" s="32">
        <f t="shared" si="76"/>
        <v>-1</v>
      </c>
      <c r="AM33" s="33">
        <f>MAX([1]Examen21!AM21,[1]Examen22!AM21,[1]Examen23!AM21)</f>
        <v>0</v>
      </c>
      <c r="AN33" s="32">
        <f t="shared" si="77"/>
        <v>-1</v>
      </c>
      <c r="AO33" s="33">
        <f>MAX([1]Examen21!AO21,[1]Examen22!AO21,[1]Examen23!AO21)</f>
        <v>0</v>
      </c>
      <c r="AP33" s="32">
        <f t="shared" si="78"/>
        <v>-1</v>
      </c>
      <c r="AQ33" s="33">
        <f>MAX([1]Examen21!AQ21,[1]Examen22!AQ21,[1]Examen23!AQ21)</f>
        <v>0</v>
      </c>
      <c r="AR33" s="32">
        <f t="shared" si="79"/>
        <v>-1</v>
      </c>
      <c r="AS33" s="33">
        <f>MAX([1]Examen21!AS21,[1]Examen22!AS21,[1]Examen23!AS21)</f>
        <v>0</v>
      </c>
      <c r="AT33" s="32">
        <f t="shared" si="80"/>
        <v>-1</v>
      </c>
      <c r="AU33" s="33">
        <f>MAX([1]Examen21!AU21,[1]Examen22!AU21,[1]Examen23!AU21)</f>
        <v>0</v>
      </c>
      <c r="AV33" s="32">
        <f t="shared" si="81"/>
        <v>-1</v>
      </c>
      <c r="AW33" s="33">
        <f>MAX([1]Examen21!AW21,[1]Examen22!AW21,[1]Examen23!AW21)</f>
        <v>0</v>
      </c>
      <c r="AX33" s="32">
        <f t="shared" si="82"/>
        <v>-1</v>
      </c>
      <c r="AY33" s="33">
        <f>MAX([1]Examen21!AY21,[1]Examen22!AY21,[1]Examen23!AY21)</f>
        <v>0</v>
      </c>
      <c r="AZ33" s="32">
        <f t="shared" si="83"/>
        <v>-1</v>
      </c>
      <c r="BA33" s="33">
        <f>MAX([1]Examen21!BA21,[1]Examen22!BA21,[1]Examen23!BA21)</f>
        <v>0</v>
      </c>
      <c r="BB33" s="32">
        <f t="shared" si="84"/>
        <v>-1</v>
      </c>
      <c r="BC33" s="33">
        <f>MAX([1]Examen21!BC21,[1]Examen22!BC21,[1]Examen23!BC21)</f>
        <v>0</v>
      </c>
      <c r="BD33" s="32">
        <f t="shared" si="85"/>
        <v>-1</v>
      </c>
      <c r="BE33" s="33">
        <f>MAX([1]Examen21!BE21,[1]Examen22!BE21,[1]Examen23!BE21)</f>
        <v>0</v>
      </c>
      <c r="BF33" s="32">
        <f t="shared" si="86"/>
        <v>-1</v>
      </c>
      <c r="BG33" s="33">
        <f>MAX([1]Examen21!BG21,[1]Examen22!BG21,[1]Examen23!BG21)</f>
        <v>0</v>
      </c>
      <c r="BH33" s="32">
        <f t="shared" si="87"/>
        <v>-1</v>
      </c>
      <c r="BI33" s="33">
        <f>MAX([1]Examen21!BI21,[1]Examen22!BI21,[1]Examen23!BI21)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MAX([1]Examen21!B22,[1]Examen22!B22,[1]Examen23!B22)</f>
        <v>0</v>
      </c>
      <c r="C34" s="33">
        <f>MAX([1]Examen21!C22,[1]Examen22!C22,[1]Examen23!C22)</f>
        <v>0</v>
      </c>
      <c r="D34" s="32">
        <f t="shared" si="59"/>
        <v>-1</v>
      </c>
      <c r="E34" s="33">
        <f>MAX([1]Examen21!E22,[1]Examen22!E22,[1]Examen23!E22)</f>
        <v>0</v>
      </c>
      <c r="F34" s="32">
        <f t="shared" si="60"/>
        <v>-1</v>
      </c>
      <c r="G34" s="33">
        <f>MAX([1]Examen21!G22,[1]Examen22!G22,[1]Examen23!G22)</f>
        <v>0</v>
      </c>
      <c r="H34" s="32">
        <f t="shared" si="61"/>
        <v>-1</v>
      </c>
      <c r="I34" s="33">
        <f>MAX([1]Examen21!I22,[1]Examen22!I22,[1]Examen23!I22)</f>
        <v>0</v>
      </c>
      <c r="J34" s="32">
        <f t="shared" si="62"/>
        <v>-1</v>
      </c>
      <c r="K34" s="33">
        <f>MAX([1]Examen21!K22,[1]Examen22!K22,[1]Examen23!K22)</f>
        <v>0</v>
      </c>
      <c r="L34" s="32">
        <f t="shared" si="63"/>
        <v>-1</v>
      </c>
      <c r="M34" s="33">
        <f>MAX([1]Examen21!M22,[1]Examen22!M22,[1]Examen23!M22)</f>
        <v>0</v>
      </c>
      <c r="N34" s="32">
        <f t="shared" si="64"/>
        <v>-1</v>
      </c>
      <c r="O34" s="33">
        <f>MAX([1]Examen21!O22,[1]Examen22!O22,[1]Examen23!O22)</f>
        <v>0</v>
      </c>
      <c r="P34" s="32">
        <f t="shared" si="65"/>
        <v>-1</v>
      </c>
      <c r="Q34" s="33">
        <f>MAX([1]Examen21!Q22,[1]Examen22!Q22,[1]Examen23!Q22)</f>
        <v>0</v>
      </c>
      <c r="R34" s="32">
        <f t="shared" si="66"/>
        <v>-1</v>
      </c>
      <c r="S34" s="33">
        <f>MAX([1]Examen21!S22,[1]Examen22!S22,[1]Examen23!S22)</f>
        <v>0</v>
      </c>
      <c r="T34" s="32">
        <f t="shared" si="67"/>
        <v>-1</v>
      </c>
      <c r="U34" s="33">
        <f>MAX([1]Examen21!U22,[1]Examen22!U22,[1]Examen23!U22)</f>
        <v>0</v>
      </c>
      <c r="V34" s="32">
        <f t="shared" si="68"/>
        <v>-1</v>
      </c>
      <c r="W34" s="33">
        <f>MAX([1]Examen21!W22,[1]Examen22!W22,[1]Examen23!W22)</f>
        <v>0</v>
      </c>
      <c r="X34" s="32">
        <f t="shared" si="69"/>
        <v>-1</v>
      </c>
      <c r="Y34" s="33">
        <f>MAX([1]Examen21!Y22,[1]Examen22!Y22,[1]Examen23!Y22)</f>
        <v>0</v>
      </c>
      <c r="Z34" s="32">
        <f t="shared" si="70"/>
        <v>-1</v>
      </c>
      <c r="AA34" s="33">
        <f>MAX([1]Examen21!AA22,[1]Examen22!AA22,[1]Examen23!AA22)</f>
        <v>0</v>
      </c>
      <c r="AB34" s="32">
        <f t="shared" si="71"/>
        <v>-1</v>
      </c>
      <c r="AC34" s="33">
        <f>MAX([1]Examen21!AC22,[1]Examen22!AC22,[1]Examen23!AC22)</f>
        <v>0</v>
      </c>
      <c r="AD34" s="32">
        <f t="shared" si="72"/>
        <v>-1</v>
      </c>
      <c r="AE34" s="33">
        <f>MAX([1]Examen21!AE22,[1]Examen22!AE22,[1]Examen23!AE22)</f>
        <v>0</v>
      </c>
      <c r="AF34" s="32">
        <f t="shared" si="73"/>
        <v>-1</v>
      </c>
      <c r="AG34" s="33">
        <f>MAX([1]Examen21!AG22,[1]Examen22!AG22,[1]Examen23!AG22)</f>
        <v>0</v>
      </c>
      <c r="AH34" s="32">
        <f t="shared" si="74"/>
        <v>-1</v>
      </c>
      <c r="AI34" s="33">
        <f>MAX([1]Examen21!AI22,[1]Examen22!AI22,[1]Examen23!AI22)</f>
        <v>0</v>
      </c>
      <c r="AJ34" s="32">
        <f t="shared" si="75"/>
        <v>-1</v>
      </c>
      <c r="AK34" s="33">
        <f>MAX([1]Examen21!AK22,[1]Examen22!AK22,[1]Examen23!AK22)</f>
        <v>0</v>
      </c>
      <c r="AL34" s="32">
        <f t="shared" si="76"/>
        <v>-1</v>
      </c>
      <c r="AM34" s="33">
        <f>MAX([1]Examen21!AM22,[1]Examen22!AM22,[1]Examen23!AM22)</f>
        <v>0</v>
      </c>
      <c r="AN34" s="32">
        <f t="shared" si="77"/>
        <v>-1</v>
      </c>
      <c r="AO34" s="33">
        <f>MAX([1]Examen21!AO22,[1]Examen22!AO22,[1]Examen23!AO22)</f>
        <v>0</v>
      </c>
      <c r="AP34" s="32">
        <f t="shared" si="78"/>
        <v>-1</v>
      </c>
      <c r="AQ34" s="33">
        <f>MAX([1]Examen21!AQ22,[1]Examen22!AQ22,[1]Examen23!AQ22)</f>
        <v>0</v>
      </c>
      <c r="AR34" s="32">
        <f t="shared" si="79"/>
        <v>-1</v>
      </c>
      <c r="AS34" s="33">
        <f>MAX([1]Examen21!AS22,[1]Examen22!AS22,[1]Examen23!AS22)</f>
        <v>0</v>
      </c>
      <c r="AT34" s="32">
        <f t="shared" si="80"/>
        <v>-1</v>
      </c>
      <c r="AU34" s="33">
        <f>MAX([1]Examen21!AU22,[1]Examen22!AU22,[1]Examen23!AU22)</f>
        <v>0</v>
      </c>
      <c r="AV34" s="32">
        <f t="shared" si="81"/>
        <v>-1</v>
      </c>
      <c r="AW34" s="33">
        <f>MAX([1]Examen21!AW22,[1]Examen22!AW22,[1]Examen23!AW22)</f>
        <v>0</v>
      </c>
      <c r="AX34" s="32">
        <f t="shared" si="82"/>
        <v>-1</v>
      </c>
      <c r="AY34" s="33">
        <f>MAX([1]Examen21!AY22,[1]Examen22!AY22,[1]Examen23!AY22)</f>
        <v>0</v>
      </c>
      <c r="AZ34" s="32">
        <f t="shared" si="83"/>
        <v>-1</v>
      </c>
      <c r="BA34" s="33">
        <f>MAX([1]Examen21!BA22,[1]Examen22!BA22,[1]Examen23!BA22)</f>
        <v>0</v>
      </c>
      <c r="BB34" s="32">
        <f t="shared" si="84"/>
        <v>-1</v>
      </c>
      <c r="BC34" s="33">
        <f>MAX([1]Examen21!BC22,[1]Examen22!BC22,[1]Examen23!BC22)</f>
        <v>0</v>
      </c>
      <c r="BD34" s="32">
        <f t="shared" si="85"/>
        <v>-1</v>
      </c>
      <c r="BE34" s="33">
        <f>MAX([1]Examen21!BE22,[1]Examen22!BE22,[1]Examen23!BE22)</f>
        <v>0</v>
      </c>
      <c r="BF34" s="32">
        <f t="shared" si="86"/>
        <v>-1</v>
      </c>
      <c r="BG34" s="33">
        <f>MAX([1]Examen21!BG22,[1]Examen22!BG22,[1]Examen23!BG22)</f>
        <v>0</v>
      </c>
      <c r="BH34" s="32">
        <f t="shared" si="87"/>
        <v>-1</v>
      </c>
      <c r="BI34" s="33">
        <f>MAX([1]Examen21!BI22,[1]Examen22!BI22,[1]Examen23!BI22)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MAX([1]Examen21!B23,[1]Examen22!B23,[1]Examen23!B23)</f>
        <v>0</v>
      </c>
      <c r="C35" s="33">
        <f>MAX([1]Examen21!C23,[1]Examen22!C23,[1]Examen23!C23)</f>
        <v>0</v>
      </c>
      <c r="D35" s="32">
        <f t="shared" si="59"/>
        <v>-1</v>
      </c>
      <c r="E35" s="33">
        <f>MAX([1]Examen21!E23,[1]Examen22!E23,[1]Examen23!E23)</f>
        <v>0</v>
      </c>
      <c r="F35" s="32">
        <f t="shared" si="60"/>
        <v>-1</v>
      </c>
      <c r="G35" s="33">
        <f>MAX([1]Examen21!G23,[1]Examen22!G23,[1]Examen23!G23)</f>
        <v>0</v>
      </c>
      <c r="H35" s="32">
        <f t="shared" si="61"/>
        <v>-1</v>
      </c>
      <c r="I35" s="33">
        <f>MAX([1]Examen21!I23,[1]Examen22!I23,[1]Examen23!I23)</f>
        <v>0</v>
      </c>
      <c r="J35" s="32">
        <f t="shared" si="62"/>
        <v>-1</v>
      </c>
      <c r="K35" s="33">
        <f>MAX([1]Examen21!K23,[1]Examen22!K23,[1]Examen23!K23)</f>
        <v>0</v>
      </c>
      <c r="L35" s="32">
        <f t="shared" si="63"/>
        <v>-1</v>
      </c>
      <c r="M35" s="33">
        <f>MAX([1]Examen21!M23,[1]Examen22!M23,[1]Examen23!M23)</f>
        <v>0</v>
      </c>
      <c r="N35" s="32">
        <f t="shared" si="64"/>
        <v>-1</v>
      </c>
      <c r="O35" s="33">
        <f>MAX([1]Examen21!O23,[1]Examen22!O23,[1]Examen23!O23)</f>
        <v>0</v>
      </c>
      <c r="P35" s="32">
        <f t="shared" si="65"/>
        <v>-1</v>
      </c>
      <c r="Q35" s="33">
        <f>MAX([1]Examen21!Q23,[1]Examen22!Q23,[1]Examen23!Q23)</f>
        <v>0</v>
      </c>
      <c r="R35" s="32">
        <f t="shared" si="66"/>
        <v>-1</v>
      </c>
      <c r="S35" s="33">
        <f>MAX([1]Examen21!S23,[1]Examen22!S23,[1]Examen23!S23)</f>
        <v>0</v>
      </c>
      <c r="T35" s="32">
        <f t="shared" si="67"/>
        <v>-1</v>
      </c>
      <c r="U35" s="33">
        <f>MAX([1]Examen21!U23,[1]Examen22!U23,[1]Examen23!U23)</f>
        <v>0</v>
      </c>
      <c r="V35" s="32">
        <f t="shared" si="68"/>
        <v>-1</v>
      </c>
      <c r="W35" s="33">
        <f>MAX([1]Examen21!W23,[1]Examen22!W23,[1]Examen23!W23)</f>
        <v>0</v>
      </c>
      <c r="X35" s="32">
        <f t="shared" si="69"/>
        <v>-1</v>
      </c>
      <c r="Y35" s="33">
        <f>MAX([1]Examen21!Y23,[1]Examen22!Y23,[1]Examen23!Y23)</f>
        <v>0</v>
      </c>
      <c r="Z35" s="32">
        <f t="shared" si="70"/>
        <v>-1</v>
      </c>
      <c r="AA35" s="33">
        <f>MAX([1]Examen21!AA23,[1]Examen22!AA23,[1]Examen23!AA23)</f>
        <v>0</v>
      </c>
      <c r="AB35" s="32">
        <f t="shared" si="71"/>
        <v>-1</v>
      </c>
      <c r="AC35" s="33">
        <f>MAX([1]Examen21!AC23,[1]Examen22!AC23,[1]Examen23!AC23)</f>
        <v>0</v>
      </c>
      <c r="AD35" s="32">
        <f t="shared" si="72"/>
        <v>-1</v>
      </c>
      <c r="AE35" s="33">
        <f>MAX([1]Examen21!AE23,[1]Examen22!AE23,[1]Examen23!AE23)</f>
        <v>0</v>
      </c>
      <c r="AF35" s="32">
        <f t="shared" si="73"/>
        <v>-1</v>
      </c>
      <c r="AG35" s="33">
        <f>MAX([1]Examen21!AG23,[1]Examen22!AG23,[1]Examen23!AG23)</f>
        <v>0</v>
      </c>
      <c r="AH35" s="32">
        <f t="shared" si="74"/>
        <v>-1</v>
      </c>
      <c r="AI35" s="33">
        <f>MAX([1]Examen21!AI23,[1]Examen22!AI23,[1]Examen23!AI23)</f>
        <v>0</v>
      </c>
      <c r="AJ35" s="32">
        <f t="shared" si="75"/>
        <v>-1</v>
      </c>
      <c r="AK35" s="33">
        <f>MAX([1]Examen21!AK23,[1]Examen22!AK23,[1]Examen23!AK23)</f>
        <v>0</v>
      </c>
      <c r="AL35" s="32">
        <f t="shared" si="76"/>
        <v>-1</v>
      </c>
      <c r="AM35" s="33">
        <f>MAX([1]Examen21!AM23,[1]Examen22!AM23,[1]Examen23!AM23)</f>
        <v>0</v>
      </c>
      <c r="AN35" s="32">
        <f t="shared" si="77"/>
        <v>-1</v>
      </c>
      <c r="AO35" s="33">
        <f>MAX([1]Examen21!AO23,[1]Examen22!AO23,[1]Examen23!AO23)</f>
        <v>0</v>
      </c>
      <c r="AP35" s="32">
        <f t="shared" si="78"/>
        <v>-1</v>
      </c>
      <c r="AQ35" s="33">
        <f>MAX([1]Examen21!AQ23,[1]Examen22!AQ23,[1]Examen23!AQ23)</f>
        <v>0</v>
      </c>
      <c r="AR35" s="32">
        <f t="shared" si="79"/>
        <v>-1</v>
      </c>
      <c r="AS35" s="33">
        <f>MAX([1]Examen21!AS23,[1]Examen22!AS23,[1]Examen23!AS23)</f>
        <v>0</v>
      </c>
      <c r="AT35" s="32">
        <f t="shared" si="80"/>
        <v>-1</v>
      </c>
      <c r="AU35" s="33">
        <f>MAX([1]Examen21!AU23,[1]Examen22!AU23,[1]Examen23!AU23)</f>
        <v>0</v>
      </c>
      <c r="AV35" s="32">
        <f t="shared" si="81"/>
        <v>-1</v>
      </c>
      <c r="AW35" s="33">
        <f>MAX([1]Examen21!AW23,[1]Examen22!AW23,[1]Examen23!AW23)</f>
        <v>0</v>
      </c>
      <c r="AX35" s="32">
        <f t="shared" si="82"/>
        <v>-1</v>
      </c>
      <c r="AY35" s="33">
        <f>MAX([1]Examen21!AY23,[1]Examen22!AY23,[1]Examen23!AY23)</f>
        <v>0</v>
      </c>
      <c r="AZ35" s="32">
        <f t="shared" si="83"/>
        <v>-1</v>
      </c>
      <c r="BA35" s="33">
        <f>MAX([1]Examen21!BA23,[1]Examen22!BA23,[1]Examen23!BA23)</f>
        <v>0</v>
      </c>
      <c r="BB35" s="32">
        <f t="shared" si="84"/>
        <v>-1</v>
      </c>
      <c r="BC35" s="33">
        <f>MAX([1]Examen21!BC23,[1]Examen22!BC23,[1]Examen23!BC23)</f>
        <v>0</v>
      </c>
      <c r="BD35" s="32">
        <f t="shared" si="85"/>
        <v>-1</v>
      </c>
      <c r="BE35" s="33">
        <f>MAX([1]Examen21!BE23,[1]Examen22!BE23,[1]Examen23!BE23)</f>
        <v>0</v>
      </c>
      <c r="BF35" s="32">
        <f t="shared" si="86"/>
        <v>-1</v>
      </c>
      <c r="BG35" s="33">
        <f>MAX([1]Examen21!BG23,[1]Examen22!BG23,[1]Examen23!BG23)</f>
        <v>0</v>
      </c>
      <c r="BH35" s="32">
        <f t="shared" si="87"/>
        <v>-1</v>
      </c>
      <c r="BI35" s="33">
        <f>MAX([1]Examen21!BI23,[1]Examen22!BI23,[1]Examen23!BI23)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MAX([1]Examen21!B24,[1]Examen22!B24,[1]Examen23!B24)</f>
        <v>0</v>
      </c>
      <c r="C36" s="33">
        <f>MAX([1]Examen21!C24,[1]Examen22!C24,[1]Examen23!C24)</f>
        <v>0</v>
      </c>
      <c r="D36" s="32">
        <f t="shared" si="59"/>
        <v>-1</v>
      </c>
      <c r="E36" s="33">
        <f>MAX([1]Examen21!E24,[1]Examen22!E24,[1]Examen23!E24)</f>
        <v>0</v>
      </c>
      <c r="F36" s="32">
        <f t="shared" si="60"/>
        <v>-1</v>
      </c>
      <c r="G36" s="33">
        <f>MAX([1]Examen21!G24,[1]Examen22!G24,[1]Examen23!G24)</f>
        <v>0</v>
      </c>
      <c r="H36" s="32">
        <f t="shared" si="61"/>
        <v>-1</v>
      </c>
      <c r="I36" s="33">
        <f>MAX([1]Examen21!I24,[1]Examen22!I24,[1]Examen23!I24)</f>
        <v>0</v>
      </c>
      <c r="J36" s="32">
        <f t="shared" si="62"/>
        <v>-1</v>
      </c>
      <c r="K36" s="33">
        <f>MAX([1]Examen21!K24,[1]Examen22!K24,[1]Examen23!K24)</f>
        <v>0</v>
      </c>
      <c r="L36" s="32">
        <f t="shared" si="63"/>
        <v>-1</v>
      </c>
      <c r="M36" s="33">
        <f>MAX([1]Examen21!M24,[1]Examen22!M24,[1]Examen23!M24)</f>
        <v>0</v>
      </c>
      <c r="N36" s="32">
        <f t="shared" si="64"/>
        <v>-1</v>
      </c>
      <c r="O36" s="33">
        <f>MAX([1]Examen21!O24,[1]Examen22!O24,[1]Examen23!O24)</f>
        <v>0</v>
      </c>
      <c r="P36" s="32">
        <f t="shared" si="65"/>
        <v>-1</v>
      </c>
      <c r="Q36" s="33">
        <f>MAX([1]Examen21!Q24,[1]Examen22!Q24,[1]Examen23!Q24)</f>
        <v>0</v>
      </c>
      <c r="R36" s="32">
        <f t="shared" si="66"/>
        <v>-1</v>
      </c>
      <c r="S36" s="33">
        <f>MAX([1]Examen21!S24,[1]Examen22!S24,[1]Examen23!S24)</f>
        <v>0</v>
      </c>
      <c r="T36" s="32">
        <f t="shared" si="67"/>
        <v>-1</v>
      </c>
      <c r="U36" s="33">
        <f>MAX([1]Examen21!U24,[1]Examen22!U24,[1]Examen23!U24)</f>
        <v>0</v>
      </c>
      <c r="V36" s="32">
        <f t="shared" si="68"/>
        <v>-1</v>
      </c>
      <c r="W36" s="33">
        <f>MAX([1]Examen21!W24,[1]Examen22!W24,[1]Examen23!W24)</f>
        <v>0</v>
      </c>
      <c r="X36" s="32">
        <f t="shared" si="69"/>
        <v>-1</v>
      </c>
      <c r="Y36" s="33">
        <f>MAX([1]Examen21!Y24,[1]Examen22!Y24,[1]Examen23!Y24)</f>
        <v>0</v>
      </c>
      <c r="Z36" s="32">
        <f t="shared" si="70"/>
        <v>-1</v>
      </c>
      <c r="AA36" s="33">
        <f>MAX([1]Examen21!AA24,[1]Examen22!AA24,[1]Examen23!AA24)</f>
        <v>0</v>
      </c>
      <c r="AB36" s="32">
        <f t="shared" si="71"/>
        <v>-1</v>
      </c>
      <c r="AC36" s="33">
        <f>MAX([1]Examen21!AC24,[1]Examen22!AC24,[1]Examen23!AC24)</f>
        <v>0</v>
      </c>
      <c r="AD36" s="32">
        <f t="shared" si="72"/>
        <v>-1</v>
      </c>
      <c r="AE36" s="33">
        <f>MAX([1]Examen21!AE24,[1]Examen22!AE24,[1]Examen23!AE24)</f>
        <v>0</v>
      </c>
      <c r="AF36" s="32">
        <f t="shared" si="73"/>
        <v>-1</v>
      </c>
      <c r="AG36" s="33">
        <f>MAX([1]Examen21!AG24,[1]Examen22!AG24,[1]Examen23!AG24)</f>
        <v>0</v>
      </c>
      <c r="AH36" s="32">
        <f t="shared" si="74"/>
        <v>-1</v>
      </c>
      <c r="AI36" s="33">
        <f>MAX([1]Examen21!AI24,[1]Examen22!AI24,[1]Examen23!AI24)</f>
        <v>0</v>
      </c>
      <c r="AJ36" s="32">
        <f t="shared" si="75"/>
        <v>-1</v>
      </c>
      <c r="AK36" s="33">
        <f>MAX([1]Examen21!AK24,[1]Examen22!AK24,[1]Examen23!AK24)</f>
        <v>0</v>
      </c>
      <c r="AL36" s="32">
        <f t="shared" si="76"/>
        <v>-1</v>
      </c>
      <c r="AM36" s="33">
        <f>MAX([1]Examen21!AM24,[1]Examen22!AM24,[1]Examen23!AM24)</f>
        <v>0</v>
      </c>
      <c r="AN36" s="32">
        <f t="shared" si="77"/>
        <v>-1</v>
      </c>
      <c r="AO36" s="33">
        <f>MAX([1]Examen21!AO24,[1]Examen22!AO24,[1]Examen23!AO24)</f>
        <v>0</v>
      </c>
      <c r="AP36" s="32">
        <f t="shared" si="78"/>
        <v>-1</v>
      </c>
      <c r="AQ36" s="33">
        <f>MAX([1]Examen21!AQ24,[1]Examen22!AQ24,[1]Examen23!AQ24)</f>
        <v>0</v>
      </c>
      <c r="AR36" s="32">
        <f t="shared" si="79"/>
        <v>-1</v>
      </c>
      <c r="AS36" s="33">
        <f>MAX([1]Examen21!AS24,[1]Examen22!AS24,[1]Examen23!AS24)</f>
        <v>0</v>
      </c>
      <c r="AT36" s="32">
        <f t="shared" si="80"/>
        <v>-1</v>
      </c>
      <c r="AU36" s="33">
        <f>MAX([1]Examen21!AU24,[1]Examen22!AU24,[1]Examen23!AU24)</f>
        <v>0</v>
      </c>
      <c r="AV36" s="32">
        <f t="shared" si="81"/>
        <v>-1</v>
      </c>
      <c r="AW36" s="33">
        <f>MAX([1]Examen21!AW24,[1]Examen22!AW24,[1]Examen23!AW24)</f>
        <v>0</v>
      </c>
      <c r="AX36" s="32">
        <f t="shared" si="82"/>
        <v>-1</v>
      </c>
      <c r="AY36" s="33">
        <f>MAX([1]Examen21!AY24,[1]Examen22!AY24,[1]Examen23!AY24)</f>
        <v>0</v>
      </c>
      <c r="AZ36" s="32">
        <f t="shared" si="83"/>
        <v>-1</v>
      </c>
      <c r="BA36" s="33">
        <f>MAX([1]Examen21!BA24,[1]Examen22!BA24,[1]Examen23!BA24)</f>
        <v>0</v>
      </c>
      <c r="BB36" s="32">
        <f t="shared" si="84"/>
        <v>-1</v>
      </c>
      <c r="BC36" s="33">
        <f>MAX([1]Examen21!BC24,[1]Examen22!BC24,[1]Examen23!BC24)</f>
        <v>0</v>
      </c>
      <c r="BD36" s="32">
        <f t="shared" si="85"/>
        <v>-1</v>
      </c>
      <c r="BE36" s="33">
        <f>MAX([1]Examen21!BE24,[1]Examen22!BE24,[1]Examen23!BE24)</f>
        <v>0</v>
      </c>
      <c r="BF36" s="32">
        <f t="shared" si="86"/>
        <v>-1</v>
      </c>
      <c r="BG36" s="33">
        <f>MAX([1]Examen21!BG24,[1]Examen22!BG24,[1]Examen23!BG24)</f>
        <v>0</v>
      </c>
      <c r="BH36" s="32">
        <f t="shared" si="87"/>
        <v>-1</v>
      </c>
      <c r="BI36" s="33">
        <f>MAX([1]Examen21!BI24,[1]Examen22!BI24,[1]Examen23!BI24)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MAX([1]Examen21!B25,[1]Examen22!B25,[1]Examen23!B25)</f>
        <v>0</v>
      </c>
      <c r="C37" s="33">
        <f>MAX([1]Examen21!C25,[1]Examen22!C25,[1]Examen23!C25)</f>
        <v>0</v>
      </c>
      <c r="D37" s="32">
        <f t="shared" si="59"/>
        <v>-1</v>
      </c>
      <c r="E37" s="33">
        <f>MAX([1]Examen21!E25,[1]Examen22!E25,[1]Examen23!E25)</f>
        <v>0</v>
      </c>
      <c r="F37" s="32">
        <f t="shared" si="60"/>
        <v>-1</v>
      </c>
      <c r="G37" s="33">
        <f>MAX([1]Examen21!G25,[1]Examen22!G25,[1]Examen23!G25)</f>
        <v>0</v>
      </c>
      <c r="H37" s="32">
        <f t="shared" si="61"/>
        <v>-1</v>
      </c>
      <c r="I37" s="33">
        <f>MAX([1]Examen21!I25,[1]Examen22!I25,[1]Examen23!I25)</f>
        <v>0</v>
      </c>
      <c r="J37" s="32">
        <f t="shared" si="62"/>
        <v>-1</v>
      </c>
      <c r="K37" s="33">
        <f>MAX([1]Examen21!K25,[1]Examen22!K25,[1]Examen23!K25)</f>
        <v>0</v>
      </c>
      <c r="L37" s="32">
        <f t="shared" si="63"/>
        <v>-1</v>
      </c>
      <c r="M37" s="33">
        <f>MAX([1]Examen21!M25,[1]Examen22!M25,[1]Examen23!M25)</f>
        <v>0</v>
      </c>
      <c r="N37" s="32">
        <f t="shared" si="64"/>
        <v>-1</v>
      </c>
      <c r="O37" s="33">
        <f>MAX([1]Examen21!O25,[1]Examen22!O25,[1]Examen23!O25)</f>
        <v>0</v>
      </c>
      <c r="P37" s="32">
        <f t="shared" si="65"/>
        <v>-1</v>
      </c>
      <c r="Q37" s="33">
        <f>MAX([1]Examen21!Q25,[1]Examen22!Q25,[1]Examen23!Q25)</f>
        <v>0</v>
      </c>
      <c r="R37" s="32">
        <f t="shared" si="66"/>
        <v>-1</v>
      </c>
      <c r="S37" s="33">
        <f>MAX([1]Examen21!S25,[1]Examen22!S25,[1]Examen23!S25)</f>
        <v>0</v>
      </c>
      <c r="T37" s="32">
        <f t="shared" si="67"/>
        <v>-1</v>
      </c>
      <c r="U37" s="33">
        <f>MAX([1]Examen21!U25,[1]Examen22!U25,[1]Examen23!U25)</f>
        <v>0</v>
      </c>
      <c r="V37" s="32">
        <f t="shared" si="68"/>
        <v>-1</v>
      </c>
      <c r="W37" s="33">
        <f>MAX([1]Examen21!W25,[1]Examen22!W25,[1]Examen23!W25)</f>
        <v>0</v>
      </c>
      <c r="X37" s="32">
        <f t="shared" si="69"/>
        <v>-1</v>
      </c>
      <c r="Y37" s="33">
        <f>MAX([1]Examen21!Y25,[1]Examen22!Y25,[1]Examen23!Y25)</f>
        <v>0</v>
      </c>
      <c r="Z37" s="32">
        <f t="shared" si="70"/>
        <v>-1</v>
      </c>
      <c r="AA37" s="33">
        <f>MAX([1]Examen21!AA25,[1]Examen22!AA25,[1]Examen23!AA25)</f>
        <v>0</v>
      </c>
      <c r="AB37" s="32">
        <f t="shared" si="71"/>
        <v>-1</v>
      </c>
      <c r="AC37" s="33">
        <f>MAX([1]Examen21!AC25,[1]Examen22!AC25,[1]Examen23!AC25)</f>
        <v>0</v>
      </c>
      <c r="AD37" s="32">
        <f t="shared" si="72"/>
        <v>-1</v>
      </c>
      <c r="AE37" s="33">
        <f>MAX([1]Examen21!AE25,[1]Examen22!AE25,[1]Examen23!AE25)</f>
        <v>0</v>
      </c>
      <c r="AF37" s="32">
        <f t="shared" si="73"/>
        <v>-1</v>
      </c>
      <c r="AG37" s="33">
        <f>MAX([1]Examen21!AG25,[1]Examen22!AG25,[1]Examen23!AG25)</f>
        <v>0</v>
      </c>
      <c r="AH37" s="32">
        <f t="shared" si="74"/>
        <v>-1</v>
      </c>
      <c r="AI37" s="33">
        <f>MAX([1]Examen21!AI25,[1]Examen22!AI25,[1]Examen23!AI25)</f>
        <v>0</v>
      </c>
      <c r="AJ37" s="32">
        <f t="shared" si="75"/>
        <v>-1</v>
      </c>
      <c r="AK37" s="33">
        <f>MAX([1]Examen21!AK25,[1]Examen22!AK25,[1]Examen23!AK25)</f>
        <v>0</v>
      </c>
      <c r="AL37" s="32">
        <f t="shared" si="76"/>
        <v>-1</v>
      </c>
      <c r="AM37" s="33">
        <f>MAX([1]Examen21!AM25,[1]Examen22!AM25,[1]Examen23!AM25)</f>
        <v>0</v>
      </c>
      <c r="AN37" s="32">
        <f t="shared" si="77"/>
        <v>-1</v>
      </c>
      <c r="AO37" s="33">
        <f>MAX([1]Examen21!AO25,[1]Examen22!AO25,[1]Examen23!AO25)</f>
        <v>0</v>
      </c>
      <c r="AP37" s="32">
        <f t="shared" si="78"/>
        <v>-1</v>
      </c>
      <c r="AQ37" s="33">
        <f>MAX([1]Examen21!AQ25,[1]Examen22!AQ25,[1]Examen23!AQ25)</f>
        <v>0</v>
      </c>
      <c r="AR37" s="32">
        <f t="shared" si="79"/>
        <v>-1</v>
      </c>
      <c r="AS37" s="33">
        <f>MAX([1]Examen21!AS25,[1]Examen22!AS25,[1]Examen23!AS25)</f>
        <v>0</v>
      </c>
      <c r="AT37" s="32">
        <f t="shared" si="80"/>
        <v>-1</v>
      </c>
      <c r="AU37" s="33">
        <f>MAX([1]Examen21!AU25,[1]Examen22!AU25,[1]Examen23!AU25)</f>
        <v>0</v>
      </c>
      <c r="AV37" s="32">
        <f t="shared" si="81"/>
        <v>-1</v>
      </c>
      <c r="AW37" s="33">
        <f>MAX([1]Examen21!AW25,[1]Examen22!AW25,[1]Examen23!AW25)</f>
        <v>0</v>
      </c>
      <c r="AX37" s="32">
        <f t="shared" si="82"/>
        <v>-1</v>
      </c>
      <c r="AY37" s="33">
        <f>MAX([1]Examen21!AY25,[1]Examen22!AY25,[1]Examen23!AY25)</f>
        <v>0</v>
      </c>
      <c r="AZ37" s="32">
        <f t="shared" si="83"/>
        <v>-1</v>
      </c>
      <c r="BA37" s="33">
        <f>MAX([1]Examen21!BA25,[1]Examen22!BA25,[1]Examen23!BA25)</f>
        <v>0</v>
      </c>
      <c r="BB37" s="32">
        <f t="shared" si="84"/>
        <v>-1</v>
      </c>
      <c r="BC37" s="33">
        <f>MAX([1]Examen21!BC25,[1]Examen22!BC25,[1]Examen23!BC25)</f>
        <v>0</v>
      </c>
      <c r="BD37" s="32">
        <f t="shared" si="85"/>
        <v>-1</v>
      </c>
      <c r="BE37" s="33">
        <f>MAX([1]Examen21!BE25,[1]Examen22!BE25,[1]Examen23!BE25)</f>
        <v>0</v>
      </c>
      <c r="BF37" s="32">
        <f t="shared" si="86"/>
        <v>-1</v>
      </c>
      <c r="BG37" s="33">
        <f>MAX([1]Examen21!BG25,[1]Examen22!BG25,[1]Examen23!BG25)</f>
        <v>0</v>
      </c>
      <c r="BH37" s="32">
        <f t="shared" si="87"/>
        <v>-1</v>
      </c>
      <c r="BI37" s="33">
        <f>MAX([1]Examen21!BI25,[1]Examen22!BI25,[1]Examen23!BI25)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52" t="str">
        <f>IF(SUM($B39:$B58)&lt;&gt;0,SUM(C39:C58)/SUM($B39:$B58)*$B38*10, "")</f>
        <v/>
      </c>
      <c r="D38" s="52"/>
      <c r="E38" s="52" t="str">
        <f>IF(SUM($B39:$B58)&lt;&gt;0,SUM(E39:E58)/SUM($B39:$B58)*$B38*10, "")</f>
        <v/>
      </c>
      <c r="F38" s="52"/>
      <c r="G38" s="52" t="str">
        <f>IF(SUM($B39:$B58)&lt;&gt;0,SUM(G39:G58)/SUM($B39:$B58)*$B38*10, "")</f>
        <v/>
      </c>
      <c r="H38" s="52"/>
      <c r="I38" s="52" t="str">
        <f>IF(SUM($B39:$B58)&lt;&gt;0,SUM(I39:I58)/SUM($B39:$B58)*$B38*10, "")</f>
        <v/>
      </c>
      <c r="J38" s="52"/>
      <c r="K38" s="52" t="str">
        <f>IF(SUM($B39:$B58)&lt;&gt;0,SUM(K39:K58)/SUM($B39:$B58)*$B38*10, "")</f>
        <v/>
      </c>
      <c r="L38" s="52"/>
      <c r="M38" s="52" t="str">
        <f>IF(SUM($B39:$B58)&lt;&gt;0,SUM(M39:M58)/SUM($B39:$B58)*$B38*10, "")</f>
        <v/>
      </c>
      <c r="N38" s="52"/>
      <c r="O38" s="52" t="str">
        <f>IF(SUM($B39:$B58)&lt;&gt;0,SUM(O39:O58)/SUM($B39:$B58)*$B38*10, "")</f>
        <v/>
      </c>
      <c r="P38" s="52"/>
      <c r="Q38" s="52" t="str">
        <f>IF(SUM($B39:$B58)&lt;&gt;0,SUM(Q39:Q58)/SUM($B39:$B58)*$B38*10, "")</f>
        <v/>
      </c>
      <c r="R38" s="52"/>
      <c r="S38" s="52" t="str">
        <f>IF(SUM($B39:$B58)&lt;&gt;0,SUM(S39:S58)/SUM($B39:$B58)*$B38*10, "")</f>
        <v/>
      </c>
      <c r="T38" s="52"/>
      <c r="U38" s="52" t="str">
        <f>IF(SUM($B39:$B58)&lt;&gt;0,SUM(U39:U58)/SUM($B39:$B58)*$B38*10, "")</f>
        <v/>
      </c>
      <c r="V38" s="52"/>
      <c r="W38" s="52" t="str">
        <f>IF(SUM($B39:$B58)&lt;&gt;0,SUM(W39:W58)/SUM($B39:$B58)*$B38*10, "")</f>
        <v/>
      </c>
      <c r="X38" s="52"/>
      <c r="Y38" s="52" t="str">
        <f>IF(SUM($B39:$B58)&lt;&gt;0,SUM(Y39:Y58)/SUM($B39:$B58)*$B38*10, "")</f>
        <v/>
      </c>
      <c r="Z38" s="52"/>
      <c r="AA38" s="52" t="str">
        <f>IF(SUM($B39:$B58)&lt;&gt;0,SUM(AA39:AA58)/SUM($B39:$B58)*$B38*10, "")</f>
        <v/>
      </c>
      <c r="AB38" s="52"/>
      <c r="AC38" s="52" t="str">
        <f>IF(SUM($B39:$B58)&lt;&gt;0,SUM(AC39:AC58)/SUM($B39:$B58)*$B38*10, "")</f>
        <v/>
      </c>
      <c r="AD38" s="52"/>
      <c r="AE38" s="52" t="str">
        <f>IF(SUM($B39:$B58)&lt;&gt;0,SUM(AE39:AE58)/SUM($B39:$B58)*$B38*10, "")</f>
        <v/>
      </c>
      <c r="AF38" s="52"/>
      <c r="AG38" s="52" t="str">
        <f>IF(SUM($B39:$B58)&lt;&gt;0,SUM(AG39:AG58)/SUM($B39:$B58)*$B38*10, "")</f>
        <v/>
      </c>
      <c r="AH38" s="52"/>
      <c r="AI38" s="52" t="str">
        <f>IF(SUM($B39:$B58)&lt;&gt;0,SUM(AI39:AI58)/SUM($B39:$B58)*$B38*10, "")</f>
        <v/>
      </c>
      <c r="AJ38" s="52"/>
      <c r="AK38" s="52" t="str">
        <f>IF(SUM($B39:$B58)&lt;&gt;0,SUM(AK39:AK58)/SUM($B39:$B58)*$B38*10, "")</f>
        <v/>
      </c>
      <c r="AL38" s="52"/>
      <c r="AM38" s="52" t="str">
        <f>IF(SUM($B39:$B58)&lt;&gt;0,SUM(AM39:AM58)/SUM($B39:$B58)*$B38*10, "")</f>
        <v/>
      </c>
      <c r="AN38" s="52"/>
      <c r="AO38" s="52" t="str">
        <f>IF(SUM($B39:$B58)&lt;&gt;0,SUM(AO39:AO58)/SUM($B39:$B58)*$B38*10, "")</f>
        <v/>
      </c>
      <c r="AP38" s="52"/>
      <c r="AQ38" s="52" t="str">
        <f>IF(SUM($B39:$B58)&lt;&gt;0,SUM(AQ39:AQ58)/SUM($B39:$B58)*$B38*10, "")</f>
        <v/>
      </c>
      <c r="AR38" s="52"/>
      <c r="AS38" s="52" t="str">
        <f>IF(SUM($B39:$B58)&lt;&gt;0,SUM(AS39:AS58)/SUM($B39:$B58)*$B38*10, "")</f>
        <v/>
      </c>
      <c r="AT38" s="52"/>
      <c r="AU38" s="52" t="str">
        <f>IF(SUM($B39:$B58)&lt;&gt;0,SUM(AU39:AU58)/SUM($B39:$B58)*$B38*10, "")</f>
        <v/>
      </c>
      <c r="AV38" s="52"/>
      <c r="AW38" s="52" t="str">
        <f>IF(SUM($B39:$B58)&lt;&gt;0,SUM(AW39:AW58)/SUM($B39:$B58)*$B38*10, "")</f>
        <v/>
      </c>
      <c r="AX38" s="52"/>
      <c r="AY38" s="52" t="str">
        <f>IF(SUM($B39:$B58)&lt;&gt;0,SUM(AY39:AY58)/SUM($B39:$B58)*$B38*10, "")</f>
        <v/>
      </c>
      <c r="AZ38" s="52"/>
      <c r="BA38" s="52" t="str">
        <f>IF(SUM($B39:$B58)&lt;&gt;0,SUM(BA39:BA58)/SUM($B39:$B58)*$B38*10, "")</f>
        <v/>
      </c>
      <c r="BB38" s="52"/>
      <c r="BC38" s="52" t="str">
        <f>IF(SUM($B39:$B58)&lt;&gt;0,SUM(BC39:BC58)/SUM($B39:$B58)*$B38*10, "")</f>
        <v/>
      </c>
      <c r="BD38" s="52"/>
      <c r="BE38" s="52" t="str">
        <f>IF(SUM($B39:$B58)&lt;&gt;0,SUM(BE39:BE58)/SUM($B39:$B58)*$B38*10, "")</f>
        <v/>
      </c>
      <c r="BF38" s="52"/>
      <c r="BG38" s="52" t="str">
        <f>IF(SUM($B39:$B58)&lt;&gt;0,SUM(BG39:BG58)/SUM($B39:$B58)*$B38*10, "")</f>
        <v/>
      </c>
      <c r="BH38" s="52"/>
      <c r="BI38" s="52" t="str">
        <f>IF(SUM($B39:$B58)&lt;&gt;0,SUM(BI39:BI58)/SUM($B39:$B58)*$B38*10, "")</f>
        <v/>
      </c>
      <c r="BJ38" s="52"/>
    </row>
    <row r="39" spans="1:62" ht="28" x14ac:dyDescent="0.2">
      <c r="A39" s="2" t="s">
        <v>39</v>
      </c>
      <c r="B39" s="13">
        <f>MAX([1]Examen21!B27,[1]Examen22!B27,[1]Examen23!B27)</f>
        <v>0</v>
      </c>
      <c r="C39" s="33">
        <f>MAX([1]Examen21!C27,[1]Examen22!C27,[1]Examen23!C27)</f>
        <v>0</v>
      </c>
      <c r="D39" s="32">
        <f t="shared" ref="D39:D58" si="89">IF($B39,C39/$B39,-1)</f>
        <v>-1</v>
      </c>
      <c r="E39" s="33">
        <f>MAX([1]Examen21!E27,[1]Examen22!E27,[1]Examen23!E27)</f>
        <v>0</v>
      </c>
      <c r="F39" s="32">
        <f t="shared" ref="F39:F58" si="90">IF($B39,E39/$B39,-1)</f>
        <v>-1</v>
      </c>
      <c r="G39" s="33">
        <f>MAX([1]Examen21!G27,[1]Examen22!G27,[1]Examen23!G27)</f>
        <v>0</v>
      </c>
      <c r="H39" s="32">
        <f t="shared" ref="H39:H58" si="91">IF($B39,G39/$B39,-1)</f>
        <v>-1</v>
      </c>
      <c r="I39" s="33">
        <f>MAX([1]Examen21!I27,[1]Examen22!I27,[1]Examen23!I27)</f>
        <v>0</v>
      </c>
      <c r="J39" s="32">
        <f t="shared" ref="J39:J58" si="92">IF($B39,I39/$B39,-1)</f>
        <v>-1</v>
      </c>
      <c r="K39" s="33">
        <f>MAX([1]Examen21!K27,[1]Examen22!K27,[1]Examen23!K27)</f>
        <v>0</v>
      </c>
      <c r="L39" s="32">
        <f t="shared" ref="L39:L58" si="93">IF($B39,K39/$B39,-1)</f>
        <v>-1</v>
      </c>
      <c r="M39" s="33">
        <f>MAX([1]Examen21!M27,[1]Examen22!M27,[1]Examen23!M27)</f>
        <v>0</v>
      </c>
      <c r="N39" s="32">
        <f t="shared" ref="N39:N58" si="94">IF($B39,M39/$B39,-1)</f>
        <v>-1</v>
      </c>
      <c r="O39" s="33">
        <f>MAX([1]Examen21!O27,[1]Examen22!O27,[1]Examen23!O27)</f>
        <v>0</v>
      </c>
      <c r="P39" s="32">
        <f t="shared" ref="P39:P58" si="95">IF($B39,O39/$B39,-1)</f>
        <v>-1</v>
      </c>
      <c r="Q39" s="33">
        <f>MAX([1]Examen21!Q27,[1]Examen22!Q27,[1]Examen23!Q27)</f>
        <v>0</v>
      </c>
      <c r="R39" s="32">
        <f t="shared" ref="R39:R58" si="96">IF($B39,Q39/$B39,-1)</f>
        <v>-1</v>
      </c>
      <c r="S39" s="33">
        <f>MAX([1]Examen21!S27,[1]Examen22!S27,[1]Examen23!S27)</f>
        <v>0</v>
      </c>
      <c r="T39" s="32">
        <f t="shared" ref="T39:T58" si="97">IF($B39,S39/$B39,-1)</f>
        <v>-1</v>
      </c>
      <c r="U39" s="33">
        <f>MAX([1]Examen21!U27,[1]Examen22!U27,[1]Examen23!U27)</f>
        <v>0</v>
      </c>
      <c r="V39" s="32">
        <f t="shared" ref="V39:V58" si="98">IF($B39,U39/$B39,-1)</f>
        <v>-1</v>
      </c>
      <c r="W39" s="33">
        <f>MAX([1]Examen21!W27,[1]Examen22!W27,[1]Examen23!W27)</f>
        <v>0</v>
      </c>
      <c r="X39" s="32">
        <f t="shared" ref="X39:X58" si="99">IF($B39,W39/$B39,-1)</f>
        <v>-1</v>
      </c>
      <c r="Y39" s="33">
        <f>MAX([1]Examen21!Y27,[1]Examen22!Y27,[1]Examen23!Y27)</f>
        <v>0</v>
      </c>
      <c r="Z39" s="32">
        <f t="shared" ref="Z39:Z58" si="100">IF($B39,Y39/$B39,-1)</f>
        <v>-1</v>
      </c>
      <c r="AA39" s="33">
        <f>MAX([1]Examen21!AA27,[1]Examen22!AA27,[1]Examen23!AA27)</f>
        <v>0</v>
      </c>
      <c r="AB39" s="32">
        <f t="shared" ref="AB39:AB58" si="101">IF($B39,AA39/$B39,-1)</f>
        <v>-1</v>
      </c>
      <c r="AC39" s="33">
        <f>MAX([1]Examen21!AC27,[1]Examen22!AC27,[1]Examen23!AC27)</f>
        <v>0</v>
      </c>
      <c r="AD39" s="32">
        <f t="shared" ref="AD39:AD58" si="102">IF($B39,AC39/$B39,-1)</f>
        <v>-1</v>
      </c>
      <c r="AE39" s="33">
        <f>MAX([1]Examen21!AE27,[1]Examen22!AE27,[1]Examen23!AE27)</f>
        <v>0</v>
      </c>
      <c r="AF39" s="32">
        <f t="shared" ref="AF39:AF58" si="103">IF($B39,AE39/$B39,-1)</f>
        <v>-1</v>
      </c>
      <c r="AG39" s="33">
        <f>MAX([1]Examen21!AG27,[1]Examen22!AG27,[1]Examen23!AG27)</f>
        <v>0</v>
      </c>
      <c r="AH39" s="32">
        <f t="shared" ref="AH39:AH58" si="104">IF($B39,AG39/$B39,-1)</f>
        <v>-1</v>
      </c>
      <c r="AI39" s="33">
        <f>MAX([1]Examen21!AI27,[1]Examen22!AI27,[1]Examen23!AI27)</f>
        <v>0</v>
      </c>
      <c r="AJ39" s="32">
        <f t="shared" ref="AJ39:AJ58" si="105">IF($B39,AI39/$B39,-1)</f>
        <v>-1</v>
      </c>
      <c r="AK39" s="33">
        <f>MAX([1]Examen21!AK27,[1]Examen22!AK27,[1]Examen23!AK27)</f>
        <v>0</v>
      </c>
      <c r="AL39" s="32">
        <f t="shared" ref="AL39:AL58" si="106">IF($B39,AK39/$B39,-1)</f>
        <v>-1</v>
      </c>
      <c r="AM39" s="33">
        <f>MAX([1]Examen21!AM27,[1]Examen22!AM27,[1]Examen23!AM27)</f>
        <v>0</v>
      </c>
      <c r="AN39" s="32">
        <f t="shared" ref="AN39:AN58" si="107">IF($B39,AM39/$B39,-1)</f>
        <v>-1</v>
      </c>
      <c r="AO39" s="33">
        <f>MAX([1]Examen21!AO27,[1]Examen22!AO27,[1]Examen23!AO27)</f>
        <v>0</v>
      </c>
      <c r="AP39" s="32">
        <f t="shared" ref="AP39:AP58" si="108">IF($B39,AO39/$B39,-1)</f>
        <v>-1</v>
      </c>
      <c r="AQ39" s="33">
        <f>MAX([1]Examen21!AQ27,[1]Examen22!AQ27,[1]Examen23!AQ27)</f>
        <v>0</v>
      </c>
      <c r="AR39" s="32">
        <f t="shared" ref="AR39:AR58" si="109">IF($B39,AQ39/$B39,-1)</f>
        <v>-1</v>
      </c>
      <c r="AS39" s="33">
        <f>MAX([1]Examen21!AS27,[1]Examen22!AS27,[1]Examen23!AS27)</f>
        <v>0</v>
      </c>
      <c r="AT39" s="32">
        <f t="shared" ref="AT39:AT58" si="110">IF($B39,AS39/$B39,-1)</f>
        <v>-1</v>
      </c>
      <c r="AU39" s="33">
        <f>MAX([1]Examen21!AU27,[1]Examen22!AU27,[1]Examen23!AU27)</f>
        <v>0</v>
      </c>
      <c r="AV39" s="32">
        <f t="shared" ref="AV39:AV58" si="111">IF($B39,AU39/$B39,-1)</f>
        <v>-1</v>
      </c>
      <c r="AW39" s="33">
        <f>MAX([1]Examen21!AW27,[1]Examen22!AW27,[1]Examen23!AW27)</f>
        <v>0</v>
      </c>
      <c r="AX39" s="32">
        <f t="shared" ref="AX39:AX58" si="112">IF($B39,AW39/$B39,-1)</f>
        <v>-1</v>
      </c>
      <c r="AY39" s="33">
        <f>MAX([1]Examen21!AY27,[1]Examen22!AY27,[1]Examen23!AY27)</f>
        <v>0</v>
      </c>
      <c r="AZ39" s="32">
        <f t="shared" ref="AZ39:AZ58" si="113">IF($B39,AY39/$B39,-1)</f>
        <v>-1</v>
      </c>
      <c r="BA39" s="33">
        <f>MAX([1]Examen21!BA27,[1]Examen22!BA27,[1]Examen23!BA27)</f>
        <v>0</v>
      </c>
      <c r="BB39" s="32">
        <f t="shared" ref="BB39:BB58" si="114">IF($B39,BA39/$B39,-1)</f>
        <v>-1</v>
      </c>
      <c r="BC39" s="33">
        <f>MAX([1]Examen21!BC27,[1]Examen22!BC27,[1]Examen23!BC27)</f>
        <v>0</v>
      </c>
      <c r="BD39" s="32">
        <f t="shared" ref="BD39:BD58" si="115">IF($B39,BC39/$B39,-1)</f>
        <v>-1</v>
      </c>
      <c r="BE39" s="33">
        <f>MAX([1]Examen21!BE27,[1]Examen22!BE27,[1]Examen23!BE27)</f>
        <v>0</v>
      </c>
      <c r="BF39" s="32">
        <f t="shared" ref="BF39:BF58" si="116">IF($B39,BE39/$B39,-1)</f>
        <v>-1</v>
      </c>
      <c r="BG39" s="33">
        <f>MAX([1]Examen21!BG27,[1]Examen22!BG27,[1]Examen23!BG27)</f>
        <v>0</v>
      </c>
      <c r="BH39" s="32">
        <f t="shared" ref="BH39:BH58" si="117">IF($B39,BG39/$B39,-1)</f>
        <v>-1</v>
      </c>
      <c r="BI39" s="33">
        <f>MAX([1]Examen21!BI27,[1]Examen22!BI27,[1]Examen23!BI27)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MAX([1]Examen21!B28,[1]Examen22!B28,[1]Examen23!B28)</f>
        <v>0</v>
      </c>
      <c r="C40" s="33">
        <f>MAX([1]Examen21!C28,[1]Examen22!C28,[1]Examen23!C28)</f>
        <v>0</v>
      </c>
      <c r="D40" s="32">
        <f t="shared" si="89"/>
        <v>-1</v>
      </c>
      <c r="E40" s="33">
        <f>MAX([1]Examen21!E28,[1]Examen22!E28,[1]Examen23!E28)</f>
        <v>0</v>
      </c>
      <c r="F40" s="32">
        <f t="shared" si="90"/>
        <v>-1</v>
      </c>
      <c r="G40" s="33">
        <f>MAX([1]Examen21!G28,[1]Examen22!G28,[1]Examen23!G28)</f>
        <v>0</v>
      </c>
      <c r="H40" s="32">
        <f t="shared" si="91"/>
        <v>-1</v>
      </c>
      <c r="I40" s="33">
        <f>MAX([1]Examen21!I28,[1]Examen22!I28,[1]Examen23!I28)</f>
        <v>0</v>
      </c>
      <c r="J40" s="32">
        <f t="shared" si="92"/>
        <v>-1</v>
      </c>
      <c r="K40" s="33">
        <f>MAX([1]Examen21!K28,[1]Examen22!K28,[1]Examen23!K28)</f>
        <v>0</v>
      </c>
      <c r="L40" s="32">
        <f t="shared" si="93"/>
        <v>-1</v>
      </c>
      <c r="M40" s="33">
        <f>MAX([1]Examen21!M28,[1]Examen22!M28,[1]Examen23!M28)</f>
        <v>0</v>
      </c>
      <c r="N40" s="32">
        <f t="shared" si="94"/>
        <v>-1</v>
      </c>
      <c r="O40" s="33">
        <f>MAX([1]Examen21!O28,[1]Examen22!O28,[1]Examen23!O28)</f>
        <v>0</v>
      </c>
      <c r="P40" s="32">
        <f t="shared" si="95"/>
        <v>-1</v>
      </c>
      <c r="Q40" s="33">
        <f>MAX([1]Examen21!Q28,[1]Examen22!Q28,[1]Examen23!Q28)</f>
        <v>0</v>
      </c>
      <c r="R40" s="32">
        <f t="shared" si="96"/>
        <v>-1</v>
      </c>
      <c r="S40" s="33">
        <f>MAX([1]Examen21!S28,[1]Examen22!S28,[1]Examen23!S28)</f>
        <v>0</v>
      </c>
      <c r="T40" s="32">
        <f t="shared" si="97"/>
        <v>-1</v>
      </c>
      <c r="U40" s="33">
        <f>MAX([1]Examen21!U28,[1]Examen22!U28,[1]Examen23!U28)</f>
        <v>0</v>
      </c>
      <c r="V40" s="32">
        <f t="shared" si="98"/>
        <v>-1</v>
      </c>
      <c r="W40" s="33">
        <f>MAX([1]Examen21!W28,[1]Examen22!W28,[1]Examen23!W28)</f>
        <v>0</v>
      </c>
      <c r="X40" s="32">
        <f t="shared" si="99"/>
        <v>-1</v>
      </c>
      <c r="Y40" s="33">
        <f>MAX([1]Examen21!Y28,[1]Examen22!Y28,[1]Examen23!Y28)</f>
        <v>0</v>
      </c>
      <c r="Z40" s="32">
        <f t="shared" si="100"/>
        <v>-1</v>
      </c>
      <c r="AA40" s="33">
        <f>MAX([1]Examen21!AA28,[1]Examen22!AA28,[1]Examen23!AA28)</f>
        <v>0</v>
      </c>
      <c r="AB40" s="32">
        <f t="shared" si="101"/>
        <v>-1</v>
      </c>
      <c r="AC40" s="33">
        <f>MAX([1]Examen21!AC28,[1]Examen22!AC28,[1]Examen23!AC28)</f>
        <v>0</v>
      </c>
      <c r="AD40" s="32">
        <f t="shared" si="102"/>
        <v>-1</v>
      </c>
      <c r="AE40" s="33">
        <f>MAX([1]Examen21!AE28,[1]Examen22!AE28,[1]Examen23!AE28)</f>
        <v>0</v>
      </c>
      <c r="AF40" s="32">
        <f t="shared" si="103"/>
        <v>-1</v>
      </c>
      <c r="AG40" s="33">
        <f>MAX([1]Examen21!AG28,[1]Examen22!AG28,[1]Examen23!AG28)</f>
        <v>0</v>
      </c>
      <c r="AH40" s="32">
        <f t="shared" si="104"/>
        <v>-1</v>
      </c>
      <c r="AI40" s="33">
        <f>MAX([1]Examen21!AI28,[1]Examen22!AI28,[1]Examen23!AI28)</f>
        <v>0</v>
      </c>
      <c r="AJ40" s="32">
        <f t="shared" si="105"/>
        <v>-1</v>
      </c>
      <c r="AK40" s="33">
        <f>MAX([1]Examen21!AK28,[1]Examen22!AK28,[1]Examen23!AK28)</f>
        <v>0</v>
      </c>
      <c r="AL40" s="32">
        <f t="shared" si="106"/>
        <v>-1</v>
      </c>
      <c r="AM40" s="33">
        <f>MAX([1]Examen21!AM28,[1]Examen22!AM28,[1]Examen23!AM28)</f>
        <v>0</v>
      </c>
      <c r="AN40" s="32">
        <f t="shared" si="107"/>
        <v>-1</v>
      </c>
      <c r="AO40" s="33">
        <f>MAX([1]Examen21!AO28,[1]Examen22!AO28,[1]Examen23!AO28)</f>
        <v>0</v>
      </c>
      <c r="AP40" s="32">
        <f t="shared" si="108"/>
        <v>-1</v>
      </c>
      <c r="AQ40" s="33">
        <f>MAX([1]Examen21!AQ28,[1]Examen22!AQ28,[1]Examen23!AQ28)</f>
        <v>0</v>
      </c>
      <c r="AR40" s="32">
        <f t="shared" si="109"/>
        <v>-1</v>
      </c>
      <c r="AS40" s="33">
        <f>MAX([1]Examen21!AS28,[1]Examen22!AS28,[1]Examen23!AS28)</f>
        <v>0</v>
      </c>
      <c r="AT40" s="32">
        <f t="shared" si="110"/>
        <v>-1</v>
      </c>
      <c r="AU40" s="33">
        <f>MAX([1]Examen21!AU28,[1]Examen22!AU28,[1]Examen23!AU28)</f>
        <v>0</v>
      </c>
      <c r="AV40" s="32">
        <f t="shared" si="111"/>
        <v>-1</v>
      </c>
      <c r="AW40" s="33">
        <f>MAX([1]Examen21!AW28,[1]Examen22!AW28,[1]Examen23!AW28)</f>
        <v>0</v>
      </c>
      <c r="AX40" s="32">
        <f t="shared" si="112"/>
        <v>-1</v>
      </c>
      <c r="AY40" s="33">
        <f>MAX([1]Examen21!AY28,[1]Examen22!AY28,[1]Examen23!AY28)</f>
        <v>0</v>
      </c>
      <c r="AZ40" s="32">
        <f t="shared" si="113"/>
        <v>-1</v>
      </c>
      <c r="BA40" s="33">
        <f>MAX([1]Examen21!BA28,[1]Examen22!BA28,[1]Examen23!BA28)</f>
        <v>0</v>
      </c>
      <c r="BB40" s="32">
        <f t="shared" si="114"/>
        <v>-1</v>
      </c>
      <c r="BC40" s="33">
        <f>MAX([1]Examen21!BC28,[1]Examen22!BC28,[1]Examen23!BC28)</f>
        <v>0</v>
      </c>
      <c r="BD40" s="32">
        <f t="shared" si="115"/>
        <v>-1</v>
      </c>
      <c r="BE40" s="33">
        <f>MAX([1]Examen21!BE28,[1]Examen22!BE28,[1]Examen23!BE28)</f>
        <v>0</v>
      </c>
      <c r="BF40" s="32">
        <f t="shared" si="116"/>
        <v>-1</v>
      </c>
      <c r="BG40" s="33">
        <f>MAX([1]Examen21!BG28,[1]Examen22!BG28,[1]Examen23!BG28)</f>
        <v>0</v>
      </c>
      <c r="BH40" s="32">
        <f t="shared" si="117"/>
        <v>-1</v>
      </c>
      <c r="BI40" s="33">
        <f>MAX([1]Examen21!BI28,[1]Examen22!BI28,[1]Examen23!BI28)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MAX([1]Examen21!B29,[1]Examen22!B29,[1]Examen23!B29)</f>
        <v>0</v>
      </c>
      <c r="C41" s="33">
        <f>MAX([1]Examen21!C29,[1]Examen22!C29,[1]Examen23!C29)</f>
        <v>0</v>
      </c>
      <c r="D41" s="32">
        <f t="shared" si="89"/>
        <v>-1</v>
      </c>
      <c r="E41" s="33">
        <f>MAX([1]Examen21!E29,[1]Examen22!E29,[1]Examen23!E29)</f>
        <v>0</v>
      </c>
      <c r="F41" s="32">
        <f t="shared" si="90"/>
        <v>-1</v>
      </c>
      <c r="G41" s="33">
        <f>MAX([1]Examen21!G29,[1]Examen22!G29,[1]Examen23!G29)</f>
        <v>0</v>
      </c>
      <c r="H41" s="32">
        <f t="shared" si="91"/>
        <v>-1</v>
      </c>
      <c r="I41" s="33">
        <f>MAX([1]Examen21!I29,[1]Examen22!I29,[1]Examen23!I29)</f>
        <v>0</v>
      </c>
      <c r="J41" s="32">
        <f t="shared" si="92"/>
        <v>-1</v>
      </c>
      <c r="K41" s="33">
        <f>MAX([1]Examen21!K29,[1]Examen22!K29,[1]Examen23!K29)</f>
        <v>0</v>
      </c>
      <c r="L41" s="32">
        <f t="shared" si="93"/>
        <v>-1</v>
      </c>
      <c r="M41" s="33">
        <f>MAX([1]Examen21!M29,[1]Examen22!M29,[1]Examen23!M29)</f>
        <v>0</v>
      </c>
      <c r="N41" s="32">
        <f t="shared" si="94"/>
        <v>-1</v>
      </c>
      <c r="O41" s="33">
        <f>MAX([1]Examen21!O29,[1]Examen22!O29,[1]Examen23!O29)</f>
        <v>0</v>
      </c>
      <c r="P41" s="32">
        <f t="shared" si="95"/>
        <v>-1</v>
      </c>
      <c r="Q41" s="33">
        <f>MAX([1]Examen21!Q29,[1]Examen22!Q29,[1]Examen23!Q29)</f>
        <v>0</v>
      </c>
      <c r="R41" s="32">
        <f t="shared" si="96"/>
        <v>-1</v>
      </c>
      <c r="S41" s="33">
        <f>MAX([1]Examen21!S29,[1]Examen22!S29,[1]Examen23!S29)</f>
        <v>0</v>
      </c>
      <c r="T41" s="32">
        <f t="shared" si="97"/>
        <v>-1</v>
      </c>
      <c r="U41" s="33">
        <f>MAX([1]Examen21!U29,[1]Examen22!U29,[1]Examen23!U29)</f>
        <v>0</v>
      </c>
      <c r="V41" s="32">
        <f t="shared" si="98"/>
        <v>-1</v>
      </c>
      <c r="W41" s="33">
        <f>MAX([1]Examen21!W29,[1]Examen22!W29,[1]Examen23!W29)</f>
        <v>0</v>
      </c>
      <c r="X41" s="32">
        <f t="shared" si="99"/>
        <v>-1</v>
      </c>
      <c r="Y41" s="33">
        <f>MAX([1]Examen21!Y29,[1]Examen22!Y29,[1]Examen23!Y29)</f>
        <v>0</v>
      </c>
      <c r="Z41" s="32">
        <f t="shared" si="100"/>
        <v>-1</v>
      </c>
      <c r="AA41" s="33">
        <f>MAX([1]Examen21!AA29,[1]Examen22!AA29,[1]Examen23!AA29)</f>
        <v>0</v>
      </c>
      <c r="AB41" s="32">
        <f t="shared" si="101"/>
        <v>-1</v>
      </c>
      <c r="AC41" s="33">
        <f>MAX([1]Examen21!AC29,[1]Examen22!AC29,[1]Examen23!AC29)</f>
        <v>0</v>
      </c>
      <c r="AD41" s="32">
        <f t="shared" si="102"/>
        <v>-1</v>
      </c>
      <c r="AE41" s="33">
        <f>MAX([1]Examen21!AE29,[1]Examen22!AE29,[1]Examen23!AE29)</f>
        <v>0</v>
      </c>
      <c r="AF41" s="32">
        <f t="shared" si="103"/>
        <v>-1</v>
      </c>
      <c r="AG41" s="33">
        <f>MAX([1]Examen21!AG29,[1]Examen22!AG29,[1]Examen23!AG29)</f>
        <v>0</v>
      </c>
      <c r="AH41" s="32">
        <f t="shared" si="104"/>
        <v>-1</v>
      </c>
      <c r="AI41" s="33">
        <f>MAX([1]Examen21!AI29,[1]Examen22!AI29,[1]Examen23!AI29)</f>
        <v>0</v>
      </c>
      <c r="AJ41" s="32">
        <f t="shared" si="105"/>
        <v>-1</v>
      </c>
      <c r="AK41" s="33">
        <f>MAX([1]Examen21!AK29,[1]Examen22!AK29,[1]Examen23!AK29)</f>
        <v>0</v>
      </c>
      <c r="AL41" s="32">
        <f t="shared" si="106"/>
        <v>-1</v>
      </c>
      <c r="AM41" s="33">
        <f>MAX([1]Examen21!AM29,[1]Examen22!AM29,[1]Examen23!AM29)</f>
        <v>0</v>
      </c>
      <c r="AN41" s="32">
        <f t="shared" si="107"/>
        <v>-1</v>
      </c>
      <c r="AO41" s="33">
        <f>MAX([1]Examen21!AO29,[1]Examen22!AO29,[1]Examen23!AO29)</f>
        <v>0</v>
      </c>
      <c r="AP41" s="32">
        <f t="shared" si="108"/>
        <v>-1</v>
      </c>
      <c r="AQ41" s="33">
        <f>MAX([1]Examen21!AQ29,[1]Examen22!AQ29,[1]Examen23!AQ29)</f>
        <v>0</v>
      </c>
      <c r="AR41" s="32">
        <f t="shared" si="109"/>
        <v>-1</v>
      </c>
      <c r="AS41" s="33">
        <f>MAX([1]Examen21!AS29,[1]Examen22!AS29,[1]Examen23!AS29)</f>
        <v>0</v>
      </c>
      <c r="AT41" s="32">
        <f t="shared" si="110"/>
        <v>-1</v>
      </c>
      <c r="AU41" s="33">
        <f>MAX([1]Examen21!AU29,[1]Examen22!AU29,[1]Examen23!AU29)</f>
        <v>0</v>
      </c>
      <c r="AV41" s="32">
        <f t="shared" si="111"/>
        <v>-1</v>
      </c>
      <c r="AW41" s="33">
        <f>MAX([1]Examen21!AW29,[1]Examen22!AW29,[1]Examen23!AW29)</f>
        <v>0</v>
      </c>
      <c r="AX41" s="32">
        <f t="shared" si="112"/>
        <v>-1</v>
      </c>
      <c r="AY41" s="33">
        <f>MAX([1]Examen21!AY29,[1]Examen22!AY29,[1]Examen23!AY29)</f>
        <v>0</v>
      </c>
      <c r="AZ41" s="32">
        <f t="shared" si="113"/>
        <v>-1</v>
      </c>
      <c r="BA41" s="33">
        <f>MAX([1]Examen21!BA29,[1]Examen22!BA29,[1]Examen23!BA29)</f>
        <v>0</v>
      </c>
      <c r="BB41" s="32">
        <f t="shared" si="114"/>
        <v>-1</v>
      </c>
      <c r="BC41" s="33">
        <f>MAX([1]Examen21!BC29,[1]Examen22!BC29,[1]Examen23!BC29)</f>
        <v>0</v>
      </c>
      <c r="BD41" s="32">
        <f t="shared" si="115"/>
        <v>-1</v>
      </c>
      <c r="BE41" s="33">
        <f>MAX([1]Examen21!BE29,[1]Examen22!BE29,[1]Examen23!BE29)</f>
        <v>0</v>
      </c>
      <c r="BF41" s="32">
        <f t="shared" si="116"/>
        <v>-1</v>
      </c>
      <c r="BG41" s="33">
        <f>MAX([1]Examen21!BG29,[1]Examen22!BG29,[1]Examen23!BG29)</f>
        <v>0</v>
      </c>
      <c r="BH41" s="32">
        <f t="shared" si="117"/>
        <v>-1</v>
      </c>
      <c r="BI41" s="33">
        <f>MAX([1]Examen21!BI29,[1]Examen22!BI29,[1]Examen23!BI29)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MAX([1]Examen21!B30,[1]Examen22!B30,[1]Examen23!B30)</f>
        <v>0</v>
      </c>
      <c r="C42" s="33">
        <f>MAX([1]Examen21!C30,[1]Examen22!C30,[1]Examen23!C30)</f>
        <v>0</v>
      </c>
      <c r="D42" s="32">
        <f t="shared" si="89"/>
        <v>-1</v>
      </c>
      <c r="E42" s="33">
        <f>MAX([1]Examen21!E30,[1]Examen22!E30,[1]Examen23!E30)</f>
        <v>0</v>
      </c>
      <c r="F42" s="32">
        <f t="shared" si="90"/>
        <v>-1</v>
      </c>
      <c r="G42" s="33">
        <f>MAX([1]Examen21!G30,[1]Examen22!G30,[1]Examen23!G30)</f>
        <v>0</v>
      </c>
      <c r="H42" s="32">
        <f t="shared" si="91"/>
        <v>-1</v>
      </c>
      <c r="I42" s="33">
        <f>MAX([1]Examen21!I30,[1]Examen22!I30,[1]Examen23!I30)</f>
        <v>0</v>
      </c>
      <c r="J42" s="32">
        <f t="shared" si="92"/>
        <v>-1</v>
      </c>
      <c r="K42" s="33">
        <f>MAX([1]Examen21!K30,[1]Examen22!K30,[1]Examen23!K30)</f>
        <v>0</v>
      </c>
      <c r="L42" s="32">
        <f t="shared" si="93"/>
        <v>-1</v>
      </c>
      <c r="M42" s="33">
        <f>MAX([1]Examen21!M30,[1]Examen22!M30,[1]Examen23!M30)</f>
        <v>0</v>
      </c>
      <c r="N42" s="32">
        <f t="shared" si="94"/>
        <v>-1</v>
      </c>
      <c r="O42" s="33">
        <f>MAX([1]Examen21!O30,[1]Examen22!O30,[1]Examen23!O30)</f>
        <v>0</v>
      </c>
      <c r="P42" s="32">
        <f t="shared" si="95"/>
        <v>-1</v>
      </c>
      <c r="Q42" s="33">
        <f>MAX([1]Examen21!Q30,[1]Examen22!Q30,[1]Examen23!Q30)</f>
        <v>0</v>
      </c>
      <c r="R42" s="32">
        <f t="shared" si="96"/>
        <v>-1</v>
      </c>
      <c r="S42" s="33">
        <f>MAX([1]Examen21!S30,[1]Examen22!S30,[1]Examen23!S30)</f>
        <v>0</v>
      </c>
      <c r="T42" s="32">
        <f t="shared" si="97"/>
        <v>-1</v>
      </c>
      <c r="U42" s="33">
        <f>MAX([1]Examen21!U30,[1]Examen22!U30,[1]Examen23!U30)</f>
        <v>0</v>
      </c>
      <c r="V42" s="32">
        <f t="shared" si="98"/>
        <v>-1</v>
      </c>
      <c r="W42" s="33">
        <f>MAX([1]Examen21!W30,[1]Examen22!W30,[1]Examen23!W30)</f>
        <v>0</v>
      </c>
      <c r="X42" s="32">
        <f t="shared" si="99"/>
        <v>-1</v>
      </c>
      <c r="Y42" s="33">
        <f>MAX([1]Examen21!Y30,[1]Examen22!Y30,[1]Examen23!Y30)</f>
        <v>0</v>
      </c>
      <c r="Z42" s="32">
        <f t="shared" si="100"/>
        <v>-1</v>
      </c>
      <c r="AA42" s="33">
        <f>MAX([1]Examen21!AA30,[1]Examen22!AA30,[1]Examen23!AA30)</f>
        <v>0</v>
      </c>
      <c r="AB42" s="32">
        <f t="shared" si="101"/>
        <v>-1</v>
      </c>
      <c r="AC42" s="33">
        <f>MAX([1]Examen21!AC30,[1]Examen22!AC30,[1]Examen23!AC30)</f>
        <v>0</v>
      </c>
      <c r="AD42" s="32">
        <f t="shared" si="102"/>
        <v>-1</v>
      </c>
      <c r="AE42" s="33">
        <f>MAX([1]Examen21!AE30,[1]Examen22!AE30,[1]Examen23!AE30)</f>
        <v>0</v>
      </c>
      <c r="AF42" s="32">
        <f t="shared" si="103"/>
        <v>-1</v>
      </c>
      <c r="AG42" s="33">
        <f>MAX([1]Examen21!AG30,[1]Examen22!AG30,[1]Examen23!AG30)</f>
        <v>0</v>
      </c>
      <c r="AH42" s="32">
        <f t="shared" si="104"/>
        <v>-1</v>
      </c>
      <c r="AI42" s="33">
        <f>MAX([1]Examen21!AI30,[1]Examen22!AI30,[1]Examen23!AI30)</f>
        <v>0</v>
      </c>
      <c r="AJ42" s="32">
        <f t="shared" si="105"/>
        <v>-1</v>
      </c>
      <c r="AK42" s="33">
        <f>MAX([1]Examen21!AK30,[1]Examen22!AK30,[1]Examen23!AK30)</f>
        <v>0</v>
      </c>
      <c r="AL42" s="32">
        <f t="shared" si="106"/>
        <v>-1</v>
      </c>
      <c r="AM42" s="33">
        <f>MAX([1]Examen21!AM30,[1]Examen22!AM30,[1]Examen23!AM30)</f>
        <v>0</v>
      </c>
      <c r="AN42" s="32">
        <f t="shared" si="107"/>
        <v>-1</v>
      </c>
      <c r="AO42" s="33">
        <f>MAX([1]Examen21!AO30,[1]Examen22!AO30,[1]Examen23!AO30)</f>
        <v>0</v>
      </c>
      <c r="AP42" s="32">
        <f t="shared" si="108"/>
        <v>-1</v>
      </c>
      <c r="AQ42" s="33">
        <f>MAX([1]Examen21!AQ30,[1]Examen22!AQ30,[1]Examen23!AQ30)</f>
        <v>0</v>
      </c>
      <c r="AR42" s="32">
        <f t="shared" si="109"/>
        <v>-1</v>
      </c>
      <c r="AS42" s="33">
        <f>MAX([1]Examen21!AS30,[1]Examen22!AS30,[1]Examen23!AS30)</f>
        <v>0</v>
      </c>
      <c r="AT42" s="32">
        <f t="shared" si="110"/>
        <v>-1</v>
      </c>
      <c r="AU42" s="33">
        <f>MAX([1]Examen21!AU30,[1]Examen22!AU30,[1]Examen23!AU30)</f>
        <v>0</v>
      </c>
      <c r="AV42" s="32">
        <f t="shared" si="111"/>
        <v>-1</v>
      </c>
      <c r="AW42" s="33">
        <f>MAX([1]Examen21!AW30,[1]Examen22!AW30,[1]Examen23!AW30)</f>
        <v>0</v>
      </c>
      <c r="AX42" s="32">
        <f t="shared" si="112"/>
        <v>-1</v>
      </c>
      <c r="AY42" s="33">
        <f>MAX([1]Examen21!AY30,[1]Examen22!AY30,[1]Examen23!AY30)</f>
        <v>0</v>
      </c>
      <c r="AZ42" s="32">
        <f t="shared" si="113"/>
        <v>-1</v>
      </c>
      <c r="BA42" s="33">
        <f>MAX([1]Examen21!BA30,[1]Examen22!BA30,[1]Examen23!BA30)</f>
        <v>0</v>
      </c>
      <c r="BB42" s="32">
        <f t="shared" si="114"/>
        <v>-1</v>
      </c>
      <c r="BC42" s="33">
        <f>MAX([1]Examen21!BC30,[1]Examen22!BC30,[1]Examen23!BC30)</f>
        <v>0</v>
      </c>
      <c r="BD42" s="32">
        <f t="shared" si="115"/>
        <v>-1</v>
      </c>
      <c r="BE42" s="33">
        <f>MAX([1]Examen21!BE30,[1]Examen22!BE30,[1]Examen23!BE30)</f>
        <v>0</v>
      </c>
      <c r="BF42" s="32">
        <f t="shared" si="116"/>
        <v>-1</v>
      </c>
      <c r="BG42" s="33">
        <f>MAX([1]Examen21!BG30,[1]Examen22!BG30,[1]Examen23!BG30)</f>
        <v>0</v>
      </c>
      <c r="BH42" s="32">
        <f t="shared" si="117"/>
        <v>-1</v>
      </c>
      <c r="BI42" s="33">
        <f>MAX([1]Examen21!BI30,[1]Examen22!BI30,[1]Examen23!BI30)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MAX([1]Examen21!B31,[1]Examen22!B31,[1]Examen23!B31)</f>
        <v>0</v>
      </c>
      <c r="C43" s="33">
        <f>MAX([1]Examen21!C31,[1]Examen22!C31,[1]Examen23!C31)</f>
        <v>0</v>
      </c>
      <c r="D43" s="32">
        <f t="shared" si="89"/>
        <v>-1</v>
      </c>
      <c r="E43" s="33">
        <f>MAX([1]Examen21!E31,[1]Examen22!E31,[1]Examen23!E31)</f>
        <v>0</v>
      </c>
      <c r="F43" s="32">
        <f t="shared" si="90"/>
        <v>-1</v>
      </c>
      <c r="G43" s="33">
        <f>MAX([1]Examen21!G31,[1]Examen22!G31,[1]Examen23!G31)</f>
        <v>0</v>
      </c>
      <c r="H43" s="32">
        <f t="shared" si="91"/>
        <v>-1</v>
      </c>
      <c r="I43" s="33">
        <f>MAX([1]Examen21!I31,[1]Examen22!I31,[1]Examen23!I31)</f>
        <v>0</v>
      </c>
      <c r="J43" s="32">
        <f t="shared" si="92"/>
        <v>-1</v>
      </c>
      <c r="K43" s="33">
        <f>MAX([1]Examen21!K31,[1]Examen22!K31,[1]Examen23!K31)</f>
        <v>0</v>
      </c>
      <c r="L43" s="32">
        <f t="shared" si="93"/>
        <v>-1</v>
      </c>
      <c r="M43" s="33">
        <f>MAX([1]Examen21!M31,[1]Examen22!M31,[1]Examen23!M31)</f>
        <v>0</v>
      </c>
      <c r="N43" s="32">
        <f t="shared" si="94"/>
        <v>-1</v>
      </c>
      <c r="O43" s="33">
        <f>MAX([1]Examen21!O31,[1]Examen22!O31,[1]Examen23!O31)</f>
        <v>0</v>
      </c>
      <c r="P43" s="32">
        <f t="shared" si="95"/>
        <v>-1</v>
      </c>
      <c r="Q43" s="33">
        <f>MAX([1]Examen21!Q31,[1]Examen22!Q31,[1]Examen23!Q31)</f>
        <v>0</v>
      </c>
      <c r="R43" s="32">
        <f t="shared" si="96"/>
        <v>-1</v>
      </c>
      <c r="S43" s="33">
        <f>MAX([1]Examen21!S31,[1]Examen22!S31,[1]Examen23!S31)</f>
        <v>0</v>
      </c>
      <c r="T43" s="32">
        <f t="shared" si="97"/>
        <v>-1</v>
      </c>
      <c r="U43" s="33">
        <f>MAX([1]Examen21!U31,[1]Examen22!U31,[1]Examen23!U31)</f>
        <v>0</v>
      </c>
      <c r="V43" s="32">
        <f t="shared" si="98"/>
        <v>-1</v>
      </c>
      <c r="W43" s="33">
        <f>MAX([1]Examen21!W31,[1]Examen22!W31,[1]Examen23!W31)</f>
        <v>0</v>
      </c>
      <c r="X43" s="32">
        <f t="shared" si="99"/>
        <v>-1</v>
      </c>
      <c r="Y43" s="33">
        <f>MAX([1]Examen21!Y31,[1]Examen22!Y31,[1]Examen23!Y31)</f>
        <v>0</v>
      </c>
      <c r="Z43" s="32">
        <f t="shared" si="100"/>
        <v>-1</v>
      </c>
      <c r="AA43" s="33">
        <f>MAX([1]Examen21!AA31,[1]Examen22!AA31,[1]Examen23!AA31)</f>
        <v>0</v>
      </c>
      <c r="AB43" s="32">
        <f t="shared" si="101"/>
        <v>-1</v>
      </c>
      <c r="AC43" s="33">
        <f>MAX([1]Examen21!AC31,[1]Examen22!AC31,[1]Examen23!AC31)</f>
        <v>0</v>
      </c>
      <c r="AD43" s="32">
        <f t="shared" si="102"/>
        <v>-1</v>
      </c>
      <c r="AE43" s="33">
        <f>MAX([1]Examen21!AE31,[1]Examen22!AE31,[1]Examen23!AE31)</f>
        <v>0</v>
      </c>
      <c r="AF43" s="32">
        <f t="shared" si="103"/>
        <v>-1</v>
      </c>
      <c r="AG43" s="33">
        <f>MAX([1]Examen21!AG31,[1]Examen22!AG31,[1]Examen23!AG31)</f>
        <v>0</v>
      </c>
      <c r="AH43" s="32">
        <f t="shared" si="104"/>
        <v>-1</v>
      </c>
      <c r="AI43" s="33">
        <f>MAX([1]Examen21!AI31,[1]Examen22!AI31,[1]Examen23!AI31)</f>
        <v>0</v>
      </c>
      <c r="AJ43" s="32">
        <f t="shared" si="105"/>
        <v>-1</v>
      </c>
      <c r="AK43" s="33">
        <f>MAX([1]Examen21!AK31,[1]Examen22!AK31,[1]Examen23!AK31)</f>
        <v>0</v>
      </c>
      <c r="AL43" s="32">
        <f t="shared" si="106"/>
        <v>-1</v>
      </c>
      <c r="AM43" s="33">
        <f>MAX([1]Examen21!AM31,[1]Examen22!AM31,[1]Examen23!AM31)</f>
        <v>0</v>
      </c>
      <c r="AN43" s="32">
        <f t="shared" si="107"/>
        <v>-1</v>
      </c>
      <c r="AO43" s="33">
        <f>MAX([1]Examen21!AO31,[1]Examen22!AO31,[1]Examen23!AO31)</f>
        <v>0</v>
      </c>
      <c r="AP43" s="32">
        <f t="shared" si="108"/>
        <v>-1</v>
      </c>
      <c r="AQ43" s="33">
        <f>MAX([1]Examen21!AQ31,[1]Examen22!AQ31,[1]Examen23!AQ31)</f>
        <v>0</v>
      </c>
      <c r="AR43" s="32">
        <f t="shared" si="109"/>
        <v>-1</v>
      </c>
      <c r="AS43" s="33">
        <f>MAX([1]Examen21!AS31,[1]Examen22!AS31,[1]Examen23!AS31)</f>
        <v>0</v>
      </c>
      <c r="AT43" s="32">
        <f t="shared" si="110"/>
        <v>-1</v>
      </c>
      <c r="AU43" s="33">
        <f>MAX([1]Examen21!AU31,[1]Examen22!AU31,[1]Examen23!AU31)</f>
        <v>0</v>
      </c>
      <c r="AV43" s="32">
        <f t="shared" si="111"/>
        <v>-1</v>
      </c>
      <c r="AW43" s="33">
        <f>MAX([1]Examen21!AW31,[1]Examen22!AW31,[1]Examen23!AW31)</f>
        <v>0</v>
      </c>
      <c r="AX43" s="32">
        <f t="shared" si="112"/>
        <v>-1</v>
      </c>
      <c r="AY43" s="33">
        <f>MAX([1]Examen21!AY31,[1]Examen22!AY31,[1]Examen23!AY31)</f>
        <v>0</v>
      </c>
      <c r="AZ43" s="32">
        <f t="shared" si="113"/>
        <v>-1</v>
      </c>
      <c r="BA43" s="33">
        <f>MAX([1]Examen21!BA31,[1]Examen22!BA31,[1]Examen23!BA31)</f>
        <v>0</v>
      </c>
      <c r="BB43" s="32">
        <f t="shared" si="114"/>
        <v>-1</v>
      </c>
      <c r="BC43" s="33">
        <f>MAX([1]Examen21!BC31,[1]Examen22!BC31,[1]Examen23!BC31)</f>
        <v>0</v>
      </c>
      <c r="BD43" s="32">
        <f t="shared" si="115"/>
        <v>-1</v>
      </c>
      <c r="BE43" s="33">
        <f>MAX([1]Examen21!BE31,[1]Examen22!BE31,[1]Examen23!BE31)</f>
        <v>0</v>
      </c>
      <c r="BF43" s="32">
        <f t="shared" si="116"/>
        <v>-1</v>
      </c>
      <c r="BG43" s="33">
        <f>MAX([1]Examen21!BG31,[1]Examen22!BG31,[1]Examen23!BG31)</f>
        <v>0</v>
      </c>
      <c r="BH43" s="32">
        <f t="shared" si="117"/>
        <v>-1</v>
      </c>
      <c r="BI43" s="33">
        <f>MAX([1]Examen21!BI31,[1]Examen22!BI31,[1]Examen23!BI31)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MAX([1]Examen21!B32,[1]Examen22!B32,[1]Examen23!B32)</f>
        <v>0</v>
      </c>
      <c r="C44" s="33">
        <f>MAX([1]Examen21!C32,[1]Examen22!C32,[1]Examen23!C32)</f>
        <v>0</v>
      </c>
      <c r="D44" s="32">
        <f t="shared" si="89"/>
        <v>-1</v>
      </c>
      <c r="E44" s="33">
        <f>MAX([1]Examen21!E32,[1]Examen22!E32,[1]Examen23!E32)</f>
        <v>0</v>
      </c>
      <c r="F44" s="32">
        <f t="shared" si="90"/>
        <v>-1</v>
      </c>
      <c r="G44" s="33">
        <f>MAX([1]Examen21!G32,[1]Examen22!G32,[1]Examen23!G32)</f>
        <v>0</v>
      </c>
      <c r="H44" s="32">
        <f t="shared" si="91"/>
        <v>-1</v>
      </c>
      <c r="I44" s="33">
        <f>MAX([1]Examen21!I32,[1]Examen22!I32,[1]Examen23!I32)</f>
        <v>0</v>
      </c>
      <c r="J44" s="32">
        <f t="shared" si="92"/>
        <v>-1</v>
      </c>
      <c r="K44" s="33">
        <f>MAX([1]Examen21!K32,[1]Examen22!K32,[1]Examen23!K32)</f>
        <v>0</v>
      </c>
      <c r="L44" s="32">
        <f t="shared" si="93"/>
        <v>-1</v>
      </c>
      <c r="M44" s="33">
        <f>MAX([1]Examen21!M32,[1]Examen22!M32,[1]Examen23!M32)</f>
        <v>0</v>
      </c>
      <c r="N44" s="32">
        <f t="shared" si="94"/>
        <v>-1</v>
      </c>
      <c r="O44" s="33">
        <f>MAX([1]Examen21!O32,[1]Examen22!O32,[1]Examen23!O32)</f>
        <v>0</v>
      </c>
      <c r="P44" s="32">
        <f t="shared" si="95"/>
        <v>-1</v>
      </c>
      <c r="Q44" s="33">
        <f>MAX([1]Examen21!Q32,[1]Examen22!Q32,[1]Examen23!Q32)</f>
        <v>0</v>
      </c>
      <c r="R44" s="32">
        <f t="shared" si="96"/>
        <v>-1</v>
      </c>
      <c r="S44" s="33">
        <f>MAX([1]Examen21!S32,[1]Examen22!S32,[1]Examen23!S32)</f>
        <v>0</v>
      </c>
      <c r="T44" s="32">
        <f t="shared" si="97"/>
        <v>-1</v>
      </c>
      <c r="U44" s="33">
        <f>MAX([1]Examen21!U32,[1]Examen22!U32,[1]Examen23!U32)</f>
        <v>0</v>
      </c>
      <c r="V44" s="32">
        <f t="shared" si="98"/>
        <v>-1</v>
      </c>
      <c r="W44" s="33">
        <f>MAX([1]Examen21!W32,[1]Examen22!W32,[1]Examen23!W32)</f>
        <v>0</v>
      </c>
      <c r="X44" s="32">
        <f t="shared" si="99"/>
        <v>-1</v>
      </c>
      <c r="Y44" s="33">
        <f>MAX([1]Examen21!Y32,[1]Examen22!Y32,[1]Examen23!Y32)</f>
        <v>0</v>
      </c>
      <c r="Z44" s="32">
        <f t="shared" si="100"/>
        <v>-1</v>
      </c>
      <c r="AA44" s="33">
        <f>MAX([1]Examen21!AA32,[1]Examen22!AA32,[1]Examen23!AA32)</f>
        <v>0</v>
      </c>
      <c r="AB44" s="32">
        <f t="shared" si="101"/>
        <v>-1</v>
      </c>
      <c r="AC44" s="33">
        <f>MAX([1]Examen21!AC32,[1]Examen22!AC32,[1]Examen23!AC32)</f>
        <v>0</v>
      </c>
      <c r="AD44" s="32">
        <f t="shared" si="102"/>
        <v>-1</v>
      </c>
      <c r="AE44" s="33">
        <f>MAX([1]Examen21!AE32,[1]Examen22!AE32,[1]Examen23!AE32)</f>
        <v>0</v>
      </c>
      <c r="AF44" s="32">
        <f t="shared" si="103"/>
        <v>-1</v>
      </c>
      <c r="AG44" s="33">
        <f>MAX([1]Examen21!AG32,[1]Examen22!AG32,[1]Examen23!AG32)</f>
        <v>0</v>
      </c>
      <c r="AH44" s="32">
        <f t="shared" si="104"/>
        <v>-1</v>
      </c>
      <c r="AI44" s="33">
        <f>MAX([1]Examen21!AI32,[1]Examen22!AI32,[1]Examen23!AI32)</f>
        <v>0</v>
      </c>
      <c r="AJ44" s="32">
        <f t="shared" si="105"/>
        <v>-1</v>
      </c>
      <c r="AK44" s="33">
        <f>MAX([1]Examen21!AK32,[1]Examen22!AK32,[1]Examen23!AK32)</f>
        <v>0</v>
      </c>
      <c r="AL44" s="32">
        <f t="shared" si="106"/>
        <v>-1</v>
      </c>
      <c r="AM44" s="33">
        <f>MAX([1]Examen21!AM32,[1]Examen22!AM32,[1]Examen23!AM32)</f>
        <v>0</v>
      </c>
      <c r="AN44" s="32">
        <f t="shared" si="107"/>
        <v>-1</v>
      </c>
      <c r="AO44" s="33">
        <f>MAX([1]Examen21!AO32,[1]Examen22!AO32,[1]Examen23!AO32)</f>
        <v>0</v>
      </c>
      <c r="AP44" s="32">
        <f t="shared" si="108"/>
        <v>-1</v>
      </c>
      <c r="AQ44" s="33">
        <f>MAX([1]Examen21!AQ32,[1]Examen22!AQ32,[1]Examen23!AQ32)</f>
        <v>0</v>
      </c>
      <c r="AR44" s="32">
        <f t="shared" si="109"/>
        <v>-1</v>
      </c>
      <c r="AS44" s="33">
        <f>MAX([1]Examen21!AS32,[1]Examen22!AS32,[1]Examen23!AS32)</f>
        <v>0</v>
      </c>
      <c r="AT44" s="32">
        <f t="shared" si="110"/>
        <v>-1</v>
      </c>
      <c r="AU44" s="33">
        <f>MAX([1]Examen21!AU32,[1]Examen22!AU32,[1]Examen23!AU32)</f>
        <v>0</v>
      </c>
      <c r="AV44" s="32">
        <f t="shared" si="111"/>
        <v>-1</v>
      </c>
      <c r="AW44" s="33">
        <f>MAX([1]Examen21!AW32,[1]Examen22!AW32,[1]Examen23!AW32)</f>
        <v>0</v>
      </c>
      <c r="AX44" s="32">
        <f t="shared" si="112"/>
        <v>-1</v>
      </c>
      <c r="AY44" s="33">
        <f>MAX([1]Examen21!AY32,[1]Examen22!AY32,[1]Examen23!AY32)</f>
        <v>0</v>
      </c>
      <c r="AZ44" s="32">
        <f t="shared" si="113"/>
        <v>-1</v>
      </c>
      <c r="BA44" s="33">
        <f>MAX([1]Examen21!BA32,[1]Examen22!BA32,[1]Examen23!BA32)</f>
        <v>0</v>
      </c>
      <c r="BB44" s="32">
        <f t="shared" si="114"/>
        <v>-1</v>
      </c>
      <c r="BC44" s="33">
        <f>MAX([1]Examen21!BC32,[1]Examen22!BC32,[1]Examen23!BC32)</f>
        <v>0</v>
      </c>
      <c r="BD44" s="32">
        <f t="shared" si="115"/>
        <v>-1</v>
      </c>
      <c r="BE44" s="33">
        <f>MAX([1]Examen21!BE32,[1]Examen22!BE32,[1]Examen23!BE32)</f>
        <v>0</v>
      </c>
      <c r="BF44" s="32">
        <f t="shared" si="116"/>
        <v>-1</v>
      </c>
      <c r="BG44" s="33">
        <f>MAX([1]Examen21!BG32,[1]Examen22!BG32,[1]Examen23!BG32)</f>
        <v>0</v>
      </c>
      <c r="BH44" s="32">
        <f t="shared" si="117"/>
        <v>-1</v>
      </c>
      <c r="BI44" s="33">
        <f>MAX([1]Examen21!BI32,[1]Examen22!BI32,[1]Examen23!BI32)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MAX([1]Examen21!B33,[1]Examen22!B33,[1]Examen23!B33)</f>
        <v>0</v>
      </c>
      <c r="C45" s="33">
        <f>MAX([1]Examen21!C33,[1]Examen22!C33,[1]Examen23!C33)</f>
        <v>0</v>
      </c>
      <c r="D45" s="32">
        <f t="shared" si="89"/>
        <v>-1</v>
      </c>
      <c r="E45" s="33">
        <f>MAX([1]Examen21!E33,[1]Examen22!E33,[1]Examen23!E33)</f>
        <v>0</v>
      </c>
      <c r="F45" s="32">
        <f t="shared" si="90"/>
        <v>-1</v>
      </c>
      <c r="G45" s="33">
        <f>MAX([1]Examen21!G33,[1]Examen22!G33,[1]Examen23!G33)</f>
        <v>0</v>
      </c>
      <c r="H45" s="32">
        <f t="shared" si="91"/>
        <v>-1</v>
      </c>
      <c r="I45" s="33">
        <f>MAX([1]Examen21!I33,[1]Examen22!I33,[1]Examen23!I33)</f>
        <v>0</v>
      </c>
      <c r="J45" s="32">
        <f t="shared" si="92"/>
        <v>-1</v>
      </c>
      <c r="K45" s="33">
        <f>MAX([1]Examen21!K33,[1]Examen22!K33,[1]Examen23!K33)</f>
        <v>0</v>
      </c>
      <c r="L45" s="32">
        <f t="shared" si="93"/>
        <v>-1</v>
      </c>
      <c r="M45" s="33">
        <f>MAX([1]Examen21!M33,[1]Examen22!M33,[1]Examen23!M33)</f>
        <v>0</v>
      </c>
      <c r="N45" s="32">
        <f t="shared" si="94"/>
        <v>-1</v>
      </c>
      <c r="O45" s="33">
        <f>MAX([1]Examen21!O33,[1]Examen22!O33,[1]Examen23!O33)</f>
        <v>0</v>
      </c>
      <c r="P45" s="32">
        <f t="shared" si="95"/>
        <v>-1</v>
      </c>
      <c r="Q45" s="33">
        <f>MAX([1]Examen21!Q33,[1]Examen22!Q33,[1]Examen23!Q33)</f>
        <v>0</v>
      </c>
      <c r="R45" s="32">
        <f t="shared" si="96"/>
        <v>-1</v>
      </c>
      <c r="S45" s="33">
        <f>MAX([1]Examen21!S33,[1]Examen22!S33,[1]Examen23!S33)</f>
        <v>0</v>
      </c>
      <c r="T45" s="32">
        <f t="shared" si="97"/>
        <v>-1</v>
      </c>
      <c r="U45" s="33">
        <f>MAX([1]Examen21!U33,[1]Examen22!U33,[1]Examen23!U33)</f>
        <v>0</v>
      </c>
      <c r="V45" s="32">
        <f t="shared" si="98"/>
        <v>-1</v>
      </c>
      <c r="W45" s="33">
        <f>MAX([1]Examen21!W33,[1]Examen22!W33,[1]Examen23!W33)</f>
        <v>0</v>
      </c>
      <c r="X45" s="32">
        <f t="shared" si="99"/>
        <v>-1</v>
      </c>
      <c r="Y45" s="33">
        <f>MAX([1]Examen21!Y33,[1]Examen22!Y33,[1]Examen23!Y33)</f>
        <v>0</v>
      </c>
      <c r="Z45" s="32">
        <f t="shared" si="100"/>
        <v>-1</v>
      </c>
      <c r="AA45" s="33">
        <f>MAX([1]Examen21!AA33,[1]Examen22!AA33,[1]Examen23!AA33)</f>
        <v>0</v>
      </c>
      <c r="AB45" s="32">
        <f t="shared" si="101"/>
        <v>-1</v>
      </c>
      <c r="AC45" s="33">
        <f>MAX([1]Examen21!AC33,[1]Examen22!AC33,[1]Examen23!AC33)</f>
        <v>0</v>
      </c>
      <c r="AD45" s="32">
        <f t="shared" si="102"/>
        <v>-1</v>
      </c>
      <c r="AE45" s="33">
        <f>MAX([1]Examen21!AE33,[1]Examen22!AE33,[1]Examen23!AE33)</f>
        <v>0</v>
      </c>
      <c r="AF45" s="32">
        <f t="shared" si="103"/>
        <v>-1</v>
      </c>
      <c r="AG45" s="33">
        <f>MAX([1]Examen21!AG33,[1]Examen22!AG33,[1]Examen23!AG33)</f>
        <v>0</v>
      </c>
      <c r="AH45" s="32">
        <f t="shared" si="104"/>
        <v>-1</v>
      </c>
      <c r="AI45" s="33">
        <f>MAX([1]Examen21!AI33,[1]Examen22!AI33,[1]Examen23!AI33)</f>
        <v>0</v>
      </c>
      <c r="AJ45" s="32">
        <f t="shared" si="105"/>
        <v>-1</v>
      </c>
      <c r="AK45" s="33">
        <f>MAX([1]Examen21!AK33,[1]Examen22!AK33,[1]Examen23!AK33)</f>
        <v>0</v>
      </c>
      <c r="AL45" s="32">
        <f t="shared" si="106"/>
        <v>-1</v>
      </c>
      <c r="AM45" s="33">
        <f>MAX([1]Examen21!AM33,[1]Examen22!AM33,[1]Examen23!AM33)</f>
        <v>0</v>
      </c>
      <c r="AN45" s="32">
        <f t="shared" si="107"/>
        <v>-1</v>
      </c>
      <c r="AO45" s="33">
        <f>MAX([1]Examen21!AO33,[1]Examen22!AO33,[1]Examen23!AO33)</f>
        <v>0</v>
      </c>
      <c r="AP45" s="32">
        <f t="shared" si="108"/>
        <v>-1</v>
      </c>
      <c r="AQ45" s="33">
        <f>MAX([1]Examen21!AQ33,[1]Examen22!AQ33,[1]Examen23!AQ33)</f>
        <v>0</v>
      </c>
      <c r="AR45" s="32">
        <f t="shared" si="109"/>
        <v>-1</v>
      </c>
      <c r="AS45" s="33">
        <f>MAX([1]Examen21!AS33,[1]Examen22!AS33,[1]Examen23!AS33)</f>
        <v>0</v>
      </c>
      <c r="AT45" s="32">
        <f t="shared" si="110"/>
        <v>-1</v>
      </c>
      <c r="AU45" s="33">
        <f>MAX([1]Examen21!AU33,[1]Examen22!AU33,[1]Examen23!AU33)</f>
        <v>0</v>
      </c>
      <c r="AV45" s="32">
        <f t="shared" si="111"/>
        <v>-1</v>
      </c>
      <c r="AW45" s="33">
        <f>MAX([1]Examen21!AW33,[1]Examen22!AW33,[1]Examen23!AW33)</f>
        <v>0</v>
      </c>
      <c r="AX45" s="32">
        <f t="shared" si="112"/>
        <v>-1</v>
      </c>
      <c r="AY45" s="33">
        <f>MAX([1]Examen21!AY33,[1]Examen22!AY33,[1]Examen23!AY33)</f>
        <v>0</v>
      </c>
      <c r="AZ45" s="32">
        <f t="shared" si="113"/>
        <v>-1</v>
      </c>
      <c r="BA45" s="33">
        <f>MAX([1]Examen21!BA33,[1]Examen22!BA33,[1]Examen23!BA33)</f>
        <v>0</v>
      </c>
      <c r="BB45" s="32">
        <f t="shared" si="114"/>
        <v>-1</v>
      </c>
      <c r="BC45" s="33">
        <f>MAX([1]Examen21!BC33,[1]Examen22!BC33,[1]Examen23!BC33)</f>
        <v>0</v>
      </c>
      <c r="BD45" s="32">
        <f t="shared" si="115"/>
        <v>-1</v>
      </c>
      <c r="BE45" s="33">
        <f>MAX([1]Examen21!BE33,[1]Examen22!BE33,[1]Examen23!BE33)</f>
        <v>0</v>
      </c>
      <c r="BF45" s="32">
        <f t="shared" si="116"/>
        <v>-1</v>
      </c>
      <c r="BG45" s="33">
        <f>MAX([1]Examen21!BG33,[1]Examen22!BG33,[1]Examen23!BG33)</f>
        <v>0</v>
      </c>
      <c r="BH45" s="32">
        <f t="shared" si="117"/>
        <v>-1</v>
      </c>
      <c r="BI45" s="33">
        <f>MAX([1]Examen21!BI33,[1]Examen22!BI33,[1]Examen23!BI33)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MAX([1]Examen21!B34,[1]Examen22!B34,[1]Examen23!B34)</f>
        <v>0</v>
      </c>
      <c r="C46" s="33">
        <f>MAX([1]Examen21!C34,[1]Examen22!C34,[1]Examen23!C34)</f>
        <v>0</v>
      </c>
      <c r="D46" s="32">
        <f t="shared" si="89"/>
        <v>-1</v>
      </c>
      <c r="E46" s="33">
        <f>MAX([1]Examen21!E34,[1]Examen22!E34,[1]Examen23!E34)</f>
        <v>0</v>
      </c>
      <c r="F46" s="32">
        <f t="shared" si="90"/>
        <v>-1</v>
      </c>
      <c r="G46" s="33">
        <f>MAX([1]Examen21!G34,[1]Examen22!G34,[1]Examen23!G34)</f>
        <v>0</v>
      </c>
      <c r="H46" s="32">
        <f t="shared" si="91"/>
        <v>-1</v>
      </c>
      <c r="I46" s="33">
        <f>MAX([1]Examen21!I34,[1]Examen22!I34,[1]Examen23!I34)</f>
        <v>0</v>
      </c>
      <c r="J46" s="32">
        <f t="shared" si="92"/>
        <v>-1</v>
      </c>
      <c r="K46" s="33">
        <f>MAX([1]Examen21!K34,[1]Examen22!K34,[1]Examen23!K34)</f>
        <v>0</v>
      </c>
      <c r="L46" s="32">
        <f t="shared" si="93"/>
        <v>-1</v>
      </c>
      <c r="M46" s="33">
        <f>MAX([1]Examen21!M34,[1]Examen22!M34,[1]Examen23!M34)</f>
        <v>0</v>
      </c>
      <c r="N46" s="32">
        <f t="shared" si="94"/>
        <v>-1</v>
      </c>
      <c r="O46" s="33">
        <f>MAX([1]Examen21!O34,[1]Examen22!O34,[1]Examen23!O34)</f>
        <v>0</v>
      </c>
      <c r="P46" s="32">
        <f t="shared" si="95"/>
        <v>-1</v>
      </c>
      <c r="Q46" s="33">
        <f>MAX([1]Examen21!Q34,[1]Examen22!Q34,[1]Examen23!Q34)</f>
        <v>0</v>
      </c>
      <c r="R46" s="32">
        <f t="shared" si="96"/>
        <v>-1</v>
      </c>
      <c r="S46" s="33">
        <f>MAX([1]Examen21!S34,[1]Examen22!S34,[1]Examen23!S34)</f>
        <v>0</v>
      </c>
      <c r="T46" s="32">
        <f t="shared" si="97"/>
        <v>-1</v>
      </c>
      <c r="U46" s="33">
        <f>MAX([1]Examen21!U34,[1]Examen22!U34,[1]Examen23!U34)</f>
        <v>0</v>
      </c>
      <c r="V46" s="32">
        <f t="shared" si="98"/>
        <v>-1</v>
      </c>
      <c r="W46" s="33">
        <f>MAX([1]Examen21!W34,[1]Examen22!W34,[1]Examen23!W34)</f>
        <v>0</v>
      </c>
      <c r="X46" s="32">
        <f t="shared" si="99"/>
        <v>-1</v>
      </c>
      <c r="Y46" s="33">
        <f>MAX([1]Examen21!Y34,[1]Examen22!Y34,[1]Examen23!Y34)</f>
        <v>0</v>
      </c>
      <c r="Z46" s="32">
        <f t="shared" si="100"/>
        <v>-1</v>
      </c>
      <c r="AA46" s="33">
        <f>MAX([1]Examen21!AA34,[1]Examen22!AA34,[1]Examen23!AA34)</f>
        <v>0</v>
      </c>
      <c r="AB46" s="32">
        <f t="shared" si="101"/>
        <v>-1</v>
      </c>
      <c r="AC46" s="33">
        <f>MAX([1]Examen21!AC34,[1]Examen22!AC34,[1]Examen23!AC34)</f>
        <v>0</v>
      </c>
      <c r="AD46" s="32">
        <f t="shared" si="102"/>
        <v>-1</v>
      </c>
      <c r="AE46" s="33">
        <f>MAX([1]Examen21!AE34,[1]Examen22!AE34,[1]Examen23!AE34)</f>
        <v>0</v>
      </c>
      <c r="AF46" s="32">
        <f t="shared" si="103"/>
        <v>-1</v>
      </c>
      <c r="AG46" s="33">
        <f>MAX([1]Examen21!AG34,[1]Examen22!AG34,[1]Examen23!AG34)</f>
        <v>0</v>
      </c>
      <c r="AH46" s="32">
        <f t="shared" si="104"/>
        <v>-1</v>
      </c>
      <c r="AI46" s="33">
        <f>MAX([1]Examen21!AI34,[1]Examen22!AI34,[1]Examen23!AI34)</f>
        <v>0</v>
      </c>
      <c r="AJ46" s="32">
        <f t="shared" si="105"/>
        <v>-1</v>
      </c>
      <c r="AK46" s="33">
        <f>MAX([1]Examen21!AK34,[1]Examen22!AK34,[1]Examen23!AK34)</f>
        <v>0</v>
      </c>
      <c r="AL46" s="32">
        <f t="shared" si="106"/>
        <v>-1</v>
      </c>
      <c r="AM46" s="33">
        <f>MAX([1]Examen21!AM34,[1]Examen22!AM34,[1]Examen23!AM34)</f>
        <v>0</v>
      </c>
      <c r="AN46" s="32">
        <f t="shared" si="107"/>
        <v>-1</v>
      </c>
      <c r="AO46" s="33">
        <f>MAX([1]Examen21!AO34,[1]Examen22!AO34,[1]Examen23!AO34)</f>
        <v>0</v>
      </c>
      <c r="AP46" s="32">
        <f t="shared" si="108"/>
        <v>-1</v>
      </c>
      <c r="AQ46" s="33">
        <f>MAX([1]Examen21!AQ34,[1]Examen22!AQ34,[1]Examen23!AQ34)</f>
        <v>0</v>
      </c>
      <c r="AR46" s="32">
        <f t="shared" si="109"/>
        <v>-1</v>
      </c>
      <c r="AS46" s="33">
        <f>MAX([1]Examen21!AS34,[1]Examen22!AS34,[1]Examen23!AS34)</f>
        <v>0</v>
      </c>
      <c r="AT46" s="32">
        <f t="shared" si="110"/>
        <v>-1</v>
      </c>
      <c r="AU46" s="33">
        <f>MAX([1]Examen21!AU34,[1]Examen22!AU34,[1]Examen23!AU34)</f>
        <v>0</v>
      </c>
      <c r="AV46" s="32">
        <f t="shared" si="111"/>
        <v>-1</v>
      </c>
      <c r="AW46" s="33">
        <f>MAX([1]Examen21!AW34,[1]Examen22!AW34,[1]Examen23!AW34)</f>
        <v>0</v>
      </c>
      <c r="AX46" s="32">
        <f t="shared" si="112"/>
        <v>-1</v>
      </c>
      <c r="AY46" s="33">
        <f>MAX([1]Examen21!AY34,[1]Examen22!AY34,[1]Examen23!AY34)</f>
        <v>0</v>
      </c>
      <c r="AZ46" s="32">
        <f t="shared" si="113"/>
        <v>-1</v>
      </c>
      <c r="BA46" s="33">
        <f>MAX([1]Examen21!BA34,[1]Examen22!BA34,[1]Examen23!BA34)</f>
        <v>0</v>
      </c>
      <c r="BB46" s="32">
        <f t="shared" si="114"/>
        <v>-1</v>
      </c>
      <c r="BC46" s="33">
        <f>MAX([1]Examen21!BC34,[1]Examen22!BC34,[1]Examen23!BC34)</f>
        <v>0</v>
      </c>
      <c r="BD46" s="32">
        <f t="shared" si="115"/>
        <v>-1</v>
      </c>
      <c r="BE46" s="33">
        <f>MAX([1]Examen21!BE34,[1]Examen22!BE34,[1]Examen23!BE34)</f>
        <v>0</v>
      </c>
      <c r="BF46" s="32">
        <f t="shared" si="116"/>
        <v>-1</v>
      </c>
      <c r="BG46" s="33">
        <f>MAX([1]Examen21!BG34,[1]Examen22!BG34,[1]Examen23!BG34)</f>
        <v>0</v>
      </c>
      <c r="BH46" s="32">
        <f t="shared" si="117"/>
        <v>-1</v>
      </c>
      <c r="BI46" s="33">
        <f>MAX([1]Examen21!BI34,[1]Examen22!BI34,[1]Examen23!BI34)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MAX([1]Examen21!B35,[1]Examen22!B35,[1]Examen23!B35)</f>
        <v>0</v>
      </c>
      <c r="C47" s="33">
        <f>MAX([1]Examen21!C35,[1]Examen22!C35,[1]Examen23!C35)</f>
        <v>0</v>
      </c>
      <c r="D47" s="32">
        <f t="shared" si="89"/>
        <v>-1</v>
      </c>
      <c r="E47" s="33">
        <f>MAX([1]Examen21!E35,[1]Examen22!E35,[1]Examen23!E35)</f>
        <v>0</v>
      </c>
      <c r="F47" s="32">
        <f t="shared" si="90"/>
        <v>-1</v>
      </c>
      <c r="G47" s="33">
        <f>MAX([1]Examen21!G35,[1]Examen22!G35,[1]Examen23!G35)</f>
        <v>0</v>
      </c>
      <c r="H47" s="32">
        <f t="shared" si="91"/>
        <v>-1</v>
      </c>
      <c r="I47" s="33">
        <f>MAX([1]Examen21!I35,[1]Examen22!I35,[1]Examen23!I35)</f>
        <v>0</v>
      </c>
      <c r="J47" s="32">
        <f t="shared" si="92"/>
        <v>-1</v>
      </c>
      <c r="K47" s="33">
        <f>MAX([1]Examen21!K35,[1]Examen22!K35,[1]Examen23!K35)</f>
        <v>0</v>
      </c>
      <c r="L47" s="32">
        <f t="shared" si="93"/>
        <v>-1</v>
      </c>
      <c r="M47" s="33">
        <f>MAX([1]Examen21!M35,[1]Examen22!M35,[1]Examen23!M35)</f>
        <v>0</v>
      </c>
      <c r="N47" s="32">
        <f t="shared" si="94"/>
        <v>-1</v>
      </c>
      <c r="O47" s="33">
        <f>MAX([1]Examen21!O35,[1]Examen22!O35,[1]Examen23!O35)</f>
        <v>0</v>
      </c>
      <c r="P47" s="32">
        <f t="shared" si="95"/>
        <v>-1</v>
      </c>
      <c r="Q47" s="33">
        <f>MAX([1]Examen21!Q35,[1]Examen22!Q35,[1]Examen23!Q35)</f>
        <v>0</v>
      </c>
      <c r="R47" s="32">
        <f t="shared" si="96"/>
        <v>-1</v>
      </c>
      <c r="S47" s="33">
        <f>MAX([1]Examen21!S35,[1]Examen22!S35,[1]Examen23!S35)</f>
        <v>0</v>
      </c>
      <c r="T47" s="32">
        <f t="shared" si="97"/>
        <v>-1</v>
      </c>
      <c r="U47" s="33">
        <f>MAX([1]Examen21!U35,[1]Examen22!U35,[1]Examen23!U35)</f>
        <v>0</v>
      </c>
      <c r="V47" s="32">
        <f t="shared" si="98"/>
        <v>-1</v>
      </c>
      <c r="W47" s="33">
        <f>MAX([1]Examen21!W35,[1]Examen22!W35,[1]Examen23!W35)</f>
        <v>0</v>
      </c>
      <c r="X47" s="32">
        <f t="shared" si="99"/>
        <v>-1</v>
      </c>
      <c r="Y47" s="33">
        <f>MAX([1]Examen21!Y35,[1]Examen22!Y35,[1]Examen23!Y35)</f>
        <v>0</v>
      </c>
      <c r="Z47" s="32">
        <f t="shared" si="100"/>
        <v>-1</v>
      </c>
      <c r="AA47" s="33">
        <f>MAX([1]Examen21!AA35,[1]Examen22!AA35,[1]Examen23!AA35)</f>
        <v>0</v>
      </c>
      <c r="AB47" s="32">
        <f t="shared" si="101"/>
        <v>-1</v>
      </c>
      <c r="AC47" s="33">
        <f>MAX([1]Examen21!AC35,[1]Examen22!AC35,[1]Examen23!AC35)</f>
        <v>0</v>
      </c>
      <c r="AD47" s="32">
        <f t="shared" si="102"/>
        <v>-1</v>
      </c>
      <c r="AE47" s="33">
        <f>MAX([1]Examen21!AE35,[1]Examen22!AE35,[1]Examen23!AE35)</f>
        <v>0</v>
      </c>
      <c r="AF47" s="32">
        <f t="shared" si="103"/>
        <v>-1</v>
      </c>
      <c r="AG47" s="33">
        <f>MAX([1]Examen21!AG35,[1]Examen22!AG35,[1]Examen23!AG35)</f>
        <v>0</v>
      </c>
      <c r="AH47" s="32">
        <f t="shared" si="104"/>
        <v>-1</v>
      </c>
      <c r="AI47" s="33">
        <f>MAX([1]Examen21!AI35,[1]Examen22!AI35,[1]Examen23!AI35)</f>
        <v>0</v>
      </c>
      <c r="AJ47" s="32">
        <f t="shared" si="105"/>
        <v>-1</v>
      </c>
      <c r="AK47" s="33">
        <f>MAX([1]Examen21!AK35,[1]Examen22!AK35,[1]Examen23!AK35)</f>
        <v>0</v>
      </c>
      <c r="AL47" s="32">
        <f t="shared" si="106"/>
        <v>-1</v>
      </c>
      <c r="AM47" s="33">
        <f>MAX([1]Examen21!AM35,[1]Examen22!AM35,[1]Examen23!AM35)</f>
        <v>0</v>
      </c>
      <c r="AN47" s="32">
        <f t="shared" si="107"/>
        <v>-1</v>
      </c>
      <c r="AO47" s="33">
        <f>MAX([1]Examen21!AO35,[1]Examen22!AO35,[1]Examen23!AO35)</f>
        <v>0</v>
      </c>
      <c r="AP47" s="32">
        <f t="shared" si="108"/>
        <v>-1</v>
      </c>
      <c r="AQ47" s="33">
        <f>MAX([1]Examen21!AQ35,[1]Examen22!AQ35,[1]Examen23!AQ35)</f>
        <v>0</v>
      </c>
      <c r="AR47" s="32">
        <f t="shared" si="109"/>
        <v>-1</v>
      </c>
      <c r="AS47" s="33">
        <f>MAX([1]Examen21!AS35,[1]Examen22!AS35,[1]Examen23!AS35)</f>
        <v>0</v>
      </c>
      <c r="AT47" s="32">
        <f t="shared" si="110"/>
        <v>-1</v>
      </c>
      <c r="AU47" s="33">
        <f>MAX([1]Examen21!AU35,[1]Examen22!AU35,[1]Examen23!AU35)</f>
        <v>0</v>
      </c>
      <c r="AV47" s="32">
        <f t="shared" si="111"/>
        <v>-1</v>
      </c>
      <c r="AW47" s="33">
        <f>MAX([1]Examen21!AW35,[1]Examen22!AW35,[1]Examen23!AW35)</f>
        <v>0</v>
      </c>
      <c r="AX47" s="32">
        <f t="shared" si="112"/>
        <v>-1</v>
      </c>
      <c r="AY47" s="33">
        <f>MAX([1]Examen21!AY35,[1]Examen22!AY35,[1]Examen23!AY35)</f>
        <v>0</v>
      </c>
      <c r="AZ47" s="32">
        <f t="shared" si="113"/>
        <v>-1</v>
      </c>
      <c r="BA47" s="33">
        <f>MAX([1]Examen21!BA35,[1]Examen22!BA35,[1]Examen23!BA35)</f>
        <v>0</v>
      </c>
      <c r="BB47" s="32">
        <f t="shared" si="114"/>
        <v>-1</v>
      </c>
      <c r="BC47" s="33">
        <f>MAX([1]Examen21!BC35,[1]Examen22!BC35,[1]Examen23!BC35)</f>
        <v>0</v>
      </c>
      <c r="BD47" s="32">
        <f t="shared" si="115"/>
        <v>-1</v>
      </c>
      <c r="BE47" s="33">
        <f>MAX([1]Examen21!BE35,[1]Examen22!BE35,[1]Examen23!BE35)</f>
        <v>0</v>
      </c>
      <c r="BF47" s="32">
        <f t="shared" si="116"/>
        <v>-1</v>
      </c>
      <c r="BG47" s="33">
        <f>MAX([1]Examen21!BG35,[1]Examen22!BG35,[1]Examen23!BG35)</f>
        <v>0</v>
      </c>
      <c r="BH47" s="32">
        <f t="shared" si="117"/>
        <v>-1</v>
      </c>
      <c r="BI47" s="33">
        <f>MAX([1]Examen21!BI35,[1]Examen22!BI35,[1]Examen23!BI35)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MAX([1]Examen21!B36,[1]Examen22!B36,[1]Examen23!B36)</f>
        <v>0</v>
      </c>
      <c r="C48" s="33">
        <f>MAX([1]Examen21!C36,[1]Examen22!C36,[1]Examen23!C36)</f>
        <v>0</v>
      </c>
      <c r="D48" s="32">
        <f t="shared" si="89"/>
        <v>-1</v>
      </c>
      <c r="E48" s="33">
        <f>MAX([1]Examen21!E36,[1]Examen22!E36,[1]Examen23!E36)</f>
        <v>0</v>
      </c>
      <c r="F48" s="32">
        <f t="shared" si="90"/>
        <v>-1</v>
      </c>
      <c r="G48" s="33">
        <f>MAX([1]Examen21!G36,[1]Examen22!G36,[1]Examen23!G36)</f>
        <v>0</v>
      </c>
      <c r="H48" s="32">
        <f t="shared" si="91"/>
        <v>-1</v>
      </c>
      <c r="I48" s="33">
        <f>MAX([1]Examen21!I36,[1]Examen22!I36,[1]Examen23!I36)</f>
        <v>0</v>
      </c>
      <c r="J48" s="32">
        <f t="shared" si="92"/>
        <v>-1</v>
      </c>
      <c r="K48" s="33">
        <f>MAX([1]Examen21!K36,[1]Examen22!K36,[1]Examen23!K36)</f>
        <v>0</v>
      </c>
      <c r="L48" s="32">
        <f t="shared" si="93"/>
        <v>-1</v>
      </c>
      <c r="M48" s="33">
        <f>MAX([1]Examen21!M36,[1]Examen22!M36,[1]Examen23!M36)</f>
        <v>0</v>
      </c>
      <c r="N48" s="32">
        <f t="shared" si="94"/>
        <v>-1</v>
      </c>
      <c r="O48" s="33">
        <f>MAX([1]Examen21!O36,[1]Examen22!O36,[1]Examen23!O36)</f>
        <v>0</v>
      </c>
      <c r="P48" s="32">
        <f t="shared" si="95"/>
        <v>-1</v>
      </c>
      <c r="Q48" s="33">
        <f>MAX([1]Examen21!Q36,[1]Examen22!Q36,[1]Examen23!Q36)</f>
        <v>0</v>
      </c>
      <c r="R48" s="32">
        <f t="shared" si="96"/>
        <v>-1</v>
      </c>
      <c r="S48" s="33">
        <f>MAX([1]Examen21!S36,[1]Examen22!S36,[1]Examen23!S36)</f>
        <v>0</v>
      </c>
      <c r="T48" s="32">
        <f t="shared" si="97"/>
        <v>-1</v>
      </c>
      <c r="U48" s="33">
        <f>MAX([1]Examen21!U36,[1]Examen22!U36,[1]Examen23!U36)</f>
        <v>0</v>
      </c>
      <c r="V48" s="32">
        <f t="shared" si="98"/>
        <v>-1</v>
      </c>
      <c r="W48" s="33">
        <f>MAX([1]Examen21!W36,[1]Examen22!W36,[1]Examen23!W36)</f>
        <v>0</v>
      </c>
      <c r="X48" s="32">
        <f t="shared" si="99"/>
        <v>-1</v>
      </c>
      <c r="Y48" s="33">
        <f>MAX([1]Examen21!Y36,[1]Examen22!Y36,[1]Examen23!Y36)</f>
        <v>0</v>
      </c>
      <c r="Z48" s="32">
        <f t="shared" si="100"/>
        <v>-1</v>
      </c>
      <c r="AA48" s="33">
        <f>MAX([1]Examen21!AA36,[1]Examen22!AA36,[1]Examen23!AA36)</f>
        <v>0</v>
      </c>
      <c r="AB48" s="32">
        <f t="shared" si="101"/>
        <v>-1</v>
      </c>
      <c r="AC48" s="33">
        <f>MAX([1]Examen21!AC36,[1]Examen22!AC36,[1]Examen23!AC36)</f>
        <v>0</v>
      </c>
      <c r="AD48" s="32">
        <f t="shared" si="102"/>
        <v>-1</v>
      </c>
      <c r="AE48" s="33">
        <f>MAX([1]Examen21!AE36,[1]Examen22!AE36,[1]Examen23!AE36)</f>
        <v>0</v>
      </c>
      <c r="AF48" s="32">
        <f t="shared" si="103"/>
        <v>-1</v>
      </c>
      <c r="AG48" s="33">
        <f>MAX([1]Examen21!AG36,[1]Examen22!AG36,[1]Examen23!AG36)</f>
        <v>0</v>
      </c>
      <c r="AH48" s="32">
        <f t="shared" si="104"/>
        <v>-1</v>
      </c>
      <c r="AI48" s="33">
        <f>MAX([1]Examen21!AI36,[1]Examen22!AI36,[1]Examen23!AI36)</f>
        <v>0</v>
      </c>
      <c r="AJ48" s="32">
        <f t="shared" si="105"/>
        <v>-1</v>
      </c>
      <c r="AK48" s="33">
        <f>MAX([1]Examen21!AK36,[1]Examen22!AK36,[1]Examen23!AK36)</f>
        <v>0</v>
      </c>
      <c r="AL48" s="32">
        <f t="shared" si="106"/>
        <v>-1</v>
      </c>
      <c r="AM48" s="33">
        <f>MAX([1]Examen21!AM36,[1]Examen22!AM36,[1]Examen23!AM36)</f>
        <v>0</v>
      </c>
      <c r="AN48" s="32">
        <f t="shared" si="107"/>
        <v>-1</v>
      </c>
      <c r="AO48" s="33">
        <f>MAX([1]Examen21!AO36,[1]Examen22!AO36,[1]Examen23!AO36)</f>
        <v>0</v>
      </c>
      <c r="AP48" s="32">
        <f t="shared" si="108"/>
        <v>-1</v>
      </c>
      <c r="AQ48" s="33">
        <f>MAX([1]Examen21!AQ36,[1]Examen22!AQ36,[1]Examen23!AQ36)</f>
        <v>0</v>
      </c>
      <c r="AR48" s="32">
        <f t="shared" si="109"/>
        <v>-1</v>
      </c>
      <c r="AS48" s="33">
        <f>MAX([1]Examen21!AS36,[1]Examen22!AS36,[1]Examen23!AS36)</f>
        <v>0</v>
      </c>
      <c r="AT48" s="32">
        <f t="shared" si="110"/>
        <v>-1</v>
      </c>
      <c r="AU48" s="33">
        <f>MAX([1]Examen21!AU36,[1]Examen22!AU36,[1]Examen23!AU36)</f>
        <v>0</v>
      </c>
      <c r="AV48" s="32">
        <f t="shared" si="111"/>
        <v>-1</v>
      </c>
      <c r="AW48" s="33">
        <f>MAX([1]Examen21!AW36,[1]Examen22!AW36,[1]Examen23!AW36)</f>
        <v>0</v>
      </c>
      <c r="AX48" s="32">
        <f t="shared" si="112"/>
        <v>-1</v>
      </c>
      <c r="AY48" s="33">
        <f>MAX([1]Examen21!AY36,[1]Examen22!AY36,[1]Examen23!AY36)</f>
        <v>0</v>
      </c>
      <c r="AZ48" s="32">
        <f t="shared" si="113"/>
        <v>-1</v>
      </c>
      <c r="BA48" s="33">
        <f>MAX([1]Examen21!BA36,[1]Examen22!BA36,[1]Examen23!BA36)</f>
        <v>0</v>
      </c>
      <c r="BB48" s="32">
        <f t="shared" si="114"/>
        <v>-1</v>
      </c>
      <c r="BC48" s="33">
        <f>MAX([1]Examen21!BC36,[1]Examen22!BC36,[1]Examen23!BC36)</f>
        <v>0</v>
      </c>
      <c r="BD48" s="32">
        <f t="shared" si="115"/>
        <v>-1</v>
      </c>
      <c r="BE48" s="33">
        <f>MAX([1]Examen21!BE36,[1]Examen22!BE36,[1]Examen23!BE36)</f>
        <v>0</v>
      </c>
      <c r="BF48" s="32">
        <f t="shared" si="116"/>
        <v>-1</v>
      </c>
      <c r="BG48" s="33">
        <f>MAX([1]Examen21!BG36,[1]Examen22!BG36,[1]Examen23!BG36)</f>
        <v>0</v>
      </c>
      <c r="BH48" s="32">
        <f t="shared" si="117"/>
        <v>-1</v>
      </c>
      <c r="BI48" s="33">
        <f>MAX([1]Examen21!BI36,[1]Examen22!BI36,[1]Examen23!BI36)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MAX([1]Examen21!B37,[1]Examen22!B37,[1]Examen23!B37)</f>
        <v>0</v>
      </c>
      <c r="C49" s="33">
        <f>MAX([1]Examen21!C37,[1]Examen22!C37,[1]Examen23!C37)</f>
        <v>0</v>
      </c>
      <c r="D49" s="32">
        <f t="shared" si="89"/>
        <v>-1</v>
      </c>
      <c r="E49" s="33">
        <f>MAX([1]Examen21!E37,[1]Examen22!E37,[1]Examen23!E37)</f>
        <v>0</v>
      </c>
      <c r="F49" s="32">
        <f t="shared" si="90"/>
        <v>-1</v>
      </c>
      <c r="G49" s="33">
        <f>MAX([1]Examen21!G37,[1]Examen22!G37,[1]Examen23!G37)</f>
        <v>0</v>
      </c>
      <c r="H49" s="32">
        <f t="shared" si="91"/>
        <v>-1</v>
      </c>
      <c r="I49" s="33">
        <f>MAX([1]Examen21!I37,[1]Examen22!I37,[1]Examen23!I37)</f>
        <v>0</v>
      </c>
      <c r="J49" s="32">
        <f t="shared" si="92"/>
        <v>-1</v>
      </c>
      <c r="K49" s="33">
        <f>MAX([1]Examen21!K37,[1]Examen22!K37,[1]Examen23!K37)</f>
        <v>0</v>
      </c>
      <c r="L49" s="32">
        <f t="shared" si="93"/>
        <v>-1</v>
      </c>
      <c r="M49" s="33">
        <f>MAX([1]Examen21!M37,[1]Examen22!M37,[1]Examen23!M37)</f>
        <v>0</v>
      </c>
      <c r="N49" s="32">
        <f t="shared" si="94"/>
        <v>-1</v>
      </c>
      <c r="O49" s="33">
        <f>MAX([1]Examen21!O37,[1]Examen22!O37,[1]Examen23!O37)</f>
        <v>0</v>
      </c>
      <c r="P49" s="32">
        <f t="shared" si="95"/>
        <v>-1</v>
      </c>
      <c r="Q49" s="33">
        <f>MAX([1]Examen21!Q37,[1]Examen22!Q37,[1]Examen23!Q37)</f>
        <v>0</v>
      </c>
      <c r="R49" s="32">
        <f t="shared" si="96"/>
        <v>-1</v>
      </c>
      <c r="S49" s="33">
        <f>MAX([1]Examen21!S37,[1]Examen22!S37,[1]Examen23!S37)</f>
        <v>0</v>
      </c>
      <c r="T49" s="32">
        <f t="shared" si="97"/>
        <v>-1</v>
      </c>
      <c r="U49" s="33">
        <f>MAX([1]Examen21!U37,[1]Examen22!U37,[1]Examen23!U37)</f>
        <v>0</v>
      </c>
      <c r="V49" s="32">
        <f t="shared" si="98"/>
        <v>-1</v>
      </c>
      <c r="W49" s="33">
        <f>MAX([1]Examen21!W37,[1]Examen22!W37,[1]Examen23!W37)</f>
        <v>0</v>
      </c>
      <c r="X49" s="32">
        <f t="shared" si="99"/>
        <v>-1</v>
      </c>
      <c r="Y49" s="33">
        <f>MAX([1]Examen21!Y37,[1]Examen22!Y37,[1]Examen23!Y37)</f>
        <v>0</v>
      </c>
      <c r="Z49" s="32">
        <f t="shared" si="100"/>
        <v>-1</v>
      </c>
      <c r="AA49" s="33">
        <f>MAX([1]Examen21!AA37,[1]Examen22!AA37,[1]Examen23!AA37)</f>
        <v>0</v>
      </c>
      <c r="AB49" s="32">
        <f t="shared" si="101"/>
        <v>-1</v>
      </c>
      <c r="AC49" s="33">
        <f>MAX([1]Examen21!AC37,[1]Examen22!AC37,[1]Examen23!AC37)</f>
        <v>0</v>
      </c>
      <c r="AD49" s="32">
        <f t="shared" si="102"/>
        <v>-1</v>
      </c>
      <c r="AE49" s="33">
        <f>MAX([1]Examen21!AE37,[1]Examen22!AE37,[1]Examen23!AE37)</f>
        <v>0</v>
      </c>
      <c r="AF49" s="32">
        <f t="shared" si="103"/>
        <v>-1</v>
      </c>
      <c r="AG49" s="33">
        <f>MAX([1]Examen21!AG37,[1]Examen22!AG37,[1]Examen23!AG37)</f>
        <v>0</v>
      </c>
      <c r="AH49" s="32">
        <f t="shared" si="104"/>
        <v>-1</v>
      </c>
      <c r="AI49" s="33">
        <f>MAX([1]Examen21!AI37,[1]Examen22!AI37,[1]Examen23!AI37)</f>
        <v>0</v>
      </c>
      <c r="AJ49" s="32">
        <f t="shared" si="105"/>
        <v>-1</v>
      </c>
      <c r="AK49" s="33">
        <f>MAX([1]Examen21!AK37,[1]Examen22!AK37,[1]Examen23!AK37)</f>
        <v>0</v>
      </c>
      <c r="AL49" s="32">
        <f t="shared" si="106"/>
        <v>-1</v>
      </c>
      <c r="AM49" s="33">
        <f>MAX([1]Examen21!AM37,[1]Examen22!AM37,[1]Examen23!AM37)</f>
        <v>0</v>
      </c>
      <c r="AN49" s="32">
        <f t="shared" si="107"/>
        <v>-1</v>
      </c>
      <c r="AO49" s="33">
        <f>MAX([1]Examen21!AO37,[1]Examen22!AO37,[1]Examen23!AO37)</f>
        <v>0</v>
      </c>
      <c r="AP49" s="32">
        <f t="shared" si="108"/>
        <v>-1</v>
      </c>
      <c r="AQ49" s="33">
        <f>MAX([1]Examen21!AQ37,[1]Examen22!AQ37,[1]Examen23!AQ37)</f>
        <v>0</v>
      </c>
      <c r="AR49" s="32">
        <f t="shared" si="109"/>
        <v>-1</v>
      </c>
      <c r="AS49" s="33">
        <f>MAX([1]Examen21!AS37,[1]Examen22!AS37,[1]Examen23!AS37)</f>
        <v>0</v>
      </c>
      <c r="AT49" s="32">
        <f t="shared" si="110"/>
        <v>-1</v>
      </c>
      <c r="AU49" s="33">
        <f>MAX([1]Examen21!AU37,[1]Examen22!AU37,[1]Examen23!AU37)</f>
        <v>0</v>
      </c>
      <c r="AV49" s="32">
        <f t="shared" si="111"/>
        <v>-1</v>
      </c>
      <c r="AW49" s="33">
        <f>MAX([1]Examen21!AW37,[1]Examen22!AW37,[1]Examen23!AW37)</f>
        <v>0</v>
      </c>
      <c r="AX49" s="32">
        <f t="shared" si="112"/>
        <v>-1</v>
      </c>
      <c r="AY49" s="33">
        <f>MAX([1]Examen21!AY37,[1]Examen22!AY37,[1]Examen23!AY37)</f>
        <v>0</v>
      </c>
      <c r="AZ49" s="32">
        <f t="shared" si="113"/>
        <v>-1</v>
      </c>
      <c r="BA49" s="33">
        <f>MAX([1]Examen21!BA37,[1]Examen22!BA37,[1]Examen23!BA37)</f>
        <v>0</v>
      </c>
      <c r="BB49" s="32">
        <f t="shared" si="114"/>
        <v>-1</v>
      </c>
      <c r="BC49" s="33">
        <f>MAX([1]Examen21!BC37,[1]Examen22!BC37,[1]Examen23!BC37)</f>
        <v>0</v>
      </c>
      <c r="BD49" s="32">
        <f t="shared" si="115"/>
        <v>-1</v>
      </c>
      <c r="BE49" s="33">
        <f>MAX([1]Examen21!BE37,[1]Examen22!BE37,[1]Examen23!BE37)</f>
        <v>0</v>
      </c>
      <c r="BF49" s="32">
        <f t="shared" si="116"/>
        <v>-1</v>
      </c>
      <c r="BG49" s="33">
        <f>MAX([1]Examen21!BG37,[1]Examen22!BG37,[1]Examen23!BG37)</f>
        <v>0</v>
      </c>
      <c r="BH49" s="32">
        <f t="shared" si="117"/>
        <v>-1</v>
      </c>
      <c r="BI49" s="33">
        <f>MAX([1]Examen21!BI37,[1]Examen22!BI37,[1]Examen23!BI37)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MAX([1]Examen21!B38,[1]Examen22!B38,[1]Examen23!B38)</f>
        <v>0</v>
      </c>
      <c r="C50" s="33">
        <f>MAX([1]Examen21!C38,[1]Examen22!C38,[1]Examen23!C38)</f>
        <v>0</v>
      </c>
      <c r="D50" s="32">
        <f t="shared" si="89"/>
        <v>-1</v>
      </c>
      <c r="E50" s="33">
        <f>MAX([1]Examen21!E38,[1]Examen22!E38,[1]Examen23!E38)</f>
        <v>0</v>
      </c>
      <c r="F50" s="32">
        <f t="shared" si="90"/>
        <v>-1</v>
      </c>
      <c r="G50" s="33">
        <f>MAX([1]Examen21!G38,[1]Examen22!G38,[1]Examen23!G38)</f>
        <v>0</v>
      </c>
      <c r="H50" s="32">
        <f t="shared" si="91"/>
        <v>-1</v>
      </c>
      <c r="I50" s="33">
        <f>MAX([1]Examen21!I38,[1]Examen22!I38,[1]Examen23!I38)</f>
        <v>0</v>
      </c>
      <c r="J50" s="32">
        <f t="shared" si="92"/>
        <v>-1</v>
      </c>
      <c r="K50" s="33">
        <f>MAX([1]Examen21!K38,[1]Examen22!K38,[1]Examen23!K38)</f>
        <v>0</v>
      </c>
      <c r="L50" s="32">
        <f t="shared" si="93"/>
        <v>-1</v>
      </c>
      <c r="M50" s="33">
        <f>MAX([1]Examen21!M38,[1]Examen22!M38,[1]Examen23!M38)</f>
        <v>0</v>
      </c>
      <c r="N50" s="32">
        <f t="shared" si="94"/>
        <v>-1</v>
      </c>
      <c r="O50" s="33">
        <f>MAX([1]Examen21!O38,[1]Examen22!O38,[1]Examen23!O38)</f>
        <v>0</v>
      </c>
      <c r="P50" s="32">
        <f t="shared" si="95"/>
        <v>-1</v>
      </c>
      <c r="Q50" s="33">
        <f>MAX([1]Examen21!Q38,[1]Examen22!Q38,[1]Examen23!Q38)</f>
        <v>0</v>
      </c>
      <c r="R50" s="32">
        <f t="shared" si="96"/>
        <v>-1</v>
      </c>
      <c r="S50" s="33">
        <f>MAX([1]Examen21!S38,[1]Examen22!S38,[1]Examen23!S38)</f>
        <v>0</v>
      </c>
      <c r="T50" s="32">
        <f t="shared" si="97"/>
        <v>-1</v>
      </c>
      <c r="U50" s="33">
        <f>MAX([1]Examen21!U38,[1]Examen22!U38,[1]Examen23!U38)</f>
        <v>0</v>
      </c>
      <c r="V50" s="32">
        <f t="shared" si="98"/>
        <v>-1</v>
      </c>
      <c r="W50" s="33">
        <f>MAX([1]Examen21!W38,[1]Examen22!W38,[1]Examen23!W38)</f>
        <v>0</v>
      </c>
      <c r="X50" s="32">
        <f t="shared" si="99"/>
        <v>-1</v>
      </c>
      <c r="Y50" s="33">
        <f>MAX([1]Examen21!Y38,[1]Examen22!Y38,[1]Examen23!Y38)</f>
        <v>0</v>
      </c>
      <c r="Z50" s="32">
        <f t="shared" si="100"/>
        <v>-1</v>
      </c>
      <c r="AA50" s="33">
        <f>MAX([1]Examen21!AA38,[1]Examen22!AA38,[1]Examen23!AA38)</f>
        <v>0</v>
      </c>
      <c r="AB50" s="32">
        <f t="shared" si="101"/>
        <v>-1</v>
      </c>
      <c r="AC50" s="33">
        <f>MAX([1]Examen21!AC38,[1]Examen22!AC38,[1]Examen23!AC38)</f>
        <v>0</v>
      </c>
      <c r="AD50" s="32">
        <f t="shared" si="102"/>
        <v>-1</v>
      </c>
      <c r="AE50" s="33">
        <f>MAX([1]Examen21!AE38,[1]Examen22!AE38,[1]Examen23!AE38)</f>
        <v>0</v>
      </c>
      <c r="AF50" s="32">
        <f t="shared" si="103"/>
        <v>-1</v>
      </c>
      <c r="AG50" s="33">
        <f>MAX([1]Examen21!AG38,[1]Examen22!AG38,[1]Examen23!AG38)</f>
        <v>0</v>
      </c>
      <c r="AH50" s="32">
        <f t="shared" si="104"/>
        <v>-1</v>
      </c>
      <c r="AI50" s="33">
        <f>MAX([1]Examen21!AI38,[1]Examen22!AI38,[1]Examen23!AI38)</f>
        <v>0</v>
      </c>
      <c r="AJ50" s="32">
        <f t="shared" si="105"/>
        <v>-1</v>
      </c>
      <c r="AK50" s="33">
        <f>MAX([1]Examen21!AK38,[1]Examen22!AK38,[1]Examen23!AK38)</f>
        <v>0</v>
      </c>
      <c r="AL50" s="32">
        <f t="shared" si="106"/>
        <v>-1</v>
      </c>
      <c r="AM50" s="33">
        <f>MAX([1]Examen21!AM38,[1]Examen22!AM38,[1]Examen23!AM38)</f>
        <v>0</v>
      </c>
      <c r="AN50" s="32">
        <f t="shared" si="107"/>
        <v>-1</v>
      </c>
      <c r="AO50" s="33">
        <f>MAX([1]Examen21!AO38,[1]Examen22!AO38,[1]Examen23!AO38)</f>
        <v>0</v>
      </c>
      <c r="AP50" s="32">
        <f t="shared" si="108"/>
        <v>-1</v>
      </c>
      <c r="AQ50" s="33">
        <f>MAX([1]Examen21!AQ38,[1]Examen22!AQ38,[1]Examen23!AQ38)</f>
        <v>0</v>
      </c>
      <c r="AR50" s="32">
        <f t="shared" si="109"/>
        <v>-1</v>
      </c>
      <c r="AS50" s="33">
        <f>MAX([1]Examen21!AS38,[1]Examen22!AS38,[1]Examen23!AS38)</f>
        <v>0</v>
      </c>
      <c r="AT50" s="32">
        <f t="shared" si="110"/>
        <v>-1</v>
      </c>
      <c r="AU50" s="33">
        <f>MAX([1]Examen21!AU38,[1]Examen22!AU38,[1]Examen23!AU38)</f>
        <v>0</v>
      </c>
      <c r="AV50" s="32">
        <f t="shared" si="111"/>
        <v>-1</v>
      </c>
      <c r="AW50" s="33">
        <f>MAX([1]Examen21!AW38,[1]Examen22!AW38,[1]Examen23!AW38)</f>
        <v>0</v>
      </c>
      <c r="AX50" s="32">
        <f t="shared" si="112"/>
        <v>-1</v>
      </c>
      <c r="AY50" s="33">
        <f>MAX([1]Examen21!AY38,[1]Examen22!AY38,[1]Examen23!AY38)</f>
        <v>0</v>
      </c>
      <c r="AZ50" s="32">
        <f t="shared" si="113"/>
        <v>-1</v>
      </c>
      <c r="BA50" s="33">
        <f>MAX([1]Examen21!BA38,[1]Examen22!BA38,[1]Examen23!BA38)</f>
        <v>0</v>
      </c>
      <c r="BB50" s="32">
        <f t="shared" si="114"/>
        <v>-1</v>
      </c>
      <c r="BC50" s="33">
        <f>MAX([1]Examen21!BC38,[1]Examen22!BC38,[1]Examen23!BC38)</f>
        <v>0</v>
      </c>
      <c r="BD50" s="32">
        <f t="shared" si="115"/>
        <v>-1</v>
      </c>
      <c r="BE50" s="33">
        <f>MAX([1]Examen21!BE38,[1]Examen22!BE38,[1]Examen23!BE38)</f>
        <v>0</v>
      </c>
      <c r="BF50" s="32">
        <f t="shared" si="116"/>
        <v>-1</v>
      </c>
      <c r="BG50" s="33">
        <f>MAX([1]Examen21!BG38,[1]Examen22!BG38,[1]Examen23!BG38)</f>
        <v>0</v>
      </c>
      <c r="BH50" s="32">
        <f t="shared" si="117"/>
        <v>-1</v>
      </c>
      <c r="BI50" s="33">
        <f>MAX([1]Examen21!BI38,[1]Examen22!BI38,[1]Examen23!BI38)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MAX([1]Examen21!B39,[1]Examen22!B39,[1]Examen23!B39)</f>
        <v>0</v>
      </c>
      <c r="C51" s="33">
        <f>MAX([1]Examen21!C39,[1]Examen22!C39,[1]Examen23!C39)</f>
        <v>0</v>
      </c>
      <c r="D51" s="32">
        <f t="shared" si="89"/>
        <v>-1</v>
      </c>
      <c r="E51" s="33">
        <f>MAX([1]Examen21!E39,[1]Examen22!E39,[1]Examen23!E39)</f>
        <v>0</v>
      </c>
      <c r="F51" s="32">
        <f t="shared" si="90"/>
        <v>-1</v>
      </c>
      <c r="G51" s="33">
        <f>MAX([1]Examen21!G39,[1]Examen22!G39,[1]Examen23!G39)</f>
        <v>0</v>
      </c>
      <c r="H51" s="32">
        <f t="shared" si="91"/>
        <v>-1</v>
      </c>
      <c r="I51" s="33">
        <f>MAX([1]Examen21!I39,[1]Examen22!I39,[1]Examen23!I39)</f>
        <v>0</v>
      </c>
      <c r="J51" s="32">
        <f t="shared" si="92"/>
        <v>-1</v>
      </c>
      <c r="K51" s="33">
        <f>MAX([1]Examen21!K39,[1]Examen22!K39,[1]Examen23!K39)</f>
        <v>0</v>
      </c>
      <c r="L51" s="32">
        <f t="shared" si="93"/>
        <v>-1</v>
      </c>
      <c r="M51" s="33">
        <f>MAX([1]Examen21!M39,[1]Examen22!M39,[1]Examen23!M39)</f>
        <v>0</v>
      </c>
      <c r="N51" s="32">
        <f t="shared" si="94"/>
        <v>-1</v>
      </c>
      <c r="O51" s="33">
        <f>MAX([1]Examen21!O39,[1]Examen22!O39,[1]Examen23!O39)</f>
        <v>0</v>
      </c>
      <c r="P51" s="32">
        <f t="shared" si="95"/>
        <v>-1</v>
      </c>
      <c r="Q51" s="33">
        <f>MAX([1]Examen21!Q39,[1]Examen22!Q39,[1]Examen23!Q39)</f>
        <v>0</v>
      </c>
      <c r="R51" s="32">
        <f t="shared" si="96"/>
        <v>-1</v>
      </c>
      <c r="S51" s="33">
        <f>MAX([1]Examen21!S39,[1]Examen22!S39,[1]Examen23!S39)</f>
        <v>0</v>
      </c>
      <c r="T51" s="32">
        <f t="shared" si="97"/>
        <v>-1</v>
      </c>
      <c r="U51" s="33">
        <f>MAX([1]Examen21!U39,[1]Examen22!U39,[1]Examen23!U39)</f>
        <v>0</v>
      </c>
      <c r="V51" s="32">
        <f t="shared" si="98"/>
        <v>-1</v>
      </c>
      <c r="W51" s="33">
        <f>MAX([1]Examen21!W39,[1]Examen22!W39,[1]Examen23!W39)</f>
        <v>0</v>
      </c>
      <c r="X51" s="32">
        <f t="shared" si="99"/>
        <v>-1</v>
      </c>
      <c r="Y51" s="33">
        <f>MAX([1]Examen21!Y39,[1]Examen22!Y39,[1]Examen23!Y39)</f>
        <v>0</v>
      </c>
      <c r="Z51" s="32">
        <f t="shared" si="100"/>
        <v>-1</v>
      </c>
      <c r="AA51" s="33">
        <f>MAX([1]Examen21!AA39,[1]Examen22!AA39,[1]Examen23!AA39)</f>
        <v>0</v>
      </c>
      <c r="AB51" s="32">
        <f t="shared" si="101"/>
        <v>-1</v>
      </c>
      <c r="AC51" s="33">
        <f>MAX([1]Examen21!AC39,[1]Examen22!AC39,[1]Examen23!AC39)</f>
        <v>0</v>
      </c>
      <c r="AD51" s="32">
        <f t="shared" si="102"/>
        <v>-1</v>
      </c>
      <c r="AE51" s="33">
        <f>MAX([1]Examen21!AE39,[1]Examen22!AE39,[1]Examen23!AE39)</f>
        <v>0</v>
      </c>
      <c r="AF51" s="32">
        <f t="shared" si="103"/>
        <v>-1</v>
      </c>
      <c r="AG51" s="33">
        <f>MAX([1]Examen21!AG39,[1]Examen22!AG39,[1]Examen23!AG39)</f>
        <v>0</v>
      </c>
      <c r="AH51" s="32">
        <f t="shared" si="104"/>
        <v>-1</v>
      </c>
      <c r="AI51" s="33">
        <f>MAX([1]Examen21!AI39,[1]Examen22!AI39,[1]Examen23!AI39)</f>
        <v>0</v>
      </c>
      <c r="AJ51" s="32">
        <f t="shared" si="105"/>
        <v>-1</v>
      </c>
      <c r="AK51" s="33">
        <f>MAX([1]Examen21!AK39,[1]Examen22!AK39,[1]Examen23!AK39)</f>
        <v>0</v>
      </c>
      <c r="AL51" s="32">
        <f t="shared" si="106"/>
        <v>-1</v>
      </c>
      <c r="AM51" s="33">
        <f>MAX([1]Examen21!AM39,[1]Examen22!AM39,[1]Examen23!AM39)</f>
        <v>0</v>
      </c>
      <c r="AN51" s="32">
        <f t="shared" si="107"/>
        <v>-1</v>
      </c>
      <c r="AO51" s="33">
        <f>MAX([1]Examen21!AO39,[1]Examen22!AO39,[1]Examen23!AO39)</f>
        <v>0</v>
      </c>
      <c r="AP51" s="32">
        <f t="shared" si="108"/>
        <v>-1</v>
      </c>
      <c r="AQ51" s="33">
        <f>MAX([1]Examen21!AQ39,[1]Examen22!AQ39,[1]Examen23!AQ39)</f>
        <v>0</v>
      </c>
      <c r="AR51" s="32">
        <f t="shared" si="109"/>
        <v>-1</v>
      </c>
      <c r="AS51" s="33">
        <f>MAX([1]Examen21!AS39,[1]Examen22!AS39,[1]Examen23!AS39)</f>
        <v>0</v>
      </c>
      <c r="AT51" s="32">
        <f t="shared" si="110"/>
        <v>-1</v>
      </c>
      <c r="AU51" s="33">
        <f>MAX([1]Examen21!AU39,[1]Examen22!AU39,[1]Examen23!AU39)</f>
        <v>0</v>
      </c>
      <c r="AV51" s="32">
        <f t="shared" si="111"/>
        <v>-1</v>
      </c>
      <c r="AW51" s="33">
        <f>MAX([1]Examen21!AW39,[1]Examen22!AW39,[1]Examen23!AW39)</f>
        <v>0</v>
      </c>
      <c r="AX51" s="32">
        <f t="shared" si="112"/>
        <v>-1</v>
      </c>
      <c r="AY51" s="33">
        <f>MAX([1]Examen21!AY39,[1]Examen22!AY39,[1]Examen23!AY39)</f>
        <v>0</v>
      </c>
      <c r="AZ51" s="32">
        <f t="shared" si="113"/>
        <v>-1</v>
      </c>
      <c r="BA51" s="33">
        <f>MAX([1]Examen21!BA39,[1]Examen22!BA39,[1]Examen23!BA39)</f>
        <v>0</v>
      </c>
      <c r="BB51" s="32">
        <f t="shared" si="114"/>
        <v>-1</v>
      </c>
      <c r="BC51" s="33">
        <f>MAX([1]Examen21!BC39,[1]Examen22!BC39,[1]Examen23!BC39)</f>
        <v>0</v>
      </c>
      <c r="BD51" s="32">
        <f t="shared" si="115"/>
        <v>-1</v>
      </c>
      <c r="BE51" s="33">
        <f>MAX([1]Examen21!BE39,[1]Examen22!BE39,[1]Examen23!BE39)</f>
        <v>0</v>
      </c>
      <c r="BF51" s="32">
        <f t="shared" si="116"/>
        <v>-1</v>
      </c>
      <c r="BG51" s="33">
        <f>MAX([1]Examen21!BG39,[1]Examen22!BG39,[1]Examen23!BG39)</f>
        <v>0</v>
      </c>
      <c r="BH51" s="32">
        <f t="shared" si="117"/>
        <v>-1</v>
      </c>
      <c r="BI51" s="33">
        <f>MAX([1]Examen21!BI39,[1]Examen22!BI39,[1]Examen23!BI39)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MAX([1]Examen21!B40,[1]Examen22!B40,[1]Examen23!B40)</f>
        <v>0</v>
      </c>
      <c r="C52" s="33">
        <f>MAX([1]Examen21!C40,[1]Examen22!C40,[1]Examen23!C40)</f>
        <v>0</v>
      </c>
      <c r="D52" s="32">
        <f t="shared" si="89"/>
        <v>-1</v>
      </c>
      <c r="E52" s="33">
        <f>MAX([1]Examen21!E40,[1]Examen22!E40,[1]Examen23!E40)</f>
        <v>0</v>
      </c>
      <c r="F52" s="32">
        <f t="shared" si="90"/>
        <v>-1</v>
      </c>
      <c r="G52" s="33">
        <f>MAX([1]Examen21!G40,[1]Examen22!G40,[1]Examen23!G40)</f>
        <v>0</v>
      </c>
      <c r="H52" s="32">
        <f t="shared" si="91"/>
        <v>-1</v>
      </c>
      <c r="I52" s="33">
        <f>MAX([1]Examen21!I40,[1]Examen22!I40,[1]Examen23!I40)</f>
        <v>0</v>
      </c>
      <c r="J52" s="32">
        <f t="shared" si="92"/>
        <v>-1</v>
      </c>
      <c r="K52" s="33">
        <f>MAX([1]Examen21!K40,[1]Examen22!K40,[1]Examen23!K40)</f>
        <v>0</v>
      </c>
      <c r="L52" s="32">
        <f t="shared" si="93"/>
        <v>-1</v>
      </c>
      <c r="M52" s="33">
        <f>MAX([1]Examen21!M40,[1]Examen22!M40,[1]Examen23!M40)</f>
        <v>0</v>
      </c>
      <c r="N52" s="32">
        <f t="shared" si="94"/>
        <v>-1</v>
      </c>
      <c r="O52" s="33">
        <f>MAX([1]Examen21!O40,[1]Examen22!O40,[1]Examen23!O40)</f>
        <v>0</v>
      </c>
      <c r="P52" s="32">
        <f t="shared" si="95"/>
        <v>-1</v>
      </c>
      <c r="Q52" s="33">
        <f>MAX([1]Examen21!Q40,[1]Examen22!Q40,[1]Examen23!Q40)</f>
        <v>0</v>
      </c>
      <c r="R52" s="32">
        <f t="shared" si="96"/>
        <v>-1</v>
      </c>
      <c r="S52" s="33">
        <f>MAX([1]Examen21!S40,[1]Examen22!S40,[1]Examen23!S40)</f>
        <v>0</v>
      </c>
      <c r="T52" s="32">
        <f t="shared" si="97"/>
        <v>-1</v>
      </c>
      <c r="U52" s="33">
        <f>MAX([1]Examen21!U40,[1]Examen22!U40,[1]Examen23!U40)</f>
        <v>0</v>
      </c>
      <c r="V52" s="32">
        <f t="shared" si="98"/>
        <v>-1</v>
      </c>
      <c r="W52" s="33">
        <f>MAX([1]Examen21!W40,[1]Examen22!W40,[1]Examen23!W40)</f>
        <v>0</v>
      </c>
      <c r="X52" s="32">
        <f t="shared" si="99"/>
        <v>-1</v>
      </c>
      <c r="Y52" s="33">
        <f>MAX([1]Examen21!Y40,[1]Examen22!Y40,[1]Examen23!Y40)</f>
        <v>0</v>
      </c>
      <c r="Z52" s="32">
        <f t="shared" si="100"/>
        <v>-1</v>
      </c>
      <c r="AA52" s="33">
        <f>MAX([1]Examen21!AA40,[1]Examen22!AA40,[1]Examen23!AA40)</f>
        <v>0</v>
      </c>
      <c r="AB52" s="32">
        <f t="shared" si="101"/>
        <v>-1</v>
      </c>
      <c r="AC52" s="33">
        <f>MAX([1]Examen21!AC40,[1]Examen22!AC40,[1]Examen23!AC40)</f>
        <v>0</v>
      </c>
      <c r="AD52" s="32">
        <f t="shared" si="102"/>
        <v>-1</v>
      </c>
      <c r="AE52" s="33">
        <f>MAX([1]Examen21!AE40,[1]Examen22!AE40,[1]Examen23!AE40)</f>
        <v>0</v>
      </c>
      <c r="AF52" s="32">
        <f t="shared" si="103"/>
        <v>-1</v>
      </c>
      <c r="AG52" s="33">
        <f>MAX([1]Examen21!AG40,[1]Examen22!AG40,[1]Examen23!AG40)</f>
        <v>0</v>
      </c>
      <c r="AH52" s="32">
        <f t="shared" si="104"/>
        <v>-1</v>
      </c>
      <c r="AI52" s="33">
        <f>MAX([1]Examen21!AI40,[1]Examen22!AI40,[1]Examen23!AI40)</f>
        <v>0</v>
      </c>
      <c r="AJ52" s="32">
        <f t="shared" si="105"/>
        <v>-1</v>
      </c>
      <c r="AK52" s="33">
        <f>MAX([1]Examen21!AK40,[1]Examen22!AK40,[1]Examen23!AK40)</f>
        <v>0</v>
      </c>
      <c r="AL52" s="32">
        <f t="shared" si="106"/>
        <v>-1</v>
      </c>
      <c r="AM52" s="33">
        <f>MAX([1]Examen21!AM40,[1]Examen22!AM40,[1]Examen23!AM40)</f>
        <v>0</v>
      </c>
      <c r="AN52" s="32">
        <f t="shared" si="107"/>
        <v>-1</v>
      </c>
      <c r="AO52" s="33">
        <f>MAX([1]Examen21!AO40,[1]Examen22!AO40,[1]Examen23!AO40)</f>
        <v>0</v>
      </c>
      <c r="AP52" s="32">
        <f t="shared" si="108"/>
        <v>-1</v>
      </c>
      <c r="AQ52" s="33">
        <f>MAX([1]Examen21!AQ40,[1]Examen22!AQ40,[1]Examen23!AQ40)</f>
        <v>0</v>
      </c>
      <c r="AR52" s="32">
        <f t="shared" si="109"/>
        <v>-1</v>
      </c>
      <c r="AS52" s="33">
        <f>MAX([1]Examen21!AS40,[1]Examen22!AS40,[1]Examen23!AS40)</f>
        <v>0</v>
      </c>
      <c r="AT52" s="32">
        <f t="shared" si="110"/>
        <v>-1</v>
      </c>
      <c r="AU52" s="33">
        <f>MAX([1]Examen21!AU40,[1]Examen22!AU40,[1]Examen23!AU40)</f>
        <v>0</v>
      </c>
      <c r="AV52" s="32">
        <f t="shared" si="111"/>
        <v>-1</v>
      </c>
      <c r="AW52" s="33">
        <f>MAX([1]Examen21!AW40,[1]Examen22!AW40,[1]Examen23!AW40)</f>
        <v>0</v>
      </c>
      <c r="AX52" s="32">
        <f t="shared" si="112"/>
        <v>-1</v>
      </c>
      <c r="AY52" s="33">
        <f>MAX([1]Examen21!AY40,[1]Examen22!AY40,[1]Examen23!AY40)</f>
        <v>0</v>
      </c>
      <c r="AZ52" s="32">
        <f t="shared" si="113"/>
        <v>-1</v>
      </c>
      <c r="BA52" s="33">
        <f>MAX([1]Examen21!BA40,[1]Examen22!BA40,[1]Examen23!BA40)</f>
        <v>0</v>
      </c>
      <c r="BB52" s="32">
        <f t="shared" si="114"/>
        <v>-1</v>
      </c>
      <c r="BC52" s="33">
        <f>MAX([1]Examen21!BC40,[1]Examen22!BC40,[1]Examen23!BC40)</f>
        <v>0</v>
      </c>
      <c r="BD52" s="32">
        <f t="shared" si="115"/>
        <v>-1</v>
      </c>
      <c r="BE52" s="33">
        <f>MAX([1]Examen21!BE40,[1]Examen22!BE40,[1]Examen23!BE40)</f>
        <v>0</v>
      </c>
      <c r="BF52" s="32">
        <f t="shared" si="116"/>
        <v>-1</v>
      </c>
      <c r="BG52" s="33">
        <f>MAX([1]Examen21!BG40,[1]Examen22!BG40,[1]Examen23!BG40)</f>
        <v>0</v>
      </c>
      <c r="BH52" s="32">
        <f t="shared" si="117"/>
        <v>-1</v>
      </c>
      <c r="BI52" s="33">
        <f>MAX([1]Examen21!BI40,[1]Examen22!BI40,[1]Examen23!BI40)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MAX([1]Examen21!B41,[1]Examen22!B41,[1]Examen23!B41)</f>
        <v>0</v>
      </c>
      <c r="C53" s="33">
        <f>MAX([1]Examen21!C41,[1]Examen22!C41,[1]Examen23!C41)</f>
        <v>0</v>
      </c>
      <c r="D53" s="32">
        <f t="shared" si="89"/>
        <v>-1</v>
      </c>
      <c r="E53" s="33">
        <f>MAX([1]Examen21!E41,[1]Examen22!E41,[1]Examen23!E41)</f>
        <v>0</v>
      </c>
      <c r="F53" s="32">
        <f t="shared" si="90"/>
        <v>-1</v>
      </c>
      <c r="G53" s="33">
        <f>MAX([1]Examen21!G41,[1]Examen22!G41,[1]Examen23!G41)</f>
        <v>0</v>
      </c>
      <c r="H53" s="32">
        <f t="shared" si="91"/>
        <v>-1</v>
      </c>
      <c r="I53" s="33">
        <f>MAX([1]Examen21!I41,[1]Examen22!I41,[1]Examen23!I41)</f>
        <v>0</v>
      </c>
      <c r="J53" s="32">
        <f t="shared" si="92"/>
        <v>-1</v>
      </c>
      <c r="K53" s="33">
        <f>MAX([1]Examen21!K41,[1]Examen22!K41,[1]Examen23!K41)</f>
        <v>0</v>
      </c>
      <c r="L53" s="32">
        <f t="shared" si="93"/>
        <v>-1</v>
      </c>
      <c r="M53" s="33">
        <f>MAX([1]Examen21!M41,[1]Examen22!M41,[1]Examen23!M41)</f>
        <v>0</v>
      </c>
      <c r="N53" s="32">
        <f t="shared" si="94"/>
        <v>-1</v>
      </c>
      <c r="O53" s="33">
        <f>MAX([1]Examen21!O41,[1]Examen22!O41,[1]Examen23!O41)</f>
        <v>0</v>
      </c>
      <c r="P53" s="32">
        <f t="shared" si="95"/>
        <v>-1</v>
      </c>
      <c r="Q53" s="33">
        <f>MAX([1]Examen21!Q41,[1]Examen22!Q41,[1]Examen23!Q41)</f>
        <v>0</v>
      </c>
      <c r="R53" s="32">
        <f t="shared" si="96"/>
        <v>-1</v>
      </c>
      <c r="S53" s="33">
        <f>MAX([1]Examen21!S41,[1]Examen22!S41,[1]Examen23!S41)</f>
        <v>0</v>
      </c>
      <c r="T53" s="32">
        <f t="shared" si="97"/>
        <v>-1</v>
      </c>
      <c r="U53" s="33">
        <f>MAX([1]Examen21!U41,[1]Examen22!U41,[1]Examen23!U41)</f>
        <v>0</v>
      </c>
      <c r="V53" s="32">
        <f t="shared" si="98"/>
        <v>-1</v>
      </c>
      <c r="W53" s="33">
        <f>MAX([1]Examen21!W41,[1]Examen22!W41,[1]Examen23!W41)</f>
        <v>0</v>
      </c>
      <c r="X53" s="32">
        <f t="shared" si="99"/>
        <v>-1</v>
      </c>
      <c r="Y53" s="33">
        <f>MAX([1]Examen21!Y41,[1]Examen22!Y41,[1]Examen23!Y41)</f>
        <v>0</v>
      </c>
      <c r="Z53" s="32">
        <f t="shared" si="100"/>
        <v>-1</v>
      </c>
      <c r="AA53" s="33">
        <f>MAX([1]Examen21!AA41,[1]Examen22!AA41,[1]Examen23!AA41)</f>
        <v>0</v>
      </c>
      <c r="AB53" s="32">
        <f t="shared" si="101"/>
        <v>-1</v>
      </c>
      <c r="AC53" s="33">
        <f>MAX([1]Examen21!AC41,[1]Examen22!AC41,[1]Examen23!AC41)</f>
        <v>0</v>
      </c>
      <c r="AD53" s="32">
        <f t="shared" si="102"/>
        <v>-1</v>
      </c>
      <c r="AE53" s="33">
        <f>MAX([1]Examen21!AE41,[1]Examen22!AE41,[1]Examen23!AE41)</f>
        <v>0</v>
      </c>
      <c r="AF53" s="32">
        <f t="shared" si="103"/>
        <v>-1</v>
      </c>
      <c r="AG53" s="33">
        <f>MAX([1]Examen21!AG41,[1]Examen22!AG41,[1]Examen23!AG41)</f>
        <v>0</v>
      </c>
      <c r="AH53" s="32">
        <f t="shared" si="104"/>
        <v>-1</v>
      </c>
      <c r="AI53" s="33">
        <f>MAX([1]Examen21!AI41,[1]Examen22!AI41,[1]Examen23!AI41)</f>
        <v>0</v>
      </c>
      <c r="AJ53" s="32">
        <f t="shared" si="105"/>
        <v>-1</v>
      </c>
      <c r="AK53" s="33">
        <f>MAX([1]Examen21!AK41,[1]Examen22!AK41,[1]Examen23!AK41)</f>
        <v>0</v>
      </c>
      <c r="AL53" s="32">
        <f t="shared" si="106"/>
        <v>-1</v>
      </c>
      <c r="AM53" s="33">
        <f>MAX([1]Examen21!AM41,[1]Examen22!AM41,[1]Examen23!AM41)</f>
        <v>0</v>
      </c>
      <c r="AN53" s="32">
        <f t="shared" si="107"/>
        <v>-1</v>
      </c>
      <c r="AO53" s="33">
        <f>MAX([1]Examen21!AO41,[1]Examen22!AO41,[1]Examen23!AO41)</f>
        <v>0</v>
      </c>
      <c r="AP53" s="32">
        <f t="shared" si="108"/>
        <v>-1</v>
      </c>
      <c r="AQ53" s="33">
        <f>MAX([1]Examen21!AQ41,[1]Examen22!AQ41,[1]Examen23!AQ41)</f>
        <v>0</v>
      </c>
      <c r="AR53" s="32">
        <f t="shared" si="109"/>
        <v>-1</v>
      </c>
      <c r="AS53" s="33">
        <f>MAX([1]Examen21!AS41,[1]Examen22!AS41,[1]Examen23!AS41)</f>
        <v>0</v>
      </c>
      <c r="AT53" s="32">
        <f t="shared" si="110"/>
        <v>-1</v>
      </c>
      <c r="AU53" s="33">
        <f>MAX([1]Examen21!AU41,[1]Examen22!AU41,[1]Examen23!AU41)</f>
        <v>0</v>
      </c>
      <c r="AV53" s="32">
        <f t="shared" si="111"/>
        <v>-1</v>
      </c>
      <c r="AW53" s="33">
        <f>MAX([1]Examen21!AW41,[1]Examen22!AW41,[1]Examen23!AW41)</f>
        <v>0</v>
      </c>
      <c r="AX53" s="32">
        <f t="shared" si="112"/>
        <v>-1</v>
      </c>
      <c r="AY53" s="33">
        <f>MAX([1]Examen21!AY41,[1]Examen22!AY41,[1]Examen23!AY41)</f>
        <v>0</v>
      </c>
      <c r="AZ53" s="32">
        <f t="shared" si="113"/>
        <v>-1</v>
      </c>
      <c r="BA53" s="33">
        <f>MAX([1]Examen21!BA41,[1]Examen22!BA41,[1]Examen23!BA41)</f>
        <v>0</v>
      </c>
      <c r="BB53" s="32">
        <f t="shared" si="114"/>
        <v>-1</v>
      </c>
      <c r="BC53" s="33">
        <f>MAX([1]Examen21!BC41,[1]Examen22!BC41,[1]Examen23!BC41)</f>
        <v>0</v>
      </c>
      <c r="BD53" s="32">
        <f t="shared" si="115"/>
        <v>-1</v>
      </c>
      <c r="BE53" s="33">
        <f>MAX([1]Examen21!BE41,[1]Examen22!BE41,[1]Examen23!BE41)</f>
        <v>0</v>
      </c>
      <c r="BF53" s="32">
        <f t="shared" si="116"/>
        <v>-1</v>
      </c>
      <c r="BG53" s="33">
        <f>MAX([1]Examen21!BG41,[1]Examen22!BG41,[1]Examen23!BG41)</f>
        <v>0</v>
      </c>
      <c r="BH53" s="32">
        <f t="shared" si="117"/>
        <v>-1</v>
      </c>
      <c r="BI53" s="33">
        <f>MAX([1]Examen21!BI41,[1]Examen22!BI41,[1]Examen23!BI41)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MAX([1]Examen21!B42,[1]Examen22!B42,[1]Examen23!B42)</f>
        <v>0</v>
      </c>
      <c r="C54" s="33">
        <f>MAX([1]Examen21!C42,[1]Examen22!C42,[1]Examen23!C42)</f>
        <v>0</v>
      </c>
      <c r="D54" s="32">
        <f t="shared" si="89"/>
        <v>-1</v>
      </c>
      <c r="E54" s="33">
        <f>MAX([1]Examen21!E42,[1]Examen22!E42,[1]Examen23!E42)</f>
        <v>0</v>
      </c>
      <c r="F54" s="32">
        <f t="shared" si="90"/>
        <v>-1</v>
      </c>
      <c r="G54" s="33">
        <f>MAX([1]Examen21!G42,[1]Examen22!G42,[1]Examen23!G42)</f>
        <v>0</v>
      </c>
      <c r="H54" s="32">
        <f t="shared" si="91"/>
        <v>-1</v>
      </c>
      <c r="I54" s="33">
        <f>MAX([1]Examen21!I42,[1]Examen22!I42,[1]Examen23!I42)</f>
        <v>0</v>
      </c>
      <c r="J54" s="32">
        <f t="shared" si="92"/>
        <v>-1</v>
      </c>
      <c r="K54" s="33">
        <f>MAX([1]Examen21!K42,[1]Examen22!K42,[1]Examen23!K42)</f>
        <v>0</v>
      </c>
      <c r="L54" s="32">
        <f t="shared" si="93"/>
        <v>-1</v>
      </c>
      <c r="M54" s="33">
        <f>MAX([1]Examen21!M42,[1]Examen22!M42,[1]Examen23!M42)</f>
        <v>0</v>
      </c>
      <c r="N54" s="32">
        <f t="shared" si="94"/>
        <v>-1</v>
      </c>
      <c r="O54" s="33">
        <f>MAX([1]Examen21!O42,[1]Examen22!O42,[1]Examen23!O42)</f>
        <v>0</v>
      </c>
      <c r="P54" s="32">
        <f t="shared" si="95"/>
        <v>-1</v>
      </c>
      <c r="Q54" s="33">
        <f>MAX([1]Examen21!Q42,[1]Examen22!Q42,[1]Examen23!Q42)</f>
        <v>0</v>
      </c>
      <c r="R54" s="32">
        <f t="shared" si="96"/>
        <v>-1</v>
      </c>
      <c r="S54" s="33">
        <f>MAX([1]Examen21!S42,[1]Examen22!S42,[1]Examen23!S42)</f>
        <v>0</v>
      </c>
      <c r="T54" s="32">
        <f t="shared" si="97"/>
        <v>-1</v>
      </c>
      <c r="U54" s="33">
        <f>MAX([1]Examen21!U42,[1]Examen22!U42,[1]Examen23!U42)</f>
        <v>0</v>
      </c>
      <c r="V54" s="32">
        <f t="shared" si="98"/>
        <v>-1</v>
      </c>
      <c r="W54" s="33">
        <f>MAX([1]Examen21!W42,[1]Examen22!W42,[1]Examen23!W42)</f>
        <v>0</v>
      </c>
      <c r="X54" s="32">
        <f t="shared" si="99"/>
        <v>-1</v>
      </c>
      <c r="Y54" s="33">
        <f>MAX([1]Examen21!Y42,[1]Examen22!Y42,[1]Examen23!Y42)</f>
        <v>0</v>
      </c>
      <c r="Z54" s="32">
        <f t="shared" si="100"/>
        <v>-1</v>
      </c>
      <c r="AA54" s="33">
        <f>MAX([1]Examen21!AA42,[1]Examen22!AA42,[1]Examen23!AA42)</f>
        <v>0</v>
      </c>
      <c r="AB54" s="32">
        <f t="shared" si="101"/>
        <v>-1</v>
      </c>
      <c r="AC54" s="33">
        <f>MAX([1]Examen21!AC42,[1]Examen22!AC42,[1]Examen23!AC42)</f>
        <v>0</v>
      </c>
      <c r="AD54" s="32">
        <f t="shared" si="102"/>
        <v>-1</v>
      </c>
      <c r="AE54" s="33">
        <f>MAX([1]Examen21!AE42,[1]Examen22!AE42,[1]Examen23!AE42)</f>
        <v>0</v>
      </c>
      <c r="AF54" s="32">
        <f t="shared" si="103"/>
        <v>-1</v>
      </c>
      <c r="AG54" s="33">
        <f>MAX([1]Examen21!AG42,[1]Examen22!AG42,[1]Examen23!AG42)</f>
        <v>0</v>
      </c>
      <c r="AH54" s="32">
        <f t="shared" si="104"/>
        <v>-1</v>
      </c>
      <c r="AI54" s="33">
        <f>MAX([1]Examen21!AI42,[1]Examen22!AI42,[1]Examen23!AI42)</f>
        <v>0</v>
      </c>
      <c r="AJ54" s="32">
        <f t="shared" si="105"/>
        <v>-1</v>
      </c>
      <c r="AK54" s="33">
        <f>MAX([1]Examen21!AK42,[1]Examen22!AK42,[1]Examen23!AK42)</f>
        <v>0</v>
      </c>
      <c r="AL54" s="32">
        <f t="shared" si="106"/>
        <v>-1</v>
      </c>
      <c r="AM54" s="33">
        <f>MAX([1]Examen21!AM42,[1]Examen22!AM42,[1]Examen23!AM42)</f>
        <v>0</v>
      </c>
      <c r="AN54" s="32">
        <f t="shared" si="107"/>
        <v>-1</v>
      </c>
      <c r="AO54" s="33">
        <f>MAX([1]Examen21!AO42,[1]Examen22!AO42,[1]Examen23!AO42)</f>
        <v>0</v>
      </c>
      <c r="AP54" s="32">
        <f t="shared" si="108"/>
        <v>-1</v>
      </c>
      <c r="AQ54" s="33">
        <f>MAX([1]Examen21!AQ42,[1]Examen22!AQ42,[1]Examen23!AQ42)</f>
        <v>0</v>
      </c>
      <c r="AR54" s="32">
        <f t="shared" si="109"/>
        <v>-1</v>
      </c>
      <c r="AS54" s="33">
        <f>MAX([1]Examen21!AS42,[1]Examen22!AS42,[1]Examen23!AS42)</f>
        <v>0</v>
      </c>
      <c r="AT54" s="32">
        <f t="shared" si="110"/>
        <v>-1</v>
      </c>
      <c r="AU54" s="33">
        <f>MAX([1]Examen21!AU42,[1]Examen22!AU42,[1]Examen23!AU42)</f>
        <v>0</v>
      </c>
      <c r="AV54" s="32">
        <f t="shared" si="111"/>
        <v>-1</v>
      </c>
      <c r="AW54" s="33">
        <f>MAX([1]Examen21!AW42,[1]Examen22!AW42,[1]Examen23!AW42)</f>
        <v>0</v>
      </c>
      <c r="AX54" s="32">
        <f t="shared" si="112"/>
        <v>-1</v>
      </c>
      <c r="AY54" s="33">
        <f>MAX([1]Examen21!AY42,[1]Examen22!AY42,[1]Examen23!AY42)</f>
        <v>0</v>
      </c>
      <c r="AZ54" s="32">
        <f t="shared" si="113"/>
        <v>-1</v>
      </c>
      <c r="BA54" s="33">
        <f>MAX([1]Examen21!BA42,[1]Examen22!BA42,[1]Examen23!BA42)</f>
        <v>0</v>
      </c>
      <c r="BB54" s="32">
        <f t="shared" si="114"/>
        <v>-1</v>
      </c>
      <c r="BC54" s="33">
        <f>MAX([1]Examen21!BC42,[1]Examen22!BC42,[1]Examen23!BC42)</f>
        <v>0</v>
      </c>
      <c r="BD54" s="32">
        <f t="shared" si="115"/>
        <v>-1</v>
      </c>
      <c r="BE54" s="33">
        <f>MAX([1]Examen21!BE42,[1]Examen22!BE42,[1]Examen23!BE42)</f>
        <v>0</v>
      </c>
      <c r="BF54" s="32">
        <f t="shared" si="116"/>
        <v>-1</v>
      </c>
      <c r="BG54" s="33">
        <f>MAX([1]Examen21!BG42,[1]Examen22!BG42,[1]Examen23!BG42)</f>
        <v>0</v>
      </c>
      <c r="BH54" s="32">
        <f t="shared" si="117"/>
        <v>-1</v>
      </c>
      <c r="BI54" s="33">
        <f>MAX([1]Examen21!BI42,[1]Examen22!BI42,[1]Examen23!BI42)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MAX([1]Examen21!B43,[1]Examen22!B43,[1]Examen23!B43)</f>
        <v>0</v>
      </c>
      <c r="C55" s="33">
        <f>MAX([1]Examen21!C43,[1]Examen22!C43,[1]Examen23!C43)</f>
        <v>0</v>
      </c>
      <c r="D55" s="32">
        <f t="shared" si="89"/>
        <v>-1</v>
      </c>
      <c r="E55" s="33">
        <f>MAX([1]Examen21!E43,[1]Examen22!E43,[1]Examen23!E43)</f>
        <v>0</v>
      </c>
      <c r="F55" s="32">
        <f t="shared" si="90"/>
        <v>-1</v>
      </c>
      <c r="G55" s="33">
        <f>MAX([1]Examen21!G43,[1]Examen22!G43,[1]Examen23!G43)</f>
        <v>0</v>
      </c>
      <c r="H55" s="32">
        <f t="shared" si="91"/>
        <v>-1</v>
      </c>
      <c r="I55" s="33">
        <f>MAX([1]Examen21!I43,[1]Examen22!I43,[1]Examen23!I43)</f>
        <v>0</v>
      </c>
      <c r="J55" s="32">
        <f t="shared" si="92"/>
        <v>-1</v>
      </c>
      <c r="K55" s="33">
        <f>MAX([1]Examen21!K43,[1]Examen22!K43,[1]Examen23!K43)</f>
        <v>0</v>
      </c>
      <c r="L55" s="32">
        <f t="shared" si="93"/>
        <v>-1</v>
      </c>
      <c r="M55" s="33">
        <f>MAX([1]Examen21!M43,[1]Examen22!M43,[1]Examen23!M43)</f>
        <v>0</v>
      </c>
      <c r="N55" s="32">
        <f t="shared" si="94"/>
        <v>-1</v>
      </c>
      <c r="O55" s="33">
        <f>MAX([1]Examen21!O43,[1]Examen22!O43,[1]Examen23!O43)</f>
        <v>0</v>
      </c>
      <c r="P55" s="32">
        <f t="shared" si="95"/>
        <v>-1</v>
      </c>
      <c r="Q55" s="33">
        <f>MAX([1]Examen21!Q43,[1]Examen22!Q43,[1]Examen23!Q43)</f>
        <v>0</v>
      </c>
      <c r="R55" s="32">
        <f t="shared" si="96"/>
        <v>-1</v>
      </c>
      <c r="S55" s="33">
        <f>MAX([1]Examen21!S43,[1]Examen22!S43,[1]Examen23!S43)</f>
        <v>0</v>
      </c>
      <c r="T55" s="32">
        <f t="shared" si="97"/>
        <v>-1</v>
      </c>
      <c r="U55" s="33">
        <f>MAX([1]Examen21!U43,[1]Examen22!U43,[1]Examen23!U43)</f>
        <v>0</v>
      </c>
      <c r="V55" s="32">
        <f t="shared" si="98"/>
        <v>-1</v>
      </c>
      <c r="W55" s="33">
        <f>MAX([1]Examen21!W43,[1]Examen22!W43,[1]Examen23!W43)</f>
        <v>0</v>
      </c>
      <c r="X55" s="32">
        <f t="shared" si="99"/>
        <v>-1</v>
      </c>
      <c r="Y55" s="33">
        <f>MAX([1]Examen21!Y43,[1]Examen22!Y43,[1]Examen23!Y43)</f>
        <v>0</v>
      </c>
      <c r="Z55" s="32">
        <f t="shared" si="100"/>
        <v>-1</v>
      </c>
      <c r="AA55" s="33">
        <f>MAX([1]Examen21!AA43,[1]Examen22!AA43,[1]Examen23!AA43)</f>
        <v>0</v>
      </c>
      <c r="AB55" s="32">
        <f t="shared" si="101"/>
        <v>-1</v>
      </c>
      <c r="AC55" s="33">
        <f>MAX([1]Examen21!AC43,[1]Examen22!AC43,[1]Examen23!AC43)</f>
        <v>0</v>
      </c>
      <c r="AD55" s="32">
        <f t="shared" si="102"/>
        <v>-1</v>
      </c>
      <c r="AE55" s="33">
        <f>MAX([1]Examen21!AE43,[1]Examen22!AE43,[1]Examen23!AE43)</f>
        <v>0</v>
      </c>
      <c r="AF55" s="32">
        <f t="shared" si="103"/>
        <v>-1</v>
      </c>
      <c r="AG55" s="33">
        <f>MAX([1]Examen21!AG43,[1]Examen22!AG43,[1]Examen23!AG43)</f>
        <v>0</v>
      </c>
      <c r="AH55" s="32">
        <f t="shared" si="104"/>
        <v>-1</v>
      </c>
      <c r="AI55" s="33">
        <f>MAX([1]Examen21!AI43,[1]Examen22!AI43,[1]Examen23!AI43)</f>
        <v>0</v>
      </c>
      <c r="AJ55" s="32">
        <f t="shared" si="105"/>
        <v>-1</v>
      </c>
      <c r="AK55" s="33">
        <f>MAX([1]Examen21!AK43,[1]Examen22!AK43,[1]Examen23!AK43)</f>
        <v>0</v>
      </c>
      <c r="AL55" s="32">
        <f t="shared" si="106"/>
        <v>-1</v>
      </c>
      <c r="AM55" s="33">
        <f>MAX([1]Examen21!AM43,[1]Examen22!AM43,[1]Examen23!AM43)</f>
        <v>0</v>
      </c>
      <c r="AN55" s="32">
        <f t="shared" si="107"/>
        <v>-1</v>
      </c>
      <c r="AO55" s="33">
        <f>MAX([1]Examen21!AO43,[1]Examen22!AO43,[1]Examen23!AO43)</f>
        <v>0</v>
      </c>
      <c r="AP55" s="32">
        <f t="shared" si="108"/>
        <v>-1</v>
      </c>
      <c r="AQ55" s="33">
        <f>MAX([1]Examen21!AQ43,[1]Examen22!AQ43,[1]Examen23!AQ43)</f>
        <v>0</v>
      </c>
      <c r="AR55" s="32">
        <f t="shared" si="109"/>
        <v>-1</v>
      </c>
      <c r="AS55" s="33">
        <f>MAX([1]Examen21!AS43,[1]Examen22!AS43,[1]Examen23!AS43)</f>
        <v>0</v>
      </c>
      <c r="AT55" s="32">
        <f t="shared" si="110"/>
        <v>-1</v>
      </c>
      <c r="AU55" s="33">
        <f>MAX([1]Examen21!AU43,[1]Examen22!AU43,[1]Examen23!AU43)</f>
        <v>0</v>
      </c>
      <c r="AV55" s="32">
        <f t="shared" si="111"/>
        <v>-1</v>
      </c>
      <c r="AW55" s="33">
        <f>MAX([1]Examen21!AW43,[1]Examen22!AW43,[1]Examen23!AW43)</f>
        <v>0</v>
      </c>
      <c r="AX55" s="32">
        <f t="shared" si="112"/>
        <v>-1</v>
      </c>
      <c r="AY55" s="33">
        <f>MAX([1]Examen21!AY43,[1]Examen22!AY43,[1]Examen23!AY43)</f>
        <v>0</v>
      </c>
      <c r="AZ55" s="32">
        <f t="shared" si="113"/>
        <v>-1</v>
      </c>
      <c r="BA55" s="33">
        <f>MAX([1]Examen21!BA43,[1]Examen22!BA43,[1]Examen23!BA43)</f>
        <v>0</v>
      </c>
      <c r="BB55" s="32">
        <f t="shared" si="114"/>
        <v>-1</v>
      </c>
      <c r="BC55" s="33">
        <f>MAX([1]Examen21!BC43,[1]Examen22!BC43,[1]Examen23!BC43)</f>
        <v>0</v>
      </c>
      <c r="BD55" s="32">
        <f t="shared" si="115"/>
        <v>-1</v>
      </c>
      <c r="BE55" s="33">
        <f>MAX([1]Examen21!BE43,[1]Examen22!BE43,[1]Examen23!BE43)</f>
        <v>0</v>
      </c>
      <c r="BF55" s="32">
        <f t="shared" si="116"/>
        <v>-1</v>
      </c>
      <c r="BG55" s="33">
        <f>MAX([1]Examen21!BG43,[1]Examen22!BG43,[1]Examen23!BG43)</f>
        <v>0</v>
      </c>
      <c r="BH55" s="32">
        <f t="shared" si="117"/>
        <v>-1</v>
      </c>
      <c r="BI55" s="33">
        <f>MAX([1]Examen21!BI43,[1]Examen22!BI43,[1]Examen23!BI43)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MAX([1]Examen21!B44,[1]Examen22!B44,[1]Examen23!B44)</f>
        <v>0</v>
      </c>
      <c r="C56" s="33">
        <f>MAX([1]Examen21!C44,[1]Examen22!C44,[1]Examen23!C44)</f>
        <v>0</v>
      </c>
      <c r="D56" s="32">
        <f t="shared" si="89"/>
        <v>-1</v>
      </c>
      <c r="E56" s="33">
        <f>MAX([1]Examen21!E44,[1]Examen22!E44,[1]Examen23!E44)</f>
        <v>0</v>
      </c>
      <c r="F56" s="32">
        <f t="shared" si="90"/>
        <v>-1</v>
      </c>
      <c r="G56" s="33">
        <f>MAX([1]Examen21!G44,[1]Examen22!G44,[1]Examen23!G44)</f>
        <v>0</v>
      </c>
      <c r="H56" s="32">
        <f t="shared" si="91"/>
        <v>-1</v>
      </c>
      <c r="I56" s="33">
        <f>MAX([1]Examen21!I44,[1]Examen22!I44,[1]Examen23!I44)</f>
        <v>0</v>
      </c>
      <c r="J56" s="32">
        <f t="shared" si="92"/>
        <v>-1</v>
      </c>
      <c r="K56" s="33">
        <f>MAX([1]Examen21!K44,[1]Examen22!K44,[1]Examen23!K44)</f>
        <v>0</v>
      </c>
      <c r="L56" s="32">
        <f t="shared" si="93"/>
        <v>-1</v>
      </c>
      <c r="M56" s="33">
        <f>MAX([1]Examen21!M44,[1]Examen22!M44,[1]Examen23!M44)</f>
        <v>0</v>
      </c>
      <c r="N56" s="32">
        <f t="shared" si="94"/>
        <v>-1</v>
      </c>
      <c r="O56" s="33">
        <f>MAX([1]Examen21!O44,[1]Examen22!O44,[1]Examen23!O44)</f>
        <v>0</v>
      </c>
      <c r="P56" s="32">
        <f t="shared" si="95"/>
        <v>-1</v>
      </c>
      <c r="Q56" s="33">
        <f>MAX([1]Examen21!Q44,[1]Examen22!Q44,[1]Examen23!Q44)</f>
        <v>0</v>
      </c>
      <c r="R56" s="32">
        <f t="shared" si="96"/>
        <v>-1</v>
      </c>
      <c r="S56" s="33">
        <f>MAX([1]Examen21!S44,[1]Examen22!S44,[1]Examen23!S44)</f>
        <v>0</v>
      </c>
      <c r="T56" s="32">
        <f t="shared" si="97"/>
        <v>-1</v>
      </c>
      <c r="U56" s="33">
        <f>MAX([1]Examen21!U44,[1]Examen22!U44,[1]Examen23!U44)</f>
        <v>0</v>
      </c>
      <c r="V56" s="32">
        <f t="shared" si="98"/>
        <v>-1</v>
      </c>
      <c r="W56" s="33">
        <f>MAX([1]Examen21!W44,[1]Examen22!W44,[1]Examen23!W44)</f>
        <v>0</v>
      </c>
      <c r="X56" s="32">
        <f t="shared" si="99"/>
        <v>-1</v>
      </c>
      <c r="Y56" s="33">
        <f>MAX([1]Examen21!Y44,[1]Examen22!Y44,[1]Examen23!Y44)</f>
        <v>0</v>
      </c>
      <c r="Z56" s="32">
        <f t="shared" si="100"/>
        <v>-1</v>
      </c>
      <c r="AA56" s="33">
        <f>MAX([1]Examen21!AA44,[1]Examen22!AA44,[1]Examen23!AA44)</f>
        <v>0</v>
      </c>
      <c r="AB56" s="32">
        <f t="shared" si="101"/>
        <v>-1</v>
      </c>
      <c r="AC56" s="33">
        <f>MAX([1]Examen21!AC44,[1]Examen22!AC44,[1]Examen23!AC44)</f>
        <v>0</v>
      </c>
      <c r="AD56" s="32">
        <f t="shared" si="102"/>
        <v>-1</v>
      </c>
      <c r="AE56" s="33">
        <f>MAX([1]Examen21!AE44,[1]Examen22!AE44,[1]Examen23!AE44)</f>
        <v>0</v>
      </c>
      <c r="AF56" s="32">
        <f t="shared" si="103"/>
        <v>-1</v>
      </c>
      <c r="AG56" s="33">
        <f>MAX([1]Examen21!AG44,[1]Examen22!AG44,[1]Examen23!AG44)</f>
        <v>0</v>
      </c>
      <c r="AH56" s="32">
        <f t="shared" si="104"/>
        <v>-1</v>
      </c>
      <c r="AI56" s="33">
        <f>MAX([1]Examen21!AI44,[1]Examen22!AI44,[1]Examen23!AI44)</f>
        <v>0</v>
      </c>
      <c r="AJ56" s="32">
        <f t="shared" si="105"/>
        <v>-1</v>
      </c>
      <c r="AK56" s="33">
        <f>MAX([1]Examen21!AK44,[1]Examen22!AK44,[1]Examen23!AK44)</f>
        <v>0</v>
      </c>
      <c r="AL56" s="32">
        <f t="shared" si="106"/>
        <v>-1</v>
      </c>
      <c r="AM56" s="33">
        <f>MAX([1]Examen21!AM44,[1]Examen22!AM44,[1]Examen23!AM44)</f>
        <v>0</v>
      </c>
      <c r="AN56" s="32">
        <f t="shared" si="107"/>
        <v>-1</v>
      </c>
      <c r="AO56" s="33">
        <f>MAX([1]Examen21!AO44,[1]Examen22!AO44,[1]Examen23!AO44)</f>
        <v>0</v>
      </c>
      <c r="AP56" s="32">
        <f t="shared" si="108"/>
        <v>-1</v>
      </c>
      <c r="AQ56" s="33">
        <f>MAX([1]Examen21!AQ44,[1]Examen22!AQ44,[1]Examen23!AQ44)</f>
        <v>0</v>
      </c>
      <c r="AR56" s="32">
        <f t="shared" si="109"/>
        <v>-1</v>
      </c>
      <c r="AS56" s="33">
        <f>MAX([1]Examen21!AS44,[1]Examen22!AS44,[1]Examen23!AS44)</f>
        <v>0</v>
      </c>
      <c r="AT56" s="32">
        <f t="shared" si="110"/>
        <v>-1</v>
      </c>
      <c r="AU56" s="33">
        <f>MAX([1]Examen21!AU44,[1]Examen22!AU44,[1]Examen23!AU44)</f>
        <v>0</v>
      </c>
      <c r="AV56" s="32">
        <f t="shared" si="111"/>
        <v>-1</v>
      </c>
      <c r="AW56" s="33">
        <f>MAX([1]Examen21!AW44,[1]Examen22!AW44,[1]Examen23!AW44)</f>
        <v>0</v>
      </c>
      <c r="AX56" s="32">
        <f t="shared" si="112"/>
        <v>-1</v>
      </c>
      <c r="AY56" s="33">
        <f>MAX([1]Examen21!AY44,[1]Examen22!AY44,[1]Examen23!AY44)</f>
        <v>0</v>
      </c>
      <c r="AZ56" s="32">
        <f t="shared" si="113"/>
        <v>-1</v>
      </c>
      <c r="BA56" s="33">
        <f>MAX([1]Examen21!BA44,[1]Examen22!BA44,[1]Examen23!BA44)</f>
        <v>0</v>
      </c>
      <c r="BB56" s="32">
        <f t="shared" si="114"/>
        <v>-1</v>
      </c>
      <c r="BC56" s="33">
        <f>MAX([1]Examen21!BC44,[1]Examen22!BC44,[1]Examen23!BC44)</f>
        <v>0</v>
      </c>
      <c r="BD56" s="32">
        <f t="shared" si="115"/>
        <v>-1</v>
      </c>
      <c r="BE56" s="33">
        <f>MAX([1]Examen21!BE44,[1]Examen22!BE44,[1]Examen23!BE44)</f>
        <v>0</v>
      </c>
      <c r="BF56" s="32">
        <f t="shared" si="116"/>
        <v>-1</v>
      </c>
      <c r="BG56" s="33">
        <f>MAX([1]Examen21!BG44,[1]Examen22!BG44,[1]Examen23!BG44)</f>
        <v>0</v>
      </c>
      <c r="BH56" s="32">
        <f t="shared" si="117"/>
        <v>-1</v>
      </c>
      <c r="BI56" s="33">
        <f>MAX([1]Examen21!BI44,[1]Examen22!BI44,[1]Examen23!BI44)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MAX([1]Examen21!B45,[1]Examen22!B45,[1]Examen23!B45)</f>
        <v>0</v>
      </c>
      <c r="C57" s="33">
        <f>MAX([1]Examen21!C45,[1]Examen22!C45,[1]Examen23!C45)</f>
        <v>0</v>
      </c>
      <c r="D57" s="32">
        <f t="shared" si="89"/>
        <v>-1</v>
      </c>
      <c r="E57" s="33">
        <f>MAX([1]Examen21!E45,[1]Examen22!E45,[1]Examen23!E45)</f>
        <v>0</v>
      </c>
      <c r="F57" s="32">
        <f t="shared" si="90"/>
        <v>-1</v>
      </c>
      <c r="G57" s="33">
        <f>MAX([1]Examen21!G45,[1]Examen22!G45,[1]Examen23!G45)</f>
        <v>0</v>
      </c>
      <c r="H57" s="32">
        <f t="shared" si="91"/>
        <v>-1</v>
      </c>
      <c r="I57" s="33">
        <f>MAX([1]Examen21!I45,[1]Examen22!I45,[1]Examen23!I45)</f>
        <v>0</v>
      </c>
      <c r="J57" s="32">
        <f t="shared" si="92"/>
        <v>-1</v>
      </c>
      <c r="K57" s="33">
        <f>MAX([1]Examen21!K45,[1]Examen22!K45,[1]Examen23!K45)</f>
        <v>0</v>
      </c>
      <c r="L57" s="32">
        <f t="shared" si="93"/>
        <v>-1</v>
      </c>
      <c r="M57" s="33">
        <f>MAX([1]Examen21!M45,[1]Examen22!M45,[1]Examen23!M45)</f>
        <v>0</v>
      </c>
      <c r="N57" s="32">
        <f t="shared" si="94"/>
        <v>-1</v>
      </c>
      <c r="O57" s="33">
        <f>MAX([1]Examen21!O45,[1]Examen22!O45,[1]Examen23!O45)</f>
        <v>0</v>
      </c>
      <c r="P57" s="32">
        <f t="shared" si="95"/>
        <v>-1</v>
      </c>
      <c r="Q57" s="33">
        <f>MAX([1]Examen21!Q45,[1]Examen22!Q45,[1]Examen23!Q45)</f>
        <v>0</v>
      </c>
      <c r="R57" s="32">
        <f t="shared" si="96"/>
        <v>-1</v>
      </c>
      <c r="S57" s="33">
        <f>MAX([1]Examen21!S45,[1]Examen22!S45,[1]Examen23!S45)</f>
        <v>0</v>
      </c>
      <c r="T57" s="32">
        <f t="shared" si="97"/>
        <v>-1</v>
      </c>
      <c r="U57" s="33">
        <f>MAX([1]Examen21!U45,[1]Examen22!U45,[1]Examen23!U45)</f>
        <v>0</v>
      </c>
      <c r="V57" s="32">
        <f t="shared" si="98"/>
        <v>-1</v>
      </c>
      <c r="W57" s="33">
        <f>MAX([1]Examen21!W45,[1]Examen22!W45,[1]Examen23!W45)</f>
        <v>0</v>
      </c>
      <c r="X57" s="32">
        <f t="shared" si="99"/>
        <v>-1</v>
      </c>
      <c r="Y57" s="33">
        <f>MAX([1]Examen21!Y45,[1]Examen22!Y45,[1]Examen23!Y45)</f>
        <v>0</v>
      </c>
      <c r="Z57" s="32">
        <f t="shared" si="100"/>
        <v>-1</v>
      </c>
      <c r="AA57" s="33">
        <f>MAX([1]Examen21!AA45,[1]Examen22!AA45,[1]Examen23!AA45)</f>
        <v>0</v>
      </c>
      <c r="AB57" s="32">
        <f t="shared" si="101"/>
        <v>-1</v>
      </c>
      <c r="AC57" s="33">
        <f>MAX([1]Examen21!AC45,[1]Examen22!AC45,[1]Examen23!AC45)</f>
        <v>0</v>
      </c>
      <c r="AD57" s="32">
        <f t="shared" si="102"/>
        <v>-1</v>
      </c>
      <c r="AE57" s="33">
        <f>MAX([1]Examen21!AE45,[1]Examen22!AE45,[1]Examen23!AE45)</f>
        <v>0</v>
      </c>
      <c r="AF57" s="32">
        <f t="shared" si="103"/>
        <v>-1</v>
      </c>
      <c r="AG57" s="33">
        <f>MAX([1]Examen21!AG45,[1]Examen22!AG45,[1]Examen23!AG45)</f>
        <v>0</v>
      </c>
      <c r="AH57" s="32">
        <f t="shared" si="104"/>
        <v>-1</v>
      </c>
      <c r="AI57" s="33">
        <f>MAX([1]Examen21!AI45,[1]Examen22!AI45,[1]Examen23!AI45)</f>
        <v>0</v>
      </c>
      <c r="AJ57" s="32">
        <f t="shared" si="105"/>
        <v>-1</v>
      </c>
      <c r="AK57" s="33">
        <f>MAX([1]Examen21!AK45,[1]Examen22!AK45,[1]Examen23!AK45)</f>
        <v>0</v>
      </c>
      <c r="AL57" s="32">
        <f t="shared" si="106"/>
        <v>-1</v>
      </c>
      <c r="AM57" s="33">
        <f>MAX([1]Examen21!AM45,[1]Examen22!AM45,[1]Examen23!AM45)</f>
        <v>0</v>
      </c>
      <c r="AN57" s="32">
        <f t="shared" si="107"/>
        <v>-1</v>
      </c>
      <c r="AO57" s="33">
        <f>MAX([1]Examen21!AO45,[1]Examen22!AO45,[1]Examen23!AO45)</f>
        <v>0</v>
      </c>
      <c r="AP57" s="32">
        <f t="shared" si="108"/>
        <v>-1</v>
      </c>
      <c r="AQ57" s="33">
        <f>MAX([1]Examen21!AQ45,[1]Examen22!AQ45,[1]Examen23!AQ45)</f>
        <v>0</v>
      </c>
      <c r="AR57" s="32">
        <f t="shared" si="109"/>
        <v>-1</v>
      </c>
      <c r="AS57" s="33">
        <f>MAX([1]Examen21!AS45,[1]Examen22!AS45,[1]Examen23!AS45)</f>
        <v>0</v>
      </c>
      <c r="AT57" s="32">
        <f t="shared" si="110"/>
        <v>-1</v>
      </c>
      <c r="AU57" s="33">
        <f>MAX([1]Examen21!AU45,[1]Examen22!AU45,[1]Examen23!AU45)</f>
        <v>0</v>
      </c>
      <c r="AV57" s="32">
        <f t="shared" si="111"/>
        <v>-1</v>
      </c>
      <c r="AW57" s="33">
        <f>MAX([1]Examen21!AW45,[1]Examen22!AW45,[1]Examen23!AW45)</f>
        <v>0</v>
      </c>
      <c r="AX57" s="32">
        <f t="shared" si="112"/>
        <v>-1</v>
      </c>
      <c r="AY57" s="33">
        <f>MAX([1]Examen21!AY45,[1]Examen22!AY45,[1]Examen23!AY45)</f>
        <v>0</v>
      </c>
      <c r="AZ57" s="32">
        <f t="shared" si="113"/>
        <v>-1</v>
      </c>
      <c r="BA57" s="33">
        <f>MAX([1]Examen21!BA45,[1]Examen22!BA45,[1]Examen23!BA45)</f>
        <v>0</v>
      </c>
      <c r="BB57" s="32">
        <f t="shared" si="114"/>
        <v>-1</v>
      </c>
      <c r="BC57" s="33">
        <f>MAX([1]Examen21!BC45,[1]Examen22!BC45,[1]Examen23!BC45)</f>
        <v>0</v>
      </c>
      <c r="BD57" s="32">
        <f t="shared" si="115"/>
        <v>-1</v>
      </c>
      <c r="BE57" s="33">
        <f>MAX([1]Examen21!BE45,[1]Examen22!BE45,[1]Examen23!BE45)</f>
        <v>0</v>
      </c>
      <c r="BF57" s="32">
        <f t="shared" si="116"/>
        <v>-1</v>
      </c>
      <c r="BG57" s="33">
        <f>MAX([1]Examen21!BG45,[1]Examen22!BG45,[1]Examen23!BG45)</f>
        <v>0</v>
      </c>
      <c r="BH57" s="32">
        <f t="shared" si="117"/>
        <v>-1</v>
      </c>
      <c r="BI57" s="33">
        <f>MAX([1]Examen21!BI45,[1]Examen22!BI45,[1]Examen23!BI45)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MAX([1]Examen21!B46,[1]Examen22!B46,[1]Examen23!B46)</f>
        <v>0</v>
      </c>
      <c r="C58" s="33">
        <f>MAX([1]Examen21!C46,[1]Examen22!C46,[1]Examen23!C46)</f>
        <v>0</v>
      </c>
      <c r="D58" s="32">
        <f t="shared" si="89"/>
        <v>-1</v>
      </c>
      <c r="E58" s="33">
        <f>MAX([1]Examen21!E46,[1]Examen22!E46,[1]Examen23!E46)</f>
        <v>0</v>
      </c>
      <c r="F58" s="32">
        <f t="shared" si="90"/>
        <v>-1</v>
      </c>
      <c r="G58" s="33">
        <f>MAX([1]Examen21!G46,[1]Examen22!G46,[1]Examen23!G46)</f>
        <v>0</v>
      </c>
      <c r="H58" s="32">
        <f t="shared" si="91"/>
        <v>-1</v>
      </c>
      <c r="I58" s="33">
        <f>MAX([1]Examen21!I46,[1]Examen22!I46,[1]Examen23!I46)</f>
        <v>0</v>
      </c>
      <c r="J58" s="32">
        <f t="shared" si="92"/>
        <v>-1</v>
      </c>
      <c r="K58" s="33">
        <f>MAX([1]Examen21!K46,[1]Examen22!K46,[1]Examen23!K46)</f>
        <v>0</v>
      </c>
      <c r="L58" s="32">
        <f t="shared" si="93"/>
        <v>-1</v>
      </c>
      <c r="M58" s="33">
        <f>MAX([1]Examen21!M46,[1]Examen22!M46,[1]Examen23!M46)</f>
        <v>0</v>
      </c>
      <c r="N58" s="32">
        <f t="shared" si="94"/>
        <v>-1</v>
      </c>
      <c r="O58" s="33">
        <f>MAX([1]Examen21!O46,[1]Examen22!O46,[1]Examen23!O46)</f>
        <v>0</v>
      </c>
      <c r="P58" s="32">
        <f t="shared" si="95"/>
        <v>-1</v>
      </c>
      <c r="Q58" s="33">
        <f>MAX([1]Examen21!Q46,[1]Examen22!Q46,[1]Examen23!Q46)</f>
        <v>0</v>
      </c>
      <c r="R58" s="32">
        <f t="shared" si="96"/>
        <v>-1</v>
      </c>
      <c r="S58" s="33">
        <f>MAX([1]Examen21!S46,[1]Examen22!S46,[1]Examen23!S46)</f>
        <v>0</v>
      </c>
      <c r="T58" s="32">
        <f t="shared" si="97"/>
        <v>-1</v>
      </c>
      <c r="U58" s="33">
        <f>MAX([1]Examen21!U46,[1]Examen22!U46,[1]Examen23!U46)</f>
        <v>0</v>
      </c>
      <c r="V58" s="32">
        <f t="shared" si="98"/>
        <v>-1</v>
      </c>
      <c r="W58" s="33">
        <f>MAX([1]Examen21!W46,[1]Examen22!W46,[1]Examen23!W46)</f>
        <v>0</v>
      </c>
      <c r="X58" s="32">
        <f t="shared" si="99"/>
        <v>-1</v>
      </c>
      <c r="Y58" s="33">
        <f>MAX([1]Examen21!Y46,[1]Examen22!Y46,[1]Examen23!Y46)</f>
        <v>0</v>
      </c>
      <c r="Z58" s="32">
        <f t="shared" si="100"/>
        <v>-1</v>
      </c>
      <c r="AA58" s="33">
        <f>MAX([1]Examen21!AA46,[1]Examen22!AA46,[1]Examen23!AA46)</f>
        <v>0</v>
      </c>
      <c r="AB58" s="32">
        <f t="shared" si="101"/>
        <v>-1</v>
      </c>
      <c r="AC58" s="33">
        <f>MAX([1]Examen21!AC46,[1]Examen22!AC46,[1]Examen23!AC46)</f>
        <v>0</v>
      </c>
      <c r="AD58" s="32">
        <f t="shared" si="102"/>
        <v>-1</v>
      </c>
      <c r="AE58" s="33">
        <f>MAX([1]Examen21!AE46,[1]Examen22!AE46,[1]Examen23!AE46)</f>
        <v>0</v>
      </c>
      <c r="AF58" s="32">
        <f t="shared" si="103"/>
        <v>-1</v>
      </c>
      <c r="AG58" s="33">
        <f>MAX([1]Examen21!AG46,[1]Examen22!AG46,[1]Examen23!AG46)</f>
        <v>0</v>
      </c>
      <c r="AH58" s="32">
        <f t="shared" si="104"/>
        <v>-1</v>
      </c>
      <c r="AI58" s="33">
        <f>MAX([1]Examen21!AI46,[1]Examen22!AI46,[1]Examen23!AI46)</f>
        <v>0</v>
      </c>
      <c r="AJ58" s="32">
        <f t="shared" si="105"/>
        <v>-1</v>
      </c>
      <c r="AK58" s="33">
        <f>MAX([1]Examen21!AK46,[1]Examen22!AK46,[1]Examen23!AK46)</f>
        <v>0</v>
      </c>
      <c r="AL58" s="32">
        <f t="shared" si="106"/>
        <v>-1</v>
      </c>
      <c r="AM58" s="33">
        <f>MAX([1]Examen21!AM46,[1]Examen22!AM46,[1]Examen23!AM46)</f>
        <v>0</v>
      </c>
      <c r="AN58" s="32">
        <f t="shared" si="107"/>
        <v>-1</v>
      </c>
      <c r="AO58" s="33">
        <f>MAX([1]Examen21!AO46,[1]Examen22!AO46,[1]Examen23!AO46)</f>
        <v>0</v>
      </c>
      <c r="AP58" s="32">
        <f t="shared" si="108"/>
        <v>-1</v>
      </c>
      <c r="AQ58" s="33">
        <f>MAX([1]Examen21!AQ46,[1]Examen22!AQ46,[1]Examen23!AQ46)</f>
        <v>0</v>
      </c>
      <c r="AR58" s="32">
        <f t="shared" si="109"/>
        <v>-1</v>
      </c>
      <c r="AS58" s="33">
        <f>MAX([1]Examen21!AS46,[1]Examen22!AS46,[1]Examen23!AS46)</f>
        <v>0</v>
      </c>
      <c r="AT58" s="32">
        <f t="shared" si="110"/>
        <v>-1</v>
      </c>
      <c r="AU58" s="33">
        <f>MAX([1]Examen21!AU46,[1]Examen22!AU46,[1]Examen23!AU46)</f>
        <v>0</v>
      </c>
      <c r="AV58" s="32">
        <f t="shared" si="111"/>
        <v>-1</v>
      </c>
      <c r="AW58" s="33">
        <f>MAX([1]Examen21!AW46,[1]Examen22!AW46,[1]Examen23!AW46)</f>
        <v>0</v>
      </c>
      <c r="AX58" s="32">
        <f t="shared" si="112"/>
        <v>-1</v>
      </c>
      <c r="AY58" s="33">
        <f>MAX([1]Examen21!AY46,[1]Examen22!AY46,[1]Examen23!AY46)</f>
        <v>0</v>
      </c>
      <c r="AZ58" s="32">
        <f t="shared" si="113"/>
        <v>-1</v>
      </c>
      <c r="BA58" s="33">
        <f>MAX([1]Examen21!BA46,[1]Examen22!BA46,[1]Examen23!BA46)</f>
        <v>0</v>
      </c>
      <c r="BB58" s="32">
        <f t="shared" si="114"/>
        <v>-1</v>
      </c>
      <c r="BC58" s="33">
        <f>MAX([1]Examen21!BC46,[1]Examen22!BC46,[1]Examen23!BC46)</f>
        <v>0</v>
      </c>
      <c r="BD58" s="32">
        <f t="shared" si="115"/>
        <v>-1</v>
      </c>
      <c r="BE58" s="33">
        <f>MAX([1]Examen21!BE46,[1]Examen22!BE46,[1]Examen23!BE46)</f>
        <v>0</v>
      </c>
      <c r="BF58" s="32">
        <f t="shared" si="116"/>
        <v>-1</v>
      </c>
      <c r="BG58" s="33">
        <f>MAX([1]Examen21!BG46,[1]Examen22!BG46,[1]Examen23!BG46)</f>
        <v>0</v>
      </c>
      <c r="BH58" s="32">
        <f t="shared" si="117"/>
        <v>-1</v>
      </c>
      <c r="BI58" s="33">
        <f>MAX([1]Examen21!BI46,[1]Examen22!BI46,[1]Examen23!BI46)</f>
        <v>0</v>
      </c>
      <c r="BJ58" s="32">
        <f t="shared" si="118"/>
        <v>-1</v>
      </c>
    </row>
    <row r="59" spans="1:62" ht="19" customHeight="1" x14ac:dyDescent="0.2">
      <c r="A59" s="47" t="s">
        <v>84</v>
      </c>
      <c r="B59" s="47"/>
      <c r="C59" s="53">
        <f>SUM(C4,C7,C16,C38)</f>
        <v>0</v>
      </c>
      <c r="D59" s="54"/>
      <c r="E59" s="53">
        <f t="shared" ref="E59" si="119">SUM(E4,E7,E16,E38)</f>
        <v>0</v>
      </c>
      <c r="F59" s="54"/>
      <c r="G59" s="53">
        <f t="shared" ref="G59" si="120">SUM(G4,G7,G16,G38)</f>
        <v>0</v>
      </c>
      <c r="H59" s="54"/>
      <c r="I59" s="53">
        <f t="shared" ref="I59" si="121">SUM(I4,I7,I16,I38)</f>
        <v>0</v>
      </c>
      <c r="J59" s="54"/>
      <c r="K59" s="53">
        <f t="shared" ref="K59" si="122">SUM(K4,K7,K16,K38)</f>
        <v>0</v>
      </c>
      <c r="L59" s="54"/>
      <c r="M59" s="53">
        <f t="shared" ref="M59" si="123">SUM(M4,M7,M16,M38)</f>
        <v>0</v>
      </c>
      <c r="N59" s="54"/>
      <c r="O59" s="53">
        <f t="shared" ref="O59" si="124">SUM(O4,O7,O16,O38)</f>
        <v>0</v>
      </c>
      <c r="P59" s="54"/>
      <c r="Q59" s="53">
        <f t="shared" ref="Q59" si="125">SUM(Q4,Q7,Q16,Q38)</f>
        <v>0</v>
      </c>
      <c r="R59" s="54"/>
      <c r="S59" s="53">
        <f t="shared" ref="S59" si="126">SUM(S4,S7,S16,S38)</f>
        <v>0</v>
      </c>
      <c r="T59" s="54"/>
      <c r="U59" s="53">
        <f t="shared" ref="U59" si="127">SUM(U4,U7,U16,U38)</f>
        <v>0</v>
      </c>
      <c r="V59" s="54"/>
      <c r="W59" s="53">
        <f t="shared" ref="W59" si="128">SUM(W4,W7,W16,W38)</f>
        <v>0</v>
      </c>
      <c r="X59" s="54"/>
      <c r="Y59" s="53">
        <f t="shared" ref="Y59" si="129">SUM(Y4,Y7,Y16,Y38)</f>
        <v>0</v>
      </c>
      <c r="Z59" s="54"/>
      <c r="AA59" s="53">
        <f t="shared" ref="AA59" si="130">SUM(AA4,AA7,AA16,AA38)</f>
        <v>0</v>
      </c>
      <c r="AB59" s="54"/>
      <c r="AC59" s="53">
        <f t="shared" ref="AC59" si="131">SUM(AC4,AC7,AC16,AC38)</f>
        <v>0</v>
      </c>
      <c r="AD59" s="54"/>
      <c r="AE59" s="53">
        <f t="shared" ref="AE59" si="132">SUM(AE4,AE7,AE16,AE38)</f>
        <v>0</v>
      </c>
      <c r="AF59" s="54"/>
      <c r="AG59" s="53">
        <f t="shared" ref="AG59" si="133">SUM(AG4,AG7,AG16,AG38)</f>
        <v>0</v>
      </c>
      <c r="AH59" s="54"/>
      <c r="AI59" s="53">
        <f t="shared" ref="AI59" si="134">SUM(AI4,AI7,AI16,AI38)</f>
        <v>0</v>
      </c>
      <c r="AJ59" s="54"/>
      <c r="AK59" s="53">
        <f t="shared" ref="AK59" si="135">SUM(AK4,AK7,AK16,AK38)</f>
        <v>0</v>
      </c>
      <c r="AL59" s="54"/>
      <c r="AM59" s="53">
        <f t="shared" ref="AM59" si="136">SUM(AM4,AM7,AM16,AM38)</f>
        <v>0</v>
      </c>
      <c r="AN59" s="54"/>
      <c r="AO59" s="53">
        <f t="shared" ref="AO59" si="137">SUM(AO4,AO7,AO16,AO38)</f>
        <v>0</v>
      </c>
      <c r="AP59" s="54"/>
      <c r="AQ59" s="53">
        <f t="shared" ref="AQ59" si="138">SUM(AQ4,AQ7,AQ16,AQ38)</f>
        <v>0</v>
      </c>
      <c r="AR59" s="54"/>
      <c r="AS59" s="53">
        <f t="shared" ref="AS59" si="139">SUM(AS4,AS7,AS16,AS38)</f>
        <v>0</v>
      </c>
      <c r="AT59" s="54"/>
      <c r="AU59" s="53">
        <f t="shared" ref="AU59" si="140">SUM(AU4,AU7,AU16,AU38)</f>
        <v>0</v>
      </c>
      <c r="AV59" s="54"/>
      <c r="AW59" s="53">
        <f t="shared" ref="AW59" si="141">SUM(AW4,AW7,AW16,AW38)</f>
        <v>0</v>
      </c>
      <c r="AX59" s="54"/>
      <c r="AY59" s="53">
        <f t="shared" ref="AY59" si="142">SUM(AY4,AY7,AY16,AY38)</f>
        <v>0</v>
      </c>
      <c r="AZ59" s="54"/>
      <c r="BA59" s="53">
        <f t="shared" ref="BA59" si="143">SUM(BA4,BA7,BA16,BA38)</f>
        <v>0</v>
      </c>
      <c r="BB59" s="54"/>
      <c r="BC59" s="53">
        <f t="shared" ref="BC59" si="144">SUM(BC4,BC7,BC16,BC38)</f>
        <v>0</v>
      </c>
      <c r="BD59" s="54"/>
      <c r="BE59" s="53">
        <f t="shared" ref="BE59" si="145">SUM(BE4,BE7,BE16,BE38)</f>
        <v>0</v>
      </c>
      <c r="BF59" s="54"/>
      <c r="BG59" s="53">
        <f t="shared" ref="BG59" si="146">SUM(BG4,BG7,BG16,BG38)</f>
        <v>0</v>
      </c>
      <c r="BH59" s="54"/>
      <c r="BI59" s="53">
        <f t="shared" ref="BI59" si="147">SUM(BI4,BI7,BI16,BI38)</f>
        <v>0</v>
      </c>
      <c r="BJ59" s="54"/>
    </row>
    <row r="60" spans="1:62" ht="19" customHeight="1" x14ac:dyDescent="0.2">
      <c r="A60" s="48"/>
      <c r="B60" s="49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</row>
    <row r="61" spans="1:62" ht="19" customHeight="1" x14ac:dyDescent="0.2">
      <c r="A61" s="48"/>
      <c r="B61" s="49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</row>
  </sheetData>
  <sheetProtection algorithmName="SHA-512" hashValue="7UlWb0Z++Eneu568NvFBm5pl273EpOxjDgzjuWZuiDNeJdVDmYpP5Sui1wEdE+2Yap4oX4X1bsQR6SGVOqHFiQ==" saltValue="Tgdi6eFymXkjejLtiswD4g==" spinCount="100000" sheet="1" objects="1" scenarios="1" formatCells="0" autoFilter="0"/>
  <mergeCells count="24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BI16:BJ16"/>
    <mergeCell ref="AM16:AN16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AI38:AJ38"/>
    <mergeCell ref="C16:D16"/>
    <mergeCell ref="E16:F16"/>
    <mergeCell ref="G16:H16"/>
    <mergeCell ref="I16:J16"/>
    <mergeCell ref="K16:L16"/>
    <mergeCell ref="M16:N16"/>
    <mergeCell ref="BE16:BF16"/>
    <mergeCell ref="BG16:BH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38:D38"/>
    <mergeCell ref="E38:F38"/>
    <mergeCell ref="G38:H38"/>
    <mergeCell ref="AG38:AH38"/>
    <mergeCell ref="I38:J38"/>
    <mergeCell ref="K38:L38"/>
    <mergeCell ref="M38:N38"/>
    <mergeCell ref="O38:P38"/>
    <mergeCell ref="Q38:R38"/>
    <mergeCell ref="S38:T38"/>
    <mergeCell ref="U38:V38"/>
    <mergeCell ref="W38:X38"/>
    <mergeCell ref="Y38:Z38"/>
    <mergeCell ref="S59:T61"/>
    <mergeCell ref="U59:V61"/>
    <mergeCell ref="C59:D61"/>
    <mergeCell ref="E59:F61"/>
    <mergeCell ref="G59:H61"/>
    <mergeCell ref="I59:J61"/>
    <mergeCell ref="BG59:BH61"/>
    <mergeCell ref="BI59:BJ61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K38:AL38"/>
    <mergeCell ref="AA38:AB38"/>
    <mergeCell ref="AC38:AD38"/>
    <mergeCell ref="AE38:AF38"/>
    <mergeCell ref="A1:A2"/>
    <mergeCell ref="A59:B61"/>
    <mergeCell ref="AU59:AV61"/>
    <mergeCell ref="AW59:AX61"/>
    <mergeCell ref="AY59:AZ61"/>
    <mergeCell ref="BA59:BB61"/>
    <mergeCell ref="BC59:BD61"/>
    <mergeCell ref="BE59:BF61"/>
    <mergeCell ref="AI59:AJ61"/>
    <mergeCell ref="AK59:AL61"/>
    <mergeCell ref="AM59:AN61"/>
    <mergeCell ref="AO59:AP61"/>
    <mergeCell ref="AQ59:AR61"/>
    <mergeCell ref="AS59:AT61"/>
    <mergeCell ref="W59:X61"/>
    <mergeCell ref="Y59:Z61"/>
    <mergeCell ref="AA59:AB61"/>
    <mergeCell ref="AC59:AD61"/>
    <mergeCell ref="AE59:AF61"/>
    <mergeCell ref="AG59:AH61"/>
    <mergeCell ref="K59:L61"/>
    <mergeCell ref="M59:N61"/>
    <mergeCell ref="O59:P61"/>
    <mergeCell ref="Q59:R61"/>
  </mergeCells>
  <conditionalFormatting sqref="C3 E3 G3 I3 K3 M3 O3 Q3 S3 U3 W3 Y3 AA3 AC3 AE3 AG3 AI3 AK3 AM3 AO3 AQ3 AS3 AU3 AW3 AY3 BA3 BC3 BE3 BG3 BI3">
    <cfRule type="cellIs" dxfId="37019" priority="4" stopIfTrue="1" operator="lessThan">
      <formula>5</formula>
    </cfRule>
    <cfRule type="cellIs" dxfId="37018" priority="5" operator="greaterThanOrEqual">
      <formula>5</formula>
    </cfRule>
  </conditionalFormatting>
  <conditionalFormatting sqref="D7">
    <cfRule type="cellIs" dxfId="37017" priority="3796" stopIfTrue="1" operator="equal">
      <formula>-1</formula>
    </cfRule>
  </conditionalFormatting>
  <conditionalFormatting sqref="D7">
    <cfRule type="cellIs" dxfId="37016" priority="3797" stopIfTrue="1" operator="lessThan">
      <formula>0.5</formula>
    </cfRule>
  </conditionalFormatting>
  <conditionalFormatting sqref="D7">
    <cfRule type="cellIs" dxfId="37015" priority="3798" stopIfTrue="1" operator="greaterThanOrEqual">
      <formula>0.5</formula>
    </cfRule>
  </conditionalFormatting>
  <conditionalFormatting sqref="D16">
    <cfRule type="cellIs" dxfId="37014" priority="3823" stopIfTrue="1" operator="equal">
      <formula>-1</formula>
    </cfRule>
  </conditionalFormatting>
  <conditionalFormatting sqref="D16">
    <cfRule type="cellIs" dxfId="37013" priority="3824" stopIfTrue="1" operator="lessThan">
      <formula>0.5</formula>
    </cfRule>
  </conditionalFormatting>
  <conditionalFormatting sqref="D16">
    <cfRule type="cellIs" dxfId="37012" priority="3825" stopIfTrue="1" operator="greaterThanOrEqual">
      <formula>0.5</formula>
    </cfRule>
  </conditionalFormatting>
  <conditionalFormatting sqref="F7">
    <cfRule type="cellIs" dxfId="37011" priority="3859" stopIfTrue="1" operator="equal">
      <formula>-1</formula>
    </cfRule>
  </conditionalFormatting>
  <conditionalFormatting sqref="F7">
    <cfRule type="cellIs" dxfId="37010" priority="3860" stopIfTrue="1" operator="lessThan">
      <formula>0.5</formula>
    </cfRule>
  </conditionalFormatting>
  <conditionalFormatting sqref="F7">
    <cfRule type="cellIs" dxfId="37009" priority="3861" stopIfTrue="1" operator="greaterThanOrEqual">
      <formula>0.5</formula>
    </cfRule>
  </conditionalFormatting>
  <conditionalFormatting sqref="F16">
    <cfRule type="cellIs" dxfId="37008" priority="3886" stopIfTrue="1" operator="equal">
      <formula>-1</formula>
    </cfRule>
  </conditionalFormatting>
  <conditionalFormatting sqref="F16">
    <cfRule type="cellIs" dxfId="37007" priority="3887" stopIfTrue="1" operator="lessThan">
      <formula>0.5</formula>
    </cfRule>
  </conditionalFormatting>
  <conditionalFormatting sqref="F16">
    <cfRule type="cellIs" dxfId="37006" priority="3888" stopIfTrue="1" operator="greaterThanOrEqual">
      <formula>0.5</formula>
    </cfRule>
  </conditionalFormatting>
  <conditionalFormatting sqref="H7">
    <cfRule type="cellIs" dxfId="37005" priority="3922" stopIfTrue="1" operator="equal">
      <formula>-1</formula>
    </cfRule>
  </conditionalFormatting>
  <conditionalFormatting sqref="H7">
    <cfRule type="cellIs" dxfId="37004" priority="3923" stopIfTrue="1" operator="lessThan">
      <formula>0.5</formula>
    </cfRule>
  </conditionalFormatting>
  <conditionalFormatting sqref="H7">
    <cfRule type="cellIs" dxfId="37003" priority="3924" stopIfTrue="1" operator="greaterThanOrEqual">
      <formula>0.5</formula>
    </cfRule>
  </conditionalFormatting>
  <conditionalFormatting sqref="H16">
    <cfRule type="cellIs" dxfId="37002" priority="3949" stopIfTrue="1" operator="equal">
      <formula>-1</formula>
    </cfRule>
  </conditionalFormatting>
  <conditionalFormatting sqref="H16">
    <cfRule type="cellIs" dxfId="37001" priority="3950" stopIfTrue="1" operator="lessThan">
      <formula>0.5</formula>
    </cfRule>
  </conditionalFormatting>
  <conditionalFormatting sqref="H16">
    <cfRule type="cellIs" dxfId="37000" priority="3951" stopIfTrue="1" operator="greaterThanOrEqual">
      <formula>0.5</formula>
    </cfRule>
  </conditionalFormatting>
  <conditionalFormatting sqref="J7">
    <cfRule type="cellIs" dxfId="36999" priority="3985" stopIfTrue="1" operator="equal">
      <formula>-1</formula>
    </cfRule>
  </conditionalFormatting>
  <conditionalFormatting sqref="J7">
    <cfRule type="cellIs" dxfId="36998" priority="3986" stopIfTrue="1" operator="lessThan">
      <formula>0.5</formula>
    </cfRule>
  </conditionalFormatting>
  <conditionalFormatting sqref="J7">
    <cfRule type="cellIs" dxfId="36997" priority="3987" stopIfTrue="1" operator="greaterThanOrEqual">
      <formula>0.5</formula>
    </cfRule>
  </conditionalFormatting>
  <conditionalFormatting sqref="J16">
    <cfRule type="cellIs" dxfId="36996" priority="4012" stopIfTrue="1" operator="equal">
      <formula>-1</formula>
    </cfRule>
  </conditionalFormatting>
  <conditionalFormatting sqref="J16">
    <cfRule type="cellIs" dxfId="36995" priority="4013" stopIfTrue="1" operator="lessThan">
      <formula>0.5</formula>
    </cfRule>
  </conditionalFormatting>
  <conditionalFormatting sqref="J16">
    <cfRule type="cellIs" dxfId="36994" priority="4014" stopIfTrue="1" operator="greaterThanOrEqual">
      <formula>0.5</formula>
    </cfRule>
  </conditionalFormatting>
  <conditionalFormatting sqref="L7">
    <cfRule type="cellIs" dxfId="36993" priority="4048" stopIfTrue="1" operator="equal">
      <formula>-1</formula>
    </cfRule>
  </conditionalFormatting>
  <conditionalFormatting sqref="L7">
    <cfRule type="cellIs" dxfId="36992" priority="4049" stopIfTrue="1" operator="lessThan">
      <formula>0.5</formula>
    </cfRule>
  </conditionalFormatting>
  <conditionalFormatting sqref="L7">
    <cfRule type="cellIs" dxfId="36991" priority="4050" stopIfTrue="1" operator="greaterThanOrEqual">
      <formula>0.5</formula>
    </cfRule>
  </conditionalFormatting>
  <conditionalFormatting sqref="L16">
    <cfRule type="cellIs" dxfId="36990" priority="4075" stopIfTrue="1" operator="equal">
      <formula>-1</formula>
    </cfRule>
  </conditionalFormatting>
  <conditionalFormatting sqref="L16">
    <cfRule type="cellIs" dxfId="36989" priority="4076" stopIfTrue="1" operator="lessThan">
      <formula>0.5</formula>
    </cfRule>
  </conditionalFormatting>
  <conditionalFormatting sqref="L16">
    <cfRule type="cellIs" dxfId="36988" priority="4077" stopIfTrue="1" operator="greaterThanOrEqual">
      <formula>0.5</formula>
    </cfRule>
  </conditionalFormatting>
  <conditionalFormatting sqref="N7">
    <cfRule type="cellIs" dxfId="36987" priority="4111" stopIfTrue="1" operator="equal">
      <formula>-1</formula>
    </cfRule>
  </conditionalFormatting>
  <conditionalFormatting sqref="N7">
    <cfRule type="cellIs" dxfId="36986" priority="4112" stopIfTrue="1" operator="lessThan">
      <formula>0.5</formula>
    </cfRule>
  </conditionalFormatting>
  <conditionalFormatting sqref="N7">
    <cfRule type="cellIs" dxfId="36985" priority="4113" stopIfTrue="1" operator="greaterThanOrEqual">
      <formula>0.5</formula>
    </cfRule>
  </conditionalFormatting>
  <conditionalFormatting sqref="N16">
    <cfRule type="cellIs" dxfId="36984" priority="4138" stopIfTrue="1" operator="equal">
      <formula>-1</formula>
    </cfRule>
  </conditionalFormatting>
  <conditionalFormatting sqref="N16">
    <cfRule type="cellIs" dxfId="36983" priority="4139" stopIfTrue="1" operator="lessThan">
      <formula>0.5</formula>
    </cfRule>
  </conditionalFormatting>
  <conditionalFormatting sqref="N16">
    <cfRule type="cellIs" dxfId="36982" priority="4140" stopIfTrue="1" operator="greaterThanOrEqual">
      <formula>0.5</formula>
    </cfRule>
  </conditionalFormatting>
  <conditionalFormatting sqref="P7">
    <cfRule type="cellIs" dxfId="36981" priority="4174" stopIfTrue="1" operator="equal">
      <formula>-1</formula>
    </cfRule>
  </conditionalFormatting>
  <conditionalFormatting sqref="P7">
    <cfRule type="cellIs" dxfId="36980" priority="4175" stopIfTrue="1" operator="lessThan">
      <formula>0.5</formula>
    </cfRule>
  </conditionalFormatting>
  <conditionalFormatting sqref="P7">
    <cfRule type="cellIs" dxfId="36979" priority="4176" stopIfTrue="1" operator="greaterThanOrEqual">
      <formula>0.5</formula>
    </cfRule>
  </conditionalFormatting>
  <conditionalFormatting sqref="P16">
    <cfRule type="cellIs" dxfId="36978" priority="4201" stopIfTrue="1" operator="equal">
      <formula>-1</formula>
    </cfRule>
  </conditionalFormatting>
  <conditionalFormatting sqref="P16">
    <cfRule type="cellIs" dxfId="36977" priority="4202" stopIfTrue="1" operator="lessThan">
      <formula>0.5</formula>
    </cfRule>
  </conditionalFormatting>
  <conditionalFormatting sqref="P16">
    <cfRule type="cellIs" dxfId="36976" priority="4203" stopIfTrue="1" operator="greaterThanOrEqual">
      <formula>0.5</formula>
    </cfRule>
  </conditionalFormatting>
  <conditionalFormatting sqref="R7">
    <cfRule type="cellIs" dxfId="36975" priority="4237" stopIfTrue="1" operator="equal">
      <formula>-1</formula>
    </cfRule>
  </conditionalFormatting>
  <conditionalFormatting sqref="R7">
    <cfRule type="cellIs" dxfId="36974" priority="4238" stopIfTrue="1" operator="lessThan">
      <formula>0.5</formula>
    </cfRule>
  </conditionalFormatting>
  <conditionalFormatting sqref="R7">
    <cfRule type="cellIs" dxfId="36973" priority="4239" stopIfTrue="1" operator="greaterThanOrEqual">
      <formula>0.5</formula>
    </cfRule>
  </conditionalFormatting>
  <conditionalFormatting sqref="R16">
    <cfRule type="cellIs" dxfId="36972" priority="4264" stopIfTrue="1" operator="equal">
      <formula>-1</formula>
    </cfRule>
  </conditionalFormatting>
  <conditionalFormatting sqref="R16">
    <cfRule type="cellIs" dxfId="36971" priority="4265" stopIfTrue="1" operator="lessThan">
      <formula>0.5</formula>
    </cfRule>
  </conditionalFormatting>
  <conditionalFormatting sqref="R16">
    <cfRule type="cellIs" dxfId="36970" priority="4266" stopIfTrue="1" operator="greaterThanOrEqual">
      <formula>0.5</formula>
    </cfRule>
  </conditionalFormatting>
  <conditionalFormatting sqref="T7">
    <cfRule type="cellIs" dxfId="36969" priority="4300" stopIfTrue="1" operator="equal">
      <formula>-1</formula>
    </cfRule>
  </conditionalFormatting>
  <conditionalFormatting sqref="T7">
    <cfRule type="cellIs" dxfId="36968" priority="4301" stopIfTrue="1" operator="lessThan">
      <formula>0.5</formula>
    </cfRule>
  </conditionalFormatting>
  <conditionalFormatting sqref="T7">
    <cfRule type="cellIs" dxfId="36967" priority="4302" stopIfTrue="1" operator="greaterThanOrEqual">
      <formula>0.5</formula>
    </cfRule>
  </conditionalFormatting>
  <conditionalFormatting sqref="T16">
    <cfRule type="cellIs" dxfId="36966" priority="4327" stopIfTrue="1" operator="equal">
      <formula>-1</formula>
    </cfRule>
  </conditionalFormatting>
  <conditionalFormatting sqref="T16">
    <cfRule type="cellIs" dxfId="36965" priority="4328" stopIfTrue="1" operator="lessThan">
      <formula>0.5</formula>
    </cfRule>
  </conditionalFormatting>
  <conditionalFormatting sqref="T16">
    <cfRule type="cellIs" dxfId="36964" priority="4329" stopIfTrue="1" operator="greaterThanOrEqual">
      <formula>0.5</formula>
    </cfRule>
  </conditionalFormatting>
  <conditionalFormatting sqref="V7">
    <cfRule type="cellIs" dxfId="36963" priority="4363" stopIfTrue="1" operator="equal">
      <formula>-1</formula>
    </cfRule>
  </conditionalFormatting>
  <conditionalFormatting sqref="V7">
    <cfRule type="cellIs" dxfId="36962" priority="4364" stopIfTrue="1" operator="lessThan">
      <formula>0.5</formula>
    </cfRule>
  </conditionalFormatting>
  <conditionalFormatting sqref="V7">
    <cfRule type="cellIs" dxfId="36961" priority="4365" stopIfTrue="1" operator="greaterThanOrEqual">
      <formula>0.5</formula>
    </cfRule>
  </conditionalFormatting>
  <conditionalFormatting sqref="V16">
    <cfRule type="cellIs" dxfId="36960" priority="4390" stopIfTrue="1" operator="equal">
      <formula>-1</formula>
    </cfRule>
  </conditionalFormatting>
  <conditionalFormatting sqref="V16">
    <cfRule type="cellIs" dxfId="36959" priority="4391" stopIfTrue="1" operator="lessThan">
      <formula>0.5</formula>
    </cfRule>
  </conditionalFormatting>
  <conditionalFormatting sqref="V16">
    <cfRule type="cellIs" dxfId="36958" priority="4392" stopIfTrue="1" operator="greaterThanOrEqual">
      <formula>0.5</formula>
    </cfRule>
  </conditionalFormatting>
  <conditionalFormatting sqref="X7">
    <cfRule type="cellIs" dxfId="36957" priority="4426" stopIfTrue="1" operator="equal">
      <formula>-1</formula>
    </cfRule>
  </conditionalFormatting>
  <conditionalFormatting sqref="X7">
    <cfRule type="cellIs" dxfId="36956" priority="4427" stopIfTrue="1" operator="lessThan">
      <formula>0.5</formula>
    </cfRule>
  </conditionalFormatting>
  <conditionalFormatting sqref="X7">
    <cfRule type="cellIs" dxfId="36955" priority="4428" stopIfTrue="1" operator="greaterThanOrEqual">
      <formula>0.5</formula>
    </cfRule>
  </conditionalFormatting>
  <conditionalFormatting sqref="X16">
    <cfRule type="cellIs" dxfId="36954" priority="4453" stopIfTrue="1" operator="equal">
      <formula>-1</formula>
    </cfRule>
  </conditionalFormatting>
  <conditionalFormatting sqref="X16">
    <cfRule type="cellIs" dxfId="36953" priority="4454" stopIfTrue="1" operator="lessThan">
      <formula>0.5</formula>
    </cfRule>
  </conditionalFormatting>
  <conditionalFormatting sqref="X16">
    <cfRule type="cellIs" dxfId="36952" priority="4455" stopIfTrue="1" operator="greaterThanOrEqual">
      <formula>0.5</formula>
    </cfRule>
  </conditionalFormatting>
  <conditionalFormatting sqref="Z7">
    <cfRule type="cellIs" dxfId="36951" priority="4489" stopIfTrue="1" operator="equal">
      <formula>-1</formula>
    </cfRule>
  </conditionalFormatting>
  <conditionalFormatting sqref="Z7">
    <cfRule type="cellIs" dxfId="36950" priority="4490" stopIfTrue="1" operator="lessThan">
      <formula>0.5</formula>
    </cfRule>
  </conditionalFormatting>
  <conditionalFormatting sqref="Z7">
    <cfRule type="cellIs" dxfId="36949" priority="4491" stopIfTrue="1" operator="greaterThanOrEqual">
      <formula>0.5</formula>
    </cfRule>
  </conditionalFormatting>
  <conditionalFormatting sqref="Z16">
    <cfRule type="cellIs" dxfId="36948" priority="4516" stopIfTrue="1" operator="equal">
      <formula>-1</formula>
    </cfRule>
  </conditionalFormatting>
  <conditionalFormatting sqref="Z16">
    <cfRule type="cellIs" dxfId="36947" priority="4517" stopIfTrue="1" operator="lessThan">
      <formula>0.5</formula>
    </cfRule>
  </conditionalFormatting>
  <conditionalFormatting sqref="Z16">
    <cfRule type="cellIs" dxfId="36946" priority="4518" stopIfTrue="1" operator="greaterThanOrEqual">
      <formula>0.5</formula>
    </cfRule>
  </conditionalFormatting>
  <conditionalFormatting sqref="AB7">
    <cfRule type="cellIs" dxfId="36945" priority="4552" stopIfTrue="1" operator="equal">
      <formula>-1</formula>
    </cfRule>
  </conditionalFormatting>
  <conditionalFormatting sqref="AB7">
    <cfRule type="cellIs" dxfId="36944" priority="4553" stopIfTrue="1" operator="lessThan">
      <formula>0.5</formula>
    </cfRule>
  </conditionalFormatting>
  <conditionalFormatting sqref="AB7">
    <cfRule type="cellIs" dxfId="36943" priority="4554" stopIfTrue="1" operator="greaterThanOrEqual">
      <formula>0.5</formula>
    </cfRule>
  </conditionalFormatting>
  <conditionalFormatting sqref="AB16">
    <cfRule type="cellIs" dxfId="36942" priority="4579" stopIfTrue="1" operator="equal">
      <formula>-1</formula>
    </cfRule>
  </conditionalFormatting>
  <conditionalFormatting sqref="AB16">
    <cfRule type="cellIs" dxfId="36941" priority="4580" stopIfTrue="1" operator="lessThan">
      <formula>0.5</formula>
    </cfRule>
  </conditionalFormatting>
  <conditionalFormatting sqref="AB16">
    <cfRule type="cellIs" dxfId="36940" priority="4581" stopIfTrue="1" operator="greaterThanOrEqual">
      <formula>0.5</formula>
    </cfRule>
  </conditionalFormatting>
  <conditionalFormatting sqref="AD7">
    <cfRule type="cellIs" dxfId="36939" priority="4615" stopIfTrue="1" operator="equal">
      <formula>-1</formula>
    </cfRule>
  </conditionalFormatting>
  <conditionalFormatting sqref="AD7">
    <cfRule type="cellIs" dxfId="36938" priority="4616" stopIfTrue="1" operator="lessThan">
      <formula>0.5</formula>
    </cfRule>
  </conditionalFormatting>
  <conditionalFormatting sqref="AD7">
    <cfRule type="cellIs" dxfId="36937" priority="4617" stopIfTrue="1" operator="greaterThanOrEqual">
      <formula>0.5</formula>
    </cfRule>
  </conditionalFormatting>
  <conditionalFormatting sqref="AD16">
    <cfRule type="cellIs" dxfId="36936" priority="4642" stopIfTrue="1" operator="equal">
      <formula>-1</formula>
    </cfRule>
  </conditionalFormatting>
  <conditionalFormatting sqref="AD16">
    <cfRule type="cellIs" dxfId="36935" priority="4643" stopIfTrue="1" operator="lessThan">
      <formula>0.5</formula>
    </cfRule>
  </conditionalFormatting>
  <conditionalFormatting sqref="AD16">
    <cfRule type="cellIs" dxfId="36934" priority="4644" stopIfTrue="1" operator="greaterThanOrEqual">
      <formula>0.5</formula>
    </cfRule>
  </conditionalFormatting>
  <conditionalFormatting sqref="AF7">
    <cfRule type="cellIs" dxfId="36933" priority="4678" stopIfTrue="1" operator="equal">
      <formula>-1</formula>
    </cfRule>
  </conditionalFormatting>
  <conditionalFormatting sqref="AF7">
    <cfRule type="cellIs" dxfId="36932" priority="4679" stopIfTrue="1" operator="lessThan">
      <formula>0.5</formula>
    </cfRule>
  </conditionalFormatting>
  <conditionalFormatting sqref="AF7">
    <cfRule type="cellIs" dxfId="36931" priority="4680" stopIfTrue="1" operator="greaterThanOrEqual">
      <formula>0.5</formula>
    </cfRule>
  </conditionalFormatting>
  <conditionalFormatting sqref="AF16">
    <cfRule type="cellIs" dxfId="36930" priority="4705" stopIfTrue="1" operator="equal">
      <formula>-1</formula>
    </cfRule>
  </conditionalFormatting>
  <conditionalFormatting sqref="AF16">
    <cfRule type="cellIs" dxfId="36929" priority="4706" stopIfTrue="1" operator="lessThan">
      <formula>0.5</formula>
    </cfRule>
  </conditionalFormatting>
  <conditionalFormatting sqref="AF16">
    <cfRule type="cellIs" dxfId="36928" priority="4707" stopIfTrue="1" operator="greaterThanOrEqual">
      <formula>0.5</formula>
    </cfRule>
  </conditionalFormatting>
  <conditionalFormatting sqref="AH7">
    <cfRule type="cellIs" dxfId="36927" priority="4741" stopIfTrue="1" operator="equal">
      <formula>-1</formula>
    </cfRule>
  </conditionalFormatting>
  <conditionalFormatting sqref="AH7">
    <cfRule type="cellIs" dxfId="36926" priority="4742" stopIfTrue="1" operator="lessThan">
      <formula>0.5</formula>
    </cfRule>
  </conditionalFormatting>
  <conditionalFormatting sqref="AH7">
    <cfRule type="cellIs" dxfId="36925" priority="4743" stopIfTrue="1" operator="greaterThanOrEqual">
      <formula>0.5</formula>
    </cfRule>
  </conditionalFormatting>
  <conditionalFormatting sqref="AH16">
    <cfRule type="cellIs" dxfId="36924" priority="4768" stopIfTrue="1" operator="equal">
      <formula>-1</formula>
    </cfRule>
  </conditionalFormatting>
  <conditionalFormatting sqref="AH16">
    <cfRule type="cellIs" dxfId="36923" priority="4769" stopIfTrue="1" operator="lessThan">
      <formula>0.5</formula>
    </cfRule>
  </conditionalFormatting>
  <conditionalFormatting sqref="AH16">
    <cfRule type="cellIs" dxfId="36922" priority="4770" stopIfTrue="1" operator="greaterThanOrEqual">
      <formula>0.5</formula>
    </cfRule>
  </conditionalFormatting>
  <conditionalFormatting sqref="AJ7">
    <cfRule type="cellIs" dxfId="36921" priority="4804" stopIfTrue="1" operator="equal">
      <formula>-1</formula>
    </cfRule>
  </conditionalFormatting>
  <conditionalFormatting sqref="AJ7">
    <cfRule type="cellIs" dxfId="36920" priority="4805" stopIfTrue="1" operator="lessThan">
      <formula>0.5</formula>
    </cfRule>
  </conditionalFormatting>
  <conditionalFormatting sqref="AJ7">
    <cfRule type="cellIs" dxfId="36919" priority="4806" stopIfTrue="1" operator="greaterThanOrEqual">
      <formula>0.5</formula>
    </cfRule>
  </conditionalFormatting>
  <conditionalFormatting sqref="AJ16">
    <cfRule type="cellIs" dxfId="36918" priority="4831" stopIfTrue="1" operator="equal">
      <formula>-1</formula>
    </cfRule>
  </conditionalFormatting>
  <conditionalFormatting sqref="AJ16">
    <cfRule type="cellIs" dxfId="36917" priority="4832" stopIfTrue="1" operator="lessThan">
      <formula>0.5</formula>
    </cfRule>
  </conditionalFormatting>
  <conditionalFormatting sqref="AJ16">
    <cfRule type="cellIs" dxfId="36916" priority="4833" stopIfTrue="1" operator="greaterThanOrEqual">
      <formula>0.5</formula>
    </cfRule>
  </conditionalFormatting>
  <conditionalFormatting sqref="AL7">
    <cfRule type="cellIs" dxfId="36915" priority="4867" stopIfTrue="1" operator="equal">
      <formula>-1</formula>
    </cfRule>
  </conditionalFormatting>
  <conditionalFormatting sqref="AL7">
    <cfRule type="cellIs" dxfId="36914" priority="4868" stopIfTrue="1" operator="lessThan">
      <formula>0.5</formula>
    </cfRule>
  </conditionalFormatting>
  <conditionalFormatting sqref="AL7">
    <cfRule type="cellIs" dxfId="36913" priority="4869" stopIfTrue="1" operator="greaterThanOrEqual">
      <formula>0.5</formula>
    </cfRule>
  </conditionalFormatting>
  <conditionalFormatting sqref="AL16">
    <cfRule type="cellIs" dxfId="36912" priority="4894" stopIfTrue="1" operator="equal">
      <formula>-1</formula>
    </cfRule>
  </conditionalFormatting>
  <conditionalFormatting sqref="AL16">
    <cfRule type="cellIs" dxfId="36911" priority="4895" stopIfTrue="1" operator="lessThan">
      <formula>0.5</formula>
    </cfRule>
  </conditionalFormatting>
  <conditionalFormatting sqref="AL16">
    <cfRule type="cellIs" dxfId="36910" priority="4896" stopIfTrue="1" operator="greaterThanOrEqual">
      <formula>0.5</formula>
    </cfRule>
  </conditionalFormatting>
  <conditionalFormatting sqref="AN7">
    <cfRule type="cellIs" dxfId="36909" priority="4930" stopIfTrue="1" operator="equal">
      <formula>-1</formula>
    </cfRule>
  </conditionalFormatting>
  <conditionalFormatting sqref="AN7">
    <cfRule type="cellIs" dxfId="36908" priority="4931" stopIfTrue="1" operator="lessThan">
      <formula>0.5</formula>
    </cfRule>
  </conditionalFormatting>
  <conditionalFormatting sqref="AN7">
    <cfRule type="cellIs" dxfId="36907" priority="4932" stopIfTrue="1" operator="greaterThanOrEqual">
      <formula>0.5</formula>
    </cfRule>
  </conditionalFormatting>
  <conditionalFormatting sqref="AN16">
    <cfRule type="cellIs" dxfId="36906" priority="4957" stopIfTrue="1" operator="equal">
      <formula>-1</formula>
    </cfRule>
  </conditionalFormatting>
  <conditionalFormatting sqref="AN16">
    <cfRule type="cellIs" dxfId="36905" priority="4958" stopIfTrue="1" operator="lessThan">
      <formula>0.5</formula>
    </cfRule>
  </conditionalFormatting>
  <conditionalFormatting sqref="AN16">
    <cfRule type="cellIs" dxfId="36904" priority="4959" stopIfTrue="1" operator="greaterThanOrEqual">
      <formula>0.5</formula>
    </cfRule>
  </conditionalFormatting>
  <conditionalFormatting sqref="AP7">
    <cfRule type="cellIs" dxfId="36903" priority="4993" stopIfTrue="1" operator="equal">
      <formula>-1</formula>
    </cfRule>
  </conditionalFormatting>
  <conditionalFormatting sqref="AP7">
    <cfRule type="cellIs" dxfId="36902" priority="4994" stopIfTrue="1" operator="lessThan">
      <formula>0.5</formula>
    </cfRule>
  </conditionalFormatting>
  <conditionalFormatting sqref="AP7">
    <cfRule type="cellIs" dxfId="36901" priority="4995" stopIfTrue="1" operator="greaterThanOrEqual">
      <formula>0.5</formula>
    </cfRule>
  </conditionalFormatting>
  <conditionalFormatting sqref="AP16">
    <cfRule type="cellIs" dxfId="36900" priority="5020" stopIfTrue="1" operator="equal">
      <formula>-1</formula>
    </cfRule>
  </conditionalFormatting>
  <conditionalFormatting sqref="AP16">
    <cfRule type="cellIs" dxfId="36899" priority="5021" stopIfTrue="1" operator="lessThan">
      <formula>0.5</formula>
    </cfRule>
  </conditionalFormatting>
  <conditionalFormatting sqref="AP16">
    <cfRule type="cellIs" dxfId="36898" priority="5022" stopIfTrue="1" operator="greaterThanOrEqual">
      <formula>0.5</formula>
    </cfRule>
  </conditionalFormatting>
  <conditionalFormatting sqref="AR7">
    <cfRule type="cellIs" dxfId="36897" priority="5056" stopIfTrue="1" operator="equal">
      <formula>-1</formula>
    </cfRule>
  </conditionalFormatting>
  <conditionalFormatting sqref="AR7">
    <cfRule type="cellIs" dxfId="36896" priority="5057" stopIfTrue="1" operator="lessThan">
      <formula>0.5</formula>
    </cfRule>
  </conditionalFormatting>
  <conditionalFormatting sqref="AR7">
    <cfRule type="cellIs" dxfId="36895" priority="5058" stopIfTrue="1" operator="greaterThanOrEqual">
      <formula>0.5</formula>
    </cfRule>
  </conditionalFormatting>
  <conditionalFormatting sqref="AR16">
    <cfRule type="cellIs" dxfId="36894" priority="5083" stopIfTrue="1" operator="equal">
      <formula>-1</formula>
    </cfRule>
  </conditionalFormatting>
  <conditionalFormatting sqref="AR16">
    <cfRule type="cellIs" dxfId="36893" priority="5084" stopIfTrue="1" operator="lessThan">
      <formula>0.5</formula>
    </cfRule>
  </conditionalFormatting>
  <conditionalFormatting sqref="AR16">
    <cfRule type="cellIs" dxfId="36892" priority="5085" stopIfTrue="1" operator="greaterThanOrEqual">
      <formula>0.5</formula>
    </cfRule>
  </conditionalFormatting>
  <conditionalFormatting sqref="AT7">
    <cfRule type="cellIs" dxfId="36891" priority="5119" stopIfTrue="1" operator="equal">
      <formula>-1</formula>
    </cfRule>
  </conditionalFormatting>
  <conditionalFormatting sqref="AT7">
    <cfRule type="cellIs" dxfId="36890" priority="5120" stopIfTrue="1" operator="lessThan">
      <formula>0.5</formula>
    </cfRule>
  </conditionalFormatting>
  <conditionalFormatting sqref="AT7">
    <cfRule type="cellIs" dxfId="36889" priority="5121" stopIfTrue="1" operator="greaterThanOrEqual">
      <formula>0.5</formula>
    </cfRule>
  </conditionalFormatting>
  <conditionalFormatting sqref="AT16">
    <cfRule type="cellIs" dxfId="36888" priority="5146" stopIfTrue="1" operator="equal">
      <formula>-1</formula>
    </cfRule>
  </conditionalFormatting>
  <conditionalFormatting sqref="AT16">
    <cfRule type="cellIs" dxfId="36887" priority="5147" stopIfTrue="1" operator="lessThan">
      <formula>0.5</formula>
    </cfRule>
  </conditionalFormatting>
  <conditionalFormatting sqref="AT16">
    <cfRule type="cellIs" dxfId="36886" priority="5148" stopIfTrue="1" operator="greaterThanOrEqual">
      <formula>0.5</formula>
    </cfRule>
  </conditionalFormatting>
  <conditionalFormatting sqref="AV7">
    <cfRule type="cellIs" dxfId="36885" priority="5182" stopIfTrue="1" operator="equal">
      <formula>-1</formula>
    </cfRule>
  </conditionalFormatting>
  <conditionalFormatting sqref="AV7">
    <cfRule type="cellIs" dxfId="36884" priority="5183" stopIfTrue="1" operator="lessThan">
      <formula>0.5</formula>
    </cfRule>
  </conditionalFormatting>
  <conditionalFormatting sqref="AV7">
    <cfRule type="cellIs" dxfId="36883" priority="5184" stopIfTrue="1" operator="greaterThanOrEqual">
      <formula>0.5</formula>
    </cfRule>
  </conditionalFormatting>
  <conditionalFormatting sqref="AV16">
    <cfRule type="cellIs" dxfId="36882" priority="5209" stopIfTrue="1" operator="equal">
      <formula>-1</formula>
    </cfRule>
  </conditionalFormatting>
  <conditionalFormatting sqref="AV16">
    <cfRule type="cellIs" dxfId="36881" priority="5210" stopIfTrue="1" operator="lessThan">
      <formula>0.5</formula>
    </cfRule>
  </conditionalFormatting>
  <conditionalFormatting sqref="AV16">
    <cfRule type="cellIs" dxfId="36880" priority="5211" stopIfTrue="1" operator="greaterThanOrEqual">
      <formula>0.5</formula>
    </cfRule>
  </conditionalFormatting>
  <conditionalFormatting sqref="AX7">
    <cfRule type="cellIs" dxfId="36879" priority="5245" stopIfTrue="1" operator="equal">
      <formula>-1</formula>
    </cfRule>
  </conditionalFormatting>
  <conditionalFormatting sqref="AX7">
    <cfRule type="cellIs" dxfId="36878" priority="5246" stopIfTrue="1" operator="lessThan">
      <formula>0.5</formula>
    </cfRule>
  </conditionalFormatting>
  <conditionalFormatting sqref="AX7">
    <cfRule type="cellIs" dxfId="36877" priority="5247" stopIfTrue="1" operator="greaterThanOrEqual">
      <formula>0.5</formula>
    </cfRule>
  </conditionalFormatting>
  <conditionalFormatting sqref="AX16">
    <cfRule type="cellIs" dxfId="36876" priority="5272" stopIfTrue="1" operator="equal">
      <formula>-1</formula>
    </cfRule>
  </conditionalFormatting>
  <conditionalFormatting sqref="AX16">
    <cfRule type="cellIs" dxfId="36875" priority="5273" stopIfTrue="1" operator="lessThan">
      <formula>0.5</formula>
    </cfRule>
  </conditionalFormatting>
  <conditionalFormatting sqref="AX16">
    <cfRule type="cellIs" dxfId="36874" priority="5274" stopIfTrue="1" operator="greaterThanOrEqual">
      <formula>0.5</formula>
    </cfRule>
  </conditionalFormatting>
  <conditionalFormatting sqref="AZ7">
    <cfRule type="cellIs" dxfId="36873" priority="5308" stopIfTrue="1" operator="equal">
      <formula>-1</formula>
    </cfRule>
  </conditionalFormatting>
  <conditionalFormatting sqref="AZ7">
    <cfRule type="cellIs" dxfId="36872" priority="5309" stopIfTrue="1" operator="lessThan">
      <formula>0.5</formula>
    </cfRule>
  </conditionalFormatting>
  <conditionalFormatting sqref="AZ7">
    <cfRule type="cellIs" dxfId="36871" priority="5310" stopIfTrue="1" operator="greaterThanOrEqual">
      <formula>0.5</formula>
    </cfRule>
  </conditionalFormatting>
  <conditionalFormatting sqref="AZ16">
    <cfRule type="cellIs" dxfId="36870" priority="5335" stopIfTrue="1" operator="equal">
      <formula>-1</formula>
    </cfRule>
  </conditionalFormatting>
  <conditionalFormatting sqref="AZ16">
    <cfRule type="cellIs" dxfId="36869" priority="5336" stopIfTrue="1" operator="lessThan">
      <formula>0.5</formula>
    </cfRule>
  </conditionalFormatting>
  <conditionalFormatting sqref="AZ16">
    <cfRule type="cellIs" dxfId="36868" priority="5337" stopIfTrue="1" operator="greaterThanOrEqual">
      <formula>0.5</formula>
    </cfRule>
  </conditionalFormatting>
  <conditionalFormatting sqref="BB7">
    <cfRule type="cellIs" dxfId="36867" priority="5371" stopIfTrue="1" operator="equal">
      <formula>-1</formula>
    </cfRule>
  </conditionalFormatting>
  <conditionalFormatting sqref="BB7">
    <cfRule type="cellIs" dxfId="36866" priority="5372" stopIfTrue="1" operator="lessThan">
      <formula>0.5</formula>
    </cfRule>
  </conditionalFormatting>
  <conditionalFormatting sqref="BB7">
    <cfRule type="cellIs" dxfId="36865" priority="5373" stopIfTrue="1" operator="greaterThanOrEqual">
      <formula>0.5</formula>
    </cfRule>
  </conditionalFormatting>
  <conditionalFormatting sqref="BB16">
    <cfRule type="cellIs" dxfId="36864" priority="5398" stopIfTrue="1" operator="equal">
      <formula>-1</formula>
    </cfRule>
  </conditionalFormatting>
  <conditionalFormatting sqref="BB16">
    <cfRule type="cellIs" dxfId="36863" priority="5399" stopIfTrue="1" operator="lessThan">
      <formula>0.5</formula>
    </cfRule>
  </conditionalFormatting>
  <conditionalFormatting sqref="BB16">
    <cfRule type="cellIs" dxfId="36862" priority="5400" stopIfTrue="1" operator="greaterThanOrEqual">
      <formula>0.5</formula>
    </cfRule>
  </conditionalFormatting>
  <conditionalFormatting sqref="BD7">
    <cfRule type="cellIs" dxfId="36861" priority="5434" stopIfTrue="1" operator="equal">
      <formula>-1</formula>
    </cfRule>
  </conditionalFormatting>
  <conditionalFormatting sqref="BD7">
    <cfRule type="cellIs" dxfId="36860" priority="5435" stopIfTrue="1" operator="lessThan">
      <formula>0.5</formula>
    </cfRule>
  </conditionalFormatting>
  <conditionalFormatting sqref="BD7">
    <cfRule type="cellIs" dxfId="36859" priority="5436" stopIfTrue="1" operator="greaterThanOrEqual">
      <formula>0.5</formula>
    </cfRule>
  </conditionalFormatting>
  <conditionalFormatting sqref="BD16">
    <cfRule type="cellIs" dxfId="36858" priority="5461" stopIfTrue="1" operator="equal">
      <formula>-1</formula>
    </cfRule>
  </conditionalFormatting>
  <conditionalFormatting sqref="BD16">
    <cfRule type="cellIs" dxfId="36857" priority="5462" stopIfTrue="1" operator="lessThan">
      <formula>0.5</formula>
    </cfRule>
  </conditionalFormatting>
  <conditionalFormatting sqref="BD16">
    <cfRule type="cellIs" dxfId="36856" priority="5463" stopIfTrue="1" operator="greaterThanOrEqual">
      <formula>0.5</formula>
    </cfRule>
  </conditionalFormatting>
  <conditionalFormatting sqref="BF7">
    <cfRule type="cellIs" dxfId="36855" priority="5497" stopIfTrue="1" operator="equal">
      <formula>-1</formula>
    </cfRule>
  </conditionalFormatting>
  <conditionalFormatting sqref="BF7">
    <cfRule type="cellIs" dxfId="36854" priority="5498" stopIfTrue="1" operator="lessThan">
      <formula>0.5</formula>
    </cfRule>
  </conditionalFormatting>
  <conditionalFormatting sqref="BF7">
    <cfRule type="cellIs" dxfId="36853" priority="5499" stopIfTrue="1" operator="greaterThanOrEqual">
      <formula>0.5</formula>
    </cfRule>
  </conditionalFormatting>
  <conditionalFormatting sqref="BF16">
    <cfRule type="cellIs" dxfId="36852" priority="5524" stopIfTrue="1" operator="equal">
      <formula>-1</formula>
    </cfRule>
  </conditionalFormatting>
  <conditionalFormatting sqref="BF16">
    <cfRule type="cellIs" dxfId="36851" priority="5525" stopIfTrue="1" operator="lessThan">
      <formula>0.5</formula>
    </cfRule>
  </conditionalFormatting>
  <conditionalFormatting sqref="BF16">
    <cfRule type="cellIs" dxfId="36850" priority="5526" stopIfTrue="1" operator="greaterThanOrEqual">
      <formula>0.5</formula>
    </cfRule>
  </conditionalFormatting>
  <conditionalFormatting sqref="BH7">
    <cfRule type="cellIs" dxfId="36849" priority="5560" stopIfTrue="1" operator="equal">
      <formula>-1</formula>
    </cfRule>
  </conditionalFormatting>
  <conditionalFormatting sqref="BH7">
    <cfRule type="cellIs" dxfId="36848" priority="5561" stopIfTrue="1" operator="lessThan">
      <formula>0.5</formula>
    </cfRule>
  </conditionalFormatting>
  <conditionalFormatting sqref="BH7">
    <cfRule type="cellIs" dxfId="36847" priority="5562" stopIfTrue="1" operator="greaterThanOrEqual">
      <formula>0.5</formula>
    </cfRule>
  </conditionalFormatting>
  <conditionalFormatting sqref="BH16">
    <cfRule type="cellIs" dxfId="36846" priority="5587" stopIfTrue="1" operator="equal">
      <formula>-1</formula>
    </cfRule>
  </conditionalFormatting>
  <conditionalFormatting sqref="BH16">
    <cfRule type="cellIs" dxfId="36845" priority="5588" stopIfTrue="1" operator="lessThan">
      <formula>0.5</formula>
    </cfRule>
  </conditionalFormatting>
  <conditionalFormatting sqref="BH16">
    <cfRule type="cellIs" dxfId="36844" priority="5589" stopIfTrue="1" operator="greaterThanOrEqual">
      <formula>0.5</formula>
    </cfRule>
  </conditionalFormatting>
  <conditionalFormatting sqref="BJ7">
    <cfRule type="cellIs" dxfId="36843" priority="5623" stopIfTrue="1" operator="equal">
      <formula>-1</formula>
    </cfRule>
  </conditionalFormatting>
  <conditionalFormatting sqref="BJ7">
    <cfRule type="cellIs" dxfId="36842" priority="5624" stopIfTrue="1" operator="lessThan">
      <formula>0.5</formula>
    </cfRule>
  </conditionalFormatting>
  <conditionalFormatting sqref="BJ7">
    <cfRule type="cellIs" dxfId="36841" priority="5625" stopIfTrue="1" operator="greaterThanOrEqual">
      <formula>0.5</formula>
    </cfRule>
  </conditionalFormatting>
  <conditionalFormatting sqref="BJ16">
    <cfRule type="cellIs" dxfId="36840" priority="5650" stopIfTrue="1" operator="equal">
      <formula>-1</formula>
    </cfRule>
  </conditionalFormatting>
  <conditionalFormatting sqref="BJ16">
    <cfRule type="cellIs" dxfId="36839" priority="5651" stopIfTrue="1" operator="lessThan">
      <formula>0.5</formula>
    </cfRule>
  </conditionalFormatting>
  <conditionalFormatting sqref="BJ16">
    <cfRule type="cellIs" dxfId="36838" priority="5652" stopIfTrue="1" operator="greaterThanOrEqual">
      <formula>0.5</formula>
    </cfRule>
  </conditionalFormatting>
  <conditionalFormatting sqref="D38">
    <cfRule type="cellIs" dxfId="36837" priority="5713" stopIfTrue="1" operator="equal">
      <formula>-1</formula>
    </cfRule>
  </conditionalFormatting>
  <conditionalFormatting sqref="D38">
    <cfRule type="cellIs" dxfId="36836" priority="5714" stopIfTrue="1" operator="lessThan">
      <formula>0.5</formula>
    </cfRule>
  </conditionalFormatting>
  <conditionalFormatting sqref="D38">
    <cfRule type="cellIs" dxfId="36835" priority="5715" stopIfTrue="1" operator="greaterThanOrEqual">
      <formula>0.5</formula>
    </cfRule>
  </conditionalFormatting>
  <conditionalFormatting sqref="F38">
    <cfRule type="cellIs" dxfId="36834" priority="5773" stopIfTrue="1" operator="equal">
      <formula>-1</formula>
    </cfRule>
  </conditionalFormatting>
  <conditionalFormatting sqref="F38">
    <cfRule type="cellIs" dxfId="36833" priority="5774" stopIfTrue="1" operator="lessThan">
      <formula>0.5</formula>
    </cfRule>
  </conditionalFormatting>
  <conditionalFormatting sqref="F38">
    <cfRule type="cellIs" dxfId="36832" priority="5775" stopIfTrue="1" operator="greaterThanOrEqual">
      <formula>0.5</formula>
    </cfRule>
  </conditionalFormatting>
  <conditionalFormatting sqref="H38">
    <cfRule type="cellIs" dxfId="36831" priority="5833" stopIfTrue="1" operator="equal">
      <formula>-1</formula>
    </cfRule>
  </conditionalFormatting>
  <conditionalFormatting sqref="H38">
    <cfRule type="cellIs" dxfId="36830" priority="5834" stopIfTrue="1" operator="lessThan">
      <formula>0.5</formula>
    </cfRule>
  </conditionalFormatting>
  <conditionalFormatting sqref="H38">
    <cfRule type="cellIs" dxfId="36829" priority="5835" stopIfTrue="1" operator="greaterThanOrEqual">
      <formula>0.5</formula>
    </cfRule>
  </conditionalFormatting>
  <conditionalFormatting sqref="J38">
    <cfRule type="cellIs" dxfId="36828" priority="5893" stopIfTrue="1" operator="equal">
      <formula>-1</formula>
    </cfRule>
  </conditionalFormatting>
  <conditionalFormatting sqref="J38">
    <cfRule type="cellIs" dxfId="36827" priority="5894" stopIfTrue="1" operator="lessThan">
      <formula>0.5</formula>
    </cfRule>
  </conditionalFormatting>
  <conditionalFormatting sqref="J38">
    <cfRule type="cellIs" dxfId="36826" priority="5895" stopIfTrue="1" operator="greaterThanOrEqual">
      <formula>0.5</formula>
    </cfRule>
  </conditionalFormatting>
  <conditionalFormatting sqref="L38">
    <cfRule type="cellIs" dxfId="36825" priority="5953" stopIfTrue="1" operator="equal">
      <formula>-1</formula>
    </cfRule>
  </conditionalFormatting>
  <conditionalFormatting sqref="L38">
    <cfRule type="cellIs" dxfId="36824" priority="5954" stopIfTrue="1" operator="lessThan">
      <formula>0.5</formula>
    </cfRule>
  </conditionalFormatting>
  <conditionalFormatting sqref="L38">
    <cfRule type="cellIs" dxfId="36823" priority="5955" stopIfTrue="1" operator="greaterThanOrEqual">
      <formula>0.5</formula>
    </cfRule>
  </conditionalFormatting>
  <conditionalFormatting sqref="N38">
    <cfRule type="cellIs" dxfId="36822" priority="6013" stopIfTrue="1" operator="equal">
      <formula>-1</formula>
    </cfRule>
  </conditionalFormatting>
  <conditionalFormatting sqref="N38">
    <cfRule type="cellIs" dxfId="36821" priority="6014" stopIfTrue="1" operator="lessThan">
      <formula>0.5</formula>
    </cfRule>
  </conditionalFormatting>
  <conditionalFormatting sqref="N38">
    <cfRule type="cellIs" dxfId="36820" priority="6015" stopIfTrue="1" operator="greaterThanOrEqual">
      <formula>0.5</formula>
    </cfRule>
  </conditionalFormatting>
  <conditionalFormatting sqref="P38">
    <cfRule type="cellIs" dxfId="36819" priority="6073" stopIfTrue="1" operator="equal">
      <formula>-1</formula>
    </cfRule>
  </conditionalFormatting>
  <conditionalFormatting sqref="P38">
    <cfRule type="cellIs" dxfId="36818" priority="6074" stopIfTrue="1" operator="lessThan">
      <formula>0.5</formula>
    </cfRule>
  </conditionalFormatting>
  <conditionalFormatting sqref="P38">
    <cfRule type="cellIs" dxfId="36817" priority="6075" stopIfTrue="1" operator="greaterThanOrEqual">
      <formula>0.5</formula>
    </cfRule>
  </conditionalFormatting>
  <conditionalFormatting sqref="R38">
    <cfRule type="cellIs" dxfId="36816" priority="6133" stopIfTrue="1" operator="equal">
      <formula>-1</formula>
    </cfRule>
  </conditionalFormatting>
  <conditionalFormatting sqref="R38">
    <cfRule type="cellIs" dxfId="36815" priority="6134" stopIfTrue="1" operator="lessThan">
      <formula>0.5</formula>
    </cfRule>
  </conditionalFormatting>
  <conditionalFormatting sqref="R38">
    <cfRule type="cellIs" dxfId="36814" priority="6135" stopIfTrue="1" operator="greaterThanOrEqual">
      <formula>0.5</formula>
    </cfRule>
  </conditionalFormatting>
  <conditionalFormatting sqref="T38">
    <cfRule type="cellIs" dxfId="36813" priority="6193" stopIfTrue="1" operator="equal">
      <formula>-1</formula>
    </cfRule>
  </conditionalFormatting>
  <conditionalFormatting sqref="T38">
    <cfRule type="cellIs" dxfId="36812" priority="6194" stopIfTrue="1" operator="lessThan">
      <formula>0.5</formula>
    </cfRule>
  </conditionalFormatting>
  <conditionalFormatting sqref="T38">
    <cfRule type="cellIs" dxfId="36811" priority="6195" stopIfTrue="1" operator="greaterThanOrEqual">
      <formula>0.5</formula>
    </cfRule>
  </conditionalFormatting>
  <conditionalFormatting sqref="V38">
    <cfRule type="cellIs" dxfId="36810" priority="6253" stopIfTrue="1" operator="equal">
      <formula>-1</formula>
    </cfRule>
  </conditionalFormatting>
  <conditionalFormatting sqref="V38">
    <cfRule type="cellIs" dxfId="36809" priority="6254" stopIfTrue="1" operator="lessThan">
      <formula>0.5</formula>
    </cfRule>
  </conditionalFormatting>
  <conditionalFormatting sqref="V38">
    <cfRule type="cellIs" dxfId="36808" priority="6255" stopIfTrue="1" operator="greaterThanOrEqual">
      <formula>0.5</formula>
    </cfRule>
  </conditionalFormatting>
  <conditionalFormatting sqref="X38">
    <cfRule type="cellIs" dxfId="36807" priority="6313" stopIfTrue="1" operator="equal">
      <formula>-1</formula>
    </cfRule>
  </conditionalFormatting>
  <conditionalFormatting sqref="X38">
    <cfRule type="cellIs" dxfId="36806" priority="6314" stopIfTrue="1" operator="lessThan">
      <formula>0.5</formula>
    </cfRule>
  </conditionalFormatting>
  <conditionalFormatting sqref="X38">
    <cfRule type="cellIs" dxfId="36805" priority="6315" stopIfTrue="1" operator="greaterThanOrEqual">
      <formula>0.5</formula>
    </cfRule>
  </conditionalFormatting>
  <conditionalFormatting sqref="Z38">
    <cfRule type="cellIs" dxfId="36804" priority="6373" stopIfTrue="1" operator="equal">
      <formula>-1</formula>
    </cfRule>
  </conditionalFormatting>
  <conditionalFormatting sqref="Z38">
    <cfRule type="cellIs" dxfId="36803" priority="6374" stopIfTrue="1" operator="lessThan">
      <formula>0.5</formula>
    </cfRule>
  </conditionalFormatting>
  <conditionalFormatting sqref="Z38">
    <cfRule type="cellIs" dxfId="36802" priority="6375" stopIfTrue="1" operator="greaterThanOrEqual">
      <formula>0.5</formula>
    </cfRule>
  </conditionalFormatting>
  <conditionalFormatting sqref="AB38">
    <cfRule type="cellIs" dxfId="36801" priority="6433" stopIfTrue="1" operator="equal">
      <formula>-1</formula>
    </cfRule>
  </conditionalFormatting>
  <conditionalFormatting sqref="AB38">
    <cfRule type="cellIs" dxfId="36800" priority="6434" stopIfTrue="1" operator="lessThan">
      <formula>0.5</formula>
    </cfRule>
  </conditionalFormatting>
  <conditionalFormatting sqref="AB38">
    <cfRule type="cellIs" dxfId="36799" priority="6435" stopIfTrue="1" operator="greaterThanOrEqual">
      <formula>0.5</formula>
    </cfRule>
  </conditionalFormatting>
  <conditionalFormatting sqref="AD38">
    <cfRule type="cellIs" dxfId="36798" priority="6493" stopIfTrue="1" operator="equal">
      <formula>-1</formula>
    </cfRule>
  </conditionalFormatting>
  <conditionalFormatting sqref="AD38">
    <cfRule type="cellIs" dxfId="36797" priority="6494" stopIfTrue="1" operator="lessThan">
      <formula>0.5</formula>
    </cfRule>
  </conditionalFormatting>
  <conditionalFormatting sqref="AD38">
    <cfRule type="cellIs" dxfId="36796" priority="6495" stopIfTrue="1" operator="greaterThanOrEqual">
      <formula>0.5</formula>
    </cfRule>
  </conditionalFormatting>
  <conditionalFormatting sqref="AF38">
    <cfRule type="cellIs" dxfId="36795" priority="6553" stopIfTrue="1" operator="equal">
      <formula>-1</formula>
    </cfRule>
  </conditionalFormatting>
  <conditionalFormatting sqref="AF38">
    <cfRule type="cellIs" dxfId="36794" priority="6554" stopIfTrue="1" operator="lessThan">
      <formula>0.5</formula>
    </cfRule>
  </conditionalFormatting>
  <conditionalFormatting sqref="AF38">
    <cfRule type="cellIs" dxfId="36793" priority="6555" stopIfTrue="1" operator="greaterThanOrEqual">
      <formula>0.5</formula>
    </cfRule>
  </conditionalFormatting>
  <conditionalFormatting sqref="AH38">
    <cfRule type="cellIs" dxfId="36792" priority="6613" stopIfTrue="1" operator="equal">
      <formula>-1</formula>
    </cfRule>
  </conditionalFormatting>
  <conditionalFormatting sqref="AH38">
    <cfRule type="cellIs" dxfId="36791" priority="6614" stopIfTrue="1" operator="lessThan">
      <formula>0.5</formula>
    </cfRule>
  </conditionalFormatting>
  <conditionalFormatting sqref="AH38">
    <cfRule type="cellIs" dxfId="36790" priority="6615" stopIfTrue="1" operator="greaterThanOrEqual">
      <formula>0.5</formula>
    </cfRule>
  </conditionalFormatting>
  <conditionalFormatting sqref="AJ38">
    <cfRule type="cellIs" dxfId="36789" priority="6673" stopIfTrue="1" operator="equal">
      <formula>-1</formula>
    </cfRule>
  </conditionalFormatting>
  <conditionalFormatting sqref="AJ38">
    <cfRule type="cellIs" dxfId="36788" priority="6674" stopIfTrue="1" operator="lessThan">
      <formula>0.5</formula>
    </cfRule>
  </conditionalFormatting>
  <conditionalFormatting sqref="AJ38">
    <cfRule type="cellIs" dxfId="36787" priority="6675" stopIfTrue="1" operator="greaterThanOrEqual">
      <formula>0.5</formula>
    </cfRule>
  </conditionalFormatting>
  <conditionalFormatting sqref="AL38">
    <cfRule type="cellIs" dxfId="36786" priority="6733" stopIfTrue="1" operator="equal">
      <formula>-1</formula>
    </cfRule>
  </conditionalFormatting>
  <conditionalFormatting sqref="AL38">
    <cfRule type="cellIs" dxfId="36785" priority="6734" stopIfTrue="1" operator="lessThan">
      <formula>0.5</formula>
    </cfRule>
  </conditionalFormatting>
  <conditionalFormatting sqref="AL38">
    <cfRule type="cellIs" dxfId="36784" priority="6735" stopIfTrue="1" operator="greaterThanOrEqual">
      <formula>0.5</formula>
    </cfRule>
  </conditionalFormatting>
  <conditionalFormatting sqref="AN38">
    <cfRule type="cellIs" dxfId="36783" priority="6793" stopIfTrue="1" operator="equal">
      <formula>-1</formula>
    </cfRule>
  </conditionalFormatting>
  <conditionalFormatting sqref="AN38">
    <cfRule type="cellIs" dxfId="36782" priority="6794" stopIfTrue="1" operator="lessThan">
      <formula>0.5</formula>
    </cfRule>
  </conditionalFormatting>
  <conditionalFormatting sqref="AN38">
    <cfRule type="cellIs" dxfId="36781" priority="6795" stopIfTrue="1" operator="greaterThanOrEqual">
      <formula>0.5</formula>
    </cfRule>
  </conditionalFormatting>
  <conditionalFormatting sqref="AP38">
    <cfRule type="cellIs" dxfId="36780" priority="6853" stopIfTrue="1" operator="equal">
      <formula>-1</formula>
    </cfRule>
  </conditionalFormatting>
  <conditionalFormatting sqref="AP38">
    <cfRule type="cellIs" dxfId="36779" priority="6854" stopIfTrue="1" operator="lessThan">
      <formula>0.5</formula>
    </cfRule>
  </conditionalFormatting>
  <conditionalFormatting sqref="AP38">
    <cfRule type="cellIs" dxfId="36778" priority="6855" stopIfTrue="1" operator="greaterThanOrEqual">
      <formula>0.5</formula>
    </cfRule>
  </conditionalFormatting>
  <conditionalFormatting sqref="AR38">
    <cfRule type="cellIs" dxfId="36777" priority="6913" stopIfTrue="1" operator="equal">
      <formula>-1</formula>
    </cfRule>
  </conditionalFormatting>
  <conditionalFormatting sqref="AR38">
    <cfRule type="cellIs" dxfId="36776" priority="6914" stopIfTrue="1" operator="lessThan">
      <formula>0.5</formula>
    </cfRule>
  </conditionalFormatting>
  <conditionalFormatting sqref="AR38">
    <cfRule type="cellIs" dxfId="36775" priority="6915" stopIfTrue="1" operator="greaterThanOrEqual">
      <formula>0.5</formula>
    </cfRule>
  </conditionalFormatting>
  <conditionalFormatting sqref="AT38">
    <cfRule type="cellIs" dxfId="36774" priority="6973" stopIfTrue="1" operator="equal">
      <formula>-1</formula>
    </cfRule>
  </conditionalFormatting>
  <conditionalFormatting sqref="AT38">
    <cfRule type="cellIs" dxfId="36773" priority="6974" stopIfTrue="1" operator="lessThan">
      <formula>0.5</formula>
    </cfRule>
  </conditionalFormatting>
  <conditionalFormatting sqref="AT38">
    <cfRule type="cellIs" dxfId="36772" priority="6975" stopIfTrue="1" operator="greaterThanOrEqual">
      <formula>0.5</formula>
    </cfRule>
  </conditionalFormatting>
  <conditionalFormatting sqref="AV38">
    <cfRule type="cellIs" dxfId="36771" priority="7033" stopIfTrue="1" operator="equal">
      <formula>-1</formula>
    </cfRule>
  </conditionalFormatting>
  <conditionalFormatting sqref="AV38">
    <cfRule type="cellIs" dxfId="36770" priority="7034" stopIfTrue="1" operator="lessThan">
      <formula>0.5</formula>
    </cfRule>
  </conditionalFormatting>
  <conditionalFormatting sqref="AV38">
    <cfRule type="cellIs" dxfId="36769" priority="7035" stopIfTrue="1" operator="greaterThanOrEqual">
      <formula>0.5</formula>
    </cfRule>
  </conditionalFormatting>
  <conditionalFormatting sqref="AX38">
    <cfRule type="cellIs" dxfId="36768" priority="7093" stopIfTrue="1" operator="equal">
      <formula>-1</formula>
    </cfRule>
  </conditionalFormatting>
  <conditionalFormatting sqref="AX38">
    <cfRule type="cellIs" dxfId="36767" priority="7094" stopIfTrue="1" operator="lessThan">
      <formula>0.5</formula>
    </cfRule>
  </conditionalFormatting>
  <conditionalFormatting sqref="AX38">
    <cfRule type="cellIs" dxfId="36766" priority="7095" stopIfTrue="1" operator="greaterThanOrEqual">
      <formula>0.5</formula>
    </cfRule>
  </conditionalFormatting>
  <conditionalFormatting sqref="AZ38">
    <cfRule type="cellIs" dxfId="36765" priority="7153" stopIfTrue="1" operator="equal">
      <formula>-1</formula>
    </cfRule>
  </conditionalFormatting>
  <conditionalFormatting sqref="AZ38">
    <cfRule type="cellIs" dxfId="36764" priority="7154" stopIfTrue="1" operator="lessThan">
      <formula>0.5</formula>
    </cfRule>
  </conditionalFormatting>
  <conditionalFormatting sqref="AZ38">
    <cfRule type="cellIs" dxfId="36763" priority="7155" stopIfTrue="1" operator="greaterThanOrEqual">
      <formula>0.5</formula>
    </cfRule>
  </conditionalFormatting>
  <conditionalFormatting sqref="BB38">
    <cfRule type="cellIs" dxfId="36762" priority="7213" stopIfTrue="1" operator="equal">
      <formula>-1</formula>
    </cfRule>
  </conditionalFormatting>
  <conditionalFormatting sqref="BB38">
    <cfRule type="cellIs" dxfId="36761" priority="7214" stopIfTrue="1" operator="lessThan">
      <formula>0.5</formula>
    </cfRule>
  </conditionalFormatting>
  <conditionalFormatting sqref="BB38">
    <cfRule type="cellIs" dxfId="36760" priority="7215" stopIfTrue="1" operator="greaterThanOrEqual">
      <formula>0.5</formula>
    </cfRule>
  </conditionalFormatting>
  <conditionalFormatting sqref="BD38">
    <cfRule type="cellIs" dxfId="36759" priority="7273" stopIfTrue="1" operator="equal">
      <formula>-1</formula>
    </cfRule>
  </conditionalFormatting>
  <conditionalFormatting sqref="BD38">
    <cfRule type="cellIs" dxfId="36758" priority="7274" stopIfTrue="1" operator="lessThan">
      <formula>0.5</formula>
    </cfRule>
  </conditionalFormatting>
  <conditionalFormatting sqref="BD38">
    <cfRule type="cellIs" dxfId="36757" priority="7275" stopIfTrue="1" operator="greaterThanOrEqual">
      <formula>0.5</formula>
    </cfRule>
  </conditionalFormatting>
  <conditionalFormatting sqref="BF38">
    <cfRule type="cellIs" dxfId="36756" priority="7333" stopIfTrue="1" operator="equal">
      <formula>-1</formula>
    </cfRule>
  </conditionalFormatting>
  <conditionalFormatting sqref="BF38">
    <cfRule type="cellIs" dxfId="36755" priority="7334" stopIfTrue="1" operator="lessThan">
      <formula>0.5</formula>
    </cfRule>
  </conditionalFormatting>
  <conditionalFormatting sqref="BF38">
    <cfRule type="cellIs" dxfId="36754" priority="7335" stopIfTrue="1" operator="greaterThanOrEqual">
      <formula>0.5</formula>
    </cfRule>
  </conditionalFormatting>
  <conditionalFormatting sqref="BH38">
    <cfRule type="cellIs" dxfId="36753" priority="7393" stopIfTrue="1" operator="equal">
      <formula>-1</formula>
    </cfRule>
  </conditionalFormatting>
  <conditionalFormatting sqref="BH38">
    <cfRule type="cellIs" dxfId="36752" priority="7394" stopIfTrue="1" operator="lessThan">
      <formula>0.5</formula>
    </cfRule>
  </conditionalFormatting>
  <conditionalFormatting sqref="BH38">
    <cfRule type="cellIs" dxfId="36751" priority="7395" stopIfTrue="1" operator="greaterThanOrEqual">
      <formula>0.5</formula>
    </cfRule>
  </conditionalFormatting>
  <conditionalFormatting sqref="BJ38">
    <cfRule type="cellIs" dxfId="36750" priority="7453" stopIfTrue="1" operator="equal">
      <formula>-1</formula>
    </cfRule>
  </conditionalFormatting>
  <conditionalFormatting sqref="BJ38">
    <cfRule type="cellIs" dxfId="36749" priority="7454" stopIfTrue="1" operator="lessThan">
      <formula>0.5</formula>
    </cfRule>
  </conditionalFormatting>
  <conditionalFormatting sqref="BJ38">
    <cfRule type="cellIs" dxfId="36748" priority="7455" stopIfTrue="1" operator="greaterThanOrEqual">
      <formula>0.5</formula>
    </cfRule>
  </conditionalFormatting>
  <conditionalFormatting sqref="C59 E59 G59 I59 K59 M59 O59 Q59 S59 U59 W59 Y59 AA59 AC59 AE59 AG59 AI59 AK59 AM59 AO59 AQ59 AS59 AU59 AW59 AY59 BA59 BC59 BE59 BG59 BI59">
    <cfRule type="cellIs" dxfId="36747" priority="2" stopIfTrue="1" operator="lessThan">
      <formula>5</formula>
    </cfRule>
    <cfRule type="cellIs" dxfId="36746" priority="3" operator="greaterThanOrEqual">
      <formula>5</formula>
    </cfRule>
  </conditionalFormatting>
  <conditionalFormatting sqref="B3">
    <cfRule type="cellIs" dxfId="36745" priority="1" operator="notEqual">
      <formula>"Ok"</formula>
    </cfRule>
  </conditionalFormatting>
  <conditionalFormatting sqref="D5">
    <cfRule type="cellIs" dxfId="36744" priority="103870" stopIfTrue="1" operator="equal">
      <formula>-1</formula>
    </cfRule>
  </conditionalFormatting>
  <conditionalFormatting sqref="D5">
    <cfRule type="cellIs" dxfId="36743" priority="103871" stopIfTrue="1" operator="lessThan">
      <formula>0.5</formula>
    </cfRule>
  </conditionalFormatting>
  <conditionalFormatting sqref="D5">
    <cfRule type="cellIs" dxfId="36742" priority="103872" stopIfTrue="1" operator="greaterThanOrEqual">
      <formula>0.5</formula>
    </cfRule>
  </conditionalFormatting>
  <conditionalFormatting sqref="D6">
    <cfRule type="cellIs" dxfId="36741" priority="103873" stopIfTrue="1" operator="equal">
      <formula>-1</formula>
    </cfRule>
  </conditionalFormatting>
  <conditionalFormatting sqref="D6">
    <cfRule type="cellIs" dxfId="36740" priority="103874" stopIfTrue="1" operator="lessThan">
      <formula>0.5</formula>
    </cfRule>
  </conditionalFormatting>
  <conditionalFormatting sqref="D6">
    <cfRule type="cellIs" dxfId="36739" priority="103875" stopIfTrue="1" operator="greaterThanOrEqual">
      <formula>0.5</formula>
    </cfRule>
  </conditionalFormatting>
  <conditionalFormatting sqref="F5">
    <cfRule type="cellIs" dxfId="36738" priority="103876" stopIfTrue="1" operator="equal">
      <formula>-1</formula>
    </cfRule>
  </conditionalFormatting>
  <conditionalFormatting sqref="F5">
    <cfRule type="cellIs" dxfId="36737" priority="103877" stopIfTrue="1" operator="lessThan">
      <formula>0.5</formula>
    </cfRule>
  </conditionalFormatting>
  <conditionalFormatting sqref="F5">
    <cfRule type="cellIs" dxfId="36736" priority="103878" stopIfTrue="1" operator="greaterThanOrEqual">
      <formula>0.5</formula>
    </cfRule>
  </conditionalFormatting>
  <conditionalFormatting sqref="F6">
    <cfRule type="cellIs" dxfId="36735" priority="103879" stopIfTrue="1" operator="equal">
      <formula>-1</formula>
    </cfRule>
  </conditionalFormatting>
  <conditionalFormatting sqref="F6">
    <cfRule type="cellIs" dxfId="36734" priority="103880" stopIfTrue="1" operator="lessThan">
      <formula>0.5</formula>
    </cfRule>
  </conditionalFormatting>
  <conditionalFormatting sqref="F6">
    <cfRule type="cellIs" dxfId="36733" priority="103881" stopIfTrue="1" operator="greaterThanOrEqual">
      <formula>0.5</formula>
    </cfRule>
  </conditionalFormatting>
  <conditionalFormatting sqref="H5">
    <cfRule type="cellIs" dxfId="36732" priority="103882" stopIfTrue="1" operator="equal">
      <formula>-1</formula>
    </cfRule>
  </conditionalFormatting>
  <conditionalFormatting sqref="H5">
    <cfRule type="cellIs" dxfId="36731" priority="103883" stopIfTrue="1" operator="lessThan">
      <formula>0.5</formula>
    </cfRule>
  </conditionalFormatting>
  <conditionalFormatting sqref="H5">
    <cfRule type="cellIs" dxfId="36730" priority="103884" stopIfTrue="1" operator="greaterThanOrEqual">
      <formula>0.5</formula>
    </cfRule>
  </conditionalFormatting>
  <conditionalFormatting sqref="H6">
    <cfRule type="cellIs" dxfId="36729" priority="103885" stopIfTrue="1" operator="equal">
      <formula>-1</formula>
    </cfRule>
  </conditionalFormatting>
  <conditionalFormatting sqref="H6">
    <cfRule type="cellIs" dxfId="36728" priority="103886" stopIfTrue="1" operator="lessThan">
      <formula>0.5</formula>
    </cfRule>
  </conditionalFormatting>
  <conditionalFormatting sqref="H6">
    <cfRule type="cellIs" dxfId="36727" priority="103887" stopIfTrue="1" operator="greaterThanOrEqual">
      <formula>0.5</formula>
    </cfRule>
  </conditionalFormatting>
  <conditionalFormatting sqref="J5">
    <cfRule type="cellIs" dxfId="36726" priority="103888" stopIfTrue="1" operator="equal">
      <formula>-1</formula>
    </cfRule>
  </conditionalFormatting>
  <conditionalFormatting sqref="J5">
    <cfRule type="cellIs" dxfId="36725" priority="103889" stopIfTrue="1" operator="lessThan">
      <formula>0.5</formula>
    </cfRule>
  </conditionalFormatting>
  <conditionalFormatting sqref="J5">
    <cfRule type="cellIs" dxfId="36724" priority="103890" stopIfTrue="1" operator="greaterThanOrEqual">
      <formula>0.5</formula>
    </cfRule>
  </conditionalFormatting>
  <conditionalFormatting sqref="J6">
    <cfRule type="cellIs" dxfId="36723" priority="103891" stopIfTrue="1" operator="equal">
      <formula>-1</formula>
    </cfRule>
  </conditionalFormatting>
  <conditionalFormatting sqref="J6">
    <cfRule type="cellIs" dxfId="36722" priority="103892" stopIfTrue="1" operator="lessThan">
      <formula>0.5</formula>
    </cfRule>
  </conditionalFormatting>
  <conditionalFormatting sqref="J6">
    <cfRule type="cellIs" dxfId="36721" priority="103893" stopIfTrue="1" operator="greaterThanOrEqual">
      <formula>0.5</formula>
    </cfRule>
  </conditionalFormatting>
  <conditionalFormatting sqref="L5">
    <cfRule type="cellIs" dxfId="36720" priority="103894" stopIfTrue="1" operator="equal">
      <formula>-1</formula>
    </cfRule>
  </conditionalFormatting>
  <conditionalFormatting sqref="L5">
    <cfRule type="cellIs" dxfId="36719" priority="103895" stopIfTrue="1" operator="lessThan">
      <formula>0.5</formula>
    </cfRule>
  </conditionalFormatting>
  <conditionalFormatting sqref="L5">
    <cfRule type="cellIs" dxfId="36718" priority="103896" stopIfTrue="1" operator="greaterThanOrEqual">
      <formula>0.5</formula>
    </cfRule>
  </conditionalFormatting>
  <conditionalFormatting sqref="L6">
    <cfRule type="cellIs" dxfId="36717" priority="103897" stopIfTrue="1" operator="equal">
      <formula>-1</formula>
    </cfRule>
  </conditionalFormatting>
  <conditionalFormatting sqref="L6">
    <cfRule type="cellIs" dxfId="36716" priority="103898" stopIfTrue="1" operator="lessThan">
      <formula>0.5</formula>
    </cfRule>
  </conditionalFormatting>
  <conditionalFormatting sqref="L6">
    <cfRule type="cellIs" dxfId="36715" priority="103899" stopIfTrue="1" operator="greaterThanOrEqual">
      <formula>0.5</formula>
    </cfRule>
  </conditionalFormatting>
  <conditionalFormatting sqref="N5">
    <cfRule type="cellIs" dxfId="36714" priority="103900" stopIfTrue="1" operator="equal">
      <formula>-1</formula>
    </cfRule>
  </conditionalFormatting>
  <conditionalFormatting sqref="N5">
    <cfRule type="cellIs" dxfId="36713" priority="103901" stopIfTrue="1" operator="lessThan">
      <formula>0.5</formula>
    </cfRule>
  </conditionalFormatting>
  <conditionalFormatting sqref="N5">
    <cfRule type="cellIs" dxfId="36712" priority="103902" stopIfTrue="1" operator="greaterThanOrEqual">
      <formula>0.5</formula>
    </cfRule>
  </conditionalFormatting>
  <conditionalFormatting sqref="N6">
    <cfRule type="cellIs" dxfId="36711" priority="103903" stopIfTrue="1" operator="equal">
      <formula>-1</formula>
    </cfRule>
  </conditionalFormatting>
  <conditionalFormatting sqref="N6">
    <cfRule type="cellIs" dxfId="36710" priority="103904" stopIfTrue="1" operator="lessThan">
      <formula>0.5</formula>
    </cfRule>
  </conditionalFormatting>
  <conditionalFormatting sqref="N6">
    <cfRule type="cellIs" dxfId="36709" priority="103905" stopIfTrue="1" operator="greaterThanOrEqual">
      <formula>0.5</formula>
    </cfRule>
  </conditionalFormatting>
  <conditionalFormatting sqref="P5">
    <cfRule type="cellIs" dxfId="36708" priority="103906" stopIfTrue="1" operator="equal">
      <formula>-1</formula>
    </cfRule>
  </conditionalFormatting>
  <conditionalFormatting sqref="P5">
    <cfRule type="cellIs" dxfId="36707" priority="103907" stopIfTrue="1" operator="lessThan">
      <formula>0.5</formula>
    </cfRule>
  </conditionalFormatting>
  <conditionalFormatting sqref="P5">
    <cfRule type="cellIs" dxfId="36706" priority="103908" stopIfTrue="1" operator="greaterThanOrEqual">
      <formula>0.5</formula>
    </cfRule>
  </conditionalFormatting>
  <conditionalFormatting sqref="P6">
    <cfRule type="cellIs" dxfId="36705" priority="103909" stopIfTrue="1" operator="equal">
      <formula>-1</formula>
    </cfRule>
  </conditionalFormatting>
  <conditionalFormatting sqref="P6">
    <cfRule type="cellIs" dxfId="36704" priority="103910" stopIfTrue="1" operator="lessThan">
      <formula>0.5</formula>
    </cfRule>
  </conditionalFormatting>
  <conditionalFormatting sqref="P6">
    <cfRule type="cellIs" dxfId="36703" priority="103911" stopIfTrue="1" operator="greaterThanOrEqual">
      <formula>0.5</formula>
    </cfRule>
  </conditionalFormatting>
  <conditionalFormatting sqref="R5">
    <cfRule type="cellIs" dxfId="36702" priority="103912" stopIfTrue="1" operator="equal">
      <formula>-1</formula>
    </cfRule>
  </conditionalFormatting>
  <conditionalFormatting sqref="R5">
    <cfRule type="cellIs" dxfId="36701" priority="103913" stopIfTrue="1" operator="lessThan">
      <formula>0.5</formula>
    </cfRule>
  </conditionalFormatting>
  <conditionalFormatting sqref="R5">
    <cfRule type="cellIs" dxfId="36700" priority="103914" stopIfTrue="1" operator="greaterThanOrEqual">
      <formula>0.5</formula>
    </cfRule>
  </conditionalFormatting>
  <conditionalFormatting sqref="R6">
    <cfRule type="cellIs" dxfId="36699" priority="103915" stopIfTrue="1" operator="equal">
      <formula>-1</formula>
    </cfRule>
  </conditionalFormatting>
  <conditionalFormatting sqref="R6">
    <cfRule type="cellIs" dxfId="36698" priority="103916" stopIfTrue="1" operator="lessThan">
      <formula>0.5</formula>
    </cfRule>
  </conditionalFormatting>
  <conditionalFormatting sqref="R6">
    <cfRule type="cellIs" dxfId="36697" priority="103917" stopIfTrue="1" operator="greaterThanOrEqual">
      <formula>0.5</formula>
    </cfRule>
  </conditionalFormatting>
  <conditionalFormatting sqref="T5">
    <cfRule type="cellIs" dxfId="36696" priority="103918" stopIfTrue="1" operator="equal">
      <formula>-1</formula>
    </cfRule>
  </conditionalFormatting>
  <conditionalFormatting sqref="T5">
    <cfRule type="cellIs" dxfId="36695" priority="103919" stopIfTrue="1" operator="lessThan">
      <formula>0.5</formula>
    </cfRule>
  </conditionalFormatting>
  <conditionalFormatting sqref="T5">
    <cfRule type="cellIs" dxfId="36694" priority="103920" stopIfTrue="1" operator="greaterThanOrEqual">
      <formula>0.5</formula>
    </cfRule>
  </conditionalFormatting>
  <conditionalFormatting sqref="T6">
    <cfRule type="cellIs" dxfId="36693" priority="103921" stopIfTrue="1" operator="equal">
      <formula>-1</formula>
    </cfRule>
  </conditionalFormatting>
  <conditionalFormatting sqref="T6">
    <cfRule type="cellIs" dxfId="36692" priority="103922" stopIfTrue="1" operator="lessThan">
      <formula>0.5</formula>
    </cfRule>
  </conditionalFormatting>
  <conditionalFormatting sqref="T6">
    <cfRule type="cellIs" dxfId="36691" priority="103923" stopIfTrue="1" operator="greaterThanOrEqual">
      <formula>0.5</formula>
    </cfRule>
  </conditionalFormatting>
  <conditionalFormatting sqref="V5">
    <cfRule type="cellIs" dxfId="36690" priority="103924" stopIfTrue="1" operator="equal">
      <formula>-1</formula>
    </cfRule>
  </conditionalFormatting>
  <conditionalFormatting sqref="V5">
    <cfRule type="cellIs" dxfId="36689" priority="103925" stopIfTrue="1" operator="lessThan">
      <formula>0.5</formula>
    </cfRule>
  </conditionalFormatting>
  <conditionalFormatting sqref="V5">
    <cfRule type="cellIs" dxfId="36688" priority="103926" stopIfTrue="1" operator="greaterThanOrEqual">
      <formula>0.5</formula>
    </cfRule>
  </conditionalFormatting>
  <conditionalFormatting sqref="V6">
    <cfRule type="cellIs" dxfId="36687" priority="103927" stopIfTrue="1" operator="equal">
      <formula>-1</formula>
    </cfRule>
  </conditionalFormatting>
  <conditionalFormatting sqref="V6">
    <cfRule type="cellIs" dxfId="36686" priority="103928" stopIfTrue="1" operator="lessThan">
      <formula>0.5</formula>
    </cfRule>
  </conditionalFormatting>
  <conditionalFormatting sqref="V6">
    <cfRule type="cellIs" dxfId="36685" priority="103929" stopIfTrue="1" operator="greaterThanOrEqual">
      <formula>0.5</formula>
    </cfRule>
  </conditionalFormatting>
  <conditionalFormatting sqref="X5">
    <cfRule type="cellIs" dxfId="36684" priority="103930" stopIfTrue="1" operator="equal">
      <formula>-1</formula>
    </cfRule>
  </conditionalFormatting>
  <conditionalFormatting sqref="X5">
    <cfRule type="cellIs" dxfId="36683" priority="103931" stopIfTrue="1" operator="lessThan">
      <formula>0.5</formula>
    </cfRule>
  </conditionalFormatting>
  <conditionalFormatting sqref="X5">
    <cfRule type="cellIs" dxfId="36682" priority="103932" stopIfTrue="1" operator="greaterThanOrEqual">
      <formula>0.5</formula>
    </cfRule>
  </conditionalFormatting>
  <conditionalFormatting sqref="X6">
    <cfRule type="cellIs" dxfId="36681" priority="103933" stopIfTrue="1" operator="equal">
      <formula>-1</formula>
    </cfRule>
  </conditionalFormatting>
  <conditionalFormatting sqref="X6">
    <cfRule type="cellIs" dxfId="36680" priority="103934" stopIfTrue="1" operator="lessThan">
      <formula>0.5</formula>
    </cfRule>
  </conditionalFormatting>
  <conditionalFormatting sqref="X6">
    <cfRule type="cellIs" dxfId="36679" priority="103935" stopIfTrue="1" operator="greaterThanOrEqual">
      <formula>0.5</formula>
    </cfRule>
  </conditionalFormatting>
  <conditionalFormatting sqref="Z5">
    <cfRule type="cellIs" dxfId="36678" priority="103936" stopIfTrue="1" operator="equal">
      <formula>-1</formula>
    </cfRule>
  </conditionalFormatting>
  <conditionalFormatting sqref="Z5">
    <cfRule type="cellIs" dxfId="36677" priority="103937" stopIfTrue="1" operator="lessThan">
      <formula>0.5</formula>
    </cfRule>
  </conditionalFormatting>
  <conditionalFormatting sqref="Z5">
    <cfRule type="cellIs" dxfId="36676" priority="103938" stopIfTrue="1" operator="greaterThanOrEqual">
      <formula>0.5</formula>
    </cfRule>
  </conditionalFormatting>
  <conditionalFormatting sqref="Z6">
    <cfRule type="cellIs" dxfId="36675" priority="103939" stopIfTrue="1" operator="equal">
      <formula>-1</formula>
    </cfRule>
  </conditionalFormatting>
  <conditionalFormatting sqref="Z6">
    <cfRule type="cellIs" dxfId="36674" priority="103940" stopIfTrue="1" operator="lessThan">
      <formula>0.5</formula>
    </cfRule>
  </conditionalFormatting>
  <conditionalFormatting sqref="Z6">
    <cfRule type="cellIs" dxfId="36673" priority="103941" stopIfTrue="1" operator="greaterThanOrEqual">
      <formula>0.5</formula>
    </cfRule>
  </conditionalFormatting>
  <conditionalFormatting sqref="AB5">
    <cfRule type="cellIs" dxfId="36672" priority="103942" stopIfTrue="1" operator="equal">
      <formula>-1</formula>
    </cfRule>
  </conditionalFormatting>
  <conditionalFormatting sqref="AB5">
    <cfRule type="cellIs" dxfId="36671" priority="103943" stopIfTrue="1" operator="lessThan">
      <formula>0.5</formula>
    </cfRule>
  </conditionalFormatting>
  <conditionalFormatting sqref="AB5">
    <cfRule type="cellIs" dxfId="36670" priority="103944" stopIfTrue="1" operator="greaterThanOrEqual">
      <formula>0.5</formula>
    </cfRule>
  </conditionalFormatting>
  <conditionalFormatting sqref="AB6">
    <cfRule type="cellIs" dxfId="36669" priority="103945" stopIfTrue="1" operator="equal">
      <formula>-1</formula>
    </cfRule>
  </conditionalFormatting>
  <conditionalFormatting sqref="AB6">
    <cfRule type="cellIs" dxfId="36668" priority="103946" stopIfTrue="1" operator="lessThan">
      <formula>0.5</formula>
    </cfRule>
  </conditionalFormatting>
  <conditionalFormatting sqref="AB6">
    <cfRule type="cellIs" dxfId="36667" priority="103947" stopIfTrue="1" operator="greaterThanOrEqual">
      <formula>0.5</formula>
    </cfRule>
  </conditionalFormatting>
  <conditionalFormatting sqref="AD5">
    <cfRule type="cellIs" dxfId="36666" priority="103948" stopIfTrue="1" operator="equal">
      <formula>-1</formula>
    </cfRule>
  </conditionalFormatting>
  <conditionalFormatting sqref="AD5">
    <cfRule type="cellIs" dxfId="36665" priority="103949" stopIfTrue="1" operator="lessThan">
      <formula>0.5</formula>
    </cfRule>
  </conditionalFormatting>
  <conditionalFormatting sqref="AD5">
    <cfRule type="cellIs" dxfId="36664" priority="103950" stopIfTrue="1" operator="greaterThanOrEqual">
      <formula>0.5</formula>
    </cfRule>
  </conditionalFormatting>
  <conditionalFormatting sqref="AD6">
    <cfRule type="cellIs" dxfId="36663" priority="103951" stopIfTrue="1" operator="equal">
      <formula>-1</formula>
    </cfRule>
  </conditionalFormatting>
  <conditionalFormatting sqref="AD6">
    <cfRule type="cellIs" dxfId="36662" priority="103952" stopIfTrue="1" operator="lessThan">
      <formula>0.5</formula>
    </cfRule>
  </conditionalFormatting>
  <conditionalFormatting sqref="AD6">
    <cfRule type="cellIs" dxfId="36661" priority="103953" stopIfTrue="1" operator="greaterThanOrEqual">
      <formula>0.5</formula>
    </cfRule>
  </conditionalFormatting>
  <conditionalFormatting sqref="AF5">
    <cfRule type="cellIs" dxfId="36660" priority="103954" stopIfTrue="1" operator="equal">
      <formula>-1</formula>
    </cfRule>
  </conditionalFormatting>
  <conditionalFormatting sqref="AF5">
    <cfRule type="cellIs" dxfId="36659" priority="103955" stopIfTrue="1" operator="lessThan">
      <formula>0.5</formula>
    </cfRule>
  </conditionalFormatting>
  <conditionalFormatting sqref="AF5">
    <cfRule type="cellIs" dxfId="36658" priority="103956" stopIfTrue="1" operator="greaterThanOrEqual">
      <formula>0.5</formula>
    </cfRule>
  </conditionalFormatting>
  <conditionalFormatting sqref="AF6">
    <cfRule type="cellIs" dxfId="36657" priority="103957" stopIfTrue="1" operator="equal">
      <formula>-1</formula>
    </cfRule>
  </conditionalFormatting>
  <conditionalFormatting sqref="AF6">
    <cfRule type="cellIs" dxfId="36656" priority="103958" stopIfTrue="1" operator="lessThan">
      <formula>0.5</formula>
    </cfRule>
  </conditionalFormatting>
  <conditionalFormatting sqref="AF6">
    <cfRule type="cellIs" dxfId="36655" priority="103959" stopIfTrue="1" operator="greaterThanOrEqual">
      <formula>0.5</formula>
    </cfRule>
  </conditionalFormatting>
  <conditionalFormatting sqref="AH5">
    <cfRule type="cellIs" dxfId="36654" priority="103960" stopIfTrue="1" operator="equal">
      <formula>-1</formula>
    </cfRule>
  </conditionalFormatting>
  <conditionalFormatting sqref="AH5">
    <cfRule type="cellIs" dxfId="36653" priority="103961" stopIfTrue="1" operator="lessThan">
      <formula>0.5</formula>
    </cfRule>
  </conditionalFormatting>
  <conditionalFormatting sqref="AH5">
    <cfRule type="cellIs" dxfId="36652" priority="103962" stopIfTrue="1" operator="greaterThanOrEqual">
      <formula>0.5</formula>
    </cfRule>
  </conditionalFormatting>
  <conditionalFormatting sqref="AH6">
    <cfRule type="cellIs" dxfId="36651" priority="103963" stopIfTrue="1" operator="equal">
      <formula>-1</formula>
    </cfRule>
  </conditionalFormatting>
  <conditionalFormatting sqref="AH6">
    <cfRule type="cellIs" dxfId="36650" priority="103964" stopIfTrue="1" operator="lessThan">
      <formula>0.5</formula>
    </cfRule>
  </conditionalFormatting>
  <conditionalFormatting sqref="AH6">
    <cfRule type="cellIs" dxfId="36649" priority="103965" stopIfTrue="1" operator="greaterThanOrEqual">
      <formula>0.5</formula>
    </cfRule>
  </conditionalFormatting>
  <conditionalFormatting sqref="AJ5">
    <cfRule type="cellIs" dxfId="36648" priority="103966" stopIfTrue="1" operator="equal">
      <formula>-1</formula>
    </cfRule>
  </conditionalFormatting>
  <conditionalFormatting sqref="AJ5">
    <cfRule type="cellIs" dxfId="36647" priority="103967" stopIfTrue="1" operator="lessThan">
      <formula>0.5</formula>
    </cfRule>
  </conditionalFormatting>
  <conditionalFormatting sqref="AJ5">
    <cfRule type="cellIs" dxfId="36646" priority="103968" stopIfTrue="1" operator="greaterThanOrEqual">
      <formula>0.5</formula>
    </cfRule>
  </conditionalFormatting>
  <conditionalFormatting sqref="AJ6">
    <cfRule type="cellIs" dxfId="36645" priority="103969" stopIfTrue="1" operator="equal">
      <formula>-1</formula>
    </cfRule>
  </conditionalFormatting>
  <conditionalFormatting sqref="AJ6">
    <cfRule type="cellIs" dxfId="36644" priority="103970" stopIfTrue="1" operator="lessThan">
      <formula>0.5</formula>
    </cfRule>
  </conditionalFormatting>
  <conditionalFormatting sqref="AJ6">
    <cfRule type="cellIs" dxfId="36643" priority="103971" stopIfTrue="1" operator="greaterThanOrEqual">
      <formula>0.5</formula>
    </cfRule>
  </conditionalFormatting>
  <conditionalFormatting sqref="AL5">
    <cfRule type="cellIs" dxfId="36642" priority="103972" stopIfTrue="1" operator="equal">
      <formula>-1</formula>
    </cfRule>
  </conditionalFormatting>
  <conditionalFormatting sqref="AL5">
    <cfRule type="cellIs" dxfId="36641" priority="103973" stopIfTrue="1" operator="lessThan">
      <formula>0.5</formula>
    </cfRule>
  </conditionalFormatting>
  <conditionalFormatting sqref="AL5">
    <cfRule type="cellIs" dxfId="36640" priority="103974" stopIfTrue="1" operator="greaterThanOrEqual">
      <formula>0.5</formula>
    </cfRule>
  </conditionalFormatting>
  <conditionalFormatting sqref="AL6">
    <cfRule type="cellIs" dxfId="36639" priority="103975" stopIfTrue="1" operator="equal">
      <formula>-1</formula>
    </cfRule>
  </conditionalFormatting>
  <conditionalFormatting sqref="AL6">
    <cfRule type="cellIs" dxfId="36638" priority="103976" stopIfTrue="1" operator="lessThan">
      <formula>0.5</formula>
    </cfRule>
  </conditionalFormatting>
  <conditionalFormatting sqref="AL6">
    <cfRule type="cellIs" dxfId="36637" priority="103977" stopIfTrue="1" operator="greaterThanOrEqual">
      <formula>0.5</formula>
    </cfRule>
  </conditionalFormatting>
  <conditionalFormatting sqref="AN5">
    <cfRule type="cellIs" dxfId="36636" priority="103978" stopIfTrue="1" operator="equal">
      <formula>-1</formula>
    </cfRule>
  </conditionalFormatting>
  <conditionalFormatting sqref="AN5">
    <cfRule type="cellIs" dxfId="36635" priority="103979" stopIfTrue="1" operator="lessThan">
      <formula>0.5</formula>
    </cfRule>
  </conditionalFormatting>
  <conditionalFormatting sqref="AN5">
    <cfRule type="cellIs" dxfId="36634" priority="103980" stopIfTrue="1" operator="greaterThanOrEqual">
      <formula>0.5</formula>
    </cfRule>
  </conditionalFormatting>
  <conditionalFormatting sqref="AN6">
    <cfRule type="cellIs" dxfId="36633" priority="103981" stopIfTrue="1" operator="equal">
      <formula>-1</formula>
    </cfRule>
  </conditionalFormatting>
  <conditionalFormatting sqref="AN6">
    <cfRule type="cellIs" dxfId="36632" priority="103982" stopIfTrue="1" operator="lessThan">
      <formula>0.5</formula>
    </cfRule>
  </conditionalFormatting>
  <conditionalFormatting sqref="AN6">
    <cfRule type="cellIs" dxfId="36631" priority="103983" stopIfTrue="1" operator="greaterThanOrEqual">
      <formula>0.5</formula>
    </cfRule>
  </conditionalFormatting>
  <conditionalFormatting sqref="AP5">
    <cfRule type="cellIs" dxfId="36630" priority="103984" stopIfTrue="1" operator="equal">
      <formula>-1</formula>
    </cfRule>
  </conditionalFormatting>
  <conditionalFormatting sqref="AP5">
    <cfRule type="cellIs" dxfId="36629" priority="103985" stopIfTrue="1" operator="lessThan">
      <formula>0.5</formula>
    </cfRule>
  </conditionalFormatting>
  <conditionalFormatting sqref="AP5">
    <cfRule type="cellIs" dxfId="36628" priority="103986" stopIfTrue="1" operator="greaterThanOrEqual">
      <formula>0.5</formula>
    </cfRule>
  </conditionalFormatting>
  <conditionalFormatting sqref="AP6">
    <cfRule type="cellIs" dxfId="36627" priority="103987" stopIfTrue="1" operator="equal">
      <formula>-1</formula>
    </cfRule>
  </conditionalFormatting>
  <conditionalFormatting sqref="AP6">
    <cfRule type="cellIs" dxfId="36626" priority="103988" stopIfTrue="1" operator="lessThan">
      <formula>0.5</formula>
    </cfRule>
  </conditionalFormatting>
  <conditionalFormatting sqref="AP6">
    <cfRule type="cellIs" dxfId="36625" priority="103989" stopIfTrue="1" operator="greaterThanOrEqual">
      <formula>0.5</formula>
    </cfRule>
  </conditionalFormatting>
  <conditionalFormatting sqref="AR5">
    <cfRule type="cellIs" dxfId="36624" priority="103990" stopIfTrue="1" operator="equal">
      <formula>-1</formula>
    </cfRule>
  </conditionalFormatting>
  <conditionalFormatting sqref="AR5">
    <cfRule type="cellIs" dxfId="36623" priority="103991" stopIfTrue="1" operator="lessThan">
      <formula>0.5</formula>
    </cfRule>
  </conditionalFormatting>
  <conditionalFormatting sqref="AR5">
    <cfRule type="cellIs" dxfId="36622" priority="103992" stopIfTrue="1" operator="greaterThanOrEqual">
      <formula>0.5</formula>
    </cfRule>
  </conditionalFormatting>
  <conditionalFormatting sqref="AR6">
    <cfRule type="cellIs" dxfId="36621" priority="103993" stopIfTrue="1" operator="equal">
      <formula>-1</formula>
    </cfRule>
  </conditionalFormatting>
  <conditionalFormatting sqref="AR6">
    <cfRule type="cellIs" dxfId="36620" priority="103994" stopIfTrue="1" operator="lessThan">
      <formula>0.5</formula>
    </cfRule>
  </conditionalFormatting>
  <conditionalFormatting sqref="AR6">
    <cfRule type="cellIs" dxfId="36619" priority="103995" stopIfTrue="1" operator="greaterThanOrEqual">
      <formula>0.5</formula>
    </cfRule>
  </conditionalFormatting>
  <conditionalFormatting sqref="AT5">
    <cfRule type="cellIs" dxfId="36618" priority="103996" stopIfTrue="1" operator="equal">
      <formula>-1</formula>
    </cfRule>
  </conditionalFormatting>
  <conditionalFormatting sqref="AT5">
    <cfRule type="cellIs" dxfId="36617" priority="103997" stopIfTrue="1" operator="lessThan">
      <formula>0.5</formula>
    </cfRule>
  </conditionalFormatting>
  <conditionalFormatting sqref="AT5">
    <cfRule type="cellIs" dxfId="36616" priority="103998" stopIfTrue="1" operator="greaterThanOrEqual">
      <formula>0.5</formula>
    </cfRule>
  </conditionalFormatting>
  <conditionalFormatting sqref="AT6">
    <cfRule type="cellIs" dxfId="36615" priority="103999" stopIfTrue="1" operator="equal">
      <formula>-1</formula>
    </cfRule>
  </conditionalFormatting>
  <conditionalFormatting sqref="AT6">
    <cfRule type="cellIs" dxfId="36614" priority="104000" stopIfTrue="1" operator="lessThan">
      <formula>0.5</formula>
    </cfRule>
  </conditionalFormatting>
  <conditionalFormatting sqref="AT6">
    <cfRule type="cellIs" dxfId="36613" priority="104001" stopIfTrue="1" operator="greaterThanOrEqual">
      <formula>0.5</formula>
    </cfRule>
  </conditionalFormatting>
  <conditionalFormatting sqref="AV5">
    <cfRule type="cellIs" dxfId="36612" priority="104002" stopIfTrue="1" operator="equal">
      <formula>-1</formula>
    </cfRule>
  </conditionalFormatting>
  <conditionalFormatting sqref="AV5">
    <cfRule type="cellIs" dxfId="36611" priority="104003" stopIfTrue="1" operator="lessThan">
      <formula>0.5</formula>
    </cfRule>
  </conditionalFormatting>
  <conditionalFormatting sqref="AV5">
    <cfRule type="cellIs" dxfId="36610" priority="104004" stopIfTrue="1" operator="greaterThanOrEqual">
      <formula>0.5</formula>
    </cfRule>
  </conditionalFormatting>
  <conditionalFormatting sqref="AV6">
    <cfRule type="cellIs" dxfId="36609" priority="104005" stopIfTrue="1" operator="equal">
      <formula>-1</formula>
    </cfRule>
  </conditionalFormatting>
  <conditionalFormatting sqref="AV6">
    <cfRule type="cellIs" dxfId="36608" priority="104006" stopIfTrue="1" operator="lessThan">
      <formula>0.5</formula>
    </cfRule>
  </conditionalFormatting>
  <conditionalFormatting sqref="AV6">
    <cfRule type="cellIs" dxfId="36607" priority="104007" stopIfTrue="1" operator="greaterThanOrEqual">
      <formula>0.5</formula>
    </cfRule>
  </conditionalFormatting>
  <conditionalFormatting sqref="AX5">
    <cfRule type="cellIs" dxfId="36606" priority="104008" stopIfTrue="1" operator="equal">
      <formula>-1</formula>
    </cfRule>
  </conditionalFormatting>
  <conditionalFormatting sqref="AX5">
    <cfRule type="cellIs" dxfId="36605" priority="104009" stopIfTrue="1" operator="lessThan">
      <formula>0.5</formula>
    </cfRule>
  </conditionalFormatting>
  <conditionalFormatting sqref="AX5">
    <cfRule type="cellIs" dxfId="36604" priority="104010" stopIfTrue="1" operator="greaterThanOrEqual">
      <formula>0.5</formula>
    </cfRule>
  </conditionalFormatting>
  <conditionalFormatting sqref="AX6">
    <cfRule type="cellIs" dxfId="36603" priority="104011" stopIfTrue="1" operator="equal">
      <formula>-1</formula>
    </cfRule>
  </conditionalFormatting>
  <conditionalFormatting sqref="AX6">
    <cfRule type="cellIs" dxfId="36602" priority="104012" stopIfTrue="1" operator="lessThan">
      <formula>0.5</formula>
    </cfRule>
  </conditionalFormatting>
  <conditionalFormatting sqref="AX6">
    <cfRule type="cellIs" dxfId="36601" priority="104013" stopIfTrue="1" operator="greaterThanOrEqual">
      <formula>0.5</formula>
    </cfRule>
  </conditionalFormatting>
  <conditionalFormatting sqref="AZ5">
    <cfRule type="cellIs" dxfId="36600" priority="104014" stopIfTrue="1" operator="equal">
      <formula>-1</formula>
    </cfRule>
  </conditionalFormatting>
  <conditionalFormatting sqref="AZ5">
    <cfRule type="cellIs" dxfId="36599" priority="104015" stopIfTrue="1" operator="lessThan">
      <formula>0.5</formula>
    </cfRule>
  </conditionalFormatting>
  <conditionalFormatting sqref="AZ5">
    <cfRule type="cellIs" dxfId="36598" priority="104016" stopIfTrue="1" operator="greaterThanOrEqual">
      <formula>0.5</formula>
    </cfRule>
  </conditionalFormatting>
  <conditionalFormatting sqref="AZ6">
    <cfRule type="cellIs" dxfId="36597" priority="104017" stopIfTrue="1" operator="equal">
      <formula>-1</formula>
    </cfRule>
  </conditionalFormatting>
  <conditionalFormatting sqref="AZ6">
    <cfRule type="cellIs" dxfId="36596" priority="104018" stopIfTrue="1" operator="lessThan">
      <formula>0.5</formula>
    </cfRule>
  </conditionalFormatting>
  <conditionalFormatting sqref="AZ6">
    <cfRule type="cellIs" dxfId="36595" priority="104019" stopIfTrue="1" operator="greaterThanOrEqual">
      <formula>0.5</formula>
    </cfRule>
  </conditionalFormatting>
  <conditionalFormatting sqref="BB5">
    <cfRule type="cellIs" dxfId="36594" priority="104020" stopIfTrue="1" operator="equal">
      <formula>-1</formula>
    </cfRule>
  </conditionalFormatting>
  <conditionalFormatting sqref="BB5">
    <cfRule type="cellIs" dxfId="36593" priority="104021" stopIfTrue="1" operator="lessThan">
      <formula>0.5</formula>
    </cfRule>
  </conditionalFormatting>
  <conditionalFormatting sqref="BB5">
    <cfRule type="cellIs" dxfId="36592" priority="104022" stopIfTrue="1" operator="greaterThanOrEqual">
      <formula>0.5</formula>
    </cfRule>
  </conditionalFormatting>
  <conditionalFormatting sqref="BB6">
    <cfRule type="cellIs" dxfId="36591" priority="104023" stopIfTrue="1" operator="equal">
      <formula>-1</formula>
    </cfRule>
  </conditionalFormatting>
  <conditionalFormatting sqref="BB6">
    <cfRule type="cellIs" dxfId="36590" priority="104024" stopIfTrue="1" operator="lessThan">
      <formula>0.5</formula>
    </cfRule>
  </conditionalFormatting>
  <conditionalFormatting sqref="BB6">
    <cfRule type="cellIs" dxfId="36589" priority="104025" stopIfTrue="1" operator="greaterThanOrEqual">
      <formula>0.5</formula>
    </cfRule>
  </conditionalFormatting>
  <conditionalFormatting sqref="BD5">
    <cfRule type="cellIs" dxfId="36588" priority="104026" stopIfTrue="1" operator="equal">
      <formula>-1</formula>
    </cfRule>
  </conditionalFormatting>
  <conditionalFormatting sqref="BD5">
    <cfRule type="cellIs" dxfId="36587" priority="104027" stopIfTrue="1" operator="lessThan">
      <formula>0.5</formula>
    </cfRule>
  </conditionalFormatting>
  <conditionalFormatting sqref="BD5">
    <cfRule type="cellIs" dxfId="36586" priority="104028" stopIfTrue="1" operator="greaterThanOrEqual">
      <formula>0.5</formula>
    </cfRule>
  </conditionalFormatting>
  <conditionalFormatting sqref="BD6">
    <cfRule type="cellIs" dxfId="36585" priority="104029" stopIfTrue="1" operator="equal">
      <formula>-1</formula>
    </cfRule>
  </conditionalFormatting>
  <conditionalFormatting sqref="BD6">
    <cfRule type="cellIs" dxfId="36584" priority="104030" stopIfTrue="1" operator="lessThan">
      <formula>0.5</formula>
    </cfRule>
  </conditionalFormatting>
  <conditionalFormatting sqref="BD6">
    <cfRule type="cellIs" dxfId="36583" priority="104031" stopIfTrue="1" operator="greaterThanOrEqual">
      <formula>0.5</formula>
    </cfRule>
  </conditionalFormatting>
  <conditionalFormatting sqref="BF5">
    <cfRule type="cellIs" dxfId="36582" priority="104032" stopIfTrue="1" operator="equal">
      <formula>-1</formula>
    </cfRule>
  </conditionalFormatting>
  <conditionalFormatting sqref="BF5">
    <cfRule type="cellIs" dxfId="36581" priority="104033" stopIfTrue="1" operator="lessThan">
      <formula>0.5</formula>
    </cfRule>
  </conditionalFormatting>
  <conditionalFormatting sqref="BF5">
    <cfRule type="cellIs" dxfId="36580" priority="104034" stopIfTrue="1" operator="greaterThanOrEqual">
      <formula>0.5</formula>
    </cfRule>
  </conditionalFormatting>
  <conditionalFormatting sqref="BF6">
    <cfRule type="cellIs" dxfId="36579" priority="104035" stopIfTrue="1" operator="equal">
      <formula>-1</formula>
    </cfRule>
  </conditionalFormatting>
  <conditionalFormatting sqref="BF6">
    <cfRule type="cellIs" dxfId="36578" priority="104036" stopIfTrue="1" operator="lessThan">
      <formula>0.5</formula>
    </cfRule>
  </conditionalFormatting>
  <conditionalFormatting sqref="BF6">
    <cfRule type="cellIs" dxfId="36577" priority="104037" stopIfTrue="1" operator="greaterThanOrEqual">
      <formula>0.5</formula>
    </cfRule>
  </conditionalFormatting>
  <conditionalFormatting sqref="BH5">
    <cfRule type="cellIs" dxfId="36576" priority="104038" stopIfTrue="1" operator="equal">
      <formula>-1</formula>
    </cfRule>
  </conditionalFormatting>
  <conditionalFormatting sqref="BH5">
    <cfRule type="cellIs" dxfId="36575" priority="104039" stopIfTrue="1" operator="lessThan">
      <formula>0.5</formula>
    </cfRule>
  </conditionalFormatting>
  <conditionalFormatting sqref="BH5">
    <cfRule type="cellIs" dxfId="36574" priority="104040" stopIfTrue="1" operator="greaterThanOrEqual">
      <formula>0.5</formula>
    </cfRule>
  </conditionalFormatting>
  <conditionalFormatting sqref="BH6">
    <cfRule type="cellIs" dxfId="36573" priority="104041" stopIfTrue="1" operator="equal">
      <formula>-1</formula>
    </cfRule>
  </conditionalFormatting>
  <conditionalFormatting sqref="BH6">
    <cfRule type="cellIs" dxfId="36572" priority="104042" stopIfTrue="1" operator="lessThan">
      <formula>0.5</formula>
    </cfRule>
  </conditionalFormatting>
  <conditionalFormatting sqref="BH6">
    <cfRule type="cellIs" dxfId="36571" priority="104043" stopIfTrue="1" operator="greaterThanOrEqual">
      <formula>0.5</formula>
    </cfRule>
  </conditionalFormatting>
  <conditionalFormatting sqref="BJ5">
    <cfRule type="cellIs" dxfId="36570" priority="104044" stopIfTrue="1" operator="equal">
      <formula>-1</formula>
    </cfRule>
  </conditionalFormatting>
  <conditionalFormatting sqref="BJ5">
    <cfRule type="cellIs" dxfId="36569" priority="104045" stopIfTrue="1" operator="lessThan">
      <formula>0.5</formula>
    </cfRule>
  </conditionalFormatting>
  <conditionalFormatting sqref="BJ5">
    <cfRule type="cellIs" dxfId="36568" priority="104046" stopIfTrue="1" operator="greaterThanOrEqual">
      <formula>0.5</formula>
    </cfRule>
  </conditionalFormatting>
  <conditionalFormatting sqref="BJ6">
    <cfRule type="cellIs" dxfId="36567" priority="104047" stopIfTrue="1" operator="equal">
      <formula>-1</formula>
    </cfRule>
  </conditionalFormatting>
  <conditionalFormatting sqref="BJ6">
    <cfRule type="cellIs" dxfId="36566" priority="104048" stopIfTrue="1" operator="lessThan">
      <formula>0.5</formula>
    </cfRule>
  </conditionalFormatting>
  <conditionalFormatting sqref="BJ6">
    <cfRule type="cellIs" dxfId="36565" priority="104049" stopIfTrue="1" operator="greaterThanOrEqual">
      <formula>0.5</formula>
    </cfRule>
  </conditionalFormatting>
  <conditionalFormatting sqref="D8">
    <cfRule type="cellIs" dxfId="36564" priority="104050" stopIfTrue="1" operator="equal">
      <formula>-1</formula>
    </cfRule>
  </conditionalFormatting>
  <conditionalFormatting sqref="D8">
    <cfRule type="cellIs" dxfId="36563" priority="104051" stopIfTrue="1" operator="lessThan">
      <formula>0.5</formula>
    </cfRule>
  </conditionalFormatting>
  <conditionalFormatting sqref="D8">
    <cfRule type="cellIs" dxfId="36562" priority="104052" stopIfTrue="1" operator="greaterThanOrEqual">
      <formula>0.5</formula>
    </cfRule>
  </conditionalFormatting>
  <conditionalFormatting sqref="D9">
    <cfRule type="cellIs" dxfId="36561" priority="104053" stopIfTrue="1" operator="equal">
      <formula>-1</formula>
    </cfRule>
  </conditionalFormatting>
  <conditionalFormatting sqref="D9">
    <cfRule type="cellIs" dxfId="36560" priority="104054" stopIfTrue="1" operator="lessThan">
      <formula>0.5</formula>
    </cfRule>
  </conditionalFormatting>
  <conditionalFormatting sqref="D9">
    <cfRule type="cellIs" dxfId="36559" priority="104055" stopIfTrue="1" operator="greaterThanOrEqual">
      <formula>0.5</formula>
    </cfRule>
  </conditionalFormatting>
  <conditionalFormatting sqref="D10">
    <cfRule type="cellIs" dxfId="36558" priority="104056" stopIfTrue="1" operator="equal">
      <formula>-1</formula>
    </cfRule>
    <cfRule type="cellIs" dxfId="36557" priority="104057" stopIfTrue="1" operator="lessThan">
      <formula>0.5</formula>
    </cfRule>
    <cfRule type="cellIs" dxfId="36556" priority="104058" stopIfTrue="1" operator="greaterThanOrEqual">
      <formula>0.5</formula>
    </cfRule>
  </conditionalFormatting>
  <conditionalFormatting sqref="D11">
    <cfRule type="cellIs" dxfId="36555" priority="104059" stopIfTrue="1" operator="equal">
      <formula>-1</formula>
    </cfRule>
    <cfRule type="cellIs" dxfId="36554" priority="104060" stopIfTrue="1" operator="lessThan">
      <formula>0.5</formula>
    </cfRule>
    <cfRule type="cellIs" dxfId="36553" priority="104061" stopIfTrue="1" operator="greaterThanOrEqual">
      <formula>0.5</formula>
    </cfRule>
  </conditionalFormatting>
  <conditionalFormatting sqref="D12">
    <cfRule type="cellIs" dxfId="36552" priority="104062" stopIfTrue="1" operator="equal">
      <formula>-1</formula>
    </cfRule>
    <cfRule type="cellIs" dxfId="36551" priority="104063" stopIfTrue="1" operator="lessThan">
      <formula>0.5</formula>
    </cfRule>
    <cfRule type="cellIs" dxfId="36550" priority="104064" stopIfTrue="1" operator="greaterThanOrEqual">
      <formula>0.5</formula>
    </cfRule>
  </conditionalFormatting>
  <conditionalFormatting sqref="D13">
    <cfRule type="cellIs" dxfId="36549" priority="104065" stopIfTrue="1" operator="equal">
      <formula>-1</formula>
    </cfRule>
    <cfRule type="cellIs" dxfId="36548" priority="104066" stopIfTrue="1" operator="lessThan">
      <formula>0.5</formula>
    </cfRule>
    <cfRule type="cellIs" dxfId="36547" priority="104067" stopIfTrue="1" operator="greaterThanOrEqual">
      <formula>0.5</formula>
    </cfRule>
  </conditionalFormatting>
  <conditionalFormatting sqref="D14">
    <cfRule type="cellIs" dxfId="36546" priority="104068" stopIfTrue="1" operator="equal">
      <formula>-1</formula>
    </cfRule>
    <cfRule type="cellIs" dxfId="36545" priority="104069" stopIfTrue="1" operator="lessThan">
      <formula>0.5</formula>
    </cfRule>
    <cfRule type="cellIs" dxfId="36544" priority="104070" stopIfTrue="1" operator="greaterThanOrEqual">
      <formula>0.5</formula>
    </cfRule>
  </conditionalFormatting>
  <conditionalFormatting sqref="D15">
    <cfRule type="cellIs" dxfId="36543" priority="104071" stopIfTrue="1" operator="equal">
      <formula>-1</formula>
    </cfRule>
    <cfRule type="cellIs" dxfId="36542" priority="104072" stopIfTrue="1" operator="lessThan">
      <formula>0.5</formula>
    </cfRule>
    <cfRule type="cellIs" dxfId="36541" priority="104073" stopIfTrue="1" operator="greaterThanOrEqual">
      <formula>0.5</formula>
    </cfRule>
  </conditionalFormatting>
  <conditionalFormatting sqref="F8">
    <cfRule type="cellIs" dxfId="36540" priority="104074" stopIfTrue="1" operator="equal">
      <formula>-1</formula>
    </cfRule>
  </conditionalFormatting>
  <conditionalFormatting sqref="F8">
    <cfRule type="cellIs" dxfId="36539" priority="104075" stopIfTrue="1" operator="lessThan">
      <formula>0.5</formula>
    </cfRule>
  </conditionalFormatting>
  <conditionalFormatting sqref="F8">
    <cfRule type="cellIs" dxfId="36538" priority="104076" stopIfTrue="1" operator="greaterThanOrEqual">
      <formula>0.5</formula>
    </cfRule>
  </conditionalFormatting>
  <conditionalFormatting sqref="F9">
    <cfRule type="cellIs" dxfId="36537" priority="104077" stopIfTrue="1" operator="equal">
      <formula>-1</formula>
    </cfRule>
  </conditionalFormatting>
  <conditionalFormatting sqref="F9">
    <cfRule type="cellIs" dxfId="36536" priority="104078" stopIfTrue="1" operator="lessThan">
      <formula>0.5</formula>
    </cfRule>
  </conditionalFormatting>
  <conditionalFormatting sqref="F9">
    <cfRule type="cellIs" dxfId="36535" priority="104079" stopIfTrue="1" operator="greaterThanOrEqual">
      <formula>0.5</formula>
    </cfRule>
  </conditionalFormatting>
  <conditionalFormatting sqref="F10">
    <cfRule type="cellIs" dxfId="36534" priority="104080" stopIfTrue="1" operator="equal">
      <formula>-1</formula>
    </cfRule>
  </conditionalFormatting>
  <conditionalFormatting sqref="F10">
    <cfRule type="cellIs" dxfId="36533" priority="104081" stopIfTrue="1" operator="lessThan">
      <formula>0.5</formula>
    </cfRule>
  </conditionalFormatting>
  <conditionalFormatting sqref="F10">
    <cfRule type="cellIs" dxfId="36532" priority="104082" stopIfTrue="1" operator="greaterThanOrEqual">
      <formula>0.5</formula>
    </cfRule>
  </conditionalFormatting>
  <conditionalFormatting sqref="F11">
    <cfRule type="cellIs" dxfId="36531" priority="104083" stopIfTrue="1" operator="equal">
      <formula>-1</formula>
    </cfRule>
  </conditionalFormatting>
  <conditionalFormatting sqref="F11">
    <cfRule type="cellIs" dxfId="36530" priority="104084" stopIfTrue="1" operator="lessThan">
      <formula>0.5</formula>
    </cfRule>
  </conditionalFormatting>
  <conditionalFormatting sqref="F11">
    <cfRule type="cellIs" dxfId="36529" priority="104085" stopIfTrue="1" operator="greaterThanOrEqual">
      <formula>0.5</formula>
    </cfRule>
  </conditionalFormatting>
  <conditionalFormatting sqref="F12">
    <cfRule type="cellIs" dxfId="36528" priority="104086" stopIfTrue="1" operator="equal">
      <formula>-1</formula>
    </cfRule>
  </conditionalFormatting>
  <conditionalFormatting sqref="F12">
    <cfRule type="cellIs" dxfId="36527" priority="104087" stopIfTrue="1" operator="lessThan">
      <formula>0.5</formula>
    </cfRule>
  </conditionalFormatting>
  <conditionalFormatting sqref="F12">
    <cfRule type="cellIs" dxfId="36526" priority="104088" stopIfTrue="1" operator="greaterThanOrEqual">
      <formula>0.5</formula>
    </cfRule>
  </conditionalFormatting>
  <conditionalFormatting sqref="F13">
    <cfRule type="cellIs" dxfId="36525" priority="104089" stopIfTrue="1" operator="equal">
      <formula>-1</formula>
    </cfRule>
  </conditionalFormatting>
  <conditionalFormatting sqref="F13">
    <cfRule type="cellIs" dxfId="36524" priority="104090" stopIfTrue="1" operator="lessThan">
      <formula>0.5</formula>
    </cfRule>
  </conditionalFormatting>
  <conditionalFormatting sqref="F13">
    <cfRule type="cellIs" dxfId="36523" priority="104091" stopIfTrue="1" operator="greaterThanOrEqual">
      <formula>0.5</formula>
    </cfRule>
  </conditionalFormatting>
  <conditionalFormatting sqref="F14">
    <cfRule type="cellIs" dxfId="36522" priority="104092" stopIfTrue="1" operator="equal">
      <formula>-1</formula>
    </cfRule>
  </conditionalFormatting>
  <conditionalFormatting sqref="F14">
    <cfRule type="cellIs" dxfId="36521" priority="104093" stopIfTrue="1" operator="lessThan">
      <formula>0.5</formula>
    </cfRule>
  </conditionalFormatting>
  <conditionalFormatting sqref="F14">
    <cfRule type="cellIs" dxfId="36520" priority="104094" stopIfTrue="1" operator="greaterThanOrEqual">
      <formula>0.5</formula>
    </cfRule>
  </conditionalFormatting>
  <conditionalFormatting sqref="F15">
    <cfRule type="cellIs" dxfId="36519" priority="104095" stopIfTrue="1" operator="equal">
      <formula>-1</formula>
    </cfRule>
  </conditionalFormatting>
  <conditionalFormatting sqref="F15">
    <cfRule type="cellIs" dxfId="36518" priority="104096" stopIfTrue="1" operator="lessThan">
      <formula>0.5</formula>
    </cfRule>
  </conditionalFormatting>
  <conditionalFormatting sqref="F15">
    <cfRule type="cellIs" dxfId="36517" priority="104097" stopIfTrue="1" operator="greaterThanOrEqual">
      <formula>0.5</formula>
    </cfRule>
  </conditionalFormatting>
  <conditionalFormatting sqref="H8">
    <cfRule type="cellIs" dxfId="36516" priority="104098" stopIfTrue="1" operator="equal">
      <formula>-1</formula>
    </cfRule>
  </conditionalFormatting>
  <conditionalFormatting sqref="H8">
    <cfRule type="cellIs" dxfId="36515" priority="104099" stopIfTrue="1" operator="lessThan">
      <formula>0.5</formula>
    </cfRule>
  </conditionalFormatting>
  <conditionalFormatting sqref="H8">
    <cfRule type="cellIs" dxfId="36514" priority="104100" stopIfTrue="1" operator="greaterThanOrEqual">
      <formula>0.5</formula>
    </cfRule>
  </conditionalFormatting>
  <conditionalFormatting sqref="H9">
    <cfRule type="cellIs" dxfId="36513" priority="104101" stopIfTrue="1" operator="equal">
      <formula>-1</formula>
    </cfRule>
  </conditionalFormatting>
  <conditionalFormatting sqref="H9">
    <cfRule type="cellIs" dxfId="36512" priority="104102" stopIfTrue="1" operator="lessThan">
      <formula>0.5</formula>
    </cfRule>
  </conditionalFormatting>
  <conditionalFormatting sqref="H9">
    <cfRule type="cellIs" dxfId="36511" priority="104103" stopIfTrue="1" operator="greaterThanOrEqual">
      <formula>0.5</formula>
    </cfRule>
  </conditionalFormatting>
  <conditionalFormatting sqref="H10">
    <cfRule type="cellIs" dxfId="36510" priority="104104" stopIfTrue="1" operator="equal">
      <formula>-1</formula>
    </cfRule>
  </conditionalFormatting>
  <conditionalFormatting sqref="H10">
    <cfRule type="cellIs" dxfId="36509" priority="104105" stopIfTrue="1" operator="lessThan">
      <formula>0.5</formula>
    </cfRule>
  </conditionalFormatting>
  <conditionalFormatting sqref="H10">
    <cfRule type="cellIs" dxfId="36508" priority="104106" stopIfTrue="1" operator="greaterThanOrEqual">
      <formula>0.5</formula>
    </cfRule>
  </conditionalFormatting>
  <conditionalFormatting sqref="H11">
    <cfRule type="cellIs" dxfId="36507" priority="104107" stopIfTrue="1" operator="equal">
      <formula>-1</formula>
    </cfRule>
  </conditionalFormatting>
  <conditionalFormatting sqref="H11">
    <cfRule type="cellIs" dxfId="36506" priority="104108" stopIfTrue="1" operator="lessThan">
      <formula>0.5</formula>
    </cfRule>
  </conditionalFormatting>
  <conditionalFormatting sqref="H11">
    <cfRule type="cellIs" dxfId="36505" priority="104109" stopIfTrue="1" operator="greaterThanOrEqual">
      <formula>0.5</formula>
    </cfRule>
  </conditionalFormatting>
  <conditionalFormatting sqref="H12">
    <cfRule type="cellIs" dxfId="36504" priority="104110" stopIfTrue="1" operator="equal">
      <formula>-1</formula>
    </cfRule>
  </conditionalFormatting>
  <conditionalFormatting sqref="H12">
    <cfRule type="cellIs" dxfId="36503" priority="104111" stopIfTrue="1" operator="lessThan">
      <formula>0.5</formula>
    </cfRule>
  </conditionalFormatting>
  <conditionalFormatting sqref="H12">
    <cfRule type="cellIs" dxfId="36502" priority="104112" stopIfTrue="1" operator="greaterThanOrEqual">
      <formula>0.5</formula>
    </cfRule>
  </conditionalFormatting>
  <conditionalFormatting sqref="H13">
    <cfRule type="cellIs" dxfId="36501" priority="104113" stopIfTrue="1" operator="equal">
      <formula>-1</formula>
    </cfRule>
  </conditionalFormatting>
  <conditionalFormatting sqref="H13">
    <cfRule type="cellIs" dxfId="36500" priority="104114" stopIfTrue="1" operator="lessThan">
      <formula>0.5</formula>
    </cfRule>
  </conditionalFormatting>
  <conditionalFormatting sqref="H13">
    <cfRule type="cellIs" dxfId="36499" priority="104115" stopIfTrue="1" operator="greaterThanOrEqual">
      <formula>0.5</formula>
    </cfRule>
  </conditionalFormatting>
  <conditionalFormatting sqref="H14">
    <cfRule type="cellIs" dxfId="36498" priority="104116" stopIfTrue="1" operator="equal">
      <formula>-1</formula>
    </cfRule>
  </conditionalFormatting>
  <conditionalFormatting sqref="H14">
    <cfRule type="cellIs" dxfId="36497" priority="104117" stopIfTrue="1" operator="lessThan">
      <formula>0.5</formula>
    </cfRule>
  </conditionalFormatting>
  <conditionalFormatting sqref="H14">
    <cfRule type="cellIs" dxfId="36496" priority="104118" stopIfTrue="1" operator="greaterThanOrEqual">
      <formula>0.5</formula>
    </cfRule>
  </conditionalFormatting>
  <conditionalFormatting sqref="H15">
    <cfRule type="cellIs" dxfId="36495" priority="104119" stopIfTrue="1" operator="equal">
      <formula>-1</formula>
    </cfRule>
  </conditionalFormatting>
  <conditionalFormatting sqref="H15">
    <cfRule type="cellIs" dxfId="36494" priority="104120" stopIfTrue="1" operator="lessThan">
      <formula>0.5</formula>
    </cfRule>
  </conditionalFormatting>
  <conditionalFormatting sqref="H15">
    <cfRule type="cellIs" dxfId="36493" priority="104121" stopIfTrue="1" operator="greaterThanOrEqual">
      <formula>0.5</formula>
    </cfRule>
  </conditionalFormatting>
  <conditionalFormatting sqref="J8">
    <cfRule type="cellIs" dxfId="36492" priority="104122" stopIfTrue="1" operator="equal">
      <formula>-1</formula>
    </cfRule>
  </conditionalFormatting>
  <conditionalFormatting sqref="J8">
    <cfRule type="cellIs" dxfId="36491" priority="104123" stopIfTrue="1" operator="lessThan">
      <formula>0.5</formula>
    </cfRule>
  </conditionalFormatting>
  <conditionalFormatting sqref="J8">
    <cfRule type="cellIs" dxfId="36490" priority="104124" stopIfTrue="1" operator="greaterThanOrEqual">
      <formula>0.5</formula>
    </cfRule>
  </conditionalFormatting>
  <conditionalFormatting sqref="J9">
    <cfRule type="cellIs" dxfId="36489" priority="104125" stopIfTrue="1" operator="equal">
      <formula>-1</formula>
    </cfRule>
  </conditionalFormatting>
  <conditionalFormatting sqref="J9">
    <cfRule type="cellIs" dxfId="36488" priority="104126" stopIfTrue="1" operator="lessThan">
      <formula>0.5</formula>
    </cfRule>
  </conditionalFormatting>
  <conditionalFormatting sqref="J9">
    <cfRule type="cellIs" dxfId="36487" priority="104127" stopIfTrue="1" operator="greaterThanOrEqual">
      <formula>0.5</formula>
    </cfRule>
  </conditionalFormatting>
  <conditionalFormatting sqref="J10">
    <cfRule type="cellIs" dxfId="36486" priority="104128" stopIfTrue="1" operator="equal">
      <formula>-1</formula>
    </cfRule>
  </conditionalFormatting>
  <conditionalFormatting sqref="J10">
    <cfRule type="cellIs" dxfId="36485" priority="104129" stopIfTrue="1" operator="lessThan">
      <formula>0.5</formula>
    </cfRule>
  </conditionalFormatting>
  <conditionalFormatting sqref="J10">
    <cfRule type="cellIs" dxfId="36484" priority="104130" stopIfTrue="1" operator="greaterThanOrEqual">
      <formula>0.5</formula>
    </cfRule>
  </conditionalFormatting>
  <conditionalFormatting sqref="J11">
    <cfRule type="cellIs" dxfId="36483" priority="104131" stopIfTrue="1" operator="equal">
      <formula>-1</formula>
    </cfRule>
  </conditionalFormatting>
  <conditionalFormatting sqref="J11">
    <cfRule type="cellIs" dxfId="36482" priority="104132" stopIfTrue="1" operator="lessThan">
      <formula>0.5</formula>
    </cfRule>
  </conditionalFormatting>
  <conditionalFormatting sqref="J11">
    <cfRule type="cellIs" dxfId="36481" priority="104133" stopIfTrue="1" operator="greaterThanOrEqual">
      <formula>0.5</formula>
    </cfRule>
  </conditionalFormatting>
  <conditionalFormatting sqref="J12">
    <cfRule type="cellIs" dxfId="36480" priority="104134" stopIfTrue="1" operator="equal">
      <formula>-1</formula>
    </cfRule>
  </conditionalFormatting>
  <conditionalFormatting sqref="J12">
    <cfRule type="cellIs" dxfId="36479" priority="104135" stopIfTrue="1" operator="lessThan">
      <formula>0.5</formula>
    </cfRule>
  </conditionalFormatting>
  <conditionalFormatting sqref="J12">
    <cfRule type="cellIs" dxfId="36478" priority="104136" stopIfTrue="1" operator="greaterThanOrEqual">
      <formula>0.5</formula>
    </cfRule>
  </conditionalFormatting>
  <conditionalFormatting sqref="J13">
    <cfRule type="cellIs" dxfId="36477" priority="104137" stopIfTrue="1" operator="equal">
      <formula>-1</formula>
    </cfRule>
  </conditionalFormatting>
  <conditionalFormatting sqref="J13">
    <cfRule type="cellIs" dxfId="36476" priority="104138" stopIfTrue="1" operator="lessThan">
      <formula>0.5</formula>
    </cfRule>
  </conditionalFormatting>
  <conditionalFormatting sqref="J13">
    <cfRule type="cellIs" dxfId="36475" priority="104139" stopIfTrue="1" operator="greaterThanOrEqual">
      <formula>0.5</formula>
    </cfRule>
  </conditionalFormatting>
  <conditionalFormatting sqref="J14">
    <cfRule type="cellIs" dxfId="36474" priority="104140" stopIfTrue="1" operator="equal">
      <formula>-1</formula>
    </cfRule>
  </conditionalFormatting>
  <conditionalFormatting sqref="J14">
    <cfRule type="cellIs" dxfId="36473" priority="104141" stopIfTrue="1" operator="lessThan">
      <formula>0.5</formula>
    </cfRule>
  </conditionalFormatting>
  <conditionalFormatting sqref="J14">
    <cfRule type="cellIs" dxfId="36472" priority="104142" stopIfTrue="1" operator="greaterThanOrEqual">
      <formula>0.5</formula>
    </cfRule>
  </conditionalFormatting>
  <conditionalFormatting sqref="J15">
    <cfRule type="cellIs" dxfId="36471" priority="104143" stopIfTrue="1" operator="equal">
      <formula>-1</formula>
    </cfRule>
  </conditionalFormatting>
  <conditionalFormatting sqref="J15">
    <cfRule type="cellIs" dxfId="36470" priority="104144" stopIfTrue="1" operator="lessThan">
      <formula>0.5</formula>
    </cfRule>
  </conditionalFormatting>
  <conditionalFormatting sqref="J15">
    <cfRule type="cellIs" dxfId="36469" priority="104145" stopIfTrue="1" operator="greaterThanOrEqual">
      <formula>0.5</formula>
    </cfRule>
  </conditionalFormatting>
  <conditionalFormatting sqref="L8">
    <cfRule type="cellIs" dxfId="36468" priority="104146" stopIfTrue="1" operator="equal">
      <formula>-1</formula>
    </cfRule>
  </conditionalFormatting>
  <conditionalFormatting sqref="L8">
    <cfRule type="cellIs" dxfId="36467" priority="104147" stopIfTrue="1" operator="lessThan">
      <formula>0.5</formula>
    </cfRule>
  </conditionalFormatting>
  <conditionalFormatting sqref="L8">
    <cfRule type="cellIs" dxfId="36466" priority="104148" stopIfTrue="1" operator="greaterThanOrEqual">
      <formula>0.5</formula>
    </cfRule>
  </conditionalFormatting>
  <conditionalFormatting sqref="L9">
    <cfRule type="cellIs" dxfId="36465" priority="104149" stopIfTrue="1" operator="equal">
      <formula>-1</formula>
    </cfRule>
  </conditionalFormatting>
  <conditionalFormatting sqref="L9">
    <cfRule type="cellIs" dxfId="36464" priority="104150" stopIfTrue="1" operator="lessThan">
      <formula>0.5</formula>
    </cfRule>
  </conditionalFormatting>
  <conditionalFormatting sqref="L9">
    <cfRule type="cellIs" dxfId="36463" priority="104151" stopIfTrue="1" operator="greaterThanOrEqual">
      <formula>0.5</formula>
    </cfRule>
  </conditionalFormatting>
  <conditionalFormatting sqref="L10">
    <cfRule type="cellIs" dxfId="36462" priority="104152" stopIfTrue="1" operator="equal">
      <formula>-1</formula>
    </cfRule>
  </conditionalFormatting>
  <conditionalFormatting sqref="L10">
    <cfRule type="cellIs" dxfId="36461" priority="104153" stopIfTrue="1" operator="lessThan">
      <formula>0.5</formula>
    </cfRule>
  </conditionalFormatting>
  <conditionalFormatting sqref="L10">
    <cfRule type="cellIs" dxfId="36460" priority="104154" stopIfTrue="1" operator="greaterThanOrEqual">
      <formula>0.5</formula>
    </cfRule>
  </conditionalFormatting>
  <conditionalFormatting sqref="L11">
    <cfRule type="cellIs" dxfId="36459" priority="104155" stopIfTrue="1" operator="equal">
      <formula>-1</formula>
    </cfRule>
  </conditionalFormatting>
  <conditionalFormatting sqref="L11">
    <cfRule type="cellIs" dxfId="36458" priority="104156" stopIfTrue="1" operator="lessThan">
      <formula>0.5</formula>
    </cfRule>
  </conditionalFormatting>
  <conditionalFormatting sqref="L11">
    <cfRule type="cellIs" dxfId="36457" priority="104157" stopIfTrue="1" operator="greaterThanOrEqual">
      <formula>0.5</formula>
    </cfRule>
  </conditionalFormatting>
  <conditionalFormatting sqref="L12">
    <cfRule type="cellIs" dxfId="36456" priority="104158" stopIfTrue="1" operator="equal">
      <formula>-1</formula>
    </cfRule>
  </conditionalFormatting>
  <conditionalFormatting sqref="L12">
    <cfRule type="cellIs" dxfId="36455" priority="104159" stopIfTrue="1" operator="lessThan">
      <formula>0.5</formula>
    </cfRule>
  </conditionalFormatting>
  <conditionalFormatting sqref="L12">
    <cfRule type="cellIs" dxfId="36454" priority="104160" stopIfTrue="1" operator="greaterThanOrEqual">
      <formula>0.5</formula>
    </cfRule>
  </conditionalFormatting>
  <conditionalFormatting sqref="L13">
    <cfRule type="cellIs" dxfId="36453" priority="104161" stopIfTrue="1" operator="equal">
      <formula>-1</formula>
    </cfRule>
  </conditionalFormatting>
  <conditionalFormatting sqref="L13">
    <cfRule type="cellIs" dxfId="36452" priority="104162" stopIfTrue="1" operator="lessThan">
      <formula>0.5</formula>
    </cfRule>
  </conditionalFormatting>
  <conditionalFormatting sqref="L13">
    <cfRule type="cellIs" dxfId="36451" priority="104163" stopIfTrue="1" operator="greaterThanOrEqual">
      <formula>0.5</formula>
    </cfRule>
  </conditionalFormatting>
  <conditionalFormatting sqref="L14">
    <cfRule type="cellIs" dxfId="36450" priority="104164" stopIfTrue="1" operator="equal">
      <formula>-1</formula>
    </cfRule>
  </conditionalFormatting>
  <conditionalFormatting sqref="L14">
    <cfRule type="cellIs" dxfId="36449" priority="104165" stopIfTrue="1" operator="lessThan">
      <formula>0.5</formula>
    </cfRule>
  </conditionalFormatting>
  <conditionalFormatting sqref="L14">
    <cfRule type="cellIs" dxfId="36448" priority="104166" stopIfTrue="1" operator="greaterThanOrEqual">
      <formula>0.5</formula>
    </cfRule>
  </conditionalFormatting>
  <conditionalFormatting sqref="L15">
    <cfRule type="cellIs" dxfId="36447" priority="104167" stopIfTrue="1" operator="equal">
      <formula>-1</formula>
    </cfRule>
  </conditionalFormatting>
  <conditionalFormatting sqref="L15">
    <cfRule type="cellIs" dxfId="36446" priority="104168" stopIfTrue="1" operator="lessThan">
      <formula>0.5</formula>
    </cfRule>
  </conditionalFormatting>
  <conditionalFormatting sqref="L15">
    <cfRule type="cellIs" dxfId="36445" priority="104169" stopIfTrue="1" operator="greaterThanOrEqual">
      <formula>0.5</formula>
    </cfRule>
  </conditionalFormatting>
  <conditionalFormatting sqref="N8">
    <cfRule type="cellIs" dxfId="36444" priority="104170" stopIfTrue="1" operator="equal">
      <formula>-1</formula>
    </cfRule>
  </conditionalFormatting>
  <conditionalFormatting sqref="N8">
    <cfRule type="cellIs" dxfId="36443" priority="104171" stopIfTrue="1" operator="lessThan">
      <formula>0.5</formula>
    </cfRule>
  </conditionalFormatting>
  <conditionalFormatting sqref="N8">
    <cfRule type="cellIs" dxfId="36442" priority="104172" stopIfTrue="1" operator="greaterThanOrEqual">
      <formula>0.5</formula>
    </cfRule>
  </conditionalFormatting>
  <conditionalFormatting sqref="N9">
    <cfRule type="cellIs" dxfId="36441" priority="104173" stopIfTrue="1" operator="equal">
      <formula>-1</formula>
    </cfRule>
  </conditionalFormatting>
  <conditionalFormatting sqref="N9">
    <cfRule type="cellIs" dxfId="36440" priority="104174" stopIfTrue="1" operator="lessThan">
      <formula>0.5</formula>
    </cfRule>
  </conditionalFormatting>
  <conditionalFormatting sqref="N9">
    <cfRule type="cellIs" dxfId="36439" priority="104175" stopIfTrue="1" operator="greaterThanOrEqual">
      <formula>0.5</formula>
    </cfRule>
  </conditionalFormatting>
  <conditionalFormatting sqref="N10">
    <cfRule type="cellIs" dxfId="36438" priority="104176" stopIfTrue="1" operator="equal">
      <formula>-1</formula>
    </cfRule>
  </conditionalFormatting>
  <conditionalFormatting sqref="N10">
    <cfRule type="cellIs" dxfId="36437" priority="104177" stopIfTrue="1" operator="lessThan">
      <formula>0.5</formula>
    </cfRule>
  </conditionalFormatting>
  <conditionalFormatting sqref="N10">
    <cfRule type="cellIs" dxfId="36436" priority="104178" stopIfTrue="1" operator="greaterThanOrEqual">
      <formula>0.5</formula>
    </cfRule>
  </conditionalFormatting>
  <conditionalFormatting sqref="N11">
    <cfRule type="cellIs" dxfId="36435" priority="104179" stopIfTrue="1" operator="equal">
      <formula>-1</formula>
    </cfRule>
  </conditionalFormatting>
  <conditionalFormatting sqref="N11">
    <cfRule type="cellIs" dxfId="36434" priority="104180" stopIfTrue="1" operator="lessThan">
      <formula>0.5</formula>
    </cfRule>
  </conditionalFormatting>
  <conditionalFormatting sqref="N11">
    <cfRule type="cellIs" dxfId="36433" priority="104181" stopIfTrue="1" operator="greaterThanOrEqual">
      <formula>0.5</formula>
    </cfRule>
  </conditionalFormatting>
  <conditionalFormatting sqref="N12">
    <cfRule type="cellIs" dxfId="36432" priority="104182" stopIfTrue="1" operator="equal">
      <formula>-1</formula>
    </cfRule>
  </conditionalFormatting>
  <conditionalFormatting sqref="N12">
    <cfRule type="cellIs" dxfId="36431" priority="104183" stopIfTrue="1" operator="lessThan">
      <formula>0.5</formula>
    </cfRule>
  </conditionalFormatting>
  <conditionalFormatting sqref="N12">
    <cfRule type="cellIs" dxfId="36430" priority="104184" stopIfTrue="1" operator="greaterThanOrEqual">
      <formula>0.5</formula>
    </cfRule>
  </conditionalFormatting>
  <conditionalFormatting sqref="N13">
    <cfRule type="cellIs" dxfId="36429" priority="104185" stopIfTrue="1" operator="equal">
      <formula>-1</formula>
    </cfRule>
  </conditionalFormatting>
  <conditionalFormatting sqref="N13">
    <cfRule type="cellIs" dxfId="36428" priority="104186" stopIfTrue="1" operator="lessThan">
      <formula>0.5</formula>
    </cfRule>
  </conditionalFormatting>
  <conditionalFormatting sqref="N13">
    <cfRule type="cellIs" dxfId="36427" priority="104187" stopIfTrue="1" operator="greaterThanOrEqual">
      <formula>0.5</formula>
    </cfRule>
  </conditionalFormatting>
  <conditionalFormatting sqref="N14">
    <cfRule type="cellIs" dxfId="36426" priority="104188" stopIfTrue="1" operator="equal">
      <formula>-1</formula>
    </cfRule>
  </conditionalFormatting>
  <conditionalFormatting sqref="N14">
    <cfRule type="cellIs" dxfId="36425" priority="104189" stopIfTrue="1" operator="lessThan">
      <formula>0.5</formula>
    </cfRule>
  </conditionalFormatting>
  <conditionalFormatting sqref="N14">
    <cfRule type="cellIs" dxfId="36424" priority="104190" stopIfTrue="1" operator="greaterThanOrEqual">
      <formula>0.5</formula>
    </cfRule>
  </conditionalFormatting>
  <conditionalFormatting sqref="N15">
    <cfRule type="cellIs" dxfId="36423" priority="104191" stopIfTrue="1" operator="equal">
      <formula>-1</formula>
    </cfRule>
  </conditionalFormatting>
  <conditionalFormatting sqref="N15">
    <cfRule type="cellIs" dxfId="36422" priority="104192" stopIfTrue="1" operator="lessThan">
      <formula>0.5</formula>
    </cfRule>
  </conditionalFormatting>
  <conditionalFormatting sqref="N15">
    <cfRule type="cellIs" dxfId="36421" priority="104193" stopIfTrue="1" operator="greaterThanOrEqual">
      <formula>0.5</formula>
    </cfRule>
  </conditionalFormatting>
  <conditionalFormatting sqref="P8">
    <cfRule type="cellIs" dxfId="36420" priority="104194" stopIfTrue="1" operator="equal">
      <formula>-1</formula>
    </cfRule>
  </conditionalFormatting>
  <conditionalFormatting sqref="P8">
    <cfRule type="cellIs" dxfId="36419" priority="104195" stopIfTrue="1" operator="lessThan">
      <formula>0.5</formula>
    </cfRule>
  </conditionalFormatting>
  <conditionalFormatting sqref="P8">
    <cfRule type="cellIs" dxfId="36418" priority="104196" stopIfTrue="1" operator="greaterThanOrEqual">
      <formula>0.5</formula>
    </cfRule>
  </conditionalFormatting>
  <conditionalFormatting sqref="P9">
    <cfRule type="cellIs" dxfId="36417" priority="104197" stopIfTrue="1" operator="equal">
      <formula>-1</formula>
    </cfRule>
  </conditionalFormatting>
  <conditionalFormatting sqref="P9">
    <cfRule type="cellIs" dxfId="36416" priority="104198" stopIfTrue="1" operator="lessThan">
      <formula>0.5</formula>
    </cfRule>
  </conditionalFormatting>
  <conditionalFormatting sqref="P9">
    <cfRule type="cellIs" dxfId="36415" priority="104199" stopIfTrue="1" operator="greaterThanOrEqual">
      <formula>0.5</formula>
    </cfRule>
  </conditionalFormatting>
  <conditionalFormatting sqref="P10">
    <cfRule type="cellIs" dxfId="36414" priority="104200" stopIfTrue="1" operator="equal">
      <formula>-1</formula>
    </cfRule>
  </conditionalFormatting>
  <conditionalFormatting sqref="P10">
    <cfRule type="cellIs" dxfId="36413" priority="104201" stopIfTrue="1" operator="lessThan">
      <formula>0.5</formula>
    </cfRule>
  </conditionalFormatting>
  <conditionalFormatting sqref="P10">
    <cfRule type="cellIs" dxfId="36412" priority="104202" stopIfTrue="1" operator="greaterThanOrEqual">
      <formula>0.5</formula>
    </cfRule>
  </conditionalFormatting>
  <conditionalFormatting sqref="P11">
    <cfRule type="cellIs" dxfId="36411" priority="104203" stopIfTrue="1" operator="equal">
      <formula>-1</formula>
    </cfRule>
  </conditionalFormatting>
  <conditionalFormatting sqref="P11">
    <cfRule type="cellIs" dxfId="36410" priority="104204" stopIfTrue="1" operator="lessThan">
      <formula>0.5</formula>
    </cfRule>
  </conditionalFormatting>
  <conditionalFormatting sqref="P11">
    <cfRule type="cellIs" dxfId="36409" priority="104205" stopIfTrue="1" operator="greaterThanOrEqual">
      <formula>0.5</formula>
    </cfRule>
  </conditionalFormatting>
  <conditionalFormatting sqref="P12">
    <cfRule type="cellIs" dxfId="36408" priority="104206" stopIfTrue="1" operator="equal">
      <formula>-1</formula>
    </cfRule>
  </conditionalFormatting>
  <conditionalFormatting sqref="P12">
    <cfRule type="cellIs" dxfId="36407" priority="104207" stopIfTrue="1" operator="lessThan">
      <formula>0.5</formula>
    </cfRule>
  </conditionalFormatting>
  <conditionalFormatting sqref="P12">
    <cfRule type="cellIs" dxfId="36406" priority="104208" stopIfTrue="1" operator="greaterThanOrEqual">
      <formula>0.5</formula>
    </cfRule>
  </conditionalFormatting>
  <conditionalFormatting sqref="P13">
    <cfRule type="cellIs" dxfId="36405" priority="104209" stopIfTrue="1" operator="equal">
      <formula>-1</formula>
    </cfRule>
  </conditionalFormatting>
  <conditionalFormatting sqref="P13">
    <cfRule type="cellIs" dxfId="36404" priority="104210" stopIfTrue="1" operator="lessThan">
      <formula>0.5</formula>
    </cfRule>
  </conditionalFormatting>
  <conditionalFormatting sqref="P13">
    <cfRule type="cellIs" dxfId="36403" priority="104211" stopIfTrue="1" operator="greaterThanOrEqual">
      <formula>0.5</formula>
    </cfRule>
  </conditionalFormatting>
  <conditionalFormatting sqref="P14">
    <cfRule type="cellIs" dxfId="36402" priority="104212" stopIfTrue="1" operator="equal">
      <formula>-1</formula>
    </cfRule>
  </conditionalFormatting>
  <conditionalFormatting sqref="P14">
    <cfRule type="cellIs" dxfId="36401" priority="104213" stopIfTrue="1" operator="lessThan">
      <formula>0.5</formula>
    </cfRule>
  </conditionalFormatting>
  <conditionalFormatting sqref="P14">
    <cfRule type="cellIs" dxfId="36400" priority="104214" stopIfTrue="1" operator="greaterThanOrEqual">
      <formula>0.5</formula>
    </cfRule>
  </conditionalFormatting>
  <conditionalFormatting sqref="P15">
    <cfRule type="cellIs" dxfId="36399" priority="104215" stopIfTrue="1" operator="equal">
      <formula>-1</formula>
    </cfRule>
  </conditionalFormatting>
  <conditionalFormatting sqref="P15">
    <cfRule type="cellIs" dxfId="36398" priority="104216" stopIfTrue="1" operator="lessThan">
      <formula>0.5</formula>
    </cfRule>
  </conditionalFormatting>
  <conditionalFormatting sqref="P15">
    <cfRule type="cellIs" dxfId="36397" priority="104217" stopIfTrue="1" operator="greaterThanOrEqual">
      <formula>0.5</formula>
    </cfRule>
  </conditionalFormatting>
  <conditionalFormatting sqref="R8">
    <cfRule type="cellIs" dxfId="36396" priority="104218" stopIfTrue="1" operator="equal">
      <formula>-1</formula>
    </cfRule>
  </conditionalFormatting>
  <conditionalFormatting sqref="R8">
    <cfRule type="cellIs" dxfId="36395" priority="104219" stopIfTrue="1" operator="lessThan">
      <formula>0.5</formula>
    </cfRule>
  </conditionalFormatting>
  <conditionalFormatting sqref="R8">
    <cfRule type="cellIs" dxfId="36394" priority="104220" stopIfTrue="1" operator="greaterThanOrEqual">
      <formula>0.5</formula>
    </cfRule>
  </conditionalFormatting>
  <conditionalFormatting sqref="R9">
    <cfRule type="cellIs" dxfId="36393" priority="104221" stopIfTrue="1" operator="equal">
      <formula>-1</formula>
    </cfRule>
  </conditionalFormatting>
  <conditionalFormatting sqref="R9">
    <cfRule type="cellIs" dxfId="36392" priority="104222" stopIfTrue="1" operator="lessThan">
      <formula>0.5</formula>
    </cfRule>
  </conditionalFormatting>
  <conditionalFormatting sqref="R9">
    <cfRule type="cellIs" dxfId="36391" priority="104223" stopIfTrue="1" operator="greaterThanOrEqual">
      <formula>0.5</formula>
    </cfRule>
  </conditionalFormatting>
  <conditionalFormatting sqref="R10">
    <cfRule type="cellIs" dxfId="36390" priority="104224" stopIfTrue="1" operator="equal">
      <formula>-1</formula>
    </cfRule>
  </conditionalFormatting>
  <conditionalFormatting sqref="R10">
    <cfRule type="cellIs" dxfId="36389" priority="104225" stopIfTrue="1" operator="lessThan">
      <formula>0.5</formula>
    </cfRule>
  </conditionalFormatting>
  <conditionalFormatting sqref="R10">
    <cfRule type="cellIs" dxfId="36388" priority="104226" stopIfTrue="1" operator="greaterThanOrEqual">
      <formula>0.5</formula>
    </cfRule>
  </conditionalFormatting>
  <conditionalFormatting sqref="R11">
    <cfRule type="cellIs" dxfId="36387" priority="104227" stopIfTrue="1" operator="equal">
      <formula>-1</formula>
    </cfRule>
  </conditionalFormatting>
  <conditionalFormatting sqref="R11">
    <cfRule type="cellIs" dxfId="36386" priority="104228" stopIfTrue="1" operator="lessThan">
      <formula>0.5</formula>
    </cfRule>
  </conditionalFormatting>
  <conditionalFormatting sqref="R11">
    <cfRule type="cellIs" dxfId="36385" priority="104229" stopIfTrue="1" operator="greaterThanOrEqual">
      <formula>0.5</formula>
    </cfRule>
  </conditionalFormatting>
  <conditionalFormatting sqref="R12">
    <cfRule type="cellIs" dxfId="36384" priority="104230" stopIfTrue="1" operator="equal">
      <formula>-1</formula>
    </cfRule>
  </conditionalFormatting>
  <conditionalFormatting sqref="R12">
    <cfRule type="cellIs" dxfId="36383" priority="104231" stopIfTrue="1" operator="lessThan">
      <formula>0.5</formula>
    </cfRule>
  </conditionalFormatting>
  <conditionalFormatting sqref="R12">
    <cfRule type="cellIs" dxfId="36382" priority="104232" stopIfTrue="1" operator="greaterThanOrEqual">
      <formula>0.5</formula>
    </cfRule>
  </conditionalFormatting>
  <conditionalFormatting sqref="R13">
    <cfRule type="cellIs" dxfId="36381" priority="104233" stopIfTrue="1" operator="equal">
      <formula>-1</formula>
    </cfRule>
  </conditionalFormatting>
  <conditionalFormatting sqref="R13">
    <cfRule type="cellIs" dxfId="36380" priority="104234" stopIfTrue="1" operator="lessThan">
      <formula>0.5</formula>
    </cfRule>
  </conditionalFormatting>
  <conditionalFormatting sqref="R13">
    <cfRule type="cellIs" dxfId="36379" priority="104235" stopIfTrue="1" operator="greaterThanOrEqual">
      <formula>0.5</formula>
    </cfRule>
  </conditionalFormatting>
  <conditionalFormatting sqref="R14">
    <cfRule type="cellIs" dxfId="36378" priority="104236" stopIfTrue="1" operator="equal">
      <formula>-1</formula>
    </cfRule>
  </conditionalFormatting>
  <conditionalFormatting sqref="R14">
    <cfRule type="cellIs" dxfId="36377" priority="104237" stopIfTrue="1" operator="lessThan">
      <formula>0.5</formula>
    </cfRule>
  </conditionalFormatting>
  <conditionalFormatting sqref="R14">
    <cfRule type="cellIs" dxfId="36376" priority="104238" stopIfTrue="1" operator="greaterThanOrEqual">
      <formula>0.5</formula>
    </cfRule>
  </conditionalFormatting>
  <conditionalFormatting sqref="R15">
    <cfRule type="cellIs" dxfId="36375" priority="104239" stopIfTrue="1" operator="equal">
      <formula>-1</formula>
    </cfRule>
  </conditionalFormatting>
  <conditionalFormatting sqref="R15">
    <cfRule type="cellIs" dxfId="36374" priority="104240" stopIfTrue="1" operator="lessThan">
      <formula>0.5</formula>
    </cfRule>
  </conditionalFormatting>
  <conditionalFormatting sqref="R15">
    <cfRule type="cellIs" dxfId="36373" priority="104241" stopIfTrue="1" operator="greaterThanOrEqual">
      <formula>0.5</formula>
    </cfRule>
  </conditionalFormatting>
  <conditionalFormatting sqref="T8">
    <cfRule type="cellIs" dxfId="36372" priority="104242" stopIfTrue="1" operator="equal">
      <formula>-1</formula>
    </cfRule>
  </conditionalFormatting>
  <conditionalFormatting sqref="T8">
    <cfRule type="cellIs" dxfId="36371" priority="104243" stopIfTrue="1" operator="lessThan">
      <formula>0.5</formula>
    </cfRule>
  </conditionalFormatting>
  <conditionalFormatting sqref="T8">
    <cfRule type="cellIs" dxfId="36370" priority="104244" stopIfTrue="1" operator="greaterThanOrEqual">
      <formula>0.5</formula>
    </cfRule>
  </conditionalFormatting>
  <conditionalFormatting sqref="T9">
    <cfRule type="cellIs" dxfId="36369" priority="104245" stopIfTrue="1" operator="equal">
      <formula>-1</formula>
    </cfRule>
  </conditionalFormatting>
  <conditionalFormatting sqref="T9">
    <cfRule type="cellIs" dxfId="36368" priority="104246" stopIfTrue="1" operator="lessThan">
      <formula>0.5</formula>
    </cfRule>
  </conditionalFormatting>
  <conditionalFormatting sqref="T9">
    <cfRule type="cellIs" dxfId="36367" priority="104247" stopIfTrue="1" operator="greaterThanOrEqual">
      <formula>0.5</formula>
    </cfRule>
  </conditionalFormatting>
  <conditionalFormatting sqref="T10">
    <cfRule type="cellIs" dxfId="36366" priority="104248" stopIfTrue="1" operator="equal">
      <formula>-1</formula>
    </cfRule>
  </conditionalFormatting>
  <conditionalFormatting sqref="T10">
    <cfRule type="cellIs" dxfId="36365" priority="104249" stopIfTrue="1" operator="lessThan">
      <formula>0.5</formula>
    </cfRule>
  </conditionalFormatting>
  <conditionalFormatting sqref="T10">
    <cfRule type="cellIs" dxfId="36364" priority="104250" stopIfTrue="1" operator="greaterThanOrEqual">
      <formula>0.5</formula>
    </cfRule>
  </conditionalFormatting>
  <conditionalFormatting sqref="T11">
    <cfRule type="cellIs" dxfId="36363" priority="104251" stopIfTrue="1" operator="equal">
      <formula>-1</formula>
    </cfRule>
  </conditionalFormatting>
  <conditionalFormatting sqref="T11">
    <cfRule type="cellIs" dxfId="36362" priority="104252" stopIfTrue="1" operator="lessThan">
      <formula>0.5</formula>
    </cfRule>
  </conditionalFormatting>
  <conditionalFormatting sqref="T11">
    <cfRule type="cellIs" dxfId="36361" priority="104253" stopIfTrue="1" operator="greaterThanOrEqual">
      <formula>0.5</formula>
    </cfRule>
  </conditionalFormatting>
  <conditionalFormatting sqref="T12">
    <cfRule type="cellIs" dxfId="36360" priority="104254" stopIfTrue="1" operator="equal">
      <formula>-1</formula>
    </cfRule>
  </conditionalFormatting>
  <conditionalFormatting sqref="T12">
    <cfRule type="cellIs" dxfId="36359" priority="104255" stopIfTrue="1" operator="lessThan">
      <formula>0.5</formula>
    </cfRule>
  </conditionalFormatting>
  <conditionalFormatting sqref="T12">
    <cfRule type="cellIs" dxfId="36358" priority="104256" stopIfTrue="1" operator="greaterThanOrEqual">
      <formula>0.5</formula>
    </cfRule>
  </conditionalFormatting>
  <conditionalFormatting sqref="T13">
    <cfRule type="cellIs" dxfId="36357" priority="104257" stopIfTrue="1" operator="equal">
      <formula>-1</formula>
    </cfRule>
  </conditionalFormatting>
  <conditionalFormatting sqref="T13">
    <cfRule type="cellIs" dxfId="36356" priority="104258" stopIfTrue="1" operator="lessThan">
      <formula>0.5</formula>
    </cfRule>
  </conditionalFormatting>
  <conditionalFormatting sqref="T13">
    <cfRule type="cellIs" dxfId="36355" priority="104259" stopIfTrue="1" operator="greaterThanOrEqual">
      <formula>0.5</formula>
    </cfRule>
  </conditionalFormatting>
  <conditionalFormatting sqref="T14">
    <cfRule type="cellIs" dxfId="36354" priority="104260" stopIfTrue="1" operator="equal">
      <formula>-1</formula>
    </cfRule>
  </conditionalFormatting>
  <conditionalFormatting sqref="T14">
    <cfRule type="cellIs" dxfId="36353" priority="104261" stopIfTrue="1" operator="lessThan">
      <formula>0.5</formula>
    </cfRule>
  </conditionalFormatting>
  <conditionalFormatting sqref="T14">
    <cfRule type="cellIs" dxfId="36352" priority="104262" stopIfTrue="1" operator="greaterThanOrEqual">
      <formula>0.5</formula>
    </cfRule>
  </conditionalFormatting>
  <conditionalFormatting sqref="T15">
    <cfRule type="cellIs" dxfId="36351" priority="104263" stopIfTrue="1" operator="equal">
      <formula>-1</formula>
    </cfRule>
  </conditionalFormatting>
  <conditionalFormatting sqref="T15">
    <cfRule type="cellIs" dxfId="36350" priority="104264" stopIfTrue="1" operator="lessThan">
      <formula>0.5</formula>
    </cfRule>
  </conditionalFormatting>
  <conditionalFormatting sqref="T15">
    <cfRule type="cellIs" dxfId="36349" priority="104265" stopIfTrue="1" operator="greaterThanOrEqual">
      <formula>0.5</formula>
    </cfRule>
  </conditionalFormatting>
  <conditionalFormatting sqref="V8">
    <cfRule type="cellIs" dxfId="36348" priority="104266" stopIfTrue="1" operator="equal">
      <formula>-1</formula>
    </cfRule>
  </conditionalFormatting>
  <conditionalFormatting sqref="V8">
    <cfRule type="cellIs" dxfId="36347" priority="104267" stopIfTrue="1" operator="lessThan">
      <formula>0.5</formula>
    </cfRule>
  </conditionalFormatting>
  <conditionalFormatting sqref="V8">
    <cfRule type="cellIs" dxfId="36346" priority="104268" stopIfTrue="1" operator="greaterThanOrEqual">
      <formula>0.5</formula>
    </cfRule>
  </conditionalFormatting>
  <conditionalFormatting sqref="V9">
    <cfRule type="cellIs" dxfId="36345" priority="104269" stopIfTrue="1" operator="equal">
      <formula>-1</formula>
    </cfRule>
  </conditionalFormatting>
  <conditionalFormatting sqref="V9">
    <cfRule type="cellIs" dxfId="36344" priority="104270" stopIfTrue="1" operator="lessThan">
      <formula>0.5</formula>
    </cfRule>
  </conditionalFormatting>
  <conditionalFormatting sqref="V9">
    <cfRule type="cellIs" dxfId="36343" priority="104271" stopIfTrue="1" operator="greaterThanOrEqual">
      <formula>0.5</formula>
    </cfRule>
  </conditionalFormatting>
  <conditionalFormatting sqref="V10">
    <cfRule type="cellIs" dxfId="36342" priority="104272" stopIfTrue="1" operator="equal">
      <formula>-1</formula>
    </cfRule>
  </conditionalFormatting>
  <conditionalFormatting sqref="V10">
    <cfRule type="cellIs" dxfId="36341" priority="104273" stopIfTrue="1" operator="lessThan">
      <formula>0.5</formula>
    </cfRule>
  </conditionalFormatting>
  <conditionalFormatting sqref="V10">
    <cfRule type="cellIs" dxfId="36340" priority="104274" stopIfTrue="1" operator="greaterThanOrEqual">
      <formula>0.5</formula>
    </cfRule>
  </conditionalFormatting>
  <conditionalFormatting sqref="V11">
    <cfRule type="cellIs" dxfId="36339" priority="104275" stopIfTrue="1" operator="equal">
      <formula>-1</formula>
    </cfRule>
  </conditionalFormatting>
  <conditionalFormatting sqref="V11">
    <cfRule type="cellIs" dxfId="36338" priority="104276" stopIfTrue="1" operator="lessThan">
      <formula>0.5</formula>
    </cfRule>
  </conditionalFormatting>
  <conditionalFormatting sqref="V11">
    <cfRule type="cellIs" dxfId="36337" priority="104277" stopIfTrue="1" operator="greaterThanOrEqual">
      <formula>0.5</formula>
    </cfRule>
  </conditionalFormatting>
  <conditionalFormatting sqref="V12">
    <cfRule type="cellIs" dxfId="36336" priority="104278" stopIfTrue="1" operator="equal">
      <formula>-1</formula>
    </cfRule>
  </conditionalFormatting>
  <conditionalFormatting sqref="V12">
    <cfRule type="cellIs" dxfId="36335" priority="104279" stopIfTrue="1" operator="lessThan">
      <formula>0.5</formula>
    </cfRule>
  </conditionalFormatting>
  <conditionalFormatting sqref="V12">
    <cfRule type="cellIs" dxfId="36334" priority="104280" stopIfTrue="1" operator="greaterThanOrEqual">
      <formula>0.5</formula>
    </cfRule>
  </conditionalFormatting>
  <conditionalFormatting sqref="V13">
    <cfRule type="cellIs" dxfId="36333" priority="104281" stopIfTrue="1" operator="equal">
      <formula>-1</formula>
    </cfRule>
  </conditionalFormatting>
  <conditionalFormatting sqref="V13">
    <cfRule type="cellIs" dxfId="36332" priority="104282" stopIfTrue="1" operator="lessThan">
      <formula>0.5</formula>
    </cfRule>
  </conditionalFormatting>
  <conditionalFormatting sqref="V13">
    <cfRule type="cellIs" dxfId="36331" priority="104283" stopIfTrue="1" operator="greaterThanOrEqual">
      <formula>0.5</formula>
    </cfRule>
  </conditionalFormatting>
  <conditionalFormatting sqref="V14">
    <cfRule type="cellIs" dxfId="36330" priority="104284" stopIfTrue="1" operator="equal">
      <formula>-1</formula>
    </cfRule>
  </conditionalFormatting>
  <conditionalFormatting sqref="V14">
    <cfRule type="cellIs" dxfId="36329" priority="104285" stopIfTrue="1" operator="lessThan">
      <formula>0.5</formula>
    </cfRule>
  </conditionalFormatting>
  <conditionalFormatting sqref="V14">
    <cfRule type="cellIs" dxfId="36328" priority="104286" stopIfTrue="1" operator="greaterThanOrEqual">
      <formula>0.5</formula>
    </cfRule>
  </conditionalFormatting>
  <conditionalFormatting sqref="V15">
    <cfRule type="cellIs" dxfId="36327" priority="104287" stopIfTrue="1" operator="equal">
      <formula>-1</formula>
    </cfRule>
  </conditionalFormatting>
  <conditionalFormatting sqref="V15">
    <cfRule type="cellIs" dxfId="36326" priority="104288" stopIfTrue="1" operator="lessThan">
      <formula>0.5</formula>
    </cfRule>
  </conditionalFormatting>
  <conditionalFormatting sqref="V15">
    <cfRule type="cellIs" dxfId="36325" priority="104289" stopIfTrue="1" operator="greaterThanOrEqual">
      <formula>0.5</formula>
    </cfRule>
  </conditionalFormatting>
  <conditionalFormatting sqref="X8">
    <cfRule type="cellIs" dxfId="36324" priority="104290" stopIfTrue="1" operator="equal">
      <formula>-1</formula>
    </cfRule>
  </conditionalFormatting>
  <conditionalFormatting sqref="X8">
    <cfRule type="cellIs" dxfId="36323" priority="104291" stopIfTrue="1" operator="lessThan">
      <formula>0.5</formula>
    </cfRule>
  </conditionalFormatting>
  <conditionalFormatting sqref="X8">
    <cfRule type="cellIs" dxfId="36322" priority="104292" stopIfTrue="1" operator="greaterThanOrEqual">
      <formula>0.5</formula>
    </cfRule>
  </conditionalFormatting>
  <conditionalFormatting sqref="X9">
    <cfRule type="cellIs" dxfId="36321" priority="104293" stopIfTrue="1" operator="equal">
      <formula>-1</formula>
    </cfRule>
  </conditionalFormatting>
  <conditionalFormatting sqref="X9">
    <cfRule type="cellIs" dxfId="36320" priority="104294" stopIfTrue="1" operator="lessThan">
      <formula>0.5</formula>
    </cfRule>
  </conditionalFormatting>
  <conditionalFormatting sqref="X9">
    <cfRule type="cellIs" dxfId="36319" priority="104295" stopIfTrue="1" operator="greaterThanOrEqual">
      <formula>0.5</formula>
    </cfRule>
  </conditionalFormatting>
  <conditionalFormatting sqref="X10">
    <cfRule type="cellIs" dxfId="36318" priority="104296" stopIfTrue="1" operator="equal">
      <formula>-1</formula>
    </cfRule>
  </conditionalFormatting>
  <conditionalFormatting sqref="X10">
    <cfRule type="cellIs" dxfId="36317" priority="104297" stopIfTrue="1" operator="lessThan">
      <formula>0.5</formula>
    </cfRule>
  </conditionalFormatting>
  <conditionalFormatting sqref="X10">
    <cfRule type="cellIs" dxfId="36316" priority="104298" stopIfTrue="1" operator="greaterThanOrEqual">
      <formula>0.5</formula>
    </cfRule>
  </conditionalFormatting>
  <conditionalFormatting sqref="X11">
    <cfRule type="cellIs" dxfId="36315" priority="104299" stopIfTrue="1" operator="equal">
      <formula>-1</formula>
    </cfRule>
  </conditionalFormatting>
  <conditionalFormatting sqref="X11">
    <cfRule type="cellIs" dxfId="36314" priority="104300" stopIfTrue="1" operator="lessThan">
      <formula>0.5</formula>
    </cfRule>
  </conditionalFormatting>
  <conditionalFormatting sqref="X11">
    <cfRule type="cellIs" dxfId="36313" priority="104301" stopIfTrue="1" operator="greaterThanOrEqual">
      <formula>0.5</formula>
    </cfRule>
  </conditionalFormatting>
  <conditionalFormatting sqref="X12">
    <cfRule type="cellIs" dxfId="36312" priority="104302" stopIfTrue="1" operator="equal">
      <formula>-1</formula>
    </cfRule>
  </conditionalFormatting>
  <conditionalFormatting sqref="X12">
    <cfRule type="cellIs" dxfId="36311" priority="104303" stopIfTrue="1" operator="lessThan">
      <formula>0.5</formula>
    </cfRule>
  </conditionalFormatting>
  <conditionalFormatting sqref="X12">
    <cfRule type="cellIs" dxfId="36310" priority="104304" stopIfTrue="1" operator="greaterThanOrEqual">
      <formula>0.5</formula>
    </cfRule>
  </conditionalFormatting>
  <conditionalFormatting sqref="X13">
    <cfRule type="cellIs" dxfId="36309" priority="104305" stopIfTrue="1" operator="equal">
      <formula>-1</formula>
    </cfRule>
  </conditionalFormatting>
  <conditionalFormatting sqref="X13">
    <cfRule type="cellIs" dxfId="36308" priority="104306" stopIfTrue="1" operator="lessThan">
      <formula>0.5</formula>
    </cfRule>
  </conditionalFormatting>
  <conditionalFormatting sqref="X13">
    <cfRule type="cellIs" dxfId="36307" priority="104307" stopIfTrue="1" operator="greaterThanOrEqual">
      <formula>0.5</formula>
    </cfRule>
  </conditionalFormatting>
  <conditionalFormatting sqref="X14">
    <cfRule type="cellIs" dxfId="36306" priority="104308" stopIfTrue="1" operator="equal">
      <formula>-1</formula>
    </cfRule>
  </conditionalFormatting>
  <conditionalFormatting sqref="X14">
    <cfRule type="cellIs" dxfId="36305" priority="104309" stopIfTrue="1" operator="lessThan">
      <formula>0.5</formula>
    </cfRule>
  </conditionalFormatting>
  <conditionalFormatting sqref="X14">
    <cfRule type="cellIs" dxfId="36304" priority="104310" stopIfTrue="1" operator="greaterThanOrEqual">
      <formula>0.5</formula>
    </cfRule>
  </conditionalFormatting>
  <conditionalFormatting sqref="X15">
    <cfRule type="cellIs" dxfId="36303" priority="104311" stopIfTrue="1" operator="equal">
      <formula>-1</formula>
    </cfRule>
  </conditionalFormatting>
  <conditionalFormatting sqref="X15">
    <cfRule type="cellIs" dxfId="36302" priority="104312" stopIfTrue="1" operator="lessThan">
      <formula>0.5</formula>
    </cfRule>
  </conditionalFormatting>
  <conditionalFormatting sqref="X15">
    <cfRule type="cellIs" dxfId="36301" priority="104313" stopIfTrue="1" operator="greaterThanOrEqual">
      <formula>0.5</formula>
    </cfRule>
  </conditionalFormatting>
  <conditionalFormatting sqref="Z8">
    <cfRule type="cellIs" dxfId="36300" priority="104314" stopIfTrue="1" operator="equal">
      <formula>-1</formula>
    </cfRule>
  </conditionalFormatting>
  <conditionalFormatting sqref="Z8">
    <cfRule type="cellIs" dxfId="36299" priority="104315" stopIfTrue="1" operator="lessThan">
      <formula>0.5</formula>
    </cfRule>
  </conditionalFormatting>
  <conditionalFormatting sqref="Z8">
    <cfRule type="cellIs" dxfId="36298" priority="104316" stopIfTrue="1" operator="greaterThanOrEqual">
      <formula>0.5</formula>
    </cfRule>
  </conditionalFormatting>
  <conditionalFormatting sqref="Z9">
    <cfRule type="cellIs" dxfId="36297" priority="104317" stopIfTrue="1" operator="equal">
      <formula>-1</formula>
    </cfRule>
  </conditionalFormatting>
  <conditionalFormatting sqref="Z9">
    <cfRule type="cellIs" dxfId="36296" priority="104318" stopIfTrue="1" operator="lessThan">
      <formula>0.5</formula>
    </cfRule>
  </conditionalFormatting>
  <conditionalFormatting sqref="Z9">
    <cfRule type="cellIs" dxfId="36295" priority="104319" stopIfTrue="1" operator="greaterThanOrEqual">
      <formula>0.5</formula>
    </cfRule>
  </conditionalFormatting>
  <conditionalFormatting sqref="Z10">
    <cfRule type="cellIs" dxfId="36294" priority="104320" stopIfTrue="1" operator="equal">
      <formula>-1</formula>
    </cfRule>
  </conditionalFormatting>
  <conditionalFormatting sqref="Z10">
    <cfRule type="cellIs" dxfId="36293" priority="104321" stopIfTrue="1" operator="lessThan">
      <formula>0.5</formula>
    </cfRule>
  </conditionalFormatting>
  <conditionalFormatting sqref="Z10">
    <cfRule type="cellIs" dxfId="36292" priority="104322" stopIfTrue="1" operator="greaterThanOrEqual">
      <formula>0.5</formula>
    </cfRule>
  </conditionalFormatting>
  <conditionalFormatting sqref="Z11">
    <cfRule type="cellIs" dxfId="36291" priority="104323" stopIfTrue="1" operator="equal">
      <formula>-1</formula>
    </cfRule>
  </conditionalFormatting>
  <conditionalFormatting sqref="Z11">
    <cfRule type="cellIs" dxfId="36290" priority="104324" stopIfTrue="1" operator="lessThan">
      <formula>0.5</formula>
    </cfRule>
  </conditionalFormatting>
  <conditionalFormatting sqref="Z11">
    <cfRule type="cellIs" dxfId="36289" priority="104325" stopIfTrue="1" operator="greaterThanOrEqual">
      <formula>0.5</formula>
    </cfRule>
  </conditionalFormatting>
  <conditionalFormatting sqref="Z12">
    <cfRule type="cellIs" dxfId="36288" priority="104326" stopIfTrue="1" operator="equal">
      <formula>-1</formula>
    </cfRule>
  </conditionalFormatting>
  <conditionalFormatting sqref="Z12">
    <cfRule type="cellIs" dxfId="36287" priority="104327" stopIfTrue="1" operator="lessThan">
      <formula>0.5</formula>
    </cfRule>
  </conditionalFormatting>
  <conditionalFormatting sqref="Z12">
    <cfRule type="cellIs" dxfId="36286" priority="104328" stopIfTrue="1" operator="greaterThanOrEqual">
      <formula>0.5</formula>
    </cfRule>
  </conditionalFormatting>
  <conditionalFormatting sqref="Z13">
    <cfRule type="cellIs" dxfId="36285" priority="104329" stopIfTrue="1" operator="equal">
      <formula>-1</formula>
    </cfRule>
  </conditionalFormatting>
  <conditionalFormatting sqref="Z13">
    <cfRule type="cellIs" dxfId="36284" priority="104330" stopIfTrue="1" operator="lessThan">
      <formula>0.5</formula>
    </cfRule>
  </conditionalFormatting>
  <conditionalFormatting sqref="Z13">
    <cfRule type="cellIs" dxfId="36283" priority="104331" stopIfTrue="1" operator="greaterThanOrEqual">
      <formula>0.5</formula>
    </cfRule>
  </conditionalFormatting>
  <conditionalFormatting sqref="Z14">
    <cfRule type="cellIs" dxfId="36282" priority="104332" stopIfTrue="1" operator="equal">
      <formula>-1</formula>
    </cfRule>
  </conditionalFormatting>
  <conditionalFormatting sqref="Z14">
    <cfRule type="cellIs" dxfId="36281" priority="104333" stopIfTrue="1" operator="lessThan">
      <formula>0.5</formula>
    </cfRule>
  </conditionalFormatting>
  <conditionalFormatting sqref="Z14">
    <cfRule type="cellIs" dxfId="36280" priority="104334" stopIfTrue="1" operator="greaterThanOrEqual">
      <formula>0.5</formula>
    </cfRule>
  </conditionalFormatting>
  <conditionalFormatting sqref="Z15">
    <cfRule type="cellIs" dxfId="36279" priority="104335" stopIfTrue="1" operator="equal">
      <formula>-1</formula>
    </cfRule>
  </conditionalFormatting>
  <conditionalFormatting sqref="Z15">
    <cfRule type="cellIs" dxfId="36278" priority="104336" stopIfTrue="1" operator="lessThan">
      <formula>0.5</formula>
    </cfRule>
  </conditionalFormatting>
  <conditionalFormatting sqref="Z15">
    <cfRule type="cellIs" dxfId="36277" priority="104337" stopIfTrue="1" operator="greaterThanOrEqual">
      <formula>0.5</formula>
    </cfRule>
  </conditionalFormatting>
  <conditionalFormatting sqref="AB8">
    <cfRule type="cellIs" dxfId="36276" priority="104338" stopIfTrue="1" operator="equal">
      <formula>-1</formula>
    </cfRule>
  </conditionalFormatting>
  <conditionalFormatting sqref="AB8">
    <cfRule type="cellIs" dxfId="36275" priority="104339" stopIfTrue="1" operator="lessThan">
      <formula>0.5</formula>
    </cfRule>
  </conditionalFormatting>
  <conditionalFormatting sqref="AB8">
    <cfRule type="cellIs" dxfId="36274" priority="104340" stopIfTrue="1" operator="greaterThanOrEqual">
      <formula>0.5</formula>
    </cfRule>
  </conditionalFormatting>
  <conditionalFormatting sqref="AB9">
    <cfRule type="cellIs" dxfId="36273" priority="104341" stopIfTrue="1" operator="equal">
      <formula>-1</formula>
    </cfRule>
  </conditionalFormatting>
  <conditionalFormatting sqref="AB9">
    <cfRule type="cellIs" dxfId="36272" priority="104342" stopIfTrue="1" operator="lessThan">
      <formula>0.5</formula>
    </cfRule>
  </conditionalFormatting>
  <conditionalFormatting sqref="AB9">
    <cfRule type="cellIs" dxfId="36271" priority="104343" stopIfTrue="1" operator="greaterThanOrEqual">
      <formula>0.5</formula>
    </cfRule>
  </conditionalFormatting>
  <conditionalFormatting sqref="AB10">
    <cfRule type="cellIs" dxfId="36270" priority="104344" stopIfTrue="1" operator="equal">
      <formula>-1</formula>
    </cfRule>
  </conditionalFormatting>
  <conditionalFormatting sqref="AB10">
    <cfRule type="cellIs" dxfId="36269" priority="104345" stopIfTrue="1" operator="lessThan">
      <formula>0.5</formula>
    </cfRule>
  </conditionalFormatting>
  <conditionalFormatting sqref="AB10">
    <cfRule type="cellIs" dxfId="36268" priority="104346" stopIfTrue="1" operator="greaterThanOrEqual">
      <formula>0.5</formula>
    </cfRule>
  </conditionalFormatting>
  <conditionalFormatting sqref="AB11">
    <cfRule type="cellIs" dxfId="36267" priority="104347" stopIfTrue="1" operator="equal">
      <formula>-1</formula>
    </cfRule>
  </conditionalFormatting>
  <conditionalFormatting sqref="AB11">
    <cfRule type="cellIs" dxfId="36266" priority="104348" stopIfTrue="1" operator="lessThan">
      <formula>0.5</formula>
    </cfRule>
  </conditionalFormatting>
  <conditionalFormatting sqref="AB11">
    <cfRule type="cellIs" dxfId="36265" priority="104349" stopIfTrue="1" operator="greaterThanOrEqual">
      <formula>0.5</formula>
    </cfRule>
  </conditionalFormatting>
  <conditionalFormatting sqref="AB12">
    <cfRule type="cellIs" dxfId="36264" priority="104350" stopIfTrue="1" operator="equal">
      <formula>-1</formula>
    </cfRule>
  </conditionalFormatting>
  <conditionalFormatting sqref="AB12">
    <cfRule type="cellIs" dxfId="36263" priority="104351" stopIfTrue="1" operator="lessThan">
      <formula>0.5</formula>
    </cfRule>
  </conditionalFormatting>
  <conditionalFormatting sqref="AB12">
    <cfRule type="cellIs" dxfId="36262" priority="104352" stopIfTrue="1" operator="greaterThanOrEqual">
      <formula>0.5</formula>
    </cfRule>
  </conditionalFormatting>
  <conditionalFormatting sqref="AB13">
    <cfRule type="cellIs" dxfId="36261" priority="104353" stopIfTrue="1" operator="equal">
      <formula>-1</formula>
    </cfRule>
  </conditionalFormatting>
  <conditionalFormatting sqref="AB13">
    <cfRule type="cellIs" dxfId="36260" priority="104354" stopIfTrue="1" operator="lessThan">
      <formula>0.5</formula>
    </cfRule>
  </conditionalFormatting>
  <conditionalFormatting sqref="AB13">
    <cfRule type="cellIs" dxfId="36259" priority="104355" stopIfTrue="1" operator="greaterThanOrEqual">
      <formula>0.5</formula>
    </cfRule>
  </conditionalFormatting>
  <conditionalFormatting sqref="AB14">
    <cfRule type="cellIs" dxfId="36258" priority="104356" stopIfTrue="1" operator="equal">
      <formula>-1</formula>
    </cfRule>
  </conditionalFormatting>
  <conditionalFormatting sqref="AB14">
    <cfRule type="cellIs" dxfId="36257" priority="104357" stopIfTrue="1" operator="lessThan">
      <formula>0.5</formula>
    </cfRule>
  </conditionalFormatting>
  <conditionalFormatting sqref="AB14">
    <cfRule type="cellIs" dxfId="36256" priority="104358" stopIfTrue="1" operator="greaterThanOrEqual">
      <formula>0.5</formula>
    </cfRule>
  </conditionalFormatting>
  <conditionalFormatting sqref="AB15">
    <cfRule type="cellIs" dxfId="36255" priority="104359" stopIfTrue="1" operator="equal">
      <formula>-1</formula>
    </cfRule>
  </conditionalFormatting>
  <conditionalFormatting sqref="AB15">
    <cfRule type="cellIs" dxfId="36254" priority="104360" stopIfTrue="1" operator="lessThan">
      <formula>0.5</formula>
    </cfRule>
  </conditionalFormatting>
  <conditionalFormatting sqref="AB15">
    <cfRule type="cellIs" dxfId="36253" priority="104361" stopIfTrue="1" operator="greaterThanOrEqual">
      <formula>0.5</formula>
    </cfRule>
  </conditionalFormatting>
  <conditionalFormatting sqref="AD8">
    <cfRule type="cellIs" dxfId="36252" priority="104362" stopIfTrue="1" operator="equal">
      <formula>-1</formula>
    </cfRule>
  </conditionalFormatting>
  <conditionalFormatting sqref="AD8">
    <cfRule type="cellIs" dxfId="36251" priority="104363" stopIfTrue="1" operator="lessThan">
      <formula>0.5</formula>
    </cfRule>
  </conditionalFormatting>
  <conditionalFormatting sqref="AD8">
    <cfRule type="cellIs" dxfId="36250" priority="104364" stopIfTrue="1" operator="greaterThanOrEqual">
      <formula>0.5</formula>
    </cfRule>
  </conditionalFormatting>
  <conditionalFormatting sqref="AD9">
    <cfRule type="cellIs" dxfId="36249" priority="104365" stopIfTrue="1" operator="equal">
      <formula>-1</formula>
    </cfRule>
  </conditionalFormatting>
  <conditionalFormatting sqref="AD9">
    <cfRule type="cellIs" dxfId="36248" priority="104366" stopIfTrue="1" operator="lessThan">
      <formula>0.5</formula>
    </cfRule>
  </conditionalFormatting>
  <conditionalFormatting sqref="AD9">
    <cfRule type="cellIs" dxfId="36247" priority="104367" stopIfTrue="1" operator="greaterThanOrEqual">
      <formula>0.5</formula>
    </cfRule>
  </conditionalFormatting>
  <conditionalFormatting sqref="AD10">
    <cfRule type="cellIs" dxfId="36246" priority="104368" stopIfTrue="1" operator="equal">
      <formula>-1</formula>
    </cfRule>
  </conditionalFormatting>
  <conditionalFormatting sqref="AD10">
    <cfRule type="cellIs" dxfId="36245" priority="104369" stopIfTrue="1" operator="lessThan">
      <formula>0.5</formula>
    </cfRule>
  </conditionalFormatting>
  <conditionalFormatting sqref="AD10">
    <cfRule type="cellIs" dxfId="36244" priority="104370" stopIfTrue="1" operator="greaterThanOrEqual">
      <formula>0.5</formula>
    </cfRule>
  </conditionalFormatting>
  <conditionalFormatting sqref="AD11">
    <cfRule type="cellIs" dxfId="36243" priority="104371" stopIfTrue="1" operator="equal">
      <formula>-1</formula>
    </cfRule>
  </conditionalFormatting>
  <conditionalFormatting sqref="AD11">
    <cfRule type="cellIs" dxfId="36242" priority="104372" stopIfTrue="1" operator="lessThan">
      <formula>0.5</formula>
    </cfRule>
  </conditionalFormatting>
  <conditionalFormatting sqref="AD11">
    <cfRule type="cellIs" dxfId="36241" priority="104373" stopIfTrue="1" operator="greaterThanOrEqual">
      <formula>0.5</formula>
    </cfRule>
  </conditionalFormatting>
  <conditionalFormatting sqref="AD12">
    <cfRule type="cellIs" dxfId="36240" priority="104374" stopIfTrue="1" operator="equal">
      <formula>-1</formula>
    </cfRule>
  </conditionalFormatting>
  <conditionalFormatting sqref="AD12">
    <cfRule type="cellIs" dxfId="36239" priority="104375" stopIfTrue="1" operator="lessThan">
      <formula>0.5</formula>
    </cfRule>
  </conditionalFormatting>
  <conditionalFormatting sqref="AD12">
    <cfRule type="cellIs" dxfId="36238" priority="104376" stopIfTrue="1" operator="greaterThanOrEqual">
      <formula>0.5</formula>
    </cfRule>
  </conditionalFormatting>
  <conditionalFormatting sqref="AD13">
    <cfRule type="cellIs" dxfId="36237" priority="104377" stopIfTrue="1" operator="equal">
      <formula>-1</formula>
    </cfRule>
  </conditionalFormatting>
  <conditionalFormatting sqref="AD13">
    <cfRule type="cellIs" dxfId="36236" priority="104378" stopIfTrue="1" operator="lessThan">
      <formula>0.5</formula>
    </cfRule>
  </conditionalFormatting>
  <conditionalFormatting sqref="AD13">
    <cfRule type="cellIs" dxfId="36235" priority="104379" stopIfTrue="1" operator="greaterThanOrEqual">
      <formula>0.5</formula>
    </cfRule>
  </conditionalFormatting>
  <conditionalFormatting sqref="AD14">
    <cfRule type="cellIs" dxfId="36234" priority="104380" stopIfTrue="1" operator="equal">
      <formula>-1</formula>
    </cfRule>
  </conditionalFormatting>
  <conditionalFormatting sqref="AD14">
    <cfRule type="cellIs" dxfId="36233" priority="104381" stopIfTrue="1" operator="lessThan">
      <formula>0.5</formula>
    </cfRule>
  </conditionalFormatting>
  <conditionalFormatting sqref="AD14">
    <cfRule type="cellIs" dxfId="36232" priority="104382" stopIfTrue="1" operator="greaterThanOrEqual">
      <formula>0.5</formula>
    </cfRule>
  </conditionalFormatting>
  <conditionalFormatting sqref="AD15">
    <cfRule type="cellIs" dxfId="36231" priority="104383" stopIfTrue="1" operator="equal">
      <formula>-1</formula>
    </cfRule>
  </conditionalFormatting>
  <conditionalFormatting sqref="AD15">
    <cfRule type="cellIs" dxfId="36230" priority="104384" stopIfTrue="1" operator="lessThan">
      <formula>0.5</formula>
    </cfRule>
  </conditionalFormatting>
  <conditionalFormatting sqref="AD15">
    <cfRule type="cellIs" dxfId="36229" priority="104385" stopIfTrue="1" operator="greaterThanOrEqual">
      <formula>0.5</formula>
    </cfRule>
  </conditionalFormatting>
  <conditionalFormatting sqref="AF8">
    <cfRule type="cellIs" dxfId="36228" priority="104386" stopIfTrue="1" operator="equal">
      <formula>-1</formula>
    </cfRule>
  </conditionalFormatting>
  <conditionalFormatting sqref="AF8">
    <cfRule type="cellIs" dxfId="36227" priority="104387" stopIfTrue="1" operator="lessThan">
      <formula>0.5</formula>
    </cfRule>
  </conditionalFormatting>
  <conditionalFormatting sqref="AF8">
    <cfRule type="cellIs" dxfId="36226" priority="104388" stopIfTrue="1" operator="greaterThanOrEqual">
      <formula>0.5</formula>
    </cfRule>
  </conditionalFormatting>
  <conditionalFormatting sqref="AF9">
    <cfRule type="cellIs" dxfId="36225" priority="104389" stopIfTrue="1" operator="equal">
      <formula>-1</formula>
    </cfRule>
  </conditionalFormatting>
  <conditionalFormatting sqref="AF9">
    <cfRule type="cellIs" dxfId="36224" priority="104390" stopIfTrue="1" operator="lessThan">
      <formula>0.5</formula>
    </cfRule>
  </conditionalFormatting>
  <conditionalFormatting sqref="AF9">
    <cfRule type="cellIs" dxfId="36223" priority="104391" stopIfTrue="1" operator="greaterThanOrEqual">
      <formula>0.5</formula>
    </cfRule>
  </conditionalFormatting>
  <conditionalFormatting sqref="AF10">
    <cfRule type="cellIs" dxfId="36222" priority="104392" stopIfTrue="1" operator="equal">
      <formula>-1</formula>
    </cfRule>
  </conditionalFormatting>
  <conditionalFormatting sqref="AF10">
    <cfRule type="cellIs" dxfId="36221" priority="104393" stopIfTrue="1" operator="lessThan">
      <formula>0.5</formula>
    </cfRule>
  </conditionalFormatting>
  <conditionalFormatting sqref="AF10">
    <cfRule type="cellIs" dxfId="36220" priority="104394" stopIfTrue="1" operator="greaterThanOrEqual">
      <formula>0.5</formula>
    </cfRule>
  </conditionalFormatting>
  <conditionalFormatting sqref="AF11">
    <cfRule type="cellIs" dxfId="36219" priority="104395" stopIfTrue="1" operator="equal">
      <formula>-1</formula>
    </cfRule>
  </conditionalFormatting>
  <conditionalFormatting sqref="AF11">
    <cfRule type="cellIs" dxfId="36218" priority="104396" stopIfTrue="1" operator="lessThan">
      <formula>0.5</formula>
    </cfRule>
  </conditionalFormatting>
  <conditionalFormatting sqref="AF11">
    <cfRule type="cellIs" dxfId="36217" priority="104397" stopIfTrue="1" operator="greaterThanOrEqual">
      <formula>0.5</formula>
    </cfRule>
  </conditionalFormatting>
  <conditionalFormatting sqref="AF12">
    <cfRule type="cellIs" dxfId="36216" priority="104398" stopIfTrue="1" operator="equal">
      <formula>-1</formula>
    </cfRule>
  </conditionalFormatting>
  <conditionalFormatting sqref="AF12">
    <cfRule type="cellIs" dxfId="36215" priority="104399" stopIfTrue="1" operator="lessThan">
      <formula>0.5</formula>
    </cfRule>
  </conditionalFormatting>
  <conditionalFormatting sqref="AF12">
    <cfRule type="cellIs" dxfId="36214" priority="104400" stopIfTrue="1" operator="greaterThanOrEqual">
      <formula>0.5</formula>
    </cfRule>
  </conditionalFormatting>
  <conditionalFormatting sqref="AF13">
    <cfRule type="cellIs" dxfId="36213" priority="104401" stopIfTrue="1" operator="equal">
      <formula>-1</formula>
    </cfRule>
  </conditionalFormatting>
  <conditionalFormatting sqref="AF13">
    <cfRule type="cellIs" dxfId="36212" priority="104402" stopIfTrue="1" operator="lessThan">
      <formula>0.5</formula>
    </cfRule>
  </conditionalFormatting>
  <conditionalFormatting sqref="AF13">
    <cfRule type="cellIs" dxfId="36211" priority="104403" stopIfTrue="1" operator="greaterThanOrEqual">
      <formula>0.5</formula>
    </cfRule>
  </conditionalFormatting>
  <conditionalFormatting sqref="AF14">
    <cfRule type="cellIs" dxfId="36210" priority="104404" stopIfTrue="1" operator="equal">
      <formula>-1</formula>
    </cfRule>
  </conditionalFormatting>
  <conditionalFormatting sqref="AF14">
    <cfRule type="cellIs" dxfId="36209" priority="104405" stopIfTrue="1" operator="lessThan">
      <formula>0.5</formula>
    </cfRule>
  </conditionalFormatting>
  <conditionalFormatting sqref="AF14">
    <cfRule type="cellIs" dxfId="36208" priority="104406" stopIfTrue="1" operator="greaterThanOrEqual">
      <formula>0.5</formula>
    </cfRule>
  </conditionalFormatting>
  <conditionalFormatting sqref="AF15">
    <cfRule type="cellIs" dxfId="36207" priority="104407" stopIfTrue="1" operator="equal">
      <formula>-1</formula>
    </cfRule>
  </conditionalFormatting>
  <conditionalFormatting sqref="AF15">
    <cfRule type="cellIs" dxfId="36206" priority="104408" stopIfTrue="1" operator="lessThan">
      <formula>0.5</formula>
    </cfRule>
  </conditionalFormatting>
  <conditionalFormatting sqref="AF15">
    <cfRule type="cellIs" dxfId="36205" priority="104409" stopIfTrue="1" operator="greaterThanOrEqual">
      <formula>0.5</formula>
    </cfRule>
  </conditionalFormatting>
  <conditionalFormatting sqref="AH8">
    <cfRule type="cellIs" dxfId="36204" priority="104410" stopIfTrue="1" operator="equal">
      <formula>-1</formula>
    </cfRule>
  </conditionalFormatting>
  <conditionalFormatting sqref="AH8">
    <cfRule type="cellIs" dxfId="36203" priority="104411" stopIfTrue="1" operator="lessThan">
      <formula>0.5</formula>
    </cfRule>
  </conditionalFormatting>
  <conditionalFormatting sqref="AH8">
    <cfRule type="cellIs" dxfId="36202" priority="104412" stopIfTrue="1" operator="greaterThanOrEqual">
      <formula>0.5</formula>
    </cfRule>
  </conditionalFormatting>
  <conditionalFormatting sqref="AH9">
    <cfRule type="cellIs" dxfId="36201" priority="104413" stopIfTrue="1" operator="equal">
      <formula>-1</formula>
    </cfRule>
  </conditionalFormatting>
  <conditionalFormatting sqref="AH9">
    <cfRule type="cellIs" dxfId="36200" priority="104414" stopIfTrue="1" operator="lessThan">
      <formula>0.5</formula>
    </cfRule>
  </conditionalFormatting>
  <conditionalFormatting sqref="AH9">
    <cfRule type="cellIs" dxfId="36199" priority="104415" stopIfTrue="1" operator="greaterThanOrEqual">
      <formula>0.5</formula>
    </cfRule>
  </conditionalFormatting>
  <conditionalFormatting sqref="AH10">
    <cfRule type="cellIs" dxfId="36198" priority="104416" stopIfTrue="1" operator="equal">
      <formula>-1</formula>
    </cfRule>
  </conditionalFormatting>
  <conditionalFormatting sqref="AH10">
    <cfRule type="cellIs" dxfId="36197" priority="104417" stopIfTrue="1" operator="lessThan">
      <formula>0.5</formula>
    </cfRule>
  </conditionalFormatting>
  <conditionalFormatting sqref="AH10">
    <cfRule type="cellIs" dxfId="36196" priority="104418" stopIfTrue="1" operator="greaterThanOrEqual">
      <formula>0.5</formula>
    </cfRule>
  </conditionalFormatting>
  <conditionalFormatting sqref="AH11">
    <cfRule type="cellIs" dxfId="36195" priority="104419" stopIfTrue="1" operator="equal">
      <formula>-1</formula>
    </cfRule>
  </conditionalFormatting>
  <conditionalFormatting sqref="AH11">
    <cfRule type="cellIs" dxfId="36194" priority="104420" stopIfTrue="1" operator="lessThan">
      <formula>0.5</formula>
    </cfRule>
  </conditionalFormatting>
  <conditionalFormatting sqref="AH11">
    <cfRule type="cellIs" dxfId="36193" priority="104421" stopIfTrue="1" operator="greaterThanOrEqual">
      <formula>0.5</formula>
    </cfRule>
  </conditionalFormatting>
  <conditionalFormatting sqref="AH12">
    <cfRule type="cellIs" dxfId="36192" priority="104422" stopIfTrue="1" operator="equal">
      <formula>-1</formula>
    </cfRule>
  </conditionalFormatting>
  <conditionalFormatting sqref="AH12">
    <cfRule type="cellIs" dxfId="36191" priority="104423" stopIfTrue="1" operator="lessThan">
      <formula>0.5</formula>
    </cfRule>
  </conditionalFormatting>
  <conditionalFormatting sqref="AH12">
    <cfRule type="cellIs" dxfId="36190" priority="104424" stopIfTrue="1" operator="greaterThanOrEqual">
      <formula>0.5</formula>
    </cfRule>
  </conditionalFormatting>
  <conditionalFormatting sqref="AH13">
    <cfRule type="cellIs" dxfId="36189" priority="104425" stopIfTrue="1" operator="equal">
      <formula>-1</formula>
    </cfRule>
  </conditionalFormatting>
  <conditionalFormatting sqref="AH13">
    <cfRule type="cellIs" dxfId="36188" priority="104426" stopIfTrue="1" operator="lessThan">
      <formula>0.5</formula>
    </cfRule>
  </conditionalFormatting>
  <conditionalFormatting sqref="AH13">
    <cfRule type="cellIs" dxfId="36187" priority="104427" stopIfTrue="1" operator="greaterThanOrEqual">
      <formula>0.5</formula>
    </cfRule>
  </conditionalFormatting>
  <conditionalFormatting sqref="AH14">
    <cfRule type="cellIs" dxfId="36186" priority="104428" stopIfTrue="1" operator="equal">
      <formula>-1</formula>
    </cfRule>
  </conditionalFormatting>
  <conditionalFormatting sqref="AH14">
    <cfRule type="cellIs" dxfId="36185" priority="104429" stopIfTrue="1" operator="lessThan">
      <formula>0.5</formula>
    </cfRule>
  </conditionalFormatting>
  <conditionalFormatting sqref="AH14">
    <cfRule type="cellIs" dxfId="36184" priority="104430" stopIfTrue="1" operator="greaterThanOrEqual">
      <formula>0.5</formula>
    </cfRule>
  </conditionalFormatting>
  <conditionalFormatting sqref="AH15">
    <cfRule type="cellIs" dxfId="36183" priority="104431" stopIfTrue="1" operator="equal">
      <formula>-1</formula>
    </cfRule>
  </conditionalFormatting>
  <conditionalFormatting sqref="AH15">
    <cfRule type="cellIs" dxfId="36182" priority="104432" stopIfTrue="1" operator="lessThan">
      <formula>0.5</formula>
    </cfRule>
  </conditionalFormatting>
  <conditionalFormatting sqref="AH15">
    <cfRule type="cellIs" dxfId="36181" priority="104433" stopIfTrue="1" operator="greaterThanOrEqual">
      <formula>0.5</formula>
    </cfRule>
  </conditionalFormatting>
  <conditionalFormatting sqref="AJ8">
    <cfRule type="cellIs" dxfId="36180" priority="104434" stopIfTrue="1" operator="equal">
      <formula>-1</formula>
    </cfRule>
  </conditionalFormatting>
  <conditionalFormatting sqref="AJ8">
    <cfRule type="cellIs" dxfId="36179" priority="104435" stopIfTrue="1" operator="lessThan">
      <formula>0.5</formula>
    </cfRule>
  </conditionalFormatting>
  <conditionalFormatting sqref="AJ8">
    <cfRule type="cellIs" dxfId="36178" priority="104436" stopIfTrue="1" operator="greaterThanOrEqual">
      <formula>0.5</formula>
    </cfRule>
  </conditionalFormatting>
  <conditionalFormatting sqref="AJ9">
    <cfRule type="cellIs" dxfId="36177" priority="104437" stopIfTrue="1" operator="equal">
      <formula>-1</formula>
    </cfRule>
  </conditionalFormatting>
  <conditionalFormatting sqref="AJ9">
    <cfRule type="cellIs" dxfId="36176" priority="104438" stopIfTrue="1" operator="lessThan">
      <formula>0.5</formula>
    </cfRule>
  </conditionalFormatting>
  <conditionalFormatting sqref="AJ9">
    <cfRule type="cellIs" dxfId="36175" priority="104439" stopIfTrue="1" operator="greaterThanOrEqual">
      <formula>0.5</formula>
    </cfRule>
  </conditionalFormatting>
  <conditionalFormatting sqref="AJ10">
    <cfRule type="cellIs" dxfId="36174" priority="104440" stopIfTrue="1" operator="equal">
      <formula>-1</formula>
    </cfRule>
  </conditionalFormatting>
  <conditionalFormatting sqref="AJ10">
    <cfRule type="cellIs" dxfId="36173" priority="104441" stopIfTrue="1" operator="lessThan">
      <formula>0.5</formula>
    </cfRule>
  </conditionalFormatting>
  <conditionalFormatting sqref="AJ10">
    <cfRule type="cellIs" dxfId="36172" priority="104442" stopIfTrue="1" operator="greaterThanOrEqual">
      <formula>0.5</formula>
    </cfRule>
  </conditionalFormatting>
  <conditionalFormatting sqref="AJ11">
    <cfRule type="cellIs" dxfId="36171" priority="104443" stopIfTrue="1" operator="equal">
      <formula>-1</formula>
    </cfRule>
  </conditionalFormatting>
  <conditionalFormatting sqref="AJ11">
    <cfRule type="cellIs" dxfId="36170" priority="104444" stopIfTrue="1" operator="lessThan">
      <formula>0.5</formula>
    </cfRule>
  </conditionalFormatting>
  <conditionalFormatting sqref="AJ11">
    <cfRule type="cellIs" dxfId="36169" priority="104445" stopIfTrue="1" operator="greaterThanOrEqual">
      <formula>0.5</formula>
    </cfRule>
  </conditionalFormatting>
  <conditionalFormatting sqref="AJ12">
    <cfRule type="cellIs" dxfId="36168" priority="104446" stopIfTrue="1" operator="equal">
      <formula>-1</formula>
    </cfRule>
  </conditionalFormatting>
  <conditionalFormatting sqref="AJ12">
    <cfRule type="cellIs" dxfId="36167" priority="104447" stopIfTrue="1" operator="lessThan">
      <formula>0.5</formula>
    </cfRule>
  </conditionalFormatting>
  <conditionalFormatting sqref="AJ12">
    <cfRule type="cellIs" dxfId="36166" priority="104448" stopIfTrue="1" operator="greaterThanOrEqual">
      <formula>0.5</formula>
    </cfRule>
  </conditionalFormatting>
  <conditionalFormatting sqref="AJ13">
    <cfRule type="cellIs" dxfId="36165" priority="104449" stopIfTrue="1" operator="equal">
      <formula>-1</formula>
    </cfRule>
  </conditionalFormatting>
  <conditionalFormatting sqref="AJ13">
    <cfRule type="cellIs" dxfId="36164" priority="104450" stopIfTrue="1" operator="lessThan">
      <formula>0.5</formula>
    </cfRule>
  </conditionalFormatting>
  <conditionalFormatting sqref="AJ13">
    <cfRule type="cellIs" dxfId="36163" priority="104451" stopIfTrue="1" operator="greaterThanOrEqual">
      <formula>0.5</formula>
    </cfRule>
  </conditionalFormatting>
  <conditionalFormatting sqref="AJ14">
    <cfRule type="cellIs" dxfId="36162" priority="104452" stopIfTrue="1" operator="equal">
      <formula>-1</formula>
    </cfRule>
  </conditionalFormatting>
  <conditionalFormatting sqref="AJ14">
    <cfRule type="cellIs" dxfId="36161" priority="104453" stopIfTrue="1" operator="lessThan">
      <formula>0.5</formula>
    </cfRule>
  </conditionalFormatting>
  <conditionalFormatting sqref="AJ14">
    <cfRule type="cellIs" dxfId="36160" priority="104454" stopIfTrue="1" operator="greaterThanOrEqual">
      <formula>0.5</formula>
    </cfRule>
  </conditionalFormatting>
  <conditionalFormatting sqref="AJ15">
    <cfRule type="cellIs" dxfId="36159" priority="104455" stopIfTrue="1" operator="equal">
      <formula>-1</formula>
    </cfRule>
  </conditionalFormatting>
  <conditionalFormatting sqref="AJ15">
    <cfRule type="cellIs" dxfId="36158" priority="104456" stopIfTrue="1" operator="lessThan">
      <formula>0.5</formula>
    </cfRule>
  </conditionalFormatting>
  <conditionalFormatting sqref="AJ15">
    <cfRule type="cellIs" dxfId="36157" priority="104457" stopIfTrue="1" operator="greaterThanOrEqual">
      <formula>0.5</formula>
    </cfRule>
  </conditionalFormatting>
  <conditionalFormatting sqref="AL8">
    <cfRule type="cellIs" dxfId="36156" priority="104458" stopIfTrue="1" operator="equal">
      <formula>-1</formula>
    </cfRule>
  </conditionalFormatting>
  <conditionalFormatting sqref="AL8">
    <cfRule type="cellIs" dxfId="36155" priority="104459" stopIfTrue="1" operator="lessThan">
      <formula>0.5</formula>
    </cfRule>
  </conditionalFormatting>
  <conditionalFormatting sqref="AL8">
    <cfRule type="cellIs" dxfId="36154" priority="104460" stopIfTrue="1" operator="greaterThanOrEqual">
      <formula>0.5</formula>
    </cfRule>
  </conditionalFormatting>
  <conditionalFormatting sqref="AL9">
    <cfRule type="cellIs" dxfId="36153" priority="104461" stopIfTrue="1" operator="equal">
      <formula>-1</formula>
    </cfRule>
  </conditionalFormatting>
  <conditionalFormatting sqref="AL9">
    <cfRule type="cellIs" dxfId="36152" priority="104462" stopIfTrue="1" operator="lessThan">
      <formula>0.5</formula>
    </cfRule>
  </conditionalFormatting>
  <conditionalFormatting sqref="AL9">
    <cfRule type="cellIs" dxfId="36151" priority="104463" stopIfTrue="1" operator="greaterThanOrEqual">
      <formula>0.5</formula>
    </cfRule>
  </conditionalFormatting>
  <conditionalFormatting sqref="AL10">
    <cfRule type="cellIs" dxfId="36150" priority="104464" stopIfTrue="1" operator="equal">
      <formula>-1</formula>
    </cfRule>
  </conditionalFormatting>
  <conditionalFormatting sqref="AL10">
    <cfRule type="cellIs" dxfId="36149" priority="104465" stopIfTrue="1" operator="lessThan">
      <formula>0.5</formula>
    </cfRule>
  </conditionalFormatting>
  <conditionalFormatting sqref="AL10">
    <cfRule type="cellIs" dxfId="36148" priority="104466" stopIfTrue="1" operator="greaterThanOrEqual">
      <formula>0.5</formula>
    </cfRule>
  </conditionalFormatting>
  <conditionalFormatting sqref="AL11">
    <cfRule type="cellIs" dxfId="36147" priority="104467" stopIfTrue="1" operator="equal">
      <formula>-1</formula>
    </cfRule>
  </conditionalFormatting>
  <conditionalFormatting sqref="AL11">
    <cfRule type="cellIs" dxfId="36146" priority="104468" stopIfTrue="1" operator="lessThan">
      <formula>0.5</formula>
    </cfRule>
  </conditionalFormatting>
  <conditionalFormatting sqref="AL11">
    <cfRule type="cellIs" dxfId="36145" priority="104469" stopIfTrue="1" operator="greaterThanOrEqual">
      <formula>0.5</formula>
    </cfRule>
  </conditionalFormatting>
  <conditionalFormatting sqref="AL12">
    <cfRule type="cellIs" dxfId="36144" priority="104470" stopIfTrue="1" operator="equal">
      <formula>-1</formula>
    </cfRule>
  </conditionalFormatting>
  <conditionalFormatting sqref="AL12">
    <cfRule type="cellIs" dxfId="36143" priority="104471" stopIfTrue="1" operator="lessThan">
      <formula>0.5</formula>
    </cfRule>
  </conditionalFormatting>
  <conditionalFormatting sqref="AL12">
    <cfRule type="cellIs" dxfId="36142" priority="104472" stopIfTrue="1" operator="greaterThanOrEqual">
      <formula>0.5</formula>
    </cfRule>
  </conditionalFormatting>
  <conditionalFormatting sqref="AL13">
    <cfRule type="cellIs" dxfId="36141" priority="104473" stopIfTrue="1" operator="equal">
      <formula>-1</formula>
    </cfRule>
  </conditionalFormatting>
  <conditionalFormatting sqref="AL13">
    <cfRule type="cellIs" dxfId="36140" priority="104474" stopIfTrue="1" operator="lessThan">
      <formula>0.5</formula>
    </cfRule>
  </conditionalFormatting>
  <conditionalFormatting sqref="AL13">
    <cfRule type="cellIs" dxfId="36139" priority="104475" stopIfTrue="1" operator="greaterThanOrEqual">
      <formula>0.5</formula>
    </cfRule>
  </conditionalFormatting>
  <conditionalFormatting sqref="AL14">
    <cfRule type="cellIs" dxfId="36138" priority="104476" stopIfTrue="1" operator="equal">
      <formula>-1</formula>
    </cfRule>
  </conditionalFormatting>
  <conditionalFormatting sqref="AL14">
    <cfRule type="cellIs" dxfId="36137" priority="104477" stopIfTrue="1" operator="lessThan">
      <formula>0.5</formula>
    </cfRule>
  </conditionalFormatting>
  <conditionalFormatting sqref="AL14">
    <cfRule type="cellIs" dxfId="36136" priority="104478" stopIfTrue="1" operator="greaterThanOrEqual">
      <formula>0.5</formula>
    </cfRule>
  </conditionalFormatting>
  <conditionalFormatting sqref="AL15">
    <cfRule type="cellIs" dxfId="36135" priority="104479" stopIfTrue="1" operator="equal">
      <formula>-1</formula>
    </cfRule>
  </conditionalFormatting>
  <conditionalFormatting sqref="AL15">
    <cfRule type="cellIs" dxfId="36134" priority="104480" stopIfTrue="1" operator="lessThan">
      <formula>0.5</formula>
    </cfRule>
  </conditionalFormatting>
  <conditionalFormatting sqref="AL15">
    <cfRule type="cellIs" dxfId="36133" priority="104481" stopIfTrue="1" operator="greaterThanOrEqual">
      <formula>0.5</formula>
    </cfRule>
  </conditionalFormatting>
  <conditionalFormatting sqref="AN8">
    <cfRule type="cellIs" dxfId="36132" priority="104482" stopIfTrue="1" operator="equal">
      <formula>-1</formula>
    </cfRule>
  </conditionalFormatting>
  <conditionalFormatting sqref="AN8">
    <cfRule type="cellIs" dxfId="36131" priority="104483" stopIfTrue="1" operator="lessThan">
      <formula>0.5</formula>
    </cfRule>
  </conditionalFormatting>
  <conditionalFormatting sqref="AN8">
    <cfRule type="cellIs" dxfId="36130" priority="104484" stopIfTrue="1" operator="greaterThanOrEqual">
      <formula>0.5</formula>
    </cfRule>
  </conditionalFormatting>
  <conditionalFormatting sqref="AN9">
    <cfRule type="cellIs" dxfId="36129" priority="104485" stopIfTrue="1" operator="equal">
      <formula>-1</formula>
    </cfRule>
  </conditionalFormatting>
  <conditionalFormatting sqref="AN9">
    <cfRule type="cellIs" dxfId="36128" priority="104486" stopIfTrue="1" operator="lessThan">
      <formula>0.5</formula>
    </cfRule>
  </conditionalFormatting>
  <conditionalFormatting sqref="AN9">
    <cfRule type="cellIs" dxfId="36127" priority="104487" stopIfTrue="1" operator="greaterThanOrEqual">
      <formula>0.5</formula>
    </cfRule>
  </conditionalFormatting>
  <conditionalFormatting sqref="AN10">
    <cfRule type="cellIs" dxfId="36126" priority="104488" stopIfTrue="1" operator="equal">
      <formula>-1</formula>
    </cfRule>
  </conditionalFormatting>
  <conditionalFormatting sqref="AN10">
    <cfRule type="cellIs" dxfId="36125" priority="104489" stopIfTrue="1" operator="lessThan">
      <formula>0.5</formula>
    </cfRule>
  </conditionalFormatting>
  <conditionalFormatting sqref="AN10">
    <cfRule type="cellIs" dxfId="36124" priority="104490" stopIfTrue="1" operator="greaterThanOrEqual">
      <formula>0.5</formula>
    </cfRule>
  </conditionalFormatting>
  <conditionalFormatting sqref="AN11">
    <cfRule type="cellIs" dxfId="36123" priority="104491" stopIfTrue="1" operator="equal">
      <formula>-1</formula>
    </cfRule>
  </conditionalFormatting>
  <conditionalFormatting sqref="AN11">
    <cfRule type="cellIs" dxfId="36122" priority="104492" stopIfTrue="1" operator="lessThan">
      <formula>0.5</formula>
    </cfRule>
  </conditionalFormatting>
  <conditionalFormatting sqref="AN11">
    <cfRule type="cellIs" dxfId="36121" priority="104493" stopIfTrue="1" operator="greaterThanOrEqual">
      <formula>0.5</formula>
    </cfRule>
  </conditionalFormatting>
  <conditionalFormatting sqref="AN12">
    <cfRule type="cellIs" dxfId="36120" priority="104494" stopIfTrue="1" operator="equal">
      <formula>-1</formula>
    </cfRule>
  </conditionalFormatting>
  <conditionalFormatting sqref="AN12">
    <cfRule type="cellIs" dxfId="36119" priority="104495" stopIfTrue="1" operator="lessThan">
      <formula>0.5</formula>
    </cfRule>
  </conditionalFormatting>
  <conditionalFormatting sqref="AN12">
    <cfRule type="cellIs" dxfId="36118" priority="104496" stopIfTrue="1" operator="greaterThanOrEqual">
      <formula>0.5</formula>
    </cfRule>
  </conditionalFormatting>
  <conditionalFormatting sqref="AN13">
    <cfRule type="cellIs" dxfId="36117" priority="104497" stopIfTrue="1" operator="equal">
      <formula>-1</formula>
    </cfRule>
  </conditionalFormatting>
  <conditionalFormatting sqref="AN13">
    <cfRule type="cellIs" dxfId="36116" priority="104498" stopIfTrue="1" operator="lessThan">
      <formula>0.5</formula>
    </cfRule>
  </conditionalFormatting>
  <conditionalFormatting sqref="AN13">
    <cfRule type="cellIs" dxfId="36115" priority="104499" stopIfTrue="1" operator="greaterThanOrEqual">
      <formula>0.5</formula>
    </cfRule>
  </conditionalFormatting>
  <conditionalFormatting sqref="AN14">
    <cfRule type="cellIs" dxfId="36114" priority="104500" stopIfTrue="1" operator="equal">
      <formula>-1</formula>
    </cfRule>
  </conditionalFormatting>
  <conditionalFormatting sqref="AN14">
    <cfRule type="cellIs" dxfId="36113" priority="104501" stopIfTrue="1" operator="lessThan">
      <formula>0.5</formula>
    </cfRule>
  </conditionalFormatting>
  <conditionalFormatting sqref="AN14">
    <cfRule type="cellIs" dxfId="36112" priority="104502" stopIfTrue="1" operator="greaterThanOrEqual">
      <formula>0.5</formula>
    </cfRule>
  </conditionalFormatting>
  <conditionalFormatting sqref="AN15">
    <cfRule type="cellIs" dxfId="36111" priority="104503" stopIfTrue="1" operator="equal">
      <formula>-1</formula>
    </cfRule>
  </conditionalFormatting>
  <conditionalFormatting sqref="AN15">
    <cfRule type="cellIs" dxfId="36110" priority="104504" stopIfTrue="1" operator="lessThan">
      <formula>0.5</formula>
    </cfRule>
  </conditionalFormatting>
  <conditionalFormatting sqref="AN15">
    <cfRule type="cellIs" dxfId="36109" priority="104505" stopIfTrue="1" operator="greaterThanOrEqual">
      <formula>0.5</formula>
    </cfRule>
  </conditionalFormatting>
  <conditionalFormatting sqref="AP8">
    <cfRule type="cellIs" dxfId="36108" priority="104506" stopIfTrue="1" operator="equal">
      <formula>-1</formula>
    </cfRule>
  </conditionalFormatting>
  <conditionalFormatting sqref="AP8">
    <cfRule type="cellIs" dxfId="36107" priority="104507" stopIfTrue="1" operator="lessThan">
      <formula>0.5</formula>
    </cfRule>
  </conditionalFormatting>
  <conditionalFormatting sqref="AP8">
    <cfRule type="cellIs" dxfId="36106" priority="104508" stopIfTrue="1" operator="greaterThanOrEqual">
      <formula>0.5</formula>
    </cfRule>
  </conditionalFormatting>
  <conditionalFormatting sqref="AP9">
    <cfRule type="cellIs" dxfId="36105" priority="104509" stopIfTrue="1" operator="equal">
      <formula>-1</formula>
    </cfRule>
  </conditionalFormatting>
  <conditionalFormatting sqref="AP9">
    <cfRule type="cellIs" dxfId="36104" priority="104510" stopIfTrue="1" operator="lessThan">
      <formula>0.5</formula>
    </cfRule>
  </conditionalFormatting>
  <conditionalFormatting sqref="AP9">
    <cfRule type="cellIs" dxfId="36103" priority="104511" stopIfTrue="1" operator="greaterThanOrEqual">
      <formula>0.5</formula>
    </cfRule>
  </conditionalFormatting>
  <conditionalFormatting sqref="AP10">
    <cfRule type="cellIs" dxfId="36102" priority="104512" stopIfTrue="1" operator="equal">
      <formula>-1</formula>
    </cfRule>
  </conditionalFormatting>
  <conditionalFormatting sqref="AP10">
    <cfRule type="cellIs" dxfId="36101" priority="104513" stopIfTrue="1" operator="lessThan">
      <formula>0.5</formula>
    </cfRule>
  </conditionalFormatting>
  <conditionalFormatting sqref="AP10">
    <cfRule type="cellIs" dxfId="36100" priority="104514" stopIfTrue="1" operator="greaterThanOrEqual">
      <formula>0.5</formula>
    </cfRule>
  </conditionalFormatting>
  <conditionalFormatting sqref="AP11">
    <cfRule type="cellIs" dxfId="36099" priority="104515" stopIfTrue="1" operator="equal">
      <formula>-1</formula>
    </cfRule>
  </conditionalFormatting>
  <conditionalFormatting sqref="AP11">
    <cfRule type="cellIs" dxfId="36098" priority="104516" stopIfTrue="1" operator="lessThan">
      <formula>0.5</formula>
    </cfRule>
  </conditionalFormatting>
  <conditionalFormatting sqref="AP11">
    <cfRule type="cellIs" dxfId="36097" priority="104517" stopIfTrue="1" operator="greaterThanOrEqual">
      <formula>0.5</formula>
    </cfRule>
  </conditionalFormatting>
  <conditionalFormatting sqref="AP12">
    <cfRule type="cellIs" dxfId="36096" priority="104518" stopIfTrue="1" operator="equal">
      <formula>-1</formula>
    </cfRule>
  </conditionalFormatting>
  <conditionalFormatting sqref="AP12">
    <cfRule type="cellIs" dxfId="36095" priority="104519" stopIfTrue="1" operator="lessThan">
      <formula>0.5</formula>
    </cfRule>
  </conditionalFormatting>
  <conditionalFormatting sqref="AP12">
    <cfRule type="cellIs" dxfId="36094" priority="104520" stopIfTrue="1" operator="greaterThanOrEqual">
      <formula>0.5</formula>
    </cfRule>
  </conditionalFormatting>
  <conditionalFormatting sqref="AP13">
    <cfRule type="cellIs" dxfId="36093" priority="104521" stopIfTrue="1" operator="equal">
      <formula>-1</formula>
    </cfRule>
  </conditionalFormatting>
  <conditionalFormatting sqref="AP13">
    <cfRule type="cellIs" dxfId="36092" priority="104522" stopIfTrue="1" operator="lessThan">
      <formula>0.5</formula>
    </cfRule>
  </conditionalFormatting>
  <conditionalFormatting sqref="AP13">
    <cfRule type="cellIs" dxfId="36091" priority="104523" stopIfTrue="1" operator="greaterThanOrEqual">
      <formula>0.5</formula>
    </cfRule>
  </conditionalFormatting>
  <conditionalFormatting sqref="AP14">
    <cfRule type="cellIs" dxfId="36090" priority="104524" stopIfTrue="1" operator="equal">
      <formula>-1</formula>
    </cfRule>
  </conditionalFormatting>
  <conditionalFormatting sqref="AP14">
    <cfRule type="cellIs" dxfId="36089" priority="104525" stopIfTrue="1" operator="lessThan">
      <formula>0.5</formula>
    </cfRule>
  </conditionalFormatting>
  <conditionalFormatting sqref="AP14">
    <cfRule type="cellIs" dxfId="36088" priority="104526" stopIfTrue="1" operator="greaterThanOrEqual">
      <formula>0.5</formula>
    </cfRule>
  </conditionalFormatting>
  <conditionalFormatting sqref="AP15">
    <cfRule type="cellIs" dxfId="36087" priority="104527" stopIfTrue="1" operator="equal">
      <formula>-1</formula>
    </cfRule>
  </conditionalFormatting>
  <conditionalFormatting sqref="AP15">
    <cfRule type="cellIs" dxfId="36086" priority="104528" stopIfTrue="1" operator="lessThan">
      <formula>0.5</formula>
    </cfRule>
  </conditionalFormatting>
  <conditionalFormatting sqref="AP15">
    <cfRule type="cellIs" dxfId="36085" priority="104529" stopIfTrue="1" operator="greaterThanOrEqual">
      <formula>0.5</formula>
    </cfRule>
  </conditionalFormatting>
  <conditionalFormatting sqref="AR8">
    <cfRule type="cellIs" dxfId="36084" priority="104530" stopIfTrue="1" operator="equal">
      <formula>-1</formula>
    </cfRule>
  </conditionalFormatting>
  <conditionalFormatting sqref="AR8">
    <cfRule type="cellIs" dxfId="36083" priority="104531" stopIfTrue="1" operator="lessThan">
      <formula>0.5</formula>
    </cfRule>
  </conditionalFormatting>
  <conditionalFormatting sqref="AR8">
    <cfRule type="cellIs" dxfId="36082" priority="104532" stopIfTrue="1" operator="greaterThanOrEqual">
      <formula>0.5</formula>
    </cfRule>
  </conditionalFormatting>
  <conditionalFormatting sqref="AR9">
    <cfRule type="cellIs" dxfId="36081" priority="104533" stopIfTrue="1" operator="equal">
      <formula>-1</formula>
    </cfRule>
  </conditionalFormatting>
  <conditionalFormatting sqref="AR9">
    <cfRule type="cellIs" dxfId="36080" priority="104534" stopIfTrue="1" operator="lessThan">
      <formula>0.5</formula>
    </cfRule>
  </conditionalFormatting>
  <conditionalFormatting sqref="AR9">
    <cfRule type="cellIs" dxfId="36079" priority="104535" stopIfTrue="1" operator="greaterThanOrEqual">
      <formula>0.5</formula>
    </cfRule>
  </conditionalFormatting>
  <conditionalFormatting sqref="AR10">
    <cfRule type="cellIs" dxfId="36078" priority="104536" stopIfTrue="1" operator="equal">
      <formula>-1</formula>
    </cfRule>
  </conditionalFormatting>
  <conditionalFormatting sqref="AR10">
    <cfRule type="cellIs" dxfId="36077" priority="104537" stopIfTrue="1" operator="lessThan">
      <formula>0.5</formula>
    </cfRule>
  </conditionalFormatting>
  <conditionalFormatting sqref="AR10">
    <cfRule type="cellIs" dxfId="36076" priority="104538" stopIfTrue="1" operator="greaterThanOrEqual">
      <formula>0.5</formula>
    </cfRule>
  </conditionalFormatting>
  <conditionalFormatting sqref="AR11">
    <cfRule type="cellIs" dxfId="36075" priority="104539" stopIfTrue="1" operator="equal">
      <formula>-1</formula>
    </cfRule>
  </conditionalFormatting>
  <conditionalFormatting sqref="AR11">
    <cfRule type="cellIs" dxfId="36074" priority="104540" stopIfTrue="1" operator="lessThan">
      <formula>0.5</formula>
    </cfRule>
  </conditionalFormatting>
  <conditionalFormatting sqref="AR11">
    <cfRule type="cellIs" dxfId="36073" priority="104541" stopIfTrue="1" operator="greaterThanOrEqual">
      <formula>0.5</formula>
    </cfRule>
  </conditionalFormatting>
  <conditionalFormatting sqref="AR12">
    <cfRule type="cellIs" dxfId="36072" priority="104542" stopIfTrue="1" operator="equal">
      <formula>-1</formula>
    </cfRule>
  </conditionalFormatting>
  <conditionalFormatting sqref="AR12">
    <cfRule type="cellIs" dxfId="36071" priority="104543" stopIfTrue="1" operator="lessThan">
      <formula>0.5</formula>
    </cfRule>
  </conditionalFormatting>
  <conditionalFormatting sqref="AR12">
    <cfRule type="cellIs" dxfId="36070" priority="104544" stopIfTrue="1" operator="greaterThanOrEqual">
      <formula>0.5</formula>
    </cfRule>
  </conditionalFormatting>
  <conditionalFormatting sqref="AR13">
    <cfRule type="cellIs" dxfId="36069" priority="104545" stopIfTrue="1" operator="equal">
      <formula>-1</formula>
    </cfRule>
  </conditionalFormatting>
  <conditionalFormatting sqref="AR13">
    <cfRule type="cellIs" dxfId="36068" priority="104546" stopIfTrue="1" operator="lessThan">
      <formula>0.5</formula>
    </cfRule>
  </conditionalFormatting>
  <conditionalFormatting sqref="AR13">
    <cfRule type="cellIs" dxfId="36067" priority="104547" stopIfTrue="1" operator="greaterThanOrEqual">
      <formula>0.5</formula>
    </cfRule>
  </conditionalFormatting>
  <conditionalFormatting sqref="AR14">
    <cfRule type="cellIs" dxfId="36066" priority="104548" stopIfTrue="1" operator="equal">
      <formula>-1</formula>
    </cfRule>
  </conditionalFormatting>
  <conditionalFormatting sqref="AR14">
    <cfRule type="cellIs" dxfId="36065" priority="104549" stopIfTrue="1" operator="lessThan">
      <formula>0.5</formula>
    </cfRule>
  </conditionalFormatting>
  <conditionalFormatting sqref="AR14">
    <cfRule type="cellIs" dxfId="36064" priority="104550" stopIfTrue="1" operator="greaterThanOrEqual">
      <formula>0.5</formula>
    </cfRule>
  </conditionalFormatting>
  <conditionalFormatting sqref="AR15">
    <cfRule type="cellIs" dxfId="36063" priority="104551" stopIfTrue="1" operator="equal">
      <formula>-1</formula>
    </cfRule>
  </conditionalFormatting>
  <conditionalFormatting sqref="AR15">
    <cfRule type="cellIs" dxfId="36062" priority="104552" stopIfTrue="1" operator="lessThan">
      <formula>0.5</formula>
    </cfRule>
  </conditionalFormatting>
  <conditionalFormatting sqref="AR15">
    <cfRule type="cellIs" dxfId="36061" priority="104553" stopIfTrue="1" operator="greaterThanOrEqual">
      <formula>0.5</formula>
    </cfRule>
  </conditionalFormatting>
  <conditionalFormatting sqref="AT8">
    <cfRule type="cellIs" dxfId="36060" priority="104554" stopIfTrue="1" operator="equal">
      <formula>-1</formula>
    </cfRule>
  </conditionalFormatting>
  <conditionalFormatting sqref="AT8">
    <cfRule type="cellIs" dxfId="36059" priority="104555" stopIfTrue="1" operator="lessThan">
      <formula>0.5</formula>
    </cfRule>
  </conditionalFormatting>
  <conditionalFormatting sqref="AT8">
    <cfRule type="cellIs" dxfId="36058" priority="104556" stopIfTrue="1" operator="greaterThanOrEqual">
      <formula>0.5</formula>
    </cfRule>
  </conditionalFormatting>
  <conditionalFormatting sqref="AT9">
    <cfRule type="cellIs" dxfId="36057" priority="104557" stopIfTrue="1" operator="equal">
      <formula>-1</formula>
    </cfRule>
  </conditionalFormatting>
  <conditionalFormatting sqref="AT9">
    <cfRule type="cellIs" dxfId="36056" priority="104558" stopIfTrue="1" operator="lessThan">
      <formula>0.5</formula>
    </cfRule>
  </conditionalFormatting>
  <conditionalFormatting sqref="AT9">
    <cfRule type="cellIs" dxfId="36055" priority="104559" stopIfTrue="1" operator="greaterThanOrEqual">
      <formula>0.5</formula>
    </cfRule>
  </conditionalFormatting>
  <conditionalFormatting sqref="AT10">
    <cfRule type="cellIs" dxfId="36054" priority="104560" stopIfTrue="1" operator="equal">
      <formula>-1</formula>
    </cfRule>
  </conditionalFormatting>
  <conditionalFormatting sqref="AT10">
    <cfRule type="cellIs" dxfId="36053" priority="104561" stopIfTrue="1" operator="lessThan">
      <formula>0.5</formula>
    </cfRule>
  </conditionalFormatting>
  <conditionalFormatting sqref="AT10">
    <cfRule type="cellIs" dxfId="36052" priority="104562" stopIfTrue="1" operator="greaterThanOrEqual">
      <formula>0.5</formula>
    </cfRule>
  </conditionalFormatting>
  <conditionalFormatting sqref="AT11">
    <cfRule type="cellIs" dxfId="36051" priority="104563" stopIfTrue="1" operator="equal">
      <formula>-1</formula>
    </cfRule>
  </conditionalFormatting>
  <conditionalFormatting sqref="AT11">
    <cfRule type="cellIs" dxfId="36050" priority="104564" stopIfTrue="1" operator="lessThan">
      <formula>0.5</formula>
    </cfRule>
  </conditionalFormatting>
  <conditionalFormatting sqref="AT11">
    <cfRule type="cellIs" dxfId="36049" priority="104565" stopIfTrue="1" operator="greaterThanOrEqual">
      <formula>0.5</formula>
    </cfRule>
  </conditionalFormatting>
  <conditionalFormatting sqref="AT12">
    <cfRule type="cellIs" dxfId="36048" priority="104566" stopIfTrue="1" operator="equal">
      <formula>-1</formula>
    </cfRule>
  </conditionalFormatting>
  <conditionalFormatting sqref="AT12">
    <cfRule type="cellIs" dxfId="36047" priority="104567" stopIfTrue="1" operator="lessThan">
      <formula>0.5</formula>
    </cfRule>
  </conditionalFormatting>
  <conditionalFormatting sqref="AT12">
    <cfRule type="cellIs" dxfId="36046" priority="104568" stopIfTrue="1" operator="greaterThanOrEqual">
      <formula>0.5</formula>
    </cfRule>
  </conditionalFormatting>
  <conditionalFormatting sqref="AT13">
    <cfRule type="cellIs" dxfId="36045" priority="104569" stopIfTrue="1" operator="equal">
      <formula>-1</formula>
    </cfRule>
  </conditionalFormatting>
  <conditionalFormatting sqref="AT13">
    <cfRule type="cellIs" dxfId="36044" priority="104570" stopIfTrue="1" operator="lessThan">
      <formula>0.5</formula>
    </cfRule>
  </conditionalFormatting>
  <conditionalFormatting sqref="AT13">
    <cfRule type="cellIs" dxfId="36043" priority="104571" stopIfTrue="1" operator="greaterThanOrEqual">
      <formula>0.5</formula>
    </cfRule>
  </conditionalFormatting>
  <conditionalFormatting sqref="AT14">
    <cfRule type="cellIs" dxfId="36042" priority="104572" stopIfTrue="1" operator="equal">
      <formula>-1</formula>
    </cfRule>
  </conditionalFormatting>
  <conditionalFormatting sqref="AT14">
    <cfRule type="cellIs" dxfId="36041" priority="104573" stopIfTrue="1" operator="lessThan">
      <formula>0.5</formula>
    </cfRule>
  </conditionalFormatting>
  <conditionalFormatting sqref="AT14">
    <cfRule type="cellIs" dxfId="36040" priority="104574" stopIfTrue="1" operator="greaterThanOrEqual">
      <formula>0.5</formula>
    </cfRule>
  </conditionalFormatting>
  <conditionalFormatting sqref="AT15">
    <cfRule type="cellIs" dxfId="36039" priority="104575" stopIfTrue="1" operator="equal">
      <formula>-1</formula>
    </cfRule>
  </conditionalFormatting>
  <conditionalFormatting sqref="AT15">
    <cfRule type="cellIs" dxfId="36038" priority="104576" stopIfTrue="1" operator="lessThan">
      <formula>0.5</formula>
    </cfRule>
  </conditionalFormatting>
  <conditionalFormatting sqref="AT15">
    <cfRule type="cellIs" dxfId="36037" priority="104577" stopIfTrue="1" operator="greaterThanOrEqual">
      <formula>0.5</formula>
    </cfRule>
  </conditionalFormatting>
  <conditionalFormatting sqref="AV8">
    <cfRule type="cellIs" dxfId="36036" priority="104578" stopIfTrue="1" operator="equal">
      <formula>-1</formula>
    </cfRule>
  </conditionalFormatting>
  <conditionalFormatting sqref="AV8">
    <cfRule type="cellIs" dxfId="36035" priority="104579" stopIfTrue="1" operator="lessThan">
      <formula>0.5</formula>
    </cfRule>
  </conditionalFormatting>
  <conditionalFormatting sqref="AV8">
    <cfRule type="cellIs" dxfId="36034" priority="104580" stopIfTrue="1" operator="greaterThanOrEqual">
      <formula>0.5</formula>
    </cfRule>
  </conditionalFormatting>
  <conditionalFormatting sqref="AV9">
    <cfRule type="cellIs" dxfId="36033" priority="104581" stopIfTrue="1" operator="equal">
      <formula>-1</formula>
    </cfRule>
  </conditionalFormatting>
  <conditionalFormatting sqref="AV9">
    <cfRule type="cellIs" dxfId="36032" priority="104582" stopIfTrue="1" operator="lessThan">
      <formula>0.5</formula>
    </cfRule>
  </conditionalFormatting>
  <conditionalFormatting sqref="AV9">
    <cfRule type="cellIs" dxfId="36031" priority="104583" stopIfTrue="1" operator="greaterThanOrEqual">
      <formula>0.5</formula>
    </cfRule>
  </conditionalFormatting>
  <conditionalFormatting sqref="AV10">
    <cfRule type="cellIs" dxfId="36030" priority="104584" stopIfTrue="1" operator="equal">
      <formula>-1</formula>
    </cfRule>
  </conditionalFormatting>
  <conditionalFormatting sqref="AV10">
    <cfRule type="cellIs" dxfId="36029" priority="104585" stopIfTrue="1" operator="lessThan">
      <formula>0.5</formula>
    </cfRule>
  </conditionalFormatting>
  <conditionalFormatting sqref="AV10">
    <cfRule type="cellIs" dxfId="36028" priority="104586" stopIfTrue="1" operator="greaterThanOrEqual">
      <formula>0.5</formula>
    </cfRule>
  </conditionalFormatting>
  <conditionalFormatting sqref="AV11">
    <cfRule type="cellIs" dxfId="36027" priority="104587" stopIfTrue="1" operator="equal">
      <formula>-1</formula>
    </cfRule>
  </conditionalFormatting>
  <conditionalFormatting sqref="AV11">
    <cfRule type="cellIs" dxfId="36026" priority="104588" stopIfTrue="1" operator="lessThan">
      <formula>0.5</formula>
    </cfRule>
  </conditionalFormatting>
  <conditionalFormatting sqref="AV11">
    <cfRule type="cellIs" dxfId="36025" priority="104589" stopIfTrue="1" operator="greaterThanOrEqual">
      <formula>0.5</formula>
    </cfRule>
  </conditionalFormatting>
  <conditionalFormatting sqref="AV12">
    <cfRule type="cellIs" dxfId="36024" priority="104590" stopIfTrue="1" operator="equal">
      <formula>-1</formula>
    </cfRule>
  </conditionalFormatting>
  <conditionalFormatting sqref="AV12">
    <cfRule type="cellIs" dxfId="36023" priority="104591" stopIfTrue="1" operator="lessThan">
      <formula>0.5</formula>
    </cfRule>
  </conditionalFormatting>
  <conditionalFormatting sqref="AV12">
    <cfRule type="cellIs" dxfId="36022" priority="104592" stopIfTrue="1" operator="greaterThanOrEqual">
      <formula>0.5</formula>
    </cfRule>
  </conditionalFormatting>
  <conditionalFormatting sqref="AV13">
    <cfRule type="cellIs" dxfId="36021" priority="104593" stopIfTrue="1" operator="equal">
      <formula>-1</formula>
    </cfRule>
  </conditionalFormatting>
  <conditionalFormatting sqref="AV13">
    <cfRule type="cellIs" dxfId="36020" priority="104594" stopIfTrue="1" operator="lessThan">
      <formula>0.5</formula>
    </cfRule>
  </conditionalFormatting>
  <conditionalFormatting sqref="AV13">
    <cfRule type="cellIs" dxfId="36019" priority="104595" stopIfTrue="1" operator="greaterThanOrEqual">
      <formula>0.5</formula>
    </cfRule>
  </conditionalFormatting>
  <conditionalFormatting sqref="AV14">
    <cfRule type="cellIs" dxfId="36018" priority="104596" stopIfTrue="1" operator="equal">
      <formula>-1</formula>
    </cfRule>
  </conditionalFormatting>
  <conditionalFormatting sqref="AV14">
    <cfRule type="cellIs" dxfId="36017" priority="104597" stopIfTrue="1" operator="lessThan">
      <formula>0.5</formula>
    </cfRule>
  </conditionalFormatting>
  <conditionalFormatting sqref="AV14">
    <cfRule type="cellIs" dxfId="36016" priority="104598" stopIfTrue="1" operator="greaterThanOrEqual">
      <formula>0.5</formula>
    </cfRule>
  </conditionalFormatting>
  <conditionalFormatting sqref="AV15">
    <cfRule type="cellIs" dxfId="36015" priority="104599" stopIfTrue="1" operator="equal">
      <formula>-1</formula>
    </cfRule>
  </conditionalFormatting>
  <conditionalFormatting sqref="AV15">
    <cfRule type="cellIs" dxfId="36014" priority="104600" stopIfTrue="1" operator="lessThan">
      <formula>0.5</formula>
    </cfRule>
  </conditionalFormatting>
  <conditionalFormatting sqref="AV15">
    <cfRule type="cellIs" dxfId="36013" priority="104601" stopIfTrue="1" operator="greaterThanOrEqual">
      <formula>0.5</formula>
    </cfRule>
  </conditionalFormatting>
  <conditionalFormatting sqref="AX8">
    <cfRule type="cellIs" dxfId="36012" priority="104602" stopIfTrue="1" operator="equal">
      <formula>-1</formula>
    </cfRule>
  </conditionalFormatting>
  <conditionalFormatting sqref="AX8">
    <cfRule type="cellIs" dxfId="36011" priority="104603" stopIfTrue="1" operator="lessThan">
      <formula>0.5</formula>
    </cfRule>
  </conditionalFormatting>
  <conditionalFormatting sqref="AX8">
    <cfRule type="cellIs" dxfId="36010" priority="104604" stopIfTrue="1" operator="greaterThanOrEqual">
      <formula>0.5</formula>
    </cfRule>
  </conditionalFormatting>
  <conditionalFormatting sqref="AX9">
    <cfRule type="cellIs" dxfId="36009" priority="104605" stopIfTrue="1" operator="equal">
      <formula>-1</formula>
    </cfRule>
  </conditionalFormatting>
  <conditionalFormatting sqref="AX9">
    <cfRule type="cellIs" dxfId="36008" priority="104606" stopIfTrue="1" operator="lessThan">
      <formula>0.5</formula>
    </cfRule>
  </conditionalFormatting>
  <conditionalFormatting sqref="AX9">
    <cfRule type="cellIs" dxfId="36007" priority="104607" stopIfTrue="1" operator="greaterThanOrEqual">
      <formula>0.5</formula>
    </cfRule>
  </conditionalFormatting>
  <conditionalFormatting sqref="AX10">
    <cfRule type="cellIs" dxfId="36006" priority="104608" stopIfTrue="1" operator="equal">
      <formula>-1</formula>
    </cfRule>
  </conditionalFormatting>
  <conditionalFormatting sqref="AX10">
    <cfRule type="cellIs" dxfId="36005" priority="104609" stopIfTrue="1" operator="lessThan">
      <formula>0.5</formula>
    </cfRule>
  </conditionalFormatting>
  <conditionalFormatting sqref="AX10">
    <cfRule type="cellIs" dxfId="36004" priority="104610" stopIfTrue="1" operator="greaterThanOrEqual">
      <formula>0.5</formula>
    </cfRule>
  </conditionalFormatting>
  <conditionalFormatting sqref="AX11">
    <cfRule type="cellIs" dxfId="36003" priority="104611" stopIfTrue="1" operator="equal">
      <formula>-1</formula>
    </cfRule>
  </conditionalFormatting>
  <conditionalFormatting sqref="AX11">
    <cfRule type="cellIs" dxfId="36002" priority="104612" stopIfTrue="1" operator="lessThan">
      <formula>0.5</formula>
    </cfRule>
  </conditionalFormatting>
  <conditionalFormatting sqref="AX11">
    <cfRule type="cellIs" dxfId="36001" priority="104613" stopIfTrue="1" operator="greaterThanOrEqual">
      <formula>0.5</formula>
    </cfRule>
  </conditionalFormatting>
  <conditionalFormatting sqref="AX12">
    <cfRule type="cellIs" dxfId="36000" priority="104614" stopIfTrue="1" operator="equal">
      <formula>-1</formula>
    </cfRule>
  </conditionalFormatting>
  <conditionalFormatting sqref="AX12">
    <cfRule type="cellIs" dxfId="35999" priority="104615" stopIfTrue="1" operator="lessThan">
      <formula>0.5</formula>
    </cfRule>
  </conditionalFormatting>
  <conditionalFormatting sqref="AX12">
    <cfRule type="cellIs" dxfId="35998" priority="104616" stopIfTrue="1" operator="greaterThanOrEqual">
      <formula>0.5</formula>
    </cfRule>
  </conditionalFormatting>
  <conditionalFormatting sqref="AX13">
    <cfRule type="cellIs" dxfId="35997" priority="104617" stopIfTrue="1" operator="equal">
      <formula>-1</formula>
    </cfRule>
  </conditionalFormatting>
  <conditionalFormatting sqref="AX13">
    <cfRule type="cellIs" dxfId="35996" priority="104618" stopIfTrue="1" operator="lessThan">
      <formula>0.5</formula>
    </cfRule>
  </conditionalFormatting>
  <conditionalFormatting sqref="AX13">
    <cfRule type="cellIs" dxfId="35995" priority="104619" stopIfTrue="1" operator="greaterThanOrEqual">
      <formula>0.5</formula>
    </cfRule>
  </conditionalFormatting>
  <conditionalFormatting sqref="AX14">
    <cfRule type="cellIs" dxfId="35994" priority="104620" stopIfTrue="1" operator="equal">
      <formula>-1</formula>
    </cfRule>
  </conditionalFormatting>
  <conditionalFormatting sqref="AX14">
    <cfRule type="cellIs" dxfId="35993" priority="104621" stopIfTrue="1" operator="lessThan">
      <formula>0.5</formula>
    </cfRule>
  </conditionalFormatting>
  <conditionalFormatting sqref="AX14">
    <cfRule type="cellIs" dxfId="35992" priority="104622" stopIfTrue="1" operator="greaterThanOrEqual">
      <formula>0.5</formula>
    </cfRule>
  </conditionalFormatting>
  <conditionalFormatting sqref="AX15">
    <cfRule type="cellIs" dxfId="35991" priority="104623" stopIfTrue="1" operator="equal">
      <formula>-1</formula>
    </cfRule>
  </conditionalFormatting>
  <conditionalFormatting sqref="AX15">
    <cfRule type="cellIs" dxfId="35990" priority="104624" stopIfTrue="1" operator="lessThan">
      <formula>0.5</formula>
    </cfRule>
  </conditionalFormatting>
  <conditionalFormatting sqref="AX15">
    <cfRule type="cellIs" dxfId="35989" priority="104625" stopIfTrue="1" operator="greaterThanOrEqual">
      <formula>0.5</formula>
    </cfRule>
  </conditionalFormatting>
  <conditionalFormatting sqref="AZ8">
    <cfRule type="cellIs" dxfId="35988" priority="104626" stopIfTrue="1" operator="equal">
      <formula>-1</formula>
    </cfRule>
  </conditionalFormatting>
  <conditionalFormatting sqref="AZ8">
    <cfRule type="cellIs" dxfId="35987" priority="104627" stopIfTrue="1" operator="lessThan">
      <formula>0.5</formula>
    </cfRule>
  </conditionalFormatting>
  <conditionalFormatting sqref="AZ8">
    <cfRule type="cellIs" dxfId="35986" priority="104628" stopIfTrue="1" operator="greaterThanOrEqual">
      <formula>0.5</formula>
    </cfRule>
  </conditionalFormatting>
  <conditionalFormatting sqref="AZ9">
    <cfRule type="cellIs" dxfId="35985" priority="104629" stopIfTrue="1" operator="equal">
      <formula>-1</formula>
    </cfRule>
  </conditionalFormatting>
  <conditionalFormatting sqref="AZ9">
    <cfRule type="cellIs" dxfId="35984" priority="104630" stopIfTrue="1" operator="lessThan">
      <formula>0.5</formula>
    </cfRule>
  </conditionalFormatting>
  <conditionalFormatting sqref="AZ9">
    <cfRule type="cellIs" dxfId="35983" priority="104631" stopIfTrue="1" operator="greaterThanOrEqual">
      <formula>0.5</formula>
    </cfRule>
  </conditionalFormatting>
  <conditionalFormatting sqref="AZ10">
    <cfRule type="cellIs" dxfId="35982" priority="104632" stopIfTrue="1" operator="equal">
      <formula>-1</formula>
    </cfRule>
  </conditionalFormatting>
  <conditionalFormatting sqref="AZ10">
    <cfRule type="cellIs" dxfId="35981" priority="104633" stopIfTrue="1" operator="lessThan">
      <formula>0.5</formula>
    </cfRule>
  </conditionalFormatting>
  <conditionalFormatting sqref="AZ10">
    <cfRule type="cellIs" dxfId="35980" priority="104634" stopIfTrue="1" operator="greaterThanOrEqual">
      <formula>0.5</formula>
    </cfRule>
  </conditionalFormatting>
  <conditionalFormatting sqref="AZ11">
    <cfRule type="cellIs" dxfId="35979" priority="104635" stopIfTrue="1" operator="equal">
      <formula>-1</formula>
    </cfRule>
  </conditionalFormatting>
  <conditionalFormatting sqref="AZ11">
    <cfRule type="cellIs" dxfId="35978" priority="104636" stopIfTrue="1" operator="lessThan">
      <formula>0.5</formula>
    </cfRule>
  </conditionalFormatting>
  <conditionalFormatting sqref="AZ11">
    <cfRule type="cellIs" dxfId="35977" priority="104637" stopIfTrue="1" operator="greaterThanOrEqual">
      <formula>0.5</formula>
    </cfRule>
  </conditionalFormatting>
  <conditionalFormatting sqref="AZ12">
    <cfRule type="cellIs" dxfId="35976" priority="104638" stopIfTrue="1" operator="equal">
      <formula>-1</formula>
    </cfRule>
  </conditionalFormatting>
  <conditionalFormatting sqref="AZ12">
    <cfRule type="cellIs" dxfId="35975" priority="104639" stopIfTrue="1" operator="lessThan">
      <formula>0.5</formula>
    </cfRule>
  </conditionalFormatting>
  <conditionalFormatting sqref="AZ12">
    <cfRule type="cellIs" dxfId="35974" priority="104640" stopIfTrue="1" operator="greaterThanOrEqual">
      <formula>0.5</formula>
    </cfRule>
  </conditionalFormatting>
  <conditionalFormatting sqref="AZ13">
    <cfRule type="cellIs" dxfId="35973" priority="104641" stopIfTrue="1" operator="equal">
      <formula>-1</formula>
    </cfRule>
  </conditionalFormatting>
  <conditionalFormatting sqref="AZ13">
    <cfRule type="cellIs" dxfId="35972" priority="104642" stopIfTrue="1" operator="lessThan">
      <formula>0.5</formula>
    </cfRule>
  </conditionalFormatting>
  <conditionalFormatting sqref="AZ13">
    <cfRule type="cellIs" dxfId="35971" priority="104643" stopIfTrue="1" operator="greaterThanOrEqual">
      <formula>0.5</formula>
    </cfRule>
  </conditionalFormatting>
  <conditionalFormatting sqref="AZ14">
    <cfRule type="cellIs" dxfId="35970" priority="104644" stopIfTrue="1" operator="equal">
      <formula>-1</formula>
    </cfRule>
  </conditionalFormatting>
  <conditionalFormatting sqref="AZ14">
    <cfRule type="cellIs" dxfId="35969" priority="104645" stopIfTrue="1" operator="lessThan">
      <formula>0.5</formula>
    </cfRule>
  </conditionalFormatting>
  <conditionalFormatting sqref="AZ14">
    <cfRule type="cellIs" dxfId="35968" priority="104646" stopIfTrue="1" operator="greaterThanOrEqual">
      <formula>0.5</formula>
    </cfRule>
  </conditionalFormatting>
  <conditionalFormatting sqref="AZ15">
    <cfRule type="cellIs" dxfId="35967" priority="104647" stopIfTrue="1" operator="equal">
      <formula>-1</formula>
    </cfRule>
  </conditionalFormatting>
  <conditionalFormatting sqref="AZ15">
    <cfRule type="cellIs" dxfId="35966" priority="104648" stopIfTrue="1" operator="lessThan">
      <formula>0.5</formula>
    </cfRule>
  </conditionalFormatting>
  <conditionalFormatting sqref="AZ15">
    <cfRule type="cellIs" dxfId="35965" priority="104649" stopIfTrue="1" operator="greaterThanOrEqual">
      <formula>0.5</formula>
    </cfRule>
  </conditionalFormatting>
  <conditionalFormatting sqref="BB8">
    <cfRule type="cellIs" dxfId="35964" priority="104650" stopIfTrue="1" operator="equal">
      <formula>-1</formula>
    </cfRule>
  </conditionalFormatting>
  <conditionalFormatting sqref="BB8">
    <cfRule type="cellIs" dxfId="35963" priority="104651" stopIfTrue="1" operator="lessThan">
      <formula>0.5</formula>
    </cfRule>
  </conditionalFormatting>
  <conditionalFormatting sqref="BB8">
    <cfRule type="cellIs" dxfId="35962" priority="104652" stopIfTrue="1" operator="greaterThanOrEqual">
      <formula>0.5</formula>
    </cfRule>
  </conditionalFormatting>
  <conditionalFormatting sqref="BB9">
    <cfRule type="cellIs" dxfId="35961" priority="104653" stopIfTrue="1" operator="equal">
      <formula>-1</formula>
    </cfRule>
  </conditionalFormatting>
  <conditionalFormatting sqref="BB9">
    <cfRule type="cellIs" dxfId="35960" priority="104654" stopIfTrue="1" operator="lessThan">
      <formula>0.5</formula>
    </cfRule>
  </conditionalFormatting>
  <conditionalFormatting sqref="BB9">
    <cfRule type="cellIs" dxfId="35959" priority="104655" stopIfTrue="1" operator="greaterThanOrEqual">
      <formula>0.5</formula>
    </cfRule>
  </conditionalFormatting>
  <conditionalFormatting sqref="BB10">
    <cfRule type="cellIs" dxfId="35958" priority="104656" stopIfTrue="1" operator="equal">
      <formula>-1</formula>
    </cfRule>
  </conditionalFormatting>
  <conditionalFormatting sqref="BB10">
    <cfRule type="cellIs" dxfId="35957" priority="104657" stopIfTrue="1" operator="lessThan">
      <formula>0.5</formula>
    </cfRule>
  </conditionalFormatting>
  <conditionalFormatting sqref="BB10">
    <cfRule type="cellIs" dxfId="35956" priority="104658" stopIfTrue="1" operator="greaterThanOrEqual">
      <formula>0.5</formula>
    </cfRule>
  </conditionalFormatting>
  <conditionalFormatting sqref="BB11">
    <cfRule type="cellIs" dxfId="35955" priority="104659" stopIfTrue="1" operator="equal">
      <formula>-1</formula>
    </cfRule>
  </conditionalFormatting>
  <conditionalFormatting sqref="BB11">
    <cfRule type="cellIs" dxfId="35954" priority="104660" stopIfTrue="1" operator="lessThan">
      <formula>0.5</formula>
    </cfRule>
  </conditionalFormatting>
  <conditionalFormatting sqref="BB11">
    <cfRule type="cellIs" dxfId="35953" priority="104661" stopIfTrue="1" operator="greaterThanOrEqual">
      <formula>0.5</formula>
    </cfRule>
  </conditionalFormatting>
  <conditionalFormatting sqref="BB12">
    <cfRule type="cellIs" dxfId="35952" priority="104662" stopIfTrue="1" operator="equal">
      <formula>-1</formula>
    </cfRule>
  </conditionalFormatting>
  <conditionalFormatting sqref="BB12">
    <cfRule type="cellIs" dxfId="35951" priority="104663" stopIfTrue="1" operator="lessThan">
      <formula>0.5</formula>
    </cfRule>
  </conditionalFormatting>
  <conditionalFormatting sqref="BB12">
    <cfRule type="cellIs" dxfId="35950" priority="104664" stopIfTrue="1" operator="greaterThanOrEqual">
      <formula>0.5</formula>
    </cfRule>
  </conditionalFormatting>
  <conditionalFormatting sqref="BB13">
    <cfRule type="cellIs" dxfId="35949" priority="104665" stopIfTrue="1" operator="equal">
      <formula>-1</formula>
    </cfRule>
  </conditionalFormatting>
  <conditionalFormatting sqref="BB13">
    <cfRule type="cellIs" dxfId="35948" priority="104666" stopIfTrue="1" operator="lessThan">
      <formula>0.5</formula>
    </cfRule>
  </conditionalFormatting>
  <conditionalFormatting sqref="BB13">
    <cfRule type="cellIs" dxfId="35947" priority="104667" stopIfTrue="1" operator="greaterThanOrEqual">
      <formula>0.5</formula>
    </cfRule>
  </conditionalFormatting>
  <conditionalFormatting sqref="BB14">
    <cfRule type="cellIs" dxfId="35946" priority="104668" stopIfTrue="1" operator="equal">
      <formula>-1</formula>
    </cfRule>
  </conditionalFormatting>
  <conditionalFormatting sqref="BB14">
    <cfRule type="cellIs" dxfId="35945" priority="104669" stopIfTrue="1" operator="lessThan">
      <formula>0.5</formula>
    </cfRule>
  </conditionalFormatting>
  <conditionalFormatting sqref="BB14">
    <cfRule type="cellIs" dxfId="35944" priority="104670" stopIfTrue="1" operator="greaterThanOrEqual">
      <formula>0.5</formula>
    </cfRule>
  </conditionalFormatting>
  <conditionalFormatting sqref="BB15">
    <cfRule type="cellIs" dxfId="35943" priority="104671" stopIfTrue="1" operator="equal">
      <formula>-1</formula>
    </cfRule>
  </conditionalFormatting>
  <conditionalFormatting sqref="BB15">
    <cfRule type="cellIs" dxfId="35942" priority="104672" stopIfTrue="1" operator="lessThan">
      <formula>0.5</formula>
    </cfRule>
  </conditionalFormatting>
  <conditionalFormatting sqref="BB15">
    <cfRule type="cellIs" dxfId="35941" priority="104673" stopIfTrue="1" operator="greaterThanOrEqual">
      <formula>0.5</formula>
    </cfRule>
  </conditionalFormatting>
  <conditionalFormatting sqref="BD8">
    <cfRule type="cellIs" dxfId="35940" priority="104674" stopIfTrue="1" operator="equal">
      <formula>-1</formula>
    </cfRule>
  </conditionalFormatting>
  <conditionalFormatting sqref="BD8">
    <cfRule type="cellIs" dxfId="35939" priority="104675" stopIfTrue="1" operator="lessThan">
      <formula>0.5</formula>
    </cfRule>
  </conditionalFormatting>
  <conditionalFormatting sqref="BD8">
    <cfRule type="cellIs" dxfId="35938" priority="104676" stopIfTrue="1" operator="greaterThanOrEqual">
      <formula>0.5</formula>
    </cfRule>
  </conditionalFormatting>
  <conditionalFormatting sqref="BD9">
    <cfRule type="cellIs" dxfId="35937" priority="104677" stopIfTrue="1" operator="equal">
      <formula>-1</formula>
    </cfRule>
  </conditionalFormatting>
  <conditionalFormatting sqref="BD9">
    <cfRule type="cellIs" dxfId="35936" priority="104678" stopIfTrue="1" operator="lessThan">
      <formula>0.5</formula>
    </cfRule>
  </conditionalFormatting>
  <conditionalFormatting sqref="BD9">
    <cfRule type="cellIs" dxfId="35935" priority="104679" stopIfTrue="1" operator="greaterThanOrEqual">
      <formula>0.5</formula>
    </cfRule>
  </conditionalFormatting>
  <conditionalFormatting sqref="BD10">
    <cfRule type="cellIs" dxfId="35934" priority="104680" stopIfTrue="1" operator="equal">
      <formula>-1</formula>
    </cfRule>
  </conditionalFormatting>
  <conditionalFormatting sqref="BD10">
    <cfRule type="cellIs" dxfId="35933" priority="104681" stopIfTrue="1" operator="lessThan">
      <formula>0.5</formula>
    </cfRule>
  </conditionalFormatting>
  <conditionalFormatting sqref="BD10">
    <cfRule type="cellIs" dxfId="35932" priority="104682" stopIfTrue="1" operator="greaterThanOrEqual">
      <formula>0.5</formula>
    </cfRule>
  </conditionalFormatting>
  <conditionalFormatting sqref="BD11">
    <cfRule type="cellIs" dxfId="35931" priority="104683" stopIfTrue="1" operator="equal">
      <formula>-1</formula>
    </cfRule>
  </conditionalFormatting>
  <conditionalFormatting sqref="BD11">
    <cfRule type="cellIs" dxfId="35930" priority="104684" stopIfTrue="1" operator="lessThan">
      <formula>0.5</formula>
    </cfRule>
  </conditionalFormatting>
  <conditionalFormatting sqref="BD11">
    <cfRule type="cellIs" dxfId="35929" priority="104685" stopIfTrue="1" operator="greaterThanOrEqual">
      <formula>0.5</formula>
    </cfRule>
  </conditionalFormatting>
  <conditionalFormatting sqref="BD12">
    <cfRule type="cellIs" dxfId="35928" priority="104686" stopIfTrue="1" operator="equal">
      <formula>-1</formula>
    </cfRule>
  </conditionalFormatting>
  <conditionalFormatting sqref="BD12">
    <cfRule type="cellIs" dxfId="35927" priority="104687" stopIfTrue="1" operator="lessThan">
      <formula>0.5</formula>
    </cfRule>
  </conditionalFormatting>
  <conditionalFormatting sqref="BD12">
    <cfRule type="cellIs" dxfId="35926" priority="104688" stopIfTrue="1" operator="greaterThanOrEqual">
      <formula>0.5</formula>
    </cfRule>
  </conditionalFormatting>
  <conditionalFormatting sqref="BD13">
    <cfRule type="cellIs" dxfId="35925" priority="104689" stopIfTrue="1" operator="equal">
      <formula>-1</formula>
    </cfRule>
  </conditionalFormatting>
  <conditionalFormatting sqref="BD13">
    <cfRule type="cellIs" dxfId="35924" priority="104690" stopIfTrue="1" operator="lessThan">
      <formula>0.5</formula>
    </cfRule>
  </conditionalFormatting>
  <conditionalFormatting sqref="BD13">
    <cfRule type="cellIs" dxfId="35923" priority="104691" stopIfTrue="1" operator="greaterThanOrEqual">
      <formula>0.5</formula>
    </cfRule>
  </conditionalFormatting>
  <conditionalFormatting sqref="BD14">
    <cfRule type="cellIs" dxfId="35922" priority="104692" stopIfTrue="1" operator="equal">
      <formula>-1</formula>
    </cfRule>
  </conditionalFormatting>
  <conditionalFormatting sqref="BD14">
    <cfRule type="cellIs" dxfId="35921" priority="104693" stopIfTrue="1" operator="lessThan">
      <formula>0.5</formula>
    </cfRule>
  </conditionalFormatting>
  <conditionalFormatting sqref="BD14">
    <cfRule type="cellIs" dxfId="35920" priority="104694" stopIfTrue="1" operator="greaterThanOrEqual">
      <formula>0.5</formula>
    </cfRule>
  </conditionalFormatting>
  <conditionalFormatting sqref="BD15">
    <cfRule type="cellIs" dxfId="35919" priority="104695" stopIfTrue="1" operator="equal">
      <formula>-1</formula>
    </cfRule>
  </conditionalFormatting>
  <conditionalFormatting sqref="BD15">
    <cfRule type="cellIs" dxfId="35918" priority="104696" stopIfTrue="1" operator="lessThan">
      <formula>0.5</formula>
    </cfRule>
  </conditionalFormatting>
  <conditionalFormatting sqref="BD15">
    <cfRule type="cellIs" dxfId="35917" priority="104697" stopIfTrue="1" operator="greaterThanOrEqual">
      <formula>0.5</formula>
    </cfRule>
  </conditionalFormatting>
  <conditionalFormatting sqref="BF8">
    <cfRule type="cellIs" dxfId="35916" priority="104698" stopIfTrue="1" operator="equal">
      <formula>-1</formula>
    </cfRule>
  </conditionalFormatting>
  <conditionalFormatting sqref="BF8">
    <cfRule type="cellIs" dxfId="35915" priority="104699" stopIfTrue="1" operator="lessThan">
      <formula>0.5</formula>
    </cfRule>
  </conditionalFormatting>
  <conditionalFormatting sqref="BF8">
    <cfRule type="cellIs" dxfId="35914" priority="104700" stopIfTrue="1" operator="greaterThanOrEqual">
      <formula>0.5</formula>
    </cfRule>
  </conditionalFormatting>
  <conditionalFormatting sqref="BF9">
    <cfRule type="cellIs" dxfId="35913" priority="104701" stopIfTrue="1" operator="equal">
      <formula>-1</formula>
    </cfRule>
  </conditionalFormatting>
  <conditionalFormatting sqref="BF9">
    <cfRule type="cellIs" dxfId="35912" priority="104702" stopIfTrue="1" operator="lessThan">
      <formula>0.5</formula>
    </cfRule>
  </conditionalFormatting>
  <conditionalFormatting sqref="BF9">
    <cfRule type="cellIs" dxfId="35911" priority="104703" stopIfTrue="1" operator="greaterThanOrEqual">
      <formula>0.5</formula>
    </cfRule>
  </conditionalFormatting>
  <conditionalFormatting sqref="BF10">
    <cfRule type="cellIs" dxfId="35910" priority="104704" stopIfTrue="1" operator="equal">
      <formula>-1</formula>
    </cfRule>
  </conditionalFormatting>
  <conditionalFormatting sqref="BF10">
    <cfRule type="cellIs" dxfId="35909" priority="104705" stopIfTrue="1" operator="lessThan">
      <formula>0.5</formula>
    </cfRule>
  </conditionalFormatting>
  <conditionalFormatting sqref="BF10">
    <cfRule type="cellIs" dxfId="35908" priority="104706" stopIfTrue="1" operator="greaterThanOrEqual">
      <formula>0.5</formula>
    </cfRule>
  </conditionalFormatting>
  <conditionalFormatting sqref="BF11">
    <cfRule type="cellIs" dxfId="35907" priority="104707" stopIfTrue="1" operator="equal">
      <formula>-1</formula>
    </cfRule>
  </conditionalFormatting>
  <conditionalFormatting sqref="BF11">
    <cfRule type="cellIs" dxfId="35906" priority="104708" stopIfTrue="1" operator="lessThan">
      <formula>0.5</formula>
    </cfRule>
  </conditionalFormatting>
  <conditionalFormatting sqref="BF11">
    <cfRule type="cellIs" dxfId="35905" priority="104709" stopIfTrue="1" operator="greaterThanOrEqual">
      <formula>0.5</formula>
    </cfRule>
  </conditionalFormatting>
  <conditionalFormatting sqref="BF12">
    <cfRule type="cellIs" dxfId="35904" priority="104710" stopIfTrue="1" operator="equal">
      <formula>-1</formula>
    </cfRule>
  </conditionalFormatting>
  <conditionalFormatting sqref="BF12">
    <cfRule type="cellIs" dxfId="35903" priority="104711" stopIfTrue="1" operator="lessThan">
      <formula>0.5</formula>
    </cfRule>
  </conditionalFormatting>
  <conditionalFormatting sqref="BF12">
    <cfRule type="cellIs" dxfId="35902" priority="104712" stopIfTrue="1" operator="greaterThanOrEqual">
      <formula>0.5</formula>
    </cfRule>
  </conditionalFormatting>
  <conditionalFormatting sqref="BF13">
    <cfRule type="cellIs" dxfId="35901" priority="104713" stopIfTrue="1" operator="equal">
      <formula>-1</formula>
    </cfRule>
  </conditionalFormatting>
  <conditionalFormatting sqref="BF13">
    <cfRule type="cellIs" dxfId="35900" priority="104714" stopIfTrue="1" operator="lessThan">
      <formula>0.5</formula>
    </cfRule>
  </conditionalFormatting>
  <conditionalFormatting sqref="BF13">
    <cfRule type="cellIs" dxfId="35899" priority="104715" stopIfTrue="1" operator="greaterThanOrEqual">
      <formula>0.5</formula>
    </cfRule>
  </conditionalFormatting>
  <conditionalFormatting sqref="BF14">
    <cfRule type="cellIs" dxfId="35898" priority="104716" stopIfTrue="1" operator="equal">
      <formula>-1</formula>
    </cfRule>
  </conditionalFormatting>
  <conditionalFormatting sqref="BF14">
    <cfRule type="cellIs" dxfId="35897" priority="104717" stopIfTrue="1" operator="lessThan">
      <formula>0.5</formula>
    </cfRule>
  </conditionalFormatting>
  <conditionalFormatting sqref="BF14">
    <cfRule type="cellIs" dxfId="35896" priority="104718" stopIfTrue="1" operator="greaterThanOrEqual">
      <formula>0.5</formula>
    </cfRule>
  </conditionalFormatting>
  <conditionalFormatting sqref="BF15">
    <cfRule type="cellIs" dxfId="35895" priority="104719" stopIfTrue="1" operator="equal">
      <formula>-1</formula>
    </cfRule>
  </conditionalFormatting>
  <conditionalFormatting sqref="BF15">
    <cfRule type="cellIs" dxfId="35894" priority="104720" stopIfTrue="1" operator="lessThan">
      <formula>0.5</formula>
    </cfRule>
  </conditionalFormatting>
  <conditionalFormatting sqref="BF15">
    <cfRule type="cellIs" dxfId="35893" priority="104721" stopIfTrue="1" operator="greaterThanOrEqual">
      <formula>0.5</formula>
    </cfRule>
  </conditionalFormatting>
  <conditionalFormatting sqref="BH8">
    <cfRule type="cellIs" dxfId="35892" priority="104722" stopIfTrue="1" operator="equal">
      <formula>-1</formula>
    </cfRule>
  </conditionalFormatting>
  <conditionalFormatting sqref="BH8">
    <cfRule type="cellIs" dxfId="35891" priority="104723" stopIfTrue="1" operator="lessThan">
      <formula>0.5</formula>
    </cfRule>
  </conditionalFormatting>
  <conditionalFormatting sqref="BH8">
    <cfRule type="cellIs" dxfId="35890" priority="104724" stopIfTrue="1" operator="greaterThanOrEqual">
      <formula>0.5</formula>
    </cfRule>
  </conditionalFormatting>
  <conditionalFormatting sqref="BH9">
    <cfRule type="cellIs" dxfId="35889" priority="104725" stopIfTrue="1" operator="equal">
      <formula>-1</formula>
    </cfRule>
  </conditionalFormatting>
  <conditionalFormatting sqref="BH9">
    <cfRule type="cellIs" dxfId="35888" priority="104726" stopIfTrue="1" operator="lessThan">
      <formula>0.5</formula>
    </cfRule>
  </conditionalFormatting>
  <conditionalFormatting sqref="BH9">
    <cfRule type="cellIs" dxfId="35887" priority="104727" stopIfTrue="1" operator="greaterThanOrEqual">
      <formula>0.5</formula>
    </cfRule>
  </conditionalFormatting>
  <conditionalFormatting sqref="BH10">
    <cfRule type="cellIs" dxfId="35886" priority="104728" stopIfTrue="1" operator="equal">
      <formula>-1</formula>
    </cfRule>
  </conditionalFormatting>
  <conditionalFormatting sqref="BH10">
    <cfRule type="cellIs" dxfId="35885" priority="104729" stopIfTrue="1" operator="lessThan">
      <formula>0.5</formula>
    </cfRule>
  </conditionalFormatting>
  <conditionalFormatting sqref="BH10">
    <cfRule type="cellIs" dxfId="35884" priority="104730" stopIfTrue="1" operator="greaterThanOrEqual">
      <formula>0.5</formula>
    </cfRule>
  </conditionalFormatting>
  <conditionalFormatting sqref="BH11">
    <cfRule type="cellIs" dxfId="35883" priority="104731" stopIfTrue="1" operator="equal">
      <formula>-1</formula>
    </cfRule>
  </conditionalFormatting>
  <conditionalFormatting sqref="BH11">
    <cfRule type="cellIs" dxfId="35882" priority="104732" stopIfTrue="1" operator="lessThan">
      <formula>0.5</formula>
    </cfRule>
  </conditionalFormatting>
  <conditionalFormatting sqref="BH11">
    <cfRule type="cellIs" dxfId="35881" priority="104733" stopIfTrue="1" operator="greaterThanOrEqual">
      <formula>0.5</formula>
    </cfRule>
  </conditionalFormatting>
  <conditionalFormatting sqref="BH12">
    <cfRule type="cellIs" dxfId="35880" priority="104734" stopIfTrue="1" operator="equal">
      <formula>-1</formula>
    </cfRule>
  </conditionalFormatting>
  <conditionalFormatting sqref="BH12">
    <cfRule type="cellIs" dxfId="35879" priority="104735" stopIfTrue="1" operator="lessThan">
      <formula>0.5</formula>
    </cfRule>
  </conditionalFormatting>
  <conditionalFormatting sqref="BH12">
    <cfRule type="cellIs" dxfId="35878" priority="104736" stopIfTrue="1" operator="greaterThanOrEqual">
      <formula>0.5</formula>
    </cfRule>
  </conditionalFormatting>
  <conditionalFormatting sqref="BH13">
    <cfRule type="cellIs" dxfId="35877" priority="104737" stopIfTrue="1" operator="equal">
      <formula>-1</formula>
    </cfRule>
  </conditionalFormatting>
  <conditionalFormatting sqref="BH13">
    <cfRule type="cellIs" dxfId="35876" priority="104738" stopIfTrue="1" operator="lessThan">
      <formula>0.5</formula>
    </cfRule>
  </conditionalFormatting>
  <conditionalFormatting sqref="BH13">
    <cfRule type="cellIs" dxfId="35875" priority="104739" stopIfTrue="1" operator="greaterThanOrEqual">
      <formula>0.5</formula>
    </cfRule>
  </conditionalFormatting>
  <conditionalFormatting sqref="BH14">
    <cfRule type="cellIs" dxfId="35874" priority="104740" stopIfTrue="1" operator="equal">
      <formula>-1</formula>
    </cfRule>
  </conditionalFormatting>
  <conditionalFormatting sqref="BH14">
    <cfRule type="cellIs" dxfId="35873" priority="104741" stopIfTrue="1" operator="lessThan">
      <formula>0.5</formula>
    </cfRule>
  </conditionalFormatting>
  <conditionalFormatting sqref="BH14">
    <cfRule type="cellIs" dxfId="35872" priority="104742" stopIfTrue="1" operator="greaterThanOrEqual">
      <formula>0.5</formula>
    </cfRule>
  </conditionalFormatting>
  <conditionalFormatting sqref="BH15">
    <cfRule type="cellIs" dxfId="35871" priority="104743" stopIfTrue="1" operator="equal">
      <formula>-1</formula>
    </cfRule>
  </conditionalFormatting>
  <conditionalFormatting sqref="BH15">
    <cfRule type="cellIs" dxfId="35870" priority="104744" stopIfTrue="1" operator="lessThan">
      <formula>0.5</formula>
    </cfRule>
  </conditionalFormatting>
  <conditionalFormatting sqref="BH15">
    <cfRule type="cellIs" dxfId="35869" priority="104745" stopIfTrue="1" operator="greaterThanOrEqual">
      <formula>0.5</formula>
    </cfRule>
  </conditionalFormatting>
  <conditionalFormatting sqref="BJ8">
    <cfRule type="cellIs" dxfId="35868" priority="104746" stopIfTrue="1" operator="equal">
      <formula>-1</formula>
    </cfRule>
  </conditionalFormatting>
  <conditionalFormatting sqref="BJ8">
    <cfRule type="cellIs" dxfId="35867" priority="104747" stopIfTrue="1" operator="lessThan">
      <formula>0.5</formula>
    </cfRule>
  </conditionalFormatting>
  <conditionalFormatting sqref="BJ8">
    <cfRule type="cellIs" dxfId="35866" priority="104748" stopIfTrue="1" operator="greaterThanOrEqual">
      <formula>0.5</formula>
    </cfRule>
  </conditionalFormatting>
  <conditionalFormatting sqref="BJ9">
    <cfRule type="cellIs" dxfId="35865" priority="104749" stopIfTrue="1" operator="equal">
      <formula>-1</formula>
    </cfRule>
  </conditionalFormatting>
  <conditionalFormatting sqref="BJ9">
    <cfRule type="cellIs" dxfId="35864" priority="104750" stopIfTrue="1" operator="lessThan">
      <formula>0.5</formula>
    </cfRule>
  </conditionalFormatting>
  <conditionalFormatting sqref="BJ9">
    <cfRule type="cellIs" dxfId="35863" priority="104751" stopIfTrue="1" operator="greaterThanOrEqual">
      <formula>0.5</formula>
    </cfRule>
  </conditionalFormatting>
  <conditionalFormatting sqref="BJ10">
    <cfRule type="cellIs" dxfId="35862" priority="104752" stopIfTrue="1" operator="equal">
      <formula>-1</formula>
    </cfRule>
  </conditionalFormatting>
  <conditionalFormatting sqref="BJ10">
    <cfRule type="cellIs" dxfId="35861" priority="104753" stopIfTrue="1" operator="lessThan">
      <formula>0.5</formula>
    </cfRule>
  </conditionalFormatting>
  <conditionalFormatting sqref="BJ10">
    <cfRule type="cellIs" dxfId="35860" priority="104754" stopIfTrue="1" operator="greaterThanOrEqual">
      <formula>0.5</formula>
    </cfRule>
  </conditionalFormatting>
  <conditionalFormatting sqref="BJ11">
    <cfRule type="cellIs" dxfId="35859" priority="104755" stopIfTrue="1" operator="equal">
      <formula>-1</formula>
    </cfRule>
  </conditionalFormatting>
  <conditionalFormatting sqref="BJ11">
    <cfRule type="cellIs" dxfId="35858" priority="104756" stopIfTrue="1" operator="lessThan">
      <formula>0.5</formula>
    </cfRule>
  </conditionalFormatting>
  <conditionalFormatting sqref="BJ11">
    <cfRule type="cellIs" dxfId="35857" priority="104757" stopIfTrue="1" operator="greaterThanOrEqual">
      <formula>0.5</formula>
    </cfRule>
  </conditionalFormatting>
  <conditionalFormatting sqref="BJ12">
    <cfRule type="cellIs" dxfId="35856" priority="104758" stopIfTrue="1" operator="equal">
      <formula>-1</formula>
    </cfRule>
  </conditionalFormatting>
  <conditionalFormatting sqref="BJ12">
    <cfRule type="cellIs" dxfId="35855" priority="104759" stopIfTrue="1" operator="lessThan">
      <formula>0.5</formula>
    </cfRule>
  </conditionalFormatting>
  <conditionalFormatting sqref="BJ12">
    <cfRule type="cellIs" dxfId="35854" priority="104760" stopIfTrue="1" operator="greaterThanOrEqual">
      <formula>0.5</formula>
    </cfRule>
  </conditionalFormatting>
  <conditionalFormatting sqref="BJ13">
    <cfRule type="cellIs" dxfId="35853" priority="104761" stopIfTrue="1" operator="equal">
      <formula>-1</formula>
    </cfRule>
  </conditionalFormatting>
  <conditionalFormatting sqref="BJ13">
    <cfRule type="cellIs" dxfId="35852" priority="104762" stopIfTrue="1" operator="lessThan">
      <formula>0.5</formula>
    </cfRule>
  </conditionalFormatting>
  <conditionalFormatting sqref="BJ13">
    <cfRule type="cellIs" dxfId="35851" priority="104763" stopIfTrue="1" operator="greaterThanOrEqual">
      <formula>0.5</formula>
    </cfRule>
  </conditionalFormatting>
  <conditionalFormatting sqref="BJ14">
    <cfRule type="cellIs" dxfId="35850" priority="104764" stopIfTrue="1" operator="equal">
      <formula>-1</formula>
    </cfRule>
  </conditionalFormatting>
  <conditionalFormatting sqref="BJ14">
    <cfRule type="cellIs" dxfId="35849" priority="104765" stopIfTrue="1" operator="lessThan">
      <formula>0.5</formula>
    </cfRule>
  </conditionalFormatting>
  <conditionalFormatting sqref="BJ14">
    <cfRule type="cellIs" dxfId="35848" priority="104766" stopIfTrue="1" operator="greaterThanOrEqual">
      <formula>0.5</formula>
    </cfRule>
  </conditionalFormatting>
  <conditionalFormatting sqref="BJ15">
    <cfRule type="cellIs" dxfId="35847" priority="104767" stopIfTrue="1" operator="equal">
      <formula>-1</formula>
    </cfRule>
  </conditionalFormatting>
  <conditionalFormatting sqref="BJ15">
    <cfRule type="cellIs" dxfId="35846" priority="104768" stopIfTrue="1" operator="lessThan">
      <formula>0.5</formula>
    </cfRule>
  </conditionalFormatting>
  <conditionalFormatting sqref="BJ15">
    <cfRule type="cellIs" dxfId="35845" priority="104769" stopIfTrue="1" operator="greaterThanOrEqual">
      <formula>0.5</formula>
    </cfRule>
  </conditionalFormatting>
  <conditionalFormatting sqref="D17">
    <cfRule type="cellIs" dxfId="35844" priority="104770" stopIfTrue="1" operator="equal">
      <formula>-1</formula>
    </cfRule>
  </conditionalFormatting>
  <conditionalFormatting sqref="D17">
    <cfRule type="cellIs" dxfId="35843" priority="104771" stopIfTrue="1" operator="lessThan">
      <formula>0.5</formula>
    </cfRule>
  </conditionalFormatting>
  <conditionalFormatting sqref="D17">
    <cfRule type="cellIs" dxfId="35842" priority="104772" stopIfTrue="1" operator="greaterThanOrEqual">
      <formula>0.5</formula>
    </cfRule>
  </conditionalFormatting>
  <conditionalFormatting sqref="D18">
    <cfRule type="cellIs" dxfId="35841" priority="104773" stopIfTrue="1" operator="equal">
      <formula>-1</formula>
    </cfRule>
  </conditionalFormatting>
  <conditionalFormatting sqref="D18">
    <cfRule type="cellIs" dxfId="35840" priority="104774" stopIfTrue="1" operator="lessThan">
      <formula>0.5</formula>
    </cfRule>
  </conditionalFormatting>
  <conditionalFormatting sqref="D18">
    <cfRule type="cellIs" dxfId="35839" priority="104775" stopIfTrue="1" operator="greaterThanOrEqual">
      <formula>0.5</formula>
    </cfRule>
  </conditionalFormatting>
  <conditionalFormatting sqref="D19">
    <cfRule type="cellIs" dxfId="35838" priority="104776" stopIfTrue="1" operator="equal">
      <formula>-1</formula>
    </cfRule>
  </conditionalFormatting>
  <conditionalFormatting sqref="D19">
    <cfRule type="cellIs" dxfId="35837" priority="104777" stopIfTrue="1" operator="lessThan">
      <formula>0.5</formula>
    </cfRule>
  </conditionalFormatting>
  <conditionalFormatting sqref="D19">
    <cfRule type="cellIs" dxfId="35836" priority="104778" stopIfTrue="1" operator="greaterThanOrEqual">
      <formula>0.5</formula>
    </cfRule>
  </conditionalFormatting>
  <conditionalFormatting sqref="D20">
    <cfRule type="cellIs" dxfId="35835" priority="104779" stopIfTrue="1" operator="equal">
      <formula>-1</formula>
    </cfRule>
  </conditionalFormatting>
  <conditionalFormatting sqref="D20">
    <cfRule type="cellIs" dxfId="35834" priority="104780" stopIfTrue="1" operator="lessThan">
      <formula>0.5</formula>
    </cfRule>
  </conditionalFormatting>
  <conditionalFormatting sqref="D20">
    <cfRule type="cellIs" dxfId="35833" priority="104781" stopIfTrue="1" operator="greaterThanOrEqual">
      <formula>0.5</formula>
    </cfRule>
  </conditionalFormatting>
  <conditionalFormatting sqref="D21">
    <cfRule type="cellIs" dxfId="35832" priority="104782" stopIfTrue="1" operator="equal">
      <formula>-1</formula>
    </cfRule>
  </conditionalFormatting>
  <conditionalFormatting sqref="D21">
    <cfRule type="cellIs" dxfId="35831" priority="104783" stopIfTrue="1" operator="lessThan">
      <formula>0.5</formula>
    </cfRule>
  </conditionalFormatting>
  <conditionalFormatting sqref="D21">
    <cfRule type="cellIs" dxfId="35830" priority="104784" stopIfTrue="1" operator="greaterThanOrEqual">
      <formula>0.5</formula>
    </cfRule>
  </conditionalFormatting>
  <conditionalFormatting sqref="D22">
    <cfRule type="cellIs" dxfId="35829" priority="104785" stopIfTrue="1" operator="equal">
      <formula>-1</formula>
    </cfRule>
  </conditionalFormatting>
  <conditionalFormatting sqref="D22">
    <cfRule type="cellIs" dxfId="35828" priority="104786" stopIfTrue="1" operator="lessThan">
      <formula>0.5</formula>
    </cfRule>
  </conditionalFormatting>
  <conditionalFormatting sqref="D22">
    <cfRule type="cellIs" dxfId="35827" priority="104787" stopIfTrue="1" operator="greaterThanOrEqual">
      <formula>0.5</formula>
    </cfRule>
  </conditionalFormatting>
  <conditionalFormatting sqref="D23">
    <cfRule type="cellIs" dxfId="35826" priority="104788" stopIfTrue="1" operator="equal">
      <formula>-1</formula>
    </cfRule>
  </conditionalFormatting>
  <conditionalFormatting sqref="D23">
    <cfRule type="cellIs" dxfId="35825" priority="104789" stopIfTrue="1" operator="lessThan">
      <formula>0.5</formula>
    </cfRule>
  </conditionalFormatting>
  <conditionalFormatting sqref="D23">
    <cfRule type="cellIs" dxfId="35824" priority="104790" stopIfTrue="1" operator="greaterThanOrEqual">
      <formula>0.5</formula>
    </cfRule>
  </conditionalFormatting>
  <conditionalFormatting sqref="D24">
    <cfRule type="cellIs" dxfId="35823" priority="104791" stopIfTrue="1" operator="equal">
      <formula>-1</formula>
    </cfRule>
  </conditionalFormatting>
  <conditionalFormatting sqref="D24">
    <cfRule type="cellIs" dxfId="35822" priority="104792" stopIfTrue="1" operator="lessThan">
      <formula>0.5</formula>
    </cfRule>
  </conditionalFormatting>
  <conditionalFormatting sqref="D24">
    <cfRule type="cellIs" dxfId="35821" priority="104793" stopIfTrue="1" operator="greaterThanOrEqual">
      <formula>0.5</formula>
    </cfRule>
  </conditionalFormatting>
  <conditionalFormatting sqref="D25">
    <cfRule type="cellIs" dxfId="35820" priority="104794" stopIfTrue="1" operator="equal">
      <formula>-1</formula>
    </cfRule>
  </conditionalFormatting>
  <conditionalFormatting sqref="D25">
    <cfRule type="cellIs" dxfId="35819" priority="104795" stopIfTrue="1" operator="lessThan">
      <formula>0.5</formula>
    </cfRule>
  </conditionalFormatting>
  <conditionalFormatting sqref="D25">
    <cfRule type="cellIs" dxfId="35818" priority="104796" stopIfTrue="1" operator="greaterThanOrEqual">
      <formula>0.5</formula>
    </cfRule>
  </conditionalFormatting>
  <conditionalFormatting sqref="D26">
    <cfRule type="cellIs" dxfId="35817" priority="104797" stopIfTrue="1" operator="equal">
      <formula>-1</formula>
    </cfRule>
  </conditionalFormatting>
  <conditionalFormatting sqref="D26">
    <cfRule type="cellIs" dxfId="35816" priority="104798" stopIfTrue="1" operator="lessThan">
      <formula>0.5</formula>
    </cfRule>
  </conditionalFormatting>
  <conditionalFormatting sqref="D26">
    <cfRule type="cellIs" dxfId="35815" priority="104799" stopIfTrue="1" operator="greaterThanOrEqual">
      <formula>0.5</formula>
    </cfRule>
  </conditionalFormatting>
  <conditionalFormatting sqref="D27">
    <cfRule type="cellIs" dxfId="35814" priority="104800" stopIfTrue="1" operator="equal">
      <formula>-1</formula>
    </cfRule>
  </conditionalFormatting>
  <conditionalFormatting sqref="D27">
    <cfRule type="cellIs" dxfId="35813" priority="104801" stopIfTrue="1" operator="lessThan">
      <formula>0.5</formula>
    </cfRule>
  </conditionalFormatting>
  <conditionalFormatting sqref="D27">
    <cfRule type="cellIs" dxfId="35812" priority="104802" stopIfTrue="1" operator="greaterThanOrEqual">
      <formula>0.5</formula>
    </cfRule>
  </conditionalFormatting>
  <conditionalFormatting sqref="D28">
    <cfRule type="cellIs" dxfId="35811" priority="104803" stopIfTrue="1" operator="equal">
      <formula>-1</formula>
    </cfRule>
  </conditionalFormatting>
  <conditionalFormatting sqref="D28">
    <cfRule type="cellIs" dxfId="35810" priority="104804" stopIfTrue="1" operator="lessThan">
      <formula>0.5</formula>
    </cfRule>
  </conditionalFormatting>
  <conditionalFormatting sqref="D28">
    <cfRule type="cellIs" dxfId="35809" priority="104805" stopIfTrue="1" operator="greaterThanOrEqual">
      <formula>0.5</formula>
    </cfRule>
  </conditionalFormatting>
  <conditionalFormatting sqref="D29">
    <cfRule type="cellIs" dxfId="35808" priority="104806" stopIfTrue="1" operator="equal">
      <formula>-1</formula>
    </cfRule>
  </conditionalFormatting>
  <conditionalFormatting sqref="D29">
    <cfRule type="cellIs" dxfId="35807" priority="104807" stopIfTrue="1" operator="lessThan">
      <formula>0.5</formula>
    </cfRule>
  </conditionalFormatting>
  <conditionalFormatting sqref="D29">
    <cfRule type="cellIs" dxfId="35806" priority="104808" stopIfTrue="1" operator="greaterThanOrEqual">
      <formula>0.5</formula>
    </cfRule>
  </conditionalFormatting>
  <conditionalFormatting sqref="D30">
    <cfRule type="cellIs" dxfId="35805" priority="104809" stopIfTrue="1" operator="equal">
      <formula>-1</formula>
    </cfRule>
  </conditionalFormatting>
  <conditionalFormatting sqref="D30">
    <cfRule type="cellIs" dxfId="35804" priority="104810" stopIfTrue="1" operator="lessThan">
      <formula>0.5</formula>
    </cfRule>
  </conditionalFormatting>
  <conditionalFormatting sqref="D30">
    <cfRule type="cellIs" dxfId="35803" priority="104811" stopIfTrue="1" operator="greaterThanOrEqual">
      <formula>0.5</formula>
    </cfRule>
  </conditionalFormatting>
  <conditionalFormatting sqref="D31">
    <cfRule type="cellIs" dxfId="35802" priority="104812" stopIfTrue="1" operator="equal">
      <formula>-1</formula>
    </cfRule>
  </conditionalFormatting>
  <conditionalFormatting sqref="D31">
    <cfRule type="cellIs" dxfId="35801" priority="104813" stopIfTrue="1" operator="lessThan">
      <formula>0.5</formula>
    </cfRule>
  </conditionalFormatting>
  <conditionalFormatting sqref="D31">
    <cfRule type="cellIs" dxfId="35800" priority="104814" stopIfTrue="1" operator="greaterThanOrEqual">
      <formula>0.5</formula>
    </cfRule>
  </conditionalFormatting>
  <conditionalFormatting sqref="D32">
    <cfRule type="cellIs" dxfId="35799" priority="104815" stopIfTrue="1" operator="equal">
      <formula>-1</formula>
    </cfRule>
  </conditionalFormatting>
  <conditionalFormatting sqref="D32">
    <cfRule type="cellIs" dxfId="35798" priority="104816" stopIfTrue="1" operator="lessThan">
      <formula>0.5</formula>
    </cfRule>
  </conditionalFormatting>
  <conditionalFormatting sqref="D32">
    <cfRule type="cellIs" dxfId="35797" priority="104817" stopIfTrue="1" operator="greaterThanOrEqual">
      <formula>0.5</formula>
    </cfRule>
  </conditionalFormatting>
  <conditionalFormatting sqref="D33">
    <cfRule type="cellIs" dxfId="35796" priority="104818" stopIfTrue="1" operator="equal">
      <formula>-1</formula>
    </cfRule>
  </conditionalFormatting>
  <conditionalFormatting sqref="D33">
    <cfRule type="cellIs" dxfId="35795" priority="104819" stopIfTrue="1" operator="lessThan">
      <formula>0.5</formula>
    </cfRule>
  </conditionalFormatting>
  <conditionalFormatting sqref="D33">
    <cfRule type="cellIs" dxfId="35794" priority="104820" stopIfTrue="1" operator="greaterThanOrEqual">
      <formula>0.5</formula>
    </cfRule>
  </conditionalFormatting>
  <conditionalFormatting sqref="D34">
    <cfRule type="cellIs" dxfId="35793" priority="104821" stopIfTrue="1" operator="equal">
      <formula>-1</formula>
    </cfRule>
  </conditionalFormatting>
  <conditionalFormatting sqref="D34">
    <cfRule type="cellIs" dxfId="35792" priority="104822" stopIfTrue="1" operator="lessThan">
      <formula>0.5</formula>
    </cfRule>
  </conditionalFormatting>
  <conditionalFormatting sqref="D34">
    <cfRule type="cellIs" dxfId="35791" priority="104823" stopIfTrue="1" operator="greaterThanOrEqual">
      <formula>0.5</formula>
    </cfRule>
  </conditionalFormatting>
  <conditionalFormatting sqref="D35">
    <cfRule type="cellIs" dxfId="35790" priority="104824" stopIfTrue="1" operator="equal">
      <formula>-1</formula>
    </cfRule>
  </conditionalFormatting>
  <conditionalFormatting sqref="D35">
    <cfRule type="cellIs" dxfId="35789" priority="104825" stopIfTrue="1" operator="lessThan">
      <formula>0.5</formula>
    </cfRule>
  </conditionalFormatting>
  <conditionalFormatting sqref="D35">
    <cfRule type="cellIs" dxfId="35788" priority="104826" stopIfTrue="1" operator="greaterThanOrEqual">
      <formula>0.5</formula>
    </cfRule>
  </conditionalFormatting>
  <conditionalFormatting sqref="D36">
    <cfRule type="cellIs" dxfId="35787" priority="104827" stopIfTrue="1" operator="equal">
      <formula>-1</formula>
    </cfRule>
  </conditionalFormatting>
  <conditionalFormatting sqref="D36">
    <cfRule type="cellIs" dxfId="35786" priority="104828" stopIfTrue="1" operator="lessThan">
      <formula>0.5</formula>
    </cfRule>
  </conditionalFormatting>
  <conditionalFormatting sqref="D36">
    <cfRule type="cellIs" dxfId="35785" priority="104829" stopIfTrue="1" operator="greaterThanOrEqual">
      <formula>0.5</formula>
    </cfRule>
  </conditionalFormatting>
  <conditionalFormatting sqref="D37">
    <cfRule type="cellIs" dxfId="35784" priority="104830" stopIfTrue="1" operator="equal">
      <formula>-1</formula>
    </cfRule>
  </conditionalFormatting>
  <conditionalFormatting sqref="D37">
    <cfRule type="cellIs" dxfId="35783" priority="104831" stopIfTrue="1" operator="lessThan">
      <formula>0.5</formula>
    </cfRule>
  </conditionalFormatting>
  <conditionalFormatting sqref="D37">
    <cfRule type="cellIs" dxfId="35782" priority="104832" stopIfTrue="1" operator="greaterThanOrEqual">
      <formula>0.5</formula>
    </cfRule>
  </conditionalFormatting>
  <conditionalFormatting sqref="F17">
    <cfRule type="cellIs" dxfId="35781" priority="104833" stopIfTrue="1" operator="equal">
      <formula>-1</formula>
    </cfRule>
  </conditionalFormatting>
  <conditionalFormatting sqref="F17">
    <cfRule type="cellIs" dxfId="35780" priority="104834" stopIfTrue="1" operator="lessThan">
      <formula>0.5</formula>
    </cfRule>
  </conditionalFormatting>
  <conditionalFormatting sqref="F17">
    <cfRule type="cellIs" dxfId="35779" priority="104835" stopIfTrue="1" operator="greaterThanOrEqual">
      <formula>0.5</formula>
    </cfRule>
  </conditionalFormatting>
  <conditionalFormatting sqref="F18">
    <cfRule type="cellIs" dxfId="35778" priority="104836" stopIfTrue="1" operator="equal">
      <formula>-1</formula>
    </cfRule>
  </conditionalFormatting>
  <conditionalFormatting sqref="F18">
    <cfRule type="cellIs" dxfId="35777" priority="104837" stopIfTrue="1" operator="lessThan">
      <formula>0.5</formula>
    </cfRule>
  </conditionalFormatting>
  <conditionalFormatting sqref="F18">
    <cfRule type="cellIs" dxfId="35776" priority="104838" stopIfTrue="1" operator="greaterThanOrEqual">
      <formula>0.5</formula>
    </cfRule>
  </conditionalFormatting>
  <conditionalFormatting sqref="F19">
    <cfRule type="cellIs" dxfId="35775" priority="104839" stopIfTrue="1" operator="equal">
      <formula>-1</formula>
    </cfRule>
  </conditionalFormatting>
  <conditionalFormatting sqref="F19">
    <cfRule type="cellIs" dxfId="35774" priority="104840" stopIfTrue="1" operator="lessThan">
      <formula>0.5</formula>
    </cfRule>
  </conditionalFormatting>
  <conditionalFormatting sqref="F19">
    <cfRule type="cellIs" dxfId="35773" priority="104841" stopIfTrue="1" operator="greaterThanOrEqual">
      <formula>0.5</formula>
    </cfRule>
  </conditionalFormatting>
  <conditionalFormatting sqref="F20">
    <cfRule type="cellIs" dxfId="35772" priority="104842" stopIfTrue="1" operator="equal">
      <formula>-1</formula>
    </cfRule>
  </conditionalFormatting>
  <conditionalFormatting sqref="F20">
    <cfRule type="cellIs" dxfId="35771" priority="104843" stopIfTrue="1" operator="lessThan">
      <formula>0.5</formula>
    </cfRule>
  </conditionalFormatting>
  <conditionalFormatting sqref="F20">
    <cfRule type="cellIs" dxfId="35770" priority="104844" stopIfTrue="1" operator="greaterThanOrEqual">
      <formula>0.5</formula>
    </cfRule>
  </conditionalFormatting>
  <conditionalFormatting sqref="F21">
    <cfRule type="cellIs" dxfId="35769" priority="104845" stopIfTrue="1" operator="equal">
      <formula>-1</formula>
    </cfRule>
  </conditionalFormatting>
  <conditionalFormatting sqref="F21">
    <cfRule type="cellIs" dxfId="35768" priority="104846" stopIfTrue="1" operator="lessThan">
      <formula>0.5</formula>
    </cfRule>
  </conditionalFormatting>
  <conditionalFormatting sqref="F21">
    <cfRule type="cellIs" dxfId="35767" priority="104847" stopIfTrue="1" operator="greaterThanOrEqual">
      <formula>0.5</formula>
    </cfRule>
  </conditionalFormatting>
  <conditionalFormatting sqref="F22">
    <cfRule type="cellIs" dxfId="35766" priority="104848" stopIfTrue="1" operator="equal">
      <formula>-1</formula>
    </cfRule>
  </conditionalFormatting>
  <conditionalFormatting sqref="F22">
    <cfRule type="cellIs" dxfId="35765" priority="104849" stopIfTrue="1" operator="lessThan">
      <formula>0.5</formula>
    </cfRule>
  </conditionalFormatting>
  <conditionalFormatting sqref="F22">
    <cfRule type="cellIs" dxfId="35764" priority="104850" stopIfTrue="1" operator="greaterThanOrEqual">
      <formula>0.5</formula>
    </cfRule>
  </conditionalFormatting>
  <conditionalFormatting sqref="F23">
    <cfRule type="cellIs" dxfId="35763" priority="104851" stopIfTrue="1" operator="equal">
      <formula>-1</formula>
    </cfRule>
  </conditionalFormatting>
  <conditionalFormatting sqref="F23">
    <cfRule type="cellIs" dxfId="35762" priority="104852" stopIfTrue="1" operator="lessThan">
      <formula>0.5</formula>
    </cfRule>
  </conditionalFormatting>
  <conditionalFormatting sqref="F23">
    <cfRule type="cellIs" dxfId="35761" priority="104853" stopIfTrue="1" operator="greaterThanOrEqual">
      <formula>0.5</formula>
    </cfRule>
  </conditionalFormatting>
  <conditionalFormatting sqref="F24">
    <cfRule type="cellIs" dxfId="35760" priority="104854" stopIfTrue="1" operator="equal">
      <formula>-1</formula>
    </cfRule>
  </conditionalFormatting>
  <conditionalFormatting sqref="F24">
    <cfRule type="cellIs" dxfId="35759" priority="104855" stopIfTrue="1" operator="lessThan">
      <formula>0.5</formula>
    </cfRule>
  </conditionalFormatting>
  <conditionalFormatting sqref="F24">
    <cfRule type="cellIs" dxfId="35758" priority="104856" stopIfTrue="1" operator="greaterThanOrEqual">
      <formula>0.5</formula>
    </cfRule>
  </conditionalFormatting>
  <conditionalFormatting sqref="F25">
    <cfRule type="cellIs" dxfId="35757" priority="104857" stopIfTrue="1" operator="equal">
      <formula>-1</formula>
    </cfRule>
  </conditionalFormatting>
  <conditionalFormatting sqref="F25">
    <cfRule type="cellIs" dxfId="35756" priority="104858" stopIfTrue="1" operator="lessThan">
      <formula>0.5</formula>
    </cfRule>
  </conditionalFormatting>
  <conditionalFormatting sqref="F25">
    <cfRule type="cellIs" dxfId="35755" priority="104859" stopIfTrue="1" operator="greaterThanOrEqual">
      <formula>0.5</formula>
    </cfRule>
  </conditionalFormatting>
  <conditionalFormatting sqref="F26">
    <cfRule type="cellIs" dxfId="35754" priority="104860" stopIfTrue="1" operator="equal">
      <formula>-1</formula>
    </cfRule>
  </conditionalFormatting>
  <conditionalFormatting sqref="F26">
    <cfRule type="cellIs" dxfId="35753" priority="104861" stopIfTrue="1" operator="lessThan">
      <formula>0.5</formula>
    </cfRule>
  </conditionalFormatting>
  <conditionalFormatting sqref="F26">
    <cfRule type="cellIs" dxfId="35752" priority="104862" stopIfTrue="1" operator="greaterThanOrEqual">
      <formula>0.5</formula>
    </cfRule>
  </conditionalFormatting>
  <conditionalFormatting sqref="F27">
    <cfRule type="cellIs" dxfId="35751" priority="104863" stopIfTrue="1" operator="equal">
      <formula>-1</formula>
    </cfRule>
  </conditionalFormatting>
  <conditionalFormatting sqref="F27">
    <cfRule type="cellIs" dxfId="35750" priority="104864" stopIfTrue="1" operator="lessThan">
      <formula>0.5</formula>
    </cfRule>
  </conditionalFormatting>
  <conditionalFormatting sqref="F27">
    <cfRule type="cellIs" dxfId="35749" priority="104865" stopIfTrue="1" operator="greaterThanOrEqual">
      <formula>0.5</formula>
    </cfRule>
  </conditionalFormatting>
  <conditionalFormatting sqref="F28">
    <cfRule type="cellIs" dxfId="35748" priority="104866" stopIfTrue="1" operator="equal">
      <formula>-1</formula>
    </cfRule>
  </conditionalFormatting>
  <conditionalFormatting sqref="F28">
    <cfRule type="cellIs" dxfId="35747" priority="104867" stopIfTrue="1" operator="lessThan">
      <formula>0.5</formula>
    </cfRule>
  </conditionalFormatting>
  <conditionalFormatting sqref="F28">
    <cfRule type="cellIs" dxfId="35746" priority="104868" stopIfTrue="1" operator="greaterThanOrEqual">
      <formula>0.5</formula>
    </cfRule>
  </conditionalFormatting>
  <conditionalFormatting sqref="F29">
    <cfRule type="cellIs" dxfId="35745" priority="104869" stopIfTrue="1" operator="equal">
      <formula>-1</formula>
    </cfRule>
  </conditionalFormatting>
  <conditionalFormatting sqref="F29">
    <cfRule type="cellIs" dxfId="35744" priority="104870" stopIfTrue="1" operator="lessThan">
      <formula>0.5</formula>
    </cfRule>
  </conditionalFormatting>
  <conditionalFormatting sqref="F29">
    <cfRule type="cellIs" dxfId="35743" priority="104871" stopIfTrue="1" operator="greaterThanOrEqual">
      <formula>0.5</formula>
    </cfRule>
  </conditionalFormatting>
  <conditionalFormatting sqref="F30">
    <cfRule type="cellIs" dxfId="35742" priority="104872" stopIfTrue="1" operator="equal">
      <formula>-1</formula>
    </cfRule>
  </conditionalFormatting>
  <conditionalFormatting sqref="F30">
    <cfRule type="cellIs" dxfId="35741" priority="104873" stopIfTrue="1" operator="lessThan">
      <formula>0.5</formula>
    </cfRule>
  </conditionalFormatting>
  <conditionalFormatting sqref="F30">
    <cfRule type="cellIs" dxfId="35740" priority="104874" stopIfTrue="1" operator="greaterThanOrEqual">
      <formula>0.5</formula>
    </cfRule>
  </conditionalFormatting>
  <conditionalFormatting sqref="F31">
    <cfRule type="cellIs" dxfId="35739" priority="104875" stopIfTrue="1" operator="equal">
      <formula>-1</formula>
    </cfRule>
  </conditionalFormatting>
  <conditionalFormatting sqref="F31">
    <cfRule type="cellIs" dxfId="35738" priority="104876" stopIfTrue="1" operator="lessThan">
      <formula>0.5</formula>
    </cfRule>
  </conditionalFormatting>
  <conditionalFormatting sqref="F31">
    <cfRule type="cellIs" dxfId="35737" priority="104877" stopIfTrue="1" operator="greaterThanOrEqual">
      <formula>0.5</formula>
    </cfRule>
  </conditionalFormatting>
  <conditionalFormatting sqref="F32">
    <cfRule type="cellIs" dxfId="35736" priority="104878" stopIfTrue="1" operator="equal">
      <formula>-1</formula>
    </cfRule>
  </conditionalFormatting>
  <conditionalFormatting sqref="F32">
    <cfRule type="cellIs" dxfId="35735" priority="104879" stopIfTrue="1" operator="lessThan">
      <formula>0.5</formula>
    </cfRule>
  </conditionalFormatting>
  <conditionalFormatting sqref="F32">
    <cfRule type="cellIs" dxfId="35734" priority="104880" stopIfTrue="1" operator="greaterThanOrEqual">
      <formula>0.5</formula>
    </cfRule>
  </conditionalFormatting>
  <conditionalFormatting sqref="F33">
    <cfRule type="cellIs" dxfId="35733" priority="104881" stopIfTrue="1" operator="equal">
      <formula>-1</formula>
    </cfRule>
  </conditionalFormatting>
  <conditionalFormatting sqref="F33">
    <cfRule type="cellIs" dxfId="35732" priority="104882" stopIfTrue="1" operator="lessThan">
      <formula>0.5</formula>
    </cfRule>
  </conditionalFormatting>
  <conditionalFormatting sqref="F33">
    <cfRule type="cellIs" dxfId="35731" priority="104883" stopIfTrue="1" operator="greaterThanOrEqual">
      <formula>0.5</formula>
    </cfRule>
  </conditionalFormatting>
  <conditionalFormatting sqref="F34">
    <cfRule type="cellIs" dxfId="35730" priority="104884" stopIfTrue="1" operator="equal">
      <formula>-1</formula>
    </cfRule>
  </conditionalFormatting>
  <conditionalFormatting sqref="F34">
    <cfRule type="cellIs" dxfId="35729" priority="104885" stopIfTrue="1" operator="lessThan">
      <formula>0.5</formula>
    </cfRule>
  </conditionalFormatting>
  <conditionalFormatting sqref="F34">
    <cfRule type="cellIs" dxfId="35728" priority="104886" stopIfTrue="1" operator="greaterThanOrEqual">
      <formula>0.5</formula>
    </cfRule>
  </conditionalFormatting>
  <conditionalFormatting sqref="F35">
    <cfRule type="cellIs" dxfId="35727" priority="104887" stopIfTrue="1" operator="equal">
      <formula>-1</formula>
    </cfRule>
  </conditionalFormatting>
  <conditionalFormatting sqref="F35">
    <cfRule type="cellIs" dxfId="35726" priority="104888" stopIfTrue="1" operator="lessThan">
      <formula>0.5</formula>
    </cfRule>
  </conditionalFormatting>
  <conditionalFormatting sqref="F35">
    <cfRule type="cellIs" dxfId="35725" priority="104889" stopIfTrue="1" operator="greaterThanOrEqual">
      <formula>0.5</formula>
    </cfRule>
  </conditionalFormatting>
  <conditionalFormatting sqref="F36">
    <cfRule type="cellIs" dxfId="35724" priority="104890" stopIfTrue="1" operator="equal">
      <formula>-1</formula>
    </cfRule>
  </conditionalFormatting>
  <conditionalFormatting sqref="F36">
    <cfRule type="cellIs" dxfId="35723" priority="104891" stopIfTrue="1" operator="lessThan">
      <formula>0.5</formula>
    </cfRule>
  </conditionalFormatting>
  <conditionalFormatting sqref="F36">
    <cfRule type="cellIs" dxfId="35722" priority="104892" stopIfTrue="1" operator="greaterThanOrEqual">
      <formula>0.5</formula>
    </cfRule>
  </conditionalFormatting>
  <conditionalFormatting sqref="F37">
    <cfRule type="cellIs" dxfId="35721" priority="104893" stopIfTrue="1" operator="equal">
      <formula>-1</formula>
    </cfRule>
  </conditionalFormatting>
  <conditionalFormatting sqref="F37">
    <cfRule type="cellIs" dxfId="35720" priority="104894" stopIfTrue="1" operator="lessThan">
      <formula>0.5</formula>
    </cfRule>
  </conditionalFormatting>
  <conditionalFormatting sqref="F37">
    <cfRule type="cellIs" dxfId="35719" priority="104895" stopIfTrue="1" operator="greaterThanOrEqual">
      <formula>0.5</formula>
    </cfRule>
  </conditionalFormatting>
  <conditionalFormatting sqref="H17">
    <cfRule type="cellIs" dxfId="35718" priority="104896" stopIfTrue="1" operator="equal">
      <formula>-1</formula>
    </cfRule>
  </conditionalFormatting>
  <conditionalFormatting sqref="H17">
    <cfRule type="cellIs" dxfId="35717" priority="104897" stopIfTrue="1" operator="lessThan">
      <formula>0.5</formula>
    </cfRule>
  </conditionalFormatting>
  <conditionalFormatting sqref="H17">
    <cfRule type="cellIs" dxfId="35716" priority="104898" stopIfTrue="1" operator="greaterThanOrEqual">
      <formula>0.5</formula>
    </cfRule>
  </conditionalFormatting>
  <conditionalFormatting sqref="H18">
    <cfRule type="cellIs" dxfId="35715" priority="104899" stopIfTrue="1" operator="equal">
      <formula>-1</formula>
    </cfRule>
  </conditionalFormatting>
  <conditionalFormatting sqref="H18">
    <cfRule type="cellIs" dxfId="35714" priority="104900" stopIfTrue="1" operator="lessThan">
      <formula>0.5</formula>
    </cfRule>
  </conditionalFormatting>
  <conditionalFormatting sqref="H18">
    <cfRule type="cellIs" dxfId="35713" priority="104901" stopIfTrue="1" operator="greaterThanOrEqual">
      <formula>0.5</formula>
    </cfRule>
  </conditionalFormatting>
  <conditionalFormatting sqref="H19">
    <cfRule type="cellIs" dxfId="35712" priority="104902" stopIfTrue="1" operator="equal">
      <formula>-1</formula>
    </cfRule>
  </conditionalFormatting>
  <conditionalFormatting sqref="H19">
    <cfRule type="cellIs" dxfId="35711" priority="104903" stopIfTrue="1" operator="lessThan">
      <formula>0.5</formula>
    </cfRule>
  </conditionalFormatting>
  <conditionalFormatting sqref="H19">
    <cfRule type="cellIs" dxfId="35710" priority="104904" stopIfTrue="1" operator="greaterThanOrEqual">
      <formula>0.5</formula>
    </cfRule>
  </conditionalFormatting>
  <conditionalFormatting sqref="H20">
    <cfRule type="cellIs" dxfId="35709" priority="104905" stopIfTrue="1" operator="equal">
      <formula>-1</formula>
    </cfRule>
  </conditionalFormatting>
  <conditionalFormatting sqref="H20">
    <cfRule type="cellIs" dxfId="35708" priority="104906" stopIfTrue="1" operator="lessThan">
      <formula>0.5</formula>
    </cfRule>
  </conditionalFormatting>
  <conditionalFormatting sqref="H20">
    <cfRule type="cellIs" dxfId="35707" priority="104907" stopIfTrue="1" operator="greaterThanOrEqual">
      <formula>0.5</formula>
    </cfRule>
  </conditionalFormatting>
  <conditionalFormatting sqref="H21">
    <cfRule type="cellIs" dxfId="35706" priority="104908" stopIfTrue="1" operator="equal">
      <formula>-1</formula>
    </cfRule>
  </conditionalFormatting>
  <conditionalFormatting sqref="H21">
    <cfRule type="cellIs" dxfId="35705" priority="104909" stopIfTrue="1" operator="lessThan">
      <formula>0.5</formula>
    </cfRule>
  </conditionalFormatting>
  <conditionalFormatting sqref="H21">
    <cfRule type="cellIs" dxfId="35704" priority="104910" stopIfTrue="1" operator="greaterThanOrEqual">
      <formula>0.5</formula>
    </cfRule>
  </conditionalFormatting>
  <conditionalFormatting sqref="H22">
    <cfRule type="cellIs" dxfId="35703" priority="104911" stopIfTrue="1" operator="equal">
      <formula>-1</formula>
    </cfRule>
  </conditionalFormatting>
  <conditionalFormatting sqref="H22">
    <cfRule type="cellIs" dxfId="35702" priority="104912" stopIfTrue="1" operator="lessThan">
      <formula>0.5</formula>
    </cfRule>
  </conditionalFormatting>
  <conditionalFormatting sqref="H22">
    <cfRule type="cellIs" dxfId="35701" priority="104913" stopIfTrue="1" operator="greaterThanOrEqual">
      <formula>0.5</formula>
    </cfRule>
  </conditionalFormatting>
  <conditionalFormatting sqref="H23">
    <cfRule type="cellIs" dxfId="35700" priority="104914" stopIfTrue="1" operator="equal">
      <formula>-1</formula>
    </cfRule>
  </conditionalFormatting>
  <conditionalFormatting sqref="H23">
    <cfRule type="cellIs" dxfId="35699" priority="104915" stopIfTrue="1" operator="lessThan">
      <formula>0.5</formula>
    </cfRule>
  </conditionalFormatting>
  <conditionalFormatting sqref="H23">
    <cfRule type="cellIs" dxfId="35698" priority="104916" stopIfTrue="1" operator="greaterThanOrEqual">
      <formula>0.5</formula>
    </cfRule>
  </conditionalFormatting>
  <conditionalFormatting sqref="H24">
    <cfRule type="cellIs" dxfId="35697" priority="104917" stopIfTrue="1" operator="equal">
      <formula>-1</formula>
    </cfRule>
  </conditionalFormatting>
  <conditionalFormatting sqref="H24">
    <cfRule type="cellIs" dxfId="35696" priority="104918" stopIfTrue="1" operator="lessThan">
      <formula>0.5</formula>
    </cfRule>
  </conditionalFormatting>
  <conditionalFormatting sqref="H24">
    <cfRule type="cellIs" dxfId="35695" priority="104919" stopIfTrue="1" operator="greaterThanOrEqual">
      <formula>0.5</formula>
    </cfRule>
  </conditionalFormatting>
  <conditionalFormatting sqref="H25">
    <cfRule type="cellIs" dxfId="35694" priority="104920" stopIfTrue="1" operator="equal">
      <formula>-1</formula>
    </cfRule>
  </conditionalFormatting>
  <conditionalFormatting sqref="H25">
    <cfRule type="cellIs" dxfId="35693" priority="104921" stopIfTrue="1" operator="lessThan">
      <formula>0.5</formula>
    </cfRule>
  </conditionalFormatting>
  <conditionalFormatting sqref="H25">
    <cfRule type="cellIs" dxfId="35692" priority="104922" stopIfTrue="1" operator="greaterThanOrEqual">
      <formula>0.5</formula>
    </cfRule>
  </conditionalFormatting>
  <conditionalFormatting sqref="H26">
    <cfRule type="cellIs" dxfId="35691" priority="104923" stopIfTrue="1" operator="equal">
      <formula>-1</formula>
    </cfRule>
  </conditionalFormatting>
  <conditionalFormatting sqref="H26">
    <cfRule type="cellIs" dxfId="35690" priority="104924" stopIfTrue="1" operator="lessThan">
      <formula>0.5</formula>
    </cfRule>
  </conditionalFormatting>
  <conditionalFormatting sqref="H26">
    <cfRule type="cellIs" dxfId="35689" priority="104925" stopIfTrue="1" operator="greaterThanOrEqual">
      <formula>0.5</formula>
    </cfRule>
  </conditionalFormatting>
  <conditionalFormatting sqref="H27">
    <cfRule type="cellIs" dxfId="35688" priority="104926" stopIfTrue="1" operator="equal">
      <formula>-1</formula>
    </cfRule>
  </conditionalFormatting>
  <conditionalFormatting sqref="H27">
    <cfRule type="cellIs" dxfId="35687" priority="104927" stopIfTrue="1" operator="lessThan">
      <formula>0.5</formula>
    </cfRule>
  </conditionalFormatting>
  <conditionalFormatting sqref="H27">
    <cfRule type="cellIs" dxfId="35686" priority="104928" stopIfTrue="1" operator="greaterThanOrEqual">
      <formula>0.5</formula>
    </cfRule>
  </conditionalFormatting>
  <conditionalFormatting sqref="H28">
    <cfRule type="cellIs" dxfId="35685" priority="104929" stopIfTrue="1" operator="equal">
      <formula>-1</formula>
    </cfRule>
  </conditionalFormatting>
  <conditionalFormatting sqref="H28">
    <cfRule type="cellIs" dxfId="35684" priority="104930" stopIfTrue="1" operator="lessThan">
      <formula>0.5</formula>
    </cfRule>
  </conditionalFormatting>
  <conditionalFormatting sqref="H28">
    <cfRule type="cellIs" dxfId="35683" priority="104931" stopIfTrue="1" operator="greaterThanOrEqual">
      <formula>0.5</formula>
    </cfRule>
  </conditionalFormatting>
  <conditionalFormatting sqref="H29">
    <cfRule type="cellIs" dxfId="35682" priority="104932" stopIfTrue="1" operator="equal">
      <formula>-1</formula>
    </cfRule>
  </conditionalFormatting>
  <conditionalFormatting sqref="H29">
    <cfRule type="cellIs" dxfId="35681" priority="104933" stopIfTrue="1" operator="lessThan">
      <formula>0.5</formula>
    </cfRule>
  </conditionalFormatting>
  <conditionalFormatting sqref="H29">
    <cfRule type="cellIs" dxfId="35680" priority="104934" stopIfTrue="1" operator="greaterThanOrEqual">
      <formula>0.5</formula>
    </cfRule>
  </conditionalFormatting>
  <conditionalFormatting sqref="H30">
    <cfRule type="cellIs" dxfId="35679" priority="104935" stopIfTrue="1" operator="equal">
      <formula>-1</formula>
    </cfRule>
  </conditionalFormatting>
  <conditionalFormatting sqref="H30">
    <cfRule type="cellIs" dxfId="35678" priority="104936" stopIfTrue="1" operator="lessThan">
      <formula>0.5</formula>
    </cfRule>
  </conditionalFormatting>
  <conditionalFormatting sqref="H30">
    <cfRule type="cellIs" dxfId="35677" priority="104937" stopIfTrue="1" operator="greaterThanOrEqual">
      <formula>0.5</formula>
    </cfRule>
  </conditionalFormatting>
  <conditionalFormatting sqref="H31">
    <cfRule type="cellIs" dxfId="35676" priority="104938" stopIfTrue="1" operator="equal">
      <formula>-1</formula>
    </cfRule>
  </conditionalFormatting>
  <conditionalFormatting sqref="H31">
    <cfRule type="cellIs" dxfId="35675" priority="104939" stopIfTrue="1" operator="lessThan">
      <formula>0.5</formula>
    </cfRule>
  </conditionalFormatting>
  <conditionalFormatting sqref="H31">
    <cfRule type="cellIs" dxfId="35674" priority="104940" stopIfTrue="1" operator="greaterThanOrEqual">
      <formula>0.5</formula>
    </cfRule>
  </conditionalFormatting>
  <conditionalFormatting sqref="H32">
    <cfRule type="cellIs" dxfId="35673" priority="104941" stopIfTrue="1" operator="equal">
      <formula>-1</formula>
    </cfRule>
  </conditionalFormatting>
  <conditionalFormatting sqref="H32">
    <cfRule type="cellIs" dxfId="35672" priority="104942" stopIfTrue="1" operator="lessThan">
      <formula>0.5</formula>
    </cfRule>
  </conditionalFormatting>
  <conditionalFormatting sqref="H32">
    <cfRule type="cellIs" dxfId="35671" priority="104943" stopIfTrue="1" operator="greaterThanOrEqual">
      <formula>0.5</formula>
    </cfRule>
  </conditionalFormatting>
  <conditionalFormatting sqref="H33">
    <cfRule type="cellIs" dxfId="35670" priority="104944" stopIfTrue="1" operator="equal">
      <formula>-1</formula>
    </cfRule>
  </conditionalFormatting>
  <conditionalFormatting sqref="H33">
    <cfRule type="cellIs" dxfId="35669" priority="104945" stopIfTrue="1" operator="lessThan">
      <formula>0.5</formula>
    </cfRule>
  </conditionalFormatting>
  <conditionalFormatting sqref="H33">
    <cfRule type="cellIs" dxfId="35668" priority="104946" stopIfTrue="1" operator="greaterThanOrEqual">
      <formula>0.5</formula>
    </cfRule>
  </conditionalFormatting>
  <conditionalFormatting sqref="H34">
    <cfRule type="cellIs" dxfId="35667" priority="104947" stopIfTrue="1" operator="equal">
      <formula>-1</formula>
    </cfRule>
  </conditionalFormatting>
  <conditionalFormatting sqref="H34">
    <cfRule type="cellIs" dxfId="35666" priority="104948" stopIfTrue="1" operator="lessThan">
      <formula>0.5</formula>
    </cfRule>
  </conditionalFormatting>
  <conditionalFormatting sqref="H34">
    <cfRule type="cellIs" dxfId="35665" priority="104949" stopIfTrue="1" operator="greaterThanOrEqual">
      <formula>0.5</formula>
    </cfRule>
  </conditionalFormatting>
  <conditionalFormatting sqref="H35">
    <cfRule type="cellIs" dxfId="35664" priority="104950" stopIfTrue="1" operator="equal">
      <formula>-1</formula>
    </cfRule>
  </conditionalFormatting>
  <conditionalFormatting sqref="H35">
    <cfRule type="cellIs" dxfId="35663" priority="104951" stopIfTrue="1" operator="lessThan">
      <formula>0.5</formula>
    </cfRule>
  </conditionalFormatting>
  <conditionalFormatting sqref="H35">
    <cfRule type="cellIs" dxfId="35662" priority="104952" stopIfTrue="1" operator="greaterThanOrEqual">
      <formula>0.5</formula>
    </cfRule>
  </conditionalFormatting>
  <conditionalFormatting sqref="H36">
    <cfRule type="cellIs" dxfId="35661" priority="104953" stopIfTrue="1" operator="equal">
      <formula>-1</formula>
    </cfRule>
  </conditionalFormatting>
  <conditionalFormatting sqref="H36">
    <cfRule type="cellIs" dxfId="35660" priority="104954" stopIfTrue="1" operator="lessThan">
      <formula>0.5</formula>
    </cfRule>
  </conditionalFormatting>
  <conditionalFormatting sqref="H36">
    <cfRule type="cellIs" dxfId="35659" priority="104955" stopIfTrue="1" operator="greaterThanOrEqual">
      <formula>0.5</formula>
    </cfRule>
  </conditionalFormatting>
  <conditionalFormatting sqref="H37">
    <cfRule type="cellIs" dxfId="35658" priority="104956" stopIfTrue="1" operator="equal">
      <formula>-1</formula>
    </cfRule>
  </conditionalFormatting>
  <conditionalFormatting sqref="H37">
    <cfRule type="cellIs" dxfId="35657" priority="104957" stopIfTrue="1" operator="lessThan">
      <formula>0.5</formula>
    </cfRule>
  </conditionalFormatting>
  <conditionalFormatting sqref="H37">
    <cfRule type="cellIs" dxfId="35656" priority="104958" stopIfTrue="1" operator="greaterThanOrEqual">
      <formula>0.5</formula>
    </cfRule>
  </conditionalFormatting>
  <conditionalFormatting sqref="J17">
    <cfRule type="cellIs" dxfId="35655" priority="104959" stopIfTrue="1" operator="equal">
      <formula>-1</formula>
    </cfRule>
  </conditionalFormatting>
  <conditionalFormatting sqref="J17">
    <cfRule type="cellIs" dxfId="35654" priority="104960" stopIfTrue="1" operator="lessThan">
      <formula>0.5</formula>
    </cfRule>
  </conditionalFormatting>
  <conditionalFormatting sqref="J17">
    <cfRule type="cellIs" dxfId="35653" priority="104961" stopIfTrue="1" operator="greaterThanOrEqual">
      <formula>0.5</formula>
    </cfRule>
  </conditionalFormatting>
  <conditionalFormatting sqref="J18">
    <cfRule type="cellIs" dxfId="35652" priority="104962" stopIfTrue="1" operator="equal">
      <formula>-1</formula>
    </cfRule>
  </conditionalFormatting>
  <conditionalFormatting sqref="J18">
    <cfRule type="cellIs" dxfId="35651" priority="104963" stopIfTrue="1" operator="lessThan">
      <formula>0.5</formula>
    </cfRule>
  </conditionalFormatting>
  <conditionalFormatting sqref="J18">
    <cfRule type="cellIs" dxfId="35650" priority="104964" stopIfTrue="1" operator="greaterThanOrEqual">
      <formula>0.5</formula>
    </cfRule>
  </conditionalFormatting>
  <conditionalFormatting sqref="J19">
    <cfRule type="cellIs" dxfId="35649" priority="104965" stopIfTrue="1" operator="equal">
      <formula>-1</formula>
    </cfRule>
  </conditionalFormatting>
  <conditionalFormatting sqref="J19">
    <cfRule type="cellIs" dxfId="35648" priority="104966" stopIfTrue="1" operator="lessThan">
      <formula>0.5</formula>
    </cfRule>
  </conditionalFormatting>
  <conditionalFormatting sqref="J19">
    <cfRule type="cellIs" dxfId="35647" priority="104967" stopIfTrue="1" operator="greaterThanOrEqual">
      <formula>0.5</formula>
    </cfRule>
  </conditionalFormatting>
  <conditionalFormatting sqref="J20">
    <cfRule type="cellIs" dxfId="35646" priority="104968" stopIfTrue="1" operator="equal">
      <formula>-1</formula>
    </cfRule>
  </conditionalFormatting>
  <conditionalFormatting sqref="J20">
    <cfRule type="cellIs" dxfId="35645" priority="104969" stopIfTrue="1" operator="lessThan">
      <formula>0.5</formula>
    </cfRule>
  </conditionalFormatting>
  <conditionalFormatting sqref="J20">
    <cfRule type="cellIs" dxfId="35644" priority="104970" stopIfTrue="1" operator="greaterThanOrEqual">
      <formula>0.5</formula>
    </cfRule>
  </conditionalFormatting>
  <conditionalFormatting sqref="J21">
    <cfRule type="cellIs" dxfId="35643" priority="104971" stopIfTrue="1" operator="equal">
      <formula>-1</formula>
    </cfRule>
  </conditionalFormatting>
  <conditionalFormatting sqref="J21">
    <cfRule type="cellIs" dxfId="35642" priority="104972" stopIfTrue="1" operator="lessThan">
      <formula>0.5</formula>
    </cfRule>
  </conditionalFormatting>
  <conditionalFormatting sqref="J21">
    <cfRule type="cellIs" dxfId="35641" priority="104973" stopIfTrue="1" operator="greaterThanOrEqual">
      <formula>0.5</formula>
    </cfRule>
  </conditionalFormatting>
  <conditionalFormatting sqref="J22">
    <cfRule type="cellIs" dxfId="35640" priority="104974" stopIfTrue="1" operator="equal">
      <formula>-1</formula>
    </cfRule>
  </conditionalFormatting>
  <conditionalFormatting sqref="J22">
    <cfRule type="cellIs" dxfId="35639" priority="104975" stopIfTrue="1" operator="lessThan">
      <formula>0.5</formula>
    </cfRule>
  </conditionalFormatting>
  <conditionalFormatting sqref="J22">
    <cfRule type="cellIs" dxfId="35638" priority="104976" stopIfTrue="1" operator="greaterThanOrEqual">
      <formula>0.5</formula>
    </cfRule>
  </conditionalFormatting>
  <conditionalFormatting sqref="J23">
    <cfRule type="cellIs" dxfId="35637" priority="104977" stopIfTrue="1" operator="equal">
      <formula>-1</formula>
    </cfRule>
  </conditionalFormatting>
  <conditionalFormatting sqref="J23">
    <cfRule type="cellIs" dxfId="35636" priority="104978" stopIfTrue="1" operator="lessThan">
      <formula>0.5</formula>
    </cfRule>
  </conditionalFormatting>
  <conditionalFormatting sqref="J23">
    <cfRule type="cellIs" dxfId="35635" priority="104979" stopIfTrue="1" operator="greaterThanOrEqual">
      <formula>0.5</formula>
    </cfRule>
  </conditionalFormatting>
  <conditionalFormatting sqref="J24">
    <cfRule type="cellIs" dxfId="35634" priority="104980" stopIfTrue="1" operator="equal">
      <formula>-1</formula>
    </cfRule>
  </conditionalFormatting>
  <conditionalFormatting sqref="J24">
    <cfRule type="cellIs" dxfId="35633" priority="104981" stopIfTrue="1" operator="lessThan">
      <formula>0.5</formula>
    </cfRule>
  </conditionalFormatting>
  <conditionalFormatting sqref="J24">
    <cfRule type="cellIs" dxfId="35632" priority="104982" stopIfTrue="1" operator="greaterThanOrEqual">
      <formula>0.5</formula>
    </cfRule>
  </conditionalFormatting>
  <conditionalFormatting sqref="J25">
    <cfRule type="cellIs" dxfId="35631" priority="104983" stopIfTrue="1" operator="equal">
      <formula>-1</formula>
    </cfRule>
  </conditionalFormatting>
  <conditionalFormatting sqref="J25">
    <cfRule type="cellIs" dxfId="35630" priority="104984" stopIfTrue="1" operator="lessThan">
      <formula>0.5</formula>
    </cfRule>
  </conditionalFormatting>
  <conditionalFormatting sqref="J25">
    <cfRule type="cellIs" dxfId="35629" priority="104985" stopIfTrue="1" operator="greaterThanOrEqual">
      <formula>0.5</formula>
    </cfRule>
  </conditionalFormatting>
  <conditionalFormatting sqref="J26">
    <cfRule type="cellIs" dxfId="35628" priority="104986" stopIfTrue="1" operator="equal">
      <formula>-1</formula>
    </cfRule>
  </conditionalFormatting>
  <conditionalFormatting sqref="J26">
    <cfRule type="cellIs" dxfId="35627" priority="104987" stopIfTrue="1" operator="lessThan">
      <formula>0.5</formula>
    </cfRule>
  </conditionalFormatting>
  <conditionalFormatting sqref="J26">
    <cfRule type="cellIs" dxfId="35626" priority="104988" stopIfTrue="1" operator="greaterThanOrEqual">
      <formula>0.5</formula>
    </cfRule>
  </conditionalFormatting>
  <conditionalFormatting sqref="J27">
    <cfRule type="cellIs" dxfId="35625" priority="104989" stopIfTrue="1" operator="equal">
      <formula>-1</formula>
    </cfRule>
  </conditionalFormatting>
  <conditionalFormatting sqref="J27">
    <cfRule type="cellIs" dxfId="35624" priority="104990" stopIfTrue="1" operator="lessThan">
      <formula>0.5</formula>
    </cfRule>
  </conditionalFormatting>
  <conditionalFormatting sqref="J27">
    <cfRule type="cellIs" dxfId="35623" priority="104991" stopIfTrue="1" operator="greaterThanOrEqual">
      <formula>0.5</formula>
    </cfRule>
  </conditionalFormatting>
  <conditionalFormatting sqref="J28">
    <cfRule type="cellIs" dxfId="35622" priority="104992" stopIfTrue="1" operator="equal">
      <formula>-1</formula>
    </cfRule>
  </conditionalFormatting>
  <conditionalFormatting sqref="J28">
    <cfRule type="cellIs" dxfId="35621" priority="104993" stopIfTrue="1" operator="lessThan">
      <formula>0.5</formula>
    </cfRule>
  </conditionalFormatting>
  <conditionalFormatting sqref="J28">
    <cfRule type="cellIs" dxfId="35620" priority="104994" stopIfTrue="1" operator="greaterThanOrEqual">
      <formula>0.5</formula>
    </cfRule>
  </conditionalFormatting>
  <conditionalFormatting sqref="J29">
    <cfRule type="cellIs" dxfId="35619" priority="104995" stopIfTrue="1" operator="equal">
      <formula>-1</formula>
    </cfRule>
  </conditionalFormatting>
  <conditionalFormatting sqref="J29">
    <cfRule type="cellIs" dxfId="35618" priority="104996" stopIfTrue="1" operator="lessThan">
      <formula>0.5</formula>
    </cfRule>
  </conditionalFormatting>
  <conditionalFormatting sqref="J29">
    <cfRule type="cellIs" dxfId="35617" priority="104997" stopIfTrue="1" operator="greaterThanOrEqual">
      <formula>0.5</formula>
    </cfRule>
  </conditionalFormatting>
  <conditionalFormatting sqref="J30">
    <cfRule type="cellIs" dxfId="35616" priority="104998" stopIfTrue="1" operator="equal">
      <formula>-1</formula>
    </cfRule>
  </conditionalFormatting>
  <conditionalFormatting sqref="J30">
    <cfRule type="cellIs" dxfId="35615" priority="104999" stopIfTrue="1" operator="lessThan">
      <formula>0.5</formula>
    </cfRule>
  </conditionalFormatting>
  <conditionalFormatting sqref="J30">
    <cfRule type="cellIs" dxfId="35614" priority="105000" stopIfTrue="1" operator="greaterThanOrEqual">
      <formula>0.5</formula>
    </cfRule>
  </conditionalFormatting>
  <conditionalFormatting sqref="J31">
    <cfRule type="cellIs" dxfId="35613" priority="105001" stopIfTrue="1" operator="equal">
      <formula>-1</formula>
    </cfRule>
  </conditionalFormatting>
  <conditionalFormatting sqref="J31">
    <cfRule type="cellIs" dxfId="35612" priority="105002" stopIfTrue="1" operator="lessThan">
      <formula>0.5</formula>
    </cfRule>
  </conditionalFormatting>
  <conditionalFormatting sqref="J31">
    <cfRule type="cellIs" dxfId="35611" priority="105003" stopIfTrue="1" operator="greaterThanOrEqual">
      <formula>0.5</formula>
    </cfRule>
  </conditionalFormatting>
  <conditionalFormatting sqref="J32">
    <cfRule type="cellIs" dxfId="35610" priority="105004" stopIfTrue="1" operator="equal">
      <formula>-1</formula>
    </cfRule>
  </conditionalFormatting>
  <conditionalFormatting sqref="J32">
    <cfRule type="cellIs" dxfId="35609" priority="105005" stopIfTrue="1" operator="lessThan">
      <formula>0.5</formula>
    </cfRule>
  </conditionalFormatting>
  <conditionalFormatting sqref="J32">
    <cfRule type="cellIs" dxfId="35608" priority="105006" stopIfTrue="1" operator="greaterThanOrEqual">
      <formula>0.5</formula>
    </cfRule>
  </conditionalFormatting>
  <conditionalFormatting sqref="J33">
    <cfRule type="cellIs" dxfId="35607" priority="105007" stopIfTrue="1" operator="equal">
      <formula>-1</formula>
    </cfRule>
  </conditionalFormatting>
  <conditionalFormatting sqref="J33">
    <cfRule type="cellIs" dxfId="35606" priority="105008" stopIfTrue="1" operator="lessThan">
      <formula>0.5</formula>
    </cfRule>
  </conditionalFormatting>
  <conditionalFormatting sqref="J33">
    <cfRule type="cellIs" dxfId="35605" priority="105009" stopIfTrue="1" operator="greaterThanOrEqual">
      <formula>0.5</formula>
    </cfRule>
  </conditionalFormatting>
  <conditionalFormatting sqref="J34">
    <cfRule type="cellIs" dxfId="35604" priority="105010" stopIfTrue="1" operator="equal">
      <formula>-1</formula>
    </cfRule>
  </conditionalFormatting>
  <conditionalFormatting sqref="J34">
    <cfRule type="cellIs" dxfId="35603" priority="105011" stopIfTrue="1" operator="lessThan">
      <formula>0.5</formula>
    </cfRule>
  </conditionalFormatting>
  <conditionalFormatting sqref="J34">
    <cfRule type="cellIs" dxfId="35602" priority="105012" stopIfTrue="1" operator="greaterThanOrEqual">
      <formula>0.5</formula>
    </cfRule>
  </conditionalFormatting>
  <conditionalFormatting sqref="J35">
    <cfRule type="cellIs" dxfId="35601" priority="105013" stopIfTrue="1" operator="equal">
      <formula>-1</formula>
    </cfRule>
  </conditionalFormatting>
  <conditionalFormatting sqref="J35">
    <cfRule type="cellIs" dxfId="35600" priority="105014" stopIfTrue="1" operator="lessThan">
      <formula>0.5</formula>
    </cfRule>
  </conditionalFormatting>
  <conditionalFormatting sqref="J35">
    <cfRule type="cellIs" dxfId="35599" priority="105015" stopIfTrue="1" operator="greaterThanOrEqual">
      <formula>0.5</formula>
    </cfRule>
  </conditionalFormatting>
  <conditionalFormatting sqref="J36">
    <cfRule type="cellIs" dxfId="35598" priority="105016" stopIfTrue="1" operator="equal">
      <formula>-1</formula>
    </cfRule>
  </conditionalFormatting>
  <conditionalFormatting sqref="J36">
    <cfRule type="cellIs" dxfId="35597" priority="105017" stopIfTrue="1" operator="lessThan">
      <formula>0.5</formula>
    </cfRule>
  </conditionalFormatting>
  <conditionalFormatting sqref="J36">
    <cfRule type="cellIs" dxfId="35596" priority="105018" stopIfTrue="1" operator="greaterThanOrEqual">
      <formula>0.5</formula>
    </cfRule>
  </conditionalFormatting>
  <conditionalFormatting sqref="J37">
    <cfRule type="cellIs" dxfId="35595" priority="105019" stopIfTrue="1" operator="equal">
      <formula>-1</formula>
    </cfRule>
  </conditionalFormatting>
  <conditionalFormatting sqref="J37">
    <cfRule type="cellIs" dxfId="35594" priority="105020" stopIfTrue="1" operator="lessThan">
      <formula>0.5</formula>
    </cfRule>
  </conditionalFormatting>
  <conditionalFormatting sqref="J37">
    <cfRule type="cellIs" dxfId="35593" priority="105021" stopIfTrue="1" operator="greaterThanOrEqual">
      <formula>0.5</formula>
    </cfRule>
  </conditionalFormatting>
  <conditionalFormatting sqref="L17">
    <cfRule type="cellIs" dxfId="35592" priority="105022" stopIfTrue="1" operator="equal">
      <formula>-1</formula>
    </cfRule>
  </conditionalFormatting>
  <conditionalFormatting sqref="L17">
    <cfRule type="cellIs" dxfId="35591" priority="105023" stopIfTrue="1" operator="lessThan">
      <formula>0.5</formula>
    </cfRule>
  </conditionalFormatting>
  <conditionalFormatting sqref="L17">
    <cfRule type="cellIs" dxfId="35590" priority="105024" stopIfTrue="1" operator="greaterThanOrEqual">
      <formula>0.5</formula>
    </cfRule>
  </conditionalFormatting>
  <conditionalFormatting sqref="L18">
    <cfRule type="cellIs" dxfId="35589" priority="105025" stopIfTrue="1" operator="equal">
      <formula>-1</formula>
    </cfRule>
  </conditionalFormatting>
  <conditionalFormatting sqref="L18">
    <cfRule type="cellIs" dxfId="35588" priority="105026" stopIfTrue="1" operator="lessThan">
      <formula>0.5</formula>
    </cfRule>
  </conditionalFormatting>
  <conditionalFormatting sqref="L18">
    <cfRule type="cellIs" dxfId="35587" priority="105027" stopIfTrue="1" operator="greaterThanOrEqual">
      <formula>0.5</formula>
    </cfRule>
  </conditionalFormatting>
  <conditionalFormatting sqref="L19">
    <cfRule type="cellIs" dxfId="35586" priority="105028" stopIfTrue="1" operator="equal">
      <formula>-1</formula>
    </cfRule>
  </conditionalFormatting>
  <conditionalFormatting sqref="L19">
    <cfRule type="cellIs" dxfId="35585" priority="105029" stopIfTrue="1" operator="lessThan">
      <formula>0.5</formula>
    </cfRule>
  </conditionalFormatting>
  <conditionalFormatting sqref="L19">
    <cfRule type="cellIs" dxfId="35584" priority="105030" stopIfTrue="1" operator="greaterThanOrEqual">
      <formula>0.5</formula>
    </cfRule>
  </conditionalFormatting>
  <conditionalFormatting sqref="L20">
    <cfRule type="cellIs" dxfId="35583" priority="105031" stopIfTrue="1" operator="equal">
      <formula>-1</formula>
    </cfRule>
  </conditionalFormatting>
  <conditionalFormatting sqref="L20">
    <cfRule type="cellIs" dxfId="35582" priority="105032" stopIfTrue="1" operator="lessThan">
      <formula>0.5</formula>
    </cfRule>
  </conditionalFormatting>
  <conditionalFormatting sqref="L20">
    <cfRule type="cellIs" dxfId="35581" priority="105033" stopIfTrue="1" operator="greaterThanOrEqual">
      <formula>0.5</formula>
    </cfRule>
  </conditionalFormatting>
  <conditionalFormatting sqref="L21">
    <cfRule type="cellIs" dxfId="35580" priority="105034" stopIfTrue="1" operator="equal">
      <formula>-1</formula>
    </cfRule>
  </conditionalFormatting>
  <conditionalFormatting sqref="L21">
    <cfRule type="cellIs" dxfId="35579" priority="105035" stopIfTrue="1" operator="lessThan">
      <formula>0.5</formula>
    </cfRule>
  </conditionalFormatting>
  <conditionalFormatting sqref="L21">
    <cfRule type="cellIs" dxfId="35578" priority="105036" stopIfTrue="1" operator="greaterThanOrEqual">
      <formula>0.5</formula>
    </cfRule>
  </conditionalFormatting>
  <conditionalFormatting sqref="L22">
    <cfRule type="cellIs" dxfId="35577" priority="105037" stopIfTrue="1" operator="equal">
      <formula>-1</formula>
    </cfRule>
  </conditionalFormatting>
  <conditionalFormatting sqref="L22">
    <cfRule type="cellIs" dxfId="35576" priority="105038" stopIfTrue="1" operator="lessThan">
      <formula>0.5</formula>
    </cfRule>
  </conditionalFormatting>
  <conditionalFormatting sqref="L22">
    <cfRule type="cellIs" dxfId="35575" priority="105039" stopIfTrue="1" operator="greaterThanOrEqual">
      <formula>0.5</formula>
    </cfRule>
  </conditionalFormatting>
  <conditionalFormatting sqref="L23">
    <cfRule type="cellIs" dxfId="35574" priority="105040" stopIfTrue="1" operator="equal">
      <formula>-1</formula>
    </cfRule>
  </conditionalFormatting>
  <conditionalFormatting sqref="L23">
    <cfRule type="cellIs" dxfId="35573" priority="105041" stopIfTrue="1" operator="lessThan">
      <formula>0.5</formula>
    </cfRule>
  </conditionalFormatting>
  <conditionalFormatting sqref="L23">
    <cfRule type="cellIs" dxfId="35572" priority="105042" stopIfTrue="1" operator="greaterThanOrEqual">
      <formula>0.5</formula>
    </cfRule>
  </conditionalFormatting>
  <conditionalFormatting sqref="L24">
    <cfRule type="cellIs" dxfId="35571" priority="105043" stopIfTrue="1" operator="equal">
      <formula>-1</formula>
    </cfRule>
  </conditionalFormatting>
  <conditionalFormatting sqref="L24">
    <cfRule type="cellIs" dxfId="35570" priority="105044" stopIfTrue="1" operator="lessThan">
      <formula>0.5</formula>
    </cfRule>
  </conditionalFormatting>
  <conditionalFormatting sqref="L24">
    <cfRule type="cellIs" dxfId="35569" priority="105045" stopIfTrue="1" operator="greaterThanOrEqual">
      <formula>0.5</formula>
    </cfRule>
  </conditionalFormatting>
  <conditionalFormatting sqref="L25">
    <cfRule type="cellIs" dxfId="35568" priority="105046" stopIfTrue="1" operator="equal">
      <formula>-1</formula>
    </cfRule>
  </conditionalFormatting>
  <conditionalFormatting sqref="L25">
    <cfRule type="cellIs" dxfId="35567" priority="105047" stopIfTrue="1" operator="lessThan">
      <formula>0.5</formula>
    </cfRule>
  </conditionalFormatting>
  <conditionalFormatting sqref="L25">
    <cfRule type="cellIs" dxfId="35566" priority="105048" stopIfTrue="1" operator="greaterThanOrEqual">
      <formula>0.5</formula>
    </cfRule>
  </conditionalFormatting>
  <conditionalFormatting sqref="L26">
    <cfRule type="cellIs" dxfId="35565" priority="105049" stopIfTrue="1" operator="equal">
      <formula>-1</formula>
    </cfRule>
  </conditionalFormatting>
  <conditionalFormatting sqref="L26">
    <cfRule type="cellIs" dxfId="35564" priority="105050" stopIfTrue="1" operator="lessThan">
      <formula>0.5</formula>
    </cfRule>
  </conditionalFormatting>
  <conditionalFormatting sqref="L26">
    <cfRule type="cellIs" dxfId="35563" priority="105051" stopIfTrue="1" operator="greaterThanOrEqual">
      <formula>0.5</formula>
    </cfRule>
  </conditionalFormatting>
  <conditionalFormatting sqref="L27">
    <cfRule type="cellIs" dxfId="35562" priority="105052" stopIfTrue="1" operator="equal">
      <formula>-1</formula>
    </cfRule>
  </conditionalFormatting>
  <conditionalFormatting sqref="L27">
    <cfRule type="cellIs" dxfId="35561" priority="105053" stopIfTrue="1" operator="lessThan">
      <formula>0.5</formula>
    </cfRule>
  </conditionalFormatting>
  <conditionalFormatting sqref="L27">
    <cfRule type="cellIs" dxfId="35560" priority="105054" stopIfTrue="1" operator="greaterThanOrEqual">
      <formula>0.5</formula>
    </cfRule>
  </conditionalFormatting>
  <conditionalFormatting sqref="L28">
    <cfRule type="cellIs" dxfId="35559" priority="105055" stopIfTrue="1" operator="equal">
      <formula>-1</formula>
    </cfRule>
  </conditionalFormatting>
  <conditionalFormatting sqref="L28">
    <cfRule type="cellIs" dxfId="35558" priority="105056" stopIfTrue="1" operator="lessThan">
      <formula>0.5</formula>
    </cfRule>
  </conditionalFormatting>
  <conditionalFormatting sqref="L28">
    <cfRule type="cellIs" dxfId="35557" priority="105057" stopIfTrue="1" operator="greaterThanOrEqual">
      <formula>0.5</formula>
    </cfRule>
  </conditionalFormatting>
  <conditionalFormatting sqref="L29">
    <cfRule type="cellIs" dxfId="35556" priority="105058" stopIfTrue="1" operator="equal">
      <formula>-1</formula>
    </cfRule>
  </conditionalFormatting>
  <conditionalFormatting sqref="L29">
    <cfRule type="cellIs" dxfId="35555" priority="105059" stopIfTrue="1" operator="lessThan">
      <formula>0.5</formula>
    </cfRule>
  </conditionalFormatting>
  <conditionalFormatting sqref="L29">
    <cfRule type="cellIs" dxfId="35554" priority="105060" stopIfTrue="1" operator="greaterThanOrEqual">
      <formula>0.5</formula>
    </cfRule>
  </conditionalFormatting>
  <conditionalFormatting sqref="L30">
    <cfRule type="cellIs" dxfId="35553" priority="105061" stopIfTrue="1" operator="equal">
      <formula>-1</formula>
    </cfRule>
  </conditionalFormatting>
  <conditionalFormatting sqref="L30">
    <cfRule type="cellIs" dxfId="35552" priority="105062" stopIfTrue="1" operator="lessThan">
      <formula>0.5</formula>
    </cfRule>
  </conditionalFormatting>
  <conditionalFormatting sqref="L30">
    <cfRule type="cellIs" dxfId="35551" priority="105063" stopIfTrue="1" operator="greaterThanOrEqual">
      <formula>0.5</formula>
    </cfRule>
  </conditionalFormatting>
  <conditionalFormatting sqref="L31">
    <cfRule type="cellIs" dxfId="35550" priority="105064" stopIfTrue="1" operator="equal">
      <formula>-1</formula>
    </cfRule>
  </conditionalFormatting>
  <conditionalFormatting sqref="L31">
    <cfRule type="cellIs" dxfId="35549" priority="105065" stopIfTrue="1" operator="lessThan">
      <formula>0.5</formula>
    </cfRule>
  </conditionalFormatting>
  <conditionalFormatting sqref="L31">
    <cfRule type="cellIs" dxfId="35548" priority="105066" stopIfTrue="1" operator="greaterThanOrEqual">
      <formula>0.5</formula>
    </cfRule>
  </conditionalFormatting>
  <conditionalFormatting sqref="L32">
    <cfRule type="cellIs" dxfId="35547" priority="105067" stopIfTrue="1" operator="equal">
      <formula>-1</formula>
    </cfRule>
  </conditionalFormatting>
  <conditionalFormatting sqref="L32">
    <cfRule type="cellIs" dxfId="35546" priority="105068" stopIfTrue="1" operator="lessThan">
      <formula>0.5</formula>
    </cfRule>
  </conditionalFormatting>
  <conditionalFormatting sqref="L32">
    <cfRule type="cellIs" dxfId="35545" priority="105069" stopIfTrue="1" operator="greaterThanOrEqual">
      <formula>0.5</formula>
    </cfRule>
  </conditionalFormatting>
  <conditionalFormatting sqref="L33">
    <cfRule type="cellIs" dxfId="35544" priority="105070" stopIfTrue="1" operator="equal">
      <formula>-1</formula>
    </cfRule>
  </conditionalFormatting>
  <conditionalFormatting sqref="L33">
    <cfRule type="cellIs" dxfId="35543" priority="105071" stopIfTrue="1" operator="lessThan">
      <formula>0.5</formula>
    </cfRule>
  </conditionalFormatting>
  <conditionalFormatting sqref="L33">
    <cfRule type="cellIs" dxfId="35542" priority="105072" stopIfTrue="1" operator="greaterThanOrEqual">
      <formula>0.5</formula>
    </cfRule>
  </conditionalFormatting>
  <conditionalFormatting sqref="L34">
    <cfRule type="cellIs" dxfId="35541" priority="105073" stopIfTrue="1" operator="equal">
      <formula>-1</formula>
    </cfRule>
  </conditionalFormatting>
  <conditionalFormatting sqref="L34">
    <cfRule type="cellIs" dxfId="35540" priority="105074" stopIfTrue="1" operator="lessThan">
      <formula>0.5</formula>
    </cfRule>
  </conditionalFormatting>
  <conditionalFormatting sqref="L34">
    <cfRule type="cellIs" dxfId="35539" priority="105075" stopIfTrue="1" operator="greaterThanOrEqual">
      <formula>0.5</formula>
    </cfRule>
  </conditionalFormatting>
  <conditionalFormatting sqref="L35">
    <cfRule type="cellIs" dxfId="35538" priority="105076" stopIfTrue="1" operator="equal">
      <formula>-1</formula>
    </cfRule>
  </conditionalFormatting>
  <conditionalFormatting sqref="L35">
    <cfRule type="cellIs" dxfId="35537" priority="105077" stopIfTrue="1" operator="lessThan">
      <formula>0.5</formula>
    </cfRule>
  </conditionalFormatting>
  <conditionalFormatting sqref="L35">
    <cfRule type="cellIs" dxfId="35536" priority="105078" stopIfTrue="1" operator="greaterThanOrEqual">
      <formula>0.5</formula>
    </cfRule>
  </conditionalFormatting>
  <conditionalFormatting sqref="L36">
    <cfRule type="cellIs" dxfId="35535" priority="105079" stopIfTrue="1" operator="equal">
      <formula>-1</formula>
    </cfRule>
  </conditionalFormatting>
  <conditionalFormatting sqref="L36">
    <cfRule type="cellIs" dxfId="35534" priority="105080" stopIfTrue="1" operator="lessThan">
      <formula>0.5</formula>
    </cfRule>
  </conditionalFormatting>
  <conditionalFormatting sqref="L36">
    <cfRule type="cellIs" dxfId="35533" priority="105081" stopIfTrue="1" operator="greaterThanOrEqual">
      <formula>0.5</formula>
    </cfRule>
  </conditionalFormatting>
  <conditionalFormatting sqref="L37">
    <cfRule type="cellIs" dxfId="35532" priority="105082" stopIfTrue="1" operator="equal">
      <formula>-1</formula>
    </cfRule>
  </conditionalFormatting>
  <conditionalFormatting sqref="L37">
    <cfRule type="cellIs" dxfId="35531" priority="105083" stopIfTrue="1" operator="lessThan">
      <formula>0.5</formula>
    </cfRule>
  </conditionalFormatting>
  <conditionalFormatting sqref="L37">
    <cfRule type="cellIs" dxfId="35530" priority="105084" stopIfTrue="1" operator="greaterThanOrEqual">
      <formula>0.5</formula>
    </cfRule>
  </conditionalFormatting>
  <conditionalFormatting sqref="N17">
    <cfRule type="cellIs" dxfId="35529" priority="105085" stopIfTrue="1" operator="equal">
      <formula>-1</formula>
    </cfRule>
  </conditionalFormatting>
  <conditionalFormatting sqref="N17">
    <cfRule type="cellIs" dxfId="35528" priority="105086" stopIfTrue="1" operator="lessThan">
      <formula>0.5</formula>
    </cfRule>
  </conditionalFormatting>
  <conditionalFormatting sqref="N17">
    <cfRule type="cellIs" dxfId="35527" priority="105087" stopIfTrue="1" operator="greaterThanOrEqual">
      <formula>0.5</formula>
    </cfRule>
  </conditionalFormatting>
  <conditionalFormatting sqref="N18">
    <cfRule type="cellIs" dxfId="35526" priority="105088" stopIfTrue="1" operator="equal">
      <formula>-1</formula>
    </cfRule>
  </conditionalFormatting>
  <conditionalFormatting sqref="N18">
    <cfRule type="cellIs" dxfId="35525" priority="105089" stopIfTrue="1" operator="lessThan">
      <formula>0.5</formula>
    </cfRule>
  </conditionalFormatting>
  <conditionalFormatting sqref="N18">
    <cfRule type="cellIs" dxfId="35524" priority="105090" stopIfTrue="1" operator="greaterThanOrEqual">
      <formula>0.5</formula>
    </cfRule>
  </conditionalFormatting>
  <conditionalFormatting sqref="N19">
    <cfRule type="cellIs" dxfId="35523" priority="105091" stopIfTrue="1" operator="equal">
      <formula>-1</formula>
    </cfRule>
  </conditionalFormatting>
  <conditionalFormatting sqref="N19">
    <cfRule type="cellIs" dxfId="35522" priority="105092" stopIfTrue="1" operator="lessThan">
      <formula>0.5</formula>
    </cfRule>
  </conditionalFormatting>
  <conditionalFormatting sqref="N19">
    <cfRule type="cellIs" dxfId="35521" priority="105093" stopIfTrue="1" operator="greaterThanOrEqual">
      <formula>0.5</formula>
    </cfRule>
  </conditionalFormatting>
  <conditionalFormatting sqref="N20">
    <cfRule type="cellIs" dxfId="35520" priority="105094" stopIfTrue="1" operator="equal">
      <formula>-1</formula>
    </cfRule>
  </conditionalFormatting>
  <conditionalFormatting sqref="N20">
    <cfRule type="cellIs" dxfId="35519" priority="105095" stopIfTrue="1" operator="lessThan">
      <formula>0.5</formula>
    </cfRule>
  </conditionalFormatting>
  <conditionalFormatting sqref="N20">
    <cfRule type="cellIs" dxfId="35518" priority="105096" stopIfTrue="1" operator="greaterThanOrEqual">
      <formula>0.5</formula>
    </cfRule>
  </conditionalFormatting>
  <conditionalFormatting sqref="N21">
    <cfRule type="cellIs" dxfId="35517" priority="105097" stopIfTrue="1" operator="equal">
      <formula>-1</formula>
    </cfRule>
  </conditionalFormatting>
  <conditionalFormatting sqref="N21">
    <cfRule type="cellIs" dxfId="35516" priority="105098" stopIfTrue="1" operator="lessThan">
      <formula>0.5</formula>
    </cfRule>
  </conditionalFormatting>
  <conditionalFormatting sqref="N21">
    <cfRule type="cellIs" dxfId="35515" priority="105099" stopIfTrue="1" operator="greaterThanOrEqual">
      <formula>0.5</formula>
    </cfRule>
  </conditionalFormatting>
  <conditionalFormatting sqref="N22">
    <cfRule type="cellIs" dxfId="35514" priority="105100" stopIfTrue="1" operator="equal">
      <formula>-1</formula>
    </cfRule>
  </conditionalFormatting>
  <conditionalFormatting sqref="N22">
    <cfRule type="cellIs" dxfId="35513" priority="105101" stopIfTrue="1" operator="lessThan">
      <formula>0.5</formula>
    </cfRule>
  </conditionalFormatting>
  <conditionalFormatting sqref="N22">
    <cfRule type="cellIs" dxfId="35512" priority="105102" stopIfTrue="1" operator="greaterThanOrEqual">
      <formula>0.5</formula>
    </cfRule>
  </conditionalFormatting>
  <conditionalFormatting sqref="N23">
    <cfRule type="cellIs" dxfId="35511" priority="105103" stopIfTrue="1" operator="equal">
      <formula>-1</formula>
    </cfRule>
  </conditionalFormatting>
  <conditionalFormatting sqref="N23">
    <cfRule type="cellIs" dxfId="35510" priority="105104" stopIfTrue="1" operator="lessThan">
      <formula>0.5</formula>
    </cfRule>
  </conditionalFormatting>
  <conditionalFormatting sqref="N23">
    <cfRule type="cellIs" dxfId="35509" priority="105105" stopIfTrue="1" operator="greaterThanOrEqual">
      <formula>0.5</formula>
    </cfRule>
  </conditionalFormatting>
  <conditionalFormatting sqref="N24">
    <cfRule type="cellIs" dxfId="35508" priority="105106" stopIfTrue="1" operator="equal">
      <formula>-1</formula>
    </cfRule>
  </conditionalFormatting>
  <conditionalFormatting sqref="N24">
    <cfRule type="cellIs" dxfId="35507" priority="105107" stopIfTrue="1" operator="lessThan">
      <formula>0.5</formula>
    </cfRule>
  </conditionalFormatting>
  <conditionalFormatting sqref="N24">
    <cfRule type="cellIs" dxfId="35506" priority="105108" stopIfTrue="1" operator="greaterThanOrEqual">
      <formula>0.5</formula>
    </cfRule>
  </conditionalFormatting>
  <conditionalFormatting sqref="N25">
    <cfRule type="cellIs" dxfId="35505" priority="105109" stopIfTrue="1" operator="equal">
      <formula>-1</formula>
    </cfRule>
  </conditionalFormatting>
  <conditionalFormatting sqref="N25">
    <cfRule type="cellIs" dxfId="35504" priority="105110" stopIfTrue="1" operator="lessThan">
      <formula>0.5</formula>
    </cfRule>
  </conditionalFormatting>
  <conditionalFormatting sqref="N25">
    <cfRule type="cellIs" dxfId="35503" priority="105111" stopIfTrue="1" operator="greaterThanOrEqual">
      <formula>0.5</formula>
    </cfRule>
  </conditionalFormatting>
  <conditionalFormatting sqref="N26">
    <cfRule type="cellIs" dxfId="35502" priority="105112" stopIfTrue="1" operator="equal">
      <formula>-1</formula>
    </cfRule>
  </conditionalFormatting>
  <conditionalFormatting sqref="N26">
    <cfRule type="cellIs" dxfId="35501" priority="105113" stopIfTrue="1" operator="lessThan">
      <formula>0.5</formula>
    </cfRule>
  </conditionalFormatting>
  <conditionalFormatting sqref="N26">
    <cfRule type="cellIs" dxfId="35500" priority="105114" stopIfTrue="1" operator="greaterThanOrEqual">
      <formula>0.5</formula>
    </cfRule>
  </conditionalFormatting>
  <conditionalFormatting sqref="N27">
    <cfRule type="cellIs" dxfId="35499" priority="105115" stopIfTrue="1" operator="equal">
      <formula>-1</formula>
    </cfRule>
  </conditionalFormatting>
  <conditionalFormatting sqref="N27">
    <cfRule type="cellIs" dxfId="35498" priority="105116" stopIfTrue="1" operator="lessThan">
      <formula>0.5</formula>
    </cfRule>
  </conditionalFormatting>
  <conditionalFormatting sqref="N27">
    <cfRule type="cellIs" dxfId="35497" priority="105117" stopIfTrue="1" operator="greaterThanOrEqual">
      <formula>0.5</formula>
    </cfRule>
  </conditionalFormatting>
  <conditionalFormatting sqref="N28">
    <cfRule type="cellIs" dxfId="35496" priority="105118" stopIfTrue="1" operator="equal">
      <formula>-1</formula>
    </cfRule>
  </conditionalFormatting>
  <conditionalFormatting sqref="N28">
    <cfRule type="cellIs" dxfId="35495" priority="105119" stopIfTrue="1" operator="lessThan">
      <formula>0.5</formula>
    </cfRule>
  </conditionalFormatting>
  <conditionalFormatting sqref="N28">
    <cfRule type="cellIs" dxfId="35494" priority="105120" stopIfTrue="1" operator="greaterThanOrEqual">
      <formula>0.5</formula>
    </cfRule>
  </conditionalFormatting>
  <conditionalFormatting sqref="N29">
    <cfRule type="cellIs" dxfId="35493" priority="105121" stopIfTrue="1" operator="equal">
      <formula>-1</formula>
    </cfRule>
  </conditionalFormatting>
  <conditionalFormatting sqref="N29">
    <cfRule type="cellIs" dxfId="35492" priority="105122" stopIfTrue="1" operator="lessThan">
      <formula>0.5</formula>
    </cfRule>
  </conditionalFormatting>
  <conditionalFormatting sqref="N29">
    <cfRule type="cellIs" dxfId="35491" priority="105123" stopIfTrue="1" operator="greaterThanOrEqual">
      <formula>0.5</formula>
    </cfRule>
  </conditionalFormatting>
  <conditionalFormatting sqref="N30">
    <cfRule type="cellIs" dxfId="35490" priority="105124" stopIfTrue="1" operator="equal">
      <formula>-1</formula>
    </cfRule>
  </conditionalFormatting>
  <conditionalFormatting sqref="N30">
    <cfRule type="cellIs" dxfId="35489" priority="105125" stopIfTrue="1" operator="lessThan">
      <formula>0.5</formula>
    </cfRule>
  </conditionalFormatting>
  <conditionalFormatting sqref="N30">
    <cfRule type="cellIs" dxfId="35488" priority="105126" stopIfTrue="1" operator="greaterThanOrEqual">
      <formula>0.5</formula>
    </cfRule>
  </conditionalFormatting>
  <conditionalFormatting sqref="N31">
    <cfRule type="cellIs" dxfId="35487" priority="105127" stopIfTrue="1" operator="equal">
      <formula>-1</formula>
    </cfRule>
  </conditionalFormatting>
  <conditionalFormatting sqref="N31">
    <cfRule type="cellIs" dxfId="35486" priority="105128" stopIfTrue="1" operator="lessThan">
      <formula>0.5</formula>
    </cfRule>
  </conditionalFormatting>
  <conditionalFormatting sqref="N31">
    <cfRule type="cellIs" dxfId="35485" priority="105129" stopIfTrue="1" operator="greaterThanOrEqual">
      <formula>0.5</formula>
    </cfRule>
  </conditionalFormatting>
  <conditionalFormatting sqref="N32">
    <cfRule type="cellIs" dxfId="35484" priority="105130" stopIfTrue="1" operator="equal">
      <formula>-1</formula>
    </cfRule>
  </conditionalFormatting>
  <conditionalFormatting sqref="N32">
    <cfRule type="cellIs" dxfId="35483" priority="105131" stopIfTrue="1" operator="lessThan">
      <formula>0.5</formula>
    </cfRule>
  </conditionalFormatting>
  <conditionalFormatting sqref="N32">
    <cfRule type="cellIs" dxfId="35482" priority="105132" stopIfTrue="1" operator="greaterThanOrEqual">
      <formula>0.5</formula>
    </cfRule>
  </conditionalFormatting>
  <conditionalFormatting sqref="N33">
    <cfRule type="cellIs" dxfId="35481" priority="105133" stopIfTrue="1" operator="equal">
      <formula>-1</formula>
    </cfRule>
  </conditionalFormatting>
  <conditionalFormatting sqref="N33">
    <cfRule type="cellIs" dxfId="35480" priority="105134" stopIfTrue="1" operator="lessThan">
      <formula>0.5</formula>
    </cfRule>
  </conditionalFormatting>
  <conditionalFormatting sqref="N33">
    <cfRule type="cellIs" dxfId="35479" priority="105135" stopIfTrue="1" operator="greaterThanOrEqual">
      <formula>0.5</formula>
    </cfRule>
  </conditionalFormatting>
  <conditionalFormatting sqref="N34">
    <cfRule type="cellIs" dxfId="35478" priority="105136" stopIfTrue="1" operator="equal">
      <formula>-1</formula>
    </cfRule>
  </conditionalFormatting>
  <conditionalFormatting sqref="N34">
    <cfRule type="cellIs" dxfId="35477" priority="105137" stopIfTrue="1" operator="lessThan">
      <formula>0.5</formula>
    </cfRule>
  </conditionalFormatting>
  <conditionalFormatting sqref="N34">
    <cfRule type="cellIs" dxfId="35476" priority="105138" stopIfTrue="1" operator="greaterThanOrEqual">
      <formula>0.5</formula>
    </cfRule>
  </conditionalFormatting>
  <conditionalFormatting sqref="N35">
    <cfRule type="cellIs" dxfId="35475" priority="105139" stopIfTrue="1" operator="equal">
      <formula>-1</formula>
    </cfRule>
  </conditionalFormatting>
  <conditionalFormatting sqref="N35">
    <cfRule type="cellIs" dxfId="35474" priority="105140" stopIfTrue="1" operator="lessThan">
      <formula>0.5</formula>
    </cfRule>
  </conditionalFormatting>
  <conditionalFormatting sqref="N35">
    <cfRule type="cellIs" dxfId="35473" priority="105141" stopIfTrue="1" operator="greaterThanOrEqual">
      <formula>0.5</formula>
    </cfRule>
  </conditionalFormatting>
  <conditionalFormatting sqref="N36">
    <cfRule type="cellIs" dxfId="35472" priority="105142" stopIfTrue="1" operator="equal">
      <formula>-1</formula>
    </cfRule>
  </conditionalFormatting>
  <conditionalFormatting sqref="N36">
    <cfRule type="cellIs" dxfId="35471" priority="105143" stopIfTrue="1" operator="lessThan">
      <formula>0.5</formula>
    </cfRule>
  </conditionalFormatting>
  <conditionalFormatting sqref="N36">
    <cfRule type="cellIs" dxfId="35470" priority="105144" stopIfTrue="1" operator="greaterThanOrEqual">
      <formula>0.5</formula>
    </cfRule>
  </conditionalFormatting>
  <conditionalFormatting sqref="N37">
    <cfRule type="cellIs" dxfId="35469" priority="105145" stopIfTrue="1" operator="equal">
      <formula>-1</formula>
    </cfRule>
  </conditionalFormatting>
  <conditionalFormatting sqref="N37">
    <cfRule type="cellIs" dxfId="35468" priority="105146" stopIfTrue="1" operator="lessThan">
      <formula>0.5</formula>
    </cfRule>
  </conditionalFormatting>
  <conditionalFormatting sqref="N37">
    <cfRule type="cellIs" dxfId="35467" priority="105147" stopIfTrue="1" operator="greaterThanOrEqual">
      <formula>0.5</formula>
    </cfRule>
  </conditionalFormatting>
  <conditionalFormatting sqref="P17">
    <cfRule type="cellIs" dxfId="35466" priority="105148" stopIfTrue="1" operator="equal">
      <formula>-1</formula>
    </cfRule>
  </conditionalFormatting>
  <conditionalFormatting sqref="P17">
    <cfRule type="cellIs" dxfId="35465" priority="105149" stopIfTrue="1" operator="lessThan">
      <formula>0.5</formula>
    </cfRule>
  </conditionalFormatting>
  <conditionalFormatting sqref="P17">
    <cfRule type="cellIs" dxfId="35464" priority="105150" stopIfTrue="1" operator="greaterThanOrEqual">
      <formula>0.5</formula>
    </cfRule>
  </conditionalFormatting>
  <conditionalFormatting sqref="P18">
    <cfRule type="cellIs" dxfId="35463" priority="105151" stopIfTrue="1" operator="equal">
      <formula>-1</formula>
    </cfRule>
  </conditionalFormatting>
  <conditionalFormatting sqref="P18">
    <cfRule type="cellIs" dxfId="35462" priority="105152" stopIfTrue="1" operator="lessThan">
      <formula>0.5</formula>
    </cfRule>
  </conditionalFormatting>
  <conditionalFormatting sqref="P18">
    <cfRule type="cellIs" dxfId="35461" priority="105153" stopIfTrue="1" operator="greaterThanOrEqual">
      <formula>0.5</formula>
    </cfRule>
  </conditionalFormatting>
  <conditionalFormatting sqref="P19">
    <cfRule type="cellIs" dxfId="35460" priority="105154" stopIfTrue="1" operator="equal">
      <formula>-1</formula>
    </cfRule>
  </conditionalFormatting>
  <conditionalFormatting sqref="P19">
    <cfRule type="cellIs" dxfId="35459" priority="105155" stopIfTrue="1" operator="lessThan">
      <formula>0.5</formula>
    </cfRule>
  </conditionalFormatting>
  <conditionalFormatting sqref="P19">
    <cfRule type="cellIs" dxfId="35458" priority="105156" stopIfTrue="1" operator="greaterThanOrEqual">
      <formula>0.5</formula>
    </cfRule>
  </conditionalFormatting>
  <conditionalFormatting sqref="P20">
    <cfRule type="cellIs" dxfId="35457" priority="105157" stopIfTrue="1" operator="equal">
      <formula>-1</formula>
    </cfRule>
  </conditionalFormatting>
  <conditionalFormatting sqref="P20">
    <cfRule type="cellIs" dxfId="35456" priority="105158" stopIfTrue="1" operator="lessThan">
      <formula>0.5</formula>
    </cfRule>
  </conditionalFormatting>
  <conditionalFormatting sqref="P20">
    <cfRule type="cellIs" dxfId="35455" priority="105159" stopIfTrue="1" operator="greaterThanOrEqual">
      <formula>0.5</formula>
    </cfRule>
  </conditionalFormatting>
  <conditionalFormatting sqref="P21">
    <cfRule type="cellIs" dxfId="35454" priority="105160" stopIfTrue="1" operator="equal">
      <formula>-1</formula>
    </cfRule>
  </conditionalFormatting>
  <conditionalFormatting sqref="P21">
    <cfRule type="cellIs" dxfId="35453" priority="105161" stopIfTrue="1" operator="lessThan">
      <formula>0.5</formula>
    </cfRule>
  </conditionalFormatting>
  <conditionalFormatting sqref="P21">
    <cfRule type="cellIs" dxfId="35452" priority="105162" stopIfTrue="1" operator="greaterThanOrEqual">
      <formula>0.5</formula>
    </cfRule>
  </conditionalFormatting>
  <conditionalFormatting sqref="P22">
    <cfRule type="cellIs" dxfId="35451" priority="105163" stopIfTrue="1" operator="equal">
      <formula>-1</formula>
    </cfRule>
  </conditionalFormatting>
  <conditionalFormatting sqref="P22">
    <cfRule type="cellIs" dxfId="35450" priority="105164" stopIfTrue="1" operator="lessThan">
      <formula>0.5</formula>
    </cfRule>
  </conditionalFormatting>
  <conditionalFormatting sqref="P22">
    <cfRule type="cellIs" dxfId="35449" priority="105165" stopIfTrue="1" operator="greaterThanOrEqual">
      <formula>0.5</formula>
    </cfRule>
  </conditionalFormatting>
  <conditionalFormatting sqref="P23">
    <cfRule type="cellIs" dxfId="35448" priority="105166" stopIfTrue="1" operator="equal">
      <formula>-1</formula>
    </cfRule>
  </conditionalFormatting>
  <conditionalFormatting sqref="P23">
    <cfRule type="cellIs" dxfId="35447" priority="105167" stopIfTrue="1" operator="lessThan">
      <formula>0.5</formula>
    </cfRule>
  </conditionalFormatting>
  <conditionalFormatting sqref="P23">
    <cfRule type="cellIs" dxfId="35446" priority="105168" stopIfTrue="1" operator="greaterThanOrEqual">
      <formula>0.5</formula>
    </cfRule>
  </conditionalFormatting>
  <conditionalFormatting sqref="P24">
    <cfRule type="cellIs" dxfId="35445" priority="105169" stopIfTrue="1" operator="equal">
      <formula>-1</formula>
    </cfRule>
  </conditionalFormatting>
  <conditionalFormatting sqref="P24">
    <cfRule type="cellIs" dxfId="35444" priority="105170" stopIfTrue="1" operator="lessThan">
      <formula>0.5</formula>
    </cfRule>
  </conditionalFormatting>
  <conditionalFormatting sqref="P24">
    <cfRule type="cellIs" dxfId="35443" priority="105171" stopIfTrue="1" operator="greaterThanOrEqual">
      <formula>0.5</formula>
    </cfRule>
  </conditionalFormatting>
  <conditionalFormatting sqref="P25">
    <cfRule type="cellIs" dxfId="35442" priority="105172" stopIfTrue="1" operator="equal">
      <formula>-1</formula>
    </cfRule>
  </conditionalFormatting>
  <conditionalFormatting sqref="P25">
    <cfRule type="cellIs" dxfId="35441" priority="105173" stopIfTrue="1" operator="lessThan">
      <formula>0.5</formula>
    </cfRule>
  </conditionalFormatting>
  <conditionalFormatting sqref="P25">
    <cfRule type="cellIs" dxfId="35440" priority="105174" stopIfTrue="1" operator="greaterThanOrEqual">
      <formula>0.5</formula>
    </cfRule>
  </conditionalFormatting>
  <conditionalFormatting sqref="P26">
    <cfRule type="cellIs" dxfId="35439" priority="105175" stopIfTrue="1" operator="equal">
      <formula>-1</formula>
    </cfRule>
  </conditionalFormatting>
  <conditionalFormatting sqref="P26">
    <cfRule type="cellIs" dxfId="35438" priority="105176" stopIfTrue="1" operator="lessThan">
      <formula>0.5</formula>
    </cfRule>
  </conditionalFormatting>
  <conditionalFormatting sqref="P26">
    <cfRule type="cellIs" dxfId="35437" priority="105177" stopIfTrue="1" operator="greaterThanOrEqual">
      <formula>0.5</formula>
    </cfRule>
  </conditionalFormatting>
  <conditionalFormatting sqref="P27">
    <cfRule type="cellIs" dxfId="35436" priority="105178" stopIfTrue="1" operator="equal">
      <formula>-1</formula>
    </cfRule>
  </conditionalFormatting>
  <conditionalFormatting sqref="P27">
    <cfRule type="cellIs" dxfId="35435" priority="105179" stopIfTrue="1" operator="lessThan">
      <formula>0.5</formula>
    </cfRule>
  </conditionalFormatting>
  <conditionalFormatting sqref="P27">
    <cfRule type="cellIs" dxfId="35434" priority="105180" stopIfTrue="1" operator="greaterThanOrEqual">
      <formula>0.5</formula>
    </cfRule>
  </conditionalFormatting>
  <conditionalFormatting sqref="P28">
    <cfRule type="cellIs" dxfId="35433" priority="105181" stopIfTrue="1" operator="equal">
      <formula>-1</formula>
    </cfRule>
  </conditionalFormatting>
  <conditionalFormatting sqref="P28">
    <cfRule type="cellIs" dxfId="35432" priority="105182" stopIfTrue="1" operator="lessThan">
      <formula>0.5</formula>
    </cfRule>
  </conditionalFormatting>
  <conditionalFormatting sqref="P28">
    <cfRule type="cellIs" dxfId="35431" priority="105183" stopIfTrue="1" operator="greaterThanOrEqual">
      <formula>0.5</formula>
    </cfRule>
  </conditionalFormatting>
  <conditionalFormatting sqref="P29">
    <cfRule type="cellIs" dxfId="35430" priority="105184" stopIfTrue="1" operator="equal">
      <formula>-1</formula>
    </cfRule>
  </conditionalFormatting>
  <conditionalFormatting sqref="P29">
    <cfRule type="cellIs" dxfId="35429" priority="105185" stopIfTrue="1" operator="lessThan">
      <formula>0.5</formula>
    </cfRule>
  </conditionalFormatting>
  <conditionalFormatting sqref="P29">
    <cfRule type="cellIs" dxfId="35428" priority="105186" stopIfTrue="1" operator="greaterThanOrEqual">
      <formula>0.5</formula>
    </cfRule>
  </conditionalFormatting>
  <conditionalFormatting sqref="P30">
    <cfRule type="cellIs" dxfId="35427" priority="105187" stopIfTrue="1" operator="equal">
      <formula>-1</formula>
    </cfRule>
  </conditionalFormatting>
  <conditionalFormatting sqref="P30">
    <cfRule type="cellIs" dxfId="35426" priority="105188" stopIfTrue="1" operator="lessThan">
      <formula>0.5</formula>
    </cfRule>
  </conditionalFormatting>
  <conditionalFormatting sqref="P30">
    <cfRule type="cellIs" dxfId="35425" priority="105189" stopIfTrue="1" operator="greaterThanOrEqual">
      <formula>0.5</formula>
    </cfRule>
  </conditionalFormatting>
  <conditionalFormatting sqref="P31">
    <cfRule type="cellIs" dxfId="35424" priority="105190" stopIfTrue="1" operator="equal">
      <formula>-1</formula>
    </cfRule>
  </conditionalFormatting>
  <conditionalFormatting sqref="P31">
    <cfRule type="cellIs" dxfId="35423" priority="105191" stopIfTrue="1" operator="lessThan">
      <formula>0.5</formula>
    </cfRule>
  </conditionalFormatting>
  <conditionalFormatting sqref="P31">
    <cfRule type="cellIs" dxfId="35422" priority="105192" stopIfTrue="1" operator="greaterThanOrEqual">
      <formula>0.5</formula>
    </cfRule>
  </conditionalFormatting>
  <conditionalFormatting sqref="P32">
    <cfRule type="cellIs" dxfId="35421" priority="105193" stopIfTrue="1" operator="equal">
      <formula>-1</formula>
    </cfRule>
  </conditionalFormatting>
  <conditionalFormatting sqref="P32">
    <cfRule type="cellIs" dxfId="35420" priority="105194" stopIfTrue="1" operator="lessThan">
      <formula>0.5</formula>
    </cfRule>
  </conditionalFormatting>
  <conditionalFormatting sqref="P32">
    <cfRule type="cellIs" dxfId="35419" priority="105195" stopIfTrue="1" operator="greaterThanOrEqual">
      <formula>0.5</formula>
    </cfRule>
  </conditionalFormatting>
  <conditionalFormatting sqref="P33">
    <cfRule type="cellIs" dxfId="35418" priority="105196" stopIfTrue="1" operator="equal">
      <formula>-1</formula>
    </cfRule>
  </conditionalFormatting>
  <conditionalFormatting sqref="P33">
    <cfRule type="cellIs" dxfId="35417" priority="105197" stopIfTrue="1" operator="lessThan">
      <formula>0.5</formula>
    </cfRule>
  </conditionalFormatting>
  <conditionalFormatting sqref="P33">
    <cfRule type="cellIs" dxfId="35416" priority="105198" stopIfTrue="1" operator="greaterThanOrEqual">
      <formula>0.5</formula>
    </cfRule>
  </conditionalFormatting>
  <conditionalFormatting sqref="P34">
    <cfRule type="cellIs" dxfId="35415" priority="105199" stopIfTrue="1" operator="equal">
      <formula>-1</formula>
    </cfRule>
  </conditionalFormatting>
  <conditionalFormatting sqref="P34">
    <cfRule type="cellIs" dxfId="35414" priority="105200" stopIfTrue="1" operator="lessThan">
      <formula>0.5</formula>
    </cfRule>
  </conditionalFormatting>
  <conditionalFormatting sqref="P34">
    <cfRule type="cellIs" dxfId="35413" priority="105201" stopIfTrue="1" operator="greaterThanOrEqual">
      <formula>0.5</formula>
    </cfRule>
  </conditionalFormatting>
  <conditionalFormatting sqref="P35">
    <cfRule type="cellIs" dxfId="35412" priority="105202" stopIfTrue="1" operator="equal">
      <formula>-1</formula>
    </cfRule>
  </conditionalFormatting>
  <conditionalFormatting sqref="P35">
    <cfRule type="cellIs" dxfId="35411" priority="105203" stopIfTrue="1" operator="lessThan">
      <formula>0.5</formula>
    </cfRule>
  </conditionalFormatting>
  <conditionalFormatting sqref="P35">
    <cfRule type="cellIs" dxfId="35410" priority="105204" stopIfTrue="1" operator="greaterThanOrEqual">
      <formula>0.5</formula>
    </cfRule>
  </conditionalFormatting>
  <conditionalFormatting sqref="P36">
    <cfRule type="cellIs" dxfId="35409" priority="105205" stopIfTrue="1" operator="equal">
      <formula>-1</formula>
    </cfRule>
  </conditionalFormatting>
  <conditionalFormatting sqref="P36">
    <cfRule type="cellIs" dxfId="35408" priority="105206" stopIfTrue="1" operator="lessThan">
      <formula>0.5</formula>
    </cfRule>
  </conditionalFormatting>
  <conditionalFormatting sqref="P36">
    <cfRule type="cellIs" dxfId="35407" priority="105207" stopIfTrue="1" operator="greaterThanOrEqual">
      <formula>0.5</formula>
    </cfRule>
  </conditionalFormatting>
  <conditionalFormatting sqref="P37">
    <cfRule type="cellIs" dxfId="35406" priority="105208" stopIfTrue="1" operator="equal">
      <formula>-1</formula>
    </cfRule>
  </conditionalFormatting>
  <conditionalFormatting sqref="P37">
    <cfRule type="cellIs" dxfId="35405" priority="105209" stopIfTrue="1" operator="lessThan">
      <formula>0.5</formula>
    </cfRule>
  </conditionalFormatting>
  <conditionalFormatting sqref="P37">
    <cfRule type="cellIs" dxfId="35404" priority="105210" stopIfTrue="1" operator="greaterThanOrEqual">
      <formula>0.5</formula>
    </cfRule>
  </conditionalFormatting>
  <conditionalFormatting sqref="R17">
    <cfRule type="cellIs" dxfId="35403" priority="105211" stopIfTrue="1" operator="equal">
      <formula>-1</formula>
    </cfRule>
  </conditionalFormatting>
  <conditionalFormatting sqref="R17">
    <cfRule type="cellIs" dxfId="35402" priority="105212" stopIfTrue="1" operator="lessThan">
      <formula>0.5</formula>
    </cfRule>
  </conditionalFormatting>
  <conditionalFormatting sqref="R17">
    <cfRule type="cellIs" dxfId="35401" priority="105213" stopIfTrue="1" operator="greaterThanOrEqual">
      <formula>0.5</formula>
    </cfRule>
  </conditionalFormatting>
  <conditionalFormatting sqref="R18">
    <cfRule type="cellIs" dxfId="35400" priority="105214" stopIfTrue="1" operator="equal">
      <formula>-1</formula>
    </cfRule>
  </conditionalFormatting>
  <conditionalFormatting sqref="R18">
    <cfRule type="cellIs" dxfId="35399" priority="105215" stopIfTrue="1" operator="lessThan">
      <formula>0.5</formula>
    </cfRule>
  </conditionalFormatting>
  <conditionalFormatting sqref="R18">
    <cfRule type="cellIs" dxfId="35398" priority="105216" stopIfTrue="1" operator="greaterThanOrEqual">
      <formula>0.5</formula>
    </cfRule>
  </conditionalFormatting>
  <conditionalFormatting sqref="R19">
    <cfRule type="cellIs" dxfId="35397" priority="105217" stopIfTrue="1" operator="equal">
      <formula>-1</formula>
    </cfRule>
  </conditionalFormatting>
  <conditionalFormatting sqref="R19">
    <cfRule type="cellIs" dxfId="35396" priority="105218" stopIfTrue="1" operator="lessThan">
      <formula>0.5</formula>
    </cfRule>
  </conditionalFormatting>
  <conditionalFormatting sqref="R19">
    <cfRule type="cellIs" dxfId="35395" priority="105219" stopIfTrue="1" operator="greaterThanOrEqual">
      <formula>0.5</formula>
    </cfRule>
  </conditionalFormatting>
  <conditionalFormatting sqref="R20">
    <cfRule type="cellIs" dxfId="35394" priority="105220" stopIfTrue="1" operator="equal">
      <formula>-1</formula>
    </cfRule>
  </conditionalFormatting>
  <conditionalFormatting sqref="R20">
    <cfRule type="cellIs" dxfId="35393" priority="105221" stopIfTrue="1" operator="lessThan">
      <formula>0.5</formula>
    </cfRule>
  </conditionalFormatting>
  <conditionalFormatting sqref="R20">
    <cfRule type="cellIs" dxfId="35392" priority="105222" stopIfTrue="1" operator="greaterThanOrEqual">
      <formula>0.5</formula>
    </cfRule>
  </conditionalFormatting>
  <conditionalFormatting sqref="R21">
    <cfRule type="cellIs" dxfId="35391" priority="105223" stopIfTrue="1" operator="equal">
      <formula>-1</formula>
    </cfRule>
  </conditionalFormatting>
  <conditionalFormatting sqref="R21">
    <cfRule type="cellIs" dxfId="35390" priority="105224" stopIfTrue="1" operator="lessThan">
      <formula>0.5</formula>
    </cfRule>
  </conditionalFormatting>
  <conditionalFormatting sqref="R21">
    <cfRule type="cellIs" dxfId="35389" priority="105225" stopIfTrue="1" operator="greaterThanOrEqual">
      <formula>0.5</formula>
    </cfRule>
  </conditionalFormatting>
  <conditionalFormatting sqref="R22">
    <cfRule type="cellIs" dxfId="35388" priority="105226" stopIfTrue="1" operator="equal">
      <formula>-1</formula>
    </cfRule>
  </conditionalFormatting>
  <conditionalFormatting sqref="R22">
    <cfRule type="cellIs" dxfId="35387" priority="105227" stopIfTrue="1" operator="lessThan">
      <formula>0.5</formula>
    </cfRule>
  </conditionalFormatting>
  <conditionalFormatting sqref="R22">
    <cfRule type="cellIs" dxfId="35386" priority="105228" stopIfTrue="1" operator="greaterThanOrEqual">
      <formula>0.5</formula>
    </cfRule>
  </conditionalFormatting>
  <conditionalFormatting sqref="R23">
    <cfRule type="cellIs" dxfId="35385" priority="105229" stopIfTrue="1" operator="equal">
      <formula>-1</formula>
    </cfRule>
  </conditionalFormatting>
  <conditionalFormatting sqref="R23">
    <cfRule type="cellIs" dxfId="35384" priority="105230" stopIfTrue="1" operator="lessThan">
      <formula>0.5</formula>
    </cfRule>
  </conditionalFormatting>
  <conditionalFormatting sqref="R23">
    <cfRule type="cellIs" dxfId="35383" priority="105231" stopIfTrue="1" operator="greaterThanOrEqual">
      <formula>0.5</formula>
    </cfRule>
  </conditionalFormatting>
  <conditionalFormatting sqref="R24">
    <cfRule type="cellIs" dxfId="35382" priority="105232" stopIfTrue="1" operator="equal">
      <formula>-1</formula>
    </cfRule>
  </conditionalFormatting>
  <conditionalFormatting sqref="R24">
    <cfRule type="cellIs" dxfId="35381" priority="105233" stopIfTrue="1" operator="lessThan">
      <formula>0.5</formula>
    </cfRule>
  </conditionalFormatting>
  <conditionalFormatting sqref="R24">
    <cfRule type="cellIs" dxfId="35380" priority="105234" stopIfTrue="1" operator="greaterThanOrEqual">
      <formula>0.5</formula>
    </cfRule>
  </conditionalFormatting>
  <conditionalFormatting sqref="R25">
    <cfRule type="cellIs" dxfId="35379" priority="105235" stopIfTrue="1" operator="equal">
      <formula>-1</formula>
    </cfRule>
  </conditionalFormatting>
  <conditionalFormatting sqref="R25">
    <cfRule type="cellIs" dxfId="35378" priority="105236" stopIfTrue="1" operator="lessThan">
      <formula>0.5</formula>
    </cfRule>
  </conditionalFormatting>
  <conditionalFormatting sqref="R25">
    <cfRule type="cellIs" dxfId="35377" priority="105237" stopIfTrue="1" operator="greaterThanOrEqual">
      <formula>0.5</formula>
    </cfRule>
  </conditionalFormatting>
  <conditionalFormatting sqref="R26">
    <cfRule type="cellIs" dxfId="35376" priority="105238" stopIfTrue="1" operator="equal">
      <formula>-1</formula>
    </cfRule>
  </conditionalFormatting>
  <conditionalFormatting sqref="R26">
    <cfRule type="cellIs" dxfId="35375" priority="105239" stopIfTrue="1" operator="lessThan">
      <formula>0.5</formula>
    </cfRule>
  </conditionalFormatting>
  <conditionalFormatting sqref="R26">
    <cfRule type="cellIs" dxfId="35374" priority="105240" stopIfTrue="1" operator="greaterThanOrEqual">
      <formula>0.5</formula>
    </cfRule>
  </conditionalFormatting>
  <conditionalFormatting sqref="R27">
    <cfRule type="cellIs" dxfId="35373" priority="105241" stopIfTrue="1" operator="equal">
      <formula>-1</formula>
    </cfRule>
  </conditionalFormatting>
  <conditionalFormatting sqref="R27">
    <cfRule type="cellIs" dxfId="35372" priority="105242" stopIfTrue="1" operator="lessThan">
      <formula>0.5</formula>
    </cfRule>
  </conditionalFormatting>
  <conditionalFormatting sqref="R27">
    <cfRule type="cellIs" dxfId="35371" priority="105243" stopIfTrue="1" operator="greaterThanOrEqual">
      <formula>0.5</formula>
    </cfRule>
  </conditionalFormatting>
  <conditionalFormatting sqref="R28">
    <cfRule type="cellIs" dxfId="35370" priority="105244" stopIfTrue="1" operator="equal">
      <formula>-1</formula>
    </cfRule>
  </conditionalFormatting>
  <conditionalFormatting sqref="R28">
    <cfRule type="cellIs" dxfId="35369" priority="105245" stopIfTrue="1" operator="lessThan">
      <formula>0.5</formula>
    </cfRule>
  </conditionalFormatting>
  <conditionalFormatting sqref="R28">
    <cfRule type="cellIs" dxfId="35368" priority="105246" stopIfTrue="1" operator="greaterThanOrEqual">
      <formula>0.5</formula>
    </cfRule>
  </conditionalFormatting>
  <conditionalFormatting sqref="R29">
    <cfRule type="cellIs" dxfId="35367" priority="105247" stopIfTrue="1" operator="equal">
      <formula>-1</formula>
    </cfRule>
  </conditionalFormatting>
  <conditionalFormatting sqref="R29">
    <cfRule type="cellIs" dxfId="35366" priority="105248" stopIfTrue="1" operator="lessThan">
      <formula>0.5</formula>
    </cfRule>
  </conditionalFormatting>
  <conditionalFormatting sqref="R29">
    <cfRule type="cellIs" dxfId="35365" priority="105249" stopIfTrue="1" operator="greaterThanOrEqual">
      <formula>0.5</formula>
    </cfRule>
  </conditionalFormatting>
  <conditionalFormatting sqref="R30">
    <cfRule type="cellIs" dxfId="35364" priority="105250" stopIfTrue="1" operator="equal">
      <formula>-1</formula>
    </cfRule>
  </conditionalFormatting>
  <conditionalFormatting sqref="R30">
    <cfRule type="cellIs" dxfId="35363" priority="105251" stopIfTrue="1" operator="lessThan">
      <formula>0.5</formula>
    </cfRule>
  </conditionalFormatting>
  <conditionalFormatting sqref="R30">
    <cfRule type="cellIs" dxfId="35362" priority="105252" stopIfTrue="1" operator="greaterThanOrEqual">
      <formula>0.5</formula>
    </cfRule>
  </conditionalFormatting>
  <conditionalFormatting sqref="R31">
    <cfRule type="cellIs" dxfId="35361" priority="105253" stopIfTrue="1" operator="equal">
      <formula>-1</formula>
    </cfRule>
  </conditionalFormatting>
  <conditionalFormatting sqref="R31">
    <cfRule type="cellIs" dxfId="35360" priority="105254" stopIfTrue="1" operator="lessThan">
      <formula>0.5</formula>
    </cfRule>
  </conditionalFormatting>
  <conditionalFormatting sqref="R31">
    <cfRule type="cellIs" dxfId="35359" priority="105255" stopIfTrue="1" operator="greaterThanOrEqual">
      <formula>0.5</formula>
    </cfRule>
  </conditionalFormatting>
  <conditionalFormatting sqref="R32">
    <cfRule type="cellIs" dxfId="35358" priority="105256" stopIfTrue="1" operator="equal">
      <formula>-1</formula>
    </cfRule>
  </conditionalFormatting>
  <conditionalFormatting sqref="R32">
    <cfRule type="cellIs" dxfId="35357" priority="105257" stopIfTrue="1" operator="lessThan">
      <formula>0.5</formula>
    </cfRule>
  </conditionalFormatting>
  <conditionalFormatting sqref="R32">
    <cfRule type="cellIs" dxfId="35356" priority="105258" stopIfTrue="1" operator="greaterThanOrEqual">
      <formula>0.5</formula>
    </cfRule>
  </conditionalFormatting>
  <conditionalFormatting sqref="R33">
    <cfRule type="cellIs" dxfId="35355" priority="105259" stopIfTrue="1" operator="equal">
      <formula>-1</formula>
    </cfRule>
  </conditionalFormatting>
  <conditionalFormatting sqref="R33">
    <cfRule type="cellIs" dxfId="35354" priority="105260" stopIfTrue="1" operator="lessThan">
      <formula>0.5</formula>
    </cfRule>
  </conditionalFormatting>
  <conditionalFormatting sqref="R33">
    <cfRule type="cellIs" dxfId="35353" priority="105261" stopIfTrue="1" operator="greaterThanOrEqual">
      <formula>0.5</formula>
    </cfRule>
  </conditionalFormatting>
  <conditionalFormatting sqref="R34">
    <cfRule type="cellIs" dxfId="35352" priority="105262" stopIfTrue="1" operator="equal">
      <formula>-1</formula>
    </cfRule>
  </conditionalFormatting>
  <conditionalFormatting sqref="R34">
    <cfRule type="cellIs" dxfId="35351" priority="105263" stopIfTrue="1" operator="lessThan">
      <formula>0.5</formula>
    </cfRule>
  </conditionalFormatting>
  <conditionalFormatting sqref="R34">
    <cfRule type="cellIs" dxfId="35350" priority="105264" stopIfTrue="1" operator="greaterThanOrEqual">
      <formula>0.5</formula>
    </cfRule>
  </conditionalFormatting>
  <conditionalFormatting sqref="R35">
    <cfRule type="cellIs" dxfId="35349" priority="105265" stopIfTrue="1" operator="equal">
      <formula>-1</formula>
    </cfRule>
  </conditionalFormatting>
  <conditionalFormatting sqref="R35">
    <cfRule type="cellIs" dxfId="35348" priority="105266" stopIfTrue="1" operator="lessThan">
      <formula>0.5</formula>
    </cfRule>
  </conditionalFormatting>
  <conditionalFormatting sqref="R35">
    <cfRule type="cellIs" dxfId="35347" priority="105267" stopIfTrue="1" operator="greaterThanOrEqual">
      <formula>0.5</formula>
    </cfRule>
  </conditionalFormatting>
  <conditionalFormatting sqref="R36">
    <cfRule type="cellIs" dxfId="35346" priority="105268" stopIfTrue="1" operator="equal">
      <formula>-1</formula>
    </cfRule>
  </conditionalFormatting>
  <conditionalFormatting sqref="R36">
    <cfRule type="cellIs" dxfId="35345" priority="105269" stopIfTrue="1" operator="lessThan">
      <formula>0.5</formula>
    </cfRule>
  </conditionalFormatting>
  <conditionalFormatting sqref="R36">
    <cfRule type="cellIs" dxfId="35344" priority="105270" stopIfTrue="1" operator="greaterThanOrEqual">
      <formula>0.5</formula>
    </cfRule>
  </conditionalFormatting>
  <conditionalFormatting sqref="R37">
    <cfRule type="cellIs" dxfId="35343" priority="105271" stopIfTrue="1" operator="equal">
      <formula>-1</formula>
    </cfRule>
  </conditionalFormatting>
  <conditionalFormatting sqref="R37">
    <cfRule type="cellIs" dxfId="35342" priority="105272" stopIfTrue="1" operator="lessThan">
      <formula>0.5</formula>
    </cfRule>
  </conditionalFormatting>
  <conditionalFormatting sqref="R37">
    <cfRule type="cellIs" dxfId="35341" priority="105273" stopIfTrue="1" operator="greaterThanOrEqual">
      <formula>0.5</formula>
    </cfRule>
  </conditionalFormatting>
  <conditionalFormatting sqref="T17">
    <cfRule type="cellIs" dxfId="35340" priority="105274" stopIfTrue="1" operator="equal">
      <formula>-1</formula>
    </cfRule>
  </conditionalFormatting>
  <conditionalFormatting sqref="T17">
    <cfRule type="cellIs" dxfId="35339" priority="105275" stopIfTrue="1" operator="lessThan">
      <formula>0.5</formula>
    </cfRule>
  </conditionalFormatting>
  <conditionalFormatting sqref="T17">
    <cfRule type="cellIs" dxfId="35338" priority="105276" stopIfTrue="1" operator="greaterThanOrEqual">
      <formula>0.5</formula>
    </cfRule>
  </conditionalFormatting>
  <conditionalFormatting sqref="T18">
    <cfRule type="cellIs" dxfId="35337" priority="105277" stopIfTrue="1" operator="equal">
      <formula>-1</formula>
    </cfRule>
  </conditionalFormatting>
  <conditionalFormatting sqref="T18">
    <cfRule type="cellIs" dxfId="35336" priority="105278" stopIfTrue="1" operator="lessThan">
      <formula>0.5</formula>
    </cfRule>
  </conditionalFormatting>
  <conditionalFormatting sqref="T18">
    <cfRule type="cellIs" dxfId="35335" priority="105279" stopIfTrue="1" operator="greaterThanOrEqual">
      <formula>0.5</formula>
    </cfRule>
  </conditionalFormatting>
  <conditionalFormatting sqref="T19">
    <cfRule type="cellIs" dxfId="35334" priority="105280" stopIfTrue="1" operator="equal">
      <formula>-1</formula>
    </cfRule>
  </conditionalFormatting>
  <conditionalFormatting sqref="T19">
    <cfRule type="cellIs" dxfId="35333" priority="105281" stopIfTrue="1" operator="lessThan">
      <formula>0.5</formula>
    </cfRule>
  </conditionalFormatting>
  <conditionalFormatting sqref="T19">
    <cfRule type="cellIs" dxfId="35332" priority="105282" stopIfTrue="1" operator="greaterThanOrEqual">
      <formula>0.5</formula>
    </cfRule>
  </conditionalFormatting>
  <conditionalFormatting sqref="T20">
    <cfRule type="cellIs" dxfId="35331" priority="105283" stopIfTrue="1" operator="equal">
      <formula>-1</formula>
    </cfRule>
  </conditionalFormatting>
  <conditionalFormatting sqref="T20">
    <cfRule type="cellIs" dxfId="35330" priority="105284" stopIfTrue="1" operator="lessThan">
      <formula>0.5</formula>
    </cfRule>
  </conditionalFormatting>
  <conditionalFormatting sqref="T20">
    <cfRule type="cellIs" dxfId="35329" priority="105285" stopIfTrue="1" operator="greaterThanOrEqual">
      <formula>0.5</formula>
    </cfRule>
  </conditionalFormatting>
  <conditionalFormatting sqref="T21">
    <cfRule type="cellIs" dxfId="35328" priority="105286" stopIfTrue="1" operator="equal">
      <formula>-1</formula>
    </cfRule>
  </conditionalFormatting>
  <conditionalFormatting sqref="T21">
    <cfRule type="cellIs" dxfId="35327" priority="105287" stopIfTrue="1" operator="lessThan">
      <formula>0.5</formula>
    </cfRule>
  </conditionalFormatting>
  <conditionalFormatting sqref="T21">
    <cfRule type="cellIs" dxfId="35326" priority="105288" stopIfTrue="1" operator="greaterThanOrEqual">
      <formula>0.5</formula>
    </cfRule>
  </conditionalFormatting>
  <conditionalFormatting sqref="T22">
    <cfRule type="cellIs" dxfId="35325" priority="105289" stopIfTrue="1" operator="equal">
      <formula>-1</formula>
    </cfRule>
  </conditionalFormatting>
  <conditionalFormatting sqref="T22">
    <cfRule type="cellIs" dxfId="35324" priority="105290" stopIfTrue="1" operator="lessThan">
      <formula>0.5</formula>
    </cfRule>
  </conditionalFormatting>
  <conditionalFormatting sqref="T22">
    <cfRule type="cellIs" dxfId="35323" priority="105291" stopIfTrue="1" operator="greaterThanOrEqual">
      <formula>0.5</formula>
    </cfRule>
  </conditionalFormatting>
  <conditionalFormatting sqref="T23">
    <cfRule type="cellIs" dxfId="35322" priority="105292" stopIfTrue="1" operator="equal">
      <formula>-1</formula>
    </cfRule>
  </conditionalFormatting>
  <conditionalFormatting sqref="T23">
    <cfRule type="cellIs" dxfId="35321" priority="105293" stopIfTrue="1" operator="lessThan">
      <formula>0.5</formula>
    </cfRule>
  </conditionalFormatting>
  <conditionalFormatting sqref="T23">
    <cfRule type="cellIs" dxfId="35320" priority="105294" stopIfTrue="1" operator="greaterThanOrEqual">
      <formula>0.5</formula>
    </cfRule>
  </conditionalFormatting>
  <conditionalFormatting sqref="T24">
    <cfRule type="cellIs" dxfId="35319" priority="105295" stopIfTrue="1" operator="equal">
      <formula>-1</formula>
    </cfRule>
  </conditionalFormatting>
  <conditionalFormatting sqref="T24">
    <cfRule type="cellIs" dxfId="35318" priority="105296" stopIfTrue="1" operator="lessThan">
      <formula>0.5</formula>
    </cfRule>
  </conditionalFormatting>
  <conditionalFormatting sqref="T24">
    <cfRule type="cellIs" dxfId="35317" priority="105297" stopIfTrue="1" operator="greaterThanOrEqual">
      <formula>0.5</formula>
    </cfRule>
  </conditionalFormatting>
  <conditionalFormatting sqref="T25">
    <cfRule type="cellIs" dxfId="35316" priority="105298" stopIfTrue="1" operator="equal">
      <formula>-1</formula>
    </cfRule>
  </conditionalFormatting>
  <conditionalFormatting sqref="T25">
    <cfRule type="cellIs" dxfId="35315" priority="105299" stopIfTrue="1" operator="lessThan">
      <formula>0.5</formula>
    </cfRule>
  </conditionalFormatting>
  <conditionalFormatting sqref="T25">
    <cfRule type="cellIs" dxfId="35314" priority="105300" stopIfTrue="1" operator="greaterThanOrEqual">
      <formula>0.5</formula>
    </cfRule>
  </conditionalFormatting>
  <conditionalFormatting sqref="T26">
    <cfRule type="cellIs" dxfId="35313" priority="105301" stopIfTrue="1" operator="equal">
      <formula>-1</formula>
    </cfRule>
  </conditionalFormatting>
  <conditionalFormatting sqref="T26">
    <cfRule type="cellIs" dxfId="35312" priority="105302" stopIfTrue="1" operator="lessThan">
      <formula>0.5</formula>
    </cfRule>
  </conditionalFormatting>
  <conditionalFormatting sqref="T26">
    <cfRule type="cellIs" dxfId="35311" priority="105303" stopIfTrue="1" operator="greaterThanOrEqual">
      <formula>0.5</formula>
    </cfRule>
  </conditionalFormatting>
  <conditionalFormatting sqref="T27">
    <cfRule type="cellIs" dxfId="35310" priority="105304" stopIfTrue="1" operator="equal">
      <formula>-1</formula>
    </cfRule>
  </conditionalFormatting>
  <conditionalFormatting sqref="T27">
    <cfRule type="cellIs" dxfId="35309" priority="105305" stopIfTrue="1" operator="lessThan">
      <formula>0.5</formula>
    </cfRule>
  </conditionalFormatting>
  <conditionalFormatting sqref="T27">
    <cfRule type="cellIs" dxfId="35308" priority="105306" stopIfTrue="1" operator="greaterThanOrEqual">
      <formula>0.5</formula>
    </cfRule>
  </conditionalFormatting>
  <conditionalFormatting sqref="T28">
    <cfRule type="cellIs" dxfId="35307" priority="105307" stopIfTrue="1" operator="equal">
      <formula>-1</formula>
    </cfRule>
  </conditionalFormatting>
  <conditionalFormatting sqref="T28">
    <cfRule type="cellIs" dxfId="35306" priority="105308" stopIfTrue="1" operator="lessThan">
      <formula>0.5</formula>
    </cfRule>
  </conditionalFormatting>
  <conditionalFormatting sqref="T28">
    <cfRule type="cellIs" dxfId="35305" priority="105309" stopIfTrue="1" operator="greaterThanOrEqual">
      <formula>0.5</formula>
    </cfRule>
  </conditionalFormatting>
  <conditionalFormatting sqref="T29">
    <cfRule type="cellIs" dxfId="35304" priority="105310" stopIfTrue="1" operator="equal">
      <formula>-1</formula>
    </cfRule>
  </conditionalFormatting>
  <conditionalFormatting sqref="T29">
    <cfRule type="cellIs" dxfId="35303" priority="105311" stopIfTrue="1" operator="lessThan">
      <formula>0.5</formula>
    </cfRule>
  </conditionalFormatting>
  <conditionalFormatting sqref="T29">
    <cfRule type="cellIs" dxfId="35302" priority="105312" stopIfTrue="1" operator="greaterThanOrEqual">
      <formula>0.5</formula>
    </cfRule>
  </conditionalFormatting>
  <conditionalFormatting sqref="T30">
    <cfRule type="cellIs" dxfId="35301" priority="105313" stopIfTrue="1" operator="equal">
      <formula>-1</formula>
    </cfRule>
  </conditionalFormatting>
  <conditionalFormatting sqref="T30">
    <cfRule type="cellIs" dxfId="35300" priority="105314" stopIfTrue="1" operator="lessThan">
      <formula>0.5</formula>
    </cfRule>
  </conditionalFormatting>
  <conditionalFormatting sqref="T30">
    <cfRule type="cellIs" dxfId="35299" priority="105315" stopIfTrue="1" operator="greaterThanOrEqual">
      <formula>0.5</formula>
    </cfRule>
  </conditionalFormatting>
  <conditionalFormatting sqref="T31">
    <cfRule type="cellIs" dxfId="35298" priority="105316" stopIfTrue="1" operator="equal">
      <formula>-1</formula>
    </cfRule>
  </conditionalFormatting>
  <conditionalFormatting sqref="T31">
    <cfRule type="cellIs" dxfId="35297" priority="105317" stopIfTrue="1" operator="lessThan">
      <formula>0.5</formula>
    </cfRule>
  </conditionalFormatting>
  <conditionalFormatting sqref="T31">
    <cfRule type="cellIs" dxfId="35296" priority="105318" stopIfTrue="1" operator="greaterThanOrEqual">
      <formula>0.5</formula>
    </cfRule>
  </conditionalFormatting>
  <conditionalFormatting sqref="T32">
    <cfRule type="cellIs" dxfId="35295" priority="105319" stopIfTrue="1" operator="equal">
      <formula>-1</formula>
    </cfRule>
  </conditionalFormatting>
  <conditionalFormatting sqref="T32">
    <cfRule type="cellIs" dxfId="35294" priority="105320" stopIfTrue="1" operator="lessThan">
      <formula>0.5</formula>
    </cfRule>
  </conditionalFormatting>
  <conditionalFormatting sqref="T32">
    <cfRule type="cellIs" dxfId="35293" priority="105321" stopIfTrue="1" operator="greaterThanOrEqual">
      <formula>0.5</formula>
    </cfRule>
  </conditionalFormatting>
  <conditionalFormatting sqref="T33">
    <cfRule type="cellIs" dxfId="35292" priority="105322" stopIfTrue="1" operator="equal">
      <formula>-1</formula>
    </cfRule>
  </conditionalFormatting>
  <conditionalFormatting sqref="T33">
    <cfRule type="cellIs" dxfId="35291" priority="105323" stopIfTrue="1" operator="lessThan">
      <formula>0.5</formula>
    </cfRule>
  </conditionalFormatting>
  <conditionalFormatting sqref="T33">
    <cfRule type="cellIs" dxfId="35290" priority="105324" stopIfTrue="1" operator="greaterThanOrEqual">
      <formula>0.5</formula>
    </cfRule>
  </conditionalFormatting>
  <conditionalFormatting sqref="T34">
    <cfRule type="cellIs" dxfId="35289" priority="105325" stopIfTrue="1" operator="equal">
      <formula>-1</formula>
    </cfRule>
  </conditionalFormatting>
  <conditionalFormatting sqref="T34">
    <cfRule type="cellIs" dxfId="35288" priority="105326" stopIfTrue="1" operator="lessThan">
      <formula>0.5</formula>
    </cfRule>
  </conditionalFormatting>
  <conditionalFormatting sqref="T34">
    <cfRule type="cellIs" dxfId="35287" priority="105327" stopIfTrue="1" operator="greaterThanOrEqual">
      <formula>0.5</formula>
    </cfRule>
  </conditionalFormatting>
  <conditionalFormatting sqref="T35">
    <cfRule type="cellIs" dxfId="35286" priority="105328" stopIfTrue="1" operator="equal">
      <formula>-1</formula>
    </cfRule>
  </conditionalFormatting>
  <conditionalFormatting sqref="T35">
    <cfRule type="cellIs" dxfId="35285" priority="105329" stopIfTrue="1" operator="lessThan">
      <formula>0.5</formula>
    </cfRule>
  </conditionalFormatting>
  <conditionalFormatting sqref="T35">
    <cfRule type="cellIs" dxfId="35284" priority="105330" stopIfTrue="1" operator="greaterThanOrEqual">
      <formula>0.5</formula>
    </cfRule>
  </conditionalFormatting>
  <conditionalFormatting sqref="T36">
    <cfRule type="cellIs" dxfId="35283" priority="105331" stopIfTrue="1" operator="equal">
      <formula>-1</formula>
    </cfRule>
  </conditionalFormatting>
  <conditionalFormatting sqref="T36">
    <cfRule type="cellIs" dxfId="35282" priority="105332" stopIfTrue="1" operator="lessThan">
      <formula>0.5</formula>
    </cfRule>
  </conditionalFormatting>
  <conditionalFormatting sqref="T36">
    <cfRule type="cellIs" dxfId="35281" priority="105333" stopIfTrue="1" operator="greaterThanOrEqual">
      <formula>0.5</formula>
    </cfRule>
  </conditionalFormatting>
  <conditionalFormatting sqref="T37">
    <cfRule type="cellIs" dxfId="35280" priority="105334" stopIfTrue="1" operator="equal">
      <formula>-1</formula>
    </cfRule>
  </conditionalFormatting>
  <conditionalFormatting sqref="T37">
    <cfRule type="cellIs" dxfId="35279" priority="105335" stopIfTrue="1" operator="lessThan">
      <formula>0.5</formula>
    </cfRule>
  </conditionalFormatting>
  <conditionalFormatting sqref="T37">
    <cfRule type="cellIs" dxfId="35278" priority="105336" stopIfTrue="1" operator="greaterThanOrEqual">
      <formula>0.5</formula>
    </cfRule>
  </conditionalFormatting>
  <conditionalFormatting sqref="V17">
    <cfRule type="cellIs" dxfId="35277" priority="105337" stopIfTrue="1" operator="equal">
      <formula>-1</formula>
    </cfRule>
  </conditionalFormatting>
  <conditionalFormatting sqref="V17">
    <cfRule type="cellIs" dxfId="35276" priority="105338" stopIfTrue="1" operator="lessThan">
      <formula>0.5</formula>
    </cfRule>
  </conditionalFormatting>
  <conditionalFormatting sqref="V17">
    <cfRule type="cellIs" dxfId="35275" priority="105339" stopIfTrue="1" operator="greaterThanOrEqual">
      <formula>0.5</formula>
    </cfRule>
  </conditionalFormatting>
  <conditionalFormatting sqref="V18">
    <cfRule type="cellIs" dxfId="35274" priority="105340" stopIfTrue="1" operator="equal">
      <formula>-1</formula>
    </cfRule>
  </conditionalFormatting>
  <conditionalFormatting sqref="V18">
    <cfRule type="cellIs" dxfId="35273" priority="105341" stopIfTrue="1" operator="lessThan">
      <formula>0.5</formula>
    </cfRule>
  </conditionalFormatting>
  <conditionalFormatting sqref="V18">
    <cfRule type="cellIs" dxfId="35272" priority="105342" stopIfTrue="1" operator="greaterThanOrEqual">
      <formula>0.5</formula>
    </cfRule>
  </conditionalFormatting>
  <conditionalFormatting sqref="V19">
    <cfRule type="cellIs" dxfId="35271" priority="105343" stopIfTrue="1" operator="equal">
      <formula>-1</formula>
    </cfRule>
  </conditionalFormatting>
  <conditionalFormatting sqref="V19">
    <cfRule type="cellIs" dxfId="35270" priority="105344" stopIfTrue="1" operator="lessThan">
      <formula>0.5</formula>
    </cfRule>
  </conditionalFormatting>
  <conditionalFormatting sqref="V19">
    <cfRule type="cellIs" dxfId="35269" priority="105345" stopIfTrue="1" operator="greaterThanOrEqual">
      <formula>0.5</formula>
    </cfRule>
  </conditionalFormatting>
  <conditionalFormatting sqref="V20">
    <cfRule type="cellIs" dxfId="35268" priority="105346" stopIfTrue="1" operator="equal">
      <formula>-1</formula>
    </cfRule>
  </conditionalFormatting>
  <conditionalFormatting sqref="V20">
    <cfRule type="cellIs" dxfId="35267" priority="105347" stopIfTrue="1" operator="lessThan">
      <formula>0.5</formula>
    </cfRule>
  </conditionalFormatting>
  <conditionalFormatting sqref="V20">
    <cfRule type="cellIs" dxfId="35266" priority="105348" stopIfTrue="1" operator="greaterThanOrEqual">
      <formula>0.5</formula>
    </cfRule>
  </conditionalFormatting>
  <conditionalFormatting sqref="V21">
    <cfRule type="cellIs" dxfId="35265" priority="105349" stopIfTrue="1" operator="equal">
      <formula>-1</formula>
    </cfRule>
  </conditionalFormatting>
  <conditionalFormatting sqref="V21">
    <cfRule type="cellIs" dxfId="35264" priority="105350" stopIfTrue="1" operator="lessThan">
      <formula>0.5</formula>
    </cfRule>
  </conditionalFormatting>
  <conditionalFormatting sqref="V21">
    <cfRule type="cellIs" dxfId="35263" priority="105351" stopIfTrue="1" operator="greaterThanOrEqual">
      <formula>0.5</formula>
    </cfRule>
  </conditionalFormatting>
  <conditionalFormatting sqref="V22">
    <cfRule type="cellIs" dxfId="35262" priority="105352" stopIfTrue="1" operator="equal">
      <formula>-1</formula>
    </cfRule>
  </conditionalFormatting>
  <conditionalFormatting sqref="V22">
    <cfRule type="cellIs" dxfId="35261" priority="105353" stopIfTrue="1" operator="lessThan">
      <formula>0.5</formula>
    </cfRule>
  </conditionalFormatting>
  <conditionalFormatting sqref="V22">
    <cfRule type="cellIs" dxfId="35260" priority="105354" stopIfTrue="1" operator="greaterThanOrEqual">
      <formula>0.5</formula>
    </cfRule>
  </conditionalFormatting>
  <conditionalFormatting sqref="V23">
    <cfRule type="cellIs" dxfId="35259" priority="105355" stopIfTrue="1" operator="equal">
      <formula>-1</formula>
    </cfRule>
  </conditionalFormatting>
  <conditionalFormatting sqref="V23">
    <cfRule type="cellIs" dxfId="35258" priority="105356" stopIfTrue="1" operator="lessThan">
      <formula>0.5</formula>
    </cfRule>
  </conditionalFormatting>
  <conditionalFormatting sqref="V23">
    <cfRule type="cellIs" dxfId="35257" priority="105357" stopIfTrue="1" operator="greaterThanOrEqual">
      <formula>0.5</formula>
    </cfRule>
  </conditionalFormatting>
  <conditionalFormatting sqref="V24">
    <cfRule type="cellIs" dxfId="35256" priority="105358" stopIfTrue="1" operator="equal">
      <formula>-1</formula>
    </cfRule>
  </conditionalFormatting>
  <conditionalFormatting sqref="V24">
    <cfRule type="cellIs" dxfId="35255" priority="105359" stopIfTrue="1" operator="lessThan">
      <formula>0.5</formula>
    </cfRule>
  </conditionalFormatting>
  <conditionalFormatting sqref="V24">
    <cfRule type="cellIs" dxfId="35254" priority="105360" stopIfTrue="1" operator="greaterThanOrEqual">
      <formula>0.5</formula>
    </cfRule>
  </conditionalFormatting>
  <conditionalFormatting sqref="V25">
    <cfRule type="cellIs" dxfId="35253" priority="105361" stopIfTrue="1" operator="equal">
      <formula>-1</formula>
    </cfRule>
  </conditionalFormatting>
  <conditionalFormatting sqref="V25">
    <cfRule type="cellIs" dxfId="35252" priority="105362" stopIfTrue="1" operator="lessThan">
      <formula>0.5</formula>
    </cfRule>
  </conditionalFormatting>
  <conditionalFormatting sqref="V25">
    <cfRule type="cellIs" dxfId="35251" priority="105363" stopIfTrue="1" operator="greaterThanOrEqual">
      <formula>0.5</formula>
    </cfRule>
  </conditionalFormatting>
  <conditionalFormatting sqref="V26">
    <cfRule type="cellIs" dxfId="35250" priority="105364" stopIfTrue="1" operator="equal">
      <formula>-1</formula>
    </cfRule>
  </conditionalFormatting>
  <conditionalFormatting sqref="V26">
    <cfRule type="cellIs" dxfId="35249" priority="105365" stopIfTrue="1" operator="lessThan">
      <formula>0.5</formula>
    </cfRule>
  </conditionalFormatting>
  <conditionalFormatting sqref="V26">
    <cfRule type="cellIs" dxfId="35248" priority="105366" stopIfTrue="1" operator="greaterThanOrEqual">
      <formula>0.5</formula>
    </cfRule>
  </conditionalFormatting>
  <conditionalFormatting sqref="V27">
    <cfRule type="cellIs" dxfId="35247" priority="105367" stopIfTrue="1" operator="equal">
      <formula>-1</formula>
    </cfRule>
  </conditionalFormatting>
  <conditionalFormatting sqref="V27">
    <cfRule type="cellIs" dxfId="35246" priority="105368" stopIfTrue="1" operator="lessThan">
      <formula>0.5</formula>
    </cfRule>
  </conditionalFormatting>
  <conditionalFormatting sqref="V27">
    <cfRule type="cellIs" dxfId="35245" priority="105369" stopIfTrue="1" operator="greaterThanOrEqual">
      <formula>0.5</formula>
    </cfRule>
  </conditionalFormatting>
  <conditionalFormatting sqref="V28">
    <cfRule type="cellIs" dxfId="35244" priority="105370" stopIfTrue="1" operator="equal">
      <formula>-1</formula>
    </cfRule>
  </conditionalFormatting>
  <conditionalFormatting sqref="V28">
    <cfRule type="cellIs" dxfId="35243" priority="105371" stopIfTrue="1" operator="lessThan">
      <formula>0.5</formula>
    </cfRule>
  </conditionalFormatting>
  <conditionalFormatting sqref="V28">
    <cfRule type="cellIs" dxfId="35242" priority="105372" stopIfTrue="1" operator="greaterThanOrEqual">
      <formula>0.5</formula>
    </cfRule>
  </conditionalFormatting>
  <conditionalFormatting sqref="V29">
    <cfRule type="cellIs" dxfId="35241" priority="105373" stopIfTrue="1" operator="equal">
      <formula>-1</formula>
    </cfRule>
  </conditionalFormatting>
  <conditionalFormatting sqref="V29">
    <cfRule type="cellIs" dxfId="35240" priority="105374" stopIfTrue="1" operator="lessThan">
      <formula>0.5</formula>
    </cfRule>
  </conditionalFormatting>
  <conditionalFormatting sqref="V29">
    <cfRule type="cellIs" dxfId="35239" priority="105375" stopIfTrue="1" operator="greaterThanOrEqual">
      <formula>0.5</formula>
    </cfRule>
  </conditionalFormatting>
  <conditionalFormatting sqref="V30">
    <cfRule type="cellIs" dxfId="35238" priority="105376" stopIfTrue="1" operator="equal">
      <formula>-1</formula>
    </cfRule>
  </conditionalFormatting>
  <conditionalFormatting sqref="V30">
    <cfRule type="cellIs" dxfId="35237" priority="105377" stopIfTrue="1" operator="lessThan">
      <formula>0.5</formula>
    </cfRule>
  </conditionalFormatting>
  <conditionalFormatting sqref="V30">
    <cfRule type="cellIs" dxfId="35236" priority="105378" stopIfTrue="1" operator="greaterThanOrEqual">
      <formula>0.5</formula>
    </cfRule>
  </conditionalFormatting>
  <conditionalFormatting sqref="V31">
    <cfRule type="cellIs" dxfId="35235" priority="105379" stopIfTrue="1" operator="equal">
      <formula>-1</formula>
    </cfRule>
  </conditionalFormatting>
  <conditionalFormatting sqref="V31">
    <cfRule type="cellIs" dxfId="35234" priority="105380" stopIfTrue="1" operator="lessThan">
      <formula>0.5</formula>
    </cfRule>
  </conditionalFormatting>
  <conditionalFormatting sqref="V31">
    <cfRule type="cellIs" dxfId="35233" priority="105381" stopIfTrue="1" operator="greaterThanOrEqual">
      <formula>0.5</formula>
    </cfRule>
  </conditionalFormatting>
  <conditionalFormatting sqref="V32">
    <cfRule type="cellIs" dxfId="35232" priority="105382" stopIfTrue="1" operator="equal">
      <formula>-1</formula>
    </cfRule>
  </conditionalFormatting>
  <conditionalFormatting sqref="V32">
    <cfRule type="cellIs" dxfId="35231" priority="105383" stopIfTrue="1" operator="lessThan">
      <formula>0.5</formula>
    </cfRule>
  </conditionalFormatting>
  <conditionalFormatting sqref="V32">
    <cfRule type="cellIs" dxfId="35230" priority="105384" stopIfTrue="1" operator="greaterThanOrEqual">
      <formula>0.5</formula>
    </cfRule>
  </conditionalFormatting>
  <conditionalFormatting sqref="V33">
    <cfRule type="cellIs" dxfId="35229" priority="105385" stopIfTrue="1" operator="equal">
      <formula>-1</formula>
    </cfRule>
  </conditionalFormatting>
  <conditionalFormatting sqref="V33">
    <cfRule type="cellIs" dxfId="35228" priority="105386" stopIfTrue="1" operator="lessThan">
      <formula>0.5</formula>
    </cfRule>
  </conditionalFormatting>
  <conditionalFormatting sqref="V33">
    <cfRule type="cellIs" dxfId="35227" priority="105387" stopIfTrue="1" operator="greaterThanOrEqual">
      <formula>0.5</formula>
    </cfRule>
  </conditionalFormatting>
  <conditionalFormatting sqref="V34">
    <cfRule type="cellIs" dxfId="35226" priority="105388" stopIfTrue="1" operator="equal">
      <formula>-1</formula>
    </cfRule>
  </conditionalFormatting>
  <conditionalFormatting sqref="V34">
    <cfRule type="cellIs" dxfId="35225" priority="105389" stopIfTrue="1" operator="lessThan">
      <formula>0.5</formula>
    </cfRule>
  </conditionalFormatting>
  <conditionalFormatting sqref="V34">
    <cfRule type="cellIs" dxfId="35224" priority="105390" stopIfTrue="1" operator="greaterThanOrEqual">
      <formula>0.5</formula>
    </cfRule>
  </conditionalFormatting>
  <conditionalFormatting sqref="V35">
    <cfRule type="cellIs" dxfId="35223" priority="105391" stopIfTrue="1" operator="equal">
      <formula>-1</formula>
    </cfRule>
  </conditionalFormatting>
  <conditionalFormatting sqref="V35">
    <cfRule type="cellIs" dxfId="35222" priority="105392" stopIfTrue="1" operator="lessThan">
      <formula>0.5</formula>
    </cfRule>
  </conditionalFormatting>
  <conditionalFormatting sqref="V35">
    <cfRule type="cellIs" dxfId="35221" priority="105393" stopIfTrue="1" operator="greaterThanOrEqual">
      <formula>0.5</formula>
    </cfRule>
  </conditionalFormatting>
  <conditionalFormatting sqref="V36">
    <cfRule type="cellIs" dxfId="35220" priority="105394" stopIfTrue="1" operator="equal">
      <formula>-1</formula>
    </cfRule>
  </conditionalFormatting>
  <conditionalFormatting sqref="V36">
    <cfRule type="cellIs" dxfId="35219" priority="105395" stopIfTrue="1" operator="lessThan">
      <formula>0.5</formula>
    </cfRule>
  </conditionalFormatting>
  <conditionalFormatting sqref="V36">
    <cfRule type="cellIs" dxfId="35218" priority="105396" stopIfTrue="1" operator="greaterThanOrEqual">
      <formula>0.5</formula>
    </cfRule>
  </conditionalFormatting>
  <conditionalFormatting sqref="V37">
    <cfRule type="cellIs" dxfId="35217" priority="105397" stopIfTrue="1" operator="equal">
      <formula>-1</formula>
    </cfRule>
  </conditionalFormatting>
  <conditionalFormatting sqref="V37">
    <cfRule type="cellIs" dxfId="35216" priority="105398" stopIfTrue="1" operator="lessThan">
      <formula>0.5</formula>
    </cfRule>
  </conditionalFormatting>
  <conditionalFormatting sqref="V37">
    <cfRule type="cellIs" dxfId="35215" priority="105399" stopIfTrue="1" operator="greaterThanOrEqual">
      <formula>0.5</formula>
    </cfRule>
  </conditionalFormatting>
  <conditionalFormatting sqref="X17">
    <cfRule type="cellIs" dxfId="35214" priority="105400" stopIfTrue="1" operator="equal">
      <formula>-1</formula>
    </cfRule>
  </conditionalFormatting>
  <conditionalFormatting sqref="X17">
    <cfRule type="cellIs" dxfId="35213" priority="105401" stopIfTrue="1" operator="lessThan">
      <formula>0.5</formula>
    </cfRule>
  </conditionalFormatting>
  <conditionalFormatting sqref="X17">
    <cfRule type="cellIs" dxfId="35212" priority="105402" stopIfTrue="1" operator="greaterThanOrEqual">
      <formula>0.5</formula>
    </cfRule>
  </conditionalFormatting>
  <conditionalFormatting sqref="X18">
    <cfRule type="cellIs" dxfId="35211" priority="105403" stopIfTrue="1" operator="equal">
      <formula>-1</formula>
    </cfRule>
  </conditionalFormatting>
  <conditionalFormatting sqref="X18">
    <cfRule type="cellIs" dxfId="35210" priority="105404" stopIfTrue="1" operator="lessThan">
      <formula>0.5</formula>
    </cfRule>
  </conditionalFormatting>
  <conditionalFormatting sqref="X18">
    <cfRule type="cellIs" dxfId="35209" priority="105405" stopIfTrue="1" operator="greaterThanOrEqual">
      <formula>0.5</formula>
    </cfRule>
  </conditionalFormatting>
  <conditionalFormatting sqref="X19">
    <cfRule type="cellIs" dxfId="35208" priority="105406" stopIfTrue="1" operator="equal">
      <formula>-1</formula>
    </cfRule>
  </conditionalFormatting>
  <conditionalFormatting sqref="X19">
    <cfRule type="cellIs" dxfId="35207" priority="105407" stopIfTrue="1" operator="lessThan">
      <formula>0.5</formula>
    </cfRule>
  </conditionalFormatting>
  <conditionalFormatting sqref="X19">
    <cfRule type="cellIs" dxfId="35206" priority="105408" stopIfTrue="1" operator="greaterThanOrEqual">
      <formula>0.5</formula>
    </cfRule>
  </conditionalFormatting>
  <conditionalFormatting sqref="X20">
    <cfRule type="cellIs" dxfId="35205" priority="105409" stopIfTrue="1" operator="equal">
      <formula>-1</formula>
    </cfRule>
  </conditionalFormatting>
  <conditionalFormatting sqref="X20">
    <cfRule type="cellIs" dxfId="35204" priority="105410" stopIfTrue="1" operator="lessThan">
      <formula>0.5</formula>
    </cfRule>
  </conditionalFormatting>
  <conditionalFormatting sqref="X20">
    <cfRule type="cellIs" dxfId="35203" priority="105411" stopIfTrue="1" operator="greaterThanOrEqual">
      <formula>0.5</formula>
    </cfRule>
  </conditionalFormatting>
  <conditionalFormatting sqref="X21">
    <cfRule type="cellIs" dxfId="35202" priority="105412" stopIfTrue="1" operator="equal">
      <formula>-1</formula>
    </cfRule>
  </conditionalFormatting>
  <conditionalFormatting sqref="X21">
    <cfRule type="cellIs" dxfId="35201" priority="105413" stopIfTrue="1" operator="lessThan">
      <formula>0.5</formula>
    </cfRule>
  </conditionalFormatting>
  <conditionalFormatting sqref="X21">
    <cfRule type="cellIs" dxfId="35200" priority="105414" stopIfTrue="1" operator="greaterThanOrEqual">
      <formula>0.5</formula>
    </cfRule>
  </conditionalFormatting>
  <conditionalFormatting sqref="X22">
    <cfRule type="cellIs" dxfId="35199" priority="105415" stopIfTrue="1" operator="equal">
      <formula>-1</formula>
    </cfRule>
  </conditionalFormatting>
  <conditionalFormatting sqref="X22">
    <cfRule type="cellIs" dxfId="35198" priority="105416" stopIfTrue="1" operator="lessThan">
      <formula>0.5</formula>
    </cfRule>
  </conditionalFormatting>
  <conditionalFormatting sqref="X22">
    <cfRule type="cellIs" dxfId="35197" priority="105417" stopIfTrue="1" operator="greaterThanOrEqual">
      <formula>0.5</formula>
    </cfRule>
  </conditionalFormatting>
  <conditionalFormatting sqref="X23">
    <cfRule type="cellIs" dxfId="35196" priority="105418" stopIfTrue="1" operator="equal">
      <formula>-1</formula>
    </cfRule>
  </conditionalFormatting>
  <conditionalFormatting sqref="X23">
    <cfRule type="cellIs" dxfId="35195" priority="105419" stopIfTrue="1" operator="lessThan">
      <formula>0.5</formula>
    </cfRule>
  </conditionalFormatting>
  <conditionalFormatting sqref="X23">
    <cfRule type="cellIs" dxfId="35194" priority="105420" stopIfTrue="1" operator="greaterThanOrEqual">
      <formula>0.5</formula>
    </cfRule>
  </conditionalFormatting>
  <conditionalFormatting sqref="X24">
    <cfRule type="cellIs" dxfId="35193" priority="105421" stopIfTrue="1" operator="equal">
      <formula>-1</formula>
    </cfRule>
  </conditionalFormatting>
  <conditionalFormatting sqref="X24">
    <cfRule type="cellIs" dxfId="35192" priority="105422" stopIfTrue="1" operator="lessThan">
      <formula>0.5</formula>
    </cfRule>
  </conditionalFormatting>
  <conditionalFormatting sqref="X24">
    <cfRule type="cellIs" dxfId="35191" priority="105423" stopIfTrue="1" operator="greaterThanOrEqual">
      <formula>0.5</formula>
    </cfRule>
  </conditionalFormatting>
  <conditionalFormatting sqref="X25">
    <cfRule type="cellIs" dxfId="35190" priority="105424" stopIfTrue="1" operator="equal">
      <formula>-1</formula>
    </cfRule>
  </conditionalFormatting>
  <conditionalFormatting sqref="X25">
    <cfRule type="cellIs" dxfId="35189" priority="105425" stopIfTrue="1" operator="lessThan">
      <formula>0.5</formula>
    </cfRule>
  </conditionalFormatting>
  <conditionalFormatting sqref="X25">
    <cfRule type="cellIs" dxfId="35188" priority="105426" stopIfTrue="1" operator="greaterThanOrEqual">
      <formula>0.5</formula>
    </cfRule>
  </conditionalFormatting>
  <conditionalFormatting sqref="X26">
    <cfRule type="cellIs" dxfId="35187" priority="105427" stopIfTrue="1" operator="equal">
      <formula>-1</formula>
    </cfRule>
  </conditionalFormatting>
  <conditionalFormatting sqref="X26">
    <cfRule type="cellIs" dxfId="35186" priority="105428" stopIfTrue="1" operator="lessThan">
      <formula>0.5</formula>
    </cfRule>
  </conditionalFormatting>
  <conditionalFormatting sqref="X26">
    <cfRule type="cellIs" dxfId="35185" priority="105429" stopIfTrue="1" operator="greaterThanOrEqual">
      <formula>0.5</formula>
    </cfRule>
  </conditionalFormatting>
  <conditionalFormatting sqref="X27">
    <cfRule type="cellIs" dxfId="35184" priority="105430" stopIfTrue="1" operator="equal">
      <formula>-1</formula>
    </cfRule>
  </conditionalFormatting>
  <conditionalFormatting sqref="X27">
    <cfRule type="cellIs" dxfId="35183" priority="105431" stopIfTrue="1" operator="lessThan">
      <formula>0.5</formula>
    </cfRule>
  </conditionalFormatting>
  <conditionalFormatting sqref="X27">
    <cfRule type="cellIs" dxfId="35182" priority="105432" stopIfTrue="1" operator="greaterThanOrEqual">
      <formula>0.5</formula>
    </cfRule>
  </conditionalFormatting>
  <conditionalFormatting sqref="X28">
    <cfRule type="cellIs" dxfId="35181" priority="105433" stopIfTrue="1" operator="equal">
      <formula>-1</formula>
    </cfRule>
  </conditionalFormatting>
  <conditionalFormatting sqref="X28">
    <cfRule type="cellIs" dxfId="35180" priority="105434" stopIfTrue="1" operator="lessThan">
      <formula>0.5</formula>
    </cfRule>
  </conditionalFormatting>
  <conditionalFormatting sqref="X28">
    <cfRule type="cellIs" dxfId="35179" priority="105435" stopIfTrue="1" operator="greaterThanOrEqual">
      <formula>0.5</formula>
    </cfRule>
  </conditionalFormatting>
  <conditionalFormatting sqref="X29">
    <cfRule type="cellIs" dxfId="35178" priority="105436" stopIfTrue="1" operator="equal">
      <formula>-1</formula>
    </cfRule>
  </conditionalFormatting>
  <conditionalFormatting sqref="X29">
    <cfRule type="cellIs" dxfId="35177" priority="105437" stopIfTrue="1" operator="lessThan">
      <formula>0.5</formula>
    </cfRule>
  </conditionalFormatting>
  <conditionalFormatting sqref="X29">
    <cfRule type="cellIs" dxfId="35176" priority="105438" stopIfTrue="1" operator="greaterThanOrEqual">
      <formula>0.5</formula>
    </cfRule>
  </conditionalFormatting>
  <conditionalFormatting sqref="X30">
    <cfRule type="cellIs" dxfId="35175" priority="105439" stopIfTrue="1" operator="equal">
      <formula>-1</formula>
    </cfRule>
  </conditionalFormatting>
  <conditionalFormatting sqref="X30">
    <cfRule type="cellIs" dxfId="35174" priority="105440" stopIfTrue="1" operator="lessThan">
      <formula>0.5</formula>
    </cfRule>
  </conditionalFormatting>
  <conditionalFormatting sqref="X30">
    <cfRule type="cellIs" dxfId="35173" priority="105441" stopIfTrue="1" operator="greaterThanOrEqual">
      <formula>0.5</formula>
    </cfRule>
  </conditionalFormatting>
  <conditionalFormatting sqref="X31">
    <cfRule type="cellIs" dxfId="35172" priority="105442" stopIfTrue="1" operator="equal">
      <formula>-1</formula>
    </cfRule>
  </conditionalFormatting>
  <conditionalFormatting sqref="X31">
    <cfRule type="cellIs" dxfId="35171" priority="105443" stopIfTrue="1" operator="lessThan">
      <formula>0.5</formula>
    </cfRule>
  </conditionalFormatting>
  <conditionalFormatting sqref="X31">
    <cfRule type="cellIs" dxfId="35170" priority="105444" stopIfTrue="1" operator="greaterThanOrEqual">
      <formula>0.5</formula>
    </cfRule>
  </conditionalFormatting>
  <conditionalFormatting sqref="X32">
    <cfRule type="cellIs" dxfId="35169" priority="105445" stopIfTrue="1" operator="equal">
      <formula>-1</formula>
    </cfRule>
  </conditionalFormatting>
  <conditionalFormatting sqref="X32">
    <cfRule type="cellIs" dxfId="35168" priority="105446" stopIfTrue="1" operator="lessThan">
      <formula>0.5</formula>
    </cfRule>
  </conditionalFormatting>
  <conditionalFormatting sqref="X32">
    <cfRule type="cellIs" dxfId="35167" priority="105447" stopIfTrue="1" operator="greaterThanOrEqual">
      <formula>0.5</formula>
    </cfRule>
  </conditionalFormatting>
  <conditionalFormatting sqref="X33">
    <cfRule type="cellIs" dxfId="35166" priority="105448" stopIfTrue="1" operator="equal">
      <formula>-1</formula>
    </cfRule>
  </conditionalFormatting>
  <conditionalFormatting sqref="X33">
    <cfRule type="cellIs" dxfId="35165" priority="105449" stopIfTrue="1" operator="lessThan">
      <formula>0.5</formula>
    </cfRule>
  </conditionalFormatting>
  <conditionalFormatting sqref="X33">
    <cfRule type="cellIs" dxfId="35164" priority="105450" stopIfTrue="1" operator="greaterThanOrEqual">
      <formula>0.5</formula>
    </cfRule>
  </conditionalFormatting>
  <conditionalFormatting sqref="X34">
    <cfRule type="cellIs" dxfId="35163" priority="105451" stopIfTrue="1" operator="equal">
      <formula>-1</formula>
    </cfRule>
  </conditionalFormatting>
  <conditionalFormatting sqref="X34">
    <cfRule type="cellIs" dxfId="35162" priority="105452" stopIfTrue="1" operator="lessThan">
      <formula>0.5</formula>
    </cfRule>
  </conditionalFormatting>
  <conditionalFormatting sqref="X34">
    <cfRule type="cellIs" dxfId="35161" priority="105453" stopIfTrue="1" operator="greaterThanOrEqual">
      <formula>0.5</formula>
    </cfRule>
  </conditionalFormatting>
  <conditionalFormatting sqref="X35">
    <cfRule type="cellIs" dxfId="35160" priority="105454" stopIfTrue="1" operator="equal">
      <formula>-1</formula>
    </cfRule>
  </conditionalFormatting>
  <conditionalFormatting sqref="X35">
    <cfRule type="cellIs" dxfId="35159" priority="105455" stopIfTrue="1" operator="lessThan">
      <formula>0.5</formula>
    </cfRule>
  </conditionalFormatting>
  <conditionalFormatting sqref="X35">
    <cfRule type="cellIs" dxfId="35158" priority="105456" stopIfTrue="1" operator="greaterThanOrEqual">
      <formula>0.5</formula>
    </cfRule>
  </conditionalFormatting>
  <conditionalFormatting sqref="X36">
    <cfRule type="cellIs" dxfId="35157" priority="105457" stopIfTrue="1" operator="equal">
      <formula>-1</formula>
    </cfRule>
  </conditionalFormatting>
  <conditionalFormatting sqref="X36">
    <cfRule type="cellIs" dxfId="35156" priority="105458" stopIfTrue="1" operator="lessThan">
      <formula>0.5</formula>
    </cfRule>
  </conditionalFormatting>
  <conditionalFormatting sqref="X36">
    <cfRule type="cellIs" dxfId="35155" priority="105459" stopIfTrue="1" operator="greaterThanOrEqual">
      <formula>0.5</formula>
    </cfRule>
  </conditionalFormatting>
  <conditionalFormatting sqref="X37">
    <cfRule type="cellIs" dxfId="35154" priority="105460" stopIfTrue="1" operator="equal">
      <formula>-1</formula>
    </cfRule>
  </conditionalFormatting>
  <conditionalFormatting sqref="X37">
    <cfRule type="cellIs" dxfId="35153" priority="105461" stopIfTrue="1" operator="lessThan">
      <formula>0.5</formula>
    </cfRule>
  </conditionalFormatting>
  <conditionalFormatting sqref="X37">
    <cfRule type="cellIs" dxfId="35152" priority="105462" stopIfTrue="1" operator="greaterThanOrEqual">
      <formula>0.5</formula>
    </cfRule>
  </conditionalFormatting>
  <conditionalFormatting sqref="Z17">
    <cfRule type="cellIs" dxfId="35151" priority="105463" stopIfTrue="1" operator="equal">
      <formula>-1</formula>
    </cfRule>
  </conditionalFormatting>
  <conditionalFormatting sqref="Z17">
    <cfRule type="cellIs" dxfId="35150" priority="105464" stopIfTrue="1" operator="lessThan">
      <formula>0.5</formula>
    </cfRule>
  </conditionalFormatting>
  <conditionalFormatting sqref="Z17">
    <cfRule type="cellIs" dxfId="35149" priority="105465" stopIfTrue="1" operator="greaterThanOrEqual">
      <formula>0.5</formula>
    </cfRule>
  </conditionalFormatting>
  <conditionalFormatting sqref="Z18">
    <cfRule type="cellIs" dxfId="35148" priority="105466" stopIfTrue="1" operator="equal">
      <formula>-1</formula>
    </cfRule>
  </conditionalFormatting>
  <conditionalFormatting sqref="Z18">
    <cfRule type="cellIs" dxfId="35147" priority="105467" stopIfTrue="1" operator="lessThan">
      <formula>0.5</formula>
    </cfRule>
  </conditionalFormatting>
  <conditionalFormatting sqref="Z18">
    <cfRule type="cellIs" dxfId="35146" priority="105468" stopIfTrue="1" operator="greaterThanOrEqual">
      <formula>0.5</formula>
    </cfRule>
  </conditionalFormatting>
  <conditionalFormatting sqref="Z19">
    <cfRule type="cellIs" dxfId="35145" priority="105469" stopIfTrue="1" operator="equal">
      <formula>-1</formula>
    </cfRule>
  </conditionalFormatting>
  <conditionalFormatting sqref="Z19">
    <cfRule type="cellIs" dxfId="35144" priority="105470" stopIfTrue="1" operator="lessThan">
      <formula>0.5</formula>
    </cfRule>
  </conditionalFormatting>
  <conditionalFormatting sqref="Z19">
    <cfRule type="cellIs" dxfId="35143" priority="105471" stopIfTrue="1" operator="greaterThanOrEqual">
      <formula>0.5</formula>
    </cfRule>
  </conditionalFormatting>
  <conditionalFormatting sqref="Z20">
    <cfRule type="cellIs" dxfId="35142" priority="105472" stopIfTrue="1" operator="equal">
      <formula>-1</formula>
    </cfRule>
  </conditionalFormatting>
  <conditionalFormatting sqref="Z20">
    <cfRule type="cellIs" dxfId="35141" priority="105473" stopIfTrue="1" operator="lessThan">
      <formula>0.5</formula>
    </cfRule>
  </conditionalFormatting>
  <conditionalFormatting sqref="Z20">
    <cfRule type="cellIs" dxfId="35140" priority="105474" stopIfTrue="1" operator="greaterThanOrEqual">
      <formula>0.5</formula>
    </cfRule>
  </conditionalFormatting>
  <conditionalFormatting sqref="Z21">
    <cfRule type="cellIs" dxfId="35139" priority="105475" stopIfTrue="1" operator="equal">
      <formula>-1</formula>
    </cfRule>
  </conditionalFormatting>
  <conditionalFormatting sqref="Z21">
    <cfRule type="cellIs" dxfId="35138" priority="105476" stopIfTrue="1" operator="lessThan">
      <formula>0.5</formula>
    </cfRule>
  </conditionalFormatting>
  <conditionalFormatting sqref="Z21">
    <cfRule type="cellIs" dxfId="35137" priority="105477" stopIfTrue="1" operator="greaterThanOrEqual">
      <formula>0.5</formula>
    </cfRule>
  </conditionalFormatting>
  <conditionalFormatting sqref="Z22">
    <cfRule type="cellIs" dxfId="35136" priority="105478" stopIfTrue="1" operator="equal">
      <formula>-1</formula>
    </cfRule>
  </conditionalFormatting>
  <conditionalFormatting sqref="Z22">
    <cfRule type="cellIs" dxfId="35135" priority="105479" stopIfTrue="1" operator="lessThan">
      <formula>0.5</formula>
    </cfRule>
  </conditionalFormatting>
  <conditionalFormatting sqref="Z22">
    <cfRule type="cellIs" dxfId="35134" priority="105480" stopIfTrue="1" operator="greaterThanOrEqual">
      <formula>0.5</formula>
    </cfRule>
  </conditionalFormatting>
  <conditionalFormatting sqref="Z23">
    <cfRule type="cellIs" dxfId="35133" priority="105481" stopIfTrue="1" operator="equal">
      <formula>-1</formula>
    </cfRule>
  </conditionalFormatting>
  <conditionalFormatting sqref="Z23">
    <cfRule type="cellIs" dxfId="35132" priority="105482" stopIfTrue="1" operator="lessThan">
      <formula>0.5</formula>
    </cfRule>
  </conditionalFormatting>
  <conditionalFormatting sqref="Z23">
    <cfRule type="cellIs" dxfId="35131" priority="105483" stopIfTrue="1" operator="greaterThanOrEqual">
      <formula>0.5</formula>
    </cfRule>
  </conditionalFormatting>
  <conditionalFormatting sqref="Z24">
    <cfRule type="cellIs" dxfId="35130" priority="105484" stopIfTrue="1" operator="equal">
      <formula>-1</formula>
    </cfRule>
  </conditionalFormatting>
  <conditionalFormatting sqref="Z24">
    <cfRule type="cellIs" dxfId="35129" priority="105485" stopIfTrue="1" operator="lessThan">
      <formula>0.5</formula>
    </cfRule>
  </conditionalFormatting>
  <conditionalFormatting sqref="Z24">
    <cfRule type="cellIs" dxfId="35128" priority="105486" stopIfTrue="1" operator="greaterThanOrEqual">
      <formula>0.5</formula>
    </cfRule>
  </conditionalFormatting>
  <conditionalFormatting sqref="Z25">
    <cfRule type="cellIs" dxfId="35127" priority="105487" stopIfTrue="1" operator="equal">
      <formula>-1</formula>
    </cfRule>
  </conditionalFormatting>
  <conditionalFormatting sqref="Z25">
    <cfRule type="cellIs" dxfId="35126" priority="105488" stopIfTrue="1" operator="lessThan">
      <formula>0.5</formula>
    </cfRule>
  </conditionalFormatting>
  <conditionalFormatting sqref="Z25">
    <cfRule type="cellIs" dxfId="35125" priority="105489" stopIfTrue="1" operator="greaterThanOrEqual">
      <formula>0.5</formula>
    </cfRule>
  </conditionalFormatting>
  <conditionalFormatting sqref="Z26">
    <cfRule type="cellIs" dxfId="35124" priority="105490" stopIfTrue="1" operator="equal">
      <formula>-1</formula>
    </cfRule>
  </conditionalFormatting>
  <conditionalFormatting sqref="Z26">
    <cfRule type="cellIs" dxfId="35123" priority="105491" stopIfTrue="1" operator="lessThan">
      <formula>0.5</formula>
    </cfRule>
  </conditionalFormatting>
  <conditionalFormatting sqref="Z26">
    <cfRule type="cellIs" dxfId="35122" priority="105492" stopIfTrue="1" operator="greaterThanOrEqual">
      <formula>0.5</formula>
    </cfRule>
  </conditionalFormatting>
  <conditionalFormatting sqref="Z27">
    <cfRule type="cellIs" dxfId="35121" priority="105493" stopIfTrue="1" operator="equal">
      <formula>-1</formula>
    </cfRule>
  </conditionalFormatting>
  <conditionalFormatting sqref="Z27">
    <cfRule type="cellIs" dxfId="35120" priority="105494" stopIfTrue="1" operator="lessThan">
      <formula>0.5</formula>
    </cfRule>
  </conditionalFormatting>
  <conditionalFormatting sqref="Z27">
    <cfRule type="cellIs" dxfId="35119" priority="105495" stopIfTrue="1" operator="greaterThanOrEqual">
      <formula>0.5</formula>
    </cfRule>
  </conditionalFormatting>
  <conditionalFormatting sqref="Z28">
    <cfRule type="cellIs" dxfId="35118" priority="105496" stopIfTrue="1" operator="equal">
      <formula>-1</formula>
    </cfRule>
  </conditionalFormatting>
  <conditionalFormatting sqref="Z28">
    <cfRule type="cellIs" dxfId="35117" priority="105497" stopIfTrue="1" operator="lessThan">
      <formula>0.5</formula>
    </cfRule>
  </conditionalFormatting>
  <conditionalFormatting sqref="Z28">
    <cfRule type="cellIs" dxfId="35116" priority="105498" stopIfTrue="1" operator="greaterThanOrEqual">
      <formula>0.5</formula>
    </cfRule>
  </conditionalFormatting>
  <conditionalFormatting sqref="Z29">
    <cfRule type="cellIs" dxfId="35115" priority="105499" stopIfTrue="1" operator="equal">
      <formula>-1</formula>
    </cfRule>
  </conditionalFormatting>
  <conditionalFormatting sqref="Z29">
    <cfRule type="cellIs" dxfId="35114" priority="105500" stopIfTrue="1" operator="lessThan">
      <formula>0.5</formula>
    </cfRule>
  </conditionalFormatting>
  <conditionalFormatting sqref="Z29">
    <cfRule type="cellIs" dxfId="35113" priority="105501" stopIfTrue="1" operator="greaterThanOrEqual">
      <formula>0.5</formula>
    </cfRule>
  </conditionalFormatting>
  <conditionalFormatting sqref="Z30">
    <cfRule type="cellIs" dxfId="35112" priority="105502" stopIfTrue="1" operator="equal">
      <formula>-1</formula>
    </cfRule>
  </conditionalFormatting>
  <conditionalFormatting sqref="Z30">
    <cfRule type="cellIs" dxfId="35111" priority="105503" stopIfTrue="1" operator="lessThan">
      <formula>0.5</formula>
    </cfRule>
  </conditionalFormatting>
  <conditionalFormatting sqref="Z30">
    <cfRule type="cellIs" dxfId="35110" priority="105504" stopIfTrue="1" operator="greaterThanOrEqual">
      <formula>0.5</formula>
    </cfRule>
  </conditionalFormatting>
  <conditionalFormatting sqref="Z31">
    <cfRule type="cellIs" dxfId="35109" priority="105505" stopIfTrue="1" operator="equal">
      <formula>-1</formula>
    </cfRule>
  </conditionalFormatting>
  <conditionalFormatting sqref="Z31">
    <cfRule type="cellIs" dxfId="35108" priority="105506" stopIfTrue="1" operator="lessThan">
      <formula>0.5</formula>
    </cfRule>
  </conditionalFormatting>
  <conditionalFormatting sqref="Z31">
    <cfRule type="cellIs" dxfId="35107" priority="105507" stopIfTrue="1" operator="greaterThanOrEqual">
      <formula>0.5</formula>
    </cfRule>
  </conditionalFormatting>
  <conditionalFormatting sqref="Z32">
    <cfRule type="cellIs" dxfId="35106" priority="105508" stopIfTrue="1" operator="equal">
      <formula>-1</formula>
    </cfRule>
  </conditionalFormatting>
  <conditionalFormatting sqref="Z32">
    <cfRule type="cellIs" dxfId="35105" priority="105509" stopIfTrue="1" operator="lessThan">
      <formula>0.5</formula>
    </cfRule>
  </conditionalFormatting>
  <conditionalFormatting sqref="Z32">
    <cfRule type="cellIs" dxfId="35104" priority="105510" stopIfTrue="1" operator="greaterThanOrEqual">
      <formula>0.5</formula>
    </cfRule>
  </conditionalFormatting>
  <conditionalFormatting sqref="Z33">
    <cfRule type="cellIs" dxfId="35103" priority="105511" stopIfTrue="1" operator="equal">
      <formula>-1</formula>
    </cfRule>
  </conditionalFormatting>
  <conditionalFormatting sqref="Z33">
    <cfRule type="cellIs" dxfId="35102" priority="105512" stopIfTrue="1" operator="lessThan">
      <formula>0.5</formula>
    </cfRule>
  </conditionalFormatting>
  <conditionalFormatting sqref="Z33">
    <cfRule type="cellIs" dxfId="35101" priority="105513" stopIfTrue="1" operator="greaterThanOrEqual">
      <formula>0.5</formula>
    </cfRule>
  </conditionalFormatting>
  <conditionalFormatting sqref="Z34">
    <cfRule type="cellIs" dxfId="35100" priority="105514" stopIfTrue="1" operator="equal">
      <formula>-1</formula>
    </cfRule>
  </conditionalFormatting>
  <conditionalFormatting sqref="Z34">
    <cfRule type="cellIs" dxfId="35099" priority="105515" stopIfTrue="1" operator="lessThan">
      <formula>0.5</formula>
    </cfRule>
  </conditionalFormatting>
  <conditionalFormatting sqref="Z34">
    <cfRule type="cellIs" dxfId="35098" priority="105516" stopIfTrue="1" operator="greaterThanOrEqual">
      <formula>0.5</formula>
    </cfRule>
  </conditionalFormatting>
  <conditionalFormatting sqref="Z35">
    <cfRule type="cellIs" dxfId="35097" priority="105517" stopIfTrue="1" operator="equal">
      <formula>-1</formula>
    </cfRule>
  </conditionalFormatting>
  <conditionalFormatting sqref="Z35">
    <cfRule type="cellIs" dxfId="35096" priority="105518" stopIfTrue="1" operator="lessThan">
      <formula>0.5</formula>
    </cfRule>
  </conditionalFormatting>
  <conditionalFormatting sqref="Z35">
    <cfRule type="cellIs" dxfId="35095" priority="105519" stopIfTrue="1" operator="greaterThanOrEqual">
      <formula>0.5</formula>
    </cfRule>
  </conditionalFormatting>
  <conditionalFormatting sqref="Z36">
    <cfRule type="cellIs" dxfId="35094" priority="105520" stopIfTrue="1" operator="equal">
      <formula>-1</formula>
    </cfRule>
  </conditionalFormatting>
  <conditionalFormatting sqref="Z36">
    <cfRule type="cellIs" dxfId="35093" priority="105521" stopIfTrue="1" operator="lessThan">
      <formula>0.5</formula>
    </cfRule>
  </conditionalFormatting>
  <conditionalFormatting sqref="Z36">
    <cfRule type="cellIs" dxfId="35092" priority="105522" stopIfTrue="1" operator="greaterThanOrEqual">
      <formula>0.5</formula>
    </cfRule>
  </conditionalFormatting>
  <conditionalFormatting sqref="Z37">
    <cfRule type="cellIs" dxfId="35091" priority="105523" stopIfTrue="1" operator="equal">
      <formula>-1</formula>
    </cfRule>
  </conditionalFormatting>
  <conditionalFormatting sqref="Z37">
    <cfRule type="cellIs" dxfId="35090" priority="105524" stopIfTrue="1" operator="lessThan">
      <formula>0.5</formula>
    </cfRule>
  </conditionalFormatting>
  <conditionalFormatting sqref="Z37">
    <cfRule type="cellIs" dxfId="35089" priority="105525" stopIfTrue="1" operator="greaterThanOrEqual">
      <formula>0.5</formula>
    </cfRule>
  </conditionalFormatting>
  <conditionalFormatting sqref="AB17">
    <cfRule type="cellIs" dxfId="35088" priority="105526" stopIfTrue="1" operator="equal">
      <formula>-1</formula>
    </cfRule>
  </conditionalFormatting>
  <conditionalFormatting sqref="AB17">
    <cfRule type="cellIs" dxfId="35087" priority="105527" stopIfTrue="1" operator="lessThan">
      <formula>0.5</formula>
    </cfRule>
  </conditionalFormatting>
  <conditionalFormatting sqref="AB17">
    <cfRule type="cellIs" dxfId="35086" priority="105528" stopIfTrue="1" operator="greaterThanOrEqual">
      <formula>0.5</formula>
    </cfRule>
  </conditionalFormatting>
  <conditionalFormatting sqref="AB18">
    <cfRule type="cellIs" dxfId="35085" priority="105529" stopIfTrue="1" operator="equal">
      <formula>-1</formula>
    </cfRule>
  </conditionalFormatting>
  <conditionalFormatting sqref="AB18">
    <cfRule type="cellIs" dxfId="35084" priority="105530" stopIfTrue="1" operator="lessThan">
      <formula>0.5</formula>
    </cfRule>
  </conditionalFormatting>
  <conditionalFormatting sqref="AB18">
    <cfRule type="cellIs" dxfId="35083" priority="105531" stopIfTrue="1" operator="greaterThanOrEqual">
      <formula>0.5</formula>
    </cfRule>
  </conditionalFormatting>
  <conditionalFormatting sqref="AB19">
    <cfRule type="cellIs" dxfId="35082" priority="105532" stopIfTrue="1" operator="equal">
      <formula>-1</formula>
    </cfRule>
  </conditionalFormatting>
  <conditionalFormatting sqref="AB19">
    <cfRule type="cellIs" dxfId="35081" priority="105533" stopIfTrue="1" operator="lessThan">
      <formula>0.5</formula>
    </cfRule>
  </conditionalFormatting>
  <conditionalFormatting sqref="AB19">
    <cfRule type="cellIs" dxfId="35080" priority="105534" stopIfTrue="1" operator="greaterThanOrEqual">
      <formula>0.5</formula>
    </cfRule>
  </conditionalFormatting>
  <conditionalFormatting sqref="AB20">
    <cfRule type="cellIs" dxfId="35079" priority="105535" stopIfTrue="1" operator="equal">
      <formula>-1</formula>
    </cfRule>
  </conditionalFormatting>
  <conditionalFormatting sqref="AB20">
    <cfRule type="cellIs" dxfId="35078" priority="105536" stopIfTrue="1" operator="lessThan">
      <formula>0.5</formula>
    </cfRule>
  </conditionalFormatting>
  <conditionalFormatting sqref="AB20">
    <cfRule type="cellIs" dxfId="35077" priority="105537" stopIfTrue="1" operator="greaterThanOrEqual">
      <formula>0.5</formula>
    </cfRule>
  </conditionalFormatting>
  <conditionalFormatting sqref="AB21">
    <cfRule type="cellIs" dxfId="35076" priority="105538" stopIfTrue="1" operator="equal">
      <formula>-1</formula>
    </cfRule>
  </conditionalFormatting>
  <conditionalFormatting sqref="AB21">
    <cfRule type="cellIs" dxfId="35075" priority="105539" stopIfTrue="1" operator="lessThan">
      <formula>0.5</formula>
    </cfRule>
  </conditionalFormatting>
  <conditionalFormatting sqref="AB21">
    <cfRule type="cellIs" dxfId="35074" priority="105540" stopIfTrue="1" operator="greaterThanOrEqual">
      <formula>0.5</formula>
    </cfRule>
  </conditionalFormatting>
  <conditionalFormatting sqref="AB22">
    <cfRule type="cellIs" dxfId="35073" priority="105541" stopIfTrue="1" operator="equal">
      <formula>-1</formula>
    </cfRule>
  </conditionalFormatting>
  <conditionalFormatting sqref="AB22">
    <cfRule type="cellIs" dxfId="35072" priority="105542" stopIfTrue="1" operator="lessThan">
      <formula>0.5</formula>
    </cfRule>
  </conditionalFormatting>
  <conditionalFormatting sqref="AB22">
    <cfRule type="cellIs" dxfId="35071" priority="105543" stopIfTrue="1" operator="greaterThanOrEqual">
      <formula>0.5</formula>
    </cfRule>
  </conditionalFormatting>
  <conditionalFormatting sqref="AB23">
    <cfRule type="cellIs" dxfId="35070" priority="105544" stopIfTrue="1" operator="equal">
      <formula>-1</formula>
    </cfRule>
  </conditionalFormatting>
  <conditionalFormatting sqref="AB23">
    <cfRule type="cellIs" dxfId="35069" priority="105545" stopIfTrue="1" operator="lessThan">
      <formula>0.5</formula>
    </cfRule>
  </conditionalFormatting>
  <conditionalFormatting sqref="AB23">
    <cfRule type="cellIs" dxfId="35068" priority="105546" stopIfTrue="1" operator="greaterThanOrEqual">
      <formula>0.5</formula>
    </cfRule>
  </conditionalFormatting>
  <conditionalFormatting sqref="AB24">
    <cfRule type="cellIs" dxfId="35067" priority="105547" stopIfTrue="1" operator="equal">
      <formula>-1</formula>
    </cfRule>
  </conditionalFormatting>
  <conditionalFormatting sqref="AB24">
    <cfRule type="cellIs" dxfId="35066" priority="105548" stopIfTrue="1" operator="lessThan">
      <formula>0.5</formula>
    </cfRule>
  </conditionalFormatting>
  <conditionalFormatting sqref="AB24">
    <cfRule type="cellIs" dxfId="35065" priority="105549" stopIfTrue="1" operator="greaterThanOrEqual">
      <formula>0.5</formula>
    </cfRule>
  </conditionalFormatting>
  <conditionalFormatting sqref="AB25">
    <cfRule type="cellIs" dxfId="35064" priority="105550" stopIfTrue="1" operator="equal">
      <formula>-1</formula>
    </cfRule>
  </conditionalFormatting>
  <conditionalFormatting sqref="AB25">
    <cfRule type="cellIs" dxfId="35063" priority="105551" stopIfTrue="1" operator="lessThan">
      <formula>0.5</formula>
    </cfRule>
  </conditionalFormatting>
  <conditionalFormatting sqref="AB25">
    <cfRule type="cellIs" dxfId="35062" priority="105552" stopIfTrue="1" operator="greaterThanOrEqual">
      <formula>0.5</formula>
    </cfRule>
  </conditionalFormatting>
  <conditionalFormatting sqref="AB26">
    <cfRule type="cellIs" dxfId="35061" priority="105553" stopIfTrue="1" operator="equal">
      <formula>-1</formula>
    </cfRule>
  </conditionalFormatting>
  <conditionalFormatting sqref="AB26">
    <cfRule type="cellIs" dxfId="35060" priority="105554" stopIfTrue="1" operator="lessThan">
      <formula>0.5</formula>
    </cfRule>
  </conditionalFormatting>
  <conditionalFormatting sqref="AB26">
    <cfRule type="cellIs" dxfId="35059" priority="105555" stopIfTrue="1" operator="greaterThanOrEqual">
      <formula>0.5</formula>
    </cfRule>
  </conditionalFormatting>
  <conditionalFormatting sqref="AB27">
    <cfRule type="cellIs" dxfId="35058" priority="105556" stopIfTrue="1" operator="equal">
      <formula>-1</formula>
    </cfRule>
  </conditionalFormatting>
  <conditionalFormatting sqref="AB27">
    <cfRule type="cellIs" dxfId="35057" priority="105557" stopIfTrue="1" operator="lessThan">
      <formula>0.5</formula>
    </cfRule>
  </conditionalFormatting>
  <conditionalFormatting sqref="AB27">
    <cfRule type="cellIs" dxfId="35056" priority="105558" stopIfTrue="1" operator="greaterThanOrEqual">
      <formula>0.5</formula>
    </cfRule>
  </conditionalFormatting>
  <conditionalFormatting sqref="AB28">
    <cfRule type="cellIs" dxfId="35055" priority="105559" stopIfTrue="1" operator="equal">
      <formula>-1</formula>
    </cfRule>
  </conditionalFormatting>
  <conditionalFormatting sqref="AB28">
    <cfRule type="cellIs" dxfId="35054" priority="105560" stopIfTrue="1" operator="lessThan">
      <formula>0.5</formula>
    </cfRule>
  </conditionalFormatting>
  <conditionalFormatting sqref="AB28">
    <cfRule type="cellIs" dxfId="35053" priority="105561" stopIfTrue="1" operator="greaterThanOrEqual">
      <formula>0.5</formula>
    </cfRule>
  </conditionalFormatting>
  <conditionalFormatting sqref="AB29">
    <cfRule type="cellIs" dxfId="35052" priority="105562" stopIfTrue="1" operator="equal">
      <formula>-1</formula>
    </cfRule>
  </conditionalFormatting>
  <conditionalFormatting sqref="AB29">
    <cfRule type="cellIs" dxfId="35051" priority="105563" stopIfTrue="1" operator="lessThan">
      <formula>0.5</formula>
    </cfRule>
  </conditionalFormatting>
  <conditionalFormatting sqref="AB29">
    <cfRule type="cellIs" dxfId="35050" priority="105564" stopIfTrue="1" operator="greaterThanOrEqual">
      <formula>0.5</formula>
    </cfRule>
  </conditionalFormatting>
  <conditionalFormatting sqref="AB30">
    <cfRule type="cellIs" dxfId="35049" priority="105565" stopIfTrue="1" operator="equal">
      <formula>-1</formula>
    </cfRule>
  </conditionalFormatting>
  <conditionalFormatting sqref="AB30">
    <cfRule type="cellIs" dxfId="35048" priority="105566" stopIfTrue="1" operator="lessThan">
      <formula>0.5</formula>
    </cfRule>
  </conditionalFormatting>
  <conditionalFormatting sqref="AB30">
    <cfRule type="cellIs" dxfId="35047" priority="105567" stopIfTrue="1" operator="greaterThanOrEqual">
      <formula>0.5</formula>
    </cfRule>
  </conditionalFormatting>
  <conditionalFormatting sqref="AB31">
    <cfRule type="cellIs" dxfId="35046" priority="105568" stopIfTrue="1" operator="equal">
      <formula>-1</formula>
    </cfRule>
  </conditionalFormatting>
  <conditionalFormatting sqref="AB31">
    <cfRule type="cellIs" dxfId="35045" priority="105569" stopIfTrue="1" operator="lessThan">
      <formula>0.5</formula>
    </cfRule>
  </conditionalFormatting>
  <conditionalFormatting sqref="AB31">
    <cfRule type="cellIs" dxfId="35044" priority="105570" stopIfTrue="1" operator="greaterThanOrEqual">
      <formula>0.5</formula>
    </cfRule>
  </conditionalFormatting>
  <conditionalFormatting sqref="AB32">
    <cfRule type="cellIs" dxfId="35043" priority="105571" stopIfTrue="1" operator="equal">
      <formula>-1</formula>
    </cfRule>
  </conditionalFormatting>
  <conditionalFormatting sqref="AB32">
    <cfRule type="cellIs" dxfId="35042" priority="105572" stopIfTrue="1" operator="lessThan">
      <formula>0.5</formula>
    </cfRule>
  </conditionalFormatting>
  <conditionalFormatting sqref="AB32">
    <cfRule type="cellIs" dxfId="35041" priority="105573" stopIfTrue="1" operator="greaterThanOrEqual">
      <formula>0.5</formula>
    </cfRule>
  </conditionalFormatting>
  <conditionalFormatting sqref="AB33">
    <cfRule type="cellIs" dxfId="35040" priority="105574" stopIfTrue="1" operator="equal">
      <formula>-1</formula>
    </cfRule>
  </conditionalFormatting>
  <conditionalFormatting sqref="AB33">
    <cfRule type="cellIs" dxfId="35039" priority="105575" stopIfTrue="1" operator="lessThan">
      <formula>0.5</formula>
    </cfRule>
  </conditionalFormatting>
  <conditionalFormatting sqref="AB33">
    <cfRule type="cellIs" dxfId="35038" priority="105576" stopIfTrue="1" operator="greaterThanOrEqual">
      <formula>0.5</formula>
    </cfRule>
  </conditionalFormatting>
  <conditionalFormatting sqref="AB34">
    <cfRule type="cellIs" dxfId="35037" priority="105577" stopIfTrue="1" operator="equal">
      <formula>-1</formula>
    </cfRule>
  </conditionalFormatting>
  <conditionalFormatting sqref="AB34">
    <cfRule type="cellIs" dxfId="35036" priority="105578" stopIfTrue="1" operator="lessThan">
      <formula>0.5</formula>
    </cfRule>
  </conditionalFormatting>
  <conditionalFormatting sqref="AB34">
    <cfRule type="cellIs" dxfId="35035" priority="105579" stopIfTrue="1" operator="greaterThanOrEqual">
      <formula>0.5</formula>
    </cfRule>
  </conditionalFormatting>
  <conditionalFormatting sqref="AB35">
    <cfRule type="cellIs" dxfId="35034" priority="105580" stopIfTrue="1" operator="equal">
      <formula>-1</formula>
    </cfRule>
  </conditionalFormatting>
  <conditionalFormatting sqref="AB35">
    <cfRule type="cellIs" dxfId="35033" priority="105581" stopIfTrue="1" operator="lessThan">
      <formula>0.5</formula>
    </cfRule>
  </conditionalFormatting>
  <conditionalFormatting sqref="AB35">
    <cfRule type="cellIs" dxfId="35032" priority="105582" stopIfTrue="1" operator="greaterThanOrEqual">
      <formula>0.5</formula>
    </cfRule>
  </conditionalFormatting>
  <conditionalFormatting sqref="AB36">
    <cfRule type="cellIs" dxfId="35031" priority="105583" stopIfTrue="1" operator="equal">
      <formula>-1</formula>
    </cfRule>
  </conditionalFormatting>
  <conditionalFormatting sqref="AB36">
    <cfRule type="cellIs" dxfId="35030" priority="105584" stopIfTrue="1" operator="lessThan">
      <formula>0.5</formula>
    </cfRule>
  </conditionalFormatting>
  <conditionalFormatting sqref="AB36">
    <cfRule type="cellIs" dxfId="35029" priority="105585" stopIfTrue="1" operator="greaterThanOrEqual">
      <formula>0.5</formula>
    </cfRule>
  </conditionalFormatting>
  <conditionalFormatting sqref="AB37">
    <cfRule type="cellIs" dxfId="35028" priority="105586" stopIfTrue="1" operator="equal">
      <formula>-1</formula>
    </cfRule>
  </conditionalFormatting>
  <conditionalFormatting sqref="AB37">
    <cfRule type="cellIs" dxfId="35027" priority="105587" stopIfTrue="1" operator="lessThan">
      <formula>0.5</formula>
    </cfRule>
  </conditionalFormatting>
  <conditionalFormatting sqref="AB37">
    <cfRule type="cellIs" dxfId="35026" priority="105588" stopIfTrue="1" operator="greaterThanOrEqual">
      <formula>0.5</formula>
    </cfRule>
  </conditionalFormatting>
  <conditionalFormatting sqref="AD17">
    <cfRule type="cellIs" dxfId="35025" priority="105589" stopIfTrue="1" operator="equal">
      <formula>-1</formula>
    </cfRule>
  </conditionalFormatting>
  <conditionalFormatting sqref="AD17">
    <cfRule type="cellIs" dxfId="35024" priority="105590" stopIfTrue="1" operator="lessThan">
      <formula>0.5</formula>
    </cfRule>
  </conditionalFormatting>
  <conditionalFormatting sqref="AD17">
    <cfRule type="cellIs" dxfId="35023" priority="105591" stopIfTrue="1" operator="greaterThanOrEqual">
      <formula>0.5</formula>
    </cfRule>
  </conditionalFormatting>
  <conditionalFormatting sqref="AD18">
    <cfRule type="cellIs" dxfId="35022" priority="105592" stopIfTrue="1" operator="equal">
      <formula>-1</formula>
    </cfRule>
  </conditionalFormatting>
  <conditionalFormatting sqref="AD18">
    <cfRule type="cellIs" dxfId="35021" priority="105593" stopIfTrue="1" operator="lessThan">
      <formula>0.5</formula>
    </cfRule>
  </conditionalFormatting>
  <conditionalFormatting sqref="AD18">
    <cfRule type="cellIs" dxfId="35020" priority="105594" stopIfTrue="1" operator="greaterThanOrEqual">
      <formula>0.5</formula>
    </cfRule>
  </conditionalFormatting>
  <conditionalFormatting sqref="AD19">
    <cfRule type="cellIs" dxfId="35019" priority="105595" stopIfTrue="1" operator="equal">
      <formula>-1</formula>
    </cfRule>
  </conditionalFormatting>
  <conditionalFormatting sqref="AD19">
    <cfRule type="cellIs" dxfId="35018" priority="105596" stopIfTrue="1" operator="lessThan">
      <formula>0.5</formula>
    </cfRule>
  </conditionalFormatting>
  <conditionalFormatting sqref="AD19">
    <cfRule type="cellIs" dxfId="35017" priority="105597" stopIfTrue="1" operator="greaterThanOrEqual">
      <formula>0.5</formula>
    </cfRule>
  </conditionalFormatting>
  <conditionalFormatting sqref="AD20">
    <cfRule type="cellIs" dxfId="35016" priority="105598" stopIfTrue="1" operator="equal">
      <formula>-1</formula>
    </cfRule>
  </conditionalFormatting>
  <conditionalFormatting sqref="AD20">
    <cfRule type="cellIs" dxfId="35015" priority="105599" stopIfTrue="1" operator="lessThan">
      <formula>0.5</formula>
    </cfRule>
  </conditionalFormatting>
  <conditionalFormatting sqref="AD20">
    <cfRule type="cellIs" dxfId="35014" priority="105600" stopIfTrue="1" operator="greaterThanOrEqual">
      <formula>0.5</formula>
    </cfRule>
  </conditionalFormatting>
  <conditionalFormatting sqref="AD21">
    <cfRule type="cellIs" dxfId="35013" priority="105601" stopIfTrue="1" operator="equal">
      <formula>-1</formula>
    </cfRule>
  </conditionalFormatting>
  <conditionalFormatting sqref="AD21">
    <cfRule type="cellIs" dxfId="35012" priority="105602" stopIfTrue="1" operator="lessThan">
      <formula>0.5</formula>
    </cfRule>
  </conditionalFormatting>
  <conditionalFormatting sqref="AD21">
    <cfRule type="cellIs" dxfId="35011" priority="105603" stopIfTrue="1" operator="greaterThanOrEqual">
      <formula>0.5</formula>
    </cfRule>
  </conditionalFormatting>
  <conditionalFormatting sqref="AD22">
    <cfRule type="cellIs" dxfId="35010" priority="105604" stopIfTrue="1" operator="equal">
      <formula>-1</formula>
    </cfRule>
  </conditionalFormatting>
  <conditionalFormatting sqref="AD22">
    <cfRule type="cellIs" dxfId="35009" priority="105605" stopIfTrue="1" operator="lessThan">
      <formula>0.5</formula>
    </cfRule>
  </conditionalFormatting>
  <conditionalFormatting sqref="AD22">
    <cfRule type="cellIs" dxfId="35008" priority="105606" stopIfTrue="1" operator="greaterThanOrEqual">
      <formula>0.5</formula>
    </cfRule>
  </conditionalFormatting>
  <conditionalFormatting sqref="AD23">
    <cfRule type="cellIs" dxfId="35007" priority="105607" stopIfTrue="1" operator="equal">
      <formula>-1</formula>
    </cfRule>
  </conditionalFormatting>
  <conditionalFormatting sqref="AD23">
    <cfRule type="cellIs" dxfId="35006" priority="105608" stopIfTrue="1" operator="lessThan">
      <formula>0.5</formula>
    </cfRule>
  </conditionalFormatting>
  <conditionalFormatting sqref="AD23">
    <cfRule type="cellIs" dxfId="35005" priority="105609" stopIfTrue="1" operator="greaterThanOrEqual">
      <formula>0.5</formula>
    </cfRule>
  </conditionalFormatting>
  <conditionalFormatting sqref="AD24">
    <cfRule type="cellIs" dxfId="35004" priority="105610" stopIfTrue="1" operator="equal">
      <formula>-1</formula>
    </cfRule>
  </conditionalFormatting>
  <conditionalFormatting sqref="AD24">
    <cfRule type="cellIs" dxfId="35003" priority="105611" stopIfTrue="1" operator="lessThan">
      <formula>0.5</formula>
    </cfRule>
  </conditionalFormatting>
  <conditionalFormatting sqref="AD24">
    <cfRule type="cellIs" dxfId="35002" priority="105612" stopIfTrue="1" operator="greaterThanOrEqual">
      <formula>0.5</formula>
    </cfRule>
  </conditionalFormatting>
  <conditionalFormatting sqref="AD25">
    <cfRule type="cellIs" dxfId="35001" priority="105613" stopIfTrue="1" operator="equal">
      <formula>-1</formula>
    </cfRule>
  </conditionalFormatting>
  <conditionalFormatting sqref="AD25">
    <cfRule type="cellIs" dxfId="35000" priority="105614" stopIfTrue="1" operator="lessThan">
      <formula>0.5</formula>
    </cfRule>
  </conditionalFormatting>
  <conditionalFormatting sqref="AD25">
    <cfRule type="cellIs" dxfId="34999" priority="105615" stopIfTrue="1" operator="greaterThanOrEqual">
      <formula>0.5</formula>
    </cfRule>
  </conditionalFormatting>
  <conditionalFormatting sqref="AD26">
    <cfRule type="cellIs" dxfId="34998" priority="105616" stopIfTrue="1" operator="equal">
      <formula>-1</formula>
    </cfRule>
  </conditionalFormatting>
  <conditionalFormatting sqref="AD26">
    <cfRule type="cellIs" dxfId="34997" priority="105617" stopIfTrue="1" operator="lessThan">
      <formula>0.5</formula>
    </cfRule>
  </conditionalFormatting>
  <conditionalFormatting sqref="AD26">
    <cfRule type="cellIs" dxfId="34996" priority="105618" stopIfTrue="1" operator="greaterThanOrEqual">
      <formula>0.5</formula>
    </cfRule>
  </conditionalFormatting>
  <conditionalFormatting sqref="AD27">
    <cfRule type="cellIs" dxfId="34995" priority="105619" stopIfTrue="1" operator="equal">
      <formula>-1</formula>
    </cfRule>
  </conditionalFormatting>
  <conditionalFormatting sqref="AD27">
    <cfRule type="cellIs" dxfId="34994" priority="105620" stopIfTrue="1" operator="lessThan">
      <formula>0.5</formula>
    </cfRule>
  </conditionalFormatting>
  <conditionalFormatting sqref="AD27">
    <cfRule type="cellIs" dxfId="34993" priority="105621" stopIfTrue="1" operator="greaterThanOrEqual">
      <formula>0.5</formula>
    </cfRule>
  </conditionalFormatting>
  <conditionalFormatting sqref="AD28">
    <cfRule type="cellIs" dxfId="34992" priority="105622" stopIfTrue="1" operator="equal">
      <formula>-1</formula>
    </cfRule>
  </conditionalFormatting>
  <conditionalFormatting sqref="AD28">
    <cfRule type="cellIs" dxfId="34991" priority="105623" stopIfTrue="1" operator="lessThan">
      <formula>0.5</formula>
    </cfRule>
  </conditionalFormatting>
  <conditionalFormatting sqref="AD28">
    <cfRule type="cellIs" dxfId="34990" priority="105624" stopIfTrue="1" operator="greaterThanOrEqual">
      <formula>0.5</formula>
    </cfRule>
  </conditionalFormatting>
  <conditionalFormatting sqref="AD29">
    <cfRule type="cellIs" dxfId="34989" priority="105625" stopIfTrue="1" operator="equal">
      <formula>-1</formula>
    </cfRule>
  </conditionalFormatting>
  <conditionalFormatting sqref="AD29">
    <cfRule type="cellIs" dxfId="34988" priority="105626" stopIfTrue="1" operator="lessThan">
      <formula>0.5</formula>
    </cfRule>
  </conditionalFormatting>
  <conditionalFormatting sqref="AD29">
    <cfRule type="cellIs" dxfId="34987" priority="105627" stopIfTrue="1" operator="greaterThanOrEqual">
      <formula>0.5</formula>
    </cfRule>
  </conditionalFormatting>
  <conditionalFormatting sqref="AD30">
    <cfRule type="cellIs" dxfId="34986" priority="105628" stopIfTrue="1" operator="equal">
      <formula>-1</formula>
    </cfRule>
  </conditionalFormatting>
  <conditionalFormatting sqref="AD30">
    <cfRule type="cellIs" dxfId="34985" priority="105629" stopIfTrue="1" operator="lessThan">
      <formula>0.5</formula>
    </cfRule>
  </conditionalFormatting>
  <conditionalFormatting sqref="AD30">
    <cfRule type="cellIs" dxfId="34984" priority="105630" stopIfTrue="1" operator="greaterThanOrEqual">
      <formula>0.5</formula>
    </cfRule>
  </conditionalFormatting>
  <conditionalFormatting sqref="AD31">
    <cfRule type="cellIs" dxfId="34983" priority="105631" stopIfTrue="1" operator="equal">
      <formula>-1</formula>
    </cfRule>
  </conditionalFormatting>
  <conditionalFormatting sqref="AD31">
    <cfRule type="cellIs" dxfId="34982" priority="105632" stopIfTrue="1" operator="lessThan">
      <formula>0.5</formula>
    </cfRule>
  </conditionalFormatting>
  <conditionalFormatting sqref="AD31">
    <cfRule type="cellIs" dxfId="34981" priority="105633" stopIfTrue="1" operator="greaterThanOrEqual">
      <formula>0.5</formula>
    </cfRule>
  </conditionalFormatting>
  <conditionalFormatting sqref="AD32">
    <cfRule type="cellIs" dxfId="34980" priority="105634" stopIfTrue="1" operator="equal">
      <formula>-1</formula>
    </cfRule>
  </conditionalFormatting>
  <conditionalFormatting sqref="AD32">
    <cfRule type="cellIs" dxfId="34979" priority="105635" stopIfTrue="1" operator="lessThan">
      <formula>0.5</formula>
    </cfRule>
  </conditionalFormatting>
  <conditionalFormatting sqref="AD32">
    <cfRule type="cellIs" dxfId="34978" priority="105636" stopIfTrue="1" operator="greaterThanOrEqual">
      <formula>0.5</formula>
    </cfRule>
  </conditionalFormatting>
  <conditionalFormatting sqref="AD33">
    <cfRule type="cellIs" dxfId="34977" priority="105637" stopIfTrue="1" operator="equal">
      <formula>-1</formula>
    </cfRule>
  </conditionalFormatting>
  <conditionalFormatting sqref="AD33">
    <cfRule type="cellIs" dxfId="34976" priority="105638" stopIfTrue="1" operator="lessThan">
      <formula>0.5</formula>
    </cfRule>
  </conditionalFormatting>
  <conditionalFormatting sqref="AD33">
    <cfRule type="cellIs" dxfId="34975" priority="105639" stopIfTrue="1" operator="greaterThanOrEqual">
      <formula>0.5</formula>
    </cfRule>
  </conditionalFormatting>
  <conditionalFormatting sqref="AD34">
    <cfRule type="cellIs" dxfId="34974" priority="105640" stopIfTrue="1" operator="equal">
      <formula>-1</formula>
    </cfRule>
  </conditionalFormatting>
  <conditionalFormatting sqref="AD34">
    <cfRule type="cellIs" dxfId="34973" priority="105641" stopIfTrue="1" operator="lessThan">
      <formula>0.5</formula>
    </cfRule>
  </conditionalFormatting>
  <conditionalFormatting sqref="AD34">
    <cfRule type="cellIs" dxfId="34972" priority="105642" stopIfTrue="1" operator="greaterThanOrEqual">
      <formula>0.5</formula>
    </cfRule>
  </conditionalFormatting>
  <conditionalFormatting sqref="AD35">
    <cfRule type="cellIs" dxfId="34971" priority="105643" stopIfTrue="1" operator="equal">
      <formula>-1</formula>
    </cfRule>
  </conditionalFormatting>
  <conditionalFormatting sqref="AD35">
    <cfRule type="cellIs" dxfId="34970" priority="105644" stopIfTrue="1" operator="lessThan">
      <formula>0.5</formula>
    </cfRule>
  </conditionalFormatting>
  <conditionalFormatting sqref="AD35">
    <cfRule type="cellIs" dxfId="34969" priority="105645" stopIfTrue="1" operator="greaterThanOrEqual">
      <formula>0.5</formula>
    </cfRule>
  </conditionalFormatting>
  <conditionalFormatting sqref="AD36">
    <cfRule type="cellIs" dxfId="34968" priority="105646" stopIfTrue="1" operator="equal">
      <formula>-1</formula>
    </cfRule>
  </conditionalFormatting>
  <conditionalFormatting sqref="AD36">
    <cfRule type="cellIs" dxfId="34967" priority="105647" stopIfTrue="1" operator="lessThan">
      <formula>0.5</formula>
    </cfRule>
  </conditionalFormatting>
  <conditionalFormatting sqref="AD36">
    <cfRule type="cellIs" dxfId="34966" priority="105648" stopIfTrue="1" operator="greaterThanOrEqual">
      <formula>0.5</formula>
    </cfRule>
  </conditionalFormatting>
  <conditionalFormatting sqref="AD37">
    <cfRule type="cellIs" dxfId="34965" priority="105649" stopIfTrue="1" operator="equal">
      <formula>-1</formula>
    </cfRule>
  </conditionalFormatting>
  <conditionalFormatting sqref="AD37">
    <cfRule type="cellIs" dxfId="34964" priority="105650" stopIfTrue="1" operator="lessThan">
      <formula>0.5</formula>
    </cfRule>
  </conditionalFormatting>
  <conditionalFormatting sqref="AD37">
    <cfRule type="cellIs" dxfId="34963" priority="105651" stopIfTrue="1" operator="greaterThanOrEqual">
      <formula>0.5</formula>
    </cfRule>
  </conditionalFormatting>
  <conditionalFormatting sqref="AF17">
    <cfRule type="cellIs" dxfId="34962" priority="105652" stopIfTrue="1" operator="equal">
      <formula>-1</formula>
    </cfRule>
  </conditionalFormatting>
  <conditionalFormatting sqref="AF17">
    <cfRule type="cellIs" dxfId="34961" priority="105653" stopIfTrue="1" operator="lessThan">
      <formula>0.5</formula>
    </cfRule>
  </conditionalFormatting>
  <conditionalFormatting sqref="AF17">
    <cfRule type="cellIs" dxfId="34960" priority="105654" stopIfTrue="1" operator="greaterThanOrEqual">
      <formula>0.5</formula>
    </cfRule>
  </conditionalFormatting>
  <conditionalFormatting sqref="AF18">
    <cfRule type="cellIs" dxfId="34959" priority="105655" stopIfTrue="1" operator="equal">
      <formula>-1</formula>
    </cfRule>
  </conditionalFormatting>
  <conditionalFormatting sqref="AF18">
    <cfRule type="cellIs" dxfId="34958" priority="105656" stopIfTrue="1" operator="lessThan">
      <formula>0.5</formula>
    </cfRule>
  </conditionalFormatting>
  <conditionalFormatting sqref="AF18">
    <cfRule type="cellIs" dxfId="34957" priority="105657" stopIfTrue="1" operator="greaterThanOrEqual">
      <formula>0.5</formula>
    </cfRule>
  </conditionalFormatting>
  <conditionalFormatting sqref="AF19">
    <cfRule type="cellIs" dxfId="34956" priority="105658" stopIfTrue="1" operator="equal">
      <formula>-1</formula>
    </cfRule>
  </conditionalFormatting>
  <conditionalFormatting sqref="AF19">
    <cfRule type="cellIs" dxfId="34955" priority="105659" stopIfTrue="1" operator="lessThan">
      <formula>0.5</formula>
    </cfRule>
  </conditionalFormatting>
  <conditionalFormatting sqref="AF19">
    <cfRule type="cellIs" dxfId="34954" priority="105660" stopIfTrue="1" operator="greaterThanOrEqual">
      <formula>0.5</formula>
    </cfRule>
  </conditionalFormatting>
  <conditionalFormatting sqref="AF20">
    <cfRule type="cellIs" dxfId="34953" priority="105661" stopIfTrue="1" operator="equal">
      <formula>-1</formula>
    </cfRule>
  </conditionalFormatting>
  <conditionalFormatting sqref="AF20">
    <cfRule type="cellIs" dxfId="34952" priority="105662" stopIfTrue="1" operator="lessThan">
      <formula>0.5</formula>
    </cfRule>
  </conditionalFormatting>
  <conditionalFormatting sqref="AF20">
    <cfRule type="cellIs" dxfId="34951" priority="105663" stopIfTrue="1" operator="greaterThanOrEqual">
      <formula>0.5</formula>
    </cfRule>
  </conditionalFormatting>
  <conditionalFormatting sqref="AF21">
    <cfRule type="cellIs" dxfId="34950" priority="105664" stopIfTrue="1" operator="equal">
      <formula>-1</formula>
    </cfRule>
  </conditionalFormatting>
  <conditionalFormatting sqref="AF21">
    <cfRule type="cellIs" dxfId="34949" priority="105665" stopIfTrue="1" operator="lessThan">
      <formula>0.5</formula>
    </cfRule>
  </conditionalFormatting>
  <conditionalFormatting sqref="AF21">
    <cfRule type="cellIs" dxfId="34948" priority="105666" stopIfTrue="1" operator="greaterThanOrEqual">
      <formula>0.5</formula>
    </cfRule>
  </conditionalFormatting>
  <conditionalFormatting sqref="AF22">
    <cfRule type="cellIs" dxfId="34947" priority="105667" stopIfTrue="1" operator="equal">
      <formula>-1</formula>
    </cfRule>
  </conditionalFormatting>
  <conditionalFormatting sqref="AF22">
    <cfRule type="cellIs" dxfId="34946" priority="105668" stopIfTrue="1" operator="lessThan">
      <formula>0.5</formula>
    </cfRule>
  </conditionalFormatting>
  <conditionalFormatting sqref="AF22">
    <cfRule type="cellIs" dxfId="34945" priority="105669" stopIfTrue="1" operator="greaterThanOrEqual">
      <formula>0.5</formula>
    </cfRule>
  </conditionalFormatting>
  <conditionalFormatting sqref="AF23">
    <cfRule type="cellIs" dxfId="34944" priority="105670" stopIfTrue="1" operator="equal">
      <formula>-1</formula>
    </cfRule>
  </conditionalFormatting>
  <conditionalFormatting sqref="AF23">
    <cfRule type="cellIs" dxfId="34943" priority="105671" stopIfTrue="1" operator="lessThan">
      <formula>0.5</formula>
    </cfRule>
  </conditionalFormatting>
  <conditionalFormatting sqref="AF23">
    <cfRule type="cellIs" dxfId="34942" priority="105672" stopIfTrue="1" operator="greaterThanOrEqual">
      <formula>0.5</formula>
    </cfRule>
  </conditionalFormatting>
  <conditionalFormatting sqref="AF24">
    <cfRule type="cellIs" dxfId="34941" priority="105673" stopIfTrue="1" operator="equal">
      <formula>-1</formula>
    </cfRule>
  </conditionalFormatting>
  <conditionalFormatting sqref="AF24">
    <cfRule type="cellIs" dxfId="34940" priority="105674" stopIfTrue="1" operator="lessThan">
      <formula>0.5</formula>
    </cfRule>
  </conditionalFormatting>
  <conditionalFormatting sqref="AF24">
    <cfRule type="cellIs" dxfId="34939" priority="105675" stopIfTrue="1" operator="greaterThanOrEqual">
      <formula>0.5</formula>
    </cfRule>
  </conditionalFormatting>
  <conditionalFormatting sqref="AF25">
    <cfRule type="cellIs" dxfId="34938" priority="105676" stopIfTrue="1" operator="equal">
      <formula>-1</formula>
    </cfRule>
  </conditionalFormatting>
  <conditionalFormatting sqref="AF25">
    <cfRule type="cellIs" dxfId="34937" priority="105677" stopIfTrue="1" operator="lessThan">
      <formula>0.5</formula>
    </cfRule>
  </conditionalFormatting>
  <conditionalFormatting sqref="AF25">
    <cfRule type="cellIs" dxfId="34936" priority="105678" stopIfTrue="1" operator="greaterThanOrEqual">
      <formula>0.5</formula>
    </cfRule>
  </conditionalFormatting>
  <conditionalFormatting sqref="AF26">
    <cfRule type="cellIs" dxfId="34935" priority="105679" stopIfTrue="1" operator="equal">
      <formula>-1</formula>
    </cfRule>
  </conditionalFormatting>
  <conditionalFormatting sqref="AF26">
    <cfRule type="cellIs" dxfId="34934" priority="105680" stopIfTrue="1" operator="lessThan">
      <formula>0.5</formula>
    </cfRule>
  </conditionalFormatting>
  <conditionalFormatting sqref="AF26">
    <cfRule type="cellIs" dxfId="34933" priority="105681" stopIfTrue="1" operator="greaterThanOrEqual">
      <formula>0.5</formula>
    </cfRule>
  </conditionalFormatting>
  <conditionalFormatting sqref="AF27">
    <cfRule type="cellIs" dxfId="34932" priority="105682" stopIfTrue="1" operator="equal">
      <formula>-1</formula>
    </cfRule>
  </conditionalFormatting>
  <conditionalFormatting sqref="AF27">
    <cfRule type="cellIs" dxfId="34931" priority="105683" stopIfTrue="1" operator="lessThan">
      <formula>0.5</formula>
    </cfRule>
  </conditionalFormatting>
  <conditionalFormatting sqref="AF27">
    <cfRule type="cellIs" dxfId="34930" priority="105684" stopIfTrue="1" operator="greaterThanOrEqual">
      <formula>0.5</formula>
    </cfRule>
  </conditionalFormatting>
  <conditionalFormatting sqref="AF28">
    <cfRule type="cellIs" dxfId="34929" priority="105685" stopIfTrue="1" operator="equal">
      <formula>-1</formula>
    </cfRule>
  </conditionalFormatting>
  <conditionalFormatting sqref="AF28">
    <cfRule type="cellIs" dxfId="34928" priority="105686" stopIfTrue="1" operator="lessThan">
      <formula>0.5</formula>
    </cfRule>
  </conditionalFormatting>
  <conditionalFormatting sqref="AF28">
    <cfRule type="cellIs" dxfId="34927" priority="105687" stopIfTrue="1" operator="greaterThanOrEqual">
      <formula>0.5</formula>
    </cfRule>
  </conditionalFormatting>
  <conditionalFormatting sqref="AF29">
    <cfRule type="cellIs" dxfId="34926" priority="105688" stopIfTrue="1" operator="equal">
      <formula>-1</formula>
    </cfRule>
  </conditionalFormatting>
  <conditionalFormatting sqref="AF29">
    <cfRule type="cellIs" dxfId="34925" priority="105689" stopIfTrue="1" operator="lessThan">
      <formula>0.5</formula>
    </cfRule>
  </conditionalFormatting>
  <conditionalFormatting sqref="AF29">
    <cfRule type="cellIs" dxfId="34924" priority="105690" stopIfTrue="1" operator="greaterThanOrEqual">
      <formula>0.5</formula>
    </cfRule>
  </conditionalFormatting>
  <conditionalFormatting sqref="AF30">
    <cfRule type="cellIs" dxfId="34923" priority="105691" stopIfTrue="1" operator="equal">
      <formula>-1</formula>
    </cfRule>
  </conditionalFormatting>
  <conditionalFormatting sqref="AF30">
    <cfRule type="cellIs" dxfId="34922" priority="105692" stopIfTrue="1" operator="lessThan">
      <formula>0.5</formula>
    </cfRule>
  </conditionalFormatting>
  <conditionalFormatting sqref="AF30">
    <cfRule type="cellIs" dxfId="34921" priority="105693" stopIfTrue="1" operator="greaterThanOrEqual">
      <formula>0.5</formula>
    </cfRule>
  </conditionalFormatting>
  <conditionalFormatting sqref="AF31">
    <cfRule type="cellIs" dxfId="34920" priority="105694" stopIfTrue="1" operator="equal">
      <formula>-1</formula>
    </cfRule>
  </conditionalFormatting>
  <conditionalFormatting sqref="AF31">
    <cfRule type="cellIs" dxfId="34919" priority="105695" stopIfTrue="1" operator="lessThan">
      <formula>0.5</formula>
    </cfRule>
  </conditionalFormatting>
  <conditionalFormatting sqref="AF31">
    <cfRule type="cellIs" dxfId="34918" priority="105696" stopIfTrue="1" operator="greaterThanOrEqual">
      <formula>0.5</formula>
    </cfRule>
  </conditionalFormatting>
  <conditionalFormatting sqref="AF32">
    <cfRule type="cellIs" dxfId="34917" priority="105697" stopIfTrue="1" operator="equal">
      <formula>-1</formula>
    </cfRule>
  </conditionalFormatting>
  <conditionalFormatting sqref="AF32">
    <cfRule type="cellIs" dxfId="34916" priority="105698" stopIfTrue="1" operator="lessThan">
      <formula>0.5</formula>
    </cfRule>
  </conditionalFormatting>
  <conditionalFormatting sqref="AF32">
    <cfRule type="cellIs" dxfId="34915" priority="105699" stopIfTrue="1" operator="greaterThanOrEqual">
      <formula>0.5</formula>
    </cfRule>
  </conditionalFormatting>
  <conditionalFormatting sqref="AF33">
    <cfRule type="cellIs" dxfId="34914" priority="105700" stopIfTrue="1" operator="equal">
      <formula>-1</formula>
    </cfRule>
  </conditionalFormatting>
  <conditionalFormatting sqref="AF33">
    <cfRule type="cellIs" dxfId="34913" priority="105701" stopIfTrue="1" operator="lessThan">
      <formula>0.5</formula>
    </cfRule>
  </conditionalFormatting>
  <conditionalFormatting sqref="AF33">
    <cfRule type="cellIs" dxfId="34912" priority="105702" stopIfTrue="1" operator="greaterThanOrEqual">
      <formula>0.5</formula>
    </cfRule>
  </conditionalFormatting>
  <conditionalFormatting sqref="AF34">
    <cfRule type="cellIs" dxfId="34911" priority="105703" stopIfTrue="1" operator="equal">
      <formula>-1</formula>
    </cfRule>
  </conditionalFormatting>
  <conditionalFormatting sqref="AF34">
    <cfRule type="cellIs" dxfId="34910" priority="105704" stopIfTrue="1" operator="lessThan">
      <formula>0.5</formula>
    </cfRule>
  </conditionalFormatting>
  <conditionalFormatting sqref="AF34">
    <cfRule type="cellIs" dxfId="34909" priority="105705" stopIfTrue="1" operator="greaterThanOrEqual">
      <formula>0.5</formula>
    </cfRule>
  </conditionalFormatting>
  <conditionalFormatting sqref="AF35">
    <cfRule type="cellIs" dxfId="34908" priority="105706" stopIfTrue="1" operator="equal">
      <formula>-1</formula>
    </cfRule>
  </conditionalFormatting>
  <conditionalFormatting sqref="AF35">
    <cfRule type="cellIs" dxfId="34907" priority="105707" stopIfTrue="1" operator="lessThan">
      <formula>0.5</formula>
    </cfRule>
  </conditionalFormatting>
  <conditionalFormatting sqref="AF35">
    <cfRule type="cellIs" dxfId="34906" priority="105708" stopIfTrue="1" operator="greaterThanOrEqual">
      <formula>0.5</formula>
    </cfRule>
  </conditionalFormatting>
  <conditionalFormatting sqref="AF36">
    <cfRule type="cellIs" dxfId="34905" priority="105709" stopIfTrue="1" operator="equal">
      <formula>-1</formula>
    </cfRule>
  </conditionalFormatting>
  <conditionalFormatting sqref="AF36">
    <cfRule type="cellIs" dxfId="34904" priority="105710" stopIfTrue="1" operator="lessThan">
      <formula>0.5</formula>
    </cfRule>
  </conditionalFormatting>
  <conditionalFormatting sqref="AF36">
    <cfRule type="cellIs" dxfId="34903" priority="105711" stopIfTrue="1" operator="greaterThanOrEqual">
      <formula>0.5</formula>
    </cfRule>
  </conditionalFormatting>
  <conditionalFormatting sqref="AF37">
    <cfRule type="cellIs" dxfId="34902" priority="105712" stopIfTrue="1" operator="equal">
      <formula>-1</formula>
    </cfRule>
  </conditionalFormatting>
  <conditionalFormatting sqref="AF37">
    <cfRule type="cellIs" dxfId="34901" priority="105713" stopIfTrue="1" operator="lessThan">
      <formula>0.5</formula>
    </cfRule>
  </conditionalFormatting>
  <conditionalFormatting sqref="AF37">
    <cfRule type="cellIs" dxfId="34900" priority="105714" stopIfTrue="1" operator="greaterThanOrEqual">
      <formula>0.5</formula>
    </cfRule>
  </conditionalFormatting>
  <conditionalFormatting sqref="AH17">
    <cfRule type="cellIs" dxfId="34899" priority="105715" stopIfTrue="1" operator="equal">
      <formula>-1</formula>
    </cfRule>
  </conditionalFormatting>
  <conditionalFormatting sqref="AH17">
    <cfRule type="cellIs" dxfId="34898" priority="105716" stopIfTrue="1" operator="lessThan">
      <formula>0.5</formula>
    </cfRule>
  </conditionalFormatting>
  <conditionalFormatting sqref="AH17">
    <cfRule type="cellIs" dxfId="34897" priority="105717" stopIfTrue="1" operator="greaterThanOrEqual">
      <formula>0.5</formula>
    </cfRule>
  </conditionalFormatting>
  <conditionalFormatting sqref="AH18">
    <cfRule type="cellIs" dxfId="34896" priority="105718" stopIfTrue="1" operator="equal">
      <formula>-1</formula>
    </cfRule>
  </conditionalFormatting>
  <conditionalFormatting sqref="AH18">
    <cfRule type="cellIs" dxfId="34895" priority="105719" stopIfTrue="1" operator="lessThan">
      <formula>0.5</formula>
    </cfRule>
  </conditionalFormatting>
  <conditionalFormatting sqref="AH18">
    <cfRule type="cellIs" dxfId="34894" priority="105720" stopIfTrue="1" operator="greaterThanOrEqual">
      <formula>0.5</formula>
    </cfRule>
  </conditionalFormatting>
  <conditionalFormatting sqref="AH19">
    <cfRule type="cellIs" dxfId="34893" priority="105721" stopIfTrue="1" operator="equal">
      <formula>-1</formula>
    </cfRule>
  </conditionalFormatting>
  <conditionalFormatting sqref="AH19">
    <cfRule type="cellIs" dxfId="34892" priority="105722" stopIfTrue="1" operator="lessThan">
      <formula>0.5</formula>
    </cfRule>
  </conditionalFormatting>
  <conditionalFormatting sqref="AH19">
    <cfRule type="cellIs" dxfId="34891" priority="105723" stopIfTrue="1" operator="greaterThanOrEqual">
      <formula>0.5</formula>
    </cfRule>
  </conditionalFormatting>
  <conditionalFormatting sqref="AH20">
    <cfRule type="cellIs" dxfId="34890" priority="105724" stopIfTrue="1" operator="equal">
      <formula>-1</formula>
    </cfRule>
  </conditionalFormatting>
  <conditionalFormatting sqref="AH20">
    <cfRule type="cellIs" dxfId="34889" priority="105725" stopIfTrue="1" operator="lessThan">
      <formula>0.5</formula>
    </cfRule>
  </conditionalFormatting>
  <conditionalFormatting sqref="AH20">
    <cfRule type="cellIs" dxfId="34888" priority="105726" stopIfTrue="1" operator="greaterThanOrEqual">
      <formula>0.5</formula>
    </cfRule>
  </conditionalFormatting>
  <conditionalFormatting sqref="AH21">
    <cfRule type="cellIs" dxfId="34887" priority="105727" stopIfTrue="1" operator="equal">
      <formula>-1</formula>
    </cfRule>
  </conditionalFormatting>
  <conditionalFormatting sqref="AH21">
    <cfRule type="cellIs" dxfId="34886" priority="105728" stopIfTrue="1" operator="lessThan">
      <formula>0.5</formula>
    </cfRule>
  </conditionalFormatting>
  <conditionalFormatting sqref="AH21">
    <cfRule type="cellIs" dxfId="34885" priority="105729" stopIfTrue="1" operator="greaterThanOrEqual">
      <formula>0.5</formula>
    </cfRule>
  </conditionalFormatting>
  <conditionalFormatting sqref="AH22">
    <cfRule type="cellIs" dxfId="34884" priority="105730" stopIfTrue="1" operator="equal">
      <formula>-1</formula>
    </cfRule>
  </conditionalFormatting>
  <conditionalFormatting sqref="AH22">
    <cfRule type="cellIs" dxfId="34883" priority="105731" stopIfTrue="1" operator="lessThan">
      <formula>0.5</formula>
    </cfRule>
  </conditionalFormatting>
  <conditionalFormatting sqref="AH22">
    <cfRule type="cellIs" dxfId="34882" priority="105732" stopIfTrue="1" operator="greaterThanOrEqual">
      <formula>0.5</formula>
    </cfRule>
  </conditionalFormatting>
  <conditionalFormatting sqref="AH23">
    <cfRule type="cellIs" dxfId="34881" priority="105733" stopIfTrue="1" operator="equal">
      <formula>-1</formula>
    </cfRule>
  </conditionalFormatting>
  <conditionalFormatting sqref="AH23">
    <cfRule type="cellIs" dxfId="34880" priority="105734" stopIfTrue="1" operator="lessThan">
      <formula>0.5</formula>
    </cfRule>
  </conditionalFormatting>
  <conditionalFormatting sqref="AH23">
    <cfRule type="cellIs" dxfId="34879" priority="105735" stopIfTrue="1" operator="greaterThanOrEqual">
      <formula>0.5</formula>
    </cfRule>
  </conditionalFormatting>
  <conditionalFormatting sqref="AH24">
    <cfRule type="cellIs" dxfId="34878" priority="105736" stopIfTrue="1" operator="equal">
      <formula>-1</formula>
    </cfRule>
  </conditionalFormatting>
  <conditionalFormatting sqref="AH24">
    <cfRule type="cellIs" dxfId="34877" priority="105737" stopIfTrue="1" operator="lessThan">
      <formula>0.5</formula>
    </cfRule>
  </conditionalFormatting>
  <conditionalFormatting sqref="AH24">
    <cfRule type="cellIs" dxfId="34876" priority="105738" stopIfTrue="1" operator="greaterThanOrEqual">
      <formula>0.5</formula>
    </cfRule>
  </conditionalFormatting>
  <conditionalFormatting sqref="AH25">
    <cfRule type="cellIs" dxfId="34875" priority="105739" stopIfTrue="1" operator="equal">
      <formula>-1</formula>
    </cfRule>
  </conditionalFormatting>
  <conditionalFormatting sqref="AH25">
    <cfRule type="cellIs" dxfId="34874" priority="105740" stopIfTrue="1" operator="lessThan">
      <formula>0.5</formula>
    </cfRule>
  </conditionalFormatting>
  <conditionalFormatting sqref="AH25">
    <cfRule type="cellIs" dxfId="34873" priority="105741" stopIfTrue="1" operator="greaterThanOrEqual">
      <formula>0.5</formula>
    </cfRule>
  </conditionalFormatting>
  <conditionalFormatting sqref="AH26">
    <cfRule type="cellIs" dxfId="34872" priority="105742" stopIfTrue="1" operator="equal">
      <formula>-1</formula>
    </cfRule>
  </conditionalFormatting>
  <conditionalFormatting sqref="AH26">
    <cfRule type="cellIs" dxfId="34871" priority="105743" stopIfTrue="1" operator="lessThan">
      <formula>0.5</formula>
    </cfRule>
  </conditionalFormatting>
  <conditionalFormatting sqref="AH26">
    <cfRule type="cellIs" dxfId="34870" priority="105744" stopIfTrue="1" operator="greaterThanOrEqual">
      <formula>0.5</formula>
    </cfRule>
  </conditionalFormatting>
  <conditionalFormatting sqref="AH27">
    <cfRule type="cellIs" dxfId="34869" priority="105745" stopIfTrue="1" operator="equal">
      <formula>-1</formula>
    </cfRule>
  </conditionalFormatting>
  <conditionalFormatting sqref="AH27">
    <cfRule type="cellIs" dxfId="34868" priority="105746" stopIfTrue="1" operator="lessThan">
      <formula>0.5</formula>
    </cfRule>
  </conditionalFormatting>
  <conditionalFormatting sqref="AH27">
    <cfRule type="cellIs" dxfId="34867" priority="105747" stopIfTrue="1" operator="greaterThanOrEqual">
      <formula>0.5</formula>
    </cfRule>
  </conditionalFormatting>
  <conditionalFormatting sqref="AH28">
    <cfRule type="cellIs" dxfId="34866" priority="105748" stopIfTrue="1" operator="equal">
      <formula>-1</formula>
    </cfRule>
  </conditionalFormatting>
  <conditionalFormatting sqref="AH28">
    <cfRule type="cellIs" dxfId="34865" priority="105749" stopIfTrue="1" operator="lessThan">
      <formula>0.5</formula>
    </cfRule>
  </conditionalFormatting>
  <conditionalFormatting sqref="AH28">
    <cfRule type="cellIs" dxfId="34864" priority="105750" stopIfTrue="1" operator="greaterThanOrEqual">
      <formula>0.5</formula>
    </cfRule>
  </conditionalFormatting>
  <conditionalFormatting sqref="AH29">
    <cfRule type="cellIs" dxfId="34863" priority="105751" stopIfTrue="1" operator="equal">
      <formula>-1</formula>
    </cfRule>
  </conditionalFormatting>
  <conditionalFormatting sqref="AH29">
    <cfRule type="cellIs" dxfId="34862" priority="105752" stopIfTrue="1" operator="lessThan">
      <formula>0.5</formula>
    </cfRule>
  </conditionalFormatting>
  <conditionalFormatting sqref="AH29">
    <cfRule type="cellIs" dxfId="34861" priority="105753" stopIfTrue="1" operator="greaterThanOrEqual">
      <formula>0.5</formula>
    </cfRule>
  </conditionalFormatting>
  <conditionalFormatting sqref="AH30">
    <cfRule type="cellIs" dxfId="34860" priority="105754" stopIfTrue="1" operator="equal">
      <formula>-1</formula>
    </cfRule>
  </conditionalFormatting>
  <conditionalFormatting sqref="AH30">
    <cfRule type="cellIs" dxfId="34859" priority="105755" stopIfTrue="1" operator="lessThan">
      <formula>0.5</formula>
    </cfRule>
  </conditionalFormatting>
  <conditionalFormatting sqref="AH30">
    <cfRule type="cellIs" dxfId="34858" priority="105756" stopIfTrue="1" operator="greaterThanOrEqual">
      <formula>0.5</formula>
    </cfRule>
  </conditionalFormatting>
  <conditionalFormatting sqref="AH31">
    <cfRule type="cellIs" dxfId="34857" priority="105757" stopIfTrue="1" operator="equal">
      <formula>-1</formula>
    </cfRule>
  </conditionalFormatting>
  <conditionalFormatting sqref="AH31">
    <cfRule type="cellIs" dxfId="34856" priority="105758" stopIfTrue="1" operator="lessThan">
      <formula>0.5</formula>
    </cfRule>
  </conditionalFormatting>
  <conditionalFormatting sqref="AH31">
    <cfRule type="cellIs" dxfId="34855" priority="105759" stopIfTrue="1" operator="greaterThanOrEqual">
      <formula>0.5</formula>
    </cfRule>
  </conditionalFormatting>
  <conditionalFormatting sqref="AH32">
    <cfRule type="cellIs" dxfId="34854" priority="105760" stopIfTrue="1" operator="equal">
      <formula>-1</formula>
    </cfRule>
  </conditionalFormatting>
  <conditionalFormatting sqref="AH32">
    <cfRule type="cellIs" dxfId="34853" priority="105761" stopIfTrue="1" operator="lessThan">
      <formula>0.5</formula>
    </cfRule>
  </conditionalFormatting>
  <conditionalFormatting sqref="AH32">
    <cfRule type="cellIs" dxfId="34852" priority="105762" stopIfTrue="1" operator="greaterThanOrEqual">
      <formula>0.5</formula>
    </cfRule>
  </conditionalFormatting>
  <conditionalFormatting sqref="AH33">
    <cfRule type="cellIs" dxfId="34851" priority="105763" stopIfTrue="1" operator="equal">
      <formula>-1</formula>
    </cfRule>
  </conditionalFormatting>
  <conditionalFormatting sqref="AH33">
    <cfRule type="cellIs" dxfId="34850" priority="105764" stopIfTrue="1" operator="lessThan">
      <formula>0.5</formula>
    </cfRule>
  </conditionalFormatting>
  <conditionalFormatting sqref="AH33">
    <cfRule type="cellIs" dxfId="34849" priority="105765" stopIfTrue="1" operator="greaterThanOrEqual">
      <formula>0.5</formula>
    </cfRule>
  </conditionalFormatting>
  <conditionalFormatting sqref="AH34">
    <cfRule type="cellIs" dxfId="34848" priority="105766" stopIfTrue="1" operator="equal">
      <formula>-1</formula>
    </cfRule>
  </conditionalFormatting>
  <conditionalFormatting sqref="AH34">
    <cfRule type="cellIs" dxfId="34847" priority="105767" stopIfTrue="1" operator="lessThan">
      <formula>0.5</formula>
    </cfRule>
  </conditionalFormatting>
  <conditionalFormatting sqref="AH34">
    <cfRule type="cellIs" dxfId="34846" priority="105768" stopIfTrue="1" operator="greaterThanOrEqual">
      <formula>0.5</formula>
    </cfRule>
  </conditionalFormatting>
  <conditionalFormatting sqref="AH35">
    <cfRule type="cellIs" dxfId="34845" priority="105769" stopIfTrue="1" operator="equal">
      <formula>-1</formula>
    </cfRule>
  </conditionalFormatting>
  <conditionalFormatting sqref="AH35">
    <cfRule type="cellIs" dxfId="34844" priority="105770" stopIfTrue="1" operator="lessThan">
      <formula>0.5</formula>
    </cfRule>
  </conditionalFormatting>
  <conditionalFormatting sqref="AH35">
    <cfRule type="cellIs" dxfId="34843" priority="105771" stopIfTrue="1" operator="greaterThanOrEqual">
      <formula>0.5</formula>
    </cfRule>
  </conditionalFormatting>
  <conditionalFormatting sqref="AH36">
    <cfRule type="cellIs" dxfId="34842" priority="105772" stopIfTrue="1" operator="equal">
      <formula>-1</formula>
    </cfRule>
  </conditionalFormatting>
  <conditionalFormatting sqref="AH36">
    <cfRule type="cellIs" dxfId="34841" priority="105773" stopIfTrue="1" operator="lessThan">
      <formula>0.5</formula>
    </cfRule>
  </conditionalFormatting>
  <conditionalFormatting sqref="AH36">
    <cfRule type="cellIs" dxfId="34840" priority="105774" stopIfTrue="1" operator="greaterThanOrEqual">
      <formula>0.5</formula>
    </cfRule>
  </conditionalFormatting>
  <conditionalFormatting sqref="AH37">
    <cfRule type="cellIs" dxfId="34839" priority="105775" stopIfTrue="1" operator="equal">
      <formula>-1</formula>
    </cfRule>
  </conditionalFormatting>
  <conditionalFormatting sqref="AH37">
    <cfRule type="cellIs" dxfId="34838" priority="105776" stopIfTrue="1" operator="lessThan">
      <formula>0.5</formula>
    </cfRule>
  </conditionalFormatting>
  <conditionalFormatting sqref="AH37">
    <cfRule type="cellIs" dxfId="34837" priority="105777" stopIfTrue="1" operator="greaterThanOrEqual">
      <formula>0.5</formula>
    </cfRule>
  </conditionalFormatting>
  <conditionalFormatting sqref="AJ17">
    <cfRule type="cellIs" dxfId="34836" priority="105778" stopIfTrue="1" operator="equal">
      <formula>-1</formula>
    </cfRule>
  </conditionalFormatting>
  <conditionalFormatting sqref="AJ17">
    <cfRule type="cellIs" dxfId="34835" priority="105779" stopIfTrue="1" operator="lessThan">
      <formula>0.5</formula>
    </cfRule>
  </conditionalFormatting>
  <conditionalFormatting sqref="AJ17">
    <cfRule type="cellIs" dxfId="34834" priority="105780" stopIfTrue="1" operator="greaterThanOrEqual">
      <formula>0.5</formula>
    </cfRule>
  </conditionalFormatting>
  <conditionalFormatting sqref="AJ18">
    <cfRule type="cellIs" dxfId="34833" priority="105781" stopIfTrue="1" operator="equal">
      <formula>-1</formula>
    </cfRule>
  </conditionalFormatting>
  <conditionalFormatting sqref="AJ18">
    <cfRule type="cellIs" dxfId="34832" priority="105782" stopIfTrue="1" operator="lessThan">
      <formula>0.5</formula>
    </cfRule>
  </conditionalFormatting>
  <conditionalFormatting sqref="AJ18">
    <cfRule type="cellIs" dxfId="34831" priority="105783" stopIfTrue="1" operator="greaterThanOrEqual">
      <formula>0.5</formula>
    </cfRule>
  </conditionalFormatting>
  <conditionalFormatting sqref="AJ19">
    <cfRule type="cellIs" dxfId="34830" priority="105784" stopIfTrue="1" operator="equal">
      <formula>-1</formula>
    </cfRule>
  </conditionalFormatting>
  <conditionalFormatting sqref="AJ19">
    <cfRule type="cellIs" dxfId="34829" priority="105785" stopIfTrue="1" operator="lessThan">
      <formula>0.5</formula>
    </cfRule>
  </conditionalFormatting>
  <conditionalFormatting sqref="AJ19">
    <cfRule type="cellIs" dxfId="34828" priority="105786" stopIfTrue="1" operator="greaterThanOrEqual">
      <formula>0.5</formula>
    </cfRule>
  </conditionalFormatting>
  <conditionalFormatting sqref="AJ20">
    <cfRule type="cellIs" dxfId="34827" priority="105787" stopIfTrue="1" operator="equal">
      <formula>-1</formula>
    </cfRule>
  </conditionalFormatting>
  <conditionalFormatting sqref="AJ20">
    <cfRule type="cellIs" dxfId="34826" priority="105788" stopIfTrue="1" operator="lessThan">
      <formula>0.5</formula>
    </cfRule>
  </conditionalFormatting>
  <conditionalFormatting sqref="AJ20">
    <cfRule type="cellIs" dxfId="34825" priority="105789" stopIfTrue="1" operator="greaterThanOrEqual">
      <formula>0.5</formula>
    </cfRule>
  </conditionalFormatting>
  <conditionalFormatting sqref="AJ21">
    <cfRule type="cellIs" dxfId="34824" priority="105790" stopIfTrue="1" operator="equal">
      <formula>-1</formula>
    </cfRule>
  </conditionalFormatting>
  <conditionalFormatting sqref="AJ21">
    <cfRule type="cellIs" dxfId="34823" priority="105791" stopIfTrue="1" operator="lessThan">
      <formula>0.5</formula>
    </cfRule>
  </conditionalFormatting>
  <conditionalFormatting sqref="AJ21">
    <cfRule type="cellIs" dxfId="34822" priority="105792" stopIfTrue="1" operator="greaterThanOrEqual">
      <formula>0.5</formula>
    </cfRule>
  </conditionalFormatting>
  <conditionalFormatting sqref="AJ22">
    <cfRule type="cellIs" dxfId="34821" priority="105793" stopIfTrue="1" operator="equal">
      <formula>-1</formula>
    </cfRule>
  </conditionalFormatting>
  <conditionalFormatting sqref="AJ22">
    <cfRule type="cellIs" dxfId="34820" priority="105794" stopIfTrue="1" operator="lessThan">
      <formula>0.5</formula>
    </cfRule>
  </conditionalFormatting>
  <conditionalFormatting sqref="AJ22">
    <cfRule type="cellIs" dxfId="34819" priority="105795" stopIfTrue="1" operator="greaterThanOrEqual">
      <formula>0.5</formula>
    </cfRule>
  </conditionalFormatting>
  <conditionalFormatting sqref="AJ23">
    <cfRule type="cellIs" dxfId="34818" priority="105796" stopIfTrue="1" operator="equal">
      <formula>-1</formula>
    </cfRule>
  </conditionalFormatting>
  <conditionalFormatting sqref="AJ23">
    <cfRule type="cellIs" dxfId="34817" priority="105797" stopIfTrue="1" operator="lessThan">
      <formula>0.5</formula>
    </cfRule>
  </conditionalFormatting>
  <conditionalFormatting sqref="AJ23">
    <cfRule type="cellIs" dxfId="34816" priority="105798" stopIfTrue="1" operator="greaterThanOrEqual">
      <formula>0.5</formula>
    </cfRule>
  </conditionalFormatting>
  <conditionalFormatting sqref="AJ24">
    <cfRule type="cellIs" dxfId="34815" priority="105799" stopIfTrue="1" operator="equal">
      <formula>-1</formula>
    </cfRule>
  </conditionalFormatting>
  <conditionalFormatting sqref="AJ24">
    <cfRule type="cellIs" dxfId="34814" priority="105800" stopIfTrue="1" operator="lessThan">
      <formula>0.5</formula>
    </cfRule>
  </conditionalFormatting>
  <conditionalFormatting sqref="AJ24">
    <cfRule type="cellIs" dxfId="34813" priority="105801" stopIfTrue="1" operator="greaterThanOrEqual">
      <formula>0.5</formula>
    </cfRule>
  </conditionalFormatting>
  <conditionalFormatting sqref="AJ25">
    <cfRule type="cellIs" dxfId="34812" priority="105802" stopIfTrue="1" operator="equal">
      <formula>-1</formula>
    </cfRule>
  </conditionalFormatting>
  <conditionalFormatting sqref="AJ25">
    <cfRule type="cellIs" dxfId="34811" priority="105803" stopIfTrue="1" operator="lessThan">
      <formula>0.5</formula>
    </cfRule>
  </conditionalFormatting>
  <conditionalFormatting sqref="AJ25">
    <cfRule type="cellIs" dxfId="34810" priority="105804" stopIfTrue="1" operator="greaterThanOrEqual">
      <formula>0.5</formula>
    </cfRule>
  </conditionalFormatting>
  <conditionalFormatting sqref="AJ26">
    <cfRule type="cellIs" dxfId="34809" priority="105805" stopIfTrue="1" operator="equal">
      <formula>-1</formula>
    </cfRule>
  </conditionalFormatting>
  <conditionalFormatting sqref="AJ26">
    <cfRule type="cellIs" dxfId="34808" priority="105806" stopIfTrue="1" operator="lessThan">
      <formula>0.5</formula>
    </cfRule>
  </conditionalFormatting>
  <conditionalFormatting sqref="AJ26">
    <cfRule type="cellIs" dxfId="34807" priority="105807" stopIfTrue="1" operator="greaterThanOrEqual">
      <formula>0.5</formula>
    </cfRule>
  </conditionalFormatting>
  <conditionalFormatting sqref="AJ27">
    <cfRule type="cellIs" dxfId="34806" priority="105808" stopIfTrue="1" operator="equal">
      <formula>-1</formula>
    </cfRule>
  </conditionalFormatting>
  <conditionalFormatting sqref="AJ27">
    <cfRule type="cellIs" dxfId="34805" priority="105809" stopIfTrue="1" operator="lessThan">
      <formula>0.5</formula>
    </cfRule>
  </conditionalFormatting>
  <conditionalFormatting sqref="AJ27">
    <cfRule type="cellIs" dxfId="34804" priority="105810" stopIfTrue="1" operator="greaterThanOrEqual">
      <formula>0.5</formula>
    </cfRule>
  </conditionalFormatting>
  <conditionalFormatting sqref="AJ28">
    <cfRule type="cellIs" dxfId="34803" priority="105811" stopIfTrue="1" operator="equal">
      <formula>-1</formula>
    </cfRule>
  </conditionalFormatting>
  <conditionalFormatting sqref="AJ28">
    <cfRule type="cellIs" dxfId="34802" priority="105812" stopIfTrue="1" operator="lessThan">
      <formula>0.5</formula>
    </cfRule>
  </conditionalFormatting>
  <conditionalFormatting sqref="AJ28">
    <cfRule type="cellIs" dxfId="34801" priority="105813" stopIfTrue="1" operator="greaterThanOrEqual">
      <formula>0.5</formula>
    </cfRule>
  </conditionalFormatting>
  <conditionalFormatting sqref="AJ29">
    <cfRule type="cellIs" dxfId="34800" priority="105814" stopIfTrue="1" operator="equal">
      <formula>-1</formula>
    </cfRule>
  </conditionalFormatting>
  <conditionalFormatting sqref="AJ29">
    <cfRule type="cellIs" dxfId="34799" priority="105815" stopIfTrue="1" operator="lessThan">
      <formula>0.5</formula>
    </cfRule>
  </conditionalFormatting>
  <conditionalFormatting sqref="AJ29">
    <cfRule type="cellIs" dxfId="34798" priority="105816" stopIfTrue="1" operator="greaterThanOrEqual">
      <formula>0.5</formula>
    </cfRule>
  </conditionalFormatting>
  <conditionalFormatting sqref="AJ30">
    <cfRule type="cellIs" dxfId="34797" priority="105817" stopIfTrue="1" operator="equal">
      <formula>-1</formula>
    </cfRule>
  </conditionalFormatting>
  <conditionalFormatting sqref="AJ30">
    <cfRule type="cellIs" dxfId="34796" priority="105818" stopIfTrue="1" operator="lessThan">
      <formula>0.5</formula>
    </cfRule>
  </conditionalFormatting>
  <conditionalFormatting sqref="AJ30">
    <cfRule type="cellIs" dxfId="34795" priority="105819" stopIfTrue="1" operator="greaterThanOrEqual">
      <formula>0.5</formula>
    </cfRule>
  </conditionalFormatting>
  <conditionalFormatting sqref="AJ31">
    <cfRule type="cellIs" dxfId="34794" priority="105820" stopIfTrue="1" operator="equal">
      <formula>-1</formula>
    </cfRule>
  </conditionalFormatting>
  <conditionalFormatting sqref="AJ31">
    <cfRule type="cellIs" dxfId="34793" priority="105821" stopIfTrue="1" operator="lessThan">
      <formula>0.5</formula>
    </cfRule>
  </conditionalFormatting>
  <conditionalFormatting sqref="AJ31">
    <cfRule type="cellIs" dxfId="34792" priority="105822" stopIfTrue="1" operator="greaterThanOrEqual">
      <formula>0.5</formula>
    </cfRule>
  </conditionalFormatting>
  <conditionalFormatting sqref="AJ32">
    <cfRule type="cellIs" dxfId="34791" priority="105823" stopIfTrue="1" operator="equal">
      <formula>-1</formula>
    </cfRule>
  </conditionalFormatting>
  <conditionalFormatting sqref="AJ32">
    <cfRule type="cellIs" dxfId="34790" priority="105824" stopIfTrue="1" operator="lessThan">
      <formula>0.5</formula>
    </cfRule>
  </conditionalFormatting>
  <conditionalFormatting sqref="AJ32">
    <cfRule type="cellIs" dxfId="34789" priority="105825" stopIfTrue="1" operator="greaterThanOrEqual">
      <formula>0.5</formula>
    </cfRule>
  </conditionalFormatting>
  <conditionalFormatting sqref="AJ33">
    <cfRule type="cellIs" dxfId="34788" priority="105826" stopIfTrue="1" operator="equal">
      <formula>-1</formula>
    </cfRule>
  </conditionalFormatting>
  <conditionalFormatting sqref="AJ33">
    <cfRule type="cellIs" dxfId="34787" priority="105827" stopIfTrue="1" operator="lessThan">
      <formula>0.5</formula>
    </cfRule>
  </conditionalFormatting>
  <conditionalFormatting sqref="AJ33">
    <cfRule type="cellIs" dxfId="34786" priority="105828" stopIfTrue="1" operator="greaterThanOrEqual">
      <formula>0.5</formula>
    </cfRule>
  </conditionalFormatting>
  <conditionalFormatting sqref="AJ34">
    <cfRule type="cellIs" dxfId="34785" priority="105829" stopIfTrue="1" operator="equal">
      <formula>-1</formula>
    </cfRule>
  </conditionalFormatting>
  <conditionalFormatting sqref="AJ34">
    <cfRule type="cellIs" dxfId="34784" priority="105830" stopIfTrue="1" operator="lessThan">
      <formula>0.5</formula>
    </cfRule>
  </conditionalFormatting>
  <conditionalFormatting sqref="AJ34">
    <cfRule type="cellIs" dxfId="34783" priority="105831" stopIfTrue="1" operator="greaterThanOrEqual">
      <formula>0.5</formula>
    </cfRule>
  </conditionalFormatting>
  <conditionalFormatting sqref="AJ35">
    <cfRule type="cellIs" dxfId="34782" priority="105832" stopIfTrue="1" operator="equal">
      <formula>-1</formula>
    </cfRule>
  </conditionalFormatting>
  <conditionalFormatting sqref="AJ35">
    <cfRule type="cellIs" dxfId="34781" priority="105833" stopIfTrue="1" operator="lessThan">
      <formula>0.5</formula>
    </cfRule>
  </conditionalFormatting>
  <conditionalFormatting sqref="AJ35">
    <cfRule type="cellIs" dxfId="34780" priority="105834" stopIfTrue="1" operator="greaterThanOrEqual">
      <formula>0.5</formula>
    </cfRule>
  </conditionalFormatting>
  <conditionalFormatting sqref="AJ36">
    <cfRule type="cellIs" dxfId="34779" priority="105835" stopIfTrue="1" operator="equal">
      <formula>-1</formula>
    </cfRule>
  </conditionalFormatting>
  <conditionalFormatting sqref="AJ36">
    <cfRule type="cellIs" dxfId="34778" priority="105836" stopIfTrue="1" operator="lessThan">
      <formula>0.5</formula>
    </cfRule>
  </conditionalFormatting>
  <conditionalFormatting sqref="AJ36">
    <cfRule type="cellIs" dxfId="34777" priority="105837" stopIfTrue="1" operator="greaterThanOrEqual">
      <formula>0.5</formula>
    </cfRule>
  </conditionalFormatting>
  <conditionalFormatting sqref="AJ37">
    <cfRule type="cellIs" dxfId="34776" priority="105838" stopIfTrue="1" operator="equal">
      <formula>-1</formula>
    </cfRule>
  </conditionalFormatting>
  <conditionalFormatting sqref="AJ37">
    <cfRule type="cellIs" dxfId="34775" priority="105839" stopIfTrue="1" operator="lessThan">
      <formula>0.5</formula>
    </cfRule>
  </conditionalFormatting>
  <conditionalFormatting sqref="AJ37">
    <cfRule type="cellIs" dxfId="34774" priority="105840" stopIfTrue="1" operator="greaterThanOrEqual">
      <formula>0.5</formula>
    </cfRule>
  </conditionalFormatting>
  <conditionalFormatting sqref="AL17">
    <cfRule type="cellIs" dxfId="34773" priority="105841" stopIfTrue="1" operator="equal">
      <formula>-1</formula>
    </cfRule>
  </conditionalFormatting>
  <conditionalFormatting sqref="AL17">
    <cfRule type="cellIs" dxfId="34772" priority="105842" stopIfTrue="1" operator="lessThan">
      <formula>0.5</formula>
    </cfRule>
  </conditionalFormatting>
  <conditionalFormatting sqref="AL17">
    <cfRule type="cellIs" dxfId="34771" priority="105843" stopIfTrue="1" operator="greaterThanOrEqual">
      <formula>0.5</formula>
    </cfRule>
  </conditionalFormatting>
  <conditionalFormatting sqref="AL18">
    <cfRule type="cellIs" dxfId="34770" priority="105844" stopIfTrue="1" operator="equal">
      <formula>-1</formula>
    </cfRule>
  </conditionalFormatting>
  <conditionalFormatting sqref="AL18">
    <cfRule type="cellIs" dxfId="34769" priority="105845" stopIfTrue="1" operator="lessThan">
      <formula>0.5</formula>
    </cfRule>
  </conditionalFormatting>
  <conditionalFormatting sqref="AL18">
    <cfRule type="cellIs" dxfId="34768" priority="105846" stopIfTrue="1" operator="greaterThanOrEqual">
      <formula>0.5</formula>
    </cfRule>
  </conditionalFormatting>
  <conditionalFormatting sqref="AL19">
    <cfRule type="cellIs" dxfId="34767" priority="105847" stopIfTrue="1" operator="equal">
      <formula>-1</formula>
    </cfRule>
  </conditionalFormatting>
  <conditionalFormatting sqref="AL19">
    <cfRule type="cellIs" dxfId="34766" priority="105848" stopIfTrue="1" operator="lessThan">
      <formula>0.5</formula>
    </cfRule>
  </conditionalFormatting>
  <conditionalFormatting sqref="AL19">
    <cfRule type="cellIs" dxfId="34765" priority="105849" stopIfTrue="1" operator="greaterThanOrEqual">
      <formula>0.5</formula>
    </cfRule>
  </conditionalFormatting>
  <conditionalFormatting sqref="AL20">
    <cfRule type="cellIs" dxfId="34764" priority="105850" stopIfTrue="1" operator="equal">
      <formula>-1</formula>
    </cfRule>
  </conditionalFormatting>
  <conditionalFormatting sqref="AL20">
    <cfRule type="cellIs" dxfId="34763" priority="105851" stopIfTrue="1" operator="lessThan">
      <formula>0.5</formula>
    </cfRule>
  </conditionalFormatting>
  <conditionalFormatting sqref="AL20">
    <cfRule type="cellIs" dxfId="34762" priority="105852" stopIfTrue="1" operator="greaterThanOrEqual">
      <formula>0.5</formula>
    </cfRule>
  </conditionalFormatting>
  <conditionalFormatting sqref="AL21">
    <cfRule type="cellIs" dxfId="34761" priority="105853" stopIfTrue="1" operator="equal">
      <formula>-1</formula>
    </cfRule>
  </conditionalFormatting>
  <conditionalFormatting sqref="AL21">
    <cfRule type="cellIs" dxfId="34760" priority="105854" stopIfTrue="1" operator="lessThan">
      <formula>0.5</formula>
    </cfRule>
  </conditionalFormatting>
  <conditionalFormatting sqref="AL21">
    <cfRule type="cellIs" dxfId="34759" priority="105855" stopIfTrue="1" operator="greaterThanOrEqual">
      <formula>0.5</formula>
    </cfRule>
  </conditionalFormatting>
  <conditionalFormatting sqref="AL22">
    <cfRule type="cellIs" dxfId="34758" priority="105856" stopIfTrue="1" operator="equal">
      <formula>-1</formula>
    </cfRule>
  </conditionalFormatting>
  <conditionalFormatting sqref="AL22">
    <cfRule type="cellIs" dxfId="34757" priority="105857" stopIfTrue="1" operator="lessThan">
      <formula>0.5</formula>
    </cfRule>
  </conditionalFormatting>
  <conditionalFormatting sqref="AL22">
    <cfRule type="cellIs" dxfId="34756" priority="105858" stopIfTrue="1" operator="greaterThanOrEqual">
      <formula>0.5</formula>
    </cfRule>
  </conditionalFormatting>
  <conditionalFormatting sqref="AL23">
    <cfRule type="cellIs" dxfId="34755" priority="105859" stopIfTrue="1" operator="equal">
      <formula>-1</formula>
    </cfRule>
  </conditionalFormatting>
  <conditionalFormatting sqref="AL23">
    <cfRule type="cellIs" dxfId="34754" priority="105860" stopIfTrue="1" operator="lessThan">
      <formula>0.5</formula>
    </cfRule>
  </conditionalFormatting>
  <conditionalFormatting sqref="AL23">
    <cfRule type="cellIs" dxfId="34753" priority="105861" stopIfTrue="1" operator="greaterThanOrEqual">
      <formula>0.5</formula>
    </cfRule>
  </conditionalFormatting>
  <conditionalFormatting sqref="AL24">
    <cfRule type="cellIs" dxfId="34752" priority="105862" stopIfTrue="1" operator="equal">
      <formula>-1</formula>
    </cfRule>
  </conditionalFormatting>
  <conditionalFormatting sqref="AL24">
    <cfRule type="cellIs" dxfId="34751" priority="105863" stopIfTrue="1" operator="lessThan">
      <formula>0.5</formula>
    </cfRule>
  </conditionalFormatting>
  <conditionalFormatting sqref="AL24">
    <cfRule type="cellIs" dxfId="34750" priority="105864" stopIfTrue="1" operator="greaterThanOrEqual">
      <formula>0.5</formula>
    </cfRule>
  </conditionalFormatting>
  <conditionalFormatting sqref="AL25">
    <cfRule type="cellIs" dxfId="34749" priority="105865" stopIfTrue="1" operator="equal">
      <formula>-1</formula>
    </cfRule>
  </conditionalFormatting>
  <conditionalFormatting sqref="AL25">
    <cfRule type="cellIs" dxfId="34748" priority="105866" stopIfTrue="1" operator="lessThan">
      <formula>0.5</formula>
    </cfRule>
  </conditionalFormatting>
  <conditionalFormatting sqref="AL25">
    <cfRule type="cellIs" dxfId="34747" priority="105867" stopIfTrue="1" operator="greaterThanOrEqual">
      <formula>0.5</formula>
    </cfRule>
  </conditionalFormatting>
  <conditionalFormatting sqref="AL26">
    <cfRule type="cellIs" dxfId="34746" priority="105868" stopIfTrue="1" operator="equal">
      <formula>-1</formula>
    </cfRule>
  </conditionalFormatting>
  <conditionalFormatting sqref="AL26">
    <cfRule type="cellIs" dxfId="34745" priority="105869" stopIfTrue="1" operator="lessThan">
      <formula>0.5</formula>
    </cfRule>
  </conditionalFormatting>
  <conditionalFormatting sqref="AL26">
    <cfRule type="cellIs" dxfId="34744" priority="105870" stopIfTrue="1" operator="greaterThanOrEqual">
      <formula>0.5</formula>
    </cfRule>
  </conditionalFormatting>
  <conditionalFormatting sqref="AL27">
    <cfRule type="cellIs" dxfId="34743" priority="105871" stopIfTrue="1" operator="equal">
      <formula>-1</formula>
    </cfRule>
  </conditionalFormatting>
  <conditionalFormatting sqref="AL27">
    <cfRule type="cellIs" dxfId="34742" priority="105872" stopIfTrue="1" operator="lessThan">
      <formula>0.5</formula>
    </cfRule>
  </conditionalFormatting>
  <conditionalFormatting sqref="AL27">
    <cfRule type="cellIs" dxfId="34741" priority="105873" stopIfTrue="1" operator="greaterThanOrEqual">
      <formula>0.5</formula>
    </cfRule>
  </conditionalFormatting>
  <conditionalFormatting sqref="AL28">
    <cfRule type="cellIs" dxfId="34740" priority="105874" stopIfTrue="1" operator="equal">
      <formula>-1</formula>
    </cfRule>
  </conditionalFormatting>
  <conditionalFormatting sqref="AL28">
    <cfRule type="cellIs" dxfId="34739" priority="105875" stopIfTrue="1" operator="lessThan">
      <formula>0.5</formula>
    </cfRule>
  </conditionalFormatting>
  <conditionalFormatting sqref="AL28">
    <cfRule type="cellIs" dxfId="34738" priority="105876" stopIfTrue="1" operator="greaterThanOrEqual">
      <formula>0.5</formula>
    </cfRule>
  </conditionalFormatting>
  <conditionalFormatting sqref="AL29">
    <cfRule type="cellIs" dxfId="34737" priority="105877" stopIfTrue="1" operator="equal">
      <formula>-1</formula>
    </cfRule>
  </conditionalFormatting>
  <conditionalFormatting sqref="AL29">
    <cfRule type="cellIs" dxfId="34736" priority="105878" stopIfTrue="1" operator="lessThan">
      <formula>0.5</formula>
    </cfRule>
  </conditionalFormatting>
  <conditionalFormatting sqref="AL29">
    <cfRule type="cellIs" dxfId="34735" priority="105879" stopIfTrue="1" operator="greaterThanOrEqual">
      <formula>0.5</formula>
    </cfRule>
  </conditionalFormatting>
  <conditionalFormatting sqref="AL30">
    <cfRule type="cellIs" dxfId="34734" priority="105880" stopIfTrue="1" operator="equal">
      <formula>-1</formula>
    </cfRule>
  </conditionalFormatting>
  <conditionalFormatting sqref="AL30">
    <cfRule type="cellIs" dxfId="34733" priority="105881" stopIfTrue="1" operator="lessThan">
      <formula>0.5</formula>
    </cfRule>
  </conditionalFormatting>
  <conditionalFormatting sqref="AL30">
    <cfRule type="cellIs" dxfId="34732" priority="105882" stopIfTrue="1" operator="greaterThanOrEqual">
      <formula>0.5</formula>
    </cfRule>
  </conditionalFormatting>
  <conditionalFormatting sqref="AL31">
    <cfRule type="cellIs" dxfId="34731" priority="105883" stopIfTrue="1" operator="equal">
      <formula>-1</formula>
    </cfRule>
  </conditionalFormatting>
  <conditionalFormatting sqref="AL31">
    <cfRule type="cellIs" dxfId="34730" priority="105884" stopIfTrue="1" operator="lessThan">
      <formula>0.5</formula>
    </cfRule>
  </conditionalFormatting>
  <conditionalFormatting sqref="AL31">
    <cfRule type="cellIs" dxfId="34729" priority="105885" stopIfTrue="1" operator="greaterThanOrEqual">
      <formula>0.5</formula>
    </cfRule>
  </conditionalFormatting>
  <conditionalFormatting sqref="AL32">
    <cfRule type="cellIs" dxfId="34728" priority="105886" stopIfTrue="1" operator="equal">
      <formula>-1</formula>
    </cfRule>
  </conditionalFormatting>
  <conditionalFormatting sqref="AL32">
    <cfRule type="cellIs" dxfId="34727" priority="105887" stopIfTrue="1" operator="lessThan">
      <formula>0.5</formula>
    </cfRule>
  </conditionalFormatting>
  <conditionalFormatting sqref="AL32">
    <cfRule type="cellIs" dxfId="34726" priority="105888" stopIfTrue="1" operator="greaterThanOrEqual">
      <formula>0.5</formula>
    </cfRule>
  </conditionalFormatting>
  <conditionalFormatting sqref="AL33">
    <cfRule type="cellIs" dxfId="34725" priority="105889" stopIfTrue="1" operator="equal">
      <formula>-1</formula>
    </cfRule>
  </conditionalFormatting>
  <conditionalFormatting sqref="AL33">
    <cfRule type="cellIs" dxfId="34724" priority="105890" stopIfTrue="1" operator="lessThan">
      <formula>0.5</formula>
    </cfRule>
  </conditionalFormatting>
  <conditionalFormatting sqref="AL33">
    <cfRule type="cellIs" dxfId="34723" priority="105891" stopIfTrue="1" operator="greaterThanOrEqual">
      <formula>0.5</formula>
    </cfRule>
  </conditionalFormatting>
  <conditionalFormatting sqref="AL34">
    <cfRule type="cellIs" dxfId="34722" priority="105892" stopIfTrue="1" operator="equal">
      <formula>-1</formula>
    </cfRule>
  </conditionalFormatting>
  <conditionalFormatting sqref="AL34">
    <cfRule type="cellIs" dxfId="34721" priority="105893" stopIfTrue="1" operator="lessThan">
      <formula>0.5</formula>
    </cfRule>
  </conditionalFormatting>
  <conditionalFormatting sqref="AL34">
    <cfRule type="cellIs" dxfId="34720" priority="105894" stopIfTrue="1" operator="greaterThanOrEqual">
      <formula>0.5</formula>
    </cfRule>
  </conditionalFormatting>
  <conditionalFormatting sqref="AL35">
    <cfRule type="cellIs" dxfId="34719" priority="105895" stopIfTrue="1" operator="equal">
      <formula>-1</formula>
    </cfRule>
  </conditionalFormatting>
  <conditionalFormatting sqref="AL35">
    <cfRule type="cellIs" dxfId="34718" priority="105896" stopIfTrue="1" operator="lessThan">
      <formula>0.5</formula>
    </cfRule>
  </conditionalFormatting>
  <conditionalFormatting sqref="AL35">
    <cfRule type="cellIs" dxfId="34717" priority="105897" stopIfTrue="1" operator="greaterThanOrEqual">
      <formula>0.5</formula>
    </cfRule>
  </conditionalFormatting>
  <conditionalFormatting sqref="AL36">
    <cfRule type="cellIs" dxfId="34716" priority="105898" stopIfTrue="1" operator="equal">
      <formula>-1</formula>
    </cfRule>
  </conditionalFormatting>
  <conditionalFormatting sqref="AL36">
    <cfRule type="cellIs" dxfId="34715" priority="105899" stopIfTrue="1" operator="lessThan">
      <formula>0.5</formula>
    </cfRule>
  </conditionalFormatting>
  <conditionalFormatting sqref="AL36">
    <cfRule type="cellIs" dxfId="34714" priority="105900" stopIfTrue="1" operator="greaterThanOrEqual">
      <formula>0.5</formula>
    </cfRule>
  </conditionalFormatting>
  <conditionalFormatting sqref="AL37">
    <cfRule type="cellIs" dxfId="34713" priority="105901" stopIfTrue="1" operator="equal">
      <formula>-1</formula>
    </cfRule>
  </conditionalFormatting>
  <conditionalFormatting sqref="AL37">
    <cfRule type="cellIs" dxfId="34712" priority="105902" stopIfTrue="1" operator="lessThan">
      <formula>0.5</formula>
    </cfRule>
  </conditionalFormatting>
  <conditionalFormatting sqref="AL37">
    <cfRule type="cellIs" dxfId="34711" priority="105903" stopIfTrue="1" operator="greaterThanOrEqual">
      <formula>0.5</formula>
    </cfRule>
  </conditionalFormatting>
  <conditionalFormatting sqref="AN17">
    <cfRule type="cellIs" dxfId="34710" priority="105904" stopIfTrue="1" operator="equal">
      <formula>-1</formula>
    </cfRule>
  </conditionalFormatting>
  <conditionalFormatting sqref="AN17">
    <cfRule type="cellIs" dxfId="34709" priority="105905" stopIfTrue="1" operator="lessThan">
      <formula>0.5</formula>
    </cfRule>
  </conditionalFormatting>
  <conditionalFormatting sqref="AN17">
    <cfRule type="cellIs" dxfId="34708" priority="105906" stopIfTrue="1" operator="greaterThanOrEqual">
      <formula>0.5</formula>
    </cfRule>
  </conditionalFormatting>
  <conditionalFormatting sqref="AN18">
    <cfRule type="cellIs" dxfId="34707" priority="105907" stopIfTrue="1" operator="equal">
      <formula>-1</formula>
    </cfRule>
  </conditionalFormatting>
  <conditionalFormatting sqref="AN18">
    <cfRule type="cellIs" dxfId="34706" priority="105908" stopIfTrue="1" operator="lessThan">
      <formula>0.5</formula>
    </cfRule>
  </conditionalFormatting>
  <conditionalFormatting sqref="AN18">
    <cfRule type="cellIs" dxfId="34705" priority="105909" stopIfTrue="1" operator="greaterThanOrEqual">
      <formula>0.5</formula>
    </cfRule>
  </conditionalFormatting>
  <conditionalFormatting sqref="AN19">
    <cfRule type="cellIs" dxfId="34704" priority="105910" stopIfTrue="1" operator="equal">
      <formula>-1</formula>
    </cfRule>
  </conditionalFormatting>
  <conditionalFormatting sqref="AN19">
    <cfRule type="cellIs" dxfId="34703" priority="105911" stopIfTrue="1" operator="lessThan">
      <formula>0.5</formula>
    </cfRule>
  </conditionalFormatting>
  <conditionalFormatting sqref="AN19">
    <cfRule type="cellIs" dxfId="34702" priority="105912" stopIfTrue="1" operator="greaterThanOrEqual">
      <formula>0.5</formula>
    </cfRule>
  </conditionalFormatting>
  <conditionalFormatting sqref="AN20">
    <cfRule type="cellIs" dxfId="34701" priority="105913" stopIfTrue="1" operator="equal">
      <formula>-1</formula>
    </cfRule>
  </conditionalFormatting>
  <conditionalFormatting sqref="AN20">
    <cfRule type="cellIs" dxfId="34700" priority="105914" stopIfTrue="1" operator="lessThan">
      <formula>0.5</formula>
    </cfRule>
  </conditionalFormatting>
  <conditionalFormatting sqref="AN20">
    <cfRule type="cellIs" dxfId="34699" priority="105915" stopIfTrue="1" operator="greaterThanOrEqual">
      <formula>0.5</formula>
    </cfRule>
  </conditionalFormatting>
  <conditionalFormatting sqref="AN21">
    <cfRule type="cellIs" dxfId="34698" priority="105916" stopIfTrue="1" operator="equal">
      <formula>-1</formula>
    </cfRule>
  </conditionalFormatting>
  <conditionalFormatting sqref="AN21">
    <cfRule type="cellIs" dxfId="34697" priority="105917" stopIfTrue="1" operator="lessThan">
      <formula>0.5</formula>
    </cfRule>
  </conditionalFormatting>
  <conditionalFormatting sqref="AN21">
    <cfRule type="cellIs" dxfId="34696" priority="105918" stopIfTrue="1" operator="greaterThanOrEqual">
      <formula>0.5</formula>
    </cfRule>
  </conditionalFormatting>
  <conditionalFormatting sqref="AN22">
    <cfRule type="cellIs" dxfId="34695" priority="105919" stopIfTrue="1" operator="equal">
      <formula>-1</formula>
    </cfRule>
  </conditionalFormatting>
  <conditionalFormatting sqref="AN22">
    <cfRule type="cellIs" dxfId="34694" priority="105920" stopIfTrue="1" operator="lessThan">
      <formula>0.5</formula>
    </cfRule>
  </conditionalFormatting>
  <conditionalFormatting sqref="AN22">
    <cfRule type="cellIs" dxfId="34693" priority="105921" stopIfTrue="1" operator="greaterThanOrEqual">
      <formula>0.5</formula>
    </cfRule>
  </conditionalFormatting>
  <conditionalFormatting sqref="AN23">
    <cfRule type="cellIs" dxfId="34692" priority="105922" stopIfTrue="1" operator="equal">
      <formula>-1</formula>
    </cfRule>
  </conditionalFormatting>
  <conditionalFormatting sqref="AN23">
    <cfRule type="cellIs" dxfId="34691" priority="105923" stopIfTrue="1" operator="lessThan">
      <formula>0.5</formula>
    </cfRule>
  </conditionalFormatting>
  <conditionalFormatting sqref="AN23">
    <cfRule type="cellIs" dxfId="34690" priority="105924" stopIfTrue="1" operator="greaterThanOrEqual">
      <formula>0.5</formula>
    </cfRule>
  </conditionalFormatting>
  <conditionalFormatting sqref="AN24">
    <cfRule type="cellIs" dxfId="34689" priority="105925" stopIfTrue="1" operator="equal">
      <formula>-1</formula>
    </cfRule>
  </conditionalFormatting>
  <conditionalFormatting sqref="AN24">
    <cfRule type="cellIs" dxfId="34688" priority="105926" stopIfTrue="1" operator="lessThan">
      <formula>0.5</formula>
    </cfRule>
  </conditionalFormatting>
  <conditionalFormatting sqref="AN24">
    <cfRule type="cellIs" dxfId="34687" priority="105927" stopIfTrue="1" operator="greaterThanOrEqual">
      <formula>0.5</formula>
    </cfRule>
  </conditionalFormatting>
  <conditionalFormatting sqref="AN25">
    <cfRule type="cellIs" dxfId="34686" priority="105928" stopIfTrue="1" operator="equal">
      <formula>-1</formula>
    </cfRule>
  </conditionalFormatting>
  <conditionalFormatting sqref="AN25">
    <cfRule type="cellIs" dxfId="34685" priority="105929" stopIfTrue="1" operator="lessThan">
      <formula>0.5</formula>
    </cfRule>
  </conditionalFormatting>
  <conditionalFormatting sqref="AN25">
    <cfRule type="cellIs" dxfId="34684" priority="105930" stopIfTrue="1" operator="greaterThanOrEqual">
      <formula>0.5</formula>
    </cfRule>
  </conditionalFormatting>
  <conditionalFormatting sqref="AN26">
    <cfRule type="cellIs" dxfId="34683" priority="105931" stopIfTrue="1" operator="equal">
      <formula>-1</formula>
    </cfRule>
  </conditionalFormatting>
  <conditionalFormatting sqref="AN26">
    <cfRule type="cellIs" dxfId="34682" priority="105932" stopIfTrue="1" operator="lessThan">
      <formula>0.5</formula>
    </cfRule>
  </conditionalFormatting>
  <conditionalFormatting sqref="AN26">
    <cfRule type="cellIs" dxfId="34681" priority="105933" stopIfTrue="1" operator="greaterThanOrEqual">
      <formula>0.5</formula>
    </cfRule>
  </conditionalFormatting>
  <conditionalFormatting sqref="AN27">
    <cfRule type="cellIs" dxfId="34680" priority="105934" stopIfTrue="1" operator="equal">
      <formula>-1</formula>
    </cfRule>
  </conditionalFormatting>
  <conditionalFormatting sqref="AN27">
    <cfRule type="cellIs" dxfId="34679" priority="105935" stopIfTrue="1" operator="lessThan">
      <formula>0.5</formula>
    </cfRule>
  </conditionalFormatting>
  <conditionalFormatting sqref="AN27">
    <cfRule type="cellIs" dxfId="34678" priority="105936" stopIfTrue="1" operator="greaterThanOrEqual">
      <formula>0.5</formula>
    </cfRule>
  </conditionalFormatting>
  <conditionalFormatting sqref="AN28">
    <cfRule type="cellIs" dxfId="34677" priority="105937" stopIfTrue="1" operator="equal">
      <formula>-1</formula>
    </cfRule>
  </conditionalFormatting>
  <conditionalFormatting sqref="AN28">
    <cfRule type="cellIs" dxfId="34676" priority="105938" stopIfTrue="1" operator="lessThan">
      <formula>0.5</formula>
    </cfRule>
  </conditionalFormatting>
  <conditionalFormatting sqref="AN28">
    <cfRule type="cellIs" dxfId="34675" priority="105939" stopIfTrue="1" operator="greaterThanOrEqual">
      <formula>0.5</formula>
    </cfRule>
  </conditionalFormatting>
  <conditionalFormatting sqref="AN29">
    <cfRule type="cellIs" dxfId="34674" priority="105940" stopIfTrue="1" operator="equal">
      <formula>-1</formula>
    </cfRule>
  </conditionalFormatting>
  <conditionalFormatting sqref="AN29">
    <cfRule type="cellIs" dxfId="34673" priority="105941" stopIfTrue="1" operator="lessThan">
      <formula>0.5</formula>
    </cfRule>
  </conditionalFormatting>
  <conditionalFormatting sqref="AN29">
    <cfRule type="cellIs" dxfId="34672" priority="105942" stopIfTrue="1" operator="greaterThanOrEqual">
      <formula>0.5</formula>
    </cfRule>
  </conditionalFormatting>
  <conditionalFormatting sqref="AN30">
    <cfRule type="cellIs" dxfId="34671" priority="105943" stopIfTrue="1" operator="equal">
      <formula>-1</formula>
    </cfRule>
  </conditionalFormatting>
  <conditionalFormatting sqref="AN30">
    <cfRule type="cellIs" dxfId="34670" priority="105944" stopIfTrue="1" operator="lessThan">
      <formula>0.5</formula>
    </cfRule>
  </conditionalFormatting>
  <conditionalFormatting sqref="AN30">
    <cfRule type="cellIs" dxfId="34669" priority="105945" stopIfTrue="1" operator="greaterThanOrEqual">
      <formula>0.5</formula>
    </cfRule>
  </conditionalFormatting>
  <conditionalFormatting sqref="AN31">
    <cfRule type="cellIs" dxfId="34668" priority="105946" stopIfTrue="1" operator="equal">
      <formula>-1</formula>
    </cfRule>
  </conditionalFormatting>
  <conditionalFormatting sqref="AN31">
    <cfRule type="cellIs" dxfId="34667" priority="105947" stopIfTrue="1" operator="lessThan">
      <formula>0.5</formula>
    </cfRule>
  </conditionalFormatting>
  <conditionalFormatting sqref="AN31">
    <cfRule type="cellIs" dxfId="34666" priority="105948" stopIfTrue="1" operator="greaterThanOrEqual">
      <formula>0.5</formula>
    </cfRule>
  </conditionalFormatting>
  <conditionalFormatting sqref="AN32">
    <cfRule type="cellIs" dxfId="34665" priority="105949" stopIfTrue="1" operator="equal">
      <formula>-1</formula>
    </cfRule>
  </conditionalFormatting>
  <conditionalFormatting sqref="AN32">
    <cfRule type="cellIs" dxfId="34664" priority="105950" stopIfTrue="1" operator="lessThan">
      <formula>0.5</formula>
    </cfRule>
  </conditionalFormatting>
  <conditionalFormatting sqref="AN32">
    <cfRule type="cellIs" dxfId="34663" priority="105951" stopIfTrue="1" operator="greaterThanOrEqual">
      <formula>0.5</formula>
    </cfRule>
  </conditionalFormatting>
  <conditionalFormatting sqref="AN33">
    <cfRule type="cellIs" dxfId="34662" priority="105952" stopIfTrue="1" operator="equal">
      <formula>-1</formula>
    </cfRule>
  </conditionalFormatting>
  <conditionalFormatting sqref="AN33">
    <cfRule type="cellIs" dxfId="34661" priority="105953" stopIfTrue="1" operator="lessThan">
      <formula>0.5</formula>
    </cfRule>
  </conditionalFormatting>
  <conditionalFormatting sqref="AN33">
    <cfRule type="cellIs" dxfId="34660" priority="105954" stopIfTrue="1" operator="greaterThanOrEqual">
      <formula>0.5</formula>
    </cfRule>
  </conditionalFormatting>
  <conditionalFormatting sqref="AN34">
    <cfRule type="cellIs" dxfId="34659" priority="105955" stopIfTrue="1" operator="equal">
      <formula>-1</formula>
    </cfRule>
  </conditionalFormatting>
  <conditionalFormatting sqref="AN34">
    <cfRule type="cellIs" dxfId="34658" priority="105956" stopIfTrue="1" operator="lessThan">
      <formula>0.5</formula>
    </cfRule>
  </conditionalFormatting>
  <conditionalFormatting sqref="AN34">
    <cfRule type="cellIs" dxfId="34657" priority="105957" stopIfTrue="1" operator="greaterThanOrEqual">
      <formula>0.5</formula>
    </cfRule>
  </conditionalFormatting>
  <conditionalFormatting sqref="AN35">
    <cfRule type="cellIs" dxfId="34656" priority="105958" stopIfTrue="1" operator="equal">
      <formula>-1</formula>
    </cfRule>
  </conditionalFormatting>
  <conditionalFormatting sqref="AN35">
    <cfRule type="cellIs" dxfId="34655" priority="105959" stopIfTrue="1" operator="lessThan">
      <formula>0.5</formula>
    </cfRule>
  </conditionalFormatting>
  <conditionalFormatting sqref="AN35">
    <cfRule type="cellIs" dxfId="34654" priority="105960" stopIfTrue="1" operator="greaterThanOrEqual">
      <formula>0.5</formula>
    </cfRule>
  </conditionalFormatting>
  <conditionalFormatting sqref="AN36">
    <cfRule type="cellIs" dxfId="34653" priority="105961" stopIfTrue="1" operator="equal">
      <formula>-1</formula>
    </cfRule>
  </conditionalFormatting>
  <conditionalFormatting sqref="AN36">
    <cfRule type="cellIs" dxfId="34652" priority="105962" stopIfTrue="1" operator="lessThan">
      <formula>0.5</formula>
    </cfRule>
  </conditionalFormatting>
  <conditionalFormatting sqref="AN36">
    <cfRule type="cellIs" dxfId="34651" priority="105963" stopIfTrue="1" operator="greaterThanOrEqual">
      <formula>0.5</formula>
    </cfRule>
  </conditionalFormatting>
  <conditionalFormatting sqref="AN37">
    <cfRule type="cellIs" dxfId="34650" priority="105964" stopIfTrue="1" operator="equal">
      <formula>-1</formula>
    </cfRule>
  </conditionalFormatting>
  <conditionalFormatting sqref="AN37">
    <cfRule type="cellIs" dxfId="34649" priority="105965" stopIfTrue="1" operator="lessThan">
      <formula>0.5</formula>
    </cfRule>
  </conditionalFormatting>
  <conditionalFormatting sqref="AN37">
    <cfRule type="cellIs" dxfId="34648" priority="105966" stopIfTrue="1" operator="greaterThanOrEqual">
      <formula>0.5</formula>
    </cfRule>
  </conditionalFormatting>
  <conditionalFormatting sqref="AP17">
    <cfRule type="cellIs" dxfId="34647" priority="105967" stopIfTrue="1" operator="equal">
      <formula>-1</formula>
    </cfRule>
  </conditionalFormatting>
  <conditionalFormatting sqref="AP17">
    <cfRule type="cellIs" dxfId="34646" priority="105968" stopIfTrue="1" operator="lessThan">
      <formula>0.5</formula>
    </cfRule>
  </conditionalFormatting>
  <conditionalFormatting sqref="AP17">
    <cfRule type="cellIs" dxfId="34645" priority="105969" stopIfTrue="1" operator="greaterThanOrEqual">
      <formula>0.5</formula>
    </cfRule>
  </conditionalFormatting>
  <conditionalFormatting sqref="AP18">
    <cfRule type="cellIs" dxfId="34644" priority="105970" stopIfTrue="1" operator="equal">
      <formula>-1</formula>
    </cfRule>
  </conditionalFormatting>
  <conditionalFormatting sqref="AP18">
    <cfRule type="cellIs" dxfId="34643" priority="105971" stopIfTrue="1" operator="lessThan">
      <formula>0.5</formula>
    </cfRule>
  </conditionalFormatting>
  <conditionalFormatting sqref="AP18">
    <cfRule type="cellIs" dxfId="34642" priority="105972" stopIfTrue="1" operator="greaterThanOrEqual">
      <formula>0.5</formula>
    </cfRule>
  </conditionalFormatting>
  <conditionalFormatting sqref="AP19">
    <cfRule type="cellIs" dxfId="34641" priority="105973" stopIfTrue="1" operator="equal">
      <formula>-1</formula>
    </cfRule>
  </conditionalFormatting>
  <conditionalFormatting sqref="AP19">
    <cfRule type="cellIs" dxfId="34640" priority="105974" stopIfTrue="1" operator="lessThan">
      <formula>0.5</formula>
    </cfRule>
  </conditionalFormatting>
  <conditionalFormatting sqref="AP19">
    <cfRule type="cellIs" dxfId="34639" priority="105975" stopIfTrue="1" operator="greaterThanOrEqual">
      <formula>0.5</formula>
    </cfRule>
  </conditionalFormatting>
  <conditionalFormatting sqref="AP20">
    <cfRule type="cellIs" dxfId="34638" priority="105976" stopIfTrue="1" operator="equal">
      <formula>-1</formula>
    </cfRule>
  </conditionalFormatting>
  <conditionalFormatting sqref="AP20">
    <cfRule type="cellIs" dxfId="34637" priority="105977" stopIfTrue="1" operator="lessThan">
      <formula>0.5</formula>
    </cfRule>
  </conditionalFormatting>
  <conditionalFormatting sqref="AP20">
    <cfRule type="cellIs" dxfId="34636" priority="105978" stopIfTrue="1" operator="greaterThanOrEqual">
      <formula>0.5</formula>
    </cfRule>
  </conditionalFormatting>
  <conditionalFormatting sqref="AP21">
    <cfRule type="cellIs" dxfId="34635" priority="105979" stopIfTrue="1" operator="equal">
      <formula>-1</formula>
    </cfRule>
  </conditionalFormatting>
  <conditionalFormatting sqref="AP21">
    <cfRule type="cellIs" dxfId="34634" priority="105980" stopIfTrue="1" operator="lessThan">
      <formula>0.5</formula>
    </cfRule>
  </conditionalFormatting>
  <conditionalFormatting sqref="AP21">
    <cfRule type="cellIs" dxfId="34633" priority="105981" stopIfTrue="1" operator="greaterThanOrEqual">
      <formula>0.5</formula>
    </cfRule>
  </conditionalFormatting>
  <conditionalFormatting sqref="AP22">
    <cfRule type="cellIs" dxfId="34632" priority="105982" stopIfTrue="1" operator="equal">
      <formula>-1</formula>
    </cfRule>
  </conditionalFormatting>
  <conditionalFormatting sqref="AP22">
    <cfRule type="cellIs" dxfId="34631" priority="105983" stopIfTrue="1" operator="lessThan">
      <formula>0.5</formula>
    </cfRule>
  </conditionalFormatting>
  <conditionalFormatting sqref="AP22">
    <cfRule type="cellIs" dxfId="34630" priority="105984" stopIfTrue="1" operator="greaterThanOrEqual">
      <formula>0.5</formula>
    </cfRule>
  </conditionalFormatting>
  <conditionalFormatting sqref="AP23">
    <cfRule type="cellIs" dxfId="34629" priority="105985" stopIfTrue="1" operator="equal">
      <formula>-1</formula>
    </cfRule>
  </conditionalFormatting>
  <conditionalFormatting sqref="AP23">
    <cfRule type="cellIs" dxfId="34628" priority="105986" stopIfTrue="1" operator="lessThan">
      <formula>0.5</formula>
    </cfRule>
  </conditionalFormatting>
  <conditionalFormatting sqref="AP23">
    <cfRule type="cellIs" dxfId="34627" priority="105987" stopIfTrue="1" operator="greaterThanOrEqual">
      <formula>0.5</formula>
    </cfRule>
  </conditionalFormatting>
  <conditionalFormatting sqref="AP24">
    <cfRule type="cellIs" dxfId="34626" priority="105988" stopIfTrue="1" operator="equal">
      <formula>-1</formula>
    </cfRule>
  </conditionalFormatting>
  <conditionalFormatting sqref="AP24">
    <cfRule type="cellIs" dxfId="34625" priority="105989" stopIfTrue="1" operator="lessThan">
      <formula>0.5</formula>
    </cfRule>
  </conditionalFormatting>
  <conditionalFormatting sqref="AP24">
    <cfRule type="cellIs" dxfId="34624" priority="105990" stopIfTrue="1" operator="greaterThanOrEqual">
      <formula>0.5</formula>
    </cfRule>
  </conditionalFormatting>
  <conditionalFormatting sqref="AP25">
    <cfRule type="cellIs" dxfId="34623" priority="105991" stopIfTrue="1" operator="equal">
      <formula>-1</formula>
    </cfRule>
  </conditionalFormatting>
  <conditionalFormatting sqref="AP25">
    <cfRule type="cellIs" dxfId="34622" priority="105992" stopIfTrue="1" operator="lessThan">
      <formula>0.5</formula>
    </cfRule>
  </conditionalFormatting>
  <conditionalFormatting sqref="AP25">
    <cfRule type="cellIs" dxfId="34621" priority="105993" stopIfTrue="1" operator="greaterThanOrEqual">
      <formula>0.5</formula>
    </cfRule>
  </conditionalFormatting>
  <conditionalFormatting sqref="AP26">
    <cfRule type="cellIs" dxfId="34620" priority="105994" stopIfTrue="1" operator="equal">
      <formula>-1</formula>
    </cfRule>
  </conditionalFormatting>
  <conditionalFormatting sqref="AP26">
    <cfRule type="cellIs" dxfId="34619" priority="105995" stopIfTrue="1" operator="lessThan">
      <formula>0.5</formula>
    </cfRule>
  </conditionalFormatting>
  <conditionalFormatting sqref="AP26">
    <cfRule type="cellIs" dxfId="34618" priority="105996" stopIfTrue="1" operator="greaterThanOrEqual">
      <formula>0.5</formula>
    </cfRule>
  </conditionalFormatting>
  <conditionalFormatting sqref="AP27">
    <cfRule type="cellIs" dxfId="34617" priority="105997" stopIfTrue="1" operator="equal">
      <formula>-1</formula>
    </cfRule>
  </conditionalFormatting>
  <conditionalFormatting sqref="AP27">
    <cfRule type="cellIs" dxfId="34616" priority="105998" stopIfTrue="1" operator="lessThan">
      <formula>0.5</formula>
    </cfRule>
  </conditionalFormatting>
  <conditionalFormatting sqref="AP27">
    <cfRule type="cellIs" dxfId="34615" priority="105999" stopIfTrue="1" operator="greaterThanOrEqual">
      <formula>0.5</formula>
    </cfRule>
  </conditionalFormatting>
  <conditionalFormatting sqref="AP28">
    <cfRule type="cellIs" dxfId="34614" priority="106000" stopIfTrue="1" operator="equal">
      <formula>-1</formula>
    </cfRule>
  </conditionalFormatting>
  <conditionalFormatting sqref="AP28">
    <cfRule type="cellIs" dxfId="34613" priority="106001" stopIfTrue="1" operator="lessThan">
      <formula>0.5</formula>
    </cfRule>
  </conditionalFormatting>
  <conditionalFormatting sqref="AP28">
    <cfRule type="cellIs" dxfId="34612" priority="106002" stopIfTrue="1" operator="greaterThanOrEqual">
      <formula>0.5</formula>
    </cfRule>
  </conditionalFormatting>
  <conditionalFormatting sqref="AP29">
    <cfRule type="cellIs" dxfId="34611" priority="106003" stopIfTrue="1" operator="equal">
      <formula>-1</formula>
    </cfRule>
  </conditionalFormatting>
  <conditionalFormatting sqref="AP29">
    <cfRule type="cellIs" dxfId="34610" priority="106004" stopIfTrue="1" operator="lessThan">
      <formula>0.5</formula>
    </cfRule>
  </conditionalFormatting>
  <conditionalFormatting sqref="AP29">
    <cfRule type="cellIs" dxfId="34609" priority="106005" stopIfTrue="1" operator="greaterThanOrEqual">
      <formula>0.5</formula>
    </cfRule>
  </conditionalFormatting>
  <conditionalFormatting sqref="AP30">
    <cfRule type="cellIs" dxfId="34608" priority="106006" stopIfTrue="1" operator="equal">
      <formula>-1</formula>
    </cfRule>
  </conditionalFormatting>
  <conditionalFormatting sqref="AP30">
    <cfRule type="cellIs" dxfId="34607" priority="106007" stopIfTrue="1" operator="lessThan">
      <formula>0.5</formula>
    </cfRule>
  </conditionalFormatting>
  <conditionalFormatting sqref="AP30">
    <cfRule type="cellIs" dxfId="34606" priority="106008" stopIfTrue="1" operator="greaterThanOrEqual">
      <formula>0.5</formula>
    </cfRule>
  </conditionalFormatting>
  <conditionalFormatting sqref="AP31">
    <cfRule type="cellIs" dxfId="34605" priority="106009" stopIfTrue="1" operator="equal">
      <formula>-1</formula>
    </cfRule>
  </conditionalFormatting>
  <conditionalFormatting sqref="AP31">
    <cfRule type="cellIs" dxfId="34604" priority="106010" stopIfTrue="1" operator="lessThan">
      <formula>0.5</formula>
    </cfRule>
  </conditionalFormatting>
  <conditionalFormatting sqref="AP31">
    <cfRule type="cellIs" dxfId="34603" priority="106011" stopIfTrue="1" operator="greaterThanOrEqual">
      <formula>0.5</formula>
    </cfRule>
  </conditionalFormatting>
  <conditionalFormatting sqref="AP32">
    <cfRule type="cellIs" dxfId="34602" priority="106012" stopIfTrue="1" operator="equal">
      <formula>-1</formula>
    </cfRule>
  </conditionalFormatting>
  <conditionalFormatting sqref="AP32">
    <cfRule type="cellIs" dxfId="34601" priority="106013" stopIfTrue="1" operator="lessThan">
      <formula>0.5</formula>
    </cfRule>
  </conditionalFormatting>
  <conditionalFormatting sqref="AP32">
    <cfRule type="cellIs" dxfId="34600" priority="106014" stopIfTrue="1" operator="greaterThanOrEqual">
      <formula>0.5</formula>
    </cfRule>
  </conditionalFormatting>
  <conditionalFormatting sqref="AP33">
    <cfRule type="cellIs" dxfId="34599" priority="106015" stopIfTrue="1" operator="equal">
      <formula>-1</formula>
    </cfRule>
  </conditionalFormatting>
  <conditionalFormatting sqref="AP33">
    <cfRule type="cellIs" dxfId="34598" priority="106016" stopIfTrue="1" operator="lessThan">
      <formula>0.5</formula>
    </cfRule>
  </conditionalFormatting>
  <conditionalFormatting sqref="AP33">
    <cfRule type="cellIs" dxfId="34597" priority="106017" stopIfTrue="1" operator="greaterThanOrEqual">
      <formula>0.5</formula>
    </cfRule>
  </conditionalFormatting>
  <conditionalFormatting sqref="AP34">
    <cfRule type="cellIs" dxfId="34596" priority="106018" stopIfTrue="1" operator="equal">
      <formula>-1</formula>
    </cfRule>
  </conditionalFormatting>
  <conditionalFormatting sqref="AP34">
    <cfRule type="cellIs" dxfId="34595" priority="106019" stopIfTrue="1" operator="lessThan">
      <formula>0.5</formula>
    </cfRule>
  </conditionalFormatting>
  <conditionalFormatting sqref="AP34">
    <cfRule type="cellIs" dxfId="34594" priority="106020" stopIfTrue="1" operator="greaterThanOrEqual">
      <formula>0.5</formula>
    </cfRule>
  </conditionalFormatting>
  <conditionalFormatting sqref="AP35">
    <cfRule type="cellIs" dxfId="34593" priority="106021" stopIfTrue="1" operator="equal">
      <formula>-1</formula>
    </cfRule>
  </conditionalFormatting>
  <conditionalFormatting sqref="AP35">
    <cfRule type="cellIs" dxfId="34592" priority="106022" stopIfTrue="1" operator="lessThan">
      <formula>0.5</formula>
    </cfRule>
  </conditionalFormatting>
  <conditionalFormatting sqref="AP35">
    <cfRule type="cellIs" dxfId="34591" priority="106023" stopIfTrue="1" operator="greaterThanOrEqual">
      <formula>0.5</formula>
    </cfRule>
  </conditionalFormatting>
  <conditionalFormatting sqref="AP36">
    <cfRule type="cellIs" dxfId="34590" priority="106024" stopIfTrue="1" operator="equal">
      <formula>-1</formula>
    </cfRule>
  </conditionalFormatting>
  <conditionalFormatting sqref="AP36">
    <cfRule type="cellIs" dxfId="34589" priority="106025" stopIfTrue="1" operator="lessThan">
      <formula>0.5</formula>
    </cfRule>
  </conditionalFormatting>
  <conditionalFormatting sqref="AP36">
    <cfRule type="cellIs" dxfId="34588" priority="106026" stopIfTrue="1" operator="greaterThanOrEqual">
      <formula>0.5</formula>
    </cfRule>
  </conditionalFormatting>
  <conditionalFormatting sqref="AP37">
    <cfRule type="cellIs" dxfId="34587" priority="106027" stopIfTrue="1" operator="equal">
      <formula>-1</formula>
    </cfRule>
  </conditionalFormatting>
  <conditionalFormatting sqref="AP37">
    <cfRule type="cellIs" dxfId="34586" priority="106028" stopIfTrue="1" operator="lessThan">
      <formula>0.5</formula>
    </cfRule>
  </conditionalFormatting>
  <conditionalFormatting sqref="AP37">
    <cfRule type="cellIs" dxfId="34585" priority="106029" stopIfTrue="1" operator="greaterThanOrEqual">
      <formula>0.5</formula>
    </cfRule>
  </conditionalFormatting>
  <conditionalFormatting sqref="AR17">
    <cfRule type="cellIs" dxfId="34584" priority="106030" stopIfTrue="1" operator="equal">
      <formula>-1</formula>
    </cfRule>
  </conditionalFormatting>
  <conditionalFormatting sqref="AR17">
    <cfRule type="cellIs" dxfId="34583" priority="106031" stopIfTrue="1" operator="lessThan">
      <formula>0.5</formula>
    </cfRule>
  </conditionalFormatting>
  <conditionalFormatting sqref="AR17">
    <cfRule type="cellIs" dxfId="34582" priority="106032" stopIfTrue="1" operator="greaterThanOrEqual">
      <formula>0.5</formula>
    </cfRule>
  </conditionalFormatting>
  <conditionalFormatting sqref="AR18">
    <cfRule type="cellIs" dxfId="34581" priority="106033" stopIfTrue="1" operator="equal">
      <formula>-1</formula>
    </cfRule>
  </conditionalFormatting>
  <conditionalFormatting sqref="AR18">
    <cfRule type="cellIs" dxfId="34580" priority="106034" stopIfTrue="1" operator="lessThan">
      <formula>0.5</formula>
    </cfRule>
  </conditionalFormatting>
  <conditionalFormatting sqref="AR18">
    <cfRule type="cellIs" dxfId="34579" priority="106035" stopIfTrue="1" operator="greaterThanOrEqual">
      <formula>0.5</formula>
    </cfRule>
  </conditionalFormatting>
  <conditionalFormatting sqref="AR19">
    <cfRule type="cellIs" dxfId="34578" priority="106036" stopIfTrue="1" operator="equal">
      <formula>-1</formula>
    </cfRule>
  </conditionalFormatting>
  <conditionalFormatting sqref="AR19">
    <cfRule type="cellIs" dxfId="34577" priority="106037" stopIfTrue="1" operator="lessThan">
      <formula>0.5</formula>
    </cfRule>
  </conditionalFormatting>
  <conditionalFormatting sqref="AR19">
    <cfRule type="cellIs" dxfId="34576" priority="106038" stopIfTrue="1" operator="greaterThanOrEqual">
      <formula>0.5</formula>
    </cfRule>
  </conditionalFormatting>
  <conditionalFormatting sqref="AR20">
    <cfRule type="cellIs" dxfId="34575" priority="106039" stopIfTrue="1" operator="equal">
      <formula>-1</formula>
    </cfRule>
  </conditionalFormatting>
  <conditionalFormatting sqref="AR20">
    <cfRule type="cellIs" dxfId="34574" priority="106040" stopIfTrue="1" operator="lessThan">
      <formula>0.5</formula>
    </cfRule>
  </conditionalFormatting>
  <conditionalFormatting sqref="AR20">
    <cfRule type="cellIs" dxfId="34573" priority="106041" stopIfTrue="1" operator="greaterThanOrEqual">
      <formula>0.5</formula>
    </cfRule>
  </conditionalFormatting>
  <conditionalFormatting sqref="AR21">
    <cfRule type="cellIs" dxfId="34572" priority="106042" stopIfTrue="1" operator="equal">
      <formula>-1</formula>
    </cfRule>
  </conditionalFormatting>
  <conditionalFormatting sqref="AR21">
    <cfRule type="cellIs" dxfId="34571" priority="106043" stopIfTrue="1" operator="lessThan">
      <formula>0.5</formula>
    </cfRule>
  </conditionalFormatting>
  <conditionalFormatting sqref="AR21">
    <cfRule type="cellIs" dxfId="34570" priority="106044" stopIfTrue="1" operator="greaterThanOrEqual">
      <formula>0.5</formula>
    </cfRule>
  </conditionalFormatting>
  <conditionalFormatting sqref="AR22">
    <cfRule type="cellIs" dxfId="34569" priority="106045" stopIfTrue="1" operator="equal">
      <formula>-1</formula>
    </cfRule>
  </conditionalFormatting>
  <conditionalFormatting sqref="AR22">
    <cfRule type="cellIs" dxfId="34568" priority="106046" stopIfTrue="1" operator="lessThan">
      <formula>0.5</formula>
    </cfRule>
  </conditionalFormatting>
  <conditionalFormatting sqref="AR22">
    <cfRule type="cellIs" dxfId="34567" priority="106047" stopIfTrue="1" operator="greaterThanOrEqual">
      <formula>0.5</formula>
    </cfRule>
  </conditionalFormatting>
  <conditionalFormatting sqref="AR23">
    <cfRule type="cellIs" dxfId="34566" priority="106048" stopIfTrue="1" operator="equal">
      <formula>-1</formula>
    </cfRule>
  </conditionalFormatting>
  <conditionalFormatting sqref="AR23">
    <cfRule type="cellIs" dxfId="34565" priority="106049" stopIfTrue="1" operator="lessThan">
      <formula>0.5</formula>
    </cfRule>
  </conditionalFormatting>
  <conditionalFormatting sqref="AR23">
    <cfRule type="cellIs" dxfId="34564" priority="106050" stopIfTrue="1" operator="greaterThanOrEqual">
      <formula>0.5</formula>
    </cfRule>
  </conditionalFormatting>
  <conditionalFormatting sqref="AR24">
    <cfRule type="cellIs" dxfId="34563" priority="106051" stopIfTrue="1" operator="equal">
      <formula>-1</formula>
    </cfRule>
  </conditionalFormatting>
  <conditionalFormatting sqref="AR24">
    <cfRule type="cellIs" dxfId="34562" priority="106052" stopIfTrue="1" operator="lessThan">
      <formula>0.5</formula>
    </cfRule>
  </conditionalFormatting>
  <conditionalFormatting sqref="AR24">
    <cfRule type="cellIs" dxfId="34561" priority="106053" stopIfTrue="1" operator="greaterThanOrEqual">
      <formula>0.5</formula>
    </cfRule>
  </conditionalFormatting>
  <conditionalFormatting sqref="AR25">
    <cfRule type="cellIs" dxfId="34560" priority="106054" stopIfTrue="1" operator="equal">
      <formula>-1</formula>
    </cfRule>
  </conditionalFormatting>
  <conditionalFormatting sqref="AR25">
    <cfRule type="cellIs" dxfId="34559" priority="106055" stopIfTrue="1" operator="lessThan">
      <formula>0.5</formula>
    </cfRule>
  </conditionalFormatting>
  <conditionalFormatting sqref="AR25">
    <cfRule type="cellIs" dxfId="34558" priority="106056" stopIfTrue="1" operator="greaterThanOrEqual">
      <formula>0.5</formula>
    </cfRule>
  </conditionalFormatting>
  <conditionalFormatting sqref="AR26">
    <cfRule type="cellIs" dxfId="34557" priority="106057" stopIfTrue="1" operator="equal">
      <formula>-1</formula>
    </cfRule>
  </conditionalFormatting>
  <conditionalFormatting sqref="AR26">
    <cfRule type="cellIs" dxfId="34556" priority="106058" stopIfTrue="1" operator="lessThan">
      <formula>0.5</formula>
    </cfRule>
  </conditionalFormatting>
  <conditionalFormatting sqref="AR26">
    <cfRule type="cellIs" dxfId="34555" priority="106059" stopIfTrue="1" operator="greaterThanOrEqual">
      <formula>0.5</formula>
    </cfRule>
  </conditionalFormatting>
  <conditionalFormatting sqref="AR27">
    <cfRule type="cellIs" dxfId="34554" priority="106060" stopIfTrue="1" operator="equal">
      <formula>-1</formula>
    </cfRule>
  </conditionalFormatting>
  <conditionalFormatting sqref="AR27">
    <cfRule type="cellIs" dxfId="34553" priority="106061" stopIfTrue="1" operator="lessThan">
      <formula>0.5</formula>
    </cfRule>
  </conditionalFormatting>
  <conditionalFormatting sqref="AR27">
    <cfRule type="cellIs" dxfId="34552" priority="106062" stopIfTrue="1" operator="greaterThanOrEqual">
      <formula>0.5</formula>
    </cfRule>
  </conditionalFormatting>
  <conditionalFormatting sqref="AR28">
    <cfRule type="cellIs" dxfId="34551" priority="106063" stopIfTrue="1" operator="equal">
      <formula>-1</formula>
    </cfRule>
  </conditionalFormatting>
  <conditionalFormatting sqref="AR28">
    <cfRule type="cellIs" dxfId="34550" priority="106064" stopIfTrue="1" operator="lessThan">
      <formula>0.5</formula>
    </cfRule>
  </conditionalFormatting>
  <conditionalFormatting sqref="AR28">
    <cfRule type="cellIs" dxfId="34549" priority="106065" stopIfTrue="1" operator="greaterThanOrEqual">
      <formula>0.5</formula>
    </cfRule>
  </conditionalFormatting>
  <conditionalFormatting sqref="AR29">
    <cfRule type="cellIs" dxfId="34548" priority="106066" stopIfTrue="1" operator="equal">
      <formula>-1</formula>
    </cfRule>
  </conditionalFormatting>
  <conditionalFormatting sqref="AR29">
    <cfRule type="cellIs" dxfId="34547" priority="106067" stopIfTrue="1" operator="lessThan">
      <formula>0.5</formula>
    </cfRule>
  </conditionalFormatting>
  <conditionalFormatting sqref="AR29">
    <cfRule type="cellIs" dxfId="34546" priority="106068" stopIfTrue="1" operator="greaterThanOrEqual">
      <formula>0.5</formula>
    </cfRule>
  </conditionalFormatting>
  <conditionalFormatting sqref="AR30">
    <cfRule type="cellIs" dxfId="34545" priority="106069" stopIfTrue="1" operator="equal">
      <formula>-1</formula>
    </cfRule>
  </conditionalFormatting>
  <conditionalFormatting sqref="AR30">
    <cfRule type="cellIs" dxfId="34544" priority="106070" stopIfTrue="1" operator="lessThan">
      <formula>0.5</formula>
    </cfRule>
  </conditionalFormatting>
  <conditionalFormatting sqref="AR30">
    <cfRule type="cellIs" dxfId="34543" priority="106071" stopIfTrue="1" operator="greaterThanOrEqual">
      <formula>0.5</formula>
    </cfRule>
  </conditionalFormatting>
  <conditionalFormatting sqref="AR31">
    <cfRule type="cellIs" dxfId="34542" priority="106072" stopIfTrue="1" operator="equal">
      <formula>-1</formula>
    </cfRule>
  </conditionalFormatting>
  <conditionalFormatting sqref="AR31">
    <cfRule type="cellIs" dxfId="34541" priority="106073" stopIfTrue="1" operator="lessThan">
      <formula>0.5</formula>
    </cfRule>
  </conditionalFormatting>
  <conditionalFormatting sqref="AR31">
    <cfRule type="cellIs" dxfId="34540" priority="106074" stopIfTrue="1" operator="greaterThanOrEqual">
      <formula>0.5</formula>
    </cfRule>
  </conditionalFormatting>
  <conditionalFormatting sqref="AR32">
    <cfRule type="cellIs" dxfId="34539" priority="106075" stopIfTrue="1" operator="equal">
      <formula>-1</formula>
    </cfRule>
  </conditionalFormatting>
  <conditionalFormatting sqref="AR32">
    <cfRule type="cellIs" dxfId="34538" priority="106076" stopIfTrue="1" operator="lessThan">
      <formula>0.5</formula>
    </cfRule>
  </conditionalFormatting>
  <conditionalFormatting sqref="AR32">
    <cfRule type="cellIs" dxfId="34537" priority="106077" stopIfTrue="1" operator="greaterThanOrEqual">
      <formula>0.5</formula>
    </cfRule>
  </conditionalFormatting>
  <conditionalFormatting sqref="AR33">
    <cfRule type="cellIs" dxfId="34536" priority="106078" stopIfTrue="1" operator="equal">
      <formula>-1</formula>
    </cfRule>
  </conditionalFormatting>
  <conditionalFormatting sqref="AR33">
    <cfRule type="cellIs" dxfId="34535" priority="106079" stopIfTrue="1" operator="lessThan">
      <formula>0.5</formula>
    </cfRule>
  </conditionalFormatting>
  <conditionalFormatting sqref="AR33">
    <cfRule type="cellIs" dxfId="34534" priority="106080" stopIfTrue="1" operator="greaterThanOrEqual">
      <formula>0.5</formula>
    </cfRule>
  </conditionalFormatting>
  <conditionalFormatting sqref="AR34">
    <cfRule type="cellIs" dxfId="34533" priority="106081" stopIfTrue="1" operator="equal">
      <formula>-1</formula>
    </cfRule>
  </conditionalFormatting>
  <conditionalFormatting sqref="AR34">
    <cfRule type="cellIs" dxfId="34532" priority="106082" stopIfTrue="1" operator="lessThan">
      <formula>0.5</formula>
    </cfRule>
  </conditionalFormatting>
  <conditionalFormatting sqref="AR34">
    <cfRule type="cellIs" dxfId="34531" priority="106083" stopIfTrue="1" operator="greaterThanOrEqual">
      <formula>0.5</formula>
    </cfRule>
  </conditionalFormatting>
  <conditionalFormatting sqref="AR35">
    <cfRule type="cellIs" dxfId="34530" priority="106084" stopIfTrue="1" operator="equal">
      <formula>-1</formula>
    </cfRule>
  </conditionalFormatting>
  <conditionalFormatting sqref="AR35">
    <cfRule type="cellIs" dxfId="34529" priority="106085" stopIfTrue="1" operator="lessThan">
      <formula>0.5</formula>
    </cfRule>
  </conditionalFormatting>
  <conditionalFormatting sqref="AR35">
    <cfRule type="cellIs" dxfId="34528" priority="106086" stopIfTrue="1" operator="greaterThanOrEqual">
      <formula>0.5</formula>
    </cfRule>
  </conditionalFormatting>
  <conditionalFormatting sqref="AR36">
    <cfRule type="cellIs" dxfId="34527" priority="106087" stopIfTrue="1" operator="equal">
      <formula>-1</formula>
    </cfRule>
  </conditionalFormatting>
  <conditionalFormatting sqref="AR36">
    <cfRule type="cellIs" dxfId="34526" priority="106088" stopIfTrue="1" operator="lessThan">
      <formula>0.5</formula>
    </cfRule>
  </conditionalFormatting>
  <conditionalFormatting sqref="AR36">
    <cfRule type="cellIs" dxfId="34525" priority="106089" stopIfTrue="1" operator="greaterThanOrEqual">
      <formula>0.5</formula>
    </cfRule>
  </conditionalFormatting>
  <conditionalFormatting sqref="AR37">
    <cfRule type="cellIs" dxfId="34524" priority="106090" stopIfTrue="1" operator="equal">
      <formula>-1</formula>
    </cfRule>
  </conditionalFormatting>
  <conditionalFormatting sqref="AR37">
    <cfRule type="cellIs" dxfId="34523" priority="106091" stopIfTrue="1" operator="lessThan">
      <formula>0.5</formula>
    </cfRule>
  </conditionalFormatting>
  <conditionalFormatting sqref="AR37">
    <cfRule type="cellIs" dxfId="34522" priority="106092" stopIfTrue="1" operator="greaterThanOrEqual">
      <formula>0.5</formula>
    </cfRule>
  </conditionalFormatting>
  <conditionalFormatting sqref="AT17">
    <cfRule type="cellIs" dxfId="34521" priority="106093" stopIfTrue="1" operator="equal">
      <formula>-1</formula>
    </cfRule>
  </conditionalFormatting>
  <conditionalFormatting sqref="AT17">
    <cfRule type="cellIs" dxfId="34520" priority="106094" stopIfTrue="1" operator="lessThan">
      <formula>0.5</formula>
    </cfRule>
  </conditionalFormatting>
  <conditionalFormatting sqref="AT17">
    <cfRule type="cellIs" dxfId="34519" priority="106095" stopIfTrue="1" operator="greaterThanOrEqual">
      <formula>0.5</formula>
    </cfRule>
  </conditionalFormatting>
  <conditionalFormatting sqref="AT18">
    <cfRule type="cellIs" dxfId="34518" priority="106096" stopIfTrue="1" operator="equal">
      <formula>-1</formula>
    </cfRule>
  </conditionalFormatting>
  <conditionalFormatting sqref="AT18">
    <cfRule type="cellIs" dxfId="34517" priority="106097" stopIfTrue="1" operator="lessThan">
      <formula>0.5</formula>
    </cfRule>
  </conditionalFormatting>
  <conditionalFormatting sqref="AT18">
    <cfRule type="cellIs" dxfId="34516" priority="106098" stopIfTrue="1" operator="greaterThanOrEqual">
      <formula>0.5</formula>
    </cfRule>
  </conditionalFormatting>
  <conditionalFormatting sqref="AT19">
    <cfRule type="cellIs" dxfId="34515" priority="106099" stopIfTrue="1" operator="equal">
      <formula>-1</formula>
    </cfRule>
  </conditionalFormatting>
  <conditionalFormatting sqref="AT19">
    <cfRule type="cellIs" dxfId="34514" priority="106100" stopIfTrue="1" operator="lessThan">
      <formula>0.5</formula>
    </cfRule>
  </conditionalFormatting>
  <conditionalFormatting sqref="AT19">
    <cfRule type="cellIs" dxfId="34513" priority="106101" stopIfTrue="1" operator="greaterThanOrEqual">
      <formula>0.5</formula>
    </cfRule>
  </conditionalFormatting>
  <conditionalFormatting sqref="AT20">
    <cfRule type="cellIs" dxfId="34512" priority="106102" stopIfTrue="1" operator="equal">
      <formula>-1</formula>
    </cfRule>
  </conditionalFormatting>
  <conditionalFormatting sqref="AT20">
    <cfRule type="cellIs" dxfId="34511" priority="106103" stopIfTrue="1" operator="lessThan">
      <formula>0.5</formula>
    </cfRule>
  </conditionalFormatting>
  <conditionalFormatting sqref="AT20">
    <cfRule type="cellIs" dxfId="34510" priority="106104" stopIfTrue="1" operator="greaterThanOrEqual">
      <formula>0.5</formula>
    </cfRule>
  </conditionalFormatting>
  <conditionalFormatting sqref="AT21">
    <cfRule type="cellIs" dxfId="34509" priority="106105" stopIfTrue="1" operator="equal">
      <formula>-1</formula>
    </cfRule>
  </conditionalFormatting>
  <conditionalFormatting sqref="AT21">
    <cfRule type="cellIs" dxfId="34508" priority="106106" stopIfTrue="1" operator="lessThan">
      <formula>0.5</formula>
    </cfRule>
  </conditionalFormatting>
  <conditionalFormatting sqref="AT21">
    <cfRule type="cellIs" dxfId="34507" priority="106107" stopIfTrue="1" operator="greaterThanOrEqual">
      <formula>0.5</formula>
    </cfRule>
  </conditionalFormatting>
  <conditionalFormatting sqref="AT22">
    <cfRule type="cellIs" dxfId="34506" priority="106108" stopIfTrue="1" operator="equal">
      <formula>-1</formula>
    </cfRule>
  </conditionalFormatting>
  <conditionalFormatting sqref="AT22">
    <cfRule type="cellIs" dxfId="34505" priority="106109" stopIfTrue="1" operator="lessThan">
      <formula>0.5</formula>
    </cfRule>
  </conditionalFormatting>
  <conditionalFormatting sqref="AT22">
    <cfRule type="cellIs" dxfId="34504" priority="106110" stopIfTrue="1" operator="greaterThanOrEqual">
      <formula>0.5</formula>
    </cfRule>
  </conditionalFormatting>
  <conditionalFormatting sqref="AT23">
    <cfRule type="cellIs" dxfId="34503" priority="106111" stopIfTrue="1" operator="equal">
      <formula>-1</formula>
    </cfRule>
  </conditionalFormatting>
  <conditionalFormatting sqref="AT23">
    <cfRule type="cellIs" dxfId="34502" priority="106112" stopIfTrue="1" operator="lessThan">
      <formula>0.5</formula>
    </cfRule>
  </conditionalFormatting>
  <conditionalFormatting sqref="AT23">
    <cfRule type="cellIs" dxfId="34501" priority="106113" stopIfTrue="1" operator="greaterThanOrEqual">
      <formula>0.5</formula>
    </cfRule>
  </conditionalFormatting>
  <conditionalFormatting sqref="AT24">
    <cfRule type="cellIs" dxfId="34500" priority="106114" stopIfTrue="1" operator="equal">
      <formula>-1</formula>
    </cfRule>
  </conditionalFormatting>
  <conditionalFormatting sqref="AT24">
    <cfRule type="cellIs" dxfId="34499" priority="106115" stopIfTrue="1" operator="lessThan">
      <formula>0.5</formula>
    </cfRule>
  </conditionalFormatting>
  <conditionalFormatting sqref="AT24">
    <cfRule type="cellIs" dxfId="34498" priority="106116" stopIfTrue="1" operator="greaterThanOrEqual">
      <formula>0.5</formula>
    </cfRule>
  </conditionalFormatting>
  <conditionalFormatting sqref="AT25">
    <cfRule type="cellIs" dxfId="34497" priority="106117" stopIfTrue="1" operator="equal">
      <formula>-1</formula>
    </cfRule>
  </conditionalFormatting>
  <conditionalFormatting sqref="AT25">
    <cfRule type="cellIs" dxfId="34496" priority="106118" stopIfTrue="1" operator="lessThan">
      <formula>0.5</formula>
    </cfRule>
  </conditionalFormatting>
  <conditionalFormatting sqref="AT25">
    <cfRule type="cellIs" dxfId="34495" priority="106119" stopIfTrue="1" operator="greaterThanOrEqual">
      <formula>0.5</formula>
    </cfRule>
  </conditionalFormatting>
  <conditionalFormatting sqref="AT26">
    <cfRule type="cellIs" dxfId="34494" priority="106120" stopIfTrue="1" operator="equal">
      <formula>-1</formula>
    </cfRule>
  </conditionalFormatting>
  <conditionalFormatting sqref="AT26">
    <cfRule type="cellIs" dxfId="34493" priority="106121" stopIfTrue="1" operator="lessThan">
      <formula>0.5</formula>
    </cfRule>
  </conditionalFormatting>
  <conditionalFormatting sqref="AT26">
    <cfRule type="cellIs" dxfId="34492" priority="106122" stopIfTrue="1" operator="greaterThanOrEqual">
      <formula>0.5</formula>
    </cfRule>
  </conditionalFormatting>
  <conditionalFormatting sqref="AT27">
    <cfRule type="cellIs" dxfId="34491" priority="106123" stopIfTrue="1" operator="equal">
      <formula>-1</formula>
    </cfRule>
  </conditionalFormatting>
  <conditionalFormatting sqref="AT27">
    <cfRule type="cellIs" dxfId="34490" priority="106124" stopIfTrue="1" operator="lessThan">
      <formula>0.5</formula>
    </cfRule>
  </conditionalFormatting>
  <conditionalFormatting sqref="AT27">
    <cfRule type="cellIs" dxfId="34489" priority="106125" stopIfTrue="1" operator="greaterThanOrEqual">
      <formula>0.5</formula>
    </cfRule>
  </conditionalFormatting>
  <conditionalFormatting sqref="AT28">
    <cfRule type="cellIs" dxfId="34488" priority="106126" stopIfTrue="1" operator="equal">
      <formula>-1</formula>
    </cfRule>
  </conditionalFormatting>
  <conditionalFormatting sqref="AT28">
    <cfRule type="cellIs" dxfId="34487" priority="106127" stopIfTrue="1" operator="lessThan">
      <formula>0.5</formula>
    </cfRule>
  </conditionalFormatting>
  <conditionalFormatting sqref="AT28">
    <cfRule type="cellIs" dxfId="34486" priority="106128" stopIfTrue="1" operator="greaterThanOrEqual">
      <formula>0.5</formula>
    </cfRule>
  </conditionalFormatting>
  <conditionalFormatting sqref="AT29">
    <cfRule type="cellIs" dxfId="34485" priority="106129" stopIfTrue="1" operator="equal">
      <formula>-1</formula>
    </cfRule>
  </conditionalFormatting>
  <conditionalFormatting sqref="AT29">
    <cfRule type="cellIs" dxfId="34484" priority="106130" stopIfTrue="1" operator="lessThan">
      <formula>0.5</formula>
    </cfRule>
  </conditionalFormatting>
  <conditionalFormatting sqref="AT29">
    <cfRule type="cellIs" dxfId="34483" priority="106131" stopIfTrue="1" operator="greaterThanOrEqual">
      <formula>0.5</formula>
    </cfRule>
  </conditionalFormatting>
  <conditionalFormatting sqref="AT30">
    <cfRule type="cellIs" dxfId="34482" priority="106132" stopIfTrue="1" operator="equal">
      <formula>-1</formula>
    </cfRule>
  </conditionalFormatting>
  <conditionalFormatting sqref="AT30">
    <cfRule type="cellIs" dxfId="34481" priority="106133" stopIfTrue="1" operator="lessThan">
      <formula>0.5</formula>
    </cfRule>
  </conditionalFormatting>
  <conditionalFormatting sqref="AT30">
    <cfRule type="cellIs" dxfId="34480" priority="106134" stopIfTrue="1" operator="greaterThanOrEqual">
      <formula>0.5</formula>
    </cfRule>
  </conditionalFormatting>
  <conditionalFormatting sqref="AT31">
    <cfRule type="cellIs" dxfId="34479" priority="106135" stopIfTrue="1" operator="equal">
      <formula>-1</formula>
    </cfRule>
  </conditionalFormatting>
  <conditionalFormatting sqref="AT31">
    <cfRule type="cellIs" dxfId="34478" priority="106136" stopIfTrue="1" operator="lessThan">
      <formula>0.5</formula>
    </cfRule>
  </conditionalFormatting>
  <conditionalFormatting sqref="AT31">
    <cfRule type="cellIs" dxfId="34477" priority="106137" stopIfTrue="1" operator="greaterThanOrEqual">
      <formula>0.5</formula>
    </cfRule>
  </conditionalFormatting>
  <conditionalFormatting sqref="AT32">
    <cfRule type="cellIs" dxfId="34476" priority="106138" stopIfTrue="1" operator="equal">
      <formula>-1</formula>
    </cfRule>
  </conditionalFormatting>
  <conditionalFormatting sqref="AT32">
    <cfRule type="cellIs" dxfId="34475" priority="106139" stopIfTrue="1" operator="lessThan">
      <formula>0.5</formula>
    </cfRule>
  </conditionalFormatting>
  <conditionalFormatting sqref="AT32">
    <cfRule type="cellIs" dxfId="34474" priority="106140" stopIfTrue="1" operator="greaterThanOrEqual">
      <formula>0.5</formula>
    </cfRule>
  </conditionalFormatting>
  <conditionalFormatting sqref="AT33">
    <cfRule type="cellIs" dxfId="34473" priority="106141" stopIfTrue="1" operator="equal">
      <formula>-1</formula>
    </cfRule>
  </conditionalFormatting>
  <conditionalFormatting sqref="AT33">
    <cfRule type="cellIs" dxfId="34472" priority="106142" stopIfTrue="1" operator="lessThan">
      <formula>0.5</formula>
    </cfRule>
  </conditionalFormatting>
  <conditionalFormatting sqref="AT33">
    <cfRule type="cellIs" dxfId="34471" priority="106143" stopIfTrue="1" operator="greaterThanOrEqual">
      <formula>0.5</formula>
    </cfRule>
  </conditionalFormatting>
  <conditionalFormatting sqref="AT34">
    <cfRule type="cellIs" dxfId="34470" priority="106144" stopIfTrue="1" operator="equal">
      <formula>-1</formula>
    </cfRule>
  </conditionalFormatting>
  <conditionalFormatting sqref="AT34">
    <cfRule type="cellIs" dxfId="34469" priority="106145" stopIfTrue="1" operator="lessThan">
      <formula>0.5</formula>
    </cfRule>
  </conditionalFormatting>
  <conditionalFormatting sqref="AT34">
    <cfRule type="cellIs" dxfId="34468" priority="106146" stopIfTrue="1" operator="greaterThanOrEqual">
      <formula>0.5</formula>
    </cfRule>
  </conditionalFormatting>
  <conditionalFormatting sqref="AT35">
    <cfRule type="cellIs" dxfId="34467" priority="106147" stopIfTrue="1" operator="equal">
      <formula>-1</formula>
    </cfRule>
  </conditionalFormatting>
  <conditionalFormatting sqref="AT35">
    <cfRule type="cellIs" dxfId="34466" priority="106148" stopIfTrue="1" operator="lessThan">
      <formula>0.5</formula>
    </cfRule>
  </conditionalFormatting>
  <conditionalFormatting sqref="AT35">
    <cfRule type="cellIs" dxfId="34465" priority="106149" stopIfTrue="1" operator="greaterThanOrEqual">
      <formula>0.5</formula>
    </cfRule>
  </conditionalFormatting>
  <conditionalFormatting sqref="AT36">
    <cfRule type="cellIs" dxfId="34464" priority="106150" stopIfTrue="1" operator="equal">
      <formula>-1</formula>
    </cfRule>
  </conditionalFormatting>
  <conditionalFormatting sqref="AT36">
    <cfRule type="cellIs" dxfId="34463" priority="106151" stopIfTrue="1" operator="lessThan">
      <formula>0.5</formula>
    </cfRule>
  </conditionalFormatting>
  <conditionalFormatting sqref="AT36">
    <cfRule type="cellIs" dxfId="34462" priority="106152" stopIfTrue="1" operator="greaterThanOrEqual">
      <formula>0.5</formula>
    </cfRule>
  </conditionalFormatting>
  <conditionalFormatting sqref="AT37">
    <cfRule type="cellIs" dxfId="34461" priority="106153" stopIfTrue="1" operator="equal">
      <formula>-1</formula>
    </cfRule>
  </conditionalFormatting>
  <conditionalFormatting sqref="AT37">
    <cfRule type="cellIs" dxfId="34460" priority="106154" stopIfTrue="1" operator="lessThan">
      <formula>0.5</formula>
    </cfRule>
  </conditionalFormatting>
  <conditionalFormatting sqref="AT37">
    <cfRule type="cellIs" dxfId="34459" priority="106155" stopIfTrue="1" operator="greaterThanOrEqual">
      <formula>0.5</formula>
    </cfRule>
  </conditionalFormatting>
  <conditionalFormatting sqref="AV17">
    <cfRule type="cellIs" dxfId="34458" priority="106156" stopIfTrue="1" operator="equal">
      <formula>-1</formula>
    </cfRule>
  </conditionalFormatting>
  <conditionalFormatting sqref="AV17">
    <cfRule type="cellIs" dxfId="34457" priority="106157" stopIfTrue="1" operator="lessThan">
      <formula>0.5</formula>
    </cfRule>
  </conditionalFormatting>
  <conditionalFormatting sqref="AV17">
    <cfRule type="cellIs" dxfId="34456" priority="106158" stopIfTrue="1" operator="greaterThanOrEqual">
      <formula>0.5</formula>
    </cfRule>
  </conditionalFormatting>
  <conditionalFormatting sqref="AV18">
    <cfRule type="cellIs" dxfId="34455" priority="106159" stopIfTrue="1" operator="equal">
      <formula>-1</formula>
    </cfRule>
  </conditionalFormatting>
  <conditionalFormatting sqref="AV18">
    <cfRule type="cellIs" dxfId="34454" priority="106160" stopIfTrue="1" operator="lessThan">
      <formula>0.5</formula>
    </cfRule>
  </conditionalFormatting>
  <conditionalFormatting sqref="AV18">
    <cfRule type="cellIs" dxfId="34453" priority="106161" stopIfTrue="1" operator="greaterThanOrEqual">
      <formula>0.5</formula>
    </cfRule>
  </conditionalFormatting>
  <conditionalFormatting sqref="AV19">
    <cfRule type="cellIs" dxfId="34452" priority="106162" stopIfTrue="1" operator="equal">
      <formula>-1</formula>
    </cfRule>
  </conditionalFormatting>
  <conditionalFormatting sqref="AV19">
    <cfRule type="cellIs" dxfId="34451" priority="106163" stopIfTrue="1" operator="lessThan">
      <formula>0.5</formula>
    </cfRule>
  </conditionalFormatting>
  <conditionalFormatting sqref="AV19">
    <cfRule type="cellIs" dxfId="34450" priority="106164" stopIfTrue="1" operator="greaterThanOrEqual">
      <formula>0.5</formula>
    </cfRule>
  </conditionalFormatting>
  <conditionalFormatting sqref="AV20">
    <cfRule type="cellIs" dxfId="34449" priority="106165" stopIfTrue="1" operator="equal">
      <formula>-1</formula>
    </cfRule>
  </conditionalFormatting>
  <conditionalFormatting sqref="AV20">
    <cfRule type="cellIs" dxfId="34448" priority="106166" stopIfTrue="1" operator="lessThan">
      <formula>0.5</formula>
    </cfRule>
  </conditionalFormatting>
  <conditionalFormatting sqref="AV20">
    <cfRule type="cellIs" dxfId="34447" priority="106167" stopIfTrue="1" operator="greaterThanOrEqual">
      <formula>0.5</formula>
    </cfRule>
  </conditionalFormatting>
  <conditionalFormatting sqref="AV21">
    <cfRule type="cellIs" dxfId="34446" priority="106168" stopIfTrue="1" operator="equal">
      <formula>-1</formula>
    </cfRule>
  </conditionalFormatting>
  <conditionalFormatting sqref="AV21">
    <cfRule type="cellIs" dxfId="34445" priority="106169" stopIfTrue="1" operator="lessThan">
      <formula>0.5</formula>
    </cfRule>
  </conditionalFormatting>
  <conditionalFormatting sqref="AV21">
    <cfRule type="cellIs" dxfId="34444" priority="106170" stopIfTrue="1" operator="greaterThanOrEqual">
      <formula>0.5</formula>
    </cfRule>
  </conditionalFormatting>
  <conditionalFormatting sqref="AV22">
    <cfRule type="cellIs" dxfId="34443" priority="106171" stopIfTrue="1" operator="equal">
      <formula>-1</formula>
    </cfRule>
  </conditionalFormatting>
  <conditionalFormatting sqref="AV22">
    <cfRule type="cellIs" dxfId="34442" priority="106172" stopIfTrue="1" operator="lessThan">
      <formula>0.5</formula>
    </cfRule>
  </conditionalFormatting>
  <conditionalFormatting sqref="AV22">
    <cfRule type="cellIs" dxfId="34441" priority="106173" stopIfTrue="1" operator="greaterThanOrEqual">
      <formula>0.5</formula>
    </cfRule>
  </conditionalFormatting>
  <conditionalFormatting sqref="AV23">
    <cfRule type="cellIs" dxfId="34440" priority="106174" stopIfTrue="1" operator="equal">
      <formula>-1</formula>
    </cfRule>
  </conditionalFormatting>
  <conditionalFormatting sqref="AV23">
    <cfRule type="cellIs" dxfId="34439" priority="106175" stopIfTrue="1" operator="lessThan">
      <formula>0.5</formula>
    </cfRule>
  </conditionalFormatting>
  <conditionalFormatting sqref="AV23">
    <cfRule type="cellIs" dxfId="34438" priority="106176" stopIfTrue="1" operator="greaterThanOrEqual">
      <formula>0.5</formula>
    </cfRule>
  </conditionalFormatting>
  <conditionalFormatting sqref="AV24">
    <cfRule type="cellIs" dxfId="34437" priority="106177" stopIfTrue="1" operator="equal">
      <formula>-1</formula>
    </cfRule>
  </conditionalFormatting>
  <conditionalFormatting sqref="AV24">
    <cfRule type="cellIs" dxfId="34436" priority="106178" stopIfTrue="1" operator="lessThan">
      <formula>0.5</formula>
    </cfRule>
  </conditionalFormatting>
  <conditionalFormatting sqref="AV24">
    <cfRule type="cellIs" dxfId="34435" priority="106179" stopIfTrue="1" operator="greaterThanOrEqual">
      <formula>0.5</formula>
    </cfRule>
  </conditionalFormatting>
  <conditionalFormatting sqref="AV25">
    <cfRule type="cellIs" dxfId="34434" priority="106180" stopIfTrue="1" operator="equal">
      <formula>-1</formula>
    </cfRule>
  </conditionalFormatting>
  <conditionalFormatting sqref="AV25">
    <cfRule type="cellIs" dxfId="34433" priority="106181" stopIfTrue="1" operator="lessThan">
      <formula>0.5</formula>
    </cfRule>
  </conditionalFormatting>
  <conditionalFormatting sqref="AV25">
    <cfRule type="cellIs" dxfId="34432" priority="106182" stopIfTrue="1" operator="greaterThanOrEqual">
      <formula>0.5</formula>
    </cfRule>
  </conditionalFormatting>
  <conditionalFormatting sqref="AV26">
    <cfRule type="cellIs" dxfId="34431" priority="106183" stopIfTrue="1" operator="equal">
      <formula>-1</formula>
    </cfRule>
  </conditionalFormatting>
  <conditionalFormatting sqref="AV26">
    <cfRule type="cellIs" dxfId="34430" priority="106184" stopIfTrue="1" operator="lessThan">
      <formula>0.5</formula>
    </cfRule>
  </conditionalFormatting>
  <conditionalFormatting sqref="AV26">
    <cfRule type="cellIs" dxfId="34429" priority="106185" stopIfTrue="1" operator="greaterThanOrEqual">
      <formula>0.5</formula>
    </cfRule>
  </conditionalFormatting>
  <conditionalFormatting sqref="AV27">
    <cfRule type="cellIs" dxfId="34428" priority="106186" stopIfTrue="1" operator="equal">
      <formula>-1</formula>
    </cfRule>
  </conditionalFormatting>
  <conditionalFormatting sqref="AV27">
    <cfRule type="cellIs" dxfId="34427" priority="106187" stopIfTrue="1" operator="lessThan">
      <formula>0.5</formula>
    </cfRule>
  </conditionalFormatting>
  <conditionalFormatting sqref="AV27">
    <cfRule type="cellIs" dxfId="34426" priority="106188" stopIfTrue="1" operator="greaterThanOrEqual">
      <formula>0.5</formula>
    </cfRule>
  </conditionalFormatting>
  <conditionalFormatting sqref="AV28">
    <cfRule type="cellIs" dxfId="34425" priority="106189" stopIfTrue="1" operator="equal">
      <formula>-1</formula>
    </cfRule>
  </conditionalFormatting>
  <conditionalFormatting sqref="AV28">
    <cfRule type="cellIs" dxfId="34424" priority="106190" stopIfTrue="1" operator="lessThan">
      <formula>0.5</formula>
    </cfRule>
  </conditionalFormatting>
  <conditionalFormatting sqref="AV28">
    <cfRule type="cellIs" dxfId="34423" priority="106191" stopIfTrue="1" operator="greaterThanOrEqual">
      <formula>0.5</formula>
    </cfRule>
  </conditionalFormatting>
  <conditionalFormatting sqref="AV29">
    <cfRule type="cellIs" dxfId="34422" priority="106192" stopIfTrue="1" operator="equal">
      <formula>-1</formula>
    </cfRule>
  </conditionalFormatting>
  <conditionalFormatting sqref="AV29">
    <cfRule type="cellIs" dxfId="34421" priority="106193" stopIfTrue="1" operator="lessThan">
      <formula>0.5</formula>
    </cfRule>
  </conditionalFormatting>
  <conditionalFormatting sqref="AV29">
    <cfRule type="cellIs" dxfId="34420" priority="106194" stopIfTrue="1" operator="greaterThanOrEqual">
      <formula>0.5</formula>
    </cfRule>
  </conditionalFormatting>
  <conditionalFormatting sqref="AV30">
    <cfRule type="cellIs" dxfId="34419" priority="106195" stopIfTrue="1" operator="equal">
      <formula>-1</formula>
    </cfRule>
  </conditionalFormatting>
  <conditionalFormatting sqref="AV30">
    <cfRule type="cellIs" dxfId="34418" priority="106196" stopIfTrue="1" operator="lessThan">
      <formula>0.5</formula>
    </cfRule>
  </conditionalFormatting>
  <conditionalFormatting sqref="AV30">
    <cfRule type="cellIs" dxfId="34417" priority="106197" stopIfTrue="1" operator="greaterThanOrEqual">
      <formula>0.5</formula>
    </cfRule>
  </conditionalFormatting>
  <conditionalFormatting sqref="AV31">
    <cfRule type="cellIs" dxfId="34416" priority="106198" stopIfTrue="1" operator="equal">
      <formula>-1</formula>
    </cfRule>
  </conditionalFormatting>
  <conditionalFormatting sqref="AV31">
    <cfRule type="cellIs" dxfId="34415" priority="106199" stopIfTrue="1" operator="lessThan">
      <formula>0.5</formula>
    </cfRule>
  </conditionalFormatting>
  <conditionalFormatting sqref="AV31">
    <cfRule type="cellIs" dxfId="34414" priority="106200" stopIfTrue="1" operator="greaterThanOrEqual">
      <formula>0.5</formula>
    </cfRule>
  </conditionalFormatting>
  <conditionalFormatting sqref="AV32">
    <cfRule type="cellIs" dxfId="34413" priority="106201" stopIfTrue="1" operator="equal">
      <formula>-1</formula>
    </cfRule>
  </conditionalFormatting>
  <conditionalFormatting sqref="AV32">
    <cfRule type="cellIs" dxfId="34412" priority="106202" stopIfTrue="1" operator="lessThan">
      <formula>0.5</formula>
    </cfRule>
  </conditionalFormatting>
  <conditionalFormatting sqref="AV32">
    <cfRule type="cellIs" dxfId="34411" priority="106203" stopIfTrue="1" operator="greaterThanOrEqual">
      <formula>0.5</formula>
    </cfRule>
  </conditionalFormatting>
  <conditionalFormatting sqref="AV33">
    <cfRule type="cellIs" dxfId="34410" priority="106204" stopIfTrue="1" operator="equal">
      <formula>-1</formula>
    </cfRule>
  </conditionalFormatting>
  <conditionalFormatting sqref="AV33">
    <cfRule type="cellIs" dxfId="34409" priority="106205" stopIfTrue="1" operator="lessThan">
      <formula>0.5</formula>
    </cfRule>
  </conditionalFormatting>
  <conditionalFormatting sqref="AV33">
    <cfRule type="cellIs" dxfId="34408" priority="106206" stopIfTrue="1" operator="greaterThanOrEqual">
      <formula>0.5</formula>
    </cfRule>
  </conditionalFormatting>
  <conditionalFormatting sqref="AV34">
    <cfRule type="cellIs" dxfId="34407" priority="106207" stopIfTrue="1" operator="equal">
      <formula>-1</formula>
    </cfRule>
  </conditionalFormatting>
  <conditionalFormatting sqref="AV34">
    <cfRule type="cellIs" dxfId="34406" priority="106208" stopIfTrue="1" operator="lessThan">
      <formula>0.5</formula>
    </cfRule>
  </conditionalFormatting>
  <conditionalFormatting sqref="AV34">
    <cfRule type="cellIs" dxfId="34405" priority="106209" stopIfTrue="1" operator="greaterThanOrEqual">
      <formula>0.5</formula>
    </cfRule>
  </conditionalFormatting>
  <conditionalFormatting sqref="AV35">
    <cfRule type="cellIs" dxfId="34404" priority="106210" stopIfTrue="1" operator="equal">
      <formula>-1</formula>
    </cfRule>
  </conditionalFormatting>
  <conditionalFormatting sqref="AV35">
    <cfRule type="cellIs" dxfId="34403" priority="106211" stopIfTrue="1" operator="lessThan">
      <formula>0.5</formula>
    </cfRule>
  </conditionalFormatting>
  <conditionalFormatting sqref="AV35">
    <cfRule type="cellIs" dxfId="34402" priority="106212" stopIfTrue="1" operator="greaterThanOrEqual">
      <formula>0.5</formula>
    </cfRule>
  </conditionalFormatting>
  <conditionalFormatting sqref="AV36">
    <cfRule type="cellIs" dxfId="34401" priority="106213" stopIfTrue="1" operator="equal">
      <formula>-1</formula>
    </cfRule>
  </conditionalFormatting>
  <conditionalFormatting sqref="AV36">
    <cfRule type="cellIs" dxfId="34400" priority="106214" stopIfTrue="1" operator="lessThan">
      <formula>0.5</formula>
    </cfRule>
  </conditionalFormatting>
  <conditionalFormatting sqref="AV36">
    <cfRule type="cellIs" dxfId="34399" priority="106215" stopIfTrue="1" operator="greaterThanOrEqual">
      <formula>0.5</formula>
    </cfRule>
  </conditionalFormatting>
  <conditionalFormatting sqref="AV37">
    <cfRule type="cellIs" dxfId="34398" priority="106216" stopIfTrue="1" operator="equal">
      <formula>-1</formula>
    </cfRule>
  </conditionalFormatting>
  <conditionalFormatting sqref="AV37">
    <cfRule type="cellIs" dxfId="34397" priority="106217" stopIfTrue="1" operator="lessThan">
      <formula>0.5</formula>
    </cfRule>
  </conditionalFormatting>
  <conditionalFormatting sqref="AV37">
    <cfRule type="cellIs" dxfId="34396" priority="106218" stopIfTrue="1" operator="greaterThanOrEqual">
      <formula>0.5</formula>
    </cfRule>
  </conditionalFormatting>
  <conditionalFormatting sqref="AX17">
    <cfRule type="cellIs" dxfId="34395" priority="106219" stopIfTrue="1" operator="equal">
      <formula>-1</formula>
    </cfRule>
  </conditionalFormatting>
  <conditionalFormatting sqref="AX17">
    <cfRule type="cellIs" dxfId="34394" priority="106220" stopIfTrue="1" operator="lessThan">
      <formula>0.5</formula>
    </cfRule>
  </conditionalFormatting>
  <conditionalFormatting sqref="AX17">
    <cfRule type="cellIs" dxfId="34393" priority="106221" stopIfTrue="1" operator="greaterThanOrEqual">
      <formula>0.5</formula>
    </cfRule>
  </conditionalFormatting>
  <conditionalFormatting sqref="AX18">
    <cfRule type="cellIs" dxfId="34392" priority="106222" stopIfTrue="1" operator="equal">
      <formula>-1</formula>
    </cfRule>
  </conditionalFormatting>
  <conditionalFormatting sqref="AX18">
    <cfRule type="cellIs" dxfId="34391" priority="106223" stopIfTrue="1" operator="lessThan">
      <formula>0.5</formula>
    </cfRule>
  </conditionalFormatting>
  <conditionalFormatting sqref="AX18">
    <cfRule type="cellIs" dxfId="34390" priority="106224" stopIfTrue="1" operator="greaterThanOrEqual">
      <formula>0.5</formula>
    </cfRule>
  </conditionalFormatting>
  <conditionalFormatting sqref="AX19">
    <cfRule type="cellIs" dxfId="34389" priority="106225" stopIfTrue="1" operator="equal">
      <formula>-1</formula>
    </cfRule>
  </conditionalFormatting>
  <conditionalFormatting sqref="AX19">
    <cfRule type="cellIs" dxfId="34388" priority="106226" stopIfTrue="1" operator="lessThan">
      <formula>0.5</formula>
    </cfRule>
  </conditionalFormatting>
  <conditionalFormatting sqref="AX19">
    <cfRule type="cellIs" dxfId="34387" priority="106227" stopIfTrue="1" operator="greaterThanOrEqual">
      <formula>0.5</formula>
    </cfRule>
  </conditionalFormatting>
  <conditionalFormatting sqref="AX20">
    <cfRule type="cellIs" dxfId="34386" priority="106228" stopIfTrue="1" operator="equal">
      <formula>-1</formula>
    </cfRule>
  </conditionalFormatting>
  <conditionalFormatting sqref="AX20">
    <cfRule type="cellIs" dxfId="34385" priority="106229" stopIfTrue="1" operator="lessThan">
      <formula>0.5</formula>
    </cfRule>
  </conditionalFormatting>
  <conditionalFormatting sqref="AX20">
    <cfRule type="cellIs" dxfId="34384" priority="106230" stopIfTrue="1" operator="greaterThanOrEqual">
      <formula>0.5</formula>
    </cfRule>
  </conditionalFormatting>
  <conditionalFormatting sqref="AX21">
    <cfRule type="cellIs" dxfId="34383" priority="106231" stopIfTrue="1" operator="equal">
      <formula>-1</formula>
    </cfRule>
  </conditionalFormatting>
  <conditionalFormatting sqref="AX21">
    <cfRule type="cellIs" dxfId="34382" priority="106232" stopIfTrue="1" operator="lessThan">
      <formula>0.5</formula>
    </cfRule>
  </conditionalFormatting>
  <conditionalFormatting sqref="AX21">
    <cfRule type="cellIs" dxfId="34381" priority="106233" stopIfTrue="1" operator="greaterThanOrEqual">
      <formula>0.5</formula>
    </cfRule>
  </conditionalFormatting>
  <conditionalFormatting sqref="AX22">
    <cfRule type="cellIs" dxfId="34380" priority="106234" stopIfTrue="1" operator="equal">
      <formula>-1</formula>
    </cfRule>
  </conditionalFormatting>
  <conditionalFormatting sqref="AX22">
    <cfRule type="cellIs" dxfId="34379" priority="106235" stopIfTrue="1" operator="lessThan">
      <formula>0.5</formula>
    </cfRule>
  </conditionalFormatting>
  <conditionalFormatting sqref="AX22">
    <cfRule type="cellIs" dxfId="34378" priority="106236" stopIfTrue="1" operator="greaterThanOrEqual">
      <formula>0.5</formula>
    </cfRule>
  </conditionalFormatting>
  <conditionalFormatting sqref="AX23">
    <cfRule type="cellIs" dxfId="34377" priority="106237" stopIfTrue="1" operator="equal">
      <formula>-1</formula>
    </cfRule>
  </conditionalFormatting>
  <conditionalFormatting sqref="AX23">
    <cfRule type="cellIs" dxfId="34376" priority="106238" stopIfTrue="1" operator="lessThan">
      <formula>0.5</formula>
    </cfRule>
  </conditionalFormatting>
  <conditionalFormatting sqref="AX23">
    <cfRule type="cellIs" dxfId="34375" priority="106239" stopIfTrue="1" operator="greaterThanOrEqual">
      <formula>0.5</formula>
    </cfRule>
  </conditionalFormatting>
  <conditionalFormatting sqref="AX24">
    <cfRule type="cellIs" dxfId="34374" priority="106240" stopIfTrue="1" operator="equal">
      <formula>-1</formula>
    </cfRule>
  </conditionalFormatting>
  <conditionalFormatting sqref="AX24">
    <cfRule type="cellIs" dxfId="34373" priority="106241" stopIfTrue="1" operator="lessThan">
      <formula>0.5</formula>
    </cfRule>
  </conditionalFormatting>
  <conditionalFormatting sqref="AX24">
    <cfRule type="cellIs" dxfId="34372" priority="106242" stopIfTrue="1" operator="greaterThanOrEqual">
      <formula>0.5</formula>
    </cfRule>
  </conditionalFormatting>
  <conditionalFormatting sqref="AX25">
    <cfRule type="cellIs" dxfId="34371" priority="106243" stopIfTrue="1" operator="equal">
      <formula>-1</formula>
    </cfRule>
  </conditionalFormatting>
  <conditionalFormatting sqref="AX25">
    <cfRule type="cellIs" dxfId="34370" priority="106244" stopIfTrue="1" operator="lessThan">
      <formula>0.5</formula>
    </cfRule>
  </conditionalFormatting>
  <conditionalFormatting sqref="AX25">
    <cfRule type="cellIs" dxfId="34369" priority="106245" stopIfTrue="1" operator="greaterThanOrEqual">
      <formula>0.5</formula>
    </cfRule>
  </conditionalFormatting>
  <conditionalFormatting sqref="AX26">
    <cfRule type="cellIs" dxfId="34368" priority="106246" stopIfTrue="1" operator="equal">
      <formula>-1</formula>
    </cfRule>
  </conditionalFormatting>
  <conditionalFormatting sqref="AX26">
    <cfRule type="cellIs" dxfId="34367" priority="106247" stopIfTrue="1" operator="lessThan">
      <formula>0.5</formula>
    </cfRule>
  </conditionalFormatting>
  <conditionalFormatting sqref="AX26">
    <cfRule type="cellIs" dxfId="34366" priority="106248" stopIfTrue="1" operator="greaterThanOrEqual">
      <formula>0.5</formula>
    </cfRule>
  </conditionalFormatting>
  <conditionalFormatting sqref="AX27">
    <cfRule type="cellIs" dxfId="34365" priority="106249" stopIfTrue="1" operator="equal">
      <formula>-1</formula>
    </cfRule>
  </conditionalFormatting>
  <conditionalFormatting sqref="AX27">
    <cfRule type="cellIs" dxfId="34364" priority="106250" stopIfTrue="1" operator="lessThan">
      <formula>0.5</formula>
    </cfRule>
  </conditionalFormatting>
  <conditionalFormatting sqref="AX27">
    <cfRule type="cellIs" dxfId="34363" priority="106251" stopIfTrue="1" operator="greaterThanOrEqual">
      <formula>0.5</formula>
    </cfRule>
  </conditionalFormatting>
  <conditionalFormatting sqref="AX28">
    <cfRule type="cellIs" dxfId="34362" priority="106252" stopIfTrue="1" operator="equal">
      <formula>-1</formula>
    </cfRule>
  </conditionalFormatting>
  <conditionalFormatting sqref="AX28">
    <cfRule type="cellIs" dxfId="34361" priority="106253" stopIfTrue="1" operator="lessThan">
      <formula>0.5</formula>
    </cfRule>
  </conditionalFormatting>
  <conditionalFormatting sqref="AX28">
    <cfRule type="cellIs" dxfId="34360" priority="106254" stopIfTrue="1" operator="greaterThanOrEqual">
      <formula>0.5</formula>
    </cfRule>
  </conditionalFormatting>
  <conditionalFormatting sqref="AX29">
    <cfRule type="cellIs" dxfId="34359" priority="106255" stopIfTrue="1" operator="equal">
      <formula>-1</formula>
    </cfRule>
  </conditionalFormatting>
  <conditionalFormatting sqref="AX29">
    <cfRule type="cellIs" dxfId="34358" priority="106256" stopIfTrue="1" operator="lessThan">
      <formula>0.5</formula>
    </cfRule>
  </conditionalFormatting>
  <conditionalFormatting sqref="AX29">
    <cfRule type="cellIs" dxfId="34357" priority="106257" stopIfTrue="1" operator="greaterThanOrEqual">
      <formula>0.5</formula>
    </cfRule>
  </conditionalFormatting>
  <conditionalFormatting sqref="AX30">
    <cfRule type="cellIs" dxfId="34356" priority="106258" stopIfTrue="1" operator="equal">
      <formula>-1</formula>
    </cfRule>
  </conditionalFormatting>
  <conditionalFormatting sqref="AX30">
    <cfRule type="cellIs" dxfId="34355" priority="106259" stopIfTrue="1" operator="lessThan">
      <formula>0.5</formula>
    </cfRule>
  </conditionalFormatting>
  <conditionalFormatting sqref="AX30">
    <cfRule type="cellIs" dxfId="34354" priority="106260" stopIfTrue="1" operator="greaterThanOrEqual">
      <formula>0.5</formula>
    </cfRule>
  </conditionalFormatting>
  <conditionalFormatting sqref="AX31">
    <cfRule type="cellIs" dxfId="34353" priority="106261" stopIfTrue="1" operator="equal">
      <formula>-1</formula>
    </cfRule>
  </conditionalFormatting>
  <conditionalFormatting sqref="AX31">
    <cfRule type="cellIs" dxfId="34352" priority="106262" stopIfTrue="1" operator="lessThan">
      <formula>0.5</formula>
    </cfRule>
  </conditionalFormatting>
  <conditionalFormatting sqref="AX31">
    <cfRule type="cellIs" dxfId="34351" priority="106263" stopIfTrue="1" operator="greaterThanOrEqual">
      <formula>0.5</formula>
    </cfRule>
  </conditionalFormatting>
  <conditionalFormatting sqref="AX32">
    <cfRule type="cellIs" dxfId="34350" priority="106264" stopIfTrue="1" operator="equal">
      <formula>-1</formula>
    </cfRule>
  </conditionalFormatting>
  <conditionalFormatting sqref="AX32">
    <cfRule type="cellIs" dxfId="34349" priority="106265" stopIfTrue="1" operator="lessThan">
      <formula>0.5</formula>
    </cfRule>
  </conditionalFormatting>
  <conditionalFormatting sqref="AX32">
    <cfRule type="cellIs" dxfId="34348" priority="106266" stopIfTrue="1" operator="greaterThanOrEqual">
      <formula>0.5</formula>
    </cfRule>
  </conditionalFormatting>
  <conditionalFormatting sqref="AX33">
    <cfRule type="cellIs" dxfId="34347" priority="106267" stopIfTrue="1" operator="equal">
      <formula>-1</formula>
    </cfRule>
  </conditionalFormatting>
  <conditionalFormatting sqref="AX33">
    <cfRule type="cellIs" dxfId="34346" priority="106268" stopIfTrue="1" operator="lessThan">
      <formula>0.5</formula>
    </cfRule>
  </conditionalFormatting>
  <conditionalFormatting sqref="AX33">
    <cfRule type="cellIs" dxfId="34345" priority="106269" stopIfTrue="1" operator="greaterThanOrEqual">
      <formula>0.5</formula>
    </cfRule>
  </conditionalFormatting>
  <conditionalFormatting sqref="AX34">
    <cfRule type="cellIs" dxfId="34344" priority="106270" stopIfTrue="1" operator="equal">
      <formula>-1</formula>
    </cfRule>
  </conditionalFormatting>
  <conditionalFormatting sqref="AX34">
    <cfRule type="cellIs" dxfId="34343" priority="106271" stopIfTrue="1" operator="lessThan">
      <formula>0.5</formula>
    </cfRule>
  </conditionalFormatting>
  <conditionalFormatting sqref="AX34">
    <cfRule type="cellIs" dxfId="34342" priority="106272" stopIfTrue="1" operator="greaterThanOrEqual">
      <formula>0.5</formula>
    </cfRule>
  </conditionalFormatting>
  <conditionalFormatting sqref="AX35">
    <cfRule type="cellIs" dxfId="34341" priority="106273" stopIfTrue="1" operator="equal">
      <formula>-1</formula>
    </cfRule>
  </conditionalFormatting>
  <conditionalFormatting sqref="AX35">
    <cfRule type="cellIs" dxfId="34340" priority="106274" stopIfTrue="1" operator="lessThan">
      <formula>0.5</formula>
    </cfRule>
  </conditionalFormatting>
  <conditionalFormatting sqref="AX35">
    <cfRule type="cellIs" dxfId="34339" priority="106275" stopIfTrue="1" operator="greaterThanOrEqual">
      <formula>0.5</formula>
    </cfRule>
  </conditionalFormatting>
  <conditionalFormatting sqref="AX36">
    <cfRule type="cellIs" dxfId="34338" priority="106276" stopIfTrue="1" operator="equal">
      <formula>-1</formula>
    </cfRule>
  </conditionalFormatting>
  <conditionalFormatting sqref="AX36">
    <cfRule type="cellIs" dxfId="34337" priority="106277" stopIfTrue="1" operator="lessThan">
      <formula>0.5</formula>
    </cfRule>
  </conditionalFormatting>
  <conditionalFormatting sqref="AX36">
    <cfRule type="cellIs" dxfId="34336" priority="106278" stopIfTrue="1" operator="greaterThanOrEqual">
      <formula>0.5</formula>
    </cfRule>
  </conditionalFormatting>
  <conditionalFormatting sqref="AX37">
    <cfRule type="cellIs" dxfId="34335" priority="106279" stopIfTrue="1" operator="equal">
      <formula>-1</formula>
    </cfRule>
  </conditionalFormatting>
  <conditionalFormatting sqref="AX37">
    <cfRule type="cellIs" dxfId="34334" priority="106280" stopIfTrue="1" operator="lessThan">
      <formula>0.5</formula>
    </cfRule>
  </conditionalFormatting>
  <conditionalFormatting sqref="AX37">
    <cfRule type="cellIs" dxfId="34333" priority="106281" stopIfTrue="1" operator="greaterThanOrEqual">
      <formula>0.5</formula>
    </cfRule>
  </conditionalFormatting>
  <conditionalFormatting sqref="AZ17">
    <cfRule type="cellIs" dxfId="34332" priority="106282" stopIfTrue="1" operator="equal">
      <formula>-1</formula>
    </cfRule>
  </conditionalFormatting>
  <conditionalFormatting sqref="AZ17">
    <cfRule type="cellIs" dxfId="34331" priority="106283" stopIfTrue="1" operator="lessThan">
      <formula>0.5</formula>
    </cfRule>
  </conditionalFormatting>
  <conditionalFormatting sqref="AZ17">
    <cfRule type="cellIs" dxfId="34330" priority="106284" stopIfTrue="1" operator="greaterThanOrEqual">
      <formula>0.5</formula>
    </cfRule>
  </conditionalFormatting>
  <conditionalFormatting sqref="AZ18">
    <cfRule type="cellIs" dxfId="34329" priority="106285" stopIfTrue="1" operator="equal">
      <formula>-1</formula>
    </cfRule>
  </conditionalFormatting>
  <conditionalFormatting sqref="AZ18">
    <cfRule type="cellIs" dxfId="34328" priority="106286" stopIfTrue="1" operator="lessThan">
      <formula>0.5</formula>
    </cfRule>
  </conditionalFormatting>
  <conditionalFormatting sqref="AZ18">
    <cfRule type="cellIs" dxfId="34327" priority="106287" stopIfTrue="1" operator="greaterThanOrEqual">
      <formula>0.5</formula>
    </cfRule>
  </conditionalFormatting>
  <conditionalFormatting sqref="AZ19">
    <cfRule type="cellIs" dxfId="34326" priority="106288" stopIfTrue="1" operator="equal">
      <formula>-1</formula>
    </cfRule>
  </conditionalFormatting>
  <conditionalFormatting sqref="AZ19">
    <cfRule type="cellIs" dxfId="34325" priority="106289" stopIfTrue="1" operator="lessThan">
      <formula>0.5</formula>
    </cfRule>
  </conditionalFormatting>
  <conditionalFormatting sqref="AZ19">
    <cfRule type="cellIs" dxfId="34324" priority="106290" stopIfTrue="1" operator="greaterThanOrEqual">
      <formula>0.5</formula>
    </cfRule>
  </conditionalFormatting>
  <conditionalFormatting sqref="AZ20">
    <cfRule type="cellIs" dxfId="34323" priority="106291" stopIfTrue="1" operator="equal">
      <formula>-1</formula>
    </cfRule>
  </conditionalFormatting>
  <conditionalFormatting sqref="AZ20">
    <cfRule type="cellIs" dxfId="34322" priority="106292" stopIfTrue="1" operator="lessThan">
      <formula>0.5</formula>
    </cfRule>
  </conditionalFormatting>
  <conditionalFormatting sqref="AZ20">
    <cfRule type="cellIs" dxfId="34321" priority="106293" stopIfTrue="1" operator="greaterThanOrEqual">
      <formula>0.5</formula>
    </cfRule>
  </conditionalFormatting>
  <conditionalFormatting sqref="AZ21">
    <cfRule type="cellIs" dxfId="34320" priority="106294" stopIfTrue="1" operator="equal">
      <formula>-1</formula>
    </cfRule>
  </conditionalFormatting>
  <conditionalFormatting sqref="AZ21">
    <cfRule type="cellIs" dxfId="34319" priority="106295" stopIfTrue="1" operator="lessThan">
      <formula>0.5</formula>
    </cfRule>
  </conditionalFormatting>
  <conditionalFormatting sqref="AZ21">
    <cfRule type="cellIs" dxfId="34318" priority="106296" stopIfTrue="1" operator="greaterThanOrEqual">
      <formula>0.5</formula>
    </cfRule>
  </conditionalFormatting>
  <conditionalFormatting sqref="AZ22">
    <cfRule type="cellIs" dxfId="34317" priority="106297" stopIfTrue="1" operator="equal">
      <formula>-1</formula>
    </cfRule>
  </conditionalFormatting>
  <conditionalFormatting sqref="AZ22">
    <cfRule type="cellIs" dxfId="34316" priority="106298" stopIfTrue="1" operator="lessThan">
      <formula>0.5</formula>
    </cfRule>
  </conditionalFormatting>
  <conditionalFormatting sqref="AZ22">
    <cfRule type="cellIs" dxfId="34315" priority="106299" stopIfTrue="1" operator="greaterThanOrEqual">
      <formula>0.5</formula>
    </cfRule>
  </conditionalFormatting>
  <conditionalFormatting sqref="AZ23">
    <cfRule type="cellIs" dxfId="34314" priority="106300" stopIfTrue="1" operator="equal">
      <formula>-1</formula>
    </cfRule>
  </conditionalFormatting>
  <conditionalFormatting sqref="AZ23">
    <cfRule type="cellIs" dxfId="34313" priority="106301" stopIfTrue="1" operator="lessThan">
      <formula>0.5</formula>
    </cfRule>
  </conditionalFormatting>
  <conditionalFormatting sqref="AZ23">
    <cfRule type="cellIs" dxfId="34312" priority="106302" stopIfTrue="1" operator="greaterThanOrEqual">
      <formula>0.5</formula>
    </cfRule>
  </conditionalFormatting>
  <conditionalFormatting sqref="AZ24">
    <cfRule type="cellIs" dxfId="34311" priority="106303" stopIfTrue="1" operator="equal">
      <formula>-1</formula>
    </cfRule>
  </conditionalFormatting>
  <conditionalFormatting sqref="AZ24">
    <cfRule type="cellIs" dxfId="34310" priority="106304" stopIfTrue="1" operator="lessThan">
      <formula>0.5</formula>
    </cfRule>
  </conditionalFormatting>
  <conditionalFormatting sqref="AZ24">
    <cfRule type="cellIs" dxfId="34309" priority="106305" stopIfTrue="1" operator="greaterThanOrEqual">
      <formula>0.5</formula>
    </cfRule>
  </conditionalFormatting>
  <conditionalFormatting sqref="AZ25">
    <cfRule type="cellIs" dxfId="34308" priority="106306" stopIfTrue="1" operator="equal">
      <formula>-1</formula>
    </cfRule>
  </conditionalFormatting>
  <conditionalFormatting sqref="AZ25">
    <cfRule type="cellIs" dxfId="34307" priority="106307" stopIfTrue="1" operator="lessThan">
      <formula>0.5</formula>
    </cfRule>
  </conditionalFormatting>
  <conditionalFormatting sqref="AZ25">
    <cfRule type="cellIs" dxfId="34306" priority="106308" stopIfTrue="1" operator="greaterThanOrEqual">
      <formula>0.5</formula>
    </cfRule>
  </conditionalFormatting>
  <conditionalFormatting sqref="AZ26">
    <cfRule type="cellIs" dxfId="34305" priority="106309" stopIfTrue="1" operator="equal">
      <formula>-1</formula>
    </cfRule>
  </conditionalFormatting>
  <conditionalFormatting sqref="AZ26">
    <cfRule type="cellIs" dxfId="34304" priority="106310" stopIfTrue="1" operator="lessThan">
      <formula>0.5</formula>
    </cfRule>
  </conditionalFormatting>
  <conditionalFormatting sqref="AZ26">
    <cfRule type="cellIs" dxfId="34303" priority="106311" stopIfTrue="1" operator="greaterThanOrEqual">
      <formula>0.5</formula>
    </cfRule>
  </conditionalFormatting>
  <conditionalFormatting sqref="AZ27">
    <cfRule type="cellIs" dxfId="34302" priority="106312" stopIfTrue="1" operator="equal">
      <formula>-1</formula>
    </cfRule>
  </conditionalFormatting>
  <conditionalFormatting sqref="AZ27">
    <cfRule type="cellIs" dxfId="34301" priority="106313" stopIfTrue="1" operator="lessThan">
      <formula>0.5</formula>
    </cfRule>
  </conditionalFormatting>
  <conditionalFormatting sqref="AZ27">
    <cfRule type="cellIs" dxfId="34300" priority="106314" stopIfTrue="1" operator="greaterThanOrEqual">
      <formula>0.5</formula>
    </cfRule>
  </conditionalFormatting>
  <conditionalFormatting sqref="AZ28">
    <cfRule type="cellIs" dxfId="34299" priority="106315" stopIfTrue="1" operator="equal">
      <formula>-1</formula>
    </cfRule>
  </conditionalFormatting>
  <conditionalFormatting sqref="AZ28">
    <cfRule type="cellIs" dxfId="34298" priority="106316" stopIfTrue="1" operator="lessThan">
      <formula>0.5</formula>
    </cfRule>
  </conditionalFormatting>
  <conditionalFormatting sqref="AZ28">
    <cfRule type="cellIs" dxfId="34297" priority="106317" stopIfTrue="1" operator="greaterThanOrEqual">
      <formula>0.5</formula>
    </cfRule>
  </conditionalFormatting>
  <conditionalFormatting sqref="AZ29">
    <cfRule type="cellIs" dxfId="34296" priority="106318" stopIfTrue="1" operator="equal">
      <formula>-1</formula>
    </cfRule>
  </conditionalFormatting>
  <conditionalFormatting sqref="AZ29">
    <cfRule type="cellIs" dxfId="34295" priority="106319" stopIfTrue="1" operator="lessThan">
      <formula>0.5</formula>
    </cfRule>
  </conditionalFormatting>
  <conditionalFormatting sqref="AZ29">
    <cfRule type="cellIs" dxfId="34294" priority="106320" stopIfTrue="1" operator="greaterThanOrEqual">
      <formula>0.5</formula>
    </cfRule>
  </conditionalFormatting>
  <conditionalFormatting sqref="AZ30">
    <cfRule type="cellIs" dxfId="34293" priority="106321" stopIfTrue="1" operator="equal">
      <formula>-1</formula>
    </cfRule>
  </conditionalFormatting>
  <conditionalFormatting sqref="AZ30">
    <cfRule type="cellIs" dxfId="34292" priority="106322" stopIfTrue="1" operator="lessThan">
      <formula>0.5</formula>
    </cfRule>
  </conditionalFormatting>
  <conditionalFormatting sqref="AZ30">
    <cfRule type="cellIs" dxfId="34291" priority="106323" stopIfTrue="1" operator="greaterThanOrEqual">
      <formula>0.5</formula>
    </cfRule>
  </conditionalFormatting>
  <conditionalFormatting sqref="AZ31">
    <cfRule type="cellIs" dxfId="34290" priority="106324" stopIfTrue="1" operator="equal">
      <formula>-1</formula>
    </cfRule>
  </conditionalFormatting>
  <conditionalFormatting sqref="AZ31">
    <cfRule type="cellIs" dxfId="34289" priority="106325" stopIfTrue="1" operator="lessThan">
      <formula>0.5</formula>
    </cfRule>
  </conditionalFormatting>
  <conditionalFormatting sqref="AZ31">
    <cfRule type="cellIs" dxfId="34288" priority="106326" stopIfTrue="1" operator="greaterThanOrEqual">
      <formula>0.5</formula>
    </cfRule>
  </conditionalFormatting>
  <conditionalFormatting sqref="AZ32">
    <cfRule type="cellIs" dxfId="34287" priority="106327" stopIfTrue="1" operator="equal">
      <formula>-1</formula>
    </cfRule>
  </conditionalFormatting>
  <conditionalFormatting sqref="AZ32">
    <cfRule type="cellIs" dxfId="34286" priority="106328" stopIfTrue="1" operator="lessThan">
      <formula>0.5</formula>
    </cfRule>
  </conditionalFormatting>
  <conditionalFormatting sqref="AZ32">
    <cfRule type="cellIs" dxfId="34285" priority="106329" stopIfTrue="1" operator="greaterThanOrEqual">
      <formula>0.5</formula>
    </cfRule>
  </conditionalFormatting>
  <conditionalFormatting sqref="AZ33">
    <cfRule type="cellIs" dxfId="34284" priority="106330" stopIfTrue="1" operator="equal">
      <formula>-1</formula>
    </cfRule>
  </conditionalFormatting>
  <conditionalFormatting sqref="AZ33">
    <cfRule type="cellIs" dxfId="34283" priority="106331" stopIfTrue="1" operator="lessThan">
      <formula>0.5</formula>
    </cfRule>
  </conditionalFormatting>
  <conditionalFormatting sqref="AZ33">
    <cfRule type="cellIs" dxfId="34282" priority="106332" stopIfTrue="1" operator="greaterThanOrEqual">
      <formula>0.5</formula>
    </cfRule>
  </conditionalFormatting>
  <conditionalFormatting sqref="AZ34">
    <cfRule type="cellIs" dxfId="34281" priority="106333" stopIfTrue="1" operator="equal">
      <formula>-1</formula>
    </cfRule>
  </conditionalFormatting>
  <conditionalFormatting sqref="AZ34">
    <cfRule type="cellIs" dxfId="34280" priority="106334" stopIfTrue="1" operator="lessThan">
      <formula>0.5</formula>
    </cfRule>
  </conditionalFormatting>
  <conditionalFormatting sqref="AZ34">
    <cfRule type="cellIs" dxfId="34279" priority="106335" stopIfTrue="1" operator="greaterThanOrEqual">
      <formula>0.5</formula>
    </cfRule>
  </conditionalFormatting>
  <conditionalFormatting sqref="AZ35">
    <cfRule type="cellIs" dxfId="34278" priority="106336" stopIfTrue="1" operator="equal">
      <formula>-1</formula>
    </cfRule>
  </conditionalFormatting>
  <conditionalFormatting sqref="AZ35">
    <cfRule type="cellIs" dxfId="34277" priority="106337" stopIfTrue="1" operator="lessThan">
      <formula>0.5</formula>
    </cfRule>
  </conditionalFormatting>
  <conditionalFormatting sqref="AZ35">
    <cfRule type="cellIs" dxfId="34276" priority="106338" stopIfTrue="1" operator="greaterThanOrEqual">
      <formula>0.5</formula>
    </cfRule>
  </conditionalFormatting>
  <conditionalFormatting sqref="AZ36">
    <cfRule type="cellIs" dxfId="34275" priority="106339" stopIfTrue="1" operator="equal">
      <formula>-1</formula>
    </cfRule>
  </conditionalFormatting>
  <conditionalFormatting sqref="AZ36">
    <cfRule type="cellIs" dxfId="34274" priority="106340" stopIfTrue="1" operator="lessThan">
      <formula>0.5</formula>
    </cfRule>
  </conditionalFormatting>
  <conditionalFormatting sqref="AZ36">
    <cfRule type="cellIs" dxfId="34273" priority="106341" stopIfTrue="1" operator="greaterThanOrEqual">
      <formula>0.5</formula>
    </cfRule>
  </conditionalFormatting>
  <conditionalFormatting sqref="AZ37">
    <cfRule type="cellIs" dxfId="34272" priority="106342" stopIfTrue="1" operator="equal">
      <formula>-1</formula>
    </cfRule>
  </conditionalFormatting>
  <conditionalFormatting sqref="AZ37">
    <cfRule type="cellIs" dxfId="34271" priority="106343" stopIfTrue="1" operator="lessThan">
      <formula>0.5</formula>
    </cfRule>
  </conditionalFormatting>
  <conditionalFormatting sqref="AZ37">
    <cfRule type="cellIs" dxfId="34270" priority="106344" stopIfTrue="1" operator="greaterThanOrEqual">
      <formula>0.5</formula>
    </cfRule>
  </conditionalFormatting>
  <conditionalFormatting sqref="BB17">
    <cfRule type="cellIs" dxfId="34269" priority="106345" stopIfTrue="1" operator="equal">
      <formula>-1</formula>
    </cfRule>
  </conditionalFormatting>
  <conditionalFormatting sqref="BB17">
    <cfRule type="cellIs" dxfId="34268" priority="106346" stopIfTrue="1" operator="lessThan">
      <formula>0.5</formula>
    </cfRule>
  </conditionalFormatting>
  <conditionalFormatting sqref="BB17">
    <cfRule type="cellIs" dxfId="34267" priority="106347" stopIfTrue="1" operator="greaterThanOrEqual">
      <formula>0.5</formula>
    </cfRule>
  </conditionalFormatting>
  <conditionalFormatting sqref="BB18">
    <cfRule type="cellIs" dxfId="34266" priority="106348" stopIfTrue="1" operator="equal">
      <formula>-1</formula>
    </cfRule>
  </conditionalFormatting>
  <conditionalFormatting sqref="BB18">
    <cfRule type="cellIs" dxfId="34265" priority="106349" stopIfTrue="1" operator="lessThan">
      <formula>0.5</formula>
    </cfRule>
  </conditionalFormatting>
  <conditionalFormatting sqref="BB18">
    <cfRule type="cellIs" dxfId="34264" priority="106350" stopIfTrue="1" operator="greaterThanOrEqual">
      <formula>0.5</formula>
    </cfRule>
  </conditionalFormatting>
  <conditionalFormatting sqref="BB19">
    <cfRule type="cellIs" dxfId="34263" priority="106351" stopIfTrue="1" operator="equal">
      <formula>-1</formula>
    </cfRule>
  </conditionalFormatting>
  <conditionalFormatting sqref="BB19">
    <cfRule type="cellIs" dxfId="34262" priority="106352" stopIfTrue="1" operator="lessThan">
      <formula>0.5</formula>
    </cfRule>
  </conditionalFormatting>
  <conditionalFormatting sqref="BB19">
    <cfRule type="cellIs" dxfId="34261" priority="106353" stopIfTrue="1" operator="greaterThanOrEqual">
      <formula>0.5</formula>
    </cfRule>
  </conditionalFormatting>
  <conditionalFormatting sqref="BB20">
    <cfRule type="cellIs" dxfId="34260" priority="106354" stopIfTrue="1" operator="equal">
      <formula>-1</formula>
    </cfRule>
  </conditionalFormatting>
  <conditionalFormatting sqref="BB20">
    <cfRule type="cellIs" dxfId="34259" priority="106355" stopIfTrue="1" operator="lessThan">
      <formula>0.5</formula>
    </cfRule>
  </conditionalFormatting>
  <conditionalFormatting sqref="BB20">
    <cfRule type="cellIs" dxfId="34258" priority="106356" stopIfTrue="1" operator="greaterThanOrEqual">
      <formula>0.5</formula>
    </cfRule>
  </conditionalFormatting>
  <conditionalFormatting sqref="BB21">
    <cfRule type="cellIs" dxfId="34257" priority="106357" stopIfTrue="1" operator="equal">
      <formula>-1</formula>
    </cfRule>
  </conditionalFormatting>
  <conditionalFormatting sqref="BB21">
    <cfRule type="cellIs" dxfId="34256" priority="106358" stopIfTrue="1" operator="lessThan">
      <formula>0.5</formula>
    </cfRule>
  </conditionalFormatting>
  <conditionalFormatting sqref="BB21">
    <cfRule type="cellIs" dxfId="34255" priority="106359" stopIfTrue="1" operator="greaterThanOrEqual">
      <formula>0.5</formula>
    </cfRule>
  </conditionalFormatting>
  <conditionalFormatting sqref="BB22">
    <cfRule type="cellIs" dxfId="34254" priority="106360" stopIfTrue="1" operator="equal">
      <formula>-1</formula>
    </cfRule>
  </conditionalFormatting>
  <conditionalFormatting sqref="BB22">
    <cfRule type="cellIs" dxfId="34253" priority="106361" stopIfTrue="1" operator="lessThan">
      <formula>0.5</formula>
    </cfRule>
  </conditionalFormatting>
  <conditionalFormatting sqref="BB22">
    <cfRule type="cellIs" dxfId="34252" priority="106362" stopIfTrue="1" operator="greaterThanOrEqual">
      <formula>0.5</formula>
    </cfRule>
  </conditionalFormatting>
  <conditionalFormatting sqref="BB23">
    <cfRule type="cellIs" dxfId="34251" priority="106363" stopIfTrue="1" operator="equal">
      <formula>-1</formula>
    </cfRule>
  </conditionalFormatting>
  <conditionalFormatting sqref="BB23">
    <cfRule type="cellIs" dxfId="34250" priority="106364" stopIfTrue="1" operator="lessThan">
      <formula>0.5</formula>
    </cfRule>
  </conditionalFormatting>
  <conditionalFormatting sqref="BB23">
    <cfRule type="cellIs" dxfId="34249" priority="106365" stopIfTrue="1" operator="greaterThanOrEqual">
      <formula>0.5</formula>
    </cfRule>
  </conditionalFormatting>
  <conditionalFormatting sqref="BB24">
    <cfRule type="cellIs" dxfId="34248" priority="106366" stopIfTrue="1" operator="equal">
      <formula>-1</formula>
    </cfRule>
  </conditionalFormatting>
  <conditionalFormatting sqref="BB24">
    <cfRule type="cellIs" dxfId="34247" priority="106367" stopIfTrue="1" operator="lessThan">
      <formula>0.5</formula>
    </cfRule>
  </conditionalFormatting>
  <conditionalFormatting sqref="BB24">
    <cfRule type="cellIs" dxfId="34246" priority="106368" stopIfTrue="1" operator="greaterThanOrEqual">
      <formula>0.5</formula>
    </cfRule>
  </conditionalFormatting>
  <conditionalFormatting sqref="BB25">
    <cfRule type="cellIs" dxfId="34245" priority="106369" stopIfTrue="1" operator="equal">
      <formula>-1</formula>
    </cfRule>
  </conditionalFormatting>
  <conditionalFormatting sqref="BB25">
    <cfRule type="cellIs" dxfId="34244" priority="106370" stopIfTrue="1" operator="lessThan">
      <formula>0.5</formula>
    </cfRule>
  </conditionalFormatting>
  <conditionalFormatting sqref="BB25">
    <cfRule type="cellIs" dxfId="34243" priority="106371" stopIfTrue="1" operator="greaterThanOrEqual">
      <formula>0.5</formula>
    </cfRule>
  </conditionalFormatting>
  <conditionalFormatting sqref="BB26">
    <cfRule type="cellIs" dxfId="34242" priority="106372" stopIfTrue="1" operator="equal">
      <formula>-1</formula>
    </cfRule>
  </conditionalFormatting>
  <conditionalFormatting sqref="BB26">
    <cfRule type="cellIs" dxfId="34241" priority="106373" stopIfTrue="1" operator="lessThan">
      <formula>0.5</formula>
    </cfRule>
  </conditionalFormatting>
  <conditionalFormatting sqref="BB26">
    <cfRule type="cellIs" dxfId="34240" priority="106374" stopIfTrue="1" operator="greaterThanOrEqual">
      <formula>0.5</formula>
    </cfRule>
  </conditionalFormatting>
  <conditionalFormatting sqref="BB27">
    <cfRule type="cellIs" dxfId="34239" priority="106375" stopIfTrue="1" operator="equal">
      <formula>-1</formula>
    </cfRule>
  </conditionalFormatting>
  <conditionalFormatting sqref="BB27">
    <cfRule type="cellIs" dxfId="34238" priority="106376" stopIfTrue="1" operator="lessThan">
      <formula>0.5</formula>
    </cfRule>
  </conditionalFormatting>
  <conditionalFormatting sqref="BB27">
    <cfRule type="cellIs" dxfId="34237" priority="106377" stopIfTrue="1" operator="greaterThanOrEqual">
      <formula>0.5</formula>
    </cfRule>
  </conditionalFormatting>
  <conditionalFormatting sqref="BB28">
    <cfRule type="cellIs" dxfId="34236" priority="106378" stopIfTrue="1" operator="equal">
      <formula>-1</formula>
    </cfRule>
  </conditionalFormatting>
  <conditionalFormatting sqref="BB28">
    <cfRule type="cellIs" dxfId="34235" priority="106379" stopIfTrue="1" operator="lessThan">
      <formula>0.5</formula>
    </cfRule>
  </conditionalFormatting>
  <conditionalFormatting sqref="BB28">
    <cfRule type="cellIs" dxfId="34234" priority="106380" stopIfTrue="1" operator="greaterThanOrEqual">
      <formula>0.5</formula>
    </cfRule>
  </conditionalFormatting>
  <conditionalFormatting sqref="BB29">
    <cfRule type="cellIs" dxfId="34233" priority="106381" stopIfTrue="1" operator="equal">
      <formula>-1</formula>
    </cfRule>
  </conditionalFormatting>
  <conditionalFormatting sqref="BB29">
    <cfRule type="cellIs" dxfId="34232" priority="106382" stopIfTrue="1" operator="lessThan">
      <formula>0.5</formula>
    </cfRule>
  </conditionalFormatting>
  <conditionalFormatting sqref="BB29">
    <cfRule type="cellIs" dxfId="34231" priority="106383" stopIfTrue="1" operator="greaterThanOrEqual">
      <formula>0.5</formula>
    </cfRule>
  </conditionalFormatting>
  <conditionalFormatting sqref="BB30">
    <cfRule type="cellIs" dxfId="34230" priority="106384" stopIfTrue="1" operator="equal">
      <formula>-1</formula>
    </cfRule>
  </conditionalFormatting>
  <conditionalFormatting sqref="BB30">
    <cfRule type="cellIs" dxfId="34229" priority="106385" stopIfTrue="1" operator="lessThan">
      <formula>0.5</formula>
    </cfRule>
  </conditionalFormatting>
  <conditionalFormatting sqref="BB30">
    <cfRule type="cellIs" dxfId="34228" priority="106386" stopIfTrue="1" operator="greaterThanOrEqual">
      <formula>0.5</formula>
    </cfRule>
  </conditionalFormatting>
  <conditionalFormatting sqref="BB31">
    <cfRule type="cellIs" dxfId="34227" priority="106387" stopIfTrue="1" operator="equal">
      <formula>-1</formula>
    </cfRule>
  </conditionalFormatting>
  <conditionalFormatting sqref="BB31">
    <cfRule type="cellIs" dxfId="34226" priority="106388" stopIfTrue="1" operator="lessThan">
      <formula>0.5</formula>
    </cfRule>
  </conditionalFormatting>
  <conditionalFormatting sqref="BB31">
    <cfRule type="cellIs" dxfId="34225" priority="106389" stopIfTrue="1" operator="greaterThanOrEqual">
      <formula>0.5</formula>
    </cfRule>
  </conditionalFormatting>
  <conditionalFormatting sqref="BB32">
    <cfRule type="cellIs" dxfId="34224" priority="106390" stopIfTrue="1" operator="equal">
      <formula>-1</formula>
    </cfRule>
  </conditionalFormatting>
  <conditionalFormatting sqref="BB32">
    <cfRule type="cellIs" dxfId="34223" priority="106391" stopIfTrue="1" operator="lessThan">
      <formula>0.5</formula>
    </cfRule>
  </conditionalFormatting>
  <conditionalFormatting sqref="BB32">
    <cfRule type="cellIs" dxfId="34222" priority="106392" stopIfTrue="1" operator="greaterThanOrEqual">
      <formula>0.5</formula>
    </cfRule>
  </conditionalFormatting>
  <conditionalFormatting sqref="BB33">
    <cfRule type="cellIs" dxfId="34221" priority="106393" stopIfTrue="1" operator="equal">
      <formula>-1</formula>
    </cfRule>
  </conditionalFormatting>
  <conditionalFormatting sqref="BB33">
    <cfRule type="cellIs" dxfId="34220" priority="106394" stopIfTrue="1" operator="lessThan">
      <formula>0.5</formula>
    </cfRule>
  </conditionalFormatting>
  <conditionalFormatting sqref="BB33">
    <cfRule type="cellIs" dxfId="34219" priority="106395" stopIfTrue="1" operator="greaterThanOrEqual">
      <formula>0.5</formula>
    </cfRule>
  </conditionalFormatting>
  <conditionalFormatting sqref="BB34">
    <cfRule type="cellIs" dxfId="34218" priority="106396" stopIfTrue="1" operator="equal">
      <formula>-1</formula>
    </cfRule>
  </conditionalFormatting>
  <conditionalFormatting sqref="BB34">
    <cfRule type="cellIs" dxfId="34217" priority="106397" stopIfTrue="1" operator="lessThan">
      <formula>0.5</formula>
    </cfRule>
  </conditionalFormatting>
  <conditionalFormatting sqref="BB34">
    <cfRule type="cellIs" dxfId="34216" priority="106398" stopIfTrue="1" operator="greaterThanOrEqual">
      <formula>0.5</formula>
    </cfRule>
  </conditionalFormatting>
  <conditionalFormatting sqref="BB35">
    <cfRule type="cellIs" dxfId="34215" priority="106399" stopIfTrue="1" operator="equal">
      <formula>-1</formula>
    </cfRule>
  </conditionalFormatting>
  <conditionalFormatting sqref="BB35">
    <cfRule type="cellIs" dxfId="34214" priority="106400" stopIfTrue="1" operator="lessThan">
      <formula>0.5</formula>
    </cfRule>
  </conditionalFormatting>
  <conditionalFormatting sqref="BB35">
    <cfRule type="cellIs" dxfId="34213" priority="106401" stopIfTrue="1" operator="greaterThanOrEqual">
      <formula>0.5</formula>
    </cfRule>
  </conditionalFormatting>
  <conditionalFormatting sqref="BB36">
    <cfRule type="cellIs" dxfId="34212" priority="106402" stopIfTrue="1" operator="equal">
      <formula>-1</formula>
    </cfRule>
  </conditionalFormatting>
  <conditionalFormatting sqref="BB36">
    <cfRule type="cellIs" dxfId="34211" priority="106403" stopIfTrue="1" operator="lessThan">
      <formula>0.5</formula>
    </cfRule>
  </conditionalFormatting>
  <conditionalFormatting sqref="BB36">
    <cfRule type="cellIs" dxfId="34210" priority="106404" stopIfTrue="1" operator="greaterThanOrEqual">
      <formula>0.5</formula>
    </cfRule>
  </conditionalFormatting>
  <conditionalFormatting sqref="BB37">
    <cfRule type="cellIs" dxfId="34209" priority="106405" stopIfTrue="1" operator="equal">
      <formula>-1</formula>
    </cfRule>
  </conditionalFormatting>
  <conditionalFormatting sqref="BB37">
    <cfRule type="cellIs" dxfId="34208" priority="106406" stopIfTrue="1" operator="lessThan">
      <formula>0.5</formula>
    </cfRule>
  </conditionalFormatting>
  <conditionalFormatting sqref="BB37">
    <cfRule type="cellIs" dxfId="34207" priority="106407" stopIfTrue="1" operator="greaterThanOrEqual">
      <formula>0.5</formula>
    </cfRule>
  </conditionalFormatting>
  <conditionalFormatting sqref="BD17">
    <cfRule type="cellIs" dxfId="34206" priority="106408" stopIfTrue="1" operator="equal">
      <formula>-1</formula>
    </cfRule>
  </conditionalFormatting>
  <conditionalFormatting sqref="BD17">
    <cfRule type="cellIs" dxfId="34205" priority="106409" stopIfTrue="1" operator="lessThan">
      <formula>0.5</formula>
    </cfRule>
  </conditionalFormatting>
  <conditionalFormatting sqref="BD17">
    <cfRule type="cellIs" dxfId="34204" priority="106410" stopIfTrue="1" operator="greaterThanOrEqual">
      <formula>0.5</formula>
    </cfRule>
  </conditionalFormatting>
  <conditionalFormatting sqref="BD18">
    <cfRule type="cellIs" dxfId="34203" priority="106411" stopIfTrue="1" operator="equal">
      <formula>-1</formula>
    </cfRule>
  </conditionalFormatting>
  <conditionalFormatting sqref="BD18">
    <cfRule type="cellIs" dxfId="34202" priority="106412" stopIfTrue="1" operator="lessThan">
      <formula>0.5</formula>
    </cfRule>
  </conditionalFormatting>
  <conditionalFormatting sqref="BD18">
    <cfRule type="cellIs" dxfId="34201" priority="106413" stopIfTrue="1" operator="greaterThanOrEqual">
      <formula>0.5</formula>
    </cfRule>
  </conditionalFormatting>
  <conditionalFormatting sqref="BD19">
    <cfRule type="cellIs" dxfId="34200" priority="106414" stopIfTrue="1" operator="equal">
      <formula>-1</formula>
    </cfRule>
  </conditionalFormatting>
  <conditionalFormatting sqref="BD19">
    <cfRule type="cellIs" dxfId="34199" priority="106415" stopIfTrue="1" operator="lessThan">
      <formula>0.5</formula>
    </cfRule>
  </conditionalFormatting>
  <conditionalFormatting sqref="BD19">
    <cfRule type="cellIs" dxfId="34198" priority="106416" stopIfTrue="1" operator="greaterThanOrEqual">
      <formula>0.5</formula>
    </cfRule>
  </conditionalFormatting>
  <conditionalFormatting sqref="BD20">
    <cfRule type="cellIs" dxfId="34197" priority="106417" stopIfTrue="1" operator="equal">
      <formula>-1</formula>
    </cfRule>
  </conditionalFormatting>
  <conditionalFormatting sqref="BD20">
    <cfRule type="cellIs" dxfId="34196" priority="106418" stopIfTrue="1" operator="lessThan">
      <formula>0.5</formula>
    </cfRule>
  </conditionalFormatting>
  <conditionalFormatting sqref="BD20">
    <cfRule type="cellIs" dxfId="34195" priority="106419" stopIfTrue="1" operator="greaterThanOrEqual">
      <formula>0.5</formula>
    </cfRule>
  </conditionalFormatting>
  <conditionalFormatting sqref="BD21">
    <cfRule type="cellIs" dxfId="34194" priority="106420" stopIfTrue="1" operator="equal">
      <formula>-1</formula>
    </cfRule>
  </conditionalFormatting>
  <conditionalFormatting sqref="BD21">
    <cfRule type="cellIs" dxfId="34193" priority="106421" stopIfTrue="1" operator="lessThan">
      <formula>0.5</formula>
    </cfRule>
  </conditionalFormatting>
  <conditionalFormatting sqref="BD21">
    <cfRule type="cellIs" dxfId="34192" priority="106422" stopIfTrue="1" operator="greaterThanOrEqual">
      <formula>0.5</formula>
    </cfRule>
  </conditionalFormatting>
  <conditionalFormatting sqref="BD22">
    <cfRule type="cellIs" dxfId="34191" priority="106423" stopIfTrue="1" operator="equal">
      <formula>-1</formula>
    </cfRule>
  </conditionalFormatting>
  <conditionalFormatting sqref="BD22">
    <cfRule type="cellIs" dxfId="34190" priority="106424" stopIfTrue="1" operator="lessThan">
      <formula>0.5</formula>
    </cfRule>
  </conditionalFormatting>
  <conditionalFormatting sqref="BD22">
    <cfRule type="cellIs" dxfId="34189" priority="106425" stopIfTrue="1" operator="greaterThanOrEqual">
      <formula>0.5</formula>
    </cfRule>
  </conditionalFormatting>
  <conditionalFormatting sqref="BD23">
    <cfRule type="cellIs" dxfId="34188" priority="106426" stopIfTrue="1" operator="equal">
      <formula>-1</formula>
    </cfRule>
  </conditionalFormatting>
  <conditionalFormatting sqref="BD23">
    <cfRule type="cellIs" dxfId="34187" priority="106427" stopIfTrue="1" operator="lessThan">
      <formula>0.5</formula>
    </cfRule>
  </conditionalFormatting>
  <conditionalFormatting sqref="BD23">
    <cfRule type="cellIs" dxfId="34186" priority="106428" stopIfTrue="1" operator="greaterThanOrEqual">
      <formula>0.5</formula>
    </cfRule>
  </conditionalFormatting>
  <conditionalFormatting sqref="BD24">
    <cfRule type="cellIs" dxfId="34185" priority="106429" stopIfTrue="1" operator="equal">
      <formula>-1</formula>
    </cfRule>
  </conditionalFormatting>
  <conditionalFormatting sqref="BD24">
    <cfRule type="cellIs" dxfId="34184" priority="106430" stopIfTrue="1" operator="lessThan">
      <formula>0.5</formula>
    </cfRule>
  </conditionalFormatting>
  <conditionalFormatting sqref="BD24">
    <cfRule type="cellIs" dxfId="34183" priority="106431" stopIfTrue="1" operator="greaterThanOrEqual">
      <formula>0.5</formula>
    </cfRule>
  </conditionalFormatting>
  <conditionalFormatting sqref="BD25">
    <cfRule type="cellIs" dxfId="34182" priority="106432" stopIfTrue="1" operator="equal">
      <formula>-1</formula>
    </cfRule>
  </conditionalFormatting>
  <conditionalFormatting sqref="BD25">
    <cfRule type="cellIs" dxfId="34181" priority="106433" stopIfTrue="1" operator="lessThan">
      <formula>0.5</formula>
    </cfRule>
  </conditionalFormatting>
  <conditionalFormatting sqref="BD25">
    <cfRule type="cellIs" dxfId="34180" priority="106434" stopIfTrue="1" operator="greaterThanOrEqual">
      <formula>0.5</formula>
    </cfRule>
  </conditionalFormatting>
  <conditionalFormatting sqref="BD26">
    <cfRule type="cellIs" dxfId="34179" priority="106435" stopIfTrue="1" operator="equal">
      <formula>-1</formula>
    </cfRule>
  </conditionalFormatting>
  <conditionalFormatting sqref="BD26">
    <cfRule type="cellIs" dxfId="34178" priority="106436" stopIfTrue="1" operator="lessThan">
      <formula>0.5</formula>
    </cfRule>
  </conditionalFormatting>
  <conditionalFormatting sqref="BD26">
    <cfRule type="cellIs" dxfId="34177" priority="106437" stopIfTrue="1" operator="greaterThanOrEqual">
      <formula>0.5</formula>
    </cfRule>
  </conditionalFormatting>
  <conditionalFormatting sqref="BD27">
    <cfRule type="cellIs" dxfId="34176" priority="106438" stopIfTrue="1" operator="equal">
      <formula>-1</formula>
    </cfRule>
  </conditionalFormatting>
  <conditionalFormatting sqref="BD27">
    <cfRule type="cellIs" dxfId="34175" priority="106439" stopIfTrue="1" operator="lessThan">
      <formula>0.5</formula>
    </cfRule>
  </conditionalFormatting>
  <conditionalFormatting sqref="BD27">
    <cfRule type="cellIs" dxfId="34174" priority="106440" stopIfTrue="1" operator="greaterThanOrEqual">
      <formula>0.5</formula>
    </cfRule>
  </conditionalFormatting>
  <conditionalFormatting sqref="BD28">
    <cfRule type="cellIs" dxfId="34173" priority="106441" stopIfTrue="1" operator="equal">
      <formula>-1</formula>
    </cfRule>
  </conditionalFormatting>
  <conditionalFormatting sqref="BD28">
    <cfRule type="cellIs" dxfId="34172" priority="106442" stopIfTrue="1" operator="lessThan">
      <formula>0.5</formula>
    </cfRule>
  </conditionalFormatting>
  <conditionalFormatting sqref="BD28">
    <cfRule type="cellIs" dxfId="34171" priority="106443" stopIfTrue="1" operator="greaterThanOrEqual">
      <formula>0.5</formula>
    </cfRule>
  </conditionalFormatting>
  <conditionalFormatting sqref="BD29">
    <cfRule type="cellIs" dxfId="34170" priority="106444" stopIfTrue="1" operator="equal">
      <formula>-1</formula>
    </cfRule>
  </conditionalFormatting>
  <conditionalFormatting sqref="BD29">
    <cfRule type="cellIs" dxfId="34169" priority="106445" stopIfTrue="1" operator="lessThan">
      <formula>0.5</formula>
    </cfRule>
  </conditionalFormatting>
  <conditionalFormatting sqref="BD29">
    <cfRule type="cellIs" dxfId="34168" priority="106446" stopIfTrue="1" operator="greaterThanOrEqual">
      <formula>0.5</formula>
    </cfRule>
  </conditionalFormatting>
  <conditionalFormatting sqref="BD30">
    <cfRule type="cellIs" dxfId="34167" priority="106447" stopIfTrue="1" operator="equal">
      <formula>-1</formula>
    </cfRule>
  </conditionalFormatting>
  <conditionalFormatting sqref="BD30">
    <cfRule type="cellIs" dxfId="34166" priority="106448" stopIfTrue="1" operator="lessThan">
      <formula>0.5</formula>
    </cfRule>
  </conditionalFormatting>
  <conditionalFormatting sqref="BD30">
    <cfRule type="cellIs" dxfId="34165" priority="106449" stopIfTrue="1" operator="greaterThanOrEqual">
      <formula>0.5</formula>
    </cfRule>
  </conditionalFormatting>
  <conditionalFormatting sqref="BD31">
    <cfRule type="cellIs" dxfId="34164" priority="106450" stopIfTrue="1" operator="equal">
      <formula>-1</formula>
    </cfRule>
  </conditionalFormatting>
  <conditionalFormatting sqref="BD31">
    <cfRule type="cellIs" dxfId="34163" priority="106451" stopIfTrue="1" operator="lessThan">
      <formula>0.5</formula>
    </cfRule>
  </conditionalFormatting>
  <conditionalFormatting sqref="BD31">
    <cfRule type="cellIs" dxfId="34162" priority="106452" stopIfTrue="1" operator="greaterThanOrEqual">
      <formula>0.5</formula>
    </cfRule>
  </conditionalFormatting>
  <conditionalFormatting sqref="BD32">
    <cfRule type="cellIs" dxfId="34161" priority="106453" stopIfTrue="1" operator="equal">
      <formula>-1</formula>
    </cfRule>
  </conditionalFormatting>
  <conditionalFormatting sqref="BD32">
    <cfRule type="cellIs" dxfId="34160" priority="106454" stopIfTrue="1" operator="lessThan">
      <formula>0.5</formula>
    </cfRule>
  </conditionalFormatting>
  <conditionalFormatting sqref="BD32">
    <cfRule type="cellIs" dxfId="34159" priority="106455" stopIfTrue="1" operator="greaterThanOrEqual">
      <formula>0.5</formula>
    </cfRule>
  </conditionalFormatting>
  <conditionalFormatting sqref="BD33">
    <cfRule type="cellIs" dxfId="34158" priority="106456" stopIfTrue="1" operator="equal">
      <formula>-1</formula>
    </cfRule>
  </conditionalFormatting>
  <conditionalFormatting sqref="BD33">
    <cfRule type="cellIs" dxfId="34157" priority="106457" stopIfTrue="1" operator="lessThan">
      <formula>0.5</formula>
    </cfRule>
  </conditionalFormatting>
  <conditionalFormatting sqref="BD33">
    <cfRule type="cellIs" dxfId="34156" priority="106458" stopIfTrue="1" operator="greaterThanOrEqual">
      <formula>0.5</formula>
    </cfRule>
  </conditionalFormatting>
  <conditionalFormatting sqref="BD34">
    <cfRule type="cellIs" dxfId="34155" priority="106459" stopIfTrue="1" operator="equal">
      <formula>-1</formula>
    </cfRule>
  </conditionalFormatting>
  <conditionalFormatting sqref="BD34">
    <cfRule type="cellIs" dxfId="34154" priority="106460" stopIfTrue="1" operator="lessThan">
      <formula>0.5</formula>
    </cfRule>
  </conditionalFormatting>
  <conditionalFormatting sqref="BD34">
    <cfRule type="cellIs" dxfId="34153" priority="106461" stopIfTrue="1" operator="greaterThanOrEqual">
      <formula>0.5</formula>
    </cfRule>
  </conditionalFormatting>
  <conditionalFormatting sqref="BD35">
    <cfRule type="cellIs" dxfId="34152" priority="106462" stopIfTrue="1" operator="equal">
      <formula>-1</formula>
    </cfRule>
  </conditionalFormatting>
  <conditionalFormatting sqref="BD35">
    <cfRule type="cellIs" dxfId="34151" priority="106463" stopIfTrue="1" operator="lessThan">
      <formula>0.5</formula>
    </cfRule>
  </conditionalFormatting>
  <conditionalFormatting sqref="BD35">
    <cfRule type="cellIs" dxfId="34150" priority="106464" stopIfTrue="1" operator="greaterThanOrEqual">
      <formula>0.5</formula>
    </cfRule>
  </conditionalFormatting>
  <conditionalFormatting sqref="BD36">
    <cfRule type="cellIs" dxfId="34149" priority="106465" stopIfTrue="1" operator="equal">
      <formula>-1</formula>
    </cfRule>
  </conditionalFormatting>
  <conditionalFormatting sqref="BD36">
    <cfRule type="cellIs" dxfId="34148" priority="106466" stopIfTrue="1" operator="lessThan">
      <formula>0.5</formula>
    </cfRule>
  </conditionalFormatting>
  <conditionalFormatting sqref="BD36">
    <cfRule type="cellIs" dxfId="34147" priority="106467" stopIfTrue="1" operator="greaterThanOrEqual">
      <formula>0.5</formula>
    </cfRule>
  </conditionalFormatting>
  <conditionalFormatting sqref="BD37">
    <cfRule type="cellIs" dxfId="34146" priority="106468" stopIfTrue="1" operator="equal">
      <formula>-1</formula>
    </cfRule>
  </conditionalFormatting>
  <conditionalFormatting sqref="BD37">
    <cfRule type="cellIs" dxfId="34145" priority="106469" stopIfTrue="1" operator="lessThan">
      <formula>0.5</formula>
    </cfRule>
  </conditionalFormatting>
  <conditionalFormatting sqref="BD37">
    <cfRule type="cellIs" dxfId="34144" priority="106470" stopIfTrue="1" operator="greaterThanOrEqual">
      <formula>0.5</formula>
    </cfRule>
  </conditionalFormatting>
  <conditionalFormatting sqref="BF17">
    <cfRule type="cellIs" dxfId="34143" priority="106471" stopIfTrue="1" operator="equal">
      <formula>-1</formula>
    </cfRule>
  </conditionalFormatting>
  <conditionalFormatting sqref="BF17">
    <cfRule type="cellIs" dxfId="34142" priority="106472" stopIfTrue="1" operator="lessThan">
      <formula>0.5</formula>
    </cfRule>
  </conditionalFormatting>
  <conditionalFormatting sqref="BF17">
    <cfRule type="cellIs" dxfId="34141" priority="106473" stopIfTrue="1" operator="greaterThanOrEqual">
      <formula>0.5</formula>
    </cfRule>
  </conditionalFormatting>
  <conditionalFormatting sqref="BF18">
    <cfRule type="cellIs" dxfId="34140" priority="106474" stopIfTrue="1" operator="equal">
      <formula>-1</formula>
    </cfRule>
  </conditionalFormatting>
  <conditionalFormatting sqref="BF18">
    <cfRule type="cellIs" dxfId="34139" priority="106475" stopIfTrue="1" operator="lessThan">
      <formula>0.5</formula>
    </cfRule>
  </conditionalFormatting>
  <conditionalFormatting sqref="BF18">
    <cfRule type="cellIs" dxfId="34138" priority="106476" stopIfTrue="1" operator="greaterThanOrEqual">
      <formula>0.5</formula>
    </cfRule>
  </conditionalFormatting>
  <conditionalFormatting sqref="BF19">
    <cfRule type="cellIs" dxfId="34137" priority="106477" stopIfTrue="1" operator="equal">
      <formula>-1</formula>
    </cfRule>
  </conditionalFormatting>
  <conditionalFormatting sqref="BF19">
    <cfRule type="cellIs" dxfId="34136" priority="106478" stopIfTrue="1" operator="lessThan">
      <formula>0.5</formula>
    </cfRule>
  </conditionalFormatting>
  <conditionalFormatting sqref="BF19">
    <cfRule type="cellIs" dxfId="34135" priority="106479" stopIfTrue="1" operator="greaterThanOrEqual">
      <formula>0.5</formula>
    </cfRule>
  </conditionalFormatting>
  <conditionalFormatting sqref="BF20">
    <cfRule type="cellIs" dxfId="34134" priority="106480" stopIfTrue="1" operator="equal">
      <formula>-1</formula>
    </cfRule>
  </conditionalFormatting>
  <conditionalFormatting sqref="BF20">
    <cfRule type="cellIs" dxfId="34133" priority="106481" stopIfTrue="1" operator="lessThan">
      <formula>0.5</formula>
    </cfRule>
  </conditionalFormatting>
  <conditionalFormatting sqref="BF20">
    <cfRule type="cellIs" dxfId="34132" priority="106482" stopIfTrue="1" operator="greaterThanOrEqual">
      <formula>0.5</formula>
    </cfRule>
  </conditionalFormatting>
  <conditionalFormatting sqref="BF21">
    <cfRule type="cellIs" dxfId="34131" priority="106483" stopIfTrue="1" operator="equal">
      <formula>-1</formula>
    </cfRule>
  </conditionalFormatting>
  <conditionalFormatting sqref="BF21">
    <cfRule type="cellIs" dxfId="34130" priority="106484" stopIfTrue="1" operator="lessThan">
      <formula>0.5</formula>
    </cfRule>
  </conditionalFormatting>
  <conditionalFormatting sqref="BF21">
    <cfRule type="cellIs" dxfId="34129" priority="106485" stopIfTrue="1" operator="greaterThanOrEqual">
      <formula>0.5</formula>
    </cfRule>
  </conditionalFormatting>
  <conditionalFormatting sqref="BF22">
    <cfRule type="cellIs" dxfId="34128" priority="106486" stopIfTrue="1" operator="equal">
      <formula>-1</formula>
    </cfRule>
  </conditionalFormatting>
  <conditionalFormatting sqref="BF22">
    <cfRule type="cellIs" dxfId="34127" priority="106487" stopIfTrue="1" operator="lessThan">
      <formula>0.5</formula>
    </cfRule>
  </conditionalFormatting>
  <conditionalFormatting sqref="BF22">
    <cfRule type="cellIs" dxfId="34126" priority="106488" stopIfTrue="1" operator="greaterThanOrEqual">
      <formula>0.5</formula>
    </cfRule>
  </conditionalFormatting>
  <conditionalFormatting sqref="BF23">
    <cfRule type="cellIs" dxfId="34125" priority="106489" stopIfTrue="1" operator="equal">
      <formula>-1</formula>
    </cfRule>
  </conditionalFormatting>
  <conditionalFormatting sqref="BF23">
    <cfRule type="cellIs" dxfId="34124" priority="106490" stopIfTrue="1" operator="lessThan">
      <formula>0.5</formula>
    </cfRule>
  </conditionalFormatting>
  <conditionalFormatting sqref="BF23">
    <cfRule type="cellIs" dxfId="34123" priority="106491" stopIfTrue="1" operator="greaterThanOrEqual">
      <formula>0.5</formula>
    </cfRule>
  </conditionalFormatting>
  <conditionalFormatting sqref="BF24">
    <cfRule type="cellIs" dxfId="34122" priority="106492" stopIfTrue="1" operator="equal">
      <formula>-1</formula>
    </cfRule>
  </conditionalFormatting>
  <conditionalFormatting sqref="BF24">
    <cfRule type="cellIs" dxfId="34121" priority="106493" stopIfTrue="1" operator="lessThan">
      <formula>0.5</formula>
    </cfRule>
  </conditionalFormatting>
  <conditionalFormatting sqref="BF24">
    <cfRule type="cellIs" dxfId="34120" priority="106494" stopIfTrue="1" operator="greaterThanOrEqual">
      <formula>0.5</formula>
    </cfRule>
  </conditionalFormatting>
  <conditionalFormatting sqref="BF25">
    <cfRule type="cellIs" dxfId="34119" priority="106495" stopIfTrue="1" operator="equal">
      <formula>-1</formula>
    </cfRule>
  </conditionalFormatting>
  <conditionalFormatting sqref="BF25">
    <cfRule type="cellIs" dxfId="34118" priority="106496" stopIfTrue="1" operator="lessThan">
      <formula>0.5</formula>
    </cfRule>
  </conditionalFormatting>
  <conditionalFormatting sqref="BF25">
    <cfRule type="cellIs" dxfId="34117" priority="106497" stopIfTrue="1" operator="greaterThanOrEqual">
      <formula>0.5</formula>
    </cfRule>
  </conditionalFormatting>
  <conditionalFormatting sqref="BF26">
    <cfRule type="cellIs" dxfId="34116" priority="106498" stopIfTrue="1" operator="equal">
      <formula>-1</formula>
    </cfRule>
  </conditionalFormatting>
  <conditionalFormatting sqref="BF26">
    <cfRule type="cellIs" dxfId="34115" priority="106499" stopIfTrue="1" operator="lessThan">
      <formula>0.5</formula>
    </cfRule>
  </conditionalFormatting>
  <conditionalFormatting sqref="BF26">
    <cfRule type="cellIs" dxfId="34114" priority="106500" stopIfTrue="1" operator="greaterThanOrEqual">
      <formula>0.5</formula>
    </cfRule>
  </conditionalFormatting>
  <conditionalFormatting sqref="BF27">
    <cfRule type="cellIs" dxfId="34113" priority="106501" stopIfTrue="1" operator="equal">
      <formula>-1</formula>
    </cfRule>
  </conditionalFormatting>
  <conditionalFormatting sqref="BF27">
    <cfRule type="cellIs" dxfId="34112" priority="106502" stopIfTrue="1" operator="lessThan">
      <formula>0.5</formula>
    </cfRule>
  </conditionalFormatting>
  <conditionalFormatting sqref="BF27">
    <cfRule type="cellIs" dxfId="34111" priority="106503" stopIfTrue="1" operator="greaterThanOrEqual">
      <formula>0.5</formula>
    </cfRule>
  </conditionalFormatting>
  <conditionalFormatting sqref="BF28">
    <cfRule type="cellIs" dxfId="34110" priority="106504" stopIfTrue="1" operator="equal">
      <formula>-1</formula>
    </cfRule>
  </conditionalFormatting>
  <conditionalFormatting sqref="BF28">
    <cfRule type="cellIs" dxfId="34109" priority="106505" stopIfTrue="1" operator="lessThan">
      <formula>0.5</formula>
    </cfRule>
  </conditionalFormatting>
  <conditionalFormatting sqref="BF28">
    <cfRule type="cellIs" dxfId="34108" priority="106506" stopIfTrue="1" operator="greaterThanOrEqual">
      <formula>0.5</formula>
    </cfRule>
  </conditionalFormatting>
  <conditionalFormatting sqref="BF29">
    <cfRule type="cellIs" dxfId="34107" priority="106507" stopIfTrue="1" operator="equal">
      <formula>-1</formula>
    </cfRule>
  </conditionalFormatting>
  <conditionalFormatting sqref="BF29">
    <cfRule type="cellIs" dxfId="34106" priority="106508" stopIfTrue="1" operator="lessThan">
      <formula>0.5</formula>
    </cfRule>
  </conditionalFormatting>
  <conditionalFormatting sqref="BF29">
    <cfRule type="cellIs" dxfId="34105" priority="106509" stopIfTrue="1" operator="greaterThanOrEqual">
      <formula>0.5</formula>
    </cfRule>
  </conditionalFormatting>
  <conditionalFormatting sqref="BF30">
    <cfRule type="cellIs" dxfId="34104" priority="106510" stopIfTrue="1" operator="equal">
      <formula>-1</formula>
    </cfRule>
  </conditionalFormatting>
  <conditionalFormatting sqref="BF30">
    <cfRule type="cellIs" dxfId="34103" priority="106511" stopIfTrue="1" operator="lessThan">
      <formula>0.5</formula>
    </cfRule>
  </conditionalFormatting>
  <conditionalFormatting sqref="BF30">
    <cfRule type="cellIs" dxfId="34102" priority="106512" stopIfTrue="1" operator="greaterThanOrEqual">
      <formula>0.5</formula>
    </cfRule>
  </conditionalFormatting>
  <conditionalFormatting sqref="BF31">
    <cfRule type="cellIs" dxfId="34101" priority="106513" stopIfTrue="1" operator="equal">
      <formula>-1</formula>
    </cfRule>
  </conditionalFormatting>
  <conditionalFormatting sqref="BF31">
    <cfRule type="cellIs" dxfId="34100" priority="106514" stopIfTrue="1" operator="lessThan">
      <formula>0.5</formula>
    </cfRule>
  </conditionalFormatting>
  <conditionalFormatting sqref="BF31">
    <cfRule type="cellIs" dxfId="34099" priority="106515" stopIfTrue="1" operator="greaterThanOrEqual">
      <formula>0.5</formula>
    </cfRule>
  </conditionalFormatting>
  <conditionalFormatting sqref="BF32">
    <cfRule type="cellIs" dxfId="34098" priority="106516" stopIfTrue="1" operator="equal">
      <formula>-1</formula>
    </cfRule>
  </conditionalFormatting>
  <conditionalFormatting sqref="BF32">
    <cfRule type="cellIs" dxfId="34097" priority="106517" stopIfTrue="1" operator="lessThan">
      <formula>0.5</formula>
    </cfRule>
  </conditionalFormatting>
  <conditionalFormatting sqref="BF32">
    <cfRule type="cellIs" dxfId="34096" priority="106518" stopIfTrue="1" operator="greaterThanOrEqual">
      <formula>0.5</formula>
    </cfRule>
  </conditionalFormatting>
  <conditionalFormatting sqref="BF33">
    <cfRule type="cellIs" dxfId="34095" priority="106519" stopIfTrue="1" operator="equal">
      <formula>-1</formula>
    </cfRule>
  </conditionalFormatting>
  <conditionalFormatting sqref="BF33">
    <cfRule type="cellIs" dxfId="34094" priority="106520" stopIfTrue="1" operator="lessThan">
      <formula>0.5</formula>
    </cfRule>
  </conditionalFormatting>
  <conditionalFormatting sqref="BF33">
    <cfRule type="cellIs" dxfId="34093" priority="106521" stopIfTrue="1" operator="greaterThanOrEqual">
      <formula>0.5</formula>
    </cfRule>
  </conditionalFormatting>
  <conditionalFormatting sqref="BF34">
    <cfRule type="cellIs" dxfId="34092" priority="106522" stopIfTrue="1" operator="equal">
      <formula>-1</formula>
    </cfRule>
  </conditionalFormatting>
  <conditionalFormatting sqref="BF34">
    <cfRule type="cellIs" dxfId="34091" priority="106523" stopIfTrue="1" operator="lessThan">
      <formula>0.5</formula>
    </cfRule>
  </conditionalFormatting>
  <conditionalFormatting sqref="BF34">
    <cfRule type="cellIs" dxfId="34090" priority="106524" stopIfTrue="1" operator="greaterThanOrEqual">
      <formula>0.5</formula>
    </cfRule>
  </conditionalFormatting>
  <conditionalFormatting sqref="BF35">
    <cfRule type="cellIs" dxfId="34089" priority="106525" stopIfTrue="1" operator="equal">
      <formula>-1</formula>
    </cfRule>
  </conditionalFormatting>
  <conditionalFormatting sqref="BF35">
    <cfRule type="cellIs" dxfId="34088" priority="106526" stopIfTrue="1" operator="lessThan">
      <formula>0.5</formula>
    </cfRule>
  </conditionalFormatting>
  <conditionalFormatting sqref="BF35">
    <cfRule type="cellIs" dxfId="34087" priority="106527" stopIfTrue="1" operator="greaterThanOrEqual">
      <formula>0.5</formula>
    </cfRule>
  </conditionalFormatting>
  <conditionalFormatting sqref="BF36">
    <cfRule type="cellIs" dxfId="34086" priority="106528" stopIfTrue="1" operator="equal">
      <formula>-1</formula>
    </cfRule>
  </conditionalFormatting>
  <conditionalFormatting sqref="BF36">
    <cfRule type="cellIs" dxfId="34085" priority="106529" stopIfTrue="1" operator="lessThan">
      <formula>0.5</formula>
    </cfRule>
  </conditionalFormatting>
  <conditionalFormatting sqref="BF36">
    <cfRule type="cellIs" dxfId="34084" priority="106530" stopIfTrue="1" operator="greaterThanOrEqual">
      <formula>0.5</formula>
    </cfRule>
  </conditionalFormatting>
  <conditionalFormatting sqref="BF37">
    <cfRule type="cellIs" dxfId="34083" priority="106531" stopIfTrue="1" operator="equal">
      <formula>-1</formula>
    </cfRule>
  </conditionalFormatting>
  <conditionalFormatting sqref="BF37">
    <cfRule type="cellIs" dxfId="34082" priority="106532" stopIfTrue="1" operator="lessThan">
      <formula>0.5</formula>
    </cfRule>
  </conditionalFormatting>
  <conditionalFormatting sqref="BF37">
    <cfRule type="cellIs" dxfId="34081" priority="106533" stopIfTrue="1" operator="greaterThanOrEqual">
      <formula>0.5</formula>
    </cfRule>
  </conditionalFormatting>
  <conditionalFormatting sqref="BH17">
    <cfRule type="cellIs" dxfId="34080" priority="106534" stopIfTrue="1" operator="equal">
      <formula>-1</formula>
    </cfRule>
  </conditionalFormatting>
  <conditionalFormatting sqref="BH17">
    <cfRule type="cellIs" dxfId="34079" priority="106535" stopIfTrue="1" operator="lessThan">
      <formula>0.5</formula>
    </cfRule>
  </conditionalFormatting>
  <conditionalFormatting sqref="BH17">
    <cfRule type="cellIs" dxfId="34078" priority="106536" stopIfTrue="1" operator="greaterThanOrEqual">
      <formula>0.5</formula>
    </cfRule>
  </conditionalFormatting>
  <conditionalFormatting sqref="BH18">
    <cfRule type="cellIs" dxfId="34077" priority="106537" stopIfTrue="1" operator="equal">
      <formula>-1</formula>
    </cfRule>
  </conditionalFormatting>
  <conditionalFormatting sqref="BH18">
    <cfRule type="cellIs" dxfId="34076" priority="106538" stopIfTrue="1" operator="lessThan">
      <formula>0.5</formula>
    </cfRule>
  </conditionalFormatting>
  <conditionalFormatting sqref="BH18">
    <cfRule type="cellIs" dxfId="34075" priority="106539" stopIfTrue="1" operator="greaterThanOrEqual">
      <formula>0.5</formula>
    </cfRule>
  </conditionalFormatting>
  <conditionalFormatting sqref="BH19">
    <cfRule type="cellIs" dxfId="34074" priority="106540" stopIfTrue="1" operator="equal">
      <formula>-1</formula>
    </cfRule>
  </conditionalFormatting>
  <conditionalFormatting sqref="BH19">
    <cfRule type="cellIs" dxfId="34073" priority="106541" stopIfTrue="1" operator="lessThan">
      <formula>0.5</formula>
    </cfRule>
  </conditionalFormatting>
  <conditionalFormatting sqref="BH19">
    <cfRule type="cellIs" dxfId="34072" priority="106542" stopIfTrue="1" operator="greaterThanOrEqual">
      <formula>0.5</formula>
    </cfRule>
  </conditionalFormatting>
  <conditionalFormatting sqref="BH20">
    <cfRule type="cellIs" dxfId="34071" priority="106543" stopIfTrue="1" operator="equal">
      <formula>-1</formula>
    </cfRule>
  </conditionalFormatting>
  <conditionalFormatting sqref="BH20">
    <cfRule type="cellIs" dxfId="34070" priority="106544" stopIfTrue="1" operator="lessThan">
      <formula>0.5</formula>
    </cfRule>
  </conditionalFormatting>
  <conditionalFormatting sqref="BH20">
    <cfRule type="cellIs" dxfId="34069" priority="106545" stopIfTrue="1" operator="greaterThanOrEqual">
      <formula>0.5</formula>
    </cfRule>
  </conditionalFormatting>
  <conditionalFormatting sqref="BH21">
    <cfRule type="cellIs" dxfId="34068" priority="106546" stopIfTrue="1" operator="equal">
      <formula>-1</formula>
    </cfRule>
  </conditionalFormatting>
  <conditionalFormatting sqref="BH21">
    <cfRule type="cellIs" dxfId="34067" priority="106547" stopIfTrue="1" operator="lessThan">
      <formula>0.5</formula>
    </cfRule>
  </conditionalFormatting>
  <conditionalFormatting sqref="BH21">
    <cfRule type="cellIs" dxfId="34066" priority="106548" stopIfTrue="1" operator="greaterThanOrEqual">
      <formula>0.5</formula>
    </cfRule>
  </conditionalFormatting>
  <conditionalFormatting sqref="BH22">
    <cfRule type="cellIs" dxfId="34065" priority="106549" stopIfTrue="1" operator="equal">
      <formula>-1</formula>
    </cfRule>
  </conditionalFormatting>
  <conditionalFormatting sqref="BH22">
    <cfRule type="cellIs" dxfId="34064" priority="106550" stopIfTrue="1" operator="lessThan">
      <formula>0.5</formula>
    </cfRule>
  </conditionalFormatting>
  <conditionalFormatting sqref="BH22">
    <cfRule type="cellIs" dxfId="34063" priority="106551" stopIfTrue="1" operator="greaterThanOrEqual">
      <formula>0.5</formula>
    </cfRule>
  </conditionalFormatting>
  <conditionalFormatting sqref="BH23">
    <cfRule type="cellIs" dxfId="34062" priority="106552" stopIfTrue="1" operator="equal">
      <formula>-1</formula>
    </cfRule>
  </conditionalFormatting>
  <conditionalFormatting sqref="BH23">
    <cfRule type="cellIs" dxfId="34061" priority="106553" stopIfTrue="1" operator="lessThan">
      <formula>0.5</formula>
    </cfRule>
  </conditionalFormatting>
  <conditionalFormatting sqref="BH23">
    <cfRule type="cellIs" dxfId="34060" priority="106554" stopIfTrue="1" operator="greaterThanOrEqual">
      <formula>0.5</formula>
    </cfRule>
  </conditionalFormatting>
  <conditionalFormatting sqref="BH24">
    <cfRule type="cellIs" dxfId="34059" priority="106555" stopIfTrue="1" operator="equal">
      <formula>-1</formula>
    </cfRule>
  </conditionalFormatting>
  <conditionalFormatting sqref="BH24">
    <cfRule type="cellIs" dxfId="34058" priority="106556" stopIfTrue="1" operator="lessThan">
      <formula>0.5</formula>
    </cfRule>
  </conditionalFormatting>
  <conditionalFormatting sqref="BH24">
    <cfRule type="cellIs" dxfId="34057" priority="106557" stopIfTrue="1" operator="greaterThanOrEqual">
      <formula>0.5</formula>
    </cfRule>
  </conditionalFormatting>
  <conditionalFormatting sqref="BH25">
    <cfRule type="cellIs" dxfId="34056" priority="106558" stopIfTrue="1" operator="equal">
      <formula>-1</formula>
    </cfRule>
  </conditionalFormatting>
  <conditionalFormatting sqref="BH25">
    <cfRule type="cellIs" dxfId="34055" priority="106559" stopIfTrue="1" operator="lessThan">
      <formula>0.5</formula>
    </cfRule>
  </conditionalFormatting>
  <conditionalFormatting sqref="BH25">
    <cfRule type="cellIs" dxfId="34054" priority="106560" stopIfTrue="1" operator="greaterThanOrEqual">
      <formula>0.5</formula>
    </cfRule>
  </conditionalFormatting>
  <conditionalFormatting sqref="BH26">
    <cfRule type="cellIs" dxfId="34053" priority="106561" stopIfTrue="1" operator="equal">
      <formula>-1</formula>
    </cfRule>
  </conditionalFormatting>
  <conditionalFormatting sqref="BH26">
    <cfRule type="cellIs" dxfId="34052" priority="106562" stopIfTrue="1" operator="lessThan">
      <formula>0.5</formula>
    </cfRule>
  </conditionalFormatting>
  <conditionalFormatting sqref="BH26">
    <cfRule type="cellIs" dxfId="34051" priority="106563" stopIfTrue="1" operator="greaterThanOrEqual">
      <formula>0.5</formula>
    </cfRule>
  </conditionalFormatting>
  <conditionalFormatting sqref="BH27">
    <cfRule type="cellIs" dxfId="34050" priority="106564" stopIfTrue="1" operator="equal">
      <formula>-1</formula>
    </cfRule>
  </conditionalFormatting>
  <conditionalFormatting sqref="BH27">
    <cfRule type="cellIs" dxfId="34049" priority="106565" stopIfTrue="1" operator="lessThan">
      <formula>0.5</formula>
    </cfRule>
  </conditionalFormatting>
  <conditionalFormatting sqref="BH27">
    <cfRule type="cellIs" dxfId="34048" priority="106566" stopIfTrue="1" operator="greaterThanOrEqual">
      <formula>0.5</formula>
    </cfRule>
  </conditionalFormatting>
  <conditionalFormatting sqref="BH28">
    <cfRule type="cellIs" dxfId="34047" priority="106567" stopIfTrue="1" operator="equal">
      <formula>-1</formula>
    </cfRule>
  </conditionalFormatting>
  <conditionalFormatting sqref="BH28">
    <cfRule type="cellIs" dxfId="34046" priority="106568" stopIfTrue="1" operator="lessThan">
      <formula>0.5</formula>
    </cfRule>
  </conditionalFormatting>
  <conditionalFormatting sqref="BH28">
    <cfRule type="cellIs" dxfId="34045" priority="106569" stopIfTrue="1" operator="greaterThanOrEqual">
      <formula>0.5</formula>
    </cfRule>
  </conditionalFormatting>
  <conditionalFormatting sqref="BH29">
    <cfRule type="cellIs" dxfId="34044" priority="106570" stopIfTrue="1" operator="equal">
      <formula>-1</formula>
    </cfRule>
  </conditionalFormatting>
  <conditionalFormatting sqref="BH29">
    <cfRule type="cellIs" dxfId="34043" priority="106571" stopIfTrue="1" operator="lessThan">
      <formula>0.5</formula>
    </cfRule>
  </conditionalFormatting>
  <conditionalFormatting sqref="BH29">
    <cfRule type="cellIs" dxfId="34042" priority="106572" stopIfTrue="1" operator="greaterThanOrEqual">
      <formula>0.5</formula>
    </cfRule>
  </conditionalFormatting>
  <conditionalFormatting sqref="BH30">
    <cfRule type="cellIs" dxfId="34041" priority="106573" stopIfTrue="1" operator="equal">
      <formula>-1</formula>
    </cfRule>
  </conditionalFormatting>
  <conditionalFormatting sqref="BH30">
    <cfRule type="cellIs" dxfId="34040" priority="106574" stopIfTrue="1" operator="lessThan">
      <formula>0.5</formula>
    </cfRule>
  </conditionalFormatting>
  <conditionalFormatting sqref="BH30">
    <cfRule type="cellIs" dxfId="34039" priority="106575" stopIfTrue="1" operator="greaterThanOrEqual">
      <formula>0.5</formula>
    </cfRule>
  </conditionalFormatting>
  <conditionalFormatting sqref="BH31">
    <cfRule type="cellIs" dxfId="34038" priority="106576" stopIfTrue="1" operator="equal">
      <formula>-1</formula>
    </cfRule>
  </conditionalFormatting>
  <conditionalFormatting sqref="BH31">
    <cfRule type="cellIs" dxfId="34037" priority="106577" stopIfTrue="1" operator="lessThan">
      <formula>0.5</formula>
    </cfRule>
  </conditionalFormatting>
  <conditionalFormatting sqref="BH31">
    <cfRule type="cellIs" dxfId="34036" priority="106578" stopIfTrue="1" operator="greaterThanOrEqual">
      <formula>0.5</formula>
    </cfRule>
  </conditionalFormatting>
  <conditionalFormatting sqref="BH32">
    <cfRule type="cellIs" dxfId="34035" priority="106579" stopIfTrue="1" operator="equal">
      <formula>-1</formula>
    </cfRule>
  </conditionalFormatting>
  <conditionalFormatting sqref="BH32">
    <cfRule type="cellIs" dxfId="34034" priority="106580" stopIfTrue="1" operator="lessThan">
      <formula>0.5</formula>
    </cfRule>
  </conditionalFormatting>
  <conditionalFormatting sqref="BH32">
    <cfRule type="cellIs" dxfId="34033" priority="106581" stopIfTrue="1" operator="greaterThanOrEqual">
      <formula>0.5</formula>
    </cfRule>
  </conditionalFormatting>
  <conditionalFormatting sqref="BH33">
    <cfRule type="cellIs" dxfId="34032" priority="106582" stopIfTrue="1" operator="equal">
      <formula>-1</formula>
    </cfRule>
  </conditionalFormatting>
  <conditionalFormatting sqref="BH33">
    <cfRule type="cellIs" dxfId="34031" priority="106583" stopIfTrue="1" operator="lessThan">
      <formula>0.5</formula>
    </cfRule>
  </conditionalFormatting>
  <conditionalFormatting sqref="BH33">
    <cfRule type="cellIs" dxfId="34030" priority="106584" stopIfTrue="1" operator="greaterThanOrEqual">
      <formula>0.5</formula>
    </cfRule>
  </conditionalFormatting>
  <conditionalFormatting sqref="BH34">
    <cfRule type="cellIs" dxfId="34029" priority="106585" stopIfTrue="1" operator="equal">
      <formula>-1</formula>
    </cfRule>
  </conditionalFormatting>
  <conditionalFormatting sqref="BH34">
    <cfRule type="cellIs" dxfId="34028" priority="106586" stopIfTrue="1" operator="lessThan">
      <formula>0.5</formula>
    </cfRule>
  </conditionalFormatting>
  <conditionalFormatting sqref="BH34">
    <cfRule type="cellIs" dxfId="34027" priority="106587" stopIfTrue="1" operator="greaterThanOrEqual">
      <formula>0.5</formula>
    </cfRule>
  </conditionalFormatting>
  <conditionalFormatting sqref="BH35">
    <cfRule type="cellIs" dxfId="34026" priority="106588" stopIfTrue="1" operator="equal">
      <formula>-1</formula>
    </cfRule>
  </conditionalFormatting>
  <conditionalFormatting sqref="BH35">
    <cfRule type="cellIs" dxfId="34025" priority="106589" stopIfTrue="1" operator="lessThan">
      <formula>0.5</formula>
    </cfRule>
  </conditionalFormatting>
  <conditionalFormatting sqref="BH35">
    <cfRule type="cellIs" dxfId="34024" priority="106590" stopIfTrue="1" operator="greaterThanOrEqual">
      <formula>0.5</formula>
    </cfRule>
  </conditionalFormatting>
  <conditionalFormatting sqref="BH36">
    <cfRule type="cellIs" dxfId="34023" priority="106591" stopIfTrue="1" operator="equal">
      <formula>-1</formula>
    </cfRule>
  </conditionalFormatting>
  <conditionalFormatting sqref="BH36">
    <cfRule type="cellIs" dxfId="34022" priority="106592" stopIfTrue="1" operator="lessThan">
      <formula>0.5</formula>
    </cfRule>
  </conditionalFormatting>
  <conditionalFormatting sqref="BH36">
    <cfRule type="cellIs" dxfId="34021" priority="106593" stopIfTrue="1" operator="greaterThanOrEqual">
      <formula>0.5</formula>
    </cfRule>
  </conditionalFormatting>
  <conditionalFormatting sqref="BH37">
    <cfRule type="cellIs" dxfId="34020" priority="106594" stopIfTrue="1" operator="equal">
      <formula>-1</formula>
    </cfRule>
  </conditionalFormatting>
  <conditionalFormatting sqref="BH37">
    <cfRule type="cellIs" dxfId="34019" priority="106595" stopIfTrue="1" operator="lessThan">
      <formula>0.5</formula>
    </cfRule>
  </conditionalFormatting>
  <conditionalFormatting sqref="BH37">
    <cfRule type="cellIs" dxfId="34018" priority="106596" stopIfTrue="1" operator="greaterThanOrEqual">
      <formula>0.5</formula>
    </cfRule>
  </conditionalFormatting>
  <conditionalFormatting sqref="BJ17">
    <cfRule type="cellIs" dxfId="34017" priority="106597" stopIfTrue="1" operator="equal">
      <formula>-1</formula>
    </cfRule>
  </conditionalFormatting>
  <conditionalFormatting sqref="BJ17">
    <cfRule type="cellIs" dxfId="34016" priority="106598" stopIfTrue="1" operator="lessThan">
      <formula>0.5</formula>
    </cfRule>
  </conditionalFormatting>
  <conditionalFormatting sqref="BJ17">
    <cfRule type="cellIs" dxfId="34015" priority="106599" stopIfTrue="1" operator="greaterThanOrEqual">
      <formula>0.5</formula>
    </cfRule>
  </conditionalFormatting>
  <conditionalFormatting sqref="BJ18">
    <cfRule type="cellIs" dxfId="34014" priority="106600" stopIfTrue="1" operator="equal">
      <formula>-1</formula>
    </cfRule>
  </conditionalFormatting>
  <conditionalFormatting sqref="BJ18">
    <cfRule type="cellIs" dxfId="34013" priority="106601" stopIfTrue="1" operator="lessThan">
      <formula>0.5</formula>
    </cfRule>
  </conditionalFormatting>
  <conditionalFormatting sqref="BJ18">
    <cfRule type="cellIs" dxfId="34012" priority="106602" stopIfTrue="1" operator="greaterThanOrEqual">
      <formula>0.5</formula>
    </cfRule>
  </conditionalFormatting>
  <conditionalFormatting sqref="BJ19">
    <cfRule type="cellIs" dxfId="34011" priority="106603" stopIfTrue="1" operator="equal">
      <formula>-1</formula>
    </cfRule>
  </conditionalFormatting>
  <conditionalFormatting sqref="BJ19">
    <cfRule type="cellIs" dxfId="34010" priority="106604" stopIfTrue="1" operator="lessThan">
      <formula>0.5</formula>
    </cfRule>
  </conditionalFormatting>
  <conditionalFormatting sqref="BJ19">
    <cfRule type="cellIs" dxfId="34009" priority="106605" stopIfTrue="1" operator="greaterThanOrEqual">
      <formula>0.5</formula>
    </cfRule>
  </conditionalFormatting>
  <conditionalFormatting sqref="BJ20">
    <cfRule type="cellIs" dxfId="34008" priority="106606" stopIfTrue="1" operator="equal">
      <formula>-1</formula>
    </cfRule>
  </conditionalFormatting>
  <conditionalFormatting sqref="BJ20">
    <cfRule type="cellIs" dxfId="34007" priority="106607" stopIfTrue="1" operator="lessThan">
      <formula>0.5</formula>
    </cfRule>
  </conditionalFormatting>
  <conditionalFormatting sqref="BJ20">
    <cfRule type="cellIs" dxfId="34006" priority="106608" stopIfTrue="1" operator="greaterThanOrEqual">
      <formula>0.5</formula>
    </cfRule>
  </conditionalFormatting>
  <conditionalFormatting sqref="BJ21">
    <cfRule type="cellIs" dxfId="34005" priority="106609" stopIfTrue="1" operator="equal">
      <formula>-1</formula>
    </cfRule>
  </conditionalFormatting>
  <conditionalFormatting sqref="BJ21">
    <cfRule type="cellIs" dxfId="34004" priority="106610" stopIfTrue="1" operator="lessThan">
      <formula>0.5</formula>
    </cfRule>
  </conditionalFormatting>
  <conditionalFormatting sqref="BJ21">
    <cfRule type="cellIs" dxfId="34003" priority="106611" stopIfTrue="1" operator="greaterThanOrEqual">
      <formula>0.5</formula>
    </cfRule>
  </conditionalFormatting>
  <conditionalFormatting sqref="BJ22">
    <cfRule type="cellIs" dxfId="34002" priority="106612" stopIfTrue="1" operator="equal">
      <formula>-1</formula>
    </cfRule>
  </conditionalFormatting>
  <conditionalFormatting sqref="BJ22">
    <cfRule type="cellIs" dxfId="34001" priority="106613" stopIfTrue="1" operator="lessThan">
      <formula>0.5</formula>
    </cfRule>
  </conditionalFormatting>
  <conditionalFormatting sqref="BJ22">
    <cfRule type="cellIs" dxfId="34000" priority="106614" stopIfTrue="1" operator="greaterThanOrEqual">
      <formula>0.5</formula>
    </cfRule>
  </conditionalFormatting>
  <conditionalFormatting sqref="BJ23">
    <cfRule type="cellIs" dxfId="33999" priority="106615" stopIfTrue="1" operator="equal">
      <formula>-1</formula>
    </cfRule>
  </conditionalFormatting>
  <conditionalFormatting sqref="BJ23">
    <cfRule type="cellIs" dxfId="33998" priority="106616" stopIfTrue="1" operator="lessThan">
      <formula>0.5</formula>
    </cfRule>
  </conditionalFormatting>
  <conditionalFormatting sqref="BJ23">
    <cfRule type="cellIs" dxfId="33997" priority="106617" stopIfTrue="1" operator="greaterThanOrEqual">
      <formula>0.5</formula>
    </cfRule>
  </conditionalFormatting>
  <conditionalFormatting sqref="BJ24">
    <cfRule type="cellIs" dxfId="33996" priority="106618" stopIfTrue="1" operator="equal">
      <formula>-1</formula>
    </cfRule>
  </conditionalFormatting>
  <conditionalFormatting sqref="BJ24">
    <cfRule type="cellIs" dxfId="33995" priority="106619" stopIfTrue="1" operator="lessThan">
      <formula>0.5</formula>
    </cfRule>
  </conditionalFormatting>
  <conditionalFormatting sqref="BJ24">
    <cfRule type="cellIs" dxfId="33994" priority="106620" stopIfTrue="1" operator="greaterThanOrEqual">
      <formula>0.5</formula>
    </cfRule>
  </conditionalFormatting>
  <conditionalFormatting sqref="BJ25">
    <cfRule type="cellIs" dxfId="33993" priority="106621" stopIfTrue="1" operator="equal">
      <formula>-1</formula>
    </cfRule>
  </conditionalFormatting>
  <conditionalFormatting sqref="BJ25">
    <cfRule type="cellIs" dxfId="33992" priority="106622" stopIfTrue="1" operator="lessThan">
      <formula>0.5</formula>
    </cfRule>
  </conditionalFormatting>
  <conditionalFormatting sqref="BJ25">
    <cfRule type="cellIs" dxfId="33991" priority="106623" stopIfTrue="1" operator="greaterThanOrEqual">
      <formula>0.5</formula>
    </cfRule>
  </conditionalFormatting>
  <conditionalFormatting sqref="BJ26">
    <cfRule type="cellIs" dxfId="33990" priority="106624" stopIfTrue="1" operator="equal">
      <formula>-1</formula>
    </cfRule>
  </conditionalFormatting>
  <conditionalFormatting sqref="BJ26">
    <cfRule type="cellIs" dxfId="33989" priority="106625" stopIfTrue="1" operator="lessThan">
      <formula>0.5</formula>
    </cfRule>
  </conditionalFormatting>
  <conditionalFormatting sqref="BJ26">
    <cfRule type="cellIs" dxfId="33988" priority="106626" stopIfTrue="1" operator="greaterThanOrEqual">
      <formula>0.5</formula>
    </cfRule>
  </conditionalFormatting>
  <conditionalFormatting sqref="BJ27">
    <cfRule type="cellIs" dxfId="33987" priority="106627" stopIfTrue="1" operator="equal">
      <formula>-1</formula>
    </cfRule>
  </conditionalFormatting>
  <conditionalFormatting sqref="BJ27">
    <cfRule type="cellIs" dxfId="33986" priority="106628" stopIfTrue="1" operator="lessThan">
      <formula>0.5</formula>
    </cfRule>
  </conditionalFormatting>
  <conditionalFormatting sqref="BJ27">
    <cfRule type="cellIs" dxfId="33985" priority="106629" stopIfTrue="1" operator="greaterThanOrEqual">
      <formula>0.5</formula>
    </cfRule>
  </conditionalFormatting>
  <conditionalFormatting sqref="BJ28">
    <cfRule type="cellIs" dxfId="33984" priority="106630" stopIfTrue="1" operator="equal">
      <formula>-1</formula>
    </cfRule>
  </conditionalFormatting>
  <conditionalFormatting sqref="BJ28">
    <cfRule type="cellIs" dxfId="33983" priority="106631" stopIfTrue="1" operator="lessThan">
      <formula>0.5</formula>
    </cfRule>
  </conditionalFormatting>
  <conditionalFormatting sqref="BJ28">
    <cfRule type="cellIs" dxfId="33982" priority="106632" stopIfTrue="1" operator="greaterThanOrEqual">
      <formula>0.5</formula>
    </cfRule>
  </conditionalFormatting>
  <conditionalFormatting sqref="BJ29">
    <cfRule type="cellIs" dxfId="33981" priority="106633" stopIfTrue="1" operator="equal">
      <formula>-1</formula>
    </cfRule>
  </conditionalFormatting>
  <conditionalFormatting sqref="BJ29">
    <cfRule type="cellIs" dxfId="33980" priority="106634" stopIfTrue="1" operator="lessThan">
      <formula>0.5</formula>
    </cfRule>
  </conditionalFormatting>
  <conditionalFormatting sqref="BJ29">
    <cfRule type="cellIs" dxfId="33979" priority="106635" stopIfTrue="1" operator="greaterThanOrEqual">
      <formula>0.5</formula>
    </cfRule>
  </conditionalFormatting>
  <conditionalFormatting sqref="BJ30">
    <cfRule type="cellIs" dxfId="33978" priority="106636" stopIfTrue="1" operator="equal">
      <formula>-1</formula>
    </cfRule>
  </conditionalFormatting>
  <conditionalFormatting sqref="BJ30">
    <cfRule type="cellIs" dxfId="33977" priority="106637" stopIfTrue="1" operator="lessThan">
      <formula>0.5</formula>
    </cfRule>
  </conditionalFormatting>
  <conditionalFormatting sqref="BJ30">
    <cfRule type="cellIs" dxfId="33976" priority="106638" stopIfTrue="1" operator="greaterThanOrEqual">
      <formula>0.5</formula>
    </cfRule>
  </conditionalFormatting>
  <conditionalFormatting sqref="BJ31">
    <cfRule type="cellIs" dxfId="33975" priority="106639" stopIfTrue="1" operator="equal">
      <formula>-1</formula>
    </cfRule>
  </conditionalFormatting>
  <conditionalFormatting sqref="BJ31">
    <cfRule type="cellIs" dxfId="33974" priority="106640" stopIfTrue="1" operator="lessThan">
      <formula>0.5</formula>
    </cfRule>
  </conditionalFormatting>
  <conditionalFormatting sqref="BJ31">
    <cfRule type="cellIs" dxfId="33973" priority="106641" stopIfTrue="1" operator="greaterThanOrEqual">
      <formula>0.5</formula>
    </cfRule>
  </conditionalFormatting>
  <conditionalFormatting sqref="BJ32">
    <cfRule type="cellIs" dxfId="33972" priority="106642" stopIfTrue="1" operator="equal">
      <formula>-1</formula>
    </cfRule>
  </conditionalFormatting>
  <conditionalFormatting sqref="BJ32">
    <cfRule type="cellIs" dxfId="33971" priority="106643" stopIfTrue="1" operator="lessThan">
      <formula>0.5</formula>
    </cfRule>
  </conditionalFormatting>
  <conditionalFormatting sqref="BJ32">
    <cfRule type="cellIs" dxfId="33970" priority="106644" stopIfTrue="1" operator="greaterThanOrEqual">
      <formula>0.5</formula>
    </cfRule>
  </conditionalFormatting>
  <conditionalFormatting sqref="BJ33">
    <cfRule type="cellIs" dxfId="33969" priority="106645" stopIfTrue="1" operator="equal">
      <formula>-1</formula>
    </cfRule>
  </conditionalFormatting>
  <conditionalFormatting sqref="BJ33">
    <cfRule type="cellIs" dxfId="33968" priority="106646" stopIfTrue="1" operator="lessThan">
      <formula>0.5</formula>
    </cfRule>
  </conditionalFormatting>
  <conditionalFormatting sqref="BJ33">
    <cfRule type="cellIs" dxfId="33967" priority="106647" stopIfTrue="1" operator="greaterThanOrEqual">
      <formula>0.5</formula>
    </cfRule>
  </conditionalFormatting>
  <conditionalFormatting sqref="BJ34">
    <cfRule type="cellIs" dxfId="33966" priority="106648" stopIfTrue="1" operator="equal">
      <formula>-1</formula>
    </cfRule>
  </conditionalFormatting>
  <conditionalFormatting sqref="BJ34">
    <cfRule type="cellIs" dxfId="33965" priority="106649" stopIfTrue="1" operator="lessThan">
      <formula>0.5</formula>
    </cfRule>
  </conditionalFormatting>
  <conditionalFormatting sqref="BJ34">
    <cfRule type="cellIs" dxfId="33964" priority="106650" stopIfTrue="1" operator="greaterThanOrEqual">
      <formula>0.5</formula>
    </cfRule>
  </conditionalFormatting>
  <conditionalFormatting sqref="BJ35">
    <cfRule type="cellIs" dxfId="33963" priority="106651" stopIfTrue="1" operator="equal">
      <formula>-1</formula>
    </cfRule>
  </conditionalFormatting>
  <conditionalFormatting sqref="BJ35">
    <cfRule type="cellIs" dxfId="33962" priority="106652" stopIfTrue="1" operator="lessThan">
      <formula>0.5</formula>
    </cfRule>
  </conditionalFormatting>
  <conditionalFormatting sqref="BJ35">
    <cfRule type="cellIs" dxfId="33961" priority="106653" stopIfTrue="1" operator="greaterThanOrEqual">
      <formula>0.5</formula>
    </cfRule>
  </conditionalFormatting>
  <conditionalFormatting sqref="BJ36">
    <cfRule type="cellIs" dxfId="33960" priority="106654" stopIfTrue="1" operator="equal">
      <formula>-1</formula>
    </cfRule>
  </conditionalFormatting>
  <conditionalFormatting sqref="BJ36">
    <cfRule type="cellIs" dxfId="33959" priority="106655" stopIfTrue="1" operator="lessThan">
      <formula>0.5</formula>
    </cfRule>
  </conditionalFormatting>
  <conditionalFormatting sqref="BJ36">
    <cfRule type="cellIs" dxfId="33958" priority="106656" stopIfTrue="1" operator="greaterThanOrEqual">
      <formula>0.5</formula>
    </cfRule>
  </conditionalFormatting>
  <conditionalFormatting sqref="BJ37">
    <cfRule type="cellIs" dxfId="33957" priority="106657" stopIfTrue="1" operator="equal">
      <formula>-1</formula>
    </cfRule>
  </conditionalFormatting>
  <conditionalFormatting sqref="BJ37">
    <cfRule type="cellIs" dxfId="33956" priority="106658" stopIfTrue="1" operator="lessThan">
      <formula>0.5</formula>
    </cfRule>
  </conditionalFormatting>
  <conditionalFormatting sqref="BJ37">
    <cfRule type="cellIs" dxfId="33955" priority="106659" stopIfTrue="1" operator="greaterThanOrEqual">
      <formula>0.5</formula>
    </cfRule>
  </conditionalFormatting>
  <conditionalFormatting sqref="D39">
    <cfRule type="cellIs" dxfId="33954" priority="106660" stopIfTrue="1" operator="equal">
      <formula>-1</formula>
    </cfRule>
  </conditionalFormatting>
  <conditionalFormatting sqref="D39">
    <cfRule type="cellIs" dxfId="33953" priority="106661" stopIfTrue="1" operator="lessThan">
      <formula>0.5</formula>
    </cfRule>
  </conditionalFormatting>
  <conditionalFormatting sqref="D39">
    <cfRule type="cellIs" dxfId="33952" priority="106662" stopIfTrue="1" operator="greaterThanOrEqual">
      <formula>0.5</formula>
    </cfRule>
  </conditionalFormatting>
  <conditionalFormatting sqref="D40">
    <cfRule type="cellIs" dxfId="33951" priority="106663" stopIfTrue="1" operator="equal">
      <formula>-1</formula>
    </cfRule>
  </conditionalFormatting>
  <conditionalFormatting sqref="D40">
    <cfRule type="cellIs" dxfId="33950" priority="106664" stopIfTrue="1" operator="lessThan">
      <formula>0.5</formula>
    </cfRule>
  </conditionalFormatting>
  <conditionalFormatting sqref="D40">
    <cfRule type="cellIs" dxfId="33949" priority="106665" stopIfTrue="1" operator="greaterThanOrEqual">
      <formula>0.5</formula>
    </cfRule>
  </conditionalFormatting>
  <conditionalFormatting sqref="D41">
    <cfRule type="cellIs" dxfId="33948" priority="106666" stopIfTrue="1" operator="equal">
      <formula>-1</formula>
    </cfRule>
  </conditionalFormatting>
  <conditionalFormatting sqref="D41">
    <cfRule type="cellIs" dxfId="33947" priority="106667" stopIfTrue="1" operator="lessThan">
      <formula>0.5</formula>
    </cfRule>
  </conditionalFormatting>
  <conditionalFormatting sqref="D41">
    <cfRule type="cellIs" dxfId="33946" priority="106668" stopIfTrue="1" operator="greaterThanOrEqual">
      <formula>0.5</formula>
    </cfRule>
  </conditionalFormatting>
  <conditionalFormatting sqref="D42">
    <cfRule type="cellIs" dxfId="33945" priority="106669" stopIfTrue="1" operator="equal">
      <formula>-1</formula>
    </cfRule>
  </conditionalFormatting>
  <conditionalFormatting sqref="D42">
    <cfRule type="cellIs" dxfId="33944" priority="106670" stopIfTrue="1" operator="lessThan">
      <formula>0.5</formula>
    </cfRule>
  </conditionalFormatting>
  <conditionalFormatting sqref="D42">
    <cfRule type="cellIs" dxfId="33943" priority="106671" stopIfTrue="1" operator="greaterThanOrEqual">
      <formula>0.5</formula>
    </cfRule>
  </conditionalFormatting>
  <conditionalFormatting sqref="D43">
    <cfRule type="cellIs" dxfId="33942" priority="106672" stopIfTrue="1" operator="equal">
      <formula>-1</formula>
    </cfRule>
  </conditionalFormatting>
  <conditionalFormatting sqref="D43">
    <cfRule type="cellIs" dxfId="33941" priority="106673" stopIfTrue="1" operator="lessThan">
      <formula>0.5</formula>
    </cfRule>
  </conditionalFormatting>
  <conditionalFormatting sqref="D43">
    <cfRule type="cellIs" dxfId="33940" priority="106674" stopIfTrue="1" operator="greaterThanOrEqual">
      <formula>0.5</formula>
    </cfRule>
  </conditionalFormatting>
  <conditionalFormatting sqref="D44">
    <cfRule type="cellIs" dxfId="33939" priority="106675" stopIfTrue="1" operator="equal">
      <formula>-1</formula>
    </cfRule>
  </conditionalFormatting>
  <conditionalFormatting sqref="D44">
    <cfRule type="cellIs" dxfId="33938" priority="106676" stopIfTrue="1" operator="lessThan">
      <formula>0.5</formula>
    </cfRule>
  </conditionalFormatting>
  <conditionalFormatting sqref="D44">
    <cfRule type="cellIs" dxfId="33937" priority="106677" stopIfTrue="1" operator="greaterThanOrEqual">
      <formula>0.5</formula>
    </cfRule>
  </conditionalFormatting>
  <conditionalFormatting sqref="D45">
    <cfRule type="cellIs" dxfId="33936" priority="106678" stopIfTrue="1" operator="equal">
      <formula>-1</formula>
    </cfRule>
  </conditionalFormatting>
  <conditionalFormatting sqref="D45">
    <cfRule type="cellIs" dxfId="33935" priority="106679" stopIfTrue="1" operator="lessThan">
      <formula>0.5</formula>
    </cfRule>
  </conditionalFormatting>
  <conditionalFormatting sqref="D45">
    <cfRule type="cellIs" dxfId="33934" priority="106680" stopIfTrue="1" operator="greaterThanOrEqual">
      <formula>0.5</formula>
    </cfRule>
  </conditionalFormatting>
  <conditionalFormatting sqref="D46">
    <cfRule type="cellIs" dxfId="33933" priority="106681" stopIfTrue="1" operator="equal">
      <formula>-1</formula>
    </cfRule>
  </conditionalFormatting>
  <conditionalFormatting sqref="D46">
    <cfRule type="cellIs" dxfId="33932" priority="106682" stopIfTrue="1" operator="lessThan">
      <formula>0.5</formula>
    </cfRule>
  </conditionalFormatting>
  <conditionalFormatting sqref="D46">
    <cfRule type="cellIs" dxfId="33931" priority="106683" stopIfTrue="1" operator="greaterThanOrEqual">
      <formula>0.5</formula>
    </cfRule>
  </conditionalFormatting>
  <conditionalFormatting sqref="D47">
    <cfRule type="cellIs" dxfId="33930" priority="106684" stopIfTrue="1" operator="equal">
      <formula>-1</formula>
    </cfRule>
  </conditionalFormatting>
  <conditionalFormatting sqref="D47">
    <cfRule type="cellIs" dxfId="33929" priority="106685" stopIfTrue="1" operator="lessThan">
      <formula>0.5</formula>
    </cfRule>
  </conditionalFormatting>
  <conditionalFormatting sqref="D47">
    <cfRule type="cellIs" dxfId="33928" priority="106686" stopIfTrue="1" operator="greaterThanOrEqual">
      <formula>0.5</formula>
    </cfRule>
  </conditionalFormatting>
  <conditionalFormatting sqref="D48">
    <cfRule type="cellIs" dxfId="33927" priority="106687" stopIfTrue="1" operator="equal">
      <formula>-1</formula>
    </cfRule>
  </conditionalFormatting>
  <conditionalFormatting sqref="D48">
    <cfRule type="cellIs" dxfId="33926" priority="106688" stopIfTrue="1" operator="lessThan">
      <formula>0.5</formula>
    </cfRule>
  </conditionalFormatting>
  <conditionalFormatting sqref="D48">
    <cfRule type="cellIs" dxfId="33925" priority="106689" stopIfTrue="1" operator="greaterThanOrEqual">
      <formula>0.5</formula>
    </cfRule>
  </conditionalFormatting>
  <conditionalFormatting sqref="D49">
    <cfRule type="cellIs" dxfId="33924" priority="106690" stopIfTrue="1" operator="equal">
      <formula>-1</formula>
    </cfRule>
  </conditionalFormatting>
  <conditionalFormatting sqref="D49">
    <cfRule type="cellIs" dxfId="33923" priority="106691" stopIfTrue="1" operator="lessThan">
      <formula>0.5</formula>
    </cfRule>
  </conditionalFormatting>
  <conditionalFormatting sqref="D49">
    <cfRule type="cellIs" dxfId="33922" priority="106692" stopIfTrue="1" operator="greaterThanOrEqual">
      <formula>0.5</formula>
    </cfRule>
  </conditionalFormatting>
  <conditionalFormatting sqref="D50">
    <cfRule type="cellIs" dxfId="33921" priority="106693" stopIfTrue="1" operator="equal">
      <formula>-1</formula>
    </cfRule>
  </conditionalFormatting>
  <conditionalFormatting sqref="D50">
    <cfRule type="cellIs" dxfId="33920" priority="106694" stopIfTrue="1" operator="lessThan">
      <formula>0.5</formula>
    </cfRule>
  </conditionalFormatting>
  <conditionalFormatting sqref="D50">
    <cfRule type="cellIs" dxfId="33919" priority="106695" stopIfTrue="1" operator="greaterThanOrEqual">
      <formula>0.5</formula>
    </cfRule>
  </conditionalFormatting>
  <conditionalFormatting sqref="D51">
    <cfRule type="cellIs" dxfId="33918" priority="106696" stopIfTrue="1" operator="equal">
      <formula>-1</formula>
    </cfRule>
  </conditionalFormatting>
  <conditionalFormatting sqref="D51">
    <cfRule type="cellIs" dxfId="33917" priority="106697" stopIfTrue="1" operator="lessThan">
      <formula>0.5</formula>
    </cfRule>
  </conditionalFormatting>
  <conditionalFormatting sqref="D51">
    <cfRule type="cellIs" dxfId="33916" priority="106698" stopIfTrue="1" operator="greaterThanOrEqual">
      <formula>0.5</formula>
    </cfRule>
  </conditionalFormatting>
  <conditionalFormatting sqref="D52">
    <cfRule type="cellIs" dxfId="33915" priority="106699" stopIfTrue="1" operator="equal">
      <formula>-1</formula>
    </cfRule>
  </conditionalFormatting>
  <conditionalFormatting sqref="D52">
    <cfRule type="cellIs" dxfId="33914" priority="106700" stopIfTrue="1" operator="lessThan">
      <formula>0.5</formula>
    </cfRule>
  </conditionalFormatting>
  <conditionalFormatting sqref="D52">
    <cfRule type="cellIs" dxfId="33913" priority="106701" stopIfTrue="1" operator="greaterThanOrEqual">
      <formula>0.5</formula>
    </cfRule>
  </conditionalFormatting>
  <conditionalFormatting sqref="D53">
    <cfRule type="cellIs" dxfId="33912" priority="106702" stopIfTrue="1" operator="equal">
      <formula>-1</formula>
    </cfRule>
  </conditionalFormatting>
  <conditionalFormatting sqref="D53">
    <cfRule type="cellIs" dxfId="33911" priority="106703" stopIfTrue="1" operator="lessThan">
      <formula>0.5</formula>
    </cfRule>
  </conditionalFormatting>
  <conditionalFormatting sqref="D53">
    <cfRule type="cellIs" dxfId="33910" priority="106704" stopIfTrue="1" operator="greaterThanOrEqual">
      <formula>0.5</formula>
    </cfRule>
  </conditionalFormatting>
  <conditionalFormatting sqref="D54">
    <cfRule type="cellIs" dxfId="33909" priority="106705" stopIfTrue="1" operator="equal">
      <formula>-1</formula>
    </cfRule>
  </conditionalFormatting>
  <conditionalFormatting sqref="D54">
    <cfRule type="cellIs" dxfId="33908" priority="106706" stopIfTrue="1" operator="lessThan">
      <formula>0.5</formula>
    </cfRule>
  </conditionalFormatting>
  <conditionalFormatting sqref="D54">
    <cfRule type="cellIs" dxfId="33907" priority="106707" stopIfTrue="1" operator="greaterThanOrEqual">
      <formula>0.5</formula>
    </cfRule>
  </conditionalFormatting>
  <conditionalFormatting sqref="D55">
    <cfRule type="cellIs" dxfId="33906" priority="106708" stopIfTrue="1" operator="equal">
      <formula>-1</formula>
    </cfRule>
  </conditionalFormatting>
  <conditionalFormatting sqref="D55">
    <cfRule type="cellIs" dxfId="33905" priority="106709" stopIfTrue="1" operator="lessThan">
      <formula>0.5</formula>
    </cfRule>
  </conditionalFormatting>
  <conditionalFormatting sqref="D55">
    <cfRule type="cellIs" dxfId="33904" priority="106710" stopIfTrue="1" operator="greaterThanOrEqual">
      <formula>0.5</formula>
    </cfRule>
  </conditionalFormatting>
  <conditionalFormatting sqref="D56">
    <cfRule type="cellIs" dxfId="33903" priority="106711" stopIfTrue="1" operator="equal">
      <formula>-1</formula>
    </cfRule>
  </conditionalFormatting>
  <conditionalFormatting sqref="D56">
    <cfRule type="cellIs" dxfId="33902" priority="106712" stopIfTrue="1" operator="lessThan">
      <formula>0.5</formula>
    </cfRule>
  </conditionalFormatting>
  <conditionalFormatting sqref="D56">
    <cfRule type="cellIs" dxfId="33901" priority="106713" stopIfTrue="1" operator="greaterThanOrEqual">
      <formula>0.5</formula>
    </cfRule>
  </conditionalFormatting>
  <conditionalFormatting sqref="D57">
    <cfRule type="cellIs" dxfId="33900" priority="106714" stopIfTrue="1" operator="equal">
      <formula>-1</formula>
    </cfRule>
  </conditionalFormatting>
  <conditionalFormatting sqref="D57">
    <cfRule type="cellIs" dxfId="33899" priority="106715" stopIfTrue="1" operator="lessThan">
      <formula>0.5</formula>
    </cfRule>
  </conditionalFormatting>
  <conditionalFormatting sqref="D57">
    <cfRule type="cellIs" dxfId="33898" priority="106716" stopIfTrue="1" operator="greaterThanOrEqual">
      <formula>0.5</formula>
    </cfRule>
  </conditionalFormatting>
  <conditionalFormatting sqref="D58">
    <cfRule type="cellIs" dxfId="33897" priority="106717" stopIfTrue="1" operator="equal">
      <formula>-1</formula>
    </cfRule>
  </conditionalFormatting>
  <conditionalFormatting sqref="D58">
    <cfRule type="cellIs" dxfId="33896" priority="106718" stopIfTrue="1" operator="lessThan">
      <formula>0.5</formula>
    </cfRule>
  </conditionalFormatting>
  <conditionalFormatting sqref="D58">
    <cfRule type="cellIs" dxfId="33895" priority="106719" stopIfTrue="1" operator="greaterThanOrEqual">
      <formula>0.5</formula>
    </cfRule>
  </conditionalFormatting>
  <conditionalFormatting sqref="F39">
    <cfRule type="cellIs" dxfId="33894" priority="106720" stopIfTrue="1" operator="equal">
      <formula>-1</formula>
    </cfRule>
  </conditionalFormatting>
  <conditionalFormatting sqref="F39">
    <cfRule type="cellIs" dxfId="33893" priority="106721" stopIfTrue="1" operator="lessThan">
      <formula>0.5</formula>
    </cfRule>
  </conditionalFormatting>
  <conditionalFormatting sqref="F39">
    <cfRule type="cellIs" dxfId="33892" priority="106722" stopIfTrue="1" operator="greaterThanOrEqual">
      <formula>0.5</formula>
    </cfRule>
  </conditionalFormatting>
  <conditionalFormatting sqref="F40">
    <cfRule type="cellIs" dxfId="33891" priority="106723" stopIfTrue="1" operator="equal">
      <formula>-1</formula>
    </cfRule>
  </conditionalFormatting>
  <conditionalFormatting sqref="F40">
    <cfRule type="cellIs" dxfId="33890" priority="106724" stopIfTrue="1" operator="lessThan">
      <formula>0.5</formula>
    </cfRule>
  </conditionalFormatting>
  <conditionalFormatting sqref="F40">
    <cfRule type="cellIs" dxfId="33889" priority="106725" stopIfTrue="1" operator="greaterThanOrEqual">
      <formula>0.5</formula>
    </cfRule>
  </conditionalFormatting>
  <conditionalFormatting sqref="F41">
    <cfRule type="cellIs" dxfId="33888" priority="106726" stopIfTrue="1" operator="equal">
      <formula>-1</formula>
    </cfRule>
  </conditionalFormatting>
  <conditionalFormatting sqref="F41">
    <cfRule type="cellIs" dxfId="33887" priority="106727" stopIfTrue="1" operator="lessThan">
      <formula>0.5</formula>
    </cfRule>
  </conditionalFormatting>
  <conditionalFormatting sqref="F41">
    <cfRule type="cellIs" dxfId="33886" priority="106728" stopIfTrue="1" operator="greaterThanOrEqual">
      <formula>0.5</formula>
    </cfRule>
  </conditionalFormatting>
  <conditionalFormatting sqref="F42">
    <cfRule type="cellIs" dxfId="33885" priority="106729" stopIfTrue="1" operator="equal">
      <formula>-1</formula>
    </cfRule>
  </conditionalFormatting>
  <conditionalFormatting sqref="F42">
    <cfRule type="cellIs" dxfId="33884" priority="106730" stopIfTrue="1" operator="lessThan">
      <formula>0.5</formula>
    </cfRule>
  </conditionalFormatting>
  <conditionalFormatting sqref="F42">
    <cfRule type="cellIs" dxfId="33883" priority="106731" stopIfTrue="1" operator="greaterThanOrEqual">
      <formula>0.5</formula>
    </cfRule>
  </conditionalFormatting>
  <conditionalFormatting sqref="F43">
    <cfRule type="cellIs" dxfId="33882" priority="106732" stopIfTrue="1" operator="equal">
      <formula>-1</formula>
    </cfRule>
  </conditionalFormatting>
  <conditionalFormatting sqref="F43">
    <cfRule type="cellIs" dxfId="33881" priority="106733" stopIfTrue="1" operator="lessThan">
      <formula>0.5</formula>
    </cfRule>
  </conditionalFormatting>
  <conditionalFormatting sqref="F43">
    <cfRule type="cellIs" dxfId="33880" priority="106734" stopIfTrue="1" operator="greaterThanOrEqual">
      <formula>0.5</formula>
    </cfRule>
  </conditionalFormatting>
  <conditionalFormatting sqref="F44">
    <cfRule type="cellIs" dxfId="33879" priority="106735" stopIfTrue="1" operator="equal">
      <formula>-1</formula>
    </cfRule>
  </conditionalFormatting>
  <conditionalFormatting sqref="F44">
    <cfRule type="cellIs" dxfId="33878" priority="106736" stopIfTrue="1" operator="lessThan">
      <formula>0.5</formula>
    </cfRule>
  </conditionalFormatting>
  <conditionalFormatting sqref="F44">
    <cfRule type="cellIs" dxfId="33877" priority="106737" stopIfTrue="1" operator="greaterThanOrEqual">
      <formula>0.5</formula>
    </cfRule>
  </conditionalFormatting>
  <conditionalFormatting sqref="F45">
    <cfRule type="cellIs" dxfId="33876" priority="106738" stopIfTrue="1" operator="equal">
      <formula>-1</formula>
    </cfRule>
  </conditionalFormatting>
  <conditionalFormatting sqref="F45">
    <cfRule type="cellIs" dxfId="33875" priority="106739" stopIfTrue="1" operator="lessThan">
      <formula>0.5</formula>
    </cfRule>
  </conditionalFormatting>
  <conditionalFormatting sqref="F45">
    <cfRule type="cellIs" dxfId="33874" priority="106740" stopIfTrue="1" operator="greaterThanOrEqual">
      <formula>0.5</formula>
    </cfRule>
  </conditionalFormatting>
  <conditionalFormatting sqref="F46">
    <cfRule type="cellIs" dxfId="33873" priority="106741" stopIfTrue="1" operator="equal">
      <formula>-1</formula>
    </cfRule>
  </conditionalFormatting>
  <conditionalFormatting sqref="F46">
    <cfRule type="cellIs" dxfId="33872" priority="106742" stopIfTrue="1" operator="lessThan">
      <formula>0.5</formula>
    </cfRule>
  </conditionalFormatting>
  <conditionalFormatting sqref="F46">
    <cfRule type="cellIs" dxfId="33871" priority="106743" stopIfTrue="1" operator="greaterThanOrEqual">
      <formula>0.5</formula>
    </cfRule>
  </conditionalFormatting>
  <conditionalFormatting sqref="F47">
    <cfRule type="cellIs" dxfId="33870" priority="106744" stopIfTrue="1" operator="equal">
      <formula>-1</formula>
    </cfRule>
  </conditionalFormatting>
  <conditionalFormatting sqref="F47">
    <cfRule type="cellIs" dxfId="33869" priority="106745" stopIfTrue="1" operator="lessThan">
      <formula>0.5</formula>
    </cfRule>
  </conditionalFormatting>
  <conditionalFormatting sqref="F47">
    <cfRule type="cellIs" dxfId="33868" priority="106746" stopIfTrue="1" operator="greaterThanOrEqual">
      <formula>0.5</formula>
    </cfRule>
  </conditionalFormatting>
  <conditionalFormatting sqref="F48">
    <cfRule type="cellIs" dxfId="33867" priority="106747" stopIfTrue="1" operator="equal">
      <formula>-1</formula>
    </cfRule>
  </conditionalFormatting>
  <conditionalFormatting sqref="F48">
    <cfRule type="cellIs" dxfId="33866" priority="106748" stopIfTrue="1" operator="lessThan">
      <formula>0.5</formula>
    </cfRule>
  </conditionalFormatting>
  <conditionalFormatting sqref="F48">
    <cfRule type="cellIs" dxfId="33865" priority="106749" stopIfTrue="1" operator="greaterThanOrEqual">
      <formula>0.5</formula>
    </cfRule>
  </conditionalFormatting>
  <conditionalFormatting sqref="F49">
    <cfRule type="cellIs" dxfId="33864" priority="106750" stopIfTrue="1" operator="equal">
      <formula>-1</formula>
    </cfRule>
  </conditionalFormatting>
  <conditionalFormatting sqref="F49">
    <cfRule type="cellIs" dxfId="33863" priority="106751" stopIfTrue="1" operator="lessThan">
      <formula>0.5</formula>
    </cfRule>
  </conditionalFormatting>
  <conditionalFormatting sqref="F49">
    <cfRule type="cellIs" dxfId="33862" priority="106752" stopIfTrue="1" operator="greaterThanOrEqual">
      <formula>0.5</formula>
    </cfRule>
  </conditionalFormatting>
  <conditionalFormatting sqref="F50">
    <cfRule type="cellIs" dxfId="33861" priority="106753" stopIfTrue="1" operator="equal">
      <formula>-1</formula>
    </cfRule>
  </conditionalFormatting>
  <conditionalFormatting sqref="F50">
    <cfRule type="cellIs" dxfId="33860" priority="106754" stopIfTrue="1" operator="lessThan">
      <formula>0.5</formula>
    </cfRule>
  </conditionalFormatting>
  <conditionalFormatting sqref="F50">
    <cfRule type="cellIs" dxfId="33859" priority="106755" stopIfTrue="1" operator="greaterThanOrEqual">
      <formula>0.5</formula>
    </cfRule>
  </conditionalFormatting>
  <conditionalFormatting sqref="F51">
    <cfRule type="cellIs" dxfId="33858" priority="106756" stopIfTrue="1" operator="equal">
      <formula>-1</formula>
    </cfRule>
  </conditionalFormatting>
  <conditionalFormatting sqref="F51">
    <cfRule type="cellIs" dxfId="33857" priority="106757" stopIfTrue="1" operator="lessThan">
      <formula>0.5</formula>
    </cfRule>
  </conditionalFormatting>
  <conditionalFormatting sqref="F51">
    <cfRule type="cellIs" dxfId="33856" priority="106758" stopIfTrue="1" operator="greaterThanOrEqual">
      <formula>0.5</formula>
    </cfRule>
  </conditionalFormatting>
  <conditionalFormatting sqref="F52">
    <cfRule type="cellIs" dxfId="33855" priority="106759" stopIfTrue="1" operator="equal">
      <formula>-1</formula>
    </cfRule>
  </conditionalFormatting>
  <conditionalFormatting sqref="F52">
    <cfRule type="cellIs" dxfId="33854" priority="106760" stopIfTrue="1" operator="lessThan">
      <formula>0.5</formula>
    </cfRule>
  </conditionalFormatting>
  <conditionalFormatting sqref="F52">
    <cfRule type="cellIs" dxfId="33853" priority="106761" stopIfTrue="1" operator="greaterThanOrEqual">
      <formula>0.5</formula>
    </cfRule>
  </conditionalFormatting>
  <conditionalFormatting sqref="F53">
    <cfRule type="cellIs" dxfId="33852" priority="106762" stopIfTrue="1" operator="equal">
      <formula>-1</formula>
    </cfRule>
  </conditionalFormatting>
  <conditionalFormatting sqref="F53">
    <cfRule type="cellIs" dxfId="33851" priority="106763" stopIfTrue="1" operator="lessThan">
      <formula>0.5</formula>
    </cfRule>
  </conditionalFormatting>
  <conditionalFormatting sqref="F53">
    <cfRule type="cellIs" dxfId="33850" priority="106764" stopIfTrue="1" operator="greaterThanOrEqual">
      <formula>0.5</formula>
    </cfRule>
  </conditionalFormatting>
  <conditionalFormatting sqref="F54">
    <cfRule type="cellIs" dxfId="33849" priority="106765" stopIfTrue="1" operator="equal">
      <formula>-1</formula>
    </cfRule>
  </conditionalFormatting>
  <conditionalFormatting sqref="F54">
    <cfRule type="cellIs" dxfId="33848" priority="106766" stopIfTrue="1" operator="lessThan">
      <formula>0.5</formula>
    </cfRule>
  </conditionalFormatting>
  <conditionalFormatting sqref="F54">
    <cfRule type="cellIs" dxfId="33847" priority="106767" stopIfTrue="1" operator="greaterThanOrEqual">
      <formula>0.5</formula>
    </cfRule>
  </conditionalFormatting>
  <conditionalFormatting sqref="F55">
    <cfRule type="cellIs" dxfId="33846" priority="106768" stopIfTrue="1" operator="equal">
      <formula>-1</formula>
    </cfRule>
  </conditionalFormatting>
  <conditionalFormatting sqref="F55">
    <cfRule type="cellIs" dxfId="33845" priority="106769" stopIfTrue="1" operator="lessThan">
      <formula>0.5</formula>
    </cfRule>
  </conditionalFormatting>
  <conditionalFormatting sqref="F55">
    <cfRule type="cellIs" dxfId="33844" priority="106770" stopIfTrue="1" operator="greaterThanOrEqual">
      <formula>0.5</formula>
    </cfRule>
  </conditionalFormatting>
  <conditionalFormatting sqref="F56">
    <cfRule type="cellIs" dxfId="33843" priority="106771" stopIfTrue="1" operator="equal">
      <formula>-1</formula>
    </cfRule>
  </conditionalFormatting>
  <conditionalFormatting sqref="F56">
    <cfRule type="cellIs" dxfId="33842" priority="106772" stopIfTrue="1" operator="lessThan">
      <formula>0.5</formula>
    </cfRule>
  </conditionalFormatting>
  <conditionalFormatting sqref="F56">
    <cfRule type="cellIs" dxfId="33841" priority="106773" stopIfTrue="1" operator="greaterThanOrEqual">
      <formula>0.5</formula>
    </cfRule>
  </conditionalFormatting>
  <conditionalFormatting sqref="F57">
    <cfRule type="cellIs" dxfId="33840" priority="106774" stopIfTrue="1" operator="equal">
      <formula>-1</formula>
    </cfRule>
  </conditionalFormatting>
  <conditionalFormatting sqref="F57">
    <cfRule type="cellIs" dxfId="33839" priority="106775" stopIfTrue="1" operator="lessThan">
      <formula>0.5</formula>
    </cfRule>
  </conditionalFormatting>
  <conditionalFormatting sqref="F57">
    <cfRule type="cellIs" dxfId="33838" priority="106776" stopIfTrue="1" operator="greaterThanOrEqual">
      <formula>0.5</formula>
    </cfRule>
  </conditionalFormatting>
  <conditionalFormatting sqref="F58">
    <cfRule type="cellIs" dxfId="33837" priority="106777" stopIfTrue="1" operator="equal">
      <formula>-1</formula>
    </cfRule>
  </conditionalFormatting>
  <conditionalFormatting sqref="F58">
    <cfRule type="cellIs" dxfId="33836" priority="106778" stopIfTrue="1" operator="lessThan">
      <formula>0.5</formula>
    </cfRule>
  </conditionalFormatting>
  <conditionalFormatting sqref="F58">
    <cfRule type="cellIs" dxfId="33835" priority="106779" stopIfTrue="1" operator="greaterThanOrEqual">
      <formula>0.5</formula>
    </cfRule>
  </conditionalFormatting>
  <conditionalFormatting sqref="H39">
    <cfRule type="cellIs" dxfId="33834" priority="106780" stopIfTrue="1" operator="equal">
      <formula>-1</formula>
    </cfRule>
  </conditionalFormatting>
  <conditionalFormatting sqref="H39">
    <cfRule type="cellIs" dxfId="33833" priority="106781" stopIfTrue="1" operator="lessThan">
      <formula>0.5</formula>
    </cfRule>
  </conditionalFormatting>
  <conditionalFormatting sqref="H39">
    <cfRule type="cellIs" dxfId="33832" priority="106782" stopIfTrue="1" operator="greaterThanOrEqual">
      <formula>0.5</formula>
    </cfRule>
  </conditionalFormatting>
  <conditionalFormatting sqref="H40">
    <cfRule type="cellIs" dxfId="33831" priority="106783" stopIfTrue="1" operator="equal">
      <formula>-1</formula>
    </cfRule>
  </conditionalFormatting>
  <conditionalFormatting sqref="H40">
    <cfRule type="cellIs" dxfId="33830" priority="106784" stopIfTrue="1" operator="lessThan">
      <formula>0.5</formula>
    </cfRule>
  </conditionalFormatting>
  <conditionalFormatting sqref="H40">
    <cfRule type="cellIs" dxfId="33829" priority="106785" stopIfTrue="1" operator="greaterThanOrEqual">
      <formula>0.5</formula>
    </cfRule>
  </conditionalFormatting>
  <conditionalFormatting sqref="H41">
    <cfRule type="cellIs" dxfId="33828" priority="106786" stopIfTrue="1" operator="equal">
      <formula>-1</formula>
    </cfRule>
  </conditionalFormatting>
  <conditionalFormatting sqref="H41">
    <cfRule type="cellIs" dxfId="33827" priority="106787" stopIfTrue="1" operator="lessThan">
      <formula>0.5</formula>
    </cfRule>
  </conditionalFormatting>
  <conditionalFormatting sqref="H41">
    <cfRule type="cellIs" dxfId="33826" priority="106788" stopIfTrue="1" operator="greaterThanOrEqual">
      <formula>0.5</formula>
    </cfRule>
  </conditionalFormatting>
  <conditionalFormatting sqref="H42">
    <cfRule type="cellIs" dxfId="33825" priority="106789" stopIfTrue="1" operator="equal">
      <formula>-1</formula>
    </cfRule>
  </conditionalFormatting>
  <conditionalFormatting sqref="H42">
    <cfRule type="cellIs" dxfId="33824" priority="106790" stopIfTrue="1" operator="lessThan">
      <formula>0.5</formula>
    </cfRule>
  </conditionalFormatting>
  <conditionalFormatting sqref="H42">
    <cfRule type="cellIs" dxfId="33823" priority="106791" stopIfTrue="1" operator="greaterThanOrEqual">
      <formula>0.5</formula>
    </cfRule>
  </conditionalFormatting>
  <conditionalFormatting sqref="H43">
    <cfRule type="cellIs" dxfId="33822" priority="106792" stopIfTrue="1" operator="equal">
      <formula>-1</formula>
    </cfRule>
  </conditionalFormatting>
  <conditionalFormatting sqref="H43">
    <cfRule type="cellIs" dxfId="33821" priority="106793" stopIfTrue="1" operator="lessThan">
      <formula>0.5</formula>
    </cfRule>
  </conditionalFormatting>
  <conditionalFormatting sqref="H43">
    <cfRule type="cellIs" dxfId="33820" priority="106794" stopIfTrue="1" operator="greaterThanOrEqual">
      <formula>0.5</formula>
    </cfRule>
  </conditionalFormatting>
  <conditionalFormatting sqref="H44">
    <cfRule type="cellIs" dxfId="33819" priority="106795" stopIfTrue="1" operator="equal">
      <formula>-1</formula>
    </cfRule>
  </conditionalFormatting>
  <conditionalFormatting sqref="H44">
    <cfRule type="cellIs" dxfId="33818" priority="106796" stopIfTrue="1" operator="lessThan">
      <formula>0.5</formula>
    </cfRule>
  </conditionalFormatting>
  <conditionalFormatting sqref="H44">
    <cfRule type="cellIs" dxfId="33817" priority="106797" stopIfTrue="1" operator="greaterThanOrEqual">
      <formula>0.5</formula>
    </cfRule>
  </conditionalFormatting>
  <conditionalFormatting sqref="H45">
    <cfRule type="cellIs" dxfId="33816" priority="106798" stopIfTrue="1" operator="equal">
      <formula>-1</formula>
    </cfRule>
  </conditionalFormatting>
  <conditionalFormatting sqref="H45">
    <cfRule type="cellIs" dxfId="33815" priority="106799" stopIfTrue="1" operator="lessThan">
      <formula>0.5</formula>
    </cfRule>
  </conditionalFormatting>
  <conditionalFormatting sqref="H45">
    <cfRule type="cellIs" dxfId="33814" priority="106800" stopIfTrue="1" operator="greaterThanOrEqual">
      <formula>0.5</formula>
    </cfRule>
  </conditionalFormatting>
  <conditionalFormatting sqref="H46">
    <cfRule type="cellIs" dxfId="33813" priority="106801" stopIfTrue="1" operator="equal">
      <formula>-1</formula>
    </cfRule>
  </conditionalFormatting>
  <conditionalFormatting sqref="H46">
    <cfRule type="cellIs" dxfId="33812" priority="106802" stopIfTrue="1" operator="lessThan">
      <formula>0.5</formula>
    </cfRule>
  </conditionalFormatting>
  <conditionalFormatting sqref="H46">
    <cfRule type="cellIs" dxfId="33811" priority="106803" stopIfTrue="1" operator="greaterThanOrEqual">
      <formula>0.5</formula>
    </cfRule>
  </conditionalFormatting>
  <conditionalFormatting sqref="H47">
    <cfRule type="cellIs" dxfId="33810" priority="106804" stopIfTrue="1" operator="equal">
      <formula>-1</formula>
    </cfRule>
  </conditionalFormatting>
  <conditionalFormatting sqref="H47">
    <cfRule type="cellIs" dxfId="33809" priority="106805" stopIfTrue="1" operator="lessThan">
      <formula>0.5</formula>
    </cfRule>
  </conditionalFormatting>
  <conditionalFormatting sqref="H47">
    <cfRule type="cellIs" dxfId="33808" priority="106806" stopIfTrue="1" operator="greaterThanOrEqual">
      <formula>0.5</formula>
    </cfRule>
  </conditionalFormatting>
  <conditionalFormatting sqref="H48">
    <cfRule type="cellIs" dxfId="33807" priority="106807" stopIfTrue="1" operator="equal">
      <formula>-1</formula>
    </cfRule>
  </conditionalFormatting>
  <conditionalFormatting sqref="H48">
    <cfRule type="cellIs" dxfId="33806" priority="106808" stopIfTrue="1" operator="lessThan">
      <formula>0.5</formula>
    </cfRule>
  </conditionalFormatting>
  <conditionalFormatting sqref="H48">
    <cfRule type="cellIs" dxfId="33805" priority="106809" stopIfTrue="1" operator="greaterThanOrEqual">
      <formula>0.5</formula>
    </cfRule>
  </conditionalFormatting>
  <conditionalFormatting sqref="H49">
    <cfRule type="cellIs" dxfId="33804" priority="106810" stopIfTrue="1" operator="equal">
      <formula>-1</formula>
    </cfRule>
  </conditionalFormatting>
  <conditionalFormatting sqref="H49">
    <cfRule type="cellIs" dxfId="33803" priority="106811" stopIfTrue="1" operator="lessThan">
      <formula>0.5</formula>
    </cfRule>
  </conditionalFormatting>
  <conditionalFormatting sqref="H49">
    <cfRule type="cellIs" dxfId="33802" priority="106812" stopIfTrue="1" operator="greaterThanOrEqual">
      <formula>0.5</formula>
    </cfRule>
  </conditionalFormatting>
  <conditionalFormatting sqref="H50">
    <cfRule type="cellIs" dxfId="33801" priority="106813" stopIfTrue="1" operator="equal">
      <formula>-1</formula>
    </cfRule>
  </conditionalFormatting>
  <conditionalFormatting sqref="H50">
    <cfRule type="cellIs" dxfId="33800" priority="106814" stopIfTrue="1" operator="lessThan">
      <formula>0.5</formula>
    </cfRule>
  </conditionalFormatting>
  <conditionalFormatting sqref="H50">
    <cfRule type="cellIs" dxfId="33799" priority="106815" stopIfTrue="1" operator="greaterThanOrEqual">
      <formula>0.5</formula>
    </cfRule>
  </conditionalFormatting>
  <conditionalFormatting sqref="H51">
    <cfRule type="cellIs" dxfId="33798" priority="106816" stopIfTrue="1" operator="equal">
      <formula>-1</formula>
    </cfRule>
  </conditionalFormatting>
  <conditionalFormatting sqref="H51">
    <cfRule type="cellIs" dxfId="33797" priority="106817" stopIfTrue="1" operator="lessThan">
      <formula>0.5</formula>
    </cfRule>
  </conditionalFormatting>
  <conditionalFormatting sqref="H51">
    <cfRule type="cellIs" dxfId="33796" priority="106818" stopIfTrue="1" operator="greaterThanOrEqual">
      <formula>0.5</formula>
    </cfRule>
  </conditionalFormatting>
  <conditionalFormatting sqref="H52">
    <cfRule type="cellIs" dxfId="33795" priority="106819" stopIfTrue="1" operator="equal">
      <formula>-1</formula>
    </cfRule>
  </conditionalFormatting>
  <conditionalFormatting sqref="H52">
    <cfRule type="cellIs" dxfId="33794" priority="106820" stopIfTrue="1" operator="lessThan">
      <formula>0.5</formula>
    </cfRule>
  </conditionalFormatting>
  <conditionalFormatting sqref="H52">
    <cfRule type="cellIs" dxfId="33793" priority="106821" stopIfTrue="1" operator="greaterThanOrEqual">
      <formula>0.5</formula>
    </cfRule>
  </conditionalFormatting>
  <conditionalFormatting sqref="H53">
    <cfRule type="cellIs" dxfId="33792" priority="106822" stopIfTrue="1" operator="equal">
      <formula>-1</formula>
    </cfRule>
  </conditionalFormatting>
  <conditionalFormatting sqref="H53">
    <cfRule type="cellIs" dxfId="33791" priority="106823" stopIfTrue="1" operator="lessThan">
      <formula>0.5</formula>
    </cfRule>
  </conditionalFormatting>
  <conditionalFormatting sqref="H53">
    <cfRule type="cellIs" dxfId="33790" priority="106824" stopIfTrue="1" operator="greaterThanOrEqual">
      <formula>0.5</formula>
    </cfRule>
  </conditionalFormatting>
  <conditionalFormatting sqref="H54">
    <cfRule type="cellIs" dxfId="33789" priority="106825" stopIfTrue="1" operator="equal">
      <formula>-1</formula>
    </cfRule>
  </conditionalFormatting>
  <conditionalFormatting sqref="H54">
    <cfRule type="cellIs" dxfId="33788" priority="106826" stopIfTrue="1" operator="lessThan">
      <formula>0.5</formula>
    </cfRule>
  </conditionalFormatting>
  <conditionalFormatting sqref="H54">
    <cfRule type="cellIs" dxfId="33787" priority="106827" stopIfTrue="1" operator="greaterThanOrEqual">
      <formula>0.5</formula>
    </cfRule>
  </conditionalFormatting>
  <conditionalFormatting sqref="H55">
    <cfRule type="cellIs" dxfId="33786" priority="106828" stopIfTrue="1" operator="equal">
      <formula>-1</formula>
    </cfRule>
  </conditionalFormatting>
  <conditionalFormatting sqref="H55">
    <cfRule type="cellIs" dxfId="33785" priority="106829" stopIfTrue="1" operator="lessThan">
      <formula>0.5</formula>
    </cfRule>
  </conditionalFormatting>
  <conditionalFormatting sqref="H55">
    <cfRule type="cellIs" dxfId="33784" priority="106830" stopIfTrue="1" operator="greaterThanOrEqual">
      <formula>0.5</formula>
    </cfRule>
  </conditionalFormatting>
  <conditionalFormatting sqref="H56">
    <cfRule type="cellIs" dxfId="33783" priority="106831" stopIfTrue="1" operator="equal">
      <formula>-1</formula>
    </cfRule>
  </conditionalFormatting>
  <conditionalFormatting sqref="H56">
    <cfRule type="cellIs" dxfId="33782" priority="106832" stopIfTrue="1" operator="lessThan">
      <formula>0.5</formula>
    </cfRule>
  </conditionalFormatting>
  <conditionalFormatting sqref="H56">
    <cfRule type="cellIs" dxfId="33781" priority="106833" stopIfTrue="1" operator="greaterThanOrEqual">
      <formula>0.5</formula>
    </cfRule>
  </conditionalFormatting>
  <conditionalFormatting sqref="H57">
    <cfRule type="cellIs" dxfId="33780" priority="106834" stopIfTrue="1" operator="equal">
      <formula>-1</formula>
    </cfRule>
  </conditionalFormatting>
  <conditionalFormatting sqref="H57">
    <cfRule type="cellIs" dxfId="33779" priority="106835" stopIfTrue="1" operator="lessThan">
      <formula>0.5</formula>
    </cfRule>
  </conditionalFormatting>
  <conditionalFormatting sqref="H57">
    <cfRule type="cellIs" dxfId="33778" priority="106836" stopIfTrue="1" operator="greaterThanOrEqual">
      <formula>0.5</formula>
    </cfRule>
  </conditionalFormatting>
  <conditionalFormatting sqref="H58">
    <cfRule type="cellIs" dxfId="33777" priority="106837" stopIfTrue="1" operator="equal">
      <formula>-1</formula>
    </cfRule>
  </conditionalFormatting>
  <conditionalFormatting sqref="H58">
    <cfRule type="cellIs" dxfId="33776" priority="106838" stopIfTrue="1" operator="lessThan">
      <formula>0.5</formula>
    </cfRule>
  </conditionalFormatting>
  <conditionalFormatting sqref="H58">
    <cfRule type="cellIs" dxfId="33775" priority="106839" stopIfTrue="1" operator="greaterThanOrEqual">
      <formula>0.5</formula>
    </cfRule>
  </conditionalFormatting>
  <conditionalFormatting sqref="J39">
    <cfRule type="cellIs" dxfId="33774" priority="106840" stopIfTrue="1" operator="equal">
      <formula>-1</formula>
    </cfRule>
  </conditionalFormatting>
  <conditionalFormatting sqref="J39">
    <cfRule type="cellIs" dxfId="33773" priority="106841" stopIfTrue="1" operator="lessThan">
      <formula>0.5</formula>
    </cfRule>
  </conditionalFormatting>
  <conditionalFormatting sqref="J39">
    <cfRule type="cellIs" dxfId="33772" priority="106842" stopIfTrue="1" operator="greaterThanOrEqual">
      <formula>0.5</formula>
    </cfRule>
  </conditionalFormatting>
  <conditionalFormatting sqref="J40">
    <cfRule type="cellIs" dxfId="33771" priority="106843" stopIfTrue="1" operator="equal">
      <formula>-1</formula>
    </cfRule>
  </conditionalFormatting>
  <conditionalFormatting sqref="J40">
    <cfRule type="cellIs" dxfId="33770" priority="106844" stopIfTrue="1" operator="lessThan">
      <formula>0.5</formula>
    </cfRule>
  </conditionalFormatting>
  <conditionalFormatting sqref="J40">
    <cfRule type="cellIs" dxfId="33769" priority="106845" stopIfTrue="1" operator="greaterThanOrEqual">
      <formula>0.5</formula>
    </cfRule>
  </conditionalFormatting>
  <conditionalFormatting sqref="J41">
    <cfRule type="cellIs" dxfId="33768" priority="106846" stopIfTrue="1" operator="equal">
      <formula>-1</formula>
    </cfRule>
  </conditionalFormatting>
  <conditionalFormatting sqref="J41">
    <cfRule type="cellIs" dxfId="33767" priority="106847" stopIfTrue="1" operator="lessThan">
      <formula>0.5</formula>
    </cfRule>
  </conditionalFormatting>
  <conditionalFormatting sqref="J41">
    <cfRule type="cellIs" dxfId="33766" priority="106848" stopIfTrue="1" operator="greaterThanOrEqual">
      <formula>0.5</formula>
    </cfRule>
  </conditionalFormatting>
  <conditionalFormatting sqref="J42">
    <cfRule type="cellIs" dxfId="33765" priority="106849" stopIfTrue="1" operator="equal">
      <formula>-1</formula>
    </cfRule>
  </conditionalFormatting>
  <conditionalFormatting sqref="J42">
    <cfRule type="cellIs" dxfId="33764" priority="106850" stopIfTrue="1" operator="lessThan">
      <formula>0.5</formula>
    </cfRule>
  </conditionalFormatting>
  <conditionalFormatting sqref="J42">
    <cfRule type="cellIs" dxfId="33763" priority="106851" stopIfTrue="1" operator="greaterThanOrEqual">
      <formula>0.5</formula>
    </cfRule>
  </conditionalFormatting>
  <conditionalFormatting sqref="J43">
    <cfRule type="cellIs" dxfId="33762" priority="106852" stopIfTrue="1" operator="equal">
      <formula>-1</formula>
    </cfRule>
  </conditionalFormatting>
  <conditionalFormatting sqref="J43">
    <cfRule type="cellIs" dxfId="33761" priority="106853" stopIfTrue="1" operator="lessThan">
      <formula>0.5</formula>
    </cfRule>
  </conditionalFormatting>
  <conditionalFormatting sqref="J43">
    <cfRule type="cellIs" dxfId="33760" priority="106854" stopIfTrue="1" operator="greaterThanOrEqual">
      <formula>0.5</formula>
    </cfRule>
  </conditionalFormatting>
  <conditionalFormatting sqref="J44">
    <cfRule type="cellIs" dxfId="33759" priority="106855" stopIfTrue="1" operator="equal">
      <formula>-1</formula>
    </cfRule>
  </conditionalFormatting>
  <conditionalFormatting sqref="J44">
    <cfRule type="cellIs" dxfId="33758" priority="106856" stopIfTrue="1" operator="lessThan">
      <formula>0.5</formula>
    </cfRule>
  </conditionalFormatting>
  <conditionalFormatting sqref="J44">
    <cfRule type="cellIs" dxfId="33757" priority="106857" stopIfTrue="1" operator="greaterThanOrEqual">
      <formula>0.5</formula>
    </cfRule>
  </conditionalFormatting>
  <conditionalFormatting sqref="J45">
    <cfRule type="cellIs" dxfId="33756" priority="106858" stopIfTrue="1" operator="equal">
      <formula>-1</formula>
    </cfRule>
  </conditionalFormatting>
  <conditionalFormatting sqref="J45">
    <cfRule type="cellIs" dxfId="33755" priority="106859" stopIfTrue="1" operator="lessThan">
      <formula>0.5</formula>
    </cfRule>
  </conditionalFormatting>
  <conditionalFormatting sqref="J45">
    <cfRule type="cellIs" dxfId="33754" priority="106860" stopIfTrue="1" operator="greaterThanOrEqual">
      <formula>0.5</formula>
    </cfRule>
  </conditionalFormatting>
  <conditionalFormatting sqref="J46">
    <cfRule type="cellIs" dxfId="33753" priority="106861" stopIfTrue="1" operator="equal">
      <formula>-1</formula>
    </cfRule>
  </conditionalFormatting>
  <conditionalFormatting sqref="J46">
    <cfRule type="cellIs" dxfId="33752" priority="106862" stopIfTrue="1" operator="lessThan">
      <formula>0.5</formula>
    </cfRule>
  </conditionalFormatting>
  <conditionalFormatting sqref="J46">
    <cfRule type="cellIs" dxfId="33751" priority="106863" stopIfTrue="1" operator="greaterThanOrEqual">
      <formula>0.5</formula>
    </cfRule>
  </conditionalFormatting>
  <conditionalFormatting sqref="J47">
    <cfRule type="cellIs" dxfId="33750" priority="106864" stopIfTrue="1" operator="equal">
      <formula>-1</formula>
    </cfRule>
  </conditionalFormatting>
  <conditionalFormatting sqref="J47">
    <cfRule type="cellIs" dxfId="33749" priority="106865" stopIfTrue="1" operator="lessThan">
      <formula>0.5</formula>
    </cfRule>
  </conditionalFormatting>
  <conditionalFormatting sqref="J47">
    <cfRule type="cellIs" dxfId="33748" priority="106866" stopIfTrue="1" operator="greaterThanOrEqual">
      <formula>0.5</formula>
    </cfRule>
  </conditionalFormatting>
  <conditionalFormatting sqref="J48">
    <cfRule type="cellIs" dxfId="33747" priority="106867" stopIfTrue="1" operator="equal">
      <formula>-1</formula>
    </cfRule>
  </conditionalFormatting>
  <conditionalFormatting sqref="J48">
    <cfRule type="cellIs" dxfId="33746" priority="106868" stopIfTrue="1" operator="lessThan">
      <formula>0.5</formula>
    </cfRule>
  </conditionalFormatting>
  <conditionalFormatting sqref="J48">
    <cfRule type="cellIs" dxfId="33745" priority="106869" stopIfTrue="1" operator="greaterThanOrEqual">
      <formula>0.5</formula>
    </cfRule>
  </conditionalFormatting>
  <conditionalFormatting sqref="J49">
    <cfRule type="cellIs" dxfId="33744" priority="106870" stopIfTrue="1" operator="equal">
      <formula>-1</formula>
    </cfRule>
  </conditionalFormatting>
  <conditionalFormatting sqref="J49">
    <cfRule type="cellIs" dxfId="33743" priority="106871" stopIfTrue="1" operator="lessThan">
      <formula>0.5</formula>
    </cfRule>
  </conditionalFormatting>
  <conditionalFormatting sqref="J49">
    <cfRule type="cellIs" dxfId="33742" priority="106872" stopIfTrue="1" operator="greaterThanOrEqual">
      <formula>0.5</formula>
    </cfRule>
  </conditionalFormatting>
  <conditionalFormatting sqref="J50">
    <cfRule type="cellIs" dxfId="33741" priority="106873" stopIfTrue="1" operator="equal">
      <formula>-1</formula>
    </cfRule>
  </conditionalFormatting>
  <conditionalFormatting sqref="J50">
    <cfRule type="cellIs" dxfId="33740" priority="106874" stopIfTrue="1" operator="lessThan">
      <formula>0.5</formula>
    </cfRule>
  </conditionalFormatting>
  <conditionalFormatting sqref="J50">
    <cfRule type="cellIs" dxfId="33739" priority="106875" stopIfTrue="1" operator="greaterThanOrEqual">
      <formula>0.5</formula>
    </cfRule>
  </conditionalFormatting>
  <conditionalFormatting sqref="J51">
    <cfRule type="cellIs" dxfId="33738" priority="106876" stopIfTrue="1" operator="equal">
      <formula>-1</formula>
    </cfRule>
  </conditionalFormatting>
  <conditionalFormatting sqref="J51">
    <cfRule type="cellIs" dxfId="33737" priority="106877" stopIfTrue="1" operator="lessThan">
      <formula>0.5</formula>
    </cfRule>
  </conditionalFormatting>
  <conditionalFormatting sqref="J51">
    <cfRule type="cellIs" dxfId="33736" priority="106878" stopIfTrue="1" operator="greaterThanOrEqual">
      <formula>0.5</formula>
    </cfRule>
  </conditionalFormatting>
  <conditionalFormatting sqref="J52">
    <cfRule type="cellIs" dxfId="33735" priority="106879" stopIfTrue="1" operator="equal">
      <formula>-1</formula>
    </cfRule>
  </conditionalFormatting>
  <conditionalFormatting sqref="J52">
    <cfRule type="cellIs" dxfId="33734" priority="106880" stopIfTrue="1" operator="lessThan">
      <formula>0.5</formula>
    </cfRule>
  </conditionalFormatting>
  <conditionalFormatting sqref="J52">
    <cfRule type="cellIs" dxfId="33733" priority="106881" stopIfTrue="1" operator="greaterThanOrEqual">
      <formula>0.5</formula>
    </cfRule>
  </conditionalFormatting>
  <conditionalFormatting sqref="J53">
    <cfRule type="cellIs" dxfId="33732" priority="106882" stopIfTrue="1" operator="equal">
      <formula>-1</formula>
    </cfRule>
  </conditionalFormatting>
  <conditionalFormatting sqref="J53">
    <cfRule type="cellIs" dxfId="33731" priority="106883" stopIfTrue="1" operator="lessThan">
      <formula>0.5</formula>
    </cfRule>
  </conditionalFormatting>
  <conditionalFormatting sqref="J53">
    <cfRule type="cellIs" dxfId="33730" priority="106884" stopIfTrue="1" operator="greaterThanOrEqual">
      <formula>0.5</formula>
    </cfRule>
  </conditionalFormatting>
  <conditionalFormatting sqref="J54">
    <cfRule type="cellIs" dxfId="33729" priority="106885" stopIfTrue="1" operator="equal">
      <formula>-1</formula>
    </cfRule>
  </conditionalFormatting>
  <conditionalFormatting sqref="J54">
    <cfRule type="cellIs" dxfId="33728" priority="106886" stopIfTrue="1" operator="lessThan">
      <formula>0.5</formula>
    </cfRule>
  </conditionalFormatting>
  <conditionalFormatting sqref="J54">
    <cfRule type="cellIs" dxfId="33727" priority="106887" stopIfTrue="1" operator="greaterThanOrEqual">
      <formula>0.5</formula>
    </cfRule>
  </conditionalFormatting>
  <conditionalFormatting sqref="J55">
    <cfRule type="cellIs" dxfId="33726" priority="106888" stopIfTrue="1" operator="equal">
      <formula>-1</formula>
    </cfRule>
  </conditionalFormatting>
  <conditionalFormatting sqref="J55">
    <cfRule type="cellIs" dxfId="33725" priority="106889" stopIfTrue="1" operator="lessThan">
      <formula>0.5</formula>
    </cfRule>
  </conditionalFormatting>
  <conditionalFormatting sqref="J55">
    <cfRule type="cellIs" dxfId="33724" priority="106890" stopIfTrue="1" operator="greaterThanOrEqual">
      <formula>0.5</formula>
    </cfRule>
  </conditionalFormatting>
  <conditionalFormatting sqref="J56">
    <cfRule type="cellIs" dxfId="33723" priority="106891" stopIfTrue="1" operator="equal">
      <formula>-1</formula>
    </cfRule>
  </conditionalFormatting>
  <conditionalFormatting sqref="J56">
    <cfRule type="cellIs" dxfId="33722" priority="106892" stopIfTrue="1" operator="lessThan">
      <formula>0.5</formula>
    </cfRule>
  </conditionalFormatting>
  <conditionalFormatting sqref="J56">
    <cfRule type="cellIs" dxfId="33721" priority="106893" stopIfTrue="1" operator="greaterThanOrEqual">
      <formula>0.5</formula>
    </cfRule>
  </conditionalFormatting>
  <conditionalFormatting sqref="J57">
    <cfRule type="cellIs" dxfId="33720" priority="106894" stopIfTrue="1" operator="equal">
      <formula>-1</formula>
    </cfRule>
  </conditionalFormatting>
  <conditionalFormatting sqref="J57">
    <cfRule type="cellIs" dxfId="33719" priority="106895" stopIfTrue="1" operator="lessThan">
      <formula>0.5</formula>
    </cfRule>
  </conditionalFormatting>
  <conditionalFormatting sqref="J57">
    <cfRule type="cellIs" dxfId="33718" priority="106896" stopIfTrue="1" operator="greaterThanOrEqual">
      <formula>0.5</formula>
    </cfRule>
  </conditionalFormatting>
  <conditionalFormatting sqref="J58">
    <cfRule type="cellIs" dxfId="33717" priority="106897" stopIfTrue="1" operator="equal">
      <formula>-1</formula>
    </cfRule>
  </conditionalFormatting>
  <conditionalFormatting sqref="J58">
    <cfRule type="cellIs" dxfId="33716" priority="106898" stopIfTrue="1" operator="lessThan">
      <formula>0.5</formula>
    </cfRule>
  </conditionalFormatting>
  <conditionalFormatting sqref="J58">
    <cfRule type="cellIs" dxfId="33715" priority="106899" stopIfTrue="1" operator="greaterThanOrEqual">
      <formula>0.5</formula>
    </cfRule>
  </conditionalFormatting>
  <conditionalFormatting sqref="L39">
    <cfRule type="cellIs" dxfId="33714" priority="106900" stopIfTrue="1" operator="equal">
      <formula>-1</formula>
    </cfRule>
  </conditionalFormatting>
  <conditionalFormatting sqref="L39">
    <cfRule type="cellIs" dxfId="33713" priority="106901" stopIfTrue="1" operator="lessThan">
      <formula>0.5</formula>
    </cfRule>
  </conditionalFormatting>
  <conditionalFormatting sqref="L39">
    <cfRule type="cellIs" dxfId="33712" priority="106902" stopIfTrue="1" operator="greaterThanOrEqual">
      <formula>0.5</formula>
    </cfRule>
  </conditionalFormatting>
  <conditionalFormatting sqref="L40">
    <cfRule type="cellIs" dxfId="33711" priority="106903" stopIfTrue="1" operator="equal">
      <formula>-1</formula>
    </cfRule>
  </conditionalFormatting>
  <conditionalFormatting sqref="L40">
    <cfRule type="cellIs" dxfId="33710" priority="106904" stopIfTrue="1" operator="lessThan">
      <formula>0.5</formula>
    </cfRule>
  </conditionalFormatting>
  <conditionalFormatting sqref="L40">
    <cfRule type="cellIs" dxfId="33709" priority="106905" stopIfTrue="1" operator="greaterThanOrEqual">
      <formula>0.5</formula>
    </cfRule>
  </conditionalFormatting>
  <conditionalFormatting sqref="L41">
    <cfRule type="cellIs" dxfId="33708" priority="106906" stopIfTrue="1" operator="equal">
      <formula>-1</formula>
    </cfRule>
  </conditionalFormatting>
  <conditionalFormatting sqref="L41">
    <cfRule type="cellIs" dxfId="33707" priority="106907" stopIfTrue="1" operator="lessThan">
      <formula>0.5</formula>
    </cfRule>
  </conditionalFormatting>
  <conditionalFormatting sqref="L41">
    <cfRule type="cellIs" dxfId="33706" priority="106908" stopIfTrue="1" operator="greaterThanOrEqual">
      <formula>0.5</formula>
    </cfRule>
  </conditionalFormatting>
  <conditionalFormatting sqref="L42">
    <cfRule type="cellIs" dxfId="33705" priority="106909" stopIfTrue="1" operator="equal">
      <formula>-1</formula>
    </cfRule>
  </conditionalFormatting>
  <conditionalFormatting sqref="L42">
    <cfRule type="cellIs" dxfId="33704" priority="106910" stopIfTrue="1" operator="lessThan">
      <formula>0.5</formula>
    </cfRule>
  </conditionalFormatting>
  <conditionalFormatting sqref="L42">
    <cfRule type="cellIs" dxfId="33703" priority="106911" stopIfTrue="1" operator="greaterThanOrEqual">
      <formula>0.5</formula>
    </cfRule>
  </conditionalFormatting>
  <conditionalFormatting sqref="L43">
    <cfRule type="cellIs" dxfId="33702" priority="106912" stopIfTrue="1" operator="equal">
      <formula>-1</formula>
    </cfRule>
  </conditionalFormatting>
  <conditionalFormatting sqref="L43">
    <cfRule type="cellIs" dxfId="33701" priority="106913" stopIfTrue="1" operator="lessThan">
      <formula>0.5</formula>
    </cfRule>
  </conditionalFormatting>
  <conditionalFormatting sqref="L43">
    <cfRule type="cellIs" dxfId="33700" priority="106914" stopIfTrue="1" operator="greaterThanOrEqual">
      <formula>0.5</formula>
    </cfRule>
  </conditionalFormatting>
  <conditionalFormatting sqref="L44">
    <cfRule type="cellIs" dxfId="33699" priority="106915" stopIfTrue="1" operator="equal">
      <formula>-1</formula>
    </cfRule>
  </conditionalFormatting>
  <conditionalFormatting sqref="L44">
    <cfRule type="cellIs" dxfId="33698" priority="106916" stopIfTrue="1" operator="lessThan">
      <formula>0.5</formula>
    </cfRule>
  </conditionalFormatting>
  <conditionalFormatting sqref="L44">
    <cfRule type="cellIs" dxfId="33697" priority="106917" stopIfTrue="1" operator="greaterThanOrEqual">
      <formula>0.5</formula>
    </cfRule>
  </conditionalFormatting>
  <conditionalFormatting sqref="L45">
    <cfRule type="cellIs" dxfId="33696" priority="106918" stopIfTrue="1" operator="equal">
      <formula>-1</formula>
    </cfRule>
  </conditionalFormatting>
  <conditionalFormatting sqref="L45">
    <cfRule type="cellIs" dxfId="33695" priority="106919" stopIfTrue="1" operator="lessThan">
      <formula>0.5</formula>
    </cfRule>
  </conditionalFormatting>
  <conditionalFormatting sqref="L45">
    <cfRule type="cellIs" dxfId="33694" priority="106920" stopIfTrue="1" operator="greaterThanOrEqual">
      <formula>0.5</formula>
    </cfRule>
  </conditionalFormatting>
  <conditionalFormatting sqref="L46">
    <cfRule type="cellIs" dxfId="33693" priority="106921" stopIfTrue="1" operator="equal">
      <formula>-1</formula>
    </cfRule>
  </conditionalFormatting>
  <conditionalFormatting sqref="L46">
    <cfRule type="cellIs" dxfId="33692" priority="106922" stopIfTrue="1" operator="lessThan">
      <formula>0.5</formula>
    </cfRule>
  </conditionalFormatting>
  <conditionalFormatting sqref="L46">
    <cfRule type="cellIs" dxfId="33691" priority="106923" stopIfTrue="1" operator="greaterThanOrEqual">
      <formula>0.5</formula>
    </cfRule>
  </conditionalFormatting>
  <conditionalFormatting sqref="L47">
    <cfRule type="cellIs" dxfId="33690" priority="106924" stopIfTrue="1" operator="equal">
      <formula>-1</formula>
    </cfRule>
  </conditionalFormatting>
  <conditionalFormatting sqref="L47">
    <cfRule type="cellIs" dxfId="33689" priority="106925" stopIfTrue="1" operator="lessThan">
      <formula>0.5</formula>
    </cfRule>
  </conditionalFormatting>
  <conditionalFormatting sqref="L47">
    <cfRule type="cellIs" dxfId="33688" priority="106926" stopIfTrue="1" operator="greaterThanOrEqual">
      <formula>0.5</formula>
    </cfRule>
  </conditionalFormatting>
  <conditionalFormatting sqref="L48">
    <cfRule type="cellIs" dxfId="33687" priority="106927" stopIfTrue="1" operator="equal">
      <formula>-1</formula>
    </cfRule>
  </conditionalFormatting>
  <conditionalFormatting sqref="L48">
    <cfRule type="cellIs" dxfId="33686" priority="106928" stopIfTrue="1" operator="lessThan">
      <formula>0.5</formula>
    </cfRule>
  </conditionalFormatting>
  <conditionalFormatting sqref="L48">
    <cfRule type="cellIs" dxfId="33685" priority="106929" stopIfTrue="1" operator="greaterThanOrEqual">
      <formula>0.5</formula>
    </cfRule>
  </conditionalFormatting>
  <conditionalFormatting sqref="L49">
    <cfRule type="cellIs" dxfId="33684" priority="106930" stopIfTrue="1" operator="equal">
      <formula>-1</formula>
    </cfRule>
  </conditionalFormatting>
  <conditionalFormatting sqref="L49">
    <cfRule type="cellIs" dxfId="33683" priority="106931" stopIfTrue="1" operator="lessThan">
      <formula>0.5</formula>
    </cfRule>
  </conditionalFormatting>
  <conditionalFormatting sqref="L49">
    <cfRule type="cellIs" dxfId="33682" priority="106932" stopIfTrue="1" operator="greaterThanOrEqual">
      <formula>0.5</formula>
    </cfRule>
  </conditionalFormatting>
  <conditionalFormatting sqref="L50">
    <cfRule type="cellIs" dxfId="33681" priority="106933" stopIfTrue="1" operator="equal">
      <formula>-1</formula>
    </cfRule>
  </conditionalFormatting>
  <conditionalFormatting sqref="L50">
    <cfRule type="cellIs" dxfId="33680" priority="106934" stopIfTrue="1" operator="lessThan">
      <formula>0.5</formula>
    </cfRule>
  </conditionalFormatting>
  <conditionalFormatting sqref="L50">
    <cfRule type="cellIs" dxfId="33679" priority="106935" stopIfTrue="1" operator="greaterThanOrEqual">
      <formula>0.5</formula>
    </cfRule>
  </conditionalFormatting>
  <conditionalFormatting sqref="L51">
    <cfRule type="cellIs" dxfId="33678" priority="106936" stopIfTrue="1" operator="equal">
      <formula>-1</formula>
    </cfRule>
  </conditionalFormatting>
  <conditionalFormatting sqref="L51">
    <cfRule type="cellIs" dxfId="33677" priority="106937" stopIfTrue="1" operator="lessThan">
      <formula>0.5</formula>
    </cfRule>
  </conditionalFormatting>
  <conditionalFormatting sqref="L51">
    <cfRule type="cellIs" dxfId="33676" priority="106938" stopIfTrue="1" operator="greaterThanOrEqual">
      <formula>0.5</formula>
    </cfRule>
  </conditionalFormatting>
  <conditionalFormatting sqref="L52">
    <cfRule type="cellIs" dxfId="33675" priority="106939" stopIfTrue="1" operator="equal">
      <formula>-1</formula>
    </cfRule>
  </conditionalFormatting>
  <conditionalFormatting sqref="L52">
    <cfRule type="cellIs" dxfId="33674" priority="106940" stopIfTrue="1" operator="lessThan">
      <formula>0.5</formula>
    </cfRule>
  </conditionalFormatting>
  <conditionalFormatting sqref="L52">
    <cfRule type="cellIs" dxfId="33673" priority="106941" stopIfTrue="1" operator="greaterThanOrEqual">
      <formula>0.5</formula>
    </cfRule>
  </conditionalFormatting>
  <conditionalFormatting sqref="L53">
    <cfRule type="cellIs" dxfId="33672" priority="106942" stopIfTrue="1" operator="equal">
      <formula>-1</formula>
    </cfRule>
  </conditionalFormatting>
  <conditionalFormatting sqref="L53">
    <cfRule type="cellIs" dxfId="33671" priority="106943" stopIfTrue="1" operator="lessThan">
      <formula>0.5</formula>
    </cfRule>
  </conditionalFormatting>
  <conditionalFormatting sqref="L53">
    <cfRule type="cellIs" dxfId="33670" priority="106944" stopIfTrue="1" operator="greaterThanOrEqual">
      <formula>0.5</formula>
    </cfRule>
  </conditionalFormatting>
  <conditionalFormatting sqref="L54">
    <cfRule type="cellIs" dxfId="33669" priority="106945" stopIfTrue="1" operator="equal">
      <formula>-1</formula>
    </cfRule>
  </conditionalFormatting>
  <conditionalFormatting sqref="L54">
    <cfRule type="cellIs" dxfId="33668" priority="106946" stopIfTrue="1" operator="lessThan">
      <formula>0.5</formula>
    </cfRule>
  </conditionalFormatting>
  <conditionalFormatting sqref="L54">
    <cfRule type="cellIs" dxfId="33667" priority="106947" stopIfTrue="1" operator="greaterThanOrEqual">
      <formula>0.5</formula>
    </cfRule>
  </conditionalFormatting>
  <conditionalFormatting sqref="L55">
    <cfRule type="cellIs" dxfId="33666" priority="106948" stopIfTrue="1" operator="equal">
      <formula>-1</formula>
    </cfRule>
  </conditionalFormatting>
  <conditionalFormatting sqref="L55">
    <cfRule type="cellIs" dxfId="33665" priority="106949" stopIfTrue="1" operator="lessThan">
      <formula>0.5</formula>
    </cfRule>
  </conditionalFormatting>
  <conditionalFormatting sqref="L55">
    <cfRule type="cellIs" dxfId="33664" priority="106950" stopIfTrue="1" operator="greaterThanOrEqual">
      <formula>0.5</formula>
    </cfRule>
  </conditionalFormatting>
  <conditionalFormatting sqref="L56">
    <cfRule type="cellIs" dxfId="33663" priority="106951" stopIfTrue="1" operator="equal">
      <formula>-1</formula>
    </cfRule>
  </conditionalFormatting>
  <conditionalFormatting sqref="L56">
    <cfRule type="cellIs" dxfId="33662" priority="106952" stopIfTrue="1" operator="lessThan">
      <formula>0.5</formula>
    </cfRule>
  </conditionalFormatting>
  <conditionalFormatting sqref="L56">
    <cfRule type="cellIs" dxfId="33661" priority="106953" stopIfTrue="1" operator="greaterThanOrEqual">
      <formula>0.5</formula>
    </cfRule>
  </conditionalFormatting>
  <conditionalFormatting sqref="L57">
    <cfRule type="cellIs" dxfId="33660" priority="106954" stopIfTrue="1" operator="equal">
      <formula>-1</formula>
    </cfRule>
  </conditionalFormatting>
  <conditionalFormatting sqref="L57">
    <cfRule type="cellIs" dxfId="33659" priority="106955" stopIfTrue="1" operator="lessThan">
      <formula>0.5</formula>
    </cfRule>
  </conditionalFormatting>
  <conditionalFormatting sqref="L57">
    <cfRule type="cellIs" dxfId="33658" priority="106956" stopIfTrue="1" operator="greaterThanOrEqual">
      <formula>0.5</formula>
    </cfRule>
  </conditionalFormatting>
  <conditionalFormatting sqref="L58">
    <cfRule type="cellIs" dxfId="33657" priority="106957" stopIfTrue="1" operator="equal">
      <formula>-1</formula>
    </cfRule>
  </conditionalFormatting>
  <conditionalFormatting sqref="L58">
    <cfRule type="cellIs" dxfId="33656" priority="106958" stopIfTrue="1" operator="lessThan">
      <formula>0.5</formula>
    </cfRule>
  </conditionalFormatting>
  <conditionalFormatting sqref="L58">
    <cfRule type="cellIs" dxfId="33655" priority="106959" stopIfTrue="1" operator="greaterThanOrEqual">
      <formula>0.5</formula>
    </cfRule>
  </conditionalFormatting>
  <conditionalFormatting sqref="N39">
    <cfRule type="cellIs" dxfId="33654" priority="106960" stopIfTrue="1" operator="equal">
      <formula>-1</formula>
    </cfRule>
  </conditionalFormatting>
  <conditionalFormatting sqref="N39">
    <cfRule type="cellIs" dxfId="33653" priority="106961" stopIfTrue="1" operator="lessThan">
      <formula>0.5</formula>
    </cfRule>
  </conditionalFormatting>
  <conditionalFormatting sqref="N39">
    <cfRule type="cellIs" dxfId="33652" priority="106962" stopIfTrue="1" operator="greaterThanOrEqual">
      <formula>0.5</formula>
    </cfRule>
  </conditionalFormatting>
  <conditionalFormatting sqref="N40">
    <cfRule type="cellIs" dxfId="33651" priority="106963" stopIfTrue="1" operator="equal">
      <formula>-1</formula>
    </cfRule>
  </conditionalFormatting>
  <conditionalFormatting sqref="N40">
    <cfRule type="cellIs" dxfId="33650" priority="106964" stopIfTrue="1" operator="lessThan">
      <formula>0.5</formula>
    </cfRule>
  </conditionalFormatting>
  <conditionalFormatting sqref="N40">
    <cfRule type="cellIs" dxfId="33649" priority="106965" stopIfTrue="1" operator="greaterThanOrEqual">
      <formula>0.5</formula>
    </cfRule>
  </conditionalFormatting>
  <conditionalFormatting sqref="N41">
    <cfRule type="cellIs" dxfId="33648" priority="106966" stopIfTrue="1" operator="equal">
      <formula>-1</formula>
    </cfRule>
  </conditionalFormatting>
  <conditionalFormatting sqref="N41">
    <cfRule type="cellIs" dxfId="33647" priority="106967" stopIfTrue="1" operator="lessThan">
      <formula>0.5</formula>
    </cfRule>
  </conditionalFormatting>
  <conditionalFormatting sqref="N41">
    <cfRule type="cellIs" dxfId="33646" priority="106968" stopIfTrue="1" operator="greaterThanOrEqual">
      <formula>0.5</formula>
    </cfRule>
  </conditionalFormatting>
  <conditionalFormatting sqref="N42">
    <cfRule type="cellIs" dxfId="33645" priority="106969" stopIfTrue="1" operator="equal">
      <formula>-1</formula>
    </cfRule>
  </conditionalFormatting>
  <conditionalFormatting sqref="N42">
    <cfRule type="cellIs" dxfId="33644" priority="106970" stopIfTrue="1" operator="lessThan">
      <formula>0.5</formula>
    </cfRule>
  </conditionalFormatting>
  <conditionalFormatting sqref="N42">
    <cfRule type="cellIs" dxfId="33643" priority="106971" stopIfTrue="1" operator="greaterThanOrEqual">
      <formula>0.5</formula>
    </cfRule>
  </conditionalFormatting>
  <conditionalFormatting sqref="N43">
    <cfRule type="cellIs" dxfId="33642" priority="106972" stopIfTrue="1" operator="equal">
      <formula>-1</formula>
    </cfRule>
  </conditionalFormatting>
  <conditionalFormatting sqref="N43">
    <cfRule type="cellIs" dxfId="33641" priority="106973" stopIfTrue="1" operator="lessThan">
      <formula>0.5</formula>
    </cfRule>
  </conditionalFormatting>
  <conditionalFormatting sqref="N43">
    <cfRule type="cellIs" dxfId="33640" priority="106974" stopIfTrue="1" operator="greaterThanOrEqual">
      <formula>0.5</formula>
    </cfRule>
  </conditionalFormatting>
  <conditionalFormatting sqref="N44">
    <cfRule type="cellIs" dxfId="33639" priority="106975" stopIfTrue="1" operator="equal">
      <formula>-1</formula>
    </cfRule>
  </conditionalFormatting>
  <conditionalFormatting sqref="N44">
    <cfRule type="cellIs" dxfId="33638" priority="106976" stopIfTrue="1" operator="lessThan">
      <formula>0.5</formula>
    </cfRule>
  </conditionalFormatting>
  <conditionalFormatting sqref="N44">
    <cfRule type="cellIs" dxfId="33637" priority="106977" stopIfTrue="1" operator="greaterThanOrEqual">
      <formula>0.5</formula>
    </cfRule>
  </conditionalFormatting>
  <conditionalFormatting sqref="N45">
    <cfRule type="cellIs" dxfId="33636" priority="106978" stopIfTrue="1" operator="equal">
      <formula>-1</formula>
    </cfRule>
  </conditionalFormatting>
  <conditionalFormatting sqref="N45">
    <cfRule type="cellIs" dxfId="33635" priority="106979" stopIfTrue="1" operator="lessThan">
      <formula>0.5</formula>
    </cfRule>
  </conditionalFormatting>
  <conditionalFormatting sqref="N45">
    <cfRule type="cellIs" dxfId="33634" priority="106980" stopIfTrue="1" operator="greaterThanOrEqual">
      <formula>0.5</formula>
    </cfRule>
  </conditionalFormatting>
  <conditionalFormatting sqref="N46">
    <cfRule type="cellIs" dxfId="33633" priority="106981" stopIfTrue="1" operator="equal">
      <formula>-1</formula>
    </cfRule>
  </conditionalFormatting>
  <conditionalFormatting sqref="N46">
    <cfRule type="cellIs" dxfId="33632" priority="106982" stopIfTrue="1" operator="lessThan">
      <formula>0.5</formula>
    </cfRule>
  </conditionalFormatting>
  <conditionalFormatting sqref="N46">
    <cfRule type="cellIs" dxfId="33631" priority="106983" stopIfTrue="1" operator="greaterThanOrEqual">
      <formula>0.5</formula>
    </cfRule>
  </conditionalFormatting>
  <conditionalFormatting sqref="N47">
    <cfRule type="cellIs" dxfId="33630" priority="106984" stopIfTrue="1" operator="equal">
      <formula>-1</formula>
    </cfRule>
  </conditionalFormatting>
  <conditionalFormatting sqref="N47">
    <cfRule type="cellIs" dxfId="33629" priority="106985" stopIfTrue="1" operator="lessThan">
      <formula>0.5</formula>
    </cfRule>
  </conditionalFormatting>
  <conditionalFormatting sqref="N47">
    <cfRule type="cellIs" dxfId="33628" priority="106986" stopIfTrue="1" operator="greaterThanOrEqual">
      <formula>0.5</formula>
    </cfRule>
  </conditionalFormatting>
  <conditionalFormatting sqref="N48">
    <cfRule type="cellIs" dxfId="33627" priority="106987" stopIfTrue="1" operator="equal">
      <formula>-1</formula>
    </cfRule>
  </conditionalFormatting>
  <conditionalFormatting sqref="N48">
    <cfRule type="cellIs" dxfId="33626" priority="106988" stopIfTrue="1" operator="lessThan">
      <formula>0.5</formula>
    </cfRule>
  </conditionalFormatting>
  <conditionalFormatting sqref="N48">
    <cfRule type="cellIs" dxfId="33625" priority="106989" stopIfTrue="1" operator="greaterThanOrEqual">
      <formula>0.5</formula>
    </cfRule>
  </conditionalFormatting>
  <conditionalFormatting sqref="N49">
    <cfRule type="cellIs" dxfId="33624" priority="106990" stopIfTrue="1" operator="equal">
      <formula>-1</formula>
    </cfRule>
  </conditionalFormatting>
  <conditionalFormatting sqref="N49">
    <cfRule type="cellIs" dxfId="33623" priority="106991" stopIfTrue="1" operator="lessThan">
      <formula>0.5</formula>
    </cfRule>
  </conditionalFormatting>
  <conditionalFormatting sqref="N49">
    <cfRule type="cellIs" dxfId="33622" priority="106992" stopIfTrue="1" operator="greaterThanOrEqual">
      <formula>0.5</formula>
    </cfRule>
  </conditionalFormatting>
  <conditionalFormatting sqref="N50">
    <cfRule type="cellIs" dxfId="33621" priority="106993" stopIfTrue="1" operator="equal">
      <formula>-1</formula>
    </cfRule>
  </conditionalFormatting>
  <conditionalFormatting sqref="N50">
    <cfRule type="cellIs" dxfId="33620" priority="106994" stopIfTrue="1" operator="lessThan">
      <formula>0.5</formula>
    </cfRule>
  </conditionalFormatting>
  <conditionalFormatting sqref="N50">
    <cfRule type="cellIs" dxfId="33619" priority="106995" stopIfTrue="1" operator="greaterThanOrEqual">
      <formula>0.5</formula>
    </cfRule>
  </conditionalFormatting>
  <conditionalFormatting sqref="N51">
    <cfRule type="cellIs" dxfId="33618" priority="106996" stopIfTrue="1" operator="equal">
      <formula>-1</formula>
    </cfRule>
  </conditionalFormatting>
  <conditionalFormatting sqref="N51">
    <cfRule type="cellIs" dxfId="33617" priority="106997" stopIfTrue="1" operator="lessThan">
      <formula>0.5</formula>
    </cfRule>
  </conditionalFormatting>
  <conditionalFormatting sqref="N51">
    <cfRule type="cellIs" dxfId="33616" priority="106998" stopIfTrue="1" operator="greaterThanOrEqual">
      <formula>0.5</formula>
    </cfRule>
  </conditionalFormatting>
  <conditionalFormatting sqref="N52">
    <cfRule type="cellIs" dxfId="33615" priority="106999" stopIfTrue="1" operator="equal">
      <formula>-1</formula>
    </cfRule>
  </conditionalFormatting>
  <conditionalFormatting sqref="N52">
    <cfRule type="cellIs" dxfId="33614" priority="107000" stopIfTrue="1" operator="lessThan">
      <formula>0.5</formula>
    </cfRule>
  </conditionalFormatting>
  <conditionalFormatting sqref="N52">
    <cfRule type="cellIs" dxfId="33613" priority="107001" stopIfTrue="1" operator="greaterThanOrEqual">
      <formula>0.5</formula>
    </cfRule>
  </conditionalFormatting>
  <conditionalFormatting sqref="N53">
    <cfRule type="cellIs" dxfId="33612" priority="107002" stopIfTrue="1" operator="equal">
      <formula>-1</formula>
    </cfRule>
  </conditionalFormatting>
  <conditionalFormatting sqref="N53">
    <cfRule type="cellIs" dxfId="33611" priority="107003" stopIfTrue="1" operator="lessThan">
      <formula>0.5</formula>
    </cfRule>
  </conditionalFormatting>
  <conditionalFormatting sqref="N53">
    <cfRule type="cellIs" dxfId="33610" priority="107004" stopIfTrue="1" operator="greaterThanOrEqual">
      <formula>0.5</formula>
    </cfRule>
  </conditionalFormatting>
  <conditionalFormatting sqref="N54">
    <cfRule type="cellIs" dxfId="33609" priority="107005" stopIfTrue="1" operator="equal">
      <formula>-1</formula>
    </cfRule>
  </conditionalFormatting>
  <conditionalFormatting sqref="N54">
    <cfRule type="cellIs" dxfId="33608" priority="107006" stopIfTrue="1" operator="lessThan">
      <formula>0.5</formula>
    </cfRule>
  </conditionalFormatting>
  <conditionalFormatting sqref="N54">
    <cfRule type="cellIs" dxfId="33607" priority="107007" stopIfTrue="1" operator="greaterThanOrEqual">
      <formula>0.5</formula>
    </cfRule>
  </conditionalFormatting>
  <conditionalFormatting sqref="N55">
    <cfRule type="cellIs" dxfId="33606" priority="107008" stopIfTrue="1" operator="equal">
      <formula>-1</formula>
    </cfRule>
  </conditionalFormatting>
  <conditionalFormatting sqref="N55">
    <cfRule type="cellIs" dxfId="33605" priority="107009" stopIfTrue="1" operator="lessThan">
      <formula>0.5</formula>
    </cfRule>
  </conditionalFormatting>
  <conditionalFormatting sqref="N55">
    <cfRule type="cellIs" dxfId="33604" priority="107010" stopIfTrue="1" operator="greaterThanOrEqual">
      <formula>0.5</formula>
    </cfRule>
  </conditionalFormatting>
  <conditionalFormatting sqref="N56">
    <cfRule type="cellIs" dxfId="33603" priority="107011" stopIfTrue="1" operator="equal">
      <formula>-1</formula>
    </cfRule>
  </conditionalFormatting>
  <conditionalFormatting sqref="N56">
    <cfRule type="cellIs" dxfId="33602" priority="107012" stopIfTrue="1" operator="lessThan">
      <formula>0.5</formula>
    </cfRule>
  </conditionalFormatting>
  <conditionalFormatting sqref="N56">
    <cfRule type="cellIs" dxfId="33601" priority="107013" stopIfTrue="1" operator="greaterThanOrEqual">
      <formula>0.5</formula>
    </cfRule>
  </conditionalFormatting>
  <conditionalFormatting sqref="N57">
    <cfRule type="cellIs" dxfId="33600" priority="107014" stopIfTrue="1" operator="equal">
      <formula>-1</formula>
    </cfRule>
  </conditionalFormatting>
  <conditionalFormatting sqref="N57">
    <cfRule type="cellIs" dxfId="33599" priority="107015" stopIfTrue="1" operator="lessThan">
      <formula>0.5</formula>
    </cfRule>
  </conditionalFormatting>
  <conditionalFormatting sqref="N57">
    <cfRule type="cellIs" dxfId="33598" priority="107016" stopIfTrue="1" operator="greaterThanOrEqual">
      <formula>0.5</formula>
    </cfRule>
  </conditionalFormatting>
  <conditionalFormatting sqref="N58">
    <cfRule type="cellIs" dxfId="33597" priority="107017" stopIfTrue="1" operator="equal">
      <formula>-1</formula>
    </cfRule>
  </conditionalFormatting>
  <conditionalFormatting sqref="N58">
    <cfRule type="cellIs" dxfId="33596" priority="107018" stopIfTrue="1" operator="lessThan">
      <formula>0.5</formula>
    </cfRule>
  </conditionalFormatting>
  <conditionalFormatting sqref="N58">
    <cfRule type="cellIs" dxfId="33595" priority="107019" stopIfTrue="1" operator="greaterThanOrEqual">
      <formula>0.5</formula>
    </cfRule>
  </conditionalFormatting>
  <conditionalFormatting sqref="P39">
    <cfRule type="cellIs" dxfId="33594" priority="107020" stopIfTrue="1" operator="equal">
      <formula>-1</formula>
    </cfRule>
  </conditionalFormatting>
  <conditionalFormatting sqref="P39">
    <cfRule type="cellIs" dxfId="33593" priority="107021" stopIfTrue="1" operator="lessThan">
      <formula>0.5</formula>
    </cfRule>
  </conditionalFormatting>
  <conditionalFormatting sqref="P39">
    <cfRule type="cellIs" dxfId="33592" priority="107022" stopIfTrue="1" operator="greaterThanOrEqual">
      <formula>0.5</formula>
    </cfRule>
  </conditionalFormatting>
  <conditionalFormatting sqref="P40">
    <cfRule type="cellIs" dxfId="33591" priority="107023" stopIfTrue="1" operator="equal">
      <formula>-1</formula>
    </cfRule>
  </conditionalFormatting>
  <conditionalFormatting sqref="P40">
    <cfRule type="cellIs" dxfId="33590" priority="107024" stopIfTrue="1" operator="lessThan">
      <formula>0.5</formula>
    </cfRule>
  </conditionalFormatting>
  <conditionalFormatting sqref="P40">
    <cfRule type="cellIs" dxfId="33589" priority="107025" stopIfTrue="1" operator="greaterThanOrEqual">
      <formula>0.5</formula>
    </cfRule>
  </conditionalFormatting>
  <conditionalFormatting sqref="P41">
    <cfRule type="cellIs" dxfId="33588" priority="107026" stopIfTrue="1" operator="equal">
      <formula>-1</formula>
    </cfRule>
  </conditionalFormatting>
  <conditionalFormatting sqref="P41">
    <cfRule type="cellIs" dxfId="33587" priority="107027" stopIfTrue="1" operator="lessThan">
      <formula>0.5</formula>
    </cfRule>
  </conditionalFormatting>
  <conditionalFormatting sqref="P41">
    <cfRule type="cellIs" dxfId="33586" priority="107028" stopIfTrue="1" operator="greaterThanOrEqual">
      <formula>0.5</formula>
    </cfRule>
  </conditionalFormatting>
  <conditionalFormatting sqref="P42">
    <cfRule type="cellIs" dxfId="33585" priority="107029" stopIfTrue="1" operator="equal">
      <formula>-1</formula>
    </cfRule>
  </conditionalFormatting>
  <conditionalFormatting sqref="P42">
    <cfRule type="cellIs" dxfId="33584" priority="107030" stopIfTrue="1" operator="lessThan">
      <formula>0.5</formula>
    </cfRule>
  </conditionalFormatting>
  <conditionalFormatting sqref="P42">
    <cfRule type="cellIs" dxfId="33583" priority="107031" stopIfTrue="1" operator="greaterThanOrEqual">
      <formula>0.5</formula>
    </cfRule>
  </conditionalFormatting>
  <conditionalFormatting sqref="P43">
    <cfRule type="cellIs" dxfId="33582" priority="107032" stopIfTrue="1" operator="equal">
      <formula>-1</formula>
    </cfRule>
  </conditionalFormatting>
  <conditionalFormatting sqref="P43">
    <cfRule type="cellIs" dxfId="33581" priority="107033" stopIfTrue="1" operator="lessThan">
      <formula>0.5</formula>
    </cfRule>
  </conditionalFormatting>
  <conditionalFormatting sqref="P43">
    <cfRule type="cellIs" dxfId="33580" priority="107034" stopIfTrue="1" operator="greaterThanOrEqual">
      <formula>0.5</formula>
    </cfRule>
  </conditionalFormatting>
  <conditionalFormatting sqref="P44">
    <cfRule type="cellIs" dxfId="33579" priority="107035" stopIfTrue="1" operator="equal">
      <formula>-1</formula>
    </cfRule>
  </conditionalFormatting>
  <conditionalFormatting sqref="P44">
    <cfRule type="cellIs" dxfId="33578" priority="107036" stopIfTrue="1" operator="lessThan">
      <formula>0.5</formula>
    </cfRule>
  </conditionalFormatting>
  <conditionalFormatting sqref="P44">
    <cfRule type="cellIs" dxfId="33577" priority="107037" stopIfTrue="1" operator="greaterThanOrEqual">
      <formula>0.5</formula>
    </cfRule>
  </conditionalFormatting>
  <conditionalFormatting sqref="P45">
    <cfRule type="cellIs" dxfId="33576" priority="107038" stopIfTrue="1" operator="equal">
      <formula>-1</formula>
    </cfRule>
  </conditionalFormatting>
  <conditionalFormatting sqref="P45">
    <cfRule type="cellIs" dxfId="33575" priority="107039" stopIfTrue="1" operator="lessThan">
      <formula>0.5</formula>
    </cfRule>
  </conditionalFormatting>
  <conditionalFormatting sqref="P45">
    <cfRule type="cellIs" dxfId="33574" priority="107040" stopIfTrue="1" operator="greaterThanOrEqual">
      <formula>0.5</formula>
    </cfRule>
  </conditionalFormatting>
  <conditionalFormatting sqref="P46">
    <cfRule type="cellIs" dxfId="33573" priority="107041" stopIfTrue="1" operator="equal">
      <formula>-1</formula>
    </cfRule>
  </conditionalFormatting>
  <conditionalFormatting sqref="P46">
    <cfRule type="cellIs" dxfId="33572" priority="107042" stopIfTrue="1" operator="lessThan">
      <formula>0.5</formula>
    </cfRule>
  </conditionalFormatting>
  <conditionalFormatting sqref="P46">
    <cfRule type="cellIs" dxfId="33571" priority="107043" stopIfTrue="1" operator="greaterThanOrEqual">
      <formula>0.5</formula>
    </cfRule>
  </conditionalFormatting>
  <conditionalFormatting sqref="P47">
    <cfRule type="cellIs" dxfId="33570" priority="107044" stopIfTrue="1" operator="equal">
      <formula>-1</formula>
    </cfRule>
  </conditionalFormatting>
  <conditionalFormatting sqref="P47">
    <cfRule type="cellIs" dxfId="33569" priority="107045" stopIfTrue="1" operator="lessThan">
      <formula>0.5</formula>
    </cfRule>
  </conditionalFormatting>
  <conditionalFormatting sqref="P47">
    <cfRule type="cellIs" dxfId="33568" priority="107046" stopIfTrue="1" operator="greaterThanOrEqual">
      <formula>0.5</formula>
    </cfRule>
  </conditionalFormatting>
  <conditionalFormatting sqref="P48">
    <cfRule type="cellIs" dxfId="33567" priority="107047" stopIfTrue="1" operator="equal">
      <formula>-1</formula>
    </cfRule>
  </conditionalFormatting>
  <conditionalFormatting sqref="P48">
    <cfRule type="cellIs" dxfId="33566" priority="107048" stopIfTrue="1" operator="lessThan">
      <formula>0.5</formula>
    </cfRule>
  </conditionalFormatting>
  <conditionalFormatting sqref="P48">
    <cfRule type="cellIs" dxfId="33565" priority="107049" stopIfTrue="1" operator="greaterThanOrEqual">
      <formula>0.5</formula>
    </cfRule>
  </conditionalFormatting>
  <conditionalFormatting sqref="P49">
    <cfRule type="cellIs" dxfId="33564" priority="107050" stopIfTrue="1" operator="equal">
      <formula>-1</formula>
    </cfRule>
  </conditionalFormatting>
  <conditionalFormatting sqref="P49">
    <cfRule type="cellIs" dxfId="33563" priority="107051" stopIfTrue="1" operator="lessThan">
      <formula>0.5</formula>
    </cfRule>
  </conditionalFormatting>
  <conditionalFormatting sqref="P49">
    <cfRule type="cellIs" dxfId="33562" priority="107052" stopIfTrue="1" operator="greaterThanOrEqual">
      <formula>0.5</formula>
    </cfRule>
  </conditionalFormatting>
  <conditionalFormatting sqref="P50">
    <cfRule type="cellIs" dxfId="33561" priority="107053" stopIfTrue="1" operator="equal">
      <formula>-1</formula>
    </cfRule>
  </conditionalFormatting>
  <conditionalFormatting sqref="P50">
    <cfRule type="cellIs" dxfId="33560" priority="107054" stopIfTrue="1" operator="lessThan">
      <formula>0.5</formula>
    </cfRule>
  </conditionalFormatting>
  <conditionalFormatting sqref="P50">
    <cfRule type="cellIs" dxfId="33559" priority="107055" stopIfTrue="1" operator="greaterThanOrEqual">
      <formula>0.5</formula>
    </cfRule>
  </conditionalFormatting>
  <conditionalFormatting sqref="P51">
    <cfRule type="cellIs" dxfId="33558" priority="107056" stopIfTrue="1" operator="equal">
      <formula>-1</formula>
    </cfRule>
  </conditionalFormatting>
  <conditionalFormatting sqref="P51">
    <cfRule type="cellIs" dxfId="33557" priority="107057" stopIfTrue="1" operator="lessThan">
      <formula>0.5</formula>
    </cfRule>
  </conditionalFormatting>
  <conditionalFormatting sqref="P51">
    <cfRule type="cellIs" dxfId="33556" priority="107058" stopIfTrue="1" operator="greaterThanOrEqual">
      <formula>0.5</formula>
    </cfRule>
  </conditionalFormatting>
  <conditionalFormatting sqref="P52">
    <cfRule type="cellIs" dxfId="33555" priority="107059" stopIfTrue="1" operator="equal">
      <formula>-1</formula>
    </cfRule>
  </conditionalFormatting>
  <conditionalFormatting sqref="P52">
    <cfRule type="cellIs" dxfId="33554" priority="107060" stopIfTrue="1" operator="lessThan">
      <formula>0.5</formula>
    </cfRule>
  </conditionalFormatting>
  <conditionalFormatting sqref="P52">
    <cfRule type="cellIs" dxfId="33553" priority="107061" stopIfTrue="1" operator="greaterThanOrEqual">
      <formula>0.5</formula>
    </cfRule>
  </conditionalFormatting>
  <conditionalFormatting sqref="P53">
    <cfRule type="cellIs" dxfId="33552" priority="107062" stopIfTrue="1" operator="equal">
      <formula>-1</formula>
    </cfRule>
  </conditionalFormatting>
  <conditionalFormatting sqref="P53">
    <cfRule type="cellIs" dxfId="33551" priority="107063" stopIfTrue="1" operator="lessThan">
      <formula>0.5</formula>
    </cfRule>
  </conditionalFormatting>
  <conditionalFormatting sqref="P53">
    <cfRule type="cellIs" dxfId="33550" priority="107064" stopIfTrue="1" operator="greaterThanOrEqual">
      <formula>0.5</formula>
    </cfRule>
  </conditionalFormatting>
  <conditionalFormatting sqref="P54">
    <cfRule type="cellIs" dxfId="33549" priority="107065" stopIfTrue="1" operator="equal">
      <formula>-1</formula>
    </cfRule>
  </conditionalFormatting>
  <conditionalFormatting sqref="P54">
    <cfRule type="cellIs" dxfId="33548" priority="107066" stopIfTrue="1" operator="lessThan">
      <formula>0.5</formula>
    </cfRule>
  </conditionalFormatting>
  <conditionalFormatting sqref="P54">
    <cfRule type="cellIs" dxfId="33547" priority="107067" stopIfTrue="1" operator="greaterThanOrEqual">
      <formula>0.5</formula>
    </cfRule>
  </conditionalFormatting>
  <conditionalFormatting sqref="P55">
    <cfRule type="cellIs" dxfId="33546" priority="107068" stopIfTrue="1" operator="equal">
      <formula>-1</formula>
    </cfRule>
  </conditionalFormatting>
  <conditionalFormatting sqref="P55">
    <cfRule type="cellIs" dxfId="33545" priority="107069" stopIfTrue="1" operator="lessThan">
      <formula>0.5</formula>
    </cfRule>
  </conditionalFormatting>
  <conditionalFormatting sqref="P55">
    <cfRule type="cellIs" dxfId="33544" priority="107070" stopIfTrue="1" operator="greaterThanOrEqual">
      <formula>0.5</formula>
    </cfRule>
  </conditionalFormatting>
  <conditionalFormatting sqref="P56">
    <cfRule type="cellIs" dxfId="33543" priority="107071" stopIfTrue="1" operator="equal">
      <formula>-1</formula>
    </cfRule>
  </conditionalFormatting>
  <conditionalFormatting sqref="P56">
    <cfRule type="cellIs" dxfId="33542" priority="107072" stopIfTrue="1" operator="lessThan">
      <formula>0.5</formula>
    </cfRule>
  </conditionalFormatting>
  <conditionalFormatting sqref="P56">
    <cfRule type="cellIs" dxfId="33541" priority="107073" stopIfTrue="1" operator="greaterThanOrEqual">
      <formula>0.5</formula>
    </cfRule>
  </conditionalFormatting>
  <conditionalFormatting sqref="P57">
    <cfRule type="cellIs" dxfId="33540" priority="107074" stopIfTrue="1" operator="equal">
      <formula>-1</formula>
    </cfRule>
  </conditionalFormatting>
  <conditionalFormatting sqref="P57">
    <cfRule type="cellIs" dxfId="33539" priority="107075" stopIfTrue="1" operator="lessThan">
      <formula>0.5</formula>
    </cfRule>
  </conditionalFormatting>
  <conditionalFormatting sqref="P57">
    <cfRule type="cellIs" dxfId="33538" priority="107076" stopIfTrue="1" operator="greaterThanOrEqual">
      <formula>0.5</formula>
    </cfRule>
  </conditionalFormatting>
  <conditionalFormatting sqref="P58">
    <cfRule type="cellIs" dxfId="33537" priority="107077" stopIfTrue="1" operator="equal">
      <formula>-1</formula>
    </cfRule>
  </conditionalFormatting>
  <conditionalFormatting sqref="P58">
    <cfRule type="cellIs" dxfId="33536" priority="107078" stopIfTrue="1" operator="lessThan">
      <formula>0.5</formula>
    </cfRule>
  </conditionalFormatting>
  <conditionalFormatting sqref="P58">
    <cfRule type="cellIs" dxfId="33535" priority="107079" stopIfTrue="1" operator="greaterThanOrEqual">
      <formula>0.5</formula>
    </cfRule>
  </conditionalFormatting>
  <conditionalFormatting sqref="R39">
    <cfRule type="cellIs" dxfId="33534" priority="107080" stopIfTrue="1" operator="equal">
      <formula>-1</formula>
    </cfRule>
  </conditionalFormatting>
  <conditionalFormatting sqref="R39">
    <cfRule type="cellIs" dxfId="33533" priority="107081" stopIfTrue="1" operator="lessThan">
      <formula>0.5</formula>
    </cfRule>
  </conditionalFormatting>
  <conditionalFormatting sqref="R39">
    <cfRule type="cellIs" dxfId="33532" priority="107082" stopIfTrue="1" operator="greaterThanOrEqual">
      <formula>0.5</formula>
    </cfRule>
  </conditionalFormatting>
  <conditionalFormatting sqref="R40">
    <cfRule type="cellIs" dxfId="33531" priority="107083" stopIfTrue="1" operator="equal">
      <formula>-1</formula>
    </cfRule>
  </conditionalFormatting>
  <conditionalFormatting sqref="R40">
    <cfRule type="cellIs" dxfId="33530" priority="107084" stopIfTrue="1" operator="lessThan">
      <formula>0.5</formula>
    </cfRule>
  </conditionalFormatting>
  <conditionalFormatting sqref="R40">
    <cfRule type="cellIs" dxfId="33529" priority="107085" stopIfTrue="1" operator="greaterThanOrEqual">
      <formula>0.5</formula>
    </cfRule>
  </conditionalFormatting>
  <conditionalFormatting sqref="R41">
    <cfRule type="cellIs" dxfId="33528" priority="107086" stopIfTrue="1" operator="equal">
      <formula>-1</formula>
    </cfRule>
  </conditionalFormatting>
  <conditionalFormatting sqref="R41">
    <cfRule type="cellIs" dxfId="33527" priority="107087" stopIfTrue="1" operator="lessThan">
      <formula>0.5</formula>
    </cfRule>
  </conditionalFormatting>
  <conditionalFormatting sqref="R41">
    <cfRule type="cellIs" dxfId="33526" priority="107088" stopIfTrue="1" operator="greaterThanOrEqual">
      <formula>0.5</formula>
    </cfRule>
  </conditionalFormatting>
  <conditionalFormatting sqref="R42">
    <cfRule type="cellIs" dxfId="33525" priority="107089" stopIfTrue="1" operator="equal">
      <formula>-1</formula>
    </cfRule>
  </conditionalFormatting>
  <conditionalFormatting sqref="R42">
    <cfRule type="cellIs" dxfId="33524" priority="107090" stopIfTrue="1" operator="lessThan">
      <formula>0.5</formula>
    </cfRule>
  </conditionalFormatting>
  <conditionalFormatting sqref="R42">
    <cfRule type="cellIs" dxfId="33523" priority="107091" stopIfTrue="1" operator="greaterThanOrEqual">
      <formula>0.5</formula>
    </cfRule>
  </conditionalFormatting>
  <conditionalFormatting sqref="R43">
    <cfRule type="cellIs" dxfId="33522" priority="107092" stopIfTrue="1" operator="equal">
      <formula>-1</formula>
    </cfRule>
  </conditionalFormatting>
  <conditionalFormatting sqref="R43">
    <cfRule type="cellIs" dxfId="33521" priority="107093" stopIfTrue="1" operator="lessThan">
      <formula>0.5</formula>
    </cfRule>
  </conditionalFormatting>
  <conditionalFormatting sqref="R43">
    <cfRule type="cellIs" dxfId="33520" priority="107094" stopIfTrue="1" operator="greaterThanOrEqual">
      <formula>0.5</formula>
    </cfRule>
  </conditionalFormatting>
  <conditionalFormatting sqref="R44">
    <cfRule type="cellIs" dxfId="33519" priority="107095" stopIfTrue="1" operator="equal">
      <formula>-1</formula>
    </cfRule>
  </conditionalFormatting>
  <conditionalFormatting sqref="R44">
    <cfRule type="cellIs" dxfId="33518" priority="107096" stopIfTrue="1" operator="lessThan">
      <formula>0.5</formula>
    </cfRule>
  </conditionalFormatting>
  <conditionalFormatting sqref="R44">
    <cfRule type="cellIs" dxfId="33517" priority="107097" stopIfTrue="1" operator="greaterThanOrEqual">
      <formula>0.5</formula>
    </cfRule>
  </conditionalFormatting>
  <conditionalFormatting sqref="R45">
    <cfRule type="cellIs" dxfId="33516" priority="107098" stopIfTrue="1" operator="equal">
      <formula>-1</formula>
    </cfRule>
  </conditionalFormatting>
  <conditionalFormatting sqref="R45">
    <cfRule type="cellIs" dxfId="33515" priority="107099" stopIfTrue="1" operator="lessThan">
      <formula>0.5</formula>
    </cfRule>
  </conditionalFormatting>
  <conditionalFormatting sqref="R45">
    <cfRule type="cellIs" dxfId="33514" priority="107100" stopIfTrue="1" operator="greaterThanOrEqual">
      <formula>0.5</formula>
    </cfRule>
  </conditionalFormatting>
  <conditionalFormatting sqref="R46">
    <cfRule type="cellIs" dxfId="33513" priority="107101" stopIfTrue="1" operator="equal">
      <formula>-1</formula>
    </cfRule>
  </conditionalFormatting>
  <conditionalFormatting sqref="R46">
    <cfRule type="cellIs" dxfId="33512" priority="107102" stopIfTrue="1" operator="lessThan">
      <formula>0.5</formula>
    </cfRule>
  </conditionalFormatting>
  <conditionalFormatting sqref="R46">
    <cfRule type="cellIs" dxfId="33511" priority="107103" stopIfTrue="1" operator="greaterThanOrEqual">
      <formula>0.5</formula>
    </cfRule>
  </conditionalFormatting>
  <conditionalFormatting sqref="R47">
    <cfRule type="cellIs" dxfId="33510" priority="107104" stopIfTrue="1" operator="equal">
      <formula>-1</formula>
    </cfRule>
  </conditionalFormatting>
  <conditionalFormatting sqref="R47">
    <cfRule type="cellIs" dxfId="33509" priority="107105" stopIfTrue="1" operator="lessThan">
      <formula>0.5</formula>
    </cfRule>
  </conditionalFormatting>
  <conditionalFormatting sqref="R47">
    <cfRule type="cellIs" dxfId="33508" priority="107106" stopIfTrue="1" operator="greaterThanOrEqual">
      <formula>0.5</formula>
    </cfRule>
  </conditionalFormatting>
  <conditionalFormatting sqref="R48">
    <cfRule type="cellIs" dxfId="33507" priority="107107" stopIfTrue="1" operator="equal">
      <formula>-1</formula>
    </cfRule>
  </conditionalFormatting>
  <conditionalFormatting sqref="R48">
    <cfRule type="cellIs" dxfId="33506" priority="107108" stopIfTrue="1" operator="lessThan">
      <formula>0.5</formula>
    </cfRule>
  </conditionalFormatting>
  <conditionalFormatting sqref="R48">
    <cfRule type="cellIs" dxfId="33505" priority="107109" stopIfTrue="1" operator="greaterThanOrEqual">
      <formula>0.5</formula>
    </cfRule>
  </conditionalFormatting>
  <conditionalFormatting sqref="R49">
    <cfRule type="cellIs" dxfId="33504" priority="107110" stopIfTrue="1" operator="equal">
      <formula>-1</formula>
    </cfRule>
  </conditionalFormatting>
  <conditionalFormatting sqref="R49">
    <cfRule type="cellIs" dxfId="33503" priority="107111" stopIfTrue="1" operator="lessThan">
      <formula>0.5</formula>
    </cfRule>
  </conditionalFormatting>
  <conditionalFormatting sqref="R49">
    <cfRule type="cellIs" dxfId="33502" priority="107112" stopIfTrue="1" operator="greaterThanOrEqual">
      <formula>0.5</formula>
    </cfRule>
  </conditionalFormatting>
  <conditionalFormatting sqref="R50">
    <cfRule type="cellIs" dxfId="33501" priority="107113" stopIfTrue="1" operator="equal">
      <formula>-1</formula>
    </cfRule>
  </conditionalFormatting>
  <conditionalFormatting sqref="R50">
    <cfRule type="cellIs" dxfId="33500" priority="107114" stopIfTrue="1" operator="lessThan">
      <formula>0.5</formula>
    </cfRule>
  </conditionalFormatting>
  <conditionalFormatting sqref="R50">
    <cfRule type="cellIs" dxfId="33499" priority="107115" stopIfTrue="1" operator="greaterThanOrEqual">
      <formula>0.5</formula>
    </cfRule>
  </conditionalFormatting>
  <conditionalFormatting sqref="R51">
    <cfRule type="cellIs" dxfId="33498" priority="107116" stopIfTrue="1" operator="equal">
      <formula>-1</formula>
    </cfRule>
  </conditionalFormatting>
  <conditionalFormatting sqref="R51">
    <cfRule type="cellIs" dxfId="33497" priority="107117" stopIfTrue="1" operator="lessThan">
      <formula>0.5</formula>
    </cfRule>
  </conditionalFormatting>
  <conditionalFormatting sqref="R51">
    <cfRule type="cellIs" dxfId="33496" priority="107118" stopIfTrue="1" operator="greaterThanOrEqual">
      <formula>0.5</formula>
    </cfRule>
  </conditionalFormatting>
  <conditionalFormatting sqref="R52">
    <cfRule type="cellIs" dxfId="33495" priority="107119" stopIfTrue="1" operator="equal">
      <formula>-1</formula>
    </cfRule>
  </conditionalFormatting>
  <conditionalFormatting sqref="R52">
    <cfRule type="cellIs" dxfId="33494" priority="107120" stopIfTrue="1" operator="lessThan">
      <formula>0.5</formula>
    </cfRule>
  </conditionalFormatting>
  <conditionalFormatting sqref="R52">
    <cfRule type="cellIs" dxfId="33493" priority="107121" stopIfTrue="1" operator="greaterThanOrEqual">
      <formula>0.5</formula>
    </cfRule>
  </conditionalFormatting>
  <conditionalFormatting sqref="R53">
    <cfRule type="cellIs" dxfId="33492" priority="107122" stopIfTrue="1" operator="equal">
      <formula>-1</formula>
    </cfRule>
  </conditionalFormatting>
  <conditionalFormatting sqref="R53">
    <cfRule type="cellIs" dxfId="33491" priority="107123" stopIfTrue="1" operator="lessThan">
      <formula>0.5</formula>
    </cfRule>
  </conditionalFormatting>
  <conditionalFormatting sqref="R53">
    <cfRule type="cellIs" dxfId="33490" priority="107124" stopIfTrue="1" operator="greaterThanOrEqual">
      <formula>0.5</formula>
    </cfRule>
  </conditionalFormatting>
  <conditionalFormatting sqref="R54">
    <cfRule type="cellIs" dxfId="33489" priority="107125" stopIfTrue="1" operator="equal">
      <formula>-1</formula>
    </cfRule>
  </conditionalFormatting>
  <conditionalFormatting sqref="R54">
    <cfRule type="cellIs" dxfId="33488" priority="107126" stopIfTrue="1" operator="lessThan">
      <formula>0.5</formula>
    </cfRule>
  </conditionalFormatting>
  <conditionalFormatting sqref="R54">
    <cfRule type="cellIs" dxfId="33487" priority="107127" stopIfTrue="1" operator="greaterThanOrEqual">
      <formula>0.5</formula>
    </cfRule>
  </conditionalFormatting>
  <conditionalFormatting sqref="R55">
    <cfRule type="cellIs" dxfId="33486" priority="107128" stopIfTrue="1" operator="equal">
      <formula>-1</formula>
    </cfRule>
  </conditionalFormatting>
  <conditionalFormatting sqref="R55">
    <cfRule type="cellIs" dxfId="33485" priority="107129" stopIfTrue="1" operator="lessThan">
      <formula>0.5</formula>
    </cfRule>
  </conditionalFormatting>
  <conditionalFormatting sqref="R55">
    <cfRule type="cellIs" dxfId="33484" priority="107130" stopIfTrue="1" operator="greaterThanOrEqual">
      <formula>0.5</formula>
    </cfRule>
  </conditionalFormatting>
  <conditionalFormatting sqref="R56">
    <cfRule type="cellIs" dxfId="33483" priority="107131" stopIfTrue="1" operator="equal">
      <formula>-1</formula>
    </cfRule>
  </conditionalFormatting>
  <conditionalFormatting sqref="R56">
    <cfRule type="cellIs" dxfId="33482" priority="107132" stopIfTrue="1" operator="lessThan">
      <formula>0.5</formula>
    </cfRule>
  </conditionalFormatting>
  <conditionalFormatting sqref="R56">
    <cfRule type="cellIs" dxfId="33481" priority="107133" stopIfTrue="1" operator="greaterThanOrEqual">
      <formula>0.5</formula>
    </cfRule>
  </conditionalFormatting>
  <conditionalFormatting sqref="R57">
    <cfRule type="cellIs" dxfId="33480" priority="107134" stopIfTrue="1" operator="equal">
      <formula>-1</formula>
    </cfRule>
  </conditionalFormatting>
  <conditionalFormatting sqref="R57">
    <cfRule type="cellIs" dxfId="33479" priority="107135" stopIfTrue="1" operator="lessThan">
      <formula>0.5</formula>
    </cfRule>
  </conditionalFormatting>
  <conditionalFormatting sqref="R57">
    <cfRule type="cellIs" dxfId="33478" priority="107136" stopIfTrue="1" operator="greaterThanOrEqual">
      <formula>0.5</formula>
    </cfRule>
  </conditionalFormatting>
  <conditionalFormatting sqref="R58">
    <cfRule type="cellIs" dxfId="33477" priority="107137" stopIfTrue="1" operator="equal">
      <formula>-1</formula>
    </cfRule>
  </conditionalFormatting>
  <conditionalFormatting sqref="R58">
    <cfRule type="cellIs" dxfId="33476" priority="107138" stopIfTrue="1" operator="lessThan">
      <formula>0.5</formula>
    </cfRule>
  </conditionalFormatting>
  <conditionalFormatting sqref="R58">
    <cfRule type="cellIs" dxfId="33475" priority="107139" stopIfTrue="1" operator="greaterThanOrEqual">
      <formula>0.5</formula>
    </cfRule>
  </conditionalFormatting>
  <conditionalFormatting sqref="T39">
    <cfRule type="cellIs" dxfId="33474" priority="107140" stopIfTrue="1" operator="equal">
      <formula>-1</formula>
    </cfRule>
  </conditionalFormatting>
  <conditionalFormatting sqref="T39">
    <cfRule type="cellIs" dxfId="33473" priority="107141" stopIfTrue="1" operator="lessThan">
      <formula>0.5</formula>
    </cfRule>
  </conditionalFormatting>
  <conditionalFormatting sqref="T39">
    <cfRule type="cellIs" dxfId="33472" priority="107142" stopIfTrue="1" operator="greaterThanOrEqual">
      <formula>0.5</formula>
    </cfRule>
  </conditionalFormatting>
  <conditionalFormatting sqref="T40">
    <cfRule type="cellIs" dxfId="33471" priority="107143" stopIfTrue="1" operator="equal">
      <formula>-1</formula>
    </cfRule>
  </conditionalFormatting>
  <conditionalFormatting sqref="T40">
    <cfRule type="cellIs" dxfId="33470" priority="107144" stopIfTrue="1" operator="lessThan">
      <formula>0.5</formula>
    </cfRule>
  </conditionalFormatting>
  <conditionalFormatting sqref="T40">
    <cfRule type="cellIs" dxfId="33469" priority="107145" stopIfTrue="1" operator="greaterThanOrEqual">
      <formula>0.5</formula>
    </cfRule>
  </conditionalFormatting>
  <conditionalFormatting sqref="T41">
    <cfRule type="cellIs" dxfId="33468" priority="107146" stopIfTrue="1" operator="equal">
      <formula>-1</formula>
    </cfRule>
  </conditionalFormatting>
  <conditionalFormatting sqref="T41">
    <cfRule type="cellIs" dxfId="33467" priority="107147" stopIfTrue="1" operator="lessThan">
      <formula>0.5</formula>
    </cfRule>
  </conditionalFormatting>
  <conditionalFormatting sqref="T41">
    <cfRule type="cellIs" dxfId="33466" priority="107148" stopIfTrue="1" operator="greaterThanOrEqual">
      <formula>0.5</formula>
    </cfRule>
  </conditionalFormatting>
  <conditionalFormatting sqref="T42">
    <cfRule type="cellIs" dxfId="33465" priority="107149" stopIfTrue="1" operator="equal">
      <formula>-1</formula>
    </cfRule>
  </conditionalFormatting>
  <conditionalFormatting sqref="T42">
    <cfRule type="cellIs" dxfId="33464" priority="107150" stopIfTrue="1" operator="lessThan">
      <formula>0.5</formula>
    </cfRule>
  </conditionalFormatting>
  <conditionalFormatting sqref="T42">
    <cfRule type="cellIs" dxfId="33463" priority="107151" stopIfTrue="1" operator="greaterThanOrEqual">
      <formula>0.5</formula>
    </cfRule>
  </conditionalFormatting>
  <conditionalFormatting sqref="T43">
    <cfRule type="cellIs" dxfId="33462" priority="107152" stopIfTrue="1" operator="equal">
      <formula>-1</formula>
    </cfRule>
  </conditionalFormatting>
  <conditionalFormatting sqref="T43">
    <cfRule type="cellIs" dxfId="33461" priority="107153" stopIfTrue="1" operator="lessThan">
      <formula>0.5</formula>
    </cfRule>
  </conditionalFormatting>
  <conditionalFormatting sqref="T43">
    <cfRule type="cellIs" dxfId="33460" priority="107154" stopIfTrue="1" operator="greaterThanOrEqual">
      <formula>0.5</formula>
    </cfRule>
  </conditionalFormatting>
  <conditionalFormatting sqref="T44">
    <cfRule type="cellIs" dxfId="33459" priority="107155" stopIfTrue="1" operator="equal">
      <formula>-1</formula>
    </cfRule>
  </conditionalFormatting>
  <conditionalFormatting sqref="T44">
    <cfRule type="cellIs" dxfId="33458" priority="107156" stopIfTrue="1" operator="lessThan">
      <formula>0.5</formula>
    </cfRule>
  </conditionalFormatting>
  <conditionalFormatting sqref="T44">
    <cfRule type="cellIs" dxfId="33457" priority="107157" stopIfTrue="1" operator="greaterThanOrEqual">
      <formula>0.5</formula>
    </cfRule>
  </conditionalFormatting>
  <conditionalFormatting sqref="T45">
    <cfRule type="cellIs" dxfId="33456" priority="107158" stopIfTrue="1" operator="equal">
      <formula>-1</formula>
    </cfRule>
  </conditionalFormatting>
  <conditionalFormatting sqref="T45">
    <cfRule type="cellIs" dxfId="33455" priority="107159" stopIfTrue="1" operator="lessThan">
      <formula>0.5</formula>
    </cfRule>
  </conditionalFormatting>
  <conditionalFormatting sqref="T45">
    <cfRule type="cellIs" dxfId="33454" priority="107160" stopIfTrue="1" operator="greaterThanOrEqual">
      <formula>0.5</formula>
    </cfRule>
  </conditionalFormatting>
  <conditionalFormatting sqref="T46">
    <cfRule type="cellIs" dxfId="33453" priority="107161" stopIfTrue="1" operator="equal">
      <formula>-1</formula>
    </cfRule>
  </conditionalFormatting>
  <conditionalFormatting sqref="T46">
    <cfRule type="cellIs" dxfId="33452" priority="107162" stopIfTrue="1" operator="lessThan">
      <formula>0.5</formula>
    </cfRule>
  </conditionalFormatting>
  <conditionalFormatting sqref="T46">
    <cfRule type="cellIs" dxfId="33451" priority="107163" stopIfTrue="1" operator="greaterThanOrEqual">
      <formula>0.5</formula>
    </cfRule>
  </conditionalFormatting>
  <conditionalFormatting sqref="T47">
    <cfRule type="cellIs" dxfId="33450" priority="107164" stopIfTrue="1" operator="equal">
      <formula>-1</formula>
    </cfRule>
  </conditionalFormatting>
  <conditionalFormatting sqref="T47">
    <cfRule type="cellIs" dxfId="33449" priority="107165" stopIfTrue="1" operator="lessThan">
      <formula>0.5</formula>
    </cfRule>
  </conditionalFormatting>
  <conditionalFormatting sqref="T47">
    <cfRule type="cellIs" dxfId="33448" priority="107166" stopIfTrue="1" operator="greaterThanOrEqual">
      <formula>0.5</formula>
    </cfRule>
  </conditionalFormatting>
  <conditionalFormatting sqref="T48">
    <cfRule type="cellIs" dxfId="33447" priority="107167" stopIfTrue="1" operator="equal">
      <formula>-1</formula>
    </cfRule>
  </conditionalFormatting>
  <conditionalFormatting sqref="T48">
    <cfRule type="cellIs" dxfId="33446" priority="107168" stopIfTrue="1" operator="lessThan">
      <formula>0.5</formula>
    </cfRule>
  </conditionalFormatting>
  <conditionalFormatting sqref="T48">
    <cfRule type="cellIs" dxfId="33445" priority="107169" stopIfTrue="1" operator="greaterThanOrEqual">
      <formula>0.5</formula>
    </cfRule>
  </conditionalFormatting>
  <conditionalFormatting sqref="T49">
    <cfRule type="cellIs" dxfId="33444" priority="107170" stopIfTrue="1" operator="equal">
      <formula>-1</formula>
    </cfRule>
  </conditionalFormatting>
  <conditionalFormatting sqref="T49">
    <cfRule type="cellIs" dxfId="33443" priority="107171" stopIfTrue="1" operator="lessThan">
      <formula>0.5</formula>
    </cfRule>
  </conditionalFormatting>
  <conditionalFormatting sqref="T49">
    <cfRule type="cellIs" dxfId="33442" priority="107172" stopIfTrue="1" operator="greaterThanOrEqual">
      <formula>0.5</formula>
    </cfRule>
  </conditionalFormatting>
  <conditionalFormatting sqref="T50">
    <cfRule type="cellIs" dxfId="33441" priority="107173" stopIfTrue="1" operator="equal">
      <formula>-1</formula>
    </cfRule>
  </conditionalFormatting>
  <conditionalFormatting sqref="T50">
    <cfRule type="cellIs" dxfId="33440" priority="107174" stopIfTrue="1" operator="lessThan">
      <formula>0.5</formula>
    </cfRule>
  </conditionalFormatting>
  <conditionalFormatting sqref="T50">
    <cfRule type="cellIs" dxfId="33439" priority="107175" stopIfTrue="1" operator="greaterThanOrEqual">
      <formula>0.5</formula>
    </cfRule>
  </conditionalFormatting>
  <conditionalFormatting sqref="T51">
    <cfRule type="cellIs" dxfId="33438" priority="107176" stopIfTrue="1" operator="equal">
      <formula>-1</formula>
    </cfRule>
  </conditionalFormatting>
  <conditionalFormatting sqref="T51">
    <cfRule type="cellIs" dxfId="33437" priority="107177" stopIfTrue="1" operator="lessThan">
      <formula>0.5</formula>
    </cfRule>
  </conditionalFormatting>
  <conditionalFormatting sqref="T51">
    <cfRule type="cellIs" dxfId="33436" priority="107178" stopIfTrue="1" operator="greaterThanOrEqual">
      <formula>0.5</formula>
    </cfRule>
  </conditionalFormatting>
  <conditionalFormatting sqref="T52">
    <cfRule type="cellIs" dxfId="33435" priority="107179" stopIfTrue="1" operator="equal">
      <formula>-1</formula>
    </cfRule>
  </conditionalFormatting>
  <conditionalFormatting sqref="T52">
    <cfRule type="cellIs" dxfId="33434" priority="107180" stopIfTrue="1" operator="lessThan">
      <formula>0.5</formula>
    </cfRule>
  </conditionalFormatting>
  <conditionalFormatting sqref="T52">
    <cfRule type="cellIs" dxfId="33433" priority="107181" stopIfTrue="1" operator="greaterThanOrEqual">
      <formula>0.5</formula>
    </cfRule>
  </conditionalFormatting>
  <conditionalFormatting sqref="T53">
    <cfRule type="cellIs" dxfId="33432" priority="107182" stopIfTrue="1" operator="equal">
      <formula>-1</formula>
    </cfRule>
  </conditionalFormatting>
  <conditionalFormatting sqref="T53">
    <cfRule type="cellIs" dxfId="33431" priority="107183" stopIfTrue="1" operator="lessThan">
      <formula>0.5</formula>
    </cfRule>
  </conditionalFormatting>
  <conditionalFormatting sqref="T53">
    <cfRule type="cellIs" dxfId="33430" priority="107184" stopIfTrue="1" operator="greaterThanOrEqual">
      <formula>0.5</formula>
    </cfRule>
  </conditionalFormatting>
  <conditionalFormatting sqref="T54">
    <cfRule type="cellIs" dxfId="33429" priority="107185" stopIfTrue="1" operator="equal">
      <formula>-1</formula>
    </cfRule>
  </conditionalFormatting>
  <conditionalFormatting sqref="T54">
    <cfRule type="cellIs" dxfId="33428" priority="107186" stopIfTrue="1" operator="lessThan">
      <formula>0.5</formula>
    </cfRule>
  </conditionalFormatting>
  <conditionalFormatting sqref="T54">
    <cfRule type="cellIs" dxfId="33427" priority="107187" stopIfTrue="1" operator="greaterThanOrEqual">
      <formula>0.5</formula>
    </cfRule>
  </conditionalFormatting>
  <conditionalFormatting sqref="T55">
    <cfRule type="cellIs" dxfId="33426" priority="107188" stopIfTrue="1" operator="equal">
      <formula>-1</formula>
    </cfRule>
  </conditionalFormatting>
  <conditionalFormatting sqref="T55">
    <cfRule type="cellIs" dxfId="33425" priority="107189" stopIfTrue="1" operator="lessThan">
      <formula>0.5</formula>
    </cfRule>
  </conditionalFormatting>
  <conditionalFormatting sqref="T55">
    <cfRule type="cellIs" dxfId="33424" priority="107190" stopIfTrue="1" operator="greaterThanOrEqual">
      <formula>0.5</formula>
    </cfRule>
  </conditionalFormatting>
  <conditionalFormatting sqref="T56">
    <cfRule type="cellIs" dxfId="33423" priority="107191" stopIfTrue="1" operator="equal">
      <formula>-1</formula>
    </cfRule>
  </conditionalFormatting>
  <conditionalFormatting sqref="T56">
    <cfRule type="cellIs" dxfId="33422" priority="107192" stopIfTrue="1" operator="lessThan">
      <formula>0.5</formula>
    </cfRule>
  </conditionalFormatting>
  <conditionalFormatting sqref="T56">
    <cfRule type="cellIs" dxfId="33421" priority="107193" stopIfTrue="1" operator="greaterThanOrEqual">
      <formula>0.5</formula>
    </cfRule>
  </conditionalFormatting>
  <conditionalFormatting sqref="T57">
    <cfRule type="cellIs" dxfId="33420" priority="107194" stopIfTrue="1" operator="equal">
      <formula>-1</formula>
    </cfRule>
  </conditionalFormatting>
  <conditionalFormatting sqref="T57">
    <cfRule type="cellIs" dxfId="33419" priority="107195" stopIfTrue="1" operator="lessThan">
      <formula>0.5</formula>
    </cfRule>
  </conditionalFormatting>
  <conditionalFormatting sqref="T57">
    <cfRule type="cellIs" dxfId="33418" priority="107196" stopIfTrue="1" operator="greaterThanOrEqual">
      <formula>0.5</formula>
    </cfRule>
  </conditionalFormatting>
  <conditionalFormatting sqref="T58">
    <cfRule type="cellIs" dxfId="33417" priority="107197" stopIfTrue="1" operator="equal">
      <formula>-1</formula>
    </cfRule>
  </conditionalFormatting>
  <conditionalFormatting sqref="T58">
    <cfRule type="cellIs" dxfId="33416" priority="107198" stopIfTrue="1" operator="lessThan">
      <formula>0.5</formula>
    </cfRule>
  </conditionalFormatting>
  <conditionalFormatting sqref="T58">
    <cfRule type="cellIs" dxfId="33415" priority="107199" stopIfTrue="1" operator="greaterThanOrEqual">
      <formula>0.5</formula>
    </cfRule>
  </conditionalFormatting>
  <conditionalFormatting sqref="V39">
    <cfRule type="cellIs" dxfId="33414" priority="107200" stopIfTrue="1" operator="equal">
      <formula>-1</formula>
    </cfRule>
  </conditionalFormatting>
  <conditionalFormatting sqref="V39">
    <cfRule type="cellIs" dxfId="33413" priority="107201" stopIfTrue="1" operator="lessThan">
      <formula>0.5</formula>
    </cfRule>
  </conditionalFormatting>
  <conditionalFormatting sqref="V39">
    <cfRule type="cellIs" dxfId="33412" priority="107202" stopIfTrue="1" operator="greaterThanOrEqual">
      <formula>0.5</formula>
    </cfRule>
  </conditionalFormatting>
  <conditionalFormatting sqref="V40">
    <cfRule type="cellIs" dxfId="33411" priority="107203" stopIfTrue="1" operator="equal">
      <formula>-1</formula>
    </cfRule>
  </conditionalFormatting>
  <conditionalFormatting sqref="V40">
    <cfRule type="cellIs" dxfId="33410" priority="107204" stopIfTrue="1" operator="lessThan">
      <formula>0.5</formula>
    </cfRule>
  </conditionalFormatting>
  <conditionalFormatting sqref="V40">
    <cfRule type="cellIs" dxfId="33409" priority="107205" stopIfTrue="1" operator="greaterThanOrEqual">
      <formula>0.5</formula>
    </cfRule>
  </conditionalFormatting>
  <conditionalFormatting sqref="V41">
    <cfRule type="cellIs" dxfId="33408" priority="107206" stopIfTrue="1" operator="equal">
      <formula>-1</formula>
    </cfRule>
  </conditionalFormatting>
  <conditionalFormatting sqref="V41">
    <cfRule type="cellIs" dxfId="33407" priority="107207" stopIfTrue="1" operator="lessThan">
      <formula>0.5</formula>
    </cfRule>
  </conditionalFormatting>
  <conditionalFormatting sqref="V41">
    <cfRule type="cellIs" dxfId="33406" priority="107208" stopIfTrue="1" operator="greaterThanOrEqual">
      <formula>0.5</formula>
    </cfRule>
  </conditionalFormatting>
  <conditionalFormatting sqref="V42">
    <cfRule type="cellIs" dxfId="33405" priority="107209" stopIfTrue="1" operator="equal">
      <formula>-1</formula>
    </cfRule>
  </conditionalFormatting>
  <conditionalFormatting sqref="V42">
    <cfRule type="cellIs" dxfId="33404" priority="107210" stopIfTrue="1" operator="lessThan">
      <formula>0.5</formula>
    </cfRule>
  </conditionalFormatting>
  <conditionalFormatting sqref="V42">
    <cfRule type="cellIs" dxfId="33403" priority="107211" stopIfTrue="1" operator="greaterThanOrEqual">
      <formula>0.5</formula>
    </cfRule>
  </conditionalFormatting>
  <conditionalFormatting sqref="V43">
    <cfRule type="cellIs" dxfId="33402" priority="107212" stopIfTrue="1" operator="equal">
      <formula>-1</formula>
    </cfRule>
  </conditionalFormatting>
  <conditionalFormatting sqref="V43">
    <cfRule type="cellIs" dxfId="33401" priority="107213" stopIfTrue="1" operator="lessThan">
      <formula>0.5</formula>
    </cfRule>
  </conditionalFormatting>
  <conditionalFormatting sqref="V43">
    <cfRule type="cellIs" dxfId="33400" priority="107214" stopIfTrue="1" operator="greaterThanOrEqual">
      <formula>0.5</formula>
    </cfRule>
  </conditionalFormatting>
  <conditionalFormatting sqref="V44">
    <cfRule type="cellIs" dxfId="33399" priority="107215" stopIfTrue="1" operator="equal">
      <formula>-1</formula>
    </cfRule>
  </conditionalFormatting>
  <conditionalFormatting sqref="V44">
    <cfRule type="cellIs" dxfId="33398" priority="107216" stopIfTrue="1" operator="lessThan">
      <formula>0.5</formula>
    </cfRule>
  </conditionalFormatting>
  <conditionalFormatting sqref="V44">
    <cfRule type="cellIs" dxfId="33397" priority="107217" stopIfTrue="1" operator="greaterThanOrEqual">
      <formula>0.5</formula>
    </cfRule>
  </conditionalFormatting>
  <conditionalFormatting sqref="V45">
    <cfRule type="cellIs" dxfId="33396" priority="107218" stopIfTrue="1" operator="equal">
      <formula>-1</formula>
    </cfRule>
  </conditionalFormatting>
  <conditionalFormatting sqref="V45">
    <cfRule type="cellIs" dxfId="33395" priority="107219" stopIfTrue="1" operator="lessThan">
      <formula>0.5</formula>
    </cfRule>
  </conditionalFormatting>
  <conditionalFormatting sqref="V45">
    <cfRule type="cellIs" dxfId="33394" priority="107220" stopIfTrue="1" operator="greaterThanOrEqual">
      <formula>0.5</formula>
    </cfRule>
  </conditionalFormatting>
  <conditionalFormatting sqref="V46">
    <cfRule type="cellIs" dxfId="33393" priority="107221" stopIfTrue="1" operator="equal">
      <formula>-1</formula>
    </cfRule>
  </conditionalFormatting>
  <conditionalFormatting sqref="V46">
    <cfRule type="cellIs" dxfId="33392" priority="107222" stopIfTrue="1" operator="lessThan">
      <formula>0.5</formula>
    </cfRule>
  </conditionalFormatting>
  <conditionalFormatting sqref="V46">
    <cfRule type="cellIs" dxfId="33391" priority="107223" stopIfTrue="1" operator="greaterThanOrEqual">
      <formula>0.5</formula>
    </cfRule>
  </conditionalFormatting>
  <conditionalFormatting sqref="V47">
    <cfRule type="cellIs" dxfId="33390" priority="107224" stopIfTrue="1" operator="equal">
      <formula>-1</formula>
    </cfRule>
  </conditionalFormatting>
  <conditionalFormatting sqref="V47">
    <cfRule type="cellIs" dxfId="33389" priority="107225" stopIfTrue="1" operator="lessThan">
      <formula>0.5</formula>
    </cfRule>
  </conditionalFormatting>
  <conditionalFormatting sqref="V47">
    <cfRule type="cellIs" dxfId="33388" priority="107226" stopIfTrue="1" operator="greaterThanOrEqual">
      <formula>0.5</formula>
    </cfRule>
  </conditionalFormatting>
  <conditionalFormatting sqref="V48">
    <cfRule type="cellIs" dxfId="33387" priority="107227" stopIfTrue="1" operator="equal">
      <formula>-1</formula>
    </cfRule>
  </conditionalFormatting>
  <conditionalFormatting sqref="V48">
    <cfRule type="cellIs" dxfId="33386" priority="107228" stopIfTrue="1" operator="lessThan">
      <formula>0.5</formula>
    </cfRule>
  </conditionalFormatting>
  <conditionalFormatting sqref="V48">
    <cfRule type="cellIs" dxfId="33385" priority="107229" stopIfTrue="1" operator="greaterThanOrEqual">
      <formula>0.5</formula>
    </cfRule>
  </conditionalFormatting>
  <conditionalFormatting sqref="V49">
    <cfRule type="cellIs" dxfId="33384" priority="107230" stopIfTrue="1" operator="equal">
      <formula>-1</formula>
    </cfRule>
  </conditionalFormatting>
  <conditionalFormatting sqref="V49">
    <cfRule type="cellIs" dxfId="33383" priority="107231" stopIfTrue="1" operator="lessThan">
      <formula>0.5</formula>
    </cfRule>
  </conditionalFormatting>
  <conditionalFormatting sqref="V49">
    <cfRule type="cellIs" dxfId="33382" priority="107232" stopIfTrue="1" operator="greaterThanOrEqual">
      <formula>0.5</formula>
    </cfRule>
  </conditionalFormatting>
  <conditionalFormatting sqref="V50">
    <cfRule type="cellIs" dxfId="33381" priority="107233" stopIfTrue="1" operator="equal">
      <formula>-1</formula>
    </cfRule>
  </conditionalFormatting>
  <conditionalFormatting sqref="V50">
    <cfRule type="cellIs" dxfId="33380" priority="107234" stopIfTrue="1" operator="lessThan">
      <formula>0.5</formula>
    </cfRule>
  </conditionalFormatting>
  <conditionalFormatting sqref="V50">
    <cfRule type="cellIs" dxfId="33379" priority="107235" stopIfTrue="1" operator="greaterThanOrEqual">
      <formula>0.5</formula>
    </cfRule>
  </conditionalFormatting>
  <conditionalFormatting sqref="V51">
    <cfRule type="cellIs" dxfId="33378" priority="107236" stopIfTrue="1" operator="equal">
      <formula>-1</formula>
    </cfRule>
  </conditionalFormatting>
  <conditionalFormatting sqref="V51">
    <cfRule type="cellIs" dxfId="33377" priority="107237" stopIfTrue="1" operator="lessThan">
      <formula>0.5</formula>
    </cfRule>
  </conditionalFormatting>
  <conditionalFormatting sqref="V51">
    <cfRule type="cellIs" dxfId="33376" priority="107238" stopIfTrue="1" operator="greaterThanOrEqual">
      <formula>0.5</formula>
    </cfRule>
  </conditionalFormatting>
  <conditionalFormatting sqref="V52">
    <cfRule type="cellIs" dxfId="33375" priority="107239" stopIfTrue="1" operator="equal">
      <formula>-1</formula>
    </cfRule>
  </conditionalFormatting>
  <conditionalFormatting sqref="V52">
    <cfRule type="cellIs" dxfId="33374" priority="107240" stopIfTrue="1" operator="lessThan">
      <formula>0.5</formula>
    </cfRule>
  </conditionalFormatting>
  <conditionalFormatting sqref="V52">
    <cfRule type="cellIs" dxfId="33373" priority="107241" stopIfTrue="1" operator="greaterThanOrEqual">
      <formula>0.5</formula>
    </cfRule>
  </conditionalFormatting>
  <conditionalFormatting sqref="V53">
    <cfRule type="cellIs" dxfId="33372" priority="107242" stopIfTrue="1" operator="equal">
      <formula>-1</formula>
    </cfRule>
  </conditionalFormatting>
  <conditionalFormatting sqref="V53">
    <cfRule type="cellIs" dxfId="33371" priority="107243" stopIfTrue="1" operator="lessThan">
      <formula>0.5</formula>
    </cfRule>
  </conditionalFormatting>
  <conditionalFormatting sqref="V53">
    <cfRule type="cellIs" dxfId="33370" priority="107244" stopIfTrue="1" operator="greaterThanOrEqual">
      <formula>0.5</formula>
    </cfRule>
  </conditionalFormatting>
  <conditionalFormatting sqref="V54">
    <cfRule type="cellIs" dxfId="33369" priority="107245" stopIfTrue="1" operator="equal">
      <formula>-1</formula>
    </cfRule>
  </conditionalFormatting>
  <conditionalFormatting sqref="V54">
    <cfRule type="cellIs" dxfId="33368" priority="107246" stopIfTrue="1" operator="lessThan">
      <formula>0.5</formula>
    </cfRule>
  </conditionalFormatting>
  <conditionalFormatting sqref="V54">
    <cfRule type="cellIs" dxfId="33367" priority="107247" stopIfTrue="1" operator="greaterThanOrEqual">
      <formula>0.5</formula>
    </cfRule>
  </conditionalFormatting>
  <conditionalFormatting sqref="V55">
    <cfRule type="cellIs" dxfId="33366" priority="107248" stopIfTrue="1" operator="equal">
      <formula>-1</formula>
    </cfRule>
  </conditionalFormatting>
  <conditionalFormatting sqref="V55">
    <cfRule type="cellIs" dxfId="33365" priority="107249" stopIfTrue="1" operator="lessThan">
      <formula>0.5</formula>
    </cfRule>
  </conditionalFormatting>
  <conditionalFormatting sqref="V55">
    <cfRule type="cellIs" dxfId="33364" priority="107250" stopIfTrue="1" operator="greaterThanOrEqual">
      <formula>0.5</formula>
    </cfRule>
  </conditionalFormatting>
  <conditionalFormatting sqref="V56">
    <cfRule type="cellIs" dxfId="33363" priority="107251" stopIfTrue="1" operator="equal">
      <formula>-1</formula>
    </cfRule>
  </conditionalFormatting>
  <conditionalFormatting sqref="V56">
    <cfRule type="cellIs" dxfId="33362" priority="107252" stopIfTrue="1" operator="lessThan">
      <formula>0.5</formula>
    </cfRule>
  </conditionalFormatting>
  <conditionalFormatting sqref="V56">
    <cfRule type="cellIs" dxfId="33361" priority="107253" stopIfTrue="1" operator="greaterThanOrEqual">
      <formula>0.5</formula>
    </cfRule>
  </conditionalFormatting>
  <conditionalFormatting sqref="V57">
    <cfRule type="cellIs" dxfId="33360" priority="107254" stopIfTrue="1" operator="equal">
      <formula>-1</formula>
    </cfRule>
  </conditionalFormatting>
  <conditionalFormatting sqref="V57">
    <cfRule type="cellIs" dxfId="33359" priority="107255" stopIfTrue="1" operator="lessThan">
      <formula>0.5</formula>
    </cfRule>
  </conditionalFormatting>
  <conditionalFormatting sqref="V57">
    <cfRule type="cellIs" dxfId="33358" priority="107256" stopIfTrue="1" operator="greaterThanOrEqual">
      <formula>0.5</formula>
    </cfRule>
  </conditionalFormatting>
  <conditionalFormatting sqref="V58">
    <cfRule type="cellIs" dxfId="33357" priority="107257" stopIfTrue="1" operator="equal">
      <formula>-1</formula>
    </cfRule>
  </conditionalFormatting>
  <conditionalFormatting sqref="V58">
    <cfRule type="cellIs" dxfId="33356" priority="107258" stopIfTrue="1" operator="lessThan">
      <formula>0.5</formula>
    </cfRule>
  </conditionalFormatting>
  <conditionalFormatting sqref="V58">
    <cfRule type="cellIs" dxfId="33355" priority="107259" stopIfTrue="1" operator="greaterThanOrEqual">
      <formula>0.5</formula>
    </cfRule>
  </conditionalFormatting>
  <conditionalFormatting sqref="X39">
    <cfRule type="cellIs" dxfId="33354" priority="107260" stopIfTrue="1" operator="equal">
      <formula>-1</formula>
    </cfRule>
  </conditionalFormatting>
  <conditionalFormatting sqref="X39">
    <cfRule type="cellIs" dxfId="33353" priority="107261" stopIfTrue="1" operator="lessThan">
      <formula>0.5</formula>
    </cfRule>
  </conditionalFormatting>
  <conditionalFormatting sqref="X39">
    <cfRule type="cellIs" dxfId="33352" priority="107262" stopIfTrue="1" operator="greaterThanOrEqual">
      <formula>0.5</formula>
    </cfRule>
  </conditionalFormatting>
  <conditionalFormatting sqref="X40">
    <cfRule type="cellIs" dxfId="33351" priority="107263" stopIfTrue="1" operator="equal">
      <formula>-1</formula>
    </cfRule>
  </conditionalFormatting>
  <conditionalFormatting sqref="X40">
    <cfRule type="cellIs" dxfId="33350" priority="107264" stopIfTrue="1" operator="lessThan">
      <formula>0.5</formula>
    </cfRule>
  </conditionalFormatting>
  <conditionalFormatting sqref="X40">
    <cfRule type="cellIs" dxfId="33349" priority="107265" stopIfTrue="1" operator="greaterThanOrEqual">
      <formula>0.5</formula>
    </cfRule>
  </conditionalFormatting>
  <conditionalFormatting sqref="X41">
    <cfRule type="cellIs" dxfId="33348" priority="107266" stopIfTrue="1" operator="equal">
      <formula>-1</formula>
    </cfRule>
  </conditionalFormatting>
  <conditionalFormatting sqref="X41">
    <cfRule type="cellIs" dxfId="33347" priority="107267" stopIfTrue="1" operator="lessThan">
      <formula>0.5</formula>
    </cfRule>
  </conditionalFormatting>
  <conditionalFormatting sqref="X41">
    <cfRule type="cellIs" dxfId="33346" priority="107268" stopIfTrue="1" operator="greaterThanOrEqual">
      <formula>0.5</formula>
    </cfRule>
  </conditionalFormatting>
  <conditionalFormatting sqref="X42">
    <cfRule type="cellIs" dxfId="33345" priority="107269" stopIfTrue="1" operator="equal">
      <formula>-1</formula>
    </cfRule>
  </conditionalFormatting>
  <conditionalFormatting sqref="X42">
    <cfRule type="cellIs" dxfId="33344" priority="107270" stopIfTrue="1" operator="lessThan">
      <formula>0.5</formula>
    </cfRule>
  </conditionalFormatting>
  <conditionalFormatting sqref="X42">
    <cfRule type="cellIs" dxfId="33343" priority="107271" stopIfTrue="1" operator="greaterThanOrEqual">
      <formula>0.5</formula>
    </cfRule>
  </conditionalFormatting>
  <conditionalFormatting sqref="X43">
    <cfRule type="cellIs" dxfId="33342" priority="107272" stopIfTrue="1" operator="equal">
      <formula>-1</formula>
    </cfRule>
  </conditionalFormatting>
  <conditionalFormatting sqref="X43">
    <cfRule type="cellIs" dxfId="33341" priority="107273" stopIfTrue="1" operator="lessThan">
      <formula>0.5</formula>
    </cfRule>
  </conditionalFormatting>
  <conditionalFormatting sqref="X43">
    <cfRule type="cellIs" dxfId="33340" priority="107274" stopIfTrue="1" operator="greaterThanOrEqual">
      <formula>0.5</formula>
    </cfRule>
  </conditionalFormatting>
  <conditionalFormatting sqref="X44">
    <cfRule type="cellIs" dxfId="33339" priority="107275" stopIfTrue="1" operator="equal">
      <formula>-1</formula>
    </cfRule>
  </conditionalFormatting>
  <conditionalFormatting sqref="X44">
    <cfRule type="cellIs" dxfId="33338" priority="107276" stopIfTrue="1" operator="lessThan">
      <formula>0.5</formula>
    </cfRule>
  </conditionalFormatting>
  <conditionalFormatting sqref="X44">
    <cfRule type="cellIs" dxfId="33337" priority="107277" stopIfTrue="1" operator="greaterThanOrEqual">
      <formula>0.5</formula>
    </cfRule>
  </conditionalFormatting>
  <conditionalFormatting sqref="X45">
    <cfRule type="cellIs" dxfId="33336" priority="107278" stopIfTrue="1" operator="equal">
      <formula>-1</formula>
    </cfRule>
  </conditionalFormatting>
  <conditionalFormatting sqref="X45">
    <cfRule type="cellIs" dxfId="33335" priority="107279" stopIfTrue="1" operator="lessThan">
      <formula>0.5</formula>
    </cfRule>
  </conditionalFormatting>
  <conditionalFormatting sqref="X45">
    <cfRule type="cellIs" dxfId="33334" priority="107280" stopIfTrue="1" operator="greaterThanOrEqual">
      <formula>0.5</formula>
    </cfRule>
  </conditionalFormatting>
  <conditionalFormatting sqref="X46">
    <cfRule type="cellIs" dxfId="33333" priority="107281" stopIfTrue="1" operator="equal">
      <formula>-1</formula>
    </cfRule>
  </conditionalFormatting>
  <conditionalFormatting sqref="X46">
    <cfRule type="cellIs" dxfId="33332" priority="107282" stopIfTrue="1" operator="lessThan">
      <formula>0.5</formula>
    </cfRule>
  </conditionalFormatting>
  <conditionalFormatting sqref="X46">
    <cfRule type="cellIs" dxfId="33331" priority="107283" stopIfTrue="1" operator="greaterThanOrEqual">
      <formula>0.5</formula>
    </cfRule>
  </conditionalFormatting>
  <conditionalFormatting sqref="X47">
    <cfRule type="cellIs" dxfId="33330" priority="107284" stopIfTrue="1" operator="equal">
      <formula>-1</formula>
    </cfRule>
  </conditionalFormatting>
  <conditionalFormatting sqref="X47">
    <cfRule type="cellIs" dxfId="33329" priority="107285" stopIfTrue="1" operator="lessThan">
      <formula>0.5</formula>
    </cfRule>
  </conditionalFormatting>
  <conditionalFormatting sqref="X47">
    <cfRule type="cellIs" dxfId="33328" priority="107286" stopIfTrue="1" operator="greaterThanOrEqual">
      <formula>0.5</formula>
    </cfRule>
  </conditionalFormatting>
  <conditionalFormatting sqref="X48">
    <cfRule type="cellIs" dxfId="33327" priority="107287" stopIfTrue="1" operator="equal">
      <formula>-1</formula>
    </cfRule>
  </conditionalFormatting>
  <conditionalFormatting sqref="X48">
    <cfRule type="cellIs" dxfId="33326" priority="107288" stopIfTrue="1" operator="lessThan">
      <formula>0.5</formula>
    </cfRule>
  </conditionalFormatting>
  <conditionalFormatting sqref="X48">
    <cfRule type="cellIs" dxfId="33325" priority="107289" stopIfTrue="1" operator="greaterThanOrEqual">
      <formula>0.5</formula>
    </cfRule>
  </conditionalFormatting>
  <conditionalFormatting sqref="X49">
    <cfRule type="cellIs" dxfId="33324" priority="107290" stopIfTrue="1" operator="equal">
      <formula>-1</formula>
    </cfRule>
  </conditionalFormatting>
  <conditionalFormatting sqref="X49">
    <cfRule type="cellIs" dxfId="33323" priority="107291" stopIfTrue="1" operator="lessThan">
      <formula>0.5</formula>
    </cfRule>
  </conditionalFormatting>
  <conditionalFormatting sqref="X49">
    <cfRule type="cellIs" dxfId="33322" priority="107292" stopIfTrue="1" operator="greaterThanOrEqual">
      <formula>0.5</formula>
    </cfRule>
  </conditionalFormatting>
  <conditionalFormatting sqref="X50">
    <cfRule type="cellIs" dxfId="33321" priority="107293" stopIfTrue="1" operator="equal">
      <formula>-1</formula>
    </cfRule>
  </conditionalFormatting>
  <conditionalFormatting sqref="X50">
    <cfRule type="cellIs" dxfId="33320" priority="107294" stopIfTrue="1" operator="lessThan">
      <formula>0.5</formula>
    </cfRule>
  </conditionalFormatting>
  <conditionalFormatting sqref="X50">
    <cfRule type="cellIs" dxfId="33319" priority="107295" stopIfTrue="1" operator="greaterThanOrEqual">
      <formula>0.5</formula>
    </cfRule>
  </conditionalFormatting>
  <conditionalFormatting sqref="X51">
    <cfRule type="cellIs" dxfId="33318" priority="107296" stopIfTrue="1" operator="equal">
      <formula>-1</formula>
    </cfRule>
  </conditionalFormatting>
  <conditionalFormatting sqref="X51">
    <cfRule type="cellIs" dxfId="33317" priority="107297" stopIfTrue="1" operator="lessThan">
      <formula>0.5</formula>
    </cfRule>
  </conditionalFormatting>
  <conditionalFormatting sqref="X51">
    <cfRule type="cellIs" dxfId="33316" priority="107298" stopIfTrue="1" operator="greaterThanOrEqual">
      <formula>0.5</formula>
    </cfRule>
  </conditionalFormatting>
  <conditionalFormatting sqref="X52">
    <cfRule type="cellIs" dxfId="33315" priority="107299" stopIfTrue="1" operator="equal">
      <formula>-1</formula>
    </cfRule>
  </conditionalFormatting>
  <conditionalFormatting sqref="X52">
    <cfRule type="cellIs" dxfId="33314" priority="107300" stopIfTrue="1" operator="lessThan">
      <formula>0.5</formula>
    </cfRule>
  </conditionalFormatting>
  <conditionalFormatting sqref="X52">
    <cfRule type="cellIs" dxfId="33313" priority="107301" stopIfTrue="1" operator="greaterThanOrEqual">
      <formula>0.5</formula>
    </cfRule>
  </conditionalFormatting>
  <conditionalFormatting sqref="X53">
    <cfRule type="cellIs" dxfId="33312" priority="107302" stopIfTrue="1" operator="equal">
      <formula>-1</formula>
    </cfRule>
  </conditionalFormatting>
  <conditionalFormatting sqref="X53">
    <cfRule type="cellIs" dxfId="33311" priority="107303" stopIfTrue="1" operator="lessThan">
      <formula>0.5</formula>
    </cfRule>
  </conditionalFormatting>
  <conditionalFormatting sqref="X53">
    <cfRule type="cellIs" dxfId="33310" priority="107304" stopIfTrue="1" operator="greaterThanOrEqual">
      <formula>0.5</formula>
    </cfRule>
  </conditionalFormatting>
  <conditionalFormatting sqref="X54">
    <cfRule type="cellIs" dxfId="33309" priority="107305" stopIfTrue="1" operator="equal">
      <formula>-1</formula>
    </cfRule>
  </conditionalFormatting>
  <conditionalFormatting sqref="X54">
    <cfRule type="cellIs" dxfId="33308" priority="107306" stopIfTrue="1" operator="lessThan">
      <formula>0.5</formula>
    </cfRule>
  </conditionalFormatting>
  <conditionalFormatting sqref="X54">
    <cfRule type="cellIs" dxfId="33307" priority="107307" stopIfTrue="1" operator="greaterThanOrEqual">
      <formula>0.5</formula>
    </cfRule>
  </conditionalFormatting>
  <conditionalFormatting sqref="X55">
    <cfRule type="cellIs" dxfId="33306" priority="107308" stopIfTrue="1" operator="equal">
      <formula>-1</formula>
    </cfRule>
  </conditionalFormatting>
  <conditionalFormatting sqref="X55">
    <cfRule type="cellIs" dxfId="33305" priority="107309" stopIfTrue="1" operator="lessThan">
      <formula>0.5</formula>
    </cfRule>
  </conditionalFormatting>
  <conditionalFormatting sqref="X55">
    <cfRule type="cellIs" dxfId="33304" priority="107310" stopIfTrue="1" operator="greaterThanOrEqual">
      <formula>0.5</formula>
    </cfRule>
  </conditionalFormatting>
  <conditionalFormatting sqref="X56">
    <cfRule type="cellIs" dxfId="33303" priority="107311" stopIfTrue="1" operator="equal">
      <formula>-1</formula>
    </cfRule>
  </conditionalFormatting>
  <conditionalFormatting sqref="X56">
    <cfRule type="cellIs" dxfId="33302" priority="107312" stopIfTrue="1" operator="lessThan">
      <formula>0.5</formula>
    </cfRule>
  </conditionalFormatting>
  <conditionalFormatting sqref="X56">
    <cfRule type="cellIs" dxfId="33301" priority="107313" stopIfTrue="1" operator="greaterThanOrEqual">
      <formula>0.5</formula>
    </cfRule>
  </conditionalFormatting>
  <conditionalFormatting sqref="X57">
    <cfRule type="cellIs" dxfId="33300" priority="107314" stopIfTrue="1" operator="equal">
      <formula>-1</formula>
    </cfRule>
  </conditionalFormatting>
  <conditionalFormatting sqref="X57">
    <cfRule type="cellIs" dxfId="33299" priority="107315" stopIfTrue="1" operator="lessThan">
      <formula>0.5</formula>
    </cfRule>
  </conditionalFormatting>
  <conditionalFormatting sqref="X57">
    <cfRule type="cellIs" dxfId="33298" priority="107316" stopIfTrue="1" operator="greaterThanOrEqual">
      <formula>0.5</formula>
    </cfRule>
  </conditionalFormatting>
  <conditionalFormatting sqref="X58">
    <cfRule type="cellIs" dxfId="33297" priority="107317" stopIfTrue="1" operator="equal">
      <formula>-1</formula>
    </cfRule>
  </conditionalFormatting>
  <conditionalFormatting sqref="X58">
    <cfRule type="cellIs" dxfId="33296" priority="107318" stopIfTrue="1" operator="lessThan">
      <formula>0.5</formula>
    </cfRule>
  </conditionalFormatting>
  <conditionalFormatting sqref="X58">
    <cfRule type="cellIs" dxfId="33295" priority="107319" stopIfTrue="1" operator="greaterThanOrEqual">
      <formula>0.5</formula>
    </cfRule>
  </conditionalFormatting>
  <conditionalFormatting sqref="Z39">
    <cfRule type="cellIs" dxfId="33294" priority="107320" stopIfTrue="1" operator="equal">
      <formula>-1</formula>
    </cfRule>
  </conditionalFormatting>
  <conditionalFormatting sqref="Z39">
    <cfRule type="cellIs" dxfId="33293" priority="107321" stopIfTrue="1" operator="lessThan">
      <formula>0.5</formula>
    </cfRule>
  </conditionalFormatting>
  <conditionalFormatting sqref="Z39">
    <cfRule type="cellIs" dxfId="33292" priority="107322" stopIfTrue="1" operator="greaterThanOrEqual">
      <formula>0.5</formula>
    </cfRule>
  </conditionalFormatting>
  <conditionalFormatting sqref="Z40">
    <cfRule type="cellIs" dxfId="33291" priority="107323" stopIfTrue="1" operator="equal">
      <formula>-1</formula>
    </cfRule>
  </conditionalFormatting>
  <conditionalFormatting sqref="Z40">
    <cfRule type="cellIs" dxfId="33290" priority="107324" stopIfTrue="1" operator="lessThan">
      <formula>0.5</formula>
    </cfRule>
  </conditionalFormatting>
  <conditionalFormatting sqref="Z40">
    <cfRule type="cellIs" dxfId="33289" priority="107325" stopIfTrue="1" operator="greaterThanOrEqual">
      <formula>0.5</formula>
    </cfRule>
  </conditionalFormatting>
  <conditionalFormatting sqref="Z41">
    <cfRule type="cellIs" dxfId="33288" priority="107326" stopIfTrue="1" operator="equal">
      <formula>-1</formula>
    </cfRule>
  </conditionalFormatting>
  <conditionalFormatting sqref="Z41">
    <cfRule type="cellIs" dxfId="33287" priority="107327" stopIfTrue="1" operator="lessThan">
      <formula>0.5</formula>
    </cfRule>
  </conditionalFormatting>
  <conditionalFormatting sqref="Z41">
    <cfRule type="cellIs" dxfId="33286" priority="107328" stopIfTrue="1" operator="greaterThanOrEqual">
      <formula>0.5</formula>
    </cfRule>
  </conditionalFormatting>
  <conditionalFormatting sqref="Z42">
    <cfRule type="cellIs" dxfId="33285" priority="107329" stopIfTrue="1" operator="equal">
      <formula>-1</formula>
    </cfRule>
  </conditionalFormatting>
  <conditionalFormatting sqref="Z42">
    <cfRule type="cellIs" dxfId="33284" priority="107330" stopIfTrue="1" operator="lessThan">
      <formula>0.5</formula>
    </cfRule>
  </conditionalFormatting>
  <conditionalFormatting sqref="Z42">
    <cfRule type="cellIs" dxfId="33283" priority="107331" stopIfTrue="1" operator="greaterThanOrEqual">
      <formula>0.5</formula>
    </cfRule>
  </conditionalFormatting>
  <conditionalFormatting sqref="Z43">
    <cfRule type="cellIs" dxfId="33282" priority="107332" stopIfTrue="1" operator="equal">
      <formula>-1</formula>
    </cfRule>
  </conditionalFormatting>
  <conditionalFormatting sqref="Z43">
    <cfRule type="cellIs" dxfId="33281" priority="107333" stopIfTrue="1" operator="lessThan">
      <formula>0.5</formula>
    </cfRule>
  </conditionalFormatting>
  <conditionalFormatting sqref="Z43">
    <cfRule type="cellIs" dxfId="33280" priority="107334" stopIfTrue="1" operator="greaterThanOrEqual">
      <formula>0.5</formula>
    </cfRule>
  </conditionalFormatting>
  <conditionalFormatting sqref="Z44">
    <cfRule type="cellIs" dxfId="33279" priority="107335" stopIfTrue="1" operator="equal">
      <formula>-1</formula>
    </cfRule>
  </conditionalFormatting>
  <conditionalFormatting sqref="Z44">
    <cfRule type="cellIs" dxfId="33278" priority="107336" stopIfTrue="1" operator="lessThan">
      <formula>0.5</formula>
    </cfRule>
  </conditionalFormatting>
  <conditionalFormatting sqref="Z44">
    <cfRule type="cellIs" dxfId="33277" priority="107337" stopIfTrue="1" operator="greaterThanOrEqual">
      <formula>0.5</formula>
    </cfRule>
  </conditionalFormatting>
  <conditionalFormatting sqref="Z45">
    <cfRule type="cellIs" dxfId="33276" priority="107338" stopIfTrue="1" operator="equal">
      <formula>-1</formula>
    </cfRule>
  </conditionalFormatting>
  <conditionalFormatting sqref="Z45">
    <cfRule type="cellIs" dxfId="33275" priority="107339" stopIfTrue="1" operator="lessThan">
      <formula>0.5</formula>
    </cfRule>
  </conditionalFormatting>
  <conditionalFormatting sqref="Z45">
    <cfRule type="cellIs" dxfId="33274" priority="107340" stopIfTrue="1" operator="greaterThanOrEqual">
      <formula>0.5</formula>
    </cfRule>
  </conditionalFormatting>
  <conditionalFormatting sqref="Z46">
    <cfRule type="cellIs" dxfId="33273" priority="107341" stopIfTrue="1" operator="equal">
      <formula>-1</formula>
    </cfRule>
  </conditionalFormatting>
  <conditionalFormatting sqref="Z46">
    <cfRule type="cellIs" dxfId="33272" priority="107342" stopIfTrue="1" operator="lessThan">
      <formula>0.5</formula>
    </cfRule>
  </conditionalFormatting>
  <conditionalFormatting sqref="Z46">
    <cfRule type="cellIs" dxfId="33271" priority="107343" stopIfTrue="1" operator="greaterThanOrEqual">
      <formula>0.5</formula>
    </cfRule>
  </conditionalFormatting>
  <conditionalFormatting sqref="Z47">
    <cfRule type="cellIs" dxfId="33270" priority="107344" stopIfTrue="1" operator="equal">
      <formula>-1</formula>
    </cfRule>
  </conditionalFormatting>
  <conditionalFormatting sqref="Z47">
    <cfRule type="cellIs" dxfId="33269" priority="107345" stopIfTrue="1" operator="lessThan">
      <formula>0.5</formula>
    </cfRule>
  </conditionalFormatting>
  <conditionalFormatting sqref="Z47">
    <cfRule type="cellIs" dxfId="33268" priority="107346" stopIfTrue="1" operator="greaterThanOrEqual">
      <formula>0.5</formula>
    </cfRule>
  </conditionalFormatting>
  <conditionalFormatting sqref="Z48">
    <cfRule type="cellIs" dxfId="33267" priority="107347" stopIfTrue="1" operator="equal">
      <formula>-1</formula>
    </cfRule>
  </conditionalFormatting>
  <conditionalFormatting sqref="Z48">
    <cfRule type="cellIs" dxfId="33266" priority="107348" stopIfTrue="1" operator="lessThan">
      <formula>0.5</formula>
    </cfRule>
  </conditionalFormatting>
  <conditionalFormatting sqref="Z48">
    <cfRule type="cellIs" dxfId="33265" priority="107349" stopIfTrue="1" operator="greaterThanOrEqual">
      <formula>0.5</formula>
    </cfRule>
  </conditionalFormatting>
  <conditionalFormatting sqref="Z49">
    <cfRule type="cellIs" dxfId="33264" priority="107350" stopIfTrue="1" operator="equal">
      <formula>-1</formula>
    </cfRule>
  </conditionalFormatting>
  <conditionalFormatting sqref="Z49">
    <cfRule type="cellIs" dxfId="33263" priority="107351" stopIfTrue="1" operator="lessThan">
      <formula>0.5</formula>
    </cfRule>
  </conditionalFormatting>
  <conditionalFormatting sqref="Z49">
    <cfRule type="cellIs" dxfId="33262" priority="107352" stopIfTrue="1" operator="greaterThanOrEqual">
      <formula>0.5</formula>
    </cfRule>
  </conditionalFormatting>
  <conditionalFormatting sqref="Z50">
    <cfRule type="cellIs" dxfId="33261" priority="107353" stopIfTrue="1" operator="equal">
      <formula>-1</formula>
    </cfRule>
  </conditionalFormatting>
  <conditionalFormatting sqref="Z50">
    <cfRule type="cellIs" dxfId="33260" priority="107354" stopIfTrue="1" operator="lessThan">
      <formula>0.5</formula>
    </cfRule>
  </conditionalFormatting>
  <conditionalFormatting sqref="Z50">
    <cfRule type="cellIs" dxfId="33259" priority="107355" stopIfTrue="1" operator="greaterThanOrEqual">
      <formula>0.5</formula>
    </cfRule>
  </conditionalFormatting>
  <conditionalFormatting sqref="Z51">
    <cfRule type="cellIs" dxfId="33258" priority="107356" stopIfTrue="1" operator="equal">
      <formula>-1</formula>
    </cfRule>
  </conditionalFormatting>
  <conditionalFormatting sqref="Z51">
    <cfRule type="cellIs" dxfId="33257" priority="107357" stopIfTrue="1" operator="lessThan">
      <formula>0.5</formula>
    </cfRule>
  </conditionalFormatting>
  <conditionalFormatting sqref="Z51">
    <cfRule type="cellIs" dxfId="33256" priority="107358" stopIfTrue="1" operator="greaterThanOrEqual">
      <formula>0.5</formula>
    </cfRule>
  </conditionalFormatting>
  <conditionalFormatting sqref="Z52">
    <cfRule type="cellIs" dxfId="33255" priority="107359" stopIfTrue="1" operator="equal">
      <formula>-1</formula>
    </cfRule>
  </conditionalFormatting>
  <conditionalFormatting sqref="Z52">
    <cfRule type="cellIs" dxfId="33254" priority="107360" stopIfTrue="1" operator="lessThan">
      <formula>0.5</formula>
    </cfRule>
  </conditionalFormatting>
  <conditionalFormatting sqref="Z52">
    <cfRule type="cellIs" dxfId="33253" priority="107361" stopIfTrue="1" operator="greaterThanOrEqual">
      <formula>0.5</formula>
    </cfRule>
  </conditionalFormatting>
  <conditionalFormatting sqref="Z53">
    <cfRule type="cellIs" dxfId="33252" priority="107362" stopIfTrue="1" operator="equal">
      <formula>-1</formula>
    </cfRule>
  </conditionalFormatting>
  <conditionalFormatting sqref="Z53">
    <cfRule type="cellIs" dxfId="33251" priority="107363" stopIfTrue="1" operator="lessThan">
      <formula>0.5</formula>
    </cfRule>
  </conditionalFormatting>
  <conditionalFormatting sqref="Z53">
    <cfRule type="cellIs" dxfId="33250" priority="107364" stopIfTrue="1" operator="greaterThanOrEqual">
      <formula>0.5</formula>
    </cfRule>
  </conditionalFormatting>
  <conditionalFormatting sqref="Z54">
    <cfRule type="cellIs" dxfId="33249" priority="107365" stopIfTrue="1" operator="equal">
      <formula>-1</formula>
    </cfRule>
  </conditionalFormatting>
  <conditionalFormatting sqref="Z54">
    <cfRule type="cellIs" dxfId="33248" priority="107366" stopIfTrue="1" operator="lessThan">
      <formula>0.5</formula>
    </cfRule>
  </conditionalFormatting>
  <conditionalFormatting sqref="Z54">
    <cfRule type="cellIs" dxfId="33247" priority="107367" stopIfTrue="1" operator="greaterThanOrEqual">
      <formula>0.5</formula>
    </cfRule>
  </conditionalFormatting>
  <conditionalFormatting sqref="Z55">
    <cfRule type="cellIs" dxfId="33246" priority="107368" stopIfTrue="1" operator="equal">
      <formula>-1</formula>
    </cfRule>
  </conditionalFormatting>
  <conditionalFormatting sqref="Z55">
    <cfRule type="cellIs" dxfId="33245" priority="107369" stopIfTrue="1" operator="lessThan">
      <formula>0.5</formula>
    </cfRule>
  </conditionalFormatting>
  <conditionalFormatting sqref="Z55">
    <cfRule type="cellIs" dxfId="33244" priority="107370" stopIfTrue="1" operator="greaterThanOrEqual">
      <formula>0.5</formula>
    </cfRule>
  </conditionalFormatting>
  <conditionalFormatting sqref="Z56">
    <cfRule type="cellIs" dxfId="33243" priority="107371" stopIfTrue="1" operator="equal">
      <formula>-1</formula>
    </cfRule>
  </conditionalFormatting>
  <conditionalFormatting sqref="Z56">
    <cfRule type="cellIs" dxfId="33242" priority="107372" stopIfTrue="1" operator="lessThan">
      <formula>0.5</formula>
    </cfRule>
  </conditionalFormatting>
  <conditionalFormatting sqref="Z56">
    <cfRule type="cellIs" dxfId="33241" priority="107373" stopIfTrue="1" operator="greaterThanOrEqual">
      <formula>0.5</formula>
    </cfRule>
  </conditionalFormatting>
  <conditionalFormatting sqref="Z57">
    <cfRule type="cellIs" dxfId="33240" priority="107374" stopIfTrue="1" operator="equal">
      <formula>-1</formula>
    </cfRule>
  </conditionalFormatting>
  <conditionalFormatting sqref="Z57">
    <cfRule type="cellIs" dxfId="33239" priority="107375" stopIfTrue="1" operator="lessThan">
      <formula>0.5</formula>
    </cfRule>
  </conditionalFormatting>
  <conditionalFormatting sqref="Z57">
    <cfRule type="cellIs" dxfId="33238" priority="107376" stopIfTrue="1" operator="greaterThanOrEqual">
      <formula>0.5</formula>
    </cfRule>
  </conditionalFormatting>
  <conditionalFormatting sqref="Z58">
    <cfRule type="cellIs" dxfId="33237" priority="107377" stopIfTrue="1" operator="equal">
      <formula>-1</formula>
    </cfRule>
  </conditionalFormatting>
  <conditionalFormatting sqref="Z58">
    <cfRule type="cellIs" dxfId="33236" priority="107378" stopIfTrue="1" operator="lessThan">
      <formula>0.5</formula>
    </cfRule>
  </conditionalFormatting>
  <conditionalFormatting sqref="Z58">
    <cfRule type="cellIs" dxfId="33235" priority="107379" stopIfTrue="1" operator="greaterThanOrEqual">
      <formula>0.5</formula>
    </cfRule>
  </conditionalFormatting>
  <conditionalFormatting sqref="AB39">
    <cfRule type="cellIs" dxfId="33234" priority="107380" stopIfTrue="1" operator="equal">
      <formula>-1</formula>
    </cfRule>
  </conditionalFormatting>
  <conditionalFormatting sqref="AB39">
    <cfRule type="cellIs" dxfId="33233" priority="107381" stopIfTrue="1" operator="lessThan">
      <formula>0.5</formula>
    </cfRule>
  </conditionalFormatting>
  <conditionalFormatting sqref="AB39">
    <cfRule type="cellIs" dxfId="33232" priority="107382" stopIfTrue="1" operator="greaterThanOrEqual">
      <formula>0.5</formula>
    </cfRule>
  </conditionalFormatting>
  <conditionalFormatting sqref="AB40">
    <cfRule type="cellIs" dxfId="33231" priority="107383" stopIfTrue="1" operator="equal">
      <formula>-1</formula>
    </cfRule>
  </conditionalFormatting>
  <conditionalFormatting sqref="AB40">
    <cfRule type="cellIs" dxfId="33230" priority="107384" stopIfTrue="1" operator="lessThan">
      <formula>0.5</formula>
    </cfRule>
  </conditionalFormatting>
  <conditionalFormatting sqref="AB40">
    <cfRule type="cellIs" dxfId="33229" priority="107385" stopIfTrue="1" operator="greaterThanOrEqual">
      <formula>0.5</formula>
    </cfRule>
  </conditionalFormatting>
  <conditionalFormatting sqref="AB41">
    <cfRule type="cellIs" dxfId="33228" priority="107386" stopIfTrue="1" operator="equal">
      <formula>-1</formula>
    </cfRule>
  </conditionalFormatting>
  <conditionalFormatting sqref="AB41">
    <cfRule type="cellIs" dxfId="33227" priority="107387" stopIfTrue="1" operator="lessThan">
      <formula>0.5</formula>
    </cfRule>
  </conditionalFormatting>
  <conditionalFormatting sqref="AB41">
    <cfRule type="cellIs" dxfId="33226" priority="107388" stopIfTrue="1" operator="greaterThanOrEqual">
      <formula>0.5</formula>
    </cfRule>
  </conditionalFormatting>
  <conditionalFormatting sqref="AB42">
    <cfRule type="cellIs" dxfId="33225" priority="107389" stopIfTrue="1" operator="equal">
      <formula>-1</formula>
    </cfRule>
  </conditionalFormatting>
  <conditionalFormatting sqref="AB42">
    <cfRule type="cellIs" dxfId="33224" priority="107390" stopIfTrue="1" operator="lessThan">
      <formula>0.5</formula>
    </cfRule>
  </conditionalFormatting>
  <conditionalFormatting sqref="AB42">
    <cfRule type="cellIs" dxfId="33223" priority="107391" stopIfTrue="1" operator="greaterThanOrEqual">
      <formula>0.5</formula>
    </cfRule>
  </conditionalFormatting>
  <conditionalFormatting sqref="AB43">
    <cfRule type="cellIs" dxfId="33222" priority="107392" stopIfTrue="1" operator="equal">
      <formula>-1</formula>
    </cfRule>
  </conditionalFormatting>
  <conditionalFormatting sqref="AB43">
    <cfRule type="cellIs" dxfId="33221" priority="107393" stopIfTrue="1" operator="lessThan">
      <formula>0.5</formula>
    </cfRule>
  </conditionalFormatting>
  <conditionalFormatting sqref="AB43">
    <cfRule type="cellIs" dxfId="33220" priority="107394" stopIfTrue="1" operator="greaterThanOrEqual">
      <formula>0.5</formula>
    </cfRule>
  </conditionalFormatting>
  <conditionalFormatting sqref="AB44">
    <cfRule type="cellIs" dxfId="33219" priority="107395" stopIfTrue="1" operator="equal">
      <formula>-1</formula>
    </cfRule>
  </conditionalFormatting>
  <conditionalFormatting sqref="AB44">
    <cfRule type="cellIs" dxfId="33218" priority="107396" stopIfTrue="1" operator="lessThan">
      <formula>0.5</formula>
    </cfRule>
  </conditionalFormatting>
  <conditionalFormatting sqref="AB44">
    <cfRule type="cellIs" dxfId="33217" priority="107397" stopIfTrue="1" operator="greaterThanOrEqual">
      <formula>0.5</formula>
    </cfRule>
  </conditionalFormatting>
  <conditionalFormatting sqref="AB45">
    <cfRule type="cellIs" dxfId="33216" priority="107398" stopIfTrue="1" operator="equal">
      <formula>-1</formula>
    </cfRule>
  </conditionalFormatting>
  <conditionalFormatting sqref="AB45">
    <cfRule type="cellIs" dxfId="33215" priority="107399" stopIfTrue="1" operator="lessThan">
      <formula>0.5</formula>
    </cfRule>
  </conditionalFormatting>
  <conditionalFormatting sqref="AB45">
    <cfRule type="cellIs" dxfId="33214" priority="107400" stopIfTrue="1" operator="greaterThanOrEqual">
      <formula>0.5</formula>
    </cfRule>
  </conditionalFormatting>
  <conditionalFormatting sqref="AB46">
    <cfRule type="cellIs" dxfId="33213" priority="107401" stopIfTrue="1" operator="equal">
      <formula>-1</formula>
    </cfRule>
  </conditionalFormatting>
  <conditionalFormatting sqref="AB46">
    <cfRule type="cellIs" dxfId="33212" priority="107402" stopIfTrue="1" operator="lessThan">
      <formula>0.5</formula>
    </cfRule>
  </conditionalFormatting>
  <conditionalFormatting sqref="AB46">
    <cfRule type="cellIs" dxfId="33211" priority="107403" stopIfTrue="1" operator="greaterThanOrEqual">
      <formula>0.5</formula>
    </cfRule>
  </conditionalFormatting>
  <conditionalFormatting sqref="AB47">
    <cfRule type="cellIs" dxfId="33210" priority="107404" stopIfTrue="1" operator="equal">
      <formula>-1</formula>
    </cfRule>
  </conditionalFormatting>
  <conditionalFormatting sqref="AB47">
    <cfRule type="cellIs" dxfId="33209" priority="107405" stopIfTrue="1" operator="lessThan">
      <formula>0.5</formula>
    </cfRule>
  </conditionalFormatting>
  <conditionalFormatting sqref="AB47">
    <cfRule type="cellIs" dxfId="33208" priority="107406" stopIfTrue="1" operator="greaterThanOrEqual">
      <formula>0.5</formula>
    </cfRule>
  </conditionalFormatting>
  <conditionalFormatting sqref="AB48">
    <cfRule type="cellIs" dxfId="33207" priority="107407" stopIfTrue="1" operator="equal">
      <formula>-1</formula>
    </cfRule>
  </conditionalFormatting>
  <conditionalFormatting sqref="AB48">
    <cfRule type="cellIs" dxfId="33206" priority="107408" stopIfTrue="1" operator="lessThan">
      <formula>0.5</formula>
    </cfRule>
  </conditionalFormatting>
  <conditionalFormatting sqref="AB48">
    <cfRule type="cellIs" dxfId="33205" priority="107409" stopIfTrue="1" operator="greaterThanOrEqual">
      <formula>0.5</formula>
    </cfRule>
  </conditionalFormatting>
  <conditionalFormatting sqref="AB49">
    <cfRule type="cellIs" dxfId="33204" priority="107410" stopIfTrue="1" operator="equal">
      <formula>-1</formula>
    </cfRule>
  </conditionalFormatting>
  <conditionalFormatting sqref="AB49">
    <cfRule type="cellIs" dxfId="33203" priority="107411" stopIfTrue="1" operator="lessThan">
      <formula>0.5</formula>
    </cfRule>
  </conditionalFormatting>
  <conditionalFormatting sqref="AB49">
    <cfRule type="cellIs" dxfId="33202" priority="107412" stopIfTrue="1" operator="greaterThanOrEqual">
      <formula>0.5</formula>
    </cfRule>
  </conditionalFormatting>
  <conditionalFormatting sqref="AB50">
    <cfRule type="cellIs" dxfId="33201" priority="107413" stopIfTrue="1" operator="equal">
      <formula>-1</formula>
    </cfRule>
  </conditionalFormatting>
  <conditionalFormatting sqref="AB50">
    <cfRule type="cellIs" dxfId="33200" priority="107414" stopIfTrue="1" operator="lessThan">
      <formula>0.5</formula>
    </cfRule>
  </conditionalFormatting>
  <conditionalFormatting sqref="AB50">
    <cfRule type="cellIs" dxfId="33199" priority="107415" stopIfTrue="1" operator="greaterThanOrEqual">
      <formula>0.5</formula>
    </cfRule>
  </conditionalFormatting>
  <conditionalFormatting sqref="AB51">
    <cfRule type="cellIs" dxfId="33198" priority="107416" stopIfTrue="1" operator="equal">
      <formula>-1</formula>
    </cfRule>
  </conditionalFormatting>
  <conditionalFormatting sqref="AB51">
    <cfRule type="cellIs" dxfId="33197" priority="107417" stopIfTrue="1" operator="lessThan">
      <formula>0.5</formula>
    </cfRule>
  </conditionalFormatting>
  <conditionalFormatting sqref="AB51">
    <cfRule type="cellIs" dxfId="33196" priority="107418" stopIfTrue="1" operator="greaterThanOrEqual">
      <formula>0.5</formula>
    </cfRule>
  </conditionalFormatting>
  <conditionalFormatting sqref="AB52">
    <cfRule type="cellIs" dxfId="33195" priority="107419" stopIfTrue="1" operator="equal">
      <formula>-1</formula>
    </cfRule>
  </conditionalFormatting>
  <conditionalFormatting sqref="AB52">
    <cfRule type="cellIs" dxfId="33194" priority="107420" stopIfTrue="1" operator="lessThan">
      <formula>0.5</formula>
    </cfRule>
  </conditionalFormatting>
  <conditionalFormatting sqref="AB52">
    <cfRule type="cellIs" dxfId="33193" priority="107421" stopIfTrue="1" operator="greaterThanOrEqual">
      <formula>0.5</formula>
    </cfRule>
  </conditionalFormatting>
  <conditionalFormatting sqref="AB53">
    <cfRule type="cellIs" dxfId="33192" priority="107422" stopIfTrue="1" operator="equal">
      <formula>-1</formula>
    </cfRule>
  </conditionalFormatting>
  <conditionalFormatting sqref="AB53">
    <cfRule type="cellIs" dxfId="33191" priority="107423" stopIfTrue="1" operator="lessThan">
      <formula>0.5</formula>
    </cfRule>
  </conditionalFormatting>
  <conditionalFormatting sqref="AB53">
    <cfRule type="cellIs" dxfId="33190" priority="107424" stopIfTrue="1" operator="greaterThanOrEqual">
      <formula>0.5</formula>
    </cfRule>
  </conditionalFormatting>
  <conditionalFormatting sqref="AB54">
    <cfRule type="cellIs" dxfId="33189" priority="107425" stopIfTrue="1" operator="equal">
      <formula>-1</formula>
    </cfRule>
  </conditionalFormatting>
  <conditionalFormatting sqref="AB54">
    <cfRule type="cellIs" dxfId="33188" priority="107426" stopIfTrue="1" operator="lessThan">
      <formula>0.5</formula>
    </cfRule>
  </conditionalFormatting>
  <conditionalFormatting sqref="AB54">
    <cfRule type="cellIs" dxfId="33187" priority="107427" stopIfTrue="1" operator="greaterThanOrEqual">
      <formula>0.5</formula>
    </cfRule>
  </conditionalFormatting>
  <conditionalFormatting sqref="AB55">
    <cfRule type="cellIs" dxfId="33186" priority="107428" stopIfTrue="1" operator="equal">
      <formula>-1</formula>
    </cfRule>
  </conditionalFormatting>
  <conditionalFormatting sqref="AB55">
    <cfRule type="cellIs" dxfId="33185" priority="107429" stopIfTrue="1" operator="lessThan">
      <formula>0.5</formula>
    </cfRule>
  </conditionalFormatting>
  <conditionalFormatting sqref="AB55">
    <cfRule type="cellIs" dxfId="33184" priority="107430" stopIfTrue="1" operator="greaterThanOrEqual">
      <formula>0.5</formula>
    </cfRule>
  </conditionalFormatting>
  <conditionalFormatting sqref="AB56">
    <cfRule type="cellIs" dxfId="33183" priority="107431" stopIfTrue="1" operator="equal">
      <formula>-1</formula>
    </cfRule>
  </conditionalFormatting>
  <conditionalFormatting sqref="AB56">
    <cfRule type="cellIs" dxfId="33182" priority="107432" stopIfTrue="1" operator="lessThan">
      <formula>0.5</formula>
    </cfRule>
  </conditionalFormatting>
  <conditionalFormatting sqref="AB56">
    <cfRule type="cellIs" dxfId="33181" priority="107433" stopIfTrue="1" operator="greaterThanOrEqual">
      <formula>0.5</formula>
    </cfRule>
  </conditionalFormatting>
  <conditionalFormatting sqref="AB57">
    <cfRule type="cellIs" dxfId="33180" priority="107434" stopIfTrue="1" operator="equal">
      <formula>-1</formula>
    </cfRule>
  </conditionalFormatting>
  <conditionalFormatting sqref="AB57">
    <cfRule type="cellIs" dxfId="33179" priority="107435" stopIfTrue="1" operator="lessThan">
      <formula>0.5</formula>
    </cfRule>
  </conditionalFormatting>
  <conditionalFormatting sqref="AB57">
    <cfRule type="cellIs" dxfId="33178" priority="107436" stopIfTrue="1" operator="greaterThanOrEqual">
      <formula>0.5</formula>
    </cfRule>
  </conditionalFormatting>
  <conditionalFormatting sqref="AB58">
    <cfRule type="cellIs" dxfId="33177" priority="107437" stopIfTrue="1" operator="equal">
      <formula>-1</formula>
    </cfRule>
  </conditionalFormatting>
  <conditionalFormatting sqref="AB58">
    <cfRule type="cellIs" dxfId="33176" priority="107438" stopIfTrue="1" operator="lessThan">
      <formula>0.5</formula>
    </cfRule>
  </conditionalFormatting>
  <conditionalFormatting sqref="AB58">
    <cfRule type="cellIs" dxfId="33175" priority="107439" stopIfTrue="1" operator="greaterThanOrEqual">
      <formula>0.5</formula>
    </cfRule>
  </conditionalFormatting>
  <conditionalFormatting sqref="AD39">
    <cfRule type="cellIs" dxfId="33174" priority="107440" stopIfTrue="1" operator="equal">
      <formula>-1</formula>
    </cfRule>
  </conditionalFormatting>
  <conditionalFormatting sqref="AD39">
    <cfRule type="cellIs" dxfId="33173" priority="107441" stopIfTrue="1" operator="lessThan">
      <formula>0.5</formula>
    </cfRule>
  </conditionalFormatting>
  <conditionalFormatting sqref="AD39">
    <cfRule type="cellIs" dxfId="33172" priority="107442" stopIfTrue="1" operator="greaterThanOrEqual">
      <formula>0.5</formula>
    </cfRule>
  </conditionalFormatting>
  <conditionalFormatting sqref="AD40">
    <cfRule type="cellIs" dxfId="33171" priority="107443" stopIfTrue="1" operator="equal">
      <formula>-1</formula>
    </cfRule>
  </conditionalFormatting>
  <conditionalFormatting sqref="AD40">
    <cfRule type="cellIs" dxfId="33170" priority="107444" stopIfTrue="1" operator="lessThan">
      <formula>0.5</formula>
    </cfRule>
  </conditionalFormatting>
  <conditionalFormatting sqref="AD40">
    <cfRule type="cellIs" dxfId="33169" priority="107445" stopIfTrue="1" operator="greaterThanOrEqual">
      <formula>0.5</formula>
    </cfRule>
  </conditionalFormatting>
  <conditionalFormatting sqref="AD41">
    <cfRule type="cellIs" dxfId="33168" priority="107446" stopIfTrue="1" operator="equal">
      <formula>-1</formula>
    </cfRule>
  </conditionalFormatting>
  <conditionalFormatting sqref="AD41">
    <cfRule type="cellIs" dxfId="33167" priority="107447" stopIfTrue="1" operator="lessThan">
      <formula>0.5</formula>
    </cfRule>
  </conditionalFormatting>
  <conditionalFormatting sqref="AD41">
    <cfRule type="cellIs" dxfId="33166" priority="107448" stopIfTrue="1" operator="greaterThanOrEqual">
      <formula>0.5</formula>
    </cfRule>
  </conditionalFormatting>
  <conditionalFormatting sqref="AD42">
    <cfRule type="cellIs" dxfId="33165" priority="107449" stopIfTrue="1" operator="equal">
      <formula>-1</formula>
    </cfRule>
  </conditionalFormatting>
  <conditionalFormatting sqref="AD42">
    <cfRule type="cellIs" dxfId="33164" priority="107450" stopIfTrue="1" operator="lessThan">
      <formula>0.5</formula>
    </cfRule>
  </conditionalFormatting>
  <conditionalFormatting sqref="AD42">
    <cfRule type="cellIs" dxfId="33163" priority="107451" stopIfTrue="1" operator="greaterThanOrEqual">
      <formula>0.5</formula>
    </cfRule>
  </conditionalFormatting>
  <conditionalFormatting sqref="AD43">
    <cfRule type="cellIs" dxfId="33162" priority="107452" stopIfTrue="1" operator="equal">
      <formula>-1</formula>
    </cfRule>
  </conditionalFormatting>
  <conditionalFormatting sqref="AD43">
    <cfRule type="cellIs" dxfId="33161" priority="107453" stopIfTrue="1" operator="lessThan">
      <formula>0.5</formula>
    </cfRule>
  </conditionalFormatting>
  <conditionalFormatting sqref="AD43">
    <cfRule type="cellIs" dxfId="33160" priority="107454" stopIfTrue="1" operator="greaterThanOrEqual">
      <formula>0.5</formula>
    </cfRule>
  </conditionalFormatting>
  <conditionalFormatting sqref="AD44">
    <cfRule type="cellIs" dxfId="33159" priority="107455" stopIfTrue="1" operator="equal">
      <formula>-1</formula>
    </cfRule>
  </conditionalFormatting>
  <conditionalFormatting sqref="AD44">
    <cfRule type="cellIs" dxfId="33158" priority="107456" stopIfTrue="1" operator="lessThan">
      <formula>0.5</formula>
    </cfRule>
  </conditionalFormatting>
  <conditionalFormatting sqref="AD44">
    <cfRule type="cellIs" dxfId="33157" priority="107457" stopIfTrue="1" operator="greaterThanOrEqual">
      <formula>0.5</formula>
    </cfRule>
  </conditionalFormatting>
  <conditionalFormatting sqref="AD45">
    <cfRule type="cellIs" dxfId="33156" priority="107458" stopIfTrue="1" operator="equal">
      <formula>-1</formula>
    </cfRule>
  </conditionalFormatting>
  <conditionalFormatting sqref="AD45">
    <cfRule type="cellIs" dxfId="33155" priority="107459" stopIfTrue="1" operator="lessThan">
      <formula>0.5</formula>
    </cfRule>
  </conditionalFormatting>
  <conditionalFormatting sqref="AD45">
    <cfRule type="cellIs" dxfId="33154" priority="107460" stopIfTrue="1" operator="greaterThanOrEqual">
      <formula>0.5</formula>
    </cfRule>
  </conditionalFormatting>
  <conditionalFormatting sqref="AD46">
    <cfRule type="cellIs" dxfId="33153" priority="107461" stopIfTrue="1" operator="equal">
      <formula>-1</formula>
    </cfRule>
  </conditionalFormatting>
  <conditionalFormatting sqref="AD46">
    <cfRule type="cellIs" dxfId="33152" priority="107462" stopIfTrue="1" operator="lessThan">
      <formula>0.5</formula>
    </cfRule>
  </conditionalFormatting>
  <conditionalFormatting sqref="AD46">
    <cfRule type="cellIs" dxfId="33151" priority="107463" stopIfTrue="1" operator="greaterThanOrEqual">
      <formula>0.5</formula>
    </cfRule>
  </conditionalFormatting>
  <conditionalFormatting sqref="AD47">
    <cfRule type="cellIs" dxfId="33150" priority="107464" stopIfTrue="1" operator="equal">
      <formula>-1</formula>
    </cfRule>
  </conditionalFormatting>
  <conditionalFormatting sqref="AD47">
    <cfRule type="cellIs" dxfId="33149" priority="107465" stopIfTrue="1" operator="lessThan">
      <formula>0.5</formula>
    </cfRule>
  </conditionalFormatting>
  <conditionalFormatting sqref="AD47">
    <cfRule type="cellIs" dxfId="33148" priority="107466" stopIfTrue="1" operator="greaterThanOrEqual">
      <formula>0.5</formula>
    </cfRule>
  </conditionalFormatting>
  <conditionalFormatting sqref="AD48">
    <cfRule type="cellIs" dxfId="33147" priority="107467" stopIfTrue="1" operator="equal">
      <formula>-1</formula>
    </cfRule>
  </conditionalFormatting>
  <conditionalFormatting sqref="AD48">
    <cfRule type="cellIs" dxfId="33146" priority="107468" stopIfTrue="1" operator="lessThan">
      <formula>0.5</formula>
    </cfRule>
  </conditionalFormatting>
  <conditionalFormatting sqref="AD48">
    <cfRule type="cellIs" dxfId="33145" priority="107469" stopIfTrue="1" operator="greaterThanOrEqual">
      <formula>0.5</formula>
    </cfRule>
  </conditionalFormatting>
  <conditionalFormatting sqref="AD49">
    <cfRule type="cellIs" dxfId="33144" priority="107470" stopIfTrue="1" operator="equal">
      <formula>-1</formula>
    </cfRule>
  </conditionalFormatting>
  <conditionalFormatting sqref="AD49">
    <cfRule type="cellIs" dxfId="33143" priority="107471" stopIfTrue="1" operator="lessThan">
      <formula>0.5</formula>
    </cfRule>
  </conditionalFormatting>
  <conditionalFormatting sqref="AD49">
    <cfRule type="cellIs" dxfId="33142" priority="107472" stopIfTrue="1" operator="greaterThanOrEqual">
      <formula>0.5</formula>
    </cfRule>
  </conditionalFormatting>
  <conditionalFormatting sqref="AD50">
    <cfRule type="cellIs" dxfId="33141" priority="107473" stopIfTrue="1" operator="equal">
      <formula>-1</formula>
    </cfRule>
  </conditionalFormatting>
  <conditionalFormatting sqref="AD50">
    <cfRule type="cellIs" dxfId="33140" priority="107474" stopIfTrue="1" operator="lessThan">
      <formula>0.5</formula>
    </cfRule>
  </conditionalFormatting>
  <conditionalFormatting sqref="AD50">
    <cfRule type="cellIs" dxfId="33139" priority="107475" stopIfTrue="1" operator="greaterThanOrEqual">
      <formula>0.5</formula>
    </cfRule>
  </conditionalFormatting>
  <conditionalFormatting sqref="AD51">
    <cfRule type="cellIs" dxfId="33138" priority="107476" stopIfTrue="1" operator="equal">
      <formula>-1</formula>
    </cfRule>
  </conditionalFormatting>
  <conditionalFormatting sqref="AD51">
    <cfRule type="cellIs" dxfId="33137" priority="107477" stopIfTrue="1" operator="lessThan">
      <formula>0.5</formula>
    </cfRule>
  </conditionalFormatting>
  <conditionalFormatting sqref="AD51">
    <cfRule type="cellIs" dxfId="33136" priority="107478" stopIfTrue="1" operator="greaterThanOrEqual">
      <formula>0.5</formula>
    </cfRule>
  </conditionalFormatting>
  <conditionalFormatting sqref="AD52">
    <cfRule type="cellIs" dxfId="33135" priority="107479" stopIfTrue="1" operator="equal">
      <formula>-1</formula>
    </cfRule>
  </conditionalFormatting>
  <conditionalFormatting sqref="AD52">
    <cfRule type="cellIs" dxfId="33134" priority="107480" stopIfTrue="1" operator="lessThan">
      <formula>0.5</formula>
    </cfRule>
  </conditionalFormatting>
  <conditionalFormatting sqref="AD52">
    <cfRule type="cellIs" dxfId="33133" priority="107481" stopIfTrue="1" operator="greaterThanOrEqual">
      <formula>0.5</formula>
    </cfRule>
  </conditionalFormatting>
  <conditionalFormatting sqref="AD53">
    <cfRule type="cellIs" dxfId="33132" priority="107482" stopIfTrue="1" operator="equal">
      <formula>-1</formula>
    </cfRule>
  </conditionalFormatting>
  <conditionalFormatting sqref="AD53">
    <cfRule type="cellIs" dxfId="33131" priority="107483" stopIfTrue="1" operator="lessThan">
      <formula>0.5</formula>
    </cfRule>
  </conditionalFormatting>
  <conditionalFormatting sqref="AD53">
    <cfRule type="cellIs" dxfId="33130" priority="107484" stopIfTrue="1" operator="greaterThanOrEqual">
      <formula>0.5</formula>
    </cfRule>
  </conditionalFormatting>
  <conditionalFormatting sqref="AD54">
    <cfRule type="cellIs" dxfId="33129" priority="107485" stopIfTrue="1" operator="equal">
      <formula>-1</formula>
    </cfRule>
  </conditionalFormatting>
  <conditionalFormatting sqref="AD54">
    <cfRule type="cellIs" dxfId="33128" priority="107486" stopIfTrue="1" operator="lessThan">
      <formula>0.5</formula>
    </cfRule>
  </conditionalFormatting>
  <conditionalFormatting sqref="AD54">
    <cfRule type="cellIs" dxfId="33127" priority="107487" stopIfTrue="1" operator="greaterThanOrEqual">
      <formula>0.5</formula>
    </cfRule>
  </conditionalFormatting>
  <conditionalFormatting sqref="AD55">
    <cfRule type="cellIs" dxfId="33126" priority="107488" stopIfTrue="1" operator="equal">
      <formula>-1</formula>
    </cfRule>
  </conditionalFormatting>
  <conditionalFormatting sqref="AD55">
    <cfRule type="cellIs" dxfId="33125" priority="107489" stopIfTrue="1" operator="lessThan">
      <formula>0.5</formula>
    </cfRule>
  </conditionalFormatting>
  <conditionalFormatting sqref="AD55">
    <cfRule type="cellIs" dxfId="33124" priority="107490" stopIfTrue="1" operator="greaterThanOrEqual">
      <formula>0.5</formula>
    </cfRule>
  </conditionalFormatting>
  <conditionalFormatting sqref="AD56">
    <cfRule type="cellIs" dxfId="33123" priority="107491" stopIfTrue="1" operator="equal">
      <formula>-1</formula>
    </cfRule>
  </conditionalFormatting>
  <conditionalFormatting sqref="AD56">
    <cfRule type="cellIs" dxfId="33122" priority="107492" stopIfTrue="1" operator="lessThan">
      <formula>0.5</formula>
    </cfRule>
  </conditionalFormatting>
  <conditionalFormatting sqref="AD56">
    <cfRule type="cellIs" dxfId="33121" priority="107493" stopIfTrue="1" operator="greaterThanOrEqual">
      <formula>0.5</formula>
    </cfRule>
  </conditionalFormatting>
  <conditionalFormatting sqref="AD57">
    <cfRule type="cellIs" dxfId="33120" priority="107494" stopIfTrue="1" operator="equal">
      <formula>-1</formula>
    </cfRule>
  </conditionalFormatting>
  <conditionalFormatting sqref="AD57">
    <cfRule type="cellIs" dxfId="33119" priority="107495" stopIfTrue="1" operator="lessThan">
      <formula>0.5</formula>
    </cfRule>
  </conditionalFormatting>
  <conditionalFormatting sqref="AD57">
    <cfRule type="cellIs" dxfId="33118" priority="107496" stopIfTrue="1" operator="greaterThanOrEqual">
      <formula>0.5</formula>
    </cfRule>
  </conditionalFormatting>
  <conditionalFormatting sqref="AD58">
    <cfRule type="cellIs" dxfId="33117" priority="107497" stopIfTrue="1" operator="equal">
      <formula>-1</formula>
    </cfRule>
  </conditionalFormatting>
  <conditionalFormatting sqref="AD58">
    <cfRule type="cellIs" dxfId="33116" priority="107498" stopIfTrue="1" operator="lessThan">
      <formula>0.5</formula>
    </cfRule>
  </conditionalFormatting>
  <conditionalFormatting sqref="AD58">
    <cfRule type="cellIs" dxfId="33115" priority="107499" stopIfTrue="1" operator="greaterThanOrEqual">
      <formula>0.5</formula>
    </cfRule>
  </conditionalFormatting>
  <conditionalFormatting sqref="AF39">
    <cfRule type="cellIs" dxfId="33114" priority="107500" stopIfTrue="1" operator="equal">
      <formula>-1</formula>
    </cfRule>
  </conditionalFormatting>
  <conditionalFormatting sqref="AF39">
    <cfRule type="cellIs" dxfId="33113" priority="107501" stopIfTrue="1" operator="lessThan">
      <formula>0.5</formula>
    </cfRule>
  </conditionalFormatting>
  <conditionalFormatting sqref="AF39">
    <cfRule type="cellIs" dxfId="33112" priority="107502" stopIfTrue="1" operator="greaterThanOrEqual">
      <formula>0.5</formula>
    </cfRule>
  </conditionalFormatting>
  <conditionalFormatting sqref="AF40">
    <cfRule type="cellIs" dxfId="33111" priority="107503" stopIfTrue="1" operator="equal">
      <formula>-1</formula>
    </cfRule>
  </conditionalFormatting>
  <conditionalFormatting sqref="AF40">
    <cfRule type="cellIs" dxfId="33110" priority="107504" stopIfTrue="1" operator="lessThan">
      <formula>0.5</formula>
    </cfRule>
  </conditionalFormatting>
  <conditionalFormatting sqref="AF40">
    <cfRule type="cellIs" dxfId="33109" priority="107505" stopIfTrue="1" operator="greaterThanOrEqual">
      <formula>0.5</formula>
    </cfRule>
  </conditionalFormatting>
  <conditionalFormatting sqref="AF41">
    <cfRule type="cellIs" dxfId="33108" priority="107506" stopIfTrue="1" operator="equal">
      <formula>-1</formula>
    </cfRule>
  </conditionalFormatting>
  <conditionalFormatting sqref="AF41">
    <cfRule type="cellIs" dxfId="33107" priority="107507" stopIfTrue="1" operator="lessThan">
      <formula>0.5</formula>
    </cfRule>
  </conditionalFormatting>
  <conditionalFormatting sqref="AF41">
    <cfRule type="cellIs" dxfId="33106" priority="107508" stopIfTrue="1" operator="greaterThanOrEqual">
      <formula>0.5</formula>
    </cfRule>
  </conditionalFormatting>
  <conditionalFormatting sqref="AF42">
    <cfRule type="cellIs" dxfId="33105" priority="107509" stopIfTrue="1" operator="equal">
      <formula>-1</formula>
    </cfRule>
  </conditionalFormatting>
  <conditionalFormatting sqref="AF42">
    <cfRule type="cellIs" dxfId="33104" priority="107510" stopIfTrue="1" operator="lessThan">
      <formula>0.5</formula>
    </cfRule>
  </conditionalFormatting>
  <conditionalFormatting sqref="AF42">
    <cfRule type="cellIs" dxfId="33103" priority="107511" stopIfTrue="1" operator="greaterThanOrEqual">
      <formula>0.5</formula>
    </cfRule>
  </conditionalFormatting>
  <conditionalFormatting sqref="AF43">
    <cfRule type="cellIs" dxfId="33102" priority="107512" stopIfTrue="1" operator="equal">
      <formula>-1</formula>
    </cfRule>
  </conditionalFormatting>
  <conditionalFormatting sqref="AF43">
    <cfRule type="cellIs" dxfId="33101" priority="107513" stopIfTrue="1" operator="lessThan">
      <formula>0.5</formula>
    </cfRule>
  </conditionalFormatting>
  <conditionalFormatting sqref="AF43">
    <cfRule type="cellIs" dxfId="33100" priority="107514" stopIfTrue="1" operator="greaterThanOrEqual">
      <formula>0.5</formula>
    </cfRule>
  </conditionalFormatting>
  <conditionalFormatting sqref="AF44">
    <cfRule type="cellIs" dxfId="33099" priority="107515" stopIfTrue="1" operator="equal">
      <formula>-1</formula>
    </cfRule>
  </conditionalFormatting>
  <conditionalFormatting sqref="AF44">
    <cfRule type="cellIs" dxfId="33098" priority="107516" stopIfTrue="1" operator="lessThan">
      <formula>0.5</formula>
    </cfRule>
  </conditionalFormatting>
  <conditionalFormatting sqref="AF44">
    <cfRule type="cellIs" dxfId="33097" priority="107517" stopIfTrue="1" operator="greaterThanOrEqual">
      <formula>0.5</formula>
    </cfRule>
  </conditionalFormatting>
  <conditionalFormatting sqref="AF45">
    <cfRule type="cellIs" dxfId="33096" priority="107518" stopIfTrue="1" operator="equal">
      <formula>-1</formula>
    </cfRule>
  </conditionalFormatting>
  <conditionalFormatting sqref="AF45">
    <cfRule type="cellIs" dxfId="33095" priority="107519" stopIfTrue="1" operator="lessThan">
      <formula>0.5</formula>
    </cfRule>
  </conditionalFormatting>
  <conditionalFormatting sqref="AF45">
    <cfRule type="cellIs" dxfId="33094" priority="107520" stopIfTrue="1" operator="greaterThanOrEqual">
      <formula>0.5</formula>
    </cfRule>
  </conditionalFormatting>
  <conditionalFormatting sqref="AF46">
    <cfRule type="cellIs" dxfId="33093" priority="107521" stopIfTrue="1" operator="equal">
      <formula>-1</formula>
    </cfRule>
  </conditionalFormatting>
  <conditionalFormatting sqref="AF46">
    <cfRule type="cellIs" dxfId="33092" priority="107522" stopIfTrue="1" operator="lessThan">
      <formula>0.5</formula>
    </cfRule>
  </conditionalFormatting>
  <conditionalFormatting sqref="AF46">
    <cfRule type="cellIs" dxfId="33091" priority="107523" stopIfTrue="1" operator="greaterThanOrEqual">
      <formula>0.5</formula>
    </cfRule>
  </conditionalFormatting>
  <conditionalFormatting sqref="AF47">
    <cfRule type="cellIs" dxfId="33090" priority="107524" stopIfTrue="1" operator="equal">
      <formula>-1</formula>
    </cfRule>
  </conditionalFormatting>
  <conditionalFormatting sqref="AF47">
    <cfRule type="cellIs" dxfId="33089" priority="107525" stopIfTrue="1" operator="lessThan">
      <formula>0.5</formula>
    </cfRule>
  </conditionalFormatting>
  <conditionalFormatting sqref="AF47">
    <cfRule type="cellIs" dxfId="33088" priority="107526" stopIfTrue="1" operator="greaterThanOrEqual">
      <formula>0.5</formula>
    </cfRule>
  </conditionalFormatting>
  <conditionalFormatting sqref="AF48">
    <cfRule type="cellIs" dxfId="33087" priority="107527" stopIfTrue="1" operator="equal">
      <formula>-1</formula>
    </cfRule>
  </conditionalFormatting>
  <conditionalFormatting sqref="AF48">
    <cfRule type="cellIs" dxfId="33086" priority="107528" stopIfTrue="1" operator="lessThan">
      <formula>0.5</formula>
    </cfRule>
  </conditionalFormatting>
  <conditionalFormatting sqref="AF48">
    <cfRule type="cellIs" dxfId="33085" priority="107529" stopIfTrue="1" operator="greaterThanOrEqual">
      <formula>0.5</formula>
    </cfRule>
  </conditionalFormatting>
  <conditionalFormatting sqref="AF49">
    <cfRule type="cellIs" dxfId="33084" priority="107530" stopIfTrue="1" operator="equal">
      <formula>-1</formula>
    </cfRule>
  </conditionalFormatting>
  <conditionalFormatting sqref="AF49">
    <cfRule type="cellIs" dxfId="33083" priority="107531" stopIfTrue="1" operator="lessThan">
      <formula>0.5</formula>
    </cfRule>
  </conditionalFormatting>
  <conditionalFormatting sqref="AF49">
    <cfRule type="cellIs" dxfId="33082" priority="107532" stopIfTrue="1" operator="greaterThanOrEqual">
      <formula>0.5</formula>
    </cfRule>
  </conditionalFormatting>
  <conditionalFormatting sqref="AF50">
    <cfRule type="cellIs" dxfId="33081" priority="107533" stopIfTrue="1" operator="equal">
      <formula>-1</formula>
    </cfRule>
  </conditionalFormatting>
  <conditionalFormatting sqref="AF50">
    <cfRule type="cellIs" dxfId="33080" priority="107534" stopIfTrue="1" operator="lessThan">
      <formula>0.5</formula>
    </cfRule>
  </conditionalFormatting>
  <conditionalFormatting sqref="AF50">
    <cfRule type="cellIs" dxfId="33079" priority="107535" stopIfTrue="1" operator="greaterThanOrEqual">
      <formula>0.5</formula>
    </cfRule>
  </conditionalFormatting>
  <conditionalFormatting sqref="AF51">
    <cfRule type="cellIs" dxfId="33078" priority="107536" stopIfTrue="1" operator="equal">
      <formula>-1</formula>
    </cfRule>
  </conditionalFormatting>
  <conditionalFormatting sqref="AF51">
    <cfRule type="cellIs" dxfId="33077" priority="107537" stopIfTrue="1" operator="lessThan">
      <formula>0.5</formula>
    </cfRule>
  </conditionalFormatting>
  <conditionalFormatting sqref="AF51">
    <cfRule type="cellIs" dxfId="33076" priority="107538" stopIfTrue="1" operator="greaterThanOrEqual">
      <formula>0.5</formula>
    </cfRule>
  </conditionalFormatting>
  <conditionalFormatting sqref="AF52">
    <cfRule type="cellIs" dxfId="33075" priority="107539" stopIfTrue="1" operator="equal">
      <formula>-1</formula>
    </cfRule>
  </conditionalFormatting>
  <conditionalFormatting sqref="AF52">
    <cfRule type="cellIs" dxfId="33074" priority="107540" stopIfTrue="1" operator="lessThan">
      <formula>0.5</formula>
    </cfRule>
  </conditionalFormatting>
  <conditionalFormatting sqref="AF52">
    <cfRule type="cellIs" dxfId="33073" priority="107541" stopIfTrue="1" operator="greaterThanOrEqual">
      <formula>0.5</formula>
    </cfRule>
  </conditionalFormatting>
  <conditionalFormatting sqref="AF53">
    <cfRule type="cellIs" dxfId="33072" priority="107542" stopIfTrue="1" operator="equal">
      <formula>-1</formula>
    </cfRule>
  </conditionalFormatting>
  <conditionalFormatting sqref="AF53">
    <cfRule type="cellIs" dxfId="33071" priority="107543" stopIfTrue="1" operator="lessThan">
      <formula>0.5</formula>
    </cfRule>
  </conditionalFormatting>
  <conditionalFormatting sqref="AF53">
    <cfRule type="cellIs" dxfId="33070" priority="107544" stopIfTrue="1" operator="greaterThanOrEqual">
      <formula>0.5</formula>
    </cfRule>
  </conditionalFormatting>
  <conditionalFormatting sqref="AF54">
    <cfRule type="cellIs" dxfId="33069" priority="107545" stopIfTrue="1" operator="equal">
      <formula>-1</formula>
    </cfRule>
  </conditionalFormatting>
  <conditionalFormatting sqref="AF54">
    <cfRule type="cellIs" dxfId="33068" priority="107546" stopIfTrue="1" operator="lessThan">
      <formula>0.5</formula>
    </cfRule>
  </conditionalFormatting>
  <conditionalFormatting sqref="AF54">
    <cfRule type="cellIs" dxfId="33067" priority="107547" stopIfTrue="1" operator="greaterThanOrEqual">
      <formula>0.5</formula>
    </cfRule>
  </conditionalFormatting>
  <conditionalFormatting sqref="AF55">
    <cfRule type="cellIs" dxfId="33066" priority="107548" stopIfTrue="1" operator="equal">
      <formula>-1</formula>
    </cfRule>
  </conditionalFormatting>
  <conditionalFormatting sqref="AF55">
    <cfRule type="cellIs" dxfId="33065" priority="107549" stopIfTrue="1" operator="lessThan">
      <formula>0.5</formula>
    </cfRule>
  </conditionalFormatting>
  <conditionalFormatting sqref="AF55">
    <cfRule type="cellIs" dxfId="33064" priority="107550" stopIfTrue="1" operator="greaterThanOrEqual">
      <formula>0.5</formula>
    </cfRule>
  </conditionalFormatting>
  <conditionalFormatting sqref="AF56">
    <cfRule type="cellIs" dxfId="33063" priority="107551" stopIfTrue="1" operator="equal">
      <formula>-1</formula>
    </cfRule>
  </conditionalFormatting>
  <conditionalFormatting sqref="AF56">
    <cfRule type="cellIs" dxfId="33062" priority="107552" stopIfTrue="1" operator="lessThan">
      <formula>0.5</formula>
    </cfRule>
  </conditionalFormatting>
  <conditionalFormatting sqref="AF56">
    <cfRule type="cellIs" dxfId="33061" priority="107553" stopIfTrue="1" operator="greaterThanOrEqual">
      <formula>0.5</formula>
    </cfRule>
  </conditionalFormatting>
  <conditionalFormatting sqref="AF57">
    <cfRule type="cellIs" dxfId="33060" priority="107554" stopIfTrue="1" operator="equal">
      <formula>-1</formula>
    </cfRule>
  </conditionalFormatting>
  <conditionalFormatting sqref="AF57">
    <cfRule type="cellIs" dxfId="33059" priority="107555" stopIfTrue="1" operator="lessThan">
      <formula>0.5</formula>
    </cfRule>
  </conditionalFormatting>
  <conditionalFormatting sqref="AF57">
    <cfRule type="cellIs" dxfId="33058" priority="107556" stopIfTrue="1" operator="greaterThanOrEqual">
      <formula>0.5</formula>
    </cfRule>
  </conditionalFormatting>
  <conditionalFormatting sqref="AF58">
    <cfRule type="cellIs" dxfId="33057" priority="107557" stopIfTrue="1" operator="equal">
      <formula>-1</formula>
    </cfRule>
  </conditionalFormatting>
  <conditionalFormatting sqref="AF58">
    <cfRule type="cellIs" dxfId="33056" priority="107558" stopIfTrue="1" operator="lessThan">
      <formula>0.5</formula>
    </cfRule>
  </conditionalFormatting>
  <conditionalFormatting sqref="AF58">
    <cfRule type="cellIs" dxfId="33055" priority="107559" stopIfTrue="1" operator="greaterThanOrEqual">
      <formula>0.5</formula>
    </cfRule>
  </conditionalFormatting>
  <conditionalFormatting sqref="AH39">
    <cfRule type="cellIs" dxfId="33054" priority="107560" stopIfTrue="1" operator="equal">
      <formula>-1</formula>
    </cfRule>
  </conditionalFormatting>
  <conditionalFormatting sqref="AH39">
    <cfRule type="cellIs" dxfId="33053" priority="107561" stopIfTrue="1" operator="lessThan">
      <formula>0.5</formula>
    </cfRule>
  </conditionalFormatting>
  <conditionalFormatting sqref="AH39">
    <cfRule type="cellIs" dxfId="33052" priority="107562" stopIfTrue="1" operator="greaterThanOrEqual">
      <formula>0.5</formula>
    </cfRule>
  </conditionalFormatting>
  <conditionalFormatting sqref="AH40">
    <cfRule type="cellIs" dxfId="33051" priority="107563" stopIfTrue="1" operator="equal">
      <formula>-1</formula>
    </cfRule>
  </conditionalFormatting>
  <conditionalFormatting sqref="AH40">
    <cfRule type="cellIs" dxfId="33050" priority="107564" stopIfTrue="1" operator="lessThan">
      <formula>0.5</formula>
    </cfRule>
  </conditionalFormatting>
  <conditionalFormatting sqref="AH40">
    <cfRule type="cellIs" dxfId="33049" priority="107565" stopIfTrue="1" operator="greaterThanOrEqual">
      <formula>0.5</formula>
    </cfRule>
  </conditionalFormatting>
  <conditionalFormatting sqref="AH41">
    <cfRule type="cellIs" dxfId="33048" priority="107566" stopIfTrue="1" operator="equal">
      <formula>-1</formula>
    </cfRule>
  </conditionalFormatting>
  <conditionalFormatting sqref="AH41">
    <cfRule type="cellIs" dxfId="33047" priority="107567" stopIfTrue="1" operator="lessThan">
      <formula>0.5</formula>
    </cfRule>
  </conditionalFormatting>
  <conditionalFormatting sqref="AH41">
    <cfRule type="cellIs" dxfId="33046" priority="107568" stopIfTrue="1" operator="greaterThanOrEqual">
      <formula>0.5</formula>
    </cfRule>
  </conditionalFormatting>
  <conditionalFormatting sqref="AH42">
    <cfRule type="cellIs" dxfId="33045" priority="107569" stopIfTrue="1" operator="equal">
      <formula>-1</formula>
    </cfRule>
  </conditionalFormatting>
  <conditionalFormatting sqref="AH42">
    <cfRule type="cellIs" dxfId="33044" priority="107570" stopIfTrue="1" operator="lessThan">
      <formula>0.5</formula>
    </cfRule>
  </conditionalFormatting>
  <conditionalFormatting sqref="AH42">
    <cfRule type="cellIs" dxfId="33043" priority="107571" stopIfTrue="1" operator="greaterThanOrEqual">
      <formula>0.5</formula>
    </cfRule>
  </conditionalFormatting>
  <conditionalFormatting sqref="AH43">
    <cfRule type="cellIs" dxfId="33042" priority="107572" stopIfTrue="1" operator="equal">
      <formula>-1</formula>
    </cfRule>
  </conditionalFormatting>
  <conditionalFormatting sqref="AH43">
    <cfRule type="cellIs" dxfId="33041" priority="107573" stopIfTrue="1" operator="lessThan">
      <formula>0.5</formula>
    </cfRule>
  </conditionalFormatting>
  <conditionalFormatting sqref="AH43">
    <cfRule type="cellIs" dxfId="33040" priority="107574" stopIfTrue="1" operator="greaterThanOrEqual">
      <formula>0.5</formula>
    </cfRule>
  </conditionalFormatting>
  <conditionalFormatting sqref="AH44">
    <cfRule type="cellIs" dxfId="33039" priority="107575" stopIfTrue="1" operator="equal">
      <formula>-1</formula>
    </cfRule>
  </conditionalFormatting>
  <conditionalFormatting sqref="AH44">
    <cfRule type="cellIs" dxfId="33038" priority="107576" stopIfTrue="1" operator="lessThan">
      <formula>0.5</formula>
    </cfRule>
  </conditionalFormatting>
  <conditionalFormatting sqref="AH44">
    <cfRule type="cellIs" dxfId="33037" priority="107577" stopIfTrue="1" operator="greaterThanOrEqual">
      <formula>0.5</formula>
    </cfRule>
  </conditionalFormatting>
  <conditionalFormatting sqref="AH45">
    <cfRule type="cellIs" dxfId="33036" priority="107578" stopIfTrue="1" operator="equal">
      <formula>-1</formula>
    </cfRule>
  </conditionalFormatting>
  <conditionalFormatting sqref="AH45">
    <cfRule type="cellIs" dxfId="33035" priority="107579" stopIfTrue="1" operator="lessThan">
      <formula>0.5</formula>
    </cfRule>
  </conditionalFormatting>
  <conditionalFormatting sqref="AH45">
    <cfRule type="cellIs" dxfId="33034" priority="107580" stopIfTrue="1" operator="greaterThanOrEqual">
      <formula>0.5</formula>
    </cfRule>
  </conditionalFormatting>
  <conditionalFormatting sqref="AH46">
    <cfRule type="cellIs" dxfId="33033" priority="107581" stopIfTrue="1" operator="equal">
      <formula>-1</formula>
    </cfRule>
  </conditionalFormatting>
  <conditionalFormatting sqref="AH46">
    <cfRule type="cellIs" dxfId="33032" priority="107582" stopIfTrue="1" operator="lessThan">
      <formula>0.5</formula>
    </cfRule>
  </conditionalFormatting>
  <conditionalFormatting sqref="AH46">
    <cfRule type="cellIs" dxfId="33031" priority="107583" stopIfTrue="1" operator="greaterThanOrEqual">
      <formula>0.5</formula>
    </cfRule>
  </conditionalFormatting>
  <conditionalFormatting sqref="AH47">
    <cfRule type="cellIs" dxfId="33030" priority="107584" stopIfTrue="1" operator="equal">
      <formula>-1</formula>
    </cfRule>
  </conditionalFormatting>
  <conditionalFormatting sqref="AH47">
    <cfRule type="cellIs" dxfId="33029" priority="107585" stopIfTrue="1" operator="lessThan">
      <formula>0.5</formula>
    </cfRule>
  </conditionalFormatting>
  <conditionalFormatting sqref="AH47">
    <cfRule type="cellIs" dxfId="33028" priority="107586" stopIfTrue="1" operator="greaterThanOrEqual">
      <formula>0.5</formula>
    </cfRule>
  </conditionalFormatting>
  <conditionalFormatting sqref="AH48">
    <cfRule type="cellIs" dxfId="33027" priority="107587" stopIfTrue="1" operator="equal">
      <formula>-1</formula>
    </cfRule>
  </conditionalFormatting>
  <conditionalFormatting sqref="AH48">
    <cfRule type="cellIs" dxfId="33026" priority="107588" stopIfTrue="1" operator="lessThan">
      <formula>0.5</formula>
    </cfRule>
  </conditionalFormatting>
  <conditionalFormatting sqref="AH48">
    <cfRule type="cellIs" dxfId="33025" priority="107589" stopIfTrue="1" operator="greaterThanOrEqual">
      <formula>0.5</formula>
    </cfRule>
  </conditionalFormatting>
  <conditionalFormatting sqref="AH49">
    <cfRule type="cellIs" dxfId="33024" priority="107590" stopIfTrue="1" operator="equal">
      <formula>-1</formula>
    </cfRule>
  </conditionalFormatting>
  <conditionalFormatting sqref="AH49">
    <cfRule type="cellIs" dxfId="33023" priority="107591" stopIfTrue="1" operator="lessThan">
      <formula>0.5</formula>
    </cfRule>
  </conditionalFormatting>
  <conditionalFormatting sqref="AH49">
    <cfRule type="cellIs" dxfId="33022" priority="107592" stopIfTrue="1" operator="greaterThanOrEqual">
      <formula>0.5</formula>
    </cfRule>
  </conditionalFormatting>
  <conditionalFormatting sqref="AH50">
    <cfRule type="cellIs" dxfId="33021" priority="107593" stopIfTrue="1" operator="equal">
      <formula>-1</formula>
    </cfRule>
  </conditionalFormatting>
  <conditionalFormatting sqref="AH50">
    <cfRule type="cellIs" dxfId="33020" priority="107594" stopIfTrue="1" operator="lessThan">
      <formula>0.5</formula>
    </cfRule>
  </conditionalFormatting>
  <conditionalFormatting sqref="AH50">
    <cfRule type="cellIs" dxfId="33019" priority="107595" stopIfTrue="1" operator="greaterThanOrEqual">
      <formula>0.5</formula>
    </cfRule>
  </conditionalFormatting>
  <conditionalFormatting sqref="AH51">
    <cfRule type="cellIs" dxfId="33018" priority="107596" stopIfTrue="1" operator="equal">
      <formula>-1</formula>
    </cfRule>
  </conditionalFormatting>
  <conditionalFormatting sqref="AH51">
    <cfRule type="cellIs" dxfId="33017" priority="107597" stopIfTrue="1" operator="lessThan">
      <formula>0.5</formula>
    </cfRule>
  </conditionalFormatting>
  <conditionalFormatting sqref="AH51">
    <cfRule type="cellIs" dxfId="33016" priority="107598" stopIfTrue="1" operator="greaterThanOrEqual">
      <formula>0.5</formula>
    </cfRule>
  </conditionalFormatting>
  <conditionalFormatting sqref="AH52">
    <cfRule type="cellIs" dxfId="33015" priority="107599" stopIfTrue="1" operator="equal">
      <formula>-1</formula>
    </cfRule>
  </conditionalFormatting>
  <conditionalFormatting sqref="AH52">
    <cfRule type="cellIs" dxfId="33014" priority="107600" stopIfTrue="1" operator="lessThan">
      <formula>0.5</formula>
    </cfRule>
  </conditionalFormatting>
  <conditionalFormatting sqref="AH52">
    <cfRule type="cellIs" dxfId="33013" priority="107601" stopIfTrue="1" operator="greaterThanOrEqual">
      <formula>0.5</formula>
    </cfRule>
  </conditionalFormatting>
  <conditionalFormatting sqref="AH53">
    <cfRule type="cellIs" dxfId="33012" priority="107602" stopIfTrue="1" operator="equal">
      <formula>-1</formula>
    </cfRule>
  </conditionalFormatting>
  <conditionalFormatting sqref="AH53">
    <cfRule type="cellIs" dxfId="33011" priority="107603" stopIfTrue="1" operator="lessThan">
      <formula>0.5</formula>
    </cfRule>
  </conditionalFormatting>
  <conditionalFormatting sqref="AH53">
    <cfRule type="cellIs" dxfId="33010" priority="107604" stopIfTrue="1" operator="greaterThanOrEqual">
      <formula>0.5</formula>
    </cfRule>
  </conditionalFormatting>
  <conditionalFormatting sqref="AH54">
    <cfRule type="cellIs" dxfId="33009" priority="107605" stopIfTrue="1" operator="equal">
      <formula>-1</formula>
    </cfRule>
  </conditionalFormatting>
  <conditionalFormatting sqref="AH54">
    <cfRule type="cellIs" dxfId="33008" priority="107606" stopIfTrue="1" operator="lessThan">
      <formula>0.5</formula>
    </cfRule>
  </conditionalFormatting>
  <conditionalFormatting sqref="AH54">
    <cfRule type="cellIs" dxfId="33007" priority="107607" stopIfTrue="1" operator="greaterThanOrEqual">
      <formula>0.5</formula>
    </cfRule>
  </conditionalFormatting>
  <conditionalFormatting sqref="AH55">
    <cfRule type="cellIs" dxfId="33006" priority="107608" stopIfTrue="1" operator="equal">
      <formula>-1</formula>
    </cfRule>
  </conditionalFormatting>
  <conditionalFormatting sqref="AH55">
    <cfRule type="cellIs" dxfId="33005" priority="107609" stopIfTrue="1" operator="lessThan">
      <formula>0.5</formula>
    </cfRule>
  </conditionalFormatting>
  <conditionalFormatting sqref="AH55">
    <cfRule type="cellIs" dxfId="33004" priority="107610" stopIfTrue="1" operator="greaterThanOrEqual">
      <formula>0.5</formula>
    </cfRule>
  </conditionalFormatting>
  <conditionalFormatting sqref="AH56">
    <cfRule type="cellIs" dxfId="33003" priority="107611" stopIfTrue="1" operator="equal">
      <formula>-1</formula>
    </cfRule>
  </conditionalFormatting>
  <conditionalFormatting sqref="AH56">
    <cfRule type="cellIs" dxfId="33002" priority="107612" stopIfTrue="1" operator="lessThan">
      <formula>0.5</formula>
    </cfRule>
  </conditionalFormatting>
  <conditionalFormatting sqref="AH56">
    <cfRule type="cellIs" dxfId="33001" priority="107613" stopIfTrue="1" operator="greaterThanOrEqual">
      <formula>0.5</formula>
    </cfRule>
  </conditionalFormatting>
  <conditionalFormatting sqref="AH57">
    <cfRule type="cellIs" dxfId="33000" priority="107614" stopIfTrue="1" operator="equal">
      <formula>-1</formula>
    </cfRule>
  </conditionalFormatting>
  <conditionalFormatting sqref="AH57">
    <cfRule type="cellIs" dxfId="32999" priority="107615" stopIfTrue="1" operator="lessThan">
      <formula>0.5</formula>
    </cfRule>
  </conditionalFormatting>
  <conditionalFormatting sqref="AH57">
    <cfRule type="cellIs" dxfId="32998" priority="107616" stopIfTrue="1" operator="greaterThanOrEqual">
      <formula>0.5</formula>
    </cfRule>
  </conditionalFormatting>
  <conditionalFormatting sqref="AH58">
    <cfRule type="cellIs" dxfId="32997" priority="107617" stopIfTrue="1" operator="equal">
      <formula>-1</formula>
    </cfRule>
  </conditionalFormatting>
  <conditionalFormatting sqref="AH58">
    <cfRule type="cellIs" dxfId="32996" priority="107618" stopIfTrue="1" operator="lessThan">
      <formula>0.5</formula>
    </cfRule>
  </conditionalFormatting>
  <conditionalFormatting sqref="AH58">
    <cfRule type="cellIs" dxfId="32995" priority="107619" stopIfTrue="1" operator="greaterThanOrEqual">
      <formula>0.5</formula>
    </cfRule>
  </conditionalFormatting>
  <conditionalFormatting sqref="AJ39">
    <cfRule type="cellIs" dxfId="32994" priority="107620" stopIfTrue="1" operator="equal">
      <formula>-1</formula>
    </cfRule>
  </conditionalFormatting>
  <conditionalFormatting sqref="AJ39">
    <cfRule type="cellIs" dxfId="32993" priority="107621" stopIfTrue="1" operator="lessThan">
      <formula>0.5</formula>
    </cfRule>
  </conditionalFormatting>
  <conditionalFormatting sqref="AJ39">
    <cfRule type="cellIs" dxfId="32992" priority="107622" stopIfTrue="1" operator="greaterThanOrEqual">
      <formula>0.5</formula>
    </cfRule>
  </conditionalFormatting>
  <conditionalFormatting sqref="AJ40">
    <cfRule type="cellIs" dxfId="32991" priority="107623" stopIfTrue="1" operator="equal">
      <formula>-1</formula>
    </cfRule>
  </conditionalFormatting>
  <conditionalFormatting sqref="AJ40">
    <cfRule type="cellIs" dxfId="32990" priority="107624" stopIfTrue="1" operator="lessThan">
      <formula>0.5</formula>
    </cfRule>
  </conditionalFormatting>
  <conditionalFormatting sqref="AJ40">
    <cfRule type="cellIs" dxfId="32989" priority="107625" stopIfTrue="1" operator="greaterThanOrEqual">
      <formula>0.5</formula>
    </cfRule>
  </conditionalFormatting>
  <conditionalFormatting sqref="AJ41">
    <cfRule type="cellIs" dxfId="32988" priority="107626" stopIfTrue="1" operator="equal">
      <formula>-1</formula>
    </cfRule>
  </conditionalFormatting>
  <conditionalFormatting sqref="AJ41">
    <cfRule type="cellIs" dxfId="32987" priority="107627" stopIfTrue="1" operator="lessThan">
      <formula>0.5</formula>
    </cfRule>
  </conditionalFormatting>
  <conditionalFormatting sqref="AJ41">
    <cfRule type="cellIs" dxfId="32986" priority="107628" stopIfTrue="1" operator="greaterThanOrEqual">
      <formula>0.5</formula>
    </cfRule>
  </conditionalFormatting>
  <conditionalFormatting sqref="AJ42">
    <cfRule type="cellIs" dxfId="32985" priority="107629" stopIfTrue="1" operator="equal">
      <formula>-1</formula>
    </cfRule>
  </conditionalFormatting>
  <conditionalFormatting sqref="AJ42">
    <cfRule type="cellIs" dxfId="32984" priority="107630" stopIfTrue="1" operator="lessThan">
      <formula>0.5</formula>
    </cfRule>
  </conditionalFormatting>
  <conditionalFormatting sqref="AJ42">
    <cfRule type="cellIs" dxfId="32983" priority="107631" stopIfTrue="1" operator="greaterThanOrEqual">
      <formula>0.5</formula>
    </cfRule>
  </conditionalFormatting>
  <conditionalFormatting sqref="AJ43">
    <cfRule type="cellIs" dxfId="32982" priority="107632" stopIfTrue="1" operator="equal">
      <formula>-1</formula>
    </cfRule>
  </conditionalFormatting>
  <conditionalFormatting sqref="AJ43">
    <cfRule type="cellIs" dxfId="32981" priority="107633" stopIfTrue="1" operator="lessThan">
      <formula>0.5</formula>
    </cfRule>
  </conditionalFormatting>
  <conditionalFormatting sqref="AJ43">
    <cfRule type="cellIs" dxfId="32980" priority="107634" stopIfTrue="1" operator="greaterThanOrEqual">
      <formula>0.5</formula>
    </cfRule>
  </conditionalFormatting>
  <conditionalFormatting sqref="AJ44">
    <cfRule type="cellIs" dxfId="32979" priority="107635" stopIfTrue="1" operator="equal">
      <formula>-1</formula>
    </cfRule>
  </conditionalFormatting>
  <conditionalFormatting sqref="AJ44">
    <cfRule type="cellIs" dxfId="32978" priority="107636" stopIfTrue="1" operator="lessThan">
      <formula>0.5</formula>
    </cfRule>
  </conditionalFormatting>
  <conditionalFormatting sqref="AJ44">
    <cfRule type="cellIs" dxfId="32977" priority="107637" stopIfTrue="1" operator="greaterThanOrEqual">
      <formula>0.5</formula>
    </cfRule>
  </conditionalFormatting>
  <conditionalFormatting sqref="AJ45">
    <cfRule type="cellIs" dxfId="32976" priority="107638" stopIfTrue="1" operator="equal">
      <formula>-1</formula>
    </cfRule>
  </conditionalFormatting>
  <conditionalFormatting sqref="AJ45">
    <cfRule type="cellIs" dxfId="32975" priority="107639" stopIfTrue="1" operator="lessThan">
      <formula>0.5</formula>
    </cfRule>
  </conditionalFormatting>
  <conditionalFormatting sqref="AJ45">
    <cfRule type="cellIs" dxfId="32974" priority="107640" stopIfTrue="1" operator="greaterThanOrEqual">
      <formula>0.5</formula>
    </cfRule>
  </conditionalFormatting>
  <conditionalFormatting sqref="AJ46">
    <cfRule type="cellIs" dxfId="32973" priority="107641" stopIfTrue="1" operator="equal">
      <formula>-1</formula>
    </cfRule>
  </conditionalFormatting>
  <conditionalFormatting sqref="AJ46">
    <cfRule type="cellIs" dxfId="32972" priority="107642" stopIfTrue="1" operator="lessThan">
      <formula>0.5</formula>
    </cfRule>
  </conditionalFormatting>
  <conditionalFormatting sqref="AJ46">
    <cfRule type="cellIs" dxfId="32971" priority="107643" stopIfTrue="1" operator="greaterThanOrEqual">
      <formula>0.5</formula>
    </cfRule>
  </conditionalFormatting>
  <conditionalFormatting sqref="AJ47">
    <cfRule type="cellIs" dxfId="32970" priority="107644" stopIfTrue="1" operator="equal">
      <formula>-1</formula>
    </cfRule>
  </conditionalFormatting>
  <conditionalFormatting sqref="AJ47">
    <cfRule type="cellIs" dxfId="32969" priority="107645" stopIfTrue="1" operator="lessThan">
      <formula>0.5</formula>
    </cfRule>
  </conditionalFormatting>
  <conditionalFormatting sqref="AJ47">
    <cfRule type="cellIs" dxfId="32968" priority="107646" stopIfTrue="1" operator="greaterThanOrEqual">
      <formula>0.5</formula>
    </cfRule>
  </conditionalFormatting>
  <conditionalFormatting sqref="AJ48">
    <cfRule type="cellIs" dxfId="32967" priority="107647" stopIfTrue="1" operator="equal">
      <formula>-1</formula>
    </cfRule>
  </conditionalFormatting>
  <conditionalFormatting sqref="AJ48">
    <cfRule type="cellIs" dxfId="32966" priority="107648" stopIfTrue="1" operator="lessThan">
      <formula>0.5</formula>
    </cfRule>
  </conditionalFormatting>
  <conditionalFormatting sqref="AJ48">
    <cfRule type="cellIs" dxfId="32965" priority="107649" stopIfTrue="1" operator="greaterThanOrEqual">
      <formula>0.5</formula>
    </cfRule>
  </conditionalFormatting>
  <conditionalFormatting sqref="AJ49">
    <cfRule type="cellIs" dxfId="32964" priority="107650" stopIfTrue="1" operator="equal">
      <formula>-1</formula>
    </cfRule>
  </conditionalFormatting>
  <conditionalFormatting sqref="AJ49">
    <cfRule type="cellIs" dxfId="32963" priority="107651" stopIfTrue="1" operator="lessThan">
      <formula>0.5</formula>
    </cfRule>
  </conditionalFormatting>
  <conditionalFormatting sqref="AJ49">
    <cfRule type="cellIs" dxfId="32962" priority="107652" stopIfTrue="1" operator="greaterThanOrEqual">
      <formula>0.5</formula>
    </cfRule>
  </conditionalFormatting>
  <conditionalFormatting sqref="AJ50">
    <cfRule type="cellIs" dxfId="32961" priority="107653" stopIfTrue="1" operator="equal">
      <formula>-1</formula>
    </cfRule>
  </conditionalFormatting>
  <conditionalFormatting sqref="AJ50">
    <cfRule type="cellIs" dxfId="32960" priority="107654" stopIfTrue="1" operator="lessThan">
      <formula>0.5</formula>
    </cfRule>
  </conditionalFormatting>
  <conditionalFormatting sqref="AJ50">
    <cfRule type="cellIs" dxfId="32959" priority="107655" stopIfTrue="1" operator="greaterThanOrEqual">
      <formula>0.5</formula>
    </cfRule>
  </conditionalFormatting>
  <conditionalFormatting sqref="AJ51">
    <cfRule type="cellIs" dxfId="32958" priority="107656" stopIfTrue="1" operator="equal">
      <formula>-1</formula>
    </cfRule>
  </conditionalFormatting>
  <conditionalFormatting sqref="AJ51">
    <cfRule type="cellIs" dxfId="32957" priority="107657" stopIfTrue="1" operator="lessThan">
      <formula>0.5</formula>
    </cfRule>
  </conditionalFormatting>
  <conditionalFormatting sqref="AJ51">
    <cfRule type="cellIs" dxfId="32956" priority="107658" stopIfTrue="1" operator="greaterThanOrEqual">
      <formula>0.5</formula>
    </cfRule>
  </conditionalFormatting>
  <conditionalFormatting sqref="AJ52">
    <cfRule type="cellIs" dxfId="32955" priority="107659" stopIfTrue="1" operator="equal">
      <formula>-1</formula>
    </cfRule>
  </conditionalFormatting>
  <conditionalFormatting sqref="AJ52">
    <cfRule type="cellIs" dxfId="32954" priority="107660" stopIfTrue="1" operator="lessThan">
      <formula>0.5</formula>
    </cfRule>
  </conditionalFormatting>
  <conditionalFormatting sqref="AJ52">
    <cfRule type="cellIs" dxfId="32953" priority="107661" stopIfTrue="1" operator="greaterThanOrEqual">
      <formula>0.5</formula>
    </cfRule>
  </conditionalFormatting>
  <conditionalFormatting sqref="AJ53">
    <cfRule type="cellIs" dxfId="32952" priority="107662" stopIfTrue="1" operator="equal">
      <formula>-1</formula>
    </cfRule>
  </conditionalFormatting>
  <conditionalFormatting sqref="AJ53">
    <cfRule type="cellIs" dxfId="32951" priority="107663" stopIfTrue="1" operator="lessThan">
      <formula>0.5</formula>
    </cfRule>
  </conditionalFormatting>
  <conditionalFormatting sqref="AJ53">
    <cfRule type="cellIs" dxfId="32950" priority="107664" stopIfTrue="1" operator="greaterThanOrEqual">
      <formula>0.5</formula>
    </cfRule>
  </conditionalFormatting>
  <conditionalFormatting sqref="AJ54">
    <cfRule type="cellIs" dxfId="32949" priority="107665" stopIfTrue="1" operator="equal">
      <formula>-1</formula>
    </cfRule>
  </conditionalFormatting>
  <conditionalFormatting sqref="AJ54">
    <cfRule type="cellIs" dxfId="32948" priority="107666" stopIfTrue="1" operator="lessThan">
      <formula>0.5</formula>
    </cfRule>
  </conditionalFormatting>
  <conditionalFormatting sqref="AJ54">
    <cfRule type="cellIs" dxfId="32947" priority="107667" stopIfTrue="1" operator="greaterThanOrEqual">
      <formula>0.5</formula>
    </cfRule>
  </conditionalFormatting>
  <conditionalFormatting sqref="AJ55">
    <cfRule type="cellIs" dxfId="32946" priority="107668" stopIfTrue="1" operator="equal">
      <formula>-1</formula>
    </cfRule>
  </conditionalFormatting>
  <conditionalFormatting sqref="AJ55">
    <cfRule type="cellIs" dxfId="32945" priority="107669" stopIfTrue="1" operator="lessThan">
      <formula>0.5</formula>
    </cfRule>
  </conditionalFormatting>
  <conditionalFormatting sqref="AJ55">
    <cfRule type="cellIs" dxfId="32944" priority="107670" stopIfTrue="1" operator="greaterThanOrEqual">
      <formula>0.5</formula>
    </cfRule>
  </conditionalFormatting>
  <conditionalFormatting sqref="AJ56">
    <cfRule type="cellIs" dxfId="32943" priority="107671" stopIfTrue="1" operator="equal">
      <formula>-1</formula>
    </cfRule>
  </conditionalFormatting>
  <conditionalFormatting sqref="AJ56">
    <cfRule type="cellIs" dxfId="32942" priority="107672" stopIfTrue="1" operator="lessThan">
      <formula>0.5</formula>
    </cfRule>
  </conditionalFormatting>
  <conditionalFormatting sqref="AJ56">
    <cfRule type="cellIs" dxfId="32941" priority="107673" stopIfTrue="1" operator="greaterThanOrEqual">
      <formula>0.5</formula>
    </cfRule>
  </conditionalFormatting>
  <conditionalFormatting sqref="AJ57">
    <cfRule type="cellIs" dxfId="32940" priority="107674" stopIfTrue="1" operator="equal">
      <formula>-1</formula>
    </cfRule>
  </conditionalFormatting>
  <conditionalFormatting sqref="AJ57">
    <cfRule type="cellIs" dxfId="32939" priority="107675" stopIfTrue="1" operator="lessThan">
      <formula>0.5</formula>
    </cfRule>
  </conditionalFormatting>
  <conditionalFormatting sqref="AJ57">
    <cfRule type="cellIs" dxfId="32938" priority="107676" stopIfTrue="1" operator="greaterThanOrEqual">
      <formula>0.5</formula>
    </cfRule>
  </conditionalFormatting>
  <conditionalFormatting sqref="AJ58">
    <cfRule type="cellIs" dxfId="32937" priority="107677" stopIfTrue="1" operator="equal">
      <formula>-1</formula>
    </cfRule>
  </conditionalFormatting>
  <conditionalFormatting sqref="AJ58">
    <cfRule type="cellIs" dxfId="32936" priority="107678" stopIfTrue="1" operator="lessThan">
      <formula>0.5</formula>
    </cfRule>
  </conditionalFormatting>
  <conditionalFormatting sqref="AJ58">
    <cfRule type="cellIs" dxfId="32935" priority="107679" stopIfTrue="1" operator="greaterThanOrEqual">
      <formula>0.5</formula>
    </cfRule>
  </conditionalFormatting>
  <conditionalFormatting sqref="AL39">
    <cfRule type="cellIs" dxfId="32934" priority="107680" stopIfTrue="1" operator="equal">
      <formula>-1</formula>
    </cfRule>
  </conditionalFormatting>
  <conditionalFormatting sqref="AL39">
    <cfRule type="cellIs" dxfId="32933" priority="107681" stopIfTrue="1" operator="lessThan">
      <formula>0.5</formula>
    </cfRule>
  </conditionalFormatting>
  <conditionalFormatting sqref="AL39">
    <cfRule type="cellIs" dxfId="32932" priority="107682" stopIfTrue="1" operator="greaterThanOrEqual">
      <formula>0.5</formula>
    </cfRule>
  </conditionalFormatting>
  <conditionalFormatting sqref="AL40">
    <cfRule type="cellIs" dxfId="32931" priority="107683" stopIfTrue="1" operator="equal">
      <formula>-1</formula>
    </cfRule>
  </conditionalFormatting>
  <conditionalFormatting sqref="AL40">
    <cfRule type="cellIs" dxfId="32930" priority="107684" stopIfTrue="1" operator="lessThan">
      <formula>0.5</formula>
    </cfRule>
  </conditionalFormatting>
  <conditionalFormatting sqref="AL40">
    <cfRule type="cellIs" dxfId="32929" priority="107685" stopIfTrue="1" operator="greaterThanOrEqual">
      <formula>0.5</formula>
    </cfRule>
  </conditionalFormatting>
  <conditionalFormatting sqref="AL41">
    <cfRule type="cellIs" dxfId="32928" priority="107686" stopIfTrue="1" operator="equal">
      <formula>-1</formula>
    </cfRule>
  </conditionalFormatting>
  <conditionalFormatting sqref="AL41">
    <cfRule type="cellIs" dxfId="32927" priority="107687" stopIfTrue="1" operator="lessThan">
      <formula>0.5</formula>
    </cfRule>
  </conditionalFormatting>
  <conditionalFormatting sqref="AL41">
    <cfRule type="cellIs" dxfId="32926" priority="107688" stopIfTrue="1" operator="greaterThanOrEqual">
      <formula>0.5</formula>
    </cfRule>
  </conditionalFormatting>
  <conditionalFormatting sqref="AL42">
    <cfRule type="cellIs" dxfId="32925" priority="107689" stopIfTrue="1" operator="equal">
      <formula>-1</formula>
    </cfRule>
  </conditionalFormatting>
  <conditionalFormatting sqref="AL42">
    <cfRule type="cellIs" dxfId="32924" priority="107690" stopIfTrue="1" operator="lessThan">
      <formula>0.5</formula>
    </cfRule>
  </conditionalFormatting>
  <conditionalFormatting sqref="AL42">
    <cfRule type="cellIs" dxfId="32923" priority="107691" stopIfTrue="1" operator="greaterThanOrEqual">
      <formula>0.5</formula>
    </cfRule>
  </conditionalFormatting>
  <conditionalFormatting sqref="AL43">
    <cfRule type="cellIs" dxfId="32922" priority="107692" stopIfTrue="1" operator="equal">
      <formula>-1</formula>
    </cfRule>
  </conditionalFormatting>
  <conditionalFormatting sqref="AL43">
    <cfRule type="cellIs" dxfId="32921" priority="107693" stopIfTrue="1" operator="lessThan">
      <formula>0.5</formula>
    </cfRule>
  </conditionalFormatting>
  <conditionalFormatting sqref="AL43">
    <cfRule type="cellIs" dxfId="32920" priority="107694" stopIfTrue="1" operator="greaterThanOrEqual">
      <formula>0.5</formula>
    </cfRule>
  </conditionalFormatting>
  <conditionalFormatting sqref="AL44">
    <cfRule type="cellIs" dxfId="32919" priority="107695" stopIfTrue="1" operator="equal">
      <formula>-1</formula>
    </cfRule>
  </conditionalFormatting>
  <conditionalFormatting sqref="AL44">
    <cfRule type="cellIs" dxfId="32918" priority="107696" stopIfTrue="1" operator="lessThan">
      <formula>0.5</formula>
    </cfRule>
  </conditionalFormatting>
  <conditionalFormatting sqref="AL44">
    <cfRule type="cellIs" dxfId="32917" priority="107697" stopIfTrue="1" operator="greaterThanOrEqual">
      <formula>0.5</formula>
    </cfRule>
  </conditionalFormatting>
  <conditionalFormatting sqref="AL45">
    <cfRule type="cellIs" dxfId="32916" priority="107698" stopIfTrue="1" operator="equal">
      <formula>-1</formula>
    </cfRule>
  </conditionalFormatting>
  <conditionalFormatting sqref="AL45">
    <cfRule type="cellIs" dxfId="32915" priority="107699" stopIfTrue="1" operator="lessThan">
      <formula>0.5</formula>
    </cfRule>
  </conditionalFormatting>
  <conditionalFormatting sqref="AL45">
    <cfRule type="cellIs" dxfId="32914" priority="107700" stopIfTrue="1" operator="greaterThanOrEqual">
      <formula>0.5</formula>
    </cfRule>
  </conditionalFormatting>
  <conditionalFormatting sqref="AL46">
    <cfRule type="cellIs" dxfId="32913" priority="107701" stopIfTrue="1" operator="equal">
      <formula>-1</formula>
    </cfRule>
  </conditionalFormatting>
  <conditionalFormatting sqref="AL46">
    <cfRule type="cellIs" dxfId="32912" priority="107702" stopIfTrue="1" operator="lessThan">
      <formula>0.5</formula>
    </cfRule>
  </conditionalFormatting>
  <conditionalFormatting sqref="AL46">
    <cfRule type="cellIs" dxfId="32911" priority="107703" stopIfTrue="1" operator="greaterThanOrEqual">
      <formula>0.5</formula>
    </cfRule>
  </conditionalFormatting>
  <conditionalFormatting sqref="AL47">
    <cfRule type="cellIs" dxfId="32910" priority="107704" stopIfTrue="1" operator="equal">
      <formula>-1</formula>
    </cfRule>
  </conditionalFormatting>
  <conditionalFormatting sqref="AL47">
    <cfRule type="cellIs" dxfId="32909" priority="107705" stopIfTrue="1" operator="lessThan">
      <formula>0.5</formula>
    </cfRule>
  </conditionalFormatting>
  <conditionalFormatting sqref="AL47">
    <cfRule type="cellIs" dxfId="32908" priority="107706" stopIfTrue="1" operator="greaterThanOrEqual">
      <formula>0.5</formula>
    </cfRule>
  </conditionalFormatting>
  <conditionalFormatting sqref="AL48">
    <cfRule type="cellIs" dxfId="32907" priority="107707" stopIfTrue="1" operator="equal">
      <formula>-1</formula>
    </cfRule>
  </conditionalFormatting>
  <conditionalFormatting sqref="AL48">
    <cfRule type="cellIs" dxfId="32906" priority="107708" stopIfTrue="1" operator="lessThan">
      <formula>0.5</formula>
    </cfRule>
  </conditionalFormatting>
  <conditionalFormatting sqref="AL48">
    <cfRule type="cellIs" dxfId="32905" priority="107709" stopIfTrue="1" operator="greaterThanOrEqual">
      <formula>0.5</formula>
    </cfRule>
  </conditionalFormatting>
  <conditionalFormatting sqref="AL49">
    <cfRule type="cellIs" dxfId="32904" priority="107710" stopIfTrue="1" operator="equal">
      <formula>-1</formula>
    </cfRule>
  </conditionalFormatting>
  <conditionalFormatting sqref="AL49">
    <cfRule type="cellIs" dxfId="32903" priority="107711" stopIfTrue="1" operator="lessThan">
      <formula>0.5</formula>
    </cfRule>
  </conditionalFormatting>
  <conditionalFormatting sqref="AL49">
    <cfRule type="cellIs" dxfId="32902" priority="107712" stopIfTrue="1" operator="greaterThanOrEqual">
      <formula>0.5</formula>
    </cfRule>
  </conditionalFormatting>
  <conditionalFormatting sqref="AL50">
    <cfRule type="cellIs" dxfId="32901" priority="107713" stopIfTrue="1" operator="equal">
      <formula>-1</formula>
    </cfRule>
  </conditionalFormatting>
  <conditionalFormatting sqref="AL50">
    <cfRule type="cellIs" dxfId="32900" priority="107714" stopIfTrue="1" operator="lessThan">
      <formula>0.5</formula>
    </cfRule>
  </conditionalFormatting>
  <conditionalFormatting sqref="AL50">
    <cfRule type="cellIs" dxfId="32899" priority="107715" stopIfTrue="1" operator="greaterThanOrEqual">
      <formula>0.5</formula>
    </cfRule>
  </conditionalFormatting>
  <conditionalFormatting sqref="AL51">
    <cfRule type="cellIs" dxfId="32898" priority="107716" stopIfTrue="1" operator="equal">
      <formula>-1</formula>
    </cfRule>
  </conditionalFormatting>
  <conditionalFormatting sqref="AL51">
    <cfRule type="cellIs" dxfId="32897" priority="107717" stopIfTrue="1" operator="lessThan">
      <formula>0.5</formula>
    </cfRule>
  </conditionalFormatting>
  <conditionalFormatting sqref="AL51">
    <cfRule type="cellIs" dxfId="32896" priority="107718" stopIfTrue="1" operator="greaterThanOrEqual">
      <formula>0.5</formula>
    </cfRule>
  </conditionalFormatting>
  <conditionalFormatting sqref="AL52">
    <cfRule type="cellIs" dxfId="32895" priority="107719" stopIfTrue="1" operator="equal">
      <formula>-1</formula>
    </cfRule>
  </conditionalFormatting>
  <conditionalFormatting sqref="AL52">
    <cfRule type="cellIs" dxfId="32894" priority="107720" stopIfTrue="1" operator="lessThan">
      <formula>0.5</formula>
    </cfRule>
  </conditionalFormatting>
  <conditionalFormatting sqref="AL52">
    <cfRule type="cellIs" dxfId="32893" priority="107721" stopIfTrue="1" operator="greaterThanOrEqual">
      <formula>0.5</formula>
    </cfRule>
  </conditionalFormatting>
  <conditionalFormatting sqref="AL53">
    <cfRule type="cellIs" dxfId="32892" priority="107722" stopIfTrue="1" operator="equal">
      <formula>-1</formula>
    </cfRule>
  </conditionalFormatting>
  <conditionalFormatting sqref="AL53">
    <cfRule type="cellIs" dxfId="32891" priority="107723" stopIfTrue="1" operator="lessThan">
      <formula>0.5</formula>
    </cfRule>
  </conditionalFormatting>
  <conditionalFormatting sqref="AL53">
    <cfRule type="cellIs" dxfId="32890" priority="107724" stopIfTrue="1" operator="greaterThanOrEqual">
      <formula>0.5</formula>
    </cfRule>
  </conditionalFormatting>
  <conditionalFormatting sqref="AL54">
    <cfRule type="cellIs" dxfId="32889" priority="107725" stopIfTrue="1" operator="equal">
      <formula>-1</formula>
    </cfRule>
  </conditionalFormatting>
  <conditionalFormatting sqref="AL54">
    <cfRule type="cellIs" dxfId="32888" priority="107726" stopIfTrue="1" operator="lessThan">
      <formula>0.5</formula>
    </cfRule>
  </conditionalFormatting>
  <conditionalFormatting sqref="AL54">
    <cfRule type="cellIs" dxfId="32887" priority="107727" stopIfTrue="1" operator="greaterThanOrEqual">
      <formula>0.5</formula>
    </cfRule>
  </conditionalFormatting>
  <conditionalFormatting sqref="AL55">
    <cfRule type="cellIs" dxfId="32886" priority="107728" stopIfTrue="1" operator="equal">
      <formula>-1</formula>
    </cfRule>
  </conditionalFormatting>
  <conditionalFormatting sqref="AL55">
    <cfRule type="cellIs" dxfId="32885" priority="107729" stopIfTrue="1" operator="lessThan">
      <formula>0.5</formula>
    </cfRule>
  </conditionalFormatting>
  <conditionalFormatting sqref="AL55">
    <cfRule type="cellIs" dxfId="32884" priority="107730" stopIfTrue="1" operator="greaterThanOrEqual">
      <formula>0.5</formula>
    </cfRule>
  </conditionalFormatting>
  <conditionalFormatting sqref="AL56">
    <cfRule type="cellIs" dxfId="32883" priority="107731" stopIfTrue="1" operator="equal">
      <formula>-1</formula>
    </cfRule>
  </conditionalFormatting>
  <conditionalFormatting sqref="AL56">
    <cfRule type="cellIs" dxfId="32882" priority="107732" stopIfTrue="1" operator="lessThan">
      <formula>0.5</formula>
    </cfRule>
  </conditionalFormatting>
  <conditionalFormatting sqref="AL56">
    <cfRule type="cellIs" dxfId="32881" priority="107733" stopIfTrue="1" operator="greaterThanOrEqual">
      <formula>0.5</formula>
    </cfRule>
  </conditionalFormatting>
  <conditionalFormatting sqref="AL57">
    <cfRule type="cellIs" dxfId="32880" priority="107734" stopIfTrue="1" operator="equal">
      <formula>-1</formula>
    </cfRule>
  </conditionalFormatting>
  <conditionalFormatting sqref="AL57">
    <cfRule type="cellIs" dxfId="32879" priority="107735" stopIfTrue="1" operator="lessThan">
      <formula>0.5</formula>
    </cfRule>
  </conditionalFormatting>
  <conditionalFormatting sqref="AL57">
    <cfRule type="cellIs" dxfId="32878" priority="107736" stopIfTrue="1" operator="greaterThanOrEqual">
      <formula>0.5</formula>
    </cfRule>
  </conditionalFormatting>
  <conditionalFormatting sqref="AL58">
    <cfRule type="cellIs" dxfId="32877" priority="107737" stopIfTrue="1" operator="equal">
      <formula>-1</formula>
    </cfRule>
  </conditionalFormatting>
  <conditionalFormatting sqref="AL58">
    <cfRule type="cellIs" dxfId="32876" priority="107738" stopIfTrue="1" operator="lessThan">
      <formula>0.5</formula>
    </cfRule>
  </conditionalFormatting>
  <conditionalFormatting sqref="AL58">
    <cfRule type="cellIs" dxfId="32875" priority="107739" stopIfTrue="1" operator="greaterThanOrEqual">
      <formula>0.5</formula>
    </cfRule>
  </conditionalFormatting>
  <conditionalFormatting sqref="AN39">
    <cfRule type="cellIs" dxfId="32874" priority="107740" stopIfTrue="1" operator="equal">
      <formula>-1</formula>
    </cfRule>
  </conditionalFormatting>
  <conditionalFormatting sqref="AN39">
    <cfRule type="cellIs" dxfId="32873" priority="107741" stopIfTrue="1" operator="lessThan">
      <formula>0.5</formula>
    </cfRule>
  </conditionalFormatting>
  <conditionalFormatting sqref="AN39">
    <cfRule type="cellIs" dxfId="32872" priority="107742" stopIfTrue="1" operator="greaterThanOrEqual">
      <formula>0.5</formula>
    </cfRule>
  </conditionalFormatting>
  <conditionalFormatting sqref="AN40">
    <cfRule type="cellIs" dxfId="32871" priority="107743" stopIfTrue="1" operator="equal">
      <formula>-1</formula>
    </cfRule>
  </conditionalFormatting>
  <conditionalFormatting sqref="AN40">
    <cfRule type="cellIs" dxfId="32870" priority="107744" stopIfTrue="1" operator="lessThan">
      <formula>0.5</formula>
    </cfRule>
  </conditionalFormatting>
  <conditionalFormatting sqref="AN40">
    <cfRule type="cellIs" dxfId="32869" priority="107745" stopIfTrue="1" operator="greaterThanOrEqual">
      <formula>0.5</formula>
    </cfRule>
  </conditionalFormatting>
  <conditionalFormatting sqref="AN41">
    <cfRule type="cellIs" dxfId="32868" priority="107746" stopIfTrue="1" operator="equal">
      <formula>-1</formula>
    </cfRule>
  </conditionalFormatting>
  <conditionalFormatting sqref="AN41">
    <cfRule type="cellIs" dxfId="32867" priority="107747" stopIfTrue="1" operator="lessThan">
      <formula>0.5</formula>
    </cfRule>
  </conditionalFormatting>
  <conditionalFormatting sqref="AN41">
    <cfRule type="cellIs" dxfId="32866" priority="107748" stopIfTrue="1" operator="greaterThanOrEqual">
      <formula>0.5</formula>
    </cfRule>
  </conditionalFormatting>
  <conditionalFormatting sqref="AN42">
    <cfRule type="cellIs" dxfId="32865" priority="107749" stopIfTrue="1" operator="equal">
      <formula>-1</formula>
    </cfRule>
  </conditionalFormatting>
  <conditionalFormatting sqref="AN42">
    <cfRule type="cellIs" dxfId="32864" priority="107750" stopIfTrue="1" operator="lessThan">
      <formula>0.5</formula>
    </cfRule>
  </conditionalFormatting>
  <conditionalFormatting sqref="AN42">
    <cfRule type="cellIs" dxfId="32863" priority="107751" stopIfTrue="1" operator="greaterThanOrEqual">
      <formula>0.5</formula>
    </cfRule>
  </conditionalFormatting>
  <conditionalFormatting sqref="AN43">
    <cfRule type="cellIs" dxfId="32862" priority="107752" stopIfTrue="1" operator="equal">
      <formula>-1</formula>
    </cfRule>
  </conditionalFormatting>
  <conditionalFormatting sqref="AN43">
    <cfRule type="cellIs" dxfId="32861" priority="107753" stopIfTrue="1" operator="lessThan">
      <formula>0.5</formula>
    </cfRule>
  </conditionalFormatting>
  <conditionalFormatting sqref="AN43">
    <cfRule type="cellIs" dxfId="32860" priority="107754" stopIfTrue="1" operator="greaterThanOrEqual">
      <formula>0.5</formula>
    </cfRule>
  </conditionalFormatting>
  <conditionalFormatting sqref="AN44">
    <cfRule type="cellIs" dxfId="32859" priority="107755" stopIfTrue="1" operator="equal">
      <formula>-1</formula>
    </cfRule>
  </conditionalFormatting>
  <conditionalFormatting sqref="AN44">
    <cfRule type="cellIs" dxfId="32858" priority="107756" stopIfTrue="1" operator="lessThan">
      <formula>0.5</formula>
    </cfRule>
  </conditionalFormatting>
  <conditionalFormatting sqref="AN44">
    <cfRule type="cellIs" dxfId="32857" priority="107757" stopIfTrue="1" operator="greaterThanOrEqual">
      <formula>0.5</formula>
    </cfRule>
  </conditionalFormatting>
  <conditionalFormatting sqref="AN45">
    <cfRule type="cellIs" dxfId="32856" priority="107758" stopIfTrue="1" operator="equal">
      <formula>-1</formula>
    </cfRule>
  </conditionalFormatting>
  <conditionalFormatting sqref="AN45">
    <cfRule type="cellIs" dxfId="32855" priority="107759" stopIfTrue="1" operator="lessThan">
      <formula>0.5</formula>
    </cfRule>
  </conditionalFormatting>
  <conditionalFormatting sqref="AN45">
    <cfRule type="cellIs" dxfId="32854" priority="107760" stopIfTrue="1" operator="greaterThanOrEqual">
      <formula>0.5</formula>
    </cfRule>
  </conditionalFormatting>
  <conditionalFormatting sqref="AN46">
    <cfRule type="cellIs" dxfId="32853" priority="107761" stopIfTrue="1" operator="equal">
      <formula>-1</formula>
    </cfRule>
  </conditionalFormatting>
  <conditionalFormatting sqref="AN46">
    <cfRule type="cellIs" dxfId="32852" priority="107762" stopIfTrue="1" operator="lessThan">
      <formula>0.5</formula>
    </cfRule>
  </conditionalFormatting>
  <conditionalFormatting sqref="AN46">
    <cfRule type="cellIs" dxfId="32851" priority="107763" stopIfTrue="1" operator="greaterThanOrEqual">
      <formula>0.5</formula>
    </cfRule>
  </conditionalFormatting>
  <conditionalFormatting sqref="AN47">
    <cfRule type="cellIs" dxfId="32850" priority="107764" stopIfTrue="1" operator="equal">
      <formula>-1</formula>
    </cfRule>
  </conditionalFormatting>
  <conditionalFormatting sqref="AN47">
    <cfRule type="cellIs" dxfId="32849" priority="107765" stopIfTrue="1" operator="lessThan">
      <formula>0.5</formula>
    </cfRule>
  </conditionalFormatting>
  <conditionalFormatting sqref="AN47">
    <cfRule type="cellIs" dxfId="32848" priority="107766" stopIfTrue="1" operator="greaterThanOrEqual">
      <formula>0.5</formula>
    </cfRule>
  </conditionalFormatting>
  <conditionalFormatting sqref="AN48">
    <cfRule type="cellIs" dxfId="32847" priority="107767" stopIfTrue="1" operator="equal">
      <formula>-1</formula>
    </cfRule>
  </conditionalFormatting>
  <conditionalFormatting sqref="AN48">
    <cfRule type="cellIs" dxfId="32846" priority="107768" stopIfTrue="1" operator="lessThan">
      <formula>0.5</formula>
    </cfRule>
  </conditionalFormatting>
  <conditionalFormatting sqref="AN48">
    <cfRule type="cellIs" dxfId="32845" priority="107769" stopIfTrue="1" operator="greaterThanOrEqual">
      <formula>0.5</formula>
    </cfRule>
  </conditionalFormatting>
  <conditionalFormatting sqref="AN49">
    <cfRule type="cellIs" dxfId="32844" priority="107770" stopIfTrue="1" operator="equal">
      <formula>-1</formula>
    </cfRule>
  </conditionalFormatting>
  <conditionalFormatting sqref="AN49">
    <cfRule type="cellIs" dxfId="32843" priority="107771" stopIfTrue="1" operator="lessThan">
      <formula>0.5</formula>
    </cfRule>
  </conditionalFormatting>
  <conditionalFormatting sqref="AN49">
    <cfRule type="cellIs" dxfId="32842" priority="107772" stopIfTrue="1" operator="greaterThanOrEqual">
      <formula>0.5</formula>
    </cfRule>
  </conditionalFormatting>
  <conditionalFormatting sqref="AN50">
    <cfRule type="cellIs" dxfId="32841" priority="107773" stopIfTrue="1" operator="equal">
      <formula>-1</formula>
    </cfRule>
  </conditionalFormatting>
  <conditionalFormatting sqref="AN50">
    <cfRule type="cellIs" dxfId="32840" priority="107774" stopIfTrue="1" operator="lessThan">
      <formula>0.5</formula>
    </cfRule>
  </conditionalFormatting>
  <conditionalFormatting sqref="AN50">
    <cfRule type="cellIs" dxfId="32839" priority="107775" stopIfTrue="1" operator="greaterThanOrEqual">
      <formula>0.5</formula>
    </cfRule>
  </conditionalFormatting>
  <conditionalFormatting sqref="AN51">
    <cfRule type="cellIs" dxfId="32838" priority="107776" stopIfTrue="1" operator="equal">
      <formula>-1</formula>
    </cfRule>
  </conditionalFormatting>
  <conditionalFormatting sqref="AN51">
    <cfRule type="cellIs" dxfId="32837" priority="107777" stopIfTrue="1" operator="lessThan">
      <formula>0.5</formula>
    </cfRule>
  </conditionalFormatting>
  <conditionalFormatting sqref="AN51">
    <cfRule type="cellIs" dxfId="32836" priority="107778" stopIfTrue="1" operator="greaterThanOrEqual">
      <formula>0.5</formula>
    </cfRule>
  </conditionalFormatting>
  <conditionalFormatting sqref="AN52">
    <cfRule type="cellIs" dxfId="32835" priority="107779" stopIfTrue="1" operator="equal">
      <formula>-1</formula>
    </cfRule>
  </conditionalFormatting>
  <conditionalFormatting sqref="AN52">
    <cfRule type="cellIs" dxfId="32834" priority="107780" stopIfTrue="1" operator="lessThan">
      <formula>0.5</formula>
    </cfRule>
  </conditionalFormatting>
  <conditionalFormatting sqref="AN52">
    <cfRule type="cellIs" dxfId="32833" priority="107781" stopIfTrue="1" operator="greaterThanOrEqual">
      <formula>0.5</formula>
    </cfRule>
  </conditionalFormatting>
  <conditionalFormatting sqref="AN53">
    <cfRule type="cellIs" dxfId="32832" priority="107782" stopIfTrue="1" operator="equal">
      <formula>-1</formula>
    </cfRule>
  </conditionalFormatting>
  <conditionalFormatting sqref="AN53">
    <cfRule type="cellIs" dxfId="32831" priority="107783" stopIfTrue="1" operator="lessThan">
      <formula>0.5</formula>
    </cfRule>
  </conditionalFormatting>
  <conditionalFormatting sqref="AN53">
    <cfRule type="cellIs" dxfId="32830" priority="107784" stopIfTrue="1" operator="greaterThanOrEqual">
      <formula>0.5</formula>
    </cfRule>
  </conditionalFormatting>
  <conditionalFormatting sqref="AN54">
    <cfRule type="cellIs" dxfId="32829" priority="107785" stopIfTrue="1" operator="equal">
      <formula>-1</formula>
    </cfRule>
  </conditionalFormatting>
  <conditionalFormatting sqref="AN54">
    <cfRule type="cellIs" dxfId="32828" priority="107786" stopIfTrue="1" operator="lessThan">
      <formula>0.5</formula>
    </cfRule>
  </conditionalFormatting>
  <conditionalFormatting sqref="AN54">
    <cfRule type="cellIs" dxfId="32827" priority="107787" stopIfTrue="1" operator="greaterThanOrEqual">
      <formula>0.5</formula>
    </cfRule>
  </conditionalFormatting>
  <conditionalFormatting sqref="AN55">
    <cfRule type="cellIs" dxfId="32826" priority="107788" stopIfTrue="1" operator="equal">
      <formula>-1</formula>
    </cfRule>
  </conditionalFormatting>
  <conditionalFormatting sqref="AN55">
    <cfRule type="cellIs" dxfId="32825" priority="107789" stopIfTrue="1" operator="lessThan">
      <formula>0.5</formula>
    </cfRule>
  </conditionalFormatting>
  <conditionalFormatting sqref="AN55">
    <cfRule type="cellIs" dxfId="32824" priority="107790" stopIfTrue="1" operator="greaterThanOrEqual">
      <formula>0.5</formula>
    </cfRule>
  </conditionalFormatting>
  <conditionalFormatting sqref="AN56">
    <cfRule type="cellIs" dxfId="32823" priority="107791" stopIfTrue="1" operator="equal">
      <formula>-1</formula>
    </cfRule>
  </conditionalFormatting>
  <conditionalFormatting sqref="AN56">
    <cfRule type="cellIs" dxfId="32822" priority="107792" stopIfTrue="1" operator="lessThan">
      <formula>0.5</formula>
    </cfRule>
  </conditionalFormatting>
  <conditionalFormatting sqref="AN56">
    <cfRule type="cellIs" dxfId="32821" priority="107793" stopIfTrue="1" operator="greaterThanOrEqual">
      <formula>0.5</formula>
    </cfRule>
  </conditionalFormatting>
  <conditionalFormatting sqref="AN57">
    <cfRule type="cellIs" dxfId="32820" priority="107794" stopIfTrue="1" operator="equal">
      <formula>-1</formula>
    </cfRule>
  </conditionalFormatting>
  <conditionalFormatting sqref="AN57">
    <cfRule type="cellIs" dxfId="32819" priority="107795" stopIfTrue="1" operator="lessThan">
      <formula>0.5</formula>
    </cfRule>
  </conditionalFormatting>
  <conditionalFormatting sqref="AN57">
    <cfRule type="cellIs" dxfId="32818" priority="107796" stopIfTrue="1" operator="greaterThanOrEqual">
      <formula>0.5</formula>
    </cfRule>
  </conditionalFormatting>
  <conditionalFormatting sqref="AN58">
    <cfRule type="cellIs" dxfId="32817" priority="107797" stopIfTrue="1" operator="equal">
      <formula>-1</formula>
    </cfRule>
  </conditionalFormatting>
  <conditionalFormatting sqref="AN58">
    <cfRule type="cellIs" dxfId="32816" priority="107798" stopIfTrue="1" operator="lessThan">
      <formula>0.5</formula>
    </cfRule>
  </conditionalFormatting>
  <conditionalFormatting sqref="AN58">
    <cfRule type="cellIs" dxfId="32815" priority="107799" stopIfTrue="1" operator="greaterThanOrEqual">
      <formula>0.5</formula>
    </cfRule>
  </conditionalFormatting>
  <conditionalFormatting sqref="AP39">
    <cfRule type="cellIs" dxfId="32814" priority="107800" stopIfTrue="1" operator="equal">
      <formula>-1</formula>
    </cfRule>
  </conditionalFormatting>
  <conditionalFormatting sqref="AP39">
    <cfRule type="cellIs" dxfId="32813" priority="107801" stopIfTrue="1" operator="lessThan">
      <formula>0.5</formula>
    </cfRule>
  </conditionalFormatting>
  <conditionalFormatting sqref="AP39">
    <cfRule type="cellIs" dxfId="32812" priority="107802" stopIfTrue="1" operator="greaterThanOrEqual">
      <formula>0.5</formula>
    </cfRule>
  </conditionalFormatting>
  <conditionalFormatting sqref="AP40">
    <cfRule type="cellIs" dxfId="32811" priority="107803" stopIfTrue="1" operator="equal">
      <formula>-1</formula>
    </cfRule>
  </conditionalFormatting>
  <conditionalFormatting sqref="AP40">
    <cfRule type="cellIs" dxfId="32810" priority="107804" stopIfTrue="1" operator="lessThan">
      <formula>0.5</formula>
    </cfRule>
  </conditionalFormatting>
  <conditionalFormatting sqref="AP40">
    <cfRule type="cellIs" dxfId="32809" priority="107805" stopIfTrue="1" operator="greaterThanOrEqual">
      <formula>0.5</formula>
    </cfRule>
  </conditionalFormatting>
  <conditionalFormatting sqref="AP41">
    <cfRule type="cellIs" dxfId="32808" priority="107806" stopIfTrue="1" operator="equal">
      <formula>-1</formula>
    </cfRule>
  </conditionalFormatting>
  <conditionalFormatting sqref="AP41">
    <cfRule type="cellIs" dxfId="32807" priority="107807" stopIfTrue="1" operator="lessThan">
      <formula>0.5</formula>
    </cfRule>
  </conditionalFormatting>
  <conditionalFormatting sqref="AP41">
    <cfRule type="cellIs" dxfId="32806" priority="107808" stopIfTrue="1" operator="greaterThanOrEqual">
      <formula>0.5</formula>
    </cfRule>
  </conditionalFormatting>
  <conditionalFormatting sqref="AP42">
    <cfRule type="cellIs" dxfId="32805" priority="107809" stopIfTrue="1" operator="equal">
      <formula>-1</formula>
    </cfRule>
  </conditionalFormatting>
  <conditionalFormatting sqref="AP42">
    <cfRule type="cellIs" dxfId="32804" priority="107810" stopIfTrue="1" operator="lessThan">
      <formula>0.5</formula>
    </cfRule>
  </conditionalFormatting>
  <conditionalFormatting sqref="AP42">
    <cfRule type="cellIs" dxfId="32803" priority="107811" stopIfTrue="1" operator="greaterThanOrEqual">
      <formula>0.5</formula>
    </cfRule>
  </conditionalFormatting>
  <conditionalFormatting sqref="AP43">
    <cfRule type="cellIs" dxfId="32802" priority="107812" stopIfTrue="1" operator="equal">
      <formula>-1</formula>
    </cfRule>
  </conditionalFormatting>
  <conditionalFormatting sqref="AP43">
    <cfRule type="cellIs" dxfId="32801" priority="107813" stopIfTrue="1" operator="lessThan">
      <formula>0.5</formula>
    </cfRule>
  </conditionalFormatting>
  <conditionalFormatting sqref="AP43">
    <cfRule type="cellIs" dxfId="32800" priority="107814" stopIfTrue="1" operator="greaterThanOrEqual">
      <formula>0.5</formula>
    </cfRule>
  </conditionalFormatting>
  <conditionalFormatting sqref="AP44">
    <cfRule type="cellIs" dxfId="32799" priority="107815" stopIfTrue="1" operator="equal">
      <formula>-1</formula>
    </cfRule>
  </conditionalFormatting>
  <conditionalFormatting sqref="AP44">
    <cfRule type="cellIs" dxfId="32798" priority="107816" stopIfTrue="1" operator="lessThan">
      <formula>0.5</formula>
    </cfRule>
  </conditionalFormatting>
  <conditionalFormatting sqref="AP44">
    <cfRule type="cellIs" dxfId="32797" priority="107817" stopIfTrue="1" operator="greaterThanOrEqual">
      <formula>0.5</formula>
    </cfRule>
  </conditionalFormatting>
  <conditionalFormatting sqref="AP45">
    <cfRule type="cellIs" dxfId="32796" priority="107818" stopIfTrue="1" operator="equal">
      <formula>-1</formula>
    </cfRule>
  </conditionalFormatting>
  <conditionalFormatting sqref="AP45">
    <cfRule type="cellIs" dxfId="32795" priority="107819" stopIfTrue="1" operator="lessThan">
      <formula>0.5</formula>
    </cfRule>
  </conditionalFormatting>
  <conditionalFormatting sqref="AP45">
    <cfRule type="cellIs" dxfId="32794" priority="107820" stopIfTrue="1" operator="greaterThanOrEqual">
      <formula>0.5</formula>
    </cfRule>
  </conditionalFormatting>
  <conditionalFormatting sqref="AP46">
    <cfRule type="cellIs" dxfId="32793" priority="107821" stopIfTrue="1" operator="equal">
      <formula>-1</formula>
    </cfRule>
  </conditionalFormatting>
  <conditionalFormatting sqref="AP46">
    <cfRule type="cellIs" dxfId="32792" priority="107822" stopIfTrue="1" operator="lessThan">
      <formula>0.5</formula>
    </cfRule>
  </conditionalFormatting>
  <conditionalFormatting sqref="AP46">
    <cfRule type="cellIs" dxfId="32791" priority="107823" stopIfTrue="1" operator="greaterThanOrEqual">
      <formula>0.5</formula>
    </cfRule>
  </conditionalFormatting>
  <conditionalFormatting sqref="AP47">
    <cfRule type="cellIs" dxfId="32790" priority="107824" stopIfTrue="1" operator="equal">
      <formula>-1</formula>
    </cfRule>
  </conditionalFormatting>
  <conditionalFormatting sqref="AP47">
    <cfRule type="cellIs" dxfId="32789" priority="107825" stopIfTrue="1" operator="lessThan">
      <formula>0.5</formula>
    </cfRule>
  </conditionalFormatting>
  <conditionalFormatting sqref="AP47">
    <cfRule type="cellIs" dxfId="32788" priority="107826" stopIfTrue="1" operator="greaterThanOrEqual">
      <formula>0.5</formula>
    </cfRule>
  </conditionalFormatting>
  <conditionalFormatting sqref="AP48">
    <cfRule type="cellIs" dxfId="32787" priority="107827" stopIfTrue="1" operator="equal">
      <formula>-1</formula>
    </cfRule>
  </conditionalFormatting>
  <conditionalFormatting sqref="AP48">
    <cfRule type="cellIs" dxfId="32786" priority="107828" stopIfTrue="1" operator="lessThan">
      <formula>0.5</formula>
    </cfRule>
  </conditionalFormatting>
  <conditionalFormatting sqref="AP48">
    <cfRule type="cellIs" dxfId="32785" priority="107829" stopIfTrue="1" operator="greaterThanOrEqual">
      <formula>0.5</formula>
    </cfRule>
  </conditionalFormatting>
  <conditionalFormatting sqref="AP49">
    <cfRule type="cellIs" dxfId="32784" priority="107830" stopIfTrue="1" operator="equal">
      <formula>-1</formula>
    </cfRule>
  </conditionalFormatting>
  <conditionalFormatting sqref="AP49">
    <cfRule type="cellIs" dxfId="32783" priority="107831" stopIfTrue="1" operator="lessThan">
      <formula>0.5</formula>
    </cfRule>
  </conditionalFormatting>
  <conditionalFormatting sqref="AP49">
    <cfRule type="cellIs" dxfId="32782" priority="107832" stopIfTrue="1" operator="greaterThanOrEqual">
      <formula>0.5</formula>
    </cfRule>
  </conditionalFormatting>
  <conditionalFormatting sqref="AP50">
    <cfRule type="cellIs" dxfId="32781" priority="107833" stopIfTrue="1" operator="equal">
      <formula>-1</formula>
    </cfRule>
  </conditionalFormatting>
  <conditionalFormatting sqref="AP50">
    <cfRule type="cellIs" dxfId="32780" priority="107834" stopIfTrue="1" operator="lessThan">
      <formula>0.5</formula>
    </cfRule>
  </conditionalFormatting>
  <conditionalFormatting sqref="AP50">
    <cfRule type="cellIs" dxfId="32779" priority="107835" stopIfTrue="1" operator="greaterThanOrEqual">
      <formula>0.5</formula>
    </cfRule>
  </conditionalFormatting>
  <conditionalFormatting sqref="AP51">
    <cfRule type="cellIs" dxfId="32778" priority="107836" stopIfTrue="1" operator="equal">
      <formula>-1</formula>
    </cfRule>
  </conditionalFormatting>
  <conditionalFormatting sqref="AP51">
    <cfRule type="cellIs" dxfId="32777" priority="107837" stopIfTrue="1" operator="lessThan">
      <formula>0.5</formula>
    </cfRule>
  </conditionalFormatting>
  <conditionalFormatting sqref="AP51">
    <cfRule type="cellIs" dxfId="32776" priority="107838" stopIfTrue="1" operator="greaterThanOrEqual">
      <formula>0.5</formula>
    </cfRule>
  </conditionalFormatting>
  <conditionalFormatting sqref="AP52">
    <cfRule type="cellIs" dxfId="32775" priority="107839" stopIfTrue="1" operator="equal">
      <formula>-1</formula>
    </cfRule>
  </conditionalFormatting>
  <conditionalFormatting sqref="AP52">
    <cfRule type="cellIs" dxfId="32774" priority="107840" stopIfTrue="1" operator="lessThan">
      <formula>0.5</formula>
    </cfRule>
  </conditionalFormatting>
  <conditionalFormatting sqref="AP52">
    <cfRule type="cellIs" dxfId="32773" priority="107841" stopIfTrue="1" operator="greaterThanOrEqual">
      <formula>0.5</formula>
    </cfRule>
  </conditionalFormatting>
  <conditionalFormatting sqref="AP53">
    <cfRule type="cellIs" dxfId="32772" priority="107842" stopIfTrue="1" operator="equal">
      <formula>-1</formula>
    </cfRule>
  </conditionalFormatting>
  <conditionalFormatting sqref="AP53">
    <cfRule type="cellIs" dxfId="32771" priority="107843" stopIfTrue="1" operator="lessThan">
      <formula>0.5</formula>
    </cfRule>
  </conditionalFormatting>
  <conditionalFormatting sqref="AP53">
    <cfRule type="cellIs" dxfId="32770" priority="107844" stopIfTrue="1" operator="greaterThanOrEqual">
      <formula>0.5</formula>
    </cfRule>
  </conditionalFormatting>
  <conditionalFormatting sqref="AP54">
    <cfRule type="cellIs" dxfId="32769" priority="107845" stopIfTrue="1" operator="equal">
      <formula>-1</formula>
    </cfRule>
  </conditionalFormatting>
  <conditionalFormatting sqref="AP54">
    <cfRule type="cellIs" dxfId="32768" priority="107846" stopIfTrue="1" operator="lessThan">
      <formula>0.5</formula>
    </cfRule>
  </conditionalFormatting>
  <conditionalFormatting sqref="AP54">
    <cfRule type="cellIs" dxfId="32767" priority="107847" stopIfTrue="1" operator="greaterThanOrEqual">
      <formula>0.5</formula>
    </cfRule>
  </conditionalFormatting>
  <conditionalFormatting sqref="AP55">
    <cfRule type="cellIs" dxfId="32766" priority="107848" stopIfTrue="1" operator="equal">
      <formula>-1</formula>
    </cfRule>
  </conditionalFormatting>
  <conditionalFormatting sqref="AP55">
    <cfRule type="cellIs" dxfId="32765" priority="107849" stopIfTrue="1" operator="lessThan">
      <formula>0.5</formula>
    </cfRule>
  </conditionalFormatting>
  <conditionalFormatting sqref="AP55">
    <cfRule type="cellIs" dxfId="32764" priority="107850" stopIfTrue="1" operator="greaterThanOrEqual">
      <formula>0.5</formula>
    </cfRule>
  </conditionalFormatting>
  <conditionalFormatting sqref="AP56">
    <cfRule type="cellIs" dxfId="32763" priority="107851" stopIfTrue="1" operator="equal">
      <formula>-1</formula>
    </cfRule>
  </conditionalFormatting>
  <conditionalFormatting sqref="AP56">
    <cfRule type="cellIs" dxfId="32762" priority="107852" stopIfTrue="1" operator="lessThan">
      <formula>0.5</formula>
    </cfRule>
  </conditionalFormatting>
  <conditionalFormatting sqref="AP56">
    <cfRule type="cellIs" dxfId="32761" priority="107853" stopIfTrue="1" operator="greaterThanOrEqual">
      <formula>0.5</formula>
    </cfRule>
  </conditionalFormatting>
  <conditionalFormatting sqref="AP57">
    <cfRule type="cellIs" dxfId="32760" priority="107854" stopIfTrue="1" operator="equal">
      <formula>-1</formula>
    </cfRule>
  </conditionalFormatting>
  <conditionalFormatting sqref="AP57">
    <cfRule type="cellIs" dxfId="32759" priority="107855" stopIfTrue="1" operator="lessThan">
      <formula>0.5</formula>
    </cfRule>
  </conditionalFormatting>
  <conditionalFormatting sqref="AP57">
    <cfRule type="cellIs" dxfId="32758" priority="107856" stopIfTrue="1" operator="greaterThanOrEqual">
      <formula>0.5</formula>
    </cfRule>
  </conditionalFormatting>
  <conditionalFormatting sqref="AP58">
    <cfRule type="cellIs" dxfId="32757" priority="107857" stopIfTrue="1" operator="equal">
      <formula>-1</formula>
    </cfRule>
  </conditionalFormatting>
  <conditionalFormatting sqref="AP58">
    <cfRule type="cellIs" dxfId="32756" priority="107858" stopIfTrue="1" operator="lessThan">
      <formula>0.5</formula>
    </cfRule>
  </conditionalFormatting>
  <conditionalFormatting sqref="AP58">
    <cfRule type="cellIs" dxfId="32755" priority="107859" stopIfTrue="1" operator="greaterThanOrEqual">
      <formula>0.5</formula>
    </cfRule>
  </conditionalFormatting>
  <conditionalFormatting sqref="AR39">
    <cfRule type="cellIs" dxfId="32754" priority="107860" stopIfTrue="1" operator="equal">
      <formula>-1</formula>
    </cfRule>
  </conditionalFormatting>
  <conditionalFormatting sqref="AR39">
    <cfRule type="cellIs" dxfId="32753" priority="107861" stopIfTrue="1" operator="lessThan">
      <formula>0.5</formula>
    </cfRule>
  </conditionalFormatting>
  <conditionalFormatting sqref="AR39">
    <cfRule type="cellIs" dxfId="32752" priority="107862" stopIfTrue="1" operator="greaterThanOrEqual">
      <formula>0.5</formula>
    </cfRule>
  </conditionalFormatting>
  <conditionalFormatting sqref="AR40">
    <cfRule type="cellIs" dxfId="32751" priority="107863" stopIfTrue="1" operator="equal">
      <formula>-1</formula>
    </cfRule>
  </conditionalFormatting>
  <conditionalFormatting sqref="AR40">
    <cfRule type="cellIs" dxfId="32750" priority="107864" stopIfTrue="1" operator="lessThan">
      <formula>0.5</formula>
    </cfRule>
  </conditionalFormatting>
  <conditionalFormatting sqref="AR40">
    <cfRule type="cellIs" dxfId="32749" priority="107865" stopIfTrue="1" operator="greaterThanOrEqual">
      <formula>0.5</formula>
    </cfRule>
  </conditionalFormatting>
  <conditionalFormatting sqref="AR41">
    <cfRule type="cellIs" dxfId="32748" priority="107866" stopIfTrue="1" operator="equal">
      <formula>-1</formula>
    </cfRule>
  </conditionalFormatting>
  <conditionalFormatting sqref="AR41">
    <cfRule type="cellIs" dxfId="32747" priority="107867" stopIfTrue="1" operator="lessThan">
      <formula>0.5</formula>
    </cfRule>
  </conditionalFormatting>
  <conditionalFormatting sqref="AR41">
    <cfRule type="cellIs" dxfId="32746" priority="107868" stopIfTrue="1" operator="greaterThanOrEqual">
      <formula>0.5</formula>
    </cfRule>
  </conditionalFormatting>
  <conditionalFormatting sqref="AR42">
    <cfRule type="cellIs" dxfId="32745" priority="107869" stopIfTrue="1" operator="equal">
      <formula>-1</formula>
    </cfRule>
  </conditionalFormatting>
  <conditionalFormatting sqref="AR42">
    <cfRule type="cellIs" dxfId="32744" priority="107870" stopIfTrue="1" operator="lessThan">
      <formula>0.5</formula>
    </cfRule>
  </conditionalFormatting>
  <conditionalFormatting sqref="AR42">
    <cfRule type="cellIs" dxfId="32743" priority="107871" stopIfTrue="1" operator="greaterThanOrEqual">
      <formula>0.5</formula>
    </cfRule>
  </conditionalFormatting>
  <conditionalFormatting sqref="AR43">
    <cfRule type="cellIs" dxfId="32742" priority="107872" stopIfTrue="1" operator="equal">
      <formula>-1</formula>
    </cfRule>
  </conditionalFormatting>
  <conditionalFormatting sqref="AR43">
    <cfRule type="cellIs" dxfId="32741" priority="107873" stopIfTrue="1" operator="lessThan">
      <formula>0.5</formula>
    </cfRule>
  </conditionalFormatting>
  <conditionalFormatting sqref="AR43">
    <cfRule type="cellIs" dxfId="32740" priority="107874" stopIfTrue="1" operator="greaterThanOrEqual">
      <formula>0.5</formula>
    </cfRule>
  </conditionalFormatting>
  <conditionalFormatting sqref="AR44">
    <cfRule type="cellIs" dxfId="32739" priority="107875" stopIfTrue="1" operator="equal">
      <formula>-1</formula>
    </cfRule>
  </conditionalFormatting>
  <conditionalFormatting sqref="AR44">
    <cfRule type="cellIs" dxfId="32738" priority="107876" stopIfTrue="1" operator="lessThan">
      <formula>0.5</formula>
    </cfRule>
  </conditionalFormatting>
  <conditionalFormatting sqref="AR44">
    <cfRule type="cellIs" dxfId="32737" priority="107877" stopIfTrue="1" operator="greaterThanOrEqual">
      <formula>0.5</formula>
    </cfRule>
  </conditionalFormatting>
  <conditionalFormatting sqref="AR45">
    <cfRule type="cellIs" dxfId="32736" priority="107878" stopIfTrue="1" operator="equal">
      <formula>-1</formula>
    </cfRule>
  </conditionalFormatting>
  <conditionalFormatting sqref="AR45">
    <cfRule type="cellIs" dxfId="32735" priority="107879" stopIfTrue="1" operator="lessThan">
      <formula>0.5</formula>
    </cfRule>
  </conditionalFormatting>
  <conditionalFormatting sqref="AR45">
    <cfRule type="cellIs" dxfId="32734" priority="107880" stopIfTrue="1" operator="greaterThanOrEqual">
      <formula>0.5</formula>
    </cfRule>
  </conditionalFormatting>
  <conditionalFormatting sqref="AR46">
    <cfRule type="cellIs" dxfId="32733" priority="107881" stopIfTrue="1" operator="equal">
      <formula>-1</formula>
    </cfRule>
  </conditionalFormatting>
  <conditionalFormatting sqref="AR46">
    <cfRule type="cellIs" dxfId="32732" priority="107882" stopIfTrue="1" operator="lessThan">
      <formula>0.5</formula>
    </cfRule>
  </conditionalFormatting>
  <conditionalFormatting sqref="AR46">
    <cfRule type="cellIs" dxfId="32731" priority="107883" stopIfTrue="1" operator="greaterThanOrEqual">
      <formula>0.5</formula>
    </cfRule>
  </conditionalFormatting>
  <conditionalFormatting sqref="AR47">
    <cfRule type="cellIs" dxfId="32730" priority="107884" stopIfTrue="1" operator="equal">
      <formula>-1</formula>
    </cfRule>
  </conditionalFormatting>
  <conditionalFormatting sqref="AR47">
    <cfRule type="cellIs" dxfId="32729" priority="107885" stopIfTrue="1" operator="lessThan">
      <formula>0.5</formula>
    </cfRule>
  </conditionalFormatting>
  <conditionalFormatting sqref="AR47">
    <cfRule type="cellIs" dxfId="32728" priority="107886" stopIfTrue="1" operator="greaterThanOrEqual">
      <formula>0.5</formula>
    </cfRule>
  </conditionalFormatting>
  <conditionalFormatting sqref="AR48">
    <cfRule type="cellIs" dxfId="32727" priority="107887" stopIfTrue="1" operator="equal">
      <formula>-1</formula>
    </cfRule>
  </conditionalFormatting>
  <conditionalFormatting sqref="AR48">
    <cfRule type="cellIs" dxfId="32726" priority="107888" stopIfTrue="1" operator="lessThan">
      <formula>0.5</formula>
    </cfRule>
  </conditionalFormatting>
  <conditionalFormatting sqref="AR48">
    <cfRule type="cellIs" dxfId="32725" priority="107889" stopIfTrue="1" operator="greaterThanOrEqual">
      <formula>0.5</formula>
    </cfRule>
  </conditionalFormatting>
  <conditionalFormatting sqref="AR49">
    <cfRule type="cellIs" dxfId="32724" priority="107890" stopIfTrue="1" operator="equal">
      <formula>-1</formula>
    </cfRule>
  </conditionalFormatting>
  <conditionalFormatting sqref="AR49">
    <cfRule type="cellIs" dxfId="32723" priority="107891" stopIfTrue="1" operator="lessThan">
      <formula>0.5</formula>
    </cfRule>
  </conditionalFormatting>
  <conditionalFormatting sqref="AR49">
    <cfRule type="cellIs" dxfId="32722" priority="107892" stopIfTrue="1" operator="greaterThanOrEqual">
      <formula>0.5</formula>
    </cfRule>
  </conditionalFormatting>
  <conditionalFormatting sqref="AR50">
    <cfRule type="cellIs" dxfId="32721" priority="107893" stopIfTrue="1" operator="equal">
      <formula>-1</formula>
    </cfRule>
  </conditionalFormatting>
  <conditionalFormatting sqref="AR50">
    <cfRule type="cellIs" dxfId="32720" priority="107894" stopIfTrue="1" operator="lessThan">
      <formula>0.5</formula>
    </cfRule>
  </conditionalFormatting>
  <conditionalFormatting sqref="AR50">
    <cfRule type="cellIs" dxfId="32719" priority="107895" stopIfTrue="1" operator="greaterThanOrEqual">
      <formula>0.5</formula>
    </cfRule>
  </conditionalFormatting>
  <conditionalFormatting sqref="AR51">
    <cfRule type="cellIs" dxfId="32718" priority="107896" stopIfTrue="1" operator="equal">
      <formula>-1</formula>
    </cfRule>
  </conditionalFormatting>
  <conditionalFormatting sqref="AR51">
    <cfRule type="cellIs" dxfId="32717" priority="107897" stopIfTrue="1" operator="lessThan">
      <formula>0.5</formula>
    </cfRule>
  </conditionalFormatting>
  <conditionalFormatting sqref="AR51">
    <cfRule type="cellIs" dxfId="32716" priority="107898" stopIfTrue="1" operator="greaterThanOrEqual">
      <formula>0.5</formula>
    </cfRule>
  </conditionalFormatting>
  <conditionalFormatting sqref="AR52">
    <cfRule type="cellIs" dxfId="32715" priority="107899" stopIfTrue="1" operator="equal">
      <formula>-1</formula>
    </cfRule>
  </conditionalFormatting>
  <conditionalFormatting sqref="AR52">
    <cfRule type="cellIs" dxfId="32714" priority="107900" stopIfTrue="1" operator="lessThan">
      <formula>0.5</formula>
    </cfRule>
  </conditionalFormatting>
  <conditionalFormatting sqref="AR52">
    <cfRule type="cellIs" dxfId="32713" priority="107901" stopIfTrue="1" operator="greaterThanOrEqual">
      <formula>0.5</formula>
    </cfRule>
  </conditionalFormatting>
  <conditionalFormatting sqref="AR53">
    <cfRule type="cellIs" dxfId="32712" priority="107902" stopIfTrue="1" operator="equal">
      <formula>-1</formula>
    </cfRule>
  </conditionalFormatting>
  <conditionalFormatting sqref="AR53">
    <cfRule type="cellIs" dxfId="32711" priority="107903" stopIfTrue="1" operator="lessThan">
      <formula>0.5</formula>
    </cfRule>
  </conditionalFormatting>
  <conditionalFormatting sqref="AR53">
    <cfRule type="cellIs" dxfId="32710" priority="107904" stopIfTrue="1" operator="greaterThanOrEqual">
      <formula>0.5</formula>
    </cfRule>
  </conditionalFormatting>
  <conditionalFormatting sqref="AR54">
    <cfRule type="cellIs" dxfId="32709" priority="107905" stopIfTrue="1" operator="equal">
      <formula>-1</formula>
    </cfRule>
  </conditionalFormatting>
  <conditionalFormatting sqref="AR54">
    <cfRule type="cellIs" dxfId="32708" priority="107906" stopIfTrue="1" operator="lessThan">
      <formula>0.5</formula>
    </cfRule>
  </conditionalFormatting>
  <conditionalFormatting sqref="AR54">
    <cfRule type="cellIs" dxfId="32707" priority="107907" stopIfTrue="1" operator="greaterThanOrEqual">
      <formula>0.5</formula>
    </cfRule>
  </conditionalFormatting>
  <conditionalFormatting sqref="AR55">
    <cfRule type="cellIs" dxfId="32706" priority="107908" stopIfTrue="1" operator="equal">
      <formula>-1</formula>
    </cfRule>
  </conditionalFormatting>
  <conditionalFormatting sqref="AR55">
    <cfRule type="cellIs" dxfId="32705" priority="107909" stopIfTrue="1" operator="lessThan">
      <formula>0.5</formula>
    </cfRule>
  </conditionalFormatting>
  <conditionalFormatting sqref="AR55">
    <cfRule type="cellIs" dxfId="32704" priority="107910" stopIfTrue="1" operator="greaterThanOrEqual">
      <formula>0.5</formula>
    </cfRule>
  </conditionalFormatting>
  <conditionalFormatting sqref="AR56">
    <cfRule type="cellIs" dxfId="32703" priority="107911" stopIfTrue="1" operator="equal">
      <formula>-1</formula>
    </cfRule>
  </conditionalFormatting>
  <conditionalFormatting sqref="AR56">
    <cfRule type="cellIs" dxfId="32702" priority="107912" stopIfTrue="1" operator="lessThan">
      <formula>0.5</formula>
    </cfRule>
  </conditionalFormatting>
  <conditionalFormatting sqref="AR56">
    <cfRule type="cellIs" dxfId="32701" priority="107913" stopIfTrue="1" operator="greaterThanOrEqual">
      <formula>0.5</formula>
    </cfRule>
  </conditionalFormatting>
  <conditionalFormatting sqref="AR57">
    <cfRule type="cellIs" dxfId="32700" priority="107914" stopIfTrue="1" operator="equal">
      <formula>-1</formula>
    </cfRule>
  </conditionalFormatting>
  <conditionalFormatting sqref="AR57">
    <cfRule type="cellIs" dxfId="32699" priority="107915" stopIfTrue="1" operator="lessThan">
      <formula>0.5</formula>
    </cfRule>
  </conditionalFormatting>
  <conditionalFormatting sqref="AR57">
    <cfRule type="cellIs" dxfId="32698" priority="107916" stopIfTrue="1" operator="greaterThanOrEqual">
      <formula>0.5</formula>
    </cfRule>
  </conditionalFormatting>
  <conditionalFormatting sqref="AR58">
    <cfRule type="cellIs" dxfId="32697" priority="107917" stopIfTrue="1" operator="equal">
      <formula>-1</formula>
    </cfRule>
  </conditionalFormatting>
  <conditionalFormatting sqref="AR58">
    <cfRule type="cellIs" dxfId="32696" priority="107918" stopIfTrue="1" operator="lessThan">
      <formula>0.5</formula>
    </cfRule>
  </conditionalFormatting>
  <conditionalFormatting sqref="AR58">
    <cfRule type="cellIs" dxfId="32695" priority="107919" stopIfTrue="1" operator="greaterThanOrEqual">
      <formula>0.5</formula>
    </cfRule>
  </conditionalFormatting>
  <conditionalFormatting sqref="AT39">
    <cfRule type="cellIs" dxfId="32694" priority="107920" stopIfTrue="1" operator="equal">
      <formula>-1</formula>
    </cfRule>
  </conditionalFormatting>
  <conditionalFormatting sqref="AT39">
    <cfRule type="cellIs" dxfId="32693" priority="107921" stopIfTrue="1" operator="lessThan">
      <formula>0.5</formula>
    </cfRule>
  </conditionalFormatting>
  <conditionalFormatting sqref="AT39">
    <cfRule type="cellIs" dxfId="32692" priority="107922" stopIfTrue="1" operator="greaterThanOrEqual">
      <formula>0.5</formula>
    </cfRule>
  </conditionalFormatting>
  <conditionalFormatting sqref="AT40">
    <cfRule type="cellIs" dxfId="32691" priority="107923" stopIfTrue="1" operator="equal">
      <formula>-1</formula>
    </cfRule>
  </conditionalFormatting>
  <conditionalFormatting sqref="AT40">
    <cfRule type="cellIs" dxfId="32690" priority="107924" stopIfTrue="1" operator="lessThan">
      <formula>0.5</formula>
    </cfRule>
  </conditionalFormatting>
  <conditionalFormatting sqref="AT40">
    <cfRule type="cellIs" dxfId="32689" priority="107925" stopIfTrue="1" operator="greaterThanOrEqual">
      <formula>0.5</formula>
    </cfRule>
  </conditionalFormatting>
  <conditionalFormatting sqref="AT41">
    <cfRule type="cellIs" dxfId="32688" priority="107926" stopIfTrue="1" operator="equal">
      <formula>-1</formula>
    </cfRule>
  </conditionalFormatting>
  <conditionalFormatting sqref="AT41">
    <cfRule type="cellIs" dxfId="32687" priority="107927" stopIfTrue="1" operator="lessThan">
      <formula>0.5</formula>
    </cfRule>
  </conditionalFormatting>
  <conditionalFormatting sqref="AT41">
    <cfRule type="cellIs" dxfId="32686" priority="107928" stopIfTrue="1" operator="greaterThanOrEqual">
      <formula>0.5</formula>
    </cfRule>
  </conditionalFormatting>
  <conditionalFormatting sqref="AT42">
    <cfRule type="cellIs" dxfId="32685" priority="107929" stopIfTrue="1" operator="equal">
      <formula>-1</formula>
    </cfRule>
  </conditionalFormatting>
  <conditionalFormatting sqref="AT42">
    <cfRule type="cellIs" dxfId="32684" priority="107930" stopIfTrue="1" operator="lessThan">
      <formula>0.5</formula>
    </cfRule>
  </conditionalFormatting>
  <conditionalFormatting sqref="AT42">
    <cfRule type="cellIs" dxfId="32683" priority="107931" stopIfTrue="1" operator="greaterThanOrEqual">
      <formula>0.5</formula>
    </cfRule>
  </conditionalFormatting>
  <conditionalFormatting sqref="AT43">
    <cfRule type="cellIs" dxfId="32682" priority="107932" stopIfTrue="1" operator="equal">
      <formula>-1</formula>
    </cfRule>
  </conditionalFormatting>
  <conditionalFormatting sqref="AT43">
    <cfRule type="cellIs" dxfId="32681" priority="107933" stopIfTrue="1" operator="lessThan">
      <formula>0.5</formula>
    </cfRule>
  </conditionalFormatting>
  <conditionalFormatting sqref="AT43">
    <cfRule type="cellIs" dxfId="32680" priority="107934" stopIfTrue="1" operator="greaterThanOrEqual">
      <formula>0.5</formula>
    </cfRule>
  </conditionalFormatting>
  <conditionalFormatting sqref="AT44">
    <cfRule type="cellIs" dxfId="32679" priority="107935" stopIfTrue="1" operator="equal">
      <formula>-1</formula>
    </cfRule>
  </conditionalFormatting>
  <conditionalFormatting sqref="AT44">
    <cfRule type="cellIs" dxfId="32678" priority="107936" stopIfTrue="1" operator="lessThan">
      <formula>0.5</formula>
    </cfRule>
  </conditionalFormatting>
  <conditionalFormatting sqref="AT44">
    <cfRule type="cellIs" dxfId="32677" priority="107937" stopIfTrue="1" operator="greaterThanOrEqual">
      <formula>0.5</formula>
    </cfRule>
  </conditionalFormatting>
  <conditionalFormatting sqref="AT45">
    <cfRule type="cellIs" dxfId="32676" priority="107938" stopIfTrue="1" operator="equal">
      <formula>-1</formula>
    </cfRule>
  </conditionalFormatting>
  <conditionalFormatting sqref="AT45">
    <cfRule type="cellIs" dxfId="32675" priority="107939" stopIfTrue="1" operator="lessThan">
      <formula>0.5</formula>
    </cfRule>
  </conditionalFormatting>
  <conditionalFormatting sqref="AT45">
    <cfRule type="cellIs" dxfId="32674" priority="107940" stopIfTrue="1" operator="greaterThanOrEqual">
      <formula>0.5</formula>
    </cfRule>
  </conditionalFormatting>
  <conditionalFormatting sqref="AT46">
    <cfRule type="cellIs" dxfId="32673" priority="107941" stopIfTrue="1" operator="equal">
      <formula>-1</formula>
    </cfRule>
  </conditionalFormatting>
  <conditionalFormatting sqref="AT46">
    <cfRule type="cellIs" dxfId="32672" priority="107942" stopIfTrue="1" operator="lessThan">
      <formula>0.5</formula>
    </cfRule>
  </conditionalFormatting>
  <conditionalFormatting sqref="AT46">
    <cfRule type="cellIs" dxfId="32671" priority="107943" stopIfTrue="1" operator="greaterThanOrEqual">
      <formula>0.5</formula>
    </cfRule>
  </conditionalFormatting>
  <conditionalFormatting sqref="AT47">
    <cfRule type="cellIs" dxfId="32670" priority="107944" stopIfTrue="1" operator="equal">
      <formula>-1</formula>
    </cfRule>
  </conditionalFormatting>
  <conditionalFormatting sqref="AT47">
    <cfRule type="cellIs" dxfId="32669" priority="107945" stopIfTrue="1" operator="lessThan">
      <formula>0.5</formula>
    </cfRule>
  </conditionalFormatting>
  <conditionalFormatting sqref="AT47">
    <cfRule type="cellIs" dxfId="32668" priority="107946" stopIfTrue="1" operator="greaterThanOrEqual">
      <formula>0.5</formula>
    </cfRule>
  </conditionalFormatting>
  <conditionalFormatting sqref="AT48">
    <cfRule type="cellIs" dxfId="32667" priority="107947" stopIfTrue="1" operator="equal">
      <formula>-1</formula>
    </cfRule>
  </conditionalFormatting>
  <conditionalFormatting sqref="AT48">
    <cfRule type="cellIs" dxfId="32666" priority="107948" stopIfTrue="1" operator="lessThan">
      <formula>0.5</formula>
    </cfRule>
  </conditionalFormatting>
  <conditionalFormatting sqref="AT48">
    <cfRule type="cellIs" dxfId="32665" priority="107949" stopIfTrue="1" operator="greaterThanOrEqual">
      <formula>0.5</formula>
    </cfRule>
  </conditionalFormatting>
  <conditionalFormatting sqref="AT49">
    <cfRule type="cellIs" dxfId="32664" priority="107950" stopIfTrue="1" operator="equal">
      <formula>-1</formula>
    </cfRule>
  </conditionalFormatting>
  <conditionalFormatting sqref="AT49">
    <cfRule type="cellIs" dxfId="32663" priority="107951" stopIfTrue="1" operator="lessThan">
      <formula>0.5</formula>
    </cfRule>
  </conditionalFormatting>
  <conditionalFormatting sqref="AT49">
    <cfRule type="cellIs" dxfId="32662" priority="107952" stopIfTrue="1" operator="greaterThanOrEqual">
      <formula>0.5</formula>
    </cfRule>
  </conditionalFormatting>
  <conditionalFormatting sqref="AT50">
    <cfRule type="cellIs" dxfId="32661" priority="107953" stopIfTrue="1" operator="equal">
      <formula>-1</formula>
    </cfRule>
  </conditionalFormatting>
  <conditionalFormatting sqref="AT50">
    <cfRule type="cellIs" dxfId="32660" priority="107954" stopIfTrue="1" operator="lessThan">
      <formula>0.5</formula>
    </cfRule>
  </conditionalFormatting>
  <conditionalFormatting sqref="AT50">
    <cfRule type="cellIs" dxfId="32659" priority="107955" stopIfTrue="1" operator="greaterThanOrEqual">
      <formula>0.5</formula>
    </cfRule>
  </conditionalFormatting>
  <conditionalFormatting sqref="AT51">
    <cfRule type="cellIs" dxfId="32658" priority="107956" stopIfTrue="1" operator="equal">
      <formula>-1</formula>
    </cfRule>
  </conditionalFormatting>
  <conditionalFormatting sqref="AT51">
    <cfRule type="cellIs" dxfId="32657" priority="107957" stopIfTrue="1" operator="lessThan">
      <formula>0.5</formula>
    </cfRule>
  </conditionalFormatting>
  <conditionalFormatting sqref="AT51">
    <cfRule type="cellIs" dxfId="32656" priority="107958" stopIfTrue="1" operator="greaterThanOrEqual">
      <formula>0.5</formula>
    </cfRule>
  </conditionalFormatting>
  <conditionalFormatting sqref="AT52">
    <cfRule type="cellIs" dxfId="32655" priority="107959" stopIfTrue="1" operator="equal">
      <formula>-1</formula>
    </cfRule>
  </conditionalFormatting>
  <conditionalFormatting sqref="AT52">
    <cfRule type="cellIs" dxfId="32654" priority="107960" stopIfTrue="1" operator="lessThan">
      <formula>0.5</formula>
    </cfRule>
  </conditionalFormatting>
  <conditionalFormatting sqref="AT52">
    <cfRule type="cellIs" dxfId="32653" priority="107961" stopIfTrue="1" operator="greaterThanOrEqual">
      <formula>0.5</formula>
    </cfRule>
  </conditionalFormatting>
  <conditionalFormatting sqref="AT53">
    <cfRule type="cellIs" dxfId="32652" priority="107962" stopIfTrue="1" operator="equal">
      <formula>-1</formula>
    </cfRule>
  </conditionalFormatting>
  <conditionalFormatting sqref="AT53">
    <cfRule type="cellIs" dxfId="32651" priority="107963" stopIfTrue="1" operator="lessThan">
      <formula>0.5</formula>
    </cfRule>
  </conditionalFormatting>
  <conditionalFormatting sqref="AT53">
    <cfRule type="cellIs" dxfId="32650" priority="107964" stopIfTrue="1" operator="greaterThanOrEqual">
      <formula>0.5</formula>
    </cfRule>
  </conditionalFormatting>
  <conditionalFormatting sqref="AT54">
    <cfRule type="cellIs" dxfId="32649" priority="107965" stopIfTrue="1" operator="equal">
      <formula>-1</formula>
    </cfRule>
  </conditionalFormatting>
  <conditionalFormatting sqref="AT54">
    <cfRule type="cellIs" dxfId="32648" priority="107966" stopIfTrue="1" operator="lessThan">
      <formula>0.5</formula>
    </cfRule>
  </conditionalFormatting>
  <conditionalFormatting sqref="AT54">
    <cfRule type="cellIs" dxfId="32647" priority="107967" stopIfTrue="1" operator="greaterThanOrEqual">
      <formula>0.5</formula>
    </cfRule>
  </conditionalFormatting>
  <conditionalFormatting sqref="AT55">
    <cfRule type="cellIs" dxfId="32646" priority="107968" stopIfTrue="1" operator="equal">
      <formula>-1</formula>
    </cfRule>
  </conditionalFormatting>
  <conditionalFormatting sqref="AT55">
    <cfRule type="cellIs" dxfId="32645" priority="107969" stopIfTrue="1" operator="lessThan">
      <formula>0.5</formula>
    </cfRule>
  </conditionalFormatting>
  <conditionalFormatting sqref="AT55">
    <cfRule type="cellIs" dxfId="32644" priority="107970" stopIfTrue="1" operator="greaterThanOrEqual">
      <formula>0.5</formula>
    </cfRule>
  </conditionalFormatting>
  <conditionalFormatting sqref="AT56">
    <cfRule type="cellIs" dxfId="32643" priority="107971" stopIfTrue="1" operator="equal">
      <formula>-1</formula>
    </cfRule>
  </conditionalFormatting>
  <conditionalFormatting sqref="AT56">
    <cfRule type="cellIs" dxfId="32642" priority="107972" stopIfTrue="1" operator="lessThan">
      <formula>0.5</formula>
    </cfRule>
  </conditionalFormatting>
  <conditionalFormatting sqref="AT56">
    <cfRule type="cellIs" dxfId="32641" priority="107973" stopIfTrue="1" operator="greaterThanOrEqual">
      <formula>0.5</formula>
    </cfRule>
  </conditionalFormatting>
  <conditionalFormatting sqref="AT57">
    <cfRule type="cellIs" dxfId="32640" priority="107974" stopIfTrue="1" operator="equal">
      <formula>-1</formula>
    </cfRule>
  </conditionalFormatting>
  <conditionalFormatting sqref="AT57">
    <cfRule type="cellIs" dxfId="32639" priority="107975" stopIfTrue="1" operator="lessThan">
      <formula>0.5</formula>
    </cfRule>
  </conditionalFormatting>
  <conditionalFormatting sqref="AT57">
    <cfRule type="cellIs" dxfId="32638" priority="107976" stopIfTrue="1" operator="greaterThanOrEqual">
      <formula>0.5</formula>
    </cfRule>
  </conditionalFormatting>
  <conditionalFormatting sqref="AT58">
    <cfRule type="cellIs" dxfId="32637" priority="107977" stopIfTrue="1" operator="equal">
      <formula>-1</formula>
    </cfRule>
  </conditionalFormatting>
  <conditionalFormatting sqref="AT58">
    <cfRule type="cellIs" dxfId="32636" priority="107978" stopIfTrue="1" operator="lessThan">
      <formula>0.5</formula>
    </cfRule>
  </conditionalFormatting>
  <conditionalFormatting sqref="AT58">
    <cfRule type="cellIs" dxfId="32635" priority="107979" stopIfTrue="1" operator="greaterThanOrEqual">
      <formula>0.5</formula>
    </cfRule>
  </conditionalFormatting>
  <conditionalFormatting sqref="AV39">
    <cfRule type="cellIs" dxfId="32634" priority="107980" stopIfTrue="1" operator="equal">
      <formula>-1</formula>
    </cfRule>
  </conditionalFormatting>
  <conditionalFormatting sqref="AV39">
    <cfRule type="cellIs" dxfId="32633" priority="107981" stopIfTrue="1" operator="lessThan">
      <formula>0.5</formula>
    </cfRule>
  </conditionalFormatting>
  <conditionalFormatting sqref="AV39">
    <cfRule type="cellIs" dxfId="32632" priority="107982" stopIfTrue="1" operator="greaterThanOrEqual">
      <formula>0.5</formula>
    </cfRule>
  </conditionalFormatting>
  <conditionalFormatting sqref="AV40">
    <cfRule type="cellIs" dxfId="32631" priority="107983" stopIfTrue="1" operator="equal">
      <formula>-1</formula>
    </cfRule>
  </conditionalFormatting>
  <conditionalFormatting sqref="AV40">
    <cfRule type="cellIs" dxfId="32630" priority="107984" stopIfTrue="1" operator="lessThan">
      <formula>0.5</formula>
    </cfRule>
  </conditionalFormatting>
  <conditionalFormatting sqref="AV40">
    <cfRule type="cellIs" dxfId="32629" priority="107985" stopIfTrue="1" operator="greaterThanOrEqual">
      <formula>0.5</formula>
    </cfRule>
  </conditionalFormatting>
  <conditionalFormatting sqref="AV41">
    <cfRule type="cellIs" dxfId="32628" priority="107986" stopIfTrue="1" operator="equal">
      <formula>-1</formula>
    </cfRule>
  </conditionalFormatting>
  <conditionalFormatting sqref="AV41">
    <cfRule type="cellIs" dxfId="32627" priority="107987" stopIfTrue="1" operator="lessThan">
      <formula>0.5</formula>
    </cfRule>
  </conditionalFormatting>
  <conditionalFormatting sqref="AV41">
    <cfRule type="cellIs" dxfId="32626" priority="107988" stopIfTrue="1" operator="greaterThanOrEqual">
      <formula>0.5</formula>
    </cfRule>
  </conditionalFormatting>
  <conditionalFormatting sqref="AV42">
    <cfRule type="cellIs" dxfId="32625" priority="107989" stopIfTrue="1" operator="equal">
      <formula>-1</formula>
    </cfRule>
  </conditionalFormatting>
  <conditionalFormatting sqref="AV42">
    <cfRule type="cellIs" dxfId="32624" priority="107990" stopIfTrue="1" operator="lessThan">
      <formula>0.5</formula>
    </cfRule>
  </conditionalFormatting>
  <conditionalFormatting sqref="AV42">
    <cfRule type="cellIs" dxfId="32623" priority="107991" stopIfTrue="1" operator="greaterThanOrEqual">
      <formula>0.5</formula>
    </cfRule>
  </conditionalFormatting>
  <conditionalFormatting sqref="AV43">
    <cfRule type="cellIs" dxfId="32622" priority="107992" stopIfTrue="1" operator="equal">
      <formula>-1</formula>
    </cfRule>
  </conditionalFormatting>
  <conditionalFormatting sqref="AV43">
    <cfRule type="cellIs" dxfId="32621" priority="107993" stopIfTrue="1" operator="lessThan">
      <formula>0.5</formula>
    </cfRule>
  </conditionalFormatting>
  <conditionalFormatting sqref="AV43">
    <cfRule type="cellIs" dxfId="32620" priority="107994" stopIfTrue="1" operator="greaterThanOrEqual">
      <formula>0.5</formula>
    </cfRule>
  </conditionalFormatting>
  <conditionalFormatting sqref="AV44">
    <cfRule type="cellIs" dxfId="32619" priority="107995" stopIfTrue="1" operator="equal">
      <formula>-1</formula>
    </cfRule>
  </conditionalFormatting>
  <conditionalFormatting sqref="AV44">
    <cfRule type="cellIs" dxfId="32618" priority="107996" stopIfTrue="1" operator="lessThan">
      <formula>0.5</formula>
    </cfRule>
  </conditionalFormatting>
  <conditionalFormatting sqref="AV44">
    <cfRule type="cellIs" dxfId="32617" priority="107997" stopIfTrue="1" operator="greaterThanOrEqual">
      <formula>0.5</formula>
    </cfRule>
  </conditionalFormatting>
  <conditionalFormatting sqref="AV45">
    <cfRule type="cellIs" dxfId="32616" priority="107998" stopIfTrue="1" operator="equal">
      <formula>-1</formula>
    </cfRule>
  </conditionalFormatting>
  <conditionalFormatting sqref="AV45">
    <cfRule type="cellIs" dxfId="32615" priority="107999" stopIfTrue="1" operator="lessThan">
      <formula>0.5</formula>
    </cfRule>
  </conditionalFormatting>
  <conditionalFormatting sqref="AV45">
    <cfRule type="cellIs" dxfId="32614" priority="108000" stopIfTrue="1" operator="greaterThanOrEqual">
      <formula>0.5</formula>
    </cfRule>
  </conditionalFormatting>
  <conditionalFormatting sqref="AV46">
    <cfRule type="cellIs" dxfId="32613" priority="108001" stopIfTrue="1" operator="equal">
      <formula>-1</formula>
    </cfRule>
  </conditionalFormatting>
  <conditionalFormatting sqref="AV46">
    <cfRule type="cellIs" dxfId="32612" priority="108002" stopIfTrue="1" operator="lessThan">
      <formula>0.5</formula>
    </cfRule>
  </conditionalFormatting>
  <conditionalFormatting sqref="AV46">
    <cfRule type="cellIs" dxfId="32611" priority="108003" stopIfTrue="1" operator="greaterThanOrEqual">
      <formula>0.5</formula>
    </cfRule>
  </conditionalFormatting>
  <conditionalFormatting sqref="AV47">
    <cfRule type="cellIs" dxfId="32610" priority="108004" stopIfTrue="1" operator="equal">
      <formula>-1</formula>
    </cfRule>
  </conditionalFormatting>
  <conditionalFormatting sqref="AV47">
    <cfRule type="cellIs" dxfId="32609" priority="108005" stopIfTrue="1" operator="lessThan">
      <formula>0.5</formula>
    </cfRule>
  </conditionalFormatting>
  <conditionalFormatting sqref="AV47">
    <cfRule type="cellIs" dxfId="32608" priority="108006" stopIfTrue="1" operator="greaterThanOrEqual">
      <formula>0.5</formula>
    </cfRule>
  </conditionalFormatting>
  <conditionalFormatting sqref="AV48">
    <cfRule type="cellIs" dxfId="32607" priority="108007" stopIfTrue="1" operator="equal">
      <formula>-1</formula>
    </cfRule>
  </conditionalFormatting>
  <conditionalFormatting sqref="AV48">
    <cfRule type="cellIs" dxfId="32606" priority="108008" stopIfTrue="1" operator="lessThan">
      <formula>0.5</formula>
    </cfRule>
  </conditionalFormatting>
  <conditionalFormatting sqref="AV48">
    <cfRule type="cellIs" dxfId="32605" priority="108009" stopIfTrue="1" operator="greaterThanOrEqual">
      <formula>0.5</formula>
    </cfRule>
  </conditionalFormatting>
  <conditionalFormatting sqref="AV49">
    <cfRule type="cellIs" dxfId="32604" priority="108010" stopIfTrue="1" operator="equal">
      <formula>-1</formula>
    </cfRule>
  </conditionalFormatting>
  <conditionalFormatting sqref="AV49">
    <cfRule type="cellIs" dxfId="32603" priority="108011" stopIfTrue="1" operator="lessThan">
      <formula>0.5</formula>
    </cfRule>
  </conditionalFormatting>
  <conditionalFormatting sqref="AV49">
    <cfRule type="cellIs" dxfId="32602" priority="108012" stopIfTrue="1" operator="greaterThanOrEqual">
      <formula>0.5</formula>
    </cfRule>
  </conditionalFormatting>
  <conditionalFormatting sqref="AV50">
    <cfRule type="cellIs" dxfId="32601" priority="108013" stopIfTrue="1" operator="equal">
      <formula>-1</formula>
    </cfRule>
  </conditionalFormatting>
  <conditionalFormatting sqref="AV50">
    <cfRule type="cellIs" dxfId="32600" priority="108014" stopIfTrue="1" operator="lessThan">
      <formula>0.5</formula>
    </cfRule>
  </conditionalFormatting>
  <conditionalFormatting sqref="AV50">
    <cfRule type="cellIs" dxfId="32599" priority="108015" stopIfTrue="1" operator="greaterThanOrEqual">
      <formula>0.5</formula>
    </cfRule>
  </conditionalFormatting>
  <conditionalFormatting sqref="AV51">
    <cfRule type="cellIs" dxfId="32598" priority="108016" stopIfTrue="1" operator="equal">
      <formula>-1</formula>
    </cfRule>
  </conditionalFormatting>
  <conditionalFormatting sqref="AV51">
    <cfRule type="cellIs" dxfId="32597" priority="108017" stopIfTrue="1" operator="lessThan">
      <formula>0.5</formula>
    </cfRule>
  </conditionalFormatting>
  <conditionalFormatting sqref="AV51">
    <cfRule type="cellIs" dxfId="32596" priority="108018" stopIfTrue="1" operator="greaterThanOrEqual">
      <formula>0.5</formula>
    </cfRule>
  </conditionalFormatting>
  <conditionalFormatting sqref="AV52">
    <cfRule type="cellIs" dxfId="32595" priority="108019" stopIfTrue="1" operator="equal">
      <formula>-1</formula>
    </cfRule>
  </conditionalFormatting>
  <conditionalFormatting sqref="AV52">
    <cfRule type="cellIs" dxfId="32594" priority="108020" stopIfTrue="1" operator="lessThan">
      <formula>0.5</formula>
    </cfRule>
  </conditionalFormatting>
  <conditionalFormatting sqref="AV52">
    <cfRule type="cellIs" dxfId="32593" priority="108021" stopIfTrue="1" operator="greaterThanOrEqual">
      <formula>0.5</formula>
    </cfRule>
  </conditionalFormatting>
  <conditionalFormatting sqref="AV53">
    <cfRule type="cellIs" dxfId="32592" priority="108022" stopIfTrue="1" operator="equal">
      <formula>-1</formula>
    </cfRule>
  </conditionalFormatting>
  <conditionalFormatting sqref="AV53">
    <cfRule type="cellIs" dxfId="32591" priority="108023" stopIfTrue="1" operator="lessThan">
      <formula>0.5</formula>
    </cfRule>
  </conditionalFormatting>
  <conditionalFormatting sqref="AV53">
    <cfRule type="cellIs" dxfId="32590" priority="108024" stopIfTrue="1" operator="greaterThanOrEqual">
      <formula>0.5</formula>
    </cfRule>
  </conditionalFormatting>
  <conditionalFormatting sqref="AV54">
    <cfRule type="cellIs" dxfId="32589" priority="108025" stopIfTrue="1" operator="equal">
      <formula>-1</formula>
    </cfRule>
  </conditionalFormatting>
  <conditionalFormatting sqref="AV54">
    <cfRule type="cellIs" dxfId="32588" priority="108026" stopIfTrue="1" operator="lessThan">
      <formula>0.5</formula>
    </cfRule>
  </conditionalFormatting>
  <conditionalFormatting sqref="AV54">
    <cfRule type="cellIs" dxfId="32587" priority="108027" stopIfTrue="1" operator="greaterThanOrEqual">
      <formula>0.5</formula>
    </cfRule>
  </conditionalFormatting>
  <conditionalFormatting sqref="AV55">
    <cfRule type="cellIs" dxfId="32586" priority="108028" stopIfTrue="1" operator="equal">
      <formula>-1</formula>
    </cfRule>
  </conditionalFormatting>
  <conditionalFormatting sqref="AV55">
    <cfRule type="cellIs" dxfId="32585" priority="108029" stopIfTrue="1" operator="lessThan">
      <formula>0.5</formula>
    </cfRule>
  </conditionalFormatting>
  <conditionalFormatting sqref="AV55">
    <cfRule type="cellIs" dxfId="32584" priority="108030" stopIfTrue="1" operator="greaterThanOrEqual">
      <formula>0.5</formula>
    </cfRule>
  </conditionalFormatting>
  <conditionalFormatting sqref="AV56">
    <cfRule type="cellIs" dxfId="32583" priority="108031" stopIfTrue="1" operator="equal">
      <formula>-1</formula>
    </cfRule>
  </conditionalFormatting>
  <conditionalFormatting sqref="AV56">
    <cfRule type="cellIs" dxfId="32582" priority="108032" stopIfTrue="1" operator="lessThan">
      <formula>0.5</formula>
    </cfRule>
  </conditionalFormatting>
  <conditionalFormatting sqref="AV56">
    <cfRule type="cellIs" dxfId="32581" priority="108033" stopIfTrue="1" operator="greaterThanOrEqual">
      <formula>0.5</formula>
    </cfRule>
  </conditionalFormatting>
  <conditionalFormatting sqref="AV57">
    <cfRule type="cellIs" dxfId="32580" priority="108034" stopIfTrue="1" operator="equal">
      <formula>-1</formula>
    </cfRule>
  </conditionalFormatting>
  <conditionalFormatting sqref="AV57">
    <cfRule type="cellIs" dxfId="32579" priority="108035" stopIfTrue="1" operator="lessThan">
      <formula>0.5</formula>
    </cfRule>
  </conditionalFormatting>
  <conditionalFormatting sqref="AV57">
    <cfRule type="cellIs" dxfId="32578" priority="108036" stopIfTrue="1" operator="greaterThanOrEqual">
      <formula>0.5</formula>
    </cfRule>
  </conditionalFormatting>
  <conditionalFormatting sqref="AV58">
    <cfRule type="cellIs" dxfId="32577" priority="108037" stopIfTrue="1" operator="equal">
      <formula>-1</formula>
    </cfRule>
  </conditionalFormatting>
  <conditionalFormatting sqref="AV58">
    <cfRule type="cellIs" dxfId="32576" priority="108038" stopIfTrue="1" operator="lessThan">
      <formula>0.5</formula>
    </cfRule>
  </conditionalFormatting>
  <conditionalFormatting sqref="AV58">
    <cfRule type="cellIs" dxfId="32575" priority="108039" stopIfTrue="1" operator="greaterThanOrEqual">
      <formula>0.5</formula>
    </cfRule>
  </conditionalFormatting>
  <conditionalFormatting sqref="AX39">
    <cfRule type="cellIs" dxfId="32574" priority="108040" stopIfTrue="1" operator="equal">
      <formula>-1</formula>
    </cfRule>
  </conditionalFormatting>
  <conditionalFormatting sqref="AX39">
    <cfRule type="cellIs" dxfId="32573" priority="108041" stopIfTrue="1" operator="lessThan">
      <formula>0.5</formula>
    </cfRule>
  </conditionalFormatting>
  <conditionalFormatting sqref="AX39">
    <cfRule type="cellIs" dxfId="32572" priority="108042" stopIfTrue="1" operator="greaterThanOrEqual">
      <formula>0.5</formula>
    </cfRule>
  </conditionalFormatting>
  <conditionalFormatting sqref="AX40">
    <cfRule type="cellIs" dxfId="32571" priority="108043" stopIfTrue="1" operator="equal">
      <formula>-1</formula>
    </cfRule>
  </conditionalFormatting>
  <conditionalFormatting sqref="AX40">
    <cfRule type="cellIs" dxfId="32570" priority="108044" stopIfTrue="1" operator="lessThan">
      <formula>0.5</formula>
    </cfRule>
  </conditionalFormatting>
  <conditionalFormatting sqref="AX40">
    <cfRule type="cellIs" dxfId="32569" priority="108045" stopIfTrue="1" operator="greaterThanOrEqual">
      <formula>0.5</formula>
    </cfRule>
  </conditionalFormatting>
  <conditionalFormatting sqref="AX41">
    <cfRule type="cellIs" dxfId="32568" priority="108046" stopIfTrue="1" operator="equal">
      <formula>-1</formula>
    </cfRule>
  </conditionalFormatting>
  <conditionalFormatting sqref="AX41">
    <cfRule type="cellIs" dxfId="32567" priority="108047" stopIfTrue="1" operator="lessThan">
      <formula>0.5</formula>
    </cfRule>
  </conditionalFormatting>
  <conditionalFormatting sqref="AX41">
    <cfRule type="cellIs" dxfId="32566" priority="108048" stopIfTrue="1" operator="greaterThanOrEqual">
      <formula>0.5</formula>
    </cfRule>
  </conditionalFormatting>
  <conditionalFormatting sqref="AX42">
    <cfRule type="cellIs" dxfId="32565" priority="108049" stopIfTrue="1" operator="equal">
      <formula>-1</formula>
    </cfRule>
  </conditionalFormatting>
  <conditionalFormatting sqref="AX42">
    <cfRule type="cellIs" dxfId="32564" priority="108050" stopIfTrue="1" operator="lessThan">
      <formula>0.5</formula>
    </cfRule>
  </conditionalFormatting>
  <conditionalFormatting sqref="AX42">
    <cfRule type="cellIs" dxfId="32563" priority="108051" stopIfTrue="1" operator="greaterThanOrEqual">
      <formula>0.5</formula>
    </cfRule>
  </conditionalFormatting>
  <conditionalFormatting sqref="AX43">
    <cfRule type="cellIs" dxfId="32562" priority="108052" stopIfTrue="1" operator="equal">
      <formula>-1</formula>
    </cfRule>
  </conditionalFormatting>
  <conditionalFormatting sqref="AX43">
    <cfRule type="cellIs" dxfId="32561" priority="108053" stopIfTrue="1" operator="lessThan">
      <formula>0.5</formula>
    </cfRule>
  </conditionalFormatting>
  <conditionalFormatting sqref="AX43">
    <cfRule type="cellIs" dxfId="32560" priority="108054" stopIfTrue="1" operator="greaterThanOrEqual">
      <formula>0.5</formula>
    </cfRule>
  </conditionalFormatting>
  <conditionalFormatting sqref="AX44">
    <cfRule type="cellIs" dxfId="32559" priority="108055" stopIfTrue="1" operator="equal">
      <formula>-1</formula>
    </cfRule>
  </conditionalFormatting>
  <conditionalFormatting sqref="AX44">
    <cfRule type="cellIs" dxfId="32558" priority="108056" stopIfTrue="1" operator="lessThan">
      <formula>0.5</formula>
    </cfRule>
  </conditionalFormatting>
  <conditionalFormatting sqref="AX44">
    <cfRule type="cellIs" dxfId="32557" priority="108057" stopIfTrue="1" operator="greaterThanOrEqual">
      <formula>0.5</formula>
    </cfRule>
  </conditionalFormatting>
  <conditionalFormatting sqref="AX45">
    <cfRule type="cellIs" dxfId="32556" priority="108058" stopIfTrue="1" operator="equal">
      <formula>-1</formula>
    </cfRule>
  </conditionalFormatting>
  <conditionalFormatting sqref="AX45">
    <cfRule type="cellIs" dxfId="32555" priority="108059" stopIfTrue="1" operator="lessThan">
      <formula>0.5</formula>
    </cfRule>
  </conditionalFormatting>
  <conditionalFormatting sqref="AX45">
    <cfRule type="cellIs" dxfId="32554" priority="108060" stopIfTrue="1" operator="greaterThanOrEqual">
      <formula>0.5</formula>
    </cfRule>
  </conditionalFormatting>
  <conditionalFormatting sqref="AX46">
    <cfRule type="cellIs" dxfId="32553" priority="108061" stopIfTrue="1" operator="equal">
      <formula>-1</formula>
    </cfRule>
  </conditionalFormatting>
  <conditionalFormatting sqref="AX46">
    <cfRule type="cellIs" dxfId="32552" priority="108062" stopIfTrue="1" operator="lessThan">
      <formula>0.5</formula>
    </cfRule>
  </conditionalFormatting>
  <conditionalFormatting sqref="AX46">
    <cfRule type="cellIs" dxfId="32551" priority="108063" stopIfTrue="1" operator="greaterThanOrEqual">
      <formula>0.5</formula>
    </cfRule>
  </conditionalFormatting>
  <conditionalFormatting sqref="AX47">
    <cfRule type="cellIs" dxfId="32550" priority="108064" stopIfTrue="1" operator="equal">
      <formula>-1</formula>
    </cfRule>
  </conditionalFormatting>
  <conditionalFormatting sqref="AX47">
    <cfRule type="cellIs" dxfId="32549" priority="108065" stopIfTrue="1" operator="lessThan">
      <formula>0.5</formula>
    </cfRule>
  </conditionalFormatting>
  <conditionalFormatting sqref="AX47">
    <cfRule type="cellIs" dxfId="32548" priority="108066" stopIfTrue="1" operator="greaterThanOrEqual">
      <formula>0.5</formula>
    </cfRule>
  </conditionalFormatting>
  <conditionalFormatting sqref="AX48">
    <cfRule type="cellIs" dxfId="32547" priority="108067" stopIfTrue="1" operator="equal">
      <formula>-1</formula>
    </cfRule>
  </conditionalFormatting>
  <conditionalFormatting sqref="AX48">
    <cfRule type="cellIs" dxfId="32546" priority="108068" stopIfTrue="1" operator="lessThan">
      <formula>0.5</formula>
    </cfRule>
  </conditionalFormatting>
  <conditionalFormatting sqref="AX48">
    <cfRule type="cellIs" dxfId="32545" priority="108069" stopIfTrue="1" operator="greaterThanOrEqual">
      <formula>0.5</formula>
    </cfRule>
  </conditionalFormatting>
  <conditionalFormatting sqref="AX49">
    <cfRule type="cellIs" dxfId="32544" priority="108070" stopIfTrue="1" operator="equal">
      <formula>-1</formula>
    </cfRule>
  </conditionalFormatting>
  <conditionalFormatting sqref="AX49">
    <cfRule type="cellIs" dxfId="32543" priority="108071" stopIfTrue="1" operator="lessThan">
      <formula>0.5</formula>
    </cfRule>
  </conditionalFormatting>
  <conditionalFormatting sqref="AX49">
    <cfRule type="cellIs" dxfId="32542" priority="108072" stopIfTrue="1" operator="greaterThanOrEqual">
      <formula>0.5</formula>
    </cfRule>
  </conditionalFormatting>
  <conditionalFormatting sqref="AX50">
    <cfRule type="cellIs" dxfId="32541" priority="108073" stopIfTrue="1" operator="equal">
      <formula>-1</formula>
    </cfRule>
  </conditionalFormatting>
  <conditionalFormatting sqref="AX50">
    <cfRule type="cellIs" dxfId="32540" priority="108074" stopIfTrue="1" operator="lessThan">
      <formula>0.5</formula>
    </cfRule>
  </conditionalFormatting>
  <conditionalFormatting sqref="AX50">
    <cfRule type="cellIs" dxfId="32539" priority="108075" stopIfTrue="1" operator="greaterThanOrEqual">
      <formula>0.5</formula>
    </cfRule>
  </conditionalFormatting>
  <conditionalFormatting sqref="AX51">
    <cfRule type="cellIs" dxfId="32538" priority="108076" stopIfTrue="1" operator="equal">
      <formula>-1</formula>
    </cfRule>
  </conditionalFormatting>
  <conditionalFormatting sqref="AX51">
    <cfRule type="cellIs" dxfId="32537" priority="108077" stopIfTrue="1" operator="lessThan">
      <formula>0.5</formula>
    </cfRule>
  </conditionalFormatting>
  <conditionalFormatting sqref="AX51">
    <cfRule type="cellIs" dxfId="32536" priority="108078" stopIfTrue="1" operator="greaterThanOrEqual">
      <formula>0.5</formula>
    </cfRule>
  </conditionalFormatting>
  <conditionalFormatting sqref="AX52">
    <cfRule type="cellIs" dxfId="32535" priority="108079" stopIfTrue="1" operator="equal">
      <formula>-1</formula>
    </cfRule>
  </conditionalFormatting>
  <conditionalFormatting sqref="AX52">
    <cfRule type="cellIs" dxfId="32534" priority="108080" stopIfTrue="1" operator="lessThan">
      <formula>0.5</formula>
    </cfRule>
  </conditionalFormatting>
  <conditionalFormatting sqref="AX52">
    <cfRule type="cellIs" dxfId="32533" priority="108081" stopIfTrue="1" operator="greaterThanOrEqual">
      <formula>0.5</formula>
    </cfRule>
  </conditionalFormatting>
  <conditionalFormatting sqref="AX53">
    <cfRule type="cellIs" dxfId="32532" priority="108082" stopIfTrue="1" operator="equal">
      <formula>-1</formula>
    </cfRule>
  </conditionalFormatting>
  <conditionalFormatting sqref="AX53">
    <cfRule type="cellIs" dxfId="32531" priority="108083" stopIfTrue="1" operator="lessThan">
      <formula>0.5</formula>
    </cfRule>
  </conditionalFormatting>
  <conditionalFormatting sqref="AX53">
    <cfRule type="cellIs" dxfId="32530" priority="108084" stopIfTrue="1" operator="greaterThanOrEqual">
      <formula>0.5</formula>
    </cfRule>
  </conditionalFormatting>
  <conditionalFormatting sqref="AX54">
    <cfRule type="cellIs" dxfId="32529" priority="108085" stopIfTrue="1" operator="equal">
      <formula>-1</formula>
    </cfRule>
  </conditionalFormatting>
  <conditionalFormatting sqref="AX54">
    <cfRule type="cellIs" dxfId="32528" priority="108086" stopIfTrue="1" operator="lessThan">
      <formula>0.5</formula>
    </cfRule>
  </conditionalFormatting>
  <conditionalFormatting sqref="AX54">
    <cfRule type="cellIs" dxfId="32527" priority="108087" stopIfTrue="1" operator="greaterThanOrEqual">
      <formula>0.5</formula>
    </cfRule>
  </conditionalFormatting>
  <conditionalFormatting sqref="AX55">
    <cfRule type="cellIs" dxfId="32526" priority="108088" stopIfTrue="1" operator="equal">
      <formula>-1</formula>
    </cfRule>
  </conditionalFormatting>
  <conditionalFormatting sqref="AX55">
    <cfRule type="cellIs" dxfId="32525" priority="108089" stopIfTrue="1" operator="lessThan">
      <formula>0.5</formula>
    </cfRule>
  </conditionalFormatting>
  <conditionalFormatting sqref="AX55">
    <cfRule type="cellIs" dxfId="32524" priority="108090" stopIfTrue="1" operator="greaterThanOrEqual">
      <formula>0.5</formula>
    </cfRule>
  </conditionalFormatting>
  <conditionalFormatting sqref="AX56">
    <cfRule type="cellIs" dxfId="32523" priority="108091" stopIfTrue="1" operator="equal">
      <formula>-1</formula>
    </cfRule>
  </conditionalFormatting>
  <conditionalFormatting sqref="AX56">
    <cfRule type="cellIs" dxfId="32522" priority="108092" stopIfTrue="1" operator="lessThan">
      <formula>0.5</formula>
    </cfRule>
  </conditionalFormatting>
  <conditionalFormatting sqref="AX56">
    <cfRule type="cellIs" dxfId="32521" priority="108093" stopIfTrue="1" operator="greaterThanOrEqual">
      <formula>0.5</formula>
    </cfRule>
  </conditionalFormatting>
  <conditionalFormatting sqref="AX57">
    <cfRule type="cellIs" dxfId="32520" priority="108094" stopIfTrue="1" operator="equal">
      <formula>-1</formula>
    </cfRule>
  </conditionalFormatting>
  <conditionalFormatting sqref="AX57">
    <cfRule type="cellIs" dxfId="32519" priority="108095" stopIfTrue="1" operator="lessThan">
      <formula>0.5</formula>
    </cfRule>
  </conditionalFormatting>
  <conditionalFormatting sqref="AX57">
    <cfRule type="cellIs" dxfId="32518" priority="108096" stopIfTrue="1" operator="greaterThanOrEqual">
      <formula>0.5</formula>
    </cfRule>
  </conditionalFormatting>
  <conditionalFormatting sqref="AX58">
    <cfRule type="cellIs" dxfId="32517" priority="108097" stopIfTrue="1" operator="equal">
      <formula>-1</formula>
    </cfRule>
  </conditionalFormatting>
  <conditionalFormatting sqref="AX58">
    <cfRule type="cellIs" dxfId="32516" priority="108098" stopIfTrue="1" operator="lessThan">
      <formula>0.5</formula>
    </cfRule>
  </conditionalFormatting>
  <conditionalFormatting sqref="AX58">
    <cfRule type="cellIs" dxfId="32515" priority="108099" stopIfTrue="1" operator="greaterThanOrEqual">
      <formula>0.5</formula>
    </cfRule>
  </conditionalFormatting>
  <conditionalFormatting sqref="AZ39">
    <cfRule type="cellIs" dxfId="32514" priority="108100" stopIfTrue="1" operator="equal">
      <formula>-1</formula>
    </cfRule>
  </conditionalFormatting>
  <conditionalFormatting sqref="AZ39">
    <cfRule type="cellIs" dxfId="32513" priority="108101" stopIfTrue="1" operator="lessThan">
      <formula>0.5</formula>
    </cfRule>
  </conditionalFormatting>
  <conditionalFormatting sqref="AZ39">
    <cfRule type="cellIs" dxfId="32512" priority="108102" stopIfTrue="1" operator="greaterThanOrEqual">
      <formula>0.5</formula>
    </cfRule>
  </conditionalFormatting>
  <conditionalFormatting sqref="AZ40">
    <cfRule type="cellIs" dxfId="32511" priority="108103" stopIfTrue="1" operator="equal">
      <formula>-1</formula>
    </cfRule>
  </conditionalFormatting>
  <conditionalFormatting sqref="AZ40">
    <cfRule type="cellIs" dxfId="32510" priority="108104" stopIfTrue="1" operator="lessThan">
      <formula>0.5</formula>
    </cfRule>
  </conditionalFormatting>
  <conditionalFormatting sqref="AZ40">
    <cfRule type="cellIs" dxfId="32509" priority="108105" stopIfTrue="1" operator="greaterThanOrEqual">
      <formula>0.5</formula>
    </cfRule>
  </conditionalFormatting>
  <conditionalFormatting sqref="AZ41">
    <cfRule type="cellIs" dxfId="32508" priority="108106" stopIfTrue="1" operator="equal">
      <formula>-1</formula>
    </cfRule>
  </conditionalFormatting>
  <conditionalFormatting sqref="AZ41">
    <cfRule type="cellIs" dxfId="32507" priority="108107" stopIfTrue="1" operator="lessThan">
      <formula>0.5</formula>
    </cfRule>
  </conditionalFormatting>
  <conditionalFormatting sqref="AZ41">
    <cfRule type="cellIs" dxfId="32506" priority="108108" stopIfTrue="1" operator="greaterThanOrEqual">
      <formula>0.5</formula>
    </cfRule>
  </conditionalFormatting>
  <conditionalFormatting sqref="AZ42">
    <cfRule type="cellIs" dxfId="32505" priority="108109" stopIfTrue="1" operator="equal">
      <formula>-1</formula>
    </cfRule>
  </conditionalFormatting>
  <conditionalFormatting sqref="AZ42">
    <cfRule type="cellIs" dxfId="32504" priority="108110" stopIfTrue="1" operator="lessThan">
      <formula>0.5</formula>
    </cfRule>
  </conditionalFormatting>
  <conditionalFormatting sqref="AZ42">
    <cfRule type="cellIs" dxfId="32503" priority="108111" stopIfTrue="1" operator="greaterThanOrEqual">
      <formula>0.5</formula>
    </cfRule>
  </conditionalFormatting>
  <conditionalFormatting sqref="AZ43">
    <cfRule type="cellIs" dxfId="32502" priority="108112" stopIfTrue="1" operator="equal">
      <formula>-1</formula>
    </cfRule>
  </conditionalFormatting>
  <conditionalFormatting sqref="AZ43">
    <cfRule type="cellIs" dxfId="32501" priority="108113" stopIfTrue="1" operator="lessThan">
      <formula>0.5</formula>
    </cfRule>
  </conditionalFormatting>
  <conditionalFormatting sqref="AZ43">
    <cfRule type="cellIs" dxfId="32500" priority="108114" stopIfTrue="1" operator="greaterThanOrEqual">
      <formula>0.5</formula>
    </cfRule>
  </conditionalFormatting>
  <conditionalFormatting sqref="AZ44">
    <cfRule type="cellIs" dxfId="32499" priority="108115" stopIfTrue="1" operator="equal">
      <formula>-1</formula>
    </cfRule>
  </conditionalFormatting>
  <conditionalFormatting sqref="AZ44">
    <cfRule type="cellIs" dxfId="32498" priority="108116" stopIfTrue="1" operator="lessThan">
      <formula>0.5</formula>
    </cfRule>
  </conditionalFormatting>
  <conditionalFormatting sqref="AZ44">
    <cfRule type="cellIs" dxfId="32497" priority="108117" stopIfTrue="1" operator="greaterThanOrEqual">
      <formula>0.5</formula>
    </cfRule>
  </conditionalFormatting>
  <conditionalFormatting sqref="AZ45">
    <cfRule type="cellIs" dxfId="32496" priority="108118" stopIfTrue="1" operator="equal">
      <formula>-1</formula>
    </cfRule>
  </conditionalFormatting>
  <conditionalFormatting sqref="AZ45">
    <cfRule type="cellIs" dxfId="32495" priority="108119" stopIfTrue="1" operator="lessThan">
      <formula>0.5</formula>
    </cfRule>
  </conditionalFormatting>
  <conditionalFormatting sqref="AZ45">
    <cfRule type="cellIs" dxfId="32494" priority="108120" stopIfTrue="1" operator="greaterThanOrEqual">
      <formula>0.5</formula>
    </cfRule>
  </conditionalFormatting>
  <conditionalFormatting sqref="AZ46">
    <cfRule type="cellIs" dxfId="32493" priority="108121" stopIfTrue="1" operator="equal">
      <formula>-1</formula>
    </cfRule>
  </conditionalFormatting>
  <conditionalFormatting sqref="AZ46">
    <cfRule type="cellIs" dxfId="32492" priority="108122" stopIfTrue="1" operator="lessThan">
      <formula>0.5</formula>
    </cfRule>
  </conditionalFormatting>
  <conditionalFormatting sqref="AZ46">
    <cfRule type="cellIs" dxfId="32491" priority="108123" stopIfTrue="1" operator="greaterThanOrEqual">
      <formula>0.5</formula>
    </cfRule>
  </conditionalFormatting>
  <conditionalFormatting sqref="AZ47">
    <cfRule type="cellIs" dxfId="32490" priority="108124" stopIfTrue="1" operator="equal">
      <formula>-1</formula>
    </cfRule>
  </conditionalFormatting>
  <conditionalFormatting sqref="AZ47">
    <cfRule type="cellIs" dxfId="32489" priority="108125" stopIfTrue="1" operator="lessThan">
      <formula>0.5</formula>
    </cfRule>
  </conditionalFormatting>
  <conditionalFormatting sqref="AZ47">
    <cfRule type="cellIs" dxfId="32488" priority="108126" stopIfTrue="1" operator="greaterThanOrEqual">
      <formula>0.5</formula>
    </cfRule>
  </conditionalFormatting>
  <conditionalFormatting sqref="AZ48">
    <cfRule type="cellIs" dxfId="32487" priority="108127" stopIfTrue="1" operator="equal">
      <formula>-1</formula>
    </cfRule>
  </conditionalFormatting>
  <conditionalFormatting sqref="AZ48">
    <cfRule type="cellIs" dxfId="32486" priority="108128" stopIfTrue="1" operator="lessThan">
      <formula>0.5</formula>
    </cfRule>
  </conditionalFormatting>
  <conditionalFormatting sqref="AZ48">
    <cfRule type="cellIs" dxfId="32485" priority="108129" stopIfTrue="1" operator="greaterThanOrEqual">
      <formula>0.5</formula>
    </cfRule>
  </conditionalFormatting>
  <conditionalFormatting sqref="AZ49">
    <cfRule type="cellIs" dxfId="32484" priority="108130" stopIfTrue="1" operator="equal">
      <formula>-1</formula>
    </cfRule>
  </conditionalFormatting>
  <conditionalFormatting sqref="AZ49">
    <cfRule type="cellIs" dxfId="32483" priority="108131" stopIfTrue="1" operator="lessThan">
      <formula>0.5</formula>
    </cfRule>
  </conditionalFormatting>
  <conditionalFormatting sqref="AZ49">
    <cfRule type="cellIs" dxfId="32482" priority="108132" stopIfTrue="1" operator="greaterThanOrEqual">
      <formula>0.5</formula>
    </cfRule>
  </conditionalFormatting>
  <conditionalFormatting sqref="AZ50">
    <cfRule type="cellIs" dxfId="32481" priority="108133" stopIfTrue="1" operator="equal">
      <formula>-1</formula>
    </cfRule>
  </conditionalFormatting>
  <conditionalFormatting sqref="AZ50">
    <cfRule type="cellIs" dxfId="32480" priority="108134" stopIfTrue="1" operator="lessThan">
      <formula>0.5</formula>
    </cfRule>
  </conditionalFormatting>
  <conditionalFormatting sqref="AZ50">
    <cfRule type="cellIs" dxfId="32479" priority="108135" stopIfTrue="1" operator="greaterThanOrEqual">
      <formula>0.5</formula>
    </cfRule>
  </conditionalFormatting>
  <conditionalFormatting sqref="AZ51">
    <cfRule type="cellIs" dxfId="32478" priority="108136" stopIfTrue="1" operator="equal">
      <formula>-1</formula>
    </cfRule>
  </conditionalFormatting>
  <conditionalFormatting sqref="AZ51">
    <cfRule type="cellIs" dxfId="32477" priority="108137" stopIfTrue="1" operator="lessThan">
      <formula>0.5</formula>
    </cfRule>
  </conditionalFormatting>
  <conditionalFormatting sqref="AZ51">
    <cfRule type="cellIs" dxfId="32476" priority="108138" stopIfTrue="1" operator="greaterThanOrEqual">
      <formula>0.5</formula>
    </cfRule>
  </conditionalFormatting>
  <conditionalFormatting sqref="AZ52">
    <cfRule type="cellIs" dxfId="32475" priority="108139" stopIfTrue="1" operator="equal">
      <formula>-1</formula>
    </cfRule>
  </conditionalFormatting>
  <conditionalFormatting sqref="AZ52">
    <cfRule type="cellIs" dxfId="32474" priority="108140" stopIfTrue="1" operator="lessThan">
      <formula>0.5</formula>
    </cfRule>
  </conditionalFormatting>
  <conditionalFormatting sqref="AZ52">
    <cfRule type="cellIs" dxfId="32473" priority="108141" stopIfTrue="1" operator="greaterThanOrEqual">
      <formula>0.5</formula>
    </cfRule>
  </conditionalFormatting>
  <conditionalFormatting sqref="AZ53">
    <cfRule type="cellIs" dxfId="32472" priority="108142" stopIfTrue="1" operator="equal">
      <formula>-1</formula>
    </cfRule>
  </conditionalFormatting>
  <conditionalFormatting sqref="AZ53">
    <cfRule type="cellIs" dxfId="32471" priority="108143" stopIfTrue="1" operator="lessThan">
      <formula>0.5</formula>
    </cfRule>
  </conditionalFormatting>
  <conditionalFormatting sqref="AZ53">
    <cfRule type="cellIs" dxfId="32470" priority="108144" stopIfTrue="1" operator="greaterThanOrEqual">
      <formula>0.5</formula>
    </cfRule>
  </conditionalFormatting>
  <conditionalFormatting sqref="AZ54">
    <cfRule type="cellIs" dxfId="32469" priority="108145" stopIfTrue="1" operator="equal">
      <formula>-1</formula>
    </cfRule>
  </conditionalFormatting>
  <conditionalFormatting sqref="AZ54">
    <cfRule type="cellIs" dxfId="32468" priority="108146" stopIfTrue="1" operator="lessThan">
      <formula>0.5</formula>
    </cfRule>
  </conditionalFormatting>
  <conditionalFormatting sqref="AZ54">
    <cfRule type="cellIs" dxfId="32467" priority="108147" stopIfTrue="1" operator="greaterThanOrEqual">
      <formula>0.5</formula>
    </cfRule>
  </conditionalFormatting>
  <conditionalFormatting sqref="AZ55">
    <cfRule type="cellIs" dxfId="32466" priority="108148" stopIfTrue="1" operator="equal">
      <formula>-1</formula>
    </cfRule>
  </conditionalFormatting>
  <conditionalFormatting sqref="AZ55">
    <cfRule type="cellIs" dxfId="32465" priority="108149" stopIfTrue="1" operator="lessThan">
      <formula>0.5</formula>
    </cfRule>
  </conditionalFormatting>
  <conditionalFormatting sqref="AZ55">
    <cfRule type="cellIs" dxfId="32464" priority="108150" stopIfTrue="1" operator="greaterThanOrEqual">
      <formula>0.5</formula>
    </cfRule>
  </conditionalFormatting>
  <conditionalFormatting sqref="AZ56">
    <cfRule type="cellIs" dxfId="32463" priority="108151" stopIfTrue="1" operator="equal">
      <formula>-1</formula>
    </cfRule>
  </conditionalFormatting>
  <conditionalFormatting sqref="AZ56">
    <cfRule type="cellIs" dxfId="32462" priority="108152" stopIfTrue="1" operator="lessThan">
      <formula>0.5</formula>
    </cfRule>
  </conditionalFormatting>
  <conditionalFormatting sqref="AZ56">
    <cfRule type="cellIs" dxfId="32461" priority="108153" stopIfTrue="1" operator="greaterThanOrEqual">
      <formula>0.5</formula>
    </cfRule>
  </conditionalFormatting>
  <conditionalFormatting sqref="AZ57">
    <cfRule type="cellIs" dxfId="32460" priority="108154" stopIfTrue="1" operator="equal">
      <formula>-1</formula>
    </cfRule>
  </conditionalFormatting>
  <conditionalFormatting sqref="AZ57">
    <cfRule type="cellIs" dxfId="32459" priority="108155" stopIfTrue="1" operator="lessThan">
      <formula>0.5</formula>
    </cfRule>
  </conditionalFormatting>
  <conditionalFormatting sqref="AZ57">
    <cfRule type="cellIs" dxfId="32458" priority="108156" stopIfTrue="1" operator="greaterThanOrEqual">
      <formula>0.5</formula>
    </cfRule>
  </conditionalFormatting>
  <conditionalFormatting sqref="AZ58">
    <cfRule type="cellIs" dxfId="32457" priority="108157" stopIfTrue="1" operator="equal">
      <formula>-1</formula>
    </cfRule>
  </conditionalFormatting>
  <conditionalFormatting sqref="AZ58">
    <cfRule type="cellIs" dxfId="32456" priority="108158" stopIfTrue="1" operator="lessThan">
      <formula>0.5</formula>
    </cfRule>
  </conditionalFormatting>
  <conditionalFormatting sqref="AZ58">
    <cfRule type="cellIs" dxfId="32455" priority="108159" stopIfTrue="1" operator="greaterThanOrEqual">
      <formula>0.5</formula>
    </cfRule>
  </conditionalFormatting>
  <conditionalFormatting sqref="BB39">
    <cfRule type="cellIs" dxfId="32454" priority="108160" stopIfTrue="1" operator="equal">
      <formula>-1</formula>
    </cfRule>
  </conditionalFormatting>
  <conditionalFormatting sqref="BB39">
    <cfRule type="cellIs" dxfId="32453" priority="108161" stopIfTrue="1" operator="lessThan">
      <formula>0.5</formula>
    </cfRule>
  </conditionalFormatting>
  <conditionalFormatting sqref="BB39">
    <cfRule type="cellIs" dxfId="32452" priority="108162" stopIfTrue="1" operator="greaterThanOrEqual">
      <formula>0.5</formula>
    </cfRule>
  </conditionalFormatting>
  <conditionalFormatting sqref="BB40">
    <cfRule type="cellIs" dxfId="32451" priority="108163" stopIfTrue="1" operator="equal">
      <formula>-1</formula>
    </cfRule>
  </conditionalFormatting>
  <conditionalFormatting sqref="BB40">
    <cfRule type="cellIs" dxfId="32450" priority="108164" stopIfTrue="1" operator="lessThan">
      <formula>0.5</formula>
    </cfRule>
  </conditionalFormatting>
  <conditionalFormatting sqref="BB40">
    <cfRule type="cellIs" dxfId="32449" priority="108165" stopIfTrue="1" operator="greaterThanOrEqual">
      <formula>0.5</formula>
    </cfRule>
  </conditionalFormatting>
  <conditionalFormatting sqref="BB41">
    <cfRule type="cellIs" dxfId="32448" priority="108166" stopIfTrue="1" operator="equal">
      <formula>-1</formula>
    </cfRule>
  </conditionalFormatting>
  <conditionalFormatting sqref="BB41">
    <cfRule type="cellIs" dxfId="32447" priority="108167" stopIfTrue="1" operator="lessThan">
      <formula>0.5</formula>
    </cfRule>
  </conditionalFormatting>
  <conditionalFormatting sqref="BB41">
    <cfRule type="cellIs" dxfId="32446" priority="108168" stopIfTrue="1" operator="greaterThanOrEqual">
      <formula>0.5</formula>
    </cfRule>
  </conditionalFormatting>
  <conditionalFormatting sqref="BB42">
    <cfRule type="cellIs" dxfId="32445" priority="108169" stopIfTrue="1" operator="equal">
      <formula>-1</formula>
    </cfRule>
  </conditionalFormatting>
  <conditionalFormatting sqref="BB42">
    <cfRule type="cellIs" dxfId="32444" priority="108170" stopIfTrue="1" operator="lessThan">
      <formula>0.5</formula>
    </cfRule>
  </conditionalFormatting>
  <conditionalFormatting sqref="BB42">
    <cfRule type="cellIs" dxfId="32443" priority="108171" stopIfTrue="1" operator="greaterThanOrEqual">
      <formula>0.5</formula>
    </cfRule>
  </conditionalFormatting>
  <conditionalFormatting sqref="BB43">
    <cfRule type="cellIs" dxfId="32442" priority="108172" stopIfTrue="1" operator="equal">
      <formula>-1</formula>
    </cfRule>
  </conditionalFormatting>
  <conditionalFormatting sqref="BB43">
    <cfRule type="cellIs" dxfId="32441" priority="108173" stopIfTrue="1" operator="lessThan">
      <formula>0.5</formula>
    </cfRule>
  </conditionalFormatting>
  <conditionalFormatting sqref="BB43">
    <cfRule type="cellIs" dxfId="32440" priority="108174" stopIfTrue="1" operator="greaterThanOrEqual">
      <formula>0.5</formula>
    </cfRule>
  </conditionalFormatting>
  <conditionalFormatting sqref="BB44">
    <cfRule type="cellIs" dxfId="32439" priority="108175" stopIfTrue="1" operator="equal">
      <formula>-1</formula>
    </cfRule>
  </conditionalFormatting>
  <conditionalFormatting sqref="BB44">
    <cfRule type="cellIs" dxfId="32438" priority="108176" stopIfTrue="1" operator="lessThan">
      <formula>0.5</formula>
    </cfRule>
  </conditionalFormatting>
  <conditionalFormatting sqref="BB44">
    <cfRule type="cellIs" dxfId="32437" priority="108177" stopIfTrue="1" operator="greaterThanOrEqual">
      <formula>0.5</formula>
    </cfRule>
  </conditionalFormatting>
  <conditionalFormatting sqref="BB45">
    <cfRule type="cellIs" dxfId="32436" priority="108178" stopIfTrue="1" operator="equal">
      <formula>-1</formula>
    </cfRule>
  </conditionalFormatting>
  <conditionalFormatting sqref="BB45">
    <cfRule type="cellIs" dxfId="32435" priority="108179" stopIfTrue="1" operator="lessThan">
      <formula>0.5</formula>
    </cfRule>
  </conditionalFormatting>
  <conditionalFormatting sqref="BB45">
    <cfRule type="cellIs" dxfId="32434" priority="108180" stopIfTrue="1" operator="greaterThanOrEqual">
      <formula>0.5</formula>
    </cfRule>
  </conditionalFormatting>
  <conditionalFormatting sqref="BB46">
    <cfRule type="cellIs" dxfId="32433" priority="108181" stopIfTrue="1" operator="equal">
      <formula>-1</formula>
    </cfRule>
  </conditionalFormatting>
  <conditionalFormatting sqref="BB46">
    <cfRule type="cellIs" dxfId="32432" priority="108182" stopIfTrue="1" operator="lessThan">
      <formula>0.5</formula>
    </cfRule>
  </conditionalFormatting>
  <conditionalFormatting sqref="BB46">
    <cfRule type="cellIs" dxfId="32431" priority="108183" stopIfTrue="1" operator="greaterThanOrEqual">
      <formula>0.5</formula>
    </cfRule>
  </conditionalFormatting>
  <conditionalFormatting sqref="BB47">
    <cfRule type="cellIs" dxfId="32430" priority="108184" stopIfTrue="1" operator="equal">
      <formula>-1</formula>
    </cfRule>
  </conditionalFormatting>
  <conditionalFormatting sqref="BB47">
    <cfRule type="cellIs" dxfId="32429" priority="108185" stopIfTrue="1" operator="lessThan">
      <formula>0.5</formula>
    </cfRule>
  </conditionalFormatting>
  <conditionalFormatting sqref="BB47">
    <cfRule type="cellIs" dxfId="32428" priority="108186" stopIfTrue="1" operator="greaterThanOrEqual">
      <formula>0.5</formula>
    </cfRule>
  </conditionalFormatting>
  <conditionalFormatting sqref="BB48">
    <cfRule type="cellIs" dxfId="32427" priority="108187" stopIfTrue="1" operator="equal">
      <formula>-1</formula>
    </cfRule>
  </conditionalFormatting>
  <conditionalFormatting sqref="BB48">
    <cfRule type="cellIs" dxfId="32426" priority="108188" stopIfTrue="1" operator="lessThan">
      <formula>0.5</formula>
    </cfRule>
  </conditionalFormatting>
  <conditionalFormatting sqref="BB48">
    <cfRule type="cellIs" dxfId="32425" priority="108189" stopIfTrue="1" operator="greaterThanOrEqual">
      <formula>0.5</formula>
    </cfRule>
  </conditionalFormatting>
  <conditionalFormatting sqref="BB49">
    <cfRule type="cellIs" dxfId="32424" priority="108190" stopIfTrue="1" operator="equal">
      <formula>-1</formula>
    </cfRule>
  </conditionalFormatting>
  <conditionalFormatting sqref="BB49">
    <cfRule type="cellIs" dxfId="32423" priority="108191" stopIfTrue="1" operator="lessThan">
      <formula>0.5</formula>
    </cfRule>
  </conditionalFormatting>
  <conditionalFormatting sqref="BB49">
    <cfRule type="cellIs" dxfId="32422" priority="108192" stopIfTrue="1" operator="greaterThanOrEqual">
      <formula>0.5</formula>
    </cfRule>
  </conditionalFormatting>
  <conditionalFormatting sqref="BB50">
    <cfRule type="cellIs" dxfId="32421" priority="108193" stopIfTrue="1" operator="equal">
      <formula>-1</formula>
    </cfRule>
  </conditionalFormatting>
  <conditionalFormatting sqref="BB50">
    <cfRule type="cellIs" dxfId="32420" priority="108194" stopIfTrue="1" operator="lessThan">
      <formula>0.5</formula>
    </cfRule>
  </conditionalFormatting>
  <conditionalFormatting sqref="BB50">
    <cfRule type="cellIs" dxfId="32419" priority="108195" stopIfTrue="1" operator="greaterThanOrEqual">
      <formula>0.5</formula>
    </cfRule>
  </conditionalFormatting>
  <conditionalFormatting sqref="BB51">
    <cfRule type="cellIs" dxfId="32418" priority="108196" stopIfTrue="1" operator="equal">
      <formula>-1</formula>
    </cfRule>
  </conditionalFormatting>
  <conditionalFormatting sqref="BB51">
    <cfRule type="cellIs" dxfId="32417" priority="108197" stopIfTrue="1" operator="lessThan">
      <formula>0.5</formula>
    </cfRule>
  </conditionalFormatting>
  <conditionalFormatting sqref="BB51">
    <cfRule type="cellIs" dxfId="32416" priority="108198" stopIfTrue="1" operator="greaterThanOrEqual">
      <formula>0.5</formula>
    </cfRule>
  </conditionalFormatting>
  <conditionalFormatting sqref="BB52">
    <cfRule type="cellIs" dxfId="32415" priority="108199" stopIfTrue="1" operator="equal">
      <formula>-1</formula>
    </cfRule>
  </conditionalFormatting>
  <conditionalFormatting sqref="BB52">
    <cfRule type="cellIs" dxfId="32414" priority="108200" stopIfTrue="1" operator="lessThan">
      <formula>0.5</formula>
    </cfRule>
  </conditionalFormatting>
  <conditionalFormatting sqref="BB52">
    <cfRule type="cellIs" dxfId="32413" priority="108201" stopIfTrue="1" operator="greaterThanOrEqual">
      <formula>0.5</formula>
    </cfRule>
  </conditionalFormatting>
  <conditionalFormatting sqref="BB53">
    <cfRule type="cellIs" dxfId="32412" priority="108202" stopIfTrue="1" operator="equal">
      <formula>-1</formula>
    </cfRule>
  </conditionalFormatting>
  <conditionalFormatting sqref="BB53">
    <cfRule type="cellIs" dxfId="32411" priority="108203" stopIfTrue="1" operator="lessThan">
      <formula>0.5</formula>
    </cfRule>
  </conditionalFormatting>
  <conditionalFormatting sqref="BB53">
    <cfRule type="cellIs" dxfId="32410" priority="108204" stopIfTrue="1" operator="greaterThanOrEqual">
      <formula>0.5</formula>
    </cfRule>
  </conditionalFormatting>
  <conditionalFormatting sqref="BB54">
    <cfRule type="cellIs" dxfId="32409" priority="108205" stopIfTrue="1" operator="equal">
      <formula>-1</formula>
    </cfRule>
  </conditionalFormatting>
  <conditionalFormatting sqref="BB54">
    <cfRule type="cellIs" dxfId="32408" priority="108206" stopIfTrue="1" operator="lessThan">
      <formula>0.5</formula>
    </cfRule>
  </conditionalFormatting>
  <conditionalFormatting sqref="BB54">
    <cfRule type="cellIs" dxfId="32407" priority="108207" stopIfTrue="1" operator="greaterThanOrEqual">
      <formula>0.5</formula>
    </cfRule>
  </conditionalFormatting>
  <conditionalFormatting sqref="BB55">
    <cfRule type="cellIs" dxfId="32406" priority="108208" stopIfTrue="1" operator="equal">
      <formula>-1</formula>
    </cfRule>
  </conditionalFormatting>
  <conditionalFormatting sqref="BB55">
    <cfRule type="cellIs" dxfId="32405" priority="108209" stopIfTrue="1" operator="lessThan">
      <formula>0.5</formula>
    </cfRule>
  </conditionalFormatting>
  <conditionalFormatting sqref="BB55">
    <cfRule type="cellIs" dxfId="32404" priority="108210" stopIfTrue="1" operator="greaterThanOrEqual">
      <formula>0.5</formula>
    </cfRule>
  </conditionalFormatting>
  <conditionalFormatting sqref="BB56">
    <cfRule type="cellIs" dxfId="32403" priority="108211" stopIfTrue="1" operator="equal">
      <formula>-1</formula>
    </cfRule>
  </conditionalFormatting>
  <conditionalFormatting sqref="BB56">
    <cfRule type="cellIs" dxfId="32402" priority="108212" stopIfTrue="1" operator="lessThan">
      <formula>0.5</formula>
    </cfRule>
  </conditionalFormatting>
  <conditionalFormatting sqref="BB56">
    <cfRule type="cellIs" dxfId="32401" priority="108213" stopIfTrue="1" operator="greaterThanOrEqual">
      <formula>0.5</formula>
    </cfRule>
  </conditionalFormatting>
  <conditionalFormatting sqref="BB57">
    <cfRule type="cellIs" dxfId="32400" priority="108214" stopIfTrue="1" operator="equal">
      <formula>-1</formula>
    </cfRule>
  </conditionalFormatting>
  <conditionalFormatting sqref="BB57">
    <cfRule type="cellIs" dxfId="32399" priority="108215" stopIfTrue="1" operator="lessThan">
      <formula>0.5</formula>
    </cfRule>
  </conditionalFormatting>
  <conditionalFormatting sqref="BB57">
    <cfRule type="cellIs" dxfId="32398" priority="108216" stopIfTrue="1" operator="greaterThanOrEqual">
      <formula>0.5</formula>
    </cfRule>
  </conditionalFormatting>
  <conditionalFormatting sqref="BB58">
    <cfRule type="cellIs" dxfId="32397" priority="108217" stopIfTrue="1" operator="equal">
      <formula>-1</formula>
    </cfRule>
  </conditionalFormatting>
  <conditionalFormatting sqref="BB58">
    <cfRule type="cellIs" dxfId="32396" priority="108218" stopIfTrue="1" operator="lessThan">
      <formula>0.5</formula>
    </cfRule>
  </conditionalFormatting>
  <conditionalFormatting sqref="BB58">
    <cfRule type="cellIs" dxfId="32395" priority="108219" stopIfTrue="1" operator="greaterThanOrEqual">
      <formula>0.5</formula>
    </cfRule>
  </conditionalFormatting>
  <conditionalFormatting sqref="BD39">
    <cfRule type="cellIs" dxfId="32394" priority="108220" stopIfTrue="1" operator="equal">
      <formula>-1</formula>
    </cfRule>
  </conditionalFormatting>
  <conditionalFormatting sqref="BD39">
    <cfRule type="cellIs" dxfId="32393" priority="108221" stopIfTrue="1" operator="lessThan">
      <formula>0.5</formula>
    </cfRule>
  </conditionalFormatting>
  <conditionalFormatting sqref="BD39">
    <cfRule type="cellIs" dxfId="32392" priority="108222" stopIfTrue="1" operator="greaterThanOrEqual">
      <formula>0.5</formula>
    </cfRule>
  </conditionalFormatting>
  <conditionalFormatting sqref="BD40">
    <cfRule type="cellIs" dxfId="32391" priority="108223" stopIfTrue="1" operator="equal">
      <formula>-1</formula>
    </cfRule>
  </conditionalFormatting>
  <conditionalFormatting sqref="BD40">
    <cfRule type="cellIs" dxfId="32390" priority="108224" stopIfTrue="1" operator="lessThan">
      <formula>0.5</formula>
    </cfRule>
  </conditionalFormatting>
  <conditionalFormatting sqref="BD40">
    <cfRule type="cellIs" dxfId="32389" priority="108225" stopIfTrue="1" operator="greaterThanOrEqual">
      <formula>0.5</formula>
    </cfRule>
  </conditionalFormatting>
  <conditionalFormatting sqref="BD41">
    <cfRule type="cellIs" dxfId="32388" priority="108226" stopIfTrue="1" operator="equal">
      <formula>-1</formula>
    </cfRule>
  </conditionalFormatting>
  <conditionalFormatting sqref="BD41">
    <cfRule type="cellIs" dxfId="32387" priority="108227" stopIfTrue="1" operator="lessThan">
      <formula>0.5</formula>
    </cfRule>
  </conditionalFormatting>
  <conditionalFormatting sqref="BD41">
    <cfRule type="cellIs" dxfId="32386" priority="108228" stopIfTrue="1" operator="greaterThanOrEqual">
      <formula>0.5</formula>
    </cfRule>
  </conditionalFormatting>
  <conditionalFormatting sqref="BD42">
    <cfRule type="cellIs" dxfId="32385" priority="108229" stopIfTrue="1" operator="equal">
      <formula>-1</formula>
    </cfRule>
  </conditionalFormatting>
  <conditionalFormatting sqref="BD42">
    <cfRule type="cellIs" dxfId="32384" priority="108230" stopIfTrue="1" operator="lessThan">
      <formula>0.5</formula>
    </cfRule>
  </conditionalFormatting>
  <conditionalFormatting sqref="BD42">
    <cfRule type="cellIs" dxfId="32383" priority="108231" stopIfTrue="1" operator="greaterThanOrEqual">
      <formula>0.5</formula>
    </cfRule>
  </conditionalFormatting>
  <conditionalFormatting sqref="BD43">
    <cfRule type="cellIs" dxfId="32382" priority="108232" stopIfTrue="1" operator="equal">
      <formula>-1</formula>
    </cfRule>
  </conditionalFormatting>
  <conditionalFormatting sqref="BD43">
    <cfRule type="cellIs" dxfId="32381" priority="108233" stopIfTrue="1" operator="lessThan">
      <formula>0.5</formula>
    </cfRule>
  </conditionalFormatting>
  <conditionalFormatting sqref="BD43">
    <cfRule type="cellIs" dxfId="32380" priority="108234" stopIfTrue="1" operator="greaterThanOrEqual">
      <formula>0.5</formula>
    </cfRule>
  </conditionalFormatting>
  <conditionalFormatting sqref="BD44">
    <cfRule type="cellIs" dxfId="32379" priority="108235" stopIfTrue="1" operator="equal">
      <formula>-1</formula>
    </cfRule>
  </conditionalFormatting>
  <conditionalFormatting sqref="BD44">
    <cfRule type="cellIs" dxfId="32378" priority="108236" stopIfTrue="1" operator="lessThan">
      <formula>0.5</formula>
    </cfRule>
  </conditionalFormatting>
  <conditionalFormatting sqref="BD44">
    <cfRule type="cellIs" dxfId="32377" priority="108237" stopIfTrue="1" operator="greaterThanOrEqual">
      <formula>0.5</formula>
    </cfRule>
  </conditionalFormatting>
  <conditionalFormatting sqref="BD45">
    <cfRule type="cellIs" dxfId="32376" priority="108238" stopIfTrue="1" operator="equal">
      <formula>-1</formula>
    </cfRule>
  </conditionalFormatting>
  <conditionalFormatting sqref="BD45">
    <cfRule type="cellIs" dxfId="32375" priority="108239" stopIfTrue="1" operator="lessThan">
      <formula>0.5</formula>
    </cfRule>
  </conditionalFormatting>
  <conditionalFormatting sqref="BD45">
    <cfRule type="cellIs" dxfId="32374" priority="108240" stopIfTrue="1" operator="greaterThanOrEqual">
      <formula>0.5</formula>
    </cfRule>
  </conditionalFormatting>
  <conditionalFormatting sqref="BD46">
    <cfRule type="cellIs" dxfId="32373" priority="108241" stopIfTrue="1" operator="equal">
      <formula>-1</formula>
    </cfRule>
  </conditionalFormatting>
  <conditionalFormatting sqref="BD46">
    <cfRule type="cellIs" dxfId="32372" priority="108242" stopIfTrue="1" operator="lessThan">
      <formula>0.5</formula>
    </cfRule>
  </conditionalFormatting>
  <conditionalFormatting sqref="BD46">
    <cfRule type="cellIs" dxfId="32371" priority="108243" stopIfTrue="1" operator="greaterThanOrEqual">
      <formula>0.5</formula>
    </cfRule>
  </conditionalFormatting>
  <conditionalFormatting sqref="BD47">
    <cfRule type="cellIs" dxfId="32370" priority="108244" stopIfTrue="1" operator="equal">
      <formula>-1</formula>
    </cfRule>
  </conditionalFormatting>
  <conditionalFormatting sqref="BD47">
    <cfRule type="cellIs" dxfId="32369" priority="108245" stopIfTrue="1" operator="lessThan">
      <formula>0.5</formula>
    </cfRule>
  </conditionalFormatting>
  <conditionalFormatting sqref="BD47">
    <cfRule type="cellIs" dxfId="32368" priority="108246" stopIfTrue="1" operator="greaterThanOrEqual">
      <formula>0.5</formula>
    </cfRule>
  </conditionalFormatting>
  <conditionalFormatting sqref="BD48">
    <cfRule type="cellIs" dxfId="32367" priority="108247" stopIfTrue="1" operator="equal">
      <formula>-1</formula>
    </cfRule>
  </conditionalFormatting>
  <conditionalFormatting sqref="BD48">
    <cfRule type="cellIs" dxfId="32366" priority="108248" stopIfTrue="1" operator="lessThan">
      <formula>0.5</formula>
    </cfRule>
  </conditionalFormatting>
  <conditionalFormatting sqref="BD48">
    <cfRule type="cellIs" dxfId="32365" priority="108249" stopIfTrue="1" operator="greaterThanOrEqual">
      <formula>0.5</formula>
    </cfRule>
  </conditionalFormatting>
  <conditionalFormatting sqref="BD49">
    <cfRule type="cellIs" dxfId="32364" priority="108250" stopIfTrue="1" operator="equal">
      <formula>-1</formula>
    </cfRule>
  </conditionalFormatting>
  <conditionalFormatting sqref="BD49">
    <cfRule type="cellIs" dxfId="32363" priority="108251" stopIfTrue="1" operator="lessThan">
      <formula>0.5</formula>
    </cfRule>
  </conditionalFormatting>
  <conditionalFormatting sqref="BD49">
    <cfRule type="cellIs" dxfId="32362" priority="108252" stopIfTrue="1" operator="greaterThanOrEqual">
      <formula>0.5</formula>
    </cfRule>
  </conditionalFormatting>
  <conditionalFormatting sqref="BD50">
    <cfRule type="cellIs" dxfId="32361" priority="108253" stopIfTrue="1" operator="equal">
      <formula>-1</formula>
    </cfRule>
  </conditionalFormatting>
  <conditionalFormatting sqref="BD50">
    <cfRule type="cellIs" dxfId="32360" priority="108254" stopIfTrue="1" operator="lessThan">
      <formula>0.5</formula>
    </cfRule>
  </conditionalFormatting>
  <conditionalFormatting sqref="BD50">
    <cfRule type="cellIs" dxfId="32359" priority="108255" stopIfTrue="1" operator="greaterThanOrEqual">
      <formula>0.5</formula>
    </cfRule>
  </conditionalFormatting>
  <conditionalFormatting sqref="BD51">
    <cfRule type="cellIs" dxfId="32358" priority="108256" stopIfTrue="1" operator="equal">
      <formula>-1</formula>
    </cfRule>
  </conditionalFormatting>
  <conditionalFormatting sqref="BD51">
    <cfRule type="cellIs" dxfId="32357" priority="108257" stopIfTrue="1" operator="lessThan">
      <formula>0.5</formula>
    </cfRule>
  </conditionalFormatting>
  <conditionalFormatting sqref="BD51">
    <cfRule type="cellIs" dxfId="32356" priority="108258" stopIfTrue="1" operator="greaterThanOrEqual">
      <formula>0.5</formula>
    </cfRule>
  </conditionalFormatting>
  <conditionalFormatting sqref="BD52">
    <cfRule type="cellIs" dxfId="32355" priority="108259" stopIfTrue="1" operator="equal">
      <formula>-1</formula>
    </cfRule>
  </conditionalFormatting>
  <conditionalFormatting sqref="BD52">
    <cfRule type="cellIs" dxfId="32354" priority="108260" stopIfTrue="1" operator="lessThan">
      <formula>0.5</formula>
    </cfRule>
  </conditionalFormatting>
  <conditionalFormatting sqref="BD52">
    <cfRule type="cellIs" dxfId="32353" priority="108261" stopIfTrue="1" operator="greaterThanOrEqual">
      <formula>0.5</formula>
    </cfRule>
  </conditionalFormatting>
  <conditionalFormatting sqref="BD53">
    <cfRule type="cellIs" dxfId="32352" priority="108262" stopIfTrue="1" operator="equal">
      <formula>-1</formula>
    </cfRule>
  </conditionalFormatting>
  <conditionalFormatting sqref="BD53">
    <cfRule type="cellIs" dxfId="32351" priority="108263" stopIfTrue="1" operator="lessThan">
      <formula>0.5</formula>
    </cfRule>
  </conditionalFormatting>
  <conditionalFormatting sqref="BD53">
    <cfRule type="cellIs" dxfId="32350" priority="108264" stopIfTrue="1" operator="greaterThanOrEqual">
      <formula>0.5</formula>
    </cfRule>
  </conditionalFormatting>
  <conditionalFormatting sqref="BD54">
    <cfRule type="cellIs" dxfId="32349" priority="108265" stopIfTrue="1" operator="equal">
      <formula>-1</formula>
    </cfRule>
  </conditionalFormatting>
  <conditionalFormatting sqref="BD54">
    <cfRule type="cellIs" dxfId="32348" priority="108266" stopIfTrue="1" operator="lessThan">
      <formula>0.5</formula>
    </cfRule>
  </conditionalFormatting>
  <conditionalFormatting sqref="BD54">
    <cfRule type="cellIs" dxfId="32347" priority="108267" stopIfTrue="1" operator="greaterThanOrEqual">
      <formula>0.5</formula>
    </cfRule>
  </conditionalFormatting>
  <conditionalFormatting sqref="BD55">
    <cfRule type="cellIs" dxfId="32346" priority="108268" stopIfTrue="1" operator="equal">
      <formula>-1</formula>
    </cfRule>
  </conditionalFormatting>
  <conditionalFormatting sqref="BD55">
    <cfRule type="cellIs" dxfId="32345" priority="108269" stopIfTrue="1" operator="lessThan">
      <formula>0.5</formula>
    </cfRule>
  </conditionalFormatting>
  <conditionalFormatting sqref="BD55">
    <cfRule type="cellIs" dxfId="32344" priority="108270" stopIfTrue="1" operator="greaterThanOrEqual">
      <formula>0.5</formula>
    </cfRule>
  </conditionalFormatting>
  <conditionalFormatting sqref="BD56">
    <cfRule type="cellIs" dxfId="32343" priority="108271" stopIfTrue="1" operator="equal">
      <formula>-1</formula>
    </cfRule>
  </conditionalFormatting>
  <conditionalFormatting sqref="BD56">
    <cfRule type="cellIs" dxfId="32342" priority="108272" stopIfTrue="1" operator="lessThan">
      <formula>0.5</formula>
    </cfRule>
  </conditionalFormatting>
  <conditionalFormatting sqref="BD56">
    <cfRule type="cellIs" dxfId="32341" priority="108273" stopIfTrue="1" operator="greaterThanOrEqual">
      <formula>0.5</formula>
    </cfRule>
  </conditionalFormatting>
  <conditionalFormatting sqref="BD57">
    <cfRule type="cellIs" dxfId="32340" priority="108274" stopIfTrue="1" operator="equal">
      <formula>-1</formula>
    </cfRule>
  </conditionalFormatting>
  <conditionalFormatting sqref="BD57">
    <cfRule type="cellIs" dxfId="32339" priority="108275" stopIfTrue="1" operator="lessThan">
      <formula>0.5</formula>
    </cfRule>
  </conditionalFormatting>
  <conditionalFormatting sqref="BD57">
    <cfRule type="cellIs" dxfId="32338" priority="108276" stopIfTrue="1" operator="greaterThanOrEqual">
      <formula>0.5</formula>
    </cfRule>
  </conditionalFormatting>
  <conditionalFormatting sqref="BD58">
    <cfRule type="cellIs" dxfId="32337" priority="108277" stopIfTrue="1" operator="equal">
      <formula>-1</formula>
    </cfRule>
  </conditionalFormatting>
  <conditionalFormatting sqref="BD58">
    <cfRule type="cellIs" dxfId="32336" priority="108278" stopIfTrue="1" operator="lessThan">
      <formula>0.5</formula>
    </cfRule>
  </conditionalFormatting>
  <conditionalFormatting sqref="BD58">
    <cfRule type="cellIs" dxfId="32335" priority="108279" stopIfTrue="1" operator="greaterThanOrEqual">
      <formula>0.5</formula>
    </cfRule>
  </conditionalFormatting>
  <conditionalFormatting sqref="BF39">
    <cfRule type="cellIs" dxfId="32334" priority="108280" stopIfTrue="1" operator="equal">
      <formula>-1</formula>
    </cfRule>
  </conditionalFormatting>
  <conditionalFormatting sqref="BF39">
    <cfRule type="cellIs" dxfId="32333" priority="108281" stopIfTrue="1" operator="lessThan">
      <formula>0.5</formula>
    </cfRule>
  </conditionalFormatting>
  <conditionalFormatting sqref="BF39">
    <cfRule type="cellIs" dxfId="32332" priority="108282" stopIfTrue="1" operator="greaterThanOrEqual">
      <formula>0.5</formula>
    </cfRule>
  </conditionalFormatting>
  <conditionalFormatting sqref="BF40">
    <cfRule type="cellIs" dxfId="32331" priority="108283" stopIfTrue="1" operator="equal">
      <formula>-1</formula>
    </cfRule>
  </conditionalFormatting>
  <conditionalFormatting sqref="BF40">
    <cfRule type="cellIs" dxfId="32330" priority="108284" stopIfTrue="1" operator="lessThan">
      <formula>0.5</formula>
    </cfRule>
  </conditionalFormatting>
  <conditionalFormatting sqref="BF40">
    <cfRule type="cellIs" dxfId="32329" priority="108285" stopIfTrue="1" operator="greaterThanOrEqual">
      <formula>0.5</formula>
    </cfRule>
  </conditionalFormatting>
  <conditionalFormatting sqref="BF41">
    <cfRule type="cellIs" dxfId="32328" priority="108286" stopIfTrue="1" operator="equal">
      <formula>-1</formula>
    </cfRule>
  </conditionalFormatting>
  <conditionalFormatting sqref="BF41">
    <cfRule type="cellIs" dxfId="32327" priority="108287" stopIfTrue="1" operator="lessThan">
      <formula>0.5</formula>
    </cfRule>
  </conditionalFormatting>
  <conditionalFormatting sqref="BF41">
    <cfRule type="cellIs" dxfId="32326" priority="108288" stopIfTrue="1" operator="greaterThanOrEqual">
      <formula>0.5</formula>
    </cfRule>
  </conditionalFormatting>
  <conditionalFormatting sqref="BF42">
    <cfRule type="cellIs" dxfId="32325" priority="108289" stopIfTrue="1" operator="equal">
      <formula>-1</formula>
    </cfRule>
  </conditionalFormatting>
  <conditionalFormatting sqref="BF42">
    <cfRule type="cellIs" dxfId="32324" priority="108290" stopIfTrue="1" operator="lessThan">
      <formula>0.5</formula>
    </cfRule>
  </conditionalFormatting>
  <conditionalFormatting sqref="BF42">
    <cfRule type="cellIs" dxfId="32323" priority="108291" stopIfTrue="1" operator="greaterThanOrEqual">
      <formula>0.5</formula>
    </cfRule>
  </conditionalFormatting>
  <conditionalFormatting sqref="BF43">
    <cfRule type="cellIs" dxfId="32322" priority="108292" stopIfTrue="1" operator="equal">
      <formula>-1</formula>
    </cfRule>
  </conditionalFormatting>
  <conditionalFormatting sqref="BF43">
    <cfRule type="cellIs" dxfId="32321" priority="108293" stopIfTrue="1" operator="lessThan">
      <formula>0.5</formula>
    </cfRule>
  </conditionalFormatting>
  <conditionalFormatting sqref="BF43">
    <cfRule type="cellIs" dxfId="32320" priority="108294" stopIfTrue="1" operator="greaterThanOrEqual">
      <formula>0.5</formula>
    </cfRule>
  </conditionalFormatting>
  <conditionalFormatting sqref="BF44">
    <cfRule type="cellIs" dxfId="32319" priority="108295" stopIfTrue="1" operator="equal">
      <formula>-1</formula>
    </cfRule>
  </conditionalFormatting>
  <conditionalFormatting sqref="BF44">
    <cfRule type="cellIs" dxfId="32318" priority="108296" stopIfTrue="1" operator="lessThan">
      <formula>0.5</formula>
    </cfRule>
  </conditionalFormatting>
  <conditionalFormatting sqref="BF44">
    <cfRule type="cellIs" dxfId="32317" priority="108297" stopIfTrue="1" operator="greaterThanOrEqual">
      <formula>0.5</formula>
    </cfRule>
  </conditionalFormatting>
  <conditionalFormatting sqref="BF45">
    <cfRule type="cellIs" dxfId="32316" priority="108298" stopIfTrue="1" operator="equal">
      <formula>-1</formula>
    </cfRule>
  </conditionalFormatting>
  <conditionalFormatting sqref="BF45">
    <cfRule type="cellIs" dxfId="32315" priority="108299" stopIfTrue="1" operator="lessThan">
      <formula>0.5</formula>
    </cfRule>
  </conditionalFormatting>
  <conditionalFormatting sqref="BF45">
    <cfRule type="cellIs" dxfId="32314" priority="108300" stopIfTrue="1" operator="greaterThanOrEqual">
      <formula>0.5</formula>
    </cfRule>
  </conditionalFormatting>
  <conditionalFormatting sqref="BF46">
    <cfRule type="cellIs" dxfId="32313" priority="108301" stopIfTrue="1" operator="equal">
      <formula>-1</formula>
    </cfRule>
  </conditionalFormatting>
  <conditionalFormatting sqref="BF46">
    <cfRule type="cellIs" dxfId="32312" priority="108302" stopIfTrue="1" operator="lessThan">
      <formula>0.5</formula>
    </cfRule>
  </conditionalFormatting>
  <conditionalFormatting sqref="BF46">
    <cfRule type="cellIs" dxfId="32311" priority="108303" stopIfTrue="1" operator="greaterThanOrEqual">
      <formula>0.5</formula>
    </cfRule>
  </conditionalFormatting>
  <conditionalFormatting sqref="BF47">
    <cfRule type="cellIs" dxfId="32310" priority="108304" stopIfTrue="1" operator="equal">
      <formula>-1</formula>
    </cfRule>
  </conditionalFormatting>
  <conditionalFormatting sqref="BF47">
    <cfRule type="cellIs" dxfId="32309" priority="108305" stopIfTrue="1" operator="lessThan">
      <formula>0.5</formula>
    </cfRule>
  </conditionalFormatting>
  <conditionalFormatting sqref="BF47">
    <cfRule type="cellIs" dxfId="32308" priority="108306" stopIfTrue="1" operator="greaterThanOrEqual">
      <formula>0.5</formula>
    </cfRule>
  </conditionalFormatting>
  <conditionalFormatting sqref="BF48">
    <cfRule type="cellIs" dxfId="32307" priority="108307" stopIfTrue="1" operator="equal">
      <formula>-1</formula>
    </cfRule>
  </conditionalFormatting>
  <conditionalFormatting sqref="BF48">
    <cfRule type="cellIs" dxfId="32306" priority="108308" stopIfTrue="1" operator="lessThan">
      <formula>0.5</formula>
    </cfRule>
  </conditionalFormatting>
  <conditionalFormatting sqref="BF48">
    <cfRule type="cellIs" dxfId="32305" priority="108309" stopIfTrue="1" operator="greaterThanOrEqual">
      <formula>0.5</formula>
    </cfRule>
  </conditionalFormatting>
  <conditionalFormatting sqref="BF49">
    <cfRule type="cellIs" dxfId="32304" priority="108310" stopIfTrue="1" operator="equal">
      <formula>-1</formula>
    </cfRule>
  </conditionalFormatting>
  <conditionalFormatting sqref="BF49">
    <cfRule type="cellIs" dxfId="32303" priority="108311" stopIfTrue="1" operator="lessThan">
      <formula>0.5</formula>
    </cfRule>
  </conditionalFormatting>
  <conditionalFormatting sqref="BF49">
    <cfRule type="cellIs" dxfId="32302" priority="108312" stopIfTrue="1" operator="greaterThanOrEqual">
      <formula>0.5</formula>
    </cfRule>
  </conditionalFormatting>
  <conditionalFormatting sqref="BF50">
    <cfRule type="cellIs" dxfId="32301" priority="108313" stopIfTrue="1" operator="equal">
      <formula>-1</formula>
    </cfRule>
  </conditionalFormatting>
  <conditionalFormatting sqref="BF50">
    <cfRule type="cellIs" dxfId="32300" priority="108314" stopIfTrue="1" operator="lessThan">
      <formula>0.5</formula>
    </cfRule>
  </conditionalFormatting>
  <conditionalFormatting sqref="BF50">
    <cfRule type="cellIs" dxfId="32299" priority="108315" stopIfTrue="1" operator="greaterThanOrEqual">
      <formula>0.5</formula>
    </cfRule>
  </conditionalFormatting>
  <conditionalFormatting sqref="BF51">
    <cfRule type="cellIs" dxfId="32298" priority="108316" stopIfTrue="1" operator="equal">
      <formula>-1</formula>
    </cfRule>
  </conditionalFormatting>
  <conditionalFormatting sqref="BF51">
    <cfRule type="cellIs" dxfId="32297" priority="108317" stopIfTrue="1" operator="lessThan">
      <formula>0.5</formula>
    </cfRule>
  </conditionalFormatting>
  <conditionalFormatting sqref="BF51">
    <cfRule type="cellIs" dxfId="32296" priority="108318" stopIfTrue="1" operator="greaterThanOrEqual">
      <formula>0.5</formula>
    </cfRule>
  </conditionalFormatting>
  <conditionalFormatting sqref="BF52">
    <cfRule type="cellIs" dxfId="32295" priority="108319" stopIfTrue="1" operator="equal">
      <formula>-1</formula>
    </cfRule>
  </conditionalFormatting>
  <conditionalFormatting sqref="BF52">
    <cfRule type="cellIs" dxfId="32294" priority="108320" stopIfTrue="1" operator="lessThan">
      <formula>0.5</formula>
    </cfRule>
  </conditionalFormatting>
  <conditionalFormatting sqref="BF52">
    <cfRule type="cellIs" dxfId="32293" priority="108321" stopIfTrue="1" operator="greaterThanOrEqual">
      <formula>0.5</formula>
    </cfRule>
  </conditionalFormatting>
  <conditionalFormatting sqref="BF53">
    <cfRule type="cellIs" dxfId="32292" priority="108322" stopIfTrue="1" operator="equal">
      <formula>-1</formula>
    </cfRule>
  </conditionalFormatting>
  <conditionalFormatting sqref="BF53">
    <cfRule type="cellIs" dxfId="32291" priority="108323" stopIfTrue="1" operator="lessThan">
      <formula>0.5</formula>
    </cfRule>
  </conditionalFormatting>
  <conditionalFormatting sqref="BF53">
    <cfRule type="cellIs" dxfId="32290" priority="108324" stopIfTrue="1" operator="greaterThanOrEqual">
      <formula>0.5</formula>
    </cfRule>
  </conditionalFormatting>
  <conditionalFormatting sqref="BF54">
    <cfRule type="cellIs" dxfId="32289" priority="108325" stopIfTrue="1" operator="equal">
      <formula>-1</formula>
    </cfRule>
  </conditionalFormatting>
  <conditionalFormatting sqref="BF54">
    <cfRule type="cellIs" dxfId="32288" priority="108326" stopIfTrue="1" operator="lessThan">
      <formula>0.5</formula>
    </cfRule>
  </conditionalFormatting>
  <conditionalFormatting sqref="BF54">
    <cfRule type="cellIs" dxfId="32287" priority="108327" stopIfTrue="1" operator="greaterThanOrEqual">
      <formula>0.5</formula>
    </cfRule>
  </conditionalFormatting>
  <conditionalFormatting sqref="BF55">
    <cfRule type="cellIs" dxfId="32286" priority="108328" stopIfTrue="1" operator="equal">
      <formula>-1</formula>
    </cfRule>
  </conditionalFormatting>
  <conditionalFormatting sqref="BF55">
    <cfRule type="cellIs" dxfId="32285" priority="108329" stopIfTrue="1" operator="lessThan">
      <formula>0.5</formula>
    </cfRule>
  </conditionalFormatting>
  <conditionalFormatting sqref="BF55">
    <cfRule type="cellIs" dxfId="32284" priority="108330" stopIfTrue="1" operator="greaterThanOrEqual">
      <formula>0.5</formula>
    </cfRule>
  </conditionalFormatting>
  <conditionalFormatting sqref="BF56">
    <cfRule type="cellIs" dxfId="32283" priority="108331" stopIfTrue="1" operator="equal">
      <formula>-1</formula>
    </cfRule>
  </conditionalFormatting>
  <conditionalFormatting sqref="BF56">
    <cfRule type="cellIs" dxfId="32282" priority="108332" stopIfTrue="1" operator="lessThan">
      <formula>0.5</formula>
    </cfRule>
  </conditionalFormatting>
  <conditionalFormatting sqref="BF56">
    <cfRule type="cellIs" dxfId="32281" priority="108333" stopIfTrue="1" operator="greaterThanOrEqual">
      <formula>0.5</formula>
    </cfRule>
  </conditionalFormatting>
  <conditionalFormatting sqref="BF57">
    <cfRule type="cellIs" dxfId="32280" priority="108334" stopIfTrue="1" operator="equal">
      <formula>-1</formula>
    </cfRule>
  </conditionalFormatting>
  <conditionalFormatting sqref="BF57">
    <cfRule type="cellIs" dxfId="32279" priority="108335" stopIfTrue="1" operator="lessThan">
      <formula>0.5</formula>
    </cfRule>
  </conditionalFormatting>
  <conditionalFormatting sqref="BF57">
    <cfRule type="cellIs" dxfId="32278" priority="108336" stopIfTrue="1" operator="greaterThanOrEqual">
      <formula>0.5</formula>
    </cfRule>
  </conditionalFormatting>
  <conditionalFormatting sqref="BF58">
    <cfRule type="cellIs" dxfId="32277" priority="108337" stopIfTrue="1" operator="equal">
      <formula>-1</formula>
    </cfRule>
  </conditionalFormatting>
  <conditionalFormatting sqref="BF58">
    <cfRule type="cellIs" dxfId="32276" priority="108338" stopIfTrue="1" operator="lessThan">
      <formula>0.5</formula>
    </cfRule>
  </conditionalFormatting>
  <conditionalFormatting sqref="BF58">
    <cfRule type="cellIs" dxfId="32275" priority="108339" stopIfTrue="1" operator="greaterThanOrEqual">
      <formula>0.5</formula>
    </cfRule>
  </conditionalFormatting>
  <conditionalFormatting sqref="BH39">
    <cfRule type="cellIs" dxfId="32274" priority="108340" stopIfTrue="1" operator="equal">
      <formula>-1</formula>
    </cfRule>
  </conditionalFormatting>
  <conditionalFormatting sqref="BH39">
    <cfRule type="cellIs" dxfId="32273" priority="108341" stopIfTrue="1" operator="lessThan">
      <formula>0.5</formula>
    </cfRule>
  </conditionalFormatting>
  <conditionalFormatting sqref="BH39">
    <cfRule type="cellIs" dxfId="32272" priority="108342" stopIfTrue="1" operator="greaterThanOrEqual">
      <formula>0.5</formula>
    </cfRule>
  </conditionalFormatting>
  <conditionalFormatting sqref="BH40">
    <cfRule type="cellIs" dxfId="32271" priority="108343" stopIfTrue="1" operator="equal">
      <formula>-1</formula>
    </cfRule>
  </conditionalFormatting>
  <conditionalFormatting sqref="BH40">
    <cfRule type="cellIs" dxfId="32270" priority="108344" stopIfTrue="1" operator="lessThan">
      <formula>0.5</formula>
    </cfRule>
  </conditionalFormatting>
  <conditionalFormatting sqref="BH40">
    <cfRule type="cellIs" dxfId="32269" priority="108345" stopIfTrue="1" operator="greaterThanOrEqual">
      <formula>0.5</formula>
    </cfRule>
  </conditionalFormatting>
  <conditionalFormatting sqref="BH41">
    <cfRule type="cellIs" dxfId="32268" priority="108346" stopIfTrue="1" operator="equal">
      <formula>-1</formula>
    </cfRule>
  </conditionalFormatting>
  <conditionalFormatting sqref="BH41">
    <cfRule type="cellIs" dxfId="32267" priority="108347" stopIfTrue="1" operator="lessThan">
      <formula>0.5</formula>
    </cfRule>
  </conditionalFormatting>
  <conditionalFormatting sqref="BH41">
    <cfRule type="cellIs" dxfId="32266" priority="108348" stopIfTrue="1" operator="greaterThanOrEqual">
      <formula>0.5</formula>
    </cfRule>
  </conditionalFormatting>
  <conditionalFormatting sqref="BH42">
    <cfRule type="cellIs" dxfId="32265" priority="108349" stopIfTrue="1" operator="equal">
      <formula>-1</formula>
    </cfRule>
  </conditionalFormatting>
  <conditionalFormatting sqref="BH42">
    <cfRule type="cellIs" dxfId="32264" priority="108350" stopIfTrue="1" operator="lessThan">
      <formula>0.5</formula>
    </cfRule>
  </conditionalFormatting>
  <conditionalFormatting sqref="BH42">
    <cfRule type="cellIs" dxfId="32263" priority="108351" stopIfTrue="1" operator="greaterThanOrEqual">
      <formula>0.5</formula>
    </cfRule>
  </conditionalFormatting>
  <conditionalFormatting sqref="BH43">
    <cfRule type="cellIs" dxfId="32262" priority="108352" stopIfTrue="1" operator="equal">
      <formula>-1</formula>
    </cfRule>
  </conditionalFormatting>
  <conditionalFormatting sqref="BH43">
    <cfRule type="cellIs" dxfId="32261" priority="108353" stopIfTrue="1" operator="lessThan">
      <formula>0.5</formula>
    </cfRule>
  </conditionalFormatting>
  <conditionalFormatting sqref="BH43">
    <cfRule type="cellIs" dxfId="32260" priority="108354" stopIfTrue="1" operator="greaterThanOrEqual">
      <formula>0.5</formula>
    </cfRule>
  </conditionalFormatting>
  <conditionalFormatting sqref="BH44">
    <cfRule type="cellIs" dxfId="32259" priority="108355" stopIfTrue="1" operator="equal">
      <formula>-1</formula>
    </cfRule>
  </conditionalFormatting>
  <conditionalFormatting sqref="BH44">
    <cfRule type="cellIs" dxfId="32258" priority="108356" stopIfTrue="1" operator="lessThan">
      <formula>0.5</formula>
    </cfRule>
  </conditionalFormatting>
  <conditionalFormatting sqref="BH44">
    <cfRule type="cellIs" dxfId="32257" priority="108357" stopIfTrue="1" operator="greaterThanOrEqual">
      <formula>0.5</formula>
    </cfRule>
  </conditionalFormatting>
  <conditionalFormatting sqref="BH45">
    <cfRule type="cellIs" dxfId="32256" priority="108358" stopIfTrue="1" operator="equal">
      <formula>-1</formula>
    </cfRule>
  </conditionalFormatting>
  <conditionalFormatting sqref="BH45">
    <cfRule type="cellIs" dxfId="32255" priority="108359" stopIfTrue="1" operator="lessThan">
      <formula>0.5</formula>
    </cfRule>
  </conditionalFormatting>
  <conditionalFormatting sqref="BH45">
    <cfRule type="cellIs" dxfId="32254" priority="108360" stopIfTrue="1" operator="greaterThanOrEqual">
      <formula>0.5</formula>
    </cfRule>
  </conditionalFormatting>
  <conditionalFormatting sqref="BH46">
    <cfRule type="cellIs" dxfId="32253" priority="108361" stopIfTrue="1" operator="equal">
      <formula>-1</formula>
    </cfRule>
  </conditionalFormatting>
  <conditionalFormatting sqref="BH46">
    <cfRule type="cellIs" dxfId="32252" priority="108362" stopIfTrue="1" operator="lessThan">
      <formula>0.5</formula>
    </cfRule>
  </conditionalFormatting>
  <conditionalFormatting sqref="BH46">
    <cfRule type="cellIs" dxfId="32251" priority="108363" stopIfTrue="1" operator="greaterThanOrEqual">
      <formula>0.5</formula>
    </cfRule>
  </conditionalFormatting>
  <conditionalFormatting sqref="BH47">
    <cfRule type="cellIs" dxfId="32250" priority="108364" stopIfTrue="1" operator="equal">
      <formula>-1</formula>
    </cfRule>
  </conditionalFormatting>
  <conditionalFormatting sqref="BH47">
    <cfRule type="cellIs" dxfId="32249" priority="108365" stopIfTrue="1" operator="lessThan">
      <formula>0.5</formula>
    </cfRule>
  </conditionalFormatting>
  <conditionalFormatting sqref="BH47">
    <cfRule type="cellIs" dxfId="32248" priority="108366" stopIfTrue="1" operator="greaterThanOrEqual">
      <formula>0.5</formula>
    </cfRule>
  </conditionalFormatting>
  <conditionalFormatting sqref="BH48">
    <cfRule type="cellIs" dxfId="32247" priority="108367" stopIfTrue="1" operator="equal">
      <formula>-1</formula>
    </cfRule>
  </conditionalFormatting>
  <conditionalFormatting sqref="BH48">
    <cfRule type="cellIs" dxfId="32246" priority="108368" stopIfTrue="1" operator="lessThan">
      <formula>0.5</formula>
    </cfRule>
  </conditionalFormatting>
  <conditionalFormatting sqref="BH48">
    <cfRule type="cellIs" dxfId="32245" priority="108369" stopIfTrue="1" operator="greaterThanOrEqual">
      <formula>0.5</formula>
    </cfRule>
  </conditionalFormatting>
  <conditionalFormatting sqref="BH49">
    <cfRule type="cellIs" dxfId="32244" priority="108370" stopIfTrue="1" operator="equal">
      <formula>-1</formula>
    </cfRule>
  </conditionalFormatting>
  <conditionalFormatting sqref="BH49">
    <cfRule type="cellIs" dxfId="32243" priority="108371" stopIfTrue="1" operator="lessThan">
      <formula>0.5</formula>
    </cfRule>
  </conditionalFormatting>
  <conditionalFormatting sqref="BH49">
    <cfRule type="cellIs" dxfId="32242" priority="108372" stopIfTrue="1" operator="greaterThanOrEqual">
      <formula>0.5</formula>
    </cfRule>
  </conditionalFormatting>
  <conditionalFormatting sqref="BH50">
    <cfRule type="cellIs" dxfId="32241" priority="108373" stopIfTrue="1" operator="equal">
      <formula>-1</formula>
    </cfRule>
  </conditionalFormatting>
  <conditionalFormatting sqref="BH50">
    <cfRule type="cellIs" dxfId="32240" priority="108374" stopIfTrue="1" operator="lessThan">
      <formula>0.5</formula>
    </cfRule>
  </conditionalFormatting>
  <conditionalFormatting sqref="BH50">
    <cfRule type="cellIs" dxfId="32239" priority="108375" stopIfTrue="1" operator="greaterThanOrEqual">
      <formula>0.5</formula>
    </cfRule>
  </conditionalFormatting>
  <conditionalFormatting sqref="BH51">
    <cfRule type="cellIs" dxfId="32238" priority="108376" stopIfTrue="1" operator="equal">
      <formula>-1</formula>
    </cfRule>
  </conditionalFormatting>
  <conditionalFormatting sqref="BH51">
    <cfRule type="cellIs" dxfId="32237" priority="108377" stopIfTrue="1" operator="lessThan">
      <formula>0.5</formula>
    </cfRule>
  </conditionalFormatting>
  <conditionalFormatting sqref="BH51">
    <cfRule type="cellIs" dxfId="32236" priority="108378" stopIfTrue="1" operator="greaterThanOrEqual">
      <formula>0.5</formula>
    </cfRule>
  </conditionalFormatting>
  <conditionalFormatting sqref="BH52">
    <cfRule type="cellIs" dxfId="32235" priority="108379" stopIfTrue="1" operator="equal">
      <formula>-1</formula>
    </cfRule>
  </conditionalFormatting>
  <conditionalFormatting sqref="BH52">
    <cfRule type="cellIs" dxfId="32234" priority="108380" stopIfTrue="1" operator="lessThan">
      <formula>0.5</formula>
    </cfRule>
  </conditionalFormatting>
  <conditionalFormatting sqref="BH52">
    <cfRule type="cellIs" dxfId="32233" priority="108381" stopIfTrue="1" operator="greaterThanOrEqual">
      <formula>0.5</formula>
    </cfRule>
  </conditionalFormatting>
  <conditionalFormatting sqref="BH53">
    <cfRule type="cellIs" dxfId="32232" priority="108382" stopIfTrue="1" operator="equal">
      <formula>-1</formula>
    </cfRule>
  </conditionalFormatting>
  <conditionalFormatting sqref="BH53">
    <cfRule type="cellIs" dxfId="32231" priority="108383" stopIfTrue="1" operator="lessThan">
      <formula>0.5</formula>
    </cfRule>
  </conditionalFormatting>
  <conditionalFormatting sqref="BH53">
    <cfRule type="cellIs" dxfId="32230" priority="108384" stopIfTrue="1" operator="greaterThanOrEqual">
      <formula>0.5</formula>
    </cfRule>
  </conditionalFormatting>
  <conditionalFormatting sqref="BH54">
    <cfRule type="cellIs" dxfId="32229" priority="108385" stopIfTrue="1" operator="equal">
      <formula>-1</formula>
    </cfRule>
  </conditionalFormatting>
  <conditionalFormatting sqref="BH54">
    <cfRule type="cellIs" dxfId="32228" priority="108386" stopIfTrue="1" operator="lessThan">
      <formula>0.5</formula>
    </cfRule>
  </conditionalFormatting>
  <conditionalFormatting sqref="BH54">
    <cfRule type="cellIs" dxfId="32227" priority="108387" stopIfTrue="1" operator="greaterThanOrEqual">
      <formula>0.5</formula>
    </cfRule>
  </conditionalFormatting>
  <conditionalFormatting sqref="BH55">
    <cfRule type="cellIs" dxfId="32226" priority="108388" stopIfTrue="1" operator="equal">
      <formula>-1</formula>
    </cfRule>
  </conditionalFormatting>
  <conditionalFormatting sqref="BH55">
    <cfRule type="cellIs" dxfId="32225" priority="108389" stopIfTrue="1" operator="lessThan">
      <formula>0.5</formula>
    </cfRule>
  </conditionalFormatting>
  <conditionalFormatting sqref="BH55">
    <cfRule type="cellIs" dxfId="32224" priority="108390" stopIfTrue="1" operator="greaterThanOrEqual">
      <formula>0.5</formula>
    </cfRule>
  </conditionalFormatting>
  <conditionalFormatting sqref="BH56">
    <cfRule type="cellIs" dxfId="32223" priority="108391" stopIfTrue="1" operator="equal">
      <formula>-1</formula>
    </cfRule>
  </conditionalFormatting>
  <conditionalFormatting sqref="BH56">
    <cfRule type="cellIs" dxfId="32222" priority="108392" stopIfTrue="1" operator="lessThan">
      <formula>0.5</formula>
    </cfRule>
  </conditionalFormatting>
  <conditionalFormatting sqref="BH56">
    <cfRule type="cellIs" dxfId="32221" priority="108393" stopIfTrue="1" operator="greaterThanOrEqual">
      <formula>0.5</formula>
    </cfRule>
  </conditionalFormatting>
  <conditionalFormatting sqref="BH57">
    <cfRule type="cellIs" dxfId="32220" priority="108394" stopIfTrue="1" operator="equal">
      <formula>-1</formula>
    </cfRule>
  </conditionalFormatting>
  <conditionalFormatting sqref="BH57">
    <cfRule type="cellIs" dxfId="32219" priority="108395" stopIfTrue="1" operator="lessThan">
      <formula>0.5</formula>
    </cfRule>
  </conditionalFormatting>
  <conditionalFormatting sqref="BH57">
    <cfRule type="cellIs" dxfId="32218" priority="108396" stopIfTrue="1" operator="greaterThanOrEqual">
      <formula>0.5</formula>
    </cfRule>
  </conditionalFormatting>
  <conditionalFormatting sqref="BH58">
    <cfRule type="cellIs" dxfId="32217" priority="108397" stopIfTrue="1" operator="equal">
      <formula>-1</formula>
    </cfRule>
  </conditionalFormatting>
  <conditionalFormatting sqref="BH58">
    <cfRule type="cellIs" dxfId="32216" priority="108398" stopIfTrue="1" operator="lessThan">
      <formula>0.5</formula>
    </cfRule>
  </conditionalFormatting>
  <conditionalFormatting sqref="BH58">
    <cfRule type="cellIs" dxfId="32215" priority="108399" stopIfTrue="1" operator="greaterThanOrEqual">
      <formula>0.5</formula>
    </cfRule>
  </conditionalFormatting>
  <conditionalFormatting sqref="BJ39">
    <cfRule type="cellIs" dxfId="32214" priority="108400" stopIfTrue="1" operator="equal">
      <formula>-1</formula>
    </cfRule>
  </conditionalFormatting>
  <conditionalFormatting sqref="BJ39">
    <cfRule type="cellIs" dxfId="32213" priority="108401" stopIfTrue="1" operator="lessThan">
      <formula>0.5</formula>
    </cfRule>
  </conditionalFormatting>
  <conditionalFormatting sqref="BJ39">
    <cfRule type="cellIs" dxfId="32212" priority="108402" stopIfTrue="1" operator="greaterThanOrEqual">
      <formula>0.5</formula>
    </cfRule>
  </conditionalFormatting>
  <conditionalFormatting sqref="BJ40">
    <cfRule type="cellIs" dxfId="32211" priority="108403" stopIfTrue="1" operator="equal">
      <formula>-1</formula>
    </cfRule>
  </conditionalFormatting>
  <conditionalFormatting sqref="BJ40">
    <cfRule type="cellIs" dxfId="32210" priority="108404" stopIfTrue="1" operator="lessThan">
      <formula>0.5</formula>
    </cfRule>
  </conditionalFormatting>
  <conditionalFormatting sqref="BJ40">
    <cfRule type="cellIs" dxfId="32209" priority="108405" stopIfTrue="1" operator="greaterThanOrEqual">
      <formula>0.5</formula>
    </cfRule>
  </conditionalFormatting>
  <conditionalFormatting sqref="BJ41">
    <cfRule type="cellIs" dxfId="32208" priority="108406" stopIfTrue="1" operator="equal">
      <formula>-1</formula>
    </cfRule>
  </conditionalFormatting>
  <conditionalFormatting sqref="BJ41">
    <cfRule type="cellIs" dxfId="32207" priority="108407" stopIfTrue="1" operator="lessThan">
      <formula>0.5</formula>
    </cfRule>
  </conditionalFormatting>
  <conditionalFormatting sqref="BJ41">
    <cfRule type="cellIs" dxfId="32206" priority="108408" stopIfTrue="1" operator="greaterThanOrEqual">
      <formula>0.5</formula>
    </cfRule>
  </conditionalFormatting>
  <conditionalFormatting sqref="BJ42">
    <cfRule type="cellIs" dxfId="32205" priority="108409" stopIfTrue="1" operator="equal">
      <formula>-1</formula>
    </cfRule>
  </conditionalFormatting>
  <conditionalFormatting sqref="BJ42">
    <cfRule type="cellIs" dxfId="32204" priority="108410" stopIfTrue="1" operator="lessThan">
      <formula>0.5</formula>
    </cfRule>
  </conditionalFormatting>
  <conditionalFormatting sqref="BJ42">
    <cfRule type="cellIs" dxfId="32203" priority="108411" stopIfTrue="1" operator="greaterThanOrEqual">
      <formula>0.5</formula>
    </cfRule>
  </conditionalFormatting>
  <conditionalFormatting sqref="BJ43">
    <cfRule type="cellIs" dxfId="32202" priority="108412" stopIfTrue="1" operator="equal">
      <formula>-1</formula>
    </cfRule>
  </conditionalFormatting>
  <conditionalFormatting sqref="BJ43">
    <cfRule type="cellIs" dxfId="32201" priority="108413" stopIfTrue="1" operator="lessThan">
      <formula>0.5</formula>
    </cfRule>
  </conditionalFormatting>
  <conditionalFormatting sqref="BJ43">
    <cfRule type="cellIs" dxfId="32200" priority="108414" stopIfTrue="1" operator="greaterThanOrEqual">
      <formula>0.5</formula>
    </cfRule>
  </conditionalFormatting>
  <conditionalFormatting sqref="BJ44">
    <cfRule type="cellIs" dxfId="32199" priority="108415" stopIfTrue="1" operator="equal">
      <formula>-1</formula>
    </cfRule>
  </conditionalFormatting>
  <conditionalFormatting sqref="BJ44">
    <cfRule type="cellIs" dxfId="32198" priority="108416" stopIfTrue="1" operator="lessThan">
      <formula>0.5</formula>
    </cfRule>
  </conditionalFormatting>
  <conditionalFormatting sqref="BJ44">
    <cfRule type="cellIs" dxfId="32197" priority="108417" stopIfTrue="1" operator="greaterThanOrEqual">
      <formula>0.5</formula>
    </cfRule>
  </conditionalFormatting>
  <conditionalFormatting sqref="BJ45">
    <cfRule type="cellIs" dxfId="32196" priority="108418" stopIfTrue="1" operator="equal">
      <formula>-1</formula>
    </cfRule>
  </conditionalFormatting>
  <conditionalFormatting sqref="BJ45">
    <cfRule type="cellIs" dxfId="32195" priority="108419" stopIfTrue="1" operator="lessThan">
      <formula>0.5</formula>
    </cfRule>
  </conditionalFormatting>
  <conditionalFormatting sqref="BJ45">
    <cfRule type="cellIs" dxfId="32194" priority="108420" stopIfTrue="1" operator="greaterThanOrEqual">
      <formula>0.5</formula>
    </cfRule>
  </conditionalFormatting>
  <conditionalFormatting sqref="BJ46">
    <cfRule type="cellIs" dxfId="32193" priority="108421" stopIfTrue="1" operator="equal">
      <formula>-1</formula>
    </cfRule>
  </conditionalFormatting>
  <conditionalFormatting sqref="BJ46">
    <cfRule type="cellIs" dxfId="32192" priority="108422" stopIfTrue="1" operator="lessThan">
      <formula>0.5</formula>
    </cfRule>
  </conditionalFormatting>
  <conditionalFormatting sqref="BJ46">
    <cfRule type="cellIs" dxfId="32191" priority="108423" stopIfTrue="1" operator="greaterThanOrEqual">
      <formula>0.5</formula>
    </cfRule>
  </conditionalFormatting>
  <conditionalFormatting sqref="BJ47">
    <cfRule type="cellIs" dxfId="32190" priority="108424" stopIfTrue="1" operator="equal">
      <formula>-1</formula>
    </cfRule>
  </conditionalFormatting>
  <conditionalFormatting sqref="BJ47">
    <cfRule type="cellIs" dxfId="32189" priority="108425" stopIfTrue="1" operator="lessThan">
      <formula>0.5</formula>
    </cfRule>
  </conditionalFormatting>
  <conditionalFormatting sqref="BJ47">
    <cfRule type="cellIs" dxfId="32188" priority="108426" stopIfTrue="1" operator="greaterThanOrEqual">
      <formula>0.5</formula>
    </cfRule>
  </conditionalFormatting>
  <conditionalFormatting sqref="BJ48">
    <cfRule type="cellIs" dxfId="32187" priority="108427" stopIfTrue="1" operator="equal">
      <formula>-1</formula>
    </cfRule>
  </conditionalFormatting>
  <conditionalFormatting sqref="BJ48">
    <cfRule type="cellIs" dxfId="32186" priority="108428" stopIfTrue="1" operator="lessThan">
      <formula>0.5</formula>
    </cfRule>
  </conditionalFormatting>
  <conditionalFormatting sqref="BJ48">
    <cfRule type="cellIs" dxfId="32185" priority="108429" stopIfTrue="1" operator="greaterThanOrEqual">
      <formula>0.5</formula>
    </cfRule>
  </conditionalFormatting>
  <conditionalFormatting sqref="BJ49">
    <cfRule type="cellIs" dxfId="32184" priority="108430" stopIfTrue="1" operator="equal">
      <formula>-1</formula>
    </cfRule>
  </conditionalFormatting>
  <conditionalFormatting sqref="BJ49">
    <cfRule type="cellIs" dxfId="32183" priority="108431" stopIfTrue="1" operator="lessThan">
      <formula>0.5</formula>
    </cfRule>
  </conditionalFormatting>
  <conditionalFormatting sqref="BJ49">
    <cfRule type="cellIs" dxfId="32182" priority="108432" stopIfTrue="1" operator="greaterThanOrEqual">
      <formula>0.5</formula>
    </cfRule>
  </conditionalFormatting>
  <conditionalFormatting sqref="BJ50">
    <cfRule type="cellIs" dxfId="32181" priority="108433" stopIfTrue="1" operator="equal">
      <formula>-1</formula>
    </cfRule>
  </conditionalFormatting>
  <conditionalFormatting sqref="BJ50">
    <cfRule type="cellIs" dxfId="32180" priority="108434" stopIfTrue="1" operator="lessThan">
      <formula>0.5</formula>
    </cfRule>
  </conditionalFormatting>
  <conditionalFormatting sqref="BJ50">
    <cfRule type="cellIs" dxfId="32179" priority="108435" stopIfTrue="1" operator="greaterThanOrEqual">
      <formula>0.5</formula>
    </cfRule>
  </conditionalFormatting>
  <conditionalFormatting sqref="BJ51">
    <cfRule type="cellIs" dxfId="32178" priority="108436" stopIfTrue="1" operator="equal">
      <formula>-1</formula>
    </cfRule>
  </conditionalFormatting>
  <conditionalFormatting sqref="BJ51">
    <cfRule type="cellIs" dxfId="32177" priority="108437" stopIfTrue="1" operator="lessThan">
      <formula>0.5</formula>
    </cfRule>
  </conditionalFormatting>
  <conditionalFormatting sqref="BJ51">
    <cfRule type="cellIs" dxfId="32176" priority="108438" stopIfTrue="1" operator="greaterThanOrEqual">
      <formula>0.5</formula>
    </cfRule>
  </conditionalFormatting>
  <conditionalFormatting sqref="BJ52">
    <cfRule type="cellIs" dxfId="32175" priority="108439" stopIfTrue="1" operator="equal">
      <formula>-1</formula>
    </cfRule>
  </conditionalFormatting>
  <conditionalFormatting sqref="BJ52">
    <cfRule type="cellIs" dxfId="32174" priority="108440" stopIfTrue="1" operator="lessThan">
      <formula>0.5</formula>
    </cfRule>
  </conditionalFormatting>
  <conditionalFormatting sqref="BJ52">
    <cfRule type="cellIs" dxfId="32173" priority="108441" stopIfTrue="1" operator="greaterThanOrEqual">
      <formula>0.5</formula>
    </cfRule>
  </conditionalFormatting>
  <conditionalFormatting sqref="BJ53">
    <cfRule type="cellIs" dxfId="32172" priority="108442" stopIfTrue="1" operator="equal">
      <formula>-1</formula>
    </cfRule>
  </conditionalFormatting>
  <conditionalFormatting sqref="BJ53">
    <cfRule type="cellIs" dxfId="32171" priority="108443" stopIfTrue="1" operator="lessThan">
      <formula>0.5</formula>
    </cfRule>
  </conditionalFormatting>
  <conditionalFormatting sqref="BJ53">
    <cfRule type="cellIs" dxfId="32170" priority="108444" stopIfTrue="1" operator="greaterThanOrEqual">
      <formula>0.5</formula>
    </cfRule>
  </conditionalFormatting>
  <conditionalFormatting sqref="BJ54">
    <cfRule type="cellIs" dxfId="32169" priority="108445" stopIfTrue="1" operator="equal">
      <formula>-1</formula>
    </cfRule>
  </conditionalFormatting>
  <conditionalFormatting sqref="BJ54">
    <cfRule type="cellIs" dxfId="32168" priority="108446" stopIfTrue="1" operator="lessThan">
      <formula>0.5</formula>
    </cfRule>
  </conditionalFormatting>
  <conditionalFormatting sqref="BJ54">
    <cfRule type="cellIs" dxfId="32167" priority="108447" stopIfTrue="1" operator="greaterThanOrEqual">
      <formula>0.5</formula>
    </cfRule>
  </conditionalFormatting>
  <conditionalFormatting sqref="BJ55">
    <cfRule type="cellIs" dxfId="32166" priority="108448" stopIfTrue="1" operator="equal">
      <formula>-1</formula>
    </cfRule>
  </conditionalFormatting>
  <conditionalFormatting sqref="BJ55">
    <cfRule type="cellIs" dxfId="32165" priority="108449" stopIfTrue="1" operator="lessThan">
      <formula>0.5</formula>
    </cfRule>
  </conditionalFormatting>
  <conditionalFormatting sqref="BJ55">
    <cfRule type="cellIs" dxfId="32164" priority="108450" stopIfTrue="1" operator="greaterThanOrEqual">
      <formula>0.5</formula>
    </cfRule>
  </conditionalFormatting>
  <conditionalFormatting sqref="BJ56">
    <cfRule type="cellIs" dxfId="32163" priority="108451" stopIfTrue="1" operator="equal">
      <formula>-1</formula>
    </cfRule>
  </conditionalFormatting>
  <conditionalFormatting sqref="BJ56">
    <cfRule type="cellIs" dxfId="32162" priority="108452" stopIfTrue="1" operator="lessThan">
      <formula>0.5</formula>
    </cfRule>
  </conditionalFormatting>
  <conditionalFormatting sqref="BJ56">
    <cfRule type="cellIs" dxfId="32161" priority="108453" stopIfTrue="1" operator="greaterThanOrEqual">
      <formula>0.5</formula>
    </cfRule>
  </conditionalFormatting>
  <conditionalFormatting sqref="BJ57">
    <cfRule type="cellIs" dxfId="32160" priority="108454" stopIfTrue="1" operator="equal">
      <formula>-1</formula>
    </cfRule>
  </conditionalFormatting>
  <conditionalFormatting sqref="BJ57">
    <cfRule type="cellIs" dxfId="32159" priority="108455" stopIfTrue="1" operator="lessThan">
      <formula>0.5</formula>
    </cfRule>
  </conditionalFormatting>
  <conditionalFormatting sqref="BJ57">
    <cfRule type="cellIs" dxfId="32158" priority="108456" stopIfTrue="1" operator="greaterThanOrEqual">
      <formula>0.5</formula>
    </cfRule>
  </conditionalFormatting>
  <conditionalFormatting sqref="BJ58">
    <cfRule type="cellIs" dxfId="32157" priority="108457" stopIfTrue="1" operator="equal">
      <formula>-1</formula>
    </cfRule>
  </conditionalFormatting>
  <conditionalFormatting sqref="BJ58">
    <cfRule type="cellIs" dxfId="32156" priority="108458" stopIfTrue="1" operator="lessThan">
      <formula>0.5</formula>
    </cfRule>
  </conditionalFormatting>
  <conditionalFormatting sqref="BJ58">
    <cfRule type="cellIs" dxfId="32155" priority="108459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F8F1A-0714-4D48-AA02-3A1460FC9DC0}">
  <sheetPr codeName="Sheet7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59" t="str" cm="1">
        <f t="array" ref="A1">[1]!GRUPO</f>
        <v>2º Bach.</v>
      </c>
      <c r="B1" s="64" t="s">
        <v>101</v>
      </c>
      <c r="C1" s="61">
        <v>1</v>
      </c>
      <c r="D1" s="61"/>
      <c r="E1" s="61">
        <v>2</v>
      </c>
      <c r="F1" s="61" t="s">
        <v>0</v>
      </c>
      <c r="G1" s="61">
        <v>3</v>
      </c>
      <c r="H1" s="61" t="s">
        <v>0</v>
      </c>
      <c r="I1" s="61">
        <v>4</v>
      </c>
      <c r="J1" s="61" t="s">
        <v>0</v>
      </c>
      <c r="K1" s="61">
        <v>5</v>
      </c>
      <c r="L1" s="61" t="s">
        <v>0</v>
      </c>
      <c r="M1" s="61">
        <v>6</v>
      </c>
      <c r="N1" s="61" t="s">
        <v>0</v>
      </c>
      <c r="O1" s="61">
        <v>7</v>
      </c>
      <c r="P1" s="61" t="s">
        <v>0</v>
      </c>
      <c r="Q1" s="61">
        <v>8</v>
      </c>
      <c r="R1" s="61" t="s">
        <v>0</v>
      </c>
      <c r="S1" s="61">
        <v>9</v>
      </c>
      <c r="T1" s="61" t="s">
        <v>0</v>
      </c>
      <c r="U1" s="61">
        <v>10</v>
      </c>
      <c r="V1" s="61" t="s">
        <v>0</v>
      </c>
      <c r="W1" s="61">
        <v>11</v>
      </c>
      <c r="X1" s="61" t="s">
        <v>0</v>
      </c>
      <c r="Y1" s="61">
        <v>12</v>
      </c>
      <c r="Z1" s="61" t="s">
        <v>1</v>
      </c>
      <c r="AA1" s="61">
        <v>13</v>
      </c>
      <c r="AB1" s="61" t="s">
        <v>0</v>
      </c>
      <c r="AC1" s="61">
        <v>14</v>
      </c>
      <c r="AD1" s="61" t="s">
        <v>0</v>
      </c>
      <c r="AE1" s="61">
        <v>15</v>
      </c>
      <c r="AF1" s="61" t="s">
        <v>0</v>
      </c>
      <c r="AG1" s="61">
        <v>16</v>
      </c>
      <c r="AH1" s="61" t="s">
        <v>0</v>
      </c>
      <c r="AI1" s="61">
        <v>17</v>
      </c>
      <c r="AJ1" s="61"/>
      <c r="AK1" s="61">
        <v>18</v>
      </c>
      <c r="AL1" s="61"/>
      <c r="AM1" s="61">
        <v>19</v>
      </c>
      <c r="AN1" s="61"/>
      <c r="AO1" s="61">
        <v>20</v>
      </c>
      <c r="AP1" s="61" t="s">
        <v>0</v>
      </c>
      <c r="AQ1" s="61">
        <v>21</v>
      </c>
      <c r="AR1" s="61"/>
      <c r="AS1" s="61">
        <v>22</v>
      </c>
      <c r="AT1" s="61" t="s">
        <v>0</v>
      </c>
      <c r="AU1" s="61">
        <v>23</v>
      </c>
      <c r="AV1" s="61" t="s">
        <v>0</v>
      </c>
      <c r="AW1" s="61">
        <v>24</v>
      </c>
      <c r="AX1" s="61"/>
      <c r="AY1" s="61">
        <v>25</v>
      </c>
      <c r="AZ1" s="61"/>
      <c r="BA1" s="61">
        <v>26</v>
      </c>
      <c r="BB1" s="61"/>
      <c r="BC1" s="61">
        <v>27</v>
      </c>
      <c r="BD1" s="61"/>
      <c r="BE1" s="61">
        <v>28</v>
      </c>
      <c r="BF1" s="61"/>
      <c r="BG1" s="61">
        <v>29</v>
      </c>
      <c r="BH1" s="61"/>
      <c r="BI1" s="61">
        <v>30</v>
      </c>
      <c r="BJ1" s="61"/>
    </row>
    <row r="2" spans="1:62" ht="115" customHeight="1" x14ac:dyDescent="0.2">
      <c r="A2" s="59"/>
      <c r="B2" s="65"/>
      <c r="C2" s="60" t="str">
        <f>[1]Examen11!C$2</f>
        <v>Alma Casa, Mario</v>
      </c>
      <c r="D2" s="60"/>
      <c r="E2" s="60" t="str">
        <f>[1]Examen11!E$2</f>
        <v>Amado Luz, Martín</v>
      </c>
      <c r="F2" s="60"/>
      <c r="G2" s="60" t="str">
        <f>[1]Examen11!G$2</f>
        <v>Bonete Cune, Carla</v>
      </c>
      <c r="H2" s="60"/>
      <c r="I2" s="60" t="str">
        <f>[1]Examen11!I$2</f>
        <v>Casado Marín, María</v>
      </c>
      <c r="J2" s="60"/>
      <c r="K2" s="60" t="str">
        <f>[1]Examen11!K$2</f>
        <v>Concepción García, Elena</v>
      </c>
      <c r="L2" s="60"/>
      <c r="M2" s="60" t="str">
        <f>[1]Examen11!M$2</f>
        <v>Díaz Lucas, Ricardo</v>
      </c>
      <c r="N2" s="60"/>
      <c r="O2" s="60" t="str">
        <f>[1]Examen11!O$2</f>
        <v>Díaz Ríos, Lucía</v>
      </c>
      <c r="P2" s="60"/>
      <c r="Q2" s="60" t="str">
        <f>[1]Examen11!Q$2</f>
        <v>García López, Juan Ángel</v>
      </c>
      <c r="R2" s="60"/>
      <c r="S2" s="60" t="str">
        <f>[1]Examen11!S$2</f>
        <v>García Pérez, Luis</v>
      </c>
      <c r="T2" s="60"/>
      <c r="U2" s="60" t="str">
        <f>[1]Examen11!U$2</f>
        <v>Garijo Piqueras, María</v>
      </c>
      <c r="V2" s="60"/>
      <c r="W2" s="60" t="str">
        <f>[1]Examen11!W$2</f>
        <v>Gómez Luna, José</v>
      </c>
      <c r="X2" s="60"/>
      <c r="Y2" s="60" t="str">
        <f>[1]Examen11!Y$2</f>
        <v>González García, Juan</v>
      </c>
      <c r="Z2" s="60"/>
      <c r="AA2" s="60" t="str">
        <f>[1]Examen11!AA$2</f>
        <v>González Pérez, María</v>
      </c>
      <c r="AB2" s="60"/>
      <c r="AC2" s="60" t="str">
        <f>[1]Examen11!AC$2</f>
        <v>Laín Hernández, Luisa</v>
      </c>
      <c r="AD2" s="60"/>
      <c r="AE2" s="60" t="str">
        <f>[1]Examen11!AE$2</f>
        <v>Lirios Lara, Juan</v>
      </c>
      <c r="AF2" s="60"/>
      <c r="AG2" s="60" t="str">
        <f>[1]Examen11!AG$2</f>
        <v>López Picazo, Marta</v>
      </c>
      <c r="AH2" s="60"/>
      <c r="AI2" s="60" t="str">
        <f>[1]Examen11!AI$2</f>
        <v>Molina Pérez, Marina</v>
      </c>
      <c r="AJ2" s="60"/>
      <c r="AK2" s="60" t="str">
        <f>[1]Examen11!AK$2</f>
        <v>Molina Sánchez, Inmaculada</v>
      </c>
      <c r="AL2" s="60"/>
      <c r="AM2" s="60" t="str">
        <f>[1]Examen11!AM$2</f>
        <v>Montero Pacheco, Pablo</v>
      </c>
      <c r="AN2" s="60"/>
      <c r="AO2" s="60" t="str">
        <f>[1]Examen11!AO$2</f>
        <v>Mora García, Javier</v>
      </c>
      <c r="AP2" s="60"/>
      <c r="AQ2" s="60" t="str">
        <f>[1]Examen11!AQ$2</f>
        <v>Morcillo Pared, Luna</v>
      </c>
      <c r="AR2" s="60"/>
      <c r="AS2" s="60" t="str">
        <f>[1]Examen11!AS$2</f>
        <v>Moreno Hernández, Francisco</v>
      </c>
      <c r="AT2" s="60"/>
      <c r="AU2" s="60" t="str">
        <f>[1]Examen11!AU$2</f>
        <v>Muñoz Garijo, Pablo</v>
      </c>
      <c r="AV2" s="60"/>
      <c r="AW2" s="60" t="str">
        <f>[1]Examen11!AW$2</f>
        <v>Pérez Garrido, Francisco</v>
      </c>
      <c r="AX2" s="60"/>
      <c r="AY2" s="60" t="str">
        <f>[1]Examen11!AY$2</f>
        <v>Serna Serna, Susana</v>
      </c>
      <c r="AZ2" s="60"/>
      <c r="BA2" s="60" t="str">
        <f>[1]Examen11!BA$2</f>
        <v>Soriano Tornero, Manuel</v>
      </c>
      <c r="BB2" s="60"/>
      <c r="BC2" s="60" t="str">
        <f>[1]Examen11!BC$2</f>
        <v>Zarza Parrilla, Manuel</v>
      </c>
      <c r="BD2" s="60"/>
      <c r="BE2" s="60" t="str">
        <f>[1]Examen11!BE$2</f>
        <v/>
      </c>
      <c r="BF2" s="60"/>
      <c r="BG2" s="60" t="str">
        <f>[1]Examen11!BG$2</f>
        <v/>
      </c>
      <c r="BH2" s="60"/>
      <c r="BI2" s="60" t="str">
        <f>[1]Examen11!BI$2</f>
        <v/>
      </c>
      <c r="BJ2" s="60"/>
    </row>
    <row r="3" spans="1:62" ht="33" customHeight="1" x14ac:dyDescent="0.2">
      <c r="A3" s="29" t="str" cm="1">
        <f t="array" ref="A3">[1]!VERSION</f>
        <v>Versión 1.1</v>
      </c>
      <c r="B3" s="9" t="str">
        <f>IF((B4+B7+B16+B38)=1,"Ok","Error % Bloques")</f>
        <v>Ok</v>
      </c>
      <c r="C3" s="53">
        <f>SUM(C4,C7,C16,C38)</f>
        <v>0</v>
      </c>
      <c r="D3" s="54"/>
      <c r="E3" s="53">
        <f t="shared" ref="E3" si="0">SUM(E4,E7,E16,E38)</f>
        <v>0</v>
      </c>
      <c r="F3" s="54"/>
      <c r="G3" s="53">
        <f t="shared" ref="G3" si="1">SUM(G4,G7,G16,G38)</f>
        <v>0</v>
      </c>
      <c r="H3" s="54"/>
      <c r="I3" s="53">
        <f t="shared" ref="I3" si="2">SUM(I4,I7,I16,I38)</f>
        <v>0</v>
      </c>
      <c r="J3" s="54"/>
      <c r="K3" s="53">
        <f t="shared" ref="K3" si="3">SUM(K4,K7,K16,K38)</f>
        <v>0</v>
      </c>
      <c r="L3" s="54"/>
      <c r="M3" s="53">
        <f t="shared" ref="M3" si="4">SUM(M4,M7,M16,M38)</f>
        <v>0</v>
      </c>
      <c r="N3" s="54"/>
      <c r="O3" s="53">
        <f t="shared" ref="O3" si="5">SUM(O4,O7,O16,O38)</f>
        <v>0</v>
      </c>
      <c r="P3" s="54"/>
      <c r="Q3" s="53">
        <f t="shared" ref="Q3" si="6">SUM(Q4,Q7,Q16,Q38)</f>
        <v>0</v>
      </c>
      <c r="R3" s="54"/>
      <c r="S3" s="53">
        <f t="shared" ref="S3" si="7">SUM(S4,S7,S16,S38)</f>
        <v>0</v>
      </c>
      <c r="T3" s="54"/>
      <c r="U3" s="53">
        <f t="shared" ref="U3" si="8">SUM(U4,U7,U16,U38)</f>
        <v>0</v>
      </c>
      <c r="V3" s="54"/>
      <c r="W3" s="53">
        <f t="shared" ref="W3" si="9">SUM(W4,W7,W16,W38)</f>
        <v>0</v>
      </c>
      <c r="X3" s="54"/>
      <c r="Y3" s="53">
        <f t="shared" ref="Y3" si="10">SUM(Y4,Y7,Y16,Y38)</f>
        <v>0</v>
      </c>
      <c r="Z3" s="54"/>
      <c r="AA3" s="53">
        <f t="shared" ref="AA3" si="11">SUM(AA4,AA7,AA16,AA38)</f>
        <v>0</v>
      </c>
      <c r="AB3" s="54"/>
      <c r="AC3" s="53">
        <f t="shared" ref="AC3" si="12">SUM(AC4,AC7,AC16,AC38)</f>
        <v>0</v>
      </c>
      <c r="AD3" s="54"/>
      <c r="AE3" s="53">
        <f t="shared" ref="AE3" si="13">SUM(AE4,AE7,AE16,AE38)</f>
        <v>0</v>
      </c>
      <c r="AF3" s="54"/>
      <c r="AG3" s="53">
        <f t="shared" ref="AG3" si="14">SUM(AG4,AG7,AG16,AG38)</f>
        <v>0</v>
      </c>
      <c r="AH3" s="54"/>
      <c r="AI3" s="53">
        <f t="shared" ref="AI3" si="15">SUM(AI4,AI7,AI16,AI38)</f>
        <v>0</v>
      </c>
      <c r="AJ3" s="54"/>
      <c r="AK3" s="53">
        <f t="shared" ref="AK3" si="16">SUM(AK4,AK7,AK16,AK38)</f>
        <v>0</v>
      </c>
      <c r="AL3" s="54"/>
      <c r="AM3" s="53">
        <f t="shared" ref="AM3" si="17">SUM(AM4,AM7,AM16,AM38)</f>
        <v>0</v>
      </c>
      <c r="AN3" s="54"/>
      <c r="AO3" s="53">
        <f t="shared" ref="AO3" si="18">SUM(AO4,AO7,AO16,AO38)</f>
        <v>0</v>
      </c>
      <c r="AP3" s="54"/>
      <c r="AQ3" s="53">
        <f t="shared" ref="AQ3" si="19">SUM(AQ4,AQ7,AQ16,AQ38)</f>
        <v>0</v>
      </c>
      <c r="AR3" s="54"/>
      <c r="AS3" s="53">
        <f t="shared" ref="AS3" si="20">SUM(AS4,AS7,AS16,AS38)</f>
        <v>0</v>
      </c>
      <c r="AT3" s="54"/>
      <c r="AU3" s="53">
        <f t="shared" ref="AU3" si="21">SUM(AU4,AU7,AU16,AU38)</f>
        <v>0</v>
      </c>
      <c r="AV3" s="54"/>
      <c r="AW3" s="53">
        <f t="shared" ref="AW3" si="22">SUM(AW4,AW7,AW16,AW38)</f>
        <v>0</v>
      </c>
      <c r="AX3" s="54"/>
      <c r="AY3" s="53">
        <f t="shared" ref="AY3" si="23">SUM(AY4,AY7,AY16,AY38)</f>
        <v>0</v>
      </c>
      <c r="AZ3" s="54"/>
      <c r="BA3" s="53">
        <f t="shared" ref="BA3" si="24">SUM(BA4,BA7,BA16,BA38)</f>
        <v>0</v>
      </c>
      <c r="BB3" s="54"/>
      <c r="BC3" s="53">
        <f t="shared" ref="BC3" si="25">SUM(BC4,BC7,BC16,BC38)</f>
        <v>0</v>
      </c>
      <c r="BD3" s="54"/>
      <c r="BE3" s="53">
        <f t="shared" ref="BE3" si="26">SUM(BE4,BE7,BE16,BE38)</f>
        <v>0</v>
      </c>
      <c r="BF3" s="54"/>
      <c r="BG3" s="53">
        <f t="shared" ref="BG3" si="27">SUM(BG4,BG7,BG16,BG38)</f>
        <v>0</v>
      </c>
      <c r="BH3" s="54"/>
      <c r="BI3" s="53">
        <f t="shared" ref="BI3" si="28">SUM(BI4,BI7,BI16,BI38)</f>
        <v>0</v>
      </c>
      <c r="BJ3" s="54"/>
    </row>
    <row r="4" spans="1:62" ht="38" x14ac:dyDescent="0.2">
      <c r="A4" s="6" t="s">
        <v>2</v>
      </c>
      <c r="B4" s="7">
        <f>Estructura!C2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3">
        <f>Segunda!B5</f>
        <v>0</v>
      </c>
      <c r="C5" s="31">
        <f>Segunda!C5</f>
        <v>0</v>
      </c>
      <c r="D5" s="32">
        <f>IF($B5,C5/$B5,-1)</f>
        <v>-1</v>
      </c>
      <c r="E5" s="31">
        <f>Segunda!E5</f>
        <v>0</v>
      </c>
      <c r="F5" s="32">
        <f>IF($B5,E5/$B5,-1)</f>
        <v>-1</v>
      </c>
      <c r="G5" s="31">
        <f>Segunda!G5</f>
        <v>0</v>
      </c>
      <c r="H5" s="32">
        <f>IF($B5,G5/$B5,-1)</f>
        <v>-1</v>
      </c>
      <c r="I5" s="31">
        <f>Segunda!I5</f>
        <v>0</v>
      </c>
      <c r="J5" s="32">
        <f>IF($B5,I5/$B5,-1)</f>
        <v>-1</v>
      </c>
      <c r="K5" s="31">
        <f>Segunda!K5</f>
        <v>0</v>
      </c>
      <c r="L5" s="32">
        <f>IF($B5,K5/$B5,-1)</f>
        <v>-1</v>
      </c>
      <c r="M5" s="31">
        <f>Segunda!M5</f>
        <v>0</v>
      </c>
      <c r="N5" s="32">
        <f>IF($B5,M5/$B5,-1)</f>
        <v>-1</v>
      </c>
      <c r="O5" s="31">
        <f>Segunda!O5</f>
        <v>0</v>
      </c>
      <c r="P5" s="32">
        <f>IF($B5,O5/$B5,-1)</f>
        <v>-1</v>
      </c>
      <c r="Q5" s="31">
        <f>Segunda!Q5</f>
        <v>0</v>
      </c>
      <c r="R5" s="32">
        <f>IF($B5,Q5/$B5,-1)</f>
        <v>-1</v>
      </c>
      <c r="S5" s="31">
        <f>Segunda!S5</f>
        <v>0</v>
      </c>
      <c r="T5" s="32">
        <f>IF($B5,S5/$B5,-1)</f>
        <v>-1</v>
      </c>
      <c r="U5" s="31">
        <f>Segunda!U5</f>
        <v>0</v>
      </c>
      <c r="V5" s="32">
        <f>IF($B5,U5/$B5,-1)</f>
        <v>-1</v>
      </c>
      <c r="W5" s="31">
        <f>Segunda!W5</f>
        <v>0</v>
      </c>
      <c r="X5" s="32">
        <f>IF($B5,W5/$B5,-1)</f>
        <v>-1</v>
      </c>
      <c r="Y5" s="31">
        <f>Segunda!Y5</f>
        <v>0</v>
      </c>
      <c r="Z5" s="32">
        <f>IF($B5,Y5/$B5,-1)</f>
        <v>-1</v>
      </c>
      <c r="AA5" s="31">
        <f>Segunda!AA5</f>
        <v>0</v>
      </c>
      <c r="AB5" s="32">
        <f>IF($B5,AA5/$B5,-1)</f>
        <v>-1</v>
      </c>
      <c r="AC5" s="31">
        <f>Segunda!AC5</f>
        <v>0</v>
      </c>
      <c r="AD5" s="32">
        <f>IF($B5,AC5/$B5,-1)</f>
        <v>-1</v>
      </c>
      <c r="AE5" s="31">
        <f>Segunda!AE5</f>
        <v>0</v>
      </c>
      <c r="AF5" s="32">
        <f>IF($B5,AE5/$B5,-1)</f>
        <v>-1</v>
      </c>
      <c r="AG5" s="31">
        <f>Segunda!AG5</f>
        <v>0</v>
      </c>
      <c r="AH5" s="32">
        <f>IF($B5,AG5/$B5,-1)</f>
        <v>-1</v>
      </c>
      <c r="AI5" s="31">
        <f>Segunda!AI5</f>
        <v>0</v>
      </c>
      <c r="AJ5" s="32">
        <f>IF($B5,AI5/$B5,-1)</f>
        <v>-1</v>
      </c>
      <c r="AK5" s="31">
        <f>Segunda!AK5</f>
        <v>0</v>
      </c>
      <c r="AL5" s="32">
        <f>IF($B5,AK5/$B5,-1)</f>
        <v>-1</v>
      </c>
      <c r="AM5" s="31">
        <f>Segunda!AM5</f>
        <v>0</v>
      </c>
      <c r="AN5" s="32">
        <f>IF($B5,AM5/$B5,-1)</f>
        <v>-1</v>
      </c>
      <c r="AO5" s="31">
        <f>Segunda!AO5</f>
        <v>0</v>
      </c>
      <c r="AP5" s="32">
        <f>IF($B5,AO5/$B5,-1)</f>
        <v>-1</v>
      </c>
      <c r="AQ5" s="31">
        <f>Segunda!AQ5</f>
        <v>0</v>
      </c>
      <c r="AR5" s="32">
        <f>IF($B5,AQ5/$B5,-1)</f>
        <v>-1</v>
      </c>
      <c r="AS5" s="31">
        <f>Segunda!AS5</f>
        <v>0</v>
      </c>
      <c r="AT5" s="32">
        <f>IF($B5,AS5/$B5,-1)</f>
        <v>-1</v>
      </c>
      <c r="AU5" s="31">
        <f>Segunda!AU5</f>
        <v>0</v>
      </c>
      <c r="AV5" s="32">
        <f>IF($B5,AU5/$B5,-1)</f>
        <v>-1</v>
      </c>
      <c r="AW5" s="31">
        <f>Segunda!AW5</f>
        <v>0</v>
      </c>
      <c r="AX5" s="32">
        <f>IF($B5,AW5/$B5,-1)</f>
        <v>-1</v>
      </c>
      <c r="AY5" s="31">
        <f>Segunda!AY5</f>
        <v>0</v>
      </c>
      <c r="AZ5" s="32">
        <f>IF($B5,AY5/$B5,-1)</f>
        <v>-1</v>
      </c>
      <c r="BA5" s="31">
        <f>Segunda!BA5</f>
        <v>0</v>
      </c>
      <c r="BB5" s="32">
        <f>IF($B5,BA5/$B5,-1)</f>
        <v>-1</v>
      </c>
      <c r="BC5" s="31">
        <f>Segunda!BC5</f>
        <v>0</v>
      </c>
      <c r="BD5" s="32">
        <f>IF($B5,BC5/$B5,-1)</f>
        <v>-1</v>
      </c>
      <c r="BE5" s="31">
        <f>Segunda!BE5</f>
        <v>0</v>
      </c>
      <c r="BF5" s="32">
        <f>IF($B5,BE5/$B5,-1)</f>
        <v>-1</v>
      </c>
      <c r="BG5" s="31">
        <f>Segunda!BG5</f>
        <v>0</v>
      </c>
      <c r="BH5" s="32">
        <f>IF($B5,BG5/$B5,-1)</f>
        <v>-1</v>
      </c>
      <c r="BI5" s="31">
        <f>Segunda!BI5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Segunda!B6</f>
        <v>0</v>
      </c>
      <c r="C6" s="31">
        <f>Segunda!C6</f>
        <v>0</v>
      </c>
      <c r="D6" s="32">
        <f>IF($B6,C6/$B6,-1)</f>
        <v>-1</v>
      </c>
      <c r="E6" s="31">
        <f>Segunda!E6</f>
        <v>0</v>
      </c>
      <c r="F6" s="32">
        <f>IF($B6,E6/$B6,-1)</f>
        <v>-1</v>
      </c>
      <c r="G6" s="31">
        <f>Segunda!G6</f>
        <v>0</v>
      </c>
      <c r="H6" s="32">
        <f>IF($B6,G6/$B6,-1)</f>
        <v>-1</v>
      </c>
      <c r="I6" s="31">
        <f>Segunda!I6</f>
        <v>0</v>
      </c>
      <c r="J6" s="32">
        <f>IF($B6,I6/$B6,-1)</f>
        <v>-1</v>
      </c>
      <c r="K6" s="31">
        <f>Segunda!K6</f>
        <v>0</v>
      </c>
      <c r="L6" s="32">
        <f>IF($B6,K6/$B6,-1)</f>
        <v>-1</v>
      </c>
      <c r="M6" s="31">
        <f>Segunda!M6</f>
        <v>0</v>
      </c>
      <c r="N6" s="32">
        <f>IF($B6,M6/$B6,-1)</f>
        <v>-1</v>
      </c>
      <c r="O6" s="31">
        <f>Segunda!O6</f>
        <v>0</v>
      </c>
      <c r="P6" s="32">
        <f>IF($B6,O6/$B6,-1)</f>
        <v>-1</v>
      </c>
      <c r="Q6" s="31">
        <f>Segunda!Q6</f>
        <v>0</v>
      </c>
      <c r="R6" s="32">
        <f>IF($B6,Q6/$B6,-1)</f>
        <v>-1</v>
      </c>
      <c r="S6" s="31">
        <f>Segunda!S6</f>
        <v>0</v>
      </c>
      <c r="T6" s="32">
        <f>IF($B6,S6/$B6,-1)</f>
        <v>-1</v>
      </c>
      <c r="U6" s="31">
        <f>Segunda!U6</f>
        <v>0</v>
      </c>
      <c r="V6" s="32">
        <f>IF($B6,U6/$B6,-1)</f>
        <v>-1</v>
      </c>
      <c r="W6" s="31">
        <f>Segunda!W6</f>
        <v>0</v>
      </c>
      <c r="X6" s="32">
        <f>IF($B6,W6/$B6,-1)</f>
        <v>-1</v>
      </c>
      <c r="Y6" s="31">
        <f>Segunda!Y6</f>
        <v>0</v>
      </c>
      <c r="Z6" s="32">
        <f>IF($B6,Y6/$B6,-1)</f>
        <v>-1</v>
      </c>
      <c r="AA6" s="31">
        <f>Segunda!AA6</f>
        <v>0</v>
      </c>
      <c r="AB6" s="32">
        <f>IF($B6,AA6/$B6,-1)</f>
        <v>-1</v>
      </c>
      <c r="AC6" s="31">
        <f>Segunda!AC6</f>
        <v>0</v>
      </c>
      <c r="AD6" s="32">
        <f>IF($B6,AC6/$B6,-1)</f>
        <v>-1</v>
      </c>
      <c r="AE6" s="31">
        <f>Segunda!AE6</f>
        <v>0</v>
      </c>
      <c r="AF6" s="32">
        <f>IF($B6,AE6/$B6,-1)</f>
        <v>-1</v>
      </c>
      <c r="AG6" s="31">
        <f>Segunda!AG6</f>
        <v>0</v>
      </c>
      <c r="AH6" s="32">
        <f>IF($B6,AG6/$B6,-1)</f>
        <v>-1</v>
      </c>
      <c r="AI6" s="31">
        <f>Segunda!AI6</f>
        <v>0</v>
      </c>
      <c r="AJ6" s="32">
        <f>IF($B6,AI6/$B6,-1)</f>
        <v>-1</v>
      </c>
      <c r="AK6" s="31">
        <f>Segunda!AK6</f>
        <v>0</v>
      </c>
      <c r="AL6" s="32">
        <f>IF($B6,AK6/$B6,-1)</f>
        <v>-1</v>
      </c>
      <c r="AM6" s="31">
        <f>Segunda!AM6</f>
        <v>0</v>
      </c>
      <c r="AN6" s="32">
        <f>IF($B6,AM6/$B6,-1)</f>
        <v>-1</v>
      </c>
      <c r="AO6" s="31">
        <f>Segunda!AO6</f>
        <v>0</v>
      </c>
      <c r="AP6" s="32">
        <f>IF($B6,AO6/$B6,-1)</f>
        <v>-1</v>
      </c>
      <c r="AQ6" s="31">
        <f>Segunda!AQ6</f>
        <v>0</v>
      </c>
      <c r="AR6" s="32">
        <f>IF($B6,AQ6/$B6,-1)</f>
        <v>-1</v>
      </c>
      <c r="AS6" s="31">
        <f>Segunda!AS6</f>
        <v>0</v>
      </c>
      <c r="AT6" s="32">
        <f>IF($B6,AS6/$B6,-1)</f>
        <v>-1</v>
      </c>
      <c r="AU6" s="31">
        <f>Segunda!AU6</f>
        <v>0</v>
      </c>
      <c r="AV6" s="32">
        <f>IF($B6,AU6/$B6,-1)</f>
        <v>-1</v>
      </c>
      <c r="AW6" s="31">
        <f>Segunda!AW6</f>
        <v>0</v>
      </c>
      <c r="AX6" s="32">
        <f>IF($B6,AW6/$B6,-1)</f>
        <v>-1</v>
      </c>
      <c r="AY6" s="31">
        <f>Segunda!AY6</f>
        <v>0</v>
      </c>
      <c r="AZ6" s="32">
        <f>IF($B6,AY6/$B6,-1)</f>
        <v>-1</v>
      </c>
      <c r="BA6" s="31">
        <f>Segunda!BA6</f>
        <v>0</v>
      </c>
      <c r="BB6" s="32">
        <f>IF($B6,BA6/$B6,-1)</f>
        <v>-1</v>
      </c>
      <c r="BC6" s="31">
        <f>Segunda!BC6</f>
        <v>0</v>
      </c>
      <c r="BD6" s="32">
        <f>IF($B6,BC6/$B6,-1)</f>
        <v>-1</v>
      </c>
      <c r="BE6" s="31">
        <f>Segunda!BE6</f>
        <v>0</v>
      </c>
      <c r="BF6" s="32">
        <f>IF($B6,BE6/$B6,-1)</f>
        <v>-1</v>
      </c>
      <c r="BG6" s="31">
        <f>Segunda!BG6</f>
        <v>0</v>
      </c>
      <c r="BH6" s="32">
        <f>IF($B6,BG6/$B6,-1)</f>
        <v>-1</v>
      </c>
      <c r="BI6" s="31">
        <f>Segunda!BI6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Segunda!B8</f>
        <v>0</v>
      </c>
      <c r="C8" s="33">
        <f>Segunda!C8</f>
        <v>0</v>
      </c>
      <c r="D8" s="32">
        <f t="shared" ref="D8:D15" si="29">IF($B8,C8/$B8,-1)</f>
        <v>-1</v>
      </c>
      <c r="E8" s="33">
        <f>Segunda!E8</f>
        <v>0</v>
      </c>
      <c r="F8" s="32">
        <f t="shared" ref="F8:F15" si="30">IF($B8,E8/$B8,-1)</f>
        <v>-1</v>
      </c>
      <c r="G8" s="33">
        <f>Segunda!G8</f>
        <v>0</v>
      </c>
      <c r="H8" s="32">
        <f t="shared" ref="H8:H15" si="31">IF($B8,G8/$B8,-1)</f>
        <v>-1</v>
      </c>
      <c r="I8" s="33">
        <f>Segunda!I8</f>
        <v>0</v>
      </c>
      <c r="J8" s="32">
        <f t="shared" ref="J8:J15" si="32">IF($B8,I8/$B8,-1)</f>
        <v>-1</v>
      </c>
      <c r="K8" s="33">
        <f>Segunda!K8</f>
        <v>0</v>
      </c>
      <c r="L8" s="32">
        <f t="shared" ref="L8:L15" si="33">IF($B8,K8/$B8,-1)</f>
        <v>-1</v>
      </c>
      <c r="M8" s="33">
        <f>Segunda!M8</f>
        <v>0</v>
      </c>
      <c r="N8" s="32">
        <f t="shared" ref="N8:N15" si="34">IF($B8,M8/$B8,-1)</f>
        <v>-1</v>
      </c>
      <c r="O8" s="33">
        <f>Segunda!O8</f>
        <v>0</v>
      </c>
      <c r="P8" s="32">
        <f t="shared" ref="P8:P15" si="35">IF($B8,O8/$B8,-1)</f>
        <v>-1</v>
      </c>
      <c r="Q8" s="33">
        <f>Segunda!Q8</f>
        <v>0</v>
      </c>
      <c r="R8" s="32">
        <f t="shared" ref="R8:R15" si="36">IF($B8,Q8/$B8,-1)</f>
        <v>-1</v>
      </c>
      <c r="S8" s="33">
        <f>Segunda!S8</f>
        <v>0</v>
      </c>
      <c r="T8" s="32">
        <f t="shared" ref="T8:T15" si="37">IF($B8,S8/$B8,-1)</f>
        <v>-1</v>
      </c>
      <c r="U8" s="33">
        <f>Segunda!U8</f>
        <v>0</v>
      </c>
      <c r="V8" s="32">
        <f t="shared" ref="V8:V15" si="38">IF($B8,U8/$B8,-1)</f>
        <v>-1</v>
      </c>
      <c r="W8" s="33">
        <f>Segunda!W8</f>
        <v>0</v>
      </c>
      <c r="X8" s="32">
        <f t="shared" ref="X8:X15" si="39">IF($B8,W8/$B8,-1)</f>
        <v>-1</v>
      </c>
      <c r="Y8" s="33">
        <f>Segunda!Y8</f>
        <v>0</v>
      </c>
      <c r="Z8" s="32">
        <f t="shared" ref="Z8:Z15" si="40">IF($B8,Y8/$B8,-1)</f>
        <v>-1</v>
      </c>
      <c r="AA8" s="33">
        <f>Segunda!AA8</f>
        <v>0</v>
      </c>
      <c r="AB8" s="32">
        <f t="shared" ref="AB8:AB15" si="41">IF($B8,AA8/$B8,-1)</f>
        <v>-1</v>
      </c>
      <c r="AC8" s="33">
        <f>Segunda!AC8</f>
        <v>0</v>
      </c>
      <c r="AD8" s="32">
        <f t="shared" ref="AD8:AD15" si="42">IF($B8,AC8/$B8,-1)</f>
        <v>-1</v>
      </c>
      <c r="AE8" s="33">
        <f>Segunda!AE8</f>
        <v>0</v>
      </c>
      <c r="AF8" s="32">
        <f t="shared" ref="AF8:AF15" si="43">IF($B8,AE8/$B8,-1)</f>
        <v>-1</v>
      </c>
      <c r="AG8" s="33">
        <f>Segunda!AG8</f>
        <v>0</v>
      </c>
      <c r="AH8" s="32">
        <f t="shared" ref="AH8:AH15" si="44">IF($B8,AG8/$B8,-1)</f>
        <v>-1</v>
      </c>
      <c r="AI8" s="33">
        <f>Segunda!AI8</f>
        <v>0</v>
      </c>
      <c r="AJ8" s="32">
        <f t="shared" ref="AJ8:AJ15" si="45">IF($B8,AI8/$B8,-1)</f>
        <v>-1</v>
      </c>
      <c r="AK8" s="33">
        <f>Segunda!AK8</f>
        <v>0</v>
      </c>
      <c r="AL8" s="32">
        <f t="shared" ref="AL8:AL15" si="46">IF($B8,AK8/$B8,-1)</f>
        <v>-1</v>
      </c>
      <c r="AM8" s="33">
        <f>Segunda!AM8</f>
        <v>0</v>
      </c>
      <c r="AN8" s="32">
        <f t="shared" ref="AN8:AN15" si="47">IF($B8,AM8/$B8,-1)</f>
        <v>-1</v>
      </c>
      <c r="AO8" s="33">
        <f>Segunda!AO8</f>
        <v>0</v>
      </c>
      <c r="AP8" s="32">
        <f t="shared" ref="AP8:AP15" si="48">IF($B8,AO8/$B8,-1)</f>
        <v>-1</v>
      </c>
      <c r="AQ8" s="33">
        <f>Segunda!AQ8</f>
        <v>0</v>
      </c>
      <c r="AR8" s="32">
        <f t="shared" ref="AR8:AR15" si="49">IF($B8,AQ8/$B8,-1)</f>
        <v>-1</v>
      </c>
      <c r="AS8" s="33">
        <f>Segunda!AS8</f>
        <v>0</v>
      </c>
      <c r="AT8" s="32">
        <f t="shared" ref="AT8:AT15" si="50">IF($B8,AS8/$B8,-1)</f>
        <v>-1</v>
      </c>
      <c r="AU8" s="33">
        <f>Segunda!AU8</f>
        <v>0</v>
      </c>
      <c r="AV8" s="32">
        <f t="shared" ref="AV8:AV15" si="51">IF($B8,AU8/$B8,-1)</f>
        <v>-1</v>
      </c>
      <c r="AW8" s="33">
        <f>Segunda!AW8</f>
        <v>0</v>
      </c>
      <c r="AX8" s="32">
        <f t="shared" ref="AX8:AX15" si="52">IF($B8,AW8/$B8,-1)</f>
        <v>-1</v>
      </c>
      <c r="AY8" s="33">
        <f>Segunda!AY8</f>
        <v>0</v>
      </c>
      <c r="AZ8" s="32">
        <f t="shared" ref="AZ8:AZ15" si="53">IF($B8,AY8/$B8,-1)</f>
        <v>-1</v>
      </c>
      <c r="BA8" s="33">
        <f>Segunda!BA8</f>
        <v>0</v>
      </c>
      <c r="BB8" s="32">
        <f t="shared" ref="BB8:BB15" si="54">IF($B8,BA8/$B8,-1)</f>
        <v>-1</v>
      </c>
      <c r="BC8" s="33">
        <f>Segunda!BC8</f>
        <v>0</v>
      </c>
      <c r="BD8" s="32">
        <f t="shared" ref="BD8:BD15" si="55">IF($B8,BC8/$B8,-1)</f>
        <v>-1</v>
      </c>
      <c r="BE8" s="33">
        <f>Segunda!BE8</f>
        <v>0</v>
      </c>
      <c r="BF8" s="32">
        <f t="shared" ref="BF8:BF15" si="56">IF($B8,BE8/$B8,-1)</f>
        <v>-1</v>
      </c>
      <c r="BG8" s="33">
        <f>Segunda!BG8</f>
        <v>0</v>
      </c>
      <c r="BH8" s="32">
        <f t="shared" ref="BH8:BH15" si="57">IF($B8,BG8/$B8,-1)</f>
        <v>-1</v>
      </c>
      <c r="BI8" s="33">
        <f>Segunda!BI8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Segunda!B9</f>
        <v>0</v>
      </c>
      <c r="C9" s="33">
        <f>Segunda!C9</f>
        <v>0</v>
      </c>
      <c r="D9" s="32">
        <f t="shared" si="29"/>
        <v>-1</v>
      </c>
      <c r="E9" s="33">
        <f>Segunda!E9</f>
        <v>0</v>
      </c>
      <c r="F9" s="32">
        <f t="shared" si="30"/>
        <v>-1</v>
      </c>
      <c r="G9" s="33">
        <f>Segunda!G9</f>
        <v>0</v>
      </c>
      <c r="H9" s="32">
        <f t="shared" si="31"/>
        <v>-1</v>
      </c>
      <c r="I9" s="33">
        <f>Segunda!I9</f>
        <v>0</v>
      </c>
      <c r="J9" s="32">
        <f t="shared" si="32"/>
        <v>-1</v>
      </c>
      <c r="K9" s="33">
        <f>Segunda!K9</f>
        <v>0</v>
      </c>
      <c r="L9" s="32">
        <f t="shared" si="33"/>
        <v>-1</v>
      </c>
      <c r="M9" s="33">
        <f>Segunda!M9</f>
        <v>0</v>
      </c>
      <c r="N9" s="32">
        <f t="shared" si="34"/>
        <v>-1</v>
      </c>
      <c r="O9" s="33">
        <f>Segunda!O9</f>
        <v>0</v>
      </c>
      <c r="P9" s="32">
        <f t="shared" si="35"/>
        <v>-1</v>
      </c>
      <c r="Q9" s="33">
        <f>Segunda!Q9</f>
        <v>0</v>
      </c>
      <c r="R9" s="32">
        <f t="shared" si="36"/>
        <v>-1</v>
      </c>
      <c r="S9" s="33">
        <f>Segunda!S9</f>
        <v>0</v>
      </c>
      <c r="T9" s="32">
        <f t="shared" si="37"/>
        <v>-1</v>
      </c>
      <c r="U9" s="33">
        <f>Segunda!U9</f>
        <v>0</v>
      </c>
      <c r="V9" s="32">
        <f t="shared" si="38"/>
        <v>-1</v>
      </c>
      <c r="W9" s="33">
        <f>Segunda!W9</f>
        <v>0</v>
      </c>
      <c r="X9" s="32">
        <f t="shared" si="39"/>
        <v>-1</v>
      </c>
      <c r="Y9" s="33">
        <f>Segunda!Y9</f>
        <v>0</v>
      </c>
      <c r="Z9" s="32">
        <f t="shared" si="40"/>
        <v>-1</v>
      </c>
      <c r="AA9" s="33">
        <f>Segunda!AA9</f>
        <v>0</v>
      </c>
      <c r="AB9" s="32">
        <f t="shared" si="41"/>
        <v>-1</v>
      </c>
      <c r="AC9" s="33">
        <f>Segunda!AC9</f>
        <v>0</v>
      </c>
      <c r="AD9" s="32">
        <f t="shared" si="42"/>
        <v>-1</v>
      </c>
      <c r="AE9" s="33">
        <f>Segunda!AE9</f>
        <v>0</v>
      </c>
      <c r="AF9" s="32">
        <f t="shared" si="43"/>
        <v>-1</v>
      </c>
      <c r="AG9" s="33">
        <f>Segunda!AG9</f>
        <v>0</v>
      </c>
      <c r="AH9" s="32">
        <f t="shared" si="44"/>
        <v>-1</v>
      </c>
      <c r="AI9" s="33">
        <f>Segunda!AI9</f>
        <v>0</v>
      </c>
      <c r="AJ9" s="32">
        <f t="shared" si="45"/>
        <v>-1</v>
      </c>
      <c r="AK9" s="33">
        <f>Segunda!AK9</f>
        <v>0</v>
      </c>
      <c r="AL9" s="32">
        <f t="shared" si="46"/>
        <v>-1</v>
      </c>
      <c r="AM9" s="33">
        <f>Segunda!AM9</f>
        <v>0</v>
      </c>
      <c r="AN9" s="32">
        <f t="shared" si="47"/>
        <v>-1</v>
      </c>
      <c r="AO9" s="33">
        <f>Segunda!AO9</f>
        <v>0</v>
      </c>
      <c r="AP9" s="32">
        <f t="shared" si="48"/>
        <v>-1</v>
      </c>
      <c r="AQ9" s="33">
        <f>Segunda!AQ9</f>
        <v>0</v>
      </c>
      <c r="AR9" s="32">
        <f t="shared" si="49"/>
        <v>-1</v>
      </c>
      <c r="AS9" s="33">
        <f>Segunda!AS9</f>
        <v>0</v>
      </c>
      <c r="AT9" s="32">
        <f t="shared" si="50"/>
        <v>-1</v>
      </c>
      <c r="AU9" s="33">
        <f>Segunda!AU9</f>
        <v>0</v>
      </c>
      <c r="AV9" s="32">
        <f t="shared" si="51"/>
        <v>-1</v>
      </c>
      <c r="AW9" s="33">
        <f>Segunda!AW9</f>
        <v>0</v>
      </c>
      <c r="AX9" s="32">
        <f t="shared" si="52"/>
        <v>-1</v>
      </c>
      <c r="AY9" s="33">
        <f>Segunda!AY9</f>
        <v>0</v>
      </c>
      <c r="AZ9" s="32">
        <f t="shared" si="53"/>
        <v>-1</v>
      </c>
      <c r="BA9" s="33">
        <f>Segunda!BA9</f>
        <v>0</v>
      </c>
      <c r="BB9" s="32">
        <f t="shared" si="54"/>
        <v>-1</v>
      </c>
      <c r="BC9" s="33">
        <f>Segunda!BC9</f>
        <v>0</v>
      </c>
      <c r="BD9" s="32">
        <f t="shared" si="55"/>
        <v>-1</v>
      </c>
      <c r="BE9" s="33">
        <f>Segunda!BE9</f>
        <v>0</v>
      </c>
      <c r="BF9" s="32">
        <f t="shared" si="56"/>
        <v>-1</v>
      </c>
      <c r="BG9" s="33">
        <f>Segunda!BG9</f>
        <v>0</v>
      </c>
      <c r="BH9" s="32">
        <f t="shared" si="57"/>
        <v>-1</v>
      </c>
      <c r="BI9" s="33">
        <f>Segunda!BI9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Segunda!B10</f>
        <v>0</v>
      </c>
      <c r="C10" s="33">
        <f>Segunda!C10</f>
        <v>0</v>
      </c>
      <c r="D10" s="32">
        <f t="shared" si="29"/>
        <v>-1</v>
      </c>
      <c r="E10" s="33">
        <f>Segunda!E10</f>
        <v>0</v>
      </c>
      <c r="F10" s="32">
        <f t="shared" si="30"/>
        <v>-1</v>
      </c>
      <c r="G10" s="33">
        <f>Segunda!G10</f>
        <v>0</v>
      </c>
      <c r="H10" s="32">
        <f t="shared" si="31"/>
        <v>-1</v>
      </c>
      <c r="I10" s="33">
        <f>Segunda!I10</f>
        <v>0</v>
      </c>
      <c r="J10" s="32">
        <f t="shared" si="32"/>
        <v>-1</v>
      </c>
      <c r="K10" s="33">
        <f>Segunda!K10</f>
        <v>0</v>
      </c>
      <c r="L10" s="32">
        <f t="shared" si="33"/>
        <v>-1</v>
      </c>
      <c r="M10" s="33">
        <f>Segunda!M10</f>
        <v>0</v>
      </c>
      <c r="N10" s="32">
        <f t="shared" si="34"/>
        <v>-1</v>
      </c>
      <c r="O10" s="33">
        <f>Segunda!O10</f>
        <v>0</v>
      </c>
      <c r="P10" s="32">
        <f t="shared" si="35"/>
        <v>-1</v>
      </c>
      <c r="Q10" s="33">
        <f>Segunda!Q10</f>
        <v>0</v>
      </c>
      <c r="R10" s="32">
        <f t="shared" si="36"/>
        <v>-1</v>
      </c>
      <c r="S10" s="33">
        <f>Segunda!S10</f>
        <v>0</v>
      </c>
      <c r="T10" s="32">
        <f t="shared" si="37"/>
        <v>-1</v>
      </c>
      <c r="U10" s="33">
        <f>Segunda!U10</f>
        <v>0</v>
      </c>
      <c r="V10" s="32">
        <f t="shared" si="38"/>
        <v>-1</v>
      </c>
      <c r="W10" s="33">
        <f>Segunda!W10</f>
        <v>0</v>
      </c>
      <c r="X10" s="32">
        <f t="shared" si="39"/>
        <v>-1</v>
      </c>
      <c r="Y10" s="33">
        <f>Segunda!Y10</f>
        <v>0</v>
      </c>
      <c r="Z10" s="32">
        <f t="shared" si="40"/>
        <v>-1</v>
      </c>
      <c r="AA10" s="33">
        <f>Segunda!AA10</f>
        <v>0</v>
      </c>
      <c r="AB10" s="32">
        <f t="shared" si="41"/>
        <v>-1</v>
      </c>
      <c r="AC10" s="33">
        <f>Segunda!AC10</f>
        <v>0</v>
      </c>
      <c r="AD10" s="32">
        <f t="shared" si="42"/>
        <v>-1</v>
      </c>
      <c r="AE10" s="33">
        <f>Segunda!AE10</f>
        <v>0</v>
      </c>
      <c r="AF10" s="32">
        <f t="shared" si="43"/>
        <v>-1</v>
      </c>
      <c r="AG10" s="33">
        <f>Segunda!AG10</f>
        <v>0</v>
      </c>
      <c r="AH10" s="32">
        <f t="shared" si="44"/>
        <v>-1</v>
      </c>
      <c r="AI10" s="33">
        <f>Segunda!AI10</f>
        <v>0</v>
      </c>
      <c r="AJ10" s="32">
        <f t="shared" si="45"/>
        <v>-1</v>
      </c>
      <c r="AK10" s="33">
        <f>Segunda!AK10</f>
        <v>0</v>
      </c>
      <c r="AL10" s="32">
        <f t="shared" si="46"/>
        <v>-1</v>
      </c>
      <c r="AM10" s="33">
        <f>Segunda!AM10</f>
        <v>0</v>
      </c>
      <c r="AN10" s="32">
        <f t="shared" si="47"/>
        <v>-1</v>
      </c>
      <c r="AO10" s="33">
        <f>Segunda!AO10</f>
        <v>0</v>
      </c>
      <c r="AP10" s="32">
        <f t="shared" si="48"/>
        <v>-1</v>
      </c>
      <c r="AQ10" s="33">
        <f>Segunda!AQ10</f>
        <v>0</v>
      </c>
      <c r="AR10" s="32">
        <f t="shared" si="49"/>
        <v>-1</v>
      </c>
      <c r="AS10" s="33">
        <f>Segunda!AS10</f>
        <v>0</v>
      </c>
      <c r="AT10" s="32">
        <f t="shared" si="50"/>
        <v>-1</v>
      </c>
      <c r="AU10" s="33">
        <f>Segunda!AU10</f>
        <v>0</v>
      </c>
      <c r="AV10" s="32">
        <f t="shared" si="51"/>
        <v>-1</v>
      </c>
      <c r="AW10" s="33">
        <f>Segunda!AW10</f>
        <v>0</v>
      </c>
      <c r="AX10" s="32">
        <f t="shared" si="52"/>
        <v>-1</v>
      </c>
      <c r="AY10" s="33">
        <f>Segunda!AY10</f>
        <v>0</v>
      </c>
      <c r="AZ10" s="32">
        <f t="shared" si="53"/>
        <v>-1</v>
      </c>
      <c r="BA10" s="33">
        <f>Segunda!BA10</f>
        <v>0</v>
      </c>
      <c r="BB10" s="32">
        <f t="shared" si="54"/>
        <v>-1</v>
      </c>
      <c r="BC10" s="33">
        <f>Segunda!BC10</f>
        <v>0</v>
      </c>
      <c r="BD10" s="32">
        <f t="shared" si="55"/>
        <v>-1</v>
      </c>
      <c r="BE10" s="33">
        <f>Segunda!BE10</f>
        <v>0</v>
      </c>
      <c r="BF10" s="32">
        <f t="shared" si="56"/>
        <v>-1</v>
      </c>
      <c r="BG10" s="33">
        <f>Segunda!BG10</f>
        <v>0</v>
      </c>
      <c r="BH10" s="32">
        <f t="shared" si="57"/>
        <v>-1</v>
      </c>
      <c r="BI10" s="33">
        <f>Segunda!BI10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Segunda!B11</f>
        <v>0</v>
      </c>
      <c r="C11" s="33">
        <f>Segunda!C11</f>
        <v>0</v>
      </c>
      <c r="D11" s="32">
        <f t="shared" si="29"/>
        <v>-1</v>
      </c>
      <c r="E11" s="33">
        <f>Segunda!E11</f>
        <v>0</v>
      </c>
      <c r="F11" s="32">
        <f t="shared" si="30"/>
        <v>-1</v>
      </c>
      <c r="G11" s="33">
        <f>Segunda!G11</f>
        <v>0</v>
      </c>
      <c r="H11" s="32">
        <f t="shared" si="31"/>
        <v>-1</v>
      </c>
      <c r="I11" s="33">
        <f>Segunda!I11</f>
        <v>0</v>
      </c>
      <c r="J11" s="32">
        <f t="shared" si="32"/>
        <v>-1</v>
      </c>
      <c r="K11" s="33">
        <f>Segunda!K11</f>
        <v>0</v>
      </c>
      <c r="L11" s="32">
        <f t="shared" si="33"/>
        <v>-1</v>
      </c>
      <c r="M11" s="33">
        <f>Segunda!M11</f>
        <v>0</v>
      </c>
      <c r="N11" s="32">
        <f t="shared" si="34"/>
        <v>-1</v>
      </c>
      <c r="O11" s="33">
        <f>Segunda!O11</f>
        <v>0</v>
      </c>
      <c r="P11" s="32">
        <f t="shared" si="35"/>
        <v>-1</v>
      </c>
      <c r="Q11" s="33">
        <f>Segunda!Q11</f>
        <v>0</v>
      </c>
      <c r="R11" s="32">
        <f t="shared" si="36"/>
        <v>-1</v>
      </c>
      <c r="S11" s="33">
        <f>Segunda!S11</f>
        <v>0</v>
      </c>
      <c r="T11" s="32">
        <f t="shared" si="37"/>
        <v>-1</v>
      </c>
      <c r="U11" s="33">
        <f>Segunda!U11</f>
        <v>0</v>
      </c>
      <c r="V11" s="32">
        <f t="shared" si="38"/>
        <v>-1</v>
      </c>
      <c r="W11" s="33">
        <f>Segunda!W11</f>
        <v>0</v>
      </c>
      <c r="X11" s="32">
        <f t="shared" si="39"/>
        <v>-1</v>
      </c>
      <c r="Y11" s="33">
        <f>Segunda!Y11</f>
        <v>0</v>
      </c>
      <c r="Z11" s="32">
        <f t="shared" si="40"/>
        <v>-1</v>
      </c>
      <c r="AA11" s="33">
        <f>Segunda!AA11</f>
        <v>0</v>
      </c>
      <c r="AB11" s="32">
        <f t="shared" si="41"/>
        <v>-1</v>
      </c>
      <c r="AC11" s="33">
        <f>Segunda!AC11</f>
        <v>0</v>
      </c>
      <c r="AD11" s="32">
        <f t="shared" si="42"/>
        <v>-1</v>
      </c>
      <c r="AE11" s="33">
        <f>Segunda!AE11</f>
        <v>0</v>
      </c>
      <c r="AF11" s="32">
        <f t="shared" si="43"/>
        <v>-1</v>
      </c>
      <c r="AG11" s="33">
        <f>Segunda!AG11</f>
        <v>0</v>
      </c>
      <c r="AH11" s="32">
        <f t="shared" si="44"/>
        <v>-1</v>
      </c>
      <c r="AI11" s="33">
        <f>Segunda!AI11</f>
        <v>0</v>
      </c>
      <c r="AJ11" s="32">
        <f t="shared" si="45"/>
        <v>-1</v>
      </c>
      <c r="AK11" s="33">
        <f>Segunda!AK11</f>
        <v>0</v>
      </c>
      <c r="AL11" s="32">
        <f t="shared" si="46"/>
        <v>-1</v>
      </c>
      <c r="AM11" s="33">
        <f>Segunda!AM11</f>
        <v>0</v>
      </c>
      <c r="AN11" s="32">
        <f t="shared" si="47"/>
        <v>-1</v>
      </c>
      <c r="AO11" s="33">
        <f>Segunda!AO11</f>
        <v>0</v>
      </c>
      <c r="AP11" s="32">
        <f t="shared" si="48"/>
        <v>-1</v>
      </c>
      <c r="AQ11" s="33">
        <f>Segunda!AQ11</f>
        <v>0</v>
      </c>
      <c r="AR11" s="32">
        <f t="shared" si="49"/>
        <v>-1</v>
      </c>
      <c r="AS11" s="33">
        <f>Segunda!AS11</f>
        <v>0</v>
      </c>
      <c r="AT11" s="32">
        <f t="shared" si="50"/>
        <v>-1</v>
      </c>
      <c r="AU11" s="33">
        <f>Segunda!AU11</f>
        <v>0</v>
      </c>
      <c r="AV11" s="32">
        <f t="shared" si="51"/>
        <v>-1</v>
      </c>
      <c r="AW11" s="33">
        <f>Segunda!AW11</f>
        <v>0</v>
      </c>
      <c r="AX11" s="32">
        <f t="shared" si="52"/>
        <v>-1</v>
      </c>
      <c r="AY11" s="33">
        <f>Segunda!AY11</f>
        <v>0</v>
      </c>
      <c r="AZ11" s="32">
        <f t="shared" si="53"/>
        <v>-1</v>
      </c>
      <c r="BA11" s="33">
        <f>Segunda!BA11</f>
        <v>0</v>
      </c>
      <c r="BB11" s="32">
        <f t="shared" si="54"/>
        <v>-1</v>
      </c>
      <c r="BC11" s="33">
        <f>Segunda!BC11</f>
        <v>0</v>
      </c>
      <c r="BD11" s="32">
        <f t="shared" si="55"/>
        <v>-1</v>
      </c>
      <c r="BE11" s="33">
        <f>Segunda!BE11</f>
        <v>0</v>
      </c>
      <c r="BF11" s="32">
        <f t="shared" si="56"/>
        <v>-1</v>
      </c>
      <c r="BG11" s="33">
        <f>Segunda!BG11</f>
        <v>0</v>
      </c>
      <c r="BH11" s="32">
        <f t="shared" si="57"/>
        <v>-1</v>
      </c>
      <c r="BI11" s="33">
        <f>Segunda!BI11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Segunda!B12</f>
        <v>0</v>
      </c>
      <c r="C12" s="33">
        <f>Segunda!C12</f>
        <v>0</v>
      </c>
      <c r="D12" s="32">
        <f t="shared" si="29"/>
        <v>-1</v>
      </c>
      <c r="E12" s="33">
        <f>Segunda!E12</f>
        <v>0</v>
      </c>
      <c r="F12" s="32">
        <f t="shared" si="30"/>
        <v>-1</v>
      </c>
      <c r="G12" s="33">
        <f>Segunda!G12</f>
        <v>0</v>
      </c>
      <c r="H12" s="32">
        <f t="shared" si="31"/>
        <v>-1</v>
      </c>
      <c r="I12" s="33">
        <f>Segunda!I12</f>
        <v>0</v>
      </c>
      <c r="J12" s="32">
        <f t="shared" si="32"/>
        <v>-1</v>
      </c>
      <c r="K12" s="33">
        <f>Segunda!K12</f>
        <v>0</v>
      </c>
      <c r="L12" s="32">
        <f t="shared" si="33"/>
        <v>-1</v>
      </c>
      <c r="M12" s="33">
        <f>Segunda!M12</f>
        <v>0</v>
      </c>
      <c r="N12" s="32">
        <f t="shared" si="34"/>
        <v>-1</v>
      </c>
      <c r="O12" s="33">
        <f>Segunda!O12</f>
        <v>0</v>
      </c>
      <c r="P12" s="32">
        <f t="shared" si="35"/>
        <v>-1</v>
      </c>
      <c r="Q12" s="33">
        <f>Segunda!Q12</f>
        <v>0</v>
      </c>
      <c r="R12" s="32">
        <f t="shared" si="36"/>
        <v>-1</v>
      </c>
      <c r="S12" s="33">
        <f>Segunda!S12</f>
        <v>0</v>
      </c>
      <c r="T12" s="32">
        <f t="shared" si="37"/>
        <v>-1</v>
      </c>
      <c r="U12" s="33">
        <f>Segunda!U12</f>
        <v>0</v>
      </c>
      <c r="V12" s="32">
        <f t="shared" si="38"/>
        <v>-1</v>
      </c>
      <c r="W12" s="33">
        <f>Segunda!W12</f>
        <v>0</v>
      </c>
      <c r="X12" s="32">
        <f t="shared" si="39"/>
        <v>-1</v>
      </c>
      <c r="Y12" s="33">
        <f>Segunda!Y12</f>
        <v>0</v>
      </c>
      <c r="Z12" s="32">
        <f t="shared" si="40"/>
        <v>-1</v>
      </c>
      <c r="AA12" s="33">
        <f>Segunda!AA12</f>
        <v>0</v>
      </c>
      <c r="AB12" s="32">
        <f t="shared" si="41"/>
        <v>-1</v>
      </c>
      <c r="AC12" s="33">
        <f>Segunda!AC12</f>
        <v>0</v>
      </c>
      <c r="AD12" s="32">
        <f t="shared" si="42"/>
        <v>-1</v>
      </c>
      <c r="AE12" s="33">
        <f>Segunda!AE12</f>
        <v>0</v>
      </c>
      <c r="AF12" s="32">
        <f t="shared" si="43"/>
        <v>-1</v>
      </c>
      <c r="AG12" s="33">
        <f>Segunda!AG12</f>
        <v>0</v>
      </c>
      <c r="AH12" s="32">
        <f t="shared" si="44"/>
        <v>-1</v>
      </c>
      <c r="AI12" s="33">
        <f>Segunda!AI12</f>
        <v>0</v>
      </c>
      <c r="AJ12" s="32">
        <f t="shared" si="45"/>
        <v>-1</v>
      </c>
      <c r="AK12" s="33">
        <f>Segunda!AK12</f>
        <v>0</v>
      </c>
      <c r="AL12" s="32">
        <f t="shared" si="46"/>
        <v>-1</v>
      </c>
      <c r="AM12" s="33">
        <f>Segunda!AM12</f>
        <v>0</v>
      </c>
      <c r="AN12" s="32">
        <f t="shared" si="47"/>
        <v>-1</v>
      </c>
      <c r="AO12" s="33">
        <f>Segunda!AO12</f>
        <v>0</v>
      </c>
      <c r="AP12" s="32">
        <f t="shared" si="48"/>
        <v>-1</v>
      </c>
      <c r="AQ12" s="33">
        <f>Segunda!AQ12</f>
        <v>0</v>
      </c>
      <c r="AR12" s="32">
        <f t="shared" si="49"/>
        <v>-1</v>
      </c>
      <c r="AS12" s="33">
        <f>Segunda!AS12</f>
        <v>0</v>
      </c>
      <c r="AT12" s="32">
        <f t="shared" si="50"/>
        <v>-1</v>
      </c>
      <c r="AU12" s="33">
        <f>Segunda!AU12</f>
        <v>0</v>
      </c>
      <c r="AV12" s="32">
        <f t="shared" si="51"/>
        <v>-1</v>
      </c>
      <c r="AW12" s="33">
        <f>Segunda!AW12</f>
        <v>0</v>
      </c>
      <c r="AX12" s="32">
        <f t="shared" si="52"/>
        <v>-1</v>
      </c>
      <c r="AY12" s="33">
        <f>Segunda!AY12</f>
        <v>0</v>
      </c>
      <c r="AZ12" s="32">
        <f t="shared" si="53"/>
        <v>-1</v>
      </c>
      <c r="BA12" s="33">
        <f>Segunda!BA12</f>
        <v>0</v>
      </c>
      <c r="BB12" s="32">
        <f t="shared" si="54"/>
        <v>-1</v>
      </c>
      <c r="BC12" s="33">
        <f>Segunda!BC12</f>
        <v>0</v>
      </c>
      <c r="BD12" s="32">
        <f t="shared" si="55"/>
        <v>-1</v>
      </c>
      <c r="BE12" s="33">
        <f>Segunda!BE12</f>
        <v>0</v>
      </c>
      <c r="BF12" s="32">
        <f t="shared" si="56"/>
        <v>-1</v>
      </c>
      <c r="BG12" s="33">
        <f>Segunda!BG12</f>
        <v>0</v>
      </c>
      <c r="BH12" s="32">
        <f t="shared" si="57"/>
        <v>-1</v>
      </c>
      <c r="BI12" s="33">
        <f>Segunda!BI12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Segunda!B13</f>
        <v>0</v>
      </c>
      <c r="C13" s="33">
        <f>Segunda!C13</f>
        <v>0</v>
      </c>
      <c r="D13" s="32">
        <f t="shared" si="29"/>
        <v>-1</v>
      </c>
      <c r="E13" s="33">
        <f>Segunda!E13</f>
        <v>0</v>
      </c>
      <c r="F13" s="32">
        <f t="shared" si="30"/>
        <v>-1</v>
      </c>
      <c r="G13" s="33">
        <f>Segunda!G13</f>
        <v>0</v>
      </c>
      <c r="H13" s="32">
        <f t="shared" si="31"/>
        <v>-1</v>
      </c>
      <c r="I13" s="33">
        <f>Segunda!I13</f>
        <v>0</v>
      </c>
      <c r="J13" s="32">
        <f t="shared" si="32"/>
        <v>-1</v>
      </c>
      <c r="K13" s="33">
        <f>Segunda!K13</f>
        <v>0</v>
      </c>
      <c r="L13" s="32">
        <f t="shared" si="33"/>
        <v>-1</v>
      </c>
      <c r="M13" s="33">
        <f>Segunda!M13</f>
        <v>0</v>
      </c>
      <c r="N13" s="32">
        <f t="shared" si="34"/>
        <v>-1</v>
      </c>
      <c r="O13" s="33">
        <f>Segunda!O13</f>
        <v>0</v>
      </c>
      <c r="P13" s="32">
        <f t="shared" si="35"/>
        <v>-1</v>
      </c>
      <c r="Q13" s="33">
        <f>Segunda!Q13</f>
        <v>0</v>
      </c>
      <c r="R13" s="32">
        <f t="shared" si="36"/>
        <v>-1</v>
      </c>
      <c r="S13" s="33">
        <f>Segunda!S13</f>
        <v>0</v>
      </c>
      <c r="T13" s="32">
        <f t="shared" si="37"/>
        <v>-1</v>
      </c>
      <c r="U13" s="33">
        <f>Segunda!U13</f>
        <v>0</v>
      </c>
      <c r="V13" s="32">
        <f t="shared" si="38"/>
        <v>-1</v>
      </c>
      <c r="W13" s="33">
        <f>Segunda!W13</f>
        <v>0</v>
      </c>
      <c r="X13" s="32">
        <f t="shared" si="39"/>
        <v>-1</v>
      </c>
      <c r="Y13" s="33">
        <f>Segunda!Y13</f>
        <v>0</v>
      </c>
      <c r="Z13" s="32">
        <f t="shared" si="40"/>
        <v>-1</v>
      </c>
      <c r="AA13" s="33">
        <f>Segunda!AA13</f>
        <v>0</v>
      </c>
      <c r="AB13" s="32">
        <f t="shared" si="41"/>
        <v>-1</v>
      </c>
      <c r="AC13" s="33">
        <f>Segunda!AC13</f>
        <v>0</v>
      </c>
      <c r="AD13" s="32">
        <f t="shared" si="42"/>
        <v>-1</v>
      </c>
      <c r="AE13" s="33">
        <f>Segunda!AE13</f>
        <v>0</v>
      </c>
      <c r="AF13" s="32">
        <f t="shared" si="43"/>
        <v>-1</v>
      </c>
      <c r="AG13" s="33">
        <f>Segunda!AG13</f>
        <v>0</v>
      </c>
      <c r="AH13" s="32">
        <f t="shared" si="44"/>
        <v>-1</v>
      </c>
      <c r="AI13" s="33">
        <f>Segunda!AI13</f>
        <v>0</v>
      </c>
      <c r="AJ13" s="32">
        <f t="shared" si="45"/>
        <v>-1</v>
      </c>
      <c r="AK13" s="33">
        <f>Segunda!AK13</f>
        <v>0</v>
      </c>
      <c r="AL13" s="32">
        <f t="shared" si="46"/>
        <v>-1</v>
      </c>
      <c r="AM13" s="33">
        <f>Segunda!AM13</f>
        <v>0</v>
      </c>
      <c r="AN13" s="32">
        <f t="shared" si="47"/>
        <v>-1</v>
      </c>
      <c r="AO13" s="33">
        <f>Segunda!AO13</f>
        <v>0</v>
      </c>
      <c r="AP13" s="32">
        <f t="shared" si="48"/>
        <v>-1</v>
      </c>
      <c r="AQ13" s="33">
        <f>Segunda!AQ13</f>
        <v>0</v>
      </c>
      <c r="AR13" s="32">
        <f t="shared" si="49"/>
        <v>-1</v>
      </c>
      <c r="AS13" s="33">
        <f>Segunda!AS13</f>
        <v>0</v>
      </c>
      <c r="AT13" s="32">
        <f t="shared" si="50"/>
        <v>-1</v>
      </c>
      <c r="AU13" s="33">
        <f>Segunda!AU13</f>
        <v>0</v>
      </c>
      <c r="AV13" s="32">
        <f t="shared" si="51"/>
        <v>-1</v>
      </c>
      <c r="AW13" s="33">
        <f>Segunda!AW13</f>
        <v>0</v>
      </c>
      <c r="AX13" s="32">
        <f t="shared" si="52"/>
        <v>-1</v>
      </c>
      <c r="AY13" s="33">
        <f>Segunda!AY13</f>
        <v>0</v>
      </c>
      <c r="AZ13" s="32">
        <f t="shared" si="53"/>
        <v>-1</v>
      </c>
      <c r="BA13" s="33">
        <f>Segunda!BA13</f>
        <v>0</v>
      </c>
      <c r="BB13" s="32">
        <f t="shared" si="54"/>
        <v>-1</v>
      </c>
      <c r="BC13" s="33">
        <f>Segunda!BC13</f>
        <v>0</v>
      </c>
      <c r="BD13" s="32">
        <f t="shared" si="55"/>
        <v>-1</v>
      </c>
      <c r="BE13" s="33">
        <f>Segunda!BE13</f>
        <v>0</v>
      </c>
      <c r="BF13" s="32">
        <f t="shared" si="56"/>
        <v>-1</v>
      </c>
      <c r="BG13" s="33">
        <f>Segunda!BG13</f>
        <v>0</v>
      </c>
      <c r="BH13" s="32">
        <f t="shared" si="57"/>
        <v>-1</v>
      </c>
      <c r="BI13" s="33">
        <f>Segunda!BI13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Segunda!B14</f>
        <v>0</v>
      </c>
      <c r="C14" s="33">
        <f>Segunda!C14</f>
        <v>0</v>
      </c>
      <c r="D14" s="32">
        <f t="shared" si="29"/>
        <v>-1</v>
      </c>
      <c r="E14" s="33">
        <f>Segunda!E14</f>
        <v>0</v>
      </c>
      <c r="F14" s="32">
        <f t="shared" si="30"/>
        <v>-1</v>
      </c>
      <c r="G14" s="33">
        <f>Segunda!G14</f>
        <v>0</v>
      </c>
      <c r="H14" s="32">
        <f t="shared" si="31"/>
        <v>-1</v>
      </c>
      <c r="I14" s="33">
        <f>Segunda!I14</f>
        <v>0</v>
      </c>
      <c r="J14" s="32">
        <f t="shared" si="32"/>
        <v>-1</v>
      </c>
      <c r="K14" s="33">
        <f>Segunda!K14</f>
        <v>0</v>
      </c>
      <c r="L14" s="32">
        <f t="shared" si="33"/>
        <v>-1</v>
      </c>
      <c r="M14" s="33">
        <f>Segunda!M14</f>
        <v>0</v>
      </c>
      <c r="N14" s="32">
        <f t="shared" si="34"/>
        <v>-1</v>
      </c>
      <c r="O14" s="33">
        <f>Segunda!O14</f>
        <v>0</v>
      </c>
      <c r="P14" s="32">
        <f t="shared" si="35"/>
        <v>-1</v>
      </c>
      <c r="Q14" s="33">
        <f>Segunda!Q14</f>
        <v>0</v>
      </c>
      <c r="R14" s="32">
        <f t="shared" si="36"/>
        <v>-1</v>
      </c>
      <c r="S14" s="33">
        <f>Segunda!S14</f>
        <v>0</v>
      </c>
      <c r="T14" s="32">
        <f t="shared" si="37"/>
        <v>-1</v>
      </c>
      <c r="U14" s="33">
        <f>Segunda!U14</f>
        <v>0</v>
      </c>
      <c r="V14" s="32">
        <f t="shared" si="38"/>
        <v>-1</v>
      </c>
      <c r="W14" s="33">
        <f>Segunda!W14</f>
        <v>0</v>
      </c>
      <c r="X14" s="32">
        <f t="shared" si="39"/>
        <v>-1</v>
      </c>
      <c r="Y14" s="33">
        <f>Segunda!Y14</f>
        <v>0</v>
      </c>
      <c r="Z14" s="32">
        <f t="shared" si="40"/>
        <v>-1</v>
      </c>
      <c r="AA14" s="33">
        <f>Segunda!AA14</f>
        <v>0</v>
      </c>
      <c r="AB14" s="32">
        <f t="shared" si="41"/>
        <v>-1</v>
      </c>
      <c r="AC14" s="33">
        <f>Segunda!AC14</f>
        <v>0</v>
      </c>
      <c r="AD14" s="32">
        <f t="shared" si="42"/>
        <v>-1</v>
      </c>
      <c r="AE14" s="33">
        <f>Segunda!AE14</f>
        <v>0</v>
      </c>
      <c r="AF14" s="32">
        <f t="shared" si="43"/>
        <v>-1</v>
      </c>
      <c r="AG14" s="33">
        <f>Segunda!AG14</f>
        <v>0</v>
      </c>
      <c r="AH14" s="32">
        <f t="shared" si="44"/>
        <v>-1</v>
      </c>
      <c r="AI14" s="33">
        <f>Segunda!AI14</f>
        <v>0</v>
      </c>
      <c r="AJ14" s="32">
        <f t="shared" si="45"/>
        <v>-1</v>
      </c>
      <c r="AK14" s="33">
        <f>Segunda!AK14</f>
        <v>0</v>
      </c>
      <c r="AL14" s="32">
        <f t="shared" si="46"/>
        <v>-1</v>
      </c>
      <c r="AM14" s="33">
        <f>Segunda!AM14</f>
        <v>0</v>
      </c>
      <c r="AN14" s="32">
        <f t="shared" si="47"/>
        <v>-1</v>
      </c>
      <c r="AO14" s="33">
        <f>Segunda!AO14</f>
        <v>0</v>
      </c>
      <c r="AP14" s="32">
        <f t="shared" si="48"/>
        <v>-1</v>
      </c>
      <c r="AQ14" s="33">
        <f>Segunda!AQ14</f>
        <v>0</v>
      </c>
      <c r="AR14" s="32">
        <f t="shared" si="49"/>
        <v>-1</v>
      </c>
      <c r="AS14" s="33">
        <f>Segunda!AS14</f>
        <v>0</v>
      </c>
      <c r="AT14" s="32">
        <f t="shared" si="50"/>
        <v>-1</v>
      </c>
      <c r="AU14" s="33">
        <f>Segunda!AU14</f>
        <v>0</v>
      </c>
      <c r="AV14" s="32">
        <f t="shared" si="51"/>
        <v>-1</v>
      </c>
      <c r="AW14" s="33">
        <f>Segunda!AW14</f>
        <v>0</v>
      </c>
      <c r="AX14" s="32">
        <f t="shared" si="52"/>
        <v>-1</v>
      </c>
      <c r="AY14" s="33">
        <f>Segunda!AY14</f>
        <v>0</v>
      </c>
      <c r="AZ14" s="32">
        <f t="shared" si="53"/>
        <v>-1</v>
      </c>
      <c r="BA14" s="33">
        <f>Segunda!BA14</f>
        <v>0</v>
      </c>
      <c r="BB14" s="32">
        <f t="shared" si="54"/>
        <v>-1</v>
      </c>
      <c r="BC14" s="33">
        <f>Segunda!BC14</f>
        <v>0</v>
      </c>
      <c r="BD14" s="32">
        <f t="shared" si="55"/>
        <v>-1</v>
      </c>
      <c r="BE14" s="33">
        <f>Segunda!BE14</f>
        <v>0</v>
      </c>
      <c r="BF14" s="32">
        <f t="shared" si="56"/>
        <v>-1</v>
      </c>
      <c r="BG14" s="33">
        <f>Segunda!BG14</f>
        <v>0</v>
      </c>
      <c r="BH14" s="32">
        <f t="shared" si="57"/>
        <v>-1</v>
      </c>
      <c r="BI14" s="33">
        <f>Segunda!BI14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Segunda!B15</f>
        <v>0</v>
      </c>
      <c r="C15" s="33">
        <f>Segunda!C15</f>
        <v>0</v>
      </c>
      <c r="D15" s="32">
        <f t="shared" si="29"/>
        <v>-1</v>
      </c>
      <c r="E15" s="33">
        <f>Segunda!E15</f>
        <v>0</v>
      </c>
      <c r="F15" s="32">
        <f t="shared" si="30"/>
        <v>-1</v>
      </c>
      <c r="G15" s="33">
        <f>Segunda!G15</f>
        <v>0</v>
      </c>
      <c r="H15" s="32">
        <f t="shared" si="31"/>
        <v>-1</v>
      </c>
      <c r="I15" s="33">
        <f>Segunda!I15</f>
        <v>0</v>
      </c>
      <c r="J15" s="32">
        <f t="shared" si="32"/>
        <v>-1</v>
      </c>
      <c r="K15" s="33">
        <f>Segunda!K15</f>
        <v>0</v>
      </c>
      <c r="L15" s="32">
        <f t="shared" si="33"/>
        <v>-1</v>
      </c>
      <c r="M15" s="33">
        <f>Segunda!M15</f>
        <v>0</v>
      </c>
      <c r="N15" s="32">
        <f t="shared" si="34"/>
        <v>-1</v>
      </c>
      <c r="O15" s="33">
        <f>Segunda!O15</f>
        <v>0</v>
      </c>
      <c r="P15" s="32">
        <f t="shared" si="35"/>
        <v>-1</v>
      </c>
      <c r="Q15" s="33">
        <f>Segunda!Q15</f>
        <v>0</v>
      </c>
      <c r="R15" s="32">
        <f t="shared" si="36"/>
        <v>-1</v>
      </c>
      <c r="S15" s="33">
        <f>Segunda!S15</f>
        <v>0</v>
      </c>
      <c r="T15" s="32">
        <f t="shared" si="37"/>
        <v>-1</v>
      </c>
      <c r="U15" s="33">
        <f>Segunda!U15</f>
        <v>0</v>
      </c>
      <c r="V15" s="32">
        <f t="shared" si="38"/>
        <v>-1</v>
      </c>
      <c r="W15" s="33">
        <f>Segunda!W15</f>
        <v>0</v>
      </c>
      <c r="X15" s="32">
        <f t="shared" si="39"/>
        <v>-1</v>
      </c>
      <c r="Y15" s="33">
        <f>Segunda!Y15</f>
        <v>0</v>
      </c>
      <c r="Z15" s="32">
        <f t="shared" si="40"/>
        <v>-1</v>
      </c>
      <c r="AA15" s="33">
        <f>Segunda!AA15</f>
        <v>0</v>
      </c>
      <c r="AB15" s="32">
        <f t="shared" si="41"/>
        <v>-1</v>
      </c>
      <c r="AC15" s="33">
        <f>Segunda!AC15</f>
        <v>0</v>
      </c>
      <c r="AD15" s="32">
        <f t="shared" si="42"/>
        <v>-1</v>
      </c>
      <c r="AE15" s="33">
        <f>Segunda!AE15</f>
        <v>0</v>
      </c>
      <c r="AF15" s="32">
        <f t="shared" si="43"/>
        <v>-1</v>
      </c>
      <c r="AG15" s="33">
        <f>Segunda!AG15</f>
        <v>0</v>
      </c>
      <c r="AH15" s="32">
        <f t="shared" si="44"/>
        <v>-1</v>
      </c>
      <c r="AI15" s="33">
        <f>Segunda!AI15</f>
        <v>0</v>
      </c>
      <c r="AJ15" s="32">
        <f t="shared" si="45"/>
        <v>-1</v>
      </c>
      <c r="AK15" s="33">
        <f>Segunda!AK15</f>
        <v>0</v>
      </c>
      <c r="AL15" s="32">
        <f t="shared" si="46"/>
        <v>-1</v>
      </c>
      <c r="AM15" s="33">
        <f>Segunda!AM15</f>
        <v>0</v>
      </c>
      <c r="AN15" s="32">
        <f t="shared" si="47"/>
        <v>-1</v>
      </c>
      <c r="AO15" s="33">
        <f>Segunda!AO15</f>
        <v>0</v>
      </c>
      <c r="AP15" s="32">
        <f t="shared" si="48"/>
        <v>-1</v>
      </c>
      <c r="AQ15" s="33">
        <f>Segunda!AQ15</f>
        <v>0</v>
      </c>
      <c r="AR15" s="32">
        <f t="shared" si="49"/>
        <v>-1</v>
      </c>
      <c r="AS15" s="33">
        <f>Segunda!AS15</f>
        <v>0</v>
      </c>
      <c r="AT15" s="32">
        <f t="shared" si="50"/>
        <v>-1</v>
      </c>
      <c r="AU15" s="33">
        <f>Segunda!AU15</f>
        <v>0</v>
      </c>
      <c r="AV15" s="32">
        <f t="shared" si="51"/>
        <v>-1</v>
      </c>
      <c r="AW15" s="33">
        <f>Segunda!AW15</f>
        <v>0</v>
      </c>
      <c r="AX15" s="32">
        <f t="shared" si="52"/>
        <v>-1</v>
      </c>
      <c r="AY15" s="33">
        <f>Segunda!AY15</f>
        <v>0</v>
      </c>
      <c r="AZ15" s="32">
        <f t="shared" si="53"/>
        <v>-1</v>
      </c>
      <c r="BA15" s="33">
        <f>Segunda!BA15</f>
        <v>0</v>
      </c>
      <c r="BB15" s="32">
        <f t="shared" si="54"/>
        <v>-1</v>
      </c>
      <c r="BC15" s="33">
        <f>Segunda!BC15</f>
        <v>0</v>
      </c>
      <c r="BD15" s="32">
        <f t="shared" si="55"/>
        <v>-1</v>
      </c>
      <c r="BE15" s="33">
        <f>Segunda!BE15</f>
        <v>0</v>
      </c>
      <c r="BF15" s="32">
        <f t="shared" si="56"/>
        <v>-1</v>
      </c>
      <c r="BG15" s="33">
        <f>Segunda!BG15</f>
        <v>0</v>
      </c>
      <c r="BH15" s="32">
        <f t="shared" si="57"/>
        <v>-1</v>
      </c>
      <c r="BI15" s="33">
        <f>Segunda!BI15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Segunda!B17</f>
        <v>0</v>
      </c>
      <c r="C17" s="33">
        <f>Segunda!C17</f>
        <v>0</v>
      </c>
      <c r="D17" s="32">
        <f t="shared" ref="D17:D37" si="59">IF($B17,C17/$B17,-1)</f>
        <v>-1</v>
      </c>
      <c r="E17" s="33">
        <f>Segunda!E17</f>
        <v>0</v>
      </c>
      <c r="F17" s="32">
        <f t="shared" ref="F17:F37" si="60">IF($B17,E17/$B17,-1)</f>
        <v>-1</v>
      </c>
      <c r="G17" s="33">
        <f>Segunda!G17</f>
        <v>0</v>
      </c>
      <c r="H17" s="32">
        <f t="shared" ref="H17:H37" si="61">IF($B17,G17/$B17,-1)</f>
        <v>-1</v>
      </c>
      <c r="I17" s="33">
        <f>Segunda!I17</f>
        <v>0</v>
      </c>
      <c r="J17" s="32">
        <f t="shared" ref="J17:J37" si="62">IF($B17,I17/$B17,-1)</f>
        <v>-1</v>
      </c>
      <c r="K17" s="33">
        <f>Segunda!K17</f>
        <v>0</v>
      </c>
      <c r="L17" s="32">
        <f t="shared" ref="L17:L37" si="63">IF($B17,K17/$B17,-1)</f>
        <v>-1</v>
      </c>
      <c r="M17" s="33">
        <f>Segunda!M17</f>
        <v>0</v>
      </c>
      <c r="N17" s="32">
        <f t="shared" ref="N17:N37" si="64">IF($B17,M17/$B17,-1)</f>
        <v>-1</v>
      </c>
      <c r="O17" s="33">
        <f>Segunda!O17</f>
        <v>0</v>
      </c>
      <c r="P17" s="32">
        <f t="shared" ref="P17:P37" si="65">IF($B17,O17/$B17,-1)</f>
        <v>-1</v>
      </c>
      <c r="Q17" s="33">
        <f>Segunda!Q17</f>
        <v>0</v>
      </c>
      <c r="R17" s="32">
        <f t="shared" ref="R17:R37" si="66">IF($B17,Q17/$B17,-1)</f>
        <v>-1</v>
      </c>
      <c r="S17" s="33">
        <f>Segunda!S17</f>
        <v>0</v>
      </c>
      <c r="T17" s="32">
        <f t="shared" ref="T17:T37" si="67">IF($B17,S17/$B17,-1)</f>
        <v>-1</v>
      </c>
      <c r="U17" s="33">
        <f>Segunda!U17</f>
        <v>0</v>
      </c>
      <c r="V17" s="32">
        <f t="shared" ref="V17:V37" si="68">IF($B17,U17/$B17,-1)</f>
        <v>-1</v>
      </c>
      <c r="W17" s="33">
        <f>Segunda!W17</f>
        <v>0</v>
      </c>
      <c r="X17" s="32">
        <f t="shared" ref="X17:X37" si="69">IF($B17,W17/$B17,-1)</f>
        <v>-1</v>
      </c>
      <c r="Y17" s="33">
        <f>Segunda!Y17</f>
        <v>0</v>
      </c>
      <c r="Z17" s="32">
        <f t="shared" ref="Z17:Z37" si="70">IF($B17,Y17/$B17,-1)</f>
        <v>-1</v>
      </c>
      <c r="AA17" s="33">
        <f>Segunda!AA17</f>
        <v>0</v>
      </c>
      <c r="AB17" s="32">
        <f t="shared" ref="AB17:AB37" si="71">IF($B17,AA17/$B17,-1)</f>
        <v>-1</v>
      </c>
      <c r="AC17" s="33">
        <f>Segunda!AC17</f>
        <v>0</v>
      </c>
      <c r="AD17" s="32">
        <f t="shared" ref="AD17:AD37" si="72">IF($B17,AC17/$B17,-1)</f>
        <v>-1</v>
      </c>
      <c r="AE17" s="33">
        <f>Segunda!AE17</f>
        <v>0</v>
      </c>
      <c r="AF17" s="32">
        <f t="shared" ref="AF17:AF37" si="73">IF($B17,AE17/$B17,-1)</f>
        <v>-1</v>
      </c>
      <c r="AG17" s="33">
        <f>Segunda!AG17</f>
        <v>0</v>
      </c>
      <c r="AH17" s="32">
        <f t="shared" ref="AH17:AH37" si="74">IF($B17,AG17/$B17,-1)</f>
        <v>-1</v>
      </c>
      <c r="AI17" s="33">
        <f>Segunda!AI17</f>
        <v>0</v>
      </c>
      <c r="AJ17" s="32">
        <f t="shared" ref="AJ17:AJ37" si="75">IF($B17,AI17/$B17,-1)</f>
        <v>-1</v>
      </c>
      <c r="AK17" s="33">
        <f>Segunda!AK17</f>
        <v>0</v>
      </c>
      <c r="AL17" s="32">
        <f t="shared" ref="AL17:AL37" si="76">IF($B17,AK17/$B17,-1)</f>
        <v>-1</v>
      </c>
      <c r="AM17" s="33">
        <f>Segunda!AM17</f>
        <v>0</v>
      </c>
      <c r="AN17" s="32">
        <f t="shared" ref="AN17:AN37" si="77">IF($B17,AM17/$B17,-1)</f>
        <v>-1</v>
      </c>
      <c r="AO17" s="33">
        <f>Segunda!AO17</f>
        <v>0</v>
      </c>
      <c r="AP17" s="32">
        <f t="shared" ref="AP17:AP37" si="78">IF($B17,AO17/$B17,-1)</f>
        <v>-1</v>
      </c>
      <c r="AQ17" s="33">
        <f>Segunda!AQ17</f>
        <v>0</v>
      </c>
      <c r="AR17" s="32">
        <f t="shared" ref="AR17:AR37" si="79">IF($B17,AQ17/$B17,-1)</f>
        <v>-1</v>
      </c>
      <c r="AS17" s="33">
        <f>Segunda!AS17</f>
        <v>0</v>
      </c>
      <c r="AT17" s="32">
        <f t="shared" ref="AT17:AT37" si="80">IF($B17,AS17/$B17,-1)</f>
        <v>-1</v>
      </c>
      <c r="AU17" s="33">
        <f>Segunda!AU17</f>
        <v>0</v>
      </c>
      <c r="AV17" s="32">
        <f t="shared" ref="AV17:AV37" si="81">IF($B17,AU17/$B17,-1)</f>
        <v>-1</v>
      </c>
      <c r="AW17" s="33">
        <f>Segunda!AW17</f>
        <v>0</v>
      </c>
      <c r="AX17" s="32">
        <f t="shared" ref="AX17:AX37" si="82">IF($B17,AW17/$B17,-1)</f>
        <v>-1</v>
      </c>
      <c r="AY17" s="33">
        <f>Segunda!AY17</f>
        <v>0</v>
      </c>
      <c r="AZ17" s="32">
        <f t="shared" ref="AZ17:AZ37" si="83">IF($B17,AY17/$B17,-1)</f>
        <v>-1</v>
      </c>
      <c r="BA17" s="33">
        <f>Segunda!BA17</f>
        <v>0</v>
      </c>
      <c r="BB17" s="32">
        <f t="shared" ref="BB17:BB37" si="84">IF($B17,BA17/$B17,-1)</f>
        <v>-1</v>
      </c>
      <c r="BC17" s="33">
        <f>Segunda!BC17</f>
        <v>0</v>
      </c>
      <c r="BD17" s="32">
        <f t="shared" ref="BD17:BD37" si="85">IF($B17,BC17/$B17,-1)</f>
        <v>-1</v>
      </c>
      <c r="BE17" s="33">
        <f>Segunda!BE17</f>
        <v>0</v>
      </c>
      <c r="BF17" s="32">
        <f t="shared" ref="BF17:BF37" si="86">IF($B17,BE17/$B17,-1)</f>
        <v>-1</v>
      </c>
      <c r="BG17" s="33">
        <f>Segunda!BG17</f>
        <v>0</v>
      </c>
      <c r="BH17" s="32">
        <f t="shared" ref="BH17:BH37" si="87">IF($B17,BG17/$B17,-1)</f>
        <v>-1</v>
      </c>
      <c r="BI17" s="33">
        <f>Segunda!BI17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Segunda!B18</f>
        <v>0</v>
      </c>
      <c r="C18" s="33">
        <f>Segunda!C18</f>
        <v>0</v>
      </c>
      <c r="D18" s="32">
        <f t="shared" si="59"/>
        <v>-1</v>
      </c>
      <c r="E18" s="33">
        <f>Segunda!E18</f>
        <v>0</v>
      </c>
      <c r="F18" s="32">
        <f t="shared" si="60"/>
        <v>-1</v>
      </c>
      <c r="G18" s="33">
        <f>Segunda!G18</f>
        <v>0</v>
      </c>
      <c r="H18" s="32">
        <f t="shared" si="61"/>
        <v>-1</v>
      </c>
      <c r="I18" s="33">
        <f>Segunda!I18</f>
        <v>0</v>
      </c>
      <c r="J18" s="32">
        <f t="shared" si="62"/>
        <v>-1</v>
      </c>
      <c r="K18" s="33">
        <f>Segunda!K18</f>
        <v>0</v>
      </c>
      <c r="L18" s="32">
        <f t="shared" si="63"/>
        <v>-1</v>
      </c>
      <c r="M18" s="33">
        <f>Segunda!M18</f>
        <v>0</v>
      </c>
      <c r="N18" s="32">
        <f t="shared" si="64"/>
        <v>-1</v>
      </c>
      <c r="O18" s="33">
        <f>Segunda!O18</f>
        <v>0</v>
      </c>
      <c r="P18" s="32">
        <f t="shared" si="65"/>
        <v>-1</v>
      </c>
      <c r="Q18" s="33">
        <f>Segunda!Q18</f>
        <v>0</v>
      </c>
      <c r="R18" s="32">
        <f t="shared" si="66"/>
        <v>-1</v>
      </c>
      <c r="S18" s="33">
        <f>Segunda!S18</f>
        <v>0</v>
      </c>
      <c r="T18" s="32">
        <f t="shared" si="67"/>
        <v>-1</v>
      </c>
      <c r="U18" s="33">
        <f>Segunda!U18</f>
        <v>0</v>
      </c>
      <c r="V18" s="32">
        <f t="shared" si="68"/>
        <v>-1</v>
      </c>
      <c r="W18" s="33">
        <f>Segunda!W18</f>
        <v>0</v>
      </c>
      <c r="X18" s="32">
        <f t="shared" si="69"/>
        <v>-1</v>
      </c>
      <c r="Y18" s="33">
        <f>Segunda!Y18</f>
        <v>0</v>
      </c>
      <c r="Z18" s="32">
        <f t="shared" si="70"/>
        <v>-1</v>
      </c>
      <c r="AA18" s="33">
        <f>Segunda!AA18</f>
        <v>0</v>
      </c>
      <c r="AB18" s="32">
        <f t="shared" si="71"/>
        <v>-1</v>
      </c>
      <c r="AC18" s="33">
        <f>Segunda!AC18</f>
        <v>0</v>
      </c>
      <c r="AD18" s="32">
        <f t="shared" si="72"/>
        <v>-1</v>
      </c>
      <c r="AE18" s="33">
        <f>Segunda!AE18</f>
        <v>0</v>
      </c>
      <c r="AF18" s="32">
        <f t="shared" si="73"/>
        <v>-1</v>
      </c>
      <c r="AG18" s="33">
        <f>Segunda!AG18</f>
        <v>0</v>
      </c>
      <c r="AH18" s="32">
        <f t="shared" si="74"/>
        <v>-1</v>
      </c>
      <c r="AI18" s="33">
        <f>Segunda!AI18</f>
        <v>0</v>
      </c>
      <c r="AJ18" s="32">
        <f t="shared" si="75"/>
        <v>-1</v>
      </c>
      <c r="AK18" s="33">
        <f>Segunda!AK18</f>
        <v>0</v>
      </c>
      <c r="AL18" s="32">
        <f t="shared" si="76"/>
        <v>-1</v>
      </c>
      <c r="AM18" s="33">
        <f>Segunda!AM18</f>
        <v>0</v>
      </c>
      <c r="AN18" s="32">
        <f t="shared" si="77"/>
        <v>-1</v>
      </c>
      <c r="AO18" s="33">
        <f>Segunda!AO18</f>
        <v>0</v>
      </c>
      <c r="AP18" s="32">
        <f t="shared" si="78"/>
        <v>-1</v>
      </c>
      <c r="AQ18" s="33">
        <f>Segunda!AQ18</f>
        <v>0</v>
      </c>
      <c r="AR18" s="32">
        <f t="shared" si="79"/>
        <v>-1</v>
      </c>
      <c r="AS18" s="33">
        <f>Segunda!AS18</f>
        <v>0</v>
      </c>
      <c r="AT18" s="32">
        <f t="shared" si="80"/>
        <v>-1</v>
      </c>
      <c r="AU18" s="33">
        <f>Segunda!AU18</f>
        <v>0</v>
      </c>
      <c r="AV18" s="32">
        <f t="shared" si="81"/>
        <v>-1</v>
      </c>
      <c r="AW18" s="33">
        <f>Segunda!AW18</f>
        <v>0</v>
      </c>
      <c r="AX18" s="32">
        <f t="shared" si="82"/>
        <v>-1</v>
      </c>
      <c r="AY18" s="33">
        <f>Segunda!AY18</f>
        <v>0</v>
      </c>
      <c r="AZ18" s="32">
        <f t="shared" si="83"/>
        <v>-1</v>
      </c>
      <c r="BA18" s="33">
        <f>Segunda!BA18</f>
        <v>0</v>
      </c>
      <c r="BB18" s="32">
        <f t="shared" si="84"/>
        <v>-1</v>
      </c>
      <c r="BC18" s="33">
        <f>Segunda!BC18</f>
        <v>0</v>
      </c>
      <c r="BD18" s="32">
        <f t="shared" si="85"/>
        <v>-1</v>
      </c>
      <c r="BE18" s="33">
        <f>Segunda!BE18</f>
        <v>0</v>
      </c>
      <c r="BF18" s="32">
        <f t="shared" si="86"/>
        <v>-1</v>
      </c>
      <c r="BG18" s="33">
        <f>Segunda!BG18</f>
        <v>0</v>
      </c>
      <c r="BH18" s="32">
        <f t="shared" si="87"/>
        <v>-1</v>
      </c>
      <c r="BI18" s="33">
        <f>Segunda!BI18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Segunda!B19</f>
        <v>0</v>
      </c>
      <c r="C19" s="33">
        <f>Segunda!C19</f>
        <v>0</v>
      </c>
      <c r="D19" s="32">
        <f t="shared" si="59"/>
        <v>-1</v>
      </c>
      <c r="E19" s="33">
        <f>Segunda!E19</f>
        <v>0</v>
      </c>
      <c r="F19" s="32">
        <f t="shared" si="60"/>
        <v>-1</v>
      </c>
      <c r="G19" s="33">
        <f>Segunda!G19</f>
        <v>0</v>
      </c>
      <c r="H19" s="32">
        <f t="shared" si="61"/>
        <v>-1</v>
      </c>
      <c r="I19" s="33">
        <f>Segunda!I19</f>
        <v>0</v>
      </c>
      <c r="J19" s="32">
        <f t="shared" si="62"/>
        <v>-1</v>
      </c>
      <c r="K19" s="33">
        <f>Segunda!K19</f>
        <v>0</v>
      </c>
      <c r="L19" s="32">
        <f t="shared" si="63"/>
        <v>-1</v>
      </c>
      <c r="M19" s="33">
        <f>Segunda!M19</f>
        <v>0</v>
      </c>
      <c r="N19" s="32">
        <f t="shared" si="64"/>
        <v>-1</v>
      </c>
      <c r="O19" s="33">
        <f>Segunda!O19</f>
        <v>0</v>
      </c>
      <c r="P19" s="32">
        <f t="shared" si="65"/>
        <v>-1</v>
      </c>
      <c r="Q19" s="33">
        <f>Segunda!Q19</f>
        <v>0</v>
      </c>
      <c r="R19" s="32">
        <f t="shared" si="66"/>
        <v>-1</v>
      </c>
      <c r="S19" s="33">
        <f>Segunda!S19</f>
        <v>0</v>
      </c>
      <c r="T19" s="32">
        <f t="shared" si="67"/>
        <v>-1</v>
      </c>
      <c r="U19" s="33">
        <f>Segunda!U19</f>
        <v>0</v>
      </c>
      <c r="V19" s="32">
        <f t="shared" si="68"/>
        <v>-1</v>
      </c>
      <c r="W19" s="33">
        <f>Segunda!W19</f>
        <v>0</v>
      </c>
      <c r="X19" s="32">
        <f t="shared" si="69"/>
        <v>-1</v>
      </c>
      <c r="Y19" s="33">
        <f>Segunda!Y19</f>
        <v>0</v>
      </c>
      <c r="Z19" s="32">
        <f t="shared" si="70"/>
        <v>-1</v>
      </c>
      <c r="AA19" s="33">
        <f>Segunda!AA19</f>
        <v>0</v>
      </c>
      <c r="AB19" s="32">
        <f t="shared" si="71"/>
        <v>-1</v>
      </c>
      <c r="AC19" s="33">
        <f>Segunda!AC19</f>
        <v>0</v>
      </c>
      <c r="AD19" s="32">
        <f t="shared" si="72"/>
        <v>-1</v>
      </c>
      <c r="AE19" s="33">
        <f>Segunda!AE19</f>
        <v>0</v>
      </c>
      <c r="AF19" s="32">
        <f t="shared" si="73"/>
        <v>-1</v>
      </c>
      <c r="AG19" s="33">
        <f>Segunda!AG19</f>
        <v>0</v>
      </c>
      <c r="AH19" s="32">
        <f t="shared" si="74"/>
        <v>-1</v>
      </c>
      <c r="AI19" s="33">
        <f>Segunda!AI19</f>
        <v>0</v>
      </c>
      <c r="AJ19" s="32">
        <f t="shared" si="75"/>
        <v>-1</v>
      </c>
      <c r="AK19" s="33">
        <f>Segunda!AK19</f>
        <v>0</v>
      </c>
      <c r="AL19" s="32">
        <f t="shared" si="76"/>
        <v>-1</v>
      </c>
      <c r="AM19" s="33">
        <f>Segunda!AM19</f>
        <v>0</v>
      </c>
      <c r="AN19" s="32">
        <f t="shared" si="77"/>
        <v>-1</v>
      </c>
      <c r="AO19" s="33">
        <f>Segunda!AO19</f>
        <v>0</v>
      </c>
      <c r="AP19" s="32">
        <f t="shared" si="78"/>
        <v>-1</v>
      </c>
      <c r="AQ19" s="33">
        <f>Segunda!AQ19</f>
        <v>0</v>
      </c>
      <c r="AR19" s="32">
        <f t="shared" si="79"/>
        <v>-1</v>
      </c>
      <c r="AS19" s="33">
        <f>Segunda!AS19</f>
        <v>0</v>
      </c>
      <c r="AT19" s="32">
        <f t="shared" si="80"/>
        <v>-1</v>
      </c>
      <c r="AU19" s="33">
        <f>Segunda!AU19</f>
        <v>0</v>
      </c>
      <c r="AV19" s="32">
        <f t="shared" si="81"/>
        <v>-1</v>
      </c>
      <c r="AW19" s="33">
        <f>Segunda!AW19</f>
        <v>0</v>
      </c>
      <c r="AX19" s="32">
        <f t="shared" si="82"/>
        <v>-1</v>
      </c>
      <c r="AY19" s="33">
        <f>Segunda!AY19</f>
        <v>0</v>
      </c>
      <c r="AZ19" s="32">
        <f t="shared" si="83"/>
        <v>-1</v>
      </c>
      <c r="BA19" s="33">
        <f>Segunda!BA19</f>
        <v>0</v>
      </c>
      <c r="BB19" s="32">
        <f t="shared" si="84"/>
        <v>-1</v>
      </c>
      <c r="BC19" s="33">
        <f>Segunda!BC19</f>
        <v>0</v>
      </c>
      <c r="BD19" s="32">
        <f t="shared" si="85"/>
        <v>-1</v>
      </c>
      <c r="BE19" s="33">
        <f>Segunda!BE19</f>
        <v>0</v>
      </c>
      <c r="BF19" s="32">
        <f t="shared" si="86"/>
        <v>-1</v>
      </c>
      <c r="BG19" s="33">
        <f>Segunda!BG19</f>
        <v>0</v>
      </c>
      <c r="BH19" s="32">
        <f t="shared" si="87"/>
        <v>-1</v>
      </c>
      <c r="BI19" s="33">
        <f>Segunda!BI19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Segunda!B20</f>
        <v>0</v>
      </c>
      <c r="C20" s="33">
        <f>Segunda!C20</f>
        <v>0</v>
      </c>
      <c r="D20" s="32">
        <f t="shared" si="59"/>
        <v>-1</v>
      </c>
      <c r="E20" s="33">
        <f>Segunda!E20</f>
        <v>0</v>
      </c>
      <c r="F20" s="32">
        <f t="shared" si="60"/>
        <v>-1</v>
      </c>
      <c r="G20" s="33">
        <f>Segunda!G20</f>
        <v>0</v>
      </c>
      <c r="H20" s="32">
        <f t="shared" si="61"/>
        <v>-1</v>
      </c>
      <c r="I20" s="33">
        <f>Segunda!I20</f>
        <v>0</v>
      </c>
      <c r="J20" s="32">
        <f t="shared" si="62"/>
        <v>-1</v>
      </c>
      <c r="K20" s="33">
        <f>Segunda!K20</f>
        <v>0</v>
      </c>
      <c r="L20" s="32">
        <f t="shared" si="63"/>
        <v>-1</v>
      </c>
      <c r="M20" s="33">
        <f>Segunda!M20</f>
        <v>0</v>
      </c>
      <c r="N20" s="32">
        <f t="shared" si="64"/>
        <v>-1</v>
      </c>
      <c r="O20" s="33">
        <f>Segunda!O20</f>
        <v>0</v>
      </c>
      <c r="P20" s="32">
        <f t="shared" si="65"/>
        <v>-1</v>
      </c>
      <c r="Q20" s="33">
        <f>Segunda!Q20</f>
        <v>0</v>
      </c>
      <c r="R20" s="32">
        <f t="shared" si="66"/>
        <v>-1</v>
      </c>
      <c r="S20" s="33">
        <f>Segunda!S20</f>
        <v>0</v>
      </c>
      <c r="T20" s="32">
        <f t="shared" si="67"/>
        <v>-1</v>
      </c>
      <c r="U20" s="33">
        <f>Segunda!U20</f>
        <v>0</v>
      </c>
      <c r="V20" s="32">
        <f t="shared" si="68"/>
        <v>-1</v>
      </c>
      <c r="W20" s="33">
        <f>Segunda!W20</f>
        <v>0</v>
      </c>
      <c r="X20" s="32">
        <f t="shared" si="69"/>
        <v>-1</v>
      </c>
      <c r="Y20" s="33">
        <f>Segunda!Y20</f>
        <v>0</v>
      </c>
      <c r="Z20" s="32">
        <f t="shared" si="70"/>
        <v>-1</v>
      </c>
      <c r="AA20" s="33">
        <f>Segunda!AA20</f>
        <v>0</v>
      </c>
      <c r="AB20" s="32">
        <f t="shared" si="71"/>
        <v>-1</v>
      </c>
      <c r="AC20" s="33">
        <f>Segunda!AC20</f>
        <v>0</v>
      </c>
      <c r="AD20" s="32">
        <f t="shared" si="72"/>
        <v>-1</v>
      </c>
      <c r="AE20" s="33">
        <f>Segunda!AE20</f>
        <v>0</v>
      </c>
      <c r="AF20" s="32">
        <f t="shared" si="73"/>
        <v>-1</v>
      </c>
      <c r="AG20" s="33">
        <f>Segunda!AG20</f>
        <v>0</v>
      </c>
      <c r="AH20" s="32">
        <f t="shared" si="74"/>
        <v>-1</v>
      </c>
      <c r="AI20" s="33">
        <f>Segunda!AI20</f>
        <v>0</v>
      </c>
      <c r="AJ20" s="32">
        <f t="shared" si="75"/>
        <v>-1</v>
      </c>
      <c r="AK20" s="33">
        <f>Segunda!AK20</f>
        <v>0</v>
      </c>
      <c r="AL20" s="32">
        <f t="shared" si="76"/>
        <v>-1</v>
      </c>
      <c r="AM20" s="33">
        <f>Segunda!AM20</f>
        <v>0</v>
      </c>
      <c r="AN20" s="32">
        <f t="shared" si="77"/>
        <v>-1</v>
      </c>
      <c r="AO20" s="33">
        <f>Segunda!AO20</f>
        <v>0</v>
      </c>
      <c r="AP20" s="32">
        <f t="shared" si="78"/>
        <v>-1</v>
      </c>
      <c r="AQ20" s="33">
        <f>Segunda!AQ20</f>
        <v>0</v>
      </c>
      <c r="AR20" s="32">
        <f t="shared" si="79"/>
        <v>-1</v>
      </c>
      <c r="AS20" s="33">
        <f>Segunda!AS20</f>
        <v>0</v>
      </c>
      <c r="AT20" s="32">
        <f t="shared" si="80"/>
        <v>-1</v>
      </c>
      <c r="AU20" s="33">
        <f>Segunda!AU20</f>
        <v>0</v>
      </c>
      <c r="AV20" s="32">
        <f t="shared" si="81"/>
        <v>-1</v>
      </c>
      <c r="AW20" s="33">
        <f>Segunda!AW20</f>
        <v>0</v>
      </c>
      <c r="AX20" s="32">
        <f t="shared" si="82"/>
        <v>-1</v>
      </c>
      <c r="AY20" s="33">
        <f>Segunda!AY20</f>
        <v>0</v>
      </c>
      <c r="AZ20" s="32">
        <f t="shared" si="83"/>
        <v>-1</v>
      </c>
      <c r="BA20" s="33">
        <f>Segunda!BA20</f>
        <v>0</v>
      </c>
      <c r="BB20" s="32">
        <f t="shared" si="84"/>
        <v>-1</v>
      </c>
      <c r="BC20" s="33">
        <f>Segunda!BC20</f>
        <v>0</v>
      </c>
      <c r="BD20" s="32">
        <f t="shared" si="85"/>
        <v>-1</v>
      </c>
      <c r="BE20" s="33">
        <f>Segunda!BE20</f>
        <v>0</v>
      </c>
      <c r="BF20" s="32">
        <f t="shared" si="86"/>
        <v>-1</v>
      </c>
      <c r="BG20" s="33">
        <f>Segunda!BG20</f>
        <v>0</v>
      </c>
      <c r="BH20" s="32">
        <f t="shared" si="87"/>
        <v>-1</v>
      </c>
      <c r="BI20" s="33">
        <f>Segunda!BI20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Segunda!B21</f>
        <v>0</v>
      </c>
      <c r="C21" s="33">
        <f>Segunda!C21</f>
        <v>0</v>
      </c>
      <c r="D21" s="32">
        <f t="shared" si="59"/>
        <v>-1</v>
      </c>
      <c r="E21" s="33">
        <f>Segunda!E21</f>
        <v>0</v>
      </c>
      <c r="F21" s="32">
        <f t="shared" si="60"/>
        <v>-1</v>
      </c>
      <c r="G21" s="33">
        <f>Segunda!G21</f>
        <v>0</v>
      </c>
      <c r="H21" s="32">
        <f t="shared" si="61"/>
        <v>-1</v>
      </c>
      <c r="I21" s="33">
        <f>Segunda!I21</f>
        <v>0</v>
      </c>
      <c r="J21" s="32">
        <f t="shared" si="62"/>
        <v>-1</v>
      </c>
      <c r="K21" s="33">
        <f>Segunda!K21</f>
        <v>0</v>
      </c>
      <c r="L21" s="32">
        <f t="shared" si="63"/>
        <v>-1</v>
      </c>
      <c r="M21" s="33">
        <f>Segunda!M21</f>
        <v>0</v>
      </c>
      <c r="N21" s="32">
        <f t="shared" si="64"/>
        <v>-1</v>
      </c>
      <c r="O21" s="33">
        <f>Segunda!O21</f>
        <v>0</v>
      </c>
      <c r="P21" s="32">
        <f t="shared" si="65"/>
        <v>-1</v>
      </c>
      <c r="Q21" s="33">
        <f>Segunda!Q21</f>
        <v>0</v>
      </c>
      <c r="R21" s="32">
        <f t="shared" si="66"/>
        <v>-1</v>
      </c>
      <c r="S21" s="33">
        <f>Segunda!S21</f>
        <v>0</v>
      </c>
      <c r="T21" s="32">
        <f t="shared" si="67"/>
        <v>-1</v>
      </c>
      <c r="U21" s="33">
        <f>Segunda!U21</f>
        <v>0</v>
      </c>
      <c r="V21" s="32">
        <f t="shared" si="68"/>
        <v>-1</v>
      </c>
      <c r="W21" s="33">
        <f>Segunda!W21</f>
        <v>0</v>
      </c>
      <c r="X21" s="32">
        <f t="shared" si="69"/>
        <v>-1</v>
      </c>
      <c r="Y21" s="33">
        <f>Segunda!Y21</f>
        <v>0</v>
      </c>
      <c r="Z21" s="32">
        <f t="shared" si="70"/>
        <v>-1</v>
      </c>
      <c r="AA21" s="33">
        <f>Segunda!AA21</f>
        <v>0</v>
      </c>
      <c r="AB21" s="32">
        <f t="shared" si="71"/>
        <v>-1</v>
      </c>
      <c r="AC21" s="33">
        <f>Segunda!AC21</f>
        <v>0</v>
      </c>
      <c r="AD21" s="32">
        <f t="shared" si="72"/>
        <v>-1</v>
      </c>
      <c r="AE21" s="33">
        <f>Segunda!AE21</f>
        <v>0</v>
      </c>
      <c r="AF21" s="32">
        <f t="shared" si="73"/>
        <v>-1</v>
      </c>
      <c r="AG21" s="33">
        <f>Segunda!AG21</f>
        <v>0</v>
      </c>
      <c r="AH21" s="32">
        <f t="shared" si="74"/>
        <v>-1</v>
      </c>
      <c r="AI21" s="33">
        <f>Segunda!AI21</f>
        <v>0</v>
      </c>
      <c r="AJ21" s="32">
        <f t="shared" si="75"/>
        <v>-1</v>
      </c>
      <c r="AK21" s="33">
        <f>Segunda!AK21</f>
        <v>0</v>
      </c>
      <c r="AL21" s="32">
        <f t="shared" si="76"/>
        <v>-1</v>
      </c>
      <c r="AM21" s="33">
        <f>Segunda!AM21</f>
        <v>0</v>
      </c>
      <c r="AN21" s="32">
        <f t="shared" si="77"/>
        <v>-1</v>
      </c>
      <c r="AO21" s="33">
        <f>Segunda!AO21</f>
        <v>0</v>
      </c>
      <c r="AP21" s="32">
        <f t="shared" si="78"/>
        <v>-1</v>
      </c>
      <c r="AQ21" s="33">
        <f>Segunda!AQ21</f>
        <v>0</v>
      </c>
      <c r="AR21" s="32">
        <f t="shared" si="79"/>
        <v>-1</v>
      </c>
      <c r="AS21" s="33">
        <f>Segunda!AS21</f>
        <v>0</v>
      </c>
      <c r="AT21" s="32">
        <f t="shared" si="80"/>
        <v>-1</v>
      </c>
      <c r="AU21" s="33">
        <f>Segunda!AU21</f>
        <v>0</v>
      </c>
      <c r="AV21" s="32">
        <f t="shared" si="81"/>
        <v>-1</v>
      </c>
      <c r="AW21" s="33">
        <f>Segunda!AW21</f>
        <v>0</v>
      </c>
      <c r="AX21" s="32">
        <f t="shared" si="82"/>
        <v>-1</v>
      </c>
      <c r="AY21" s="33">
        <f>Segunda!AY21</f>
        <v>0</v>
      </c>
      <c r="AZ21" s="32">
        <f t="shared" si="83"/>
        <v>-1</v>
      </c>
      <c r="BA21" s="33">
        <f>Segunda!BA21</f>
        <v>0</v>
      </c>
      <c r="BB21" s="32">
        <f t="shared" si="84"/>
        <v>-1</v>
      </c>
      <c r="BC21" s="33">
        <f>Segunda!BC21</f>
        <v>0</v>
      </c>
      <c r="BD21" s="32">
        <f t="shared" si="85"/>
        <v>-1</v>
      </c>
      <c r="BE21" s="33">
        <f>Segunda!BE21</f>
        <v>0</v>
      </c>
      <c r="BF21" s="32">
        <f t="shared" si="86"/>
        <v>-1</v>
      </c>
      <c r="BG21" s="33">
        <f>Segunda!BG21</f>
        <v>0</v>
      </c>
      <c r="BH21" s="32">
        <f t="shared" si="87"/>
        <v>-1</v>
      </c>
      <c r="BI21" s="33">
        <f>Segunda!BI21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Segunda!B22</f>
        <v>0</v>
      </c>
      <c r="C22" s="33">
        <f>Segunda!C22</f>
        <v>0</v>
      </c>
      <c r="D22" s="32">
        <f t="shared" si="59"/>
        <v>-1</v>
      </c>
      <c r="E22" s="33">
        <f>Segunda!E22</f>
        <v>0</v>
      </c>
      <c r="F22" s="32">
        <f t="shared" si="60"/>
        <v>-1</v>
      </c>
      <c r="G22" s="33">
        <f>Segunda!G22</f>
        <v>0</v>
      </c>
      <c r="H22" s="32">
        <f t="shared" si="61"/>
        <v>-1</v>
      </c>
      <c r="I22" s="33">
        <f>Segunda!I22</f>
        <v>0</v>
      </c>
      <c r="J22" s="32">
        <f t="shared" si="62"/>
        <v>-1</v>
      </c>
      <c r="K22" s="33">
        <f>Segunda!K22</f>
        <v>0</v>
      </c>
      <c r="L22" s="32">
        <f t="shared" si="63"/>
        <v>-1</v>
      </c>
      <c r="M22" s="33">
        <f>Segunda!M22</f>
        <v>0</v>
      </c>
      <c r="N22" s="32">
        <f t="shared" si="64"/>
        <v>-1</v>
      </c>
      <c r="O22" s="33">
        <f>Segunda!O22</f>
        <v>0</v>
      </c>
      <c r="P22" s="32">
        <f t="shared" si="65"/>
        <v>-1</v>
      </c>
      <c r="Q22" s="33">
        <f>Segunda!Q22</f>
        <v>0</v>
      </c>
      <c r="R22" s="32">
        <f t="shared" si="66"/>
        <v>-1</v>
      </c>
      <c r="S22" s="33">
        <f>Segunda!S22</f>
        <v>0</v>
      </c>
      <c r="T22" s="32">
        <f t="shared" si="67"/>
        <v>-1</v>
      </c>
      <c r="U22" s="33">
        <f>Segunda!U22</f>
        <v>0</v>
      </c>
      <c r="V22" s="32">
        <f t="shared" si="68"/>
        <v>-1</v>
      </c>
      <c r="W22" s="33">
        <f>Segunda!W22</f>
        <v>0</v>
      </c>
      <c r="X22" s="32">
        <f t="shared" si="69"/>
        <v>-1</v>
      </c>
      <c r="Y22" s="33">
        <f>Segunda!Y22</f>
        <v>0</v>
      </c>
      <c r="Z22" s="32">
        <f t="shared" si="70"/>
        <v>-1</v>
      </c>
      <c r="AA22" s="33">
        <f>Segunda!AA22</f>
        <v>0</v>
      </c>
      <c r="AB22" s="32">
        <f t="shared" si="71"/>
        <v>-1</v>
      </c>
      <c r="AC22" s="33">
        <f>Segunda!AC22</f>
        <v>0</v>
      </c>
      <c r="AD22" s="32">
        <f t="shared" si="72"/>
        <v>-1</v>
      </c>
      <c r="AE22" s="33">
        <f>Segunda!AE22</f>
        <v>0</v>
      </c>
      <c r="AF22" s="32">
        <f t="shared" si="73"/>
        <v>-1</v>
      </c>
      <c r="AG22" s="33">
        <f>Segunda!AG22</f>
        <v>0</v>
      </c>
      <c r="AH22" s="32">
        <f t="shared" si="74"/>
        <v>-1</v>
      </c>
      <c r="AI22" s="33">
        <f>Segunda!AI22</f>
        <v>0</v>
      </c>
      <c r="AJ22" s="32">
        <f t="shared" si="75"/>
        <v>-1</v>
      </c>
      <c r="AK22" s="33">
        <f>Segunda!AK22</f>
        <v>0</v>
      </c>
      <c r="AL22" s="32">
        <f t="shared" si="76"/>
        <v>-1</v>
      </c>
      <c r="AM22" s="33">
        <f>Segunda!AM22</f>
        <v>0</v>
      </c>
      <c r="AN22" s="32">
        <f t="shared" si="77"/>
        <v>-1</v>
      </c>
      <c r="AO22" s="33">
        <f>Segunda!AO22</f>
        <v>0</v>
      </c>
      <c r="AP22" s="32">
        <f t="shared" si="78"/>
        <v>-1</v>
      </c>
      <c r="AQ22" s="33">
        <f>Segunda!AQ22</f>
        <v>0</v>
      </c>
      <c r="AR22" s="32">
        <f t="shared" si="79"/>
        <v>-1</v>
      </c>
      <c r="AS22" s="33">
        <f>Segunda!AS22</f>
        <v>0</v>
      </c>
      <c r="AT22" s="32">
        <f t="shared" si="80"/>
        <v>-1</v>
      </c>
      <c r="AU22" s="33">
        <f>Segunda!AU22</f>
        <v>0</v>
      </c>
      <c r="AV22" s="32">
        <f t="shared" si="81"/>
        <v>-1</v>
      </c>
      <c r="AW22" s="33">
        <f>Segunda!AW22</f>
        <v>0</v>
      </c>
      <c r="AX22" s="32">
        <f t="shared" si="82"/>
        <v>-1</v>
      </c>
      <c r="AY22" s="33">
        <f>Segunda!AY22</f>
        <v>0</v>
      </c>
      <c r="AZ22" s="32">
        <f t="shared" si="83"/>
        <v>-1</v>
      </c>
      <c r="BA22" s="33">
        <f>Segunda!BA22</f>
        <v>0</v>
      </c>
      <c r="BB22" s="32">
        <f t="shared" si="84"/>
        <v>-1</v>
      </c>
      <c r="BC22" s="33">
        <f>Segunda!BC22</f>
        <v>0</v>
      </c>
      <c r="BD22" s="32">
        <f t="shared" si="85"/>
        <v>-1</v>
      </c>
      <c r="BE22" s="33">
        <f>Segunda!BE22</f>
        <v>0</v>
      </c>
      <c r="BF22" s="32">
        <f t="shared" si="86"/>
        <v>-1</v>
      </c>
      <c r="BG22" s="33">
        <f>Segunda!BG22</f>
        <v>0</v>
      </c>
      <c r="BH22" s="32">
        <f t="shared" si="87"/>
        <v>-1</v>
      </c>
      <c r="BI22" s="33">
        <f>Segunda!BI22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Segunda!B23</f>
        <v>0</v>
      </c>
      <c r="C23" s="33">
        <f>Segunda!C23</f>
        <v>0</v>
      </c>
      <c r="D23" s="32">
        <f t="shared" si="59"/>
        <v>-1</v>
      </c>
      <c r="E23" s="33">
        <f>Segunda!E23</f>
        <v>0</v>
      </c>
      <c r="F23" s="32">
        <f t="shared" si="60"/>
        <v>-1</v>
      </c>
      <c r="G23" s="33">
        <f>Segunda!G23</f>
        <v>0</v>
      </c>
      <c r="H23" s="32">
        <f t="shared" si="61"/>
        <v>-1</v>
      </c>
      <c r="I23" s="33">
        <f>Segunda!I23</f>
        <v>0</v>
      </c>
      <c r="J23" s="32">
        <f t="shared" si="62"/>
        <v>-1</v>
      </c>
      <c r="K23" s="33">
        <f>Segunda!K23</f>
        <v>0</v>
      </c>
      <c r="L23" s="32">
        <f t="shared" si="63"/>
        <v>-1</v>
      </c>
      <c r="M23" s="33">
        <f>Segunda!M23</f>
        <v>0</v>
      </c>
      <c r="N23" s="32">
        <f t="shared" si="64"/>
        <v>-1</v>
      </c>
      <c r="O23" s="33">
        <f>Segunda!O23</f>
        <v>0</v>
      </c>
      <c r="P23" s="32">
        <f t="shared" si="65"/>
        <v>-1</v>
      </c>
      <c r="Q23" s="33">
        <f>Segunda!Q23</f>
        <v>0</v>
      </c>
      <c r="R23" s="32">
        <f t="shared" si="66"/>
        <v>-1</v>
      </c>
      <c r="S23" s="33">
        <f>Segunda!S23</f>
        <v>0</v>
      </c>
      <c r="T23" s="32">
        <f t="shared" si="67"/>
        <v>-1</v>
      </c>
      <c r="U23" s="33">
        <f>Segunda!U23</f>
        <v>0</v>
      </c>
      <c r="V23" s="32">
        <f t="shared" si="68"/>
        <v>-1</v>
      </c>
      <c r="W23" s="33">
        <f>Segunda!W23</f>
        <v>0</v>
      </c>
      <c r="X23" s="32">
        <f t="shared" si="69"/>
        <v>-1</v>
      </c>
      <c r="Y23" s="33">
        <f>Segunda!Y23</f>
        <v>0</v>
      </c>
      <c r="Z23" s="32">
        <f t="shared" si="70"/>
        <v>-1</v>
      </c>
      <c r="AA23" s="33">
        <f>Segunda!AA23</f>
        <v>0</v>
      </c>
      <c r="AB23" s="32">
        <f t="shared" si="71"/>
        <v>-1</v>
      </c>
      <c r="AC23" s="33">
        <f>Segunda!AC23</f>
        <v>0</v>
      </c>
      <c r="AD23" s="32">
        <f t="shared" si="72"/>
        <v>-1</v>
      </c>
      <c r="AE23" s="33">
        <f>Segunda!AE23</f>
        <v>0</v>
      </c>
      <c r="AF23" s="32">
        <f t="shared" si="73"/>
        <v>-1</v>
      </c>
      <c r="AG23" s="33">
        <f>Segunda!AG23</f>
        <v>0</v>
      </c>
      <c r="AH23" s="32">
        <f t="shared" si="74"/>
        <v>-1</v>
      </c>
      <c r="AI23" s="33">
        <f>Segunda!AI23</f>
        <v>0</v>
      </c>
      <c r="AJ23" s="32">
        <f t="shared" si="75"/>
        <v>-1</v>
      </c>
      <c r="AK23" s="33">
        <f>Segunda!AK23</f>
        <v>0</v>
      </c>
      <c r="AL23" s="32">
        <f t="shared" si="76"/>
        <v>-1</v>
      </c>
      <c r="AM23" s="33">
        <f>Segunda!AM23</f>
        <v>0</v>
      </c>
      <c r="AN23" s="32">
        <f t="shared" si="77"/>
        <v>-1</v>
      </c>
      <c r="AO23" s="33">
        <f>Segunda!AO23</f>
        <v>0</v>
      </c>
      <c r="AP23" s="32">
        <f t="shared" si="78"/>
        <v>-1</v>
      </c>
      <c r="AQ23" s="33">
        <f>Segunda!AQ23</f>
        <v>0</v>
      </c>
      <c r="AR23" s="32">
        <f t="shared" si="79"/>
        <v>-1</v>
      </c>
      <c r="AS23" s="33">
        <f>Segunda!AS23</f>
        <v>0</v>
      </c>
      <c r="AT23" s="32">
        <f t="shared" si="80"/>
        <v>-1</v>
      </c>
      <c r="AU23" s="33">
        <f>Segunda!AU23</f>
        <v>0</v>
      </c>
      <c r="AV23" s="32">
        <f t="shared" si="81"/>
        <v>-1</v>
      </c>
      <c r="AW23" s="33">
        <f>Segunda!AW23</f>
        <v>0</v>
      </c>
      <c r="AX23" s="32">
        <f t="shared" si="82"/>
        <v>-1</v>
      </c>
      <c r="AY23" s="33">
        <f>Segunda!AY23</f>
        <v>0</v>
      </c>
      <c r="AZ23" s="32">
        <f t="shared" si="83"/>
        <v>-1</v>
      </c>
      <c r="BA23" s="33">
        <f>Segunda!BA23</f>
        <v>0</v>
      </c>
      <c r="BB23" s="32">
        <f t="shared" si="84"/>
        <v>-1</v>
      </c>
      <c r="BC23" s="33">
        <f>Segunda!BC23</f>
        <v>0</v>
      </c>
      <c r="BD23" s="32">
        <f t="shared" si="85"/>
        <v>-1</v>
      </c>
      <c r="BE23" s="33">
        <f>Segunda!BE23</f>
        <v>0</v>
      </c>
      <c r="BF23" s="32">
        <f t="shared" si="86"/>
        <v>-1</v>
      </c>
      <c r="BG23" s="33">
        <f>Segunda!BG23</f>
        <v>0</v>
      </c>
      <c r="BH23" s="32">
        <f t="shared" si="87"/>
        <v>-1</v>
      </c>
      <c r="BI23" s="33">
        <f>Segunda!BI23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Segunda!B24</f>
        <v>0</v>
      </c>
      <c r="C24" s="33">
        <f>Segunda!C24</f>
        <v>0</v>
      </c>
      <c r="D24" s="32">
        <f t="shared" si="59"/>
        <v>-1</v>
      </c>
      <c r="E24" s="33">
        <f>Segunda!E24</f>
        <v>0</v>
      </c>
      <c r="F24" s="32">
        <f t="shared" si="60"/>
        <v>-1</v>
      </c>
      <c r="G24" s="33">
        <f>Segunda!G24</f>
        <v>0</v>
      </c>
      <c r="H24" s="32">
        <f t="shared" si="61"/>
        <v>-1</v>
      </c>
      <c r="I24" s="33">
        <f>Segunda!I24</f>
        <v>0</v>
      </c>
      <c r="J24" s="32">
        <f t="shared" si="62"/>
        <v>-1</v>
      </c>
      <c r="K24" s="33">
        <f>Segunda!K24</f>
        <v>0</v>
      </c>
      <c r="L24" s="32">
        <f t="shared" si="63"/>
        <v>-1</v>
      </c>
      <c r="M24" s="33">
        <f>Segunda!M24</f>
        <v>0</v>
      </c>
      <c r="N24" s="32">
        <f t="shared" si="64"/>
        <v>-1</v>
      </c>
      <c r="O24" s="33">
        <f>Segunda!O24</f>
        <v>0</v>
      </c>
      <c r="P24" s="32">
        <f t="shared" si="65"/>
        <v>-1</v>
      </c>
      <c r="Q24" s="33">
        <f>Segunda!Q24</f>
        <v>0</v>
      </c>
      <c r="R24" s="32">
        <f t="shared" si="66"/>
        <v>-1</v>
      </c>
      <c r="S24" s="33">
        <f>Segunda!S24</f>
        <v>0</v>
      </c>
      <c r="T24" s="32">
        <f t="shared" si="67"/>
        <v>-1</v>
      </c>
      <c r="U24" s="33">
        <f>Segunda!U24</f>
        <v>0</v>
      </c>
      <c r="V24" s="32">
        <f t="shared" si="68"/>
        <v>-1</v>
      </c>
      <c r="W24" s="33">
        <f>Segunda!W24</f>
        <v>0</v>
      </c>
      <c r="X24" s="32">
        <f t="shared" si="69"/>
        <v>-1</v>
      </c>
      <c r="Y24" s="33">
        <f>Segunda!Y24</f>
        <v>0</v>
      </c>
      <c r="Z24" s="32">
        <f t="shared" si="70"/>
        <v>-1</v>
      </c>
      <c r="AA24" s="33">
        <f>Segunda!AA24</f>
        <v>0</v>
      </c>
      <c r="AB24" s="32">
        <f t="shared" si="71"/>
        <v>-1</v>
      </c>
      <c r="AC24" s="33">
        <f>Segunda!AC24</f>
        <v>0</v>
      </c>
      <c r="AD24" s="32">
        <f t="shared" si="72"/>
        <v>-1</v>
      </c>
      <c r="AE24" s="33">
        <f>Segunda!AE24</f>
        <v>0</v>
      </c>
      <c r="AF24" s="32">
        <f t="shared" si="73"/>
        <v>-1</v>
      </c>
      <c r="AG24" s="33">
        <f>Segunda!AG24</f>
        <v>0</v>
      </c>
      <c r="AH24" s="32">
        <f t="shared" si="74"/>
        <v>-1</v>
      </c>
      <c r="AI24" s="33">
        <f>Segunda!AI24</f>
        <v>0</v>
      </c>
      <c r="AJ24" s="32">
        <f t="shared" si="75"/>
        <v>-1</v>
      </c>
      <c r="AK24" s="33">
        <f>Segunda!AK24</f>
        <v>0</v>
      </c>
      <c r="AL24" s="32">
        <f t="shared" si="76"/>
        <v>-1</v>
      </c>
      <c r="AM24" s="33">
        <f>Segunda!AM24</f>
        <v>0</v>
      </c>
      <c r="AN24" s="32">
        <f t="shared" si="77"/>
        <v>-1</v>
      </c>
      <c r="AO24" s="33">
        <f>Segunda!AO24</f>
        <v>0</v>
      </c>
      <c r="AP24" s="32">
        <f t="shared" si="78"/>
        <v>-1</v>
      </c>
      <c r="AQ24" s="33">
        <f>Segunda!AQ24</f>
        <v>0</v>
      </c>
      <c r="AR24" s="32">
        <f t="shared" si="79"/>
        <v>-1</v>
      </c>
      <c r="AS24" s="33">
        <f>Segunda!AS24</f>
        <v>0</v>
      </c>
      <c r="AT24" s="32">
        <f t="shared" si="80"/>
        <v>-1</v>
      </c>
      <c r="AU24" s="33">
        <f>Segunda!AU24</f>
        <v>0</v>
      </c>
      <c r="AV24" s="32">
        <f t="shared" si="81"/>
        <v>-1</v>
      </c>
      <c r="AW24" s="33">
        <f>Segunda!AW24</f>
        <v>0</v>
      </c>
      <c r="AX24" s="32">
        <f t="shared" si="82"/>
        <v>-1</v>
      </c>
      <c r="AY24" s="33">
        <f>Segunda!AY24</f>
        <v>0</v>
      </c>
      <c r="AZ24" s="32">
        <f t="shared" si="83"/>
        <v>-1</v>
      </c>
      <c r="BA24" s="33">
        <f>Segunda!BA24</f>
        <v>0</v>
      </c>
      <c r="BB24" s="32">
        <f t="shared" si="84"/>
        <v>-1</v>
      </c>
      <c r="BC24" s="33">
        <f>Segunda!BC24</f>
        <v>0</v>
      </c>
      <c r="BD24" s="32">
        <f t="shared" si="85"/>
        <v>-1</v>
      </c>
      <c r="BE24" s="33">
        <f>Segunda!BE24</f>
        <v>0</v>
      </c>
      <c r="BF24" s="32">
        <f t="shared" si="86"/>
        <v>-1</v>
      </c>
      <c r="BG24" s="33">
        <f>Segunda!BG24</f>
        <v>0</v>
      </c>
      <c r="BH24" s="32">
        <f t="shared" si="87"/>
        <v>-1</v>
      </c>
      <c r="BI24" s="33">
        <f>Segunda!BI24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Segunda!B25</f>
        <v>0</v>
      </c>
      <c r="C25" s="33">
        <f>Segunda!C25</f>
        <v>0</v>
      </c>
      <c r="D25" s="32">
        <f t="shared" si="59"/>
        <v>-1</v>
      </c>
      <c r="E25" s="33">
        <f>Segunda!E25</f>
        <v>0</v>
      </c>
      <c r="F25" s="32">
        <f t="shared" si="60"/>
        <v>-1</v>
      </c>
      <c r="G25" s="33">
        <f>Segunda!G25</f>
        <v>0</v>
      </c>
      <c r="H25" s="32">
        <f t="shared" si="61"/>
        <v>-1</v>
      </c>
      <c r="I25" s="33">
        <f>Segunda!I25</f>
        <v>0</v>
      </c>
      <c r="J25" s="32">
        <f t="shared" si="62"/>
        <v>-1</v>
      </c>
      <c r="K25" s="33">
        <f>Segunda!K25</f>
        <v>0</v>
      </c>
      <c r="L25" s="32">
        <f t="shared" si="63"/>
        <v>-1</v>
      </c>
      <c r="M25" s="33">
        <f>Segunda!M25</f>
        <v>0</v>
      </c>
      <c r="N25" s="32">
        <f t="shared" si="64"/>
        <v>-1</v>
      </c>
      <c r="O25" s="33">
        <f>Segunda!O25</f>
        <v>0</v>
      </c>
      <c r="P25" s="32">
        <f t="shared" si="65"/>
        <v>-1</v>
      </c>
      <c r="Q25" s="33">
        <f>Segunda!Q25</f>
        <v>0</v>
      </c>
      <c r="R25" s="32">
        <f t="shared" si="66"/>
        <v>-1</v>
      </c>
      <c r="S25" s="33">
        <f>Segunda!S25</f>
        <v>0</v>
      </c>
      <c r="T25" s="32">
        <f t="shared" si="67"/>
        <v>-1</v>
      </c>
      <c r="U25" s="33">
        <f>Segunda!U25</f>
        <v>0</v>
      </c>
      <c r="V25" s="32">
        <f t="shared" si="68"/>
        <v>-1</v>
      </c>
      <c r="W25" s="33">
        <f>Segunda!W25</f>
        <v>0</v>
      </c>
      <c r="X25" s="32">
        <f t="shared" si="69"/>
        <v>-1</v>
      </c>
      <c r="Y25" s="33">
        <f>Segunda!Y25</f>
        <v>0</v>
      </c>
      <c r="Z25" s="32">
        <f t="shared" si="70"/>
        <v>-1</v>
      </c>
      <c r="AA25" s="33">
        <f>Segunda!AA25</f>
        <v>0</v>
      </c>
      <c r="AB25" s="32">
        <f t="shared" si="71"/>
        <v>-1</v>
      </c>
      <c r="AC25" s="33">
        <f>Segunda!AC25</f>
        <v>0</v>
      </c>
      <c r="AD25" s="32">
        <f t="shared" si="72"/>
        <v>-1</v>
      </c>
      <c r="AE25" s="33">
        <f>Segunda!AE25</f>
        <v>0</v>
      </c>
      <c r="AF25" s="32">
        <f t="shared" si="73"/>
        <v>-1</v>
      </c>
      <c r="AG25" s="33">
        <f>Segunda!AG25</f>
        <v>0</v>
      </c>
      <c r="AH25" s="32">
        <f t="shared" si="74"/>
        <v>-1</v>
      </c>
      <c r="AI25" s="33">
        <f>Segunda!AI25</f>
        <v>0</v>
      </c>
      <c r="AJ25" s="32">
        <f t="shared" si="75"/>
        <v>-1</v>
      </c>
      <c r="AK25" s="33">
        <f>Segunda!AK25</f>
        <v>0</v>
      </c>
      <c r="AL25" s="32">
        <f t="shared" si="76"/>
        <v>-1</v>
      </c>
      <c r="AM25" s="33">
        <f>Segunda!AM25</f>
        <v>0</v>
      </c>
      <c r="AN25" s="32">
        <f t="shared" si="77"/>
        <v>-1</v>
      </c>
      <c r="AO25" s="33">
        <f>Segunda!AO25</f>
        <v>0</v>
      </c>
      <c r="AP25" s="32">
        <f t="shared" si="78"/>
        <v>-1</v>
      </c>
      <c r="AQ25" s="33">
        <f>Segunda!AQ25</f>
        <v>0</v>
      </c>
      <c r="AR25" s="32">
        <f t="shared" si="79"/>
        <v>-1</v>
      </c>
      <c r="AS25" s="33">
        <f>Segunda!AS25</f>
        <v>0</v>
      </c>
      <c r="AT25" s="32">
        <f t="shared" si="80"/>
        <v>-1</v>
      </c>
      <c r="AU25" s="33">
        <f>Segunda!AU25</f>
        <v>0</v>
      </c>
      <c r="AV25" s="32">
        <f t="shared" si="81"/>
        <v>-1</v>
      </c>
      <c r="AW25" s="33">
        <f>Segunda!AW25</f>
        <v>0</v>
      </c>
      <c r="AX25" s="32">
        <f t="shared" si="82"/>
        <v>-1</v>
      </c>
      <c r="AY25" s="33">
        <f>Segunda!AY25</f>
        <v>0</v>
      </c>
      <c r="AZ25" s="32">
        <f t="shared" si="83"/>
        <v>-1</v>
      </c>
      <c r="BA25" s="33">
        <f>Segunda!BA25</f>
        <v>0</v>
      </c>
      <c r="BB25" s="32">
        <f t="shared" si="84"/>
        <v>-1</v>
      </c>
      <c r="BC25" s="33">
        <f>Segunda!BC25</f>
        <v>0</v>
      </c>
      <c r="BD25" s="32">
        <f t="shared" si="85"/>
        <v>-1</v>
      </c>
      <c r="BE25" s="33">
        <f>Segunda!BE25</f>
        <v>0</v>
      </c>
      <c r="BF25" s="32">
        <f t="shared" si="86"/>
        <v>-1</v>
      </c>
      <c r="BG25" s="33">
        <f>Segunda!BG25</f>
        <v>0</v>
      </c>
      <c r="BH25" s="32">
        <f t="shared" si="87"/>
        <v>-1</v>
      </c>
      <c r="BI25" s="33">
        <f>Segunda!BI25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Segunda!B26</f>
        <v>0</v>
      </c>
      <c r="C26" s="31">
        <f>Segunda!C26</f>
        <v>0</v>
      </c>
      <c r="D26" s="32">
        <f t="shared" si="59"/>
        <v>-1</v>
      </c>
      <c r="E26" s="31">
        <f>Segunda!E26</f>
        <v>0</v>
      </c>
      <c r="F26" s="32">
        <f t="shared" si="60"/>
        <v>-1</v>
      </c>
      <c r="G26" s="31">
        <f>Segunda!G26</f>
        <v>0</v>
      </c>
      <c r="H26" s="32">
        <f t="shared" si="61"/>
        <v>-1</v>
      </c>
      <c r="I26" s="31">
        <f>Segunda!I26</f>
        <v>0</v>
      </c>
      <c r="J26" s="32">
        <f t="shared" si="62"/>
        <v>-1</v>
      </c>
      <c r="K26" s="31">
        <f>Segunda!K26</f>
        <v>0</v>
      </c>
      <c r="L26" s="32">
        <f t="shared" si="63"/>
        <v>-1</v>
      </c>
      <c r="M26" s="31">
        <f>Segunda!M26</f>
        <v>0</v>
      </c>
      <c r="N26" s="32">
        <f t="shared" si="64"/>
        <v>-1</v>
      </c>
      <c r="O26" s="31">
        <f>Segunda!O26</f>
        <v>0</v>
      </c>
      <c r="P26" s="32">
        <f t="shared" si="65"/>
        <v>-1</v>
      </c>
      <c r="Q26" s="31">
        <f>Segunda!Q26</f>
        <v>0</v>
      </c>
      <c r="R26" s="32">
        <f t="shared" si="66"/>
        <v>-1</v>
      </c>
      <c r="S26" s="31">
        <f>Segunda!S26</f>
        <v>0</v>
      </c>
      <c r="T26" s="32">
        <f t="shared" si="67"/>
        <v>-1</v>
      </c>
      <c r="U26" s="31">
        <f>Segunda!U26</f>
        <v>0</v>
      </c>
      <c r="V26" s="32">
        <f t="shared" si="68"/>
        <v>-1</v>
      </c>
      <c r="W26" s="31">
        <f>Segunda!W26</f>
        <v>0</v>
      </c>
      <c r="X26" s="32">
        <f t="shared" si="69"/>
        <v>-1</v>
      </c>
      <c r="Y26" s="31">
        <f>Segunda!Y26</f>
        <v>0</v>
      </c>
      <c r="Z26" s="32">
        <f t="shared" si="70"/>
        <v>-1</v>
      </c>
      <c r="AA26" s="31">
        <f>Segunda!AA26</f>
        <v>0</v>
      </c>
      <c r="AB26" s="32">
        <f t="shared" si="71"/>
        <v>-1</v>
      </c>
      <c r="AC26" s="31">
        <f>Segunda!AC26</f>
        <v>0</v>
      </c>
      <c r="AD26" s="32">
        <f t="shared" si="72"/>
        <v>-1</v>
      </c>
      <c r="AE26" s="31">
        <f>Segunda!AE26</f>
        <v>0</v>
      </c>
      <c r="AF26" s="32">
        <f t="shared" si="73"/>
        <v>-1</v>
      </c>
      <c r="AG26" s="31">
        <f>Segunda!AG26</f>
        <v>0</v>
      </c>
      <c r="AH26" s="32">
        <f t="shared" si="74"/>
        <v>-1</v>
      </c>
      <c r="AI26" s="31">
        <f>Segunda!AI26</f>
        <v>0</v>
      </c>
      <c r="AJ26" s="32">
        <f t="shared" si="75"/>
        <v>-1</v>
      </c>
      <c r="AK26" s="31">
        <f>Segunda!AK26</f>
        <v>0</v>
      </c>
      <c r="AL26" s="32">
        <f t="shared" si="76"/>
        <v>-1</v>
      </c>
      <c r="AM26" s="31">
        <f>Segunda!AM26</f>
        <v>0</v>
      </c>
      <c r="AN26" s="32">
        <f t="shared" si="77"/>
        <v>-1</v>
      </c>
      <c r="AO26" s="31">
        <f>Segunda!AO26</f>
        <v>0</v>
      </c>
      <c r="AP26" s="32">
        <f t="shared" si="78"/>
        <v>-1</v>
      </c>
      <c r="AQ26" s="31">
        <f>Segunda!AQ26</f>
        <v>0</v>
      </c>
      <c r="AR26" s="32">
        <f t="shared" si="79"/>
        <v>-1</v>
      </c>
      <c r="AS26" s="31">
        <f>Segunda!AS26</f>
        <v>0</v>
      </c>
      <c r="AT26" s="32">
        <f t="shared" si="80"/>
        <v>-1</v>
      </c>
      <c r="AU26" s="31">
        <f>Segunda!AU26</f>
        <v>0</v>
      </c>
      <c r="AV26" s="32">
        <f t="shared" si="81"/>
        <v>-1</v>
      </c>
      <c r="AW26" s="31">
        <f>Segunda!AW26</f>
        <v>0</v>
      </c>
      <c r="AX26" s="32">
        <f t="shared" si="82"/>
        <v>-1</v>
      </c>
      <c r="AY26" s="31">
        <f>Segunda!AY26</f>
        <v>0</v>
      </c>
      <c r="AZ26" s="32">
        <f t="shared" si="83"/>
        <v>-1</v>
      </c>
      <c r="BA26" s="31">
        <f>Segunda!BA26</f>
        <v>0</v>
      </c>
      <c r="BB26" s="32">
        <f t="shared" si="84"/>
        <v>-1</v>
      </c>
      <c r="BC26" s="31">
        <f>Segunda!BC26</f>
        <v>0</v>
      </c>
      <c r="BD26" s="32">
        <f t="shared" si="85"/>
        <v>-1</v>
      </c>
      <c r="BE26" s="31">
        <f>Segunda!BE26</f>
        <v>0</v>
      </c>
      <c r="BF26" s="32">
        <f t="shared" si="86"/>
        <v>-1</v>
      </c>
      <c r="BG26" s="31">
        <f>Segunda!BG26</f>
        <v>0</v>
      </c>
      <c r="BH26" s="32">
        <f t="shared" si="87"/>
        <v>-1</v>
      </c>
      <c r="BI26" s="31">
        <f>Segunda!BI26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Segunda!B27</f>
        <v>0</v>
      </c>
      <c r="C27" s="31">
        <f>Segunda!C27</f>
        <v>0</v>
      </c>
      <c r="D27" s="32">
        <f t="shared" si="59"/>
        <v>-1</v>
      </c>
      <c r="E27" s="31">
        <f>Segunda!E27</f>
        <v>0</v>
      </c>
      <c r="F27" s="32">
        <f t="shared" si="60"/>
        <v>-1</v>
      </c>
      <c r="G27" s="31">
        <f>Segunda!G27</f>
        <v>0</v>
      </c>
      <c r="H27" s="32">
        <f t="shared" si="61"/>
        <v>-1</v>
      </c>
      <c r="I27" s="31">
        <f>Segunda!I27</f>
        <v>0</v>
      </c>
      <c r="J27" s="32">
        <f t="shared" si="62"/>
        <v>-1</v>
      </c>
      <c r="K27" s="31">
        <f>Segunda!K27</f>
        <v>0</v>
      </c>
      <c r="L27" s="32">
        <f t="shared" si="63"/>
        <v>-1</v>
      </c>
      <c r="M27" s="31">
        <f>Segunda!M27</f>
        <v>0</v>
      </c>
      <c r="N27" s="32">
        <f t="shared" si="64"/>
        <v>-1</v>
      </c>
      <c r="O27" s="31">
        <f>Segunda!O27</f>
        <v>0</v>
      </c>
      <c r="P27" s="32">
        <f t="shared" si="65"/>
        <v>-1</v>
      </c>
      <c r="Q27" s="31">
        <f>Segunda!Q27</f>
        <v>0</v>
      </c>
      <c r="R27" s="32">
        <f t="shared" si="66"/>
        <v>-1</v>
      </c>
      <c r="S27" s="31">
        <f>Segunda!S27</f>
        <v>0</v>
      </c>
      <c r="T27" s="32">
        <f t="shared" si="67"/>
        <v>-1</v>
      </c>
      <c r="U27" s="31">
        <f>Segunda!U27</f>
        <v>0</v>
      </c>
      <c r="V27" s="32">
        <f t="shared" si="68"/>
        <v>-1</v>
      </c>
      <c r="W27" s="31">
        <f>Segunda!W27</f>
        <v>0</v>
      </c>
      <c r="X27" s="32">
        <f t="shared" si="69"/>
        <v>-1</v>
      </c>
      <c r="Y27" s="31">
        <f>Segunda!Y27</f>
        <v>0</v>
      </c>
      <c r="Z27" s="32">
        <f t="shared" si="70"/>
        <v>-1</v>
      </c>
      <c r="AA27" s="31">
        <f>Segunda!AA27</f>
        <v>0</v>
      </c>
      <c r="AB27" s="32">
        <f t="shared" si="71"/>
        <v>-1</v>
      </c>
      <c r="AC27" s="31">
        <f>Segunda!AC27</f>
        <v>0</v>
      </c>
      <c r="AD27" s="32">
        <f t="shared" si="72"/>
        <v>-1</v>
      </c>
      <c r="AE27" s="31">
        <f>Segunda!AE27</f>
        <v>0</v>
      </c>
      <c r="AF27" s="32">
        <f t="shared" si="73"/>
        <v>-1</v>
      </c>
      <c r="AG27" s="31">
        <f>Segunda!AG27</f>
        <v>0</v>
      </c>
      <c r="AH27" s="32">
        <f t="shared" si="74"/>
        <v>-1</v>
      </c>
      <c r="AI27" s="31">
        <f>Segunda!AI27</f>
        <v>0</v>
      </c>
      <c r="AJ27" s="32">
        <f t="shared" si="75"/>
        <v>-1</v>
      </c>
      <c r="AK27" s="31">
        <f>Segunda!AK27</f>
        <v>0</v>
      </c>
      <c r="AL27" s="32">
        <f t="shared" si="76"/>
        <v>-1</v>
      </c>
      <c r="AM27" s="31">
        <f>Segunda!AM27</f>
        <v>0</v>
      </c>
      <c r="AN27" s="32">
        <f t="shared" si="77"/>
        <v>-1</v>
      </c>
      <c r="AO27" s="31">
        <f>Segunda!AO27</f>
        <v>0</v>
      </c>
      <c r="AP27" s="32">
        <f t="shared" si="78"/>
        <v>-1</v>
      </c>
      <c r="AQ27" s="31">
        <f>Segunda!AQ27</f>
        <v>0</v>
      </c>
      <c r="AR27" s="32">
        <f t="shared" si="79"/>
        <v>-1</v>
      </c>
      <c r="AS27" s="31">
        <f>Segunda!AS27</f>
        <v>0</v>
      </c>
      <c r="AT27" s="32">
        <f t="shared" si="80"/>
        <v>-1</v>
      </c>
      <c r="AU27" s="31">
        <f>Segunda!AU27</f>
        <v>0</v>
      </c>
      <c r="AV27" s="32">
        <f t="shared" si="81"/>
        <v>-1</v>
      </c>
      <c r="AW27" s="31">
        <f>Segunda!AW27</f>
        <v>0</v>
      </c>
      <c r="AX27" s="32">
        <f t="shared" si="82"/>
        <v>-1</v>
      </c>
      <c r="AY27" s="31">
        <f>Segunda!AY27</f>
        <v>0</v>
      </c>
      <c r="AZ27" s="32">
        <f t="shared" si="83"/>
        <v>-1</v>
      </c>
      <c r="BA27" s="31">
        <f>Segunda!BA27</f>
        <v>0</v>
      </c>
      <c r="BB27" s="32">
        <f t="shared" si="84"/>
        <v>-1</v>
      </c>
      <c r="BC27" s="31">
        <f>Segunda!BC27</f>
        <v>0</v>
      </c>
      <c r="BD27" s="32">
        <f t="shared" si="85"/>
        <v>-1</v>
      </c>
      <c r="BE27" s="31">
        <f>Segunda!BE27</f>
        <v>0</v>
      </c>
      <c r="BF27" s="32">
        <f t="shared" si="86"/>
        <v>-1</v>
      </c>
      <c r="BG27" s="31">
        <f>Segunda!BG27</f>
        <v>0</v>
      </c>
      <c r="BH27" s="32">
        <f t="shared" si="87"/>
        <v>-1</v>
      </c>
      <c r="BI27" s="31">
        <f>Segunda!BI27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Segunda!B28</f>
        <v>0</v>
      </c>
      <c r="C28" s="31">
        <f>Segunda!C28</f>
        <v>0</v>
      </c>
      <c r="D28" s="32">
        <f t="shared" si="59"/>
        <v>-1</v>
      </c>
      <c r="E28" s="31">
        <f>Segunda!E28</f>
        <v>0</v>
      </c>
      <c r="F28" s="32">
        <f t="shared" si="60"/>
        <v>-1</v>
      </c>
      <c r="G28" s="31">
        <f>Segunda!G28</f>
        <v>0</v>
      </c>
      <c r="H28" s="32">
        <f t="shared" si="61"/>
        <v>-1</v>
      </c>
      <c r="I28" s="31">
        <f>Segunda!I28</f>
        <v>0</v>
      </c>
      <c r="J28" s="32">
        <f t="shared" si="62"/>
        <v>-1</v>
      </c>
      <c r="K28" s="31">
        <f>Segunda!K28</f>
        <v>0</v>
      </c>
      <c r="L28" s="32">
        <f t="shared" si="63"/>
        <v>-1</v>
      </c>
      <c r="M28" s="31">
        <f>Segunda!M28</f>
        <v>0</v>
      </c>
      <c r="N28" s="32">
        <f t="shared" si="64"/>
        <v>-1</v>
      </c>
      <c r="O28" s="31">
        <f>Segunda!O28</f>
        <v>0</v>
      </c>
      <c r="P28" s="32">
        <f t="shared" si="65"/>
        <v>-1</v>
      </c>
      <c r="Q28" s="31">
        <f>Segunda!Q28</f>
        <v>0</v>
      </c>
      <c r="R28" s="32">
        <f t="shared" si="66"/>
        <v>-1</v>
      </c>
      <c r="S28" s="31">
        <f>Segunda!S28</f>
        <v>0</v>
      </c>
      <c r="T28" s="32">
        <f t="shared" si="67"/>
        <v>-1</v>
      </c>
      <c r="U28" s="31">
        <f>Segunda!U28</f>
        <v>0</v>
      </c>
      <c r="V28" s="32">
        <f t="shared" si="68"/>
        <v>-1</v>
      </c>
      <c r="W28" s="31">
        <f>Segunda!W28</f>
        <v>0</v>
      </c>
      <c r="X28" s="32">
        <f t="shared" si="69"/>
        <v>-1</v>
      </c>
      <c r="Y28" s="31">
        <f>Segunda!Y28</f>
        <v>0</v>
      </c>
      <c r="Z28" s="32">
        <f t="shared" si="70"/>
        <v>-1</v>
      </c>
      <c r="AA28" s="31">
        <f>Segunda!AA28</f>
        <v>0</v>
      </c>
      <c r="AB28" s="32">
        <f t="shared" si="71"/>
        <v>-1</v>
      </c>
      <c r="AC28" s="31">
        <f>Segunda!AC28</f>
        <v>0</v>
      </c>
      <c r="AD28" s="32">
        <f t="shared" si="72"/>
        <v>-1</v>
      </c>
      <c r="AE28" s="31">
        <f>Segunda!AE28</f>
        <v>0</v>
      </c>
      <c r="AF28" s="32">
        <f t="shared" si="73"/>
        <v>-1</v>
      </c>
      <c r="AG28" s="31">
        <f>Segunda!AG28</f>
        <v>0</v>
      </c>
      <c r="AH28" s="32">
        <f t="shared" si="74"/>
        <v>-1</v>
      </c>
      <c r="AI28" s="31">
        <f>Segunda!AI28</f>
        <v>0</v>
      </c>
      <c r="AJ28" s="32">
        <f t="shared" si="75"/>
        <v>-1</v>
      </c>
      <c r="AK28" s="31">
        <f>Segunda!AK28</f>
        <v>0</v>
      </c>
      <c r="AL28" s="32">
        <f t="shared" si="76"/>
        <v>-1</v>
      </c>
      <c r="AM28" s="31">
        <f>Segunda!AM28</f>
        <v>0</v>
      </c>
      <c r="AN28" s="32">
        <f t="shared" si="77"/>
        <v>-1</v>
      </c>
      <c r="AO28" s="31">
        <f>Segunda!AO28</f>
        <v>0</v>
      </c>
      <c r="AP28" s="32">
        <f t="shared" si="78"/>
        <v>-1</v>
      </c>
      <c r="AQ28" s="31">
        <f>Segunda!AQ28</f>
        <v>0</v>
      </c>
      <c r="AR28" s="32">
        <f t="shared" si="79"/>
        <v>-1</v>
      </c>
      <c r="AS28" s="31">
        <f>Segunda!AS28</f>
        <v>0</v>
      </c>
      <c r="AT28" s="32">
        <f t="shared" si="80"/>
        <v>-1</v>
      </c>
      <c r="AU28" s="31">
        <f>Segunda!AU28</f>
        <v>0</v>
      </c>
      <c r="AV28" s="32">
        <f t="shared" si="81"/>
        <v>-1</v>
      </c>
      <c r="AW28" s="31">
        <f>Segunda!AW28</f>
        <v>0</v>
      </c>
      <c r="AX28" s="32">
        <f t="shared" si="82"/>
        <v>-1</v>
      </c>
      <c r="AY28" s="31">
        <f>Segunda!AY28</f>
        <v>0</v>
      </c>
      <c r="AZ28" s="32">
        <f t="shared" si="83"/>
        <v>-1</v>
      </c>
      <c r="BA28" s="31">
        <f>Segunda!BA28</f>
        <v>0</v>
      </c>
      <c r="BB28" s="32">
        <f t="shared" si="84"/>
        <v>-1</v>
      </c>
      <c r="BC28" s="31">
        <f>Segunda!BC28</f>
        <v>0</v>
      </c>
      <c r="BD28" s="32">
        <f t="shared" si="85"/>
        <v>-1</v>
      </c>
      <c r="BE28" s="31">
        <f>Segunda!BE28</f>
        <v>0</v>
      </c>
      <c r="BF28" s="32">
        <f t="shared" si="86"/>
        <v>-1</v>
      </c>
      <c r="BG28" s="31">
        <f>Segunda!BG28</f>
        <v>0</v>
      </c>
      <c r="BH28" s="32">
        <f t="shared" si="87"/>
        <v>-1</v>
      </c>
      <c r="BI28" s="31">
        <f>Segunda!BI28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Segunda!B29</f>
        <v>0</v>
      </c>
      <c r="C29" s="31">
        <f>Segunda!C29</f>
        <v>0</v>
      </c>
      <c r="D29" s="32">
        <f t="shared" si="59"/>
        <v>-1</v>
      </c>
      <c r="E29" s="31">
        <f>Segunda!E29</f>
        <v>0</v>
      </c>
      <c r="F29" s="32">
        <f t="shared" si="60"/>
        <v>-1</v>
      </c>
      <c r="G29" s="31">
        <f>Segunda!G29</f>
        <v>0</v>
      </c>
      <c r="H29" s="32">
        <f t="shared" si="61"/>
        <v>-1</v>
      </c>
      <c r="I29" s="31">
        <f>Segunda!I29</f>
        <v>0</v>
      </c>
      <c r="J29" s="32">
        <f t="shared" si="62"/>
        <v>-1</v>
      </c>
      <c r="K29" s="31">
        <f>Segunda!K29</f>
        <v>0</v>
      </c>
      <c r="L29" s="32">
        <f t="shared" si="63"/>
        <v>-1</v>
      </c>
      <c r="M29" s="31">
        <f>Segunda!M29</f>
        <v>0</v>
      </c>
      <c r="N29" s="32">
        <f t="shared" si="64"/>
        <v>-1</v>
      </c>
      <c r="O29" s="31">
        <f>Segunda!O29</f>
        <v>0</v>
      </c>
      <c r="P29" s="32">
        <f t="shared" si="65"/>
        <v>-1</v>
      </c>
      <c r="Q29" s="31">
        <f>Segunda!Q29</f>
        <v>0</v>
      </c>
      <c r="R29" s="32">
        <f t="shared" si="66"/>
        <v>-1</v>
      </c>
      <c r="S29" s="31">
        <f>Segunda!S29</f>
        <v>0</v>
      </c>
      <c r="T29" s="32">
        <f t="shared" si="67"/>
        <v>-1</v>
      </c>
      <c r="U29" s="31">
        <f>Segunda!U29</f>
        <v>0</v>
      </c>
      <c r="V29" s="32">
        <f t="shared" si="68"/>
        <v>-1</v>
      </c>
      <c r="W29" s="31">
        <f>Segunda!W29</f>
        <v>0</v>
      </c>
      <c r="X29" s="32">
        <f t="shared" si="69"/>
        <v>-1</v>
      </c>
      <c r="Y29" s="31">
        <f>Segunda!Y29</f>
        <v>0</v>
      </c>
      <c r="Z29" s="32">
        <f t="shared" si="70"/>
        <v>-1</v>
      </c>
      <c r="AA29" s="31">
        <f>Segunda!AA29</f>
        <v>0</v>
      </c>
      <c r="AB29" s="32">
        <f t="shared" si="71"/>
        <v>-1</v>
      </c>
      <c r="AC29" s="31">
        <f>Segunda!AC29</f>
        <v>0</v>
      </c>
      <c r="AD29" s="32">
        <f t="shared" si="72"/>
        <v>-1</v>
      </c>
      <c r="AE29" s="31">
        <f>Segunda!AE29</f>
        <v>0</v>
      </c>
      <c r="AF29" s="32">
        <f t="shared" si="73"/>
        <v>-1</v>
      </c>
      <c r="AG29" s="31">
        <f>Segunda!AG29</f>
        <v>0</v>
      </c>
      <c r="AH29" s="32">
        <f t="shared" si="74"/>
        <v>-1</v>
      </c>
      <c r="AI29" s="31">
        <f>Segunda!AI29</f>
        <v>0</v>
      </c>
      <c r="AJ29" s="32">
        <f t="shared" si="75"/>
        <v>-1</v>
      </c>
      <c r="AK29" s="31">
        <f>Segunda!AK29</f>
        <v>0</v>
      </c>
      <c r="AL29" s="32">
        <f t="shared" si="76"/>
        <v>-1</v>
      </c>
      <c r="AM29" s="31">
        <f>Segunda!AM29</f>
        <v>0</v>
      </c>
      <c r="AN29" s="32">
        <f t="shared" si="77"/>
        <v>-1</v>
      </c>
      <c r="AO29" s="31">
        <f>Segunda!AO29</f>
        <v>0</v>
      </c>
      <c r="AP29" s="32">
        <f t="shared" si="78"/>
        <v>-1</v>
      </c>
      <c r="AQ29" s="31">
        <f>Segunda!AQ29</f>
        <v>0</v>
      </c>
      <c r="AR29" s="32">
        <f t="shared" si="79"/>
        <v>-1</v>
      </c>
      <c r="AS29" s="31">
        <f>Segunda!AS29</f>
        <v>0</v>
      </c>
      <c r="AT29" s="32">
        <f t="shared" si="80"/>
        <v>-1</v>
      </c>
      <c r="AU29" s="31">
        <f>Segunda!AU29</f>
        <v>0</v>
      </c>
      <c r="AV29" s="32">
        <f t="shared" si="81"/>
        <v>-1</v>
      </c>
      <c r="AW29" s="31">
        <f>Segunda!AW29</f>
        <v>0</v>
      </c>
      <c r="AX29" s="32">
        <f t="shared" si="82"/>
        <v>-1</v>
      </c>
      <c r="AY29" s="31">
        <f>Segunda!AY29</f>
        <v>0</v>
      </c>
      <c r="AZ29" s="32">
        <f t="shared" si="83"/>
        <v>-1</v>
      </c>
      <c r="BA29" s="31">
        <f>Segunda!BA29</f>
        <v>0</v>
      </c>
      <c r="BB29" s="32">
        <f t="shared" si="84"/>
        <v>-1</v>
      </c>
      <c r="BC29" s="31">
        <f>Segunda!BC29</f>
        <v>0</v>
      </c>
      <c r="BD29" s="32">
        <f t="shared" si="85"/>
        <v>-1</v>
      </c>
      <c r="BE29" s="31">
        <f>Segunda!BE29</f>
        <v>0</v>
      </c>
      <c r="BF29" s="32">
        <f t="shared" si="86"/>
        <v>-1</v>
      </c>
      <c r="BG29" s="31">
        <f>Segunda!BG29</f>
        <v>0</v>
      </c>
      <c r="BH29" s="32">
        <f t="shared" si="87"/>
        <v>-1</v>
      </c>
      <c r="BI29" s="31">
        <f>Segunda!BI29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Segunda!B30</f>
        <v>0</v>
      </c>
      <c r="C30" s="31">
        <f>Segunda!C30</f>
        <v>0</v>
      </c>
      <c r="D30" s="32">
        <f t="shared" si="59"/>
        <v>-1</v>
      </c>
      <c r="E30" s="31">
        <f>Segunda!E30</f>
        <v>0</v>
      </c>
      <c r="F30" s="32">
        <f t="shared" si="60"/>
        <v>-1</v>
      </c>
      <c r="G30" s="31">
        <f>Segunda!G30</f>
        <v>0</v>
      </c>
      <c r="H30" s="32">
        <f t="shared" si="61"/>
        <v>-1</v>
      </c>
      <c r="I30" s="31">
        <f>Segunda!I30</f>
        <v>0</v>
      </c>
      <c r="J30" s="32">
        <f t="shared" si="62"/>
        <v>-1</v>
      </c>
      <c r="K30" s="31">
        <f>Segunda!K30</f>
        <v>0</v>
      </c>
      <c r="L30" s="32">
        <f t="shared" si="63"/>
        <v>-1</v>
      </c>
      <c r="M30" s="31">
        <f>Segunda!M30</f>
        <v>0</v>
      </c>
      <c r="N30" s="32">
        <f t="shared" si="64"/>
        <v>-1</v>
      </c>
      <c r="O30" s="31">
        <f>Segunda!O30</f>
        <v>0</v>
      </c>
      <c r="P30" s="32">
        <f t="shared" si="65"/>
        <v>-1</v>
      </c>
      <c r="Q30" s="31">
        <f>Segunda!Q30</f>
        <v>0</v>
      </c>
      <c r="R30" s="32">
        <f t="shared" si="66"/>
        <v>-1</v>
      </c>
      <c r="S30" s="31">
        <f>Segunda!S30</f>
        <v>0</v>
      </c>
      <c r="T30" s="32">
        <f t="shared" si="67"/>
        <v>-1</v>
      </c>
      <c r="U30" s="31">
        <f>Segunda!U30</f>
        <v>0</v>
      </c>
      <c r="V30" s="32">
        <f t="shared" si="68"/>
        <v>-1</v>
      </c>
      <c r="W30" s="31">
        <f>Segunda!W30</f>
        <v>0</v>
      </c>
      <c r="X30" s="32">
        <f t="shared" si="69"/>
        <v>-1</v>
      </c>
      <c r="Y30" s="31">
        <f>Segunda!Y30</f>
        <v>0</v>
      </c>
      <c r="Z30" s="32">
        <f t="shared" si="70"/>
        <v>-1</v>
      </c>
      <c r="AA30" s="31">
        <f>Segunda!AA30</f>
        <v>0</v>
      </c>
      <c r="AB30" s="32">
        <f t="shared" si="71"/>
        <v>-1</v>
      </c>
      <c r="AC30" s="31">
        <f>Segunda!AC30</f>
        <v>0</v>
      </c>
      <c r="AD30" s="32">
        <f t="shared" si="72"/>
        <v>-1</v>
      </c>
      <c r="AE30" s="31">
        <f>Segunda!AE30</f>
        <v>0</v>
      </c>
      <c r="AF30" s="32">
        <f t="shared" si="73"/>
        <v>-1</v>
      </c>
      <c r="AG30" s="31">
        <f>Segunda!AG30</f>
        <v>0</v>
      </c>
      <c r="AH30" s="32">
        <f t="shared" si="74"/>
        <v>-1</v>
      </c>
      <c r="AI30" s="31">
        <f>Segunda!AI30</f>
        <v>0</v>
      </c>
      <c r="AJ30" s="32">
        <f t="shared" si="75"/>
        <v>-1</v>
      </c>
      <c r="AK30" s="31">
        <f>Segunda!AK30</f>
        <v>0</v>
      </c>
      <c r="AL30" s="32">
        <f t="shared" si="76"/>
        <v>-1</v>
      </c>
      <c r="AM30" s="31">
        <f>Segunda!AM30</f>
        <v>0</v>
      </c>
      <c r="AN30" s="32">
        <f t="shared" si="77"/>
        <v>-1</v>
      </c>
      <c r="AO30" s="31">
        <f>Segunda!AO30</f>
        <v>0</v>
      </c>
      <c r="AP30" s="32">
        <f t="shared" si="78"/>
        <v>-1</v>
      </c>
      <c r="AQ30" s="31">
        <f>Segunda!AQ30</f>
        <v>0</v>
      </c>
      <c r="AR30" s="32">
        <f t="shared" si="79"/>
        <v>-1</v>
      </c>
      <c r="AS30" s="31">
        <f>Segunda!AS30</f>
        <v>0</v>
      </c>
      <c r="AT30" s="32">
        <f t="shared" si="80"/>
        <v>-1</v>
      </c>
      <c r="AU30" s="31">
        <f>Segunda!AU30</f>
        <v>0</v>
      </c>
      <c r="AV30" s="32">
        <f t="shared" si="81"/>
        <v>-1</v>
      </c>
      <c r="AW30" s="31">
        <f>Segunda!AW30</f>
        <v>0</v>
      </c>
      <c r="AX30" s="32">
        <f t="shared" si="82"/>
        <v>-1</v>
      </c>
      <c r="AY30" s="31">
        <f>Segunda!AY30</f>
        <v>0</v>
      </c>
      <c r="AZ30" s="32">
        <f t="shared" si="83"/>
        <v>-1</v>
      </c>
      <c r="BA30" s="31">
        <f>Segunda!BA30</f>
        <v>0</v>
      </c>
      <c r="BB30" s="32">
        <f t="shared" si="84"/>
        <v>-1</v>
      </c>
      <c r="BC30" s="31">
        <f>Segunda!BC30</f>
        <v>0</v>
      </c>
      <c r="BD30" s="32">
        <f t="shared" si="85"/>
        <v>-1</v>
      </c>
      <c r="BE30" s="31">
        <f>Segunda!BE30</f>
        <v>0</v>
      </c>
      <c r="BF30" s="32">
        <f t="shared" si="86"/>
        <v>-1</v>
      </c>
      <c r="BG30" s="31">
        <f>Segunda!BG30</f>
        <v>0</v>
      </c>
      <c r="BH30" s="32">
        <f t="shared" si="87"/>
        <v>-1</v>
      </c>
      <c r="BI30" s="31">
        <f>Segunda!BI30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Segunda!B31</f>
        <v>0</v>
      </c>
      <c r="C31" s="31">
        <f>Segunda!C31</f>
        <v>0</v>
      </c>
      <c r="D31" s="32">
        <f t="shared" si="59"/>
        <v>-1</v>
      </c>
      <c r="E31" s="31">
        <f>Segunda!E31</f>
        <v>0</v>
      </c>
      <c r="F31" s="32">
        <f t="shared" si="60"/>
        <v>-1</v>
      </c>
      <c r="G31" s="31">
        <f>Segunda!G31</f>
        <v>0</v>
      </c>
      <c r="H31" s="32">
        <f t="shared" si="61"/>
        <v>-1</v>
      </c>
      <c r="I31" s="31">
        <f>Segunda!I31</f>
        <v>0</v>
      </c>
      <c r="J31" s="32">
        <f t="shared" si="62"/>
        <v>-1</v>
      </c>
      <c r="K31" s="31">
        <f>Segunda!K31</f>
        <v>0</v>
      </c>
      <c r="L31" s="32">
        <f t="shared" si="63"/>
        <v>-1</v>
      </c>
      <c r="M31" s="31">
        <f>Segunda!M31</f>
        <v>0</v>
      </c>
      <c r="N31" s="32">
        <f t="shared" si="64"/>
        <v>-1</v>
      </c>
      <c r="O31" s="31">
        <f>Segunda!O31</f>
        <v>0</v>
      </c>
      <c r="P31" s="32">
        <f t="shared" si="65"/>
        <v>-1</v>
      </c>
      <c r="Q31" s="31">
        <f>Segunda!Q31</f>
        <v>0</v>
      </c>
      <c r="R31" s="32">
        <f t="shared" si="66"/>
        <v>-1</v>
      </c>
      <c r="S31" s="31">
        <f>Segunda!S31</f>
        <v>0</v>
      </c>
      <c r="T31" s="32">
        <f t="shared" si="67"/>
        <v>-1</v>
      </c>
      <c r="U31" s="31">
        <f>Segunda!U31</f>
        <v>0</v>
      </c>
      <c r="V31" s="32">
        <f t="shared" si="68"/>
        <v>-1</v>
      </c>
      <c r="W31" s="31">
        <f>Segunda!W31</f>
        <v>0</v>
      </c>
      <c r="X31" s="32">
        <f t="shared" si="69"/>
        <v>-1</v>
      </c>
      <c r="Y31" s="31">
        <f>Segunda!Y31</f>
        <v>0</v>
      </c>
      <c r="Z31" s="32">
        <f t="shared" si="70"/>
        <v>-1</v>
      </c>
      <c r="AA31" s="31">
        <f>Segunda!AA31</f>
        <v>0</v>
      </c>
      <c r="AB31" s="32">
        <f t="shared" si="71"/>
        <v>-1</v>
      </c>
      <c r="AC31" s="31">
        <f>Segunda!AC31</f>
        <v>0</v>
      </c>
      <c r="AD31" s="32">
        <f t="shared" si="72"/>
        <v>-1</v>
      </c>
      <c r="AE31" s="31">
        <f>Segunda!AE31</f>
        <v>0</v>
      </c>
      <c r="AF31" s="32">
        <f t="shared" si="73"/>
        <v>-1</v>
      </c>
      <c r="AG31" s="31">
        <f>Segunda!AG31</f>
        <v>0</v>
      </c>
      <c r="AH31" s="32">
        <f t="shared" si="74"/>
        <v>-1</v>
      </c>
      <c r="AI31" s="31">
        <f>Segunda!AI31</f>
        <v>0</v>
      </c>
      <c r="AJ31" s="32">
        <f t="shared" si="75"/>
        <v>-1</v>
      </c>
      <c r="AK31" s="31">
        <f>Segunda!AK31</f>
        <v>0</v>
      </c>
      <c r="AL31" s="32">
        <f t="shared" si="76"/>
        <v>-1</v>
      </c>
      <c r="AM31" s="31">
        <f>Segunda!AM31</f>
        <v>0</v>
      </c>
      <c r="AN31" s="32">
        <f t="shared" si="77"/>
        <v>-1</v>
      </c>
      <c r="AO31" s="31">
        <f>Segunda!AO31</f>
        <v>0</v>
      </c>
      <c r="AP31" s="32">
        <f t="shared" si="78"/>
        <v>-1</v>
      </c>
      <c r="AQ31" s="31">
        <f>Segunda!AQ31</f>
        <v>0</v>
      </c>
      <c r="AR31" s="32">
        <f t="shared" si="79"/>
        <v>-1</v>
      </c>
      <c r="AS31" s="31">
        <f>Segunda!AS31</f>
        <v>0</v>
      </c>
      <c r="AT31" s="32">
        <f t="shared" si="80"/>
        <v>-1</v>
      </c>
      <c r="AU31" s="31">
        <f>Segunda!AU31</f>
        <v>0</v>
      </c>
      <c r="AV31" s="32">
        <f t="shared" si="81"/>
        <v>-1</v>
      </c>
      <c r="AW31" s="31">
        <f>Segunda!AW31</f>
        <v>0</v>
      </c>
      <c r="AX31" s="32">
        <f t="shared" si="82"/>
        <v>-1</v>
      </c>
      <c r="AY31" s="31">
        <f>Segunda!AY31</f>
        <v>0</v>
      </c>
      <c r="AZ31" s="32">
        <f t="shared" si="83"/>
        <v>-1</v>
      </c>
      <c r="BA31" s="31">
        <f>Segunda!BA31</f>
        <v>0</v>
      </c>
      <c r="BB31" s="32">
        <f t="shared" si="84"/>
        <v>-1</v>
      </c>
      <c r="BC31" s="31">
        <f>Segunda!BC31</f>
        <v>0</v>
      </c>
      <c r="BD31" s="32">
        <f t="shared" si="85"/>
        <v>-1</v>
      </c>
      <c r="BE31" s="31">
        <f>Segunda!BE31</f>
        <v>0</v>
      </c>
      <c r="BF31" s="32">
        <f t="shared" si="86"/>
        <v>-1</v>
      </c>
      <c r="BG31" s="31">
        <f>Segunda!BG31</f>
        <v>0</v>
      </c>
      <c r="BH31" s="32">
        <f t="shared" si="87"/>
        <v>-1</v>
      </c>
      <c r="BI31" s="31">
        <f>Segunda!BI31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Segunda!B32</f>
        <v>0</v>
      </c>
      <c r="C32" s="31">
        <f>Segunda!C32</f>
        <v>0</v>
      </c>
      <c r="D32" s="32">
        <f t="shared" si="59"/>
        <v>-1</v>
      </c>
      <c r="E32" s="31">
        <f>Segunda!E32</f>
        <v>0</v>
      </c>
      <c r="F32" s="32">
        <f t="shared" si="60"/>
        <v>-1</v>
      </c>
      <c r="G32" s="31">
        <f>Segunda!G32</f>
        <v>0</v>
      </c>
      <c r="H32" s="32">
        <f t="shared" si="61"/>
        <v>-1</v>
      </c>
      <c r="I32" s="31">
        <f>Segunda!I32</f>
        <v>0</v>
      </c>
      <c r="J32" s="32">
        <f t="shared" si="62"/>
        <v>-1</v>
      </c>
      <c r="K32" s="31">
        <f>Segunda!K32</f>
        <v>0</v>
      </c>
      <c r="L32" s="32">
        <f t="shared" si="63"/>
        <v>-1</v>
      </c>
      <c r="M32" s="31">
        <f>Segunda!M32</f>
        <v>0</v>
      </c>
      <c r="N32" s="32">
        <f t="shared" si="64"/>
        <v>-1</v>
      </c>
      <c r="O32" s="31">
        <f>Segunda!O32</f>
        <v>0</v>
      </c>
      <c r="P32" s="32">
        <f t="shared" si="65"/>
        <v>-1</v>
      </c>
      <c r="Q32" s="31">
        <f>Segunda!Q32</f>
        <v>0</v>
      </c>
      <c r="R32" s="32">
        <f t="shared" si="66"/>
        <v>-1</v>
      </c>
      <c r="S32" s="31">
        <f>Segunda!S32</f>
        <v>0</v>
      </c>
      <c r="T32" s="32">
        <f t="shared" si="67"/>
        <v>-1</v>
      </c>
      <c r="U32" s="31">
        <f>Segunda!U32</f>
        <v>0</v>
      </c>
      <c r="V32" s="32">
        <f t="shared" si="68"/>
        <v>-1</v>
      </c>
      <c r="W32" s="31">
        <f>Segunda!W32</f>
        <v>0</v>
      </c>
      <c r="X32" s="32">
        <f t="shared" si="69"/>
        <v>-1</v>
      </c>
      <c r="Y32" s="31">
        <f>Segunda!Y32</f>
        <v>0</v>
      </c>
      <c r="Z32" s="32">
        <f t="shared" si="70"/>
        <v>-1</v>
      </c>
      <c r="AA32" s="31">
        <f>Segunda!AA32</f>
        <v>0</v>
      </c>
      <c r="AB32" s="32">
        <f t="shared" si="71"/>
        <v>-1</v>
      </c>
      <c r="AC32" s="31">
        <f>Segunda!AC32</f>
        <v>0</v>
      </c>
      <c r="AD32" s="32">
        <f t="shared" si="72"/>
        <v>-1</v>
      </c>
      <c r="AE32" s="31">
        <f>Segunda!AE32</f>
        <v>0</v>
      </c>
      <c r="AF32" s="32">
        <f t="shared" si="73"/>
        <v>-1</v>
      </c>
      <c r="AG32" s="31">
        <f>Segunda!AG32</f>
        <v>0</v>
      </c>
      <c r="AH32" s="32">
        <f t="shared" si="74"/>
        <v>-1</v>
      </c>
      <c r="AI32" s="31">
        <f>Segunda!AI32</f>
        <v>0</v>
      </c>
      <c r="AJ32" s="32">
        <f t="shared" si="75"/>
        <v>-1</v>
      </c>
      <c r="AK32" s="31">
        <f>Segunda!AK32</f>
        <v>0</v>
      </c>
      <c r="AL32" s="32">
        <f t="shared" si="76"/>
        <v>-1</v>
      </c>
      <c r="AM32" s="31">
        <f>Segunda!AM32</f>
        <v>0</v>
      </c>
      <c r="AN32" s="32">
        <f t="shared" si="77"/>
        <v>-1</v>
      </c>
      <c r="AO32" s="31">
        <f>Segunda!AO32</f>
        <v>0</v>
      </c>
      <c r="AP32" s="32">
        <f t="shared" si="78"/>
        <v>-1</v>
      </c>
      <c r="AQ32" s="31">
        <f>Segunda!AQ32</f>
        <v>0</v>
      </c>
      <c r="AR32" s="32">
        <f t="shared" si="79"/>
        <v>-1</v>
      </c>
      <c r="AS32" s="31">
        <f>Segunda!AS32</f>
        <v>0</v>
      </c>
      <c r="AT32" s="32">
        <f t="shared" si="80"/>
        <v>-1</v>
      </c>
      <c r="AU32" s="31">
        <f>Segunda!AU32</f>
        <v>0</v>
      </c>
      <c r="AV32" s="32">
        <f t="shared" si="81"/>
        <v>-1</v>
      </c>
      <c r="AW32" s="31">
        <f>Segunda!AW32</f>
        <v>0</v>
      </c>
      <c r="AX32" s="32">
        <f t="shared" si="82"/>
        <v>-1</v>
      </c>
      <c r="AY32" s="31">
        <f>Segunda!AY32</f>
        <v>0</v>
      </c>
      <c r="AZ32" s="32">
        <f t="shared" si="83"/>
        <v>-1</v>
      </c>
      <c r="BA32" s="31">
        <f>Segunda!BA32</f>
        <v>0</v>
      </c>
      <c r="BB32" s="32">
        <f t="shared" si="84"/>
        <v>-1</v>
      </c>
      <c r="BC32" s="31">
        <f>Segunda!BC32</f>
        <v>0</v>
      </c>
      <c r="BD32" s="32">
        <f t="shared" si="85"/>
        <v>-1</v>
      </c>
      <c r="BE32" s="31">
        <f>Segunda!BE32</f>
        <v>0</v>
      </c>
      <c r="BF32" s="32">
        <f t="shared" si="86"/>
        <v>-1</v>
      </c>
      <c r="BG32" s="31">
        <f>Segunda!BG32</f>
        <v>0</v>
      </c>
      <c r="BH32" s="32">
        <f t="shared" si="87"/>
        <v>-1</v>
      </c>
      <c r="BI32" s="31">
        <f>Segunda!BI32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Segunda!B33</f>
        <v>0</v>
      </c>
      <c r="C33" s="31">
        <f>Segunda!C33</f>
        <v>0</v>
      </c>
      <c r="D33" s="32">
        <f t="shared" si="59"/>
        <v>-1</v>
      </c>
      <c r="E33" s="31">
        <f>Segunda!E33</f>
        <v>0</v>
      </c>
      <c r="F33" s="32">
        <f t="shared" si="60"/>
        <v>-1</v>
      </c>
      <c r="G33" s="31">
        <f>Segunda!G33</f>
        <v>0</v>
      </c>
      <c r="H33" s="32">
        <f t="shared" si="61"/>
        <v>-1</v>
      </c>
      <c r="I33" s="31">
        <f>Segunda!I33</f>
        <v>0</v>
      </c>
      <c r="J33" s="32">
        <f t="shared" si="62"/>
        <v>-1</v>
      </c>
      <c r="K33" s="31">
        <f>Segunda!K33</f>
        <v>0</v>
      </c>
      <c r="L33" s="32">
        <f t="shared" si="63"/>
        <v>-1</v>
      </c>
      <c r="M33" s="31">
        <f>Segunda!M33</f>
        <v>0</v>
      </c>
      <c r="N33" s="32">
        <f t="shared" si="64"/>
        <v>-1</v>
      </c>
      <c r="O33" s="31">
        <f>Segunda!O33</f>
        <v>0</v>
      </c>
      <c r="P33" s="32">
        <f t="shared" si="65"/>
        <v>-1</v>
      </c>
      <c r="Q33" s="31">
        <f>Segunda!Q33</f>
        <v>0</v>
      </c>
      <c r="R33" s="32">
        <f t="shared" si="66"/>
        <v>-1</v>
      </c>
      <c r="S33" s="31">
        <f>Segunda!S33</f>
        <v>0</v>
      </c>
      <c r="T33" s="32">
        <f t="shared" si="67"/>
        <v>-1</v>
      </c>
      <c r="U33" s="31">
        <f>Segunda!U33</f>
        <v>0</v>
      </c>
      <c r="V33" s="32">
        <f t="shared" si="68"/>
        <v>-1</v>
      </c>
      <c r="W33" s="31">
        <f>Segunda!W33</f>
        <v>0</v>
      </c>
      <c r="X33" s="32">
        <f t="shared" si="69"/>
        <v>-1</v>
      </c>
      <c r="Y33" s="31">
        <f>Segunda!Y33</f>
        <v>0</v>
      </c>
      <c r="Z33" s="32">
        <f t="shared" si="70"/>
        <v>-1</v>
      </c>
      <c r="AA33" s="31">
        <f>Segunda!AA33</f>
        <v>0</v>
      </c>
      <c r="AB33" s="32">
        <f t="shared" si="71"/>
        <v>-1</v>
      </c>
      <c r="AC33" s="31">
        <f>Segunda!AC33</f>
        <v>0</v>
      </c>
      <c r="AD33" s="32">
        <f t="shared" si="72"/>
        <v>-1</v>
      </c>
      <c r="AE33" s="31">
        <f>Segunda!AE33</f>
        <v>0</v>
      </c>
      <c r="AF33" s="32">
        <f t="shared" si="73"/>
        <v>-1</v>
      </c>
      <c r="AG33" s="31">
        <f>Segunda!AG33</f>
        <v>0</v>
      </c>
      <c r="AH33" s="32">
        <f t="shared" si="74"/>
        <v>-1</v>
      </c>
      <c r="AI33" s="31">
        <f>Segunda!AI33</f>
        <v>0</v>
      </c>
      <c r="AJ33" s="32">
        <f t="shared" si="75"/>
        <v>-1</v>
      </c>
      <c r="AK33" s="31">
        <f>Segunda!AK33</f>
        <v>0</v>
      </c>
      <c r="AL33" s="32">
        <f t="shared" si="76"/>
        <v>-1</v>
      </c>
      <c r="AM33" s="31">
        <f>Segunda!AM33</f>
        <v>0</v>
      </c>
      <c r="AN33" s="32">
        <f t="shared" si="77"/>
        <v>-1</v>
      </c>
      <c r="AO33" s="31">
        <f>Segunda!AO33</f>
        <v>0</v>
      </c>
      <c r="AP33" s="32">
        <f t="shared" si="78"/>
        <v>-1</v>
      </c>
      <c r="AQ33" s="31">
        <f>Segunda!AQ33</f>
        <v>0</v>
      </c>
      <c r="AR33" s="32">
        <f t="shared" si="79"/>
        <v>-1</v>
      </c>
      <c r="AS33" s="31">
        <f>Segunda!AS33</f>
        <v>0</v>
      </c>
      <c r="AT33" s="32">
        <f t="shared" si="80"/>
        <v>-1</v>
      </c>
      <c r="AU33" s="31">
        <f>Segunda!AU33</f>
        <v>0</v>
      </c>
      <c r="AV33" s="32">
        <f t="shared" si="81"/>
        <v>-1</v>
      </c>
      <c r="AW33" s="31">
        <f>Segunda!AW33</f>
        <v>0</v>
      </c>
      <c r="AX33" s="32">
        <f t="shared" si="82"/>
        <v>-1</v>
      </c>
      <c r="AY33" s="31">
        <f>Segunda!AY33</f>
        <v>0</v>
      </c>
      <c r="AZ33" s="32">
        <f t="shared" si="83"/>
        <v>-1</v>
      </c>
      <c r="BA33" s="31">
        <f>Segunda!BA33</f>
        <v>0</v>
      </c>
      <c r="BB33" s="32">
        <f t="shared" si="84"/>
        <v>-1</v>
      </c>
      <c r="BC33" s="31">
        <f>Segunda!BC33</f>
        <v>0</v>
      </c>
      <c r="BD33" s="32">
        <f t="shared" si="85"/>
        <v>-1</v>
      </c>
      <c r="BE33" s="31">
        <f>Segunda!BE33</f>
        <v>0</v>
      </c>
      <c r="BF33" s="32">
        <f t="shared" si="86"/>
        <v>-1</v>
      </c>
      <c r="BG33" s="31">
        <f>Segunda!BG33</f>
        <v>0</v>
      </c>
      <c r="BH33" s="32">
        <f t="shared" si="87"/>
        <v>-1</v>
      </c>
      <c r="BI33" s="31">
        <f>Segunda!BI33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Segunda!B34</f>
        <v>0</v>
      </c>
      <c r="C34" s="31">
        <f>Segunda!C34</f>
        <v>0</v>
      </c>
      <c r="D34" s="32">
        <f t="shared" si="59"/>
        <v>-1</v>
      </c>
      <c r="E34" s="31">
        <f>Segunda!E34</f>
        <v>0</v>
      </c>
      <c r="F34" s="32">
        <f t="shared" si="60"/>
        <v>-1</v>
      </c>
      <c r="G34" s="31">
        <f>Segunda!G34</f>
        <v>0</v>
      </c>
      <c r="H34" s="32">
        <f t="shared" si="61"/>
        <v>-1</v>
      </c>
      <c r="I34" s="31">
        <f>Segunda!I34</f>
        <v>0</v>
      </c>
      <c r="J34" s="32">
        <f t="shared" si="62"/>
        <v>-1</v>
      </c>
      <c r="K34" s="31">
        <f>Segunda!K34</f>
        <v>0</v>
      </c>
      <c r="L34" s="32">
        <f t="shared" si="63"/>
        <v>-1</v>
      </c>
      <c r="M34" s="31">
        <f>Segunda!M34</f>
        <v>0</v>
      </c>
      <c r="N34" s="32">
        <f t="shared" si="64"/>
        <v>-1</v>
      </c>
      <c r="O34" s="31">
        <f>Segunda!O34</f>
        <v>0</v>
      </c>
      <c r="P34" s="32">
        <f t="shared" si="65"/>
        <v>-1</v>
      </c>
      <c r="Q34" s="31">
        <f>Segunda!Q34</f>
        <v>0</v>
      </c>
      <c r="R34" s="32">
        <f t="shared" si="66"/>
        <v>-1</v>
      </c>
      <c r="S34" s="31">
        <f>Segunda!S34</f>
        <v>0</v>
      </c>
      <c r="T34" s="32">
        <f t="shared" si="67"/>
        <v>-1</v>
      </c>
      <c r="U34" s="31">
        <f>Segunda!U34</f>
        <v>0</v>
      </c>
      <c r="V34" s="32">
        <f t="shared" si="68"/>
        <v>-1</v>
      </c>
      <c r="W34" s="31">
        <f>Segunda!W34</f>
        <v>0</v>
      </c>
      <c r="X34" s="32">
        <f t="shared" si="69"/>
        <v>-1</v>
      </c>
      <c r="Y34" s="31">
        <f>Segunda!Y34</f>
        <v>0</v>
      </c>
      <c r="Z34" s="32">
        <f t="shared" si="70"/>
        <v>-1</v>
      </c>
      <c r="AA34" s="31">
        <f>Segunda!AA34</f>
        <v>0</v>
      </c>
      <c r="AB34" s="32">
        <f t="shared" si="71"/>
        <v>-1</v>
      </c>
      <c r="AC34" s="31">
        <f>Segunda!AC34</f>
        <v>0</v>
      </c>
      <c r="AD34" s="32">
        <f t="shared" si="72"/>
        <v>-1</v>
      </c>
      <c r="AE34" s="31">
        <f>Segunda!AE34</f>
        <v>0</v>
      </c>
      <c r="AF34" s="32">
        <f t="shared" si="73"/>
        <v>-1</v>
      </c>
      <c r="AG34" s="31">
        <f>Segunda!AG34</f>
        <v>0</v>
      </c>
      <c r="AH34" s="32">
        <f t="shared" si="74"/>
        <v>-1</v>
      </c>
      <c r="AI34" s="31">
        <f>Segunda!AI34</f>
        <v>0</v>
      </c>
      <c r="AJ34" s="32">
        <f t="shared" si="75"/>
        <v>-1</v>
      </c>
      <c r="AK34" s="31">
        <f>Segunda!AK34</f>
        <v>0</v>
      </c>
      <c r="AL34" s="32">
        <f t="shared" si="76"/>
        <v>-1</v>
      </c>
      <c r="AM34" s="31">
        <f>Segunda!AM34</f>
        <v>0</v>
      </c>
      <c r="AN34" s="32">
        <f t="shared" si="77"/>
        <v>-1</v>
      </c>
      <c r="AO34" s="31">
        <f>Segunda!AO34</f>
        <v>0</v>
      </c>
      <c r="AP34" s="32">
        <f t="shared" si="78"/>
        <v>-1</v>
      </c>
      <c r="AQ34" s="31">
        <f>Segunda!AQ34</f>
        <v>0</v>
      </c>
      <c r="AR34" s="32">
        <f t="shared" si="79"/>
        <v>-1</v>
      </c>
      <c r="AS34" s="31">
        <f>Segunda!AS34</f>
        <v>0</v>
      </c>
      <c r="AT34" s="32">
        <f t="shared" si="80"/>
        <v>-1</v>
      </c>
      <c r="AU34" s="31">
        <f>Segunda!AU34</f>
        <v>0</v>
      </c>
      <c r="AV34" s="32">
        <f t="shared" si="81"/>
        <v>-1</v>
      </c>
      <c r="AW34" s="31">
        <f>Segunda!AW34</f>
        <v>0</v>
      </c>
      <c r="AX34" s="32">
        <f t="shared" si="82"/>
        <v>-1</v>
      </c>
      <c r="AY34" s="31">
        <f>Segunda!AY34</f>
        <v>0</v>
      </c>
      <c r="AZ34" s="32">
        <f t="shared" si="83"/>
        <v>-1</v>
      </c>
      <c r="BA34" s="31">
        <f>Segunda!BA34</f>
        <v>0</v>
      </c>
      <c r="BB34" s="32">
        <f t="shared" si="84"/>
        <v>-1</v>
      </c>
      <c r="BC34" s="31">
        <f>Segunda!BC34</f>
        <v>0</v>
      </c>
      <c r="BD34" s="32">
        <f t="shared" si="85"/>
        <v>-1</v>
      </c>
      <c r="BE34" s="31">
        <f>Segunda!BE34</f>
        <v>0</v>
      </c>
      <c r="BF34" s="32">
        <f t="shared" si="86"/>
        <v>-1</v>
      </c>
      <c r="BG34" s="31">
        <f>Segunda!BG34</f>
        <v>0</v>
      </c>
      <c r="BH34" s="32">
        <f t="shared" si="87"/>
        <v>-1</v>
      </c>
      <c r="BI34" s="31">
        <f>Segunda!BI34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Segunda!B35</f>
        <v>0</v>
      </c>
      <c r="C35" s="31">
        <f>Segunda!C35</f>
        <v>0</v>
      </c>
      <c r="D35" s="32">
        <f t="shared" si="59"/>
        <v>-1</v>
      </c>
      <c r="E35" s="31">
        <f>Segunda!E35</f>
        <v>0</v>
      </c>
      <c r="F35" s="32">
        <f t="shared" si="60"/>
        <v>-1</v>
      </c>
      <c r="G35" s="31">
        <f>Segunda!G35</f>
        <v>0</v>
      </c>
      <c r="H35" s="32">
        <f t="shared" si="61"/>
        <v>-1</v>
      </c>
      <c r="I35" s="31">
        <f>Segunda!I35</f>
        <v>0</v>
      </c>
      <c r="J35" s="32">
        <f t="shared" si="62"/>
        <v>-1</v>
      </c>
      <c r="K35" s="31">
        <f>Segunda!K35</f>
        <v>0</v>
      </c>
      <c r="L35" s="32">
        <f t="shared" si="63"/>
        <v>-1</v>
      </c>
      <c r="M35" s="31">
        <f>Segunda!M35</f>
        <v>0</v>
      </c>
      <c r="N35" s="32">
        <f t="shared" si="64"/>
        <v>-1</v>
      </c>
      <c r="O35" s="31">
        <f>Segunda!O35</f>
        <v>0</v>
      </c>
      <c r="P35" s="32">
        <f t="shared" si="65"/>
        <v>-1</v>
      </c>
      <c r="Q35" s="31">
        <f>Segunda!Q35</f>
        <v>0</v>
      </c>
      <c r="R35" s="32">
        <f t="shared" si="66"/>
        <v>-1</v>
      </c>
      <c r="S35" s="31">
        <f>Segunda!S35</f>
        <v>0</v>
      </c>
      <c r="T35" s="32">
        <f t="shared" si="67"/>
        <v>-1</v>
      </c>
      <c r="U35" s="31">
        <f>Segunda!U35</f>
        <v>0</v>
      </c>
      <c r="V35" s="32">
        <f t="shared" si="68"/>
        <v>-1</v>
      </c>
      <c r="W35" s="31">
        <f>Segunda!W35</f>
        <v>0</v>
      </c>
      <c r="X35" s="32">
        <f t="shared" si="69"/>
        <v>-1</v>
      </c>
      <c r="Y35" s="31">
        <f>Segunda!Y35</f>
        <v>0</v>
      </c>
      <c r="Z35" s="32">
        <f t="shared" si="70"/>
        <v>-1</v>
      </c>
      <c r="AA35" s="31">
        <f>Segunda!AA35</f>
        <v>0</v>
      </c>
      <c r="AB35" s="32">
        <f t="shared" si="71"/>
        <v>-1</v>
      </c>
      <c r="AC35" s="31">
        <f>Segunda!AC35</f>
        <v>0</v>
      </c>
      <c r="AD35" s="32">
        <f t="shared" si="72"/>
        <v>-1</v>
      </c>
      <c r="AE35" s="31">
        <f>Segunda!AE35</f>
        <v>0</v>
      </c>
      <c r="AF35" s="32">
        <f t="shared" si="73"/>
        <v>-1</v>
      </c>
      <c r="AG35" s="31">
        <f>Segunda!AG35</f>
        <v>0</v>
      </c>
      <c r="AH35" s="32">
        <f t="shared" si="74"/>
        <v>-1</v>
      </c>
      <c r="AI35" s="31">
        <f>Segunda!AI35</f>
        <v>0</v>
      </c>
      <c r="AJ35" s="32">
        <f t="shared" si="75"/>
        <v>-1</v>
      </c>
      <c r="AK35" s="31">
        <f>Segunda!AK35</f>
        <v>0</v>
      </c>
      <c r="AL35" s="32">
        <f t="shared" si="76"/>
        <v>-1</v>
      </c>
      <c r="AM35" s="31">
        <f>Segunda!AM35</f>
        <v>0</v>
      </c>
      <c r="AN35" s="32">
        <f t="shared" si="77"/>
        <v>-1</v>
      </c>
      <c r="AO35" s="31">
        <f>Segunda!AO35</f>
        <v>0</v>
      </c>
      <c r="AP35" s="32">
        <f t="shared" si="78"/>
        <v>-1</v>
      </c>
      <c r="AQ35" s="31">
        <f>Segunda!AQ35</f>
        <v>0</v>
      </c>
      <c r="AR35" s="32">
        <f t="shared" si="79"/>
        <v>-1</v>
      </c>
      <c r="AS35" s="31">
        <f>Segunda!AS35</f>
        <v>0</v>
      </c>
      <c r="AT35" s="32">
        <f t="shared" si="80"/>
        <v>-1</v>
      </c>
      <c r="AU35" s="31">
        <f>Segunda!AU35</f>
        <v>0</v>
      </c>
      <c r="AV35" s="32">
        <f t="shared" si="81"/>
        <v>-1</v>
      </c>
      <c r="AW35" s="31">
        <f>Segunda!AW35</f>
        <v>0</v>
      </c>
      <c r="AX35" s="32">
        <f t="shared" si="82"/>
        <v>-1</v>
      </c>
      <c r="AY35" s="31">
        <f>Segunda!AY35</f>
        <v>0</v>
      </c>
      <c r="AZ35" s="32">
        <f t="shared" si="83"/>
        <v>-1</v>
      </c>
      <c r="BA35" s="31">
        <f>Segunda!BA35</f>
        <v>0</v>
      </c>
      <c r="BB35" s="32">
        <f t="shared" si="84"/>
        <v>-1</v>
      </c>
      <c r="BC35" s="31">
        <f>Segunda!BC35</f>
        <v>0</v>
      </c>
      <c r="BD35" s="32">
        <f t="shared" si="85"/>
        <v>-1</v>
      </c>
      <c r="BE35" s="31">
        <f>Segunda!BE35</f>
        <v>0</v>
      </c>
      <c r="BF35" s="32">
        <f t="shared" si="86"/>
        <v>-1</v>
      </c>
      <c r="BG35" s="31">
        <f>Segunda!BG35</f>
        <v>0</v>
      </c>
      <c r="BH35" s="32">
        <f t="shared" si="87"/>
        <v>-1</v>
      </c>
      <c r="BI35" s="31">
        <f>Segunda!BI35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Segunda!B36</f>
        <v>0</v>
      </c>
      <c r="C36" s="31">
        <f>Segunda!C36</f>
        <v>0</v>
      </c>
      <c r="D36" s="32">
        <f t="shared" si="59"/>
        <v>-1</v>
      </c>
      <c r="E36" s="31">
        <f>Segunda!E36</f>
        <v>0</v>
      </c>
      <c r="F36" s="32">
        <f t="shared" si="60"/>
        <v>-1</v>
      </c>
      <c r="G36" s="31">
        <f>Segunda!G36</f>
        <v>0</v>
      </c>
      <c r="H36" s="32">
        <f t="shared" si="61"/>
        <v>-1</v>
      </c>
      <c r="I36" s="31">
        <f>Segunda!I36</f>
        <v>0</v>
      </c>
      <c r="J36" s="32">
        <f t="shared" si="62"/>
        <v>-1</v>
      </c>
      <c r="K36" s="31">
        <f>Segunda!K36</f>
        <v>0</v>
      </c>
      <c r="L36" s="32">
        <f t="shared" si="63"/>
        <v>-1</v>
      </c>
      <c r="M36" s="31">
        <f>Segunda!M36</f>
        <v>0</v>
      </c>
      <c r="N36" s="32">
        <f t="shared" si="64"/>
        <v>-1</v>
      </c>
      <c r="O36" s="31">
        <f>Segunda!O36</f>
        <v>0</v>
      </c>
      <c r="P36" s="32">
        <f t="shared" si="65"/>
        <v>-1</v>
      </c>
      <c r="Q36" s="31">
        <f>Segunda!Q36</f>
        <v>0</v>
      </c>
      <c r="R36" s="32">
        <f t="shared" si="66"/>
        <v>-1</v>
      </c>
      <c r="S36" s="31">
        <f>Segunda!S36</f>
        <v>0</v>
      </c>
      <c r="T36" s="32">
        <f t="shared" si="67"/>
        <v>-1</v>
      </c>
      <c r="U36" s="31">
        <f>Segunda!U36</f>
        <v>0</v>
      </c>
      <c r="V36" s="32">
        <f t="shared" si="68"/>
        <v>-1</v>
      </c>
      <c r="W36" s="31">
        <f>Segunda!W36</f>
        <v>0</v>
      </c>
      <c r="X36" s="32">
        <f t="shared" si="69"/>
        <v>-1</v>
      </c>
      <c r="Y36" s="31">
        <f>Segunda!Y36</f>
        <v>0</v>
      </c>
      <c r="Z36" s="32">
        <f t="shared" si="70"/>
        <v>-1</v>
      </c>
      <c r="AA36" s="31">
        <f>Segunda!AA36</f>
        <v>0</v>
      </c>
      <c r="AB36" s="32">
        <f t="shared" si="71"/>
        <v>-1</v>
      </c>
      <c r="AC36" s="31">
        <f>Segunda!AC36</f>
        <v>0</v>
      </c>
      <c r="AD36" s="32">
        <f t="shared" si="72"/>
        <v>-1</v>
      </c>
      <c r="AE36" s="31">
        <f>Segunda!AE36</f>
        <v>0</v>
      </c>
      <c r="AF36" s="32">
        <f t="shared" si="73"/>
        <v>-1</v>
      </c>
      <c r="AG36" s="31">
        <f>Segunda!AG36</f>
        <v>0</v>
      </c>
      <c r="AH36" s="32">
        <f t="shared" si="74"/>
        <v>-1</v>
      </c>
      <c r="AI36" s="31">
        <f>Segunda!AI36</f>
        <v>0</v>
      </c>
      <c r="AJ36" s="32">
        <f t="shared" si="75"/>
        <v>-1</v>
      </c>
      <c r="AK36" s="31">
        <f>Segunda!AK36</f>
        <v>0</v>
      </c>
      <c r="AL36" s="32">
        <f t="shared" si="76"/>
        <v>-1</v>
      </c>
      <c r="AM36" s="31">
        <f>Segunda!AM36</f>
        <v>0</v>
      </c>
      <c r="AN36" s="32">
        <f t="shared" si="77"/>
        <v>-1</v>
      </c>
      <c r="AO36" s="31">
        <f>Segunda!AO36</f>
        <v>0</v>
      </c>
      <c r="AP36" s="32">
        <f t="shared" si="78"/>
        <v>-1</v>
      </c>
      <c r="AQ36" s="31">
        <f>Segunda!AQ36</f>
        <v>0</v>
      </c>
      <c r="AR36" s="32">
        <f t="shared" si="79"/>
        <v>-1</v>
      </c>
      <c r="AS36" s="31">
        <f>Segunda!AS36</f>
        <v>0</v>
      </c>
      <c r="AT36" s="32">
        <f t="shared" si="80"/>
        <v>-1</v>
      </c>
      <c r="AU36" s="31">
        <f>Segunda!AU36</f>
        <v>0</v>
      </c>
      <c r="AV36" s="32">
        <f t="shared" si="81"/>
        <v>-1</v>
      </c>
      <c r="AW36" s="31">
        <f>Segunda!AW36</f>
        <v>0</v>
      </c>
      <c r="AX36" s="32">
        <f t="shared" si="82"/>
        <v>-1</v>
      </c>
      <c r="AY36" s="31">
        <f>Segunda!AY36</f>
        <v>0</v>
      </c>
      <c r="AZ36" s="32">
        <f t="shared" si="83"/>
        <v>-1</v>
      </c>
      <c r="BA36" s="31">
        <f>Segunda!BA36</f>
        <v>0</v>
      </c>
      <c r="BB36" s="32">
        <f t="shared" si="84"/>
        <v>-1</v>
      </c>
      <c r="BC36" s="31">
        <f>Segunda!BC36</f>
        <v>0</v>
      </c>
      <c r="BD36" s="32">
        <f t="shared" si="85"/>
        <v>-1</v>
      </c>
      <c r="BE36" s="31">
        <f>Segunda!BE36</f>
        <v>0</v>
      </c>
      <c r="BF36" s="32">
        <f t="shared" si="86"/>
        <v>-1</v>
      </c>
      <c r="BG36" s="31">
        <f>Segunda!BG36</f>
        <v>0</v>
      </c>
      <c r="BH36" s="32">
        <f t="shared" si="87"/>
        <v>-1</v>
      </c>
      <c r="BI36" s="31">
        <f>Segunda!BI36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Segunda!B37</f>
        <v>0</v>
      </c>
      <c r="C37" s="31">
        <f>Segunda!C37</f>
        <v>0</v>
      </c>
      <c r="D37" s="32">
        <f t="shared" si="59"/>
        <v>-1</v>
      </c>
      <c r="E37" s="31">
        <f>Segunda!E37</f>
        <v>0</v>
      </c>
      <c r="F37" s="32">
        <f t="shared" si="60"/>
        <v>-1</v>
      </c>
      <c r="G37" s="31">
        <f>Segunda!G37</f>
        <v>0</v>
      </c>
      <c r="H37" s="32">
        <f t="shared" si="61"/>
        <v>-1</v>
      </c>
      <c r="I37" s="31">
        <f>Segunda!I37</f>
        <v>0</v>
      </c>
      <c r="J37" s="32">
        <f t="shared" si="62"/>
        <v>-1</v>
      </c>
      <c r="K37" s="31">
        <f>Segunda!K37</f>
        <v>0</v>
      </c>
      <c r="L37" s="32">
        <f t="shared" si="63"/>
        <v>-1</v>
      </c>
      <c r="M37" s="31">
        <f>Segunda!M37</f>
        <v>0</v>
      </c>
      <c r="N37" s="32">
        <f t="shared" si="64"/>
        <v>-1</v>
      </c>
      <c r="O37" s="31">
        <f>Segunda!O37</f>
        <v>0</v>
      </c>
      <c r="P37" s="32">
        <f t="shared" si="65"/>
        <v>-1</v>
      </c>
      <c r="Q37" s="31">
        <f>Segunda!Q37</f>
        <v>0</v>
      </c>
      <c r="R37" s="32">
        <f t="shared" si="66"/>
        <v>-1</v>
      </c>
      <c r="S37" s="31">
        <f>Segunda!S37</f>
        <v>0</v>
      </c>
      <c r="T37" s="32">
        <f t="shared" si="67"/>
        <v>-1</v>
      </c>
      <c r="U37" s="31">
        <f>Segunda!U37</f>
        <v>0</v>
      </c>
      <c r="V37" s="32">
        <f t="shared" si="68"/>
        <v>-1</v>
      </c>
      <c r="W37" s="31">
        <f>Segunda!W37</f>
        <v>0</v>
      </c>
      <c r="X37" s="32">
        <f t="shared" si="69"/>
        <v>-1</v>
      </c>
      <c r="Y37" s="31">
        <f>Segunda!Y37</f>
        <v>0</v>
      </c>
      <c r="Z37" s="32">
        <f t="shared" si="70"/>
        <v>-1</v>
      </c>
      <c r="AA37" s="31">
        <f>Segunda!AA37</f>
        <v>0</v>
      </c>
      <c r="AB37" s="32">
        <f t="shared" si="71"/>
        <v>-1</v>
      </c>
      <c r="AC37" s="31">
        <f>Segunda!AC37</f>
        <v>0</v>
      </c>
      <c r="AD37" s="32">
        <f t="shared" si="72"/>
        <v>-1</v>
      </c>
      <c r="AE37" s="31">
        <f>Segunda!AE37</f>
        <v>0</v>
      </c>
      <c r="AF37" s="32">
        <f t="shared" si="73"/>
        <v>-1</v>
      </c>
      <c r="AG37" s="31">
        <f>Segunda!AG37</f>
        <v>0</v>
      </c>
      <c r="AH37" s="32">
        <f t="shared" si="74"/>
        <v>-1</v>
      </c>
      <c r="AI37" s="31">
        <f>Segunda!AI37</f>
        <v>0</v>
      </c>
      <c r="AJ37" s="32">
        <f t="shared" si="75"/>
        <v>-1</v>
      </c>
      <c r="AK37" s="31">
        <f>Segunda!AK37</f>
        <v>0</v>
      </c>
      <c r="AL37" s="32">
        <f t="shared" si="76"/>
        <v>-1</v>
      </c>
      <c r="AM37" s="31">
        <f>Segunda!AM37</f>
        <v>0</v>
      </c>
      <c r="AN37" s="32">
        <f t="shared" si="77"/>
        <v>-1</v>
      </c>
      <c r="AO37" s="31">
        <f>Segunda!AO37</f>
        <v>0</v>
      </c>
      <c r="AP37" s="32">
        <f t="shared" si="78"/>
        <v>-1</v>
      </c>
      <c r="AQ37" s="31">
        <f>Segunda!AQ37</f>
        <v>0</v>
      </c>
      <c r="AR37" s="32">
        <f t="shared" si="79"/>
        <v>-1</v>
      </c>
      <c r="AS37" s="31">
        <f>Segunda!AS37</f>
        <v>0</v>
      </c>
      <c r="AT37" s="32">
        <f t="shared" si="80"/>
        <v>-1</v>
      </c>
      <c r="AU37" s="31">
        <f>Segunda!AU37</f>
        <v>0</v>
      </c>
      <c r="AV37" s="32">
        <f t="shared" si="81"/>
        <v>-1</v>
      </c>
      <c r="AW37" s="31">
        <f>Segunda!AW37</f>
        <v>0</v>
      </c>
      <c r="AX37" s="32">
        <f t="shared" si="82"/>
        <v>-1</v>
      </c>
      <c r="AY37" s="31">
        <f>Segunda!AY37</f>
        <v>0</v>
      </c>
      <c r="AZ37" s="32">
        <f t="shared" si="83"/>
        <v>-1</v>
      </c>
      <c r="BA37" s="31">
        <f>Segunda!BA37</f>
        <v>0</v>
      </c>
      <c r="BB37" s="32">
        <f t="shared" si="84"/>
        <v>-1</v>
      </c>
      <c r="BC37" s="31">
        <f>Segunda!BC37</f>
        <v>0</v>
      </c>
      <c r="BD37" s="32">
        <f t="shared" si="85"/>
        <v>-1</v>
      </c>
      <c r="BE37" s="31">
        <f>Segunda!BE37</f>
        <v>0</v>
      </c>
      <c r="BF37" s="32">
        <f t="shared" si="86"/>
        <v>-1</v>
      </c>
      <c r="BG37" s="31">
        <f>Segunda!BG37</f>
        <v>0</v>
      </c>
      <c r="BH37" s="32">
        <f t="shared" si="87"/>
        <v>-1</v>
      </c>
      <c r="BI37" s="31">
        <f>Segunda!BI37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52" t="str">
        <f>IF(SUM($B39:$B58)&lt;&gt;0,SUM(C39:C58)/SUM($B39:$B58)*$B38*10, "")</f>
        <v/>
      </c>
      <c r="D38" s="52"/>
      <c r="E38" s="52" t="str">
        <f>IF(SUM($B39:$B58)&lt;&gt;0,SUM(E39:E58)/SUM($B39:$B58)*$B38*10, "")</f>
        <v/>
      </c>
      <c r="F38" s="52"/>
      <c r="G38" s="52" t="str">
        <f>IF(SUM($B39:$B58)&lt;&gt;0,SUM(G39:G58)/SUM($B39:$B58)*$B38*10, "")</f>
        <v/>
      </c>
      <c r="H38" s="52"/>
      <c r="I38" s="52" t="str">
        <f>IF(SUM($B39:$B58)&lt;&gt;0,SUM(I39:I58)/SUM($B39:$B58)*$B38*10, "")</f>
        <v/>
      </c>
      <c r="J38" s="52"/>
      <c r="K38" s="52" t="str">
        <f>IF(SUM($B39:$B58)&lt;&gt;0,SUM(K39:K58)/SUM($B39:$B58)*$B38*10, "")</f>
        <v/>
      </c>
      <c r="L38" s="52"/>
      <c r="M38" s="52" t="str">
        <f>IF(SUM($B39:$B58)&lt;&gt;0,SUM(M39:M58)/SUM($B39:$B58)*$B38*10, "")</f>
        <v/>
      </c>
      <c r="N38" s="52"/>
      <c r="O38" s="52" t="str">
        <f>IF(SUM($B39:$B58)&lt;&gt;0,SUM(O39:O58)/SUM($B39:$B58)*$B38*10, "")</f>
        <v/>
      </c>
      <c r="P38" s="52"/>
      <c r="Q38" s="52" t="str">
        <f>IF(SUM($B39:$B58)&lt;&gt;0,SUM(Q39:Q58)/SUM($B39:$B58)*$B38*10, "")</f>
        <v/>
      </c>
      <c r="R38" s="52"/>
      <c r="S38" s="52" t="str">
        <f>IF(SUM($B39:$B58)&lt;&gt;0,SUM(S39:S58)/SUM($B39:$B58)*$B38*10, "")</f>
        <v/>
      </c>
      <c r="T38" s="52"/>
      <c r="U38" s="52" t="str">
        <f>IF(SUM($B39:$B58)&lt;&gt;0,SUM(U39:U58)/SUM($B39:$B58)*$B38*10, "")</f>
        <v/>
      </c>
      <c r="V38" s="52"/>
      <c r="W38" s="52" t="str">
        <f>IF(SUM($B39:$B58)&lt;&gt;0,SUM(W39:W58)/SUM($B39:$B58)*$B38*10, "")</f>
        <v/>
      </c>
      <c r="X38" s="52"/>
      <c r="Y38" s="52" t="str">
        <f>IF(SUM($B39:$B58)&lt;&gt;0,SUM(Y39:Y58)/SUM($B39:$B58)*$B38*10, "")</f>
        <v/>
      </c>
      <c r="Z38" s="52"/>
      <c r="AA38" s="52" t="str">
        <f>IF(SUM($B39:$B58)&lt;&gt;0,SUM(AA39:AA58)/SUM($B39:$B58)*$B38*10, "")</f>
        <v/>
      </c>
      <c r="AB38" s="52"/>
      <c r="AC38" s="52" t="str">
        <f>IF(SUM($B39:$B58)&lt;&gt;0,SUM(AC39:AC58)/SUM($B39:$B58)*$B38*10, "")</f>
        <v/>
      </c>
      <c r="AD38" s="52"/>
      <c r="AE38" s="52" t="str">
        <f>IF(SUM($B39:$B58)&lt;&gt;0,SUM(AE39:AE58)/SUM($B39:$B58)*$B38*10, "")</f>
        <v/>
      </c>
      <c r="AF38" s="52"/>
      <c r="AG38" s="52" t="str">
        <f>IF(SUM($B39:$B58)&lt;&gt;0,SUM(AG39:AG58)/SUM($B39:$B58)*$B38*10, "")</f>
        <v/>
      </c>
      <c r="AH38" s="52"/>
      <c r="AI38" s="52" t="str">
        <f>IF(SUM($B39:$B58)&lt;&gt;0,SUM(AI39:AI58)/SUM($B39:$B58)*$B38*10, "")</f>
        <v/>
      </c>
      <c r="AJ38" s="52"/>
      <c r="AK38" s="52" t="str">
        <f>IF(SUM($B39:$B58)&lt;&gt;0,SUM(AK39:AK58)/SUM($B39:$B58)*$B38*10, "")</f>
        <v/>
      </c>
      <c r="AL38" s="52"/>
      <c r="AM38" s="52" t="str">
        <f>IF(SUM($B39:$B58)&lt;&gt;0,SUM(AM39:AM58)/SUM($B39:$B58)*$B38*10, "")</f>
        <v/>
      </c>
      <c r="AN38" s="52"/>
      <c r="AO38" s="52" t="str">
        <f>IF(SUM($B39:$B58)&lt;&gt;0,SUM(AO39:AO58)/SUM($B39:$B58)*$B38*10, "")</f>
        <v/>
      </c>
      <c r="AP38" s="52"/>
      <c r="AQ38" s="52" t="str">
        <f>IF(SUM($B39:$B58)&lt;&gt;0,SUM(AQ39:AQ58)/SUM($B39:$B58)*$B38*10, "")</f>
        <v/>
      </c>
      <c r="AR38" s="52"/>
      <c r="AS38" s="52" t="str">
        <f>IF(SUM($B39:$B58)&lt;&gt;0,SUM(AS39:AS58)/SUM($B39:$B58)*$B38*10, "")</f>
        <v/>
      </c>
      <c r="AT38" s="52"/>
      <c r="AU38" s="52" t="str">
        <f>IF(SUM($B39:$B58)&lt;&gt;0,SUM(AU39:AU58)/SUM($B39:$B58)*$B38*10, "")</f>
        <v/>
      </c>
      <c r="AV38" s="52"/>
      <c r="AW38" s="52" t="str">
        <f>IF(SUM($B39:$B58)&lt;&gt;0,SUM(AW39:AW58)/SUM($B39:$B58)*$B38*10, "")</f>
        <v/>
      </c>
      <c r="AX38" s="52"/>
      <c r="AY38" s="52" t="str">
        <f>IF(SUM($B39:$B58)&lt;&gt;0,SUM(AY39:AY58)/SUM($B39:$B58)*$B38*10, "")</f>
        <v/>
      </c>
      <c r="AZ38" s="52"/>
      <c r="BA38" s="52" t="str">
        <f>IF(SUM($B39:$B58)&lt;&gt;0,SUM(BA39:BA58)/SUM($B39:$B58)*$B38*10, "")</f>
        <v/>
      </c>
      <c r="BB38" s="52"/>
      <c r="BC38" s="52" t="str">
        <f>IF(SUM($B39:$B58)&lt;&gt;0,SUM(BC39:BC58)/SUM($B39:$B58)*$B38*10, "")</f>
        <v/>
      </c>
      <c r="BD38" s="52"/>
      <c r="BE38" s="52" t="str">
        <f>IF(SUM($B39:$B58)&lt;&gt;0,SUM(BE39:BE58)/SUM($B39:$B58)*$B38*10, "")</f>
        <v/>
      </c>
      <c r="BF38" s="52"/>
      <c r="BG38" s="52" t="str">
        <f>IF(SUM($B39:$B58)&lt;&gt;0,SUM(BG39:BG58)/SUM($B39:$B58)*$B38*10, "")</f>
        <v/>
      </c>
      <c r="BH38" s="52"/>
      <c r="BI38" s="52" t="str">
        <f>IF(SUM($B39:$B58)&lt;&gt;0,SUM(BI39:BI58)/SUM($B39:$B58)*$B38*10, "")</f>
        <v/>
      </c>
      <c r="BJ38" s="52"/>
    </row>
    <row r="39" spans="1:62" ht="28" x14ac:dyDescent="0.2">
      <c r="A39" s="2" t="s">
        <v>39</v>
      </c>
      <c r="B39" s="13">
        <f>Segunda!B39</f>
        <v>0</v>
      </c>
      <c r="C39" s="31">
        <f>Segunda!C39</f>
        <v>0</v>
      </c>
      <c r="D39" s="32">
        <f t="shared" ref="D39:D58" si="89">IF($B39,C39/$B39,-1)</f>
        <v>-1</v>
      </c>
      <c r="E39" s="31">
        <f>Segunda!E39</f>
        <v>0</v>
      </c>
      <c r="F39" s="32">
        <f t="shared" ref="F39:F58" si="90">IF($B39,E39/$B39,-1)</f>
        <v>-1</v>
      </c>
      <c r="G39" s="31">
        <f>Segunda!G39</f>
        <v>0</v>
      </c>
      <c r="H39" s="32">
        <f t="shared" ref="H39:H58" si="91">IF($B39,G39/$B39,-1)</f>
        <v>-1</v>
      </c>
      <c r="I39" s="31">
        <f>Segunda!I39</f>
        <v>0</v>
      </c>
      <c r="J39" s="32">
        <f t="shared" ref="J39:J58" si="92">IF($B39,I39/$B39,-1)</f>
        <v>-1</v>
      </c>
      <c r="K39" s="31">
        <f>Segunda!K39</f>
        <v>0</v>
      </c>
      <c r="L39" s="32">
        <f t="shared" ref="L39:L58" si="93">IF($B39,K39/$B39,-1)</f>
        <v>-1</v>
      </c>
      <c r="M39" s="31">
        <f>Segunda!M39</f>
        <v>0</v>
      </c>
      <c r="N39" s="32">
        <f t="shared" ref="N39:N58" si="94">IF($B39,M39/$B39,-1)</f>
        <v>-1</v>
      </c>
      <c r="O39" s="31">
        <f>Segunda!O39</f>
        <v>0</v>
      </c>
      <c r="P39" s="32">
        <f t="shared" ref="P39:P58" si="95">IF($B39,O39/$B39,-1)</f>
        <v>-1</v>
      </c>
      <c r="Q39" s="31">
        <f>Segunda!Q39</f>
        <v>0</v>
      </c>
      <c r="R39" s="32">
        <f t="shared" ref="R39:R58" si="96">IF($B39,Q39/$B39,-1)</f>
        <v>-1</v>
      </c>
      <c r="S39" s="31">
        <f>Segunda!S39</f>
        <v>0</v>
      </c>
      <c r="T39" s="32">
        <f t="shared" ref="T39:T58" si="97">IF($B39,S39/$B39,-1)</f>
        <v>-1</v>
      </c>
      <c r="U39" s="31">
        <f>Segunda!U39</f>
        <v>0</v>
      </c>
      <c r="V39" s="32">
        <f t="shared" ref="V39:V58" si="98">IF($B39,U39/$B39,-1)</f>
        <v>-1</v>
      </c>
      <c r="W39" s="31">
        <f>Segunda!W39</f>
        <v>0</v>
      </c>
      <c r="X39" s="32">
        <f t="shared" ref="X39:X58" si="99">IF($B39,W39/$B39,-1)</f>
        <v>-1</v>
      </c>
      <c r="Y39" s="31">
        <f>Segunda!Y39</f>
        <v>0</v>
      </c>
      <c r="Z39" s="32">
        <f t="shared" ref="Z39:Z58" si="100">IF($B39,Y39/$B39,-1)</f>
        <v>-1</v>
      </c>
      <c r="AA39" s="31">
        <f>Segunda!AA39</f>
        <v>0</v>
      </c>
      <c r="AB39" s="32">
        <f t="shared" ref="AB39:AB58" si="101">IF($B39,AA39/$B39,-1)</f>
        <v>-1</v>
      </c>
      <c r="AC39" s="31">
        <f>Segunda!AC39</f>
        <v>0</v>
      </c>
      <c r="AD39" s="32">
        <f t="shared" ref="AD39:AD58" si="102">IF($B39,AC39/$B39,-1)</f>
        <v>-1</v>
      </c>
      <c r="AE39" s="31">
        <f>Segunda!AE39</f>
        <v>0</v>
      </c>
      <c r="AF39" s="32">
        <f t="shared" ref="AF39:AF58" si="103">IF($B39,AE39/$B39,-1)</f>
        <v>-1</v>
      </c>
      <c r="AG39" s="31">
        <f>Segunda!AG39</f>
        <v>0</v>
      </c>
      <c r="AH39" s="32">
        <f t="shared" ref="AH39:AH58" si="104">IF($B39,AG39/$B39,-1)</f>
        <v>-1</v>
      </c>
      <c r="AI39" s="31">
        <f>Segunda!AI39</f>
        <v>0</v>
      </c>
      <c r="AJ39" s="32">
        <f t="shared" ref="AJ39:AJ58" si="105">IF($B39,AI39/$B39,-1)</f>
        <v>-1</v>
      </c>
      <c r="AK39" s="31">
        <f>Segunda!AK39</f>
        <v>0</v>
      </c>
      <c r="AL39" s="32">
        <f t="shared" ref="AL39:AL58" si="106">IF($B39,AK39/$B39,-1)</f>
        <v>-1</v>
      </c>
      <c r="AM39" s="31">
        <f>Segunda!AM39</f>
        <v>0</v>
      </c>
      <c r="AN39" s="32">
        <f t="shared" ref="AN39:AN58" si="107">IF($B39,AM39/$B39,-1)</f>
        <v>-1</v>
      </c>
      <c r="AO39" s="31">
        <f>Segunda!AO39</f>
        <v>0</v>
      </c>
      <c r="AP39" s="32">
        <f t="shared" ref="AP39:AP58" si="108">IF($B39,AO39/$B39,-1)</f>
        <v>-1</v>
      </c>
      <c r="AQ39" s="31">
        <f>Segunda!AQ39</f>
        <v>0</v>
      </c>
      <c r="AR39" s="32">
        <f t="shared" ref="AR39:AR58" si="109">IF($B39,AQ39/$B39,-1)</f>
        <v>-1</v>
      </c>
      <c r="AS39" s="31">
        <f>Segunda!AS39</f>
        <v>0</v>
      </c>
      <c r="AT39" s="32">
        <f t="shared" ref="AT39:AT58" si="110">IF($B39,AS39/$B39,-1)</f>
        <v>-1</v>
      </c>
      <c r="AU39" s="31">
        <f>Segunda!AU39</f>
        <v>0</v>
      </c>
      <c r="AV39" s="32">
        <f t="shared" ref="AV39:AV58" si="111">IF($B39,AU39/$B39,-1)</f>
        <v>-1</v>
      </c>
      <c r="AW39" s="31">
        <f>Segunda!AW39</f>
        <v>0</v>
      </c>
      <c r="AX39" s="32">
        <f t="shared" ref="AX39:AX58" si="112">IF($B39,AW39/$B39,-1)</f>
        <v>-1</v>
      </c>
      <c r="AY39" s="31">
        <f>Segunda!AY39</f>
        <v>0</v>
      </c>
      <c r="AZ39" s="32">
        <f t="shared" ref="AZ39:AZ58" si="113">IF($B39,AY39/$B39,-1)</f>
        <v>-1</v>
      </c>
      <c r="BA39" s="31">
        <f>Segunda!BA39</f>
        <v>0</v>
      </c>
      <c r="BB39" s="32">
        <f t="shared" ref="BB39:BB58" si="114">IF($B39,BA39/$B39,-1)</f>
        <v>-1</v>
      </c>
      <c r="BC39" s="31">
        <f>Segunda!BC39</f>
        <v>0</v>
      </c>
      <c r="BD39" s="32">
        <f t="shared" ref="BD39:BD58" si="115">IF($B39,BC39/$B39,-1)</f>
        <v>-1</v>
      </c>
      <c r="BE39" s="31">
        <f>Segunda!BE39</f>
        <v>0</v>
      </c>
      <c r="BF39" s="32">
        <f t="shared" ref="BF39:BF58" si="116">IF($B39,BE39/$B39,-1)</f>
        <v>-1</v>
      </c>
      <c r="BG39" s="31">
        <f>Segunda!BG39</f>
        <v>0</v>
      </c>
      <c r="BH39" s="32">
        <f t="shared" ref="BH39:BH58" si="117">IF($B39,BG39/$B39,-1)</f>
        <v>-1</v>
      </c>
      <c r="BI39" s="31">
        <f>Segunda!BI39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Segunda!B40</f>
        <v>0</v>
      </c>
      <c r="C40" s="31">
        <f>Segunda!C40</f>
        <v>0</v>
      </c>
      <c r="D40" s="32">
        <f t="shared" si="89"/>
        <v>-1</v>
      </c>
      <c r="E40" s="31">
        <f>Segunda!E40</f>
        <v>0</v>
      </c>
      <c r="F40" s="32">
        <f t="shared" si="90"/>
        <v>-1</v>
      </c>
      <c r="G40" s="31">
        <f>Segunda!G40</f>
        <v>0</v>
      </c>
      <c r="H40" s="32">
        <f t="shared" si="91"/>
        <v>-1</v>
      </c>
      <c r="I40" s="31">
        <f>Segunda!I40</f>
        <v>0</v>
      </c>
      <c r="J40" s="32">
        <f t="shared" si="92"/>
        <v>-1</v>
      </c>
      <c r="K40" s="31">
        <f>Segunda!K40</f>
        <v>0</v>
      </c>
      <c r="L40" s="32">
        <f t="shared" si="93"/>
        <v>-1</v>
      </c>
      <c r="M40" s="31">
        <f>Segunda!M40</f>
        <v>0</v>
      </c>
      <c r="N40" s="32">
        <f t="shared" si="94"/>
        <v>-1</v>
      </c>
      <c r="O40" s="31">
        <f>Segunda!O40</f>
        <v>0</v>
      </c>
      <c r="P40" s="32">
        <f t="shared" si="95"/>
        <v>-1</v>
      </c>
      <c r="Q40" s="31">
        <f>Segunda!Q40</f>
        <v>0</v>
      </c>
      <c r="R40" s="32">
        <f t="shared" si="96"/>
        <v>-1</v>
      </c>
      <c r="S40" s="31">
        <f>Segunda!S40</f>
        <v>0</v>
      </c>
      <c r="T40" s="32">
        <f t="shared" si="97"/>
        <v>-1</v>
      </c>
      <c r="U40" s="31">
        <f>Segunda!U40</f>
        <v>0</v>
      </c>
      <c r="V40" s="32">
        <f t="shared" si="98"/>
        <v>-1</v>
      </c>
      <c r="W40" s="31">
        <f>Segunda!W40</f>
        <v>0</v>
      </c>
      <c r="X40" s="32">
        <f t="shared" si="99"/>
        <v>-1</v>
      </c>
      <c r="Y40" s="31">
        <f>Segunda!Y40</f>
        <v>0</v>
      </c>
      <c r="Z40" s="32">
        <f t="shared" si="100"/>
        <v>-1</v>
      </c>
      <c r="AA40" s="31">
        <f>Segunda!AA40</f>
        <v>0</v>
      </c>
      <c r="AB40" s="32">
        <f t="shared" si="101"/>
        <v>-1</v>
      </c>
      <c r="AC40" s="31">
        <f>Segunda!AC40</f>
        <v>0</v>
      </c>
      <c r="AD40" s="32">
        <f t="shared" si="102"/>
        <v>-1</v>
      </c>
      <c r="AE40" s="31">
        <f>Segunda!AE40</f>
        <v>0</v>
      </c>
      <c r="AF40" s="32">
        <f t="shared" si="103"/>
        <v>-1</v>
      </c>
      <c r="AG40" s="31">
        <f>Segunda!AG40</f>
        <v>0</v>
      </c>
      <c r="AH40" s="32">
        <f t="shared" si="104"/>
        <v>-1</v>
      </c>
      <c r="AI40" s="31">
        <f>Segunda!AI40</f>
        <v>0</v>
      </c>
      <c r="AJ40" s="32">
        <f t="shared" si="105"/>
        <v>-1</v>
      </c>
      <c r="AK40" s="31">
        <f>Segunda!AK40</f>
        <v>0</v>
      </c>
      <c r="AL40" s="32">
        <f t="shared" si="106"/>
        <v>-1</v>
      </c>
      <c r="AM40" s="31">
        <f>Segunda!AM40</f>
        <v>0</v>
      </c>
      <c r="AN40" s="32">
        <f t="shared" si="107"/>
        <v>-1</v>
      </c>
      <c r="AO40" s="31">
        <f>Segunda!AO40</f>
        <v>0</v>
      </c>
      <c r="AP40" s="32">
        <f t="shared" si="108"/>
        <v>-1</v>
      </c>
      <c r="AQ40" s="31">
        <f>Segunda!AQ40</f>
        <v>0</v>
      </c>
      <c r="AR40" s="32">
        <f t="shared" si="109"/>
        <v>-1</v>
      </c>
      <c r="AS40" s="31">
        <f>Segunda!AS40</f>
        <v>0</v>
      </c>
      <c r="AT40" s="32">
        <f t="shared" si="110"/>
        <v>-1</v>
      </c>
      <c r="AU40" s="31">
        <f>Segunda!AU40</f>
        <v>0</v>
      </c>
      <c r="AV40" s="32">
        <f t="shared" si="111"/>
        <v>-1</v>
      </c>
      <c r="AW40" s="31">
        <f>Segunda!AW40</f>
        <v>0</v>
      </c>
      <c r="AX40" s="32">
        <f t="shared" si="112"/>
        <v>-1</v>
      </c>
      <c r="AY40" s="31">
        <f>Segunda!AY40</f>
        <v>0</v>
      </c>
      <c r="AZ40" s="32">
        <f t="shared" si="113"/>
        <v>-1</v>
      </c>
      <c r="BA40" s="31">
        <f>Segunda!BA40</f>
        <v>0</v>
      </c>
      <c r="BB40" s="32">
        <f t="shared" si="114"/>
        <v>-1</v>
      </c>
      <c r="BC40" s="31">
        <f>Segunda!BC40</f>
        <v>0</v>
      </c>
      <c r="BD40" s="32">
        <f t="shared" si="115"/>
        <v>-1</v>
      </c>
      <c r="BE40" s="31">
        <f>Segunda!BE40</f>
        <v>0</v>
      </c>
      <c r="BF40" s="32">
        <f t="shared" si="116"/>
        <v>-1</v>
      </c>
      <c r="BG40" s="31">
        <f>Segunda!BG40</f>
        <v>0</v>
      </c>
      <c r="BH40" s="32">
        <f t="shared" si="117"/>
        <v>-1</v>
      </c>
      <c r="BI40" s="31">
        <f>Segunda!BI40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Segunda!B41</f>
        <v>0</v>
      </c>
      <c r="C41" s="31">
        <f>Segunda!C41</f>
        <v>0</v>
      </c>
      <c r="D41" s="32">
        <f t="shared" si="89"/>
        <v>-1</v>
      </c>
      <c r="E41" s="31">
        <f>Segunda!E41</f>
        <v>0</v>
      </c>
      <c r="F41" s="32">
        <f t="shared" si="90"/>
        <v>-1</v>
      </c>
      <c r="G41" s="31">
        <f>Segunda!G41</f>
        <v>0</v>
      </c>
      <c r="H41" s="32">
        <f t="shared" si="91"/>
        <v>-1</v>
      </c>
      <c r="I41" s="31">
        <f>Segunda!I41</f>
        <v>0</v>
      </c>
      <c r="J41" s="32">
        <f t="shared" si="92"/>
        <v>-1</v>
      </c>
      <c r="K41" s="31">
        <f>Segunda!K41</f>
        <v>0</v>
      </c>
      <c r="L41" s="32">
        <f t="shared" si="93"/>
        <v>-1</v>
      </c>
      <c r="M41" s="31">
        <f>Segunda!M41</f>
        <v>0</v>
      </c>
      <c r="N41" s="32">
        <f t="shared" si="94"/>
        <v>-1</v>
      </c>
      <c r="O41" s="31">
        <f>Segunda!O41</f>
        <v>0</v>
      </c>
      <c r="P41" s="32">
        <f t="shared" si="95"/>
        <v>-1</v>
      </c>
      <c r="Q41" s="31">
        <f>Segunda!Q41</f>
        <v>0</v>
      </c>
      <c r="R41" s="32">
        <f t="shared" si="96"/>
        <v>-1</v>
      </c>
      <c r="S41" s="31">
        <f>Segunda!S41</f>
        <v>0</v>
      </c>
      <c r="T41" s="32">
        <f t="shared" si="97"/>
        <v>-1</v>
      </c>
      <c r="U41" s="31">
        <f>Segunda!U41</f>
        <v>0</v>
      </c>
      <c r="V41" s="32">
        <f t="shared" si="98"/>
        <v>-1</v>
      </c>
      <c r="W41" s="31">
        <f>Segunda!W41</f>
        <v>0</v>
      </c>
      <c r="X41" s="32">
        <f t="shared" si="99"/>
        <v>-1</v>
      </c>
      <c r="Y41" s="31">
        <f>Segunda!Y41</f>
        <v>0</v>
      </c>
      <c r="Z41" s="32">
        <f t="shared" si="100"/>
        <v>-1</v>
      </c>
      <c r="AA41" s="31">
        <f>Segunda!AA41</f>
        <v>0</v>
      </c>
      <c r="AB41" s="32">
        <f t="shared" si="101"/>
        <v>-1</v>
      </c>
      <c r="AC41" s="31">
        <f>Segunda!AC41</f>
        <v>0</v>
      </c>
      <c r="AD41" s="32">
        <f t="shared" si="102"/>
        <v>-1</v>
      </c>
      <c r="AE41" s="31">
        <f>Segunda!AE41</f>
        <v>0</v>
      </c>
      <c r="AF41" s="32">
        <f t="shared" si="103"/>
        <v>-1</v>
      </c>
      <c r="AG41" s="31">
        <f>Segunda!AG41</f>
        <v>0</v>
      </c>
      <c r="AH41" s="32">
        <f t="shared" si="104"/>
        <v>-1</v>
      </c>
      <c r="AI41" s="31">
        <f>Segunda!AI41</f>
        <v>0</v>
      </c>
      <c r="AJ41" s="32">
        <f t="shared" si="105"/>
        <v>-1</v>
      </c>
      <c r="AK41" s="31">
        <f>Segunda!AK41</f>
        <v>0</v>
      </c>
      <c r="AL41" s="32">
        <f t="shared" si="106"/>
        <v>-1</v>
      </c>
      <c r="AM41" s="31">
        <f>Segunda!AM41</f>
        <v>0</v>
      </c>
      <c r="AN41" s="32">
        <f t="shared" si="107"/>
        <v>-1</v>
      </c>
      <c r="AO41" s="31">
        <f>Segunda!AO41</f>
        <v>0</v>
      </c>
      <c r="AP41" s="32">
        <f t="shared" si="108"/>
        <v>-1</v>
      </c>
      <c r="AQ41" s="31">
        <f>Segunda!AQ41</f>
        <v>0</v>
      </c>
      <c r="AR41" s="32">
        <f t="shared" si="109"/>
        <v>-1</v>
      </c>
      <c r="AS41" s="31">
        <f>Segunda!AS41</f>
        <v>0</v>
      </c>
      <c r="AT41" s="32">
        <f t="shared" si="110"/>
        <v>-1</v>
      </c>
      <c r="AU41" s="31">
        <f>Segunda!AU41</f>
        <v>0</v>
      </c>
      <c r="AV41" s="32">
        <f t="shared" si="111"/>
        <v>-1</v>
      </c>
      <c r="AW41" s="31">
        <f>Segunda!AW41</f>
        <v>0</v>
      </c>
      <c r="AX41" s="32">
        <f t="shared" si="112"/>
        <v>-1</v>
      </c>
      <c r="AY41" s="31">
        <f>Segunda!AY41</f>
        <v>0</v>
      </c>
      <c r="AZ41" s="32">
        <f t="shared" si="113"/>
        <v>-1</v>
      </c>
      <c r="BA41" s="31">
        <f>Segunda!BA41</f>
        <v>0</v>
      </c>
      <c r="BB41" s="32">
        <f t="shared" si="114"/>
        <v>-1</v>
      </c>
      <c r="BC41" s="31">
        <f>Segunda!BC41</f>
        <v>0</v>
      </c>
      <c r="BD41" s="32">
        <f t="shared" si="115"/>
        <v>-1</v>
      </c>
      <c r="BE41" s="31">
        <f>Segunda!BE41</f>
        <v>0</v>
      </c>
      <c r="BF41" s="32">
        <f t="shared" si="116"/>
        <v>-1</v>
      </c>
      <c r="BG41" s="31">
        <f>Segunda!BG41</f>
        <v>0</v>
      </c>
      <c r="BH41" s="32">
        <f t="shared" si="117"/>
        <v>-1</v>
      </c>
      <c r="BI41" s="31">
        <f>Segunda!BI41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Segunda!B42</f>
        <v>0</v>
      </c>
      <c r="C42" s="31">
        <f>Segunda!C42</f>
        <v>0</v>
      </c>
      <c r="D42" s="32">
        <f t="shared" si="89"/>
        <v>-1</v>
      </c>
      <c r="E42" s="31">
        <f>Segunda!E42</f>
        <v>0</v>
      </c>
      <c r="F42" s="32">
        <f t="shared" si="90"/>
        <v>-1</v>
      </c>
      <c r="G42" s="31">
        <f>Segunda!G42</f>
        <v>0</v>
      </c>
      <c r="H42" s="32">
        <f t="shared" si="91"/>
        <v>-1</v>
      </c>
      <c r="I42" s="31">
        <f>Segunda!I42</f>
        <v>0</v>
      </c>
      <c r="J42" s="32">
        <f t="shared" si="92"/>
        <v>-1</v>
      </c>
      <c r="K42" s="31">
        <f>Segunda!K42</f>
        <v>0</v>
      </c>
      <c r="L42" s="32">
        <f t="shared" si="93"/>
        <v>-1</v>
      </c>
      <c r="M42" s="31">
        <f>Segunda!M42</f>
        <v>0</v>
      </c>
      <c r="N42" s="32">
        <f t="shared" si="94"/>
        <v>-1</v>
      </c>
      <c r="O42" s="31">
        <f>Segunda!O42</f>
        <v>0</v>
      </c>
      <c r="P42" s="32">
        <f t="shared" si="95"/>
        <v>-1</v>
      </c>
      <c r="Q42" s="31">
        <f>Segunda!Q42</f>
        <v>0</v>
      </c>
      <c r="R42" s="32">
        <f t="shared" si="96"/>
        <v>-1</v>
      </c>
      <c r="S42" s="31">
        <f>Segunda!S42</f>
        <v>0</v>
      </c>
      <c r="T42" s="32">
        <f t="shared" si="97"/>
        <v>-1</v>
      </c>
      <c r="U42" s="31">
        <f>Segunda!U42</f>
        <v>0</v>
      </c>
      <c r="V42" s="32">
        <f t="shared" si="98"/>
        <v>-1</v>
      </c>
      <c r="W42" s="31">
        <f>Segunda!W42</f>
        <v>0</v>
      </c>
      <c r="X42" s="32">
        <f t="shared" si="99"/>
        <v>-1</v>
      </c>
      <c r="Y42" s="31">
        <f>Segunda!Y42</f>
        <v>0</v>
      </c>
      <c r="Z42" s="32">
        <f t="shared" si="100"/>
        <v>-1</v>
      </c>
      <c r="AA42" s="31">
        <f>Segunda!AA42</f>
        <v>0</v>
      </c>
      <c r="AB42" s="32">
        <f t="shared" si="101"/>
        <v>-1</v>
      </c>
      <c r="AC42" s="31">
        <f>Segunda!AC42</f>
        <v>0</v>
      </c>
      <c r="AD42" s="32">
        <f t="shared" si="102"/>
        <v>-1</v>
      </c>
      <c r="AE42" s="31">
        <f>Segunda!AE42</f>
        <v>0</v>
      </c>
      <c r="AF42" s="32">
        <f t="shared" si="103"/>
        <v>-1</v>
      </c>
      <c r="AG42" s="31">
        <f>Segunda!AG42</f>
        <v>0</v>
      </c>
      <c r="AH42" s="32">
        <f t="shared" si="104"/>
        <v>-1</v>
      </c>
      <c r="AI42" s="31">
        <f>Segunda!AI42</f>
        <v>0</v>
      </c>
      <c r="AJ42" s="32">
        <f t="shared" si="105"/>
        <v>-1</v>
      </c>
      <c r="AK42" s="31">
        <f>Segunda!AK42</f>
        <v>0</v>
      </c>
      <c r="AL42" s="32">
        <f t="shared" si="106"/>
        <v>-1</v>
      </c>
      <c r="AM42" s="31">
        <f>Segunda!AM42</f>
        <v>0</v>
      </c>
      <c r="AN42" s="32">
        <f t="shared" si="107"/>
        <v>-1</v>
      </c>
      <c r="AO42" s="31">
        <f>Segunda!AO42</f>
        <v>0</v>
      </c>
      <c r="AP42" s="32">
        <f t="shared" si="108"/>
        <v>-1</v>
      </c>
      <c r="AQ42" s="31">
        <f>Segunda!AQ42</f>
        <v>0</v>
      </c>
      <c r="AR42" s="32">
        <f t="shared" si="109"/>
        <v>-1</v>
      </c>
      <c r="AS42" s="31">
        <f>Segunda!AS42</f>
        <v>0</v>
      </c>
      <c r="AT42" s="32">
        <f t="shared" si="110"/>
        <v>-1</v>
      </c>
      <c r="AU42" s="31">
        <f>Segunda!AU42</f>
        <v>0</v>
      </c>
      <c r="AV42" s="32">
        <f t="shared" si="111"/>
        <v>-1</v>
      </c>
      <c r="AW42" s="31">
        <f>Segunda!AW42</f>
        <v>0</v>
      </c>
      <c r="AX42" s="32">
        <f t="shared" si="112"/>
        <v>-1</v>
      </c>
      <c r="AY42" s="31">
        <f>Segunda!AY42</f>
        <v>0</v>
      </c>
      <c r="AZ42" s="32">
        <f t="shared" si="113"/>
        <v>-1</v>
      </c>
      <c r="BA42" s="31">
        <f>Segunda!BA42</f>
        <v>0</v>
      </c>
      <c r="BB42" s="32">
        <f t="shared" si="114"/>
        <v>-1</v>
      </c>
      <c r="BC42" s="31">
        <f>Segunda!BC42</f>
        <v>0</v>
      </c>
      <c r="BD42" s="32">
        <f t="shared" si="115"/>
        <v>-1</v>
      </c>
      <c r="BE42" s="31">
        <f>Segunda!BE42</f>
        <v>0</v>
      </c>
      <c r="BF42" s="32">
        <f t="shared" si="116"/>
        <v>-1</v>
      </c>
      <c r="BG42" s="31">
        <f>Segunda!BG42</f>
        <v>0</v>
      </c>
      <c r="BH42" s="32">
        <f t="shared" si="117"/>
        <v>-1</v>
      </c>
      <c r="BI42" s="31">
        <f>Segunda!BI42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Segunda!B43</f>
        <v>0</v>
      </c>
      <c r="C43" s="31">
        <f>Segunda!C43</f>
        <v>0</v>
      </c>
      <c r="D43" s="32">
        <f t="shared" si="89"/>
        <v>-1</v>
      </c>
      <c r="E43" s="31">
        <f>Segunda!E43</f>
        <v>0</v>
      </c>
      <c r="F43" s="32">
        <f t="shared" si="90"/>
        <v>-1</v>
      </c>
      <c r="G43" s="31">
        <f>Segunda!G43</f>
        <v>0</v>
      </c>
      <c r="H43" s="32">
        <f t="shared" si="91"/>
        <v>-1</v>
      </c>
      <c r="I43" s="31">
        <f>Segunda!I43</f>
        <v>0</v>
      </c>
      <c r="J43" s="32">
        <f t="shared" si="92"/>
        <v>-1</v>
      </c>
      <c r="K43" s="31">
        <f>Segunda!K43</f>
        <v>0</v>
      </c>
      <c r="L43" s="32">
        <f t="shared" si="93"/>
        <v>-1</v>
      </c>
      <c r="M43" s="31">
        <f>Segunda!M43</f>
        <v>0</v>
      </c>
      <c r="N43" s="32">
        <f t="shared" si="94"/>
        <v>-1</v>
      </c>
      <c r="O43" s="31">
        <f>Segunda!O43</f>
        <v>0</v>
      </c>
      <c r="P43" s="32">
        <f t="shared" si="95"/>
        <v>-1</v>
      </c>
      <c r="Q43" s="31">
        <f>Segunda!Q43</f>
        <v>0</v>
      </c>
      <c r="R43" s="32">
        <f t="shared" si="96"/>
        <v>-1</v>
      </c>
      <c r="S43" s="31">
        <f>Segunda!S43</f>
        <v>0</v>
      </c>
      <c r="T43" s="32">
        <f t="shared" si="97"/>
        <v>-1</v>
      </c>
      <c r="U43" s="31">
        <f>Segunda!U43</f>
        <v>0</v>
      </c>
      <c r="V43" s="32">
        <f t="shared" si="98"/>
        <v>-1</v>
      </c>
      <c r="W43" s="31">
        <f>Segunda!W43</f>
        <v>0</v>
      </c>
      <c r="X43" s="32">
        <f t="shared" si="99"/>
        <v>-1</v>
      </c>
      <c r="Y43" s="31">
        <f>Segunda!Y43</f>
        <v>0</v>
      </c>
      <c r="Z43" s="32">
        <f t="shared" si="100"/>
        <v>-1</v>
      </c>
      <c r="AA43" s="31">
        <f>Segunda!AA43</f>
        <v>0</v>
      </c>
      <c r="AB43" s="32">
        <f t="shared" si="101"/>
        <v>-1</v>
      </c>
      <c r="AC43" s="31">
        <f>Segunda!AC43</f>
        <v>0</v>
      </c>
      <c r="AD43" s="32">
        <f t="shared" si="102"/>
        <v>-1</v>
      </c>
      <c r="AE43" s="31">
        <f>Segunda!AE43</f>
        <v>0</v>
      </c>
      <c r="AF43" s="32">
        <f t="shared" si="103"/>
        <v>-1</v>
      </c>
      <c r="AG43" s="31">
        <f>Segunda!AG43</f>
        <v>0</v>
      </c>
      <c r="AH43" s="32">
        <f t="shared" si="104"/>
        <v>-1</v>
      </c>
      <c r="AI43" s="31">
        <f>Segunda!AI43</f>
        <v>0</v>
      </c>
      <c r="AJ43" s="32">
        <f t="shared" si="105"/>
        <v>-1</v>
      </c>
      <c r="AK43" s="31">
        <f>Segunda!AK43</f>
        <v>0</v>
      </c>
      <c r="AL43" s="32">
        <f t="shared" si="106"/>
        <v>-1</v>
      </c>
      <c r="AM43" s="31">
        <f>Segunda!AM43</f>
        <v>0</v>
      </c>
      <c r="AN43" s="32">
        <f t="shared" si="107"/>
        <v>-1</v>
      </c>
      <c r="AO43" s="31">
        <f>Segunda!AO43</f>
        <v>0</v>
      </c>
      <c r="AP43" s="32">
        <f t="shared" si="108"/>
        <v>-1</v>
      </c>
      <c r="AQ43" s="31">
        <f>Segunda!AQ43</f>
        <v>0</v>
      </c>
      <c r="AR43" s="32">
        <f t="shared" si="109"/>
        <v>-1</v>
      </c>
      <c r="AS43" s="31">
        <f>Segunda!AS43</f>
        <v>0</v>
      </c>
      <c r="AT43" s="32">
        <f t="shared" si="110"/>
        <v>-1</v>
      </c>
      <c r="AU43" s="31">
        <f>Segunda!AU43</f>
        <v>0</v>
      </c>
      <c r="AV43" s="32">
        <f t="shared" si="111"/>
        <v>-1</v>
      </c>
      <c r="AW43" s="31">
        <f>Segunda!AW43</f>
        <v>0</v>
      </c>
      <c r="AX43" s="32">
        <f t="shared" si="112"/>
        <v>-1</v>
      </c>
      <c r="AY43" s="31">
        <f>Segunda!AY43</f>
        <v>0</v>
      </c>
      <c r="AZ43" s="32">
        <f t="shared" si="113"/>
        <v>-1</v>
      </c>
      <c r="BA43" s="31">
        <f>Segunda!BA43</f>
        <v>0</v>
      </c>
      <c r="BB43" s="32">
        <f t="shared" si="114"/>
        <v>-1</v>
      </c>
      <c r="BC43" s="31">
        <f>Segunda!BC43</f>
        <v>0</v>
      </c>
      <c r="BD43" s="32">
        <f t="shared" si="115"/>
        <v>-1</v>
      </c>
      <c r="BE43" s="31">
        <f>Segunda!BE43</f>
        <v>0</v>
      </c>
      <c r="BF43" s="32">
        <f t="shared" si="116"/>
        <v>-1</v>
      </c>
      <c r="BG43" s="31">
        <f>Segunda!BG43</f>
        <v>0</v>
      </c>
      <c r="BH43" s="32">
        <f t="shared" si="117"/>
        <v>-1</v>
      </c>
      <c r="BI43" s="31">
        <f>Segunda!BI43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Segunda!B44</f>
        <v>0</v>
      </c>
      <c r="C44" s="31">
        <f>Segunda!C44</f>
        <v>0</v>
      </c>
      <c r="D44" s="32">
        <f t="shared" si="89"/>
        <v>-1</v>
      </c>
      <c r="E44" s="31">
        <f>Segunda!E44</f>
        <v>0</v>
      </c>
      <c r="F44" s="32">
        <f t="shared" si="90"/>
        <v>-1</v>
      </c>
      <c r="G44" s="31">
        <f>Segunda!G44</f>
        <v>0</v>
      </c>
      <c r="H44" s="32">
        <f t="shared" si="91"/>
        <v>-1</v>
      </c>
      <c r="I44" s="31">
        <f>Segunda!I44</f>
        <v>0</v>
      </c>
      <c r="J44" s="32">
        <f t="shared" si="92"/>
        <v>-1</v>
      </c>
      <c r="K44" s="31">
        <f>Segunda!K44</f>
        <v>0</v>
      </c>
      <c r="L44" s="32">
        <f t="shared" si="93"/>
        <v>-1</v>
      </c>
      <c r="M44" s="31">
        <f>Segunda!M44</f>
        <v>0</v>
      </c>
      <c r="N44" s="32">
        <f t="shared" si="94"/>
        <v>-1</v>
      </c>
      <c r="O44" s="31">
        <f>Segunda!O44</f>
        <v>0</v>
      </c>
      <c r="P44" s="32">
        <f t="shared" si="95"/>
        <v>-1</v>
      </c>
      <c r="Q44" s="31">
        <f>Segunda!Q44</f>
        <v>0</v>
      </c>
      <c r="R44" s="32">
        <f t="shared" si="96"/>
        <v>-1</v>
      </c>
      <c r="S44" s="31">
        <f>Segunda!S44</f>
        <v>0</v>
      </c>
      <c r="T44" s="32">
        <f t="shared" si="97"/>
        <v>-1</v>
      </c>
      <c r="U44" s="31">
        <f>Segunda!U44</f>
        <v>0</v>
      </c>
      <c r="V44" s="32">
        <f t="shared" si="98"/>
        <v>-1</v>
      </c>
      <c r="W44" s="31">
        <f>Segunda!W44</f>
        <v>0</v>
      </c>
      <c r="X44" s="32">
        <f t="shared" si="99"/>
        <v>-1</v>
      </c>
      <c r="Y44" s="31">
        <f>Segunda!Y44</f>
        <v>0</v>
      </c>
      <c r="Z44" s="32">
        <f t="shared" si="100"/>
        <v>-1</v>
      </c>
      <c r="AA44" s="31">
        <f>Segunda!AA44</f>
        <v>0</v>
      </c>
      <c r="AB44" s="32">
        <f t="shared" si="101"/>
        <v>-1</v>
      </c>
      <c r="AC44" s="31">
        <f>Segunda!AC44</f>
        <v>0</v>
      </c>
      <c r="AD44" s="32">
        <f t="shared" si="102"/>
        <v>-1</v>
      </c>
      <c r="AE44" s="31">
        <f>Segunda!AE44</f>
        <v>0</v>
      </c>
      <c r="AF44" s="32">
        <f t="shared" si="103"/>
        <v>-1</v>
      </c>
      <c r="AG44" s="31">
        <f>Segunda!AG44</f>
        <v>0</v>
      </c>
      <c r="AH44" s="32">
        <f t="shared" si="104"/>
        <v>-1</v>
      </c>
      <c r="AI44" s="31">
        <f>Segunda!AI44</f>
        <v>0</v>
      </c>
      <c r="AJ44" s="32">
        <f t="shared" si="105"/>
        <v>-1</v>
      </c>
      <c r="AK44" s="31">
        <f>Segunda!AK44</f>
        <v>0</v>
      </c>
      <c r="AL44" s="32">
        <f t="shared" si="106"/>
        <v>-1</v>
      </c>
      <c r="AM44" s="31">
        <f>Segunda!AM44</f>
        <v>0</v>
      </c>
      <c r="AN44" s="32">
        <f t="shared" si="107"/>
        <v>-1</v>
      </c>
      <c r="AO44" s="31">
        <f>Segunda!AO44</f>
        <v>0</v>
      </c>
      <c r="AP44" s="32">
        <f t="shared" si="108"/>
        <v>-1</v>
      </c>
      <c r="AQ44" s="31">
        <f>Segunda!AQ44</f>
        <v>0</v>
      </c>
      <c r="AR44" s="32">
        <f t="shared" si="109"/>
        <v>-1</v>
      </c>
      <c r="AS44" s="31">
        <f>Segunda!AS44</f>
        <v>0</v>
      </c>
      <c r="AT44" s="32">
        <f t="shared" si="110"/>
        <v>-1</v>
      </c>
      <c r="AU44" s="31">
        <f>Segunda!AU44</f>
        <v>0</v>
      </c>
      <c r="AV44" s="32">
        <f t="shared" si="111"/>
        <v>-1</v>
      </c>
      <c r="AW44" s="31">
        <f>Segunda!AW44</f>
        <v>0</v>
      </c>
      <c r="AX44" s="32">
        <f t="shared" si="112"/>
        <v>-1</v>
      </c>
      <c r="AY44" s="31">
        <f>Segunda!AY44</f>
        <v>0</v>
      </c>
      <c r="AZ44" s="32">
        <f t="shared" si="113"/>
        <v>-1</v>
      </c>
      <c r="BA44" s="31">
        <f>Segunda!BA44</f>
        <v>0</v>
      </c>
      <c r="BB44" s="32">
        <f t="shared" si="114"/>
        <v>-1</v>
      </c>
      <c r="BC44" s="31">
        <f>Segunda!BC44</f>
        <v>0</v>
      </c>
      <c r="BD44" s="32">
        <f t="shared" si="115"/>
        <v>-1</v>
      </c>
      <c r="BE44" s="31">
        <f>Segunda!BE44</f>
        <v>0</v>
      </c>
      <c r="BF44" s="32">
        <f t="shared" si="116"/>
        <v>-1</v>
      </c>
      <c r="BG44" s="31">
        <f>Segunda!BG44</f>
        <v>0</v>
      </c>
      <c r="BH44" s="32">
        <f t="shared" si="117"/>
        <v>-1</v>
      </c>
      <c r="BI44" s="31">
        <f>Segunda!BI44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Segunda!B45</f>
        <v>0</v>
      </c>
      <c r="C45" s="31">
        <f>Segunda!C45</f>
        <v>0</v>
      </c>
      <c r="D45" s="32">
        <f t="shared" si="89"/>
        <v>-1</v>
      </c>
      <c r="E45" s="31">
        <f>Segunda!E45</f>
        <v>0</v>
      </c>
      <c r="F45" s="32">
        <f t="shared" si="90"/>
        <v>-1</v>
      </c>
      <c r="G45" s="31">
        <f>Segunda!G45</f>
        <v>0</v>
      </c>
      <c r="H45" s="32">
        <f t="shared" si="91"/>
        <v>-1</v>
      </c>
      <c r="I45" s="31">
        <f>Segunda!I45</f>
        <v>0</v>
      </c>
      <c r="J45" s="32">
        <f t="shared" si="92"/>
        <v>-1</v>
      </c>
      <c r="K45" s="31">
        <f>Segunda!K45</f>
        <v>0</v>
      </c>
      <c r="L45" s="32">
        <f t="shared" si="93"/>
        <v>-1</v>
      </c>
      <c r="M45" s="31">
        <f>Segunda!M45</f>
        <v>0</v>
      </c>
      <c r="N45" s="32">
        <f t="shared" si="94"/>
        <v>-1</v>
      </c>
      <c r="O45" s="31">
        <f>Segunda!O45</f>
        <v>0</v>
      </c>
      <c r="P45" s="32">
        <f t="shared" si="95"/>
        <v>-1</v>
      </c>
      <c r="Q45" s="31">
        <f>Segunda!Q45</f>
        <v>0</v>
      </c>
      <c r="R45" s="32">
        <f t="shared" si="96"/>
        <v>-1</v>
      </c>
      <c r="S45" s="31">
        <f>Segunda!S45</f>
        <v>0</v>
      </c>
      <c r="T45" s="32">
        <f t="shared" si="97"/>
        <v>-1</v>
      </c>
      <c r="U45" s="31">
        <f>Segunda!U45</f>
        <v>0</v>
      </c>
      <c r="V45" s="32">
        <f t="shared" si="98"/>
        <v>-1</v>
      </c>
      <c r="W45" s="31">
        <f>Segunda!W45</f>
        <v>0</v>
      </c>
      <c r="X45" s="32">
        <f t="shared" si="99"/>
        <v>-1</v>
      </c>
      <c r="Y45" s="31">
        <f>Segunda!Y45</f>
        <v>0</v>
      </c>
      <c r="Z45" s="32">
        <f t="shared" si="100"/>
        <v>-1</v>
      </c>
      <c r="AA45" s="31">
        <f>Segunda!AA45</f>
        <v>0</v>
      </c>
      <c r="AB45" s="32">
        <f t="shared" si="101"/>
        <v>-1</v>
      </c>
      <c r="AC45" s="31">
        <f>Segunda!AC45</f>
        <v>0</v>
      </c>
      <c r="AD45" s="32">
        <f t="shared" si="102"/>
        <v>-1</v>
      </c>
      <c r="AE45" s="31">
        <f>Segunda!AE45</f>
        <v>0</v>
      </c>
      <c r="AF45" s="32">
        <f t="shared" si="103"/>
        <v>-1</v>
      </c>
      <c r="AG45" s="31">
        <f>Segunda!AG45</f>
        <v>0</v>
      </c>
      <c r="AH45" s="32">
        <f t="shared" si="104"/>
        <v>-1</v>
      </c>
      <c r="AI45" s="31">
        <f>Segunda!AI45</f>
        <v>0</v>
      </c>
      <c r="AJ45" s="32">
        <f t="shared" si="105"/>
        <v>-1</v>
      </c>
      <c r="AK45" s="31">
        <f>Segunda!AK45</f>
        <v>0</v>
      </c>
      <c r="AL45" s="32">
        <f t="shared" si="106"/>
        <v>-1</v>
      </c>
      <c r="AM45" s="31">
        <f>Segunda!AM45</f>
        <v>0</v>
      </c>
      <c r="AN45" s="32">
        <f t="shared" si="107"/>
        <v>-1</v>
      </c>
      <c r="AO45" s="31">
        <f>Segunda!AO45</f>
        <v>0</v>
      </c>
      <c r="AP45" s="32">
        <f t="shared" si="108"/>
        <v>-1</v>
      </c>
      <c r="AQ45" s="31">
        <f>Segunda!AQ45</f>
        <v>0</v>
      </c>
      <c r="AR45" s="32">
        <f t="shared" si="109"/>
        <v>-1</v>
      </c>
      <c r="AS45" s="31">
        <f>Segunda!AS45</f>
        <v>0</v>
      </c>
      <c r="AT45" s="32">
        <f t="shared" si="110"/>
        <v>-1</v>
      </c>
      <c r="AU45" s="31">
        <f>Segunda!AU45</f>
        <v>0</v>
      </c>
      <c r="AV45" s="32">
        <f t="shared" si="111"/>
        <v>-1</v>
      </c>
      <c r="AW45" s="31">
        <f>Segunda!AW45</f>
        <v>0</v>
      </c>
      <c r="AX45" s="32">
        <f t="shared" si="112"/>
        <v>-1</v>
      </c>
      <c r="AY45" s="31">
        <f>Segunda!AY45</f>
        <v>0</v>
      </c>
      <c r="AZ45" s="32">
        <f t="shared" si="113"/>
        <v>-1</v>
      </c>
      <c r="BA45" s="31">
        <f>Segunda!BA45</f>
        <v>0</v>
      </c>
      <c r="BB45" s="32">
        <f t="shared" si="114"/>
        <v>-1</v>
      </c>
      <c r="BC45" s="31">
        <f>Segunda!BC45</f>
        <v>0</v>
      </c>
      <c r="BD45" s="32">
        <f t="shared" si="115"/>
        <v>-1</v>
      </c>
      <c r="BE45" s="31">
        <f>Segunda!BE45</f>
        <v>0</v>
      </c>
      <c r="BF45" s="32">
        <f t="shared" si="116"/>
        <v>-1</v>
      </c>
      <c r="BG45" s="31">
        <f>Segunda!BG45</f>
        <v>0</v>
      </c>
      <c r="BH45" s="32">
        <f t="shared" si="117"/>
        <v>-1</v>
      </c>
      <c r="BI45" s="31">
        <f>Segunda!BI45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Segunda!B46</f>
        <v>0</v>
      </c>
      <c r="C46" s="31">
        <f>Segunda!C46</f>
        <v>0</v>
      </c>
      <c r="D46" s="32">
        <f t="shared" si="89"/>
        <v>-1</v>
      </c>
      <c r="E46" s="31">
        <f>Segunda!E46</f>
        <v>0</v>
      </c>
      <c r="F46" s="32">
        <f t="shared" si="90"/>
        <v>-1</v>
      </c>
      <c r="G46" s="31">
        <f>Segunda!G46</f>
        <v>0</v>
      </c>
      <c r="H46" s="32">
        <f t="shared" si="91"/>
        <v>-1</v>
      </c>
      <c r="I46" s="31">
        <f>Segunda!I46</f>
        <v>0</v>
      </c>
      <c r="J46" s="32">
        <f t="shared" si="92"/>
        <v>-1</v>
      </c>
      <c r="K46" s="31">
        <f>Segunda!K46</f>
        <v>0</v>
      </c>
      <c r="L46" s="32">
        <f t="shared" si="93"/>
        <v>-1</v>
      </c>
      <c r="M46" s="31">
        <f>Segunda!M46</f>
        <v>0</v>
      </c>
      <c r="N46" s="32">
        <f t="shared" si="94"/>
        <v>-1</v>
      </c>
      <c r="O46" s="31">
        <f>Segunda!O46</f>
        <v>0</v>
      </c>
      <c r="P46" s="32">
        <f t="shared" si="95"/>
        <v>-1</v>
      </c>
      <c r="Q46" s="31">
        <f>Segunda!Q46</f>
        <v>0</v>
      </c>
      <c r="R46" s="32">
        <f t="shared" si="96"/>
        <v>-1</v>
      </c>
      <c r="S46" s="31">
        <f>Segunda!S46</f>
        <v>0</v>
      </c>
      <c r="T46" s="32">
        <f t="shared" si="97"/>
        <v>-1</v>
      </c>
      <c r="U46" s="31">
        <f>Segunda!U46</f>
        <v>0</v>
      </c>
      <c r="V46" s="32">
        <f t="shared" si="98"/>
        <v>-1</v>
      </c>
      <c r="W46" s="31">
        <f>Segunda!W46</f>
        <v>0</v>
      </c>
      <c r="X46" s="32">
        <f t="shared" si="99"/>
        <v>-1</v>
      </c>
      <c r="Y46" s="31">
        <f>Segunda!Y46</f>
        <v>0</v>
      </c>
      <c r="Z46" s="32">
        <f t="shared" si="100"/>
        <v>-1</v>
      </c>
      <c r="AA46" s="31">
        <f>Segunda!AA46</f>
        <v>0</v>
      </c>
      <c r="AB46" s="32">
        <f t="shared" si="101"/>
        <v>-1</v>
      </c>
      <c r="AC46" s="31">
        <f>Segunda!AC46</f>
        <v>0</v>
      </c>
      <c r="AD46" s="32">
        <f t="shared" si="102"/>
        <v>-1</v>
      </c>
      <c r="AE46" s="31">
        <f>Segunda!AE46</f>
        <v>0</v>
      </c>
      <c r="AF46" s="32">
        <f t="shared" si="103"/>
        <v>-1</v>
      </c>
      <c r="AG46" s="31">
        <f>Segunda!AG46</f>
        <v>0</v>
      </c>
      <c r="AH46" s="32">
        <f t="shared" si="104"/>
        <v>-1</v>
      </c>
      <c r="AI46" s="31">
        <f>Segunda!AI46</f>
        <v>0</v>
      </c>
      <c r="AJ46" s="32">
        <f t="shared" si="105"/>
        <v>-1</v>
      </c>
      <c r="AK46" s="31">
        <f>Segunda!AK46</f>
        <v>0</v>
      </c>
      <c r="AL46" s="32">
        <f t="shared" si="106"/>
        <v>-1</v>
      </c>
      <c r="AM46" s="31">
        <f>Segunda!AM46</f>
        <v>0</v>
      </c>
      <c r="AN46" s="32">
        <f t="shared" si="107"/>
        <v>-1</v>
      </c>
      <c r="AO46" s="31">
        <f>Segunda!AO46</f>
        <v>0</v>
      </c>
      <c r="AP46" s="32">
        <f t="shared" si="108"/>
        <v>-1</v>
      </c>
      <c r="AQ46" s="31">
        <f>Segunda!AQ46</f>
        <v>0</v>
      </c>
      <c r="AR46" s="32">
        <f t="shared" si="109"/>
        <v>-1</v>
      </c>
      <c r="AS46" s="31">
        <f>Segunda!AS46</f>
        <v>0</v>
      </c>
      <c r="AT46" s="32">
        <f t="shared" si="110"/>
        <v>-1</v>
      </c>
      <c r="AU46" s="31">
        <f>Segunda!AU46</f>
        <v>0</v>
      </c>
      <c r="AV46" s="32">
        <f t="shared" si="111"/>
        <v>-1</v>
      </c>
      <c r="AW46" s="31">
        <f>Segunda!AW46</f>
        <v>0</v>
      </c>
      <c r="AX46" s="32">
        <f t="shared" si="112"/>
        <v>-1</v>
      </c>
      <c r="AY46" s="31">
        <f>Segunda!AY46</f>
        <v>0</v>
      </c>
      <c r="AZ46" s="32">
        <f t="shared" si="113"/>
        <v>-1</v>
      </c>
      <c r="BA46" s="31">
        <f>Segunda!BA46</f>
        <v>0</v>
      </c>
      <c r="BB46" s="32">
        <f t="shared" si="114"/>
        <v>-1</v>
      </c>
      <c r="BC46" s="31">
        <f>Segunda!BC46</f>
        <v>0</v>
      </c>
      <c r="BD46" s="32">
        <f t="shared" si="115"/>
        <v>-1</v>
      </c>
      <c r="BE46" s="31">
        <f>Segunda!BE46</f>
        <v>0</v>
      </c>
      <c r="BF46" s="32">
        <f t="shared" si="116"/>
        <v>-1</v>
      </c>
      <c r="BG46" s="31">
        <f>Segunda!BG46</f>
        <v>0</v>
      </c>
      <c r="BH46" s="32">
        <f t="shared" si="117"/>
        <v>-1</v>
      </c>
      <c r="BI46" s="31">
        <f>Segunda!BI46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Segunda!B47</f>
        <v>0</v>
      </c>
      <c r="C47" s="31">
        <f>Segunda!C47</f>
        <v>0</v>
      </c>
      <c r="D47" s="32">
        <f t="shared" si="89"/>
        <v>-1</v>
      </c>
      <c r="E47" s="31">
        <f>Segunda!E47</f>
        <v>0</v>
      </c>
      <c r="F47" s="32">
        <f t="shared" si="90"/>
        <v>-1</v>
      </c>
      <c r="G47" s="31">
        <f>Segunda!G47</f>
        <v>0</v>
      </c>
      <c r="H47" s="32">
        <f t="shared" si="91"/>
        <v>-1</v>
      </c>
      <c r="I47" s="31">
        <f>Segunda!I47</f>
        <v>0</v>
      </c>
      <c r="J47" s="32">
        <f t="shared" si="92"/>
        <v>-1</v>
      </c>
      <c r="K47" s="31">
        <f>Segunda!K47</f>
        <v>0</v>
      </c>
      <c r="L47" s="32">
        <f t="shared" si="93"/>
        <v>-1</v>
      </c>
      <c r="M47" s="31">
        <f>Segunda!M47</f>
        <v>0</v>
      </c>
      <c r="N47" s="32">
        <f t="shared" si="94"/>
        <v>-1</v>
      </c>
      <c r="O47" s="31">
        <f>Segunda!O47</f>
        <v>0</v>
      </c>
      <c r="P47" s="32">
        <f t="shared" si="95"/>
        <v>-1</v>
      </c>
      <c r="Q47" s="31">
        <f>Segunda!Q47</f>
        <v>0</v>
      </c>
      <c r="R47" s="32">
        <f t="shared" si="96"/>
        <v>-1</v>
      </c>
      <c r="S47" s="31">
        <f>Segunda!S47</f>
        <v>0</v>
      </c>
      <c r="T47" s="32">
        <f t="shared" si="97"/>
        <v>-1</v>
      </c>
      <c r="U47" s="31">
        <f>Segunda!U47</f>
        <v>0</v>
      </c>
      <c r="V47" s="32">
        <f t="shared" si="98"/>
        <v>-1</v>
      </c>
      <c r="W47" s="31">
        <f>Segunda!W47</f>
        <v>0</v>
      </c>
      <c r="X47" s="32">
        <f t="shared" si="99"/>
        <v>-1</v>
      </c>
      <c r="Y47" s="31">
        <f>Segunda!Y47</f>
        <v>0</v>
      </c>
      <c r="Z47" s="32">
        <f t="shared" si="100"/>
        <v>-1</v>
      </c>
      <c r="AA47" s="31">
        <f>Segunda!AA47</f>
        <v>0</v>
      </c>
      <c r="AB47" s="32">
        <f t="shared" si="101"/>
        <v>-1</v>
      </c>
      <c r="AC47" s="31">
        <f>Segunda!AC47</f>
        <v>0</v>
      </c>
      <c r="AD47" s="32">
        <f t="shared" si="102"/>
        <v>-1</v>
      </c>
      <c r="AE47" s="31">
        <f>Segunda!AE47</f>
        <v>0</v>
      </c>
      <c r="AF47" s="32">
        <f t="shared" si="103"/>
        <v>-1</v>
      </c>
      <c r="AG47" s="31">
        <f>Segunda!AG47</f>
        <v>0</v>
      </c>
      <c r="AH47" s="32">
        <f t="shared" si="104"/>
        <v>-1</v>
      </c>
      <c r="AI47" s="31">
        <f>Segunda!AI47</f>
        <v>0</v>
      </c>
      <c r="AJ47" s="32">
        <f t="shared" si="105"/>
        <v>-1</v>
      </c>
      <c r="AK47" s="31">
        <f>Segunda!AK47</f>
        <v>0</v>
      </c>
      <c r="AL47" s="32">
        <f t="shared" si="106"/>
        <v>-1</v>
      </c>
      <c r="AM47" s="31">
        <f>Segunda!AM47</f>
        <v>0</v>
      </c>
      <c r="AN47" s="32">
        <f t="shared" si="107"/>
        <v>-1</v>
      </c>
      <c r="AO47" s="31">
        <f>Segunda!AO47</f>
        <v>0</v>
      </c>
      <c r="AP47" s="32">
        <f t="shared" si="108"/>
        <v>-1</v>
      </c>
      <c r="AQ47" s="31">
        <f>Segunda!AQ47</f>
        <v>0</v>
      </c>
      <c r="AR47" s="32">
        <f t="shared" si="109"/>
        <v>-1</v>
      </c>
      <c r="AS47" s="31">
        <f>Segunda!AS47</f>
        <v>0</v>
      </c>
      <c r="AT47" s="32">
        <f t="shared" si="110"/>
        <v>-1</v>
      </c>
      <c r="AU47" s="31">
        <f>Segunda!AU47</f>
        <v>0</v>
      </c>
      <c r="AV47" s="32">
        <f t="shared" si="111"/>
        <v>-1</v>
      </c>
      <c r="AW47" s="31">
        <f>Segunda!AW47</f>
        <v>0</v>
      </c>
      <c r="AX47" s="32">
        <f t="shared" si="112"/>
        <v>-1</v>
      </c>
      <c r="AY47" s="31">
        <f>Segunda!AY47</f>
        <v>0</v>
      </c>
      <c r="AZ47" s="32">
        <f t="shared" si="113"/>
        <v>-1</v>
      </c>
      <c r="BA47" s="31">
        <f>Segunda!BA47</f>
        <v>0</v>
      </c>
      <c r="BB47" s="32">
        <f t="shared" si="114"/>
        <v>-1</v>
      </c>
      <c r="BC47" s="31">
        <f>Segunda!BC47</f>
        <v>0</v>
      </c>
      <c r="BD47" s="32">
        <f t="shared" si="115"/>
        <v>-1</v>
      </c>
      <c r="BE47" s="31">
        <f>Segunda!BE47</f>
        <v>0</v>
      </c>
      <c r="BF47" s="32">
        <f t="shared" si="116"/>
        <v>-1</v>
      </c>
      <c r="BG47" s="31">
        <f>Segunda!BG47</f>
        <v>0</v>
      </c>
      <c r="BH47" s="32">
        <f t="shared" si="117"/>
        <v>-1</v>
      </c>
      <c r="BI47" s="31">
        <f>Segunda!BI47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Segunda!B48</f>
        <v>0</v>
      </c>
      <c r="C48" s="31">
        <f>Segunda!C48</f>
        <v>0</v>
      </c>
      <c r="D48" s="32">
        <f t="shared" si="89"/>
        <v>-1</v>
      </c>
      <c r="E48" s="31">
        <f>Segunda!E48</f>
        <v>0</v>
      </c>
      <c r="F48" s="32">
        <f t="shared" si="90"/>
        <v>-1</v>
      </c>
      <c r="G48" s="31">
        <f>Segunda!G48</f>
        <v>0</v>
      </c>
      <c r="H48" s="32">
        <f t="shared" si="91"/>
        <v>-1</v>
      </c>
      <c r="I48" s="31">
        <f>Segunda!I48</f>
        <v>0</v>
      </c>
      <c r="J48" s="32">
        <f t="shared" si="92"/>
        <v>-1</v>
      </c>
      <c r="K48" s="31">
        <f>Segunda!K48</f>
        <v>0</v>
      </c>
      <c r="L48" s="32">
        <f t="shared" si="93"/>
        <v>-1</v>
      </c>
      <c r="M48" s="31">
        <f>Segunda!M48</f>
        <v>0</v>
      </c>
      <c r="N48" s="32">
        <f t="shared" si="94"/>
        <v>-1</v>
      </c>
      <c r="O48" s="31">
        <f>Segunda!O48</f>
        <v>0</v>
      </c>
      <c r="P48" s="32">
        <f t="shared" si="95"/>
        <v>-1</v>
      </c>
      <c r="Q48" s="31">
        <f>Segunda!Q48</f>
        <v>0</v>
      </c>
      <c r="R48" s="32">
        <f t="shared" si="96"/>
        <v>-1</v>
      </c>
      <c r="S48" s="31">
        <f>Segunda!S48</f>
        <v>0</v>
      </c>
      <c r="T48" s="32">
        <f t="shared" si="97"/>
        <v>-1</v>
      </c>
      <c r="U48" s="31">
        <f>Segunda!U48</f>
        <v>0</v>
      </c>
      <c r="V48" s="32">
        <f t="shared" si="98"/>
        <v>-1</v>
      </c>
      <c r="W48" s="31">
        <f>Segunda!W48</f>
        <v>0</v>
      </c>
      <c r="X48" s="32">
        <f t="shared" si="99"/>
        <v>-1</v>
      </c>
      <c r="Y48" s="31">
        <f>Segunda!Y48</f>
        <v>0</v>
      </c>
      <c r="Z48" s="32">
        <f t="shared" si="100"/>
        <v>-1</v>
      </c>
      <c r="AA48" s="31">
        <f>Segunda!AA48</f>
        <v>0</v>
      </c>
      <c r="AB48" s="32">
        <f t="shared" si="101"/>
        <v>-1</v>
      </c>
      <c r="AC48" s="31">
        <f>Segunda!AC48</f>
        <v>0</v>
      </c>
      <c r="AD48" s="32">
        <f t="shared" si="102"/>
        <v>-1</v>
      </c>
      <c r="AE48" s="31">
        <f>Segunda!AE48</f>
        <v>0</v>
      </c>
      <c r="AF48" s="32">
        <f t="shared" si="103"/>
        <v>-1</v>
      </c>
      <c r="AG48" s="31">
        <f>Segunda!AG48</f>
        <v>0</v>
      </c>
      <c r="AH48" s="32">
        <f t="shared" si="104"/>
        <v>-1</v>
      </c>
      <c r="AI48" s="31">
        <f>Segunda!AI48</f>
        <v>0</v>
      </c>
      <c r="AJ48" s="32">
        <f t="shared" si="105"/>
        <v>-1</v>
      </c>
      <c r="AK48" s="31">
        <f>Segunda!AK48</f>
        <v>0</v>
      </c>
      <c r="AL48" s="32">
        <f t="shared" si="106"/>
        <v>-1</v>
      </c>
      <c r="AM48" s="31">
        <f>Segunda!AM48</f>
        <v>0</v>
      </c>
      <c r="AN48" s="32">
        <f t="shared" si="107"/>
        <v>-1</v>
      </c>
      <c r="AO48" s="31">
        <f>Segunda!AO48</f>
        <v>0</v>
      </c>
      <c r="AP48" s="32">
        <f t="shared" si="108"/>
        <v>-1</v>
      </c>
      <c r="AQ48" s="31">
        <f>Segunda!AQ48</f>
        <v>0</v>
      </c>
      <c r="AR48" s="32">
        <f t="shared" si="109"/>
        <v>-1</v>
      </c>
      <c r="AS48" s="31">
        <f>Segunda!AS48</f>
        <v>0</v>
      </c>
      <c r="AT48" s="32">
        <f t="shared" si="110"/>
        <v>-1</v>
      </c>
      <c r="AU48" s="31">
        <f>Segunda!AU48</f>
        <v>0</v>
      </c>
      <c r="AV48" s="32">
        <f t="shared" si="111"/>
        <v>-1</v>
      </c>
      <c r="AW48" s="31">
        <f>Segunda!AW48</f>
        <v>0</v>
      </c>
      <c r="AX48" s="32">
        <f t="shared" si="112"/>
        <v>-1</v>
      </c>
      <c r="AY48" s="31">
        <f>Segunda!AY48</f>
        <v>0</v>
      </c>
      <c r="AZ48" s="32">
        <f t="shared" si="113"/>
        <v>-1</v>
      </c>
      <c r="BA48" s="31">
        <f>Segunda!BA48</f>
        <v>0</v>
      </c>
      <c r="BB48" s="32">
        <f t="shared" si="114"/>
        <v>-1</v>
      </c>
      <c r="BC48" s="31">
        <f>Segunda!BC48</f>
        <v>0</v>
      </c>
      <c r="BD48" s="32">
        <f t="shared" si="115"/>
        <v>-1</v>
      </c>
      <c r="BE48" s="31">
        <f>Segunda!BE48</f>
        <v>0</v>
      </c>
      <c r="BF48" s="32">
        <f t="shared" si="116"/>
        <v>-1</v>
      </c>
      <c r="BG48" s="31">
        <f>Segunda!BG48</f>
        <v>0</v>
      </c>
      <c r="BH48" s="32">
        <f t="shared" si="117"/>
        <v>-1</v>
      </c>
      <c r="BI48" s="31">
        <f>Segunda!BI48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Segunda!B49</f>
        <v>0</v>
      </c>
      <c r="C49" s="31">
        <f>Segunda!C49</f>
        <v>0</v>
      </c>
      <c r="D49" s="32">
        <f t="shared" si="89"/>
        <v>-1</v>
      </c>
      <c r="E49" s="31">
        <f>Segunda!E49</f>
        <v>0</v>
      </c>
      <c r="F49" s="32">
        <f t="shared" si="90"/>
        <v>-1</v>
      </c>
      <c r="G49" s="31">
        <f>Segunda!G49</f>
        <v>0</v>
      </c>
      <c r="H49" s="32">
        <f t="shared" si="91"/>
        <v>-1</v>
      </c>
      <c r="I49" s="31">
        <f>Segunda!I49</f>
        <v>0</v>
      </c>
      <c r="J49" s="32">
        <f t="shared" si="92"/>
        <v>-1</v>
      </c>
      <c r="K49" s="31">
        <f>Segunda!K49</f>
        <v>0</v>
      </c>
      <c r="L49" s="32">
        <f t="shared" si="93"/>
        <v>-1</v>
      </c>
      <c r="M49" s="31">
        <f>Segunda!M49</f>
        <v>0</v>
      </c>
      <c r="N49" s="32">
        <f t="shared" si="94"/>
        <v>-1</v>
      </c>
      <c r="O49" s="31">
        <f>Segunda!O49</f>
        <v>0</v>
      </c>
      <c r="P49" s="32">
        <f t="shared" si="95"/>
        <v>-1</v>
      </c>
      <c r="Q49" s="31">
        <f>Segunda!Q49</f>
        <v>0</v>
      </c>
      <c r="R49" s="32">
        <f t="shared" si="96"/>
        <v>-1</v>
      </c>
      <c r="S49" s="31">
        <f>Segunda!S49</f>
        <v>0</v>
      </c>
      <c r="T49" s="32">
        <f t="shared" si="97"/>
        <v>-1</v>
      </c>
      <c r="U49" s="31">
        <f>Segunda!U49</f>
        <v>0</v>
      </c>
      <c r="V49" s="32">
        <f t="shared" si="98"/>
        <v>-1</v>
      </c>
      <c r="W49" s="31">
        <f>Segunda!W49</f>
        <v>0</v>
      </c>
      <c r="X49" s="32">
        <f t="shared" si="99"/>
        <v>-1</v>
      </c>
      <c r="Y49" s="31">
        <f>Segunda!Y49</f>
        <v>0</v>
      </c>
      <c r="Z49" s="32">
        <f t="shared" si="100"/>
        <v>-1</v>
      </c>
      <c r="AA49" s="31">
        <f>Segunda!AA49</f>
        <v>0</v>
      </c>
      <c r="AB49" s="32">
        <f t="shared" si="101"/>
        <v>-1</v>
      </c>
      <c r="AC49" s="31">
        <f>Segunda!AC49</f>
        <v>0</v>
      </c>
      <c r="AD49" s="32">
        <f t="shared" si="102"/>
        <v>-1</v>
      </c>
      <c r="AE49" s="31">
        <f>Segunda!AE49</f>
        <v>0</v>
      </c>
      <c r="AF49" s="32">
        <f t="shared" si="103"/>
        <v>-1</v>
      </c>
      <c r="AG49" s="31">
        <f>Segunda!AG49</f>
        <v>0</v>
      </c>
      <c r="AH49" s="32">
        <f t="shared" si="104"/>
        <v>-1</v>
      </c>
      <c r="AI49" s="31">
        <f>Segunda!AI49</f>
        <v>0</v>
      </c>
      <c r="AJ49" s="32">
        <f t="shared" si="105"/>
        <v>-1</v>
      </c>
      <c r="AK49" s="31">
        <f>Segunda!AK49</f>
        <v>0</v>
      </c>
      <c r="AL49" s="32">
        <f t="shared" si="106"/>
        <v>-1</v>
      </c>
      <c r="AM49" s="31">
        <f>Segunda!AM49</f>
        <v>0</v>
      </c>
      <c r="AN49" s="32">
        <f t="shared" si="107"/>
        <v>-1</v>
      </c>
      <c r="AO49" s="31">
        <f>Segunda!AO49</f>
        <v>0</v>
      </c>
      <c r="AP49" s="32">
        <f t="shared" si="108"/>
        <v>-1</v>
      </c>
      <c r="AQ49" s="31">
        <f>Segunda!AQ49</f>
        <v>0</v>
      </c>
      <c r="AR49" s="32">
        <f t="shared" si="109"/>
        <v>-1</v>
      </c>
      <c r="AS49" s="31">
        <f>Segunda!AS49</f>
        <v>0</v>
      </c>
      <c r="AT49" s="32">
        <f t="shared" si="110"/>
        <v>-1</v>
      </c>
      <c r="AU49" s="31">
        <f>Segunda!AU49</f>
        <v>0</v>
      </c>
      <c r="AV49" s="32">
        <f t="shared" si="111"/>
        <v>-1</v>
      </c>
      <c r="AW49" s="31">
        <f>Segunda!AW49</f>
        <v>0</v>
      </c>
      <c r="AX49" s="32">
        <f t="shared" si="112"/>
        <v>-1</v>
      </c>
      <c r="AY49" s="31">
        <f>Segunda!AY49</f>
        <v>0</v>
      </c>
      <c r="AZ49" s="32">
        <f t="shared" si="113"/>
        <v>-1</v>
      </c>
      <c r="BA49" s="31">
        <f>Segunda!BA49</f>
        <v>0</v>
      </c>
      <c r="BB49" s="32">
        <f t="shared" si="114"/>
        <v>-1</v>
      </c>
      <c r="BC49" s="31">
        <f>Segunda!BC49</f>
        <v>0</v>
      </c>
      <c r="BD49" s="32">
        <f t="shared" si="115"/>
        <v>-1</v>
      </c>
      <c r="BE49" s="31">
        <f>Segunda!BE49</f>
        <v>0</v>
      </c>
      <c r="BF49" s="32">
        <f t="shared" si="116"/>
        <v>-1</v>
      </c>
      <c r="BG49" s="31">
        <f>Segunda!BG49</f>
        <v>0</v>
      </c>
      <c r="BH49" s="32">
        <f t="shared" si="117"/>
        <v>-1</v>
      </c>
      <c r="BI49" s="31">
        <f>Segunda!BI49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Segunda!B50</f>
        <v>0</v>
      </c>
      <c r="C50" s="31">
        <f>Segunda!C50</f>
        <v>0</v>
      </c>
      <c r="D50" s="32">
        <f t="shared" si="89"/>
        <v>-1</v>
      </c>
      <c r="E50" s="31">
        <f>Segunda!E50</f>
        <v>0</v>
      </c>
      <c r="F50" s="32">
        <f t="shared" si="90"/>
        <v>-1</v>
      </c>
      <c r="G50" s="31">
        <f>Segunda!G50</f>
        <v>0</v>
      </c>
      <c r="H50" s="32">
        <f t="shared" si="91"/>
        <v>-1</v>
      </c>
      <c r="I50" s="31">
        <f>Segunda!I50</f>
        <v>0</v>
      </c>
      <c r="J50" s="32">
        <f t="shared" si="92"/>
        <v>-1</v>
      </c>
      <c r="K50" s="31">
        <f>Segunda!K50</f>
        <v>0</v>
      </c>
      <c r="L50" s="32">
        <f t="shared" si="93"/>
        <v>-1</v>
      </c>
      <c r="M50" s="31">
        <f>Segunda!M50</f>
        <v>0</v>
      </c>
      <c r="N50" s="32">
        <f t="shared" si="94"/>
        <v>-1</v>
      </c>
      <c r="O50" s="31">
        <f>Segunda!O50</f>
        <v>0</v>
      </c>
      <c r="P50" s="32">
        <f t="shared" si="95"/>
        <v>-1</v>
      </c>
      <c r="Q50" s="31">
        <f>Segunda!Q50</f>
        <v>0</v>
      </c>
      <c r="R50" s="32">
        <f t="shared" si="96"/>
        <v>-1</v>
      </c>
      <c r="S50" s="31">
        <f>Segunda!S50</f>
        <v>0</v>
      </c>
      <c r="T50" s="32">
        <f t="shared" si="97"/>
        <v>-1</v>
      </c>
      <c r="U50" s="31">
        <f>Segunda!U50</f>
        <v>0</v>
      </c>
      <c r="V50" s="32">
        <f t="shared" si="98"/>
        <v>-1</v>
      </c>
      <c r="W50" s="31">
        <f>Segunda!W50</f>
        <v>0</v>
      </c>
      <c r="X50" s="32">
        <f t="shared" si="99"/>
        <v>-1</v>
      </c>
      <c r="Y50" s="31">
        <f>Segunda!Y50</f>
        <v>0</v>
      </c>
      <c r="Z50" s="32">
        <f t="shared" si="100"/>
        <v>-1</v>
      </c>
      <c r="AA50" s="31">
        <f>Segunda!AA50</f>
        <v>0</v>
      </c>
      <c r="AB50" s="32">
        <f t="shared" si="101"/>
        <v>-1</v>
      </c>
      <c r="AC50" s="31">
        <f>Segunda!AC50</f>
        <v>0</v>
      </c>
      <c r="AD50" s="32">
        <f t="shared" si="102"/>
        <v>-1</v>
      </c>
      <c r="AE50" s="31">
        <f>Segunda!AE50</f>
        <v>0</v>
      </c>
      <c r="AF50" s="32">
        <f t="shared" si="103"/>
        <v>-1</v>
      </c>
      <c r="AG50" s="31">
        <f>Segunda!AG50</f>
        <v>0</v>
      </c>
      <c r="AH50" s="32">
        <f t="shared" si="104"/>
        <v>-1</v>
      </c>
      <c r="AI50" s="31">
        <f>Segunda!AI50</f>
        <v>0</v>
      </c>
      <c r="AJ50" s="32">
        <f t="shared" si="105"/>
        <v>-1</v>
      </c>
      <c r="AK50" s="31">
        <f>Segunda!AK50</f>
        <v>0</v>
      </c>
      <c r="AL50" s="32">
        <f t="shared" si="106"/>
        <v>-1</v>
      </c>
      <c r="AM50" s="31">
        <f>Segunda!AM50</f>
        <v>0</v>
      </c>
      <c r="AN50" s="32">
        <f t="shared" si="107"/>
        <v>-1</v>
      </c>
      <c r="AO50" s="31">
        <f>Segunda!AO50</f>
        <v>0</v>
      </c>
      <c r="AP50" s="32">
        <f t="shared" si="108"/>
        <v>-1</v>
      </c>
      <c r="AQ50" s="31">
        <f>Segunda!AQ50</f>
        <v>0</v>
      </c>
      <c r="AR50" s="32">
        <f t="shared" si="109"/>
        <v>-1</v>
      </c>
      <c r="AS50" s="31">
        <f>Segunda!AS50</f>
        <v>0</v>
      </c>
      <c r="AT50" s="32">
        <f t="shared" si="110"/>
        <v>-1</v>
      </c>
      <c r="AU50" s="31">
        <f>Segunda!AU50</f>
        <v>0</v>
      </c>
      <c r="AV50" s="32">
        <f t="shared" si="111"/>
        <v>-1</v>
      </c>
      <c r="AW50" s="31">
        <f>Segunda!AW50</f>
        <v>0</v>
      </c>
      <c r="AX50" s="32">
        <f t="shared" si="112"/>
        <v>-1</v>
      </c>
      <c r="AY50" s="31">
        <f>Segunda!AY50</f>
        <v>0</v>
      </c>
      <c r="AZ50" s="32">
        <f t="shared" si="113"/>
        <v>-1</v>
      </c>
      <c r="BA50" s="31">
        <f>Segunda!BA50</f>
        <v>0</v>
      </c>
      <c r="BB50" s="32">
        <f t="shared" si="114"/>
        <v>-1</v>
      </c>
      <c r="BC50" s="31">
        <f>Segunda!BC50</f>
        <v>0</v>
      </c>
      <c r="BD50" s="32">
        <f t="shared" si="115"/>
        <v>-1</v>
      </c>
      <c r="BE50" s="31">
        <f>Segunda!BE50</f>
        <v>0</v>
      </c>
      <c r="BF50" s="32">
        <f t="shared" si="116"/>
        <v>-1</v>
      </c>
      <c r="BG50" s="31">
        <f>Segunda!BG50</f>
        <v>0</v>
      </c>
      <c r="BH50" s="32">
        <f t="shared" si="117"/>
        <v>-1</v>
      </c>
      <c r="BI50" s="31">
        <f>Segunda!BI50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Segunda!B51</f>
        <v>0</v>
      </c>
      <c r="C51" s="31">
        <f>Segunda!C51</f>
        <v>0</v>
      </c>
      <c r="D51" s="32">
        <f t="shared" si="89"/>
        <v>-1</v>
      </c>
      <c r="E51" s="31">
        <f>Segunda!E51</f>
        <v>0</v>
      </c>
      <c r="F51" s="32">
        <f t="shared" si="90"/>
        <v>-1</v>
      </c>
      <c r="G51" s="31">
        <f>Segunda!G51</f>
        <v>0</v>
      </c>
      <c r="H51" s="32">
        <f t="shared" si="91"/>
        <v>-1</v>
      </c>
      <c r="I51" s="31">
        <f>Segunda!I51</f>
        <v>0</v>
      </c>
      <c r="J51" s="32">
        <f t="shared" si="92"/>
        <v>-1</v>
      </c>
      <c r="K51" s="31">
        <f>Segunda!K51</f>
        <v>0</v>
      </c>
      <c r="L51" s="32">
        <f t="shared" si="93"/>
        <v>-1</v>
      </c>
      <c r="M51" s="31">
        <f>Segunda!M51</f>
        <v>0</v>
      </c>
      <c r="N51" s="32">
        <f t="shared" si="94"/>
        <v>-1</v>
      </c>
      <c r="O51" s="31">
        <f>Segunda!O51</f>
        <v>0</v>
      </c>
      <c r="P51" s="32">
        <f t="shared" si="95"/>
        <v>-1</v>
      </c>
      <c r="Q51" s="31">
        <f>Segunda!Q51</f>
        <v>0</v>
      </c>
      <c r="R51" s="32">
        <f t="shared" si="96"/>
        <v>-1</v>
      </c>
      <c r="S51" s="31">
        <f>Segunda!S51</f>
        <v>0</v>
      </c>
      <c r="T51" s="32">
        <f t="shared" si="97"/>
        <v>-1</v>
      </c>
      <c r="U51" s="31">
        <f>Segunda!U51</f>
        <v>0</v>
      </c>
      <c r="V51" s="32">
        <f t="shared" si="98"/>
        <v>-1</v>
      </c>
      <c r="W51" s="31">
        <f>Segunda!W51</f>
        <v>0</v>
      </c>
      <c r="X51" s="32">
        <f t="shared" si="99"/>
        <v>-1</v>
      </c>
      <c r="Y51" s="31">
        <f>Segunda!Y51</f>
        <v>0</v>
      </c>
      <c r="Z51" s="32">
        <f t="shared" si="100"/>
        <v>-1</v>
      </c>
      <c r="AA51" s="31">
        <f>Segunda!AA51</f>
        <v>0</v>
      </c>
      <c r="AB51" s="32">
        <f t="shared" si="101"/>
        <v>-1</v>
      </c>
      <c r="AC51" s="31">
        <f>Segunda!AC51</f>
        <v>0</v>
      </c>
      <c r="AD51" s="32">
        <f t="shared" si="102"/>
        <v>-1</v>
      </c>
      <c r="AE51" s="31">
        <f>Segunda!AE51</f>
        <v>0</v>
      </c>
      <c r="AF51" s="32">
        <f t="shared" si="103"/>
        <v>-1</v>
      </c>
      <c r="AG51" s="31">
        <f>Segunda!AG51</f>
        <v>0</v>
      </c>
      <c r="AH51" s="32">
        <f t="shared" si="104"/>
        <v>-1</v>
      </c>
      <c r="AI51" s="31">
        <f>Segunda!AI51</f>
        <v>0</v>
      </c>
      <c r="AJ51" s="32">
        <f t="shared" si="105"/>
        <v>-1</v>
      </c>
      <c r="AK51" s="31">
        <f>Segunda!AK51</f>
        <v>0</v>
      </c>
      <c r="AL51" s="32">
        <f t="shared" si="106"/>
        <v>-1</v>
      </c>
      <c r="AM51" s="31">
        <f>Segunda!AM51</f>
        <v>0</v>
      </c>
      <c r="AN51" s="32">
        <f t="shared" si="107"/>
        <v>-1</v>
      </c>
      <c r="AO51" s="31">
        <f>Segunda!AO51</f>
        <v>0</v>
      </c>
      <c r="AP51" s="32">
        <f t="shared" si="108"/>
        <v>-1</v>
      </c>
      <c r="AQ51" s="31">
        <f>Segunda!AQ51</f>
        <v>0</v>
      </c>
      <c r="AR51" s="32">
        <f t="shared" si="109"/>
        <v>-1</v>
      </c>
      <c r="AS51" s="31">
        <f>Segunda!AS51</f>
        <v>0</v>
      </c>
      <c r="AT51" s="32">
        <f t="shared" si="110"/>
        <v>-1</v>
      </c>
      <c r="AU51" s="31">
        <f>Segunda!AU51</f>
        <v>0</v>
      </c>
      <c r="AV51" s="32">
        <f t="shared" si="111"/>
        <v>-1</v>
      </c>
      <c r="AW51" s="31">
        <f>Segunda!AW51</f>
        <v>0</v>
      </c>
      <c r="AX51" s="32">
        <f t="shared" si="112"/>
        <v>-1</v>
      </c>
      <c r="AY51" s="31">
        <f>Segunda!AY51</f>
        <v>0</v>
      </c>
      <c r="AZ51" s="32">
        <f t="shared" si="113"/>
        <v>-1</v>
      </c>
      <c r="BA51" s="31">
        <f>Segunda!BA51</f>
        <v>0</v>
      </c>
      <c r="BB51" s="32">
        <f t="shared" si="114"/>
        <v>-1</v>
      </c>
      <c r="BC51" s="31">
        <f>Segunda!BC51</f>
        <v>0</v>
      </c>
      <c r="BD51" s="32">
        <f t="shared" si="115"/>
        <v>-1</v>
      </c>
      <c r="BE51" s="31">
        <f>Segunda!BE51</f>
        <v>0</v>
      </c>
      <c r="BF51" s="32">
        <f t="shared" si="116"/>
        <v>-1</v>
      </c>
      <c r="BG51" s="31">
        <f>Segunda!BG51</f>
        <v>0</v>
      </c>
      <c r="BH51" s="32">
        <f t="shared" si="117"/>
        <v>-1</v>
      </c>
      <c r="BI51" s="31">
        <f>Segunda!BI51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Segunda!B52</f>
        <v>0</v>
      </c>
      <c r="C52" s="31">
        <f>Segunda!C52</f>
        <v>0</v>
      </c>
      <c r="D52" s="32">
        <f t="shared" si="89"/>
        <v>-1</v>
      </c>
      <c r="E52" s="31">
        <f>Segunda!E52</f>
        <v>0</v>
      </c>
      <c r="F52" s="32">
        <f t="shared" si="90"/>
        <v>-1</v>
      </c>
      <c r="G52" s="31">
        <f>Segunda!G52</f>
        <v>0</v>
      </c>
      <c r="H52" s="32">
        <f t="shared" si="91"/>
        <v>-1</v>
      </c>
      <c r="I52" s="31">
        <f>Segunda!I52</f>
        <v>0</v>
      </c>
      <c r="J52" s="32">
        <f t="shared" si="92"/>
        <v>-1</v>
      </c>
      <c r="K52" s="31">
        <f>Segunda!K52</f>
        <v>0</v>
      </c>
      <c r="L52" s="32">
        <f t="shared" si="93"/>
        <v>-1</v>
      </c>
      <c r="M52" s="31">
        <f>Segunda!M52</f>
        <v>0</v>
      </c>
      <c r="N52" s="32">
        <f t="shared" si="94"/>
        <v>-1</v>
      </c>
      <c r="O52" s="31">
        <f>Segunda!O52</f>
        <v>0</v>
      </c>
      <c r="P52" s="32">
        <f t="shared" si="95"/>
        <v>-1</v>
      </c>
      <c r="Q52" s="31">
        <f>Segunda!Q52</f>
        <v>0</v>
      </c>
      <c r="R52" s="32">
        <f t="shared" si="96"/>
        <v>-1</v>
      </c>
      <c r="S52" s="31">
        <f>Segunda!S52</f>
        <v>0</v>
      </c>
      <c r="T52" s="32">
        <f t="shared" si="97"/>
        <v>-1</v>
      </c>
      <c r="U52" s="31">
        <f>Segunda!U52</f>
        <v>0</v>
      </c>
      <c r="V52" s="32">
        <f t="shared" si="98"/>
        <v>-1</v>
      </c>
      <c r="W52" s="31">
        <f>Segunda!W52</f>
        <v>0</v>
      </c>
      <c r="X52" s="32">
        <f t="shared" si="99"/>
        <v>-1</v>
      </c>
      <c r="Y52" s="31">
        <f>Segunda!Y52</f>
        <v>0</v>
      </c>
      <c r="Z52" s="32">
        <f t="shared" si="100"/>
        <v>-1</v>
      </c>
      <c r="AA52" s="31">
        <f>Segunda!AA52</f>
        <v>0</v>
      </c>
      <c r="AB52" s="32">
        <f t="shared" si="101"/>
        <v>-1</v>
      </c>
      <c r="AC52" s="31">
        <f>Segunda!AC52</f>
        <v>0</v>
      </c>
      <c r="AD52" s="32">
        <f t="shared" si="102"/>
        <v>-1</v>
      </c>
      <c r="AE52" s="31">
        <f>Segunda!AE52</f>
        <v>0</v>
      </c>
      <c r="AF52" s="32">
        <f t="shared" si="103"/>
        <v>-1</v>
      </c>
      <c r="AG52" s="31">
        <f>Segunda!AG52</f>
        <v>0</v>
      </c>
      <c r="AH52" s="32">
        <f t="shared" si="104"/>
        <v>-1</v>
      </c>
      <c r="AI52" s="31">
        <f>Segunda!AI52</f>
        <v>0</v>
      </c>
      <c r="AJ52" s="32">
        <f t="shared" si="105"/>
        <v>-1</v>
      </c>
      <c r="AK52" s="31">
        <f>Segunda!AK52</f>
        <v>0</v>
      </c>
      <c r="AL52" s="32">
        <f t="shared" si="106"/>
        <v>-1</v>
      </c>
      <c r="AM52" s="31">
        <f>Segunda!AM52</f>
        <v>0</v>
      </c>
      <c r="AN52" s="32">
        <f t="shared" si="107"/>
        <v>-1</v>
      </c>
      <c r="AO52" s="31">
        <f>Segunda!AO52</f>
        <v>0</v>
      </c>
      <c r="AP52" s="32">
        <f t="shared" si="108"/>
        <v>-1</v>
      </c>
      <c r="AQ52" s="31">
        <f>Segunda!AQ52</f>
        <v>0</v>
      </c>
      <c r="AR52" s="32">
        <f t="shared" si="109"/>
        <v>-1</v>
      </c>
      <c r="AS52" s="31">
        <f>Segunda!AS52</f>
        <v>0</v>
      </c>
      <c r="AT52" s="32">
        <f t="shared" si="110"/>
        <v>-1</v>
      </c>
      <c r="AU52" s="31">
        <f>Segunda!AU52</f>
        <v>0</v>
      </c>
      <c r="AV52" s="32">
        <f t="shared" si="111"/>
        <v>-1</v>
      </c>
      <c r="AW52" s="31">
        <f>Segunda!AW52</f>
        <v>0</v>
      </c>
      <c r="AX52" s="32">
        <f t="shared" si="112"/>
        <v>-1</v>
      </c>
      <c r="AY52" s="31">
        <f>Segunda!AY52</f>
        <v>0</v>
      </c>
      <c r="AZ52" s="32">
        <f t="shared" si="113"/>
        <v>-1</v>
      </c>
      <c r="BA52" s="31">
        <f>Segunda!BA52</f>
        <v>0</v>
      </c>
      <c r="BB52" s="32">
        <f t="shared" si="114"/>
        <v>-1</v>
      </c>
      <c r="BC52" s="31">
        <f>Segunda!BC52</f>
        <v>0</v>
      </c>
      <c r="BD52" s="32">
        <f t="shared" si="115"/>
        <v>-1</v>
      </c>
      <c r="BE52" s="31">
        <f>Segunda!BE52</f>
        <v>0</v>
      </c>
      <c r="BF52" s="32">
        <f t="shared" si="116"/>
        <v>-1</v>
      </c>
      <c r="BG52" s="31">
        <f>Segunda!BG52</f>
        <v>0</v>
      </c>
      <c r="BH52" s="32">
        <f t="shared" si="117"/>
        <v>-1</v>
      </c>
      <c r="BI52" s="31">
        <f>Segunda!BI52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Segunda!B53</f>
        <v>0</v>
      </c>
      <c r="C53" s="31">
        <f>Segunda!C53</f>
        <v>0</v>
      </c>
      <c r="D53" s="32">
        <f t="shared" si="89"/>
        <v>-1</v>
      </c>
      <c r="E53" s="31">
        <f>Segunda!E53</f>
        <v>0</v>
      </c>
      <c r="F53" s="32">
        <f t="shared" si="90"/>
        <v>-1</v>
      </c>
      <c r="G53" s="31">
        <f>Segunda!G53</f>
        <v>0</v>
      </c>
      <c r="H53" s="32">
        <f t="shared" si="91"/>
        <v>-1</v>
      </c>
      <c r="I53" s="31">
        <f>Segunda!I53</f>
        <v>0</v>
      </c>
      <c r="J53" s="32">
        <f t="shared" si="92"/>
        <v>-1</v>
      </c>
      <c r="K53" s="31">
        <f>Segunda!K53</f>
        <v>0</v>
      </c>
      <c r="L53" s="32">
        <f t="shared" si="93"/>
        <v>-1</v>
      </c>
      <c r="M53" s="31">
        <f>Segunda!M53</f>
        <v>0</v>
      </c>
      <c r="N53" s="32">
        <f t="shared" si="94"/>
        <v>-1</v>
      </c>
      <c r="O53" s="31">
        <f>Segunda!O53</f>
        <v>0</v>
      </c>
      <c r="P53" s="32">
        <f t="shared" si="95"/>
        <v>-1</v>
      </c>
      <c r="Q53" s="31">
        <f>Segunda!Q53</f>
        <v>0</v>
      </c>
      <c r="R53" s="32">
        <f t="shared" si="96"/>
        <v>-1</v>
      </c>
      <c r="S53" s="31">
        <f>Segunda!S53</f>
        <v>0</v>
      </c>
      <c r="T53" s="32">
        <f t="shared" si="97"/>
        <v>-1</v>
      </c>
      <c r="U53" s="31">
        <f>Segunda!U53</f>
        <v>0</v>
      </c>
      <c r="V53" s="32">
        <f t="shared" si="98"/>
        <v>-1</v>
      </c>
      <c r="W53" s="31">
        <f>Segunda!W53</f>
        <v>0</v>
      </c>
      <c r="X53" s="32">
        <f t="shared" si="99"/>
        <v>-1</v>
      </c>
      <c r="Y53" s="31">
        <f>Segunda!Y53</f>
        <v>0</v>
      </c>
      <c r="Z53" s="32">
        <f t="shared" si="100"/>
        <v>-1</v>
      </c>
      <c r="AA53" s="31">
        <f>Segunda!AA53</f>
        <v>0</v>
      </c>
      <c r="AB53" s="32">
        <f t="shared" si="101"/>
        <v>-1</v>
      </c>
      <c r="AC53" s="31">
        <f>Segunda!AC53</f>
        <v>0</v>
      </c>
      <c r="AD53" s="32">
        <f t="shared" si="102"/>
        <v>-1</v>
      </c>
      <c r="AE53" s="31">
        <f>Segunda!AE53</f>
        <v>0</v>
      </c>
      <c r="AF53" s="32">
        <f t="shared" si="103"/>
        <v>-1</v>
      </c>
      <c r="AG53" s="31">
        <f>Segunda!AG53</f>
        <v>0</v>
      </c>
      <c r="AH53" s="32">
        <f t="shared" si="104"/>
        <v>-1</v>
      </c>
      <c r="AI53" s="31">
        <f>Segunda!AI53</f>
        <v>0</v>
      </c>
      <c r="AJ53" s="32">
        <f t="shared" si="105"/>
        <v>-1</v>
      </c>
      <c r="AK53" s="31">
        <f>Segunda!AK53</f>
        <v>0</v>
      </c>
      <c r="AL53" s="32">
        <f t="shared" si="106"/>
        <v>-1</v>
      </c>
      <c r="AM53" s="31">
        <f>Segunda!AM53</f>
        <v>0</v>
      </c>
      <c r="AN53" s="32">
        <f t="shared" si="107"/>
        <v>-1</v>
      </c>
      <c r="AO53" s="31">
        <f>Segunda!AO53</f>
        <v>0</v>
      </c>
      <c r="AP53" s="32">
        <f t="shared" si="108"/>
        <v>-1</v>
      </c>
      <c r="AQ53" s="31">
        <f>Segunda!AQ53</f>
        <v>0</v>
      </c>
      <c r="AR53" s="32">
        <f t="shared" si="109"/>
        <v>-1</v>
      </c>
      <c r="AS53" s="31">
        <f>Segunda!AS53</f>
        <v>0</v>
      </c>
      <c r="AT53" s="32">
        <f t="shared" si="110"/>
        <v>-1</v>
      </c>
      <c r="AU53" s="31">
        <f>Segunda!AU53</f>
        <v>0</v>
      </c>
      <c r="AV53" s="32">
        <f t="shared" si="111"/>
        <v>-1</v>
      </c>
      <c r="AW53" s="31">
        <f>Segunda!AW53</f>
        <v>0</v>
      </c>
      <c r="AX53" s="32">
        <f t="shared" si="112"/>
        <v>-1</v>
      </c>
      <c r="AY53" s="31">
        <f>Segunda!AY53</f>
        <v>0</v>
      </c>
      <c r="AZ53" s="32">
        <f t="shared" si="113"/>
        <v>-1</v>
      </c>
      <c r="BA53" s="31">
        <f>Segunda!BA53</f>
        <v>0</v>
      </c>
      <c r="BB53" s="32">
        <f t="shared" si="114"/>
        <v>-1</v>
      </c>
      <c r="BC53" s="31">
        <f>Segunda!BC53</f>
        <v>0</v>
      </c>
      <c r="BD53" s="32">
        <f t="shared" si="115"/>
        <v>-1</v>
      </c>
      <c r="BE53" s="31">
        <f>Segunda!BE53</f>
        <v>0</v>
      </c>
      <c r="BF53" s="32">
        <f t="shared" si="116"/>
        <v>-1</v>
      </c>
      <c r="BG53" s="31">
        <f>Segunda!BG53</f>
        <v>0</v>
      </c>
      <c r="BH53" s="32">
        <f t="shared" si="117"/>
        <v>-1</v>
      </c>
      <c r="BI53" s="31">
        <f>Segunda!BI53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Segunda!B54</f>
        <v>0</v>
      </c>
      <c r="C54" s="31">
        <f>Segunda!C54</f>
        <v>0</v>
      </c>
      <c r="D54" s="32">
        <f t="shared" si="89"/>
        <v>-1</v>
      </c>
      <c r="E54" s="31">
        <f>Segunda!E54</f>
        <v>0</v>
      </c>
      <c r="F54" s="32">
        <f t="shared" si="90"/>
        <v>-1</v>
      </c>
      <c r="G54" s="31">
        <f>Segunda!G54</f>
        <v>0</v>
      </c>
      <c r="H54" s="32">
        <f t="shared" si="91"/>
        <v>-1</v>
      </c>
      <c r="I54" s="31">
        <f>Segunda!I54</f>
        <v>0</v>
      </c>
      <c r="J54" s="32">
        <f t="shared" si="92"/>
        <v>-1</v>
      </c>
      <c r="K54" s="31">
        <f>Segunda!K54</f>
        <v>0</v>
      </c>
      <c r="L54" s="32">
        <f t="shared" si="93"/>
        <v>-1</v>
      </c>
      <c r="M54" s="31">
        <f>Segunda!M54</f>
        <v>0</v>
      </c>
      <c r="N54" s="32">
        <f t="shared" si="94"/>
        <v>-1</v>
      </c>
      <c r="O54" s="31">
        <f>Segunda!O54</f>
        <v>0</v>
      </c>
      <c r="P54" s="32">
        <f t="shared" si="95"/>
        <v>-1</v>
      </c>
      <c r="Q54" s="31">
        <f>Segunda!Q54</f>
        <v>0</v>
      </c>
      <c r="R54" s="32">
        <f t="shared" si="96"/>
        <v>-1</v>
      </c>
      <c r="S54" s="31">
        <f>Segunda!S54</f>
        <v>0</v>
      </c>
      <c r="T54" s="32">
        <f t="shared" si="97"/>
        <v>-1</v>
      </c>
      <c r="U54" s="31">
        <f>Segunda!U54</f>
        <v>0</v>
      </c>
      <c r="V54" s="32">
        <f t="shared" si="98"/>
        <v>-1</v>
      </c>
      <c r="W54" s="31">
        <f>Segunda!W54</f>
        <v>0</v>
      </c>
      <c r="X54" s="32">
        <f t="shared" si="99"/>
        <v>-1</v>
      </c>
      <c r="Y54" s="31">
        <f>Segunda!Y54</f>
        <v>0</v>
      </c>
      <c r="Z54" s="32">
        <f t="shared" si="100"/>
        <v>-1</v>
      </c>
      <c r="AA54" s="31">
        <f>Segunda!AA54</f>
        <v>0</v>
      </c>
      <c r="AB54" s="32">
        <f t="shared" si="101"/>
        <v>-1</v>
      </c>
      <c r="AC54" s="31">
        <f>Segunda!AC54</f>
        <v>0</v>
      </c>
      <c r="AD54" s="32">
        <f t="shared" si="102"/>
        <v>-1</v>
      </c>
      <c r="AE54" s="31">
        <f>Segunda!AE54</f>
        <v>0</v>
      </c>
      <c r="AF54" s="32">
        <f t="shared" si="103"/>
        <v>-1</v>
      </c>
      <c r="AG54" s="31">
        <f>Segunda!AG54</f>
        <v>0</v>
      </c>
      <c r="AH54" s="32">
        <f t="shared" si="104"/>
        <v>-1</v>
      </c>
      <c r="AI54" s="31">
        <f>Segunda!AI54</f>
        <v>0</v>
      </c>
      <c r="AJ54" s="32">
        <f t="shared" si="105"/>
        <v>-1</v>
      </c>
      <c r="AK54" s="31">
        <f>Segunda!AK54</f>
        <v>0</v>
      </c>
      <c r="AL54" s="32">
        <f t="shared" si="106"/>
        <v>-1</v>
      </c>
      <c r="AM54" s="31">
        <f>Segunda!AM54</f>
        <v>0</v>
      </c>
      <c r="AN54" s="32">
        <f t="shared" si="107"/>
        <v>-1</v>
      </c>
      <c r="AO54" s="31">
        <f>Segunda!AO54</f>
        <v>0</v>
      </c>
      <c r="AP54" s="32">
        <f t="shared" si="108"/>
        <v>-1</v>
      </c>
      <c r="AQ54" s="31">
        <f>Segunda!AQ54</f>
        <v>0</v>
      </c>
      <c r="AR54" s="32">
        <f t="shared" si="109"/>
        <v>-1</v>
      </c>
      <c r="AS54" s="31">
        <f>Segunda!AS54</f>
        <v>0</v>
      </c>
      <c r="AT54" s="32">
        <f t="shared" si="110"/>
        <v>-1</v>
      </c>
      <c r="AU54" s="31">
        <f>Segunda!AU54</f>
        <v>0</v>
      </c>
      <c r="AV54" s="32">
        <f t="shared" si="111"/>
        <v>-1</v>
      </c>
      <c r="AW54" s="31">
        <f>Segunda!AW54</f>
        <v>0</v>
      </c>
      <c r="AX54" s="32">
        <f t="shared" si="112"/>
        <v>-1</v>
      </c>
      <c r="AY54" s="31">
        <f>Segunda!AY54</f>
        <v>0</v>
      </c>
      <c r="AZ54" s="32">
        <f t="shared" si="113"/>
        <v>-1</v>
      </c>
      <c r="BA54" s="31">
        <f>Segunda!BA54</f>
        <v>0</v>
      </c>
      <c r="BB54" s="32">
        <f t="shared" si="114"/>
        <v>-1</v>
      </c>
      <c r="BC54" s="31">
        <f>Segunda!BC54</f>
        <v>0</v>
      </c>
      <c r="BD54" s="32">
        <f t="shared" si="115"/>
        <v>-1</v>
      </c>
      <c r="BE54" s="31">
        <f>Segunda!BE54</f>
        <v>0</v>
      </c>
      <c r="BF54" s="32">
        <f t="shared" si="116"/>
        <v>-1</v>
      </c>
      <c r="BG54" s="31">
        <f>Segunda!BG54</f>
        <v>0</v>
      </c>
      <c r="BH54" s="32">
        <f t="shared" si="117"/>
        <v>-1</v>
      </c>
      <c r="BI54" s="31">
        <f>Segunda!BI54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Segunda!B55</f>
        <v>0</v>
      </c>
      <c r="C55" s="31">
        <f>Segunda!C55</f>
        <v>0</v>
      </c>
      <c r="D55" s="32">
        <f t="shared" si="89"/>
        <v>-1</v>
      </c>
      <c r="E55" s="31">
        <f>Segunda!E55</f>
        <v>0</v>
      </c>
      <c r="F55" s="32">
        <f t="shared" si="90"/>
        <v>-1</v>
      </c>
      <c r="G55" s="31">
        <f>Segunda!G55</f>
        <v>0</v>
      </c>
      <c r="H55" s="32">
        <f t="shared" si="91"/>
        <v>-1</v>
      </c>
      <c r="I55" s="31">
        <f>Segunda!I55</f>
        <v>0</v>
      </c>
      <c r="J55" s="32">
        <f t="shared" si="92"/>
        <v>-1</v>
      </c>
      <c r="K55" s="31">
        <f>Segunda!K55</f>
        <v>0</v>
      </c>
      <c r="L55" s="32">
        <f t="shared" si="93"/>
        <v>-1</v>
      </c>
      <c r="M55" s="31">
        <f>Segunda!M55</f>
        <v>0</v>
      </c>
      <c r="N55" s="32">
        <f t="shared" si="94"/>
        <v>-1</v>
      </c>
      <c r="O55" s="31">
        <f>Segunda!O55</f>
        <v>0</v>
      </c>
      <c r="P55" s="32">
        <f t="shared" si="95"/>
        <v>-1</v>
      </c>
      <c r="Q55" s="31">
        <f>Segunda!Q55</f>
        <v>0</v>
      </c>
      <c r="R55" s="32">
        <f t="shared" si="96"/>
        <v>-1</v>
      </c>
      <c r="S55" s="31">
        <f>Segunda!S55</f>
        <v>0</v>
      </c>
      <c r="T55" s="32">
        <f t="shared" si="97"/>
        <v>-1</v>
      </c>
      <c r="U55" s="31">
        <f>Segunda!U55</f>
        <v>0</v>
      </c>
      <c r="V55" s="32">
        <f t="shared" si="98"/>
        <v>-1</v>
      </c>
      <c r="W55" s="31">
        <f>Segunda!W55</f>
        <v>0</v>
      </c>
      <c r="X55" s="32">
        <f t="shared" si="99"/>
        <v>-1</v>
      </c>
      <c r="Y55" s="31">
        <f>Segunda!Y55</f>
        <v>0</v>
      </c>
      <c r="Z55" s="32">
        <f t="shared" si="100"/>
        <v>-1</v>
      </c>
      <c r="AA55" s="31">
        <f>Segunda!AA55</f>
        <v>0</v>
      </c>
      <c r="AB55" s="32">
        <f t="shared" si="101"/>
        <v>-1</v>
      </c>
      <c r="AC55" s="31">
        <f>Segunda!AC55</f>
        <v>0</v>
      </c>
      <c r="AD55" s="32">
        <f t="shared" si="102"/>
        <v>-1</v>
      </c>
      <c r="AE55" s="31">
        <f>Segunda!AE55</f>
        <v>0</v>
      </c>
      <c r="AF55" s="32">
        <f t="shared" si="103"/>
        <v>-1</v>
      </c>
      <c r="AG55" s="31">
        <f>Segunda!AG55</f>
        <v>0</v>
      </c>
      <c r="AH55" s="32">
        <f t="shared" si="104"/>
        <v>-1</v>
      </c>
      <c r="AI55" s="31">
        <f>Segunda!AI55</f>
        <v>0</v>
      </c>
      <c r="AJ55" s="32">
        <f t="shared" si="105"/>
        <v>-1</v>
      </c>
      <c r="AK55" s="31">
        <f>Segunda!AK55</f>
        <v>0</v>
      </c>
      <c r="AL55" s="32">
        <f t="shared" si="106"/>
        <v>-1</v>
      </c>
      <c r="AM55" s="31">
        <f>Segunda!AM55</f>
        <v>0</v>
      </c>
      <c r="AN55" s="32">
        <f t="shared" si="107"/>
        <v>-1</v>
      </c>
      <c r="AO55" s="31">
        <f>Segunda!AO55</f>
        <v>0</v>
      </c>
      <c r="AP55" s="32">
        <f t="shared" si="108"/>
        <v>-1</v>
      </c>
      <c r="AQ55" s="31">
        <f>Segunda!AQ55</f>
        <v>0</v>
      </c>
      <c r="AR55" s="32">
        <f t="shared" si="109"/>
        <v>-1</v>
      </c>
      <c r="AS55" s="31">
        <f>Segunda!AS55</f>
        <v>0</v>
      </c>
      <c r="AT55" s="32">
        <f t="shared" si="110"/>
        <v>-1</v>
      </c>
      <c r="AU55" s="31">
        <f>Segunda!AU55</f>
        <v>0</v>
      </c>
      <c r="AV55" s="32">
        <f t="shared" si="111"/>
        <v>-1</v>
      </c>
      <c r="AW55" s="31">
        <f>Segunda!AW55</f>
        <v>0</v>
      </c>
      <c r="AX55" s="32">
        <f t="shared" si="112"/>
        <v>-1</v>
      </c>
      <c r="AY55" s="31">
        <f>Segunda!AY55</f>
        <v>0</v>
      </c>
      <c r="AZ55" s="32">
        <f t="shared" si="113"/>
        <v>-1</v>
      </c>
      <c r="BA55" s="31">
        <f>Segunda!BA55</f>
        <v>0</v>
      </c>
      <c r="BB55" s="32">
        <f t="shared" si="114"/>
        <v>-1</v>
      </c>
      <c r="BC55" s="31">
        <f>Segunda!BC55</f>
        <v>0</v>
      </c>
      <c r="BD55" s="32">
        <f t="shared" si="115"/>
        <v>-1</v>
      </c>
      <c r="BE55" s="31">
        <f>Segunda!BE55</f>
        <v>0</v>
      </c>
      <c r="BF55" s="32">
        <f t="shared" si="116"/>
        <v>-1</v>
      </c>
      <c r="BG55" s="31">
        <f>Segunda!BG55</f>
        <v>0</v>
      </c>
      <c r="BH55" s="32">
        <f t="shared" si="117"/>
        <v>-1</v>
      </c>
      <c r="BI55" s="31">
        <f>Segunda!BI55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Segunda!B56</f>
        <v>0</v>
      </c>
      <c r="C56" s="31">
        <f>Segunda!C56</f>
        <v>0</v>
      </c>
      <c r="D56" s="32">
        <f t="shared" si="89"/>
        <v>-1</v>
      </c>
      <c r="E56" s="31">
        <f>Segunda!E56</f>
        <v>0</v>
      </c>
      <c r="F56" s="32">
        <f t="shared" si="90"/>
        <v>-1</v>
      </c>
      <c r="G56" s="31">
        <f>Segunda!G56</f>
        <v>0</v>
      </c>
      <c r="H56" s="32">
        <f t="shared" si="91"/>
        <v>-1</v>
      </c>
      <c r="I56" s="31">
        <f>Segunda!I56</f>
        <v>0</v>
      </c>
      <c r="J56" s="32">
        <f t="shared" si="92"/>
        <v>-1</v>
      </c>
      <c r="K56" s="31">
        <f>Segunda!K56</f>
        <v>0</v>
      </c>
      <c r="L56" s="32">
        <f t="shared" si="93"/>
        <v>-1</v>
      </c>
      <c r="M56" s="31">
        <f>Segunda!M56</f>
        <v>0</v>
      </c>
      <c r="N56" s="32">
        <f t="shared" si="94"/>
        <v>-1</v>
      </c>
      <c r="O56" s="31">
        <f>Segunda!O56</f>
        <v>0</v>
      </c>
      <c r="P56" s="32">
        <f t="shared" si="95"/>
        <v>-1</v>
      </c>
      <c r="Q56" s="31">
        <f>Segunda!Q56</f>
        <v>0</v>
      </c>
      <c r="R56" s="32">
        <f t="shared" si="96"/>
        <v>-1</v>
      </c>
      <c r="S56" s="31">
        <f>Segunda!S56</f>
        <v>0</v>
      </c>
      <c r="T56" s="32">
        <f t="shared" si="97"/>
        <v>-1</v>
      </c>
      <c r="U56" s="31">
        <f>Segunda!U56</f>
        <v>0</v>
      </c>
      <c r="V56" s="32">
        <f t="shared" si="98"/>
        <v>-1</v>
      </c>
      <c r="W56" s="31">
        <f>Segunda!W56</f>
        <v>0</v>
      </c>
      <c r="X56" s="32">
        <f t="shared" si="99"/>
        <v>-1</v>
      </c>
      <c r="Y56" s="31">
        <f>Segunda!Y56</f>
        <v>0</v>
      </c>
      <c r="Z56" s="32">
        <f t="shared" si="100"/>
        <v>-1</v>
      </c>
      <c r="AA56" s="31">
        <f>Segunda!AA56</f>
        <v>0</v>
      </c>
      <c r="AB56" s="32">
        <f t="shared" si="101"/>
        <v>-1</v>
      </c>
      <c r="AC56" s="31">
        <f>Segunda!AC56</f>
        <v>0</v>
      </c>
      <c r="AD56" s="32">
        <f t="shared" si="102"/>
        <v>-1</v>
      </c>
      <c r="AE56" s="31">
        <f>Segunda!AE56</f>
        <v>0</v>
      </c>
      <c r="AF56" s="32">
        <f t="shared" si="103"/>
        <v>-1</v>
      </c>
      <c r="AG56" s="31">
        <f>Segunda!AG56</f>
        <v>0</v>
      </c>
      <c r="AH56" s="32">
        <f t="shared" si="104"/>
        <v>-1</v>
      </c>
      <c r="AI56" s="31">
        <f>Segunda!AI56</f>
        <v>0</v>
      </c>
      <c r="AJ56" s="32">
        <f t="shared" si="105"/>
        <v>-1</v>
      </c>
      <c r="AK56" s="31">
        <f>Segunda!AK56</f>
        <v>0</v>
      </c>
      <c r="AL56" s="32">
        <f t="shared" si="106"/>
        <v>-1</v>
      </c>
      <c r="AM56" s="31">
        <f>Segunda!AM56</f>
        <v>0</v>
      </c>
      <c r="AN56" s="32">
        <f t="shared" si="107"/>
        <v>-1</v>
      </c>
      <c r="AO56" s="31">
        <f>Segunda!AO56</f>
        <v>0</v>
      </c>
      <c r="AP56" s="32">
        <f t="shared" si="108"/>
        <v>-1</v>
      </c>
      <c r="AQ56" s="31">
        <f>Segunda!AQ56</f>
        <v>0</v>
      </c>
      <c r="AR56" s="32">
        <f t="shared" si="109"/>
        <v>-1</v>
      </c>
      <c r="AS56" s="31">
        <f>Segunda!AS56</f>
        <v>0</v>
      </c>
      <c r="AT56" s="32">
        <f t="shared" si="110"/>
        <v>-1</v>
      </c>
      <c r="AU56" s="31">
        <f>Segunda!AU56</f>
        <v>0</v>
      </c>
      <c r="AV56" s="32">
        <f t="shared" si="111"/>
        <v>-1</v>
      </c>
      <c r="AW56" s="31">
        <f>Segunda!AW56</f>
        <v>0</v>
      </c>
      <c r="AX56" s="32">
        <f t="shared" si="112"/>
        <v>-1</v>
      </c>
      <c r="AY56" s="31">
        <f>Segunda!AY56</f>
        <v>0</v>
      </c>
      <c r="AZ56" s="32">
        <f t="shared" si="113"/>
        <v>-1</v>
      </c>
      <c r="BA56" s="31">
        <f>Segunda!BA56</f>
        <v>0</v>
      </c>
      <c r="BB56" s="32">
        <f t="shared" si="114"/>
        <v>-1</v>
      </c>
      <c r="BC56" s="31">
        <f>Segunda!BC56</f>
        <v>0</v>
      </c>
      <c r="BD56" s="32">
        <f t="shared" si="115"/>
        <v>-1</v>
      </c>
      <c r="BE56" s="31">
        <f>Segunda!BE56</f>
        <v>0</v>
      </c>
      <c r="BF56" s="32">
        <f t="shared" si="116"/>
        <v>-1</v>
      </c>
      <c r="BG56" s="31">
        <f>Segunda!BG56</f>
        <v>0</v>
      </c>
      <c r="BH56" s="32">
        <f t="shared" si="117"/>
        <v>-1</v>
      </c>
      <c r="BI56" s="31">
        <f>Segunda!BI56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Segunda!B57</f>
        <v>0</v>
      </c>
      <c r="C57" s="31">
        <f>Segunda!C57</f>
        <v>0</v>
      </c>
      <c r="D57" s="32">
        <f t="shared" si="89"/>
        <v>-1</v>
      </c>
      <c r="E57" s="31">
        <f>Segunda!E57</f>
        <v>0</v>
      </c>
      <c r="F57" s="32">
        <f t="shared" si="90"/>
        <v>-1</v>
      </c>
      <c r="G57" s="31">
        <f>Segunda!G57</f>
        <v>0</v>
      </c>
      <c r="H57" s="32">
        <f t="shared" si="91"/>
        <v>-1</v>
      </c>
      <c r="I57" s="31">
        <f>Segunda!I57</f>
        <v>0</v>
      </c>
      <c r="J57" s="32">
        <f t="shared" si="92"/>
        <v>-1</v>
      </c>
      <c r="K57" s="31">
        <f>Segunda!K57</f>
        <v>0</v>
      </c>
      <c r="L57" s="32">
        <f t="shared" si="93"/>
        <v>-1</v>
      </c>
      <c r="M57" s="31">
        <f>Segunda!M57</f>
        <v>0</v>
      </c>
      <c r="N57" s="32">
        <f t="shared" si="94"/>
        <v>-1</v>
      </c>
      <c r="O57" s="31">
        <f>Segunda!O57</f>
        <v>0</v>
      </c>
      <c r="P57" s="32">
        <f t="shared" si="95"/>
        <v>-1</v>
      </c>
      <c r="Q57" s="31">
        <f>Segunda!Q57</f>
        <v>0</v>
      </c>
      <c r="R57" s="32">
        <f t="shared" si="96"/>
        <v>-1</v>
      </c>
      <c r="S57" s="31">
        <f>Segunda!S57</f>
        <v>0</v>
      </c>
      <c r="T57" s="32">
        <f t="shared" si="97"/>
        <v>-1</v>
      </c>
      <c r="U57" s="31">
        <f>Segunda!U57</f>
        <v>0</v>
      </c>
      <c r="V57" s="32">
        <f t="shared" si="98"/>
        <v>-1</v>
      </c>
      <c r="W57" s="31">
        <f>Segunda!W57</f>
        <v>0</v>
      </c>
      <c r="X57" s="32">
        <f t="shared" si="99"/>
        <v>-1</v>
      </c>
      <c r="Y57" s="31">
        <f>Segunda!Y57</f>
        <v>0</v>
      </c>
      <c r="Z57" s="32">
        <f t="shared" si="100"/>
        <v>-1</v>
      </c>
      <c r="AA57" s="31">
        <f>Segunda!AA57</f>
        <v>0</v>
      </c>
      <c r="AB57" s="32">
        <f t="shared" si="101"/>
        <v>-1</v>
      </c>
      <c r="AC57" s="31">
        <f>Segunda!AC57</f>
        <v>0</v>
      </c>
      <c r="AD57" s="32">
        <f t="shared" si="102"/>
        <v>-1</v>
      </c>
      <c r="AE57" s="31">
        <f>Segunda!AE57</f>
        <v>0</v>
      </c>
      <c r="AF57" s="32">
        <f t="shared" si="103"/>
        <v>-1</v>
      </c>
      <c r="AG57" s="31">
        <f>Segunda!AG57</f>
        <v>0</v>
      </c>
      <c r="AH57" s="32">
        <f t="shared" si="104"/>
        <v>-1</v>
      </c>
      <c r="AI57" s="31">
        <f>Segunda!AI57</f>
        <v>0</v>
      </c>
      <c r="AJ57" s="32">
        <f t="shared" si="105"/>
        <v>-1</v>
      </c>
      <c r="AK57" s="31">
        <f>Segunda!AK57</f>
        <v>0</v>
      </c>
      <c r="AL57" s="32">
        <f t="shared" si="106"/>
        <v>-1</v>
      </c>
      <c r="AM57" s="31">
        <f>Segunda!AM57</f>
        <v>0</v>
      </c>
      <c r="AN57" s="32">
        <f t="shared" si="107"/>
        <v>-1</v>
      </c>
      <c r="AO57" s="31">
        <f>Segunda!AO57</f>
        <v>0</v>
      </c>
      <c r="AP57" s="32">
        <f t="shared" si="108"/>
        <v>-1</v>
      </c>
      <c r="AQ57" s="31">
        <f>Segunda!AQ57</f>
        <v>0</v>
      </c>
      <c r="AR57" s="32">
        <f t="shared" si="109"/>
        <v>-1</v>
      </c>
      <c r="AS57" s="31">
        <f>Segunda!AS57</f>
        <v>0</v>
      </c>
      <c r="AT57" s="32">
        <f t="shared" si="110"/>
        <v>-1</v>
      </c>
      <c r="AU57" s="31">
        <f>Segunda!AU57</f>
        <v>0</v>
      </c>
      <c r="AV57" s="32">
        <f t="shared" si="111"/>
        <v>-1</v>
      </c>
      <c r="AW57" s="31">
        <f>Segunda!AW57</f>
        <v>0</v>
      </c>
      <c r="AX57" s="32">
        <f t="shared" si="112"/>
        <v>-1</v>
      </c>
      <c r="AY57" s="31">
        <f>Segunda!AY57</f>
        <v>0</v>
      </c>
      <c r="AZ57" s="32">
        <f t="shared" si="113"/>
        <v>-1</v>
      </c>
      <c r="BA57" s="31">
        <f>Segunda!BA57</f>
        <v>0</v>
      </c>
      <c r="BB57" s="32">
        <f t="shared" si="114"/>
        <v>-1</v>
      </c>
      <c r="BC57" s="31">
        <f>Segunda!BC57</f>
        <v>0</v>
      </c>
      <c r="BD57" s="32">
        <f t="shared" si="115"/>
        <v>-1</v>
      </c>
      <c r="BE57" s="31">
        <f>Segunda!BE57</f>
        <v>0</v>
      </c>
      <c r="BF57" s="32">
        <f t="shared" si="116"/>
        <v>-1</v>
      </c>
      <c r="BG57" s="31">
        <f>Segunda!BG57</f>
        <v>0</v>
      </c>
      <c r="BH57" s="32">
        <f t="shared" si="117"/>
        <v>-1</v>
      </c>
      <c r="BI57" s="31">
        <f>Segunda!BI57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Segunda!B58</f>
        <v>0</v>
      </c>
      <c r="C58" s="31">
        <f>Segunda!C58</f>
        <v>0</v>
      </c>
      <c r="D58" s="32">
        <f t="shared" si="89"/>
        <v>-1</v>
      </c>
      <c r="E58" s="31">
        <f>Segunda!E58</f>
        <v>0</v>
      </c>
      <c r="F58" s="32">
        <f t="shared" si="90"/>
        <v>-1</v>
      </c>
      <c r="G58" s="31">
        <f>Segunda!G58</f>
        <v>0</v>
      </c>
      <c r="H58" s="32">
        <f t="shared" si="91"/>
        <v>-1</v>
      </c>
      <c r="I58" s="31">
        <f>Segunda!I58</f>
        <v>0</v>
      </c>
      <c r="J58" s="32">
        <f t="shared" si="92"/>
        <v>-1</v>
      </c>
      <c r="K58" s="31">
        <f>Segunda!K58</f>
        <v>0</v>
      </c>
      <c r="L58" s="32">
        <f t="shared" si="93"/>
        <v>-1</v>
      </c>
      <c r="M58" s="31">
        <f>Segunda!M58</f>
        <v>0</v>
      </c>
      <c r="N58" s="32">
        <f t="shared" si="94"/>
        <v>-1</v>
      </c>
      <c r="O58" s="31">
        <f>Segunda!O58</f>
        <v>0</v>
      </c>
      <c r="P58" s="32">
        <f t="shared" si="95"/>
        <v>-1</v>
      </c>
      <c r="Q58" s="31">
        <f>Segunda!Q58</f>
        <v>0</v>
      </c>
      <c r="R58" s="32">
        <f t="shared" si="96"/>
        <v>-1</v>
      </c>
      <c r="S58" s="31">
        <f>Segunda!S58</f>
        <v>0</v>
      </c>
      <c r="T58" s="32">
        <f t="shared" si="97"/>
        <v>-1</v>
      </c>
      <c r="U58" s="31">
        <f>Segunda!U58</f>
        <v>0</v>
      </c>
      <c r="V58" s="32">
        <f t="shared" si="98"/>
        <v>-1</v>
      </c>
      <c r="W58" s="31">
        <f>Segunda!W58</f>
        <v>0</v>
      </c>
      <c r="X58" s="32">
        <f t="shared" si="99"/>
        <v>-1</v>
      </c>
      <c r="Y58" s="31">
        <f>Segunda!Y58</f>
        <v>0</v>
      </c>
      <c r="Z58" s="32">
        <f t="shared" si="100"/>
        <v>-1</v>
      </c>
      <c r="AA58" s="31">
        <f>Segunda!AA58</f>
        <v>0</v>
      </c>
      <c r="AB58" s="32">
        <f t="shared" si="101"/>
        <v>-1</v>
      </c>
      <c r="AC58" s="31">
        <f>Segunda!AC58</f>
        <v>0</v>
      </c>
      <c r="AD58" s="32">
        <f t="shared" si="102"/>
        <v>-1</v>
      </c>
      <c r="AE58" s="31">
        <f>Segunda!AE58</f>
        <v>0</v>
      </c>
      <c r="AF58" s="32">
        <f t="shared" si="103"/>
        <v>-1</v>
      </c>
      <c r="AG58" s="31">
        <f>Segunda!AG58</f>
        <v>0</v>
      </c>
      <c r="AH58" s="32">
        <f t="shared" si="104"/>
        <v>-1</v>
      </c>
      <c r="AI58" s="31">
        <f>Segunda!AI58</f>
        <v>0</v>
      </c>
      <c r="AJ58" s="32">
        <f t="shared" si="105"/>
        <v>-1</v>
      </c>
      <c r="AK58" s="31">
        <f>Segunda!AK58</f>
        <v>0</v>
      </c>
      <c r="AL58" s="32">
        <f t="shared" si="106"/>
        <v>-1</v>
      </c>
      <c r="AM58" s="31">
        <f>Segunda!AM58</f>
        <v>0</v>
      </c>
      <c r="AN58" s="32">
        <f t="shared" si="107"/>
        <v>-1</v>
      </c>
      <c r="AO58" s="31">
        <f>Segunda!AO58</f>
        <v>0</v>
      </c>
      <c r="AP58" s="32">
        <f t="shared" si="108"/>
        <v>-1</v>
      </c>
      <c r="AQ58" s="31">
        <f>Segunda!AQ58</f>
        <v>0</v>
      </c>
      <c r="AR58" s="32">
        <f t="shared" si="109"/>
        <v>-1</v>
      </c>
      <c r="AS58" s="31">
        <f>Segunda!AS58</f>
        <v>0</v>
      </c>
      <c r="AT58" s="32">
        <f t="shared" si="110"/>
        <v>-1</v>
      </c>
      <c r="AU58" s="31">
        <f>Segunda!AU58</f>
        <v>0</v>
      </c>
      <c r="AV58" s="32">
        <f t="shared" si="111"/>
        <v>-1</v>
      </c>
      <c r="AW58" s="31">
        <f>Segunda!AW58</f>
        <v>0</v>
      </c>
      <c r="AX58" s="32">
        <f t="shared" si="112"/>
        <v>-1</v>
      </c>
      <c r="AY58" s="31">
        <f>Segunda!AY58</f>
        <v>0</v>
      </c>
      <c r="AZ58" s="32">
        <f t="shared" si="113"/>
        <v>-1</v>
      </c>
      <c r="BA58" s="31">
        <f>Segunda!BA58</f>
        <v>0</v>
      </c>
      <c r="BB58" s="32">
        <f t="shared" si="114"/>
        <v>-1</v>
      </c>
      <c r="BC58" s="31">
        <f>Segunda!BC58</f>
        <v>0</v>
      </c>
      <c r="BD58" s="32">
        <f t="shared" si="115"/>
        <v>-1</v>
      </c>
      <c r="BE58" s="31">
        <f>Segunda!BE58</f>
        <v>0</v>
      </c>
      <c r="BF58" s="32">
        <f t="shared" si="116"/>
        <v>-1</v>
      </c>
      <c r="BG58" s="31">
        <f>Segunda!BG58</f>
        <v>0</v>
      </c>
      <c r="BH58" s="32">
        <f t="shared" si="117"/>
        <v>-1</v>
      </c>
      <c r="BI58" s="31">
        <f>Segunda!BI58</f>
        <v>0</v>
      </c>
      <c r="BJ58" s="32">
        <f t="shared" si="118"/>
        <v>-1</v>
      </c>
    </row>
    <row r="59" spans="1:62" ht="19" customHeight="1" x14ac:dyDescent="0.2">
      <c r="A59" s="48" t="s">
        <v>84</v>
      </c>
      <c r="B59" s="49"/>
      <c r="C59" s="53">
        <f>SUM(C4,C7,C16,C38)</f>
        <v>0</v>
      </c>
      <c r="D59" s="54"/>
      <c r="E59" s="53">
        <f t="shared" ref="E59" si="119">SUM(E4,E7,E16,E38)</f>
        <v>0</v>
      </c>
      <c r="F59" s="54"/>
      <c r="G59" s="53">
        <f t="shared" ref="G59" si="120">SUM(G4,G7,G16,G38)</f>
        <v>0</v>
      </c>
      <c r="H59" s="54"/>
      <c r="I59" s="53">
        <f t="shared" ref="I59" si="121">SUM(I4,I7,I16,I38)</f>
        <v>0</v>
      </c>
      <c r="J59" s="54"/>
      <c r="K59" s="53">
        <f t="shared" ref="K59" si="122">SUM(K4,K7,K16,K38)</f>
        <v>0</v>
      </c>
      <c r="L59" s="54"/>
      <c r="M59" s="53">
        <f t="shared" ref="M59" si="123">SUM(M4,M7,M16,M38)</f>
        <v>0</v>
      </c>
      <c r="N59" s="54"/>
      <c r="O59" s="53">
        <f t="shared" ref="O59" si="124">SUM(O4,O7,O16,O38)</f>
        <v>0</v>
      </c>
      <c r="P59" s="54"/>
      <c r="Q59" s="53">
        <f t="shared" ref="Q59" si="125">SUM(Q4,Q7,Q16,Q38)</f>
        <v>0</v>
      </c>
      <c r="R59" s="54"/>
      <c r="S59" s="53">
        <f t="shared" ref="S59" si="126">SUM(S4,S7,S16,S38)</f>
        <v>0</v>
      </c>
      <c r="T59" s="54"/>
      <c r="U59" s="53">
        <f t="shared" ref="U59" si="127">SUM(U4,U7,U16,U38)</f>
        <v>0</v>
      </c>
      <c r="V59" s="54"/>
      <c r="W59" s="53">
        <f t="shared" ref="W59" si="128">SUM(W4,W7,W16,W38)</f>
        <v>0</v>
      </c>
      <c r="X59" s="54"/>
      <c r="Y59" s="53">
        <f t="shared" ref="Y59" si="129">SUM(Y4,Y7,Y16,Y38)</f>
        <v>0</v>
      </c>
      <c r="Z59" s="54"/>
      <c r="AA59" s="53">
        <f t="shared" ref="AA59" si="130">SUM(AA4,AA7,AA16,AA38)</f>
        <v>0</v>
      </c>
      <c r="AB59" s="54"/>
      <c r="AC59" s="53">
        <f t="shared" ref="AC59" si="131">SUM(AC4,AC7,AC16,AC38)</f>
        <v>0</v>
      </c>
      <c r="AD59" s="54"/>
      <c r="AE59" s="53">
        <f t="shared" ref="AE59" si="132">SUM(AE4,AE7,AE16,AE38)</f>
        <v>0</v>
      </c>
      <c r="AF59" s="54"/>
      <c r="AG59" s="53">
        <f t="shared" ref="AG59" si="133">SUM(AG4,AG7,AG16,AG38)</f>
        <v>0</v>
      </c>
      <c r="AH59" s="54"/>
      <c r="AI59" s="53">
        <f t="shared" ref="AI59" si="134">SUM(AI4,AI7,AI16,AI38)</f>
        <v>0</v>
      </c>
      <c r="AJ59" s="54"/>
      <c r="AK59" s="53">
        <f t="shared" ref="AK59" si="135">SUM(AK4,AK7,AK16,AK38)</f>
        <v>0</v>
      </c>
      <c r="AL59" s="54"/>
      <c r="AM59" s="53">
        <f t="shared" ref="AM59" si="136">SUM(AM4,AM7,AM16,AM38)</f>
        <v>0</v>
      </c>
      <c r="AN59" s="54"/>
      <c r="AO59" s="53">
        <f t="shared" ref="AO59" si="137">SUM(AO4,AO7,AO16,AO38)</f>
        <v>0</v>
      </c>
      <c r="AP59" s="54"/>
      <c r="AQ59" s="53">
        <f t="shared" ref="AQ59" si="138">SUM(AQ4,AQ7,AQ16,AQ38)</f>
        <v>0</v>
      </c>
      <c r="AR59" s="54"/>
      <c r="AS59" s="53">
        <f t="shared" ref="AS59" si="139">SUM(AS4,AS7,AS16,AS38)</f>
        <v>0</v>
      </c>
      <c r="AT59" s="54"/>
      <c r="AU59" s="53">
        <f t="shared" ref="AU59" si="140">SUM(AU4,AU7,AU16,AU38)</f>
        <v>0</v>
      </c>
      <c r="AV59" s="54"/>
      <c r="AW59" s="53">
        <f t="shared" ref="AW59" si="141">SUM(AW4,AW7,AW16,AW38)</f>
        <v>0</v>
      </c>
      <c r="AX59" s="54"/>
      <c r="AY59" s="53">
        <f t="shared" ref="AY59" si="142">SUM(AY4,AY7,AY16,AY38)</f>
        <v>0</v>
      </c>
      <c r="AZ59" s="54"/>
      <c r="BA59" s="53">
        <f t="shared" ref="BA59" si="143">SUM(BA4,BA7,BA16,BA38)</f>
        <v>0</v>
      </c>
      <c r="BB59" s="54"/>
      <c r="BC59" s="53">
        <f t="shared" ref="BC59" si="144">SUM(BC4,BC7,BC16,BC38)</f>
        <v>0</v>
      </c>
      <c r="BD59" s="54"/>
      <c r="BE59" s="53">
        <f t="shared" ref="BE59" si="145">SUM(BE4,BE7,BE16,BE38)</f>
        <v>0</v>
      </c>
      <c r="BF59" s="54"/>
      <c r="BG59" s="53">
        <f t="shared" ref="BG59" si="146">SUM(BG4,BG7,BG16,BG38)</f>
        <v>0</v>
      </c>
      <c r="BH59" s="54"/>
      <c r="BI59" s="53">
        <f t="shared" ref="BI59" si="147">SUM(BI4,BI7,BI16,BI38)</f>
        <v>0</v>
      </c>
      <c r="BJ59" s="54"/>
    </row>
    <row r="60" spans="1:62" ht="19" customHeight="1" x14ac:dyDescent="0.2">
      <c r="A60" s="48"/>
      <c r="B60" s="49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</row>
    <row r="61" spans="1:62" ht="19" customHeight="1" x14ac:dyDescent="0.2">
      <c r="A61" s="48"/>
      <c r="B61" s="49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</row>
  </sheetData>
  <sheetProtection algorithmName="SHA-512" hashValue="2d4bvWmylERBnZE0Ov1rerh6IjOhS63sSmn9kJKG3EDYDx0pSXc+sevHPk+kLRj9wHXsfw0XjaNLXFHnL3+tIw==" saltValue="DXdiT7JxYyrxoiD/3oYMFg==" spinCount="100000" sheet="1" objects="1" scenarios="1" formatCells="0" autoFilter="0"/>
  <mergeCells count="24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C59:D61"/>
    <mergeCell ref="E59:F61"/>
    <mergeCell ref="G59:H61"/>
    <mergeCell ref="I59:J61"/>
    <mergeCell ref="K59:L61"/>
    <mergeCell ref="Y59:Z61"/>
    <mergeCell ref="AA59:AB61"/>
    <mergeCell ref="AC59:AD61"/>
    <mergeCell ref="AY38:AZ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A1:A2"/>
    <mergeCell ref="BI59:BJ61"/>
    <mergeCell ref="AW59:AX61"/>
    <mergeCell ref="AY59:AZ61"/>
    <mergeCell ref="BA59:BB61"/>
    <mergeCell ref="BC59:BD61"/>
    <mergeCell ref="BE59:BF61"/>
    <mergeCell ref="BG59:BH61"/>
    <mergeCell ref="AK59:AL61"/>
    <mergeCell ref="AM59:AN61"/>
    <mergeCell ref="AO59:AP61"/>
    <mergeCell ref="AQ59:AR61"/>
    <mergeCell ref="AS59:AT61"/>
    <mergeCell ref="AU59:AV61"/>
    <mergeCell ref="AE59:AF61"/>
    <mergeCell ref="AG59:AH61"/>
    <mergeCell ref="AI59:AJ61"/>
    <mergeCell ref="M59:N61"/>
    <mergeCell ref="O59:P61"/>
    <mergeCell ref="Q59:R61"/>
    <mergeCell ref="S59:T61"/>
    <mergeCell ref="U59:V61"/>
    <mergeCell ref="W59:X61"/>
    <mergeCell ref="A59:B61"/>
  </mergeCells>
  <conditionalFormatting sqref="C59 E59 G59 I59 K59 M59 O59 Q59 S59 U59 W59 Y59 AA59 AC59 AE59 AG59 AI59 AK59 AM59 AO59 AQ59 AS59 AU59 AW59 AY59 BA59 BC59 BE59 BG59 BI59">
    <cfRule type="cellIs" dxfId="32154" priority="92" stopIfTrue="1" operator="lessThan">
      <formula>5</formula>
    </cfRule>
    <cfRule type="cellIs" dxfId="3215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2152" priority="2" stopIfTrue="1" operator="lessThan">
      <formula>5</formula>
    </cfRule>
    <cfRule type="cellIs" dxfId="32151" priority="3" operator="greaterThanOrEqual">
      <formula>5</formula>
    </cfRule>
  </conditionalFormatting>
  <conditionalFormatting sqref="B3">
    <cfRule type="cellIs" dxfId="32150" priority="1" operator="notEqual">
      <formula>"Ok"</formula>
    </cfRule>
  </conditionalFormatting>
  <conditionalFormatting sqref="D5">
    <cfRule type="cellIs" dxfId="32149" priority="87306" stopIfTrue="1" operator="equal">
      <formula>-1</formula>
    </cfRule>
  </conditionalFormatting>
  <conditionalFormatting sqref="D5">
    <cfRule type="cellIs" dxfId="32148" priority="87307" stopIfTrue="1" operator="lessThan">
      <formula>0.5</formula>
    </cfRule>
  </conditionalFormatting>
  <conditionalFormatting sqref="D5">
    <cfRule type="cellIs" dxfId="32147" priority="87308" stopIfTrue="1" operator="greaterThanOrEqual">
      <formula>0.5</formula>
    </cfRule>
  </conditionalFormatting>
  <conditionalFormatting sqref="D6">
    <cfRule type="cellIs" dxfId="32146" priority="87309" stopIfTrue="1" operator="equal">
      <formula>-1</formula>
    </cfRule>
  </conditionalFormatting>
  <conditionalFormatting sqref="D6">
    <cfRule type="cellIs" dxfId="32145" priority="87310" stopIfTrue="1" operator="lessThan">
      <formula>0.5</formula>
    </cfRule>
  </conditionalFormatting>
  <conditionalFormatting sqref="D6">
    <cfRule type="cellIs" dxfId="32144" priority="87311" stopIfTrue="1" operator="greaterThanOrEqual">
      <formula>0.5</formula>
    </cfRule>
  </conditionalFormatting>
  <conditionalFormatting sqref="F5">
    <cfRule type="cellIs" dxfId="32143" priority="87312" stopIfTrue="1" operator="equal">
      <formula>-1</formula>
    </cfRule>
  </conditionalFormatting>
  <conditionalFormatting sqref="F5">
    <cfRule type="cellIs" dxfId="32142" priority="87313" stopIfTrue="1" operator="lessThan">
      <formula>0.5</formula>
    </cfRule>
  </conditionalFormatting>
  <conditionalFormatting sqref="F5">
    <cfRule type="cellIs" dxfId="32141" priority="87314" stopIfTrue="1" operator="greaterThanOrEqual">
      <formula>0.5</formula>
    </cfRule>
  </conditionalFormatting>
  <conditionalFormatting sqref="F6">
    <cfRule type="cellIs" dxfId="32140" priority="87315" stopIfTrue="1" operator="equal">
      <formula>-1</formula>
    </cfRule>
  </conditionalFormatting>
  <conditionalFormatting sqref="F6">
    <cfRule type="cellIs" dxfId="32139" priority="87316" stopIfTrue="1" operator="lessThan">
      <formula>0.5</formula>
    </cfRule>
  </conditionalFormatting>
  <conditionalFormatting sqref="F6">
    <cfRule type="cellIs" dxfId="32138" priority="87317" stopIfTrue="1" operator="greaterThanOrEqual">
      <formula>0.5</formula>
    </cfRule>
  </conditionalFormatting>
  <conditionalFormatting sqref="H5">
    <cfRule type="cellIs" dxfId="32137" priority="87318" stopIfTrue="1" operator="equal">
      <formula>-1</formula>
    </cfRule>
  </conditionalFormatting>
  <conditionalFormatting sqref="H5">
    <cfRule type="cellIs" dxfId="32136" priority="87319" stopIfTrue="1" operator="lessThan">
      <formula>0.5</formula>
    </cfRule>
  </conditionalFormatting>
  <conditionalFormatting sqref="H5">
    <cfRule type="cellIs" dxfId="32135" priority="87320" stopIfTrue="1" operator="greaterThanOrEqual">
      <formula>0.5</formula>
    </cfRule>
  </conditionalFormatting>
  <conditionalFormatting sqref="H6">
    <cfRule type="cellIs" dxfId="32134" priority="87321" stopIfTrue="1" operator="equal">
      <formula>-1</formula>
    </cfRule>
  </conditionalFormatting>
  <conditionalFormatting sqref="H6">
    <cfRule type="cellIs" dxfId="32133" priority="87322" stopIfTrue="1" operator="lessThan">
      <formula>0.5</formula>
    </cfRule>
  </conditionalFormatting>
  <conditionalFormatting sqref="H6">
    <cfRule type="cellIs" dxfId="32132" priority="87323" stopIfTrue="1" operator="greaterThanOrEqual">
      <formula>0.5</formula>
    </cfRule>
  </conditionalFormatting>
  <conditionalFormatting sqref="J5">
    <cfRule type="cellIs" dxfId="32131" priority="87324" stopIfTrue="1" operator="equal">
      <formula>-1</formula>
    </cfRule>
  </conditionalFormatting>
  <conditionalFormatting sqref="J5">
    <cfRule type="cellIs" dxfId="32130" priority="87325" stopIfTrue="1" operator="lessThan">
      <formula>0.5</formula>
    </cfRule>
  </conditionalFormatting>
  <conditionalFormatting sqref="J5">
    <cfRule type="cellIs" dxfId="32129" priority="87326" stopIfTrue="1" operator="greaterThanOrEqual">
      <formula>0.5</formula>
    </cfRule>
  </conditionalFormatting>
  <conditionalFormatting sqref="J6">
    <cfRule type="cellIs" dxfId="32128" priority="87327" stopIfTrue="1" operator="equal">
      <formula>-1</formula>
    </cfRule>
  </conditionalFormatting>
  <conditionalFormatting sqref="J6">
    <cfRule type="cellIs" dxfId="32127" priority="87328" stopIfTrue="1" operator="lessThan">
      <formula>0.5</formula>
    </cfRule>
  </conditionalFormatting>
  <conditionalFormatting sqref="J6">
    <cfRule type="cellIs" dxfId="32126" priority="87329" stopIfTrue="1" operator="greaterThanOrEqual">
      <formula>0.5</formula>
    </cfRule>
  </conditionalFormatting>
  <conditionalFormatting sqref="L5">
    <cfRule type="cellIs" dxfId="32125" priority="87330" stopIfTrue="1" operator="equal">
      <formula>-1</formula>
    </cfRule>
  </conditionalFormatting>
  <conditionalFormatting sqref="L5">
    <cfRule type="cellIs" dxfId="32124" priority="87331" stopIfTrue="1" operator="lessThan">
      <formula>0.5</formula>
    </cfRule>
  </conditionalFormatting>
  <conditionalFormatting sqref="L5">
    <cfRule type="cellIs" dxfId="32123" priority="87332" stopIfTrue="1" operator="greaterThanOrEqual">
      <formula>0.5</formula>
    </cfRule>
  </conditionalFormatting>
  <conditionalFormatting sqref="L6">
    <cfRule type="cellIs" dxfId="32122" priority="87333" stopIfTrue="1" operator="equal">
      <formula>-1</formula>
    </cfRule>
  </conditionalFormatting>
  <conditionalFormatting sqref="L6">
    <cfRule type="cellIs" dxfId="32121" priority="87334" stopIfTrue="1" operator="lessThan">
      <formula>0.5</formula>
    </cfRule>
  </conditionalFormatting>
  <conditionalFormatting sqref="L6">
    <cfRule type="cellIs" dxfId="32120" priority="87335" stopIfTrue="1" operator="greaterThanOrEqual">
      <formula>0.5</formula>
    </cfRule>
  </conditionalFormatting>
  <conditionalFormatting sqref="N5">
    <cfRule type="cellIs" dxfId="32119" priority="87336" stopIfTrue="1" operator="equal">
      <formula>-1</formula>
    </cfRule>
  </conditionalFormatting>
  <conditionalFormatting sqref="N5">
    <cfRule type="cellIs" dxfId="32118" priority="87337" stopIfTrue="1" operator="lessThan">
      <formula>0.5</formula>
    </cfRule>
  </conditionalFormatting>
  <conditionalFormatting sqref="N5">
    <cfRule type="cellIs" dxfId="32117" priority="87338" stopIfTrue="1" operator="greaterThanOrEqual">
      <formula>0.5</formula>
    </cfRule>
  </conditionalFormatting>
  <conditionalFormatting sqref="N6">
    <cfRule type="cellIs" dxfId="32116" priority="87339" stopIfTrue="1" operator="equal">
      <formula>-1</formula>
    </cfRule>
  </conditionalFormatting>
  <conditionalFormatting sqref="N6">
    <cfRule type="cellIs" dxfId="32115" priority="87340" stopIfTrue="1" operator="lessThan">
      <formula>0.5</formula>
    </cfRule>
  </conditionalFormatting>
  <conditionalFormatting sqref="N6">
    <cfRule type="cellIs" dxfId="32114" priority="87341" stopIfTrue="1" operator="greaterThanOrEqual">
      <formula>0.5</formula>
    </cfRule>
  </conditionalFormatting>
  <conditionalFormatting sqref="P5">
    <cfRule type="cellIs" dxfId="32113" priority="87342" stopIfTrue="1" operator="equal">
      <formula>-1</formula>
    </cfRule>
  </conditionalFormatting>
  <conditionalFormatting sqref="P5">
    <cfRule type="cellIs" dxfId="32112" priority="87343" stopIfTrue="1" operator="lessThan">
      <formula>0.5</formula>
    </cfRule>
  </conditionalFormatting>
  <conditionalFormatting sqref="P5">
    <cfRule type="cellIs" dxfId="32111" priority="87344" stopIfTrue="1" operator="greaterThanOrEqual">
      <formula>0.5</formula>
    </cfRule>
  </conditionalFormatting>
  <conditionalFormatting sqref="P6">
    <cfRule type="cellIs" dxfId="32110" priority="87345" stopIfTrue="1" operator="equal">
      <formula>-1</formula>
    </cfRule>
  </conditionalFormatting>
  <conditionalFormatting sqref="P6">
    <cfRule type="cellIs" dxfId="32109" priority="87346" stopIfTrue="1" operator="lessThan">
      <formula>0.5</formula>
    </cfRule>
  </conditionalFormatting>
  <conditionalFormatting sqref="P6">
    <cfRule type="cellIs" dxfId="32108" priority="87347" stopIfTrue="1" operator="greaterThanOrEqual">
      <formula>0.5</formula>
    </cfRule>
  </conditionalFormatting>
  <conditionalFormatting sqref="R5">
    <cfRule type="cellIs" dxfId="32107" priority="87348" stopIfTrue="1" operator="equal">
      <formula>-1</formula>
    </cfRule>
  </conditionalFormatting>
  <conditionalFormatting sqref="R5">
    <cfRule type="cellIs" dxfId="32106" priority="87349" stopIfTrue="1" operator="lessThan">
      <formula>0.5</formula>
    </cfRule>
  </conditionalFormatting>
  <conditionalFormatting sqref="R5">
    <cfRule type="cellIs" dxfId="32105" priority="87350" stopIfTrue="1" operator="greaterThanOrEqual">
      <formula>0.5</formula>
    </cfRule>
  </conditionalFormatting>
  <conditionalFormatting sqref="R6">
    <cfRule type="cellIs" dxfId="32104" priority="87351" stopIfTrue="1" operator="equal">
      <formula>-1</formula>
    </cfRule>
  </conditionalFormatting>
  <conditionalFormatting sqref="R6">
    <cfRule type="cellIs" dxfId="32103" priority="87352" stopIfTrue="1" operator="lessThan">
      <formula>0.5</formula>
    </cfRule>
  </conditionalFormatting>
  <conditionalFormatting sqref="R6">
    <cfRule type="cellIs" dxfId="32102" priority="87353" stopIfTrue="1" operator="greaterThanOrEqual">
      <formula>0.5</formula>
    </cfRule>
  </conditionalFormatting>
  <conditionalFormatting sqref="T5">
    <cfRule type="cellIs" dxfId="32101" priority="87354" stopIfTrue="1" operator="equal">
      <formula>-1</formula>
    </cfRule>
  </conditionalFormatting>
  <conditionalFormatting sqref="T5">
    <cfRule type="cellIs" dxfId="32100" priority="87355" stopIfTrue="1" operator="lessThan">
      <formula>0.5</formula>
    </cfRule>
  </conditionalFormatting>
  <conditionalFormatting sqref="T5">
    <cfRule type="cellIs" dxfId="32099" priority="87356" stopIfTrue="1" operator="greaterThanOrEqual">
      <formula>0.5</formula>
    </cfRule>
  </conditionalFormatting>
  <conditionalFormatting sqref="T6">
    <cfRule type="cellIs" dxfId="32098" priority="87357" stopIfTrue="1" operator="equal">
      <formula>-1</formula>
    </cfRule>
  </conditionalFormatting>
  <conditionalFormatting sqref="T6">
    <cfRule type="cellIs" dxfId="32097" priority="87358" stopIfTrue="1" operator="lessThan">
      <formula>0.5</formula>
    </cfRule>
  </conditionalFormatting>
  <conditionalFormatting sqref="T6">
    <cfRule type="cellIs" dxfId="32096" priority="87359" stopIfTrue="1" operator="greaterThanOrEqual">
      <formula>0.5</formula>
    </cfRule>
  </conditionalFormatting>
  <conditionalFormatting sqref="V5">
    <cfRule type="cellIs" dxfId="32095" priority="87360" stopIfTrue="1" operator="equal">
      <formula>-1</formula>
    </cfRule>
  </conditionalFormatting>
  <conditionalFormatting sqref="V5">
    <cfRule type="cellIs" dxfId="32094" priority="87361" stopIfTrue="1" operator="lessThan">
      <formula>0.5</formula>
    </cfRule>
  </conditionalFormatting>
  <conditionalFormatting sqref="V5">
    <cfRule type="cellIs" dxfId="32093" priority="87362" stopIfTrue="1" operator="greaterThanOrEqual">
      <formula>0.5</formula>
    </cfRule>
  </conditionalFormatting>
  <conditionalFormatting sqref="V6">
    <cfRule type="cellIs" dxfId="32092" priority="87363" stopIfTrue="1" operator="equal">
      <formula>-1</formula>
    </cfRule>
  </conditionalFormatting>
  <conditionalFormatting sqref="V6">
    <cfRule type="cellIs" dxfId="32091" priority="87364" stopIfTrue="1" operator="lessThan">
      <formula>0.5</formula>
    </cfRule>
  </conditionalFormatting>
  <conditionalFormatting sqref="V6">
    <cfRule type="cellIs" dxfId="32090" priority="87365" stopIfTrue="1" operator="greaterThanOrEqual">
      <formula>0.5</formula>
    </cfRule>
  </conditionalFormatting>
  <conditionalFormatting sqref="X5">
    <cfRule type="cellIs" dxfId="32089" priority="87366" stopIfTrue="1" operator="equal">
      <formula>-1</formula>
    </cfRule>
  </conditionalFormatting>
  <conditionalFormatting sqref="X5">
    <cfRule type="cellIs" dxfId="32088" priority="87367" stopIfTrue="1" operator="lessThan">
      <formula>0.5</formula>
    </cfRule>
  </conditionalFormatting>
  <conditionalFormatting sqref="X5">
    <cfRule type="cellIs" dxfId="32087" priority="87368" stopIfTrue="1" operator="greaterThanOrEqual">
      <formula>0.5</formula>
    </cfRule>
  </conditionalFormatting>
  <conditionalFormatting sqref="X6">
    <cfRule type="cellIs" dxfId="32086" priority="87369" stopIfTrue="1" operator="equal">
      <formula>-1</formula>
    </cfRule>
  </conditionalFormatting>
  <conditionalFormatting sqref="X6">
    <cfRule type="cellIs" dxfId="32085" priority="87370" stopIfTrue="1" operator="lessThan">
      <formula>0.5</formula>
    </cfRule>
  </conditionalFormatting>
  <conditionalFormatting sqref="X6">
    <cfRule type="cellIs" dxfId="32084" priority="87371" stopIfTrue="1" operator="greaterThanOrEqual">
      <formula>0.5</formula>
    </cfRule>
  </conditionalFormatting>
  <conditionalFormatting sqref="Z5">
    <cfRule type="cellIs" dxfId="32083" priority="87372" stopIfTrue="1" operator="equal">
      <formula>-1</formula>
    </cfRule>
  </conditionalFormatting>
  <conditionalFormatting sqref="Z5">
    <cfRule type="cellIs" dxfId="32082" priority="87373" stopIfTrue="1" operator="lessThan">
      <formula>0.5</formula>
    </cfRule>
  </conditionalFormatting>
  <conditionalFormatting sqref="Z5">
    <cfRule type="cellIs" dxfId="32081" priority="87374" stopIfTrue="1" operator="greaterThanOrEqual">
      <formula>0.5</formula>
    </cfRule>
  </conditionalFormatting>
  <conditionalFormatting sqref="Z6">
    <cfRule type="cellIs" dxfId="32080" priority="87375" stopIfTrue="1" operator="equal">
      <formula>-1</formula>
    </cfRule>
  </conditionalFormatting>
  <conditionalFormatting sqref="Z6">
    <cfRule type="cellIs" dxfId="32079" priority="87376" stopIfTrue="1" operator="lessThan">
      <formula>0.5</formula>
    </cfRule>
  </conditionalFormatting>
  <conditionalFormatting sqref="Z6">
    <cfRule type="cellIs" dxfId="32078" priority="87377" stopIfTrue="1" operator="greaterThanOrEqual">
      <formula>0.5</formula>
    </cfRule>
  </conditionalFormatting>
  <conditionalFormatting sqref="AB5">
    <cfRule type="cellIs" dxfId="32077" priority="87378" stopIfTrue="1" operator="equal">
      <formula>-1</formula>
    </cfRule>
  </conditionalFormatting>
  <conditionalFormatting sqref="AB5">
    <cfRule type="cellIs" dxfId="32076" priority="87379" stopIfTrue="1" operator="lessThan">
      <formula>0.5</formula>
    </cfRule>
  </conditionalFormatting>
  <conditionalFormatting sqref="AB5">
    <cfRule type="cellIs" dxfId="32075" priority="87380" stopIfTrue="1" operator="greaterThanOrEqual">
      <formula>0.5</formula>
    </cfRule>
  </conditionalFormatting>
  <conditionalFormatting sqref="AB6">
    <cfRule type="cellIs" dxfId="32074" priority="87381" stopIfTrue="1" operator="equal">
      <formula>-1</formula>
    </cfRule>
  </conditionalFormatting>
  <conditionalFormatting sqref="AB6">
    <cfRule type="cellIs" dxfId="32073" priority="87382" stopIfTrue="1" operator="lessThan">
      <formula>0.5</formula>
    </cfRule>
  </conditionalFormatting>
  <conditionalFormatting sqref="AB6">
    <cfRule type="cellIs" dxfId="32072" priority="87383" stopIfTrue="1" operator="greaterThanOrEqual">
      <formula>0.5</formula>
    </cfRule>
  </conditionalFormatting>
  <conditionalFormatting sqref="AD5">
    <cfRule type="cellIs" dxfId="32071" priority="87384" stopIfTrue="1" operator="equal">
      <formula>-1</formula>
    </cfRule>
  </conditionalFormatting>
  <conditionalFormatting sqref="AD5">
    <cfRule type="cellIs" dxfId="32070" priority="87385" stopIfTrue="1" operator="lessThan">
      <formula>0.5</formula>
    </cfRule>
  </conditionalFormatting>
  <conditionalFormatting sqref="AD5">
    <cfRule type="cellIs" dxfId="32069" priority="87386" stopIfTrue="1" operator="greaterThanOrEqual">
      <formula>0.5</formula>
    </cfRule>
  </conditionalFormatting>
  <conditionalFormatting sqref="AD6">
    <cfRule type="cellIs" dxfId="32068" priority="87387" stopIfTrue="1" operator="equal">
      <formula>-1</formula>
    </cfRule>
  </conditionalFormatting>
  <conditionalFormatting sqref="AD6">
    <cfRule type="cellIs" dxfId="32067" priority="87388" stopIfTrue="1" operator="lessThan">
      <formula>0.5</formula>
    </cfRule>
  </conditionalFormatting>
  <conditionalFormatting sqref="AD6">
    <cfRule type="cellIs" dxfId="32066" priority="87389" stopIfTrue="1" operator="greaterThanOrEqual">
      <formula>0.5</formula>
    </cfRule>
  </conditionalFormatting>
  <conditionalFormatting sqref="AF5">
    <cfRule type="cellIs" dxfId="32065" priority="87390" stopIfTrue="1" operator="equal">
      <formula>-1</formula>
    </cfRule>
  </conditionalFormatting>
  <conditionalFormatting sqref="AF5">
    <cfRule type="cellIs" dxfId="32064" priority="87391" stopIfTrue="1" operator="lessThan">
      <formula>0.5</formula>
    </cfRule>
  </conditionalFormatting>
  <conditionalFormatting sqref="AF5">
    <cfRule type="cellIs" dxfId="32063" priority="87392" stopIfTrue="1" operator="greaterThanOrEqual">
      <formula>0.5</formula>
    </cfRule>
  </conditionalFormatting>
  <conditionalFormatting sqref="AF6">
    <cfRule type="cellIs" dxfId="32062" priority="87393" stopIfTrue="1" operator="equal">
      <formula>-1</formula>
    </cfRule>
  </conditionalFormatting>
  <conditionalFormatting sqref="AF6">
    <cfRule type="cellIs" dxfId="32061" priority="87394" stopIfTrue="1" operator="lessThan">
      <formula>0.5</formula>
    </cfRule>
  </conditionalFormatting>
  <conditionalFormatting sqref="AF6">
    <cfRule type="cellIs" dxfId="32060" priority="87395" stopIfTrue="1" operator="greaterThanOrEqual">
      <formula>0.5</formula>
    </cfRule>
  </conditionalFormatting>
  <conditionalFormatting sqref="AH5">
    <cfRule type="cellIs" dxfId="32059" priority="87396" stopIfTrue="1" operator="equal">
      <formula>-1</formula>
    </cfRule>
  </conditionalFormatting>
  <conditionalFormatting sqref="AH5">
    <cfRule type="cellIs" dxfId="32058" priority="87397" stopIfTrue="1" operator="lessThan">
      <formula>0.5</formula>
    </cfRule>
  </conditionalFormatting>
  <conditionalFormatting sqref="AH5">
    <cfRule type="cellIs" dxfId="32057" priority="87398" stopIfTrue="1" operator="greaterThanOrEqual">
      <formula>0.5</formula>
    </cfRule>
  </conditionalFormatting>
  <conditionalFormatting sqref="AH6">
    <cfRule type="cellIs" dxfId="32056" priority="87399" stopIfTrue="1" operator="equal">
      <formula>-1</formula>
    </cfRule>
  </conditionalFormatting>
  <conditionalFormatting sqref="AH6">
    <cfRule type="cellIs" dxfId="32055" priority="87400" stopIfTrue="1" operator="lessThan">
      <formula>0.5</formula>
    </cfRule>
  </conditionalFormatting>
  <conditionalFormatting sqref="AH6">
    <cfRule type="cellIs" dxfId="32054" priority="87401" stopIfTrue="1" operator="greaterThanOrEqual">
      <formula>0.5</formula>
    </cfRule>
  </conditionalFormatting>
  <conditionalFormatting sqref="AJ5">
    <cfRule type="cellIs" dxfId="32053" priority="87402" stopIfTrue="1" operator="equal">
      <formula>-1</formula>
    </cfRule>
  </conditionalFormatting>
  <conditionalFormatting sqref="AJ5">
    <cfRule type="cellIs" dxfId="32052" priority="87403" stopIfTrue="1" operator="lessThan">
      <formula>0.5</formula>
    </cfRule>
  </conditionalFormatting>
  <conditionalFormatting sqref="AJ5">
    <cfRule type="cellIs" dxfId="32051" priority="87404" stopIfTrue="1" operator="greaterThanOrEqual">
      <formula>0.5</formula>
    </cfRule>
  </conditionalFormatting>
  <conditionalFormatting sqref="AJ6">
    <cfRule type="cellIs" dxfId="32050" priority="87405" stopIfTrue="1" operator="equal">
      <formula>-1</formula>
    </cfRule>
  </conditionalFormatting>
  <conditionalFormatting sqref="AJ6">
    <cfRule type="cellIs" dxfId="32049" priority="87406" stopIfTrue="1" operator="lessThan">
      <formula>0.5</formula>
    </cfRule>
  </conditionalFormatting>
  <conditionalFormatting sqref="AJ6">
    <cfRule type="cellIs" dxfId="32048" priority="87407" stopIfTrue="1" operator="greaterThanOrEqual">
      <formula>0.5</formula>
    </cfRule>
  </conditionalFormatting>
  <conditionalFormatting sqref="AL5">
    <cfRule type="cellIs" dxfId="32047" priority="87408" stopIfTrue="1" operator="equal">
      <formula>-1</formula>
    </cfRule>
  </conditionalFormatting>
  <conditionalFormatting sqref="AL5">
    <cfRule type="cellIs" dxfId="32046" priority="87409" stopIfTrue="1" operator="lessThan">
      <formula>0.5</formula>
    </cfRule>
  </conditionalFormatting>
  <conditionalFormatting sqref="AL5">
    <cfRule type="cellIs" dxfId="32045" priority="87410" stopIfTrue="1" operator="greaterThanOrEqual">
      <formula>0.5</formula>
    </cfRule>
  </conditionalFormatting>
  <conditionalFormatting sqref="AL6">
    <cfRule type="cellIs" dxfId="32044" priority="87411" stopIfTrue="1" operator="equal">
      <formula>-1</formula>
    </cfRule>
  </conditionalFormatting>
  <conditionalFormatting sqref="AL6">
    <cfRule type="cellIs" dxfId="32043" priority="87412" stopIfTrue="1" operator="lessThan">
      <formula>0.5</formula>
    </cfRule>
  </conditionalFormatting>
  <conditionalFormatting sqref="AL6">
    <cfRule type="cellIs" dxfId="32042" priority="87413" stopIfTrue="1" operator="greaterThanOrEqual">
      <formula>0.5</formula>
    </cfRule>
  </conditionalFormatting>
  <conditionalFormatting sqref="AN5">
    <cfRule type="cellIs" dxfId="32041" priority="87414" stopIfTrue="1" operator="equal">
      <formula>-1</formula>
    </cfRule>
  </conditionalFormatting>
  <conditionalFormatting sqref="AN5">
    <cfRule type="cellIs" dxfId="32040" priority="87415" stopIfTrue="1" operator="lessThan">
      <formula>0.5</formula>
    </cfRule>
  </conditionalFormatting>
  <conditionalFormatting sqref="AN5">
    <cfRule type="cellIs" dxfId="32039" priority="87416" stopIfTrue="1" operator="greaterThanOrEqual">
      <formula>0.5</formula>
    </cfRule>
  </conditionalFormatting>
  <conditionalFormatting sqref="AN6">
    <cfRule type="cellIs" dxfId="32038" priority="87417" stopIfTrue="1" operator="equal">
      <formula>-1</formula>
    </cfRule>
  </conditionalFormatting>
  <conditionalFormatting sqref="AN6">
    <cfRule type="cellIs" dxfId="32037" priority="87418" stopIfTrue="1" operator="lessThan">
      <formula>0.5</formula>
    </cfRule>
  </conditionalFormatting>
  <conditionalFormatting sqref="AN6">
    <cfRule type="cellIs" dxfId="32036" priority="87419" stopIfTrue="1" operator="greaterThanOrEqual">
      <formula>0.5</formula>
    </cfRule>
  </conditionalFormatting>
  <conditionalFormatting sqref="AP5">
    <cfRule type="cellIs" dxfId="32035" priority="87420" stopIfTrue="1" operator="equal">
      <formula>-1</formula>
    </cfRule>
  </conditionalFormatting>
  <conditionalFormatting sqref="AP5">
    <cfRule type="cellIs" dxfId="32034" priority="87421" stopIfTrue="1" operator="lessThan">
      <formula>0.5</formula>
    </cfRule>
  </conditionalFormatting>
  <conditionalFormatting sqref="AP5">
    <cfRule type="cellIs" dxfId="32033" priority="87422" stopIfTrue="1" operator="greaterThanOrEqual">
      <formula>0.5</formula>
    </cfRule>
  </conditionalFormatting>
  <conditionalFormatting sqref="AP6">
    <cfRule type="cellIs" dxfId="32032" priority="87423" stopIfTrue="1" operator="equal">
      <formula>-1</formula>
    </cfRule>
  </conditionalFormatting>
  <conditionalFormatting sqref="AP6">
    <cfRule type="cellIs" dxfId="32031" priority="87424" stopIfTrue="1" operator="lessThan">
      <formula>0.5</formula>
    </cfRule>
  </conditionalFormatting>
  <conditionalFormatting sqref="AP6">
    <cfRule type="cellIs" dxfId="32030" priority="87425" stopIfTrue="1" operator="greaterThanOrEqual">
      <formula>0.5</formula>
    </cfRule>
  </conditionalFormatting>
  <conditionalFormatting sqref="AR5">
    <cfRule type="cellIs" dxfId="32029" priority="87426" stopIfTrue="1" operator="equal">
      <formula>-1</formula>
    </cfRule>
  </conditionalFormatting>
  <conditionalFormatting sqref="AR5">
    <cfRule type="cellIs" dxfId="32028" priority="87427" stopIfTrue="1" operator="lessThan">
      <formula>0.5</formula>
    </cfRule>
  </conditionalFormatting>
  <conditionalFormatting sqref="AR5">
    <cfRule type="cellIs" dxfId="32027" priority="87428" stopIfTrue="1" operator="greaterThanOrEqual">
      <formula>0.5</formula>
    </cfRule>
  </conditionalFormatting>
  <conditionalFormatting sqref="AR6">
    <cfRule type="cellIs" dxfId="32026" priority="87429" stopIfTrue="1" operator="equal">
      <formula>-1</formula>
    </cfRule>
  </conditionalFormatting>
  <conditionalFormatting sqref="AR6">
    <cfRule type="cellIs" dxfId="32025" priority="87430" stopIfTrue="1" operator="lessThan">
      <formula>0.5</formula>
    </cfRule>
  </conditionalFormatting>
  <conditionalFormatting sqref="AR6">
    <cfRule type="cellIs" dxfId="32024" priority="87431" stopIfTrue="1" operator="greaterThanOrEqual">
      <formula>0.5</formula>
    </cfRule>
  </conditionalFormatting>
  <conditionalFormatting sqref="AT5">
    <cfRule type="cellIs" dxfId="32023" priority="87432" stopIfTrue="1" operator="equal">
      <formula>-1</formula>
    </cfRule>
  </conditionalFormatting>
  <conditionalFormatting sqref="AT5">
    <cfRule type="cellIs" dxfId="32022" priority="87433" stopIfTrue="1" operator="lessThan">
      <formula>0.5</formula>
    </cfRule>
  </conditionalFormatting>
  <conditionalFormatting sqref="AT5">
    <cfRule type="cellIs" dxfId="32021" priority="87434" stopIfTrue="1" operator="greaterThanOrEqual">
      <formula>0.5</formula>
    </cfRule>
  </conditionalFormatting>
  <conditionalFormatting sqref="AT6">
    <cfRule type="cellIs" dxfId="32020" priority="87435" stopIfTrue="1" operator="equal">
      <formula>-1</formula>
    </cfRule>
  </conditionalFormatting>
  <conditionalFormatting sqref="AT6">
    <cfRule type="cellIs" dxfId="32019" priority="87436" stopIfTrue="1" operator="lessThan">
      <formula>0.5</formula>
    </cfRule>
  </conditionalFormatting>
  <conditionalFormatting sqref="AT6">
    <cfRule type="cellIs" dxfId="32018" priority="87437" stopIfTrue="1" operator="greaterThanOrEqual">
      <formula>0.5</formula>
    </cfRule>
  </conditionalFormatting>
  <conditionalFormatting sqref="AV5">
    <cfRule type="cellIs" dxfId="32017" priority="87438" stopIfTrue="1" operator="equal">
      <formula>-1</formula>
    </cfRule>
  </conditionalFormatting>
  <conditionalFormatting sqref="AV5">
    <cfRule type="cellIs" dxfId="32016" priority="87439" stopIfTrue="1" operator="lessThan">
      <formula>0.5</formula>
    </cfRule>
  </conditionalFormatting>
  <conditionalFormatting sqref="AV5">
    <cfRule type="cellIs" dxfId="32015" priority="87440" stopIfTrue="1" operator="greaterThanOrEqual">
      <formula>0.5</formula>
    </cfRule>
  </conditionalFormatting>
  <conditionalFormatting sqref="AV6">
    <cfRule type="cellIs" dxfId="32014" priority="87441" stopIfTrue="1" operator="equal">
      <formula>-1</formula>
    </cfRule>
  </conditionalFormatting>
  <conditionalFormatting sqref="AV6">
    <cfRule type="cellIs" dxfId="32013" priority="87442" stopIfTrue="1" operator="lessThan">
      <formula>0.5</formula>
    </cfRule>
  </conditionalFormatting>
  <conditionalFormatting sqref="AV6">
    <cfRule type="cellIs" dxfId="32012" priority="87443" stopIfTrue="1" operator="greaterThanOrEqual">
      <formula>0.5</formula>
    </cfRule>
  </conditionalFormatting>
  <conditionalFormatting sqref="AX5">
    <cfRule type="cellIs" dxfId="32011" priority="87444" stopIfTrue="1" operator="equal">
      <formula>-1</formula>
    </cfRule>
  </conditionalFormatting>
  <conditionalFormatting sqref="AX5">
    <cfRule type="cellIs" dxfId="32010" priority="87445" stopIfTrue="1" operator="lessThan">
      <formula>0.5</formula>
    </cfRule>
  </conditionalFormatting>
  <conditionalFormatting sqref="AX5">
    <cfRule type="cellIs" dxfId="32009" priority="87446" stopIfTrue="1" operator="greaterThanOrEqual">
      <formula>0.5</formula>
    </cfRule>
  </conditionalFormatting>
  <conditionalFormatting sqref="AX6">
    <cfRule type="cellIs" dxfId="32008" priority="87447" stopIfTrue="1" operator="equal">
      <formula>-1</formula>
    </cfRule>
  </conditionalFormatting>
  <conditionalFormatting sqref="AX6">
    <cfRule type="cellIs" dxfId="32007" priority="87448" stopIfTrue="1" operator="lessThan">
      <formula>0.5</formula>
    </cfRule>
  </conditionalFormatting>
  <conditionalFormatting sqref="AX6">
    <cfRule type="cellIs" dxfId="32006" priority="87449" stopIfTrue="1" operator="greaterThanOrEqual">
      <formula>0.5</formula>
    </cfRule>
  </conditionalFormatting>
  <conditionalFormatting sqref="AZ5">
    <cfRule type="cellIs" dxfId="32005" priority="87450" stopIfTrue="1" operator="equal">
      <formula>-1</formula>
    </cfRule>
  </conditionalFormatting>
  <conditionalFormatting sqref="AZ5">
    <cfRule type="cellIs" dxfId="32004" priority="87451" stopIfTrue="1" operator="lessThan">
      <formula>0.5</formula>
    </cfRule>
  </conditionalFormatting>
  <conditionalFormatting sqref="AZ5">
    <cfRule type="cellIs" dxfId="32003" priority="87452" stopIfTrue="1" operator="greaterThanOrEqual">
      <formula>0.5</formula>
    </cfRule>
  </conditionalFormatting>
  <conditionalFormatting sqref="AZ6">
    <cfRule type="cellIs" dxfId="32002" priority="87453" stopIfTrue="1" operator="equal">
      <formula>-1</formula>
    </cfRule>
  </conditionalFormatting>
  <conditionalFormatting sqref="AZ6">
    <cfRule type="cellIs" dxfId="32001" priority="87454" stopIfTrue="1" operator="lessThan">
      <formula>0.5</formula>
    </cfRule>
  </conditionalFormatting>
  <conditionalFormatting sqref="AZ6">
    <cfRule type="cellIs" dxfId="32000" priority="87455" stopIfTrue="1" operator="greaterThanOrEqual">
      <formula>0.5</formula>
    </cfRule>
  </conditionalFormatting>
  <conditionalFormatting sqref="BB5">
    <cfRule type="cellIs" dxfId="31999" priority="87456" stopIfTrue="1" operator="equal">
      <formula>-1</formula>
    </cfRule>
  </conditionalFormatting>
  <conditionalFormatting sqref="BB5">
    <cfRule type="cellIs" dxfId="31998" priority="87457" stopIfTrue="1" operator="lessThan">
      <formula>0.5</formula>
    </cfRule>
  </conditionalFormatting>
  <conditionalFormatting sqref="BB5">
    <cfRule type="cellIs" dxfId="31997" priority="87458" stopIfTrue="1" operator="greaterThanOrEqual">
      <formula>0.5</formula>
    </cfRule>
  </conditionalFormatting>
  <conditionalFormatting sqref="BB6">
    <cfRule type="cellIs" dxfId="31996" priority="87459" stopIfTrue="1" operator="equal">
      <formula>-1</formula>
    </cfRule>
  </conditionalFormatting>
  <conditionalFormatting sqref="BB6">
    <cfRule type="cellIs" dxfId="31995" priority="87460" stopIfTrue="1" operator="lessThan">
      <formula>0.5</formula>
    </cfRule>
  </conditionalFormatting>
  <conditionalFormatting sqref="BB6">
    <cfRule type="cellIs" dxfId="31994" priority="87461" stopIfTrue="1" operator="greaterThanOrEqual">
      <formula>0.5</formula>
    </cfRule>
  </conditionalFormatting>
  <conditionalFormatting sqref="BD5">
    <cfRule type="cellIs" dxfId="31993" priority="87462" stopIfTrue="1" operator="equal">
      <formula>-1</formula>
    </cfRule>
  </conditionalFormatting>
  <conditionalFormatting sqref="BD5">
    <cfRule type="cellIs" dxfId="31992" priority="87463" stopIfTrue="1" operator="lessThan">
      <formula>0.5</formula>
    </cfRule>
  </conditionalFormatting>
  <conditionalFormatting sqref="BD5">
    <cfRule type="cellIs" dxfId="31991" priority="87464" stopIfTrue="1" operator="greaterThanOrEqual">
      <formula>0.5</formula>
    </cfRule>
  </conditionalFormatting>
  <conditionalFormatting sqref="BD6">
    <cfRule type="cellIs" dxfId="31990" priority="87465" stopIfTrue="1" operator="equal">
      <formula>-1</formula>
    </cfRule>
  </conditionalFormatting>
  <conditionalFormatting sqref="BD6">
    <cfRule type="cellIs" dxfId="31989" priority="87466" stopIfTrue="1" operator="lessThan">
      <formula>0.5</formula>
    </cfRule>
  </conditionalFormatting>
  <conditionalFormatting sqref="BD6">
    <cfRule type="cellIs" dxfId="31988" priority="87467" stopIfTrue="1" operator="greaterThanOrEqual">
      <formula>0.5</formula>
    </cfRule>
  </conditionalFormatting>
  <conditionalFormatting sqref="BF5">
    <cfRule type="cellIs" dxfId="31987" priority="87468" stopIfTrue="1" operator="equal">
      <formula>-1</formula>
    </cfRule>
  </conditionalFormatting>
  <conditionalFormatting sqref="BF5">
    <cfRule type="cellIs" dxfId="31986" priority="87469" stopIfTrue="1" operator="lessThan">
      <formula>0.5</formula>
    </cfRule>
  </conditionalFormatting>
  <conditionalFormatting sqref="BF5">
    <cfRule type="cellIs" dxfId="31985" priority="87470" stopIfTrue="1" operator="greaterThanOrEqual">
      <formula>0.5</formula>
    </cfRule>
  </conditionalFormatting>
  <conditionalFormatting sqref="BF6">
    <cfRule type="cellIs" dxfId="31984" priority="87471" stopIfTrue="1" operator="equal">
      <formula>-1</formula>
    </cfRule>
  </conditionalFormatting>
  <conditionalFormatting sqref="BF6">
    <cfRule type="cellIs" dxfId="31983" priority="87472" stopIfTrue="1" operator="lessThan">
      <formula>0.5</formula>
    </cfRule>
  </conditionalFormatting>
  <conditionalFormatting sqref="BF6">
    <cfRule type="cellIs" dxfId="31982" priority="87473" stopIfTrue="1" operator="greaterThanOrEqual">
      <formula>0.5</formula>
    </cfRule>
  </conditionalFormatting>
  <conditionalFormatting sqref="BH5">
    <cfRule type="cellIs" dxfId="31981" priority="87474" stopIfTrue="1" operator="equal">
      <formula>-1</formula>
    </cfRule>
  </conditionalFormatting>
  <conditionalFormatting sqref="BH5">
    <cfRule type="cellIs" dxfId="31980" priority="87475" stopIfTrue="1" operator="lessThan">
      <formula>0.5</formula>
    </cfRule>
  </conditionalFormatting>
  <conditionalFormatting sqref="BH5">
    <cfRule type="cellIs" dxfId="31979" priority="87476" stopIfTrue="1" operator="greaterThanOrEqual">
      <formula>0.5</formula>
    </cfRule>
  </conditionalFormatting>
  <conditionalFormatting sqref="BH6">
    <cfRule type="cellIs" dxfId="31978" priority="87477" stopIfTrue="1" operator="equal">
      <formula>-1</formula>
    </cfRule>
  </conditionalFormatting>
  <conditionalFormatting sqref="BH6">
    <cfRule type="cellIs" dxfId="31977" priority="87478" stopIfTrue="1" operator="lessThan">
      <formula>0.5</formula>
    </cfRule>
  </conditionalFormatting>
  <conditionalFormatting sqref="BH6">
    <cfRule type="cellIs" dxfId="31976" priority="87479" stopIfTrue="1" operator="greaterThanOrEqual">
      <formula>0.5</formula>
    </cfRule>
  </conditionalFormatting>
  <conditionalFormatting sqref="BJ5">
    <cfRule type="cellIs" dxfId="31975" priority="87480" stopIfTrue="1" operator="equal">
      <formula>-1</formula>
    </cfRule>
  </conditionalFormatting>
  <conditionalFormatting sqref="BJ5">
    <cfRule type="cellIs" dxfId="31974" priority="87481" stopIfTrue="1" operator="lessThan">
      <formula>0.5</formula>
    </cfRule>
  </conditionalFormatting>
  <conditionalFormatting sqref="BJ5">
    <cfRule type="cellIs" dxfId="31973" priority="87482" stopIfTrue="1" operator="greaterThanOrEqual">
      <formula>0.5</formula>
    </cfRule>
  </conditionalFormatting>
  <conditionalFormatting sqref="BJ6">
    <cfRule type="cellIs" dxfId="31972" priority="87483" stopIfTrue="1" operator="equal">
      <formula>-1</formula>
    </cfRule>
  </conditionalFormatting>
  <conditionalFormatting sqref="BJ6">
    <cfRule type="cellIs" dxfId="31971" priority="87484" stopIfTrue="1" operator="lessThan">
      <formula>0.5</formula>
    </cfRule>
  </conditionalFormatting>
  <conditionalFormatting sqref="BJ6">
    <cfRule type="cellIs" dxfId="31970" priority="87485" stopIfTrue="1" operator="greaterThanOrEqual">
      <formula>0.5</formula>
    </cfRule>
  </conditionalFormatting>
  <conditionalFormatting sqref="D8">
    <cfRule type="cellIs" dxfId="31969" priority="87486" stopIfTrue="1" operator="equal">
      <formula>-1</formula>
    </cfRule>
  </conditionalFormatting>
  <conditionalFormatting sqref="D8">
    <cfRule type="cellIs" dxfId="31968" priority="87487" stopIfTrue="1" operator="lessThan">
      <formula>0.5</formula>
    </cfRule>
  </conditionalFormatting>
  <conditionalFormatting sqref="D8">
    <cfRule type="cellIs" dxfId="31967" priority="87488" stopIfTrue="1" operator="greaterThanOrEqual">
      <formula>0.5</formula>
    </cfRule>
  </conditionalFormatting>
  <conditionalFormatting sqref="D9">
    <cfRule type="cellIs" dxfId="31966" priority="87489" stopIfTrue="1" operator="equal">
      <formula>-1</formula>
    </cfRule>
  </conditionalFormatting>
  <conditionalFormatting sqref="D9">
    <cfRule type="cellIs" dxfId="31965" priority="87490" stopIfTrue="1" operator="lessThan">
      <formula>0.5</formula>
    </cfRule>
  </conditionalFormatting>
  <conditionalFormatting sqref="D9">
    <cfRule type="cellIs" dxfId="31964" priority="87491" stopIfTrue="1" operator="greaterThanOrEqual">
      <formula>0.5</formula>
    </cfRule>
  </conditionalFormatting>
  <conditionalFormatting sqref="D10">
    <cfRule type="cellIs" dxfId="31963" priority="87492" stopIfTrue="1" operator="equal">
      <formula>-1</formula>
    </cfRule>
  </conditionalFormatting>
  <conditionalFormatting sqref="D10">
    <cfRule type="cellIs" dxfId="31962" priority="87493" stopIfTrue="1" operator="lessThan">
      <formula>0.5</formula>
    </cfRule>
  </conditionalFormatting>
  <conditionalFormatting sqref="D10">
    <cfRule type="cellIs" dxfId="31961" priority="87494" stopIfTrue="1" operator="greaterThanOrEqual">
      <formula>0.5</formula>
    </cfRule>
  </conditionalFormatting>
  <conditionalFormatting sqref="D11">
    <cfRule type="cellIs" dxfId="31960" priority="87495" stopIfTrue="1" operator="equal">
      <formula>-1</formula>
    </cfRule>
  </conditionalFormatting>
  <conditionalFormatting sqref="D11">
    <cfRule type="cellIs" dxfId="31959" priority="87496" stopIfTrue="1" operator="lessThan">
      <formula>0.5</formula>
    </cfRule>
  </conditionalFormatting>
  <conditionalFormatting sqref="D11">
    <cfRule type="cellIs" dxfId="31958" priority="87497" stopIfTrue="1" operator="greaterThanOrEqual">
      <formula>0.5</formula>
    </cfRule>
  </conditionalFormatting>
  <conditionalFormatting sqref="D12">
    <cfRule type="cellIs" dxfId="31957" priority="87498" stopIfTrue="1" operator="equal">
      <formula>-1</formula>
    </cfRule>
  </conditionalFormatting>
  <conditionalFormatting sqref="D12">
    <cfRule type="cellIs" dxfId="31956" priority="87499" stopIfTrue="1" operator="lessThan">
      <formula>0.5</formula>
    </cfRule>
  </conditionalFormatting>
  <conditionalFormatting sqref="D12">
    <cfRule type="cellIs" dxfId="31955" priority="87500" stopIfTrue="1" operator="greaterThanOrEqual">
      <formula>0.5</formula>
    </cfRule>
  </conditionalFormatting>
  <conditionalFormatting sqref="D13">
    <cfRule type="cellIs" dxfId="31954" priority="87501" stopIfTrue="1" operator="equal">
      <formula>-1</formula>
    </cfRule>
  </conditionalFormatting>
  <conditionalFormatting sqref="D13">
    <cfRule type="cellIs" dxfId="31953" priority="87502" stopIfTrue="1" operator="lessThan">
      <formula>0.5</formula>
    </cfRule>
  </conditionalFormatting>
  <conditionalFormatting sqref="D13">
    <cfRule type="cellIs" dxfId="31952" priority="87503" stopIfTrue="1" operator="greaterThanOrEqual">
      <formula>0.5</formula>
    </cfRule>
  </conditionalFormatting>
  <conditionalFormatting sqref="D14">
    <cfRule type="cellIs" dxfId="31951" priority="87504" stopIfTrue="1" operator="equal">
      <formula>-1</formula>
    </cfRule>
  </conditionalFormatting>
  <conditionalFormatting sqref="D14">
    <cfRule type="cellIs" dxfId="31950" priority="87505" stopIfTrue="1" operator="lessThan">
      <formula>0.5</formula>
    </cfRule>
  </conditionalFormatting>
  <conditionalFormatting sqref="D14">
    <cfRule type="cellIs" dxfId="31949" priority="87506" stopIfTrue="1" operator="greaterThanOrEqual">
      <formula>0.5</formula>
    </cfRule>
  </conditionalFormatting>
  <conditionalFormatting sqref="D15">
    <cfRule type="cellIs" dxfId="31948" priority="87507" stopIfTrue="1" operator="equal">
      <formula>-1</formula>
    </cfRule>
  </conditionalFormatting>
  <conditionalFormatting sqref="D15">
    <cfRule type="cellIs" dxfId="31947" priority="87508" stopIfTrue="1" operator="lessThan">
      <formula>0.5</formula>
    </cfRule>
  </conditionalFormatting>
  <conditionalFormatting sqref="D15">
    <cfRule type="cellIs" dxfId="31946" priority="87509" stopIfTrue="1" operator="greaterThanOrEqual">
      <formula>0.5</formula>
    </cfRule>
  </conditionalFormatting>
  <conditionalFormatting sqref="F8">
    <cfRule type="cellIs" dxfId="31945" priority="87510" stopIfTrue="1" operator="equal">
      <formula>-1</formula>
    </cfRule>
  </conditionalFormatting>
  <conditionalFormatting sqref="F8">
    <cfRule type="cellIs" dxfId="31944" priority="87511" stopIfTrue="1" operator="lessThan">
      <formula>0.5</formula>
    </cfRule>
  </conditionalFormatting>
  <conditionalFormatting sqref="F8">
    <cfRule type="cellIs" dxfId="31943" priority="87512" stopIfTrue="1" operator="greaterThanOrEqual">
      <formula>0.5</formula>
    </cfRule>
  </conditionalFormatting>
  <conditionalFormatting sqref="F9">
    <cfRule type="cellIs" dxfId="31942" priority="87513" stopIfTrue="1" operator="equal">
      <formula>-1</formula>
    </cfRule>
  </conditionalFormatting>
  <conditionalFormatting sqref="F9">
    <cfRule type="cellIs" dxfId="31941" priority="87514" stopIfTrue="1" operator="lessThan">
      <formula>0.5</formula>
    </cfRule>
  </conditionalFormatting>
  <conditionalFormatting sqref="F9">
    <cfRule type="cellIs" dxfId="31940" priority="87515" stopIfTrue="1" operator="greaterThanOrEqual">
      <formula>0.5</formula>
    </cfRule>
  </conditionalFormatting>
  <conditionalFormatting sqref="F10">
    <cfRule type="cellIs" dxfId="31939" priority="87516" stopIfTrue="1" operator="equal">
      <formula>-1</formula>
    </cfRule>
  </conditionalFormatting>
  <conditionalFormatting sqref="F10">
    <cfRule type="cellIs" dxfId="31938" priority="87517" stopIfTrue="1" operator="lessThan">
      <formula>0.5</formula>
    </cfRule>
  </conditionalFormatting>
  <conditionalFormatting sqref="F10">
    <cfRule type="cellIs" dxfId="31937" priority="87518" stopIfTrue="1" operator="greaterThanOrEqual">
      <formula>0.5</formula>
    </cfRule>
  </conditionalFormatting>
  <conditionalFormatting sqref="F11">
    <cfRule type="cellIs" dxfId="31936" priority="87519" stopIfTrue="1" operator="equal">
      <formula>-1</formula>
    </cfRule>
  </conditionalFormatting>
  <conditionalFormatting sqref="F11">
    <cfRule type="cellIs" dxfId="31935" priority="87520" stopIfTrue="1" operator="lessThan">
      <formula>0.5</formula>
    </cfRule>
  </conditionalFormatting>
  <conditionalFormatting sqref="F11">
    <cfRule type="cellIs" dxfId="31934" priority="87521" stopIfTrue="1" operator="greaterThanOrEqual">
      <formula>0.5</formula>
    </cfRule>
  </conditionalFormatting>
  <conditionalFormatting sqref="F12">
    <cfRule type="cellIs" dxfId="31933" priority="87522" stopIfTrue="1" operator="equal">
      <formula>-1</formula>
    </cfRule>
  </conditionalFormatting>
  <conditionalFormatting sqref="F12">
    <cfRule type="cellIs" dxfId="31932" priority="87523" stopIfTrue="1" operator="lessThan">
      <formula>0.5</formula>
    </cfRule>
  </conditionalFormatting>
  <conditionalFormatting sqref="F12">
    <cfRule type="cellIs" dxfId="31931" priority="87524" stopIfTrue="1" operator="greaterThanOrEqual">
      <formula>0.5</formula>
    </cfRule>
  </conditionalFormatting>
  <conditionalFormatting sqref="F13">
    <cfRule type="cellIs" dxfId="31930" priority="87525" stopIfTrue="1" operator="equal">
      <formula>-1</formula>
    </cfRule>
  </conditionalFormatting>
  <conditionalFormatting sqref="F13">
    <cfRule type="cellIs" dxfId="31929" priority="87526" stopIfTrue="1" operator="lessThan">
      <formula>0.5</formula>
    </cfRule>
  </conditionalFormatting>
  <conditionalFormatting sqref="F13">
    <cfRule type="cellIs" dxfId="31928" priority="87527" stopIfTrue="1" operator="greaterThanOrEqual">
      <formula>0.5</formula>
    </cfRule>
  </conditionalFormatting>
  <conditionalFormatting sqref="F14">
    <cfRule type="cellIs" dxfId="31927" priority="87528" stopIfTrue="1" operator="equal">
      <formula>-1</formula>
    </cfRule>
  </conditionalFormatting>
  <conditionalFormatting sqref="F14">
    <cfRule type="cellIs" dxfId="31926" priority="87529" stopIfTrue="1" operator="lessThan">
      <formula>0.5</formula>
    </cfRule>
  </conditionalFormatting>
  <conditionalFormatting sqref="F14">
    <cfRule type="cellIs" dxfId="31925" priority="87530" stopIfTrue="1" operator="greaterThanOrEqual">
      <formula>0.5</formula>
    </cfRule>
  </conditionalFormatting>
  <conditionalFormatting sqref="F15">
    <cfRule type="cellIs" dxfId="31924" priority="87531" stopIfTrue="1" operator="equal">
      <formula>-1</formula>
    </cfRule>
  </conditionalFormatting>
  <conditionalFormatting sqref="F15">
    <cfRule type="cellIs" dxfId="31923" priority="87532" stopIfTrue="1" operator="lessThan">
      <formula>0.5</formula>
    </cfRule>
  </conditionalFormatting>
  <conditionalFormatting sqref="F15">
    <cfRule type="cellIs" dxfId="31922" priority="87533" stopIfTrue="1" operator="greaterThanOrEqual">
      <formula>0.5</formula>
    </cfRule>
  </conditionalFormatting>
  <conditionalFormatting sqref="H8">
    <cfRule type="cellIs" dxfId="31921" priority="87534" stopIfTrue="1" operator="equal">
      <formula>-1</formula>
    </cfRule>
  </conditionalFormatting>
  <conditionalFormatting sqref="H8">
    <cfRule type="cellIs" dxfId="31920" priority="87535" stopIfTrue="1" operator="lessThan">
      <formula>0.5</formula>
    </cfRule>
  </conditionalFormatting>
  <conditionalFormatting sqref="H8">
    <cfRule type="cellIs" dxfId="31919" priority="87536" stopIfTrue="1" operator="greaterThanOrEqual">
      <formula>0.5</formula>
    </cfRule>
  </conditionalFormatting>
  <conditionalFormatting sqref="H9">
    <cfRule type="cellIs" dxfId="31918" priority="87537" stopIfTrue="1" operator="equal">
      <formula>-1</formula>
    </cfRule>
  </conditionalFormatting>
  <conditionalFormatting sqref="H9">
    <cfRule type="cellIs" dxfId="31917" priority="87538" stopIfTrue="1" operator="lessThan">
      <formula>0.5</formula>
    </cfRule>
  </conditionalFormatting>
  <conditionalFormatting sqref="H9">
    <cfRule type="cellIs" dxfId="31916" priority="87539" stopIfTrue="1" operator="greaterThanOrEqual">
      <formula>0.5</formula>
    </cfRule>
  </conditionalFormatting>
  <conditionalFormatting sqref="H10">
    <cfRule type="cellIs" dxfId="31915" priority="87540" stopIfTrue="1" operator="equal">
      <formula>-1</formula>
    </cfRule>
  </conditionalFormatting>
  <conditionalFormatting sqref="H10">
    <cfRule type="cellIs" dxfId="31914" priority="87541" stopIfTrue="1" operator="lessThan">
      <formula>0.5</formula>
    </cfRule>
  </conditionalFormatting>
  <conditionalFormatting sqref="H10">
    <cfRule type="cellIs" dxfId="31913" priority="87542" stopIfTrue="1" operator="greaterThanOrEqual">
      <formula>0.5</formula>
    </cfRule>
  </conditionalFormatting>
  <conditionalFormatting sqref="H11">
    <cfRule type="cellIs" dxfId="31912" priority="87543" stopIfTrue="1" operator="equal">
      <formula>-1</formula>
    </cfRule>
  </conditionalFormatting>
  <conditionalFormatting sqref="H11">
    <cfRule type="cellIs" dxfId="31911" priority="87544" stopIfTrue="1" operator="lessThan">
      <formula>0.5</formula>
    </cfRule>
  </conditionalFormatting>
  <conditionalFormatting sqref="H11">
    <cfRule type="cellIs" dxfId="31910" priority="87545" stopIfTrue="1" operator="greaterThanOrEqual">
      <formula>0.5</formula>
    </cfRule>
  </conditionalFormatting>
  <conditionalFormatting sqref="H12">
    <cfRule type="cellIs" dxfId="31909" priority="87546" stopIfTrue="1" operator="equal">
      <formula>-1</formula>
    </cfRule>
  </conditionalFormatting>
  <conditionalFormatting sqref="H12">
    <cfRule type="cellIs" dxfId="31908" priority="87547" stopIfTrue="1" operator="lessThan">
      <formula>0.5</formula>
    </cfRule>
  </conditionalFormatting>
  <conditionalFormatting sqref="H12">
    <cfRule type="cellIs" dxfId="31907" priority="87548" stopIfTrue="1" operator="greaterThanOrEqual">
      <formula>0.5</formula>
    </cfRule>
  </conditionalFormatting>
  <conditionalFormatting sqref="H13">
    <cfRule type="cellIs" dxfId="31906" priority="87549" stopIfTrue="1" operator="equal">
      <formula>-1</formula>
    </cfRule>
  </conditionalFormatting>
  <conditionalFormatting sqref="H13">
    <cfRule type="cellIs" dxfId="31905" priority="87550" stopIfTrue="1" operator="lessThan">
      <formula>0.5</formula>
    </cfRule>
  </conditionalFormatting>
  <conditionalFormatting sqref="H13">
    <cfRule type="cellIs" dxfId="31904" priority="87551" stopIfTrue="1" operator="greaterThanOrEqual">
      <formula>0.5</formula>
    </cfRule>
  </conditionalFormatting>
  <conditionalFormatting sqref="H14">
    <cfRule type="cellIs" dxfId="31903" priority="87552" stopIfTrue="1" operator="equal">
      <formula>-1</formula>
    </cfRule>
  </conditionalFormatting>
  <conditionalFormatting sqref="H14">
    <cfRule type="cellIs" dxfId="31902" priority="87553" stopIfTrue="1" operator="lessThan">
      <formula>0.5</formula>
    </cfRule>
  </conditionalFormatting>
  <conditionalFormatting sqref="H14">
    <cfRule type="cellIs" dxfId="31901" priority="87554" stopIfTrue="1" operator="greaterThanOrEqual">
      <formula>0.5</formula>
    </cfRule>
  </conditionalFormatting>
  <conditionalFormatting sqref="H15">
    <cfRule type="cellIs" dxfId="31900" priority="87555" stopIfTrue="1" operator="equal">
      <formula>-1</formula>
    </cfRule>
  </conditionalFormatting>
  <conditionalFormatting sqref="H15">
    <cfRule type="cellIs" dxfId="31899" priority="87556" stopIfTrue="1" operator="lessThan">
      <formula>0.5</formula>
    </cfRule>
  </conditionalFormatting>
  <conditionalFormatting sqref="H15">
    <cfRule type="cellIs" dxfId="31898" priority="87557" stopIfTrue="1" operator="greaterThanOrEqual">
      <formula>0.5</formula>
    </cfRule>
  </conditionalFormatting>
  <conditionalFormatting sqref="J8">
    <cfRule type="cellIs" dxfId="31897" priority="87558" stopIfTrue="1" operator="equal">
      <formula>-1</formula>
    </cfRule>
  </conditionalFormatting>
  <conditionalFormatting sqref="J8">
    <cfRule type="cellIs" dxfId="31896" priority="87559" stopIfTrue="1" operator="lessThan">
      <formula>0.5</formula>
    </cfRule>
  </conditionalFormatting>
  <conditionalFormatting sqref="J8">
    <cfRule type="cellIs" dxfId="31895" priority="87560" stopIfTrue="1" operator="greaterThanOrEqual">
      <formula>0.5</formula>
    </cfRule>
  </conditionalFormatting>
  <conditionalFormatting sqref="J9">
    <cfRule type="cellIs" dxfId="31894" priority="87561" stopIfTrue="1" operator="equal">
      <formula>-1</formula>
    </cfRule>
  </conditionalFormatting>
  <conditionalFormatting sqref="J9">
    <cfRule type="cellIs" dxfId="31893" priority="87562" stopIfTrue="1" operator="lessThan">
      <formula>0.5</formula>
    </cfRule>
  </conditionalFormatting>
  <conditionalFormatting sqref="J9">
    <cfRule type="cellIs" dxfId="31892" priority="87563" stopIfTrue="1" operator="greaterThanOrEqual">
      <formula>0.5</formula>
    </cfRule>
  </conditionalFormatting>
  <conditionalFormatting sqref="J10">
    <cfRule type="cellIs" dxfId="31891" priority="87564" stopIfTrue="1" operator="equal">
      <formula>-1</formula>
    </cfRule>
  </conditionalFormatting>
  <conditionalFormatting sqref="J10">
    <cfRule type="cellIs" dxfId="31890" priority="87565" stopIfTrue="1" operator="lessThan">
      <formula>0.5</formula>
    </cfRule>
  </conditionalFormatting>
  <conditionalFormatting sqref="J10">
    <cfRule type="cellIs" dxfId="31889" priority="87566" stopIfTrue="1" operator="greaterThanOrEqual">
      <formula>0.5</formula>
    </cfRule>
  </conditionalFormatting>
  <conditionalFormatting sqref="J11">
    <cfRule type="cellIs" dxfId="31888" priority="87567" stopIfTrue="1" operator="equal">
      <formula>-1</formula>
    </cfRule>
  </conditionalFormatting>
  <conditionalFormatting sqref="J11">
    <cfRule type="cellIs" dxfId="31887" priority="87568" stopIfTrue="1" operator="lessThan">
      <formula>0.5</formula>
    </cfRule>
  </conditionalFormatting>
  <conditionalFormatting sqref="J11">
    <cfRule type="cellIs" dxfId="31886" priority="87569" stopIfTrue="1" operator="greaterThanOrEqual">
      <formula>0.5</formula>
    </cfRule>
  </conditionalFormatting>
  <conditionalFormatting sqref="J12">
    <cfRule type="cellIs" dxfId="31885" priority="87570" stopIfTrue="1" operator="equal">
      <formula>-1</formula>
    </cfRule>
  </conditionalFormatting>
  <conditionalFormatting sqref="J12">
    <cfRule type="cellIs" dxfId="31884" priority="87571" stopIfTrue="1" operator="lessThan">
      <formula>0.5</formula>
    </cfRule>
  </conditionalFormatting>
  <conditionalFormatting sqref="J12">
    <cfRule type="cellIs" dxfId="31883" priority="87572" stopIfTrue="1" operator="greaterThanOrEqual">
      <formula>0.5</formula>
    </cfRule>
  </conditionalFormatting>
  <conditionalFormatting sqref="J13">
    <cfRule type="cellIs" dxfId="31882" priority="87573" stopIfTrue="1" operator="equal">
      <formula>-1</formula>
    </cfRule>
  </conditionalFormatting>
  <conditionalFormatting sqref="J13">
    <cfRule type="cellIs" dxfId="31881" priority="87574" stopIfTrue="1" operator="lessThan">
      <formula>0.5</formula>
    </cfRule>
  </conditionalFormatting>
  <conditionalFormatting sqref="J13">
    <cfRule type="cellIs" dxfId="31880" priority="87575" stopIfTrue="1" operator="greaterThanOrEqual">
      <formula>0.5</formula>
    </cfRule>
  </conditionalFormatting>
  <conditionalFormatting sqref="J14">
    <cfRule type="cellIs" dxfId="31879" priority="87576" stopIfTrue="1" operator="equal">
      <formula>-1</formula>
    </cfRule>
  </conditionalFormatting>
  <conditionalFormatting sqref="J14">
    <cfRule type="cellIs" dxfId="31878" priority="87577" stopIfTrue="1" operator="lessThan">
      <formula>0.5</formula>
    </cfRule>
  </conditionalFormatting>
  <conditionalFormatting sqref="J14">
    <cfRule type="cellIs" dxfId="31877" priority="87578" stopIfTrue="1" operator="greaterThanOrEqual">
      <formula>0.5</formula>
    </cfRule>
  </conditionalFormatting>
  <conditionalFormatting sqref="J15">
    <cfRule type="cellIs" dxfId="31876" priority="87579" stopIfTrue="1" operator="equal">
      <formula>-1</formula>
    </cfRule>
  </conditionalFormatting>
  <conditionalFormatting sqref="J15">
    <cfRule type="cellIs" dxfId="31875" priority="87580" stopIfTrue="1" operator="lessThan">
      <formula>0.5</formula>
    </cfRule>
  </conditionalFormatting>
  <conditionalFormatting sqref="J15">
    <cfRule type="cellIs" dxfId="31874" priority="87581" stopIfTrue="1" operator="greaterThanOrEqual">
      <formula>0.5</formula>
    </cfRule>
  </conditionalFormatting>
  <conditionalFormatting sqref="L8">
    <cfRule type="cellIs" dxfId="31873" priority="87582" stopIfTrue="1" operator="equal">
      <formula>-1</formula>
    </cfRule>
  </conditionalFormatting>
  <conditionalFormatting sqref="L8">
    <cfRule type="cellIs" dxfId="31872" priority="87583" stopIfTrue="1" operator="lessThan">
      <formula>0.5</formula>
    </cfRule>
  </conditionalFormatting>
  <conditionalFormatting sqref="L8">
    <cfRule type="cellIs" dxfId="31871" priority="87584" stopIfTrue="1" operator="greaterThanOrEqual">
      <formula>0.5</formula>
    </cfRule>
  </conditionalFormatting>
  <conditionalFormatting sqref="L9">
    <cfRule type="cellIs" dxfId="31870" priority="87585" stopIfTrue="1" operator="equal">
      <formula>-1</formula>
    </cfRule>
  </conditionalFormatting>
  <conditionalFormatting sqref="L9">
    <cfRule type="cellIs" dxfId="31869" priority="87586" stopIfTrue="1" operator="lessThan">
      <formula>0.5</formula>
    </cfRule>
  </conditionalFormatting>
  <conditionalFormatting sqref="L9">
    <cfRule type="cellIs" dxfId="31868" priority="87587" stopIfTrue="1" operator="greaterThanOrEqual">
      <formula>0.5</formula>
    </cfRule>
  </conditionalFormatting>
  <conditionalFormatting sqref="L10">
    <cfRule type="cellIs" dxfId="31867" priority="87588" stopIfTrue="1" operator="equal">
      <formula>-1</formula>
    </cfRule>
  </conditionalFormatting>
  <conditionalFormatting sqref="L10">
    <cfRule type="cellIs" dxfId="31866" priority="87589" stopIfTrue="1" operator="lessThan">
      <formula>0.5</formula>
    </cfRule>
  </conditionalFormatting>
  <conditionalFormatting sqref="L10">
    <cfRule type="cellIs" dxfId="31865" priority="87590" stopIfTrue="1" operator="greaterThanOrEqual">
      <formula>0.5</formula>
    </cfRule>
  </conditionalFormatting>
  <conditionalFormatting sqref="L11">
    <cfRule type="cellIs" dxfId="31864" priority="87591" stopIfTrue="1" operator="equal">
      <formula>-1</formula>
    </cfRule>
  </conditionalFormatting>
  <conditionalFormatting sqref="L11">
    <cfRule type="cellIs" dxfId="31863" priority="87592" stopIfTrue="1" operator="lessThan">
      <formula>0.5</formula>
    </cfRule>
  </conditionalFormatting>
  <conditionalFormatting sqref="L11">
    <cfRule type="cellIs" dxfId="31862" priority="87593" stopIfTrue="1" operator="greaterThanOrEqual">
      <formula>0.5</formula>
    </cfRule>
  </conditionalFormatting>
  <conditionalFormatting sqref="L12">
    <cfRule type="cellIs" dxfId="31861" priority="87594" stopIfTrue="1" operator="equal">
      <formula>-1</formula>
    </cfRule>
  </conditionalFormatting>
  <conditionalFormatting sqref="L12">
    <cfRule type="cellIs" dxfId="31860" priority="87595" stopIfTrue="1" operator="lessThan">
      <formula>0.5</formula>
    </cfRule>
  </conditionalFormatting>
  <conditionalFormatting sqref="L12">
    <cfRule type="cellIs" dxfId="31859" priority="87596" stopIfTrue="1" operator="greaterThanOrEqual">
      <formula>0.5</formula>
    </cfRule>
  </conditionalFormatting>
  <conditionalFormatting sqref="L13">
    <cfRule type="cellIs" dxfId="31858" priority="87597" stopIfTrue="1" operator="equal">
      <formula>-1</formula>
    </cfRule>
  </conditionalFormatting>
  <conditionalFormatting sqref="L13">
    <cfRule type="cellIs" dxfId="31857" priority="87598" stopIfTrue="1" operator="lessThan">
      <formula>0.5</formula>
    </cfRule>
  </conditionalFormatting>
  <conditionalFormatting sqref="L13">
    <cfRule type="cellIs" dxfId="31856" priority="87599" stopIfTrue="1" operator="greaterThanOrEqual">
      <formula>0.5</formula>
    </cfRule>
  </conditionalFormatting>
  <conditionalFormatting sqref="L14">
    <cfRule type="cellIs" dxfId="31855" priority="87600" stopIfTrue="1" operator="equal">
      <formula>-1</formula>
    </cfRule>
  </conditionalFormatting>
  <conditionalFormatting sqref="L14">
    <cfRule type="cellIs" dxfId="31854" priority="87601" stopIfTrue="1" operator="lessThan">
      <formula>0.5</formula>
    </cfRule>
  </conditionalFormatting>
  <conditionalFormatting sqref="L14">
    <cfRule type="cellIs" dxfId="31853" priority="87602" stopIfTrue="1" operator="greaterThanOrEqual">
      <formula>0.5</formula>
    </cfRule>
  </conditionalFormatting>
  <conditionalFormatting sqref="L15">
    <cfRule type="cellIs" dxfId="31852" priority="87603" stopIfTrue="1" operator="equal">
      <formula>-1</formula>
    </cfRule>
  </conditionalFormatting>
  <conditionalFormatting sqref="L15">
    <cfRule type="cellIs" dxfId="31851" priority="87604" stopIfTrue="1" operator="lessThan">
      <formula>0.5</formula>
    </cfRule>
  </conditionalFormatting>
  <conditionalFormatting sqref="L15">
    <cfRule type="cellIs" dxfId="31850" priority="87605" stopIfTrue="1" operator="greaterThanOrEqual">
      <formula>0.5</formula>
    </cfRule>
  </conditionalFormatting>
  <conditionalFormatting sqref="N8">
    <cfRule type="cellIs" dxfId="31849" priority="87606" stopIfTrue="1" operator="equal">
      <formula>-1</formula>
    </cfRule>
  </conditionalFormatting>
  <conditionalFormatting sqref="N8">
    <cfRule type="cellIs" dxfId="31848" priority="87607" stopIfTrue="1" operator="lessThan">
      <formula>0.5</formula>
    </cfRule>
  </conditionalFormatting>
  <conditionalFormatting sqref="N8">
    <cfRule type="cellIs" dxfId="31847" priority="87608" stopIfTrue="1" operator="greaterThanOrEqual">
      <formula>0.5</formula>
    </cfRule>
  </conditionalFormatting>
  <conditionalFormatting sqref="N9">
    <cfRule type="cellIs" dxfId="31846" priority="87609" stopIfTrue="1" operator="equal">
      <formula>-1</formula>
    </cfRule>
  </conditionalFormatting>
  <conditionalFormatting sqref="N9">
    <cfRule type="cellIs" dxfId="31845" priority="87610" stopIfTrue="1" operator="lessThan">
      <formula>0.5</formula>
    </cfRule>
  </conditionalFormatting>
  <conditionalFormatting sqref="N9">
    <cfRule type="cellIs" dxfId="31844" priority="87611" stopIfTrue="1" operator="greaterThanOrEqual">
      <formula>0.5</formula>
    </cfRule>
  </conditionalFormatting>
  <conditionalFormatting sqref="N10">
    <cfRule type="cellIs" dxfId="31843" priority="87612" stopIfTrue="1" operator="equal">
      <formula>-1</formula>
    </cfRule>
  </conditionalFormatting>
  <conditionalFormatting sqref="N10">
    <cfRule type="cellIs" dxfId="31842" priority="87613" stopIfTrue="1" operator="lessThan">
      <formula>0.5</formula>
    </cfRule>
  </conditionalFormatting>
  <conditionalFormatting sqref="N10">
    <cfRule type="cellIs" dxfId="31841" priority="87614" stopIfTrue="1" operator="greaterThanOrEqual">
      <formula>0.5</formula>
    </cfRule>
  </conditionalFormatting>
  <conditionalFormatting sqref="N11">
    <cfRule type="cellIs" dxfId="31840" priority="87615" stopIfTrue="1" operator="equal">
      <formula>-1</formula>
    </cfRule>
  </conditionalFormatting>
  <conditionalFormatting sqref="N11">
    <cfRule type="cellIs" dxfId="31839" priority="87616" stopIfTrue="1" operator="lessThan">
      <formula>0.5</formula>
    </cfRule>
  </conditionalFormatting>
  <conditionalFormatting sqref="N11">
    <cfRule type="cellIs" dxfId="31838" priority="87617" stopIfTrue="1" operator="greaterThanOrEqual">
      <formula>0.5</formula>
    </cfRule>
  </conditionalFormatting>
  <conditionalFormatting sqref="N12">
    <cfRule type="cellIs" dxfId="31837" priority="87618" stopIfTrue="1" operator="equal">
      <formula>-1</formula>
    </cfRule>
  </conditionalFormatting>
  <conditionalFormatting sqref="N12">
    <cfRule type="cellIs" dxfId="31836" priority="87619" stopIfTrue="1" operator="lessThan">
      <formula>0.5</formula>
    </cfRule>
  </conditionalFormatting>
  <conditionalFormatting sqref="N12">
    <cfRule type="cellIs" dxfId="31835" priority="87620" stopIfTrue="1" operator="greaterThanOrEqual">
      <formula>0.5</formula>
    </cfRule>
  </conditionalFormatting>
  <conditionalFormatting sqref="N13">
    <cfRule type="cellIs" dxfId="31834" priority="87621" stopIfTrue="1" operator="equal">
      <formula>-1</formula>
    </cfRule>
  </conditionalFormatting>
  <conditionalFormatting sqref="N13">
    <cfRule type="cellIs" dxfId="31833" priority="87622" stopIfTrue="1" operator="lessThan">
      <formula>0.5</formula>
    </cfRule>
  </conditionalFormatting>
  <conditionalFormatting sqref="N13">
    <cfRule type="cellIs" dxfId="31832" priority="87623" stopIfTrue="1" operator="greaterThanOrEqual">
      <formula>0.5</formula>
    </cfRule>
  </conditionalFormatting>
  <conditionalFormatting sqref="N14">
    <cfRule type="cellIs" dxfId="31831" priority="87624" stopIfTrue="1" operator="equal">
      <formula>-1</formula>
    </cfRule>
  </conditionalFormatting>
  <conditionalFormatting sqref="N14">
    <cfRule type="cellIs" dxfId="31830" priority="87625" stopIfTrue="1" operator="lessThan">
      <formula>0.5</formula>
    </cfRule>
  </conditionalFormatting>
  <conditionalFormatting sqref="N14">
    <cfRule type="cellIs" dxfId="31829" priority="87626" stopIfTrue="1" operator="greaterThanOrEqual">
      <formula>0.5</formula>
    </cfRule>
  </conditionalFormatting>
  <conditionalFormatting sqref="N15">
    <cfRule type="cellIs" dxfId="31828" priority="87627" stopIfTrue="1" operator="equal">
      <formula>-1</formula>
    </cfRule>
  </conditionalFormatting>
  <conditionalFormatting sqref="N15">
    <cfRule type="cellIs" dxfId="31827" priority="87628" stopIfTrue="1" operator="lessThan">
      <formula>0.5</formula>
    </cfRule>
  </conditionalFormatting>
  <conditionalFormatting sqref="N15">
    <cfRule type="cellIs" dxfId="31826" priority="87629" stopIfTrue="1" operator="greaterThanOrEqual">
      <formula>0.5</formula>
    </cfRule>
  </conditionalFormatting>
  <conditionalFormatting sqref="P8">
    <cfRule type="cellIs" dxfId="31825" priority="87630" stopIfTrue="1" operator="equal">
      <formula>-1</formula>
    </cfRule>
  </conditionalFormatting>
  <conditionalFormatting sqref="P8">
    <cfRule type="cellIs" dxfId="31824" priority="87631" stopIfTrue="1" operator="lessThan">
      <formula>0.5</formula>
    </cfRule>
  </conditionalFormatting>
  <conditionalFormatting sqref="P8">
    <cfRule type="cellIs" dxfId="31823" priority="87632" stopIfTrue="1" operator="greaterThanOrEqual">
      <formula>0.5</formula>
    </cfRule>
  </conditionalFormatting>
  <conditionalFormatting sqref="P9">
    <cfRule type="cellIs" dxfId="31822" priority="87633" stopIfTrue="1" operator="equal">
      <formula>-1</formula>
    </cfRule>
  </conditionalFormatting>
  <conditionalFormatting sqref="P9">
    <cfRule type="cellIs" dxfId="31821" priority="87634" stopIfTrue="1" operator="lessThan">
      <formula>0.5</formula>
    </cfRule>
  </conditionalFormatting>
  <conditionalFormatting sqref="P9">
    <cfRule type="cellIs" dxfId="31820" priority="87635" stopIfTrue="1" operator="greaterThanOrEqual">
      <formula>0.5</formula>
    </cfRule>
  </conditionalFormatting>
  <conditionalFormatting sqref="P10">
    <cfRule type="cellIs" dxfId="31819" priority="87636" stopIfTrue="1" operator="equal">
      <formula>-1</formula>
    </cfRule>
  </conditionalFormatting>
  <conditionalFormatting sqref="P10">
    <cfRule type="cellIs" dxfId="31818" priority="87637" stopIfTrue="1" operator="lessThan">
      <formula>0.5</formula>
    </cfRule>
  </conditionalFormatting>
  <conditionalFormatting sqref="P10">
    <cfRule type="cellIs" dxfId="31817" priority="87638" stopIfTrue="1" operator="greaterThanOrEqual">
      <formula>0.5</formula>
    </cfRule>
  </conditionalFormatting>
  <conditionalFormatting sqref="P11">
    <cfRule type="cellIs" dxfId="31816" priority="87639" stopIfTrue="1" operator="equal">
      <formula>-1</formula>
    </cfRule>
  </conditionalFormatting>
  <conditionalFormatting sqref="P11">
    <cfRule type="cellIs" dxfId="31815" priority="87640" stopIfTrue="1" operator="lessThan">
      <formula>0.5</formula>
    </cfRule>
  </conditionalFormatting>
  <conditionalFormatting sqref="P11">
    <cfRule type="cellIs" dxfId="31814" priority="87641" stopIfTrue="1" operator="greaterThanOrEqual">
      <formula>0.5</formula>
    </cfRule>
  </conditionalFormatting>
  <conditionalFormatting sqref="P12">
    <cfRule type="cellIs" dxfId="31813" priority="87642" stopIfTrue="1" operator="equal">
      <formula>-1</formula>
    </cfRule>
  </conditionalFormatting>
  <conditionalFormatting sqref="P12">
    <cfRule type="cellIs" dxfId="31812" priority="87643" stopIfTrue="1" operator="lessThan">
      <formula>0.5</formula>
    </cfRule>
  </conditionalFormatting>
  <conditionalFormatting sqref="P12">
    <cfRule type="cellIs" dxfId="31811" priority="87644" stopIfTrue="1" operator="greaterThanOrEqual">
      <formula>0.5</formula>
    </cfRule>
  </conditionalFormatting>
  <conditionalFormatting sqref="P13">
    <cfRule type="cellIs" dxfId="31810" priority="87645" stopIfTrue="1" operator="equal">
      <formula>-1</formula>
    </cfRule>
  </conditionalFormatting>
  <conditionalFormatting sqref="P13">
    <cfRule type="cellIs" dxfId="31809" priority="87646" stopIfTrue="1" operator="lessThan">
      <formula>0.5</formula>
    </cfRule>
  </conditionalFormatting>
  <conditionalFormatting sqref="P13">
    <cfRule type="cellIs" dxfId="31808" priority="87647" stopIfTrue="1" operator="greaterThanOrEqual">
      <formula>0.5</formula>
    </cfRule>
  </conditionalFormatting>
  <conditionalFormatting sqref="P14">
    <cfRule type="cellIs" dxfId="31807" priority="87648" stopIfTrue="1" operator="equal">
      <formula>-1</formula>
    </cfRule>
  </conditionalFormatting>
  <conditionalFormatting sqref="P14">
    <cfRule type="cellIs" dxfId="31806" priority="87649" stopIfTrue="1" operator="lessThan">
      <formula>0.5</formula>
    </cfRule>
  </conditionalFormatting>
  <conditionalFormatting sqref="P14">
    <cfRule type="cellIs" dxfId="31805" priority="87650" stopIfTrue="1" operator="greaterThanOrEqual">
      <formula>0.5</formula>
    </cfRule>
  </conditionalFormatting>
  <conditionalFormatting sqref="P15">
    <cfRule type="cellIs" dxfId="31804" priority="87651" stopIfTrue="1" operator="equal">
      <formula>-1</formula>
    </cfRule>
  </conditionalFormatting>
  <conditionalFormatting sqref="P15">
    <cfRule type="cellIs" dxfId="31803" priority="87652" stopIfTrue="1" operator="lessThan">
      <formula>0.5</formula>
    </cfRule>
  </conditionalFormatting>
  <conditionalFormatting sqref="P15">
    <cfRule type="cellIs" dxfId="31802" priority="87653" stopIfTrue="1" operator="greaterThanOrEqual">
      <formula>0.5</formula>
    </cfRule>
  </conditionalFormatting>
  <conditionalFormatting sqref="R8">
    <cfRule type="cellIs" dxfId="31801" priority="87654" stopIfTrue="1" operator="equal">
      <formula>-1</formula>
    </cfRule>
  </conditionalFormatting>
  <conditionalFormatting sqref="R8">
    <cfRule type="cellIs" dxfId="31800" priority="87655" stopIfTrue="1" operator="lessThan">
      <formula>0.5</formula>
    </cfRule>
  </conditionalFormatting>
  <conditionalFormatting sqref="R8">
    <cfRule type="cellIs" dxfId="31799" priority="87656" stopIfTrue="1" operator="greaterThanOrEqual">
      <formula>0.5</formula>
    </cfRule>
  </conditionalFormatting>
  <conditionalFormatting sqref="R9">
    <cfRule type="cellIs" dxfId="31798" priority="87657" stopIfTrue="1" operator="equal">
      <formula>-1</formula>
    </cfRule>
  </conditionalFormatting>
  <conditionalFormatting sqref="R9">
    <cfRule type="cellIs" dxfId="31797" priority="87658" stopIfTrue="1" operator="lessThan">
      <formula>0.5</formula>
    </cfRule>
  </conditionalFormatting>
  <conditionalFormatting sqref="R9">
    <cfRule type="cellIs" dxfId="31796" priority="87659" stopIfTrue="1" operator="greaterThanOrEqual">
      <formula>0.5</formula>
    </cfRule>
  </conditionalFormatting>
  <conditionalFormatting sqref="R10">
    <cfRule type="cellIs" dxfId="31795" priority="87660" stopIfTrue="1" operator="equal">
      <formula>-1</formula>
    </cfRule>
  </conditionalFormatting>
  <conditionalFormatting sqref="R10">
    <cfRule type="cellIs" dxfId="31794" priority="87661" stopIfTrue="1" operator="lessThan">
      <formula>0.5</formula>
    </cfRule>
  </conditionalFormatting>
  <conditionalFormatting sqref="R10">
    <cfRule type="cellIs" dxfId="31793" priority="87662" stopIfTrue="1" operator="greaterThanOrEqual">
      <formula>0.5</formula>
    </cfRule>
  </conditionalFormatting>
  <conditionalFormatting sqref="R11">
    <cfRule type="cellIs" dxfId="31792" priority="87663" stopIfTrue="1" operator="equal">
      <formula>-1</formula>
    </cfRule>
  </conditionalFormatting>
  <conditionalFormatting sqref="R11">
    <cfRule type="cellIs" dxfId="31791" priority="87664" stopIfTrue="1" operator="lessThan">
      <formula>0.5</formula>
    </cfRule>
  </conditionalFormatting>
  <conditionalFormatting sqref="R11">
    <cfRule type="cellIs" dxfId="31790" priority="87665" stopIfTrue="1" operator="greaterThanOrEqual">
      <formula>0.5</formula>
    </cfRule>
  </conditionalFormatting>
  <conditionalFormatting sqref="R12">
    <cfRule type="cellIs" dxfId="31789" priority="87666" stopIfTrue="1" operator="equal">
      <formula>-1</formula>
    </cfRule>
  </conditionalFormatting>
  <conditionalFormatting sqref="R12">
    <cfRule type="cellIs" dxfId="31788" priority="87667" stopIfTrue="1" operator="lessThan">
      <formula>0.5</formula>
    </cfRule>
  </conditionalFormatting>
  <conditionalFormatting sqref="R12">
    <cfRule type="cellIs" dxfId="31787" priority="87668" stopIfTrue="1" operator="greaterThanOrEqual">
      <formula>0.5</formula>
    </cfRule>
  </conditionalFormatting>
  <conditionalFormatting sqref="R13">
    <cfRule type="cellIs" dxfId="31786" priority="87669" stopIfTrue="1" operator="equal">
      <formula>-1</formula>
    </cfRule>
  </conditionalFormatting>
  <conditionalFormatting sqref="R13">
    <cfRule type="cellIs" dxfId="31785" priority="87670" stopIfTrue="1" operator="lessThan">
      <formula>0.5</formula>
    </cfRule>
  </conditionalFormatting>
  <conditionalFormatting sqref="R13">
    <cfRule type="cellIs" dxfId="31784" priority="87671" stopIfTrue="1" operator="greaterThanOrEqual">
      <formula>0.5</formula>
    </cfRule>
  </conditionalFormatting>
  <conditionalFormatting sqref="R14">
    <cfRule type="cellIs" dxfId="31783" priority="87672" stopIfTrue="1" operator="equal">
      <formula>-1</formula>
    </cfRule>
  </conditionalFormatting>
  <conditionalFormatting sqref="R14">
    <cfRule type="cellIs" dxfId="31782" priority="87673" stopIfTrue="1" operator="lessThan">
      <formula>0.5</formula>
    </cfRule>
  </conditionalFormatting>
  <conditionalFormatting sqref="R14">
    <cfRule type="cellIs" dxfId="31781" priority="87674" stopIfTrue="1" operator="greaterThanOrEqual">
      <formula>0.5</formula>
    </cfRule>
  </conditionalFormatting>
  <conditionalFormatting sqref="R15">
    <cfRule type="cellIs" dxfId="31780" priority="87675" stopIfTrue="1" operator="equal">
      <formula>-1</formula>
    </cfRule>
  </conditionalFormatting>
  <conditionalFormatting sqref="R15">
    <cfRule type="cellIs" dxfId="31779" priority="87676" stopIfTrue="1" operator="lessThan">
      <formula>0.5</formula>
    </cfRule>
  </conditionalFormatting>
  <conditionalFormatting sqref="R15">
    <cfRule type="cellIs" dxfId="31778" priority="87677" stopIfTrue="1" operator="greaterThanOrEqual">
      <formula>0.5</formula>
    </cfRule>
  </conditionalFormatting>
  <conditionalFormatting sqref="T8">
    <cfRule type="cellIs" dxfId="31777" priority="87678" stopIfTrue="1" operator="equal">
      <formula>-1</formula>
    </cfRule>
  </conditionalFormatting>
  <conditionalFormatting sqref="T8">
    <cfRule type="cellIs" dxfId="31776" priority="87679" stopIfTrue="1" operator="lessThan">
      <formula>0.5</formula>
    </cfRule>
  </conditionalFormatting>
  <conditionalFormatting sqref="T8">
    <cfRule type="cellIs" dxfId="31775" priority="87680" stopIfTrue="1" operator="greaterThanOrEqual">
      <formula>0.5</formula>
    </cfRule>
  </conditionalFormatting>
  <conditionalFormatting sqref="T9">
    <cfRule type="cellIs" dxfId="31774" priority="87681" stopIfTrue="1" operator="equal">
      <formula>-1</formula>
    </cfRule>
  </conditionalFormatting>
  <conditionalFormatting sqref="T9">
    <cfRule type="cellIs" dxfId="31773" priority="87682" stopIfTrue="1" operator="lessThan">
      <formula>0.5</formula>
    </cfRule>
  </conditionalFormatting>
  <conditionalFormatting sqref="T9">
    <cfRule type="cellIs" dxfId="31772" priority="87683" stopIfTrue="1" operator="greaterThanOrEqual">
      <formula>0.5</formula>
    </cfRule>
  </conditionalFormatting>
  <conditionalFormatting sqref="T10">
    <cfRule type="cellIs" dxfId="31771" priority="87684" stopIfTrue="1" operator="equal">
      <formula>-1</formula>
    </cfRule>
  </conditionalFormatting>
  <conditionalFormatting sqref="T10">
    <cfRule type="cellIs" dxfId="31770" priority="87685" stopIfTrue="1" operator="lessThan">
      <formula>0.5</formula>
    </cfRule>
  </conditionalFormatting>
  <conditionalFormatting sqref="T10">
    <cfRule type="cellIs" dxfId="31769" priority="87686" stopIfTrue="1" operator="greaterThanOrEqual">
      <formula>0.5</formula>
    </cfRule>
  </conditionalFormatting>
  <conditionalFormatting sqref="T11">
    <cfRule type="cellIs" dxfId="31768" priority="87687" stopIfTrue="1" operator="equal">
      <formula>-1</formula>
    </cfRule>
  </conditionalFormatting>
  <conditionalFormatting sqref="T11">
    <cfRule type="cellIs" dxfId="31767" priority="87688" stopIfTrue="1" operator="lessThan">
      <formula>0.5</formula>
    </cfRule>
  </conditionalFormatting>
  <conditionalFormatting sqref="T11">
    <cfRule type="cellIs" dxfId="31766" priority="87689" stopIfTrue="1" operator="greaterThanOrEqual">
      <formula>0.5</formula>
    </cfRule>
  </conditionalFormatting>
  <conditionalFormatting sqref="T12">
    <cfRule type="cellIs" dxfId="31765" priority="87690" stopIfTrue="1" operator="equal">
      <formula>-1</formula>
    </cfRule>
  </conditionalFormatting>
  <conditionalFormatting sqref="T12">
    <cfRule type="cellIs" dxfId="31764" priority="87691" stopIfTrue="1" operator="lessThan">
      <formula>0.5</formula>
    </cfRule>
  </conditionalFormatting>
  <conditionalFormatting sqref="T12">
    <cfRule type="cellIs" dxfId="31763" priority="87692" stopIfTrue="1" operator="greaterThanOrEqual">
      <formula>0.5</formula>
    </cfRule>
  </conditionalFormatting>
  <conditionalFormatting sqref="T13">
    <cfRule type="cellIs" dxfId="31762" priority="87693" stopIfTrue="1" operator="equal">
      <formula>-1</formula>
    </cfRule>
  </conditionalFormatting>
  <conditionalFormatting sqref="T13">
    <cfRule type="cellIs" dxfId="31761" priority="87694" stopIfTrue="1" operator="lessThan">
      <formula>0.5</formula>
    </cfRule>
  </conditionalFormatting>
  <conditionalFormatting sqref="T13">
    <cfRule type="cellIs" dxfId="31760" priority="87695" stopIfTrue="1" operator="greaterThanOrEqual">
      <formula>0.5</formula>
    </cfRule>
  </conditionalFormatting>
  <conditionalFormatting sqref="T14">
    <cfRule type="cellIs" dxfId="31759" priority="87696" stopIfTrue="1" operator="equal">
      <formula>-1</formula>
    </cfRule>
  </conditionalFormatting>
  <conditionalFormatting sqref="T14">
    <cfRule type="cellIs" dxfId="31758" priority="87697" stopIfTrue="1" operator="lessThan">
      <formula>0.5</formula>
    </cfRule>
  </conditionalFormatting>
  <conditionalFormatting sqref="T14">
    <cfRule type="cellIs" dxfId="31757" priority="87698" stopIfTrue="1" operator="greaterThanOrEqual">
      <formula>0.5</formula>
    </cfRule>
  </conditionalFormatting>
  <conditionalFormatting sqref="T15">
    <cfRule type="cellIs" dxfId="31756" priority="87699" stopIfTrue="1" operator="equal">
      <formula>-1</formula>
    </cfRule>
  </conditionalFormatting>
  <conditionalFormatting sqref="T15">
    <cfRule type="cellIs" dxfId="31755" priority="87700" stopIfTrue="1" operator="lessThan">
      <formula>0.5</formula>
    </cfRule>
  </conditionalFormatting>
  <conditionalFormatting sqref="T15">
    <cfRule type="cellIs" dxfId="31754" priority="87701" stopIfTrue="1" operator="greaterThanOrEqual">
      <formula>0.5</formula>
    </cfRule>
  </conditionalFormatting>
  <conditionalFormatting sqref="V8">
    <cfRule type="cellIs" dxfId="31753" priority="87702" stopIfTrue="1" operator="equal">
      <formula>-1</formula>
    </cfRule>
  </conditionalFormatting>
  <conditionalFormatting sqref="V8">
    <cfRule type="cellIs" dxfId="31752" priority="87703" stopIfTrue="1" operator="lessThan">
      <formula>0.5</formula>
    </cfRule>
  </conditionalFormatting>
  <conditionalFormatting sqref="V8">
    <cfRule type="cellIs" dxfId="31751" priority="87704" stopIfTrue="1" operator="greaterThanOrEqual">
      <formula>0.5</formula>
    </cfRule>
  </conditionalFormatting>
  <conditionalFormatting sqref="V9">
    <cfRule type="cellIs" dxfId="31750" priority="87705" stopIfTrue="1" operator="equal">
      <formula>-1</formula>
    </cfRule>
  </conditionalFormatting>
  <conditionalFormatting sqref="V9">
    <cfRule type="cellIs" dxfId="31749" priority="87706" stopIfTrue="1" operator="lessThan">
      <formula>0.5</formula>
    </cfRule>
  </conditionalFormatting>
  <conditionalFormatting sqref="V9">
    <cfRule type="cellIs" dxfId="31748" priority="87707" stopIfTrue="1" operator="greaterThanOrEqual">
      <formula>0.5</formula>
    </cfRule>
  </conditionalFormatting>
  <conditionalFormatting sqref="V10">
    <cfRule type="cellIs" dxfId="31747" priority="87708" stopIfTrue="1" operator="equal">
      <formula>-1</formula>
    </cfRule>
  </conditionalFormatting>
  <conditionalFormatting sqref="V10">
    <cfRule type="cellIs" dxfId="31746" priority="87709" stopIfTrue="1" operator="lessThan">
      <formula>0.5</formula>
    </cfRule>
  </conditionalFormatting>
  <conditionalFormatting sqref="V10">
    <cfRule type="cellIs" dxfId="31745" priority="87710" stopIfTrue="1" operator="greaterThanOrEqual">
      <formula>0.5</formula>
    </cfRule>
  </conditionalFormatting>
  <conditionalFormatting sqref="V11">
    <cfRule type="cellIs" dxfId="31744" priority="87711" stopIfTrue="1" operator="equal">
      <formula>-1</formula>
    </cfRule>
  </conditionalFormatting>
  <conditionalFormatting sqref="V11">
    <cfRule type="cellIs" dxfId="31743" priority="87712" stopIfTrue="1" operator="lessThan">
      <formula>0.5</formula>
    </cfRule>
  </conditionalFormatting>
  <conditionalFormatting sqref="V11">
    <cfRule type="cellIs" dxfId="31742" priority="87713" stopIfTrue="1" operator="greaterThanOrEqual">
      <formula>0.5</formula>
    </cfRule>
  </conditionalFormatting>
  <conditionalFormatting sqref="V12">
    <cfRule type="cellIs" dxfId="31741" priority="87714" stopIfTrue="1" operator="equal">
      <formula>-1</formula>
    </cfRule>
  </conditionalFormatting>
  <conditionalFormatting sqref="V12">
    <cfRule type="cellIs" dxfId="31740" priority="87715" stopIfTrue="1" operator="lessThan">
      <formula>0.5</formula>
    </cfRule>
  </conditionalFormatting>
  <conditionalFormatting sqref="V12">
    <cfRule type="cellIs" dxfId="31739" priority="87716" stopIfTrue="1" operator="greaterThanOrEqual">
      <formula>0.5</formula>
    </cfRule>
  </conditionalFormatting>
  <conditionalFormatting sqref="V13">
    <cfRule type="cellIs" dxfId="31738" priority="87717" stopIfTrue="1" operator="equal">
      <formula>-1</formula>
    </cfRule>
  </conditionalFormatting>
  <conditionalFormatting sqref="V13">
    <cfRule type="cellIs" dxfId="31737" priority="87718" stopIfTrue="1" operator="lessThan">
      <formula>0.5</formula>
    </cfRule>
  </conditionalFormatting>
  <conditionalFormatting sqref="V13">
    <cfRule type="cellIs" dxfId="31736" priority="87719" stopIfTrue="1" operator="greaterThanOrEqual">
      <formula>0.5</formula>
    </cfRule>
  </conditionalFormatting>
  <conditionalFormatting sqref="V14">
    <cfRule type="cellIs" dxfId="31735" priority="87720" stopIfTrue="1" operator="equal">
      <formula>-1</formula>
    </cfRule>
  </conditionalFormatting>
  <conditionalFormatting sqref="V14">
    <cfRule type="cellIs" dxfId="31734" priority="87721" stopIfTrue="1" operator="lessThan">
      <formula>0.5</formula>
    </cfRule>
  </conditionalFormatting>
  <conditionalFormatting sqref="V14">
    <cfRule type="cellIs" dxfId="31733" priority="87722" stopIfTrue="1" operator="greaterThanOrEqual">
      <formula>0.5</formula>
    </cfRule>
  </conditionalFormatting>
  <conditionalFormatting sqref="V15">
    <cfRule type="cellIs" dxfId="31732" priority="87723" stopIfTrue="1" operator="equal">
      <formula>-1</formula>
    </cfRule>
  </conditionalFormatting>
  <conditionalFormatting sqref="V15">
    <cfRule type="cellIs" dxfId="31731" priority="87724" stopIfTrue="1" operator="lessThan">
      <formula>0.5</formula>
    </cfRule>
  </conditionalFormatting>
  <conditionalFormatting sqref="V15">
    <cfRule type="cellIs" dxfId="31730" priority="87725" stopIfTrue="1" operator="greaterThanOrEqual">
      <formula>0.5</formula>
    </cfRule>
  </conditionalFormatting>
  <conditionalFormatting sqref="X8">
    <cfRule type="cellIs" dxfId="31729" priority="87726" stopIfTrue="1" operator="equal">
      <formula>-1</formula>
    </cfRule>
  </conditionalFormatting>
  <conditionalFormatting sqref="X8">
    <cfRule type="cellIs" dxfId="31728" priority="87727" stopIfTrue="1" operator="lessThan">
      <formula>0.5</formula>
    </cfRule>
  </conditionalFormatting>
  <conditionalFormatting sqref="X8">
    <cfRule type="cellIs" dxfId="31727" priority="87728" stopIfTrue="1" operator="greaterThanOrEqual">
      <formula>0.5</formula>
    </cfRule>
  </conditionalFormatting>
  <conditionalFormatting sqref="X9">
    <cfRule type="cellIs" dxfId="31726" priority="87729" stopIfTrue="1" operator="equal">
      <formula>-1</formula>
    </cfRule>
  </conditionalFormatting>
  <conditionalFormatting sqref="X9">
    <cfRule type="cellIs" dxfId="31725" priority="87730" stopIfTrue="1" operator="lessThan">
      <formula>0.5</formula>
    </cfRule>
  </conditionalFormatting>
  <conditionalFormatting sqref="X9">
    <cfRule type="cellIs" dxfId="31724" priority="87731" stopIfTrue="1" operator="greaterThanOrEqual">
      <formula>0.5</formula>
    </cfRule>
  </conditionalFormatting>
  <conditionalFormatting sqref="X10">
    <cfRule type="cellIs" dxfId="31723" priority="87732" stopIfTrue="1" operator="equal">
      <formula>-1</formula>
    </cfRule>
  </conditionalFormatting>
  <conditionalFormatting sqref="X10">
    <cfRule type="cellIs" dxfId="31722" priority="87733" stopIfTrue="1" operator="lessThan">
      <formula>0.5</formula>
    </cfRule>
  </conditionalFormatting>
  <conditionalFormatting sqref="X10">
    <cfRule type="cellIs" dxfId="31721" priority="87734" stopIfTrue="1" operator="greaterThanOrEqual">
      <formula>0.5</formula>
    </cfRule>
  </conditionalFormatting>
  <conditionalFormatting sqref="X11">
    <cfRule type="cellIs" dxfId="31720" priority="87735" stopIfTrue="1" operator="equal">
      <formula>-1</formula>
    </cfRule>
  </conditionalFormatting>
  <conditionalFormatting sqref="X11">
    <cfRule type="cellIs" dxfId="31719" priority="87736" stopIfTrue="1" operator="lessThan">
      <formula>0.5</formula>
    </cfRule>
  </conditionalFormatting>
  <conditionalFormatting sqref="X11">
    <cfRule type="cellIs" dxfId="31718" priority="87737" stopIfTrue="1" operator="greaterThanOrEqual">
      <formula>0.5</formula>
    </cfRule>
  </conditionalFormatting>
  <conditionalFormatting sqref="X12">
    <cfRule type="cellIs" dxfId="31717" priority="87738" stopIfTrue="1" operator="equal">
      <formula>-1</formula>
    </cfRule>
  </conditionalFormatting>
  <conditionalFormatting sqref="X12">
    <cfRule type="cellIs" dxfId="31716" priority="87739" stopIfTrue="1" operator="lessThan">
      <formula>0.5</formula>
    </cfRule>
  </conditionalFormatting>
  <conditionalFormatting sqref="X12">
    <cfRule type="cellIs" dxfId="31715" priority="87740" stopIfTrue="1" operator="greaterThanOrEqual">
      <formula>0.5</formula>
    </cfRule>
  </conditionalFormatting>
  <conditionalFormatting sqref="X13">
    <cfRule type="cellIs" dxfId="31714" priority="87741" stopIfTrue="1" operator="equal">
      <formula>-1</formula>
    </cfRule>
  </conditionalFormatting>
  <conditionalFormatting sqref="X13">
    <cfRule type="cellIs" dxfId="31713" priority="87742" stopIfTrue="1" operator="lessThan">
      <formula>0.5</formula>
    </cfRule>
  </conditionalFormatting>
  <conditionalFormatting sqref="X13">
    <cfRule type="cellIs" dxfId="31712" priority="87743" stopIfTrue="1" operator="greaterThanOrEqual">
      <formula>0.5</formula>
    </cfRule>
  </conditionalFormatting>
  <conditionalFormatting sqref="X14">
    <cfRule type="cellIs" dxfId="31711" priority="87744" stopIfTrue="1" operator="equal">
      <formula>-1</formula>
    </cfRule>
  </conditionalFormatting>
  <conditionalFormatting sqref="X14">
    <cfRule type="cellIs" dxfId="31710" priority="87745" stopIfTrue="1" operator="lessThan">
      <formula>0.5</formula>
    </cfRule>
  </conditionalFormatting>
  <conditionalFormatting sqref="X14">
    <cfRule type="cellIs" dxfId="31709" priority="87746" stopIfTrue="1" operator="greaterThanOrEqual">
      <formula>0.5</formula>
    </cfRule>
  </conditionalFormatting>
  <conditionalFormatting sqref="X15">
    <cfRule type="cellIs" dxfId="31708" priority="87747" stopIfTrue="1" operator="equal">
      <formula>-1</formula>
    </cfRule>
  </conditionalFormatting>
  <conditionalFormatting sqref="X15">
    <cfRule type="cellIs" dxfId="31707" priority="87748" stopIfTrue="1" operator="lessThan">
      <formula>0.5</formula>
    </cfRule>
  </conditionalFormatting>
  <conditionalFormatting sqref="X15">
    <cfRule type="cellIs" dxfId="31706" priority="87749" stopIfTrue="1" operator="greaterThanOrEqual">
      <formula>0.5</formula>
    </cfRule>
  </conditionalFormatting>
  <conditionalFormatting sqref="Z8">
    <cfRule type="cellIs" dxfId="31705" priority="87750" stopIfTrue="1" operator="equal">
      <formula>-1</formula>
    </cfRule>
  </conditionalFormatting>
  <conditionalFormatting sqref="Z8">
    <cfRule type="cellIs" dxfId="31704" priority="87751" stopIfTrue="1" operator="lessThan">
      <formula>0.5</formula>
    </cfRule>
  </conditionalFormatting>
  <conditionalFormatting sqref="Z8">
    <cfRule type="cellIs" dxfId="31703" priority="87752" stopIfTrue="1" operator="greaterThanOrEqual">
      <formula>0.5</formula>
    </cfRule>
  </conditionalFormatting>
  <conditionalFormatting sqref="Z9">
    <cfRule type="cellIs" dxfId="31702" priority="87753" stopIfTrue="1" operator="equal">
      <formula>-1</formula>
    </cfRule>
  </conditionalFormatting>
  <conditionalFormatting sqref="Z9">
    <cfRule type="cellIs" dxfId="31701" priority="87754" stopIfTrue="1" operator="lessThan">
      <formula>0.5</formula>
    </cfRule>
  </conditionalFormatting>
  <conditionalFormatting sqref="Z9">
    <cfRule type="cellIs" dxfId="31700" priority="87755" stopIfTrue="1" operator="greaterThanOrEqual">
      <formula>0.5</formula>
    </cfRule>
  </conditionalFormatting>
  <conditionalFormatting sqref="Z10">
    <cfRule type="cellIs" dxfId="31699" priority="87756" stopIfTrue="1" operator="equal">
      <formula>-1</formula>
    </cfRule>
  </conditionalFormatting>
  <conditionalFormatting sqref="Z10">
    <cfRule type="cellIs" dxfId="31698" priority="87757" stopIfTrue="1" operator="lessThan">
      <formula>0.5</formula>
    </cfRule>
  </conditionalFormatting>
  <conditionalFormatting sqref="Z10">
    <cfRule type="cellIs" dxfId="31697" priority="87758" stopIfTrue="1" operator="greaterThanOrEqual">
      <formula>0.5</formula>
    </cfRule>
  </conditionalFormatting>
  <conditionalFormatting sqref="Z11">
    <cfRule type="cellIs" dxfId="31696" priority="87759" stopIfTrue="1" operator="equal">
      <formula>-1</formula>
    </cfRule>
  </conditionalFormatting>
  <conditionalFormatting sqref="Z11">
    <cfRule type="cellIs" dxfId="31695" priority="87760" stopIfTrue="1" operator="lessThan">
      <formula>0.5</formula>
    </cfRule>
  </conditionalFormatting>
  <conditionalFormatting sqref="Z11">
    <cfRule type="cellIs" dxfId="31694" priority="87761" stopIfTrue="1" operator="greaterThanOrEqual">
      <formula>0.5</formula>
    </cfRule>
  </conditionalFormatting>
  <conditionalFormatting sqref="Z12">
    <cfRule type="cellIs" dxfId="31693" priority="87762" stopIfTrue="1" operator="equal">
      <formula>-1</formula>
    </cfRule>
  </conditionalFormatting>
  <conditionalFormatting sqref="Z12">
    <cfRule type="cellIs" dxfId="31692" priority="87763" stopIfTrue="1" operator="lessThan">
      <formula>0.5</formula>
    </cfRule>
  </conditionalFormatting>
  <conditionalFormatting sqref="Z12">
    <cfRule type="cellIs" dxfId="31691" priority="87764" stopIfTrue="1" operator="greaterThanOrEqual">
      <formula>0.5</formula>
    </cfRule>
  </conditionalFormatting>
  <conditionalFormatting sqref="Z13">
    <cfRule type="cellIs" dxfId="31690" priority="87765" stopIfTrue="1" operator="equal">
      <formula>-1</formula>
    </cfRule>
  </conditionalFormatting>
  <conditionalFormatting sqref="Z13">
    <cfRule type="cellIs" dxfId="31689" priority="87766" stopIfTrue="1" operator="lessThan">
      <formula>0.5</formula>
    </cfRule>
  </conditionalFormatting>
  <conditionalFormatting sqref="Z13">
    <cfRule type="cellIs" dxfId="31688" priority="87767" stopIfTrue="1" operator="greaterThanOrEqual">
      <formula>0.5</formula>
    </cfRule>
  </conditionalFormatting>
  <conditionalFormatting sqref="Z14">
    <cfRule type="cellIs" dxfId="31687" priority="87768" stopIfTrue="1" operator="equal">
      <formula>-1</formula>
    </cfRule>
  </conditionalFormatting>
  <conditionalFormatting sqref="Z14">
    <cfRule type="cellIs" dxfId="31686" priority="87769" stopIfTrue="1" operator="lessThan">
      <formula>0.5</formula>
    </cfRule>
  </conditionalFormatting>
  <conditionalFormatting sqref="Z14">
    <cfRule type="cellIs" dxfId="31685" priority="87770" stopIfTrue="1" operator="greaterThanOrEqual">
      <formula>0.5</formula>
    </cfRule>
  </conditionalFormatting>
  <conditionalFormatting sqref="Z15">
    <cfRule type="cellIs" dxfId="31684" priority="87771" stopIfTrue="1" operator="equal">
      <formula>-1</formula>
    </cfRule>
  </conditionalFormatting>
  <conditionalFormatting sqref="Z15">
    <cfRule type="cellIs" dxfId="31683" priority="87772" stopIfTrue="1" operator="lessThan">
      <formula>0.5</formula>
    </cfRule>
  </conditionalFormatting>
  <conditionalFormatting sqref="Z15">
    <cfRule type="cellIs" dxfId="31682" priority="87773" stopIfTrue="1" operator="greaterThanOrEqual">
      <formula>0.5</formula>
    </cfRule>
  </conditionalFormatting>
  <conditionalFormatting sqref="AB8">
    <cfRule type="cellIs" dxfId="31681" priority="87774" stopIfTrue="1" operator="equal">
      <formula>-1</formula>
    </cfRule>
  </conditionalFormatting>
  <conditionalFormatting sqref="AB8">
    <cfRule type="cellIs" dxfId="31680" priority="87775" stopIfTrue="1" operator="lessThan">
      <formula>0.5</formula>
    </cfRule>
  </conditionalFormatting>
  <conditionalFormatting sqref="AB8">
    <cfRule type="cellIs" dxfId="31679" priority="87776" stopIfTrue="1" operator="greaterThanOrEqual">
      <formula>0.5</formula>
    </cfRule>
  </conditionalFormatting>
  <conditionalFormatting sqref="AB9">
    <cfRule type="cellIs" dxfId="31678" priority="87777" stopIfTrue="1" operator="equal">
      <formula>-1</formula>
    </cfRule>
  </conditionalFormatting>
  <conditionalFormatting sqref="AB9">
    <cfRule type="cellIs" dxfId="31677" priority="87778" stopIfTrue="1" operator="lessThan">
      <formula>0.5</formula>
    </cfRule>
  </conditionalFormatting>
  <conditionalFormatting sqref="AB9">
    <cfRule type="cellIs" dxfId="31676" priority="87779" stopIfTrue="1" operator="greaterThanOrEqual">
      <formula>0.5</formula>
    </cfRule>
  </conditionalFormatting>
  <conditionalFormatting sqref="AB10">
    <cfRule type="cellIs" dxfId="31675" priority="87780" stopIfTrue="1" operator="equal">
      <formula>-1</formula>
    </cfRule>
  </conditionalFormatting>
  <conditionalFormatting sqref="AB10">
    <cfRule type="cellIs" dxfId="31674" priority="87781" stopIfTrue="1" operator="lessThan">
      <formula>0.5</formula>
    </cfRule>
  </conditionalFormatting>
  <conditionalFormatting sqref="AB10">
    <cfRule type="cellIs" dxfId="31673" priority="87782" stopIfTrue="1" operator="greaterThanOrEqual">
      <formula>0.5</formula>
    </cfRule>
  </conditionalFormatting>
  <conditionalFormatting sqref="AB11">
    <cfRule type="cellIs" dxfId="31672" priority="87783" stopIfTrue="1" operator="equal">
      <formula>-1</formula>
    </cfRule>
  </conditionalFormatting>
  <conditionalFormatting sqref="AB11">
    <cfRule type="cellIs" dxfId="31671" priority="87784" stopIfTrue="1" operator="lessThan">
      <formula>0.5</formula>
    </cfRule>
  </conditionalFormatting>
  <conditionalFormatting sqref="AB11">
    <cfRule type="cellIs" dxfId="31670" priority="87785" stopIfTrue="1" operator="greaterThanOrEqual">
      <formula>0.5</formula>
    </cfRule>
  </conditionalFormatting>
  <conditionalFormatting sqref="AB12">
    <cfRule type="cellIs" dxfId="31669" priority="87786" stopIfTrue="1" operator="equal">
      <formula>-1</formula>
    </cfRule>
  </conditionalFormatting>
  <conditionalFormatting sqref="AB12">
    <cfRule type="cellIs" dxfId="31668" priority="87787" stopIfTrue="1" operator="lessThan">
      <formula>0.5</formula>
    </cfRule>
  </conditionalFormatting>
  <conditionalFormatting sqref="AB12">
    <cfRule type="cellIs" dxfId="31667" priority="87788" stopIfTrue="1" operator="greaterThanOrEqual">
      <formula>0.5</formula>
    </cfRule>
  </conditionalFormatting>
  <conditionalFormatting sqref="AB13">
    <cfRule type="cellIs" dxfId="31666" priority="87789" stopIfTrue="1" operator="equal">
      <formula>-1</formula>
    </cfRule>
  </conditionalFormatting>
  <conditionalFormatting sqref="AB13">
    <cfRule type="cellIs" dxfId="31665" priority="87790" stopIfTrue="1" operator="lessThan">
      <formula>0.5</formula>
    </cfRule>
  </conditionalFormatting>
  <conditionalFormatting sqref="AB13">
    <cfRule type="cellIs" dxfId="31664" priority="87791" stopIfTrue="1" operator="greaterThanOrEqual">
      <formula>0.5</formula>
    </cfRule>
  </conditionalFormatting>
  <conditionalFormatting sqref="AB14">
    <cfRule type="cellIs" dxfId="31663" priority="87792" stopIfTrue="1" operator="equal">
      <formula>-1</formula>
    </cfRule>
  </conditionalFormatting>
  <conditionalFormatting sqref="AB14">
    <cfRule type="cellIs" dxfId="31662" priority="87793" stopIfTrue="1" operator="lessThan">
      <formula>0.5</formula>
    </cfRule>
  </conditionalFormatting>
  <conditionalFormatting sqref="AB14">
    <cfRule type="cellIs" dxfId="31661" priority="87794" stopIfTrue="1" operator="greaterThanOrEqual">
      <formula>0.5</formula>
    </cfRule>
  </conditionalFormatting>
  <conditionalFormatting sqref="AB15">
    <cfRule type="cellIs" dxfId="31660" priority="87795" stopIfTrue="1" operator="equal">
      <formula>-1</formula>
    </cfRule>
  </conditionalFormatting>
  <conditionalFormatting sqref="AB15">
    <cfRule type="cellIs" dxfId="31659" priority="87796" stopIfTrue="1" operator="lessThan">
      <formula>0.5</formula>
    </cfRule>
  </conditionalFormatting>
  <conditionalFormatting sqref="AB15">
    <cfRule type="cellIs" dxfId="31658" priority="87797" stopIfTrue="1" operator="greaterThanOrEqual">
      <formula>0.5</formula>
    </cfRule>
  </conditionalFormatting>
  <conditionalFormatting sqref="AD8">
    <cfRule type="cellIs" dxfId="31657" priority="87798" stopIfTrue="1" operator="equal">
      <formula>-1</formula>
    </cfRule>
  </conditionalFormatting>
  <conditionalFormatting sqref="AD8">
    <cfRule type="cellIs" dxfId="31656" priority="87799" stopIfTrue="1" operator="lessThan">
      <formula>0.5</formula>
    </cfRule>
  </conditionalFormatting>
  <conditionalFormatting sqref="AD8">
    <cfRule type="cellIs" dxfId="31655" priority="87800" stopIfTrue="1" operator="greaterThanOrEqual">
      <formula>0.5</formula>
    </cfRule>
  </conditionalFormatting>
  <conditionalFormatting sqref="AD9">
    <cfRule type="cellIs" dxfId="31654" priority="87801" stopIfTrue="1" operator="equal">
      <formula>-1</formula>
    </cfRule>
  </conditionalFormatting>
  <conditionalFormatting sqref="AD9">
    <cfRule type="cellIs" dxfId="31653" priority="87802" stopIfTrue="1" operator="lessThan">
      <formula>0.5</formula>
    </cfRule>
  </conditionalFormatting>
  <conditionalFormatting sqref="AD9">
    <cfRule type="cellIs" dxfId="31652" priority="87803" stopIfTrue="1" operator="greaterThanOrEqual">
      <formula>0.5</formula>
    </cfRule>
  </conditionalFormatting>
  <conditionalFormatting sqref="AD10">
    <cfRule type="cellIs" dxfId="31651" priority="87804" stopIfTrue="1" operator="equal">
      <formula>-1</formula>
    </cfRule>
  </conditionalFormatting>
  <conditionalFormatting sqref="AD10">
    <cfRule type="cellIs" dxfId="31650" priority="87805" stopIfTrue="1" operator="lessThan">
      <formula>0.5</formula>
    </cfRule>
  </conditionalFormatting>
  <conditionalFormatting sqref="AD10">
    <cfRule type="cellIs" dxfId="31649" priority="87806" stopIfTrue="1" operator="greaterThanOrEqual">
      <formula>0.5</formula>
    </cfRule>
  </conditionalFormatting>
  <conditionalFormatting sqref="AD11">
    <cfRule type="cellIs" dxfId="31648" priority="87807" stopIfTrue="1" operator="equal">
      <formula>-1</formula>
    </cfRule>
  </conditionalFormatting>
  <conditionalFormatting sqref="AD11">
    <cfRule type="cellIs" dxfId="31647" priority="87808" stopIfTrue="1" operator="lessThan">
      <formula>0.5</formula>
    </cfRule>
  </conditionalFormatting>
  <conditionalFormatting sqref="AD11">
    <cfRule type="cellIs" dxfId="31646" priority="87809" stopIfTrue="1" operator="greaterThanOrEqual">
      <formula>0.5</formula>
    </cfRule>
  </conditionalFormatting>
  <conditionalFormatting sqref="AD12">
    <cfRule type="cellIs" dxfId="31645" priority="87810" stopIfTrue="1" operator="equal">
      <formula>-1</formula>
    </cfRule>
  </conditionalFormatting>
  <conditionalFormatting sqref="AD12">
    <cfRule type="cellIs" dxfId="31644" priority="87811" stopIfTrue="1" operator="lessThan">
      <formula>0.5</formula>
    </cfRule>
  </conditionalFormatting>
  <conditionalFormatting sqref="AD12">
    <cfRule type="cellIs" dxfId="31643" priority="87812" stopIfTrue="1" operator="greaterThanOrEqual">
      <formula>0.5</formula>
    </cfRule>
  </conditionalFormatting>
  <conditionalFormatting sqref="AD13">
    <cfRule type="cellIs" dxfId="31642" priority="87813" stopIfTrue="1" operator="equal">
      <formula>-1</formula>
    </cfRule>
  </conditionalFormatting>
  <conditionalFormatting sqref="AD13">
    <cfRule type="cellIs" dxfId="31641" priority="87814" stopIfTrue="1" operator="lessThan">
      <formula>0.5</formula>
    </cfRule>
  </conditionalFormatting>
  <conditionalFormatting sqref="AD13">
    <cfRule type="cellIs" dxfId="31640" priority="87815" stopIfTrue="1" operator="greaterThanOrEqual">
      <formula>0.5</formula>
    </cfRule>
  </conditionalFormatting>
  <conditionalFormatting sqref="AD14">
    <cfRule type="cellIs" dxfId="31639" priority="87816" stopIfTrue="1" operator="equal">
      <formula>-1</formula>
    </cfRule>
  </conditionalFormatting>
  <conditionalFormatting sqref="AD14">
    <cfRule type="cellIs" dxfId="31638" priority="87817" stopIfTrue="1" operator="lessThan">
      <formula>0.5</formula>
    </cfRule>
  </conditionalFormatting>
  <conditionalFormatting sqref="AD14">
    <cfRule type="cellIs" dxfId="31637" priority="87818" stopIfTrue="1" operator="greaterThanOrEqual">
      <formula>0.5</formula>
    </cfRule>
  </conditionalFormatting>
  <conditionalFormatting sqref="AD15">
    <cfRule type="cellIs" dxfId="31636" priority="87819" stopIfTrue="1" operator="equal">
      <formula>-1</formula>
    </cfRule>
  </conditionalFormatting>
  <conditionalFormatting sqref="AD15">
    <cfRule type="cellIs" dxfId="31635" priority="87820" stopIfTrue="1" operator="lessThan">
      <formula>0.5</formula>
    </cfRule>
  </conditionalFormatting>
  <conditionalFormatting sqref="AD15">
    <cfRule type="cellIs" dxfId="31634" priority="87821" stopIfTrue="1" operator="greaterThanOrEqual">
      <formula>0.5</formula>
    </cfRule>
  </conditionalFormatting>
  <conditionalFormatting sqref="AF8">
    <cfRule type="cellIs" dxfId="31633" priority="87822" stopIfTrue="1" operator="equal">
      <formula>-1</formula>
    </cfRule>
  </conditionalFormatting>
  <conditionalFormatting sqref="AF8">
    <cfRule type="cellIs" dxfId="31632" priority="87823" stopIfTrue="1" operator="lessThan">
      <formula>0.5</formula>
    </cfRule>
  </conditionalFormatting>
  <conditionalFormatting sqref="AF8">
    <cfRule type="cellIs" dxfId="31631" priority="87824" stopIfTrue="1" operator="greaterThanOrEqual">
      <formula>0.5</formula>
    </cfRule>
  </conditionalFormatting>
  <conditionalFormatting sqref="AF9">
    <cfRule type="cellIs" dxfId="31630" priority="87825" stopIfTrue="1" operator="equal">
      <formula>-1</formula>
    </cfRule>
  </conditionalFormatting>
  <conditionalFormatting sqref="AF9">
    <cfRule type="cellIs" dxfId="31629" priority="87826" stopIfTrue="1" operator="lessThan">
      <formula>0.5</formula>
    </cfRule>
  </conditionalFormatting>
  <conditionalFormatting sqref="AF9">
    <cfRule type="cellIs" dxfId="31628" priority="87827" stopIfTrue="1" operator="greaterThanOrEqual">
      <formula>0.5</formula>
    </cfRule>
  </conditionalFormatting>
  <conditionalFormatting sqref="AF10">
    <cfRule type="cellIs" dxfId="31627" priority="87828" stopIfTrue="1" operator="equal">
      <formula>-1</formula>
    </cfRule>
  </conditionalFormatting>
  <conditionalFormatting sqref="AF10">
    <cfRule type="cellIs" dxfId="31626" priority="87829" stopIfTrue="1" operator="lessThan">
      <formula>0.5</formula>
    </cfRule>
  </conditionalFormatting>
  <conditionalFormatting sqref="AF10">
    <cfRule type="cellIs" dxfId="31625" priority="87830" stopIfTrue="1" operator="greaterThanOrEqual">
      <formula>0.5</formula>
    </cfRule>
  </conditionalFormatting>
  <conditionalFormatting sqref="AF11">
    <cfRule type="cellIs" dxfId="31624" priority="87831" stopIfTrue="1" operator="equal">
      <formula>-1</formula>
    </cfRule>
  </conditionalFormatting>
  <conditionalFormatting sqref="AF11">
    <cfRule type="cellIs" dxfId="31623" priority="87832" stopIfTrue="1" operator="lessThan">
      <formula>0.5</formula>
    </cfRule>
  </conditionalFormatting>
  <conditionalFormatting sqref="AF11">
    <cfRule type="cellIs" dxfId="31622" priority="87833" stopIfTrue="1" operator="greaterThanOrEqual">
      <formula>0.5</formula>
    </cfRule>
  </conditionalFormatting>
  <conditionalFormatting sqref="AF12">
    <cfRule type="cellIs" dxfId="31621" priority="87834" stopIfTrue="1" operator="equal">
      <formula>-1</formula>
    </cfRule>
  </conditionalFormatting>
  <conditionalFormatting sqref="AF12">
    <cfRule type="cellIs" dxfId="31620" priority="87835" stopIfTrue="1" operator="lessThan">
      <formula>0.5</formula>
    </cfRule>
  </conditionalFormatting>
  <conditionalFormatting sqref="AF12">
    <cfRule type="cellIs" dxfId="31619" priority="87836" stopIfTrue="1" operator="greaterThanOrEqual">
      <formula>0.5</formula>
    </cfRule>
  </conditionalFormatting>
  <conditionalFormatting sqref="AF13">
    <cfRule type="cellIs" dxfId="31618" priority="87837" stopIfTrue="1" operator="equal">
      <formula>-1</formula>
    </cfRule>
  </conditionalFormatting>
  <conditionalFormatting sqref="AF13">
    <cfRule type="cellIs" dxfId="31617" priority="87838" stopIfTrue="1" operator="lessThan">
      <formula>0.5</formula>
    </cfRule>
  </conditionalFormatting>
  <conditionalFormatting sqref="AF13">
    <cfRule type="cellIs" dxfId="31616" priority="87839" stopIfTrue="1" operator="greaterThanOrEqual">
      <formula>0.5</formula>
    </cfRule>
  </conditionalFormatting>
  <conditionalFormatting sqref="AF14">
    <cfRule type="cellIs" dxfId="31615" priority="87840" stopIfTrue="1" operator="equal">
      <formula>-1</formula>
    </cfRule>
  </conditionalFormatting>
  <conditionalFormatting sqref="AF14">
    <cfRule type="cellIs" dxfId="31614" priority="87841" stopIfTrue="1" operator="lessThan">
      <formula>0.5</formula>
    </cfRule>
  </conditionalFormatting>
  <conditionalFormatting sqref="AF14">
    <cfRule type="cellIs" dxfId="31613" priority="87842" stopIfTrue="1" operator="greaterThanOrEqual">
      <formula>0.5</formula>
    </cfRule>
  </conditionalFormatting>
  <conditionalFormatting sqref="AF15">
    <cfRule type="cellIs" dxfId="31612" priority="87843" stopIfTrue="1" operator="equal">
      <formula>-1</formula>
    </cfRule>
  </conditionalFormatting>
  <conditionalFormatting sqref="AF15">
    <cfRule type="cellIs" dxfId="31611" priority="87844" stopIfTrue="1" operator="lessThan">
      <formula>0.5</formula>
    </cfRule>
  </conditionalFormatting>
  <conditionalFormatting sqref="AF15">
    <cfRule type="cellIs" dxfId="31610" priority="87845" stopIfTrue="1" operator="greaterThanOrEqual">
      <formula>0.5</formula>
    </cfRule>
  </conditionalFormatting>
  <conditionalFormatting sqref="AH8">
    <cfRule type="cellIs" dxfId="31609" priority="87846" stopIfTrue="1" operator="equal">
      <formula>-1</formula>
    </cfRule>
  </conditionalFormatting>
  <conditionalFormatting sqref="AH8">
    <cfRule type="cellIs" dxfId="31608" priority="87847" stopIfTrue="1" operator="lessThan">
      <formula>0.5</formula>
    </cfRule>
  </conditionalFormatting>
  <conditionalFormatting sqref="AH8">
    <cfRule type="cellIs" dxfId="31607" priority="87848" stopIfTrue="1" operator="greaterThanOrEqual">
      <formula>0.5</formula>
    </cfRule>
  </conditionalFormatting>
  <conditionalFormatting sqref="AH9">
    <cfRule type="cellIs" dxfId="31606" priority="87849" stopIfTrue="1" operator="equal">
      <formula>-1</formula>
    </cfRule>
  </conditionalFormatting>
  <conditionalFormatting sqref="AH9">
    <cfRule type="cellIs" dxfId="31605" priority="87850" stopIfTrue="1" operator="lessThan">
      <formula>0.5</formula>
    </cfRule>
  </conditionalFormatting>
  <conditionalFormatting sqref="AH9">
    <cfRule type="cellIs" dxfId="31604" priority="87851" stopIfTrue="1" operator="greaterThanOrEqual">
      <formula>0.5</formula>
    </cfRule>
  </conditionalFormatting>
  <conditionalFormatting sqref="AH10">
    <cfRule type="cellIs" dxfId="31603" priority="87852" stopIfTrue="1" operator="equal">
      <formula>-1</formula>
    </cfRule>
  </conditionalFormatting>
  <conditionalFormatting sqref="AH10">
    <cfRule type="cellIs" dxfId="31602" priority="87853" stopIfTrue="1" operator="lessThan">
      <formula>0.5</formula>
    </cfRule>
  </conditionalFormatting>
  <conditionalFormatting sqref="AH10">
    <cfRule type="cellIs" dxfId="31601" priority="87854" stopIfTrue="1" operator="greaterThanOrEqual">
      <formula>0.5</formula>
    </cfRule>
  </conditionalFormatting>
  <conditionalFormatting sqref="AH11">
    <cfRule type="cellIs" dxfId="31600" priority="87855" stopIfTrue="1" operator="equal">
      <formula>-1</formula>
    </cfRule>
  </conditionalFormatting>
  <conditionalFormatting sqref="AH11">
    <cfRule type="cellIs" dxfId="31599" priority="87856" stopIfTrue="1" operator="lessThan">
      <formula>0.5</formula>
    </cfRule>
  </conditionalFormatting>
  <conditionalFormatting sqref="AH11">
    <cfRule type="cellIs" dxfId="31598" priority="87857" stopIfTrue="1" operator="greaterThanOrEqual">
      <formula>0.5</formula>
    </cfRule>
  </conditionalFormatting>
  <conditionalFormatting sqref="AH12">
    <cfRule type="cellIs" dxfId="31597" priority="87858" stopIfTrue="1" operator="equal">
      <formula>-1</formula>
    </cfRule>
  </conditionalFormatting>
  <conditionalFormatting sqref="AH12">
    <cfRule type="cellIs" dxfId="31596" priority="87859" stopIfTrue="1" operator="lessThan">
      <formula>0.5</formula>
    </cfRule>
  </conditionalFormatting>
  <conditionalFormatting sqref="AH12">
    <cfRule type="cellIs" dxfId="31595" priority="87860" stopIfTrue="1" operator="greaterThanOrEqual">
      <formula>0.5</formula>
    </cfRule>
  </conditionalFormatting>
  <conditionalFormatting sqref="AH13">
    <cfRule type="cellIs" dxfId="31594" priority="87861" stopIfTrue="1" operator="equal">
      <formula>-1</formula>
    </cfRule>
  </conditionalFormatting>
  <conditionalFormatting sqref="AH13">
    <cfRule type="cellIs" dxfId="31593" priority="87862" stopIfTrue="1" operator="lessThan">
      <formula>0.5</formula>
    </cfRule>
  </conditionalFormatting>
  <conditionalFormatting sqref="AH13">
    <cfRule type="cellIs" dxfId="31592" priority="87863" stopIfTrue="1" operator="greaterThanOrEqual">
      <formula>0.5</formula>
    </cfRule>
  </conditionalFormatting>
  <conditionalFormatting sqref="AH14">
    <cfRule type="cellIs" dxfId="31591" priority="87864" stopIfTrue="1" operator="equal">
      <formula>-1</formula>
    </cfRule>
  </conditionalFormatting>
  <conditionalFormatting sqref="AH14">
    <cfRule type="cellIs" dxfId="31590" priority="87865" stopIfTrue="1" operator="lessThan">
      <formula>0.5</formula>
    </cfRule>
  </conditionalFormatting>
  <conditionalFormatting sqref="AH14">
    <cfRule type="cellIs" dxfId="31589" priority="87866" stopIfTrue="1" operator="greaterThanOrEqual">
      <formula>0.5</formula>
    </cfRule>
  </conditionalFormatting>
  <conditionalFormatting sqref="AH15">
    <cfRule type="cellIs" dxfId="31588" priority="87867" stopIfTrue="1" operator="equal">
      <formula>-1</formula>
    </cfRule>
  </conditionalFormatting>
  <conditionalFormatting sqref="AH15">
    <cfRule type="cellIs" dxfId="31587" priority="87868" stopIfTrue="1" operator="lessThan">
      <formula>0.5</formula>
    </cfRule>
  </conditionalFormatting>
  <conditionalFormatting sqref="AH15">
    <cfRule type="cellIs" dxfId="31586" priority="87869" stopIfTrue="1" operator="greaterThanOrEqual">
      <formula>0.5</formula>
    </cfRule>
  </conditionalFormatting>
  <conditionalFormatting sqref="AJ8">
    <cfRule type="cellIs" dxfId="31585" priority="87870" stopIfTrue="1" operator="equal">
      <formula>-1</formula>
    </cfRule>
  </conditionalFormatting>
  <conditionalFormatting sqref="AJ8">
    <cfRule type="cellIs" dxfId="31584" priority="87871" stopIfTrue="1" operator="lessThan">
      <formula>0.5</formula>
    </cfRule>
  </conditionalFormatting>
  <conditionalFormatting sqref="AJ8">
    <cfRule type="cellIs" dxfId="31583" priority="87872" stopIfTrue="1" operator="greaterThanOrEqual">
      <formula>0.5</formula>
    </cfRule>
  </conditionalFormatting>
  <conditionalFormatting sqref="AJ9">
    <cfRule type="cellIs" dxfId="31582" priority="87873" stopIfTrue="1" operator="equal">
      <formula>-1</formula>
    </cfRule>
  </conditionalFormatting>
  <conditionalFormatting sqref="AJ9">
    <cfRule type="cellIs" dxfId="31581" priority="87874" stopIfTrue="1" operator="lessThan">
      <formula>0.5</formula>
    </cfRule>
  </conditionalFormatting>
  <conditionalFormatting sqref="AJ9">
    <cfRule type="cellIs" dxfId="31580" priority="87875" stopIfTrue="1" operator="greaterThanOrEqual">
      <formula>0.5</formula>
    </cfRule>
  </conditionalFormatting>
  <conditionalFormatting sqref="AJ10">
    <cfRule type="cellIs" dxfId="31579" priority="87876" stopIfTrue="1" operator="equal">
      <formula>-1</formula>
    </cfRule>
  </conditionalFormatting>
  <conditionalFormatting sqref="AJ10">
    <cfRule type="cellIs" dxfId="31578" priority="87877" stopIfTrue="1" operator="lessThan">
      <formula>0.5</formula>
    </cfRule>
  </conditionalFormatting>
  <conditionalFormatting sqref="AJ10">
    <cfRule type="cellIs" dxfId="31577" priority="87878" stopIfTrue="1" operator="greaterThanOrEqual">
      <formula>0.5</formula>
    </cfRule>
  </conditionalFormatting>
  <conditionalFormatting sqref="AJ11">
    <cfRule type="cellIs" dxfId="31576" priority="87879" stopIfTrue="1" operator="equal">
      <formula>-1</formula>
    </cfRule>
  </conditionalFormatting>
  <conditionalFormatting sqref="AJ11">
    <cfRule type="cellIs" dxfId="31575" priority="87880" stopIfTrue="1" operator="lessThan">
      <formula>0.5</formula>
    </cfRule>
  </conditionalFormatting>
  <conditionalFormatting sqref="AJ11">
    <cfRule type="cellIs" dxfId="31574" priority="87881" stopIfTrue="1" operator="greaterThanOrEqual">
      <formula>0.5</formula>
    </cfRule>
  </conditionalFormatting>
  <conditionalFormatting sqref="AJ12">
    <cfRule type="cellIs" dxfId="31573" priority="87882" stopIfTrue="1" operator="equal">
      <formula>-1</formula>
    </cfRule>
  </conditionalFormatting>
  <conditionalFormatting sqref="AJ12">
    <cfRule type="cellIs" dxfId="31572" priority="87883" stopIfTrue="1" operator="lessThan">
      <formula>0.5</formula>
    </cfRule>
  </conditionalFormatting>
  <conditionalFormatting sqref="AJ12">
    <cfRule type="cellIs" dxfId="31571" priority="87884" stopIfTrue="1" operator="greaterThanOrEqual">
      <formula>0.5</formula>
    </cfRule>
  </conditionalFormatting>
  <conditionalFormatting sqref="AJ13">
    <cfRule type="cellIs" dxfId="31570" priority="87885" stopIfTrue="1" operator="equal">
      <formula>-1</formula>
    </cfRule>
  </conditionalFormatting>
  <conditionalFormatting sqref="AJ13">
    <cfRule type="cellIs" dxfId="31569" priority="87886" stopIfTrue="1" operator="lessThan">
      <formula>0.5</formula>
    </cfRule>
  </conditionalFormatting>
  <conditionalFormatting sqref="AJ13">
    <cfRule type="cellIs" dxfId="31568" priority="87887" stopIfTrue="1" operator="greaterThanOrEqual">
      <formula>0.5</formula>
    </cfRule>
  </conditionalFormatting>
  <conditionalFormatting sqref="AJ14">
    <cfRule type="cellIs" dxfId="31567" priority="87888" stopIfTrue="1" operator="equal">
      <formula>-1</formula>
    </cfRule>
  </conditionalFormatting>
  <conditionalFormatting sqref="AJ14">
    <cfRule type="cellIs" dxfId="31566" priority="87889" stopIfTrue="1" operator="lessThan">
      <formula>0.5</formula>
    </cfRule>
  </conditionalFormatting>
  <conditionalFormatting sqref="AJ14">
    <cfRule type="cellIs" dxfId="31565" priority="87890" stopIfTrue="1" operator="greaterThanOrEqual">
      <formula>0.5</formula>
    </cfRule>
  </conditionalFormatting>
  <conditionalFormatting sqref="AJ15">
    <cfRule type="cellIs" dxfId="31564" priority="87891" stopIfTrue="1" operator="equal">
      <formula>-1</formula>
    </cfRule>
  </conditionalFormatting>
  <conditionalFormatting sqref="AJ15">
    <cfRule type="cellIs" dxfId="31563" priority="87892" stopIfTrue="1" operator="lessThan">
      <formula>0.5</formula>
    </cfRule>
  </conditionalFormatting>
  <conditionalFormatting sqref="AJ15">
    <cfRule type="cellIs" dxfId="31562" priority="87893" stopIfTrue="1" operator="greaterThanOrEqual">
      <formula>0.5</formula>
    </cfRule>
  </conditionalFormatting>
  <conditionalFormatting sqref="AL8">
    <cfRule type="cellIs" dxfId="31561" priority="87894" stopIfTrue="1" operator="equal">
      <formula>-1</formula>
    </cfRule>
  </conditionalFormatting>
  <conditionalFormatting sqref="AL8">
    <cfRule type="cellIs" dxfId="31560" priority="87895" stopIfTrue="1" operator="lessThan">
      <formula>0.5</formula>
    </cfRule>
  </conditionalFormatting>
  <conditionalFormatting sqref="AL8">
    <cfRule type="cellIs" dxfId="31559" priority="87896" stopIfTrue="1" operator="greaterThanOrEqual">
      <formula>0.5</formula>
    </cfRule>
  </conditionalFormatting>
  <conditionalFormatting sqref="AL9">
    <cfRule type="cellIs" dxfId="31558" priority="87897" stopIfTrue="1" operator="equal">
      <formula>-1</formula>
    </cfRule>
  </conditionalFormatting>
  <conditionalFormatting sqref="AL9">
    <cfRule type="cellIs" dxfId="31557" priority="87898" stopIfTrue="1" operator="lessThan">
      <formula>0.5</formula>
    </cfRule>
  </conditionalFormatting>
  <conditionalFormatting sqref="AL9">
    <cfRule type="cellIs" dxfId="31556" priority="87899" stopIfTrue="1" operator="greaterThanOrEqual">
      <formula>0.5</formula>
    </cfRule>
  </conditionalFormatting>
  <conditionalFormatting sqref="AL10">
    <cfRule type="cellIs" dxfId="31555" priority="87900" stopIfTrue="1" operator="equal">
      <formula>-1</formula>
    </cfRule>
  </conditionalFormatting>
  <conditionalFormatting sqref="AL10">
    <cfRule type="cellIs" dxfId="31554" priority="87901" stopIfTrue="1" operator="lessThan">
      <formula>0.5</formula>
    </cfRule>
  </conditionalFormatting>
  <conditionalFormatting sqref="AL10">
    <cfRule type="cellIs" dxfId="31553" priority="87902" stopIfTrue="1" operator="greaterThanOrEqual">
      <formula>0.5</formula>
    </cfRule>
  </conditionalFormatting>
  <conditionalFormatting sqref="AL11">
    <cfRule type="cellIs" dxfId="31552" priority="87903" stopIfTrue="1" operator="equal">
      <formula>-1</formula>
    </cfRule>
  </conditionalFormatting>
  <conditionalFormatting sqref="AL11">
    <cfRule type="cellIs" dxfId="31551" priority="87904" stopIfTrue="1" operator="lessThan">
      <formula>0.5</formula>
    </cfRule>
  </conditionalFormatting>
  <conditionalFormatting sqref="AL11">
    <cfRule type="cellIs" dxfId="31550" priority="87905" stopIfTrue="1" operator="greaterThanOrEqual">
      <formula>0.5</formula>
    </cfRule>
  </conditionalFormatting>
  <conditionalFormatting sqref="AL12">
    <cfRule type="cellIs" dxfId="31549" priority="87906" stopIfTrue="1" operator="equal">
      <formula>-1</formula>
    </cfRule>
  </conditionalFormatting>
  <conditionalFormatting sqref="AL12">
    <cfRule type="cellIs" dxfId="31548" priority="87907" stopIfTrue="1" operator="lessThan">
      <formula>0.5</formula>
    </cfRule>
  </conditionalFormatting>
  <conditionalFormatting sqref="AL12">
    <cfRule type="cellIs" dxfId="31547" priority="87908" stopIfTrue="1" operator="greaterThanOrEqual">
      <formula>0.5</formula>
    </cfRule>
  </conditionalFormatting>
  <conditionalFormatting sqref="AL13">
    <cfRule type="cellIs" dxfId="31546" priority="87909" stopIfTrue="1" operator="equal">
      <formula>-1</formula>
    </cfRule>
  </conditionalFormatting>
  <conditionalFormatting sqref="AL13">
    <cfRule type="cellIs" dxfId="31545" priority="87910" stopIfTrue="1" operator="lessThan">
      <formula>0.5</formula>
    </cfRule>
  </conditionalFormatting>
  <conditionalFormatting sqref="AL13">
    <cfRule type="cellIs" dxfId="31544" priority="87911" stopIfTrue="1" operator="greaterThanOrEqual">
      <formula>0.5</formula>
    </cfRule>
  </conditionalFormatting>
  <conditionalFormatting sqref="AL14">
    <cfRule type="cellIs" dxfId="31543" priority="87912" stopIfTrue="1" operator="equal">
      <formula>-1</formula>
    </cfRule>
  </conditionalFormatting>
  <conditionalFormatting sqref="AL14">
    <cfRule type="cellIs" dxfId="31542" priority="87913" stopIfTrue="1" operator="lessThan">
      <formula>0.5</formula>
    </cfRule>
  </conditionalFormatting>
  <conditionalFormatting sqref="AL14">
    <cfRule type="cellIs" dxfId="31541" priority="87914" stopIfTrue="1" operator="greaterThanOrEqual">
      <formula>0.5</formula>
    </cfRule>
  </conditionalFormatting>
  <conditionalFormatting sqref="AL15">
    <cfRule type="cellIs" dxfId="31540" priority="87915" stopIfTrue="1" operator="equal">
      <formula>-1</formula>
    </cfRule>
  </conditionalFormatting>
  <conditionalFormatting sqref="AL15">
    <cfRule type="cellIs" dxfId="31539" priority="87916" stopIfTrue="1" operator="lessThan">
      <formula>0.5</formula>
    </cfRule>
  </conditionalFormatting>
  <conditionalFormatting sqref="AL15">
    <cfRule type="cellIs" dxfId="31538" priority="87917" stopIfTrue="1" operator="greaterThanOrEqual">
      <formula>0.5</formula>
    </cfRule>
  </conditionalFormatting>
  <conditionalFormatting sqref="AN8">
    <cfRule type="cellIs" dxfId="31537" priority="87918" stopIfTrue="1" operator="equal">
      <formula>-1</formula>
    </cfRule>
  </conditionalFormatting>
  <conditionalFormatting sqref="AN8">
    <cfRule type="cellIs" dxfId="31536" priority="87919" stopIfTrue="1" operator="lessThan">
      <formula>0.5</formula>
    </cfRule>
  </conditionalFormatting>
  <conditionalFormatting sqref="AN8">
    <cfRule type="cellIs" dxfId="31535" priority="87920" stopIfTrue="1" operator="greaterThanOrEqual">
      <formula>0.5</formula>
    </cfRule>
  </conditionalFormatting>
  <conditionalFormatting sqref="AN9">
    <cfRule type="cellIs" dxfId="31534" priority="87921" stopIfTrue="1" operator="equal">
      <formula>-1</formula>
    </cfRule>
  </conditionalFormatting>
  <conditionalFormatting sqref="AN9">
    <cfRule type="cellIs" dxfId="31533" priority="87922" stopIfTrue="1" operator="lessThan">
      <formula>0.5</formula>
    </cfRule>
  </conditionalFormatting>
  <conditionalFormatting sqref="AN9">
    <cfRule type="cellIs" dxfId="31532" priority="87923" stopIfTrue="1" operator="greaterThanOrEqual">
      <formula>0.5</formula>
    </cfRule>
  </conditionalFormatting>
  <conditionalFormatting sqref="AN10">
    <cfRule type="cellIs" dxfId="31531" priority="87924" stopIfTrue="1" operator="equal">
      <formula>-1</formula>
    </cfRule>
  </conditionalFormatting>
  <conditionalFormatting sqref="AN10">
    <cfRule type="cellIs" dxfId="31530" priority="87925" stopIfTrue="1" operator="lessThan">
      <formula>0.5</formula>
    </cfRule>
  </conditionalFormatting>
  <conditionalFormatting sqref="AN10">
    <cfRule type="cellIs" dxfId="31529" priority="87926" stopIfTrue="1" operator="greaterThanOrEqual">
      <formula>0.5</formula>
    </cfRule>
  </conditionalFormatting>
  <conditionalFormatting sqref="AN11">
    <cfRule type="cellIs" dxfId="31528" priority="87927" stopIfTrue="1" operator="equal">
      <formula>-1</formula>
    </cfRule>
  </conditionalFormatting>
  <conditionalFormatting sqref="AN11">
    <cfRule type="cellIs" dxfId="31527" priority="87928" stopIfTrue="1" operator="lessThan">
      <formula>0.5</formula>
    </cfRule>
  </conditionalFormatting>
  <conditionalFormatting sqref="AN11">
    <cfRule type="cellIs" dxfId="31526" priority="87929" stopIfTrue="1" operator="greaterThanOrEqual">
      <formula>0.5</formula>
    </cfRule>
  </conditionalFormatting>
  <conditionalFormatting sqref="AN12">
    <cfRule type="cellIs" dxfId="31525" priority="87930" stopIfTrue="1" operator="equal">
      <formula>-1</formula>
    </cfRule>
  </conditionalFormatting>
  <conditionalFormatting sqref="AN12">
    <cfRule type="cellIs" dxfId="31524" priority="87931" stopIfTrue="1" operator="lessThan">
      <formula>0.5</formula>
    </cfRule>
  </conditionalFormatting>
  <conditionalFormatting sqref="AN12">
    <cfRule type="cellIs" dxfId="31523" priority="87932" stopIfTrue="1" operator="greaterThanOrEqual">
      <formula>0.5</formula>
    </cfRule>
  </conditionalFormatting>
  <conditionalFormatting sqref="AN13">
    <cfRule type="cellIs" dxfId="31522" priority="87933" stopIfTrue="1" operator="equal">
      <formula>-1</formula>
    </cfRule>
  </conditionalFormatting>
  <conditionalFormatting sqref="AN13">
    <cfRule type="cellIs" dxfId="31521" priority="87934" stopIfTrue="1" operator="lessThan">
      <formula>0.5</formula>
    </cfRule>
  </conditionalFormatting>
  <conditionalFormatting sqref="AN13">
    <cfRule type="cellIs" dxfId="31520" priority="87935" stopIfTrue="1" operator="greaterThanOrEqual">
      <formula>0.5</formula>
    </cfRule>
  </conditionalFormatting>
  <conditionalFormatting sqref="AN14">
    <cfRule type="cellIs" dxfId="31519" priority="87936" stopIfTrue="1" operator="equal">
      <formula>-1</formula>
    </cfRule>
  </conditionalFormatting>
  <conditionalFormatting sqref="AN14">
    <cfRule type="cellIs" dxfId="31518" priority="87937" stopIfTrue="1" operator="lessThan">
      <formula>0.5</formula>
    </cfRule>
  </conditionalFormatting>
  <conditionalFormatting sqref="AN14">
    <cfRule type="cellIs" dxfId="31517" priority="87938" stopIfTrue="1" operator="greaterThanOrEqual">
      <formula>0.5</formula>
    </cfRule>
  </conditionalFormatting>
  <conditionalFormatting sqref="AN15">
    <cfRule type="cellIs" dxfId="31516" priority="87939" stopIfTrue="1" operator="equal">
      <formula>-1</formula>
    </cfRule>
  </conditionalFormatting>
  <conditionalFormatting sqref="AN15">
    <cfRule type="cellIs" dxfId="31515" priority="87940" stopIfTrue="1" operator="lessThan">
      <formula>0.5</formula>
    </cfRule>
  </conditionalFormatting>
  <conditionalFormatting sqref="AN15">
    <cfRule type="cellIs" dxfId="31514" priority="87941" stopIfTrue="1" operator="greaterThanOrEqual">
      <formula>0.5</formula>
    </cfRule>
  </conditionalFormatting>
  <conditionalFormatting sqref="AP8">
    <cfRule type="cellIs" dxfId="31513" priority="87942" stopIfTrue="1" operator="equal">
      <formula>-1</formula>
    </cfRule>
  </conditionalFormatting>
  <conditionalFormatting sqref="AP8">
    <cfRule type="cellIs" dxfId="31512" priority="87943" stopIfTrue="1" operator="lessThan">
      <formula>0.5</formula>
    </cfRule>
  </conditionalFormatting>
  <conditionalFormatting sqref="AP8">
    <cfRule type="cellIs" dxfId="31511" priority="87944" stopIfTrue="1" operator="greaterThanOrEqual">
      <formula>0.5</formula>
    </cfRule>
  </conditionalFormatting>
  <conditionalFormatting sqref="AP9">
    <cfRule type="cellIs" dxfId="31510" priority="87945" stopIfTrue="1" operator="equal">
      <formula>-1</formula>
    </cfRule>
  </conditionalFormatting>
  <conditionalFormatting sqref="AP9">
    <cfRule type="cellIs" dxfId="31509" priority="87946" stopIfTrue="1" operator="lessThan">
      <formula>0.5</formula>
    </cfRule>
  </conditionalFormatting>
  <conditionalFormatting sqref="AP9">
    <cfRule type="cellIs" dxfId="31508" priority="87947" stopIfTrue="1" operator="greaterThanOrEqual">
      <formula>0.5</formula>
    </cfRule>
  </conditionalFormatting>
  <conditionalFormatting sqref="AP10">
    <cfRule type="cellIs" dxfId="31507" priority="87948" stopIfTrue="1" operator="equal">
      <formula>-1</formula>
    </cfRule>
  </conditionalFormatting>
  <conditionalFormatting sqref="AP10">
    <cfRule type="cellIs" dxfId="31506" priority="87949" stopIfTrue="1" operator="lessThan">
      <formula>0.5</formula>
    </cfRule>
  </conditionalFormatting>
  <conditionalFormatting sqref="AP10">
    <cfRule type="cellIs" dxfId="31505" priority="87950" stopIfTrue="1" operator="greaterThanOrEqual">
      <formula>0.5</formula>
    </cfRule>
  </conditionalFormatting>
  <conditionalFormatting sqref="AP11">
    <cfRule type="cellIs" dxfId="31504" priority="87951" stopIfTrue="1" operator="equal">
      <formula>-1</formula>
    </cfRule>
  </conditionalFormatting>
  <conditionalFormatting sqref="AP11">
    <cfRule type="cellIs" dxfId="31503" priority="87952" stopIfTrue="1" operator="lessThan">
      <formula>0.5</formula>
    </cfRule>
  </conditionalFormatting>
  <conditionalFormatting sqref="AP11">
    <cfRule type="cellIs" dxfId="31502" priority="87953" stopIfTrue="1" operator="greaterThanOrEqual">
      <formula>0.5</formula>
    </cfRule>
  </conditionalFormatting>
  <conditionalFormatting sqref="AP12">
    <cfRule type="cellIs" dxfId="31501" priority="87954" stopIfTrue="1" operator="equal">
      <formula>-1</formula>
    </cfRule>
  </conditionalFormatting>
  <conditionalFormatting sqref="AP12">
    <cfRule type="cellIs" dxfId="31500" priority="87955" stopIfTrue="1" operator="lessThan">
      <formula>0.5</formula>
    </cfRule>
  </conditionalFormatting>
  <conditionalFormatting sqref="AP12">
    <cfRule type="cellIs" dxfId="31499" priority="87956" stopIfTrue="1" operator="greaterThanOrEqual">
      <formula>0.5</formula>
    </cfRule>
  </conditionalFormatting>
  <conditionalFormatting sqref="AP13">
    <cfRule type="cellIs" dxfId="31498" priority="87957" stopIfTrue="1" operator="equal">
      <formula>-1</formula>
    </cfRule>
  </conditionalFormatting>
  <conditionalFormatting sqref="AP13">
    <cfRule type="cellIs" dxfId="31497" priority="87958" stopIfTrue="1" operator="lessThan">
      <formula>0.5</formula>
    </cfRule>
  </conditionalFormatting>
  <conditionalFormatting sqref="AP13">
    <cfRule type="cellIs" dxfId="31496" priority="87959" stopIfTrue="1" operator="greaterThanOrEqual">
      <formula>0.5</formula>
    </cfRule>
  </conditionalFormatting>
  <conditionalFormatting sqref="AP14">
    <cfRule type="cellIs" dxfId="31495" priority="87960" stopIfTrue="1" operator="equal">
      <formula>-1</formula>
    </cfRule>
  </conditionalFormatting>
  <conditionalFormatting sqref="AP14">
    <cfRule type="cellIs" dxfId="31494" priority="87961" stopIfTrue="1" operator="lessThan">
      <formula>0.5</formula>
    </cfRule>
  </conditionalFormatting>
  <conditionalFormatting sqref="AP14">
    <cfRule type="cellIs" dxfId="31493" priority="87962" stopIfTrue="1" operator="greaterThanOrEqual">
      <formula>0.5</formula>
    </cfRule>
  </conditionalFormatting>
  <conditionalFormatting sqref="AP15">
    <cfRule type="cellIs" dxfId="31492" priority="87963" stopIfTrue="1" operator="equal">
      <formula>-1</formula>
    </cfRule>
  </conditionalFormatting>
  <conditionalFormatting sqref="AP15">
    <cfRule type="cellIs" dxfId="31491" priority="87964" stopIfTrue="1" operator="lessThan">
      <formula>0.5</formula>
    </cfRule>
  </conditionalFormatting>
  <conditionalFormatting sqref="AP15">
    <cfRule type="cellIs" dxfId="31490" priority="87965" stopIfTrue="1" operator="greaterThanOrEqual">
      <formula>0.5</formula>
    </cfRule>
  </conditionalFormatting>
  <conditionalFormatting sqref="AR8">
    <cfRule type="cellIs" dxfId="31489" priority="87966" stopIfTrue="1" operator="equal">
      <formula>-1</formula>
    </cfRule>
  </conditionalFormatting>
  <conditionalFormatting sqref="AR8">
    <cfRule type="cellIs" dxfId="31488" priority="87967" stopIfTrue="1" operator="lessThan">
      <formula>0.5</formula>
    </cfRule>
  </conditionalFormatting>
  <conditionalFormatting sqref="AR8">
    <cfRule type="cellIs" dxfId="31487" priority="87968" stopIfTrue="1" operator="greaterThanOrEqual">
      <formula>0.5</formula>
    </cfRule>
  </conditionalFormatting>
  <conditionalFormatting sqref="AR9">
    <cfRule type="cellIs" dxfId="31486" priority="87969" stopIfTrue="1" operator="equal">
      <formula>-1</formula>
    </cfRule>
  </conditionalFormatting>
  <conditionalFormatting sqref="AR9">
    <cfRule type="cellIs" dxfId="31485" priority="87970" stopIfTrue="1" operator="lessThan">
      <formula>0.5</formula>
    </cfRule>
  </conditionalFormatting>
  <conditionalFormatting sqref="AR9">
    <cfRule type="cellIs" dxfId="31484" priority="87971" stopIfTrue="1" operator="greaterThanOrEqual">
      <formula>0.5</formula>
    </cfRule>
  </conditionalFormatting>
  <conditionalFormatting sqref="AR10">
    <cfRule type="cellIs" dxfId="31483" priority="87972" stopIfTrue="1" operator="equal">
      <formula>-1</formula>
    </cfRule>
  </conditionalFormatting>
  <conditionalFormatting sqref="AR10">
    <cfRule type="cellIs" dxfId="31482" priority="87973" stopIfTrue="1" operator="lessThan">
      <formula>0.5</formula>
    </cfRule>
  </conditionalFormatting>
  <conditionalFormatting sqref="AR10">
    <cfRule type="cellIs" dxfId="31481" priority="87974" stopIfTrue="1" operator="greaterThanOrEqual">
      <formula>0.5</formula>
    </cfRule>
  </conditionalFormatting>
  <conditionalFormatting sqref="AR11">
    <cfRule type="cellIs" dxfId="31480" priority="87975" stopIfTrue="1" operator="equal">
      <formula>-1</formula>
    </cfRule>
  </conditionalFormatting>
  <conditionalFormatting sqref="AR11">
    <cfRule type="cellIs" dxfId="31479" priority="87976" stopIfTrue="1" operator="lessThan">
      <formula>0.5</formula>
    </cfRule>
  </conditionalFormatting>
  <conditionalFormatting sqref="AR11">
    <cfRule type="cellIs" dxfId="31478" priority="87977" stopIfTrue="1" operator="greaterThanOrEqual">
      <formula>0.5</formula>
    </cfRule>
  </conditionalFormatting>
  <conditionalFormatting sqref="AR12">
    <cfRule type="cellIs" dxfId="31477" priority="87978" stopIfTrue="1" operator="equal">
      <formula>-1</formula>
    </cfRule>
  </conditionalFormatting>
  <conditionalFormatting sqref="AR12">
    <cfRule type="cellIs" dxfId="31476" priority="87979" stopIfTrue="1" operator="lessThan">
      <formula>0.5</formula>
    </cfRule>
  </conditionalFormatting>
  <conditionalFormatting sqref="AR12">
    <cfRule type="cellIs" dxfId="31475" priority="87980" stopIfTrue="1" operator="greaterThanOrEqual">
      <formula>0.5</formula>
    </cfRule>
  </conditionalFormatting>
  <conditionalFormatting sqref="AR13">
    <cfRule type="cellIs" dxfId="31474" priority="87981" stopIfTrue="1" operator="equal">
      <formula>-1</formula>
    </cfRule>
  </conditionalFormatting>
  <conditionalFormatting sqref="AR13">
    <cfRule type="cellIs" dxfId="31473" priority="87982" stopIfTrue="1" operator="lessThan">
      <formula>0.5</formula>
    </cfRule>
  </conditionalFormatting>
  <conditionalFormatting sqref="AR13">
    <cfRule type="cellIs" dxfId="31472" priority="87983" stopIfTrue="1" operator="greaterThanOrEqual">
      <formula>0.5</formula>
    </cfRule>
  </conditionalFormatting>
  <conditionalFormatting sqref="AR14">
    <cfRule type="cellIs" dxfId="31471" priority="87984" stopIfTrue="1" operator="equal">
      <formula>-1</formula>
    </cfRule>
  </conditionalFormatting>
  <conditionalFormatting sqref="AR14">
    <cfRule type="cellIs" dxfId="31470" priority="87985" stopIfTrue="1" operator="lessThan">
      <formula>0.5</formula>
    </cfRule>
  </conditionalFormatting>
  <conditionalFormatting sqref="AR14">
    <cfRule type="cellIs" dxfId="31469" priority="87986" stopIfTrue="1" operator="greaterThanOrEqual">
      <formula>0.5</formula>
    </cfRule>
  </conditionalFormatting>
  <conditionalFormatting sqref="AR15">
    <cfRule type="cellIs" dxfId="31468" priority="87987" stopIfTrue="1" operator="equal">
      <formula>-1</formula>
    </cfRule>
  </conditionalFormatting>
  <conditionalFormatting sqref="AR15">
    <cfRule type="cellIs" dxfId="31467" priority="87988" stopIfTrue="1" operator="lessThan">
      <formula>0.5</formula>
    </cfRule>
  </conditionalFormatting>
  <conditionalFormatting sqref="AR15">
    <cfRule type="cellIs" dxfId="31466" priority="87989" stopIfTrue="1" operator="greaterThanOrEqual">
      <formula>0.5</formula>
    </cfRule>
  </conditionalFormatting>
  <conditionalFormatting sqref="AT8">
    <cfRule type="cellIs" dxfId="31465" priority="87990" stopIfTrue="1" operator="equal">
      <formula>-1</formula>
    </cfRule>
  </conditionalFormatting>
  <conditionalFormatting sqref="AT8">
    <cfRule type="cellIs" dxfId="31464" priority="87991" stopIfTrue="1" operator="lessThan">
      <formula>0.5</formula>
    </cfRule>
  </conditionalFormatting>
  <conditionalFormatting sqref="AT8">
    <cfRule type="cellIs" dxfId="31463" priority="87992" stopIfTrue="1" operator="greaterThanOrEqual">
      <formula>0.5</formula>
    </cfRule>
  </conditionalFormatting>
  <conditionalFormatting sqref="AT9">
    <cfRule type="cellIs" dxfId="31462" priority="87993" stopIfTrue="1" operator="equal">
      <formula>-1</formula>
    </cfRule>
  </conditionalFormatting>
  <conditionalFormatting sqref="AT9">
    <cfRule type="cellIs" dxfId="31461" priority="87994" stopIfTrue="1" operator="lessThan">
      <formula>0.5</formula>
    </cfRule>
  </conditionalFormatting>
  <conditionalFormatting sqref="AT9">
    <cfRule type="cellIs" dxfId="31460" priority="87995" stopIfTrue="1" operator="greaterThanOrEqual">
      <formula>0.5</formula>
    </cfRule>
  </conditionalFormatting>
  <conditionalFormatting sqref="AT10">
    <cfRule type="cellIs" dxfId="31459" priority="87996" stopIfTrue="1" operator="equal">
      <formula>-1</formula>
    </cfRule>
  </conditionalFormatting>
  <conditionalFormatting sqref="AT10">
    <cfRule type="cellIs" dxfId="31458" priority="87997" stopIfTrue="1" operator="lessThan">
      <formula>0.5</formula>
    </cfRule>
  </conditionalFormatting>
  <conditionalFormatting sqref="AT10">
    <cfRule type="cellIs" dxfId="31457" priority="87998" stopIfTrue="1" operator="greaterThanOrEqual">
      <formula>0.5</formula>
    </cfRule>
  </conditionalFormatting>
  <conditionalFormatting sqref="AT11">
    <cfRule type="cellIs" dxfId="31456" priority="87999" stopIfTrue="1" operator="equal">
      <formula>-1</formula>
    </cfRule>
  </conditionalFormatting>
  <conditionalFormatting sqref="AT11">
    <cfRule type="cellIs" dxfId="31455" priority="88000" stopIfTrue="1" operator="lessThan">
      <formula>0.5</formula>
    </cfRule>
  </conditionalFormatting>
  <conditionalFormatting sqref="AT11">
    <cfRule type="cellIs" dxfId="31454" priority="88001" stopIfTrue="1" operator="greaterThanOrEqual">
      <formula>0.5</formula>
    </cfRule>
  </conditionalFormatting>
  <conditionalFormatting sqref="AT12">
    <cfRule type="cellIs" dxfId="31453" priority="88002" stopIfTrue="1" operator="equal">
      <formula>-1</formula>
    </cfRule>
  </conditionalFormatting>
  <conditionalFormatting sqref="AT12">
    <cfRule type="cellIs" dxfId="31452" priority="88003" stopIfTrue="1" operator="lessThan">
      <formula>0.5</formula>
    </cfRule>
  </conditionalFormatting>
  <conditionalFormatting sqref="AT12">
    <cfRule type="cellIs" dxfId="31451" priority="88004" stopIfTrue="1" operator="greaterThanOrEqual">
      <formula>0.5</formula>
    </cfRule>
  </conditionalFormatting>
  <conditionalFormatting sqref="AT13">
    <cfRule type="cellIs" dxfId="31450" priority="88005" stopIfTrue="1" operator="equal">
      <formula>-1</formula>
    </cfRule>
  </conditionalFormatting>
  <conditionalFormatting sqref="AT13">
    <cfRule type="cellIs" dxfId="31449" priority="88006" stopIfTrue="1" operator="lessThan">
      <formula>0.5</formula>
    </cfRule>
  </conditionalFormatting>
  <conditionalFormatting sqref="AT13">
    <cfRule type="cellIs" dxfId="31448" priority="88007" stopIfTrue="1" operator="greaterThanOrEqual">
      <formula>0.5</formula>
    </cfRule>
  </conditionalFormatting>
  <conditionalFormatting sqref="AT14">
    <cfRule type="cellIs" dxfId="31447" priority="88008" stopIfTrue="1" operator="equal">
      <formula>-1</formula>
    </cfRule>
  </conditionalFormatting>
  <conditionalFormatting sqref="AT14">
    <cfRule type="cellIs" dxfId="31446" priority="88009" stopIfTrue="1" operator="lessThan">
      <formula>0.5</formula>
    </cfRule>
  </conditionalFormatting>
  <conditionalFormatting sqref="AT14">
    <cfRule type="cellIs" dxfId="31445" priority="88010" stopIfTrue="1" operator="greaterThanOrEqual">
      <formula>0.5</formula>
    </cfRule>
  </conditionalFormatting>
  <conditionalFormatting sqref="AT15">
    <cfRule type="cellIs" dxfId="31444" priority="88011" stopIfTrue="1" operator="equal">
      <formula>-1</formula>
    </cfRule>
  </conditionalFormatting>
  <conditionalFormatting sqref="AT15">
    <cfRule type="cellIs" dxfId="31443" priority="88012" stopIfTrue="1" operator="lessThan">
      <formula>0.5</formula>
    </cfRule>
  </conditionalFormatting>
  <conditionalFormatting sqref="AT15">
    <cfRule type="cellIs" dxfId="31442" priority="88013" stopIfTrue="1" operator="greaterThanOrEqual">
      <formula>0.5</formula>
    </cfRule>
  </conditionalFormatting>
  <conditionalFormatting sqref="AV8">
    <cfRule type="cellIs" dxfId="31441" priority="88014" stopIfTrue="1" operator="equal">
      <formula>-1</formula>
    </cfRule>
  </conditionalFormatting>
  <conditionalFormatting sqref="AV8">
    <cfRule type="cellIs" dxfId="31440" priority="88015" stopIfTrue="1" operator="lessThan">
      <formula>0.5</formula>
    </cfRule>
  </conditionalFormatting>
  <conditionalFormatting sqref="AV8">
    <cfRule type="cellIs" dxfId="31439" priority="88016" stopIfTrue="1" operator="greaterThanOrEqual">
      <formula>0.5</formula>
    </cfRule>
  </conditionalFormatting>
  <conditionalFormatting sqref="AV9">
    <cfRule type="cellIs" dxfId="31438" priority="88017" stopIfTrue="1" operator="equal">
      <formula>-1</formula>
    </cfRule>
  </conditionalFormatting>
  <conditionalFormatting sqref="AV9">
    <cfRule type="cellIs" dxfId="31437" priority="88018" stopIfTrue="1" operator="lessThan">
      <formula>0.5</formula>
    </cfRule>
  </conditionalFormatting>
  <conditionalFormatting sqref="AV9">
    <cfRule type="cellIs" dxfId="31436" priority="88019" stopIfTrue="1" operator="greaterThanOrEqual">
      <formula>0.5</formula>
    </cfRule>
  </conditionalFormatting>
  <conditionalFormatting sqref="AV10">
    <cfRule type="cellIs" dxfId="31435" priority="88020" stopIfTrue="1" operator="equal">
      <formula>-1</formula>
    </cfRule>
  </conditionalFormatting>
  <conditionalFormatting sqref="AV10">
    <cfRule type="cellIs" dxfId="31434" priority="88021" stopIfTrue="1" operator="lessThan">
      <formula>0.5</formula>
    </cfRule>
  </conditionalFormatting>
  <conditionalFormatting sqref="AV10">
    <cfRule type="cellIs" dxfId="31433" priority="88022" stopIfTrue="1" operator="greaterThanOrEqual">
      <formula>0.5</formula>
    </cfRule>
  </conditionalFormatting>
  <conditionalFormatting sqref="AV11">
    <cfRule type="cellIs" dxfId="31432" priority="88023" stopIfTrue="1" operator="equal">
      <formula>-1</formula>
    </cfRule>
  </conditionalFormatting>
  <conditionalFormatting sqref="AV11">
    <cfRule type="cellIs" dxfId="31431" priority="88024" stopIfTrue="1" operator="lessThan">
      <formula>0.5</formula>
    </cfRule>
  </conditionalFormatting>
  <conditionalFormatting sqref="AV11">
    <cfRule type="cellIs" dxfId="31430" priority="88025" stopIfTrue="1" operator="greaterThanOrEqual">
      <formula>0.5</formula>
    </cfRule>
  </conditionalFormatting>
  <conditionalFormatting sqref="AV12">
    <cfRule type="cellIs" dxfId="31429" priority="88026" stopIfTrue="1" operator="equal">
      <formula>-1</formula>
    </cfRule>
  </conditionalFormatting>
  <conditionalFormatting sqref="AV12">
    <cfRule type="cellIs" dxfId="31428" priority="88027" stopIfTrue="1" operator="lessThan">
      <formula>0.5</formula>
    </cfRule>
  </conditionalFormatting>
  <conditionalFormatting sqref="AV12">
    <cfRule type="cellIs" dxfId="31427" priority="88028" stopIfTrue="1" operator="greaterThanOrEqual">
      <formula>0.5</formula>
    </cfRule>
  </conditionalFormatting>
  <conditionalFormatting sqref="AV13">
    <cfRule type="cellIs" dxfId="31426" priority="88029" stopIfTrue="1" operator="equal">
      <formula>-1</formula>
    </cfRule>
  </conditionalFormatting>
  <conditionalFormatting sqref="AV13">
    <cfRule type="cellIs" dxfId="31425" priority="88030" stopIfTrue="1" operator="lessThan">
      <formula>0.5</formula>
    </cfRule>
  </conditionalFormatting>
  <conditionalFormatting sqref="AV13">
    <cfRule type="cellIs" dxfId="31424" priority="88031" stopIfTrue="1" operator="greaterThanOrEqual">
      <formula>0.5</formula>
    </cfRule>
  </conditionalFormatting>
  <conditionalFormatting sqref="AV14">
    <cfRule type="cellIs" dxfId="31423" priority="88032" stopIfTrue="1" operator="equal">
      <formula>-1</formula>
    </cfRule>
  </conditionalFormatting>
  <conditionalFormatting sqref="AV14">
    <cfRule type="cellIs" dxfId="31422" priority="88033" stopIfTrue="1" operator="lessThan">
      <formula>0.5</formula>
    </cfRule>
  </conditionalFormatting>
  <conditionalFormatting sqref="AV14">
    <cfRule type="cellIs" dxfId="31421" priority="88034" stopIfTrue="1" operator="greaterThanOrEqual">
      <formula>0.5</formula>
    </cfRule>
  </conditionalFormatting>
  <conditionalFormatting sqref="AV15">
    <cfRule type="cellIs" dxfId="31420" priority="88035" stopIfTrue="1" operator="equal">
      <formula>-1</formula>
    </cfRule>
  </conditionalFormatting>
  <conditionalFormatting sqref="AV15">
    <cfRule type="cellIs" dxfId="31419" priority="88036" stopIfTrue="1" operator="lessThan">
      <formula>0.5</formula>
    </cfRule>
  </conditionalFormatting>
  <conditionalFormatting sqref="AV15">
    <cfRule type="cellIs" dxfId="31418" priority="88037" stopIfTrue="1" operator="greaterThanOrEqual">
      <formula>0.5</formula>
    </cfRule>
  </conditionalFormatting>
  <conditionalFormatting sqref="AX8">
    <cfRule type="cellIs" dxfId="31417" priority="88038" stopIfTrue="1" operator="equal">
      <formula>-1</formula>
    </cfRule>
  </conditionalFormatting>
  <conditionalFormatting sqref="AX8">
    <cfRule type="cellIs" dxfId="31416" priority="88039" stopIfTrue="1" operator="lessThan">
      <formula>0.5</formula>
    </cfRule>
  </conditionalFormatting>
  <conditionalFormatting sqref="AX8">
    <cfRule type="cellIs" dxfId="31415" priority="88040" stopIfTrue="1" operator="greaterThanOrEqual">
      <formula>0.5</formula>
    </cfRule>
  </conditionalFormatting>
  <conditionalFormatting sqref="AX9">
    <cfRule type="cellIs" dxfId="31414" priority="88041" stopIfTrue="1" operator="equal">
      <formula>-1</formula>
    </cfRule>
  </conditionalFormatting>
  <conditionalFormatting sqref="AX9">
    <cfRule type="cellIs" dxfId="31413" priority="88042" stopIfTrue="1" operator="lessThan">
      <formula>0.5</formula>
    </cfRule>
  </conditionalFormatting>
  <conditionalFormatting sqref="AX9">
    <cfRule type="cellIs" dxfId="31412" priority="88043" stopIfTrue="1" operator="greaterThanOrEqual">
      <formula>0.5</formula>
    </cfRule>
  </conditionalFormatting>
  <conditionalFormatting sqref="AX10">
    <cfRule type="cellIs" dxfId="31411" priority="88044" stopIfTrue="1" operator="equal">
      <formula>-1</formula>
    </cfRule>
  </conditionalFormatting>
  <conditionalFormatting sqref="AX10">
    <cfRule type="cellIs" dxfId="31410" priority="88045" stopIfTrue="1" operator="lessThan">
      <formula>0.5</formula>
    </cfRule>
  </conditionalFormatting>
  <conditionalFormatting sqref="AX10">
    <cfRule type="cellIs" dxfId="31409" priority="88046" stopIfTrue="1" operator="greaterThanOrEqual">
      <formula>0.5</formula>
    </cfRule>
  </conditionalFormatting>
  <conditionalFormatting sqref="AX11">
    <cfRule type="cellIs" dxfId="31408" priority="88047" stopIfTrue="1" operator="equal">
      <formula>-1</formula>
    </cfRule>
  </conditionalFormatting>
  <conditionalFormatting sqref="AX11">
    <cfRule type="cellIs" dxfId="31407" priority="88048" stopIfTrue="1" operator="lessThan">
      <formula>0.5</formula>
    </cfRule>
  </conditionalFormatting>
  <conditionalFormatting sqref="AX11">
    <cfRule type="cellIs" dxfId="31406" priority="88049" stopIfTrue="1" operator="greaterThanOrEqual">
      <formula>0.5</formula>
    </cfRule>
  </conditionalFormatting>
  <conditionalFormatting sqref="AX12">
    <cfRule type="cellIs" dxfId="31405" priority="88050" stopIfTrue="1" operator="equal">
      <formula>-1</formula>
    </cfRule>
  </conditionalFormatting>
  <conditionalFormatting sqref="AX12">
    <cfRule type="cellIs" dxfId="31404" priority="88051" stopIfTrue="1" operator="lessThan">
      <formula>0.5</formula>
    </cfRule>
  </conditionalFormatting>
  <conditionalFormatting sqref="AX12">
    <cfRule type="cellIs" dxfId="31403" priority="88052" stopIfTrue="1" operator="greaterThanOrEqual">
      <formula>0.5</formula>
    </cfRule>
  </conditionalFormatting>
  <conditionalFormatting sqref="AX13">
    <cfRule type="cellIs" dxfId="31402" priority="88053" stopIfTrue="1" operator="equal">
      <formula>-1</formula>
    </cfRule>
  </conditionalFormatting>
  <conditionalFormatting sqref="AX13">
    <cfRule type="cellIs" dxfId="31401" priority="88054" stopIfTrue="1" operator="lessThan">
      <formula>0.5</formula>
    </cfRule>
  </conditionalFormatting>
  <conditionalFormatting sqref="AX13">
    <cfRule type="cellIs" dxfId="31400" priority="88055" stopIfTrue="1" operator="greaterThanOrEqual">
      <formula>0.5</formula>
    </cfRule>
  </conditionalFormatting>
  <conditionalFormatting sqref="AX14">
    <cfRule type="cellIs" dxfId="31399" priority="88056" stopIfTrue="1" operator="equal">
      <formula>-1</formula>
    </cfRule>
  </conditionalFormatting>
  <conditionalFormatting sqref="AX14">
    <cfRule type="cellIs" dxfId="31398" priority="88057" stopIfTrue="1" operator="lessThan">
      <formula>0.5</formula>
    </cfRule>
  </conditionalFormatting>
  <conditionalFormatting sqref="AX14">
    <cfRule type="cellIs" dxfId="31397" priority="88058" stopIfTrue="1" operator="greaterThanOrEqual">
      <formula>0.5</formula>
    </cfRule>
  </conditionalFormatting>
  <conditionalFormatting sqref="AX15">
    <cfRule type="cellIs" dxfId="31396" priority="88059" stopIfTrue="1" operator="equal">
      <formula>-1</formula>
    </cfRule>
  </conditionalFormatting>
  <conditionalFormatting sqref="AX15">
    <cfRule type="cellIs" dxfId="31395" priority="88060" stopIfTrue="1" operator="lessThan">
      <formula>0.5</formula>
    </cfRule>
  </conditionalFormatting>
  <conditionalFormatting sqref="AX15">
    <cfRule type="cellIs" dxfId="31394" priority="88061" stopIfTrue="1" operator="greaterThanOrEqual">
      <formula>0.5</formula>
    </cfRule>
  </conditionalFormatting>
  <conditionalFormatting sqref="AZ8">
    <cfRule type="cellIs" dxfId="31393" priority="88062" stopIfTrue="1" operator="equal">
      <formula>-1</formula>
    </cfRule>
  </conditionalFormatting>
  <conditionalFormatting sqref="AZ8">
    <cfRule type="cellIs" dxfId="31392" priority="88063" stopIfTrue="1" operator="lessThan">
      <formula>0.5</formula>
    </cfRule>
  </conditionalFormatting>
  <conditionalFormatting sqref="AZ8">
    <cfRule type="cellIs" dxfId="31391" priority="88064" stopIfTrue="1" operator="greaterThanOrEqual">
      <formula>0.5</formula>
    </cfRule>
  </conditionalFormatting>
  <conditionalFormatting sqref="AZ9">
    <cfRule type="cellIs" dxfId="31390" priority="88065" stopIfTrue="1" operator="equal">
      <formula>-1</formula>
    </cfRule>
  </conditionalFormatting>
  <conditionalFormatting sqref="AZ9">
    <cfRule type="cellIs" dxfId="31389" priority="88066" stopIfTrue="1" operator="lessThan">
      <formula>0.5</formula>
    </cfRule>
  </conditionalFormatting>
  <conditionalFormatting sqref="AZ9">
    <cfRule type="cellIs" dxfId="31388" priority="88067" stopIfTrue="1" operator="greaterThanOrEqual">
      <formula>0.5</formula>
    </cfRule>
  </conditionalFormatting>
  <conditionalFormatting sqref="AZ10">
    <cfRule type="cellIs" dxfId="31387" priority="88068" stopIfTrue="1" operator="equal">
      <formula>-1</formula>
    </cfRule>
  </conditionalFormatting>
  <conditionalFormatting sqref="AZ10">
    <cfRule type="cellIs" dxfId="31386" priority="88069" stopIfTrue="1" operator="lessThan">
      <formula>0.5</formula>
    </cfRule>
  </conditionalFormatting>
  <conditionalFormatting sqref="AZ10">
    <cfRule type="cellIs" dxfId="31385" priority="88070" stopIfTrue="1" operator="greaterThanOrEqual">
      <formula>0.5</formula>
    </cfRule>
  </conditionalFormatting>
  <conditionalFormatting sqref="AZ11">
    <cfRule type="cellIs" dxfId="31384" priority="88071" stopIfTrue="1" operator="equal">
      <formula>-1</formula>
    </cfRule>
  </conditionalFormatting>
  <conditionalFormatting sqref="AZ11">
    <cfRule type="cellIs" dxfId="31383" priority="88072" stopIfTrue="1" operator="lessThan">
      <formula>0.5</formula>
    </cfRule>
  </conditionalFormatting>
  <conditionalFormatting sqref="AZ11">
    <cfRule type="cellIs" dxfId="31382" priority="88073" stopIfTrue="1" operator="greaterThanOrEqual">
      <formula>0.5</formula>
    </cfRule>
  </conditionalFormatting>
  <conditionalFormatting sqref="AZ12">
    <cfRule type="cellIs" dxfId="31381" priority="88074" stopIfTrue="1" operator="equal">
      <formula>-1</formula>
    </cfRule>
  </conditionalFormatting>
  <conditionalFormatting sqref="AZ12">
    <cfRule type="cellIs" dxfId="31380" priority="88075" stopIfTrue="1" operator="lessThan">
      <formula>0.5</formula>
    </cfRule>
  </conditionalFormatting>
  <conditionalFormatting sqref="AZ12">
    <cfRule type="cellIs" dxfId="31379" priority="88076" stopIfTrue="1" operator="greaterThanOrEqual">
      <formula>0.5</formula>
    </cfRule>
  </conditionalFormatting>
  <conditionalFormatting sqref="AZ13">
    <cfRule type="cellIs" dxfId="31378" priority="88077" stopIfTrue="1" operator="equal">
      <formula>-1</formula>
    </cfRule>
  </conditionalFormatting>
  <conditionalFormatting sqref="AZ13">
    <cfRule type="cellIs" dxfId="31377" priority="88078" stopIfTrue="1" operator="lessThan">
      <formula>0.5</formula>
    </cfRule>
  </conditionalFormatting>
  <conditionalFormatting sqref="AZ13">
    <cfRule type="cellIs" dxfId="31376" priority="88079" stopIfTrue="1" operator="greaterThanOrEqual">
      <formula>0.5</formula>
    </cfRule>
  </conditionalFormatting>
  <conditionalFormatting sqref="AZ14">
    <cfRule type="cellIs" dxfId="31375" priority="88080" stopIfTrue="1" operator="equal">
      <formula>-1</formula>
    </cfRule>
  </conditionalFormatting>
  <conditionalFormatting sqref="AZ14">
    <cfRule type="cellIs" dxfId="31374" priority="88081" stopIfTrue="1" operator="lessThan">
      <formula>0.5</formula>
    </cfRule>
  </conditionalFormatting>
  <conditionalFormatting sqref="AZ14">
    <cfRule type="cellIs" dxfId="31373" priority="88082" stopIfTrue="1" operator="greaterThanOrEqual">
      <formula>0.5</formula>
    </cfRule>
  </conditionalFormatting>
  <conditionalFormatting sqref="AZ15">
    <cfRule type="cellIs" dxfId="31372" priority="88083" stopIfTrue="1" operator="equal">
      <formula>-1</formula>
    </cfRule>
  </conditionalFormatting>
  <conditionalFormatting sqref="AZ15">
    <cfRule type="cellIs" dxfId="31371" priority="88084" stopIfTrue="1" operator="lessThan">
      <formula>0.5</formula>
    </cfRule>
  </conditionalFormatting>
  <conditionalFormatting sqref="AZ15">
    <cfRule type="cellIs" dxfId="31370" priority="88085" stopIfTrue="1" operator="greaterThanOrEqual">
      <formula>0.5</formula>
    </cfRule>
  </conditionalFormatting>
  <conditionalFormatting sqref="BB8">
    <cfRule type="cellIs" dxfId="31369" priority="88086" stopIfTrue="1" operator="equal">
      <formula>-1</formula>
    </cfRule>
  </conditionalFormatting>
  <conditionalFormatting sqref="BB8">
    <cfRule type="cellIs" dxfId="31368" priority="88087" stopIfTrue="1" operator="lessThan">
      <formula>0.5</formula>
    </cfRule>
  </conditionalFormatting>
  <conditionalFormatting sqref="BB8">
    <cfRule type="cellIs" dxfId="31367" priority="88088" stopIfTrue="1" operator="greaterThanOrEqual">
      <formula>0.5</formula>
    </cfRule>
  </conditionalFormatting>
  <conditionalFormatting sqref="BB9">
    <cfRule type="cellIs" dxfId="31366" priority="88089" stopIfTrue="1" operator="equal">
      <formula>-1</formula>
    </cfRule>
  </conditionalFormatting>
  <conditionalFormatting sqref="BB9">
    <cfRule type="cellIs" dxfId="31365" priority="88090" stopIfTrue="1" operator="lessThan">
      <formula>0.5</formula>
    </cfRule>
  </conditionalFormatting>
  <conditionalFormatting sqref="BB9">
    <cfRule type="cellIs" dxfId="31364" priority="88091" stopIfTrue="1" operator="greaterThanOrEqual">
      <formula>0.5</formula>
    </cfRule>
  </conditionalFormatting>
  <conditionalFormatting sqref="BB10">
    <cfRule type="cellIs" dxfId="31363" priority="88092" stopIfTrue="1" operator="equal">
      <formula>-1</formula>
    </cfRule>
  </conditionalFormatting>
  <conditionalFormatting sqref="BB10">
    <cfRule type="cellIs" dxfId="31362" priority="88093" stopIfTrue="1" operator="lessThan">
      <formula>0.5</formula>
    </cfRule>
  </conditionalFormatting>
  <conditionalFormatting sqref="BB10">
    <cfRule type="cellIs" dxfId="31361" priority="88094" stopIfTrue="1" operator="greaterThanOrEqual">
      <formula>0.5</formula>
    </cfRule>
  </conditionalFormatting>
  <conditionalFormatting sqref="BB11">
    <cfRule type="cellIs" dxfId="31360" priority="88095" stopIfTrue="1" operator="equal">
      <formula>-1</formula>
    </cfRule>
  </conditionalFormatting>
  <conditionalFormatting sqref="BB11">
    <cfRule type="cellIs" dxfId="31359" priority="88096" stopIfTrue="1" operator="lessThan">
      <formula>0.5</formula>
    </cfRule>
  </conditionalFormatting>
  <conditionalFormatting sqref="BB11">
    <cfRule type="cellIs" dxfId="31358" priority="88097" stopIfTrue="1" operator="greaterThanOrEqual">
      <formula>0.5</formula>
    </cfRule>
  </conditionalFormatting>
  <conditionalFormatting sqref="BB12">
    <cfRule type="cellIs" dxfId="31357" priority="88098" stopIfTrue="1" operator="equal">
      <formula>-1</formula>
    </cfRule>
  </conditionalFormatting>
  <conditionalFormatting sqref="BB12">
    <cfRule type="cellIs" dxfId="31356" priority="88099" stopIfTrue="1" operator="lessThan">
      <formula>0.5</formula>
    </cfRule>
  </conditionalFormatting>
  <conditionalFormatting sqref="BB12">
    <cfRule type="cellIs" dxfId="31355" priority="88100" stopIfTrue="1" operator="greaterThanOrEqual">
      <formula>0.5</formula>
    </cfRule>
  </conditionalFormatting>
  <conditionalFormatting sqref="BB13">
    <cfRule type="cellIs" dxfId="31354" priority="88101" stopIfTrue="1" operator="equal">
      <formula>-1</formula>
    </cfRule>
  </conditionalFormatting>
  <conditionalFormatting sqref="BB13">
    <cfRule type="cellIs" dxfId="31353" priority="88102" stopIfTrue="1" operator="lessThan">
      <formula>0.5</formula>
    </cfRule>
  </conditionalFormatting>
  <conditionalFormatting sqref="BB13">
    <cfRule type="cellIs" dxfId="31352" priority="88103" stopIfTrue="1" operator="greaterThanOrEqual">
      <formula>0.5</formula>
    </cfRule>
  </conditionalFormatting>
  <conditionalFormatting sqref="BB14">
    <cfRule type="cellIs" dxfId="31351" priority="88104" stopIfTrue="1" operator="equal">
      <formula>-1</formula>
    </cfRule>
  </conditionalFormatting>
  <conditionalFormatting sqref="BB14">
    <cfRule type="cellIs" dxfId="31350" priority="88105" stopIfTrue="1" operator="lessThan">
      <formula>0.5</formula>
    </cfRule>
  </conditionalFormatting>
  <conditionalFormatting sqref="BB14">
    <cfRule type="cellIs" dxfId="31349" priority="88106" stopIfTrue="1" operator="greaterThanOrEqual">
      <formula>0.5</formula>
    </cfRule>
  </conditionalFormatting>
  <conditionalFormatting sqref="BB15">
    <cfRule type="cellIs" dxfId="31348" priority="88107" stopIfTrue="1" operator="equal">
      <formula>-1</formula>
    </cfRule>
  </conditionalFormatting>
  <conditionalFormatting sqref="BB15">
    <cfRule type="cellIs" dxfId="31347" priority="88108" stopIfTrue="1" operator="lessThan">
      <formula>0.5</formula>
    </cfRule>
  </conditionalFormatting>
  <conditionalFormatting sqref="BB15">
    <cfRule type="cellIs" dxfId="31346" priority="88109" stopIfTrue="1" operator="greaterThanOrEqual">
      <formula>0.5</formula>
    </cfRule>
  </conditionalFormatting>
  <conditionalFormatting sqref="BD8">
    <cfRule type="cellIs" dxfId="31345" priority="88110" stopIfTrue="1" operator="equal">
      <formula>-1</formula>
    </cfRule>
  </conditionalFormatting>
  <conditionalFormatting sqref="BD8">
    <cfRule type="cellIs" dxfId="31344" priority="88111" stopIfTrue="1" operator="lessThan">
      <formula>0.5</formula>
    </cfRule>
  </conditionalFormatting>
  <conditionalFormatting sqref="BD8">
    <cfRule type="cellIs" dxfId="31343" priority="88112" stopIfTrue="1" operator="greaterThanOrEqual">
      <formula>0.5</formula>
    </cfRule>
  </conditionalFormatting>
  <conditionalFormatting sqref="BD9">
    <cfRule type="cellIs" dxfId="31342" priority="88113" stopIfTrue="1" operator="equal">
      <formula>-1</formula>
    </cfRule>
  </conditionalFormatting>
  <conditionalFormatting sqref="BD9">
    <cfRule type="cellIs" dxfId="31341" priority="88114" stopIfTrue="1" operator="lessThan">
      <formula>0.5</formula>
    </cfRule>
  </conditionalFormatting>
  <conditionalFormatting sqref="BD9">
    <cfRule type="cellIs" dxfId="31340" priority="88115" stopIfTrue="1" operator="greaterThanOrEqual">
      <formula>0.5</formula>
    </cfRule>
  </conditionalFormatting>
  <conditionalFormatting sqref="BD10">
    <cfRule type="cellIs" dxfId="31339" priority="88116" stopIfTrue="1" operator="equal">
      <formula>-1</formula>
    </cfRule>
  </conditionalFormatting>
  <conditionalFormatting sqref="BD10">
    <cfRule type="cellIs" dxfId="31338" priority="88117" stopIfTrue="1" operator="lessThan">
      <formula>0.5</formula>
    </cfRule>
  </conditionalFormatting>
  <conditionalFormatting sqref="BD10">
    <cfRule type="cellIs" dxfId="31337" priority="88118" stopIfTrue="1" operator="greaterThanOrEqual">
      <formula>0.5</formula>
    </cfRule>
  </conditionalFormatting>
  <conditionalFormatting sqref="BD11">
    <cfRule type="cellIs" dxfId="31336" priority="88119" stopIfTrue="1" operator="equal">
      <formula>-1</formula>
    </cfRule>
  </conditionalFormatting>
  <conditionalFormatting sqref="BD11">
    <cfRule type="cellIs" dxfId="31335" priority="88120" stopIfTrue="1" operator="lessThan">
      <formula>0.5</formula>
    </cfRule>
  </conditionalFormatting>
  <conditionalFormatting sqref="BD11">
    <cfRule type="cellIs" dxfId="31334" priority="88121" stopIfTrue="1" operator="greaterThanOrEqual">
      <formula>0.5</formula>
    </cfRule>
  </conditionalFormatting>
  <conditionalFormatting sqref="BD12">
    <cfRule type="cellIs" dxfId="31333" priority="88122" stopIfTrue="1" operator="equal">
      <formula>-1</formula>
    </cfRule>
  </conditionalFormatting>
  <conditionalFormatting sqref="BD12">
    <cfRule type="cellIs" dxfId="31332" priority="88123" stopIfTrue="1" operator="lessThan">
      <formula>0.5</formula>
    </cfRule>
  </conditionalFormatting>
  <conditionalFormatting sqref="BD12">
    <cfRule type="cellIs" dxfId="31331" priority="88124" stopIfTrue="1" operator="greaterThanOrEqual">
      <formula>0.5</formula>
    </cfRule>
  </conditionalFormatting>
  <conditionalFormatting sqref="BD13">
    <cfRule type="cellIs" dxfId="31330" priority="88125" stopIfTrue="1" operator="equal">
      <formula>-1</formula>
    </cfRule>
  </conditionalFormatting>
  <conditionalFormatting sqref="BD13">
    <cfRule type="cellIs" dxfId="31329" priority="88126" stopIfTrue="1" operator="lessThan">
      <formula>0.5</formula>
    </cfRule>
  </conditionalFormatting>
  <conditionalFormatting sqref="BD13">
    <cfRule type="cellIs" dxfId="31328" priority="88127" stopIfTrue="1" operator="greaterThanOrEqual">
      <formula>0.5</formula>
    </cfRule>
  </conditionalFormatting>
  <conditionalFormatting sqref="BD14">
    <cfRule type="cellIs" dxfId="31327" priority="88128" stopIfTrue="1" operator="equal">
      <formula>-1</formula>
    </cfRule>
  </conditionalFormatting>
  <conditionalFormatting sqref="BD14">
    <cfRule type="cellIs" dxfId="31326" priority="88129" stopIfTrue="1" operator="lessThan">
      <formula>0.5</formula>
    </cfRule>
  </conditionalFormatting>
  <conditionalFormatting sqref="BD14">
    <cfRule type="cellIs" dxfId="31325" priority="88130" stopIfTrue="1" operator="greaterThanOrEqual">
      <formula>0.5</formula>
    </cfRule>
  </conditionalFormatting>
  <conditionalFormatting sqref="BD15">
    <cfRule type="cellIs" dxfId="31324" priority="88131" stopIfTrue="1" operator="equal">
      <formula>-1</formula>
    </cfRule>
  </conditionalFormatting>
  <conditionalFormatting sqref="BD15">
    <cfRule type="cellIs" dxfId="31323" priority="88132" stopIfTrue="1" operator="lessThan">
      <formula>0.5</formula>
    </cfRule>
  </conditionalFormatting>
  <conditionalFormatting sqref="BD15">
    <cfRule type="cellIs" dxfId="31322" priority="88133" stopIfTrue="1" operator="greaterThanOrEqual">
      <formula>0.5</formula>
    </cfRule>
  </conditionalFormatting>
  <conditionalFormatting sqref="BF8">
    <cfRule type="cellIs" dxfId="31321" priority="88134" stopIfTrue="1" operator="equal">
      <formula>-1</formula>
    </cfRule>
  </conditionalFormatting>
  <conditionalFormatting sqref="BF8">
    <cfRule type="cellIs" dxfId="31320" priority="88135" stopIfTrue="1" operator="lessThan">
      <formula>0.5</formula>
    </cfRule>
  </conditionalFormatting>
  <conditionalFormatting sqref="BF8">
    <cfRule type="cellIs" dxfId="31319" priority="88136" stopIfTrue="1" operator="greaterThanOrEqual">
      <formula>0.5</formula>
    </cfRule>
  </conditionalFormatting>
  <conditionalFormatting sqref="BF9">
    <cfRule type="cellIs" dxfId="31318" priority="88137" stopIfTrue="1" operator="equal">
      <formula>-1</formula>
    </cfRule>
  </conditionalFormatting>
  <conditionalFormatting sqref="BF9">
    <cfRule type="cellIs" dxfId="31317" priority="88138" stopIfTrue="1" operator="lessThan">
      <formula>0.5</formula>
    </cfRule>
  </conditionalFormatting>
  <conditionalFormatting sqref="BF9">
    <cfRule type="cellIs" dxfId="31316" priority="88139" stopIfTrue="1" operator="greaterThanOrEqual">
      <formula>0.5</formula>
    </cfRule>
  </conditionalFormatting>
  <conditionalFormatting sqref="BF10">
    <cfRule type="cellIs" dxfId="31315" priority="88140" stopIfTrue="1" operator="equal">
      <formula>-1</formula>
    </cfRule>
  </conditionalFormatting>
  <conditionalFormatting sqref="BF10">
    <cfRule type="cellIs" dxfId="31314" priority="88141" stopIfTrue="1" operator="lessThan">
      <formula>0.5</formula>
    </cfRule>
  </conditionalFormatting>
  <conditionalFormatting sqref="BF10">
    <cfRule type="cellIs" dxfId="31313" priority="88142" stopIfTrue="1" operator="greaterThanOrEqual">
      <formula>0.5</formula>
    </cfRule>
  </conditionalFormatting>
  <conditionalFormatting sqref="BF11">
    <cfRule type="cellIs" dxfId="31312" priority="88143" stopIfTrue="1" operator="equal">
      <formula>-1</formula>
    </cfRule>
  </conditionalFormatting>
  <conditionalFormatting sqref="BF11">
    <cfRule type="cellIs" dxfId="31311" priority="88144" stopIfTrue="1" operator="lessThan">
      <formula>0.5</formula>
    </cfRule>
  </conditionalFormatting>
  <conditionalFormatting sqref="BF11">
    <cfRule type="cellIs" dxfId="31310" priority="88145" stopIfTrue="1" operator="greaterThanOrEqual">
      <formula>0.5</formula>
    </cfRule>
  </conditionalFormatting>
  <conditionalFormatting sqref="BF12">
    <cfRule type="cellIs" dxfId="31309" priority="88146" stopIfTrue="1" operator="equal">
      <formula>-1</formula>
    </cfRule>
  </conditionalFormatting>
  <conditionalFormatting sqref="BF12">
    <cfRule type="cellIs" dxfId="31308" priority="88147" stopIfTrue="1" operator="lessThan">
      <formula>0.5</formula>
    </cfRule>
  </conditionalFormatting>
  <conditionalFormatting sqref="BF12">
    <cfRule type="cellIs" dxfId="31307" priority="88148" stopIfTrue="1" operator="greaterThanOrEqual">
      <formula>0.5</formula>
    </cfRule>
  </conditionalFormatting>
  <conditionalFormatting sqref="BF13">
    <cfRule type="cellIs" dxfId="31306" priority="88149" stopIfTrue="1" operator="equal">
      <formula>-1</formula>
    </cfRule>
  </conditionalFormatting>
  <conditionalFormatting sqref="BF13">
    <cfRule type="cellIs" dxfId="31305" priority="88150" stopIfTrue="1" operator="lessThan">
      <formula>0.5</formula>
    </cfRule>
  </conditionalFormatting>
  <conditionalFormatting sqref="BF13">
    <cfRule type="cellIs" dxfId="31304" priority="88151" stopIfTrue="1" operator="greaterThanOrEqual">
      <formula>0.5</formula>
    </cfRule>
  </conditionalFormatting>
  <conditionalFormatting sqref="BF14">
    <cfRule type="cellIs" dxfId="31303" priority="88152" stopIfTrue="1" operator="equal">
      <formula>-1</formula>
    </cfRule>
  </conditionalFormatting>
  <conditionalFormatting sqref="BF14">
    <cfRule type="cellIs" dxfId="31302" priority="88153" stopIfTrue="1" operator="lessThan">
      <formula>0.5</formula>
    </cfRule>
  </conditionalFormatting>
  <conditionalFormatting sqref="BF14">
    <cfRule type="cellIs" dxfId="31301" priority="88154" stopIfTrue="1" operator="greaterThanOrEqual">
      <formula>0.5</formula>
    </cfRule>
  </conditionalFormatting>
  <conditionalFormatting sqref="BF15">
    <cfRule type="cellIs" dxfId="31300" priority="88155" stopIfTrue="1" operator="equal">
      <formula>-1</formula>
    </cfRule>
  </conditionalFormatting>
  <conditionalFormatting sqref="BF15">
    <cfRule type="cellIs" dxfId="31299" priority="88156" stopIfTrue="1" operator="lessThan">
      <formula>0.5</formula>
    </cfRule>
  </conditionalFormatting>
  <conditionalFormatting sqref="BF15">
    <cfRule type="cellIs" dxfId="31298" priority="88157" stopIfTrue="1" operator="greaterThanOrEqual">
      <formula>0.5</formula>
    </cfRule>
  </conditionalFormatting>
  <conditionalFormatting sqref="BH8">
    <cfRule type="cellIs" dxfId="31297" priority="88158" stopIfTrue="1" operator="equal">
      <formula>-1</formula>
    </cfRule>
  </conditionalFormatting>
  <conditionalFormatting sqref="BH8">
    <cfRule type="cellIs" dxfId="31296" priority="88159" stopIfTrue="1" operator="lessThan">
      <formula>0.5</formula>
    </cfRule>
  </conditionalFormatting>
  <conditionalFormatting sqref="BH8">
    <cfRule type="cellIs" dxfId="31295" priority="88160" stopIfTrue="1" operator="greaterThanOrEqual">
      <formula>0.5</formula>
    </cfRule>
  </conditionalFormatting>
  <conditionalFormatting sqref="BH9">
    <cfRule type="cellIs" dxfId="31294" priority="88161" stopIfTrue="1" operator="equal">
      <formula>-1</formula>
    </cfRule>
  </conditionalFormatting>
  <conditionalFormatting sqref="BH9">
    <cfRule type="cellIs" dxfId="31293" priority="88162" stopIfTrue="1" operator="lessThan">
      <formula>0.5</formula>
    </cfRule>
  </conditionalFormatting>
  <conditionalFormatting sqref="BH9">
    <cfRule type="cellIs" dxfId="31292" priority="88163" stopIfTrue="1" operator="greaterThanOrEqual">
      <formula>0.5</formula>
    </cfRule>
  </conditionalFormatting>
  <conditionalFormatting sqref="BH10">
    <cfRule type="cellIs" dxfId="31291" priority="88164" stopIfTrue="1" operator="equal">
      <formula>-1</formula>
    </cfRule>
  </conditionalFormatting>
  <conditionalFormatting sqref="BH10">
    <cfRule type="cellIs" dxfId="31290" priority="88165" stopIfTrue="1" operator="lessThan">
      <formula>0.5</formula>
    </cfRule>
  </conditionalFormatting>
  <conditionalFormatting sqref="BH10">
    <cfRule type="cellIs" dxfId="31289" priority="88166" stopIfTrue="1" operator="greaterThanOrEqual">
      <formula>0.5</formula>
    </cfRule>
  </conditionalFormatting>
  <conditionalFormatting sqref="BH11">
    <cfRule type="cellIs" dxfId="31288" priority="88167" stopIfTrue="1" operator="equal">
      <formula>-1</formula>
    </cfRule>
  </conditionalFormatting>
  <conditionalFormatting sqref="BH11">
    <cfRule type="cellIs" dxfId="31287" priority="88168" stopIfTrue="1" operator="lessThan">
      <formula>0.5</formula>
    </cfRule>
  </conditionalFormatting>
  <conditionalFormatting sqref="BH11">
    <cfRule type="cellIs" dxfId="31286" priority="88169" stopIfTrue="1" operator="greaterThanOrEqual">
      <formula>0.5</formula>
    </cfRule>
  </conditionalFormatting>
  <conditionalFormatting sqref="BH12">
    <cfRule type="cellIs" dxfId="31285" priority="88170" stopIfTrue="1" operator="equal">
      <formula>-1</formula>
    </cfRule>
  </conditionalFormatting>
  <conditionalFormatting sqref="BH12">
    <cfRule type="cellIs" dxfId="31284" priority="88171" stopIfTrue="1" operator="lessThan">
      <formula>0.5</formula>
    </cfRule>
  </conditionalFormatting>
  <conditionalFormatting sqref="BH12">
    <cfRule type="cellIs" dxfId="31283" priority="88172" stopIfTrue="1" operator="greaterThanOrEqual">
      <formula>0.5</formula>
    </cfRule>
  </conditionalFormatting>
  <conditionalFormatting sqref="BH13">
    <cfRule type="cellIs" dxfId="31282" priority="88173" stopIfTrue="1" operator="equal">
      <formula>-1</formula>
    </cfRule>
  </conditionalFormatting>
  <conditionalFormatting sqref="BH13">
    <cfRule type="cellIs" dxfId="31281" priority="88174" stopIfTrue="1" operator="lessThan">
      <formula>0.5</formula>
    </cfRule>
  </conditionalFormatting>
  <conditionalFormatting sqref="BH13">
    <cfRule type="cellIs" dxfId="31280" priority="88175" stopIfTrue="1" operator="greaterThanOrEqual">
      <formula>0.5</formula>
    </cfRule>
  </conditionalFormatting>
  <conditionalFormatting sqref="BH14">
    <cfRule type="cellIs" dxfId="31279" priority="88176" stopIfTrue="1" operator="equal">
      <formula>-1</formula>
    </cfRule>
  </conditionalFormatting>
  <conditionalFormatting sqref="BH14">
    <cfRule type="cellIs" dxfId="31278" priority="88177" stopIfTrue="1" operator="lessThan">
      <formula>0.5</formula>
    </cfRule>
  </conditionalFormatting>
  <conditionalFormatting sqref="BH14">
    <cfRule type="cellIs" dxfId="31277" priority="88178" stopIfTrue="1" operator="greaterThanOrEqual">
      <formula>0.5</formula>
    </cfRule>
  </conditionalFormatting>
  <conditionalFormatting sqref="BH15">
    <cfRule type="cellIs" dxfId="31276" priority="88179" stopIfTrue="1" operator="equal">
      <formula>-1</formula>
    </cfRule>
  </conditionalFormatting>
  <conditionalFormatting sqref="BH15">
    <cfRule type="cellIs" dxfId="31275" priority="88180" stopIfTrue="1" operator="lessThan">
      <formula>0.5</formula>
    </cfRule>
  </conditionalFormatting>
  <conditionalFormatting sqref="BH15">
    <cfRule type="cellIs" dxfId="31274" priority="88181" stopIfTrue="1" operator="greaterThanOrEqual">
      <formula>0.5</formula>
    </cfRule>
  </conditionalFormatting>
  <conditionalFormatting sqref="BJ8">
    <cfRule type="cellIs" dxfId="31273" priority="88182" stopIfTrue="1" operator="equal">
      <formula>-1</formula>
    </cfRule>
  </conditionalFormatting>
  <conditionalFormatting sqref="BJ8">
    <cfRule type="cellIs" dxfId="31272" priority="88183" stopIfTrue="1" operator="lessThan">
      <formula>0.5</formula>
    </cfRule>
  </conditionalFormatting>
  <conditionalFormatting sqref="BJ8">
    <cfRule type="cellIs" dxfId="31271" priority="88184" stopIfTrue="1" operator="greaterThanOrEqual">
      <formula>0.5</formula>
    </cfRule>
  </conditionalFormatting>
  <conditionalFormatting sqref="BJ9">
    <cfRule type="cellIs" dxfId="31270" priority="88185" stopIfTrue="1" operator="equal">
      <formula>-1</formula>
    </cfRule>
  </conditionalFormatting>
  <conditionalFormatting sqref="BJ9">
    <cfRule type="cellIs" dxfId="31269" priority="88186" stopIfTrue="1" operator="lessThan">
      <formula>0.5</formula>
    </cfRule>
  </conditionalFormatting>
  <conditionalFormatting sqref="BJ9">
    <cfRule type="cellIs" dxfId="31268" priority="88187" stopIfTrue="1" operator="greaterThanOrEqual">
      <formula>0.5</formula>
    </cfRule>
  </conditionalFormatting>
  <conditionalFormatting sqref="BJ10">
    <cfRule type="cellIs" dxfId="31267" priority="88188" stopIfTrue="1" operator="equal">
      <formula>-1</formula>
    </cfRule>
  </conditionalFormatting>
  <conditionalFormatting sqref="BJ10">
    <cfRule type="cellIs" dxfId="31266" priority="88189" stopIfTrue="1" operator="lessThan">
      <formula>0.5</formula>
    </cfRule>
  </conditionalFormatting>
  <conditionalFormatting sqref="BJ10">
    <cfRule type="cellIs" dxfId="31265" priority="88190" stopIfTrue="1" operator="greaterThanOrEqual">
      <formula>0.5</formula>
    </cfRule>
  </conditionalFormatting>
  <conditionalFormatting sqref="BJ11">
    <cfRule type="cellIs" dxfId="31264" priority="88191" stopIfTrue="1" operator="equal">
      <formula>-1</formula>
    </cfRule>
  </conditionalFormatting>
  <conditionalFormatting sqref="BJ11">
    <cfRule type="cellIs" dxfId="31263" priority="88192" stopIfTrue="1" operator="lessThan">
      <formula>0.5</formula>
    </cfRule>
  </conditionalFormatting>
  <conditionalFormatting sqref="BJ11">
    <cfRule type="cellIs" dxfId="31262" priority="88193" stopIfTrue="1" operator="greaterThanOrEqual">
      <formula>0.5</formula>
    </cfRule>
  </conditionalFormatting>
  <conditionalFormatting sqref="BJ12">
    <cfRule type="cellIs" dxfId="31261" priority="88194" stopIfTrue="1" operator="equal">
      <formula>-1</formula>
    </cfRule>
  </conditionalFormatting>
  <conditionalFormatting sqref="BJ12">
    <cfRule type="cellIs" dxfId="31260" priority="88195" stopIfTrue="1" operator="lessThan">
      <formula>0.5</formula>
    </cfRule>
  </conditionalFormatting>
  <conditionalFormatting sqref="BJ12">
    <cfRule type="cellIs" dxfId="31259" priority="88196" stopIfTrue="1" operator="greaterThanOrEqual">
      <formula>0.5</formula>
    </cfRule>
  </conditionalFormatting>
  <conditionalFormatting sqref="BJ13">
    <cfRule type="cellIs" dxfId="31258" priority="88197" stopIfTrue="1" operator="equal">
      <formula>-1</formula>
    </cfRule>
  </conditionalFormatting>
  <conditionalFormatting sqref="BJ13">
    <cfRule type="cellIs" dxfId="31257" priority="88198" stopIfTrue="1" operator="lessThan">
      <formula>0.5</formula>
    </cfRule>
  </conditionalFormatting>
  <conditionalFormatting sqref="BJ13">
    <cfRule type="cellIs" dxfId="31256" priority="88199" stopIfTrue="1" operator="greaterThanOrEqual">
      <formula>0.5</formula>
    </cfRule>
  </conditionalFormatting>
  <conditionalFormatting sqref="BJ14">
    <cfRule type="cellIs" dxfId="31255" priority="88200" stopIfTrue="1" operator="equal">
      <formula>-1</formula>
    </cfRule>
  </conditionalFormatting>
  <conditionalFormatting sqref="BJ14">
    <cfRule type="cellIs" dxfId="31254" priority="88201" stopIfTrue="1" operator="lessThan">
      <formula>0.5</formula>
    </cfRule>
  </conditionalFormatting>
  <conditionalFormatting sqref="BJ14">
    <cfRule type="cellIs" dxfId="31253" priority="88202" stopIfTrue="1" operator="greaterThanOrEqual">
      <formula>0.5</formula>
    </cfRule>
  </conditionalFormatting>
  <conditionalFormatting sqref="BJ15">
    <cfRule type="cellIs" dxfId="31252" priority="88203" stopIfTrue="1" operator="equal">
      <formula>-1</formula>
    </cfRule>
  </conditionalFormatting>
  <conditionalFormatting sqref="BJ15">
    <cfRule type="cellIs" dxfId="31251" priority="88204" stopIfTrue="1" operator="lessThan">
      <formula>0.5</formula>
    </cfRule>
  </conditionalFormatting>
  <conditionalFormatting sqref="BJ15">
    <cfRule type="cellIs" dxfId="31250" priority="88205" stopIfTrue="1" operator="greaterThanOrEqual">
      <formula>0.5</formula>
    </cfRule>
  </conditionalFormatting>
  <conditionalFormatting sqref="D17">
    <cfRule type="cellIs" dxfId="31249" priority="88206" stopIfTrue="1" operator="equal">
      <formula>-1</formula>
    </cfRule>
  </conditionalFormatting>
  <conditionalFormatting sqref="D17">
    <cfRule type="cellIs" dxfId="31248" priority="88207" stopIfTrue="1" operator="lessThan">
      <formula>0.5</formula>
    </cfRule>
  </conditionalFormatting>
  <conditionalFormatting sqref="D17">
    <cfRule type="cellIs" dxfId="31247" priority="88208" stopIfTrue="1" operator="greaterThanOrEqual">
      <formula>0.5</formula>
    </cfRule>
  </conditionalFormatting>
  <conditionalFormatting sqref="D18">
    <cfRule type="cellIs" dxfId="31246" priority="88209" stopIfTrue="1" operator="equal">
      <formula>-1</formula>
    </cfRule>
  </conditionalFormatting>
  <conditionalFormatting sqref="D18">
    <cfRule type="cellIs" dxfId="31245" priority="88210" stopIfTrue="1" operator="lessThan">
      <formula>0.5</formula>
    </cfRule>
  </conditionalFormatting>
  <conditionalFormatting sqref="D18">
    <cfRule type="cellIs" dxfId="31244" priority="88211" stopIfTrue="1" operator="greaterThanOrEqual">
      <formula>0.5</formula>
    </cfRule>
  </conditionalFormatting>
  <conditionalFormatting sqref="D19">
    <cfRule type="cellIs" dxfId="31243" priority="88212" stopIfTrue="1" operator="equal">
      <formula>-1</formula>
    </cfRule>
  </conditionalFormatting>
  <conditionalFormatting sqref="D19">
    <cfRule type="cellIs" dxfId="31242" priority="88213" stopIfTrue="1" operator="lessThan">
      <formula>0.5</formula>
    </cfRule>
  </conditionalFormatting>
  <conditionalFormatting sqref="D19">
    <cfRule type="cellIs" dxfId="31241" priority="88214" stopIfTrue="1" operator="greaterThanOrEqual">
      <formula>0.5</formula>
    </cfRule>
  </conditionalFormatting>
  <conditionalFormatting sqref="D20">
    <cfRule type="cellIs" dxfId="31240" priority="88215" stopIfTrue="1" operator="equal">
      <formula>-1</formula>
    </cfRule>
  </conditionalFormatting>
  <conditionalFormatting sqref="D20">
    <cfRule type="cellIs" dxfId="31239" priority="88216" stopIfTrue="1" operator="lessThan">
      <formula>0.5</formula>
    </cfRule>
  </conditionalFormatting>
  <conditionalFormatting sqref="D20">
    <cfRule type="cellIs" dxfId="31238" priority="88217" stopIfTrue="1" operator="greaterThanOrEqual">
      <formula>0.5</formula>
    </cfRule>
  </conditionalFormatting>
  <conditionalFormatting sqref="D21">
    <cfRule type="cellIs" dxfId="31237" priority="88218" stopIfTrue="1" operator="equal">
      <formula>-1</formula>
    </cfRule>
  </conditionalFormatting>
  <conditionalFormatting sqref="D21">
    <cfRule type="cellIs" dxfId="31236" priority="88219" stopIfTrue="1" operator="lessThan">
      <formula>0.5</formula>
    </cfRule>
  </conditionalFormatting>
  <conditionalFormatting sqref="D21">
    <cfRule type="cellIs" dxfId="31235" priority="88220" stopIfTrue="1" operator="greaterThanOrEqual">
      <formula>0.5</formula>
    </cfRule>
  </conditionalFormatting>
  <conditionalFormatting sqref="D22">
    <cfRule type="cellIs" dxfId="31234" priority="88221" stopIfTrue="1" operator="equal">
      <formula>-1</formula>
    </cfRule>
  </conditionalFormatting>
  <conditionalFormatting sqref="D22">
    <cfRule type="cellIs" dxfId="31233" priority="88222" stopIfTrue="1" operator="lessThan">
      <formula>0.5</formula>
    </cfRule>
  </conditionalFormatting>
  <conditionalFormatting sqref="D22">
    <cfRule type="cellIs" dxfId="31232" priority="88223" stopIfTrue="1" operator="greaterThanOrEqual">
      <formula>0.5</formula>
    </cfRule>
  </conditionalFormatting>
  <conditionalFormatting sqref="D23">
    <cfRule type="cellIs" dxfId="31231" priority="88224" stopIfTrue="1" operator="equal">
      <formula>-1</formula>
    </cfRule>
  </conditionalFormatting>
  <conditionalFormatting sqref="D23">
    <cfRule type="cellIs" dxfId="31230" priority="88225" stopIfTrue="1" operator="lessThan">
      <formula>0.5</formula>
    </cfRule>
  </conditionalFormatting>
  <conditionalFormatting sqref="D23">
    <cfRule type="cellIs" dxfId="31229" priority="88226" stopIfTrue="1" operator="greaterThanOrEqual">
      <formula>0.5</formula>
    </cfRule>
  </conditionalFormatting>
  <conditionalFormatting sqref="D24">
    <cfRule type="cellIs" dxfId="31228" priority="88227" stopIfTrue="1" operator="equal">
      <formula>-1</formula>
    </cfRule>
  </conditionalFormatting>
  <conditionalFormatting sqref="D24">
    <cfRule type="cellIs" dxfId="31227" priority="88228" stopIfTrue="1" operator="lessThan">
      <formula>0.5</formula>
    </cfRule>
  </conditionalFormatting>
  <conditionalFormatting sqref="D24">
    <cfRule type="cellIs" dxfId="31226" priority="88229" stopIfTrue="1" operator="greaterThanOrEqual">
      <formula>0.5</formula>
    </cfRule>
  </conditionalFormatting>
  <conditionalFormatting sqref="D25">
    <cfRule type="cellIs" dxfId="31225" priority="88230" stopIfTrue="1" operator="equal">
      <formula>-1</formula>
    </cfRule>
  </conditionalFormatting>
  <conditionalFormatting sqref="D25">
    <cfRule type="cellIs" dxfId="31224" priority="88231" stopIfTrue="1" operator="lessThan">
      <formula>0.5</formula>
    </cfRule>
  </conditionalFormatting>
  <conditionalFormatting sqref="D25">
    <cfRule type="cellIs" dxfId="31223" priority="88232" stopIfTrue="1" operator="greaterThanOrEqual">
      <formula>0.5</formula>
    </cfRule>
  </conditionalFormatting>
  <conditionalFormatting sqref="D26">
    <cfRule type="cellIs" dxfId="31222" priority="88233" stopIfTrue="1" operator="equal">
      <formula>-1</formula>
    </cfRule>
  </conditionalFormatting>
  <conditionalFormatting sqref="D26">
    <cfRule type="cellIs" dxfId="31221" priority="88234" stopIfTrue="1" operator="lessThan">
      <formula>0.5</formula>
    </cfRule>
  </conditionalFormatting>
  <conditionalFormatting sqref="D26">
    <cfRule type="cellIs" dxfId="31220" priority="88235" stopIfTrue="1" operator="greaterThanOrEqual">
      <formula>0.5</formula>
    </cfRule>
  </conditionalFormatting>
  <conditionalFormatting sqref="D27">
    <cfRule type="cellIs" dxfId="31219" priority="88236" stopIfTrue="1" operator="equal">
      <formula>-1</formula>
    </cfRule>
  </conditionalFormatting>
  <conditionalFormatting sqref="D27">
    <cfRule type="cellIs" dxfId="31218" priority="88237" stopIfTrue="1" operator="lessThan">
      <formula>0.5</formula>
    </cfRule>
  </conditionalFormatting>
  <conditionalFormatting sqref="D27">
    <cfRule type="cellIs" dxfId="31217" priority="88238" stopIfTrue="1" operator="greaterThanOrEqual">
      <formula>0.5</formula>
    </cfRule>
  </conditionalFormatting>
  <conditionalFormatting sqref="D28">
    <cfRule type="cellIs" dxfId="31216" priority="88239" stopIfTrue="1" operator="equal">
      <formula>-1</formula>
    </cfRule>
  </conditionalFormatting>
  <conditionalFormatting sqref="D28">
    <cfRule type="cellIs" dxfId="31215" priority="88240" stopIfTrue="1" operator="lessThan">
      <formula>0.5</formula>
    </cfRule>
  </conditionalFormatting>
  <conditionalFormatting sqref="D28">
    <cfRule type="cellIs" dxfId="31214" priority="88241" stopIfTrue="1" operator="greaterThanOrEqual">
      <formula>0.5</formula>
    </cfRule>
  </conditionalFormatting>
  <conditionalFormatting sqref="D29">
    <cfRule type="cellIs" dxfId="31213" priority="88242" stopIfTrue="1" operator="equal">
      <formula>-1</formula>
    </cfRule>
  </conditionalFormatting>
  <conditionalFormatting sqref="D29">
    <cfRule type="cellIs" dxfId="31212" priority="88243" stopIfTrue="1" operator="lessThan">
      <formula>0.5</formula>
    </cfRule>
  </conditionalFormatting>
  <conditionalFormatting sqref="D29">
    <cfRule type="cellIs" dxfId="31211" priority="88244" stopIfTrue="1" operator="greaterThanOrEqual">
      <formula>0.5</formula>
    </cfRule>
  </conditionalFormatting>
  <conditionalFormatting sqref="D30">
    <cfRule type="cellIs" dxfId="31210" priority="88245" stopIfTrue="1" operator="equal">
      <formula>-1</formula>
    </cfRule>
  </conditionalFormatting>
  <conditionalFormatting sqref="D30">
    <cfRule type="cellIs" dxfId="31209" priority="88246" stopIfTrue="1" operator="lessThan">
      <formula>0.5</formula>
    </cfRule>
  </conditionalFormatting>
  <conditionalFormatting sqref="D30">
    <cfRule type="cellIs" dxfId="31208" priority="88247" stopIfTrue="1" operator="greaterThanOrEqual">
      <formula>0.5</formula>
    </cfRule>
  </conditionalFormatting>
  <conditionalFormatting sqref="D31">
    <cfRule type="cellIs" dxfId="31207" priority="88248" stopIfTrue="1" operator="equal">
      <formula>-1</formula>
    </cfRule>
  </conditionalFormatting>
  <conditionalFormatting sqref="D31">
    <cfRule type="cellIs" dxfId="31206" priority="88249" stopIfTrue="1" operator="lessThan">
      <formula>0.5</formula>
    </cfRule>
  </conditionalFormatting>
  <conditionalFormatting sqref="D31">
    <cfRule type="cellIs" dxfId="31205" priority="88250" stopIfTrue="1" operator="greaterThanOrEqual">
      <formula>0.5</formula>
    </cfRule>
  </conditionalFormatting>
  <conditionalFormatting sqref="D32">
    <cfRule type="cellIs" dxfId="31204" priority="88251" stopIfTrue="1" operator="equal">
      <formula>-1</formula>
    </cfRule>
  </conditionalFormatting>
  <conditionalFormatting sqref="D32">
    <cfRule type="cellIs" dxfId="31203" priority="88252" stopIfTrue="1" operator="lessThan">
      <formula>0.5</formula>
    </cfRule>
  </conditionalFormatting>
  <conditionalFormatting sqref="D32">
    <cfRule type="cellIs" dxfId="31202" priority="88253" stopIfTrue="1" operator="greaterThanOrEqual">
      <formula>0.5</formula>
    </cfRule>
  </conditionalFormatting>
  <conditionalFormatting sqref="D33">
    <cfRule type="cellIs" dxfId="31201" priority="88254" stopIfTrue="1" operator="equal">
      <formula>-1</formula>
    </cfRule>
  </conditionalFormatting>
  <conditionalFormatting sqref="D33">
    <cfRule type="cellIs" dxfId="31200" priority="88255" stopIfTrue="1" operator="lessThan">
      <formula>0.5</formula>
    </cfRule>
  </conditionalFormatting>
  <conditionalFormatting sqref="D33">
    <cfRule type="cellIs" dxfId="31199" priority="88256" stopIfTrue="1" operator="greaterThanOrEqual">
      <formula>0.5</formula>
    </cfRule>
  </conditionalFormatting>
  <conditionalFormatting sqref="D34">
    <cfRule type="cellIs" dxfId="31198" priority="88257" stopIfTrue="1" operator="equal">
      <formula>-1</formula>
    </cfRule>
  </conditionalFormatting>
  <conditionalFormatting sqref="D34">
    <cfRule type="cellIs" dxfId="31197" priority="88258" stopIfTrue="1" operator="lessThan">
      <formula>0.5</formula>
    </cfRule>
  </conditionalFormatting>
  <conditionalFormatting sqref="D34">
    <cfRule type="cellIs" dxfId="31196" priority="88259" stopIfTrue="1" operator="greaterThanOrEqual">
      <formula>0.5</formula>
    </cfRule>
  </conditionalFormatting>
  <conditionalFormatting sqref="D35">
    <cfRule type="cellIs" dxfId="31195" priority="88260" stopIfTrue="1" operator="equal">
      <formula>-1</formula>
    </cfRule>
  </conditionalFormatting>
  <conditionalFormatting sqref="D35">
    <cfRule type="cellIs" dxfId="31194" priority="88261" stopIfTrue="1" operator="lessThan">
      <formula>0.5</formula>
    </cfRule>
  </conditionalFormatting>
  <conditionalFormatting sqref="D35">
    <cfRule type="cellIs" dxfId="31193" priority="88262" stopIfTrue="1" operator="greaterThanOrEqual">
      <formula>0.5</formula>
    </cfRule>
  </conditionalFormatting>
  <conditionalFormatting sqref="D36">
    <cfRule type="cellIs" dxfId="31192" priority="88263" stopIfTrue="1" operator="equal">
      <formula>-1</formula>
    </cfRule>
  </conditionalFormatting>
  <conditionalFormatting sqref="D36">
    <cfRule type="cellIs" dxfId="31191" priority="88264" stopIfTrue="1" operator="lessThan">
      <formula>0.5</formula>
    </cfRule>
  </conditionalFormatting>
  <conditionalFormatting sqref="D36">
    <cfRule type="cellIs" dxfId="31190" priority="88265" stopIfTrue="1" operator="greaterThanOrEqual">
      <formula>0.5</formula>
    </cfRule>
  </conditionalFormatting>
  <conditionalFormatting sqref="D37">
    <cfRule type="cellIs" dxfId="31189" priority="88266" stopIfTrue="1" operator="equal">
      <formula>-1</formula>
    </cfRule>
  </conditionalFormatting>
  <conditionalFormatting sqref="D37">
    <cfRule type="cellIs" dxfId="31188" priority="88267" stopIfTrue="1" operator="lessThan">
      <formula>0.5</formula>
    </cfRule>
  </conditionalFormatting>
  <conditionalFormatting sqref="D37">
    <cfRule type="cellIs" dxfId="31187" priority="88268" stopIfTrue="1" operator="greaterThanOrEqual">
      <formula>0.5</formula>
    </cfRule>
  </conditionalFormatting>
  <conditionalFormatting sqref="F17">
    <cfRule type="cellIs" dxfId="31186" priority="88269" stopIfTrue="1" operator="equal">
      <formula>-1</formula>
    </cfRule>
  </conditionalFormatting>
  <conditionalFormatting sqref="F17">
    <cfRule type="cellIs" dxfId="31185" priority="88270" stopIfTrue="1" operator="lessThan">
      <formula>0.5</formula>
    </cfRule>
  </conditionalFormatting>
  <conditionalFormatting sqref="F17">
    <cfRule type="cellIs" dxfId="31184" priority="88271" stopIfTrue="1" operator="greaterThanOrEqual">
      <formula>0.5</formula>
    </cfRule>
  </conditionalFormatting>
  <conditionalFormatting sqref="F18">
    <cfRule type="cellIs" dxfId="31183" priority="88272" stopIfTrue="1" operator="equal">
      <formula>-1</formula>
    </cfRule>
  </conditionalFormatting>
  <conditionalFormatting sqref="F18">
    <cfRule type="cellIs" dxfId="31182" priority="88273" stopIfTrue="1" operator="lessThan">
      <formula>0.5</formula>
    </cfRule>
  </conditionalFormatting>
  <conditionalFormatting sqref="F18">
    <cfRule type="cellIs" dxfId="31181" priority="88274" stopIfTrue="1" operator="greaterThanOrEqual">
      <formula>0.5</formula>
    </cfRule>
  </conditionalFormatting>
  <conditionalFormatting sqref="F19">
    <cfRule type="cellIs" dxfId="31180" priority="88275" stopIfTrue="1" operator="equal">
      <formula>-1</formula>
    </cfRule>
  </conditionalFormatting>
  <conditionalFormatting sqref="F19">
    <cfRule type="cellIs" dxfId="31179" priority="88276" stopIfTrue="1" operator="lessThan">
      <formula>0.5</formula>
    </cfRule>
  </conditionalFormatting>
  <conditionalFormatting sqref="F19">
    <cfRule type="cellIs" dxfId="31178" priority="88277" stopIfTrue="1" operator="greaterThanOrEqual">
      <formula>0.5</formula>
    </cfRule>
  </conditionalFormatting>
  <conditionalFormatting sqref="F20">
    <cfRule type="cellIs" dxfId="31177" priority="88278" stopIfTrue="1" operator="equal">
      <formula>-1</formula>
    </cfRule>
  </conditionalFormatting>
  <conditionalFormatting sqref="F20">
    <cfRule type="cellIs" dxfId="31176" priority="88279" stopIfTrue="1" operator="lessThan">
      <formula>0.5</formula>
    </cfRule>
  </conditionalFormatting>
  <conditionalFormatting sqref="F20">
    <cfRule type="cellIs" dxfId="31175" priority="88280" stopIfTrue="1" operator="greaterThanOrEqual">
      <formula>0.5</formula>
    </cfRule>
  </conditionalFormatting>
  <conditionalFormatting sqref="F21">
    <cfRule type="cellIs" dxfId="31174" priority="88281" stopIfTrue="1" operator="equal">
      <formula>-1</formula>
    </cfRule>
  </conditionalFormatting>
  <conditionalFormatting sqref="F21">
    <cfRule type="cellIs" dxfId="31173" priority="88282" stopIfTrue="1" operator="lessThan">
      <formula>0.5</formula>
    </cfRule>
  </conditionalFormatting>
  <conditionalFormatting sqref="F21">
    <cfRule type="cellIs" dxfId="31172" priority="88283" stopIfTrue="1" operator="greaterThanOrEqual">
      <formula>0.5</formula>
    </cfRule>
  </conditionalFormatting>
  <conditionalFormatting sqref="F22">
    <cfRule type="cellIs" dxfId="31171" priority="88284" stopIfTrue="1" operator="equal">
      <formula>-1</formula>
    </cfRule>
  </conditionalFormatting>
  <conditionalFormatting sqref="F22">
    <cfRule type="cellIs" dxfId="31170" priority="88285" stopIfTrue="1" operator="lessThan">
      <formula>0.5</formula>
    </cfRule>
  </conditionalFormatting>
  <conditionalFormatting sqref="F22">
    <cfRule type="cellIs" dxfId="31169" priority="88286" stopIfTrue="1" operator="greaterThanOrEqual">
      <formula>0.5</formula>
    </cfRule>
  </conditionalFormatting>
  <conditionalFormatting sqref="F23">
    <cfRule type="cellIs" dxfId="31168" priority="88287" stopIfTrue="1" operator="equal">
      <formula>-1</formula>
    </cfRule>
  </conditionalFormatting>
  <conditionalFormatting sqref="F23">
    <cfRule type="cellIs" dxfId="31167" priority="88288" stopIfTrue="1" operator="lessThan">
      <formula>0.5</formula>
    </cfRule>
  </conditionalFormatting>
  <conditionalFormatting sqref="F23">
    <cfRule type="cellIs" dxfId="31166" priority="88289" stopIfTrue="1" operator="greaterThanOrEqual">
      <formula>0.5</formula>
    </cfRule>
  </conditionalFormatting>
  <conditionalFormatting sqref="F24">
    <cfRule type="cellIs" dxfId="31165" priority="88290" stopIfTrue="1" operator="equal">
      <formula>-1</formula>
    </cfRule>
  </conditionalFormatting>
  <conditionalFormatting sqref="F24">
    <cfRule type="cellIs" dxfId="31164" priority="88291" stopIfTrue="1" operator="lessThan">
      <formula>0.5</formula>
    </cfRule>
  </conditionalFormatting>
  <conditionalFormatting sqref="F24">
    <cfRule type="cellIs" dxfId="31163" priority="88292" stopIfTrue="1" operator="greaterThanOrEqual">
      <formula>0.5</formula>
    </cfRule>
  </conditionalFormatting>
  <conditionalFormatting sqref="F25">
    <cfRule type="cellIs" dxfId="31162" priority="88293" stopIfTrue="1" operator="equal">
      <formula>-1</formula>
    </cfRule>
  </conditionalFormatting>
  <conditionalFormatting sqref="F25">
    <cfRule type="cellIs" dxfId="31161" priority="88294" stopIfTrue="1" operator="lessThan">
      <formula>0.5</formula>
    </cfRule>
  </conditionalFormatting>
  <conditionalFormatting sqref="F25">
    <cfRule type="cellIs" dxfId="31160" priority="88295" stopIfTrue="1" operator="greaterThanOrEqual">
      <formula>0.5</formula>
    </cfRule>
  </conditionalFormatting>
  <conditionalFormatting sqref="F26">
    <cfRule type="cellIs" dxfId="31159" priority="88296" stopIfTrue="1" operator="equal">
      <formula>-1</formula>
    </cfRule>
  </conditionalFormatting>
  <conditionalFormatting sqref="F26">
    <cfRule type="cellIs" dxfId="31158" priority="88297" stopIfTrue="1" operator="lessThan">
      <formula>0.5</formula>
    </cfRule>
  </conditionalFormatting>
  <conditionalFormatting sqref="F26">
    <cfRule type="cellIs" dxfId="31157" priority="88298" stopIfTrue="1" operator="greaterThanOrEqual">
      <formula>0.5</formula>
    </cfRule>
  </conditionalFormatting>
  <conditionalFormatting sqref="F27">
    <cfRule type="cellIs" dxfId="31156" priority="88299" stopIfTrue="1" operator="equal">
      <formula>-1</formula>
    </cfRule>
  </conditionalFormatting>
  <conditionalFormatting sqref="F27">
    <cfRule type="cellIs" dxfId="31155" priority="88300" stopIfTrue="1" operator="lessThan">
      <formula>0.5</formula>
    </cfRule>
  </conditionalFormatting>
  <conditionalFormatting sqref="F27">
    <cfRule type="cellIs" dxfId="31154" priority="88301" stopIfTrue="1" operator="greaterThanOrEqual">
      <formula>0.5</formula>
    </cfRule>
  </conditionalFormatting>
  <conditionalFormatting sqref="F28">
    <cfRule type="cellIs" dxfId="31153" priority="88302" stopIfTrue="1" operator="equal">
      <formula>-1</formula>
    </cfRule>
  </conditionalFormatting>
  <conditionalFormatting sqref="F28">
    <cfRule type="cellIs" dxfId="31152" priority="88303" stopIfTrue="1" operator="lessThan">
      <formula>0.5</formula>
    </cfRule>
  </conditionalFormatting>
  <conditionalFormatting sqref="F28">
    <cfRule type="cellIs" dxfId="31151" priority="88304" stopIfTrue="1" operator="greaterThanOrEqual">
      <formula>0.5</formula>
    </cfRule>
  </conditionalFormatting>
  <conditionalFormatting sqref="F29">
    <cfRule type="cellIs" dxfId="31150" priority="88305" stopIfTrue="1" operator="equal">
      <formula>-1</formula>
    </cfRule>
  </conditionalFormatting>
  <conditionalFormatting sqref="F29">
    <cfRule type="cellIs" dxfId="31149" priority="88306" stopIfTrue="1" operator="lessThan">
      <formula>0.5</formula>
    </cfRule>
  </conditionalFormatting>
  <conditionalFormatting sqref="F29">
    <cfRule type="cellIs" dxfId="31148" priority="88307" stopIfTrue="1" operator="greaterThanOrEqual">
      <formula>0.5</formula>
    </cfRule>
  </conditionalFormatting>
  <conditionalFormatting sqref="F30">
    <cfRule type="cellIs" dxfId="31147" priority="88308" stopIfTrue="1" operator="equal">
      <formula>-1</formula>
    </cfRule>
  </conditionalFormatting>
  <conditionalFormatting sqref="F30">
    <cfRule type="cellIs" dxfId="31146" priority="88309" stopIfTrue="1" operator="lessThan">
      <formula>0.5</formula>
    </cfRule>
  </conditionalFormatting>
  <conditionalFormatting sqref="F30">
    <cfRule type="cellIs" dxfId="31145" priority="88310" stopIfTrue="1" operator="greaterThanOrEqual">
      <formula>0.5</formula>
    </cfRule>
  </conditionalFormatting>
  <conditionalFormatting sqref="F31">
    <cfRule type="cellIs" dxfId="31144" priority="88311" stopIfTrue="1" operator="equal">
      <formula>-1</formula>
    </cfRule>
  </conditionalFormatting>
  <conditionalFormatting sqref="F31">
    <cfRule type="cellIs" dxfId="31143" priority="88312" stopIfTrue="1" operator="lessThan">
      <formula>0.5</formula>
    </cfRule>
  </conditionalFormatting>
  <conditionalFormatting sqref="F31">
    <cfRule type="cellIs" dxfId="31142" priority="88313" stopIfTrue="1" operator="greaterThanOrEqual">
      <formula>0.5</formula>
    </cfRule>
  </conditionalFormatting>
  <conditionalFormatting sqref="F32">
    <cfRule type="cellIs" dxfId="31141" priority="88314" stopIfTrue="1" operator="equal">
      <formula>-1</formula>
    </cfRule>
  </conditionalFormatting>
  <conditionalFormatting sqref="F32">
    <cfRule type="cellIs" dxfId="31140" priority="88315" stopIfTrue="1" operator="lessThan">
      <formula>0.5</formula>
    </cfRule>
  </conditionalFormatting>
  <conditionalFormatting sqref="F32">
    <cfRule type="cellIs" dxfId="31139" priority="88316" stopIfTrue="1" operator="greaterThanOrEqual">
      <formula>0.5</formula>
    </cfRule>
  </conditionalFormatting>
  <conditionalFormatting sqref="F33">
    <cfRule type="cellIs" dxfId="31138" priority="88317" stopIfTrue="1" operator="equal">
      <formula>-1</formula>
    </cfRule>
  </conditionalFormatting>
  <conditionalFormatting sqref="F33">
    <cfRule type="cellIs" dxfId="31137" priority="88318" stopIfTrue="1" operator="lessThan">
      <formula>0.5</formula>
    </cfRule>
  </conditionalFormatting>
  <conditionalFormatting sqref="F33">
    <cfRule type="cellIs" dxfId="31136" priority="88319" stopIfTrue="1" operator="greaterThanOrEqual">
      <formula>0.5</formula>
    </cfRule>
  </conditionalFormatting>
  <conditionalFormatting sqref="F34">
    <cfRule type="cellIs" dxfId="31135" priority="88320" stopIfTrue="1" operator="equal">
      <formula>-1</formula>
    </cfRule>
  </conditionalFormatting>
  <conditionalFormatting sqref="F34">
    <cfRule type="cellIs" dxfId="31134" priority="88321" stopIfTrue="1" operator="lessThan">
      <formula>0.5</formula>
    </cfRule>
  </conditionalFormatting>
  <conditionalFormatting sqref="F34">
    <cfRule type="cellIs" dxfId="31133" priority="88322" stopIfTrue="1" operator="greaterThanOrEqual">
      <formula>0.5</formula>
    </cfRule>
  </conditionalFormatting>
  <conditionalFormatting sqref="F35">
    <cfRule type="cellIs" dxfId="31132" priority="88323" stopIfTrue="1" operator="equal">
      <formula>-1</formula>
    </cfRule>
  </conditionalFormatting>
  <conditionalFormatting sqref="F35">
    <cfRule type="cellIs" dxfId="31131" priority="88324" stopIfTrue="1" operator="lessThan">
      <formula>0.5</formula>
    </cfRule>
  </conditionalFormatting>
  <conditionalFormatting sqref="F35">
    <cfRule type="cellIs" dxfId="31130" priority="88325" stopIfTrue="1" operator="greaterThanOrEqual">
      <formula>0.5</formula>
    </cfRule>
  </conditionalFormatting>
  <conditionalFormatting sqref="F36">
    <cfRule type="cellIs" dxfId="31129" priority="88326" stopIfTrue="1" operator="equal">
      <formula>-1</formula>
    </cfRule>
  </conditionalFormatting>
  <conditionalFormatting sqref="F36">
    <cfRule type="cellIs" dxfId="31128" priority="88327" stopIfTrue="1" operator="lessThan">
      <formula>0.5</formula>
    </cfRule>
  </conditionalFormatting>
  <conditionalFormatting sqref="F36">
    <cfRule type="cellIs" dxfId="31127" priority="88328" stopIfTrue="1" operator="greaterThanOrEqual">
      <formula>0.5</formula>
    </cfRule>
  </conditionalFormatting>
  <conditionalFormatting sqref="F37">
    <cfRule type="cellIs" dxfId="31126" priority="88329" stopIfTrue="1" operator="equal">
      <formula>-1</formula>
    </cfRule>
  </conditionalFormatting>
  <conditionalFormatting sqref="F37">
    <cfRule type="cellIs" dxfId="31125" priority="88330" stopIfTrue="1" operator="lessThan">
      <formula>0.5</formula>
    </cfRule>
  </conditionalFormatting>
  <conditionalFormatting sqref="F37">
    <cfRule type="cellIs" dxfId="31124" priority="88331" stopIfTrue="1" operator="greaterThanOrEqual">
      <formula>0.5</formula>
    </cfRule>
  </conditionalFormatting>
  <conditionalFormatting sqref="H17">
    <cfRule type="cellIs" dxfId="31123" priority="88332" stopIfTrue="1" operator="equal">
      <formula>-1</formula>
    </cfRule>
  </conditionalFormatting>
  <conditionalFormatting sqref="H17">
    <cfRule type="cellIs" dxfId="31122" priority="88333" stopIfTrue="1" operator="lessThan">
      <formula>0.5</formula>
    </cfRule>
  </conditionalFormatting>
  <conditionalFormatting sqref="H17">
    <cfRule type="cellIs" dxfId="31121" priority="88334" stopIfTrue="1" operator="greaterThanOrEqual">
      <formula>0.5</formula>
    </cfRule>
  </conditionalFormatting>
  <conditionalFormatting sqref="H18">
    <cfRule type="cellIs" dxfId="31120" priority="88335" stopIfTrue="1" operator="equal">
      <formula>-1</formula>
    </cfRule>
  </conditionalFormatting>
  <conditionalFormatting sqref="H18">
    <cfRule type="cellIs" dxfId="31119" priority="88336" stopIfTrue="1" operator="lessThan">
      <formula>0.5</formula>
    </cfRule>
  </conditionalFormatting>
  <conditionalFormatting sqref="H18">
    <cfRule type="cellIs" dxfId="31118" priority="88337" stopIfTrue="1" operator="greaterThanOrEqual">
      <formula>0.5</formula>
    </cfRule>
  </conditionalFormatting>
  <conditionalFormatting sqref="H19">
    <cfRule type="cellIs" dxfId="31117" priority="88338" stopIfTrue="1" operator="equal">
      <formula>-1</formula>
    </cfRule>
  </conditionalFormatting>
  <conditionalFormatting sqref="H19">
    <cfRule type="cellIs" dxfId="31116" priority="88339" stopIfTrue="1" operator="lessThan">
      <formula>0.5</formula>
    </cfRule>
  </conditionalFormatting>
  <conditionalFormatting sqref="H19">
    <cfRule type="cellIs" dxfId="31115" priority="88340" stopIfTrue="1" operator="greaterThanOrEqual">
      <formula>0.5</formula>
    </cfRule>
  </conditionalFormatting>
  <conditionalFormatting sqref="H20">
    <cfRule type="cellIs" dxfId="31114" priority="88341" stopIfTrue="1" operator="equal">
      <formula>-1</formula>
    </cfRule>
  </conditionalFormatting>
  <conditionalFormatting sqref="H20">
    <cfRule type="cellIs" dxfId="31113" priority="88342" stopIfTrue="1" operator="lessThan">
      <formula>0.5</formula>
    </cfRule>
  </conditionalFormatting>
  <conditionalFormatting sqref="H20">
    <cfRule type="cellIs" dxfId="31112" priority="88343" stopIfTrue="1" operator="greaterThanOrEqual">
      <formula>0.5</formula>
    </cfRule>
  </conditionalFormatting>
  <conditionalFormatting sqref="H21">
    <cfRule type="cellIs" dxfId="31111" priority="88344" stopIfTrue="1" operator="equal">
      <formula>-1</formula>
    </cfRule>
  </conditionalFormatting>
  <conditionalFormatting sqref="H21">
    <cfRule type="cellIs" dxfId="31110" priority="88345" stopIfTrue="1" operator="lessThan">
      <formula>0.5</formula>
    </cfRule>
  </conditionalFormatting>
  <conditionalFormatting sqref="H21">
    <cfRule type="cellIs" dxfId="31109" priority="88346" stopIfTrue="1" operator="greaterThanOrEqual">
      <formula>0.5</formula>
    </cfRule>
  </conditionalFormatting>
  <conditionalFormatting sqref="H22">
    <cfRule type="cellIs" dxfId="31108" priority="88347" stopIfTrue="1" operator="equal">
      <formula>-1</formula>
    </cfRule>
  </conditionalFormatting>
  <conditionalFormatting sqref="H22">
    <cfRule type="cellIs" dxfId="31107" priority="88348" stopIfTrue="1" operator="lessThan">
      <formula>0.5</formula>
    </cfRule>
  </conditionalFormatting>
  <conditionalFormatting sqref="H22">
    <cfRule type="cellIs" dxfId="31106" priority="88349" stopIfTrue="1" operator="greaterThanOrEqual">
      <formula>0.5</formula>
    </cfRule>
  </conditionalFormatting>
  <conditionalFormatting sqref="H23">
    <cfRule type="cellIs" dxfId="31105" priority="88350" stopIfTrue="1" operator="equal">
      <formula>-1</formula>
    </cfRule>
  </conditionalFormatting>
  <conditionalFormatting sqref="H23">
    <cfRule type="cellIs" dxfId="31104" priority="88351" stopIfTrue="1" operator="lessThan">
      <formula>0.5</formula>
    </cfRule>
  </conditionalFormatting>
  <conditionalFormatting sqref="H23">
    <cfRule type="cellIs" dxfId="31103" priority="88352" stopIfTrue="1" operator="greaterThanOrEqual">
      <formula>0.5</formula>
    </cfRule>
  </conditionalFormatting>
  <conditionalFormatting sqref="H24">
    <cfRule type="cellIs" dxfId="31102" priority="88353" stopIfTrue="1" operator="equal">
      <formula>-1</formula>
    </cfRule>
  </conditionalFormatting>
  <conditionalFormatting sqref="H24">
    <cfRule type="cellIs" dxfId="31101" priority="88354" stopIfTrue="1" operator="lessThan">
      <formula>0.5</formula>
    </cfRule>
  </conditionalFormatting>
  <conditionalFormatting sqref="H24">
    <cfRule type="cellIs" dxfId="31100" priority="88355" stopIfTrue="1" operator="greaterThanOrEqual">
      <formula>0.5</formula>
    </cfRule>
  </conditionalFormatting>
  <conditionalFormatting sqref="H25">
    <cfRule type="cellIs" dxfId="31099" priority="88356" stopIfTrue="1" operator="equal">
      <formula>-1</formula>
    </cfRule>
  </conditionalFormatting>
  <conditionalFormatting sqref="H25">
    <cfRule type="cellIs" dxfId="31098" priority="88357" stopIfTrue="1" operator="lessThan">
      <formula>0.5</formula>
    </cfRule>
  </conditionalFormatting>
  <conditionalFormatting sqref="H25">
    <cfRule type="cellIs" dxfId="31097" priority="88358" stopIfTrue="1" operator="greaterThanOrEqual">
      <formula>0.5</formula>
    </cfRule>
  </conditionalFormatting>
  <conditionalFormatting sqref="H26">
    <cfRule type="cellIs" dxfId="31096" priority="88359" stopIfTrue="1" operator="equal">
      <formula>-1</formula>
    </cfRule>
  </conditionalFormatting>
  <conditionalFormatting sqref="H26">
    <cfRule type="cellIs" dxfId="31095" priority="88360" stopIfTrue="1" operator="lessThan">
      <formula>0.5</formula>
    </cfRule>
  </conditionalFormatting>
  <conditionalFormatting sqref="H26">
    <cfRule type="cellIs" dxfId="31094" priority="88361" stopIfTrue="1" operator="greaterThanOrEqual">
      <formula>0.5</formula>
    </cfRule>
  </conditionalFormatting>
  <conditionalFormatting sqref="H27">
    <cfRule type="cellIs" dxfId="31093" priority="88362" stopIfTrue="1" operator="equal">
      <formula>-1</formula>
    </cfRule>
  </conditionalFormatting>
  <conditionalFormatting sqref="H27">
    <cfRule type="cellIs" dxfId="31092" priority="88363" stopIfTrue="1" operator="lessThan">
      <formula>0.5</formula>
    </cfRule>
  </conditionalFormatting>
  <conditionalFormatting sqref="H27">
    <cfRule type="cellIs" dxfId="31091" priority="88364" stopIfTrue="1" operator="greaterThanOrEqual">
      <formula>0.5</formula>
    </cfRule>
  </conditionalFormatting>
  <conditionalFormatting sqref="H28">
    <cfRule type="cellIs" dxfId="31090" priority="88365" stopIfTrue="1" operator="equal">
      <formula>-1</formula>
    </cfRule>
  </conditionalFormatting>
  <conditionalFormatting sqref="H28">
    <cfRule type="cellIs" dxfId="31089" priority="88366" stopIfTrue="1" operator="lessThan">
      <formula>0.5</formula>
    </cfRule>
  </conditionalFormatting>
  <conditionalFormatting sqref="H28">
    <cfRule type="cellIs" dxfId="31088" priority="88367" stopIfTrue="1" operator="greaterThanOrEqual">
      <formula>0.5</formula>
    </cfRule>
  </conditionalFormatting>
  <conditionalFormatting sqref="H29">
    <cfRule type="cellIs" dxfId="31087" priority="88368" stopIfTrue="1" operator="equal">
      <formula>-1</formula>
    </cfRule>
  </conditionalFormatting>
  <conditionalFormatting sqref="H29">
    <cfRule type="cellIs" dxfId="31086" priority="88369" stopIfTrue="1" operator="lessThan">
      <formula>0.5</formula>
    </cfRule>
  </conditionalFormatting>
  <conditionalFormatting sqref="H29">
    <cfRule type="cellIs" dxfId="31085" priority="88370" stopIfTrue="1" operator="greaterThanOrEqual">
      <formula>0.5</formula>
    </cfRule>
  </conditionalFormatting>
  <conditionalFormatting sqref="H30">
    <cfRule type="cellIs" dxfId="31084" priority="88371" stopIfTrue="1" operator="equal">
      <formula>-1</formula>
    </cfRule>
  </conditionalFormatting>
  <conditionalFormatting sqref="H30">
    <cfRule type="cellIs" dxfId="31083" priority="88372" stopIfTrue="1" operator="lessThan">
      <formula>0.5</formula>
    </cfRule>
  </conditionalFormatting>
  <conditionalFormatting sqref="H30">
    <cfRule type="cellIs" dxfId="31082" priority="88373" stopIfTrue="1" operator="greaterThanOrEqual">
      <formula>0.5</formula>
    </cfRule>
  </conditionalFormatting>
  <conditionalFormatting sqref="H31">
    <cfRule type="cellIs" dxfId="31081" priority="88374" stopIfTrue="1" operator="equal">
      <formula>-1</formula>
    </cfRule>
  </conditionalFormatting>
  <conditionalFormatting sqref="H31">
    <cfRule type="cellIs" dxfId="31080" priority="88375" stopIfTrue="1" operator="lessThan">
      <formula>0.5</formula>
    </cfRule>
  </conditionalFormatting>
  <conditionalFormatting sqref="H31">
    <cfRule type="cellIs" dxfId="31079" priority="88376" stopIfTrue="1" operator="greaterThanOrEqual">
      <formula>0.5</formula>
    </cfRule>
  </conditionalFormatting>
  <conditionalFormatting sqref="H32">
    <cfRule type="cellIs" dxfId="31078" priority="88377" stopIfTrue="1" operator="equal">
      <formula>-1</formula>
    </cfRule>
  </conditionalFormatting>
  <conditionalFormatting sqref="H32">
    <cfRule type="cellIs" dxfId="31077" priority="88378" stopIfTrue="1" operator="lessThan">
      <formula>0.5</formula>
    </cfRule>
  </conditionalFormatting>
  <conditionalFormatting sqref="H32">
    <cfRule type="cellIs" dxfId="31076" priority="88379" stopIfTrue="1" operator="greaterThanOrEqual">
      <formula>0.5</formula>
    </cfRule>
  </conditionalFormatting>
  <conditionalFormatting sqref="H33">
    <cfRule type="cellIs" dxfId="31075" priority="88380" stopIfTrue="1" operator="equal">
      <formula>-1</formula>
    </cfRule>
  </conditionalFormatting>
  <conditionalFormatting sqref="H33">
    <cfRule type="cellIs" dxfId="31074" priority="88381" stopIfTrue="1" operator="lessThan">
      <formula>0.5</formula>
    </cfRule>
  </conditionalFormatting>
  <conditionalFormatting sqref="H33">
    <cfRule type="cellIs" dxfId="31073" priority="88382" stopIfTrue="1" operator="greaterThanOrEqual">
      <formula>0.5</formula>
    </cfRule>
  </conditionalFormatting>
  <conditionalFormatting sqref="H34">
    <cfRule type="cellIs" dxfId="31072" priority="88383" stopIfTrue="1" operator="equal">
      <formula>-1</formula>
    </cfRule>
  </conditionalFormatting>
  <conditionalFormatting sqref="H34">
    <cfRule type="cellIs" dxfId="31071" priority="88384" stopIfTrue="1" operator="lessThan">
      <formula>0.5</formula>
    </cfRule>
  </conditionalFormatting>
  <conditionalFormatting sqref="H34">
    <cfRule type="cellIs" dxfId="31070" priority="88385" stopIfTrue="1" operator="greaterThanOrEqual">
      <formula>0.5</formula>
    </cfRule>
  </conditionalFormatting>
  <conditionalFormatting sqref="H35">
    <cfRule type="cellIs" dxfId="31069" priority="88386" stopIfTrue="1" operator="equal">
      <formula>-1</formula>
    </cfRule>
  </conditionalFormatting>
  <conditionalFormatting sqref="H35">
    <cfRule type="cellIs" dxfId="31068" priority="88387" stopIfTrue="1" operator="lessThan">
      <formula>0.5</formula>
    </cfRule>
  </conditionalFormatting>
  <conditionalFormatting sqref="H35">
    <cfRule type="cellIs" dxfId="31067" priority="88388" stopIfTrue="1" operator="greaterThanOrEqual">
      <formula>0.5</formula>
    </cfRule>
  </conditionalFormatting>
  <conditionalFormatting sqref="H36">
    <cfRule type="cellIs" dxfId="31066" priority="88389" stopIfTrue="1" operator="equal">
      <formula>-1</formula>
    </cfRule>
  </conditionalFormatting>
  <conditionalFormatting sqref="H36">
    <cfRule type="cellIs" dxfId="31065" priority="88390" stopIfTrue="1" operator="lessThan">
      <formula>0.5</formula>
    </cfRule>
  </conditionalFormatting>
  <conditionalFormatting sqref="H36">
    <cfRule type="cellIs" dxfId="31064" priority="88391" stopIfTrue="1" operator="greaterThanOrEqual">
      <formula>0.5</formula>
    </cfRule>
  </conditionalFormatting>
  <conditionalFormatting sqref="H37">
    <cfRule type="cellIs" dxfId="31063" priority="88392" stopIfTrue="1" operator="equal">
      <formula>-1</formula>
    </cfRule>
  </conditionalFormatting>
  <conditionalFormatting sqref="H37">
    <cfRule type="cellIs" dxfId="31062" priority="88393" stopIfTrue="1" operator="lessThan">
      <formula>0.5</formula>
    </cfRule>
  </conditionalFormatting>
  <conditionalFormatting sqref="H37">
    <cfRule type="cellIs" dxfId="31061" priority="88394" stopIfTrue="1" operator="greaterThanOrEqual">
      <formula>0.5</formula>
    </cfRule>
  </conditionalFormatting>
  <conditionalFormatting sqref="J17">
    <cfRule type="cellIs" dxfId="31060" priority="88395" stopIfTrue="1" operator="equal">
      <formula>-1</formula>
    </cfRule>
  </conditionalFormatting>
  <conditionalFormatting sqref="J17">
    <cfRule type="cellIs" dxfId="31059" priority="88396" stopIfTrue="1" operator="lessThan">
      <formula>0.5</formula>
    </cfRule>
  </conditionalFormatting>
  <conditionalFormatting sqref="J17">
    <cfRule type="cellIs" dxfId="31058" priority="88397" stopIfTrue="1" operator="greaterThanOrEqual">
      <formula>0.5</formula>
    </cfRule>
  </conditionalFormatting>
  <conditionalFormatting sqref="J18">
    <cfRule type="cellIs" dxfId="31057" priority="88398" stopIfTrue="1" operator="equal">
      <formula>-1</formula>
    </cfRule>
  </conditionalFormatting>
  <conditionalFormatting sqref="J18">
    <cfRule type="cellIs" dxfId="31056" priority="88399" stopIfTrue="1" operator="lessThan">
      <formula>0.5</formula>
    </cfRule>
  </conditionalFormatting>
  <conditionalFormatting sqref="J18">
    <cfRule type="cellIs" dxfId="31055" priority="88400" stopIfTrue="1" operator="greaterThanOrEqual">
      <formula>0.5</formula>
    </cfRule>
  </conditionalFormatting>
  <conditionalFormatting sqref="J19">
    <cfRule type="cellIs" dxfId="31054" priority="88401" stopIfTrue="1" operator="equal">
      <formula>-1</formula>
    </cfRule>
  </conditionalFormatting>
  <conditionalFormatting sqref="J19">
    <cfRule type="cellIs" dxfId="31053" priority="88402" stopIfTrue="1" operator="lessThan">
      <formula>0.5</formula>
    </cfRule>
  </conditionalFormatting>
  <conditionalFormatting sqref="J19">
    <cfRule type="cellIs" dxfId="31052" priority="88403" stopIfTrue="1" operator="greaterThanOrEqual">
      <formula>0.5</formula>
    </cfRule>
  </conditionalFormatting>
  <conditionalFormatting sqref="J20">
    <cfRule type="cellIs" dxfId="31051" priority="88404" stopIfTrue="1" operator="equal">
      <formula>-1</formula>
    </cfRule>
  </conditionalFormatting>
  <conditionalFormatting sqref="J20">
    <cfRule type="cellIs" dxfId="31050" priority="88405" stopIfTrue="1" operator="lessThan">
      <formula>0.5</formula>
    </cfRule>
  </conditionalFormatting>
  <conditionalFormatting sqref="J20">
    <cfRule type="cellIs" dxfId="31049" priority="88406" stopIfTrue="1" operator="greaterThanOrEqual">
      <formula>0.5</formula>
    </cfRule>
  </conditionalFormatting>
  <conditionalFormatting sqref="J21">
    <cfRule type="cellIs" dxfId="31048" priority="88407" stopIfTrue="1" operator="equal">
      <formula>-1</formula>
    </cfRule>
  </conditionalFormatting>
  <conditionalFormatting sqref="J21">
    <cfRule type="cellIs" dxfId="31047" priority="88408" stopIfTrue="1" operator="lessThan">
      <formula>0.5</formula>
    </cfRule>
  </conditionalFormatting>
  <conditionalFormatting sqref="J21">
    <cfRule type="cellIs" dxfId="31046" priority="88409" stopIfTrue="1" operator="greaterThanOrEqual">
      <formula>0.5</formula>
    </cfRule>
  </conditionalFormatting>
  <conditionalFormatting sqref="J22">
    <cfRule type="cellIs" dxfId="31045" priority="88410" stopIfTrue="1" operator="equal">
      <formula>-1</formula>
    </cfRule>
  </conditionalFormatting>
  <conditionalFormatting sqref="J22">
    <cfRule type="cellIs" dxfId="31044" priority="88411" stopIfTrue="1" operator="lessThan">
      <formula>0.5</formula>
    </cfRule>
  </conditionalFormatting>
  <conditionalFormatting sqref="J22">
    <cfRule type="cellIs" dxfId="31043" priority="88412" stopIfTrue="1" operator="greaterThanOrEqual">
      <formula>0.5</formula>
    </cfRule>
  </conditionalFormatting>
  <conditionalFormatting sqref="J23">
    <cfRule type="cellIs" dxfId="31042" priority="88413" stopIfTrue="1" operator="equal">
      <formula>-1</formula>
    </cfRule>
  </conditionalFormatting>
  <conditionalFormatting sqref="J23">
    <cfRule type="cellIs" dxfId="31041" priority="88414" stopIfTrue="1" operator="lessThan">
      <formula>0.5</formula>
    </cfRule>
  </conditionalFormatting>
  <conditionalFormatting sqref="J23">
    <cfRule type="cellIs" dxfId="31040" priority="88415" stopIfTrue="1" operator="greaterThanOrEqual">
      <formula>0.5</formula>
    </cfRule>
  </conditionalFormatting>
  <conditionalFormatting sqref="J24">
    <cfRule type="cellIs" dxfId="31039" priority="88416" stopIfTrue="1" operator="equal">
      <formula>-1</formula>
    </cfRule>
  </conditionalFormatting>
  <conditionalFormatting sqref="J24">
    <cfRule type="cellIs" dxfId="31038" priority="88417" stopIfTrue="1" operator="lessThan">
      <formula>0.5</formula>
    </cfRule>
  </conditionalFormatting>
  <conditionalFormatting sqref="J24">
    <cfRule type="cellIs" dxfId="31037" priority="88418" stopIfTrue="1" operator="greaterThanOrEqual">
      <formula>0.5</formula>
    </cfRule>
  </conditionalFormatting>
  <conditionalFormatting sqref="J25">
    <cfRule type="cellIs" dxfId="31036" priority="88419" stopIfTrue="1" operator="equal">
      <formula>-1</formula>
    </cfRule>
  </conditionalFormatting>
  <conditionalFormatting sqref="J25">
    <cfRule type="cellIs" dxfId="31035" priority="88420" stopIfTrue="1" operator="lessThan">
      <formula>0.5</formula>
    </cfRule>
  </conditionalFormatting>
  <conditionalFormatting sqref="J25">
    <cfRule type="cellIs" dxfId="31034" priority="88421" stopIfTrue="1" operator="greaterThanOrEqual">
      <formula>0.5</formula>
    </cfRule>
  </conditionalFormatting>
  <conditionalFormatting sqref="J26">
    <cfRule type="cellIs" dxfId="31033" priority="88422" stopIfTrue="1" operator="equal">
      <formula>-1</formula>
    </cfRule>
  </conditionalFormatting>
  <conditionalFormatting sqref="J26">
    <cfRule type="cellIs" dxfId="31032" priority="88423" stopIfTrue="1" operator="lessThan">
      <formula>0.5</formula>
    </cfRule>
  </conditionalFormatting>
  <conditionalFormatting sqref="J26">
    <cfRule type="cellIs" dxfId="31031" priority="88424" stopIfTrue="1" operator="greaterThanOrEqual">
      <formula>0.5</formula>
    </cfRule>
  </conditionalFormatting>
  <conditionalFormatting sqref="J27">
    <cfRule type="cellIs" dxfId="31030" priority="88425" stopIfTrue="1" operator="equal">
      <formula>-1</formula>
    </cfRule>
  </conditionalFormatting>
  <conditionalFormatting sqref="J27">
    <cfRule type="cellIs" dxfId="31029" priority="88426" stopIfTrue="1" operator="lessThan">
      <formula>0.5</formula>
    </cfRule>
  </conditionalFormatting>
  <conditionalFormatting sqref="J27">
    <cfRule type="cellIs" dxfId="31028" priority="88427" stopIfTrue="1" operator="greaterThanOrEqual">
      <formula>0.5</formula>
    </cfRule>
  </conditionalFormatting>
  <conditionalFormatting sqref="J28">
    <cfRule type="cellIs" dxfId="31027" priority="88428" stopIfTrue="1" operator="equal">
      <formula>-1</formula>
    </cfRule>
  </conditionalFormatting>
  <conditionalFormatting sqref="J28">
    <cfRule type="cellIs" dxfId="31026" priority="88429" stopIfTrue="1" operator="lessThan">
      <formula>0.5</formula>
    </cfRule>
  </conditionalFormatting>
  <conditionalFormatting sqref="J28">
    <cfRule type="cellIs" dxfId="31025" priority="88430" stopIfTrue="1" operator="greaterThanOrEqual">
      <formula>0.5</formula>
    </cfRule>
  </conditionalFormatting>
  <conditionalFormatting sqref="J29">
    <cfRule type="cellIs" dxfId="31024" priority="88431" stopIfTrue="1" operator="equal">
      <formula>-1</formula>
    </cfRule>
  </conditionalFormatting>
  <conditionalFormatting sqref="J29">
    <cfRule type="cellIs" dxfId="31023" priority="88432" stopIfTrue="1" operator="lessThan">
      <formula>0.5</formula>
    </cfRule>
  </conditionalFormatting>
  <conditionalFormatting sqref="J29">
    <cfRule type="cellIs" dxfId="31022" priority="88433" stopIfTrue="1" operator="greaterThanOrEqual">
      <formula>0.5</formula>
    </cfRule>
  </conditionalFormatting>
  <conditionalFormatting sqref="J30">
    <cfRule type="cellIs" dxfId="31021" priority="88434" stopIfTrue="1" operator="equal">
      <formula>-1</formula>
    </cfRule>
  </conditionalFormatting>
  <conditionalFormatting sqref="J30">
    <cfRule type="cellIs" dxfId="31020" priority="88435" stopIfTrue="1" operator="lessThan">
      <formula>0.5</formula>
    </cfRule>
  </conditionalFormatting>
  <conditionalFormatting sqref="J30">
    <cfRule type="cellIs" dxfId="31019" priority="88436" stopIfTrue="1" operator="greaterThanOrEqual">
      <formula>0.5</formula>
    </cfRule>
  </conditionalFormatting>
  <conditionalFormatting sqref="J31">
    <cfRule type="cellIs" dxfId="31018" priority="88437" stopIfTrue="1" operator="equal">
      <formula>-1</formula>
    </cfRule>
  </conditionalFormatting>
  <conditionalFormatting sqref="J31">
    <cfRule type="cellIs" dxfId="31017" priority="88438" stopIfTrue="1" operator="lessThan">
      <formula>0.5</formula>
    </cfRule>
  </conditionalFormatting>
  <conditionalFormatting sqref="J31">
    <cfRule type="cellIs" dxfId="31016" priority="88439" stopIfTrue="1" operator="greaterThanOrEqual">
      <formula>0.5</formula>
    </cfRule>
  </conditionalFormatting>
  <conditionalFormatting sqref="J32">
    <cfRule type="cellIs" dxfId="31015" priority="88440" stopIfTrue="1" operator="equal">
      <formula>-1</formula>
    </cfRule>
  </conditionalFormatting>
  <conditionalFormatting sqref="J32">
    <cfRule type="cellIs" dxfId="31014" priority="88441" stopIfTrue="1" operator="lessThan">
      <formula>0.5</formula>
    </cfRule>
  </conditionalFormatting>
  <conditionalFormatting sqref="J32">
    <cfRule type="cellIs" dxfId="31013" priority="88442" stopIfTrue="1" operator="greaterThanOrEqual">
      <formula>0.5</formula>
    </cfRule>
  </conditionalFormatting>
  <conditionalFormatting sqref="J33">
    <cfRule type="cellIs" dxfId="31012" priority="88443" stopIfTrue="1" operator="equal">
      <formula>-1</formula>
    </cfRule>
  </conditionalFormatting>
  <conditionalFormatting sqref="J33">
    <cfRule type="cellIs" dxfId="31011" priority="88444" stopIfTrue="1" operator="lessThan">
      <formula>0.5</formula>
    </cfRule>
  </conditionalFormatting>
  <conditionalFormatting sqref="J33">
    <cfRule type="cellIs" dxfId="31010" priority="88445" stopIfTrue="1" operator="greaterThanOrEqual">
      <formula>0.5</formula>
    </cfRule>
  </conditionalFormatting>
  <conditionalFormatting sqref="J34">
    <cfRule type="cellIs" dxfId="31009" priority="88446" stopIfTrue="1" operator="equal">
      <formula>-1</formula>
    </cfRule>
  </conditionalFormatting>
  <conditionalFormatting sqref="J34">
    <cfRule type="cellIs" dxfId="31008" priority="88447" stopIfTrue="1" operator="lessThan">
      <formula>0.5</formula>
    </cfRule>
  </conditionalFormatting>
  <conditionalFormatting sqref="J34">
    <cfRule type="cellIs" dxfId="31007" priority="88448" stopIfTrue="1" operator="greaterThanOrEqual">
      <formula>0.5</formula>
    </cfRule>
  </conditionalFormatting>
  <conditionalFormatting sqref="J35">
    <cfRule type="cellIs" dxfId="31006" priority="88449" stopIfTrue="1" operator="equal">
      <formula>-1</formula>
    </cfRule>
  </conditionalFormatting>
  <conditionalFormatting sqref="J35">
    <cfRule type="cellIs" dxfId="31005" priority="88450" stopIfTrue="1" operator="lessThan">
      <formula>0.5</formula>
    </cfRule>
  </conditionalFormatting>
  <conditionalFormatting sqref="J35">
    <cfRule type="cellIs" dxfId="31004" priority="88451" stopIfTrue="1" operator="greaterThanOrEqual">
      <formula>0.5</formula>
    </cfRule>
  </conditionalFormatting>
  <conditionalFormatting sqref="J36">
    <cfRule type="cellIs" dxfId="31003" priority="88452" stopIfTrue="1" operator="equal">
      <formula>-1</formula>
    </cfRule>
  </conditionalFormatting>
  <conditionalFormatting sqref="J36">
    <cfRule type="cellIs" dxfId="31002" priority="88453" stopIfTrue="1" operator="lessThan">
      <formula>0.5</formula>
    </cfRule>
  </conditionalFormatting>
  <conditionalFormatting sqref="J36">
    <cfRule type="cellIs" dxfId="31001" priority="88454" stopIfTrue="1" operator="greaterThanOrEqual">
      <formula>0.5</formula>
    </cfRule>
  </conditionalFormatting>
  <conditionalFormatting sqref="J37">
    <cfRule type="cellIs" dxfId="31000" priority="88455" stopIfTrue="1" operator="equal">
      <formula>-1</formula>
    </cfRule>
  </conditionalFormatting>
  <conditionalFormatting sqref="J37">
    <cfRule type="cellIs" dxfId="30999" priority="88456" stopIfTrue="1" operator="lessThan">
      <formula>0.5</formula>
    </cfRule>
  </conditionalFormatting>
  <conditionalFormatting sqref="J37">
    <cfRule type="cellIs" dxfId="30998" priority="88457" stopIfTrue="1" operator="greaterThanOrEqual">
      <formula>0.5</formula>
    </cfRule>
  </conditionalFormatting>
  <conditionalFormatting sqref="L17">
    <cfRule type="cellIs" dxfId="30997" priority="88458" stopIfTrue="1" operator="equal">
      <formula>-1</formula>
    </cfRule>
  </conditionalFormatting>
  <conditionalFormatting sqref="L17">
    <cfRule type="cellIs" dxfId="30996" priority="88459" stopIfTrue="1" operator="lessThan">
      <formula>0.5</formula>
    </cfRule>
  </conditionalFormatting>
  <conditionalFormatting sqref="L17">
    <cfRule type="cellIs" dxfId="30995" priority="88460" stopIfTrue="1" operator="greaterThanOrEqual">
      <formula>0.5</formula>
    </cfRule>
  </conditionalFormatting>
  <conditionalFormatting sqref="L18">
    <cfRule type="cellIs" dxfId="30994" priority="88461" stopIfTrue="1" operator="equal">
      <formula>-1</formula>
    </cfRule>
  </conditionalFormatting>
  <conditionalFormatting sqref="L18">
    <cfRule type="cellIs" dxfId="30993" priority="88462" stopIfTrue="1" operator="lessThan">
      <formula>0.5</formula>
    </cfRule>
  </conditionalFormatting>
  <conditionalFormatting sqref="L18">
    <cfRule type="cellIs" dxfId="30992" priority="88463" stopIfTrue="1" operator="greaterThanOrEqual">
      <formula>0.5</formula>
    </cfRule>
  </conditionalFormatting>
  <conditionalFormatting sqref="L19">
    <cfRule type="cellIs" dxfId="30991" priority="88464" stopIfTrue="1" operator="equal">
      <formula>-1</formula>
    </cfRule>
  </conditionalFormatting>
  <conditionalFormatting sqref="L19">
    <cfRule type="cellIs" dxfId="30990" priority="88465" stopIfTrue="1" operator="lessThan">
      <formula>0.5</formula>
    </cfRule>
  </conditionalFormatting>
  <conditionalFormatting sqref="L19">
    <cfRule type="cellIs" dxfId="30989" priority="88466" stopIfTrue="1" operator="greaterThanOrEqual">
      <formula>0.5</formula>
    </cfRule>
  </conditionalFormatting>
  <conditionalFormatting sqref="L20">
    <cfRule type="cellIs" dxfId="30988" priority="88467" stopIfTrue="1" operator="equal">
      <formula>-1</formula>
    </cfRule>
  </conditionalFormatting>
  <conditionalFormatting sqref="L20">
    <cfRule type="cellIs" dxfId="30987" priority="88468" stopIfTrue="1" operator="lessThan">
      <formula>0.5</formula>
    </cfRule>
  </conditionalFormatting>
  <conditionalFormatting sqref="L20">
    <cfRule type="cellIs" dxfId="30986" priority="88469" stopIfTrue="1" operator="greaterThanOrEqual">
      <formula>0.5</formula>
    </cfRule>
  </conditionalFormatting>
  <conditionalFormatting sqref="L21">
    <cfRule type="cellIs" dxfId="30985" priority="88470" stopIfTrue="1" operator="equal">
      <formula>-1</formula>
    </cfRule>
  </conditionalFormatting>
  <conditionalFormatting sqref="L21">
    <cfRule type="cellIs" dxfId="30984" priority="88471" stopIfTrue="1" operator="lessThan">
      <formula>0.5</formula>
    </cfRule>
  </conditionalFormatting>
  <conditionalFormatting sqref="L21">
    <cfRule type="cellIs" dxfId="30983" priority="88472" stopIfTrue="1" operator="greaterThanOrEqual">
      <formula>0.5</formula>
    </cfRule>
  </conditionalFormatting>
  <conditionalFormatting sqref="L22">
    <cfRule type="cellIs" dxfId="30982" priority="88473" stopIfTrue="1" operator="equal">
      <formula>-1</formula>
    </cfRule>
  </conditionalFormatting>
  <conditionalFormatting sqref="L22">
    <cfRule type="cellIs" dxfId="30981" priority="88474" stopIfTrue="1" operator="lessThan">
      <formula>0.5</formula>
    </cfRule>
  </conditionalFormatting>
  <conditionalFormatting sqref="L22">
    <cfRule type="cellIs" dxfId="30980" priority="88475" stopIfTrue="1" operator="greaterThanOrEqual">
      <formula>0.5</formula>
    </cfRule>
  </conditionalFormatting>
  <conditionalFormatting sqref="L23">
    <cfRule type="cellIs" dxfId="30979" priority="88476" stopIfTrue="1" operator="equal">
      <formula>-1</formula>
    </cfRule>
  </conditionalFormatting>
  <conditionalFormatting sqref="L23">
    <cfRule type="cellIs" dxfId="30978" priority="88477" stopIfTrue="1" operator="lessThan">
      <formula>0.5</formula>
    </cfRule>
  </conditionalFormatting>
  <conditionalFormatting sqref="L23">
    <cfRule type="cellIs" dxfId="30977" priority="88478" stopIfTrue="1" operator="greaterThanOrEqual">
      <formula>0.5</formula>
    </cfRule>
  </conditionalFormatting>
  <conditionalFormatting sqref="L24">
    <cfRule type="cellIs" dxfId="30976" priority="88479" stopIfTrue="1" operator="equal">
      <formula>-1</formula>
    </cfRule>
  </conditionalFormatting>
  <conditionalFormatting sqref="L24">
    <cfRule type="cellIs" dxfId="30975" priority="88480" stopIfTrue="1" operator="lessThan">
      <formula>0.5</formula>
    </cfRule>
  </conditionalFormatting>
  <conditionalFormatting sqref="L24">
    <cfRule type="cellIs" dxfId="30974" priority="88481" stopIfTrue="1" operator="greaterThanOrEqual">
      <formula>0.5</formula>
    </cfRule>
  </conditionalFormatting>
  <conditionalFormatting sqref="L25">
    <cfRule type="cellIs" dxfId="30973" priority="88482" stopIfTrue="1" operator="equal">
      <formula>-1</formula>
    </cfRule>
  </conditionalFormatting>
  <conditionalFormatting sqref="L25">
    <cfRule type="cellIs" dxfId="30972" priority="88483" stopIfTrue="1" operator="lessThan">
      <formula>0.5</formula>
    </cfRule>
  </conditionalFormatting>
  <conditionalFormatting sqref="L25">
    <cfRule type="cellIs" dxfId="30971" priority="88484" stopIfTrue="1" operator="greaterThanOrEqual">
      <formula>0.5</formula>
    </cfRule>
  </conditionalFormatting>
  <conditionalFormatting sqref="L26">
    <cfRule type="cellIs" dxfId="30970" priority="88485" stopIfTrue="1" operator="equal">
      <formula>-1</formula>
    </cfRule>
  </conditionalFormatting>
  <conditionalFormatting sqref="L26">
    <cfRule type="cellIs" dxfId="30969" priority="88486" stopIfTrue="1" operator="lessThan">
      <formula>0.5</formula>
    </cfRule>
  </conditionalFormatting>
  <conditionalFormatting sqref="L26">
    <cfRule type="cellIs" dxfId="30968" priority="88487" stopIfTrue="1" operator="greaterThanOrEqual">
      <formula>0.5</formula>
    </cfRule>
  </conditionalFormatting>
  <conditionalFormatting sqref="L27">
    <cfRule type="cellIs" dxfId="30967" priority="88488" stopIfTrue="1" operator="equal">
      <formula>-1</formula>
    </cfRule>
  </conditionalFormatting>
  <conditionalFormatting sqref="L27">
    <cfRule type="cellIs" dxfId="30966" priority="88489" stopIfTrue="1" operator="lessThan">
      <formula>0.5</formula>
    </cfRule>
  </conditionalFormatting>
  <conditionalFormatting sqref="L27">
    <cfRule type="cellIs" dxfId="30965" priority="88490" stopIfTrue="1" operator="greaterThanOrEqual">
      <formula>0.5</formula>
    </cfRule>
  </conditionalFormatting>
  <conditionalFormatting sqref="L28">
    <cfRule type="cellIs" dxfId="30964" priority="88491" stopIfTrue="1" operator="equal">
      <formula>-1</formula>
    </cfRule>
  </conditionalFormatting>
  <conditionalFormatting sqref="L28">
    <cfRule type="cellIs" dxfId="30963" priority="88492" stopIfTrue="1" operator="lessThan">
      <formula>0.5</formula>
    </cfRule>
  </conditionalFormatting>
  <conditionalFormatting sqref="L28">
    <cfRule type="cellIs" dxfId="30962" priority="88493" stopIfTrue="1" operator="greaterThanOrEqual">
      <formula>0.5</formula>
    </cfRule>
  </conditionalFormatting>
  <conditionalFormatting sqref="L29">
    <cfRule type="cellIs" dxfId="30961" priority="88494" stopIfTrue="1" operator="equal">
      <formula>-1</formula>
    </cfRule>
  </conditionalFormatting>
  <conditionalFormatting sqref="L29">
    <cfRule type="cellIs" dxfId="30960" priority="88495" stopIfTrue="1" operator="lessThan">
      <formula>0.5</formula>
    </cfRule>
  </conditionalFormatting>
  <conditionalFormatting sqref="L29">
    <cfRule type="cellIs" dxfId="30959" priority="88496" stopIfTrue="1" operator="greaterThanOrEqual">
      <formula>0.5</formula>
    </cfRule>
  </conditionalFormatting>
  <conditionalFormatting sqref="L30">
    <cfRule type="cellIs" dxfId="30958" priority="88497" stopIfTrue="1" operator="equal">
      <formula>-1</formula>
    </cfRule>
  </conditionalFormatting>
  <conditionalFormatting sqref="L30">
    <cfRule type="cellIs" dxfId="30957" priority="88498" stopIfTrue="1" operator="lessThan">
      <formula>0.5</formula>
    </cfRule>
  </conditionalFormatting>
  <conditionalFormatting sqref="L30">
    <cfRule type="cellIs" dxfId="30956" priority="88499" stopIfTrue="1" operator="greaterThanOrEqual">
      <formula>0.5</formula>
    </cfRule>
  </conditionalFormatting>
  <conditionalFormatting sqref="L31">
    <cfRule type="cellIs" dxfId="30955" priority="88500" stopIfTrue="1" operator="equal">
      <formula>-1</formula>
    </cfRule>
  </conditionalFormatting>
  <conditionalFormatting sqref="L31">
    <cfRule type="cellIs" dxfId="30954" priority="88501" stopIfTrue="1" operator="lessThan">
      <formula>0.5</formula>
    </cfRule>
  </conditionalFormatting>
  <conditionalFormatting sqref="L31">
    <cfRule type="cellIs" dxfId="30953" priority="88502" stopIfTrue="1" operator="greaterThanOrEqual">
      <formula>0.5</formula>
    </cfRule>
  </conditionalFormatting>
  <conditionalFormatting sqref="L32">
    <cfRule type="cellIs" dxfId="30952" priority="88503" stopIfTrue="1" operator="equal">
      <formula>-1</formula>
    </cfRule>
  </conditionalFormatting>
  <conditionalFormatting sqref="L32">
    <cfRule type="cellIs" dxfId="30951" priority="88504" stopIfTrue="1" operator="lessThan">
      <formula>0.5</formula>
    </cfRule>
  </conditionalFormatting>
  <conditionalFormatting sqref="L32">
    <cfRule type="cellIs" dxfId="30950" priority="88505" stopIfTrue="1" operator="greaterThanOrEqual">
      <formula>0.5</formula>
    </cfRule>
  </conditionalFormatting>
  <conditionalFormatting sqref="L33">
    <cfRule type="cellIs" dxfId="30949" priority="88506" stopIfTrue="1" operator="equal">
      <formula>-1</formula>
    </cfRule>
  </conditionalFormatting>
  <conditionalFormatting sqref="L33">
    <cfRule type="cellIs" dxfId="30948" priority="88507" stopIfTrue="1" operator="lessThan">
      <formula>0.5</formula>
    </cfRule>
  </conditionalFormatting>
  <conditionalFormatting sqref="L33">
    <cfRule type="cellIs" dxfId="30947" priority="88508" stopIfTrue="1" operator="greaterThanOrEqual">
      <formula>0.5</formula>
    </cfRule>
  </conditionalFormatting>
  <conditionalFormatting sqref="L34">
    <cfRule type="cellIs" dxfId="30946" priority="88509" stopIfTrue="1" operator="equal">
      <formula>-1</formula>
    </cfRule>
  </conditionalFormatting>
  <conditionalFormatting sqref="L34">
    <cfRule type="cellIs" dxfId="30945" priority="88510" stopIfTrue="1" operator="lessThan">
      <formula>0.5</formula>
    </cfRule>
  </conditionalFormatting>
  <conditionalFormatting sqref="L34">
    <cfRule type="cellIs" dxfId="30944" priority="88511" stopIfTrue="1" operator="greaterThanOrEqual">
      <formula>0.5</formula>
    </cfRule>
  </conditionalFormatting>
  <conditionalFormatting sqref="L35">
    <cfRule type="cellIs" dxfId="30943" priority="88512" stopIfTrue="1" operator="equal">
      <formula>-1</formula>
    </cfRule>
  </conditionalFormatting>
  <conditionalFormatting sqref="L35">
    <cfRule type="cellIs" dxfId="30942" priority="88513" stopIfTrue="1" operator="lessThan">
      <formula>0.5</formula>
    </cfRule>
  </conditionalFormatting>
  <conditionalFormatting sqref="L35">
    <cfRule type="cellIs" dxfId="30941" priority="88514" stopIfTrue="1" operator="greaterThanOrEqual">
      <formula>0.5</formula>
    </cfRule>
  </conditionalFormatting>
  <conditionalFormatting sqref="L36">
    <cfRule type="cellIs" dxfId="30940" priority="88515" stopIfTrue="1" operator="equal">
      <formula>-1</formula>
    </cfRule>
  </conditionalFormatting>
  <conditionalFormatting sqref="L36">
    <cfRule type="cellIs" dxfId="30939" priority="88516" stopIfTrue="1" operator="lessThan">
      <formula>0.5</formula>
    </cfRule>
  </conditionalFormatting>
  <conditionalFormatting sqref="L36">
    <cfRule type="cellIs" dxfId="30938" priority="88517" stopIfTrue="1" operator="greaterThanOrEqual">
      <formula>0.5</formula>
    </cfRule>
  </conditionalFormatting>
  <conditionalFormatting sqref="L37">
    <cfRule type="cellIs" dxfId="30937" priority="88518" stopIfTrue="1" operator="equal">
      <formula>-1</formula>
    </cfRule>
  </conditionalFormatting>
  <conditionalFormatting sqref="L37">
    <cfRule type="cellIs" dxfId="30936" priority="88519" stopIfTrue="1" operator="lessThan">
      <formula>0.5</formula>
    </cfRule>
  </conditionalFormatting>
  <conditionalFormatting sqref="L37">
    <cfRule type="cellIs" dxfId="30935" priority="88520" stopIfTrue="1" operator="greaterThanOrEqual">
      <formula>0.5</formula>
    </cfRule>
  </conditionalFormatting>
  <conditionalFormatting sqref="N17">
    <cfRule type="cellIs" dxfId="30934" priority="88521" stopIfTrue="1" operator="equal">
      <formula>-1</formula>
    </cfRule>
  </conditionalFormatting>
  <conditionalFormatting sqref="N17">
    <cfRule type="cellIs" dxfId="30933" priority="88522" stopIfTrue="1" operator="lessThan">
      <formula>0.5</formula>
    </cfRule>
  </conditionalFormatting>
  <conditionalFormatting sqref="N17">
    <cfRule type="cellIs" dxfId="30932" priority="88523" stopIfTrue="1" operator="greaterThanOrEqual">
      <formula>0.5</formula>
    </cfRule>
  </conditionalFormatting>
  <conditionalFormatting sqref="N18">
    <cfRule type="cellIs" dxfId="30931" priority="88524" stopIfTrue="1" operator="equal">
      <formula>-1</formula>
    </cfRule>
  </conditionalFormatting>
  <conditionalFormatting sqref="N18">
    <cfRule type="cellIs" dxfId="30930" priority="88525" stopIfTrue="1" operator="lessThan">
      <formula>0.5</formula>
    </cfRule>
  </conditionalFormatting>
  <conditionalFormatting sqref="N18">
    <cfRule type="cellIs" dxfId="30929" priority="88526" stopIfTrue="1" operator="greaterThanOrEqual">
      <formula>0.5</formula>
    </cfRule>
  </conditionalFormatting>
  <conditionalFormatting sqref="N19">
    <cfRule type="cellIs" dxfId="30928" priority="88527" stopIfTrue="1" operator="equal">
      <formula>-1</formula>
    </cfRule>
  </conditionalFormatting>
  <conditionalFormatting sqref="N19">
    <cfRule type="cellIs" dxfId="30927" priority="88528" stopIfTrue="1" operator="lessThan">
      <formula>0.5</formula>
    </cfRule>
  </conditionalFormatting>
  <conditionalFormatting sqref="N19">
    <cfRule type="cellIs" dxfId="30926" priority="88529" stopIfTrue="1" operator="greaterThanOrEqual">
      <formula>0.5</formula>
    </cfRule>
  </conditionalFormatting>
  <conditionalFormatting sqref="N20">
    <cfRule type="cellIs" dxfId="30925" priority="88530" stopIfTrue="1" operator="equal">
      <formula>-1</formula>
    </cfRule>
  </conditionalFormatting>
  <conditionalFormatting sqref="N20">
    <cfRule type="cellIs" dxfId="30924" priority="88531" stopIfTrue="1" operator="lessThan">
      <formula>0.5</formula>
    </cfRule>
  </conditionalFormatting>
  <conditionalFormatting sqref="N20">
    <cfRule type="cellIs" dxfId="30923" priority="88532" stopIfTrue="1" operator="greaterThanOrEqual">
      <formula>0.5</formula>
    </cfRule>
  </conditionalFormatting>
  <conditionalFormatting sqref="N21">
    <cfRule type="cellIs" dxfId="30922" priority="88533" stopIfTrue="1" operator="equal">
      <formula>-1</formula>
    </cfRule>
  </conditionalFormatting>
  <conditionalFormatting sqref="N21">
    <cfRule type="cellIs" dxfId="30921" priority="88534" stopIfTrue="1" operator="lessThan">
      <formula>0.5</formula>
    </cfRule>
  </conditionalFormatting>
  <conditionalFormatting sqref="N21">
    <cfRule type="cellIs" dxfId="30920" priority="88535" stopIfTrue="1" operator="greaterThanOrEqual">
      <formula>0.5</formula>
    </cfRule>
  </conditionalFormatting>
  <conditionalFormatting sqref="N22">
    <cfRule type="cellIs" dxfId="30919" priority="88536" stopIfTrue="1" operator="equal">
      <formula>-1</formula>
    </cfRule>
  </conditionalFormatting>
  <conditionalFormatting sqref="N22">
    <cfRule type="cellIs" dxfId="30918" priority="88537" stopIfTrue="1" operator="lessThan">
      <formula>0.5</formula>
    </cfRule>
  </conditionalFormatting>
  <conditionalFormatting sqref="N22">
    <cfRule type="cellIs" dxfId="30917" priority="88538" stopIfTrue="1" operator="greaterThanOrEqual">
      <formula>0.5</formula>
    </cfRule>
  </conditionalFormatting>
  <conditionalFormatting sqref="N23">
    <cfRule type="cellIs" dxfId="30916" priority="88539" stopIfTrue="1" operator="equal">
      <formula>-1</formula>
    </cfRule>
  </conditionalFormatting>
  <conditionalFormatting sqref="N23">
    <cfRule type="cellIs" dxfId="30915" priority="88540" stopIfTrue="1" operator="lessThan">
      <formula>0.5</formula>
    </cfRule>
  </conditionalFormatting>
  <conditionalFormatting sqref="N23">
    <cfRule type="cellIs" dxfId="30914" priority="88541" stopIfTrue="1" operator="greaterThanOrEqual">
      <formula>0.5</formula>
    </cfRule>
  </conditionalFormatting>
  <conditionalFormatting sqref="N24">
    <cfRule type="cellIs" dxfId="30913" priority="88542" stopIfTrue="1" operator="equal">
      <formula>-1</formula>
    </cfRule>
  </conditionalFormatting>
  <conditionalFormatting sqref="N24">
    <cfRule type="cellIs" dxfId="30912" priority="88543" stopIfTrue="1" operator="lessThan">
      <formula>0.5</formula>
    </cfRule>
  </conditionalFormatting>
  <conditionalFormatting sqref="N24">
    <cfRule type="cellIs" dxfId="30911" priority="88544" stopIfTrue="1" operator="greaterThanOrEqual">
      <formula>0.5</formula>
    </cfRule>
  </conditionalFormatting>
  <conditionalFormatting sqref="N25">
    <cfRule type="cellIs" dxfId="30910" priority="88545" stopIfTrue="1" operator="equal">
      <formula>-1</formula>
    </cfRule>
  </conditionalFormatting>
  <conditionalFormatting sqref="N25">
    <cfRule type="cellIs" dxfId="30909" priority="88546" stopIfTrue="1" operator="lessThan">
      <formula>0.5</formula>
    </cfRule>
  </conditionalFormatting>
  <conditionalFormatting sqref="N25">
    <cfRule type="cellIs" dxfId="30908" priority="88547" stopIfTrue="1" operator="greaterThanOrEqual">
      <formula>0.5</formula>
    </cfRule>
  </conditionalFormatting>
  <conditionalFormatting sqref="N26">
    <cfRule type="cellIs" dxfId="30907" priority="88548" stopIfTrue="1" operator="equal">
      <formula>-1</formula>
    </cfRule>
  </conditionalFormatting>
  <conditionalFormatting sqref="N26">
    <cfRule type="cellIs" dxfId="30906" priority="88549" stopIfTrue="1" operator="lessThan">
      <formula>0.5</formula>
    </cfRule>
  </conditionalFormatting>
  <conditionalFormatting sqref="N26">
    <cfRule type="cellIs" dxfId="30905" priority="88550" stopIfTrue="1" operator="greaterThanOrEqual">
      <formula>0.5</formula>
    </cfRule>
  </conditionalFormatting>
  <conditionalFormatting sqref="N27">
    <cfRule type="cellIs" dxfId="30904" priority="88551" stopIfTrue="1" operator="equal">
      <formula>-1</formula>
    </cfRule>
  </conditionalFormatting>
  <conditionalFormatting sqref="N27">
    <cfRule type="cellIs" dxfId="30903" priority="88552" stopIfTrue="1" operator="lessThan">
      <formula>0.5</formula>
    </cfRule>
  </conditionalFormatting>
  <conditionalFormatting sqref="N27">
    <cfRule type="cellIs" dxfId="30902" priority="88553" stopIfTrue="1" operator="greaterThanOrEqual">
      <formula>0.5</formula>
    </cfRule>
  </conditionalFormatting>
  <conditionalFormatting sqref="N28">
    <cfRule type="cellIs" dxfId="30901" priority="88554" stopIfTrue="1" operator="equal">
      <formula>-1</formula>
    </cfRule>
  </conditionalFormatting>
  <conditionalFormatting sqref="N28">
    <cfRule type="cellIs" dxfId="30900" priority="88555" stopIfTrue="1" operator="lessThan">
      <formula>0.5</formula>
    </cfRule>
  </conditionalFormatting>
  <conditionalFormatting sqref="N28">
    <cfRule type="cellIs" dxfId="30899" priority="88556" stopIfTrue="1" operator="greaterThanOrEqual">
      <formula>0.5</formula>
    </cfRule>
  </conditionalFormatting>
  <conditionalFormatting sqref="N29">
    <cfRule type="cellIs" dxfId="30898" priority="88557" stopIfTrue="1" operator="equal">
      <formula>-1</formula>
    </cfRule>
  </conditionalFormatting>
  <conditionalFormatting sqref="N29">
    <cfRule type="cellIs" dxfId="30897" priority="88558" stopIfTrue="1" operator="lessThan">
      <formula>0.5</formula>
    </cfRule>
  </conditionalFormatting>
  <conditionalFormatting sqref="N29">
    <cfRule type="cellIs" dxfId="30896" priority="88559" stopIfTrue="1" operator="greaterThanOrEqual">
      <formula>0.5</formula>
    </cfRule>
  </conditionalFormatting>
  <conditionalFormatting sqref="N30">
    <cfRule type="cellIs" dxfId="30895" priority="88560" stopIfTrue="1" operator="equal">
      <formula>-1</formula>
    </cfRule>
  </conditionalFormatting>
  <conditionalFormatting sqref="N30">
    <cfRule type="cellIs" dxfId="30894" priority="88561" stopIfTrue="1" operator="lessThan">
      <formula>0.5</formula>
    </cfRule>
  </conditionalFormatting>
  <conditionalFormatting sqref="N30">
    <cfRule type="cellIs" dxfId="30893" priority="88562" stopIfTrue="1" operator="greaterThanOrEqual">
      <formula>0.5</formula>
    </cfRule>
  </conditionalFormatting>
  <conditionalFormatting sqref="N31">
    <cfRule type="cellIs" dxfId="30892" priority="88563" stopIfTrue="1" operator="equal">
      <formula>-1</formula>
    </cfRule>
  </conditionalFormatting>
  <conditionalFormatting sqref="N31">
    <cfRule type="cellIs" dxfId="30891" priority="88564" stopIfTrue="1" operator="lessThan">
      <formula>0.5</formula>
    </cfRule>
  </conditionalFormatting>
  <conditionalFormatting sqref="N31">
    <cfRule type="cellIs" dxfId="30890" priority="88565" stopIfTrue="1" operator="greaterThanOrEqual">
      <formula>0.5</formula>
    </cfRule>
  </conditionalFormatting>
  <conditionalFormatting sqref="N32">
    <cfRule type="cellIs" dxfId="30889" priority="88566" stopIfTrue="1" operator="equal">
      <formula>-1</formula>
    </cfRule>
  </conditionalFormatting>
  <conditionalFormatting sqref="N32">
    <cfRule type="cellIs" dxfId="30888" priority="88567" stopIfTrue="1" operator="lessThan">
      <formula>0.5</formula>
    </cfRule>
  </conditionalFormatting>
  <conditionalFormatting sqref="N32">
    <cfRule type="cellIs" dxfId="30887" priority="88568" stopIfTrue="1" operator="greaterThanOrEqual">
      <formula>0.5</formula>
    </cfRule>
  </conditionalFormatting>
  <conditionalFormatting sqref="N33">
    <cfRule type="cellIs" dxfId="30886" priority="88569" stopIfTrue="1" operator="equal">
      <formula>-1</formula>
    </cfRule>
  </conditionalFormatting>
  <conditionalFormatting sqref="N33">
    <cfRule type="cellIs" dxfId="30885" priority="88570" stopIfTrue="1" operator="lessThan">
      <formula>0.5</formula>
    </cfRule>
  </conditionalFormatting>
  <conditionalFormatting sqref="N33">
    <cfRule type="cellIs" dxfId="30884" priority="88571" stopIfTrue="1" operator="greaterThanOrEqual">
      <formula>0.5</formula>
    </cfRule>
  </conditionalFormatting>
  <conditionalFormatting sqref="N34">
    <cfRule type="cellIs" dxfId="30883" priority="88572" stopIfTrue="1" operator="equal">
      <formula>-1</formula>
    </cfRule>
  </conditionalFormatting>
  <conditionalFormatting sqref="N34">
    <cfRule type="cellIs" dxfId="30882" priority="88573" stopIfTrue="1" operator="lessThan">
      <formula>0.5</formula>
    </cfRule>
  </conditionalFormatting>
  <conditionalFormatting sqref="N34">
    <cfRule type="cellIs" dxfId="30881" priority="88574" stopIfTrue="1" operator="greaterThanOrEqual">
      <formula>0.5</formula>
    </cfRule>
  </conditionalFormatting>
  <conditionalFormatting sqref="N35">
    <cfRule type="cellIs" dxfId="30880" priority="88575" stopIfTrue="1" operator="equal">
      <formula>-1</formula>
    </cfRule>
  </conditionalFormatting>
  <conditionalFormatting sqref="N35">
    <cfRule type="cellIs" dxfId="30879" priority="88576" stopIfTrue="1" operator="lessThan">
      <formula>0.5</formula>
    </cfRule>
  </conditionalFormatting>
  <conditionalFormatting sqref="N35">
    <cfRule type="cellIs" dxfId="30878" priority="88577" stopIfTrue="1" operator="greaterThanOrEqual">
      <formula>0.5</formula>
    </cfRule>
  </conditionalFormatting>
  <conditionalFormatting sqref="N36">
    <cfRule type="cellIs" dxfId="30877" priority="88578" stopIfTrue="1" operator="equal">
      <formula>-1</formula>
    </cfRule>
  </conditionalFormatting>
  <conditionalFormatting sqref="N36">
    <cfRule type="cellIs" dxfId="30876" priority="88579" stopIfTrue="1" operator="lessThan">
      <formula>0.5</formula>
    </cfRule>
  </conditionalFormatting>
  <conditionalFormatting sqref="N36">
    <cfRule type="cellIs" dxfId="30875" priority="88580" stopIfTrue="1" operator="greaterThanOrEqual">
      <formula>0.5</formula>
    </cfRule>
  </conditionalFormatting>
  <conditionalFormatting sqref="N37">
    <cfRule type="cellIs" dxfId="30874" priority="88581" stopIfTrue="1" operator="equal">
      <formula>-1</formula>
    </cfRule>
  </conditionalFormatting>
  <conditionalFormatting sqref="N37">
    <cfRule type="cellIs" dxfId="30873" priority="88582" stopIfTrue="1" operator="lessThan">
      <formula>0.5</formula>
    </cfRule>
  </conditionalFormatting>
  <conditionalFormatting sqref="N37">
    <cfRule type="cellIs" dxfId="30872" priority="88583" stopIfTrue="1" operator="greaterThanOrEqual">
      <formula>0.5</formula>
    </cfRule>
  </conditionalFormatting>
  <conditionalFormatting sqref="P17">
    <cfRule type="cellIs" dxfId="30871" priority="88584" stopIfTrue="1" operator="equal">
      <formula>-1</formula>
    </cfRule>
  </conditionalFormatting>
  <conditionalFormatting sqref="P17">
    <cfRule type="cellIs" dxfId="30870" priority="88585" stopIfTrue="1" operator="lessThan">
      <formula>0.5</formula>
    </cfRule>
  </conditionalFormatting>
  <conditionalFormatting sqref="P17">
    <cfRule type="cellIs" dxfId="30869" priority="88586" stopIfTrue="1" operator="greaterThanOrEqual">
      <formula>0.5</formula>
    </cfRule>
  </conditionalFormatting>
  <conditionalFormatting sqref="P18">
    <cfRule type="cellIs" dxfId="30868" priority="88587" stopIfTrue="1" operator="equal">
      <formula>-1</formula>
    </cfRule>
  </conditionalFormatting>
  <conditionalFormatting sqref="P18">
    <cfRule type="cellIs" dxfId="30867" priority="88588" stopIfTrue="1" operator="lessThan">
      <formula>0.5</formula>
    </cfRule>
  </conditionalFormatting>
  <conditionalFormatting sqref="P18">
    <cfRule type="cellIs" dxfId="30866" priority="88589" stopIfTrue="1" operator="greaterThanOrEqual">
      <formula>0.5</formula>
    </cfRule>
  </conditionalFormatting>
  <conditionalFormatting sqref="P19">
    <cfRule type="cellIs" dxfId="30865" priority="88590" stopIfTrue="1" operator="equal">
      <formula>-1</formula>
    </cfRule>
  </conditionalFormatting>
  <conditionalFormatting sqref="P19">
    <cfRule type="cellIs" dxfId="30864" priority="88591" stopIfTrue="1" operator="lessThan">
      <formula>0.5</formula>
    </cfRule>
  </conditionalFormatting>
  <conditionalFormatting sqref="P19">
    <cfRule type="cellIs" dxfId="30863" priority="88592" stopIfTrue="1" operator="greaterThanOrEqual">
      <formula>0.5</formula>
    </cfRule>
  </conditionalFormatting>
  <conditionalFormatting sqref="P20">
    <cfRule type="cellIs" dxfId="30862" priority="88593" stopIfTrue="1" operator="equal">
      <formula>-1</formula>
    </cfRule>
  </conditionalFormatting>
  <conditionalFormatting sqref="P20">
    <cfRule type="cellIs" dxfId="30861" priority="88594" stopIfTrue="1" operator="lessThan">
      <formula>0.5</formula>
    </cfRule>
  </conditionalFormatting>
  <conditionalFormatting sqref="P20">
    <cfRule type="cellIs" dxfId="30860" priority="88595" stopIfTrue="1" operator="greaterThanOrEqual">
      <formula>0.5</formula>
    </cfRule>
  </conditionalFormatting>
  <conditionalFormatting sqref="P21">
    <cfRule type="cellIs" dxfId="30859" priority="88596" stopIfTrue="1" operator="equal">
      <formula>-1</formula>
    </cfRule>
  </conditionalFormatting>
  <conditionalFormatting sqref="P21">
    <cfRule type="cellIs" dxfId="30858" priority="88597" stopIfTrue="1" operator="lessThan">
      <formula>0.5</formula>
    </cfRule>
  </conditionalFormatting>
  <conditionalFormatting sqref="P21">
    <cfRule type="cellIs" dxfId="30857" priority="88598" stopIfTrue="1" operator="greaterThanOrEqual">
      <formula>0.5</formula>
    </cfRule>
  </conditionalFormatting>
  <conditionalFormatting sqref="P22">
    <cfRule type="cellIs" dxfId="30856" priority="88599" stopIfTrue="1" operator="equal">
      <formula>-1</formula>
    </cfRule>
  </conditionalFormatting>
  <conditionalFormatting sqref="P22">
    <cfRule type="cellIs" dxfId="30855" priority="88600" stopIfTrue="1" operator="lessThan">
      <formula>0.5</formula>
    </cfRule>
  </conditionalFormatting>
  <conditionalFormatting sqref="P22">
    <cfRule type="cellIs" dxfId="30854" priority="88601" stopIfTrue="1" operator="greaterThanOrEqual">
      <formula>0.5</formula>
    </cfRule>
  </conditionalFormatting>
  <conditionalFormatting sqref="P23">
    <cfRule type="cellIs" dxfId="30853" priority="88602" stopIfTrue="1" operator="equal">
      <formula>-1</formula>
    </cfRule>
  </conditionalFormatting>
  <conditionalFormatting sqref="P23">
    <cfRule type="cellIs" dxfId="30852" priority="88603" stopIfTrue="1" operator="lessThan">
      <formula>0.5</formula>
    </cfRule>
  </conditionalFormatting>
  <conditionalFormatting sqref="P23">
    <cfRule type="cellIs" dxfId="30851" priority="88604" stopIfTrue="1" operator="greaterThanOrEqual">
      <formula>0.5</formula>
    </cfRule>
  </conditionalFormatting>
  <conditionalFormatting sqref="P24">
    <cfRule type="cellIs" dxfId="30850" priority="88605" stopIfTrue="1" operator="equal">
      <formula>-1</formula>
    </cfRule>
  </conditionalFormatting>
  <conditionalFormatting sqref="P24">
    <cfRule type="cellIs" dxfId="30849" priority="88606" stopIfTrue="1" operator="lessThan">
      <formula>0.5</formula>
    </cfRule>
  </conditionalFormatting>
  <conditionalFormatting sqref="P24">
    <cfRule type="cellIs" dxfId="30848" priority="88607" stopIfTrue="1" operator="greaterThanOrEqual">
      <formula>0.5</formula>
    </cfRule>
  </conditionalFormatting>
  <conditionalFormatting sqref="P25">
    <cfRule type="cellIs" dxfId="30847" priority="88608" stopIfTrue="1" operator="equal">
      <formula>-1</formula>
    </cfRule>
  </conditionalFormatting>
  <conditionalFormatting sqref="P25">
    <cfRule type="cellIs" dxfId="30846" priority="88609" stopIfTrue="1" operator="lessThan">
      <formula>0.5</formula>
    </cfRule>
  </conditionalFormatting>
  <conditionalFormatting sqref="P25">
    <cfRule type="cellIs" dxfId="30845" priority="88610" stopIfTrue="1" operator="greaterThanOrEqual">
      <formula>0.5</formula>
    </cfRule>
  </conditionalFormatting>
  <conditionalFormatting sqref="P26">
    <cfRule type="cellIs" dxfId="30844" priority="88611" stopIfTrue="1" operator="equal">
      <formula>-1</formula>
    </cfRule>
  </conditionalFormatting>
  <conditionalFormatting sqref="P26">
    <cfRule type="cellIs" dxfId="30843" priority="88612" stopIfTrue="1" operator="lessThan">
      <formula>0.5</formula>
    </cfRule>
  </conditionalFormatting>
  <conditionalFormatting sqref="P26">
    <cfRule type="cellIs" dxfId="30842" priority="88613" stopIfTrue="1" operator="greaterThanOrEqual">
      <formula>0.5</formula>
    </cfRule>
  </conditionalFormatting>
  <conditionalFormatting sqref="P27">
    <cfRule type="cellIs" dxfId="30841" priority="88614" stopIfTrue="1" operator="equal">
      <formula>-1</formula>
    </cfRule>
  </conditionalFormatting>
  <conditionalFormatting sqref="P27">
    <cfRule type="cellIs" dxfId="30840" priority="88615" stopIfTrue="1" operator="lessThan">
      <formula>0.5</formula>
    </cfRule>
  </conditionalFormatting>
  <conditionalFormatting sqref="P27">
    <cfRule type="cellIs" dxfId="30839" priority="88616" stopIfTrue="1" operator="greaterThanOrEqual">
      <formula>0.5</formula>
    </cfRule>
  </conditionalFormatting>
  <conditionalFormatting sqref="P28">
    <cfRule type="cellIs" dxfId="30838" priority="88617" stopIfTrue="1" operator="equal">
      <formula>-1</formula>
    </cfRule>
  </conditionalFormatting>
  <conditionalFormatting sqref="P28">
    <cfRule type="cellIs" dxfId="30837" priority="88618" stopIfTrue="1" operator="lessThan">
      <formula>0.5</formula>
    </cfRule>
  </conditionalFormatting>
  <conditionalFormatting sqref="P28">
    <cfRule type="cellIs" dxfId="30836" priority="88619" stopIfTrue="1" operator="greaterThanOrEqual">
      <formula>0.5</formula>
    </cfRule>
  </conditionalFormatting>
  <conditionalFormatting sqref="P29">
    <cfRule type="cellIs" dxfId="30835" priority="88620" stopIfTrue="1" operator="equal">
      <formula>-1</formula>
    </cfRule>
  </conditionalFormatting>
  <conditionalFormatting sqref="P29">
    <cfRule type="cellIs" dxfId="30834" priority="88621" stopIfTrue="1" operator="lessThan">
      <formula>0.5</formula>
    </cfRule>
  </conditionalFormatting>
  <conditionalFormatting sqref="P29">
    <cfRule type="cellIs" dxfId="30833" priority="88622" stopIfTrue="1" operator="greaterThanOrEqual">
      <formula>0.5</formula>
    </cfRule>
  </conditionalFormatting>
  <conditionalFormatting sqref="P30">
    <cfRule type="cellIs" dxfId="30832" priority="88623" stopIfTrue="1" operator="equal">
      <formula>-1</formula>
    </cfRule>
  </conditionalFormatting>
  <conditionalFormatting sqref="P30">
    <cfRule type="cellIs" dxfId="30831" priority="88624" stopIfTrue="1" operator="lessThan">
      <formula>0.5</formula>
    </cfRule>
  </conditionalFormatting>
  <conditionalFormatting sqref="P30">
    <cfRule type="cellIs" dxfId="30830" priority="88625" stopIfTrue="1" operator="greaterThanOrEqual">
      <formula>0.5</formula>
    </cfRule>
  </conditionalFormatting>
  <conditionalFormatting sqref="P31">
    <cfRule type="cellIs" dxfId="30829" priority="88626" stopIfTrue="1" operator="equal">
      <formula>-1</formula>
    </cfRule>
  </conditionalFormatting>
  <conditionalFormatting sqref="P31">
    <cfRule type="cellIs" dxfId="30828" priority="88627" stopIfTrue="1" operator="lessThan">
      <formula>0.5</formula>
    </cfRule>
  </conditionalFormatting>
  <conditionalFormatting sqref="P31">
    <cfRule type="cellIs" dxfId="30827" priority="88628" stopIfTrue="1" operator="greaterThanOrEqual">
      <formula>0.5</formula>
    </cfRule>
  </conditionalFormatting>
  <conditionalFormatting sqref="P32">
    <cfRule type="cellIs" dxfId="30826" priority="88629" stopIfTrue="1" operator="equal">
      <formula>-1</formula>
    </cfRule>
  </conditionalFormatting>
  <conditionalFormatting sqref="P32">
    <cfRule type="cellIs" dxfId="30825" priority="88630" stopIfTrue="1" operator="lessThan">
      <formula>0.5</formula>
    </cfRule>
  </conditionalFormatting>
  <conditionalFormatting sqref="P32">
    <cfRule type="cellIs" dxfId="30824" priority="88631" stopIfTrue="1" operator="greaterThanOrEqual">
      <formula>0.5</formula>
    </cfRule>
  </conditionalFormatting>
  <conditionalFormatting sqref="P33">
    <cfRule type="cellIs" dxfId="30823" priority="88632" stopIfTrue="1" operator="equal">
      <formula>-1</formula>
    </cfRule>
  </conditionalFormatting>
  <conditionalFormatting sqref="P33">
    <cfRule type="cellIs" dxfId="30822" priority="88633" stopIfTrue="1" operator="lessThan">
      <formula>0.5</formula>
    </cfRule>
  </conditionalFormatting>
  <conditionalFormatting sqref="P33">
    <cfRule type="cellIs" dxfId="30821" priority="88634" stopIfTrue="1" operator="greaterThanOrEqual">
      <formula>0.5</formula>
    </cfRule>
  </conditionalFormatting>
  <conditionalFormatting sqref="P34">
    <cfRule type="cellIs" dxfId="30820" priority="88635" stopIfTrue="1" operator="equal">
      <formula>-1</formula>
    </cfRule>
  </conditionalFormatting>
  <conditionalFormatting sqref="P34">
    <cfRule type="cellIs" dxfId="30819" priority="88636" stopIfTrue="1" operator="lessThan">
      <formula>0.5</formula>
    </cfRule>
  </conditionalFormatting>
  <conditionalFormatting sqref="P34">
    <cfRule type="cellIs" dxfId="30818" priority="88637" stopIfTrue="1" operator="greaterThanOrEqual">
      <formula>0.5</formula>
    </cfRule>
  </conditionalFormatting>
  <conditionalFormatting sqref="P35">
    <cfRule type="cellIs" dxfId="30817" priority="88638" stopIfTrue="1" operator="equal">
      <formula>-1</formula>
    </cfRule>
  </conditionalFormatting>
  <conditionalFormatting sqref="P35">
    <cfRule type="cellIs" dxfId="30816" priority="88639" stopIfTrue="1" operator="lessThan">
      <formula>0.5</formula>
    </cfRule>
  </conditionalFormatting>
  <conditionalFormatting sqref="P35">
    <cfRule type="cellIs" dxfId="30815" priority="88640" stopIfTrue="1" operator="greaterThanOrEqual">
      <formula>0.5</formula>
    </cfRule>
  </conditionalFormatting>
  <conditionalFormatting sqref="P36">
    <cfRule type="cellIs" dxfId="30814" priority="88641" stopIfTrue="1" operator="equal">
      <formula>-1</formula>
    </cfRule>
  </conditionalFormatting>
  <conditionalFormatting sqref="P36">
    <cfRule type="cellIs" dxfId="30813" priority="88642" stopIfTrue="1" operator="lessThan">
      <formula>0.5</formula>
    </cfRule>
  </conditionalFormatting>
  <conditionalFormatting sqref="P36">
    <cfRule type="cellIs" dxfId="30812" priority="88643" stopIfTrue="1" operator="greaterThanOrEqual">
      <formula>0.5</formula>
    </cfRule>
  </conditionalFormatting>
  <conditionalFormatting sqref="P37">
    <cfRule type="cellIs" dxfId="30811" priority="88644" stopIfTrue="1" operator="equal">
      <formula>-1</formula>
    </cfRule>
  </conditionalFormatting>
  <conditionalFormatting sqref="P37">
    <cfRule type="cellIs" dxfId="30810" priority="88645" stopIfTrue="1" operator="lessThan">
      <formula>0.5</formula>
    </cfRule>
  </conditionalFormatting>
  <conditionalFormatting sqref="P37">
    <cfRule type="cellIs" dxfId="30809" priority="88646" stopIfTrue="1" operator="greaterThanOrEqual">
      <formula>0.5</formula>
    </cfRule>
  </conditionalFormatting>
  <conditionalFormatting sqref="R17">
    <cfRule type="cellIs" dxfId="30808" priority="88647" stopIfTrue="1" operator="equal">
      <formula>-1</formula>
    </cfRule>
  </conditionalFormatting>
  <conditionalFormatting sqref="R17">
    <cfRule type="cellIs" dxfId="30807" priority="88648" stopIfTrue="1" operator="lessThan">
      <formula>0.5</formula>
    </cfRule>
  </conditionalFormatting>
  <conditionalFormatting sqref="R17">
    <cfRule type="cellIs" dxfId="30806" priority="88649" stopIfTrue="1" operator="greaterThanOrEqual">
      <formula>0.5</formula>
    </cfRule>
  </conditionalFormatting>
  <conditionalFormatting sqref="R18">
    <cfRule type="cellIs" dxfId="30805" priority="88650" stopIfTrue="1" operator="equal">
      <formula>-1</formula>
    </cfRule>
  </conditionalFormatting>
  <conditionalFormatting sqref="R18">
    <cfRule type="cellIs" dxfId="30804" priority="88651" stopIfTrue="1" operator="lessThan">
      <formula>0.5</formula>
    </cfRule>
  </conditionalFormatting>
  <conditionalFormatting sqref="R18">
    <cfRule type="cellIs" dxfId="30803" priority="88652" stopIfTrue="1" operator="greaterThanOrEqual">
      <formula>0.5</formula>
    </cfRule>
  </conditionalFormatting>
  <conditionalFormatting sqref="R19">
    <cfRule type="cellIs" dxfId="30802" priority="88653" stopIfTrue="1" operator="equal">
      <formula>-1</formula>
    </cfRule>
  </conditionalFormatting>
  <conditionalFormatting sqref="R19">
    <cfRule type="cellIs" dxfId="30801" priority="88654" stopIfTrue="1" operator="lessThan">
      <formula>0.5</formula>
    </cfRule>
  </conditionalFormatting>
  <conditionalFormatting sqref="R19">
    <cfRule type="cellIs" dxfId="30800" priority="88655" stopIfTrue="1" operator="greaterThanOrEqual">
      <formula>0.5</formula>
    </cfRule>
  </conditionalFormatting>
  <conditionalFormatting sqref="R20">
    <cfRule type="cellIs" dxfId="30799" priority="88656" stopIfTrue="1" operator="equal">
      <formula>-1</formula>
    </cfRule>
  </conditionalFormatting>
  <conditionalFormatting sqref="R20">
    <cfRule type="cellIs" dxfId="30798" priority="88657" stopIfTrue="1" operator="lessThan">
      <formula>0.5</formula>
    </cfRule>
  </conditionalFormatting>
  <conditionalFormatting sqref="R20">
    <cfRule type="cellIs" dxfId="30797" priority="88658" stopIfTrue="1" operator="greaterThanOrEqual">
      <formula>0.5</formula>
    </cfRule>
  </conditionalFormatting>
  <conditionalFormatting sqref="R21">
    <cfRule type="cellIs" dxfId="30796" priority="88659" stopIfTrue="1" operator="equal">
      <formula>-1</formula>
    </cfRule>
  </conditionalFormatting>
  <conditionalFormatting sqref="R21">
    <cfRule type="cellIs" dxfId="30795" priority="88660" stopIfTrue="1" operator="lessThan">
      <formula>0.5</formula>
    </cfRule>
  </conditionalFormatting>
  <conditionalFormatting sqref="R21">
    <cfRule type="cellIs" dxfId="30794" priority="88661" stopIfTrue="1" operator="greaterThanOrEqual">
      <formula>0.5</formula>
    </cfRule>
  </conditionalFormatting>
  <conditionalFormatting sqref="R22">
    <cfRule type="cellIs" dxfId="30793" priority="88662" stopIfTrue="1" operator="equal">
      <formula>-1</formula>
    </cfRule>
  </conditionalFormatting>
  <conditionalFormatting sqref="R22">
    <cfRule type="cellIs" dxfId="30792" priority="88663" stopIfTrue="1" operator="lessThan">
      <formula>0.5</formula>
    </cfRule>
  </conditionalFormatting>
  <conditionalFormatting sqref="R22">
    <cfRule type="cellIs" dxfId="30791" priority="88664" stopIfTrue="1" operator="greaterThanOrEqual">
      <formula>0.5</formula>
    </cfRule>
  </conditionalFormatting>
  <conditionalFormatting sqref="R23">
    <cfRule type="cellIs" dxfId="30790" priority="88665" stopIfTrue="1" operator="equal">
      <formula>-1</formula>
    </cfRule>
  </conditionalFormatting>
  <conditionalFormatting sqref="R23">
    <cfRule type="cellIs" dxfId="30789" priority="88666" stopIfTrue="1" operator="lessThan">
      <formula>0.5</formula>
    </cfRule>
  </conditionalFormatting>
  <conditionalFormatting sqref="R23">
    <cfRule type="cellIs" dxfId="30788" priority="88667" stopIfTrue="1" operator="greaterThanOrEqual">
      <formula>0.5</formula>
    </cfRule>
  </conditionalFormatting>
  <conditionalFormatting sqref="R24">
    <cfRule type="cellIs" dxfId="30787" priority="88668" stopIfTrue="1" operator="equal">
      <formula>-1</formula>
    </cfRule>
  </conditionalFormatting>
  <conditionalFormatting sqref="R24">
    <cfRule type="cellIs" dxfId="30786" priority="88669" stopIfTrue="1" operator="lessThan">
      <formula>0.5</formula>
    </cfRule>
  </conditionalFormatting>
  <conditionalFormatting sqref="R24">
    <cfRule type="cellIs" dxfId="30785" priority="88670" stopIfTrue="1" operator="greaterThanOrEqual">
      <formula>0.5</formula>
    </cfRule>
  </conditionalFormatting>
  <conditionalFormatting sqref="R25">
    <cfRule type="cellIs" dxfId="30784" priority="88671" stopIfTrue="1" operator="equal">
      <formula>-1</formula>
    </cfRule>
  </conditionalFormatting>
  <conditionalFormatting sqref="R25">
    <cfRule type="cellIs" dxfId="30783" priority="88672" stopIfTrue="1" operator="lessThan">
      <formula>0.5</formula>
    </cfRule>
  </conditionalFormatting>
  <conditionalFormatting sqref="R25">
    <cfRule type="cellIs" dxfId="30782" priority="88673" stopIfTrue="1" operator="greaterThanOrEqual">
      <formula>0.5</formula>
    </cfRule>
  </conditionalFormatting>
  <conditionalFormatting sqref="R26">
    <cfRule type="cellIs" dxfId="30781" priority="88674" stopIfTrue="1" operator="equal">
      <formula>-1</formula>
    </cfRule>
  </conditionalFormatting>
  <conditionalFormatting sqref="R26">
    <cfRule type="cellIs" dxfId="30780" priority="88675" stopIfTrue="1" operator="lessThan">
      <formula>0.5</formula>
    </cfRule>
  </conditionalFormatting>
  <conditionalFormatting sqref="R26">
    <cfRule type="cellIs" dxfId="30779" priority="88676" stopIfTrue="1" operator="greaterThanOrEqual">
      <formula>0.5</formula>
    </cfRule>
  </conditionalFormatting>
  <conditionalFormatting sqref="R27">
    <cfRule type="cellIs" dxfId="30778" priority="88677" stopIfTrue="1" operator="equal">
      <formula>-1</formula>
    </cfRule>
  </conditionalFormatting>
  <conditionalFormatting sqref="R27">
    <cfRule type="cellIs" dxfId="30777" priority="88678" stopIfTrue="1" operator="lessThan">
      <formula>0.5</formula>
    </cfRule>
  </conditionalFormatting>
  <conditionalFormatting sqref="R27">
    <cfRule type="cellIs" dxfId="30776" priority="88679" stopIfTrue="1" operator="greaterThanOrEqual">
      <formula>0.5</formula>
    </cfRule>
  </conditionalFormatting>
  <conditionalFormatting sqref="R28">
    <cfRule type="cellIs" dxfId="30775" priority="88680" stopIfTrue="1" operator="equal">
      <formula>-1</formula>
    </cfRule>
  </conditionalFormatting>
  <conditionalFormatting sqref="R28">
    <cfRule type="cellIs" dxfId="30774" priority="88681" stopIfTrue="1" operator="lessThan">
      <formula>0.5</formula>
    </cfRule>
  </conditionalFormatting>
  <conditionalFormatting sqref="R28">
    <cfRule type="cellIs" dxfId="30773" priority="88682" stopIfTrue="1" operator="greaterThanOrEqual">
      <formula>0.5</formula>
    </cfRule>
  </conditionalFormatting>
  <conditionalFormatting sqref="R29">
    <cfRule type="cellIs" dxfId="30772" priority="88683" stopIfTrue="1" operator="equal">
      <formula>-1</formula>
    </cfRule>
  </conditionalFormatting>
  <conditionalFormatting sqref="R29">
    <cfRule type="cellIs" dxfId="30771" priority="88684" stopIfTrue="1" operator="lessThan">
      <formula>0.5</formula>
    </cfRule>
  </conditionalFormatting>
  <conditionalFormatting sqref="R29">
    <cfRule type="cellIs" dxfId="30770" priority="88685" stopIfTrue="1" operator="greaterThanOrEqual">
      <formula>0.5</formula>
    </cfRule>
  </conditionalFormatting>
  <conditionalFormatting sqref="R30">
    <cfRule type="cellIs" dxfId="30769" priority="88686" stopIfTrue="1" operator="equal">
      <formula>-1</formula>
    </cfRule>
  </conditionalFormatting>
  <conditionalFormatting sqref="R30">
    <cfRule type="cellIs" dxfId="30768" priority="88687" stopIfTrue="1" operator="lessThan">
      <formula>0.5</formula>
    </cfRule>
  </conditionalFormatting>
  <conditionalFormatting sqref="R30">
    <cfRule type="cellIs" dxfId="30767" priority="88688" stopIfTrue="1" operator="greaterThanOrEqual">
      <formula>0.5</formula>
    </cfRule>
  </conditionalFormatting>
  <conditionalFormatting sqref="R31">
    <cfRule type="cellIs" dxfId="30766" priority="88689" stopIfTrue="1" operator="equal">
      <formula>-1</formula>
    </cfRule>
  </conditionalFormatting>
  <conditionalFormatting sqref="R31">
    <cfRule type="cellIs" dxfId="30765" priority="88690" stopIfTrue="1" operator="lessThan">
      <formula>0.5</formula>
    </cfRule>
  </conditionalFormatting>
  <conditionalFormatting sqref="R31">
    <cfRule type="cellIs" dxfId="30764" priority="88691" stopIfTrue="1" operator="greaterThanOrEqual">
      <formula>0.5</formula>
    </cfRule>
  </conditionalFormatting>
  <conditionalFormatting sqref="R32">
    <cfRule type="cellIs" dxfId="30763" priority="88692" stopIfTrue="1" operator="equal">
      <formula>-1</formula>
    </cfRule>
  </conditionalFormatting>
  <conditionalFormatting sqref="R32">
    <cfRule type="cellIs" dxfId="30762" priority="88693" stopIfTrue="1" operator="lessThan">
      <formula>0.5</formula>
    </cfRule>
  </conditionalFormatting>
  <conditionalFormatting sqref="R32">
    <cfRule type="cellIs" dxfId="30761" priority="88694" stopIfTrue="1" operator="greaterThanOrEqual">
      <formula>0.5</formula>
    </cfRule>
  </conditionalFormatting>
  <conditionalFormatting sqref="R33">
    <cfRule type="cellIs" dxfId="30760" priority="88695" stopIfTrue="1" operator="equal">
      <formula>-1</formula>
    </cfRule>
  </conditionalFormatting>
  <conditionalFormatting sqref="R33">
    <cfRule type="cellIs" dxfId="30759" priority="88696" stopIfTrue="1" operator="lessThan">
      <formula>0.5</formula>
    </cfRule>
  </conditionalFormatting>
  <conditionalFormatting sqref="R33">
    <cfRule type="cellIs" dxfId="30758" priority="88697" stopIfTrue="1" operator="greaterThanOrEqual">
      <formula>0.5</formula>
    </cfRule>
  </conditionalFormatting>
  <conditionalFormatting sqref="R34">
    <cfRule type="cellIs" dxfId="30757" priority="88698" stopIfTrue="1" operator="equal">
      <formula>-1</formula>
    </cfRule>
  </conditionalFormatting>
  <conditionalFormatting sqref="R34">
    <cfRule type="cellIs" dxfId="30756" priority="88699" stopIfTrue="1" operator="lessThan">
      <formula>0.5</formula>
    </cfRule>
  </conditionalFormatting>
  <conditionalFormatting sqref="R34">
    <cfRule type="cellIs" dxfId="30755" priority="88700" stopIfTrue="1" operator="greaterThanOrEqual">
      <formula>0.5</formula>
    </cfRule>
  </conditionalFormatting>
  <conditionalFormatting sqref="R35">
    <cfRule type="cellIs" dxfId="30754" priority="88701" stopIfTrue="1" operator="equal">
      <formula>-1</formula>
    </cfRule>
  </conditionalFormatting>
  <conditionalFormatting sqref="R35">
    <cfRule type="cellIs" dxfId="30753" priority="88702" stopIfTrue="1" operator="lessThan">
      <formula>0.5</formula>
    </cfRule>
  </conditionalFormatting>
  <conditionalFormatting sqref="R35">
    <cfRule type="cellIs" dxfId="30752" priority="88703" stopIfTrue="1" operator="greaterThanOrEqual">
      <formula>0.5</formula>
    </cfRule>
  </conditionalFormatting>
  <conditionalFormatting sqref="R36">
    <cfRule type="cellIs" dxfId="30751" priority="88704" stopIfTrue="1" operator="equal">
      <formula>-1</formula>
    </cfRule>
  </conditionalFormatting>
  <conditionalFormatting sqref="R36">
    <cfRule type="cellIs" dxfId="30750" priority="88705" stopIfTrue="1" operator="lessThan">
      <formula>0.5</formula>
    </cfRule>
  </conditionalFormatting>
  <conditionalFormatting sqref="R36">
    <cfRule type="cellIs" dxfId="30749" priority="88706" stopIfTrue="1" operator="greaterThanOrEqual">
      <formula>0.5</formula>
    </cfRule>
  </conditionalFormatting>
  <conditionalFormatting sqref="R37">
    <cfRule type="cellIs" dxfId="30748" priority="88707" stopIfTrue="1" operator="equal">
      <formula>-1</formula>
    </cfRule>
  </conditionalFormatting>
  <conditionalFormatting sqref="R37">
    <cfRule type="cellIs" dxfId="30747" priority="88708" stopIfTrue="1" operator="lessThan">
      <formula>0.5</formula>
    </cfRule>
  </conditionalFormatting>
  <conditionalFormatting sqref="R37">
    <cfRule type="cellIs" dxfId="30746" priority="88709" stopIfTrue="1" operator="greaterThanOrEqual">
      <formula>0.5</formula>
    </cfRule>
  </conditionalFormatting>
  <conditionalFormatting sqref="T17">
    <cfRule type="cellIs" dxfId="30745" priority="88710" stopIfTrue="1" operator="equal">
      <formula>-1</formula>
    </cfRule>
  </conditionalFormatting>
  <conditionalFormatting sqref="T17">
    <cfRule type="cellIs" dxfId="30744" priority="88711" stopIfTrue="1" operator="lessThan">
      <formula>0.5</formula>
    </cfRule>
  </conditionalFormatting>
  <conditionalFormatting sqref="T17">
    <cfRule type="cellIs" dxfId="30743" priority="88712" stopIfTrue="1" operator="greaterThanOrEqual">
      <formula>0.5</formula>
    </cfRule>
  </conditionalFormatting>
  <conditionalFormatting sqref="T18">
    <cfRule type="cellIs" dxfId="30742" priority="88713" stopIfTrue="1" operator="equal">
      <formula>-1</formula>
    </cfRule>
  </conditionalFormatting>
  <conditionalFormatting sqref="T18">
    <cfRule type="cellIs" dxfId="30741" priority="88714" stopIfTrue="1" operator="lessThan">
      <formula>0.5</formula>
    </cfRule>
  </conditionalFormatting>
  <conditionalFormatting sqref="T18">
    <cfRule type="cellIs" dxfId="30740" priority="88715" stopIfTrue="1" operator="greaterThanOrEqual">
      <formula>0.5</formula>
    </cfRule>
  </conditionalFormatting>
  <conditionalFormatting sqref="T19">
    <cfRule type="cellIs" dxfId="30739" priority="88716" stopIfTrue="1" operator="equal">
      <formula>-1</formula>
    </cfRule>
  </conditionalFormatting>
  <conditionalFormatting sqref="T19">
    <cfRule type="cellIs" dxfId="30738" priority="88717" stopIfTrue="1" operator="lessThan">
      <formula>0.5</formula>
    </cfRule>
  </conditionalFormatting>
  <conditionalFormatting sqref="T19">
    <cfRule type="cellIs" dxfId="30737" priority="88718" stopIfTrue="1" operator="greaterThanOrEqual">
      <formula>0.5</formula>
    </cfRule>
  </conditionalFormatting>
  <conditionalFormatting sqref="T20">
    <cfRule type="cellIs" dxfId="30736" priority="88719" stopIfTrue="1" operator="equal">
      <formula>-1</formula>
    </cfRule>
  </conditionalFormatting>
  <conditionalFormatting sqref="T20">
    <cfRule type="cellIs" dxfId="30735" priority="88720" stopIfTrue="1" operator="lessThan">
      <formula>0.5</formula>
    </cfRule>
  </conditionalFormatting>
  <conditionalFormatting sqref="T20">
    <cfRule type="cellIs" dxfId="30734" priority="88721" stopIfTrue="1" operator="greaterThanOrEqual">
      <formula>0.5</formula>
    </cfRule>
  </conditionalFormatting>
  <conditionalFormatting sqref="T21">
    <cfRule type="cellIs" dxfId="30733" priority="88722" stopIfTrue="1" operator="equal">
      <formula>-1</formula>
    </cfRule>
  </conditionalFormatting>
  <conditionalFormatting sqref="T21">
    <cfRule type="cellIs" dxfId="30732" priority="88723" stopIfTrue="1" operator="lessThan">
      <formula>0.5</formula>
    </cfRule>
  </conditionalFormatting>
  <conditionalFormatting sqref="T21">
    <cfRule type="cellIs" dxfId="30731" priority="88724" stopIfTrue="1" operator="greaterThanOrEqual">
      <formula>0.5</formula>
    </cfRule>
  </conditionalFormatting>
  <conditionalFormatting sqref="T22">
    <cfRule type="cellIs" dxfId="30730" priority="88725" stopIfTrue="1" operator="equal">
      <formula>-1</formula>
    </cfRule>
  </conditionalFormatting>
  <conditionalFormatting sqref="T22">
    <cfRule type="cellIs" dxfId="30729" priority="88726" stopIfTrue="1" operator="lessThan">
      <formula>0.5</formula>
    </cfRule>
  </conditionalFormatting>
  <conditionalFormatting sqref="T22">
    <cfRule type="cellIs" dxfId="30728" priority="88727" stopIfTrue="1" operator="greaterThanOrEqual">
      <formula>0.5</formula>
    </cfRule>
  </conditionalFormatting>
  <conditionalFormatting sqref="T23">
    <cfRule type="cellIs" dxfId="30727" priority="88728" stopIfTrue="1" operator="equal">
      <formula>-1</formula>
    </cfRule>
  </conditionalFormatting>
  <conditionalFormatting sqref="T23">
    <cfRule type="cellIs" dxfId="30726" priority="88729" stopIfTrue="1" operator="lessThan">
      <formula>0.5</formula>
    </cfRule>
  </conditionalFormatting>
  <conditionalFormatting sqref="T23">
    <cfRule type="cellIs" dxfId="30725" priority="88730" stopIfTrue="1" operator="greaterThanOrEqual">
      <formula>0.5</formula>
    </cfRule>
  </conditionalFormatting>
  <conditionalFormatting sqref="T24">
    <cfRule type="cellIs" dxfId="30724" priority="88731" stopIfTrue="1" operator="equal">
      <formula>-1</formula>
    </cfRule>
  </conditionalFormatting>
  <conditionalFormatting sqref="T24">
    <cfRule type="cellIs" dxfId="30723" priority="88732" stopIfTrue="1" operator="lessThan">
      <formula>0.5</formula>
    </cfRule>
  </conditionalFormatting>
  <conditionalFormatting sqref="T24">
    <cfRule type="cellIs" dxfId="30722" priority="88733" stopIfTrue="1" operator="greaterThanOrEqual">
      <formula>0.5</formula>
    </cfRule>
  </conditionalFormatting>
  <conditionalFormatting sqref="T25">
    <cfRule type="cellIs" dxfId="30721" priority="88734" stopIfTrue="1" operator="equal">
      <formula>-1</formula>
    </cfRule>
  </conditionalFormatting>
  <conditionalFormatting sqref="T25">
    <cfRule type="cellIs" dxfId="30720" priority="88735" stopIfTrue="1" operator="lessThan">
      <formula>0.5</formula>
    </cfRule>
  </conditionalFormatting>
  <conditionalFormatting sqref="T25">
    <cfRule type="cellIs" dxfId="30719" priority="88736" stopIfTrue="1" operator="greaterThanOrEqual">
      <formula>0.5</formula>
    </cfRule>
  </conditionalFormatting>
  <conditionalFormatting sqref="T26">
    <cfRule type="cellIs" dxfId="30718" priority="88737" stopIfTrue="1" operator="equal">
      <formula>-1</formula>
    </cfRule>
  </conditionalFormatting>
  <conditionalFormatting sqref="T26">
    <cfRule type="cellIs" dxfId="30717" priority="88738" stopIfTrue="1" operator="lessThan">
      <formula>0.5</formula>
    </cfRule>
  </conditionalFormatting>
  <conditionalFormatting sqref="T26">
    <cfRule type="cellIs" dxfId="30716" priority="88739" stopIfTrue="1" operator="greaterThanOrEqual">
      <formula>0.5</formula>
    </cfRule>
  </conditionalFormatting>
  <conditionalFormatting sqref="T27">
    <cfRule type="cellIs" dxfId="30715" priority="88740" stopIfTrue="1" operator="equal">
      <formula>-1</formula>
    </cfRule>
  </conditionalFormatting>
  <conditionalFormatting sqref="T27">
    <cfRule type="cellIs" dxfId="30714" priority="88741" stopIfTrue="1" operator="lessThan">
      <formula>0.5</formula>
    </cfRule>
  </conditionalFormatting>
  <conditionalFormatting sqref="T27">
    <cfRule type="cellIs" dxfId="30713" priority="88742" stopIfTrue="1" operator="greaterThanOrEqual">
      <formula>0.5</formula>
    </cfRule>
  </conditionalFormatting>
  <conditionalFormatting sqref="T28">
    <cfRule type="cellIs" dxfId="30712" priority="88743" stopIfTrue="1" operator="equal">
      <formula>-1</formula>
    </cfRule>
  </conditionalFormatting>
  <conditionalFormatting sqref="T28">
    <cfRule type="cellIs" dxfId="30711" priority="88744" stopIfTrue="1" operator="lessThan">
      <formula>0.5</formula>
    </cfRule>
  </conditionalFormatting>
  <conditionalFormatting sqref="T28">
    <cfRule type="cellIs" dxfId="30710" priority="88745" stopIfTrue="1" operator="greaterThanOrEqual">
      <formula>0.5</formula>
    </cfRule>
  </conditionalFormatting>
  <conditionalFormatting sqref="T29">
    <cfRule type="cellIs" dxfId="30709" priority="88746" stopIfTrue="1" operator="equal">
      <formula>-1</formula>
    </cfRule>
  </conditionalFormatting>
  <conditionalFormatting sqref="T29">
    <cfRule type="cellIs" dxfId="30708" priority="88747" stopIfTrue="1" operator="lessThan">
      <formula>0.5</formula>
    </cfRule>
  </conditionalFormatting>
  <conditionalFormatting sqref="T29">
    <cfRule type="cellIs" dxfId="30707" priority="88748" stopIfTrue="1" operator="greaterThanOrEqual">
      <formula>0.5</formula>
    </cfRule>
  </conditionalFormatting>
  <conditionalFormatting sqref="T30">
    <cfRule type="cellIs" dxfId="30706" priority="88749" stopIfTrue="1" operator="equal">
      <formula>-1</formula>
    </cfRule>
  </conditionalFormatting>
  <conditionalFormatting sqref="T30">
    <cfRule type="cellIs" dxfId="30705" priority="88750" stopIfTrue="1" operator="lessThan">
      <formula>0.5</formula>
    </cfRule>
  </conditionalFormatting>
  <conditionalFormatting sqref="T30">
    <cfRule type="cellIs" dxfId="30704" priority="88751" stopIfTrue="1" operator="greaterThanOrEqual">
      <formula>0.5</formula>
    </cfRule>
  </conditionalFormatting>
  <conditionalFormatting sqref="T31">
    <cfRule type="cellIs" dxfId="30703" priority="88752" stopIfTrue="1" operator="equal">
      <formula>-1</formula>
    </cfRule>
  </conditionalFormatting>
  <conditionalFormatting sqref="T31">
    <cfRule type="cellIs" dxfId="30702" priority="88753" stopIfTrue="1" operator="lessThan">
      <formula>0.5</formula>
    </cfRule>
  </conditionalFormatting>
  <conditionalFormatting sqref="T31">
    <cfRule type="cellIs" dxfId="30701" priority="88754" stopIfTrue="1" operator="greaterThanOrEqual">
      <formula>0.5</formula>
    </cfRule>
  </conditionalFormatting>
  <conditionalFormatting sqref="T32">
    <cfRule type="cellIs" dxfId="30700" priority="88755" stopIfTrue="1" operator="equal">
      <formula>-1</formula>
    </cfRule>
  </conditionalFormatting>
  <conditionalFormatting sqref="T32">
    <cfRule type="cellIs" dxfId="30699" priority="88756" stopIfTrue="1" operator="lessThan">
      <formula>0.5</formula>
    </cfRule>
  </conditionalFormatting>
  <conditionalFormatting sqref="T32">
    <cfRule type="cellIs" dxfId="30698" priority="88757" stopIfTrue="1" operator="greaterThanOrEqual">
      <formula>0.5</formula>
    </cfRule>
  </conditionalFormatting>
  <conditionalFormatting sqref="T33">
    <cfRule type="cellIs" dxfId="30697" priority="88758" stopIfTrue="1" operator="equal">
      <formula>-1</formula>
    </cfRule>
  </conditionalFormatting>
  <conditionalFormatting sqref="T33">
    <cfRule type="cellIs" dxfId="30696" priority="88759" stopIfTrue="1" operator="lessThan">
      <formula>0.5</formula>
    </cfRule>
  </conditionalFormatting>
  <conditionalFormatting sqref="T33">
    <cfRule type="cellIs" dxfId="30695" priority="88760" stopIfTrue="1" operator="greaterThanOrEqual">
      <formula>0.5</formula>
    </cfRule>
  </conditionalFormatting>
  <conditionalFormatting sqref="T34">
    <cfRule type="cellIs" dxfId="30694" priority="88761" stopIfTrue="1" operator="equal">
      <formula>-1</formula>
    </cfRule>
  </conditionalFormatting>
  <conditionalFormatting sqref="T34">
    <cfRule type="cellIs" dxfId="30693" priority="88762" stopIfTrue="1" operator="lessThan">
      <formula>0.5</formula>
    </cfRule>
  </conditionalFormatting>
  <conditionalFormatting sqref="T34">
    <cfRule type="cellIs" dxfId="30692" priority="88763" stopIfTrue="1" operator="greaterThanOrEqual">
      <formula>0.5</formula>
    </cfRule>
  </conditionalFormatting>
  <conditionalFormatting sqref="T35">
    <cfRule type="cellIs" dxfId="30691" priority="88764" stopIfTrue="1" operator="equal">
      <formula>-1</formula>
    </cfRule>
  </conditionalFormatting>
  <conditionalFormatting sqref="T35">
    <cfRule type="cellIs" dxfId="30690" priority="88765" stopIfTrue="1" operator="lessThan">
      <formula>0.5</formula>
    </cfRule>
  </conditionalFormatting>
  <conditionalFormatting sqref="T35">
    <cfRule type="cellIs" dxfId="30689" priority="88766" stopIfTrue="1" operator="greaterThanOrEqual">
      <formula>0.5</formula>
    </cfRule>
  </conditionalFormatting>
  <conditionalFormatting sqref="T36">
    <cfRule type="cellIs" dxfId="30688" priority="88767" stopIfTrue="1" operator="equal">
      <formula>-1</formula>
    </cfRule>
  </conditionalFormatting>
  <conditionalFormatting sqref="T36">
    <cfRule type="cellIs" dxfId="30687" priority="88768" stopIfTrue="1" operator="lessThan">
      <formula>0.5</formula>
    </cfRule>
  </conditionalFormatting>
  <conditionalFormatting sqref="T36">
    <cfRule type="cellIs" dxfId="30686" priority="88769" stopIfTrue="1" operator="greaterThanOrEqual">
      <formula>0.5</formula>
    </cfRule>
  </conditionalFormatting>
  <conditionalFormatting sqref="T37">
    <cfRule type="cellIs" dxfId="30685" priority="88770" stopIfTrue="1" operator="equal">
      <formula>-1</formula>
    </cfRule>
  </conditionalFormatting>
  <conditionalFormatting sqref="T37">
    <cfRule type="cellIs" dxfId="30684" priority="88771" stopIfTrue="1" operator="lessThan">
      <formula>0.5</formula>
    </cfRule>
  </conditionalFormatting>
  <conditionalFormatting sqref="T37">
    <cfRule type="cellIs" dxfId="30683" priority="88772" stopIfTrue="1" operator="greaterThanOrEqual">
      <formula>0.5</formula>
    </cfRule>
  </conditionalFormatting>
  <conditionalFormatting sqref="V17">
    <cfRule type="cellIs" dxfId="30682" priority="88773" stopIfTrue="1" operator="equal">
      <formula>-1</formula>
    </cfRule>
  </conditionalFormatting>
  <conditionalFormatting sqref="V17">
    <cfRule type="cellIs" dxfId="30681" priority="88774" stopIfTrue="1" operator="lessThan">
      <formula>0.5</formula>
    </cfRule>
  </conditionalFormatting>
  <conditionalFormatting sqref="V17">
    <cfRule type="cellIs" dxfId="30680" priority="88775" stopIfTrue="1" operator="greaterThanOrEqual">
      <formula>0.5</formula>
    </cfRule>
  </conditionalFormatting>
  <conditionalFormatting sqref="V18">
    <cfRule type="cellIs" dxfId="30679" priority="88776" stopIfTrue="1" operator="equal">
      <formula>-1</formula>
    </cfRule>
  </conditionalFormatting>
  <conditionalFormatting sqref="V18">
    <cfRule type="cellIs" dxfId="30678" priority="88777" stopIfTrue="1" operator="lessThan">
      <formula>0.5</formula>
    </cfRule>
  </conditionalFormatting>
  <conditionalFormatting sqref="V18">
    <cfRule type="cellIs" dxfId="30677" priority="88778" stopIfTrue="1" operator="greaterThanOrEqual">
      <formula>0.5</formula>
    </cfRule>
  </conditionalFormatting>
  <conditionalFormatting sqref="V19">
    <cfRule type="cellIs" dxfId="30676" priority="88779" stopIfTrue="1" operator="equal">
      <formula>-1</formula>
    </cfRule>
  </conditionalFormatting>
  <conditionalFormatting sqref="V19">
    <cfRule type="cellIs" dxfId="30675" priority="88780" stopIfTrue="1" operator="lessThan">
      <formula>0.5</formula>
    </cfRule>
  </conditionalFormatting>
  <conditionalFormatting sqref="V19">
    <cfRule type="cellIs" dxfId="30674" priority="88781" stopIfTrue="1" operator="greaterThanOrEqual">
      <formula>0.5</formula>
    </cfRule>
  </conditionalFormatting>
  <conditionalFormatting sqref="V20">
    <cfRule type="cellIs" dxfId="30673" priority="88782" stopIfTrue="1" operator="equal">
      <formula>-1</formula>
    </cfRule>
  </conditionalFormatting>
  <conditionalFormatting sqref="V20">
    <cfRule type="cellIs" dxfId="30672" priority="88783" stopIfTrue="1" operator="lessThan">
      <formula>0.5</formula>
    </cfRule>
  </conditionalFormatting>
  <conditionalFormatting sqref="V20">
    <cfRule type="cellIs" dxfId="30671" priority="88784" stopIfTrue="1" operator="greaterThanOrEqual">
      <formula>0.5</formula>
    </cfRule>
  </conditionalFormatting>
  <conditionalFormatting sqref="V21">
    <cfRule type="cellIs" dxfId="30670" priority="88785" stopIfTrue="1" operator="equal">
      <formula>-1</formula>
    </cfRule>
  </conditionalFormatting>
  <conditionalFormatting sqref="V21">
    <cfRule type="cellIs" dxfId="30669" priority="88786" stopIfTrue="1" operator="lessThan">
      <formula>0.5</formula>
    </cfRule>
  </conditionalFormatting>
  <conditionalFormatting sqref="V21">
    <cfRule type="cellIs" dxfId="30668" priority="88787" stopIfTrue="1" operator="greaterThanOrEqual">
      <formula>0.5</formula>
    </cfRule>
  </conditionalFormatting>
  <conditionalFormatting sqref="V22">
    <cfRule type="cellIs" dxfId="30667" priority="88788" stopIfTrue="1" operator="equal">
      <formula>-1</formula>
    </cfRule>
  </conditionalFormatting>
  <conditionalFormatting sqref="V22">
    <cfRule type="cellIs" dxfId="30666" priority="88789" stopIfTrue="1" operator="lessThan">
      <formula>0.5</formula>
    </cfRule>
  </conditionalFormatting>
  <conditionalFormatting sqref="V22">
    <cfRule type="cellIs" dxfId="30665" priority="88790" stopIfTrue="1" operator="greaterThanOrEqual">
      <formula>0.5</formula>
    </cfRule>
  </conditionalFormatting>
  <conditionalFormatting sqref="V23">
    <cfRule type="cellIs" dxfId="30664" priority="88791" stopIfTrue="1" operator="equal">
      <formula>-1</formula>
    </cfRule>
  </conditionalFormatting>
  <conditionalFormatting sqref="V23">
    <cfRule type="cellIs" dxfId="30663" priority="88792" stopIfTrue="1" operator="lessThan">
      <formula>0.5</formula>
    </cfRule>
  </conditionalFormatting>
  <conditionalFormatting sqref="V23">
    <cfRule type="cellIs" dxfId="30662" priority="88793" stopIfTrue="1" operator="greaterThanOrEqual">
      <formula>0.5</formula>
    </cfRule>
  </conditionalFormatting>
  <conditionalFormatting sqref="V24">
    <cfRule type="cellIs" dxfId="30661" priority="88794" stopIfTrue="1" operator="equal">
      <formula>-1</formula>
    </cfRule>
  </conditionalFormatting>
  <conditionalFormatting sqref="V24">
    <cfRule type="cellIs" dxfId="30660" priority="88795" stopIfTrue="1" operator="lessThan">
      <formula>0.5</formula>
    </cfRule>
  </conditionalFormatting>
  <conditionalFormatting sqref="V24">
    <cfRule type="cellIs" dxfId="30659" priority="88796" stopIfTrue="1" operator="greaterThanOrEqual">
      <formula>0.5</formula>
    </cfRule>
  </conditionalFormatting>
  <conditionalFormatting sqref="V25">
    <cfRule type="cellIs" dxfId="30658" priority="88797" stopIfTrue="1" operator="equal">
      <formula>-1</formula>
    </cfRule>
  </conditionalFormatting>
  <conditionalFormatting sqref="V25">
    <cfRule type="cellIs" dxfId="30657" priority="88798" stopIfTrue="1" operator="lessThan">
      <formula>0.5</formula>
    </cfRule>
  </conditionalFormatting>
  <conditionalFormatting sqref="V25">
    <cfRule type="cellIs" dxfId="30656" priority="88799" stopIfTrue="1" operator="greaterThanOrEqual">
      <formula>0.5</formula>
    </cfRule>
  </conditionalFormatting>
  <conditionalFormatting sqref="V26">
    <cfRule type="cellIs" dxfId="30655" priority="88800" stopIfTrue="1" operator="equal">
      <formula>-1</formula>
    </cfRule>
  </conditionalFormatting>
  <conditionalFormatting sqref="V26">
    <cfRule type="cellIs" dxfId="30654" priority="88801" stopIfTrue="1" operator="lessThan">
      <formula>0.5</formula>
    </cfRule>
  </conditionalFormatting>
  <conditionalFormatting sqref="V26">
    <cfRule type="cellIs" dxfId="30653" priority="88802" stopIfTrue="1" operator="greaterThanOrEqual">
      <formula>0.5</formula>
    </cfRule>
  </conditionalFormatting>
  <conditionalFormatting sqref="V27">
    <cfRule type="cellIs" dxfId="30652" priority="88803" stopIfTrue="1" operator="equal">
      <formula>-1</formula>
    </cfRule>
  </conditionalFormatting>
  <conditionalFormatting sqref="V27">
    <cfRule type="cellIs" dxfId="30651" priority="88804" stopIfTrue="1" operator="lessThan">
      <formula>0.5</formula>
    </cfRule>
  </conditionalFormatting>
  <conditionalFormatting sqref="V27">
    <cfRule type="cellIs" dxfId="30650" priority="88805" stopIfTrue="1" operator="greaterThanOrEqual">
      <formula>0.5</formula>
    </cfRule>
  </conditionalFormatting>
  <conditionalFormatting sqref="V28">
    <cfRule type="cellIs" dxfId="30649" priority="88806" stopIfTrue="1" operator="equal">
      <formula>-1</formula>
    </cfRule>
  </conditionalFormatting>
  <conditionalFormatting sqref="V28">
    <cfRule type="cellIs" dxfId="30648" priority="88807" stopIfTrue="1" operator="lessThan">
      <formula>0.5</formula>
    </cfRule>
  </conditionalFormatting>
  <conditionalFormatting sqref="V28">
    <cfRule type="cellIs" dxfId="30647" priority="88808" stopIfTrue="1" operator="greaterThanOrEqual">
      <formula>0.5</formula>
    </cfRule>
  </conditionalFormatting>
  <conditionalFormatting sqref="V29">
    <cfRule type="cellIs" dxfId="30646" priority="88809" stopIfTrue="1" operator="equal">
      <formula>-1</formula>
    </cfRule>
  </conditionalFormatting>
  <conditionalFormatting sqref="V29">
    <cfRule type="cellIs" dxfId="30645" priority="88810" stopIfTrue="1" operator="lessThan">
      <formula>0.5</formula>
    </cfRule>
  </conditionalFormatting>
  <conditionalFormatting sqref="V29">
    <cfRule type="cellIs" dxfId="30644" priority="88811" stopIfTrue="1" operator="greaterThanOrEqual">
      <formula>0.5</formula>
    </cfRule>
  </conditionalFormatting>
  <conditionalFormatting sqref="V30">
    <cfRule type="cellIs" dxfId="30643" priority="88812" stopIfTrue="1" operator="equal">
      <formula>-1</formula>
    </cfRule>
  </conditionalFormatting>
  <conditionalFormatting sqref="V30">
    <cfRule type="cellIs" dxfId="30642" priority="88813" stopIfTrue="1" operator="lessThan">
      <formula>0.5</formula>
    </cfRule>
  </conditionalFormatting>
  <conditionalFormatting sqref="V30">
    <cfRule type="cellIs" dxfId="30641" priority="88814" stopIfTrue="1" operator="greaterThanOrEqual">
      <formula>0.5</formula>
    </cfRule>
  </conditionalFormatting>
  <conditionalFormatting sqref="V31">
    <cfRule type="cellIs" dxfId="30640" priority="88815" stopIfTrue="1" operator="equal">
      <formula>-1</formula>
    </cfRule>
  </conditionalFormatting>
  <conditionalFormatting sqref="V31">
    <cfRule type="cellIs" dxfId="30639" priority="88816" stopIfTrue="1" operator="lessThan">
      <formula>0.5</formula>
    </cfRule>
  </conditionalFormatting>
  <conditionalFormatting sqref="V31">
    <cfRule type="cellIs" dxfId="30638" priority="88817" stopIfTrue="1" operator="greaterThanOrEqual">
      <formula>0.5</formula>
    </cfRule>
  </conditionalFormatting>
  <conditionalFormatting sqref="V32">
    <cfRule type="cellIs" dxfId="30637" priority="88818" stopIfTrue="1" operator="equal">
      <formula>-1</formula>
    </cfRule>
  </conditionalFormatting>
  <conditionalFormatting sqref="V32">
    <cfRule type="cellIs" dxfId="30636" priority="88819" stopIfTrue="1" operator="lessThan">
      <formula>0.5</formula>
    </cfRule>
  </conditionalFormatting>
  <conditionalFormatting sqref="V32">
    <cfRule type="cellIs" dxfId="30635" priority="88820" stopIfTrue="1" operator="greaterThanOrEqual">
      <formula>0.5</formula>
    </cfRule>
  </conditionalFormatting>
  <conditionalFormatting sqref="V33">
    <cfRule type="cellIs" dxfId="30634" priority="88821" stopIfTrue="1" operator="equal">
      <formula>-1</formula>
    </cfRule>
  </conditionalFormatting>
  <conditionalFormatting sqref="V33">
    <cfRule type="cellIs" dxfId="30633" priority="88822" stopIfTrue="1" operator="lessThan">
      <formula>0.5</formula>
    </cfRule>
  </conditionalFormatting>
  <conditionalFormatting sqref="V33">
    <cfRule type="cellIs" dxfId="30632" priority="88823" stopIfTrue="1" operator="greaterThanOrEqual">
      <formula>0.5</formula>
    </cfRule>
  </conditionalFormatting>
  <conditionalFormatting sqref="V34">
    <cfRule type="cellIs" dxfId="30631" priority="88824" stopIfTrue="1" operator="equal">
      <formula>-1</formula>
    </cfRule>
  </conditionalFormatting>
  <conditionalFormatting sqref="V34">
    <cfRule type="cellIs" dxfId="30630" priority="88825" stopIfTrue="1" operator="lessThan">
      <formula>0.5</formula>
    </cfRule>
  </conditionalFormatting>
  <conditionalFormatting sqref="V34">
    <cfRule type="cellIs" dxfId="30629" priority="88826" stopIfTrue="1" operator="greaterThanOrEqual">
      <formula>0.5</formula>
    </cfRule>
  </conditionalFormatting>
  <conditionalFormatting sqref="V35">
    <cfRule type="cellIs" dxfId="30628" priority="88827" stopIfTrue="1" operator="equal">
      <formula>-1</formula>
    </cfRule>
  </conditionalFormatting>
  <conditionalFormatting sqref="V35">
    <cfRule type="cellIs" dxfId="30627" priority="88828" stopIfTrue="1" operator="lessThan">
      <formula>0.5</formula>
    </cfRule>
  </conditionalFormatting>
  <conditionalFormatting sqref="V35">
    <cfRule type="cellIs" dxfId="30626" priority="88829" stopIfTrue="1" operator="greaterThanOrEqual">
      <formula>0.5</formula>
    </cfRule>
  </conditionalFormatting>
  <conditionalFormatting sqref="V36">
    <cfRule type="cellIs" dxfId="30625" priority="88830" stopIfTrue="1" operator="equal">
      <formula>-1</formula>
    </cfRule>
  </conditionalFormatting>
  <conditionalFormatting sqref="V36">
    <cfRule type="cellIs" dxfId="30624" priority="88831" stopIfTrue="1" operator="lessThan">
      <formula>0.5</formula>
    </cfRule>
  </conditionalFormatting>
  <conditionalFormatting sqref="V36">
    <cfRule type="cellIs" dxfId="30623" priority="88832" stopIfTrue="1" operator="greaterThanOrEqual">
      <formula>0.5</formula>
    </cfRule>
  </conditionalFormatting>
  <conditionalFormatting sqref="V37">
    <cfRule type="cellIs" dxfId="30622" priority="88833" stopIfTrue="1" operator="equal">
      <formula>-1</formula>
    </cfRule>
  </conditionalFormatting>
  <conditionalFormatting sqref="V37">
    <cfRule type="cellIs" dxfId="30621" priority="88834" stopIfTrue="1" operator="lessThan">
      <formula>0.5</formula>
    </cfRule>
  </conditionalFormatting>
  <conditionalFormatting sqref="V37">
    <cfRule type="cellIs" dxfId="30620" priority="88835" stopIfTrue="1" operator="greaterThanOrEqual">
      <formula>0.5</formula>
    </cfRule>
  </conditionalFormatting>
  <conditionalFormatting sqref="X17">
    <cfRule type="cellIs" dxfId="30619" priority="88836" stopIfTrue="1" operator="equal">
      <formula>-1</formula>
    </cfRule>
  </conditionalFormatting>
  <conditionalFormatting sqref="X17">
    <cfRule type="cellIs" dxfId="30618" priority="88837" stopIfTrue="1" operator="lessThan">
      <formula>0.5</formula>
    </cfRule>
  </conditionalFormatting>
  <conditionalFormatting sqref="X17">
    <cfRule type="cellIs" dxfId="30617" priority="88838" stopIfTrue="1" operator="greaterThanOrEqual">
      <formula>0.5</formula>
    </cfRule>
  </conditionalFormatting>
  <conditionalFormatting sqref="X18">
    <cfRule type="cellIs" dxfId="30616" priority="88839" stopIfTrue="1" operator="equal">
      <formula>-1</formula>
    </cfRule>
  </conditionalFormatting>
  <conditionalFormatting sqref="X18">
    <cfRule type="cellIs" dxfId="30615" priority="88840" stopIfTrue="1" operator="lessThan">
      <formula>0.5</formula>
    </cfRule>
  </conditionalFormatting>
  <conditionalFormatting sqref="X18">
    <cfRule type="cellIs" dxfId="30614" priority="88841" stopIfTrue="1" operator="greaterThanOrEqual">
      <formula>0.5</formula>
    </cfRule>
  </conditionalFormatting>
  <conditionalFormatting sqref="X19">
    <cfRule type="cellIs" dxfId="30613" priority="88842" stopIfTrue="1" operator="equal">
      <formula>-1</formula>
    </cfRule>
  </conditionalFormatting>
  <conditionalFormatting sqref="X19">
    <cfRule type="cellIs" dxfId="30612" priority="88843" stopIfTrue="1" operator="lessThan">
      <formula>0.5</formula>
    </cfRule>
  </conditionalFormatting>
  <conditionalFormatting sqref="X19">
    <cfRule type="cellIs" dxfId="30611" priority="88844" stopIfTrue="1" operator="greaterThanOrEqual">
      <formula>0.5</formula>
    </cfRule>
  </conditionalFormatting>
  <conditionalFormatting sqref="X20">
    <cfRule type="cellIs" dxfId="30610" priority="88845" stopIfTrue="1" operator="equal">
      <formula>-1</formula>
    </cfRule>
  </conditionalFormatting>
  <conditionalFormatting sqref="X20">
    <cfRule type="cellIs" dxfId="30609" priority="88846" stopIfTrue="1" operator="lessThan">
      <formula>0.5</formula>
    </cfRule>
  </conditionalFormatting>
  <conditionalFormatting sqref="X20">
    <cfRule type="cellIs" dxfId="30608" priority="88847" stopIfTrue="1" operator="greaterThanOrEqual">
      <formula>0.5</formula>
    </cfRule>
  </conditionalFormatting>
  <conditionalFormatting sqref="X21">
    <cfRule type="cellIs" dxfId="30607" priority="88848" stopIfTrue="1" operator="equal">
      <formula>-1</formula>
    </cfRule>
  </conditionalFormatting>
  <conditionalFormatting sqref="X21">
    <cfRule type="cellIs" dxfId="30606" priority="88849" stopIfTrue="1" operator="lessThan">
      <formula>0.5</formula>
    </cfRule>
  </conditionalFormatting>
  <conditionalFormatting sqref="X21">
    <cfRule type="cellIs" dxfId="30605" priority="88850" stopIfTrue="1" operator="greaterThanOrEqual">
      <formula>0.5</formula>
    </cfRule>
  </conditionalFormatting>
  <conditionalFormatting sqref="X22">
    <cfRule type="cellIs" dxfId="30604" priority="88851" stopIfTrue="1" operator="equal">
      <formula>-1</formula>
    </cfRule>
  </conditionalFormatting>
  <conditionalFormatting sqref="X22">
    <cfRule type="cellIs" dxfId="30603" priority="88852" stopIfTrue="1" operator="lessThan">
      <formula>0.5</formula>
    </cfRule>
  </conditionalFormatting>
  <conditionalFormatting sqref="X22">
    <cfRule type="cellIs" dxfId="30602" priority="88853" stopIfTrue="1" operator="greaterThanOrEqual">
      <formula>0.5</formula>
    </cfRule>
  </conditionalFormatting>
  <conditionalFormatting sqref="X23">
    <cfRule type="cellIs" dxfId="30601" priority="88854" stopIfTrue="1" operator="equal">
      <formula>-1</formula>
    </cfRule>
  </conditionalFormatting>
  <conditionalFormatting sqref="X23">
    <cfRule type="cellIs" dxfId="30600" priority="88855" stopIfTrue="1" operator="lessThan">
      <formula>0.5</formula>
    </cfRule>
  </conditionalFormatting>
  <conditionalFormatting sqref="X23">
    <cfRule type="cellIs" dxfId="30599" priority="88856" stopIfTrue="1" operator="greaterThanOrEqual">
      <formula>0.5</formula>
    </cfRule>
  </conditionalFormatting>
  <conditionalFormatting sqref="X24">
    <cfRule type="cellIs" dxfId="30598" priority="88857" stopIfTrue="1" operator="equal">
      <formula>-1</formula>
    </cfRule>
  </conditionalFormatting>
  <conditionalFormatting sqref="X24">
    <cfRule type="cellIs" dxfId="30597" priority="88858" stopIfTrue="1" operator="lessThan">
      <formula>0.5</formula>
    </cfRule>
  </conditionalFormatting>
  <conditionalFormatting sqref="X24">
    <cfRule type="cellIs" dxfId="30596" priority="88859" stopIfTrue="1" operator="greaterThanOrEqual">
      <formula>0.5</formula>
    </cfRule>
  </conditionalFormatting>
  <conditionalFormatting sqref="X25">
    <cfRule type="cellIs" dxfId="30595" priority="88860" stopIfTrue="1" operator="equal">
      <formula>-1</formula>
    </cfRule>
  </conditionalFormatting>
  <conditionalFormatting sqref="X25">
    <cfRule type="cellIs" dxfId="30594" priority="88861" stopIfTrue="1" operator="lessThan">
      <formula>0.5</formula>
    </cfRule>
  </conditionalFormatting>
  <conditionalFormatting sqref="X25">
    <cfRule type="cellIs" dxfId="30593" priority="88862" stopIfTrue="1" operator="greaterThanOrEqual">
      <formula>0.5</formula>
    </cfRule>
  </conditionalFormatting>
  <conditionalFormatting sqref="X26">
    <cfRule type="cellIs" dxfId="30592" priority="88863" stopIfTrue="1" operator="equal">
      <formula>-1</formula>
    </cfRule>
  </conditionalFormatting>
  <conditionalFormatting sqref="X26">
    <cfRule type="cellIs" dxfId="30591" priority="88864" stopIfTrue="1" operator="lessThan">
      <formula>0.5</formula>
    </cfRule>
  </conditionalFormatting>
  <conditionalFormatting sqref="X26">
    <cfRule type="cellIs" dxfId="30590" priority="88865" stopIfTrue="1" operator="greaterThanOrEqual">
      <formula>0.5</formula>
    </cfRule>
  </conditionalFormatting>
  <conditionalFormatting sqref="X27">
    <cfRule type="cellIs" dxfId="30589" priority="88866" stopIfTrue="1" operator="equal">
      <formula>-1</formula>
    </cfRule>
  </conditionalFormatting>
  <conditionalFormatting sqref="X27">
    <cfRule type="cellIs" dxfId="30588" priority="88867" stopIfTrue="1" operator="lessThan">
      <formula>0.5</formula>
    </cfRule>
  </conditionalFormatting>
  <conditionalFormatting sqref="X27">
    <cfRule type="cellIs" dxfId="30587" priority="88868" stopIfTrue="1" operator="greaterThanOrEqual">
      <formula>0.5</formula>
    </cfRule>
  </conditionalFormatting>
  <conditionalFormatting sqref="X28">
    <cfRule type="cellIs" dxfId="30586" priority="88869" stopIfTrue="1" operator="equal">
      <formula>-1</formula>
    </cfRule>
  </conditionalFormatting>
  <conditionalFormatting sqref="X28">
    <cfRule type="cellIs" dxfId="30585" priority="88870" stopIfTrue="1" operator="lessThan">
      <formula>0.5</formula>
    </cfRule>
  </conditionalFormatting>
  <conditionalFormatting sqref="X28">
    <cfRule type="cellIs" dxfId="30584" priority="88871" stopIfTrue="1" operator="greaterThanOrEqual">
      <formula>0.5</formula>
    </cfRule>
  </conditionalFormatting>
  <conditionalFormatting sqref="X29">
    <cfRule type="cellIs" dxfId="30583" priority="88872" stopIfTrue="1" operator="equal">
      <formula>-1</formula>
    </cfRule>
  </conditionalFormatting>
  <conditionalFormatting sqref="X29">
    <cfRule type="cellIs" dxfId="30582" priority="88873" stopIfTrue="1" operator="lessThan">
      <formula>0.5</formula>
    </cfRule>
  </conditionalFormatting>
  <conditionalFormatting sqref="X29">
    <cfRule type="cellIs" dxfId="30581" priority="88874" stopIfTrue="1" operator="greaterThanOrEqual">
      <formula>0.5</formula>
    </cfRule>
  </conditionalFormatting>
  <conditionalFormatting sqref="X30">
    <cfRule type="cellIs" dxfId="30580" priority="88875" stopIfTrue="1" operator="equal">
      <formula>-1</formula>
    </cfRule>
  </conditionalFormatting>
  <conditionalFormatting sqref="X30">
    <cfRule type="cellIs" dxfId="30579" priority="88876" stopIfTrue="1" operator="lessThan">
      <formula>0.5</formula>
    </cfRule>
  </conditionalFormatting>
  <conditionalFormatting sqref="X30">
    <cfRule type="cellIs" dxfId="30578" priority="88877" stopIfTrue="1" operator="greaterThanOrEqual">
      <formula>0.5</formula>
    </cfRule>
  </conditionalFormatting>
  <conditionalFormatting sqref="X31">
    <cfRule type="cellIs" dxfId="30577" priority="88878" stopIfTrue="1" operator="equal">
      <formula>-1</formula>
    </cfRule>
  </conditionalFormatting>
  <conditionalFormatting sqref="X31">
    <cfRule type="cellIs" dxfId="30576" priority="88879" stopIfTrue="1" operator="lessThan">
      <formula>0.5</formula>
    </cfRule>
  </conditionalFormatting>
  <conditionalFormatting sqref="X31">
    <cfRule type="cellIs" dxfId="30575" priority="88880" stopIfTrue="1" operator="greaterThanOrEqual">
      <formula>0.5</formula>
    </cfRule>
  </conditionalFormatting>
  <conditionalFormatting sqref="X32">
    <cfRule type="cellIs" dxfId="30574" priority="88881" stopIfTrue="1" operator="equal">
      <formula>-1</formula>
    </cfRule>
  </conditionalFormatting>
  <conditionalFormatting sqref="X32">
    <cfRule type="cellIs" dxfId="30573" priority="88882" stopIfTrue="1" operator="lessThan">
      <formula>0.5</formula>
    </cfRule>
  </conditionalFormatting>
  <conditionalFormatting sqref="X32">
    <cfRule type="cellIs" dxfId="30572" priority="88883" stopIfTrue="1" operator="greaterThanOrEqual">
      <formula>0.5</formula>
    </cfRule>
  </conditionalFormatting>
  <conditionalFormatting sqref="X33">
    <cfRule type="cellIs" dxfId="30571" priority="88884" stopIfTrue="1" operator="equal">
      <formula>-1</formula>
    </cfRule>
  </conditionalFormatting>
  <conditionalFormatting sqref="X33">
    <cfRule type="cellIs" dxfId="30570" priority="88885" stopIfTrue="1" operator="lessThan">
      <formula>0.5</formula>
    </cfRule>
  </conditionalFormatting>
  <conditionalFormatting sqref="X33">
    <cfRule type="cellIs" dxfId="30569" priority="88886" stopIfTrue="1" operator="greaterThanOrEqual">
      <formula>0.5</formula>
    </cfRule>
  </conditionalFormatting>
  <conditionalFormatting sqref="X34">
    <cfRule type="cellIs" dxfId="30568" priority="88887" stopIfTrue="1" operator="equal">
      <formula>-1</formula>
    </cfRule>
  </conditionalFormatting>
  <conditionalFormatting sqref="X34">
    <cfRule type="cellIs" dxfId="30567" priority="88888" stopIfTrue="1" operator="lessThan">
      <formula>0.5</formula>
    </cfRule>
  </conditionalFormatting>
  <conditionalFormatting sqref="X34">
    <cfRule type="cellIs" dxfId="30566" priority="88889" stopIfTrue="1" operator="greaterThanOrEqual">
      <formula>0.5</formula>
    </cfRule>
  </conditionalFormatting>
  <conditionalFormatting sqref="X35">
    <cfRule type="cellIs" dxfId="30565" priority="88890" stopIfTrue="1" operator="equal">
      <formula>-1</formula>
    </cfRule>
  </conditionalFormatting>
  <conditionalFormatting sqref="X35">
    <cfRule type="cellIs" dxfId="30564" priority="88891" stopIfTrue="1" operator="lessThan">
      <formula>0.5</formula>
    </cfRule>
  </conditionalFormatting>
  <conditionalFormatting sqref="X35">
    <cfRule type="cellIs" dxfId="30563" priority="88892" stopIfTrue="1" operator="greaterThanOrEqual">
      <formula>0.5</formula>
    </cfRule>
  </conditionalFormatting>
  <conditionalFormatting sqref="X36">
    <cfRule type="cellIs" dxfId="30562" priority="88893" stopIfTrue="1" operator="equal">
      <formula>-1</formula>
    </cfRule>
  </conditionalFormatting>
  <conditionalFormatting sqref="X36">
    <cfRule type="cellIs" dxfId="30561" priority="88894" stopIfTrue="1" operator="lessThan">
      <formula>0.5</formula>
    </cfRule>
  </conditionalFormatting>
  <conditionalFormatting sqref="X36">
    <cfRule type="cellIs" dxfId="30560" priority="88895" stopIfTrue="1" operator="greaterThanOrEqual">
      <formula>0.5</formula>
    </cfRule>
  </conditionalFormatting>
  <conditionalFormatting sqref="X37">
    <cfRule type="cellIs" dxfId="30559" priority="88896" stopIfTrue="1" operator="equal">
      <formula>-1</formula>
    </cfRule>
  </conditionalFormatting>
  <conditionalFormatting sqref="X37">
    <cfRule type="cellIs" dxfId="30558" priority="88897" stopIfTrue="1" operator="lessThan">
      <formula>0.5</formula>
    </cfRule>
  </conditionalFormatting>
  <conditionalFormatting sqref="X37">
    <cfRule type="cellIs" dxfId="30557" priority="88898" stopIfTrue="1" operator="greaterThanOrEqual">
      <formula>0.5</formula>
    </cfRule>
  </conditionalFormatting>
  <conditionalFormatting sqref="Z17">
    <cfRule type="cellIs" dxfId="30556" priority="88899" stopIfTrue="1" operator="equal">
      <formula>-1</formula>
    </cfRule>
  </conditionalFormatting>
  <conditionalFormatting sqref="Z17">
    <cfRule type="cellIs" dxfId="30555" priority="88900" stopIfTrue="1" operator="lessThan">
      <formula>0.5</formula>
    </cfRule>
  </conditionalFormatting>
  <conditionalFormatting sqref="Z17">
    <cfRule type="cellIs" dxfId="30554" priority="88901" stopIfTrue="1" operator="greaterThanOrEqual">
      <formula>0.5</formula>
    </cfRule>
  </conditionalFormatting>
  <conditionalFormatting sqref="Z18">
    <cfRule type="cellIs" dxfId="30553" priority="88902" stopIfTrue="1" operator="equal">
      <formula>-1</formula>
    </cfRule>
  </conditionalFormatting>
  <conditionalFormatting sqref="Z18">
    <cfRule type="cellIs" dxfId="30552" priority="88903" stopIfTrue="1" operator="lessThan">
      <formula>0.5</formula>
    </cfRule>
  </conditionalFormatting>
  <conditionalFormatting sqref="Z18">
    <cfRule type="cellIs" dxfId="30551" priority="88904" stopIfTrue="1" operator="greaterThanOrEqual">
      <formula>0.5</formula>
    </cfRule>
  </conditionalFormatting>
  <conditionalFormatting sqref="Z19">
    <cfRule type="cellIs" dxfId="30550" priority="88905" stopIfTrue="1" operator="equal">
      <formula>-1</formula>
    </cfRule>
  </conditionalFormatting>
  <conditionalFormatting sqref="Z19">
    <cfRule type="cellIs" dxfId="30549" priority="88906" stopIfTrue="1" operator="lessThan">
      <formula>0.5</formula>
    </cfRule>
  </conditionalFormatting>
  <conditionalFormatting sqref="Z19">
    <cfRule type="cellIs" dxfId="30548" priority="88907" stopIfTrue="1" operator="greaterThanOrEqual">
      <formula>0.5</formula>
    </cfRule>
  </conditionalFormatting>
  <conditionalFormatting sqref="Z20">
    <cfRule type="cellIs" dxfId="30547" priority="88908" stopIfTrue="1" operator="equal">
      <formula>-1</formula>
    </cfRule>
  </conditionalFormatting>
  <conditionalFormatting sqref="Z20">
    <cfRule type="cellIs" dxfId="30546" priority="88909" stopIfTrue="1" operator="lessThan">
      <formula>0.5</formula>
    </cfRule>
  </conditionalFormatting>
  <conditionalFormatting sqref="Z20">
    <cfRule type="cellIs" dxfId="30545" priority="88910" stopIfTrue="1" operator="greaterThanOrEqual">
      <formula>0.5</formula>
    </cfRule>
  </conditionalFormatting>
  <conditionalFormatting sqref="Z21">
    <cfRule type="cellIs" dxfId="30544" priority="88911" stopIfTrue="1" operator="equal">
      <formula>-1</formula>
    </cfRule>
  </conditionalFormatting>
  <conditionalFormatting sqref="Z21">
    <cfRule type="cellIs" dxfId="30543" priority="88912" stopIfTrue="1" operator="lessThan">
      <formula>0.5</formula>
    </cfRule>
  </conditionalFormatting>
  <conditionalFormatting sqref="Z21">
    <cfRule type="cellIs" dxfId="30542" priority="88913" stopIfTrue="1" operator="greaterThanOrEqual">
      <formula>0.5</formula>
    </cfRule>
  </conditionalFormatting>
  <conditionalFormatting sqref="Z22">
    <cfRule type="cellIs" dxfId="30541" priority="88914" stopIfTrue="1" operator="equal">
      <formula>-1</formula>
    </cfRule>
  </conditionalFormatting>
  <conditionalFormatting sqref="Z22">
    <cfRule type="cellIs" dxfId="30540" priority="88915" stopIfTrue="1" operator="lessThan">
      <formula>0.5</formula>
    </cfRule>
  </conditionalFormatting>
  <conditionalFormatting sqref="Z22">
    <cfRule type="cellIs" dxfId="30539" priority="88916" stopIfTrue="1" operator="greaterThanOrEqual">
      <formula>0.5</formula>
    </cfRule>
  </conditionalFormatting>
  <conditionalFormatting sqref="Z23">
    <cfRule type="cellIs" dxfId="30538" priority="88917" stopIfTrue="1" operator="equal">
      <formula>-1</formula>
    </cfRule>
  </conditionalFormatting>
  <conditionalFormatting sqref="Z23">
    <cfRule type="cellIs" dxfId="30537" priority="88918" stopIfTrue="1" operator="lessThan">
      <formula>0.5</formula>
    </cfRule>
  </conditionalFormatting>
  <conditionalFormatting sqref="Z23">
    <cfRule type="cellIs" dxfId="30536" priority="88919" stopIfTrue="1" operator="greaterThanOrEqual">
      <formula>0.5</formula>
    </cfRule>
  </conditionalFormatting>
  <conditionalFormatting sqref="Z24">
    <cfRule type="cellIs" dxfId="30535" priority="88920" stopIfTrue="1" operator="equal">
      <formula>-1</formula>
    </cfRule>
  </conditionalFormatting>
  <conditionalFormatting sqref="Z24">
    <cfRule type="cellIs" dxfId="30534" priority="88921" stopIfTrue="1" operator="lessThan">
      <formula>0.5</formula>
    </cfRule>
  </conditionalFormatting>
  <conditionalFormatting sqref="Z24">
    <cfRule type="cellIs" dxfId="30533" priority="88922" stopIfTrue="1" operator="greaterThanOrEqual">
      <formula>0.5</formula>
    </cfRule>
  </conditionalFormatting>
  <conditionalFormatting sqref="Z25">
    <cfRule type="cellIs" dxfId="30532" priority="88923" stopIfTrue="1" operator="equal">
      <formula>-1</formula>
    </cfRule>
  </conditionalFormatting>
  <conditionalFormatting sqref="Z25">
    <cfRule type="cellIs" dxfId="30531" priority="88924" stopIfTrue="1" operator="lessThan">
      <formula>0.5</formula>
    </cfRule>
  </conditionalFormatting>
  <conditionalFormatting sqref="Z25">
    <cfRule type="cellIs" dxfId="30530" priority="88925" stopIfTrue="1" operator="greaterThanOrEqual">
      <formula>0.5</formula>
    </cfRule>
  </conditionalFormatting>
  <conditionalFormatting sqref="Z26">
    <cfRule type="cellIs" dxfId="30529" priority="88926" stopIfTrue="1" operator="equal">
      <formula>-1</formula>
    </cfRule>
  </conditionalFormatting>
  <conditionalFormatting sqref="Z26">
    <cfRule type="cellIs" dxfId="30528" priority="88927" stopIfTrue="1" operator="lessThan">
      <formula>0.5</formula>
    </cfRule>
  </conditionalFormatting>
  <conditionalFormatting sqref="Z26">
    <cfRule type="cellIs" dxfId="30527" priority="88928" stopIfTrue="1" operator="greaterThanOrEqual">
      <formula>0.5</formula>
    </cfRule>
  </conditionalFormatting>
  <conditionalFormatting sqref="Z27">
    <cfRule type="cellIs" dxfId="30526" priority="88929" stopIfTrue="1" operator="equal">
      <formula>-1</formula>
    </cfRule>
  </conditionalFormatting>
  <conditionalFormatting sqref="Z27">
    <cfRule type="cellIs" dxfId="30525" priority="88930" stopIfTrue="1" operator="lessThan">
      <formula>0.5</formula>
    </cfRule>
  </conditionalFormatting>
  <conditionalFormatting sqref="Z27">
    <cfRule type="cellIs" dxfId="30524" priority="88931" stopIfTrue="1" operator="greaterThanOrEqual">
      <formula>0.5</formula>
    </cfRule>
  </conditionalFormatting>
  <conditionalFormatting sqref="Z28">
    <cfRule type="cellIs" dxfId="30523" priority="88932" stopIfTrue="1" operator="equal">
      <formula>-1</formula>
    </cfRule>
  </conditionalFormatting>
  <conditionalFormatting sqref="Z28">
    <cfRule type="cellIs" dxfId="30522" priority="88933" stopIfTrue="1" operator="lessThan">
      <formula>0.5</formula>
    </cfRule>
  </conditionalFormatting>
  <conditionalFormatting sqref="Z28">
    <cfRule type="cellIs" dxfId="30521" priority="88934" stopIfTrue="1" operator="greaterThanOrEqual">
      <formula>0.5</formula>
    </cfRule>
  </conditionalFormatting>
  <conditionalFormatting sqref="Z29">
    <cfRule type="cellIs" dxfId="30520" priority="88935" stopIfTrue="1" operator="equal">
      <formula>-1</formula>
    </cfRule>
  </conditionalFormatting>
  <conditionalFormatting sqref="Z29">
    <cfRule type="cellIs" dxfId="30519" priority="88936" stopIfTrue="1" operator="lessThan">
      <formula>0.5</formula>
    </cfRule>
  </conditionalFormatting>
  <conditionalFormatting sqref="Z29">
    <cfRule type="cellIs" dxfId="30518" priority="88937" stopIfTrue="1" operator="greaterThanOrEqual">
      <formula>0.5</formula>
    </cfRule>
  </conditionalFormatting>
  <conditionalFormatting sqref="Z30">
    <cfRule type="cellIs" dxfId="30517" priority="88938" stopIfTrue="1" operator="equal">
      <formula>-1</formula>
    </cfRule>
  </conditionalFormatting>
  <conditionalFormatting sqref="Z30">
    <cfRule type="cellIs" dxfId="30516" priority="88939" stopIfTrue="1" operator="lessThan">
      <formula>0.5</formula>
    </cfRule>
  </conditionalFormatting>
  <conditionalFormatting sqref="Z30">
    <cfRule type="cellIs" dxfId="30515" priority="88940" stopIfTrue="1" operator="greaterThanOrEqual">
      <formula>0.5</formula>
    </cfRule>
  </conditionalFormatting>
  <conditionalFormatting sqref="Z31">
    <cfRule type="cellIs" dxfId="30514" priority="88941" stopIfTrue="1" operator="equal">
      <formula>-1</formula>
    </cfRule>
  </conditionalFormatting>
  <conditionalFormatting sqref="Z31">
    <cfRule type="cellIs" dxfId="30513" priority="88942" stopIfTrue="1" operator="lessThan">
      <formula>0.5</formula>
    </cfRule>
  </conditionalFormatting>
  <conditionalFormatting sqref="Z31">
    <cfRule type="cellIs" dxfId="30512" priority="88943" stopIfTrue="1" operator="greaterThanOrEqual">
      <formula>0.5</formula>
    </cfRule>
  </conditionalFormatting>
  <conditionalFormatting sqref="Z32">
    <cfRule type="cellIs" dxfId="30511" priority="88944" stopIfTrue="1" operator="equal">
      <formula>-1</formula>
    </cfRule>
  </conditionalFormatting>
  <conditionalFormatting sqref="Z32">
    <cfRule type="cellIs" dxfId="30510" priority="88945" stopIfTrue="1" operator="lessThan">
      <formula>0.5</formula>
    </cfRule>
  </conditionalFormatting>
  <conditionalFormatting sqref="Z32">
    <cfRule type="cellIs" dxfId="30509" priority="88946" stopIfTrue="1" operator="greaterThanOrEqual">
      <formula>0.5</formula>
    </cfRule>
  </conditionalFormatting>
  <conditionalFormatting sqref="Z33">
    <cfRule type="cellIs" dxfId="30508" priority="88947" stopIfTrue="1" operator="equal">
      <formula>-1</formula>
    </cfRule>
  </conditionalFormatting>
  <conditionalFormatting sqref="Z33">
    <cfRule type="cellIs" dxfId="30507" priority="88948" stopIfTrue="1" operator="lessThan">
      <formula>0.5</formula>
    </cfRule>
  </conditionalFormatting>
  <conditionalFormatting sqref="Z33">
    <cfRule type="cellIs" dxfId="30506" priority="88949" stopIfTrue="1" operator="greaterThanOrEqual">
      <formula>0.5</formula>
    </cfRule>
  </conditionalFormatting>
  <conditionalFormatting sqref="Z34">
    <cfRule type="cellIs" dxfId="30505" priority="88950" stopIfTrue="1" operator="equal">
      <formula>-1</formula>
    </cfRule>
  </conditionalFormatting>
  <conditionalFormatting sqref="Z34">
    <cfRule type="cellIs" dxfId="30504" priority="88951" stopIfTrue="1" operator="lessThan">
      <formula>0.5</formula>
    </cfRule>
  </conditionalFormatting>
  <conditionalFormatting sqref="Z34">
    <cfRule type="cellIs" dxfId="30503" priority="88952" stopIfTrue="1" operator="greaterThanOrEqual">
      <formula>0.5</formula>
    </cfRule>
  </conditionalFormatting>
  <conditionalFormatting sqref="Z35">
    <cfRule type="cellIs" dxfId="30502" priority="88953" stopIfTrue="1" operator="equal">
      <formula>-1</formula>
    </cfRule>
  </conditionalFormatting>
  <conditionalFormatting sqref="Z35">
    <cfRule type="cellIs" dxfId="30501" priority="88954" stopIfTrue="1" operator="lessThan">
      <formula>0.5</formula>
    </cfRule>
  </conditionalFormatting>
  <conditionalFormatting sqref="Z35">
    <cfRule type="cellIs" dxfId="30500" priority="88955" stopIfTrue="1" operator="greaterThanOrEqual">
      <formula>0.5</formula>
    </cfRule>
  </conditionalFormatting>
  <conditionalFormatting sqref="Z36">
    <cfRule type="cellIs" dxfId="30499" priority="88956" stopIfTrue="1" operator="equal">
      <formula>-1</formula>
    </cfRule>
  </conditionalFormatting>
  <conditionalFormatting sqref="Z36">
    <cfRule type="cellIs" dxfId="30498" priority="88957" stopIfTrue="1" operator="lessThan">
      <formula>0.5</formula>
    </cfRule>
  </conditionalFormatting>
  <conditionalFormatting sqref="Z36">
    <cfRule type="cellIs" dxfId="30497" priority="88958" stopIfTrue="1" operator="greaterThanOrEqual">
      <formula>0.5</formula>
    </cfRule>
  </conditionalFormatting>
  <conditionalFormatting sqref="Z37">
    <cfRule type="cellIs" dxfId="30496" priority="88959" stopIfTrue="1" operator="equal">
      <formula>-1</formula>
    </cfRule>
  </conditionalFormatting>
  <conditionalFormatting sqref="Z37">
    <cfRule type="cellIs" dxfId="30495" priority="88960" stopIfTrue="1" operator="lessThan">
      <formula>0.5</formula>
    </cfRule>
  </conditionalFormatting>
  <conditionalFormatting sqref="Z37">
    <cfRule type="cellIs" dxfId="30494" priority="88961" stopIfTrue="1" operator="greaterThanOrEqual">
      <formula>0.5</formula>
    </cfRule>
  </conditionalFormatting>
  <conditionalFormatting sqref="AB17">
    <cfRule type="cellIs" dxfId="30493" priority="88962" stopIfTrue="1" operator="equal">
      <formula>-1</formula>
    </cfRule>
  </conditionalFormatting>
  <conditionalFormatting sqref="AB17">
    <cfRule type="cellIs" dxfId="30492" priority="88963" stopIfTrue="1" operator="lessThan">
      <formula>0.5</formula>
    </cfRule>
  </conditionalFormatting>
  <conditionalFormatting sqref="AB17">
    <cfRule type="cellIs" dxfId="30491" priority="88964" stopIfTrue="1" operator="greaterThanOrEqual">
      <formula>0.5</formula>
    </cfRule>
  </conditionalFormatting>
  <conditionalFormatting sqref="AB18">
    <cfRule type="cellIs" dxfId="30490" priority="88965" stopIfTrue="1" operator="equal">
      <formula>-1</formula>
    </cfRule>
  </conditionalFormatting>
  <conditionalFormatting sqref="AB18">
    <cfRule type="cellIs" dxfId="30489" priority="88966" stopIfTrue="1" operator="lessThan">
      <formula>0.5</formula>
    </cfRule>
  </conditionalFormatting>
  <conditionalFormatting sqref="AB18">
    <cfRule type="cellIs" dxfId="30488" priority="88967" stopIfTrue="1" operator="greaterThanOrEqual">
      <formula>0.5</formula>
    </cfRule>
  </conditionalFormatting>
  <conditionalFormatting sqref="AB19">
    <cfRule type="cellIs" dxfId="30487" priority="88968" stopIfTrue="1" operator="equal">
      <formula>-1</formula>
    </cfRule>
  </conditionalFormatting>
  <conditionalFormatting sqref="AB19">
    <cfRule type="cellIs" dxfId="30486" priority="88969" stopIfTrue="1" operator="lessThan">
      <formula>0.5</formula>
    </cfRule>
  </conditionalFormatting>
  <conditionalFormatting sqref="AB19">
    <cfRule type="cellIs" dxfId="30485" priority="88970" stopIfTrue="1" operator="greaterThanOrEqual">
      <formula>0.5</formula>
    </cfRule>
  </conditionalFormatting>
  <conditionalFormatting sqref="AB20">
    <cfRule type="cellIs" dxfId="30484" priority="88971" stopIfTrue="1" operator="equal">
      <formula>-1</formula>
    </cfRule>
  </conditionalFormatting>
  <conditionalFormatting sqref="AB20">
    <cfRule type="cellIs" dxfId="30483" priority="88972" stopIfTrue="1" operator="lessThan">
      <formula>0.5</formula>
    </cfRule>
  </conditionalFormatting>
  <conditionalFormatting sqref="AB20">
    <cfRule type="cellIs" dxfId="30482" priority="88973" stopIfTrue="1" operator="greaterThanOrEqual">
      <formula>0.5</formula>
    </cfRule>
  </conditionalFormatting>
  <conditionalFormatting sqref="AB21">
    <cfRule type="cellIs" dxfId="30481" priority="88974" stopIfTrue="1" operator="equal">
      <formula>-1</formula>
    </cfRule>
  </conditionalFormatting>
  <conditionalFormatting sqref="AB21">
    <cfRule type="cellIs" dxfId="30480" priority="88975" stopIfTrue="1" operator="lessThan">
      <formula>0.5</formula>
    </cfRule>
  </conditionalFormatting>
  <conditionalFormatting sqref="AB21">
    <cfRule type="cellIs" dxfId="30479" priority="88976" stopIfTrue="1" operator="greaterThanOrEqual">
      <formula>0.5</formula>
    </cfRule>
  </conditionalFormatting>
  <conditionalFormatting sqref="AB22">
    <cfRule type="cellIs" dxfId="30478" priority="88977" stopIfTrue="1" operator="equal">
      <formula>-1</formula>
    </cfRule>
  </conditionalFormatting>
  <conditionalFormatting sqref="AB22">
    <cfRule type="cellIs" dxfId="30477" priority="88978" stopIfTrue="1" operator="lessThan">
      <formula>0.5</formula>
    </cfRule>
  </conditionalFormatting>
  <conditionalFormatting sqref="AB22">
    <cfRule type="cellIs" dxfId="30476" priority="88979" stopIfTrue="1" operator="greaterThanOrEqual">
      <formula>0.5</formula>
    </cfRule>
  </conditionalFormatting>
  <conditionalFormatting sqref="AB23">
    <cfRule type="cellIs" dxfId="30475" priority="88980" stopIfTrue="1" operator="equal">
      <formula>-1</formula>
    </cfRule>
  </conditionalFormatting>
  <conditionalFormatting sqref="AB23">
    <cfRule type="cellIs" dxfId="30474" priority="88981" stopIfTrue="1" operator="lessThan">
      <formula>0.5</formula>
    </cfRule>
  </conditionalFormatting>
  <conditionalFormatting sqref="AB23">
    <cfRule type="cellIs" dxfId="30473" priority="88982" stopIfTrue="1" operator="greaterThanOrEqual">
      <formula>0.5</formula>
    </cfRule>
  </conditionalFormatting>
  <conditionalFormatting sqref="AB24">
    <cfRule type="cellIs" dxfId="30472" priority="88983" stopIfTrue="1" operator="equal">
      <formula>-1</formula>
    </cfRule>
  </conditionalFormatting>
  <conditionalFormatting sqref="AB24">
    <cfRule type="cellIs" dxfId="30471" priority="88984" stopIfTrue="1" operator="lessThan">
      <formula>0.5</formula>
    </cfRule>
  </conditionalFormatting>
  <conditionalFormatting sqref="AB24">
    <cfRule type="cellIs" dxfId="30470" priority="88985" stopIfTrue="1" operator="greaterThanOrEqual">
      <formula>0.5</formula>
    </cfRule>
  </conditionalFormatting>
  <conditionalFormatting sqref="AB25">
    <cfRule type="cellIs" dxfId="30469" priority="88986" stopIfTrue="1" operator="equal">
      <formula>-1</formula>
    </cfRule>
  </conditionalFormatting>
  <conditionalFormatting sqref="AB25">
    <cfRule type="cellIs" dxfId="30468" priority="88987" stopIfTrue="1" operator="lessThan">
      <formula>0.5</formula>
    </cfRule>
  </conditionalFormatting>
  <conditionalFormatting sqref="AB25">
    <cfRule type="cellIs" dxfId="30467" priority="88988" stopIfTrue="1" operator="greaterThanOrEqual">
      <formula>0.5</formula>
    </cfRule>
  </conditionalFormatting>
  <conditionalFormatting sqref="AB26">
    <cfRule type="cellIs" dxfId="30466" priority="88989" stopIfTrue="1" operator="equal">
      <formula>-1</formula>
    </cfRule>
  </conditionalFormatting>
  <conditionalFormatting sqref="AB26">
    <cfRule type="cellIs" dxfId="30465" priority="88990" stopIfTrue="1" operator="lessThan">
      <formula>0.5</formula>
    </cfRule>
  </conditionalFormatting>
  <conditionalFormatting sqref="AB26">
    <cfRule type="cellIs" dxfId="30464" priority="88991" stopIfTrue="1" operator="greaterThanOrEqual">
      <formula>0.5</formula>
    </cfRule>
  </conditionalFormatting>
  <conditionalFormatting sqref="AB27">
    <cfRule type="cellIs" dxfId="30463" priority="88992" stopIfTrue="1" operator="equal">
      <formula>-1</formula>
    </cfRule>
  </conditionalFormatting>
  <conditionalFormatting sqref="AB27">
    <cfRule type="cellIs" dxfId="30462" priority="88993" stopIfTrue="1" operator="lessThan">
      <formula>0.5</formula>
    </cfRule>
  </conditionalFormatting>
  <conditionalFormatting sqref="AB27">
    <cfRule type="cellIs" dxfId="30461" priority="88994" stopIfTrue="1" operator="greaterThanOrEqual">
      <formula>0.5</formula>
    </cfRule>
  </conditionalFormatting>
  <conditionalFormatting sqref="AB28">
    <cfRule type="cellIs" dxfId="30460" priority="88995" stopIfTrue="1" operator="equal">
      <formula>-1</formula>
    </cfRule>
  </conditionalFormatting>
  <conditionalFormatting sqref="AB28">
    <cfRule type="cellIs" dxfId="30459" priority="88996" stopIfTrue="1" operator="lessThan">
      <formula>0.5</formula>
    </cfRule>
  </conditionalFormatting>
  <conditionalFormatting sqref="AB28">
    <cfRule type="cellIs" dxfId="30458" priority="88997" stopIfTrue="1" operator="greaterThanOrEqual">
      <formula>0.5</formula>
    </cfRule>
  </conditionalFormatting>
  <conditionalFormatting sqref="AB29">
    <cfRule type="cellIs" dxfId="30457" priority="88998" stopIfTrue="1" operator="equal">
      <formula>-1</formula>
    </cfRule>
  </conditionalFormatting>
  <conditionalFormatting sqref="AB29">
    <cfRule type="cellIs" dxfId="30456" priority="88999" stopIfTrue="1" operator="lessThan">
      <formula>0.5</formula>
    </cfRule>
  </conditionalFormatting>
  <conditionalFormatting sqref="AB29">
    <cfRule type="cellIs" dxfId="30455" priority="89000" stopIfTrue="1" operator="greaterThanOrEqual">
      <formula>0.5</formula>
    </cfRule>
  </conditionalFormatting>
  <conditionalFormatting sqref="AB30">
    <cfRule type="cellIs" dxfId="30454" priority="89001" stopIfTrue="1" operator="equal">
      <formula>-1</formula>
    </cfRule>
  </conditionalFormatting>
  <conditionalFormatting sqref="AB30">
    <cfRule type="cellIs" dxfId="30453" priority="89002" stopIfTrue="1" operator="lessThan">
      <formula>0.5</formula>
    </cfRule>
  </conditionalFormatting>
  <conditionalFormatting sqref="AB30">
    <cfRule type="cellIs" dxfId="30452" priority="89003" stopIfTrue="1" operator="greaterThanOrEqual">
      <formula>0.5</formula>
    </cfRule>
  </conditionalFormatting>
  <conditionalFormatting sqref="AB31">
    <cfRule type="cellIs" dxfId="30451" priority="89004" stopIfTrue="1" operator="equal">
      <formula>-1</formula>
    </cfRule>
  </conditionalFormatting>
  <conditionalFormatting sqref="AB31">
    <cfRule type="cellIs" dxfId="30450" priority="89005" stopIfTrue="1" operator="lessThan">
      <formula>0.5</formula>
    </cfRule>
  </conditionalFormatting>
  <conditionalFormatting sqref="AB31">
    <cfRule type="cellIs" dxfId="30449" priority="89006" stopIfTrue="1" operator="greaterThanOrEqual">
      <formula>0.5</formula>
    </cfRule>
  </conditionalFormatting>
  <conditionalFormatting sqref="AB32">
    <cfRule type="cellIs" dxfId="30448" priority="89007" stopIfTrue="1" operator="equal">
      <formula>-1</formula>
    </cfRule>
  </conditionalFormatting>
  <conditionalFormatting sqref="AB32">
    <cfRule type="cellIs" dxfId="30447" priority="89008" stopIfTrue="1" operator="lessThan">
      <formula>0.5</formula>
    </cfRule>
  </conditionalFormatting>
  <conditionalFormatting sqref="AB32">
    <cfRule type="cellIs" dxfId="30446" priority="89009" stopIfTrue="1" operator="greaterThanOrEqual">
      <formula>0.5</formula>
    </cfRule>
  </conditionalFormatting>
  <conditionalFormatting sqref="AB33">
    <cfRule type="cellIs" dxfId="30445" priority="89010" stopIfTrue="1" operator="equal">
      <formula>-1</formula>
    </cfRule>
  </conditionalFormatting>
  <conditionalFormatting sqref="AB33">
    <cfRule type="cellIs" dxfId="30444" priority="89011" stopIfTrue="1" operator="lessThan">
      <formula>0.5</formula>
    </cfRule>
  </conditionalFormatting>
  <conditionalFormatting sqref="AB33">
    <cfRule type="cellIs" dxfId="30443" priority="89012" stopIfTrue="1" operator="greaterThanOrEqual">
      <formula>0.5</formula>
    </cfRule>
  </conditionalFormatting>
  <conditionalFormatting sqref="AB34">
    <cfRule type="cellIs" dxfId="30442" priority="89013" stopIfTrue="1" operator="equal">
      <formula>-1</formula>
    </cfRule>
  </conditionalFormatting>
  <conditionalFormatting sqref="AB34">
    <cfRule type="cellIs" dxfId="30441" priority="89014" stopIfTrue="1" operator="lessThan">
      <formula>0.5</formula>
    </cfRule>
  </conditionalFormatting>
  <conditionalFormatting sqref="AB34">
    <cfRule type="cellIs" dxfId="30440" priority="89015" stopIfTrue="1" operator="greaterThanOrEqual">
      <formula>0.5</formula>
    </cfRule>
  </conditionalFormatting>
  <conditionalFormatting sqref="AB35">
    <cfRule type="cellIs" dxfId="30439" priority="89016" stopIfTrue="1" operator="equal">
      <formula>-1</formula>
    </cfRule>
  </conditionalFormatting>
  <conditionalFormatting sqref="AB35">
    <cfRule type="cellIs" dxfId="30438" priority="89017" stopIfTrue="1" operator="lessThan">
      <formula>0.5</formula>
    </cfRule>
  </conditionalFormatting>
  <conditionalFormatting sqref="AB35">
    <cfRule type="cellIs" dxfId="30437" priority="89018" stopIfTrue="1" operator="greaterThanOrEqual">
      <formula>0.5</formula>
    </cfRule>
  </conditionalFormatting>
  <conditionalFormatting sqref="AB36">
    <cfRule type="cellIs" dxfId="30436" priority="89019" stopIfTrue="1" operator="equal">
      <formula>-1</formula>
    </cfRule>
  </conditionalFormatting>
  <conditionalFormatting sqref="AB36">
    <cfRule type="cellIs" dxfId="30435" priority="89020" stopIfTrue="1" operator="lessThan">
      <formula>0.5</formula>
    </cfRule>
  </conditionalFormatting>
  <conditionalFormatting sqref="AB36">
    <cfRule type="cellIs" dxfId="30434" priority="89021" stopIfTrue="1" operator="greaterThanOrEqual">
      <formula>0.5</formula>
    </cfRule>
  </conditionalFormatting>
  <conditionalFormatting sqref="AB37">
    <cfRule type="cellIs" dxfId="30433" priority="89022" stopIfTrue="1" operator="equal">
      <formula>-1</formula>
    </cfRule>
  </conditionalFormatting>
  <conditionalFormatting sqref="AB37">
    <cfRule type="cellIs" dxfId="30432" priority="89023" stopIfTrue="1" operator="lessThan">
      <formula>0.5</formula>
    </cfRule>
  </conditionalFormatting>
  <conditionalFormatting sqref="AB37">
    <cfRule type="cellIs" dxfId="30431" priority="89024" stopIfTrue="1" operator="greaterThanOrEqual">
      <formula>0.5</formula>
    </cfRule>
  </conditionalFormatting>
  <conditionalFormatting sqref="AD17">
    <cfRule type="cellIs" dxfId="30430" priority="89025" stopIfTrue="1" operator="equal">
      <formula>-1</formula>
    </cfRule>
  </conditionalFormatting>
  <conditionalFormatting sqref="AD17">
    <cfRule type="cellIs" dxfId="30429" priority="89026" stopIfTrue="1" operator="lessThan">
      <formula>0.5</formula>
    </cfRule>
  </conditionalFormatting>
  <conditionalFormatting sqref="AD17">
    <cfRule type="cellIs" dxfId="30428" priority="89027" stopIfTrue="1" operator="greaterThanOrEqual">
      <formula>0.5</formula>
    </cfRule>
  </conditionalFormatting>
  <conditionalFormatting sqref="AD18">
    <cfRule type="cellIs" dxfId="30427" priority="89028" stopIfTrue="1" operator="equal">
      <formula>-1</formula>
    </cfRule>
  </conditionalFormatting>
  <conditionalFormatting sqref="AD18">
    <cfRule type="cellIs" dxfId="30426" priority="89029" stopIfTrue="1" operator="lessThan">
      <formula>0.5</formula>
    </cfRule>
  </conditionalFormatting>
  <conditionalFormatting sqref="AD18">
    <cfRule type="cellIs" dxfId="30425" priority="89030" stopIfTrue="1" operator="greaterThanOrEqual">
      <formula>0.5</formula>
    </cfRule>
  </conditionalFormatting>
  <conditionalFormatting sqref="AD19">
    <cfRule type="cellIs" dxfId="30424" priority="89031" stopIfTrue="1" operator="equal">
      <formula>-1</formula>
    </cfRule>
  </conditionalFormatting>
  <conditionalFormatting sqref="AD19">
    <cfRule type="cellIs" dxfId="30423" priority="89032" stopIfTrue="1" operator="lessThan">
      <formula>0.5</formula>
    </cfRule>
  </conditionalFormatting>
  <conditionalFormatting sqref="AD19">
    <cfRule type="cellIs" dxfId="30422" priority="89033" stopIfTrue="1" operator="greaterThanOrEqual">
      <formula>0.5</formula>
    </cfRule>
  </conditionalFormatting>
  <conditionalFormatting sqref="AD20">
    <cfRule type="cellIs" dxfId="30421" priority="89034" stopIfTrue="1" operator="equal">
      <formula>-1</formula>
    </cfRule>
  </conditionalFormatting>
  <conditionalFormatting sqref="AD20">
    <cfRule type="cellIs" dxfId="30420" priority="89035" stopIfTrue="1" operator="lessThan">
      <formula>0.5</formula>
    </cfRule>
  </conditionalFormatting>
  <conditionalFormatting sqref="AD20">
    <cfRule type="cellIs" dxfId="30419" priority="89036" stopIfTrue="1" operator="greaterThanOrEqual">
      <formula>0.5</formula>
    </cfRule>
  </conditionalFormatting>
  <conditionalFormatting sqref="AD21">
    <cfRule type="cellIs" dxfId="30418" priority="89037" stopIfTrue="1" operator="equal">
      <formula>-1</formula>
    </cfRule>
  </conditionalFormatting>
  <conditionalFormatting sqref="AD21">
    <cfRule type="cellIs" dxfId="30417" priority="89038" stopIfTrue="1" operator="lessThan">
      <formula>0.5</formula>
    </cfRule>
  </conditionalFormatting>
  <conditionalFormatting sqref="AD21">
    <cfRule type="cellIs" dxfId="30416" priority="89039" stopIfTrue="1" operator="greaterThanOrEqual">
      <formula>0.5</formula>
    </cfRule>
  </conditionalFormatting>
  <conditionalFormatting sqref="AD22">
    <cfRule type="cellIs" dxfId="30415" priority="89040" stopIfTrue="1" operator="equal">
      <formula>-1</formula>
    </cfRule>
  </conditionalFormatting>
  <conditionalFormatting sqref="AD22">
    <cfRule type="cellIs" dxfId="30414" priority="89041" stopIfTrue="1" operator="lessThan">
      <formula>0.5</formula>
    </cfRule>
  </conditionalFormatting>
  <conditionalFormatting sqref="AD22">
    <cfRule type="cellIs" dxfId="30413" priority="89042" stopIfTrue="1" operator="greaterThanOrEqual">
      <formula>0.5</formula>
    </cfRule>
  </conditionalFormatting>
  <conditionalFormatting sqref="AD23">
    <cfRule type="cellIs" dxfId="30412" priority="89043" stopIfTrue="1" operator="equal">
      <formula>-1</formula>
    </cfRule>
  </conditionalFormatting>
  <conditionalFormatting sqref="AD23">
    <cfRule type="cellIs" dxfId="30411" priority="89044" stopIfTrue="1" operator="lessThan">
      <formula>0.5</formula>
    </cfRule>
  </conditionalFormatting>
  <conditionalFormatting sqref="AD23">
    <cfRule type="cellIs" dxfId="30410" priority="89045" stopIfTrue="1" operator="greaterThanOrEqual">
      <formula>0.5</formula>
    </cfRule>
  </conditionalFormatting>
  <conditionalFormatting sqref="AD24">
    <cfRule type="cellIs" dxfId="30409" priority="89046" stopIfTrue="1" operator="equal">
      <formula>-1</formula>
    </cfRule>
  </conditionalFormatting>
  <conditionalFormatting sqref="AD24">
    <cfRule type="cellIs" dxfId="30408" priority="89047" stopIfTrue="1" operator="lessThan">
      <formula>0.5</formula>
    </cfRule>
  </conditionalFormatting>
  <conditionalFormatting sqref="AD24">
    <cfRule type="cellIs" dxfId="30407" priority="89048" stopIfTrue="1" operator="greaterThanOrEqual">
      <formula>0.5</formula>
    </cfRule>
  </conditionalFormatting>
  <conditionalFormatting sqref="AD25">
    <cfRule type="cellIs" dxfId="30406" priority="89049" stopIfTrue="1" operator="equal">
      <formula>-1</formula>
    </cfRule>
  </conditionalFormatting>
  <conditionalFormatting sqref="AD25">
    <cfRule type="cellIs" dxfId="30405" priority="89050" stopIfTrue="1" operator="lessThan">
      <formula>0.5</formula>
    </cfRule>
  </conditionalFormatting>
  <conditionalFormatting sqref="AD25">
    <cfRule type="cellIs" dxfId="30404" priority="89051" stopIfTrue="1" operator="greaterThanOrEqual">
      <formula>0.5</formula>
    </cfRule>
  </conditionalFormatting>
  <conditionalFormatting sqref="AD26">
    <cfRule type="cellIs" dxfId="30403" priority="89052" stopIfTrue="1" operator="equal">
      <formula>-1</formula>
    </cfRule>
  </conditionalFormatting>
  <conditionalFormatting sqref="AD26">
    <cfRule type="cellIs" dxfId="30402" priority="89053" stopIfTrue="1" operator="lessThan">
      <formula>0.5</formula>
    </cfRule>
  </conditionalFormatting>
  <conditionalFormatting sqref="AD26">
    <cfRule type="cellIs" dxfId="30401" priority="89054" stopIfTrue="1" operator="greaterThanOrEqual">
      <formula>0.5</formula>
    </cfRule>
  </conditionalFormatting>
  <conditionalFormatting sqref="AD27">
    <cfRule type="cellIs" dxfId="30400" priority="89055" stopIfTrue="1" operator="equal">
      <formula>-1</formula>
    </cfRule>
  </conditionalFormatting>
  <conditionalFormatting sqref="AD27">
    <cfRule type="cellIs" dxfId="30399" priority="89056" stopIfTrue="1" operator="lessThan">
      <formula>0.5</formula>
    </cfRule>
  </conditionalFormatting>
  <conditionalFormatting sqref="AD27">
    <cfRule type="cellIs" dxfId="30398" priority="89057" stopIfTrue="1" operator="greaterThanOrEqual">
      <formula>0.5</formula>
    </cfRule>
  </conditionalFormatting>
  <conditionalFormatting sqref="AD28">
    <cfRule type="cellIs" dxfId="30397" priority="89058" stopIfTrue="1" operator="equal">
      <formula>-1</formula>
    </cfRule>
  </conditionalFormatting>
  <conditionalFormatting sqref="AD28">
    <cfRule type="cellIs" dxfId="30396" priority="89059" stopIfTrue="1" operator="lessThan">
      <formula>0.5</formula>
    </cfRule>
  </conditionalFormatting>
  <conditionalFormatting sqref="AD28">
    <cfRule type="cellIs" dxfId="30395" priority="89060" stopIfTrue="1" operator="greaterThanOrEqual">
      <formula>0.5</formula>
    </cfRule>
  </conditionalFormatting>
  <conditionalFormatting sqref="AD29">
    <cfRule type="cellIs" dxfId="30394" priority="89061" stopIfTrue="1" operator="equal">
      <formula>-1</formula>
    </cfRule>
  </conditionalFormatting>
  <conditionalFormatting sqref="AD29">
    <cfRule type="cellIs" dxfId="30393" priority="89062" stopIfTrue="1" operator="lessThan">
      <formula>0.5</formula>
    </cfRule>
  </conditionalFormatting>
  <conditionalFormatting sqref="AD29">
    <cfRule type="cellIs" dxfId="30392" priority="89063" stopIfTrue="1" operator="greaterThanOrEqual">
      <formula>0.5</formula>
    </cfRule>
  </conditionalFormatting>
  <conditionalFormatting sqref="AD30">
    <cfRule type="cellIs" dxfId="30391" priority="89064" stopIfTrue="1" operator="equal">
      <formula>-1</formula>
    </cfRule>
  </conditionalFormatting>
  <conditionalFormatting sqref="AD30">
    <cfRule type="cellIs" dxfId="30390" priority="89065" stopIfTrue="1" operator="lessThan">
      <formula>0.5</formula>
    </cfRule>
  </conditionalFormatting>
  <conditionalFormatting sqref="AD30">
    <cfRule type="cellIs" dxfId="30389" priority="89066" stopIfTrue="1" operator="greaterThanOrEqual">
      <formula>0.5</formula>
    </cfRule>
  </conditionalFormatting>
  <conditionalFormatting sqref="AD31">
    <cfRule type="cellIs" dxfId="30388" priority="89067" stopIfTrue="1" operator="equal">
      <formula>-1</formula>
    </cfRule>
  </conditionalFormatting>
  <conditionalFormatting sqref="AD31">
    <cfRule type="cellIs" dxfId="30387" priority="89068" stopIfTrue="1" operator="lessThan">
      <formula>0.5</formula>
    </cfRule>
  </conditionalFormatting>
  <conditionalFormatting sqref="AD31">
    <cfRule type="cellIs" dxfId="30386" priority="89069" stopIfTrue="1" operator="greaterThanOrEqual">
      <formula>0.5</formula>
    </cfRule>
  </conditionalFormatting>
  <conditionalFormatting sqref="AD32">
    <cfRule type="cellIs" dxfId="30385" priority="89070" stopIfTrue="1" operator="equal">
      <formula>-1</formula>
    </cfRule>
  </conditionalFormatting>
  <conditionalFormatting sqref="AD32">
    <cfRule type="cellIs" dxfId="30384" priority="89071" stopIfTrue="1" operator="lessThan">
      <formula>0.5</formula>
    </cfRule>
  </conditionalFormatting>
  <conditionalFormatting sqref="AD32">
    <cfRule type="cellIs" dxfId="30383" priority="89072" stopIfTrue="1" operator="greaterThanOrEqual">
      <formula>0.5</formula>
    </cfRule>
  </conditionalFormatting>
  <conditionalFormatting sqref="AD33">
    <cfRule type="cellIs" dxfId="30382" priority="89073" stopIfTrue="1" operator="equal">
      <formula>-1</formula>
    </cfRule>
  </conditionalFormatting>
  <conditionalFormatting sqref="AD33">
    <cfRule type="cellIs" dxfId="30381" priority="89074" stopIfTrue="1" operator="lessThan">
      <formula>0.5</formula>
    </cfRule>
  </conditionalFormatting>
  <conditionalFormatting sqref="AD33">
    <cfRule type="cellIs" dxfId="30380" priority="89075" stopIfTrue="1" operator="greaterThanOrEqual">
      <formula>0.5</formula>
    </cfRule>
  </conditionalFormatting>
  <conditionalFormatting sqref="AD34">
    <cfRule type="cellIs" dxfId="30379" priority="89076" stopIfTrue="1" operator="equal">
      <formula>-1</formula>
    </cfRule>
  </conditionalFormatting>
  <conditionalFormatting sqref="AD34">
    <cfRule type="cellIs" dxfId="30378" priority="89077" stopIfTrue="1" operator="lessThan">
      <formula>0.5</formula>
    </cfRule>
  </conditionalFormatting>
  <conditionalFormatting sqref="AD34">
    <cfRule type="cellIs" dxfId="30377" priority="89078" stopIfTrue="1" operator="greaterThanOrEqual">
      <formula>0.5</formula>
    </cfRule>
  </conditionalFormatting>
  <conditionalFormatting sqref="AD35">
    <cfRule type="cellIs" dxfId="30376" priority="89079" stopIfTrue="1" operator="equal">
      <formula>-1</formula>
    </cfRule>
  </conditionalFormatting>
  <conditionalFormatting sqref="AD35">
    <cfRule type="cellIs" dxfId="30375" priority="89080" stopIfTrue="1" operator="lessThan">
      <formula>0.5</formula>
    </cfRule>
  </conditionalFormatting>
  <conditionalFormatting sqref="AD35">
    <cfRule type="cellIs" dxfId="30374" priority="89081" stopIfTrue="1" operator="greaterThanOrEqual">
      <formula>0.5</formula>
    </cfRule>
  </conditionalFormatting>
  <conditionalFormatting sqref="AD36">
    <cfRule type="cellIs" dxfId="30373" priority="89082" stopIfTrue="1" operator="equal">
      <formula>-1</formula>
    </cfRule>
  </conditionalFormatting>
  <conditionalFormatting sqref="AD36">
    <cfRule type="cellIs" dxfId="30372" priority="89083" stopIfTrue="1" operator="lessThan">
      <formula>0.5</formula>
    </cfRule>
  </conditionalFormatting>
  <conditionalFormatting sqref="AD36">
    <cfRule type="cellIs" dxfId="30371" priority="89084" stopIfTrue="1" operator="greaterThanOrEqual">
      <formula>0.5</formula>
    </cfRule>
  </conditionalFormatting>
  <conditionalFormatting sqref="AD37">
    <cfRule type="cellIs" dxfId="30370" priority="89085" stopIfTrue="1" operator="equal">
      <formula>-1</formula>
    </cfRule>
  </conditionalFormatting>
  <conditionalFormatting sqref="AD37">
    <cfRule type="cellIs" dxfId="30369" priority="89086" stopIfTrue="1" operator="lessThan">
      <formula>0.5</formula>
    </cfRule>
  </conditionalFormatting>
  <conditionalFormatting sqref="AD37">
    <cfRule type="cellIs" dxfId="30368" priority="89087" stopIfTrue="1" operator="greaterThanOrEqual">
      <formula>0.5</formula>
    </cfRule>
  </conditionalFormatting>
  <conditionalFormatting sqref="AF17">
    <cfRule type="cellIs" dxfId="30367" priority="89088" stopIfTrue="1" operator="equal">
      <formula>-1</formula>
    </cfRule>
  </conditionalFormatting>
  <conditionalFormatting sqref="AF17">
    <cfRule type="cellIs" dxfId="30366" priority="89089" stopIfTrue="1" operator="lessThan">
      <formula>0.5</formula>
    </cfRule>
  </conditionalFormatting>
  <conditionalFormatting sqref="AF17">
    <cfRule type="cellIs" dxfId="30365" priority="89090" stopIfTrue="1" operator="greaterThanOrEqual">
      <formula>0.5</formula>
    </cfRule>
  </conditionalFormatting>
  <conditionalFormatting sqref="AF18">
    <cfRule type="cellIs" dxfId="30364" priority="89091" stopIfTrue="1" operator="equal">
      <formula>-1</formula>
    </cfRule>
  </conditionalFormatting>
  <conditionalFormatting sqref="AF18">
    <cfRule type="cellIs" dxfId="30363" priority="89092" stopIfTrue="1" operator="lessThan">
      <formula>0.5</formula>
    </cfRule>
  </conditionalFormatting>
  <conditionalFormatting sqref="AF18">
    <cfRule type="cellIs" dxfId="30362" priority="89093" stopIfTrue="1" operator="greaterThanOrEqual">
      <formula>0.5</formula>
    </cfRule>
  </conditionalFormatting>
  <conditionalFormatting sqref="AF19">
    <cfRule type="cellIs" dxfId="30361" priority="89094" stopIfTrue="1" operator="equal">
      <formula>-1</formula>
    </cfRule>
  </conditionalFormatting>
  <conditionalFormatting sqref="AF19">
    <cfRule type="cellIs" dxfId="30360" priority="89095" stopIfTrue="1" operator="lessThan">
      <formula>0.5</formula>
    </cfRule>
  </conditionalFormatting>
  <conditionalFormatting sqref="AF19">
    <cfRule type="cellIs" dxfId="30359" priority="89096" stopIfTrue="1" operator="greaterThanOrEqual">
      <formula>0.5</formula>
    </cfRule>
  </conditionalFormatting>
  <conditionalFormatting sqref="AF20">
    <cfRule type="cellIs" dxfId="30358" priority="89097" stopIfTrue="1" operator="equal">
      <formula>-1</formula>
    </cfRule>
  </conditionalFormatting>
  <conditionalFormatting sqref="AF20">
    <cfRule type="cellIs" dxfId="30357" priority="89098" stopIfTrue="1" operator="lessThan">
      <formula>0.5</formula>
    </cfRule>
  </conditionalFormatting>
  <conditionalFormatting sqref="AF20">
    <cfRule type="cellIs" dxfId="30356" priority="89099" stopIfTrue="1" operator="greaterThanOrEqual">
      <formula>0.5</formula>
    </cfRule>
  </conditionalFormatting>
  <conditionalFormatting sqref="AF21">
    <cfRule type="cellIs" dxfId="30355" priority="89100" stopIfTrue="1" operator="equal">
      <formula>-1</formula>
    </cfRule>
  </conditionalFormatting>
  <conditionalFormatting sqref="AF21">
    <cfRule type="cellIs" dxfId="30354" priority="89101" stopIfTrue="1" operator="lessThan">
      <formula>0.5</formula>
    </cfRule>
  </conditionalFormatting>
  <conditionalFormatting sqref="AF21">
    <cfRule type="cellIs" dxfId="30353" priority="89102" stopIfTrue="1" operator="greaterThanOrEqual">
      <formula>0.5</formula>
    </cfRule>
  </conditionalFormatting>
  <conditionalFormatting sqref="AF22">
    <cfRule type="cellIs" dxfId="30352" priority="89103" stopIfTrue="1" operator="equal">
      <formula>-1</formula>
    </cfRule>
  </conditionalFormatting>
  <conditionalFormatting sqref="AF22">
    <cfRule type="cellIs" dxfId="30351" priority="89104" stopIfTrue="1" operator="lessThan">
      <formula>0.5</formula>
    </cfRule>
  </conditionalFormatting>
  <conditionalFormatting sqref="AF22">
    <cfRule type="cellIs" dxfId="30350" priority="89105" stopIfTrue="1" operator="greaterThanOrEqual">
      <formula>0.5</formula>
    </cfRule>
  </conditionalFormatting>
  <conditionalFormatting sqref="AF23">
    <cfRule type="cellIs" dxfId="30349" priority="89106" stopIfTrue="1" operator="equal">
      <formula>-1</formula>
    </cfRule>
  </conditionalFormatting>
  <conditionalFormatting sqref="AF23">
    <cfRule type="cellIs" dxfId="30348" priority="89107" stopIfTrue="1" operator="lessThan">
      <formula>0.5</formula>
    </cfRule>
  </conditionalFormatting>
  <conditionalFormatting sqref="AF23">
    <cfRule type="cellIs" dxfId="30347" priority="89108" stopIfTrue="1" operator="greaterThanOrEqual">
      <formula>0.5</formula>
    </cfRule>
  </conditionalFormatting>
  <conditionalFormatting sqref="AF24">
    <cfRule type="cellIs" dxfId="30346" priority="89109" stopIfTrue="1" operator="equal">
      <formula>-1</formula>
    </cfRule>
  </conditionalFormatting>
  <conditionalFormatting sqref="AF24">
    <cfRule type="cellIs" dxfId="30345" priority="89110" stopIfTrue="1" operator="lessThan">
      <formula>0.5</formula>
    </cfRule>
  </conditionalFormatting>
  <conditionalFormatting sqref="AF24">
    <cfRule type="cellIs" dxfId="30344" priority="89111" stopIfTrue="1" operator="greaterThanOrEqual">
      <formula>0.5</formula>
    </cfRule>
  </conditionalFormatting>
  <conditionalFormatting sqref="AF25">
    <cfRule type="cellIs" dxfId="30343" priority="89112" stopIfTrue="1" operator="equal">
      <formula>-1</formula>
    </cfRule>
  </conditionalFormatting>
  <conditionalFormatting sqref="AF25">
    <cfRule type="cellIs" dxfId="30342" priority="89113" stopIfTrue="1" operator="lessThan">
      <formula>0.5</formula>
    </cfRule>
  </conditionalFormatting>
  <conditionalFormatting sqref="AF25">
    <cfRule type="cellIs" dxfId="30341" priority="89114" stopIfTrue="1" operator="greaterThanOrEqual">
      <formula>0.5</formula>
    </cfRule>
  </conditionalFormatting>
  <conditionalFormatting sqref="AF26">
    <cfRule type="cellIs" dxfId="30340" priority="89115" stopIfTrue="1" operator="equal">
      <formula>-1</formula>
    </cfRule>
  </conditionalFormatting>
  <conditionalFormatting sqref="AF26">
    <cfRule type="cellIs" dxfId="30339" priority="89116" stopIfTrue="1" operator="lessThan">
      <formula>0.5</formula>
    </cfRule>
  </conditionalFormatting>
  <conditionalFormatting sqref="AF26">
    <cfRule type="cellIs" dxfId="30338" priority="89117" stopIfTrue="1" operator="greaterThanOrEqual">
      <formula>0.5</formula>
    </cfRule>
  </conditionalFormatting>
  <conditionalFormatting sqref="AF27">
    <cfRule type="cellIs" dxfId="30337" priority="89118" stopIfTrue="1" operator="equal">
      <formula>-1</formula>
    </cfRule>
  </conditionalFormatting>
  <conditionalFormatting sqref="AF27">
    <cfRule type="cellIs" dxfId="30336" priority="89119" stopIfTrue="1" operator="lessThan">
      <formula>0.5</formula>
    </cfRule>
  </conditionalFormatting>
  <conditionalFormatting sqref="AF27">
    <cfRule type="cellIs" dxfId="30335" priority="89120" stopIfTrue="1" operator="greaterThanOrEqual">
      <formula>0.5</formula>
    </cfRule>
  </conditionalFormatting>
  <conditionalFormatting sqref="AF28">
    <cfRule type="cellIs" dxfId="30334" priority="89121" stopIfTrue="1" operator="equal">
      <formula>-1</formula>
    </cfRule>
  </conditionalFormatting>
  <conditionalFormatting sqref="AF28">
    <cfRule type="cellIs" dxfId="30333" priority="89122" stopIfTrue="1" operator="lessThan">
      <formula>0.5</formula>
    </cfRule>
  </conditionalFormatting>
  <conditionalFormatting sqref="AF28">
    <cfRule type="cellIs" dxfId="30332" priority="89123" stopIfTrue="1" operator="greaterThanOrEqual">
      <formula>0.5</formula>
    </cfRule>
  </conditionalFormatting>
  <conditionalFormatting sqref="AF29">
    <cfRule type="cellIs" dxfId="30331" priority="89124" stopIfTrue="1" operator="equal">
      <formula>-1</formula>
    </cfRule>
  </conditionalFormatting>
  <conditionalFormatting sqref="AF29">
    <cfRule type="cellIs" dxfId="30330" priority="89125" stopIfTrue="1" operator="lessThan">
      <formula>0.5</formula>
    </cfRule>
  </conditionalFormatting>
  <conditionalFormatting sqref="AF29">
    <cfRule type="cellIs" dxfId="30329" priority="89126" stopIfTrue="1" operator="greaterThanOrEqual">
      <formula>0.5</formula>
    </cfRule>
  </conditionalFormatting>
  <conditionalFormatting sqref="AF30">
    <cfRule type="cellIs" dxfId="30328" priority="89127" stopIfTrue="1" operator="equal">
      <formula>-1</formula>
    </cfRule>
  </conditionalFormatting>
  <conditionalFormatting sqref="AF30">
    <cfRule type="cellIs" dxfId="30327" priority="89128" stopIfTrue="1" operator="lessThan">
      <formula>0.5</formula>
    </cfRule>
  </conditionalFormatting>
  <conditionalFormatting sqref="AF30">
    <cfRule type="cellIs" dxfId="30326" priority="89129" stopIfTrue="1" operator="greaterThanOrEqual">
      <formula>0.5</formula>
    </cfRule>
  </conditionalFormatting>
  <conditionalFormatting sqref="AF31">
    <cfRule type="cellIs" dxfId="30325" priority="89130" stopIfTrue="1" operator="equal">
      <formula>-1</formula>
    </cfRule>
  </conditionalFormatting>
  <conditionalFormatting sqref="AF31">
    <cfRule type="cellIs" dxfId="30324" priority="89131" stopIfTrue="1" operator="lessThan">
      <formula>0.5</formula>
    </cfRule>
  </conditionalFormatting>
  <conditionalFormatting sqref="AF31">
    <cfRule type="cellIs" dxfId="30323" priority="89132" stopIfTrue="1" operator="greaterThanOrEqual">
      <formula>0.5</formula>
    </cfRule>
  </conditionalFormatting>
  <conditionalFormatting sqref="AF32">
    <cfRule type="cellIs" dxfId="30322" priority="89133" stopIfTrue="1" operator="equal">
      <formula>-1</formula>
    </cfRule>
  </conditionalFormatting>
  <conditionalFormatting sqref="AF32">
    <cfRule type="cellIs" dxfId="30321" priority="89134" stopIfTrue="1" operator="lessThan">
      <formula>0.5</formula>
    </cfRule>
  </conditionalFormatting>
  <conditionalFormatting sqref="AF32">
    <cfRule type="cellIs" dxfId="30320" priority="89135" stopIfTrue="1" operator="greaterThanOrEqual">
      <formula>0.5</formula>
    </cfRule>
  </conditionalFormatting>
  <conditionalFormatting sqref="AF33">
    <cfRule type="cellIs" dxfId="30319" priority="89136" stopIfTrue="1" operator="equal">
      <formula>-1</formula>
    </cfRule>
  </conditionalFormatting>
  <conditionalFormatting sqref="AF33">
    <cfRule type="cellIs" dxfId="30318" priority="89137" stopIfTrue="1" operator="lessThan">
      <formula>0.5</formula>
    </cfRule>
  </conditionalFormatting>
  <conditionalFormatting sqref="AF33">
    <cfRule type="cellIs" dxfId="30317" priority="89138" stopIfTrue="1" operator="greaterThanOrEqual">
      <formula>0.5</formula>
    </cfRule>
  </conditionalFormatting>
  <conditionalFormatting sqref="AF34">
    <cfRule type="cellIs" dxfId="30316" priority="89139" stopIfTrue="1" operator="equal">
      <formula>-1</formula>
    </cfRule>
  </conditionalFormatting>
  <conditionalFormatting sqref="AF34">
    <cfRule type="cellIs" dxfId="30315" priority="89140" stopIfTrue="1" operator="lessThan">
      <formula>0.5</formula>
    </cfRule>
  </conditionalFormatting>
  <conditionalFormatting sqref="AF34">
    <cfRule type="cellIs" dxfId="30314" priority="89141" stopIfTrue="1" operator="greaterThanOrEqual">
      <formula>0.5</formula>
    </cfRule>
  </conditionalFormatting>
  <conditionalFormatting sqref="AF35">
    <cfRule type="cellIs" dxfId="30313" priority="89142" stopIfTrue="1" operator="equal">
      <formula>-1</formula>
    </cfRule>
  </conditionalFormatting>
  <conditionalFormatting sqref="AF35">
    <cfRule type="cellIs" dxfId="30312" priority="89143" stopIfTrue="1" operator="lessThan">
      <formula>0.5</formula>
    </cfRule>
  </conditionalFormatting>
  <conditionalFormatting sqref="AF35">
    <cfRule type="cellIs" dxfId="30311" priority="89144" stopIfTrue="1" operator="greaterThanOrEqual">
      <formula>0.5</formula>
    </cfRule>
  </conditionalFormatting>
  <conditionalFormatting sqref="AF36">
    <cfRule type="cellIs" dxfId="30310" priority="89145" stopIfTrue="1" operator="equal">
      <formula>-1</formula>
    </cfRule>
  </conditionalFormatting>
  <conditionalFormatting sqref="AF36">
    <cfRule type="cellIs" dxfId="30309" priority="89146" stopIfTrue="1" operator="lessThan">
      <formula>0.5</formula>
    </cfRule>
  </conditionalFormatting>
  <conditionalFormatting sqref="AF36">
    <cfRule type="cellIs" dxfId="30308" priority="89147" stopIfTrue="1" operator="greaterThanOrEqual">
      <formula>0.5</formula>
    </cfRule>
  </conditionalFormatting>
  <conditionalFormatting sqref="AF37">
    <cfRule type="cellIs" dxfId="30307" priority="89148" stopIfTrue="1" operator="equal">
      <formula>-1</formula>
    </cfRule>
  </conditionalFormatting>
  <conditionalFormatting sqref="AF37">
    <cfRule type="cellIs" dxfId="30306" priority="89149" stopIfTrue="1" operator="lessThan">
      <formula>0.5</formula>
    </cfRule>
  </conditionalFormatting>
  <conditionalFormatting sqref="AF37">
    <cfRule type="cellIs" dxfId="30305" priority="89150" stopIfTrue="1" operator="greaterThanOrEqual">
      <formula>0.5</formula>
    </cfRule>
  </conditionalFormatting>
  <conditionalFormatting sqref="AH17">
    <cfRule type="cellIs" dxfId="30304" priority="89151" stopIfTrue="1" operator="equal">
      <formula>-1</formula>
    </cfRule>
  </conditionalFormatting>
  <conditionalFormatting sqref="AH17">
    <cfRule type="cellIs" dxfId="30303" priority="89152" stopIfTrue="1" operator="lessThan">
      <formula>0.5</formula>
    </cfRule>
  </conditionalFormatting>
  <conditionalFormatting sqref="AH17">
    <cfRule type="cellIs" dxfId="30302" priority="89153" stopIfTrue="1" operator="greaterThanOrEqual">
      <formula>0.5</formula>
    </cfRule>
  </conditionalFormatting>
  <conditionalFormatting sqref="AH18">
    <cfRule type="cellIs" dxfId="30301" priority="89154" stopIfTrue="1" operator="equal">
      <formula>-1</formula>
    </cfRule>
  </conditionalFormatting>
  <conditionalFormatting sqref="AH18">
    <cfRule type="cellIs" dxfId="30300" priority="89155" stopIfTrue="1" operator="lessThan">
      <formula>0.5</formula>
    </cfRule>
  </conditionalFormatting>
  <conditionalFormatting sqref="AH18">
    <cfRule type="cellIs" dxfId="30299" priority="89156" stopIfTrue="1" operator="greaterThanOrEqual">
      <formula>0.5</formula>
    </cfRule>
  </conditionalFormatting>
  <conditionalFormatting sqref="AH19">
    <cfRule type="cellIs" dxfId="30298" priority="89157" stopIfTrue="1" operator="equal">
      <formula>-1</formula>
    </cfRule>
  </conditionalFormatting>
  <conditionalFormatting sqref="AH19">
    <cfRule type="cellIs" dxfId="30297" priority="89158" stopIfTrue="1" operator="lessThan">
      <formula>0.5</formula>
    </cfRule>
  </conditionalFormatting>
  <conditionalFormatting sqref="AH19">
    <cfRule type="cellIs" dxfId="30296" priority="89159" stopIfTrue="1" operator="greaterThanOrEqual">
      <formula>0.5</formula>
    </cfRule>
  </conditionalFormatting>
  <conditionalFormatting sqref="AH20">
    <cfRule type="cellIs" dxfId="30295" priority="89160" stopIfTrue="1" operator="equal">
      <formula>-1</formula>
    </cfRule>
  </conditionalFormatting>
  <conditionalFormatting sqref="AH20">
    <cfRule type="cellIs" dxfId="30294" priority="89161" stopIfTrue="1" operator="lessThan">
      <formula>0.5</formula>
    </cfRule>
  </conditionalFormatting>
  <conditionalFormatting sqref="AH20">
    <cfRule type="cellIs" dxfId="30293" priority="89162" stopIfTrue="1" operator="greaterThanOrEqual">
      <formula>0.5</formula>
    </cfRule>
  </conditionalFormatting>
  <conditionalFormatting sqref="AH21">
    <cfRule type="cellIs" dxfId="30292" priority="89163" stopIfTrue="1" operator="equal">
      <formula>-1</formula>
    </cfRule>
  </conditionalFormatting>
  <conditionalFormatting sqref="AH21">
    <cfRule type="cellIs" dxfId="30291" priority="89164" stopIfTrue="1" operator="lessThan">
      <formula>0.5</formula>
    </cfRule>
  </conditionalFormatting>
  <conditionalFormatting sqref="AH21">
    <cfRule type="cellIs" dxfId="30290" priority="89165" stopIfTrue="1" operator="greaterThanOrEqual">
      <formula>0.5</formula>
    </cfRule>
  </conditionalFormatting>
  <conditionalFormatting sqref="AH22">
    <cfRule type="cellIs" dxfId="30289" priority="89166" stopIfTrue="1" operator="equal">
      <formula>-1</formula>
    </cfRule>
  </conditionalFormatting>
  <conditionalFormatting sqref="AH22">
    <cfRule type="cellIs" dxfId="30288" priority="89167" stopIfTrue="1" operator="lessThan">
      <formula>0.5</formula>
    </cfRule>
  </conditionalFormatting>
  <conditionalFormatting sqref="AH22">
    <cfRule type="cellIs" dxfId="30287" priority="89168" stopIfTrue="1" operator="greaterThanOrEqual">
      <formula>0.5</formula>
    </cfRule>
  </conditionalFormatting>
  <conditionalFormatting sqref="AH23">
    <cfRule type="cellIs" dxfId="30286" priority="89169" stopIfTrue="1" operator="equal">
      <formula>-1</formula>
    </cfRule>
  </conditionalFormatting>
  <conditionalFormatting sqref="AH23">
    <cfRule type="cellIs" dxfId="30285" priority="89170" stopIfTrue="1" operator="lessThan">
      <formula>0.5</formula>
    </cfRule>
  </conditionalFormatting>
  <conditionalFormatting sqref="AH23">
    <cfRule type="cellIs" dxfId="30284" priority="89171" stopIfTrue="1" operator="greaterThanOrEqual">
      <formula>0.5</formula>
    </cfRule>
  </conditionalFormatting>
  <conditionalFormatting sqref="AH24">
    <cfRule type="cellIs" dxfId="30283" priority="89172" stopIfTrue="1" operator="equal">
      <formula>-1</formula>
    </cfRule>
  </conditionalFormatting>
  <conditionalFormatting sqref="AH24">
    <cfRule type="cellIs" dxfId="30282" priority="89173" stopIfTrue="1" operator="lessThan">
      <formula>0.5</formula>
    </cfRule>
  </conditionalFormatting>
  <conditionalFormatting sqref="AH24">
    <cfRule type="cellIs" dxfId="30281" priority="89174" stopIfTrue="1" operator="greaterThanOrEqual">
      <formula>0.5</formula>
    </cfRule>
  </conditionalFormatting>
  <conditionalFormatting sqref="AH25">
    <cfRule type="cellIs" dxfId="30280" priority="89175" stopIfTrue="1" operator="equal">
      <formula>-1</formula>
    </cfRule>
  </conditionalFormatting>
  <conditionalFormatting sqref="AH25">
    <cfRule type="cellIs" dxfId="30279" priority="89176" stopIfTrue="1" operator="lessThan">
      <formula>0.5</formula>
    </cfRule>
  </conditionalFormatting>
  <conditionalFormatting sqref="AH25">
    <cfRule type="cellIs" dxfId="30278" priority="89177" stopIfTrue="1" operator="greaterThanOrEqual">
      <formula>0.5</formula>
    </cfRule>
  </conditionalFormatting>
  <conditionalFormatting sqref="AH26">
    <cfRule type="cellIs" dxfId="30277" priority="89178" stopIfTrue="1" operator="equal">
      <formula>-1</formula>
    </cfRule>
  </conditionalFormatting>
  <conditionalFormatting sqref="AH26">
    <cfRule type="cellIs" dxfId="30276" priority="89179" stopIfTrue="1" operator="lessThan">
      <formula>0.5</formula>
    </cfRule>
  </conditionalFormatting>
  <conditionalFormatting sqref="AH26">
    <cfRule type="cellIs" dxfId="30275" priority="89180" stopIfTrue="1" operator="greaterThanOrEqual">
      <formula>0.5</formula>
    </cfRule>
  </conditionalFormatting>
  <conditionalFormatting sqref="AH27">
    <cfRule type="cellIs" dxfId="30274" priority="89181" stopIfTrue="1" operator="equal">
      <formula>-1</formula>
    </cfRule>
  </conditionalFormatting>
  <conditionalFormatting sqref="AH27">
    <cfRule type="cellIs" dxfId="30273" priority="89182" stopIfTrue="1" operator="lessThan">
      <formula>0.5</formula>
    </cfRule>
  </conditionalFormatting>
  <conditionalFormatting sqref="AH27">
    <cfRule type="cellIs" dxfId="30272" priority="89183" stopIfTrue="1" operator="greaterThanOrEqual">
      <formula>0.5</formula>
    </cfRule>
  </conditionalFormatting>
  <conditionalFormatting sqref="AH28">
    <cfRule type="cellIs" dxfId="30271" priority="89184" stopIfTrue="1" operator="equal">
      <formula>-1</formula>
    </cfRule>
  </conditionalFormatting>
  <conditionalFormatting sqref="AH28">
    <cfRule type="cellIs" dxfId="30270" priority="89185" stopIfTrue="1" operator="lessThan">
      <formula>0.5</formula>
    </cfRule>
  </conditionalFormatting>
  <conditionalFormatting sqref="AH28">
    <cfRule type="cellIs" dxfId="30269" priority="89186" stopIfTrue="1" operator="greaterThanOrEqual">
      <formula>0.5</formula>
    </cfRule>
  </conditionalFormatting>
  <conditionalFormatting sqref="AH29">
    <cfRule type="cellIs" dxfId="30268" priority="89187" stopIfTrue="1" operator="equal">
      <formula>-1</formula>
    </cfRule>
  </conditionalFormatting>
  <conditionalFormatting sqref="AH29">
    <cfRule type="cellIs" dxfId="30267" priority="89188" stopIfTrue="1" operator="lessThan">
      <formula>0.5</formula>
    </cfRule>
  </conditionalFormatting>
  <conditionalFormatting sqref="AH29">
    <cfRule type="cellIs" dxfId="30266" priority="89189" stopIfTrue="1" operator="greaterThanOrEqual">
      <formula>0.5</formula>
    </cfRule>
  </conditionalFormatting>
  <conditionalFormatting sqref="AH30">
    <cfRule type="cellIs" dxfId="30265" priority="89190" stopIfTrue="1" operator="equal">
      <formula>-1</formula>
    </cfRule>
  </conditionalFormatting>
  <conditionalFormatting sqref="AH30">
    <cfRule type="cellIs" dxfId="30264" priority="89191" stopIfTrue="1" operator="lessThan">
      <formula>0.5</formula>
    </cfRule>
  </conditionalFormatting>
  <conditionalFormatting sqref="AH30">
    <cfRule type="cellIs" dxfId="30263" priority="89192" stopIfTrue="1" operator="greaterThanOrEqual">
      <formula>0.5</formula>
    </cfRule>
  </conditionalFormatting>
  <conditionalFormatting sqref="AH31">
    <cfRule type="cellIs" dxfId="30262" priority="89193" stopIfTrue="1" operator="equal">
      <formula>-1</formula>
    </cfRule>
  </conditionalFormatting>
  <conditionalFormatting sqref="AH31">
    <cfRule type="cellIs" dxfId="30261" priority="89194" stopIfTrue="1" operator="lessThan">
      <formula>0.5</formula>
    </cfRule>
  </conditionalFormatting>
  <conditionalFormatting sqref="AH31">
    <cfRule type="cellIs" dxfId="30260" priority="89195" stopIfTrue="1" operator="greaterThanOrEqual">
      <formula>0.5</formula>
    </cfRule>
  </conditionalFormatting>
  <conditionalFormatting sqref="AH32">
    <cfRule type="cellIs" dxfId="30259" priority="89196" stopIfTrue="1" operator="equal">
      <formula>-1</formula>
    </cfRule>
  </conditionalFormatting>
  <conditionalFormatting sqref="AH32">
    <cfRule type="cellIs" dxfId="30258" priority="89197" stopIfTrue="1" operator="lessThan">
      <formula>0.5</formula>
    </cfRule>
  </conditionalFormatting>
  <conditionalFormatting sqref="AH32">
    <cfRule type="cellIs" dxfId="30257" priority="89198" stopIfTrue="1" operator="greaterThanOrEqual">
      <formula>0.5</formula>
    </cfRule>
  </conditionalFormatting>
  <conditionalFormatting sqref="AH33">
    <cfRule type="cellIs" dxfId="30256" priority="89199" stopIfTrue="1" operator="equal">
      <formula>-1</formula>
    </cfRule>
  </conditionalFormatting>
  <conditionalFormatting sqref="AH33">
    <cfRule type="cellIs" dxfId="30255" priority="89200" stopIfTrue="1" operator="lessThan">
      <formula>0.5</formula>
    </cfRule>
  </conditionalFormatting>
  <conditionalFormatting sqref="AH33">
    <cfRule type="cellIs" dxfId="30254" priority="89201" stopIfTrue="1" operator="greaterThanOrEqual">
      <formula>0.5</formula>
    </cfRule>
  </conditionalFormatting>
  <conditionalFormatting sqref="AH34">
    <cfRule type="cellIs" dxfId="30253" priority="89202" stopIfTrue="1" operator="equal">
      <formula>-1</formula>
    </cfRule>
  </conditionalFormatting>
  <conditionalFormatting sqref="AH34">
    <cfRule type="cellIs" dxfId="30252" priority="89203" stopIfTrue="1" operator="lessThan">
      <formula>0.5</formula>
    </cfRule>
  </conditionalFormatting>
  <conditionalFormatting sqref="AH34">
    <cfRule type="cellIs" dxfId="30251" priority="89204" stopIfTrue="1" operator="greaterThanOrEqual">
      <formula>0.5</formula>
    </cfRule>
  </conditionalFormatting>
  <conditionalFormatting sqref="AH35">
    <cfRule type="cellIs" dxfId="30250" priority="89205" stopIfTrue="1" operator="equal">
      <formula>-1</formula>
    </cfRule>
  </conditionalFormatting>
  <conditionalFormatting sqref="AH35">
    <cfRule type="cellIs" dxfId="30249" priority="89206" stopIfTrue="1" operator="lessThan">
      <formula>0.5</formula>
    </cfRule>
  </conditionalFormatting>
  <conditionalFormatting sqref="AH35">
    <cfRule type="cellIs" dxfId="30248" priority="89207" stopIfTrue="1" operator="greaterThanOrEqual">
      <formula>0.5</formula>
    </cfRule>
  </conditionalFormatting>
  <conditionalFormatting sqref="AH36">
    <cfRule type="cellIs" dxfId="30247" priority="89208" stopIfTrue="1" operator="equal">
      <formula>-1</formula>
    </cfRule>
  </conditionalFormatting>
  <conditionalFormatting sqref="AH36">
    <cfRule type="cellIs" dxfId="30246" priority="89209" stopIfTrue="1" operator="lessThan">
      <formula>0.5</formula>
    </cfRule>
  </conditionalFormatting>
  <conditionalFormatting sqref="AH36">
    <cfRule type="cellIs" dxfId="30245" priority="89210" stopIfTrue="1" operator="greaterThanOrEqual">
      <formula>0.5</formula>
    </cfRule>
  </conditionalFormatting>
  <conditionalFormatting sqref="AH37">
    <cfRule type="cellIs" dxfId="30244" priority="89211" stopIfTrue="1" operator="equal">
      <formula>-1</formula>
    </cfRule>
  </conditionalFormatting>
  <conditionalFormatting sqref="AH37">
    <cfRule type="cellIs" dxfId="30243" priority="89212" stopIfTrue="1" operator="lessThan">
      <formula>0.5</formula>
    </cfRule>
  </conditionalFormatting>
  <conditionalFormatting sqref="AH37">
    <cfRule type="cellIs" dxfId="30242" priority="89213" stopIfTrue="1" operator="greaterThanOrEqual">
      <formula>0.5</formula>
    </cfRule>
  </conditionalFormatting>
  <conditionalFormatting sqref="AJ17">
    <cfRule type="cellIs" dxfId="30241" priority="89214" stopIfTrue="1" operator="equal">
      <formula>-1</formula>
    </cfRule>
  </conditionalFormatting>
  <conditionalFormatting sqref="AJ17">
    <cfRule type="cellIs" dxfId="30240" priority="89215" stopIfTrue="1" operator="lessThan">
      <formula>0.5</formula>
    </cfRule>
  </conditionalFormatting>
  <conditionalFormatting sqref="AJ17">
    <cfRule type="cellIs" dxfId="30239" priority="89216" stopIfTrue="1" operator="greaterThanOrEqual">
      <formula>0.5</formula>
    </cfRule>
  </conditionalFormatting>
  <conditionalFormatting sqref="AJ18">
    <cfRule type="cellIs" dxfId="30238" priority="89217" stopIfTrue="1" operator="equal">
      <formula>-1</formula>
    </cfRule>
  </conditionalFormatting>
  <conditionalFormatting sqref="AJ18">
    <cfRule type="cellIs" dxfId="30237" priority="89218" stopIfTrue="1" operator="lessThan">
      <formula>0.5</formula>
    </cfRule>
  </conditionalFormatting>
  <conditionalFormatting sqref="AJ18">
    <cfRule type="cellIs" dxfId="30236" priority="89219" stopIfTrue="1" operator="greaterThanOrEqual">
      <formula>0.5</formula>
    </cfRule>
  </conditionalFormatting>
  <conditionalFormatting sqref="AJ19">
    <cfRule type="cellIs" dxfId="30235" priority="89220" stopIfTrue="1" operator="equal">
      <formula>-1</formula>
    </cfRule>
  </conditionalFormatting>
  <conditionalFormatting sqref="AJ19">
    <cfRule type="cellIs" dxfId="30234" priority="89221" stopIfTrue="1" operator="lessThan">
      <formula>0.5</formula>
    </cfRule>
  </conditionalFormatting>
  <conditionalFormatting sqref="AJ19">
    <cfRule type="cellIs" dxfId="30233" priority="89222" stopIfTrue="1" operator="greaterThanOrEqual">
      <formula>0.5</formula>
    </cfRule>
  </conditionalFormatting>
  <conditionalFormatting sqref="AJ20">
    <cfRule type="cellIs" dxfId="30232" priority="89223" stopIfTrue="1" operator="equal">
      <formula>-1</formula>
    </cfRule>
  </conditionalFormatting>
  <conditionalFormatting sqref="AJ20">
    <cfRule type="cellIs" dxfId="30231" priority="89224" stopIfTrue="1" operator="lessThan">
      <formula>0.5</formula>
    </cfRule>
  </conditionalFormatting>
  <conditionalFormatting sqref="AJ20">
    <cfRule type="cellIs" dxfId="30230" priority="89225" stopIfTrue="1" operator="greaterThanOrEqual">
      <formula>0.5</formula>
    </cfRule>
  </conditionalFormatting>
  <conditionalFormatting sqref="AJ21">
    <cfRule type="cellIs" dxfId="30229" priority="89226" stopIfTrue="1" operator="equal">
      <formula>-1</formula>
    </cfRule>
  </conditionalFormatting>
  <conditionalFormatting sqref="AJ21">
    <cfRule type="cellIs" dxfId="30228" priority="89227" stopIfTrue="1" operator="lessThan">
      <formula>0.5</formula>
    </cfRule>
  </conditionalFormatting>
  <conditionalFormatting sqref="AJ21">
    <cfRule type="cellIs" dxfId="30227" priority="89228" stopIfTrue="1" operator="greaterThanOrEqual">
      <formula>0.5</formula>
    </cfRule>
  </conditionalFormatting>
  <conditionalFormatting sqref="AJ22">
    <cfRule type="cellIs" dxfId="30226" priority="89229" stopIfTrue="1" operator="equal">
      <formula>-1</formula>
    </cfRule>
  </conditionalFormatting>
  <conditionalFormatting sqref="AJ22">
    <cfRule type="cellIs" dxfId="30225" priority="89230" stopIfTrue="1" operator="lessThan">
      <formula>0.5</formula>
    </cfRule>
  </conditionalFormatting>
  <conditionalFormatting sqref="AJ22">
    <cfRule type="cellIs" dxfId="30224" priority="89231" stopIfTrue="1" operator="greaterThanOrEqual">
      <formula>0.5</formula>
    </cfRule>
  </conditionalFormatting>
  <conditionalFormatting sqref="AJ23">
    <cfRule type="cellIs" dxfId="30223" priority="89232" stopIfTrue="1" operator="equal">
      <formula>-1</formula>
    </cfRule>
  </conditionalFormatting>
  <conditionalFormatting sqref="AJ23">
    <cfRule type="cellIs" dxfId="30222" priority="89233" stopIfTrue="1" operator="lessThan">
      <formula>0.5</formula>
    </cfRule>
  </conditionalFormatting>
  <conditionalFormatting sqref="AJ23">
    <cfRule type="cellIs" dxfId="30221" priority="89234" stopIfTrue="1" operator="greaterThanOrEqual">
      <formula>0.5</formula>
    </cfRule>
  </conditionalFormatting>
  <conditionalFormatting sqref="AJ24">
    <cfRule type="cellIs" dxfId="30220" priority="89235" stopIfTrue="1" operator="equal">
      <formula>-1</formula>
    </cfRule>
  </conditionalFormatting>
  <conditionalFormatting sqref="AJ24">
    <cfRule type="cellIs" dxfId="30219" priority="89236" stopIfTrue="1" operator="lessThan">
      <formula>0.5</formula>
    </cfRule>
  </conditionalFormatting>
  <conditionalFormatting sqref="AJ24">
    <cfRule type="cellIs" dxfId="30218" priority="89237" stopIfTrue="1" operator="greaterThanOrEqual">
      <formula>0.5</formula>
    </cfRule>
  </conditionalFormatting>
  <conditionalFormatting sqref="AJ25">
    <cfRule type="cellIs" dxfId="30217" priority="89238" stopIfTrue="1" operator="equal">
      <formula>-1</formula>
    </cfRule>
  </conditionalFormatting>
  <conditionalFormatting sqref="AJ25">
    <cfRule type="cellIs" dxfId="30216" priority="89239" stopIfTrue="1" operator="lessThan">
      <formula>0.5</formula>
    </cfRule>
  </conditionalFormatting>
  <conditionalFormatting sqref="AJ25">
    <cfRule type="cellIs" dxfId="30215" priority="89240" stopIfTrue="1" operator="greaterThanOrEqual">
      <formula>0.5</formula>
    </cfRule>
  </conditionalFormatting>
  <conditionalFormatting sqref="AJ26">
    <cfRule type="cellIs" dxfId="30214" priority="89241" stopIfTrue="1" operator="equal">
      <formula>-1</formula>
    </cfRule>
  </conditionalFormatting>
  <conditionalFormatting sqref="AJ26">
    <cfRule type="cellIs" dxfId="30213" priority="89242" stopIfTrue="1" operator="lessThan">
      <formula>0.5</formula>
    </cfRule>
  </conditionalFormatting>
  <conditionalFormatting sqref="AJ26">
    <cfRule type="cellIs" dxfId="30212" priority="89243" stopIfTrue="1" operator="greaterThanOrEqual">
      <formula>0.5</formula>
    </cfRule>
  </conditionalFormatting>
  <conditionalFormatting sqref="AJ27">
    <cfRule type="cellIs" dxfId="30211" priority="89244" stopIfTrue="1" operator="equal">
      <formula>-1</formula>
    </cfRule>
  </conditionalFormatting>
  <conditionalFormatting sqref="AJ27">
    <cfRule type="cellIs" dxfId="30210" priority="89245" stopIfTrue="1" operator="lessThan">
      <formula>0.5</formula>
    </cfRule>
  </conditionalFormatting>
  <conditionalFormatting sqref="AJ27">
    <cfRule type="cellIs" dxfId="30209" priority="89246" stopIfTrue="1" operator="greaterThanOrEqual">
      <formula>0.5</formula>
    </cfRule>
  </conditionalFormatting>
  <conditionalFormatting sqref="AJ28">
    <cfRule type="cellIs" dxfId="30208" priority="89247" stopIfTrue="1" operator="equal">
      <formula>-1</formula>
    </cfRule>
  </conditionalFormatting>
  <conditionalFormatting sqref="AJ28">
    <cfRule type="cellIs" dxfId="30207" priority="89248" stopIfTrue="1" operator="lessThan">
      <formula>0.5</formula>
    </cfRule>
  </conditionalFormatting>
  <conditionalFormatting sqref="AJ28">
    <cfRule type="cellIs" dxfId="30206" priority="89249" stopIfTrue="1" operator="greaterThanOrEqual">
      <formula>0.5</formula>
    </cfRule>
  </conditionalFormatting>
  <conditionalFormatting sqref="AJ29">
    <cfRule type="cellIs" dxfId="30205" priority="89250" stopIfTrue="1" operator="equal">
      <formula>-1</formula>
    </cfRule>
  </conditionalFormatting>
  <conditionalFormatting sqref="AJ29">
    <cfRule type="cellIs" dxfId="30204" priority="89251" stopIfTrue="1" operator="lessThan">
      <formula>0.5</formula>
    </cfRule>
  </conditionalFormatting>
  <conditionalFormatting sqref="AJ29">
    <cfRule type="cellIs" dxfId="30203" priority="89252" stopIfTrue="1" operator="greaterThanOrEqual">
      <formula>0.5</formula>
    </cfRule>
  </conditionalFormatting>
  <conditionalFormatting sqref="AJ30">
    <cfRule type="cellIs" dxfId="30202" priority="89253" stopIfTrue="1" operator="equal">
      <formula>-1</formula>
    </cfRule>
  </conditionalFormatting>
  <conditionalFormatting sqref="AJ30">
    <cfRule type="cellIs" dxfId="30201" priority="89254" stopIfTrue="1" operator="lessThan">
      <formula>0.5</formula>
    </cfRule>
  </conditionalFormatting>
  <conditionalFormatting sqref="AJ30">
    <cfRule type="cellIs" dxfId="30200" priority="89255" stopIfTrue="1" operator="greaterThanOrEqual">
      <formula>0.5</formula>
    </cfRule>
  </conditionalFormatting>
  <conditionalFormatting sqref="AJ31">
    <cfRule type="cellIs" dxfId="30199" priority="89256" stopIfTrue="1" operator="equal">
      <formula>-1</formula>
    </cfRule>
  </conditionalFormatting>
  <conditionalFormatting sqref="AJ31">
    <cfRule type="cellIs" dxfId="30198" priority="89257" stopIfTrue="1" operator="lessThan">
      <formula>0.5</formula>
    </cfRule>
  </conditionalFormatting>
  <conditionalFormatting sqref="AJ31">
    <cfRule type="cellIs" dxfId="30197" priority="89258" stopIfTrue="1" operator="greaterThanOrEqual">
      <formula>0.5</formula>
    </cfRule>
  </conditionalFormatting>
  <conditionalFormatting sqref="AJ32">
    <cfRule type="cellIs" dxfId="30196" priority="89259" stopIfTrue="1" operator="equal">
      <formula>-1</formula>
    </cfRule>
  </conditionalFormatting>
  <conditionalFormatting sqref="AJ32">
    <cfRule type="cellIs" dxfId="30195" priority="89260" stopIfTrue="1" operator="lessThan">
      <formula>0.5</formula>
    </cfRule>
  </conditionalFormatting>
  <conditionalFormatting sqref="AJ32">
    <cfRule type="cellIs" dxfId="30194" priority="89261" stopIfTrue="1" operator="greaterThanOrEqual">
      <formula>0.5</formula>
    </cfRule>
  </conditionalFormatting>
  <conditionalFormatting sqref="AJ33">
    <cfRule type="cellIs" dxfId="30193" priority="89262" stopIfTrue="1" operator="equal">
      <formula>-1</formula>
    </cfRule>
  </conditionalFormatting>
  <conditionalFormatting sqref="AJ33">
    <cfRule type="cellIs" dxfId="30192" priority="89263" stopIfTrue="1" operator="lessThan">
      <formula>0.5</formula>
    </cfRule>
  </conditionalFormatting>
  <conditionalFormatting sqref="AJ33">
    <cfRule type="cellIs" dxfId="30191" priority="89264" stopIfTrue="1" operator="greaterThanOrEqual">
      <formula>0.5</formula>
    </cfRule>
  </conditionalFormatting>
  <conditionalFormatting sqref="AJ34">
    <cfRule type="cellIs" dxfId="30190" priority="89265" stopIfTrue="1" operator="equal">
      <formula>-1</formula>
    </cfRule>
  </conditionalFormatting>
  <conditionalFormatting sqref="AJ34">
    <cfRule type="cellIs" dxfId="30189" priority="89266" stopIfTrue="1" operator="lessThan">
      <formula>0.5</formula>
    </cfRule>
  </conditionalFormatting>
  <conditionalFormatting sqref="AJ34">
    <cfRule type="cellIs" dxfId="30188" priority="89267" stopIfTrue="1" operator="greaterThanOrEqual">
      <formula>0.5</formula>
    </cfRule>
  </conditionalFormatting>
  <conditionalFormatting sqref="AJ35">
    <cfRule type="cellIs" dxfId="30187" priority="89268" stopIfTrue="1" operator="equal">
      <formula>-1</formula>
    </cfRule>
  </conditionalFormatting>
  <conditionalFormatting sqref="AJ35">
    <cfRule type="cellIs" dxfId="30186" priority="89269" stopIfTrue="1" operator="lessThan">
      <formula>0.5</formula>
    </cfRule>
  </conditionalFormatting>
  <conditionalFormatting sqref="AJ35">
    <cfRule type="cellIs" dxfId="30185" priority="89270" stopIfTrue="1" operator="greaterThanOrEqual">
      <formula>0.5</formula>
    </cfRule>
  </conditionalFormatting>
  <conditionalFormatting sqref="AJ36">
    <cfRule type="cellIs" dxfId="30184" priority="89271" stopIfTrue="1" operator="equal">
      <formula>-1</formula>
    </cfRule>
  </conditionalFormatting>
  <conditionalFormatting sqref="AJ36">
    <cfRule type="cellIs" dxfId="30183" priority="89272" stopIfTrue="1" operator="lessThan">
      <formula>0.5</formula>
    </cfRule>
  </conditionalFormatting>
  <conditionalFormatting sqref="AJ36">
    <cfRule type="cellIs" dxfId="30182" priority="89273" stopIfTrue="1" operator="greaterThanOrEqual">
      <formula>0.5</formula>
    </cfRule>
  </conditionalFormatting>
  <conditionalFormatting sqref="AJ37">
    <cfRule type="cellIs" dxfId="30181" priority="89274" stopIfTrue="1" operator="equal">
      <formula>-1</formula>
    </cfRule>
  </conditionalFormatting>
  <conditionalFormatting sqref="AJ37">
    <cfRule type="cellIs" dxfId="30180" priority="89275" stopIfTrue="1" operator="lessThan">
      <formula>0.5</formula>
    </cfRule>
  </conditionalFormatting>
  <conditionalFormatting sqref="AJ37">
    <cfRule type="cellIs" dxfId="30179" priority="89276" stopIfTrue="1" operator="greaterThanOrEqual">
      <formula>0.5</formula>
    </cfRule>
  </conditionalFormatting>
  <conditionalFormatting sqref="AL17">
    <cfRule type="cellIs" dxfId="30178" priority="89277" stopIfTrue="1" operator="equal">
      <formula>-1</formula>
    </cfRule>
  </conditionalFormatting>
  <conditionalFormatting sqref="AL17">
    <cfRule type="cellIs" dxfId="30177" priority="89278" stopIfTrue="1" operator="lessThan">
      <formula>0.5</formula>
    </cfRule>
  </conditionalFormatting>
  <conditionalFormatting sqref="AL17">
    <cfRule type="cellIs" dxfId="30176" priority="89279" stopIfTrue="1" operator="greaterThanOrEqual">
      <formula>0.5</formula>
    </cfRule>
  </conditionalFormatting>
  <conditionalFormatting sqref="AL18">
    <cfRule type="cellIs" dxfId="30175" priority="89280" stopIfTrue="1" operator="equal">
      <formula>-1</formula>
    </cfRule>
  </conditionalFormatting>
  <conditionalFormatting sqref="AL18">
    <cfRule type="cellIs" dxfId="30174" priority="89281" stopIfTrue="1" operator="lessThan">
      <formula>0.5</formula>
    </cfRule>
  </conditionalFormatting>
  <conditionalFormatting sqref="AL18">
    <cfRule type="cellIs" dxfId="30173" priority="89282" stopIfTrue="1" operator="greaterThanOrEqual">
      <formula>0.5</formula>
    </cfRule>
  </conditionalFormatting>
  <conditionalFormatting sqref="AL19">
    <cfRule type="cellIs" dxfId="30172" priority="89283" stopIfTrue="1" operator="equal">
      <formula>-1</formula>
    </cfRule>
  </conditionalFormatting>
  <conditionalFormatting sqref="AL19">
    <cfRule type="cellIs" dxfId="30171" priority="89284" stopIfTrue="1" operator="lessThan">
      <formula>0.5</formula>
    </cfRule>
  </conditionalFormatting>
  <conditionalFormatting sqref="AL19">
    <cfRule type="cellIs" dxfId="30170" priority="89285" stopIfTrue="1" operator="greaterThanOrEqual">
      <formula>0.5</formula>
    </cfRule>
  </conditionalFormatting>
  <conditionalFormatting sqref="AL20">
    <cfRule type="cellIs" dxfId="30169" priority="89286" stopIfTrue="1" operator="equal">
      <formula>-1</formula>
    </cfRule>
  </conditionalFormatting>
  <conditionalFormatting sqref="AL20">
    <cfRule type="cellIs" dxfId="30168" priority="89287" stopIfTrue="1" operator="lessThan">
      <formula>0.5</formula>
    </cfRule>
  </conditionalFormatting>
  <conditionalFormatting sqref="AL20">
    <cfRule type="cellIs" dxfId="30167" priority="89288" stopIfTrue="1" operator="greaterThanOrEqual">
      <formula>0.5</formula>
    </cfRule>
  </conditionalFormatting>
  <conditionalFormatting sqref="AL21">
    <cfRule type="cellIs" dxfId="30166" priority="89289" stopIfTrue="1" operator="equal">
      <formula>-1</formula>
    </cfRule>
  </conditionalFormatting>
  <conditionalFormatting sqref="AL21">
    <cfRule type="cellIs" dxfId="30165" priority="89290" stopIfTrue="1" operator="lessThan">
      <formula>0.5</formula>
    </cfRule>
  </conditionalFormatting>
  <conditionalFormatting sqref="AL21">
    <cfRule type="cellIs" dxfId="30164" priority="89291" stopIfTrue="1" operator="greaterThanOrEqual">
      <formula>0.5</formula>
    </cfRule>
  </conditionalFormatting>
  <conditionalFormatting sqref="AL22">
    <cfRule type="cellIs" dxfId="30163" priority="89292" stopIfTrue="1" operator="equal">
      <formula>-1</formula>
    </cfRule>
  </conditionalFormatting>
  <conditionalFormatting sqref="AL22">
    <cfRule type="cellIs" dxfId="30162" priority="89293" stopIfTrue="1" operator="lessThan">
      <formula>0.5</formula>
    </cfRule>
  </conditionalFormatting>
  <conditionalFormatting sqref="AL22">
    <cfRule type="cellIs" dxfId="30161" priority="89294" stopIfTrue="1" operator="greaterThanOrEqual">
      <formula>0.5</formula>
    </cfRule>
  </conditionalFormatting>
  <conditionalFormatting sqref="AL23">
    <cfRule type="cellIs" dxfId="30160" priority="89295" stopIfTrue="1" operator="equal">
      <formula>-1</formula>
    </cfRule>
  </conditionalFormatting>
  <conditionalFormatting sqref="AL23">
    <cfRule type="cellIs" dxfId="30159" priority="89296" stopIfTrue="1" operator="lessThan">
      <formula>0.5</formula>
    </cfRule>
  </conditionalFormatting>
  <conditionalFormatting sqref="AL23">
    <cfRule type="cellIs" dxfId="30158" priority="89297" stopIfTrue="1" operator="greaterThanOrEqual">
      <formula>0.5</formula>
    </cfRule>
  </conditionalFormatting>
  <conditionalFormatting sqref="AL24">
    <cfRule type="cellIs" dxfId="30157" priority="89298" stopIfTrue="1" operator="equal">
      <formula>-1</formula>
    </cfRule>
  </conditionalFormatting>
  <conditionalFormatting sqref="AL24">
    <cfRule type="cellIs" dxfId="30156" priority="89299" stopIfTrue="1" operator="lessThan">
      <formula>0.5</formula>
    </cfRule>
  </conditionalFormatting>
  <conditionalFormatting sqref="AL24">
    <cfRule type="cellIs" dxfId="30155" priority="89300" stopIfTrue="1" operator="greaterThanOrEqual">
      <formula>0.5</formula>
    </cfRule>
  </conditionalFormatting>
  <conditionalFormatting sqref="AL25">
    <cfRule type="cellIs" dxfId="30154" priority="89301" stopIfTrue="1" operator="equal">
      <formula>-1</formula>
    </cfRule>
  </conditionalFormatting>
  <conditionalFormatting sqref="AL25">
    <cfRule type="cellIs" dxfId="30153" priority="89302" stopIfTrue="1" operator="lessThan">
      <formula>0.5</formula>
    </cfRule>
  </conditionalFormatting>
  <conditionalFormatting sqref="AL25">
    <cfRule type="cellIs" dxfId="30152" priority="89303" stopIfTrue="1" operator="greaterThanOrEqual">
      <formula>0.5</formula>
    </cfRule>
  </conditionalFormatting>
  <conditionalFormatting sqref="AL26">
    <cfRule type="cellIs" dxfId="30151" priority="89304" stopIfTrue="1" operator="equal">
      <formula>-1</formula>
    </cfRule>
  </conditionalFormatting>
  <conditionalFormatting sqref="AL26">
    <cfRule type="cellIs" dxfId="30150" priority="89305" stopIfTrue="1" operator="lessThan">
      <formula>0.5</formula>
    </cfRule>
  </conditionalFormatting>
  <conditionalFormatting sqref="AL26">
    <cfRule type="cellIs" dxfId="30149" priority="89306" stopIfTrue="1" operator="greaterThanOrEqual">
      <formula>0.5</formula>
    </cfRule>
  </conditionalFormatting>
  <conditionalFormatting sqref="AL27">
    <cfRule type="cellIs" dxfId="30148" priority="89307" stopIfTrue="1" operator="equal">
      <formula>-1</formula>
    </cfRule>
  </conditionalFormatting>
  <conditionalFormatting sqref="AL27">
    <cfRule type="cellIs" dxfId="30147" priority="89308" stopIfTrue="1" operator="lessThan">
      <formula>0.5</formula>
    </cfRule>
  </conditionalFormatting>
  <conditionalFormatting sqref="AL27">
    <cfRule type="cellIs" dxfId="30146" priority="89309" stopIfTrue="1" operator="greaterThanOrEqual">
      <formula>0.5</formula>
    </cfRule>
  </conditionalFormatting>
  <conditionalFormatting sqref="AL28">
    <cfRule type="cellIs" dxfId="30145" priority="89310" stopIfTrue="1" operator="equal">
      <formula>-1</formula>
    </cfRule>
  </conditionalFormatting>
  <conditionalFormatting sqref="AL28">
    <cfRule type="cellIs" dxfId="30144" priority="89311" stopIfTrue="1" operator="lessThan">
      <formula>0.5</formula>
    </cfRule>
  </conditionalFormatting>
  <conditionalFormatting sqref="AL28">
    <cfRule type="cellIs" dxfId="30143" priority="89312" stopIfTrue="1" operator="greaterThanOrEqual">
      <formula>0.5</formula>
    </cfRule>
  </conditionalFormatting>
  <conditionalFormatting sqref="AL29">
    <cfRule type="cellIs" dxfId="30142" priority="89313" stopIfTrue="1" operator="equal">
      <formula>-1</formula>
    </cfRule>
  </conditionalFormatting>
  <conditionalFormatting sqref="AL29">
    <cfRule type="cellIs" dxfId="30141" priority="89314" stopIfTrue="1" operator="lessThan">
      <formula>0.5</formula>
    </cfRule>
  </conditionalFormatting>
  <conditionalFormatting sqref="AL29">
    <cfRule type="cellIs" dxfId="30140" priority="89315" stopIfTrue="1" operator="greaterThanOrEqual">
      <formula>0.5</formula>
    </cfRule>
  </conditionalFormatting>
  <conditionalFormatting sqref="AL30">
    <cfRule type="cellIs" dxfId="30139" priority="89316" stopIfTrue="1" operator="equal">
      <formula>-1</formula>
    </cfRule>
  </conditionalFormatting>
  <conditionalFormatting sqref="AL30">
    <cfRule type="cellIs" dxfId="30138" priority="89317" stopIfTrue="1" operator="lessThan">
      <formula>0.5</formula>
    </cfRule>
  </conditionalFormatting>
  <conditionalFormatting sqref="AL30">
    <cfRule type="cellIs" dxfId="30137" priority="89318" stopIfTrue="1" operator="greaterThanOrEqual">
      <formula>0.5</formula>
    </cfRule>
  </conditionalFormatting>
  <conditionalFormatting sqref="AL31">
    <cfRule type="cellIs" dxfId="30136" priority="89319" stopIfTrue="1" operator="equal">
      <formula>-1</formula>
    </cfRule>
  </conditionalFormatting>
  <conditionalFormatting sqref="AL31">
    <cfRule type="cellIs" dxfId="30135" priority="89320" stopIfTrue="1" operator="lessThan">
      <formula>0.5</formula>
    </cfRule>
  </conditionalFormatting>
  <conditionalFormatting sqref="AL31">
    <cfRule type="cellIs" dxfId="30134" priority="89321" stopIfTrue="1" operator="greaterThanOrEqual">
      <formula>0.5</formula>
    </cfRule>
  </conditionalFormatting>
  <conditionalFormatting sqref="AL32">
    <cfRule type="cellIs" dxfId="30133" priority="89322" stopIfTrue="1" operator="equal">
      <formula>-1</formula>
    </cfRule>
  </conditionalFormatting>
  <conditionalFormatting sqref="AL32">
    <cfRule type="cellIs" dxfId="30132" priority="89323" stopIfTrue="1" operator="lessThan">
      <formula>0.5</formula>
    </cfRule>
  </conditionalFormatting>
  <conditionalFormatting sqref="AL32">
    <cfRule type="cellIs" dxfId="30131" priority="89324" stopIfTrue="1" operator="greaterThanOrEqual">
      <formula>0.5</formula>
    </cfRule>
  </conditionalFormatting>
  <conditionalFormatting sqref="AL33">
    <cfRule type="cellIs" dxfId="30130" priority="89325" stopIfTrue="1" operator="equal">
      <formula>-1</formula>
    </cfRule>
  </conditionalFormatting>
  <conditionalFormatting sqref="AL33">
    <cfRule type="cellIs" dxfId="30129" priority="89326" stopIfTrue="1" operator="lessThan">
      <formula>0.5</formula>
    </cfRule>
  </conditionalFormatting>
  <conditionalFormatting sqref="AL33">
    <cfRule type="cellIs" dxfId="30128" priority="89327" stopIfTrue="1" operator="greaterThanOrEqual">
      <formula>0.5</formula>
    </cfRule>
  </conditionalFormatting>
  <conditionalFormatting sqref="AL34">
    <cfRule type="cellIs" dxfId="30127" priority="89328" stopIfTrue="1" operator="equal">
      <formula>-1</formula>
    </cfRule>
  </conditionalFormatting>
  <conditionalFormatting sqref="AL34">
    <cfRule type="cellIs" dxfId="30126" priority="89329" stopIfTrue="1" operator="lessThan">
      <formula>0.5</formula>
    </cfRule>
  </conditionalFormatting>
  <conditionalFormatting sqref="AL34">
    <cfRule type="cellIs" dxfId="30125" priority="89330" stopIfTrue="1" operator="greaterThanOrEqual">
      <formula>0.5</formula>
    </cfRule>
  </conditionalFormatting>
  <conditionalFormatting sqref="AL35">
    <cfRule type="cellIs" dxfId="30124" priority="89331" stopIfTrue="1" operator="equal">
      <formula>-1</formula>
    </cfRule>
  </conditionalFormatting>
  <conditionalFormatting sqref="AL35">
    <cfRule type="cellIs" dxfId="30123" priority="89332" stopIfTrue="1" operator="lessThan">
      <formula>0.5</formula>
    </cfRule>
  </conditionalFormatting>
  <conditionalFormatting sqref="AL35">
    <cfRule type="cellIs" dxfId="30122" priority="89333" stopIfTrue="1" operator="greaterThanOrEqual">
      <formula>0.5</formula>
    </cfRule>
  </conditionalFormatting>
  <conditionalFormatting sqref="AL36">
    <cfRule type="cellIs" dxfId="30121" priority="89334" stopIfTrue="1" operator="equal">
      <formula>-1</formula>
    </cfRule>
  </conditionalFormatting>
  <conditionalFormatting sqref="AL36">
    <cfRule type="cellIs" dxfId="30120" priority="89335" stopIfTrue="1" operator="lessThan">
      <formula>0.5</formula>
    </cfRule>
  </conditionalFormatting>
  <conditionalFormatting sqref="AL36">
    <cfRule type="cellIs" dxfId="30119" priority="89336" stopIfTrue="1" operator="greaterThanOrEqual">
      <formula>0.5</formula>
    </cfRule>
  </conditionalFormatting>
  <conditionalFormatting sqref="AL37">
    <cfRule type="cellIs" dxfId="30118" priority="89337" stopIfTrue="1" operator="equal">
      <formula>-1</formula>
    </cfRule>
  </conditionalFormatting>
  <conditionalFormatting sqref="AL37">
    <cfRule type="cellIs" dxfId="30117" priority="89338" stopIfTrue="1" operator="lessThan">
      <formula>0.5</formula>
    </cfRule>
  </conditionalFormatting>
  <conditionalFormatting sqref="AL37">
    <cfRule type="cellIs" dxfId="30116" priority="89339" stopIfTrue="1" operator="greaterThanOrEqual">
      <formula>0.5</formula>
    </cfRule>
  </conditionalFormatting>
  <conditionalFormatting sqref="AN17">
    <cfRule type="cellIs" dxfId="30115" priority="89340" stopIfTrue="1" operator="equal">
      <formula>-1</formula>
    </cfRule>
  </conditionalFormatting>
  <conditionalFormatting sqref="AN17">
    <cfRule type="cellIs" dxfId="30114" priority="89341" stopIfTrue="1" operator="lessThan">
      <formula>0.5</formula>
    </cfRule>
  </conditionalFormatting>
  <conditionalFormatting sqref="AN17">
    <cfRule type="cellIs" dxfId="30113" priority="89342" stopIfTrue="1" operator="greaterThanOrEqual">
      <formula>0.5</formula>
    </cfRule>
  </conditionalFormatting>
  <conditionalFormatting sqref="AN18">
    <cfRule type="cellIs" dxfId="30112" priority="89343" stopIfTrue="1" operator="equal">
      <formula>-1</formula>
    </cfRule>
  </conditionalFormatting>
  <conditionalFormatting sqref="AN18">
    <cfRule type="cellIs" dxfId="30111" priority="89344" stopIfTrue="1" operator="lessThan">
      <formula>0.5</formula>
    </cfRule>
  </conditionalFormatting>
  <conditionalFormatting sqref="AN18">
    <cfRule type="cellIs" dxfId="30110" priority="89345" stopIfTrue="1" operator="greaterThanOrEqual">
      <formula>0.5</formula>
    </cfRule>
  </conditionalFormatting>
  <conditionalFormatting sqref="AN19">
    <cfRule type="cellIs" dxfId="30109" priority="89346" stopIfTrue="1" operator="equal">
      <formula>-1</formula>
    </cfRule>
  </conditionalFormatting>
  <conditionalFormatting sqref="AN19">
    <cfRule type="cellIs" dxfId="30108" priority="89347" stopIfTrue="1" operator="lessThan">
      <formula>0.5</formula>
    </cfRule>
  </conditionalFormatting>
  <conditionalFormatting sqref="AN19">
    <cfRule type="cellIs" dxfId="30107" priority="89348" stopIfTrue="1" operator="greaterThanOrEqual">
      <formula>0.5</formula>
    </cfRule>
  </conditionalFormatting>
  <conditionalFormatting sqref="AN20">
    <cfRule type="cellIs" dxfId="30106" priority="89349" stopIfTrue="1" operator="equal">
      <formula>-1</formula>
    </cfRule>
  </conditionalFormatting>
  <conditionalFormatting sqref="AN20">
    <cfRule type="cellIs" dxfId="30105" priority="89350" stopIfTrue="1" operator="lessThan">
      <formula>0.5</formula>
    </cfRule>
  </conditionalFormatting>
  <conditionalFormatting sqref="AN20">
    <cfRule type="cellIs" dxfId="30104" priority="89351" stopIfTrue="1" operator="greaterThanOrEqual">
      <formula>0.5</formula>
    </cfRule>
  </conditionalFormatting>
  <conditionalFormatting sqref="AN21">
    <cfRule type="cellIs" dxfId="30103" priority="89352" stopIfTrue="1" operator="equal">
      <formula>-1</formula>
    </cfRule>
  </conditionalFormatting>
  <conditionalFormatting sqref="AN21">
    <cfRule type="cellIs" dxfId="30102" priority="89353" stopIfTrue="1" operator="lessThan">
      <formula>0.5</formula>
    </cfRule>
  </conditionalFormatting>
  <conditionalFormatting sqref="AN21">
    <cfRule type="cellIs" dxfId="30101" priority="89354" stopIfTrue="1" operator="greaterThanOrEqual">
      <formula>0.5</formula>
    </cfRule>
  </conditionalFormatting>
  <conditionalFormatting sqref="AN22">
    <cfRule type="cellIs" dxfId="30100" priority="89355" stopIfTrue="1" operator="equal">
      <formula>-1</formula>
    </cfRule>
  </conditionalFormatting>
  <conditionalFormatting sqref="AN22">
    <cfRule type="cellIs" dxfId="30099" priority="89356" stopIfTrue="1" operator="lessThan">
      <formula>0.5</formula>
    </cfRule>
  </conditionalFormatting>
  <conditionalFormatting sqref="AN22">
    <cfRule type="cellIs" dxfId="30098" priority="89357" stopIfTrue="1" operator="greaterThanOrEqual">
      <formula>0.5</formula>
    </cfRule>
  </conditionalFormatting>
  <conditionalFormatting sqref="AN23">
    <cfRule type="cellIs" dxfId="30097" priority="89358" stopIfTrue="1" operator="equal">
      <formula>-1</formula>
    </cfRule>
  </conditionalFormatting>
  <conditionalFormatting sqref="AN23">
    <cfRule type="cellIs" dxfId="30096" priority="89359" stopIfTrue="1" operator="lessThan">
      <formula>0.5</formula>
    </cfRule>
  </conditionalFormatting>
  <conditionalFormatting sqref="AN23">
    <cfRule type="cellIs" dxfId="30095" priority="89360" stopIfTrue="1" operator="greaterThanOrEqual">
      <formula>0.5</formula>
    </cfRule>
  </conditionalFormatting>
  <conditionalFormatting sqref="AN24">
    <cfRule type="cellIs" dxfId="30094" priority="89361" stopIfTrue="1" operator="equal">
      <formula>-1</formula>
    </cfRule>
  </conditionalFormatting>
  <conditionalFormatting sqref="AN24">
    <cfRule type="cellIs" dxfId="30093" priority="89362" stopIfTrue="1" operator="lessThan">
      <formula>0.5</formula>
    </cfRule>
  </conditionalFormatting>
  <conditionalFormatting sqref="AN24">
    <cfRule type="cellIs" dxfId="30092" priority="89363" stopIfTrue="1" operator="greaterThanOrEqual">
      <formula>0.5</formula>
    </cfRule>
  </conditionalFormatting>
  <conditionalFormatting sqref="AN25">
    <cfRule type="cellIs" dxfId="30091" priority="89364" stopIfTrue="1" operator="equal">
      <formula>-1</formula>
    </cfRule>
  </conditionalFormatting>
  <conditionalFormatting sqref="AN25">
    <cfRule type="cellIs" dxfId="30090" priority="89365" stopIfTrue="1" operator="lessThan">
      <formula>0.5</formula>
    </cfRule>
  </conditionalFormatting>
  <conditionalFormatting sqref="AN25">
    <cfRule type="cellIs" dxfId="30089" priority="89366" stopIfTrue="1" operator="greaterThanOrEqual">
      <formula>0.5</formula>
    </cfRule>
  </conditionalFormatting>
  <conditionalFormatting sqref="AN26">
    <cfRule type="cellIs" dxfId="30088" priority="89367" stopIfTrue="1" operator="equal">
      <formula>-1</formula>
    </cfRule>
  </conditionalFormatting>
  <conditionalFormatting sqref="AN26">
    <cfRule type="cellIs" dxfId="30087" priority="89368" stopIfTrue="1" operator="lessThan">
      <formula>0.5</formula>
    </cfRule>
  </conditionalFormatting>
  <conditionalFormatting sqref="AN26">
    <cfRule type="cellIs" dxfId="30086" priority="89369" stopIfTrue="1" operator="greaterThanOrEqual">
      <formula>0.5</formula>
    </cfRule>
  </conditionalFormatting>
  <conditionalFormatting sqref="AN27">
    <cfRule type="cellIs" dxfId="30085" priority="89370" stopIfTrue="1" operator="equal">
      <formula>-1</formula>
    </cfRule>
  </conditionalFormatting>
  <conditionalFormatting sqref="AN27">
    <cfRule type="cellIs" dxfId="30084" priority="89371" stopIfTrue="1" operator="lessThan">
      <formula>0.5</formula>
    </cfRule>
  </conditionalFormatting>
  <conditionalFormatting sqref="AN27">
    <cfRule type="cellIs" dxfId="30083" priority="89372" stopIfTrue="1" operator="greaterThanOrEqual">
      <formula>0.5</formula>
    </cfRule>
  </conditionalFormatting>
  <conditionalFormatting sqref="AN28">
    <cfRule type="cellIs" dxfId="30082" priority="89373" stopIfTrue="1" operator="equal">
      <formula>-1</formula>
    </cfRule>
  </conditionalFormatting>
  <conditionalFormatting sqref="AN28">
    <cfRule type="cellIs" dxfId="30081" priority="89374" stopIfTrue="1" operator="lessThan">
      <formula>0.5</formula>
    </cfRule>
  </conditionalFormatting>
  <conditionalFormatting sqref="AN28">
    <cfRule type="cellIs" dxfId="30080" priority="89375" stopIfTrue="1" operator="greaterThanOrEqual">
      <formula>0.5</formula>
    </cfRule>
  </conditionalFormatting>
  <conditionalFormatting sqref="AN29">
    <cfRule type="cellIs" dxfId="30079" priority="89376" stopIfTrue="1" operator="equal">
      <formula>-1</formula>
    </cfRule>
  </conditionalFormatting>
  <conditionalFormatting sqref="AN29">
    <cfRule type="cellIs" dxfId="30078" priority="89377" stopIfTrue="1" operator="lessThan">
      <formula>0.5</formula>
    </cfRule>
  </conditionalFormatting>
  <conditionalFormatting sqref="AN29">
    <cfRule type="cellIs" dxfId="30077" priority="89378" stopIfTrue="1" operator="greaterThanOrEqual">
      <formula>0.5</formula>
    </cfRule>
  </conditionalFormatting>
  <conditionalFormatting sqref="AN30">
    <cfRule type="cellIs" dxfId="30076" priority="89379" stopIfTrue="1" operator="equal">
      <formula>-1</formula>
    </cfRule>
  </conditionalFormatting>
  <conditionalFormatting sqref="AN30">
    <cfRule type="cellIs" dxfId="30075" priority="89380" stopIfTrue="1" operator="lessThan">
      <formula>0.5</formula>
    </cfRule>
  </conditionalFormatting>
  <conditionalFormatting sqref="AN30">
    <cfRule type="cellIs" dxfId="30074" priority="89381" stopIfTrue="1" operator="greaterThanOrEqual">
      <formula>0.5</formula>
    </cfRule>
  </conditionalFormatting>
  <conditionalFormatting sqref="AN31">
    <cfRule type="cellIs" dxfId="30073" priority="89382" stopIfTrue="1" operator="equal">
      <formula>-1</formula>
    </cfRule>
  </conditionalFormatting>
  <conditionalFormatting sqref="AN31">
    <cfRule type="cellIs" dxfId="30072" priority="89383" stopIfTrue="1" operator="lessThan">
      <formula>0.5</formula>
    </cfRule>
  </conditionalFormatting>
  <conditionalFormatting sqref="AN31">
    <cfRule type="cellIs" dxfId="30071" priority="89384" stopIfTrue="1" operator="greaterThanOrEqual">
      <formula>0.5</formula>
    </cfRule>
  </conditionalFormatting>
  <conditionalFormatting sqref="AN32">
    <cfRule type="cellIs" dxfId="30070" priority="89385" stopIfTrue="1" operator="equal">
      <formula>-1</formula>
    </cfRule>
  </conditionalFormatting>
  <conditionalFormatting sqref="AN32">
    <cfRule type="cellIs" dxfId="30069" priority="89386" stopIfTrue="1" operator="lessThan">
      <formula>0.5</formula>
    </cfRule>
  </conditionalFormatting>
  <conditionalFormatting sqref="AN32">
    <cfRule type="cellIs" dxfId="30068" priority="89387" stopIfTrue="1" operator="greaterThanOrEqual">
      <formula>0.5</formula>
    </cfRule>
  </conditionalFormatting>
  <conditionalFormatting sqref="AN33">
    <cfRule type="cellIs" dxfId="30067" priority="89388" stopIfTrue="1" operator="equal">
      <formula>-1</formula>
    </cfRule>
  </conditionalFormatting>
  <conditionalFormatting sqref="AN33">
    <cfRule type="cellIs" dxfId="30066" priority="89389" stopIfTrue="1" operator="lessThan">
      <formula>0.5</formula>
    </cfRule>
  </conditionalFormatting>
  <conditionalFormatting sqref="AN33">
    <cfRule type="cellIs" dxfId="30065" priority="89390" stopIfTrue="1" operator="greaterThanOrEqual">
      <formula>0.5</formula>
    </cfRule>
  </conditionalFormatting>
  <conditionalFormatting sqref="AN34">
    <cfRule type="cellIs" dxfId="30064" priority="89391" stopIfTrue="1" operator="equal">
      <formula>-1</formula>
    </cfRule>
  </conditionalFormatting>
  <conditionalFormatting sqref="AN34">
    <cfRule type="cellIs" dxfId="30063" priority="89392" stopIfTrue="1" operator="lessThan">
      <formula>0.5</formula>
    </cfRule>
  </conditionalFormatting>
  <conditionalFormatting sqref="AN34">
    <cfRule type="cellIs" dxfId="30062" priority="89393" stopIfTrue="1" operator="greaterThanOrEqual">
      <formula>0.5</formula>
    </cfRule>
  </conditionalFormatting>
  <conditionalFormatting sqref="AN35">
    <cfRule type="cellIs" dxfId="30061" priority="89394" stopIfTrue="1" operator="equal">
      <formula>-1</formula>
    </cfRule>
  </conditionalFormatting>
  <conditionalFormatting sqref="AN35">
    <cfRule type="cellIs" dxfId="30060" priority="89395" stopIfTrue="1" operator="lessThan">
      <formula>0.5</formula>
    </cfRule>
  </conditionalFormatting>
  <conditionalFormatting sqref="AN35">
    <cfRule type="cellIs" dxfId="30059" priority="89396" stopIfTrue="1" operator="greaterThanOrEqual">
      <formula>0.5</formula>
    </cfRule>
  </conditionalFormatting>
  <conditionalFormatting sqref="AN36">
    <cfRule type="cellIs" dxfId="30058" priority="89397" stopIfTrue="1" operator="equal">
      <formula>-1</formula>
    </cfRule>
  </conditionalFormatting>
  <conditionalFormatting sqref="AN36">
    <cfRule type="cellIs" dxfId="30057" priority="89398" stopIfTrue="1" operator="lessThan">
      <formula>0.5</formula>
    </cfRule>
  </conditionalFormatting>
  <conditionalFormatting sqref="AN36">
    <cfRule type="cellIs" dxfId="30056" priority="89399" stopIfTrue="1" operator="greaterThanOrEqual">
      <formula>0.5</formula>
    </cfRule>
  </conditionalFormatting>
  <conditionalFormatting sqref="AN37">
    <cfRule type="cellIs" dxfId="30055" priority="89400" stopIfTrue="1" operator="equal">
      <formula>-1</formula>
    </cfRule>
  </conditionalFormatting>
  <conditionalFormatting sqref="AN37">
    <cfRule type="cellIs" dxfId="30054" priority="89401" stopIfTrue="1" operator="lessThan">
      <formula>0.5</formula>
    </cfRule>
  </conditionalFormatting>
  <conditionalFormatting sqref="AN37">
    <cfRule type="cellIs" dxfId="30053" priority="89402" stopIfTrue="1" operator="greaterThanOrEqual">
      <formula>0.5</formula>
    </cfRule>
  </conditionalFormatting>
  <conditionalFormatting sqref="AP17">
    <cfRule type="cellIs" dxfId="30052" priority="89403" stopIfTrue="1" operator="equal">
      <formula>-1</formula>
    </cfRule>
  </conditionalFormatting>
  <conditionalFormatting sqref="AP17">
    <cfRule type="cellIs" dxfId="30051" priority="89404" stopIfTrue="1" operator="lessThan">
      <formula>0.5</formula>
    </cfRule>
  </conditionalFormatting>
  <conditionalFormatting sqref="AP17">
    <cfRule type="cellIs" dxfId="30050" priority="89405" stopIfTrue="1" operator="greaterThanOrEqual">
      <formula>0.5</formula>
    </cfRule>
  </conditionalFormatting>
  <conditionalFormatting sqref="AP18">
    <cfRule type="cellIs" dxfId="30049" priority="89406" stopIfTrue="1" operator="equal">
      <formula>-1</formula>
    </cfRule>
  </conditionalFormatting>
  <conditionalFormatting sqref="AP18">
    <cfRule type="cellIs" dxfId="30048" priority="89407" stopIfTrue="1" operator="lessThan">
      <formula>0.5</formula>
    </cfRule>
  </conditionalFormatting>
  <conditionalFormatting sqref="AP18">
    <cfRule type="cellIs" dxfId="30047" priority="89408" stopIfTrue="1" operator="greaterThanOrEqual">
      <formula>0.5</formula>
    </cfRule>
  </conditionalFormatting>
  <conditionalFormatting sqref="AP19">
    <cfRule type="cellIs" dxfId="30046" priority="89409" stopIfTrue="1" operator="equal">
      <formula>-1</formula>
    </cfRule>
  </conditionalFormatting>
  <conditionalFormatting sqref="AP19">
    <cfRule type="cellIs" dxfId="30045" priority="89410" stopIfTrue="1" operator="lessThan">
      <formula>0.5</formula>
    </cfRule>
  </conditionalFormatting>
  <conditionalFormatting sqref="AP19">
    <cfRule type="cellIs" dxfId="30044" priority="89411" stopIfTrue="1" operator="greaterThanOrEqual">
      <formula>0.5</formula>
    </cfRule>
  </conditionalFormatting>
  <conditionalFormatting sqref="AP20">
    <cfRule type="cellIs" dxfId="30043" priority="89412" stopIfTrue="1" operator="equal">
      <formula>-1</formula>
    </cfRule>
  </conditionalFormatting>
  <conditionalFormatting sqref="AP20">
    <cfRule type="cellIs" dxfId="30042" priority="89413" stopIfTrue="1" operator="lessThan">
      <formula>0.5</formula>
    </cfRule>
  </conditionalFormatting>
  <conditionalFormatting sqref="AP20">
    <cfRule type="cellIs" dxfId="30041" priority="89414" stopIfTrue="1" operator="greaterThanOrEqual">
      <formula>0.5</formula>
    </cfRule>
  </conditionalFormatting>
  <conditionalFormatting sqref="AP21">
    <cfRule type="cellIs" dxfId="30040" priority="89415" stopIfTrue="1" operator="equal">
      <formula>-1</formula>
    </cfRule>
  </conditionalFormatting>
  <conditionalFormatting sqref="AP21">
    <cfRule type="cellIs" dxfId="30039" priority="89416" stopIfTrue="1" operator="lessThan">
      <formula>0.5</formula>
    </cfRule>
  </conditionalFormatting>
  <conditionalFormatting sqref="AP21">
    <cfRule type="cellIs" dxfId="30038" priority="89417" stopIfTrue="1" operator="greaterThanOrEqual">
      <formula>0.5</formula>
    </cfRule>
  </conditionalFormatting>
  <conditionalFormatting sqref="AP22">
    <cfRule type="cellIs" dxfId="30037" priority="89418" stopIfTrue="1" operator="equal">
      <formula>-1</formula>
    </cfRule>
  </conditionalFormatting>
  <conditionalFormatting sqref="AP22">
    <cfRule type="cellIs" dxfId="30036" priority="89419" stopIfTrue="1" operator="lessThan">
      <formula>0.5</formula>
    </cfRule>
  </conditionalFormatting>
  <conditionalFormatting sqref="AP22">
    <cfRule type="cellIs" dxfId="30035" priority="89420" stopIfTrue="1" operator="greaterThanOrEqual">
      <formula>0.5</formula>
    </cfRule>
  </conditionalFormatting>
  <conditionalFormatting sqref="AP23">
    <cfRule type="cellIs" dxfId="30034" priority="89421" stopIfTrue="1" operator="equal">
      <formula>-1</formula>
    </cfRule>
  </conditionalFormatting>
  <conditionalFormatting sqref="AP23">
    <cfRule type="cellIs" dxfId="30033" priority="89422" stopIfTrue="1" operator="lessThan">
      <formula>0.5</formula>
    </cfRule>
  </conditionalFormatting>
  <conditionalFormatting sqref="AP23">
    <cfRule type="cellIs" dxfId="30032" priority="89423" stopIfTrue="1" operator="greaterThanOrEqual">
      <formula>0.5</formula>
    </cfRule>
  </conditionalFormatting>
  <conditionalFormatting sqref="AP24">
    <cfRule type="cellIs" dxfId="30031" priority="89424" stopIfTrue="1" operator="equal">
      <formula>-1</formula>
    </cfRule>
  </conditionalFormatting>
  <conditionalFormatting sqref="AP24">
    <cfRule type="cellIs" dxfId="30030" priority="89425" stopIfTrue="1" operator="lessThan">
      <formula>0.5</formula>
    </cfRule>
  </conditionalFormatting>
  <conditionalFormatting sqref="AP24">
    <cfRule type="cellIs" dxfId="30029" priority="89426" stopIfTrue="1" operator="greaterThanOrEqual">
      <formula>0.5</formula>
    </cfRule>
  </conditionalFormatting>
  <conditionalFormatting sqref="AP25">
    <cfRule type="cellIs" dxfId="30028" priority="89427" stopIfTrue="1" operator="equal">
      <formula>-1</formula>
    </cfRule>
  </conditionalFormatting>
  <conditionalFormatting sqref="AP25">
    <cfRule type="cellIs" dxfId="30027" priority="89428" stopIfTrue="1" operator="lessThan">
      <formula>0.5</formula>
    </cfRule>
  </conditionalFormatting>
  <conditionalFormatting sqref="AP25">
    <cfRule type="cellIs" dxfId="30026" priority="89429" stopIfTrue="1" operator="greaterThanOrEqual">
      <formula>0.5</formula>
    </cfRule>
  </conditionalFormatting>
  <conditionalFormatting sqref="AP26">
    <cfRule type="cellIs" dxfId="30025" priority="89430" stopIfTrue="1" operator="equal">
      <formula>-1</formula>
    </cfRule>
  </conditionalFormatting>
  <conditionalFormatting sqref="AP26">
    <cfRule type="cellIs" dxfId="30024" priority="89431" stopIfTrue="1" operator="lessThan">
      <formula>0.5</formula>
    </cfRule>
  </conditionalFormatting>
  <conditionalFormatting sqref="AP26">
    <cfRule type="cellIs" dxfId="30023" priority="89432" stopIfTrue="1" operator="greaterThanOrEqual">
      <formula>0.5</formula>
    </cfRule>
  </conditionalFormatting>
  <conditionalFormatting sqref="AP27">
    <cfRule type="cellIs" dxfId="30022" priority="89433" stopIfTrue="1" operator="equal">
      <formula>-1</formula>
    </cfRule>
  </conditionalFormatting>
  <conditionalFormatting sqref="AP27">
    <cfRule type="cellIs" dxfId="30021" priority="89434" stopIfTrue="1" operator="lessThan">
      <formula>0.5</formula>
    </cfRule>
  </conditionalFormatting>
  <conditionalFormatting sqref="AP27">
    <cfRule type="cellIs" dxfId="30020" priority="89435" stopIfTrue="1" operator="greaterThanOrEqual">
      <formula>0.5</formula>
    </cfRule>
  </conditionalFormatting>
  <conditionalFormatting sqref="AP28">
    <cfRule type="cellIs" dxfId="30019" priority="89436" stopIfTrue="1" operator="equal">
      <formula>-1</formula>
    </cfRule>
  </conditionalFormatting>
  <conditionalFormatting sqref="AP28">
    <cfRule type="cellIs" dxfId="30018" priority="89437" stopIfTrue="1" operator="lessThan">
      <formula>0.5</formula>
    </cfRule>
  </conditionalFormatting>
  <conditionalFormatting sqref="AP28">
    <cfRule type="cellIs" dxfId="30017" priority="89438" stopIfTrue="1" operator="greaterThanOrEqual">
      <formula>0.5</formula>
    </cfRule>
  </conditionalFormatting>
  <conditionalFormatting sqref="AP29">
    <cfRule type="cellIs" dxfId="30016" priority="89439" stopIfTrue="1" operator="equal">
      <formula>-1</formula>
    </cfRule>
  </conditionalFormatting>
  <conditionalFormatting sqref="AP29">
    <cfRule type="cellIs" dxfId="30015" priority="89440" stopIfTrue="1" operator="lessThan">
      <formula>0.5</formula>
    </cfRule>
  </conditionalFormatting>
  <conditionalFormatting sqref="AP29">
    <cfRule type="cellIs" dxfId="30014" priority="89441" stopIfTrue="1" operator="greaterThanOrEqual">
      <formula>0.5</formula>
    </cfRule>
  </conditionalFormatting>
  <conditionalFormatting sqref="AP30">
    <cfRule type="cellIs" dxfId="30013" priority="89442" stopIfTrue="1" operator="equal">
      <formula>-1</formula>
    </cfRule>
  </conditionalFormatting>
  <conditionalFormatting sqref="AP30">
    <cfRule type="cellIs" dxfId="30012" priority="89443" stopIfTrue="1" operator="lessThan">
      <formula>0.5</formula>
    </cfRule>
  </conditionalFormatting>
  <conditionalFormatting sqref="AP30">
    <cfRule type="cellIs" dxfId="30011" priority="89444" stopIfTrue="1" operator="greaterThanOrEqual">
      <formula>0.5</formula>
    </cfRule>
  </conditionalFormatting>
  <conditionalFormatting sqref="AP31">
    <cfRule type="cellIs" dxfId="30010" priority="89445" stopIfTrue="1" operator="equal">
      <formula>-1</formula>
    </cfRule>
  </conditionalFormatting>
  <conditionalFormatting sqref="AP31">
    <cfRule type="cellIs" dxfId="30009" priority="89446" stopIfTrue="1" operator="lessThan">
      <formula>0.5</formula>
    </cfRule>
  </conditionalFormatting>
  <conditionalFormatting sqref="AP31">
    <cfRule type="cellIs" dxfId="30008" priority="89447" stopIfTrue="1" operator="greaterThanOrEqual">
      <formula>0.5</formula>
    </cfRule>
  </conditionalFormatting>
  <conditionalFormatting sqref="AP32">
    <cfRule type="cellIs" dxfId="30007" priority="89448" stopIfTrue="1" operator="equal">
      <formula>-1</formula>
    </cfRule>
  </conditionalFormatting>
  <conditionalFormatting sqref="AP32">
    <cfRule type="cellIs" dxfId="30006" priority="89449" stopIfTrue="1" operator="lessThan">
      <formula>0.5</formula>
    </cfRule>
  </conditionalFormatting>
  <conditionalFormatting sqref="AP32">
    <cfRule type="cellIs" dxfId="30005" priority="89450" stopIfTrue="1" operator="greaterThanOrEqual">
      <formula>0.5</formula>
    </cfRule>
  </conditionalFormatting>
  <conditionalFormatting sqref="AP33">
    <cfRule type="cellIs" dxfId="30004" priority="89451" stopIfTrue="1" operator="equal">
      <formula>-1</formula>
    </cfRule>
  </conditionalFormatting>
  <conditionalFormatting sqref="AP33">
    <cfRule type="cellIs" dxfId="30003" priority="89452" stopIfTrue="1" operator="lessThan">
      <formula>0.5</formula>
    </cfRule>
  </conditionalFormatting>
  <conditionalFormatting sqref="AP33">
    <cfRule type="cellIs" dxfId="30002" priority="89453" stopIfTrue="1" operator="greaterThanOrEqual">
      <formula>0.5</formula>
    </cfRule>
  </conditionalFormatting>
  <conditionalFormatting sqref="AP34">
    <cfRule type="cellIs" dxfId="30001" priority="89454" stopIfTrue="1" operator="equal">
      <formula>-1</formula>
    </cfRule>
  </conditionalFormatting>
  <conditionalFormatting sqref="AP34">
    <cfRule type="cellIs" dxfId="30000" priority="89455" stopIfTrue="1" operator="lessThan">
      <formula>0.5</formula>
    </cfRule>
  </conditionalFormatting>
  <conditionalFormatting sqref="AP34">
    <cfRule type="cellIs" dxfId="29999" priority="89456" stopIfTrue="1" operator="greaterThanOrEqual">
      <formula>0.5</formula>
    </cfRule>
  </conditionalFormatting>
  <conditionalFormatting sqref="AP35">
    <cfRule type="cellIs" dxfId="29998" priority="89457" stopIfTrue="1" operator="equal">
      <formula>-1</formula>
    </cfRule>
  </conditionalFormatting>
  <conditionalFormatting sqref="AP35">
    <cfRule type="cellIs" dxfId="29997" priority="89458" stopIfTrue="1" operator="lessThan">
      <formula>0.5</formula>
    </cfRule>
  </conditionalFormatting>
  <conditionalFormatting sqref="AP35">
    <cfRule type="cellIs" dxfId="29996" priority="89459" stopIfTrue="1" operator="greaterThanOrEqual">
      <formula>0.5</formula>
    </cfRule>
  </conditionalFormatting>
  <conditionalFormatting sqref="AP36">
    <cfRule type="cellIs" dxfId="29995" priority="89460" stopIfTrue="1" operator="equal">
      <formula>-1</formula>
    </cfRule>
  </conditionalFormatting>
  <conditionalFormatting sqref="AP36">
    <cfRule type="cellIs" dxfId="29994" priority="89461" stopIfTrue="1" operator="lessThan">
      <formula>0.5</formula>
    </cfRule>
  </conditionalFormatting>
  <conditionalFormatting sqref="AP36">
    <cfRule type="cellIs" dxfId="29993" priority="89462" stopIfTrue="1" operator="greaterThanOrEqual">
      <formula>0.5</formula>
    </cfRule>
  </conditionalFormatting>
  <conditionalFormatting sqref="AP37">
    <cfRule type="cellIs" dxfId="29992" priority="89463" stopIfTrue="1" operator="equal">
      <formula>-1</formula>
    </cfRule>
  </conditionalFormatting>
  <conditionalFormatting sqref="AP37">
    <cfRule type="cellIs" dxfId="29991" priority="89464" stopIfTrue="1" operator="lessThan">
      <formula>0.5</formula>
    </cfRule>
  </conditionalFormatting>
  <conditionalFormatting sqref="AP37">
    <cfRule type="cellIs" dxfId="29990" priority="89465" stopIfTrue="1" operator="greaterThanOrEqual">
      <formula>0.5</formula>
    </cfRule>
  </conditionalFormatting>
  <conditionalFormatting sqref="AR17">
    <cfRule type="cellIs" dxfId="29989" priority="89466" stopIfTrue="1" operator="equal">
      <formula>-1</formula>
    </cfRule>
  </conditionalFormatting>
  <conditionalFormatting sqref="AR17">
    <cfRule type="cellIs" dxfId="29988" priority="89467" stopIfTrue="1" operator="lessThan">
      <formula>0.5</formula>
    </cfRule>
  </conditionalFormatting>
  <conditionalFormatting sqref="AR17">
    <cfRule type="cellIs" dxfId="29987" priority="89468" stopIfTrue="1" operator="greaterThanOrEqual">
      <formula>0.5</formula>
    </cfRule>
  </conditionalFormatting>
  <conditionalFormatting sqref="AR18">
    <cfRule type="cellIs" dxfId="29986" priority="89469" stopIfTrue="1" operator="equal">
      <formula>-1</formula>
    </cfRule>
  </conditionalFormatting>
  <conditionalFormatting sqref="AR18">
    <cfRule type="cellIs" dxfId="29985" priority="89470" stopIfTrue="1" operator="lessThan">
      <formula>0.5</formula>
    </cfRule>
  </conditionalFormatting>
  <conditionalFormatting sqref="AR18">
    <cfRule type="cellIs" dxfId="29984" priority="89471" stopIfTrue="1" operator="greaterThanOrEqual">
      <formula>0.5</formula>
    </cfRule>
  </conditionalFormatting>
  <conditionalFormatting sqref="AR19">
    <cfRule type="cellIs" dxfId="29983" priority="89472" stopIfTrue="1" operator="equal">
      <formula>-1</formula>
    </cfRule>
  </conditionalFormatting>
  <conditionalFormatting sqref="AR19">
    <cfRule type="cellIs" dxfId="29982" priority="89473" stopIfTrue="1" operator="lessThan">
      <formula>0.5</formula>
    </cfRule>
  </conditionalFormatting>
  <conditionalFormatting sqref="AR19">
    <cfRule type="cellIs" dxfId="29981" priority="89474" stopIfTrue="1" operator="greaterThanOrEqual">
      <formula>0.5</formula>
    </cfRule>
  </conditionalFormatting>
  <conditionalFormatting sqref="AR20">
    <cfRule type="cellIs" dxfId="29980" priority="89475" stopIfTrue="1" operator="equal">
      <formula>-1</formula>
    </cfRule>
  </conditionalFormatting>
  <conditionalFormatting sqref="AR20">
    <cfRule type="cellIs" dxfId="29979" priority="89476" stopIfTrue="1" operator="lessThan">
      <formula>0.5</formula>
    </cfRule>
  </conditionalFormatting>
  <conditionalFormatting sqref="AR20">
    <cfRule type="cellIs" dxfId="29978" priority="89477" stopIfTrue="1" operator="greaterThanOrEqual">
      <formula>0.5</formula>
    </cfRule>
  </conditionalFormatting>
  <conditionalFormatting sqref="AR21">
    <cfRule type="cellIs" dxfId="29977" priority="89478" stopIfTrue="1" operator="equal">
      <formula>-1</formula>
    </cfRule>
  </conditionalFormatting>
  <conditionalFormatting sqref="AR21">
    <cfRule type="cellIs" dxfId="29976" priority="89479" stopIfTrue="1" operator="lessThan">
      <formula>0.5</formula>
    </cfRule>
  </conditionalFormatting>
  <conditionalFormatting sqref="AR21">
    <cfRule type="cellIs" dxfId="29975" priority="89480" stopIfTrue="1" operator="greaterThanOrEqual">
      <formula>0.5</formula>
    </cfRule>
  </conditionalFormatting>
  <conditionalFormatting sqref="AR22">
    <cfRule type="cellIs" dxfId="29974" priority="89481" stopIfTrue="1" operator="equal">
      <formula>-1</formula>
    </cfRule>
  </conditionalFormatting>
  <conditionalFormatting sqref="AR22">
    <cfRule type="cellIs" dxfId="29973" priority="89482" stopIfTrue="1" operator="lessThan">
      <formula>0.5</formula>
    </cfRule>
  </conditionalFormatting>
  <conditionalFormatting sqref="AR22">
    <cfRule type="cellIs" dxfId="29972" priority="89483" stopIfTrue="1" operator="greaterThanOrEqual">
      <formula>0.5</formula>
    </cfRule>
  </conditionalFormatting>
  <conditionalFormatting sqref="AR23">
    <cfRule type="cellIs" dxfId="29971" priority="89484" stopIfTrue="1" operator="equal">
      <formula>-1</formula>
    </cfRule>
  </conditionalFormatting>
  <conditionalFormatting sqref="AR23">
    <cfRule type="cellIs" dxfId="29970" priority="89485" stopIfTrue="1" operator="lessThan">
      <formula>0.5</formula>
    </cfRule>
  </conditionalFormatting>
  <conditionalFormatting sqref="AR23">
    <cfRule type="cellIs" dxfId="29969" priority="89486" stopIfTrue="1" operator="greaterThanOrEqual">
      <formula>0.5</formula>
    </cfRule>
  </conditionalFormatting>
  <conditionalFormatting sqref="AR24">
    <cfRule type="cellIs" dxfId="29968" priority="89487" stopIfTrue="1" operator="equal">
      <formula>-1</formula>
    </cfRule>
  </conditionalFormatting>
  <conditionalFormatting sqref="AR24">
    <cfRule type="cellIs" dxfId="29967" priority="89488" stopIfTrue="1" operator="lessThan">
      <formula>0.5</formula>
    </cfRule>
  </conditionalFormatting>
  <conditionalFormatting sqref="AR24">
    <cfRule type="cellIs" dxfId="29966" priority="89489" stopIfTrue="1" operator="greaterThanOrEqual">
      <formula>0.5</formula>
    </cfRule>
  </conditionalFormatting>
  <conditionalFormatting sqref="AR25">
    <cfRule type="cellIs" dxfId="29965" priority="89490" stopIfTrue="1" operator="equal">
      <formula>-1</formula>
    </cfRule>
  </conditionalFormatting>
  <conditionalFormatting sqref="AR25">
    <cfRule type="cellIs" dxfId="29964" priority="89491" stopIfTrue="1" operator="lessThan">
      <formula>0.5</formula>
    </cfRule>
  </conditionalFormatting>
  <conditionalFormatting sqref="AR25">
    <cfRule type="cellIs" dxfId="29963" priority="89492" stopIfTrue="1" operator="greaterThanOrEqual">
      <formula>0.5</formula>
    </cfRule>
  </conditionalFormatting>
  <conditionalFormatting sqref="AR26">
    <cfRule type="cellIs" dxfId="29962" priority="89493" stopIfTrue="1" operator="equal">
      <formula>-1</formula>
    </cfRule>
  </conditionalFormatting>
  <conditionalFormatting sqref="AR26">
    <cfRule type="cellIs" dxfId="29961" priority="89494" stopIfTrue="1" operator="lessThan">
      <formula>0.5</formula>
    </cfRule>
  </conditionalFormatting>
  <conditionalFormatting sqref="AR26">
    <cfRule type="cellIs" dxfId="29960" priority="89495" stopIfTrue="1" operator="greaterThanOrEqual">
      <formula>0.5</formula>
    </cfRule>
  </conditionalFormatting>
  <conditionalFormatting sqref="AR27">
    <cfRule type="cellIs" dxfId="29959" priority="89496" stopIfTrue="1" operator="equal">
      <formula>-1</formula>
    </cfRule>
  </conditionalFormatting>
  <conditionalFormatting sqref="AR27">
    <cfRule type="cellIs" dxfId="29958" priority="89497" stopIfTrue="1" operator="lessThan">
      <formula>0.5</formula>
    </cfRule>
  </conditionalFormatting>
  <conditionalFormatting sqref="AR27">
    <cfRule type="cellIs" dxfId="29957" priority="89498" stopIfTrue="1" operator="greaterThanOrEqual">
      <formula>0.5</formula>
    </cfRule>
  </conditionalFormatting>
  <conditionalFormatting sqref="AR28">
    <cfRule type="cellIs" dxfId="29956" priority="89499" stopIfTrue="1" operator="equal">
      <formula>-1</formula>
    </cfRule>
  </conditionalFormatting>
  <conditionalFormatting sqref="AR28">
    <cfRule type="cellIs" dxfId="29955" priority="89500" stopIfTrue="1" operator="lessThan">
      <formula>0.5</formula>
    </cfRule>
  </conditionalFormatting>
  <conditionalFormatting sqref="AR28">
    <cfRule type="cellIs" dxfId="29954" priority="89501" stopIfTrue="1" operator="greaterThanOrEqual">
      <formula>0.5</formula>
    </cfRule>
  </conditionalFormatting>
  <conditionalFormatting sqref="AR29">
    <cfRule type="cellIs" dxfId="29953" priority="89502" stopIfTrue="1" operator="equal">
      <formula>-1</formula>
    </cfRule>
  </conditionalFormatting>
  <conditionalFormatting sqref="AR29">
    <cfRule type="cellIs" dxfId="29952" priority="89503" stopIfTrue="1" operator="lessThan">
      <formula>0.5</formula>
    </cfRule>
  </conditionalFormatting>
  <conditionalFormatting sqref="AR29">
    <cfRule type="cellIs" dxfId="29951" priority="89504" stopIfTrue="1" operator="greaterThanOrEqual">
      <formula>0.5</formula>
    </cfRule>
  </conditionalFormatting>
  <conditionalFormatting sqref="AR30">
    <cfRule type="cellIs" dxfId="29950" priority="89505" stopIfTrue="1" operator="equal">
      <formula>-1</formula>
    </cfRule>
  </conditionalFormatting>
  <conditionalFormatting sqref="AR30">
    <cfRule type="cellIs" dxfId="29949" priority="89506" stopIfTrue="1" operator="lessThan">
      <formula>0.5</formula>
    </cfRule>
  </conditionalFormatting>
  <conditionalFormatting sqref="AR30">
    <cfRule type="cellIs" dxfId="29948" priority="89507" stopIfTrue="1" operator="greaterThanOrEqual">
      <formula>0.5</formula>
    </cfRule>
  </conditionalFormatting>
  <conditionalFormatting sqref="AR31">
    <cfRule type="cellIs" dxfId="29947" priority="89508" stopIfTrue="1" operator="equal">
      <formula>-1</formula>
    </cfRule>
  </conditionalFormatting>
  <conditionalFormatting sqref="AR31">
    <cfRule type="cellIs" dxfId="29946" priority="89509" stopIfTrue="1" operator="lessThan">
      <formula>0.5</formula>
    </cfRule>
  </conditionalFormatting>
  <conditionalFormatting sqref="AR31">
    <cfRule type="cellIs" dxfId="29945" priority="89510" stopIfTrue="1" operator="greaterThanOrEqual">
      <formula>0.5</formula>
    </cfRule>
  </conditionalFormatting>
  <conditionalFormatting sqref="AR32">
    <cfRule type="cellIs" dxfId="29944" priority="89511" stopIfTrue="1" operator="equal">
      <formula>-1</formula>
    </cfRule>
  </conditionalFormatting>
  <conditionalFormatting sqref="AR32">
    <cfRule type="cellIs" dxfId="29943" priority="89512" stopIfTrue="1" operator="lessThan">
      <formula>0.5</formula>
    </cfRule>
  </conditionalFormatting>
  <conditionalFormatting sqref="AR32">
    <cfRule type="cellIs" dxfId="29942" priority="89513" stopIfTrue="1" operator="greaterThanOrEqual">
      <formula>0.5</formula>
    </cfRule>
  </conditionalFormatting>
  <conditionalFormatting sqref="AR33">
    <cfRule type="cellIs" dxfId="29941" priority="89514" stopIfTrue="1" operator="equal">
      <formula>-1</formula>
    </cfRule>
  </conditionalFormatting>
  <conditionalFormatting sqref="AR33">
    <cfRule type="cellIs" dxfId="29940" priority="89515" stopIfTrue="1" operator="lessThan">
      <formula>0.5</formula>
    </cfRule>
  </conditionalFormatting>
  <conditionalFormatting sqref="AR33">
    <cfRule type="cellIs" dxfId="29939" priority="89516" stopIfTrue="1" operator="greaterThanOrEqual">
      <formula>0.5</formula>
    </cfRule>
  </conditionalFormatting>
  <conditionalFormatting sqref="AR34">
    <cfRule type="cellIs" dxfId="29938" priority="89517" stopIfTrue="1" operator="equal">
      <formula>-1</formula>
    </cfRule>
  </conditionalFormatting>
  <conditionalFormatting sqref="AR34">
    <cfRule type="cellIs" dxfId="29937" priority="89518" stopIfTrue="1" operator="lessThan">
      <formula>0.5</formula>
    </cfRule>
  </conditionalFormatting>
  <conditionalFormatting sqref="AR34">
    <cfRule type="cellIs" dxfId="29936" priority="89519" stopIfTrue="1" operator="greaterThanOrEqual">
      <formula>0.5</formula>
    </cfRule>
  </conditionalFormatting>
  <conditionalFormatting sqref="AR35">
    <cfRule type="cellIs" dxfId="29935" priority="89520" stopIfTrue="1" operator="equal">
      <formula>-1</formula>
    </cfRule>
  </conditionalFormatting>
  <conditionalFormatting sqref="AR35">
    <cfRule type="cellIs" dxfId="29934" priority="89521" stopIfTrue="1" operator="lessThan">
      <formula>0.5</formula>
    </cfRule>
  </conditionalFormatting>
  <conditionalFormatting sqref="AR35">
    <cfRule type="cellIs" dxfId="29933" priority="89522" stopIfTrue="1" operator="greaterThanOrEqual">
      <formula>0.5</formula>
    </cfRule>
  </conditionalFormatting>
  <conditionalFormatting sqref="AR36">
    <cfRule type="cellIs" dxfId="29932" priority="89523" stopIfTrue="1" operator="equal">
      <formula>-1</formula>
    </cfRule>
  </conditionalFormatting>
  <conditionalFormatting sqref="AR36">
    <cfRule type="cellIs" dxfId="29931" priority="89524" stopIfTrue="1" operator="lessThan">
      <formula>0.5</formula>
    </cfRule>
  </conditionalFormatting>
  <conditionalFormatting sqref="AR36">
    <cfRule type="cellIs" dxfId="29930" priority="89525" stopIfTrue="1" operator="greaterThanOrEqual">
      <formula>0.5</formula>
    </cfRule>
  </conditionalFormatting>
  <conditionalFormatting sqref="AR37">
    <cfRule type="cellIs" dxfId="29929" priority="89526" stopIfTrue="1" operator="equal">
      <formula>-1</formula>
    </cfRule>
  </conditionalFormatting>
  <conditionalFormatting sqref="AR37">
    <cfRule type="cellIs" dxfId="29928" priority="89527" stopIfTrue="1" operator="lessThan">
      <formula>0.5</formula>
    </cfRule>
  </conditionalFormatting>
  <conditionalFormatting sqref="AR37">
    <cfRule type="cellIs" dxfId="29927" priority="89528" stopIfTrue="1" operator="greaterThanOrEqual">
      <formula>0.5</formula>
    </cfRule>
  </conditionalFormatting>
  <conditionalFormatting sqref="AT17">
    <cfRule type="cellIs" dxfId="29926" priority="89529" stopIfTrue="1" operator="equal">
      <formula>-1</formula>
    </cfRule>
  </conditionalFormatting>
  <conditionalFormatting sqref="AT17">
    <cfRule type="cellIs" dxfId="29925" priority="89530" stopIfTrue="1" operator="lessThan">
      <formula>0.5</formula>
    </cfRule>
  </conditionalFormatting>
  <conditionalFormatting sqref="AT17">
    <cfRule type="cellIs" dxfId="29924" priority="89531" stopIfTrue="1" operator="greaterThanOrEqual">
      <formula>0.5</formula>
    </cfRule>
  </conditionalFormatting>
  <conditionalFormatting sqref="AT18">
    <cfRule type="cellIs" dxfId="29923" priority="89532" stopIfTrue="1" operator="equal">
      <formula>-1</formula>
    </cfRule>
  </conditionalFormatting>
  <conditionalFormatting sqref="AT18">
    <cfRule type="cellIs" dxfId="29922" priority="89533" stopIfTrue="1" operator="lessThan">
      <formula>0.5</formula>
    </cfRule>
  </conditionalFormatting>
  <conditionalFormatting sqref="AT18">
    <cfRule type="cellIs" dxfId="29921" priority="89534" stopIfTrue="1" operator="greaterThanOrEqual">
      <formula>0.5</formula>
    </cfRule>
  </conditionalFormatting>
  <conditionalFormatting sqref="AT19">
    <cfRule type="cellIs" dxfId="29920" priority="89535" stopIfTrue="1" operator="equal">
      <formula>-1</formula>
    </cfRule>
  </conditionalFormatting>
  <conditionalFormatting sqref="AT19">
    <cfRule type="cellIs" dxfId="29919" priority="89536" stopIfTrue="1" operator="lessThan">
      <formula>0.5</formula>
    </cfRule>
  </conditionalFormatting>
  <conditionalFormatting sqref="AT19">
    <cfRule type="cellIs" dxfId="29918" priority="89537" stopIfTrue="1" operator="greaterThanOrEqual">
      <formula>0.5</formula>
    </cfRule>
  </conditionalFormatting>
  <conditionalFormatting sqref="AT20">
    <cfRule type="cellIs" dxfId="29917" priority="89538" stopIfTrue="1" operator="equal">
      <formula>-1</formula>
    </cfRule>
  </conditionalFormatting>
  <conditionalFormatting sqref="AT20">
    <cfRule type="cellIs" dxfId="29916" priority="89539" stopIfTrue="1" operator="lessThan">
      <formula>0.5</formula>
    </cfRule>
  </conditionalFormatting>
  <conditionalFormatting sqref="AT20">
    <cfRule type="cellIs" dxfId="29915" priority="89540" stopIfTrue="1" operator="greaterThanOrEqual">
      <formula>0.5</formula>
    </cfRule>
  </conditionalFormatting>
  <conditionalFormatting sqref="AT21">
    <cfRule type="cellIs" dxfId="29914" priority="89541" stopIfTrue="1" operator="equal">
      <formula>-1</formula>
    </cfRule>
  </conditionalFormatting>
  <conditionalFormatting sqref="AT21">
    <cfRule type="cellIs" dxfId="29913" priority="89542" stopIfTrue="1" operator="lessThan">
      <formula>0.5</formula>
    </cfRule>
  </conditionalFormatting>
  <conditionalFormatting sqref="AT21">
    <cfRule type="cellIs" dxfId="29912" priority="89543" stopIfTrue="1" operator="greaterThanOrEqual">
      <formula>0.5</formula>
    </cfRule>
  </conditionalFormatting>
  <conditionalFormatting sqref="AT22">
    <cfRule type="cellIs" dxfId="29911" priority="89544" stopIfTrue="1" operator="equal">
      <formula>-1</formula>
    </cfRule>
  </conditionalFormatting>
  <conditionalFormatting sqref="AT22">
    <cfRule type="cellIs" dxfId="29910" priority="89545" stopIfTrue="1" operator="lessThan">
      <formula>0.5</formula>
    </cfRule>
  </conditionalFormatting>
  <conditionalFormatting sqref="AT22">
    <cfRule type="cellIs" dxfId="29909" priority="89546" stopIfTrue="1" operator="greaterThanOrEqual">
      <formula>0.5</formula>
    </cfRule>
  </conditionalFormatting>
  <conditionalFormatting sqref="AT23">
    <cfRule type="cellIs" dxfId="29908" priority="89547" stopIfTrue="1" operator="equal">
      <formula>-1</formula>
    </cfRule>
  </conditionalFormatting>
  <conditionalFormatting sqref="AT23">
    <cfRule type="cellIs" dxfId="29907" priority="89548" stopIfTrue="1" operator="lessThan">
      <formula>0.5</formula>
    </cfRule>
  </conditionalFormatting>
  <conditionalFormatting sqref="AT23">
    <cfRule type="cellIs" dxfId="29906" priority="89549" stopIfTrue="1" operator="greaterThanOrEqual">
      <formula>0.5</formula>
    </cfRule>
  </conditionalFormatting>
  <conditionalFormatting sqref="AT24">
    <cfRule type="cellIs" dxfId="29905" priority="89550" stopIfTrue="1" operator="equal">
      <formula>-1</formula>
    </cfRule>
  </conditionalFormatting>
  <conditionalFormatting sqref="AT24">
    <cfRule type="cellIs" dxfId="29904" priority="89551" stopIfTrue="1" operator="lessThan">
      <formula>0.5</formula>
    </cfRule>
  </conditionalFormatting>
  <conditionalFormatting sqref="AT24">
    <cfRule type="cellIs" dxfId="29903" priority="89552" stopIfTrue="1" operator="greaterThanOrEqual">
      <formula>0.5</formula>
    </cfRule>
  </conditionalFormatting>
  <conditionalFormatting sqref="AT25">
    <cfRule type="cellIs" dxfId="29902" priority="89553" stopIfTrue="1" operator="equal">
      <formula>-1</formula>
    </cfRule>
  </conditionalFormatting>
  <conditionalFormatting sqref="AT25">
    <cfRule type="cellIs" dxfId="29901" priority="89554" stopIfTrue="1" operator="lessThan">
      <formula>0.5</formula>
    </cfRule>
  </conditionalFormatting>
  <conditionalFormatting sqref="AT25">
    <cfRule type="cellIs" dxfId="29900" priority="89555" stopIfTrue="1" operator="greaterThanOrEqual">
      <formula>0.5</formula>
    </cfRule>
  </conditionalFormatting>
  <conditionalFormatting sqref="AT26">
    <cfRule type="cellIs" dxfId="29899" priority="89556" stopIfTrue="1" operator="equal">
      <formula>-1</formula>
    </cfRule>
  </conditionalFormatting>
  <conditionalFormatting sqref="AT26">
    <cfRule type="cellIs" dxfId="29898" priority="89557" stopIfTrue="1" operator="lessThan">
      <formula>0.5</formula>
    </cfRule>
  </conditionalFormatting>
  <conditionalFormatting sqref="AT26">
    <cfRule type="cellIs" dxfId="29897" priority="89558" stopIfTrue="1" operator="greaterThanOrEqual">
      <formula>0.5</formula>
    </cfRule>
  </conditionalFormatting>
  <conditionalFormatting sqref="AT27">
    <cfRule type="cellIs" dxfId="29896" priority="89559" stopIfTrue="1" operator="equal">
      <formula>-1</formula>
    </cfRule>
  </conditionalFormatting>
  <conditionalFormatting sqref="AT27">
    <cfRule type="cellIs" dxfId="29895" priority="89560" stopIfTrue="1" operator="lessThan">
      <formula>0.5</formula>
    </cfRule>
  </conditionalFormatting>
  <conditionalFormatting sqref="AT27">
    <cfRule type="cellIs" dxfId="29894" priority="89561" stopIfTrue="1" operator="greaterThanOrEqual">
      <formula>0.5</formula>
    </cfRule>
  </conditionalFormatting>
  <conditionalFormatting sqref="AT28">
    <cfRule type="cellIs" dxfId="29893" priority="89562" stopIfTrue="1" operator="equal">
      <formula>-1</formula>
    </cfRule>
  </conditionalFormatting>
  <conditionalFormatting sqref="AT28">
    <cfRule type="cellIs" dxfId="29892" priority="89563" stopIfTrue="1" operator="lessThan">
      <formula>0.5</formula>
    </cfRule>
  </conditionalFormatting>
  <conditionalFormatting sqref="AT28">
    <cfRule type="cellIs" dxfId="29891" priority="89564" stopIfTrue="1" operator="greaterThanOrEqual">
      <formula>0.5</formula>
    </cfRule>
  </conditionalFormatting>
  <conditionalFormatting sqref="AT29">
    <cfRule type="cellIs" dxfId="29890" priority="89565" stopIfTrue="1" operator="equal">
      <formula>-1</formula>
    </cfRule>
  </conditionalFormatting>
  <conditionalFormatting sqref="AT29">
    <cfRule type="cellIs" dxfId="29889" priority="89566" stopIfTrue="1" operator="lessThan">
      <formula>0.5</formula>
    </cfRule>
  </conditionalFormatting>
  <conditionalFormatting sqref="AT29">
    <cfRule type="cellIs" dxfId="29888" priority="89567" stopIfTrue="1" operator="greaterThanOrEqual">
      <formula>0.5</formula>
    </cfRule>
  </conditionalFormatting>
  <conditionalFormatting sqref="AT30">
    <cfRule type="cellIs" dxfId="29887" priority="89568" stopIfTrue="1" operator="equal">
      <formula>-1</formula>
    </cfRule>
  </conditionalFormatting>
  <conditionalFormatting sqref="AT30">
    <cfRule type="cellIs" dxfId="29886" priority="89569" stopIfTrue="1" operator="lessThan">
      <formula>0.5</formula>
    </cfRule>
  </conditionalFormatting>
  <conditionalFormatting sqref="AT30">
    <cfRule type="cellIs" dxfId="29885" priority="89570" stopIfTrue="1" operator="greaterThanOrEqual">
      <formula>0.5</formula>
    </cfRule>
  </conditionalFormatting>
  <conditionalFormatting sqref="AT31">
    <cfRule type="cellIs" dxfId="29884" priority="89571" stopIfTrue="1" operator="equal">
      <formula>-1</formula>
    </cfRule>
  </conditionalFormatting>
  <conditionalFormatting sqref="AT31">
    <cfRule type="cellIs" dxfId="29883" priority="89572" stopIfTrue="1" operator="lessThan">
      <formula>0.5</formula>
    </cfRule>
  </conditionalFormatting>
  <conditionalFormatting sqref="AT31">
    <cfRule type="cellIs" dxfId="29882" priority="89573" stopIfTrue="1" operator="greaterThanOrEqual">
      <formula>0.5</formula>
    </cfRule>
  </conditionalFormatting>
  <conditionalFormatting sqref="AT32">
    <cfRule type="cellIs" dxfId="29881" priority="89574" stopIfTrue="1" operator="equal">
      <formula>-1</formula>
    </cfRule>
  </conditionalFormatting>
  <conditionalFormatting sqref="AT32">
    <cfRule type="cellIs" dxfId="29880" priority="89575" stopIfTrue="1" operator="lessThan">
      <formula>0.5</formula>
    </cfRule>
  </conditionalFormatting>
  <conditionalFormatting sqref="AT32">
    <cfRule type="cellIs" dxfId="29879" priority="89576" stopIfTrue="1" operator="greaterThanOrEqual">
      <formula>0.5</formula>
    </cfRule>
  </conditionalFormatting>
  <conditionalFormatting sqref="AT33">
    <cfRule type="cellIs" dxfId="29878" priority="89577" stopIfTrue="1" operator="equal">
      <formula>-1</formula>
    </cfRule>
  </conditionalFormatting>
  <conditionalFormatting sqref="AT33">
    <cfRule type="cellIs" dxfId="29877" priority="89578" stopIfTrue="1" operator="lessThan">
      <formula>0.5</formula>
    </cfRule>
  </conditionalFormatting>
  <conditionalFormatting sqref="AT33">
    <cfRule type="cellIs" dxfId="29876" priority="89579" stopIfTrue="1" operator="greaterThanOrEqual">
      <formula>0.5</formula>
    </cfRule>
  </conditionalFormatting>
  <conditionalFormatting sqref="AT34">
    <cfRule type="cellIs" dxfId="29875" priority="89580" stopIfTrue="1" operator="equal">
      <formula>-1</formula>
    </cfRule>
  </conditionalFormatting>
  <conditionalFormatting sqref="AT34">
    <cfRule type="cellIs" dxfId="29874" priority="89581" stopIfTrue="1" operator="lessThan">
      <formula>0.5</formula>
    </cfRule>
  </conditionalFormatting>
  <conditionalFormatting sqref="AT34">
    <cfRule type="cellIs" dxfId="29873" priority="89582" stopIfTrue="1" operator="greaterThanOrEqual">
      <formula>0.5</formula>
    </cfRule>
  </conditionalFormatting>
  <conditionalFormatting sqref="AT35">
    <cfRule type="cellIs" dxfId="29872" priority="89583" stopIfTrue="1" operator="equal">
      <formula>-1</formula>
    </cfRule>
  </conditionalFormatting>
  <conditionalFormatting sqref="AT35">
    <cfRule type="cellIs" dxfId="29871" priority="89584" stopIfTrue="1" operator="lessThan">
      <formula>0.5</formula>
    </cfRule>
  </conditionalFormatting>
  <conditionalFormatting sqref="AT35">
    <cfRule type="cellIs" dxfId="29870" priority="89585" stopIfTrue="1" operator="greaterThanOrEqual">
      <formula>0.5</formula>
    </cfRule>
  </conditionalFormatting>
  <conditionalFormatting sqref="AT36">
    <cfRule type="cellIs" dxfId="29869" priority="89586" stopIfTrue="1" operator="equal">
      <formula>-1</formula>
    </cfRule>
  </conditionalFormatting>
  <conditionalFormatting sqref="AT36">
    <cfRule type="cellIs" dxfId="29868" priority="89587" stopIfTrue="1" operator="lessThan">
      <formula>0.5</formula>
    </cfRule>
  </conditionalFormatting>
  <conditionalFormatting sqref="AT36">
    <cfRule type="cellIs" dxfId="29867" priority="89588" stopIfTrue="1" operator="greaterThanOrEqual">
      <formula>0.5</formula>
    </cfRule>
  </conditionalFormatting>
  <conditionalFormatting sqref="AT37">
    <cfRule type="cellIs" dxfId="29866" priority="89589" stopIfTrue="1" operator="equal">
      <formula>-1</formula>
    </cfRule>
  </conditionalFormatting>
  <conditionalFormatting sqref="AT37">
    <cfRule type="cellIs" dxfId="29865" priority="89590" stopIfTrue="1" operator="lessThan">
      <formula>0.5</formula>
    </cfRule>
  </conditionalFormatting>
  <conditionalFormatting sqref="AT37">
    <cfRule type="cellIs" dxfId="29864" priority="89591" stopIfTrue="1" operator="greaterThanOrEqual">
      <formula>0.5</formula>
    </cfRule>
  </conditionalFormatting>
  <conditionalFormatting sqref="AV17">
    <cfRule type="cellIs" dxfId="29863" priority="89592" stopIfTrue="1" operator="equal">
      <formula>-1</formula>
    </cfRule>
  </conditionalFormatting>
  <conditionalFormatting sqref="AV17">
    <cfRule type="cellIs" dxfId="29862" priority="89593" stopIfTrue="1" operator="lessThan">
      <formula>0.5</formula>
    </cfRule>
  </conditionalFormatting>
  <conditionalFormatting sqref="AV17">
    <cfRule type="cellIs" dxfId="29861" priority="89594" stopIfTrue="1" operator="greaterThanOrEqual">
      <formula>0.5</formula>
    </cfRule>
  </conditionalFormatting>
  <conditionalFormatting sqref="AV18">
    <cfRule type="cellIs" dxfId="29860" priority="89595" stopIfTrue="1" operator="equal">
      <formula>-1</formula>
    </cfRule>
  </conditionalFormatting>
  <conditionalFormatting sqref="AV18">
    <cfRule type="cellIs" dxfId="29859" priority="89596" stopIfTrue="1" operator="lessThan">
      <formula>0.5</formula>
    </cfRule>
  </conditionalFormatting>
  <conditionalFormatting sqref="AV18">
    <cfRule type="cellIs" dxfId="29858" priority="89597" stopIfTrue="1" operator="greaterThanOrEqual">
      <formula>0.5</formula>
    </cfRule>
  </conditionalFormatting>
  <conditionalFormatting sqref="AV19">
    <cfRule type="cellIs" dxfId="29857" priority="89598" stopIfTrue="1" operator="equal">
      <formula>-1</formula>
    </cfRule>
  </conditionalFormatting>
  <conditionalFormatting sqref="AV19">
    <cfRule type="cellIs" dxfId="29856" priority="89599" stopIfTrue="1" operator="lessThan">
      <formula>0.5</formula>
    </cfRule>
  </conditionalFormatting>
  <conditionalFormatting sqref="AV19">
    <cfRule type="cellIs" dxfId="29855" priority="89600" stopIfTrue="1" operator="greaterThanOrEqual">
      <formula>0.5</formula>
    </cfRule>
  </conditionalFormatting>
  <conditionalFormatting sqref="AV20">
    <cfRule type="cellIs" dxfId="29854" priority="89601" stopIfTrue="1" operator="equal">
      <formula>-1</formula>
    </cfRule>
  </conditionalFormatting>
  <conditionalFormatting sqref="AV20">
    <cfRule type="cellIs" dxfId="29853" priority="89602" stopIfTrue="1" operator="lessThan">
      <formula>0.5</formula>
    </cfRule>
  </conditionalFormatting>
  <conditionalFormatting sqref="AV20">
    <cfRule type="cellIs" dxfId="29852" priority="89603" stopIfTrue="1" operator="greaterThanOrEqual">
      <formula>0.5</formula>
    </cfRule>
  </conditionalFormatting>
  <conditionalFormatting sqref="AV21">
    <cfRule type="cellIs" dxfId="29851" priority="89604" stopIfTrue="1" operator="equal">
      <formula>-1</formula>
    </cfRule>
  </conditionalFormatting>
  <conditionalFormatting sqref="AV21">
    <cfRule type="cellIs" dxfId="29850" priority="89605" stopIfTrue="1" operator="lessThan">
      <formula>0.5</formula>
    </cfRule>
  </conditionalFormatting>
  <conditionalFormatting sqref="AV21">
    <cfRule type="cellIs" dxfId="29849" priority="89606" stopIfTrue="1" operator="greaterThanOrEqual">
      <formula>0.5</formula>
    </cfRule>
  </conditionalFormatting>
  <conditionalFormatting sqref="AV22">
    <cfRule type="cellIs" dxfId="29848" priority="89607" stopIfTrue="1" operator="equal">
      <formula>-1</formula>
    </cfRule>
  </conditionalFormatting>
  <conditionalFormatting sqref="AV22">
    <cfRule type="cellIs" dxfId="29847" priority="89608" stopIfTrue="1" operator="lessThan">
      <formula>0.5</formula>
    </cfRule>
  </conditionalFormatting>
  <conditionalFormatting sqref="AV22">
    <cfRule type="cellIs" dxfId="29846" priority="89609" stopIfTrue="1" operator="greaterThanOrEqual">
      <formula>0.5</formula>
    </cfRule>
  </conditionalFormatting>
  <conditionalFormatting sqref="AV23">
    <cfRule type="cellIs" dxfId="29845" priority="89610" stopIfTrue="1" operator="equal">
      <formula>-1</formula>
    </cfRule>
  </conditionalFormatting>
  <conditionalFormatting sqref="AV23">
    <cfRule type="cellIs" dxfId="29844" priority="89611" stopIfTrue="1" operator="lessThan">
      <formula>0.5</formula>
    </cfRule>
  </conditionalFormatting>
  <conditionalFormatting sqref="AV23">
    <cfRule type="cellIs" dxfId="29843" priority="89612" stopIfTrue="1" operator="greaterThanOrEqual">
      <formula>0.5</formula>
    </cfRule>
  </conditionalFormatting>
  <conditionalFormatting sqref="AV24">
    <cfRule type="cellIs" dxfId="29842" priority="89613" stopIfTrue="1" operator="equal">
      <formula>-1</formula>
    </cfRule>
  </conditionalFormatting>
  <conditionalFormatting sqref="AV24">
    <cfRule type="cellIs" dxfId="29841" priority="89614" stopIfTrue="1" operator="lessThan">
      <formula>0.5</formula>
    </cfRule>
  </conditionalFormatting>
  <conditionalFormatting sqref="AV24">
    <cfRule type="cellIs" dxfId="29840" priority="89615" stopIfTrue="1" operator="greaterThanOrEqual">
      <formula>0.5</formula>
    </cfRule>
  </conditionalFormatting>
  <conditionalFormatting sqref="AV25">
    <cfRule type="cellIs" dxfId="29839" priority="89616" stopIfTrue="1" operator="equal">
      <formula>-1</formula>
    </cfRule>
  </conditionalFormatting>
  <conditionalFormatting sqref="AV25">
    <cfRule type="cellIs" dxfId="29838" priority="89617" stopIfTrue="1" operator="lessThan">
      <formula>0.5</formula>
    </cfRule>
  </conditionalFormatting>
  <conditionalFormatting sqref="AV25">
    <cfRule type="cellIs" dxfId="29837" priority="89618" stopIfTrue="1" operator="greaterThanOrEqual">
      <formula>0.5</formula>
    </cfRule>
  </conditionalFormatting>
  <conditionalFormatting sqref="AV26">
    <cfRule type="cellIs" dxfId="29836" priority="89619" stopIfTrue="1" operator="equal">
      <formula>-1</formula>
    </cfRule>
  </conditionalFormatting>
  <conditionalFormatting sqref="AV26">
    <cfRule type="cellIs" dxfId="29835" priority="89620" stopIfTrue="1" operator="lessThan">
      <formula>0.5</formula>
    </cfRule>
  </conditionalFormatting>
  <conditionalFormatting sqref="AV26">
    <cfRule type="cellIs" dxfId="29834" priority="89621" stopIfTrue="1" operator="greaterThanOrEqual">
      <formula>0.5</formula>
    </cfRule>
  </conditionalFormatting>
  <conditionalFormatting sqref="AV27">
    <cfRule type="cellIs" dxfId="29833" priority="89622" stopIfTrue="1" operator="equal">
      <formula>-1</formula>
    </cfRule>
  </conditionalFormatting>
  <conditionalFormatting sqref="AV27">
    <cfRule type="cellIs" dxfId="29832" priority="89623" stopIfTrue="1" operator="lessThan">
      <formula>0.5</formula>
    </cfRule>
  </conditionalFormatting>
  <conditionalFormatting sqref="AV27">
    <cfRule type="cellIs" dxfId="29831" priority="89624" stopIfTrue="1" operator="greaterThanOrEqual">
      <formula>0.5</formula>
    </cfRule>
  </conditionalFormatting>
  <conditionalFormatting sqref="AV28">
    <cfRule type="cellIs" dxfId="29830" priority="89625" stopIfTrue="1" operator="equal">
      <formula>-1</formula>
    </cfRule>
  </conditionalFormatting>
  <conditionalFormatting sqref="AV28">
    <cfRule type="cellIs" dxfId="29829" priority="89626" stopIfTrue="1" operator="lessThan">
      <formula>0.5</formula>
    </cfRule>
  </conditionalFormatting>
  <conditionalFormatting sqref="AV28">
    <cfRule type="cellIs" dxfId="29828" priority="89627" stopIfTrue="1" operator="greaterThanOrEqual">
      <formula>0.5</formula>
    </cfRule>
  </conditionalFormatting>
  <conditionalFormatting sqref="AV29">
    <cfRule type="cellIs" dxfId="29827" priority="89628" stopIfTrue="1" operator="equal">
      <formula>-1</formula>
    </cfRule>
  </conditionalFormatting>
  <conditionalFormatting sqref="AV29">
    <cfRule type="cellIs" dxfId="29826" priority="89629" stopIfTrue="1" operator="lessThan">
      <formula>0.5</formula>
    </cfRule>
  </conditionalFormatting>
  <conditionalFormatting sqref="AV29">
    <cfRule type="cellIs" dxfId="29825" priority="89630" stopIfTrue="1" operator="greaterThanOrEqual">
      <formula>0.5</formula>
    </cfRule>
  </conditionalFormatting>
  <conditionalFormatting sqref="AV30">
    <cfRule type="cellIs" dxfId="29824" priority="89631" stopIfTrue="1" operator="equal">
      <formula>-1</formula>
    </cfRule>
  </conditionalFormatting>
  <conditionalFormatting sqref="AV30">
    <cfRule type="cellIs" dxfId="29823" priority="89632" stopIfTrue="1" operator="lessThan">
      <formula>0.5</formula>
    </cfRule>
  </conditionalFormatting>
  <conditionalFormatting sqref="AV30">
    <cfRule type="cellIs" dxfId="29822" priority="89633" stopIfTrue="1" operator="greaterThanOrEqual">
      <formula>0.5</formula>
    </cfRule>
  </conditionalFormatting>
  <conditionalFormatting sqref="AV31">
    <cfRule type="cellIs" dxfId="29821" priority="89634" stopIfTrue="1" operator="equal">
      <formula>-1</formula>
    </cfRule>
  </conditionalFormatting>
  <conditionalFormatting sqref="AV31">
    <cfRule type="cellIs" dxfId="29820" priority="89635" stopIfTrue="1" operator="lessThan">
      <formula>0.5</formula>
    </cfRule>
  </conditionalFormatting>
  <conditionalFormatting sqref="AV31">
    <cfRule type="cellIs" dxfId="29819" priority="89636" stopIfTrue="1" operator="greaterThanOrEqual">
      <formula>0.5</formula>
    </cfRule>
  </conditionalFormatting>
  <conditionalFormatting sqref="AV32">
    <cfRule type="cellIs" dxfId="29818" priority="89637" stopIfTrue="1" operator="equal">
      <formula>-1</formula>
    </cfRule>
  </conditionalFormatting>
  <conditionalFormatting sqref="AV32">
    <cfRule type="cellIs" dxfId="29817" priority="89638" stopIfTrue="1" operator="lessThan">
      <formula>0.5</formula>
    </cfRule>
  </conditionalFormatting>
  <conditionalFormatting sqref="AV32">
    <cfRule type="cellIs" dxfId="29816" priority="89639" stopIfTrue="1" operator="greaterThanOrEqual">
      <formula>0.5</formula>
    </cfRule>
  </conditionalFormatting>
  <conditionalFormatting sqref="AV33">
    <cfRule type="cellIs" dxfId="29815" priority="89640" stopIfTrue="1" operator="equal">
      <formula>-1</formula>
    </cfRule>
  </conditionalFormatting>
  <conditionalFormatting sqref="AV33">
    <cfRule type="cellIs" dxfId="29814" priority="89641" stopIfTrue="1" operator="lessThan">
      <formula>0.5</formula>
    </cfRule>
  </conditionalFormatting>
  <conditionalFormatting sqref="AV33">
    <cfRule type="cellIs" dxfId="29813" priority="89642" stopIfTrue="1" operator="greaterThanOrEqual">
      <formula>0.5</formula>
    </cfRule>
  </conditionalFormatting>
  <conditionalFormatting sqref="AV34">
    <cfRule type="cellIs" dxfId="29812" priority="89643" stopIfTrue="1" operator="equal">
      <formula>-1</formula>
    </cfRule>
  </conditionalFormatting>
  <conditionalFormatting sqref="AV34">
    <cfRule type="cellIs" dxfId="29811" priority="89644" stopIfTrue="1" operator="lessThan">
      <formula>0.5</formula>
    </cfRule>
  </conditionalFormatting>
  <conditionalFormatting sqref="AV34">
    <cfRule type="cellIs" dxfId="29810" priority="89645" stopIfTrue="1" operator="greaterThanOrEqual">
      <formula>0.5</formula>
    </cfRule>
  </conditionalFormatting>
  <conditionalFormatting sqref="AV35">
    <cfRule type="cellIs" dxfId="29809" priority="89646" stopIfTrue="1" operator="equal">
      <formula>-1</formula>
    </cfRule>
  </conditionalFormatting>
  <conditionalFormatting sqref="AV35">
    <cfRule type="cellIs" dxfId="29808" priority="89647" stopIfTrue="1" operator="lessThan">
      <formula>0.5</formula>
    </cfRule>
  </conditionalFormatting>
  <conditionalFormatting sqref="AV35">
    <cfRule type="cellIs" dxfId="29807" priority="89648" stopIfTrue="1" operator="greaterThanOrEqual">
      <formula>0.5</formula>
    </cfRule>
  </conditionalFormatting>
  <conditionalFormatting sqref="AV36">
    <cfRule type="cellIs" dxfId="29806" priority="89649" stopIfTrue="1" operator="equal">
      <formula>-1</formula>
    </cfRule>
  </conditionalFormatting>
  <conditionalFormatting sqref="AV36">
    <cfRule type="cellIs" dxfId="29805" priority="89650" stopIfTrue="1" operator="lessThan">
      <formula>0.5</formula>
    </cfRule>
  </conditionalFormatting>
  <conditionalFormatting sqref="AV36">
    <cfRule type="cellIs" dxfId="29804" priority="89651" stopIfTrue="1" operator="greaterThanOrEqual">
      <formula>0.5</formula>
    </cfRule>
  </conditionalFormatting>
  <conditionalFormatting sqref="AV37">
    <cfRule type="cellIs" dxfId="29803" priority="89652" stopIfTrue="1" operator="equal">
      <formula>-1</formula>
    </cfRule>
  </conditionalFormatting>
  <conditionalFormatting sqref="AV37">
    <cfRule type="cellIs" dxfId="29802" priority="89653" stopIfTrue="1" operator="lessThan">
      <formula>0.5</formula>
    </cfRule>
  </conditionalFormatting>
  <conditionalFormatting sqref="AV37">
    <cfRule type="cellIs" dxfId="29801" priority="89654" stopIfTrue="1" operator="greaterThanOrEqual">
      <formula>0.5</formula>
    </cfRule>
  </conditionalFormatting>
  <conditionalFormatting sqref="AX17">
    <cfRule type="cellIs" dxfId="29800" priority="89655" stopIfTrue="1" operator="equal">
      <formula>-1</formula>
    </cfRule>
  </conditionalFormatting>
  <conditionalFormatting sqref="AX17">
    <cfRule type="cellIs" dxfId="29799" priority="89656" stopIfTrue="1" operator="lessThan">
      <formula>0.5</formula>
    </cfRule>
  </conditionalFormatting>
  <conditionalFormatting sqref="AX17">
    <cfRule type="cellIs" dxfId="29798" priority="89657" stopIfTrue="1" operator="greaterThanOrEqual">
      <formula>0.5</formula>
    </cfRule>
  </conditionalFormatting>
  <conditionalFormatting sqref="AX18">
    <cfRule type="cellIs" dxfId="29797" priority="89658" stopIfTrue="1" operator="equal">
      <formula>-1</formula>
    </cfRule>
  </conditionalFormatting>
  <conditionalFormatting sqref="AX18">
    <cfRule type="cellIs" dxfId="29796" priority="89659" stopIfTrue="1" operator="lessThan">
      <formula>0.5</formula>
    </cfRule>
  </conditionalFormatting>
  <conditionalFormatting sqref="AX18">
    <cfRule type="cellIs" dxfId="29795" priority="89660" stopIfTrue="1" operator="greaterThanOrEqual">
      <formula>0.5</formula>
    </cfRule>
  </conditionalFormatting>
  <conditionalFormatting sqref="AX19">
    <cfRule type="cellIs" dxfId="29794" priority="89661" stopIfTrue="1" operator="equal">
      <formula>-1</formula>
    </cfRule>
  </conditionalFormatting>
  <conditionalFormatting sqref="AX19">
    <cfRule type="cellIs" dxfId="29793" priority="89662" stopIfTrue="1" operator="lessThan">
      <formula>0.5</formula>
    </cfRule>
  </conditionalFormatting>
  <conditionalFormatting sqref="AX19">
    <cfRule type="cellIs" dxfId="29792" priority="89663" stopIfTrue="1" operator="greaterThanOrEqual">
      <formula>0.5</formula>
    </cfRule>
  </conditionalFormatting>
  <conditionalFormatting sqref="AX20">
    <cfRule type="cellIs" dxfId="29791" priority="89664" stopIfTrue="1" operator="equal">
      <formula>-1</formula>
    </cfRule>
  </conditionalFormatting>
  <conditionalFormatting sqref="AX20">
    <cfRule type="cellIs" dxfId="29790" priority="89665" stopIfTrue="1" operator="lessThan">
      <formula>0.5</formula>
    </cfRule>
  </conditionalFormatting>
  <conditionalFormatting sqref="AX20">
    <cfRule type="cellIs" dxfId="29789" priority="89666" stopIfTrue="1" operator="greaterThanOrEqual">
      <formula>0.5</formula>
    </cfRule>
  </conditionalFormatting>
  <conditionalFormatting sqref="AX21">
    <cfRule type="cellIs" dxfId="29788" priority="89667" stopIfTrue="1" operator="equal">
      <formula>-1</formula>
    </cfRule>
  </conditionalFormatting>
  <conditionalFormatting sqref="AX21">
    <cfRule type="cellIs" dxfId="29787" priority="89668" stopIfTrue="1" operator="lessThan">
      <formula>0.5</formula>
    </cfRule>
  </conditionalFormatting>
  <conditionalFormatting sqref="AX21">
    <cfRule type="cellIs" dxfId="29786" priority="89669" stopIfTrue="1" operator="greaterThanOrEqual">
      <formula>0.5</formula>
    </cfRule>
  </conditionalFormatting>
  <conditionalFormatting sqref="AX22">
    <cfRule type="cellIs" dxfId="29785" priority="89670" stopIfTrue="1" operator="equal">
      <formula>-1</formula>
    </cfRule>
  </conditionalFormatting>
  <conditionalFormatting sqref="AX22">
    <cfRule type="cellIs" dxfId="29784" priority="89671" stopIfTrue="1" operator="lessThan">
      <formula>0.5</formula>
    </cfRule>
  </conditionalFormatting>
  <conditionalFormatting sqref="AX22">
    <cfRule type="cellIs" dxfId="29783" priority="89672" stopIfTrue="1" operator="greaterThanOrEqual">
      <formula>0.5</formula>
    </cfRule>
  </conditionalFormatting>
  <conditionalFormatting sqref="AX23">
    <cfRule type="cellIs" dxfId="29782" priority="89673" stopIfTrue="1" operator="equal">
      <formula>-1</formula>
    </cfRule>
  </conditionalFormatting>
  <conditionalFormatting sqref="AX23">
    <cfRule type="cellIs" dxfId="29781" priority="89674" stopIfTrue="1" operator="lessThan">
      <formula>0.5</formula>
    </cfRule>
  </conditionalFormatting>
  <conditionalFormatting sqref="AX23">
    <cfRule type="cellIs" dxfId="29780" priority="89675" stopIfTrue="1" operator="greaterThanOrEqual">
      <formula>0.5</formula>
    </cfRule>
  </conditionalFormatting>
  <conditionalFormatting sqref="AX24">
    <cfRule type="cellIs" dxfId="29779" priority="89676" stopIfTrue="1" operator="equal">
      <formula>-1</formula>
    </cfRule>
  </conditionalFormatting>
  <conditionalFormatting sqref="AX24">
    <cfRule type="cellIs" dxfId="29778" priority="89677" stopIfTrue="1" operator="lessThan">
      <formula>0.5</formula>
    </cfRule>
  </conditionalFormatting>
  <conditionalFormatting sqref="AX24">
    <cfRule type="cellIs" dxfId="29777" priority="89678" stopIfTrue="1" operator="greaterThanOrEqual">
      <formula>0.5</formula>
    </cfRule>
  </conditionalFormatting>
  <conditionalFormatting sqref="AX25">
    <cfRule type="cellIs" dxfId="29776" priority="89679" stopIfTrue="1" operator="equal">
      <formula>-1</formula>
    </cfRule>
  </conditionalFormatting>
  <conditionalFormatting sqref="AX25">
    <cfRule type="cellIs" dxfId="29775" priority="89680" stopIfTrue="1" operator="lessThan">
      <formula>0.5</formula>
    </cfRule>
  </conditionalFormatting>
  <conditionalFormatting sqref="AX25">
    <cfRule type="cellIs" dxfId="29774" priority="89681" stopIfTrue="1" operator="greaterThanOrEqual">
      <formula>0.5</formula>
    </cfRule>
  </conditionalFormatting>
  <conditionalFormatting sqref="AX26">
    <cfRule type="cellIs" dxfId="29773" priority="89682" stopIfTrue="1" operator="equal">
      <formula>-1</formula>
    </cfRule>
  </conditionalFormatting>
  <conditionalFormatting sqref="AX26">
    <cfRule type="cellIs" dxfId="29772" priority="89683" stopIfTrue="1" operator="lessThan">
      <formula>0.5</formula>
    </cfRule>
  </conditionalFormatting>
  <conditionalFormatting sqref="AX26">
    <cfRule type="cellIs" dxfId="29771" priority="89684" stopIfTrue="1" operator="greaterThanOrEqual">
      <formula>0.5</formula>
    </cfRule>
  </conditionalFormatting>
  <conditionalFormatting sqref="AX27">
    <cfRule type="cellIs" dxfId="29770" priority="89685" stopIfTrue="1" operator="equal">
      <formula>-1</formula>
    </cfRule>
  </conditionalFormatting>
  <conditionalFormatting sqref="AX27">
    <cfRule type="cellIs" dxfId="29769" priority="89686" stopIfTrue="1" operator="lessThan">
      <formula>0.5</formula>
    </cfRule>
  </conditionalFormatting>
  <conditionalFormatting sqref="AX27">
    <cfRule type="cellIs" dxfId="29768" priority="89687" stopIfTrue="1" operator="greaterThanOrEqual">
      <formula>0.5</formula>
    </cfRule>
  </conditionalFormatting>
  <conditionalFormatting sqref="AX28">
    <cfRule type="cellIs" dxfId="29767" priority="89688" stopIfTrue="1" operator="equal">
      <formula>-1</formula>
    </cfRule>
  </conditionalFormatting>
  <conditionalFormatting sqref="AX28">
    <cfRule type="cellIs" dxfId="29766" priority="89689" stopIfTrue="1" operator="lessThan">
      <formula>0.5</formula>
    </cfRule>
  </conditionalFormatting>
  <conditionalFormatting sqref="AX28">
    <cfRule type="cellIs" dxfId="29765" priority="89690" stopIfTrue="1" operator="greaterThanOrEqual">
      <formula>0.5</formula>
    </cfRule>
  </conditionalFormatting>
  <conditionalFormatting sqref="AX29">
    <cfRule type="cellIs" dxfId="29764" priority="89691" stopIfTrue="1" operator="equal">
      <formula>-1</formula>
    </cfRule>
  </conditionalFormatting>
  <conditionalFormatting sqref="AX29">
    <cfRule type="cellIs" dxfId="29763" priority="89692" stopIfTrue="1" operator="lessThan">
      <formula>0.5</formula>
    </cfRule>
  </conditionalFormatting>
  <conditionalFormatting sqref="AX29">
    <cfRule type="cellIs" dxfId="29762" priority="89693" stopIfTrue="1" operator="greaterThanOrEqual">
      <formula>0.5</formula>
    </cfRule>
  </conditionalFormatting>
  <conditionalFormatting sqref="AX30">
    <cfRule type="cellIs" dxfId="29761" priority="89694" stopIfTrue="1" operator="equal">
      <formula>-1</formula>
    </cfRule>
  </conditionalFormatting>
  <conditionalFormatting sqref="AX30">
    <cfRule type="cellIs" dxfId="29760" priority="89695" stopIfTrue="1" operator="lessThan">
      <formula>0.5</formula>
    </cfRule>
  </conditionalFormatting>
  <conditionalFormatting sqref="AX30">
    <cfRule type="cellIs" dxfId="29759" priority="89696" stopIfTrue="1" operator="greaterThanOrEqual">
      <formula>0.5</formula>
    </cfRule>
  </conditionalFormatting>
  <conditionalFormatting sqref="AX31">
    <cfRule type="cellIs" dxfId="29758" priority="89697" stopIfTrue="1" operator="equal">
      <formula>-1</formula>
    </cfRule>
  </conditionalFormatting>
  <conditionalFormatting sqref="AX31">
    <cfRule type="cellIs" dxfId="29757" priority="89698" stopIfTrue="1" operator="lessThan">
      <formula>0.5</formula>
    </cfRule>
  </conditionalFormatting>
  <conditionalFormatting sqref="AX31">
    <cfRule type="cellIs" dxfId="29756" priority="89699" stopIfTrue="1" operator="greaterThanOrEqual">
      <formula>0.5</formula>
    </cfRule>
  </conditionalFormatting>
  <conditionalFormatting sqref="AX32">
    <cfRule type="cellIs" dxfId="29755" priority="89700" stopIfTrue="1" operator="equal">
      <formula>-1</formula>
    </cfRule>
  </conditionalFormatting>
  <conditionalFormatting sqref="AX32">
    <cfRule type="cellIs" dxfId="29754" priority="89701" stopIfTrue="1" operator="lessThan">
      <formula>0.5</formula>
    </cfRule>
  </conditionalFormatting>
  <conditionalFormatting sqref="AX32">
    <cfRule type="cellIs" dxfId="29753" priority="89702" stopIfTrue="1" operator="greaterThanOrEqual">
      <formula>0.5</formula>
    </cfRule>
  </conditionalFormatting>
  <conditionalFormatting sqref="AX33">
    <cfRule type="cellIs" dxfId="29752" priority="89703" stopIfTrue="1" operator="equal">
      <formula>-1</formula>
    </cfRule>
  </conditionalFormatting>
  <conditionalFormatting sqref="AX33">
    <cfRule type="cellIs" dxfId="29751" priority="89704" stopIfTrue="1" operator="lessThan">
      <formula>0.5</formula>
    </cfRule>
  </conditionalFormatting>
  <conditionalFormatting sqref="AX33">
    <cfRule type="cellIs" dxfId="29750" priority="89705" stopIfTrue="1" operator="greaterThanOrEqual">
      <formula>0.5</formula>
    </cfRule>
  </conditionalFormatting>
  <conditionalFormatting sqref="AX34">
    <cfRule type="cellIs" dxfId="29749" priority="89706" stopIfTrue="1" operator="equal">
      <formula>-1</formula>
    </cfRule>
  </conditionalFormatting>
  <conditionalFormatting sqref="AX34">
    <cfRule type="cellIs" dxfId="29748" priority="89707" stopIfTrue="1" operator="lessThan">
      <formula>0.5</formula>
    </cfRule>
  </conditionalFormatting>
  <conditionalFormatting sqref="AX34">
    <cfRule type="cellIs" dxfId="29747" priority="89708" stopIfTrue="1" operator="greaterThanOrEqual">
      <formula>0.5</formula>
    </cfRule>
  </conditionalFormatting>
  <conditionalFormatting sqref="AX35">
    <cfRule type="cellIs" dxfId="29746" priority="89709" stopIfTrue="1" operator="equal">
      <formula>-1</formula>
    </cfRule>
  </conditionalFormatting>
  <conditionalFormatting sqref="AX35">
    <cfRule type="cellIs" dxfId="29745" priority="89710" stopIfTrue="1" operator="lessThan">
      <formula>0.5</formula>
    </cfRule>
  </conditionalFormatting>
  <conditionalFormatting sqref="AX35">
    <cfRule type="cellIs" dxfId="29744" priority="89711" stopIfTrue="1" operator="greaterThanOrEqual">
      <formula>0.5</formula>
    </cfRule>
  </conditionalFormatting>
  <conditionalFormatting sqref="AX36">
    <cfRule type="cellIs" dxfId="29743" priority="89712" stopIfTrue="1" operator="equal">
      <formula>-1</formula>
    </cfRule>
  </conditionalFormatting>
  <conditionalFormatting sqref="AX36">
    <cfRule type="cellIs" dxfId="29742" priority="89713" stopIfTrue="1" operator="lessThan">
      <formula>0.5</formula>
    </cfRule>
  </conditionalFormatting>
  <conditionalFormatting sqref="AX36">
    <cfRule type="cellIs" dxfId="29741" priority="89714" stopIfTrue="1" operator="greaterThanOrEqual">
      <formula>0.5</formula>
    </cfRule>
  </conditionalFormatting>
  <conditionalFormatting sqref="AX37">
    <cfRule type="cellIs" dxfId="29740" priority="89715" stopIfTrue="1" operator="equal">
      <formula>-1</formula>
    </cfRule>
  </conditionalFormatting>
  <conditionalFormatting sqref="AX37">
    <cfRule type="cellIs" dxfId="29739" priority="89716" stopIfTrue="1" operator="lessThan">
      <formula>0.5</formula>
    </cfRule>
  </conditionalFormatting>
  <conditionalFormatting sqref="AX37">
    <cfRule type="cellIs" dxfId="29738" priority="89717" stopIfTrue="1" operator="greaterThanOrEqual">
      <formula>0.5</formula>
    </cfRule>
  </conditionalFormatting>
  <conditionalFormatting sqref="AZ17">
    <cfRule type="cellIs" dxfId="29737" priority="89718" stopIfTrue="1" operator="equal">
      <formula>-1</formula>
    </cfRule>
  </conditionalFormatting>
  <conditionalFormatting sqref="AZ17">
    <cfRule type="cellIs" dxfId="29736" priority="89719" stopIfTrue="1" operator="lessThan">
      <formula>0.5</formula>
    </cfRule>
  </conditionalFormatting>
  <conditionalFormatting sqref="AZ17">
    <cfRule type="cellIs" dxfId="29735" priority="89720" stopIfTrue="1" operator="greaterThanOrEqual">
      <formula>0.5</formula>
    </cfRule>
  </conditionalFormatting>
  <conditionalFormatting sqref="AZ18">
    <cfRule type="cellIs" dxfId="29734" priority="89721" stopIfTrue="1" operator="equal">
      <formula>-1</formula>
    </cfRule>
  </conditionalFormatting>
  <conditionalFormatting sqref="AZ18">
    <cfRule type="cellIs" dxfId="29733" priority="89722" stopIfTrue="1" operator="lessThan">
      <formula>0.5</formula>
    </cfRule>
  </conditionalFormatting>
  <conditionalFormatting sqref="AZ18">
    <cfRule type="cellIs" dxfId="29732" priority="89723" stopIfTrue="1" operator="greaterThanOrEqual">
      <formula>0.5</formula>
    </cfRule>
  </conditionalFormatting>
  <conditionalFormatting sqref="AZ19">
    <cfRule type="cellIs" dxfId="29731" priority="89724" stopIfTrue="1" operator="equal">
      <formula>-1</formula>
    </cfRule>
  </conditionalFormatting>
  <conditionalFormatting sqref="AZ19">
    <cfRule type="cellIs" dxfId="29730" priority="89725" stopIfTrue="1" operator="lessThan">
      <formula>0.5</formula>
    </cfRule>
  </conditionalFormatting>
  <conditionalFormatting sqref="AZ19">
    <cfRule type="cellIs" dxfId="29729" priority="89726" stopIfTrue="1" operator="greaterThanOrEqual">
      <formula>0.5</formula>
    </cfRule>
  </conditionalFormatting>
  <conditionalFormatting sqref="AZ20">
    <cfRule type="cellIs" dxfId="29728" priority="89727" stopIfTrue="1" operator="equal">
      <formula>-1</formula>
    </cfRule>
  </conditionalFormatting>
  <conditionalFormatting sqref="AZ20">
    <cfRule type="cellIs" dxfId="29727" priority="89728" stopIfTrue="1" operator="lessThan">
      <formula>0.5</formula>
    </cfRule>
  </conditionalFormatting>
  <conditionalFormatting sqref="AZ20">
    <cfRule type="cellIs" dxfId="29726" priority="89729" stopIfTrue="1" operator="greaterThanOrEqual">
      <formula>0.5</formula>
    </cfRule>
  </conditionalFormatting>
  <conditionalFormatting sqref="AZ21">
    <cfRule type="cellIs" dxfId="29725" priority="89730" stopIfTrue="1" operator="equal">
      <formula>-1</formula>
    </cfRule>
  </conditionalFormatting>
  <conditionalFormatting sqref="AZ21">
    <cfRule type="cellIs" dxfId="29724" priority="89731" stopIfTrue="1" operator="lessThan">
      <formula>0.5</formula>
    </cfRule>
  </conditionalFormatting>
  <conditionalFormatting sqref="AZ21">
    <cfRule type="cellIs" dxfId="29723" priority="89732" stopIfTrue="1" operator="greaterThanOrEqual">
      <formula>0.5</formula>
    </cfRule>
  </conditionalFormatting>
  <conditionalFormatting sqref="AZ22">
    <cfRule type="cellIs" dxfId="29722" priority="89733" stopIfTrue="1" operator="equal">
      <formula>-1</formula>
    </cfRule>
  </conditionalFormatting>
  <conditionalFormatting sqref="AZ22">
    <cfRule type="cellIs" dxfId="29721" priority="89734" stopIfTrue="1" operator="lessThan">
      <formula>0.5</formula>
    </cfRule>
  </conditionalFormatting>
  <conditionalFormatting sqref="AZ22">
    <cfRule type="cellIs" dxfId="29720" priority="89735" stopIfTrue="1" operator="greaterThanOrEqual">
      <formula>0.5</formula>
    </cfRule>
  </conditionalFormatting>
  <conditionalFormatting sqref="AZ23">
    <cfRule type="cellIs" dxfId="29719" priority="89736" stopIfTrue="1" operator="equal">
      <formula>-1</formula>
    </cfRule>
  </conditionalFormatting>
  <conditionalFormatting sqref="AZ23">
    <cfRule type="cellIs" dxfId="29718" priority="89737" stopIfTrue="1" operator="lessThan">
      <formula>0.5</formula>
    </cfRule>
  </conditionalFormatting>
  <conditionalFormatting sqref="AZ23">
    <cfRule type="cellIs" dxfId="29717" priority="89738" stopIfTrue="1" operator="greaterThanOrEqual">
      <formula>0.5</formula>
    </cfRule>
  </conditionalFormatting>
  <conditionalFormatting sqref="AZ24">
    <cfRule type="cellIs" dxfId="29716" priority="89739" stopIfTrue="1" operator="equal">
      <formula>-1</formula>
    </cfRule>
  </conditionalFormatting>
  <conditionalFormatting sqref="AZ24">
    <cfRule type="cellIs" dxfId="29715" priority="89740" stopIfTrue="1" operator="lessThan">
      <formula>0.5</formula>
    </cfRule>
  </conditionalFormatting>
  <conditionalFormatting sqref="AZ24">
    <cfRule type="cellIs" dxfId="29714" priority="89741" stopIfTrue="1" operator="greaterThanOrEqual">
      <formula>0.5</formula>
    </cfRule>
  </conditionalFormatting>
  <conditionalFormatting sqref="AZ25">
    <cfRule type="cellIs" dxfId="29713" priority="89742" stopIfTrue="1" operator="equal">
      <formula>-1</formula>
    </cfRule>
  </conditionalFormatting>
  <conditionalFormatting sqref="AZ25">
    <cfRule type="cellIs" dxfId="29712" priority="89743" stopIfTrue="1" operator="lessThan">
      <formula>0.5</formula>
    </cfRule>
  </conditionalFormatting>
  <conditionalFormatting sqref="AZ25">
    <cfRule type="cellIs" dxfId="29711" priority="89744" stopIfTrue="1" operator="greaterThanOrEqual">
      <formula>0.5</formula>
    </cfRule>
  </conditionalFormatting>
  <conditionalFormatting sqref="AZ26">
    <cfRule type="cellIs" dxfId="29710" priority="89745" stopIfTrue="1" operator="equal">
      <formula>-1</formula>
    </cfRule>
  </conditionalFormatting>
  <conditionalFormatting sqref="AZ26">
    <cfRule type="cellIs" dxfId="29709" priority="89746" stopIfTrue="1" operator="lessThan">
      <formula>0.5</formula>
    </cfRule>
  </conditionalFormatting>
  <conditionalFormatting sqref="AZ26">
    <cfRule type="cellIs" dxfId="29708" priority="89747" stopIfTrue="1" operator="greaterThanOrEqual">
      <formula>0.5</formula>
    </cfRule>
  </conditionalFormatting>
  <conditionalFormatting sqref="AZ27">
    <cfRule type="cellIs" dxfId="29707" priority="89748" stopIfTrue="1" operator="equal">
      <formula>-1</formula>
    </cfRule>
  </conditionalFormatting>
  <conditionalFormatting sqref="AZ27">
    <cfRule type="cellIs" dxfId="29706" priority="89749" stopIfTrue="1" operator="lessThan">
      <formula>0.5</formula>
    </cfRule>
  </conditionalFormatting>
  <conditionalFormatting sqref="AZ27">
    <cfRule type="cellIs" dxfId="29705" priority="89750" stopIfTrue="1" operator="greaterThanOrEqual">
      <formula>0.5</formula>
    </cfRule>
  </conditionalFormatting>
  <conditionalFormatting sqref="AZ28">
    <cfRule type="cellIs" dxfId="29704" priority="89751" stopIfTrue="1" operator="equal">
      <formula>-1</formula>
    </cfRule>
  </conditionalFormatting>
  <conditionalFormatting sqref="AZ28">
    <cfRule type="cellIs" dxfId="29703" priority="89752" stopIfTrue="1" operator="lessThan">
      <formula>0.5</formula>
    </cfRule>
  </conditionalFormatting>
  <conditionalFormatting sqref="AZ28">
    <cfRule type="cellIs" dxfId="29702" priority="89753" stopIfTrue="1" operator="greaterThanOrEqual">
      <formula>0.5</formula>
    </cfRule>
  </conditionalFormatting>
  <conditionalFormatting sqref="AZ29">
    <cfRule type="cellIs" dxfId="29701" priority="89754" stopIfTrue="1" operator="equal">
      <formula>-1</formula>
    </cfRule>
  </conditionalFormatting>
  <conditionalFormatting sqref="AZ29">
    <cfRule type="cellIs" dxfId="29700" priority="89755" stopIfTrue="1" operator="lessThan">
      <formula>0.5</formula>
    </cfRule>
  </conditionalFormatting>
  <conditionalFormatting sqref="AZ29">
    <cfRule type="cellIs" dxfId="29699" priority="89756" stopIfTrue="1" operator="greaterThanOrEqual">
      <formula>0.5</formula>
    </cfRule>
  </conditionalFormatting>
  <conditionalFormatting sqref="AZ30">
    <cfRule type="cellIs" dxfId="29698" priority="89757" stopIfTrue="1" operator="equal">
      <formula>-1</formula>
    </cfRule>
  </conditionalFormatting>
  <conditionalFormatting sqref="AZ30">
    <cfRule type="cellIs" dxfId="29697" priority="89758" stopIfTrue="1" operator="lessThan">
      <formula>0.5</formula>
    </cfRule>
  </conditionalFormatting>
  <conditionalFormatting sqref="AZ30">
    <cfRule type="cellIs" dxfId="29696" priority="89759" stopIfTrue="1" operator="greaterThanOrEqual">
      <formula>0.5</formula>
    </cfRule>
  </conditionalFormatting>
  <conditionalFormatting sqref="AZ31">
    <cfRule type="cellIs" dxfId="29695" priority="89760" stopIfTrue="1" operator="equal">
      <formula>-1</formula>
    </cfRule>
  </conditionalFormatting>
  <conditionalFormatting sqref="AZ31">
    <cfRule type="cellIs" dxfId="29694" priority="89761" stopIfTrue="1" operator="lessThan">
      <formula>0.5</formula>
    </cfRule>
  </conditionalFormatting>
  <conditionalFormatting sqref="AZ31">
    <cfRule type="cellIs" dxfId="29693" priority="89762" stopIfTrue="1" operator="greaterThanOrEqual">
      <formula>0.5</formula>
    </cfRule>
  </conditionalFormatting>
  <conditionalFormatting sqref="AZ32">
    <cfRule type="cellIs" dxfId="29692" priority="89763" stopIfTrue="1" operator="equal">
      <formula>-1</formula>
    </cfRule>
  </conditionalFormatting>
  <conditionalFormatting sqref="AZ32">
    <cfRule type="cellIs" dxfId="29691" priority="89764" stopIfTrue="1" operator="lessThan">
      <formula>0.5</formula>
    </cfRule>
  </conditionalFormatting>
  <conditionalFormatting sqref="AZ32">
    <cfRule type="cellIs" dxfId="29690" priority="89765" stopIfTrue="1" operator="greaterThanOrEqual">
      <formula>0.5</formula>
    </cfRule>
  </conditionalFormatting>
  <conditionalFormatting sqref="AZ33">
    <cfRule type="cellIs" dxfId="29689" priority="89766" stopIfTrue="1" operator="equal">
      <formula>-1</formula>
    </cfRule>
  </conditionalFormatting>
  <conditionalFormatting sqref="AZ33">
    <cfRule type="cellIs" dxfId="29688" priority="89767" stopIfTrue="1" operator="lessThan">
      <formula>0.5</formula>
    </cfRule>
  </conditionalFormatting>
  <conditionalFormatting sqref="AZ33">
    <cfRule type="cellIs" dxfId="29687" priority="89768" stopIfTrue="1" operator="greaterThanOrEqual">
      <formula>0.5</formula>
    </cfRule>
  </conditionalFormatting>
  <conditionalFormatting sqref="AZ34">
    <cfRule type="cellIs" dxfId="29686" priority="89769" stopIfTrue="1" operator="equal">
      <formula>-1</formula>
    </cfRule>
  </conditionalFormatting>
  <conditionalFormatting sqref="AZ34">
    <cfRule type="cellIs" dxfId="29685" priority="89770" stopIfTrue="1" operator="lessThan">
      <formula>0.5</formula>
    </cfRule>
  </conditionalFormatting>
  <conditionalFormatting sqref="AZ34">
    <cfRule type="cellIs" dxfId="29684" priority="89771" stopIfTrue="1" operator="greaterThanOrEqual">
      <formula>0.5</formula>
    </cfRule>
  </conditionalFormatting>
  <conditionalFormatting sqref="AZ35">
    <cfRule type="cellIs" dxfId="29683" priority="89772" stopIfTrue="1" operator="equal">
      <formula>-1</formula>
    </cfRule>
  </conditionalFormatting>
  <conditionalFormatting sqref="AZ35">
    <cfRule type="cellIs" dxfId="29682" priority="89773" stopIfTrue="1" operator="lessThan">
      <formula>0.5</formula>
    </cfRule>
  </conditionalFormatting>
  <conditionalFormatting sqref="AZ35">
    <cfRule type="cellIs" dxfId="29681" priority="89774" stopIfTrue="1" operator="greaterThanOrEqual">
      <formula>0.5</formula>
    </cfRule>
  </conditionalFormatting>
  <conditionalFormatting sqref="AZ36">
    <cfRule type="cellIs" dxfId="29680" priority="89775" stopIfTrue="1" operator="equal">
      <formula>-1</formula>
    </cfRule>
  </conditionalFormatting>
  <conditionalFormatting sqref="AZ36">
    <cfRule type="cellIs" dxfId="29679" priority="89776" stopIfTrue="1" operator="lessThan">
      <formula>0.5</formula>
    </cfRule>
  </conditionalFormatting>
  <conditionalFormatting sqref="AZ36">
    <cfRule type="cellIs" dxfId="29678" priority="89777" stopIfTrue="1" operator="greaterThanOrEqual">
      <formula>0.5</formula>
    </cfRule>
  </conditionalFormatting>
  <conditionalFormatting sqref="AZ37">
    <cfRule type="cellIs" dxfId="29677" priority="89778" stopIfTrue="1" operator="equal">
      <formula>-1</formula>
    </cfRule>
  </conditionalFormatting>
  <conditionalFormatting sqref="AZ37">
    <cfRule type="cellIs" dxfId="29676" priority="89779" stopIfTrue="1" operator="lessThan">
      <formula>0.5</formula>
    </cfRule>
  </conditionalFormatting>
  <conditionalFormatting sqref="AZ37">
    <cfRule type="cellIs" dxfId="29675" priority="89780" stopIfTrue="1" operator="greaterThanOrEqual">
      <formula>0.5</formula>
    </cfRule>
  </conditionalFormatting>
  <conditionalFormatting sqref="BB17">
    <cfRule type="cellIs" dxfId="29674" priority="89781" stopIfTrue="1" operator="equal">
      <formula>-1</formula>
    </cfRule>
  </conditionalFormatting>
  <conditionalFormatting sqref="BB17">
    <cfRule type="cellIs" dxfId="29673" priority="89782" stopIfTrue="1" operator="lessThan">
      <formula>0.5</formula>
    </cfRule>
  </conditionalFormatting>
  <conditionalFormatting sqref="BB17">
    <cfRule type="cellIs" dxfId="29672" priority="89783" stopIfTrue="1" operator="greaterThanOrEqual">
      <formula>0.5</formula>
    </cfRule>
  </conditionalFormatting>
  <conditionalFormatting sqref="BB18">
    <cfRule type="cellIs" dxfId="29671" priority="89784" stopIfTrue="1" operator="equal">
      <formula>-1</formula>
    </cfRule>
  </conditionalFormatting>
  <conditionalFormatting sqref="BB18">
    <cfRule type="cellIs" dxfId="29670" priority="89785" stopIfTrue="1" operator="lessThan">
      <formula>0.5</formula>
    </cfRule>
  </conditionalFormatting>
  <conditionalFormatting sqref="BB18">
    <cfRule type="cellIs" dxfId="29669" priority="89786" stopIfTrue="1" operator="greaterThanOrEqual">
      <formula>0.5</formula>
    </cfRule>
  </conditionalFormatting>
  <conditionalFormatting sqref="BB19">
    <cfRule type="cellIs" dxfId="29668" priority="89787" stopIfTrue="1" operator="equal">
      <formula>-1</formula>
    </cfRule>
  </conditionalFormatting>
  <conditionalFormatting sqref="BB19">
    <cfRule type="cellIs" dxfId="29667" priority="89788" stopIfTrue="1" operator="lessThan">
      <formula>0.5</formula>
    </cfRule>
  </conditionalFormatting>
  <conditionalFormatting sqref="BB19">
    <cfRule type="cellIs" dxfId="29666" priority="89789" stopIfTrue="1" operator="greaterThanOrEqual">
      <formula>0.5</formula>
    </cfRule>
  </conditionalFormatting>
  <conditionalFormatting sqref="BB20">
    <cfRule type="cellIs" dxfId="29665" priority="89790" stopIfTrue="1" operator="equal">
      <formula>-1</formula>
    </cfRule>
  </conditionalFormatting>
  <conditionalFormatting sqref="BB20">
    <cfRule type="cellIs" dxfId="29664" priority="89791" stopIfTrue="1" operator="lessThan">
      <formula>0.5</formula>
    </cfRule>
  </conditionalFormatting>
  <conditionalFormatting sqref="BB20">
    <cfRule type="cellIs" dxfId="29663" priority="89792" stopIfTrue="1" operator="greaterThanOrEqual">
      <formula>0.5</formula>
    </cfRule>
  </conditionalFormatting>
  <conditionalFormatting sqref="BB21">
    <cfRule type="cellIs" dxfId="29662" priority="89793" stopIfTrue="1" operator="equal">
      <formula>-1</formula>
    </cfRule>
  </conditionalFormatting>
  <conditionalFormatting sqref="BB21">
    <cfRule type="cellIs" dxfId="29661" priority="89794" stopIfTrue="1" operator="lessThan">
      <formula>0.5</formula>
    </cfRule>
  </conditionalFormatting>
  <conditionalFormatting sqref="BB21">
    <cfRule type="cellIs" dxfId="29660" priority="89795" stopIfTrue="1" operator="greaterThanOrEqual">
      <formula>0.5</formula>
    </cfRule>
  </conditionalFormatting>
  <conditionalFormatting sqref="BB22">
    <cfRule type="cellIs" dxfId="29659" priority="89796" stopIfTrue="1" operator="equal">
      <formula>-1</formula>
    </cfRule>
  </conditionalFormatting>
  <conditionalFormatting sqref="BB22">
    <cfRule type="cellIs" dxfId="29658" priority="89797" stopIfTrue="1" operator="lessThan">
      <formula>0.5</formula>
    </cfRule>
  </conditionalFormatting>
  <conditionalFormatting sqref="BB22">
    <cfRule type="cellIs" dxfId="29657" priority="89798" stopIfTrue="1" operator="greaterThanOrEqual">
      <formula>0.5</formula>
    </cfRule>
  </conditionalFormatting>
  <conditionalFormatting sqref="BB23">
    <cfRule type="cellIs" dxfId="29656" priority="89799" stopIfTrue="1" operator="equal">
      <formula>-1</formula>
    </cfRule>
  </conditionalFormatting>
  <conditionalFormatting sqref="BB23">
    <cfRule type="cellIs" dxfId="29655" priority="89800" stopIfTrue="1" operator="lessThan">
      <formula>0.5</formula>
    </cfRule>
  </conditionalFormatting>
  <conditionalFormatting sqref="BB23">
    <cfRule type="cellIs" dxfId="29654" priority="89801" stopIfTrue="1" operator="greaterThanOrEqual">
      <formula>0.5</formula>
    </cfRule>
  </conditionalFormatting>
  <conditionalFormatting sqref="BB24">
    <cfRule type="cellIs" dxfId="29653" priority="89802" stopIfTrue="1" operator="equal">
      <formula>-1</formula>
    </cfRule>
  </conditionalFormatting>
  <conditionalFormatting sqref="BB24">
    <cfRule type="cellIs" dxfId="29652" priority="89803" stopIfTrue="1" operator="lessThan">
      <formula>0.5</formula>
    </cfRule>
  </conditionalFormatting>
  <conditionalFormatting sqref="BB24">
    <cfRule type="cellIs" dxfId="29651" priority="89804" stopIfTrue="1" operator="greaterThanOrEqual">
      <formula>0.5</formula>
    </cfRule>
  </conditionalFormatting>
  <conditionalFormatting sqref="BB25">
    <cfRule type="cellIs" dxfId="29650" priority="89805" stopIfTrue="1" operator="equal">
      <formula>-1</formula>
    </cfRule>
  </conditionalFormatting>
  <conditionalFormatting sqref="BB25">
    <cfRule type="cellIs" dxfId="29649" priority="89806" stopIfTrue="1" operator="lessThan">
      <formula>0.5</formula>
    </cfRule>
  </conditionalFormatting>
  <conditionalFormatting sqref="BB25">
    <cfRule type="cellIs" dxfId="29648" priority="89807" stopIfTrue="1" operator="greaterThanOrEqual">
      <formula>0.5</formula>
    </cfRule>
  </conditionalFormatting>
  <conditionalFormatting sqref="BB26">
    <cfRule type="cellIs" dxfId="29647" priority="89808" stopIfTrue="1" operator="equal">
      <formula>-1</formula>
    </cfRule>
  </conditionalFormatting>
  <conditionalFormatting sqref="BB26">
    <cfRule type="cellIs" dxfId="29646" priority="89809" stopIfTrue="1" operator="lessThan">
      <formula>0.5</formula>
    </cfRule>
  </conditionalFormatting>
  <conditionalFormatting sqref="BB26">
    <cfRule type="cellIs" dxfId="29645" priority="89810" stopIfTrue="1" operator="greaterThanOrEqual">
      <formula>0.5</formula>
    </cfRule>
  </conditionalFormatting>
  <conditionalFormatting sqref="BB27">
    <cfRule type="cellIs" dxfId="29644" priority="89811" stopIfTrue="1" operator="equal">
      <formula>-1</formula>
    </cfRule>
  </conditionalFormatting>
  <conditionalFormatting sqref="BB27">
    <cfRule type="cellIs" dxfId="29643" priority="89812" stopIfTrue="1" operator="lessThan">
      <formula>0.5</formula>
    </cfRule>
  </conditionalFormatting>
  <conditionalFormatting sqref="BB27">
    <cfRule type="cellIs" dxfId="29642" priority="89813" stopIfTrue="1" operator="greaterThanOrEqual">
      <formula>0.5</formula>
    </cfRule>
  </conditionalFormatting>
  <conditionalFormatting sqref="BB28">
    <cfRule type="cellIs" dxfId="29641" priority="89814" stopIfTrue="1" operator="equal">
      <formula>-1</formula>
    </cfRule>
  </conditionalFormatting>
  <conditionalFormatting sqref="BB28">
    <cfRule type="cellIs" dxfId="29640" priority="89815" stopIfTrue="1" operator="lessThan">
      <formula>0.5</formula>
    </cfRule>
  </conditionalFormatting>
  <conditionalFormatting sqref="BB28">
    <cfRule type="cellIs" dxfId="29639" priority="89816" stopIfTrue="1" operator="greaterThanOrEqual">
      <formula>0.5</formula>
    </cfRule>
  </conditionalFormatting>
  <conditionalFormatting sqref="BB29">
    <cfRule type="cellIs" dxfId="29638" priority="89817" stopIfTrue="1" operator="equal">
      <formula>-1</formula>
    </cfRule>
  </conditionalFormatting>
  <conditionalFormatting sqref="BB29">
    <cfRule type="cellIs" dxfId="29637" priority="89818" stopIfTrue="1" operator="lessThan">
      <formula>0.5</formula>
    </cfRule>
  </conditionalFormatting>
  <conditionalFormatting sqref="BB29">
    <cfRule type="cellIs" dxfId="29636" priority="89819" stopIfTrue="1" operator="greaterThanOrEqual">
      <formula>0.5</formula>
    </cfRule>
  </conditionalFormatting>
  <conditionalFormatting sqref="BB30">
    <cfRule type="cellIs" dxfId="29635" priority="89820" stopIfTrue="1" operator="equal">
      <formula>-1</formula>
    </cfRule>
  </conditionalFormatting>
  <conditionalFormatting sqref="BB30">
    <cfRule type="cellIs" dxfId="29634" priority="89821" stopIfTrue="1" operator="lessThan">
      <formula>0.5</formula>
    </cfRule>
  </conditionalFormatting>
  <conditionalFormatting sqref="BB30">
    <cfRule type="cellIs" dxfId="29633" priority="89822" stopIfTrue="1" operator="greaterThanOrEqual">
      <formula>0.5</formula>
    </cfRule>
  </conditionalFormatting>
  <conditionalFormatting sqref="BB31">
    <cfRule type="cellIs" dxfId="29632" priority="89823" stopIfTrue="1" operator="equal">
      <formula>-1</formula>
    </cfRule>
  </conditionalFormatting>
  <conditionalFormatting sqref="BB31">
    <cfRule type="cellIs" dxfId="29631" priority="89824" stopIfTrue="1" operator="lessThan">
      <formula>0.5</formula>
    </cfRule>
  </conditionalFormatting>
  <conditionalFormatting sqref="BB31">
    <cfRule type="cellIs" dxfId="29630" priority="89825" stopIfTrue="1" operator="greaterThanOrEqual">
      <formula>0.5</formula>
    </cfRule>
  </conditionalFormatting>
  <conditionalFormatting sqref="BB32">
    <cfRule type="cellIs" dxfId="29629" priority="89826" stopIfTrue="1" operator="equal">
      <formula>-1</formula>
    </cfRule>
  </conditionalFormatting>
  <conditionalFormatting sqref="BB32">
    <cfRule type="cellIs" dxfId="29628" priority="89827" stopIfTrue="1" operator="lessThan">
      <formula>0.5</formula>
    </cfRule>
  </conditionalFormatting>
  <conditionalFormatting sqref="BB32">
    <cfRule type="cellIs" dxfId="29627" priority="89828" stopIfTrue="1" operator="greaterThanOrEqual">
      <formula>0.5</formula>
    </cfRule>
  </conditionalFormatting>
  <conditionalFormatting sqref="BB33">
    <cfRule type="cellIs" dxfId="29626" priority="89829" stopIfTrue="1" operator="equal">
      <formula>-1</formula>
    </cfRule>
  </conditionalFormatting>
  <conditionalFormatting sqref="BB33">
    <cfRule type="cellIs" dxfId="29625" priority="89830" stopIfTrue="1" operator="lessThan">
      <formula>0.5</formula>
    </cfRule>
  </conditionalFormatting>
  <conditionalFormatting sqref="BB33">
    <cfRule type="cellIs" dxfId="29624" priority="89831" stopIfTrue="1" operator="greaterThanOrEqual">
      <formula>0.5</formula>
    </cfRule>
  </conditionalFormatting>
  <conditionalFormatting sqref="BB34">
    <cfRule type="cellIs" dxfId="29623" priority="89832" stopIfTrue="1" operator="equal">
      <formula>-1</formula>
    </cfRule>
  </conditionalFormatting>
  <conditionalFormatting sqref="BB34">
    <cfRule type="cellIs" dxfId="29622" priority="89833" stopIfTrue="1" operator="lessThan">
      <formula>0.5</formula>
    </cfRule>
  </conditionalFormatting>
  <conditionalFormatting sqref="BB34">
    <cfRule type="cellIs" dxfId="29621" priority="89834" stopIfTrue="1" operator="greaterThanOrEqual">
      <formula>0.5</formula>
    </cfRule>
  </conditionalFormatting>
  <conditionalFormatting sqref="BB35">
    <cfRule type="cellIs" dxfId="29620" priority="89835" stopIfTrue="1" operator="equal">
      <formula>-1</formula>
    </cfRule>
  </conditionalFormatting>
  <conditionalFormatting sqref="BB35">
    <cfRule type="cellIs" dxfId="29619" priority="89836" stopIfTrue="1" operator="lessThan">
      <formula>0.5</formula>
    </cfRule>
  </conditionalFormatting>
  <conditionalFormatting sqref="BB35">
    <cfRule type="cellIs" dxfId="29618" priority="89837" stopIfTrue="1" operator="greaterThanOrEqual">
      <formula>0.5</formula>
    </cfRule>
  </conditionalFormatting>
  <conditionalFormatting sqref="BB36">
    <cfRule type="cellIs" dxfId="29617" priority="89838" stopIfTrue="1" operator="equal">
      <formula>-1</formula>
    </cfRule>
  </conditionalFormatting>
  <conditionalFormatting sqref="BB36">
    <cfRule type="cellIs" dxfId="29616" priority="89839" stopIfTrue="1" operator="lessThan">
      <formula>0.5</formula>
    </cfRule>
  </conditionalFormatting>
  <conditionalFormatting sqref="BB36">
    <cfRule type="cellIs" dxfId="29615" priority="89840" stopIfTrue="1" operator="greaterThanOrEqual">
      <formula>0.5</formula>
    </cfRule>
  </conditionalFormatting>
  <conditionalFormatting sqref="BB37">
    <cfRule type="cellIs" dxfId="29614" priority="89841" stopIfTrue="1" operator="equal">
      <formula>-1</formula>
    </cfRule>
  </conditionalFormatting>
  <conditionalFormatting sqref="BB37">
    <cfRule type="cellIs" dxfId="29613" priority="89842" stopIfTrue="1" operator="lessThan">
      <formula>0.5</formula>
    </cfRule>
  </conditionalFormatting>
  <conditionalFormatting sqref="BB37">
    <cfRule type="cellIs" dxfId="29612" priority="89843" stopIfTrue="1" operator="greaterThanOrEqual">
      <formula>0.5</formula>
    </cfRule>
  </conditionalFormatting>
  <conditionalFormatting sqref="BD17">
    <cfRule type="cellIs" dxfId="29611" priority="89844" stopIfTrue="1" operator="equal">
      <formula>-1</formula>
    </cfRule>
  </conditionalFormatting>
  <conditionalFormatting sqref="BD17">
    <cfRule type="cellIs" dxfId="29610" priority="89845" stopIfTrue="1" operator="lessThan">
      <formula>0.5</formula>
    </cfRule>
  </conditionalFormatting>
  <conditionalFormatting sqref="BD17">
    <cfRule type="cellIs" dxfId="29609" priority="89846" stopIfTrue="1" operator="greaterThanOrEqual">
      <formula>0.5</formula>
    </cfRule>
  </conditionalFormatting>
  <conditionalFormatting sqref="BD18">
    <cfRule type="cellIs" dxfId="29608" priority="89847" stopIfTrue="1" operator="equal">
      <formula>-1</formula>
    </cfRule>
  </conditionalFormatting>
  <conditionalFormatting sqref="BD18">
    <cfRule type="cellIs" dxfId="29607" priority="89848" stopIfTrue="1" operator="lessThan">
      <formula>0.5</formula>
    </cfRule>
  </conditionalFormatting>
  <conditionalFormatting sqref="BD18">
    <cfRule type="cellIs" dxfId="29606" priority="89849" stopIfTrue="1" operator="greaterThanOrEqual">
      <formula>0.5</formula>
    </cfRule>
  </conditionalFormatting>
  <conditionalFormatting sqref="BD19">
    <cfRule type="cellIs" dxfId="29605" priority="89850" stopIfTrue="1" operator="equal">
      <formula>-1</formula>
    </cfRule>
  </conditionalFormatting>
  <conditionalFormatting sqref="BD19">
    <cfRule type="cellIs" dxfId="29604" priority="89851" stopIfTrue="1" operator="lessThan">
      <formula>0.5</formula>
    </cfRule>
  </conditionalFormatting>
  <conditionalFormatting sqref="BD19">
    <cfRule type="cellIs" dxfId="29603" priority="89852" stopIfTrue="1" operator="greaterThanOrEqual">
      <formula>0.5</formula>
    </cfRule>
  </conditionalFormatting>
  <conditionalFormatting sqref="BD20">
    <cfRule type="cellIs" dxfId="29602" priority="89853" stopIfTrue="1" operator="equal">
      <formula>-1</formula>
    </cfRule>
  </conditionalFormatting>
  <conditionalFormatting sqref="BD20">
    <cfRule type="cellIs" dxfId="29601" priority="89854" stopIfTrue="1" operator="lessThan">
      <formula>0.5</formula>
    </cfRule>
  </conditionalFormatting>
  <conditionalFormatting sqref="BD20">
    <cfRule type="cellIs" dxfId="29600" priority="89855" stopIfTrue="1" operator="greaterThanOrEqual">
      <formula>0.5</formula>
    </cfRule>
  </conditionalFormatting>
  <conditionalFormatting sqref="BD21">
    <cfRule type="cellIs" dxfId="29599" priority="89856" stopIfTrue="1" operator="equal">
      <formula>-1</formula>
    </cfRule>
  </conditionalFormatting>
  <conditionalFormatting sqref="BD21">
    <cfRule type="cellIs" dxfId="29598" priority="89857" stopIfTrue="1" operator="lessThan">
      <formula>0.5</formula>
    </cfRule>
  </conditionalFormatting>
  <conditionalFormatting sqref="BD21">
    <cfRule type="cellIs" dxfId="29597" priority="89858" stopIfTrue="1" operator="greaterThanOrEqual">
      <formula>0.5</formula>
    </cfRule>
  </conditionalFormatting>
  <conditionalFormatting sqref="BD22">
    <cfRule type="cellIs" dxfId="29596" priority="89859" stopIfTrue="1" operator="equal">
      <formula>-1</formula>
    </cfRule>
  </conditionalFormatting>
  <conditionalFormatting sqref="BD22">
    <cfRule type="cellIs" dxfId="29595" priority="89860" stopIfTrue="1" operator="lessThan">
      <formula>0.5</formula>
    </cfRule>
  </conditionalFormatting>
  <conditionalFormatting sqref="BD22">
    <cfRule type="cellIs" dxfId="29594" priority="89861" stopIfTrue="1" operator="greaterThanOrEqual">
      <formula>0.5</formula>
    </cfRule>
  </conditionalFormatting>
  <conditionalFormatting sqref="BD23">
    <cfRule type="cellIs" dxfId="29593" priority="89862" stopIfTrue="1" operator="equal">
      <formula>-1</formula>
    </cfRule>
  </conditionalFormatting>
  <conditionalFormatting sqref="BD23">
    <cfRule type="cellIs" dxfId="29592" priority="89863" stopIfTrue="1" operator="lessThan">
      <formula>0.5</formula>
    </cfRule>
  </conditionalFormatting>
  <conditionalFormatting sqref="BD23">
    <cfRule type="cellIs" dxfId="29591" priority="89864" stopIfTrue="1" operator="greaterThanOrEqual">
      <formula>0.5</formula>
    </cfRule>
  </conditionalFormatting>
  <conditionalFormatting sqref="BD24">
    <cfRule type="cellIs" dxfId="29590" priority="89865" stopIfTrue="1" operator="equal">
      <formula>-1</formula>
    </cfRule>
  </conditionalFormatting>
  <conditionalFormatting sqref="BD24">
    <cfRule type="cellIs" dxfId="29589" priority="89866" stopIfTrue="1" operator="lessThan">
      <formula>0.5</formula>
    </cfRule>
  </conditionalFormatting>
  <conditionalFormatting sqref="BD24">
    <cfRule type="cellIs" dxfId="29588" priority="89867" stopIfTrue="1" operator="greaterThanOrEqual">
      <formula>0.5</formula>
    </cfRule>
  </conditionalFormatting>
  <conditionalFormatting sqref="BD25">
    <cfRule type="cellIs" dxfId="29587" priority="89868" stopIfTrue="1" operator="equal">
      <formula>-1</formula>
    </cfRule>
  </conditionalFormatting>
  <conditionalFormatting sqref="BD25">
    <cfRule type="cellIs" dxfId="29586" priority="89869" stopIfTrue="1" operator="lessThan">
      <formula>0.5</formula>
    </cfRule>
  </conditionalFormatting>
  <conditionalFormatting sqref="BD25">
    <cfRule type="cellIs" dxfId="29585" priority="89870" stopIfTrue="1" operator="greaterThanOrEqual">
      <formula>0.5</formula>
    </cfRule>
  </conditionalFormatting>
  <conditionalFormatting sqref="BD26">
    <cfRule type="cellIs" dxfId="29584" priority="89871" stopIfTrue="1" operator="equal">
      <formula>-1</formula>
    </cfRule>
  </conditionalFormatting>
  <conditionalFormatting sqref="BD26">
    <cfRule type="cellIs" dxfId="29583" priority="89872" stopIfTrue="1" operator="lessThan">
      <formula>0.5</formula>
    </cfRule>
  </conditionalFormatting>
  <conditionalFormatting sqref="BD26">
    <cfRule type="cellIs" dxfId="29582" priority="89873" stopIfTrue="1" operator="greaterThanOrEqual">
      <formula>0.5</formula>
    </cfRule>
  </conditionalFormatting>
  <conditionalFormatting sqref="BD27">
    <cfRule type="cellIs" dxfId="29581" priority="89874" stopIfTrue="1" operator="equal">
      <formula>-1</formula>
    </cfRule>
  </conditionalFormatting>
  <conditionalFormatting sqref="BD27">
    <cfRule type="cellIs" dxfId="29580" priority="89875" stopIfTrue="1" operator="lessThan">
      <formula>0.5</formula>
    </cfRule>
  </conditionalFormatting>
  <conditionalFormatting sqref="BD27">
    <cfRule type="cellIs" dxfId="29579" priority="89876" stopIfTrue="1" operator="greaterThanOrEqual">
      <formula>0.5</formula>
    </cfRule>
  </conditionalFormatting>
  <conditionalFormatting sqref="BD28">
    <cfRule type="cellIs" dxfId="29578" priority="89877" stopIfTrue="1" operator="equal">
      <formula>-1</formula>
    </cfRule>
  </conditionalFormatting>
  <conditionalFormatting sqref="BD28">
    <cfRule type="cellIs" dxfId="29577" priority="89878" stopIfTrue="1" operator="lessThan">
      <formula>0.5</formula>
    </cfRule>
  </conditionalFormatting>
  <conditionalFormatting sqref="BD28">
    <cfRule type="cellIs" dxfId="29576" priority="89879" stopIfTrue="1" operator="greaterThanOrEqual">
      <formula>0.5</formula>
    </cfRule>
  </conditionalFormatting>
  <conditionalFormatting sqref="BD29">
    <cfRule type="cellIs" dxfId="29575" priority="89880" stopIfTrue="1" operator="equal">
      <formula>-1</formula>
    </cfRule>
  </conditionalFormatting>
  <conditionalFormatting sqref="BD29">
    <cfRule type="cellIs" dxfId="29574" priority="89881" stopIfTrue="1" operator="lessThan">
      <formula>0.5</formula>
    </cfRule>
  </conditionalFormatting>
  <conditionalFormatting sqref="BD29">
    <cfRule type="cellIs" dxfId="29573" priority="89882" stopIfTrue="1" operator="greaterThanOrEqual">
      <formula>0.5</formula>
    </cfRule>
  </conditionalFormatting>
  <conditionalFormatting sqref="BD30">
    <cfRule type="cellIs" dxfId="29572" priority="89883" stopIfTrue="1" operator="equal">
      <formula>-1</formula>
    </cfRule>
  </conditionalFormatting>
  <conditionalFormatting sqref="BD30">
    <cfRule type="cellIs" dxfId="29571" priority="89884" stopIfTrue="1" operator="lessThan">
      <formula>0.5</formula>
    </cfRule>
  </conditionalFormatting>
  <conditionalFormatting sqref="BD30">
    <cfRule type="cellIs" dxfId="29570" priority="89885" stopIfTrue="1" operator="greaterThanOrEqual">
      <formula>0.5</formula>
    </cfRule>
  </conditionalFormatting>
  <conditionalFormatting sqref="BD31">
    <cfRule type="cellIs" dxfId="29569" priority="89886" stopIfTrue="1" operator="equal">
      <formula>-1</formula>
    </cfRule>
  </conditionalFormatting>
  <conditionalFormatting sqref="BD31">
    <cfRule type="cellIs" dxfId="29568" priority="89887" stopIfTrue="1" operator="lessThan">
      <formula>0.5</formula>
    </cfRule>
  </conditionalFormatting>
  <conditionalFormatting sqref="BD31">
    <cfRule type="cellIs" dxfId="29567" priority="89888" stopIfTrue="1" operator="greaterThanOrEqual">
      <formula>0.5</formula>
    </cfRule>
  </conditionalFormatting>
  <conditionalFormatting sqref="BD32">
    <cfRule type="cellIs" dxfId="29566" priority="89889" stopIfTrue="1" operator="equal">
      <formula>-1</formula>
    </cfRule>
  </conditionalFormatting>
  <conditionalFormatting sqref="BD32">
    <cfRule type="cellIs" dxfId="29565" priority="89890" stopIfTrue="1" operator="lessThan">
      <formula>0.5</formula>
    </cfRule>
  </conditionalFormatting>
  <conditionalFormatting sqref="BD32">
    <cfRule type="cellIs" dxfId="29564" priority="89891" stopIfTrue="1" operator="greaterThanOrEqual">
      <formula>0.5</formula>
    </cfRule>
  </conditionalFormatting>
  <conditionalFormatting sqref="BD33">
    <cfRule type="cellIs" dxfId="29563" priority="89892" stopIfTrue="1" operator="equal">
      <formula>-1</formula>
    </cfRule>
  </conditionalFormatting>
  <conditionalFormatting sqref="BD33">
    <cfRule type="cellIs" dxfId="29562" priority="89893" stopIfTrue="1" operator="lessThan">
      <formula>0.5</formula>
    </cfRule>
  </conditionalFormatting>
  <conditionalFormatting sqref="BD33">
    <cfRule type="cellIs" dxfId="29561" priority="89894" stopIfTrue="1" operator="greaterThanOrEqual">
      <formula>0.5</formula>
    </cfRule>
  </conditionalFormatting>
  <conditionalFormatting sqref="BD34">
    <cfRule type="cellIs" dxfId="29560" priority="89895" stopIfTrue="1" operator="equal">
      <formula>-1</formula>
    </cfRule>
  </conditionalFormatting>
  <conditionalFormatting sqref="BD34">
    <cfRule type="cellIs" dxfId="29559" priority="89896" stopIfTrue="1" operator="lessThan">
      <formula>0.5</formula>
    </cfRule>
  </conditionalFormatting>
  <conditionalFormatting sqref="BD34">
    <cfRule type="cellIs" dxfId="29558" priority="89897" stopIfTrue="1" operator="greaterThanOrEqual">
      <formula>0.5</formula>
    </cfRule>
  </conditionalFormatting>
  <conditionalFormatting sqref="BD35">
    <cfRule type="cellIs" dxfId="29557" priority="89898" stopIfTrue="1" operator="equal">
      <formula>-1</formula>
    </cfRule>
  </conditionalFormatting>
  <conditionalFormatting sqref="BD35">
    <cfRule type="cellIs" dxfId="29556" priority="89899" stopIfTrue="1" operator="lessThan">
      <formula>0.5</formula>
    </cfRule>
  </conditionalFormatting>
  <conditionalFormatting sqref="BD35">
    <cfRule type="cellIs" dxfId="29555" priority="89900" stopIfTrue="1" operator="greaterThanOrEqual">
      <formula>0.5</formula>
    </cfRule>
  </conditionalFormatting>
  <conditionalFormatting sqref="BD36">
    <cfRule type="cellIs" dxfId="29554" priority="89901" stopIfTrue="1" operator="equal">
      <formula>-1</formula>
    </cfRule>
  </conditionalFormatting>
  <conditionalFormatting sqref="BD36">
    <cfRule type="cellIs" dxfId="29553" priority="89902" stopIfTrue="1" operator="lessThan">
      <formula>0.5</formula>
    </cfRule>
  </conditionalFormatting>
  <conditionalFormatting sqref="BD36">
    <cfRule type="cellIs" dxfId="29552" priority="89903" stopIfTrue="1" operator="greaterThanOrEqual">
      <formula>0.5</formula>
    </cfRule>
  </conditionalFormatting>
  <conditionalFormatting sqref="BD37">
    <cfRule type="cellIs" dxfId="29551" priority="89904" stopIfTrue="1" operator="equal">
      <formula>-1</formula>
    </cfRule>
  </conditionalFormatting>
  <conditionalFormatting sqref="BD37">
    <cfRule type="cellIs" dxfId="29550" priority="89905" stopIfTrue="1" operator="lessThan">
      <formula>0.5</formula>
    </cfRule>
  </conditionalFormatting>
  <conditionalFormatting sqref="BD37">
    <cfRule type="cellIs" dxfId="29549" priority="89906" stopIfTrue="1" operator="greaterThanOrEqual">
      <formula>0.5</formula>
    </cfRule>
  </conditionalFormatting>
  <conditionalFormatting sqref="BF17">
    <cfRule type="cellIs" dxfId="29548" priority="89907" stopIfTrue="1" operator="equal">
      <formula>-1</formula>
    </cfRule>
  </conditionalFormatting>
  <conditionalFormatting sqref="BF17">
    <cfRule type="cellIs" dxfId="29547" priority="89908" stopIfTrue="1" operator="lessThan">
      <formula>0.5</formula>
    </cfRule>
  </conditionalFormatting>
  <conditionalFormatting sqref="BF17">
    <cfRule type="cellIs" dxfId="29546" priority="89909" stopIfTrue="1" operator="greaterThanOrEqual">
      <formula>0.5</formula>
    </cfRule>
  </conditionalFormatting>
  <conditionalFormatting sqref="BF18">
    <cfRule type="cellIs" dxfId="29545" priority="89910" stopIfTrue="1" operator="equal">
      <formula>-1</formula>
    </cfRule>
  </conditionalFormatting>
  <conditionalFormatting sqref="BF18">
    <cfRule type="cellIs" dxfId="29544" priority="89911" stopIfTrue="1" operator="lessThan">
      <formula>0.5</formula>
    </cfRule>
  </conditionalFormatting>
  <conditionalFormatting sqref="BF18">
    <cfRule type="cellIs" dxfId="29543" priority="89912" stopIfTrue="1" operator="greaterThanOrEqual">
      <formula>0.5</formula>
    </cfRule>
  </conditionalFormatting>
  <conditionalFormatting sqref="BF19">
    <cfRule type="cellIs" dxfId="29542" priority="89913" stopIfTrue="1" operator="equal">
      <formula>-1</formula>
    </cfRule>
  </conditionalFormatting>
  <conditionalFormatting sqref="BF19">
    <cfRule type="cellIs" dxfId="29541" priority="89914" stopIfTrue="1" operator="lessThan">
      <formula>0.5</formula>
    </cfRule>
  </conditionalFormatting>
  <conditionalFormatting sqref="BF19">
    <cfRule type="cellIs" dxfId="29540" priority="89915" stopIfTrue="1" operator="greaterThanOrEqual">
      <formula>0.5</formula>
    </cfRule>
  </conditionalFormatting>
  <conditionalFormatting sqref="BF20">
    <cfRule type="cellIs" dxfId="29539" priority="89916" stopIfTrue="1" operator="equal">
      <formula>-1</formula>
    </cfRule>
  </conditionalFormatting>
  <conditionalFormatting sqref="BF20">
    <cfRule type="cellIs" dxfId="29538" priority="89917" stopIfTrue="1" operator="lessThan">
      <formula>0.5</formula>
    </cfRule>
  </conditionalFormatting>
  <conditionalFormatting sqref="BF20">
    <cfRule type="cellIs" dxfId="29537" priority="89918" stopIfTrue="1" operator="greaterThanOrEqual">
      <formula>0.5</formula>
    </cfRule>
  </conditionalFormatting>
  <conditionalFormatting sqref="BF21">
    <cfRule type="cellIs" dxfId="29536" priority="89919" stopIfTrue="1" operator="equal">
      <formula>-1</formula>
    </cfRule>
  </conditionalFormatting>
  <conditionalFormatting sqref="BF21">
    <cfRule type="cellIs" dxfId="29535" priority="89920" stopIfTrue="1" operator="lessThan">
      <formula>0.5</formula>
    </cfRule>
  </conditionalFormatting>
  <conditionalFormatting sqref="BF21">
    <cfRule type="cellIs" dxfId="29534" priority="89921" stopIfTrue="1" operator="greaterThanOrEqual">
      <formula>0.5</formula>
    </cfRule>
  </conditionalFormatting>
  <conditionalFormatting sqref="BF22">
    <cfRule type="cellIs" dxfId="29533" priority="89922" stopIfTrue="1" operator="equal">
      <formula>-1</formula>
    </cfRule>
  </conditionalFormatting>
  <conditionalFormatting sqref="BF22">
    <cfRule type="cellIs" dxfId="29532" priority="89923" stopIfTrue="1" operator="lessThan">
      <formula>0.5</formula>
    </cfRule>
  </conditionalFormatting>
  <conditionalFormatting sqref="BF22">
    <cfRule type="cellIs" dxfId="29531" priority="89924" stopIfTrue="1" operator="greaterThanOrEqual">
      <formula>0.5</formula>
    </cfRule>
  </conditionalFormatting>
  <conditionalFormatting sqref="BF23">
    <cfRule type="cellIs" dxfId="29530" priority="89925" stopIfTrue="1" operator="equal">
      <formula>-1</formula>
    </cfRule>
  </conditionalFormatting>
  <conditionalFormatting sqref="BF23">
    <cfRule type="cellIs" dxfId="29529" priority="89926" stopIfTrue="1" operator="lessThan">
      <formula>0.5</formula>
    </cfRule>
  </conditionalFormatting>
  <conditionalFormatting sqref="BF23">
    <cfRule type="cellIs" dxfId="29528" priority="89927" stopIfTrue="1" operator="greaterThanOrEqual">
      <formula>0.5</formula>
    </cfRule>
  </conditionalFormatting>
  <conditionalFormatting sqref="BF24">
    <cfRule type="cellIs" dxfId="29527" priority="89928" stopIfTrue="1" operator="equal">
      <formula>-1</formula>
    </cfRule>
  </conditionalFormatting>
  <conditionalFormatting sqref="BF24">
    <cfRule type="cellIs" dxfId="29526" priority="89929" stopIfTrue="1" operator="lessThan">
      <formula>0.5</formula>
    </cfRule>
  </conditionalFormatting>
  <conditionalFormatting sqref="BF24">
    <cfRule type="cellIs" dxfId="29525" priority="89930" stopIfTrue="1" operator="greaterThanOrEqual">
      <formula>0.5</formula>
    </cfRule>
  </conditionalFormatting>
  <conditionalFormatting sqref="BF25">
    <cfRule type="cellIs" dxfId="29524" priority="89931" stopIfTrue="1" operator="equal">
      <formula>-1</formula>
    </cfRule>
  </conditionalFormatting>
  <conditionalFormatting sqref="BF25">
    <cfRule type="cellIs" dxfId="29523" priority="89932" stopIfTrue="1" operator="lessThan">
      <formula>0.5</formula>
    </cfRule>
  </conditionalFormatting>
  <conditionalFormatting sqref="BF25">
    <cfRule type="cellIs" dxfId="29522" priority="89933" stopIfTrue="1" operator="greaterThanOrEqual">
      <formula>0.5</formula>
    </cfRule>
  </conditionalFormatting>
  <conditionalFormatting sqref="BF26">
    <cfRule type="cellIs" dxfId="29521" priority="89934" stopIfTrue="1" operator="equal">
      <formula>-1</formula>
    </cfRule>
  </conditionalFormatting>
  <conditionalFormatting sqref="BF26">
    <cfRule type="cellIs" dxfId="29520" priority="89935" stopIfTrue="1" operator="lessThan">
      <formula>0.5</formula>
    </cfRule>
  </conditionalFormatting>
  <conditionalFormatting sqref="BF26">
    <cfRule type="cellIs" dxfId="29519" priority="89936" stopIfTrue="1" operator="greaterThanOrEqual">
      <formula>0.5</formula>
    </cfRule>
  </conditionalFormatting>
  <conditionalFormatting sqref="BF27">
    <cfRule type="cellIs" dxfId="29518" priority="89937" stopIfTrue="1" operator="equal">
      <formula>-1</formula>
    </cfRule>
  </conditionalFormatting>
  <conditionalFormatting sqref="BF27">
    <cfRule type="cellIs" dxfId="29517" priority="89938" stopIfTrue="1" operator="lessThan">
      <formula>0.5</formula>
    </cfRule>
  </conditionalFormatting>
  <conditionalFormatting sqref="BF27">
    <cfRule type="cellIs" dxfId="29516" priority="89939" stopIfTrue="1" operator="greaterThanOrEqual">
      <formula>0.5</formula>
    </cfRule>
  </conditionalFormatting>
  <conditionalFormatting sqref="BF28">
    <cfRule type="cellIs" dxfId="29515" priority="89940" stopIfTrue="1" operator="equal">
      <formula>-1</formula>
    </cfRule>
  </conditionalFormatting>
  <conditionalFormatting sqref="BF28">
    <cfRule type="cellIs" dxfId="29514" priority="89941" stopIfTrue="1" operator="lessThan">
      <formula>0.5</formula>
    </cfRule>
  </conditionalFormatting>
  <conditionalFormatting sqref="BF28">
    <cfRule type="cellIs" dxfId="29513" priority="89942" stopIfTrue="1" operator="greaterThanOrEqual">
      <formula>0.5</formula>
    </cfRule>
  </conditionalFormatting>
  <conditionalFormatting sqref="BF29">
    <cfRule type="cellIs" dxfId="29512" priority="89943" stopIfTrue="1" operator="equal">
      <formula>-1</formula>
    </cfRule>
  </conditionalFormatting>
  <conditionalFormatting sqref="BF29">
    <cfRule type="cellIs" dxfId="29511" priority="89944" stopIfTrue="1" operator="lessThan">
      <formula>0.5</formula>
    </cfRule>
  </conditionalFormatting>
  <conditionalFormatting sqref="BF29">
    <cfRule type="cellIs" dxfId="29510" priority="89945" stopIfTrue="1" operator="greaterThanOrEqual">
      <formula>0.5</formula>
    </cfRule>
  </conditionalFormatting>
  <conditionalFormatting sqref="BF30">
    <cfRule type="cellIs" dxfId="29509" priority="89946" stopIfTrue="1" operator="equal">
      <formula>-1</formula>
    </cfRule>
  </conditionalFormatting>
  <conditionalFormatting sqref="BF30">
    <cfRule type="cellIs" dxfId="29508" priority="89947" stopIfTrue="1" operator="lessThan">
      <formula>0.5</formula>
    </cfRule>
  </conditionalFormatting>
  <conditionalFormatting sqref="BF30">
    <cfRule type="cellIs" dxfId="29507" priority="89948" stopIfTrue="1" operator="greaterThanOrEqual">
      <formula>0.5</formula>
    </cfRule>
  </conditionalFormatting>
  <conditionalFormatting sqref="BF31">
    <cfRule type="cellIs" dxfId="29506" priority="89949" stopIfTrue="1" operator="equal">
      <formula>-1</formula>
    </cfRule>
  </conditionalFormatting>
  <conditionalFormatting sqref="BF31">
    <cfRule type="cellIs" dxfId="29505" priority="89950" stopIfTrue="1" operator="lessThan">
      <formula>0.5</formula>
    </cfRule>
  </conditionalFormatting>
  <conditionalFormatting sqref="BF31">
    <cfRule type="cellIs" dxfId="29504" priority="89951" stopIfTrue="1" operator="greaterThanOrEqual">
      <formula>0.5</formula>
    </cfRule>
  </conditionalFormatting>
  <conditionalFormatting sqref="BF32">
    <cfRule type="cellIs" dxfId="29503" priority="89952" stopIfTrue="1" operator="equal">
      <formula>-1</formula>
    </cfRule>
  </conditionalFormatting>
  <conditionalFormatting sqref="BF32">
    <cfRule type="cellIs" dxfId="29502" priority="89953" stopIfTrue="1" operator="lessThan">
      <formula>0.5</formula>
    </cfRule>
  </conditionalFormatting>
  <conditionalFormatting sqref="BF32">
    <cfRule type="cellIs" dxfId="29501" priority="89954" stopIfTrue="1" operator="greaterThanOrEqual">
      <formula>0.5</formula>
    </cfRule>
  </conditionalFormatting>
  <conditionalFormatting sqref="BF33">
    <cfRule type="cellIs" dxfId="29500" priority="89955" stopIfTrue="1" operator="equal">
      <formula>-1</formula>
    </cfRule>
  </conditionalFormatting>
  <conditionalFormatting sqref="BF33">
    <cfRule type="cellIs" dxfId="29499" priority="89956" stopIfTrue="1" operator="lessThan">
      <formula>0.5</formula>
    </cfRule>
  </conditionalFormatting>
  <conditionalFormatting sqref="BF33">
    <cfRule type="cellIs" dxfId="29498" priority="89957" stopIfTrue="1" operator="greaterThanOrEqual">
      <formula>0.5</formula>
    </cfRule>
  </conditionalFormatting>
  <conditionalFormatting sqref="BF34">
    <cfRule type="cellIs" dxfId="29497" priority="89958" stopIfTrue="1" operator="equal">
      <formula>-1</formula>
    </cfRule>
  </conditionalFormatting>
  <conditionalFormatting sqref="BF34">
    <cfRule type="cellIs" dxfId="29496" priority="89959" stopIfTrue="1" operator="lessThan">
      <formula>0.5</formula>
    </cfRule>
  </conditionalFormatting>
  <conditionalFormatting sqref="BF34">
    <cfRule type="cellIs" dxfId="29495" priority="89960" stopIfTrue="1" operator="greaterThanOrEqual">
      <formula>0.5</formula>
    </cfRule>
  </conditionalFormatting>
  <conditionalFormatting sqref="BF35">
    <cfRule type="cellIs" dxfId="29494" priority="89961" stopIfTrue="1" operator="equal">
      <formula>-1</formula>
    </cfRule>
  </conditionalFormatting>
  <conditionalFormatting sqref="BF35">
    <cfRule type="cellIs" dxfId="29493" priority="89962" stopIfTrue="1" operator="lessThan">
      <formula>0.5</formula>
    </cfRule>
  </conditionalFormatting>
  <conditionalFormatting sqref="BF35">
    <cfRule type="cellIs" dxfId="29492" priority="89963" stopIfTrue="1" operator="greaterThanOrEqual">
      <formula>0.5</formula>
    </cfRule>
  </conditionalFormatting>
  <conditionalFormatting sqref="BF36">
    <cfRule type="cellIs" dxfId="29491" priority="89964" stopIfTrue="1" operator="equal">
      <formula>-1</formula>
    </cfRule>
  </conditionalFormatting>
  <conditionalFormatting sqref="BF36">
    <cfRule type="cellIs" dxfId="29490" priority="89965" stopIfTrue="1" operator="lessThan">
      <formula>0.5</formula>
    </cfRule>
  </conditionalFormatting>
  <conditionalFormatting sqref="BF36">
    <cfRule type="cellIs" dxfId="29489" priority="89966" stopIfTrue="1" operator="greaterThanOrEqual">
      <formula>0.5</formula>
    </cfRule>
  </conditionalFormatting>
  <conditionalFormatting sqref="BF37">
    <cfRule type="cellIs" dxfId="29488" priority="89967" stopIfTrue="1" operator="equal">
      <formula>-1</formula>
    </cfRule>
  </conditionalFormatting>
  <conditionalFormatting sqref="BF37">
    <cfRule type="cellIs" dxfId="29487" priority="89968" stopIfTrue="1" operator="lessThan">
      <formula>0.5</formula>
    </cfRule>
  </conditionalFormatting>
  <conditionalFormatting sqref="BF37">
    <cfRule type="cellIs" dxfId="29486" priority="89969" stopIfTrue="1" operator="greaterThanOrEqual">
      <formula>0.5</formula>
    </cfRule>
  </conditionalFormatting>
  <conditionalFormatting sqref="BH17">
    <cfRule type="cellIs" dxfId="29485" priority="89970" stopIfTrue="1" operator="equal">
      <formula>-1</formula>
    </cfRule>
  </conditionalFormatting>
  <conditionalFormatting sqref="BH17">
    <cfRule type="cellIs" dxfId="29484" priority="89971" stopIfTrue="1" operator="lessThan">
      <formula>0.5</formula>
    </cfRule>
  </conditionalFormatting>
  <conditionalFormatting sqref="BH17">
    <cfRule type="cellIs" dxfId="29483" priority="89972" stopIfTrue="1" operator="greaterThanOrEqual">
      <formula>0.5</formula>
    </cfRule>
  </conditionalFormatting>
  <conditionalFormatting sqref="BH18">
    <cfRule type="cellIs" dxfId="29482" priority="89973" stopIfTrue="1" operator="equal">
      <formula>-1</formula>
    </cfRule>
  </conditionalFormatting>
  <conditionalFormatting sqref="BH18">
    <cfRule type="cellIs" dxfId="29481" priority="89974" stopIfTrue="1" operator="lessThan">
      <formula>0.5</formula>
    </cfRule>
  </conditionalFormatting>
  <conditionalFormatting sqref="BH18">
    <cfRule type="cellIs" dxfId="29480" priority="89975" stopIfTrue="1" operator="greaterThanOrEqual">
      <formula>0.5</formula>
    </cfRule>
  </conditionalFormatting>
  <conditionalFormatting sqref="BH19">
    <cfRule type="cellIs" dxfId="29479" priority="89976" stopIfTrue="1" operator="equal">
      <formula>-1</formula>
    </cfRule>
  </conditionalFormatting>
  <conditionalFormatting sqref="BH19">
    <cfRule type="cellIs" dxfId="29478" priority="89977" stopIfTrue="1" operator="lessThan">
      <formula>0.5</formula>
    </cfRule>
  </conditionalFormatting>
  <conditionalFormatting sqref="BH19">
    <cfRule type="cellIs" dxfId="29477" priority="89978" stopIfTrue="1" operator="greaterThanOrEqual">
      <formula>0.5</formula>
    </cfRule>
  </conditionalFormatting>
  <conditionalFormatting sqref="BH20">
    <cfRule type="cellIs" dxfId="29476" priority="89979" stopIfTrue="1" operator="equal">
      <formula>-1</formula>
    </cfRule>
  </conditionalFormatting>
  <conditionalFormatting sqref="BH20">
    <cfRule type="cellIs" dxfId="29475" priority="89980" stopIfTrue="1" operator="lessThan">
      <formula>0.5</formula>
    </cfRule>
  </conditionalFormatting>
  <conditionalFormatting sqref="BH20">
    <cfRule type="cellIs" dxfId="29474" priority="89981" stopIfTrue="1" operator="greaterThanOrEqual">
      <formula>0.5</formula>
    </cfRule>
  </conditionalFormatting>
  <conditionalFormatting sqref="BH21">
    <cfRule type="cellIs" dxfId="29473" priority="89982" stopIfTrue="1" operator="equal">
      <formula>-1</formula>
    </cfRule>
  </conditionalFormatting>
  <conditionalFormatting sqref="BH21">
    <cfRule type="cellIs" dxfId="29472" priority="89983" stopIfTrue="1" operator="lessThan">
      <formula>0.5</formula>
    </cfRule>
  </conditionalFormatting>
  <conditionalFormatting sqref="BH21">
    <cfRule type="cellIs" dxfId="29471" priority="89984" stopIfTrue="1" operator="greaterThanOrEqual">
      <formula>0.5</formula>
    </cfRule>
  </conditionalFormatting>
  <conditionalFormatting sqref="BH22">
    <cfRule type="cellIs" dxfId="29470" priority="89985" stopIfTrue="1" operator="equal">
      <formula>-1</formula>
    </cfRule>
  </conditionalFormatting>
  <conditionalFormatting sqref="BH22">
    <cfRule type="cellIs" dxfId="29469" priority="89986" stopIfTrue="1" operator="lessThan">
      <formula>0.5</formula>
    </cfRule>
  </conditionalFormatting>
  <conditionalFormatting sqref="BH22">
    <cfRule type="cellIs" dxfId="29468" priority="89987" stopIfTrue="1" operator="greaterThanOrEqual">
      <formula>0.5</formula>
    </cfRule>
  </conditionalFormatting>
  <conditionalFormatting sqref="BH23">
    <cfRule type="cellIs" dxfId="29467" priority="89988" stopIfTrue="1" operator="equal">
      <formula>-1</formula>
    </cfRule>
  </conditionalFormatting>
  <conditionalFormatting sqref="BH23">
    <cfRule type="cellIs" dxfId="29466" priority="89989" stopIfTrue="1" operator="lessThan">
      <formula>0.5</formula>
    </cfRule>
  </conditionalFormatting>
  <conditionalFormatting sqref="BH23">
    <cfRule type="cellIs" dxfId="29465" priority="89990" stopIfTrue="1" operator="greaterThanOrEqual">
      <formula>0.5</formula>
    </cfRule>
  </conditionalFormatting>
  <conditionalFormatting sqref="BH24">
    <cfRule type="cellIs" dxfId="29464" priority="89991" stopIfTrue="1" operator="equal">
      <formula>-1</formula>
    </cfRule>
  </conditionalFormatting>
  <conditionalFormatting sqref="BH24">
    <cfRule type="cellIs" dxfId="29463" priority="89992" stopIfTrue="1" operator="lessThan">
      <formula>0.5</formula>
    </cfRule>
  </conditionalFormatting>
  <conditionalFormatting sqref="BH24">
    <cfRule type="cellIs" dxfId="29462" priority="89993" stopIfTrue="1" operator="greaterThanOrEqual">
      <formula>0.5</formula>
    </cfRule>
  </conditionalFormatting>
  <conditionalFormatting sqref="BH25">
    <cfRule type="cellIs" dxfId="29461" priority="89994" stopIfTrue="1" operator="equal">
      <formula>-1</formula>
    </cfRule>
  </conditionalFormatting>
  <conditionalFormatting sqref="BH25">
    <cfRule type="cellIs" dxfId="29460" priority="89995" stopIfTrue="1" operator="lessThan">
      <formula>0.5</formula>
    </cfRule>
  </conditionalFormatting>
  <conditionalFormatting sqref="BH25">
    <cfRule type="cellIs" dxfId="29459" priority="89996" stopIfTrue="1" operator="greaterThanOrEqual">
      <formula>0.5</formula>
    </cfRule>
  </conditionalFormatting>
  <conditionalFormatting sqref="BH26">
    <cfRule type="cellIs" dxfId="29458" priority="89997" stopIfTrue="1" operator="equal">
      <formula>-1</formula>
    </cfRule>
  </conditionalFormatting>
  <conditionalFormatting sqref="BH26">
    <cfRule type="cellIs" dxfId="29457" priority="89998" stopIfTrue="1" operator="lessThan">
      <formula>0.5</formula>
    </cfRule>
  </conditionalFormatting>
  <conditionalFormatting sqref="BH26">
    <cfRule type="cellIs" dxfId="29456" priority="89999" stopIfTrue="1" operator="greaterThanOrEqual">
      <formula>0.5</formula>
    </cfRule>
  </conditionalFormatting>
  <conditionalFormatting sqref="BH27">
    <cfRule type="cellIs" dxfId="29455" priority="90000" stopIfTrue="1" operator="equal">
      <formula>-1</formula>
    </cfRule>
  </conditionalFormatting>
  <conditionalFormatting sqref="BH27">
    <cfRule type="cellIs" dxfId="29454" priority="90001" stopIfTrue="1" operator="lessThan">
      <formula>0.5</formula>
    </cfRule>
  </conditionalFormatting>
  <conditionalFormatting sqref="BH27">
    <cfRule type="cellIs" dxfId="29453" priority="90002" stopIfTrue="1" operator="greaterThanOrEqual">
      <formula>0.5</formula>
    </cfRule>
  </conditionalFormatting>
  <conditionalFormatting sqref="BH28">
    <cfRule type="cellIs" dxfId="29452" priority="90003" stopIfTrue="1" operator="equal">
      <formula>-1</formula>
    </cfRule>
  </conditionalFormatting>
  <conditionalFormatting sqref="BH28">
    <cfRule type="cellIs" dxfId="29451" priority="90004" stopIfTrue="1" operator="lessThan">
      <formula>0.5</formula>
    </cfRule>
  </conditionalFormatting>
  <conditionalFormatting sqref="BH28">
    <cfRule type="cellIs" dxfId="29450" priority="90005" stopIfTrue="1" operator="greaterThanOrEqual">
      <formula>0.5</formula>
    </cfRule>
  </conditionalFormatting>
  <conditionalFormatting sqref="BH29">
    <cfRule type="cellIs" dxfId="29449" priority="90006" stopIfTrue="1" operator="equal">
      <formula>-1</formula>
    </cfRule>
  </conditionalFormatting>
  <conditionalFormatting sqref="BH29">
    <cfRule type="cellIs" dxfId="29448" priority="90007" stopIfTrue="1" operator="lessThan">
      <formula>0.5</formula>
    </cfRule>
  </conditionalFormatting>
  <conditionalFormatting sqref="BH29">
    <cfRule type="cellIs" dxfId="29447" priority="90008" stopIfTrue="1" operator="greaterThanOrEqual">
      <formula>0.5</formula>
    </cfRule>
  </conditionalFormatting>
  <conditionalFormatting sqref="BH30">
    <cfRule type="cellIs" dxfId="29446" priority="90009" stopIfTrue="1" operator="equal">
      <formula>-1</formula>
    </cfRule>
  </conditionalFormatting>
  <conditionalFormatting sqref="BH30">
    <cfRule type="cellIs" dxfId="29445" priority="90010" stopIfTrue="1" operator="lessThan">
      <formula>0.5</formula>
    </cfRule>
  </conditionalFormatting>
  <conditionalFormatting sqref="BH30">
    <cfRule type="cellIs" dxfId="29444" priority="90011" stopIfTrue="1" operator="greaterThanOrEqual">
      <formula>0.5</formula>
    </cfRule>
  </conditionalFormatting>
  <conditionalFormatting sqref="BH31">
    <cfRule type="cellIs" dxfId="29443" priority="90012" stopIfTrue="1" operator="equal">
      <formula>-1</formula>
    </cfRule>
  </conditionalFormatting>
  <conditionalFormatting sqref="BH31">
    <cfRule type="cellIs" dxfId="29442" priority="90013" stopIfTrue="1" operator="lessThan">
      <formula>0.5</formula>
    </cfRule>
  </conditionalFormatting>
  <conditionalFormatting sqref="BH31">
    <cfRule type="cellIs" dxfId="29441" priority="90014" stopIfTrue="1" operator="greaterThanOrEqual">
      <formula>0.5</formula>
    </cfRule>
  </conditionalFormatting>
  <conditionalFormatting sqref="BH32">
    <cfRule type="cellIs" dxfId="29440" priority="90015" stopIfTrue="1" operator="equal">
      <formula>-1</formula>
    </cfRule>
  </conditionalFormatting>
  <conditionalFormatting sqref="BH32">
    <cfRule type="cellIs" dxfId="29439" priority="90016" stopIfTrue="1" operator="lessThan">
      <formula>0.5</formula>
    </cfRule>
  </conditionalFormatting>
  <conditionalFormatting sqref="BH32">
    <cfRule type="cellIs" dxfId="29438" priority="90017" stopIfTrue="1" operator="greaterThanOrEqual">
      <formula>0.5</formula>
    </cfRule>
  </conditionalFormatting>
  <conditionalFormatting sqref="BH33">
    <cfRule type="cellIs" dxfId="29437" priority="90018" stopIfTrue="1" operator="equal">
      <formula>-1</formula>
    </cfRule>
  </conditionalFormatting>
  <conditionalFormatting sqref="BH33">
    <cfRule type="cellIs" dxfId="29436" priority="90019" stopIfTrue="1" operator="lessThan">
      <formula>0.5</formula>
    </cfRule>
  </conditionalFormatting>
  <conditionalFormatting sqref="BH33">
    <cfRule type="cellIs" dxfId="29435" priority="90020" stopIfTrue="1" operator="greaterThanOrEqual">
      <formula>0.5</formula>
    </cfRule>
  </conditionalFormatting>
  <conditionalFormatting sqref="BH34">
    <cfRule type="cellIs" dxfId="29434" priority="90021" stopIfTrue="1" operator="equal">
      <formula>-1</formula>
    </cfRule>
  </conditionalFormatting>
  <conditionalFormatting sqref="BH34">
    <cfRule type="cellIs" dxfId="29433" priority="90022" stopIfTrue="1" operator="lessThan">
      <formula>0.5</formula>
    </cfRule>
  </conditionalFormatting>
  <conditionalFormatting sqref="BH34">
    <cfRule type="cellIs" dxfId="29432" priority="90023" stopIfTrue="1" operator="greaterThanOrEqual">
      <formula>0.5</formula>
    </cfRule>
  </conditionalFormatting>
  <conditionalFormatting sqref="BH35">
    <cfRule type="cellIs" dxfId="29431" priority="90024" stopIfTrue="1" operator="equal">
      <formula>-1</formula>
    </cfRule>
  </conditionalFormatting>
  <conditionalFormatting sqref="BH35">
    <cfRule type="cellIs" dxfId="29430" priority="90025" stopIfTrue="1" operator="lessThan">
      <formula>0.5</formula>
    </cfRule>
  </conditionalFormatting>
  <conditionalFormatting sqref="BH35">
    <cfRule type="cellIs" dxfId="29429" priority="90026" stopIfTrue="1" operator="greaterThanOrEqual">
      <formula>0.5</formula>
    </cfRule>
  </conditionalFormatting>
  <conditionalFormatting sqref="BH36">
    <cfRule type="cellIs" dxfId="29428" priority="90027" stopIfTrue="1" operator="equal">
      <formula>-1</formula>
    </cfRule>
  </conditionalFormatting>
  <conditionalFormatting sqref="BH36">
    <cfRule type="cellIs" dxfId="29427" priority="90028" stopIfTrue="1" operator="lessThan">
      <formula>0.5</formula>
    </cfRule>
  </conditionalFormatting>
  <conditionalFormatting sqref="BH36">
    <cfRule type="cellIs" dxfId="29426" priority="90029" stopIfTrue="1" operator="greaterThanOrEqual">
      <formula>0.5</formula>
    </cfRule>
  </conditionalFormatting>
  <conditionalFormatting sqref="BH37">
    <cfRule type="cellIs" dxfId="29425" priority="90030" stopIfTrue="1" operator="equal">
      <formula>-1</formula>
    </cfRule>
  </conditionalFormatting>
  <conditionalFormatting sqref="BH37">
    <cfRule type="cellIs" dxfId="29424" priority="90031" stopIfTrue="1" operator="lessThan">
      <formula>0.5</formula>
    </cfRule>
  </conditionalFormatting>
  <conditionalFormatting sqref="BH37">
    <cfRule type="cellIs" dxfId="29423" priority="90032" stopIfTrue="1" operator="greaterThanOrEqual">
      <formula>0.5</formula>
    </cfRule>
  </conditionalFormatting>
  <conditionalFormatting sqref="BJ17">
    <cfRule type="cellIs" dxfId="29422" priority="90033" stopIfTrue="1" operator="equal">
      <formula>-1</formula>
    </cfRule>
  </conditionalFormatting>
  <conditionalFormatting sqref="BJ17">
    <cfRule type="cellIs" dxfId="29421" priority="90034" stopIfTrue="1" operator="lessThan">
      <formula>0.5</formula>
    </cfRule>
  </conditionalFormatting>
  <conditionalFormatting sqref="BJ17">
    <cfRule type="cellIs" dxfId="29420" priority="90035" stopIfTrue="1" operator="greaterThanOrEqual">
      <formula>0.5</formula>
    </cfRule>
  </conditionalFormatting>
  <conditionalFormatting sqref="BJ18">
    <cfRule type="cellIs" dxfId="29419" priority="90036" stopIfTrue="1" operator="equal">
      <formula>-1</formula>
    </cfRule>
  </conditionalFormatting>
  <conditionalFormatting sqref="BJ18">
    <cfRule type="cellIs" dxfId="29418" priority="90037" stopIfTrue="1" operator="lessThan">
      <formula>0.5</formula>
    </cfRule>
  </conditionalFormatting>
  <conditionalFormatting sqref="BJ18">
    <cfRule type="cellIs" dxfId="29417" priority="90038" stopIfTrue="1" operator="greaterThanOrEqual">
      <formula>0.5</formula>
    </cfRule>
  </conditionalFormatting>
  <conditionalFormatting sqref="BJ19">
    <cfRule type="cellIs" dxfId="29416" priority="90039" stopIfTrue="1" operator="equal">
      <formula>-1</formula>
    </cfRule>
  </conditionalFormatting>
  <conditionalFormatting sqref="BJ19">
    <cfRule type="cellIs" dxfId="29415" priority="90040" stopIfTrue="1" operator="lessThan">
      <formula>0.5</formula>
    </cfRule>
  </conditionalFormatting>
  <conditionalFormatting sqref="BJ19">
    <cfRule type="cellIs" dxfId="29414" priority="90041" stopIfTrue="1" operator="greaterThanOrEqual">
      <formula>0.5</formula>
    </cfRule>
  </conditionalFormatting>
  <conditionalFormatting sqref="BJ20">
    <cfRule type="cellIs" dxfId="29413" priority="90042" stopIfTrue="1" operator="equal">
      <formula>-1</formula>
    </cfRule>
  </conditionalFormatting>
  <conditionalFormatting sqref="BJ20">
    <cfRule type="cellIs" dxfId="29412" priority="90043" stopIfTrue="1" operator="lessThan">
      <formula>0.5</formula>
    </cfRule>
  </conditionalFormatting>
  <conditionalFormatting sqref="BJ20">
    <cfRule type="cellIs" dxfId="29411" priority="90044" stopIfTrue="1" operator="greaterThanOrEqual">
      <formula>0.5</formula>
    </cfRule>
  </conditionalFormatting>
  <conditionalFormatting sqref="BJ21">
    <cfRule type="cellIs" dxfId="29410" priority="90045" stopIfTrue="1" operator="equal">
      <formula>-1</formula>
    </cfRule>
  </conditionalFormatting>
  <conditionalFormatting sqref="BJ21">
    <cfRule type="cellIs" dxfId="29409" priority="90046" stopIfTrue="1" operator="lessThan">
      <formula>0.5</formula>
    </cfRule>
  </conditionalFormatting>
  <conditionalFormatting sqref="BJ21">
    <cfRule type="cellIs" dxfId="29408" priority="90047" stopIfTrue="1" operator="greaterThanOrEqual">
      <formula>0.5</formula>
    </cfRule>
  </conditionalFormatting>
  <conditionalFormatting sqref="BJ22">
    <cfRule type="cellIs" dxfId="29407" priority="90048" stopIfTrue="1" operator="equal">
      <formula>-1</formula>
    </cfRule>
  </conditionalFormatting>
  <conditionalFormatting sqref="BJ22">
    <cfRule type="cellIs" dxfId="29406" priority="90049" stopIfTrue="1" operator="lessThan">
      <formula>0.5</formula>
    </cfRule>
  </conditionalFormatting>
  <conditionalFormatting sqref="BJ22">
    <cfRule type="cellIs" dxfId="29405" priority="90050" stopIfTrue="1" operator="greaterThanOrEqual">
      <formula>0.5</formula>
    </cfRule>
  </conditionalFormatting>
  <conditionalFormatting sqref="BJ23">
    <cfRule type="cellIs" dxfId="29404" priority="90051" stopIfTrue="1" operator="equal">
      <formula>-1</formula>
    </cfRule>
  </conditionalFormatting>
  <conditionalFormatting sqref="BJ23">
    <cfRule type="cellIs" dxfId="29403" priority="90052" stopIfTrue="1" operator="lessThan">
      <formula>0.5</formula>
    </cfRule>
  </conditionalFormatting>
  <conditionalFormatting sqref="BJ23">
    <cfRule type="cellIs" dxfId="29402" priority="90053" stopIfTrue="1" operator="greaterThanOrEqual">
      <formula>0.5</formula>
    </cfRule>
  </conditionalFormatting>
  <conditionalFormatting sqref="BJ24">
    <cfRule type="cellIs" dxfId="29401" priority="90054" stopIfTrue="1" operator="equal">
      <formula>-1</formula>
    </cfRule>
  </conditionalFormatting>
  <conditionalFormatting sqref="BJ24">
    <cfRule type="cellIs" dxfId="29400" priority="90055" stopIfTrue="1" operator="lessThan">
      <formula>0.5</formula>
    </cfRule>
  </conditionalFormatting>
  <conditionalFormatting sqref="BJ24">
    <cfRule type="cellIs" dxfId="29399" priority="90056" stopIfTrue="1" operator="greaterThanOrEqual">
      <formula>0.5</formula>
    </cfRule>
  </conditionalFormatting>
  <conditionalFormatting sqref="BJ25">
    <cfRule type="cellIs" dxfId="29398" priority="90057" stopIfTrue="1" operator="equal">
      <formula>-1</formula>
    </cfRule>
  </conditionalFormatting>
  <conditionalFormatting sqref="BJ25">
    <cfRule type="cellIs" dxfId="29397" priority="90058" stopIfTrue="1" operator="lessThan">
      <formula>0.5</formula>
    </cfRule>
  </conditionalFormatting>
  <conditionalFormatting sqref="BJ25">
    <cfRule type="cellIs" dxfId="29396" priority="90059" stopIfTrue="1" operator="greaterThanOrEqual">
      <formula>0.5</formula>
    </cfRule>
  </conditionalFormatting>
  <conditionalFormatting sqref="BJ26">
    <cfRule type="cellIs" dxfId="29395" priority="90060" stopIfTrue="1" operator="equal">
      <formula>-1</formula>
    </cfRule>
  </conditionalFormatting>
  <conditionalFormatting sqref="BJ26">
    <cfRule type="cellIs" dxfId="29394" priority="90061" stopIfTrue="1" operator="lessThan">
      <formula>0.5</formula>
    </cfRule>
  </conditionalFormatting>
  <conditionalFormatting sqref="BJ26">
    <cfRule type="cellIs" dxfId="29393" priority="90062" stopIfTrue="1" operator="greaterThanOrEqual">
      <formula>0.5</formula>
    </cfRule>
  </conditionalFormatting>
  <conditionalFormatting sqref="BJ27">
    <cfRule type="cellIs" dxfId="29392" priority="90063" stopIfTrue="1" operator="equal">
      <formula>-1</formula>
    </cfRule>
  </conditionalFormatting>
  <conditionalFormatting sqref="BJ27">
    <cfRule type="cellIs" dxfId="29391" priority="90064" stopIfTrue="1" operator="lessThan">
      <formula>0.5</formula>
    </cfRule>
  </conditionalFormatting>
  <conditionalFormatting sqref="BJ27">
    <cfRule type="cellIs" dxfId="29390" priority="90065" stopIfTrue="1" operator="greaterThanOrEqual">
      <formula>0.5</formula>
    </cfRule>
  </conditionalFormatting>
  <conditionalFormatting sqref="BJ28">
    <cfRule type="cellIs" dxfId="29389" priority="90066" stopIfTrue="1" operator="equal">
      <formula>-1</formula>
    </cfRule>
  </conditionalFormatting>
  <conditionalFormatting sqref="BJ28">
    <cfRule type="cellIs" dxfId="29388" priority="90067" stopIfTrue="1" operator="lessThan">
      <formula>0.5</formula>
    </cfRule>
  </conditionalFormatting>
  <conditionalFormatting sqref="BJ28">
    <cfRule type="cellIs" dxfId="29387" priority="90068" stopIfTrue="1" operator="greaterThanOrEqual">
      <formula>0.5</formula>
    </cfRule>
  </conditionalFormatting>
  <conditionalFormatting sqref="BJ29">
    <cfRule type="cellIs" dxfId="29386" priority="90069" stopIfTrue="1" operator="equal">
      <formula>-1</formula>
    </cfRule>
  </conditionalFormatting>
  <conditionalFormatting sqref="BJ29">
    <cfRule type="cellIs" dxfId="29385" priority="90070" stopIfTrue="1" operator="lessThan">
      <formula>0.5</formula>
    </cfRule>
  </conditionalFormatting>
  <conditionalFormatting sqref="BJ29">
    <cfRule type="cellIs" dxfId="29384" priority="90071" stopIfTrue="1" operator="greaterThanOrEqual">
      <formula>0.5</formula>
    </cfRule>
  </conditionalFormatting>
  <conditionalFormatting sqref="BJ30">
    <cfRule type="cellIs" dxfId="29383" priority="90072" stopIfTrue="1" operator="equal">
      <formula>-1</formula>
    </cfRule>
  </conditionalFormatting>
  <conditionalFormatting sqref="BJ30">
    <cfRule type="cellIs" dxfId="29382" priority="90073" stopIfTrue="1" operator="lessThan">
      <formula>0.5</formula>
    </cfRule>
  </conditionalFormatting>
  <conditionalFormatting sqref="BJ30">
    <cfRule type="cellIs" dxfId="29381" priority="90074" stopIfTrue="1" operator="greaterThanOrEqual">
      <formula>0.5</formula>
    </cfRule>
  </conditionalFormatting>
  <conditionalFormatting sqref="BJ31">
    <cfRule type="cellIs" dxfId="29380" priority="90075" stopIfTrue="1" operator="equal">
      <formula>-1</formula>
    </cfRule>
  </conditionalFormatting>
  <conditionalFormatting sqref="BJ31">
    <cfRule type="cellIs" dxfId="29379" priority="90076" stopIfTrue="1" operator="lessThan">
      <formula>0.5</formula>
    </cfRule>
  </conditionalFormatting>
  <conditionalFormatting sqref="BJ31">
    <cfRule type="cellIs" dxfId="29378" priority="90077" stopIfTrue="1" operator="greaterThanOrEqual">
      <formula>0.5</formula>
    </cfRule>
  </conditionalFormatting>
  <conditionalFormatting sqref="BJ32">
    <cfRule type="cellIs" dxfId="29377" priority="90078" stopIfTrue="1" operator="equal">
      <formula>-1</formula>
    </cfRule>
  </conditionalFormatting>
  <conditionalFormatting sqref="BJ32">
    <cfRule type="cellIs" dxfId="29376" priority="90079" stopIfTrue="1" operator="lessThan">
      <formula>0.5</formula>
    </cfRule>
  </conditionalFormatting>
  <conditionalFormatting sqref="BJ32">
    <cfRule type="cellIs" dxfId="29375" priority="90080" stopIfTrue="1" operator="greaterThanOrEqual">
      <formula>0.5</formula>
    </cfRule>
  </conditionalFormatting>
  <conditionalFormatting sqref="BJ33">
    <cfRule type="cellIs" dxfId="29374" priority="90081" stopIfTrue="1" operator="equal">
      <formula>-1</formula>
    </cfRule>
  </conditionalFormatting>
  <conditionalFormatting sqref="BJ33">
    <cfRule type="cellIs" dxfId="29373" priority="90082" stopIfTrue="1" operator="lessThan">
      <formula>0.5</formula>
    </cfRule>
  </conditionalFormatting>
  <conditionalFormatting sqref="BJ33">
    <cfRule type="cellIs" dxfId="29372" priority="90083" stopIfTrue="1" operator="greaterThanOrEqual">
      <formula>0.5</formula>
    </cfRule>
  </conditionalFormatting>
  <conditionalFormatting sqref="BJ34">
    <cfRule type="cellIs" dxfId="29371" priority="90084" stopIfTrue="1" operator="equal">
      <formula>-1</formula>
    </cfRule>
  </conditionalFormatting>
  <conditionalFormatting sqref="BJ34">
    <cfRule type="cellIs" dxfId="29370" priority="90085" stopIfTrue="1" operator="lessThan">
      <formula>0.5</formula>
    </cfRule>
  </conditionalFormatting>
  <conditionalFormatting sqref="BJ34">
    <cfRule type="cellIs" dxfId="29369" priority="90086" stopIfTrue="1" operator="greaterThanOrEqual">
      <formula>0.5</formula>
    </cfRule>
  </conditionalFormatting>
  <conditionalFormatting sqref="BJ35">
    <cfRule type="cellIs" dxfId="29368" priority="90087" stopIfTrue="1" operator="equal">
      <formula>-1</formula>
    </cfRule>
  </conditionalFormatting>
  <conditionalFormatting sqref="BJ35">
    <cfRule type="cellIs" dxfId="29367" priority="90088" stopIfTrue="1" operator="lessThan">
      <formula>0.5</formula>
    </cfRule>
  </conditionalFormatting>
  <conditionalFormatting sqref="BJ35">
    <cfRule type="cellIs" dxfId="29366" priority="90089" stopIfTrue="1" operator="greaterThanOrEqual">
      <formula>0.5</formula>
    </cfRule>
  </conditionalFormatting>
  <conditionalFormatting sqref="BJ36">
    <cfRule type="cellIs" dxfId="29365" priority="90090" stopIfTrue="1" operator="equal">
      <formula>-1</formula>
    </cfRule>
  </conditionalFormatting>
  <conditionalFormatting sqref="BJ36">
    <cfRule type="cellIs" dxfId="29364" priority="90091" stopIfTrue="1" operator="lessThan">
      <formula>0.5</formula>
    </cfRule>
  </conditionalFormatting>
  <conditionalFormatting sqref="BJ36">
    <cfRule type="cellIs" dxfId="29363" priority="90092" stopIfTrue="1" operator="greaterThanOrEqual">
      <formula>0.5</formula>
    </cfRule>
  </conditionalFormatting>
  <conditionalFormatting sqref="BJ37">
    <cfRule type="cellIs" dxfId="29362" priority="90093" stopIfTrue="1" operator="equal">
      <formula>-1</formula>
    </cfRule>
  </conditionalFormatting>
  <conditionalFormatting sqref="BJ37">
    <cfRule type="cellIs" dxfId="29361" priority="90094" stopIfTrue="1" operator="lessThan">
      <formula>0.5</formula>
    </cfRule>
  </conditionalFormatting>
  <conditionalFormatting sqref="BJ37">
    <cfRule type="cellIs" dxfId="29360" priority="90095" stopIfTrue="1" operator="greaterThanOrEqual">
      <formula>0.5</formula>
    </cfRule>
  </conditionalFormatting>
  <conditionalFormatting sqref="D39">
    <cfRule type="cellIs" dxfId="29359" priority="90096" stopIfTrue="1" operator="equal">
      <formula>-1</formula>
    </cfRule>
  </conditionalFormatting>
  <conditionalFormatting sqref="D39">
    <cfRule type="cellIs" dxfId="29358" priority="90097" stopIfTrue="1" operator="lessThan">
      <formula>0.5</formula>
    </cfRule>
  </conditionalFormatting>
  <conditionalFormatting sqref="D39">
    <cfRule type="cellIs" dxfId="29357" priority="90098" stopIfTrue="1" operator="greaterThanOrEqual">
      <formula>0.5</formula>
    </cfRule>
  </conditionalFormatting>
  <conditionalFormatting sqref="D40">
    <cfRule type="cellIs" dxfId="29356" priority="90099" stopIfTrue="1" operator="equal">
      <formula>-1</formula>
    </cfRule>
  </conditionalFormatting>
  <conditionalFormatting sqref="D40">
    <cfRule type="cellIs" dxfId="29355" priority="90100" stopIfTrue="1" operator="lessThan">
      <formula>0.5</formula>
    </cfRule>
  </conditionalFormatting>
  <conditionalFormatting sqref="D40">
    <cfRule type="cellIs" dxfId="29354" priority="90101" stopIfTrue="1" operator="greaterThanOrEqual">
      <formula>0.5</formula>
    </cfRule>
  </conditionalFormatting>
  <conditionalFormatting sqref="D41">
    <cfRule type="cellIs" dxfId="29353" priority="90102" stopIfTrue="1" operator="equal">
      <formula>-1</formula>
    </cfRule>
  </conditionalFormatting>
  <conditionalFormatting sqref="D41">
    <cfRule type="cellIs" dxfId="29352" priority="90103" stopIfTrue="1" operator="lessThan">
      <formula>0.5</formula>
    </cfRule>
  </conditionalFormatting>
  <conditionalFormatting sqref="D41">
    <cfRule type="cellIs" dxfId="29351" priority="90104" stopIfTrue="1" operator="greaterThanOrEqual">
      <formula>0.5</formula>
    </cfRule>
  </conditionalFormatting>
  <conditionalFormatting sqref="D42">
    <cfRule type="cellIs" dxfId="29350" priority="90105" stopIfTrue="1" operator="equal">
      <formula>-1</formula>
    </cfRule>
  </conditionalFormatting>
  <conditionalFormatting sqref="D42">
    <cfRule type="cellIs" dxfId="29349" priority="90106" stopIfTrue="1" operator="lessThan">
      <formula>0.5</formula>
    </cfRule>
  </conditionalFormatting>
  <conditionalFormatting sqref="D42">
    <cfRule type="cellIs" dxfId="29348" priority="90107" stopIfTrue="1" operator="greaterThanOrEqual">
      <formula>0.5</formula>
    </cfRule>
  </conditionalFormatting>
  <conditionalFormatting sqref="D43">
    <cfRule type="cellIs" dxfId="29347" priority="90108" stopIfTrue="1" operator="equal">
      <formula>-1</formula>
    </cfRule>
  </conditionalFormatting>
  <conditionalFormatting sqref="D43">
    <cfRule type="cellIs" dxfId="29346" priority="90109" stopIfTrue="1" operator="lessThan">
      <formula>0.5</formula>
    </cfRule>
  </conditionalFormatting>
  <conditionalFormatting sqref="D43">
    <cfRule type="cellIs" dxfId="29345" priority="90110" stopIfTrue="1" operator="greaterThanOrEqual">
      <formula>0.5</formula>
    </cfRule>
  </conditionalFormatting>
  <conditionalFormatting sqref="D44">
    <cfRule type="cellIs" dxfId="29344" priority="90111" stopIfTrue="1" operator="equal">
      <formula>-1</formula>
    </cfRule>
  </conditionalFormatting>
  <conditionalFormatting sqref="D44">
    <cfRule type="cellIs" dxfId="29343" priority="90112" stopIfTrue="1" operator="lessThan">
      <formula>0.5</formula>
    </cfRule>
  </conditionalFormatting>
  <conditionalFormatting sqref="D44">
    <cfRule type="cellIs" dxfId="29342" priority="90113" stopIfTrue="1" operator="greaterThanOrEqual">
      <formula>0.5</formula>
    </cfRule>
  </conditionalFormatting>
  <conditionalFormatting sqref="D45">
    <cfRule type="cellIs" dxfId="29341" priority="90114" stopIfTrue="1" operator="equal">
      <formula>-1</formula>
    </cfRule>
  </conditionalFormatting>
  <conditionalFormatting sqref="D45">
    <cfRule type="cellIs" dxfId="29340" priority="90115" stopIfTrue="1" operator="lessThan">
      <formula>0.5</formula>
    </cfRule>
  </conditionalFormatting>
  <conditionalFormatting sqref="D45">
    <cfRule type="cellIs" dxfId="29339" priority="90116" stopIfTrue="1" operator="greaterThanOrEqual">
      <formula>0.5</formula>
    </cfRule>
  </conditionalFormatting>
  <conditionalFormatting sqref="D46">
    <cfRule type="cellIs" dxfId="29338" priority="90117" stopIfTrue="1" operator="equal">
      <formula>-1</formula>
    </cfRule>
  </conditionalFormatting>
  <conditionalFormatting sqref="D46">
    <cfRule type="cellIs" dxfId="29337" priority="90118" stopIfTrue="1" operator="lessThan">
      <formula>0.5</formula>
    </cfRule>
  </conditionalFormatting>
  <conditionalFormatting sqref="D46">
    <cfRule type="cellIs" dxfId="29336" priority="90119" stopIfTrue="1" operator="greaterThanOrEqual">
      <formula>0.5</formula>
    </cfRule>
  </conditionalFormatting>
  <conditionalFormatting sqref="D47">
    <cfRule type="cellIs" dxfId="29335" priority="90120" stopIfTrue="1" operator="equal">
      <formula>-1</formula>
    </cfRule>
  </conditionalFormatting>
  <conditionalFormatting sqref="D47">
    <cfRule type="cellIs" dxfId="29334" priority="90121" stopIfTrue="1" operator="lessThan">
      <formula>0.5</formula>
    </cfRule>
  </conditionalFormatting>
  <conditionalFormatting sqref="D47">
    <cfRule type="cellIs" dxfId="29333" priority="90122" stopIfTrue="1" operator="greaterThanOrEqual">
      <formula>0.5</formula>
    </cfRule>
  </conditionalFormatting>
  <conditionalFormatting sqref="D48">
    <cfRule type="cellIs" dxfId="29332" priority="90123" stopIfTrue="1" operator="equal">
      <formula>-1</formula>
    </cfRule>
  </conditionalFormatting>
  <conditionalFormatting sqref="D48">
    <cfRule type="cellIs" dxfId="29331" priority="90124" stopIfTrue="1" operator="lessThan">
      <formula>0.5</formula>
    </cfRule>
  </conditionalFormatting>
  <conditionalFormatting sqref="D48">
    <cfRule type="cellIs" dxfId="29330" priority="90125" stopIfTrue="1" operator="greaterThanOrEqual">
      <formula>0.5</formula>
    </cfRule>
  </conditionalFormatting>
  <conditionalFormatting sqref="D49">
    <cfRule type="cellIs" dxfId="29329" priority="90126" stopIfTrue="1" operator="equal">
      <formula>-1</formula>
    </cfRule>
  </conditionalFormatting>
  <conditionalFormatting sqref="D49">
    <cfRule type="cellIs" dxfId="29328" priority="90127" stopIfTrue="1" operator="lessThan">
      <formula>0.5</formula>
    </cfRule>
  </conditionalFormatting>
  <conditionalFormatting sqref="D49">
    <cfRule type="cellIs" dxfId="29327" priority="90128" stopIfTrue="1" operator="greaterThanOrEqual">
      <formula>0.5</formula>
    </cfRule>
  </conditionalFormatting>
  <conditionalFormatting sqref="D50">
    <cfRule type="cellIs" dxfId="29326" priority="90129" stopIfTrue="1" operator="equal">
      <formula>-1</formula>
    </cfRule>
  </conditionalFormatting>
  <conditionalFormatting sqref="D50">
    <cfRule type="cellIs" dxfId="29325" priority="90130" stopIfTrue="1" operator="lessThan">
      <formula>0.5</formula>
    </cfRule>
  </conditionalFormatting>
  <conditionalFormatting sqref="D50">
    <cfRule type="cellIs" dxfId="29324" priority="90131" stopIfTrue="1" operator="greaterThanOrEqual">
      <formula>0.5</formula>
    </cfRule>
  </conditionalFormatting>
  <conditionalFormatting sqref="D51">
    <cfRule type="cellIs" dxfId="29323" priority="90132" stopIfTrue="1" operator="equal">
      <formula>-1</formula>
    </cfRule>
  </conditionalFormatting>
  <conditionalFormatting sqref="D51">
    <cfRule type="cellIs" dxfId="29322" priority="90133" stopIfTrue="1" operator="lessThan">
      <formula>0.5</formula>
    </cfRule>
  </conditionalFormatting>
  <conditionalFormatting sqref="D51">
    <cfRule type="cellIs" dxfId="29321" priority="90134" stopIfTrue="1" operator="greaterThanOrEqual">
      <formula>0.5</formula>
    </cfRule>
  </conditionalFormatting>
  <conditionalFormatting sqref="D52">
    <cfRule type="cellIs" dxfId="29320" priority="90135" stopIfTrue="1" operator="equal">
      <formula>-1</formula>
    </cfRule>
  </conditionalFormatting>
  <conditionalFormatting sqref="D52">
    <cfRule type="cellIs" dxfId="29319" priority="90136" stopIfTrue="1" operator="lessThan">
      <formula>0.5</formula>
    </cfRule>
  </conditionalFormatting>
  <conditionalFormatting sqref="D52">
    <cfRule type="cellIs" dxfId="29318" priority="90137" stopIfTrue="1" operator="greaterThanOrEqual">
      <formula>0.5</formula>
    </cfRule>
  </conditionalFormatting>
  <conditionalFormatting sqref="D53">
    <cfRule type="cellIs" dxfId="29317" priority="90138" stopIfTrue="1" operator="equal">
      <formula>-1</formula>
    </cfRule>
  </conditionalFormatting>
  <conditionalFormatting sqref="D53">
    <cfRule type="cellIs" dxfId="29316" priority="90139" stopIfTrue="1" operator="lessThan">
      <formula>0.5</formula>
    </cfRule>
  </conditionalFormatting>
  <conditionalFormatting sqref="D53">
    <cfRule type="cellIs" dxfId="29315" priority="90140" stopIfTrue="1" operator="greaterThanOrEqual">
      <formula>0.5</formula>
    </cfRule>
  </conditionalFormatting>
  <conditionalFormatting sqref="D54">
    <cfRule type="cellIs" dxfId="29314" priority="90141" stopIfTrue="1" operator="equal">
      <formula>-1</formula>
    </cfRule>
  </conditionalFormatting>
  <conditionalFormatting sqref="D54">
    <cfRule type="cellIs" dxfId="29313" priority="90142" stopIfTrue="1" operator="lessThan">
      <formula>0.5</formula>
    </cfRule>
  </conditionalFormatting>
  <conditionalFormatting sqref="D54">
    <cfRule type="cellIs" dxfId="29312" priority="90143" stopIfTrue="1" operator="greaterThanOrEqual">
      <formula>0.5</formula>
    </cfRule>
  </conditionalFormatting>
  <conditionalFormatting sqref="D55">
    <cfRule type="cellIs" dxfId="29311" priority="90144" stopIfTrue="1" operator="equal">
      <formula>-1</formula>
    </cfRule>
  </conditionalFormatting>
  <conditionalFormatting sqref="D55">
    <cfRule type="cellIs" dxfId="29310" priority="90145" stopIfTrue="1" operator="lessThan">
      <formula>0.5</formula>
    </cfRule>
  </conditionalFormatting>
  <conditionalFormatting sqref="D55">
    <cfRule type="cellIs" dxfId="29309" priority="90146" stopIfTrue="1" operator="greaterThanOrEqual">
      <formula>0.5</formula>
    </cfRule>
  </conditionalFormatting>
  <conditionalFormatting sqref="D56">
    <cfRule type="cellIs" dxfId="29308" priority="90147" stopIfTrue="1" operator="equal">
      <formula>-1</formula>
    </cfRule>
  </conditionalFormatting>
  <conditionalFormatting sqref="D56">
    <cfRule type="cellIs" dxfId="29307" priority="90148" stopIfTrue="1" operator="lessThan">
      <formula>0.5</formula>
    </cfRule>
  </conditionalFormatting>
  <conditionalFormatting sqref="D56">
    <cfRule type="cellIs" dxfId="29306" priority="90149" stopIfTrue="1" operator="greaterThanOrEqual">
      <formula>0.5</formula>
    </cfRule>
  </conditionalFormatting>
  <conditionalFormatting sqref="D57">
    <cfRule type="cellIs" dxfId="29305" priority="90150" stopIfTrue="1" operator="equal">
      <formula>-1</formula>
    </cfRule>
  </conditionalFormatting>
  <conditionalFormatting sqref="D57">
    <cfRule type="cellIs" dxfId="29304" priority="90151" stopIfTrue="1" operator="lessThan">
      <formula>0.5</formula>
    </cfRule>
  </conditionalFormatting>
  <conditionalFormatting sqref="D57">
    <cfRule type="cellIs" dxfId="29303" priority="90152" stopIfTrue="1" operator="greaterThanOrEqual">
      <formula>0.5</formula>
    </cfRule>
  </conditionalFormatting>
  <conditionalFormatting sqref="D58">
    <cfRule type="cellIs" dxfId="29302" priority="90153" stopIfTrue="1" operator="equal">
      <formula>-1</formula>
    </cfRule>
  </conditionalFormatting>
  <conditionalFormatting sqref="D58">
    <cfRule type="cellIs" dxfId="29301" priority="90154" stopIfTrue="1" operator="lessThan">
      <formula>0.5</formula>
    </cfRule>
  </conditionalFormatting>
  <conditionalFormatting sqref="D58">
    <cfRule type="cellIs" dxfId="29300" priority="90155" stopIfTrue="1" operator="greaterThanOrEqual">
      <formula>0.5</formula>
    </cfRule>
  </conditionalFormatting>
  <conditionalFormatting sqref="F39">
    <cfRule type="cellIs" dxfId="29299" priority="90156" stopIfTrue="1" operator="equal">
      <formula>-1</formula>
    </cfRule>
  </conditionalFormatting>
  <conditionalFormatting sqref="F39">
    <cfRule type="cellIs" dxfId="29298" priority="90157" stopIfTrue="1" operator="lessThan">
      <formula>0.5</formula>
    </cfRule>
  </conditionalFormatting>
  <conditionalFormatting sqref="F39">
    <cfRule type="cellIs" dxfId="29297" priority="90158" stopIfTrue="1" operator="greaterThanOrEqual">
      <formula>0.5</formula>
    </cfRule>
  </conditionalFormatting>
  <conditionalFormatting sqref="F40">
    <cfRule type="cellIs" dxfId="29296" priority="90159" stopIfTrue="1" operator="equal">
      <formula>-1</formula>
    </cfRule>
  </conditionalFormatting>
  <conditionalFormatting sqref="F40">
    <cfRule type="cellIs" dxfId="29295" priority="90160" stopIfTrue="1" operator="lessThan">
      <formula>0.5</formula>
    </cfRule>
  </conditionalFormatting>
  <conditionalFormatting sqref="F40">
    <cfRule type="cellIs" dxfId="29294" priority="90161" stopIfTrue="1" operator="greaterThanOrEqual">
      <formula>0.5</formula>
    </cfRule>
  </conditionalFormatting>
  <conditionalFormatting sqref="F41">
    <cfRule type="cellIs" dxfId="29293" priority="90162" stopIfTrue="1" operator="equal">
      <formula>-1</formula>
    </cfRule>
  </conditionalFormatting>
  <conditionalFormatting sqref="F41">
    <cfRule type="cellIs" dxfId="29292" priority="90163" stopIfTrue="1" operator="lessThan">
      <formula>0.5</formula>
    </cfRule>
  </conditionalFormatting>
  <conditionalFormatting sqref="F41">
    <cfRule type="cellIs" dxfId="29291" priority="90164" stopIfTrue="1" operator="greaterThanOrEqual">
      <formula>0.5</formula>
    </cfRule>
  </conditionalFormatting>
  <conditionalFormatting sqref="F42">
    <cfRule type="cellIs" dxfId="29290" priority="90165" stopIfTrue="1" operator="equal">
      <formula>-1</formula>
    </cfRule>
  </conditionalFormatting>
  <conditionalFormatting sqref="F42">
    <cfRule type="cellIs" dxfId="29289" priority="90166" stopIfTrue="1" operator="lessThan">
      <formula>0.5</formula>
    </cfRule>
  </conditionalFormatting>
  <conditionalFormatting sqref="F42">
    <cfRule type="cellIs" dxfId="29288" priority="90167" stopIfTrue="1" operator="greaterThanOrEqual">
      <formula>0.5</formula>
    </cfRule>
  </conditionalFormatting>
  <conditionalFormatting sqref="F43">
    <cfRule type="cellIs" dxfId="29287" priority="90168" stopIfTrue="1" operator="equal">
      <formula>-1</formula>
    </cfRule>
  </conditionalFormatting>
  <conditionalFormatting sqref="F43">
    <cfRule type="cellIs" dxfId="29286" priority="90169" stopIfTrue="1" operator="lessThan">
      <formula>0.5</formula>
    </cfRule>
  </conditionalFormatting>
  <conditionalFormatting sqref="F43">
    <cfRule type="cellIs" dxfId="29285" priority="90170" stopIfTrue="1" operator="greaterThanOrEqual">
      <formula>0.5</formula>
    </cfRule>
  </conditionalFormatting>
  <conditionalFormatting sqref="F44">
    <cfRule type="cellIs" dxfId="29284" priority="90171" stopIfTrue="1" operator="equal">
      <formula>-1</formula>
    </cfRule>
  </conditionalFormatting>
  <conditionalFormatting sqref="F44">
    <cfRule type="cellIs" dxfId="29283" priority="90172" stopIfTrue="1" operator="lessThan">
      <formula>0.5</formula>
    </cfRule>
  </conditionalFormatting>
  <conditionalFormatting sqref="F44">
    <cfRule type="cellIs" dxfId="29282" priority="90173" stopIfTrue="1" operator="greaterThanOrEqual">
      <formula>0.5</formula>
    </cfRule>
  </conditionalFormatting>
  <conditionalFormatting sqref="F45">
    <cfRule type="cellIs" dxfId="29281" priority="90174" stopIfTrue="1" operator="equal">
      <formula>-1</formula>
    </cfRule>
  </conditionalFormatting>
  <conditionalFormatting sqref="F45">
    <cfRule type="cellIs" dxfId="29280" priority="90175" stopIfTrue="1" operator="lessThan">
      <formula>0.5</formula>
    </cfRule>
  </conditionalFormatting>
  <conditionalFormatting sqref="F45">
    <cfRule type="cellIs" dxfId="29279" priority="90176" stopIfTrue="1" operator="greaterThanOrEqual">
      <formula>0.5</formula>
    </cfRule>
  </conditionalFormatting>
  <conditionalFormatting sqref="F46">
    <cfRule type="cellIs" dxfId="29278" priority="90177" stopIfTrue="1" operator="equal">
      <formula>-1</formula>
    </cfRule>
  </conditionalFormatting>
  <conditionalFormatting sqref="F46">
    <cfRule type="cellIs" dxfId="29277" priority="90178" stopIfTrue="1" operator="lessThan">
      <formula>0.5</formula>
    </cfRule>
  </conditionalFormatting>
  <conditionalFormatting sqref="F46">
    <cfRule type="cellIs" dxfId="29276" priority="90179" stopIfTrue="1" operator="greaterThanOrEqual">
      <formula>0.5</formula>
    </cfRule>
  </conditionalFormatting>
  <conditionalFormatting sqref="F47">
    <cfRule type="cellIs" dxfId="29275" priority="90180" stopIfTrue="1" operator="equal">
      <formula>-1</formula>
    </cfRule>
  </conditionalFormatting>
  <conditionalFormatting sqref="F47">
    <cfRule type="cellIs" dxfId="29274" priority="90181" stopIfTrue="1" operator="lessThan">
      <formula>0.5</formula>
    </cfRule>
  </conditionalFormatting>
  <conditionalFormatting sqref="F47">
    <cfRule type="cellIs" dxfId="29273" priority="90182" stopIfTrue="1" operator="greaterThanOrEqual">
      <formula>0.5</formula>
    </cfRule>
  </conditionalFormatting>
  <conditionalFormatting sqref="F48">
    <cfRule type="cellIs" dxfId="29272" priority="90183" stopIfTrue="1" operator="equal">
      <formula>-1</formula>
    </cfRule>
  </conditionalFormatting>
  <conditionalFormatting sqref="F48">
    <cfRule type="cellIs" dxfId="29271" priority="90184" stopIfTrue="1" operator="lessThan">
      <formula>0.5</formula>
    </cfRule>
  </conditionalFormatting>
  <conditionalFormatting sqref="F48">
    <cfRule type="cellIs" dxfId="29270" priority="90185" stopIfTrue="1" operator="greaterThanOrEqual">
      <formula>0.5</formula>
    </cfRule>
  </conditionalFormatting>
  <conditionalFormatting sqref="F49">
    <cfRule type="cellIs" dxfId="29269" priority="90186" stopIfTrue="1" operator="equal">
      <formula>-1</formula>
    </cfRule>
  </conditionalFormatting>
  <conditionalFormatting sqref="F49">
    <cfRule type="cellIs" dxfId="29268" priority="90187" stopIfTrue="1" operator="lessThan">
      <formula>0.5</formula>
    </cfRule>
  </conditionalFormatting>
  <conditionalFormatting sqref="F49">
    <cfRule type="cellIs" dxfId="29267" priority="90188" stopIfTrue="1" operator="greaterThanOrEqual">
      <formula>0.5</formula>
    </cfRule>
  </conditionalFormatting>
  <conditionalFormatting sqref="F50">
    <cfRule type="cellIs" dxfId="29266" priority="90189" stopIfTrue="1" operator="equal">
      <formula>-1</formula>
    </cfRule>
  </conditionalFormatting>
  <conditionalFormatting sqref="F50">
    <cfRule type="cellIs" dxfId="29265" priority="90190" stopIfTrue="1" operator="lessThan">
      <formula>0.5</formula>
    </cfRule>
  </conditionalFormatting>
  <conditionalFormatting sqref="F50">
    <cfRule type="cellIs" dxfId="29264" priority="90191" stopIfTrue="1" operator="greaterThanOrEqual">
      <formula>0.5</formula>
    </cfRule>
  </conditionalFormatting>
  <conditionalFormatting sqref="F51">
    <cfRule type="cellIs" dxfId="29263" priority="90192" stopIfTrue="1" operator="equal">
      <formula>-1</formula>
    </cfRule>
  </conditionalFormatting>
  <conditionalFormatting sqref="F51">
    <cfRule type="cellIs" dxfId="29262" priority="90193" stopIfTrue="1" operator="lessThan">
      <formula>0.5</formula>
    </cfRule>
  </conditionalFormatting>
  <conditionalFormatting sqref="F51">
    <cfRule type="cellIs" dxfId="29261" priority="90194" stopIfTrue="1" operator="greaterThanOrEqual">
      <formula>0.5</formula>
    </cfRule>
  </conditionalFormatting>
  <conditionalFormatting sqref="F52">
    <cfRule type="cellIs" dxfId="29260" priority="90195" stopIfTrue="1" operator="equal">
      <formula>-1</formula>
    </cfRule>
  </conditionalFormatting>
  <conditionalFormatting sqref="F52">
    <cfRule type="cellIs" dxfId="29259" priority="90196" stopIfTrue="1" operator="lessThan">
      <formula>0.5</formula>
    </cfRule>
  </conditionalFormatting>
  <conditionalFormatting sqref="F52">
    <cfRule type="cellIs" dxfId="29258" priority="90197" stopIfTrue="1" operator="greaterThanOrEqual">
      <formula>0.5</formula>
    </cfRule>
  </conditionalFormatting>
  <conditionalFormatting sqref="F53">
    <cfRule type="cellIs" dxfId="29257" priority="90198" stopIfTrue="1" operator="equal">
      <formula>-1</formula>
    </cfRule>
  </conditionalFormatting>
  <conditionalFormatting sqref="F53">
    <cfRule type="cellIs" dxfId="29256" priority="90199" stopIfTrue="1" operator="lessThan">
      <formula>0.5</formula>
    </cfRule>
  </conditionalFormatting>
  <conditionalFormatting sqref="F53">
    <cfRule type="cellIs" dxfId="29255" priority="90200" stopIfTrue="1" operator="greaterThanOrEqual">
      <formula>0.5</formula>
    </cfRule>
  </conditionalFormatting>
  <conditionalFormatting sqref="F54">
    <cfRule type="cellIs" dxfId="29254" priority="90201" stopIfTrue="1" operator="equal">
      <formula>-1</formula>
    </cfRule>
  </conditionalFormatting>
  <conditionalFormatting sqref="F54">
    <cfRule type="cellIs" dxfId="29253" priority="90202" stopIfTrue="1" operator="lessThan">
      <formula>0.5</formula>
    </cfRule>
  </conditionalFormatting>
  <conditionalFormatting sqref="F54">
    <cfRule type="cellIs" dxfId="29252" priority="90203" stopIfTrue="1" operator="greaterThanOrEqual">
      <formula>0.5</formula>
    </cfRule>
  </conditionalFormatting>
  <conditionalFormatting sqref="F55">
    <cfRule type="cellIs" dxfId="29251" priority="90204" stopIfTrue="1" operator="equal">
      <formula>-1</formula>
    </cfRule>
  </conditionalFormatting>
  <conditionalFormatting sqref="F55">
    <cfRule type="cellIs" dxfId="29250" priority="90205" stopIfTrue="1" operator="lessThan">
      <formula>0.5</formula>
    </cfRule>
  </conditionalFormatting>
  <conditionalFormatting sqref="F55">
    <cfRule type="cellIs" dxfId="29249" priority="90206" stopIfTrue="1" operator="greaterThanOrEqual">
      <formula>0.5</formula>
    </cfRule>
  </conditionalFormatting>
  <conditionalFormatting sqref="F56">
    <cfRule type="cellIs" dxfId="29248" priority="90207" stopIfTrue="1" operator="equal">
      <formula>-1</formula>
    </cfRule>
  </conditionalFormatting>
  <conditionalFormatting sqref="F56">
    <cfRule type="cellIs" dxfId="29247" priority="90208" stopIfTrue="1" operator="lessThan">
      <formula>0.5</formula>
    </cfRule>
  </conditionalFormatting>
  <conditionalFormatting sqref="F56">
    <cfRule type="cellIs" dxfId="29246" priority="90209" stopIfTrue="1" operator="greaterThanOrEqual">
      <formula>0.5</formula>
    </cfRule>
  </conditionalFormatting>
  <conditionalFormatting sqref="F57">
    <cfRule type="cellIs" dxfId="29245" priority="90210" stopIfTrue="1" operator="equal">
      <formula>-1</formula>
    </cfRule>
  </conditionalFormatting>
  <conditionalFormatting sqref="F57">
    <cfRule type="cellIs" dxfId="29244" priority="90211" stopIfTrue="1" operator="lessThan">
      <formula>0.5</formula>
    </cfRule>
  </conditionalFormatting>
  <conditionalFormatting sqref="F57">
    <cfRule type="cellIs" dxfId="29243" priority="90212" stopIfTrue="1" operator="greaterThanOrEqual">
      <formula>0.5</formula>
    </cfRule>
  </conditionalFormatting>
  <conditionalFormatting sqref="F58">
    <cfRule type="cellIs" dxfId="29242" priority="90213" stopIfTrue="1" operator="equal">
      <formula>-1</formula>
    </cfRule>
  </conditionalFormatting>
  <conditionalFormatting sqref="F58">
    <cfRule type="cellIs" dxfId="29241" priority="90214" stopIfTrue="1" operator="lessThan">
      <formula>0.5</formula>
    </cfRule>
  </conditionalFormatting>
  <conditionalFormatting sqref="F58">
    <cfRule type="cellIs" dxfId="29240" priority="90215" stopIfTrue="1" operator="greaterThanOrEqual">
      <formula>0.5</formula>
    </cfRule>
  </conditionalFormatting>
  <conditionalFormatting sqref="H39">
    <cfRule type="cellIs" dxfId="29239" priority="90216" stopIfTrue="1" operator="equal">
      <formula>-1</formula>
    </cfRule>
  </conditionalFormatting>
  <conditionalFormatting sqref="H39">
    <cfRule type="cellIs" dxfId="29238" priority="90217" stopIfTrue="1" operator="lessThan">
      <formula>0.5</formula>
    </cfRule>
  </conditionalFormatting>
  <conditionalFormatting sqref="H39">
    <cfRule type="cellIs" dxfId="29237" priority="90218" stopIfTrue="1" operator="greaterThanOrEqual">
      <formula>0.5</formula>
    </cfRule>
  </conditionalFormatting>
  <conditionalFormatting sqref="H40">
    <cfRule type="cellIs" dxfId="29236" priority="90219" stopIfTrue="1" operator="equal">
      <formula>-1</formula>
    </cfRule>
  </conditionalFormatting>
  <conditionalFormatting sqref="H40">
    <cfRule type="cellIs" dxfId="29235" priority="90220" stopIfTrue="1" operator="lessThan">
      <formula>0.5</formula>
    </cfRule>
  </conditionalFormatting>
  <conditionalFormatting sqref="H40">
    <cfRule type="cellIs" dxfId="29234" priority="90221" stopIfTrue="1" operator="greaterThanOrEqual">
      <formula>0.5</formula>
    </cfRule>
  </conditionalFormatting>
  <conditionalFormatting sqref="H41">
    <cfRule type="cellIs" dxfId="29233" priority="90222" stopIfTrue="1" operator="equal">
      <formula>-1</formula>
    </cfRule>
  </conditionalFormatting>
  <conditionalFormatting sqref="H41">
    <cfRule type="cellIs" dxfId="29232" priority="90223" stopIfTrue="1" operator="lessThan">
      <formula>0.5</formula>
    </cfRule>
  </conditionalFormatting>
  <conditionalFormatting sqref="H41">
    <cfRule type="cellIs" dxfId="29231" priority="90224" stopIfTrue="1" operator="greaterThanOrEqual">
      <formula>0.5</formula>
    </cfRule>
  </conditionalFormatting>
  <conditionalFormatting sqref="H42">
    <cfRule type="cellIs" dxfId="29230" priority="90225" stopIfTrue="1" operator="equal">
      <formula>-1</formula>
    </cfRule>
  </conditionalFormatting>
  <conditionalFormatting sqref="H42">
    <cfRule type="cellIs" dxfId="29229" priority="90226" stopIfTrue="1" operator="lessThan">
      <formula>0.5</formula>
    </cfRule>
  </conditionalFormatting>
  <conditionalFormatting sqref="H42">
    <cfRule type="cellIs" dxfId="29228" priority="90227" stopIfTrue="1" operator="greaterThanOrEqual">
      <formula>0.5</formula>
    </cfRule>
  </conditionalFormatting>
  <conditionalFormatting sqref="H43">
    <cfRule type="cellIs" dxfId="29227" priority="90228" stopIfTrue="1" operator="equal">
      <formula>-1</formula>
    </cfRule>
  </conditionalFormatting>
  <conditionalFormatting sqref="H43">
    <cfRule type="cellIs" dxfId="29226" priority="90229" stopIfTrue="1" operator="lessThan">
      <formula>0.5</formula>
    </cfRule>
  </conditionalFormatting>
  <conditionalFormatting sqref="H43">
    <cfRule type="cellIs" dxfId="29225" priority="90230" stopIfTrue="1" operator="greaterThanOrEqual">
      <formula>0.5</formula>
    </cfRule>
  </conditionalFormatting>
  <conditionalFormatting sqref="H44">
    <cfRule type="cellIs" dxfId="29224" priority="90231" stopIfTrue="1" operator="equal">
      <formula>-1</formula>
    </cfRule>
  </conditionalFormatting>
  <conditionalFormatting sqref="H44">
    <cfRule type="cellIs" dxfId="29223" priority="90232" stopIfTrue="1" operator="lessThan">
      <formula>0.5</formula>
    </cfRule>
  </conditionalFormatting>
  <conditionalFormatting sqref="H44">
    <cfRule type="cellIs" dxfId="29222" priority="90233" stopIfTrue="1" operator="greaterThanOrEqual">
      <formula>0.5</formula>
    </cfRule>
  </conditionalFormatting>
  <conditionalFormatting sqref="H45">
    <cfRule type="cellIs" dxfId="29221" priority="90234" stopIfTrue="1" operator="equal">
      <formula>-1</formula>
    </cfRule>
  </conditionalFormatting>
  <conditionalFormatting sqref="H45">
    <cfRule type="cellIs" dxfId="29220" priority="90235" stopIfTrue="1" operator="lessThan">
      <formula>0.5</formula>
    </cfRule>
  </conditionalFormatting>
  <conditionalFormatting sqref="H45">
    <cfRule type="cellIs" dxfId="29219" priority="90236" stopIfTrue="1" operator="greaterThanOrEqual">
      <formula>0.5</formula>
    </cfRule>
  </conditionalFormatting>
  <conditionalFormatting sqref="H46">
    <cfRule type="cellIs" dxfId="29218" priority="90237" stopIfTrue="1" operator="equal">
      <formula>-1</formula>
    </cfRule>
  </conditionalFormatting>
  <conditionalFormatting sqref="H46">
    <cfRule type="cellIs" dxfId="29217" priority="90238" stopIfTrue="1" operator="lessThan">
      <formula>0.5</formula>
    </cfRule>
  </conditionalFormatting>
  <conditionalFormatting sqref="H46">
    <cfRule type="cellIs" dxfId="29216" priority="90239" stopIfTrue="1" operator="greaterThanOrEqual">
      <formula>0.5</formula>
    </cfRule>
  </conditionalFormatting>
  <conditionalFormatting sqref="H47">
    <cfRule type="cellIs" dxfId="29215" priority="90240" stopIfTrue="1" operator="equal">
      <formula>-1</formula>
    </cfRule>
  </conditionalFormatting>
  <conditionalFormatting sqref="H47">
    <cfRule type="cellIs" dxfId="29214" priority="90241" stopIfTrue="1" operator="lessThan">
      <formula>0.5</formula>
    </cfRule>
  </conditionalFormatting>
  <conditionalFormatting sqref="H47">
    <cfRule type="cellIs" dxfId="29213" priority="90242" stopIfTrue="1" operator="greaterThanOrEqual">
      <formula>0.5</formula>
    </cfRule>
  </conditionalFormatting>
  <conditionalFormatting sqref="H48">
    <cfRule type="cellIs" dxfId="29212" priority="90243" stopIfTrue="1" operator="equal">
      <formula>-1</formula>
    </cfRule>
  </conditionalFormatting>
  <conditionalFormatting sqref="H48">
    <cfRule type="cellIs" dxfId="29211" priority="90244" stopIfTrue="1" operator="lessThan">
      <formula>0.5</formula>
    </cfRule>
  </conditionalFormatting>
  <conditionalFormatting sqref="H48">
    <cfRule type="cellIs" dxfId="29210" priority="90245" stopIfTrue="1" operator="greaterThanOrEqual">
      <formula>0.5</formula>
    </cfRule>
  </conditionalFormatting>
  <conditionalFormatting sqref="H49">
    <cfRule type="cellIs" dxfId="29209" priority="90246" stopIfTrue="1" operator="equal">
      <formula>-1</formula>
    </cfRule>
  </conditionalFormatting>
  <conditionalFormatting sqref="H49">
    <cfRule type="cellIs" dxfId="29208" priority="90247" stopIfTrue="1" operator="lessThan">
      <formula>0.5</formula>
    </cfRule>
  </conditionalFormatting>
  <conditionalFormatting sqref="H49">
    <cfRule type="cellIs" dxfId="29207" priority="90248" stopIfTrue="1" operator="greaterThanOrEqual">
      <formula>0.5</formula>
    </cfRule>
  </conditionalFormatting>
  <conditionalFormatting sqref="H50">
    <cfRule type="cellIs" dxfId="29206" priority="90249" stopIfTrue="1" operator="equal">
      <formula>-1</formula>
    </cfRule>
  </conditionalFormatting>
  <conditionalFormatting sqref="H50">
    <cfRule type="cellIs" dxfId="29205" priority="90250" stopIfTrue="1" operator="lessThan">
      <formula>0.5</formula>
    </cfRule>
  </conditionalFormatting>
  <conditionalFormatting sqref="H50">
    <cfRule type="cellIs" dxfId="29204" priority="90251" stopIfTrue="1" operator="greaterThanOrEqual">
      <formula>0.5</formula>
    </cfRule>
  </conditionalFormatting>
  <conditionalFormatting sqref="H51">
    <cfRule type="cellIs" dxfId="29203" priority="90252" stopIfTrue="1" operator="equal">
      <formula>-1</formula>
    </cfRule>
  </conditionalFormatting>
  <conditionalFormatting sqref="H51">
    <cfRule type="cellIs" dxfId="29202" priority="90253" stopIfTrue="1" operator="lessThan">
      <formula>0.5</formula>
    </cfRule>
  </conditionalFormatting>
  <conditionalFormatting sqref="H51">
    <cfRule type="cellIs" dxfId="29201" priority="90254" stopIfTrue="1" operator="greaterThanOrEqual">
      <formula>0.5</formula>
    </cfRule>
  </conditionalFormatting>
  <conditionalFormatting sqref="H52">
    <cfRule type="cellIs" dxfId="29200" priority="90255" stopIfTrue="1" operator="equal">
      <formula>-1</formula>
    </cfRule>
  </conditionalFormatting>
  <conditionalFormatting sqref="H52">
    <cfRule type="cellIs" dxfId="29199" priority="90256" stopIfTrue="1" operator="lessThan">
      <formula>0.5</formula>
    </cfRule>
  </conditionalFormatting>
  <conditionalFormatting sqref="H52">
    <cfRule type="cellIs" dxfId="29198" priority="90257" stopIfTrue="1" operator="greaterThanOrEqual">
      <formula>0.5</formula>
    </cfRule>
  </conditionalFormatting>
  <conditionalFormatting sqref="H53">
    <cfRule type="cellIs" dxfId="29197" priority="90258" stopIfTrue="1" operator="equal">
      <formula>-1</formula>
    </cfRule>
  </conditionalFormatting>
  <conditionalFormatting sqref="H53">
    <cfRule type="cellIs" dxfId="29196" priority="90259" stopIfTrue="1" operator="lessThan">
      <formula>0.5</formula>
    </cfRule>
  </conditionalFormatting>
  <conditionalFormatting sqref="H53">
    <cfRule type="cellIs" dxfId="29195" priority="90260" stopIfTrue="1" operator="greaterThanOrEqual">
      <formula>0.5</formula>
    </cfRule>
  </conditionalFormatting>
  <conditionalFormatting sqref="H54">
    <cfRule type="cellIs" dxfId="29194" priority="90261" stopIfTrue="1" operator="equal">
      <formula>-1</formula>
    </cfRule>
  </conditionalFormatting>
  <conditionalFormatting sqref="H54">
    <cfRule type="cellIs" dxfId="29193" priority="90262" stopIfTrue="1" operator="lessThan">
      <formula>0.5</formula>
    </cfRule>
  </conditionalFormatting>
  <conditionalFormatting sqref="H54">
    <cfRule type="cellIs" dxfId="29192" priority="90263" stopIfTrue="1" operator="greaterThanOrEqual">
      <formula>0.5</formula>
    </cfRule>
  </conditionalFormatting>
  <conditionalFormatting sqref="H55">
    <cfRule type="cellIs" dxfId="29191" priority="90264" stopIfTrue="1" operator="equal">
      <formula>-1</formula>
    </cfRule>
  </conditionalFormatting>
  <conditionalFormatting sqref="H55">
    <cfRule type="cellIs" dxfId="29190" priority="90265" stopIfTrue="1" operator="lessThan">
      <formula>0.5</formula>
    </cfRule>
  </conditionalFormatting>
  <conditionalFormatting sqref="H55">
    <cfRule type="cellIs" dxfId="29189" priority="90266" stopIfTrue="1" operator="greaterThanOrEqual">
      <formula>0.5</formula>
    </cfRule>
  </conditionalFormatting>
  <conditionalFormatting sqref="H56">
    <cfRule type="cellIs" dxfId="29188" priority="90267" stopIfTrue="1" operator="equal">
      <formula>-1</formula>
    </cfRule>
  </conditionalFormatting>
  <conditionalFormatting sqref="H56">
    <cfRule type="cellIs" dxfId="29187" priority="90268" stopIfTrue="1" operator="lessThan">
      <formula>0.5</formula>
    </cfRule>
  </conditionalFormatting>
  <conditionalFormatting sqref="H56">
    <cfRule type="cellIs" dxfId="29186" priority="90269" stopIfTrue="1" operator="greaterThanOrEqual">
      <formula>0.5</formula>
    </cfRule>
  </conditionalFormatting>
  <conditionalFormatting sqref="H57">
    <cfRule type="cellIs" dxfId="29185" priority="90270" stopIfTrue="1" operator="equal">
      <formula>-1</formula>
    </cfRule>
  </conditionalFormatting>
  <conditionalFormatting sqref="H57">
    <cfRule type="cellIs" dxfId="29184" priority="90271" stopIfTrue="1" operator="lessThan">
      <formula>0.5</formula>
    </cfRule>
  </conditionalFormatting>
  <conditionalFormatting sqref="H57">
    <cfRule type="cellIs" dxfId="29183" priority="90272" stopIfTrue="1" operator="greaterThanOrEqual">
      <formula>0.5</formula>
    </cfRule>
  </conditionalFormatting>
  <conditionalFormatting sqref="H58">
    <cfRule type="cellIs" dxfId="29182" priority="90273" stopIfTrue="1" operator="equal">
      <formula>-1</formula>
    </cfRule>
  </conditionalFormatting>
  <conditionalFormatting sqref="H58">
    <cfRule type="cellIs" dxfId="29181" priority="90274" stopIfTrue="1" operator="lessThan">
      <formula>0.5</formula>
    </cfRule>
  </conditionalFormatting>
  <conditionalFormatting sqref="H58">
    <cfRule type="cellIs" dxfId="29180" priority="90275" stopIfTrue="1" operator="greaterThanOrEqual">
      <formula>0.5</formula>
    </cfRule>
  </conditionalFormatting>
  <conditionalFormatting sqref="J39">
    <cfRule type="cellIs" dxfId="29179" priority="90276" stopIfTrue="1" operator="equal">
      <formula>-1</formula>
    </cfRule>
  </conditionalFormatting>
  <conditionalFormatting sqref="J39">
    <cfRule type="cellIs" dxfId="29178" priority="90277" stopIfTrue="1" operator="lessThan">
      <formula>0.5</formula>
    </cfRule>
  </conditionalFormatting>
  <conditionalFormatting sqref="J39">
    <cfRule type="cellIs" dxfId="29177" priority="90278" stopIfTrue="1" operator="greaterThanOrEqual">
      <formula>0.5</formula>
    </cfRule>
  </conditionalFormatting>
  <conditionalFormatting sqref="J40">
    <cfRule type="cellIs" dxfId="29176" priority="90279" stopIfTrue="1" operator="equal">
      <formula>-1</formula>
    </cfRule>
  </conditionalFormatting>
  <conditionalFormatting sqref="J40">
    <cfRule type="cellIs" dxfId="29175" priority="90280" stopIfTrue="1" operator="lessThan">
      <formula>0.5</formula>
    </cfRule>
  </conditionalFormatting>
  <conditionalFormatting sqref="J40">
    <cfRule type="cellIs" dxfId="29174" priority="90281" stopIfTrue="1" operator="greaterThanOrEqual">
      <formula>0.5</formula>
    </cfRule>
  </conditionalFormatting>
  <conditionalFormatting sqref="J41">
    <cfRule type="cellIs" dxfId="29173" priority="90282" stopIfTrue="1" operator="equal">
      <formula>-1</formula>
    </cfRule>
  </conditionalFormatting>
  <conditionalFormatting sqref="J41">
    <cfRule type="cellIs" dxfId="29172" priority="90283" stopIfTrue="1" operator="lessThan">
      <formula>0.5</formula>
    </cfRule>
  </conditionalFormatting>
  <conditionalFormatting sqref="J41">
    <cfRule type="cellIs" dxfId="29171" priority="90284" stopIfTrue="1" operator="greaterThanOrEqual">
      <formula>0.5</formula>
    </cfRule>
  </conditionalFormatting>
  <conditionalFormatting sqref="J42">
    <cfRule type="cellIs" dxfId="29170" priority="90285" stopIfTrue="1" operator="equal">
      <formula>-1</formula>
    </cfRule>
  </conditionalFormatting>
  <conditionalFormatting sqref="J42">
    <cfRule type="cellIs" dxfId="29169" priority="90286" stopIfTrue="1" operator="lessThan">
      <formula>0.5</formula>
    </cfRule>
  </conditionalFormatting>
  <conditionalFormatting sqref="J42">
    <cfRule type="cellIs" dxfId="29168" priority="90287" stopIfTrue="1" operator="greaterThanOrEqual">
      <formula>0.5</formula>
    </cfRule>
  </conditionalFormatting>
  <conditionalFormatting sqref="J43">
    <cfRule type="cellIs" dxfId="29167" priority="90288" stopIfTrue="1" operator="equal">
      <formula>-1</formula>
    </cfRule>
  </conditionalFormatting>
  <conditionalFormatting sqref="J43">
    <cfRule type="cellIs" dxfId="29166" priority="90289" stopIfTrue="1" operator="lessThan">
      <formula>0.5</formula>
    </cfRule>
  </conditionalFormatting>
  <conditionalFormatting sqref="J43">
    <cfRule type="cellIs" dxfId="29165" priority="90290" stopIfTrue="1" operator="greaterThanOrEqual">
      <formula>0.5</formula>
    </cfRule>
  </conditionalFormatting>
  <conditionalFormatting sqref="J44">
    <cfRule type="cellIs" dxfId="29164" priority="90291" stopIfTrue="1" operator="equal">
      <formula>-1</formula>
    </cfRule>
  </conditionalFormatting>
  <conditionalFormatting sqref="J44">
    <cfRule type="cellIs" dxfId="29163" priority="90292" stopIfTrue="1" operator="lessThan">
      <formula>0.5</formula>
    </cfRule>
  </conditionalFormatting>
  <conditionalFormatting sqref="J44">
    <cfRule type="cellIs" dxfId="29162" priority="90293" stopIfTrue="1" operator="greaterThanOrEqual">
      <formula>0.5</formula>
    </cfRule>
  </conditionalFormatting>
  <conditionalFormatting sqref="J45">
    <cfRule type="cellIs" dxfId="29161" priority="90294" stopIfTrue="1" operator="equal">
      <formula>-1</formula>
    </cfRule>
  </conditionalFormatting>
  <conditionalFormatting sqref="J45">
    <cfRule type="cellIs" dxfId="29160" priority="90295" stopIfTrue="1" operator="lessThan">
      <formula>0.5</formula>
    </cfRule>
  </conditionalFormatting>
  <conditionalFormatting sqref="J45">
    <cfRule type="cellIs" dxfId="29159" priority="90296" stopIfTrue="1" operator="greaterThanOrEqual">
      <formula>0.5</formula>
    </cfRule>
  </conditionalFormatting>
  <conditionalFormatting sqref="J46">
    <cfRule type="cellIs" dxfId="29158" priority="90297" stopIfTrue="1" operator="equal">
      <formula>-1</formula>
    </cfRule>
  </conditionalFormatting>
  <conditionalFormatting sqref="J46">
    <cfRule type="cellIs" dxfId="29157" priority="90298" stopIfTrue="1" operator="lessThan">
      <formula>0.5</formula>
    </cfRule>
  </conditionalFormatting>
  <conditionalFormatting sqref="J46">
    <cfRule type="cellIs" dxfId="29156" priority="90299" stopIfTrue="1" operator="greaterThanOrEqual">
      <formula>0.5</formula>
    </cfRule>
  </conditionalFormatting>
  <conditionalFormatting sqref="J47">
    <cfRule type="cellIs" dxfId="29155" priority="90300" stopIfTrue="1" operator="equal">
      <formula>-1</formula>
    </cfRule>
  </conditionalFormatting>
  <conditionalFormatting sqref="J47">
    <cfRule type="cellIs" dxfId="29154" priority="90301" stopIfTrue="1" operator="lessThan">
      <formula>0.5</formula>
    </cfRule>
  </conditionalFormatting>
  <conditionalFormatting sqref="J47">
    <cfRule type="cellIs" dxfId="29153" priority="90302" stopIfTrue="1" operator="greaterThanOrEqual">
      <formula>0.5</formula>
    </cfRule>
  </conditionalFormatting>
  <conditionalFormatting sqref="J48">
    <cfRule type="cellIs" dxfId="29152" priority="90303" stopIfTrue="1" operator="equal">
      <formula>-1</formula>
    </cfRule>
  </conditionalFormatting>
  <conditionalFormatting sqref="J48">
    <cfRule type="cellIs" dxfId="29151" priority="90304" stopIfTrue="1" operator="lessThan">
      <formula>0.5</formula>
    </cfRule>
  </conditionalFormatting>
  <conditionalFormatting sqref="J48">
    <cfRule type="cellIs" dxfId="29150" priority="90305" stopIfTrue="1" operator="greaterThanOrEqual">
      <formula>0.5</formula>
    </cfRule>
  </conditionalFormatting>
  <conditionalFormatting sqref="J49">
    <cfRule type="cellIs" dxfId="29149" priority="90306" stopIfTrue="1" operator="equal">
      <formula>-1</formula>
    </cfRule>
  </conditionalFormatting>
  <conditionalFormatting sqref="J49">
    <cfRule type="cellIs" dxfId="29148" priority="90307" stopIfTrue="1" operator="lessThan">
      <formula>0.5</formula>
    </cfRule>
  </conditionalFormatting>
  <conditionalFormatting sqref="J49">
    <cfRule type="cellIs" dxfId="29147" priority="90308" stopIfTrue="1" operator="greaterThanOrEqual">
      <formula>0.5</formula>
    </cfRule>
  </conditionalFormatting>
  <conditionalFormatting sqref="J50">
    <cfRule type="cellIs" dxfId="29146" priority="90309" stopIfTrue="1" operator="equal">
      <formula>-1</formula>
    </cfRule>
  </conditionalFormatting>
  <conditionalFormatting sqref="J50">
    <cfRule type="cellIs" dxfId="29145" priority="90310" stopIfTrue="1" operator="lessThan">
      <formula>0.5</formula>
    </cfRule>
  </conditionalFormatting>
  <conditionalFormatting sqref="J50">
    <cfRule type="cellIs" dxfId="29144" priority="90311" stopIfTrue="1" operator="greaterThanOrEqual">
      <formula>0.5</formula>
    </cfRule>
  </conditionalFormatting>
  <conditionalFormatting sqref="J51">
    <cfRule type="cellIs" dxfId="29143" priority="90312" stopIfTrue="1" operator="equal">
      <formula>-1</formula>
    </cfRule>
  </conditionalFormatting>
  <conditionalFormatting sqref="J51">
    <cfRule type="cellIs" dxfId="29142" priority="90313" stopIfTrue="1" operator="lessThan">
      <formula>0.5</formula>
    </cfRule>
  </conditionalFormatting>
  <conditionalFormatting sqref="J51">
    <cfRule type="cellIs" dxfId="29141" priority="90314" stopIfTrue="1" operator="greaterThanOrEqual">
      <formula>0.5</formula>
    </cfRule>
  </conditionalFormatting>
  <conditionalFormatting sqref="J52">
    <cfRule type="cellIs" dxfId="29140" priority="90315" stopIfTrue="1" operator="equal">
      <formula>-1</formula>
    </cfRule>
  </conditionalFormatting>
  <conditionalFormatting sqref="J52">
    <cfRule type="cellIs" dxfId="29139" priority="90316" stopIfTrue="1" operator="lessThan">
      <formula>0.5</formula>
    </cfRule>
  </conditionalFormatting>
  <conditionalFormatting sqref="J52">
    <cfRule type="cellIs" dxfId="29138" priority="90317" stopIfTrue="1" operator="greaterThanOrEqual">
      <formula>0.5</formula>
    </cfRule>
  </conditionalFormatting>
  <conditionalFormatting sqref="J53">
    <cfRule type="cellIs" dxfId="29137" priority="90318" stopIfTrue="1" operator="equal">
      <formula>-1</formula>
    </cfRule>
  </conditionalFormatting>
  <conditionalFormatting sqref="J53">
    <cfRule type="cellIs" dxfId="29136" priority="90319" stopIfTrue="1" operator="lessThan">
      <formula>0.5</formula>
    </cfRule>
  </conditionalFormatting>
  <conditionalFormatting sqref="J53">
    <cfRule type="cellIs" dxfId="29135" priority="90320" stopIfTrue="1" operator="greaterThanOrEqual">
      <formula>0.5</formula>
    </cfRule>
  </conditionalFormatting>
  <conditionalFormatting sqref="J54">
    <cfRule type="cellIs" dxfId="29134" priority="90321" stopIfTrue="1" operator="equal">
      <formula>-1</formula>
    </cfRule>
  </conditionalFormatting>
  <conditionalFormatting sqref="J54">
    <cfRule type="cellIs" dxfId="29133" priority="90322" stopIfTrue="1" operator="lessThan">
      <formula>0.5</formula>
    </cfRule>
  </conditionalFormatting>
  <conditionalFormatting sqref="J54">
    <cfRule type="cellIs" dxfId="29132" priority="90323" stopIfTrue="1" operator="greaterThanOrEqual">
      <formula>0.5</formula>
    </cfRule>
  </conditionalFormatting>
  <conditionalFormatting sqref="J55">
    <cfRule type="cellIs" dxfId="29131" priority="90324" stopIfTrue="1" operator="equal">
      <formula>-1</formula>
    </cfRule>
  </conditionalFormatting>
  <conditionalFormatting sqref="J55">
    <cfRule type="cellIs" dxfId="29130" priority="90325" stopIfTrue="1" operator="lessThan">
      <formula>0.5</formula>
    </cfRule>
  </conditionalFormatting>
  <conditionalFormatting sqref="J55">
    <cfRule type="cellIs" dxfId="29129" priority="90326" stopIfTrue="1" operator="greaterThanOrEqual">
      <formula>0.5</formula>
    </cfRule>
  </conditionalFormatting>
  <conditionalFormatting sqref="J56">
    <cfRule type="cellIs" dxfId="29128" priority="90327" stopIfTrue="1" operator="equal">
      <formula>-1</formula>
    </cfRule>
  </conditionalFormatting>
  <conditionalFormatting sqref="J56">
    <cfRule type="cellIs" dxfId="29127" priority="90328" stopIfTrue="1" operator="lessThan">
      <formula>0.5</formula>
    </cfRule>
  </conditionalFormatting>
  <conditionalFormatting sqref="J56">
    <cfRule type="cellIs" dxfId="29126" priority="90329" stopIfTrue="1" operator="greaterThanOrEqual">
      <formula>0.5</formula>
    </cfRule>
  </conditionalFormatting>
  <conditionalFormatting sqref="J57">
    <cfRule type="cellIs" dxfId="29125" priority="90330" stopIfTrue="1" operator="equal">
      <formula>-1</formula>
    </cfRule>
  </conditionalFormatting>
  <conditionalFormatting sqref="J57">
    <cfRule type="cellIs" dxfId="29124" priority="90331" stopIfTrue="1" operator="lessThan">
      <formula>0.5</formula>
    </cfRule>
  </conditionalFormatting>
  <conditionalFormatting sqref="J57">
    <cfRule type="cellIs" dxfId="29123" priority="90332" stopIfTrue="1" operator="greaterThanOrEqual">
      <formula>0.5</formula>
    </cfRule>
  </conditionalFormatting>
  <conditionalFormatting sqref="J58">
    <cfRule type="cellIs" dxfId="29122" priority="90333" stopIfTrue="1" operator="equal">
      <formula>-1</formula>
    </cfRule>
  </conditionalFormatting>
  <conditionalFormatting sqref="J58">
    <cfRule type="cellIs" dxfId="29121" priority="90334" stopIfTrue="1" operator="lessThan">
      <formula>0.5</formula>
    </cfRule>
  </conditionalFormatting>
  <conditionalFormatting sqref="J58">
    <cfRule type="cellIs" dxfId="29120" priority="90335" stopIfTrue="1" operator="greaterThanOrEqual">
      <formula>0.5</formula>
    </cfRule>
  </conditionalFormatting>
  <conditionalFormatting sqref="L39">
    <cfRule type="cellIs" dxfId="29119" priority="90336" stopIfTrue="1" operator="equal">
      <formula>-1</formula>
    </cfRule>
  </conditionalFormatting>
  <conditionalFormatting sqref="L39">
    <cfRule type="cellIs" dxfId="29118" priority="90337" stopIfTrue="1" operator="lessThan">
      <formula>0.5</formula>
    </cfRule>
  </conditionalFormatting>
  <conditionalFormatting sqref="L39">
    <cfRule type="cellIs" dxfId="29117" priority="90338" stopIfTrue="1" operator="greaterThanOrEqual">
      <formula>0.5</formula>
    </cfRule>
  </conditionalFormatting>
  <conditionalFormatting sqref="L40">
    <cfRule type="cellIs" dxfId="29116" priority="90339" stopIfTrue="1" operator="equal">
      <formula>-1</formula>
    </cfRule>
  </conditionalFormatting>
  <conditionalFormatting sqref="L40">
    <cfRule type="cellIs" dxfId="29115" priority="90340" stopIfTrue="1" operator="lessThan">
      <formula>0.5</formula>
    </cfRule>
  </conditionalFormatting>
  <conditionalFormatting sqref="L40">
    <cfRule type="cellIs" dxfId="29114" priority="90341" stopIfTrue="1" operator="greaterThanOrEqual">
      <formula>0.5</formula>
    </cfRule>
  </conditionalFormatting>
  <conditionalFormatting sqref="L41">
    <cfRule type="cellIs" dxfId="29113" priority="90342" stopIfTrue="1" operator="equal">
      <formula>-1</formula>
    </cfRule>
  </conditionalFormatting>
  <conditionalFormatting sqref="L41">
    <cfRule type="cellIs" dxfId="29112" priority="90343" stopIfTrue="1" operator="lessThan">
      <formula>0.5</formula>
    </cfRule>
  </conditionalFormatting>
  <conditionalFormatting sqref="L41">
    <cfRule type="cellIs" dxfId="29111" priority="90344" stopIfTrue="1" operator="greaterThanOrEqual">
      <formula>0.5</formula>
    </cfRule>
  </conditionalFormatting>
  <conditionalFormatting sqref="L42">
    <cfRule type="cellIs" dxfId="29110" priority="90345" stopIfTrue="1" operator="equal">
      <formula>-1</formula>
    </cfRule>
  </conditionalFormatting>
  <conditionalFormatting sqref="L42">
    <cfRule type="cellIs" dxfId="29109" priority="90346" stopIfTrue="1" operator="lessThan">
      <formula>0.5</formula>
    </cfRule>
  </conditionalFormatting>
  <conditionalFormatting sqref="L42">
    <cfRule type="cellIs" dxfId="29108" priority="90347" stopIfTrue="1" operator="greaterThanOrEqual">
      <formula>0.5</formula>
    </cfRule>
  </conditionalFormatting>
  <conditionalFormatting sqref="L43">
    <cfRule type="cellIs" dxfId="29107" priority="90348" stopIfTrue="1" operator="equal">
      <formula>-1</formula>
    </cfRule>
  </conditionalFormatting>
  <conditionalFormatting sqref="L43">
    <cfRule type="cellIs" dxfId="29106" priority="90349" stopIfTrue="1" operator="lessThan">
      <formula>0.5</formula>
    </cfRule>
  </conditionalFormatting>
  <conditionalFormatting sqref="L43">
    <cfRule type="cellIs" dxfId="29105" priority="90350" stopIfTrue="1" operator="greaterThanOrEqual">
      <formula>0.5</formula>
    </cfRule>
  </conditionalFormatting>
  <conditionalFormatting sqref="L44">
    <cfRule type="cellIs" dxfId="29104" priority="90351" stopIfTrue="1" operator="equal">
      <formula>-1</formula>
    </cfRule>
  </conditionalFormatting>
  <conditionalFormatting sqref="L44">
    <cfRule type="cellIs" dxfId="29103" priority="90352" stopIfTrue="1" operator="lessThan">
      <formula>0.5</formula>
    </cfRule>
  </conditionalFormatting>
  <conditionalFormatting sqref="L44">
    <cfRule type="cellIs" dxfId="29102" priority="90353" stopIfTrue="1" operator="greaterThanOrEqual">
      <formula>0.5</formula>
    </cfRule>
  </conditionalFormatting>
  <conditionalFormatting sqref="L45">
    <cfRule type="cellIs" dxfId="29101" priority="90354" stopIfTrue="1" operator="equal">
      <formula>-1</formula>
    </cfRule>
  </conditionalFormatting>
  <conditionalFormatting sqref="L45">
    <cfRule type="cellIs" dxfId="29100" priority="90355" stopIfTrue="1" operator="lessThan">
      <formula>0.5</formula>
    </cfRule>
  </conditionalFormatting>
  <conditionalFormatting sqref="L45">
    <cfRule type="cellIs" dxfId="29099" priority="90356" stopIfTrue="1" operator="greaterThanOrEqual">
      <formula>0.5</formula>
    </cfRule>
  </conditionalFormatting>
  <conditionalFormatting sqref="L46">
    <cfRule type="cellIs" dxfId="29098" priority="90357" stopIfTrue="1" operator="equal">
      <formula>-1</formula>
    </cfRule>
  </conditionalFormatting>
  <conditionalFormatting sqref="L46">
    <cfRule type="cellIs" dxfId="29097" priority="90358" stopIfTrue="1" operator="lessThan">
      <formula>0.5</formula>
    </cfRule>
  </conditionalFormatting>
  <conditionalFormatting sqref="L46">
    <cfRule type="cellIs" dxfId="29096" priority="90359" stopIfTrue="1" operator="greaterThanOrEqual">
      <formula>0.5</formula>
    </cfRule>
  </conditionalFormatting>
  <conditionalFormatting sqref="L47">
    <cfRule type="cellIs" dxfId="29095" priority="90360" stopIfTrue="1" operator="equal">
      <formula>-1</formula>
    </cfRule>
  </conditionalFormatting>
  <conditionalFormatting sqref="L47">
    <cfRule type="cellIs" dxfId="29094" priority="90361" stopIfTrue="1" operator="lessThan">
      <formula>0.5</formula>
    </cfRule>
  </conditionalFormatting>
  <conditionalFormatting sqref="L47">
    <cfRule type="cellIs" dxfId="29093" priority="90362" stopIfTrue="1" operator="greaterThanOrEqual">
      <formula>0.5</formula>
    </cfRule>
  </conditionalFormatting>
  <conditionalFormatting sqref="L48">
    <cfRule type="cellIs" dxfId="29092" priority="90363" stopIfTrue="1" operator="equal">
      <formula>-1</formula>
    </cfRule>
  </conditionalFormatting>
  <conditionalFormatting sqref="L48">
    <cfRule type="cellIs" dxfId="29091" priority="90364" stopIfTrue="1" operator="lessThan">
      <formula>0.5</formula>
    </cfRule>
  </conditionalFormatting>
  <conditionalFormatting sqref="L48">
    <cfRule type="cellIs" dxfId="29090" priority="90365" stopIfTrue="1" operator="greaterThanOrEqual">
      <formula>0.5</formula>
    </cfRule>
  </conditionalFormatting>
  <conditionalFormatting sqref="L49">
    <cfRule type="cellIs" dxfId="29089" priority="90366" stopIfTrue="1" operator="equal">
      <formula>-1</formula>
    </cfRule>
  </conditionalFormatting>
  <conditionalFormatting sqref="L49">
    <cfRule type="cellIs" dxfId="29088" priority="90367" stopIfTrue="1" operator="lessThan">
      <formula>0.5</formula>
    </cfRule>
  </conditionalFormatting>
  <conditionalFormatting sqref="L49">
    <cfRule type="cellIs" dxfId="29087" priority="90368" stopIfTrue="1" operator="greaterThanOrEqual">
      <formula>0.5</formula>
    </cfRule>
  </conditionalFormatting>
  <conditionalFormatting sqref="L50">
    <cfRule type="cellIs" dxfId="29086" priority="90369" stopIfTrue="1" operator="equal">
      <formula>-1</formula>
    </cfRule>
  </conditionalFormatting>
  <conditionalFormatting sqref="L50">
    <cfRule type="cellIs" dxfId="29085" priority="90370" stopIfTrue="1" operator="lessThan">
      <formula>0.5</formula>
    </cfRule>
  </conditionalFormatting>
  <conditionalFormatting sqref="L50">
    <cfRule type="cellIs" dxfId="29084" priority="90371" stopIfTrue="1" operator="greaterThanOrEqual">
      <formula>0.5</formula>
    </cfRule>
  </conditionalFormatting>
  <conditionalFormatting sqref="L51">
    <cfRule type="cellIs" dxfId="29083" priority="90372" stopIfTrue="1" operator="equal">
      <formula>-1</formula>
    </cfRule>
  </conditionalFormatting>
  <conditionalFormatting sqref="L51">
    <cfRule type="cellIs" dxfId="29082" priority="90373" stopIfTrue="1" operator="lessThan">
      <formula>0.5</formula>
    </cfRule>
  </conditionalFormatting>
  <conditionalFormatting sqref="L51">
    <cfRule type="cellIs" dxfId="29081" priority="90374" stopIfTrue="1" operator="greaterThanOrEqual">
      <formula>0.5</formula>
    </cfRule>
  </conditionalFormatting>
  <conditionalFormatting sqref="L52">
    <cfRule type="cellIs" dxfId="29080" priority="90375" stopIfTrue="1" operator="equal">
      <formula>-1</formula>
    </cfRule>
  </conditionalFormatting>
  <conditionalFormatting sqref="L52">
    <cfRule type="cellIs" dxfId="29079" priority="90376" stopIfTrue="1" operator="lessThan">
      <formula>0.5</formula>
    </cfRule>
  </conditionalFormatting>
  <conditionalFormatting sqref="L52">
    <cfRule type="cellIs" dxfId="29078" priority="90377" stopIfTrue="1" operator="greaterThanOrEqual">
      <formula>0.5</formula>
    </cfRule>
  </conditionalFormatting>
  <conditionalFormatting sqref="L53">
    <cfRule type="cellIs" dxfId="29077" priority="90378" stopIfTrue="1" operator="equal">
      <formula>-1</formula>
    </cfRule>
  </conditionalFormatting>
  <conditionalFormatting sqref="L53">
    <cfRule type="cellIs" dxfId="29076" priority="90379" stopIfTrue="1" operator="lessThan">
      <formula>0.5</formula>
    </cfRule>
  </conditionalFormatting>
  <conditionalFormatting sqref="L53">
    <cfRule type="cellIs" dxfId="29075" priority="90380" stopIfTrue="1" operator="greaterThanOrEqual">
      <formula>0.5</formula>
    </cfRule>
  </conditionalFormatting>
  <conditionalFormatting sqref="L54">
    <cfRule type="cellIs" dxfId="29074" priority="90381" stopIfTrue="1" operator="equal">
      <formula>-1</formula>
    </cfRule>
  </conditionalFormatting>
  <conditionalFormatting sqref="L54">
    <cfRule type="cellIs" dxfId="29073" priority="90382" stopIfTrue="1" operator="lessThan">
      <formula>0.5</formula>
    </cfRule>
  </conditionalFormatting>
  <conditionalFormatting sqref="L54">
    <cfRule type="cellIs" dxfId="29072" priority="90383" stopIfTrue="1" operator="greaterThanOrEqual">
      <formula>0.5</formula>
    </cfRule>
  </conditionalFormatting>
  <conditionalFormatting sqref="L55">
    <cfRule type="cellIs" dxfId="29071" priority="90384" stopIfTrue="1" operator="equal">
      <formula>-1</formula>
    </cfRule>
  </conditionalFormatting>
  <conditionalFormatting sqref="L55">
    <cfRule type="cellIs" dxfId="29070" priority="90385" stopIfTrue="1" operator="lessThan">
      <formula>0.5</formula>
    </cfRule>
  </conditionalFormatting>
  <conditionalFormatting sqref="L55">
    <cfRule type="cellIs" dxfId="29069" priority="90386" stopIfTrue="1" operator="greaterThanOrEqual">
      <formula>0.5</formula>
    </cfRule>
  </conditionalFormatting>
  <conditionalFormatting sqref="L56">
    <cfRule type="cellIs" dxfId="29068" priority="90387" stopIfTrue="1" operator="equal">
      <formula>-1</formula>
    </cfRule>
  </conditionalFormatting>
  <conditionalFormatting sqref="L56">
    <cfRule type="cellIs" dxfId="29067" priority="90388" stopIfTrue="1" operator="lessThan">
      <formula>0.5</formula>
    </cfRule>
  </conditionalFormatting>
  <conditionalFormatting sqref="L56">
    <cfRule type="cellIs" dxfId="29066" priority="90389" stopIfTrue="1" operator="greaterThanOrEqual">
      <formula>0.5</formula>
    </cfRule>
  </conditionalFormatting>
  <conditionalFormatting sqref="L57">
    <cfRule type="cellIs" dxfId="29065" priority="90390" stopIfTrue="1" operator="equal">
      <formula>-1</formula>
    </cfRule>
  </conditionalFormatting>
  <conditionalFormatting sqref="L57">
    <cfRule type="cellIs" dxfId="29064" priority="90391" stopIfTrue="1" operator="lessThan">
      <formula>0.5</formula>
    </cfRule>
  </conditionalFormatting>
  <conditionalFormatting sqref="L57">
    <cfRule type="cellIs" dxfId="29063" priority="90392" stopIfTrue="1" operator="greaterThanOrEqual">
      <formula>0.5</formula>
    </cfRule>
  </conditionalFormatting>
  <conditionalFormatting sqref="L58">
    <cfRule type="cellIs" dxfId="29062" priority="90393" stopIfTrue="1" operator="equal">
      <formula>-1</formula>
    </cfRule>
  </conditionalFormatting>
  <conditionalFormatting sqref="L58">
    <cfRule type="cellIs" dxfId="29061" priority="90394" stopIfTrue="1" operator="lessThan">
      <formula>0.5</formula>
    </cfRule>
  </conditionalFormatting>
  <conditionalFormatting sqref="L58">
    <cfRule type="cellIs" dxfId="29060" priority="90395" stopIfTrue="1" operator="greaterThanOrEqual">
      <formula>0.5</formula>
    </cfRule>
  </conditionalFormatting>
  <conditionalFormatting sqref="N39">
    <cfRule type="cellIs" dxfId="29059" priority="90396" stopIfTrue="1" operator="equal">
      <formula>-1</formula>
    </cfRule>
  </conditionalFormatting>
  <conditionalFormatting sqref="N39">
    <cfRule type="cellIs" dxfId="29058" priority="90397" stopIfTrue="1" operator="lessThan">
      <formula>0.5</formula>
    </cfRule>
  </conditionalFormatting>
  <conditionalFormatting sqref="N39">
    <cfRule type="cellIs" dxfId="29057" priority="90398" stopIfTrue="1" operator="greaterThanOrEqual">
      <formula>0.5</formula>
    </cfRule>
  </conditionalFormatting>
  <conditionalFormatting sqref="N40">
    <cfRule type="cellIs" dxfId="29056" priority="90399" stopIfTrue="1" operator="equal">
      <formula>-1</formula>
    </cfRule>
  </conditionalFormatting>
  <conditionalFormatting sqref="N40">
    <cfRule type="cellIs" dxfId="29055" priority="90400" stopIfTrue="1" operator="lessThan">
      <formula>0.5</formula>
    </cfRule>
  </conditionalFormatting>
  <conditionalFormatting sqref="N40">
    <cfRule type="cellIs" dxfId="29054" priority="90401" stopIfTrue="1" operator="greaterThanOrEqual">
      <formula>0.5</formula>
    </cfRule>
  </conditionalFormatting>
  <conditionalFormatting sqref="N41">
    <cfRule type="cellIs" dxfId="29053" priority="90402" stopIfTrue="1" operator="equal">
      <formula>-1</formula>
    </cfRule>
  </conditionalFormatting>
  <conditionalFormatting sqref="N41">
    <cfRule type="cellIs" dxfId="29052" priority="90403" stopIfTrue="1" operator="lessThan">
      <formula>0.5</formula>
    </cfRule>
  </conditionalFormatting>
  <conditionalFormatting sqref="N41">
    <cfRule type="cellIs" dxfId="29051" priority="90404" stopIfTrue="1" operator="greaterThanOrEqual">
      <formula>0.5</formula>
    </cfRule>
  </conditionalFormatting>
  <conditionalFormatting sqref="N42">
    <cfRule type="cellIs" dxfId="29050" priority="90405" stopIfTrue="1" operator="equal">
      <formula>-1</formula>
    </cfRule>
  </conditionalFormatting>
  <conditionalFormatting sqref="N42">
    <cfRule type="cellIs" dxfId="29049" priority="90406" stopIfTrue="1" operator="lessThan">
      <formula>0.5</formula>
    </cfRule>
  </conditionalFormatting>
  <conditionalFormatting sqref="N42">
    <cfRule type="cellIs" dxfId="29048" priority="90407" stopIfTrue="1" operator="greaterThanOrEqual">
      <formula>0.5</formula>
    </cfRule>
  </conditionalFormatting>
  <conditionalFormatting sqref="N43">
    <cfRule type="cellIs" dxfId="29047" priority="90408" stopIfTrue="1" operator="equal">
      <formula>-1</formula>
    </cfRule>
  </conditionalFormatting>
  <conditionalFormatting sqref="N43">
    <cfRule type="cellIs" dxfId="29046" priority="90409" stopIfTrue="1" operator="lessThan">
      <formula>0.5</formula>
    </cfRule>
  </conditionalFormatting>
  <conditionalFormatting sqref="N43">
    <cfRule type="cellIs" dxfId="29045" priority="90410" stopIfTrue="1" operator="greaterThanOrEqual">
      <formula>0.5</formula>
    </cfRule>
  </conditionalFormatting>
  <conditionalFormatting sqref="N44">
    <cfRule type="cellIs" dxfId="29044" priority="90411" stopIfTrue="1" operator="equal">
      <formula>-1</formula>
    </cfRule>
  </conditionalFormatting>
  <conditionalFormatting sqref="N44">
    <cfRule type="cellIs" dxfId="29043" priority="90412" stopIfTrue="1" operator="lessThan">
      <formula>0.5</formula>
    </cfRule>
  </conditionalFormatting>
  <conditionalFormatting sqref="N44">
    <cfRule type="cellIs" dxfId="29042" priority="90413" stopIfTrue="1" operator="greaterThanOrEqual">
      <formula>0.5</formula>
    </cfRule>
  </conditionalFormatting>
  <conditionalFormatting sqref="N45">
    <cfRule type="cellIs" dxfId="29041" priority="90414" stopIfTrue="1" operator="equal">
      <formula>-1</formula>
    </cfRule>
  </conditionalFormatting>
  <conditionalFormatting sqref="N45">
    <cfRule type="cellIs" dxfId="29040" priority="90415" stopIfTrue="1" operator="lessThan">
      <formula>0.5</formula>
    </cfRule>
  </conditionalFormatting>
  <conditionalFormatting sqref="N45">
    <cfRule type="cellIs" dxfId="29039" priority="90416" stopIfTrue="1" operator="greaterThanOrEqual">
      <formula>0.5</formula>
    </cfRule>
  </conditionalFormatting>
  <conditionalFormatting sqref="N46">
    <cfRule type="cellIs" dxfId="29038" priority="90417" stopIfTrue="1" operator="equal">
      <formula>-1</formula>
    </cfRule>
  </conditionalFormatting>
  <conditionalFormatting sqref="N46">
    <cfRule type="cellIs" dxfId="29037" priority="90418" stopIfTrue="1" operator="lessThan">
      <formula>0.5</formula>
    </cfRule>
  </conditionalFormatting>
  <conditionalFormatting sqref="N46">
    <cfRule type="cellIs" dxfId="29036" priority="90419" stopIfTrue="1" operator="greaterThanOrEqual">
      <formula>0.5</formula>
    </cfRule>
  </conditionalFormatting>
  <conditionalFormatting sqref="N47">
    <cfRule type="cellIs" dxfId="29035" priority="90420" stopIfTrue="1" operator="equal">
      <formula>-1</formula>
    </cfRule>
  </conditionalFormatting>
  <conditionalFormatting sqref="N47">
    <cfRule type="cellIs" dxfId="29034" priority="90421" stopIfTrue="1" operator="lessThan">
      <formula>0.5</formula>
    </cfRule>
  </conditionalFormatting>
  <conditionalFormatting sqref="N47">
    <cfRule type="cellIs" dxfId="29033" priority="90422" stopIfTrue="1" operator="greaterThanOrEqual">
      <formula>0.5</formula>
    </cfRule>
  </conditionalFormatting>
  <conditionalFormatting sqref="N48">
    <cfRule type="cellIs" dxfId="29032" priority="90423" stopIfTrue="1" operator="equal">
      <formula>-1</formula>
    </cfRule>
  </conditionalFormatting>
  <conditionalFormatting sqref="N48">
    <cfRule type="cellIs" dxfId="29031" priority="90424" stopIfTrue="1" operator="lessThan">
      <formula>0.5</formula>
    </cfRule>
  </conditionalFormatting>
  <conditionalFormatting sqref="N48">
    <cfRule type="cellIs" dxfId="29030" priority="90425" stopIfTrue="1" operator="greaterThanOrEqual">
      <formula>0.5</formula>
    </cfRule>
  </conditionalFormatting>
  <conditionalFormatting sqref="N49">
    <cfRule type="cellIs" dxfId="29029" priority="90426" stopIfTrue="1" operator="equal">
      <formula>-1</formula>
    </cfRule>
  </conditionalFormatting>
  <conditionalFormatting sqref="N49">
    <cfRule type="cellIs" dxfId="29028" priority="90427" stopIfTrue="1" operator="lessThan">
      <formula>0.5</formula>
    </cfRule>
  </conditionalFormatting>
  <conditionalFormatting sqref="N49">
    <cfRule type="cellIs" dxfId="29027" priority="90428" stopIfTrue="1" operator="greaterThanOrEqual">
      <formula>0.5</formula>
    </cfRule>
  </conditionalFormatting>
  <conditionalFormatting sqref="N50">
    <cfRule type="cellIs" dxfId="29026" priority="90429" stopIfTrue="1" operator="equal">
      <formula>-1</formula>
    </cfRule>
  </conditionalFormatting>
  <conditionalFormatting sqref="N50">
    <cfRule type="cellIs" dxfId="29025" priority="90430" stopIfTrue="1" operator="lessThan">
      <formula>0.5</formula>
    </cfRule>
  </conditionalFormatting>
  <conditionalFormatting sqref="N50">
    <cfRule type="cellIs" dxfId="29024" priority="90431" stopIfTrue="1" operator="greaterThanOrEqual">
      <formula>0.5</formula>
    </cfRule>
  </conditionalFormatting>
  <conditionalFormatting sqref="N51">
    <cfRule type="cellIs" dxfId="29023" priority="90432" stopIfTrue="1" operator="equal">
      <formula>-1</formula>
    </cfRule>
  </conditionalFormatting>
  <conditionalFormatting sqref="N51">
    <cfRule type="cellIs" dxfId="29022" priority="90433" stopIfTrue="1" operator="lessThan">
      <formula>0.5</formula>
    </cfRule>
  </conditionalFormatting>
  <conditionalFormatting sqref="N51">
    <cfRule type="cellIs" dxfId="29021" priority="90434" stopIfTrue="1" operator="greaterThanOrEqual">
      <formula>0.5</formula>
    </cfRule>
  </conditionalFormatting>
  <conditionalFormatting sqref="N52">
    <cfRule type="cellIs" dxfId="29020" priority="90435" stopIfTrue="1" operator="equal">
      <formula>-1</formula>
    </cfRule>
  </conditionalFormatting>
  <conditionalFormatting sqref="N52">
    <cfRule type="cellIs" dxfId="29019" priority="90436" stopIfTrue="1" operator="lessThan">
      <formula>0.5</formula>
    </cfRule>
  </conditionalFormatting>
  <conditionalFormatting sqref="N52">
    <cfRule type="cellIs" dxfId="29018" priority="90437" stopIfTrue="1" operator="greaterThanOrEqual">
      <formula>0.5</formula>
    </cfRule>
  </conditionalFormatting>
  <conditionalFormatting sqref="N53">
    <cfRule type="cellIs" dxfId="29017" priority="90438" stopIfTrue="1" operator="equal">
      <formula>-1</formula>
    </cfRule>
  </conditionalFormatting>
  <conditionalFormatting sqref="N53">
    <cfRule type="cellIs" dxfId="29016" priority="90439" stopIfTrue="1" operator="lessThan">
      <formula>0.5</formula>
    </cfRule>
  </conditionalFormatting>
  <conditionalFormatting sqref="N53">
    <cfRule type="cellIs" dxfId="29015" priority="90440" stopIfTrue="1" operator="greaterThanOrEqual">
      <formula>0.5</formula>
    </cfRule>
  </conditionalFormatting>
  <conditionalFormatting sqref="N54">
    <cfRule type="cellIs" dxfId="29014" priority="90441" stopIfTrue="1" operator="equal">
      <formula>-1</formula>
    </cfRule>
  </conditionalFormatting>
  <conditionalFormatting sqref="N54">
    <cfRule type="cellIs" dxfId="29013" priority="90442" stopIfTrue="1" operator="lessThan">
      <formula>0.5</formula>
    </cfRule>
  </conditionalFormatting>
  <conditionalFormatting sqref="N54">
    <cfRule type="cellIs" dxfId="29012" priority="90443" stopIfTrue="1" operator="greaterThanOrEqual">
      <formula>0.5</formula>
    </cfRule>
  </conditionalFormatting>
  <conditionalFormatting sqref="N55">
    <cfRule type="cellIs" dxfId="29011" priority="90444" stopIfTrue="1" operator="equal">
      <formula>-1</formula>
    </cfRule>
  </conditionalFormatting>
  <conditionalFormatting sqref="N55">
    <cfRule type="cellIs" dxfId="29010" priority="90445" stopIfTrue="1" operator="lessThan">
      <formula>0.5</formula>
    </cfRule>
  </conditionalFormatting>
  <conditionalFormatting sqref="N55">
    <cfRule type="cellIs" dxfId="29009" priority="90446" stopIfTrue="1" operator="greaterThanOrEqual">
      <formula>0.5</formula>
    </cfRule>
  </conditionalFormatting>
  <conditionalFormatting sqref="N56">
    <cfRule type="cellIs" dxfId="29008" priority="90447" stopIfTrue="1" operator="equal">
      <formula>-1</formula>
    </cfRule>
  </conditionalFormatting>
  <conditionalFormatting sqref="N56">
    <cfRule type="cellIs" dxfId="29007" priority="90448" stopIfTrue="1" operator="lessThan">
      <formula>0.5</formula>
    </cfRule>
  </conditionalFormatting>
  <conditionalFormatting sqref="N56">
    <cfRule type="cellIs" dxfId="29006" priority="90449" stopIfTrue="1" operator="greaterThanOrEqual">
      <formula>0.5</formula>
    </cfRule>
  </conditionalFormatting>
  <conditionalFormatting sqref="N57">
    <cfRule type="cellIs" dxfId="29005" priority="90450" stopIfTrue="1" operator="equal">
      <formula>-1</formula>
    </cfRule>
  </conditionalFormatting>
  <conditionalFormatting sqref="N57">
    <cfRule type="cellIs" dxfId="29004" priority="90451" stopIfTrue="1" operator="lessThan">
      <formula>0.5</formula>
    </cfRule>
  </conditionalFormatting>
  <conditionalFormatting sqref="N57">
    <cfRule type="cellIs" dxfId="29003" priority="90452" stopIfTrue="1" operator="greaterThanOrEqual">
      <formula>0.5</formula>
    </cfRule>
  </conditionalFormatting>
  <conditionalFormatting sqref="N58">
    <cfRule type="cellIs" dxfId="29002" priority="90453" stopIfTrue="1" operator="equal">
      <formula>-1</formula>
    </cfRule>
  </conditionalFormatting>
  <conditionalFormatting sqref="N58">
    <cfRule type="cellIs" dxfId="29001" priority="90454" stopIfTrue="1" operator="lessThan">
      <formula>0.5</formula>
    </cfRule>
  </conditionalFormatting>
  <conditionalFormatting sqref="N58">
    <cfRule type="cellIs" dxfId="29000" priority="90455" stopIfTrue="1" operator="greaterThanOrEqual">
      <formula>0.5</formula>
    </cfRule>
  </conditionalFormatting>
  <conditionalFormatting sqref="P39">
    <cfRule type="cellIs" dxfId="28999" priority="90456" stopIfTrue="1" operator="equal">
      <formula>-1</formula>
    </cfRule>
  </conditionalFormatting>
  <conditionalFormatting sqref="P39">
    <cfRule type="cellIs" dxfId="28998" priority="90457" stopIfTrue="1" operator="lessThan">
      <formula>0.5</formula>
    </cfRule>
  </conditionalFormatting>
  <conditionalFormatting sqref="P39">
    <cfRule type="cellIs" dxfId="28997" priority="90458" stopIfTrue="1" operator="greaterThanOrEqual">
      <formula>0.5</formula>
    </cfRule>
  </conditionalFormatting>
  <conditionalFormatting sqref="P40">
    <cfRule type="cellIs" dxfId="28996" priority="90459" stopIfTrue="1" operator="equal">
      <formula>-1</formula>
    </cfRule>
  </conditionalFormatting>
  <conditionalFormatting sqref="P40">
    <cfRule type="cellIs" dxfId="28995" priority="90460" stopIfTrue="1" operator="lessThan">
      <formula>0.5</formula>
    </cfRule>
  </conditionalFormatting>
  <conditionalFormatting sqref="P40">
    <cfRule type="cellIs" dxfId="28994" priority="90461" stopIfTrue="1" operator="greaterThanOrEqual">
      <formula>0.5</formula>
    </cfRule>
  </conditionalFormatting>
  <conditionalFormatting sqref="P41">
    <cfRule type="cellIs" dxfId="28993" priority="90462" stopIfTrue="1" operator="equal">
      <formula>-1</formula>
    </cfRule>
  </conditionalFormatting>
  <conditionalFormatting sqref="P41">
    <cfRule type="cellIs" dxfId="28992" priority="90463" stopIfTrue="1" operator="lessThan">
      <formula>0.5</formula>
    </cfRule>
  </conditionalFormatting>
  <conditionalFormatting sqref="P41">
    <cfRule type="cellIs" dxfId="28991" priority="90464" stopIfTrue="1" operator="greaterThanOrEqual">
      <formula>0.5</formula>
    </cfRule>
  </conditionalFormatting>
  <conditionalFormatting sqref="P42">
    <cfRule type="cellIs" dxfId="28990" priority="90465" stopIfTrue="1" operator="equal">
      <formula>-1</formula>
    </cfRule>
  </conditionalFormatting>
  <conditionalFormatting sqref="P42">
    <cfRule type="cellIs" dxfId="28989" priority="90466" stopIfTrue="1" operator="lessThan">
      <formula>0.5</formula>
    </cfRule>
  </conditionalFormatting>
  <conditionalFormatting sqref="P42">
    <cfRule type="cellIs" dxfId="28988" priority="90467" stopIfTrue="1" operator="greaterThanOrEqual">
      <formula>0.5</formula>
    </cfRule>
  </conditionalFormatting>
  <conditionalFormatting sqref="P43">
    <cfRule type="cellIs" dxfId="28987" priority="90468" stopIfTrue="1" operator="equal">
      <formula>-1</formula>
    </cfRule>
  </conditionalFormatting>
  <conditionalFormatting sqref="P43">
    <cfRule type="cellIs" dxfId="28986" priority="90469" stopIfTrue="1" operator="lessThan">
      <formula>0.5</formula>
    </cfRule>
  </conditionalFormatting>
  <conditionalFormatting sqref="P43">
    <cfRule type="cellIs" dxfId="28985" priority="90470" stopIfTrue="1" operator="greaterThanOrEqual">
      <formula>0.5</formula>
    </cfRule>
  </conditionalFormatting>
  <conditionalFormatting sqref="P44">
    <cfRule type="cellIs" dxfId="28984" priority="90471" stopIfTrue="1" operator="equal">
      <formula>-1</formula>
    </cfRule>
  </conditionalFormatting>
  <conditionalFormatting sqref="P44">
    <cfRule type="cellIs" dxfId="28983" priority="90472" stopIfTrue="1" operator="lessThan">
      <formula>0.5</formula>
    </cfRule>
  </conditionalFormatting>
  <conditionalFormatting sqref="P44">
    <cfRule type="cellIs" dxfId="28982" priority="90473" stopIfTrue="1" operator="greaterThanOrEqual">
      <formula>0.5</formula>
    </cfRule>
  </conditionalFormatting>
  <conditionalFormatting sqref="P45">
    <cfRule type="cellIs" dxfId="28981" priority="90474" stopIfTrue="1" operator="equal">
      <formula>-1</formula>
    </cfRule>
  </conditionalFormatting>
  <conditionalFormatting sqref="P45">
    <cfRule type="cellIs" dxfId="28980" priority="90475" stopIfTrue="1" operator="lessThan">
      <formula>0.5</formula>
    </cfRule>
  </conditionalFormatting>
  <conditionalFormatting sqref="P45">
    <cfRule type="cellIs" dxfId="28979" priority="90476" stopIfTrue="1" operator="greaterThanOrEqual">
      <formula>0.5</formula>
    </cfRule>
  </conditionalFormatting>
  <conditionalFormatting sqref="P46">
    <cfRule type="cellIs" dxfId="28978" priority="90477" stopIfTrue="1" operator="equal">
      <formula>-1</formula>
    </cfRule>
  </conditionalFormatting>
  <conditionalFormatting sqref="P46">
    <cfRule type="cellIs" dxfId="28977" priority="90478" stopIfTrue="1" operator="lessThan">
      <formula>0.5</formula>
    </cfRule>
  </conditionalFormatting>
  <conditionalFormatting sqref="P46">
    <cfRule type="cellIs" dxfId="28976" priority="90479" stopIfTrue="1" operator="greaterThanOrEqual">
      <formula>0.5</formula>
    </cfRule>
  </conditionalFormatting>
  <conditionalFormatting sqref="P47">
    <cfRule type="cellIs" dxfId="28975" priority="90480" stopIfTrue="1" operator="equal">
      <formula>-1</formula>
    </cfRule>
  </conditionalFormatting>
  <conditionalFormatting sqref="P47">
    <cfRule type="cellIs" dxfId="28974" priority="90481" stopIfTrue="1" operator="lessThan">
      <formula>0.5</formula>
    </cfRule>
  </conditionalFormatting>
  <conditionalFormatting sqref="P47">
    <cfRule type="cellIs" dxfId="28973" priority="90482" stopIfTrue="1" operator="greaterThanOrEqual">
      <formula>0.5</formula>
    </cfRule>
  </conditionalFormatting>
  <conditionalFormatting sqref="P48">
    <cfRule type="cellIs" dxfId="28972" priority="90483" stopIfTrue="1" operator="equal">
      <formula>-1</formula>
    </cfRule>
  </conditionalFormatting>
  <conditionalFormatting sqref="P48">
    <cfRule type="cellIs" dxfId="28971" priority="90484" stopIfTrue="1" operator="lessThan">
      <formula>0.5</formula>
    </cfRule>
  </conditionalFormatting>
  <conditionalFormatting sqref="P48">
    <cfRule type="cellIs" dxfId="28970" priority="90485" stopIfTrue="1" operator="greaterThanOrEqual">
      <formula>0.5</formula>
    </cfRule>
  </conditionalFormatting>
  <conditionalFormatting sqref="P49">
    <cfRule type="cellIs" dxfId="28969" priority="90486" stopIfTrue="1" operator="equal">
      <formula>-1</formula>
    </cfRule>
  </conditionalFormatting>
  <conditionalFormatting sqref="P49">
    <cfRule type="cellIs" dxfId="28968" priority="90487" stopIfTrue="1" operator="lessThan">
      <formula>0.5</formula>
    </cfRule>
  </conditionalFormatting>
  <conditionalFormatting sqref="P49">
    <cfRule type="cellIs" dxfId="28967" priority="90488" stopIfTrue="1" operator="greaterThanOrEqual">
      <formula>0.5</formula>
    </cfRule>
  </conditionalFormatting>
  <conditionalFormatting sqref="P50">
    <cfRule type="cellIs" dxfId="28966" priority="90489" stopIfTrue="1" operator="equal">
      <formula>-1</formula>
    </cfRule>
  </conditionalFormatting>
  <conditionalFormatting sqref="P50">
    <cfRule type="cellIs" dxfId="28965" priority="90490" stopIfTrue="1" operator="lessThan">
      <formula>0.5</formula>
    </cfRule>
  </conditionalFormatting>
  <conditionalFormatting sqref="P50">
    <cfRule type="cellIs" dxfId="28964" priority="90491" stopIfTrue="1" operator="greaterThanOrEqual">
      <formula>0.5</formula>
    </cfRule>
  </conditionalFormatting>
  <conditionalFormatting sqref="P51">
    <cfRule type="cellIs" dxfId="28963" priority="90492" stopIfTrue="1" operator="equal">
      <formula>-1</formula>
    </cfRule>
  </conditionalFormatting>
  <conditionalFormatting sqref="P51">
    <cfRule type="cellIs" dxfId="28962" priority="90493" stopIfTrue="1" operator="lessThan">
      <formula>0.5</formula>
    </cfRule>
  </conditionalFormatting>
  <conditionalFormatting sqref="P51">
    <cfRule type="cellIs" dxfId="28961" priority="90494" stopIfTrue="1" operator="greaterThanOrEqual">
      <formula>0.5</formula>
    </cfRule>
  </conditionalFormatting>
  <conditionalFormatting sqref="P52">
    <cfRule type="cellIs" dxfId="28960" priority="90495" stopIfTrue="1" operator="equal">
      <formula>-1</formula>
    </cfRule>
  </conditionalFormatting>
  <conditionalFormatting sqref="P52">
    <cfRule type="cellIs" dxfId="28959" priority="90496" stopIfTrue="1" operator="lessThan">
      <formula>0.5</formula>
    </cfRule>
  </conditionalFormatting>
  <conditionalFormatting sqref="P52">
    <cfRule type="cellIs" dxfId="28958" priority="90497" stopIfTrue="1" operator="greaterThanOrEqual">
      <formula>0.5</formula>
    </cfRule>
  </conditionalFormatting>
  <conditionalFormatting sqref="P53">
    <cfRule type="cellIs" dxfId="28957" priority="90498" stopIfTrue="1" operator="equal">
      <formula>-1</formula>
    </cfRule>
  </conditionalFormatting>
  <conditionalFormatting sqref="P53">
    <cfRule type="cellIs" dxfId="28956" priority="90499" stopIfTrue="1" operator="lessThan">
      <formula>0.5</formula>
    </cfRule>
  </conditionalFormatting>
  <conditionalFormatting sqref="P53">
    <cfRule type="cellIs" dxfId="28955" priority="90500" stopIfTrue="1" operator="greaterThanOrEqual">
      <formula>0.5</formula>
    </cfRule>
  </conditionalFormatting>
  <conditionalFormatting sqref="P54">
    <cfRule type="cellIs" dxfId="28954" priority="90501" stopIfTrue="1" operator="equal">
      <formula>-1</formula>
    </cfRule>
  </conditionalFormatting>
  <conditionalFormatting sqref="P54">
    <cfRule type="cellIs" dxfId="28953" priority="90502" stopIfTrue="1" operator="lessThan">
      <formula>0.5</formula>
    </cfRule>
  </conditionalFormatting>
  <conditionalFormatting sqref="P54">
    <cfRule type="cellIs" dxfId="28952" priority="90503" stopIfTrue="1" operator="greaterThanOrEqual">
      <formula>0.5</formula>
    </cfRule>
  </conditionalFormatting>
  <conditionalFormatting sqref="P55">
    <cfRule type="cellIs" dxfId="28951" priority="90504" stopIfTrue="1" operator="equal">
      <formula>-1</formula>
    </cfRule>
  </conditionalFormatting>
  <conditionalFormatting sqref="P55">
    <cfRule type="cellIs" dxfId="28950" priority="90505" stopIfTrue="1" operator="lessThan">
      <formula>0.5</formula>
    </cfRule>
  </conditionalFormatting>
  <conditionalFormatting sqref="P55">
    <cfRule type="cellIs" dxfId="28949" priority="90506" stopIfTrue="1" operator="greaterThanOrEqual">
      <formula>0.5</formula>
    </cfRule>
  </conditionalFormatting>
  <conditionalFormatting sqref="P56">
    <cfRule type="cellIs" dxfId="28948" priority="90507" stopIfTrue="1" operator="equal">
      <formula>-1</formula>
    </cfRule>
  </conditionalFormatting>
  <conditionalFormatting sqref="P56">
    <cfRule type="cellIs" dxfId="28947" priority="90508" stopIfTrue="1" operator="lessThan">
      <formula>0.5</formula>
    </cfRule>
  </conditionalFormatting>
  <conditionalFormatting sqref="P56">
    <cfRule type="cellIs" dxfId="28946" priority="90509" stopIfTrue="1" operator="greaterThanOrEqual">
      <formula>0.5</formula>
    </cfRule>
  </conditionalFormatting>
  <conditionalFormatting sqref="P57">
    <cfRule type="cellIs" dxfId="28945" priority="90510" stopIfTrue="1" operator="equal">
      <formula>-1</formula>
    </cfRule>
  </conditionalFormatting>
  <conditionalFormatting sqref="P57">
    <cfRule type="cellIs" dxfId="28944" priority="90511" stopIfTrue="1" operator="lessThan">
      <formula>0.5</formula>
    </cfRule>
  </conditionalFormatting>
  <conditionalFormatting sqref="P57">
    <cfRule type="cellIs" dxfId="28943" priority="90512" stopIfTrue="1" operator="greaterThanOrEqual">
      <formula>0.5</formula>
    </cfRule>
  </conditionalFormatting>
  <conditionalFormatting sqref="P58">
    <cfRule type="cellIs" dxfId="28942" priority="90513" stopIfTrue="1" operator="equal">
      <formula>-1</formula>
    </cfRule>
  </conditionalFormatting>
  <conditionalFormatting sqref="P58">
    <cfRule type="cellIs" dxfId="28941" priority="90514" stopIfTrue="1" operator="lessThan">
      <formula>0.5</formula>
    </cfRule>
  </conditionalFormatting>
  <conditionalFormatting sqref="P58">
    <cfRule type="cellIs" dxfId="28940" priority="90515" stopIfTrue="1" operator="greaterThanOrEqual">
      <formula>0.5</formula>
    </cfRule>
  </conditionalFormatting>
  <conditionalFormatting sqref="R39">
    <cfRule type="cellIs" dxfId="28939" priority="90516" stopIfTrue="1" operator="equal">
      <formula>-1</formula>
    </cfRule>
  </conditionalFormatting>
  <conditionalFormatting sqref="R39">
    <cfRule type="cellIs" dxfId="28938" priority="90517" stopIfTrue="1" operator="lessThan">
      <formula>0.5</formula>
    </cfRule>
  </conditionalFormatting>
  <conditionalFormatting sqref="R39">
    <cfRule type="cellIs" dxfId="28937" priority="90518" stopIfTrue="1" operator="greaterThanOrEqual">
      <formula>0.5</formula>
    </cfRule>
  </conditionalFormatting>
  <conditionalFormatting sqref="R40">
    <cfRule type="cellIs" dxfId="28936" priority="90519" stopIfTrue="1" operator="equal">
      <formula>-1</formula>
    </cfRule>
  </conditionalFormatting>
  <conditionalFormatting sqref="R40">
    <cfRule type="cellIs" dxfId="28935" priority="90520" stopIfTrue="1" operator="lessThan">
      <formula>0.5</formula>
    </cfRule>
  </conditionalFormatting>
  <conditionalFormatting sqref="R40">
    <cfRule type="cellIs" dxfId="28934" priority="90521" stopIfTrue="1" operator="greaterThanOrEqual">
      <formula>0.5</formula>
    </cfRule>
  </conditionalFormatting>
  <conditionalFormatting sqref="R41">
    <cfRule type="cellIs" dxfId="28933" priority="90522" stopIfTrue="1" operator="equal">
      <formula>-1</formula>
    </cfRule>
  </conditionalFormatting>
  <conditionalFormatting sqref="R41">
    <cfRule type="cellIs" dxfId="28932" priority="90523" stopIfTrue="1" operator="lessThan">
      <formula>0.5</formula>
    </cfRule>
  </conditionalFormatting>
  <conditionalFormatting sqref="R41">
    <cfRule type="cellIs" dxfId="28931" priority="90524" stopIfTrue="1" operator="greaterThanOrEqual">
      <formula>0.5</formula>
    </cfRule>
  </conditionalFormatting>
  <conditionalFormatting sqref="R42">
    <cfRule type="cellIs" dxfId="28930" priority="90525" stopIfTrue="1" operator="equal">
      <formula>-1</formula>
    </cfRule>
  </conditionalFormatting>
  <conditionalFormatting sqref="R42">
    <cfRule type="cellIs" dxfId="28929" priority="90526" stopIfTrue="1" operator="lessThan">
      <formula>0.5</formula>
    </cfRule>
  </conditionalFormatting>
  <conditionalFormatting sqref="R42">
    <cfRule type="cellIs" dxfId="28928" priority="90527" stopIfTrue="1" operator="greaterThanOrEqual">
      <formula>0.5</formula>
    </cfRule>
  </conditionalFormatting>
  <conditionalFormatting sqref="R43">
    <cfRule type="cellIs" dxfId="28927" priority="90528" stopIfTrue="1" operator="equal">
      <formula>-1</formula>
    </cfRule>
  </conditionalFormatting>
  <conditionalFormatting sqref="R43">
    <cfRule type="cellIs" dxfId="28926" priority="90529" stopIfTrue="1" operator="lessThan">
      <formula>0.5</formula>
    </cfRule>
  </conditionalFormatting>
  <conditionalFormatting sqref="R43">
    <cfRule type="cellIs" dxfId="28925" priority="90530" stopIfTrue="1" operator="greaterThanOrEqual">
      <formula>0.5</formula>
    </cfRule>
  </conditionalFormatting>
  <conditionalFormatting sqref="R44">
    <cfRule type="cellIs" dxfId="28924" priority="90531" stopIfTrue="1" operator="equal">
      <formula>-1</formula>
    </cfRule>
  </conditionalFormatting>
  <conditionalFormatting sqref="R44">
    <cfRule type="cellIs" dxfId="28923" priority="90532" stopIfTrue="1" operator="lessThan">
      <formula>0.5</formula>
    </cfRule>
  </conditionalFormatting>
  <conditionalFormatting sqref="R44">
    <cfRule type="cellIs" dxfId="28922" priority="90533" stopIfTrue="1" operator="greaterThanOrEqual">
      <formula>0.5</formula>
    </cfRule>
  </conditionalFormatting>
  <conditionalFormatting sqref="R45">
    <cfRule type="cellIs" dxfId="28921" priority="90534" stopIfTrue="1" operator="equal">
      <formula>-1</formula>
    </cfRule>
  </conditionalFormatting>
  <conditionalFormatting sqref="R45">
    <cfRule type="cellIs" dxfId="28920" priority="90535" stopIfTrue="1" operator="lessThan">
      <formula>0.5</formula>
    </cfRule>
  </conditionalFormatting>
  <conditionalFormatting sqref="R45">
    <cfRule type="cellIs" dxfId="28919" priority="90536" stopIfTrue="1" operator="greaterThanOrEqual">
      <formula>0.5</formula>
    </cfRule>
  </conditionalFormatting>
  <conditionalFormatting sqref="R46">
    <cfRule type="cellIs" dxfId="28918" priority="90537" stopIfTrue="1" operator="equal">
      <formula>-1</formula>
    </cfRule>
  </conditionalFormatting>
  <conditionalFormatting sqref="R46">
    <cfRule type="cellIs" dxfId="28917" priority="90538" stopIfTrue="1" operator="lessThan">
      <formula>0.5</formula>
    </cfRule>
  </conditionalFormatting>
  <conditionalFormatting sqref="R46">
    <cfRule type="cellIs" dxfId="28916" priority="90539" stopIfTrue="1" operator="greaterThanOrEqual">
      <formula>0.5</formula>
    </cfRule>
  </conditionalFormatting>
  <conditionalFormatting sqref="R47">
    <cfRule type="cellIs" dxfId="28915" priority="90540" stopIfTrue="1" operator="equal">
      <formula>-1</formula>
    </cfRule>
  </conditionalFormatting>
  <conditionalFormatting sqref="R47">
    <cfRule type="cellIs" dxfId="28914" priority="90541" stopIfTrue="1" operator="lessThan">
      <formula>0.5</formula>
    </cfRule>
  </conditionalFormatting>
  <conditionalFormatting sqref="R47">
    <cfRule type="cellIs" dxfId="28913" priority="90542" stopIfTrue="1" operator="greaterThanOrEqual">
      <formula>0.5</formula>
    </cfRule>
  </conditionalFormatting>
  <conditionalFormatting sqref="R48">
    <cfRule type="cellIs" dxfId="28912" priority="90543" stopIfTrue="1" operator="equal">
      <formula>-1</formula>
    </cfRule>
  </conditionalFormatting>
  <conditionalFormatting sqref="R48">
    <cfRule type="cellIs" dxfId="28911" priority="90544" stopIfTrue="1" operator="lessThan">
      <formula>0.5</formula>
    </cfRule>
  </conditionalFormatting>
  <conditionalFormatting sqref="R48">
    <cfRule type="cellIs" dxfId="28910" priority="90545" stopIfTrue="1" operator="greaterThanOrEqual">
      <formula>0.5</formula>
    </cfRule>
  </conditionalFormatting>
  <conditionalFormatting sqref="R49">
    <cfRule type="cellIs" dxfId="28909" priority="90546" stopIfTrue="1" operator="equal">
      <formula>-1</formula>
    </cfRule>
  </conditionalFormatting>
  <conditionalFormatting sqref="R49">
    <cfRule type="cellIs" dxfId="28908" priority="90547" stopIfTrue="1" operator="lessThan">
      <formula>0.5</formula>
    </cfRule>
  </conditionalFormatting>
  <conditionalFormatting sqref="R49">
    <cfRule type="cellIs" dxfId="28907" priority="90548" stopIfTrue="1" operator="greaterThanOrEqual">
      <formula>0.5</formula>
    </cfRule>
  </conditionalFormatting>
  <conditionalFormatting sqref="R50">
    <cfRule type="cellIs" dxfId="28906" priority="90549" stopIfTrue="1" operator="equal">
      <formula>-1</formula>
    </cfRule>
  </conditionalFormatting>
  <conditionalFormatting sqref="R50">
    <cfRule type="cellIs" dxfId="28905" priority="90550" stopIfTrue="1" operator="lessThan">
      <formula>0.5</formula>
    </cfRule>
  </conditionalFormatting>
  <conditionalFormatting sqref="R50">
    <cfRule type="cellIs" dxfId="28904" priority="90551" stopIfTrue="1" operator="greaterThanOrEqual">
      <formula>0.5</formula>
    </cfRule>
  </conditionalFormatting>
  <conditionalFormatting sqref="R51">
    <cfRule type="cellIs" dxfId="28903" priority="90552" stopIfTrue="1" operator="equal">
      <formula>-1</formula>
    </cfRule>
  </conditionalFormatting>
  <conditionalFormatting sqref="R51">
    <cfRule type="cellIs" dxfId="28902" priority="90553" stopIfTrue="1" operator="lessThan">
      <formula>0.5</formula>
    </cfRule>
  </conditionalFormatting>
  <conditionalFormatting sqref="R51">
    <cfRule type="cellIs" dxfId="28901" priority="90554" stopIfTrue="1" operator="greaterThanOrEqual">
      <formula>0.5</formula>
    </cfRule>
  </conditionalFormatting>
  <conditionalFormatting sqref="R52">
    <cfRule type="cellIs" dxfId="28900" priority="90555" stopIfTrue="1" operator="equal">
      <formula>-1</formula>
    </cfRule>
  </conditionalFormatting>
  <conditionalFormatting sqref="R52">
    <cfRule type="cellIs" dxfId="28899" priority="90556" stopIfTrue="1" operator="lessThan">
      <formula>0.5</formula>
    </cfRule>
  </conditionalFormatting>
  <conditionalFormatting sqref="R52">
    <cfRule type="cellIs" dxfId="28898" priority="90557" stopIfTrue="1" operator="greaterThanOrEqual">
      <formula>0.5</formula>
    </cfRule>
  </conditionalFormatting>
  <conditionalFormatting sqref="R53">
    <cfRule type="cellIs" dxfId="28897" priority="90558" stopIfTrue="1" operator="equal">
      <formula>-1</formula>
    </cfRule>
  </conditionalFormatting>
  <conditionalFormatting sqref="R53">
    <cfRule type="cellIs" dxfId="28896" priority="90559" stopIfTrue="1" operator="lessThan">
      <formula>0.5</formula>
    </cfRule>
  </conditionalFormatting>
  <conditionalFormatting sqref="R53">
    <cfRule type="cellIs" dxfId="28895" priority="90560" stopIfTrue="1" operator="greaterThanOrEqual">
      <formula>0.5</formula>
    </cfRule>
  </conditionalFormatting>
  <conditionalFormatting sqref="R54">
    <cfRule type="cellIs" dxfId="28894" priority="90561" stopIfTrue="1" operator="equal">
      <formula>-1</formula>
    </cfRule>
  </conditionalFormatting>
  <conditionalFormatting sqref="R54">
    <cfRule type="cellIs" dxfId="28893" priority="90562" stopIfTrue="1" operator="lessThan">
      <formula>0.5</formula>
    </cfRule>
  </conditionalFormatting>
  <conditionalFormatting sqref="R54">
    <cfRule type="cellIs" dxfId="28892" priority="90563" stopIfTrue="1" operator="greaterThanOrEqual">
      <formula>0.5</formula>
    </cfRule>
  </conditionalFormatting>
  <conditionalFormatting sqref="R55">
    <cfRule type="cellIs" dxfId="28891" priority="90564" stopIfTrue="1" operator="equal">
      <formula>-1</formula>
    </cfRule>
  </conditionalFormatting>
  <conditionalFormatting sqref="R55">
    <cfRule type="cellIs" dxfId="28890" priority="90565" stopIfTrue="1" operator="lessThan">
      <formula>0.5</formula>
    </cfRule>
  </conditionalFormatting>
  <conditionalFormatting sqref="R55">
    <cfRule type="cellIs" dxfId="28889" priority="90566" stopIfTrue="1" operator="greaterThanOrEqual">
      <formula>0.5</formula>
    </cfRule>
  </conditionalFormatting>
  <conditionalFormatting sqref="R56">
    <cfRule type="cellIs" dxfId="28888" priority="90567" stopIfTrue="1" operator="equal">
      <formula>-1</formula>
    </cfRule>
  </conditionalFormatting>
  <conditionalFormatting sqref="R56">
    <cfRule type="cellIs" dxfId="28887" priority="90568" stopIfTrue="1" operator="lessThan">
      <formula>0.5</formula>
    </cfRule>
  </conditionalFormatting>
  <conditionalFormatting sqref="R56">
    <cfRule type="cellIs" dxfId="28886" priority="90569" stopIfTrue="1" operator="greaterThanOrEqual">
      <formula>0.5</formula>
    </cfRule>
  </conditionalFormatting>
  <conditionalFormatting sqref="R57">
    <cfRule type="cellIs" dxfId="28885" priority="90570" stopIfTrue="1" operator="equal">
      <formula>-1</formula>
    </cfRule>
  </conditionalFormatting>
  <conditionalFormatting sqref="R57">
    <cfRule type="cellIs" dxfId="28884" priority="90571" stopIfTrue="1" operator="lessThan">
      <formula>0.5</formula>
    </cfRule>
  </conditionalFormatting>
  <conditionalFormatting sqref="R57">
    <cfRule type="cellIs" dxfId="28883" priority="90572" stopIfTrue="1" operator="greaterThanOrEqual">
      <formula>0.5</formula>
    </cfRule>
  </conditionalFormatting>
  <conditionalFormatting sqref="R58">
    <cfRule type="cellIs" dxfId="28882" priority="90573" stopIfTrue="1" operator="equal">
      <formula>-1</formula>
    </cfRule>
  </conditionalFormatting>
  <conditionalFormatting sqref="R58">
    <cfRule type="cellIs" dxfId="28881" priority="90574" stopIfTrue="1" operator="lessThan">
      <formula>0.5</formula>
    </cfRule>
  </conditionalFormatting>
  <conditionalFormatting sqref="R58">
    <cfRule type="cellIs" dxfId="28880" priority="90575" stopIfTrue="1" operator="greaterThanOrEqual">
      <formula>0.5</formula>
    </cfRule>
  </conditionalFormatting>
  <conditionalFormatting sqref="T39">
    <cfRule type="cellIs" dxfId="28879" priority="90576" stopIfTrue="1" operator="equal">
      <formula>-1</formula>
    </cfRule>
  </conditionalFormatting>
  <conditionalFormatting sqref="T39">
    <cfRule type="cellIs" dxfId="28878" priority="90577" stopIfTrue="1" operator="lessThan">
      <formula>0.5</formula>
    </cfRule>
  </conditionalFormatting>
  <conditionalFormatting sqref="T39">
    <cfRule type="cellIs" dxfId="28877" priority="90578" stopIfTrue="1" operator="greaterThanOrEqual">
      <formula>0.5</formula>
    </cfRule>
  </conditionalFormatting>
  <conditionalFormatting sqref="T40">
    <cfRule type="cellIs" dxfId="28876" priority="90579" stopIfTrue="1" operator="equal">
      <formula>-1</formula>
    </cfRule>
  </conditionalFormatting>
  <conditionalFormatting sqref="T40">
    <cfRule type="cellIs" dxfId="28875" priority="90580" stopIfTrue="1" operator="lessThan">
      <formula>0.5</formula>
    </cfRule>
  </conditionalFormatting>
  <conditionalFormatting sqref="T40">
    <cfRule type="cellIs" dxfId="28874" priority="90581" stopIfTrue="1" operator="greaterThanOrEqual">
      <formula>0.5</formula>
    </cfRule>
  </conditionalFormatting>
  <conditionalFormatting sqref="T41">
    <cfRule type="cellIs" dxfId="28873" priority="90582" stopIfTrue="1" operator="equal">
      <formula>-1</formula>
    </cfRule>
  </conditionalFormatting>
  <conditionalFormatting sqref="T41">
    <cfRule type="cellIs" dxfId="28872" priority="90583" stopIfTrue="1" operator="lessThan">
      <formula>0.5</formula>
    </cfRule>
  </conditionalFormatting>
  <conditionalFormatting sqref="T41">
    <cfRule type="cellIs" dxfId="28871" priority="90584" stopIfTrue="1" operator="greaterThanOrEqual">
      <formula>0.5</formula>
    </cfRule>
  </conditionalFormatting>
  <conditionalFormatting sqref="T42">
    <cfRule type="cellIs" dxfId="28870" priority="90585" stopIfTrue="1" operator="equal">
      <formula>-1</formula>
    </cfRule>
  </conditionalFormatting>
  <conditionalFormatting sqref="T42">
    <cfRule type="cellIs" dxfId="28869" priority="90586" stopIfTrue="1" operator="lessThan">
      <formula>0.5</formula>
    </cfRule>
  </conditionalFormatting>
  <conditionalFormatting sqref="T42">
    <cfRule type="cellIs" dxfId="28868" priority="90587" stopIfTrue="1" operator="greaterThanOrEqual">
      <formula>0.5</formula>
    </cfRule>
  </conditionalFormatting>
  <conditionalFormatting sqref="T43">
    <cfRule type="cellIs" dxfId="28867" priority="90588" stopIfTrue="1" operator="equal">
      <formula>-1</formula>
    </cfRule>
  </conditionalFormatting>
  <conditionalFormatting sqref="T43">
    <cfRule type="cellIs" dxfId="28866" priority="90589" stopIfTrue="1" operator="lessThan">
      <formula>0.5</formula>
    </cfRule>
  </conditionalFormatting>
  <conditionalFormatting sqref="T43">
    <cfRule type="cellIs" dxfId="28865" priority="90590" stopIfTrue="1" operator="greaterThanOrEqual">
      <formula>0.5</formula>
    </cfRule>
  </conditionalFormatting>
  <conditionalFormatting sqref="T44">
    <cfRule type="cellIs" dxfId="28864" priority="90591" stopIfTrue="1" operator="equal">
      <formula>-1</formula>
    </cfRule>
  </conditionalFormatting>
  <conditionalFormatting sqref="T44">
    <cfRule type="cellIs" dxfId="28863" priority="90592" stopIfTrue="1" operator="lessThan">
      <formula>0.5</formula>
    </cfRule>
  </conditionalFormatting>
  <conditionalFormatting sqref="T44">
    <cfRule type="cellIs" dxfId="28862" priority="90593" stopIfTrue="1" operator="greaterThanOrEqual">
      <formula>0.5</formula>
    </cfRule>
  </conditionalFormatting>
  <conditionalFormatting sqref="T45">
    <cfRule type="cellIs" dxfId="28861" priority="90594" stopIfTrue="1" operator="equal">
      <formula>-1</formula>
    </cfRule>
  </conditionalFormatting>
  <conditionalFormatting sqref="T45">
    <cfRule type="cellIs" dxfId="28860" priority="90595" stopIfTrue="1" operator="lessThan">
      <formula>0.5</formula>
    </cfRule>
  </conditionalFormatting>
  <conditionalFormatting sqref="T45">
    <cfRule type="cellIs" dxfId="28859" priority="90596" stopIfTrue="1" operator="greaterThanOrEqual">
      <formula>0.5</formula>
    </cfRule>
  </conditionalFormatting>
  <conditionalFormatting sqref="T46">
    <cfRule type="cellIs" dxfId="28858" priority="90597" stopIfTrue="1" operator="equal">
      <formula>-1</formula>
    </cfRule>
  </conditionalFormatting>
  <conditionalFormatting sqref="T46">
    <cfRule type="cellIs" dxfId="28857" priority="90598" stopIfTrue="1" operator="lessThan">
      <formula>0.5</formula>
    </cfRule>
  </conditionalFormatting>
  <conditionalFormatting sqref="T46">
    <cfRule type="cellIs" dxfId="28856" priority="90599" stopIfTrue="1" operator="greaterThanOrEqual">
      <formula>0.5</formula>
    </cfRule>
  </conditionalFormatting>
  <conditionalFormatting sqref="T47">
    <cfRule type="cellIs" dxfId="28855" priority="90600" stopIfTrue="1" operator="equal">
      <formula>-1</formula>
    </cfRule>
  </conditionalFormatting>
  <conditionalFormatting sqref="T47">
    <cfRule type="cellIs" dxfId="28854" priority="90601" stopIfTrue="1" operator="lessThan">
      <formula>0.5</formula>
    </cfRule>
  </conditionalFormatting>
  <conditionalFormatting sqref="T47">
    <cfRule type="cellIs" dxfId="28853" priority="90602" stopIfTrue="1" operator="greaterThanOrEqual">
      <formula>0.5</formula>
    </cfRule>
  </conditionalFormatting>
  <conditionalFormatting sqref="T48">
    <cfRule type="cellIs" dxfId="28852" priority="90603" stopIfTrue="1" operator="equal">
      <formula>-1</formula>
    </cfRule>
  </conditionalFormatting>
  <conditionalFormatting sqref="T48">
    <cfRule type="cellIs" dxfId="28851" priority="90604" stopIfTrue="1" operator="lessThan">
      <formula>0.5</formula>
    </cfRule>
  </conditionalFormatting>
  <conditionalFormatting sqref="T48">
    <cfRule type="cellIs" dxfId="28850" priority="90605" stopIfTrue="1" operator="greaterThanOrEqual">
      <formula>0.5</formula>
    </cfRule>
  </conditionalFormatting>
  <conditionalFormatting sqref="T49">
    <cfRule type="cellIs" dxfId="28849" priority="90606" stopIfTrue="1" operator="equal">
      <formula>-1</formula>
    </cfRule>
  </conditionalFormatting>
  <conditionalFormatting sqref="T49">
    <cfRule type="cellIs" dxfId="28848" priority="90607" stopIfTrue="1" operator="lessThan">
      <formula>0.5</formula>
    </cfRule>
  </conditionalFormatting>
  <conditionalFormatting sqref="T49">
    <cfRule type="cellIs" dxfId="28847" priority="90608" stopIfTrue="1" operator="greaterThanOrEqual">
      <formula>0.5</formula>
    </cfRule>
  </conditionalFormatting>
  <conditionalFormatting sqref="T50">
    <cfRule type="cellIs" dxfId="28846" priority="90609" stopIfTrue="1" operator="equal">
      <formula>-1</formula>
    </cfRule>
  </conditionalFormatting>
  <conditionalFormatting sqref="T50">
    <cfRule type="cellIs" dxfId="28845" priority="90610" stopIfTrue="1" operator="lessThan">
      <formula>0.5</formula>
    </cfRule>
  </conditionalFormatting>
  <conditionalFormatting sqref="T50">
    <cfRule type="cellIs" dxfId="28844" priority="90611" stopIfTrue="1" operator="greaterThanOrEqual">
      <formula>0.5</formula>
    </cfRule>
  </conditionalFormatting>
  <conditionalFormatting sqref="T51">
    <cfRule type="cellIs" dxfId="28843" priority="90612" stopIfTrue="1" operator="equal">
      <formula>-1</formula>
    </cfRule>
  </conditionalFormatting>
  <conditionalFormatting sqref="T51">
    <cfRule type="cellIs" dxfId="28842" priority="90613" stopIfTrue="1" operator="lessThan">
      <formula>0.5</formula>
    </cfRule>
  </conditionalFormatting>
  <conditionalFormatting sqref="T51">
    <cfRule type="cellIs" dxfId="28841" priority="90614" stopIfTrue="1" operator="greaterThanOrEqual">
      <formula>0.5</formula>
    </cfRule>
  </conditionalFormatting>
  <conditionalFormatting sqref="T52">
    <cfRule type="cellIs" dxfId="28840" priority="90615" stopIfTrue="1" operator="equal">
      <formula>-1</formula>
    </cfRule>
  </conditionalFormatting>
  <conditionalFormatting sqref="T52">
    <cfRule type="cellIs" dxfId="28839" priority="90616" stopIfTrue="1" operator="lessThan">
      <formula>0.5</formula>
    </cfRule>
  </conditionalFormatting>
  <conditionalFormatting sqref="T52">
    <cfRule type="cellIs" dxfId="28838" priority="90617" stopIfTrue="1" operator="greaterThanOrEqual">
      <formula>0.5</formula>
    </cfRule>
  </conditionalFormatting>
  <conditionalFormatting sqref="T53">
    <cfRule type="cellIs" dxfId="28837" priority="90618" stopIfTrue="1" operator="equal">
      <formula>-1</formula>
    </cfRule>
  </conditionalFormatting>
  <conditionalFormatting sqref="T53">
    <cfRule type="cellIs" dxfId="28836" priority="90619" stopIfTrue="1" operator="lessThan">
      <formula>0.5</formula>
    </cfRule>
  </conditionalFormatting>
  <conditionalFormatting sqref="T53">
    <cfRule type="cellIs" dxfId="28835" priority="90620" stopIfTrue="1" operator="greaterThanOrEqual">
      <formula>0.5</formula>
    </cfRule>
  </conditionalFormatting>
  <conditionalFormatting sqref="T54">
    <cfRule type="cellIs" dxfId="28834" priority="90621" stopIfTrue="1" operator="equal">
      <formula>-1</formula>
    </cfRule>
  </conditionalFormatting>
  <conditionalFormatting sqref="T54">
    <cfRule type="cellIs" dxfId="28833" priority="90622" stopIfTrue="1" operator="lessThan">
      <formula>0.5</formula>
    </cfRule>
  </conditionalFormatting>
  <conditionalFormatting sqref="T54">
    <cfRule type="cellIs" dxfId="28832" priority="90623" stopIfTrue="1" operator="greaterThanOrEqual">
      <formula>0.5</formula>
    </cfRule>
  </conditionalFormatting>
  <conditionalFormatting sqref="T55">
    <cfRule type="cellIs" dxfId="28831" priority="90624" stopIfTrue="1" operator="equal">
      <formula>-1</formula>
    </cfRule>
  </conditionalFormatting>
  <conditionalFormatting sqref="T55">
    <cfRule type="cellIs" dxfId="28830" priority="90625" stopIfTrue="1" operator="lessThan">
      <formula>0.5</formula>
    </cfRule>
  </conditionalFormatting>
  <conditionalFormatting sqref="T55">
    <cfRule type="cellIs" dxfId="28829" priority="90626" stopIfTrue="1" operator="greaterThanOrEqual">
      <formula>0.5</formula>
    </cfRule>
  </conditionalFormatting>
  <conditionalFormatting sqref="T56">
    <cfRule type="cellIs" dxfId="28828" priority="90627" stopIfTrue="1" operator="equal">
      <formula>-1</formula>
    </cfRule>
  </conditionalFormatting>
  <conditionalFormatting sqref="T56">
    <cfRule type="cellIs" dxfId="28827" priority="90628" stopIfTrue="1" operator="lessThan">
      <formula>0.5</formula>
    </cfRule>
  </conditionalFormatting>
  <conditionalFormatting sqref="T56">
    <cfRule type="cellIs" dxfId="28826" priority="90629" stopIfTrue="1" operator="greaterThanOrEqual">
      <formula>0.5</formula>
    </cfRule>
  </conditionalFormatting>
  <conditionalFormatting sqref="T57">
    <cfRule type="cellIs" dxfId="28825" priority="90630" stopIfTrue="1" operator="equal">
      <formula>-1</formula>
    </cfRule>
  </conditionalFormatting>
  <conditionalFormatting sqref="T57">
    <cfRule type="cellIs" dxfId="28824" priority="90631" stopIfTrue="1" operator="lessThan">
      <formula>0.5</formula>
    </cfRule>
  </conditionalFormatting>
  <conditionalFormatting sqref="T57">
    <cfRule type="cellIs" dxfId="28823" priority="90632" stopIfTrue="1" operator="greaterThanOrEqual">
      <formula>0.5</formula>
    </cfRule>
  </conditionalFormatting>
  <conditionalFormatting sqref="T58">
    <cfRule type="cellIs" dxfId="28822" priority="90633" stopIfTrue="1" operator="equal">
      <formula>-1</formula>
    </cfRule>
  </conditionalFormatting>
  <conditionalFormatting sqref="T58">
    <cfRule type="cellIs" dxfId="28821" priority="90634" stopIfTrue="1" operator="lessThan">
      <formula>0.5</formula>
    </cfRule>
  </conditionalFormatting>
  <conditionalFormatting sqref="T58">
    <cfRule type="cellIs" dxfId="28820" priority="90635" stopIfTrue="1" operator="greaterThanOrEqual">
      <formula>0.5</formula>
    </cfRule>
  </conditionalFormatting>
  <conditionalFormatting sqref="V39">
    <cfRule type="cellIs" dxfId="28819" priority="90636" stopIfTrue="1" operator="equal">
      <formula>-1</formula>
    </cfRule>
  </conditionalFormatting>
  <conditionalFormatting sqref="V39">
    <cfRule type="cellIs" dxfId="28818" priority="90637" stopIfTrue="1" operator="lessThan">
      <formula>0.5</formula>
    </cfRule>
  </conditionalFormatting>
  <conditionalFormatting sqref="V39">
    <cfRule type="cellIs" dxfId="28817" priority="90638" stopIfTrue="1" operator="greaterThanOrEqual">
      <formula>0.5</formula>
    </cfRule>
  </conditionalFormatting>
  <conditionalFormatting sqref="V40">
    <cfRule type="cellIs" dxfId="28816" priority="90639" stopIfTrue="1" operator="equal">
      <formula>-1</formula>
    </cfRule>
  </conditionalFormatting>
  <conditionalFormatting sqref="V40">
    <cfRule type="cellIs" dxfId="28815" priority="90640" stopIfTrue="1" operator="lessThan">
      <formula>0.5</formula>
    </cfRule>
  </conditionalFormatting>
  <conditionalFormatting sqref="V40">
    <cfRule type="cellIs" dxfId="28814" priority="90641" stopIfTrue="1" operator="greaterThanOrEqual">
      <formula>0.5</formula>
    </cfRule>
  </conditionalFormatting>
  <conditionalFormatting sqref="V41">
    <cfRule type="cellIs" dxfId="28813" priority="90642" stopIfTrue="1" operator="equal">
      <formula>-1</formula>
    </cfRule>
  </conditionalFormatting>
  <conditionalFormatting sqref="V41">
    <cfRule type="cellIs" dxfId="28812" priority="90643" stopIfTrue="1" operator="lessThan">
      <formula>0.5</formula>
    </cfRule>
  </conditionalFormatting>
  <conditionalFormatting sqref="V41">
    <cfRule type="cellIs" dxfId="28811" priority="90644" stopIfTrue="1" operator="greaterThanOrEqual">
      <formula>0.5</formula>
    </cfRule>
  </conditionalFormatting>
  <conditionalFormatting sqref="V42">
    <cfRule type="cellIs" dxfId="28810" priority="90645" stopIfTrue="1" operator="equal">
      <formula>-1</formula>
    </cfRule>
  </conditionalFormatting>
  <conditionalFormatting sqref="V42">
    <cfRule type="cellIs" dxfId="28809" priority="90646" stopIfTrue="1" operator="lessThan">
      <formula>0.5</formula>
    </cfRule>
  </conditionalFormatting>
  <conditionalFormatting sqref="V42">
    <cfRule type="cellIs" dxfId="28808" priority="90647" stopIfTrue="1" operator="greaterThanOrEqual">
      <formula>0.5</formula>
    </cfRule>
  </conditionalFormatting>
  <conditionalFormatting sqref="V43">
    <cfRule type="cellIs" dxfId="28807" priority="90648" stopIfTrue="1" operator="equal">
      <formula>-1</formula>
    </cfRule>
  </conditionalFormatting>
  <conditionalFormatting sqref="V43">
    <cfRule type="cellIs" dxfId="28806" priority="90649" stopIfTrue="1" operator="lessThan">
      <formula>0.5</formula>
    </cfRule>
  </conditionalFormatting>
  <conditionalFormatting sqref="V43">
    <cfRule type="cellIs" dxfId="28805" priority="90650" stopIfTrue="1" operator="greaterThanOrEqual">
      <formula>0.5</formula>
    </cfRule>
  </conditionalFormatting>
  <conditionalFormatting sqref="V44">
    <cfRule type="cellIs" dxfId="28804" priority="90651" stopIfTrue="1" operator="equal">
      <formula>-1</formula>
    </cfRule>
  </conditionalFormatting>
  <conditionalFormatting sqref="V44">
    <cfRule type="cellIs" dxfId="28803" priority="90652" stopIfTrue="1" operator="lessThan">
      <formula>0.5</formula>
    </cfRule>
  </conditionalFormatting>
  <conditionalFormatting sqref="V44">
    <cfRule type="cellIs" dxfId="28802" priority="90653" stopIfTrue="1" operator="greaterThanOrEqual">
      <formula>0.5</formula>
    </cfRule>
  </conditionalFormatting>
  <conditionalFormatting sqref="V45">
    <cfRule type="cellIs" dxfId="28801" priority="90654" stopIfTrue="1" operator="equal">
      <formula>-1</formula>
    </cfRule>
  </conditionalFormatting>
  <conditionalFormatting sqref="V45">
    <cfRule type="cellIs" dxfId="28800" priority="90655" stopIfTrue="1" operator="lessThan">
      <formula>0.5</formula>
    </cfRule>
  </conditionalFormatting>
  <conditionalFormatting sqref="V45">
    <cfRule type="cellIs" dxfId="28799" priority="90656" stopIfTrue="1" operator="greaterThanOrEqual">
      <formula>0.5</formula>
    </cfRule>
  </conditionalFormatting>
  <conditionalFormatting sqref="V46">
    <cfRule type="cellIs" dxfId="28798" priority="90657" stopIfTrue="1" operator="equal">
      <formula>-1</formula>
    </cfRule>
  </conditionalFormatting>
  <conditionalFormatting sqref="V46">
    <cfRule type="cellIs" dxfId="28797" priority="90658" stopIfTrue="1" operator="lessThan">
      <formula>0.5</formula>
    </cfRule>
  </conditionalFormatting>
  <conditionalFormatting sqref="V46">
    <cfRule type="cellIs" dxfId="28796" priority="90659" stopIfTrue="1" operator="greaterThanOrEqual">
      <formula>0.5</formula>
    </cfRule>
  </conditionalFormatting>
  <conditionalFormatting sqref="V47">
    <cfRule type="cellIs" dxfId="28795" priority="90660" stopIfTrue="1" operator="equal">
      <formula>-1</formula>
    </cfRule>
  </conditionalFormatting>
  <conditionalFormatting sqref="V47">
    <cfRule type="cellIs" dxfId="28794" priority="90661" stopIfTrue="1" operator="lessThan">
      <formula>0.5</formula>
    </cfRule>
  </conditionalFormatting>
  <conditionalFormatting sqref="V47">
    <cfRule type="cellIs" dxfId="28793" priority="90662" stopIfTrue="1" operator="greaterThanOrEqual">
      <formula>0.5</formula>
    </cfRule>
  </conditionalFormatting>
  <conditionalFormatting sqref="V48">
    <cfRule type="cellIs" dxfId="28792" priority="90663" stopIfTrue="1" operator="equal">
      <formula>-1</formula>
    </cfRule>
  </conditionalFormatting>
  <conditionalFormatting sqref="V48">
    <cfRule type="cellIs" dxfId="28791" priority="90664" stopIfTrue="1" operator="lessThan">
      <formula>0.5</formula>
    </cfRule>
  </conditionalFormatting>
  <conditionalFormatting sqref="V48">
    <cfRule type="cellIs" dxfId="28790" priority="90665" stopIfTrue="1" operator="greaterThanOrEqual">
      <formula>0.5</formula>
    </cfRule>
  </conditionalFormatting>
  <conditionalFormatting sqref="V49">
    <cfRule type="cellIs" dxfId="28789" priority="90666" stopIfTrue="1" operator="equal">
      <formula>-1</formula>
    </cfRule>
  </conditionalFormatting>
  <conditionalFormatting sqref="V49">
    <cfRule type="cellIs" dxfId="28788" priority="90667" stopIfTrue="1" operator="lessThan">
      <formula>0.5</formula>
    </cfRule>
  </conditionalFormatting>
  <conditionalFormatting sqref="V49">
    <cfRule type="cellIs" dxfId="28787" priority="90668" stopIfTrue="1" operator="greaterThanOrEqual">
      <formula>0.5</formula>
    </cfRule>
  </conditionalFormatting>
  <conditionalFormatting sqref="V50">
    <cfRule type="cellIs" dxfId="28786" priority="90669" stopIfTrue="1" operator="equal">
      <formula>-1</formula>
    </cfRule>
  </conditionalFormatting>
  <conditionalFormatting sqref="V50">
    <cfRule type="cellIs" dxfId="28785" priority="90670" stopIfTrue="1" operator="lessThan">
      <formula>0.5</formula>
    </cfRule>
  </conditionalFormatting>
  <conditionalFormatting sqref="V50">
    <cfRule type="cellIs" dxfId="28784" priority="90671" stopIfTrue="1" operator="greaterThanOrEqual">
      <formula>0.5</formula>
    </cfRule>
  </conditionalFormatting>
  <conditionalFormatting sqref="V51">
    <cfRule type="cellIs" dxfId="28783" priority="90672" stopIfTrue="1" operator="equal">
      <formula>-1</formula>
    </cfRule>
  </conditionalFormatting>
  <conditionalFormatting sqref="V51">
    <cfRule type="cellIs" dxfId="28782" priority="90673" stopIfTrue="1" operator="lessThan">
      <formula>0.5</formula>
    </cfRule>
  </conditionalFormatting>
  <conditionalFormatting sqref="V51">
    <cfRule type="cellIs" dxfId="28781" priority="90674" stopIfTrue="1" operator="greaterThanOrEqual">
      <formula>0.5</formula>
    </cfRule>
  </conditionalFormatting>
  <conditionalFormatting sqref="V52">
    <cfRule type="cellIs" dxfId="28780" priority="90675" stopIfTrue="1" operator="equal">
      <formula>-1</formula>
    </cfRule>
  </conditionalFormatting>
  <conditionalFormatting sqref="V52">
    <cfRule type="cellIs" dxfId="28779" priority="90676" stopIfTrue="1" operator="lessThan">
      <formula>0.5</formula>
    </cfRule>
  </conditionalFormatting>
  <conditionalFormatting sqref="V52">
    <cfRule type="cellIs" dxfId="28778" priority="90677" stopIfTrue="1" operator="greaterThanOrEqual">
      <formula>0.5</formula>
    </cfRule>
  </conditionalFormatting>
  <conditionalFormatting sqref="V53">
    <cfRule type="cellIs" dxfId="28777" priority="90678" stopIfTrue="1" operator="equal">
      <formula>-1</formula>
    </cfRule>
  </conditionalFormatting>
  <conditionalFormatting sqref="V53">
    <cfRule type="cellIs" dxfId="28776" priority="90679" stopIfTrue="1" operator="lessThan">
      <formula>0.5</formula>
    </cfRule>
  </conditionalFormatting>
  <conditionalFormatting sqref="V53">
    <cfRule type="cellIs" dxfId="28775" priority="90680" stopIfTrue="1" operator="greaterThanOrEqual">
      <formula>0.5</formula>
    </cfRule>
  </conditionalFormatting>
  <conditionalFormatting sqref="V54">
    <cfRule type="cellIs" dxfId="28774" priority="90681" stopIfTrue="1" operator="equal">
      <formula>-1</formula>
    </cfRule>
  </conditionalFormatting>
  <conditionalFormatting sqref="V54">
    <cfRule type="cellIs" dxfId="28773" priority="90682" stopIfTrue="1" operator="lessThan">
      <formula>0.5</formula>
    </cfRule>
  </conditionalFormatting>
  <conditionalFormatting sqref="V54">
    <cfRule type="cellIs" dxfId="28772" priority="90683" stopIfTrue="1" operator="greaterThanOrEqual">
      <formula>0.5</formula>
    </cfRule>
  </conditionalFormatting>
  <conditionalFormatting sqref="V55">
    <cfRule type="cellIs" dxfId="28771" priority="90684" stopIfTrue="1" operator="equal">
      <formula>-1</formula>
    </cfRule>
  </conditionalFormatting>
  <conditionalFormatting sqref="V55">
    <cfRule type="cellIs" dxfId="28770" priority="90685" stopIfTrue="1" operator="lessThan">
      <formula>0.5</formula>
    </cfRule>
  </conditionalFormatting>
  <conditionalFormatting sqref="V55">
    <cfRule type="cellIs" dxfId="28769" priority="90686" stopIfTrue="1" operator="greaterThanOrEqual">
      <formula>0.5</formula>
    </cfRule>
  </conditionalFormatting>
  <conditionalFormatting sqref="V56">
    <cfRule type="cellIs" dxfId="28768" priority="90687" stopIfTrue="1" operator="equal">
      <formula>-1</formula>
    </cfRule>
  </conditionalFormatting>
  <conditionalFormatting sqref="V56">
    <cfRule type="cellIs" dxfId="28767" priority="90688" stopIfTrue="1" operator="lessThan">
      <formula>0.5</formula>
    </cfRule>
  </conditionalFormatting>
  <conditionalFormatting sqref="V56">
    <cfRule type="cellIs" dxfId="28766" priority="90689" stopIfTrue="1" operator="greaterThanOrEqual">
      <formula>0.5</formula>
    </cfRule>
  </conditionalFormatting>
  <conditionalFormatting sqref="V57">
    <cfRule type="cellIs" dxfId="28765" priority="90690" stopIfTrue="1" operator="equal">
      <formula>-1</formula>
    </cfRule>
  </conditionalFormatting>
  <conditionalFormatting sqref="V57">
    <cfRule type="cellIs" dxfId="28764" priority="90691" stopIfTrue="1" operator="lessThan">
      <formula>0.5</formula>
    </cfRule>
  </conditionalFormatting>
  <conditionalFormatting sqref="V57">
    <cfRule type="cellIs" dxfId="28763" priority="90692" stopIfTrue="1" operator="greaterThanOrEqual">
      <formula>0.5</formula>
    </cfRule>
  </conditionalFormatting>
  <conditionalFormatting sqref="V58">
    <cfRule type="cellIs" dxfId="28762" priority="90693" stopIfTrue="1" operator="equal">
      <formula>-1</formula>
    </cfRule>
  </conditionalFormatting>
  <conditionalFormatting sqref="V58">
    <cfRule type="cellIs" dxfId="28761" priority="90694" stopIfTrue="1" operator="lessThan">
      <formula>0.5</formula>
    </cfRule>
  </conditionalFormatting>
  <conditionalFormatting sqref="V58">
    <cfRule type="cellIs" dxfId="28760" priority="90695" stopIfTrue="1" operator="greaterThanOrEqual">
      <formula>0.5</formula>
    </cfRule>
  </conditionalFormatting>
  <conditionalFormatting sqref="X39">
    <cfRule type="cellIs" dxfId="28759" priority="90696" stopIfTrue="1" operator="equal">
      <formula>-1</formula>
    </cfRule>
  </conditionalFormatting>
  <conditionalFormatting sqref="X39">
    <cfRule type="cellIs" dxfId="28758" priority="90697" stopIfTrue="1" operator="lessThan">
      <formula>0.5</formula>
    </cfRule>
  </conditionalFormatting>
  <conditionalFormatting sqref="X39">
    <cfRule type="cellIs" dxfId="28757" priority="90698" stopIfTrue="1" operator="greaterThanOrEqual">
      <formula>0.5</formula>
    </cfRule>
  </conditionalFormatting>
  <conditionalFormatting sqref="X40">
    <cfRule type="cellIs" dxfId="28756" priority="90699" stopIfTrue="1" operator="equal">
      <formula>-1</formula>
    </cfRule>
  </conditionalFormatting>
  <conditionalFormatting sqref="X40">
    <cfRule type="cellIs" dxfId="28755" priority="90700" stopIfTrue="1" operator="lessThan">
      <formula>0.5</formula>
    </cfRule>
  </conditionalFormatting>
  <conditionalFormatting sqref="X40">
    <cfRule type="cellIs" dxfId="28754" priority="90701" stopIfTrue="1" operator="greaterThanOrEqual">
      <formula>0.5</formula>
    </cfRule>
  </conditionalFormatting>
  <conditionalFormatting sqref="X41">
    <cfRule type="cellIs" dxfId="28753" priority="90702" stopIfTrue="1" operator="equal">
      <formula>-1</formula>
    </cfRule>
  </conditionalFormatting>
  <conditionalFormatting sqref="X41">
    <cfRule type="cellIs" dxfId="28752" priority="90703" stopIfTrue="1" operator="lessThan">
      <formula>0.5</formula>
    </cfRule>
  </conditionalFormatting>
  <conditionalFormatting sqref="X41">
    <cfRule type="cellIs" dxfId="28751" priority="90704" stopIfTrue="1" operator="greaterThanOrEqual">
      <formula>0.5</formula>
    </cfRule>
  </conditionalFormatting>
  <conditionalFormatting sqref="X42">
    <cfRule type="cellIs" dxfId="28750" priority="90705" stopIfTrue="1" operator="equal">
      <formula>-1</formula>
    </cfRule>
  </conditionalFormatting>
  <conditionalFormatting sqref="X42">
    <cfRule type="cellIs" dxfId="28749" priority="90706" stopIfTrue="1" operator="lessThan">
      <formula>0.5</formula>
    </cfRule>
  </conditionalFormatting>
  <conditionalFormatting sqref="X42">
    <cfRule type="cellIs" dxfId="28748" priority="90707" stopIfTrue="1" operator="greaterThanOrEqual">
      <formula>0.5</formula>
    </cfRule>
  </conditionalFormatting>
  <conditionalFormatting sqref="X43">
    <cfRule type="cellIs" dxfId="28747" priority="90708" stopIfTrue="1" operator="equal">
      <formula>-1</formula>
    </cfRule>
  </conditionalFormatting>
  <conditionalFormatting sqref="X43">
    <cfRule type="cellIs" dxfId="28746" priority="90709" stopIfTrue="1" operator="lessThan">
      <formula>0.5</formula>
    </cfRule>
  </conditionalFormatting>
  <conditionalFormatting sqref="X43">
    <cfRule type="cellIs" dxfId="28745" priority="90710" stopIfTrue="1" operator="greaterThanOrEqual">
      <formula>0.5</formula>
    </cfRule>
  </conditionalFormatting>
  <conditionalFormatting sqref="X44">
    <cfRule type="cellIs" dxfId="28744" priority="90711" stopIfTrue="1" operator="equal">
      <formula>-1</formula>
    </cfRule>
  </conditionalFormatting>
  <conditionalFormatting sqref="X44">
    <cfRule type="cellIs" dxfId="28743" priority="90712" stopIfTrue="1" operator="lessThan">
      <formula>0.5</formula>
    </cfRule>
  </conditionalFormatting>
  <conditionalFormatting sqref="X44">
    <cfRule type="cellIs" dxfId="28742" priority="90713" stopIfTrue="1" operator="greaterThanOrEqual">
      <formula>0.5</formula>
    </cfRule>
  </conditionalFormatting>
  <conditionalFormatting sqref="X45">
    <cfRule type="cellIs" dxfId="28741" priority="90714" stopIfTrue="1" operator="equal">
      <formula>-1</formula>
    </cfRule>
  </conditionalFormatting>
  <conditionalFormatting sqref="X45">
    <cfRule type="cellIs" dxfId="28740" priority="90715" stopIfTrue="1" operator="lessThan">
      <formula>0.5</formula>
    </cfRule>
  </conditionalFormatting>
  <conditionalFormatting sqref="X45">
    <cfRule type="cellIs" dxfId="28739" priority="90716" stopIfTrue="1" operator="greaterThanOrEqual">
      <formula>0.5</formula>
    </cfRule>
  </conditionalFormatting>
  <conditionalFormatting sqref="X46">
    <cfRule type="cellIs" dxfId="28738" priority="90717" stopIfTrue="1" operator="equal">
      <formula>-1</formula>
    </cfRule>
  </conditionalFormatting>
  <conditionalFormatting sqref="X46">
    <cfRule type="cellIs" dxfId="28737" priority="90718" stopIfTrue="1" operator="lessThan">
      <formula>0.5</formula>
    </cfRule>
  </conditionalFormatting>
  <conditionalFormatting sqref="X46">
    <cfRule type="cellIs" dxfId="28736" priority="90719" stopIfTrue="1" operator="greaterThanOrEqual">
      <formula>0.5</formula>
    </cfRule>
  </conditionalFormatting>
  <conditionalFormatting sqref="X47">
    <cfRule type="cellIs" dxfId="28735" priority="90720" stopIfTrue="1" operator="equal">
      <formula>-1</formula>
    </cfRule>
  </conditionalFormatting>
  <conditionalFormatting sqref="X47">
    <cfRule type="cellIs" dxfId="28734" priority="90721" stopIfTrue="1" operator="lessThan">
      <formula>0.5</formula>
    </cfRule>
  </conditionalFormatting>
  <conditionalFormatting sqref="X47">
    <cfRule type="cellIs" dxfId="28733" priority="90722" stopIfTrue="1" operator="greaterThanOrEqual">
      <formula>0.5</formula>
    </cfRule>
  </conditionalFormatting>
  <conditionalFormatting sqref="X48">
    <cfRule type="cellIs" dxfId="28732" priority="90723" stopIfTrue="1" operator="equal">
      <formula>-1</formula>
    </cfRule>
  </conditionalFormatting>
  <conditionalFormatting sqref="X48">
    <cfRule type="cellIs" dxfId="28731" priority="90724" stopIfTrue="1" operator="lessThan">
      <formula>0.5</formula>
    </cfRule>
  </conditionalFormatting>
  <conditionalFormatting sqref="X48">
    <cfRule type="cellIs" dxfId="28730" priority="90725" stopIfTrue="1" operator="greaterThanOrEqual">
      <formula>0.5</formula>
    </cfRule>
  </conditionalFormatting>
  <conditionalFormatting sqref="X49">
    <cfRule type="cellIs" dxfId="28729" priority="90726" stopIfTrue="1" operator="equal">
      <formula>-1</formula>
    </cfRule>
  </conditionalFormatting>
  <conditionalFormatting sqref="X49">
    <cfRule type="cellIs" dxfId="28728" priority="90727" stopIfTrue="1" operator="lessThan">
      <formula>0.5</formula>
    </cfRule>
  </conditionalFormatting>
  <conditionalFormatting sqref="X49">
    <cfRule type="cellIs" dxfId="28727" priority="90728" stopIfTrue="1" operator="greaterThanOrEqual">
      <formula>0.5</formula>
    </cfRule>
  </conditionalFormatting>
  <conditionalFormatting sqref="X50">
    <cfRule type="cellIs" dxfId="28726" priority="90729" stopIfTrue="1" operator="equal">
      <formula>-1</formula>
    </cfRule>
  </conditionalFormatting>
  <conditionalFormatting sqref="X50">
    <cfRule type="cellIs" dxfId="28725" priority="90730" stopIfTrue="1" operator="lessThan">
      <formula>0.5</formula>
    </cfRule>
  </conditionalFormatting>
  <conditionalFormatting sqref="X50">
    <cfRule type="cellIs" dxfId="28724" priority="90731" stopIfTrue="1" operator="greaterThanOrEqual">
      <formula>0.5</formula>
    </cfRule>
  </conditionalFormatting>
  <conditionalFormatting sqref="X51">
    <cfRule type="cellIs" dxfId="28723" priority="90732" stopIfTrue="1" operator="equal">
      <formula>-1</formula>
    </cfRule>
  </conditionalFormatting>
  <conditionalFormatting sqref="X51">
    <cfRule type="cellIs" dxfId="28722" priority="90733" stopIfTrue="1" operator="lessThan">
      <formula>0.5</formula>
    </cfRule>
  </conditionalFormatting>
  <conditionalFormatting sqref="X51">
    <cfRule type="cellIs" dxfId="28721" priority="90734" stopIfTrue="1" operator="greaterThanOrEqual">
      <formula>0.5</formula>
    </cfRule>
  </conditionalFormatting>
  <conditionalFormatting sqref="X52">
    <cfRule type="cellIs" dxfId="28720" priority="90735" stopIfTrue="1" operator="equal">
      <formula>-1</formula>
    </cfRule>
  </conditionalFormatting>
  <conditionalFormatting sqref="X52">
    <cfRule type="cellIs" dxfId="28719" priority="90736" stopIfTrue="1" operator="lessThan">
      <formula>0.5</formula>
    </cfRule>
  </conditionalFormatting>
  <conditionalFormatting sqref="X52">
    <cfRule type="cellIs" dxfId="28718" priority="90737" stopIfTrue="1" operator="greaterThanOrEqual">
      <formula>0.5</formula>
    </cfRule>
  </conditionalFormatting>
  <conditionalFormatting sqref="X53">
    <cfRule type="cellIs" dxfId="28717" priority="90738" stopIfTrue="1" operator="equal">
      <formula>-1</formula>
    </cfRule>
  </conditionalFormatting>
  <conditionalFormatting sqref="X53">
    <cfRule type="cellIs" dxfId="28716" priority="90739" stopIfTrue="1" operator="lessThan">
      <formula>0.5</formula>
    </cfRule>
  </conditionalFormatting>
  <conditionalFormatting sqref="X53">
    <cfRule type="cellIs" dxfId="28715" priority="90740" stopIfTrue="1" operator="greaterThanOrEqual">
      <formula>0.5</formula>
    </cfRule>
  </conditionalFormatting>
  <conditionalFormatting sqref="X54">
    <cfRule type="cellIs" dxfId="28714" priority="90741" stopIfTrue="1" operator="equal">
      <formula>-1</formula>
    </cfRule>
  </conditionalFormatting>
  <conditionalFormatting sqref="X54">
    <cfRule type="cellIs" dxfId="28713" priority="90742" stopIfTrue="1" operator="lessThan">
      <formula>0.5</formula>
    </cfRule>
  </conditionalFormatting>
  <conditionalFormatting sqref="X54">
    <cfRule type="cellIs" dxfId="28712" priority="90743" stopIfTrue="1" operator="greaterThanOrEqual">
      <formula>0.5</formula>
    </cfRule>
  </conditionalFormatting>
  <conditionalFormatting sqref="X55">
    <cfRule type="cellIs" dxfId="28711" priority="90744" stopIfTrue="1" operator="equal">
      <formula>-1</formula>
    </cfRule>
  </conditionalFormatting>
  <conditionalFormatting sqref="X55">
    <cfRule type="cellIs" dxfId="28710" priority="90745" stopIfTrue="1" operator="lessThan">
      <formula>0.5</formula>
    </cfRule>
  </conditionalFormatting>
  <conditionalFormatting sqref="X55">
    <cfRule type="cellIs" dxfId="28709" priority="90746" stopIfTrue="1" operator="greaterThanOrEqual">
      <formula>0.5</formula>
    </cfRule>
  </conditionalFormatting>
  <conditionalFormatting sqref="X56">
    <cfRule type="cellIs" dxfId="28708" priority="90747" stopIfTrue="1" operator="equal">
      <formula>-1</formula>
    </cfRule>
  </conditionalFormatting>
  <conditionalFormatting sqref="X56">
    <cfRule type="cellIs" dxfId="28707" priority="90748" stopIfTrue="1" operator="lessThan">
      <formula>0.5</formula>
    </cfRule>
  </conditionalFormatting>
  <conditionalFormatting sqref="X56">
    <cfRule type="cellIs" dxfId="28706" priority="90749" stopIfTrue="1" operator="greaterThanOrEqual">
      <formula>0.5</formula>
    </cfRule>
  </conditionalFormatting>
  <conditionalFormatting sqref="X57">
    <cfRule type="cellIs" dxfId="28705" priority="90750" stopIfTrue="1" operator="equal">
      <formula>-1</formula>
    </cfRule>
  </conditionalFormatting>
  <conditionalFormatting sqref="X57">
    <cfRule type="cellIs" dxfId="28704" priority="90751" stopIfTrue="1" operator="lessThan">
      <formula>0.5</formula>
    </cfRule>
  </conditionalFormatting>
  <conditionalFormatting sqref="X57">
    <cfRule type="cellIs" dxfId="28703" priority="90752" stopIfTrue="1" operator="greaterThanOrEqual">
      <formula>0.5</formula>
    </cfRule>
  </conditionalFormatting>
  <conditionalFormatting sqref="X58">
    <cfRule type="cellIs" dxfId="28702" priority="90753" stopIfTrue="1" operator="equal">
      <formula>-1</formula>
    </cfRule>
  </conditionalFormatting>
  <conditionalFormatting sqref="X58">
    <cfRule type="cellIs" dxfId="28701" priority="90754" stopIfTrue="1" operator="lessThan">
      <formula>0.5</formula>
    </cfRule>
  </conditionalFormatting>
  <conditionalFormatting sqref="X58">
    <cfRule type="cellIs" dxfId="28700" priority="90755" stopIfTrue="1" operator="greaterThanOrEqual">
      <formula>0.5</formula>
    </cfRule>
  </conditionalFormatting>
  <conditionalFormatting sqref="Z39">
    <cfRule type="cellIs" dxfId="28699" priority="90756" stopIfTrue="1" operator="equal">
      <formula>-1</formula>
    </cfRule>
  </conditionalFormatting>
  <conditionalFormatting sqref="Z39">
    <cfRule type="cellIs" dxfId="28698" priority="90757" stopIfTrue="1" operator="lessThan">
      <formula>0.5</formula>
    </cfRule>
  </conditionalFormatting>
  <conditionalFormatting sqref="Z39">
    <cfRule type="cellIs" dxfId="28697" priority="90758" stopIfTrue="1" operator="greaterThanOrEqual">
      <formula>0.5</formula>
    </cfRule>
  </conditionalFormatting>
  <conditionalFormatting sqref="Z40">
    <cfRule type="cellIs" dxfId="28696" priority="90759" stopIfTrue="1" operator="equal">
      <formula>-1</formula>
    </cfRule>
  </conditionalFormatting>
  <conditionalFormatting sqref="Z40">
    <cfRule type="cellIs" dxfId="28695" priority="90760" stopIfTrue="1" operator="lessThan">
      <formula>0.5</formula>
    </cfRule>
  </conditionalFormatting>
  <conditionalFormatting sqref="Z40">
    <cfRule type="cellIs" dxfId="28694" priority="90761" stopIfTrue="1" operator="greaterThanOrEqual">
      <formula>0.5</formula>
    </cfRule>
  </conditionalFormatting>
  <conditionalFormatting sqref="Z41">
    <cfRule type="cellIs" dxfId="28693" priority="90762" stopIfTrue="1" operator="equal">
      <formula>-1</formula>
    </cfRule>
  </conditionalFormatting>
  <conditionalFormatting sqref="Z41">
    <cfRule type="cellIs" dxfId="28692" priority="90763" stopIfTrue="1" operator="lessThan">
      <formula>0.5</formula>
    </cfRule>
  </conditionalFormatting>
  <conditionalFormatting sqref="Z41">
    <cfRule type="cellIs" dxfId="28691" priority="90764" stopIfTrue="1" operator="greaterThanOrEqual">
      <formula>0.5</formula>
    </cfRule>
  </conditionalFormatting>
  <conditionalFormatting sqref="Z42">
    <cfRule type="cellIs" dxfId="28690" priority="90765" stopIfTrue="1" operator="equal">
      <formula>-1</formula>
    </cfRule>
  </conditionalFormatting>
  <conditionalFormatting sqref="Z42">
    <cfRule type="cellIs" dxfId="28689" priority="90766" stopIfTrue="1" operator="lessThan">
      <formula>0.5</formula>
    </cfRule>
  </conditionalFormatting>
  <conditionalFormatting sqref="Z42">
    <cfRule type="cellIs" dxfId="28688" priority="90767" stopIfTrue="1" operator="greaterThanOrEqual">
      <formula>0.5</formula>
    </cfRule>
  </conditionalFormatting>
  <conditionalFormatting sqref="Z43">
    <cfRule type="cellIs" dxfId="28687" priority="90768" stopIfTrue="1" operator="equal">
      <formula>-1</formula>
    </cfRule>
  </conditionalFormatting>
  <conditionalFormatting sqref="Z43">
    <cfRule type="cellIs" dxfId="28686" priority="90769" stopIfTrue="1" operator="lessThan">
      <formula>0.5</formula>
    </cfRule>
  </conditionalFormatting>
  <conditionalFormatting sqref="Z43">
    <cfRule type="cellIs" dxfId="28685" priority="90770" stopIfTrue="1" operator="greaterThanOrEqual">
      <formula>0.5</formula>
    </cfRule>
  </conditionalFormatting>
  <conditionalFormatting sqref="Z44">
    <cfRule type="cellIs" dxfId="28684" priority="90771" stopIfTrue="1" operator="equal">
      <formula>-1</formula>
    </cfRule>
  </conditionalFormatting>
  <conditionalFormatting sqref="Z44">
    <cfRule type="cellIs" dxfId="28683" priority="90772" stopIfTrue="1" operator="lessThan">
      <formula>0.5</formula>
    </cfRule>
  </conditionalFormatting>
  <conditionalFormatting sqref="Z44">
    <cfRule type="cellIs" dxfId="28682" priority="90773" stopIfTrue="1" operator="greaterThanOrEqual">
      <formula>0.5</formula>
    </cfRule>
  </conditionalFormatting>
  <conditionalFormatting sqref="Z45">
    <cfRule type="cellIs" dxfId="28681" priority="90774" stopIfTrue="1" operator="equal">
      <formula>-1</formula>
    </cfRule>
  </conditionalFormatting>
  <conditionalFormatting sqref="Z45">
    <cfRule type="cellIs" dxfId="28680" priority="90775" stopIfTrue="1" operator="lessThan">
      <formula>0.5</formula>
    </cfRule>
  </conditionalFormatting>
  <conditionalFormatting sqref="Z45">
    <cfRule type="cellIs" dxfId="28679" priority="90776" stopIfTrue="1" operator="greaterThanOrEqual">
      <formula>0.5</formula>
    </cfRule>
  </conditionalFormatting>
  <conditionalFormatting sqref="Z46">
    <cfRule type="cellIs" dxfId="28678" priority="90777" stopIfTrue="1" operator="equal">
      <formula>-1</formula>
    </cfRule>
  </conditionalFormatting>
  <conditionalFormatting sqref="Z46">
    <cfRule type="cellIs" dxfId="28677" priority="90778" stopIfTrue="1" operator="lessThan">
      <formula>0.5</formula>
    </cfRule>
  </conditionalFormatting>
  <conditionalFormatting sqref="Z46">
    <cfRule type="cellIs" dxfId="28676" priority="90779" stopIfTrue="1" operator="greaterThanOrEqual">
      <formula>0.5</formula>
    </cfRule>
  </conditionalFormatting>
  <conditionalFormatting sqref="Z47">
    <cfRule type="cellIs" dxfId="28675" priority="90780" stopIfTrue="1" operator="equal">
      <formula>-1</formula>
    </cfRule>
  </conditionalFormatting>
  <conditionalFormatting sqref="Z47">
    <cfRule type="cellIs" dxfId="28674" priority="90781" stopIfTrue="1" operator="lessThan">
      <formula>0.5</formula>
    </cfRule>
  </conditionalFormatting>
  <conditionalFormatting sqref="Z47">
    <cfRule type="cellIs" dxfId="28673" priority="90782" stopIfTrue="1" operator="greaterThanOrEqual">
      <formula>0.5</formula>
    </cfRule>
  </conditionalFormatting>
  <conditionalFormatting sqref="Z48">
    <cfRule type="cellIs" dxfId="28672" priority="90783" stopIfTrue="1" operator="equal">
      <formula>-1</formula>
    </cfRule>
  </conditionalFormatting>
  <conditionalFormatting sqref="Z48">
    <cfRule type="cellIs" dxfId="28671" priority="90784" stopIfTrue="1" operator="lessThan">
      <formula>0.5</formula>
    </cfRule>
  </conditionalFormatting>
  <conditionalFormatting sqref="Z48">
    <cfRule type="cellIs" dxfId="28670" priority="90785" stopIfTrue="1" operator="greaterThanOrEqual">
      <formula>0.5</formula>
    </cfRule>
  </conditionalFormatting>
  <conditionalFormatting sqref="Z49">
    <cfRule type="cellIs" dxfId="28669" priority="90786" stopIfTrue="1" operator="equal">
      <formula>-1</formula>
    </cfRule>
  </conditionalFormatting>
  <conditionalFormatting sqref="Z49">
    <cfRule type="cellIs" dxfId="28668" priority="90787" stopIfTrue="1" operator="lessThan">
      <formula>0.5</formula>
    </cfRule>
  </conditionalFormatting>
  <conditionalFormatting sqref="Z49">
    <cfRule type="cellIs" dxfId="28667" priority="90788" stopIfTrue="1" operator="greaterThanOrEqual">
      <formula>0.5</formula>
    </cfRule>
  </conditionalFormatting>
  <conditionalFormatting sqref="Z50">
    <cfRule type="cellIs" dxfId="28666" priority="90789" stopIfTrue="1" operator="equal">
      <formula>-1</formula>
    </cfRule>
  </conditionalFormatting>
  <conditionalFormatting sqref="Z50">
    <cfRule type="cellIs" dxfId="28665" priority="90790" stopIfTrue="1" operator="lessThan">
      <formula>0.5</formula>
    </cfRule>
  </conditionalFormatting>
  <conditionalFormatting sqref="Z50">
    <cfRule type="cellIs" dxfId="28664" priority="90791" stopIfTrue="1" operator="greaterThanOrEqual">
      <formula>0.5</formula>
    </cfRule>
  </conditionalFormatting>
  <conditionalFormatting sqref="Z51">
    <cfRule type="cellIs" dxfId="28663" priority="90792" stopIfTrue="1" operator="equal">
      <formula>-1</formula>
    </cfRule>
  </conditionalFormatting>
  <conditionalFormatting sqref="Z51">
    <cfRule type="cellIs" dxfId="28662" priority="90793" stopIfTrue="1" operator="lessThan">
      <formula>0.5</formula>
    </cfRule>
  </conditionalFormatting>
  <conditionalFormatting sqref="Z51">
    <cfRule type="cellIs" dxfId="28661" priority="90794" stopIfTrue="1" operator="greaterThanOrEqual">
      <formula>0.5</formula>
    </cfRule>
  </conditionalFormatting>
  <conditionalFormatting sqref="Z52">
    <cfRule type="cellIs" dxfId="28660" priority="90795" stopIfTrue="1" operator="equal">
      <formula>-1</formula>
    </cfRule>
  </conditionalFormatting>
  <conditionalFormatting sqref="Z52">
    <cfRule type="cellIs" dxfId="28659" priority="90796" stopIfTrue="1" operator="lessThan">
      <formula>0.5</formula>
    </cfRule>
  </conditionalFormatting>
  <conditionalFormatting sqref="Z52">
    <cfRule type="cellIs" dxfId="28658" priority="90797" stopIfTrue="1" operator="greaterThanOrEqual">
      <formula>0.5</formula>
    </cfRule>
  </conditionalFormatting>
  <conditionalFormatting sqref="Z53">
    <cfRule type="cellIs" dxfId="28657" priority="90798" stopIfTrue="1" operator="equal">
      <formula>-1</formula>
    </cfRule>
  </conditionalFormatting>
  <conditionalFormatting sqref="Z53">
    <cfRule type="cellIs" dxfId="28656" priority="90799" stopIfTrue="1" operator="lessThan">
      <formula>0.5</formula>
    </cfRule>
  </conditionalFormatting>
  <conditionalFormatting sqref="Z53">
    <cfRule type="cellIs" dxfId="28655" priority="90800" stopIfTrue="1" operator="greaterThanOrEqual">
      <formula>0.5</formula>
    </cfRule>
  </conditionalFormatting>
  <conditionalFormatting sqref="Z54">
    <cfRule type="cellIs" dxfId="28654" priority="90801" stopIfTrue="1" operator="equal">
      <formula>-1</formula>
    </cfRule>
  </conditionalFormatting>
  <conditionalFormatting sqref="Z54">
    <cfRule type="cellIs" dxfId="28653" priority="90802" stopIfTrue="1" operator="lessThan">
      <formula>0.5</formula>
    </cfRule>
  </conditionalFormatting>
  <conditionalFormatting sqref="Z54">
    <cfRule type="cellIs" dxfId="28652" priority="90803" stopIfTrue="1" operator="greaterThanOrEqual">
      <formula>0.5</formula>
    </cfRule>
  </conditionalFormatting>
  <conditionalFormatting sqref="Z55">
    <cfRule type="cellIs" dxfId="28651" priority="90804" stopIfTrue="1" operator="equal">
      <formula>-1</formula>
    </cfRule>
  </conditionalFormatting>
  <conditionalFormatting sqref="Z55">
    <cfRule type="cellIs" dxfId="28650" priority="90805" stopIfTrue="1" operator="lessThan">
      <formula>0.5</formula>
    </cfRule>
  </conditionalFormatting>
  <conditionalFormatting sqref="Z55">
    <cfRule type="cellIs" dxfId="28649" priority="90806" stopIfTrue="1" operator="greaterThanOrEqual">
      <formula>0.5</formula>
    </cfRule>
  </conditionalFormatting>
  <conditionalFormatting sqref="Z56">
    <cfRule type="cellIs" dxfId="28648" priority="90807" stopIfTrue="1" operator="equal">
      <formula>-1</formula>
    </cfRule>
  </conditionalFormatting>
  <conditionalFormatting sqref="Z56">
    <cfRule type="cellIs" dxfId="28647" priority="90808" stopIfTrue="1" operator="lessThan">
      <formula>0.5</formula>
    </cfRule>
  </conditionalFormatting>
  <conditionalFormatting sqref="Z56">
    <cfRule type="cellIs" dxfId="28646" priority="90809" stopIfTrue="1" operator="greaterThanOrEqual">
      <formula>0.5</formula>
    </cfRule>
  </conditionalFormatting>
  <conditionalFormatting sqref="Z57">
    <cfRule type="cellIs" dxfId="28645" priority="90810" stopIfTrue="1" operator="equal">
      <formula>-1</formula>
    </cfRule>
  </conditionalFormatting>
  <conditionalFormatting sqref="Z57">
    <cfRule type="cellIs" dxfId="28644" priority="90811" stopIfTrue="1" operator="lessThan">
      <formula>0.5</formula>
    </cfRule>
  </conditionalFormatting>
  <conditionalFormatting sqref="Z57">
    <cfRule type="cellIs" dxfId="28643" priority="90812" stopIfTrue="1" operator="greaterThanOrEqual">
      <formula>0.5</formula>
    </cfRule>
  </conditionalFormatting>
  <conditionalFormatting sqref="Z58">
    <cfRule type="cellIs" dxfId="28642" priority="90813" stopIfTrue="1" operator="equal">
      <formula>-1</formula>
    </cfRule>
  </conditionalFormatting>
  <conditionalFormatting sqref="Z58">
    <cfRule type="cellIs" dxfId="28641" priority="90814" stopIfTrue="1" operator="lessThan">
      <formula>0.5</formula>
    </cfRule>
  </conditionalFormatting>
  <conditionalFormatting sqref="Z58">
    <cfRule type="cellIs" dxfId="28640" priority="90815" stopIfTrue="1" operator="greaterThanOrEqual">
      <formula>0.5</formula>
    </cfRule>
  </conditionalFormatting>
  <conditionalFormatting sqref="AB39">
    <cfRule type="cellIs" dxfId="28639" priority="90816" stopIfTrue="1" operator="equal">
      <formula>-1</formula>
    </cfRule>
  </conditionalFormatting>
  <conditionalFormatting sqref="AB39">
    <cfRule type="cellIs" dxfId="28638" priority="90817" stopIfTrue="1" operator="lessThan">
      <formula>0.5</formula>
    </cfRule>
  </conditionalFormatting>
  <conditionalFormatting sqref="AB39">
    <cfRule type="cellIs" dxfId="28637" priority="90818" stopIfTrue="1" operator="greaterThanOrEqual">
      <formula>0.5</formula>
    </cfRule>
  </conditionalFormatting>
  <conditionalFormatting sqref="AB40">
    <cfRule type="cellIs" dxfId="28636" priority="90819" stopIfTrue="1" operator="equal">
      <formula>-1</formula>
    </cfRule>
  </conditionalFormatting>
  <conditionalFormatting sqref="AB40">
    <cfRule type="cellIs" dxfId="28635" priority="90820" stopIfTrue="1" operator="lessThan">
      <formula>0.5</formula>
    </cfRule>
  </conditionalFormatting>
  <conditionalFormatting sqref="AB40">
    <cfRule type="cellIs" dxfId="28634" priority="90821" stopIfTrue="1" operator="greaterThanOrEqual">
      <formula>0.5</formula>
    </cfRule>
  </conditionalFormatting>
  <conditionalFormatting sqref="AB41">
    <cfRule type="cellIs" dxfId="28633" priority="90822" stopIfTrue="1" operator="equal">
      <formula>-1</formula>
    </cfRule>
  </conditionalFormatting>
  <conditionalFormatting sqref="AB41">
    <cfRule type="cellIs" dxfId="28632" priority="90823" stopIfTrue="1" operator="lessThan">
      <formula>0.5</formula>
    </cfRule>
  </conditionalFormatting>
  <conditionalFormatting sqref="AB41">
    <cfRule type="cellIs" dxfId="28631" priority="90824" stopIfTrue="1" operator="greaterThanOrEqual">
      <formula>0.5</formula>
    </cfRule>
  </conditionalFormatting>
  <conditionalFormatting sqref="AB42">
    <cfRule type="cellIs" dxfId="28630" priority="90825" stopIfTrue="1" operator="equal">
      <formula>-1</formula>
    </cfRule>
  </conditionalFormatting>
  <conditionalFormatting sqref="AB42">
    <cfRule type="cellIs" dxfId="28629" priority="90826" stopIfTrue="1" operator="lessThan">
      <formula>0.5</formula>
    </cfRule>
  </conditionalFormatting>
  <conditionalFormatting sqref="AB42">
    <cfRule type="cellIs" dxfId="28628" priority="90827" stopIfTrue="1" operator="greaterThanOrEqual">
      <formula>0.5</formula>
    </cfRule>
  </conditionalFormatting>
  <conditionalFormatting sqref="AB43">
    <cfRule type="cellIs" dxfId="28627" priority="90828" stopIfTrue="1" operator="equal">
      <formula>-1</formula>
    </cfRule>
  </conditionalFormatting>
  <conditionalFormatting sqref="AB43">
    <cfRule type="cellIs" dxfId="28626" priority="90829" stopIfTrue="1" operator="lessThan">
      <formula>0.5</formula>
    </cfRule>
  </conditionalFormatting>
  <conditionalFormatting sqref="AB43">
    <cfRule type="cellIs" dxfId="28625" priority="90830" stopIfTrue="1" operator="greaterThanOrEqual">
      <formula>0.5</formula>
    </cfRule>
  </conditionalFormatting>
  <conditionalFormatting sqref="AB44">
    <cfRule type="cellIs" dxfId="28624" priority="90831" stopIfTrue="1" operator="equal">
      <formula>-1</formula>
    </cfRule>
  </conditionalFormatting>
  <conditionalFormatting sqref="AB44">
    <cfRule type="cellIs" dxfId="28623" priority="90832" stopIfTrue="1" operator="lessThan">
      <formula>0.5</formula>
    </cfRule>
  </conditionalFormatting>
  <conditionalFormatting sqref="AB44">
    <cfRule type="cellIs" dxfId="28622" priority="90833" stopIfTrue="1" operator="greaterThanOrEqual">
      <formula>0.5</formula>
    </cfRule>
  </conditionalFormatting>
  <conditionalFormatting sqref="AB45">
    <cfRule type="cellIs" dxfId="28621" priority="90834" stopIfTrue="1" operator="equal">
      <formula>-1</formula>
    </cfRule>
  </conditionalFormatting>
  <conditionalFormatting sqref="AB45">
    <cfRule type="cellIs" dxfId="28620" priority="90835" stopIfTrue="1" operator="lessThan">
      <formula>0.5</formula>
    </cfRule>
  </conditionalFormatting>
  <conditionalFormatting sqref="AB45">
    <cfRule type="cellIs" dxfId="28619" priority="90836" stopIfTrue="1" operator="greaterThanOrEqual">
      <formula>0.5</formula>
    </cfRule>
  </conditionalFormatting>
  <conditionalFormatting sqref="AB46">
    <cfRule type="cellIs" dxfId="28618" priority="90837" stopIfTrue="1" operator="equal">
      <formula>-1</formula>
    </cfRule>
  </conditionalFormatting>
  <conditionalFormatting sqref="AB46">
    <cfRule type="cellIs" dxfId="28617" priority="90838" stopIfTrue="1" operator="lessThan">
      <formula>0.5</formula>
    </cfRule>
  </conditionalFormatting>
  <conditionalFormatting sqref="AB46">
    <cfRule type="cellIs" dxfId="28616" priority="90839" stopIfTrue="1" operator="greaterThanOrEqual">
      <formula>0.5</formula>
    </cfRule>
  </conditionalFormatting>
  <conditionalFormatting sqref="AB47">
    <cfRule type="cellIs" dxfId="28615" priority="90840" stopIfTrue="1" operator="equal">
      <formula>-1</formula>
    </cfRule>
  </conditionalFormatting>
  <conditionalFormatting sqref="AB47">
    <cfRule type="cellIs" dxfId="28614" priority="90841" stopIfTrue="1" operator="lessThan">
      <formula>0.5</formula>
    </cfRule>
  </conditionalFormatting>
  <conditionalFormatting sqref="AB47">
    <cfRule type="cellIs" dxfId="28613" priority="90842" stopIfTrue="1" operator="greaterThanOrEqual">
      <formula>0.5</formula>
    </cfRule>
  </conditionalFormatting>
  <conditionalFormatting sqref="AB48">
    <cfRule type="cellIs" dxfId="28612" priority="90843" stopIfTrue="1" operator="equal">
      <formula>-1</formula>
    </cfRule>
  </conditionalFormatting>
  <conditionalFormatting sqref="AB48">
    <cfRule type="cellIs" dxfId="28611" priority="90844" stopIfTrue="1" operator="lessThan">
      <formula>0.5</formula>
    </cfRule>
  </conditionalFormatting>
  <conditionalFormatting sqref="AB48">
    <cfRule type="cellIs" dxfId="28610" priority="90845" stopIfTrue="1" operator="greaterThanOrEqual">
      <formula>0.5</formula>
    </cfRule>
  </conditionalFormatting>
  <conditionalFormatting sqref="AB49">
    <cfRule type="cellIs" dxfId="28609" priority="90846" stopIfTrue="1" operator="equal">
      <formula>-1</formula>
    </cfRule>
  </conditionalFormatting>
  <conditionalFormatting sqref="AB49">
    <cfRule type="cellIs" dxfId="28608" priority="90847" stopIfTrue="1" operator="lessThan">
      <formula>0.5</formula>
    </cfRule>
  </conditionalFormatting>
  <conditionalFormatting sqref="AB49">
    <cfRule type="cellIs" dxfId="28607" priority="90848" stopIfTrue="1" operator="greaterThanOrEqual">
      <formula>0.5</formula>
    </cfRule>
  </conditionalFormatting>
  <conditionalFormatting sqref="AB50">
    <cfRule type="cellIs" dxfId="28606" priority="90849" stopIfTrue="1" operator="equal">
      <formula>-1</formula>
    </cfRule>
  </conditionalFormatting>
  <conditionalFormatting sqref="AB50">
    <cfRule type="cellIs" dxfId="28605" priority="90850" stopIfTrue="1" operator="lessThan">
      <formula>0.5</formula>
    </cfRule>
  </conditionalFormatting>
  <conditionalFormatting sqref="AB50">
    <cfRule type="cellIs" dxfId="28604" priority="90851" stopIfTrue="1" operator="greaterThanOrEqual">
      <formula>0.5</formula>
    </cfRule>
  </conditionalFormatting>
  <conditionalFormatting sqref="AB51">
    <cfRule type="cellIs" dxfId="28603" priority="90852" stopIfTrue="1" operator="equal">
      <formula>-1</formula>
    </cfRule>
  </conditionalFormatting>
  <conditionalFormatting sqref="AB51">
    <cfRule type="cellIs" dxfId="28602" priority="90853" stopIfTrue="1" operator="lessThan">
      <formula>0.5</formula>
    </cfRule>
  </conditionalFormatting>
  <conditionalFormatting sqref="AB51">
    <cfRule type="cellIs" dxfId="28601" priority="90854" stopIfTrue="1" operator="greaterThanOrEqual">
      <formula>0.5</formula>
    </cfRule>
  </conditionalFormatting>
  <conditionalFormatting sqref="AB52">
    <cfRule type="cellIs" dxfId="28600" priority="90855" stopIfTrue="1" operator="equal">
      <formula>-1</formula>
    </cfRule>
  </conditionalFormatting>
  <conditionalFormatting sqref="AB52">
    <cfRule type="cellIs" dxfId="28599" priority="90856" stopIfTrue="1" operator="lessThan">
      <formula>0.5</formula>
    </cfRule>
  </conditionalFormatting>
  <conditionalFormatting sqref="AB52">
    <cfRule type="cellIs" dxfId="28598" priority="90857" stopIfTrue="1" operator="greaterThanOrEqual">
      <formula>0.5</formula>
    </cfRule>
  </conditionalFormatting>
  <conditionalFormatting sqref="AB53">
    <cfRule type="cellIs" dxfId="28597" priority="90858" stopIfTrue="1" operator="equal">
      <formula>-1</formula>
    </cfRule>
  </conditionalFormatting>
  <conditionalFormatting sqref="AB53">
    <cfRule type="cellIs" dxfId="28596" priority="90859" stopIfTrue="1" operator="lessThan">
      <formula>0.5</formula>
    </cfRule>
  </conditionalFormatting>
  <conditionalFormatting sqref="AB53">
    <cfRule type="cellIs" dxfId="28595" priority="90860" stopIfTrue="1" operator="greaterThanOrEqual">
      <formula>0.5</formula>
    </cfRule>
  </conditionalFormatting>
  <conditionalFormatting sqref="AB54">
    <cfRule type="cellIs" dxfId="28594" priority="90861" stopIfTrue="1" operator="equal">
      <formula>-1</formula>
    </cfRule>
  </conditionalFormatting>
  <conditionalFormatting sqref="AB54">
    <cfRule type="cellIs" dxfId="28593" priority="90862" stopIfTrue="1" operator="lessThan">
      <formula>0.5</formula>
    </cfRule>
  </conditionalFormatting>
  <conditionalFormatting sqref="AB54">
    <cfRule type="cellIs" dxfId="28592" priority="90863" stopIfTrue="1" operator="greaterThanOrEqual">
      <formula>0.5</formula>
    </cfRule>
  </conditionalFormatting>
  <conditionalFormatting sqref="AB55">
    <cfRule type="cellIs" dxfId="28591" priority="90864" stopIfTrue="1" operator="equal">
      <formula>-1</formula>
    </cfRule>
  </conditionalFormatting>
  <conditionalFormatting sqref="AB55">
    <cfRule type="cellIs" dxfId="28590" priority="90865" stopIfTrue="1" operator="lessThan">
      <formula>0.5</formula>
    </cfRule>
  </conditionalFormatting>
  <conditionalFormatting sqref="AB55">
    <cfRule type="cellIs" dxfId="28589" priority="90866" stopIfTrue="1" operator="greaterThanOrEqual">
      <formula>0.5</formula>
    </cfRule>
  </conditionalFormatting>
  <conditionalFormatting sqref="AB56">
    <cfRule type="cellIs" dxfId="28588" priority="90867" stopIfTrue="1" operator="equal">
      <formula>-1</formula>
    </cfRule>
  </conditionalFormatting>
  <conditionalFormatting sqref="AB56">
    <cfRule type="cellIs" dxfId="28587" priority="90868" stopIfTrue="1" operator="lessThan">
      <formula>0.5</formula>
    </cfRule>
  </conditionalFormatting>
  <conditionalFormatting sqref="AB56">
    <cfRule type="cellIs" dxfId="28586" priority="90869" stopIfTrue="1" operator="greaterThanOrEqual">
      <formula>0.5</formula>
    </cfRule>
  </conditionalFormatting>
  <conditionalFormatting sqref="AB57">
    <cfRule type="cellIs" dxfId="28585" priority="90870" stopIfTrue="1" operator="equal">
      <formula>-1</formula>
    </cfRule>
  </conditionalFormatting>
  <conditionalFormatting sqref="AB57">
    <cfRule type="cellIs" dxfId="28584" priority="90871" stopIfTrue="1" operator="lessThan">
      <formula>0.5</formula>
    </cfRule>
  </conditionalFormatting>
  <conditionalFormatting sqref="AB57">
    <cfRule type="cellIs" dxfId="28583" priority="90872" stopIfTrue="1" operator="greaterThanOrEqual">
      <formula>0.5</formula>
    </cfRule>
  </conditionalFormatting>
  <conditionalFormatting sqref="AB58">
    <cfRule type="cellIs" dxfId="28582" priority="90873" stopIfTrue="1" operator="equal">
      <formula>-1</formula>
    </cfRule>
  </conditionalFormatting>
  <conditionalFormatting sqref="AB58">
    <cfRule type="cellIs" dxfId="28581" priority="90874" stopIfTrue="1" operator="lessThan">
      <formula>0.5</formula>
    </cfRule>
  </conditionalFormatting>
  <conditionalFormatting sqref="AB58">
    <cfRule type="cellIs" dxfId="28580" priority="90875" stopIfTrue="1" operator="greaterThanOrEqual">
      <formula>0.5</formula>
    </cfRule>
  </conditionalFormatting>
  <conditionalFormatting sqref="AD39">
    <cfRule type="cellIs" dxfId="28579" priority="90876" stopIfTrue="1" operator="equal">
      <formula>-1</formula>
    </cfRule>
  </conditionalFormatting>
  <conditionalFormatting sqref="AD39">
    <cfRule type="cellIs" dxfId="28578" priority="90877" stopIfTrue="1" operator="lessThan">
      <formula>0.5</formula>
    </cfRule>
  </conditionalFormatting>
  <conditionalFormatting sqref="AD39">
    <cfRule type="cellIs" dxfId="28577" priority="90878" stopIfTrue="1" operator="greaterThanOrEqual">
      <formula>0.5</formula>
    </cfRule>
  </conditionalFormatting>
  <conditionalFormatting sqref="AD40">
    <cfRule type="cellIs" dxfId="28576" priority="90879" stopIfTrue="1" operator="equal">
      <formula>-1</formula>
    </cfRule>
  </conditionalFormatting>
  <conditionalFormatting sqref="AD40">
    <cfRule type="cellIs" dxfId="28575" priority="90880" stopIfTrue="1" operator="lessThan">
      <formula>0.5</formula>
    </cfRule>
  </conditionalFormatting>
  <conditionalFormatting sqref="AD40">
    <cfRule type="cellIs" dxfId="28574" priority="90881" stopIfTrue="1" operator="greaterThanOrEqual">
      <formula>0.5</formula>
    </cfRule>
  </conditionalFormatting>
  <conditionalFormatting sqref="AD41">
    <cfRule type="cellIs" dxfId="28573" priority="90882" stopIfTrue="1" operator="equal">
      <formula>-1</formula>
    </cfRule>
  </conditionalFormatting>
  <conditionalFormatting sqref="AD41">
    <cfRule type="cellIs" dxfId="28572" priority="90883" stopIfTrue="1" operator="lessThan">
      <formula>0.5</formula>
    </cfRule>
  </conditionalFormatting>
  <conditionalFormatting sqref="AD41">
    <cfRule type="cellIs" dxfId="28571" priority="90884" stopIfTrue="1" operator="greaterThanOrEqual">
      <formula>0.5</formula>
    </cfRule>
  </conditionalFormatting>
  <conditionalFormatting sqref="AD42">
    <cfRule type="cellIs" dxfId="28570" priority="90885" stopIfTrue="1" operator="equal">
      <formula>-1</formula>
    </cfRule>
  </conditionalFormatting>
  <conditionalFormatting sqref="AD42">
    <cfRule type="cellIs" dxfId="28569" priority="90886" stopIfTrue="1" operator="lessThan">
      <formula>0.5</formula>
    </cfRule>
  </conditionalFormatting>
  <conditionalFormatting sqref="AD42">
    <cfRule type="cellIs" dxfId="28568" priority="90887" stopIfTrue="1" operator="greaterThanOrEqual">
      <formula>0.5</formula>
    </cfRule>
  </conditionalFormatting>
  <conditionalFormatting sqref="AD43">
    <cfRule type="cellIs" dxfId="28567" priority="90888" stopIfTrue="1" operator="equal">
      <formula>-1</formula>
    </cfRule>
  </conditionalFormatting>
  <conditionalFormatting sqref="AD43">
    <cfRule type="cellIs" dxfId="28566" priority="90889" stopIfTrue="1" operator="lessThan">
      <formula>0.5</formula>
    </cfRule>
  </conditionalFormatting>
  <conditionalFormatting sqref="AD43">
    <cfRule type="cellIs" dxfId="28565" priority="90890" stopIfTrue="1" operator="greaterThanOrEqual">
      <formula>0.5</formula>
    </cfRule>
  </conditionalFormatting>
  <conditionalFormatting sqref="AD44">
    <cfRule type="cellIs" dxfId="28564" priority="90891" stopIfTrue="1" operator="equal">
      <formula>-1</formula>
    </cfRule>
  </conditionalFormatting>
  <conditionalFormatting sqref="AD44">
    <cfRule type="cellIs" dxfId="28563" priority="90892" stopIfTrue="1" operator="lessThan">
      <formula>0.5</formula>
    </cfRule>
  </conditionalFormatting>
  <conditionalFormatting sqref="AD44">
    <cfRule type="cellIs" dxfId="28562" priority="90893" stopIfTrue="1" operator="greaterThanOrEqual">
      <formula>0.5</formula>
    </cfRule>
  </conditionalFormatting>
  <conditionalFormatting sqref="AD45">
    <cfRule type="cellIs" dxfId="28561" priority="90894" stopIfTrue="1" operator="equal">
      <formula>-1</formula>
    </cfRule>
  </conditionalFormatting>
  <conditionalFormatting sqref="AD45">
    <cfRule type="cellIs" dxfId="28560" priority="90895" stopIfTrue="1" operator="lessThan">
      <formula>0.5</formula>
    </cfRule>
  </conditionalFormatting>
  <conditionalFormatting sqref="AD45">
    <cfRule type="cellIs" dxfId="28559" priority="90896" stopIfTrue="1" operator="greaterThanOrEqual">
      <formula>0.5</formula>
    </cfRule>
  </conditionalFormatting>
  <conditionalFormatting sqref="AD46">
    <cfRule type="cellIs" dxfId="28558" priority="90897" stopIfTrue="1" operator="equal">
      <formula>-1</formula>
    </cfRule>
  </conditionalFormatting>
  <conditionalFormatting sqref="AD46">
    <cfRule type="cellIs" dxfId="28557" priority="90898" stopIfTrue="1" operator="lessThan">
      <formula>0.5</formula>
    </cfRule>
  </conditionalFormatting>
  <conditionalFormatting sqref="AD46">
    <cfRule type="cellIs" dxfId="28556" priority="90899" stopIfTrue="1" operator="greaterThanOrEqual">
      <formula>0.5</formula>
    </cfRule>
  </conditionalFormatting>
  <conditionalFormatting sqref="AD47">
    <cfRule type="cellIs" dxfId="28555" priority="90900" stopIfTrue="1" operator="equal">
      <formula>-1</formula>
    </cfRule>
  </conditionalFormatting>
  <conditionalFormatting sqref="AD47">
    <cfRule type="cellIs" dxfId="28554" priority="90901" stopIfTrue="1" operator="lessThan">
      <formula>0.5</formula>
    </cfRule>
  </conditionalFormatting>
  <conditionalFormatting sqref="AD47">
    <cfRule type="cellIs" dxfId="28553" priority="90902" stopIfTrue="1" operator="greaterThanOrEqual">
      <formula>0.5</formula>
    </cfRule>
  </conditionalFormatting>
  <conditionalFormatting sqref="AD48">
    <cfRule type="cellIs" dxfId="28552" priority="90903" stopIfTrue="1" operator="equal">
      <formula>-1</formula>
    </cfRule>
  </conditionalFormatting>
  <conditionalFormatting sqref="AD48">
    <cfRule type="cellIs" dxfId="28551" priority="90904" stopIfTrue="1" operator="lessThan">
      <formula>0.5</formula>
    </cfRule>
  </conditionalFormatting>
  <conditionalFormatting sqref="AD48">
    <cfRule type="cellIs" dxfId="28550" priority="90905" stopIfTrue="1" operator="greaterThanOrEqual">
      <formula>0.5</formula>
    </cfRule>
  </conditionalFormatting>
  <conditionalFormatting sqref="AD49">
    <cfRule type="cellIs" dxfId="28549" priority="90906" stopIfTrue="1" operator="equal">
      <formula>-1</formula>
    </cfRule>
  </conditionalFormatting>
  <conditionalFormatting sqref="AD49">
    <cfRule type="cellIs" dxfId="28548" priority="90907" stopIfTrue="1" operator="lessThan">
      <formula>0.5</formula>
    </cfRule>
  </conditionalFormatting>
  <conditionalFormatting sqref="AD49">
    <cfRule type="cellIs" dxfId="28547" priority="90908" stopIfTrue="1" operator="greaterThanOrEqual">
      <formula>0.5</formula>
    </cfRule>
  </conditionalFormatting>
  <conditionalFormatting sqref="AD50">
    <cfRule type="cellIs" dxfId="28546" priority="90909" stopIfTrue="1" operator="equal">
      <formula>-1</formula>
    </cfRule>
  </conditionalFormatting>
  <conditionalFormatting sqref="AD50">
    <cfRule type="cellIs" dxfId="28545" priority="90910" stopIfTrue="1" operator="lessThan">
      <formula>0.5</formula>
    </cfRule>
  </conditionalFormatting>
  <conditionalFormatting sqref="AD50">
    <cfRule type="cellIs" dxfId="28544" priority="90911" stopIfTrue="1" operator="greaterThanOrEqual">
      <formula>0.5</formula>
    </cfRule>
  </conditionalFormatting>
  <conditionalFormatting sqref="AD51">
    <cfRule type="cellIs" dxfId="28543" priority="90912" stopIfTrue="1" operator="equal">
      <formula>-1</formula>
    </cfRule>
  </conditionalFormatting>
  <conditionalFormatting sqref="AD51">
    <cfRule type="cellIs" dxfId="28542" priority="90913" stopIfTrue="1" operator="lessThan">
      <formula>0.5</formula>
    </cfRule>
  </conditionalFormatting>
  <conditionalFormatting sqref="AD51">
    <cfRule type="cellIs" dxfId="28541" priority="90914" stopIfTrue="1" operator="greaterThanOrEqual">
      <formula>0.5</formula>
    </cfRule>
  </conditionalFormatting>
  <conditionalFormatting sqref="AD52">
    <cfRule type="cellIs" dxfId="28540" priority="90915" stopIfTrue="1" operator="equal">
      <formula>-1</formula>
    </cfRule>
  </conditionalFormatting>
  <conditionalFormatting sqref="AD52">
    <cfRule type="cellIs" dxfId="28539" priority="90916" stopIfTrue="1" operator="lessThan">
      <formula>0.5</formula>
    </cfRule>
  </conditionalFormatting>
  <conditionalFormatting sqref="AD52">
    <cfRule type="cellIs" dxfId="28538" priority="90917" stopIfTrue="1" operator="greaterThanOrEqual">
      <formula>0.5</formula>
    </cfRule>
  </conditionalFormatting>
  <conditionalFormatting sqref="AD53">
    <cfRule type="cellIs" dxfId="28537" priority="90918" stopIfTrue="1" operator="equal">
      <formula>-1</formula>
    </cfRule>
  </conditionalFormatting>
  <conditionalFormatting sqref="AD53">
    <cfRule type="cellIs" dxfId="28536" priority="90919" stopIfTrue="1" operator="lessThan">
      <formula>0.5</formula>
    </cfRule>
  </conditionalFormatting>
  <conditionalFormatting sqref="AD53">
    <cfRule type="cellIs" dxfId="28535" priority="90920" stopIfTrue="1" operator="greaterThanOrEqual">
      <formula>0.5</formula>
    </cfRule>
  </conditionalFormatting>
  <conditionalFormatting sqref="AD54">
    <cfRule type="cellIs" dxfId="28534" priority="90921" stopIfTrue="1" operator="equal">
      <formula>-1</formula>
    </cfRule>
  </conditionalFormatting>
  <conditionalFormatting sqref="AD54">
    <cfRule type="cellIs" dxfId="28533" priority="90922" stopIfTrue="1" operator="lessThan">
      <formula>0.5</formula>
    </cfRule>
  </conditionalFormatting>
  <conditionalFormatting sqref="AD54">
    <cfRule type="cellIs" dxfId="28532" priority="90923" stopIfTrue="1" operator="greaterThanOrEqual">
      <formula>0.5</formula>
    </cfRule>
  </conditionalFormatting>
  <conditionalFormatting sqref="AD55">
    <cfRule type="cellIs" dxfId="28531" priority="90924" stopIfTrue="1" operator="equal">
      <formula>-1</formula>
    </cfRule>
  </conditionalFormatting>
  <conditionalFormatting sqref="AD55">
    <cfRule type="cellIs" dxfId="28530" priority="90925" stopIfTrue="1" operator="lessThan">
      <formula>0.5</formula>
    </cfRule>
  </conditionalFormatting>
  <conditionalFormatting sqref="AD55">
    <cfRule type="cellIs" dxfId="28529" priority="90926" stopIfTrue="1" operator="greaterThanOrEqual">
      <formula>0.5</formula>
    </cfRule>
  </conditionalFormatting>
  <conditionalFormatting sqref="AD56">
    <cfRule type="cellIs" dxfId="28528" priority="90927" stopIfTrue="1" operator="equal">
      <formula>-1</formula>
    </cfRule>
  </conditionalFormatting>
  <conditionalFormatting sqref="AD56">
    <cfRule type="cellIs" dxfId="28527" priority="90928" stopIfTrue="1" operator="lessThan">
      <formula>0.5</formula>
    </cfRule>
  </conditionalFormatting>
  <conditionalFormatting sqref="AD56">
    <cfRule type="cellIs" dxfId="28526" priority="90929" stopIfTrue="1" operator="greaterThanOrEqual">
      <formula>0.5</formula>
    </cfRule>
  </conditionalFormatting>
  <conditionalFormatting sqref="AD57">
    <cfRule type="cellIs" dxfId="28525" priority="90930" stopIfTrue="1" operator="equal">
      <formula>-1</formula>
    </cfRule>
  </conditionalFormatting>
  <conditionalFormatting sqref="AD57">
    <cfRule type="cellIs" dxfId="28524" priority="90931" stopIfTrue="1" operator="lessThan">
      <formula>0.5</formula>
    </cfRule>
  </conditionalFormatting>
  <conditionalFormatting sqref="AD57">
    <cfRule type="cellIs" dxfId="28523" priority="90932" stopIfTrue="1" operator="greaterThanOrEqual">
      <formula>0.5</formula>
    </cfRule>
  </conditionalFormatting>
  <conditionalFormatting sqref="AD58">
    <cfRule type="cellIs" dxfId="28522" priority="90933" stopIfTrue="1" operator="equal">
      <formula>-1</formula>
    </cfRule>
  </conditionalFormatting>
  <conditionalFormatting sqref="AD58">
    <cfRule type="cellIs" dxfId="28521" priority="90934" stopIfTrue="1" operator="lessThan">
      <formula>0.5</formula>
    </cfRule>
  </conditionalFormatting>
  <conditionalFormatting sqref="AD58">
    <cfRule type="cellIs" dxfId="28520" priority="90935" stopIfTrue="1" operator="greaterThanOrEqual">
      <formula>0.5</formula>
    </cfRule>
  </conditionalFormatting>
  <conditionalFormatting sqref="AF39">
    <cfRule type="cellIs" dxfId="28519" priority="90936" stopIfTrue="1" operator="equal">
      <formula>-1</formula>
    </cfRule>
  </conditionalFormatting>
  <conditionalFormatting sqref="AF39">
    <cfRule type="cellIs" dxfId="28518" priority="90937" stopIfTrue="1" operator="lessThan">
      <formula>0.5</formula>
    </cfRule>
  </conditionalFormatting>
  <conditionalFormatting sqref="AF39">
    <cfRule type="cellIs" dxfId="28517" priority="90938" stopIfTrue="1" operator="greaterThanOrEqual">
      <formula>0.5</formula>
    </cfRule>
  </conditionalFormatting>
  <conditionalFormatting sqref="AF40">
    <cfRule type="cellIs" dxfId="28516" priority="90939" stopIfTrue="1" operator="equal">
      <formula>-1</formula>
    </cfRule>
  </conditionalFormatting>
  <conditionalFormatting sqref="AF40">
    <cfRule type="cellIs" dxfId="28515" priority="90940" stopIfTrue="1" operator="lessThan">
      <formula>0.5</formula>
    </cfRule>
  </conditionalFormatting>
  <conditionalFormatting sqref="AF40">
    <cfRule type="cellIs" dxfId="28514" priority="90941" stopIfTrue="1" operator="greaterThanOrEqual">
      <formula>0.5</formula>
    </cfRule>
  </conditionalFormatting>
  <conditionalFormatting sqref="AF41">
    <cfRule type="cellIs" dxfId="28513" priority="90942" stopIfTrue="1" operator="equal">
      <formula>-1</formula>
    </cfRule>
  </conditionalFormatting>
  <conditionalFormatting sqref="AF41">
    <cfRule type="cellIs" dxfId="28512" priority="90943" stopIfTrue="1" operator="lessThan">
      <formula>0.5</formula>
    </cfRule>
  </conditionalFormatting>
  <conditionalFormatting sqref="AF41">
    <cfRule type="cellIs" dxfId="28511" priority="90944" stopIfTrue="1" operator="greaterThanOrEqual">
      <formula>0.5</formula>
    </cfRule>
  </conditionalFormatting>
  <conditionalFormatting sqref="AF42">
    <cfRule type="cellIs" dxfId="28510" priority="90945" stopIfTrue="1" operator="equal">
      <formula>-1</formula>
    </cfRule>
  </conditionalFormatting>
  <conditionalFormatting sqref="AF42">
    <cfRule type="cellIs" dxfId="28509" priority="90946" stopIfTrue="1" operator="lessThan">
      <formula>0.5</formula>
    </cfRule>
  </conditionalFormatting>
  <conditionalFormatting sqref="AF42">
    <cfRule type="cellIs" dxfId="28508" priority="90947" stopIfTrue="1" operator="greaterThanOrEqual">
      <formula>0.5</formula>
    </cfRule>
  </conditionalFormatting>
  <conditionalFormatting sqref="AF43">
    <cfRule type="cellIs" dxfId="28507" priority="90948" stopIfTrue="1" operator="equal">
      <formula>-1</formula>
    </cfRule>
  </conditionalFormatting>
  <conditionalFormatting sqref="AF43">
    <cfRule type="cellIs" dxfId="28506" priority="90949" stopIfTrue="1" operator="lessThan">
      <formula>0.5</formula>
    </cfRule>
  </conditionalFormatting>
  <conditionalFormatting sqref="AF43">
    <cfRule type="cellIs" dxfId="28505" priority="90950" stopIfTrue="1" operator="greaterThanOrEqual">
      <formula>0.5</formula>
    </cfRule>
  </conditionalFormatting>
  <conditionalFormatting sqref="AF44">
    <cfRule type="cellIs" dxfId="28504" priority="90951" stopIfTrue="1" operator="equal">
      <formula>-1</formula>
    </cfRule>
  </conditionalFormatting>
  <conditionalFormatting sqref="AF44">
    <cfRule type="cellIs" dxfId="28503" priority="90952" stopIfTrue="1" operator="lessThan">
      <formula>0.5</formula>
    </cfRule>
  </conditionalFormatting>
  <conditionalFormatting sqref="AF44">
    <cfRule type="cellIs" dxfId="28502" priority="90953" stopIfTrue="1" operator="greaterThanOrEqual">
      <formula>0.5</formula>
    </cfRule>
  </conditionalFormatting>
  <conditionalFormatting sqref="AF45">
    <cfRule type="cellIs" dxfId="28501" priority="90954" stopIfTrue="1" operator="equal">
      <formula>-1</formula>
    </cfRule>
  </conditionalFormatting>
  <conditionalFormatting sqref="AF45">
    <cfRule type="cellIs" dxfId="28500" priority="90955" stopIfTrue="1" operator="lessThan">
      <formula>0.5</formula>
    </cfRule>
  </conditionalFormatting>
  <conditionalFormatting sqref="AF45">
    <cfRule type="cellIs" dxfId="28499" priority="90956" stopIfTrue="1" operator="greaterThanOrEqual">
      <formula>0.5</formula>
    </cfRule>
  </conditionalFormatting>
  <conditionalFormatting sqref="AF46">
    <cfRule type="cellIs" dxfId="28498" priority="90957" stopIfTrue="1" operator="equal">
      <formula>-1</formula>
    </cfRule>
  </conditionalFormatting>
  <conditionalFormatting sqref="AF46">
    <cfRule type="cellIs" dxfId="28497" priority="90958" stopIfTrue="1" operator="lessThan">
      <formula>0.5</formula>
    </cfRule>
  </conditionalFormatting>
  <conditionalFormatting sqref="AF46">
    <cfRule type="cellIs" dxfId="28496" priority="90959" stopIfTrue="1" operator="greaterThanOrEqual">
      <formula>0.5</formula>
    </cfRule>
  </conditionalFormatting>
  <conditionalFormatting sqref="AF47">
    <cfRule type="cellIs" dxfId="28495" priority="90960" stopIfTrue="1" operator="equal">
      <formula>-1</formula>
    </cfRule>
  </conditionalFormatting>
  <conditionalFormatting sqref="AF47">
    <cfRule type="cellIs" dxfId="28494" priority="90961" stopIfTrue="1" operator="lessThan">
      <formula>0.5</formula>
    </cfRule>
  </conditionalFormatting>
  <conditionalFormatting sqref="AF47">
    <cfRule type="cellIs" dxfId="28493" priority="90962" stopIfTrue="1" operator="greaterThanOrEqual">
      <formula>0.5</formula>
    </cfRule>
  </conditionalFormatting>
  <conditionalFormatting sqref="AF48">
    <cfRule type="cellIs" dxfId="28492" priority="90963" stopIfTrue="1" operator="equal">
      <formula>-1</formula>
    </cfRule>
  </conditionalFormatting>
  <conditionalFormatting sqref="AF48">
    <cfRule type="cellIs" dxfId="28491" priority="90964" stopIfTrue="1" operator="lessThan">
      <formula>0.5</formula>
    </cfRule>
  </conditionalFormatting>
  <conditionalFormatting sqref="AF48">
    <cfRule type="cellIs" dxfId="28490" priority="90965" stopIfTrue="1" operator="greaterThanOrEqual">
      <formula>0.5</formula>
    </cfRule>
  </conditionalFormatting>
  <conditionalFormatting sqref="AF49">
    <cfRule type="cellIs" dxfId="28489" priority="90966" stopIfTrue="1" operator="equal">
      <formula>-1</formula>
    </cfRule>
  </conditionalFormatting>
  <conditionalFormatting sqref="AF49">
    <cfRule type="cellIs" dxfId="28488" priority="90967" stopIfTrue="1" operator="lessThan">
      <formula>0.5</formula>
    </cfRule>
  </conditionalFormatting>
  <conditionalFormatting sqref="AF49">
    <cfRule type="cellIs" dxfId="28487" priority="90968" stopIfTrue="1" operator="greaterThanOrEqual">
      <formula>0.5</formula>
    </cfRule>
  </conditionalFormatting>
  <conditionalFormatting sqref="AF50">
    <cfRule type="cellIs" dxfId="28486" priority="90969" stopIfTrue="1" operator="equal">
      <formula>-1</formula>
    </cfRule>
  </conditionalFormatting>
  <conditionalFormatting sqref="AF50">
    <cfRule type="cellIs" dxfId="28485" priority="90970" stopIfTrue="1" operator="lessThan">
      <formula>0.5</formula>
    </cfRule>
  </conditionalFormatting>
  <conditionalFormatting sqref="AF50">
    <cfRule type="cellIs" dxfId="28484" priority="90971" stopIfTrue="1" operator="greaterThanOrEqual">
      <formula>0.5</formula>
    </cfRule>
  </conditionalFormatting>
  <conditionalFormatting sqref="AF51">
    <cfRule type="cellIs" dxfId="28483" priority="90972" stopIfTrue="1" operator="equal">
      <formula>-1</formula>
    </cfRule>
  </conditionalFormatting>
  <conditionalFormatting sqref="AF51">
    <cfRule type="cellIs" dxfId="28482" priority="90973" stopIfTrue="1" operator="lessThan">
      <formula>0.5</formula>
    </cfRule>
  </conditionalFormatting>
  <conditionalFormatting sqref="AF51">
    <cfRule type="cellIs" dxfId="28481" priority="90974" stopIfTrue="1" operator="greaterThanOrEqual">
      <formula>0.5</formula>
    </cfRule>
  </conditionalFormatting>
  <conditionalFormatting sqref="AF52">
    <cfRule type="cellIs" dxfId="28480" priority="90975" stopIfTrue="1" operator="equal">
      <formula>-1</formula>
    </cfRule>
  </conditionalFormatting>
  <conditionalFormatting sqref="AF52">
    <cfRule type="cellIs" dxfId="28479" priority="90976" stopIfTrue="1" operator="lessThan">
      <formula>0.5</formula>
    </cfRule>
  </conditionalFormatting>
  <conditionalFormatting sqref="AF52">
    <cfRule type="cellIs" dxfId="28478" priority="90977" stopIfTrue="1" operator="greaterThanOrEqual">
      <formula>0.5</formula>
    </cfRule>
  </conditionalFormatting>
  <conditionalFormatting sqref="AF53">
    <cfRule type="cellIs" dxfId="28477" priority="90978" stopIfTrue="1" operator="equal">
      <formula>-1</formula>
    </cfRule>
  </conditionalFormatting>
  <conditionalFormatting sqref="AF53">
    <cfRule type="cellIs" dxfId="28476" priority="90979" stopIfTrue="1" operator="lessThan">
      <formula>0.5</formula>
    </cfRule>
  </conditionalFormatting>
  <conditionalFormatting sqref="AF53">
    <cfRule type="cellIs" dxfId="28475" priority="90980" stopIfTrue="1" operator="greaterThanOrEqual">
      <formula>0.5</formula>
    </cfRule>
  </conditionalFormatting>
  <conditionalFormatting sqref="AF54">
    <cfRule type="cellIs" dxfId="28474" priority="90981" stopIfTrue="1" operator="equal">
      <formula>-1</formula>
    </cfRule>
  </conditionalFormatting>
  <conditionalFormatting sqref="AF54">
    <cfRule type="cellIs" dxfId="28473" priority="90982" stopIfTrue="1" operator="lessThan">
      <formula>0.5</formula>
    </cfRule>
  </conditionalFormatting>
  <conditionalFormatting sqref="AF54">
    <cfRule type="cellIs" dxfId="28472" priority="90983" stopIfTrue="1" operator="greaterThanOrEqual">
      <formula>0.5</formula>
    </cfRule>
  </conditionalFormatting>
  <conditionalFormatting sqref="AF55">
    <cfRule type="cellIs" dxfId="28471" priority="90984" stopIfTrue="1" operator="equal">
      <formula>-1</formula>
    </cfRule>
  </conditionalFormatting>
  <conditionalFormatting sqref="AF55">
    <cfRule type="cellIs" dxfId="28470" priority="90985" stopIfTrue="1" operator="lessThan">
      <formula>0.5</formula>
    </cfRule>
  </conditionalFormatting>
  <conditionalFormatting sqref="AF55">
    <cfRule type="cellIs" dxfId="28469" priority="90986" stopIfTrue="1" operator="greaterThanOrEqual">
      <formula>0.5</formula>
    </cfRule>
  </conditionalFormatting>
  <conditionalFormatting sqref="AF56">
    <cfRule type="cellIs" dxfId="28468" priority="90987" stopIfTrue="1" operator="equal">
      <formula>-1</formula>
    </cfRule>
  </conditionalFormatting>
  <conditionalFormatting sqref="AF56">
    <cfRule type="cellIs" dxfId="28467" priority="90988" stopIfTrue="1" operator="lessThan">
      <formula>0.5</formula>
    </cfRule>
  </conditionalFormatting>
  <conditionalFormatting sqref="AF56">
    <cfRule type="cellIs" dxfId="28466" priority="90989" stopIfTrue="1" operator="greaterThanOrEqual">
      <formula>0.5</formula>
    </cfRule>
  </conditionalFormatting>
  <conditionalFormatting sqref="AF57">
    <cfRule type="cellIs" dxfId="28465" priority="90990" stopIfTrue="1" operator="equal">
      <formula>-1</formula>
    </cfRule>
  </conditionalFormatting>
  <conditionalFormatting sqref="AF57">
    <cfRule type="cellIs" dxfId="28464" priority="90991" stopIfTrue="1" operator="lessThan">
      <formula>0.5</formula>
    </cfRule>
  </conditionalFormatting>
  <conditionalFormatting sqref="AF57">
    <cfRule type="cellIs" dxfId="28463" priority="90992" stopIfTrue="1" operator="greaterThanOrEqual">
      <formula>0.5</formula>
    </cfRule>
  </conditionalFormatting>
  <conditionalFormatting sqref="AF58">
    <cfRule type="cellIs" dxfId="28462" priority="90993" stopIfTrue="1" operator="equal">
      <formula>-1</formula>
    </cfRule>
  </conditionalFormatting>
  <conditionalFormatting sqref="AF58">
    <cfRule type="cellIs" dxfId="28461" priority="90994" stopIfTrue="1" operator="lessThan">
      <formula>0.5</formula>
    </cfRule>
  </conditionalFormatting>
  <conditionalFormatting sqref="AF58">
    <cfRule type="cellIs" dxfId="28460" priority="90995" stopIfTrue="1" operator="greaterThanOrEqual">
      <formula>0.5</formula>
    </cfRule>
  </conditionalFormatting>
  <conditionalFormatting sqref="AH39">
    <cfRule type="cellIs" dxfId="28459" priority="90996" stopIfTrue="1" operator="equal">
      <formula>-1</formula>
    </cfRule>
  </conditionalFormatting>
  <conditionalFormatting sqref="AH39">
    <cfRule type="cellIs" dxfId="28458" priority="90997" stopIfTrue="1" operator="lessThan">
      <formula>0.5</formula>
    </cfRule>
  </conditionalFormatting>
  <conditionalFormatting sqref="AH39">
    <cfRule type="cellIs" dxfId="28457" priority="90998" stopIfTrue="1" operator="greaterThanOrEqual">
      <formula>0.5</formula>
    </cfRule>
  </conditionalFormatting>
  <conditionalFormatting sqref="AH40">
    <cfRule type="cellIs" dxfId="28456" priority="90999" stopIfTrue="1" operator="equal">
      <formula>-1</formula>
    </cfRule>
  </conditionalFormatting>
  <conditionalFormatting sqref="AH40">
    <cfRule type="cellIs" dxfId="28455" priority="91000" stopIfTrue="1" operator="lessThan">
      <formula>0.5</formula>
    </cfRule>
  </conditionalFormatting>
  <conditionalFormatting sqref="AH40">
    <cfRule type="cellIs" dxfId="28454" priority="91001" stopIfTrue="1" operator="greaterThanOrEqual">
      <formula>0.5</formula>
    </cfRule>
  </conditionalFormatting>
  <conditionalFormatting sqref="AH41">
    <cfRule type="cellIs" dxfId="28453" priority="91002" stopIfTrue="1" operator="equal">
      <formula>-1</formula>
    </cfRule>
  </conditionalFormatting>
  <conditionalFormatting sqref="AH41">
    <cfRule type="cellIs" dxfId="28452" priority="91003" stopIfTrue="1" operator="lessThan">
      <formula>0.5</formula>
    </cfRule>
  </conditionalFormatting>
  <conditionalFormatting sqref="AH41">
    <cfRule type="cellIs" dxfId="28451" priority="91004" stopIfTrue="1" operator="greaterThanOrEqual">
      <formula>0.5</formula>
    </cfRule>
  </conditionalFormatting>
  <conditionalFormatting sqref="AH42">
    <cfRule type="cellIs" dxfId="28450" priority="91005" stopIfTrue="1" operator="equal">
      <formula>-1</formula>
    </cfRule>
  </conditionalFormatting>
  <conditionalFormatting sqref="AH42">
    <cfRule type="cellIs" dxfId="28449" priority="91006" stopIfTrue="1" operator="lessThan">
      <formula>0.5</formula>
    </cfRule>
  </conditionalFormatting>
  <conditionalFormatting sqref="AH42">
    <cfRule type="cellIs" dxfId="28448" priority="91007" stopIfTrue="1" operator="greaterThanOrEqual">
      <formula>0.5</formula>
    </cfRule>
  </conditionalFormatting>
  <conditionalFormatting sqref="AH43">
    <cfRule type="cellIs" dxfId="28447" priority="91008" stopIfTrue="1" operator="equal">
      <formula>-1</formula>
    </cfRule>
  </conditionalFormatting>
  <conditionalFormatting sqref="AH43">
    <cfRule type="cellIs" dxfId="28446" priority="91009" stopIfTrue="1" operator="lessThan">
      <formula>0.5</formula>
    </cfRule>
  </conditionalFormatting>
  <conditionalFormatting sqref="AH43">
    <cfRule type="cellIs" dxfId="28445" priority="91010" stopIfTrue="1" operator="greaterThanOrEqual">
      <formula>0.5</formula>
    </cfRule>
  </conditionalFormatting>
  <conditionalFormatting sqref="AH44">
    <cfRule type="cellIs" dxfId="28444" priority="91011" stopIfTrue="1" operator="equal">
      <formula>-1</formula>
    </cfRule>
  </conditionalFormatting>
  <conditionalFormatting sqref="AH44">
    <cfRule type="cellIs" dxfId="28443" priority="91012" stopIfTrue="1" operator="lessThan">
      <formula>0.5</formula>
    </cfRule>
  </conditionalFormatting>
  <conditionalFormatting sqref="AH44">
    <cfRule type="cellIs" dxfId="28442" priority="91013" stopIfTrue="1" operator="greaterThanOrEqual">
      <formula>0.5</formula>
    </cfRule>
  </conditionalFormatting>
  <conditionalFormatting sqref="AH45">
    <cfRule type="cellIs" dxfId="28441" priority="91014" stopIfTrue="1" operator="equal">
      <formula>-1</formula>
    </cfRule>
  </conditionalFormatting>
  <conditionalFormatting sqref="AH45">
    <cfRule type="cellIs" dxfId="28440" priority="91015" stopIfTrue="1" operator="lessThan">
      <formula>0.5</formula>
    </cfRule>
  </conditionalFormatting>
  <conditionalFormatting sqref="AH45">
    <cfRule type="cellIs" dxfId="28439" priority="91016" stopIfTrue="1" operator="greaterThanOrEqual">
      <formula>0.5</formula>
    </cfRule>
  </conditionalFormatting>
  <conditionalFormatting sqref="AH46">
    <cfRule type="cellIs" dxfId="28438" priority="91017" stopIfTrue="1" operator="equal">
      <formula>-1</formula>
    </cfRule>
  </conditionalFormatting>
  <conditionalFormatting sqref="AH46">
    <cfRule type="cellIs" dxfId="28437" priority="91018" stopIfTrue="1" operator="lessThan">
      <formula>0.5</formula>
    </cfRule>
  </conditionalFormatting>
  <conditionalFormatting sqref="AH46">
    <cfRule type="cellIs" dxfId="28436" priority="91019" stopIfTrue="1" operator="greaterThanOrEqual">
      <formula>0.5</formula>
    </cfRule>
  </conditionalFormatting>
  <conditionalFormatting sqref="AH47">
    <cfRule type="cellIs" dxfId="28435" priority="91020" stopIfTrue="1" operator="equal">
      <formula>-1</formula>
    </cfRule>
  </conditionalFormatting>
  <conditionalFormatting sqref="AH47">
    <cfRule type="cellIs" dxfId="28434" priority="91021" stopIfTrue="1" operator="lessThan">
      <formula>0.5</formula>
    </cfRule>
  </conditionalFormatting>
  <conditionalFormatting sqref="AH47">
    <cfRule type="cellIs" dxfId="28433" priority="91022" stopIfTrue="1" operator="greaterThanOrEqual">
      <formula>0.5</formula>
    </cfRule>
  </conditionalFormatting>
  <conditionalFormatting sqref="AH48">
    <cfRule type="cellIs" dxfId="28432" priority="91023" stopIfTrue="1" operator="equal">
      <formula>-1</formula>
    </cfRule>
  </conditionalFormatting>
  <conditionalFormatting sqref="AH48">
    <cfRule type="cellIs" dxfId="28431" priority="91024" stopIfTrue="1" operator="lessThan">
      <formula>0.5</formula>
    </cfRule>
  </conditionalFormatting>
  <conditionalFormatting sqref="AH48">
    <cfRule type="cellIs" dxfId="28430" priority="91025" stopIfTrue="1" operator="greaterThanOrEqual">
      <formula>0.5</formula>
    </cfRule>
  </conditionalFormatting>
  <conditionalFormatting sqref="AH49">
    <cfRule type="cellIs" dxfId="28429" priority="91026" stopIfTrue="1" operator="equal">
      <formula>-1</formula>
    </cfRule>
  </conditionalFormatting>
  <conditionalFormatting sqref="AH49">
    <cfRule type="cellIs" dxfId="28428" priority="91027" stopIfTrue="1" operator="lessThan">
      <formula>0.5</formula>
    </cfRule>
  </conditionalFormatting>
  <conditionalFormatting sqref="AH49">
    <cfRule type="cellIs" dxfId="28427" priority="91028" stopIfTrue="1" operator="greaterThanOrEqual">
      <formula>0.5</formula>
    </cfRule>
  </conditionalFormatting>
  <conditionalFormatting sqref="AH50">
    <cfRule type="cellIs" dxfId="28426" priority="91029" stopIfTrue="1" operator="equal">
      <formula>-1</formula>
    </cfRule>
  </conditionalFormatting>
  <conditionalFormatting sqref="AH50">
    <cfRule type="cellIs" dxfId="28425" priority="91030" stopIfTrue="1" operator="lessThan">
      <formula>0.5</formula>
    </cfRule>
  </conditionalFormatting>
  <conditionalFormatting sqref="AH50">
    <cfRule type="cellIs" dxfId="28424" priority="91031" stopIfTrue="1" operator="greaterThanOrEqual">
      <formula>0.5</formula>
    </cfRule>
  </conditionalFormatting>
  <conditionalFormatting sqref="AH51">
    <cfRule type="cellIs" dxfId="28423" priority="91032" stopIfTrue="1" operator="equal">
      <formula>-1</formula>
    </cfRule>
  </conditionalFormatting>
  <conditionalFormatting sqref="AH51">
    <cfRule type="cellIs" dxfId="28422" priority="91033" stopIfTrue="1" operator="lessThan">
      <formula>0.5</formula>
    </cfRule>
  </conditionalFormatting>
  <conditionalFormatting sqref="AH51">
    <cfRule type="cellIs" dxfId="28421" priority="91034" stopIfTrue="1" operator="greaterThanOrEqual">
      <formula>0.5</formula>
    </cfRule>
  </conditionalFormatting>
  <conditionalFormatting sqref="AH52">
    <cfRule type="cellIs" dxfId="28420" priority="91035" stopIfTrue="1" operator="equal">
      <formula>-1</formula>
    </cfRule>
  </conditionalFormatting>
  <conditionalFormatting sqref="AH52">
    <cfRule type="cellIs" dxfId="28419" priority="91036" stopIfTrue="1" operator="lessThan">
      <formula>0.5</formula>
    </cfRule>
  </conditionalFormatting>
  <conditionalFormatting sqref="AH52">
    <cfRule type="cellIs" dxfId="28418" priority="91037" stopIfTrue="1" operator="greaterThanOrEqual">
      <formula>0.5</formula>
    </cfRule>
  </conditionalFormatting>
  <conditionalFormatting sqref="AH53">
    <cfRule type="cellIs" dxfId="28417" priority="91038" stopIfTrue="1" operator="equal">
      <formula>-1</formula>
    </cfRule>
  </conditionalFormatting>
  <conditionalFormatting sqref="AH53">
    <cfRule type="cellIs" dxfId="28416" priority="91039" stopIfTrue="1" operator="lessThan">
      <formula>0.5</formula>
    </cfRule>
  </conditionalFormatting>
  <conditionalFormatting sqref="AH53">
    <cfRule type="cellIs" dxfId="28415" priority="91040" stopIfTrue="1" operator="greaterThanOrEqual">
      <formula>0.5</formula>
    </cfRule>
  </conditionalFormatting>
  <conditionalFormatting sqref="AH54">
    <cfRule type="cellIs" dxfId="28414" priority="91041" stopIfTrue="1" operator="equal">
      <formula>-1</formula>
    </cfRule>
  </conditionalFormatting>
  <conditionalFormatting sqref="AH54">
    <cfRule type="cellIs" dxfId="28413" priority="91042" stopIfTrue="1" operator="lessThan">
      <formula>0.5</formula>
    </cfRule>
  </conditionalFormatting>
  <conditionalFormatting sqref="AH54">
    <cfRule type="cellIs" dxfId="28412" priority="91043" stopIfTrue="1" operator="greaterThanOrEqual">
      <formula>0.5</formula>
    </cfRule>
  </conditionalFormatting>
  <conditionalFormatting sqref="AH55">
    <cfRule type="cellIs" dxfId="28411" priority="91044" stopIfTrue="1" operator="equal">
      <formula>-1</formula>
    </cfRule>
  </conditionalFormatting>
  <conditionalFormatting sqref="AH55">
    <cfRule type="cellIs" dxfId="28410" priority="91045" stopIfTrue="1" operator="lessThan">
      <formula>0.5</formula>
    </cfRule>
  </conditionalFormatting>
  <conditionalFormatting sqref="AH55">
    <cfRule type="cellIs" dxfId="28409" priority="91046" stopIfTrue="1" operator="greaterThanOrEqual">
      <formula>0.5</formula>
    </cfRule>
  </conditionalFormatting>
  <conditionalFormatting sqref="AH56">
    <cfRule type="cellIs" dxfId="28408" priority="91047" stopIfTrue="1" operator="equal">
      <formula>-1</formula>
    </cfRule>
  </conditionalFormatting>
  <conditionalFormatting sqref="AH56">
    <cfRule type="cellIs" dxfId="28407" priority="91048" stopIfTrue="1" operator="lessThan">
      <formula>0.5</formula>
    </cfRule>
  </conditionalFormatting>
  <conditionalFormatting sqref="AH56">
    <cfRule type="cellIs" dxfId="28406" priority="91049" stopIfTrue="1" operator="greaterThanOrEqual">
      <formula>0.5</formula>
    </cfRule>
  </conditionalFormatting>
  <conditionalFormatting sqref="AH57">
    <cfRule type="cellIs" dxfId="28405" priority="91050" stopIfTrue="1" operator="equal">
      <formula>-1</formula>
    </cfRule>
  </conditionalFormatting>
  <conditionalFormatting sqref="AH57">
    <cfRule type="cellIs" dxfId="28404" priority="91051" stopIfTrue="1" operator="lessThan">
      <formula>0.5</formula>
    </cfRule>
  </conditionalFormatting>
  <conditionalFormatting sqref="AH57">
    <cfRule type="cellIs" dxfId="28403" priority="91052" stopIfTrue="1" operator="greaterThanOrEqual">
      <formula>0.5</formula>
    </cfRule>
  </conditionalFormatting>
  <conditionalFormatting sqref="AH58">
    <cfRule type="cellIs" dxfId="28402" priority="91053" stopIfTrue="1" operator="equal">
      <formula>-1</formula>
    </cfRule>
  </conditionalFormatting>
  <conditionalFormatting sqref="AH58">
    <cfRule type="cellIs" dxfId="28401" priority="91054" stopIfTrue="1" operator="lessThan">
      <formula>0.5</formula>
    </cfRule>
  </conditionalFormatting>
  <conditionalFormatting sqref="AH58">
    <cfRule type="cellIs" dxfId="28400" priority="91055" stopIfTrue="1" operator="greaterThanOrEqual">
      <formula>0.5</formula>
    </cfRule>
  </conditionalFormatting>
  <conditionalFormatting sqref="AJ39">
    <cfRule type="cellIs" dxfId="28399" priority="91056" stopIfTrue="1" operator="equal">
      <formula>-1</formula>
    </cfRule>
  </conditionalFormatting>
  <conditionalFormatting sqref="AJ39">
    <cfRule type="cellIs" dxfId="28398" priority="91057" stopIfTrue="1" operator="lessThan">
      <formula>0.5</formula>
    </cfRule>
  </conditionalFormatting>
  <conditionalFormatting sqref="AJ39">
    <cfRule type="cellIs" dxfId="28397" priority="91058" stopIfTrue="1" operator="greaterThanOrEqual">
      <formula>0.5</formula>
    </cfRule>
  </conditionalFormatting>
  <conditionalFormatting sqref="AJ40">
    <cfRule type="cellIs" dxfId="28396" priority="91059" stopIfTrue="1" operator="equal">
      <formula>-1</formula>
    </cfRule>
  </conditionalFormatting>
  <conditionalFormatting sqref="AJ40">
    <cfRule type="cellIs" dxfId="28395" priority="91060" stopIfTrue="1" operator="lessThan">
      <formula>0.5</formula>
    </cfRule>
  </conditionalFormatting>
  <conditionalFormatting sqref="AJ40">
    <cfRule type="cellIs" dxfId="28394" priority="91061" stopIfTrue="1" operator="greaterThanOrEqual">
      <formula>0.5</formula>
    </cfRule>
  </conditionalFormatting>
  <conditionalFormatting sqref="AJ41">
    <cfRule type="cellIs" dxfId="28393" priority="91062" stopIfTrue="1" operator="equal">
      <formula>-1</formula>
    </cfRule>
  </conditionalFormatting>
  <conditionalFormatting sqref="AJ41">
    <cfRule type="cellIs" dxfId="28392" priority="91063" stopIfTrue="1" operator="lessThan">
      <formula>0.5</formula>
    </cfRule>
  </conditionalFormatting>
  <conditionalFormatting sqref="AJ41">
    <cfRule type="cellIs" dxfId="28391" priority="91064" stopIfTrue="1" operator="greaterThanOrEqual">
      <formula>0.5</formula>
    </cfRule>
  </conditionalFormatting>
  <conditionalFormatting sqref="AJ42">
    <cfRule type="cellIs" dxfId="28390" priority="91065" stopIfTrue="1" operator="equal">
      <formula>-1</formula>
    </cfRule>
  </conditionalFormatting>
  <conditionalFormatting sqref="AJ42">
    <cfRule type="cellIs" dxfId="28389" priority="91066" stopIfTrue="1" operator="lessThan">
      <formula>0.5</formula>
    </cfRule>
  </conditionalFormatting>
  <conditionalFormatting sqref="AJ42">
    <cfRule type="cellIs" dxfId="28388" priority="91067" stopIfTrue="1" operator="greaterThanOrEqual">
      <formula>0.5</formula>
    </cfRule>
  </conditionalFormatting>
  <conditionalFormatting sqref="AJ43">
    <cfRule type="cellIs" dxfId="28387" priority="91068" stopIfTrue="1" operator="equal">
      <formula>-1</formula>
    </cfRule>
  </conditionalFormatting>
  <conditionalFormatting sqref="AJ43">
    <cfRule type="cellIs" dxfId="28386" priority="91069" stopIfTrue="1" operator="lessThan">
      <formula>0.5</formula>
    </cfRule>
  </conditionalFormatting>
  <conditionalFormatting sqref="AJ43">
    <cfRule type="cellIs" dxfId="28385" priority="91070" stopIfTrue="1" operator="greaterThanOrEqual">
      <formula>0.5</formula>
    </cfRule>
  </conditionalFormatting>
  <conditionalFormatting sqref="AJ44">
    <cfRule type="cellIs" dxfId="28384" priority="91071" stopIfTrue="1" operator="equal">
      <formula>-1</formula>
    </cfRule>
  </conditionalFormatting>
  <conditionalFormatting sqref="AJ44">
    <cfRule type="cellIs" dxfId="28383" priority="91072" stopIfTrue="1" operator="lessThan">
      <formula>0.5</formula>
    </cfRule>
  </conditionalFormatting>
  <conditionalFormatting sqref="AJ44">
    <cfRule type="cellIs" dxfId="28382" priority="91073" stopIfTrue="1" operator="greaterThanOrEqual">
      <formula>0.5</formula>
    </cfRule>
  </conditionalFormatting>
  <conditionalFormatting sqref="AJ45">
    <cfRule type="cellIs" dxfId="28381" priority="91074" stopIfTrue="1" operator="equal">
      <formula>-1</formula>
    </cfRule>
  </conditionalFormatting>
  <conditionalFormatting sqref="AJ45">
    <cfRule type="cellIs" dxfId="28380" priority="91075" stopIfTrue="1" operator="lessThan">
      <formula>0.5</formula>
    </cfRule>
  </conditionalFormatting>
  <conditionalFormatting sqref="AJ45">
    <cfRule type="cellIs" dxfId="28379" priority="91076" stopIfTrue="1" operator="greaterThanOrEqual">
      <formula>0.5</formula>
    </cfRule>
  </conditionalFormatting>
  <conditionalFormatting sqref="AJ46">
    <cfRule type="cellIs" dxfId="28378" priority="91077" stopIfTrue="1" operator="equal">
      <formula>-1</formula>
    </cfRule>
  </conditionalFormatting>
  <conditionalFormatting sqref="AJ46">
    <cfRule type="cellIs" dxfId="28377" priority="91078" stopIfTrue="1" operator="lessThan">
      <formula>0.5</formula>
    </cfRule>
  </conditionalFormatting>
  <conditionalFormatting sqref="AJ46">
    <cfRule type="cellIs" dxfId="28376" priority="91079" stopIfTrue="1" operator="greaterThanOrEqual">
      <formula>0.5</formula>
    </cfRule>
  </conditionalFormatting>
  <conditionalFormatting sqref="AJ47">
    <cfRule type="cellIs" dxfId="28375" priority="91080" stopIfTrue="1" operator="equal">
      <formula>-1</formula>
    </cfRule>
  </conditionalFormatting>
  <conditionalFormatting sqref="AJ47">
    <cfRule type="cellIs" dxfId="28374" priority="91081" stopIfTrue="1" operator="lessThan">
      <formula>0.5</formula>
    </cfRule>
  </conditionalFormatting>
  <conditionalFormatting sqref="AJ47">
    <cfRule type="cellIs" dxfId="28373" priority="91082" stopIfTrue="1" operator="greaterThanOrEqual">
      <formula>0.5</formula>
    </cfRule>
  </conditionalFormatting>
  <conditionalFormatting sqref="AJ48">
    <cfRule type="cellIs" dxfId="28372" priority="91083" stopIfTrue="1" operator="equal">
      <formula>-1</formula>
    </cfRule>
  </conditionalFormatting>
  <conditionalFormatting sqref="AJ48">
    <cfRule type="cellIs" dxfId="28371" priority="91084" stopIfTrue="1" operator="lessThan">
      <formula>0.5</formula>
    </cfRule>
  </conditionalFormatting>
  <conditionalFormatting sqref="AJ48">
    <cfRule type="cellIs" dxfId="28370" priority="91085" stopIfTrue="1" operator="greaterThanOrEqual">
      <formula>0.5</formula>
    </cfRule>
  </conditionalFormatting>
  <conditionalFormatting sqref="AJ49">
    <cfRule type="cellIs" dxfId="28369" priority="91086" stopIfTrue="1" operator="equal">
      <formula>-1</formula>
    </cfRule>
  </conditionalFormatting>
  <conditionalFormatting sqref="AJ49">
    <cfRule type="cellIs" dxfId="28368" priority="91087" stopIfTrue="1" operator="lessThan">
      <formula>0.5</formula>
    </cfRule>
  </conditionalFormatting>
  <conditionalFormatting sqref="AJ49">
    <cfRule type="cellIs" dxfId="28367" priority="91088" stopIfTrue="1" operator="greaterThanOrEqual">
      <formula>0.5</formula>
    </cfRule>
  </conditionalFormatting>
  <conditionalFormatting sqref="AJ50">
    <cfRule type="cellIs" dxfId="28366" priority="91089" stopIfTrue="1" operator="equal">
      <formula>-1</formula>
    </cfRule>
  </conditionalFormatting>
  <conditionalFormatting sqref="AJ50">
    <cfRule type="cellIs" dxfId="28365" priority="91090" stopIfTrue="1" operator="lessThan">
      <formula>0.5</formula>
    </cfRule>
  </conditionalFormatting>
  <conditionalFormatting sqref="AJ50">
    <cfRule type="cellIs" dxfId="28364" priority="91091" stopIfTrue="1" operator="greaterThanOrEqual">
      <formula>0.5</formula>
    </cfRule>
  </conditionalFormatting>
  <conditionalFormatting sqref="AJ51">
    <cfRule type="cellIs" dxfId="28363" priority="91092" stopIfTrue="1" operator="equal">
      <formula>-1</formula>
    </cfRule>
  </conditionalFormatting>
  <conditionalFormatting sqref="AJ51">
    <cfRule type="cellIs" dxfId="28362" priority="91093" stopIfTrue="1" operator="lessThan">
      <formula>0.5</formula>
    </cfRule>
  </conditionalFormatting>
  <conditionalFormatting sqref="AJ51">
    <cfRule type="cellIs" dxfId="28361" priority="91094" stopIfTrue="1" operator="greaterThanOrEqual">
      <formula>0.5</formula>
    </cfRule>
  </conditionalFormatting>
  <conditionalFormatting sqref="AJ52">
    <cfRule type="cellIs" dxfId="28360" priority="91095" stopIfTrue="1" operator="equal">
      <formula>-1</formula>
    </cfRule>
  </conditionalFormatting>
  <conditionalFormatting sqref="AJ52">
    <cfRule type="cellIs" dxfId="28359" priority="91096" stopIfTrue="1" operator="lessThan">
      <formula>0.5</formula>
    </cfRule>
  </conditionalFormatting>
  <conditionalFormatting sqref="AJ52">
    <cfRule type="cellIs" dxfId="28358" priority="91097" stopIfTrue="1" operator="greaterThanOrEqual">
      <formula>0.5</formula>
    </cfRule>
  </conditionalFormatting>
  <conditionalFormatting sqref="AJ53">
    <cfRule type="cellIs" dxfId="28357" priority="91098" stopIfTrue="1" operator="equal">
      <formula>-1</formula>
    </cfRule>
  </conditionalFormatting>
  <conditionalFormatting sqref="AJ53">
    <cfRule type="cellIs" dxfId="28356" priority="91099" stopIfTrue="1" operator="lessThan">
      <formula>0.5</formula>
    </cfRule>
  </conditionalFormatting>
  <conditionalFormatting sqref="AJ53">
    <cfRule type="cellIs" dxfId="28355" priority="91100" stopIfTrue="1" operator="greaterThanOrEqual">
      <formula>0.5</formula>
    </cfRule>
  </conditionalFormatting>
  <conditionalFormatting sqref="AJ54">
    <cfRule type="cellIs" dxfId="28354" priority="91101" stopIfTrue="1" operator="equal">
      <formula>-1</formula>
    </cfRule>
  </conditionalFormatting>
  <conditionalFormatting sqref="AJ54">
    <cfRule type="cellIs" dxfId="28353" priority="91102" stopIfTrue="1" operator="lessThan">
      <formula>0.5</formula>
    </cfRule>
  </conditionalFormatting>
  <conditionalFormatting sqref="AJ54">
    <cfRule type="cellIs" dxfId="28352" priority="91103" stopIfTrue="1" operator="greaterThanOrEqual">
      <formula>0.5</formula>
    </cfRule>
  </conditionalFormatting>
  <conditionalFormatting sqref="AJ55">
    <cfRule type="cellIs" dxfId="28351" priority="91104" stopIfTrue="1" operator="equal">
      <formula>-1</formula>
    </cfRule>
  </conditionalFormatting>
  <conditionalFormatting sqref="AJ55">
    <cfRule type="cellIs" dxfId="28350" priority="91105" stopIfTrue="1" operator="lessThan">
      <formula>0.5</formula>
    </cfRule>
  </conditionalFormatting>
  <conditionalFormatting sqref="AJ55">
    <cfRule type="cellIs" dxfId="28349" priority="91106" stopIfTrue="1" operator="greaterThanOrEqual">
      <formula>0.5</formula>
    </cfRule>
  </conditionalFormatting>
  <conditionalFormatting sqref="AJ56">
    <cfRule type="cellIs" dxfId="28348" priority="91107" stopIfTrue="1" operator="equal">
      <formula>-1</formula>
    </cfRule>
  </conditionalFormatting>
  <conditionalFormatting sqref="AJ56">
    <cfRule type="cellIs" dxfId="28347" priority="91108" stopIfTrue="1" operator="lessThan">
      <formula>0.5</formula>
    </cfRule>
  </conditionalFormatting>
  <conditionalFormatting sqref="AJ56">
    <cfRule type="cellIs" dxfId="28346" priority="91109" stopIfTrue="1" operator="greaterThanOrEqual">
      <formula>0.5</formula>
    </cfRule>
  </conditionalFormatting>
  <conditionalFormatting sqref="AJ57">
    <cfRule type="cellIs" dxfId="28345" priority="91110" stopIfTrue="1" operator="equal">
      <formula>-1</formula>
    </cfRule>
  </conditionalFormatting>
  <conditionalFormatting sqref="AJ57">
    <cfRule type="cellIs" dxfId="28344" priority="91111" stopIfTrue="1" operator="lessThan">
      <formula>0.5</formula>
    </cfRule>
  </conditionalFormatting>
  <conditionalFormatting sqref="AJ57">
    <cfRule type="cellIs" dxfId="28343" priority="91112" stopIfTrue="1" operator="greaterThanOrEqual">
      <formula>0.5</formula>
    </cfRule>
  </conditionalFormatting>
  <conditionalFormatting sqref="AJ58">
    <cfRule type="cellIs" dxfId="28342" priority="91113" stopIfTrue="1" operator="equal">
      <formula>-1</formula>
    </cfRule>
  </conditionalFormatting>
  <conditionalFormatting sqref="AJ58">
    <cfRule type="cellIs" dxfId="28341" priority="91114" stopIfTrue="1" operator="lessThan">
      <formula>0.5</formula>
    </cfRule>
  </conditionalFormatting>
  <conditionalFormatting sqref="AJ58">
    <cfRule type="cellIs" dxfId="28340" priority="91115" stopIfTrue="1" operator="greaterThanOrEqual">
      <formula>0.5</formula>
    </cfRule>
  </conditionalFormatting>
  <conditionalFormatting sqref="AL39">
    <cfRule type="cellIs" dxfId="28339" priority="91116" stopIfTrue="1" operator="equal">
      <formula>-1</formula>
    </cfRule>
  </conditionalFormatting>
  <conditionalFormatting sqref="AL39">
    <cfRule type="cellIs" dxfId="28338" priority="91117" stopIfTrue="1" operator="lessThan">
      <formula>0.5</formula>
    </cfRule>
  </conditionalFormatting>
  <conditionalFormatting sqref="AL39">
    <cfRule type="cellIs" dxfId="28337" priority="91118" stopIfTrue="1" operator="greaterThanOrEqual">
      <formula>0.5</formula>
    </cfRule>
  </conditionalFormatting>
  <conditionalFormatting sqref="AL40">
    <cfRule type="cellIs" dxfId="28336" priority="91119" stopIfTrue="1" operator="equal">
      <formula>-1</formula>
    </cfRule>
  </conditionalFormatting>
  <conditionalFormatting sqref="AL40">
    <cfRule type="cellIs" dxfId="28335" priority="91120" stopIfTrue="1" operator="lessThan">
      <formula>0.5</formula>
    </cfRule>
  </conditionalFormatting>
  <conditionalFormatting sqref="AL40">
    <cfRule type="cellIs" dxfId="28334" priority="91121" stopIfTrue="1" operator="greaterThanOrEqual">
      <formula>0.5</formula>
    </cfRule>
  </conditionalFormatting>
  <conditionalFormatting sqref="AL41">
    <cfRule type="cellIs" dxfId="28333" priority="91122" stopIfTrue="1" operator="equal">
      <formula>-1</formula>
    </cfRule>
  </conditionalFormatting>
  <conditionalFormatting sqref="AL41">
    <cfRule type="cellIs" dxfId="28332" priority="91123" stopIfTrue="1" operator="lessThan">
      <formula>0.5</formula>
    </cfRule>
  </conditionalFormatting>
  <conditionalFormatting sqref="AL41">
    <cfRule type="cellIs" dxfId="28331" priority="91124" stopIfTrue="1" operator="greaterThanOrEqual">
      <formula>0.5</formula>
    </cfRule>
  </conditionalFormatting>
  <conditionalFormatting sqref="AL42">
    <cfRule type="cellIs" dxfId="28330" priority="91125" stopIfTrue="1" operator="equal">
      <formula>-1</formula>
    </cfRule>
  </conditionalFormatting>
  <conditionalFormatting sqref="AL42">
    <cfRule type="cellIs" dxfId="28329" priority="91126" stopIfTrue="1" operator="lessThan">
      <formula>0.5</formula>
    </cfRule>
  </conditionalFormatting>
  <conditionalFormatting sqref="AL42">
    <cfRule type="cellIs" dxfId="28328" priority="91127" stopIfTrue="1" operator="greaterThanOrEqual">
      <formula>0.5</formula>
    </cfRule>
  </conditionalFormatting>
  <conditionalFormatting sqref="AL43">
    <cfRule type="cellIs" dxfId="28327" priority="91128" stopIfTrue="1" operator="equal">
      <formula>-1</formula>
    </cfRule>
  </conditionalFormatting>
  <conditionalFormatting sqref="AL43">
    <cfRule type="cellIs" dxfId="28326" priority="91129" stopIfTrue="1" operator="lessThan">
      <formula>0.5</formula>
    </cfRule>
  </conditionalFormatting>
  <conditionalFormatting sqref="AL43">
    <cfRule type="cellIs" dxfId="28325" priority="91130" stopIfTrue="1" operator="greaterThanOrEqual">
      <formula>0.5</formula>
    </cfRule>
  </conditionalFormatting>
  <conditionalFormatting sqref="AL44">
    <cfRule type="cellIs" dxfId="28324" priority="91131" stopIfTrue="1" operator="equal">
      <formula>-1</formula>
    </cfRule>
  </conditionalFormatting>
  <conditionalFormatting sqref="AL44">
    <cfRule type="cellIs" dxfId="28323" priority="91132" stopIfTrue="1" operator="lessThan">
      <formula>0.5</formula>
    </cfRule>
  </conditionalFormatting>
  <conditionalFormatting sqref="AL44">
    <cfRule type="cellIs" dxfId="28322" priority="91133" stopIfTrue="1" operator="greaterThanOrEqual">
      <formula>0.5</formula>
    </cfRule>
  </conditionalFormatting>
  <conditionalFormatting sqref="AL45">
    <cfRule type="cellIs" dxfId="28321" priority="91134" stopIfTrue="1" operator="equal">
      <formula>-1</formula>
    </cfRule>
  </conditionalFormatting>
  <conditionalFormatting sqref="AL45">
    <cfRule type="cellIs" dxfId="28320" priority="91135" stopIfTrue="1" operator="lessThan">
      <formula>0.5</formula>
    </cfRule>
  </conditionalFormatting>
  <conditionalFormatting sqref="AL45">
    <cfRule type="cellIs" dxfId="28319" priority="91136" stopIfTrue="1" operator="greaterThanOrEqual">
      <formula>0.5</formula>
    </cfRule>
  </conditionalFormatting>
  <conditionalFormatting sqref="AL46">
    <cfRule type="cellIs" dxfId="28318" priority="91137" stopIfTrue="1" operator="equal">
      <formula>-1</formula>
    </cfRule>
  </conditionalFormatting>
  <conditionalFormatting sqref="AL46">
    <cfRule type="cellIs" dxfId="28317" priority="91138" stopIfTrue="1" operator="lessThan">
      <formula>0.5</formula>
    </cfRule>
  </conditionalFormatting>
  <conditionalFormatting sqref="AL46">
    <cfRule type="cellIs" dxfId="28316" priority="91139" stopIfTrue="1" operator="greaterThanOrEqual">
      <formula>0.5</formula>
    </cfRule>
  </conditionalFormatting>
  <conditionalFormatting sqref="AL47">
    <cfRule type="cellIs" dxfId="28315" priority="91140" stopIfTrue="1" operator="equal">
      <formula>-1</formula>
    </cfRule>
  </conditionalFormatting>
  <conditionalFormatting sqref="AL47">
    <cfRule type="cellIs" dxfId="28314" priority="91141" stopIfTrue="1" operator="lessThan">
      <formula>0.5</formula>
    </cfRule>
  </conditionalFormatting>
  <conditionalFormatting sqref="AL47">
    <cfRule type="cellIs" dxfId="28313" priority="91142" stopIfTrue="1" operator="greaterThanOrEqual">
      <formula>0.5</formula>
    </cfRule>
  </conditionalFormatting>
  <conditionalFormatting sqref="AL48">
    <cfRule type="cellIs" dxfId="28312" priority="91143" stopIfTrue="1" operator="equal">
      <formula>-1</formula>
    </cfRule>
  </conditionalFormatting>
  <conditionalFormatting sqref="AL48">
    <cfRule type="cellIs" dxfId="28311" priority="91144" stopIfTrue="1" operator="lessThan">
      <formula>0.5</formula>
    </cfRule>
  </conditionalFormatting>
  <conditionalFormatting sqref="AL48">
    <cfRule type="cellIs" dxfId="28310" priority="91145" stopIfTrue="1" operator="greaterThanOrEqual">
      <formula>0.5</formula>
    </cfRule>
  </conditionalFormatting>
  <conditionalFormatting sqref="AL49">
    <cfRule type="cellIs" dxfId="28309" priority="91146" stopIfTrue="1" operator="equal">
      <formula>-1</formula>
    </cfRule>
  </conditionalFormatting>
  <conditionalFormatting sqref="AL49">
    <cfRule type="cellIs" dxfId="28308" priority="91147" stopIfTrue="1" operator="lessThan">
      <formula>0.5</formula>
    </cfRule>
  </conditionalFormatting>
  <conditionalFormatting sqref="AL49">
    <cfRule type="cellIs" dxfId="28307" priority="91148" stopIfTrue="1" operator="greaterThanOrEqual">
      <formula>0.5</formula>
    </cfRule>
  </conditionalFormatting>
  <conditionalFormatting sqref="AL50">
    <cfRule type="cellIs" dxfId="28306" priority="91149" stopIfTrue="1" operator="equal">
      <formula>-1</formula>
    </cfRule>
  </conditionalFormatting>
  <conditionalFormatting sqref="AL50">
    <cfRule type="cellIs" dxfId="28305" priority="91150" stopIfTrue="1" operator="lessThan">
      <formula>0.5</formula>
    </cfRule>
  </conditionalFormatting>
  <conditionalFormatting sqref="AL50">
    <cfRule type="cellIs" dxfId="28304" priority="91151" stopIfTrue="1" operator="greaterThanOrEqual">
      <formula>0.5</formula>
    </cfRule>
  </conditionalFormatting>
  <conditionalFormatting sqref="AL51">
    <cfRule type="cellIs" dxfId="28303" priority="91152" stopIfTrue="1" operator="equal">
      <formula>-1</formula>
    </cfRule>
  </conditionalFormatting>
  <conditionalFormatting sqref="AL51">
    <cfRule type="cellIs" dxfId="28302" priority="91153" stopIfTrue="1" operator="lessThan">
      <formula>0.5</formula>
    </cfRule>
  </conditionalFormatting>
  <conditionalFormatting sqref="AL51">
    <cfRule type="cellIs" dxfId="28301" priority="91154" stopIfTrue="1" operator="greaterThanOrEqual">
      <formula>0.5</formula>
    </cfRule>
  </conditionalFormatting>
  <conditionalFormatting sqref="AL52">
    <cfRule type="cellIs" dxfId="28300" priority="91155" stopIfTrue="1" operator="equal">
      <formula>-1</formula>
    </cfRule>
  </conditionalFormatting>
  <conditionalFormatting sqref="AL52">
    <cfRule type="cellIs" dxfId="28299" priority="91156" stopIfTrue="1" operator="lessThan">
      <formula>0.5</formula>
    </cfRule>
  </conditionalFormatting>
  <conditionalFormatting sqref="AL52">
    <cfRule type="cellIs" dxfId="28298" priority="91157" stopIfTrue="1" operator="greaterThanOrEqual">
      <formula>0.5</formula>
    </cfRule>
  </conditionalFormatting>
  <conditionalFormatting sqref="AL53">
    <cfRule type="cellIs" dxfId="28297" priority="91158" stopIfTrue="1" operator="equal">
      <formula>-1</formula>
    </cfRule>
  </conditionalFormatting>
  <conditionalFormatting sqref="AL53">
    <cfRule type="cellIs" dxfId="28296" priority="91159" stopIfTrue="1" operator="lessThan">
      <formula>0.5</formula>
    </cfRule>
  </conditionalFormatting>
  <conditionalFormatting sqref="AL53">
    <cfRule type="cellIs" dxfId="28295" priority="91160" stopIfTrue="1" operator="greaterThanOrEqual">
      <formula>0.5</formula>
    </cfRule>
  </conditionalFormatting>
  <conditionalFormatting sqref="AL54">
    <cfRule type="cellIs" dxfId="28294" priority="91161" stopIfTrue="1" operator="equal">
      <formula>-1</formula>
    </cfRule>
  </conditionalFormatting>
  <conditionalFormatting sqref="AL54">
    <cfRule type="cellIs" dxfId="28293" priority="91162" stopIfTrue="1" operator="lessThan">
      <formula>0.5</formula>
    </cfRule>
  </conditionalFormatting>
  <conditionalFormatting sqref="AL54">
    <cfRule type="cellIs" dxfId="28292" priority="91163" stopIfTrue="1" operator="greaterThanOrEqual">
      <formula>0.5</formula>
    </cfRule>
  </conditionalFormatting>
  <conditionalFormatting sqref="AL55">
    <cfRule type="cellIs" dxfId="28291" priority="91164" stopIfTrue="1" operator="equal">
      <formula>-1</formula>
    </cfRule>
  </conditionalFormatting>
  <conditionalFormatting sqref="AL55">
    <cfRule type="cellIs" dxfId="28290" priority="91165" stopIfTrue="1" operator="lessThan">
      <formula>0.5</formula>
    </cfRule>
  </conditionalFormatting>
  <conditionalFormatting sqref="AL55">
    <cfRule type="cellIs" dxfId="28289" priority="91166" stopIfTrue="1" operator="greaterThanOrEqual">
      <formula>0.5</formula>
    </cfRule>
  </conditionalFormatting>
  <conditionalFormatting sqref="AL56">
    <cfRule type="cellIs" dxfId="28288" priority="91167" stopIfTrue="1" operator="equal">
      <formula>-1</formula>
    </cfRule>
  </conditionalFormatting>
  <conditionalFormatting sqref="AL56">
    <cfRule type="cellIs" dxfId="28287" priority="91168" stopIfTrue="1" operator="lessThan">
      <formula>0.5</formula>
    </cfRule>
  </conditionalFormatting>
  <conditionalFormatting sqref="AL56">
    <cfRule type="cellIs" dxfId="28286" priority="91169" stopIfTrue="1" operator="greaterThanOrEqual">
      <formula>0.5</formula>
    </cfRule>
  </conditionalFormatting>
  <conditionalFormatting sqref="AL57">
    <cfRule type="cellIs" dxfId="28285" priority="91170" stopIfTrue="1" operator="equal">
      <formula>-1</formula>
    </cfRule>
  </conditionalFormatting>
  <conditionalFormatting sqref="AL57">
    <cfRule type="cellIs" dxfId="28284" priority="91171" stopIfTrue="1" operator="lessThan">
      <formula>0.5</formula>
    </cfRule>
  </conditionalFormatting>
  <conditionalFormatting sqref="AL57">
    <cfRule type="cellIs" dxfId="28283" priority="91172" stopIfTrue="1" operator="greaterThanOrEqual">
      <formula>0.5</formula>
    </cfRule>
  </conditionalFormatting>
  <conditionalFormatting sqref="AL58">
    <cfRule type="cellIs" dxfId="28282" priority="91173" stopIfTrue="1" operator="equal">
      <formula>-1</formula>
    </cfRule>
  </conditionalFormatting>
  <conditionalFormatting sqref="AL58">
    <cfRule type="cellIs" dxfId="28281" priority="91174" stopIfTrue="1" operator="lessThan">
      <formula>0.5</formula>
    </cfRule>
  </conditionalFormatting>
  <conditionalFormatting sqref="AL58">
    <cfRule type="cellIs" dxfId="28280" priority="91175" stopIfTrue="1" operator="greaterThanOrEqual">
      <formula>0.5</formula>
    </cfRule>
  </conditionalFormatting>
  <conditionalFormatting sqref="AN39">
    <cfRule type="cellIs" dxfId="28279" priority="91176" stopIfTrue="1" operator="equal">
      <formula>-1</formula>
    </cfRule>
  </conditionalFormatting>
  <conditionalFormatting sqref="AN39">
    <cfRule type="cellIs" dxfId="28278" priority="91177" stopIfTrue="1" operator="lessThan">
      <formula>0.5</formula>
    </cfRule>
  </conditionalFormatting>
  <conditionalFormatting sqref="AN39">
    <cfRule type="cellIs" dxfId="28277" priority="91178" stopIfTrue="1" operator="greaterThanOrEqual">
      <formula>0.5</formula>
    </cfRule>
  </conditionalFormatting>
  <conditionalFormatting sqref="AN40">
    <cfRule type="cellIs" dxfId="28276" priority="91179" stopIfTrue="1" operator="equal">
      <formula>-1</formula>
    </cfRule>
  </conditionalFormatting>
  <conditionalFormatting sqref="AN40">
    <cfRule type="cellIs" dxfId="28275" priority="91180" stopIfTrue="1" operator="lessThan">
      <formula>0.5</formula>
    </cfRule>
  </conditionalFormatting>
  <conditionalFormatting sqref="AN40">
    <cfRule type="cellIs" dxfId="28274" priority="91181" stopIfTrue="1" operator="greaterThanOrEqual">
      <formula>0.5</formula>
    </cfRule>
  </conditionalFormatting>
  <conditionalFormatting sqref="AN41">
    <cfRule type="cellIs" dxfId="28273" priority="91182" stopIfTrue="1" operator="equal">
      <formula>-1</formula>
    </cfRule>
  </conditionalFormatting>
  <conditionalFormatting sqref="AN41">
    <cfRule type="cellIs" dxfId="28272" priority="91183" stopIfTrue="1" operator="lessThan">
      <formula>0.5</formula>
    </cfRule>
  </conditionalFormatting>
  <conditionalFormatting sqref="AN41">
    <cfRule type="cellIs" dxfId="28271" priority="91184" stopIfTrue="1" operator="greaterThanOrEqual">
      <formula>0.5</formula>
    </cfRule>
  </conditionalFormatting>
  <conditionalFormatting sqref="AN42">
    <cfRule type="cellIs" dxfId="28270" priority="91185" stopIfTrue="1" operator="equal">
      <formula>-1</formula>
    </cfRule>
  </conditionalFormatting>
  <conditionalFormatting sqref="AN42">
    <cfRule type="cellIs" dxfId="28269" priority="91186" stopIfTrue="1" operator="lessThan">
      <formula>0.5</formula>
    </cfRule>
  </conditionalFormatting>
  <conditionalFormatting sqref="AN42">
    <cfRule type="cellIs" dxfId="28268" priority="91187" stopIfTrue="1" operator="greaterThanOrEqual">
      <formula>0.5</formula>
    </cfRule>
  </conditionalFormatting>
  <conditionalFormatting sqref="AN43">
    <cfRule type="cellIs" dxfId="28267" priority="91188" stopIfTrue="1" operator="equal">
      <formula>-1</formula>
    </cfRule>
  </conditionalFormatting>
  <conditionalFormatting sqref="AN43">
    <cfRule type="cellIs" dxfId="28266" priority="91189" stopIfTrue="1" operator="lessThan">
      <formula>0.5</formula>
    </cfRule>
  </conditionalFormatting>
  <conditionalFormatting sqref="AN43">
    <cfRule type="cellIs" dxfId="28265" priority="91190" stopIfTrue="1" operator="greaterThanOrEqual">
      <formula>0.5</formula>
    </cfRule>
  </conditionalFormatting>
  <conditionalFormatting sqref="AN44">
    <cfRule type="cellIs" dxfId="28264" priority="91191" stopIfTrue="1" operator="equal">
      <formula>-1</formula>
    </cfRule>
  </conditionalFormatting>
  <conditionalFormatting sqref="AN44">
    <cfRule type="cellIs" dxfId="28263" priority="91192" stopIfTrue="1" operator="lessThan">
      <formula>0.5</formula>
    </cfRule>
  </conditionalFormatting>
  <conditionalFormatting sqref="AN44">
    <cfRule type="cellIs" dxfId="28262" priority="91193" stopIfTrue="1" operator="greaterThanOrEqual">
      <formula>0.5</formula>
    </cfRule>
  </conditionalFormatting>
  <conditionalFormatting sqref="AN45">
    <cfRule type="cellIs" dxfId="28261" priority="91194" stopIfTrue="1" operator="equal">
      <formula>-1</formula>
    </cfRule>
  </conditionalFormatting>
  <conditionalFormatting sqref="AN45">
    <cfRule type="cellIs" dxfId="28260" priority="91195" stopIfTrue="1" operator="lessThan">
      <formula>0.5</formula>
    </cfRule>
  </conditionalFormatting>
  <conditionalFormatting sqref="AN45">
    <cfRule type="cellIs" dxfId="28259" priority="91196" stopIfTrue="1" operator="greaterThanOrEqual">
      <formula>0.5</formula>
    </cfRule>
  </conditionalFormatting>
  <conditionalFormatting sqref="AN46">
    <cfRule type="cellIs" dxfId="28258" priority="91197" stopIfTrue="1" operator="equal">
      <formula>-1</formula>
    </cfRule>
  </conditionalFormatting>
  <conditionalFormatting sqref="AN46">
    <cfRule type="cellIs" dxfId="28257" priority="91198" stopIfTrue="1" operator="lessThan">
      <formula>0.5</formula>
    </cfRule>
  </conditionalFormatting>
  <conditionalFormatting sqref="AN46">
    <cfRule type="cellIs" dxfId="28256" priority="91199" stopIfTrue="1" operator="greaterThanOrEqual">
      <formula>0.5</formula>
    </cfRule>
  </conditionalFormatting>
  <conditionalFormatting sqref="AN47">
    <cfRule type="cellIs" dxfId="28255" priority="91200" stopIfTrue="1" operator="equal">
      <formula>-1</formula>
    </cfRule>
  </conditionalFormatting>
  <conditionalFormatting sqref="AN47">
    <cfRule type="cellIs" dxfId="28254" priority="91201" stopIfTrue="1" operator="lessThan">
      <formula>0.5</formula>
    </cfRule>
  </conditionalFormatting>
  <conditionalFormatting sqref="AN47">
    <cfRule type="cellIs" dxfId="28253" priority="91202" stopIfTrue="1" operator="greaterThanOrEqual">
      <formula>0.5</formula>
    </cfRule>
  </conditionalFormatting>
  <conditionalFormatting sqref="AN48">
    <cfRule type="cellIs" dxfId="28252" priority="91203" stopIfTrue="1" operator="equal">
      <formula>-1</formula>
    </cfRule>
  </conditionalFormatting>
  <conditionalFormatting sqref="AN48">
    <cfRule type="cellIs" dxfId="28251" priority="91204" stopIfTrue="1" operator="lessThan">
      <formula>0.5</formula>
    </cfRule>
  </conditionalFormatting>
  <conditionalFormatting sqref="AN48">
    <cfRule type="cellIs" dxfId="28250" priority="91205" stopIfTrue="1" operator="greaterThanOrEqual">
      <formula>0.5</formula>
    </cfRule>
  </conditionalFormatting>
  <conditionalFormatting sqref="AN49">
    <cfRule type="cellIs" dxfId="28249" priority="91206" stopIfTrue="1" operator="equal">
      <formula>-1</formula>
    </cfRule>
  </conditionalFormatting>
  <conditionalFormatting sqref="AN49">
    <cfRule type="cellIs" dxfId="28248" priority="91207" stopIfTrue="1" operator="lessThan">
      <formula>0.5</formula>
    </cfRule>
  </conditionalFormatting>
  <conditionalFormatting sqref="AN49">
    <cfRule type="cellIs" dxfId="28247" priority="91208" stopIfTrue="1" operator="greaterThanOrEqual">
      <formula>0.5</formula>
    </cfRule>
  </conditionalFormatting>
  <conditionalFormatting sqref="AN50">
    <cfRule type="cellIs" dxfId="28246" priority="91209" stopIfTrue="1" operator="equal">
      <formula>-1</formula>
    </cfRule>
  </conditionalFormatting>
  <conditionalFormatting sqref="AN50">
    <cfRule type="cellIs" dxfId="28245" priority="91210" stopIfTrue="1" operator="lessThan">
      <formula>0.5</formula>
    </cfRule>
  </conditionalFormatting>
  <conditionalFormatting sqref="AN50">
    <cfRule type="cellIs" dxfId="28244" priority="91211" stopIfTrue="1" operator="greaterThanOrEqual">
      <formula>0.5</formula>
    </cfRule>
  </conditionalFormatting>
  <conditionalFormatting sqref="AN51">
    <cfRule type="cellIs" dxfId="28243" priority="91212" stopIfTrue="1" operator="equal">
      <formula>-1</formula>
    </cfRule>
  </conditionalFormatting>
  <conditionalFormatting sqref="AN51">
    <cfRule type="cellIs" dxfId="28242" priority="91213" stopIfTrue="1" operator="lessThan">
      <formula>0.5</formula>
    </cfRule>
  </conditionalFormatting>
  <conditionalFormatting sqref="AN51">
    <cfRule type="cellIs" dxfId="28241" priority="91214" stopIfTrue="1" operator="greaterThanOrEqual">
      <formula>0.5</formula>
    </cfRule>
  </conditionalFormatting>
  <conditionalFormatting sqref="AN52">
    <cfRule type="cellIs" dxfId="28240" priority="91215" stopIfTrue="1" operator="equal">
      <formula>-1</formula>
    </cfRule>
  </conditionalFormatting>
  <conditionalFormatting sqref="AN52">
    <cfRule type="cellIs" dxfId="28239" priority="91216" stopIfTrue="1" operator="lessThan">
      <formula>0.5</formula>
    </cfRule>
  </conditionalFormatting>
  <conditionalFormatting sqref="AN52">
    <cfRule type="cellIs" dxfId="28238" priority="91217" stopIfTrue="1" operator="greaterThanOrEqual">
      <formula>0.5</formula>
    </cfRule>
  </conditionalFormatting>
  <conditionalFormatting sqref="AN53">
    <cfRule type="cellIs" dxfId="28237" priority="91218" stopIfTrue="1" operator="equal">
      <formula>-1</formula>
    </cfRule>
  </conditionalFormatting>
  <conditionalFormatting sqref="AN53">
    <cfRule type="cellIs" dxfId="28236" priority="91219" stopIfTrue="1" operator="lessThan">
      <formula>0.5</formula>
    </cfRule>
  </conditionalFormatting>
  <conditionalFormatting sqref="AN53">
    <cfRule type="cellIs" dxfId="28235" priority="91220" stopIfTrue="1" operator="greaterThanOrEqual">
      <formula>0.5</formula>
    </cfRule>
  </conditionalFormatting>
  <conditionalFormatting sqref="AN54">
    <cfRule type="cellIs" dxfId="28234" priority="91221" stopIfTrue="1" operator="equal">
      <formula>-1</formula>
    </cfRule>
  </conditionalFormatting>
  <conditionalFormatting sqref="AN54">
    <cfRule type="cellIs" dxfId="28233" priority="91222" stopIfTrue="1" operator="lessThan">
      <formula>0.5</formula>
    </cfRule>
  </conditionalFormatting>
  <conditionalFormatting sqref="AN54">
    <cfRule type="cellIs" dxfId="28232" priority="91223" stopIfTrue="1" operator="greaterThanOrEqual">
      <formula>0.5</formula>
    </cfRule>
  </conditionalFormatting>
  <conditionalFormatting sqref="AN55">
    <cfRule type="cellIs" dxfId="28231" priority="91224" stopIfTrue="1" operator="equal">
      <formula>-1</formula>
    </cfRule>
  </conditionalFormatting>
  <conditionalFormatting sqref="AN55">
    <cfRule type="cellIs" dxfId="28230" priority="91225" stopIfTrue="1" operator="lessThan">
      <formula>0.5</formula>
    </cfRule>
  </conditionalFormatting>
  <conditionalFormatting sqref="AN55">
    <cfRule type="cellIs" dxfId="28229" priority="91226" stopIfTrue="1" operator="greaterThanOrEqual">
      <formula>0.5</formula>
    </cfRule>
  </conditionalFormatting>
  <conditionalFormatting sqref="AN56">
    <cfRule type="cellIs" dxfId="28228" priority="91227" stopIfTrue="1" operator="equal">
      <formula>-1</formula>
    </cfRule>
  </conditionalFormatting>
  <conditionalFormatting sqref="AN56">
    <cfRule type="cellIs" dxfId="28227" priority="91228" stopIfTrue="1" operator="lessThan">
      <formula>0.5</formula>
    </cfRule>
  </conditionalFormatting>
  <conditionalFormatting sqref="AN56">
    <cfRule type="cellIs" dxfId="28226" priority="91229" stopIfTrue="1" operator="greaterThanOrEqual">
      <formula>0.5</formula>
    </cfRule>
  </conditionalFormatting>
  <conditionalFormatting sqref="AN57">
    <cfRule type="cellIs" dxfId="28225" priority="91230" stopIfTrue="1" operator="equal">
      <formula>-1</formula>
    </cfRule>
  </conditionalFormatting>
  <conditionalFormatting sqref="AN57">
    <cfRule type="cellIs" dxfId="28224" priority="91231" stopIfTrue="1" operator="lessThan">
      <formula>0.5</formula>
    </cfRule>
  </conditionalFormatting>
  <conditionalFormatting sqref="AN57">
    <cfRule type="cellIs" dxfId="28223" priority="91232" stopIfTrue="1" operator="greaterThanOrEqual">
      <formula>0.5</formula>
    </cfRule>
  </conditionalFormatting>
  <conditionalFormatting sqref="AN58">
    <cfRule type="cellIs" dxfId="28222" priority="91233" stopIfTrue="1" operator="equal">
      <formula>-1</formula>
    </cfRule>
  </conditionalFormatting>
  <conditionalFormatting sqref="AN58">
    <cfRule type="cellIs" dxfId="28221" priority="91234" stopIfTrue="1" operator="lessThan">
      <formula>0.5</formula>
    </cfRule>
  </conditionalFormatting>
  <conditionalFormatting sqref="AN58">
    <cfRule type="cellIs" dxfId="28220" priority="91235" stopIfTrue="1" operator="greaterThanOrEqual">
      <formula>0.5</formula>
    </cfRule>
  </conditionalFormatting>
  <conditionalFormatting sqref="AP39">
    <cfRule type="cellIs" dxfId="28219" priority="91236" stopIfTrue="1" operator="equal">
      <formula>-1</formula>
    </cfRule>
  </conditionalFormatting>
  <conditionalFormatting sqref="AP39">
    <cfRule type="cellIs" dxfId="28218" priority="91237" stopIfTrue="1" operator="lessThan">
      <formula>0.5</formula>
    </cfRule>
  </conditionalFormatting>
  <conditionalFormatting sqref="AP39">
    <cfRule type="cellIs" dxfId="28217" priority="91238" stopIfTrue="1" operator="greaterThanOrEqual">
      <formula>0.5</formula>
    </cfRule>
  </conditionalFormatting>
  <conditionalFormatting sqref="AP40">
    <cfRule type="cellIs" dxfId="28216" priority="91239" stopIfTrue="1" operator="equal">
      <formula>-1</formula>
    </cfRule>
  </conditionalFormatting>
  <conditionalFormatting sqref="AP40">
    <cfRule type="cellIs" dxfId="28215" priority="91240" stopIfTrue="1" operator="lessThan">
      <formula>0.5</formula>
    </cfRule>
  </conditionalFormatting>
  <conditionalFormatting sqref="AP40">
    <cfRule type="cellIs" dxfId="28214" priority="91241" stopIfTrue="1" operator="greaterThanOrEqual">
      <formula>0.5</formula>
    </cfRule>
  </conditionalFormatting>
  <conditionalFormatting sqref="AP41">
    <cfRule type="cellIs" dxfId="28213" priority="91242" stopIfTrue="1" operator="equal">
      <formula>-1</formula>
    </cfRule>
  </conditionalFormatting>
  <conditionalFormatting sqref="AP41">
    <cfRule type="cellIs" dxfId="28212" priority="91243" stopIfTrue="1" operator="lessThan">
      <formula>0.5</formula>
    </cfRule>
  </conditionalFormatting>
  <conditionalFormatting sqref="AP41">
    <cfRule type="cellIs" dxfId="28211" priority="91244" stopIfTrue="1" operator="greaterThanOrEqual">
      <formula>0.5</formula>
    </cfRule>
  </conditionalFormatting>
  <conditionalFormatting sqref="AP42">
    <cfRule type="cellIs" dxfId="28210" priority="91245" stopIfTrue="1" operator="equal">
      <formula>-1</formula>
    </cfRule>
  </conditionalFormatting>
  <conditionalFormatting sqref="AP42">
    <cfRule type="cellIs" dxfId="28209" priority="91246" stopIfTrue="1" operator="lessThan">
      <formula>0.5</formula>
    </cfRule>
  </conditionalFormatting>
  <conditionalFormatting sqref="AP42">
    <cfRule type="cellIs" dxfId="28208" priority="91247" stopIfTrue="1" operator="greaterThanOrEqual">
      <formula>0.5</formula>
    </cfRule>
  </conditionalFormatting>
  <conditionalFormatting sqref="AP43">
    <cfRule type="cellIs" dxfId="28207" priority="91248" stopIfTrue="1" operator="equal">
      <formula>-1</formula>
    </cfRule>
  </conditionalFormatting>
  <conditionalFormatting sqref="AP43">
    <cfRule type="cellIs" dxfId="28206" priority="91249" stopIfTrue="1" operator="lessThan">
      <formula>0.5</formula>
    </cfRule>
  </conditionalFormatting>
  <conditionalFormatting sqref="AP43">
    <cfRule type="cellIs" dxfId="28205" priority="91250" stopIfTrue="1" operator="greaterThanOrEqual">
      <formula>0.5</formula>
    </cfRule>
  </conditionalFormatting>
  <conditionalFormatting sqref="AP44">
    <cfRule type="cellIs" dxfId="28204" priority="91251" stopIfTrue="1" operator="equal">
      <formula>-1</formula>
    </cfRule>
  </conditionalFormatting>
  <conditionalFormatting sqref="AP44">
    <cfRule type="cellIs" dxfId="28203" priority="91252" stopIfTrue="1" operator="lessThan">
      <formula>0.5</formula>
    </cfRule>
  </conditionalFormatting>
  <conditionalFormatting sqref="AP44">
    <cfRule type="cellIs" dxfId="28202" priority="91253" stopIfTrue="1" operator="greaterThanOrEqual">
      <formula>0.5</formula>
    </cfRule>
  </conditionalFormatting>
  <conditionalFormatting sqref="AP45">
    <cfRule type="cellIs" dxfId="28201" priority="91254" stopIfTrue="1" operator="equal">
      <formula>-1</formula>
    </cfRule>
  </conditionalFormatting>
  <conditionalFormatting sqref="AP45">
    <cfRule type="cellIs" dxfId="28200" priority="91255" stopIfTrue="1" operator="lessThan">
      <formula>0.5</formula>
    </cfRule>
  </conditionalFormatting>
  <conditionalFormatting sqref="AP45">
    <cfRule type="cellIs" dxfId="28199" priority="91256" stopIfTrue="1" operator="greaterThanOrEqual">
      <formula>0.5</formula>
    </cfRule>
  </conditionalFormatting>
  <conditionalFormatting sqref="AP46">
    <cfRule type="cellIs" dxfId="28198" priority="91257" stopIfTrue="1" operator="equal">
      <formula>-1</formula>
    </cfRule>
  </conditionalFormatting>
  <conditionalFormatting sqref="AP46">
    <cfRule type="cellIs" dxfId="28197" priority="91258" stopIfTrue="1" operator="lessThan">
      <formula>0.5</formula>
    </cfRule>
  </conditionalFormatting>
  <conditionalFormatting sqref="AP46">
    <cfRule type="cellIs" dxfId="28196" priority="91259" stopIfTrue="1" operator="greaterThanOrEqual">
      <formula>0.5</formula>
    </cfRule>
  </conditionalFormatting>
  <conditionalFormatting sqref="AP47">
    <cfRule type="cellIs" dxfId="28195" priority="91260" stopIfTrue="1" operator="equal">
      <formula>-1</formula>
    </cfRule>
  </conditionalFormatting>
  <conditionalFormatting sqref="AP47">
    <cfRule type="cellIs" dxfId="28194" priority="91261" stopIfTrue="1" operator="lessThan">
      <formula>0.5</formula>
    </cfRule>
  </conditionalFormatting>
  <conditionalFormatting sqref="AP47">
    <cfRule type="cellIs" dxfId="28193" priority="91262" stopIfTrue="1" operator="greaterThanOrEqual">
      <formula>0.5</formula>
    </cfRule>
  </conditionalFormatting>
  <conditionalFormatting sqref="AP48">
    <cfRule type="cellIs" dxfId="28192" priority="91263" stopIfTrue="1" operator="equal">
      <formula>-1</formula>
    </cfRule>
  </conditionalFormatting>
  <conditionalFormatting sqref="AP48">
    <cfRule type="cellIs" dxfId="28191" priority="91264" stopIfTrue="1" operator="lessThan">
      <formula>0.5</formula>
    </cfRule>
  </conditionalFormatting>
  <conditionalFormatting sqref="AP48">
    <cfRule type="cellIs" dxfId="28190" priority="91265" stopIfTrue="1" operator="greaterThanOrEqual">
      <formula>0.5</formula>
    </cfRule>
  </conditionalFormatting>
  <conditionalFormatting sqref="AP49">
    <cfRule type="cellIs" dxfId="28189" priority="91266" stopIfTrue="1" operator="equal">
      <formula>-1</formula>
    </cfRule>
  </conditionalFormatting>
  <conditionalFormatting sqref="AP49">
    <cfRule type="cellIs" dxfId="28188" priority="91267" stopIfTrue="1" operator="lessThan">
      <formula>0.5</formula>
    </cfRule>
  </conditionalFormatting>
  <conditionalFormatting sqref="AP49">
    <cfRule type="cellIs" dxfId="28187" priority="91268" stopIfTrue="1" operator="greaterThanOrEqual">
      <formula>0.5</formula>
    </cfRule>
  </conditionalFormatting>
  <conditionalFormatting sqref="AP50">
    <cfRule type="cellIs" dxfId="28186" priority="91269" stopIfTrue="1" operator="equal">
      <formula>-1</formula>
    </cfRule>
  </conditionalFormatting>
  <conditionalFormatting sqref="AP50">
    <cfRule type="cellIs" dxfId="28185" priority="91270" stopIfTrue="1" operator="lessThan">
      <formula>0.5</formula>
    </cfRule>
  </conditionalFormatting>
  <conditionalFormatting sqref="AP50">
    <cfRule type="cellIs" dxfId="28184" priority="91271" stopIfTrue="1" operator="greaterThanOrEqual">
      <formula>0.5</formula>
    </cfRule>
  </conditionalFormatting>
  <conditionalFormatting sqref="AP51">
    <cfRule type="cellIs" dxfId="28183" priority="91272" stopIfTrue="1" operator="equal">
      <formula>-1</formula>
    </cfRule>
  </conditionalFormatting>
  <conditionalFormatting sqref="AP51">
    <cfRule type="cellIs" dxfId="28182" priority="91273" stopIfTrue="1" operator="lessThan">
      <formula>0.5</formula>
    </cfRule>
  </conditionalFormatting>
  <conditionalFormatting sqref="AP51">
    <cfRule type="cellIs" dxfId="28181" priority="91274" stopIfTrue="1" operator="greaterThanOrEqual">
      <formula>0.5</formula>
    </cfRule>
  </conditionalFormatting>
  <conditionalFormatting sqref="AP52">
    <cfRule type="cellIs" dxfId="28180" priority="91275" stopIfTrue="1" operator="equal">
      <formula>-1</formula>
    </cfRule>
  </conditionalFormatting>
  <conditionalFormatting sqref="AP52">
    <cfRule type="cellIs" dxfId="28179" priority="91276" stopIfTrue="1" operator="lessThan">
      <formula>0.5</formula>
    </cfRule>
  </conditionalFormatting>
  <conditionalFormatting sqref="AP52">
    <cfRule type="cellIs" dxfId="28178" priority="91277" stopIfTrue="1" operator="greaterThanOrEqual">
      <formula>0.5</formula>
    </cfRule>
  </conditionalFormatting>
  <conditionalFormatting sqref="AP53">
    <cfRule type="cellIs" dxfId="28177" priority="91278" stopIfTrue="1" operator="equal">
      <formula>-1</formula>
    </cfRule>
  </conditionalFormatting>
  <conditionalFormatting sqref="AP53">
    <cfRule type="cellIs" dxfId="28176" priority="91279" stopIfTrue="1" operator="lessThan">
      <formula>0.5</formula>
    </cfRule>
  </conditionalFormatting>
  <conditionalFormatting sqref="AP53">
    <cfRule type="cellIs" dxfId="28175" priority="91280" stopIfTrue="1" operator="greaterThanOrEqual">
      <formula>0.5</formula>
    </cfRule>
  </conditionalFormatting>
  <conditionalFormatting sqref="AP54">
    <cfRule type="cellIs" dxfId="28174" priority="91281" stopIfTrue="1" operator="equal">
      <formula>-1</formula>
    </cfRule>
  </conditionalFormatting>
  <conditionalFormatting sqref="AP54">
    <cfRule type="cellIs" dxfId="28173" priority="91282" stopIfTrue="1" operator="lessThan">
      <formula>0.5</formula>
    </cfRule>
  </conditionalFormatting>
  <conditionalFormatting sqref="AP54">
    <cfRule type="cellIs" dxfId="28172" priority="91283" stopIfTrue="1" operator="greaterThanOrEqual">
      <formula>0.5</formula>
    </cfRule>
  </conditionalFormatting>
  <conditionalFormatting sqref="AP55">
    <cfRule type="cellIs" dxfId="28171" priority="91284" stopIfTrue="1" operator="equal">
      <formula>-1</formula>
    </cfRule>
  </conditionalFormatting>
  <conditionalFormatting sqref="AP55">
    <cfRule type="cellIs" dxfId="28170" priority="91285" stopIfTrue="1" operator="lessThan">
      <formula>0.5</formula>
    </cfRule>
  </conditionalFormatting>
  <conditionalFormatting sqref="AP55">
    <cfRule type="cellIs" dxfId="28169" priority="91286" stopIfTrue="1" operator="greaterThanOrEqual">
      <formula>0.5</formula>
    </cfRule>
  </conditionalFormatting>
  <conditionalFormatting sqref="AP56">
    <cfRule type="cellIs" dxfId="28168" priority="91287" stopIfTrue="1" operator="equal">
      <formula>-1</formula>
    </cfRule>
  </conditionalFormatting>
  <conditionalFormatting sqref="AP56">
    <cfRule type="cellIs" dxfId="28167" priority="91288" stopIfTrue="1" operator="lessThan">
      <formula>0.5</formula>
    </cfRule>
  </conditionalFormatting>
  <conditionalFormatting sqref="AP56">
    <cfRule type="cellIs" dxfId="28166" priority="91289" stopIfTrue="1" operator="greaterThanOrEqual">
      <formula>0.5</formula>
    </cfRule>
  </conditionalFormatting>
  <conditionalFormatting sqref="AP57">
    <cfRule type="cellIs" dxfId="28165" priority="91290" stopIfTrue="1" operator="equal">
      <formula>-1</formula>
    </cfRule>
  </conditionalFormatting>
  <conditionalFormatting sqref="AP57">
    <cfRule type="cellIs" dxfId="28164" priority="91291" stopIfTrue="1" operator="lessThan">
      <formula>0.5</formula>
    </cfRule>
  </conditionalFormatting>
  <conditionalFormatting sqref="AP57">
    <cfRule type="cellIs" dxfId="28163" priority="91292" stopIfTrue="1" operator="greaterThanOrEqual">
      <formula>0.5</formula>
    </cfRule>
  </conditionalFormatting>
  <conditionalFormatting sqref="AP58">
    <cfRule type="cellIs" dxfId="28162" priority="91293" stopIfTrue="1" operator="equal">
      <formula>-1</formula>
    </cfRule>
  </conditionalFormatting>
  <conditionalFormatting sqref="AP58">
    <cfRule type="cellIs" dxfId="28161" priority="91294" stopIfTrue="1" operator="lessThan">
      <formula>0.5</formula>
    </cfRule>
  </conditionalFormatting>
  <conditionalFormatting sqref="AP58">
    <cfRule type="cellIs" dxfId="28160" priority="91295" stopIfTrue="1" operator="greaterThanOrEqual">
      <formula>0.5</formula>
    </cfRule>
  </conditionalFormatting>
  <conditionalFormatting sqref="AR39">
    <cfRule type="cellIs" dxfId="28159" priority="91296" stopIfTrue="1" operator="equal">
      <formula>-1</formula>
    </cfRule>
  </conditionalFormatting>
  <conditionalFormatting sqref="AR39">
    <cfRule type="cellIs" dxfId="28158" priority="91297" stopIfTrue="1" operator="lessThan">
      <formula>0.5</formula>
    </cfRule>
  </conditionalFormatting>
  <conditionalFormatting sqref="AR39">
    <cfRule type="cellIs" dxfId="28157" priority="91298" stopIfTrue="1" operator="greaterThanOrEqual">
      <formula>0.5</formula>
    </cfRule>
  </conditionalFormatting>
  <conditionalFormatting sqref="AR40">
    <cfRule type="cellIs" dxfId="28156" priority="91299" stopIfTrue="1" operator="equal">
      <formula>-1</formula>
    </cfRule>
  </conditionalFormatting>
  <conditionalFormatting sqref="AR40">
    <cfRule type="cellIs" dxfId="28155" priority="91300" stopIfTrue="1" operator="lessThan">
      <formula>0.5</formula>
    </cfRule>
  </conditionalFormatting>
  <conditionalFormatting sqref="AR40">
    <cfRule type="cellIs" dxfId="28154" priority="91301" stopIfTrue="1" operator="greaterThanOrEqual">
      <formula>0.5</formula>
    </cfRule>
  </conditionalFormatting>
  <conditionalFormatting sqref="AR41">
    <cfRule type="cellIs" dxfId="28153" priority="91302" stopIfTrue="1" operator="equal">
      <formula>-1</formula>
    </cfRule>
  </conditionalFormatting>
  <conditionalFormatting sqref="AR41">
    <cfRule type="cellIs" dxfId="28152" priority="91303" stopIfTrue="1" operator="lessThan">
      <formula>0.5</formula>
    </cfRule>
  </conditionalFormatting>
  <conditionalFormatting sqref="AR41">
    <cfRule type="cellIs" dxfId="28151" priority="91304" stopIfTrue="1" operator="greaterThanOrEqual">
      <formula>0.5</formula>
    </cfRule>
  </conditionalFormatting>
  <conditionalFormatting sqref="AR42">
    <cfRule type="cellIs" dxfId="28150" priority="91305" stopIfTrue="1" operator="equal">
      <formula>-1</formula>
    </cfRule>
  </conditionalFormatting>
  <conditionalFormatting sqref="AR42">
    <cfRule type="cellIs" dxfId="28149" priority="91306" stopIfTrue="1" operator="lessThan">
      <formula>0.5</formula>
    </cfRule>
  </conditionalFormatting>
  <conditionalFormatting sqref="AR42">
    <cfRule type="cellIs" dxfId="28148" priority="91307" stopIfTrue="1" operator="greaterThanOrEqual">
      <formula>0.5</formula>
    </cfRule>
  </conditionalFormatting>
  <conditionalFormatting sqref="AR43">
    <cfRule type="cellIs" dxfId="28147" priority="91308" stopIfTrue="1" operator="equal">
      <formula>-1</formula>
    </cfRule>
  </conditionalFormatting>
  <conditionalFormatting sqref="AR43">
    <cfRule type="cellIs" dxfId="28146" priority="91309" stopIfTrue="1" operator="lessThan">
      <formula>0.5</formula>
    </cfRule>
  </conditionalFormatting>
  <conditionalFormatting sqref="AR43">
    <cfRule type="cellIs" dxfId="28145" priority="91310" stopIfTrue="1" operator="greaterThanOrEqual">
      <formula>0.5</formula>
    </cfRule>
  </conditionalFormatting>
  <conditionalFormatting sqref="AR44">
    <cfRule type="cellIs" dxfId="28144" priority="91311" stopIfTrue="1" operator="equal">
      <formula>-1</formula>
    </cfRule>
  </conditionalFormatting>
  <conditionalFormatting sqref="AR44">
    <cfRule type="cellIs" dxfId="28143" priority="91312" stopIfTrue="1" operator="lessThan">
      <formula>0.5</formula>
    </cfRule>
  </conditionalFormatting>
  <conditionalFormatting sqref="AR44">
    <cfRule type="cellIs" dxfId="28142" priority="91313" stopIfTrue="1" operator="greaterThanOrEqual">
      <formula>0.5</formula>
    </cfRule>
  </conditionalFormatting>
  <conditionalFormatting sqref="AR45">
    <cfRule type="cellIs" dxfId="28141" priority="91314" stopIfTrue="1" operator="equal">
      <formula>-1</formula>
    </cfRule>
  </conditionalFormatting>
  <conditionalFormatting sqref="AR45">
    <cfRule type="cellIs" dxfId="28140" priority="91315" stopIfTrue="1" operator="lessThan">
      <formula>0.5</formula>
    </cfRule>
  </conditionalFormatting>
  <conditionalFormatting sqref="AR45">
    <cfRule type="cellIs" dxfId="28139" priority="91316" stopIfTrue="1" operator="greaterThanOrEqual">
      <formula>0.5</formula>
    </cfRule>
  </conditionalFormatting>
  <conditionalFormatting sqref="AR46">
    <cfRule type="cellIs" dxfId="28138" priority="91317" stopIfTrue="1" operator="equal">
      <formula>-1</formula>
    </cfRule>
  </conditionalFormatting>
  <conditionalFormatting sqref="AR46">
    <cfRule type="cellIs" dxfId="28137" priority="91318" stopIfTrue="1" operator="lessThan">
      <formula>0.5</formula>
    </cfRule>
  </conditionalFormatting>
  <conditionalFormatting sqref="AR46">
    <cfRule type="cellIs" dxfId="28136" priority="91319" stopIfTrue="1" operator="greaterThanOrEqual">
      <formula>0.5</formula>
    </cfRule>
  </conditionalFormatting>
  <conditionalFormatting sqref="AR47">
    <cfRule type="cellIs" dxfId="28135" priority="91320" stopIfTrue="1" operator="equal">
      <formula>-1</formula>
    </cfRule>
  </conditionalFormatting>
  <conditionalFormatting sqref="AR47">
    <cfRule type="cellIs" dxfId="28134" priority="91321" stopIfTrue="1" operator="lessThan">
      <formula>0.5</formula>
    </cfRule>
  </conditionalFormatting>
  <conditionalFormatting sqref="AR47">
    <cfRule type="cellIs" dxfId="28133" priority="91322" stopIfTrue="1" operator="greaterThanOrEqual">
      <formula>0.5</formula>
    </cfRule>
  </conditionalFormatting>
  <conditionalFormatting sqref="AR48">
    <cfRule type="cellIs" dxfId="28132" priority="91323" stopIfTrue="1" operator="equal">
      <formula>-1</formula>
    </cfRule>
  </conditionalFormatting>
  <conditionalFormatting sqref="AR48">
    <cfRule type="cellIs" dxfId="28131" priority="91324" stopIfTrue="1" operator="lessThan">
      <formula>0.5</formula>
    </cfRule>
  </conditionalFormatting>
  <conditionalFormatting sqref="AR48">
    <cfRule type="cellIs" dxfId="28130" priority="91325" stopIfTrue="1" operator="greaterThanOrEqual">
      <formula>0.5</formula>
    </cfRule>
  </conditionalFormatting>
  <conditionalFormatting sqref="AR49">
    <cfRule type="cellIs" dxfId="28129" priority="91326" stopIfTrue="1" operator="equal">
      <formula>-1</formula>
    </cfRule>
  </conditionalFormatting>
  <conditionalFormatting sqref="AR49">
    <cfRule type="cellIs" dxfId="28128" priority="91327" stopIfTrue="1" operator="lessThan">
      <formula>0.5</formula>
    </cfRule>
  </conditionalFormatting>
  <conditionalFormatting sqref="AR49">
    <cfRule type="cellIs" dxfId="28127" priority="91328" stopIfTrue="1" operator="greaterThanOrEqual">
      <formula>0.5</formula>
    </cfRule>
  </conditionalFormatting>
  <conditionalFormatting sqref="AR50">
    <cfRule type="cellIs" dxfId="28126" priority="91329" stopIfTrue="1" operator="equal">
      <formula>-1</formula>
    </cfRule>
  </conditionalFormatting>
  <conditionalFormatting sqref="AR50">
    <cfRule type="cellIs" dxfId="28125" priority="91330" stopIfTrue="1" operator="lessThan">
      <formula>0.5</formula>
    </cfRule>
  </conditionalFormatting>
  <conditionalFormatting sqref="AR50">
    <cfRule type="cellIs" dxfId="28124" priority="91331" stopIfTrue="1" operator="greaterThanOrEqual">
      <formula>0.5</formula>
    </cfRule>
  </conditionalFormatting>
  <conditionalFormatting sqref="AR51">
    <cfRule type="cellIs" dxfId="28123" priority="91332" stopIfTrue="1" operator="equal">
      <formula>-1</formula>
    </cfRule>
  </conditionalFormatting>
  <conditionalFormatting sqref="AR51">
    <cfRule type="cellIs" dxfId="28122" priority="91333" stopIfTrue="1" operator="lessThan">
      <formula>0.5</formula>
    </cfRule>
  </conditionalFormatting>
  <conditionalFormatting sqref="AR51">
    <cfRule type="cellIs" dxfId="28121" priority="91334" stopIfTrue="1" operator="greaterThanOrEqual">
      <formula>0.5</formula>
    </cfRule>
  </conditionalFormatting>
  <conditionalFormatting sqref="AR52">
    <cfRule type="cellIs" dxfId="28120" priority="91335" stopIfTrue="1" operator="equal">
      <formula>-1</formula>
    </cfRule>
  </conditionalFormatting>
  <conditionalFormatting sqref="AR52">
    <cfRule type="cellIs" dxfId="28119" priority="91336" stopIfTrue="1" operator="lessThan">
      <formula>0.5</formula>
    </cfRule>
  </conditionalFormatting>
  <conditionalFormatting sqref="AR52">
    <cfRule type="cellIs" dxfId="28118" priority="91337" stopIfTrue="1" operator="greaterThanOrEqual">
      <formula>0.5</formula>
    </cfRule>
  </conditionalFormatting>
  <conditionalFormatting sqref="AR53">
    <cfRule type="cellIs" dxfId="28117" priority="91338" stopIfTrue="1" operator="equal">
      <formula>-1</formula>
    </cfRule>
  </conditionalFormatting>
  <conditionalFormatting sqref="AR53">
    <cfRule type="cellIs" dxfId="28116" priority="91339" stopIfTrue="1" operator="lessThan">
      <formula>0.5</formula>
    </cfRule>
  </conditionalFormatting>
  <conditionalFormatting sqref="AR53">
    <cfRule type="cellIs" dxfId="28115" priority="91340" stopIfTrue="1" operator="greaterThanOrEqual">
      <formula>0.5</formula>
    </cfRule>
  </conditionalFormatting>
  <conditionalFormatting sqref="AR54">
    <cfRule type="cellIs" dxfId="28114" priority="91341" stopIfTrue="1" operator="equal">
      <formula>-1</formula>
    </cfRule>
  </conditionalFormatting>
  <conditionalFormatting sqref="AR54">
    <cfRule type="cellIs" dxfId="28113" priority="91342" stopIfTrue="1" operator="lessThan">
      <formula>0.5</formula>
    </cfRule>
  </conditionalFormatting>
  <conditionalFormatting sqref="AR54">
    <cfRule type="cellIs" dxfId="28112" priority="91343" stopIfTrue="1" operator="greaterThanOrEqual">
      <formula>0.5</formula>
    </cfRule>
  </conditionalFormatting>
  <conditionalFormatting sqref="AR55">
    <cfRule type="cellIs" dxfId="28111" priority="91344" stopIfTrue="1" operator="equal">
      <formula>-1</formula>
    </cfRule>
  </conditionalFormatting>
  <conditionalFormatting sqref="AR55">
    <cfRule type="cellIs" dxfId="28110" priority="91345" stopIfTrue="1" operator="lessThan">
      <formula>0.5</formula>
    </cfRule>
  </conditionalFormatting>
  <conditionalFormatting sqref="AR55">
    <cfRule type="cellIs" dxfId="28109" priority="91346" stopIfTrue="1" operator="greaterThanOrEqual">
      <formula>0.5</formula>
    </cfRule>
  </conditionalFormatting>
  <conditionalFormatting sqref="AR56">
    <cfRule type="cellIs" dxfId="28108" priority="91347" stopIfTrue="1" operator="equal">
      <formula>-1</formula>
    </cfRule>
  </conditionalFormatting>
  <conditionalFormatting sqref="AR56">
    <cfRule type="cellIs" dxfId="28107" priority="91348" stopIfTrue="1" operator="lessThan">
      <formula>0.5</formula>
    </cfRule>
  </conditionalFormatting>
  <conditionalFormatting sqref="AR56">
    <cfRule type="cellIs" dxfId="28106" priority="91349" stopIfTrue="1" operator="greaterThanOrEqual">
      <formula>0.5</formula>
    </cfRule>
  </conditionalFormatting>
  <conditionalFormatting sqref="AR57">
    <cfRule type="cellIs" dxfId="28105" priority="91350" stopIfTrue="1" operator="equal">
      <formula>-1</formula>
    </cfRule>
  </conditionalFormatting>
  <conditionalFormatting sqref="AR57">
    <cfRule type="cellIs" dxfId="28104" priority="91351" stopIfTrue="1" operator="lessThan">
      <formula>0.5</formula>
    </cfRule>
  </conditionalFormatting>
  <conditionalFormatting sqref="AR57">
    <cfRule type="cellIs" dxfId="28103" priority="91352" stopIfTrue="1" operator="greaterThanOrEqual">
      <formula>0.5</formula>
    </cfRule>
  </conditionalFormatting>
  <conditionalFormatting sqref="AR58">
    <cfRule type="cellIs" dxfId="28102" priority="91353" stopIfTrue="1" operator="equal">
      <formula>-1</formula>
    </cfRule>
  </conditionalFormatting>
  <conditionalFormatting sqref="AR58">
    <cfRule type="cellIs" dxfId="28101" priority="91354" stopIfTrue="1" operator="lessThan">
      <formula>0.5</formula>
    </cfRule>
  </conditionalFormatting>
  <conditionalFormatting sqref="AR58">
    <cfRule type="cellIs" dxfId="28100" priority="91355" stopIfTrue="1" operator="greaterThanOrEqual">
      <formula>0.5</formula>
    </cfRule>
  </conditionalFormatting>
  <conditionalFormatting sqref="AT39">
    <cfRule type="cellIs" dxfId="28099" priority="91356" stopIfTrue="1" operator="equal">
      <formula>-1</formula>
    </cfRule>
  </conditionalFormatting>
  <conditionalFormatting sqref="AT39">
    <cfRule type="cellIs" dxfId="28098" priority="91357" stopIfTrue="1" operator="lessThan">
      <formula>0.5</formula>
    </cfRule>
  </conditionalFormatting>
  <conditionalFormatting sqref="AT39">
    <cfRule type="cellIs" dxfId="28097" priority="91358" stopIfTrue="1" operator="greaterThanOrEqual">
      <formula>0.5</formula>
    </cfRule>
  </conditionalFormatting>
  <conditionalFormatting sqref="AT40">
    <cfRule type="cellIs" dxfId="28096" priority="91359" stopIfTrue="1" operator="equal">
      <formula>-1</formula>
    </cfRule>
  </conditionalFormatting>
  <conditionalFormatting sqref="AT40">
    <cfRule type="cellIs" dxfId="28095" priority="91360" stopIfTrue="1" operator="lessThan">
      <formula>0.5</formula>
    </cfRule>
  </conditionalFormatting>
  <conditionalFormatting sqref="AT40">
    <cfRule type="cellIs" dxfId="28094" priority="91361" stopIfTrue="1" operator="greaterThanOrEqual">
      <formula>0.5</formula>
    </cfRule>
  </conditionalFormatting>
  <conditionalFormatting sqref="AT41">
    <cfRule type="cellIs" dxfId="28093" priority="91362" stopIfTrue="1" operator="equal">
      <formula>-1</formula>
    </cfRule>
  </conditionalFormatting>
  <conditionalFormatting sqref="AT41">
    <cfRule type="cellIs" dxfId="28092" priority="91363" stopIfTrue="1" operator="lessThan">
      <formula>0.5</formula>
    </cfRule>
  </conditionalFormatting>
  <conditionalFormatting sqref="AT41">
    <cfRule type="cellIs" dxfId="28091" priority="91364" stopIfTrue="1" operator="greaterThanOrEqual">
      <formula>0.5</formula>
    </cfRule>
  </conditionalFormatting>
  <conditionalFormatting sqref="AT42">
    <cfRule type="cellIs" dxfId="28090" priority="91365" stopIfTrue="1" operator="equal">
      <formula>-1</formula>
    </cfRule>
  </conditionalFormatting>
  <conditionalFormatting sqref="AT42">
    <cfRule type="cellIs" dxfId="28089" priority="91366" stopIfTrue="1" operator="lessThan">
      <formula>0.5</formula>
    </cfRule>
  </conditionalFormatting>
  <conditionalFormatting sqref="AT42">
    <cfRule type="cellIs" dxfId="28088" priority="91367" stopIfTrue="1" operator="greaterThanOrEqual">
      <formula>0.5</formula>
    </cfRule>
  </conditionalFormatting>
  <conditionalFormatting sqref="AT43">
    <cfRule type="cellIs" dxfId="28087" priority="91368" stopIfTrue="1" operator="equal">
      <formula>-1</formula>
    </cfRule>
  </conditionalFormatting>
  <conditionalFormatting sqref="AT43">
    <cfRule type="cellIs" dxfId="28086" priority="91369" stopIfTrue="1" operator="lessThan">
      <formula>0.5</formula>
    </cfRule>
  </conditionalFormatting>
  <conditionalFormatting sqref="AT43">
    <cfRule type="cellIs" dxfId="28085" priority="91370" stopIfTrue="1" operator="greaterThanOrEqual">
      <formula>0.5</formula>
    </cfRule>
  </conditionalFormatting>
  <conditionalFormatting sqref="AT44">
    <cfRule type="cellIs" dxfId="28084" priority="91371" stopIfTrue="1" operator="equal">
      <formula>-1</formula>
    </cfRule>
  </conditionalFormatting>
  <conditionalFormatting sqref="AT44">
    <cfRule type="cellIs" dxfId="28083" priority="91372" stopIfTrue="1" operator="lessThan">
      <formula>0.5</formula>
    </cfRule>
  </conditionalFormatting>
  <conditionalFormatting sqref="AT44">
    <cfRule type="cellIs" dxfId="28082" priority="91373" stopIfTrue="1" operator="greaterThanOrEqual">
      <formula>0.5</formula>
    </cfRule>
  </conditionalFormatting>
  <conditionalFormatting sqref="AT45">
    <cfRule type="cellIs" dxfId="28081" priority="91374" stopIfTrue="1" operator="equal">
      <formula>-1</formula>
    </cfRule>
  </conditionalFormatting>
  <conditionalFormatting sqref="AT45">
    <cfRule type="cellIs" dxfId="28080" priority="91375" stopIfTrue="1" operator="lessThan">
      <formula>0.5</formula>
    </cfRule>
  </conditionalFormatting>
  <conditionalFormatting sqref="AT45">
    <cfRule type="cellIs" dxfId="28079" priority="91376" stopIfTrue="1" operator="greaterThanOrEqual">
      <formula>0.5</formula>
    </cfRule>
  </conditionalFormatting>
  <conditionalFormatting sqref="AT46">
    <cfRule type="cellIs" dxfId="28078" priority="91377" stopIfTrue="1" operator="equal">
      <formula>-1</formula>
    </cfRule>
  </conditionalFormatting>
  <conditionalFormatting sqref="AT46">
    <cfRule type="cellIs" dxfId="28077" priority="91378" stopIfTrue="1" operator="lessThan">
      <formula>0.5</formula>
    </cfRule>
  </conditionalFormatting>
  <conditionalFormatting sqref="AT46">
    <cfRule type="cellIs" dxfId="28076" priority="91379" stopIfTrue="1" operator="greaterThanOrEqual">
      <formula>0.5</formula>
    </cfRule>
  </conditionalFormatting>
  <conditionalFormatting sqref="AT47">
    <cfRule type="cellIs" dxfId="28075" priority="91380" stopIfTrue="1" operator="equal">
      <formula>-1</formula>
    </cfRule>
  </conditionalFormatting>
  <conditionalFormatting sqref="AT47">
    <cfRule type="cellIs" dxfId="28074" priority="91381" stopIfTrue="1" operator="lessThan">
      <formula>0.5</formula>
    </cfRule>
  </conditionalFormatting>
  <conditionalFormatting sqref="AT47">
    <cfRule type="cellIs" dxfId="28073" priority="91382" stopIfTrue="1" operator="greaterThanOrEqual">
      <formula>0.5</formula>
    </cfRule>
  </conditionalFormatting>
  <conditionalFormatting sqref="AT48">
    <cfRule type="cellIs" dxfId="28072" priority="91383" stopIfTrue="1" operator="equal">
      <formula>-1</formula>
    </cfRule>
  </conditionalFormatting>
  <conditionalFormatting sqref="AT48">
    <cfRule type="cellIs" dxfId="28071" priority="91384" stopIfTrue="1" operator="lessThan">
      <formula>0.5</formula>
    </cfRule>
  </conditionalFormatting>
  <conditionalFormatting sqref="AT48">
    <cfRule type="cellIs" dxfId="28070" priority="91385" stopIfTrue="1" operator="greaterThanOrEqual">
      <formula>0.5</formula>
    </cfRule>
  </conditionalFormatting>
  <conditionalFormatting sqref="AT49">
    <cfRule type="cellIs" dxfId="28069" priority="91386" stopIfTrue="1" operator="equal">
      <formula>-1</formula>
    </cfRule>
  </conditionalFormatting>
  <conditionalFormatting sqref="AT49">
    <cfRule type="cellIs" dxfId="28068" priority="91387" stopIfTrue="1" operator="lessThan">
      <formula>0.5</formula>
    </cfRule>
  </conditionalFormatting>
  <conditionalFormatting sqref="AT49">
    <cfRule type="cellIs" dxfId="28067" priority="91388" stopIfTrue="1" operator="greaterThanOrEqual">
      <formula>0.5</formula>
    </cfRule>
  </conditionalFormatting>
  <conditionalFormatting sqref="AT50">
    <cfRule type="cellIs" dxfId="28066" priority="91389" stopIfTrue="1" operator="equal">
      <formula>-1</formula>
    </cfRule>
  </conditionalFormatting>
  <conditionalFormatting sqref="AT50">
    <cfRule type="cellIs" dxfId="28065" priority="91390" stopIfTrue="1" operator="lessThan">
      <formula>0.5</formula>
    </cfRule>
  </conditionalFormatting>
  <conditionalFormatting sqref="AT50">
    <cfRule type="cellIs" dxfId="28064" priority="91391" stopIfTrue="1" operator="greaterThanOrEqual">
      <formula>0.5</formula>
    </cfRule>
  </conditionalFormatting>
  <conditionalFormatting sqref="AT51">
    <cfRule type="cellIs" dxfId="28063" priority="91392" stopIfTrue="1" operator="equal">
      <formula>-1</formula>
    </cfRule>
  </conditionalFormatting>
  <conditionalFormatting sqref="AT51">
    <cfRule type="cellIs" dxfId="28062" priority="91393" stopIfTrue="1" operator="lessThan">
      <formula>0.5</formula>
    </cfRule>
  </conditionalFormatting>
  <conditionalFormatting sqref="AT51">
    <cfRule type="cellIs" dxfId="28061" priority="91394" stopIfTrue="1" operator="greaterThanOrEqual">
      <formula>0.5</formula>
    </cfRule>
  </conditionalFormatting>
  <conditionalFormatting sqref="AT52">
    <cfRule type="cellIs" dxfId="28060" priority="91395" stopIfTrue="1" operator="equal">
      <formula>-1</formula>
    </cfRule>
  </conditionalFormatting>
  <conditionalFormatting sqref="AT52">
    <cfRule type="cellIs" dxfId="28059" priority="91396" stopIfTrue="1" operator="lessThan">
      <formula>0.5</formula>
    </cfRule>
  </conditionalFormatting>
  <conditionalFormatting sqref="AT52">
    <cfRule type="cellIs" dxfId="28058" priority="91397" stopIfTrue="1" operator="greaterThanOrEqual">
      <formula>0.5</formula>
    </cfRule>
  </conditionalFormatting>
  <conditionalFormatting sqref="AT53">
    <cfRule type="cellIs" dxfId="28057" priority="91398" stopIfTrue="1" operator="equal">
      <formula>-1</formula>
    </cfRule>
  </conditionalFormatting>
  <conditionalFormatting sqref="AT53">
    <cfRule type="cellIs" dxfId="28056" priority="91399" stopIfTrue="1" operator="lessThan">
      <formula>0.5</formula>
    </cfRule>
  </conditionalFormatting>
  <conditionalFormatting sqref="AT53">
    <cfRule type="cellIs" dxfId="28055" priority="91400" stopIfTrue="1" operator="greaterThanOrEqual">
      <formula>0.5</formula>
    </cfRule>
  </conditionalFormatting>
  <conditionalFormatting sqref="AT54">
    <cfRule type="cellIs" dxfId="28054" priority="91401" stopIfTrue="1" operator="equal">
      <formula>-1</formula>
    </cfRule>
  </conditionalFormatting>
  <conditionalFormatting sqref="AT54">
    <cfRule type="cellIs" dxfId="28053" priority="91402" stopIfTrue="1" operator="lessThan">
      <formula>0.5</formula>
    </cfRule>
  </conditionalFormatting>
  <conditionalFormatting sqref="AT54">
    <cfRule type="cellIs" dxfId="28052" priority="91403" stopIfTrue="1" operator="greaterThanOrEqual">
      <formula>0.5</formula>
    </cfRule>
  </conditionalFormatting>
  <conditionalFormatting sqref="AT55">
    <cfRule type="cellIs" dxfId="28051" priority="91404" stopIfTrue="1" operator="equal">
      <formula>-1</formula>
    </cfRule>
  </conditionalFormatting>
  <conditionalFormatting sqref="AT55">
    <cfRule type="cellIs" dxfId="28050" priority="91405" stopIfTrue="1" operator="lessThan">
      <formula>0.5</formula>
    </cfRule>
  </conditionalFormatting>
  <conditionalFormatting sqref="AT55">
    <cfRule type="cellIs" dxfId="28049" priority="91406" stopIfTrue="1" operator="greaterThanOrEqual">
      <formula>0.5</formula>
    </cfRule>
  </conditionalFormatting>
  <conditionalFormatting sqref="AT56">
    <cfRule type="cellIs" dxfId="28048" priority="91407" stopIfTrue="1" operator="equal">
      <formula>-1</formula>
    </cfRule>
  </conditionalFormatting>
  <conditionalFormatting sqref="AT56">
    <cfRule type="cellIs" dxfId="28047" priority="91408" stopIfTrue="1" operator="lessThan">
      <formula>0.5</formula>
    </cfRule>
  </conditionalFormatting>
  <conditionalFormatting sqref="AT56">
    <cfRule type="cellIs" dxfId="28046" priority="91409" stopIfTrue="1" operator="greaterThanOrEqual">
      <formula>0.5</formula>
    </cfRule>
  </conditionalFormatting>
  <conditionalFormatting sqref="AT57">
    <cfRule type="cellIs" dxfId="28045" priority="91410" stopIfTrue="1" operator="equal">
      <formula>-1</formula>
    </cfRule>
  </conditionalFormatting>
  <conditionalFormatting sqref="AT57">
    <cfRule type="cellIs" dxfId="28044" priority="91411" stopIfTrue="1" operator="lessThan">
      <formula>0.5</formula>
    </cfRule>
  </conditionalFormatting>
  <conditionalFormatting sqref="AT57">
    <cfRule type="cellIs" dxfId="28043" priority="91412" stopIfTrue="1" operator="greaterThanOrEqual">
      <formula>0.5</formula>
    </cfRule>
  </conditionalFormatting>
  <conditionalFormatting sqref="AT58">
    <cfRule type="cellIs" dxfId="28042" priority="91413" stopIfTrue="1" operator="equal">
      <formula>-1</formula>
    </cfRule>
  </conditionalFormatting>
  <conditionalFormatting sqref="AT58">
    <cfRule type="cellIs" dxfId="28041" priority="91414" stopIfTrue="1" operator="lessThan">
      <formula>0.5</formula>
    </cfRule>
  </conditionalFormatting>
  <conditionalFormatting sqref="AT58">
    <cfRule type="cellIs" dxfId="28040" priority="91415" stopIfTrue="1" operator="greaterThanOrEqual">
      <formula>0.5</formula>
    </cfRule>
  </conditionalFormatting>
  <conditionalFormatting sqref="AV39">
    <cfRule type="cellIs" dxfId="28039" priority="91416" stopIfTrue="1" operator="equal">
      <formula>-1</formula>
    </cfRule>
  </conditionalFormatting>
  <conditionalFormatting sqref="AV39">
    <cfRule type="cellIs" dxfId="28038" priority="91417" stopIfTrue="1" operator="lessThan">
      <formula>0.5</formula>
    </cfRule>
  </conditionalFormatting>
  <conditionalFormatting sqref="AV39">
    <cfRule type="cellIs" dxfId="28037" priority="91418" stopIfTrue="1" operator="greaterThanOrEqual">
      <formula>0.5</formula>
    </cfRule>
  </conditionalFormatting>
  <conditionalFormatting sqref="AV40">
    <cfRule type="cellIs" dxfId="28036" priority="91419" stopIfTrue="1" operator="equal">
      <formula>-1</formula>
    </cfRule>
  </conditionalFormatting>
  <conditionalFormatting sqref="AV40">
    <cfRule type="cellIs" dxfId="28035" priority="91420" stopIfTrue="1" operator="lessThan">
      <formula>0.5</formula>
    </cfRule>
  </conditionalFormatting>
  <conditionalFormatting sqref="AV40">
    <cfRule type="cellIs" dxfId="28034" priority="91421" stopIfTrue="1" operator="greaterThanOrEqual">
      <formula>0.5</formula>
    </cfRule>
  </conditionalFormatting>
  <conditionalFormatting sqref="AV41">
    <cfRule type="cellIs" dxfId="28033" priority="91422" stopIfTrue="1" operator="equal">
      <formula>-1</formula>
    </cfRule>
  </conditionalFormatting>
  <conditionalFormatting sqref="AV41">
    <cfRule type="cellIs" dxfId="28032" priority="91423" stopIfTrue="1" operator="lessThan">
      <formula>0.5</formula>
    </cfRule>
  </conditionalFormatting>
  <conditionalFormatting sqref="AV41">
    <cfRule type="cellIs" dxfId="28031" priority="91424" stopIfTrue="1" operator="greaterThanOrEqual">
      <formula>0.5</formula>
    </cfRule>
  </conditionalFormatting>
  <conditionalFormatting sqref="AV42">
    <cfRule type="cellIs" dxfId="28030" priority="91425" stopIfTrue="1" operator="equal">
      <formula>-1</formula>
    </cfRule>
  </conditionalFormatting>
  <conditionalFormatting sqref="AV42">
    <cfRule type="cellIs" dxfId="28029" priority="91426" stopIfTrue="1" operator="lessThan">
      <formula>0.5</formula>
    </cfRule>
  </conditionalFormatting>
  <conditionalFormatting sqref="AV42">
    <cfRule type="cellIs" dxfId="28028" priority="91427" stopIfTrue="1" operator="greaterThanOrEqual">
      <formula>0.5</formula>
    </cfRule>
  </conditionalFormatting>
  <conditionalFormatting sqref="AV43">
    <cfRule type="cellIs" dxfId="28027" priority="91428" stopIfTrue="1" operator="equal">
      <formula>-1</formula>
    </cfRule>
  </conditionalFormatting>
  <conditionalFormatting sqref="AV43">
    <cfRule type="cellIs" dxfId="28026" priority="91429" stopIfTrue="1" operator="lessThan">
      <formula>0.5</formula>
    </cfRule>
  </conditionalFormatting>
  <conditionalFormatting sqref="AV43">
    <cfRule type="cellIs" dxfId="28025" priority="91430" stopIfTrue="1" operator="greaterThanOrEqual">
      <formula>0.5</formula>
    </cfRule>
  </conditionalFormatting>
  <conditionalFormatting sqref="AV44">
    <cfRule type="cellIs" dxfId="28024" priority="91431" stopIfTrue="1" operator="equal">
      <formula>-1</formula>
    </cfRule>
  </conditionalFormatting>
  <conditionalFormatting sqref="AV44">
    <cfRule type="cellIs" dxfId="28023" priority="91432" stopIfTrue="1" operator="lessThan">
      <formula>0.5</formula>
    </cfRule>
  </conditionalFormatting>
  <conditionalFormatting sqref="AV44">
    <cfRule type="cellIs" dxfId="28022" priority="91433" stopIfTrue="1" operator="greaterThanOrEqual">
      <formula>0.5</formula>
    </cfRule>
  </conditionalFormatting>
  <conditionalFormatting sqref="AV45">
    <cfRule type="cellIs" dxfId="28021" priority="91434" stopIfTrue="1" operator="equal">
      <formula>-1</formula>
    </cfRule>
  </conditionalFormatting>
  <conditionalFormatting sqref="AV45">
    <cfRule type="cellIs" dxfId="28020" priority="91435" stopIfTrue="1" operator="lessThan">
      <formula>0.5</formula>
    </cfRule>
  </conditionalFormatting>
  <conditionalFormatting sqref="AV45">
    <cfRule type="cellIs" dxfId="28019" priority="91436" stopIfTrue="1" operator="greaterThanOrEqual">
      <formula>0.5</formula>
    </cfRule>
  </conditionalFormatting>
  <conditionalFormatting sqref="AV46">
    <cfRule type="cellIs" dxfId="28018" priority="91437" stopIfTrue="1" operator="equal">
      <formula>-1</formula>
    </cfRule>
  </conditionalFormatting>
  <conditionalFormatting sqref="AV46">
    <cfRule type="cellIs" dxfId="28017" priority="91438" stopIfTrue="1" operator="lessThan">
      <formula>0.5</formula>
    </cfRule>
  </conditionalFormatting>
  <conditionalFormatting sqref="AV46">
    <cfRule type="cellIs" dxfId="28016" priority="91439" stopIfTrue="1" operator="greaterThanOrEqual">
      <formula>0.5</formula>
    </cfRule>
  </conditionalFormatting>
  <conditionalFormatting sqref="AV47">
    <cfRule type="cellIs" dxfId="28015" priority="91440" stopIfTrue="1" operator="equal">
      <formula>-1</formula>
    </cfRule>
  </conditionalFormatting>
  <conditionalFormatting sqref="AV47">
    <cfRule type="cellIs" dxfId="28014" priority="91441" stopIfTrue="1" operator="lessThan">
      <formula>0.5</formula>
    </cfRule>
  </conditionalFormatting>
  <conditionalFormatting sqref="AV47">
    <cfRule type="cellIs" dxfId="28013" priority="91442" stopIfTrue="1" operator="greaterThanOrEqual">
      <formula>0.5</formula>
    </cfRule>
  </conditionalFormatting>
  <conditionalFormatting sqref="AV48">
    <cfRule type="cellIs" dxfId="28012" priority="91443" stopIfTrue="1" operator="equal">
      <formula>-1</formula>
    </cfRule>
  </conditionalFormatting>
  <conditionalFormatting sqref="AV48">
    <cfRule type="cellIs" dxfId="28011" priority="91444" stopIfTrue="1" operator="lessThan">
      <formula>0.5</formula>
    </cfRule>
  </conditionalFormatting>
  <conditionalFormatting sqref="AV48">
    <cfRule type="cellIs" dxfId="28010" priority="91445" stopIfTrue="1" operator="greaterThanOrEqual">
      <formula>0.5</formula>
    </cfRule>
  </conditionalFormatting>
  <conditionalFormatting sqref="AV49">
    <cfRule type="cellIs" dxfId="28009" priority="91446" stopIfTrue="1" operator="equal">
      <formula>-1</formula>
    </cfRule>
  </conditionalFormatting>
  <conditionalFormatting sqref="AV49">
    <cfRule type="cellIs" dxfId="28008" priority="91447" stopIfTrue="1" operator="lessThan">
      <formula>0.5</formula>
    </cfRule>
  </conditionalFormatting>
  <conditionalFormatting sqref="AV49">
    <cfRule type="cellIs" dxfId="28007" priority="91448" stopIfTrue="1" operator="greaterThanOrEqual">
      <formula>0.5</formula>
    </cfRule>
  </conditionalFormatting>
  <conditionalFormatting sqref="AV50">
    <cfRule type="cellIs" dxfId="28006" priority="91449" stopIfTrue="1" operator="equal">
      <formula>-1</formula>
    </cfRule>
  </conditionalFormatting>
  <conditionalFormatting sqref="AV50">
    <cfRule type="cellIs" dxfId="28005" priority="91450" stopIfTrue="1" operator="lessThan">
      <formula>0.5</formula>
    </cfRule>
  </conditionalFormatting>
  <conditionalFormatting sqref="AV50">
    <cfRule type="cellIs" dxfId="28004" priority="91451" stopIfTrue="1" operator="greaterThanOrEqual">
      <formula>0.5</formula>
    </cfRule>
  </conditionalFormatting>
  <conditionalFormatting sqref="AV51">
    <cfRule type="cellIs" dxfId="28003" priority="91452" stopIfTrue="1" operator="equal">
      <formula>-1</formula>
    </cfRule>
  </conditionalFormatting>
  <conditionalFormatting sqref="AV51">
    <cfRule type="cellIs" dxfId="28002" priority="91453" stopIfTrue="1" operator="lessThan">
      <formula>0.5</formula>
    </cfRule>
  </conditionalFormatting>
  <conditionalFormatting sqref="AV51">
    <cfRule type="cellIs" dxfId="28001" priority="91454" stopIfTrue="1" operator="greaterThanOrEqual">
      <formula>0.5</formula>
    </cfRule>
  </conditionalFormatting>
  <conditionalFormatting sqref="AV52">
    <cfRule type="cellIs" dxfId="28000" priority="91455" stopIfTrue="1" operator="equal">
      <formula>-1</formula>
    </cfRule>
  </conditionalFormatting>
  <conditionalFormatting sqref="AV52">
    <cfRule type="cellIs" dxfId="27999" priority="91456" stopIfTrue="1" operator="lessThan">
      <formula>0.5</formula>
    </cfRule>
  </conditionalFormatting>
  <conditionalFormatting sqref="AV52">
    <cfRule type="cellIs" dxfId="27998" priority="91457" stopIfTrue="1" operator="greaterThanOrEqual">
      <formula>0.5</formula>
    </cfRule>
  </conditionalFormatting>
  <conditionalFormatting sqref="AV53">
    <cfRule type="cellIs" dxfId="27997" priority="91458" stopIfTrue="1" operator="equal">
      <formula>-1</formula>
    </cfRule>
  </conditionalFormatting>
  <conditionalFormatting sqref="AV53">
    <cfRule type="cellIs" dxfId="27996" priority="91459" stopIfTrue="1" operator="lessThan">
      <formula>0.5</formula>
    </cfRule>
  </conditionalFormatting>
  <conditionalFormatting sqref="AV53">
    <cfRule type="cellIs" dxfId="27995" priority="91460" stopIfTrue="1" operator="greaterThanOrEqual">
      <formula>0.5</formula>
    </cfRule>
  </conditionalFormatting>
  <conditionalFormatting sqref="AV54">
    <cfRule type="cellIs" dxfId="27994" priority="91461" stopIfTrue="1" operator="equal">
      <formula>-1</formula>
    </cfRule>
  </conditionalFormatting>
  <conditionalFormatting sqref="AV54">
    <cfRule type="cellIs" dxfId="27993" priority="91462" stopIfTrue="1" operator="lessThan">
      <formula>0.5</formula>
    </cfRule>
  </conditionalFormatting>
  <conditionalFormatting sqref="AV54">
    <cfRule type="cellIs" dxfId="27992" priority="91463" stopIfTrue="1" operator="greaterThanOrEqual">
      <formula>0.5</formula>
    </cfRule>
  </conditionalFormatting>
  <conditionalFormatting sqref="AV55">
    <cfRule type="cellIs" dxfId="27991" priority="91464" stopIfTrue="1" operator="equal">
      <formula>-1</formula>
    </cfRule>
  </conditionalFormatting>
  <conditionalFormatting sqref="AV55">
    <cfRule type="cellIs" dxfId="27990" priority="91465" stopIfTrue="1" operator="lessThan">
      <formula>0.5</formula>
    </cfRule>
  </conditionalFormatting>
  <conditionalFormatting sqref="AV55">
    <cfRule type="cellIs" dxfId="27989" priority="91466" stopIfTrue="1" operator="greaterThanOrEqual">
      <formula>0.5</formula>
    </cfRule>
  </conditionalFormatting>
  <conditionalFormatting sqref="AV56">
    <cfRule type="cellIs" dxfId="27988" priority="91467" stopIfTrue="1" operator="equal">
      <formula>-1</formula>
    </cfRule>
  </conditionalFormatting>
  <conditionalFormatting sqref="AV56">
    <cfRule type="cellIs" dxfId="27987" priority="91468" stopIfTrue="1" operator="lessThan">
      <formula>0.5</formula>
    </cfRule>
  </conditionalFormatting>
  <conditionalFormatting sqref="AV56">
    <cfRule type="cellIs" dxfId="27986" priority="91469" stopIfTrue="1" operator="greaterThanOrEqual">
      <formula>0.5</formula>
    </cfRule>
  </conditionalFormatting>
  <conditionalFormatting sqref="AV57">
    <cfRule type="cellIs" dxfId="27985" priority="91470" stopIfTrue="1" operator="equal">
      <formula>-1</formula>
    </cfRule>
  </conditionalFormatting>
  <conditionalFormatting sqref="AV57">
    <cfRule type="cellIs" dxfId="27984" priority="91471" stopIfTrue="1" operator="lessThan">
      <formula>0.5</formula>
    </cfRule>
  </conditionalFormatting>
  <conditionalFormatting sqref="AV57">
    <cfRule type="cellIs" dxfId="27983" priority="91472" stopIfTrue="1" operator="greaterThanOrEqual">
      <formula>0.5</formula>
    </cfRule>
  </conditionalFormatting>
  <conditionalFormatting sqref="AV58">
    <cfRule type="cellIs" dxfId="27982" priority="91473" stopIfTrue="1" operator="equal">
      <formula>-1</formula>
    </cfRule>
  </conditionalFormatting>
  <conditionalFormatting sqref="AV58">
    <cfRule type="cellIs" dxfId="27981" priority="91474" stopIfTrue="1" operator="lessThan">
      <formula>0.5</formula>
    </cfRule>
  </conditionalFormatting>
  <conditionalFormatting sqref="AV58">
    <cfRule type="cellIs" dxfId="27980" priority="91475" stopIfTrue="1" operator="greaterThanOrEqual">
      <formula>0.5</formula>
    </cfRule>
  </conditionalFormatting>
  <conditionalFormatting sqref="AX39">
    <cfRule type="cellIs" dxfId="27979" priority="91476" stopIfTrue="1" operator="equal">
      <formula>-1</formula>
    </cfRule>
  </conditionalFormatting>
  <conditionalFormatting sqref="AX39">
    <cfRule type="cellIs" dxfId="27978" priority="91477" stopIfTrue="1" operator="lessThan">
      <formula>0.5</formula>
    </cfRule>
  </conditionalFormatting>
  <conditionalFormatting sqref="AX39">
    <cfRule type="cellIs" dxfId="27977" priority="91478" stopIfTrue="1" operator="greaterThanOrEqual">
      <formula>0.5</formula>
    </cfRule>
  </conditionalFormatting>
  <conditionalFormatting sqref="AX40">
    <cfRule type="cellIs" dxfId="27976" priority="91479" stopIfTrue="1" operator="equal">
      <formula>-1</formula>
    </cfRule>
  </conditionalFormatting>
  <conditionalFormatting sqref="AX40">
    <cfRule type="cellIs" dxfId="27975" priority="91480" stopIfTrue="1" operator="lessThan">
      <formula>0.5</formula>
    </cfRule>
  </conditionalFormatting>
  <conditionalFormatting sqref="AX40">
    <cfRule type="cellIs" dxfId="27974" priority="91481" stopIfTrue="1" operator="greaterThanOrEqual">
      <formula>0.5</formula>
    </cfRule>
  </conditionalFormatting>
  <conditionalFormatting sqref="AX41">
    <cfRule type="cellIs" dxfId="27973" priority="91482" stopIfTrue="1" operator="equal">
      <formula>-1</formula>
    </cfRule>
  </conditionalFormatting>
  <conditionalFormatting sqref="AX41">
    <cfRule type="cellIs" dxfId="27972" priority="91483" stopIfTrue="1" operator="lessThan">
      <formula>0.5</formula>
    </cfRule>
  </conditionalFormatting>
  <conditionalFormatting sqref="AX41">
    <cfRule type="cellIs" dxfId="27971" priority="91484" stopIfTrue="1" operator="greaterThanOrEqual">
      <formula>0.5</formula>
    </cfRule>
  </conditionalFormatting>
  <conditionalFormatting sqref="AX42">
    <cfRule type="cellIs" dxfId="27970" priority="91485" stopIfTrue="1" operator="equal">
      <formula>-1</formula>
    </cfRule>
  </conditionalFormatting>
  <conditionalFormatting sqref="AX42">
    <cfRule type="cellIs" dxfId="27969" priority="91486" stopIfTrue="1" operator="lessThan">
      <formula>0.5</formula>
    </cfRule>
  </conditionalFormatting>
  <conditionalFormatting sqref="AX42">
    <cfRule type="cellIs" dxfId="27968" priority="91487" stopIfTrue="1" operator="greaterThanOrEqual">
      <formula>0.5</formula>
    </cfRule>
  </conditionalFormatting>
  <conditionalFormatting sqref="AX43">
    <cfRule type="cellIs" dxfId="27967" priority="91488" stopIfTrue="1" operator="equal">
      <formula>-1</formula>
    </cfRule>
  </conditionalFormatting>
  <conditionalFormatting sqref="AX43">
    <cfRule type="cellIs" dxfId="27966" priority="91489" stopIfTrue="1" operator="lessThan">
      <formula>0.5</formula>
    </cfRule>
  </conditionalFormatting>
  <conditionalFormatting sqref="AX43">
    <cfRule type="cellIs" dxfId="27965" priority="91490" stopIfTrue="1" operator="greaterThanOrEqual">
      <formula>0.5</formula>
    </cfRule>
  </conditionalFormatting>
  <conditionalFormatting sqref="AX44">
    <cfRule type="cellIs" dxfId="27964" priority="91491" stopIfTrue="1" operator="equal">
      <formula>-1</formula>
    </cfRule>
  </conditionalFormatting>
  <conditionalFormatting sqref="AX44">
    <cfRule type="cellIs" dxfId="27963" priority="91492" stopIfTrue="1" operator="lessThan">
      <formula>0.5</formula>
    </cfRule>
  </conditionalFormatting>
  <conditionalFormatting sqref="AX44">
    <cfRule type="cellIs" dxfId="27962" priority="91493" stopIfTrue="1" operator="greaterThanOrEqual">
      <formula>0.5</formula>
    </cfRule>
  </conditionalFormatting>
  <conditionalFormatting sqref="AX45">
    <cfRule type="cellIs" dxfId="27961" priority="91494" stopIfTrue="1" operator="equal">
      <formula>-1</formula>
    </cfRule>
  </conditionalFormatting>
  <conditionalFormatting sqref="AX45">
    <cfRule type="cellIs" dxfId="27960" priority="91495" stopIfTrue="1" operator="lessThan">
      <formula>0.5</formula>
    </cfRule>
  </conditionalFormatting>
  <conditionalFormatting sqref="AX45">
    <cfRule type="cellIs" dxfId="27959" priority="91496" stopIfTrue="1" operator="greaterThanOrEqual">
      <formula>0.5</formula>
    </cfRule>
  </conditionalFormatting>
  <conditionalFormatting sqref="AX46">
    <cfRule type="cellIs" dxfId="27958" priority="91497" stopIfTrue="1" operator="equal">
      <formula>-1</formula>
    </cfRule>
  </conditionalFormatting>
  <conditionalFormatting sqref="AX46">
    <cfRule type="cellIs" dxfId="27957" priority="91498" stopIfTrue="1" operator="lessThan">
      <formula>0.5</formula>
    </cfRule>
  </conditionalFormatting>
  <conditionalFormatting sqref="AX46">
    <cfRule type="cellIs" dxfId="27956" priority="91499" stopIfTrue="1" operator="greaterThanOrEqual">
      <formula>0.5</formula>
    </cfRule>
  </conditionalFormatting>
  <conditionalFormatting sqref="AX47">
    <cfRule type="cellIs" dxfId="27955" priority="91500" stopIfTrue="1" operator="equal">
      <formula>-1</formula>
    </cfRule>
  </conditionalFormatting>
  <conditionalFormatting sqref="AX47">
    <cfRule type="cellIs" dxfId="27954" priority="91501" stopIfTrue="1" operator="lessThan">
      <formula>0.5</formula>
    </cfRule>
  </conditionalFormatting>
  <conditionalFormatting sqref="AX47">
    <cfRule type="cellIs" dxfId="27953" priority="91502" stopIfTrue="1" operator="greaterThanOrEqual">
      <formula>0.5</formula>
    </cfRule>
  </conditionalFormatting>
  <conditionalFormatting sqref="AX48">
    <cfRule type="cellIs" dxfId="27952" priority="91503" stopIfTrue="1" operator="equal">
      <formula>-1</formula>
    </cfRule>
  </conditionalFormatting>
  <conditionalFormatting sqref="AX48">
    <cfRule type="cellIs" dxfId="27951" priority="91504" stopIfTrue="1" operator="lessThan">
      <formula>0.5</formula>
    </cfRule>
  </conditionalFormatting>
  <conditionalFormatting sqref="AX48">
    <cfRule type="cellIs" dxfId="27950" priority="91505" stopIfTrue="1" operator="greaterThanOrEqual">
      <formula>0.5</formula>
    </cfRule>
  </conditionalFormatting>
  <conditionalFormatting sqref="AX49">
    <cfRule type="cellIs" dxfId="27949" priority="91506" stopIfTrue="1" operator="equal">
      <formula>-1</formula>
    </cfRule>
  </conditionalFormatting>
  <conditionalFormatting sqref="AX49">
    <cfRule type="cellIs" dxfId="27948" priority="91507" stopIfTrue="1" operator="lessThan">
      <formula>0.5</formula>
    </cfRule>
  </conditionalFormatting>
  <conditionalFormatting sqref="AX49">
    <cfRule type="cellIs" dxfId="27947" priority="91508" stopIfTrue="1" operator="greaterThanOrEqual">
      <formula>0.5</formula>
    </cfRule>
  </conditionalFormatting>
  <conditionalFormatting sqref="AX50">
    <cfRule type="cellIs" dxfId="27946" priority="91509" stopIfTrue="1" operator="equal">
      <formula>-1</formula>
    </cfRule>
  </conditionalFormatting>
  <conditionalFormatting sqref="AX50">
    <cfRule type="cellIs" dxfId="27945" priority="91510" stopIfTrue="1" operator="lessThan">
      <formula>0.5</formula>
    </cfRule>
  </conditionalFormatting>
  <conditionalFormatting sqref="AX50">
    <cfRule type="cellIs" dxfId="27944" priority="91511" stopIfTrue="1" operator="greaterThanOrEqual">
      <formula>0.5</formula>
    </cfRule>
  </conditionalFormatting>
  <conditionalFormatting sqref="AX51">
    <cfRule type="cellIs" dxfId="27943" priority="91512" stopIfTrue="1" operator="equal">
      <formula>-1</formula>
    </cfRule>
  </conditionalFormatting>
  <conditionalFormatting sqref="AX51">
    <cfRule type="cellIs" dxfId="27942" priority="91513" stopIfTrue="1" operator="lessThan">
      <formula>0.5</formula>
    </cfRule>
  </conditionalFormatting>
  <conditionalFormatting sqref="AX51">
    <cfRule type="cellIs" dxfId="27941" priority="91514" stopIfTrue="1" operator="greaterThanOrEqual">
      <formula>0.5</formula>
    </cfRule>
  </conditionalFormatting>
  <conditionalFormatting sqref="AX52">
    <cfRule type="cellIs" dxfId="27940" priority="91515" stopIfTrue="1" operator="equal">
      <formula>-1</formula>
    </cfRule>
  </conditionalFormatting>
  <conditionalFormatting sqref="AX52">
    <cfRule type="cellIs" dxfId="27939" priority="91516" stopIfTrue="1" operator="lessThan">
      <formula>0.5</formula>
    </cfRule>
  </conditionalFormatting>
  <conditionalFormatting sqref="AX52">
    <cfRule type="cellIs" dxfId="27938" priority="91517" stopIfTrue="1" operator="greaterThanOrEqual">
      <formula>0.5</formula>
    </cfRule>
  </conditionalFormatting>
  <conditionalFormatting sqref="AX53">
    <cfRule type="cellIs" dxfId="27937" priority="91518" stopIfTrue="1" operator="equal">
      <formula>-1</formula>
    </cfRule>
  </conditionalFormatting>
  <conditionalFormatting sqref="AX53">
    <cfRule type="cellIs" dxfId="27936" priority="91519" stopIfTrue="1" operator="lessThan">
      <formula>0.5</formula>
    </cfRule>
  </conditionalFormatting>
  <conditionalFormatting sqref="AX53">
    <cfRule type="cellIs" dxfId="27935" priority="91520" stopIfTrue="1" operator="greaterThanOrEqual">
      <formula>0.5</formula>
    </cfRule>
  </conditionalFormatting>
  <conditionalFormatting sqref="AX54">
    <cfRule type="cellIs" dxfId="27934" priority="91521" stopIfTrue="1" operator="equal">
      <formula>-1</formula>
    </cfRule>
  </conditionalFormatting>
  <conditionalFormatting sqref="AX54">
    <cfRule type="cellIs" dxfId="27933" priority="91522" stopIfTrue="1" operator="lessThan">
      <formula>0.5</formula>
    </cfRule>
  </conditionalFormatting>
  <conditionalFormatting sqref="AX54">
    <cfRule type="cellIs" dxfId="27932" priority="91523" stopIfTrue="1" operator="greaterThanOrEqual">
      <formula>0.5</formula>
    </cfRule>
  </conditionalFormatting>
  <conditionalFormatting sqref="AX55">
    <cfRule type="cellIs" dxfId="27931" priority="91524" stopIfTrue="1" operator="equal">
      <formula>-1</formula>
    </cfRule>
  </conditionalFormatting>
  <conditionalFormatting sqref="AX55">
    <cfRule type="cellIs" dxfId="27930" priority="91525" stopIfTrue="1" operator="lessThan">
      <formula>0.5</formula>
    </cfRule>
  </conditionalFormatting>
  <conditionalFormatting sqref="AX55">
    <cfRule type="cellIs" dxfId="27929" priority="91526" stopIfTrue="1" operator="greaterThanOrEqual">
      <formula>0.5</formula>
    </cfRule>
  </conditionalFormatting>
  <conditionalFormatting sqref="AX56">
    <cfRule type="cellIs" dxfId="27928" priority="91527" stopIfTrue="1" operator="equal">
      <formula>-1</formula>
    </cfRule>
  </conditionalFormatting>
  <conditionalFormatting sqref="AX56">
    <cfRule type="cellIs" dxfId="27927" priority="91528" stopIfTrue="1" operator="lessThan">
      <formula>0.5</formula>
    </cfRule>
  </conditionalFormatting>
  <conditionalFormatting sqref="AX56">
    <cfRule type="cellIs" dxfId="27926" priority="91529" stopIfTrue="1" operator="greaterThanOrEqual">
      <formula>0.5</formula>
    </cfRule>
  </conditionalFormatting>
  <conditionalFormatting sqref="AX57">
    <cfRule type="cellIs" dxfId="27925" priority="91530" stopIfTrue="1" operator="equal">
      <formula>-1</formula>
    </cfRule>
  </conditionalFormatting>
  <conditionalFormatting sqref="AX57">
    <cfRule type="cellIs" dxfId="27924" priority="91531" stopIfTrue="1" operator="lessThan">
      <formula>0.5</formula>
    </cfRule>
  </conditionalFormatting>
  <conditionalFormatting sqref="AX57">
    <cfRule type="cellIs" dxfId="27923" priority="91532" stopIfTrue="1" operator="greaterThanOrEqual">
      <formula>0.5</formula>
    </cfRule>
  </conditionalFormatting>
  <conditionalFormatting sqref="AX58">
    <cfRule type="cellIs" dxfId="27922" priority="91533" stopIfTrue="1" operator="equal">
      <formula>-1</formula>
    </cfRule>
  </conditionalFormatting>
  <conditionalFormatting sqref="AX58">
    <cfRule type="cellIs" dxfId="27921" priority="91534" stopIfTrue="1" operator="lessThan">
      <formula>0.5</formula>
    </cfRule>
  </conditionalFormatting>
  <conditionalFormatting sqref="AX58">
    <cfRule type="cellIs" dxfId="27920" priority="91535" stopIfTrue="1" operator="greaterThanOrEqual">
      <formula>0.5</formula>
    </cfRule>
  </conditionalFormatting>
  <conditionalFormatting sqref="AZ39">
    <cfRule type="cellIs" dxfId="27919" priority="91536" stopIfTrue="1" operator="equal">
      <formula>-1</formula>
    </cfRule>
  </conditionalFormatting>
  <conditionalFormatting sqref="AZ39">
    <cfRule type="cellIs" dxfId="27918" priority="91537" stopIfTrue="1" operator="lessThan">
      <formula>0.5</formula>
    </cfRule>
  </conditionalFormatting>
  <conditionalFormatting sqref="AZ39">
    <cfRule type="cellIs" dxfId="27917" priority="91538" stopIfTrue="1" operator="greaterThanOrEqual">
      <formula>0.5</formula>
    </cfRule>
  </conditionalFormatting>
  <conditionalFormatting sqref="AZ40">
    <cfRule type="cellIs" dxfId="27916" priority="91539" stopIfTrue="1" operator="equal">
      <formula>-1</formula>
    </cfRule>
  </conditionalFormatting>
  <conditionalFormatting sqref="AZ40">
    <cfRule type="cellIs" dxfId="27915" priority="91540" stopIfTrue="1" operator="lessThan">
      <formula>0.5</formula>
    </cfRule>
  </conditionalFormatting>
  <conditionalFormatting sqref="AZ40">
    <cfRule type="cellIs" dxfId="27914" priority="91541" stopIfTrue="1" operator="greaterThanOrEqual">
      <formula>0.5</formula>
    </cfRule>
  </conditionalFormatting>
  <conditionalFormatting sqref="AZ41">
    <cfRule type="cellIs" dxfId="27913" priority="91542" stopIfTrue="1" operator="equal">
      <formula>-1</formula>
    </cfRule>
  </conditionalFormatting>
  <conditionalFormatting sqref="AZ41">
    <cfRule type="cellIs" dxfId="27912" priority="91543" stopIfTrue="1" operator="lessThan">
      <formula>0.5</formula>
    </cfRule>
  </conditionalFormatting>
  <conditionalFormatting sqref="AZ41">
    <cfRule type="cellIs" dxfId="27911" priority="91544" stopIfTrue="1" operator="greaterThanOrEqual">
      <formula>0.5</formula>
    </cfRule>
  </conditionalFormatting>
  <conditionalFormatting sqref="AZ42">
    <cfRule type="cellIs" dxfId="27910" priority="91545" stopIfTrue="1" operator="equal">
      <formula>-1</formula>
    </cfRule>
  </conditionalFormatting>
  <conditionalFormatting sqref="AZ42">
    <cfRule type="cellIs" dxfId="27909" priority="91546" stopIfTrue="1" operator="lessThan">
      <formula>0.5</formula>
    </cfRule>
  </conditionalFormatting>
  <conditionalFormatting sqref="AZ42">
    <cfRule type="cellIs" dxfId="27908" priority="91547" stopIfTrue="1" operator="greaterThanOrEqual">
      <formula>0.5</formula>
    </cfRule>
  </conditionalFormatting>
  <conditionalFormatting sqref="AZ43">
    <cfRule type="cellIs" dxfId="27907" priority="91548" stopIfTrue="1" operator="equal">
      <formula>-1</formula>
    </cfRule>
  </conditionalFormatting>
  <conditionalFormatting sqref="AZ43">
    <cfRule type="cellIs" dxfId="27906" priority="91549" stopIfTrue="1" operator="lessThan">
      <formula>0.5</formula>
    </cfRule>
  </conditionalFormatting>
  <conditionalFormatting sqref="AZ43">
    <cfRule type="cellIs" dxfId="27905" priority="91550" stopIfTrue="1" operator="greaterThanOrEqual">
      <formula>0.5</formula>
    </cfRule>
  </conditionalFormatting>
  <conditionalFormatting sqref="AZ44">
    <cfRule type="cellIs" dxfId="27904" priority="91551" stopIfTrue="1" operator="equal">
      <formula>-1</formula>
    </cfRule>
  </conditionalFormatting>
  <conditionalFormatting sqref="AZ44">
    <cfRule type="cellIs" dxfId="27903" priority="91552" stopIfTrue="1" operator="lessThan">
      <formula>0.5</formula>
    </cfRule>
  </conditionalFormatting>
  <conditionalFormatting sqref="AZ44">
    <cfRule type="cellIs" dxfId="27902" priority="91553" stopIfTrue="1" operator="greaterThanOrEqual">
      <formula>0.5</formula>
    </cfRule>
  </conditionalFormatting>
  <conditionalFormatting sqref="AZ45">
    <cfRule type="cellIs" dxfId="27901" priority="91554" stopIfTrue="1" operator="equal">
      <formula>-1</formula>
    </cfRule>
  </conditionalFormatting>
  <conditionalFormatting sqref="AZ45">
    <cfRule type="cellIs" dxfId="27900" priority="91555" stopIfTrue="1" operator="lessThan">
      <formula>0.5</formula>
    </cfRule>
  </conditionalFormatting>
  <conditionalFormatting sqref="AZ45">
    <cfRule type="cellIs" dxfId="27899" priority="91556" stopIfTrue="1" operator="greaterThanOrEqual">
      <formula>0.5</formula>
    </cfRule>
  </conditionalFormatting>
  <conditionalFormatting sqref="AZ46">
    <cfRule type="cellIs" dxfId="27898" priority="91557" stopIfTrue="1" operator="equal">
      <formula>-1</formula>
    </cfRule>
  </conditionalFormatting>
  <conditionalFormatting sqref="AZ46">
    <cfRule type="cellIs" dxfId="27897" priority="91558" stopIfTrue="1" operator="lessThan">
      <formula>0.5</formula>
    </cfRule>
  </conditionalFormatting>
  <conditionalFormatting sqref="AZ46">
    <cfRule type="cellIs" dxfId="27896" priority="91559" stopIfTrue="1" operator="greaterThanOrEqual">
      <formula>0.5</formula>
    </cfRule>
  </conditionalFormatting>
  <conditionalFormatting sqref="AZ47">
    <cfRule type="cellIs" dxfId="27895" priority="91560" stopIfTrue="1" operator="equal">
      <formula>-1</formula>
    </cfRule>
  </conditionalFormatting>
  <conditionalFormatting sqref="AZ47">
    <cfRule type="cellIs" dxfId="27894" priority="91561" stopIfTrue="1" operator="lessThan">
      <formula>0.5</formula>
    </cfRule>
  </conditionalFormatting>
  <conditionalFormatting sqref="AZ47">
    <cfRule type="cellIs" dxfId="27893" priority="91562" stopIfTrue="1" operator="greaterThanOrEqual">
      <formula>0.5</formula>
    </cfRule>
  </conditionalFormatting>
  <conditionalFormatting sqref="AZ48">
    <cfRule type="cellIs" dxfId="27892" priority="91563" stopIfTrue="1" operator="equal">
      <formula>-1</formula>
    </cfRule>
  </conditionalFormatting>
  <conditionalFormatting sqref="AZ48">
    <cfRule type="cellIs" dxfId="27891" priority="91564" stopIfTrue="1" operator="lessThan">
      <formula>0.5</formula>
    </cfRule>
  </conditionalFormatting>
  <conditionalFormatting sqref="AZ48">
    <cfRule type="cellIs" dxfId="27890" priority="91565" stopIfTrue="1" operator="greaterThanOrEqual">
      <formula>0.5</formula>
    </cfRule>
  </conditionalFormatting>
  <conditionalFormatting sqref="AZ49">
    <cfRule type="cellIs" dxfId="27889" priority="91566" stopIfTrue="1" operator="equal">
      <formula>-1</formula>
    </cfRule>
  </conditionalFormatting>
  <conditionalFormatting sqref="AZ49">
    <cfRule type="cellIs" dxfId="27888" priority="91567" stopIfTrue="1" operator="lessThan">
      <formula>0.5</formula>
    </cfRule>
  </conditionalFormatting>
  <conditionalFormatting sqref="AZ49">
    <cfRule type="cellIs" dxfId="27887" priority="91568" stopIfTrue="1" operator="greaterThanOrEqual">
      <formula>0.5</formula>
    </cfRule>
  </conditionalFormatting>
  <conditionalFormatting sqref="AZ50">
    <cfRule type="cellIs" dxfId="27886" priority="91569" stopIfTrue="1" operator="equal">
      <formula>-1</formula>
    </cfRule>
  </conditionalFormatting>
  <conditionalFormatting sqref="AZ50">
    <cfRule type="cellIs" dxfId="27885" priority="91570" stopIfTrue="1" operator="lessThan">
      <formula>0.5</formula>
    </cfRule>
  </conditionalFormatting>
  <conditionalFormatting sqref="AZ50">
    <cfRule type="cellIs" dxfId="27884" priority="91571" stopIfTrue="1" operator="greaterThanOrEqual">
      <formula>0.5</formula>
    </cfRule>
  </conditionalFormatting>
  <conditionalFormatting sqref="AZ51">
    <cfRule type="cellIs" dxfId="27883" priority="91572" stopIfTrue="1" operator="equal">
      <formula>-1</formula>
    </cfRule>
  </conditionalFormatting>
  <conditionalFormatting sqref="AZ51">
    <cfRule type="cellIs" dxfId="27882" priority="91573" stopIfTrue="1" operator="lessThan">
      <formula>0.5</formula>
    </cfRule>
  </conditionalFormatting>
  <conditionalFormatting sqref="AZ51">
    <cfRule type="cellIs" dxfId="27881" priority="91574" stopIfTrue="1" operator="greaterThanOrEqual">
      <formula>0.5</formula>
    </cfRule>
  </conditionalFormatting>
  <conditionalFormatting sqref="AZ52">
    <cfRule type="cellIs" dxfId="27880" priority="91575" stopIfTrue="1" operator="equal">
      <formula>-1</formula>
    </cfRule>
  </conditionalFormatting>
  <conditionalFormatting sqref="AZ52">
    <cfRule type="cellIs" dxfId="27879" priority="91576" stopIfTrue="1" operator="lessThan">
      <formula>0.5</formula>
    </cfRule>
  </conditionalFormatting>
  <conditionalFormatting sqref="AZ52">
    <cfRule type="cellIs" dxfId="27878" priority="91577" stopIfTrue="1" operator="greaterThanOrEqual">
      <formula>0.5</formula>
    </cfRule>
  </conditionalFormatting>
  <conditionalFormatting sqref="AZ53">
    <cfRule type="cellIs" dxfId="27877" priority="91578" stopIfTrue="1" operator="equal">
      <formula>-1</formula>
    </cfRule>
  </conditionalFormatting>
  <conditionalFormatting sqref="AZ53">
    <cfRule type="cellIs" dxfId="27876" priority="91579" stopIfTrue="1" operator="lessThan">
      <formula>0.5</formula>
    </cfRule>
  </conditionalFormatting>
  <conditionalFormatting sqref="AZ53">
    <cfRule type="cellIs" dxfId="27875" priority="91580" stopIfTrue="1" operator="greaterThanOrEqual">
      <formula>0.5</formula>
    </cfRule>
  </conditionalFormatting>
  <conditionalFormatting sqref="AZ54">
    <cfRule type="cellIs" dxfId="27874" priority="91581" stopIfTrue="1" operator="equal">
      <formula>-1</formula>
    </cfRule>
  </conditionalFormatting>
  <conditionalFormatting sqref="AZ54">
    <cfRule type="cellIs" dxfId="27873" priority="91582" stopIfTrue="1" operator="lessThan">
      <formula>0.5</formula>
    </cfRule>
  </conditionalFormatting>
  <conditionalFormatting sqref="AZ54">
    <cfRule type="cellIs" dxfId="27872" priority="91583" stopIfTrue="1" operator="greaterThanOrEqual">
      <formula>0.5</formula>
    </cfRule>
  </conditionalFormatting>
  <conditionalFormatting sqref="AZ55">
    <cfRule type="cellIs" dxfId="27871" priority="91584" stopIfTrue="1" operator="equal">
      <formula>-1</formula>
    </cfRule>
  </conditionalFormatting>
  <conditionalFormatting sqref="AZ55">
    <cfRule type="cellIs" dxfId="27870" priority="91585" stopIfTrue="1" operator="lessThan">
      <formula>0.5</formula>
    </cfRule>
  </conditionalFormatting>
  <conditionalFormatting sqref="AZ55">
    <cfRule type="cellIs" dxfId="27869" priority="91586" stopIfTrue="1" operator="greaterThanOrEqual">
      <formula>0.5</formula>
    </cfRule>
  </conditionalFormatting>
  <conditionalFormatting sqref="AZ56">
    <cfRule type="cellIs" dxfId="27868" priority="91587" stopIfTrue="1" operator="equal">
      <formula>-1</formula>
    </cfRule>
  </conditionalFormatting>
  <conditionalFormatting sqref="AZ56">
    <cfRule type="cellIs" dxfId="27867" priority="91588" stopIfTrue="1" operator="lessThan">
      <formula>0.5</formula>
    </cfRule>
  </conditionalFormatting>
  <conditionalFormatting sqref="AZ56">
    <cfRule type="cellIs" dxfId="27866" priority="91589" stopIfTrue="1" operator="greaterThanOrEqual">
      <formula>0.5</formula>
    </cfRule>
  </conditionalFormatting>
  <conditionalFormatting sqref="AZ57">
    <cfRule type="cellIs" dxfId="27865" priority="91590" stopIfTrue="1" operator="equal">
      <formula>-1</formula>
    </cfRule>
  </conditionalFormatting>
  <conditionalFormatting sqref="AZ57">
    <cfRule type="cellIs" dxfId="27864" priority="91591" stopIfTrue="1" operator="lessThan">
      <formula>0.5</formula>
    </cfRule>
  </conditionalFormatting>
  <conditionalFormatting sqref="AZ57">
    <cfRule type="cellIs" dxfId="27863" priority="91592" stopIfTrue="1" operator="greaterThanOrEqual">
      <formula>0.5</formula>
    </cfRule>
  </conditionalFormatting>
  <conditionalFormatting sqref="AZ58">
    <cfRule type="cellIs" dxfId="27862" priority="91593" stopIfTrue="1" operator="equal">
      <formula>-1</formula>
    </cfRule>
  </conditionalFormatting>
  <conditionalFormatting sqref="AZ58">
    <cfRule type="cellIs" dxfId="27861" priority="91594" stopIfTrue="1" operator="lessThan">
      <formula>0.5</formula>
    </cfRule>
  </conditionalFormatting>
  <conditionalFormatting sqref="AZ58">
    <cfRule type="cellIs" dxfId="27860" priority="91595" stopIfTrue="1" operator="greaterThanOrEqual">
      <formula>0.5</formula>
    </cfRule>
  </conditionalFormatting>
  <conditionalFormatting sqref="BB39">
    <cfRule type="cellIs" dxfId="27859" priority="91596" stopIfTrue="1" operator="equal">
      <formula>-1</formula>
    </cfRule>
  </conditionalFormatting>
  <conditionalFormatting sqref="BB39">
    <cfRule type="cellIs" dxfId="27858" priority="91597" stopIfTrue="1" operator="lessThan">
      <formula>0.5</formula>
    </cfRule>
  </conditionalFormatting>
  <conditionalFormatting sqref="BB39">
    <cfRule type="cellIs" dxfId="27857" priority="91598" stopIfTrue="1" operator="greaterThanOrEqual">
      <formula>0.5</formula>
    </cfRule>
  </conditionalFormatting>
  <conditionalFormatting sqref="BB40">
    <cfRule type="cellIs" dxfId="27856" priority="91599" stopIfTrue="1" operator="equal">
      <formula>-1</formula>
    </cfRule>
  </conditionalFormatting>
  <conditionalFormatting sqref="BB40">
    <cfRule type="cellIs" dxfId="27855" priority="91600" stopIfTrue="1" operator="lessThan">
      <formula>0.5</formula>
    </cfRule>
  </conditionalFormatting>
  <conditionalFormatting sqref="BB40">
    <cfRule type="cellIs" dxfId="27854" priority="91601" stopIfTrue="1" operator="greaterThanOrEqual">
      <formula>0.5</formula>
    </cfRule>
  </conditionalFormatting>
  <conditionalFormatting sqref="BB41">
    <cfRule type="cellIs" dxfId="27853" priority="91602" stopIfTrue="1" operator="equal">
      <formula>-1</formula>
    </cfRule>
  </conditionalFormatting>
  <conditionalFormatting sqref="BB41">
    <cfRule type="cellIs" dxfId="27852" priority="91603" stopIfTrue="1" operator="lessThan">
      <formula>0.5</formula>
    </cfRule>
  </conditionalFormatting>
  <conditionalFormatting sqref="BB41">
    <cfRule type="cellIs" dxfId="27851" priority="91604" stopIfTrue="1" operator="greaterThanOrEqual">
      <formula>0.5</formula>
    </cfRule>
  </conditionalFormatting>
  <conditionalFormatting sqref="BB42">
    <cfRule type="cellIs" dxfId="27850" priority="91605" stopIfTrue="1" operator="equal">
      <formula>-1</formula>
    </cfRule>
  </conditionalFormatting>
  <conditionalFormatting sqref="BB42">
    <cfRule type="cellIs" dxfId="27849" priority="91606" stopIfTrue="1" operator="lessThan">
      <formula>0.5</formula>
    </cfRule>
  </conditionalFormatting>
  <conditionalFormatting sqref="BB42">
    <cfRule type="cellIs" dxfId="27848" priority="91607" stopIfTrue="1" operator="greaterThanOrEqual">
      <formula>0.5</formula>
    </cfRule>
  </conditionalFormatting>
  <conditionalFormatting sqref="BB43">
    <cfRule type="cellIs" dxfId="27847" priority="91608" stopIfTrue="1" operator="equal">
      <formula>-1</formula>
    </cfRule>
  </conditionalFormatting>
  <conditionalFormatting sqref="BB43">
    <cfRule type="cellIs" dxfId="27846" priority="91609" stopIfTrue="1" operator="lessThan">
      <formula>0.5</formula>
    </cfRule>
  </conditionalFormatting>
  <conditionalFormatting sqref="BB43">
    <cfRule type="cellIs" dxfId="27845" priority="91610" stopIfTrue="1" operator="greaterThanOrEqual">
      <formula>0.5</formula>
    </cfRule>
  </conditionalFormatting>
  <conditionalFormatting sqref="BB44">
    <cfRule type="cellIs" dxfId="27844" priority="91611" stopIfTrue="1" operator="equal">
      <formula>-1</formula>
    </cfRule>
  </conditionalFormatting>
  <conditionalFormatting sqref="BB44">
    <cfRule type="cellIs" dxfId="27843" priority="91612" stopIfTrue="1" operator="lessThan">
      <formula>0.5</formula>
    </cfRule>
  </conditionalFormatting>
  <conditionalFormatting sqref="BB44">
    <cfRule type="cellIs" dxfId="27842" priority="91613" stopIfTrue="1" operator="greaterThanOrEqual">
      <formula>0.5</formula>
    </cfRule>
  </conditionalFormatting>
  <conditionalFormatting sqref="BB45">
    <cfRule type="cellIs" dxfId="27841" priority="91614" stopIfTrue="1" operator="equal">
      <formula>-1</formula>
    </cfRule>
  </conditionalFormatting>
  <conditionalFormatting sqref="BB45">
    <cfRule type="cellIs" dxfId="27840" priority="91615" stopIfTrue="1" operator="lessThan">
      <formula>0.5</formula>
    </cfRule>
  </conditionalFormatting>
  <conditionalFormatting sqref="BB45">
    <cfRule type="cellIs" dxfId="27839" priority="91616" stopIfTrue="1" operator="greaterThanOrEqual">
      <formula>0.5</formula>
    </cfRule>
  </conditionalFormatting>
  <conditionalFormatting sqref="BB46">
    <cfRule type="cellIs" dxfId="27838" priority="91617" stopIfTrue="1" operator="equal">
      <formula>-1</formula>
    </cfRule>
  </conditionalFormatting>
  <conditionalFormatting sqref="BB46">
    <cfRule type="cellIs" dxfId="27837" priority="91618" stopIfTrue="1" operator="lessThan">
      <formula>0.5</formula>
    </cfRule>
  </conditionalFormatting>
  <conditionalFormatting sqref="BB46">
    <cfRule type="cellIs" dxfId="27836" priority="91619" stopIfTrue="1" operator="greaterThanOrEqual">
      <formula>0.5</formula>
    </cfRule>
  </conditionalFormatting>
  <conditionalFormatting sqref="BB47">
    <cfRule type="cellIs" dxfId="27835" priority="91620" stopIfTrue="1" operator="equal">
      <formula>-1</formula>
    </cfRule>
  </conditionalFormatting>
  <conditionalFormatting sqref="BB47">
    <cfRule type="cellIs" dxfId="27834" priority="91621" stopIfTrue="1" operator="lessThan">
      <formula>0.5</formula>
    </cfRule>
  </conditionalFormatting>
  <conditionalFormatting sqref="BB47">
    <cfRule type="cellIs" dxfId="27833" priority="91622" stopIfTrue="1" operator="greaterThanOrEqual">
      <formula>0.5</formula>
    </cfRule>
  </conditionalFormatting>
  <conditionalFormatting sqref="BB48">
    <cfRule type="cellIs" dxfId="27832" priority="91623" stopIfTrue="1" operator="equal">
      <formula>-1</formula>
    </cfRule>
  </conditionalFormatting>
  <conditionalFormatting sqref="BB48">
    <cfRule type="cellIs" dxfId="27831" priority="91624" stopIfTrue="1" operator="lessThan">
      <formula>0.5</formula>
    </cfRule>
  </conditionalFormatting>
  <conditionalFormatting sqref="BB48">
    <cfRule type="cellIs" dxfId="27830" priority="91625" stopIfTrue="1" operator="greaterThanOrEqual">
      <formula>0.5</formula>
    </cfRule>
  </conditionalFormatting>
  <conditionalFormatting sqref="BB49">
    <cfRule type="cellIs" dxfId="27829" priority="91626" stopIfTrue="1" operator="equal">
      <formula>-1</formula>
    </cfRule>
  </conditionalFormatting>
  <conditionalFormatting sqref="BB49">
    <cfRule type="cellIs" dxfId="27828" priority="91627" stopIfTrue="1" operator="lessThan">
      <formula>0.5</formula>
    </cfRule>
  </conditionalFormatting>
  <conditionalFormatting sqref="BB49">
    <cfRule type="cellIs" dxfId="27827" priority="91628" stopIfTrue="1" operator="greaterThanOrEqual">
      <formula>0.5</formula>
    </cfRule>
  </conditionalFormatting>
  <conditionalFormatting sqref="BB50">
    <cfRule type="cellIs" dxfId="27826" priority="91629" stopIfTrue="1" operator="equal">
      <formula>-1</formula>
    </cfRule>
  </conditionalFormatting>
  <conditionalFormatting sqref="BB50">
    <cfRule type="cellIs" dxfId="27825" priority="91630" stopIfTrue="1" operator="lessThan">
      <formula>0.5</formula>
    </cfRule>
  </conditionalFormatting>
  <conditionalFormatting sqref="BB50">
    <cfRule type="cellIs" dxfId="27824" priority="91631" stopIfTrue="1" operator="greaterThanOrEqual">
      <formula>0.5</formula>
    </cfRule>
  </conditionalFormatting>
  <conditionalFormatting sqref="BB51">
    <cfRule type="cellIs" dxfId="27823" priority="91632" stopIfTrue="1" operator="equal">
      <formula>-1</formula>
    </cfRule>
  </conditionalFormatting>
  <conditionalFormatting sqref="BB51">
    <cfRule type="cellIs" dxfId="27822" priority="91633" stopIfTrue="1" operator="lessThan">
      <formula>0.5</formula>
    </cfRule>
  </conditionalFormatting>
  <conditionalFormatting sqref="BB51">
    <cfRule type="cellIs" dxfId="27821" priority="91634" stopIfTrue="1" operator="greaterThanOrEqual">
      <formula>0.5</formula>
    </cfRule>
  </conditionalFormatting>
  <conditionalFormatting sqref="BB52">
    <cfRule type="cellIs" dxfId="27820" priority="91635" stopIfTrue="1" operator="equal">
      <formula>-1</formula>
    </cfRule>
  </conditionalFormatting>
  <conditionalFormatting sqref="BB52">
    <cfRule type="cellIs" dxfId="27819" priority="91636" stopIfTrue="1" operator="lessThan">
      <formula>0.5</formula>
    </cfRule>
  </conditionalFormatting>
  <conditionalFormatting sqref="BB52">
    <cfRule type="cellIs" dxfId="27818" priority="91637" stopIfTrue="1" operator="greaterThanOrEqual">
      <formula>0.5</formula>
    </cfRule>
  </conditionalFormatting>
  <conditionalFormatting sqref="BB53">
    <cfRule type="cellIs" dxfId="27817" priority="91638" stopIfTrue="1" operator="equal">
      <formula>-1</formula>
    </cfRule>
  </conditionalFormatting>
  <conditionalFormatting sqref="BB53">
    <cfRule type="cellIs" dxfId="27816" priority="91639" stopIfTrue="1" operator="lessThan">
      <formula>0.5</formula>
    </cfRule>
  </conditionalFormatting>
  <conditionalFormatting sqref="BB53">
    <cfRule type="cellIs" dxfId="27815" priority="91640" stopIfTrue="1" operator="greaterThanOrEqual">
      <formula>0.5</formula>
    </cfRule>
  </conditionalFormatting>
  <conditionalFormatting sqref="BB54">
    <cfRule type="cellIs" dxfId="27814" priority="91641" stopIfTrue="1" operator="equal">
      <formula>-1</formula>
    </cfRule>
  </conditionalFormatting>
  <conditionalFormatting sqref="BB54">
    <cfRule type="cellIs" dxfId="27813" priority="91642" stopIfTrue="1" operator="lessThan">
      <formula>0.5</formula>
    </cfRule>
  </conditionalFormatting>
  <conditionalFormatting sqref="BB54">
    <cfRule type="cellIs" dxfId="27812" priority="91643" stopIfTrue="1" operator="greaterThanOrEqual">
      <formula>0.5</formula>
    </cfRule>
  </conditionalFormatting>
  <conditionalFormatting sqref="BB55">
    <cfRule type="cellIs" dxfId="27811" priority="91644" stopIfTrue="1" operator="equal">
      <formula>-1</formula>
    </cfRule>
  </conditionalFormatting>
  <conditionalFormatting sqref="BB55">
    <cfRule type="cellIs" dxfId="27810" priority="91645" stopIfTrue="1" operator="lessThan">
      <formula>0.5</formula>
    </cfRule>
  </conditionalFormatting>
  <conditionalFormatting sqref="BB55">
    <cfRule type="cellIs" dxfId="27809" priority="91646" stopIfTrue="1" operator="greaterThanOrEqual">
      <formula>0.5</formula>
    </cfRule>
  </conditionalFormatting>
  <conditionalFormatting sqref="BB56">
    <cfRule type="cellIs" dxfId="27808" priority="91647" stopIfTrue="1" operator="equal">
      <formula>-1</formula>
    </cfRule>
  </conditionalFormatting>
  <conditionalFormatting sqref="BB56">
    <cfRule type="cellIs" dxfId="27807" priority="91648" stopIfTrue="1" operator="lessThan">
      <formula>0.5</formula>
    </cfRule>
  </conditionalFormatting>
  <conditionalFormatting sqref="BB56">
    <cfRule type="cellIs" dxfId="27806" priority="91649" stopIfTrue="1" operator="greaterThanOrEqual">
      <formula>0.5</formula>
    </cfRule>
  </conditionalFormatting>
  <conditionalFormatting sqref="BB57">
    <cfRule type="cellIs" dxfId="27805" priority="91650" stopIfTrue="1" operator="equal">
      <formula>-1</formula>
    </cfRule>
  </conditionalFormatting>
  <conditionalFormatting sqref="BB57">
    <cfRule type="cellIs" dxfId="27804" priority="91651" stopIfTrue="1" operator="lessThan">
      <formula>0.5</formula>
    </cfRule>
  </conditionalFormatting>
  <conditionalFormatting sqref="BB57">
    <cfRule type="cellIs" dxfId="27803" priority="91652" stopIfTrue="1" operator="greaterThanOrEqual">
      <formula>0.5</formula>
    </cfRule>
  </conditionalFormatting>
  <conditionalFormatting sqref="BB58">
    <cfRule type="cellIs" dxfId="27802" priority="91653" stopIfTrue="1" operator="equal">
      <formula>-1</formula>
    </cfRule>
  </conditionalFormatting>
  <conditionalFormatting sqref="BB58">
    <cfRule type="cellIs" dxfId="27801" priority="91654" stopIfTrue="1" operator="lessThan">
      <formula>0.5</formula>
    </cfRule>
  </conditionalFormatting>
  <conditionalFormatting sqref="BB58">
    <cfRule type="cellIs" dxfId="27800" priority="91655" stopIfTrue="1" operator="greaterThanOrEqual">
      <formula>0.5</formula>
    </cfRule>
  </conditionalFormatting>
  <conditionalFormatting sqref="BD39">
    <cfRule type="cellIs" dxfId="27799" priority="91656" stopIfTrue="1" operator="equal">
      <formula>-1</formula>
    </cfRule>
  </conditionalFormatting>
  <conditionalFormatting sqref="BD39">
    <cfRule type="cellIs" dxfId="27798" priority="91657" stopIfTrue="1" operator="lessThan">
      <formula>0.5</formula>
    </cfRule>
  </conditionalFormatting>
  <conditionalFormatting sqref="BD39">
    <cfRule type="cellIs" dxfId="27797" priority="91658" stopIfTrue="1" operator="greaterThanOrEqual">
      <formula>0.5</formula>
    </cfRule>
  </conditionalFormatting>
  <conditionalFormatting sqref="BD40">
    <cfRule type="cellIs" dxfId="27796" priority="91659" stopIfTrue="1" operator="equal">
      <formula>-1</formula>
    </cfRule>
  </conditionalFormatting>
  <conditionalFormatting sqref="BD40">
    <cfRule type="cellIs" dxfId="27795" priority="91660" stopIfTrue="1" operator="lessThan">
      <formula>0.5</formula>
    </cfRule>
  </conditionalFormatting>
  <conditionalFormatting sqref="BD40">
    <cfRule type="cellIs" dxfId="27794" priority="91661" stopIfTrue="1" operator="greaterThanOrEqual">
      <formula>0.5</formula>
    </cfRule>
  </conditionalFormatting>
  <conditionalFormatting sqref="BD41">
    <cfRule type="cellIs" dxfId="27793" priority="91662" stopIfTrue="1" operator="equal">
      <formula>-1</formula>
    </cfRule>
  </conditionalFormatting>
  <conditionalFormatting sqref="BD41">
    <cfRule type="cellIs" dxfId="27792" priority="91663" stopIfTrue="1" operator="lessThan">
      <formula>0.5</formula>
    </cfRule>
  </conditionalFormatting>
  <conditionalFormatting sqref="BD41">
    <cfRule type="cellIs" dxfId="27791" priority="91664" stopIfTrue="1" operator="greaterThanOrEqual">
      <formula>0.5</formula>
    </cfRule>
  </conditionalFormatting>
  <conditionalFormatting sqref="BD42">
    <cfRule type="cellIs" dxfId="27790" priority="91665" stopIfTrue="1" operator="equal">
      <formula>-1</formula>
    </cfRule>
  </conditionalFormatting>
  <conditionalFormatting sqref="BD42">
    <cfRule type="cellIs" dxfId="27789" priority="91666" stopIfTrue="1" operator="lessThan">
      <formula>0.5</formula>
    </cfRule>
  </conditionalFormatting>
  <conditionalFormatting sqref="BD42">
    <cfRule type="cellIs" dxfId="27788" priority="91667" stopIfTrue="1" operator="greaterThanOrEqual">
      <formula>0.5</formula>
    </cfRule>
  </conditionalFormatting>
  <conditionalFormatting sqref="BD43">
    <cfRule type="cellIs" dxfId="27787" priority="91668" stopIfTrue="1" operator="equal">
      <formula>-1</formula>
    </cfRule>
  </conditionalFormatting>
  <conditionalFormatting sqref="BD43">
    <cfRule type="cellIs" dxfId="27786" priority="91669" stopIfTrue="1" operator="lessThan">
      <formula>0.5</formula>
    </cfRule>
  </conditionalFormatting>
  <conditionalFormatting sqref="BD43">
    <cfRule type="cellIs" dxfId="27785" priority="91670" stopIfTrue="1" operator="greaterThanOrEqual">
      <formula>0.5</formula>
    </cfRule>
  </conditionalFormatting>
  <conditionalFormatting sqref="BD44">
    <cfRule type="cellIs" dxfId="27784" priority="91671" stopIfTrue="1" operator="equal">
      <formula>-1</formula>
    </cfRule>
  </conditionalFormatting>
  <conditionalFormatting sqref="BD44">
    <cfRule type="cellIs" dxfId="27783" priority="91672" stopIfTrue="1" operator="lessThan">
      <formula>0.5</formula>
    </cfRule>
  </conditionalFormatting>
  <conditionalFormatting sqref="BD44">
    <cfRule type="cellIs" dxfId="27782" priority="91673" stopIfTrue="1" operator="greaterThanOrEqual">
      <formula>0.5</formula>
    </cfRule>
  </conditionalFormatting>
  <conditionalFormatting sqref="BD45">
    <cfRule type="cellIs" dxfId="27781" priority="91674" stopIfTrue="1" operator="equal">
      <formula>-1</formula>
    </cfRule>
  </conditionalFormatting>
  <conditionalFormatting sqref="BD45">
    <cfRule type="cellIs" dxfId="27780" priority="91675" stopIfTrue="1" operator="lessThan">
      <formula>0.5</formula>
    </cfRule>
  </conditionalFormatting>
  <conditionalFormatting sqref="BD45">
    <cfRule type="cellIs" dxfId="27779" priority="91676" stopIfTrue="1" operator="greaterThanOrEqual">
      <formula>0.5</formula>
    </cfRule>
  </conditionalFormatting>
  <conditionalFormatting sqref="BD46">
    <cfRule type="cellIs" dxfId="27778" priority="91677" stopIfTrue="1" operator="equal">
      <formula>-1</formula>
    </cfRule>
  </conditionalFormatting>
  <conditionalFormatting sqref="BD46">
    <cfRule type="cellIs" dxfId="27777" priority="91678" stopIfTrue="1" operator="lessThan">
      <formula>0.5</formula>
    </cfRule>
  </conditionalFormatting>
  <conditionalFormatting sqref="BD46">
    <cfRule type="cellIs" dxfId="27776" priority="91679" stopIfTrue="1" operator="greaterThanOrEqual">
      <formula>0.5</formula>
    </cfRule>
  </conditionalFormatting>
  <conditionalFormatting sqref="BD47">
    <cfRule type="cellIs" dxfId="27775" priority="91680" stopIfTrue="1" operator="equal">
      <formula>-1</formula>
    </cfRule>
  </conditionalFormatting>
  <conditionalFormatting sqref="BD47">
    <cfRule type="cellIs" dxfId="27774" priority="91681" stopIfTrue="1" operator="lessThan">
      <formula>0.5</formula>
    </cfRule>
  </conditionalFormatting>
  <conditionalFormatting sqref="BD47">
    <cfRule type="cellIs" dxfId="27773" priority="91682" stopIfTrue="1" operator="greaterThanOrEqual">
      <formula>0.5</formula>
    </cfRule>
  </conditionalFormatting>
  <conditionalFormatting sqref="BD48">
    <cfRule type="cellIs" dxfId="27772" priority="91683" stopIfTrue="1" operator="equal">
      <formula>-1</formula>
    </cfRule>
  </conditionalFormatting>
  <conditionalFormatting sqref="BD48">
    <cfRule type="cellIs" dxfId="27771" priority="91684" stopIfTrue="1" operator="lessThan">
      <formula>0.5</formula>
    </cfRule>
  </conditionalFormatting>
  <conditionalFormatting sqref="BD48">
    <cfRule type="cellIs" dxfId="27770" priority="91685" stopIfTrue="1" operator="greaterThanOrEqual">
      <formula>0.5</formula>
    </cfRule>
  </conditionalFormatting>
  <conditionalFormatting sqref="BD49">
    <cfRule type="cellIs" dxfId="27769" priority="91686" stopIfTrue="1" operator="equal">
      <formula>-1</formula>
    </cfRule>
  </conditionalFormatting>
  <conditionalFormatting sqref="BD49">
    <cfRule type="cellIs" dxfId="27768" priority="91687" stopIfTrue="1" operator="lessThan">
      <formula>0.5</formula>
    </cfRule>
  </conditionalFormatting>
  <conditionalFormatting sqref="BD49">
    <cfRule type="cellIs" dxfId="27767" priority="91688" stopIfTrue="1" operator="greaterThanOrEqual">
      <formula>0.5</formula>
    </cfRule>
  </conditionalFormatting>
  <conditionalFormatting sqref="BD50">
    <cfRule type="cellIs" dxfId="27766" priority="91689" stopIfTrue="1" operator="equal">
      <formula>-1</formula>
    </cfRule>
  </conditionalFormatting>
  <conditionalFormatting sqref="BD50">
    <cfRule type="cellIs" dxfId="27765" priority="91690" stopIfTrue="1" operator="lessThan">
      <formula>0.5</formula>
    </cfRule>
  </conditionalFormatting>
  <conditionalFormatting sqref="BD50">
    <cfRule type="cellIs" dxfId="27764" priority="91691" stopIfTrue="1" operator="greaterThanOrEqual">
      <formula>0.5</formula>
    </cfRule>
  </conditionalFormatting>
  <conditionalFormatting sqref="BD51">
    <cfRule type="cellIs" dxfId="27763" priority="91692" stopIfTrue="1" operator="equal">
      <formula>-1</formula>
    </cfRule>
  </conditionalFormatting>
  <conditionalFormatting sqref="BD51">
    <cfRule type="cellIs" dxfId="27762" priority="91693" stopIfTrue="1" operator="lessThan">
      <formula>0.5</formula>
    </cfRule>
  </conditionalFormatting>
  <conditionalFormatting sqref="BD51">
    <cfRule type="cellIs" dxfId="27761" priority="91694" stopIfTrue="1" operator="greaterThanOrEqual">
      <formula>0.5</formula>
    </cfRule>
  </conditionalFormatting>
  <conditionalFormatting sqref="BD52">
    <cfRule type="cellIs" dxfId="27760" priority="91695" stopIfTrue="1" operator="equal">
      <formula>-1</formula>
    </cfRule>
  </conditionalFormatting>
  <conditionalFormatting sqref="BD52">
    <cfRule type="cellIs" dxfId="27759" priority="91696" stopIfTrue="1" operator="lessThan">
      <formula>0.5</formula>
    </cfRule>
  </conditionalFormatting>
  <conditionalFormatting sqref="BD52">
    <cfRule type="cellIs" dxfId="27758" priority="91697" stopIfTrue="1" operator="greaterThanOrEqual">
      <formula>0.5</formula>
    </cfRule>
  </conditionalFormatting>
  <conditionalFormatting sqref="BD53">
    <cfRule type="cellIs" dxfId="27757" priority="91698" stopIfTrue="1" operator="equal">
      <formula>-1</formula>
    </cfRule>
  </conditionalFormatting>
  <conditionalFormatting sqref="BD53">
    <cfRule type="cellIs" dxfId="27756" priority="91699" stopIfTrue="1" operator="lessThan">
      <formula>0.5</formula>
    </cfRule>
  </conditionalFormatting>
  <conditionalFormatting sqref="BD53">
    <cfRule type="cellIs" dxfId="27755" priority="91700" stopIfTrue="1" operator="greaterThanOrEqual">
      <formula>0.5</formula>
    </cfRule>
  </conditionalFormatting>
  <conditionalFormatting sqref="BD54">
    <cfRule type="cellIs" dxfId="27754" priority="91701" stopIfTrue="1" operator="equal">
      <formula>-1</formula>
    </cfRule>
  </conditionalFormatting>
  <conditionalFormatting sqref="BD54">
    <cfRule type="cellIs" dxfId="27753" priority="91702" stopIfTrue="1" operator="lessThan">
      <formula>0.5</formula>
    </cfRule>
  </conditionalFormatting>
  <conditionalFormatting sqref="BD54">
    <cfRule type="cellIs" dxfId="27752" priority="91703" stopIfTrue="1" operator="greaterThanOrEqual">
      <formula>0.5</formula>
    </cfRule>
  </conditionalFormatting>
  <conditionalFormatting sqref="BD55">
    <cfRule type="cellIs" dxfId="27751" priority="91704" stopIfTrue="1" operator="equal">
      <formula>-1</formula>
    </cfRule>
  </conditionalFormatting>
  <conditionalFormatting sqref="BD55">
    <cfRule type="cellIs" dxfId="27750" priority="91705" stopIfTrue="1" operator="lessThan">
      <formula>0.5</formula>
    </cfRule>
  </conditionalFormatting>
  <conditionalFormatting sqref="BD55">
    <cfRule type="cellIs" dxfId="27749" priority="91706" stopIfTrue="1" operator="greaterThanOrEqual">
      <formula>0.5</formula>
    </cfRule>
  </conditionalFormatting>
  <conditionalFormatting sqref="BD56">
    <cfRule type="cellIs" dxfId="27748" priority="91707" stopIfTrue="1" operator="equal">
      <formula>-1</formula>
    </cfRule>
  </conditionalFormatting>
  <conditionalFormatting sqref="BD56">
    <cfRule type="cellIs" dxfId="27747" priority="91708" stopIfTrue="1" operator="lessThan">
      <formula>0.5</formula>
    </cfRule>
  </conditionalFormatting>
  <conditionalFormatting sqref="BD56">
    <cfRule type="cellIs" dxfId="27746" priority="91709" stopIfTrue="1" operator="greaterThanOrEqual">
      <formula>0.5</formula>
    </cfRule>
  </conditionalFormatting>
  <conditionalFormatting sqref="BD57">
    <cfRule type="cellIs" dxfId="27745" priority="91710" stopIfTrue="1" operator="equal">
      <formula>-1</formula>
    </cfRule>
  </conditionalFormatting>
  <conditionalFormatting sqref="BD57">
    <cfRule type="cellIs" dxfId="27744" priority="91711" stopIfTrue="1" operator="lessThan">
      <formula>0.5</formula>
    </cfRule>
  </conditionalFormatting>
  <conditionalFormatting sqref="BD57">
    <cfRule type="cellIs" dxfId="27743" priority="91712" stopIfTrue="1" operator="greaterThanOrEqual">
      <formula>0.5</formula>
    </cfRule>
  </conditionalFormatting>
  <conditionalFormatting sqref="BD58">
    <cfRule type="cellIs" dxfId="27742" priority="91713" stopIfTrue="1" operator="equal">
      <formula>-1</formula>
    </cfRule>
  </conditionalFormatting>
  <conditionalFormatting sqref="BD58">
    <cfRule type="cellIs" dxfId="27741" priority="91714" stopIfTrue="1" operator="lessThan">
      <formula>0.5</formula>
    </cfRule>
  </conditionalFormatting>
  <conditionalFormatting sqref="BD58">
    <cfRule type="cellIs" dxfId="27740" priority="91715" stopIfTrue="1" operator="greaterThanOrEqual">
      <formula>0.5</formula>
    </cfRule>
  </conditionalFormatting>
  <conditionalFormatting sqref="BF39">
    <cfRule type="cellIs" dxfId="27739" priority="91716" stopIfTrue="1" operator="equal">
      <formula>-1</formula>
    </cfRule>
  </conditionalFormatting>
  <conditionalFormatting sqref="BF39">
    <cfRule type="cellIs" dxfId="27738" priority="91717" stopIfTrue="1" operator="lessThan">
      <formula>0.5</formula>
    </cfRule>
  </conditionalFormatting>
  <conditionalFormatting sqref="BF39">
    <cfRule type="cellIs" dxfId="27737" priority="91718" stopIfTrue="1" operator="greaterThanOrEqual">
      <formula>0.5</formula>
    </cfRule>
  </conditionalFormatting>
  <conditionalFormatting sqref="BF40">
    <cfRule type="cellIs" dxfId="27736" priority="91719" stopIfTrue="1" operator="equal">
      <formula>-1</formula>
    </cfRule>
  </conditionalFormatting>
  <conditionalFormatting sqref="BF40">
    <cfRule type="cellIs" dxfId="27735" priority="91720" stopIfTrue="1" operator="lessThan">
      <formula>0.5</formula>
    </cfRule>
  </conditionalFormatting>
  <conditionalFormatting sqref="BF40">
    <cfRule type="cellIs" dxfId="27734" priority="91721" stopIfTrue="1" operator="greaterThanOrEqual">
      <formula>0.5</formula>
    </cfRule>
  </conditionalFormatting>
  <conditionalFormatting sqref="BF41">
    <cfRule type="cellIs" dxfId="27733" priority="91722" stopIfTrue="1" operator="equal">
      <formula>-1</formula>
    </cfRule>
  </conditionalFormatting>
  <conditionalFormatting sqref="BF41">
    <cfRule type="cellIs" dxfId="27732" priority="91723" stopIfTrue="1" operator="lessThan">
      <formula>0.5</formula>
    </cfRule>
  </conditionalFormatting>
  <conditionalFormatting sqref="BF41">
    <cfRule type="cellIs" dxfId="27731" priority="91724" stopIfTrue="1" operator="greaterThanOrEqual">
      <formula>0.5</formula>
    </cfRule>
  </conditionalFormatting>
  <conditionalFormatting sqref="BF42">
    <cfRule type="cellIs" dxfId="27730" priority="91725" stopIfTrue="1" operator="equal">
      <formula>-1</formula>
    </cfRule>
  </conditionalFormatting>
  <conditionalFormatting sqref="BF42">
    <cfRule type="cellIs" dxfId="27729" priority="91726" stopIfTrue="1" operator="lessThan">
      <formula>0.5</formula>
    </cfRule>
  </conditionalFormatting>
  <conditionalFormatting sqref="BF42">
    <cfRule type="cellIs" dxfId="27728" priority="91727" stopIfTrue="1" operator="greaterThanOrEqual">
      <formula>0.5</formula>
    </cfRule>
  </conditionalFormatting>
  <conditionalFormatting sqref="BF43">
    <cfRule type="cellIs" dxfId="27727" priority="91728" stopIfTrue="1" operator="equal">
      <formula>-1</formula>
    </cfRule>
  </conditionalFormatting>
  <conditionalFormatting sqref="BF43">
    <cfRule type="cellIs" dxfId="27726" priority="91729" stopIfTrue="1" operator="lessThan">
      <formula>0.5</formula>
    </cfRule>
  </conditionalFormatting>
  <conditionalFormatting sqref="BF43">
    <cfRule type="cellIs" dxfId="27725" priority="91730" stopIfTrue="1" operator="greaterThanOrEqual">
      <formula>0.5</formula>
    </cfRule>
  </conditionalFormatting>
  <conditionalFormatting sqref="BF44">
    <cfRule type="cellIs" dxfId="27724" priority="91731" stopIfTrue="1" operator="equal">
      <formula>-1</formula>
    </cfRule>
  </conditionalFormatting>
  <conditionalFormatting sqref="BF44">
    <cfRule type="cellIs" dxfId="27723" priority="91732" stopIfTrue="1" operator="lessThan">
      <formula>0.5</formula>
    </cfRule>
  </conditionalFormatting>
  <conditionalFormatting sqref="BF44">
    <cfRule type="cellIs" dxfId="27722" priority="91733" stopIfTrue="1" operator="greaterThanOrEqual">
      <formula>0.5</formula>
    </cfRule>
  </conditionalFormatting>
  <conditionalFormatting sqref="BF45">
    <cfRule type="cellIs" dxfId="27721" priority="91734" stopIfTrue="1" operator="equal">
      <formula>-1</formula>
    </cfRule>
  </conditionalFormatting>
  <conditionalFormatting sqref="BF45">
    <cfRule type="cellIs" dxfId="27720" priority="91735" stopIfTrue="1" operator="lessThan">
      <formula>0.5</formula>
    </cfRule>
  </conditionalFormatting>
  <conditionalFormatting sqref="BF45">
    <cfRule type="cellIs" dxfId="27719" priority="91736" stopIfTrue="1" operator="greaterThanOrEqual">
      <formula>0.5</formula>
    </cfRule>
  </conditionalFormatting>
  <conditionalFormatting sqref="BF46">
    <cfRule type="cellIs" dxfId="27718" priority="91737" stopIfTrue="1" operator="equal">
      <formula>-1</formula>
    </cfRule>
  </conditionalFormatting>
  <conditionalFormatting sqref="BF46">
    <cfRule type="cellIs" dxfId="27717" priority="91738" stopIfTrue="1" operator="lessThan">
      <formula>0.5</formula>
    </cfRule>
  </conditionalFormatting>
  <conditionalFormatting sqref="BF46">
    <cfRule type="cellIs" dxfId="27716" priority="91739" stopIfTrue="1" operator="greaterThanOrEqual">
      <formula>0.5</formula>
    </cfRule>
  </conditionalFormatting>
  <conditionalFormatting sqref="BF47">
    <cfRule type="cellIs" dxfId="27715" priority="91740" stopIfTrue="1" operator="equal">
      <formula>-1</formula>
    </cfRule>
  </conditionalFormatting>
  <conditionalFormatting sqref="BF47">
    <cfRule type="cellIs" dxfId="27714" priority="91741" stopIfTrue="1" operator="lessThan">
      <formula>0.5</formula>
    </cfRule>
  </conditionalFormatting>
  <conditionalFormatting sqref="BF47">
    <cfRule type="cellIs" dxfId="27713" priority="91742" stopIfTrue="1" operator="greaterThanOrEqual">
      <formula>0.5</formula>
    </cfRule>
  </conditionalFormatting>
  <conditionalFormatting sqref="BF48">
    <cfRule type="cellIs" dxfId="27712" priority="91743" stopIfTrue="1" operator="equal">
      <formula>-1</formula>
    </cfRule>
  </conditionalFormatting>
  <conditionalFormatting sqref="BF48">
    <cfRule type="cellIs" dxfId="27711" priority="91744" stopIfTrue="1" operator="lessThan">
      <formula>0.5</formula>
    </cfRule>
  </conditionalFormatting>
  <conditionalFormatting sqref="BF48">
    <cfRule type="cellIs" dxfId="27710" priority="91745" stopIfTrue="1" operator="greaterThanOrEqual">
      <formula>0.5</formula>
    </cfRule>
  </conditionalFormatting>
  <conditionalFormatting sqref="BF49">
    <cfRule type="cellIs" dxfId="27709" priority="91746" stopIfTrue="1" operator="equal">
      <formula>-1</formula>
    </cfRule>
  </conditionalFormatting>
  <conditionalFormatting sqref="BF49">
    <cfRule type="cellIs" dxfId="27708" priority="91747" stopIfTrue="1" operator="lessThan">
      <formula>0.5</formula>
    </cfRule>
  </conditionalFormatting>
  <conditionalFormatting sqref="BF49">
    <cfRule type="cellIs" dxfId="27707" priority="91748" stopIfTrue="1" operator="greaterThanOrEqual">
      <formula>0.5</formula>
    </cfRule>
  </conditionalFormatting>
  <conditionalFormatting sqref="BF50">
    <cfRule type="cellIs" dxfId="27706" priority="91749" stopIfTrue="1" operator="equal">
      <formula>-1</formula>
    </cfRule>
  </conditionalFormatting>
  <conditionalFormatting sqref="BF50">
    <cfRule type="cellIs" dxfId="27705" priority="91750" stopIfTrue="1" operator="lessThan">
      <formula>0.5</formula>
    </cfRule>
  </conditionalFormatting>
  <conditionalFormatting sqref="BF50">
    <cfRule type="cellIs" dxfId="27704" priority="91751" stopIfTrue="1" operator="greaterThanOrEqual">
      <formula>0.5</formula>
    </cfRule>
  </conditionalFormatting>
  <conditionalFormatting sqref="BF51">
    <cfRule type="cellIs" dxfId="27703" priority="91752" stopIfTrue="1" operator="equal">
      <formula>-1</formula>
    </cfRule>
  </conditionalFormatting>
  <conditionalFormatting sqref="BF51">
    <cfRule type="cellIs" dxfId="27702" priority="91753" stopIfTrue="1" operator="lessThan">
      <formula>0.5</formula>
    </cfRule>
  </conditionalFormatting>
  <conditionalFormatting sqref="BF51">
    <cfRule type="cellIs" dxfId="27701" priority="91754" stopIfTrue="1" operator="greaterThanOrEqual">
      <formula>0.5</formula>
    </cfRule>
  </conditionalFormatting>
  <conditionalFormatting sqref="BF52">
    <cfRule type="cellIs" dxfId="27700" priority="91755" stopIfTrue="1" operator="equal">
      <formula>-1</formula>
    </cfRule>
  </conditionalFormatting>
  <conditionalFormatting sqref="BF52">
    <cfRule type="cellIs" dxfId="27699" priority="91756" stopIfTrue="1" operator="lessThan">
      <formula>0.5</formula>
    </cfRule>
  </conditionalFormatting>
  <conditionalFormatting sqref="BF52">
    <cfRule type="cellIs" dxfId="27698" priority="91757" stopIfTrue="1" operator="greaterThanOrEqual">
      <formula>0.5</formula>
    </cfRule>
  </conditionalFormatting>
  <conditionalFormatting sqref="BF53">
    <cfRule type="cellIs" dxfId="27697" priority="91758" stopIfTrue="1" operator="equal">
      <formula>-1</formula>
    </cfRule>
  </conditionalFormatting>
  <conditionalFormatting sqref="BF53">
    <cfRule type="cellIs" dxfId="27696" priority="91759" stopIfTrue="1" operator="lessThan">
      <formula>0.5</formula>
    </cfRule>
  </conditionalFormatting>
  <conditionalFormatting sqref="BF53">
    <cfRule type="cellIs" dxfId="27695" priority="91760" stopIfTrue="1" operator="greaterThanOrEqual">
      <formula>0.5</formula>
    </cfRule>
  </conditionalFormatting>
  <conditionalFormatting sqref="BF54">
    <cfRule type="cellIs" dxfId="27694" priority="91761" stopIfTrue="1" operator="equal">
      <formula>-1</formula>
    </cfRule>
  </conditionalFormatting>
  <conditionalFormatting sqref="BF54">
    <cfRule type="cellIs" dxfId="27693" priority="91762" stopIfTrue="1" operator="lessThan">
      <formula>0.5</formula>
    </cfRule>
  </conditionalFormatting>
  <conditionalFormatting sqref="BF54">
    <cfRule type="cellIs" dxfId="27692" priority="91763" stopIfTrue="1" operator="greaterThanOrEqual">
      <formula>0.5</formula>
    </cfRule>
  </conditionalFormatting>
  <conditionalFormatting sqref="BF55">
    <cfRule type="cellIs" dxfId="27691" priority="91764" stopIfTrue="1" operator="equal">
      <formula>-1</formula>
    </cfRule>
  </conditionalFormatting>
  <conditionalFormatting sqref="BF55">
    <cfRule type="cellIs" dxfId="27690" priority="91765" stopIfTrue="1" operator="lessThan">
      <formula>0.5</formula>
    </cfRule>
  </conditionalFormatting>
  <conditionalFormatting sqref="BF55">
    <cfRule type="cellIs" dxfId="27689" priority="91766" stopIfTrue="1" operator="greaterThanOrEqual">
      <formula>0.5</formula>
    </cfRule>
  </conditionalFormatting>
  <conditionalFormatting sqref="BF56">
    <cfRule type="cellIs" dxfId="27688" priority="91767" stopIfTrue="1" operator="equal">
      <formula>-1</formula>
    </cfRule>
  </conditionalFormatting>
  <conditionalFormatting sqref="BF56">
    <cfRule type="cellIs" dxfId="27687" priority="91768" stopIfTrue="1" operator="lessThan">
      <formula>0.5</formula>
    </cfRule>
  </conditionalFormatting>
  <conditionalFormatting sqref="BF56">
    <cfRule type="cellIs" dxfId="27686" priority="91769" stopIfTrue="1" operator="greaterThanOrEqual">
      <formula>0.5</formula>
    </cfRule>
  </conditionalFormatting>
  <conditionalFormatting sqref="BF57">
    <cfRule type="cellIs" dxfId="27685" priority="91770" stopIfTrue="1" operator="equal">
      <formula>-1</formula>
    </cfRule>
  </conditionalFormatting>
  <conditionalFormatting sqref="BF57">
    <cfRule type="cellIs" dxfId="27684" priority="91771" stopIfTrue="1" operator="lessThan">
      <formula>0.5</formula>
    </cfRule>
  </conditionalFormatting>
  <conditionalFormatting sqref="BF57">
    <cfRule type="cellIs" dxfId="27683" priority="91772" stopIfTrue="1" operator="greaterThanOrEqual">
      <formula>0.5</formula>
    </cfRule>
  </conditionalFormatting>
  <conditionalFormatting sqref="BF58">
    <cfRule type="cellIs" dxfId="27682" priority="91773" stopIfTrue="1" operator="equal">
      <formula>-1</formula>
    </cfRule>
  </conditionalFormatting>
  <conditionalFormatting sqref="BF58">
    <cfRule type="cellIs" dxfId="27681" priority="91774" stopIfTrue="1" operator="lessThan">
      <formula>0.5</formula>
    </cfRule>
  </conditionalFormatting>
  <conditionalFormatting sqref="BF58">
    <cfRule type="cellIs" dxfId="27680" priority="91775" stopIfTrue="1" operator="greaterThanOrEqual">
      <formula>0.5</formula>
    </cfRule>
  </conditionalFormatting>
  <conditionalFormatting sqref="BH39">
    <cfRule type="cellIs" dxfId="27679" priority="91776" stopIfTrue="1" operator="equal">
      <formula>-1</formula>
    </cfRule>
  </conditionalFormatting>
  <conditionalFormatting sqref="BH39">
    <cfRule type="cellIs" dxfId="27678" priority="91777" stopIfTrue="1" operator="lessThan">
      <formula>0.5</formula>
    </cfRule>
  </conditionalFormatting>
  <conditionalFormatting sqref="BH39">
    <cfRule type="cellIs" dxfId="27677" priority="91778" stopIfTrue="1" operator="greaterThanOrEqual">
      <formula>0.5</formula>
    </cfRule>
  </conditionalFormatting>
  <conditionalFormatting sqref="BH40">
    <cfRule type="cellIs" dxfId="27676" priority="91779" stopIfTrue="1" operator="equal">
      <formula>-1</formula>
    </cfRule>
  </conditionalFormatting>
  <conditionalFormatting sqref="BH40">
    <cfRule type="cellIs" dxfId="27675" priority="91780" stopIfTrue="1" operator="lessThan">
      <formula>0.5</formula>
    </cfRule>
  </conditionalFormatting>
  <conditionalFormatting sqref="BH40">
    <cfRule type="cellIs" dxfId="27674" priority="91781" stopIfTrue="1" operator="greaterThanOrEqual">
      <formula>0.5</formula>
    </cfRule>
  </conditionalFormatting>
  <conditionalFormatting sqref="BH41">
    <cfRule type="cellIs" dxfId="27673" priority="91782" stopIfTrue="1" operator="equal">
      <formula>-1</formula>
    </cfRule>
  </conditionalFormatting>
  <conditionalFormatting sqref="BH41">
    <cfRule type="cellIs" dxfId="27672" priority="91783" stopIfTrue="1" operator="lessThan">
      <formula>0.5</formula>
    </cfRule>
  </conditionalFormatting>
  <conditionalFormatting sqref="BH41">
    <cfRule type="cellIs" dxfId="27671" priority="91784" stopIfTrue="1" operator="greaterThanOrEqual">
      <formula>0.5</formula>
    </cfRule>
  </conditionalFormatting>
  <conditionalFormatting sqref="BH42">
    <cfRule type="cellIs" dxfId="27670" priority="91785" stopIfTrue="1" operator="equal">
      <formula>-1</formula>
    </cfRule>
  </conditionalFormatting>
  <conditionalFormatting sqref="BH42">
    <cfRule type="cellIs" dxfId="27669" priority="91786" stopIfTrue="1" operator="lessThan">
      <formula>0.5</formula>
    </cfRule>
  </conditionalFormatting>
  <conditionalFormatting sqref="BH42">
    <cfRule type="cellIs" dxfId="27668" priority="91787" stopIfTrue="1" operator="greaterThanOrEqual">
      <formula>0.5</formula>
    </cfRule>
  </conditionalFormatting>
  <conditionalFormatting sqref="BH43">
    <cfRule type="cellIs" dxfId="27667" priority="91788" stopIfTrue="1" operator="equal">
      <formula>-1</formula>
    </cfRule>
  </conditionalFormatting>
  <conditionalFormatting sqref="BH43">
    <cfRule type="cellIs" dxfId="27666" priority="91789" stopIfTrue="1" operator="lessThan">
      <formula>0.5</formula>
    </cfRule>
  </conditionalFormatting>
  <conditionalFormatting sqref="BH43">
    <cfRule type="cellIs" dxfId="27665" priority="91790" stopIfTrue="1" operator="greaterThanOrEqual">
      <formula>0.5</formula>
    </cfRule>
  </conditionalFormatting>
  <conditionalFormatting sqref="BH44">
    <cfRule type="cellIs" dxfId="27664" priority="91791" stopIfTrue="1" operator="equal">
      <formula>-1</formula>
    </cfRule>
  </conditionalFormatting>
  <conditionalFormatting sqref="BH44">
    <cfRule type="cellIs" dxfId="27663" priority="91792" stopIfTrue="1" operator="lessThan">
      <formula>0.5</formula>
    </cfRule>
  </conditionalFormatting>
  <conditionalFormatting sqref="BH44">
    <cfRule type="cellIs" dxfId="27662" priority="91793" stopIfTrue="1" operator="greaterThanOrEqual">
      <formula>0.5</formula>
    </cfRule>
  </conditionalFormatting>
  <conditionalFormatting sqref="BH45">
    <cfRule type="cellIs" dxfId="27661" priority="91794" stopIfTrue="1" operator="equal">
      <formula>-1</formula>
    </cfRule>
  </conditionalFormatting>
  <conditionalFormatting sqref="BH45">
    <cfRule type="cellIs" dxfId="27660" priority="91795" stopIfTrue="1" operator="lessThan">
      <formula>0.5</formula>
    </cfRule>
  </conditionalFormatting>
  <conditionalFormatting sqref="BH45">
    <cfRule type="cellIs" dxfId="27659" priority="91796" stopIfTrue="1" operator="greaterThanOrEqual">
      <formula>0.5</formula>
    </cfRule>
  </conditionalFormatting>
  <conditionalFormatting sqref="BH46">
    <cfRule type="cellIs" dxfId="27658" priority="91797" stopIfTrue="1" operator="equal">
      <formula>-1</formula>
    </cfRule>
  </conditionalFormatting>
  <conditionalFormatting sqref="BH46">
    <cfRule type="cellIs" dxfId="27657" priority="91798" stopIfTrue="1" operator="lessThan">
      <formula>0.5</formula>
    </cfRule>
  </conditionalFormatting>
  <conditionalFormatting sqref="BH46">
    <cfRule type="cellIs" dxfId="27656" priority="91799" stopIfTrue="1" operator="greaterThanOrEqual">
      <formula>0.5</formula>
    </cfRule>
  </conditionalFormatting>
  <conditionalFormatting sqref="BH47">
    <cfRule type="cellIs" dxfId="27655" priority="91800" stopIfTrue="1" operator="equal">
      <formula>-1</formula>
    </cfRule>
  </conditionalFormatting>
  <conditionalFormatting sqref="BH47">
    <cfRule type="cellIs" dxfId="27654" priority="91801" stopIfTrue="1" operator="lessThan">
      <formula>0.5</formula>
    </cfRule>
  </conditionalFormatting>
  <conditionalFormatting sqref="BH47">
    <cfRule type="cellIs" dxfId="27653" priority="91802" stopIfTrue="1" operator="greaterThanOrEqual">
      <formula>0.5</formula>
    </cfRule>
  </conditionalFormatting>
  <conditionalFormatting sqref="BH48">
    <cfRule type="cellIs" dxfId="27652" priority="91803" stopIfTrue="1" operator="equal">
      <formula>-1</formula>
    </cfRule>
  </conditionalFormatting>
  <conditionalFormatting sqref="BH48">
    <cfRule type="cellIs" dxfId="27651" priority="91804" stopIfTrue="1" operator="lessThan">
      <formula>0.5</formula>
    </cfRule>
  </conditionalFormatting>
  <conditionalFormatting sqref="BH48">
    <cfRule type="cellIs" dxfId="27650" priority="91805" stopIfTrue="1" operator="greaterThanOrEqual">
      <formula>0.5</formula>
    </cfRule>
  </conditionalFormatting>
  <conditionalFormatting sqref="BH49">
    <cfRule type="cellIs" dxfId="27649" priority="91806" stopIfTrue="1" operator="equal">
      <formula>-1</formula>
    </cfRule>
  </conditionalFormatting>
  <conditionalFormatting sqref="BH49">
    <cfRule type="cellIs" dxfId="27648" priority="91807" stopIfTrue="1" operator="lessThan">
      <formula>0.5</formula>
    </cfRule>
  </conditionalFormatting>
  <conditionalFormatting sqref="BH49">
    <cfRule type="cellIs" dxfId="27647" priority="91808" stopIfTrue="1" operator="greaterThanOrEqual">
      <formula>0.5</formula>
    </cfRule>
  </conditionalFormatting>
  <conditionalFormatting sqref="BH50">
    <cfRule type="cellIs" dxfId="27646" priority="91809" stopIfTrue="1" operator="equal">
      <formula>-1</formula>
    </cfRule>
  </conditionalFormatting>
  <conditionalFormatting sqref="BH50">
    <cfRule type="cellIs" dxfId="27645" priority="91810" stopIfTrue="1" operator="lessThan">
      <formula>0.5</formula>
    </cfRule>
  </conditionalFormatting>
  <conditionalFormatting sqref="BH50">
    <cfRule type="cellIs" dxfId="27644" priority="91811" stopIfTrue="1" operator="greaterThanOrEqual">
      <formula>0.5</formula>
    </cfRule>
  </conditionalFormatting>
  <conditionalFormatting sqref="BH51">
    <cfRule type="cellIs" dxfId="27643" priority="91812" stopIfTrue="1" operator="equal">
      <formula>-1</formula>
    </cfRule>
  </conditionalFormatting>
  <conditionalFormatting sqref="BH51">
    <cfRule type="cellIs" dxfId="27642" priority="91813" stopIfTrue="1" operator="lessThan">
      <formula>0.5</formula>
    </cfRule>
  </conditionalFormatting>
  <conditionalFormatting sqref="BH51">
    <cfRule type="cellIs" dxfId="27641" priority="91814" stopIfTrue="1" operator="greaterThanOrEqual">
      <formula>0.5</formula>
    </cfRule>
  </conditionalFormatting>
  <conditionalFormatting sqref="BH52">
    <cfRule type="cellIs" dxfId="27640" priority="91815" stopIfTrue="1" operator="equal">
      <formula>-1</formula>
    </cfRule>
  </conditionalFormatting>
  <conditionalFormatting sqref="BH52">
    <cfRule type="cellIs" dxfId="27639" priority="91816" stopIfTrue="1" operator="lessThan">
      <formula>0.5</formula>
    </cfRule>
  </conditionalFormatting>
  <conditionalFormatting sqref="BH52">
    <cfRule type="cellIs" dxfId="27638" priority="91817" stopIfTrue="1" operator="greaterThanOrEqual">
      <formula>0.5</formula>
    </cfRule>
  </conditionalFormatting>
  <conditionalFormatting sqref="BH53">
    <cfRule type="cellIs" dxfId="27637" priority="91818" stopIfTrue="1" operator="equal">
      <formula>-1</formula>
    </cfRule>
  </conditionalFormatting>
  <conditionalFormatting sqref="BH53">
    <cfRule type="cellIs" dxfId="27636" priority="91819" stopIfTrue="1" operator="lessThan">
      <formula>0.5</formula>
    </cfRule>
  </conditionalFormatting>
  <conditionalFormatting sqref="BH53">
    <cfRule type="cellIs" dxfId="27635" priority="91820" stopIfTrue="1" operator="greaterThanOrEqual">
      <formula>0.5</formula>
    </cfRule>
  </conditionalFormatting>
  <conditionalFormatting sqref="BH54">
    <cfRule type="cellIs" dxfId="27634" priority="91821" stopIfTrue="1" operator="equal">
      <formula>-1</formula>
    </cfRule>
  </conditionalFormatting>
  <conditionalFormatting sqref="BH54">
    <cfRule type="cellIs" dxfId="27633" priority="91822" stopIfTrue="1" operator="lessThan">
      <formula>0.5</formula>
    </cfRule>
  </conditionalFormatting>
  <conditionalFormatting sqref="BH54">
    <cfRule type="cellIs" dxfId="27632" priority="91823" stopIfTrue="1" operator="greaterThanOrEqual">
      <formula>0.5</formula>
    </cfRule>
  </conditionalFormatting>
  <conditionalFormatting sqref="BH55">
    <cfRule type="cellIs" dxfId="27631" priority="91824" stopIfTrue="1" operator="equal">
      <formula>-1</formula>
    </cfRule>
  </conditionalFormatting>
  <conditionalFormatting sqref="BH55">
    <cfRule type="cellIs" dxfId="27630" priority="91825" stopIfTrue="1" operator="lessThan">
      <formula>0.5</formula>
    </cfRule>
  </conditionalFormatting>
  <conditionalFormatting sqref="BH55">
    <cfRule type="cellIs" dxfId="27629" priority="91826" stopIfTrue="1" operator="greaterThanOrEqual">
      <formula>0.5</formula>
    </cfRule>
  </conditionalFormatting>
  <conditionalFormatting sqref="BH56">
    <cfRule type="cellIs" dxfId="27628" priority="91827" stopIfTrue="1" operator="equal">
      <formula>-1</formula>
    </cfRule>
  </conditionalFormatting>
  <conditionalFormatting sqref="BH56">
    <cfRule type="cellIs" dxfId="27627" priority="91828" stopIfTrue="1" operator="lessThan">
      <formula>0.5</formula>
    </cfRule>
  </conditionalFormatting>
  <conditionalFormatting sqref="BH56">
    <cfRule type="cellIs" dxfId="27626" priority="91829" stopIfTrue="1" operator="greaterThanOrEqual">
      <formula>0.5</formula>
    </cfRule>
  </conditionalFormatting>
  <conditionalFormatting sqref="BH57">
    <cfRule type="cellIs" dxfId="27625" priority="91830" stopIfTrue="1" operator="equal">
      <formula>-1</formula>
    </cfRule>
  </conditionalFormatting>
  <conditionalFormatting sqref="BH57">
    <cfRule type="cellIs" dxfId="27624" priority="91831" stopIfTrue="1" operator="lessThan">
      <formula>0.5</formula>
    </cfRule>
  </conditionalFormatting>
  <conditionalFormatting sqref="BH57">
    <cfRule type="cellIs" dxfId="27623" priority="91832" stopIfTrue="1" operator="greaterThanOrEqual">
      <formula>0.5</formula>
    </cfRule>
  </conditionalFormatting>
  <conditionalFormatting sqref="BH58">
    <cfRule type="cellIs" dxfId="27622" priority="91833" stopIfTrue="1" operator="equal">
      <formula>-1</formula>
    </cfRule>
  </conditionalFormatting>
  <conditionalFormatting sqref="BH58">
    <cfRule type="cellIs" dxfId="27621" priority="91834" stopIfTrue="1" operator="lessThan">
      <formula>0.5</formula>
    </cfRule>
  </conditionalFormatting>
  <conditionalFormatting sqref="BH58">
    <cfRule type="cellIs" dxfId="27620" priority="91835" stopIfTrue="1" operator="greaterThanOrEqual">
      <formula>0.5</formula>
    </cfRule>
  </conditionalFormatting>
  <conditionalFormatting sqref="BJ39">
    <cfRule type="cellIs" dxfId="27619" priority="91836" stopIfTrue="1" operator="equal">
      <formula>-1</formula>
    </cfRule>
  </conditionalFormatting>
  <conditionalFormatting sqref="BJ39">
    <cfRule type="cellIs" dxfId="27618" priority="91837" stopIfTrue="1" operator="lessThan">
      <formula>0.5</formula>
    </cfRule>
  </conditionalFormatting>
  <conditionalFormatting sqref="BJ39">
    <cfRule type="cellIs" dxfId="27617" priority="91838" stopIfTrue="1" operator="greaterThanOrEqual">
      <formula>0.5</formula>
    </cfRule>
  </conditionalFormatting>
  <conditionalFormatting sqref="BJ40">
    <cfRule type="cellIs" dxfId="27616" priority="91839" stopIfTrue="1" operator="equal">
      <formula>-1</formula>
    </cfRule>
  </conditionalFormatting>
  <conditionalFormatting sqref="BJ40">
    <cfRule type="cellIs" dxfId="27615" priority="91840" stopIfTrue="1" operator="lessThan">
      <formula>0.5</formula>
    </cfRule>
  </conditionalFormatting>
  <conditionalFormatting sqref="BJ40">
    <cfRule type="cellIs" dxfId="27614" priority="91841" stopIfTrue="1" operator="greaterThanOrEqual">
      <formula>0.5</formula>
    </cfRule>
  </conditionalFormatting>
  <conditionalFormatting sqref="BJ41">
    <cfRule type="cellIs" dxfId="27613" priority="91842" stopIfTrue="1" operator="equal">
      <formula>-1</formula>
    </cfRule>
  </conditionalFormatting>
  <conditionalFormatting sqref="BJ41">
    <cfRule type="cellIs" dxfId="27612" priority="91843" stopIfTrue="1" operator="lessThan">
      <formula>0.5</formula>
    </cfRule>
  </conditionalFormatting>
  <conditionalFormatting sqref="BJ41">
    <cfRule type="cellIs" dxfId="27611" priority="91844" stopIfTrue="1" operator="greaterThanOrEqual">
      <formula>0.5</formula>
    </cfRule>
  </conditionalFormatting>
  <conditionalFormatting sqref="BJ42">
    <cfRule type="cellIs" dxfId="27610" priority="91845" stopIfTrue="1" operator="equal">
      <formula>-1</formula>
    </cfRule>
  </conditionalFormatting>
  <conditionalFormatting sqref="BJ42">
    <cfRule type="cellIs" dxfId="27609" priority="91846" stopIfTrue="1" operator="lessThan">
      <formula>0.5</formula>
    </cfRule>
  </conditionalFormatting>
  <conditionalFormatting sqref="BJ42">
    <cfRule type="cellIs" dxfId="27608" priority="91847" stopIfTrue="1" operator="greaterThanOrEqual">
      <formula>0.5</formula>
    </cfRule>
  </conditionalFormatting>
  <conditionalFormatting sqref="BJ43">
    <cfRule type="cellIs" dxfId="27607" priority="91848" stopIfTrue="1" operator="equal">
      <formula>-1</formula>
    </cfRule>
  </conditionalFormatting>
  <conditionalFormatting sqref="BJ43">
    <cfRule type="cellIs" dxfId="27606" priority="91849" stopIfTrue="1" operator="lessThan">
      <formula>0.5</formula>
    </cfRule>
  </conditionalFormatting>
  <conditionalFormatting sqref="BJ43">
    <cfRule type="cellIs" dxfId="27605" priority="91850" stopIfTrue="1" operator="greaterThanOrEqual">
      <formula>0.5</formula>
    </cfRule>
  </conditionalFormatting>
  <conditionalFormatting sqref="BJ44">
    <cfRule type="cellIs" dxfId="27604" priority="91851" stopIfTrue="1" operator="equal">
      <formula>-1</formula>
    </cfRule>
  </conditionalFormatting>
  <conditionalFormatting sqref="BJ44">
    <cfRule type="cellIs" dxfId="27603" priority="91852" stopIfTrue="1" operator="lessThan">
      <formula>0.5</formula>
    </cfRule>
  </conditionalFormatting>
  <conditionalFormatting sqref="BJ44">
    <cfRule type="cellIs" dxfId="27602" priority="91853" stopIfTrue="1" operator="greaterThanOrEqual">
      <formula>0.5</formula>
    </cfRule>
  </conditionalFormatting>
  <conditionalFormatting sqref="BJ45">
    <cfRule type="cellIs" dxfId="27601" priority="91854" stopIfTrue="1" operator="equal">
      <formula>-1</formula>
    </cfRule>
  </conditionalFormatting>
  <conditionalFormatting sqref="BJ45">
    <cfRule type="cellIs" dxfId="27600" priority="91855" stopIfTrue="1" operator="lessThan">
      <formula>0.5</formula>
    </cfRule>
  </conditionalFormatting>
  <conditionalFormatting sqref="BJ45">
    <cfRule type="cellIs" dxfId="27599" priority="91856" stopIfTrue="1" operator="greaterThanOrEqual">
      <formula>0.5</formula>
    </cfRule>
  </conditionalFormatting>
  <conditionalFormatting sqref="BJ46">
    <cfRule type="cellIs" dxfId="27598" priority="91857" stopIfTrue="1" operator="equal">
      <formula>-1</formula>
    </cfRule>
  </conditionalFormatting>
  <conditionalFormatting sqref="BJ46">
    <cfRule type="cellIs" dxfId="27597" priority="91858" stopIfTrue="1" operator="lessThan">
      <formula>0.5</formula>
    </cfRule>
  </conditionalFormatting>
  <conditionalFormatting sqref="BJ46">
    <cfRule type="cellIs" dxfId="27596" priority="91859" stopIfTrue="1" operator="greaterThanOrEqual">
      <formula>0.5</formula>
    </cfRule>
  </conditionalFormatting>
  <conditionalFormatting sqref="BJ47">
    <cfRule type="cellIs" dxfId="27595" priority="91860" stopIfTrue="1" operator="equal">
      <formula>-1</formula>
    </cfRule>
  </conditionalFormatting>
  <conditionalFormatting sqref="BJ47">
    <cfRule type="cellIs" dxfId="27594" priority="91861" stopIfTrue="1" operator="lessThan">
      <formula>0.5</formula>
    </cfRule>
  </conditionalFormatting>
  <conditionalFormatting sqref="BJ47">
    <cfRule type="cellIs" dxfId="27593" priority="91862" stopIfTrue="1" operator="greaterThanOrEqual">
      <formula>0.5</formula>
    </cfRule>
  </conditionalFormatting>
  <conditionalFormatting sqref="BJ48">
    <cfRule type="cellIs" dxfId="27592" priority="91863" stopIfTrue="1" operator="equal">
      <formula>-1</formula>
    </cfRule>
  </conditionalFormatting>
  <conditionalFormatting sqref="BJ48">
    <cfRule type="cellIs" dxfId="27591" priority="91864" stopIfTrue="1" operator="lessThan">
      <formula>0.5</formula>
    </cfRule>
  </conditionalFormatting>
  <conditionalFormatting sqref="BJ48">
    <cfRule type="cellIs" dxfId="27590" priority="91865" stopIfTrue="1" operator="greaterThanOrEqual">
      <formula>0.5</formula>
    </cfRule>
  </conditionalFormatting>
  <conditionalFormatting sqref="BJ49">
    <cfRule type="cellIs" dxfId="27589" priority="91866" stopIfTrue="1" operator="equal">
      <formula>-1</formula>
    </cfRule>
  </conditionalFormatting>
  <conditionalFormatting sqref="BJ49">
    <cfRule type="cellIs" dxfId="27588" priority="91867" stopIfTrue="1" operator="lessThan">
      <formula>0.5</formula>
    </cfRule>
  </conditionalFormatting>
  <conditionalFormatting sqref="BJ49">
    <cfRule type="cellIs" dxfId="27587" priority="91868" stopIfTrue="1" operator="greaterThanOrEqual">
      <formula>0.5</formula>
    </cfRule>
  </conditionalFormatting>
  <conditionalFormatting sqref="BJ50">
    <cfRule type="cellIs" dxfId="27586" priority="91869" stopIfTrue="1" operator="equal">
      <formula>-1</formula>
    </cfRule>
  </conditionalFormatting>
  <conditionalFormatting sqref="BJ50">
    <cfRule type="cellIs" dxfId="27585" priority="91870" stopIfTrue="1" operator="lessThan">
      <formula>0.5</formula>
    </cfRule>
  </conditionalFormatting>
  <conditionalFormatting sqref="BJ50">
    <cfRule type="cellIs" dxfId="27584" priority="91871" stopIfTrue="1" operator="greaterThanOrEqual">
      <formula>0.5</formula>
    </cfRule>
  </conditionalFormatting>
  <conditionalFormatting sqref="BJ51">
    <cfRule type="cellIs" dxfId="27583" priority="91872" stopIfTrue="1" operator="equal">
      <formula>-1</formula>
    </cfRule>
  </conditionalFormatting>
  <conditionalFormatting sqref="BJ51">
    <cfRule type="cellIs" dxfId="27582" priority="91873" stopIfTrue="1" operator="lessThan">
      <formula>0.5</formula>
    </cfRule>
  </conditionalFormatting>
  <conditionalFormatting sqref="BJ51">
    <cfRule type="cellIs" dxfId="27581" priority="91874" stopIfTrue="1" operator="greaterThanOrEqual">
      <formula>0.5</formula>
    </cfRule>
  </conditionalFormatting>
  <conditionalFormatting sqref="BJ52">
    <cfRule type="cellIs" dxfId="27580" priority="91875" stopIfTrue="1" operator="equal">
      <formula>-1</formula>
    </cfRule>
  </conditionalFormatting>
  <conditionalFormatting sqref="BJ52">
    <cfRule type="cellIs" dxfId="27579" priority="91876" stopIfTrue="1" operator="lessThan">
      <formula>0.5</formula>
    </cfRule>
  </conditionalFormatting>
  <conditionalFormatting sqref="BJ52">
    <cfRule type="cellIs" dxfId="27578" priority="91877" stopIfTrue="1" operator="greaterThanOrEqual">
      <formula>0.5</formula>
    </cfRule>
  </conditionalFormatting>
  <conditionalFormatting sqref="BJ53">
    <cfRule type="cellIs" dxfId="27577" priority="91878" stopIfTrue="1" operator="equal">
      <formula>-1</formula>
    </cfRule>
  </conditionalFormatting>
  <conditionalFormatting sqref="BJ53">
    <cfRule type="cellIs" dxfId="27576" priority="91879" stopIfTrue="1" operator="lessThan">
      <formula>0.5</formula>
    </cfRule>
  </conditionalFormatting>
  <conditionalFormatting sqref="BJ53">
    <cfRule type="cellIs" dxfId="27575" priority="91880" stopIfTrue="1" operator="greaterThanOrEqual">
      <formula>0.5</formula>
    </cfRule>
  </conditionalFormatting>
  <conditionalFormatting sqref="BJ54">
    <cfRule type="cellIs" dxfId="27574" priority="91881" stopIfTrue="1" operator="equal">
      <formula>-1</formula>
    </cfRule>
  </conditionalFormatting>
  <conditionalFormatting sqref="BJ54">
    <cfRule type="cellIs" dxfId="27573" priority="91882" stopIfTrue="1" operator="lessThan">
      <formula>0.5</formula>
    </cfRule>
  </conditionalFormatting>
  <conditionalFormatting sqref="BJ54">
    <cfRule type="cellIs" dxfId="27572" priority="91883" stopIfTrue="1" operator="greaterThanOrEqual">
      <formula>0.5</formula>
    </cfRule>
  </conditionalFormatting>
  <conditionalFormatting sqref="BJ55">
    <cfRule type="cellIs" dxfId="27571" priority="91884" stopIfTrue="1" operator="equal">
      <formula>-1</formula>
    </cfRule>
  </conditionalFormatting>
  <conditionalFormatting sqref="BJ55">
    <cfRule type="cellIs" dxfId="27570" priority="91885" stopIfTrue="1" operator="lessThan">
      <formula>0.5</formula>
    </cfRule>
  </conditionalFormatting>
  <conditionalFormatting sqref="BJ55">
    <cfRule type="cellIs" dxfId="27569" priority="91886" stopIfTrue="1" operator="greaterThanOrEqual">
      <formula>0.5</formula>
    </cfRule>
  </conditionalFormatting>
  <conditionalFormatting sqref="BJ56">
    <cfRule type="cellIs" dxfId="27568" priority="91887" stopIfTrue="1" operator="equal">
      <formula>-1</formula>
    </cfRule>
  </conditionalFormatting>
  <conditionalFormatting sqref="BJ56">
    <cfRule type="cellIs" dxfId="27567" priority="91888" stopIfTrue="1" operator="lessThan">
      <formula>0.5</formula>
    </cfRule>
  </conditionalFormatting>
  <conditionalFormatting sqref="BJ56">
    <cfRule type="cellIs" dxfId="27566" priority="91889" stopIfTrue="1" operator="greaterThanOrEqual">
      <formula>0.5</formula>
    </cfRule>
  </conditionalFormatting>
  <conditionalFormatting sqref="BJ57">
    <cfRule type="cellIs" dxfId="27565" priority="91890" stopIfTrue="1" operator="equal">
      <formula>-1</formula>
    </cfRule>
  </conditionalFormatting>
  <conditionalFormatting sqref="BJ57">
    <cfRule type="cellIs" dxfId="27564" priority="91891" stopIfTrue="1" operator="lessThan">
      <formula>0.5</formula>
    </cfRule>
  </conditionalFormatting>
  <conditionalFormatting sqref="BJ57">
    <cfRule type="cellIs" dxfId="27563" priority="91892" stopIfTrue="1" operator="greaterThanOrEqual">
      <formula>0.5</formula>
    </cfRule>
  </conditionalFormatting>
  <conditionalFormatting sqref="BJ58">
    <cfRule type="cellIs" dxfId="27562" priority="91893" stopIfTrue="1" operator="equal">
      <formula>-1</formula>
    </cfRule>
  </conditionalFormatting>
  <conditionalFormatting sqref="BJ58">
    <cfRule type="cellIs" dxfId="27561" priority="91894" stopIfTrue="1" operator="lessThan">
      <formula>0.5</formula>
    </cfRule>
  </conditionalFormatting>
  <conditionalFormatting sqref="BJ58">
    <cfRule type="cellIs" dxfId="27560" priority="9189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7E658-76D5-2349-A31E-7E7683B3687A}">
  <sheetPr codeName="Sheet9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66" t="str" cm="1">
        <f t="array" ref="A1">[1]!GRUPO</f>
        <v>2º Bach.</v>
      </c>
      <c r="B1" s="69" t="s">
        <v>95</v>
      </c>
      <c r="C1" s="67">
        <v>1</v>
      </c>
      <c r="D1" s="67"/>
      <c r="E1" s="67">
        <v>2</v>
      </c>
      <c r="F1" s="67" t="s">
        <v>0</v>
      </c>
      <c r="G1" s="67">
        <v>3</v>
      </c>
      <c r="H1" s="67" t="s">
        <v>0</v>
      </c>
      <c r="I1" s="67">
        <v>4</v>
      </c>
      <c r="J1" s="67" t="s">
        <v>0</v>
      </c>
      <c r="K1" s="67">
        <v>5</v>
      </c>
      <c r="L1" s="67" t="s">
        <v>0</v>
      </c>
      <c r="M1" s="67">
        <v>6</v>
      </c>
      <c r="N1" s="67" t="s">
        <v>0</v>
      </c>
      <c r="O1" s="67">
        <v>7</v>
      </c>
      <c r="P1" s="67" t="s">
        <v>0</v>
      </c>
      <c r="Q1" s="67">
        <v>8</v>
      </c>
      <c r="R1" s="67" t="s">
        <v>0</v>
      </c>
      <c r="S1" s="67">
        <v>9</v>
      </c>
      <c r="T1" s="67" t="s">
        <v>0</v>
      </c>
      <c r="U1" s="67">
        <v>10</v>
      </c>
      <c r="V1" s="67" t="s">
        <v>0</v>
      </c>
      <c r="W1" s="67">
        <v>11</v>
      </c>
      <c r="X1" s="67" t="s">
        <v>0</v>
      </c>
      <c r="Y1" s="67">
        <v>12</v>
      </c>
      <c r="Z1" s="67" t="s">
        <v>1</v>
      </c>
      <c r="AA1" s="67">
        <v>13</v>
      </c>
      <c r="AB1" s="67" t="s">
        <v>0</v>
      </c>
      <c r="AC1" s="67">
        <v>14</v>
      </c>
      <c r="AD1" s="67" t="s">
        <v>0</v>
      </c>
      <c r="AE1" s="67">
        <v>15</v>
      </c>
      <c r="AF1" s="67" t="s">
        <v>0</v>
      </c>
      <c r="AG1" s="67">
        <v>16</v>
      </c>
      <c r="AH1" s="67" t="s">
        <v>0</v>
      </c>
      <c r="AI1" s="67">
        <v>17</v>
      </c>
      <c r="AJ1" s="67"/>
      <c r="AK1" s="67">
        <v>18</v>
      </c>
      <c r="AL1" s="67"/>
      <c r="AM1" s="67">
        <v>19</v>
      </c>
      <c r="AN1" s="67"/>
      <c r="AO1" s="67">
        <v>20</v>
      </c>
      <c r="AP1" s="67" t="s">
        <v>0</v>
      </c>
      <c r="AQ1" s="67">
        <v>21</v>
      </c>
      <c r="AR1" s="67"/>
      <c r="AS1" s="67">
        <v>22</v>
      </c>
      <c r="AT1" s="67" t="s">
        <v>0</v>
      </c>
      <c r="AU1" s="67">
        <v>23</v>
      </c>
      <c r="AV1" s="67" t="s">
        <v>0</v>
      </c>
      <c r="AW1" s="67">
        <v>24</v>
      </c>
      <c r="AX1" s="67"/>
      <c r="AY1" s="67">
        <v>25</v>
      </c>
      <c r="AZ1" s="67"/>
      <c r="BA1" s="67">
        <v>26</v>
      </c>
      <c r="BB1" s="67"/>
      <c r="BC1" s="67">
        <v>27</v>
      </c>
      <c r="BD1" s="67"/>
      <c r="BE1" s="67">
        <v>28</v>
      </c>
      <c r="BF1" s="67"/>
      <c r="BG1" s="67">
        <v>29</v>
      </c>
      <c r="BH1" s="67"/>
      <c r="BI1" s="67">
        <v>30</v>
      </c>
      <c r="BJ1" s="67"/>
    </row>
    <row r="2" spans="1:62" ht="115" customHeight="1" x14ac:dyDescent="0.2">
      <c r="A2" s="66"/>
      <c r="B2" s="70"/>
      <c r="C2" s="68" t="str">
        <f>[1]Examen11!C$2</f>
        <v>Alma Casa, Mario</v>
      </c>
      <c r="D2" s="68"/>
      <c r="E2" s="68" t="str">
        <f>[1]Examen11!E$2</f>
        <v>Amado Luz, Martín</v>
      </c>
      <c r="F2" s="68"/>
      <c r="G2" s="68" t="str">
        <f>[1]Examen11!G$2</f>
        <v>Bonete Cune, Carla</v>
      </c>
      <c r="H2" s="68"/>
      <c r="I2" s="68" t="str">
        <f>[1]Examen11!I$2</f>
        <v>Casado Marín, María</v>
      </c>
      <c r="J2" s="68"/>
      <c r="K2" s="68" t="str">
        <f>[1]Examen11!K$2</f>
        <v>Concepción García, Elena</v>
      </c>
      <c r="L2" s="68"/>
      <c r="M2" s="68" t="str">
        <f>[1]Examen11!M$2</f>
        <v>Díaz Lucas, Ricardo</v>
      </c>
      <c r="N2" s="68"/>
      <c r="O2" s="68" t="str">
        <f>[1]Examen11!O$2</f>
        <v>Díaz Ríos, Lucía</v>
      </c>
      <c r="P2" s="68"/>
      <c r="Q2" s="68" t="str">
        <f>[1]Examen11!Q$2</f>
        <v>García López, Juan Ángel</v>
      </c>
      <c r="R2" s="68"/>
      <c r="S2" s="68" t="str">
        <f>[1]Examen11!S$2</f>
        <v>García Pérez, Luis</v>
      </c>
      <c r="T2" s="68"/>
      <c r="U2" s="68" t="str">
        <f>[1]Examen11!U$2</f>
        <v>Garijo Piqueras, María</v>
      </c>
      <c r="V2" s="68"/>
      <c r="W2" s="68" t="str">
        <f>[1]Examen11!W$2</f>
        <v>Gómez Luna, José</v>
      </c>
      <c r="X2" s="68"/>
      <c r="Y2" s="68" t="str">
        <f>[1]Examen11!Y$2</f>
        <v>González García, Juan</v>
      </c>
      <c r="Z2" s="68"/>
      <c r="AA2" s="68" t="str">
        <f>[1]Examen11!AA$2</f>
        <v>González Pérez, María</v>
      </c>
      <c r="AB2" s="68"/>
      <c r="AC2" s="68" t="str">
        <f>[1]Examen11!AC$2</f>
        <v>Laín Hernández, Luisa</v>
      </c>
      <c r="AD2" s="68"/>
      <c r="AE2" s="68" t="str">
        <f>[1]Examen11!AE$2</f>
        <v>Lirios Lara, Juan</v>
      </c>
      <c r="AF2" s="68"/>
      <c r="AG2" s="68" t="str">
        <f>[1]Examen11!AG$2</f>
        <v>López Picazo, Marta</v>
      </c>
      <c r="AH2" s="68"/>
      <c r="AI2" s="68" t="str">
        <f>[1]Examen11!AI$2</f>
        <v>Molina Pérez, Marina</v>
      </c>
      <c r="AJ2" s="68"/>
      <c r="AK2" s="68" t="str">
        <f>[1]Examen11!AK$2</f>
        <v>Molina Sánchez, Inmaculada</v>
      </c>
      <c r="AL2" s="68"/>
      <c r="AM2" s="68" t="str">
        <f>[1]Examen11!AM$2</f>
        <v>Montero Pacheco, Pablo</v>
      </c>
      <c r="AN2" s="68"/>
      <c r="AO2" s="68" t="str">
        <f>[1]Examen11!AO$2</f>
        <v>Mora García, Javier</v>
      </c>
      <c r="AP2" s="68"/>
      <c r="AQ2" s="68" t="str">
        <f>[1]Examen11!AQ$2</f>
        <v>Morcillo Pared, Luna</v>
      </c>
      <c r="AR2" s="68"/>
      <c r="AS2" s="68" t="str">
        <f>[1]Examen11!AS$2</f>
        <v>Moreno Hernández, Francisco</v>
      </c>
      <c r="AT2" s="68"/>
      <c r="AU2" s="68" t="str">
        <f>[1]Examen11!AU$2</f>
        <v>Muñoz Garijo, Pablo</v>
      </c>
      <c r="AV2" s="68"/>
      <c r="AW2" s="68" t="str">
        <f>[1]Examen11!AW$2</f>
        <v>Pérez Garrido, Francisco</v>
      </c>
      <c r="AX2" s="68"/>
      <c r="AY2" s="68" t="str">
        <f>[1]Examen11!AY$2</f>
        <v>Serna Serna, Susana</v>
      </c>
      <c r="AZ2" s="68"/>
      <c r="BA2" s="68" t="str">
        <f>[1]Examen11!BA$2</f>
        <v>Soriano Tornero, Manuel</v>
      </c>
      <c r="BB2" s="68"/>
      <c r="BC2" s="68" t="str">
        <f>[1]Examen11!BC$2</f>
        <v>Zarza Parrilla, Manuel</v>
      </c>
      <c r="BD2" s="68"/>
      <c r="BE2" s="68" t="str">
        <f>[1]Examen11!BE$2</f>
        <v/>
      </c>
      <c r="BF2" s="68"/>
      <c r="BG2" s="68" t="str">
        <f>[1]Examen11!BG$2</f>
        <v/>
      </c>
      <c r="BH2" s="68"/>
      <c r="BI2" s="68" t="str">
        <f>[1]Examen11!BI$2</f>
        <v/>
      </c>
      <c r="BJ2" s="68"/>
    </row>
    <row r="3" spans="1:62" ht="33" customHeight="1" x14ac:dyDescent="0.2">
      <c r="A3" s="36" t="str" cm="1">
        <f t="array" ref="A3">[1]!VERSION</f>
        <v>Versión 1.1</v>
      </c>
      <c r="B3" s="10" t="str">
        <f>IF((B4+B7+B16+B38+B59+B64)=1,"Ok","Error % Bloques")</f>
        <v>Ok</v>
      </c>
      <c r="C3" s="53">
        <f>SUM(C4,C7,C16,C38,C59,C64)</f>
        <v>0</v>
      </c>
      <c r="D3" s="54"/>
      <c r="E3" s="53">
        <f t="shared" ref="E3" si="0">SUM(E4,E7,E16,E38,E59,E64)</f>
        <v>0</v>
      </c>
      <c r="F3" s="54"/>
      <c r="G3" s="53">
        <f t="shared" ref="G3" si="1">SUM(G4,G7,G16,G38,G59,G64)</f>
        <v>0</v>
      </c>
      <c r="H3" s="54"/>
      <c r="I3" s="53">
        <f t="shared" ref="I3" si="2">SUM(I4,I7,I16,I38,I59,I64)</f>
        <v>0</v>
      </c>
      <c r="J3" s="54"/>
      <c r="K3" s="53">
        <f t="shared" ref="K3" si="3">SUM(K4,K7,K16,K38,K59,K64)</f>
        <v>0</v>
      </c>
      <c r="L3" s="54"/>
      <c r="M3" s="53">
        <f t="shared" ref="M3" si="4">SUM(M4,M7,M16,M38,M59,M64)</f>
        <v>0</v>
      </c>
      <c r="N3" s="54"/>
      <c r="O3" s="53">
        <f t="shared" ref="O3" si="5">SUM(O4,O7,O16,O38,O59,O64)</f>
        <v>0</v>
      </c>
      <c r="P3" s="54"/>
      <c r="Q3" s="53">
        <f t="shared" ref="Q3" si="6">SUM(Q4,Q7,Q16,Q38,Q59,Q64)</f>
        <v>0</v>
      </c>
      <c r="R3" s="54"/>
      <c r="S3" s="53">
        <f t="shared" ref="S3" si="7">SUM(S4,S7,S16,S38,S59,S64)</f>
        <v>0</v>
      </c>
      <c r="T3" s="54"/>
      <c r="U3" s="53">
        <f t="shared" ref="U3" si="8">SUM(U4,U7,U16,U38,U59,U64)</f>
        <v>0</v>
      </c>
      <c r="V3" s="54"/>
      <c r="W3" s="53">
        <f t="shared" ref="W3" si="9">SUM(W4,W7,W16,W38,W59,W64)</f>
        <v>0</v>
      </c>
      <c r="X3" s="54"/>
      <c r="Y3" s="53">
        <f t="shared" ref="Y3" si="10">SUM(Y4,Y7,Y16,Y38,Y59,Y64)</f>
        <v>0</v>
      </c>
      <c r="Z3" s="54"/>
      <c r="AA3" s="53">
        <f t="shared" ref="AA3" si="11">SUM(AA4,AA7,AA16,AA38,AA59,AA64)</f>
        <v>0</v>
      </c>
      <c r="AB3" s="54"/>
      <c r="AC3" s="53">
        <f t="shared" ref="AC3" si="12">SUM(AC4,AC7,AC16,AC38,AC59,AC64)</f>
        <v>0</v>
      </c>
      <c r="AD3" s="54"/>
      <c r="AE3" s="53">
        <f t="shared" ref="AE3" si="13">SUM(AE4,AE7,AE16,AE38,AE59,AE64)</f>
        <v>0</v>
      </c>
      <c r="AF3" s="54"/>
      <c r="AG3" s="53">
        <f t="shared" ref="AG3" si="14">SUM(AG4,AG7,AG16,AG38,AG59,AG64)</f>
        <v>0</v>
      </c>
      <c r="AH3" s="54"/>
      <c r="AI3" s="53">
        <f t="shared" ref="AI3" si="15">SUM(AI4,AI7,AI16,AI38,AI59,AI64)</f>
        <v>0</v>
      </c>
      <c r="AJ3" s="54"/>
      <c r="AK3" s="53">
        <f t="shared" ref="AK3" si="16">SUM(AK4,AK7,AK16,AK38,AK59,AK64)</f>
        <v>0</v>
      </c>
      <c r="AL3" s="54"/>
      <c r="AM3" s="53">
        <f t="shared" ref="AM3" si="17">SUM(AM4,AM7,AM16,AM38,AM59,AM64)</f>
        <v>0</v>
      </c>
      <c r="AN3" s="54"/>
      <c r="AO3" s="53">
        <f t="shared" ref="AO3" si="18">SUM(AO4,AO7,AO16,AO38,AO59,AO64)</f>
        <v>0</v>
      </c>
      <c r="AP3" s="54"/>
      <c r="AQ3" s="53">
        <f t="shared" ref="AQ3" si="19">SUM(AQ4,AQ7,AQ16,AQ38,AQ59,AQ64)</f>
        <v>0</v>
      </c>
      <c r="AR3" s="54"/>
      <c r="AS3" s="53">
        <f t="shared" ref="AS3" si="20">SUM(AS4,AS7,AS16,AS38,AS59,AS64)</f>
        <v>0</v>
      </c>
      <c r="AT3" s="54"/>
      <c r="AU3" s="53">
        <f t="shared" ref="AU3" si="21">SUM(AU4,AU7,AU16,AU38,AU59,AU64)</f>
        <v>0</v>
      </c>
      <c r="AV3" s="54"/>
      <c r="AW3" s="53">
        <f t="shared" ref="AW3" si="22">SUM(AW4,AW7,AW16,AW38,AW59,AW64)</f>
        <v>0</v>
      </c>
      <c r="AX3" s="54"/>
      <c r="AY3" s="53">
        <f t="shared" ref="AY3" si="23">SUM(AY4,AY7,AY16,AY38,AY59,AY64)</f>
        <v>0</v>
      </c>
      <c r="AZ3" s="54"/>
      <c r="BA3" s="53">
        <f t="shared" ref="BA3" si="24">SUM(BA4,BA7,BA16,BA38,BA59,BA64)</f>
        <v>0</v>
      </c>
      <c r="BB3" s="54"/>
      <c r="BC3" s="53">
        <f t="shared" ref="BC3" si="25">SUM(BC4,BC7,BC16,BC38,BC59,BC64)</f>
        <v>0</v>
      </c>
      <c r="BD3" s="54"/>
      <c r="BE3" s="53">
        <f t="shared" ref="BE3" si="26">SUM(BE4,BE7,BE16,BE38,BE59,BE64)</f>
        <v>0</v>
      </c>
      <c r="BF3" s="54"/>
      <c r="BG3" s="53">
        <f t="shared" ref="BG3" si="27">SUM(BG4,BG7,BG16,BG38,BG59,BG64)</f>
        <v>0</v>
      </c>
      <c r="BH3" s="54"/>
      <c r="BI3" s="53">
        <f t="shared" ref="BI3" si="28">SUM(BI4,BI7,BI16,BI38,BI59,BI64)</f>
        <v>0</v>
      </c>
      <c r="BJ3" s="54"/>
    </row>
    <row r="4" spans="1:62" ht="38" x14ac:dyDescent="0.2">
      <c r="A4" s="6" t="s">
        <v>2</v>
      </c>
      <c r="B4" s="7">
        <f>Estructura!D2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Recu2!B8</f>
        <v>0</v>
      </c>
      <c r="C8" s="33">
        <f>Recu2!C8</f>
        <v>0</v>
      </c>
      <c r="D8" s="32">
        <f t="shared" ref="D8:D15" si="29">IF($B8,C8/$B8,-1)</f>
        <v>-1</v>
      </c>
      <c r="E8" s="33">
        <f>Recu2!E8</f>
        <v>0</v>
      </c>
      <c r="F8" s="32">
        <f t="shared" ref="F8:F15" si="30">IF($B8,E8/$B8,-1)</f>
        <v>-1</v>
      </c>
      <c r="G8" s="33">
        <f>Recu2!G8</f>
        <v>0</v>
      </c>
      <c r="H8" s="32">
        <f t="shared" ref="H8:H15" si="31">IF($B8,G8/$B8,-1)</f>
        <v>-1</v>
      </c>
      <c r="I8" s="33">
        <f>Recu2!I8</f>
        <v>0</v>
      </c>
      <c r="J8" s="32">
        <f t="shared" ref="J8:J15" si="32">IF($B8,I8/$B8,-1)</f>
        <v>-1</v>
      </c>
      <c r="K8" s="33">
        <f>Recu2!K8</f>
        <v>0</v>
      </c>
      <c r="L8" s="32">
        <f t="shared" ref="L8:L15" si="33">IF($B8,K8/$B8,-1)</f>
        <v>-1</v>
      </c>
      <c r="M8" s="33">
        <f>Recu2!M8</f>
        <v>0</v>
      </c>
      <c r="N8" s="32">
        <f t="shared" ref="N8:N15" si="34">IF($B8,M8/$B8,-1)</f>
        <v>-1</v>
      </c>
      <c r="O8" s="33">
        <f>Recu2!O8</f>
        <v>0</v>
      </c>
      <c r="P8" s="32">
        <f t="shared" ref="P8:P15" si="35">IF($B8,O8/$B8,-1)</f>
        <v>-1</v>
      </c>
      <c r="Q8" s="33">
        <f>Recu2!Q8</f>
        <v>0</v>
      </c>
      <c r="R8" s="32">
        <f t="shared" ref="R8:R15" si="36">IF($B8,Q8/$B8,-1)</f>
        <v>-1</v>
      </c>
      <c r="S8" s="33">
        <f>Recu2!S8</f>
        <v>0</v>
      </c>
      <c r="T8" s="32">
        <f t="shared" ref="T8:T15" si="37">IF($B8,S8/$B8,-1)</f>
        <v>-1</v>
      </c>
      <c r="U8" s="33">
        <f>Recu2!U8</f>
        <v>0</v>
      </c>
      <c r="V8" s="32">
        <f t="shared" ref="V8:V15" si="38">IF($B8,U8/$B8,-1)</f>
        <v>-1</v>
      </c>
      <c r="W8" s="33">
        <f>Recu2!W8</f>
        <v>0</v>
      </c>
      <c r="X8" s="32">
        <f t="shared" ref="X8:X15" si="39">IF($B8,W8/$B8,-1)</f>
        <v>-1</v>
      </c>
      <c r="Y8" s="33">
        <f>Recu2!Y8</f>
        <v>0</v>
      </c>
      <c r="Z8" s="32">
        <f t="shared" ref="Z8:Z15" si="40">IF($B8,Y8/$B8,-1)</f>
        <v>-1</v>
      </c>
      <c r="AA8" s="33">
        <f>Recu2!AA8</f>
        <v>0</v>
      </c>
      <c r="AB8" s="32">
        <f t="shared" ref="AB8:AB15" si="41">IF($B8,AA8/$B8,-1)</f>
        <v>-1</v>
      </c>
      <c r="AC8" s="33">
        <f>Recu2!AC8</f>
        <v>0</v>
      </c>
      <c r="AD8" s="32">
        <f t="shared" ref="AD8:AD15" si="42">IF($B8,AC8/$B8,-1)</f>
        <v>-1</v>
      </c>
      <c r="AE8" s="33">
        <f>Recu2!AE8</f>
        <v>0</v>
      </c>
      <c r="AF8" s="32">
        <f t="shared" ref="AF8:AF15" si="43">IF($B8,AE8/$B8,-1)</f>
        <v>-1</v>
      </c>
      <c r="AG8" s="33">
        <f>Recu2!AG8</f>
        <v>0</v>
      </c>
      <c r="AH8" s="32">
        <f t="shared" ref="AH8:AH15" si="44">IF($B8,AG8/$B8,-1)</f>
        <v>-1</v>
      </c>
      <c r="AI8" s="33">
        <f>Recu2!AI8</f>
        <v>0</v>
      </c>
      <c r="AJ8" s="32">
        <f t="shared" ref="AJ8:AJ15" si="45">IF($B8,AI8/$B8,-1)</f>
        <v>-1</v>
      </c>
      <c r="AK8" s="33">
        <f>Recu2!AK8</f>
        <v>0</v>
      </c>
      <c r="AL8" s="32">
        <f t="shared" ref="AL8:AL15" si="46">IF($B8,AK8/$B8,-1)</f>
        <v>-1</v>
      </c>
      <c r="AM8" s="33">
        <f>Recu2!AM8</f>
        <v>0</v>
      </c>
      <c r="AN8" s="32">
        <f t="shared" ref="AN8:AN15" si="47">IF($B8,AM8/$B8,-1)</f>
        <v>-1</v>
      </c>
      <c r="AO8" s="33">
        <f>Recu2!AO8</f>
        <v>0</v>
      </c>
      <c r="AP8" s="32">
        <f t="shared" ref="AP8:AP15" si="48">IF($B8,AO8/$B8,-1)</f>
        <v>-1</v>
      </c>
      <c r="AQ8" s="33">
        <f>Recu2!AQ8</f>
        <v>0</v>
      </c>
      <c r="AR8" s="32">
        <f t="shared" ref="AR8:AR15" si="49">IF($B8,AQ8/$B8,-1)</f>
        <v>-1</v>
      </c>
      <c r="AS8" s="33">
        <f>Recu2!AS8</f>
        <v>0</v>
      </c>
      <c r="AT8" s="32">
        <f t="shared" ref="AT8:AT15" si="50">IF($B8,AS8/$B8,-1)</f>
        <v>-1</v>
      </c>
      <c r="AU8" s="33">
        <f>Recu2!AU8</f>
        <v>0</v>
      </c>
      <c r="AV8" s="32">
        <f t="shared" ref="AV8:AV15" si="51">IF($B8,AU8/$B8,-1)</f>
        <v>-1</v>
      </c>
      <c r="AW8" s="33">
        <f>Recu2!AW8</f>
        <v>0</v>
      </c>
      <c r="AX8" s="32">
        <f t="shared" ref="AX8:AX15" si="52">IF($B8,AW8/$B8,-1)</f>
        <v>-1</v>
      </c>
      <c r="AY8" s="33">
        <f>Recu2!AY8</f>
        <v>0</v>
      </c>
      <c r="AZ8" s="32">
        <f t="shared" ref="AZ8:AZ15" si="53">IF($B8,AY8/$B8,-1)</f>
        <v>-1</v>
      </c>
      <c r="BA8" s="33">
        <f>Recu2!BA8</f>
        <v>0</v>
      </c>
      <c r="BB8" s="32">
        <f t="shared" ref="BB8:BB15" si="54">IF($B8,BA8/$B8,-1)</f>
        <v>-1</v>
      </c>
      <c r="BC8" s="33">
        <f>Recu2!BC8</f>
        <v>0</v>
      </c>
      <c r="BD8" s="32">
        <f t="shared" ref="BD8:BD15" si="55">IF($B8,BC8/$B8,-1)</f>
        <v>-1</v>
      </c>
      <c r="BE8" s="33">
        <f>Recu2!BE8</f>
        <v>0</v>
      </c>
      <c r="BF8" s="32">
        <f t="shared" ref="BF8:BF15" si="56">IF($B8,BE8/$B8,-1)</f>
        <v>-1</v>
      </c>
      <c r="BG8" s="33">
        <f>Recu2!BG8</f>
        <v>0</v>
      </c>
      <c r="BH8" s="32">
        <f t="shared" ref="BH8:BH15" si="57">IF($B8,BG8/$B8,-1)</f>
        <v>-1</v>
      </c>
      <c r="BI8" s="33">
        <f>Recu2!BI8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Recu2!B9</f>
        <v>0</v>
      </c>
      <c r="C9" s="33">
        <f>Recu2!C9</f>
        <v>0</v>
      </c>
      <c r="D9" s="32">
        <f t="shared" si="29"/>
        <v>-1</v>
      </c>
      <c r="E9" s="33">
        <f>Recu2!E9</f>
        <v>0</v>
      </c>
      <c r="F9" s="32">
        <f t="shared" si="30"/>
        <v>-1</v>
      </c>
      <c r="G9" s="33">
        <f>Recu2!G9</f>
        <v>0</v>
      </c>
      <c r="H9" s="32">
        <f t="shared" si="31"/>
        <v>-1</v>
      </c>
      <c r="I9" s="33">
        <f>Recu2!I9</f>
        <v>0</v>
      </c>
      <c r="J9" s="32">
        <f t="shared" si="32"/>
        <v>-1</v>
      </c>
      <c r="K9" s="33">
        <f>Recu2!K9</f>
        <v>0</v>
      </c>
      <c r="L9" s="32">
        <f t="shared" si="33"/>
        <v>-1</v>
      </c>
      <c r="M9" s="33">
        <f>Recu2!M9</f>
        <v>0</v>
      </c>
      <c r="N9" s="32">
        <f t="shared" si="34"/>
        <v>-1</v>
      </c>
      <c r="O9" s="33">
        <f>Recu2!O9</f>
        <v>0</v>
      </c>
      <c r="P9" s="32">
        <f t="shared" si="35"/>
        <v>-1</v>
      </c>
      <c r="Q9" s="33">
        <f>Recu2!Q9</f>
        <v>0</v>
      </c>
      <c r="R9" s="32">
        <f t="shared" si="36"/>
        <v>-1</v>
      </c>
      <c r="S9" s="33">
        <f>Recu2!S9</f>
        <v>0</v>
      </c>
      <c r="T9" s="32">
        <f t="shared" si="37"/>
        <v>-1</v>
      </c>
      <c r="U9" s="33">
        <f>Recu2!U9</f>
        <v>0</v>
      </c>
      <c r="V9" s="32">
        <f t="shared" si="38"/>
        <v>-1</v>
      </c>
      <c r="W9" s="33">
        <f>Recu2!W9</f>
        <v>0</v>
      </c>
      <c r="X9" s="32">
        <f t="shared" si="39"/>
        <v>-1</v>
      </c>
      <c r="Y9" s="33">
        <f>Recu2!Y9</f>
        <v>0</v>
      </c>
      <c r="Z9" s="32">
        <f t="shared" si="40"/>
        <v>-1</v>
      </c>
      <c r="AA9" s="33">
        <f>Recu2!AA9</f>
        <v>0</v>
      </c>
      <c r="AB9" s="32">
        <f t="shared" si="41"/>
        <v>-1</v>
      </c>
      <c r="AC9" s="33">
        <f>Recu2!AC9</f>
        <v>0</v>
      </c>
      <c r="AD9" s="32">
        <f t="shared" si="42"/>
        <v>-1</v>
      </c>
      <c r="AE9" s="33">
        <f>Recu2!AE9</f>
        <v>0</v>
      </c>
      <c r="AF9" s="32">
        <f t="shared" si="43"/>
        <v>-1</v>
      </c>
      <c r="AG9" s="33">
        <f>Recu2!AG9</f>
        <v>0</v>
      </c>
      <c r="AH9" s="32">
        <f t="shared" si="44"/>
        <v>-1</v>
      </c>
      <c r="AI9" s="33">
        <f>Recu2!AI9</f>
        <v>0</v>
      </c>
      <c r="AJ9" s="32">
        <f t="shared" si="45"/>
        <v>-1</v>
      </c>
      <c r="AK9" s="33">
        <f>Recu2!AK9</f>
        <v>0</v>
      </c>
      <c r="AL9" s="32">
        <f t="shared" si="46"/>
        <v>-1</v>
      </c>
      <c r="AM9" s="33">
        <f>Recu2!AM9</f>
        <v>0</v>
      </c>
      <c r="AN9" s="32">
        <f t="shared" si="47"/>
        <v>-1</v>
      </c>
      <c r="AO9" s="33">
        <f>Recu2!AO9</f>
        <v>0</v>
      </c>
      <c r="AP9" s="32">
        <f t="shared" si="48"/>
        <v>-1</v>
      </c>
      <c r="AQ9" s="33">
        <f>Recu2!AQ9</f>
        <v>0</v>
      </c>
      <c r="AR9" s="32">
        <f t="shared" si="49"/>
        <v>-1</v>
      </c>
      <c r="AS9" s="33">
        <f>Recu2!AS9</f>
        <v>0</v>
      </c>
      <c r="AT9" s="32">
        <f t="shared" si="50"/>
        <v>-1</v>
      </c>
      <c r="AU9" s="33">
        <f>Recu2!AU9</f>
        <v>0</v>
      </c>
      <c r="AV9" s="32">
        <f t="shared" si="51"/>
        <v>-1</v>
      </c>
      <c r="AW9" s="33">
        <f>Recu2!AW9</f>
        <v>0</v>
      </c>
      <c r="AX9" s="32">
        <f t="shared" si="52"/>
        <v>-1</v>
      </c>
      <c r="AY9" s="33">
        <f>Recu2!AY9</f>
        <v>0</v>
      </c>
      <c r="AZ9" s="32">
        <f t="shared" si="53"/>
        <v>-1</v>
      </c>
      <c r="BA9" s="33">
        <f>Recu2!BA9</f>
        <v>0</v>
      </c>
      <c r="BB9" s="32">
        <f t="shared" si="54"/>
        <v>-1</v>
      </c>
      <c r="BC9" s="33">
        <f>Recu2!BC9</f>
        <v>0</v>
      </c>
      <c r="BD9" s="32">
        <f t="shared" si="55"/>
        <v>-1</v>
      </c>
      <c r="BE9" s="33">
        <f>Recu2!BE9</f>
        <v>0</v>
      </c>
      <c r="BF9" s="32">
        <f t="shared" si="56"/>
        <v>-1</v>
      </c>
      <c r="BG9" s="33">
        <f>Recu2!BG9</f>
        <v>0</v>
      </c>
      <c r="BH9" s="32">
        <f t="shared" si="57"/>
        <v>-1</v>
      </c>
      <c r="BI9" s="33">
        <f>Recu2!BI9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Recu2!B10</f>
        <v>0</v>
      </c>
      <c r="C10" s="33">
        <f>Recu2!C10</f>
        <v>0</v>
      </c>
      <c r="D10" s="32">
        <f t="shared" si="29"/>
        <v>-1</v>
      </c>
      <c r="E10" s="33">
        <f>Recu2!E10</f>
        <v>0</v>
      </c>
      <c r="F10" s="32">
        <f t="shared" si="30"/>
        <v>-1</v>
      </c>
      <c r="G10" s="33">
        <f>Recu2!G10</f>
        <v>0</v>
      </c>
      <c r="H10" s="32">
        <f t="shared" si="31"/>
        <v>-1</v>
      </c>
      <c r="I10" s="33">
        <f>Recu2!I10</f>
        <v>0</v>
      </c>
      <c r="J10" s="32">
        <f t="shared" si="32"/>
        <v>-1</v>
      </c>
      <c r="K10" s="33">
        <f>Recu2!K10</f>
        <v>0</v>
      </c>
      <c r="L10" s="32">
        <f t="shared" si="33"/>
        <v>-1</v>
      </c>
      <c r="M10" s="33">
        <f>Recu2!M10</f>
        <v>0</v>
      </c>
      <c r="N10" s="32">
        <f t="shared" si="34"/>
        <v>-1</v>
      </c>
      <c r="O10" s="33">
        <f>Recu2!O10</f>
        <v>0</v>
      </c>
      <c r="P10" s="32">
        <f t="shared" si="35"/>
        <v>-1</v>
      </c>
      <c r="Q10" s="33">
        <f>Recu2!Q10</f>
        <v>0</v>
      </c>
      <c r="R10" s="32">
        <f t="shared" si="36"/>
        <v>-1</v>
      </c>
      <c r="S10" s="33">
        <f>Recu2!S10</f>
        <v>0</v>
      </c>
      <c r="T10" s="32">
        <f t="shared" si="37"/>
        <v>-1</v>
      </c>
      <c r="U10" s="33">
        <f>Recu2!U10</f>
        <v>0</v>
      </c>
      <c r="V10" s="32">
        <f t="shared" si="38"/>
        <v>-1</v>
      </c>
      <c r="W10" s="33">
        <f>Recu2!W10</f>
        <v>0</v>
      </c>
      <c r="X10" s="32">
        <f t="shared" si="39"/>
        <v>-1</v>
      </c>
      <c r="Y10" s="33">
        <f>Recu2!Y10</f>
        <v>0</v>
      </c>
      <c r="Z10" s="32">
        <f t="shared" si="40"/>
        <v>-1</v>
      </c>
      <c r="AA10" s="33">
        <f>Recu2!AA10</f>
        <v>0</v>
      </c>
      <c r="AB10" s="32">
        <f t="shared" si="41"/>
        <v>-1</v>
      </c>
      <c r="AC10" s="33">
        <f>Recu2!AC10</f>
        <v>0</v>
      </c>
      <c r="AD10" s="32">
        <f t="shared" si="42"/>
        <v>-1</v>
      </c>
      <c r="AE10" s="33">
        <f>Recu2!AE10</f>
        <v>0</v>
      </c>
      <c r="AF10" s="32">
        <f t="shared" si="43"/>
        <v>-1</v>
      </c>
      <c r="AG10" s="33">
        <f>Recu2!AG10</f>
        <v>0</v>
      </c>
      <c r="AH10" s="32">
        <f t="shared" si="44"/>
        <v>-1</v>
      </c>
      <c r="AI10" s="33">
        <f>Recu2!AI10</f>
        <v>0</v>
      </c>
      <c r="AJ10" s="32">
        <f t="shared" si="45"/>
        <v>-1</v>
      </c>
      <c r="AK10" s="33">
        <f>Recu2!AK10</f>
        <v>0</v>
      </c>
      <c r="AL10" s="32">
        <f t="shared" si="46"/>
        <v>-1</v>
      </c>
      <c r="AM10" s="33">
        <f>Recu2!AM10</f>
        <v>0</v>
      </c>
      <c r="AN10" s="32">
        <f t="shared" si="47"/>
        <v>-1</v>
      </c>
      <c r="AO10" s="33">
        <f>Recu2!AO10</f>
        <v>0</v>
      </c>
      <c r="AP10" s="32">
        <f t="shared" si="48"/>
        <v>-1</v>
      </c>
      <c r="AQ10" s="33">
        <f>Recu2!AQ10</f>
        <v>0</v>
      </c>
      <c r="AR10" s="32">
        <f t="shared" si="49"/>
        <v>-1</v>
      </c>
      <c r="AS10" s="33">
        <f>Recu2!AS10</f>
        <v>0</v>
      </c>
      <c r="AT10" s="32">
        <f t="shared" si="50"/>
        <v>-1</v>
      </c>
      <c r="AU10" s="33">
        <f>Recu2!AU10</f>
        <v>0</v>
      </c>
      <c r="AV10" s="32">
        <f t="shared" si="51"/>
        <v>-1</v>
      </c>
      <c r="AW10" s="33">
        <f>Recu2!AW10</f>
        <v>0</v>
      </c>
      <c r="AX10" s="32">
        <f t="shared" si="52"/>
        <v>-1</v>
      </c>
      <c r="AY10" s="33">
        <f>Recu2!AY10</f>
        <v>0</v>
      </c>
      <c r="AZ10" s="32">
        <f t="shared" si="53"/>
        <v>-1</v>
      </c>
      <c r="BA10" s="33">
        <f>Recu2!BA10</f>
        <v>0</v>
      </c>
      <c r="BB10" s="32">
        <f t="shared" si="54"/>
        <v>-1</v>
      </c>
      <c r="BC10" s="33">
        <f>Recu2!BC10</f>
        <v>0</v>
      </c>
      <c r="BD10" s="32">
        <f t="shared" si="55"/>
        <v>-1</v>
      </c>
      <c r="BE10" s="33">
        <f>Recu2!BE10</f>
        <v>0</v>
      </c>
      <c r="BF10" s="32">
        <f t="shared" si="56"/>
        <v>-1</v>
      </c>
      <c r="BG10" s="33">
        <f>Recu2!BG10</f>
        <v>0</v>
      </c>
      <c r="BH10" s="32">
        <f t="shared" si="57"/>
        <v>-1</v>
      </c>
      <c r="BI10" s="33">
        <f>Recu2!BI10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Recu2!B11</f>
        <v>0</v>
      </c>
      <c r="C11" s="33">
        <f>Recu2!C11</f>
        <v>0</v>
      </c>
      <c r="D11" s="32">
        <f t="shared" si="29"/>
        <v>-1</v>
      </c>
      <c r="E11" s="33">
        <f>Recu2!E11</f>
        <v>0</v>
      </c>
      <c r="F11" s="32">
        <f t="shared" si="30"/>
        <v>-1</v>
      </c>
      <c r="G11" s="33">
        <f>Recu2!G11</f>
        <v>0</v>
      </c>
      <c r="H11" s="32">
        <f t="shared" si="31"/>
        <v>-1</v>
      </c>
      <c r="I11" s="33">
        <f>Recu2!I11</f>
        <v>0</v>
      </c>
      <c r="J11" s="32">
        <f t="shared" si="32"/>
        <v>-1</v>
      </c>
      <c r="K11" s="33">
        <f>Recu2!K11</f>
        <v>0</v>
      </c>
      <c r="L11" s="32">
        <f t="shared" si="33"/>
        <v>-1</v>
      </c>
      <c r="M11" s="33">
        <f>Recu2!M11</f>
        <v>0</v>
      </c>
      <c r="N11" s="32">
        <f t="shared" si="34"/>
        <v>-1</v>
      </c>
      <c r="O11" s="33">
        <f>Recu2!O11</f>
        <v>0</v>
      </c>
      <c r="P11" s="32">
        <f t="shared" si="35"/>
        <v>-1</v>
      </c>
      <c r="Q11" s="33">
        <f>Recu2!Q11</f>
        <v>0</v>
      </c>
      <c r="R11" s="32">
        <f t="shared" si="36"/>
        <v>-1</v>
      </c>
      <c r="S11" s="33">
        <f>Recu2!S11</f>
        <v>0</v>
      </c>
      <c r="T11" s="32">
        <f t="shared" si="37"/>
        <v>-1</v>
      </c>
      <c r="U11" s="33">
        <f>Recu2!U11</f>
        <v>0</v>
      </c>
      <c r="V11" s="32">
        <f t="shared" si="38"/>
        <v>-1</v>
      </c>
      <c r="W11" s="33">
        <f>Recu2!W11</f>
        <v>0</v>
      </c>
      <c r="X11" s="32">
        <f t="shared" si="39"/>
        <v>-1</v>
      </c>
      <c r="Y11" s="33">
        <f>Recu2!Y11</f>
        <v>0</v>
      </c>
      <c r="Z11" s="32">
        <f t="shared" si="40"/>
        <v>-1</v>
      </c>
      <c r="AA11" s="33">
        <f>Recu2!AA11</f>
        <v>0</v>
      </c>
      <c r="AB11" s="32">
        <f t="shared" si="41"/>
        <v>-1</v>
      </c>
      <c r="AC11" s="33">
        <f>Recu2!AC11</f>
        <v>0</v>
      </c>
      <c r="AD11" s="32">
        <f t="shared" si="42"/>
        <v>-1</v>
      </c>
      <c r="AE11" s="33">
        <f>Recu2!AE11</f>
        <v>0</v>
      </c>
      <c r="AF11" s="32">
        <f t="shared" si="43"/>
        <v>-1</v>
      </c>
      <c r="AG11" s="33">
        <f>Recu2!AG11</f>
        <v>0</v>
      </c>
      <c r="AH11" s="32">
        <f t="shared" si="44"/>
        <v>-1</v>
      </c>
      <c r="AI11" s="33">
        <f>Recu2!AI11</f>
        <v>0</v>
      </c>
      <c r="AJ11" s="32">
        <f t="shared" si="45"/>
        <v>-1</v>
      </c>
      <c r="AK11" s="33">
        <f>Recu2!AK11</f>
        <v>0</v>
      </c>
      <c r="AL11" s="32">
        <f t="shared" si="46"/>
        <v>-1</v>
      </c>
      <c r="AM11" s="33">
        <f>Recu2!AM11</f>
        <v>0</v>
      </c>
      <c r="AN11" s="32">
        <f t="shared" si="47"/>
        <v>-1</v>
      </c>
      <c r="AO11" s="33">
        <f>Recu2!AO11</f>
        <v>0</v>
      </c>
      <c r="AP11" s="32">
        <f t="shared" si="48"/>
        <v>-1</v>
      </c>
      <c r="AQ11" s="33">
        <f>Recu2!AQ11</f>
        <v>0</v>
      </c>
      <c r="AR11" s="32">
        <f t="shared" si="49"/>
        <v>-1</v>
      </c>
      <c r="AS11" s="33">
        <f>Recu2!AS11</f>
        <v>0</v>
      </c>
      <c r="AT11" s="32">
        <f t="shared" si="50"/>
        <v>-1</v>
      </c>
      <c r="AU11" s="33">
        <f>Recu2!AU11</f>
        <v>0</v>
      </c>
      <c r="AV11" s="32">
        <f t="shared" si="51"/>
        <v>-1</v>
      </c>
      <c r="AW11" s="33">
        <f>Recu2!AW11</f>
        <v>0</v>
      </c>
      <c r="AX11" s="32">
        <f t="shared" si="52"/>
        <v>-1</v>
      </c>
      <c r="AY11" s="33">
        <f>Recu2!AY11</f>
        <v>0</v>
      </c>
      <c r="AZ11" s="32">
        <f t="shared" si="53"/>
        <v>-1</v>
      </c>
      <c r="BA11" s="33">
        <f>Recu2!BA11</f>
        <v>0</v>
      </c>
      <c r="BB11" s="32">
        <f t="shared" si="54"/>
        <v>-1</v>
      </c>
      <c r="BC11" s="33">
        <f>Recu2!BC11</f>
        <v>0</v>
      </c>
      <c r="BD11" s="32">
        <f t="shared" si="55"/>
        <v>-1</v>
      </c>
      <c r="BE11" s="33">
        <f>Recu2!BE11</f>
        <v>0</v>
      </c>
      <c r="BF11" s="32">
        <f t="shared" si="56"/>
        <v>-1</v>
      </c>
      <c r="BG11" s="33">
        <f>Recu2!BG11</f>
        <v>0</v>
      </c>
      <c r="BH11" s="32">
        <f t="shared" si="57"/>
        <v>-1</v>
      </c>
      <c r="BI11" s="33">
        <f>Recu2!BI11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Recu2!B12</f>
        <v>0</v>
      </c>
      <c r="C12" s="33">
        <f>Recu2!C12</f>
        <v>0</v>
      </c>
      <c r="D12" s="32">
        <f t="shared" si="29"/>
        <v>-1</v>
      </c>
      <c r="E12" s="33">
        <f>Recu2!E12</f>
        <v>0</v>
      </c>
      <c r="F12" s="32">
        <f t="shared" si="30"/>
        <v>-1</v>
      </c>
      <c r="G12" s="33">
        <f>Recu2!G12</f>
        <v>0</v>
      </c>
      <c r="H12" s="32">
        <f t="shared" si="31"/>
        <v>-1</v>
      </c>
      <c r="I12" s="33">
        <f>Recu2!I12</f>
        <v>0</v>
      </c>
      <c r="J12" s="32">
        <f t="shared" si="32"/>
        <v>-1</v>
      </c>
      <c r="K12" s="33">
        <f>Recu2!K12</f>
        <v>0</v>
      </c>
      <c r="L12" s="32">
        <f t="shared" si="33"/>
        <v>-1</v>
      </c>
      <c r="M12" s="33">
        <f>Recu2!M12</f>
        <v>0</v>
      </c>
      <c r="N12" s="32">
        <f t="shared" si="34"/>
        <v>-1</v>
      </c>
      <c r="O12" s="33">
        <f>Recu2!O12</f>
        <v>0</v>
      </c>
      <c r="P12" s="32">
        <f t="shared" si="35"/>
        <v>-1</v>
      </c>
      <c r="Q12" s="33">
        <f>Recu2!Q12</f>
        <v>0</v>
      </c>
      <c r="R12" s="32">
        <f t="shared" si="36"/>
        <v>-1</v>
      </c>
      <c r="S12" s="33">
        <f>Recu2!S12</f>
        <v>0</v>
      </c>
      <c r="T12" s="32">
        <f t="shared" si="37"/>
        <v>-1</v>
      </c>
      <c r="U12" s="33">
        <f>Recu2!U12</f>
        <v>0</v>
      </c>
      <c r="V12" s="32">
        <f t="shared" si="38"/>
        <v>-1</v>
      </c>
      <c r="W12" s="33">
        <f>Recu2!W12</f>
        <v>0</v>
      </c>
      <c r="X12" s="32">
        <f t="shared" si="39"/>
        <v>-1</v>
      </c>
      <c r="Y12" s="33">
        <f>Recu2!Y12</f>
        <v>0</v>
      </c>
      <c r="Z12" s="32">
        <f t="shared" si="40"/>
        <v>-1</v>
      </c>
      <c r="AA12" s="33">
        <f>Recu2!AA12</f>
        <v>0</v>
      </c>
      <c r="AB12" s="32">
        <f t="shared" si="41"/>
        <v>-1</v>
      </c>
      <c r="AC12" s="33">
        <f>Recu2!AC12</f>
        <v>0</v>
      </c>
      <c r="AD12" s="32">
        <f t="shared" si="42"/>
        <v>-1</v>
      </c>
      <c r="AE12" s="33">
        <f>Recu2!AE12</f>
        <v>0</v>
      </c>
      <c r="AF12" s="32">
        <f t="shared" si="43"/>
        <v>-1</v>
      </c>
      <c r="AG12" s="33">
        <f>Recu2!AG12</f>
        <v>0</v>
      </c>
      <c r="AH12" s="32">
        <f t="shared" si="44"/>
        <v>-1</v>
      </c>
      <c r="AI12" s="33">
        <f>Recu2!AI12</f>
        <v>0</v>
      </c>
      <c r="AJ12" s="32">
        <f t="shared" si="45"/>
        <v>-1</v>
      </c>
      <c r="AK12" s="33">
        <f>Recu2!AK12</f>
        <v>0</v>
      </c>
      <c r="AL12" s="32">
        <f t="shared" si="46"/>
        <v>-1</v>
      </c>
      <c r="AM12" s="33">
        <f>Recu2!AM12</f>
        <v>0</v>
      </c>
      <c r="AN12" s="32">
        <f t="shared" si="47"/>
        <v>-1</v>
      </c>
      <c r="AO12" s="33">
        <f>Recu2!AO12</f>
        <v>0</v>
      </c>
      <c r="AP12" s="32">
        <f t="shared" si="48"/>
        <v>-1</v>
      </c>
      <c r="AQ12" s="33">
        <f>Recu2!AQ12</f>
        <v>0</v>
      </c>
      <c r="AR12" s="32">
        <f t="shared" si="49"/>
        <v>-1</v>
      </c>
      <c r="AS12" s="33">
        <f>Recu2!AS12</f>
        <v>0</v>
      </c>
      <c r="AT12" s="32">
        <f t="shared" si="50"/>
        <v>-1</v>
      </c>
      <c r="AU12" s="33">
        <f>Recu2!AU12</f>
        <v>0</v>
      </c>
      <c r="AV12" s="32">
        <f t="shared" si="51"/>
        <v>-1</v>
      </c>
      <c r="AW12" s="33">
        <f>Recu2!AW12</f>
        <v>0</v>
      </c>
      <c r="AX12" s="32">
        <f t="shared" si="52"/>
        <v>-1</v>
      </c>
      <c r="AY12" s="33">
        <f>Recu2!AY12</f>
        <v>0</v>
      </c>
      <c r="AZ12" s="32">
        <f t="shared" si="53"/>
        <v>-1</v>
      </c>
      <c r="BA12" s="33">
        <f>Recu2!BA12</f>
        <v>0</v>
      </c>
      <c r="BB12" s="32">
        <f t="shared" si="54"/>
        <v>-1</v>
      </c>
      <c r="BC12" s="33">
        <f>Recu2!BC12</f>
        <v>0</v>
      </c>
      <c r="BD12" s="32">
        <f t="shared" si="55"/>
        <v>-1</v>
      </c>
      <c r="BE12" s="33">
        <f>Recu2!BE12</f>
        <v>0</v>
      </c>
      <c r="BF12" s="32">
        <f t="shared" si="56"/>
        <v>-1</v>
      </c>
      <c r="BG12" s="33">
        <f>Recu2!BG12</f>
        <v>0</v>
      </c>
      <c r="BH12" s="32">
        <f t="shared" si="57"/>
        <v>-1</v>
      </c>
      <c r="BI12" s="33">
        <f>Recu2!BI12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Recu2!B13</f>
        <v>0</v>
      </c>
      <c r="C13" s="33">
        <f>Recu2!C13</f>
        <v>0</v>
      </c>
      <c r="D13" s="32">
        <f t="shared" si="29"/>
        <v>-1</v>
      </c>
      <c r="E13" s="33">
        <f>Recu2!E13</f>
        <v>0</v>
      </c>
      <c r="F13" s="32">
        <f t="shared" si="30"/>
        <v>-1</v>
      </c>
      <c r="G13" s="33">
        <f>Recu2!G13</f>
        <v>0</v>
      </c>
      <c r="H13" s="32">
        <f t="shared" si="31"/>
        <v>-1</v>
      </c>
      <c r="I13" s="33">
        <f>Recu2!I13</f>
        <v>0</v>
      </c>
      <c r="J13" s="32">
        <f t="shared" si="32"/>
        <v>-1</v>
      </c>
      <c r="K13" s="33">
        <f>Recu2!K13</f>
        <v>0</v>
      </c>
      <c r="L13" s="32">
        <f t="shared" si="33"/>
        <v>-1</v>
      </c>
      <c r="M13" s="33">
        <f>Recu2!M13</f>
        <v>0</v>
      </c>
      <c r="N13" s="32">
        <f t="shared" si="34"/>
        <v>-1</v>
      </c>
      <c r="O13" s="33">
        <f>Recu2!O13</f>
        <v>0</v>
      </c>
      <c r="P13" s="32">
        <f t="shared" si="35"/>
        <v>-1</v>
      </c>
      <c r="Q13" s="33">
        <f>Recu2!Q13</f>
        <v>0</v>
      </c>
      <c r="R13" s="32">
        <f t="shared" si="36"/>
        <v>-1</v>
      </c>
      <c r="S13" s="33">
        <f>Recu2!S13</f>
        <v>0</v>
      </c>
      <c r="T13" s="32">
        <f t="shared" si="37"/>
        <v>-1</v>
      </c>
      <c r="U13" s="33">
        <f>Recu2!U13</f>
        <v>0</v>
      </c>
      <c r="V13" s="32">
        <f t="shared" si="38"/>
        <v>-1</v>
      </c>
      <c r="W13" s="33">
        <f>Recu2!W13</f>
        <v>0</v>
      </c>
      <c r="X13" s="32">
        <f t="shared" si="39"/>
        <v>-1</v>
      </c>
      <c r="Y13" s="33">
        <f>Recu2!Y13</f>
        <v>0</v>
      </c>
      <c r="Z13" s="32">
        <f t="shared" si="40"/>
        <v>-1</v>
      </c>
      <c r="AA13" s="33">
        <f>Recu2!AA13</f>
        <v>0</v>
      </c>
      <c r="AB13" s="32">
        <f t="shared" si="41"/>
        <v>-1</v>
      </c>
      <c r="AC13" s="33">
        <f>Recu2!AC13</f>
        <v>0</v>
      </c>
      <c r="AD13" s="32">
        <f t="shared" si="42"/>
        <v>-1</v>
      </c>
      <c r="AE13" s="33">
        <f>Recu2!AE13</f>
        <v>0</v>
      </c>
      <c r="AF13" s="32">
        <f t="shared" si="43"/>
        <v>-1</v>
      </c>
      <c r="AG13" s="33">
        <f>Recu2!AG13</f>
        <v>0</v>
      </c>
      <c r="AH13" s="32">
        <f t="shared" si="44"/>
        <v>-1</v>
      </c>
      <c r="AI13" s="33">
        <f>Recu2!AI13</f>
        <v>0</v>
      </c>
      <c r="AJ13" s="32">
        <f t="shared" si="45"/>
        <v>-1</v>
      </c>
      <c r="AK13" s="33">
        <f>Recu2!AK13</f>
        <v>0</v>
      </c>
      <c r="AL13" s="32">
        <f t="shared" si="46"/>
        <v>-1</v>
      </c>
      <c r="AM13" s="33">
        <f>Recu2!AM13</f>
        <v>0</v>
      </c>
      <c r="AN13" s="32">
        <f t="shared" si="47"/>
        <v>-1</v>
      </c>
      <c r="AO13" s="33">
        <f>Recu2!AO13</f>
        <v>0</v>
      </c>
      <c r="AP13" s="32">
        <f t="shared" si="48"/>
        <v>-1</v>
      </c>
      <c r="AQ13" s="33">
        <f>Recu2!AQ13</f>
        <v>0</v>
      </c>
      <c r="AR13" s="32">
        <f t="shared" si="49"/>
        <v>-1</v>
      </c>
      <c r="AS13" s="33">
        <f>Recu2!AS13</f>
        <v>0</v>
      </c>
      <c r="AT13" s="32">
        <f t="shared" si="50"/>
        <v>-1</v>
      </c>
      <c r="AU13" s="33">
        <f>Recu2!AU13</f>
        <v>0</v>
      </c>
      <c r="AV13" s="32">
        <f t="shared" si="51"/>
        <v>-1</v>
      </c>
      <c r="AW13" s="33">
        <f>Recu2!AW13</f>
        <v>0</v>
      </c>
      <c r="AX13" s="32">
        <f t="shared" si="52"/>
        <v>-1</v>
      </c>
      <c r="AY13" s="33">
        <f>Recu2!AY13</f>
        <v>0</v>
      </c>
      <c r="AZ13" s="32">
        <f t="shared" si="53"/>
        <v>-1</v>
      </c>
      <c r="BA13" s="33">
        <f>Recu2!BA13</f>
        <v>0</v>
      </c>
      <c r="BB13" s="32">
        <f t="shared" si="54"/>
        <v>-1</v>
      </c>
      <c r="BC13" s="33">
        <f>Recu2!BC13</f>
        <v>0</v>
      </c>
      <c r="BD13" s="32">
        <f t="shared" si="55"/>
        <v>-1</v>
      </c>
      <c r="BE13" s="33">
        <f>Recu2!BE13</f>
        <v>0</v>
      </c>
      <c r="BF13" s="32">
        <f t="shared" si="56"/>
        <v>-1</v>
      </c>
      <c r="BG13" s="33">
        <f>Recu2!BG13</f>
        <v>0</v>
      </c>
      <c r="BH13" s="32">
        <f t="shared" si="57"/>
        <v>-1</v>
      </c>
      <c r="BI13" s="33">
        <f>Recu2!BI13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Recu2!B14</f>
        <v>0</v>
      </c>
      <c r="C14" s="33">
        <f>Recu2!C14</f>
        <v>0</v>
      </c>
      <c r="D14" s="32">
        <f t="shared" si="29"/>
        <v>-1</v>
      </c>
      <c r="E14" s="33">
        <f>Recu2!E14</f>
        <v>0</v>
      </c>
      <c r="F14" s="32">
        <f t="shared" si="30"/>
        <v>-1</v>
      </c>
      <c r="G14" s="33">
        <f>Recu2!G14</f>
        <v>0</v>
      </c>
      <c r="H14" s="32">
        <f t="shared" si="31"/>
        <v>-1</v>
      </c>
      <c r="I14" s="33">
        <f>Recu2!I14</f>
        <v>0</v>
      </c>
      <c r="J14" s="32">
        <f t="shared" si="32"/>
        <v>-1</v>
      </c>
      <c r="K14" s="33">
        <f>Recu2!K14</f>
        <v>0</v>
      </c>
      <c r="L14" s="32">
        <f t="shared" si="33"/>
        <v>-1</v>
      </c>
      <c r="M14" s="33">
        <f>Recu2!M14</f>
        <v>0</v>
      </c>
      <c r="N14" s="32">
        <f t="shared" si="34"/>
        <v>-1</v>
      </c>
      <c r="O14" s="33">
        <f>Recu2!O14</f>
        <v>0</v>
      </c>
      <c r="P14" s="32">
        <f t="shared" si="35"/>
        <v>-1</v>
      </c>
      <c r="Q14" s="33">
        <f>Recu2!Q14</f>
        <v>0</v>
      </c>
      <c r="R14" s="32">
        <f t="shared" si="36"/>
        <v>-1</v>
      </c>
      <c r="S14" s="33">
        <f>Recu2!S14</f>
        <v>0</v>
      </c>
      <c r="T14" s="32">
        <f t="shared" si="37"/>
        <v>-1</v>
      </c>
      <c r="U14" s="33">
        <f>Recu2!U14</f>
        <v>0</v>
      </c>
      <c r="V14" s="32">
        <f t="shared" si="38"/>
        <v>-1</v>
      </c>
      <c r="W14" s="33">
        <f>Recu2!W14</f>
        <v>0</v>
      </c>
      <c r="X14" s="32">
        <f t="shared" si="39"/>
        <v>-1</v>
      </c>
      <c r="Y14" s="33">
        <f>Recu2!Y14</f>
        <v>0</v>
      </c>
      <c r="Z14" s="32">
        <f t="shared" si="40"/>
        <v>-1</v>
      </c>
      <c r="AA14" s="33">
        <f>Recu2!AA14</f>
        <v>0</v>
      </c>
      <c r="AB14" s="32">
        <f t="shared" si="41"/>
        <v>-1</v>
      </c>
      <c r="AC14" s="33">
        <f>Recu2!AC14</f>
        <v>0</v>
      </c>
      <c r="AD14" s="32">
        <f t="shared" si="42"/>
        <v>-1</v>
      </c>
      <c r="AE14" s="33">
        <f>Recu2!AE14</f>
        <v>0</v>
      </c>
      <c r="AF14" s="32">
        <f t="shared" si="43"/>
        <v>-1</v>
      </c>
      <c r="AG14" s="33">
        <f>Recu2!AG14</f>
        <v>0</v>
      </c>
      <c r="AH14" s="32">
        <f t="shared" si="44"/>
        <v>-1</v>
      </c>
      <c r="AI14" s="33">
        <f>Recu2!AI14</f>
        <v>0</v>
      </c>
      <c r="AJ14" s="32">
        <f t="shared" si="45"/>
        <v>-1</v>
      </c>
      <c r="AK14" s="33">
        <f>Recu2!AK14</f>
        <v>0</v>
      </c>
      <c r="AL14" s="32">
        <f t="shared" si="46"/>
        <v>-1</v>
      </c>
      <c r="AM14" s="33">
        <f>Recu2!AM14</f>
        <v>0</v>
      </c>
      <c r="AN14" s="32">
        <f t="shared" si="47"/>
        <v>-1</v>
      </c>
      <c r="AO14" s="33">
        <f>Recu2!AO14</f>
        <v>0</v>
      </c>
      <c r="AP14" s="32">
        <f t="shared" si="48"/>
        <v>-1</v>
      </c>
      <c r="AQ14" s="33">
        <f>Recu2!AQ14</f>
        <v>0</v>
      </c>
      <c r="AR14" s="32">
        <f t="shared" si="49"/>
        <v>-1</v>
      </c>
      <c r="AS14" s="33">
        <f>Recu2!AS14</f>
        <v>0</v>
      </c>
      <c r="AT14" s="32">
        <f t="shared" si="50"/>
        <v>-1</v>
      </c>
      <c r="AU14" s="33">
        <f>Recu2!AU14</f>
        <v>0</v>
      </c>
      <c r="AV14" s="32">
        <f t="shared" si="51"/>
        <v>-1</v>
      </c>
      <c r="AW14" s="33">
        <f>Recu2!AW14</f>
        <v>0</v>
      </c>
      <c r="AX14" s="32">
        <f t="shared" si="52"/>
        <v>-1</v>
      </c>
      <c r="AY14" s="33">
        <f>Recu2!AY14</f>
        <v>0</v>
      </c>
      <c r="AZ14" s="32">
        <f t="shared" si="53"/>
        <v>-1</v>
      </c>
      <c r="BA14" s="33">
        <f>Recu2!BA14</f>
        <v>0</v>
      </c>
      <c r="BB14" s="32">
        <f t="shared" si="54"/>
        <v>-1</v>
      </c>
      <c r="BC14" s="33">
        <f>Recu2!BC14</f>
        <v>0</v>
      </c>
      <c r="BD14" s="32">
        <f t="shared" si="55"/>
        <v>-1</v>
      </c>
      <c r="BE14" s="33">
        <f>Recu2!BE14</f>
        <v>0</v>
      </c>
      <c r="BF14" s="32">
        <f t="shared" si="56"/>
        <v>-1</v>
      </c>
      <c r="BG14" s="33">
        <f>Recu2!BG14</f>
        <v>0</v>
      </c>
      <c r="BH14" s="32">
        <f t="shared" si="57"/>
        <v>-1</v>
      </c>
      <c r="BI14" s="33">
        <f>Recu2!BI14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Recu2!B15</f>
        <v>0</v>
      </c>
      <c r="C15" s="33">
        <f>Recu2!C15</f>
        <v>0</v>
      </c>
      <c r="D15" s="32">
        <f t="shared" si="29"/>
        <v>-1</v>
      </c>
      <c r="E15" s="33">
        <f>Recu2!E15</f>
        <v>0</v>
      </c>
      <c r="F15" s="32">
        <f t="shared" si="30"/>
        <v>-1</v>
      </c>
      <c r="G15" s="33">
        <f>Recu2!G15</f>
        <v>0</v>
      </c>
      <c r="H15" s="32">
        <f t="shared" si="31"/>
        <v>-1</v>
      </c>
      <c r="I15" s="33">
        <f>Recu2!I15</f>
        <v>0</v>
      </c>
      <c r="J15" s="32">
        <f t="shared" si="32"/>
        <v>-1</v>
      </c>
      <c r="K15" s="33">
        <f>Recu2!K15</f>
        <v>0</v>
      </c>
      <c r="L15" s="32">
        <f t="shared" si="33"/>
        <v>-1</v>
      </c>
      <c r="M15" s="33">
        <f>Recu2!M15</f>
        <v>0</v>
      </c>
      <c r="N15" s="32">
        <f t="shared" si="34"/>
        <v>-1</v>
      </c>
      <c r="O15" s="33">
        <f>Recu2!O15</f>
        <v>0</v>
      </c>
      <c r="P15" s="32">
        <f t="shared" si="35"/>
        <v>-1</v>
      </c>
      <c r="Q15" s="33">
        <f>Recu2!Q15</f>
        <v>0</v>
      </c>
      <c r="R15" s="32">
        <f t="shared" si="36"/>
        <v>-1</v>
      </c>
      <c r="S15" s="33">
        <f>Recu2!S15</f>
        <v>0</v>
      </c>
      <c r="T15" s="32">
        <f t="shared" si="37"/>
        <v>-1</v>
      </c>
      <c r="U15" s="33">
        <f>Recu2!U15</f>
        <v>0</v>
      </c>
      <c r="V15" s="32">
        <f t="shared" si="38"/>
        <v>-1</v>
      </c>
      <c r="W15" s="33">
        <f>Recu2!W15</f>
        <v>0</v>
      </c>
      <c r="X15" s="32">
        <f t="shared" si="39"/>
        <v>-1</v>
      </c>
      <c r="Y15" s="33">
        <f>Recu2!Y15</f>
        <v>0</v>
      </c>
      <c r="Z15" s="32">
        <f t="shared" si="40"/>
        <v>-1</v>
      </c>
      <c r="AA15" s="33">
        <f>Recu2!AA15</f>
        <v>0</v>
      </c>
      <c r="AB15" s="32">
        <f t="shared" si="41"/>
        <v>-1</v>
      </c>
      <c r="AC15" s="33">
        <f>Recu2!AC15</f>
        <v>0</v>
      </c>
      <c r="AD15" s="32">
        <f t="shared" si="42"/>
        <v>-1</v>
      </c>
      <c r="AE15" s="33">
        <f>Recu2!AE15</f>
        <v>0</v>
      </c>
      <c r="AF15" s="32">
        <f t="shared" si="43"/>
        <v>-1</v>
      </c>
      <c r="AG15" s="33">
        <f>Recu2!AG15</f>
        <v>0</v>
      </c>
      <c r="AH15" s="32">
        <f t="shared" si="44"/>
        <v>-1</v>
      </c>
      <c r="AI15" s="33">
        <f>Recu2!AI15</f>
        <v>0</v>
      </c>
      <c r="AJ15" s="32">
        <f t="shared" si="45"/>
        <v>-1</v>
      </c>
      <c r="AK15" s="33">
        <f>Recu2!AK15</f>
        <v>0</v>
      </c>
      <c r="AL15" s="32">
        <f t="shared" si="46"/>
        <v>-1</v>
      </c>
      <c r="AM15" s="33">
        <f>Recu2!AM15</f>
        <v>0</v>
      </c>
      <c r="AN15" s="32">
        <f t="shared" si="47"/>
        <v>-1</v>
      </c>
      <c r="AO15" s="33">
        <f>Recu2!AO15</f>
        <v>0</v>
      </c>
      <c r="AP15" s="32">
        <f t="shared" si="48"/>
        <v>-1</v>
      </c>
      <c r="AQ15" s="33">
        <f>Recu2!AQ15</f>
        <v>0</v>
      </c>
      <c r="AR15" s="32">
        <f t="shared" si="49"/>
        <v>-1</v>
      </c>
      <c r="AS15" s="33">
        <f>Recu2!AS15</f>
        <v>0</v>
      </c>
      <c r="AT15" s="32">
        <f t="shared" si="50"/>
        <v>-1</v>
      </c>
      <c r="AU15" s="33">
        <f>Recu2!AU15</f>
        <v>0</v>
      </c>
      <c r="AV15" s="32">
        <f t="shared" si="51"/>
        <v>-1</v>
      </c>
      <c r="AW15" s="33">
        <f>Recu2!AW15</f>
        <v>0</v>
      </c>
      <c r="AX15" s="32">
        <f t="shared" si="52"/>
        <v>-1</v>
      </c>
      <c r="AY15" s="33">
        <f>Recu2!AY15</f>
        <v>0</v>
      </c>
      <c r="AZ15" s="32">
        <f t="shared" si="53"/>
        <v>-1</v>
      </c>
      <c r="BA15" s="33">
        <f>Recu2!BA15</f>
        <v>0</v>
      </c>
      <c r="BB15" s="32">
        <f t="shared" si="54"/>
        <v>-1</v>
      </c>
      <c r="BC15" s="33">
        <f>Recu2!BC15</f>
        <v>0</v>
      </c>
      <c r="BD15" s="32">
        <f t="shared" si="55"/>
        <v>-1</v>
      </c>
      <c r="BE15" s="33">
        <f>Recu2!BE15</f>
        <v>0</v>
      </c>
      <c r="BF15" s="32">
        <f t="shared" si="56"/>
        <v>-1</v>
      </c>
      <c r="BG15" s="33">
        <f>Recu2!BG15</f>
        <v>0</v>
      </c>
      <c r="BH15" s="32">
        <f t="shared" si="57"/>
        <v>-1</v>
      </c>
      <c r="BI15" s="33">
        <f>Recu2!BI15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Recu2!B17</f>
        <v>0</v>
      </c>
      <c r="C17" s="33">
        <f>Recu2!C17</f>
        <v>0</v>
      </c>
      <c r="D17" s="32">
        <f t="shared" ref="D17:D37" si="59">IF($B17,C17/$B17,-1)</f>
        <v>-1</v>
      </c>
      <c r="E17" s="33">
        <f>Recu2!E17</f>
        <v>0</v>
      </c>
      <c r="F17" s="32">
        <f t="shared" ref="F17:F37" si="60">IF($B17,E17/$B17,-1)</f>
        <v>-1</v>
      </c>
      <c r="G17" s="33">
        <f>Recu2!G17</f>
        <v>0</v>
      </c>
      <c r="H17" s="32">
        <f t="shared" ref="H17:H37" si="61">IF($B17,G17/$B17,-1)</f>
        <v>-1</v>
      </c>
      <c r="I17" s="33">
        <f>Recu2!I17</f>
        <v>0</v>
      </c>
      <c r="J17" s="32">
        <f t="shared" ref="J17:J37" si="62">IF($B17,I17/$B17,-1)</f>
        <v>-1</v>
      </c>
      <c r="K17" s="33">
        <f>Recu2!K17</f>
        <v>0</v>
      </c>
      <c r="L17" s="32">
        <f t="shared" ref="L17:L37" si="63">IF($B17,K17/$B17,-1)</f>
        <v>-1</v>
      </c>
      <c r="M17" s="33">
        <f>Recu2!M17</f>
        <v>0</v>
      </c>
      <c r="N17" s="32">
        <f t="shared" ref="N17:N37" si="64">IF($B17,M17/$B17,-1)</f>
        <v>-1</v>
      </c>
      <c r="O17" s="33">
        <f>Recu2!O17</f>
        <v>0</v>
      </c>
      <c r="P17" s="32">
        <f t="shared" ref="P17:P37" si="65">IF($B17,O17/$B17,-1)</f>
        <v>-1</v>
      </c>
      <c r="Q17" s="33">
        <f>Recu2!Q17</f>
        <v>0</v>
      </c>
      <c r="R17" s="32">
        <f t="shared" ref="R17:R37" si="66">IF($B17,Q17/$B17,-1)</f>
        <v>-1</v>
      </c>
      <c r="S17" s="33">
        <f>Recu2!S17</f>
        <v>0</v>
      </c>
      <c r="T17" s="32">
        <f t="shared" ref="T17:T37" si="67">IF($B17,S17/$B17,-1)</f>
        <v>-1</v>
      </c>
      <c r="U17" s="33">
        <f>Recu2!U17</f>
        <v>0</v>
      </c>
      <c r="V17" s="32">
        <f t="shared" ref="V17:V37" si="68">IF($B17,U17/$B17,-1)</f>
        <v>-1</v>
      </c>
      <c r="W17" s="33">
        <f>Recu2!W17</f>
        <v>0</v>
      </c>
      <c r="X17" s="32">
        <f t="shared" ref="X17:X37" si="69">IF($B17,W17/$B17,-1)</f>
        <v>-1</v>
      </c>
      <c r="Y17" s="33">
        <f>Recu2!Y17</f>
        <v>0</v>
      </c>
      <c r="Z17" s="32">
        <f t="shared" ref="Z17:Z37" si="70">IF($B17,Y17/$B17,-1)</f>
        <v>-1</v>
      </c>
      <c r="AA17" s="33">
        <f>Recu2!AA17</f>
        <v>0</v>
      </c>
      <c r="AB17" s="32">
        <f t="shared" ref="AB17:AB37" si="71">IF($B17,AA17/$B17,-1)</f>
        <v>-1</v>
      </c>
      <c r="AC17" s="33">
        <f>Recu2!AC17</f>
        <v>0</v>
      </c>
      <c r="AD17" s="32">
        <f t="shared" ref="AD17:AD37" si="72">IF($B17,AC17/$B17,-1)</f>
        <v>-1</v>
      </c>
      <c r="AE17" s="33">
        <f>Recu2!AE17</f>
        <v>0</v>
      </c>
      <c r="AF17" s="32">
        <f t="shared" ref="AF17:AF37" si="73">IF($B17,AE17/$B17,-1)</f>
        <v>-1</v>
      </c>
      <c r="AG17" s="33">
        <f>Recu2!AG17</f>
        <v>0</v>
      </c>
      <c r="AH17" s="32">
        <f t="shared" ref="AH17:AH37" si="74">IF($B17,AG17/$B17,-1)</f>
        <v>-1</v>
      </c>
      <c r="AI17" s="33">
        <f>Recu2!AI17</f>
        <v>0</v>
      </c>
      <c r="AJ17" s="32">
        <f t="shared" ref="AJ17:AJ37" si="75">IF($B17,AI17/$B17,-1)</f>
        <v>-1</v>
      </c>
      <c r="AK17" s="33">
        <f>Recu2!AK17</f>
        <v>0</v>
      </c>
      <c r="AL17" s="32">
        <f t="shared" ref="AL17:AL37" si="76">IF($B17,AK17/$B17,-1)</f>
        <v>-1</v>
      </c>
      <c r="AM17" s="33">
        <f>Recu2!AM17</f>
        <v>0</v>
      </c>
      <c r="AN17" s="32">
        <f t="shared" ref="AN17:AN37" si="77">IF($B17,AM17/$B17,-1)</f>
        <v>-1</v>
      </c>
      <c r="AO17" s="33">
        <f>Recu2!AO17</f>
        <v>0</v>
      </c>
      <c r="AP17" s="32">
        <f t="shared" ref="AP17:AP37" si="78">IF($B17,AO17/$B17,-1)</f>
        <v>-1</v>
      </c>
      <c r="AQ17" s="33">
        <f>Recu2!AQ17</f>
        <v>0</v>
      </c>
      <c r="AR17" s="32">
        <f t="shared" ref="AR17:AR37" si="79">IF($B17,AQ17/$B17,-1)</f>
        <v>-1</v>
      </c>
      <c r="AS17" s="33">
        <f>Recu2!AS17</f>
        <v>0</v>
      </c>
      <c r="AT17" s="32">
        <f t="shared" ref="AT17:AT37" si="80">IF($B17,AS17/$B17,-1)</f>
        <v>-1</v>
      </c>
      <c r="AU17" s="33">
        <f>Recu2!AU17</f>
        <v>0</v>
      </c>
      <c r="AV17" s="32">
        <f t="shared" ref="AV17:AV37" si="81">IF($B17,AU17/$B17,-1)</f>
        <v>-1</v>
      </c>
      <c r="AW17" s="33">
        <f>Recu2!AW17</f>
        <v>0</v>
      </c>
      <c r="AX17" s="32">
        <f t="shared" ref="AX17:AX37" si="82">IF($B17,AW17/$B17,-1)</f>
        <v>-1</v>
      </c>
      <c r="AY17" s="33">
        <f>Recu2!AY17</f>
        <v>0</v>
      </c>
      <c r="AZ17" s="32">
        <f t="shared" ref="AZ17:AZ37" si="83">IF($B17,AY17/$B17,-1)</f>
        <v>-1</v>
      </c>
      <c r="BA17" s="33">
        <f>Recu2!BA17</f>
        <v>0</v>
      </c>
      <c r="BB17" s="32">
        <f t="shared" ref="BB17:BB37" si="84">IF($B17,BA17/$B17,-1)</f>
        <v>-1</v>
      </c>
      <c r="BC17" s="33">
        <f>Recu2!BC17</f>
        <v>0</v>
      </c>
      <c r="BD17" s="32">
        <f t="shared" ref="BD17:BD37" si="85">IF($B17,BC17/$B17,-1)</f>
        <v>-1</v>
      </c>
      <c r="BE17" s="33">
        <f>Recu2!BE17</f>
        <v>0</v>
      </c>
      <c r="BF17" s="32">
        <f t="shared" ref="BF17:BF37" si="86">IF($B17,BE17/$B17,-1)</f>
        <v>-1</v>
      </c>
      <c r="BG17" s="33">
        <f>Recu2!BG17</f>
        <v>0</v>
      </c>
      <c r="BH17" s="32">
        <f t="shared" ref="BH17:BH37" si="87">IF($B17,BG17/$B17,-1)</f>
        <v>-1</v>
      </c>
      <c r="BI17" s="33">
        <f>Recu2!BI17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Recu2!B18</f>
        <v>0</v>
      </c>
      <c r="C18" s="33">
        <f>Recu2!C18</f>
        <v>0</v>
      </c>
      <c r="D18" s="32">
        <f t="shared" si="59"/>
        <v>-1</v>
      </c>
      <c r="E18" s="33">
        <f>Recu2!E18</f>
        <v>0</v>
      </c>
      <c r="F18" s="32">
        <f t="shared" si="60"/>
        <v>-1</v>
      </c>
      <c r="G18" s="33">
        <f>Recu2!G18</f>
        <v>0</v>
      </c>
      <c r="H18" s="32">
        <f t="shared" si="61"/>
        <v>-1</v>
      </c>
      <c r="I18" s="33">
        <f>Recu2!I18</f>
        <v>0</v>
      </c>
      <c r="J18" s="32">
        <f t="shared" si="62"/>
        <v>-1</v>
      </c>
      <c r="K18" s="33">
        <f>Recu2!K18</f>
        <v>0</v>
      </c>
      <c r="L18" s="32">
        <f t="shared" si="63"/>
        <v>-1</v>
      </c>
      <c r="M18" s="33">
        <f>Recu2!M18</f>
        <v>0</v>
      </c>
      <c r="N18" s="32">
        <f t="shared" si="64"/>
        <v>-1</v>
      </c>
      <c r="O18" s="33">
        <f>Recu2!O18</f>
        <v>0</v>
      </c>
      <c r="P18" s="32">
        <f t="shared" si="65"/>
        <v>-1</v>
      </c>
      <c r="Q18" s="33">
        <f>Recu2!Q18</f>
        <v>0</v>
      </c>
      <c r="R18" s="32">
        <f t="shared" si="66"/>
        <v>-1</v>
      </c>
      <c r="S18" s="33">
        <f>Recu2!S18</f>
        <v>0</v>
      </c>
      <c r="T18" s="32">
        <f t="shared" si="67"/>
        <v>-1</v>
      </c>
      <c r="U18" s="33">
        <f>Recu2!U18</f>
        <v>0</v>
      </c>
      <c r="V18" s="32">
        <f t="shared" si="68"/>
        <v>-1</v>
      </c>
      <c r="W18" s="33">
        <f>Recu2!W18</f>
        <v>0</v>
      </c>
      <c r="X18" s="32">
        <f t="shared" si="69"/>
        <v>-1</v>
      </c>
      <c r="Y18" s="33">
        <f>Recu2!Y18</f>
        <v>0</v>
      </c>
      <c r="Z18" s="32">
        <f t="shared" si="70"/>
        <v>-1</v>
      </c>
      <c r="AA18" s="33">
        <f>Recu2!AA18</f>
        <v>0</v>
      </c>
      <c r="AB18" s="32">
        <f t="shared" si="71"/>
        <v>-1</v>
      </c>
      <c r="AC18" s="33">
        <f>Recu2!AC18</f>
        <v>0</v>
      </c>
      <c r="AD18" s="32">
        <f t="shared" si="72"/>
        <v>-1</v>
      </c>
      <c r="AE18" s="33">
        <f>Recu2!AE18</f>
        <v>0</v>
      </c>
      <c r="AF18" s="32">
        <f t="shared" si="73"/>
        <v>-1</v>
      </c>
      <c r="AG18" s="33">
        <f>Recu2!AG18</f>
        <v>0</v>
      </c>
      <c r="AH18" s="32">
        <f t="shared" si="74"/>
        <v>-1</v>
      </c>
      <c r="AI18" s="33">
        <f>Recu2!AI18</f>
        <v>0</v>
      </c>
      <c r="AJ18" s="32">
        <f t="shared" si="75"/>
        <v>-1</v>
      </c>
      <c r="AK18" s="33">
        <f>Recu2!AK18</f>
        <v>0</v>
      </c>
      <c r="AL18" s="32">
        <f t="shared" si="76"/>
        <v>-1</v>
      </c>
      <c r="AM18" s="33">
        <f>Recu2!AM18</f>
        <v>0</v>
      </c>
      <c r="AN18" s="32">
        <f t="shared" si="77"/>
        <v>-1</v>
      </c>
      <c r="AO18" s="33">
        <f>Recu2!AO18</f>
        <v>0</v>
      </c>
      <c r="AP18" s="32">
        <f t="shared" si="78"/>
        <v>-1</v>
      </c>
      <c r="AQ18" s="33">
        <f>Recu2!AQ18</f>
        <v>0</v>
      </c>
      <c r="AR18" s="32">
        <f t="shared" si="79"/>
        <v>-1</v>
      </c>
      <c r="AS18" s="33">
        <f>Recu2!AS18</f>
        <v>0</v>
      </c>
      <c r="AT18" s="32">
        <f t="shared" si="80"/>
        <v>-1</v>
      </c>
      <c r="AU18" s="33">
        <f>Recu2!AU18</f>
        <v>0</v>
      </c>
      <c r="AV18" s="32">
        <f t="shared" si="81"/>
        <v>-1</v>
      </c>
      <c r="AW18" s="33">
        <f>Recu2!AW18</f>
        <v>0</v>
      </c>
      <c r="AX18" s="32">
        <f t="shared" si="82"/>
        <v>-1</v>
      </c>
      <c r="AY18" s="33">
        <f>Recu2!AY18</f>
        <v>0</v>
      </c>
      <c r="AZ18" s="32">
        <f t="shared" si="83"/>
        <v>-1</v>
      </c>
      <c r="BA18" s="33">
        <f>Recu2!BA18</f>
        <v>0</v>
      </c>
      <c r="BB18" s="32">
        <f t="shared" si="84"/>
        <v>-1</v>
      </c>
      <c r="BC18" s="33">
        <f>Recu2!BC18</f>
        <v>0</v>
      </c>
      <c r="BD18" s="32">
        <f t="shared" si="85"/>
        <v>-1</v>
      </c>
      <c r="BE18" s="33">
        <f>Recu2!BE18</f>
        <v>0</v>
      </c>
      <c r="BF18" s="32">
        <f t="shared" si="86"/>
        <v>-1</v>
      </c>
      <c r="BG18" s="33">
        <f>Recu2!BG18</f>
        <v>0</v>
      </c>
      <c r="BH18" s="32">
        <f t="shared" si="87"/>
        <v>-1</v>
      </c>
      <c r="BI18" s="33">
        <f>Recu2!BI18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Recu2!B19</f>
        <v>0</v>
      </c>
      <c r="C19" s="33">
        <f>Recu2!C19</f>
        <v>0</v>
      </c>
      <c r="D19" s="32">
        <f t="shared" si="59"/>
        <v>-1</v>
      </c>
      <c r="E19" s="33">
        <f>Recu2!E19</f>
        <v>0</v>
      </c>
      <c r="F19" s="32">
        <f t="shared" si="60"/>
        <v>-1</v>
      </c>
      <c r="G19" s="33">
        <f>Recu2!G19</f>
        <v>0</v>
      </c>
      <c r="H19" s="32">
        <f t="shared" si="61"/>
        <v>-1</v>
      </c>
      <c r="I19" s="33">
        <f>Recu2!I19</f>
        <v>0</v>
      </c>
      <c r="J19" s="32">
        <f t="shared" si="62"/>
        <v>-1</v>
      </c>
      <c r="K19" s="33">
        <f>Recu2!K19</f>
        <v>0</v>
      </c>
      <c r="L19" s="32">
        <f t="shared" si="63"/>
        <v>-1</v>
      </c>
      <c r="M19" s="33">
        <f>Recu2!M19</f>
        <v>0</v>
      </c>
      <c r="N19" s="32">
        <f t="shared" si="64"/>
        <v>-1</v>
      </c>
      <c r="O19" s="33">
        <f>Recu2!O19</f>
        <v>0</v>
      </c>
      <c r="P19" s="32">
        <f t="shared" si="65"/>
        <v>-1</v>
      </c>
      <c r="Q19" s="33">
        <f>Recu2!Q19</f>
        <v>0</v>
      </c>
      <c r="R19" s="32">
        <f t="shared" si="66"/>
        <v>-1</v>
      </c>
      <c r="S19" s="33">
        <f>Recu2!S19</f>
        <v>0</v>
      </c>
      <c r="T19" s="32">
        <f t="shared" si="67"/>
        <v>-1</v>
      </c>
      <c r="U19" s="33">
        <f>Recu2!U19</f>
        <v>0</v>
      </c>
      <c r="V19" s="32">
        <f t="shared" si="68"/>
        <v>-1</v>
      </c>
      <c r="W19" s="33">
        <f>Recu2!W19</f>
        <v>0</v>
      </c>
      <c r="X19" s="32">
        <f t="shared" si="69"/>
        <v>-1</v>
      </c>
      <c r="Y19" s="33">
        <f>Recu2!Y19</f>
        <v>0</v>
      </c>
      <c r="Z19" s="32">
        <f t="shared" si="70"/>
        <v>-1</v>
      </c>
      <c r="AA19" s="33">
        <f>Recu2!AA19</f>
        <v>0</v>
      </c>
      <c r="AB19" s="32">
        <f t="shared" si="71"/>
        <v>-1</v>
      </c>
      <c r="AC19" s="33">
        <f>Recu2!AC19</f>
        <v>0</v>
      </c>
      <c r="AD19" s="32">
        <f t="shared" si="72"/>
        <v>-1</v>
      </c>
      <c r="AE19" s="33">
        <f>Recu2!AE19</f>
        <v>0</v>
      </c>
      <c r="AF19" s="32">
        <f t="shared" si="73"/>
        <v>-1</v>
      </c>
      <c r="AG19" s="33">
        <f>Recu2!AG19</f>
        <v>0</v>
      </c>
      <c r="AH19" s="32">
        <f t="shared" si="74"/>
        <v>-1</v>
      </c>
      <c r="AI19" s="33">
        <f>Recu2!AI19</f>
        <v>0</v>
      </c>
      <c r="AJ19" s="32">
        <f t="shared" si="75"/>
        <v>-1</v>
      </c>
      <c r="AK19" s="33">
        <f>Recu2!AK19</f>
        <v>0</v>
      </c>
      <c r="AL19" s="32">
        <f t="shared" si="76"/>
        <v>-1</v>
      </c>
      <c r="AM19" s="33">
        <f>Recu2!AM19</f>
        <v>0</v>
      </c>
      <c r="AN19" s="32">
        <f t="shared" si="77"/>
        <v>-1</v>
      </c>
      <c r="AO19" s="33">
        <f>Recu2!AO19</f>
        <v>0</v>
      </c>
      <c r="AP19" s="32">
        <f t="shared" si="78"/>
        <v>-1</v>
      </c>
      <c r="AQ19" s="33">
        <f>Recu2!AQ19</f>
        <v>0</v>
      </c>
      <c r="AR19" s="32">
        <f t="shared" si="79"/>
        <v>-1</v>
      </c>
      <c r="AS19" s="33">
        <f>Recu2!AS19</f>
        <v>0</v>
      </c>
      <c r="AT19" s="32">
        <f t="shared" si="80"/>
        <v>-1</v>
      </c>
      <c r="AU19" s="33">
        <f>Recu2!AU19</f>
        <v>0</v>
      </c>
      <c r="AV19" s="32">
        <f t="shared" si="81"/>
        <v>-1</v>
      </c>
      <c r="AW19" s="33">
        <f>Recu2!AW19</f>
        <v>0</v>
      </c>
      <c r="AX19" s="32">
        <f t="shared" si="82"/>
        <v>-1</v>
      </c>
      <c r="AY19" s="33">
        <f>Recu2!AY19</f>
        <v>0</v>
      </c>
      <c r="AZ19" s="32">
        <f t="shared" si="83"/>
        <v>-1</v>
      </c>
      <c r="BA19" s="33">
        <f>Recu2!BA19</f>
        <v>0</v>
      </c>
      <c r="BB19" s="32">
        <f t="shared" si="84"/>
        <v>-1</v>
      </c>
      <c r="BC19" s="33">
        <f>Recu2!BC19</f>
        <v>0</v>
      </c>
      <c r="BD19" s="32">
        <f t="shared" si="85"/>
        <v>-1</v>
      </c>
      <c r="BE19" s="33">
        <f>Recu2!BE19</f>
        <v>0</v>
      </c>
      <c r="BF19" s="32">
        <f t="shared" si="86"/>
        <v>-1</v>
      </c>
      <c r="BG19" s="33">
        <f>Recu2!BG19</f>
        <v>0</v>
      </c>
      <c r="BH19" s="32">
        <f t="shared" si="87"/>
        <v>-1</v>
      </c>
      <c r="BI19" s="33">
        <f>Recu2!BI19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Recu2!B20</f>
        <v>0</v>
      </c>
      <c r="C20" s="33">
        <f>Recu2!C20</f>
        <v>0</v>
      </c>
      <c r="D20" s="32">
        <f t="shared" si="59"/>
        <v>-1</v>
      </c>
      <c r="E20" s="33">
        <f>Recu2!E20</f>
        <v>0</v>
      </c>
      <c r="F20" s="32">
        <f t="shared" si="60"/>
        <v>-1</v>
      </c>
      <c r="G20" s="33">
        <f>Recu2!G20</f>
        <v>0</v>
      </c>
      <c r="H20" s="32">
        <f t="shared" si="61"/>
        <v>-1</v>
      </c>
      <c r="I20" s="33">
        <f>Recu2!I20</f>
        <v>0</v>
      </c>
      <c r="J20" s="32">
        <f t="shared" si="62"/>
        <v>-1</v>
      </c>
      <c r="K20" s="33">
        <f>Recu2!K20</f>
        <v>0</v>
      </c>
      <c r="L20" s="32">
        <f t="shared" si="63"/>
        <v>-1</v>
      </c>
      <c r="M20" s="33">
        <f>Recu2!M20</f>
        <v>0</v>
      </c>
      <c r="N20" s="32">
        <f t="shared" si="64"/>
        <v>-1</v>
      </c>
      <c r="O20" s="33">
        <f>Recu2!O20</f>
        <v>0</v>
      </c>
      <c r="P20" s="32">
        <f t="shared" si="65"/>
        <v>-1</v>
      </c>
      <c r="Q20" s="33">
        <f>Recu2!Q20</f>
        <v>0</v>
      </c>
      <c r="R20" s="32">
        <f t="shared" si="66"/>
        <v>-1</v>
      </c>
      <c r="S20" s="33">
        <f>Recu2!S20</f>
        <v>0</v>
      </c>
      <c r="T20" s="32">
        <f t="shared" si="67"/>
        <v>-1</v>
      </c>
      <c r="U20" s="33">
        <f>Recu2!U20</f>
        <v>0</v>
      </c>
      <c r="V20" s="32">
        <f t="shared" si="68"/>
        <v>-1</v>
      </c>
      <c r="W20" s="33">
        <f>Recu2!W20</f>
        <v>0</v>
      </c>
      <c r="X20" s="32">
        <f t="shared" si="69"/>
        <v>-1</v>
      </c>
      <c r="Y20" s="33">
        <f>Recu2!Y20</f>
        <v>0</v>
      </c>
      <c r="Z20" s="32">
        <f t="shared" si="70"/>
        <v>-1</v>
      </c>
      <c r="AA20" s="33">
        <f>Recu2!AA20</f>
        <v>0</v>
      </c>
      <c r="AB20" s="32">
        <f t="shared" si="71"/>
        <v>-1</v>
      </c>
      <c r="AC20" s="33">
        <f>Recu2!AC20</f>
        <v>0</v>
      </c>
      <c r="AD20" s="32">
        <f t="shared" si="72"/>
        <v>-1</v>
      </c>
      <c r="AE20" s="33">
        <f>Recu2!AE20</f>
        <v>0</v>
      </c>
      <c r="AF20" s="32">
        <f t="shared" si="73"/>
        <v>-1</v>
      </c>
      <c r="AG20" s="33">
        <f>Recu2!AG20</f>
        <v>0</v>
      </c>
      <c r="AH20" s="32">
        <f t="shared" si="74"/>
        <v>-1</v>
      </c>
      <c r="AI20" s="33">
        <f>Recu2!AI20</f>
        <v>0</v>
      </c>
      <c r="AJ20" s="32">
        <f t="shared" si="75"/>
        <v>-1</v>
      </c>
      <c r="AK20" s="33">
        <f>Recu2!AK20</f>
        <v>0</v>
      </c>
      <c r="AL20" s="32">
        <f t="shared" si="76"/>
        <v>-1</v>
      </c>
      <c r="AM20" s="33">
        <f>Recu2!AM20</f>
        <v>0</v>
      </c>
      <c r="AN20" s="32">
        <f t="shared" si="77"/>
        <v>-1</v>
      </c>
      <c r="AO20" s="33">
        <f>Recu2!AO20</f>
        <v>0</v>
      </c>
      <c r="AP20" s="32">
        <f t="shared" si="78"/>
        <v>-1</v>
      </c>
      <c r="AQ20" s="33">
        <f>Recu2!AQ20</f>
        <v>0</v>
      </c>
      <c r="AR20" s="32">
        <f t="shared" si="79"/>
        <v>-1</v>
      </c>
      <c r="AS20" s="33">
        <f>Recu2!AS20</f>
        <v>0</v>
      </c>
      <c r="AT20" s="32">
        <f t="shared" si="80"/>
        <v>-1</v>
      </c>
      <c r="AU20" s="33">
        <f>Recu2!AU20</f>
        <v>0</v>
      </c>
      <c r="AV20" s="32">
        <f t="shared" si="81"/>
        <v>-1</v>
      </c>
      <c r="AW20" s="33">
        <f>Recu2!AW20</f>
        <v>0</v>
      </c>
      <c r="AX20" s="32">
        <f t="shared" si="82"/>
        <v>-1</v>
      </c>
      <c r="AY20" s="33">
        <f>Recu2!AY20</f>
        <v>0</v>
      </c>
      <c r="AZ20" s="32">
        <f t="shared" si="83"/>
        <v>-1</v>
      </c>
      <c r="BA20" s="33">
        <f>Recu2!BA20</f>
        <v>0</v>
      </c>
      <c r="BB20" s="32">
        <f t="shared" si="84"/>
        <v>-1</v>
      </c>
      <c r="BC20" s="33">
        <f>Recu2!BC20</f>
        <v>0</v>
      </c>
      <c r="BD20" s="32">
        <f t="shared" si="85"/>
        <v>-1</v>
      </c>
      <c r="BE20" s="33">
        <f>Recu2!BE20</f>
        <v>0</v>
      </c>
      <c r="BF20" s="32">
        <f t="shared" si="86"/>
        <v>-1</v>
      </c>
      <c r="BG20" s="33">
        <f>Recu2!BG20</f>
        <v>0</v>
      </c>
      <c r="BH20" s="32">
        <f t="shared" si="87"/>
        <v>-1</v>
      </c>
      <c r="BI20" s="33">
        <f>Recu2!BI20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Recu2!B21</f>
        <v>0</v>
      </c>
      <c r="C21" s="33">
        <f>Recu2!C21</f>
        <v>0</v>
      </c>
      <c r="D21" s="32">
        <f t="shared" si="59"/>
        <v>-1</v>
      </c>
      <c r="E21" s="33">
        <f>Recu2!E21</f>
        <v>0</v>
      </c>
      <c r="F21" s="32">
        <f t="shared" si="60"/>
        <v>-1</v>
      </c>
      <c r="G21" s="33">
        <f>Recu2!G21</f>
        <v>0</v>
      </c>
      <c r="H21" s="32">
        <f t="shared" si="61"/>
        <v>-1</v>
      </c>
      <c r="I21" s="33">
        <f>Recu2!I21</f>
        <v>0</v>
      </c>
      <c r="J21" s="32">
        <f t="shared" si="62"/>
        <v>-1</v>
      </c>
      <c r="K21" s="33">
        <f>Recu2!K21</f>
        <v>0</v>
      </c>
      <c r="L21" s="32">
        <f t="shared" si="63"/>
        <v>-1</v>
      </c>
      <c r="M21" s="33">
        <f>Recu2!M21</f>
        <v>0</v>
      </c>
      <c r="N21" s="32">
        <f t="shared" si="64"/>
        <v>-1</v>
      </c>
      <c r="O21" s="33">
        <f>Recu2!O21</f>
        <v>0</v>
      </c>
      <c r="P21" s="32">
        <f t="shared" si="65"/>
        <v>-1</v>
      </c>
      <c r="Q21" s="33">
        <f>Recu2!Q21</f>
        <v>0</v>
      </c>
      <c r="R21" s="32">
        <f t="shared" si="66"/>
        <v>-1</v>
      </c>
      <c r="S21" s="33">
        <f>Recu2!S21</f>
        <v>0</v>
      </c>
      <c r="T21" s="32">
        <f t="shared" si="67"/>
        <v>-1</v>
      </c>
      <c r="U21" s="33">
        <f>Recu2!U21</f>
        <v>0</v>
      </c>
      <c r="V21" s="32">
        <f t="shared" si="68"/>
        <v>-1</v>
      </c>
      <c r="W21" s="33">
        <f>Recu2!W21</f>
        <v>0</v>
      </c>
      <c r="X21" s="32">
        <f t="shared" si="69"/>
        <v>-1</v>
      </c>
      <c r="Y21" s="33">
        <f>Recu2!Y21</f>
        <v>0</v>
      </c>
      <c r="Z21" s="32">
        <f t="shared" si="70"/>
        <v>-1</v>
      </c>
      <c r="AA21" s="33">
        <f>Recu2!AA21</f>
        <v>0</v>
      </c>
      <c r="AB21" s="32">
        <f t="shared" si="71"/>
        <v>-1</v>
      </c>
      <c r="AC21" s="33">
        <f>Recu2!AC21</f>
        <v>0</v>
      </c>
      <c r="AD21" s="32">
        <f t="shared" si="72"/>
        <v>-1</v>
      </c>
      <c r="AE21" s="33">
        <f>Recu2!AE21</f>
        <v>0</v>
      </c>
      <c r="AF21" s="32">
        <f t="shared" si="73"/>
        <v>-1</v>
      </c>
      <c r="AG21" s="33">
        <f>Recu2!AG21</f>
        <v>0</v>
      </c>
      <c r="AH21" s="32">
        <f t="shared" si="74"/>
        <v>-1</v>
      </c>
      <c r="AI21" s="33">
        <f>Recu2!AI21</f>
        <v>0</v>
      </c>
      <c r="AJ21" s="32">
        <f t="shared" si="75"/>
        <v>-1</v>
      </c>
      <c r="AK21" s="33">
        <f>Recu2!AK21</f>
        <v>0</v>
      </c>
      <c r="AL21" s="32">
        <f t="shared" si="76"/>
        <v>-1</v>
      </c>
      <c r="AM21" s="33">
        <f>Recu2!AM21</f>
        <v>0</v>
      </c>
      <c r="AN21" s="32">
        <f t="shared" si="77"/>
        <v>-1</v>
      </c>
      <c r="AO21" s="33">
        <f>Recu2!AO21</f>
        <v>0</v>
      </c>
      <c r="AP21" s="32">
        <f t="shared" si="78"/>
        <v>-1</v>
      </c>
      <c r="AQ21" s="33">
        <f>Recu2!AQ21</f>
        <v>0</v>
      </c>
      <c r="AR21" s="32">
        <f t="shared" si="79"/>
        <v>-1</v>
      </c>
      <c r="AS21" s="33">
        <f>Recu2!AS21</f>
        <v>0</v>
      </c>
      <c r="AT21" s="32">
        <f t="shared" si="80"/>
        <v>-1</v>
      </c>
      <c r="AU21" s="33">
        <f>Recu2!AU21</f>
        <v>0</v>
      </c>
      <c r="AV21" s="32">
        <f t="shared" si="81"/>
        <v>-1</v>
      </c>
      <c r="AW21" s="33">
        <f>Recu2!AW21</f>
        <v>0</v>
      </c>
      <c r="AX21" s="32">
        <f t="shared" si="82"/>
        <v>-1</v>
      </c>
      <c r="AY21" s="33">
        <f>Recu2!AY21</f>
        <v>0</v>
      </c>
      <c r="AZ21" s="32">
        <f t="shared" si="83"/>
        <v>-1</v>
      </c>
      <c r="BA21" s="33">
        <f>Recu2!BA21</f>
        <v>0</v>
      </c>
      <c r="BB21" s="32">
        <f t="shared" si="84"/>
        <v>-1</v>
      </c>
      <c r="BC21" s="33">
        <f>Recu2!BC21</f>
        <v>0</v>
      </c>
      <c r="BD21" s="32">
        <f t="shared" si="85"/>
        <v>-1</v>
      </c>
      <c r="BE21" s="33">
        <f>Recu2!BE21</f>
        <v>0</v>
      </c>
      <c r="BF21" s="32">
        <f t="shared" si="86"/>
        <v>-1</v>
      </c>
      <c r="BG21" s="33">
        <f>Recu2!BG21</f>
        <v>0</v>
      </c>
      <c r="BH21" s="32">
        <f t="shared" si="87"/>
        <v>-1</v>
      </c>
      <c r="BI21" s="33">
        <f>Recu2!BI21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Recu2!B22</f>
        <v>0</v>
      </c>
      <c r="C22" s="33">
        <f>Recu2!C22</f>
        <v>0</v>
      </c>
      <c r="D22" s="32">
        <f t="shared" si="59"/>
        <v>-1</v>
      </c>
      <c r="E22" s="33">
        <f>Recu2!E22</f>
        <v>0</v>
      </c>
      <c r="F22" s="32">
        <f t="shared" si="60"/>
        <v>-1</v>
      </c>
      <c r="G22" s="33">
        <f>Recu2!G22</f>
        <v>0</v>
      </c>
      <c r="H22" s="32">
        <f t="shared" si="61"/>
        <v>-1</v>
      </c>
      <c r="I22" s="33">
        <f>Recu2!I22</f>
        <v>0</v>
      </c>
      <c r="J22" s="32">
        <f t="shared" si="62"/>
        <v>-1</v>
      </c>
      <c r="K22" s="33">
        <f>Recu2!K22</f>
        <v>0</v>
      </c>
      <c r="L22" s="32">
        <f t="shared" si="63"/>
        <v>-1</v>
      </c>
      <c r="M22" s="33">
        <f>Recu2!M22</f>
        <v>0</v>
      </c>
      <c r="N22" s="32">
        <f t="shared" si="64"/>
        <v>-1</v>
      </c>
      <c r="O22" s="33">
        <f>Recu2!O22</f>
        <v>0</v>
      </c>
      <c r="P22" s="32">
        <f t="shared" si="65"/>
        <v>-1</v>
      </c>
      <c r="Q22" s="33">
        <f>Recu2!Q22</f>
        <v>0</v>
      </c>
      <c r="R22" s="32">
        <f t="shared" si="66"/>
        <v>-1</v>
      </c>
      <c r="S22" s="33">
        <f>Recu2!S22</f>
        <v>0</v>
      </c>
      <c r="T22" s="32">
        <f t="shared" si="67"/>
        <v>-1</v>
      </c>
      <c r="U22" s="33">
        <f>Recu2!U22</f>
        <v>0</v>
      </c>
      <c r="V22" s="32">
        <f t="shared" si="68"/>
        <v>-1</v>
      </c>
      <c r="W22" s="33">
        <f>Recu2!W22</f>
        <v>0</v>
      </c>
      <c r="X22" s="32">
        <f t="shared" si="69"/>
        <v>-1</v>
      </c>
      <c r="Y22" s="33">
        <f>Recu2!Y22</f>
        <v>0</v>
      </c>
      <c r="Z22" s="32">
        <f t="shared" si="70"/>
        <v>-1</v>
      </c>
      <c r="AA22" s="33">
        <f>Recu2!AA22</f>
        <v>0</v>
      </c>
      <c r="AB22" s="32">
        <f t="shared" si="71"/>
        <v>-1</v>
      </c>
      <c r="AC22" s="33">
        <f>Recu2!AC22</f>
        <v>0</v>
      </c>
      <c r="AD22" s="32">
        <f t="shared" si="72"/>
        <v>-1</v>
      </c>
      <c r="AE22" s="33">
        <f>Recu2!AE22</f>
        <v>0</v>
      </c>
      <c r="AF22" s="32">
        <f t="shared" si="73"/>
        <v>-1</v>
      </c>
      <c r="AG22" s="33">
        <f>Recu2!AG22</f>
        <v>0</v>
      </c>
      <c r="AH22" s="32">
        <f t="shared" si="74"/>
        <v>-1</v>
      </c>
      <c r="AI22" s="33">
        <f>Recu2!AI22</f>
        <v>0</v>
      </c>
      <c r="AJ22" s="32">
        <f t="shared" si="75"/>
        <v>-1</v>
      </c>
      <c r="AK22" s="33">
        <f>Recu2!AK22</f>
        <v>0</v>
      </c>
      <c r="AL22" s="32">
        <f t="shared" si="76"/>
        <v>-1</v>
      </c>
      <c r="AM22" s="33">
        <f>Recu2!AM22</f>
        <v>0</v>
      </c>
      <c r="AN22" s="32">
        <f t="shared" si="77"/>
        <v>-1</v>
      </c>
      <c r="AO22" s="33">
        <f>Recu2!AO22</f>
        <v>0</v>
      </c>
      <c r="AP22" s="32">
        <f t="shared" si="78"/>
        <v>-1</v>
      </c>
      <c r="AQ22" s="33">
        <f>Recu2!AQ22</f>
        <v>0</v>
      </c>
      <c r="AR22" s="32">
        <f t="shared" si="79"/>
        <v>-1</v>
      </c>
      <c r="AS22" s="33">
        <f>Recu2!AS22</f>
        <v>0</v>
      </c>
      <c r="AT22" s="32">
        <f t="shared" si="80"/>
        <v>-1</v>
      </c>
      <c r="AU22" s="33">
        <f>Recu2!AU22</f>
        <v>0</v>
      </c>
      <c r="AV22" s="32">
        <f t="shared" si="81"/>
        <v>-1</v>
      </c>
      <c r="AW22" s="33">
        <f>Recu2!AW22</f>
        <v>0</v>
      </c>
      <c r="AX22" s="32">
        <f t="shared" si="82"/>
        <v>-1</v>
      </c>
      <c r="AY22" s="33">
        <f>Recu2!AY22</f>
        <v>0</v>
      </c>
      <c r="AZ22" s="32">
        <f t="shared" si="83"/>
        <v>-1</v>
      </c>
      <c r="BA22" s="33">
        <f>Recu2!BA22</f>
        <v>0</v>
      </c>
      <c r="BB22" s="32">
        <f t="shared" si="84"/>
        <v>-1</v>
      </c>
      <c r="BC22" s="33">
        <f>Recu2!BC22</f>
        <v>0</v>
      </c>
      <c r="BD22" s="32">
        <f t="shared" si="85"/>
        <v>-1</v>
      </c>
      <c r="BE22" s="33">
        <f>Recu2!BE22</f>
        <v>0</v>
      </c>
      <c r="BF22" s="32">
        <f t="shared" si="86"/>
        <v>-1</v>
      </c>
      <c r="BG22" s="33">
        <f>Recu2!BG22</f>
        <v>0</v>
      </c>
      <c r="BH22" s="32">
        <f t="shared" si="87"/>
        <v>-1</v>
      </c>
      <c r="BI22" s="33">
        <f>Recu2!BI22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Recu2!B23</f>
        <v>0</v>
      </c>
      <c r="C23" s="33">
        <f>Recu2!C23</f>
        <v>0</v>
      </c>
      <c r="D23" s="32">
        <f t="shared" si="59"/>
        <v>-1</v>
      </c>
      <c r="E23" s="33">
        <f>Recu2!E23</f>
        <v>0</v>
      </c>
      <c r="F23" s="32">
        <f t="shared" si="60"/>
        <v>-1</v>
      </c>
      <c r="G23" s="33">
        <f>Recu2!G23</f>
        <v>0</v>
      </c>
      <c r="H23" s="32">
        <f t="shared" si="61"/>
        <v>-1</v>
      </c>
      <c r="I23" s="33">
        <f>Recu2!I23</f>
        <v>0</v>
      </c>
      <c r="J23" s="32">
        <f t="shared" si="62"/>
        <v>-1</v>
      </c>
      <c r="K23" s="33">
        <f>Recu2!K23</f>
        <v>0</v>
      </c>
      <c r="L23" s="32">
        <f t="shared" si="63"/>
        <v>-1</v>
      </c>
      <c r="M23" s="33">
        <f>Recu2!M23</f>
        <v>0</v>
      </c>
      <c r="N23" s="32">
        <f t="shared" si="64"/>
        <v>-1</v>
      </c>
      <c r="O23" s="33">
        <f>Recu2!O23</f>
        <v>0</v>
      </c>
      <c r="P23" s="32">
        <f t="shared" si="65"/>
        <v>-1</v>
      </c>
      <c r="Q23" s="33">
        <f>Recu2!Q23</f>
        <v>0</v>
      </c>
      <c r="R23" s="32">
        <f t="shared" si="66"/>
        <v>-1</v>
      </c>
      <c r="S23" s="33">
        <f>Recu2!S23</f>
        <v>0</v>
      </c>
      <c r="T23" s="32">
        <f t="shared" si="67"/>
        <v>-1</v>
      </c>
      <c r="U23" s="33">
        <f>Recu2!U23</f>
        <v>0</v>
      </c>
      <c r="V23" s="32">
        <f t="shared" si="68"/>
        <v>-1</v>
      </c>
      <c r="W23" s="33">
        <f>Recu2!W23</f>
        <v>0</v>
      </c>
      <c r="X23" s="32">
        <f t="shared" si="69"/>
        <v>-1</v>
      </c>
      <c r="Y23" s="33">
        <f>Recu2!Y23</f>
        <v>0</v>
      </c>
      <c r="Z23" s="32">
        <f t="shared" si="70"/>
        <v>-1</v>
      </c>
      <c r="AA23" s="33">
        <f>Recu2!AA23</f>
        <v>0</v>
      </c>
      <c r="AB23" s="32">
        <f t="shared" si="71"/>
        <v>-1</v>
      </c>
      <c r="AC23" s="33">
        <f>Recu2!AC23</f>
        <v>0</v>
      </c>
      <c r="AD23" s="32">
        <f t="shared" si="72"/>
        <v>-1</v>
      </c>
      <c r="AE23" s="33">
        <f>Recu2!AE23</f>
        <v>0</v>
      </c>
      <c r="AF23" s="32">
        <f t="shared" si="73"/>
        <v>-1</v>
      </c>
      <c r="AG23" s="33">
        <f>Recu2!AG23</f>
        <v>0</v>
      </c>
      <c r="AH23" s="32">
        <f t="shared" si="74"/>
        <v>-1</v>
      </c>
      <c r="AI23" s="33">
        <f>Recu2!AI23</f>
        <v>0</v>
      </c>
      <c r="AJ23" s="32">
        <f t="shared" si="75"/>
        <v>-1</v>
      </c>
      <c r="AK23" s="33">
        <f>Recu2!AK23</f>
        <v>0</v>
      </c>
      <c r="AL23" s="32">
        <f t="shared" si="76"/>
        <v>-1</v>
      </c>
      <c r="AM23" s="33">
        <f>Recu2!AM23</f>
        <v>0</v>
      </c>
      <c r="AN23" s="32">
        <f t="shared" si="77"/>
        <v>-1</v>
      </c>
      <c r="AO23" s="33">
        <f>Recu2!AO23</f>
        <v>0</v>
      </c>
      <c r="AP23" s="32">
        <f t="shared" si="78"/>
        <v>-1</v>
      </c>
      <c r="AQ23" s="33">
        <f>Recu2!AQ23</f>
        <v>0</v>
      </c>
      <c r="AR23" s="32">
        <f t="shared" si="79"/>
        <v>-1</v>
      </c>
      <c r="AS23" s="33">
        <f>Recu2!AS23</f>
        <v>0</v>
      </c>
      <c r="AT23" s="32">
        <f t="shared" si="80"/>
        <v>-1</v>
      </c>
      <c r="AU23" s="33">
        <f>Recu2!AU23</f>
        <v>0</v>
      </c>
      <c r="AV23" s="32">
        <f t="shared" si="81"/>
        <v>-1</v>
      </c>
      <c r="AW23" s="33">
        <f>Recu2!AW23</f>
        <v>0</v>
      </c>
      <c r="AX23" s="32">
        <f t="shared" si="82"/>
        <v>-1</v>
      </c>
      <c r="AY23" s="33">
        <f>Recu2!AY23</f>
        <v>0</v>
      </c>
      <c r="AZ23" s="32">
        <f t="shared" si="83"/>
        <v>-1</v>
      </c>
      <c r="BA23" s="33">
        <f>Recu2!BA23</f>
        <v>0</v>
      </c>
      <c r="BB23" s="32">
        <f t="shared" si="84"/>
        <v>-1</v>
      </c>
      <c r="BC23" s="33">
        <f>Recu2!BC23</f>
        <v>0</v>
      </c>
      <c r="BD23" s="32">
        <f t="shared" si="85"/>
        <v>-1</v>
      </c>
      <c r="BE23" s="33">
        <f>Recu2!BE23</f>
        <v>0</v>
      </c>
      <c r="BF23" s="32">
        <f t="shared" si="86"/>
        <v>-1</v>
      </c>
      <c r="BG23" s="33">
        <f>Recu2!BG23</f>
        <v>0</v>
      </c>
      <c r="BH23" s="32">
        <f t="shared" si="87"/>
        <v>-1</v>
      </c>
      <c r="BI23" s="33">
        <f>Recu2!BI23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Recu2!B24</f>
        <v>0</v>
      </c>
      <c r="C24" s="33">
        <f>Recu2!C24</f>
        <v>0</v>
      </c>
      <c r="D24" s="32">
        <f t="shared" si="59"/>
        <v>-1</v>
      </c>
      <c r="E24" s="33">
        <f>Recu2!E24</f>
        <v>0</v>
      </c>
      <c r="F24" s="32">
        <f t="shared" si="60"/>
        <v>-1</v>
      </c>
      <c r="G24" s="33">
        <f>Recu2!G24</f>
        <v>0</v>
      </c>
      <c r="H24" s="32">
        <f t="shared" si="61"/>
        <v>-1</v>
      </c>
      <c r="I24" s="33">
        <f>Recu2!I24</f>
        <v>0</v>
      </c>
      <c r="J24" s="32">
        <f t="shared" si="62"/>
        <v>-1</v>
      </c>
      <c r="K24" s="33">
        <f>Recu2!K24</f>
        <v>0</v>
      </c>
      <c r="L24" s="32">
        <f t="shared" si="63"/>
        <v>-1</v>
      </c>
      <c r="M24" s="33">
        <f>Recu2!M24</f>
        <v>0</v>
      </c>
      <c r="N24" s="32">
        <f t="shared" si="64"/>
        <v>-1</v>
      </c>
      <c r="O24" s="33">
        <f>Recu2!O24</f>
        <v>0</v>
      </c>
      <c r="P24" s="32">
        <f t="shared" si="65"/>
        <v>-1</v>
      </c>
      <c r="Q24" s="33">
        <f>Recu2!Q24</f>
        <v>0</v>
      </c>
      <c r="R24" s="32">
        <f t="shared" si="66"/>
        <v>-1</v>
      </c>
      <c r="S24" s="33">
        <f>Recu2!S24</f>
        <v>0</v>
      </c>
      <c r="T24" s="32">
        <f t="shared" si="67"/>
        <v>-1</v>
      </c>
      <c r="U24" s="33">
        <f>Recu2!U24</f>
        <v>0</v>
      </c>
      <c r="V24" s="32">
        <f t="shared" si="68"/>
        <v>-1</v>
      </c>
      <c r="W24" s="33">
        <f>Recu2!W24</f>
        <v>0</v>
      </c>
      <c r="X24" s="32">
        <f t="shared" si="69"/>
        <v>-1</v>
      </c>
      <c r="Y24" s="33">
        <f>Recu2!Y24</f>
        <v>0</v>
      </c>
      <c r="Z24" s="32">
        <f t="shared" si="70"/>
        <v>-1</v>
      </c>
      <c r="AA24" s="33">
        <f>Recu2!AA24</f>
        <v>0</v>
      </c>
      <c r="AB24" s="32">
        <f t="shared" si="71"/>
        <v>-1</v>
      </c>
      <c r="AC24" s="33">
        <f>Recu2!AC24</f>
        <v>0</v>
      </c>
      <c r="AD24" s="32">
        <f t="shared" si="72"/>
        <v>-1</v>
      </c>
      <c r="AE24" s="33">
        <f>Recu2!AE24</f>
        <v>0</v>
      </c>
      <c r="AF24" s="32">
        <f t="shared" si="73"/>
        <v>-1</v>
      </c>
      <c r="AG24" s="33">
        <f>Recu2!AG24</f>
        <v>0</v>
      </c>
      <c r="AH24" s="32">
        <f t="shared" si="74"/>
        <v>-1</v>
      </c>
      <c r="AI24" s="33">
        <f>Recu2!AI24</f>
        <v>0</v>
      </c>
      <c r="AJ24" s="32">
        <f t="shared" si="75"/>
        <v>-1</v>
      </c>
      <c r="AK24" s="33">
        <f>Recu2!AK24</f>
        <v>0</v>
      </c>
      <c r="AL24" s="32">
        <f t="shared" si="76"/>
        <v>-1</v>
      </c>
      <c r="AM24" s="33">
        <f>Recu2!AM24</f>
        <v>0</v>
      </c>
      <c r="AN24" s="32">
        <f t="shared" si="77"/>
        <v>-1</v>
      </c>
      <c r="AO24" s="33">
        <f>Recu2!AO24</f>
        <v>0</v>
      </c>
      <c r="AP24" s="32">
        <f t="shared" si="78"/>
        <v>-1</v>
      </c>
      <c r="AQ24" s="33">
        <f>Recu2!AQ24</f>
        <v>0</v>
      </c>
      <c r="AR24" s="32">
        <f t="shared" si="79"/>
        <v>-1</v>
      </c>
      <c r="AS24" s="33">
        <f>Recu2!AS24</f>
        <v>0</v>
      </c>
      <c r="AT24" s="32">
        <f t="shared" si="80"/>
        <v>-1</v>
      </c>
      <c r="AU24" s="33">
        <f>Recu2!AU24</f>
        <v>0</v>
      </c>
      <c r="AV24" s="32">
        <f t="shared" si="81"/>
        <v>-1</v>
      </c>
      <c r="AW24" s="33">
        <f>Recu2!AW24</f>
        <v>0</v>
      </c>
      <c r="AX24" s="32">
        <f t="shared" si="82"/>
        <v>-1</v>
      </c>
      <c r="AY24" s="33">
        <f>Recu2!AY24</f>
        <v>0</v>
      </c>
      <c r="AZ24" s="32">
        <f t="shared" si="83"/>
        <v>-1</v>
      </c>
      <c r="BA24" s="33">
        <f>Recu2!BA24</f>
        <v>0</v>
      </c>
      <c r="BB24" s="32">
        <f t="shared" si="84"/>
        <v>-1</v>
      </c>
      <c r="BC24" s="33">
        <f>Recu2!BC24</f>
        <v>0</v>
      </c>
      <c r="BD24" s="32">
        <f t="shared" si="85"/>
        <v>-1</v>
      </c>
      <c r="BE24" s="33">
        <f>Recu2!BE24</f>
        <v>0</v>
      </c>
      <c r="BF24" s="32">
        <f t="shared" si="86"/>
        <v>-1</v>
      </c>
      <c r="BG24" s="33">
        <f>Recu2!BG24</f>
        <v>0</v>
      </c>
      <c r="BH24" s="32">
        <f t="shared" si="87"/>
        <v>-1</v>
      </c>
      <c r="BI24" s="33">
        <f>Recu2!BI24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Recu2!B25</f>
        <v>0</v>
      </c>
      <c r="C25" s="33">
        <f>Recu2!C25</f>
        <v>0</v>
      </c>
      <c r="D25" s="32">
        <f t="shared" si="59"/>
        <v>-1</v>
      </c>
      <c r="E25" s="33">
        <f>Recu2!E25</f>
        <v>0</v>
      </c>
      <c r="F25" s="32">
        <f t="shared" si="60"/>
        <v>-1</v>
      </c>
      <c r="G25" s="33">
        <f>Recu2!G25</f>
        <v>0</v>
      </c>
      <c r="H25" s="32">
        <f t="shared" si="61"/>
        <v>-1</v>
      </c>
      <c r="I25" s="33">
        <f>Recu2!I25</f>
        <v>0</v>
      </c>
      <c r="J25" s="32">
        <f t="shared" si="62"/>
        <v>-1</v>
      </c>
      <c r="K25" s="33">
        <f>Recu2!K25</f>
        <v>0</v>
      </c>
      <c r="L25" s="32">
        <f t="shared" si="63"/>
        <v>-1</v>
      </c>
      <c r="M25" s="33">
        <f>Recu2!M25</f>
        <v>0</v>
      </c>
      <c r="N25" s="32">
        <f t="shared" si="64"/>
        <v>-1</v>
      </c>
      <c r="O25" s="33">
        <f>Recu2!O25</f>
        <v>0</v>
      </c>
      <c r="P25" s="32">
        <f t="shared" si="65"/>
        <v>-1</v>
      </c>
      <c r="Q25" s="33">
        <f>Recu2!Q25</f>
        <v>0</v>
      </c>
      <c r="R25" s="32">
        <f t="shared" si="66"/>
        <v>-1</v>
      </c>
      <c r="S25" s="33">
        <f>Recu2!S25</f>
        <v>0</v>
      </c>
      <c r="T25" s="32">
        <f t="shared" si="67"/>
        <v>-1</v>
      </c>
      <c r="U25" s="33">
        <f>Recu2!U25</f>
        <v>0</v>
      </c>
      <c r="V25" s="32">
        <f t="shared" si="68"/>
        <v>-1</v>
      </c>
      <c r="W25" s="33">
        <f>Recu2!W25</f>
        <v>0</v>
      </c>
      <c r="X25" s="32">
        <f t="shared" si="69"/>
        <v>-1</v>
      </c>
      <c r="Y25" s="33">
        <f>Recu2!Y25</f>
        <v>0</v>
      </c>
      <c r="Z25" s="32">
        <f t="shared" si="70"/>
        <v>-1</v>
      </c>
      <c r="AA25" s="33">
        <f>Recu2!AA25</f>
        <v>0</v>
      </c>
      <c r="AB25" s="32">
        <f t="shared" si="71"/>
        <v>-1</v>
      </c>
      <c r="AC25" s="33">
        <f>Recu2!AC25</f>
        <v>0</v>
      </c>
      <c r="AD25" s="32">
        <f t="shared" si="72"/>
        <v>-1</v>
      </c>
      <c r="AE25" s="33">
        <f>Recu2!AE25</f>
        <v>0</v>
      </c>
      <c r="AF25" s="32">
        <f t="shared" si="73"/>
        <v>-1</v>
      </c>
      <c r="AG25" s="33">
        <f>Recu2!AG25</f>
        <v>0</v>
      </c>
      <c r="AH25" s="32">
        <f t="shared" si="74"/>
        <v>-1</v>
      </c>
      <c r="AI25" s="33">
        <f>Recu2!AI25</f>
        <v>0</v>
      </c>
      <c r="AJ25" s="32">
        <f t="shared" si="75"/>
        <v>-1</v>
      </c>
      <c r="AK25" s="33">
        <f>Recu2!AK25</f>
        <v>0</v>
      </c>
      <c r="AL25" s="32">
        <f t="shared" si="76"/>
        <v>-1</v>
      </c>
      <c r="AM25" s="33">
        <f>Recu2!AM25</f>
        <v>0</v>
      </c>
      <c r="AN25" s="32">
        <f t="shared" si="77"/>
        <v>-1</v>
      </c>
      <c r="AO25" s="33">
        <f>Recu2!AO25</f>
        <v>0</v>
      </c>
      <c r="AP25" s="32">
        <f t="shared" si="78"/>
        <v>-1</v>
      </c>
      <c r="AQ25" s="33">
        <f>Recu2!AQ25</f>
        <v>0</v>
      </c>
      <c r="AR25" s="32">
        <f t="shared" si="79"/>
        <v>-1</v>
      </c>
      <c r="AS25" s="33">
        <f>Recu2!AS25</f>
        <v>0</v>
      </c>
      <c r="AT25" s="32">
        <f t="shared" si="80"/>
        <v>-1</v>
      </c>
      <c r="AU25" s="33">
        <f>Recu2!AU25</f>
        <v>0</v>
      </c>
      <c r="AV25" s="32">
        <f t="shared" si="81"/>
        <v>-1</v>
      </c>
      <c r="AW25" s="33">
        <f>Recu2!AW25</f>
        <v>0</v>
      </c>
      <c r="AX25" s="32">
        <f t="shared" si="82"/>
        <v>-1</v>
      </c>
      <c r="AY25" s="33">
        <f>Recu2!AY25</f>
        <v>0</v>
      </c>
      <c r="AZ25" s="32">
        <f t="shared" si="83"/>
        <v>-1</v>
      </c>
      <c r="BA25" s="33">
        <f>Recu2!BA25</f>
        <v>0</v>
      </c>
      <c r="BB25" s="32">
        <f t="shared" si="84"/>
        <v>-1</v>
      </c>
      <c r="BC25" s="33">
        <f>Recu2!BC25</f>
        <v>0</v>
      </c>
      <c r="BD25" s="32">
        <f t="shared" si="85"/>
        <v>-1</v>
      </c>
      <c r="BE25" s="33">
        <f>Recu2!BE25</f>
        <v>0</v>
      </c>
      <c r="BF25" s="32">
        <f t="shared" si="86"/>
        <v>-1</v>
      </c>
      <c r="BG25" s="33">
        <f>Recu2!BG25</f>
        <v>0</v>
      </c>
      <c r="BH25" s="32">
        <f t="shared" si="87"/>
        <v>-1</v>
      </c>
      <c r="BI25" s="33">
        <f>Recu2!BI25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Recu2!B26</f>
        <v>0</v>
      </c>
      <c r="C26" s="33">
        <f>Recu2!C26</f>
        <v>0</v>
      </c>
      <c r="D26" s="32">
        <f t="shared" si="59"/>
        <v>-1</v>
      </c>
      <c r="E26" s="33">
        <f>Recu2!E26</f>
        <v>0</v>
      </c>
      <c r="F26" s="32">
        <f t="shared" si="60"/>
        <v>-1</v>
      </c>
      <c r="G26" s="33">
        <f>Recu2!G26</f>
        <v>0</v>
      </c>
      <c r="H26" s="32">
        <f t="shared" si="61"/>
        <v>-1</v>
      </c>
      <c r="I26" s="33">
        <f>Recu2!I26</f>
        <v>0</v>
      </c>
      <c r="J26" s="32">
        <f t="shared" si="62"/>
        <v>-1</v>
      </c>
      <c r="K26" s="33">
        <f>Recu2!K26</f>
        <v>0</v>
      </c>
      <c r="L26" s="32">
        <f t="shared" si="63"/>
        <v>-1</v>
      </c>
      <c r="M26" s="33">
        <f>Recu2!M26</f>
        <v>0</v>
      </c>
      <c r="N26" s="32">
        <f t="shared" si="64"/>
        <v>-1</v>
      </c>
      <c r="O26" s="33">
        <f>Recu2!O26</f>
        <v>0</v>
      </c>
      <c r="P26" s="32">
        <f t="shared" si="65"/>
        <v>-1</v>
      </c>
      <c r="Q26" s="33">
        <f>Recu2!Q26</f>
        <v>0</v>
      </c>
      <c r="R26" s="32">
        <f t="shared" si="66"/>
        <v>-1</v>
      </c>
      <c r="S26" s="33">
        <f>Recu2!S26</f>
        <v>0</v>
      </c>
      <c r="T26" s="32">
        <f t="shared" si="67"/>
        <v>-1</v>
      </c>
      <c r="U26" s="33">
        <f>Recu2!U26</f>
        <v>0</v>
      </c>
      <c r="V26" s="32">
        <f t="shared" si="68"/>
        <v>-1</v>
      </c>
      <c r="W26" s="33">
        <f>Recu2!W26</f>
        <v>0</v>
      </c>
      <c r="X26" s="32">
        <f t="shared" si="69"/>
        <v>-1</v>
      </c>
      <c r="Y26" s="33">
        <f>Recu2!Y26</f>
        <v>0</v>
      </c>
      <c r="Z26" s="32">
        <f t="shared" si="70"/>
        <v>-1</v>
      </c>
      <c r="AA26" s="33">
        <f>Recu2!AA26</f>
        <v>0</v>
      </c>
      <c r="AB26" s="32">
        <f t="shared" si="71"/>
        <v>-1</v>
      </c>
      <c r="AC26" s="33">
        <f>Recu2!AC26</f>
        <v>0</v>
      </c>
      <c r="AD26" s="32">
        <f t="shared" si="72"/>
        <v>-1</v>
      </c>
      <c r="AE26" s="33">
        <f>Recu2!AE26</f>
        <v>0</v>
      </c>
      <c r="AF26" s="32">
        <f t="shared" si="73"/>
        <v>-1</v>
      </c>
      <c r="AG26" s="33">
        <f>Recu2!AG26</f>
        <v>0</v>
      </c>
      <c r="AH26" s="32">
        <f t="shared" si="74"/>
        <v>-1</v>
      </c>
      <c r="AI26" s="33">
        <f>Recu2!AI26</f>
        <v>0</v>
      </c>
      <c r="AJ26" s="32">
        <f t="shared" si="75"/>
        <v>-1</v>
      </c>
      <c r="AK26" s="33">
        <f>Recu2!AK26</f>
        <v>0</v>
      </c>
      <c r="AL26" s="32">
        <f t="shared" si="76"/>
        <v>-1</v>
      </c>
      <c r="AM26" s="33">
        <f>Recu2!AM26</f>
        <v>0</v>
      </c>
      <c r="AN26" s="32">
        <f t="shared" si="77"/>
        <v>-1</v>
      </c>
      <c r="AO26" s="33">
        <f>Recu2!AO26</f>
        <v>0</v>
      </c>
      <c r="AP26" s="32">
        <f t="shared" si="78"/>
        <v>-1</v>
      </c>
      <c r="AQ26" s="33">
        <f>Recu2!AQ26</f>
        <v>0</v>
      </c>
      <c r="AR26" s="32">
        <f t="shared" si="79"/>
        <v>-1</v>
      </c>
      <c r="AS26" s="33">
        <f>Recu2!AS26</f>
        <v>0</v>
      </c>
      <c r="AT26" s="32">
        <f t="shared" si="80"/>
        <v>-1</v>
      </c>
      <c r="AU26" s="33">
        <f>Recu2!AU26</f>
        <v>0</v>
      </c>
      <c r="AV26" s="32">
        <f t="shared" si="81"/>
        <v>-1</v>
      </c>
      <c r="AW26" s="33">
        <f>Recu2!AW26</f>
        <v>0</v>
      </c>
      <c r="AX26" s="32">
        <f t="shared" si="82"/>
        <v>-1</v>
      </c>
      <c r="AY26" s="33">
        <f>Recu2!AY26</f>
        <v>0</v>
      </c>
      <c r="AZ26" s="32">
        <f t="shared" si="83"/>
        <v>-1</v>
      </c>
      <c r="BA26" s="33">
        <f>Recu2!BA26</f>
        <v>0</v>
      </c>
      <c r="BB26" s="32">
        <f t="shared" si="84"/>
        <v>-1</v>
      </c>
      <c r="BC26" s="33">
        <f>Recu2!BC26</f>
        <v>0</v>
      </c>
      <c r="BD26" s="32">
        <f t="shared" si="85"/>
        <v>-1</v>
      </c>
      <c r="BE26" s="33">
        <f>Recu2!BE26</f>
        <v>0</v>
      </c>
      <c r="BF26" s="32">
        <f t="shared" si="86"/>
        <v>-1</v>
      </c>
      <c r="BG26" s="33">
        <f>Recu2!BG26</f>
        <v>0</v>
      </c>
      <c r="BH26" s="32">
        <f t="shared" si="87"/>
        <v>-1</v>
      </c>
      <c r="BI26" s="33">
        <f>Recu2!BI26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Recu2!B27</f>
        <v>0</v>
      </c>
      <c r="C27" s="33">
        <f>Recu2!C27</f>
        <v>0</v>
      </c>
      <c r="D27" s="32">
        <f t="shared" si="59"/>
        <v>-1</v>
      </c>
      <c r="E27" s="33">
        <f>Recu2!E27</f>
        <v>0</v>
      </c>
      <c r="F27" s="32">
        <f t="shared" si="60"/>
        <v>-1</v>
      </c>
      <c r="G27" s="33">
        <f>Recu2!G27</f>
        <v>0</v>
      </c>
      <c r="H27" s="32">
        <f t="shared" si="61"/>
        <v>-1</v>
      </c>
      <c r="I27" s="33">
        <f>Recu2!I27</f>
        <v>0</v>
      </c>
      <c r="J27" s="32">
        <f t="shared" si="62"/>
        <v>-1</v>
      </c>
      <c r="K27" s="33">
        <f>Recu2!K27</f>
        <v>0</v>
      </c>
      <c r="L27" s="32">
        <f t="shared" si="63"/>
        <v>-1</v>
      </c>
      <c r="M27" s="33">
        <f>Recu2!M27</f>
        <v>0</v>
      </c>
      <c r="N27" s="32">
        <f t="shared" si="64"/>
        <v>-1</v>
      </c>
      <c r="O27" s="33">
        <f>Recu2!O27</f>
        <v>0</v>
      </c>
      <c r="P27" s="32">
        <f t="shared" si="65"/>
        <v>-1</v>
      </c>
      <c r="Q27" s="33">
        <f>Recu2!Q27</f>
        <v>0</v>
      </c>
      <c r="R27" s="32">
        <f t="shared" si="66"/>
        <v>-1</v>
      </c>
      <c r="S27" s="33">
        <f>Recu2!S27</f>
        <v>0</v>
      </c>
      <c r="T27" s="32">
        <f t="shared" si="67"/>
        <v>-1</v>
      </c>
      <c r="U27" s="33">
        <f>Recu2!U27</f>
        <v>0</v>
      </c>
      <c r="V27" s="32">
        <f t="shared" si="68"/>
        <v>-1</v>
      </c>
      <c r="W27" s="33">
        <f>Recu2!W27</f>
        <v>0</v>
      </c>
      <c r="X27" s="32">
        <f t="shared" si="69"/>
        <v>-1</v>
      </c>
      <c r="Y27" s="33">
        <f>Recu2!Y27</f>
        <v>0</v>
      </c>
      <c r="Z27" s="32">
        <f t="shared" si="70"/>
        <v>-1</v>
      </c>
      <c r="AA27" s="33">
        <f>Recu2!AA27</f>
        <v>0</v>
      </c>
      <c r="AB27" s="32">
        <f t="shared" si="71"/>
        <v>-1</v>
      </c>
      <c r="AC27" s="33">
        <f>Recu2!AC27</f>
        <v>0</v>
      </c>
      <c r="AD27" s="32">
        <f t="shared" si="72"/>
        <v>-1</v>
      </c>
      <c r="AE27" s="33">
        <f>Recu2!AE27</f>
        <v>0</v>
      </c>
      <c r="AF27" s="32">
        <f t="shared" si="73"/>
        <v>-1</v>
      </c>
      <c r="AG27" s="33">
        <f>Recu2!AG27</f>
        <v>0</v>
      </c>
      <c r="AH27" s="32">
        <f t="shared" si="74"/>
        <v>-1</v>
      </c>
      <c r="AI27" s="33">
        <f>Recu2!AI27</f>
        <v>0</v>
      </c>
      <c r="AJ27" s="32">
        <f t="shared" si="75"/>
        <v>-1</v>
      </c>
      <c r="AK27" s="33">
        <f>Recu2!AK27</f>
        <v>0</v>
      </c>
      <c r="AL27" s="32">
        <f t="shared" si="76"/>
        <v>-1</v>
      </c>
      <c r="AM27" s="33">
        <f>Recu2!AM27</f>
        <v>0</v>
      </c>
      <c r="AN27" s="32">
        <f t="shared" si="77"/>
        <v>-1</v>
      </c>
      <c r="AO27" s="33">
        <f>Recu2!AO27</f>
        <v>0</v>
      </c>
      <c r="AP27" s="32">
        <f t="shared" si="78"/>
        <v>-1</v>
      </c>
      <c r="AQ27" s="33">
        <f>Recu2!AQ27</f>
        <v>0</v>
      </c>
      <c r="AR27" s="32">
        <f t="shared" si="79"/>
        <v>-1</v>
      </c>
      <c r="AS27" s="33">
        <f>Recu2!AS27</f>
        <v>0</v>
      </c>
      <c r="AT27" s="32">
        <f t="shared" si="80"/>
        <v>-1</v>
      </c>
      <c r="AU27" s="33">
        <f>Recu2!AU27</f>
        <v>0</v>
      </c>
      <c r="AV27" s="32">
        <f t="shared" si="81"/>
        <v>-1</v>
      </c>
      <c r="AW27" s="33">
        <f>Recu2!AW27</f>
        <v>0</v>
      </c>
      <c r="AX27" s="32">
        <f t="shared" si="82"/>
        <v>-1</v>
      </c>
      <c r="AY27" s="33">
        <f>Recu2!AY27</f>
        <v>0</v>
      </c>
      <c r="AZ27" s="32">
        <f t="shared" si="83"/>
        <v>-1</v>
      </c>
      <c r="BA27" s="33">
        <f>Recu2!BA27</f>
        <v>0</v>
      </c>
      <c r="BB27" s="32">
        <f t="shared" si="84"/>
        <v>-1</v>
      </c>
      <c r="BC27" s="33">
        <f>Recu2!BC27</f>
        <v>0</v>
      </c>
      <c r="BD27" s="32">
        <f t="shared" si="85"/>
        <v>-1</v>
      </c>
      <c r="BE27" s="33">
        <f>Recu2!BE27</f>
        <v>0</v>
      </c>
      <c r="BF27" s="32">
        <f t="shared" si="86"/>
        <v>-1</v>
      </c>
      <c r="BG27" s="33">
        <f>Recu2!BG27</f>
        <v>0</v>
      </c>
      <c r="BH27" s="32">
        <f t="shared" si="87"/>
        <v>-1</v>
      </c>
      <c r="BI27" s="33">
        <f>Recu2!BI27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Recu2!B28</f>
        <v>0</v>
      </c>
      <c r="C28" s="33">
        <f>Recu2!C28</f>
        <v>0</v>
      </c>
      <c r="D28" s="32">
        <f t="shared" si="59"/>
        <v>-1</v>
      </c>
      <c r="E28" s="33">
        <f>Recu2!E28</f>
        <v>0</v>
      </c>
      <c r="F28" s="32">
        <f t="shared" si="60"/>
        <v>-1</v>
      </c>
      <c r="G28" s="33">
        <f>Recu2!G28</f>
        <v>0</v>
      </c>
      <c r="H28" s="32">
        <f t="shared" si="61"/>
        <v>-1</v>
      </c>
      <c r="I28" s="33">
        <f>Recu2!I28</f>
        <v>0</v>
      </c>
      <c r="J28" s="32">
        <f t="shared" si="62"/>
        <v>-1</v>
      </c>
      <c r="K28" s="33">
        <f>Recu2!K28</f>
        <v>0</v>
      </c>
      <c r="L28" s="32">
        <f t="shared" si="63"/>
        <v>-1</v>
      </c>
      <c r="M28" s="33">
        <f>Recu2!M28</f>
        <v>0</v>
      </c>
      <c r="N28" s="32">
        <f t="shared" si="64"/>
        <v>-1</v>
      </c>
      <c r="O28" s="33">
        <f>Recu2!O28</f>
        <v>0</v>
      </c>
      <c r="P28" s="32">
        <f t="shared" si="65"/>
        <v>-1</v>
      </c>
      <c r="Q28" s="33">
        <f>Recu2!Q28</f>
        <v>0</v>
      </c>
      <c r="R28" s="32">
        <f t="shared" si="66"/>
        <v>-1</v>
      </c>
      <c r="S28" s="33">
        <f>Recu2!S28</f>
        <v>0</v>
      </c>
      <c r="T28" s="32">
        <f t="shared" si="67"/>
        <v>-1</v>
      </c>
      <c r="U28" s="33">
        <f>Recu2!U28</f>
        <v>0</v>
      </c>
      <c r="V28" s="32">
        <f t="shared" si="68"/>
        <v>-1</v>
      </c>
      <c r="W28" s="33">
        <f>Recu2!W28</f>
        <v>0</v>
      </c>
      <c r="X28" s="32">
        <f t="shared" si="69"/>
        <v>-1</v>
      </c>
      <c r="Y28" s="33">
        <f>Recu2!Y28</f>
        <v>0</v>
      </c>
      <c r="Z28" s="32">
        <f t="shared" si="70"/>
        <v>-1</v>
      </c>
      <c r="AA28" s="33">
        <f>Recu2!AA28</f>
        <v>0</v>
      </c>
      <c r="AB28" s="32">
        <f t="shared" si="71"/>
        <v>-1</v>
      </c>
      <c r="AC28" s="33">
        <f>Recu2!AC28</f>
        <v>0</v>
      </c>
      <c r="AD28" s="32">
        <f t="shared" si="72"/>
        <v>-1</v>
      </c>
      <c r="AE28" s="33">
        <f>Recu2!AE28</f>
        <v>0</v>
      </c>
      <c r="AF28" s="32">
        <f t="shared" si="73"/>
        <v>-1</v>
      </c>
      <c r="AG28" s="33">
        <f>Recu2!AG28</f>
        <v>0</v>
      </c>
      <c r="AH28" s="32">
        <f t="shared" si="74"/>
        <v>-1</v>
      </c>
      <c r="AI28" s="33">
        <f>Recu2!AI28</f>
        <v>0</v>
      </c>
      <c r="AJ28" s="32">
        <f t="shared" si="75"/>
        <v>-1</v>
      </c>
      <c r="AK28" s="33">
        <f>Recu2!AK28</f>
        <v>0</v>
      </c>
      <c r="AL28" s="32">
        <f t="shared" si="76"/>
        <v>-1</v>
      </c>
      <c r="AM28" s="33">
        <f>Recu2!AM28</f>
        <v>0</v>
      </c>
      <c r="AN28" s="32">
        <f t="shared" si="77"/>
        <v>-1</v>
      </c>
      <c r="AO28" s="33">
        <f>Recu2!AO28</f>
        <v>0</v>
      </c>
      <c r="AP28" s="32">
        <f t="shared" si="78"/>
        <v>-1</v>
      </c>
      <c r="AQ28" s="33">
        <f>Recu2!AQ28</f>
        <v>0</v>
      </c>
      <c r="AR28" s="32">
        <f t="shared" si="79"/>
        <v>-1</v>
      </c>
      <c r="AS28" s="33">
        <f>Recu2!AS28</f>
        <v>0</v>
      </c>
      <c r="AT28" s="32">
        <f t="shared" si="80"/>
        <v>-1</v>
      </c>
      <c r="AU28" s="33">
        <f>Recu2!AU28</f>
        <v>0</v>
      </c>
      <c r="AV28" s="32">
        <f t="shared" si="81"/>
        <v>-1</v>
      </c>
      <c r="AW28" s="33">
        <f>Recu2!AW28</f>
        <v>0</v>
      </c>
      <c r="AX28" s="32">
        <f t="shared" si="82"/>
        <v>-1</v>
      </c>
      <c r="AY28" s="33">
        <f>Recu2!AY28</f>
        <v>0</v>
      </c>
      <c r="AZ28" s="32">
        <f t="shared" si="83"/>
        <v>-1</v>
      </c>
      <c r="BA28" s="33">
        <f>Recu2!BA28</f>
        <v>0</v>
      </c>
      <c r="BB28" s="32">
        <f t="shared" si="84"/>
        <v>-1</v>
      </c>
      <c r="BC28" s="33">
        <f>Recu2!BC28</f>
        <v>0</v>
      </c>
      <c r="BD28" s="32">
        <f t="shared" si="85"/>
        <v>-1</v>
      </c>
      <c r="BE28" s="33">
        <f>Recu2!BE28</f>
        <v>0</v>
      </c>
      <c r="BF28" s="32">
        <f t="shared" si="86"/>
        <v>-1</v>
      </c>
      <c r="BG28" s="33">
        <f>Recu2!BG28</f>
        <v>0</v>
      </c>
      <c r="BH28" s="32">
        <f t="shared" si="87"/>
        <v>-1</v>
      </c>
      <c r="BI28" s="33">
        <f>Recu2!BI28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Recu2!B29</f>
        <v>0</v>
      </c>
      <c r="C29" s="33">
        <f>Recu2!C29</f>
        <v>0</v>
      </c>
      <c r="D29" s="32">
        <f t="shared" si="59"/>
        <v>-1</v>
      </c>
      <c r="E29" s="33">
        <f>Recu2!E29</f>
        <v>0</v>
      </c>
      <c r="F29" s="32">
        <f t="shared" si="60"/>
        <v>-1</v>
      </c>
      <c r="G29" s="33">
        <f>Recu2!G29</f>
        <v>0</v>
      </c>
      <c r="H29" s="32">
        <f t="shared" si="61"/>
        <v>-1</v>
      </c>
      <c r="I29" s="33">
        <f>Recu2!I29</f>
        <v>0</v>
      </c>
      <c r="J29" s="32">
        <f t="shared" si="62"/>
        <v>-1</v>
      </c>
      <c r="K29" s="33">
        <f>Recu2!K29</f>
        <v>0</v>
      </c>
      <c r="L29" s="32">
        <f t="shared" si="63"/>
        <v>-1</v>
      </c>
      <c r="M29" s="33">
        <f>Recu2!M29</f>
        <v>0</v>
      </c>
      <c r="N29" s="32">
        <f t="shared" si="64"/>
        <v>-1</v>
      </c>
      <c r="O29" s="33">
        <f>Recu2!O29</f>
        <v>0</v>
      </c>
      <c r="P29" s="32">
        <f t="shared" si="65"/>
        <v>-1</v>
      </c>
      <c r="Q29" s="33">
        <f>Recu2!Q29</f>
        <v>0</v>
      </c>
      <c r="R29" s="32">
        <f t="shared" si="66"/>
        <v>-1</v>
      </c>
      <c r="S29" s="33">
        <f>Recu2!S29</f>
        <v>0</v>
      </c>
      <c r="T29" s="32">
        <f t="shared" si="67"/>
        <v>-1</v>
      </c>
      <c r="U29" s="33">
        <f>Recu2!U29</f>
        <v>0</v>
      </c>
      <c r="V29" s="32">
        <f t="shared" si="68"/>
        <v>-1</v>
      </c>
      <c r="W29" s="33">
        <f>Recu2!W29</f>
        <v>0</v>
      </c>
      <c r="X29" s="32">
        <f t="shared" si="69"/>
        <v>-1</v>
      </c>
      <c r="Y29" s="33">
        <f>Recu2!Y29</f>
        <v>0</v>
      </c>
      <c r="Z29" s="32">
        <f t="shared" si="70"/>
        <v>-1</v>
      </c>
      <c r="AA29" s="33">
        <f>Recu2!AA29</f>
        <v>0</v>
      </c>
      <c r="AB29" s="32">
        <f t="shared" si="71"/>
        <v>-1</v>
      </c>
      <c r="AC29" s="33">
        <f>Recu2!AC29</f>
        <v>0</v>
      </c>
      <c r="AD29" s="32">
        <f t="shared" si="72"/>
        <v>-1</v>
      </c>
      <c r="AE29" s="33">
        <f>Recu2!AE29</f>
        <v>0</v>
      </c>
      <c r="AF29" s="32">
        <f t="shared" si="73"/>
        <v>-1</v>
      </c>
      <c r="AG29" s="33">
        <f>Recu2!AG29</f>
        <v>0</v>
      </c>
      <c r="AH29" s="32">
        <f t="shared" si="74"/>
        <v>-1</v>
      </c>
      <c r="AI29" s="33">
        <f>Recu2!AI29</f>
        <v>0</v>
      </c>
      <c r="AJ29" s="32">
        <f t="shared" si="75"/>
        <v>-1</v>
      </c>
      <c r="AK29" s="33">
        <f>Recu2!AK29</f>
        <v>0</v>
      </c>
      <c r="AL29" s="32">
        <f t="shared" si="76"/>
        <v>-1</v>
      </c>
      <c r="AM29" s="33">
        <f>Recu2!AM29</f>
        <v>0</v>
      </c>
      <c r="AN29" s="32">
        <f t="shared" si="77"/>
        <v>-1</v>
      </c>
      <c r="AO29" s="33">
        <f>Recu2!AO29</f>
        <v>0</v>
      </c>
      <c r="AP29" s="32">
        <f t="shared" si="78"/>
        <v>-1</v>
      </c>
      <c r="AQ29" s="33">
        <f>Recu2!AQ29</f>
        <v>0</v>
      </c>
      <c r="AR29" s="32">
        <f t="shared" si="79"/>
        <v>-1</v>
      </c>
      <c r="AS29" s="33">
        <f>Recu2!AS29</f>
        <v>0</v>
      </c>
      <c r="AT29" s="32">
        <f t="shared" si="80"/>
        <v>-1</v>
      </c>
      <c r="AU29" s="33">
        <f>Recu2!AU29</f>
        <v>0</v>
      </c>
      <c r="AV29" s="32">
        <f t="shared" si="81"/>
        <v>-1</v>
      </c>
      <c r="AW29" s="33">
        <f>Recu2!AW29</f>
        <v>0</v>
      </c>
      <c r="AX29" s="32">
        <f t="shared" si="82"/>
        <v>-1</v>
      </c>
      <c r="AY29" s="33">
        <f>Recu2!AY29</f>
        <v>0</v>
      </c>
      <c r="AZ29" s="32">
        <f t="shared" si="83"/>
        <v>-1</v>
      </c>
      <c r="BA29" s="33">
        <f>Recu2!BA29</f>
        <v>0</v>
      </c>
      <c r="BB29" s="32">
        <f t="shared" si="84"/>
        <v>-1</v>
      </c>
      <c r="BC29" s="33">
        <f>Recu2!BC29</f>
        <v>0</v>
      </c>
      <c r="BD29" s="32">
        <f t="shared" si="85"/>
        <v>-1</v>
      </c>
      <c r="BE29" s="33">
        <f>Recu2!BE29</f>
        <v>0</v>
      </c>
      <c r="BF29" s="32">
        <f t="shared" si="86"/>
        <v>-1</v>
      </c>
      <c r="BG29" s="33">
        <f>Recu2!BG29</f>
        <v>0</v>
      </c>
      <c r="BH29" s="32">
        <f t="shared" si="87"/>
        <v>-1</v>
      </c>
      <c r="BI29" s="33">
        <f>Recu2!BI29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Recu2!B30</f>
        <v>0</v>
      </c>
      <c r="C30" s="33">
        <f>Recu2!C30</f>
        <v>0</v>
      </c>
      <c r="D30" s="32">
        <f t="shared" si="59"/>
        <v>-1</v>
      </c>
      <c r="E30" s="33">
        <f>Recu2!E30</f>
        <v>0</v>
      </c>
      <c r="F30" s="32">
        <f t="shared" si="60"/>
        <v>-1</v>
      </c>
      <c r="G30" s="33">
        <f>Recu2!G30</f>
        <v>0</v>
      </c>
      <c r="H30" s="32">
        <f t="shared" si="61"/>
        <v>-1</v>
      </c>
      <c r="I30" s="33">
        <f>Recu2!I30</f>
        <v>0</v>
      </c>
      <c r="J30" s="32">
        <f t="shared" si="62"/>
        <v>-1</v>
      </c>
      <c r="K30" s="33">
        <f>Recu2!K30</f>
        <v>0</v>
      </c>
      <c r="L30" s="32">
        <f t="shared" si="63"/>
        <v>-1</v>
      </c>
      <c r="M30" s="33">
        <f>Recu2!M30</f>
        <v>0</v>
      </c>
      <c r="N30" s="32">
        <f t="shared" si="64"/>
        <v>-1</v>
      </c>
      <c r="O30" s="33">
        <f>Recu2!O30</f>
        <v>0</v>
      </c>
      <c r="P30" s="32">
        <f t="shared" si="65"/>
        <v>-1</v>
      </c>
      <c r="Q30" s="33">
        <f>Recu2!Q30</f>
        <v>0</v>
      </c>
      <c r="R30" s="32">
        <f t="shared" si="66"/>
        <v>-1</v>
      </c>
      <c r="S30" s="33">
        <f>Recu2!S30</f>
        <v>0</v>
      </c>
      <c r="T30" s="32">
        <f t="shared" si="67"/>
        <v>-1</v>
      </c>
      <c r="U30" s="33">
        <f>Recu2!U30</f>
        <v>0</v>
      </c>
      <c r="V30" s="32">
        <f t="shared" si="68"/>
        <v>-1</v>
      </c>
      <c r="W30" s="33">
        <f>Recu2!W30</f>
        <v>0</v>
      </c>
      <c r="X30" s="32">
        <f t="shared" si="69"/>
        <v>-1</v>
      </c>
      <c r="Y30" s="33">
        <f>Recu2!Y30</f>
        <v>0</v>
      </c>
      <c r="Z30" s="32">
        <f t="shared" si="70"/>
        <v>-1</v>
      </c>
      <c r="AA30" s="33">
        <f>Recu2!AA30</f>
        <v>0</v>
      </c>
      <c r="AB30" s="32">
        <f t="shared" si="71"/>
        <v>-1</v>
      </c>
      <c r="AC30" s="33">
        <f>Recu2!AC30</f>
        <v>0</v>
      </c>
      <c r="AD30" s="32">
        <f t="shared" si="72"/>
        <v>-1</v>
      </c>
      <c r="AE30" s="33">
        <f>Recu2!AE30</f>
        <v>0</v>
      </c>
      <c r="AF30" s="32">
        <f t="shared" si="73"/>
        <v>-1</v>
      </c>
      <c r="AG30" s="33">
        <f>Recu2!AG30</f>
        <v>0</v>
      </c>
      <c r="AH30" s="32">
        <f t="shared" si="74"/>
        <v>-1</v>
      </c>
      <c r="AI30" s="33">
        <f>Recu2!AI30</f>
        <v>0</v>
      </c>
      <c r="AJ30" s="32">
        <f t="shared" si="75"/>
        <v>-1</v>
      </c>
      <c r="AK30" s="33">
        <f>Recu2!AK30</f>
        <v>0</v>
      </c>
      <c r="AL30" s="32">
        <f t="shared" si="76"/>
        <v>-1</v>
      </c>
      <c r="AM30" s="33">
        <f>Recu2!AM30</f>
        <v>0</v>
      </c>
      <c r="AN30" s="32">
        <f t="shared" si="77"/>
        <v>-1</v>
      </c>
      <c r="AO30" s="33">
        <f>Recu2!AO30</f>
        <v>0</v>
      </c>
      <c r="AP30" s="32">
        <f t="shared" si="78"/>
        <v>-1</v>
      </c>
      <c r="AQ30" s="33">
        <f>Recu2!AQ30</f>
        <v>0</v>
      </c>
      <c r="AR30" s="32">
        <f t="shared" si="79"/>
        <v>-1</v>
      </c>
      <c r="AS30" s="33">
        <f>Recu2!AS30</f>
        <v>0</v>
      </c>
      <c r="AT30" s="32">
        <f t="shared" si="80"/>
        <v>-1</v>
      </c>
      <c r="AU30" s="33">
        <f>Recu2!AU30</f>
        <v>0</v>
      </c>
      <c r="AV30" s="32">
        <f t="shared" si="81"/>
        <v>-1</v>
      </c>
      <c r="AW30" s="33">
        <f>Recu2!AW30</f>
        <v>0</v>
      </c>
      <c r="AX30" s="32">
        <f t="shared" si="82"/>
        <v>-1</v>
      </c>
      <c r="AY30" s="33">
        <f>Recu2!AY30</f>
        <v>0</v>
      </c>
      <c r="AZ30" s="32">
        <f t="shared" si="83"/>
        <v>-1</v>
      </c>
      <c r="BA30" s="33">
        <f>Recu2!BA30</f>
        <v>0</v>
      </c>
      <c r="BB30" s="32">
        <f t="shared" si="84"/>
        <v>-1</v>
      </c>
      <c r="BC30" s="33">
        <f>Recu2!BC30</f>
        <v>0</v>
      </c>
      <c r="BD30" s="32">
        <f t="shared" si="85"/>
        <v>-1</v>
      </c>
      <c r="BE30" s="33">
        <f>Recu2!BE30</f>
        <v>0</v>
      </c>
      <c r="BF30" s="32">
        <f t="shared" si="86"/>
        <v>-1</v>
      </c>
      <c r="BG30" s="33">
        <f>Recu2!BG30</f>
        <v>0</v>
      </c>
      <c r="BH30" s="32">
        <f t="shared" si="87"/>
        <v>-1</v>
      </c>
      <c r="BI30" s="33">
        <f>Recu2!BI30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Recu2!B31</f>
        <v>0</v>
      </c>
      <c r="C31" s="33">
        <f>Recu2!C31</f>
        <v>0</v>
      </c>
      <c r="D31" s="32">
        <f t="shared" si="59"/>
        <v>-1</v>
      </c>
      <c r="E31" s="33">
        <f>Recu2!E31</f>
        <v>0</v>
      </c>
      <c r="F31" s="32">
        <f t="shared" si="60"/>
        <v>-1</v>
      </c>
      <c r="G31" s="33">
        <f>Recu2!G31</f>
        <v>0</v>
      </c>
      <c r="H31" s="32">
        <f t="shared" si="61"/>
        <v>-1</v>
      </c>
      <c r="I31" s="33">
        <f>Recu2!I31</f>
        <v>0</v>
      </c>
      <c r="J31" s="32">
        <f t="shared" si="62"/>
        <v>-1</v>
      </c>
      <c r="K31" s="33">
        <f>Recu2!K31</f>
        <v>0</v>
      </c>
      <c r="L31" s="32">
        <f t="shared" si="63"/>
        <v>-1</v>
      </c>
      <c r="M31" s="33">
        <f>Recu2!M31</f>
        <v>0</v>
      </c>
      <c r="N31" s="32">
        <f t="shared" si="64"/>
        <v>-1</v>
      </c>
      <c r="O31" s="33">
        <f>Recu2!O31</f>
        <v>0</v>
      </c>
      <c r="P31" s="32">
        <f t="shared" si="65"/>
        <v>-1</v>
      </c>
      <c r="Q31" s="33">
        <f>Recu2!Q31</f>
        <v>0</v>
      </c>
      <c r="R31" s="32">
        <f t="shared" si="66"/>
        <v>-1</v>
      </c>
      <c r="S31" s="33">
        <f>Recu2!S31</f>
        <v>0</v>
      </c>
      <c r="T31" s="32">
        <f t="shared" si="67"/>
        <v>-1</v>
      </c>
      <c r="U31" s="33">
        <f>Recu2!U31</f>
        <v>0</v>
      </c>
      <c r="V31" s="32">
        <f t="shared" si="68"/>
        <v>-1</v>
      </c>
      <c r="W31" s="33">
        <f>Recu2!W31</f>
        <v>0</v>
      </c>
      <c r="X31" s="32">
        <f t="shared" si="69"/>
        <v>-1</v>
      </c>
      <c r="Y31" s="33">
        <f>Recu2!Y31</f>
        <v>0</v>
      </c>
      <c r="Z31" s="32">
        <f t="shared" si="70"/>
        <v>-1</v>
      </c>
      <c r="AA31" s="33">
        <f>Recu2!AA31</f>
        <v>0</v>
      </c>
      <c r="AB31" s="32">
        <f t="shared" si="71"/>
        <v>-1</v>
      </c>
      <c r="AC31" s="33">
        <f>Recu2!AC31</f>
        <v>0</v>
      </c>
      <c r="AD31" s="32">
        <f t="shared" si="72"/>
        <v>-1</v>
      </c>
      <c r="AE31" s="33">
        <f>Recu2!AE31</f>
        <v>0</v>
      </c>
      <c r="AF31" s="32">
        <f t="shared" si="73"/>
        <v>-1</v>
      </c>
      <c r="AG31" s="33">
        <f>Recu2!AG31</f>
        <v>0</v>
      </c>
      <c r="AH31" s="32">
        <f t="shared" si="74"/>
        <v>-1</v>
      </c>
      <c r="AI31" s="33">
        <f>Recu2!AI31</f>
        <v>0</v>
      </c>
      <c r="AJ31" s="32">
        <f t="shared" si="75"/>
        <v>-1</v>
      </c>
      <c r="AK31" s="33">
        <f>Recu2!AK31</f>
        <v>0</v>
      </c>
      <c r="AL31" s="32">
        <f t="shared" si="76"/>
        <v>-1</v>
      </c>
      <c r="AM31" s="33">
        <f>Recu2!AM31</f>
        <v>0</v>
      </c>
      <c r="AN31" s="32">
        <f t="shared" si="77"/>
        <v>-1</v>
      </c>
      <c r="AO31" s="33">
        <f>Recu2!AO31</f>
        <v>0</v>
      </c>
      <c r="AP31" s="32">
        <f t="shared" si="78"/>
        <v>-1</v>
      </c>
      <c r="AQ31" s="33">
        <f>Recu2!AQ31</f>
        <v>0</v>
      </c>
      <c r="AR31" s="32">
        <f t="shared" si="79"/>
        <v>-1</v>
      </c>
      <c r="AS31" s="33">
        <f>Recu2!AS31</f>
        <v>0</v>
      </c>
      <c r="AT31" s="32">
        <f t="shared" si="80"/>
        <v>-1</v>
      </c>
      <c r="AU31" s="33">
        <f>Recu2!AU31</f>
        <v>0</v>
      </c>
      <c r="AV31" s="32">
        <f t="shared" si="81"/>
        <v>-1</v>
      </c>
      <c r="AW31" s="33">
        <f>Recu2!AW31</f>
        <v>0</v>
      </c>
      <c r="AX31" s="32">
        <f t="shared" si="82"/>
        <v>-1</v>
      </c>
      <c r="AY31" s="33">
        <f>Recu2!AY31</f>
        <v>0</v>
      </c>
      <c r="AZ31" s="32">
        <f t="shared" si="83"/>
        <v>-1</v>
      </c>
      <c r="BA31" s="33">
        <f>Recu2!BA31</f>
        <v>0</v>
      </c>
      <c r="BB31" s="32">
        <f t="shared" si="84"/>
        <v>-1</v>
      </c>
      <c r="BC31" s="33">
        <f>Recu2!BC31</f>
        <v>0</v>
      </c>
      <c r="BD31" s="32">
        <f t="shared" si="85"/>
        <v>-1</v>
      </c>
      <c r="BE31" s="33">
        <f>Recu2!BE31</f>
        <v>0</v>
      </c>
      <c r="BF31" s="32">
        <f t="shared" si="86"/>
        <v>-1</v>
      </c>
      <c r="BG31" s="33">
        <f>Recu2!BG31</f>
        <v>0</v>
      </c>
      <c r="BH31" s="32">
        <f t="shared" si="87"/>
        <v>-1</v>
      </c>
      <c r="BI31" s="33">
        <f>Recu2!BI31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Recu2!B32</f>
        <v>0</v>
      </c>
      <c r="C32" s="33">
        <f>Recu2!C32</f>
        <v>0</v>
      </c>
      <c r="D32" s="32">
        <f t="shared" si="59"/>
        <v>-1</v>
      </c>
      <c r="E32" s="33">
        <f>Recu2!E32</f>
        <v>0</v>
      </c>
      <c r="F32" s="32">
        <f t="shared" si="60"/>
        <v>-1</v>
      </c>
      <c r="G32" s="33">
        <f>Recu2!G32</f>
        <v>0</v>
      </c>
      <c r="H32" s="32">
        <f t="shared" si="61"/>
        <v>-1</v>
      </c>
      <c r="I32" s="33">
        <f>Recu2!I32</f>
        <v>0</v>
      </c>
      <c r="J32" s="32">
        <f t="shared" si="62"/>
        <v>-1</v>
      </c>
      <c r="K32" s="33">
        <f>Recu2!K32</f>
        <v>0</v>
      </c>
      <c r="L32" s="32">
        <f t="shared" si="63"/>
        <v>-1</v>
      </c>
      <c r="M32" s="33">
        <f>Recu2!M32</f>
        <v>0</v>
      </c>
      <c r="N32" s="32">
        <f t="shared" si="64"/>
        <v>-1</v>
      </c>
      <c r="O32" s="33">
        <f>Recu2!O32</f>
        <v>0</v>
      </c>
      <c r="P32" s="32">
        <f t="shared" si="65"/>
        <v>-1</v>
      </c>
      <c r="Q32" s="33">
        <f>Recu2!Q32</f>
        <v>0</v>
      </c>
      <c r="R32" s="32">
        <f t="shared" si="66"/>
        <v>-1</v>
      </c>
      <c r="S32" s="33">
        <f>Recu2!S32</f>
        <v>0</v>
      </c>
      <c r="T32" s="32">
        <f t="shared" si="67"/>
        <v>-1</v>
      </c>
      <c r="U32" s="33">
        <f>Recu2!U32</f>
        <v>0</v>
      </c>
      <c r="V32" s="32">
        <f t="shared" si="68"/>
        <v>-1</v>
      </c>
      <c r="W32" s="33">
        <f>Recu2!W32</f>
        <v>0</v>
      </c>
      <c r="X32" s="32">
        <f t="shared" si="69"/>
        <v>-1</v>
      </c>
      <c r="Y32" s="33">
        <f>Recu2!Y32</f>
        <v>0</v>
      </c>
      <c r="Z32" s="32">
        <f t="shared" si="70"/>
        <v>-1</v>
      </c>
      <c r="AA32" s="33">
        <f>Recu2!AA32</f>
        <v>0</v>
      </c>
      <c r="AB32" s="32">
        <f t="shared" si="71"/>
        <v>-1</v>
      </c>
      <c r="AC32" s="33">
        <f>Recu2!AC32</f>
        <v>0</v>
      </c>
      <c r="AD32" s="32">
        <f t="shared" si="72"/>
        <v>-1</v>
      </c>
      <c r="AE32" s="33">
        <f>Recu2!AE32</f>
        <v>0</v>
      </c>
      <c r="AF32" s="32">
        <f t="shared" si="73"/>
        <v>-1</v>
      </c>
      <c r="AG32" s="33">
        <f>Recu2!AG32</f>
        <v>0</v>
      </c>
      <c r="AH32" s="32">
        <f t="shared" si="74"/>
        <v>-1</v>
      </c>
      <c r="AI32" s="33">
        <f>Recu2!AI32</f>
        <v>0</v>
      </c>
      <c r="AJ32" s="32">
        <f t="shared" si="75"/>
        <v>-1</v>
      </c>
      <c r="AK32" s="33">
        <f>Recu2!AK32</f>
        <v>0</v>
      </c>
      <c r="AL32" s="32">
        <f t="shared" si="76"/>
        <v>-1</v>
      </c>
      <c r="AM32" s="33">
        <f>Recu2!AM32</f>
        <v>0</v>
      </c>
      <c r="AN32" s="32">
        <f t="shared" si="77"/>
        <v>-1</v>
      </c>
      <c r="AO32" s="33">
        <f>Recu2!AO32</f>
        <v>0</v>
      </c>
      <c r="AP32" s="32">
        <f t="shared" si="78"/>
        <v>-1</v>
      </c>
      <c r="AQ32" s="33">
        <f>Recu2!AQ32</f>
        <v>0</v>
      </c>
      <c r="AR32" s="32">
        <f t="shared" si="79"/>
        <v>-1</v>
      </c>
      <c r="AS32" s="33">
        <f>Recu2!AS32</f>
        <v>0</v>
      </c>
      <c r="AT32" s="32">
        <f t="shared" si="80"/>
        <v>-1</v>
      </c>
      <c r="AU32" s="33">
        <f>Recu2!AU32</f>
        <v>0</v>
      </c>
      <c r="AV32" s="32">
        <f t="shared" si="81"/>
        <v>-1</v>
      </c>
      <c r="AW32" s="33">
        <f>Recu2!AW32</f>
        <v>0</v>
      </c>
      <c r="AX32" s="32">
        <f t="shared" si="82"/>
        <v>-1</v>
      </c>
      <c r="AY32" s="33">
        <f>Recu2!AY32</f>
        <v>0</v>
      </c>
      <c r="AZ32" s="32">
        <f t="shared" si="83"/>
        <v>-1</v>
      </c>
      <c r="BA32" s="33">
        <f>Recu2!BA32</f>
        <v>0</v>
      </c>
      <c r="BB32" s="32">
        <f t="shared" si="84"/>
        <v>-1</v>
      </c>
      <c r="BC32" s="33">
        <f>Recu2!BC32</f>
        <v>0</v>
      </c>
      <c r="BD32" s="32">
        <f t="shared" si="85"/>
        <v>-1</v>
      </c>
      <c r="BE32" s="33">
        <f>Recu2!BE32</f>
        <v>0</v>
      </c>
      <c r="BF32" s="32">
        <f t="shared" si="86"/>
        <v>-1</v>
      </c>
      <c r="BG32" s="33">
        <f>Recu2!BG32</f>
        <v>0</v>
      </c>
      <c r="BH32" s="32">
        <f t="shared" si="87"/>
        <v>-1</v>
      </c>
      <c r="BI32" s="33">
        <f>Recu2!BI32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Recu2!B33</f>
        <v>0</v>
      </c>
      <c r="C33" s="33">
        <f>Recu2!C33</f>
        <v>0</v>
      </c>
      <c r="D33" s="32">
        <f t="shared" si="59"/>
        <v>-1</v>
      </c>
      <c r="E33" s="33">
        <f>Recu2!E33</f>
        <v>0</v>
      </c>
      <c r="F33" s="32">
        <f t="shared" si="60"/>
        <v>-1</v>
      </c>
      <c r="G33" s="33">
        <f>Recu2!G33</f>
        <v>0</v>
      </c>
      <c r="H33" s="32">
        <f t="shared" si="61"/>
        <v>-1</v>
      </c>
      <c r="I33" s="33">
        <f>Recu2!I33</f>
        <v>0</v>
      </c>
      <c r="J33" s="32">
        <f t="shared" si="62"/>
        <v>-1</v>
      </c>
      <c r="K33" s="33">
        <f>Recu2!K33</f>
        <v>0</v>
      </c>
      <c r="L33" s="32">
        <f t="shared" si="63"/>
        <v>-1</v>
      </c>
      <c r="M33" s="33">
        <f>Recu2!M33</f>
        <v>0</v>
      </c>
      <c r="N33" s="32">
        <f t="shared" si="64"/>
        <v>-1</v>
      </c>
      <c r="O33" s="33">
        <f>Recu2!O33</f>
        <v>0</v>
      </c>
      <c r="P33" s="32">
        <f t="shared" si="65"/>
        <v>-1</v>
      </c>
      <c r="Q33" s="33">
        <f>Recu2!Q33</f>
        <v>0</v>
      </c>
      <c r="R33" s="32">
        <f t="shared" si="66"/>
        <v>-1</v>
      </c>
      <c r="S33" s="33">
        <f>Recu2!S33</f>
        <v>0</v>
      </c>
      <c r="T33" s="32">
        <f t="shared" si="67"/>
        <v>-1</v>
      </c>
      <c r="U33" s="33">
        <f>Recu2!U33</f>
        <v>0</v>
      </c>
      <c r="V33" s="32">
        <f t="shared" si="68"/>
        <v>-1</v>
      </c>
      <c r="W33" s="33">
        <f>Recu2!W33</f>
        <v>0</v>
      </c>
      <c r="X33" s="32">
        <f t="shared" si="69"/>
        <v>-1</v>
      </c>
      <c r="Y33" s="33">
        <f>Recu2!Y33</f>
        <v>0</v>
      </c>
      <c r="Z33" s="32">
        <f t="shared" si="70"/>
        <v>-1</v>
      </c>
      <c r="AA33" s="33">
        <f>Recu2!AA33</f>
        <v>0</v>
      </c>
      <c r="AB33" s="32">
        <f t="shared" si="71"/>
        <v>-1</v>
      </c>
      <c r="AC33" s="33">
        <f>Recu2!AC33</f>
        <v>0</v>
      </c>
      <c r="AD33" s="32">
        <f t="shared" si="72"/>
        <v>-1</v>
      </c>
      <c r="AE33" s="33">
        <f>Recu2!AE33</f>
        <v>0</v>
      </c>
      <c r="AF33" s="32">
        <f t="shared" si="73"/>
        <v>-1</v>
      </c>
      <c r="AG33" s="33">
        <f>Recu2!AG33</f>
        <v>0</v>
      </c>
      <c r="AH33" s="32">
        <f t="shared" si="74"/>
        <v>-1</v>
      </c>
      <c r="AI33" s="33">
        <f>Recu2!AI33</f>
        <v>0</v>
      </c>
      <c r="AJ33" s="32">
        <f t="shared" si="75"/>
        <v>-1</v>
      </c>
      <c r="AK33" s="33">
        <f>Recu2!AK33</f>
        <v>0</v>
      </c>
      <c r="AL33" s="32">
        <f t="shared" si="76"/>
        <v>-1</v>
      </c>
      <c r="AM33" s="33">
        <f>Recu2!AM33</f>
        <v>0</v>
      </c>
      <c r="AN33" s="32">
        <f t="shared" si="77"/>
        <v>-1</v>
      </c>
      <c r="AO33" s="33">
        <f>Recu2!AO33</f>
        <v>0</v>
      </c>
      <c r="AP33" s="32">
        <f t="shared" si="78"/>
        <v>-1</v>
      </c>
      <c r="AQ33" s="33">
        <f>Recu2!AQ33</f>
        <v>0</v>
      </c>
      <c r="AR33" s="32">
        <f t="shared" si="79"/>
        <v>-1</v>
      </c>
      <c r="AS33" s="33">
        <f>Recu2!AS33</f>
        <v>0</v>
      </c>
      <c r="AT33" s="32">
        <f t="shared" si="80"/>
        <v>-1</v>
      </c>
      <c r="AU33" s="33">
        <f>Recu2!AU33</f>
        <v>0</v>
      </c>
      <c r="AV33" s="32">
        <f t="shared" si="81"/>
        <v>-1</v>
      </c>
      <c r="AW33" s="33">
        <f>Recu2!AW33</f>
        <v>0</v>
      </c>
      <c r="AX33" s="32">
        <f t="shared" si="82"/>
        <v>-1</v>
      </c>
      <c r="AY33" s="33">
        <f>Recu2!AY33</f>
        <v>0</v>
      </c>
      <c r="AZ33" s="32">
        <f t="shared" si="83"/>
        <v>-1</v>
      </c>
      <c r="BA33" s="33">
        <f>Recu2!BA33</f>
        <v>0</v>
      </c>
      <c r="BB33" s="32">
        <f t="shared" si="84"/>
        <v>-1</v>
      </c>
      <c r="BC33" s="33">
        <f>Recu2!BC33</f>
        <v>0</v>
      </c>
      <c r="BD33" s="32">
        <f t="shared" si="85"/>
        <v>-1</v>
      </c>
      <c r="BE33" s="33">
        <f>Recu2!BE33</f>
        <v>0</v>
      </c>
      <c r="BF33" s="32">
        <f t="shared" si="86"/>
        <v>-1</v>
      </c>
      <c r="BG33" s="33">
        <f>Recu2!BG33</f>
        <v>0</v>
      </c>
      <c r="BH33" s="32">
        <f t="shared" si="87"/>
        <v>-1</v>
      </c>
      <c r="BI33" s="33">
        <f>Recu2!BI33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Recu2!B34</f>
        <v>0</v>
      </c>
      <c r="C34" s="33">
        <f>Recu2!C34</f>
        <v>0</v>
      </c>
      <c r="D34" s="32">
        <f t="shared" si="59"/>
        <v>-1</v>
      </c>
      <c r="E34" s="33">
        <f>Recu2!E34</f>
        <v>0</v>
      </c>
      <c r="F34" s="32">
        <f t="shared" si="60"/>
        <v>-1</v>
      </c>
      <c r="G34" s="33">
        <f>Recu2!G34</f>
        <v>0</v>
      </c>
      <c r="H34" s="32">
        <f t="shared" si="61"/>
        <v>-1</v>
      </c>
      <c r="I34" s="33">
        <f>Recu2!I34</f>
        <v>0</v>
      </c>
      <c r="J34" s="32">
        <f t="shared" si="62"/>
        <v>-1</v>
      </c>
      <c r="K34" s="33">
        <f>Recu2!K34</f>
        <v>0</v>
      </c>
      <c r="L34" s="32">
        <f t="shared" si="63"/>
        <v>-1</v>
      </c>
      <c r="M34" s="33">
        <f>Recu2!M34</f>
        <v>0</v>
      </c>
      <c r="N34" s="32">
        <f t="shared" si="64"/>
        <v>-1</v>
      </c>
      <c r="O34" s="33">
        <f>Recu2!O34</f>
        <v>0</v>
      </c>
      <c r="P34" s="32">
        <f t="shared" si="65"/>
        <v>-1</v>
      </c>
      <c r="Q34" s="33">
        <f>Recu2!Q34</f>
        <v>0</v>
      </c>
      <c r="R34" s="32">
        <f t="shared" si="66"/>
        <v>-1</v>
      </c>
      <c r="S34" s="33">
        <f>Recu2!S34</f>
        <v>0</v>
      </c>
      <c r="T34" s="32">
        <f t="shared" si="67"/>
        <v>-1</v>
      </c>
      <c r="U34" s="33">
        <f>Recu2!U34</f>
        <v>0</v>
      </c>
      <c r="V34" s="32">
        <f t="shared" si="68"/>
        <v>-1</v>
      </c>
      <c r="W34" s="33">
        <f>Recu2!W34</f>
        <v>0</v>
      </c>
      <c r="X34" s="32">
        <f t="shared" si="69"/>
        <v>-1</v>
      </c>
      <c r="Y34" s="33">
        <f>Recu2!Y34</f>
        <v>0</v>
      </c>
      <c r="Z34" s="32">
        <f t="shared" si="70"/>
        <v>-1</v>
      </c>
      <c r="AA34" s="33">
        <f>Recu2!AA34</f>
        <v>0</v>
      </c>
      <c r="AB34" s="32">
        <f t="shared" si="71"/>
        <v>-1</v>
      </c>
      <c r="AC34" s="33">
        <f>Recu2!AC34</f>
        <v>0</v>
      </c>
      <c r="AD34" s="32">
        <f t="shared" si="72"/>
        <v>-1</v>
      </c>
      <c r="AE34" s="33">
        <f>Recu2!AE34</f>
        <v>0</v>
      </c>
      <c r="AF34" s="32">
        <f t="shared" si="73"/>
        <v>-1</v>
      </c>
      <c r="AG34" s="33">
        <f>Recu2!AG34</f>
        <v>0</v>
      </c>
      <c r="AH34" s="32">
        <f t="shared" si="74"/>
        <v>-1</v>
      </c>
      <c r="AI34" s="33">
        <f>Recu2!AI34</f>
        <v>0</v>
      </c>
      <c r="AJ34" s="32">
        <f t="shared" si="75"/>
        <v>-1</v>
      </c>
      <c r="AK34" s="33">
        <f>Recu2!AK34</f>
        <v>0</v>
      </c>
      <c r="AL34" s="32">
        <f t="shared" si="76"/>
        <v>-1</v>
      </c>
      <c r="AM34" s="33">
        <f>Recu2!AM34</f>
        <v>0</v>
      </c>
      <c r="AN34" s="32">
        <f t="shared" si="77"/>
        <v>-1</v>
      </c>
      <c r="AO34" s="33">
        <f>Recu2!AO34</f>
        <v>0</v>
      </c>
      <c r="AP34" s="32">
        <f t="shared" si="78"/>
        <v>-1</v>
      </c>
      <c r="AQ34" s="33">
        <f>Recu2!AQ34</f>
        <v>0</v>
      </c>
      <c r="AR34" s="32">
        <f t="shared" si="79"/>
        <v>-1</v>
      </c>
      <c r="AS34" s="33">
        <f>Recu2!AS34</f>
        <v>0</v>
      </c>
      <c r="AT34" s="32">
        <f t="shared" si="80"/>
        <v>-1</v>
      </c>
      <c r="AU34" s="33">
        <f>Recu2!AU34</f>
        <v>0</v>
      </c>
      <c r="AV34" s="32">
        <f t="shared" si="81"/>
        <v>-1</v>
      </c>
      <c r="AW34" s="33">
        <f>Recu2!AW34</f>
        <v>0</v>
      </c>
      <c r="AX34" s="32">
        <f t="shared" si="82"/>
        <v>-1</v>
      </c>
      <c r="AY34" s="33">
        <f>Recu2!AY34</f>
        <v>0</v>
      </c>
      <c r="AZ34" s="32">
        <f t="shared" si="83"/>
        <v>-1</v>
      </c>
      <c r="BA34" s="33">
        <f>Recu2!BA34</f>
        <v>0</v>
      </c>
      <c r="BB34" s="32">
        <f t="shared" si="84"/>
        <v>-1</v>
      </c>
      <c r="BC34" s="33">
        <f>Recu2!BC34</f>
        <v>0</v>
      </c>
      <c r="BD34" s="32">
        <f t="shared" si="85"/>
        <v>-1</v>
      </c>
      <c r="BE34" s="33">
        <f>Recu2!BE34</f>
        <v>0</v>
      </c>
      <c r="BF34" s="32">
        <f t="shared" si="86"/>
        <v>-1</v>
      </c>
      <c r="BG34" s="33">
        <f>Recu2!BG34</f>
        <v>0</v>
      </c>
      <c r="BH34" s="32">
        <f t="shared" si="87"/>
        <v>-1</v>
      </c>
      <c r="BI34" s="33">
        <f>Recu2!BI34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Recu2!B35</f>
        <v>0</v>
      </c>
      <c r="C35" s="33">
        <f>Recu2!C35</f>
        <v>0</v>
      </c>
      <c r="D35" s="32">
        <f t="shared" si="59"/>
        <v>-1</v>
      </c>
      <c r="E35" s="33">
        <f>Recu2!E35</f>
        <v>0</v>
      </c>
      <c r="F35" s="32">
        <f t="shared" si="60"/>
        <v>-1</v>
      </c>
      <c r="G35" s="33">
        <f>Recu2!G35</f>
        <v>0</v>
      </c>
      <c r="H35" s="32">
        <f t="shared" si="61"/>
        <v>-1</v>
      </c>
      <c r="I35" s="33">
        <f>Recu2!I35</f>
        <v>0</v>
      </c>
      <c r="J35" s="32">
        <f t="shared" si="62"/>
        <v>-1</v>
      </c>
      <c r="K35" s="33">
        <f>Recu2!K35</f>
        <v>0</v>
      </c>
      <c r="L35" s="32">
        <f t="shared" si="63"/>
        <v>-1</v>
      </c>
      <c r="M35" s="33">
        <f>Recu2!M35</f>
        <v>0</v>
      </c>
      <c r="N35" s="32">
        <f t="shared" si="64"/>
        <v>-1</v>
      </c>
      <c r="O35" s="33">
        <f>Recu2!O35</f>
        <v>0</v>
      </c>
      <c r="P35" s="32">
        <f t="shared" si="65"/>
        <v>-1</v>
      </c>
      <c r="Q35" s="33">
        <f>Recu2!Q35</f>
        <v>0</v>
      </c>
      <c r="R35" s="32">
        <f t="shared" si="66"/>
        <v>-1</v>
      </c>
      <c r="S35" s="33">
        <f>Recu2!S35</f>
        <v>0</v>
      </c>
      <c r="T35" s="32">
        <f t="shared" si="67"/>
        <v>-1</v>
      </c>
      <c r="U35" s="33">
        <f>Recu2!U35</f>
        <v>0</v>
      </c>
      <c r="V35" s="32">
        <f t="shared" si="68"/>
        <v>-1</v>
      </c>
      <c r="W35" s="33">
        <f>Recu2!W35</f>
        <v>0</v>
      </c>
      <c r="X35" s="32">
        <f t="shared" si="69"/>
        <v>-1</v>
      </c>
      <c r="Y35" s="33">
        <f>Recu2!Y35</f>
        <v>0</v>
      </c>
      <c r="Z35" s="32">
        <f t="shared" si="70"/>
        <v>-1</v>
      </c>
      <c r="AA35" s="33">
        <f>Recu2!AA35</f>
        <v>0</v>
      </c>
      <c r="AB35" s="32">
        <f t="shared" si="71"/>
        <v>-1</v>
      </c>
      <c r="AC35" s="33">
        <f>Recu2!AC35</f>
        <v>0</v>
      </c>
      <c r="AD35" s="32">
        <f t="shared" si="72"/>
        <v>-1</v>
      </c>
      <c r="AE35" s="33">
        <f>Recu2!AE35</f>
        <v>0</v>
      </c>
      <c r="AF35" s="32">
        <f t="shared" si="73"/>
        <v>-1</v>
      </c>
      <c r="AG35" s="33">
        <f>Recu2!AG35</f>
        <v>0</v>
      </c>
      <c r="AH35" s="32">
        <f t="shared" si="74"/>
        <v>-1</v>
      </c>
      <c r="AI35" s="33">
        <f>Recu2!AI35</f>
        <v>0</v>
      </c>
      <c r="AJ35" s="32">
        <f t="shared" si="75"/>
        <v>-1</v>
      </c>
      <c r="AK35" s="33">
        <f>Recu2!AK35</f>
        <v>0</v>
      </c>
      <c r="AL35" s="32">
        <f t="shared" si="76"/>
        <v>-1</v>
      </c>
      <c r="AM35" s="33">
        <f>Recu2!AM35</f>
        <v>0</v>
      </c>
      <c r="AN35" s="32">
        <f t="shared" si="77"/>
        <v>-1</v>
      </c>
      <c r="AO35" s="33">
        <f>Recu2!AO35</f>
        <v>0</v>
      </c>
      <c r="AP35" s="32">
        <f t="shared" si="78"/>
        <v>-1</v>
      </c>
      <c r="AQ35" s="33">
        <f>Recu2!AQ35</f>
        <v>0</v>
      </c>
      <c r="AR35" s="32">
        <f t="shared" si="79"/>
        <v>-1</v>
      </c>
      <c r="AS35" s="33">
        <f>Recu2!AS35</f>
        <v>0</v>
      </c>
      <c r="AT35" s="32">
        <f t="shared" si="80"/>
        <v>-1</v>
      </c>
      <c r="AU35" s="33">
        <f>Recu2!AU35</f>
        <v>0</v>
      </c>
      <c r="AV35" s="32">
        <f t="shared" si="81"/>
        <v>-1</v>
      </c>
      <c r="AW35" s="33">
        <f>Recu2!AW35</f>
        <v>0</v>
      </c>
      <c r="AX35" s="32">
        <f t="shared" si="82"/>
        <v>-1</v>
      </c>
      <c r="AY35" s="33">
        <f>Recu2!AY35</f>
        <v>0</v>
      </c>
      <c r="AZ35" s="32">
        <f t="shared" si="83"/>
        <v>-1</v>
      </c>
      <c r="BA35" s="33">
        <f>Recu2!BA35</f>
        <v>0</v>
      </c>
      <c r="BB35" s="32">
        <f t="shared" si="84"/>
        <v>-1</v>
      </c>
      <c r="BC35" s="33">
        <f>Recu2!BC35</f>
        <v>0</v>
      </c>
      <c r="BD35" s="32">
        <f t="shared" si="85"/>
        <v>-1</v>
      </c>
      <c r="BE35" s="33">
        <f>Recu2!BE35</f>
        <v>0</v>
      </c>
      <c r="BF35" s="32">
        <f t="shared" si="86"/>
        <v>-1</v>
      </c>
      <c r="BG35" s="33">
        <f>Recu2!BG35</f>
        <v>0</v>
      </c>
      <c r="BH35" s="32">
        <f t="shared" si="87"/>
        <v>-1</v>
      </c>
      <c r="BI35" s="33">
        <f>Recu2!BI35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Recu2!B36</f>
        <v>0</v>
      </c>
      <c r="C36" s="33">
        <f>Recu2!C36</f>
        <v>0</v>
      </c>
      <c r="D36" s="32">
        <f t="shared" si="59"/>
        <v>-1</v>
      </c>
      <c r="E36" s="33">
        <f>Recu2!E36</f>
        <v>0</v>
      </c>
      <c r="F36" s="32">
        <f t="shared" si="60"/>
        <v>-1</v>
      </c>
      <c r="G36" s="33">
        <f>Recu2!G36</f>
        <v>0</v>
      </c>
      <c r="H36" s="32">
        <f t="shared" si="61"/>
        <v>-1</v>
      </c>
      <c r="I36" s="33">
        <f>Recu2!I36</f>
        <v>0</v>
      </c>
      <c r="J36" s="32">
        <f t="shared" si="62"/>
        <v>-1</v>
      </c>
      <c r="K36" s="33">
        <f>Recu2!K36</f>
        <v>0</v>
      </c>
      <c r="L36" s="32">
        <f t="shared" si="63"/>
        <v>-1</v>
      </c>
      <c r="M36" s="33">
        <f>Recu2!M36</f>
        <v>0</v>
      </c>
      <c r="N36" s="32">
        <f t="shared" si="64"/>
        <v>-1</v>
      </c>
      <c r="O36" s="33">
        <f>Recu2!O36</f>
        <v>0</v>
      </c>
      <c r="P36" s="32">
        <f t="shared" si="65"/>
        <v>-1</v>
      </c>
      <c r="Q36" s="33">
        <f>Recu2!Q36</f>
        <v>0</v>
      </c>
      <c r="R36" s="32">
        <f t="shared" si="66"/>
        <v>-1</v>
      </c>
      <c r="S36" s="33">
        <f>Recu2!S36</f>
        <v>0</v>
      </c>
      <c r="T36" s="32">
        <f t="shared" si="67"/>
        <v>-1</v>
      </c>
      <c r="U36" s="33">
        <f>Recu2!U36</f>
        <v>0</v>
      </c>
      <c r="V36" s="32">
        <f t="shared" si="68"/>
        <v>-1</v>
      </c>
      <c r="W36" s="33">
        <f>Recu2!W36</f>
        <v>0</v>
      </c>
      <c r="X36" s="32">
        <f t="shared" si="69"/>
        <v>-1</v>
      </c>
      <c r="Y36" s="33">
        <f>Recu2!Y36</f>
        <v>0</v>
      </c>
      <c r="Z36" s="32">
        <f t="shared" si="70"/>
        <v>-1</v>
      </c>
      <c r="AA36" s="33">
        <f>Recu2!AA36</f>
        <v>0</v>
      </c>
      <c r="AB36" s="32">
        <f t="shared" si="71"/>
        <v>-1</v>
      </c>
      <c r="AC36" s="33">
        <f>Recu2!AC36</f>
        <v>0</v>
      </c>
      <c r="AD36" s="32">
        <f t="shared" si="72"/>
        <v>-1</v>
      </c>
      <c r="AE36" s="33">
        <f>Recu2!AE36</f>
        <v>0</v>
      </c>
      <c r="AF36" s="32">
        <f t="shared" si="73"/>
        <v>-1</v>
      </c>
      <c r="AG36" s="33">
        <f>Recu2!AG36</f>
        <v>0</v>
      </c>
      <c r="AH36" s="32">
        <f t="shared" si="74"/>
        <v>-1</v>
      </c>
      <c r="AI36" s="33">
        <f>Recu2!AI36</f>
        <v>0</v>
      </c>
      <c r="AJ36" s="32">
        <f t="shared" si="75"/>
        <v>-1</v>
      </c>
      <c r="AK36" s="33">
        <f>Recu2!AK36</f>
        <v>0</v>
      </c>
      <c r="AL36" s="32">
        <f t="shared" si="76"/>
        <v>-1</v>
      </c>
      <c r="AM36" s="33">
        <f>Recu2!AM36</f>
        <v>0</v>
      </c>
      <c r="AN36" s="32">
        <f t="shared" si="77"/>
        <v>-1</v>
      </c>
      <c r="AO36" s="33">
        <f>Recu2!AO36</f>
        <v>0</v>
      </c>
      <c r="AP36" s="32">
        <f t="shared" si="78"/>
        <v>-1</v>
      </c>
      <c r="AQ36" s="33">
        <f>Recu2!AQ36</f>
        <v>0</v>
      </c>
      <c r="AR36" s="32">
        <f t="shared" si="79"/>
        <v>-1</v>
      </c>
      <c r="AS36" s="33">
        <f>Recu2!AS36</f>
        <v>0</v>
      </c>
      <c r="AT36" s="32">
        <f t="shared" si="80"/>
        <v>-1</v>
      </c>
      <c r="AU36" s="33">
        <f>Recu2!AU36</f>
        <v>0</v>
      </c>
      <c r="AV36" s="32">
        <f t="shared" si="81"/>
        <v>-1</v>
      </c>
      <c r="AW36" s="33">
        <f>Recu2!AW36</f>
        <v>0</v>
      </c>
      <c r="AX36" s="32">
        <f t="shared" si="82"/>
        <v>-1</v>
      </c>
      <c r="AY36" s="33">
        <f>Recu2!AY36</f>
        <v>0</v>
      </c>
      <c r="AZ36" s="32">
        <f t="shared" si="83"/>
        <v>-1</v>
      </c>
      <c r="BA36" s="33">
        <f>Recu2!BA36</f>
        <v>0</v>
      </c>
      <c r="BB36" s="32">
        <f t="shared" si="84"/>
        <v>-1</v>
      </c>
      <c r="BC36" s="33">
        <f>Recu2!BC36</f>
        <v>0</v>
      </c>
      <c r="BD36" s="32">
        <f t="shared" si="85"/>
        <v>-1</v>
      </c>
      <c r="BE36" s="33">
        <f>Recu2!BE36</f>
        <v>0</v>
      </c>
      <c r="BF36" s="32">
        <f t="shared" si="86"/>
        <v>-1</v>
      </c>
      <c r="BG36" s="33">
        <f>Recu2!BG36</f>
        <v>0</v>
      </c>
      <c r="BH36" s="32">
        <f t="shared" si="87"/>
        <v>-1</v>
      </c>
      <c r="BI36" s="33">
        <f>Recu2!BI36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Recu2!B37</f>
        <v>0</v>
      </c>
      <c r="C37" s="33">
        <f>Recu2!C37</f>
        <v>0</v>
      </c>
      <c r="D37" s="32">
        <f t="shared" si="59"/>
        <v>-1</v>
      </c>
      <c r="E37" s="33">
        <f>Recu2!E37</f>
        <v>0</v>
      </c>
      <c r="F37" s="32">
        <f t="shared" si="60"/>
        <v>-1</v>
      </c>
      <c r="G37" s="33">
        <f>Recu2!G37</f>
        <v>0</v>
      </c>
      <c r="H37" s="32">
        <f t="shared" si="61"/>
        <v>-1</v>
      </c>
      <c r="I37" s="33">
        <f>Recu2!I37</f>
        <v>0</v>
      </c>
      <c r="J37" s="32">
        <f t="shared" si="62"/>
        <v>-1</v>
      </c>
      <c r="K37" s="33">
        <f>Recu2!K37</f>
        <v>0</v>
      </c>
      <c r="L37" s="32">
        <f t="shared" si="63"/>
        <v>-1</v>
      </c>
      <c r="M37" s="33">
        <f>Recu2!M37</f>
        <v>0</v>
      </c>
      <c r="N37" s="32">
        <f t="shared" si="64"/>
        <v>-1</v>
      </c>
      <c r="O37" s="33">
        <f>Recu2!O37</f>
        <v>0</v>
      </c>
      <c r="P37" s="32">
        <f t="shared" si="65"/>
        <v>-1</v>
      </c>
      <c r="Q37" s="33">
        <f>Recu2!Q37</f>
        <v>0</v>
      </c>
      <c r="R37" s="32">
        <f t="shared" si="66"/>
        <v>-1</v>
      </c>
      <c r="S37" s="33">
        <f>Recu2!S37</f>
        <v>0</v>
      </c>
      <c r="T37" s="32">
        <f t="shared" si="67"/>
        <v>-1</v>
      </c>
      <c r="U37" s="33">
        <f>Recu2!U37</f>
        <v>0</v>
      </c>
      <c r="V37" s="32">
        <f t="shared" si="68"/>
        <v>-1</v>
      </c>
      <c r="W37" s="33">
        <f>Recu2!W37</f>
        <v>0</v>
      </c>
      <c r="X37" s="32">
        <f t="shared" si="69"/>
        <v>-1</v>
      </c>
      <c r="Y37" s="33">
        <f>Recu2!Y37</f>
        <v>0</v>
      </c>
      <c r="Z37" s="32">
        <f t="shared" si="70"/>
        <v>-1</v>
      </c>
      <c r="AA37" s="33">
        <f>Recu2!AA37</f>
        <v>0</v>
      </c>
      <c r="AB37" s="32">
        <f t="shared" si="71"/>
        <v>-1</v>
      </c>
      <c r="AC37" s="33">
        <f>Recu2!AC37</f>
        <v>0</v>
      </c>
      <c r="AD37" s="32">
        <f t="shared" si="72"/>
        <v>-1</v>
      </c>
      <c r="AE37" s="33">
        <f>Recu2!AE37</f>
        <v>0</v>
      </c>
      <c r="AF37" s="32">
        <f t="shared" si="73"/>
        <v>-1</v>
      </c>
      <c r="AG37" s="33">
        <f>Recu2!AG37</f>
        <v>0</v>
      </c>
      <c r="AH37" s="32">
        <f t="shared" si="74"/>
        <v>-1</v>
      </c>
      <c r="AI37" s="33">
        <f>Recu2!AI37</f>
        <v>0</v>
      </c>
      <c r="AJ37" s="32">
        <f t="shared" si="75"/>
        <v>-1</v>
      </c>
      <c r="AK37" s="33">
        <f>Recu2!AK37</f>
        <v>0</v>
      </c>
      <c r="AL37" s="32">
        <f t="shared" si="76"/>
        <v>-1</v>
      </c>
      <c r="AM37" s="33">
        <f>Recu2!AM37</f>
        <v>0</v>
      </c>
      <c r="AN37" s="32">
        <f t="shared" si="77"/>
        <v>-1</v>
      </c>
      <c r="AO37" s="33">
        <f>Recu2!AO37</f>
        <v>0</v>
      </c>
      <c r="AP37" s="32">
        <f t="shared" si="78"/>
        <v>-1</v>
      </c>
      <c r="AQ37" s="33">
        <f>Recu2!AQ37</f>
        <v>0</v>
      </c>
      <c r="AR37" s="32">
        <f t="shared" si="79"/>
        <v>-1</v>
      </c>
      <c r="AS37" s="33">
        <f>Recu2!AS37</f>
        <v>0</v>
      </c>
      <c r="AT37" s="32">
        <f t="shared" si="80"/>
        <v>-1</v>
      </c>
      <c r="AU37" s="33">
        <f>Recu2!AU37</f>
        <v>0</v>
      </c>
      <c r="AV37" s="32">
        <f t="shared" si="81"/>
        <v>-1</v>
      </c>
      <c r="AW37" s="33">
        <f>Recu2!AW37</f>
        <v>0</v>
      </c>
      <c r="AX37" s="32">
        <f t="shared" si="82"/>
        <v>-1</v>
      </c>
      <c r="AY37" s="33">
        <f>Recu2!AY37</f>
        <v>0</v>
      </c>
      <c r="AZ37" s="32">
        <f t="shared" si="83"/>
        <v>-1</v>
      </c>
      <c r="BA37" s="33">
        <f>Recu2!BA37</f>
        <v>0</v>
      </c>
      <c r="BB37" s="32">
        <f t="shared" si="84"/>
        <v>-1</v>
      </c>
      <c r="BC37" s="33">
        <f>Recu2!BC37</f>
        <v>0</v>
      </c>
      <c r="BD37" s="32">
        <f t="shared" si="85"/>
        <v>-1</v>
      </c>
      <c r="BE37" s="33">
        <f>Recu2!BE37</f>
        <v>0</v>
      </c>
      <c r="BF37" s="32">
        <f t="shared" si="86"/>
        <v>-1</v>
      </c>
      <c r="BG37" s="33">
        <f>Recu2!BG37</f>
        <v>0</v>
      </c>
      <c r="BH37" s="32">
        <f t="shared" si="87"/>
        <v>-1</v>
      </c>
      <c r="BI37" s="33">
        <f>Recu2!BI37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2" t="str">
        <f>IF(SUM($B39:$B58)&lt;&gt;0,SUM(C39:C58)/SUM($B39:$B58)*$B38*10, "")</f>
        <v/>
      </c>
      <c r="D38" s="52"/>
      <c r="E38" s="52" t="str">
        <f>IF(SUM($B39:$B58)&lt;&gt;0,SUM(E39:E58)/SUM($B39:$B58)*$B38*10, "")</f>
        <v/>
      </c>
      <c r="F38" s="52"/>
      <c r="G38" s="52" t="str">
        <f>IF(SUM($B39:$B58)&lt;&gt;0,SUM(G39:G58)/SUM($B39:$B58)*$B38*10, "")</f>
        <v/>
      </c>
      <c r="H38" s="52"/>
      <c r="I38" s="52" t="str">
        <f>IF(SUM($B39:$B58)&lt;&gt;0,SUM(I39:I58)/SUM($B39:$B58)*$B38*10, "")</f>
        <v/>
      </c>
      <c r="J38" s="52"/>
      <c r="K38" s="52" t="str">
        <f>IF(SUM($B39:$B58)&lt;&gt;0,SUM(K39:K58)/SUM($B39:$B58)*$B38*10, "")</f>
        <v/>
      </c>
      <c r="L38" s="52"/>
      <c r="M38" s="52" t="str">
        <f>IF(SUM($B39:$B58)&lt;&gt;0,SUM(M39:M58)/SUM($B39:$B58)*$B38*10, "")</f>
        <v/>
      </c>
      <c r="N38" s="52"/>
      <c r="O38" s="52" t="str">
        <f>IF(SUM($B39:$B58)&lt;&gt;0,SUM(O39:O58)/SUM($B39:$B58)*$B38*10, "")</f>
        <v/>
      </c>
      <c r="P38" s="52"/>
      <c r="Q38" s="52" t="str">
        <f>IF(SUM($B39:$B58)&lt;&gt;0,SUM(Q39:Q58)/SUM($B39:$B58)*$B38*10, "")</f>
        <v/>
      </c>
      <c r="R38" s="52"/>
      <c r="S38" s="52" t="str">
        <f>IF(SUM($B39:$B58)&lt;&gt;0,SUM(S39:S58)/SUM($B39:$B58)*$B38*10, "")</f>
        <v/>
      </c>
      <c r="T38" s="52"/>
      <c r="U38" s="52" t="str">
        <f>IF(SUM($B39:$B58)&lt;&gt;0,SUM(U39:U58)/SUM($B39:$B58)*$B38*10, "")</f>
        <v/>
      </c>
      <c r="V38" s="52"/>
      <c r="W38" s="52" t="str">
        <f>IF(SUM($B39:$B58)&lt;&gt;0,SUM(W39:W58)/SUM($B39:$B58)*$B38*10, "")</f>
        <v/>
      </c>
      <c r="X38" s="52"/>
      <c r="Y38" s="52" t="str">
        <f>IF(SUM($B39:$B58)&lt;&gt;0,SUM(Y39:Y58)/SUM($B39:$B58)*$B38*10, "")</f>
        <v/>
      </c>
      <c r="Z38" s="52"/>
      <c r="AA38" s="52" t="str">
        <f>IF(SUM($B39:$B58)&lt;&gt;0,SUM(AA39:AA58)/SUM($B39:$B58)*$B38*10, "")</f>
        <v/>
      </c>
      <c r="AB38" s="52"/>
      <c r="AC38" s="52" t="str">
        <f>IF(SUM($B39:$B58)&lt;&gt;0,SUM(AC39:AC58)/SUM($B39:$B58)*$B38*10, "")</f>
        <v/>
      </c>
      <c r="AD38" s="52"/>
      <c r="AE38" s="52" t="str">
        <f>IF(SUM($B39:$B58)&lt;&gt;0,SUM(AE39:AE58)/SUM($B39:$B58)*$B38*10, "")</f>
        <v/>
      </c>
      <c r="AF38" s="52"/>
      <c r="AG38" s="52" t="str">
        <f>IF(SUM($B39:$B58)&lt;&gt;0,SUM(AG39:AG58)/SUM($B39:$B58)*$B38*10, "")</f>
        <v/>
      </c>
      <c r="AH38" s="52"/>
      <c r="AI38" s="52" t="str">
        <f>IF(SUM($B39:$B58)&lt;&gt;0,SUM(AI39:AI58)/SUM($B39:$B58)*$B38*10, "")</f>
        <v/>
      </c>
      <c r="AJ38" s="52"/>
      <c r="AK38" s="52" t="str">
        <f>IF(SUM($B39:$B58)&lt;&gt;0,SUM(AK39:AK58)/SUM($B39:$B58)*$B38*10, "")</f>
        <v/>
      </c>
      <c r="AL38" s="52"/>
      <c r="AM38" s="52" t="str">
        <f>IF(SUM($B39:$B58)&lt;&gt;0,SUM(AM39:AM58)/SUM($B39:$B58)*$B38*10, "")</f>
        <v/>
      </c>
      <c r="AN38" s="52"/>
      <c r="AO38" s="52" t="str">
        <f>IF(SUM($B39:$B58)&lt;&gt;0,SUM(AO39:AO58)/SUM($B39:$B58)*$B38*10, "")</f>
        <v/>
      </c>
      <c r="AP38" s="52"/>
      <c r="AQ38" s="52" t="str">
        <f>IF(SUM($B39:$B58)&lt;&gt;0,SUM(AQ39:AQ58)/SUM($B39:$B58)*$B38*10, "")</f>
        <v/>
      </c>
      <c r="AR38" s="52"/>
      <c r="AS38" s="52" t="str">
        <f>IF(SUM($B39:$B58)&lt;&gt;0,SUM(AS39:AS58)/SUM($B39:$B58)*$B38*10, "")</f>
        <v/>
      </c>
      <c r="AT38" s="52"/>
      <c r="AU38" s="52" t="str">
        <f>IF(SUM($B39:$B58)&lt;&gt;0,SUM(AU39:AU58)/SUM($B39:$B58)*$B38*10, "")</f>
        <v/>
      </c>
      <c r="AV38" s="52"/>
      <c r="AW38" s="52" t="str">
        <f>IF(SUM($B39:$B58)&lt;&gt;0,SUM(AW39:AW58)/SUM($B39:$B58)*$B38*10, "")</f>
        <v/>
      </c>
      <c r="AX38" s="52"/>
      <c r="AY38" s="52" t="str">
        <f>IF(SUM($B39:$B58)&lt;&gt;0,SUM(AY39:AY58)/SUM($B39:$B58)*$B38*10, "")</f>
        <v/>
      </c>
      <c r="AZ38" s="52"/>
      <c r="BA38" s="52" t="str">
        <f>IF(SUM($B39:$B58)&lt;&gt;0,SUM(BA39:BA58)/SUM($B39:$B58)*$B38*10, "")</f>
        <v/>
      </c>
      <c r="BB38" s="52"/>
      <c r="BC38" s="52" t="str">
        <f>IF(SUM($B39:$B58)&lt;&gt;0,SUM(BC39:BC58)/SUM($B39:$B58)*$B38*10, "")</f>
        <v/>
      </c>
      <c r="BD38" s="52"/>
      <c r="BE38" s="52" t="str">
        <f>IF(SUM($B39:$B58)&lt;&gt;0,SUM(BE39:BE58)/SUM($B39:$B58)*$B38*10, "")</f>
        <v/>
      </c>
      <c r="BF38" s="52"/>
      <c r="BG38" s="52" t="str">
        <f>IF(SUM($B39:$B58)&lt;&gt;0,SUM(BG39:BG58)/SUM($B39:$B58)*$B38*10, "")</f>
        <v/>
      </c>
      <c r="BH38" s="52"/>
      <c r="BI38" s="52" t="str">
        <f>IF(SUM($B39:$B58)&lt;&gt;0,SUM(BI39:BI58)/SUM($B39:$B58)*$B38*10, "")</f>
        <v/>
      </c>
      <c r="BJ38" s="52"/>
    </row>
    <row r="39" spans="1:62" ht="28" x14ac:dyDescent="0.2">
      <c r="A39" s="2" t="s">
        <v>39</v>
      </c>
      <c r="B39" s="13">
        <f>Recu2!B39</f>
        <v>0</v>
      </c>
      <c r="C39" s="33">
        <f>Recu2!C39</f>
        <v>0</v>
      </c>
      <c r="D39" s="32">
        <f t="shared" ref="D39:D58" si="89">IF($B39,C39/$B39,-1)</f>
        <v>-1</v>
      </c>
      <c r="E39" s="33">
        <f>Recu2!E39</f>
        <v>0</v>
      </c>
      <c r="F39" s="32">
        <f t="shared" ref="F39:F58" si="90">IF($B39,E39/$B39,-1)</f>
        <v>-1</v>
      </c>
      <c r="G39" s="33">
        <f>Recu2!G39</f>
        <v>0</v>
      </c>
      <c r="H39" s="32">
        <f t="shared" ref="H39:H58" si="91">IF($B39,G39/$B39,-1)</f>
        <v>-1</v>
      </c>
      <c r="I39" s="33">
        <f>Recu2!I39</f>
        <v>0</v>
      </c>
      <c r="J39" s="32">
        <f t="shared" ref="J39:J58" si="92">IF($B39,I39/$B39,-1)</f>
        <v>-1</v>
      </c>
      <c r="K39" s="33">
        <f>Recu2!K39</f>
        <v>0</v>
      </c>
      <c r="L39" s="32">
        <f t="shared" ref="L39:L58" si="93">IF($B39,K39/$B39,-1)</f>
        <v>-1</v>
      </c>
      <c r="M39" s="33">
        <f>Recu2!M39</f>
        <v>0</v>
      </c>
      <c r="N39" s="32">
        <f t="shared" ref="N39:N58" si="94">IF($B39,M39/$B39,-1)</f>
        <v>-1</v>
      </c>
      <c r="O39" s="33">
        <f>Recu2!O39</f>
        <v>0</v>
      </c>
      <c r="P39" s="32">
        <f t="shared" ref="P39:P58" si="95">IF($B39,O39/$B39,-1)</f>
        <v>-1</v>
      </c>
      <c r="Q39" s="33">
        <f>Recu2!Q39</f>
        <v>0</v>
      </c>
      <c r="R39" s="32">
        <f t="shared" ref="R39:R58" si="96">IF($B39,Q39/$B39,-1)</f>
        <v>-1</v>
      </c>
      <c r="S39" s="33">
        <f>Recu2!S39</f>
        <v>0</v>
      </c>
      <c r="T39" s="32">
        <f t="shared" ref="T39:T58" si="97">IF($B39,S39/$B39,-1)</f>
        <v>-1</v>
      </c>
      <c r="U39" s="33">
        <f>Recu2!U39</f>
        <v>0</v>
      </c>
      <c r="V39" s="32">
        <f t="shared" ref="V39:V58" si="98">IF($B39,U39/$B39,-1)</f>
        <v>-1</v>
      </c>
      <c r="W39" s="33">
        <f>Recu2!W39</f>
        <v>0</v>
      </c>
      <c r="X39" s="32">
        <f t="shared" ref="X39:X58" si="99">IF($B39,W39/$B39,-1)</f>
        <v>-1</v>
      </c>
      <c r="Y39" s="33">
        <f>Recu2!Y39</f>
        <v>0</v>
      </c>
      <c r="Z39" s="32">
        <f t="shared" ref="Z39:Z58" si="100">IF($B39,Y39/$B39,-1)</f>
        <v>-1</v>
      </c>
      <c r="AA39" s="33">
        <f>Recu2!AA39</f>
        <v>0</v>
      </c>
      <c r="AB39" s="32">
        <f t="shared" ref="AB39:AB58" si="101">IF($B39,AA39/$B39,-1)</f>
        <v>-1</v>
      </c>
      <c r="AC39" s="33">
        <f>Recu2!AC39</f>
        <v>0</v>
      </c>
      <c r="AD39" s="32">
        <f t="shared" ref="AD39:AD58" si="102">IF($B39,AC39/$B39,-1)</f>
        <v>-1</v>
      </c>
      <c r="AE39" s="33">
        <f>Recu2!AE39</f>
        <v>0</v>
      </c>
      <c r="AF39" s="32">
        <f t="shared" ref="AF39:AF58" si="103">IF($B39,AE39/$B39,-1)</f>
        <v>-1</v>
      </c>
      <c r="AG39" s="33">
        <f>Recu2!AG39</f>
        <v>0</v>
      </c>
      <c r="AH39" s="32">
        <f t="shared" ref="AH39:AH58" si="104">IF($B39,AG39/$B39,-1)</f>
        <v>-1</v>
      </c>
      <c r="AI39" s="33">
        <f>Recu2!AI39</f>
        <v>0</v>
      </c>
      <c r="AJ39" s="32">
        <f t="shared" ref="AJ39:AJ58" si="105">IF($B39,AI39/$B39,-1)</f>
        <v>-1</v>
      </c>
      <c r="AK39" s="33">
        <f>Recu2!AK39</f>
        <v>0</v>
      </c>
      <c r="AL39" s="32">
        <f t="shared" ref="AL39:AL58" si="106">IF($B39,AK39/$B39,-1)</f>
        <v>-1</v>
      </c>
      <c r="AM39" s="33">
        <f>Recu2!AM39</f>
        <v>0</v>
      </c>
      <c r="AN39" s="32">
        <f t="shared" ref="AN39:AN58" si="107">IF($B39,AM39/$B39,-1)</f>
        <v>-1</v>
      </c>
      <c r="AO39" s="33">
        <f>Recu2!AO39</f>
        <v>0</v>
      </c>
      <c r="AP39" s="32">
        <f t="shared" ref="AP39:AP58" si="108">IF($B39,AO39/$B39,-1)</f>
        <v>-1</v>
      </c>
      <c r="AQ39" s="33">
        <f>Recu2!AQ39</f>
        <v>0</v>
      </c>
      <c r="AR39" s="32">
        <f t="shared" ref="AR39:AR58" si="109">IF($B39,AQ39/$B39,-1)</f>
        <v>-1</v>
      </c>
      <c r="AS39" s="33">
        <f>Recu2!AS39</f>
        <v>0</v>
      </c>
      <c r="AT39" s="32">
        <f t="shared" ref="AT39:AT58" si="110">IF($B39,AS39/$B39,-1)</f>
        <v>-1</v>
      </c>
      <c r="AU39" s="33">
        <f>Recu2!AU39</f>
        <v>0</v>
      </c>
      <c r="AV39" s="32">
        <f t="shared" ref="AV39:AV58" si="111">IF($B39,AU39/$B39,-1)</f>
        <v>-1</v>
      </c>
      <c r="AW39" s="33">
        <f>Recu2!AW39</f>
        <v>0</v>
      </c>
      <c r="AX39" s="32">
        <f t="shared" ref="AX39:AX58" si="112">IF($B39,AW39/$B39,-1)</f>
        <v>-1</v>
      </c>
      <c r="AY39" s="33">
        <f>Recu2!AY39</f>
        <v>0</v>
      </c>
      <c r="AZ39" s="32">
        <f t="shared" ref="AZ39:AZ58" si="113">IF($B39,AY39/$B39,-1)</f>
        <v>-1</v>
      </c>
      <c r="BA39" s="33">
        <f>Recu2!BA39</f>
        <v>0</v>
      </c>
      <c r="BB39" s="32">
        <f t="shared" ref="BB39:BB58" si="114">IF($B39,BA39/$B39,-1)</f>
        <v>-1</v>
      </c>
      <c r="BC39" s="33">
        <f>Recu2!BC39</f>
        <v>0</v>
      </c>
      <c r="BD39" s="32">
        <f t="shared" ref="BD39:BD58" si="115">IF($B39,BC39/$B39,-1)</f>
        <v>-1</v>
      </c>
      <c r="BE39" s="33">
        <f>Recu2!BE39</f>
        <v>0</v>
      </c>
      <c r="BF39" s="32">
        <f t="shared" ref="BF39:BF58" si="116">IF($B39,BE39/$B39,-1)</f>
        <v>-1</v>
      </c>
      <c r="BG39" s="33">
        <f>Recu2!BG39</f>
        <v>0</v>
      </c>
      <c r="BH39" s="32">
        <f t="shared" ref="BH39:BH58" si="117">IF($B39,BG39/$B39,-1)</f>
        <v>-1</v>
      </c>
      <c r="BI39" s="33">
        <f>Recu2!BI39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Recu2!B40</f>
        <v>0</v>
      </c>
      <c r="C40" s="33">
        <f>Recu2!C40</f>
        <v>0</v>
      </c>
      <c r="D40" s="32">
        <f t="shared" si="89"/>
        <v>-1</v>
      </c>
      <c r="E40" s="33">
        <f>Recu2!E40</f>
        <v>0</v>
      </c>
      <c r="F40" s="32">
        <f t="shared" si="90"/>
        <v>-1</v>
      </c>
      <c r="G40" s="33">
        <f>Recu2!G40</f>
        <v>0</v>
      </c>
      <c r="H40" s="32">
        <f t="shared" si="91"/>
        <v>-1</v>
      </c>
      <c r="I40" s="33">
        <f>Recu2!I40</f>
        <v>0</v>
      </c>
      <c r="J40" s="32">
        <f t="shared" si="92"/>
        <v>-1</v>
      </c>
      <c r="K40" s="33">
        <f>Recu2!K40</f>
        <v>0</v>
      </c>
      <c r="L40" s="32">
        <f t="shared" si="93"/>
        <v>-1</v>
      </c>
      <c r="M40" s="33">
        <f>Recu2!M40</f>
        <v>0</v>
      </c>
      <c r="N40" s="32">
        <f t="shared" si="94"/>
        <v>-1</v>
      </c>
      <c r="O40" s="33">
        <f>Recu2!O40</f>
        <v>0</v>
      </c>
      <c r="P40" s="32">
        <f t="shared" si="95"/>
        <v>-1</v>
      </c>
      <c r="Q40" s="33">
        <f>Recu2!Q40</f>
        <v>0</v>
      </c>
      <c r="R40" s="32">
        <f t="shared" si="96"/>
        <v>-1</v>
      </c>
      <c r="S40" s="33">
        <f>Recu2!S40</f>
        <v>0</v>
      </c>
      <c r="T40" s="32">
        <f t="shared" si="97"/>
        <v>-1</v>
      </c>
      <c r="U40" s="33">
        <f>Recu2!U40</f>
        <v>0</v>
      </c>
      <c r="V40" s="32">
        <f t="shared" si="98"/>
        <v>-1</v>
      </c>
      <c r="W40" s="33">
        <f>Recu2!W40</f>
        <v>0</v>
      </c>
      <c r="X40" s="32">
        <f t="shared" si="99"/>
        <v>-1</v>
      </c>
      <c r="Y40" s="33">
        <f>Recu2!Y40</f>
        <v>0</v>
      </c>
      <c r="Z40" s="32">
        <f t="shared" si="100"/>
        <v>-1</v>
      </c>
      <c r="AA40" s="33">
        <f>Recu2!AA40</f>
        <v>0</v>
      </c>
      <c r="AB40" s="32">
        <f t="shared" si="101"/>
        <v>-1</v>
      </c>
      <c r="AC40" s="33">
        <f>Recu2!AC40</f>
        <v>0</v>
      </c>
      <c r="AD40" s="32">
        <f t="shared" si="102"/>
        <v>-1</v>
      </c>
      <c r="AE40" s="33">
        <f>Recu2!AE40</f>
        <v>0</v>
      </c>
      <c r="AF40" s="32">
        <f t="shared" si="103"/>
        <v>-1</v>
      </c>
      <c r="AG40" s="33">
        <f>Recu2!AG40</f>
        <v>0</v>
      </c>
      <c r="AH40" s="32">
        <f t="shared" si="104"/>
        <v>-1</v>
      </c>
      <c r="AI40" s="33">
        <f>Recu2!AI40</f>
        <v>0</v>
      </c>
      <c r="AJ40" s="32">
        <f t="shared" si="105"/>
        <v>-1</v>
      </c>
      <c r="AK40" s="33">
        <f>Recu2!AK40</f>
        <v>0</v>
      </c>
      <c r="AL40" s="32">
        <f t="shared" si="106"/>
        <v>-1</v>
      </c>
      <c r="AM40" s="33">
        <f>Recu2!AM40</f>
        <v>0</v>
      </c>
      <c r="AN40" s="32">
        <f t="shared" si="107"/>
        <v>-1</v>
      </c>
      <c r="AO40" s="33">
        <f>Recu2!AO40</f>
        <v>0</v>
      </c>
      <c r="AP40" s="32">
        <f t="shared" si="108"/>
        <v>-1</v>
      </c>
      <c r="AQ40" s="33">
        <f>Recu2!AQ40</f>
        <v>0</v>
      </c>
      <c r="AR40" s="32">
        <f t="shared" si="109"/>
        <v>-1</v>
      </c>
      <c r="AS40" s="33">
        <f>Recu2!AS40</f>
        <v>0</v>
      </c>
      <c r="AT40" s="32">
        <f t="shared" si="110"/>
        <v>-1</v>
      </c>
      <c r="AU40" s="33">
        <f>Recu2!AU40</f>
        <v>0</v>
      </c>
      <c r="AV40" s="32">
        <f t="shared" si="111"/>
        <v>-1</v>
      </c>
      <c r="AW40" s="33">
        <f>Recu2!AW40</f>
        <v>0</v>
      </c>
      <c r="AX40" s="32">
        <f t="shared" si="112"/>
        <v>-1</v>
      </c>
      <c r="AY40" s="33">
        <f>Recu2!AY40</f>
        <v>0</v>
      </c>
      <c r="AZ40" s="32">
        <f t="shared" si="113"/>
        <v>-1</v>
      </c>
      <c r="BA40" s="33">
        <f>Recu2!BA40</f>
        <v>0</v>
      </c>
      <c r="BB40" s="32">
        <f t="shared" si="114"/>
        <v>-1</v>
      </c>
      <c r="BC40" s="33">
        <f>Recu2!BC40</f>
        <v>0</v>
      </c>
      <c r="BD40" s="32">
        <f t="shared" si="115"/>
        <v>-1</v>
      </c>
      <c r="BE40" s="33">
        <f>Recu2!BE40</f>
        <v>0</v>
      </c>
      <c r="BF40" s="32">
        <f t="shared" si="116"/>
        <v>-1</v>
      </c>
      <c r="BG40" s="33">
        <f>Recu2!BG40</f>
        <v>0</v>
      </c>
      <c r="BH40" s="32">
        <f t="shared" si="117"/>
        <v>-1</v>
      </c>
      <c r="BI40" s="33">
        <f>Recu2!BI40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Recu2!B41</f>
        <v>0</v>
      </c>
      <c r="C41" s="33">
        <f>Recu2!C41</f>
        <v>0</v>
      </c>
      <c r="D41" s="32">
        <f t="shared" si="89"/>
        <v>-1</v>
      </c>
      <c r="E41" s="33">
        <f>Recu2!E41</f>
        <v>0</v>
      </c>
      <c r="F41" s="32">
        <f t="shared" si="90"/>
        <v>-1</v>
      </c>
      <c r="G41" s="33">
        <f>Recu2!G41</f>
        <v>0</v>
      </c>
      <c r="H41" s="32">
        <f t="shared" si="91"/>
        <v>-1</v>
      </c>
      <c r="I41" s="33">
        <f>Recu2!I41</f>
        <v>0</v>
      </c>
      <c r="J41" s="32">
        <f t="shared" si="92"/>
        <v>-1</v>
      </c>
      <c r="K41" s="33">
        <f>Recu2!K41</f>
        <v>0</v>
      </c>
      <c r="L41" s="32">
        <f t="shared" si="93"/>
        <v>-1</v>
      </c>
      <c r="M41" s="33">
        <f>Recu2!M41</f>
        <v>0</v>
      </c>
      <c r="N41" s="32">
        <f t="shared" si="94"/>
        <v>-1</v>
      </c>
      <c r="O41" s="33">
        <f>Recu2!O41</f>
        <v>0</v>
      </c>
      <c r="P41" s="32">
        <f t="shared" si="95"/>
        <v>-1</v>
      </c>
      <c r="Q41" s="33">
        <f>Recu2!Q41</f>
        <v>0</v>
      </c>
      <c r="R41" s="32">
        <f t="shared" si="96"/>
        <v>-1</v>
      </c>
      <c r="S41" s="33">
        <f>Recu2!S41</f>
        <v>0</v>
      </c>
      <c r="T41" s="32">
        <f t="shared" si="97"/>
        <v>-1</v>
      </c>
      <c r="U41" s="33">
        <f>Recu2!U41</f>
        <v>0</v>
      </c>
      <c r="V41" s="32">
        <f t="shared" si="98"/>
        <v>-1</v>
      </c>
      <c r="W41" s="33">
        <f>Recu2!W41</f>
        <v>0</v>
      </c>
      <c r="X41" s="32">
        <f t="shared" si="99"/>
        <v>-1</v>
      </c>
      <c r="Y41" s="33">
        <f>Recu2!Y41</f>
        <v>0</v>
      </c>
      <c r="Z41" s="32">
        <f t="shared" si="100"/>
        <v>-1</v>
      </c>
      <c r="AA41" s="33">
        <f>Recu2!AA41</f>
        <v>0</v>
      </c>
      <c r="AB41" s="32">
        <f t="shared" si="101"/>
        <v>-1</v>
      </c>
      <c r="AC41" s="33">
        <f>Recu2!AC41</f>
        <v>0</v>
      </c>
      <c r="AD41" s="32">
        <f t="shared" si="102"/>
        <v>-1</v>
      </c>
      <c r="AE41" s="33">
        <f>Recu2!AE41</f>
        <v>0</v>
      </c>
      <c r="AF41" s="32">
        <f t="shared" si="103"/>
        <v>-1</v>
      </c>
      <c r="AG41" s="33">
        <f>Recu2!AG41</f>
        <v>0</v>
      </c>
      <c r="AH41" s="32">
        <f t="shared" si="104"/>
        <v>-1</v>
      </c>
      <c r="AI41" s="33">
        <f>Recu2!AI41</f>
        <v>0</v>
      </c>
      <c r="AJ41" s="32">
        <f t="shared" si="105"/>
        <v>-1</v>
      </c>
      <c r="AK41" s="33">
        <f>Recu2!AK41</f>
        <v>0</v>
      </c>
      <c r="AL41" s="32">
        <f t="shared" si="106"/>
        <v>-1</v>
      </c>
      <c r="AM41" s="33">
        <f>Recu2!AM41</f>
        <v>0</v>
      </c>
      <c r="AN41" s="32">
        <f t="shared" si="107"/>
        <v>-1</v>
      </c>
      <c r="AO41" s="33">
        <f>Recu2!AO41</f>
        <v>0</v>
      </c>
      <c r="AP41" s="32">
        <f t="shared" si="108"/>
        <v>-1</v>
      </c>
      <c r="AQ41" s="33">
        <f>Recu2!AQ41</f>
        <v>0</v>
      </c>
      <c r="AR41" s="32">
        <f t="shared" si="109"/>
        <v>-1</v>
      </c>
      <c r="AS41" s="33">
        <f>Recu2!AS41</f>
        <v>0</v>
      </c>
      <c r="AT41" s="32">
        <f t="shared" si="110"/>
        <v>-1</v>
      </c>
      <c r="AU41" s="33">
        <f>Recu2!AU41</f>
        <v>0</v>
      </c>
      <c r="AV41" s="32">
        <f t="shared" si="111"/>
        <v>-1</v>
      </c>
      <c r="AW41" s="33">
        <f>Recu2!AW41</f>
        <v>0</v>
      </c>
      <c r="AX41" s="32">
        <f t="shared" si="112"/>
        <v>-1</v>
      </c>
      <c r="AY41" s="33">
        <f>Recu2!AY41</f>
        <v>0</v>
      </c>
      <c r="AZ41" s="32">
        <f t="shared" si="113"/>
        <v>-1</v>
      </c>
      <c r="BA41" s="33">
        <f>Recu2!BA41</f>
        <v>0</v>
      </c>
      <c r="BB41" s="32">
        <f t="shared" si="114"/>
        <v>-1</v>
      </c>
      <c r="BC41" s="33">
        <f>Recu2!BC41</f>
        <v>0</v>
      </c>
      <c r="BD41" s="32">
        <f t="shared" si="115"/>
        <v>-1</v>
      </c>
      <c r="BE41" s="33">
        <f>Recu2!BE41</f>
        <v>0</v>
      </c>
      <c r="BF41" s="32">
        <f t="shared" si="116"/>
        <v>-1</v>
      </c>
      <c r="BG41" s="33">
        <f>Recu2!BG41</f>
        <v>0</v>
      </c>
      <c r="BH41" s="32">
        <f t="shared" si="117"/>
        <v>-1</v>
      </c>
      <c r="BI41" s="33">
        <f>Recu2!BI41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Recu2!B42</f>
        <v>0</v>
      </c>
      <c r="C42" s="33">
        <f>Recu2!C42</f>
        <v>0</v>
      </c>
      <c r="D42" s="32">
        <f t="shared" si="89"/>
        <v>-1</v>
      </c>
      <c r="E42" s="33">
        <f>Recu2!E42</f>
        <v>0</v>
      </c>
      <c r="F42" s="32">
        <f t="shared" si="90"/>
        <v>-1</v>
      </c>
      <c r="G42" s="33">
        <f>Recu2!G42</f>
        <v>0</v>
      </c>
      <c r="H42" s="32">
        <f t="shared" si="91"/>
        <v>-1</v>
      </c>
      <c r="I42" s="33">
        <f>Recu2!I42</f>
        <v>0</v>
      </c>
      <c r="J42" s="32">
        <f t="shared" si="92"/>
        <v>-1</v>
      </c>
      <c r="K42" s="33">
        <f>Recu2!K42</f>
        <v>0</v>
      </c>
      <c r="L42" s="32">
        <f t="shared" si="93"/>
        <v>-1</v>
      </c>
      <c r="M42" s="33">
        <f>Recu2!M42</f>
        <v>0</v>
      </c>
      <c r="N42" s="32">
        <f t="shared" si="94"/>
        <v>-1</v>
      </c>
      <c r="O42" s="33">
        <f>Recu2!O42</f>
        <v>0</v>
      </c>
      <c r="P42" s="32">
        <f t="shared" si="95"/>
        <v>-1</v>
      </c>
      <c r="Q42" s="33">
        <f>Recu2!Q42</f>
        <v>0</v>
      </c>
      <c r="R42" s="32">
        <f t="shared" si="96"/>
        <v>-1</v>
      </c>
      <c r="S42" s="33">
        <f>Recu2!S42</f>
        <v>0</v>
      </c>
      <c r="T42" s="32">
        <f t="shared" si="97"/>
        <v>-1</v>
      </c>
      <c r="U42" s="33">
        <f>Recu2!U42</f>
        <v>0</v>
      </c>
      <c r="V42" s="32">
        <f t="shared" si="98"/>
        <v>-1</v>
      </c>
      <c r="W42" s="33">
        <f>Recu2!W42</f>
        <v>0</v>
      </c>
      <c r="X42" s="32">
        <f t="shared" si="99"/>
        <v>-1</v>
      </c>
      <c r="Y42" s="33">
        <f>Recu2!Y42</f>
        <v>0</v>
      </c>
      <c r="Z42" s="32">
        <f t="shared" si="100"/>
        <v>-1</v>
      </c>
      <c r="AA42" s="33">
        <f>Recu2!AA42</f>
        <v>0</v>
      </c>
      <c r="AB42" s="32">
        <f t="shared" si="101"/>
        <v>-1</v>
      </c>
      <c r="AC42" s="33">
        <f>Recu2!AC42</f>
        <v>0</v>
      </c>
      <c r="AD42" s="32">
        <f t="shared" si="102"/>
        <v>-1</v>
      </c>
      <c r="AE42" s="33">
        <f>Recu2!AE42</f>
        <v>0</v>
      </c>
      <c r="AF42" s="32">
        <f t="shared" si="103"/>
        <v>-1</v>
      </c>
      <c r="AG42" s="33">
        <f>Recu2!AG42</f>
        <v>0</v>
      </c>
      <c r="AH42" s="32">
        <f t="shared" si="104"/>
        <v>-1</v>
      </c>
      <c r="AI42" s="33">
        <f>Recu2!AI42</f>
        <v>0</v>
      </c>
      <c r="AJ42" s="32">
        <f t="shared" si="105"/>
        <v>-1</v>
      </c>
      <c r="AK42" s="33">
        <f>Recu2!AK42</f>
        <v>0</v>
      </c>
      <c r="AL42" s="32">
        <f t="shared" si="106"/>
        <v>-1</v>
      </c>
      <c r="AM42" s="33">
        <f>Recu2!AM42</f>
        <v>0</v>
      </c>
      <c r="AN42" s="32">
        <f t="shared" si="107"/>
        <v>-1</v>
      </c>
      <c r="AO42" s="33">
        <f>Recu2!AO42</f>
        <v>0</v>
      </c>
      <c r="AP42" s="32">
        <f t="shared" si="108"/>
        <v>-1</v>
      </c>
      <c r="AQ42" s="33">
        <f>Recu2!AQ42</f>
        <v>0</v>
      </c>
      <c r="AR42" s="32">
        <f t="shared" si="109"/>
        <v>-1</v>
      </c>
      <c r="AS42" s="33">
        <f>Recu2!AS42</f>
        <v>0</v>
      </c>
      <c r="AT42" s="32">
        <f t="shared" si="110"/>
        <v>-1</v>
      </c>
      <c r="AU42" s="33">
        <f>Recu2!AU42</f>
        <v>0</v>
      </c>
      <c r="AV42" s="32">
        <f t="shared" si="111"/>
        <v>-1</v>
      </c>
      <c r="AW42" s="33">
        <f>Recu2!AW42</f>
        <v>0</v>
      </c>
      <c r="AX42" s="32">
        <f t="shared" si="112"/>
        <v>-1</v>
      </c>
      <c r="AY42" s="33">
        <f>Recu2!AY42</f>
        <v>0</v>
      </c>
      <c r="AZ42" s="32">
        <f t="shared" si="113"/>
        <v>-1</v>
      </c>
      <c r="BA42" s="33">
        <f>Recu2!BA42</f>
        <v>0</v>
      </c>
      <c r="BB42" s="32">
        <f t="shared" si="114"/>
        <v>-1</v>
      </c>
      <c r="BC42" s="33">
        <f>Recu2!BC42</f>
        <v>0</v>
      </c>
      <c r="BD42" s="32">
        <f t="shared" si="115"/>
        <v>-1</v>
      </c>
      <c r="BE42" s="33">
        <f>Recu2!BE42</f>
        <v>0</v>
      </c>
      <c r="BF42" s="32">
        <f t="shared" si="116"/>
        <v>-1</v>
      </c>
      <c r="BG42" s="33">
        <f>Recu2!BG42</f>
        <v>0</v>
      </c>
      <c r="BH42" s="32">
        <f t="shared" si="117"/>
        <v>-1</v>
      </c>
      <c r="BI42" s="33">
        <f>Recu2!BI42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Recu2!B43</f>
        <v>0</v>
      </c>
      <c r="C43" s="33">
        <f>Recu2!C43</f>
        <v>0</v>
      </c>
      <c r="D43" s="32">
        <f t="shared" si="89"/>
        <v>-1</v>
      </c>
      <c r="E43" s="33">
        <f>Recu2!E43</f>
        <v>0</v>
      </c>
      <c r="F43" s="32">
        <f t="shared" si="90"/>
        <v>-1</v>
      </c>
      <c r="G43" s="33">
        <f>Recu2!G43</f>
        <v>0</v>
      </c>
      <c r="H43" s="32">
        <f t="shared" si="91"/>
        <v>-1</v>
      </c>
      <c r="I43" s="33">
        <f>Recu2!I43</f>
        <v>0</v>
      </c>
      <c r="J43" s="32">
        <f t="shared" si="92"/>
        <v>-1</v>
      </c>
      <c r="K43" s="33">
        <f>Recu2!K43</f>
        <v>0</v>
      </c>
      <c r="L43" s="32">
        <f t="shared" si="93"/>
        <v>-1</v>
      </c>
      <c r="M43" s="33">
        <f>Recu2!M43</f>
        <v>0</v>
      </c>
      <c r="N43" s="32">
        <f t="shared" si="94"/>
        <v>-1</v>
      </c>
      <c r="O43" s="33">
        <f>Recu2!O43</f>
        <v>0</v>
      </c>
      <c r="P43" s="32">
        <f t="shared" si="95"/>
        <v>-1</v>
      </c>
      <c r="Q43" s="33">
        <f>Recu2!Q43</f>
        <v>0</v>
      </c>
      <c r="R43" s="32">
        <f t="shared" si="96"/>
        <v>-1</v>
      </c>
      <c r="S43" s="33">
        <f>Recu2!S43</f>
        <v>0</v>
      </c>
      <c r="T43" s="32">
        <f t="shared" si="97"/>
        <v>-1</v>
      </c>
      <c r="U43" s="33">
        <f>Recu2!U43</f>
        <v>0</v>
      </c>
      <c r="V43" s="32">
        <f t="shared" si="98"/>
        <v>-1</v>
      </c>
      <c r="W43" s="33">
        <f>Recu2!W43</f>
        <v>0</v>
      </c>
      <c r="X43" s="32">
        <f t="shared" si="99"/>
        <v>-1</v>
      </c>
      <c r="Y43" s="33">
        <f>Recu2!Y43</f>
        <v>0</v>
      </c>
      <c r="Z43" s="32">
        <f t="shared" si="100"/>
        <v>-1</v>
      </c>
      <c r="AA43" s="33">
        <f>Recu2!AA43</f>
        <v>0</v>
      </c>
      <c r="AB43" s="32">
        <f t="shared" si="101"/>
        <v>-1</v>
      </c>
      <c r="AC43" s="33">
        <f>Recu2!AC43</f>
        <v>0</v>
      </c>
      <c r="AD43" s="32">
        <f t="shared" si="102"/>
        <v>-1</v>
      </c>
      <c r="AE43" s="33">
        <f>Recu2!AE43</f>
        <v>0</v>
      </c>
      <c r="AF43" s="32">
        <f t="shared" si="103"/>
        <v>-1</v>
      </c>
      <c r="AG43" s="33">
        <f>Recu2!AG43</f>
        <v>0</v>
      </c>
      <c r="AH43" s="32">
        <f t="shared" si="104"/>
        <v>-1</v>
      </c>
      <c r="AI43" s="33">
        <f>Recu2!AI43</f>
        <v>0</v>
      </c>
      <c r="AJ43" s="32">
        <f t="shared" si="105"/>
        <v>-1</v>
      </c>
      <c r="AK43" s="33">
        <f>Recu2!AK43</f>
        <v>0</v>
      </c>
      <c r="AL43" s="32">
        <f t="shared" si="106"/>
        <v>-1</v>
      </c>
      <c r="AM43" s="33">
        <f>Recu2!AM43</f>
        <v>0</v>
      </c>
      <c r="AN43" s="32">
        <f t="shared" si="107"/>
        <v>-1</v>
      </c>
      <c r="AO43" s="33">
        <f>Recu2!AO43</f>
        <v>0</v>
      </c>
      <c r="AP43" s="32">
        <f t="shared" si="108"/>
        <v>-1</v>
      </c>
      <c r="AQ43" s="33">
        <f>Recu2!AQ43</f>
        <v>0</v>
      </c>
      <c r="AR43" s="32">
        <f t="shared" si="109"/>
        <v>-1</v>
      </c>
      <c r="AS43" s="33">
        <f>Recu2!AS43</f>
        <v>0</v>
      </c>
      <c r="AT43" s="32">
        <f t="shared" si="110"/>
        <v>-1</v>
      </c>
      <c r="AU43" s="33">
        <f>Recu2!AU43</f>
        <v>0</v>
      </c>
      <c r="AV43" s="32">
        <f t="shared" si="111"/>
        <v>-1</v>
      </c>
      <c r="AW43" s="33">
        <f>Recu2!AW43</f>
        <v>0</v>
      </c>
      <c r="AX43" s="32">
        <f t="shared" si="112"/>
        <v>-1</v>
      </c>
      <c r="AY43" s="33">
        <f>Recu2!AY43</f>
        <v>0</v>
      </c>
      <c r="AZ43" s="32">
        <f t="shared" si="113"/>
        <v>-1</v>
      </c>
      <c r="BA43" s="33">
        <f>Recu2!BA43</f>
        <v>0</v>
      </c>
      <c r="BB43" s="32">
        <f t="shared" si="114"/>
        <v>-1</v>
      </c>
      <c r="BC43" s="33">
        <f>Recu2!BC43</f>
        <v>0</v>
      </c>
      <c r="BD43" s="32">
        <f t="shared" si="115"/>
        <v>-1</v>
      </c>
      <c r="BE43" s="33">
        <f>Recu2!BE43</f>
        <v>0</v>
      </c>
      <c r="BF43" s="32">
        <f t="shared" si="116"/>
        <v>-1</v>
      </c>
      <c r="BG43" s="33">
        <f>Recu2!BG43</f>
        <v>0</v>
      </c>
      <c r="BH43" s="32">
        <f t="shared" si="117"/>
        <v>-1</v>
      </c>
      <c r="BI43" s="33">
        <f>Recu2!BI43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Recu2!B44</f>
        <v>0</v>
      </c>
      <c r="C44" s="33">
        <f>Recu2!C44</f>
        <v>0</v>
      </c>
      <c r="D44" s="32">
        <f t="shared" si="89"/>
        <v>-1</v>
      </c>
      <c r="E44" s="33">
        <f>Recu2!E44</f>
        <v>0</v>
      </c>
      <c r="F44" s="32">
        <f t="shared" si="90"/>
        <v>-1</v>
      </c>
      <c r="G44" s="33">
        <f>Recu2!G44</f>
        <v>0</v>
      </c>
      <c r="H44" s="32">
        <f t="shared" si="91"/>
        <v>-1</v>
      </c>
      <c r="I44" s="33">
        <f>Recu2!I44</f>
        <v>0</v>
      </c>
      <c r="J44" s="32">
        <f t="shared" si="92"/>
        <v>-1</v>
      </c>
      <c r="K44" s="33">
        <f>Recu2!K44</f>
        <v>0</v>
      </c>
      <c r="L44" s="32">
        <f t="shared" si="93"/>
        <v>-1</v>
      </c>
      <c r="M44" s="33">
        <f>Recu2!M44</f>
        <v>0</v>
      </c>
      <c r="N44" s="32">
        <f t="shared" si="94"/>
        <v>-1</v>
      </c>
      <c r="O44" s="33">
        <f>Recu2!O44</f>
        <v>0</v>
      </c>
      <c r="P44" s="32">
        <f t="shared" si="95"/>
        <v>-1</v>
      </c>
      <c r="Q44" s="33">
        <f>Recu2!Q44</f>
        <v>0</v>
      </c>
      <c r="R44" s="32">
        <f t="shared" si="96"/>
        <v>-1</v>
      </c>
      <c r="S44" s="33">
        <f>Recu2!S44</f>
        <v>0</v>
      </c>
      <c r="T44" s="32">
        <f t="shared" si="97"/>
        <v>-1</v>
      </c>
      <c r="U44" s="33">
        <f>Recu2!U44</f>
        <v>0</v>
      </c>
      <c r="V44" s="32">
        <f t="shared" si="98"/>
        <v>-1</v>
      </c>
      <c r="W44" s="33">
        <f>Recu2!W44</f>
        <v>0</v>
      </c>
      <c r="X44" s="32">
        <f t="shared" si="99"/>
        <v>-1</v>
      </c>
      <c r="Y44" s="33">
        <f>Recu2!Y44</f>
        <v>0</v>
      </c>
      <c r="Z44" s="32">
        <f t="shared" si="100"/>
        <v>-1</v>
      </c>
      <c r="AA44" s="33">
        <f>Recu2!AA44</f>
        <v>0</v>
      </c>
      <c r="AB44" s="32">
        <f t="shared" si="101"/>
        <v>-1</v>
      </c>
      <c r="AC44" s="33">
        <f>Recu2!AC44</f>
        <v>0</v>
      </c>
      <c r="AD44" s="32">
        <f t="shared" si="102"/>
        <v>-1</v>
      </c>
      <c r="AE44" s="33">
        <f>Recu2!AE44</f>
        <v>0</v>
      </c>
      <c r="AF44" s="32">
        <f t="shared" si="103"/>
        <v>-1</v>
      </c>
      <c r="AG44" s="33">
        <f>Recu2!AG44</f>
        <v>0</v>
      </c>
      <c r="AH44" s="32">
        <f t="shared" si="104"/>
        <v>-1</v>
      </c>
      <c r="AI44" s="33">
        <f>Recu2!AI44</f>
        <v>0</v>
      </c>
      <c r="AJ44" s="32">
        <f t="shared" si="105"/>
        <v>-1</v>
      </c>
      <c r="AK44" s="33">
        <f>Recu2!AK44</f>
        <v>0</v>
      </c>
      <c r="AL44" s="32">
        <f t="shared" si="106"/>
        <v>-1</v>
      </c>
      <c r="AM44" s="33">
        <f>Recu2!AM44</f>
        <v>0</v>
      </c>
      <c r="AN44" s="32">
        <f t="shared" si="107"/>
        <v>-1</v>
      </c>
      <c r="AO44" s="33">
        <f>Recu2!AO44</f>
        <v>0</v>
      </c>
      <c r="AP44" s="32">
        <f t="shared" si="108"/>
        <v>-1</v>
      </c>
      <c r="AQ44" s="33">
        <f>Recu2!AQ44</f>
        <v>0</v>
      </c>
      <c r="AR44" s="32">
        <f t="shared" si="109"/>
        <v>-1</v>
      </c>
      <c r="AS44" s="33">
        <f>Recu2!AS44</f>
        <v>0</v>
      </c>
      <c r="AT44" s="32">
        <f t="shared" si="110"/>
        <v>-1</v>
      </c>
      <c r="AU44" s="33">
        <f>Recu2!AU44</f>
        <v>0</v>
      </c>
      <c r="AV44" s="32">
        <f t="shared" si="111"/>
        <v>-1</v>
      </c>
      <c r="AW44" s="33">
        <f>Recu2!AW44</f>
        <v>0</v>
      </c>
      <c r="AX44" s="32">
        <f t="shared" si="112"/>
        <v>-1</v>
      </c>
      <c r="AY44" s="33">
        <f>Recu2!AY44</f>
        <v>0</v>
      </c>
      <c r="AZ44" s="32">
        <f t="shared" si="113"/>
        <v>-1</v>
      </c>
      <c r="BA44" s="33">
        <f>Recu2!BA44</f>
        <v>0</v>
      </c>
      <c r="BB44" s="32">
        <f t="shared" si="114"/>
        <v>-1</v>
      </c>
      <c r="BC44" s="33">
        <f>Recu2!BC44</f>
        <v>0</v>
      </c>
      <c r="BD44" s="32">
        <f t="shared" si="115"/>
        <v>-1</v>
      </c>
      <c r="BE44" s="33">
        <f>Recu2!BE44</f>
        <v>0</v>
      </c>
      <c r="BF44" s="32">
        <f t="shared" si="116"/>
        <v>-1</v>
      </c>
      <c r="BG44" s="33">
        <f>Recu2!BG44</f>
        <v>0</v>
      </c>
      <c r="BH44" s="32">
        <f t="shared" si="117"/>
        <v>-1</v>
      </c>
      <c r="BI44" s="33">
        <f>Recu2!BI44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Recu2!B45</f>
        <v>0</v>
      </c>
      <c r="C45" s="33">
        <f>Recu2!C45</f>
        <v>0</v>
      </c>
      <c r="D45" s="32">
        <f t="shared" si="89"/>
        <v>-1</v>
      </c>
      <c r="E45" s="33">
        <f>Recu2!E45</f>
        <v>0</v>
      </c>
      <c r="F45" s="32">
        <f t="shared" si="90"/>
        <v>-1</v>
      </c>
      <c r="G45" s="33">
        <f>Recu2!G45</f>
        <v>0</v>
      </c>
      <c r="H45" s="32">
        <f t="shared" si="91"/>
        <v>-1</v>
      </c>
      <c r="I45" s="33">
        <f>Recu2!I45</f>
        <v>0</v>
      </c>
      <c r="J45" s="32">
        <f t="shared" si="92"/>
        <v>-1</v>
      </c>
      <c r="K45" s="33">
        <f>Recu2!K45</f>
        <v>0</v>
      </c>
      <c r="L45" s="32">
        <f t="shared" si="93"/>
        <v>-1</v>
      </c>
      <c r="M45" s="33">
        <f>Recu2!M45</f>
        <v>0</v>
      </c>
      <c r="N45" s="32">
        <f t="shared" si="94"/>
        <v>-1</v>
      </c>
      <c r="O45" s="33">
        <f>Recu2!O45</f>
        <v>0</v>
      </c>
      <c r="P45" s="32">
        <f t="shared" si="95"/>
        <v>-1</v>
      </c>
      <c r="Q45" s="33">
        <f>Recu2!Q45</f>
        <v>0</v>
      </c>
      <c r="R45" s="32">
        <f t="shared" si="96"/>
        <v>-1</v>
      </c>
      <c r="S45" s="33">
        <f>Recu2!S45</f>
        <v>0</v>
      </c>
      <c r="T45" s="32">
        <f t="shared" si="97"/>
        <v>-1</v>
      </c>
      <c r="U45" s="33">
        <f>Recu2!U45</f>
        <v>0</v>
      </c>
      <c r="V45" s="32">
        <f t="shared" si="98"/>
        <v>-1</v>
      </c>
      <c r="W45" s="33">
        <f>Recu2!W45</f>
        <v>0</v>
      </c>
      <c r="X45" s="32">
        <f t="shared" si="99"/>
        <v>-1</v>
      </c>
      <c r="Y45" s="33">
        <f>Recu2!Y45</f>
        <v>0</v>
      </c>
      <c r="Z45" s="32">
        <f t="shared" si="100"/>
        <v>-1</v>
      </c>
      <c r="AA45" s="33">
        <f>Recu2!AA45</f>
        <v>0</v>
      </c>
      <c r="AB45" s="32">
        <f t="shared" si="101"/>
        <v>-1</v>
      </c>
      <c r="AC45" s="33">
        <f>Recu2!AC45</f>
        <v>0</v>
      </c>
      <c r="AD45" s="32">
        <f t="shared" si="102"/>
        <v>-1</v>
      </c>
      <c r="AE45" s="33">
        <f>Recu2!AE45</f>
        <v>0</v>
      </c>
      <c r="AF45" s="32">
        <f t="shared" si="103"/>
        <v>-1</v>
      </c>
      <c r="AG45" s="33">
        <f>Recu2!AG45</f>
        <v>0</v>
      </c>
      <c r="AH45" s="32">
        <f t="shared" si="104"/>
        <v>-1</v>
      </c>
      <c r="AI45" s="33">
        <f>Recu2!AI45</f>
        <v>0</v>
      </c>
      <c r="AJ45" s="32">
        <f t="shared" si="105"/>
        <v>-1</v>
      </c>
      <c r="AK45" s="33">
        <f>Recu2!AK45</f>
        <v>0</v>
      </c>
      <c r="AL45" s="32">
        <f t="shared" si="106"/>
        <v>-1</v>
      </c>
      <c r="AM45" s="33">
        <f>Recu2!AM45</f>
        <v>0</v>
      </c>
      <c r="AN45" s="32">
        <f t="shared" si="107"/>
        <v>-1</v>
      </c>
      <c r="AO45" s="33">
        <f>Recu2!AO45</f>
        <v>0</v>
      </c>
      <c r="AP45" s="32">
        <f t="shared" si="108"/>
        <v>-1</v>
      </c>
      <c r="AQ45" s="33">
        <f>Recu2!AQ45</f>
        <v>0</v>
      </c>
      <c r="AR45" s="32">
        <f t="shared" si="109"/>
        <v>-1</v>
      </c>
      <c r="AS45" s="33">
        <f>Recu2!AS45</f>
        <v>0</v>
      </c>
      <c r="AT45" s="32">
        <f t="shared" si="110"/>
        <v>-1</v>
      </c>
      <c r="AU45" s="33">
        <f>Recu2!AU45</f>
        <v>0</v>
      </c>
      <c r="AV45" s="32">
        <f t="shared" si="111"/>
        <v>-1</v>
      </c>
      <c r="AW45" s="33">
        <f>Recu2!AW45</f>
        <v>0</v>
      </c>
      <c r="AX45" s="32">
        <f t="shared" si="112"/>
        <v>-1</v>
      </c>
      <c r="AY45" s="33">
        <f>Recu2!AY45</f>
        <v>0</v>
      </c>
      <c r="AZ45" s="32">
        <f t="shared" si="113"/>
        <v>-1</v>
      </c>
      <c r="BA45" s="33">
        <f>Recu2!BA45</f>
        <v>0</v>
      </c>
      <c r="BB45" s="32">
        <f t="shared" si="114"/>
        <v>-1</v>
      </c>
      <c r="BC45" s="33">
        <f>Recu2!BC45</f>
        <v>0</v>
      </c>
      <c r="BD45" s="32">
        <f t="shared" si="115"/>
        <v>-1</v>
      </c>
      <c r="BE45" s="33">
        <f>Recu2!BE45</f>
        <v>0</v>
      </c>
      <c r="BF45" s="32">
        <f t="shared" si="116"/>
        <v>-1</v>
      </c>
      <c r="BG45" s="33">
        <f>Recu2!BG45</f>
        <v>0</v>
      </c>
      <c r="BH45" s="32">
        <f t="shared" si="117"/>
        <v>-1</v>
      </c>
      <c r="BI45" s="33">
        <f>Recu2!BI45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Recu2!B46</f>
        <v>0</v>
      </c>
      <c r="C46" s="33">
        <f>Recu2!C46</f>
        <v>0</v>
      </c>
      <c r="D46" s="32">
        <f t="shared" si="89"/>
        <v>-1</v>
      </c>
      <c r="E46" s="33">
        <f>Recu2!E46</f>
        <v>0</v>
      </c>
      <c r="F46" s="32">
        <f t="shared" si="90"/>
        <v>-1</v>
      </c>
      <c r="G46" s="33">
        <f>Recu2!G46</f>
        <v>0</v>
      </c>
      <c r="H46" s="32">
        <f t="shared" si="91"/>
        <v>-1</v>
      </c>
      <c r="I46" s="33">
        <f>Recu2!I46</f>
        <v>0</v>
      </c>
      <c r="J46" s="32">
        <f t="shared" si="92"/>
        <v>-1</v>
      </c>
      <c r="K46" s="33">
        <f>Recu2!K46</f>
        <v>0</v>
      </c>
      <c r="L46" s="32">
        <f t="shared" si="93"/>
        <v>-1</v>
      </c>
      <c r="M46" s="33">
        <f>Recu2!M46</f>
        <v>0</v>
      </c>
      <c r="N46" s="32">
        <f t="shared" si="94"/>
        <v>-1</v>
      </c>
      <c r="O46" s="33">
        <f>Recu2!O46</f>
        <v>0</v>
      </c>
      <c r="P46" s="32">
        <f t="shared" si="95"/>
        <v>-1</v>
      </c>
      <c r="Q46" s="33">
        <f>Recu2!Q46</f>
        <v>0</v>
      </c>
      <c r="R46" s="32">
        <f t="shared" si="96"/>
        <v>-1</v>
      </c>
      <c r="S46" s="33">
        <f>Recu2!S46</f>
        <v>0</v>
      </c>
      <c r="T46" s="32">
        <f t="shared" si="97"/>
        <v>-1</v>
      </c>
      <c r="U46" s="33">
        <f>Recu2!U46</f>
        <v>0</v>
      </c>
      <c r="V46" s="32">
        <f t="shared" si="98"/>
        <v>-1</v>
      </c>
      <c r="W46" s="33">
        <f>Recu2!W46</f>
        <v>0</v>
      </c>
      <c r="X46" s="32">
        <f t="shared" si="99"/>
        <v>-1</v>
      </c>
      <c r="Y46" s="33">
        <f>Recu2!Y46</f>
        <v>0</v>
      </c>
      <c r="Z46" s="32">
        <f t="shared" si="100"/>
        <v>-1</v>
      </c>
      <c r="AA46" s="33">
        <f>Recu2!AA46</f>
        <v>0</v>
      </c>
      <c r="AB46" s="32">
        <f t="shared" si="101"/>
        <v>-1</v>
      </c>
      <c r="AC46" s="33">
        <f>Recu2!AC46</f>
        <v>0</v>
      </c>
      <c r="AD46" s="32">
        <f t="shared" si="102"/>
        <v>-1</v>
      </c>
      <c r="AE46" s="33">
        <f>Recu2!AE46</f>
        <v>0</v>
      </c>
      <c r="AF46" s="32">
        <f t="shared" si="103"/>
        <v>-1</v>
      </c>
      <c r="AG46" s="33">
        <f>Recu2!AG46</f>
        <v>0</v>
      </c>
      <c r="AH46" s="32">
        <f t="shared" si="104"/>
        <v>-1</v>
      </c>
      <c r="AI46" s="33">
        <f>Recu2!AI46</f>
        <v>0</v>
      </c>
      <c r="AJ46" s="32">
        <f t="shared" si="105"/>
        <v>-1</v>
      </c>
      <c r="AK46" s="33">
        <f>Recu2!AK46</f>
        <v>0</v>
      </c>
      <c r="AL46" s="32">
        <f t="shared" si="106"/>
        <v>-1</v>
      </c>
      <c r="AM46" s="33">
        <f>Recu2!AM46</f>
        <v>0</v>
      </c>
      <c r="AN46" s="32">
        <f t="shared" si="107"/>
        <v>-1</v>
      </c>
      <c r="AO46" s="33">
        <f>Recu2!AO46</f>
        <v>0</v>
      </c>
      <c r="AP46" s="32">
        <f t="shared" si="108"/>
        <v>-1</v>
      </c>
      <c r="AQ46" s="33">
        <f>Recu2!AQ46</f>
        <v>0</v>
      </c>
      <c r="AR46" s="32">
        <f t="shared" si="109"/>
        <v>-1</v>
      </c>
      <c r="AS46" s="33">
        <f>Recu2!AS46</f>
        <v>0</v>
      </c>
      <c r="AT46" s="32">
        <f t="shared" si="110"/>
        <v>-1</v>
      </c>
      <c r="AU46" s="33">
        <f>Recu2!AU46</f>
        <v>0</v>
      </c>
      <c r="AV46" s="32">
        <f t="shared" si="111"/>
        <v>-1</v>
      </c>
      <c r="AW46" s="33">
        <f>Recu2!AW46</f>
        <v>0</v>
      </c>
      <c r="AX46" s="32">
        <f t="shared" si="112"/>
        <v>-1</v>
      </c>
      <c r="AY46" s="33">
        <f>Recu2!AY46</f>
        <v>0</v>
      </c>
      <c r="AZ46" s="32">
        <f t="shared" si="113"/>
        <v>-1</v>
      </c>
      <c r="BA46" s="33">
        <f>Recu2!BA46</f>
        <v>0</v>
      </c>
      <c r="BB46" s="32">
        <f t="shared" si="114"/>
        <v>-1</v>
      </c>
      <c r="BC46" s="33">
        <f>Recu2!BC46</f>
        <v>0</v>
      </c>
      <c r="BD46" s="32">
        <f t="shared" si="115"/>
        <v>-1</v>
      </c>
      <c r="BE46" s="33">
        <f>Recu2!BE46</f>
        <v>0</v>
      </c>
      <c r="BF46" s="32">
        <f t="shared" si="116"/>
        <v>-1</v>
      </c>
      <c r="BG46" s="33">
        <f>Recu2!BG46</f>
        <v>0</v>
      </c>
      <c r="BH46" s="32">
        <f t="shared" si="117"/>
        <v>-1</v>
      </c>
      <c r="BI46" s="33">
        <f>Recu2!BI46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Recu2!B47</f>
        <v>0</v>
      </c>
      <c r="C47" s="33">
        <f>Recu2!C47</f>
        <v>0</v>
      </c>
      <c r="D47" s="32">
        <f t="shared" si="89"/>
        <v>-1</v>
      </c>
      <c r="E47" s="33">
        <f>Recu2!E47</f>
        <v>0</v>
      </c>
      <c r="F47" s="32">
        <f t="shared" si="90"/>
        <v>-1</v>
      </c>
      <c r="G47" s="33">
        <f>Recu2!G47</f>
        <v>0</v>
      </c>
      <c r="H47" s="32">
        <f t="shared" si="91"/>
        <v>-1</v>
      </c>
      <c r="I47" s="33">
        <f>Recu2!I47</f>
        <v>0</v>
      </c>
      <c r="J47" s="32">
        <f t="shared" si="92"/>
        <v>-1</v>
      </c>
      <c r="K47" s="33">
        <f>Recu2!K47</f>
        <v>0</v>
      </c>
      <c r="L47" s="32">
        <f t="shared" si="93"/>
        <v>-1</v>
      </c>
      <c r="M47" s="33">
        <f>Recu2!M47</f>
        <v>0</v>
      </c>
      <c r="N47" s="32">
        <f t="shared" si="94"/>
        <v>-1</v>
      </c>
      <c r="O47" s="33">
        <f>Recu2!O47</f>
        <v>0</v>
      </c>
      <c r="P47" s="32">
        <f t="shared" si="95"/>
        <v>-1</v>
      </c>
      <c r="Q47" s="33">
        <f>Recu2!Q47</f>
        <v>0</v>
      </c>
      <c r="R47" s="32">
        <f t="shared" si="96"/>
        <v>-1</v>
      </c>
      <c r="S47" s="33">
        <f>Recu2!S47</f>
        <v>0</v>
      </c>
      <c r="T47" s="32">
        <f t="shared" si="97"/>
        <v>-1</v>
      </c>
      <c r="U47" s="33">
        <f>Recu2!U47</f>
        <v>0</v>
      </c>
      <c r="V47" s="32">
        <f t="shared" si="98"/>
        <v>-1</v>
      </c>
      <c r="W47" s="33">
        <f>Recu2!W47</f>
        <v>0</v>
      </c>
      <c r="X47" s="32">
        <f t="shared" si="99"/>
        <v>-1</v>
      </c>
      <c r="Y47" s="33">
        <f>Recu2!Y47</f>
        <v>0</v>
      </c>
      <c r="Z47" s="32">
        <f t="shared" si="100"/>
        <v>-1</v>
      </c>
      <c r="AA47" s="33">
        <f>Recu2!AA47</f>
        <v>0</v>
      </c>
      <c r="AB47" s="32">
        <f t="shared" si="101"/>
        <v>-1</v>
      </c>
      <c r="AC47" s="33">
        <f>Recu2!AC47</f>
        <v>0</v>
      </c>
      <c r="AD47" s="32">
        <f t="shared" si="102"/>
        <v>-1</v>
      </c>
      <c r="AE47" s="33">
        <f>Recu2!AE47</f>
        <v>0</v>
      </c>
      <c r="AF47" s="32">
        <f t="shared" si="103"/>
        <v>-1</v>
      </c>
      <c r="AG47" s="33">
        <f>Recu2!AG47</f>
        <v>0</v>
      </c>
      <c r="AH47" s="32">
        <f t="shared" si="104"/>
        <v>-1</v>
      </c>
      <c r="AI47" s="33">
        <f>Recu2!AI47</f>
        <v>0</v>
      </c>
      <c r="AJ47" s="32">
        <f t="shared" si="105"/>
        <v>-1</v>
      </c>
      <c r="AK47" s="33">
        <f>Recu2!AK47</f>
        <v>0</v>
      </c>
      <c r="AL47" s="32">
        <f t="shared" si="106"/>
        <v>-1</v>
      </c>
      <c r="AM47" s="33">
        <f>Recu2!AM47</f>
        <v>0</v>
      </c>
      <c r="AN47" s="32">
        <f t="shared" si="107"/>
        <v>-1</v>
      </c>
      <c r="AO47" s="33">
        <f>Recu2!AO47</f>
        <v>0</v>
      </c>
      <c r="AP47" s="32">
        <f t="shared" si="108"/>
        <v>-1</v>
      </c>
      <c r="AQ47" s="33">
        <f>Recu2!AQ47</f>
        <v>0</v>
      </c>
      <c r="AR47" s="32">
        <f t="shared" si="109"/>
        <v>-1</v>
      </c>
      <c r="AS47" s="33">
        <f>Recu2!AS47</f>
        <v>0</v>
      </c>
      <c r="AT47" s="32">
        <f t="shared" si="110"/>
        <v>-1</v>
      </c>
      <c r="AU47" s="33">
        <f>Recu2!AU47</f>
        <v>0</v>
      </c>
      <c r="AV47" s="32">
        <f t="shared" si="111"/>
        <v>-1</v>
      </c>
      <c r="AW47" s="33">
        <f>Recu2!AW47</f>
        <v>0</v>
      </c>
      <c r="AX47" s="32">
        <f t="shared" si="112"/>
        <v>-1</v>
      </c>
      <c r="AY47" s="33">
        <f>Recu2!AY47</f>
        <v>0</v>
      </c>
      <c r="AZ47" s="32">
        <f t="shared" si="113"/>
        <v>-1</v>
      </c>
      <c r="BA47" s="33">
        <f>Recu2!BA47</f>
        <v>0</v>
      </c>
      <c r="BB47" s="32">
        <f t="shared" si="114"/>
        <v>-1</v>
      </c>
      <c r="BC47" s="33">
        <f>Recu2!BC47</f>
        <v>0</v>
      </c>
      <c r="BD47" s="32">
        <f t="shared" si="115"/>
        <v>-1</v>
      </c>
      <c r="BE47" s="33">
        <f>Recu2!BE47</f>
        <v>0</v>
      </c>
      <c r="BF47" s="32">
        <f t="shared" si="116"/>
        <v>-1</v>
      </c>
      <c r="BG47" s="33">
        <f>Recu2!BG47</f>
        <v>0</v>
      </c>
      <c r="BH47" s="32">
        <f t="shared" si="117"/>
        <v>-1</v>
      </c>
      <c r="BI47" s="33">
        <f>Recu2!BI47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Recu2!B48</f>
        <v>0</v>
      </c>
      <c r="C48" s="33">
        <f>Recu2!C48</f>
        <v>0</v>
      </c>
      <c r="D48" s="32">
        <f t="shared" si="89"/>
        <v>-1</v>
      </c>
      <c r="E48" s="33">
        <f>Recu2!E48</f>
        <v>0</v>
      </c>
      <c r="F48" s="32">
        <f t="shared" si="90"/>
        <v>-1</v>
      </c>
      <c r="G48" s="33">
        <f>Recu2!G48</f>
        <v>0</v>
      </c>
      <c r="H48" s="32">
        <f t="shared" si="91"/>
        <v>-1</v>
      </c>
      <c r="I48" s="33">
        <f>Recu2!I48</f>
        <v>0</v>
      </c>
      <c r="J48" s="32">
        <f t="shared" si="92"/>
        <v>-1</v>
      </c>
      <c r="K48" s="33">
        <f>Recu2!K48</f>
        <v>0</v>
      </c>
      <c r="L48" s="32">
        <f t="shared" si="93"/>
        <v>-1</v>
      </c>
      <c r="M48" s="33">
        <f>Recu2!M48</f>
        <v>0</v>
      </c>
      <c r="N48" s="32">
        <f t="shared" si="94"/>
        <v>-1</v>
      </c>
      <c r="O48" s="33">
        <f>Recu2!O48</f>
        <v>0</v>
      </c>
      <c r="P48" s="32">
        <f t="shared" si="95"/>
        <v>-1</v>
      </c>
      <c r="Q48" s="33">
        <f>Recu2!Q48</f>
        <v>0</v>
      </c>
      <c r="R48" s="32">
        <f t="shared" si="96"/>
        <v>-1</v>
      </c>
      <c r="S48" s="33">
        <f>Recu2!S48</f>
        <v>0</v>
      </c>
      <c r="T48" s="32">
        <f t="shared" si="97"/>
        <v>-1</v>
      </c>
      <c r="U48" s="33">
        <f>Recu2!U48</f>
        <v>0</v>
      </c>
      <c r="V48" s="32">
        <f t="shared" si="98"/>
        <v>-1</v>
      </c>
      <c r="W48" s="33">
        <f>Recu2!W48</f>
        <v>0</v>
      </c>
      <c r="X48" s="32">
        <f t="shared" si="99"/>
        <v>-1</v>
      </c>
      <c r="Y48" s="33">
        <f>Recu2!Y48</f>
        <v>0</v>
      </c>
      <c r="Z48" s="32">
        <f t="shared" si="100"/>
        <v>-1</v>
      </c>
      <c r="AA48" s="33">
        <f>Recu2!AA48</f>
        <v>0</v>
      </c>
      <c r="AB48" s="32">
        <f t="shared" si="101"/>
        <v>-1</v>
      </c>
      <c r="AC48" s="33">
        <f>Recu2!AC48</f>
        <v>0</v>
      </c>
      <c r="AD48" s="32">
        <f t="shared" si="102"/>
        <v>-1</v>
      </c>
      <c r="AE48" s="33">
        <f>Recu2!AE48</f>
        <v>0</v>
      </c>
      <c r="AF48" s="32">
        <f t="shared" si="103"/>
        <v>-1</v>
      </c>
      <c r="AG48" s="33">
        <f>Recu2!AG48</f>
        <v>0</v>
      </c>
      <c r="AH48" s="32">
        <f t="shared" si="104"/>
        <v>-1</v>
      </c>
      <c r="AI48" s="33">
        <f>Recu2!AI48</f>
        <v>0</v>
      </c>
      <c r="AJ48" s="32">
        <f t="shared" si="105"/>
        <v>-1</v>
      </c>
      <c r="AK48" s="33">
        <f>Recu2!AK48</f>
        <v>0</v>
      </c>
      <c r="AL48" s="32">
        <f t="shared" si="106"/>
        <v>-1</v>
      </c>
      <c r="AM48" s="33">
        <f>Recu2!AM48</f>
        <v>0</v>
      </c>
      <c r="AN48" s="32">
        <f t="shared" si="107"/>
        <v>-1</v>
      </c>
      <c r="AO48" s="33">
        <f>Recu2!AO48</f>
        <v>0</v>
      </c>
      <c r="AP48" s="32">
        <f t="shared" si="108"/>
        <v>-1</v>
      </c>
      <c r="AQ48" s="33">
        <f>Recu2!AQ48</f>
        <v>0</v>
      </c>
      <c r="AR48" s="32">
        <f t="shared" si="109"/>
        <v>-1</v>
      </c>
      <c r="AS48" s="33">
        <f>Recu2!AS48</f>
        <v>0</v>
      </c>
      <c r="AT48" s="32">
        <f t="shared" si="110"/>
        <v>-1</v>
      </c>
      <c r="AU48" s="33">
        <f>Recu2!AU48</f>
        <v>0</v>
      </c>
      <c r="AV48" s="32">
        <f t="shared" si="111"/>
        <v>-1</v>
      </c>
      <c r="AW48" s="33">
        <f>Recu2!AW48</f>
        <v>0</v>
      </c>
      <c r="AX48" s="32">
        <f t="shared" si="112"/>
        <v>-1</v>
      </c>
      <c r="AY48" s="33">
        <f>Recu2!AY48</f>
        <v>0</v>
      </c>
      <c r="AZ48" s="32">
        <f t="shared" si="113"/>
        <v>-1</v>
      </c>
      <c r="BA48" s="33">
        <f>Recu2!BA48</f>
        <v>0</v>
      </c>
      <c r="BB48" s="32">
        <f t="shared" si="114"/>
        <v>-1</v>
      </c>
      <c r="BC48" s="33">
        <f>Recu2!BC48</f>
        <v>0</v>
      </c>
      <c r="BD48" s="32">
        <f t="shared" si="115"/>
        <v>-1</v>
      </c>
      <c r="BE48" s="33">
        <f>Recu2!BE48</f>
        <v>0</v>
      </c>
      <c r="BF48" s="32">
        <f t="shared" si="116"/>
        <v>-1</v>
      </c>
      <c r="BG48" s="33">
        <f>Recu2!BG48</f>
        <v>0</v>
      </c>
      <c r="BH48" s="32">
        <f t="shared" si="117"/>
        <v>-1</v>
      </c>
      <c r="BI48" s="33">
        <f>Recu2!BI48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Recu2!B49</f>
        <v>0</v>
      </c>
      <c r="C49" s="33">
        <f>Recu2!C49</f>
        <v>0</v>
      </c>
      <c r="D49" s="32">
        <f t="shared" si="89"/>
        <v>-1</v>
      </c>
      <c r="E49" s="33">
        <f>Recu2!E49</f>
        <v>0</v>
      </c>
      <c r="F49" s="32">
        <f t="shared" si="90"/>
        <v>-1</v>
      </c>
      <c r="G49" s="33">
        <f>Recu2!G49</f>
        <v>0</v>
      </c>
      <c r="H49" s="32">
        <f t="shared" si="91"/>
        <v>-1</v>
      </c>
      <c r="I49" s="33">
        <f>Recu2!I49</f>
        <v>0</v>
      </c>
      <c r="J49" s="32">
        <f t="shared" si="92"/>
        <v>-1</v>
      </c>
      <c r="K49" s="33">
        <f>Recu2!K49</f>
        <v>0</v>
      </c>
      <c r="L49" s="32">
        <f t="shared" si="93"/>
        <v>-1</v>
      </c>
      <c r="M49" s="33">
        <f>Recu2!M49</f>
        <v>0</v>
      </c>
      <c r="N49" s="32">
        <f t="shared" si="94"/>
        <v>-1</v>
      </c>
      <c r="O49" s="33">
        <f>Recu2!O49</f>
        <v>0</v>
      </c>
      <c r="P49" s="32">
        <f t="shared" si="95"/>
        <v>-1</v>
      </c>
      <c r="Q49" s="33">
        <f>Recu2!Q49</f>
        <v>0</v>
      </c>
      <c r="R49" s="32">
        <f t="shared" si="96"/>
        <v>-1</v>
      </c>
      <c r="S49" s="33">
        <f>Recu2!S49</f>
        <v>0</v>
      </c>
      <c r="T49" s="32">
        <f t="shared" si="97"/>
        <v>-1</v>
      </c>
      <c r="U49" s="33">
        <f>Recu2!U49</f>
        <v>0</v>
      </c>
      <c r="V49" s="32">
        <f t="shared" si="98"/>
        <v>-1</v>
      </c>
      <c r="W49" s="33">
        <f>Recu2!W49</f>
        <v>0</v>
      </c>
      <c r="X49" s="32">
        <f t="shared" si="99"/>
        <v>-1</v>
      </c>
      <c r="Y49" s="33">
        <f>Recu2!Y49</f>
        <v>0</v>
      </c>
      <c r="Z49" s="32">
        <f t="shared" si="100"/>
        <v>-1</v>
      </c>
      <c r="AA49" s="33">
        <f>Recu2!AA49</f>
        <v>0</v>
      </c>
      <c r="AB49" s="32">
        <f t="shared" si="101"/>
        <v>-1</v>
      </c>
      <c r="AC49" s="33">
        <f>Recu2!AC49</f>
        <v>0</v>
      </c>
      <c r="AD49" s="32">
        <f t="shared" si="102"/>
        <v>-1</v>
      </c>
      <c r="AE49" s="33">
        <f>Recu2!AE49</f>
        <v>0</v>
      </c>
      <c r="AF49" s="32">
        <f t="shared" si="103"/>
        <v>-1</v>
      </c>
      <c r="AG49" s="33">
        <f>Recu2!AG49</f>
        <v>0</v>
      </c>
      <c r="AH49" s="32">
        <f t="shared" si="104"/>
        <v>-1</v>
      </c>
      <c r="AI49" s="33">
        <f>Recu2!AI49</f>
        <v>0</v>
      </c>
      <c r="AJ49" s="32">
        <f t="shared" si="105"/>
        <v>-1</v>
      </c>
      <c r="AK49" s="33">
        <f>Recu2!AK49</f>
        <v>0</v>
      </c>
      <c r="AL49" s="32">
        <f t="shared" si="106"/>
        <v>-1</v>
      </c>
      <c r="AM49" s="33">
        <f>Recu2!AM49</f>
        <v>0</v>
      </c>
      <c r="AN49" s="32">
        <f t="shared" si="107"/>
        <v>-1</v>
      </c>
      <c r="AO49" s="33">
        <f>Recu2!AO49</f>
        <v>0</v>
      </c>
      <c r="AP49" s="32">
        <f t="shared" si="108"/>
        <v>-1</v>
      </c>
      <c r="AQ49" s="33">
        <f>Recu2!AQ49</f>
        <v>0</v>
      </c>
      <c r="AR49" s="32">
        <f t="shared" si="109"/>
        <v>-1</v>
      </c>
      <c r="AS49" s="33">
        <f>Recu2!AS49</f>
        <v>0</v>
      </c>
      <c r="AT49" s="32">
        <f t="shared" si="110"/>
        <v>-1</v>
      </c>
      <c r="AU49" s="33">
        <f>Recu2!AU49</f>
        <v>0</v>
      </c>
      <c r="AV49" s="32">
        <f t="shared" si="111"/>
        <v>-1</v>
      </c>
      <c r="AW49" s="33">
        <f>Recu2!AW49</f>
        <v>0</v>
      </c>
      <c r="AX49" s="32">
        <f t="shared" si="112"/>
        <v>-1</v>
      </c>
      <c r="AY49" s="33">
        <f>Recu2!AY49</f>
        <v>0</v>
      </c>
      <c r="AZ49" s="32">
        <f t="shared" si="113"/>
        <v>-1</v>
      </c>
      <c r="BA49" s="33">
        <f>Recu2!BA49</f>
        <v>0</v>
      </c>
      <c r="BB49" s="32">
        <f t="shared" si="114"/>
        <v>-1</v>
      </c>
      <c r="BC49" s="33">
        <f>Recu2!BC49</f>
        <v>0</v>
      </c>
      <c r="BD49" s="32">
        <f t="shared" si="115"/>
        <v>-1</v>
      </c>
      <c r="BE49" s="33">
        <f>Recu2!BE49</f>
        <v>0</v>
      </c>
      <c r="BF49" s="32">
        <f t="shared" si="116"/>
        <v>-1</v>
      </c>
      <c r="BG49" s="33">
        <f>Recu2!BG49</f>
        <v>0</v>
      </c>
      <c r="BH49" s="32">
        <f t="shared" si="117"/>
        <v>-1</v>
      </c>
      <c r="BI49" s="33">
        <f>Recu2!BI49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Recu2!B50</f>
        <v>0</v>
      </c>
      <c r="C50" s="33">
        <f>Recu2!C50</f>
        <v>0</v>
      </c>
      <c r="D50" s="32">
        <f t="shared" si="89"/>
        <v>-1</v>
      </c>
      <c r="E50" s="33">
        <f>Recu2!E50</f>
        <v>0</v>
      </c>
      <c r="F50" s="32">
        <f t="shared" si="90"/>
        <v>-1</v>
      </c>
      <c r="G50" s="33">
        <f>Recu2!G50</f>
        <v>0</v>
      </c>
      <c r="H50" s="32">
        <f t="shared" si="91"/>
        <v>-1</v>
      </c>
      <c r="I50" s="33">
        <f>Recu2!I50</f>
        <v>0</v>
      </c>
      <c r="J50" s="32">
        <f t="shared" si="92"/>
        <v>-1</v>
      </c>
      <c r="K50" s="33">
        <f>Recu2!K50</f>
        <v>0</v>
      </c>
      <c r="L50" s="32">
        <f t="shared" si="93"/>
        <v>-1</v>
      </c>
      <c r="M50" s="33">
        <f>Recu2!M50</f>
        <v>0</v>
      </c>
      <c r="N50" s="32">
        <f t="shared" si="94"/>
        <v>-1</v>
      </c>
      <c r="O50" s="33">
        <f>Recu2!O50</f>
        <v>0</v>
      </c>
      <c r="P50" s="32">
        <f t="shared" si="95"/>
        <v>-1</v>
      </c>
      <c r="Q50" s="33">
        <f>Recu2!Q50</f>
        <v>0</v>
      </c>
      <c r="R50" s="32">
        <f t="shared" si="96"/>
        <v>-1</v>
      </c>
      <c r="S50" s="33">
        <f>Recu2!S50</f>
        <v>0</v>
      </c>
      <c r="T50" s="32">
        <f t="shared" si="97"/>
        <v>-1</v>
      </c>
      <c r="U50" s="33">
        <f>Recu2!U50</f>
        <v>0</v>
      </c>
      <c r="V50" s="32">
        <f t="shared" si="98"/>
        <v>-1</v>
      </c>
      <c r="W50" s="33">
        <f>Recu2!W50</f>
        <v>0</v>
      </c>
      <c r="X50" s="32">
        <f t="shared" si="99"/>
        <v>-1</v>
      </c>
      <c r="Y50" s="33">
        <f>Recu2!Y50</f>
        <v>0</v>
      </c>
      <c r="Z50" s="32">
        <f t="shared" si="100"/>
        <v>-1</v>
      </c>
      <c r="AA50" s="33">
        <f>Recu2!AA50</f>
        <v>0</v>
      </c>
      <c r="AB50" s="32">
        <f t="shared" si="101"/>
        <v>-1</v>
      </c>
      <c r="AC50" s="33">
        <f>Recu2!AC50</f>
        <v>0</v>
      </c>
      <c r="AD50" s="32">
        <f t="shared" si="102"/>
        <v>-1</v>
      </c>
      <c r="AE50" s="33">
        <f>Recu2!AE50</f>
        <v>0</v>
      </c>
      <c r="AF50" s="32">
        <f t="shared" si="103"/>
        <v>-1</v>
      </c>
      <c r="AG50" s="33">
        <f>Recu2!AG50</f>
        <v>0</v>
      </c>
      <c r="AH50" s="32">
        <f t="shared" si="104"/>
        <v>-1</v>
      </c>
      <c r="AI50" s="33">
        <f>Recu2!AI50</f>
        <v>0</v>
      </c>
      <c r="AJ50" s="32">
        <f t="shared" si="105"/>
        <v>-1</v>
      </c>
      <c r="AK50" s="33">
        <f>Recu2!AK50</f>
        <v>0</v>
      </c>
      <c r="AL50" s="32">
        <f t="shared" si="106"/>
        <v>-1</v>
      </c>
      <c r="AM50" s="33">
        <f>Recu2!AM50</f>
        <v>0</v>
      </c>
      <c r="AN50" s="32">
        <f t="shared" si="107"/>
        <v>-1</v>
      </c>
      <c r="AO50" s="33">
        <f>Recu2!AO50</f>
        <v>0</v>
      </c>
      <c r="AP50" s="32">
        <f t="shared" si="108"/>
        <v>-1</v>
      </c>
      <c r="AQ50" s="33">
        <f>Recu2!AQ50</f>
        <v>0</v>
      </c>
      <c r="AR50" s="32">
        <f t="shared" si="109"/>
        <v>-1</v>
      </c>
      <c r="AS50" s="33">
        <f>Recu2!AS50</f>
        <v>0</v>
      </c>
      <c r="AT50" s="32">
        <f t="shared" si="110"/>
        <v>-1</v>
      </c>
      <c r="AU50" s="33">
        <f>Recu2!AU50</f>
        <v>0</v>
      </c>
      <c r="AV50" s="32">
        <f t="shared" si="111"/>
        <v>-1</v>
      </c>
      <c r="AW50" s="33">
        <f>Recu2!AW50</f>
        <v>0</v>
      </c>
      <c r="AX50" s="32">
        <f t="shared" si="112"/>
        <v>-1</v>
      </c>
      <c r="AY50" s="33">
        <f>Recu2!AY50</f>
        <v>0</v>
      </c>
      <c r="AZ50" s="32">
        <f t="shared" si="113"/>
        <v>-1</v>
      </c>
      <c r="BA50" s="33">
        <f>Recu2!BA50</f>
        <v>0</v>
      </c>
      <c r="BB50" s="32">
        <f t="shared" si="114"/>
        <v>-1</v>
      </c>
      <c r="BC50" s="33">
        <f>Recu2!BC50</f>
        <v>0</v>
      </c>
      <c r="BD50" s="32">
        <f t="shared" si="115"/>
        <v>-1</v>
      </c>
      <c r="BE50" s="33">
        <f>Recu2!BE50</f>
        <v>0</v>
      </c>
      <c r="BF50" s="32">
        <f t="shared" si="116"/>
        <v>-1</v>
      </c>
      <c r="BG50" s="33">
        <f>Recu2!BG50</f>
        <v>0</v>
      </c>
      <c r="BH50" s="32">
        <f t="shared" si="117"/>
        <v>-1</v>
      </c>
      <c r="BI50" s="33">
        <f>Recu2!BI50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Recu2!B51</f>
        <v>0</v>
      </c>
      <c r="C51" s="33">
        <f>Recu2!C51</f>
        <v>0</v>
      </c>
      <c r="D51" s="32">
        <f t="shared" si="89"/>
        <v>-1</v>
      </c>
      <c r="E51" s="33">
        <f>Recu2!E51</f>
        <v>0</v>
      </c>
      <c r="F51" s="32">
        <f t="shared" si="90"/>
        <v>-1</v>
      </c>
      <c r="G51" s="33">
        <f>Recu2!G51</f>
        <v>0</v>
      </c>
      <c r="H51" s="32">
        <f t="shared" si="91"/>
        <v>-1</v>
      </c>
      <c r="I51" s="33">
        <f>Recu2!I51</f>
        <v>0</v>
      </c>
      <c r="J51" s="32">
        <f t="shared" si="92"/>
        <v>-1</v>
      </c>
      <c r="K51" s="33">
        <f>Recu2!K51</f>
        <v>0</v>
      </c>
      <c r="L51" s="32">
        <f t="shared" si="93"/>
        <v>-1</v>
      </c>
      <c r="M51" s="33">
        <f>Recu2!M51</f>
        <v>0</v>
      </c>
      <c r="N51" s="32">
        <f t="shared" si="94"/>
        <v>-1</v>
      </c>
      <c r="O51" s="33">
        <f>Recu2!O51</f>
        <v>0</v>
      </c>
      <c r="P51" s="32">
        <f t="shared" si="95"/>
        <v>-1</v>
      </c>
      <c r="Q51" s="33">
        <f>Recu2!Q51</f>
        <v>0</v>
      </c>
      <c r="R51" s="32">
        <f t="shared" si="96"/>
        <v>-1</v>
      </c>
      <c r="S51" s="33">
        <f>Recu2!S51</f>
        <v>0</v>
      </c>
      <c r="T51" s="32">
        <f t="shared" si="97"/>
        <v>-1</v>
      </c>
      <c r="U51" s="33">
        <f>Recu2!U51</f>
        <v>0</v>
      </c>
      <c r="V51" s="32">
        <f t="shared" si="98"/>
        <v>-1</v>
      </c>
      <c r="W51" s="33">
        <f>Recu2!W51</f>
        <v>0</v>
      </c>
      <c r="X51" s="32">
        <f t="shared" si="99"/>
        <v>-1</v>
      </c>
      <c r="Y51" s="33">
        <f>Recu2!Y51</f>
        <v>0</v>
      </c>
      <c r="Z51" s="32">
        <f t="shared" si="100"/>
        <v>-1</v>
      </c>
      <c r="AA51" s="33">
        <f>Recu2!AA51</f>
        <v>0</v>
      </c>
      <c r="AB51" s="32">
        <f t="shared" si="101"/>
        <v>-1</v>
      </c>
      <c r="AC51" s="33">
        <f>Recu2!AC51</f>
        <v>0</v>
      </c>
      <c r="AD51" s="32">
        <f t="shared" si="102"/>
        <v>-1</v>
      </c>
      <c r="AE51" s="33">
        <f>Recu2!AE51</f>
        <v>0</v>
      </c>
      <c r="AF51" s="32">
        <f t="shared" si="103"/>
        <v>-1</v>
      </c>
      <c r="AG51" s="33">
        <f>Recu2!AG51</f>
        <v>0</v>
      </c>
      <c r="AH51" s="32">
        <f t="shared" si="104"/>
        <v>-1</v>
      </c>
      <c r="AI51" s="33">
        <f>Recu2!AI51</f>
        <v>0</v>
      </c>
      <c r="AJ51" s="32">
        <f t="shared" si="105"/>
        <v>-1</v>
      </c>
      <c r="AK51" s="33">
        <f>Recu2!AK51</f>
        <v>0</v>
      </c>
      <c r="AL51" s="32">
        <f t="shared" si="106"/>
        <v>-1</v>
      </c>
      <c r="AM51" s="33">
        <f>Recu2!AM51</f>
        <v>0</v>
      </c>
      <c r="AN51" s="32">
        <f t="shared" si="107"/>
        <v>-1</v>
      </c>
      <c r="AO51" s="33">
        <f>Recu2!AO51</f>
        <v>0</v>
      </c>
      <c r="AP51" s="32">
        <f t="shared" si="108"/>
        <v>-1</v>
      </c>
      <c r="AQ51" s="33">
        <f>Recu2!AQ51</f>
        <v>0</v>
      </c>
      <c r="AR51" s="32">
        <f t="shared" si="109"/>
        <v>-1</v>
      </c>
      <c r="AS51" s="33">
        <f>Recu2!AS51</f>
        <v>0</v>
      </c>
      <c r="AT51" s="32">
        <f t="shared" si="110"/>
        <v>-1</v>
      </c>
      <c r="AU51" s="33">
        <f>Recu2!AU51</f>
        <v>0</v>
      </c>
      <c r="AV51" s="32">
        <f t="shared" si="111"/>
        <v>-1</v>
      </c>
      <c r="AW51" s="33">
        <f>Recu2!AW51</f>
        <v>0</v>
      </c>
      <c r="AX51" s="32">
        <f t="shared" si="112"/>
        <v>-1</v>
      </c>
      <c r="AY51" s="33">
        <f>Recu2!AY51</f>
        <v>0</v>
      </c>
      <c r="AZ51" s="32">
        <f t="shared" si="113"/>
        <v>-1</v>
      </c>
      <c r="BA51" s="33">
        <f>Recu2!BA51</f>
        <v>0</v>
      </c>
      <c r="BB51" s="32">
        <f t="shared" si="114"/>
        <v>-1</v>
      </c>
      <c r="BC51" s="33">
        <f>Recu2!BC51</f>
        <v>0</v>
      </c>
      <c r="BD51" s="32">
        <f t="shared" si="115"/>
        <v>-1</v>
      </c>
      <c r="BE51" s="33">
        <f>Recu2!BE51</f>
        <v>0</v>
      </c>
      <c r="BF51" s="32">
        <f t="shared" si="116"/>
        <v>-1</v>
      </c>
      <c r="BG51" s="33">
        <f>Recu2!BG51</f>
        <v>0</v>
      </c>
      <c r="BH51" s="32">
        <f t="shared" si="117"/>
        <v>-1</v>
      </c>
      <c r="BI51" s="33">
        <f>Recu2!BI51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Recu2!B52</f>
        <v>0</v>
      </c>
      <c r="C52" s="33">
        <f>Recu2!C52</f>
        <v>0</v>
      </c>
      <c r="D52" s="32">
        <f t="shared" si="89"/>
        <v>-1</v>
      </c>
      <c r="E52" s="33">
        <f>Recu2!E52</f>
        <v>0</v>
      </c>
      <c r="F52" s="32">
        <f t="shared" si="90"/>
        <v>-1</v>
      </c>
      <c r="G52" s="33">
        <f>Recu2!G52</f>
        <v>0</v>
      </c>
      <c r="H52" s="32">
        <f t="shared" si="91"/>
        <v>-1</v>
      </c>
      <c r="I52" s="33">
        <f>Recu2!I52</f>
        <v>0</v>
      </c>
      <c r="J52" s="32">
        <f t="shared" si="92"/>
        <v>-1</v>
      </c>
      <c r="K52" s="33">
        <f>Recu2!K52</f>
        <v>0</v>
      </c>
      <c r="L52" s="32">
        <f t="shared" si="93"/>
        <v>-1</v>
      </c>
      <c r="M52" s="33">
        <f>Recu2!M52</f>
        <v>0</v>
      </c>
      <c r="N52" s="32">
        <f t="shared" si="94"/>
        <v>-1</v>
      </c>
      <c r="O52" s="33">
        <f>Recu2!O52</f>
        <v>0</v>
      </c>
      <c r="P52" s="32">
        <f t="shared" si="95"/>
        <v>-1</v>
      </c>
      <c r="Q52" s="33">
        <f>Recu2!Q52</f>
        <v>0</v>
      </c>
      <c r="R52" s="32">
        <f t="shared" si="96"/>
        <v>-1</v>
      </c>
      <c r="S52" s="33">
        <f>Recu2!S52</f>
        <v>0</v>
      </c>
      <c r="T52" s="32">
        <f t="shared" si="97"/>
        <v>-1</v>
      </c>
      <c r="U52" s="33">
        <f>Recu2!U52</f>
        <v>0</v>
      </c>
      <c r="V52" s="32">
        <f t="shared" si="98"/>
        <v>-1</v>
      </c>
      <c r="W52" s="33">
        <f>Recu2!W52</f>
        <v>0</v>
      </c>
      <c r="X52" s="32">
        <f t="shared" si="99"/>
        <v>-1</v>
      </c>
      <c r="Y52" s="33">
        <f>Recu2!Y52</f>
        <v>0</v>
      </c>
      <c r="Z52" s="32">
        <f t="shared" si="100"/>
        <v>-1</v>
      </c>
      <c r="AA52" s="33">
        <f>Recu2!AA52</f>
        <v>0</v>
      </c>
      <c r="AB52" s="32">
        <f t="shared" si="101"/>
        <v>-1</v>
      </c>
      <c r="AC52" s="33">
        <f>Recu2!AC52</f>
        <v>0</v>
      </c>
      <c r="AD52" s="32">
        <f t="shared" si="102"/>
        <v>-1</v>
      </c>
      <c r="AE52" s="33">
        <f>Recu2!AE52</f>
        <v>0</v>
      </c>
      <c r="AF52" s="32">
        <f t="shared" si="103"/>
        <v>-1</v>
      </c>
      <c r="AG52" s="33">
        <f>Recu2!AG52</f>
        <v>0</v>
      </c>
      <c r="AH52" s="32">
        <f t="shared" si="104"/>
        <v>-1</v>
      </c>
      <c r="AI52" s="33">
        <f>Recu2!AI52</f>
        <v>0</v>
      </c>
      <c r="AJ52" s="32">
        <f t="shared" si="105"/>
        <v>-1</v>
      </c>
      <c r="AK52" s="33">
        <f>Recu2!AK52</f>
        <v>0</v>
      </c>
      <c r="AL52" s="32">
        <f t="shared" si="106"/>
        <v>-1</v>
      </c>
      <c r="AM52" s="33">
        <f>Recu2!AM52</f>
        <v>0</v>
      </c>
      <c r="AN52" s="32">
        <f t="shared" si="107"/>
        <v>-1</v>
      </c>
      <c r="AO52" s="33">
        <f>Recu2!AO52</f>
        <v>0</v>
      </c>
      <c r="AP52" s="32">
        <f t="shared" si="108"/>
        <v>-1</v>
      </c>
      <c r="AQ52" s="33">
        <f>Recu2!AQ52</f>
        <v>0</v>
      </c>
      <c r="AR52" s="32">
        <f t="shared" si="109"/>
        <v>-1</v>
      </c>
      <c r="AS52" s="33">
        <f>Recu2!AS52</f>
        <v>0</v>
      </c>
      <c r="AT52" s="32">
        <f t="shared" si="110"/>
        <v>-1</v>
      </c>
      <c r="AU52" s="33">
        <f>Recu2!AU52</f>
        <v>0</v>
      </c>
      <c r="AV52" s="32">
        <f t="shared" si="111"/>
        <v>-1</v>
      </c>
      <c r="AW52" s="33">
        <f>Recu2!AW52</f>
        <v>0</v>
      </c>
      <c r="AX52" s="32">
        <f t="shared" si="112"/>
        <v>-1</v>
      </c>
      <c r="AY52" s="33">
        <f>Recu2!AY52</f>
        <v>0</v>
      </c>
      <c r="AZ52" s="32">
        <f t="shared" si="113"/>
        <v>-1</v>
      </c>
      <c r="BA52" s="33">
        <f>Recu2!BA52</f>
        <v>0</v>
      </c>
      <c r="BB52" s="32">
        <f t="shared" si="114"/>
        <v>-1</v>
      </c>
      <c r="BC52" s="33">
        <f>Recu2!BC52</f>
        <v>0</v>
      </c>
      <c r="BD52" s="32">
        <f t="shared" si="115"/>
        <v>-1</v>
      </c>
      <c r="BE52" s="33">
        <f>Recu2!BE52</f>
        <v>0</v>
      </c>
      <c r="BF52" s="32">
        <f t="shared" si="116"/>
        <v>-1</v>
      </c>
      <c r="BG52" s="33">
        <f>Recu2!BG52</f>
        <v>0</v>
      </c>
      <c r="BH52" s="32">
        <f t="shared" si="117"/>
        <v>-1</v>
      </c>
      <c r="BI52" s="33">
        <f>Recu2!BI52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Recu2!B53</f>
        <v>0</v>
      </c>
      <c r="C53" s="33">
        <f>Recu2!C53</f>
        <v>0</v>
      </c>
      <c r="D53" s="32">
        <f t="shared" si="89"/>
        <v>-1</v>
      </c>
      <c r="E53" s="33">
        <f>Recu2!E53</f>
        <v>0</v>
      </c>
      <c r="F53" s="32">
        <f t="shared" si="90"/>
        <v>-1</v>
      </c>
      <c r="G53" s="33">
        <f>Recu2!G53</f>
        <v>0</v>
      </c>
      <c r="H53" s="32">
        <f t="shared" si="91"/>
        <v>-1</v>
      </c>
      <c r="I53" s="33">
        <f>Recu2!I53</f>
        <v>0</v>
      </c>
      <c r="J53" s="32">
        <f t="shared" si="92"/>
        <v>-1</v>
      </c>
      <c r="K53" s="33">
        <f>Recu2!K53</f>
        <v>0</v>
      </c>
      <c r="L53" s="32">
        <f t="shared" si="93"/>
        <v>-1</v>
      </c>
      <c r="M53" s="33">
        <f>Recu2!M53</f>
        <v>0</v>
      </c>
      <c r="N53" s="32">
        <f t="shared" si="94"/>
        <v>-1</v>
      </c>
      <c r="O53" s="33">
        <f>Recu2!O53</f>
        <v>0</v>
      </c>
      <c r="P53" s="32">
        <f t="shared" si="95"/>
        <v>-1</v>
      </c>
      <c r="Q53" s="33">
        <f>Recu2!Q53</f>
        <v>0</v>
      </c>
      <c r="R53" s="32">
        <f t="shared" si="96"/>
        <v>-1</v>
      </c>
      <c r="S53" s="33">
        <f>Recu2!S53</f>
        <v>0</v>
      </c>
      <c r="T53" s="32">
        <f t="shared" si="97"/>
        <v>-1</v>
      </c>
      <c r="U53" s="33">
        <f>Recu2!U53</f>
        <v>0</v>
      </c>
      <c r="V53" s="32">
        <f t="shared" si="98"/>
        <v>-1</v>
      </c>
      <c r="W53" s="33">
        <f>Recu2!W53</f>
        <v>0</v>
      </c>
      <c r="X53" s="32">
        <f t="shared" si="99"/>
        <v>-1</v>
      </c>
      <c r="Y53" s="33">
        <f>Recu2!Y53</f>
        <v>0</v>
      </c>
      <c r="Z53" s="32">
        <f t="shared" si="100"/>
        <v>-1</v>
      </c>
      <c r="AA53" s="33">
        <f>Recu2!AA53</f>
        <v>0</v>
      </c>
      <c r="AB53" s="32">
        <f t="shared" si="101"/>
        <v>-1</v>
      </c>
      <c r="AC53" s="33">
        <f>Recu2!AC53</f>
        <v>0</v>
      </c>
      <c r="AD53" s="32">
        <f t="shared" si="102"/>
        <v>-1</v>
      </c>
      <c r="AE53" s="33">
        <f>Recu2!AE53</f>
        <v>0</v>
      </c>
      <c r="AF53" s="32">
        <f t="shared" si="103"/>
        <v>-1</v>
      </c>
      <c r="AG53" s="33">
        <f>Recu2!AG53</f>
        <v>0</v>
      </c>
      <c r="AH53" s="32">
        <f t="shared" si="104"/>
        <v>-1</v>
      </c>
      <c r="AI53" s="33">
        <f>Recu2!AI53</f>
        <v>0</v>
      </c>
      <c r="AJ53" s="32">
        <f t="shared" si="105"/>
        <v>-1</v>
      </c>
      <c r="AK53" s="33">
        <f>Recu2!AK53</f>
        <v>0</v>
      </c>
      <c r="AL53" s="32">
        <f t="shared" si="106"/>
        <v>-1</v>
      </c>
      <c r="AM53" s="33">
        <f>Recu2!AM53</f>
        <v>0</v>
      </c>
      <c r="AN53" s="32">
        <f t="shared" si="107"/>
        <v>-1</v>
      </c>
      <c r="AO53" s="33">
        <f>Recu2!AO53</f>
        <v>0</v>
      </c>
      <c r="AP53" s="32">
        <f t="shared" si="108"/>
        <v>-1</v>
      </c>
      <c r="AQ53" s="33">
        <f>Recu2!AQ53</f>
        <v>0</v>
      </c>
      <c r="AR53" s="32">
        <f t="shared" si="109"/>
        <v>-1</v>
      </c>
      <c r="AS53" s="33">
        <f>Recu2!AS53</f>
        <v>0</v>
      </c>
      <c r="AT53" s="32">
        <f t="shared" si="110"/>
        <v>-1</v>
      </c>
      <c r="AU53" s="33">
        <f>Recu2!AU53</f>
        <v>0</v>
      </c>
      <c r="AV53" s="32">
        <f t="shared" si="111"/>
        <v>-1</v>
      </c>
      <c r="AW53" s="33">
        <f>Recu2!AW53</f>
        <v>0</v>
      </c>
      <c r="AX53" s="32">
        <f t="shared" si="112"/>
        <v>-1</v>
      </c>
      <c r="AY53" s="33">
        <f>Recu2!AY53</f>
        <v>0</v>
      </c>
      <c r="AZ53" s="32">
        <f t="shared" si="113"/>
        <v>-1</v>
      </c>
      <c r="BA53" s="33">
        <f>Recu2!BA53</f>
        <v>0</v>
      </c>
      <c r="BB53" s="32">
        <f t="shared" si="114"/>
        <v>-1</v>
      </c>
      <c r="BC53" s="33">
        <f>Recu2!BC53</f>
        <v>0</v>
      </c>
      <c r="BD53" s="32">
        <f t="shared" si="115"/>
        <v>-1</v>
      </c>
      <c r="BE53" s="33">
        <f>Recu2!BE53</f>
        <v>0</v>
      </c>
      <c r="BF53" s="32">
        <f t="shared" si="116"/>
        <v>-1</v>
      </c>
      <c r="BG53" s="33">
        <f>Recu2!BG53</f>
        <v>0</v>
      </c>
      <c r="BH53" s="32">
        <f t="shared" si="117"/>
        <v>-1</v>
      </c>
      <c r="BI53" s="33">
        <f>Recu2!BI53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Recu2!B54</f>
        <v>0</v>
      </c>
      <c r="C54" s="33">
        <f>Recu2!C54</f>
        <v>0</v>
      </c>
      <c r="D54" s="32">
        <f t="shared" si="89"/>
        <v>-1</v>
      </c>
      <c r="E54" s="33">
        <f>Recu2!E54</f>
        <v>0</v>
      </c>
      <c r="F54" s="32">
        <f t="shared" si="90"/>
        <v>-1</v>
      </c>
      <c r="G54" s="33">
        <f>Recu2!G54</f>
        <v>0</v>
      </c>
      <c r="H54" s="32">
        <f t="shared" si="91"/>
        <v>-1</v>
      </c>
      <c r="I54" s="33">
        <f>Recu2!I54</f>
        <v>0</v>
      </c>
      <c r="J54" s="32">
        <f t="shared" si="92"/>
        <v>-1</v>
      </c>
      <c r="K54" s="33">
        <f>Recu2!K54</f>
        <v>0</v>
      </c>
      <c r="L54" s="32">
        <f t="shared" si="93"/>
        <v>-1</v>
      </c>
      <c r="M54" s="33">
        <f>Recu2!M54</f>
        <v>0</v>
      </c>
      <c r="N54" s="32">
        <f t="shared" si="94"/>
        <v>-1</v>
      </c>
      <c r="O54" s="33">
        <f>Recu2!O54</f>
        <v>0</v>
      </c>
      <c r="P54" s="32">
        <f t="shared" si="95"/>
        <v>-1</v>
      </c>
      <c r="Q54" s="33">
        <f>Recu2!Q54</f>
        <v>0</v>
      </c>
      <c r="R54" s="32">
        <f t="shared" si="96"/>
        <v>-1</v>
      </c>
      <c r="S54" s="33">
        <f>Recu2!S54</f>
        <v>0</v>
      </c>
      <c r="T54" s="32">
        <f t="shared" si="97"/>
        <v>-1</v>
      </c>
      <c r="U54" s="33">
        <f>Recu2!U54</f>
        <v>0</v>
      </c>
      <c r="V54" s="32">
        <f t="shared" si="98"/>
        <v>-1</v>
      </c>
      <c r="W54" s="33">
        <f>Recu2!W54</f>
        <v>0</v>
      </c>
      <c r="X54" s="32">
        <f t="shared" si="99"/>
        <v>-1</v>
      </c>
      <c r="Y54" s="33">
        <f>Recu2!Y54</f>
        <v>0</v>
      </c>
      <c r="Z54" s="32">
        <f t="shared" si="100"/>
        <v>-1</v>
      </c>
      <c r="AA54" s="33">
        <f>Recu2!AA54</f>
        <v>0</v>
      </c>
      <c r="AB54" s="32">
        <f t="shared" si="101"/>
        <v>-1</v>
      </c>
      <c r="AC54" s="33">
        <f>Recu2!AC54</f>
        <v>0</v>
      </c>
      <c r="AD54" s="32">
        <f t="shared" si="102"/>
        <v>-1</v>
      </c>
      <c r="AE54" s="33">
        <f>Recu2!AE54</f>
        <v>0</v>
      </c>
      <c r="AF54" s="32">
        <f t="shared" si="103"/>
        <v>-1</v>
      </c>
      <c r="AG54" s="33">
        <f>Recu2!AG54</f>
        <v>0</v>
      </c>
      <c r="AH54" s="32">
        <f t="shared" si="104"/>
        <v>-1</v>
      </c>
      <c r="AI54" s="33">
        <f>Recu2!AI54</f>
        <v>0</v>
      </c>
      <c r="AJ54" s="32">
        <f t="shared" si="105"/>
        <v>-1</v>
      </c>
      <c r="AK54" s="33">
        <f>Recu2!AK54</f>
        <v>0</v>
      </c>
      <c r="AL54" s="32">
        <f t="shared" si="106"/>
        <v>-1</v>
      </c>
      <c r="AM54" s="33">
        <f>Recu2!AM54</f>
        <v>0</v>
      </c>
      <c r="AN54" s="32">
        <f t="shared" si="107"/>
        <v>-1</v>
      </c>
      <c r="AO54" s="33">
        <f>Recu2!AO54</f>
        <v>0</v>
      </c>
      <c r="AP54" s="32">
        <f t="shared" si="108"/>
        <v>-1</v>
      </c>
      <c r="AQ54" s="33">
        <f>Recu2!AQ54</f>
        <v>0</v>
      </c>
      <c r="AR54" s="32">
        <f t="shared" si="109"/>
        <v>-1</v>
      </c>
      <c r="AS54" s="33">
        <f>Recu2!AS54</f>
        <v>0</v>
      </c>
      <c r="AT54" s="32">
        <f t="shared" si="110"/>
        <v>-1</v>
      </c>
      <c r="AU54" s="33">
        <f>Recu2!AU54</f>
        <v>0</v>
      </c>
      <c r="AV54" s="32">
        <f t="shared" si="111"/>
        <v>-1</v>
      </c>
      <c r="AW54" s="33">
        <f>Recu2!AW54</f>
        <v>0</v>
      </c>
      <c r="AX54" s="32">
        <f t="shared" si="112"/>
        <v>-1</v>
      </c>
      <c r="AY54" s="33">
        <f>Recu2!AY54</f>
        <v>0</v>
      </c>
      <c r="AZ54" s="32">
        <f t="shared" si="113"/>
        <v>-1</v>
      </c>
      <c r="BA54" s="33">
        <f>Recu2!BA54</f>
        <v>0</v>
      </c>
      <c r="BB54" s="32">
        <f t="shared" si="114"/>
        <v>-1</v>
      </c>
      <c r="BC54" s="33">
        <f>Recu2!BC54</f>
        <v>0</v>
      </c>
      <c r="BD54" s="32">
        <f t="shared" si="115"/>
        <v>-1</v>
      </c>
      <c r="BE54" s="33">
        <f>Recu2!BE54</f>
        <v>0</v>
      </c>
      <c r="BF54" s="32">
        <f t="shared" si="116"/>
        <v>-1</v>
      </c>
      <c r="BG54" s="33">
        <f>Recu2!BG54</f>
        <v>0</v>
      </c>
      <c r="BH54" s="32">
        <f t="shared" si="117"/>
        <v>-1</v>
      </c>
      <c r="BI54" s="33">
        <f>Recu2!BI54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Recu2!B55</f>
        <v>0</v>
      </c>
      <c r="C55" s="33">
        <f>Recu2!C55</f>
        <v>0</v>
      </c>
      <c r="D55" s="32">
        <f t="shared" si="89"/>
        <v>-1</v>
      </c>
      <c r="E55" s="33">
        <f>Recu2!E55</f>
        <v>0</v>
      </c>
      <c r="F55" s="32">
        <f t="shared" si="90"/>
        <v>-1</v>
      </c>
      <c r="G55" s="33">
        <f>Recu2!G55</f>
        <v>0</v>
      </c>
      <c r="H55" s="32">
        <f t="shared" si="91"/>
        <v>-1</v>
      </c>
      <c r="I55" s="33">
        <f>Recu2!I55</f>
        <v>0</v>
      </c>
      <c r="J55" s="32">
        <f t="shared" si="92"/>
        <v>-1</v>
      </c>
      <c r="K55" s="33">
        <f>Recu2!K55</f>
        <v>0</v>
      </c>
      <c r="L55" s="32">
        <f t="shared" si="93"/>
        <v>-1</v>
      </c>
      <c r="M55" s="33">
        <f>Recu2!M55</f>
        <v>0</v>
      </c>
      <c r="N55" s="32">
        <f t="shared" si="94"/>
        <v>-1</v>
      </c>
      <c r="O55" s="33">
        <f>Recu2!O55</f>
        <v>0</v>
      </c>
      <c r="P55" s="32">
        <f t="shared" si="95"/>
        <v>-1</v>
      </c>
      <c r="Q55" s="33">
        <f>Recu2!Q55</f>
        <v>0</v>
      </c>
      <c r="R55" s="32">
        <f t="shared" si="96"/>
        <v>-1</v>
      </c>
      <c r="S55" s="33">
        <f>Recu2!S55</f>
        <v>0</v>
      </c>
      <c r="T55" s="32">
        <f t="shared" si="97"/>
        <v>-1</v>
      </c>
      <c r="U55" s="33">
        <f>Recu2!U55</f>
        <v>0</v>
      </c>
      <c r="V55" s="32">
        <f t="shared" si="98"/>
        <v>-1</v>
      </c>
      <c r="W55" s="33">
        <f>Recu2!W55</f>
        <v>0</v>
      </c>
      <c r="X55" s="32">
        <f t="shared" si="99"/>
        <v>-1</v>
      </c>
      <c r="Y55" s="33">
        <f>Recu2!Y55</f>
        <v>0</v>
      </c>
      <c r="Z55" s="32">
        <f t="shared" si="100"/>
        <v>-1</v>
      </c>
      <c r="AA55" s="33">
        <f>Recu2!AA55</f>
        <v>0</v>
      </c>
      <c r="AB55" s="32">
        <f t="shared" si="101"/>
        <v>-1</v>
      </c>
      <c r="AC55" s="33">
        <f>Recu2!AC55</f>
        <v>0</v>
      </c>
      <c r="AD55" s="32">
        <f t="shared" si="102"/>
        <v>-1</v>
      </c>
      <c r="AE55" s="33">
        <f>Recu2!AE55</f>
        <v>0</v>
      </c>
      <c r="AF55" s="32">
        <f t="shared" si="103"/>
        <v>-1</v>
      </c>
      <c r="AG55" s="33">
        <f>Recu2!AG55</f>
        <v>0</v>
      </c>
      <c r="AH55" s="32">
        <f t="shared" si="104"/>
        <v>-1</v>
      </c>
      <c r="AI55" s="33">
        <f>Recu2!AI55</f>
        <v>0</v>
      </c>
      <c r="AJ55" s="32">
        <f t="shared" si="105"/>
        <v>-1</v>
      </c>
      <c r="AK55" s="33">
        <f>Recu2!AK55</f>
        <v>0</v>
      </c>
      <c r="AL55" s="32">
        <f t="shared" si="106"/>
        <v>-1</v>
      </c>
      <c r="AM55" s="33">
        <f>Recu2!AM55</f>
        <v>0</v>
      </c>
      <c r="AN55" s="32">
        <f t="shared" si="107"/>
        <v>-1</v>
      </c>
      <c r="AO55" s="33">
        <f>Recu2!AO55</f>
        <v>0</v>
      </c>
      <c r="AP55" s="32">
        <f t="shared" si="108"/>
        <v>-1</v>
      </c>
      <c r="AQ55" s="33">
        <f>Recu2!AQ55</f>
        <v>0</v>
      </c>
      <c r="AR55" s="32">
        <f t="shared" si="109"/>
        <v>-1</v>
      </c>
      <c r="AS55" s="33">
        <f>Recu2!AS55</f>
        <v>0</v>
      </c>
      <c r="AT55" s="32">
        <f t="shared" si="110"/>
        <v>-1</v>
      </c>
      <c r="AU55" s="33">
        <f>Recu2!AU55</f>
        <v>0</v>
      </c>
      <c r="AV55" s="32">
        <f t="shared" si="111"/>
        <v>-1</v>
      </c>
      <c r="AW55" s="33">
        <f>Recu2!AW55</f>
        <v>0</v>
      </c>
      <c r="AX55" s="32">
        <f t="shared" si="112"/>
        <v>-1</v>
      </c>
      <c r="AY55" s="33">
        <f>Recu2!AY55</f>
        <v>0</v>
      </c>
      <c r="AZ55" s="32">
        <f t="shared" si="113"/>
        <v>-1</v>
      </c>
      <c r="BA55" s="33">
        <f>Recu2!BA55</f>
        <v>0</v>
      </c>
      <c r="BB55" s="32">
        <f t="shared" si="114"/>
        <v>-1</v>
      </c>
      <c r="BC55" s="33">
        <f>Recu2!BC55</f>
        <v>0</v>
      </c>
      <c r="BD55" s="32">
        <f t="shared" si="115"/>
        <v>-1</v>
      </c>
      <c r="BE55" s="33">
        <f>Recu2!BE55</f>
        <v>0</v>
      </c>
      <c r="BF55" s="32">
        <f t="shared" si="116"/>
        <v>-1</v>
      </c>
      <c r="BG55" s="33">
        <f>Recu2!BG55</f>
        <v>0</v>
      </c>
      <c r="BH55" s="32">
        <f t="shared" si="117"/>
        <v>-1</v>
      </c>
      <c r="BI55" s="33">
        <f>Recu2!BI55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Recu2!B56</f>
        <v>0</v>
      </c>
      <c r="C56" s="33">
        <f>Recu2!C56</f>
        <v>0</v>
      </c>
      <c r="D56" s="32">
        <f t="shared" si="89"/>
        <v>-1</v>
      </c>
      <c r="E56" s="33">
        <f>Recu2!E56</f>
        <v>0</v>
      </c>
      <c r="F56" s="32">
        <f t="shared" si="90"/>
        <v>-1</v>
      </c>
      <c r="G56" s="33">
        <f>Recu2!G56</f>
        <v>0</v>
      </c>
      <c r="H56" s="32">
        <f t="shared" si="91"/>
        <v>-1</v>
      </c>
      <c r="I56" s="33">
        <f>Recu2!I56</f>
        <v>0</v>
      </c>
      <c r="J56" s="32">
        <f t="shared" si="92"/>
        <v>-1</v>
      </c>
      <c r="K56" s="33">
        <f>Recu2!K56</f>
        <v>0</v>
      </c>
      <c r="L56" s="32">
        <f t="shared" si="93"/>
        <v>-1</v>
      </c>
      <c r="M56" s="33">
        <f>Recu2!M56</f>
        <v>0</v>
      </c>
      <c r="N56" s="32">
        <f t="shared" si="94"/>
        <v>-1</v>
      </c>
      <c r="O56" s="33">
        <f>Recu2!O56</f>
        <v>0</v>
      </c>
      <c r="P56" s="32">
        <f t="shared" si="95"/>
        <v>-1</v>
      </c>
      <c r="Q56" s="33">
        <f>Recu2!Q56</f>
        <v>0</v>
      </c>
      <c r="R56" s="32">
        <f t="shared" si="96"/>
        <v>-1</v>
      </c>
      <c r="S56" s="33">
        <f>Recu2!S56</f>
        <v>0</v>
      </c>
      <c r="T56" s="32">
        <f t="shared" si="97"/>
        <v>-1</v>
      </c>
      <c r="U56" s="33">
        <f>Recu2!U56</f>
        <v>0</v>
      </c>
      <c r="V56" s="32">
        <f t="shared" si="98"/>
        <v>-1</v>
      </c>
      <c r="W56" s="33">
        <f>Recu2!W56</f>
        <v>0</v>
      </c>
      <c r="X56" s="32">
        <f t="shared" si="99"/>
        <v>-1</v>
      </c>
      <c r="Y56" s="33">
        <f>Recu2!Y56</f>
        <v>0</v>
      </c>
      <c r="Z56" s="32">
        <f t="shared" si="100"/>
        <v>-1</v>
      </c>
      <c r="AA56" s="33">
        <f>Recu2!AA56</f>
        <v>0</v>
      </c>
      <c r="AB56" s="32">
        <f t="shared" si="101"/>
        <v>-1</v>
      </c>
      <c r="AC56" s="33">
        <f>Recu2!AC56</f>
        <v>0</v>
      </c>
      <c r="AD56" s="32">
        <f t="shared" si="102"/>
        <v>-1</v>
      </c>
      <c r="AE56" s="33">
        <f>Recu2!AE56</f>
        <v>0</v>
      </c>
      <c r="AF56" s="32">
        <f t="shared" si="103"/>
        <v>-1</v>
      </c>
      <c r="AG56" s="33">
        <f>Recu2!AG56</f>
        <v>0</v>
      </c>
      <c r="AH56" s="32">
        <f t="shared" si="104"/>
        <v>-1</v>
      </c>
      <c r="AI56" s="33">
        <f>Recu2!AI56</f>
        <v>0</v>
      </c>
      <c r="AJ56" s="32">
        <f t="shared" si="105"/>
        <v>-1</v>
      </c>
      <c r="AK56" s="33">
        <f>Recu2!AK56</f>
        <v>0</v>
      </c>
      <c r="AL56" s="32">
        <f t="shared" si="106"/>
        <v>-1</v>
      </c>
      <c r="AM56" s="33">
        <f>Recu2!AM56</f>
        <v>0</v>
      </c>
      <c r="AN56" s="32">
        <f t="shared" si="107"/>
        <v>-1</v>
      </c>
      <c r="AO56" s="33">
        <f>Recu2!AO56</f>
        <v>0</v>
      </c>
      <c r="AP56" s="32">
        <f t="shared" si="108"/>
        <v>-1</v>
      </c>
      <c r="AQ56" s="33">
        <f>Recu2!AQ56</f>
        <v>0</v>
      </c>
      <c r="AR56" s="32">
        <f t="shared" si="109"/>
        <v>-1</v>
      </c>
      <c r="AS56" s="33">
        <f>Recu2!AS56</f>
        <v>0</v>
      </c>
      <c r="AT56" s="32">
        <f t="shared" si="110"/>
        <v>-1</v>
      </c>
      <c r="AU56" s="33">
        <f>Recu2!AU56</f>
        <v>0</v>
      </c>
      <c r="AV56" s="32">
        <f t="shared" si="111"/>
        <v>-1</v>
      </c>
      <c r="AW56" s="33">
        <f>Recu2!AW56</f>
        <v>0</v>
      </c>
      <c r="AX56" s="32">
        <f t="shared" si="112"/>
        <v>-1</v>
      </c>
      <c r="AY56" s="33">
        <f>Recu2!AY56</f>
        <v>0</v>
      </c>
      <c r="AZ56" s="32">
        <f t="shared" si="113"/>
        <v>-1</v>
      </c>
      <c r="BA56" s="33">
        <f>Recu2!BA56</f>
        <v>0</v>
      </c>
      <c r="BB56" s="32">
        <f t="shared" si="114"/>
        <v>-1</v>
      </c>
      <c r="BC56" s="33">
        <f>Recu2!BC56</f>
        <v>0</v>
      </c>
      <c r="BD56" s="32">
        <f t="shared" si="115"/>
        <v>-1</v>
      </c>
      <c r="BE56" s="33">
        <f>Recu2!BE56</f>
        <v>0</v>
      </c>
      <c r="BF56" s="32">
        <f t="shared" si="116"/>
        <v>-1</v>
      </c>
      <c r="BG56" s="33">
        <f>Recu2!BG56</f>
        <v>0</v>
      </c>
      <c r="BH56" s="32">
        <f t="shared" si="117"/>
        <v>-1</v>
      </c>
      <c r="BI56" s="33">
        <f>Recu2!BI56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Recu2!B57</f>
        <v>0</v>
      </c>
      <c r="C57" s="33">
        <f>Recu2!C57</f>
        <v>0</v>
      </c>
      <c r="D57" s="32">
        <f t="shared" si="89"/>
        <v>-1</v>
      </c>
      <c r="E57" s="33">
        <f>Recu2!E57</f>
        <v>0</v>
      </c>
      <c r="F57" s="32">
        <f t="shared" si="90"/>
        <v>-1</v>
      </c>
      <c r="G57" s="33">
        <f>Recu2!G57</f>
        <v>0</v>
      </c>
      <c r="H57" s="32">
        <f t="shared" si="91"/>
        <v>-1</v>
      </c>
      <c r="I57" s="33">
        <f>Recu2!I57</f>
        <v>0</v>
      </c>
      <c r="J57" s="32">
        <f t="shared" si="92"/>
        <v>-1</v>
      </c>
      <c r="K57" s="33">
        <f>Recu2!K57</f>
        <v>0</v>
      </c>
      <c r="L57" s="32">
        <f t="shared" si="93"/>
        <v>-1</v>
      </c>
      <c r="M57" s="33">
        <f>Recu2!M57</f>
        <v>0</v>
      </c>
      <c r="N57" s="32">
        <f t="shared" si="94"/>
        <v>-1</v>
      </c>
      <c r="O57" s="33">
        <f>Recu2!O57</f>
        <v>0</v>
      </c>
      <c r="P57" s="32">
        <f t="shared" si="95"/>
        <v>-1</v>
      </c>
      <c r="Q57" s="33">
        <f>Recu2!Q57</f>
        <v>0</v>
      </c>
      <c r="R57" s="32">
        <f t="shared" si="96"/>
        <v>-1</v>
      </c>
      <c r="S57" s="33">
        <f>Recu2!S57</f>
        <v>0</v>
      </c>
      <c r="T57" s="32">
        <f t="shared" si="97"/>
        <v>-1</v>
      </c>
      <c r="U57" s="33">
        <f>Recu2!U57</f>
        <v>0</v>
      </c>
      <c r="V57" s="32">
        <f t="shared" si="98"/>
        <v>-1</v>
      </c>
      <c r="W57" s="33">
        <f>Recu2!W57</f>
        <v>0</v>
      </c>
      <c r="X57" s="32">
        <f t="shared" si="99"/>
        <v>-1</v>
      </c>
      <c r="Y57" s="33">
        <f>Recu2!Y57</f>
        <v>0</v>
      </c>
      <c r="Z57" s="32">
        <f t="shared" si="100"/>
        <v>-1</v>
      </c>
      <c r="AA57" s="33">
        <f>Recu2!AA57</f>
        <v>0</v>
      </c>
      <c r="AB57" s="32">
        <f t="shared" si="101"/>
        <v>-1</v>
      </c>
      <c r="AC57" s="33">
        <f>Recu2!AC57</f>
        <v>0</v>
      </c>
      <c r="AD57" s="32">
        <f t="shared" si="102"/>
        <v>-1</v>
      </c>
      <c r="AE57" s="33">
        <f>Recu2!AE57</f>
        <v>0</v>
      </c>
      <c r="AF57" s="32">
        <f t="shared" si="103"/>
        <v>-1</v>
      </c>
      <c r="AG57" s="33">
        <f>Recu2!AG57</f>
        <v>0</v>
      </c>
      <c r="AH57" s="32">
        <f t="shared" si="104"/>
        <v>-1</v>
      </c>
      <c r="AI57" s="33">
        <f>Recu2!AI57</f>
        <v>0</v>
      </c>
      <c r="AJ57" s="32">
        <f t="shared" si="105"/>
        <v>-1</v>
      </c>
      <c r="AK57" s="33">
        <f>Recu2!AK57</f>
        <v>0</v>
      </c>
      <c r="AL57" s="32">
        <f t="shared" si="106"/>
        <v>-1</v>
      </c>
      <c r="AM57" s="33">
        <f>Recu2!AM57</f>
        <v>0</v>
      </c>
      <c r="AN57" s="32">
        <f t="shared" si="107"/>
        <v>-1</v>
      </c>
      <c r="AO57" s="33">
        <f>Recu2!AO57</f>
        <v>0</v>
      </c>
      <c r="AP57" s="32">
        <f t="shared" si="108"/>
        <v>-1</v>
      </c>
      <c r="AQ57" s="33">
        <f>Recu2!AQ57</f>
        <v>0</v>
      </c>
      <c r="AR57" s="32">
        <f t="shared" si="109"/>
        <v>-1</v>
      </c>
      <c r="AS57" s="33">
        <f>Recu2!AS57</f>
        <v>0</v>
      </c>
      <c r="AT57" s="32">
        <f t="shared" si="110"/>
        <v>-1</v>
      </c>
      <c r="AU57" s="33">
        <f>Recu2!AU57</f>
        <v>0</v>
      </c>
      <c r="AV57" s="32">
        <f t="shared" si="111"/>
        <v>-1</v>
      </c>
      <c r="AW57" s="33">
        <f>Recu2!AW57</f>
        <v>0</v>
      </c>
      <c r="AX57" s="32">
        <f t="shared" si="112"/>
        <v>-1</v>
      </c>
      <c r="AY57" s="33">
        <f>Recu2!AY57</f>
        <v>0</v>
      </c>
      <c r="AZ57" s="32">
        <f t="shared" si="113"/>
        <v>-1</v>
      </c>
      <c r="BA57" s="33">
        <f>Recu2!BA57</f>
        <v>0</v>
      </c>
      <c r="BB57" s="32">
        <f t="shared" si="114"/>
        <v>-1</v>
      </c>
      <c r="BC57" s="33">
        <f>Recu2!BC57</f>
        <v>0</v>
      </c>
      <c r="BD57" s="32">
        <f t="shared" si="115"/>
        <v>-1</v>
      </c>
      <c r="BE57" s="33">
        <f>Recu2!BE57</f>
        <v>0</v>
      </c>
      <c r="BF57" s="32">
        <f t="shared" si="116"/>
        <v>-1</v>
      </c>
      <c r="BG57" s="33">
        <f>Recu2!BG57</f>
        <v>0</v>
      </c>
      <c r="BH57" s="32">
        <f t="shared" si="117"/>
        <v>-1</v>
      </c>
      <c r="BI57" s="33">
        <f>Recu2!BI57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Recu2!B58</f>
        <v>0</v>
      </c>
      <c r="C58" s="33">
        <f>Recu2!C58</f>
        <v>0</v>
      </c>
      <c r="D58" s="32">
        <f t="shared" si="89"/>
        <v>-1</v>
      </c>
      <c r="E58" s="33">
        <f>Recu2!E58</f>
        <v>0</v>
      </c>
      <c r="F58" s="32">
        <f t="shared" si="90"/>
        <v>-1</v>
      </c>
      <c r="G58" s="33">
        <f>Recu2!G58</f>
        <v>0</v>
      </c>
      <c r="H58" s="32">
        <f t="shared" si="91"/>
        <v>-1</v>
      </c>
      <c r="I58" s="33">
        <f>Recu2!I58</f>
        <v>0</v>
      </c>
      <c r="J58" s="32">
        <f t="shared" si="92"/>
        <v>-1</v>
      </c>
      <c r="K58" s="33">
        <f>Recu2!K58</f>
        <v>0</v>
      </c>
      <c r="L58" s="32">
        <f t="shared" si="93"/>
        <v>-1</v>
      </c>
      <c r="M58" s="33">
        <f>Recu2!M58</f>
        <v>0</v>
      </c>
      <c r="N58" s="32">
        <f t="shared" si="94"/>
        <v>-1</v>
      </c>
      <c r="O58" s="33">
        <f>Recu2!O58</f>
        <v>0</v>
      </c>
      <c r="P58" s="32">
        <f t="shared" si="95"/>
        <v>-1</v>
      </c>
      <c r="Q58" s="33">
        <f>Recu2!Q58</f>
        <v>0</v>
      </c>
      <c r="R58" s="32">
        <f t="shared" si="96"/>
        <v>-1</v>
      </c>
      <c r="S58" s="33">
        <f>Recu2!S58</f>
        <v>0</v>
      </c>
      <c r="T58" s="32">
        <f t="shared" si="97"/>
        <v>-1</v>
      </c>
      <c r="U58" s="33">
        <f>Recu2!U58</f>
        <v>0</v>
      </c>
      <c r="V58" s="32">
        <f t="shared" si="98"/>
        <v>-1</v>
      </c>
      <c r="W58" s="33">
        <f>Recu2!W58</f>
        <v>0</v>
      </c>
      <c r="X58" s="32">
        <f t="shared" si="99"/>
        <v>-1</v>
      </c>
      <c r="Y58" s="33">
        <f>Recu2!Y58</f>
        <v>0</v>
      </c>
      <c r="Z58" s="32">
        <f t="shared" si="100"/>
        <v>-1</v>
      </c>
      <c r="AA58" s="33">
        <f>Recu2!AA58</f>
        <v>0</v>
      </c>
      <c r="AB58" s="32">
        <f t="shared" si="101"/>
        <v>-1</v>
      </c>
      <c r="AC58" s="33">
        <f>Recu2!AC58</f>
        <v>0</v>
      </c>
      <c r="AD58" s="32">
        <f t="shared" si="102"/>
        <v>-1</v>
      </c>
      <c r="AE58" s="33">
        <f>Recu2!AE58</f>
        <v>0</v>
      </c>
      <c r="AF58" s="32">
        <f t="shared" si="103"/>
        <v>-1</v>
      </c>
      <c r="AG58" s="33">
        <f>Recu2!AG58</f>
        <v>0</v>
      </c>
      <c r="AH58" s="32">
        <f t="shared" si="104"/>
        <v>-1</v>
      </c>
      <c r="AI58" s="33">
        <f>Recu2!AI58</f>
        <v>0</v>
      </c>
      <c r="AJ58" s="32">
        <f t="shared" si="105"/>
        <v>-1</v>
      </c>
      <c r="AK58" s="33">
        <f>Recu2!AK58</f>
        <v>0</v>
      </c>
      <c r="AL58" s="32">
        <f t="shared" si="106"/>
        <v>-1</v>
      </c>
      <c r="AM58" s="33">
        <f>Recu2!AM58</f>
        <v>0</v>
      </c>
      <c r="AN58" s="32">
        <f t="shared" si="107"/>
        <v>-1</v>
      </c>
      <c r="AO58" s="33">
        <f>Recu2!AO58</f>
        <v>0</v>
      </c>
      <c r="AP58" s="32">
        <f t="shared" si="108"/>
        <v>-1</v>
      </c>
      <c r="AQ58" s="33">
        <f>Recu2!AQ58</f>
        <v>0</v>
      </c>
      <c r="AR58" s="32">
        <f t="shared" si="109"/>
        <v>-1</v>
      </c>
      <c r="AS58" s="33">
        <f>Recu2!AS58</f>
        <v>0</v>
      </c>
      <c r="AT58" s="32">
        <f t="shared" si="110"/>
        <v>-1</v>
      </c>
      <c r="AU58" s="33">
        <f>Recu2!AU58</f>
        <v>0</v>
      </c>
      <c r="AV58" s="32">
        <f t="shared" si="111"/>
        <v>-1</v>
      </c>
      <c r="AW58" s="33">
        <f>Recu2!AW58</f>
        <v>0</v>
      </c>
      <c r="AX58" s="32">
        <f t="shared" si="112"/>
        <v>-1</v>
      </c>
      <c r="AY58" s="33">
        <f>Recu2!AY58</f>
        <v>0</v>
      </c>
      <c r="AZ58" s="32">
        <f t="shared" si="113"/>
        <v>-1</v>
      </c>
      <c r="BA58" s="33">
        <f>Recu2!BA58</f>
        <v>0</v>
      </c>
      <c r="BB58" s="32">
        <f t="shared" si="114"/>
        <v>-1</v>
      </c>
      <c r="BC58" s="33">
        <f>Recu2!BC58</f>
        <v>0</v>
      </c>
      <c r="BD58" s="32">
        <f t="shared" si="115"/>
        <v>-1</v>
      </c>
      <c r="BE58" s="33">
        <f>Recu2!BE58</f>
        <v>0</v>
      </c>
      <c r="BF58" s="32">
        <f t="shared" si="116"/>
        <v>-1</v>
      </c>
      <c r="BG58" s="33">
        <f>Recu2!BG58</f>
        <v>0</v>
      </c>
      <c r="BH58" s="32">
        <f t="shared" si="117"/>
        <v>-1</v>
      </c>
      <c r="BI58" s="33">
        <f>Recu2!BI58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2" t="str">
        <f>IF(SUM($B60:$B63)&lt;&gt;0,SUM(C60:C63)/SUM($B60:$B63)*$B59*10, "")</f>
        <v/>
      </c>
      <c r="D59" s="52"/>
      <c r="E59" s="52" t="str">
        <f>IF(SUM($B60:$B63)&lt;&gt;0,SUM(E60:E63)/SUM($B60:$B63)*$B59*10, "")</f>
        <v/>
      </c>
      <c r="F59" s="52"/>
      <c r="G59" s="52" t="str">
        <f>IF(SUM($B60:$B63)&lt;&gt;0,SUM(G60:G63)/SUM($B60:$B63)*$B59*10, "")</f>
        <v/>
      </c>
      <c r="H59" s="52"/>
      <c r="I59" s="52" t="str">
        <f>IF(SUM($B60:$B63)&lt;&gt;0,SUM(I60:I63)/SUM($B60:$B63)*$B59*10, "")</f>
        <v/>
      </c>
      <c r="J59" s="52"/>
      <c r="K59" s="52" t="str">
        <f>IF(SUM($B60:$B63)&lt;&gt;0,SUM(K60:K63)/SUM($B60:$B63)*$B59*10, "")</f>
        <v/>
      </c>
      <c r="L59" s="52"/>
      <c r="M59" s="52" t="str">
        <f>IF(SUM($B60:$B63)&lt;&gt;0,SUM(M60:M63)/SUM($B60:$B63)*$B59*10, "")</f>
        <v/>
      </c>
      <c r="N59" s="52"/>
      <c r="O59" s="52" t="str">
        <f>IF(SUM($B60:$B63)&lt;&gt;0,SUM(O60:O63)/SUM($B60:$B63)*$B59*10, "")</f>
        <v/>
      </c>
      <c r="P59" s="52"/>
      <c r="Q59" s="52" t="str">
        <f>IF(SUM($B60:$B63)&lt;&gt;0,SUM(Q60:Q63)/SUM($B60:$B63)*$B59*10, "")</f>
        <v/>
      </c>
      <c r="R59" s="52"/>
      <c r="S59" s="52" t="str">
        <f>IF(SUM($B60:$B63)&lt;&gt;0,SUM(S60:S63)/SUM($B60:$B63)*$B59*10, "")</f>
        <v/>
      </c>
      <c r="T59" s="52"/>
      <c r="U59" s="52" t="str">
        <f>IF(SUM($B60:$B63)&lt;&gt;0,SUM(U60:U63)/SUM($B60:$B63)*$B59*10, "")</f>
        <v/>
      </c>
      <c r="V59" s="52"/>
      <c r="W59" s="52" t="str">
        <f>IF(SUM($B60:$B63)&lt;&gt;0,SUM(W60:W63)/SUM($B60:$B63)*$B59*10, "")</f>
        <v/>
      </c>
      <c r="X59" s="52"/>
      <c r="Y59" s="52" t="str">
        <f>IF(SUM($B60:$B63)&lt;&gt;0,SUM(Y60:Y63)/SUM($B60:$B63)*$B59*10, "")</f>
        <v/>
      </c>
      <c r="Z59" s="52"/>
      <c r="AA59" s="52" t="str">
        <f>IF(SUM($B60:$B63)&lt;&gt;0,SUM(AA60:AA63)/SUM($B60:$B63)*$B59*10, "")</f>
        <v/>
      </c>
      <c r="AB59" s="52"/>
      <c r="AC59" s="52" t="str">
        <f>IF(SUM($B60:$B63)&lt;&gt;0,SUM(AC60:AC63)/SUM($B60:$B63)*$B59*10, "")</f>
        <v/>
      </c>
      <c r="AD59" s="52"/>
      <c r="AE59" s="52" t="str">
        <f>IF(SUM($B60:$B63)&lt;&gt;0,SUM(AE60:AE63)/SUM($B60:$B63)*$B59*10, "")</f>
        <v/>
      </c>
      <c r="AF59" s="52"/>
      <c r="AG59" s="52" t="str">
        <f>IF(SUM($B60:$B63)&lt;&gt;0,SUM(AG60:AG63)/SUM($B60:$B63)*$B59*10, "")</f>
        <v/>
      </c>
      <c r="AH59" s="52"/>
      <c r="AI59" s="52" t="str">
        <f>IF(SUM($B60:$B63)&lt;&gt;0,SUM(AI60:AI63)/SUM($B60:$B63)*$B59*10, "")</f>
        <v/>
      </c>
      <c r="AJ59" s="52"/>
      <c r="AK59" s="52" t="str">
        <f>IF(SUM($B60:$B63)&lt;&gt;0,SUM(AK60:AK63)/SUM($B60:$B63)*$B59*10, "")</f>
        <v/>
      </c>
      <c r="AL59" s="52"/>
      <c r="AM59" s="52" t="str">
        <f>IF(SUM($B60:$B63)&lt;&gt;0,SUM(AM60:AM63)/SUM($B60:$B63)*$B59*10, "")</f>
        <v/>
      </c>
      <c r="AN59" s="52"/>
      <c r="AO59" s="52" t="str">
        <f>IF(SUM($B60:$B63)&lt;&gt;0,SUM(AO60:AO63)/SUM($B60:$B63)*$B59*10, "")</f>
        <v/>
      </c>
      <c r="AP59" s="52"/>
      <c r="AQ59" s="52" t="str">
        <f>IF(SUM($B60:$B63)&lt;&gt;0,SUM(AQ60:AQ63)/SUM($B60:$B63)*$B59*10, "")</f>
        <v/>
      </c>
      <c r="AR59" s="52"/>
      <c r="AS59" s="52" t="str">
        <f>IF(SUM($B60:$B63)&lt;&gt;0,SUM(AS60:AS63)/SUM($B60:$B63)*$B59*10, "")</f>
        <v/>
      </c>
      <c r="AT59" s="52"/>
      <c r="AU59" s="52" t="str">
        <f>IF(SUM($B60:$B63)&lt;&gt;0,SUM(AU60:AU63)/SUM($B60:$B63)*$B59*10, "")</f>
        <v/>
      </c>
      <c r="AV59" s="52"/>
      <c r="AW59" s="52" t="str">
        <f>IF(SUM($B60:$B63)&lt;&gt;0,SUM(AW60:AW63)/SUM($B60:$B63)*$B59*10, "")</f>
        <v/>
      </c>
      <c r="AX59" s="52"/>
      <c r="AY59" s="52" t="str">
        <f>IF(SUM($B60:$B63)&lt;&gt;0,SUM(AY60:AY63)/SUM($B60:$B63)*$B59*10, "")</f>
        <v/>
      </c>
      <c r="AZ59" s="52"/>
      <c r="BA59" s="52" t="str">
        <f>IF(SUM($B60:$B63)&lt;&gt;0,SUM(BA60:BA63)/SUM($B60:$B63)*$B59*10, "")</f>
        <v/>
      </c>
      <c r="BB59" s="52"/>
      <c r="BC59" s="52" t="str">
        <f>IF(SUM($B60:$B63)&lt;&gt;0,SUM(BC60:BC63)/SUM($B60:$B63)*$B59*10, "")</f>
        <v/>
      </c>
      <c r="BD59" s="52"/>
      <c r="BE59" s="52" t="str">
        <f>IF(SUM($B60:$B63)&lt;&gt;0,SUM(BE60:BE63)/SUM($B60:$B63)*$B59*10, "")</f>
        <v/>
      </c>
      <c r="BF59" s="52"/>
      <c r="BG59" s="52" t="str">
        <f>IF(SUM($B60:$B63)&lt;&gt;0,SUM(BG60:BG63)/SUM($B60:$B63)*$B59*10, "")</f>
        <v/>
      </c>
      <c r="BH59" s="52"/>
      <c r="BI59" s="52" t="str">
        <f>IF(SUM($B60:$B63)&lt;&gt;0,SUM(BI60:BI63)/SUM($B60:$B63)*$B59*10, "")</f>
        <v/>
      </c>
      <c r="BJ59" s="52"/>
    </row>
    <row r="60" spans="1:62" ht="28" x14ac:dyDescent="0.2">
      <c r="A60" s="2" t="s">
        <v>59</v>
      </c>
      <c r="B60" s="13">
        <f>MAX([1]Examen31!B5,[1]Examen32!B5,[1]Examen33!B5)</f>
        <v>0</v>
      </c>
      <c r="C60" s="33">
        <f>MAX([1]Examen31!C5,[1]Examen32!C5,[1]Examen33!C5)</f>
        <v>0</v>
      </c>
      <c r="D60" s="32">
        <f>IF($B60,C60/$B60,-1)</f>
        <v>-1</v>
      </c>
      <c r="E60" s="33">
        <f>MAX([1]Examen31!E5,[1]Examen32!E5,[1]Examen33!E5)</f>
        <v>0</v>
      </c>
      <c r="F60" s="32">
        <f>IF($B60,E60/$B60,-1)</f>
        <v>-1</v>
      </c>
      <c r="G60" s="33">
        <f>MAX([1]Examen31!G5,[1]Examen32!G5,[1]Examen33!G5)</f>
        <v>0</v>
      </c>
      <c r="H60" s="32">
        <f>IF($B60,G60/$B60,-1)</f>
        <v>-1</v>
      </c>
      <c r="I60" s="33">
        <f>MAX([1]Examen31!I5,[1]Examen32!I5,[1]Examen33!I5)</f>
        <v>0</v>
      </c>
      <c r="J60" s="32">
        <f>IF($B60,I60/$B60,-1)</f>
        <v>-1</v>
      </c>
      <c r="K60" s="33">
        <f>MAX([1]Examen31!K5,[1]Examen32!K5,[1]Examen33!K5)</f>
        <v>0</v>
      </c>
      <c r="L60" s="32">
        <f>IF($B60,K60/$B60,-1)</f>
        <v>-1</v>
      </c>
      <c r="M60" s="33">
        <f>MAX([1]Examen31!M5,[1]Examen32!M5,[1]Examen33!M5)</f>
        <v>0</v>
      </c>
      <c r="N60" s="32">
        <f>IF($B60,M60/$B60,-1)</f>
        <v>-1</v>
      </c>
      <c r="O60" s="33">
        <f>MAX([1]Examen31!O5,[1]Examen32!O5,[1]Examen33!O5)</f>
        <v>0</v>
      </c>
      <c r="P60" s="32">
        <f>IF($B60,O60/$B60,-1)</f>
        <v>-1</v>
      </c>
      <c r="Q60" s="33">
        <f>MAX([1]Examen31!Q5,[1]Examen32!Q5,[1]Examen33!Q5)</f>
        <v>0</v>
      </c>
      <c r="R60" s="32">
        <f>IF($B60,Q60/$B60,-1)</f>
        <v>-1</v>
      </c>
      <c r="S60" s="33">
        <f>MAX([1]Examen31!S5,[1]Examen32!S5,[1]Examen33!S5)</f>
        <v>0</v>
      </c>
      <c r="T60" s="32">
        <f>IF($B60,S60/$B60,-1)</f>
        <v>-1</v>
      </c>
      <c r="U60" s="33">
        <f>MAX([1]Examen31!U5,[1]Examen32!U5,[1]Examen33!U5)</f>
        <v>0</v>
      </c>
      <c r="V60" s="32">
        <f>IF($B60,U60/$B60,-1)</f>
        <v>-1</v>
      </c>
      <c r="W60" s="33">
        <f>MAX([1]Examen31!W5,[1]Examen32!W5,[1]Examen33!W5)</f>
        <v>0</v>
      </c>
      <c r="X60" s="32">
        <f>IF($B60,W60/$B60,-1)</f>
        <v>-1</v>
      </c>
      <c r="Y60" s="33">
        <f>MAX([1]Examen31!Y5,[1]Examen32!Y5,[1]Examen33!Y5)</f>
        <v>0</v>
      </c>
      <c r="Z60" s="32">
        <f>IF($B60,Y60/$B60,-1)</f>
        <v>-1</v>
      </c>
      <c r="AA60" s="33">
        <f>MAX([1]Examen31!AA5,[1]Examen32!AA5,[1]Examen33!AA5)</f>
        <v>0</v>
      </c>
      <c r="AB60" s="32">
        <f>IF($B60,AA60/$B60,-1)</f>
        <v>-1</v>
      </c>
      <c r="AC60" s="33">
        <f>MAX([1]Examen31!AC5,[1]Examen32!AC5,[1]Examen33!AC5)</f>
        <v>0</v>
      </c>
      <c r="AD60" s="32">
        <f>IF($B60,AC60/$B60,-1)</f>
        <v>-1</v>
      </c>
      <c r="AE60" s="33">
        <f>MAX([1]Examen31!AE5,[1]Examen32!AE5,[1]Examen33!AE5)</f>
        <v>0</v>
      </c>
      <c r="AF60" s="32">
        <f>IF($B60,AE60/$B60,-1)</f>
        <v>-1</v>
      </c>
      <c r="AG60" s="33">
        <f>MAX([1]Examen31!AG5,[1]Examen32!AG5,[1]Examen33!AG5)</f>
        <v>0</v>
      </c>
      <c r="AH60" s="32">
        <f>IF($B60,AG60/$B60,-1)</f>
        <v>-1</v>
      </c>
      <c r="AI60" s="33">
        <f>MAX([1]Examen31!AI5,[1]Examen32!AI5,[1]Examen33!AI5)</f>
        <v>0</v>
      </c>
      <c r="AJ60" s="32">
        <f>IF($B60,AI60/$B60,-1)</f>
        <v>-1</v>
      </c>
      <c r="AK60" s="33">
        <f>MAX([1]Examen31!AK5,[1]Examen32!AK5,[1]Examen33!AK5)</f>
        <v>0</v>
      </c>
      <c r="AL60" s="32">
        <f>IF($B60,AK60/$B60,-1)</f>
        <v>-1</v>
      </c>
      <c r="AM60" s="33">
        <f>MAX([1]Examen31!AM5,[1]Examen32!AM5,[1]Examen33!AM5)</f>
        <v>0</v>
      </c>
      <c r="AN60" s="32">
        <f>IF($B60,AM60/$B60,-1)</f>
        <v>-1</v>
      </c>
      <c r="AO60" s="33">
        <f>MAX([1]Examen31!AO5,[1]Examen32!AO5,[1]Examen33!AO5)</f>
        <v>0</v>
      </c>
      <c r="AP60" s="32">
        <f>IF($B60,AO60/$B60,-1)</f>
        <v>-1</v>
      </c>
      <c r="AQ60" s="33">
        <f>MAX([1]Examen31!AQ5,[1]Examen32!AQ5,[1]Examen33!AQ5)</f>
        <v>0</v>
      </c>
      <c r="AR60" s="32">
        <f>IF($B60,AQ60/$B60,-1)</f>
        <v>-1</v>
      </c>
      <c r="AS60" s="33">
        <f>MAX([1]Examen31!AS5,[1]Examen32!AS5,[1]Examen33!AS5)</f>
        <v>0</v>
      </c>
      <c r="AT60" s="32">
        <f>IF($B60,AS60/$B60,-1)</f>
        <v>-1</v>
      </c>
      <c r="AU60" s="33">
        <f>MAX([1]Examen31!AU5,[1]Examen32!AU5,[1]Examen33!AU5)</f>
        <v>0</v>
      </c>
      <c r="AV60" s="32">
        <f>IF($B60,AU60/$B60,-1)</f>
        <v>-1</v>
      </c>
      <c r="AW60" s="33">
        <f>MAX([1]Examen31!AW5,[1]Examen32!AW5,[1]Examen33!AW5)</f>
        <v>0</v>
      </c>
      <c r="AX60" s="32">
        <f>IF($B60,AW60/$B60,-1)</f>
        <v>-1</v>
      </c>
      <c r="AY60" s="33">
        <f>MAX([1]Examen31!AY5,[1]Examen32!AY5,[1]Examen33!AY5)</f>
        <v>0</v>
      </c>
      <c r="AZ60" s="32">
        <f>IF($B60,AY60/$B60,-1)</f>
        <v>-1</v>
      </c>
      <c r="BA60" s="33">
        <f>MAX([1]Examen31!BA5,[1]Examen32!BA5,[1]Examen33!BA5)</f>
        <v>0</v>
      </c>
      <c r="BB60" s="32">
        <f>IF($B60,BA60/$B60,-1)</f>
        <v>-1</v>
      </c>
      <c r="BC60" s="33">
        <f>MAX([1]Examen31!BC5,[1]Examen32!BC5,[1]Examen33!BC5)</f>
        <v>0</v>
      </c>
      <c r="BD60" s="32">
        <f>IF($B60,BC60/$B60,-1)</f>
        <v>-1</v>
      </c>
      <c r="BE60" s="33">
        <f>MAX([1]Examen31!BE5,[1]Examen32!BE5,[1]Examen33!BE5)</f>
        <v>0</v>
      </c>
      <c r="BF60" s="32">
        <f>IF($B60,BE60/$B60,-1)</f>
        <v>-1</v>
      </c>
      <c r="BG60" s="33">
        <f>MAX([1]Examen31!BG5,[1]Examen32!BG5,[1]Examen33!BG5)</f>
        <v>0</v>
      </c>
      <c r="BH60" s="32">
        <f>IF($B60,BG60/$B60,-1)</f>
        <v>-1</v>
      </c>
      <c r="BI60" s="33">
        <f>MAX([1]Examen31!BI5,[1]Examen32!BI5,[1]Examen33!BI5)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MAX([1]Examen31!B6,[1]Examen32!B6,[1]Examen33!B6)</f>
        <v>0</v>
      </c>
      <c r="C61" s="33">
        <f>MAX([1]Examen31!C6,[1]Examen32!C6,[1]Examen33!C6)</f>
        <v>0</v>
      </c>
      <c r="D61" s="32">
        <f>IF($B61,C61/$B61,-1)</f>
        <v>-1</v>
      </c>
      <c r="E61" s="33">
        <f>MAX([1]Examen31!E6,[1]Examen32!E6,[1]Examen33!E6)</f>
        <v>0</v>
      </c>
      <c r="F61" s="32">
        <f>IF($B61,E61/$B61,-1)</f>
        <v>-1</v>
      </c>
      <c r="G61" s="33">
        <f>MAX([1]Examen31!G6,[1]Examen32!G6,[1]Examen33!G6)</f>
        <v>0</v>
      </c>
      <c r="H61" s="32">
        <f>IF($B61,G61/$B61,-1)</f>
        <v>-1</v>
      </c>
      <c r="I61" s="33">
        <f>MAX([1]Examen31!I6,[1]Examen32!I6,[1]Examen33!I6)</f>
        <v>0</v>
      </c>
      <c r="J61" s="32">
        <f>IF($B61,I61/$B61,-1)</f>
        <v>-1</v>
      </c>
      <c r="K61" s="33">
        <f>MAX([1]Examen31!K6,[1]Examen32!K6,[1]Examen33!K6)</f>
        <v>0</v>
      </c>
      <c r="L61" s="32">
        <f>IF($B61,K61/$B61,-1)</f>
        <v>-1</v>
      </c>
      <c r="M61" s="33">
        <f>MAX([1]Examen31!M6,[1]Examen32!M6,[1]Examen33!M6)</f>
        <v>0</v>
      </c>
      <c r="N61" s="32">
        <f>IF($B61,M61/$B61,-1)</f>
        <v>-1</v>
      </c>
      <c r="O61" s="33">
        <f>MAX([1]Examen31!O6,[1]Examen32!O6,[1]Examen33!O6)</f>
        <v>0</v>
      </c>
      <c r="P61" s="32">
        <f>IF($B61,O61/$B61,-1)</f>
        <v>-1</v>
      </c>
      <c r="Q61" s="33">
        <f>MAX([1]Examen31!Q6,[1]Examen32!Q6,[1]Examen33!Q6)</f>
        <v>0</v>
      </c>
      <c r="R61" s="32">
        <f>IF($B61,Q61/$B61,-1)</f>
        <v>-1</v>
      </c>
      <c r="S61" s="33">
        <f>MAX([1]Examen31!S6,[1]Examen32!S6,[1]Examen33!S6)</f>
        <v>0</v>
      </c>
      <c r="T61" s="32">
        <f>IF($B61,S61/$B61,-1)</f>
        <v>-1</v>
      </c>
      <c r="U61" s="33">
        <f>MAX([1]Examen31!U6,[1]Examen32!U6,[1]Examen33!U6)</f>
        <v>0</v>
      </c>
      <c r="V61" s="32">
        <f>IF($B61,U61/$B61,-1)</f>
        <v>-1</v>
      </c>
      <c r="W61" s="33">
        <f>MAX([1]Examen31!W6,[1]Examen32!W6,[1]Examen33!W6)</f>
        <v>0</v>
      </c>
      <c r="X61" s="32">
        <f>IF($B61,W61/$B61,-1)</f>
        <v>-1</v>
      </c>
      <c r="Y61" s="33">
        <f>MAX([1]Examen31!Y6,[1]Examen32!Y6,[1]Examen33!Y6)</f>
        <v>0</v>
      </c>
      <c r="Z61" s="32">
        <f>IF($B61,Y61/$B61,-1)</f>
        <v>-1</v>
      </c>
      <c r="AA61" s="33">
        <f>MAX([1]Examen31!AA6,[1]Examen32!AA6,[1]Examen33!AA6)</f>
        <v>0</v>
      </c>
      <c r="AB61" s="32">
        <f>IF($B61,AA61/$B61,-1)</f>
        <v>-1</v>
      </c>
      <c r="AC61" s="33">
        <f>MAX([1]Examen31!AC6,[1]Examen32!AC6,[1]Examen33!AC6)</f>
        <v>0</v>
      </c>
      <c r="AD61" s="32">
        <f>IF($B61,AC61/$B61,-1)</f>
        <v>-1</v>
      </c>
      <c r="AE61" s="33">
        <f>MAX([1]Examen31!AE6,[1]Examen32!AE6,[1]Examen33!AE6)</f>
        <v>0</v>
      </c>
      <c r="AF61" s="32">
        <f>IF($B61,AE61/$B61,-1)</f>
        <v>-1</v>
      </c>
      <c r="AG61" s="33">
        <f>MAX([1]Examen31!AG6,[1]Examen32!AG6,[1]Examen33!AG6)</f>
        <v>0</v>
      </c>
      <c r="AH61" s="32">
        <f>IF($B61,AG61/$B61,-1)</f>
        <v>-1</v>
      </c>
      <c r="AI61" s="33">
        <f>MAX([1]Examen31!AI6,[1]Examen32!AI6,[1]Examen33!AI6)</f>
        <v>0</v>
      </c>
      <c r="AJ61" s="32">
        <f>IF($B61,AI61/$B61,-1)</f>
        <v>-1</v>
      </c>
      <c r="AK61" s="33">
        <f>MAX([1]Examen31!AK6,[1]Examen32!AK6,[1]Examen33!AK6)</f>
        <v>0</v>
      </c>
      <c r="AL61" s="32">
        <f>IF($B61,AK61/$B61,-1)</f>
        <v>-1</v>
      </c>
      <c r="AM61" s="33">
        <f>MAX([1]Examen31!AM6,[1]Examen32!AM6,[1]Examen33!AM6)</f>
        <v>0</v>
      </c>
      <c r="AN61" s="32">
        <f>IF($B61,AM61/$B61,-1)</f>
        <v>-1</v>
      </c>
      <c r="AO61" s="33">
        <f>MAX([1]Examen31!AO6,[1]Examen32!AO6,[1]Examen33!AO6)</f>
        <v>0</v>
      </c>
      <c r="AP61" s="32">
        <f>IF($B61,AO61/$B61,-1)</f>
        <v>-1</v>
      </c>
      <c r="AQ61" s="33">
        <f>MAX([1]Examen31!AQ6,[1]Examen32!AQ6,[1]Examen33!AQ6)</f>
        <v>0</v>
      </c>
      <c r="AR61" s="32">
        <f>IF($B61,AQ61/$B61,-1)</f>
        <v>-1</v>
      </c>
      <c r="AS61" s="33">
        <f>MAX([1]Examen31!AS6,[1]Examen32!AS6,[1]Examen33!AS6)</f>
        <v>0</v>
      </c>
      <c r="AT61" s="32">
        <f>IF($B61,AS61/$B61,-1)</f>
        <v>-1</v>
      </c>
      <c r="AU61" s="33">
        <f>MAX([1]Examen31!AU6,[1]Examen32!AU6,[1]Examen33!AU6)</f>
        <v>0</v>
      </c>
      <c r="AV61" s="32">
        <f>IF($B61,AU61/$B61,-1)</f>
        <v>-1</v>
      </c>
      <c r="AW61" s="33">
        <f>MAX([1]Examen31!AW6,[1]Examen32!AW6,[1]Examen33!AW6)</f>
        <v>0</v>
      </c>
      <c r="AX61" s="32">
        <f>IF($B61,AW61/$B61,-1)</f>
        <v>-1</v>
      </c>
      <c r="AY61" s="33">
        <f>MAX([1]Examen31!AY6,[1]Examen32!AY6,[1]Examen33!AY6)</f>
        <v>0</v>
      </c>
      <c r="AZ61" s="32">
        <f>IF($B61,AY61/$B61,-1)</f>
        <v>-1</v>
      </c>
      <c r="BA61" s="33">
        <f>MAX([1]Examen31!BA6,[1]Examen32!BA6,[1]Examen33!BA6)</f>
        <v>0</v>
      </c>
      <c r="BB61" s="32">
        <f>IF($B61,BA61/$B61,-1)</f>
        <v>-1</v>
      </c>
      <c r="BC61" s="33">
        <f>MAX([1]Examen31!BC6,[1]Examen32!BC6,[1]Examen33!BC6)</f>
        <v>0</v>
      </c>
      <c r="BD61" s="32">
        <f>IF($B61,BC61/$B61,-1)</f>
        <v>-1</v>
      </c>
      <c r="BE61" s="33">
        <f>MAX([1]Examen31!BE6,[1]Examen32!BE6,[1]Examen33!BE6)</f>
        <v>0</v>
      </c>
      <c r="BF61" s="32">
        <f>IF($B61,BE61/$B61,-1)</f>
        <v>-1</v>
      </c>
      <c r="BG61" s="33">
        <f>MAX([1]Examen31!BG6,[1]Examen32!BG6,[1]Examen33!BG6)</f>
        <v>0</v>
      </c>
      <c r="BH61" s="32">
        <f>IF($B61,BG61/$B61,-1)</f>
        <v>-1</v>
      </c>
      <c r="BI61" s="33">
        <f>MAX([1]Examen31!BI6,[1]Examen32!BI6,[1]Examen33!BI6)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MAX([1]Examen31!B7,[1]Examen32!B7,[1]Examen33!B7)</f>
        <v>0</v>
      </c>
      <c r="C62" s="33">
        <f>MAX([1]Examen31!C7,[1]Examen32!C7,[1]Examen33!C7)</f>
        <v>0</v>
      </c>
      <c r="D62" s="32">
        <f>IF($B62,C62/$B62,-1)</f>
        <v>-1</v>
      </c>
      <c r="E62" s="33">
        <f>MAX([1]Examen31!E7,[1]Examen32!E7,[1]Examen33!E7)</f>
        <v>0</v>
      </c>
      <c r="F62" s="32">
        <f>IF($B62,E62/$B62,-1)</f>
        <v>-1</v>
      </c>
      <c r="G62" s="33">
        <f>MAX([1]Examen31!G7,[1]Examen32!G7,[1]Examen33!G7)</f>
        <v>0</v>
      </c>
      <c r="H62" s="32">
        <f>IF($B62,G62/$B62,-1)</f>
        <v>-1</v>
      </c>
      <c r="I62" s="33">
        <f>MAX([1]Examen31!I7,[1]Examen32!I7,[1]Examen33!I7)</f>
        <v>0</v>
      </c>
      <c r="J62" s="32">
        <f>IF($B62,I62/$B62,-1)</f>
        <v>-1</v>
      </c>
      <c r="K62" s="33">
        <f>MAX([1]Examen31!K7,[1]Examen32!K7,[1]Examen33!K7)</f>
        <v>0</v>
      </c>
      <c r="L62" s="32">
        <f>IF($B62,K62/$B62,-1)</f>
        <v>-1</v>
      </c>
      <c r="M62" s="33">
        <f>MAX([1]Examen31!M7,[1]Examen32!M7,[1]Examen33!M7)</f>
        <v>0</v>
      </c>
      <c r="N62" s="32">
        <f>IF($B62,M62/$B62,-1)</f>
        <v>-1</v>
      </c>
      <c r="O62" s="33">
        <f>MAX([1]Examen31!O7,[1]Examen32!O7,[1]Examen33!O7)</f>
        <v>0</v>
      </c>
      <c r="P62" s="32">
        <f>IF($B62,O62/$B62,-1)</f>
        <v>-1</v>
      </c>
      <c r="Q62" s="33">
        <f>MAX([1]Examen31!Q7,[1]Examen32!Q7,[1]Examen33!Q7)</f>
        <v>0</v>
      </c>
      <c r="R62" s="32">
        <f>IF($B62,Q62/$B62,-1)</f>
        <v>-1</v>
      </c>
      <c r="S62" s="33">
        <f>MAX([1]Examen31!S7,[1]Examen32!S7,[1]Examen33!S7)</f>
        <v>0</v>
      </c>
      <c r="T62" s="32">
        <f>IF($B62,S62/$B62,-1)</f>
        <v>-1</v>
      </c>
      <c r="U62" s="33">
        <f>MAX([1]Examen31!U7,[1]Examen32!U7,[1]Examen33!U7)</f>
        <v>0</v>
      </c>
      <c r="V62" s="32">
        <f>IF($B62,U62/$B62,-1)</f>
        <v>-1</v>
      </c>
      <c r="W62" s="33">
        <f>MAX([1]Examen31!W7,[1]Examen32!W7,[1]Examen33!W7)</f>
        <v>0</v>
      </c>
      <c r="X62" s="32">
        <f>IF($B62,W62/$B62,-1)</f>
        <v>-1</v>
      </c>
      <c r="Y62" s="33">
        <f>MAX([1]Examen31!Y7,[1]Examen32!Y7,[1]Examen33!Y7)</f>
        <v>0</v>
      </c>
      <c r="Z62" s="32">
        <f>IF($B62,Y62/$B62,-1)</f>
        <v>-1</v>
      </c>
      <c r="AA62" s="33">
        <f>MAX([1]Examen31!AA7,[1]Examen32!AA7,[1]Examen33!AA7)</f>
        <v>0</v>
      </c>
      <c r="AB62" s="32">
        <f>IF($B62,AA62/$B62,-1)</f>
        <v>-1</v>
      </c>
      <c r="AC62" s="33">
        <f>MAX([1]Examen31!AC7,[1]Examen32!AC7,[1]Examen33!AC7)</f>
        <v>0</v>
      </c>
      <c r="AD62" s="32">
        <f>IF($B62,AC62/$B62,-1)</f>
        <v>-1</v>
      </c>
      <c r="AE62" s="33">
        <f>MAX([1]Examen31!AE7,[1]Examen32!AE7,[1]Examen33!AE7)</f>
        <v>0</v>
      </c>
      <c r="AF62" s="32">
        <f>IF($B62,AE62/$B62,-1)</f>
        <v>-1</v>
      </c>
      <c r="AG62" s="33">
        <f>MAX([1]Examen31!AG7,[1]Examen32!AG7,[1]Examen33!AG7)</f>
        <v>0</v>
      </c>
      <c r="AH62" s="32">
        <f>IF($B62,AG62/$B62,-1)</f>
        <v>-1</v>
      </c>
      <c r="AI62" s="33">
        <f>MAX([1]Examen31!AI7,[1]Examen32!AI7,[1]Examen33!AI7)</f>
        <v>0</v>
      </c>
      <c r="AJ62" s="32">
        <f>IF($B62,AI62/$B62,-1)</f>
        <v>-1</v>
      </c>
      <c r="AK62" s="33">
        <f>MAX([1]Examen31!AK7,[1]Examen32!AK7,[1]Examen33!AK7)</f>
        <v>0</v>
      </c>
      <c r="AL62" s="32">
        <f>IF($B62,AK62/$B62,-1)</f>
        <v>-1</v>
      </c>
      <c r="AM62" s="33">
        <f>MAX([1]Examen31!AM7,[1]Examen32!AM7,[1]Examen33!AM7)</f>
        <v>0</v>
      </c>
      <c r="AN62" s="32">
        <f>IF($B62,AM62/$B62,-1)</f>
        <v>-1</v>
      </c>
      <c r="AO62" s="33">
        <f>MAX([1]Examen31!AO7,[1]Examen32!AO7,[1]Examen33!AO7)</f>
        <v>0</v>
      </c>
      <c r="AP62" s="32">
        <f>IF($B62,AO62/$B62,-1)</f>
        <v>-1</v>
      </c>
      <c r="AQ62" s="33">
        <f>MAX([1]Examen31!AQ7,[1]Examen32!AQ7,[1]Examen33!AQ7)</f>
        <v>0</v>
      </c>
      <c r="AR62" s="32">
        <f>IF($B62,AQ62/$B62,-1)</f>
        <v>-1</v>
      </c>
      <c r="AS62" s="33">
        <f>MAX([1]Examen31!AS7,[1]Examen32!AS7,[1]Examen33!AS7)</f>
        <v>0</v>
      </c>
      <c r="AT62" s="32">
        <f>IF($B62,AS62/$B62,-1)</f>
        <v>-1</v>
      </c>
      <c r="AU62" s="33">
        <f>MAX([1]Examen31!AU7,[1]Examen32!AU7,[1]Examen33!AU7)</f>
        <v>0</v>
      </c>
      <c r="AV62" s="32">
        <f>IF($B62,AU62/$B62,-1)</f>
        <v>-1</v>
      </c>
      <c r="AW62" s="33">
        <f>MAX([1]Examen31!AW7,[1]Examen32!AW7,[1]Examen33!AW7)</f>
        <v>0</v>
      </c>
      <c r="AX62" s="32">
        <f>IF($B62,AW62/$B62,-1)</f>
        <v>-1</v>
      </c>
      <c r="AY62" s="33">
        <f>MAX([1]Examen31!AY7,[1]Examen32!AY7,[1]Examen33!AY7)</f>
        <v>0</v>
      </c>
      <c r="AZ62" s="32">
        <f>IF($B62,AY62/$B62,-1)</f>
        <v>-1</v>
      </c>
      <c r="BA62" s="33">
        <f>MAX([1]Examen31!BA7,[1]Examen32!BA7,[1]Examen33!BA7)</f>
        <v>0</v>
      </c>
      <c r="BB62" s="32">
        <f>IF($B62,BA62/$B62,-1)</f>
        <v>-1</v>
      </c>
      <c r="BC62" s="33">
        <f>MAX([1]Examen31!BC7,[1]Examen32!BC7,[1]Examen33!BC7)</f>
        <v>0</v>
      </c>
      <c r="BD62" s="32">
        <f>IF($B62,BC62/$B62,-1)</f>
        <v>-1</v>
      </c>
      <c r="BE62" s="33">
        <f>MAX([1]Examen31!BE7,[1]Examen32!BE7,[1]Examen33!BE7)</f>
        <v>0</v>
      </c>
      <c r="BF62" s="32">
        <f>IF($B62,BE62/$B62,-1)</f>
        <v>-1</v>
      </c>
      <c r="BG62" s="33">
        <f>MAX([1]Examen31!BG7,[1]Examen32!BG7,[1]Examen33!BG7)</f>
        <v>0</v>
      </c>
      <c r="BH62" s="32">
        <f>IF($B62,BG62/$B62,-1)</f>
        <v>-1</v>
      </c>
      <c r="BI62" s="33">
        <f>MAX([1]Examen31!BI7,[1]Examen32!BI7,[1]Examen33!BI7)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MAX([1]Examen31!B8,[1]Examen32!B8,[1]Examen33!B8)</f>
        <v>0</v>
      </c>
      <c r="C63" s="33">
        <f>MAX([1]Examen31!C8,[1]Examen32!C8,[1]Examen33!C8)</f>
        <v>0</v>
      </c>
      <c r="D63" s="32">
        <f>IF($B63,C63/$B63,-1)</f>
        <v>-1</v>
      </c>
      <c r="E63" s="33">
        <f>MAX([1]Examen31!E8,[1]Examen32!E8,[1]Examen33!E8)</f>
        <v>0</v>
      </c>
      <c r="F63" s="32">
        <f>IF($B63,E63/$B63,-1)</f>
        <v>-1</v>
      </c>
      <c r="G63" s="33">
        <f>MAX([1]Examen31!G8,[1]Examen32!G8,[1]Examen33!G8)</f>
        <v>0</v>
      </c>
      <c r="H63" s="32">
        <f>IF($B63,G63/$B63,-1)</f>
        <v>-1</v>
      </c>
      <c r="I63" s="33">
        <f>MAX([1]Examen31!I8,[1]Examen32!I8,[1]Examen33!I8)</f>
        <v>0</v>
      </c>
      <c r="J63" s="32">
        <f>IF($B63,I63/$B63,-1)</f>
        <v>-1</v>
      </c>
      <c r="K63" s="33">
        <f>MAX([1]Examen31!K8,[1]Examen32!K8,[1]Examen33!K8)</f>
        <v>0</v>
      </c>
      <c r="L63" s="32">
        <f>IF($B63,K63/$B63,-1)</f>
        <v>-1</v>
      </c>
      <c r="M63" s="33">
        <f>MAX([1]Examen31!M8,[1]Examen32!M8,[1]Examen33!M8)</f>
        <v>0</v>
      </c>
      <c r="N63" s="32">
        <f>IF($B63,M63/$B63,-1)</f>
        <v>-1</v>
      </c>
      <c r="O63" s="33">
        <f>MAX([1]Examen31!O8,[1]Examen32!O8,[1]Examen33!O8)</f>
        <v>0</v>
      </c>
      <c r="P63" s="32">
        <f>IF($B63,O63/$B63,-1)</f>
        <v>-1</v>
      </c>
      <c r="Q63" s="33">
        <f>MAX([1]Examen31!Q8,[1]Examen32!Q8,[1]Examen33!Q8)</f>
        <v>0</v>
      </c>
      <c r="R63" s="32">
        <f>IF($B63,Q63/$B63,-1)</f>
        <v>-1</v>
      </c>
      <c r="S63" s="33">
        <f>MAX([1]Examen31!S8,[1]Examen32!S8,[1]Examen33!S8)</f>
        <v>0</v>
      </c>
      <c r="T63" s="32">
        <f>IF($B63,S63/$B63,-1)</f>
        <v>-1</v>
      </c>
      <c r="U63" s="33">
        <f>MAX([1]Examen31!U8,[1]Examen32!U8,[1]Examen33!U8)</f>
        <v>0</v>
      </c>
      <c r="V63" s="32">
        <f>IF($B63,U63/$B63,-1)</f>
        <v>-1</v>
      </c>
      <c r="W63" s="33">
        <f>MAX([1]Examen31!W8,[1]Examen32!W8,[1]Examen33!W8)</f>
        <v>0</v>
      </c>
      <c r="X63" s="32">
        <f>IF($B63,W63/$B63,-1)</f>
        <v>-1</v>
      </c>
      <c r="Y63" s="33">
        <f>MAX([1]Examen31!Y8,[1]Examen32!Y8,[1]Examen33!Y8)</f>
        <v>0</v>
      </c>
      <c r="Z63" s="32">
        <f>IF($B63,Y63/$B63,-1)</f>
        <v>-1</v>
      </c>
      <c r="AA63" s="33">
        <f>MAX([1]Examen31!AA8,[1]Examen32!AA8,[1]Examen33!AA8)</f>
        <v>0</v>
      </c>
      <c r="AB63" s="32">
        <f>IF($B63,AA63/$B63,-1)</f>
        <v>-1</v>
      </c>
      <c r="AC63" s="33">
        <f>MAX([1]Examen31!AC8,[1]Examen32!AC8,[1]Examen33!AC8)</f>
        <v>0</v>
      </c>
      <c r="AD63" s="32">
        <f>IF($B63,AC63/$B63,-1)</f>
        <v>-1</v>
      </c>
      <c r="AE63" s="33">
        <f>MAX([1]Examen31!AE8,[1]Examen32!AE8,[1]Examen33!AE8)</f>
        <v>0</v>
      </c>
      <c r="AF63" s="32">
        <f>IF($B63,AE63/$B63,-1)</f>
        <v>-1</v>
      </c>
      <c r="AG63" s="33">
        <f>MAX([1]Examen31!AG8,[1]Examen32!AG8,[1]Examen33!AG8)</f>
        <v>0</v>
      </c>
      <c r="AH63" s="32">
        <f>IF($B63,AG63/$B63,-1)</f>
        <v>-1</v>
      </c>
      <c r="AI63" s="33">
        <f>MAX([1]Examen31!AI8,[1]Examen32!AI8,[1]Examen33!AI8)</f>
        <v>0</v>
      </c>
      <c r="AJ63" s="32">
        <f>IF($B63,AI63/$B63,-1)</f>
        <v>-1</v>
      </c>
      <c r="AK63" s="33">
        <f>MAX([1]Examen31!AK8,[1]Examen32!AK8,[1]Examen33!AK8)</f>
        <v>0</v>
      </c>
      <c r="AL63" s="32">
        <f>IF($B63,AK63/$B63,-1)</f>
        <v>-1</v>
      </c>
      <c r="AM63" s="33">
        <f>MAX([1]Examen31!AM8,[1]Examen32!AM8,[1]Examen33!AM8)</f>
        <v>0</v>
      </c>
      <c r="AN63" s="32">
        <f>IF($B63,AM63/$B63,-1)</f>
        <v>-1</v>
      </c>
      <c r="AO63" s="33">
        <f>MAX([1]Examen31!AO8,[1]Examen32!AO8,[1]Examen33!AO8)</f>
        <v>0</v>
      </c>
      <c r="AP63" s="32">
        <f>IF($B63,AO63/$B63,-1)</f>
        <v>-1</v>
      </c>
      <c r="AQ63" s="33">
        <f>MAX([1]Examen31!AQ8,[1]Examen32!AQ8,[1]Examen33!AQ8)</f>
        <v>0</v>
      </c>
      <c r="AR63" s="32">
        <f>IF($B63,AQ63/$B63,-1)</f>
        <v>-1</v>
      </c>
      <c r="AS63" s="33">
        <f>MAX([1]Examen31!AS8,[1]Examen32!AS8,[1]Examen33!AS8)</f>
        <v>0</v>
      </c>
      <c r="AT63" s="32">
        <f>IF($B63,AS63/$B63,-1)</f>
        <v>-1</v>
      </c>
      <c r="AU63" s="33">
        <f>MAX([1]Examen31!AU8,[1]Examen32!AU8,[1]Examen33!AU8)</f>
        <v>0</v>
      </c>
      <c r="AV63" s="32">
        <f>IF($B63,AU63/$B63,-1)</f>
        <v>-1</v>
      </c>
      <c r="AW63" s="33">
        <f>MAX([1]Examen31!AW8,[1]Examen32!AW8,[1]Examen33!AW8)</f>
        <v>0</v>
      </c>
      <c r="AX63" s="32">
        <f>IF($B63,AW63/$B63,-1)</f>
        <v>-1</v>
      </c>
      <c r="AY63" s="33">
        <f>MAX([1]Examen31!AY8,[1]Examen32!AY8,[1]Examen33!AY8)</f>
        <v>0</v>
      </c>
      <c r="AZ63" s="32">
        <f>IF($B63,AY63/$B63,-1)</f>
        <v>-1</v>
      </c>
      <c r="BA63" s="33">
        <f>MAX([1]Examen31!BA8,[1]Examen32!BA8,[1]Examen33!BA8)</f>
        <v>0</v>
      </c>
      <c r="BB63" s="32">
        <f>IF($B63,BA63/$B63,-1)</f>
        <v>-1</v>
      </c>
      <c r="BC63" s="33">
        <f>MAX([1]Examen31!BC8,[1]Examen32!BC8,[1]Examen33!BC8)</f>
        <v>0</v>
      </c>
      <c r="BD63" s="32">
        <f>IF($B63,BC63/$B63,-1)</f>
        <v>-1</v>
      </c>
      <c r="BE63" s="33">
        <f>MAX([1]Examen31!BE8,[1]Examen32!BE8,[1]Examen33!BE8)</f>
        <v>0</v>
      </c>
      <c r="BF63" s="32">
        <f>IF($B63,BE63/$B63,-1)</f>
        <v>-1</v>
      </c>
      <c r="BG63" s="33">
        <f>MAX([1]Examen31!BG8,[1]Examen32!BG8,[1]Examen33!BG8)</f>
        <v>0</v>
      </c>
      <c r="BH63" s="32">
        <f>IF($B63,BG63/$B63,-1)</f>
        <v>-1</v>
      </c>
      <c r="BI63" s="33">
        <f>MAX([1]Examen31!BI8,[1]Examen32!BI8,[1]Examen33!BI8)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52" t="str">
        <f>IF(SUM($B65:$B85)&lt;&gt;0,SUM(C65:C85)/SUM($B65:$B85)*$B64*10, "")</f>
        <v/>
      </c>
      <c r="D64" s="52"/>
      <c r="E64" s="52" t="str">
        <f>IF(SUM($B65:$B85)&lt;&gt;0,SUM(E65:E85)/SUM($B65:$B85)*$B64*10, "")</f>
        <v/>
      </c>
      <c r="F64" s="52"/>
      <c r="G64" s="52" t="str">
        <f>IF(SUM($B65:$B85)&lt;&gt;0,SUM(G65:G85)/SUM($B65:$B85)*$B64*10, "")</f>
        <v/>
      </c>
      <c r="H64" s="52"/>
      <c r="I64" s="52" t="str">
        <f>IF(SUM($B65:$B85)&lt;&gt;0,SUM(I65:I85)/SUM($B65:$B85)*$B64*10, "")</f>
        <v/>
      </c>
      <c r="J64" s="52"/>
      <c r="K64" s="52" t="str">
        <f>IF(SUM($B65:$B85)&lt;&gt;0,SUM(K65:K85)/SUM($B65:$B85)*$B64*10, "")</f>
        <v/>
      </c>
      <c r="L64" s="52"/>
      <c r="M64" s="52" t="str">
        <f>IF(SUM($B65:$B85)&lt;&gt;0,SUM(M65:M85)/SUM($B65:$B85)*$B64*10, "")</f>
        <v/>
      </c>
      <c r="N64" s="52"/>
      <c r="O64" s="52" t="str">
        <f>IF(SUM($B65:$B85)&lt;&gt;0,SUM(O65:O85)/SUM($B65:$B85)*$B64*10, "")</f>
        <v/>
      </c>
      <c r="P64" s="52"/>
      <c r="Q64" s="52" t="str">
        <f>IF(SUM($B65:$B85)&lt;&gt;0,SUM(Q65:Q85)/SUM($B65:$B85)*$B64*10, "")</f>
        <v/>
      </c>
      <c r="R64" s="52"/>
      <c r="S64" s="52" t="str">
        <f>IF(SUM($B65:$B85)&lt;&gt;0,SUM(S65:S85)/SUM($B65:$B85)*$B64*10, "")</f>
        <v/>
      </c>
      <c r="T64" s="52"/>
      <c r="U64" s="52" t="str">
        <f>IF(SUM($B65:$B85)&lt;&gt;0,SUM(U65:U85)/SUM($B65:$B85)*$B64*10, "")</f>
        <v/>
      </c>
      <c r="V64" s="52"/>
      <c r="W64" s="52" t="str">
        <f>IF(SUM($B65:$B85)&lt;&gt;0,SUM(W65:W85)/SUM($B65:$B85)*$B64*10, "")</f>
        <v/>
      </c>
      <c r="X64" s="52"/>
      <c r="Y64" s="52" t="str">
        <f>IF(SUM($B65:$B85)&lt;&gt;0,SUM(Y65:Y85)/SUM($B65:$B85)*$B64*10, "")</f>
        <v/>
      </c>
      <c r="Z64" s="52"/>
      <c r="AA64" s="52" t="str">
        <f>IF(SUM($B65:$B85)&lt;&gt;0,SUM(AA65:AA85)/SUM($B65:$B85)*$B64*10, "")</f>
        <v/>
      </c>
      <c r="AB64" s="52"/>
      <c r="AC64" s="52" t="str">
        <f>IF(SUM($B65:$B85)&lt;&gt;0,SUM(AC65:AC85)/SUM($B65:$B85)*$B64*10, "")</f>
        <v/>
      </c>
      <c r="AD64" s="52"/>
      <c r="AE64" s="52" t="str">
        <f>IF(SUM($B65:$B85)&lt;&gt;0,SUM(AE65:AE85)/SUM($B65:$B85)*$B64*10, "")</f>
        <v/>
      </c>
      <c r="AF64" s="52"/>
      <c r="AG64" s="52" t="str">
        <f>IF(SUM($B65:$B85)&lt;&gt;0,SUM(AG65:AG85)/SUM($B65:$B85)*$B64*10, "")</f>
        <v/>
      </c>
      <c r="AH64" s="52"/>
      <c r="AI64" s="52" t="str">
        <f>IF(SUM($B65:$B85)&lt;&gt;0,SUM(AI65:AI85)/SUM($B65:$B85)*$B64*10, "")</f>
        <v/>
      </c>
      <c r="AJ64" s="52"/>
      <c r="AK64" s="52" t="str">
        <f>IF(SUM($B65:$B85)&lt;&gt;0,SUM(AK65:AK85)/SUM($B65:$B85)*$B64*10, "")</f>
        <v/>
      </c>
      <c r="AL64" s="52"/>
      <c r="AM64" s="52" t="str">
        <f>IF(SUM($B65:$B85)&lt;&gt;0,SUM(AM65:AM85)/SUM($B65:$B85)*$B64*10, "")</f>
        <v/>
      </c>
      <c r="AN64" s="52"/>
      <c r="AO64" s="52" t="str">
        <f>IF(SUM($B65:$B85)&lt;&gt;0,SUM(AO65:AO85)/SUM($B65:$B85)*$B64*10, "")</f>
        <v/>
      </c>
      <c r="AP64" s="52"/>
      <c r="AQ64" s="52" t="str">
        <f>IF(SUM($B65:$B85)&lt;&gt;0,SUM(AQ65:AQ85)/SUM($B65:$B85)*$B64*10, "")</f>
        <v/>
      </c>
      <c r="AR64" s="52"/>
      <c r="AS64" s="52" t="str">
        <f>IF(SUM($B65:$B85)&lt;&gt;0,SUM(AS65:AS85)/SUM($B65:$B85)*$B64*10, "")</f>
        <v/>
      </c>
      <c r="AT64" s="52"/>
      <c r="AU64" s="52" t="str">
        <f>IF(SUM($B65:$B85)&lt;&gt;0,SUM(AU65:AU85)/SUM($B65:$B85)*$B64*10, "")</f>
        <v/>
      </c>
      <c r="AV64" s="52"/>
      <c r="AW64" s="52" t="str">
        <f>IF(SUM($B65:$B85)&lt;&gt;0,SUM(AW65:AW85)/SUM($B65:$B85)*$B64*10, "")</f>
        <v/>
      </c>
      <c r="AX64" s="52"/>
      <c r="AY64" s="52" t="str">
        <f>IF(SUM($B65:$B85)&lt;&gt;0,SUM(AY65:AY85)/SUM($B65:$B85)*$B64*10, "")</f>
        <v/>
      </c>
      <c r="AZ64" s="52"/>
      <c r="BA64" s="52" t="str">
        <f>IF(SUM($B65:$B85)&lt;&gt;0,SUM(BA65:BA85)/SUM($B65:$B85)*$B64*10, "")</f>
        <v/>
      </c>
      <c r="BB64" s="52"/>
      <c r="BC64" s="52" t="str">
        <f>IF(SUM($B65:$B85)&lt;&gt;0,SUM(BC65:BC85)/SUM($B65:$B85)*$B64*10, "")</f>
        <v/>
      </c>
      <c r="BD64" s="52"/>
      <c r="BE64" s="52" t="str">
        <f>IF(SUM($B65:$B85)&lt;&gt;0,SUM(BE65:BE85)/SUM($B65:$B85)*$B64*10, "")</f>
        <v/>
      </c>
      <c r="BF64" s="52"/>
      <c r="BG64" s="52" t="str">
        <f>IF(SUM($B65:$B85)&lt;&gt;0,SUM(BG65:BG85)/SUM($B65:$B85)*$B64*10, "")</f>
        <v/>
      </c>
      <c r="BH64" s="52"/>
      <c r="BI64" s="52" t="str">
        <f>IF(SUM($B65:$B85)&lt;&gt;0,SUM(BI65:BI85)/SUM($B65:$B85)*$B64*10, "")</f>
        <v/>
      </c>
      <c r="BJ64" s="52"/>
    </row>
    <row r="65" spans="1:62" ht="56" x14ac:dyDescent="0.2">
      <c r="A65" s="2" t="s">
        <v>63</v>
      </c>
      <c r="B65" s="13">
        <f>MAX([1]Examen31!B10,[1]Examen32!B10,[1]Examen33!B10)</f>
        <v>0</v>
      </c>
      <c r="C65" s="33">
        <f>MAX([1]Examen31!C10,[1]Examen32!C10,[1]Examen33!C10)</f>
        <v>0</v>
      </c>
      <c r="D65" s="32">
        <f t="shared" ref="D65:D85" si="119">IF($B65,C65/$B65,-1)</f>
        <v>-1</v>
      </c>
      <c r="E65" s="33">
        <f>MAX([1]Examen31!E10,[1]Examen32!E10,[1]Examen33!E10)</f>
        <v>0</v>
      </c>
      <c r="F65" s="32">
        <f t="shared" ref="F65:F85" si="120">IF($B65,E65/$B65,-1)</f>
        <v>-1</v>
      </c>
      <c r="G65" s="33">
        <f>MAX([1]Examen31!G10,[1]Examen32!G10,[1]Examen33!G10)</f>
        <v>0</v>
      </c>
      <c r="H65" s="32">
        <f t="shared" ref="H65:H85" si="121">IF($B65,G65/$B65,-1)</f>
        <v>-1</v>
      </c>
      <c r="I65" s="33">
        <f>MAX([1]Examen31!I10,[1]Examen32!I10,[1]Examen33!I10)</f>
        <v>0</v>
      </c>
      <c r="J65" s="32">
        <f t="shared" ref="J65:J85" si="122">IF($B65,I65/$B65,-1)</f>
        <v>-1</v>
      </c>
      <c r="K65" s="33">
        <f>MAX([1]Examen31!K10,[1]Examen32!K10,[1]Examen33!K10)</f>
        <v>0</v>
      </c>
      <c r="L65" s="32">
        <f t="shared" ref="L65:L85" si="123">IF($B65,K65/$B65,-1)</f>
        <v>-1</v>
      </c>
      <c r="M65" s="33">
        <f>MAX([1]Examen31!M10,[1]Examen32!M10,[1]Examen33!M10)</f>
        <v>0</v>
      </c>
      <c r="N65" s="32">
        <f t="shared" ref="N65:N85" si="124">IF($B65,M65/$B65,-1)</f>
        <v>-1</v>
      </c>
      <c r="O65" s="33">
        <f>MAX([1]Examen31!O10,[1]Examen32!O10,[1]Examen33!O10)</f>
        <v>0</v>
      </c>
      <c r="P65" s="32">
        <f t="shared" ref="P65:P85" si="125">IF($B65,O65/$B65,-1)</f>
        <v>-1</v>
      </c>
      <c r="Q65" s="33">
        <f>MAX([1]Examen31!Q10,[1]Examen32!Q10,[1]Examen33!Q10)</f>
        <v>0</v>
      </c>
      <c r="R65" s="32">
        <f t="shared" ref="R65:R85" si="126">IF($B65,Q65/$B65,-1)</f>
        <v>-1</v>
      </c>
      <c r="S65" s="33">
        <f>MAX([1]Examen31!S10,[1]Examen32!S10,[1]Examen33!S10)</f>
        <v>0</v>
      </c>
      <c r="T65" s="32">
        <f t="shared" ref="T65:T85" si="127">IF($B65,S65/$B65,-1)</f>
        <v>-1</v>
      </c>
      <c r="U65" s="33">
        <f>MAX([1]Examen31!U10,[1]Examen32!U10,[1]Examen33!U10)</f>
        <v>0</v>
      </c>
      <c r="V65" s="32">
        <f t="shared" ref="V65:V85" si="128">IF($B65,U65/$B65,-1)</f>
        <v>-1</v>
      </c>
      <c r="W65" s="33">
        <f>MAX([1]Examen31!W10,[1]Examen32!W10,[1]Examen33!W10)</f>
        <v>0</v>
      </c>
      <c r="X65" s="32">
        <f t="shared" ref="X65:X85" si="129">IF($B65,W65/$B65,-1)</f>
        <v>-1</v>
      </c>
      <c r="Y65" s="33">
        <f>MAX([1]Examen31!Y10,[1]Examen32!Y10,[1]Examen33!Y10)</f>
        <v>0</v>
      </c>
      <c r="Z65" s="32">
        <f t="shared" ref="Z65:Z85" si="130">IF($B65,Y65/$B65,-1)</f>
        <v>-1</v>
      </c>
      <c r="AA65" s="33">
        <f>MAX([1]Examen31!AA10,[1]Examen32!AA10,[1]Examen33!AA10)</f>
        <v>0</v>
      </c>
      <c r="AB65" s="32">
        <f t="shared" ref="AB65:AB85" si="131">IF($B65,AA65/$B65,-1)</f>
        <v>-1</v>
      </c>
      <c r="AC65" s="33">
        <f>MAX([1]Examen31!AC10,[1]Examen32!AC10,[1]Examen33!AC10)</f>
        <v>0</v>
      </c>
      <c r="AD65" s="32">
        <f t="shared" ref="AD65:AD85" si="132">IF($B65,AC65/$B65,-1)</f>
        <v>-1</v>
      </c>
      <c r="AE65" s="33">
        <f>MAX([1]Examen31!AE10,[1]Examen32!AE10,[1]Examen33!AE10)</f>
        <v>0</v>
      </c>
      <c r="AF65" s="32">
        <f t="shared" ref="AF65:AF85" si="133">IF($B65,AE65/$B65,-1)</f>
        <v>-1</v>
      </c>
      <c r="AG65" s="33">
        <f>MAX([1]Examen31!AG10,[1]Examen32!AG10,[1]Examen33!AG10)</f>
        <v>0</v>
      </c>
      <c r="AH65" s="32">
        <f t="shared" ref="AH65:AH85" si="134">IF($B65,AG65/$B65,-1)</f>
        <v>-1</v>
      </c>
      <c r="AI65" s="33">
        <f>MAX([1]Examen31!AI10,[1]Examen32!AI10,[1]Examen33!AI10)</f>
        <v>0</v>
      </c>
      <c r="AJ65" s="32">
        <f t="shared" ref="AJ65:AJ85" si="135">IF($B65,AI65/$B65,-1)</f>
        <v>-1</v>
      </c>
      <c r="AK65" s="33">
        <f>MAX([1]Examen31!AK10,[1]Examen32!AK10,[1]Examen33!AK10)</f>
        <v>0</v>
      </c>
      <c r="AL65" s="32">
        <f t="shared" ref="AL65:AL85" si="136">IF($B65,AK65/$B65,-1)</f>
        <v>-1</v>
      </c>
      <c r="AM65" s="33">
        <f>MAX([1]Examen31!AM10,[1]Examen32!AM10,[1]Examen33!AM10)</f>
        <v>0</v>
      </c>
      <c r="AN65" s="32">
        <f t="shared" ref="AN65:AN85" si="137">IF($B65,AM65/$B65,-1)</f>
        <v>-1</v>
      </c>
      <c r="AO65" s="33">
        <f>MAX([1]Examen31!AO10,[1]Examen32!AO10,[1]Examen33!AO10)</f>
        <v>0</v>
      </c>
      <c r="AP65" s="32">
        <f t="shared" ref="AP65:AP85" si="138">IF($B65,AO65/$B65,-1)</f>
        <v>-1</v>
      </c>
      <c r="AQ65" s="33">
        <f>MAX([1]Examen31!AQ10,[1]Examen32!AQ10,[1]Examen33!AQ10)</f>
        <v>0</v>
      </c>
      <c r="AR65" s="32">
        <f t="shared" ref="AR65:AR85" si="139">IF($B65,AQ65/$B65,-1)</f>
        <v>-1</v>
      </c>
      <c r="AS65" s="33">
        <f>MAX([1]Examen31!AS10,[1]Examen32!AS10,[1]Examen33!AS10)</f>
        <v>0</v>
      </c>
      <c r="AT65" s="32">
        <f t="shared" ref="AT65:AT85" si="140">IF($B65,AS65/$B65,-1)</f>
        <v>-1</v>
      </c>
      <c r="AU65" s="33">
        <f>MAX([1]Examen31!AU10,[1]Examen32!AU10,[1]Examen33!AU10)</f>
        <v>0</v>
      </c>
      <c r="AV65" s="32">
        <f t="shared" ref="AV65:AV85" si="141">IF($B65,AU65/$B65,-1)</f>
        <v>-1</v>
      </c>
      <c r="AW65" s="33">
        <f>MAX([1]Examen31!AW10,[1]Examen32!AW10,[1]Examen33!AW10)</f>
        <v>0</v>
      </c>
      <c r="AX65" s="32">
        <f t="shared" ref="AX65:AX85" si="142">IF($B65,AW65/$B65,-1)</f>
        <v>-1</v>
      </c>
      <c r="AY65" s="33">
        <f>MAX([1]Examen31!AY10,[1]Examen32!AY10,[1]Examen33!AY10)</f>
        <v>0</v>
      </c>
      <c r="AZ65" s="32">
        <f t="shared" ref="AZ65:AZ85" si="143">IF($B65,AY65/$B65,-1)</f>
        <v>-1</v>
      </c>
      <c r="BA65" s="33">
        <f>MAX([1]Examen31!BA10,[1]Examen32!BA10,[1]Examen33!BA10)</f>
        <v>0</v>
      </c>
      <c r="BB65" s="32">
        <f t="shared" ref="BB65:BB85" si="144">IF($B65,BA65/$B65,-1)</f>
        <v>-1</v>
      </c>
      <c r="BC65" s="33">
        <f>MAX([1]Examen31!BC10,[1]Examen32!BC10,[1]Examen33!BC10)</f>
        <v>0</v>
      </c>
      <c r="BD65" s="32">
        <f t="shared" ref="BD65:BD85" si="145">IF($B65,BC65/$B65,-1)</f>
        <v>-1</v>
      </c>
      <c r="BE65" s="33">
        <f>MAX([1]Examen31!BE10,[1]Examen32!BE10,[1]Examen33!BE10)</f>
        <v>0</v>
      </c>
      <c r="BF65" s="32">
        <f t="shared" ref="BF65:BF85" si="146">IF($B65,BE65/$B65,-1)</f>
        <v>-1</v>
      </c>
      <c r="BG65" s="33">
        <f>MAX([1]Examen31!BG10,[1]Examen32!BG10,[1]Examen33!BG10)</f>
        <v>0</v>
      </c>
      <c r="BH65" s="32">
        <f t="shared" ref="BH65:BH85" si="147">IF($B65,BG65/$B65,-1)</f>
        <v>-1</v>
      </c>
      <c r="BI65" s="33">
        <f>MAX([1]Examen31!BI10,[1]Examen32!BI10,[1]Examen33!BI10)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MAX([1]Examen31!B11,[1]Examen32!B11,[1]Examen33!B11)</f>
        <v>0</v>
      </c>
      <c r="C66" s="33">
        <f>MAX([1]Examen31!C11,[1]Examen32!C11,[1]Examen33!C11)</f>
        <v>0</v>
      </c>
      <c r="D66" s="32">
        <f t="shared" si="119"/>
        <v>-1</v>
      </c>
      <c r="E66" s="33">
        <f>MAX([1]Examen31!E11,[1]Examen32!E11,[1]Examen33!E11)</f>
        <v>0</v>
      </c>
      <c r="F66" s="32">
        <f t="shared" si="120"/>
        <v>-1</v>
      </c>
      <c r="G66" s="33">
        <f>MAX([1]Examen31!G11,[1]Examen32!G11,[1]Examen33!G11)</f>
        <v>0</v>
      </c>
      <c r="H66" s="32">
        <f t="shared" si="121"/>
        <v>-1</v>
      </c>
      <c r="I66" s="33">
        <f>MAX([1]Examen31!I11,[1]Examen32!I11,[1]Examen33!I11)</f>
        <v>0</v>
      </c>
      <c r="J66" s="32">
        <f t="shared" si="122"/>
        <v>-1</v>
      </c>
      <c r="K66" s="33">
        <f>MAX([1]Examen31!K11,[1]Examen32!K11,[1]Examen33!K11)</f>
        <v>0</v>
      </c>
      <c r="L66" s="32">
        <f t="shared" si="123"/>
        <v>-1</v>
      </c>
      <c r="M66" s="33">
        <f>MAX([1]Examen31!M11,[1]Examen32!M11,[1]Examen33!M11)</f>
        <v>0</v>
      </c>
      <c r="N66" s="32">
        <f t="shared" si="124"/>
        <v>-1</v>
      </c>
      <c r="O66" s="33">
        <f>MAX([1]Examen31!O11,[1]Examen32!O11,[1]Examen33!O11)</f>
        <v>0</v>
      </c>
      <c r="P66" s="32">
        <f t="shared" si="125"/>
        <v>-1</v>
      </c>
      <c r="Q66" s="33">
        <f>MAX([1]Examen31!Q11,[1]Examen32!Q11,[1]Examen33!Q11)</f>
        <v>0</v>
      </c>
      <c r="R66" s="32">
        <f t="shared" si="126"/>
        <v>-1</v>
      </c>
      <c r="S66" s="33">
        <f>MAX([1]Examen31!S11,[1]Examen32!S11,[1]Examen33!S11)</f>
        <v>0</v>
      </c>
      <c r="T66" s="32">
        <f t="shared" si="127"/>
        <v>-1</v>
      </c>
      <c r="U66" s="33">
        <f>MAX([1]Examen31!U11,[1]Examen32!U11,[1]Examen33!U11)</f>
        <v>0</v>
      </c>
      <c r="V66" s="32">
        <f t="shared" si="128"/>
        <v>-1</v>
      </c>
      <c r="W66" s="33">
        <f>MAX([1]Examen31!W11,[1]Examen32!W11,[1]Examen33!W11)</f>
        <v>0</v>
      </c>
      <c r="X66" s="32">
        <f t="shared" si="129"/>
        <v>-1</v>
      </c>
      <c r="Y66" s="33">
        <f>MAX([1]Examen31!Y11,[1]Examen32!Y11,[1]Examen33!Y11)</f>
        <v>0</v>
      </c>
      <c r="Z66" s="32">
        <f t="shared" si="130"/>
        <v>-1</v>
      </c>
      <c r="AA66" s="33">
        <f>MAX([1]Examen31!AA11,[1]Examen32!AA11,[1]Examen33!AA11)</f>
        <v>0</v>
      </c>
      <c r="AB66" s="32">
        <f t="shared" si="131"/>
        <v>-1</v>
      </c>
      <c r="AC66" s="33">
        <f>MAX([1]Examen31!AC11,[1]Examen32!AC11,[1]Examen33!AC11)</f>
        <v>0</v>
      </c>
      <c r="AD66" s="32">
        <f t="shared" si="132"/>
        <v>-1</v>
      </c>
      <c r="AE66" s="33">
        <f>MAX([1]Examen31!AE11,[1]Examen32!AE11,[1]Examen33!AE11)</f>
        <v>0</v>
      </c>
      <c r="AF66" s="32">
        <f t="shared" si="133"/>
        <v>-1</v>
      </c>
      <c r="AG66" s="33">
        <f>MAX([1]Examen31!AG11,[1]Examen32!AG11,[1]Examen33!AG11)</f>
        <v>0</v>
      </c>
      <c r="AH66" s="32">
        <f t="shared" si="134"/>
        <v>-1</v>
      </c>
      <c r="AI66" s="33">
        <f>MAX([1]Examen31!AI11,[1]Examen32!AI11,[1]Examen33!AI11)</f>
        <v>0</v>
      </c>
      <c r="AJ66" s="32">
        <f t="shared" si="135"/>
        <v>-1</v>
      </c>
      <c r="AK66" s="33">
        <f>MAX([1]Examen31!AK11,[1]Examen32!AK11,[1]Examen33!AK11)</f>
        <v>0</v>
      </c>
      <c r="AL66" s="32">
        <f t="shared" si="136"/>
        <v>-1</v>
      </c>
      <c r="AM66" s="33">
        <f>MAX([1]Examen31!AM11,[1]Examen32!AM11,[1]Examen33!AM11)</f>
        <v>0</v>
      </c>
      <c r="AN66" s="32">
        <f t="shared" si="137"/>
        <v>-1</v>
      </c>
      <c r="AO66" s="33">
        <f>MAX([1]Examen31!AO11,[1]Examen32!AO11,[1]Examen33!AO11)</f>
        <v>0</v>
      </c>
      <c r="AP66" s="32">
        <f t="shared" si="138"/>
        <v>-1</v>
      </c>
      <c r="AQ66" s="33">
        <f>MAX([1]Examen31!AQ11,[1]Examen32!AQ11,[1]Examen33!AQ11)</f>
        <v>0</v>
      </c>
      <c r="AR66" s="32">
        <f t="shared" si="139"/>
        <v>-1</v>
      </c>
      <c r="AS66" s="33">
        <f>MAX([1]Examen31!AS11,[1]Examen32!AS11,[1]Examen33!AS11)</f>
        <v>0</v>
      </c>
      <c r="AT66" s="32">
        <f t="shared" si="140"/>
        <v>-1</v>
      </c>
      <c r="AU66" s="33">
        <f>MAX([1]Examen31!AU11,[1]Examen32!AU11,[1]Examen33!AU11)</f>
        <v>0</v>
      </c>
      <c r="AV66" s="32">
        <f t="shared" si="141"/>
        <v>-1</v>
      </c>
      <c r="AW66" s="33">
        <f>MAX([1]Examen31!AW11,[1]Examen32!AW11,[1]Examen33!AW11)</f>
        <v>0</v>
      </c>
      <c r="AX66" s="32">
        <f t="shared" si="142"/>
        <v>-1</v>
      </c>
      <c r="AY66" s="33">
        <f>MAX([1]Examen31!AY11,[1]Examen32!AY11,[1]Examen33!AY11)</f>
        <v>0</v>
      </c>
      <c r="AZ66" s="32">
        <f t="shared" si="143"/>
        <v>-1</v>
      </c>
      <c r="BA66" s="33">
        <f>MAX([1]Examen31!BA11,[1]Examen32!BA11,[1]Examen33!BA11)</f>
        <v>0</v>
      </c>
      <c r="BB66" s="32">
        <f t="shared" si="144"/>
        <v>-1</v>
      </c>
      <c r="BC66" s="33">
        <f>MAX([1]Examen31!BC11,[1]Examen32!BC11,[1]Examen33!BC11)</f>
        <v>0</v>
      </c>
      <c r="BD66" s="32">
        <f t="shared" si="145"/>
        <v>-1</v>
      </c>
      <c r="BE66" s="33">
        <f>MAX([1]Examen31!BE11,[1]Examen32!BE11,[1]Examen33!BE11)</f>
        <v>0</v>
      </c>
      <c r="BF66" s="32">
        <f t="shared" si="146"/>
        <v>-1</v>
      </c>
      <c r="BG66" s="33">
        <f>MAX([1]Examen31!BG11,[1]Examen32!BG11,[1]Examen33!BG11)</f>
        <v>0</v>
      </c>
      <c r="BH66" s="32">
        <f t="shared" si="147"/>
        <v>-1</v>
      </c>
      <c r="BI66" s="33">
        <f>MAX([1]Examen31!BI11,[1]Examen32!BI11,[1]Examen33!BI11)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MAX([1]Examen31!B12,[1]Examen32!B12,[1]Examen33!B12)</f>
        <v>0</v>
      </c>
      <c r="C67" s="33">
        <f>MAX([1]Examen31!C12,[1]Examen32!C12,[1]Examen33!C12)</f>
        <v>0</v>
      </c>
      <c r="D67" s="32">
        <f t="shared" si="119"/>
        <v>-1</v>
      </c>
      <c r="E67" s="33">
        <f>MAX([1]Examen31!E12,[1]Examen32!E12,[1]Examen33!E12)</f>
        <v>0</v>
      </c>
      <c r="F67" s="32">
        <f t="shared" si="120"/>
        <v>-1</v>
      </c>
      <c r="G67" s="33">
        <f>MAX([1]Examen31!G12,[1]Examen32!G12,[1]Examen33!G12)</f>
        <v>0</v>
      </c>
      <c r="H67" s="32">
        <f t="shared" si="121"/>
        <v>-1</v>
      </c>
      <c r="I67" s="33">
        <f>MAX([1]Examen31!I12,[1]Examen32!I12,[1]Examen33!I12)</f>
        <v>0</v>
      </c>
      <c r="J67" s="32">
        <f t="shared" si="122"/>
        <v>-1</v>
      </c>
      <c r="K67" s="33">
        <f>MAX([1]Examen31!K12,[1]Examen32!K12,[1]Examen33!K12)</f>
        <v>0</v>
      </c>
      <c r="L67" s="32">
        <f t="shared" si="123"/>
        <v>-1</v>
      </c>
      <c r="M67" s="33">
        <f>MAX([1]Examen31!M12,[1]Examen32!M12,[1]Examen33!M12)</f>
        <v>0</v>
      </c>
      <c r="N67" s="32">
        <f t="shared" si="124"/>
        <v>-1</v>
      </c>
      <c r="O67" s="33">
        <f>MAX([1]Examen31!O12,[1]Examen32!O12,[1]Examen33!O12)</f>
        <v>0</v>
      </c>
      <c r="P67" s="32">
        <f t="shared" si="125"/>
        <v>-1</v>
      </c>
      <c r="Q67" s="33">
        <f>MAX([1]Examen31!Q12,[1]Examen32!Q12,[1]Examen33!Q12)</f>
        <v>0</v>
      </c>
      <c r="R67" s="32">
        <f t="shared" si="126"/>
        <v>-1</v>
      </c>
      <c r="S67" s="33">
        <f>MAX([1]Examen31!S12,[1]Examen32!S12,[1]Examen33!S12)</f>
        <v>0</v>
      </c>
      <c r="T67" s="32">
        <f t="shared" si="127"/>
        <v>-1</v>
      </c>
      <c r="U67" s="33">
        <f>MAX([1]Examen31!U12,[1]Examen32!U12,[1]Examen33!U12)</f>
        <v>0</v>
      </c>
      <c r="V67" s="32">
        <f t="shared" si="128"/>
        <v>-1</v>
      </c>
      <c r="W67" s="33">
        <f>MAX([1]Examen31!W12,[1]Examen32!W12,[1]Examen33!W12)</f>
        <v>0</v>
      </c>
      <c r="X67" s="32">
        <f t="shared" si="129"/>
        <v>-1</v>
      </c>
      <c r="Y67" s="33">
        <f>MAX([1]Examen31!Y12,[1]Examen32!Y12,[1]Examen33!Y12)</f>
        <v>0</v>
      </c>
      <c r="Z67" s="32">
        <f t="shared" si="130"/>
        <v>-1</v>
      </c>
      <c r="AA67" s="33">
        <f>MAX([1]Examen31!AA12,[1]Examen32!AA12,[1]Examen33!AA12)</f>
        <v>0</v>
      </c>
      <c r="AB67" s="32">
        <f t="shared" si="131"/>
        <v>-1</v>
      </c>
      <c r="AC67" s="33">
        <f>MAX([1]Examen31!AC12,[1]Examen32!AC12,[1]Examen33!AC12)</f>
        <v>0</v>
      </c>
      <c r="AD67" s="32">
        <f t="shared" si="132"/>
        <v>-1</v>
      </c>
      <c r="AE67" s="33">
        <f>MAX([1]Examen31!AE12,[1]Examen32!AE12,[1]Examen33!AE12)</f>
        <v>0</v>
      </c>
      <c r="AF67" s="32">
        <f t="shared" si="133"/>
        <v>-1</v>
      </c>
      <c r="AG67" s="33">
        <f>MAX([1]Examen31!AG12,[1]Examen32!AG12,[1]Examen33!AG12)</f>
        <v>0</v>
      </c>
      <c r="AH67" s="32">
        <f t="shared" si="134"/>
        <v>-1</v>
      </c>
      <c r="AI67" s="33">
        <f>MAX([1]Examen31!AI12,[1]Examen32!AI12,[1]Examen33!AI12)</f>
        <v>0</v>
      </c>
      <c r="AJ67" s="32">
        <f t="shared" si="135"/>
        <v>-1</v>
      </c>
      <c r="AK67" s="33">
        <f>MAX([1]Examen31!AK12,[1]Examen32!AK12,[1]Examen33!AK12)</f>
        <v>0</v>
      </c>
      <c r="AL67" s="32">
        <f t="shared" si="136"/>
        <v>-1</v>
      </c>
      <c r="AM67" s="33">
        <f>MAX([1]Examen31!AM12,[1]Examen32!AM12,[1]Examen33!AM12)</f>
        <v>0</v>
      </c>
      <c r="AN67" s="32">
        <f t="shared" si="137"/>
        <v>-1</v>
      </c>
      <c r="AO67" s="33">
        <f>MAX([1]Examen31!AO12,[1]Examen32!AO12,[1]Examen33!AO12)</f>
        <v>0</v>
      </c>
      <c r="AP67" s="32">
        <f t="shared" si="138"/>
        <v>-1</v>
      </c>
      <c r="AQ67" s="33">
        <f>MAX([1]Examen31!AQ12,[1]Examen32!AQ12,[1]Examen33!AQ12)</f>
        <v>0</v>
      </c>
      <c r="AR67" s="32">
        <f t="shared" si="139"/>
        <v>-1</v>
      </c>
      <c r="AS67" s="33">
        <f>MAX([1]Examen31!AS12,[1]Examen32!AS12,[1]Examen33!AS12)</f>
        <v>0</v>
      </c>
      <c r="AT67" s="32">
        <f t="shared" si="140"/>
        <v>-1</v>
      </c>
      <c r="AU67" s="33">
        <f>MAX([1]Examen31!AU12,[1]Examen32!AU12,[1]Examen33!AU12)</f>
        <v>0</v>
      </c>
      <c r="AV67" s="32">
        <f t="shared" si="141"/>
        <v>-1</v>
      </c>
      <c r="AW67" s="33">
        <f>MAX([1]Examen31!AW12,[1]Examen32!AW12,[1]Examen33!AW12)</f>
        <v>0</v>
      </c>
      <c r="AX67" s="32">
        <f t="shared" si="142"/>
        <v>-1</v>
      </c>
      <c r="AY67" s="33">
        <f>MAX([1]Examen31!AY12,[1]Examen32!AY12,[1]Examen33!AY12)</f>
        <v>0</v>
      </c>
      <c r="AZ67" s="32">
        <f t="shared" si="143"/>
        <v>-1</v>
      </c>
      <c r="BA67" s="33">
        <f>MAX([1]Examen31!BA12,[1]Examen32!BA12,[1]Examen33!BA12)</f>
        <v>0</v>
      </c>
      <c r="BB67" s="32">
        <f t="shared" si="144"/>
        <v>-1</v>
      </c>
      <c r="BC67" s="33">
        <f>MAX([1]Examen31!BC12,[1]Examen32!BC12,[1]Examen33!BC12)</f>
        <v>0</v>
      </c>
      <c r="BD67" s="32">
        <f t="shared" si="145"/>
        <v>-1</v>
      </c>
      <c r="BE67" s="33">
        <f>MAX([1]Examen31!BE12,[1]Examen32!BE12,[1]Examen33!BE12)</f>
        <v>0</v>
      </c>
      <c r="BF67" s="32">
        <f t="shared" si="146"/>
        <v>-1</v>
      </c>
      <c r="BG67" s="33">
        <f>MAX([1]Examen31!BG12,[1]Examen32!BG12,[1]Examen33!BG12)</f>
        <v>0</v>
      </c>
      <c r="BH67" s="32">
        <f t="shared" si="147"/>
        <v>-1</v>
      </c>
      <c r="BI67" s="33">
        <f>MAX([1]Examen31!BI12,[1]Examen32!BI12,[1]Examen33!BI12)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MAX([1]Examen31!B13,[1]Examen32!B13,[1]Examen33!B13)</f>
        <v>0</v>
      </c>
      <c r="C68" s="33">
        <f>MAX([1]Examen31!C13,[1]Examen32!C13,[1]Examen33!C13)</f>
        <v>0</v>
      </c>
      <c r="D68" s="32">
        <f t="shared" si="119"/>
        <v>-1</v>
      </c>
      <c r="E68" s="33">
        <f>MAX([1]Examen31!E13,[1]Examen32!E13,[1]Examen33!E13)</f>
        <v>0</v>
      </c>
      <c r="F68" s="32">
        <f t="shared" si="120"/>
        <v>-1</v>
      </c>
      <c r="G68" s="33">
        <f>MAX([1]Examen31!G13,[1]Examen32!G13,[1]Examen33!G13)</f>
        <v>0</v>
      </c>
      <c r="H68" s="32">
        <f t="shared" si="121"/>
        <v>-1</v>
      </c>
      <c r="I68" s="33">
        <f>MAX([1]Examen31!I13,[1]Examen32!I13,[1]Examen33!I13)</f>
        <v>0</v>
      </c>
      <c r="J68" s="32">
        <f t="shared" si="122"/>
        <v>-1</v>
      </c>
      <c r="K68" s="33">
        <f>MAX([1]Examen31!K13,[1]Examen32!K13,[1]Examen33!K13)</f>
        <v>0</v>
      </c>
      <c r="L68" s="32">
        <f t="shared" si="123"/>
        <v>-1</v>
      </c>
      <c r="M68" s="33">
        <f>MAX([1]Examen31!M13,[1]Examen32!M13,[1]Examen33!M13)</f>
        <v>0</v>
      </c>
      <c r="N68" s="32">
        <f t="shared" si="124"/>
        <v>-1</v>
      </c>
      <c r="O68" s="33">
        <f>MAX([1]Examen31!O13,[1]Examen32!O13,[1]Examen33!O13)</f>
        <v>0</v>
      </c>
      <c r="P68" s="32">
        <f t="shared" si="125"/>
        <v>-1</v>
      </c>
      <c r="Q68" s="33">
        <f>MAX([1]Examen31!Q13,[1]Examen32!Q13,[1]Examen33!Q13)</f>
        <v>0</v>
      </c>
      <c r="R68" s="32">
        <f t="shared" si="126"/>
        <v>-1</v>
      </c>
      <c r="S68" s="33">
        <f>MAX([1]Examen31!S13,[1]Examen32!S13,[1]Examen33!S13)</f>
        <v>0</v>
      </c>
      <c r="T68" s="32">
        <f t="shared" si="127"/>
        <v>-1</v>
      </c>
      <c r="U68" s="33">
        <f>MAX([1]Examen31!U13,[1]Examen32!U13,[1]Examen33!U13)</f>
        <v>0</v>
      </c>
      <c r="V68" s="32">
        <f t="shared" si="128"/>
        <v>-1</v>
      </c>
      <c r="W68" s="33">
        <f>MAX([1]Examen31!W13,[1]Examen32!W13,[1]Examen33!W13)</f>
        <v>0</v>
      </c>
      <c r="X68" s="32">
        <f t="shared" si="129"/>
        <v>-1</v>
      </c>
      <c r="Y68" s="33">
        <f>MAX([1]Examen31!Y13,[1]Examen32!Y13,[1]Examen33!Y13)</f>
        <v>0</v>
      </c>
      <c r="Z68" s="32">
        <f t="shared" si="130"/>
        <v>-1</v>
      </c>
      <c r="AA68" s="33">
        <f>MAX([1]Examen31!AA13,[1]Examen32!AA13,[1]Examen33!AA13)</f>
        <v>0</v>
      </c>
      <c r="AB68" s="32">
        <f t="shared" si="131"/>
        <v>-1</v>
      </c>
      <c r="AC68" s="33">
        <f>MAX([1]Examen31!AC13,[1]Examen32!AC13,[1]Examen33!AC13)</f>
        <v>0</v>
      </c>
      <c r="AD68" s="32">
        <f t="shared" si="132"/>
        <v>-1</v>
      </c>
      <c r="AE68" s="33">
        <f>MAX([1]Examen31!AE13,[1]Examen32!AE13,[1]Examen33!AE13)</f>
        <v>0</v>
      </c>
      <c r="AF68" s="32">
        <f t="shared" si="133"/>
        <v>-1</v>
      </c>
      <c r="AG68" s="33">
        <f>MAX([1]Examen31!AG13,[1]Examen32!AG13,[1]Examen33!AG13)</f>
        <v>0</v>
      </c>
      <c r="AH68" s="32">
        <f t="shared" si="134"/>
        <v>-1</v>
      </c>
      <c r="AI68" s="33">
        <f>MAX([1]Examen31!AI13,[1]Examen32!AI13,[1]Examen33!AI13)</f>
        <v>0</v>
      </c>
      <c r="AJ68" s="32">
        <f t="shared" si="135"/>
        <v>-1</v>
      </c>
      <c r="AK68" s="33">
        <f>MAX([1]Examen31!AK13,[1]Examen32!AK13,[1]Examen33!AK13)</f>
        <v>0</v>
      </c>
      <c r="AL68" s="32">
        <f t="shared" si="136"/>
        <v>-1</v>
      </c>
      <c r="AM68" s="33">
        <f>MAX([1]Examen31!AM13,[1]Examen32!AM13,[1]Examen33!AM13)</f>
        <v>0</v>
      </c>
      <c r="AN68" s="32">
        <f t="shared" si="137"/>
        <v>-1</v>
      </c>
      <c r="AO68" s="33">
        <f>MAX([1]Examen31!AO13,[1]Examen32!AO13,[1]Examen33!AO13)</f>
        <v>0</v>
      </c>
      <c r="AP68" s="32">
        <f t="shared" si="138"/>
        <v>-1</v>
      </c>
      <c r="AQ68" s="33">
        <f>MAX([1]Examen31!AQ13,[1]Examen32!AQ13,[1]Examen33!AQ13)</f>
        <v>0</v>
      </c>
      <c r="AR68" s="32">
        <f t="shared" si="139"/>
        <v>-1</v>
      </c>
      <c r="AS68" s="33">
        <f>MAX([1]Examen31!AS13,[1]Examen32!AS13,[1]Examen33!AS13)</f>
        <v>0</v>
      </c>
      <c r="AT68" s="32">
        <f t="shared" si="140"/>
        <v>-1</v>
      </c>
      <c r="AU68" s="33">
        <f>MAX([1]Examen31!AU13,[1]Examen32!AU13,[1]Examen33!AU13)</f>
        <v>0</v>
      </c>
      <c r="AV68" s="32">
        <f t="shared" si="141"/>
        <v>-1</v>
      </c>
      <c r="AW68" s="33">
        <f>MAX([1]Examen31!AW13,[1]Examen32!AW13,[1]Examen33!AW13)</f>
        <v>0</v>
      </c>
      <c r="AX68" s="32">
        <f t="shared" si="142"/>
        <v>-1</v>
      </c>
      <c r="AY68" s="33">
        <f>MAX([1]Examen31!AY13,[1]Examen32!AY13,[1]Examen33!AY13)</f>
        <v>0</v>
      </c>
      <c r="AZ68" s="32">
        <f t="shared" si="143"/>
        <v>-1</v>
      </c>
      <c r="BA68" s="33">
        <f>MAX([1]Examen31!BA13,[1]Examen32!BA13,[1]Examen33!BA13)</f>
        <v>0</v>
      </c>
      <c r="BB68" s="32">
        <f t="shared" si="144"/>
        <v>-1</v>
      </c>
      <c r="BC68" s="33">
        <f>MAX([1]Examen31!BC13,[1]Examen32!BC13,[1]Examen33!BC13)</f>
        <v>0</v>
      </c>
      <c r="BD68" s="32">
        <f t="shared" si="145"/>
        <v>-1</v>
      </c>
      <c r="BE68" s="33">
        <f>MAX([1]Examen31!BE13,[1]Examen32!BE13,[1]Examen33!BE13)</f>
        <v>0</v>
      </c>
      <c r="BF68" s="32">
        <f t="shared" si="146"/>
        <v>-1</v>
      </c>
      <c r="BG68" s="33">
        <f>MAX([1]Examen31!BG13,[1]Examen32!BG13,[1]Examen33!BG13)</f>
        <v>0</v>
      </c>
      <c r="BH68" s="32">
        <f t="shared" si="147"/>
        <v>-1</v>
      </c>
      <c r="BI68" s="33">
        <f>MAX([1]Examen31!BI13,[1]Examen32!BI13,[1]Examen33!BI13)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MAX([1]Examen31!B14,[1]Examen32!B14,[1]Examen33!B14)</f>
        <v>0</v>
      </c>
      <c r="C69" s="33">
        <f>MAX([1]Examen31!C14,[1]Examen32!C14,[1]Examen33!C14)</f>
        <v>0</v>
      </c>
      <c r="D69" s="32">
        <f t="shared" si="119"/>
        <v>-1</v>
      </c>
      <c r="E69" s="33">
        <f>MAX([1]Examen31!E14,[1]Examen32!E14,[1]Examen33!E14)</f>
        <v>0</v>
      </c>
      <c r="F69" s="32">
        <f t="shared" si="120"/>
        <v>-1</v>
      </c>
      <c r="G69" s="33">
        <f>MAX([1]Examen31!G14,[1]Examen32!G14,[1]Examen33!G14)</f>
        <v>0</v>
      </c>
      <c r="H69" s="32">
        <f t="shared" si="121"/>
        <v>-1</v>
      </c>
      <c r="I69" s="33">
        <f>MAX([1]Examen31!I14,[1]Examen32!I14,[1]Examen33!I14)</f>
        <v>0</v>
      </c>
      <c r="J69" s="32">
        <f t="shared" si="122"/>
        <v>-1</v>
      </c>
      <c r="K69" s="33">
        <f>MAX([1]Examen31!K14,[1]Examen32!K14,[1]Examen33!K14)</f>
        <v>0</v>
      </c>
      <c r="L69" s="32">
        <f t="shared" si="123"/>
        <v>-1</v>
      </c>
      <c r="M69" s="33">
        <f>MAX([1]Examen31!M14,[1]Examen32!M14,[1]Examen33!M14)</f>
        <v>0</v>
      </c>
      <c r="N69" s="32">
        <f t="shared" si="124"/>
        <v>-1</v>
      </c>
      <c r="O69" s="33">
        <f>MAX([1]Examen31!O14,[1]Examen32!O14,[1]Examen33!O14)</f>
        <v>0</v>
      </c>
      <c r="P69" s="32">
        <f t="shared" si="125"/>
        <v>-1</v>
      </c>
      <c r="Q69" s="33">
        <f>MAX([1]Examen31!Q14,[1]Examen32!Q14,[1]Examen33!Q14)</f>
        <v>0</v>
      </c>
      <c r="R69" s="32">
        <f t="shared" si="126"/>
        <v>-1</v>
      </c>
      <c r="S69" s="33">
        <f>MAX([1]Examen31!S14,[1]Examen32!S14,[1]Examen33!S14)</f>
        <v>0</v>
      </c>
      <c r="T69" s="32">
        <f t="shared" si="127"/>
        <v>-1</v>
      </c>
      <c r="U69" s="33">
        <f>MAX([1]Examen31!U14,[1]Examen32!U14,[1]Examen33!U14)</f>
        <v>0</v>
      </c>
      <c r="V69" s="32">
        <f t="shared" si="128"/>
        <v>-1</v>
      </c>
      <c r="W69" s="33">
        <f>MAX([1]Examen31!W14,[1]Examen32!W14,[1]Examen33!W14)</f>
        <v>0</v>
      </c>
      <c r="X69" s="32">
        <f t="shared" si="129"/>
        <v>-1</v>
      </c>
      <c r="Y69" s="33">
        <f>MAX([1]Examen31!Y14,[1]Examen32!Y14,[1]Examen33!Y14)</f>
        <v>0</v>
      </c>
      <c r="Z69" s="32">
        <f t="shared" si="130"/>
        <v>-1</v>
      </c>
      <c r="AA69" s="33">
        <f>MAX([1]Examen31!AA14,[1]Examen32!AA14,[1]Examen33!AA14)</f>
        <v>0</v>
      </c>
      <c r="AB69" s="32">
        <f t="shared" si="131"/>
        <v>-1</v>
      </c>
      <c r="AC69" s="33">
        <f>MAX([1]Examen31!AC14,[1]Examen32!AC14,[1]Examen33!AC14)</f>
        <v>0</v>
      </c>
      <c r="AD69" s="32">
        <f t="shared" si="132"/>
        <v>-1</v>
      </c>
      <c r="AE69" s="33">
        <f>MAX([1]Examen31!AE14,[1]Examen32!AE14,[1]Examen33!AE14)</f>
        <v>0</v>
      </c>
      <c r="AF69" s="32">
        <f t="shared" si="133"/>
        <v>-1</v>
      </c>
      <c r="AG69" s="33">
        <f>MAX([1]Examen31!AG14,[1]Examen32!AG14,[1]Examen33!AG14)</f>
        <v>0</v>
      </c>
      <c r="AH69" s="32">
        <f t="shared" si="134"/>
        <v>-1</v>
      </c>
      <c r="AI69" s="33">
        <f>MAX([1]Examen31!AI14,[1]Examen32!AI14,[1]Examen33!AI14)</f>
        <v>0</v>
      </c>
      <c r="AJ69" s="32">
        <f t="shared" si="135"/>
        <v>-1</v>
      </c>
      <c r="AK69" s="33">
        <f>MAX([1]Examen31!AK14,[1]Examen32!AK14,[1]Examen33!AK14)</f>
        <v>0</v>
      </c>
      <c r="AL69" s="32">
        <f t="shared" si="136"/>
        <v>-1</v>
      </c>
      <c r="AM69" s="33">
        <f>MAX([1]Examen31!AM14,[1]Examen32!AM14,[1]Examen33!AM14)</f>
        <v>0</v>
      </c>
      <c r="AN69" s="32">
        <f t="shared" si="137"/>
        <v>-1</v>
      </c>
      <c r="AO69" s="33">
        <f>MAX([1]Examen31!AO14,[1]Examen32!AO14,[1]Examen33!AO14)</f>
        <v>0</v>
      </c>
      <c r="AP69" s="32">
        <f t="shared" si="138"/>
        <v>-1</v>
      </c>
      <c r="AQ69" s="33">
        <f>MAX([1]Examen31!AQ14,[1]Examen32!AQ14,[1]Examen33!AQ14)</f>
        <v>0</v>
      </c>
      <c r="AR69" s="32">
        <f t="shared" si="139"/>
        <v>-1</v>
      </c>
      <c r="AS69" s="33">
        <f>MAX([1]Examen31!AS14,[1]Examen32!AS14,[1]Examen33!AS14)</f>
        <v>0</v>
      </c>
      <c r="AT69" s="32">
        <f t="shared" si="140"/>
        <v>-1</v>
      </c>
      <c r="AU69" s="33">
        <f>MAX([1]Examen31!AU14,[1]Examen32!AU14,[1]Examen33!AU14)</f>
        <v>0</v>
      </c>
      <c r="AV69" s="32">
        <f t="shared" si="141"/>
        <v>-1</v>
      </c>
      <c r="AW69" s="33">
        <f>MAX([1]Examen31!AW14,[1]Examen32!AW14,[1]Examen33!AW14)</f>
        <v>0</v>
      </c>
      <c r="AX69" s="32">
        <f t="shared" si="142"/>
        <v>-1</v>
      </c>
      <c r="AY69" s="33">
        <f>MAX([1]Examen31!AY14,[1]Examen32!AY14,[1]Examen33!AY14)</f>
        <v>0</v>
      </c>
      <c r="AZ69" s="32">
        <f t="shared" si="143"/>
        <v>-1</v>
      </c>
      <c r="BA69" s="33">
        <f>MAX([1]Examen31!BA14,[1]Examen32!BA14,[1]Examen33!BA14)</f>
        <v>0</v>
      </c>
      <c r="BB69" s="32">
        <f t="shared" si="144"/>
        <v>-1</v>
      </c>
      <c r="BC69" s="33">
        <f>MAX([1]Examen31!BC14,[1]Examen32!BC14,[1]Examen33!BC14)</f>
        <v>0</v>
      </c>
      <c r="BD69" s="32">
        <f t="shared" si="145"/>
        <v>-1</v>
      </c>
      <c r="BE69" s="33">
        <f>MAX([1]Examen31!BE14,[1]Examen32!BE14,[1]Examen33!BE14)</f>
        <v>0</v>
      </c>
      <c r="BF69" s="32">
        <f t="shared" si="146"/>
        <v>-1</v>
      </c>
      <c r="BG69" s="33">
        <f>MAX([1]Examen31!BG14,[1]Examen32!BG14,[1]Examen33!BG14)</f>
        <v>0</v>
      </c>
      <c r="BH69" s="32">
        <f t="shared" si="147"/>
        <v>-1</v>
      </c>
      <c r="BI69" s="33">
        <f>MAX([1]Examen31!BI14,[1]Examen32!BI14,[1]Examen33!BI14)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MAX([1]Examen31!B15,[1]Examen32!B15,[1]Examen33!B15)</f>
        <v>0</v>
      </c>
      <c r="C70" s="33">
        <f>MAX([1]Examen31!C15,[1]Examen32!C15,[1]Examen33!C15)</f>
        <v>0</v>
      </c>
      <c r="D70" s="32">
        <f t="shared" si="119"/>
        <v>-1</v>
      </c>
      <c r="E70" s="33">
        <f>MAX([1]Examen31!E15,[1]Examen32!E15,[1]Examen33!E15)</f>
        <v>0</v>
      </c>
      <c r="F70" s="32">
        <f t="shared" si="120"/>
        <v>-1</v>
      </c>
      <c r="G70" s="33">
        <f>MAX([1]Examen31!G15,[1]Examen32!G15,[1]Examen33!G15)</f>
        <v>0</v>
      </c>
      <c r="H70" s="32">
        <f t="shared" si="121"/>
        <v>-1</v>
      </c>
      <c r="I70" s="33">
        <f>MAX([1]Examen31!I15,[1]Examen32!I15,[1]Examen33!I15)</f>
        <v>0</v>
      </c>
      <c r="J70" s="32">
        <f t="shared" si="122"/>
        <v>-1</v>
      </c>
      <c r="K70" s="33">
        <f>MAX([1]Examen31!K15,[1]Examen32!K15,[1]Examen33!K15)</f>
        <v>0</v>
      </c>
      <c r="L70" s="32">
        <f t="shared" si="123"/>
        <v>-1</v>
      </c>
      <c r="M70" s="33">
        <f>MAX([1]Examen31!M15,[1]Examen32!M15,[1]Examen33!M15)</f>
        <v>0</v>
      </c>
      <c r="N70" s="32">
        <f t="shared" si="124"/>
        <v>-1</v>
      </c>
      <c r="O70" s="33">
        <f>MAX([1]Examen31!O15,[1]Examen32!O15,[1]Examen33!O15)</f>
        <v>0</v>
      </c>
      <c r="P70" s="32">
        <f t="shared" si="125"/>
        <v>-1</v>
      </c>
      <c r="Q70" s="33">
        <f>MAX([1]Examen31!Q15,[1]Examen32!Q15,[1]Examen33!Q15)</f>
        <v>0</v>
      </c>
      <c r="R70" s="32">
        <f t="shared" si="126"/>
        <v>-1</v>
      </c>
      <c r="S70" s="33">
        <f>MAX([1]Examen31!S15,[1]Examen32!S15,[1]Examen33!S15)</f>
        <v>0</v>
      </c>
      <c r="T70" s="32">
        <f t="shared" si="127"/>
        <v>-1</v>
      </c>
      <c r="U70" s="33">
        <f>MAX([1]Examen31!U15,[1]Examen32!U15,[1]Examen33!U15)</f>
        <v>0</v>
      </c>
      <c r="V70" s="32">
        <f t="shared" si="128"/>
        <v>-1</v>
      </c>
      <c r="W70" s="33">
        <f>MAX([1]Examen31!W15,[1]Examen32!W15,[1]Examen33!W15)</f>
        <v>0</v>
      </c>
      <c r="X70" s="32">
        <f t="shared" si="129"/>
        <v>-1</v>
      </c>
      <c r="Y70" s="33">
        <f>MAX([1]Examen31!Y15,[1]Examen32!Y15,[1]Examen33!Y15)</f>
        <v>0</v>
      </c>
      <c r="Z70" s="32">
        <f t="shared" si="130"/>
        <v>-1</v>
      </c>
      <c r="AA70" s="33">
        <f>MAX([1]Examen31!AA15,[1]Examen32!AA15,[1]Examen33!AA15)</f>
        <v>0</v>
      </c>
      <c r="AB70" s="32">
        <f t="shared" si="131"/>
        <v>-1</v>
      </c>
      <c r="AC70" s="33">
        <f>MAX([1]Examen31!AC15,[1]Examen32!AC15,[1]Examen33!AC15)</f>
        <v>0</v>
      </c>
      <c r="AD70" s="32">
        <f t="shared" si="132"/>
        <v>-1</v>
      </c>
      <c r="AE70" s="33">
        <f>MAX([1]Examen31!AE15,[1]Examen32!AE15,[1]Examen33!AE15)</f>
        <v>0</v>
      </c>
      <c r="AF70" s="32">
        <f t="shared" si="133"/>
        <v>-1</v>
      </c>
      <c r="AG70" s="33">
        <f>MAX([1]Examen31!AG15,[1]Examen32!AG15,[1]Examen33!AG15)</f>
        <v>0</v>
      </c>
      <c r="AH70" s="32">
        <f t="shared" si="134"/>
        <v>-1</v>
      </c>
      <c r="AI70" s="33">
        <f>MAX([1]Examen31!AI15,[1]Examen32!AI15,[1]Examen33!AI15)</f>
        <v>0</v>
      </c>
      <c r="AJ70" s="32">
        <f t="shared" si="135"/>
        <v>-1</v>
      </c>
      <c r="AK70" s="33">
        <f>MAX([1]Examen31!AK15,[1]Examen32!AK15,[1]Examen33!AK15)</f>
        <v>0</v>
      </c>
      <c r="AL70" s="32">
        <f t="shared" si="136"/>
        <v>-1</v>
      </c>
      <c r="AM70" s="33">
        <f>MAX([1]Examen31!AM15,[1]Examen32!AM15,[1]Examen33!AM15)</f>
        <v>0</v>
      </c>
      <c r="AN70" s="32">
        <f t="shared" si="137"/>
        <v>-1</v>
      </c>
      <c r="AO70" s="33">
        <f>MAX([1]Examen31!AO15,[1]Examen32!AO15,[1]Examen33!AO15)</f>
        <v>0</v>
      </c>
      <c r="AP70" s="32">
        <f t="shared" si="138"/>
        <v>-1</v>
      </c>
      <c r="AQ70" s="33">
        <f>MAX([1]Examen31!AQ15,[1]Examen32!AQ15,[1]Examen33!AQ15)</f>
        <v>0</v>
      </c>
      <c r="AR70" s="32">
        <f t="shared" si="139"/>
        <v>-1</v>
      </c>
      <c r="AS70" s="33">
        <f>MAX([1]Examen31!AS15,[1]Examen32!AS15,[1]Examen33!AS15)</f>
        <v>0</v>
      </c>
      <c r="AT70" s="32">
        <f t="shared" si="140"/>
        <v>-1</v>
      </c>
      <c r="AU70" s="33">
        <f>MAX([1]Examen31!AU15,[1]Examen32!AU15,[1]Examen33!AU15)</f>
        <v>0</v>
      </c>
      <c r="AV70" s="32">
        <f t="shared" si="141"/>
        <v>-1</v>
      </c>
      <c r="AW70" s="33">
        <f>MAX([1]Examen31!AW15,[1]Examen32!AW15,[1]Examen33!AW15)</f>
        <v>0</v>
      </c>
      <c r="AX70" s="32">
        <f t="shared" si="142"/>
        <v>-1</v>
      </c>
      <c r="AY70" s="33">
        <f>MAX([1]Examen31!AY15,[1]Examen32!AY15,[1]Examen33!AY15)</f>
        <v>0</v>
      </c>
      <c r="AZ70" s="32">
        <f t="shared" si="143"/>
        <v>-1</v>
      </c>
      <c r="BA70" s="33">
        <f>MAX([1]Examen31!BA15,[1]Examen32!BA15,[1]Examen33!BA15)</f>
        <v>0</v>
      </c>
      <c r="BB70" s="32">
        <f t="shared" si="144"/>
        <v>-1</v>
      </c>
      <c r="BC70" s="33">
        <f>MAX([1]Examen31!BC15,[1]Examen32!BC15,[1]Examen33!BC15)</f>
        <v>0</v>
      </c>
      <c r="BD70" s="32">
        <f t="shared" si="145"/>
        <v>-1</v>
      </c>
      <c r="BE70" s="33">
        <f>MAX([1]Examen31!BE15,[1]Examen32!BE15,[1]Examen33!BE15)</f>
        <v>0</v>
      </c>
      <c r="BF70" s="32">
        <f t="shared" si="146"/>
        <v>-1</v>
      </c>
      <c r="BG70" s="33">
        <f>MAX([1]Examen31!BG15,[1]Examen32!BG15,[1]Examen33!BG15)</f>
        <v>0</v>
      </c>
      <c r="BH70" s="32">
        <f t="shared" si="147"/>
        <v>-1</v>
      </c>
      <c r="BI70" s="33">
        <f>MAX([1]Examen31!BI15,[1]Examen32!BI15,[1]Examen33!BI15)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MAX([1]Examen31!B16,[1]Examen32!B16,[1]Examen33!B16)</f>
        <v>0</v>
      </c>
      <c r="C71" s="33">
        <f>MAX([1]Examen31!C16,[1]Examen32!C16,[1]Examen33!C16)</f>
        <v>0</v>
      </c>
      <c r="D71" s="32">
        <f t="shared" si="119"/>
        <v>-1</v>
      </c>
      <c r="E71" s="33">
        <f>MAX([1]Examen31!E16,[1]Examen32!E16,[1]Examen33!E16)</f>
        <v>0</v>
      </c>
      <c r="F71" s="32">
        <f t="shared" si="120"/>
        <v>-1</v>
      </c>
      <c r="G71" s="33">
        <f>MAX([1]Examen31!G16,[1]Examen32!G16,[1]Examen33!G16)</f>
        <v>0</v>
      </c>
      <c r="H71" s="32">
        <f t="shared" si="121"/>
        <v>-1</v>
      </c>
      <c r="I71" s="33">
        <f>MAX([1]Examen31!I16,[1]Examen32!I16,[1]Examen33!I16)</f>
        <v>0</v>
      </c>
      <c r="J71" s="32">
        <f t="shared" si="122"/>
        <v>-1</v>
      </c>
      <c r="K71" s="33">
        <f>MAX([1]Examen31!K16,[1]Examen32!K16,[1]Examen33!K16)</f>
        <v>0</v>
      </c>
      <c r="L71" s="32">
        <f t="shared" si="123"/>
        <v>-1</v>
      </c>
      <c r="M71" s="33">
        <f>MAX([1]Examen31!M16,[1]Examen32!M16,[1]Examen33!M16)</f>
        <v>0</v>
      </c>
      <c r="N71" s="32">
        <f t="shared" si="124"/>
        <v>-1</v>
      </c>
      <c r="O71" s="33">
        <f>MAX([1]Examen31!O16,[1]Examen32!O16,[1]Examen33!O16)</f>
        <v>0</v>
      </c>
      <c r="P71" s="32">
        <f t="shared" si="125"/>
        <v>-1</v>
      </c>
      <c r="Q71" s="33">
        <f>MAX([1]Examen31!Q16,[1]Examen32!Q16,[1]Examen33!Q16)</f>
        <v>0</v>
      </c>
      <c r="R71" s="32">
        <f t="shared" si="126"/>
        <v>-1</v>
      </c>
      <c r="S71" s="33">
        <f>MAX([1]Examen31!S16,[1]Examen32!S16,[1]Examen33!S16)</f>
        <v>0</v>
      </c>
      <c r="T71" s="32">
        <f t="shared" si="127"/>
        <v>-1</v>
      </c>
      <c r="U71" s="33">
        <f>MAX([1]Examen31!U16,[1]Examen32!U16,[1]Examen33!U16)</f>
        <v>0</v>
      </c>
      <c r="V71" s="32">
        <f t="shared" si="128"/>
        <v>-1</v>
      </c>
      <c r="W71" s="33">
        <f>MAX([1]Examen31!W16,[1]Examen32!W16,[1]Examen33!W16)</f>
        <v>0</v>
      </c>
      <c r="X71" s="32">
        <f t="shared" si="129"/>
        <v>-1</v>
      </c>
      <c r="Y71" s="33">
        <f>MAX([1]Examen31!Y16,[1]Examen32!Y16,[1]Examen33!Y16)</f>
        <v>0</v>
      </c>
      <c r="Z71" s="32">
        <f t="shared" si="130"/>
        <v>-1</v>
      </c>
      <c r="AA71" s="33">
        <f>MAX([1]Examen31!AA16,[1]Examen32!AA16,[1]Examen33!AA16)</f>
        <v>0</v>
      </c>
      <c r="AB71" s="32">
        <f t="shared" si="131"/>
        <v>-1</v>
      </c>
      <c r="AC71" s="33">
        <f>MAX([1]Examen31!AC16,[1]Examen32!AC16,[1]Examen33!AC16)</f>
        <v>0</v>
      </c>
      <c r="AD71" s="32">
        <f t="shared" si="132"/>
        <v>-1</v>
      </c>
      <c r="AE71" s="33">
        <f>MAX([1]Examen31!AE16,[1]Examen32!AE16,[1]Examen33!AE16)</f>
        <v>0</v>
      </c>
      <c r="AF71" s="32">
        <f t="shared" si="133"/>
        <v>-1</v>
      </c>
      <c r="AG71" s="33">
        <f>MAX([1]Examen31!AG16,[1]Examen32!AG16,[1]Examen33!AG16)</f>
        <v>0</v>
      </c>
      <c r="AH71" s="32">
        <f t="shared" si="134"/>
        <v>-1</v>
      </c>
      <c r="AI71" s="33">
        <f>MAX([1]Examen31!AI16,[1]Examen32!AI16,[1]Examen33!AI16)</f>
        <v>0</v>
      </c>
      <c r="AJ71" s="32">
        <f t="shared" si="135"/>
        <v>-1</v>
      </c>
      <c r="AK71" s="33">
        <f>MAX([1]Examen31!AK16,[1]Examen32!AK16,[1]Examen33!AK16)</f>
        <v>0</v>
      </c>
      <c r="AL71" s="32">
        <f t="shared" si="136"/>
        <v>-1</v>
      </c>
      <c r="AM71" s="33">
        <f>MAX([1]Examen31!AM16,[1]Examen32!AM16,[1]Examen33!AM16)</f>
        <v>0</v>
      </c>
      <c r="AN71" s="32">
        <f t="shared" si="137"/>
        <v>-1</v>
      </c>
      <c r="AO71" s="33">
        <f>MAX([1]Examen31!AO16,[1]Examen32!AO16,[1]Examen33!AO16)</f>
        <v>0</v>
      </c>
      <c r="AP71" s="32">
        <f t="shared" si="138"/>
        <v>-1</v>
      </c>
      <c r="AQ71" s="33">
        <f>MAX([1]Examen31!AQ16,[1]Examen32!AQ16,[1]Examen33!AQ16)</f>
        <v>0</v>
      </c>
      <c r="AR71" s="32">
        <f t="shared" si="139"/>
        <v>-1</v>
      </c>
      <c r="AS71" s="33">
        <f>MAX([1]Examen31!AS16,[1]Examen32!AS16,[1]Examen33!AS16)</f>
        <v>0</v>
      </c>
      <c r="AT71" s="32">
        <f t="shared" si="140"/>
        <v>-1</v>
      </c>
      <c r="AU71" s="33">
        <f>MAX([1]Examen31!AU16,[1]Examen32!AU16,[1]Examen33!AU16)</f>
        <v>0</v>
      </c>
      <c r="AV71" s="32">
        <f t="shared" si="141"/>
        <v>-1</v>
      </c>
      <c r="AW71" s="33">
        <f>MAX([1]Examen31!AW16,[1]Examen32!AW16,[1]Examen33!AW16)</f>
        <v>0</v>
      </c>
      <c r="AX71" s="32">
        <f t="shared" si="142"/>
        <v>-1</v>
      </c>
      <c r="AY71" s="33">
        <f>MAX([1]Examen31!AY16,[1]Examen32!AY16,[1]Examen33!AY16)</f>
        <v>0</v>
      </c>
      <c r="AZ71" s="32">
        <f t="shared" si="143"/>
        <v>-1</v>
      </c>
      <c r="BA71" s="33">
        <f>MAX([1]Examen31!BA16,[1]Examen32!BA16,[1]Examen33!BA16)</f>
        <v>0</v>
      </c>
      <c r="BB71" s="32">
        <f t="shared" si="144"/>
        <v>-1</v>
      </c>
      <c r="BC71" s="33">
        <f>MAX([1]Examen31!BC16,[1]Examen32!BC16,[1]Examen33!BC16)</f>
        <v>0</v>
      </c>
      <c r="BD71" s="32">
        <f t="shared" si="145"/>
        <v>-1</v>
      </c>
      <c r="BE71" s="33">
        <f>MAX([1]Examen31!BE16,[1]Examen32!BE16,[1]Examen33!BE16)</f>
        <v>0</v>
      </c>
      <c r="BF71" s="32">
        <f t="shared" si="146"/>
        <v>-1</v>
      </c>
      <c r="BG71" s="33">
        <f>MAX([1]Examen31!BG16,[1]Examen32!BG16,[1]Examen33!BG16)</f>
        <v>0</v>
      </c>
      <c r="BH71" s="32">
        <f t="shared" si="147"/>
        <v>-1</v>
      </c>
      <c r="BI71" s="33">
        <f>MAX([1]Examen31!BI16,[1]Examen32!BI16,[1]Examen33!BI16)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MAX([1]Examen31!B17,[1]Examen32!B17,[1]Examen33!B17)</f>
        <v>0</v>
      </c>
      <c r="C72" s="33">
        <f>MAX([1]Examen31!C17,[1]Examen32!C17,[1]Examen33!C17)</f>
        <v>0</v>
      </c>
      <c r="D72" s="32">
        <f t="shared" si="119"/>
        <v>-1</v>
      </c>
      <c r="E72" s="33">
        <f>MAX([1]Examen31!E17,[1]Examen32!E17,[1]Examen33!E17)</f>
        <v>0</v>
      </c>
      <c r="F72" s="32">
        <f t="shared" si="120"/>
        <v>-1</v>
      </c>
      <c r="G72" s="33">
        <f>MAX([1]Examen31!G17,[1]Examen32!G17,[1]Examen33!G17)</f>
        <v>0</v>
      </c>
      <c r="H72" s="32">
        <f t="shared" si="121"/>
        <v>-1</v>
      </c>
      <c r="I72" s="33">
        <f>MAX([1]Examen31!I17,[1]Examen32!I17,[1]Examen33!I17)</f>
        <v>0</v>
      </c>
      <c r="J72" s="32">
        <f t="shared" si="122"/>
        <v>-1</v>
      </c>
      <c r="K72" s="33">
        <f>MAX([1]Examen31!K17,[1]Examen32!K17,[1]Examen33!K17)</f>
        <v>0</v>
      </c>
      <c r="L72" s="32">
        <f t="shared" si="123"/>
        <v>-1</v>
      </c>
      <c r="M72" s="33">
        <f>MAX([1]Examen31!M17,[1]Examen32!M17,[1]Examen33!M17)</f>
        <v>0</v>
      </c>
      <c r="N72" s="32">
        <f t="shared" si="124"/>
        <v>-1</v>
      </c>
      <c r="O72" s="33">
        <f>MAX([1]Examen31!O17,[1]Examen32!O17,[1]Examen33!O17)</f>
        <v>0</v>
      </c>
      <c r="P72" s="32">
        <f t="shared" si="125"/>
        <v>-1</v>
      </c>
      <c r="Q72" s="33">
        <f>MAX([1]Examen31!Q17,[1]Examen32!Q17,[1]Examen33!Q17)</f>
        <v>0</v>
      </c>
      <c r="R72" s="32">
        <f t="shared" si="126"/>
        <v>-1</v>
      </c>
      <c r="S72" s="33">
        <f>MAX([1]Examen31!S17,[1]Examen32!S17,[1]Examen33!S17)</f>
        <v>0</v>
      </c>
      <c r="T72" s="32">
        <f t="shared" si="127"/>
        <v>-1</v>
      </c>
      <c r="U72" s="33">
        <f>MAX([1]Examen31!U17,[1]Examen32!U17,[1]Examen33!U17)</f>
        <v>0</v>
      </c>
      <c r="V72" s="32">
        <f t="shared" si="128"/>
        <v>-1</v>
      </c>
      <c r="W72" s="33">
        <f>MAX([1]Examen31!W17,[1]Examen32!W17,[1]Examen33!W17)</f>
        <v>0</v>
      </c>
      <c r="X72" s="32">
        <f t="shared" si="129"/>
        <v>-1</v>
      </c>
      <c r="Y72" s="33">
        <f>MAX([1]Examen31!Y17,[1]Examen32!Y17,[1]Examen33!Y17)</f>
        <v>0</v>
      </c>
      <c r="Z72" s="32">
        <f t="shared" si="130"/>
        <v>-1</v>
      </c>
      <c r="AA72" s="33">
        <f>MAX([1]Examen31!AA17,[1]Examen32!AA17,[1]Examen33!AA17)</f>
        <v>0</v>
      </c>
      <c r="AB72" s="32">
        <f t="shared" si="131"/>
        <v>-1</v>
      </c>
      <c r="AC72" s="33">
        <f>MAX([1]Examen31!AC17,[1]Examen32!AC17,[1]Examen33!AC17)</f>
        <v>0</v>
      </c>
      <c r="AD72" s="32">
        <f t="shared" si="132"/>
        <v>-1</v>
      </c>
      <c r="AE72" s="33">
        <f>MAX([1]Examen31!AE17,[1]Examen32!AE17,[1]Examen33!AE17)</f>
        <v>0</v>
      </c>
      <c r="AF72" s="32">
        <f t="shared" si="133"/>
        <v>-1</v>
      </c>
      <c r="AG72" s="33">
        <f>MAX([1]Examen31!AG17,[1]Examen32!AG17,[1]Examen33!AG17)</f>
        <v>0</v>
      </c>
      <c r="AH72" s="32">
        <f t="shared" si="134"/>
        <v>-1</v>
      </c>
      <c r="AI72" s="33">
        <f>MAX([1]Examen31!AI17,[1]Examen32!AI17,[1]Examen33!AI17)</f>
        <v>0</v>
      </c>
      <c r="AJ72" s="32">
        <f t="shared" si="135"/>
        <v>-1</v>
      </c>
      <c r="AK72" s="33">
        <f>MAX([1]Examen31!AK17,[1]Examen32!AK17,[1]Examen33!AK17)</f>
        <v>0</v>
      </c>
      <c r="AL72" s="32">
        <f t="shared" si="136"/>
        <v>-1</v>
      </c>
      <c r="AM72" s="33">
        <f>MAX([1]Examen31!AM17,[1]Examen32!AM17,[1]Examen33!AM17)</f>
        <v>0</v>
      </c>
      <c r="AN72" s="32">
        <f t="shared" si="137"/>
        <v>-1</v>
      </c>
      <c r="AO72" s="33">
        <f>MAX([1]Examen31!AO17,[1]Examen32!AO17,[1]Examen33!AO17)</f>
        <v>0</v>
      </c>
      <c r="AP72" s="32">
        <f t="shared" si="138"/>
        <v>-1</v>
      </c>
      <c r="AQ72" s="33">
        <f>MAX([1]Examen31!AQ17,[1]Examen32!AQ17,[1]Examen33!AQ17)</f>
        <v>0</v>
      </c>
      <c r="AR72" s="32">
        <f t="shared" si="139"/>
        <v>-1</v>
      </c>
      <c r="AS72" s="33">
        <f>MAX([1]Examen31!AS17,[1]Examen32!AS17,[1]Examen33!AS17)</f>
        <v>0</v>
      </c>
      <c r="AT72" s="32">
        <f t="shared" si="140"/>
        <v>-1</v>
      </c>
      <c r="AU72" s="33">
        <f>MAX([1]Examen31!AU17,[1]Examen32!AU17,[1]Examen33!AU17)</f>
        <v>0</v>
      </c>
      <c r="AV72" s="32">
        <f t="shared" si="141"/>
        <v>-1</v>
      </c>
      <c r="AW72" s="33">
        <f>MAX([1]Examen31!AW17,[1]Examen32!AW17,[1]Examen33!AW17)</f>
        <v>0</v>
      </c>
      <c r="AX72" s="32">
        <f t="shared" si="142"/>
        <v>-1</v>
      </c>
      <c r="AY72" s="33">
        <f>MAX([1]Examen31!AY17,[1]Examen32!AY17,[1]Examen33!AY17)</f>
        <v>0</v>
      </c>
      <c r="AZ72" s="32">
        <f t="shared" si="143"/>
        <v>-1</v>
      </c>
      <c r="BA72" s="33">
        <f>MAX([1]Examen31!BA17,[1]Examen32!BA17,[1]Examen33!BA17)</f>
        <v>0</v>
      </c>
      <c r="BB72" s="32">
        <f t="shared" si="144"/>
        <v>-1</v>
      </c>
      <c r="BC72" s="33">
        <f>MAX([1]Examen31!BC17,[1]Examen32!BC17,[1]Examen33!BC17)</f>
        <v>0</v>
      </c>
      <c r="BD72" s="32">
        <f t="shared" si="145"/>
        <v>-1</v>
      </c>
      <c r="BE72" s="33">
        <f>MAX([1]Examen31!BE17,[1]Examen32!BE17,[1]Examen33!BE17)</f>
        <v>0</v>
      </c>
      <c r="BF72" s="32">
        <f t="shared" si="146"/>
        <v>-1</v>
      </c>
      <c r="BG72" s="33">
        <f>MAX([1]Examen31!BG17,[1]Examen32!BG17,[1]Examen33!BG17)</f>
        <v>0</v>
      </c>
      <c r="BH72" s="32">
        <f t="shared" si="147"/>
        <v>-1</v>
      </c>
      <c r="BI72" s="33">
        <f>MAX([1]Examen31!BI17,[1]Examen32!BI17,[1]Examen33!BI17)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MAX([1]Examen31!B18,[1]Examen32!B18,[1]Examen33!B18)</f>
        <v>0</v>
      </c>
      <c r="C73" s="33">
        <f>MAX([1]Examen31!C18,[1]Examen32!C18,[1]Examen33!C18)</f>
        <v>0</v>
      </c>
      <c r="D73" s="32">
        <f t="shared" si="119"/>
        <v>-1</v>
      </c>
      <c r="E73" s="33">
        <f>MAX([1]Examen31!E18,[1]Examen32!E18,[1]Examen33!E18)</f>
        <v>0</v>
      </c>
      <c r="F73" s="32">
        <f t="shared" si="120"/>
        <v>-1</v>
      </c>
      <c r="G73" s="33">
        <f>MAX([1]Examen31!G18,[1]Examen32!G18,[1]Examen33!G18)</f>
        <v>0</v>
      </c>
      <c r="H73" s="32">
        <f t="shared" si="121"/>
        <v>-1</v>
      </c>
      <c r="I73" s="33">
        <f>MAX([1]Examen31!I18,[1]Examen32!I18,[1]Examen33!I18)</f>
        <v>0</v>
      </c>
      <c r="J73" s="32">
        <f t="shared" si="122"/>
        <v>-1</v>
      </c>
      <c r="K73" s="33">
        <f>MAX([1]Examen31!K18,[1]Examen32!K18,[1]Examen33!K18)</f>
        <v>0</v>
      </c>
      <c r="L73" s="32">
        <f t="shared" si="123"/>
        <v>-1</v>
      </c>
      <c r="M73" s="33">
        <f>MAX([1]Examen31!M18,[1]Examen32!M18,[1]Examen33!M18)</f>
        <v>0</v>
      </c>
      <c r="N73" s="32">
        <f t="shared" si="124"/>
        <v>-1</v>
      </c>
      <c r="O73" s="33">
        <f>MAX([1]Examen31!O18,[1]Examen32!O18,[1]Examen33!O18)</f>
        <v>0</v>
      </c>
      <c r="P73" s="32">
        <f t="shared" si="125"/>
        <v>-1</v>
      </c>
      <c r="Q73" s="33">
        <f>MAX([1]Examen31!Q18,[1]Examen32!Q18,[1]Examen33!Q18)</f>
        <v>0</v>
      </c>
      <c r="R73" s="32">
        <f t="shared" si="126"/>
        <v>-1</v>
      </c>
      <c r="S73" s="33">
        <f>MAX([1]Examen31!S18,[1]Examen32!S18,[1]Examen33!S18)</f>
        <v>0</v>
      </c>
      <c r="T73" s="32">
        <f t="shared" si="127"/>
        <v>-1</v>
      </c>
      <c r="U73" s="33">
        <f>MAX([1]Examen31!U18,[1]Examen32!U18,[1]Examen33!U18)</f>
        <v>0</v>
      </c>
      <c r="V73" s="32">
        <f t="shared" si="128"/>
        <v>-1</v>
      </c>
      <c r="W73" s="33">
        <f>MAX([1]Examen31!W18,[1]Examen32!W18,[1]Examen33!W18)</f>
        <v>0</v>
      </c>
      <c r="X73" s="32">
        <f t="shared" si="129"/>
        <v>-1</v>
      </c>
      <c r="Y73" s="33">
        <f>MAX([1]Examen31!Y18,[1]Examen32!Y18,[1]Examen33!Y18)</f>
        <v>0</v>
      </c>
      <c r="Z73" s="32">
        <f t="shared" si="130"/>
        <v>-1</v>
      </c>
      <c r="AA73" s="33">
        <f>MAX([1]Examen31!AA18,[1]Examen32!AA18,[1]Examen33!AA18)</f>
        <v>0</v>
      </c>
      <c r="AB73" s="32">
        <f t="shared" si="131"/>
        <v>-1</v>
      </c>
      <c r="AC73" s="33">
        <f>MAX([1]Examen31!AC18,[1]Examen32!AC18,[1]Examen33!AC18)</f>
        <v>0</v>
      </c>
      <c r="AD73" s="32">
        <f t="shared" si="132"/>
        <v>-1</v>
      </c>
      <c r="AE73" s="33">
        <f>MAX([1]Examen31!AE18,[1]Examen32!AE18,[1]Examen33!AE18)</f>
        <v>0</v>
      </c>
      <c r="AF73" s="32">
        <f t="shared" si="133"/>
        <v>-1</v>
      </c>
      <c r="AG73" s="33">
        <f>MAX([1]Examen31!AG18,[1]Examen32!AG18,[1]Examen33!AG18)</f>
        <v>0</v>
      </c>
      <c r="AH73" s="32">
        <f t="shared" si="134"/>
        <v>-1</v>
      </c>
      <c r="AI73" s="33">
        <f>MAX([1]Examen31!AI18,[1]Examen32!AI18,[1]Examen33!AI18)</f>
        <v>0</v>
      </c>
      <c r="AJ73" s="32">
        <f t="shared" si="135"/>
        <v>-1</v>
      </c>
      <c r="AK73" s="33">
        <f>MAX([1]Examen31!AK18,[1]Examen32!AK18,[1]Examen33!AK18)</f>
        <v>0</v>
      </c>
      <c r="AL73" s="32">
        <f t="shared" si="136"/>
        <v>-1</v>
      </c>
      <c r="AM73" s="33">
        <f>MAX([1]Examen31!AM18,[1]Examen32!AM18,[1]Examen33!AM18)</f>
        <v>0</v>
      </c>
      <c r="AN73" s="32">
        <f t="shared" si="137"/>
        <v>-1</v>
      </c>
      <c r="AO73" s="33">
        <f>MAX([1]Examen31!AO18,[1]Examen32!AO18,[1]Examen33!AO18)</f>
        <v>0</v>
      </c>
      <c r="AP73" s="32">
        <f t="shared" si="138"/>
        <v>-1</v>
      </c>
      <c r="AQ73" s="33">
        <f>MAX([1]Examen31!AQ18,[1]Examen32!AQ18,[1]Examen33!AQ18)</f>
        <v>0</v>
      </c>
      <c r="AR73" s="32">
        <f t="shared" si="139"/>
        <v>-1</v>
      </c>
      <c r="AS73" s="33">
        <f>MAX([1]Examen31!AS18,[1]Examen32!AS18,[1]Examen33!AS18)</f>
        <v>0</v>
      </c>
      <c r="AT73" s="32">
        <f t="shared" si="140"/>
        <v>-1</v>
      </c>
      <c r="AU73" s="33">
        <f>MAX([1]Examen31!AU18,[1]Examen32!AU18,[1]Examen33!AU18)</f>
        <v>0</v>
      </c>
      <c r="AV73" s="32">
        <f t="shared" si="141"/>
        <v>-1</v>
      </c>
      <c r="AW73" s="33">
        <f>MAX([1]Examen31!AW18,[1]Examen32!AW18,[1]Examen33!AW18)</f>
        <v>0</v>
      </c>
      <c r="AX73" s="32">
        <f t="shared" si="142"/>
        <v>-1</v>
      </c>
      <c r="AY73" s="33">
        <f>MAX([1]Examen31!AY18,[1]Examen32!AY18,[1]Examen33!AY18)</f>
        <v>0</v>
      </c>
      <c r="AZ73" s="32">
        <f t="shared" si="143"/>
        <v>-1</v>
      </c>
      <c r="BA73" s="33">
        <f>MAX([1]Examen31!BA18,[1]Examen32!BA18,[1]Examen33!BA18)</f>
        <v>0</v>
      </c>
      <c r="BB73" s="32">
        <f t="shared" si="144"/>
        <v>-1</v>
      </c>
      <c r="BC73" s="33">
        <f>MAX([1]Examen31!BC18,[1]Examen32!BC18,[1]Examen33!BC18)</f>
        <v>0</v>
      </c>
      <c r="BD73" s="32">
        <f t="shared" si="145"/>
        <v>-1</v>
      </c>
      <c r="BE73" s="33">
        <f>MAX([1]Examen31!BE18,[1]Examen32!BE18,[1]Examen33!BE18)</f>
        <v>0</v>
      </c>
      <c r="BF73" s="32">
        <f t="shared" si="146"/>
        <v>-1</v>
      </c>
      <c r="BG73" s="33">
        <f>MAX([1]Examen31!BG18,[1]Examen32!BG18,[1]Examen33!BG18)</f>
        <v>0</v>
      </c>
      <c r="BH73" s="32">
        <f t="shared" si="147"/>
        <v>-1</v>
      </c>
      <c r="BI73" s="33">
        <f>MAX([1]Examen31!BI18,[1]Examen32!BI18,[1]Examen33!BI18)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MAX([1]Examen31!B19,[1]Examen32!B19,[1]Examen33!B19)</f>
        <v>0</v>
      </c>
      <c r="C74" s="33">
        <f>MAX([1]Examen31!C19,[1]Examen32!C19,[1]Examen33!C19)</f>
        <v>0</v>
      </c>
      <c r="D74" s="32">
        <f t="shared" si="119"/>
        <v>-1</v>
      </c>
      <c r="E74" s="33">
        <f>MAX([1]Examen31!E19,[1]Examen32!E19,[1]Examen33!E19)</f>
        <v>0</v>
      </c>
      <c r="F74" s="32">
        <f t="shared" si="120"/>
        <v>-1</v>
      </c>
      <c r="G74" s="33">
        <f>MAX([1]Examen31!G19,[1]Examen32!G19,[1]Examen33!G19)</f>
        <v>0</v>
      </c>
      <c r="H74" s="32">
        <f t="shared" si="121"/>
        <v>-1</v>
      </c>
      <c r="I74" s="33">
        <f>MAX([1]Examen31!I19,[1]Examen32!I19,[1]Examen33!I19)</f>
        <v>0</v>
      </c>
      <c r="J74" s="32">
        <f t="shared" si="122"/>
        <v>-1</v>
      </c>
      <c r="K74" s="33">
        <f>MAX([1]Examen31!K19,[1]Examen32!K19,[1]Examen33!K19)</f>
        <v>0</v>
      </c>
      <c r="L74" s="32">
        <f t="shared" si="123"/>
        <v>-1</v>
      </c>
      <c r="M74" s="33">
        <f>MAX([1]Examen31!M19,[1]Examen32!M19,[1]Examen33!M19)</f>
        <v>0</v>
      </c>
      <c r="N74" s="32">
        <f t="shared" si="124"/>
        <v>-1</v>
      </c>
      <c r="O74" s="33">
        <f>MAX([1]Examen31!O19,[1]Examen32!O19,[1]Examen33!O19)</f>
        <v>0</v>
      </c>
      <c r="P74" s="32">
        <f t="shared" si="125"/>
        <v>-1</v>
      </c>
      <c r="Q74" s="33">
        <f>MAX([1]Examen31!Q19,[1]Examen32!Q19,[1]Examen33!Q19)</f>
        <v>0</v>
      </c>
      <c r="R74" s="32">
        <f t="shared" si="126"/>
        <v>-1</v>
      </c>
      <c r="S74" s="33">
        <f>MAX([1]Examen31!S19,[1]Examen32!S19,[1]Examen33!S19)</f>
        <v>0</v>
      </c>
      <c r="T74" s="32">
        <f t="shared" si="127"/>
        <v>-1</v>
      </c>
      <c r="U74" s="33">
        <f>MAX([1]Examen31!U19,[1]Examen32!U19,[1]Examen33!U19)</f>
        <v>0</v>
      </c>
      <c r="V74" s="32">
        <f t="shared" si="128"/>
        <v>-1</v>
      </c>
      <c r="W74" s="33">
        <f>MAX([1]Examen31!W19,[1]Examen32!W19,[1]Examen33!W19)</f>
        <v>0</v>
      </c>
      <c r="X74" s="32">
        <f t="shared" si="129"/>
        <v>-1</v>
      </c>
      <c r="Y74" s="33">
        <f>MAX([1]Examen31!Y19,[1]Examen32!Y19,[1]Examen33!Y19)</f>
        <v>0</v>
      </c>
      <c r="Z74" s="32">
        <f t="shared" si="130"/>
        <v>-1</v>
      </c>
      <c r="AA74" s="33">
        <f>MAX([1]Examen31!AA19,[1]Examen32!AA19,[1]Examen33!AA19)</f>
        <v>0</v>
      </c>
      <c r="AB74" s="32">
        <f t="shared" si="131"/>
        <v>-1</v>
      </c>
      <c r="AC74" s="33">
        <f>MAX([1]Examen31!AC19,[1]Examen32!AC19,[1]Examen33!AC19)</f>
        <v>0</v>
      </c>
      <c r="AD74" s="32">
        <f t="shared" si="132"/>
        <v>-1</v>
      </c>
      <c r="AE74" s="33">
        <f>MAX([1]Examen31!AE19,[1]Examen32!AE19,[1]Examen33!AE19)</f>
        <v>0</v>
      </c>
      <c r="AF74" s="32">
        <f t="shared" si="133"/>
        <v>-1</v>
      </c>
      <c r="AG74" s="33">
        <f>MAX([1]Examen31!AG19,[1]Examen32!AG19,[1]Examen33!AG19)</f>
        <v>0</v>
      </c>
      <c r="AH74" s="32">
        <f t="shared" si="134"/>
        <v>-1</v>
      </c>
      <c r="AI74" s="33">
        <f>MAX([1]Examen31!AI19,[1]Examen32!AI19,[1]Examen33!AI19)</f>
        <v>0</v>
      </c>
      <c r="AJ74" s="32">
        <f t="shared" si="135"/>
        <v>-1</v>
      </c>
      <c r="AK74" s="33">
        <f>MAX([1]Examen31!AK19,[1]Examen32!AK19,[1]Examen33!AK19)</f>
        <v>0</v>
      </c>
      <c r="AL74" s="32">
        <f t="shared" si="136"/>
        <v>-1</v>
      </c>
      <c r="AM74" s="33">
        <f>MAX([1]Examen31!AM19,[1]Examen32!AM19,[1]Examen33!AM19)</f>
        <v>0</v>
      </c>
      <c r="AN74" s="32">
        <f t="shared" si="137"/>
        <v>-1</v>
      </c>
      <c r="AO74" s="33">
        <f>MAX([1]Examen31!AO19,[1]Examen32!AO19,[1]Examen33!AO19)</f>
        <v>0</v>
      </c>
      <c r="AP74" s="32">
        <f t="shared" si="138"/>
        <v>-1</v>
      </c>
      <c r="AQ74" s="33">
        <f>MAX([1]Examen31!AQ19,[1]Examen32!AQ19,[1]Examen33!AQ19)</f>
        <v>0</v>
      </c>
      <c r="AR74" s="32">
        <f t="shared" si="139"/>
        <v>-1</v>
      </c>
      <c r="AS74" s="33">
        <f>MAX([1]Examen31!AS19,[1]Examen32!AS19,[1]Examen33!AS19)</f>
        <v>0</v>
      </c>
      <c r="AT74" s="32">
        <f t="shared" si="140"/>
        <v>-1</v>
      </c>
      <c r="AU74" s="33">
        <f>MAX([1]Examen31!AU19,[1]Examen32!AU19,[1]Examen33!AU19)</f>
        <v>0</v>
      </c>
      <c r="AV74" s="32">
        <f t="shared" si="141"/>
        <v>-1</v>
      </c>
      <c r="AW74" s="33">
        <f>MAX([1]Examen31!AW19,[1]Examen32!AW19,[1]Examen33!AW19)</f>
        <v>0</v>
      </c>
      <c r="AX74" s="32">
        <f t="shared" si="142"/>
        <v>-1</v>
      </c>
      <c r="AY74" s="33">
        <f>MAX([1]Examen31!AY19,[1]Examen32!AY19,[1]Examen33!AY19)</f>
        <v>0</v>
      </c>
      <c r="AZ74" s="32">
        <f t="shared" si="143"/>
        <v>-1</v>
      </c>
      <c r="BA74" s="33">
        <f>MAX([1]Examen31!BA19,[1]Examen32!BA19,[1]Examen33!BA19)</f>
        <v>0</v>
      </c>
      <c r="BB74" s="32">
        <f t="shared" si="144"/>
        <v>-1</v>
      </c>
      <c r="BC74" s="33">
        <f>MAX([1]Examen31!BC19,[1]Examen32!BC19,[1]Examen33!BC19)</f>
        <v>0</v>
      </c>
      <c r="BD74" s="32">
        <f t="shared" si="145"/>
        <v>-1</v>
      </c>
      <c r="BE74" s="33">
        <f>MAX([1]Examen31!BE19,[1]Examen32!BE19,[1]Examen33!BE19)</f>
        <v>0</v>
      </c>
      <c r="BF74" s="32">
        <f t="shared" si="146"/>
        <v>-1</v>
      </c>
      <c r="BG74" s="33">
        <f>MAX([1]Examen31!BG19,[1]Examen32!BG19,[1]Examen33!BG19)</f>
        <v>0</v>
      </c>
      <c r="BH74" s="32">
        <f t="shared" si="147"/>
        <v>-1</v>
      </c>
      <c r="BI74" s="33">
        <f>MAX([1]Examen31!BI19,[1]Examen32!BI19,[1]Examen33!BI19)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MAX([1]Examen31!B20,[1]Examen32!B20,[1]Examen33!B20)</f>
        <v>0</v>
      </c>
      <c r="C75" s="33">
        <f>MAX([1]Examen31!C20,[1]Examen32!C20,[1]Examen33!C20)</f>
        <v>0</v>
      </c>
      <c r="D75" s="32">
        <f t="shared" si="119"/>
        <v>-1</v>
      </c>
      <c r="E75" s="33">
        <f>MAX([1]Examen31!E20,[1]Examen32!E20,[1]Examen33!E20)</f>
        <v>0</v>
      </c>
      <c r="F75" s="32">
        <f t="shared" si="120"/>
        <v>-1</v>
      </c>
      <c r="G75" s="33">
        <f>MAX([1]Examen31!G20,[1]Examen32!G20,[1]Examen33!G20)</f>
        <v>0</v>
      </c>
      <c r="H75" s="32">
        <f t="shared" si="121"/>
        <v>-1</v>
      </c>
      <c r="I75" s="33">
        <f>MAX([1]Examen31!I20,[1]Examen32!I20,[1]Examen33!I20)</f>
        <v>0</v>
      </c>
      <c r="J75" s="32">
        <f t="shared" si="122"/>
        <v>-1</v>
      </c>
      <c r="K75" s="33">
        <f>MAX([1]Examen31!K20,[1]Examen32!K20,[1]Examen33!K20)</f>
        <v>0</v>
      </c>
      <c r="L75" s="32">
        <f t="shared" si="123"/>
        <v>-1</v>
      </c>
      <c r="M75" s="33">
        <f>MAX([1]Examen31!M20,[1]Examen32!M20,[1]Examen33!M20)</f>
        <v>0</v>
      </c>
      <c r="N75" s="32">
        <f t="shared" si="124"/>
        <v>-1</v>
      </c>
      <c r="O75" s="33">
        <f>MAX([1]Examen31!O20,[1]Examen32!O20,[1]Examen33!O20)</f>
        <v>0</v>
      </c>
      <c r="P75" s="32">
        <f t="shared" si="125"/>
        <v>-1</v>
      </c>
      <c r="Q75" s="33">
        <f>MAX([1]Examen31!Q20,[1]Examen32!Q20,[1]Examen33!Q20)</f>
        <v>0</v>
      </c>
      <c r="R75" s="32">
        <f t="shared" si="126"/>
        <v>-1</v>
      </c>
      <c r="S75" s="33">
        <f>MAX([1]Examen31!S20,[1]Examen32!S20,[1]Examen33!S20)</f>
        <v>0</v>
      </c>
      <c r="T75" s="32">
        <f t="shared" si="127"/>
        <v>-1</v>
      </c>
      <c r="U75" s="33">
        <f>MAX([1]Examen31!U20,[1]Examen32!U20,[1]Examen33!U20)</f>
        <v>0</v>
      </c>
      <c r="V75" s="32">
        <f t="shared" si="128"/>
        <v>-1</v>
      </c>
      <c r="W75" s="33">
        <f>MAX([1]Examen31!W20,[1]Examen32!W20,[1]Examen33!W20)</f>
        <v>0</v>
      </c>
      <c r="X75" s="32">
        <f t="shared" si="129"/>
        <v>-1</v>
      </c>
      <c r="Y75" s="33">
        <f>MAX([1]Examen31!Y20,[1]Examen32!Y20,[1]Examen33!Y20)</f>
        <v>0</v>
      </c>
      <c r="Z75" s="32">
        <f t="shared" si="130"/>
        <v>-1</v>
      </c>
      <c r="AA75" s="33">
        <f>MAX([1]Examen31!AA20,[1]Examen32!AA20,[1]Examen33!AA20)</f>
        <v>0</v>
      </c>
      <c r="AB75" s="32">
        <f t="shared" si="131"/>
        <v>-1</v>
      </c>
      <c r="AC75" s="33">
        <f>MAX([1]Examen31!AC20,[1]Examen32!AC20,[1]Examen33!AC20)</f>
        <v>0</v>
      </c>
      <c r="AD75" s="32">
        <f t="shared" si="132"/>
        <v>-1</v>
      </c>
      <c r="AE75" s="33">
        <f>MAX([1]Examen31!AE20,[1]Examen32!AE20,[1]Examen33!AE20)</f>
        <v>0</v>
      </c>
      <c r="AF75" s="32">
        <f t="shared" si="133"/>
        <v>-1</v>
      </c>
      <c r="AG75" s="33">
        <f>MAX([1]Examen31!AG20,[1]Examen32!AG20,[1]Examen33!AG20)</f>
        <v>0</v>
      </c>
      <c r="AH75" s="32">
        <f t="shared" si="134"/>
        <v>-1</v>
      </c>
      <c r="AI75" s="33">
        <f>MAX([1]Examen31!AI20,[1]Examen32!AI20,[1]Examen33!AI20)</f>
        <v>0</v>
      </c>
      <c r="AJ75" s="32">
        <f t="shared" si="135"/>
        <v>-1</v>
      </c>
      <c r="AK75" s="33">
        <f>MAX([1]Examen31!AK20,[1]Examen32!AK20,[1]Examen33!AK20)</f>
        <v>0</v>
      </c>
      <c r="AL75" s="32">
        <f t="shared" si="136"/>
        <v>-1</v>
      </c>
      <c r="AM75" s="33">
        <f>MAX([1]Examen31!AM20,[1]Examen32!AM20,[1]Examen33!AM20)</f>
        <v>0</v>
      </c>
      <c r="AN75" s="32">
        <f t="shared" si="137"/>
        <v>-1</v>
      </c>
      <c r="AO75" s="33">
        <f>MAX([1]Examen31!AO20,[1]Examen32!AO20,[1]Examen33!AO20)</f>
        <v>0</v>
      </c>
      <c r="AP75" s="32">
        <f t="shared" si="138"/>
        <v>-1</v>
      </c>
      <c r="AQ75" s="33">
        <f>MAX([1]Examen31!AQ20,[1]Examen32!AQ20,[1]Examen33!AQ20)</f>
        <v>0</v>
      </c>
      <c r="AR75" s="32">
        <f t="shared" si="139"/>
        <v>-1</v>
      </c>
      <c r="AS75" s="33">
        <f>MAX([1]Examen31!AS20,[1]Examen32!AS20,[1]Examen33!AS20)</f>
        <v>0</v>
      </c>
      <c r="AT75" s="32">
        <f t="shared" si="140"/>
        <v>-1</v>
      </c>
      <c r="AU75" s="33">
        <f>MAX([1]Examen31!AU20,[1]Examen32!AU20,[1]Examen33!AU20)</f>
        <v>0</v>
      </c>
      <c r="AV75" s="32">
        <f t="shared" si="141"/>
        <v>-1</v>
      </c>
      <c r="AW75" s="33">
        <f>MAX([1]Examen31!AW20,[1]Examen32!AW20,[1]Examen33!AW20)</f>
        <v>0</v>
      </c>
      <c r="AX75" s="32">
        <f t="shared" si="142"/>
        <v>-1</v>
      </c>
      <c r="AY75" s="33">
        <f>MAX([1]Examen31!AY20,[1]Examen32!AY20,[1]Examen33!AY20)</f>
        <v>0</v>
      </c>
      <c r="AZ75" s="32">
        <f t="shared" si="143"/>
        <v>-1</v>
      </c>
      <c r="BA75" s="33">
        <f>MAX([1]Examen31!BA20,[1]Examen32!BA20,[1]Examen33!BA20)</f>
        <v>0</v>
      </c>
      <c r="BB75" s="32">
        <f t="shared" si="144"/>
        <v>-1</v>
      </c>
      <c r="BC75" s="33">
        <f>MAX([1]Examen31!BC20,[1]Examen32!BC20,[1]Examen33!BC20)</f>
        <v>0</v>
      </c>
      <c r="BD75" s="32">
        <f t="shared" si="145"/>
        <v>-1</v>
      </c>
      <c r="BE75" s="33">
        <f>MAX([1]Examen31!BE20,[1]Examen32!BE20,[1]Examen33!BE20)</f>
        <v>0</v>
      </c>
      <c r="BF75" s="32">
        <f t="shared" si="146"/>
        <v>-1</v>
      </c>
      <c r="BG75" s="33">
        <f>MAX([1]Examen31!BG20,[1]Examen32!BG20,[1]Examen33!BG20)</f>
        <v>0</v>
      </c>
      <c r="BH75" s="32">
        <f t="shared" si="147"/>
        <v>-1</v>
      </c>
      <c r="BI75" s="33">
        <f>MAX([1]Examen31!BI20,[1]Examen32!BI20,[1]Examen33!BI20)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MAX([1]Examen31!B21,[1]Examen32!B21,[1]Examen33!B21)</f>
        <v>0</v>
      </c>
      <c r="C76" s="33">
        <f>MAX([1]Examen31!C21,[1]Examen32!C21,[1]Examen33!C21)</f>
        <v>0</v>
      </c>
      <c r="D76" s="32">
        <f t="shared" si="119"/>
        <v>-1</v>
      </c>
      <c r="E76" s="33">
        <f>MAX([1]Examen31!E21,[1]Examen32!E21,[1]Examen33!E21)</f>
        <v>0</v>
      </c>
      <c r="F76" s="32">
        <f t="shared" si="120"/>
        <v>-1</v>
      </c>
      <c r="G76" s="33">
        <f>MAX([1]Examen31!G21,[1]Examen32!G21,[1]Examen33!G21)</f>
        <v>0</v>
      </c>
      <c r="H76" s="32">
        <f t="shared" si="121"/>
        <v>-1</v>
      </c>
      <c r="I76" s="33">
        <f>MAX([1]Examen31!I21,[1]Examen32!I21,[1]Examen33!I21)</f>
        <v>0</v>
      </c>
      <c r="J76" s="32">
        <f t="shared" si="122"/>
        <v>-1</v>
      </c>
      <c r="K76" s="33">
        <f>MAX([1]Examen31!K21,[1]Examen32!K21,[1]Examen33!K21)</f>
        <v>0</v>
      </c>
      <c r="L76" s="32">
        <f t="shared" si="123"/>
        <v>-1</v>
      </c>
      <c r="M76" s="33">
        <f>MAX([1]Examen31!M21,[1]Examen32!M21,[1]Examen33!M21)</f>
        <v>0</v>
      </c>
      <c r="N76" s="32">
        <f t="shared" si="124"/>
        <v>-1</v>
      </c>
      <c r="O76" s="33">
        <f>MAX([1]Examen31!O21,[1]Examen32!O21,[1]Examen33!O21)</f>
        <v>0</v>
      </c>
      <c r="P76" s="32">
        <f t="shared" si="125"/>
        <v>-1</v>
      </c>
      <c r="Q76" s="33">
        <f>MAX([1]Examen31!Q21,[1]Examen32!Q21,[1]Examen33!Q21)</f>
        <v>0</v>
      </c>
      <c r="R76" s="32">
        <f t="shared" si="126"/>
        <v>-1</v>
      </c>
      <c r="S76" s="33">
        <f>MAX([1]Examen31!S21,[1]Examen32!S21,[1]Examen33!S21)</f>
        <v>0</v>
      </c>
      <c r="T76" s="32">
        <f t="shared" si="127"/>
        <v>-1</v>
      </c>
      <c r="U76" s="33">
        <f>MAX([1]Examen31!U21,[1]Examen32!U21,[1]Examen33!U21)</f>
        <v>0</v>
      </c>
      <c r="V76" s="32">
        <f t="shared" si="128"/>
        <v>-1</v>
      </c>
      <c r="W76" s="33">
        <f>MAX([1]Examen31!W21,[1]Examen32!W21,[1]Examen33!W21)</f>
        <v>0</v>
      </c>
      <c r="X76" s="32">
        <f t="shared" si="129"/>
        <v>-1</v>
      </c>
      <c r="Y76" s="33">
        <f>MAX([1]Examen31!Y21,[1]Examen32!Y21,[1]Examen33!Y21)</f>
        <v>0</v>
      </c>
      <c r="Z76" s="32">
        <f t="shared" si="130"/>
        <v>-1</v>
      </c>
      <c r="AA76" s="33">
        <f>MAX([1]Examen31!AA21,[1]Examen32!AA21,[1]Examen33!AA21)</f>
        <v>0</v>
      </c>
      <c r="AB76" s="32">
        <f t="shared" si="131"/>
        <v>-1</v>
      </c>
      <c r="AC76" s="33">
        <f>MAX([1]Examen31!AC21,[1]Examen32!AC21,[1]Examen33!AC21)</f>
        <v>0</v>
      </c>
      <c r="AD76" s="32">
        <f t="shared" si="132"/>
        <v>-1</v>
      </c>
      <c r="AE76" s="33">
        <f>MAX([1]Examen31!AE21,[1]Examen32!AE21,[1]Examen33!AE21)</f>
        <v>0</v>
      </c>
      <c r="AF76" s="32">
        <f t="shared" si="133"/>
        <v>-1</v>
      </c>
      <c r="AG76" s="33">
        <f>MAX([1]Examen31!AG21,[1]Examen32!AG21,[1]Examen33!AG21)</f>
        <v>0</v>
      </c>
      <c r="AH76" s="32">
        <f t="shared" si="134"/>
        <v>-1</v>
      </c>
      <c r="AI76" s="33">
        <f>MAX([1]Examen31!AI21,[1]Examen32!AI21,[1]Examen33!AI21)</f>
        <v>0</v>
      </c>
      <c r="AJ76" s="32">
        <f t="shared" si="135"/>
        <v>-1</v>
      </c>
      <c r="AK76" s="33">
        <f>MAX([1]Examen31!AK21,[1]Examen32!AK21,[1]Examen33!AK21)</f>
        <v>0</v>
      </c>
      <c r="AL76" s="32">
        <f t="shared" si="136"/>
        <v>-1</v>
      </c>
      <c r="AM76" s="33">
        <f>MAX([1]Examen31!AM21,[1]Examen32!AM21,[1]Examen33!AM21)</f>
        <v>0</v>
      </c>
      <c r="AN76" s="32">
        <f t="shared" si="137"/>
        <v>-1</v>
      </c>
      <c r="AO76" s="33">
        <f>MAX([1]Examen31!AO21,[1]Examen32!AO21,[1]Examen33!AO21)</f>
        <v>0</v>
      </c>
      <c r="AP76" s="32">
        <f t="shared" si="138"/>
        <v>-1</v>
      </c>
      <c r="AQ76" s="33">
        <f>MAX([1]Examen31!AQ21,[1]Examen32!AQ21,[1]Examen33!AQ21)</f>
        <v>0</v>
      </c>
      <c r="AR76" s="32">
        <f t="shared" si="139"/>
        <v>-1</v>
      </c>
      <c r="AS76" s="33">
        <f>MAX([1]Examen31!AS21,[1]Examen32!AS21,[1]Examen33!AS21)</f>
        <v>0</v>
      </c>
      <c r="AT76" s="32">
        <f t="shared" si="140"/>
        <v>-1</v>
      </c>
      <c r="AU76" s="33">
        <f>MAX([1]Examen31!AU21,[1]Examen32!AU21,[1]Examen33!AU21)</f>
        <v>0</v>
      </c>
      <c r="AV76" s="32">
        <f t="shared" si="141"/>
        <v>-1</v>
      </c>
      <c r="AW76" s="33">
        <f>MAX([1]Examen31!AW21,[1]Examen32!AW21,[1]Examen33!AW21)</f>
        <v>0</v>
      </c>
      <c r="AX76" s="32">
        <f t="shared" si="142"/>
        <v>-1</v>
      </c>
      <c r="AY76" s="33">
        <f>MAX([1]Examen31!AY21,[1]Examen32!AY21,[1]Examen33!AY21)</f>
        <v>0</v>
      </c>
      <c r="AZ76" s="32">
        <f t="shared" si="143"/>
        <v>-1</v>
      </c>
      <c r="BA76" s="33">
        <f>MAX([1]Examen31!BA21,[1]Examen32!BA21,[1]Examen33!BA21)</f>
        <v>0</v>
      </c>
      <c r="BB76" s="32">
        <f t="shared" si="144"/>
        <v>-1</v>
      </c>
      <c r="BC76" s="33">
        <f>MAX([1]Examen31!BC21,[1]Examen32!BC21,[1]Examen33!BC21)</f>
        <v>0</v>
      </c>
      <c r="BD76" s="32">
        <f t="shared" si="145"/>
        <v>-1</v>
      </c>
      <c r="BE76" s="33">
        <f>MAX([1]Examen31!BE21,[1]Examen32!BE21,[1]Examen33!BE21)</f>
        <v>0</v>
      </c>
      <c r="BF76" s="32">
        <f t="shared" si="146"/>
        <v>-1</v>
      </c>
      <c r="BG76" s="33">
        <f>MAX([1]Examen31!BG21,[1]Examen32!BG21,[1]Examen33!BG21)</f>
        <v>0</v>
      </c>
      <c r="BH76" s="32">
        <f t="shared" si="147"/>
        <v>-1</v>
      </c>
      <c r="BI76" s="33">
        <f>MAX([1]Examen31!BI21,[1]Examen32!BI21,[1]Examen33!BI21)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MAX([1]Examen31!B22,[1]Examen32!B22,[1]Examen33!B22)</f>
        <v>0</v>
      </c>
      <c r="C77" s="33">
        <f>MAX([1]Examen31!C22,[1]Examen32!C22,[1]Examen33!C22)</f>
        <v>0</v>
      </c>
      <c r="D77" s="32">
        <f t="shared" si="119"/>
        <v>-1</v>
      </c>
      <c r="E77" s="33">
        <f>MAX([1]Examen31!E22,[1]Examen32!E22,[1]Examen33!E22)</f>
        <v>0</v>
      </c>
      <c r="F77" s="32">
        <f t="shared" si="120"/>
        <v>-1</v>
      </c>
      <c r="G77" s="33">
        <f>MAX([1]Examen31!G22,[1]Examen32!G22,[1]Examen33!G22)</f>
        <v>0</v>
      </c>
      <c r="H77" s="32">
        <f t="shared" si="121"/>
        <v>-1</v>
      </c>
      <c r="I77" s="33">
        <f>MAX([1]Examen31!I22,[1]Examen32!I22,[1]Examen33!I22)</f>
        <v>0</v>
      </c>
      <c r="J77" s="32">
        <f t="shared" si="122"/>
        <v>-1</v>
      </c>
      <c r="K77" s="33">
        <f>MAX([1]Examen31!K22,[1]Examen32!K22,[1]Examen33!K22)</f>
        <v>0</v>
      </c>
      <c r="L77" s="32">
        <f t="shared" si="123"/>
        <v>-1</v>
      </c>
      <c r="M77" s="33">
        <f>MAX([1]Examen31!M22,[1]Examen32!M22,[1]Examen33!M22)</f>
        <v>0</v>
      </c>
      <c r="N77" s="32">
        <f t="shared" si="124"/>
        <v>-1</v>
      </c>
      <c r="O77" s="33">
        <f>MAX([1]Examen31!O22,[1]Examen32!O22,[1]Examen33!O22)</f>
        <v>0</v>
      </c>
      <c r="P77" s="32">
        <f t="shared" si="125"/>
        <v>-1</v>
      </c>
      <c r="Q77" s="33">
        <f>MAX([1]Examen31!Q22,[1]Examen32!Q22,[1]Examen33!Q22)</f>
        <v>0</v>
      </c>
      <c r="R77" s="32">
        <f t="shared" si="126"/>
        <v>-1</v>
      </c>
      <c r="S77" s="33">
        <f>MAX([1]Examen31!S22,[1]Examen32!S22,[1]Examen33!S22)</f>
        <v>0</v>
      </c>
      <c r="T77" s="32">
        <f t="shared" si="127"/>
        <v>-1</v>
      </c>
      <c r="U77" s="33">
        <f>MAX([1]Examen31!U22,[1]Examen32!U22,[1]Examen33!U22)</f>
        <v>0</v>
      </c>
      <c r="V77" s="32">
        <f t="shared" si="128"/>
        <v>-1</v>
      </c>
      <c r="W77" s="33">
        <f>MAX([1]Examen31!W22,[1]Examen32!W22,[1]Examen33!W22)</f>
        <v>0</v>
      </c>
      <c r="X77" s="32">
        <f t="shared" si="129"/>
        <v>-1</v>
      </c>
      <c r="Y77" s="33">
        <f>MAX([1]Examen31!Y22,[1]Examen32!Y22,[1]Examen33!Y22)</f>
        <v>0</v>
      </c>
      <c r="Z77" s="32">
        <f t="shared" si="130"/>
        <v>-1</v>
      </c>
      <c r="AA77" s="33">
        <f>MAX([1]Examen31!AA22,[1]Examen32!AA22,[1]Examen33!AA22)</f>
        <v>0</v>
      </c>
      <c r="AB77" s="32">
        <f t="shared" si="131"/>
        <v>-1</v>
      </c>
      <c r="AC77" s="33">
        <f>MAX([1]Examen31!AC22,[1]Examen32!AC22,[1]Examen33!AC22)</f>
        <v>0</v>
      </c>
      <c r="AD77" s="32">
        <f t="shared" si="132"/>
        <v>-1</v>
      </c>
      <c r="AE77" s="33">
        <f>MAX([1]Examen31!AE22,[1]Examen32!AE22,[1]Examen33!AE22)</f>
        <v>0</v>
      </c>
      <c r="AF77" s="32">
        <f t="shared" si="133"/>
        <v>-1</v>
      </c>
      <c r="AG77" s="33">
        <f>MAX([1]Examen31!AG22,[1]Examen32!AG22,[1]Examen33!AG22)</f>
        <v>0</v>
      </c>
      <c r="AH77" s="32">
        <f t="shared" si="134"/>
        <v>-1</v>
      </c>
      <c r="AI77" s="33">
        <f>MAX([1]Examen31!AI22,[1]Examen32!AI22,[1]Examen33!AI22)</f>
        <v>0</v>
      </c>
      <c r="AJ77" s="32">
        <f t="shared" si="135"/>
        <v>-1</v>
      </c>
      <c r="AK77" s="33">
        <f>MAX([1]Examen31!AK22,[1]Examen32!AK22,[1]Examen33!AK22)</f>
        <v>0</v>
      </c>
      <c r="AL77" s="32">
        <f t="shared" si="136"/>
        <v>-1</v>
      </c>
      <c r="AM77" s="33">
        <f>MAX([1]Examen31!AM22,[1]Examen32!AM22,[1]Examen33!AM22)</f>
        <v>0</v>
      </c>
      <c r="AN77" s="32">
        <f t="shared" si="137"/>
        <v>-1</v>
      </c>
      <c r="AO77" s="33">
        <f>MAX([1]Examen31!AO22,[1]Examen32!AO22,[1]Examen33!AO22)</f>
        <v>0</v>
      </c>
      <c r="AP77" s="32">
        <f t="shared" si="138"/>
        <v>-1</v>
      </c>
      <c r="AQ77" s="33">
        <f>MAX([1]Examen31!AQ22,[1]Examen32!AQ22,[1]Examen33!AQ22)</f>
        <v>0</v>
      </c>
      <c r="AR77" s="32">
        <f t="shared" si="139"/>
        <v>-1</v>
      </c>
      <c r="AS77" s="33">
        <f>MAX([1]Examen31!AS22,[1]Examen32!AS22,[1]Examen33!AS22)</f>
        <v>0</v>
      </c>
      <c r="AT77" s="32">
        <f t="shared" si="140"/>
        <v>-1</v>
      </c>
      <c r="AU77" s="33">
        <f>MAX([1]Examen31!AU22,[1]Examen32!AU22,[1]Examen33!AU22)</f>
        <v>0</v>
      </c>
      <c r="AV77" s="32">
        <f t="shared" si="141"/>
        <v>-1</v>
      </c>
      <c r="AW77" s="33">
        <f>MAX([1]Examen31!AW22,[1]Examen32!AW22,[1]Examen33!AW22)</f>
        <v>0</v>
      </c>
      <c r="AX77" s="32">
        <f t="shared" si="142"/>
        <v>-1</v>
      </c>
      <c r="AY77" s="33">
        <f>MAX([1]Examen31!AY22,[1]Examen32!AY22,[1]Examen33!AY22)</f>
        <v>0</v>
      </c>
      <c r="AZ77" s="32">
        <f t="shared" si="143"/>
        <v>-1</v>
      </c>
      <c r="BA77" s="33">
        <f>MAX([1]Examen31!BA22,[1]Examen32!BA22,[1]Examen33!BA22)</f>
        <v>0</v>
      </c>
      <c r="BB77" s="32">
        <f t="shared" si="144"/>
        <v>-1</v>
      </c>
      <c r="BC77" s="33">
        <f>MAX([1]Examen31!BC22,[1]Examen32!BC22,[1]Examen33!BC22)</f>
        <v>0</v>
      </c>
      <c r="BD77" s="32">
        <f t="shared" si="145"/>
        <v>-1</v>
      </c>
      <c r="BE77" s="33">
        <f>MAX([1]Examen31!BE22,[1]Examen32!BE22,[1]Examen33!BE22)</f>
        <v>0</v>
      </c>
      <c r="BF77" s="32">
        <f t="shared" si="146"/>
        <v>-1</v>
      </c>
      <c r="BG77" s="33">
        <f>MAX([1]Examen31!BG22,[1]Examen32!BG22,[1]Examen33!BG22)</f>
        <v>0</v>
      </c>
      <c r="BH77" s="32">
        <f t="shared" si="147"/>
        <v>-1</v>
      </c>
      <c r="BI77" s="33">
        <f>MAX([1]Examen31!BI22,[1]Examen32!BI22,[1]Examen33!BI22)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MAX([1]Examen31!B23,[1]Examen32!B23,[1]Examen33!B23)</f>
        <v>0</v>
      </c>
      <c r="C78" s="33">
        <f>MAX([1]Examen31!C23,[1]Examen32!C23,[1]Examen33!C23)</f>
        <v>0</v>
      </c>
      <c r="D78" s="32">
        <f t="shared" si="119"/>
        <v>-1</v>
      </c>
      <c r="E78" s="33">
        <f>MAX([1]Examen31!E23,[1]Examen32!E23,[1]Examen33!E23)</f>
        <v>0</v>
      </c>
      <c r="F78" s="32">
        <f t="shared" si="120"/>
        <v>-1</v>
      </c>
      <c r="G78" s="33">
        <f>MAX([1]Examen31!G23,[1]Examen32!G23,[1]Examen33!G23)</f>
        <v>0</v>
      </c>
      <c r="H78" s="32">
        <f t="shared" si="121"/>
        <v>-1</v>
      </c>
      <c r="I78" s="33">
        <f>MAX([1]Examen31!I23,[1]Examen32!I23,[1]Examen33!I23)</f>
        <v>0</v>
      </c>
      <c r="J78" s="32">
        <f t="shared" si="122"/>
        <v>-1</v>
      </c>
      <c r="K78" s="33">
        <f>MAX([1]Examen31!K23,[1]Examen32!K23,[1]Examen33!K23)</f>
        <v>0</v>
      </c>
      <c r="L78" s="32">
        <f t="shared" si="123"/>
        <v>-1</v>
      </c>
      <c r="M78" s="33">
        <f>MAX([1]Examen31!M23,[1]Examen32!M23,[1]Examen33!M23)</f>
        <v>0</v>
      </c>
      <c r="N78" s="32">
        <f t="shared" si="124"/>
        <v>-1</v>
      </c>
      <c r="O78" s="33">
        <f>MAX([1]Examen31!O23,[1]Examen32!O23,[1]Examen33!O23)</f>
        <v>0</v>
      </c>
      <c r="P78" s="32">
        <f t="shared" si="125"/>
        <v>-1</v>
      </c>
      <c r="Q78" s="33">
        <f>MAX([1]Examen31!Q23,[1]Examen32!Q23,[1]Examen33!Q23)</f>
        <v>0</v>
      </c>
      <c r="R78" s="32">
        <f t="shared" si="126"/>
        <v>-1</v>
      </c>
      <c r="S78" s="33">
        <f>MAX([1]Examen31!S23,[1]Examen32!S23,[1]Examen33!S23)</f>
        <v>0</v>
      </c>
      <c r="T78" s="32">
        <f t="shared" si="127"/>
        <v>-1</v>
      </c>
      <c r="U78" s="33">
        <f>MAX([1]Examen31!U23,[1]Examen32!U23,[1]Examen33!U23)</f>
        <v>0</v>
      </c>
      <c r="V78" s="32">
        <f t="shared" si="128"/>
        <v>-1</v>
      </c>
      <c r="W78" s="33">
        <f>MAX([1]Examen31!W23,[1]Examen32!W23,[1]Examen33!W23)</f>
        <v>0</v>
      </c>
      <c r="X78" s="32">
        <f t="shared" si="129"/>
        <v>-1</v>
      </c>
      <c r="Y78" s="33">
        <f>MAX([1]Examen31!Y23,[1]Examen32!Y23,[1]Examen33!Y23)</f>
        <v>0</v>
      </c>
      <c r="Z78" s="32">
        <f t="shared" si="130"/>
        <v>-1</v>
      </c>
      <c r="AA78" s="33">
        <f>MAX([1]Examen31!AA23,[1]Examen32!AA23,[1]Examen33!AA23)</f>
        <v>0</v>
      </c>
      <c r="AB78" s="32">
        <f t="shared" si="131"/>
        <v>-1</v>
      </c>
      <c r="AC78" s="33">
        <f>MAX([1]Examen31!AC23,[1]Examen32!AC23,[1]Examen33!AC23)</f>
        <v>0</v>
      </c>
      <c r="AD78" s="32">
        <f t="shared" si="132"/>
        <v>-1</v>
      </c>
      <c r="AE78" s="33">
        <f>MAX([1]Examen31!AE23,[1]Examen32!AE23,[1]Examen33!AE23)</f>
        <v>0</v>
      </c>
      <c r="AF78" s="32">
        <f t="shared" si="133"/>
        <v>-1</v>
      </c>
      <c r="AG78" s="33">
        <f>MAX([1]Examen31!AG23,[1]Examen32!AG23,[1]Examen33!AG23)</f>
        <v>0</v>
      </c>
      <c r="AH78" s="32">
        <f t="shared" si="134"/>
        <v>-1</v>
      </c>
      <c r="AI78" s="33">
        <f>MAX([1]Examen31!AI23,[1]Examen32!AI23,[1]Examen33!AI23)</f>
        <v>0</v>
      </c>
      <c r="AJ78" s="32">
        <f t="shared" si="135"/>
        <v>-1</v>
      </c>
      <c r="AK78" s="33">
        <f>MAX([1]Examen31!AK23,[1]Examen32!AK23,[1]Examen33!AK23)</f>
        <v>0</v>
      </c>
      <c r="AL78" s="32">
        <f t="shared" si="136"/>
        <v>-1</v>
      </c>
      <c r="AM78" s="33">
        <f>MAX([1]Examen31!AM23,[1]Examen32!AM23,[1]Examen33!AM23)</f>
        <v>0</v>
      </c>
      <c r="AN78" s="32">
        <f t="shared" si="137"/>
        <v>-1</v>
      </c>
      <c r="AO78" s="33">
        <f>MAX([1]Examen31!AO23,[1]Examen32!AO23,[1]Examen33!AO23)</f>
        <v>0</v>
      </c>
      <c r="AP78" s="32">
        <f t="shared" si="138"/>
        <v>-1</v>
      </c>
      <c r="AQ78" s="33">
        <f>MAX([1]Examen31!AQ23,[1]Examen32!AQ23,[1]Examen33!AQ23)</f>
        <v>0</v>
      </c>
      <c r="AR78" s="32">
        <f t="shared" si="139"/>
        <v>-1</v>
      </c>
      <c r="AS78" s="33">
        <f>MAX([1]Examen31!AS23,[1]Examen32!AS23,[1]Examen33!AS23)</f>
        <v>0</v>
      </c>
      <c r="AT78" s="32">
        <f t="shared" si="140"/>
        <v>-1</v>
      </c>
      <c r="AU78" s="33">
        <f>MAX([1]Examen31!AU23,[1]Examen32!AU23,[1]Examen33!AU23)</f>
        <v>0</v>
      </c>
      <c r="AV78" s="32">
        <f t="shared" si="141"/>
        <v>-1</v>
      </c>
      <c r="AW78" s="33">
        <f>MAX([1]Examen31!AW23,[1]Examen32!AW23,[1]Examen33!AW23)</f>
        <v>0</v>
      </c>
      <c r="AX78" s="32">
        <f t="shared" si="142"/>
        <v>-1</v>
      </c>
      <c r="AY78" s="33">
        <f>MAX([1]Examen31!AY23,[1]Examen32!AY23,[1]Examen33!AY23)</f>
        <v>0</v>
      </c>
      <c r="AZ78" s="32">
        <f t="shared" si="143"/>
        <v>-1</v>
      </c>
      <c r="BA78" s="33">
        <f>MAX([1]Examen31!BA23,[1]Examen32!BA23,[1]Examen33!BA23)</f>
        <v>0</v>
      </c>
      <c r="BB78" s="32">
        <f t="shared" si="144"/>
        <v>-1</v>
      </c>
      <c r="BC78" s="33">
        <f>MAX([1]Examen31!BC23,[1]Examen32!BC23,[1]Examen33!BC23)</f>
        <v>0</v>
      </c>
      <c r="BD78" s="32">
        <f t="shared" si="145"/>
        <v>-1</v>
      </c>
      <c r="BE78" s="33">
        <f>MAX([1]Examen31!BE23,[1]Examen32!BE23,[1]Examen33!BE23)</f>
        <v>0</v>
      </c>
      <c r="BF78" s="32">
        <f t="shared" si="146"/>
        <v>-1</v>
      </c>
      <c r="BG78" s="33">
        <f>MAX([1]Examen31!BG23,[1]Examen32!BG23,[1]Examen33!BG23)</f>
        <v>0</v>
      </c>
      <c r="BH78" s="32">
        <f t="shared" si="147"/>
        <v>-1</v>
      </c>
      <c r="BI78" s="33">
        <f>MAX([1]Examen31!BI23,[1]Examen32!BI23,[1]Examen33!BI23)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MAX([1]Examen31!B24,[1]Examen32!B24,[1]Examen33!B24)</f>
        <v>0</v>
      </c>
      <c r="C79" s="33">
        <f>MAX([1]Examen31!C24,[1]Examen32!C24,[1]Examen33!C24)</f>
        <v>0</v>
      </c>
      <c r="D79" s="32">
        <f t="shared" si="119"/>
        <v>-1</v>
      </c>
      <c r="E79" s="33">
        <f>MAX([1]Examen31!E24,[1]Examen32!E24,[1]Examen33!E24)</f>
        <v>0</v>
      </c>
      <c r="F79" s="32">
        <f t="shared" si="120"/>
        <v>-1</v>
      </c>
      <c r="G79" s="33">
        <f>MAX([1]Examen31!G24,[1]Examen32!G24,[1]Examen33!G24)</f>
        <v>0</v>
      </c>
      <c r="H79" s="32">
        <f t="shared" si="121"/>
        <v>-1</v>
      </c>
      <c r="I79" s="33">
        <f>MAX([1]Examen31!I24,[1]Examen32!I24,[1]Examen33!I24)</f>
        <v>0</v>
      </c>
      <c r="J79" s="32">
        <f t="shared" si="122"/>
        <v>-1</v>
      </c>
      <c r="K79" s="33">
        <f>MAX([1]Examen31!K24,[1]Examen32!K24,[1]Examen33!K24)</f>
        <v>0</v>
      </c>
      <c r="L79" s="32">
        <f t="shared" si="123"/>
        <v>-1</v>
      </c>
      <c r="M79" s="33">
        <f>MAX([1]Examen31!M24,[1]Examen32!M24,[1]Examen33!M24)</f>
        <v>0</v>
      </c>
      <c r="N79" s="32">
        <f t="shared" si="124"/>
        <v>-1</v>
      </c>
      <c r="O79" s="33">
        <f>MAX([1]Examen31!O24,[1]Examen32!O24,[1]Examen33!O24)</f>
        <v>0</v>
      </c>
      <c r="P79" s="32">
        <f t="shared" si="125"/>
        <v>-1</v>
      </c>
      <c r="Q79" s="33">
        <f>MAX([1]Examen31!Q24,[1]Examen32!Q24,[1]Examen33!Q24)</f>
        <v>0</v>
      </c>
      <c r="R79" s="32">
        <f t="shared" si="126"/>
        <v>-1</v>
      </c>
      <c r="S79" s="33">
        <f>MAX([1]Examen31!S24,[1]Examen32!S24,[1]Examen33!S24)</f>
        <v>0</v>
      </c>
      <c r="T79" s="32">
        <f t="shared" si="127"/>
        <v>-1</v>
      </c>
      <c r="U79" s="33">
        <f>MAX([1]Examen31!U24,[1]Examen32!U24,[1]Examen33!U24)</f>
        <v>0</v>
      </c>
      <c r="V79" s="32">
        <f t="shared" si="128"/>
        <v>-1</v>
      </c>
      <c r="W79" s="33">
        <f>MAX([1]Examen31!W24,[1]Examen32!W24,[1]Examen33!W24)</f>
        <v>0</v>
      </c>
      <c r="X79" s="32">
        <f t="shared" si="129"/>
        <v>-1</v>
      </c>
      <c r="Y79" s="33">
        <f>MAX([1]Examen31!Y24,[1]Examen32!Y24,[1]Examen33!Y24)</f>
        <v>0</v>
      </c>
      <c r="Z79" s="32">
        <f t="shared" si="130"/>
        <v>-1</v>
      </c>
      <c r="AA79" s="33">
        <f>MAX([1]Examen31!AA24,[1]Examen32!AA24,[1]Examen33!AA24)</f>
        <v>0</v>
      </c>
      <c r="AB79" s="32">
        <f t="shared" si="131"/>
        <v>-1</v>
      </c>
      <c r="AC79" s="33">
        <f>MAX([1]Examen31!AC24,[1]Examen32!AC24,[1]Examen33!AC24)</f>
        <v>0</v>
      </c>
      <c r="AD79" s="32">
        <f t="shared" si="132"/>
        <v>-1</v>
      </c>
      <c r="AE79" s="33">
        <f>MAX([1]Examen31!AE24,[1]Examen32!AE24,[1]Examen33!AE24)</f>
        <v>0</v>
      </c>
      <c r="AF79" s="32">
        <f t="shared" si="133"/>
        <v>-1</v>
      </c>
      <c r="AG79" s="33">
        <f>MAX([1]Examen31!AG24,[1]Examen32!AG24,[1]Examen33!AG24)</f>
        <v>0</v>
      </c>
      <c r="AH79" s="32">
        <f t="shared" si="134"/>
        <v>-1</v>
      </c>
      <c r="AI79" s="33">
        <f>MAX([1]Examen31!AI24,[1]Examen32!AI24,[1]Examen33!AI24)</f>
        <v>0</v>
      </c>
      <c r="AJ79" s="32">
        <f t="shared" si="135"/>
        <v>-1</v>
      </c>
      <c r="AK79" s="33">
        <f>MAX([1]Examen31!AK24,[1]Examen32!AK24,[1]Examen33!AK24)</f>
        <v>0</v>
      </c>
      <c r="AL79" s="32">
        <f t="shared" si="136"/>
        <v>-1</v>
      </c>
      <c r="AM79" s="33">
        <f>MAX([1]Examen31!AM24,[1]Examen32!AM24,[1]Examen33!AM24)</f>
        <v>0</v>
      </c>
      <c r="AN79" s="32">
        <f t="shared" si="137"/>
        <v>-1</v>
      </c>
      <c r="AO79" s="33">
        <f>MAX([1]Examen31!AO24,[1]Examen32!AO24,[1]Examen33!AO24)</f>
        <v>0</v>
      </c>
      <c r="AP79" s="32">
        <f t="shared" si="138"/>
        <v>-1</v>
      </c>
      <c r="AQ79" s="33">
        <f>MAX([1]Examen31!AQ24,[1]Examen32!AQ24,[1]Examen33!AQ24)</f>
        <v>0</v>
      </c>
      <c r="AR79" s="32">
        <f t="shared" si="139"/>
        <v>-1</v>
      </c>
      <c r="AS79" s="33">
        <f>MAX([1]Examen31!AS24,[1]Examen32!AS24,[1]Examen33!AS24)</f>
        <v>0</v>
      </c>
      <c r="AT79" s="32">
        <f t="shared" si="140"/>
        <v>-1</v>
      </c>
      <c r="AU79" s="33">
        <f>MAX([1]Examen31!AU24,[1]Examen32!AU24,[1]Examen33!AU24)</f>
        <v>0</v>
      </c>
      <c r="AV79" s="32">
        <f t="shared" si="141"/>
        <v>-1</v>
      </c>
      <c r="AW79" s="33">
        <f>MAX([1]Examen31!AW24,[1]Examen32!AW24,[1]Examen33!AW24)</f>
        <v>0</v>
      </c>
      <c r="AX79" s="32">
        <f t="shared" si="142"/>
        <v>-1</v>
      </c>
      <c r="AY79" s="33">
        <f>MAX([1]Examen31!AY24,[1]Examen32!AY24,[1]Examen33!AY24)</f>
        <v>0</v>
      </c>
      <c r="AZ79" s="32">
        <f t="shared" si="143"/>
        <v>-1</v>
      </c>
      <c r="BA79" s="33">
        <f>MAX([1]Examen31!BA24,[1]Examen32!BA24,[1]Examen33!BA24)</f>
        <v>0</v>
      </c>
      <c r="BB79" s="32">
        <f t="shared" si="144"/>
        <v>-1</v>
      </c>
      <c r="BC79" s="33">
        <f>MAX([1]Examen31!BC24,[1]Examen32!BC24,[1]Examen33!BC24)</f>
        <v>0</v>
      </c>
      <c r="BD79" s="32">
        <f t="shared" si="145"/>
        <v>-1</v>
      </c>
      <c r="BE79" s="33">
        <f>MAX([1]Examen31!BE24,[1]Examen32!BE24,[1]Examen33!BE24)</f>
        <v>0</v>
      </c>
      <c r="BF79" s="32">
        <f t="shared" si="146"/>
        <v>-1</v>
      </c>
      <c r="BG79" s="33">
        <f>MAX([1]Examen31!BG24,[1]Examen32!BG24,[1]Examen33!BG24)</f>
        <v>0</v>
      </c>
      <c r="BH79" s="32">
        <f t="shared" si="147"/>
        <v>-1</v>
      </c>
      <c r="BI79" s="33">
        <f>MAX([1]Examen31!BI24,[1]Examen32!BI24,[1]Examen33!BI24)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MAX([1]Examen31!B25,[1]Examen32!B25,[1]Examen33!B25)</f>
        <v>0</v>
      </c>
      <c r="C80" s="33">
        <f>MAX([1]Examen31!C25,[1]Examen32!C25,[1]Examen33!C25)</f>
        <v>0</v>
      </c>
      <c r="D80" s="32">
        <f t="shared" si="119"/>
        <v>-1</v>
      </c>
      <c r="E80" s="33">
        <f>MAX([1]Examen31!E25,[1]Examen32!E25,[1]Examen33!E25)</f>
        <v>0</v>
      </c>
      <c r="F80" s="32">
        <f t="shared" si="120"/>
        <v>-1</v>
      </c>
      <c r="G80" s="33">
        <f>MAX([1]Examen31!G25,[1]Examen32!G25,[1]Examen33!G25)</f>
        <v>0</v>
      </c>
      <c r="H80" s="32">
        <f t="shared" si="121"/>
        <v>-1</v>
      </c>
      <c r="I80" s="33">
        <f>MAX([1]Examen31!I25,[1]Examen32!I25,[1]Examen33!I25)</f>
        <v>0</v>
      </c>
      <c r="J80" s="32">
        <f t="shared" si="122"/>
        <v>-1</v>
      </c>
      <c r="K80" s="33">
        <f>MAX([1]Examen31!K25,[1]Examen32!K25,[1]Examen33!K25)</f>
        <v>0</v>
      </c>
      <c r="L80" s="32">
        <f t="shared" si="123"/>
        <v>-1</v>
      </c>
      <c r="M80" s="33">
        <f>MAX([1]Examen31!M25,[1]Examen32!M25,[1]Examen33!M25)</f>
        <v>0</v>
      </c>
      <c r="N80" s="32">
        <f t="shared" si="124"/>
        <v>-1</v>
      </c>
      <c r="O80" s="33">
        <f>MAX([1]Examen31!O25,[1]Examen32!O25,[1]Examen33!O25)</f>
        <v>0</v>
      </c>
      <c r="P80" s="32">
        <f t="shared" si="125"/>
        <v>-1</v>
      </c>
      <c r="Q80" s="33">
        <f>MAX([1]Examen31!Q25,[1]Examen32!Q25,[1]Examen33!Q25)</f>
        <v>0</v>
      </c>
      <c r="R80" s="32">
        <f t="shared" si="126"/>
        <v>-1</v>
      </c>
      <c r="S80" s="33">
        <f>MAX([1]Examen31!S25,[1]Examen32!S25,[1]Examen33!S25)</f>
        <v>0</v>
      </c>
      <c r="T80" s="32">
        <f t="shared" si="127"/>
        <v>-1</v>
      </c>
      <c r="U80" s="33">
        <f>MAX([1]Examen31!U25,[1]Examen32!U25,[1]Examen33!U25)</f>
        <v>0</v>
      </c>
      <c r="V80" s="32">
        <f t="shared" si="128"/>
        <v>-1</v>
      </c>
      <c r="W80" s="33">
        <f>MAX([1]Examen31!W25,[1]Examen32!W25,[1]Examen33!W25)</f>
        <v>0</v>
      </c>
      <c r="X80" s="32">
        <f t="shared" si="129"/>
        <v>-1</v>
      </c>
      <c r="Y80" s="33">
        <f>MAX([1]Examen31!Y25,[1]Examen32!Y25,[1]Examen33!Y25)</f>
        <v>0</v>
      </c>
      <c r="Z80" s="32">
        <f t="shared" si="130"/>
        <v>-1</v>
      </c>
      <c r="AA80" s="33">
        <f>MAX([1]Examen31!AA25,[1]Examen32!AA25,[1]Examen33!AA25)</f>
        <v>0</v>
      </c>
      <c r="AB80" s="32">
        <f t="shared" si="131"/>
        <v>-1</v>
      </c>
      <c r="AC80" s="33">
        <f>MAX([1]Examen31!AC25,[1]Examen32!AC25,[1]Examen33!AC25)</f>
        <v>0</v>
      </c>
      <c r="AD80" s="32">
        <f t="shared" si="132"/>
        <v>-1</v>
      </c>
      <c r="AE80" s="33">
        <f>MAX([1]Examen31!AE25,[1]Examen32!AE25,[1]Examen33!AE25)</f>
        <v>0</v>
      </c>
      <c r="AF80" s="32">
        <f t="shared" si="133"/>
        <v>-1</v>
      </c>
      <c r="AG80" s="33">
        <f>MAX([1]Examen31!AG25,[1]Examen32!AG25,[1]Examen33!AG25)</f>
        <v>0</v>
      </c>
      <c r="AH80" s="32">
        <f t="shared" si="134"/>
        <v>-1</v>
      </c>
      <c r="AI80" s="33">
        <f>MAX([1]Examen31!AI25,[1]Examen32!AI25,[1]Examen33!AI25)</f>
        <v>0</v>
      </c>
      <c r="AJ80" s="32">
        <f t="shared" si="135"/>
        <v>-1</v>
      </c>
      <c r="AK80" s="33">
        <f>MAX([1]Examen31!AK25,[1]Examen32!AK25,[1]Examen33!AK25)</f>
        <v>0</v>
      </c>
      <c r="AL80" s="32">
        <f t="shared" si="136"/>
        <v>-1</v>
      </c>
      <c r="AM80" s="33">
        <f>MAX([1]Examen31!AM25,[1]Examen32!AM25,[1]Examen33!AM25)</f>
        <v>0</v>
      </c>
      <c r="AN80" s="32">
        <f t="shared" si="137"/>
        <v>-1</v>
      </c>
      <c r="AO80" s="33">
        <f>MAX([1]Examen31!AO25,[1]Examen32!AO25,[1]Examen33!AO25)</f>
        <v>0</v>
      </c>
      <c r="AP80" s="32">
        <f t="shared" si="138"/>
        <v>-1</v>
      </c>
      <c r="AQ80" s="33">
        <f>MAX([1]Examen31!AQ25,[1]Examen32!AQ25,[1]Examen33!AQ25)</f>
        <v>0</v>
      </c>
      <c r="AR80" s="32">
        <f t="shared" si="139"/>
        <v>-1</v>
      </c>
      <c r="AS80" s="33">
        <f>MAX([1]Examen31!AS25,[1]Examen32!AS25,[1]Examen33!AS25)</f>
        <v>0</v>
      </c>
      <c r="AT80" s="32">
        <f t="shared" si="140"/>
        <v>-1</v>
      </c>
      <c r="AU80" s="33">
        <f>MAX([1]Examen31!AU25,[1]Examen32!AU25,[1]Examen33!AU25)</f>
        <v>0</v>
      </c>
      <c r="AV80" s="32">
        <f t="shared" si="141"/>
        <v>-1</v>
      </c>
      <c r="AW80" s="33">
        <f>MAX([1]Examen31!AW25,[1]Examen32!AW25,[1]Examen33!AW25)</f>
        <v>0</v>
      </c>
      <c r="AX80" s="32">
        <f t="shared" si="142"/>
        <v>-1</v>
      </c>
      <c r="AY80" s="33">
        <f>MAX([1]Examen31!AY25,[1]Examen32!AY25,[1]Examen33!AY25)</f>
        <v>0</v>
      </c>
      <c r="AZ80" s="32">
        <f t="shared" si="143"/>
        <v>-1</v>
      </c>
      <c r="BA80" s="33">
        <f>MAX([1]Examen31!BA25,[1]Examen32!BA25,[1]Examen33!BA25)</f>
        <v>0</v>
      </c>
      <c r="BB80" s="32">
        <f t="shared" si="144"/>
        <v>-1</v>
      </c>
      <c r="BC80" s="33">
        <f>MAX([1]Examen31!BC25,[1]Examen32!BC25,[1]Examen33!BC25)</f>
        <v>0</v>
      </c>
      <c r="BD80" s="32">
        <f t="shared" si="145"/>
        <v>-1</v>
      </c>
      <c r="BE80" s="33">
        <f>MAX([1]Examen31!BE25,[1]Examen32!BE25,[1]Examen33!BE25)</f>
        <v>0</v>
      </c>
      <c r="BF80" s="32">
        <f t="shared" si="146"/>
        <v>-1</v>
      </c>
      <c r="BG80" s="33">
        <f>MAX([1]Examen31!BG25,[1]Examen32!BG25,[1]Examen33!BG25)</f>
        <v>0</v>
      </c>
      <c r="BH80" s="32">
        <f t="shared" si="147"/>
        <v>-1</v>
      </c>
      <c r="BI80" s="33">
        <f>MAX([1]Examen31!BI25,[1]Examen32!BI25,[1]Examen33!BI25)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MAX([1]Examen31!B26,[1]Examen32!B26,[1]Examen33!B26)</f>
        <v>0</v>
      </c>
      <c r="C81" s="33">
        <f>MAX([1]Examen31!C26,[1]Examen32!C26,[1]Examen33!C26)</f>
        <v>0</v>
      </c>
      <c r="D81" s="32">
        <f t="shared" si="119"/>
        <v>-1</v>
      </c>
      <c r="E81" s="33">
        <f>MAX([1]Examen31!E26,[1]Examen32!E26,[1]Examen33!E26)</f>
        <v>0</v>
      </c>
      <c r="F81" s="32">
        <f t="shared" si="120"/>
        <v>-1</v>
      </c>
      <c r="G81" s="33">
        <f>MAX([1]Examen31!G26,[1]Examen32!G26,[1]Examen33!G26)</f>
        <v>0</v>
      </c>
      <c r="H81" s="32">
        <f t="shared" si="121"/>
        <v>-1</v>
      </c>
      <c r="I81" s="33">
        <f>MAX([1]Examen31!I26,[1]Examen32!I26,[1]Examen33!I26)</f>
        <v>0</v>
      </c>
      <c r="J81" s="32">
        <f t="shared" si="122"/>
        <v>-1</v>
      </c>
      <c r="K81" s="33">
        <f>MAX([1]Examen31!K26,[1]Examen32!K26,[1]Examen33!K26)</f>
        <v>0</v>
      </c>
      <c r="L81" s="32">
        <f t="shared" si="123"/>
        <v>-1</v>
      </c>
      <c r="M81" s="33">
        <f>MAX([1]Examen31!M26,[1]Examen32!M26,[1]Examen33!M26)</f>
        <v>0</v>
      </c>
      <c r="N81" s="32">
        <f t="shared" si="124"/>
        <v>-1</v>
      </c>
      <c r="O81" s="33">
        <f>MAX([1]Examen31!O26,[1]Examen32!O26,[1]Examen33!O26)</f>
        <v>0</v>
      </c>
      <c r="P81" s="32">
        <f t="shared" si="125"/>
        <v>-1</v>
      </c>
      <c r="Q81" s="33">
        <f>MAX([1]Examen31!Q26,[1]Examen32!Q26,[1]Examen33!Q26)</f>
        <v>0</v>
      </c>
      <c r="R81" s="32">
        <f t="shared" si="126"/>
        <v>-1</v>
      </c>
      <c r="S81" s="33">
        <f>MAX([1]Examen31!S26,[1]Examen32!S26,[1]Examen33!S26)</f>
        <v>0</v>
      </c>
      <c r="T81" s="32">
        <f t="shared" si="127"/>
        <v>-1</v>
      </c>
      <c r="U81" s="33">
        <f>MAX([1]Examen31!U26,[1]Examen32!U26,[1]Examen33!U26)</f>
        <v>0</v>
      </c>
      <c r="V81" s="32">
        <f t="shared" si="128"/>
        <v>-1</v>
      </c>
      <c r="W81" s="33">
        <f>MAX([1]Examen31!W26,[1]Examen32!W26,[1]Examen33!W26)</f>
        <v>0</v>
      </c>
      <c r="X81" s="32">
        <f t="shared" si="129"/>
        <v>-1</v>
      </c>
      <c r="Y81" s="33">
        <f>MAX([1]Examen31!Y26,[1]Examen32!Y26,[1]Examen33!Y26)</f>
        <v>0</v>
      </c>
      <c r="Z81" s="32">
        <f t="shared" si="130"/>
        <v>-1</v>
      </c>
      <c r="AA81" s="33">
        <f>MAX([1]Examen31!AA26,[1]Examen32!AA26,[1]Examen33!AA26)</f>
        <v>0</v>
      </c>
      <c r="AB81" s="32">
        <f t="shared" si="131"/>
        <v>-1</v>
      </c>
      <c r="AC81" s="33">
        <f>MAX([1]Examen31!AC26,[1]Examen32!AC26,[1]Examen33!AC26)</f>
        <v>0</v>
      </c>
      <c r="AD81" s="32">
        <f t="shared" si="132"/>
        <v>-1</v>
      </c>
      <c r="AE81" s="33">
        <f>MAX([1]Examen31!AE26,[1]Examen32!AE26,[1]Examen33!AE26)</f>
        <v>0</v>
      </c>
      <c r="AF81" s="32">
        <f t="shared" si="133"/>
        <v>-1</v>
      </c>
      <c r="AG81" s="33">
        <f>MAX([1]Examen31!AG26,[1]Examen32!AG26,[1]Examen33!AG26)</f>
        <v>0</v>
      </c>
      <c r="AH81" s="32">
        <f t="shared" si="134"/>
        <v>-1</v>
      </c>
      <c r="AI81" s="33">
        <f>MAX([1]Examen31!AI26,[1]Examen32!AI26,[1]Examen33!AI26)</f>
        <v>0</v>
      </c>
      <c r="AJ81" s="32">
        <f t="shared" si="135"/>
        <v>-1</v>
      </c>
      <c r="AK81" s="33">
        <f>MAX([1]Examen31!AK26,[1]Examen32!AK26,[1]Examen33!AK26)</f>
        <v>0</v>
      </c>
      <c r="AL81" s="32">
        <f t="shared" si="136"/>
        <v>-1</v>
      </c>
      <c r="AM81" s="33">
        <f>MAX([1]Examen31!AM26,[1]Examen32!AM26,[1]Examen33!AM26)</f>
        <v>0</v>
      </c>
      <c r="AN81" s="32">
        <f t="shared" si="137"/>
        <v>-1</v>
      </c>
      <c r="AO81" s="33">
        <f>MAX([1]Examen31!AO26,[1]Examen32!AO26,[1]Examen33!AO26)</f>
        <v>0</v>
      </c>
      <c r="AP81" s="32">
        <f t="shared" si="138"/>
        <v>-1</v>
      </c>
      <c r="AQ81" s="33">
        <f>MAX([1]Examen31!AQ26,[1]Examen32!AQ26,[1]Examen33!AQ26)</f>
        <v>0</v>
      </c>
      <c r="AR81" s="32">
        <f t="shared" si="139"/>
        <v>-1</v>
      </c>
      <c r="AS81" s="33">
        <f>MAX([1]Examen31!AS26,[1]Examen32!AS26,[1]Examen33!AS26)</f>
        <v>0</v>
      </c>
      <c r="AT81" s="32">
        <f t="shared" si="140"/>
        <v>-1</v>
      </c>
      <c r="AU81" s="33">
        <f>MAX([1]Examen31!AU26,[1]Examen32!AU26,[1]Examen33!AU26)</f>
        <v>0</v>
      </c>
      <c r="AV81" s="32">
        <f t="shared" si="141"/>
        <v>-1</v>
      </c>
      <c r="AW81" s="33">
        <f>MAX([1]Examen31!AW26,[1]Examen32!AW26,[1]Examen33!AW26)</f>
        <v>0</v>
      </c>
      <c r="AX81" s="32">
        <f t="shared" si="142"/>
        <v>-1</v>
      </c>
      <c r="AY81" s="33">
        <f>MAX([1]Examen31!AY26,[1]Examen32!AY26,[1]Examen33!AY26)</f>
        <v>0</v>
      </c>
      <c r="AZ81" s="32">
        <f t="shared" si="143"/>
        <v>-1</v>
      </c>
      <c r="BA81" s="33">
        <f>MAX([1]Examen31!BA26,[1]Examen32!BA26,[1]Examen33!BA26)</f>
        <v>0</v>
      </c>
      <c r="BB81" s="32">
        <f t="shared" si="144"/>
        <v>-1</v>
      </c>
      <c r="BC81" s="33">
        <f>MAX([1]Examen31!BC26,[1]Examen32!BC26,[1]Examen33!BC26)</f>
        <v>0</v>
      </c>
      <c r="BD81" s="32">
        <f t="shared" si="145"/>
        <v>-1</v>
      </c>
      <c r="BE81" s="33">
        <f>MAX([1]Examen31!BE26,[1]Examen32!BE26,[1]Examen33!BE26)</f>
        <v>0</v>
      </c>
      <c r="BF81" s="32">
        <f t="shared" si="146"/>
        <v>-1</v>
      </c>
      <c r="BG81" s="33">
        <f>MAX([1]Examen31!BG26,[1]Examen32!BG26,[1]Examen33!BG26)</f>
        <v>0</v>
      </c>
      <c r="BH81" s="32">
        <f t="shared" si="147"/>
        <v>-1</v>
      </c>
      <c r="BI81" s="33">
        <f>MAX([1]Examen31!BI26,[1]Examen32!BI26,[1]Examen33!BI26)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MAX([1]Examen31!B27,[1]Examen32!B27,[1]Examen33!B27)</f>
        <v>0</v>
      </c>
      <c r="C82" s="33">
        <f>MAX([1]Examen31!C27,[1]Examen32!C27,[1]Examen33!C27)</f>
        <v>0</v>
      </c>
      <c r="D82" s="32">
        <f t="shared" si="119"/>
        <v>-1</v>
      </c>
      <c r="E82" s="33">
        <f>MAX([1]Examen31!E27,[1]Examen32!E27,[1]Examen33!E27)</f>
        <v>0</v>
      </c>
      <c r="F82" s="32">
        <f t="shared" si="120"/>
        <v>-1</v>
      </c>
      <c r="G82" s="33">
        <f>MAX([1]Examen31!G27,[1]Examen32!G27,[1]Examen33!G27)</f>
        <v>0</v>
      </c>
      <c r="H82" s="32">
        <f t="shared" si="121"/>
        <v>-1</v>
      </c>
      <c r="I82" s="33">
        <f>MAX([1]Examen31!I27,[1]Examen32!I27,[1]Examen33!I27)</f>
        <v>0</v>
      </c>
      <c r="J82" s="32">
        <f t="shared" si="122"/>
        <v>-1</v>
      </c>
      <c r="K82" s="33">
        <f>MAX([1]Examen31!K27,[1]Examen32!K27,[1]Examen33!K27)</f>
        <v>0</v>
      </c>
      <c r="L82" s="32">
        <f t="shared" si="123"/>
        <v>-1</v>
      </c>
      <c r="M82" s="33">
        <f>MAX([1]Examen31!M27,[1]Examen32!M27,[1]Examen33!M27)</f>
        <v>0</v>
      </c>
      <c r="N82" s="32">
        <f t="shared" si="124"/>
        <v>-1</v>
      </c>
      <c r="O82" s="33">
        <f>MAX([1]Examen31!O27,[1]Examen32!O27,[1]Examen33!O27)</f>
        <v>0</v>
      </c>
      <c r="P82" s="32">
        <f t="shared" si="125"/>
        <v>-1</v>
      </c>
      <c r="Q82" s="33">
        <f>MAX([1]Examen31!Q27,[1]Examen32!Q27,[1]Examen33!Q27)</f>
        <v>0</v>
      </c>
      <c r="R82" s="32">
        <f t="shared" si="126"/>
        <v>-1</v>
      </c>
      <c r="S82" s="33">
        <f>MAX([1]Examen31!S27,[1]Examen32!S27,[1]Examen33!S27)</f>
        <v>0</v>
      </c>
      <c r="T82" s="32">
        <f t="shared" si="127"/>
        <v>-1</v>
      </c>
      <c r="U82" s="33">
        <f>MAX([1]Examen31!U27,[1]Examen32!U27,[1]Examen33!U27)</f>
        <v>0</v>
      </c>
      <c r="V82" s="32">
        <f t="shared" si="128"/>
        <v>-1</v>
      </c>
      <c r="W82" s="33">
        <f>MAX([1]Examen31!W27,[1]Examen32!W27,[1]Examen33!W27)</f>
        <v>0</v>
      </c>
      <c r="X82" s="32">
        <f t="shared" si="129"/>
        <v>-1</v>
      </c>
      <c r="Y82" s="33">
        <f>MAX([1]Examen31!Y27,[1]Examen32!Y27,[1]Examen33!Y27)</f>
        <v>0</v>
      </c>
      <c r="Z82" s="32">
        <f t="shared" si="130"/>
        <v>-1</v>
      </c>
      <c r="AA82" s="33">
        <f>MAX([1]Examen31!AA27,[1]Examen32!AA27,[1]Examen33!AA27)</f>
        <v>0</v>
      </c>
      <c r="AB82" s="32">
        <f t="shared" si="131"/>
        <v>-1</v>
      </c>
      <c r="AC82" s="33">
        <f>MAX([1]Examen31!AC27,[1]Examen32!AC27,[1]Examen33!AC27)</f>
        <v>0</v>
      </c>
      <c r="AD82" s="32">
        <f t="shared" si="132"/>
        <v>-1</v>
      </c>
      <c r="AE82" s="33">
        <f>MAX([1]Examen31!AE27,[1]Examen32!AE27,[1]Examen33!AE27)</f>
        <v>0</v>
      </c>
      <c r="AF82" s="32">
        <f t="shared" si="133"/>
        <v>-1</v>
      </c>
      <c r="AG82" s="33">
        <f>MAX([1]Examen31!AG27,[1]Examen32!AG27,[1]Examen33!AG27)</f>
        <v>0</v>
      </c>
      <c r="AH82" s="32">
        <f t="shared" si="134"/>
        <v>-1</v>
      </c>
      <c r="AI82" s="33">
        <f>MAX([1]Examen31!AI27,[1]Examen32!AI27,[1]Examen33!AI27)</f>
        <v>0</v>
      </c>
      <c r="AJ82" s="32">
        <f t="shared" si="135"/>
        <v>-1</v>
      </c>
      <c r="AK82" s="33">
        <f>MAX([1]Examen31!AK27,[1]Examen32!AK27,[1]Examen33!AK27)</f>
        <v>0</v>
      </c>
      <c r="AL82" s="32">
        <f t="shared" si="136"/>
        <v>-1</v>
      </c>
      <c r="AM82" s="33">
        <f>MAX([1]Examen31!AM27,[1]Examen32!AM27,[1]Examen33!AM27)</f>
        <v>0</v>
      </c>
      <c r="AN82" s="32">
        <f t="shared" si="137"/>
        <v>-1</v>
      </c>
      <c r="AO82" s="33">
        <f>MAX([1]Examen31!AO27,[1]Examen32!AO27,[1]Examen33!AO27)</f>
        <v>0</v>
      </c>
      <c r="AP82" s="32">
        <f t="shared" si="138"/>
        <v>-1</v>
      </c>
      <c r="AQ82" s="33">
        <f>MAX([1]Examen31!AQ27,[1]Examen32!AQ27,[1]Examen33!AQ27)</f>
        <v>0</v>
      </c>
      <c r="AR82" s="32">
        <f t="shared" si="139"/>
        <v>-1</v>
      </c>
      <c r="AS82" s="33">
        <f>MAX([1]Examen31!AS27,[1]Examen32!AS27,[1]Examen33!AS27)</f>
        <v>0</v>
      </c>
      <c r="AT82" s="32">
        <f t="shared" si="140"/>
        <v>-1</v>
      </c>
      <c r="AU82" s="33">
        <f>MAX([1]Examen31!AU27,[1]Examen32!AU27,[1]Examen33!AU27)</f>
        <v>0</v>
      </c>
      <c r="AV82" s="32">
        <f t="shared" si="141"/>
        <v>-1</v>
      </c>
      <c r="AW82" s="33">
        <f>MAX([1]Examen31!AW27,[1]Examen32!AW27,[1]Examen33!AW27)</f>
        <v>0</v>
      </c>
      <c r="AX82" s="32">
        <f t="shared" si="142"/>
        <v>-1</v>
      </c>
      <c r="AY82" s="33">
        <f>MAX([1]Examen31!AY27,[1]Examen32!AY27,[1]Examen33!AY27)</f>
        <v>0</v>
      </c>
      <c r="AZ82" s="32">
        <f t="shared" si="143"/>
        <v>-1</v>
      </c>
      <c r="BA82" s="33">
        <f>MAX([1]Examen31!BA27,[1]Examen32!BA27,[1]Examen33!BA27)</f>
        <v>0</v>
      </c>
      <c r="BB82" s="32">
        <f t="shared" si="144"/>
        <v>-1</v>
      </c>
      <c r="BC82" s="33">
        <f>MAX([1]Examen31!BC27,[1]Examen32!BC27,[1]Examen33!BC27)</f>
        <v>0</v>
      </c>
      <c r="BD82" s="32">
        <f t="shared" si="145"/>
        <v>-1</v>
      </c>
      <c r="BE82" s="33">
        <f>MAX([1]Examen31!BE27,[1]Examen32!BE27,[1]Examen33!BE27)</f>
        <v>0</v>
      </c>
      <c r="BF82" s="32">
        <f t="shared" si="146"/>
        <v>-1</v>
      </c>
      <c r="BG82" s="33">
        <f>MAX([1]Examen31!BG27,[1]Examen32!BG27,[1]Examen33!BG27)</f>
        <v>0</v>
      </c>
      <c r="BH82" s="32">
        <f t="shared" si="147"/>
        <v>-1</v>
      </c>
      <c r="BI82" s="33">
        <f>MAX([1]Examen31!BI27,[1]Examen32!BI27,[1]Examen33!BI27)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MAX([1]Examen31!B28,[1]Examen32!B28,[1]Examen33!B28)</f>
        <v>0</v>
      </c>
      <c r="C83" s="33">
        <f>MAX([1]Examen31!C28,[1]Examen32!C28,[1]Examen33!C28)</f>
        <v>0</v>
      </c>
      <c r="D83" s="32">
        <f t="shared" si="119"/>
        <v>-1</v>
      </c>
      <c r="E83" s="33">
        <f>MAX([1]Examen31!E28,[1]Examen32!E28,[1]Examen33!E28)</f>
        <v>0</v>
      </c>
      <c r="F83" s="32">
        <f t="shared" si="120"/>
        <v>-1</v>
      </c>
      <c r="G83" s="33">
        <f>MAX([1]Examen31!G28,[1]Examen32!G28,[1]Examen33!G28)</f>
        <v>0</v>
      </c>
      <c r="H83" s="32">
        <f t="shared" si="121"/>
        <v>-1</v>
      </c>
      <c r="I83" s="33">
        <f>MAX([1]Examen31!I28,[1]Examen32!I28,[1]Examen33!I28)</f>
        <v>0</v>
      </c>
      <c r="J83" s="32">
        <f t="shared" si="122"/>
        <v>-1</v>
      </c>
      <c r="K83" s="33">
        <f>MAX([1]Examen31!K28,[1]Examen32!K28,[1]Examen33!K28)</f>
        <v>0</v>
      </c>
      <c r="L83" s="32">
        <f t="shared" si="123"/>
        <v>-1</v>
      </c>
      <c r="M83" s="33">
        <f>MAX([1]Examen31!M28,[1]Examen32!M28,[1]Examen33!M28)</f>
        <v>0</v>
      </c>
      <c r="N83" s="32">
        <f t="shared" si="124"/>
        <v>-1</v>
      </c>
      <c r="O83" s="33">
        <f>MAX([1]Examen31!O28,[1]Examen32!O28,[1]Examen33!O28)</f>
        <v>0</v>
      </c>
      <c r="P83" s="32">
        <f t="shared" si="125"/>
        <v>-1</v>
      </c>
      <c r="Q83" s="33">
        <f>MAX([1]Examen31!Q28,[1]Examen32!Q28,[1]Examen33!Q28)</f>
        <v>0</v>
      </c>
      <c r="R83" s="32">
        <f t="shared" si="126"/>
        <v>-1</v>
      </c>
      <c r="S83" s="33">
        <f>MAX([1]Examen31!S28,[1]Examen32!S28,[1]Examen33!S28)</f>
        <v>0</v>
      </c>
      <c r="T83" s="32">
        <f t="shared" si="127"/>
        <v>-1</v>
      </c>
      <c r="U83" s="33">
        <f>MAX([1]Examen31!U28,[1]Examen32!U28,[1]Examen33!U28)</f>
        <v>0</v>
      </c>
      <c r="V83" s="32">
        <f t="shared" si="128"/>
        <v>-1</v>
      </c>
      <c r="W83" s="33">
        <f>MAX([1]Examen31!W28,[1]Examen32!W28,[1]Examen33!W28)</f>
        <v>0</v>
      </c>
      <c r="X83" s="32">
        <f t="shared" si="129"/>
        <v>-1</v>
      </c>
      <c r="Y83" s="33">
        <f>MAX([1]Examen31!Y28,[1]Examen32!Y28,[1]Examen33!Y28)</f>
        <v>0</v>
      </c>
      <c r="Z83" s="32">
        <f t="shared" si="130"/>
        <v>-1</v>
      </c>
      <c r="AA83" s="33">
        <f>MAX([1]Examen31!AA28,[1]Examen32!AA28,[1]Examen33!AA28)</f>
        <v>0</v>
      </c>
      <c r="AB83" s="32">
        <f t="shared" si="131"/>
        <v>-1</v>
      </c>
      <c r="AC83" s="33">
        <f>MAX([1]Examen31!AC28,[1]Examen32!AC28,[1]Examen33!AC28)</f>
        <v>0</v>
      </c>
      <c r="AD83" s="32">
        <f t="shared" si="132"/>
        <v>-1</v>
      </c>
      <c r="AE83" s="33">
        <f>MAX([1]Examen31!AE28,[1]Examen32!AE28,[1]Examen33!AE28)</f>
        <v>0</v>
      </c>
      <c r="AF83" s="32">
        <f t="shared" si="133"/>
        <v>-1</v>
      </c>
      <c r="AG83" s="33">
        <f>MAX([1]Examen31!AG28,[1]Examen32!AG28,[1]Examen33!AG28)</f>
        <v>0</v>
      </c>
      <c r="AH83" s="32">
        <f t="shared" si="134"/>
        <v>-1</v>
      </c>
      <c r="AI83" s="33">
        <f>MAX([1]Examen31!AI28,[1]Examen32!AI28,[1]Examen33!AI28)</f>
        <v>0</v>
      </c>
      <c r="AJ83" s="32">
        <f t="shared" si="135"/>
        <v>-1</v>
      </c>
      <c r="AK83" s="33">
        <f>MAX([1]Examen31!AK28,[1]Examen32!AK28,[1]Examen33!AK28)</f>
        <v>0</v>
      </c>
      <c r="AL83" s="32">
        <f t="shared" si="136"/>
        <v>-1</v>
      </c>
      <c r="AM83" s="33">
        <f>MAX([1]Examen31!AM28,[1]Examen32!AM28,[1]Examen33!AM28)</f>
        <v>0</v>
      </c>
      <c r="AN83" s="32">
        <f t="shared" si="137"/>
        <v>-1</v>
      </c>
      <c r="AO83" s="33">
        <f>MAX([1]Examen31!AO28,[1]Examen32!AO28,[1]Examen33!AO28)</f>
        <v>0</v>
      </c>
      <c r="AP83" s="32">
        <f t="shared" si="138"/>
        <v>-1</v>
      </c>
      <c r="AQ83" s="33">
        <f>MAX([1]Examen31!AQ28,[1]Examen32!AQ28,[1]Examen33!AQ28)</f>
        <v>0</v>
      </c>
      <c r="AR83" s="32">
        <f t="shared" si="139"/>
        <v>-1</v>
      </c>
      <c r="AS83" s="33">
        <f>MAX([1]Examen31!AS28,[1]Examen32!AS28,[1]Examen33!AS28)</f>
        <v>0</v>
      </c>
      <c r="AT83" s="32">
        <f t="shared" si="140"/>
        <v>-1</v>
      </c>
      <c r="AU83" s="33">
        <f>MAX([1]Examen31!AU28,[1]Examen32!AU28,[1]Examen33!AU28)</f>
        <v>0</v>
      </c>
      <c r="AV83" s="32">
        <f t="shared" si="141"/>
        <v>-1</v>
      </c>
      <c r="AW83" s="33">
        <f>MAX([1]Examen31!AW28,[1]Examen32!AW28,[1]Examen33!AW28)</f>
        <v>0</v>
      </c>
      <c r="AX83" s="32">
        <f t="shared" si="142"/>
        <v>-1</v>
      </c>
      <c r="AY83" s="33">
        <f>MAX([1]Examen31!AY28,[1]Examen32!AY28,[1]Examen33!AY28)</f>
        <v>0</v>
      </c>
      <c r="AZ83" s="32">
        <f t="shared" si="143"/>
        <v>-1</v>
      </c>
      <c r="BA83" s="33">
        <f>MAX([1]Examen31!BA28,[1]Examen32!BA28,[1]Examen33!BA28)</f>
        <v>0</v>
      </c>
      <c r="BB83" s="32">
        <f t="shared" si="144"/>
        <v>-1</v>
      </c>
      <c r="BC83" s="33">
        <f>MAX([1]Examen31!BC28,[1]Examen32!BC28,[1]Examen33!BC28)</f>
        <v>0</v>
      </c>
      <c r="BD83" s="32">
        <f t="shared" si="145"/>
        <v>-1</v>
      </c>
      <c r="BE83" s="33">
        <f>MAX([1]Examen31!BE28,[1]Examen32!BE28,[1]Examen33!BE28)</f>
        <v>0</v>
      </c>
      <c r="BF83" s="32">
        <f t="shared" si="146"/>
        <v>-1</v>
      </c>
      <c r="BG83" s="33">
        <f>MAX([1]Examen31!BG28,[1]Examen32!BG28,[1]Examen33!BG28)</f>
        <v>0</v>
      </c>
      <c r="BH83" s="32">
        <f t="shared" si="147"/>
        <v>-1</v>
      </c>
      <c r="BI83" s="33">
        <f>MAX([1]Examen31!BI28,[1]Examen32!BI28,[1]Examen33!BI28)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MAX([1]Examen31!B29,[1]Examen32!B29,[1]Examen33!B29)</f>
        <v>0</v>
      </c>
      <c r="C84" s="33">
        <f>MAX([1]Examen31!C29,[1]Examen32!C29,[1]Examen33!C29)</f>
        <v>0</v>
      </c>
      <c r="D84" s="32">
        <f t="shared" si="119"/>
        <v>-1</v>
      </c>
      <c r="E84" s="33">
        <f>MAX([1]Examen31!E29,[1]Examen32!E29,[1]Examen33!E29)</f>
        <v>0</v>
      </c>
      <c r="F84" s="32">
        <f t="shared" si="120"/>
        <v>-1</v>
      </c>
      <c r="G84" s="33">
        <f>MAX([1]Examen31!G29,[1]Examen32!G29,[1]Examen33!G29)</f>
        <v>0</v>
      </c>
      <c r="H84" s="32">
        <f t="shared" si="121"/>
        <v>-1</v>
      </c>
      <c r="I84" s="33">
        <f>MAX([1]Examen31!I29,[1]Examen32!I29,[1]Examen33!I29)</f>
        <v>0</v>
      </c>
      <c r="J84" s="32">
        <f t="shared" si="122"/>
        <v>-1</v>
      </c>
      <c r="K84" s="33">
        <f>MAX([1]Examen31!K29,[1]Examen32!K29,[1]Examen33!K29)</f>
        <v>0</v>
      </c>
      <c r="L84" s="32">
        <f t="shared" si="123"/>
        <v>-1</v>
      </c>
      <c r="M84" s="33">
        <f>MAX([1]Examen31!M29,[1]Examen32!M29,[1]Examen33!M29)</f>
        <v>0</v>
      </c>
      <c r="N84" s="32">
        <f t="shared" si="124"/>
        <v>-1</v>
      </c>
      <c r="O84" s="33">
        <f>MAX([1]Examen31!O29,[1]Examen32!O29,[1]Examen33!O29)</f>
        <v>0</v>
      </c>
      <c r="P84" s="32">
        <f t="shared" si="125"/>
        <v>-1</v>
      </c>
      <c r="Q84" s="33">
        <f>MAX([1]Examen31!Q29,[1]Examen32!Q29,[1]Examen33!Q29)</f>
        <v>0</v>
      </c>
      <c r="R84" s="32">
        <f t="shared" si="126"/>
        <v>-1</v>
      </c>
      <c r="S84" s="33">
        <f>MAX([1]Examen31!S29,[1]Examen32!S29,[1]Examen33!S29)</f>
        <v>0</v>
      </c>
      <c r="T84" s="32">
        <f t="shared" si="127"/>
        <v>-1</v>
      </c>
      <c r="U84" s="33">
        <f>MAX([1]Examen31!U29,[1]Examen32!U29,[1]Examen33!U29)</f>
        <v>0</v>
      </c>
      <c r="V84" s="32">
        <f t="shared" si="128"/>
        <v>-1</v>
      </c>
      <c r="W84" s="33">
        <f>MAX([1]Examen31!W29,[1]Examen32!W29,[1]Examen33!W29)</f>
        <v>0</v>
      </c>
      <c r="X84" s="32">
        <f t="shared" si="129"/>
        <v>-1</v>
      </c>
      <c r="Y84" s="33">
        <f>MAX([1]Examen31!Y29,[1]Examen32!Y29,[1]Examen33!Y29)</f>
        <v>0</v>
      </c>
      <c r="Z84" s="32">
        <f t="shared" si="130"/>
        <v>-1</v>
      </c>
      <c r="AA84" s="33">
        <f>MAX([1]Examen31!AA29,[1]Examen32!AA29,[1]Examen33!AA29)</f>
        <v>0</v>
      </c>
      <c r="AB84" s="32">
        <f t="shared" si="131"/>
        <v>-1</v>
      </c>
      <c r="AC84" s="33">
        <f>MAX([1]Examen31!AC29,[1]Examen32!AC29,[1]Examen33!AC29)</f>
        <v>0</v>
      </c>
      <c r="AD84" s="32">
        <f t="shared" si="132"/>
        <v>-1</v>
      </c>
      <c r="AE84" s="33">
        <f>MAX([1]Examen31!AE29,[1]Examen32!AE29,[1]Examen33!AE29)</f>
        <v>0</v>
      </c>
      <c r="AF84" s="32">
        <f t="shared" si="133"/>
        <v>-1</v>
      </c>
      <c r="AG84" s="33">
        <f>MAX([1]Examen31!AG29,[1]Examen32!AG29,[1]Examen33!AG29)</f>
        <v>0</v>
      </c>
      <c r="AH84" s="32">
        <f t="shared" si="134"/>
        <v>-1</v>
      </c>
      <c r="AI84" s="33">
        <f>MAX([1]Examen31!AI29,[1]Examen32!AI29,[1]Examen33!AI29)</f>
        <v>0</v>
      </c>
      <c r="AJ84" s="32">
        <f t="shared" si="135"/>
        <v>-1</v>
      </c>
      <c r="AK84" s="33">
        <f>MAX([1]Examen31!AK29,[1]Examen32!AK29,[1]Examen33!AK29)</f>
        <v>0</v>
      </c>
      <c r="AL84" s="32">
        <f t="shared" si="136"/>
        <v>-1</v>
      </c>
      <c r="AM84" s="33">
        <f>MAX([1]Examen31!AM29,[1]Examen32!AM29,[1]Examen33!AM29)</f>
        <v>0</v>
      </c>
      <c r="AN84" s="32">
        <f t="shared" si="137"/>
        <v>-1</v>
      </c>
      <c r="AO84" s="33">
        <f>MAX([1]Examen31!AO29,[1]Examen32!AO29,[1]Examen33!AO29)</f>
        <v>0</v>
      </c>
      <c r="AP84" s="32">
        <f t="shared" si="138"/>
        <v>-1</v>
      </c>
      <c r="AQ84" s="33">
        <f>MAX([1]Examen31!AQ29,[1]Examen32!AQ29,[1]Examen33!AQ29)</f>
        <v>0</v>
      </c>
      <c r="AR84" s="32">
        <f t="shared" si="139"/>
        <v>-1</v>
      </c>
      <c r="AS84" s="33">
        <f>MAX([1]Examen31!AS29,[1]Examen32!AS29,[1]Examen33!AS29)</f>
        <v>0</v>
      </c>
      <c r="AT84" s="32">
        <f t="shared" si="140"/>
        <v>-1</v>
      </c>
      <c r="AU84" s="33">
        <f>MAX([1]Examen31!AU29,[1]Examen32!AU29,[1]Examen33!AU29)</f>
        <v>0</v>
      </c>
      <c r="AV84" s="32">
        <f t="shared" si="141"/>
        <v>-1</v>
      </c>
      <c r="AW84" s="33">
        <f>MAX([1]Examen31!AW29,[1]Examen32!AW29,[1]Examen33!AW29)</f>
        <v>0</v>
      </c>
      <c r="AX84" s="32">
        <f t="shared" si="142"/>
        <v>-1</v>
      </c>
      <c r="AY84" s="33">
        <f>MAX([1]Examen31!AY29,[1]Examen32!AY29,[1]Examen33!AY29)</f>
        <v>0</v>
      </c>
      <c r="AZ84" s="32">
        <f t="shared" si="143"/>
        <v>-1</v>
      </c>
      <c r="BA84" s="33">
        <f>MAX([1]Examen31!BA29,[1]Examen32!BA29,[1]Examen33!BA29)</f>
        <v>0</v>
      </c>
      <c r="BB84" s="32">
        <f t="shared" si="144"/>
        <v>-1</v>
      </c>
      <c r="BC84" s="33">
        <f>MAX([1]Examen31!BC29,[1]Examen32!BC29,[1]Examen33!BC29)</f>
        <v>0</v>
      </c>
      <c r="BD84" s="32">
        <f t="shared" si="145"/>
        <v>-1</v>
      </c>
      <c r="BE84" s="33">
        <f>MAX([1]Examen31!BE29,[1]Examen32!BE29,[1]Examen33!BE29)</f>
        <v>0</v>
      </c>
      <c r="BF84" s="32">
        <f t="shared" si="146"/>
        <v>-1</v>
      </c>
      <c r="BG84" s="33">
        <f>MAX([1]Examen31!BG29,[1]Examen32!BG29,[1]Examen33!BG29)</f>
        <v>0</v>
      </c>
      <c r="BH84" s="32">
        <f t="shared" si="147"/>
        <v>-1</v>
      </c>
      <c r="BI84" s="33">
        <f>MAX([1]Examen31!BI29,[1]Examen32!BI29,[1]Examen33!BI29)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MAX([1]Examen31!B30,[1]Examen32!B30,[1]Examen33!B30)</f>
        <v>0</v>
      </c>
      <c r="C85" s="33">
        <f>MAX([1]Examen31!C30,[1]Examen32!C30,[1]Examen33!C30)</f>
        <v>0</v>
      </c>
      <c r="D85" s="32">
        <f t="shared" si="119"/>
        <v>-1</v>
      </c>
      <c r="E85" s="33">
        <f>MAX([1]Examen31!E30,[1]Examen32!E30,[1]Examen33!E30)</f>
        <v>0</v>
      </c>
      <c r="F85" s="32">
        <f t="shared" si="120"/>
        <v>-1</v>
      </c>
      <c r="G85" s="33">
        <f>MAX([1]Examen31!G30,[1]Examen32!G30,[1]Examen33!G30)</f>
        <v>0</v>
      </c>
      <c r="H85" s="32">
        <f t="shared" si="121"/>
        <v>-1</v>
      </c>
      <c r="I85" s="33">
        <f>MAX([1]Examen31!I30,[1]Examen32!I30,[1]Examen33!I30)</f>
        <v>0</v>
      </c>
      <c r="J85" s="32">
        <f t="shared" si="122"/>
        <v>-1</v>
      </c>
      <c r="K85" s="33">
        <f>MAX([1]Examen31!K30,[1]Examen32!K30,[1]Examen33!K30)</f>
        <v>0</v>
      </c>
      <c r="L85" s="32">
        <f t="shared" si="123"/>
        <v>-1</v>
      </c>
      <c r="M85" s="33">
        <f>MAX([1]Examen31!M30,[1]Examen32!M30,[1]Examen33!M30)</f>
        <v>0</v>
      </c>
      <c r="N85" s="32">
        <f t="shared" si="124"/>
        <v>-1</v>
      </c>
      <c r="O85" s="33">
        <f>MAX([1]Examen31!O30,[1]Examen32!O30,[1]Examen33!O30)</f>
        <v>0</v>
      </c>
      <c r="P85" s="32">
        <f t="shared" si="125"/>
        <v>-1</v>
      </c>
      <c r="Q85" s="33">
        <f>MAX([1]Examen31!Q30,[1]Examen32!Q30,[1]Examen33!Q30)</f>
        <v>0</v>
      </c>
      <c r="R85" s="32">
        <f t="shared" si="126"/>
        <v>-1</v>
      </c>
      <c r="S85" s="33">
        <f>MAX([1]Examen31!S30,[1]Examen32!S30,[1]Examen33!S30)</f>
        <v>0</v>
      </c>
      <c r="T85" s="32">
        <f t="shared" si="127"/>
        <v>-1</v>
      </c>
      <c r="U85" s="33">
        <f>MAX([1]Examen31!U30,[1]Examen32!U30,[1]Examen33!U30)</f>
        <v>0</v>
      </c>
      <c r="V85" s="32">
        <f t="shared" si="128"/>
        <v>-1</v>
      </c>
      <c r="W85" s="33">
        <f>MAX([1]Examen31!W30,[1]Examen32!W30,[1]Examen33!W30)</f>
        <v>0</v>
      </c>
      <c r="X85" s="32">
        <f t="shared" si="129"/>
        <v>-1</v>
      </c>
      <c r="Y85" s="33">
        <f>MAX([1]Examen31!Y30,[1]Examen32!Y30,[1]Examen33!Y30)</f>
        <v>0</v>
      </c>
      <c r="Z85" s="32">
        <f t="shared" si="130"/>
        <v>-1</v>
      </c>
      <c r="AA85" s="33">
        <f>MAX([1]Examen31!AA30,[1]Examen32!AA30,[1]Examen33!AA30)</f>
        <v>0</v>
      </c>
      <c r="AB85" s="32">
        <f t="shared" si="131"/>
        <v>-1</v>
      </c>
      <c r="AC85" s="33">
        <f>MAX([1]Examen31!AC30,[1]Examen32!AC30,[1]Examen33!AC30)</f>
        <v>0</v>
      </c>
      <c r="AD85" s="32">
        <f t="shared" si="132"/>
        <v>-1</v>
      </c>
      <c r="AE85" s="33">
        <f>MAX([1]Examen31!AE30,[1]Examen32!AE30,[1]Examen33!AE30)</f>
        <v>0</v>
      </c>
      <c r="AF85" s="32">
        <f t="shared" si="133"/>
        <v>-1</v>
      </c>
      <c r="AG85" s="33">
        <f>MAX([1]Examen31!AG30,[1]Examen32!AG30,[1]Examen33!AG30)</f>
        <v>0</v>
      </c>
      <c r="AH85" s="32">
        <f t="shared" si="134"/>
        <v>-1</v>
      </c>
      <c r="AI85" s="33">
        <f>MAX([1]Examen31!AI30,[1]Examen32!AI30,[1]Examen33!AI30)</f>
        <v>0</v>
      </c>
      <c r="AJ85" s="32">
        <f t="shared" si="135"/>
        <v>-1</v>
      </c>
      <c r="AK85" s="33">
        <f>MAX([1]Examen31!AK30,[1]Examen32!AK30,[1]Examen33!AK30)</f>
        <v>0</v>
      </c>
      <c r="AL85" s="32">
        <f t="shared" si="136"/>
        <v>-1</v>
      </c>
      <c r="AM85" s="33">
        <f>MAX([1]Examen31!AM30,[1]Examen32!AM30,[1]Examen33!AM30)</f>
        <v>0</v>
      </c>
      <c r="AN85" s="32">
        <f t="shared" si="137"/>
        <v>-1</v>
      </c>
      <c r="AO85" s="33">
        <f>MAX([1]Examen31!AO30,[1]Examen32!AO30,[1]Examen33!AO30)</f>
        <v>0</v>
      </c>
      <c r="AP85" s="32">
        <f t="shared" si="138"/>
        <v>-1</v>
      </c>
      <c r="AQ85" s="33">
        <f>MAX([1]Examen31!AQ30,[1]Examen32!AQ30,[1]Examen33!AQ30)</f>
        <v>0</v>
      </c>
      <c r="AR85" s="32">
        <f t="shared" si="139"/>
        <v>-1</v>
      </c>
      <c r="AS85" s="33">
        <f>MAX([1]Examen31!AS30,[1]Examen32!AS30,[1]Examen33!AS30)</f>
        <v>0</v>
      </c>
      <c r="AT85" s="32">
        <f t="shared" si="140"/>
        <v>-1</v>
      </c>
      <c r="AU85" s="33">
        <f>MAX([1]Examen31!AU30,[1]Examen32!AU30,[1]Examen33!AU30)</f>
        <v>0</v>
      </c>
      <c r="AV85" s="32">
        <f t="shared" si="141"/>
        <v>-1</v>
      </c>
      <c r="AW85" s="33">
        <f>MAX([1]Examen31!AW30,[1]Examen32!AW30,[1]Examen33!AW30)</f>
        <v>0</v>
      </c>
      <c r="AX85" s="32">
        <f t="shared" si="142"/>
        <v>-1</v>
      </c>
      <c r="AY85" s="33">
        <f>MAX([1]Examen31!AY30,[1]Examen32!AY30,[1]Examen33!AY30)</f>
        <v>0</v>
      </c>
      <c r="AZ85" s="32">
        <f t="shared" si="143"/>
        <v>-1</v>
      </c>
      <c r="BA85" s="33">
        <f>MAX([1]Examen31!BA30,[1]Examen32!BA30,[1]Examen33!BA30)</f>
        <v>0</v>
      </c>
      <c r="BB85" s="32">
        <f t="shared" si="144"/>
        <v>-1</v>
      </c>
      <c r="BC85" s="33">
        <f>MAX([1]Examen31!BC30,[1]Examen32!BC30,[1]Examen33!BC30)</f>
        <v>0</v>
      </c>
      <c r="BD85" s="32">
        <f t="shared" si="145"/>
        <v>-1</v>
      </c>
      <c r="BE85" s="33">
        <f>MAX([1]Examen31!BE30,[1]Examen32!BE30,[1]Examen33!BE30)</f>
        <v>0</v>
      </c>
      <c r="BF85" s="32">
        <f t="shared" si="146"/>
        <v>-1</v>
      </c>
      <c r="BG85" s="33">
        <f>MAX([1]Examen31!BG30,[1]Examen32!BG30,[1]Examen33!BG30)</f>
        <v>0</v>
      </c>
      <c r="BH85" s="32">
        <f t="shared" si="147"/>
        <v>-1</v>
      </c>
      <c r="BI85" s="33">
        <f>MAX([1]Examen31!BI30,[1]Examen32!BI30,[1]Examen33!BI30)</f>
        <v>0</v>
      </c>
      <c r="BJ85" s="32">
        <f t="shared" si="148"/>
        <v>-1</v>
      </c>
    </row>
    <row r="86" spans="1:62" ht="19" customHeight="1" x14ac:dyDescent="0.2">
      <c r="A86" s="48" t="s">
        <v>84</v>
      </c>
      <c r="B86" s="49"/>
      <c r="C86" s="53">
        <f>SUM(C4,C7,C16,C38,C59,C64)</f>
        <v>0</v>
      </c>
      <c r="D86" s="54"/>
      <c r="E86" s="53">
        <f t="shared" ref="E86" si="149">SUM(E4,E7,E16,E38,E59,E64)</f>
        <v>0</v>
      </c>
      <c r="F86" s="54"/>
      <c r="G86" s="53">
        <f t="shared" ref="G86" si="150">SUM(G4,G7,G16,G38,G59,G64)</f>
        <v>0</v>
      </c>
      <c r="H86" s="54"/>
      <c r="I86" s="53">
        <f t="shared" ref="I86" si="151">SUM(I4,I7,I16,I38,I59,I64)</f>
        <v>0</v>
      </c>
      <c r="J86" s="54"/>
      <c r="K86" s="53">
        <f t="shared" ref="K86" si="152">SUM(K4,K7,K16,K38,K59,K64)</f>
        <v>0</v>
      </c>
      <c r="L86" s="54"/>
      <c r="M86" s="53">
        <f t="shared" ref="M86" si="153">SUM(M4,M7,M16,M38,M59,M64)</f>
        <v>0</v>
      </c>
      <c r="N86" s="54"/>
      <c r="O86" s="53">
        <f t="shared" ref="O86" si="154">SUM(O4,O7,O16,O38,O59,O64)</f>
        <v>0</v>
      </c>
      <c r="P86" s="54"/>
      <c r="Q86" s="53">
        <f t="shared" ref="Q86" si="155">SUM(Q4,Q7,Q16,Q38,Q59,Q64)</f>
        <v>0</v>
      </c>
      <c r="R86" s="54"/>
      <c r="S86" s="53">
        <f t="shared" ref="S86" si="156">SUM(S4,S7,S16,S38,S59,S64)</f>
        <v>0</v>
      </c>
      <c r="T86" s="54"/>
      <c r="U86" s="53">
        <f t="shared" ref="U86" si="157">SUM(U4,U7,U16,U38,U59,U64)</f>
        <v>0</v>
      </c>
      <c r="V86" s="54"/>
      <c r="W86" s="53">
        <f t="shared" ref="W86" si="158">SUM(W4,W7,W16,W38,W59,W64)</f>
        <v>0</v>
      </c>
      <c r="X86" s="54"/>
      <c r="Y86" s="53">
        <f t="shared" ref="Y86" si="159">SUM(Y4,Y7,Y16,Y38,Y59,Y64)</f>
        <v>0</v>
      </c>
      <c r="Z86" s="54"/>
      <c r="AA86" s="53">
        <f t="shared" ref="AA86" si="160">SUM(AA4,AA7,AA16,AA38,AA59,AA64)</f>
        <v>0</v>
      </c>
      <c r="AB86" s="54"/>
      <c r="AC86" s="53">
        <f t="shared" ref="AC86" si="161">SUM(AC4,AC7,AC16,AC38,AC59,AC64)</f>
        <v>0</v>
      </c>
      <c r="AD86" s="54"/>
      <c r="AE86" s="53">
        <f t="shared" ref="AE86" si="162">SUM(AE4,AE7,AE16,AE38,AE59,AE64)</f>
        <v>0</v>
      </c>
      <c r="AF86" s="54"/>
      <c r="AG86" s="53">
        <f t="shared" ref="AG86" si="163">SUM(AG4,AG7,AG16,AG38,AG59,AG64)</f>
        <v>0</v>
      </c>
      <c r="AH86" s="54"/>
      <c r="AI86" s="53">
        <f t="shared" ref="AI86" si="164">SUM(AI4,AI7,AI16,AI38,AI59,AI64)</f>
        <v>0</v>
      </c>
      <c r="AJ86" s="54"/>
      <c r="AK86" s="53">
        <f t="shared" ref="AK86" si="165">SUM(AK4,AK7,AK16,AK38,AK59,AK64)</f>
        <v>0</v>
      </c>
      <c r="AL86" s="54"/>
      <c r="AM86" s="53">
        <f t="shared" ref="AM86" si="166">SUM(AM4,AM7,AM16,AM38,AM59,AM64)</f>
        <v>0</v>
      </c>
      <c r="AN86" s="54"/>
      <c r="AO86" s="53">
        <f t="shared" ref="AO86" si="167">SUM(AO4,AO7,AO16,AO38,AO59,AO64)</f>
        <v>0</v>
      </c>
      <c r="AP86" s="54"/>
      <c r="AQ86" s="53">
        <f t="shared" ref="AQ86" si="168">SUM(AQ4,AQ7,AQ16,AQ38,AQ59,AQ64)</f>
        <v>0</v>
      </c>
      <c r="AR86" s="54"/>
      <c r="AS86" s="53">
        <f t="shared" ref="AS86" si="169">SUM(AS4,AS7,AS16,AS38,AS59,AS64)</f>
        <v>0</v>
      </c>
      <c r="AT86" s="54"/>
      <c r="AU86" s="53">
        <f t="shared" ref="AU86" si="170">SUM(AU4,AU7,AU16,AU38,AU59,AU64)</f>
        <v>0</v>
      </c>
      <c r="AV86" s="54"/>
      <c r="AW86" s="53">
        <f t="shared" ref="AW86" si="171">SUM(AW4,AW7,AW16,AW38,AW59,AW64)</f>
        <v>0</v>
      </c>
      <c r="AX86" s="54"/>
      <c r="AY86" s="53">
        <f t="shared" ref="AY86" si="172">SUM(AY4,AY7,AY16,AY38,AY59,AY64)</f>
        <v>0</v>
      </c>
      <c r="AZ86" s="54"/>
      <c r="BA86" s="53">
        <f t="shared" ref="BA86" si="173">SUM(BA4,BA7,BA16,BA38,BA59,BA64)</f>
        <v>0</v>
      </c>
      <c r="BB86" s="54"/>
      <c r="BC86" s="53">
        <f t="shared" ref="BC86" si="174">SUM(BC4,BC7,BC16,BC38,BC59,BC64)</f>
        <v>0</v>
      </c>
      <c r="BD86" s="54"/>
      <c r="BE86" s="53">
        <f t="shared" ref="BE86" si="175">SUM(BE4,BE7,BE16,BE38,BE59,BE64)</f>
        <v>0</v>
      </c>
      <c r="BF86" s="54"/>
      <c r="BG86" s="53">
        <f t="shared" ref="BG86" si="176">SUM(BG4,BG7,BG16,BG38,BG59,BG64)</f>
        <v>0</v>
      </c>
      <c r="BH86" s="54"/>
      <c r="BI86" s="53">
        <f t="shared" ref="BI86" si="177">SUM(BI4,BI7,BI16,BI38,BI59,BI64)</f>
        <v>0</v>
      </c>
      <c r="BJ86" s="54"/>
    </row>
    <row r="87" spans="1:62" ht="19" customHeight="1" x14ac:dyDescent="0.2">
      <c r="A87" s="48"/>
      <c r="B87" s="49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</row>
    <row r="88" spans="1:62" ht="19" customHeight="1" x14ac:dyDescent="0.2">
      <c r="A88" s="48"/>
      <c r="B88" s="49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</row>
  </sheetData>
  <sheetProtection algorithmName="SHA-512" hashValue="KJiYafZ10x51xD97ZkDLd7PeBUwZtznEJc+7j4SH87f0FmEPw/6doy9VRYuoiEGtbA71ot8Gk8JYe+8I4svU6g==" saltValue="BJGPFZQDnyc7JmpW6L6pDA==" spinCount="100000" sheet="1" objects="1" scenarios="1" formatCells="0" autoFilter="0"/>
  <mergeCells count="303">
    <mergeCell ref="B1:B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BI2:BJ2"/>
    <mergeCell ref="AW2:AX2"/>
    <mergeCell ref="AY2:AZ2"/>
    <mergeCell ref="BA2:BB2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E2:AF2"/>
    <mergeCell ref="AG2:AH2"/>
    <mergeCell ref="AI2:AJ2"/>
    <mergeCell ref="AK2:AL2"/>
    <mergeCell ref="AO2:AP2"/>
    <mergeCell ref="C3:D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A1:A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AM2:AN2"/>
  </mergeCells>
  <conditionalFormatting sqref="C86 E86 G86 I86 K86 M86 O86 Q86 S86 U86 W86 Y86 AA86 AC86 AE86 AG86 AI86 AK86 AM86 AO86 AQ86 AS86 AU86 AW86 AY86 BA86 BC86 BE86 BG86 BI86">
    <cfRule type="cellIs" dxfId="27559" priority="92" stopIfTrue="1" operator="lessThan">
      <formula>5</formula>
    </cfRule>
    <cfRule type="cellIs" dxfId="27558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7557" priority="2" stopIfTrue="1" operator="lessThan">
      <formula>5</formula>
    </cfRule>
    <cfRule type="cellIs" dxfId="27556" priority="3" operator="greaterThanOrEqual">
      <formula>5</formula>
    </cfRule>
  </conditionalFormatting>
  <conditionalFormatting sqref="D7">
    <cfRule type="cellIs" dxfId="27555" priority="2352" stopIfTrue="1" operator="equal">
      <formula>-1</formula>
    </cfRule>
  </conditionalFormatting>
  <conditionalFormatting sqref="D7">
    <cfRule type="cellIs" dxfId="27554" priority="2353" stopIfTrue="1" operator="lessThan">
      <formula>0.5</formula>
    </cfRule>
  </conditionalFormatting>
  <conditionalFormatting sqref="D7">
    <cfRule type="cellIs" dxfId="27553" priority="2354" stopIfTrue="1" operator="greaterThanOrEqual">
      <formula>0.5</formula>
    </cfRule>
  </conditionalFormatting>
  <conditionalFormatting sqref="F7">
    <cfRule type="cellIs" dxfId="27552" priority="2364" stopIfTrue="1" operator="equal">
      <formula>-1</formula>
    </cfRule>
  </conditionalFormatting>
  <conditionalFormatting sqref="F7">
    <cfRule type="cellIs" dxfId="27551" priority="2365" stopIfTrue="1" operator="lessThan">
      <formula>0.5</formula>
    </cfRule>
  </conditionalFormatting>
  <conditionalFormatting sqref="F7">
    <cfRule type="cellIs" dxfId="27550" priority="2366" stopIfTrue="1" operator="greaterThanOrEqual">
      <formula>0.5</formula>
    </cfRule>
  </conditionalFormatting>
  <conditionalFormatting sqref="H7">
    <cfRule type="cellIs" dxfId="27549" priority="2376" stopIfTrue="1" operator="equal">
      <formula>-1</formula>
    </cfRule>
  </conditionalFormatting>
  <conditionalFormatting sqref="H7">
    <cfRule type="cellIs" dxfId="27548" priority="2377" stopIfTrue="1" operator="lessThan">
      <formula>0.5</formula>
    </cfRule>
  </conditionalFormatting>
  <conditionalFormatting sqref="H7">
    <cfRule type="cellIs" dxfId="27547" priority="2378" stopIfTrue="1" operator="greaterThanOrEqual">
      <formula>0.5</formula>
    </cfRule>
  </conditionalFormatting>
  <conditionalFormatting sqref="J7">
    <cfRule type="cellIs" dxfId="27546" priority="2388" stopIfTrue="1" operator="equal">
      <formula>-1</formula>
    </cfRule>
  </conditionalFormatting>
  <conditionalFormatting sqref="J7">
    <cfRule type="cellIs" dxfId="27545" priority="2389" stopIfTrue="1" operator="lessThan">
      <formula>0.5</formula>
    </cfRule>
  </conditionalFormatting>
  <conditionalFormatting sqref="J7">
    <cfRule type="cellIs" dxfId="27544" priority="2390" stopIfTrue="1" operator="greaterThanOrEqual">
      <formula>0.5</formula>
    </cfRule>
  </conditionalFormatting>
  <conditionalFormatting sqref="L7">
    <cfRule type="cellIs" dxfId="27543" priority="2400" stopIfTrue="1" operator="equal">
      <formula>-1</formula>
    </cfRule>
  </conditionalFormatting>
  <conditionalFormatting sqref="L7">
    <cfRule type="cellIs" dxfId="27542" priority="2401" stopIfTrue="1" operator="lessThan">
      <formula>0.5</formula>
    </cfRule>
  </conditionalFormatting>
  <conditionalFormatting sqref="L7">
    <cfRule type="cellIs" dxfId="27541" priority="2402" stopIfTrue="1" operator="greaterThanOrEqual">
      <formula>0.5</formula>
    </cfRule>
  </conditionalFormatting>
  <conditionalFormatting sqref="N7">
    <cfRule type="cellIs" dxfId="27540" priority="2412" stopIfTrue="1" operator="equal">
      <formula>-1</formula>
    </cfRule>
  </conditionalFormatting>
  <conditionalFormatting sqref="N7">
    <cfRule type="cellIs" dxfId="27539" priority="2413" stopIfTrue="1" operator="lessThan">
      <formula>0.5</formula>
    </cfRule>
  </conditionalFormatting>
  <conditionalFormatting sqref="N7">
    <cfRule type="cellIs" dxfId="27538" priority="2414" stopIfTrue="1" operator="greaterThanOrEqual">
      <formula>0.5</formula>
    </cfRule>
  </conditionalFormatting>
  <conditionalFormatting sqref="P7">
    <cfRule type="cellIs" dxfId="27537" priority="2424" stopIfTrue="1" operator="equal">
      <formula>-1</formula>
    </cfRule>
  </conditionalFormatting>
  <conditionalFormatting sqref="P7">
    <cfRule type="cellIs" dxfId="27536" priority="2425" stopIfTrue="1" operator="lessThan">
      <formula>0.5</formula>
    </cfRule>
  </conditionalFormatting>
  <conditionalFormatting sqref="P7">
    <cfRule type="cellIs" dxfId="27535" priority="2426" stopIfTrue="1" operator="greaterThanOrEqual">
      <formula>0.5</formula>
    </cfRule>
  </conditionalFormatting>
  <conditionalFormatting sqref="R7">
    <cfRule type="cellIs" dxfId="27534" priority="2436" stopIfTrue="1" operator="equal">
      <formula>-1</formula>
    </cfRule>
  </conditionalFormatting>
  <conditionalFormatting sqref="R7">
    <cfRule type="cellIs" dxfId="27533" priority="2437" stopIfTrue="1" operator="lessThan">
      <formula>0.5</formula>
    </cfRule>
  </conditionalFormatting>
  <conditionalFormatting sqref="R7">
    <cfRule type="cellIs" dxfId="27532" priority="2438" stopIfTrue="1" operator="greaterThanOrEqual">
      <formula>0.5</formula>
    </cfRule>
  </conditionalFormatting>
  <conditionalFormatting sqref="T7">
    <cfRule type="cellIs" dxfId="27531" priority="2448" stopIfTrue="1" operator="equal">
      <formula>-1</formula>
    </cfRule>
  </conditionalFormatting>
  <conditionalFormatting sqref="T7">
    <cfRule type="cellIs" dxfId="27530" priority="2449" stopIfTrue="1" operator="lessThan">
      <formula>0.5</formula>
    </cfRule>
  </conditionalFormatting>
  <conditionalFormatting sqref="T7">
    <cfRule type="cellIs" dxfId="27529" priority="2450" stopIfTrue="1" operator="greaterThanOrEqual">
      <formula>0.5</formula>
    </cfRule>
  </conditionalFormatting>
  <conditionalFormatting sqref="V7">
    <cfRule type="cellIs" dxfId="27528" priority="2460" stopIfTrue="1" operator="equal">
      <formula>-1</formula>
    </cfRule>
  </conditionalFormatting>
  <conditionalFormatting sqref="V7">
    <cfRule type="cellIs" dxfId="27527" priority="2461" stopIfTrue="1" operator="lessThan">
      <formula>0.5</formula>
    </cfRule>
  </conditionalFormatting>
  <conditionalFormatting sqref="V7">
    <cfRule type="cellIs" dxfId="27526" priority="2462" stopIfTrue="1" operator="greaterThanOrEqual">
      <formula>0.5</formula>
    </cfRule>
  </conditionalFormatting>
  <conditionalFormatting sqref="X7">
    <cfRule type="cellIs" dxfId="27525" priority="2472" stopIfTrue="1" operator="equal">
      <formula>-1</formula>
    </cfRule>
  </conditionalFormatting>
  <conditionalFormatting sqref="X7">
    <cfRule type="cellIs" dxfId="27524" priority="2473" stopIfTrue="1" operator="lessThan">
      <formula>0.5</formula>
    </cfRule>
  </conditionalFormatting>
  <conditionalFormatting sqref="X7">
    <cfRule type="cellIs" dxfId="27523" priority="2474" stopIfTrue="1" operator="greaterThanOrEqual">
      <formula>0.5</formula>
    </cfRule>
  </conditionalFormatting>
  <conditionalFormatting sqref="Z7">
    <cfRule type="cellIs" dxfId="27522" priority="2484" stopIfTrue="1" operator="equal">
      <formula>-1</formula>
    </cfRule>
  </conditionalFormatting>
  <conditionalFormatting sqref="Z7">
    <cfRule type="cellIs" dxfId="27521" priority="2485" stopIfTrue="1" operator="lessThan">
      <formula>0.5</formula>
    </cfRule>
  </conditionalFormatting>
  <conditionalFormatting sqref="Z7">
    <cfRule type="cellIs" dxfId="27520" priority="2486" stopIfTrue="1" operator="greaterThanOrEqual">
      <formula>0.5</formula>
    </cfRule>
  </conditionalFormatting>
  <conditionalFormatting sqref="AB7">
    <cfRule type="cellIs" dxfId="27519" priority="2496" stopIfTrue="1" operator="equal">
      <formula>-1</formula>
    </cfRule>
  </conditionalFormatting>
  <conditionalFormatting sqref="AB7">
    <cfRule type="cellIs" dxfId="27518" priority="2497" stopIfTrue="1" operator="lessThan">
      <formula>0.5</formula>
    </cfRule>
  </conditionalFormatting>
  <conditionalFormatting sqref="AB7">
    <cfRule type="cellIs" dxfId="27517" priority="2498" stopIfTrue="1" operator="greaterThanOrEqual">
      <formula>0.5</formula>
    </cfRule>
  </conditionalFormatting>
  <conditionalFormatting sqref="AD7">
    <cfRule type="cellIs" dxfId="27516" priority="2508" stopIfTrue="1" operator="equal">
      <formula>-1</formula>
    </cfRule>
  </conditionalFormatting>
  <conditionalFormatting sqref="AD7">
    <cfRule type="cellIs" dxfId="27515" priority="2509" stopIfTrue="1" operator="lessThan">
      <formula>0.5</formula>
    </cfRule>
  </conditionalFormatting>
  <conditionalFormatting sqref="AD7">
    <cfRule type="cellIs" dxfId="27514" priority="2510" stopIfTrue="1" operator="greaterThanOrEqual">
      <formula>0.5</formula>
    </cfRule>
  </conditionalFormatting>
  <conditionalFormatting sqref="AF7">
    <cfRule type="cellIs" dxfId="27513" priority="2520" stopIfTrue="1" operator="equal">
      <formula>-1</formula>
    </cfRule>
  </conditionalFormatting>
  <conditionalFormatting sqref="AF7">
    <cfRule type="cellIs" dxfId="27512" priority="2521" stopIfTrue="1" operator="lessThan">
      <formula>0.5</formula>
    </cfRule>
  </conditionalFormatting>
  <conditionalFormatting sqref="AF7">
    <cfRule type="cellIs" dxfId="27511" priority="2522" stopIfTrue="1" operator="greaterThanOrEqual">
      <formula>0.5</formula>
    </cfRule>
  </conditionalFormatting>
  <conditionalFormatting sqref="AH7">
    <cfRule type="cellIs" dxfId="27510" priority="2532" stopIfTrue="1" operator="equal">
      <formula>-1</formula>
    </cfRule>
  </conditionalFormatting>
  <conditionalFormatting sqref="AH7">
    <cfRule type="cellIs" dxfId="27509" priority="2533" stopIfTrue="1" operator="lessThan">
      <formula>0.5</formula>
    </cfRule>
  </conditionalFormatting>
  <conditionalFormatting sqref="AH7">
    <cfRule type="cellIs" dxfId="27508" priority="2534" stopIfTrue="1" operator="greaterThanOrEqual">
      <formula>0.5</formula>
    </cfRule>
  </conditionalFormatting>
  <conditionalFormatting sqref="AJ7">
    <cfRule type="cellIs" dxfId="27507" priority="2544" stopIfTrue="1" operator="equal">
      <formula>-1</formula>
    </cfRule>
  </conditionalFormatting>
  <conditionalFormatting sqref="AJ7">
    <cfRule type="cellIs" dxfId="27506" priority="2545" stopIfTrue="1" operator="lessThan">
      <formula>0.5</formula>
    </cfRule>
  </conditionalFormatting>
  <conditionalFormatting sqref="AJ7">
    <cfRule type="cellIs" dxfId="27505" priority="2546" stopIfTrue="1" operator="greaterThanOrEqual">
      <formula>0.5</formula>
    </cfRule>
  </conditionalFormatting>
  <conditionalFormatting sqref="AL7">
    <cfRule type="cellIs" dxfId="27504" priority="2556" stopIfTrue="1" operator="equal">
      <formula>-1</formula>
    </cfRule>
  </conditionalFormatting>
  <conditionalFormatting sqref="AL7">
    <cfRule type="cellIs" dxfId="27503" priority="2557" stopIfTrue="1" operator="lessThan">
      <formula>0.5</formula>
    </cfRule>
  </conditionalFormatting>
  <conditionalFormatting sqref="AL7">
    <cfRule type="cellIs" dxfId="27502" priority="2558" stopIfTrue="1" operator="greaterThanOrEqual">
      <formula>0.5</formula>
    </cfRule>
  </conditionalFormatting>
  <conditionalFormatting sqref="AN7">
    <cfRule type="cellIs" dxfId="27501" priority="2568" stopIfTrue="1" operator="equal">
      <formula>-1</formula>
    </cfRule>
  </conditionalFormatting>
  <conditionalFormatting sqref="AN7">
    <cfRule type="cellIs" dxfId="27500" priority="2569" stopIfTrue="1" operator="lessThan">
      <formula>0.5</formula>
    </cfRule>
  </conditionalFormatting>
  <conditionalFormatting sqref="AN7">
    <cfRule type="cellIs" dxfId="27499" priority="2570" stopIfTrue="1" operator="greaterThanOrEqual">
      <formula>0.5</formula>
    </cfRule>
  </conditionalFormatting>
  <conditionalFormatting sqref="AP7">
    <cfRule type="cellIs" dxfId="27498" priority="2580" stopIfTrue="1" operator="equal">
      <formula>-1</formula>
    </cfRule>
  </conditionalFormatting>
  <conditionalFormatting sqref="AP7">
    <cfRule type="cellIs" dxfId="27497" priority="2581" stopIfTrue="1" operator="lessThan">
      <formula>0.5</formula>
    </cfRule>
  </conditionalFormatting>
  <conditionalFormatting sqref="AP7">
    <cfRule type="cellIs" dxfId="27496" priority="2582" stopIfTrue="1" operator="greaterThanOrEqual">
      <formula>0.5</formula>
    </cfRule>
  </conditionalFormatting>
  <conditionalFormatting sqref="AR7">
    <cfRule type="cellIs" dxfId="27495" priority="2592" stopIfTrue="1" operator="equal">
      <formula>-1</formula>
    </cfRule>
  </conditionalFormatting>
  <conditionalFormatting sqref="AR7">
    <cfRule type="cellIs" dxfId="27494" priority="2593" stopIfTrue="1" operator="lessThan">
      <formula>0.5</formula>
    </cfRule>
  </conditionalFormatting>
  <conditionalFormatting sqref="AR7">
    <cfRule type="cellIs" dxfId="27493" priority="2594" stopIfTrue="1" operator="greaterThanOrEqual">
      <formula>0.5</formula>
    </cfRule>
  </conditionalFormatting>
  <conditionalFormatting sqref="AT7">
    <cfRule type="cellIs" dxfId="27492" priority="2604" stopIfTrue="1" operator="equal">
      <formula>-1</formula>
    </cfRule>
  </conditionalFormatting>
  <conditionalFormatting sqref="AT7">
    <cfRule type="cellIs" dxfId="27491" priority="2605" stopIfTrue="1" operator="lessThan">
      <formula>0.5</formula>
    </cfRule>
  </conditionalFormatting>
  <conditionalFormatting sqref="AT7">
    <cfRule type="cellIs" dxfId="27490" priority="2606" stopIfTrue="1" operator="greaterThanOrEqual">
      <formula>0.5</formula>
    </cfRule>
  </conditionalFormatting>
  <conditionalFormatting sqref="AV7">
    <cfRule type="cellIs" dxfId="27489" priority="2616" stopIfTrue="1" operator="equal">
      <formula>-1</formula>
    </cfRule>
  </conditionalFormatting>
  <conditionalFormatting sqref="AV7">
    <cfRule type="cellIs" dxfId="27488" priority="2617" stopIfTrue="1" operator="lessThan">
      <formula>0.5</formula>
    </cfRule>
  </conditionalFormatting>
  <conditionalFormatting sqref="AV7">
    <cfRule type="cellIs" dxfId="27487" priority="2618" stopIfTrue="1" operator="greaterThanOrEqual">
      <formula>0.5</formula>
    </cfRule>
  </conditionalFormatting>
  <conditionalFormatting sqref="AX7">
    <cfRule type="cellIs" dxfId="27486" priority="2628" stopIfTrue="1" operator="equal">
      <formula>-1</formula>
    </cfRule>
  </conditionalFormatting>
  <conditionalFormatting sqref="AX7">
    <cfRule type="cellIs" dxfId="27485" priority="2629" stopIfTrue="1" operator="lessThan">
      <formula>0.5</formula>
    </cfRule>
  </conditionalFormatting>
  <conditionalFormatting sqref="AX7">
    <cfRule type="cellIs" dxfId="27484" priority="2630" stopIfTrue="1" operator="greaterThanOrEqual">
      <formula>0.5</formula>
    </cfRule>
  </conditionalFormatting>
  <conditionalFormatting sqref="AZ7">
    <cfRule type="cellIs" dxfId="27483" priority="2640" stopIfTrue="1" operator="equal">
      <formula>-1</formula>
    </cfRule>
  </conditionalFormatting>
  <conditionalFormatting sqref="AZ7">
    <cfRule type="cellIs" dxfId="27482" priority="2641" stopIfTrue="1" operator="lessThan">
      <formula>0.5</formula>
    </cfRule>
  </conditionalFormatting>
  <conditionalFormatting sqref="AZ7">
    <cfRule type="cellIs" dxfId="27481" priority="2642" stopIfTrue="1" operator="greaterThanOrEqual">
      <formula>0.5</formula>
    </cfRule>
  </conditionalFormatting>
  <conditionalFormatting sqref="BB7">
    <cfRule type="cellIs" dxfId="27480" priority="2652" stopIfTrue="1" operator="equal">
      <formula>-1</formula>
    </cfRule>
  </conditionalFormatting>
  <conditionalFormatting sqref="BB7">
    <cfRule type="cellIs" dxfId="27479" priority="2653" stopIfTrue="1" operator="lessThan">
      <formula>0.5</formula>
    </cfRule>
  </conditionalFormatting>
  <conditionalFormatting sqref="BB7">
    <cfRule type="cellIs" dxfId="27478" priority="2654" stopIfTrue="1" operator="greaterThanOrEqual">
      <formula>0.5</formula>
    </cfRule>
  </conditionalFormatting>
  <conditionalFormatting sqref="BD7">
    <cfRule type="cellIs" dxfId="27477" priority="2664" stopIfTrue="1" operator="equal">
      <formula>-1</formula>
    </cfRule>
  </conditionalFormatting>
  <conditionalFormatting sqref="BD7">
    <cfRule type="cellIs" dxfId="27476" priority="2665" stopIfTrue="1" operator="lessThan">
      <formula>0.5</formula>
    </cfRule>
  </conditionalFormatting>
  <conditionalFormatting sqref="BD7">
    <cfRule type="cellIs" dxfId="27475" priority="2666" stopIfTrue="1" operator="greaterThanOrEqual">
      <formula>0.5</formula>
    </cfRule>
  </conditionalFormatting>
  <conditionalFormatting sqref="BF7">
    <cfRule type="cellIs" dxfId="27474" priority="2676" stopIfTrue="1" operator="equal">
      <formula>-1</formula>
    </cfRule>
  </conditionalFormatting>
  <conditionalFormatting sqref="BF7">
    <cfRule type="cellIs" dxfId="27473" priority="2677" stopIfTrue="1" operator="lessThan">
      <formula>0.5</formula>
    </cfRule>
  </conditionalFormatting>
  <conditionalFormatting sqref="BF7">
    <cfRule type="cellIs" dxfId="27472" priority="2678" stopIfTrue="1" operator="greaterThanOrEqual">
      <formula>0.5</formula>
    </cfRule>
  </conditionalFormatting>
  <conditionalFormatting sqref="BH7">
    <cfRule type="cellIs" dxfId="27471" priority="2688" stopIfTrue="1" operator="equal">
      <formula>-1</formula>
    </cfRule>
  </conditionalFormatting>
  <conditionalFormatting sqref="BH7">
    <cfRule type="cellIs" dxfId="27470" priority="2689" stopIfTrue="1" operator="lessThan">
      <formula>0.5</formula>
    </cfRule>
  </conditionalFormatting>
  <conditionalFormatting sqref="BH7">
    <cfRule type="cellIs" dxfId="27469" priority="2690" stopIfTrue="1" operator="greaterThanOrEqual">
      <formula>0.5</formula>
    </cfRule>
  </conditionalFormatting>
  <conditionalFormatting sqref="BJ7">
    <cfRule type="cellIs" dxfId="27468" priority="2700" stopIfTrue="1" operator="equal">
      <formula>-1</formula>
    </cfRule>
  </conditionalFormatting>
  <conditionalFormatting sqref="BJ7">
    <cfRule type="cellIs" dxfId="27467" priority="2701" stopIfTrue="1" operator="lessThan">
      <formula>0.5</formula>
    </cfRule>
  </conditionalFormatting>
  <conditionalFormatting sqref="BJ7">
    <cfRule type="cellIs" dxfId="27466" priority="2702" stopIfTrue="1" operator="greaterThanOrEqual">
      <formula>0.5</formula>
    </cfRule>
  </conditionalFormatting>
  <conditionalFormatting sqref="D16">
    <cfRule type="cellIs" dxfId="27465" priority="2724" stopIfTrue="1" operator="equal">
      <formula>-1</formula>
    </cfRule>
  </conditionalFormatting>
  <conditionalFormatting sqref="D16">
    <cfRule type="cellIs" dxfId="27464" priority="2725" stopIfTrue="1" operator="lessThan">
      <formula>0.5</formula>
    </cfRule>
  </conditionalFormatting>
  <conditionalFormatting sqref="D16">
    <cfRule type="cellIs" dxfId="27463" priority="2726" stopIfTrue="1" operator="greaterThanOrEqual">
      <formula>0.5</formula>
    </cfRule>
  </conditionalFormatting>
  <conditionalFormatting sqref="F16">
    <cfRule type="cellIs" dxfId="27462" priority="2787" stopIfTrue="1" operator="equal">
      <formula>-1</formula>
    </cfRule>
  </conditionalFormatting>
  <conditionalFormatting sqref="F16">
    <cfRule type="cellIs" dxfId="27461" priority="2788" stopIfTrue="1" operator="lessThan">
      <formula>0.5</formula>
    </cfRule>
  </conditionalFormatting>
  <conditionalFormatting sqref="F16">
    <cfRule type="cellIs" dxfId="27460" priority="2789" stopIfTrue="1" operator="greaterThanOrEqual">
      <formula>0.5</formula>
    </cfRule>
  </conditionalFormatting>
  <conditionalFormatting sqref="H16">
    <cfRule type="cellIs" dxfId="27459" priority="2850" stopIfTrue="1" operator="equal">
      <formula>-1</formula>
    </cfRule>
  </conditionalFormatting>
  <conditionalFormatting sqref="H16">
    <cfRule type="cellIs" dxfId="27458" priority="2851" stopIfTrue="1" operator="lessThan">
      <formula>0.5</formula>
    </cfRule>
  </conditionalFormatting>
  <conditionalFormatting sqref="H16">
    <cfRule type="cellIs" dxfId="27457" priority="2852" stopIfTrue="1" operator="greaterThanOrEqual">
      <formula>0.5</formula>
    </cfRule>
  </conditionalFormatting>
  <conditionalFormatting sqref="J16">
    <cfRule type="cellIs" dxfId="27456" priority="2913" stopIfTrue="1" operator="equal">
      <formula>-1</formula>
    </cfRule>
  </conditionalFormatting>
  <conditionalFormatting sqref="J16">
    <cfRule type="cellIs" dxfId="27455" priority="2914" stopIfTrue="1" operator="lessThan">
      <formula>0.5</formula>
    </cfRule>
  </conditionalFormatting>
  <conditionalFormatting sqref="J16">
    <cfRule type="cellIs" dxfId="27454" priority="2915" stopIfTrue="1" operator="greaterThanOrEqual">
      <formula>0.5</formula>
    </cfRule>
  </conditionalFormatting>
  <conditionalFormatting sqref="L16">
    <cfRule type="cellIs" dxfId="27453" priority="2976" stopIfTrue="1" operator="equal">
      <formula>-1</formula>
    </cfRule>
  </conditionalFormatting>
  <conditionalFormatting sqref="L16">
    <cfRule type="cellIs" dxfId="27452" priority="2977" stopIfTrue="1" operator="lessThan">
      <formula>0.5</formula>
    </cfRule>
  </conditionalFormatting>
  <conditionalFormatting sqref="L16">
    <cfRule type="cellIs" dxfId="27451" priority="2978" stopIfTrue="1" operator="greaterThanOrEqual">
      <formula>0.5</formula>
    </cfRule>
  </conditionalFormatting>
  <conditionalFormatting sqref="N16">
    <cfRule type="cellIs" dxfId="27450" priority="3039" stopIfTrue="1" operator="equal">
      <formula>-1</formula>
    </cfRule>
  </conditionalFormatting>
  <conditionalFormatting sqref="N16">
    <cfRule type="cellIs" dxfId="27449" priority="3040" stopIfTrue="1" operator="lessThan">
      <formula>0.5</formula>
    </cfRule>
  </conditionalFormatting>
  <conditionalFormatting sqref="N16">
    <cfRule type="cellIs" dxfId="27448" priority="3041" stopIfTrue="1" operator="greaterThanOrEqual">
      <formula>0.5</formula>
    </cfRule>
  </conditionalFormatting>
  <conditionalFormatting sqref="P16">
    <cfRule type="cellIs" dxfId="27447" priority="3102" stopIfTrue="1" operator="equal">
      <formula>-1</formula>
    </cfRule>
  </conditionalFormatting>
  <conditionalFormatting sqref="P16">
    <cfRule type="cellIs" dxfId="27446" priority="3103" stopIfTrue="1" operator="lessThan">
      <formula>0.5</formula>
    </cfRule>
  </conditionalFormatting>
  <conditionalFormatting sqref="P16">
    <cfRule type="cellIs" dxfId="27445" priority="3104" stopIfTrue="1" operator="greaterThanOrEqual">
      <formula>0.5</formula>
    </cfRule>
  </conditionalFormatting>
  <conditionalFormatting sqref="R16">
    <cfRule type="cellIs" dxfId="27444" priority="3165" stopIfTrue="1" operator="equal">
      <formula>-1</formula>
    </cfRule>
  </conditionalFormatting>
  <conditionalFormatting sqref="R16">
    <cfRule type="cellIs" dxfId="27443" priority="3166" stopIfTrue="1" operator="lessThan">
      <formula>0.5</formula>
    </cfRule>
  </conditionalFormatting>
  <conditionalFormatting sqref="R16">
    <cfRule type="cellIs" dxfId="27442" priority="3167" stopIfTrue="1" operator="greaterThanOrEqual">
      <formula>0.5</formula>
    </cfRule>
  </conditionalFormatting>
  <conditionalFormatting sqref="T16">
    <cfRule type="cellIs" dxfId="27441" priority="3228" stopIfTrue="1" operator="equal">
      <formula>-1</formula>
    </cfRule>
  </conditionalFormatting>
  <conditionalFormatting sqref="T16">
    <cfRule type="cellIs" dxfId="27440" priority="3229" stopIfTrue="1" operator="lessThan">
      <formula>0.5</formula>
    </cfRule>
  </conditionalFormatting>
  <conditionalFormatting sqref="T16">
    <cfRule type="cellIs" dxfId="27439" priority="3230" stopIfTrue="1" operator="greaterThanOrEqual">
      <formula>0.5</formula>
    </cfRule>
  </conditionalFormatting>
  <conditionalFormatting sqref="V16">
    <cfRule type="cellIs" dxfId="27438" priority="3291" stopIfTrue="1" operator="equal">
      <formula>-1</formula>
    </cfRule>
  </conditionalFormatting>
  <conditionalFormatting sqref="V16">
    <cfRule type="cellIs" dxfId="27437" priority="3292" stopIfTrue="1" operator="lessThan">
      <formula>0.5</formula>
    </cfRule>
  </conditionalFormatting>
  <conditionalFormatting sqref="V16">
    <cfRule type="cellIs" dxfId="27436" priority="3293" stopIfTrue="1" operator="greaterThanOrEqual">
      <formula>0.5</formula>
    </cfRule>
  </conditionalFormatting>
  <conditionalFormatting sqref="X16">
    <cfRule type="cellIs" dxfId="27435" priority="3354" stopIfTrue="1" operator="equal">
      <formula>-1</formula>
    </cfRule>
  </conditionalFormatting>
  <conditionalFormatting sqref="X16">
    <cfRule type="cellIs" dxfId="27434" priority="3355" stopIfTrue="1" operator="lessThan">
      <formula>0.5</formula>
    </cfRule>
  </conditionalFormatting>
  <conditionalFormatting sqref="X16">
    <cfRule type="cellIs" dxfId="27433" priority="3356" stopIfTrue="1" operator="greaterThanOrEqual">
      <formula>0.5</formula>
    </cfRule>
  </conditionalFormatting>
  <conditionalFormatting sqref="Z16">
    <cfRule type="cellIs" dxfId="27432" priority="3417" stopIfTrue="1" operator="equal">
      <formula>-1</formula>
    </cfRule>
  </conditionalFormatting>
  <conditionalFormatting sqref="Z16">
    <cfRule type="cellIs" dxfId="27431" priority="3418" stopIfTrue="1" operator="lessThan">
      <formula>0.5</formula>
    </cfRule>
  </conditionalFormatting>
  <conditionalFormatting sqref="Z16">
    <cfRule type="cellIs" dxfId="27430" priority="3419" stopIfTrue="1" operator="greaterThanOrEqual">
      <formula>0.5</formula>
    </cfRule>
  </conditionalFormatting>
  <conditionalFormatting sqref="AB16">
    <cfRule type="cellIs" dxfId="27429" priority="3480" stopIfTrue="1" operator="equal">
      <formula>-1</formula>
    </cfRule>
  </conditionalFormatting>
  <conditionalFormatting sqref="AB16">
    <cfRule type="cellIs" dxfId="27428" priority="3481" stopIfTrue="1" operator="lessThan">
      <formula>0.5</formula>
    </cfRule>
  </conditionalFormatting>
  <conditionalFormatting sqref="AB16">
    <cfRule type="cellIs" dxfId="27427" priority="3482" stopIfTrue="1" operator="greaterThanOrEqual">
      <formula>0.5</formula>
    </cfRule>
  </conditionalFormatting>
  <conditionalFormatting sqref="AD16">
    <cfRule type="cellIs" dxfId="27426" priority="3543" stopIfTrue="1" operator="equal">
      <formula>-1</formula>
    </cfRule>
  </conditionalFormatting>
  <conditionalFormatting sqref="AD16">
    <cfRule type="cellIs" dxfId="27425" priority="3544" stopIfTrue="1" operator="lessThan">
      <formula>0.5</formula>
    </cfRule>
  </conditionalFormatting>
  <conditionalFormatting sqref="AD16">
    <cfRule type="cellIs" dxfId="27424" priority="3545" stopIfTrue="1" operator="greaterThanOrEqual">
      <formula>0.5</formula>
    </cfRule>
  </conditionalFormatting>
  <conditionalFormatting sqref="AF16">
    <cfRule type="cellIs" dxfId="27423" priority="3606" stopIfTrue="1" operator="equal">
      <formula>-1</formula>
    </cfRule>
  </conditionalFormatting>
  <conditionalFormatting sqref="AF16">
    <cfRule type="cellIs" dxfId="27422" priority="3607" stopIfTrue="1" operator="lessThan">
      <formula>0.5</formula>
    </cfRule>
  </conditionalFormatting>
  <conditionalFormatting sqref="AF16">
    <cfRule type="cellIs" dxfId="27421" priority="3608" stopIfTrue="1" operator="greaterThanOrEqual">
      <formula>0.5</formula>
    </cfRule>
  </conditionalFormatting>
  <conditionalFormatting sqref="AH16">
    <cfRule type="cellIs" dxfId="27420" priority="3669" stopIfTrue="1" operator="equal">
      <formula>-1</formula>
    </cfRule>
  </conditionalFormatting>
  <conditionalFormatting sqref="AH16">
    <cfRule type="cellIs" dxfId="27419" priority="3670" stopIfTrue="1" operator="lessThan">
      <formula>0.5</formula>
    </cfRule>
  </conditionalFormatting>
  <conditionalFormatting sqref="AH16">
    <cfRule type="cellIs" dxfId="27418" priority="3671" stopIfTrue="1" operator="greaterThanOrEqual">
      <formula>0.5</formula>
    </cfRule>
  </conditionalFormatting>
  <conditionalFormatting sqref="AJ16">
    <cfRule type="cellIs" dxfId="27417" priority="3732" stopIfTrue="1" operator="equal">
      <formula>-1</formula>
    </cfRule>
  </conditionalFormatting>
  <conditionalFormatting sqref="AJ16">
    <cfRule type="cellIs" dxfId="27416" priority="3733" stopIfTrue="1" operator="lessThan">
      <formula>0.5</formula>
    </cfRule>
  </conditionalFormatting>
  <conditionalFormatting sqref="AJ16">
    <cfRule type="cellIs" dxfId="27415" priority="3734" stopIfTrue="1" operator="greaterThanOrEqual">
      <formula>0.5</formula>
    </cfRule>
  </conditionalFormatting>
  <conditionalFormatting sqref="AL16">
    <cfRule type="cellIs" dxfId="27414" priority="3795" stopIfTrue="1" operator="equal">
      <formula>-1</formula>
    </cfRule>
  </conditionalFormatting>
  <conditionalFormatting sqref="AL16">
    <cfRule type="cellIs" dxfId="27413" priority="3796" stopIfTrue="1" operator="lessThan">
      <formula>0.5</formula>
    </cfRule>
  </conditionalFormatting>
  <conditionalFormatting sqref="AL16">
    <cfRule type="cellIs" dxfId="27412" priority="3797" stopIfTrue="1" operator="greaterThanOrEqual">
      <formula>0.5</formula>
    </cfRule>
  </conditionalFormatting>
  <conditionalFormatting sqref="AN16">
    <cfRule type="cellIs" dxfId="27411" priority="3858" stopIfTrue="1" operator="equal">
      <formula>-1</formula>
    </cfRule>
  </conditionalFormatting>
  <conditionalFormatting sqref="AN16">
    <cfRule type="cellIs" dxfId="27410" priority="3859" stopIfTrue="1" operator="lessThan">
      <formula>0.5</formula>
    </cfRule>
  </conditionalFormatting>
  <conditionalFormatting sqref="AN16">
    <cfRule type="cellIs" dxfId="27409" priority="3860" stopIfTrue="1" operator="greaterThanOrEqual">
      <formula>0.5</formula>
    </cfRule>
  </conditionalFormatting>
  <conditionalFormatting sqref="AP16">
    <cfRule type="cellIs" dxfId="27408" priority="3921" stopIfTrue="1" operator="equal">
      <formula>-1</formula>
    </cfRule>
  </conditionalFormatting>
  <conditionalFormatting sqref="AP16">
    <cfRule type="cellIs" dxfId="27407" priority="3922" stopIfTrue="1" operator="lessThan">
      <formula>0.5</formula>
    </cfRule>
  </conditionalFormatting>
  <conditionalFormatting sqref="AP16">
    <cfRule type="cellIs" dxfId="27406" priority="3923" stopIfTrue="1" operator="greaterThanOrEqual">
      <formula>0.5</formula>
    </cfRule>
  </conditionalFormatting>
  <conditionalFormatting sqref="AR16">
    <cfRule type="cellIs" dxfId="27405" priority="3984" stopIfTrue="1" operator="equal">
      <formula>-1</formula>
    </cfRule>
  </conditionalFormatting>
  <conditionalFormatting sqref="AR16">
    <cfRule type="cellIs" dxfId="27404" priority="3985" stopIfTrue="1" operator="lessThan">
      <formula>0.5</formula>
    </cfRule>
  </conditionalFormatting>
  <conditionalFormatting sqref="AR16">
    <cfRule type="cellIs" dxfId="27403" priority="3986" stopIfTrue="1" operator="greaterThanOrEqual">
      <formula>0.5</formula>
    </cfRule>
  </conditionalFormatting>
  <conditionalFormatting sqref="AT16">
    <cfRule type="cellIs" dxfId="27402" priority="4047" stopIfTrue="1" operator="equal">
      <formula>-1</formula>
    </cfRule>
  </conditionalFormatting>
  <conditionalFormatting sqref="AT16">
    <cfRule type="cellIs" dxfId="27401" priority="4048" stopIfTrue="1" operator="lessThan">
      <formula>0.5</formula>
    </cfRule>
  </conditionalFormatting>
  <conditionalFormatting sqref="AT16">
    <cfRule type="cellIs" dxfId="27400" priority="4049" stopIfTrue="1" operator="greaterThanOrEqual">
      <formula>0.5</formula>
    </cfRule>
  </conditionalFormatting>
  <conditionalFormatting sqref="AV16">
    <cfRule type="cellIs" dxfId="27399" priority="4110" stopIfTrue="1" operator="equal">
      <formula>-1</formula>
    </cfRule>
  </conditionalFormatting>
  <conditionalFormatting sqref="AV16">
    <cfRule type="cellIs" dxfId="27398" priority="4111" stopIfTrue="1" operator="lessThan">
      <formula>0.5</formula>
    </cfRule>
  </conditionalFormatting>
  <conditionalFormatting sqref="AV16">
    <cfRule type="cellIs" dxfId="27397" priority="4112" stopIfTrue="1" operator="greaterThanOrEqual">
      <formula>0.5</formula>
    </cfRule>
  </conditionalFormatting>
  <conditionalFormatting sqref="AX16">
    <cfRule type="cellIs" dxfId="27396" priority="4173" stopIfTrue="1" operator="equal">
      <formula>-1</formula>
    </cfRule>
  </conditionalFormatting>
  <conditionalFormatting sqref="AX16">
    <cfRule type="cellIs" dxfId="27395" priority="4174" stopIfTrue="1" operator="lessThan">
      <formula>0.5</formula>
    </cfRule>
  </conditionalFormatting>
  <conditionalFormatting sqref="AX16">
    <cfRule type="cellIs" dxfId="27394" priority="4175" stopIfTrue="1" operator="greaterThanOrEqual">
      <formula>0.5</formula>
    </cfRule>
  </conditionalFormatting>
  <conditionalFormatting sqref="AZ16">
    <cfRule type="cellIs" dxfId="27393" priority="4236" stopIfTrue="1" operator="equal">
      <formula>-1</formula>
    </cfRule>
  </conditionalFormatting>
  <conditionalFormatting sqref="AZ16">
    <cfRule type="cellIs" dxfId="27392" priority="4237" stopIfTrue="1" operator="lessThan">
      <formula>0.5</formula>
    </cfRule>
  </conditionalFormatting>
  <conditionalFormatting sqref="AZ16">
    <cfRule type="cellIs" dxfId="27391" priority="4238" stopIfTrue="1" operator="greaterThanOrEqual">
      <formula>0.5</formula>
    </cfRule>
  </conditionalFormatting>
  <conditionalFormatting sqref="BB16">
    <cfRule type="cellIs" dxfId="27390" priority="4299" stopIfTrue="1" operator="equal">
      <formula>-1</formula>
    </cfRule>
  </conditionalFormatting>
  <conditionalFormatting sqref="BB16">
    <cfRule type="cellIs" dxfId="27389" priority="4300" stopIfTrue="1" operator="lessThan">
      <formula>0.5</formula>
    </cfRule>
  </conditionalFormatting>
  <conditionalFormatting sqref="BB16">
    <cfRule type="cellIs" dxfId="27388" priority="4301" stopIfTrue="1" operator="greaterThanOrEqual">
      <formula>0.5</formula>
    </cfRule>
  </conditionalFormatting>
  <conditionalFormatting sqref="BD16">
    <cfRule type="cellIs" dxfId="27387" priority="4362" stopIfTrue="1" operator="equal">
      <formula>-1</formula>
    </cfRule>
  </conditionalFormatting>
  <conditionalFormatting sqref="BD16">
    <cfRule type="cellIs" dxfId="27386" priority="4363" stopIfTrue="1" operator="lessThan">
      <formula>0.5</formula>
    </cfRule>
  </conditionalFormatting>
  <conditionalFormatting sqref="BD16">
    <cfRule type="cellIs" dxfId="27385" priority="4364" stopIfTrue="1" operator="greaterThanOrEqual">
      <formula>0.5</formula>
    </cfRule>
  </conditionalFormatting>
  <conditionalFormatting sqref="BF16">
    <cfRule type="cellIs" dxfId="27384" priority="4425" stopIfTrue="1" operator="equal">
      <formula>-1</formula>
    </cfRule>
  </conditionalFormatting>
  <conditionalFormatting sqref="BF16">
    <cfRule type="cellIs" dxfId="27383" priority="4426" stopIfTrue="1" operator="lessThan">
      <formula>0.5</formula>
    </cfRule>
  </conditionalFormatting>
  <conditionalFormatting sqref="BF16">
    <cfRule type="cellIs" dxfId="27382" priority="4427" stopIfTrue="1" operator="greaterThanOrEqual">
      <formula>0.5</formula>
    </cfRule>
  </conditionalFormatting>
  <conditionalFormatting sqref="BH16">
    <cfRule type="cellIs" dxfId="27381" priority="4488" stopIfTrue="1" operator="equal">
      <formula>-1</formula>
    </cfRule>
  </conditionalFormatting>
  <conditionalFormatting sqref="BH16">
    <cfRule type="cellIs" dxfId="27380" priority="4489" stopIfTrue="1" operator="lessThan">
      <formula>0.5</formula>
    </cfRule>
  </conditionalFormatting>
  <conditionalFormatting sqref="BH16">
    <cfRule type="cellIs" dxfId="27379" priority="4490" stopIfTrue="1" operator="greaterThanOrEqual">
      <formula>0.5</formula>
    </cfRule>
  </conditionalFormatting>
  <conditionalFormatting sqref="BJ16">
    <cfRule type="cellIs" dxfId="27378" priority="4551" stopIfTrue="1" operator="equal">
      <formula>-1</formula>
    </cfRule>
  </conditionalFormatting>
  <conditionalFormatting sqref="BJ16">
    <cfRule type="cellIs" dxfId="27377" priority="4552" stopIfTrue="1" operator="lessThan">
      <formula>0.5</formula>
    </cfRule>
  </conditionalFormatting>
  <conditionalFormatting sqref="BJ16">
    <cfRule type="cellIs" dxfId="27376" priority="4553" stopIfTrue="1" operator="greaterThanOrEqual">
      <formula>0.5</formula>
    </cfRule>
  </conditionalFormatting>
  <conditionalFormatting sqref="B3">
    <cfRule type="cellIs" dxfId="27375" priority="1" operator="notEqual">
      <formula>"Ok"</formula>
    </cfRule>
  </conditionalFormatting>
  <conditionalFormatting sqref="D5">
    <cfRule type="cellIs" dxfId="27374" priority="155076" stopIfTrue="1" operator="equal">
      <formula>-1</formula>
    </cfRule>
  </conditionalFormatting>
  <conditionalFormatting sqref="D5">
    <cfRule type="cellIs" dxfId="27373" priority="155077" stopIfTrue="1" operator="lessThan">
      <formula>0.5</formula>
    </cfRule>
  </conditionalFormatting>
  <conditionalFormatting sqref="D5">
    <cfRule type="cellIs" dxfId="27372" priority="155078" stopIfTrue="1" operator="greaterThanOrEqual">
      <formula>0.5</formula>
    </cfRule>
  </conditionalFormatting>
  <conditionalFormatting sqref="D6">
    <cfRule type="cellIs" dxfId="27371" priority="155079" stopIfTrue="1" operator="equal">
      <formula>-1</formula>
    </cfRule>
  </conditionalFormatting>
  <conditionalFormatting sqref="D6">
    <cfRule type="cellIs" dxfId="27370" priority="155080" stopIfTrue="1" operator="lessThan">
      <formula>0.5</formula>
    </cfRule>
  </conditionalFormatting>
  <conditionalFormatting sqref="D6">
    <cfRule type="cellIs" dxfId="27369" priority="155081" stopIfTrue="1" operator="greaterThanOrEqual">
      <formula>0.5</formula>
    </cfRule>
  </conditionalFormatting>
  <conditionalFormatting sqref="F5">
    <cfRule type="cellIs" dxfId="27368" priority="155082" stopIfTrue="1" operator="equal">
      <formula>-1</formula>
    </cfRule>
  </conditionalFormatting>
  <conditionalFormatting sqref="F5">
    <cfRule type="cellIs" dxfId="27367" priority="155083" stopIfTrue="1" operator="lessThan">
      <formula>0.5</formula>
    </cfRule>
  </conditionalFormatting>
  <conditionalFormatting sqref="F5">
    <cfRule type="cellIs" dxfId="27366" priority="155084" stopIfTrue="1" operator="greaterThanOrEqual">
      <formula>0.5</formula>
    </cfRule>
  </conditionalFormatting>
  <conditionalFormatting sqref="F6">
    <cfRule type="cellIs" dxfId="27365" priority="155085" stopIfTrue="1" operator="equal">
      <formula>-1</formula>
    </cfRule>
  </conditionalFormatting>
  <conditionalFormatting sqref="F6">
    <cfRule type="cellIs" dxfId="27364" priority="155086" stopIfTrue="1" operator="lessThan">
      <formula>0.5</formula>
    </cfRule>
  </conditionalFormatting>
  <conditionalFormatting sqref="F6">
    <cfRule type="cellIs" dxfId="27363" priority="155087" stopIfTrue="1" operator="greaterThanOrEqual">
      <formula>0.5</formula>
    </cfRule>
  </conditionalFormatting>
  <conditionalFormatting sqref="H5">
    <cfRule type="cellIs" dxfId="27362" priority="155088" stopIfTrue="1" operator="equal">
      <formula>-1</formula>
    </cfRule>
  </conditionalFormatting>
  <conditionalFormatting sqref="H5">
    <cfRule type="cellIs" dxfId="27361" priority="155089" stopIfTrue="1" operator="lessThan">
      <formula>0.5</formula>
    </cfRule>
  </conditionalFormatting>
  <conditionalFormatting sqref="H5">
    <cfRule type="cellIs" dxfId="27360" priority="155090" stopIfTrue="1" operator="greaterThanOrEqual">
      <formula>0.5</formula>
    </cfRule>
  </conditionalFormatting>
  <conditionalFormatting sqref="H6">
    <cfRule type="cellIs" dxfId="27359" priority="155091" stopIfTrue="1" operator="equal">
      <formula>-1</formula>
    </cfRule>
  </conditionalFormatting>
  <conditionalFormatting sqref="H6">
    <cfRule type="cellIs" dxfId="27358" priority="155092" stopIfTrue="1" operator="lessThan">
      <formula>0.5</formula>
    </cfRule>
  </conditionalFormatting>
  <conditionalFormatting sqref="H6">
    <cfRule type="cellIs" dxfId="27357" priority="155093" stopIfTrue="1" operator="greaterThanOrEqual">
      <formula>0.5</formula>
    </cfRule>
  </conditionalFormatting>
  <conditionalFormatting sqref="J5">
    <cfRule type="cellIs" dxfId="27356" priority="155094" stopIfTrue="1" operator="equal">
      <formula>-1</formula>
    </cfRule>
  </conditionalFormatting>
  <conditionalFormatting sqref="J5">
    <cfRule type="cellIs" dxfId="27355" priority="155095" stopIfTrue="1" operator="lessThan">
      <formula>0.5</formula>
    </cfRule>
  </conditionalFormatting>
  <conditionalFormatting sqref="J5">
    <cfRule type="cellIs" dxfId="27354" priority="155096" stopIfTrue="1" operator="greaterThanOrEqual">
      <formula>0.5</formula>
    </cfRule>
  </conditionalFormatting>
  <conditionalFormatting sqref="J6">
    <cfRule type="cellIs" dxfId="27353" priority="155097" stopIfTrue="1" operator="equal">
      <formula>-1</formula>
    </cfRule>
  </conditionalFormatting>
  <conditionalFormatting sqref="J6">
    <cfRule type="cellIs" dxfId="27352" priority="155098" stopIfTrue="1" operator="lessThan">
      <formula>0.5</formula>
    </cfRule>
  </conditionalFormatting>
  <conditionalFormatting sqref="J6">
    <cfRule type="cellIs" dxfId="27351" priority="155099" stopIfTrue="1" operator="greaterThanOrEqual">
      <formula>0.5</formula>
    </cfRule>
  </conditionalFormatting>
  <conditionalFormatting sqref="L5">
    <cfRule type="cellIs" dxfId="27350" priority="155100" stopIfTrue="1" operator="equal">
      <formula>-1</formula>
    </cfRule>
  </conditionalFormatting>
  <conditionalFormatting sqref="L5">
    <cfRule type="cellIs" dxfId="27349" priority="155101" stopIfTrue="1" operator="lessThan">
      <formula>0.5</formula>
    </cfRule>
  </conditionalFormatting>
  <conditionalFormatting sqref="L5">
    <cfRule type="cellIs" dxfId="27348" priority="155102" stopIfTrue="1" operator="greaterThanOrEqual">
      <formula>0.5</formula>
    </cfRule>
  </conditionalFormatting>
  <conditionalFormatting sqref="L6">
    <cfRule type="cellIs" dxfId="27347" priority="155103" stopIfTrue="1" operator="equal">
      <formula>-1</formula>
    </cfRule>
  </conditionalFormatting>
  <conditionalFormatting sqref="L6">
    <cfRule type="cellIs" dxfId="27346" priority="155104" stopIfTrue="1" operator="lessThan">
      <formula>0.5</formula>
    </cfRule>
  </conditionalFormatting>
  <conditionalFormatting sqref="L6">
    <cfRule type="cellIs" dxfId="27345" priority="155105" stopIfTrue="1" operator="greaterThanOrEqual">
      <formula>0.5</formula>
    </cfRule>
  </conditionalFormatting>
  <conditionalFormatting sqref="N5">
    <cfRule type="cellIs" dxfId="27344" priority="155106" stopIfTrue="1" operator="equal">
      <formula>-1</formula>
    </cfRule>
  </conditionalFormatting>
  <conditionalFormatting sqref="N5">
    <cfRule type="cellIs" dxfId="27343" priority="155107" stopIfTrue="1" operator="lessThan">
      <formula>0.5</formula>
    </cfRule>
  </conditionalFormatting>
  <conditionalFormatting sqref="N5">
    <cfRule type="cellIs" dxfId="27342" priority="155108" stopIfTrue="1" operator="greaterThanOrEqual">
      <formula>0.5</formula>
    </cfRule>
  </conditionalFormatting>
  <conditionalFormatting sqref="N6">
    <cfRule type="cellIs" dxfId="27341" priority="155109" stopIfTrue="1" operator="equal">
      <formula>-1</formula>
    </cfRule>
  </conditionalFormatting>
  <conditionalFormatting sqref="N6">
    <cfRule type="cellIs" dxfId="27340" priority="155110" stopIfTrue="1" operator="lessThan">
      <formula>0.5</formula>
    </cfRule>
  </conditionalFormatting>
  <conditionalFormatting sqref="N6">
    <cfRule type="cellIs" dxfId="27339" priority="155111" stopIfTrue="1" operator="greaterThanOrEqual">
      <formula>0.5</formula>
    </cfRule>
  </conditionalFormatting>
  <conditionalFormatting sqref="P5">
    <cfRule type="cellIs" dxfId="27338" priority="155112" stopIfTrue="1" operator="equal">
      <formula>-1</formula>
    </cfRule>
  </conditionalFormatting>
  <conditionalFormatting sqref="P5">
    <cfRule type="cellIs" dxfId="27337" priority="155113" stopIfTrue="1" operator="lessThan">
      <formula>0.5</formula>
    </cfRule>
  </conditionalFormatting>
  <conditionalFormatting sqref="P5">
    <cfRule type="cellIs" dxfId="27336" priority="155114" stopIfTrue="1" operator="greaterThanOrEqual">
      <formula>0.5</formula>
    </cfRule>
  </conditionalFormatting>
  <conditionalFormatting sqref="P6">
    <cfRule type="cellIs" dxfId="27335" priority="155115" stopIfTrue="1" operator="equal">
      <formula>-1</formula>
    </cfRule>
  </conditionalFormatting>
  <conditionalFormatting sqref="P6">
    <cfRule type="cellIs" dxfId="27334" priority="155116" stopIfTrue="1" operator="lessThan">
      <formula>0.5</formula>
    </cfRule>
  </conditionalFormatting>
  <conditionalFormatting sqref="P6">
    <cfRule type="cellIs" dxfId="27333" priority="155117" stopIfTrue="1" operator="greaterThanOrEqual">
      <formula>0.5</formula>
    </cfRule>
  </conditionalFormatting>
  <conditionalFormatting sqref="R5">
    <cfRule type="cellIs" dxfId="27332" priority="155118" stopIfTrue="1" operator="equal">
      <formula>-1</formula>
    </cfRule>
  </conditionalFormatting>
  <conditionalFormatting sqref="R5">
    <cfRule type="cellIs" dxfId="27331" priority="155119" stopIfTrue="1" operator="lessThan">
      <formula>0.5</formula>
    </cfRule>
  </conditionalFormatting>
  <conditionalFormatting sqref="R5">
    <cfRule type="cellIs" dxfId="27330" priority="155120" stopIfTrue="1" operator="greaterThanOrEqual">
      <formula>0.5</formula>
    </cfRule>
  </conditionalFormatting>
  <conditionalFormatting sqref="R6">
    <cfRule type="cellIs" dxfId="27329" priority="155121" stopIfTrue="1" operator="equal">
      <formula>-1</formula>
    </cfRule>
  </conditionalFormatting>
  <conditionalFormatting sqref="R6">
    <cfRule type="cellIs" dxfId="27328" priority="155122" stopIfTrue="1" operator="lessThan">
      <formula>0.5</formula>
    </cfRule>
  </conditionalFormatting>
  <conditionalFormatting sqref="R6">
    <cfRule type="cellIs" dxfId="27327" priority="155123" stopIfTrue="1" operator="greaterThanOrEqual">
      <formula>0.5</formula>
    </cfRule>
  </conditionalFormatting>
  <conditionalFormatting sqref="T5">
    <cfRule type="cellIs" dxfId="27326" priority="155124" stopIfTrue="1" operator="equal">
      <formula>-1</formula>
    </cfRule>
  </conditionalFormatting>
  <conditionalFormatting sqref="T5">
    <cfRule type="cellIs" dxfId="27325" priority="155125" stopIfTrue="1" operator="lessThan">
      <formula>0.5</formula>
    </cfRule>
  </conditionalFormatting>
  <conditionalFormatting sqref="T5">
    <cfRule type="cellIs" dxfId="27324" priority="155126" stopIfTrue="1" operator="greaterThanOrEqual">
      <formula>0.5</formula>
    </cfRule>
  </conditionalFormatting>
  <conditionalFormatting sqref="T6">
    <cfRule type="cellIs" dxfId="27323" priority="155127" stopIfTrue="1" operator="equal">
      <formula>-1</formula>
    </cfRule>
  </conditionalFormatting>
  <conditionalFormatting sqref="T6">
    <cfRule type="cellIs" dxfId="27322" priority="155128" stopIfTrue="1" operator="lessThan">
      <formula>0.5</formula>
    </cfRule>
  </conditionalFormatting>
  <conditionalFormatting sqref="T6">
    <cfRule type="cellIs" dxfId="27321" priority="155129" stopIfTrue="1" operator="greaterThanOrEqual">
      <formula>0.5</formula>
    </cfRule>
  </conditionalFormatting>
  <conditionalFormatting sqref="V5">
    <cfRule type="cellIs" dxfId="27320" priority="155130" stopIfTrue="1" operator="equal">
      <formula>-1</formula>
    </cfRule>
  </conditionalFormatting>
  <conditionalFormatting sqref="V5">
    <cfRule type="cellIs" dxfId="27319" priority="155131" stopIfTrue="1" operator="lessThan">
      <formula>0.5</formula>
    </cfRule>
  </conditionalFormatting>
  <conditionalFormatting sqref="V5">
    <cfRule type="cellIs" dxfId="27318" priority="155132" stopIfTrue="1" operator="greaterThanOrEqual">
      <formula>0.5</formula>
    </cfRule>
  </conditionalFormatting>
  <conditionalFormatting sqref="V6">
    <cfRule type="cellIs" dxfId="27317" priority="155133" stopIfTrue="1" operator="equal">
      <formula>-1</formula>
    </cfRule>
  </conditionalFormatting>
  <conditionalFormatting sqref="V6">
    <cfRule type="cellIs" dxfId="27316" priority="155134" stopIfTrue="1" operator="lessThan">
      <formula>0.5</formula>
    </cfRule>
  </conditionalFormatting>
  <conditionalFormatting sqref="V6">
    <cfRule type="cellIs" dxfId="27315" priority="155135" stopIfTrue="1" operator="greaterThanOrEqual">
      <formula>0.5</formula>
    </cfRule>
  </conditionalFormatting>
  <conditionalFormatting sqref="X5">
    <cfRule type="cellIs" dxfId="27314" priority="155136" stopIfTrue="1" operator="equal">
      <formula>-1</formula>
    </cfRule>
  </conditionalFormatting>
  <conditionalFormatting sqref="X5">
    <cfRule type="cellIs" dxfId="27313" priority="155137" stopIfTrue="1" operator="lessThan">
      <formula>0.5</formula>
    </cfRule>
  </conditionalFormatting>
  <conditionalFormatting sqref="X5">
    <cfRule type="cellIs" dxfId="27312" priority="155138" stopIfTrue="1" operator="greaterThanOrEqual">
      <formula>0.5</formula>
    </cfRule>
  </conditionalFormatting>
  <conditionalFormatting sqref="X6">
    <cfRule type="cellIs" dxfId="27311" priority="155139" stopIfTrue="1" operator="equal">
      <formula>-1</formula>
    </cfRule>
  </conditionalFormatting>
  <conditionalFormatting sqref="X6">
    <cfRule type="cellIs" dxfId="27310" priority="155140" stopIfTrue="1" operator="lessThan">
      <formula>0.5</formula>
    </cfRule>
  </conditionalFormatting>
  <conditionalFormatting sqref="X6">
    <cfRule type="cellIs" dxfId="27309" priority="155141" stopIfTrue="1" operator="greaterThanOrEqual">
      <formula>0.5</formula>
    </cfRule>
  </conditionalFormatting>
  <conditionalFormatting sqref="Z5">
    <cfRule type="cellIs" dxfId="27308" priority="155142" stopIfTrue="1" operator="equal">
      <formula>-1</formula>
    </cfRule>
  </conditionalFormatting>
  <conditionalFormatting sqref="Z5">
    <cfRule type="cellIs" dxfId="27307" priority="155143" stopIfTrue="1" operator="lessThan">
      <formula>0.5</formula>
    </cfRule>
  </conditionalFormatting>
  <conditionalFormatting sqref="Z5">
    <cfRule type="cellIs" dxfId="27306" priority="155144" stopIfTrue="1" operator="greaterThanOrEqual">
      <formula>0.5</formula>
    </cfRule>
  </conditionalFormatting>
  <conditionalFormatting sqref="Z6">
    <cfRule type="cellIs" dxfId="27305" priority="155145" stopIfTrue="1" operator="equal">
      <formula>-1</formula>
    </cfRule>
  </conditionalFormatting>
  <conditionalFormatting sqref="Z6">
    <cfRule type="cellIs" dxfId="27304" priority="155146" stopIfTrue="1" operator="lessThan">
      <formula>0.5</formula>
    </cfRule>
  </conditionalFormatting>
  <conditionalFormatting sqref="Z6">
    <cfRule type="cellIs" dxfId="27303" priority="155147" stopIfTrue="1" operator="greaterThanOrEqual">
      <formula>0.5</formula>
    </cfRule>
  </conditionalFormatting>
  <conditionalFormatting sqref="AB5">
    <cfRule type="cellIs" dxfId="27302" priority="155148" stopIfTrue="1" operator="equal">
      <formula>-1</formula>
    </cfRule>
  </conditionalFormatting>
  <conditionalFormatting sqref="AB5">
    <cfRule type="cellIs" dxfId="27301" priority="155149" stopIfTrue="1" operator="lessThan">
      <formula>0.5</formula>
    </cfRule>
  </conditionalFormatting>
  <conditionalFormatting sqref="AB5">
    <cfRule type="cellIs" dxfId="27300" priority="155150" stopIfTrue="1" operator="greaterThanOrEqual">
      <formula>0.5</formula>
    </cfRule>
  </conditionalFormatting>
  <conditionalFormatting sqref="AB6">
    <cfRule type="cellIs" dxfId="27299" priority="155151" stopIfTrue="1" operator="equal">
      <formula>-1</formula>
    </cfRule>
  </conditionalFormatting>
  <conditionalFormatting sqref="AB6">
    <cfRule type="cellIs" dxfId="27298" priority="155152" stopIfTrue="1" operator="lessThan">
      <formula>0.5</formula>
    </cfRule>
  </conditionalFormatting>
  <conditionalFormatting sqref="AB6">
    <cfRule type="cellIs" dxfId="27297" priority="155153" stopIfTrue="1" operator="greaterThanOrEqual">
      <formula>0.5</formula>
    </cfRule>
  </conditionalFormatting>
  <conditionalFormatting sqref="AD5">
    <cfRule type="cellIs" dxfId="27296" priority="155154" stopIfTrue="1" operator="equal">
      <formula>-1</formula>
    </cfRule>
  </conditionalFormatting>
  <conditionalFormatting sqref="AD5">
    <cfRule type="cellIs" dxfId="27295" priority="155155" stopIfTrue="1" operator="lessThan">
      <formula>0.5</formula>
    </cfRule>
  </conditionalFormatting>
  <conditionalFormatting sqref="AD5">
    <cfRule type="cellIs" dxfId="27294" priority="155156" stopIfTrue="1" operator="greaterThanOrEqual">
      <formula>0.5</formula>
    </cfRule>
  </conditionalFormatting>
  <conditionalFormatting sqref="AD6">
    <cfRule type="cellIs" dxfId="27293" priority="155157" stopIfTrue="1" operator="equal">
      <formula>-1</formula>
    </cfRule>
  </conditionalFormatting>
  <conditionalFormatting sqref="AD6">
    <cfRule type="cellIs" dxfId="27292" priority="155158" stopIfTrue="1" operator="lessThan">
      <formula>0.5</formula>
    </cfRule>
  </conditionalFormatting>
  <conditionalFormatting sqref="AD6">
    <cfRule type="cellIs" dxfId="27291" priority="155159" stopIfTrue="1" operator="greaterThanOrEqual">
      <formula>0.5</formula>
    </cfRule>
  </conditionalFormatting>
  <conditionalFormatting sqref="AF5">
    <cfRule type="cellIs" dxfId="27290" priority="155160" stopIfTrue="1" operator="equal">
      <formula>-1</formula>
    </cfRule>
  </conditionalFormatting>
  <conditionalFormatting sqref="AF5">
    <cfRule type="cellIs" dxfId="27289" priority="155161" stopIfTrue="1" operator="lessThan">
      <formula>0.5</formula>
    </cfRule>
  </conditionalFormatting>
  <conditionalFormatting sqref="AF5">
    <cfRule type="cellIs" dxfId="27288" priority="155162" stopIfTrue="1" operator="greaterThanOrEqual">
      <formula>0.5</formula>
    </cfRule>
  </conditionalFormatting>
  <conditionalFormatting sqref="AF6">
    <cfRule type="cellIs" dxfId="27287" priority="155163" stopIfTrue="1" operator="equal">
      <formula>-1</formula>
    </cfRule>
  </conditionalFormatting>
  <conditionalFormatting sqref="AF6">
    <cfRule type="cellIs" dxfId="27286" priority="155164" stopIfTrue="1" operator="lessThan">
      <formula>0.5</formula>
    </cfRule>
  </conditionalFormatting>
  <conditionalFormatting sqref="AF6">
    <cfRule type="cellIs" dxfId="27285" priority="155165" stopIfTrue="1" operator="greaterThanOrEqual">
      <formula>0.5</formula>
    </cfRule>
  </conditionalFormatting>
  <conditionalFormatting sqref="AH5">
    <cfRule type="cellIs" dxfId="27284" priority="155166" stopIfTrue="1" operator="equal">
      <formula>-1</formula>
    </cfRule>
  </conditionalFormatting>
  <conditionalFormatting sqref="AH5">
    <cfRule type="cellIs" dxfId="27283" priority="155167" stopIfTrue="1" operator="lessThan">
      <formula>0.5</formula>
    </cfRule>
  </conditionalFormatting>
  <conditionalFormatting sqref="AH5">
    <cfRule type="cellIs" dxfId="27282" priority="155168" stopIfTrue="1" operator="greaterThanOrEqual">
      <formula>0.5</formula>
    </cfRule>
  </conditionalFormatting>
  <conditionalFormatting sqref="AH6">
    <cfRule type="cellIs" dxfId="27281" priority="155169" stopIfTrue="1" operator="equal">
      <formula>-1</formula>
    </cfRule>
  </conditionalFormatting>
  <conditionalFormatting sqref="AH6">
    <cfRule type="cellIs" dxfId="27280" priority="155170" stopIfTrue="1" operator="lessThan">
      <formula>0.5</formula>
    </cfRule>
  </conditionalFormatting>
  <conditionalFormatting sqref="AH6">
    <cfRule type="cellIs" dxfId="27279" priority="155171" stopIfTrue="1" operator="greaterThanOrEqual">
      <formula>0.5</formula>
    </cfRule>
  </conditionalFormatting>
  <conditionalFormatting sqref="AJ5">
    <cfRule type="cellIs" dxfId="27278" priority="155172" stopIfTrue="1" operator="equal">
      <formula>-1</formula>
    </cfRule>
  </conditionalFormatting>
  <conditionalFormatting sqref="AJ5">
    <cfRule type="cellIs" dxfId="27277" priority="155173" stopIfTrue="1" operator="lessThan">
      <formula>0.5</formula>
    </cfRule>
  </conditionalFormatting>
  <conditionalFormatting sqref="AJ5">
    <cfRule type="cellIs" dxfId="27276" priority="155174" stopIfTrue="1" operator="greaterThanOrEqual">
      <formula>0.5</formula>
    </cfRule>
  </conditionalFormatting>
  <conditionalFormatting sqref="AJ6">
    <cfRule type="cellIs" dxfId="27275" priority="155175" stopIfTrue="1" operator="equal">
      <formula>-1</formula>
    </cfRule>
  </conditionalFormatting>
  <conditionalFormatting sqref="AJ6">
    <cfRule type="cellIs" dxfId="27274" priority="155176" stopIfTrue="1" operator="lessThan">
      <formula>0.5</formula>
    </cfRule>
  </conditionalFormatting>
  <conditionalFormatting sqref="AJ6">
    <cfRule type="cellIs" dxfId="27273" priority="155177" stopIfTrue="1" operator="greaterThanOrEqual">
      <formula>0.5</formula>
    </cfRule>
  </conditionalFormatting>
  <conditionalFormatting sqref="AL5">
    <cfRule type="cellIs" dxfId="27272" priority="155178" stopIfTrue="1" operator="equal">
      <formula>-1</formula>
    </cfRule>
  </conditionalFormatting>
  <conditionalFormatting sqref="AL5">
    <cfRule type="cellIs" dxfId="27271" priority="155179" stopIfTrue="1" operator="lessThan">
      <formula>0.5</formula>
    </cfRule>
  </conditionalFormatting>
  <conditionalFormatting sqref="AL5">
    <cfRule type="cellIs" dxfId="27270" priority="155180" stopIfTrue="1" operator="greaterThanOrEqual">
      <formula>0.5</formula>
    </cfRule>
  </conditionalFormatting>
  <conditionalFormatting sqref="AL6">
    <cfRule type="cellIs" dxfId="27269" priority="155181" stopIfTrue="1" operator="equal">
      <formula>-1</formula>
    </cfRule>
  </conditionalFormatting>
  <conditionalFormatting sqref="AL6">
    <cfRule type="cellIs" dxfId="27268" priority="155182" stopIfTrue="1" operator="lessThan">
      <formula>0.5</formula>
    </cfRule>
  </conditionalFormatting>
  <conditionalFormatting sqref="AL6">
    <cfRule type="cellIs" dxfId="27267" priority="155183" stopIfTrue="1" operator="greaterThanOrEqual">
      <formula>0.5</formula>
    </cfRule>
  </conditionalFormatting>
  <conditionalFormatting sqref="AN5">
    <cfRule type="cellIs" dxfId="27266" priority="155184" stopIfTrue="1" operator="equal">
      <formula>-1</formula>
    </cfRule>
  </conditionalFormatting>
  <conditionalFormatting sqref="AN5">
    <cfRule type="cellIs" dxfId="27265" priority="155185" stopIfTrue="1" operator="lessThan">
      <formula>0.5</formula>
    </cfRule>
  </conditionalFormatting>
  <conditionalFormatting sqref="AN5">
    <cfRule type="cellIs" dxfId="27264" priority="155186" stopIfTrue="1" operator="greaterThanOrEqual">
      <formula>0.5</formula>
    </cfRule>
  </conditionalFormatting>
  <conditionalFormatting sqref="AN6">
    <cfRule type="cellIs" dxfId="27263" priority="155187" stopIfTrue="1" operator="equal">
      <formula>-1</formula>
    </cfRule>
  </conditionalFormatting>
  <conditionalFormatting sqref="AN6">
    <cfRule type="cellIs" dxfId="27262" priority="155188" stopIfTrue="1" operator="lessThan">
      <formula>0.5</formula>
    </cfRule>
  </conditionalFormatting>
  <conditionalFormatting sqref="AN6">
    <cfRule type="cellIs" dxfId="27261" priority="155189" stopIfTrue="1" operator="greaterThanOrEqual">
      <formula>0.5</formula>
    </cfRule>
  </conditionalFormatting>
  <conditionalFormatting sqref="AP5">
    <cfRule type="cellIs" dxfId="27260" priority="155190" stopIfTrue="1" operator="equal">
      <formula>-1</formula>
    </cfRule>
  </conditionalFormatting>
  <conditionalFormatting sqref="AP5">
    <cfRule type="cellIs" dxfId="27259" priority="155191" stopIfTrue="1" operator="lessThan">
      <formula>0.5</formula>
    </cfRule>
  </conditionalFormatting>
  <conditionalFormatting sqref="AP5">
    <cfRule type="cellIs" dxfId="27258" priority="155192" stopIfTrue="1" operator="greaterThanOrEqual">
      <formula>0.5</formula>
    </cfRule>
  </conditionalFormatting>
  <conditionalFormatting sqref="AP6">
    <cfRule type="cellIs" dxfId="27257" priority="155193" stopIfTrue="1" operator="equal">
      <formula>-1</formula>
    </cfRule>
  </conditionalFormatting>
  <conditionalFormatting sqref="AP6">
    <cfRule type="cellIs" dxfId="27256" priority="155194" stopIfTrue="1" operator="lessThan">
      <formula>0.5</formula>
    </cfRule>
  </conditionalFormatting>
  <conditionalFormatting sqref="AP6">
    <cfRule type="cellIs" dxfId="27255" priority="155195" stopIfTrue="1" operator="greaterThanOrEqual">
      <formula>0.5</formula>
    </cfRule>
  </conditionalFormatting>
  <conditionalFormatting sqref="AR5">
    <cfRule type="cellIs" dxfId="27254" priority="155196" stopIfTrue="1" operator="equal">
      <formula>-1</formula>
    </cfRule>
  </conditionalFormatting>
  <conditionalFormatting sqref="AR5">
    <cfRule type="cellIs" dxfId="27253" priority="155197" stopIfTrue="1" operator="lessThan">
      <formula>0.5</formula>
    </cfRule>
  </conditionalFormatting>
  <conditionalFormatting sqref="AR5">
    <cfRule type="cellIs" dxfId="27252" priority="155198" stopIfTrue="1" operator="greaterThanOrEqual">
      <formula>0.5</formula>
    </cfRule>
  </conditionalFormatting>
  <conditionalFormatting sqref="AR6">
    <cfRule type="cellIs" dxfId="27251" priority="155199" stopIfTrue="1" operator="equal">
      <formula>-1</formula>
    </cfRule>
  </conditionalFormatting>
  <conditionalFormatting sqref="AR6">
    <cfRule type="cellIs" dxfId="27250" priority="155200" stopIfTrue="1" operator="lessThan">
      <formula>0.5</formula>
    </cfRule>
  </conditionalFormatting>
  <conditionalFormatting sqref="AR6">
    <cfRule type="cellIs" dxfId="27249" priority="155201" stopIfTrue="1" operator="greaterThanOrEqual">
      <formula>0.5</formula>
    </cfRule>
  </conditionalFormatting>
  <conditionalFormatting sqref="AT5">
    <cfRule type="cellIs" dxfId="27248" priority="155202" stopIfTrue="1" operator="equal">
      <formula>-1</formula>
    </cfRule>
  </conditionalFormatting>
  <conditionalFormatting sqref="AT5">
    <cfRule type="cellIs" dxfId="27247" priority="155203" stopIfTrue="1" operator="lessThan">
      <formula>0.5</formula>
    </cfRule>
  </conditionalFormatting>
  <conditionalFormatting sqref="AT5">
    <cfRule type="cellIs" dxfId="27246" priority="155204" stopIfTrue="1" operator="greaterThanOrEqual">
      <formula>0.5</formula>
    </cfRule>
  </conditionalFormatting>
  <conditionalFormatting sqref="AT6">
    <cfRule type="cellIs" dxfId="27245" priority="155205" stopIfTrue="1" operator="equal">
      <formula>-1</formula>
    </cfRule>
  </conditionalFormatting>
  <conditionalFormatting sqref="AT6">
    <cfRule type="cellIs" dxfId="27244" priority="155206" stopIfTrue="1" operator="lessThan">
      <formula>0.5</formula>
    </cfRule>
  </conditionalFormatting>
  <conditionalFormatting sqref="AT6">
    <cfRule type="cellIs" dxfId="27243" priority="155207" stopIfTrue="1" operator="greaterThanOrEqual">
      <formula>0.5</formula>
    </cfRule>
  </conditionalFormatting>
  <conditionalFormatting sqref="AV5">
    <cfRule type="cellIs" dxfId="27242" priority="155208" stopIfTrue="1" operator="equal">
      <formula>-1</formula>
    </cfRule>
  </conditionalFormatting>
  <conditionalFormatting sqref="AV5">
    <cfRule type="cellIs" dxfId="27241" priority="155209" stopIfTrue="1" operator="lessThan">
      <formula>0.5</formula>
    </cfRule>
  </conditionalFormatting>
  <conditionalFormatting sqref="AV5">
    <cfRule type="cellIs" dxfId="27240" priority="155210" stopIfTrue="1" operator="greaterThanOrEqual">
      <formula>0.5</formula>
    </cfRule>
  </conditionalFormatting>
  <conditionalFormatting sqref="AV6">
    <cfRule type="cellIs" dxfId="27239" priority="155211" stopIfTrue="1" operator="equal">
      <formula>-1</formula>
    </cfRule>
  </conditionalFormatting>
  <conditionalFormatting sqref="AV6">
    <cfRule type="cellIs" dxfId="27238" priority="155212" stopIfTrue="1" operator="lessThan">
      <formula>0.5</formula>
    </cfRule>
  </conditionalFormatting>
  <conditionalFormatting sqref="AV6">
    <cfRule type="cellIs" dxfId="27237" priority="155213" stopIfTrue="1" operator="greaterThanOrEqual">
      <formula>0.5</formula>
    </cfRule>
  </conditionalFormatting>
  <conditionalFormatting sqref="AX5">
    <cfRule type="cellIs" dxfId="27236" priority="155214" stopIfTrue="1" operator="equal">
      <formula>-1</formula>
    </cfRule>
  </conditionalFormatting>
  <conditionalFormatting sqref="AX5">
    <cfRule type="cellIs" dxfId="27235" priority="155215" stopIfTrue="1" operator="lessThan">
      <formula>0.5</formula>
    </cfRule>
  </conditionalFormatting>
  <conditionalFormatting sqref="AX5">
    <cfRule type="cellIs" dxfId="27234" priority="155216" stopIfTrue="1" operator="greaterThanOrEqual">
      <formula>0.5</formula>
    </cfRule>
  </conditionalFormatting>
  <conditionalFormatting sqref="AX6">
    <cfRule type="cellIs" dxfId="27233" priority="155217" stopIfTrue="1" operator="equal">
      <formula>-1</formula>
    </cfRule>
  </conditionalFormatting>
  <conditionalFormatting sqref="AX6">
    <cfRule type="cellIs" dxfId="27232" priority="155218" stopIfTrue="1" operator="lessThan">
      <formula>0.5</formula>
    </cfRule>
  </conditionalFormatting>
  <conditionalFormatting sqref="AX6">
    <cfRule type="cellIs" dxfId="27231" priority="155219" stopIfTrue="1" operator="greaterThanOrEqual">
      <formula>0.5</formula>
    </cfRule>
  </conditionalFormatting>
  <conditionalFormatting sqref="AZ5">
    <cfRule type="cellIs" dxfId="27230" priority="155220" stopIfTrue="1" operator="equal">
      <formula>-1</formula>
    </cfRule>
  </conditionalFormatting>
  <conditionalFormatting sqref="AZ5">
    <cfRule type="cellIs" dxfId="27229" priority="155221" stopIfTrue="1" operator="lessThan">
      <formula>0.5</formula>
    </cfRule>
  </conditionalFormatting>
  <conditionalFormatting sqref="AZ5">
    <cfRule type="cellIs" dxfId="27228" priority="155222" stopIfTrue="1" operator="greaterThanOrEqual">
      <formula>0.5</formula>
    </cfRule>
  </conditionalFormatting>
  <conditionalFormatting sqref="AZ6">
    <cfRule type="cellIs" dxfId="27227" priority="155223" stopIfTrue="1" operator="equal">
      <formula>-1</formula>
    </cfRule>
  </conditionalFormatting>
  <conditionalFormatting sqref="AZ6">
    <cfRule type="cellIs" dxfId="27226" priority="155224" stopIfTrue="1" operator="lessThan">
      <formula>0.5</formula>
    </cfRule>
  </conditionalFormatting>
  <conditionalFormatting sqref="AZ6">
    <cfRule type="cellIs" dxfId="27225" priority="155225" stopIfTrue="1" operator="greaterThanOrEqual">
      <formula>0.5</formula>
    </cfRule>
  </conditionalFormatting>
  <conditionalFormatting sqref="BB5">
    <cfRule type="cellIs" dxfId="27224" priority="155226" stopIfTrue="1" operator="equal">
      <formula>-1</formula>
    </cfRule>
  </conditionalFormatting>
  <conditionalFormatting sqref="BB5">
    <cfRule type="cellIs" dxfId="27223" priority="155227" stopIfTrue="1" operator="lessThan">
      <formula>0.5</formula>
    </cfRule>
  </conditionalFormatting>
  <conditionalFormatting sqref="BB5">
    <cfRule type="cellIs" dxfId="27222" priority="155228" stopIfTrue="1" operator="greaterThanOrEqual">
      <formula>0.5</formula>
    </cfRule>
  </conditionalFormatting>
  <conditionalFormatting sqref="BB6">
    <cfRule type="cellIs" dxfId="27221" priority="155229" stopIfTrue="1" operator="equal">
      <formula>-1</formula>
    </cfRule>
  </conditionalFormatting>
  <conditionalFormatting sqref="BB6">
    <cfRule type="cellIs" dxfId="27220" priority="155230" stopIfTrue="1" operator="lessThan">
      <formula>0.5</formula>
    </cfRule>
  </conditionalFormatting>
  <conditionalFormatting sqref="BB6">
    <cfRule type="cellIs" dxfId="27219" priority="155231" stopIfTrue="1" operator="greaterThanOrEqual">
      <formula>0.5</formula>
    </cfRule>
  </conditionalFormatting>
  <conditionalFormatting sqref="BD5">
    <cfRule type="cellIs" dxfId="27218" priority="155232" stopIfTrue="1" operator="equal">
      <formula>-1</formula>
    </cfRule>
  </conditionalFormatting>
  <conditionalFormatting sqref="BD5">
    <cfRule type="cellIs" dxfId="27217" priority="155233" stopIfTrue="1" operator="lessThan">
      <formula>0.5</formula>
    </cfRule>
  </conditionalFormatting>
  <conditionalFormatting sqref="BD5">
    <cfRule type="cellIs" dxfId="27216" priority="155234" stopIfTrue="1" operator="greaterThanOrEqual">
      <formula>0.5</formula>
    </cfRule>
  </conditionalFormatting>
  <conditionalFormatting sqref="BD6">
    <cfRule type="cellIs" dxfId="27215" priority="155235" stopIfTrue="1" operator="equal">
      <formula>-1</formula>
    </cfRule>
  </conditionalFormatting>
  <conditionalFormatting sqref="BD6">
    <cfRule type="cellIs" dxfId="27214" priority="155236" stopIfTrue="1" operator="lessThan">
      <formula>0.5</formula>
    </cfRule>
  </conditionalFormatting>
  <conditionalFormatting sqref="BD6">
    <cfRule type="cellIs" dxfId="27213" priority="155237" stopIfTrue="1" operator="greaterThanOrEqual">
      <formula>0.5</formula>
    </cfRule>
  </conditionalFormatting>
  <conditionalFormatting sqref="BF5">
    <cfRule type="cellIs" dxfId="27212" priority="155238" stopIfTrue="1" operator="equal">
      <formula>-1</formula>
    </cfRule>
  </conditionalFormatting>
  <conditionalFormatting sqref="BF5">
    <cfRule type="cellIs" dxfId="27211" priority="155239" stopIfTrue="1" operator="lessThan">
      <formula>0.5</formula>
    </cfRule>
  </conditionalFormatting>
  <conditionalFormatting sqref="BF5">
    <cfRule type="cellIs" dxfId="27210" priority="155240" stopIfTrue="1" operator="greaterThanOrEqual">
      <formula>0.5</formula>
    </cfRule>
  </conditionalFormatting>
  <conditionalFormatting sqref="BF6">
    <cfRule type="cellIs" dxfId="27209" priority="155241" stopIfTrue="1" operator="equal">
      <formula>-1</formula>
    </cfRule>
  </conditionalFormatting>
  <conditionalFormatting sqref="BF6">
    <cfRule type="cellIs" dxfId="27208" priority="155242" stopIfTrue="1" operator="lessThan">
      <formula>0.5</formula>
    </cfRule>
  </conditionalFormatting>
  <conditionalFormatting sqref="BF6">
    <cfRule type="cellIs" dxfId="27207" priority="155243" stopIfTrue="1" operator="greaterThanOrEqual">
      <formula>0.5</formula>
    </cfRule>
  </conditionalFormatting>
  <conditionalFormatting sqref="BH5">
    <cfRule type="cellIs" dxfId="27206" priority="155244" stopIfTrue="1" operator="equal">
      <formula>-1</formula>
    </cfRule>
  </conditionalFormatting>
  <conditionalFormatting sqref="BH5">
    <cfRule type="cellIs" dxfId="27205" priority="155245" stopIfTrue="1" operator="lessThan">
      <formula>0.5</formula>
    </cfRule>
  </conditionalFormatting>
  <conditionalFormatting sqref="BH5">
    <cfRule type="cellIs" dxfId="27204" priority="155246" stopIfTrue="1" operator="greaterThanOrEqual">
      <formula>0.5</formula>
    </cfRule>
  </conditionalFormatting>
  <conditionalFormatting sqref="BH6">
    <cfRule type="cellIs" dxfId="27203" priority="155247" stopIfTrue="1" operator="equal">
      <formula>-1</formula>
    </cfRule>
  </conditionalFormatting>
  <conditionalFormatting sqref="BH6">
    <cfRule type="cellIs" dxfId="27202" priority="155248" stopIfTrue="1" operator="lessThan">
      <formula>0.5</formula>
    </cfRule>
  </conditionalFormatting>
  <conditionalFormatting sqref="BH6">
    <cfRule type="cellIs" dxfId="27201" priority="155249" stopIfTrue="1" operator="greaterThanOrEqual">
      <formula>0.5</formula>
    </cfRule>
  </conditionalFormatting>
  <conditionalFormatting sqref="BJ5">
    <cfRule type="cellIs" dxfId="27200" priority="155250" stopIfTrue="1" operator="equal">
      <formula>-1</formula>
    </cfRule>
  </conditionalFormatting>
  <conditionalFormatting sqref="BJ5">
    <cfRule type="cellIs" dxfId="27199" priority="155251" stopIfTrue="1" operator="lessThan">
      <formula>0.5</formula>
    </cfRule>
  </conditionalFormatting>
  <conditionalFormatting sqref="BJ5">
    <cfRule type="cellIs" dxfId="27198" priority="155252" stopIfTrue="1" operator="greaterThanOrEqual">
      <formula>0.5</formula>
    </cfRule>
  </conditionalFormatting>
  <conditionalFormatting sqref="BJ6">
    <cfRule type="cellIs" dxfId="27197" priority="155253" stopIfTrue="1" operator="equal">
      <formula>-1</formula>
    </cfRule>
  </conditionalFormatting>
  <conditionalFormatting sqref="BJ6">
    <cfRule type="cellIs" dxfId="27196" priority="155254" stopIfTrue="1" operator="lessThan">
      <formula>0.5</formula>
    </cfRule>
  </conditionalFormatting>
  <conditionalFormatting sqref="BJ6">
    <cfRule type="cellIs" dxfId="27195" priority="155255" stopIfTrue="1" operator="greaterThanOrEqual">
      <formula>0.5</formula>
    </cfRule>
  </conditionalFormatting>
  <conditionalFormatting sqref="D8">
    <cfRule type="cellIs" dxfId="27194" priority="155256" stopIfTrue="1" operator="equal">
      <formula>-1</formula>
    </cfRule>
  </conditionalFormatting>
  <conditionalFormatting sqref="D8">
    <cfRule type="cellIs" dxfId="27193" priority="155257" stopIfTrue="1" operator="lessThan">
      <formula>0.5</formula>
    </cfRule>
  </conditionalFormatting>
  <conditionalFormatting sqref="D8">
    <cfRule type="cellIs" dxfId="27192" priority="155258" stopIfTrue="1" operator="greaterThanOrEqual">
      <formula>0.5</formula>
    </cfRule>
  </conditionalFormatting>
  <conditionalFormatting sqref="D9">
    <cfRule type="cellIs" dxfId="27191" priority="155259" stopIfTrue="1" operator="equal">
      <formula>-1</formula>
    </cfRule>
  </conditionalFormatting>
  <conditionalFormatting sqref="D9">
    <cfRule type="cellIs" dxfId="27190" priority="155260" stopIfTrue="1" operator="lessThan">
      <formula>0.5</formula>
    </cfRule>
  </conditionalFormatting>
  <conditionalFormatting sqref="D9">
    <cfRule type="cellIs" dxfId="27189" priority="155261" stopIfTrue="1" operator="greaterThanOrEqual">
      <formula>0.5</formula>
    </cfRule>
  </conditionalFormatting>
  <conditionalFormatting sqref="D10">
    <cfRule type="cellIs" dxfId="27188" priority="155262" stopIfTrue="1" operator="equal">
      <formula>-1</formula>
    </cfRule>
  </conditionalFormatting>
  <conditionalFormatting sqref="D10">
    <cfRule type="cellIs" dxfId="27187" priority="155263" stopIfTrue="1" operator="lessThan">
      <formula>0.5</formula>
    </cfRule>
  </conditionalFormatting>
  <conditionalFormatting sqref="D10">
    <cfRule type="cellIs" dxfId="27186" priority="155264" stopIfTrue="1" operator="greaterThanOrEqual">
      <formula>0.5</formula>
    </cfRule>
  </conditionalFormatting>
  <conditionalFormatting sqref="D11">
    <cfRule type="cellIs" dxfId="27185" priority="155265" stopIfTrue="1" operator="equal">
      <formula>-1</formula>
    </cfRule>
  </conditionalFormatting>
  <conditionalFormatting sqref="D11">
    <cfRule type="cellIs" dxfId="27184" priority="155266" stopIfTrue="1" operator="lessThan">
      <formula>0.5</formula>
    </cfRule>
  </conditionalFormatting>
  <conditionalFormatting sqref="D11">
    <cfRule type="cellIs" dxfId="27183" priority="155267" stopIfTrue="1" operator="greaterThanOrEqual">
      <formula>0.5</formula>
    </cfRule>
  </conditionalFormatting>
  <conditionalFormatting sqref="D12">
    <cfRule type="cellIs" dxfId="27182" priority="155268" stopIfTrue="1" operator="equal">
      <formula>-1</formula>
    </cfRule>
  </conditionalFormatting>
  <conditionalFormatting sqref="D12">
    <cfRule type="cellIs" dxfId="27181" priority="155269" stopIfTrue="1" operator="lessThan">
      <formula>0.5</formula>
    </cfRule>
  </conditionalFormatting>
  <conditionalFormatting sqref="D12">
    <cfRule type="cellIs" dxfId="27180" priority="155270" stopIfTrue="1" operator="greaterThanOrEqual">
      <formula>0.5</formula>
    </cfRule>
  </conditionalFormatting>
  <conditionalFormatting sqref="D13">
    <cfRule type="cellIs" dxfId="27179" priority="155271" stopIfTrue="1" operator="equal">
      <formula>-1</formula>
    </cfRule>
  </conditionalFormatting>
  <conditionalFormatting sqref="D13">
    <cfRule type="cellIs" dxfId="27178" priority="155272" stopIfTrue="1" operator="lessThan">
      <formula>0.5</formula>
    </cfRule>
  </conditionalFormatting>
  <conditionalFormatting sqref="D13">
    <cfRule type="cellIs" dxfId="27177" priority="155273" stopIfTrue="1" operator="greaterThanOrEqual">
      <formula>0.5</formula>
    </cfRule>
  </conditionalFormatting>
  <conditionalFormatting sqref="D14">
    <cfRule type="cellIs" dxfId="27176" priority="155274" stopIfTrue="1" operator="equal">
      <formula>-1</formula>
    </cfRule>
  </conditionalFormatting>
  <conditionalFormatting sqref="D14">
    <cfRule type="cellIs" dxfId="27175" priority="155275" stopIfTrue="1" operator="lessThan">
      <formula>0.5</formula>
    </cfRule>
  </conditionalFormatting>
  <conditionalFormatting sqref="D14">
    <cfRule type="cellIs" dxfId="27174" priority="155276" stopIfTrue="1" operator="greaterThanOrEqual">
      <formula>0.5</formula>
    </cfRule>
  </conditionalFormatting>
  <conditionalFormatting sqref="D15">
    <cfRule type="cellIs" dxfId="27173" priority="155277" stopIfTrue="1" operator="equal">
      <formula>-1</formula>
    </cfRule>
  </conditionalFormatting>
  <conditionalFormatting sqref="D15">
    <cfRule type="cellIs" dxfId="27172" priority="155278" stopIfTrue="1" operator="lessThan">
      <formula>0.5</formula>
    </cfRule>
  </conditionalFormatting>
  <conditionalFormatting sqref="D15">
    <cfRule type="cellIs" dxfId="27171" priority="155279" stopIfTrue="1" operator="greaterThanOrEqual">
      <formula>0.5</formula>
    </cfRule>
  </conditionalFormatting>
  <conditionalFormatting sqref="F8">
    <cfRule type="cellIs" dxfId="27170" priority="155280" stopIfTrue="1" operator="equal">
      <formula>-1</formula>
    </cfRule>
  </conditionalFormatting>
  <conditionalFormatting sqref="F8">
    <cfRule type="cellIs" dxfId="27169" priority="155281" stopIfTrue="1" operator="lessThan">
      <formula>0.5</formula>
    </cfRule>
  </conditionalFormatting>
  <conditionalFormatting sqref="F8">
    <cfRule type="cellIs" dxfId="27168" priority="155282" stopIfTrue="1" operator="greaterThanOrEqual">
      <formula>0.5</formula>
    </cfRule>
  </conditionalFormatting>
  <conditionalFormatting sqref="F9">
    <cfRule type="cellIs" dxfId="27167" priority="155283" stopIfTrue="1" operator="equal">
      <formula>-1</formula>
    </cfRule>
  </conditionalFormatting>
  <conditionalFormatting sqref="F9">
    <cfRule type="cellIs" dxfId="27166" priority="155284" stopIfTrue="1" operator="lessThan">
      <formula>0.5</formula>
    </cfRule>
  </conditionalFormatting>
  <conditionalFormatting sqref="F9">
    <cfRule type="cellIs" dxfId="27165" priority="155285" stopIfTrue="1" operator="greaterThanOrEqual">
      <formula>0.5</formula>
    </cfRule>
  </conditionalFormatting>
  <conditionalFormatting sqref="F10">
    <cfRule type="cellIs" dxfId="27164" priority="155286" stopIfTrue="1" operator="equal">
      <formula>-1</formula>
    </cfRule>
  </conditionalFormatting>
  <conditionalFormatting sqref="F10">
    <cfRule type="cellIs" dxfId="27163" priority="155287" stopIfTrue="1" operator="lessThan">
      <formula>0.5</formula>
    </cfRule>
  </conditionalFormatting>
  <conditionalFormatting sqref="F10">
    <cfRule type="cellIs" dxfId="27162" priority="155288" stopIfTrue="1" operator="greaterThanOrEqual">
      <formula>0.5</formula>
    </cfRule>
  </conditionalFormatting>
  <conditionalFormatting sqref="F11">
    <cfRule type="cellIs" dxfId="27161" priority="155289" stopIfTrue="1" operator="equal">
      <formula>-1</formula>
    </cfRule>
  </conditionalFormatting>
  <conditionalFormatting sqref="F11">
    <cfRule type="cellIs" dxfId="27160" priority="155290" stopIfTrue="1" operator="lessThan">
      <formula>0.5</formula>
    </cfRule>
  </conditionalFormatting>
  <conditionalFormatting sqref="F11">
    <cfRule type="cellIs" dxfId="27159" priority="155291" stopIfTrue="1" operator="greaterThanOrEqual">
      <formula>0.5</formula>
    </cfRule>
  </conditionalFormatting>
  <conditionalFormatting sqref="F12">
    <cfRule type="cellIs" dxfId="27158" priority="155292" stopIfTrue="1" operator="equal">
      <formula>-1</formula>
    </cfRule>
  </conditionalFormatting>
  <conditionalFormatting sqref="F12">
    <cfRule type="cellIs" dxfId="27157" priority="155293" stopIfTrue="1" operator="lessThan">
      <formula>0.5</formula>
    </cfRule>
  </conditionalFormatting>
  <conditionalFormatting sqref="F12">
    <cfRule type="cellIs" dxfId="27156" priority="155294" stopIfTrue="1" operator="greaterThanOrEqual">
      <formula>0.5</formula>
    </cfRule>
  </conditionalFormatting>
  <conditionalFormatting sqref="F13">
    <cfRule type="cellIs" dxfId="27155" priority="155295" stopIfTrue="1" operator="equal">
      <formula>-1</formula>
    </cfRule>
  </conditionalFormatting>
  <conditionalFormatting sqref="F13">
    <cfRule type="cellIs" dxfId="27154" priority="155296" stopIfTrue="1" operator="lessThan">
      <formula>0.5</formula>
    </cfRule>
  </conditionalFormatting>
  <conditionalFormatting sqref="F13">
    <cfRule type="cellIs" dxfId="27153" priority="155297" stopIfTrue="1" operator="greaterThanOrEqual">
      <formula>0.5</formula>
    </cfRule>
  </conditionalFormatting>
  <conditionalFormatting sqref="F14">
    <cfRule type="cellIs" dxfId="27152" priority="155298" stopIfTrue="1" operator="equal">
      <formula>-1</formula>
    </cfRule>
  </conditionalFormatting>
  <conditionalFormatting sqref="F14">
    <cfRule type="cellIs" dxfId="27151" priority="155299" stopIfTrue="1" operator="lessThan">
      <formula>0.5</formula>
    </cfRule>
  </conditionalFormatting>
  <conditionalFormatting sqref="F14">
    <cfRule type="cellIs" dxfId="27150" priority="155300" stopIfTrue="1" operator="greaterThanOrEqual">
      <formula>0.5</formula>
    </cfRule>
  </conditionalFormatting>
  <conditionalFormatting sqref="F15">
    <cfRule type="cellIs" dxfId="27149" priority="155301" stopIfTrue="1" operator="equal">
      <formula>-1</formula>
    </cfRule>
  </conditionalFormatting>
  <conditionalFormatting sqref="F15">
    <cfRule type="cellIs" dxfId="27148" priority="155302" stopIfTrue="1" operator="lessThan">
      <formula>0.5</formula>
    </cfRule>
  </conditionalFormatting>
  <conditionalFormatting sqref="F15">
    <cfRule type="cellIs" dxfId="27147" priority="155303" stopIfTrue="1" operator="greaterThanOrEqual">
      <formula>0.5</formula>
    </cfRule>
  </conditionalFormatting>
  <conditionalFormatting sqref="H8">
    <cfRule type="cellIs" dxfId="27146" priority="155304" stopIfTrue="1" operator="equal">
      <formula>-1</formula>
    </cfRule>
  </conditionalFormatting>
  <conditionalFormatting sqref="H8">
    <cfRule type="cellIs" dxfId="27145" priority="155305" stopIfTrue="1" operator="lessThan">
      <formula>0.5</formula>
    </cfRule>
  </conditionalFormatting>
  <conditionalFormatting sqref="H8">
    <cfRule type="cellIs" dxfId="27144" priority="155306" stopIfTrue="1" operator="greaterThanOrEqual">
      <formula>0.5</formula>
    </cfRule>
  </conditionalFormatting>
  <conditionalFormatting sqref="H9">
    <cfRule type="cellIs" dxfId="27143" priority="155307" stopIfTrue="1" operator="equal">
      <formula>-1</formula>
    </cfRule>
  </conditionalFormatting>
  <conditionalFormatting sqref="H9">
    <cfRule type="cellIs" dxfId="27142" priority="155308" stopIfTrue="1" operator="lessThan">
      <formula>0.5</formula>
    </cfRule>
  </conditionalFormatting>
  <conditionalFormatting sqref="H9">
    <cfRule type="cellIs" dxfId="27141" priority="155309" stopIfTrue="1" operator="greaterThanOrEqual">
      <formula>0.5</formula>
    </cfRule>
  </conditionalFormatting>
  <conditionalFormatting sqref="H10">
    <cfRule type="cellIs" dxfId="27140" priority="155310" stopIfTrue="1" operator="equal">
      <formula>-1</formula>
    </cfRule>
  </conditionalFormatting>
  <conditionalFormatting sqref="H10">
    <cfRule type="cellIs" dxfId="27139" priority="155311" stopIfTrue="1" operator="lessThan">
      <formula>0.5</formula>
    </cfRule>
  </conditionalFormatting>
  <conditionalFormatting sqref="H10">
    <cfRule type="cellIs" dxfId="27138" priority="155312" stopIfTrue="1" operator="greaterThanOrEqual">
      <formula>0.5</formula>
    </cfRule>
  </conditionalFormatting>
  <conditionalFormatting sqref="H11">
    <cfRule type="cellIs" dxfId="27137" priority="155313" stopIfTrue="1" operator="equal">
      <formula>-1</formula>
    </cfRule>
  </conditionalFormatting>
  <conditionalFormatting sqref="H11">
    <cfRule type="cellIs" dxfId="27136" priority="155314" stopIfTrue="1" operator="lessThan">
      <formula>0.5</formula>
    </cfRule>
  </conditionalFormatting>
  <conditionalFormatting sqref="H11">
    <cfRule type="cellIs" dxfId="27135" priority="155315" stopIfTrue="1" operator="greaterThanOrEqual">
      <formula>0.5</formula>
    </cfRule>
  </conditionalFormatting>
  <conditionalFormatting sqref="H12">
    <cfRule type="cellIs" dxfId="27134" priority="155316" stopIfTrue="1" operator="equal">
      <formula>-1</formula>
    </cfRule>
  </conditionalFormatting>
  <conditionalFormatting sqref="H12">
    <cfRule type="cellIs" dxfId="27133" priority="155317" stopIfTrue="1" operator="lessThan">
      <formula>0.5</formula>
    </cfRule>
  </conditionalFormatting>
  <conditionalFormatting sqref="H12">
    <cfRule type="cellIs" dxfId="27132" priority="155318" stopIfTrue="1" operator="greaterThanOrEqual">
      <formula>0.5</formula>
    </cfRule>
  </conditionalFormatting>
  <conditionalFormatting sqref="H13">
    <cfRule type="cellIs" dxfId="27131" priority="155319" stopIfTrue="1" operator="equal">
      <formula>-1</formula>
    </cfRule>
  </conditionalFormatting>
  <conditionalFormatting sqref="H13">
    <cfRule type="cellIs" dxfId="27130" priority="155320" stopIfTrue="1" operator="lessThan">
      <formula>0.5</formula>
    </cfRule>
  </conditionalFormatting>
  <conditionalFormatting sqref="H13">
    <cfRule type="cellIs" dxfId="27129" priority="155321" stopIfTrue="1" operator="greaterThanOrEqual">
      <formula>0.5</formula>
    </cfRule>
  </conditionalFormatting>
  <conditionalFormatting sqref="H14">
    <cfRule type="cellIs" dxfId="27128" priority="155322" stopIfTrue="1" operator="equal">
      <formula>-1</formula>
    </cfRule>
  </conditionalFormatting>
  <conditionalFormatting sqref="H14">
    <cfRule type="cellIs" dxfId="27127" priority="155323" stopIfTrue="1" operator="lessThan">
      <formula>0.5</formula>
    </cfRule>
  </conditionalFormatting>
  <conditionalFormatting sqref="H14">
    <cfRule type="cellIs" dxfId="27126" priority="155324" stopIfTrue="1" operator="greaterThanOrEqual">
      <formula>0.5</formula>
    </cfRule>
  </conditionalFormatting>
  <conditionalFormatting sqref="H15">
    <cfRule type="cellIs" dxfId="27125" priority="155325" stopIfTrue="1" operator="equal">
      <formula>-1</formula>
    </cfRule>
  </conditionalFormatting>
  <conditionalFormatting sqref="H15">
    <cfRule type="cellIs" dxfId="27124" priority="155326" stopIfTrue="1" operator="lessThan">
      <formula>0.5</formula>
    </cfRule>
  </conditionalFormatting>
  <conditionalFormatting sqref="H15">
    <cfRule type="cellIs" dxfId="27123" priority="155327" stopIfTrue="1" operator="greaterThanOrEqual">
      <formula>0.5</formula>
    </cfRule>
  </conditionalFormatting>
  <conditionalFormatting sqref="J8">
    <cfRule type="cellIs" dxfId="27122" priority="155328" stopIfTrue="1" operator="equal">
      <formula>-1</formula>
    </cfRule>
  </conditionalFormatting>
  <conditionalFormatting sqref="J8">
    <cfRule type="cellIs" dxfId="27121" priority="155329" stopIfTrue="1" operator="lessThan">
      <formula>0.5</formula>
    </cfRule>
  </conditionalFormatting>
  <conditionalFormatting sqref="J8">
    <cfRule type="cellIs" dxfId="27120" priority="155330" stopIfTrue="1" operator="greaterThanOrEqual">
      <formula>0.5</formula>
    </cfRule>
  </conditionalFormatting>
  <conditionalFormatting sqref="J9">
    <cfRule type="cellIs" dxfId="27119" priority="155331" stopIfTrue="1" operator="equal">
      <formula>-1</formula>
    </cfRule>
  </conditionalFormatting>
  <conditionalFormatting sqref="J9">
    <cfRule type="cellIs" dxfId="27118" priority="155332" stopIfTrue="1" operator="lessThan">
      <formula>0.5</formula>
    </cfRule>
  </conditionalFormatting>
  <conditionalFormatting sqref="J9">
    <cfRule type="cellIs" dxfId="27117" priority="155333" stopIfTrue="1" operator="greaterThanOrEqual">
      <formula>0.5</formula>
    </cfRule>
  </conditionalFormatting>
  <conditionalFormatting sqref="J10">
    <cfRule type="cellIs" dxfId="27116" priority="155334" stopIfTrue="1" operator="equal">
      <formula>-1</formula>
    </cfRule>
  </conditionalFormatting>
  <conditionalFormatting sqref="J10">
    <cfRule type="cellIs" dxfId="27115" priority="155335" stopIfTrue="1" operator="lessThan">
      <formula>0.5</formula>
    </cfRule>
  </conditionalFormatting>
  <conditionalFormatting sqref="J10">
    <cfRule type="cellIs" dxfId="27114" priority="155336" stopIfTrue="1" operator="greaterThanOrEqual">
      <formula>0.5</formula>
    </cfRule>
  </conditionalFormatting>
  <conditionalFormatting sqref="J11">
    <cfRule type="cellIs" dxfId="27113" priority="155337" stopIfTrue="1" operator="equal">
      <formula>-1</formula>
    </cfRule>
  </conditionalFormatting>
  <conditionalFormatting sqref="J11">
    <cfRule type="cellIs" dxfId="27112" priority="155338" stopIfTrue="1" operator="lessThan">
      <formula>0.5</formula>
    </cfRule>
  </conditionalFormatting>
  <conditionalFormatting sqref="J11">
    <cfRule type="cellIs" dxfId="27111" priority="155339" stopIfTrue="1" operator="greaterThanOrEqual">
      <formula>0.5</formula>
    </cfRule>
  </conditionalFormatting>
  <conditionalFormatting sqref="J12">
    <cfRule type="cellIs" dxfId="27110" priority="155340" stopIfTrue="1" operator="equal">
      <formula>-1</formula>
    </cfRule>
  </conditionalFormatting>
  <conditionalFormatting sqref="J12">
    <cfRule type="cellIs" dxfId="27109" priority="155341" stopIfTrue="1" operator="lessThan">
      <formula>0.5</formula>
    </cfRule>
  </conditionalFormatting>
  <conditionalFormatting sqref="J12">
    <cfRule type="cellIs" dxfId="27108" priority="155342" stopIfTrue="1" operator="greaterThanOrEqual">
      <formula>0.5</formula>
    </cfRule>
  </conditionalFormatting>
  <conditionalFormatting sqref="J13">
    <cfRule type="cellIs" dxfId="27107" priority="155343" stopIfTrue="1" operator="equal">
      <formula>-1</formula>
    </cfRule>
  </conditionalFormatting>
  <conditionalFormatting sqref="J13">
    <cfRule type="cellIs" dxfId="27106" priority="155344" stopIfTrue="1" operator="lessThan">
      <formula>0.5</formula>
    </cfRule>
  </conditionalFormatting>
  <conditionalFormatting sqref="J13">
    <cfRule type="cellIs" dxfId="27105" priority="155345" stopIfTrue="1" operator="greaterThanOrEqual">
      <formula>0.5</formula>
    </cfRule>
  </conditionalFormatting>
  <conditionalFormatting sqref="J14">
    <cfRule type="cellIs" dxfId="27104" priority="155346" stopIfTrue="1" operator="equal">
      <formula>-1</formula>
    </cfRule>
  </conditionalFormatting>
  <conditionalFormatting sqref="J14">
    <cfRule type="cellIs" dxfId="27103" priority="155347" stopIfTrue="1" operator="lessThan">
      <formula>0.5</formula>
    </cfRule>
  </conditionalFormatting>
  <conditionalFormatting sqref="J14">
    <cfRule type="cellIs" dxfId="27102" priority="155348" stopIfTrue="1" operator="greaterThanOrEqual">
      <formula>0.5</formula>
    </cfRule>
  </conditionalFormatting>
  <conditionalFormatting sqref="J15">
    <cfRule type="cellIs" dxfId="27101" priority="155349" stopIfTrue="1" operator="equal">
      <formula>-1</formula>
    </cfRule>
  </conditionalFormatting>
  <conditionalFormatting sqref="J15">
    <cfRule type="cellIs" dxfId="27100" priority="155350" stopIfTrue="1" operator="lessThan">
      <formula>0.5</formula>
    </cfRule>
  </conditionalFormatting>
  <conditionalFormatting sqref="J15">
    <cfRule type="cellIs" dxfId="27099" priority="155351" stopIfTrue="1" operator="greaterThanOrEqual">
      <formula>0.5</formula>
    </cfRule>
  </conditionalFormatting>
  <conditionalFormatting sqref="L8">
    <cfRule type="cellIs" dxfId="27098" priority="155352" stopIfTrue="1" operator="equal">
      <formula>-1</formula>
    </cfRule>
  </conditionalFormatting>
  <conditionalFormatting sqref="L8">
    <cfRule type="cellIs" dxfId="27097" priority="155353" stopIfTrue="1" operator="lessThan">
      <formula>0.5</formula>
    </cfRule>
  </conditionalFormatting>
  <conditionalFormatting sqref="L8">
    <cfRule type="cellIs" dxfId="27096" priority="155354" stopIfTrue="1" operator="greaterThanOrEqual">
      <formula>0.5</formula>
    </cfRule>
  </conditionalFormatting>
  <conditionalFormatting sqref="L9">
    <cfRule type="cellIs" dxfId="27095" priority="155355" stopIfTrue="1" operator="equal">
      <formula>-1</formula>
    </cfRule>
  </conditionalFormatting>
  <conditionalFormatting sqref="L9">
    <cfRule type="cellIs" dxfId="27094" priority="155356" stopIfTrue="1" operator="lessThan">
      <formula>0.5</formula>
    </cfRule>
  </conditionalFormatting>
  <conditionalFormatting sqref="L9">
    <cfRule type="cellIs" dxfId="27093" priority="155357" stopIfTrue="1" operator="greaterThanOrEqual">
      <formula>0.5</formula>
    </cfRule>
  </conditionalFormatting>
  <conditionalFormatting sqref="L10">
    <cfRule type="cellIs" dxfId="27092" priority="155358" stopIfTrue="1" operator="equal">
      <formula>-1</formula>
    </cfRule>
  </conditionalFormatting>
  <conditionalFormatting sqref="L10">
    <cfRule type="cellIs" dxfId="27091" priority="155359" stopIfTrue="1" operator="lessThan">
      <formula>0.5</formula>
    </cfRule>
  </conditionalFormatting>
  <conditionalFormatting sqref="L10">
    <cfRule type="cellIs" dxfId="27090" priority="155360" stopIfTrue="1" operator="greaterThanOrEqual">
      <formula>0.5</formula>
    </cfRule>
  </conditionalFormatting>
  <conditionalFormatting sqref="L11">
    <cfRule type="cellIs" dxfId="27089" priority="155361" stopIfTrue="1" operator="equal">
      <formula>-1</formula>
    </cfRule>
  </conditionalFormatting>
  <conditionalFormatting sqref="L11">
    <cfRule type="cellIs" dxfId="27088" priority="155362" stopIfTrue="1" operator="lessThan">
      <formula>0.5</formula>
    </cfRule>
  </conditionalFormatting>
  <conditionalFormatting sqref="L11">
    <cfRule type="cellIs" dxfId="27087" priority="155363" stopIfTrue="1" operator="greaterThanOrEqual">
      <formula>0.5</formula>
    </cfRule>
  </conditionalFormatting>
  <conditionalFormatting sqref="L12">
    <cfRule type="cellIs" dxfId="27086" priority="155364" stopIfTrue="1" operator="equal">
      <formula>-1</formula>
    </cfRule>
  </conditionalFormatting>
  <conditionalFormatting sqref="L12">
    <cfRule type="cellIs" dxfId="27085" priority="155365" stopIfTrue="1" operator="lessThan">
      <formula>0.5</formula>
    </cfRule>
  </conditionalFormatting>
  <conditionalFormatting sqref="L12">
    <cfRule type="cellIs" dxfId="27084" priority="155366" stopIfTrue="1" operator="greaterThanOrEqual">
      <formula>0.5</formula>
    </cfRule>
  </conditionalFormatting>
  <conditionalFormatting sqref="L13">
    <cfRule type="cellIs" dxfId="27083" priority="155367" stopIfTrue="1" operator="equal">
      <formula>-1</formula>
    </cfRule>
  </conditionalFormatting>
  <conditionalFormatting sqref="L13">
    <cfRule type="cellIs" dxfId="27082" priority="155368" stopIfTrue="1" operator="lessThan">
      <formula>0.5</formula>
    </cfRule>
  </conditionalFormatting>
  <conditionalFormatting sqref="L13">
    <cfRule type="cellIs" dxfId="27081" priority="155369" stopIfTrue="1" operator="greaterThanOrEqual">
      <formula>0.5</formula>
    </cfRule>
  </conditionalFormatting>
  <conditionalFormatting sqref="L14">
    <cfRule type="cellIs" dxfId="27080" priority="155370" stopIfTrue="1" operator="equal">
      <formula>-1</formula>
    </cfRule>
  </conditionalFormatting>
  <conditionalFormatting sqref="L14">
    <cfRule type="cellIs" dxfId="27079" priority="155371" stopIfTrue="1" operator="lessThan">
      <formula>0.5</formula>
    </cfRule>
  </conditionalFormatting>
  <conditionalFormatting sqref="L14">
    <cfRule type="cellIs" dxfId="27078" priority="155372" stopIfTrue="1" operator="greaterThanOrEqual">
      <formula>0.5</formula>
    </cfRule>
  </conditionalFormatting>
  <conditionalFormatting sqref="L15">
    <cfRule type="cellIs" dxfId="27077" priority="155373" stopIfTrue="1" operator="equal">
      <formula>-1</formula>
    </cfRule>
  </conditionalFormatting>
  <conditionalFormatting sqref="L15">
    <cfRule type="cellIs" dxfId="27076" priority="155374" stopIfTrue="1" operator="lessThan">
      <formula>0.5</formula>
    </cfRule>
  </conditionalFormatting>
  <conditionalFormatting sqref="L15">
    <cfRule type="cellIs" dxfId="27075" priority="155375" stopIfTrue="1" operator="greaterThanOrEqual">
      <formula>0.5</formula>
    </cfRule>
  </conditionalFormatting>
  <conditionalFormatting sqref="N8">
    <cfRule type="cellIs" dxfId="27074" priority="155376" stopIfTrue="1" operator="equal">
      <formula>-1</formula>
    </cfRule>
  </conditionalFormatting>
  <conditionalFormatting sqref="N8">
    <cfRule type="cellIs" dxfId="27073" priority="155377" stopIfTrue="1" operator="lessThan">
      <formula>0.5</formula>
    </cfRule>
  </conditionalFormatting>
  <conditionalFormatting sqref="N8">
    <cfRule type="cellIs" dxfId="27072" priority="155378" stopIfTrue="1" operator="greaterThanOrEqual">
      <formula>0.5</formula>
    </cfRule>
  </conditionalFormatting>
  <conditionalFormatting sqref="N9">
    <cfRule type="cellIs" dxfId="27071" priority="155379" stopIfTrue="1" operator="equal">
      <formula>-1</formula>
    </cfRule>
  </conditionalFormatting>
  <conditionalFormatting sqref="N9">
    <cfRule type="cellIs" dxfId="27070" priority="155380" stopIfTrue="1" operator="lessThan">
      <formula>0.5</formula>
    </cfRule>
  </conditionalFormatting>
  <conditionalFormatting sqref="N9">
    <cfRule type="cellIs" dxfId="27069" priority="155381" stopIfTrue="1" operator="greaterThanOrEqual">
      <formula>0.5</formula>
    </cfRule>
  </conditionalFormatting>
  <conditionalFormatting sqref="N10">
    <cfRule type="cellIs" dxfId="27068" priority="155382" stopIfTrue="1" operator="equal">
      <formula>-1</formula>
    </cfRule>
  </conditionalFormatting>
  <conditionalFormatting sqref="N10">
    <cfRule type="cellIs" dxfId="27067" priority="155383" stopIfTrue="1" operator="lessThan">
      <formula>0.5</formula>
    </cfRule>
  </conditionalFormatting>
  <conditionalFormatting sqref="N10">
    <cfRule type="cellIs" dxfId="27066" priority="155384" stopIfTrue="1" operator="greaterThanOrEqual">
      <formula>0.5</formula>
    </cfRule>
  </conditionalFormatting>
  <conditionalFormatting sqref="N11">
    <cfRule type="cellIs" dxfId="27065" priority="155385" stopIfTrue="1" operator="equal">
      <formula>-1</formula>
    </cfRule>
  </conditionalFormatting>
  <conditionalFormatting sqref="N11">
    <cfRule type="cellIs" dxfId="27064" priority="155386" stopIfTrue="1" operator="lessThan">
      <formula>0.5</formula>
    </cfRule>
  </conditionalFormatting>
  <conditionalFormatting sqref="N11">
    <cfRule type="cellIs" dxfId="27063" priority="155387" stopIfTrue="1" operator="greaterThanOrEqual">
      <formula>0.5</formula>
    </cfRule>
  </conditionalFormatting>
  <conditionalFormatting sqref="N12">
    <cfRule type="cellIs" dxfId="27062" priority="155388" stopIfTrue="1" operator="equal">
      <formula>-1</formula>
    </cfRule>
  </conditionalFormatting>
  <conditionalFormatting sqref="N12">
    <cfRule type="cellIs" dxfId="27061" priority="155389" stopIfTrue="1" operator="lessThan">
      <formula>0.5</formula>
    </cfRule>
  </conditionalFormatting>
  <conditionalFormatting sqref="N12">
    <cfRule type="cellIs" dxfId="27060" priority="155390" stopIfTrue="1" operator="greaterThanOrEqual">
      <formula>0.5</formula>
    </cfRule>
  </conditionalFormatting>
  <conditionalFormatting sqref="N13">
    <cfRule type="cellIs" dxfId="27059" priority="155391" stopIfTrue="1" operator="equal">
      <formula>-1</formula>
    </cfRule>
  </conditionalFormatting>
  <conditionalFormatting sqref="N13">
    <cfRule type="cellIs" dxfId="27058" priority="155392" stopIfTrue="1" operator="lessThan">
      <formula>0.5</formula>
    </cfRule>
  </conditionalFormatting>
  <conditionalFormatting sqref="N13">
    <cfRule type="cellIs" dxfId="27057" priority="155393" stopIfTrue="1" operator="greaterThanOrEqual">
      <formula>0.5</formula>
    </cfRule>
  </conditionalFormatting>
  <conditionalFormatting sqref="N14">
    <cfRule type="cellIs" dxfId="27056" priority="155394" stopIfTrue="1" operator="equal">
      <formula>-1</formula>
    </cfRule>
  </conditionalFormatting>
  <conditionalFormatting sqref="N14">
    <cfRule type="cellIs" dxfId="27055" priority="155395" stopIfTrue="1" operator="lessThan">
      <formula>0.5</formula>
    </cfRule>
  </conditionalFormatting>
  <conditionalFormatting sqref="N14">
    <cfRule type="cellIs" dxfId="27054" priority="155396" stopIfTrue="1" operator="greaterThanOrEqual">
      <formula>0.5</formula>
    </cfRule>
  </conditionalFormatting>
  <conditionalFormatting sqref="N15">
    <cfRule type="cellIs" dxfId="27053" priority="155397" stopIfTrue="1" operator="equal">
      <formula>-1</formula>
    </cfRule>
  </conditionalFormatting>
  <conditionalFormatting sqref="N15">
    <cfRule type="cellIs" dxfId="27052" priority="155398" stopIfTrue="1" operator="lessThan">
      <formula>0.5</formula>
    </cfRule>
  </conditionalFormatting>
  <conditionalFormatting sqref="N15">
    <cfRule type="cellIs" dxfId="27051" priority="155399" stopIfTrue="1" operator="greaterThanOrEqual">
      <formula>0.5</formula>
    </cfRule>
  </conditionalFormatting>
  <conditionalFormatting sqref="P8">
    <cfRule type="cellIs" dxfId="27050" priority="155400" stopIfTrue="1" operator="equal">
      <formula>-1</formula>
    </cfRule>
  </conditionalFormatting>
  <conditionalFormatting sqref="P8">
    <cfRule type="cellIs" dxfId="27049" priority="155401" stopIfTrue="1" operator="lessThan">
      <formula>0.5</formula>
    </cfRule>
  </conditionalFormatting>
  <conditionalFormatting sqref="P8">
    <cfRule type="cellIs" dxfId="27048" priority="155402" stopIfTrue="1" operator="greaterThanOrEqual">
      <formula>0.5</formula>
    </cfRule>
  </conditionalFormatting>
  <conditionalFormatting sqref="P9">
    <cfRule type="cellIs" dxfId="27047" priority="155403" stopIfTrue="1" operator="equal">
      <formula>-1</formula>
    </cfRule>
  </conditionalFormatting>
  <conditionalFormatting sqref="P9">
    <cfRule type="cellIs" dxfId="27046" priority="155404" stopIfTrue="1" operator="lessThan">
      <formula>0.5</formula>
    </cfRule>
  </conditionalFormatting>
  <conditionalFormatting sqref="P9">
    <cfRule type="cellIs" dxfId="27045" priority="155405" stopIfTrue="1" operator="greaterThanOrEqual">
      <formula>0.5</formula>
    </cfRule>
  </conditionalFormatting>
  <conditionalFormatting sqref="P10">
    <cfRule type="cellIs" dxfId="27044" priority="155406" stopIfTrue="1" operator="equal">
      <formula>-1</formula>
    </cfRule>
  </conditionalFormatting>
  <conditionalFormatting sqref="P10">
    <cfRule type="cellIs" dxfId="27043" priority="155407" stopIfTrue="1" operator="lessThan">
      <formula>0.5</formula>
    </cfRule>
  </conditionalFormatting>
  <conditionalFormatting sqref="P10">
    <cfRule type="cellIs" dxfId="27042" priority="155408" stopIfTrue="1" operator="greaterThanOrEqual">
      <formula>0.5</formula>
    </cfRule>
  </conditionalFormatting>
  <conditionalFormatting sqref="P11">
    <cfRule type="cellIs" dxfId="27041" priority="155409" stopIfTrue="1" operator="equal">
      <formula>-1</formula>
    </cfRule>
  </conditionalFormatting>
  <conditionalFormatting sqref="P11">
    <cfRule type="cellIs" dxfId="27040" priority="155410" stopIfTrue="1" operator="lessThan">
      <formula>0.5</formula>
    </cfRule>
  </conditionalFormatting>
  <conditionalFormatting sqref="P11">
    <cfRule type="cellIs" dxfId="27039" priority="155411" stopIfTrue="1" operator="greaterThanOrEqual">
      <formula>0.5</formula>
    </cfRule>
  </conditionalFormatting>
  <conditionalFormatting sqref="P12">
    <cfRule type="cellIs" dxfId="27038" priority="155412" stopIfTrue="1" operator="equal">
      <formula>-1</formula>
    </cfRule>
  </conditionalFormatting>
  <conditionalFormatting sqref="P12">
    <cfRule type="cellIs" dxfId="27037" priority="155413" stopIfTrue="1" operator="lessThan">
      <formula>0.5</formula>
    </cfRule>
  </conditionalFormatting>
  <conditionalFormatting sqref="P12">
    <cfRule type="cellIs" dxfId="27036" priority="155414" stopIfTrue="1" operator="greaterThanOrEqual">
      <formula>0.5</formula>
    </cfRule>
  </conditionalFormatting>
  <conditionalFormatting sqref="P13">
    <cfRule type="cellIs" dxfId="27035" priority="155415" stopIfTrue="1" operator="equal">
      <formula>-1</formula>
    </cfRule>
  </conditionalFormatting>
  <conditionalFormatting sqref="P13">
    <cfRule type="cellIs" dxfId="27034" priority="155416" stopIfTrue="1" operator="lessThan">
      <formula>0.5</formula>
    </cfRule>
  </conditionalFormatting>
  <conditionalFormatting sqref="P13">
    <cfRule type="cellIs" dxfId="27033" priority="155417" stopIfTrue="1" operator="greaterThanOrEqual">
      <formula>0.5</formula>
    </cfRule>
  </conditionalFormatting>
  <conditionalFormatting sqref="P14">
    <cfRule type="cellIs" dxfId="27032" priority="155418" stopIfTrue="1" operator="equal">
      <formula>-1</formula>
    </cfRule>
  </conditionalFormatting>
  <conditionalFormatting sqref="P14">
    <cfRule type="cellIs" dxfId="27031" priority="155419" stopIfTrue="1" operator="lessThan">
      <formula>0.5</formula>
    </cfRule>
  </conditionalFormatting>
  <conditionalFormatting sqref="P14">
    <cfRule type="cellIs" dxfId="27030" priority="155420" stopIfTrue="1" operator="greaterThanOrEqual">
      <formula>0.5</formula>
    </cfRule>
  </conditionalFormatting>
  <conditionalFormatting sqref="P15">
    <cfRule type="cellIs" dxfId="27029" priority="155421" stopIfTrue="1" operator="equal">
      <formula>-1</formula>
    </cfRule>
  </conditionalFormatting>
  <conditionalFormatting sqref="P15">
    <cfRule type="cellIs" dxfId="27028" priority="155422" stopIfTrue="1" operator="lessThan">
      <formula>0.5</formula>
    </cfRule>
  </conditionalFormatting>
  <conditionalFormatting sqref="P15">
    <cfRule type="cellIs" dxfId="27027" priority="155423" stopIfTrue="1" operator="greaterThanOrEqual">
      <formula>0.5</formula>
    </cfRule>
  </conditionalFormatting>
  <conditionalFormatting sqref="R8">
    <cfRule type="cellIs" dxfId="27026" priority="155424" stopIfTrue="1" operator="equal">
      <formula>-1</formula>
    </cfRule>
  </conditionalFormatting>
  <conditionalFormatting sqref="R8">
    <cfRule type="cellIs" dxfId="27025" priority="155425" stopIfTrue="1" operator="lessThan">
      <formula>0.5</formula>
    </cfRule>
  </conditionalFormatting>
  <conditionalFormatting sqref="R8">
    <cfRule type="cellIs" dxfId="27024" priority="155426" stopIfTrue="1" operator="greaterThanOrEqual">
      <formula>0.5</formula>
    </cfRule>
  </conditionalFormatting>
  <conditionalFormatting sqref="R9">
    <cfRule type="cellIs" dxfId="27023" priority="155427" stopIfTrue="1" operator="equal">
      <formula>-1</formula>
    </cfRule>
  </conditionalFormatting>
  <conditionalFormatting sqref="R9">
    <cfRule type="cellIs" dxfId="27022" priority="155428" stopIfTrue="1" operator="lessThan">
      <formula>0.5</formula>
    </cfRule>
  </conditionalFormatting>
  <conditionalFormatting sqref="R9">
    <cfRule type="cellIs" dxfId="27021" priority="155429" stopIfTrue="1" operator="greaterThanOrEqual">
      <formula>0.5</formula>
    </cfRule>
  </conditionalFormatting>
  <conditionalFormatting sqref="R10">
    <cfRule type="cellIs" dxfId="27020" priority="155430" stopIfTrue="1" operator="equal">
      <formula>-1</formula>
    </cfRule>
  </conditionalFormatting>
  <conditionalFormatting sqref="R10">
    <cfRule type="cellIs" dxfId="27019" priority="155431" stopIfTrue="1" operator="lessThan">
      <formula>0.5</formula>
    </cfRule>
  </conditionalFormatting>
  <conditionalFormatting sqref="R10">
    <cfRule type="cellIs" dxfId="27018" priority="155432" stopIfTrue="1" operator="greaterThanOrEqual">
      <formula>0.5</formula>
    </cfRule>
  </conditionalFormatting>
  <conditionalFormatting sqref="R11">
    <cfRule type="cellIs" dxfId="27017" priority="155433" stopIfTrue="1" operator="equal">
      <formula>-1</formula>
    </cfRule>
  </conditionalFormatting>
  <conditionalFormatting sqref="R11">
    <cfRule type="cellIs" dxfId="27016" priority="155434" stopIfTrue="1" operator="lessThan">
      <formula>0.5</formula>
    </cfRule>
  </conditionalFormatting>
  <conditionalFormatting sqref="R11">
    <cfRule type="cellIs" dxfId="27015" priority="155435" stopIfTrue="1" operator="greaterThanOrEqual">
      <formula>0.5</formula>
    </cfRule>
  </conditionalFormatting>
  <conditionalFormatting sqref="R12">
    <cfRule type="cellIs" dxfId="27014" priority="155436" stopIfTrue="1" operator="equal">
      <formula>-1</formula>
    </cfRule>
  </conditionalFormatting>
  <conditionalFormatting sqref="R12">
    <cfRule type="cellIs" dxfId="27013" priority="155437" stopIfTrue="1" operator="lessThan">
      <formula>0.5</formula>
    </cfRule>
  </conditionalFormatting>
  <conditionalFormatting sqref="R12">
    <cfRule type="cellIs" dxfId="27012" priority="155438" stopIfTrue="1" operator="greaterThanOrEqual">
      <formula>0.5</formula>
    </cfRule>
  </conditionalFormatting>
  <conditionalFormatting sqref="R13">
    <cfRule type="cellIs" dxfId="27011" priority="155439" stopIfTrue="1" operator="equal">
      <formula>-1</formula>
    </cfRule>
  </conditionalFormatting>
  <conditionalFormatting sqref="R13">
    <cfRule type="cellIs" dxfId="27010" priority="155440" stopIfTrue="1" operator="lessThan">
      <formula>0.5</formula>
    </cfRule>
  </conditionalFormatting>
  <conditionalFormatting sqref="R13">
    <cfRule type="cellIs" dxfId="27009" priority="155441" stopIfTrue="1" operator="greaterThanOrEqual">
      <formula>0.5</formula>
    </cfRule>
  </conditionalFormatting>
  <conditionalFormatting sqref="R14">
    <cfRule type="cellIs" dxfId="27008" priority="155442" stopIfTrue="1" operator="equal">
      <formula>-1</formula>
    </cfRule>
  </conditionalFormatting>
  <conditionalFormatting sqref="R14">
    <cfRule type="cellIs" dxfId="27007" priority="155443" stopIfTrue="1" operator="lessThan">
      <formula>0.5</formula>
    </cfRule>
  </conditionalFormatting>
  <conditionalFormatting sqref="R14">
    <cfRule type="cellIs" dxfId="27006" priority="155444" stopIfTrue="1" operator="greaterThanOrEqual">
      <formula>0.5</formula>
    </cfRule>
  </conditionalFormatting>
  <conditionalFormatting sqref="R15">
    <cfRule type="cellIs" dxfId="27005" priority="155445" stopIfTrue="1" operator="equal">
      <formula>-1</formula>
    </cfRule>
  </conditionalFormatting>
  <conditionalFormatting sqref="R15">
    <cfRule type="cellIs" dxfId="27004" priority="155446" stopIfTrue="1" operator="lessThan">
      <formula>0.5</formula>
    </cfRule>
  </conditionalFormatting>
  <conditionalFormatting sqref="R15">
    <cfRule type="cellIs" dxfId="27003" priority="155447" stopIfTrue="1" operator="greaterThanOrEqual">
      <formula>0.5</formula>
    </cfRule>
  </conditionalFormatting>
  <conditionalFormatting sqref="T8">
    <cfRule type="cellIs" dxfId="27002" priority="155448" stopIfTrue="1" operator="equal">
      <formula>-1</formula>
    </cfRule>
  </conditionalFormatting>
  <conditionalFormatting sqref="T8">
    <cfRule type="cellIs" dxfId="27001" priority="155449" stopIfTrue="1" operator="lessThan">
      <formula>0.5</formula>
    </cfRule>
  </conditionalFormatting>
  <conditionalFormatting sqref="T8">
    <cfRule type="cellIs" dxfId="27000" priority="155450" stopIfTrue="1" operator="greaterThanOrEqual">
      <formula>0.5</formula>
    </cfRule>
  </conditionalFormatting>
  <conditionalFormatting sqref="T9">
    <cfRule type="cellIs" dxfId="26999" priority="155451" stopIfTrue="1" operator="equal">
      <formula>-1</formula>
    </cfRule>
  </conditionalFormatting>
  <conditionalFormatting sqref="T9">
    <cfRule type="cellIs" dxfId="26998" priority="155452" stopIfTrue="1" operator="lessThan">
      <formula>0.5</formula>
    </cfRule>
  </conditionalFormatting>
  <conditionalFormatting sqref="T9">
    <cfRule type="cellIs" dxfId="26997" priority="155453" stopIfTrue="1" operator="greaterThanOrEqual">
      <formula>0.5</formula>
    </cfRule>
  </conditionalFormatting>
  <conditionalFormatting sqref="T10">
    <cfRule type="cellIs" dxfId="26996" priority="155454" stopIfTrue="1" operator="equal">
      <formula>-1</formula>
    </cfRule>
  </conditionalFormatting>
  <conditionalFormatting sqref="T10">
    <cfRule type="cellIs" dxfId="26995" priority="155455" stopIfTrue="1" operator="lessThan">
      <formula>0.5</formula>
    </cfRule>
  </conditionalFormatting>
  <conditionalFormatting sqref="T10">
    <cfRule type="cellIs" dxfId="26994" priority="155456" stopIfTrue="1" operator="greaterThanOrEqual">
      <formula>0.5</formula>
    </cfRule>
  </conditionalFormatting>
  <conditionalFormatting sqref="T11">
    <cfRule type="cellIs" dxfId="26993" priority="155457" stopIfTrue="1" operator="equal">
      <formula>-1</formula>
    </cfRule>
  </conditionalFormatting>
  <conditionalFormatting sqref="T11">
    <cfRule type="cellIs" dxfId="26992" priority="155458" stopIfTrue="1" operator="lessThan">
      <formula>0.5</formula>
    </cfRule>
  </conditionalFormatting>
  <conditionalFormatting sqref="T11">
    <cfRule type="cellIs" dxfId="26991" priority="155459" stopIfTrue="1" operator="greaterThanOrEqual">
      <formula>0.5</formula>
    </cfRule>
  </conditionalFormatting>
  <conditionalFormatting sqref="T12">
    <cfRule type="cellIs" dxfId="26990" priority="155460" stopIfTrue="1" operator="equal">
      <formula>-1</formula>
    </cfRule>
  </conditionalFormatting>
  <conditionalFormatting sqref="T12">
    <cfRule type="cellIs" dxfId="26989" priority="155461" stopIfTrue="1" operator="lessThan">
      <formula>0.5</formula>
    </cfRule>
  </conditionalFormatting>
  <conditionalFormatting sqref="T12">
    <cfRule type="cellIs" dxfId="26988" priority="155462" stopIfTrue="1" operator="greaterThanOrEqual">
      <formula>0.5</formula>
    </cfRule>
  </conditionalFormatting>
  <conditionalFormatting sqref="T13">
    <cfRule type="cellIs" dxfId="26987" priority="155463" stopIfTrue="1" operator="equal">
      <formula>-1</formula>
    </cfRule>
  </conditionalFormatting>
  <conditionalFormatting sqref="T13">
    <cfRule type="cellIs" dxfId="26986" priority="155464" stopIfTrue="1" operator="lessThan">
      <formula>0.5</formula>
    </cfRule>
  </conditionalFormatting>
  <conditionalFormatting sqref="T13">
    <cfRule type="cellIs" dxfId="26985" priority="155465" stopIfTrue="1" operator="greaterThanOrEqual">
      <formula>0.5</formula>
    </cfRule>
  </conditionalFormatting>
  <conditionalFormatting sqref="T14">
    <cfRule type="cellIs" dxfId="26984" priority="155466" stopIfTrue="1" operator="equal">
      <formula>-1</formula>
    </cfRule>
  </conditionalFormatting>
  <conditionalFormatting sqref="T14">
    <cfRule type="cellIs" dxfId="26983" priority="155467" stopIfTrue="1" operator="lessThan">
      <formula>0.5</formula>
    </cfRule>
  </conditionalFormatting>
  <conditionalFormatting sqref="T14">
    <cfRule type="cellIs" dxfId="26982" priority="155468" stopIfTrue="1" operator="greaterThanOrEqual">
      <formula>0.5</formula>
    </cfRule>
  </conditionalFormatting>
  <conditionalFormatting sqref="T15">
    <cfRule type="cellIs" dxfId="26981" priority="155469" stopIfTrue="1" operator="equal">
      <formula>-1</formula>
    </cfRule>
  </conditionalFormatting>
  <conditionalFormatting sqref="T15">
    <cfRule type="cellIs" dxfId="26980" priority="155470" stopIfTrue="1" operator="lessThan">
      <formula>0.5</formula>
    </cfRule>
  </conditionalFormatting>
  <conditionalFormatting sqref="T15">
    <cfRule type="cellIs" dxfId="26979" priority="155471" stopIfTrue="1" operator="greaterThanOrEqual">
      <formula>0.5</formula>
    </cfRule>
  </conditionalFormatting>
  <conditionalFormatting sqref="V8">
    <cfRule type="cellIs" dxfId="26978" priority="155472" stopIfTrue="1" operator="equal">
      <formula>-1</formula>
    </cfRule>
  </conditionalFormatting>
  <conditionalFormatting sqref="V8">
    <cfRule type="cellIs" dxfId="26977" priority="155473" stopIfTrue="1" operator="lessThan">
      <formula>0.5</formula>
    </cfRule>
  </conditionalFormatting>
  <conditionalFormatting sqref="V8">
    <cfRule type="cellIs" dxfId="26976" priority="155474" stopIfTrue="1" operator="greaterThanOrEqual">
      <formula>0.5</formula>
    </cfRule>
  </conditionalFormatting>
  <conditionalFormatting sqref="V9">
    <cfRule type="cellIs" dxfId="26975" priority="155475" stopIfTrue="1" operator="equal">
      <formula>-1</formula>
    </cfRule>
  </conditionalFormatting>
  <conditionalFormatting sqref="V9">
    <cfRule type="cellIs" dxfId="26974" priority="155476" stopIfTrue="1" operator="lessThan">
      <formula>0.5</formula>
    </cfRule>
  </conditionalFormatting>
  <conditionalFormatting sqref="V9">
    <cfRule type="cellIs" dxfId="26973" priority="155477" stopIfTrue="1" operator="greaterThanOrEqual">
      <formula>0.5</formula>
    </cfRule>
  </conditionalFormatting>
  <conditionalFormatting sqref="V10">
    <cfRule type="cellIs" dxfId="26972" priority="155478" stopIfTrue="1" operator="equal">
      <formula>-1</formula>
    </cfRule>
  </conditionalFormatting>
  <conditionalFormatting sqref="V10">
    <cfRule type="cellIs" dxfId="26971" priority="155479" stopIfTrue="1" operator="lessThan">
      <formula>0.5</formula>
    </cfRule>
  </conditionalFormatting>
  <conditionalFormatting sqref="V10">
    <cfRule type="cellIs" dxfId="26970" priority="155480" stopIfTrue="1" operator="greaterThanOrEqual">
      <formula>0.5</formula>
    </cfRule>
  </conditionalFormatting>
  <conditionalFormatting sqref="V11">
    <cfRule type="cellIs" dxfId="26969" priority="155481" stopIfTrue="1" operator="equal">
      <formula>-1</formula>
    </cfRule>
  </conditionalFormatting>
  <conditionalFormatting sqref="V11">
    <cfRule type="cellIs" dxfId="26968" priority="155482" stopIfTrue="1" operator="lessThan">
      <formula>0.5</formula>
    </cfRule>
  </conditionalFormatting>
  <conditionalFormatting sqref="V11">
    <cfRule type="cellIs" dxfId="26967" priority="155483" stopIfTrue="1" operator="greaterThanOrEqual">
      <formula>0.5</formula>
    </cfRule>
  </conditionalFormatting>
  <conditionalFormatting sqref="V12">
    <cfRule type="cellIs" dxfId="26966" priority="155484" stopIfTrue="1" operator="equal">
      <formula>-1</formula>
    </cfRule>
  </conditionalFormatting>
  <conditionalFormatting sqref="V12">
    <cfRule type="cellIs" dxfId="26965" priority="155485" stopIfTrue="1" operator="lessThan">
      <formula>0.5</formula>
    </cfRule>
  </conditionalFormatting>
  <conditionalFormatting sqref="V12">
    <cfRule type="cellIs" dxfId="26964" priority="155486" stopIfTrue="1" operator="greaterThanOrEqual">
      <formula>0.5</formula>
    </cfRule>
  </conditionalFormatting>
  <conditionalFormatting sqref="V13">
    <cfRule type="cellIs" dxfId="26963" priority="155487" stopIfTrue="1" operator="equal">
      <formula>-1</formula>
    </cfRule>
  </conditionalFormatting>
  <conditionalFormatting sqref="V13">
    <cfRule type="cellIs" dxfId="26962" priority="155488" stopIfTrue="1" operator="lessThan">
      <formula>0.5</formula>
    </cfRule>
  </conditionalFormatting>
  <conditionalFormatting sqref="V13">
    <cfRule type="cellIs" dxfId="26961" priority="155489" stopIfTrue="1" operator="greaterThanOrEqual">
      <formula>0.5</formula>
    </cfRule>
  </conditionalFormatting>
  <conditionalFormatting sqref="V14">
    <cfRule type="cellIs" dxfId="26960" priority="155490" stopIfTrue="1" operator="equal">
      <formula>-1</formula>
    </cfRule>
  </conditionalFormatting>
  <conditionalFormatting sqref="V14">
    <cfRule type="cellIs" dxfId="26959" priority="155491" stopIfTrue="1" operator="lessThan">
      <formula>0.5</formula>
    </cfRule>
  </conditionalFormatting>
  <conditionalFormatting sqref="V14">
    <cfRule type="cellIs" dxfId="26958" priority="155492" stopIfTrue="1" operator="greaterThanOrEqual">
      <formula>0.5</formula>
    </cfRule>
  </conditionalFormatting>
  <conditionalFormatting sqref="V15">
    <cfRule type="cellIs" dxfId="26957" priority="155493" stopIfTrue="1" operator="equal">
      <formula>-1</formula>
    </cfRule>
  </conditionalFormatting>
  <conditionalFormatting sqref="V15">
    <cfRule type="cellIs" dxfId="26956" priority="155494" stopIfTrue="1" operator="lessThan">
      <formula>0.5</formula>
    </cfRule>
  </conditionalFormatting>
  <conditionalFormatting sqref="V15">
    <cfRule type="cellIs" dxfId="26955" priority="155495" stopIfTrue="1" operator="greaterThanOrEqual">
      <formula>0.5</formula>
    </cfRule>
  </conditionalFormatting>
  <conditionalFormatting sqref="X8">
    <cfRule type="cellIs" dxfId="26954" priority="155496" stopIfTrue="1" operator="equal">
      <formula>-1</formula>
    </cfRule>
  </conditionalFormatting>
  <conditionalFormatting sqref="X8">
    <cfRule type="cellIs" dxfId="26953" priority="155497" stopIfTrue="1" operator="lessThan">
      <formula>0.5</formula>
    </cfRule>
  </conditionalFormatting>
  <conditionalFormatting sqref="X8">
    <cfRule type="cellIs" dxfId="26952" priority="155498" stopIfTrue="1" operator="greaterThanOrEqual">
      <formula>0.5</formula>
    </cfRule>
  </conditionalFormatting>
  <conditionalFormatting sqref="X9">
    <cfRule type="cellIs" dxfId="26951" priority="155499" stopIfTrue="1" operator="equal">
      <formula>-1</formula>
    </cfRule>
  </conditionalFormatting>
  <conditionalFormatting sqref="X9">
    <cfRule type="cellIs" dxfId="26950" priority="155500" stopIfTrue="1" operator="lessThan">
      <formula>0.5</formula>
    </cfRule>
  </conditionalFormatting>
  <conditionalFormatting sqref="X9">
    <cfRule type="cellIs" dxfId="26949" priority="155501" stopIfTrue="1" operator="greaterThanOrEqual">
      <formula>0.5</formula>
    </cfRule>
  </conditionalFormatting>
  <conditionalFormatting sqref="X10">
    <cfRule type="cellIs" dxfId="26948" priority="155502" stopIfTrue="1" operator="equal">
      <formula>-1</formula>
    </cfRule>
  </conditionalFormatting>
  <conditionalFormatting sqref="X10">
    <cfRule type="cellIs" dxfId="26947" priority="155503" stopIfTrue="1" operator="lessThan">
      <formula>0.5</formula>
    </cfRule>
  </conditionalFormatting>
  <conditionalFormatting sqref="X10">
    <cfRule type="cellIs" dxfId="26946" priority="155504" stopIfTrue="1" operator="greaterThanOrEqual">
      <formula>0.5</formula>
    </cfRule>
  </conditionalFormatting>
  <conditionalFormatting sqref="X11">
    <cfRule type="cellIs" dxfId="26945" priority="155505" stopIfTrue="1" operator="equal">
      <formula>-1</formula>
    </cfRule>
  </conditionalFormatting>
  <conditionalFormatting sqref="X11">
    <cfRule type="cellIs" dxfId="26944" priority="155506" stopIfTrue="1" operator="lessThan">
      <formula>0.5</formula>
    </cfRule>
  </conditionalFormatting>
  <conditionalFormatting sqref="X11">
    <cfRule type="cellIs" dxfId="26943" priority="155507" stopIfTrue="1" operator="greaterThanOrEqual">
      <formula>0.5</formula>
    </cfRule>
  </conditionalFormatting>
  <conditionalFormatting sqref="X12">
    <cfRule type="cellIs" dxfId="26942" priority="155508" stopIfTrue="1" operator="equal">
      <formula>-1</formula>
    </cfRule>
  </conditionalFormatting>
  <conditionalFormatting sqref="X12">
    <cfRule type="cellIs" dxfId="26941" priority="155509" stopIfTrue="1" operator="lessThan">
      <formula>0.5</formula>
    </cfRule>
  </conditionalFormatting>
  <conditionalFormatting sqref="X12">
    <cfRule type="cellIs" dxfId="26940" priority="155510" stopIfTrue="1" operator="greaterThanOrEqual">
      <formula>0.5</formula>
    </cfRule>
  </conditionalFormatting>
  <conditionalFormatting sqref="X13">
    <cfRule type="cellIs" dxfId="26939" priority="155511" stopIfTrue="1" operator="equal">
      <formula>-1</formula>
    </cfRule>
  </conditionalFormatting>
  <conditionalFormatting sqref="X13">
    <cfRule type="cellIs" dxfId="26938" priority="155512" stopIfTrue="1" operator="lessThan">
      <formula>0.5</formula>
    </cfRule>
  </conditionalFormatting>
  <conditionalFormatting sqref="X13">
    <cfRule type="cellIs" dxfId="26937" priority="155513" stopIfTrue="1" operator="greaterThanOrEqual">
      <formula>0.5</formula>
    </cfRule>
  </conditionalFormatting>
  <conditionalFormatting sqref="X14">
    <cfRule type="cellIs" dxfId="26936" priority="155514" stopIfTrue="1" operator="equal">
      <formula>-1</formula>
    </cfRule>
  </conditionalFormatting>
  <conditionalFormatting sqref="X14">
    <cfRule type="cellIs" dxfId="26935" priority="155515" stopIfTrue="1" operator="lessThan">
      <formula>0.5</formula>
    </cfRule>
  </conditionalFormatting>
  <conditionalFormatting sqref="X14">
    <cfRule type="cellIs" dxfId="26934" priority="155516" stopIfTrue="1" operator="greaterThanOrEqual">
      <formula>0.5</formula>
    </cfRule>
  </conditionalFormatting>
  <conditionalFormatting sqref="X15">
    <cfRule type="cellIs" dxfId="26933" priority="155517" stopIfTrue="1" operator="equal">
      <formula>-1</formula>
    </cfRule>
  </conditionalFormatting>
  <conditionalFormatting sqref="X15">
    <cfRule type="cellIs" dxfId="26932" priority="155518" stopIfTrue="1" operator="lessThan">
      <formula>0.5</formula>
    </cfRule>
  </conditionalFormatting>
  <conditionalFormatting sqref="X15">
    <cfRule type="cellIs" dxfId="26931" priority="155519" stopIfTrue="1" operator="greaterThanOrEqual">
      <formula>0.5</formula>
    </cfRule>
  </conditionalFormatting>
  <conditionalFormatting sqref="Z8">
    <cfRule type="cellIs" dxfId="26930" priority="155520" stopIfTrue="1" operator="equal">
      <formula>-1</formula>
    </cfRule>
  </conditionalFormatting>
  <conditionalFormatting sqref="Z8">
    <cfRule type="cellIs" dxfId="26929" priority="155521" stopIfTrue="1" operator="lessThan">
      <formula>0.5</formula>
    </cfRule>
  </conditionalFormatting>
  <conditionalFormatting sqref="Z8">
    <cfRule type="cellIs" dxfId="26928" priority="155522" stopIfTrue="1" operator="greaterThanOrEqual">
      <formula>0.5</formula>
    </cfRule>
  </conditionalFormatting>
  <conditionalFormatting sqref="Z9">
    <cfRule type="cellIs" dxfId="26927" priority="155523" stopIfTrue="1" operator="equal">
      <formula>-1</formula>
    </cfRule>
  </conditionalFormatting>
  <conditionalFormatting sqref="Z9">
    <cfRule type="cellIs" dxfId="26926" priority="155524" stopIfTrue="1" operator="lessThan">
      <formula>0.5</formula>
    </cfRule>
  </conditionalFormatting>
  <conditionalFormatting sqref="Z9">
    <cfRule type="cellIs" dxfId="26925" priority="155525" stopIfTrue="1" operator="greaterThanOrEqual">
      <formula>0.5</formula>
    </cfRule>
  </conditionalFormatting>
  <conditionalFormatting sqref="Z10">
    <cfRule type="cellIs" dxfId="26924" priority="155526" stopIfTrue="1" operator="equal">
      <formula>-1</formula>
    </cfRule>
  </conditionalFormatting>
  <conditionalFormatting sqref="Z10">
    <cfRule type="cellIs" dxfId="26923" priority="155527" stopIfTrue="1" operator="lessThan">
      <formula>0.5</formula>
    </cfRule>
  </conditionalFormatting>
  <conditionalFormatting sqref="Z10">
    <cfRule type="cellIs" dxfId="26922" priority="155528" stopIfTrue="1" operator="greaterThanOrEqual">
      <formula>0.5</formula>
    </cfRule>
  </conditionalFormatting>
  <conditionalFormatting sqref="Z11">
    <cfRule type="cellIs" dxfId="26921" priority="155529" stopIfTrue="1" operator="equal">
      <formula>-1</formula>
    </cfRule>
  </conditionalFormatting>
  <conditionalFormatting sqref="Z11">
    <cfRule type="cellIs" dxfId="26920" priority="155530" stopIfTrue="1" operator="lessThan">
      <formula>0.5</formula>
    </cfRule>
  </conditionalFormatting>
  <conditionalFormatting sqref="Z11">
    <cfRule type="cellIs" dxfId="26919" priority="155531" stopIfTrue="1" operator="greaterThanOrEqual">
      <formula>0.5</formula>
    </cfRule>
  </conditionalFormatting>
  <conditionalFormatting sqref="Z12">
    <cfRule type="cellIs" dxfId="26918" priority="155532" stopIfTrue="1" operator="equal">
      <formula>-1</formula>
    </cfRule>
  </conditionalFormatting>
  <conditionalFormatting sqref="Z12">
    <cfRule type="cellIs" dxfId="26917" priority="155533" stopIfTrue="1" operator="lessThan">
      <formula>0.5</formula>
    </cfRule>
  </conditionalFormatting>
  <conditionalFormatting sqref="Z12">
    <cfRule type="cellIs" dxfId="26916" priority="155534" stopIfTrue="1" operator="greaterThanOrEqual">
      <formula>0.5</formula>
    </cfRule>
  </conditionalFormatting>
  <conditionalFormatting sqref="Z13">
    <cfRule type="cellIs" dxfId="26915" priority="155535" stopIfTrue="1" operator="equal">
      <formula>-1</formula>
    </cfRule>
  </conditionalFormatting>
  <conditionalFormatting sqref="Z13">
    <cfRule type="cellIs" dxfId="26914" priority="155536" stopIfTrue="1" operator="lessThan">
      <formula>0.5</formula>
    </cfRule>
  </conditionalFormatting>
  <conditionalFormatting sqref="Z13">
    <cfRule type="cellIs" dxfId="26913" priority="155537" stopIfTrue="1" operator="greaterThanOrEqual">
      <formula>0.5</formula>
    </cfRule>
  </conditionalFormatting>
  <conditionalFormatting sqref="Z14">
    <cfRule type="cellIs" dxfId="26912" priority="155538" stopIfTrue="1" operator="equal">
      <formula>-1</formula>
    </cfRule>
  </conditionalFormatting>
  <conditionalFormatting sqref="Z14">
    <cfRule type="cellIs" dxfId="26911" priority="155539" stopIfTrue="1" operator="lessThan">
      <formula>0.5</formula>
    </cfRule>
  </conditionalFormatting>
  <conditionalFormatting sqref="Z14">
    <cfRule type="cellIs" dxfId="26910" priority="155540" stopIfTrue="1" operator="greaterThanOrEqual">
      <formula>0.5</formula>
    </cfRule>
  </conditionalFormatting>
  <conditionalFormatting sqref="Z15">
    <cfRule type="cellIs" dxfId="26909" priority="155541" stopIfTrue="1" operator="equal">
      <formula>-1</formula>
    </cfRule>
  </conditionalFormatting>
  <conditionalFormatting sqref="Z15">
    <cfRule type="cellIs" dxfId="26908" priority="155542" stopIfTrue="1" operator="lessThan">
      <formula>0.5</formula>
    </cfRule>
  </conditionalFormatting>
  <conditionalFormatting sqref="Z15">
    <cfRule type="cellIs" dxfId="26907" priority="155543" stopIfTrue="1" operator="greaterThanOrEqual">
      <formula>0.5</formula>
    </cfRule>
  </conditionalFormatting>
  <conditionalFormatting sqref="AB8">
    <cfRule type="cellIs" dxfId="26906" priority="155544" stopIfTrue="1" operator="equal">
      <formula>-1</formula>
    </cfRule>
  </conditionalFormatting>
  <conditionalFormatting sqref="AB8">
    <cfRule type="cellIs" dxfId="26905" priority="155545" stopIfTrue="1" operator="lessThan">
      <formula>0.5</formula>
    </cfRule>
  </conditionalFormatting>
  <conditionalFormatting sqref="AB8">
    <cfRule type="cellIs" dxfId="26904" priority="155546" stopIfTrue="1" operator="greaterThanOrEqual">
      <formula>0.5</formula>
    </cfRule>
  </conditionalFormatting>
  <conditionalFormatting sqref="AB9">
    <cfRule type="cellIs" dxfId="26903" priority="155547" stopIfTrue="1" operator="equal">
      <formula>-1</formula>
    </cfRule>
  </conditionalFormatting>
  <conditionalFormatting sqref="AB9">
    <cfRule type="cellIs" dxfId="26902" priority="155548" stopIfTrue="1" operator="lessThan">
      <formula>0.5</formula>
    </cfRule>
  </conditionalFormatting>
  <conditionalFormatting sqref="AB9">
    <cfRule type="cellIs" dxfId="26901" priority="155549" stopIfTrue="1" operator="greaterThanOrEqual">
      <formula>0.5</formula>
    </cfRule>
  </conditionalFormatting>
  <conditionalFormatting sqref="AB10">
    <cfRule type="cellIs" dxfId="26900" priority="155550" stopIfTrue="1" operator="equal">
      <formula>-1</formula>
    </cfRule>
  </conditionalFormatting>
  <conditionalFormatting sqref="AB10">
    <cfRule type="cellIs" dxfId="26899" priority="155551" stopIfTrue="1" operator="lessThan">
      <formula>0.5</formula>
    </cfRule>
  </conditionalFormatting>
  <conditionalFormatting sqref="AB10">
    <cfRule type="cellIs" dxfId="26898" priority="155552" stopIfTrue="1" operator="greaterThanOrEqual">
      <formula>0.5</formula>
    </cfRule>
  </conditionalFormatting>
  <conditionalFormatting sqref="AB11">
    <cfRule type="cellIs" dxfId="26897" priority="155553" stopIfTrue="1" operator="equal">
      <formula>-1</formula>
    </cfRule>
  </conditionalFormatting>
  <conditionalFormatting sqref="AB11">
    <cfRule type="cellIs" dxfId="26896" priority="155554" stopIfTrue="1" operator="lessThan">
      <formula>0.5</formula>
    </cfRule>
  </conditionalFormatting>
  <conditionalFormatting sqref="AB11">
    <cfRule type="cellIs" dxfId="26895" priority="155555" stopIfTrue="1" operator="greaterThanOrEqual">
      <formula>0.5</formula>
    </cfRule>
  </conditionalFormatting>
  <conditionalFormatting sqref="AB12">
    <cfRule type="cellIs" dxfId="26894" priority="155556" stopIfTrue="1" operator="equal">
      <formula>-1</formula>
    </cfRule>
  </conditionalFormatting>
  <conditionalFormatting sqref="AB12">
    <cfRule type="cellIs" dxfId="26893" priority="155557" stopIfTrue="1" operator="lessThan">
      <formula>0.5</formula>
    </cfRule>
  </conditionalFormatting>
  <conditionalFormatting sqref="AB12">
    <cfRule type="cellIs" dxfId="26892" priority="155558" stopIfTrue="1" operator="greaterThanOrEqual">
      <formula>0.5</formula>
    </cfRule>
  </conditionalFormatting>
  <conditionalFormatting sqref="AB13">
    <cfRule type="cellIs" dxfId="26891" priority="155559" stopIfTrue="1" operator="equal">
      <formula>-1</formula>
    </cfRule>
  </conditionalFormatting>
  <conditionalFormatting sqref="AB13">
    <cfRule type="cellIs" dxfId="26890" priority="155560" stopIfTrue="1" operator="lessThan">
      <formula>0.5</formula>
    </cfRule>
  </conditionalFormatting>
  <conditionalFormatting sqref="AB13">
    <cfRule type="cellIs" dxfId="26889" priority="155561" stopIfTrue="1" operator="greaterThanOrEqual">
      <formula>0.5</formula>
    </cfRule>
  </conditionalFormatting>
  <conditionalFormatting sqref="AB14">
    <cfRule type="cellIs" dxfId="26888" priority="155562" stopIfTrue="1" operator="equal">
      <formula>-1</formula>
    </cfRule>
  </conditionalFormatting>
  <conditionalFormatting sqref="AB14">
    <cfRule type="cellIs" dxfId="26887" priority="155563" stopIfTrue="1" operator="lessThan">
      <formula>0.5</formula>
    </cfRule>
  </conditionalFormatting>
  <conditionalFormatting sqref="AB14">
    <cfRule type="cellIs" dxfId="26886" priority="155564" stopIfTrue="1" operator="greaterThanOrEqual">
      <formula>0.5</formula>
    </cfRule>
  </conditionalFormatting>
  <conditionalFormatting sqref="AB15">
    <cfRule type="cellIs" dxfId="26885" priority="155565" stopIfTrue="1" operator="equal">
      <formula>-1</formula>
    </cfRule>
  </conditionalFormatting>
  <conditionalFormatting sqref="AB15">
    <cfRule type="cellIs" dxfId="26884" priority="155566" stopIfTrue="1" operator="lessThan">
      <formula>0.5</formula>
    </cfRule>
  </conditionalFormatting>
  <conditionalFormatting sqref="AB15">
    <cfRule type="cellIs" dxfId="26883" priority="155567" stopIfTrue="1" operator="greaterThanOrEqual">
      <formula>0.5</formula>
    </cfRule>
  </conditionalFormatting>
  <conditionalFormatting sqref="AD8">
    <cfRule type="cellIs" dxfId="26882" priority="155568" stopIfTrue="1" operator="equal">
      <formula>-1</formula>
    </cfRule>
  </conditionalFormatting>
  <conditionalFormatting sqref="AD8">
    <cfRule type="cellIs" dxfId="26881" priority="155569" stopIfTrue="1" operator="lessThan">
      <formula>0.5</formula>
    </cfRule>
  </conditionalFormatting>
  <conditionalFormatting sqref="AD8">
    <cfRule type="cellIs" dxfId="26880" priority="155570" stopIfTrue="1" operator="greaterThanOrEqual">
      <formula>0.5</formula>
    </cfRule>
  </conditionalFormatting>
  <conditionalFormatting sqref="AD9">
    <cfRule type="cellIs" dxfId="26879" priority="155571" stopIfTrue="1" operator="equal">
      <formula>-1</formula>
    </cfRule>
  </conditionalFormatting>
  <conditionalFormatting sqref="AD9">
    <cfRule type="cellIs" dxfId="26878" priority="155572" stopIfTrue="1" operator="lessThan">
      <formula>0.5</formula>
    </cfRule>
  </conditionalFormatting>
  <conditionalFormatting sqref="AD9">
    <cfRule type="cellIs" dxfId="26877" priority="155573" stopIfTrue="1" operator="greaterThanOrEqual">
      <formula>0.5</formula>
    </cfRule>
  </conditionalFormatting>
  <conditionalFormatting sqref="AD10">
    <cfRule type="cellIs" dxfId="26876" priority="155574" stopIfTrue="1" operator="equal">
      <formula>-1</formula>
    </cfRule>
  </conditionalFormatting>
  <conditionalFormatting sqref="AD10">
    <cfRule type="cellIs" dxfId="26875" priority="155575" stopIfTrue="1" operator="lessThan">
      <formula>0.5</formula>
    </cfRule>
  </conditionalFormatting>
  <conditionalFormatting sqref="AD10">
    <cfRule type="cellIs" dxfId="26874" priority="155576" stopIfTrue="1" operator="greaterThanOrEqual">
      <formula>0.5</formula>
    </cfRule>
  </conditionalFormatting>
  <conditionalFormatting sqref="AD11">
    <cfRule type="cellIs" dxfId="26873" priority="155577" stopIfTrue="1" operator="equal">
      <formula>-1</formula>
    </cfRule>
  </conditionalFormatting>
  <conditionalFormatting sqref="AD11">
    <cfRule type="cellIs" dxfId="26872" priority="155578" stopIfTrue="1" operator="lessThan">
      <formula>0.5</formula>
    </cfRule>
  </conditionalFormatting>
  <conditionalFormatting sqref="AD11">
    <cfRule type="cellIs" dxfId="26871" priority="155579" stopIfTrue="1" operator="greaterThanOrEqual">
      <formula>0.5</formula>
    </cfRule>
  </conditionalFormatting>
  <conditionalFormatting sqref="AD12">
    <cfRule type="cellIs" dxfId="26870" priority="155580" stopIfTrue="1" operator="equal">
      <formula>-1</formula>
    </cfRule>
  </conditionalFormatting>
  <conditionalFormatting sqref="AD12">
    <cfRule type="cellIs" dxfId="26869" priority="155581" stopIfTrue="1" operator="lessThan">
      <formula>0.5</formula>
    </cfRule>
  </conditionalFormatting>
  <conditionalFormatting sqref="AD12">
    <cfRule type="cellIs" dxfId="26868" priority="155582" stopIfTrue="1" operator="greaterThanOrEqual">
      <formula>0.5</formula>
    </cfRule>
  </conditionalFormatting>
  <conditionalFormatting sqref="AD13">
    <cfRule type="cellIs" dxfId="26867" priority="155583" stopIfTrue="1" operator="equal">
      <formula>-1</formula>
    </cfRule>
  </conditionalFormatting>
  <conditionalFormatting sqref="AD13">
    <cfRule type="cellIs" dxfId="26866" priority="155584" stopIfTrue="1" operator="lessThan">
      <formula>0.5</formula>
    </cfRule>
  </conditionalFormatting>
  <conditionalFormatting sqref="AD13">
    <cfRule type="cellIs" dxfId="26865" priority="155585" stopIfTrue="1" operator="greaterThanOrEqual">
      <formula>0.5</formula>
    </cfRule>
  </conditionalFormatting>
  <conditionalFormatting sqref="AD14">
    <cfRule type="cellIs" dxfId="26864" priority="155586" stopIfTrue="1" operator="equal">
      <formula>-1</formula>
    </cfRule>
  </conditionalFormatting>
  <conditionalFormatting sqref="AD14">
    <cfRule type="cellIs" dxfId="26863" priority="155587" stopIfTrue="1" operator="lessThan">
      <formula>0.5</formula>
    </cfRule>
  </conditionalFormatting>
  <conditionalFormatting sqref="AD14">
    <cfRule type="cellIs" dxfId="26862" priority="155588" stopIfTrue="1" operator="greaterThanOrEqual">
      <formula>0.5</formula>
    </cfRule>
  </conditionalFormatting>
  <conditionalFormatting sqref="AD15">
    <cfRule type="cellIs" dxfId="26861" priority="155589" stopIfTrue="1" operator="equal">
      <formula>-1</formula>
    </cfRule>
  </conditionalFormatting>
  <conditionalFormatting sqref="AD15">
    <cfRule type="cellIs" dxfId="26860" priority="155590" stopIfTrue="1" operator="lessThan">
      <formula>0.5</formula>
    </cfRule>
  </conditionalFormatting>
  <conditionalFormatting sqref="AD15">
    <cfRule type="cellIs" dxfId="26859" priority="155591" stopIfTrue="1" operator="greaterThanOrEqual">
      <formula>0.5</formula>
    </cfRule>
  </conditionalFormatting>
  <conditionalFormatting sqref="AF8">
    <cfRule type="cellIs" dxfId="26858" priority="155592" stopIfTrue="1" operator="equal">
      <formula>-1</formula>
    </cfRule>
  </conditionalFormatting>
  <conditionalFormatting sqref="AF8">
    <cfRule type="cellIs" dxfId="26857" priority="155593" stopIfTrue="1" operator="lessThan">
      <formula>0.5</formula>
    </cfRule>
  </conditionalFormatting>
  <conditionalFormatting sqref="AF8">
    <cfRule type="cellIs" dxfId="26856" priority="155594" stopIfTrue="1" operator="greaterThanOrEqual">
      <formula>0.5</formula>
    </cfRule>
  </conditionalFormatting>
  <conditionalFormatting sqref="AF9">
    <cfRule type="cellIs" dxfId="26855" priority="155595" stopIfTrue="1" operator="equal">
      <formula>-1</formula>
    </cfRule>
  </conditionalFormatting>
  <conditionalFormatting sqref="AF9">
    <cfRule type="cellIs" dxfId="26854" priority="155596" stopIfTrue="1" operator="lessThan">
      <formula>0.5</formula>
    </cfRule>
  </conditionalFormatting>
  <conditionalFormatting sqref="AF9">
    <cfRule type="cellIs" dxfId="26853" priority="155597" stopIfTrue="1" operator="greaterThanOrEqual">
      <formula>0.5</formula>
    </cfRule>
  </conditionalFormatting>
  <conditionalFormatting sqref="AF10">
    <cfRule type="cellIs" dxfId="26852" priority="155598" stopIfTrue="1" operator="equal">
      <formula>-1</formula>
    </cfRule>
  </conditionalFormatting>
  <conditionalFormatting sqref="AF10">
    <cfRule type="cellIs" dxfId="26851" priority="155599" stopIfTrue="1" operator="lessThan">
      <formula>0.5</formula>
    </cfRule>
  </conditionalFormatting>
  <conditionalFormatting sqref="AF10">
    <cfRule type="cellIs" dxfId="26850" priority="155600" stopIfTrue="1" operator="greaterThanOrEqual">
      <formula>0.5</formula>
    </cfRule>
  </conditionalFormatting>
  <conditionalFormatting sqref="AF11">
    <cfRule type="cellIs" dxfId="26849" priority="155601" stopIfTrue="1" operator="equal">
      <formula>-1</formula>
    </cfRule>
  </conditionalFormatting>
  <conditionalFormatting sqref="AF11">
    <cfRule type="cellIs" dxfId="26848" priority="155602" stopIfTrue="1" operator="lessThan">
      <formula>0.5</formula>
    </cfRule>
  </conditionalFormatting>
  <conditionalFormatting sqref="AF11">
    <cfRule type="cellIs" dxfId="26847" priority="155603" stopIfTrue="1" operator="greaterThanOrEqual">
      <formula>0.5</formula>
    </cfRule>
  </conditionalFormatting>
  <conditionalFormatting sqref="AF12">
    <cfRule type="cellIs" dxfId="26846" priority="155604" stopIfTrue="1" operator="equal">
      <formula>-1</formula>
    </cfRule>
  </conditionalFormatting>
  <conditionalFormatting sqref="AF12">
    <cfRule type="cellIs" dxfId="26845" priority="155605" stopIfTrue="1" operator="lessThan">
      <formula>0.5</formula>
    </cfRule>
  </conditionalFormatting>
  <conditionalFormatting sqref="AF12">
    <cfRule type="cellIs" dxfId="26844" priority="155606" stopIfTrue="1" operator="greaterThanOrEqual">
      <formula>0.5</formula>
    </cfRule>
  </conditionalFormatting>
  <conditionalFormatting sqref="AF13">
    <cfRule type="cellIs" dxfId="26843" priority="155607" stopIfTrue="1" operator="equal">
      <formula>-1</formula>
    </cfRule>
  </conditionalFormatting>
  <conditionalFormatting sqref="AF13">
    <cfRule type="cellIs" dxfId="26842" priority="155608" stopIfTrue="1" operator="lessThan">
      <formula>0.5</formula>
    </cfRule>
  </conditionalFormatting>
  <conditionalFormatting sqref="AF13">
    <cfRule type="cellIs" dxfId="26841" priority="155609" stopIfTrue="1" operator="greaterThanOrEqual">
      <formula>0.5</formula>
    </cfRule>
  </conditionalFormatting>
  <conditionalFormatting sqref="AF14">
    <cfRule type="cellIs" dxfId="26840" priority="155610" stopIfTrue="1" operator="equal">
      <formula>-1</formula>
    </cfRule>
  </conditionalFormatting>
  <conditionalFormatting sqref="AF14">
    <cfRule type="cellIs" dxfId="26839" priority="155611" stopIfTrue="1" operator="lessThan">
      <formula>0.5</formula>
    </cfRule>
  </conditionalFormatting>
  <conditionalFormatting sqref="AF14">
    <cfRule type="cellIs" dxfId="26838" priority="155612" stopIfTrue="1" operator="greaterThanOrEqual">
      <formula>0.5</formula>
    </cfRule>
  </conditionalFormatting>
  <conditionalFormatting sqref="AF15">
    <cfRule type="cellIs" dxfId="26837" priority="155613" stopIfTrue="1" operator="equal">
      <formula>-1</formula>
    </cfRule>
  </conditionalFormatting>
  <conditionalFormatting sqref="AF15">
    <cfRule type="cellIs" dxfId="26836" priority="155614" stopIfTrue="1" operator="lessThan">
      <formula>0.5</formula>
    </cfRule>
  </conditionalFormatting>
  <conditionalFormatting sqref="AF15">
    <cfRule type="cellIs" dxfId="26835" priority="155615" stopIfTrue="1" operator="greaterThanOrEqual">
      <formula>0.5</formula>
    </cfRule>
  </conditionalFormatting>
  <conditionalFormatting sqref="AH8">
    <cfRule type="cellIs" dxfId="26834" priority="155616" stopIfTrue="1" operator="equal">
      <formula>-1</formula>
    </cfRule>
  </conditionalFormatting>
  <conditionalFormatting sqref="AH8">
    <cfRule type="cellIs" dxfId="26833" priority="155617" stopIfTrue="1" operator="lessThan">
      <formula>0.5</formula>
    </cfRule>
  </conditionalFormatting>
  <conditionalFormatting sqref="AH8">
    <cfRule type="cellIs" dxfId="26832" priority="155618" stopIfTrue="1" operator="greaterThanOrEqual">
      <formula>0.5</formula>
    </cfRule>
  </conditionalFormatting>
  <conditionalFormatting sqref="AH9">
    <cfRule type="cellIs" dxfId="26831" priority="155619" stopIfTrue="1" operator="equal">
      <formula>-1</formula>
    </cfRule>
  </conditionalFormatting>
  <conditionalFormatting sqref="AH9">
    <cfRule type="cellIs" dxfId="26830" priority="155620" stopIfTrue="1" operator="lessThan">
      <formula>0.5</formula>
    </cfRule>
  </conditionalFormatting>
  <conditionalFormatting sqref="AH9">
    <cfRule type="cellIs" dxfId="26829" priority="155621" stopIfTrue="1" operator="greaterThanOrEqual">
      <formula>0.5</formula>
    </cfRule>
  </conditionalFormatting>
  <conditionalFormatting sqref="AH10">
    <cfRule type="cellIs" dxfId="26828" priority="155622" stopIfTrue="1" operator="equal">
      <formula>-1</formula>
    </cfRule>
  </conditionalFormatting>
  <conditionalFormatting sqref="AH10">
    <cfRule type="cellIs" dxfId="26827" priority="155623" stopIfTrue="1" operator="lessThan">
      <formula>0.5</formula>
    </cfRule>
  </conditionalFormatting>
  <conditionalFormatting sqref="AH10">
    <cfRule type="cellIs" dxfId="26826" priority="155624" stopIfTrue="1" operator="greaterThanOrEqual">
      <formula>0.5</formula>
    </cfRule>
  </conditionalFormatting>
  <conditionalFormatting sqref="AH11">
    <cfRule type="cellIs" dxfId="26825" priority="155625" stopIfTrue="1" operator="equal">
      <formula>-1</formula>
    </cfRule>
  </conditionalFormatting>
  <conditionalFormatting sqref="AH11">
    <cfRule type="cellIs" dxfId="26824" priority="155626" stopIfTrue="1" operator="lessThan">
      <formula>0.5</formula>
    </cfRule>
  </conditionalFormatting>
  <conditionalFormatting sqref="AH11">
    <cfRule type="cellIs" dxfId="26823" priority="155627" stopIfTrue="1" operator="greaterThanOrEqual">
      <formula>0.5</formula>
    </cfRule>
  </conditionalFormatting>
  <conditionalFormatting sqref="AH12">
    <cfRule type="cellIs" dxfId="26822" priority="155628" stopIfTrue="1" operator="equal">
      <formula>-1</formula>
    </cfRule>
  </conditionalFormatting>
  <conditionalFormatting sqref="AH12">
    <cfRule type="cellIs" dxfId="26821" priority="155629" stopIfTrue="1" operator="lessThan">
      <formula>0.5</formula>
    </cfRule>
  </conditionalFormatting>
  <conditionalFormatting sqref="AH12">
    <cfRule type="cellIs" dxfId="26820" priority="155630" stopIfTrue="1" operator="greaterThanOrEqual">
      <formula>0.5</formula>
    </cfRule>
  </conditionalFormatting>
  <conditionalFormatting sqref="AH13">
    <cfRule type="cellIs" dxfId="26819" priority="155631" stopIfTrue="1" operator="equal">
      <formula>-1</formula>
    </cfRule>
  </conditionalFormatting>
  <conditionalFormatting sqref="AH13">
    <cfRule type="cellIs" dxfId="26818" priority="155632" stopIfTrue="1" operator="lessThan">
      <formula>0.5</formula>
    </cfRule>
  </conditionalFormatting>
  <conditionalFormatting sqref="AH13">
    <cfRule type="cellIs" dxfId="26817" priority="155633" stopIfTrue="1" operator="greaterThanOrEqual">
      <formula>0.5</formula>
    </cfRule>
  </conditionalFormatting>
  <conditionalFormatting sqref="AH14">
    <cfRule type="cellIs" dxfId="26816" priority="155634" stopIfTrue="1" operator="equal">
      <formula>-1</formula>
    </cfRule>
  </conditionalFormatting>
  <conditionalFormatting sqref="AH14">
    <cfRule type="cellIs" dxfId="26815" priority="155635" stopIfTrue="1" operator="lessThan">
      <formula>0.5</formula>
    </cfRule>
  </conditionalFormatting>
  <conditionalFormatting sqref="AH14">
    <cfRule type="cellIs" dxfId="26814" priority="155636" stopIfTrue="1" operator="greaterThanOrEqual">
      <formula>0.5</formula>
    </cfRule>
  </conditionalFormatting>
  <conditionalFormatting sqref="AH15">
    <cfRule type="cellIs" dxfId="26813" priority="155637" stopIfTrue="1" operator="equal">
      <formula>-1</formula>
    </cfRule>
  </conditionalFormatting>
  <conditionalFormatting sqref="AH15">
    <cfRule type="cellIs" dxfId="26812" priority="155638" stopIfTrue="1" operator="lessThan">
      <formula>0.5</formula>
    </cfRule>
  </conditionalFormatting>
  <conditionalFormatting sqref="AH15">
    <cfRule type="cellIs" dxfId="26811" priority="155639" stopIfTrue="1" operator="greaterThanOrEqual">
      <formula>0.5</formula>
    </cfRule>
  </conditionalFormatting>
  <conditionalFormatting sqref="AJ8">
    <cfRule type="cellIs" dxfId="26810" priority="155640" stopIfTrue="1" operator="equal">
      <formula>-1</formula>
    </cfRule>
  </conditionalFormatting>
  <conditionalFormatting sqref="AJ8">
    <cfRule type="cellIs" dxfId="26809" priority="155641" stopIfTrue="1" operator="lessThan">
      <formula>0.5</formula>
    </cfRule>
  </conditionalFormatting>
  <conditionalFormatting sqref="AJ8">
    <cfRule type="cellIs" dxfId="26808" priority="155642" stopIfTrue="1" operator="greaterThanOrEqual">
      <formula>0.5</formula>
    </cfRule>
  </conditionalFormatting>
  <conditionalFormatting sqref="AJ9">
    <cfRule type="cellIs" dxfId="26807" priority="155643" stopIfTrue="1" operator="equal">
      <formula>-1</formula>
    </cfRule>
  </conditionalFormatting>
  <conditionalFormatting sqref="AJ9">
    <cfRule type="cellIs" dxfId="26806" priority="155644" stopIfTrue="1" operator="lessThan">
      <formula>0.5</formula>
    </cfRule>
  </conditionalFormatting>
  <conditionalFormatting sqref="AJ9">
    <cfRule type="cellIs" dxfId="26805" priority="155645" stopIfTrue="1" operator="greaterThanOrEqual">
      <formula>0.5</formula>
    </cfRule>
  </conditionalFormatting>
  <conditionalFormatting sqref="AJ10">
    <cfRule type="cellIs" dxfId="26804" priority="155646" stopIfTrue="1" operator="equal">
      <formula>-1</formula>
    </cfRule>
  </conditionalFormatting>
  <conditionalFormatting sqref="AJ10">
    <cfRule type="cellIs" dxfId="26803" priority="155647" stopIfTrue="1" operator="lessThan">
      <formula>0.5</formula>
    </cfRule>
  </conditionalFormatting>
  <conditionalFormatting sqref="AJ10">
    <cfRule type="cellIs" dxfId="26802" priority="155648" stopIfTrue="1" operator="greaterThanOrEqual">
      <formula>0.5</formula>
    </cfRule>
  </conditionalFormatting>
  <conditionalFormatting sqref="AJ11">
    <cfRule type="cellIs" dxfId="26801" priority="155649" stopIfTrue="1" operator="equal">
      <formula>-1</formula>
    </cfRule>
  </conditionalFormatting>
  <conditionalFormatting sqref="AJ11">
    <cfRule type="cellIs" dxfId="26800" priority="155650" stopIfTrue="1" operator="lessThan">
      <formula>0.5</formula>
    </cfRule>
  </conditionalFormatting>
  <conditionalFormatting sqref="AJ11">
    <cfRule type="cellIs" dxfId="26799" priority="155651" stopIfTrue="1" operator="greaterThanOrEqual">
      <formula>0.5</formula>
    </cfRule>
  </conditionalFormatting>
  <conditionalFormatting sqref="AJ12">
    <cfRule type="cellIs" dxfId="26798" priority="155652" stopIfTrue="1" operator="equal">
      <formula>-1</formula>
    </cfRule>
  </conditionalFormatting>
  <conditionalFormatting sqref="AJ12">
    <cfRule type="cellIs" dxfId="26797" priority="155653" stopIfTrue="1" operator="lessThan">
      <formula>0.5</formula>
    </cfRule>
  </conditionalFormatting>
  <conditionalFormatting sqref="AJ12">
    <cfRule type="cellIs" dxfId="26796" priority="155654" stopIfTrue="1" operator="greaterThanOrEqual">
      <formula>0.5</formula>
    </cfRule>
  </conditionalFormatting>
  <conditionalFormatting sqref="AJ13">
    <cfRule type="cellIs" dxfId="26795" priority="155655" stopIfTrue="1" operator="equal">
      <formula>-1</formula>
    </cfRule>
  </conditionalFormatting>
  <conditionalFormatting sqref="AJ13">
    <cfRule type="cellIs" dxfId="26794" priority="155656" stopIfTrue="1" operator="lessThan">
      <formula>0.5</formula>
    </cfRule>
  </conditionalFormatting>
  <conditionalFormatting sqref="AJ13">
    <cfRule type="cellIs" dxfId="26793" priority="155657" stopIfTrue="1" operator="greaterThanOrEqual">
      <formula>0.5</formula>
    </cfRule>
  </conditionalFormatting>
  <conditionalFormatting sqref="AJ14">
    <cfRule type="cellIs" dxfId="26792" priority="155658" stopIfTrue="1" operator="equal">
      <formula>-1</formula>
    </cfRule>
  </conditionalFormatting>
  <conditionalFormatting sqref="AJ14">
    <cfRule type="cellIs" dxfId="26791" priority="155659" stopIfTrue="1" operator="lessThan">
      <formula>0.5</formula>
    </cfRule>
  </conditionalFormatting>
  <conditionalFormatting sqref="AJ14">
    <cfRule type="cellIs" dxfId="26790" priority="155660" stopIfTrue="1" operator="greaterThanOrEqual">
      <formula>0.5</formula>
    </cfRule>
  </conditionalFormatting>
  <conditionalFormatting sqref="AJ15">
    <cfRule type="cellIs" dxfId="26789" priority="155661" stopIfTrue="1" operator="equal">
      <formula>-1</formula>
    </cfRule>
  </conditionalFormatting>
  <conditionalFormatting sqref="AJ15">
    <cfRule type="cellIs" dxfId="26788" priority="155662" stopIfTrue="1" operator="lessThan">
      <formula>0.5</formula>
    </cfRule>
  </conditionalFormatting>
  <conditionalFormatting sqref="AJ15">
    <cfRule type="cellIs" dxfId="26787" priority="155663" stopIfTrue="1" operator="greaterThanOrEqual">
      <formula>0.5</formula>
    </cfRule>
  </conditionalFormatting>
  <conditionalFormatting sqref="AL8">
    <cfRule type="cellIs" dxfId="26786" priority="155664" stopIfTrue="1" operator="equal">
      <formula>-1</formula>
    </cfRule>
  </conditionalFormatting>
  <conditionalFormatting sqref="AL8">
    <cfRule type="cellIs" dxfId="26785" priority="155665" stopIfTrue="1" operator="lessThan">
      <formula>0.5</formula>
    </cfRule>
  </conditionalFormatting>
  <conditionalFormatting sqref="AL8">
    <cfRule type="cellIs" dxfId="26784" priority="155666" stopIfTrue="1" operator="greaterThanOrEqual">
      <formula>0.5</formula>
    </cfRule>
  </conditionalFormatting>
  <conditionalFormatting sqref="AL9">
    <cfRule type="cellIs" dxfId="26783" priority="155667" stopIfTrue="1" operator="equal">
      <formula>-1</formula>
    </cfRule>
  </conditionalFormatting>
  <conditionalFormatting sqref="AL9">
    <cfRule type="cellIs" dxfId="26782" priority="155668" stopIfTrue="1" operator="lessThan">
      <formula>0.5</formula>
    </cfRule>
  </conditionalFormatting>
  <conditionalFormatting sqref="AL9">
    <cfRule type="cellIs" dxfId="26781" priority="155669" stopIfTrue="1" operator="greaterThanOrEqual">
      <formula>0.5</formula>
    </cfRule>
  </conditionalFormatting>
  <conditionalFormatting sqref="AL10">
    <cfRule type="cellIs" dxfId="26780" priority="155670" stopIfTrue="1" operator="equal">
      <formula>-1</formula>
    </cfRule>
  </conditionalFormatting>
  <conditionalFormatting sqref="AL10">
    <cfRule type="cellIs" dxfId="26779" priority="155671" stopIfTrue="1" operator="lessThan">
      <formula>0.5</formula>
    </cfRule>
  </conditionalFormatting>
  <conditionalFormatting sqref="AL10">
    <cfRule type="cellIs" dxfId="26778" priority="155672" stopIfTrue="1" operator="greaterThanOrEqual">
      <formula>0.5</formula>
    </cfRule>
  </conditionalFormatting>
  <conditionalFormatting sqref="AL11">
    <cfRule type="cellIs" dxfId="26777" priority="155673" stopIfTrue="1" operator="equal">
      <formula>-1</formula>
    </cfRule>
  </conditionalFormatting>
  <conditionalFormatting sqref="AL11">
    <cfRule type="cellIs" dxfId="26776" priority="155674" stopIfTrue="1" operator="lessThan">
      <formula>0.5</formula>
    </cfRule>
  </conditionalFormatting>
  <conditionalFormatting sqref="AL11">
    <cfRule type="cellIs" dxfId="26775" priority="155675" stopIfTrue="1" operator="greaterThanOrEqual">
      <formula>0.5</formula>
    </cfRule>
  </conditionalFormatting>
  <conditionalFormatting sqref="AL12">
    <cfRule type="cellIs" dxfId="26774" priority="155676" stopIfTrue="1" operator="equal">
      <formula>-1</formula>
    </cfRule>
  </conditionalFormatting>
  <conditionalFormatting sqref="AL12">
    <cfRule type="cellIs" dxfId="26773" priority="155677" stopIfTrue="1" operator="lessThan">
      <formula>0.5</formula>
    </cfRule>
  </conditionalFormatting>
  <conditionalFormatting sqref="AL12">
    <cfRule type="cellIs" dxfId="26772" priority="155678" stopIfTrue="1" operator="greaterThanOrEqual">
      <formula>0.5</formula>
    </cfRule>
  </conditionalFormatting>
  <conditionalFormatting sqref="AL13">
    <cfRule type="cellIs" dxfId="26771" priority="155679" stopIfTrue="1" operator="equal">
      <formula>-1</formula>
    </cfRule>
  </conditionalFormatting>
  <conditionalFormatting sqref="AL13">
    <cfRule type="cellIs" dxfId="26770" priority="155680" stopIfTrue="1" operator="lessThan">
      <formula>0.5</formula>
    </cfRule>
  </conditionalFormatting>
  <conditionalFormatting sqref="AL13">
    <cfRule type="cellIs" dxfId="26769" priority="155681" stopIfTrue="1" operator="greaterThanOrEqual">
      <formula>0.5</formula>
    </cfRule>
  </conditionalFormatting>
  <conditionalFormatting sqref="AL14">
    <cfRule type="cellIs" dxfId="26768" priority="155682" stopIfTrue="1" operator="equal">
      <formula>-1</formula>
    </cfRule>
  </conditionalFormatting>
  <conditionalFormatting sqref="AL14">
    <cfRule type="cellIs" dxfId="26767" priority="155683" stopIfTrue="1" operator="lessThan">
      <formula>0.5</formula>
    </cfRule>
  </conditionalFormatting>
  <conditionalFormatting sqref="AL14">
    <cfRule type="cellIs" dxfId="26766" priority="155684" stopIfTrue="1" operator="greaterThanOrEqual">
      <formula>0.5</formula>
    </cfRule>
  </conditionalFormatting>
  <conditionalFormatting sqref="AL15">
    <cfRule type="cellIs" dxfId="26765" priority="155685" stopIfTrue="1" operator="equal">
      <formula>-1</formula>
    </cfRule>
  </conditionalFormatting>
  <conditionalFormatting sqref="AL15">
    <cfRule type="cellIs" dxfId="26764" priority="155686" stopIfTrue="1" operator="lessThan">
      <formula>0.5</formula>
    </cfRule>
  </conditionalFormatting>
  <conditionalFormatting sqref="AL15">
    <cfRule type="cellIs" dxfId="26763" priority="155687" stopIfTrue="1" operator="greaterThanOrEqual">
      <formula>0.5</formula>
    </cfRule>
  </conditionalFormatting>
  <conditionalFormatting sqref="AN8">
    <cfRule type="cellIs" dxfId="26762" priority="155688" stopIfTrue="1" operator="equal">
      <formula>-1</formula>
    </cfRule>
  </conditionalFormatting>
  <conditionalFormatting sqref="AN8">
    <cfRule type="cellIs" dxfId="26761" priority="155689" stopIfTrue="1" operator="lessThan">
      <formula>0.5</formula>
    </cfRule>
  </conditionalFormatting>
  <conditionalFormatting sqref="AN8">
    <cfRule type="cellIs" dxfId="26760" priority="155690" stopIfTrue="1" operator="greaterThanOrEqual">
      <formula>0.5</formula>
    </cfRule>
  </conditionalFormatting>
  <conditionalFormatting sqref="AN9">
    <cfRule type="cellIs" dxfId="26759" priority="155691" stopIfTrue="1" operator="equal">
      <formula>-1</formula>
    </cfRule>
  </conditionalFormatting>
  <conditionalFormatting sqref="AN9">
    <cfRule type="cellIs" dxfId="26758" priority="155692" stopIfTrue="1" operator="lessThan">
      <formula>0.5</formula>
    </cfRule>
  </conditionalFormatting>
  <conditionalFormatting sqref="AN9">
    <cfRule type="cellIs" dxfId="26757" priority="155693" stopIfTrue="1" operator="greaterThanOrEqual">
      <formula>0.5</formula>
    </cfRule>
  </conditionalFormatting>
  <conditionalFormatting sqref="AN10">
    <cfRule type="cellIs" dxfId="26756" priority="155694" stopIfTrue="1" operator="equal">
      <formula>-1</formula>
    </cfRule>
  </conditionalFormatting>
  <conditionalFormatting sqref="AN10">
    <cfRule type="cellIs" dxfId="26755" priority="155695" stopIfTrue="1" operator="lessThan">
      <formula>0.5</formula>
    </cfRule>
  </conditionalFormatting>
  <conditionalFormatting sqref="AN10">
    <cfRule type="cellIs" dxfId="26754" priority="155696" stopIfTrue="1" operator="greaterThanOrEqual">
      <formula>0.5</formula>
    </cfRule>
  </conditionalFormatting>
  <conditionalFormatting sqref="AN11">
    <cfRule type="cellIs" dxfId="26753" priority="155697" stopIfTrue="1" operator="equal">
      <formula>-1</formula>
    </cfRule>
  </conditionalFormatting>
  <conditionalFormatting sqref="AN11">
    <cfRule type="cellIs" dxfId="26752" priority="155698" stopIfTrue="1" operator="lessThan">
      <formula>0.5</formula>
    </cfRule>
  </conditionalFormatting>
  <conditionalFormatting sqref="AN11">
    <cfRule type="cellIs" dxfId="26751" priority="155699" stopIfTrue="1" operator="greaterThanOrEqual">
      <formula>0.5</formula>
    </cfRule>
  </conditionalFormatting>
  <conditionalFormatting sqref="AN12">
    <cfRule type="cellIs" dxfId="26750" priority="155700" stopIfTrue="1" operator="equal">
      <formula>-1</formula>
    </cfRule>
  </conditionalFormatting>
  <conditionalFormatting sqref="AN12">
    <cfRule type="cellIs" dxfId="26749" priority="155701" stopIfTrue="1" operator="lessThan">
      <formula>0.5</formula>
    </cfRule>
  </conditionalFormatting>
  <conditionalFormatting sqref="AN12">
    <cfRule type="cellIs" dxfId="26748" priority="155702" stopIfTrue="1" operator="greaterThanOrEqual">
      <formula>0.5</formula>
    </cfRule>
  </conditionalFormatting>
  <conditionalFormatting sqref="AN13">
    <cfRule type="cellIs" dxfId="26747" priority="155703" stopIfTrue="1" operator="equal">
      <formula>-1</formula>
    </cfRule>
  </conditionalFormatting>
  <conditionalFormatting sqref="AN13">
    <cfRule type="cellIs" dxfId="26746" priority="155704" stopIfTrue="1" operator="lessThan">
      <formula>0.5</formula>
    </cfRule>
  </conditionalFormatting>
  <conditionalFormatting sqref="AN13">
    <cfRule type="cellIs" dxfId="26745" priority="155705" stopIfTrue="1" operator="greaterThanOrEqual">
      <formula>0.5</formula>
    </cfRule>
  </conditionalFormatting>
  <conditionalFormatting sqref="AN14">
    <cfRule type="cellIs" dxfId="26744" priority="155706" stopIfTrue="1" operator="equal">
      <formula>-1</formula>
    </cfRule>
  </conditionalFormatting>
  <conditionalFormatting sqref="AN14">
    <cfRule type="cellIs" dxfId="26743" priority="155707" stopIfTrue="1" operator="lessThan">
      <formula>0.5</formula>
    </cfRule>
  </conditionalFormatting>
  <conditionalFormatting sqref="AN14">
    <cfRule type="cellIs" dxfId="26742" priority="155708" stopIfTrue="1" operator="greaterThanOrEqual">
      <formula>0.5</formula>
    </cfRule>
  </conditionalFormatting>
  <conditionalFormatting sqref="AN15">
    <cfRule type="cellIs" dxfId="26741" priority="155709" stopIfTrue="1" operator="equal">
      <formula>-1</formula>
    </cfRule>
  </conditionalFormatting>
  <conditionalFormatting sqref="AN15">
    <cfRule type="cellIs" dxfId="26740" priority="155710" stopIfTrue="1" operator="lessThan">
      <formula>0.5</formula>
    </cfRule>
  </conditionalFormatting>
  <conditionalFormatting sqref="AN15">
    <cfRule type="cellIs" dxfId="26739" priority="155711" stopIfTrue="1" operator="greaterThanOrEqual">
      <formula>0.5</formula>
    </cfRule>
  </conditionalFormatting>
  <conditionalFormatting sqref="AP8">
    <cfRule type="cellIs" dxfId="26738" priority="155712" stopIfTrue="1" operator="equal">
      <formula>-1</formula>
    </cfRule>
  </conditionalFormatting>
  <conditionalFormatting sqref="AP8">
    <cfRule type="cellIs" dxfId="26737" priority="155713" stopIfTrue="1" operator="lessThan">
      <formula>0.5</formula>
    </cfRule>
  </conditionalFormatting>
  <conditionalFormatting sqref="AP8">
    <cfRule type="cellIs" dxfId="26736" priority="155714" stopIfTrue="1" operator="greaterThanOrEqual">
      <formula>0.5</formula>
    </cfRule>
  </conditionalFormatting>
  <conditionalFormatting sqref="AP9">
    <cfRule type="cellIs" dxfId="26735" priority="155715" stopIfTrue="1" operator="equal">
      <formula>-1</formula>
    </cfRule>
  </conditionalFormatting>
  <conditionalFormatting sqref="AP9">
    <cfRule type="cellIs" dxfId="26734" priority="155716" stopIfTrue="1" operator="lessThan">
      <formula>0.5</formula>
    </cfRule>
  </conditionalFormatting>
  <conditionalFormatting sqref="AP9">
    <cfRule type="cellIs" dxfId="26733" priority="155717" stopIfTrue="1" operator="greaterThanOrEqual">
      <formula>0.5</formula>
    </cfRule>
  </conditionalFormatting>
  <conditionalFormatting sqref="AP10">
    <cfRule type="cellIs" dxfId="26732" priority="155718" stopIfTrue="1" operator="equal">
      <formula>-1</formula>
    </cfRule>
  </conditionalFormatting>
  <conditionalFormatting sqref="AP10">
    <cfRule type="cellIs" dxfId="26731" priority="155719" stopIfTrue="1" operator="lessThan">
      <formula>0.5</formula>
    </cfRule>
  </conditionalFormatting>
  <conditionalFormatting sqref="AP10">
    <cfRule type="cellIs" dxfId="26730" priority="155720" stopIfTrue="1" operator="greaterThanOrEqual">
      <formula>0.5</formula>
    </cfRule>
  </conditionalFormatting>
  <conditionalFormatting sqref="AP11">
    <cfRule type="cellIs" dxfId="26729" priority="155721" stopIfTrue="1" operator="equal">
      <formula>-1</formula>
    </cfRule>
  </conditionalFormatting>
  <conditionalFormatting sqref="AP11">
    <cfRule type="cellIs" dxfId="26728" priority="155722" stopIfTrue="1" operator="lessThan">
      <formula>0.5</formula>
    </cfRule>
  </conditionalFormatting>
  <conditionalFormatting sqref="AP11">
    <cfRule type="cellIs" dxfId="26727" priority="155723" stopIfTrue="1" operator="greaterThanOrEqual">
      <formula>0.5</formula>
    </cfRule>
  </conditionalFormatting>
  <conditionalFormatting sqref="AP12">
    <cfRule type="cellIs" dxfId="26726" priority="155724" stopIfTrue="1" operator="equal">
      <formula>-1</formula>
    </cfRule>
  </conditionalFormatting>
  <conditionalFormatting sqref="AP12">
    <cfRule type="cellIs" dxfId="26725" priority="155725" stopIfTrue="1" operator="lessThan">
      <formula>0.5</formula>
    </cfRule>
  </conditionalFormatting>
  <conditionalFormatting sqref="AP12">
    <cfRule type="cellIs" dxfId="26724" priority="155726" stopIfTrue="1" operator="greaterThanOrEqual">
      <formula>0.5</formula>
    </cfRule>
  </conditionalFormatting>
  <conditionalFormatting sqref="AP13">
    <cfRule type="cellIs" dxfId="26723" priority="155727" stopIfTrue="1" operator="equal">
      <formula>-1</formula>
    </cfRule>
  </conditionalFormatting>
  <conditionalFormatting sqref="AP13">
    <cfRule type="cellIs" dxfId="26722" priority="155728" stopIfTrue="1" operator="lessThan">
      <formula>0.5</formula>
    </cfRule>
  </conditionalFormatting>
  <conditionalFormatting sqref="AP13">
    <cfRule type="cellIs" dxfId="26721" priority="155729" stopIfTrue="1" operator="greaterThanOrEqual">
      <formula>0.5</formula>
    </cfRule>
  </conditionalFormatting>
  <conditionalFormatting sqref="AP14">
    <cfRule type="cellIs" dxfId="26720" priority="155730" stopIfTrue="1" operator="equal">
      <formula>-1</formula>
    </cfRule>
  </conditionalFormatting>
  <conditionalFormatting sqref="AP14">
    <cfRule type="cellIs" dxfId="26719" priority="155731" stopIfTrue="1" operator="lessThan">
      <formula>0.5</formula>
    </cfRule>
  </conditionalFormatting>
  <conditionalFormatting sqref="AP14">
    <cfRule type="cellIs" dxfId="26718" priority="155732" stopIfTrue="1" operator="greaterThanOrEqual">
      <formula>0.5</formula>
    </cfRule>
  </conditionalFormatting>
  <conditionalFormatting sqref="AP15">
    <cfRule type="cellIs" dxfId="26717" priority="155733" stopIfTrue="1" operator="equal">
      <formula>-1</formula>
    </cfRule>
  </conditionalFormatting>
  <conditionalFormatting sqref="AP15">
    <cfRule type="cellIs" dxfId="26716" priority="155734" stopIfTrue="1" operator="lessThan">
      <formula>0.5</formula>
    </cfRule>
  </conditionalFormatting>
  <conditionalFormatting sqref="AP15">
    <cfRule type="cellIs" dxfId="26715" priority="155735" stopIfTrue="1" operator="greaterThanOrEqual">
      <formula>0.5</formula>
    </cfRule>
  </conditionalFormatting>
  <conditionalFormatting sqref="AR8">
    <cfRule type="cellIs" dxfId="26714" priority="155736" stopIfTrue="1" operator="equal">
      <formula>-1</formula>
    </cfRule>
  </conditionalFormatting>
  <conditionalFormatting sqref="AR8">
    <cfRule type="cellIs" dxfId="26713" priority="155737" stopIfTrue="1" operator="lessThan">
      <formula>0.5</formula>
    </cfRule>
  </conditionalFormatting>
  <conditionalFormatting sqref="AR8">
    <cfRule type="cellIs" dxfId="26712" priority="155738" stopIfTrue="1" operator="greaterThanOrEqual">
      <formula>0.5</formula>
    </cfRule>
  </conditionalFormatting>
  <conditionalFormatting sqref="AR9">
    <cfRule type="cellIs" dxfId="26711" priority="155739" stopIfTrue="1" operator="equal">
      <formula>-1</formula>
    </cfRule>
  </conditionalFormatting>
  <conditionalFormatting sqref="AR9">
    <cfRule type="cellIs" dxfId="26710" priority="155740" stopIfTrue="1" operator="lessThan">
      <formula>0.5</formula>
    </cfRule>
  </conditionalFormatting>
  <conditionalFormatting sqref="AR9">
    <cfRule type="cellIs" dxfId="26709" priority="155741" stopIfTrue="1" operator="greaterThanOrEqual">
      <formula>0.5</formula>
    </cfRule>
  </conditionalFormatting>
  <conditionalFormatting sqref="AR10">
    <cfRule type="cellIs" dxfId="26708" priority="155742" stopIfTrue="1" operator="equal">
      <formula>-1</formula>
    </cfRule>
  </conditionalFormatting>
  <conditionalFormatting sqref="AR10">
    <cfRule type="cellIs" dxfId="26707" priority="155743" stopIfTrue="1" operator="lessThan">
      <formula>0.5</formula>
    </cfRule>
  </conditionalFormatting>
  <conditionalFormatting sqref="AR10">
    <cfRule type="cellIs" dxfId="26706" priority="155744" stopIfTrue="1" operator="greaterThanOrEqual">
      <formula>0.5</formula>
    </cfRule>
  </conditionalFormatting>
  <conditionalFormatting sqref="AR11">
    <cfRule type="cellIs" dxfId="26705" priority="155745" stopIfTrue="1" operator="equal">
      <formula>-1</formula>
    </cfRule>
  </conditionalFormatting>
  <conditionalFormatting sqref="AR11">
    <cfRule type="cellIs" dxfId="26704" priority="155746" stopIfTrue="1" operator="lessThan">
      <formula>0.5</formula>
    </cfRule>
  </conditionalFormatting>
  <conditionalFormatting sqref="AR11">
    <cfRule type="cellIs" dxfId="26703" priority="155747" stopIfTrue="1" operator="greaterThanOrEqual">
      <formula>0.5</formula>
    </cfRule>
  </conditionalFormatting>
  <conditionalFormatting sqref="AR12">
    <cfRule type="cellIs" dxfId="26702" priority="155748" stopIfTrue="1" operator="equal">
      <formula>-1</formula>
    </cfRule>
  </conditionalFormatting>
  <conditionalFormatting sqref="AR12">
    <cfRule type="cellIs" dxfId="26701" priority="155749" stopIfTrue="1" operator="lessThan">
      <formula>0.5</formula>
    </cfRule>
  </conditionalFormatting>
  <conditionalFormatting sqref="AR12">
    <cfRule type="cellIs" dxfId="26700" priority="155750" stopIfTrue="1" operator="greaterThanOrEqual">
      <formula>0.5</formula>
    </cfRule>
  </conditionalFormatting>
  <conditionalFormatting sqref="AR13">
    <cfRule type="cellIs" dxfId="26699" priority="155751" stopIfTrue="1" operator="equal">
      <formula>-1</formula>
    </cfRule>
  </conditionalFormatting>
  <conditionalFormatting sqref="AR13">
    <cfRule type="cellIs" dxfId="26698" priority="155752" stopIfTrue="1" operator="lessThan">
      <formula>0.5</formula>
    </cfRule>
  </conditionalFormatting>
  <conditionalFormatting sqref="AR13">
    <cfRule type="cellIs" dxfId="26697" priority="155753" stopIfTrue="1" operator="greaterThanOrEqual">
      <formula>0.5</formula>
    </cfRule>
  </conditionalFormatting>
  <conditionalFormatting sqref="AR14">
    <cfRule type="cellIs" dxfId="26696" priority="155754" stopIfTrue="1" operator="equal">
      <formula>-1</formula>
    </cfRule>
  </conditionalFormatting>
  <conditionalFormatting sqref="AR14">
    <cfRule type="cellIs" dxfId="26695" priority="155755" stopIfTrue="1" operator="lessThan">
      <formula>0.5</formula>
    </cfRule>
  </conditionalFormatting>
  <conditionalFormatting sqref="AR14">
    <cfRule type="cellIs" dxfId="26694" priority="155756" stopIfTrue="1" operator="greaterThanOrEqual">
      <formula>0.5</formula>
    </cfRule>
  </conditionalFormatting>
  <conditionalFormatting sqref="AR15">
    <cfRule type="cellIs" dxfId="26693" priority="155757" stopIfTrue="1" operator="equal">
      <formula>-1</formula>
    </cfRule>
  </conditionalFormatting>
  <conditionalFormatting sqref="AR15">
    <cfRule type="cellIs" dxfId="26692" priority="155758" stopIfTrue="1" operator="lessThan">
      <formula>0.5</formula>
    </cfRule>
  </conditionalFormatting>
  <conditionalFormatting sqref="AR15">
    <cfRule type="cellIs" dxfId="26691" priority="155759" stopIfTrue="1" operator="greaterThanOrEqual">
      <formula>0.5</formula>
    </cfRule>
  </conditionalFormatting>
  <conditionalFormatting sqref="AT8">
    <cfRule type="cellIs" dxfId="26690" priority="155760" stopIfTrue="1" operator="equal">
      <formula>-1</formula>
    </cfRule>
  </conditionalFormatting>
  <conditionalFormatting sqref="AT8">
    <cfRule type="cellIs" dxfId="26689" priority="155761" stopIfTrue="1" operator="lessThan">
      <formula>0.5</formula>
    </cfRule>
  </conditionalFormatting>
  <conditionalFormatting sqref="AT8">
    <cfRule type="cellIs" dxfId="26688" priority="155762" stopIfTrue="1" operator="greaterThanOrEqual">
      <formula>0.5</formula>
    </cfRule>
  </conditionalFormatting>
  <conditionalFormatting sqref="AT9">
    <cfRule type="cellIs" dxfId="26687" priority="155763" stopIfTrue="1" operator="equal">
      <formula>-1</formula>
    </cfRule>
  </conditionalFormatting>
  <conditionalFormatting sqref="AT9">
    <cfRule type="cellIs" dxfId="26686" priority="155764" stopIfTrue="1" operator="lessThan">
      <formula>0.5</formula>
    </cfRule>
  </conditionalFormatting>
  <conditionalFormatting sqref="AT9">
    <cfRule type="cellIs" dxfId="26685" priority="155765" stopIfTrue="1" operator="greaterThanOrEqual">
      <formula>0.5</formula>
    </cfRule>
  </conditionalFormatting>
  <conditionalFormatting sqref="AT10">
    <cfRule type="cellIs" dxfId="26684" priority="155766" stopIfTrue="1" operator="equal">
      <formula>-1</formula>
    </cfRule>
  </conditionalFormatting>
  <conditionalFormatting sqref="AT10">
    <cfRule type="cellIs" dxfId="26683" priority="155767" stopIfTrue="1" operator="lessThan">
      <formula>0.5</formula>
    </cfRule>
  </conditionalFormatting>
  <conditionalFormatting sqref="AT10">
    <cfRule type="cellIs" dxfId="26682" priority="155768" stopIfTrue="1" operator="greaterThanOrEqual">
      <formula>0.5</formula>
    </cfRule>
  </conditionalFormatting>
  <conditionalFormatting sqref="AT11">
    <cfRule type="cellIs" dxfId="26681" priority="155769" stopIfTrue="1" operator="equal">
      <formula>-1</formula>
    </cfRule>
  </conditionalFormatting>
  <conditionalFormatting sqref="AT11">
    <cfRule type="cellIs" dxfId="26680" priority="155770" stopIfTrue="1" operator="lessThan">
      <formula>0.5</formula>
    </cfRule>
  </conditionalFormatting>
  <conditionalFormatting sqref="AT11">
    <cfRule type="cellIs" dxfId="26679" priority="155771" stopIfTrue="1" operator="greaterThanOrEqual">
      <formula>0.5</formula>
    </cfRule>
  </conditionalFormatting>
  <conditionalFormatting sqref="AT12">
    <cfRule type="cellIs" dxfId="26678" priority="155772" stopIfTrue="1" operator="equal">
      <formula>-1</formula>
    </cfRule>
  </conditionalFormatting>
  <conditionalFormatting sqref="AT12">
    <cfRule type="cellIs" dxfId="26677" priority="155773" stopIfTrue="1" operator="lessThan">
      <formula>0.5</formula>
    </cfRule>
  </conditionalFormatting>
  <conditionalFormatting sqref="AT12">
    <cfRule type="cellIs" dxfId="26676" priority="155774" stopIfTrue="1" operator="greaterThanOrEqual">
      <formula>0.5</formula>
    </cfRule>
  </conditionalFormatting>
  <conditionalFormatting sqref="AT13">
    <cfRule type="cellIs" dxfId="26675" priority="155775" stopIfTrue="1" operator="equal">
      <formula>-1</formula>
    </cfRule>
  </conditionalFormatting>
  <conditionalFormatting sqref="AT13">
    <cfRule type="cellIs" dxfId="26674" priority="155776" stopIfTrue="1" operator="lessThan">
      <formula>0.5</formula>
    </cfRule>
  </conditionalFormatting>
  <conditionalFormatting sqref="AT13">
    <cfRule type="cellIs" dxfId="26673" priority="155777" stopIfTrue="1" operator="greaterThanOrEqual">
      <formula>0.5</formula>
    </cfRule>
  </conditionalFormatting>
  <conditionalFormatting sqref="AT14">
    <cfRule type="cellIs" dxfId="26672" priority="155778" stopIfTrue="1" operator="equal">
      <formula>-1</formula>
    </cfRule>
  </conditionalFormatting>
  <conditionalFormatting sqref="AT14">
    <cfRule type="cellIs" dxfId="26671" priority="155779" stopIfTrue="1" operator="lessThan">
      <formula>0.5</formula>
    </cfRule>
  </conditionalFormatting>
  <conditionalFormatting sqref="AT14">
    <cfRule type="cellIs" dxfId="26670" priority="155780" stopIfTrue="1" operator="greaterThanOrEqual">
      <formula>0.5</formula>
    </cfRule>
  </conditionalFormatting>
  <conditionalFormatting sqref="AT15">
    <cfRule type="cellIs" dxfId="26669" priority="155781" stopIfTrue="1" operator="equal">
      <formula>-1</formula>
    </cfRule>
  </conditionalFormatting>
  <conditionalFormatting sqref="AT15">
    <cfRule type="cellIs" dxfId="26668" priority="155782" stopIfTrue="1" operator="lessThan">
      <formula>0.5</formula>
    </cfRule>
  </conditionalFormatting>
  <conditionalFormatting sqref="AT15">
    <cfRule type="cellIs" dxfId="26667" priority="155783" stopIfTrue="1" operator="greaterThanOrEqual">
      <formula>0.5</formula>
    </cfRule>
  </conditionalFormatting>
  <conditionalFormatting sqref="AV8">
    <cfRule type="cellIs" dxfId="26666" priority="155784" stopIfTrue="1" operator="equal">
      <formula>-1</formula>
    </cfRule>
  </conditionalFormatting>
  <conditionalFormatting sqref="AV8">
    <cfRule type="cellIs" dxfId="26665" priority="155785" stopIfTrue="1" operator="lessThan">
      <formula>0.5</formula>
    </cfRule>
  </conditionalFormatting>
  <conditionalFormatting sqref="AV8">
    <cfRule type="cellIs" dxfId="26664" priority="155786" stopIfTrue="1" operator="greaterThanOrEqual">
      <formula>0.5</formula>
    </cfRule>
  </conditionalFormatting>
  <conditionalFormatting sqref="AV9">
    <cfRule type="cellIs" dxfId="26663" priority="155787" stopIfTrue="1" operator="equal">
      <formula>-1</formula>
    </cfRule>
  </conditionalFormatting>
  <conditionalFormatting sqref="AV9">
    <cfRule type="cellIs" dxfId="26662" priority="155788" stopIfTrue="1" operator="lessThan">
      <formula>0.5</formula>
    </cfRule>
  </conditionalFormatting>
  <conditionalFormatting sqref="AV9">
    <cfRule type="cellIs" dxfId="26661" priority="155789" stopIfTrue="1" operator="greaterThanOrEqual">
      <formula>0.5</formula>
    </cfRule>
  </conditionalFormatting>
  <conditionalFormatting sqref="AV10">
    <cfRule type="cellIs" dxfId="26660" priority="155790" stopIfTrue="1" operator="equal">
      <formula>-1</formula>
    </cfRule>
  </conditionalFormatting>
  <conditionalFormatting sqref="AV10">
    <cfRule type="cellIs" dxfId="26659" priority="155791" stopIfTrue="1" operator="lessThan">
      <formula>0.5</formula>
    </cfRule>
  </conditionalFormatting>
  <conditionalFormatting sqref="AV10">
    <cfRule type="cellIs" dxfId="26658" priority="155792" stopIfTrue="1" operator="greaterThanOrEqual">
      <formula>0.5</formula>
    </cfRule>
  </conditionalFormatting>
  <conditionalFormatting sqref="AV11">
    <cfRule type="cellIs" dxfId="26657" priority="155793" stopIfTrue="1" operator="equal">
      <formula>-1</formula>
    </cfRule>
  </conditionalFormatting>
  <conditionalFormatting sqref="AV11">
    <cfRule type="cellIs" dxfId="26656" priority="155794" stopIfTrue="1" operator="lessThan">
      <formula>0.5</formula>
    </cfRule>
  </conditionalFormatting>
  <conditionalFormatting sqref="AV11">
    <cfRule type="cellIs" dxfId="26655" priority="155795" stopIfTrue="1" operator="greaterThanOrEqual">
      <formula>0.5</formula>
    </cfRule>
  </conditionalFormatting>
  <conditionalFormatting sqref="AV12">
    <cfRule type="cellIs" dxfId="26654" priority="155796" stopIfTrue="1" operator="equal">
      <formula>-1</formula>
    </cfRule>
  </conditionalFormatting>
  <conditionalFormatting sqref="AV12">
    <cfRule type="cellIs" dxfId="26653" priority="155797" stopIfTrue="1" operator="lessThan">
      <formula>0.5</formula>
    </cfRule>
  </conditionalFormatting>
  <conditionalFormatting sqref="AV12">
    <cfRule type="cellIs" dxfId="26652" priority="155798" stopIfTrue="1" operator="greaterThanOrEqual">
      <formula>0.5</formula>
    </cfRule>
  </conditionalFormatting>
  <conditionalFormatting sqref="AV13">
    <cfRule type="cellIs" dxfId="26651" priority="155799" stopIfTrue="1" operator="equal">
      <formula>-1</formula>
    </cfRule>
  </conditionalFormatting>
  <conditionalFormatting sqref="AV13">
    <cfRule type="cellIs" dxfId="26650" priority="155800" stopIfTrue="1" operator="lessThan">
      <formula>0.5</formula>
    </cfRule>
  </conditionalFormatting>
  <conditionalFormatting sqref="AV13">
    <cfRule type="cellIs" dxfId="26649" priority="155801" stopIfTrue="1" operator="greaterThanOrEqual">
      <formula>0.5</formula>
    </cfRule>
  </conditionalFormatting>
  <conditionalFormatting sqref="AV14">
    <cfRule type="cellIs" dxfId="26648" priority="155802" stopIfTrue="1" operator="equal">
      <formula>-1</formula>
    </cfRule>
  </conditionalFormatting>
  <conditionalFormatting sqref="AV14">
    <cfRule type="cellIs" dxfId="26647" priority="155803" stopIfTrue="1" operator="lessThan">
      <formula>0.5</formula>
    </cfRule>
  </conditionalFormatting>
  <conditionalFormatting sqref="AV14">
    <cfRule type="cellIs" dxfId="26646" priority="155804" stopIfTrue="1" operator="greaterThanOrEqual">
      <formula>0.5</formula>
    </cfRule>
  </conditionalFormatting>
  <conditionalFormatting sqref="AV15">
    <cfRule type="cellIs" dxfId="26645" priority="155805" stopIfTrue="1" operator="equal">
      <formula>-1</formula>
    </cfRule>
  </conditionalFormatting>
  <conditionalFormatting sqref="AV15">
    <cfRule type="cellIs" dxfId="26644" priority="155806" stopIfTrue="1" operator="lessThan">
      <formula>0.5</formula>
    </cfRule>
  </conditionalFormatting>
  <conditionalFormatting sqref="AV15">
    <cfRule type="cellIs" dxfId="26643" priority="155807" stopIfTrue="1" operator="greaterThanOrEqual">
      <formula>0.5</formula>
    </cfRule>
  </conditionalFormatting>
  <conditionalFormatting sqref="AX8">
    <cfRule type="cellIs" dxfId="26642" priority="155808" stopIfTrue="1" operator="equal">
      <formula>-1</formula>
    </cfRule>
  </conditionalFormatting>
  <conditionalFormatting sqref="AX8">
    <cfRule type="cellIs" dxfId="26641" priority="155809" stopIfTrue="1" operator="lessThan">
      <formula>0.5</formula>
    </cfRule>
  </conditionalFormatting>
  <conditionalFormatting sqref="AX8">
    <cfRule type="cellIs" dxfId="26640" priority="155810" stopIfTrue="1" operator="greaterThanOrEqual">
      <formula>0.5</formula>
    </cfRule>
  </conditionalFormatting>
  <conditionalFormatting sqref="AX9">
    <cfRule type="cellIs" dxfId="26639" priority="155811" stopIfTrue="1" operator="equal">
      <formula>-1</formula>
    </cfRule>
  </conditionalFormatting>
  <conditionalFormatting sqref="AX9">
    <cfRule type="cellIs" dxfId="26638" priority="155812" stopIfTrue="1" operator="lessThan">
      <formula>0.5</formula>
    </cfRule>
  </conditionalFormatting>
  <conditionalFormatting sqref="AX9">
    <cfRule type="cellIs" dxfId="26637" priority="155813" stopIfTrue="1" operator="greaterThanOrEqual">
      <formula>0.5</formula>
    </cfRule>
  </conditionalFormatting>
  <conditionalFormatting sqref="AX10">
    <cfRule type="cellIs" dxfId="26636" priority="155814" stopIfTrue="1" operator="equal">
      <formula>-1</formula>
    </cfRule>
  </conditionalFormatting>
  <conditionalFormatting sqref="AX10">
    <cfRule type="cellIs" dxfId="26635" priority="155815" stopIfTrue="1" operator="lessThan">
      <formula>0.5</formula>
    </cfRule>
  </conditionalFormatting>
  <conditionalFormatting sqref="AX10">
    <cfRule type="cellIs" dxfId="26634" priority="155816" stopIfTrue="1" operator="greaterThanOrEqual">
      <formula>0.5</formula>
    </cfRule>
  </conditionalFormatting>
  <conditionalFormatting sqref="AX11">
    <cfRule type="cellIs" dxfId="26633" priority="155817" stopIfTrue="1" operator="equal">
      <formula>-1</formula>
    </cfRule>
  </conditionalFormatting>
  <conditionalFormatting sqref="AX11">
    <cfRule type="cellIs" dxfId="26632" priority="155818" stopIfTrue="1" operator="lessThan">
      <formula>0.5</formula>
    </cfRule>
  </conditionalFormatting>
  <conditionalFormatting sqref="AX11">
    <cfRule type="cellIs" dxfId="26631" priority="155819" stopIfTrue="1" operator="greaterThanOrEqual">
      <formula>0.5</formula>
    </cfRule>
  </conditionalFormatting>
  <conditionalFormatting sqref="AX12">
    <cfRule type="cellIs" dxfId="26630" priority="155820" stopIfTrue="1" operator="equal">
      <formula>-1</formula>
    </cfRule>
  </conditionalFormatting>
  <conditionalFormatting sqref="AX12">
    <cfRule type="cellIs" dxfId="26629" priority="155821" stopIfTrue="1" operator="lessThan">
      <formula>0.5</formula>
    </cfRule>
  </conditionalFormatting>
  <conditionalFormatting sqref="AX12">
    <cfRule type="cellIs" dxfId="26628" priority="155822" stopIfTrue="1" operator="greaterThanOrEqual">
      <formula>0.5</formula>
    </cfRule>
  </conditionalFormatting>
  <conditionalFormatting sqref="AX13">
    <cfRule type="cellIs" dxfId="26627" priority="155823" stopIfTrue="1" operator="equal">
      <formula>-1</formula>
    </cfRule>
  </conditionalFormatting>
  <conditionalFormatting sqref="AX13">
    <cfRule type="cellIs" dxfId="26626" priority="155824" stopIfTrue="1" operator="lessThan">
      <formula>0.5</formula>
    </cfRule>
  </conditionalFormatting>
  <conditionalFormatting sqref="AX13">
    <cfRule type="cellIs" dxfId="26625" priority="155825" stopIfTrue="1" operator="greaterThanOrEqual">
      <formula>0.5</formula>
    </cfRule>
  </conditionalFormatting>
  <conditionalFormatting sqref="AX14">
    <cfRule type="cellIs" dxfId="26624" priority="155826" stopIfTrue="1" operator="equal">
      <formula>-1</formula>
    </cfRule>
  </conditionalFormatting>
  <conditionalFormatting sqref="AX14">
    <cfRule type="cellIs" dxfId="26623" priority="155827" stopIfTrue="1" operator="lessThan">
      <formula>0.5</formula>
    </cfRule>
  </conditionalFormatting>
  <conditionalFormatting sqref="AX14">
    <cfRule type="cellIs" dxfId="26622" priority="155828" stopIfTrue="1" operator="greaterThanOrEqual">
      <formula>0.5</formula>
    </cfRule>
  </conditionalFormatting>
  <conditionalFormatting sqref="AX15">
    <cfRule type="cellIs" dxfId="26621" priority="155829" stopIfTrue="1" operator="equal">
      <formula>-1</formula>
    </cfRule>
  </conditionalFormatting>
  <conditionalFormatting sqref="AX15">
    <cfRule type="cellIs" dxfId="26620" priority="155830" stopIfTrue="1" operator="lessThan">
      <formula>0.5</formula>
    </cfRule>
  </conditionalFormatting>
  <conditionalFormatting sqref="AX15">
    <cfRule type="cellIs" dxfId="26619" priority="155831" stopIfTrue="1" operator="greaterThanOrEqual">
      <formula>0.5</formula>
    </cfRule>
  </conditionalFormatting>
  <conditionalFormatting sqref="AZ8">
    <cfRule type="cellIs" dxfId="26618" priority="155832" stopIfTrue="1" operator="equal">
      <formula>-1</formula>
    </cfRule>
  </conditionalFormatting>
  <conditionalFormatting sqref="AZ8">
    <cfRule type="cellIs" dxfId="26617" priority="155833" stopIfTrue="1" operator="lessThan">
      <formula>0.5</formula>
    </cfRule>
  </conditionalFormatting>
  <conditionalFormatting sqref="AZ8">
    <cfRule type="cellIs" dxfId="26616" priority="155834" stopIfTrue="1" operator="greaterThanOrEqual">
      <formula>0.5</formula>
    </cfRule>
  </conditionalFormatting>
  <conditionalFormatting sqref="AZ9">
    <cfRule type="cellIs" dxfId="26615" priority="155835" stopIfTrue="1" operator="equal">
      <formula>-1</formula>
    </cfRule>
  </conditionalFormatting>
  <conditionalFormatting sqref="AZ9">
    <cfRule type="cellIs" dxfId="26614" priority="155836" stopIfTrue="1" operator="lessThan">
      <formula>0.5</formula>
    </cfRule>
  </conditionalFormatting>
  <conditionalFormatting sqref="AZ9">
    <cfRule type="cellIs" dxfId="26613" priority="155837" stopIfTrue="1" operator="greaterThanOrEqual">
      <formula>0.5</formula>
    </cfRule>
  </conditionalFormatting>
  <conditionalFormatting sqref="AZ10">
    <cfRule type="cellIs" dxfId="26612" priority="155838" stopIfTrue="1" operator="equal">
      <formula>-1</formula>
    </cfRule>
  </conditionalFormatting>
  <conditionalFormatting sqref="AZ10">
    <cfRule type="cellIs" dxfId="26611" priority="155839" stopIfTrue="1" operator="lessThan">
      <formula>0.5</formula>
    </cfRule>
  </conditionalFormatting>
  <conditionalFormatting sqref="AZ10">
    <cfRule type="cellIs" dxfId="26610" priority="155840" stopIfTrue="1" operator="greaterThanOrEqual">
      <formula>0.5</formula>
    </cfRule>
  </conditionalFormatting>
  <conditionalFormatting sqref="AZ11">
    <cfRule type="cellIs" dxfId="26609" priority="155841" stopIfTrue="1" operator="equal">
      <formula>-1</formula>
    </cfRule>
  </conditionalFormatting>
  <conditionalFormatting sqref="AZ11">
    <cfRule type="cellIs" dxfId="26608" priority="155842" stopIfTrue="1" operator="lessThan">
      <formula>0.5</formula>
    </cfRule>
  </conditionalFormatting>
  <conditionalFormatting sqref="AZ11">
    <cfRule type="cellIs" dxfId="26607" priority="155843" stopIfTrue="1" operator="greaterThanOrEqual">
      <formula>0.5</formula>
    </cfRule>
  </conditionalFormatting>
  <conditionalFormatting sqref="AZ12">
    <cfRule type="cellIs" dxfId="26606" priority="155844" stopIfTrue="1" operator="equal">
      <formula>-1</formula>
    </cfRule>
  </conditionalFormatting>
  <conditionalFormatting sqref="AZ12">
    <cfRule type="cellIs" dxfId="26605" priority="155845" stopIfTrue="1" operator="lessThan">
      <formula>0.5</formula>
    </cfRule>
  </conditionalFormatting>
  <conditionalFormatting sqref="AZ12">
    <cfRule type="cellIs" dxfId="26604" priority="155846" stopIfTrue="1" operator="greaterThanOrEqual">
      <formula>0.5</formula>
    </cfRule>
  </conditionalFormatting>
  <conditionalFormatting sqref="AZ13">
    <cfRule type="cellIs" dxfId="26603" priority="155847" stopIfTrue="1" operator="equal">
      <formula>-1</formula>
    </cfRule>
  </conditionalFormatting>
  <conditionalFormatting sqref="AZ13">
    <cfRule type="cellIs" dxfId="26602" priority="155848" stopIfTrue="1" operator="lessThan">
      <formula>0.5</formula>
    </cfRule>
  </conditionalFormatting>
  <conditionalFormatting sqref="AZ13">
    <cfRule type="cellIs" dxfId="26601" priority="155849" stopIfTrue="1" operator="greaterThanOrEqual">
      <formula>0.5</formula>
    </cfRule>
  </conditionalFormatting>
  <conditionalFormatting sqref="AZ14">
    <cfRule type="cellIs" dxfId="26600" priority="155850" stopIfTrue="1" operator="equal">
      <formula>-1</formula>
    </cfRule>
  </conditionalFormatting>
  <conditionalFormatting sqref="AZ14">
    <cfRule type="cellIs" dxfId="26599" priority="155851" stopIfTrue="1" operator="lessThan">
      <formula>0.5</formula>
    </cfRule>
  </conditionalFormatting>
  <conditionalFormatting sqref="AZ14">
    <cfRule type="cellIs" dxfId="26598" priority="155852" stopIfTrue="1" operator="greaterThanOrEqual">
      <formula>0.5</formula>
    </cfRule>
  </conditionalFormatting>
  <conditionalFormatting sqref="AZ15">
    <cfRule type="cellIs" dxfId="26597" priority="155853" stopIfTrue="1" operator="equal">
      <formula>-1</formula>
    </cfRule>
  </conditionalFormatting>
  <conditionalFormatting sqref="AZ15">
    <cfRule type="cellIs" dxfId="26596" priority="155854" stopIfTrue="1" operator="lessThan">
      <formula>0.5</formula>
    </cfRule>
  </conditionalFormatting>
  <conditionalFormatting sqref="AZ15">
    <cfRule type="cellIs" dxfId="26595" priority="155855" stopIfTrue="1" operator="greaterThanOrEqual">
      <formula>0.5</formula>
    </cfRule>
  </conditionalFormatting>
  <conditionalFormatting sqref="BB8">
    <cfRule type="cellIs" dxfId="26594" priority="155856" stopIfTrue="1" operator="equal">
      <formula>-1</formula>
    </cfRule>
  </conditionalFormatting>
  <conditionalFormatting sqref="BB8">
    <cfRule type="cellIs" dxfId="26593" priority="155857" stopIfTrue="1" operator="lessThan">
      <formula>0.5</formula>
    </cfRule>
  </conditionalFormatting>
  <conditionalFormatting sqref="BB8">
    <cfRule type="cellIs" dxfId="26592" priority="155858" stopIfTrue="1" operator="greaterThanOrEqual">
      <formula>0.5</formula>
    </cfRule>
  </conditionalFormatting>
  <conditionalFormatting sqref="BB9">
    <cfRule type="cellIs" dxfId="26591" priority="155859" stopIfTrue="1" operator="equal">
      <formula>-1</formula>
    </cfRule>
  </conditionalFormatting>
  <conditionalFormatting sqref="BB9">
    <cfRule type="cellIs" dxfId="26590" priority="155860" stopIfTrue="1" operator="lessThan">
      <formula>0.5</formula>
    </cfRule>
  </conditionalFormatting>
  <conditionalFormatting sqref="BB9">
    <cfRule type="cellIs" dxfId="26589" priority="155861" stopIfTrue="1" operator="greaterThanOrEqual">
      <formula>0.5</formula>
    </cfRule>
  </conditionalFormatting>
  <conditionalFormatting sqref="BB10">
    <cfRule type="cellIs" dxfId="26588" priority="155862" stopIfTrue="1" operator="equal">
      <formula>-1</formula>
    </cfRule>
  </conditionalFormatting>
  <conditionalFormatting sqref="BB10">
    <cfRule type="cellIs" dxfId="26587" priority="155863" stopIfTrue="1" operator="lessThan">
      <formula>0.5</formula>
    </cfRule>
  </conditionalFormatting>
  <conditionalFormatting sqref="BB10">
    <cfRule type="cellIs" dxfId="26586" priority="155864" stopIfTrue="1" operator="greaterThanOrEqual">
      <formula>0.5</formula>
    </cfRule>
  </conditionalFormatting>
  <conditionalFormatting sqref="BB11">
    <cfRule type="cellIs" dxfId="26585" priority="155865" stopIfTrue="1" operator="equal">
      <formula>-1</formula>
    </cfRule>
  </conditionalFormatting>
  <conditionalFormatting sqref="BB11">
    <cfRule type="cellIs" dxfId="26584" priority="155866" stopIfTrue="1" operator="lessThan">
      <formula>0.5</formula>
    </cfRule>
  </conditionalFormatting>
  <conditionalFormatting sqref="BB11">
    <cfRule type="cellIs" dxfId="26583" priority="155867" stopIfTrue="1" operator="greaterThanOrEqual">
      <formula>0.5</formula>
    </cfRule>
  </conditionalFormatting>
  <conditionalFormatting sqref="BB12">
    <cfRule type="cellIs" dxfId="26582" priority="155868" stopIfTrue="1" operator="equal">
      <formula>-1</formula>
    </cfRule>
    <cfRule type="cellIs" dxfId="26581" priority="155869" stopIfTrue="1" operator="lessThan">
      <formula>0.5</formula>
    </cfRule>
    <cfRule type="cellIs" dxfId="26580" priority="155870" stopIfTrue="1" operator="greaterThanOrEqual">
      <formula>0.5</formula>
    </cfRule>
  </conditionalFormatting>
  <conditionalFormatting sqref="BB13">
    <cfRule type="cellIs" dxfId="26579" priority="155871" stopIfTrue="1" operator="equal">
      <formula>-1</formula>
    </cfRule>
  </conditionalFormatting>
  <conditionalFormatting sqref="BB13">
    <cfRule type="cellIs" dxfId="26578" priority="155872" stopIfTrue="1" operator="lessThan">
      <formula>0.5</formula>
    </cfRule>
  </conditionalFormatting>
  <conditionalFormatting sqref="BB13">
    <cfRule type="cellIs" dxfId="26577" priority="155873" stopIfTrue="1" operator="greaterThanOrEqual">
      <formula>0.5</formula>
    </cfRule>
  </conditionalFormatting>
  <conditionalFormatting sqref="BB14">
    <cfRule type="cellIs" dxfId="26576" priority="155874" stopIfTrue="1" operator="equal">
      <formula>-1</formula>
    </cfRule>
  </conditionalFormatting>
  <conditionalFormatting sqref="BB14">
    <cfRule type="cellIs" dxfId="26575" priority="155875" stopIfTrue="1" operator="lessThan">
      <formula>0.5</formula>
    </cfRule>
  </conditionalFormatting>
  <conditionalFormatting sqref="BB14">
    <cfRule type="cellIs" dxfId="26574" priority="155876" stopIfTrue="1" operator="greaterThanOrEqual">
      <formula>0.5</formula>
    </cfRule>
  </conditionalFormatting>
  <conditionalFormatting sqref="BB15">
    <cfRule type="cellIs" dxfId="26573" priority="155877" stopIfTrue="1" operator="equal">
      <formula>-1</formula>
    </cfRule>
  </conditionalFormatting>
  <conditionalFormatting sqref="BB15">
    <cfRule type="cellIs" dxfId="26572" priority="155878" stopIfTrue="1" operator="lessThan">
      <formula>0.5</formula>
    </cfRule>
  </conditionalFormatting>
  <conditionalFormatting sqref="BB15">
    <cfRule type="cellIs" dxfId="26571" priority="155879" stopIfTrue="1" operator="greaterThanOrEqual">
      <formula>0.5</formula>
    </cfRule>
  </conditionalFormatting>
  <conditionalFormatting sqref="BD8">
    <cfRule type="cellIs" dxfId="26570" priority="155880" stopIfTrue="1" operator="equal">
      <formula>-1</formula>
    </cfRule>
  </conditionalFormatting>
  <conditionalFormatting sqref="BD8">
    <cfRule type="cellIs" dxfId="26569" priority="155881" stopIfTrue="1" operator="lessThan">
      <formula>0.5</formula>
    </cfRule>
  </conditionalFormatting>
  <conditionalFormatting sqref="BD8">
    <cfRule type="cellIs" dxfId="26568" priority="155882" stopIfTrue="1" operator="greaterThanOrEqual">
      <formula>0.5</formula>
    </cfRule>
  </conditionalFormatting>
  <conditionalFormatting sqref="BD9">
    <cfRule type="cellIs" dxfId="26567" priority="155883" stopIfTrue="1" operator="equal">
      <formula>-1</formula>
    </cfRule>
  </conditionalFormatting>
  <conditionalFormatting sqref="BD9">
    <cfRule type="cellIs" dxfId="26566" priority="155884" stopIfTrue="1" operator="lessThan">
      <formula>0.5</formula>
    </cfRule>
  </conditionalFormatting>
  <conditionalFormatting sqref="BD9">
    <cfRule type="cellIs" dxfId="26565" priority="155885" stopIfTrue="1" operator="greaterThanOrEqual">
      <formula>0.5</formula>
    </cfRule>
  </conditionalFormatting>
  <conditionalFormatting sqref="BD10">
    <cfRule type="cellIs" dxfId="26564" priority="155886" stopIfTrue="1" operator="equal">
      <formula>-1</formula>
    </cfRule>
  </conditionalFormatting>
  <conditionalFormatting sqref="BD10">
    <cfRule type="cellIs" dxfId="26563" priority="155887" stopIfTrue="1" operator="lessThan">
      <formula>0.5</formula>
    </cfRule>
  </conditionalFormatting>
  <conditionalFormatting sqref="BD10">
    <cfRule type="cellIs" dxfId="26562" priority="155888" stopIfTrue="1" operator="greaterThanOrEqual">
      <formula>0.5</formula>
    </cfRule>
  </conditionalFormatting>
  <conditionalFormatting sqref="BD11">
    <cfRule type="cellIs" dxfId="26561" priority="155889" stopIfTrue="1" operator="equal">
      <formula>-1</formula>
    </cfRule>
  </conditionalFormatting>
  <conditionalFormatting sqref="BD11">
    <cfRule type="cellIs" dxfId="26560" priority="155890" stopIfTrue="1" operator="lessThan">
      <formula>0.5</formula>
    </cfRule>
  </conditionalFormatting>
  <conditionalFormatting sqref="BD11">
    <cfRule type="cellIs" dxfId="26559" priority="155891" stopIfTrue="1" operator="greaterThanOrEqual">
      <formula>0.5</formula>
    </cfRule>
  </conditionalFormatting>
  <conditionalFormatting sqref="BD12">
    <cfRule type="cellIs" dxfId="26558" priority="155892" stopIfTrue="1" operator="equal">
      <formula>-1</formula>
    </cfRule>
  </conditionalFormatting>
  <conditionalFormatting sqref="BD12">
    <cfRule type="cellIs" dxfId="26557" priority="155893" stopIfTrue="1" operator="lessThan">
      <formula>0.5</formula>
    </cfRule>
  </conditionalFormatting>
  <conditionalFormatting sqref="BD12">
    <cfRule type="cellIs" dxfId="26556" priority="155894" stopIfTrue="1" operator="greaterThanOrEqual">
      <formula>0.5</formula>
    </cfRule>
  </conditionalFormatting>
  <conditionalFormatting sqref="BD13">
    <cfRule type="cellIs" dxfId="26555" priority="155895" stopIfTrue="1" operator="equal">
      <formula>-1</formula>
    </cfRule>
  </conditionalFormatting>
  <conditionalFormatting sqref="BD13">
    <cfRule type="cellIs" dxfId="26554" priority="155896" stopIfTrue="1" operator="lessThan">
      <formula>0.5</formula>
    </cfRule>
  </conditionalFormatting>
  <conditionalFormatting sqref="BD13">
    <cfRule type="cellIs" dxfId="26553" priority="155897" stopIfTrue="1" operator="greaterThanOrEqual">
      <formula>0.5</formula>
    </cfRule>
  </conditionalFormatting>
  <conditionalFormatting sqref="BD14">
    <cfRule type="cellIs" dxfId="26552" priority="155898" stopIfTrue="1" operator="equal">
      <formula>-1</formula>
    </cfRule>
  </conditionalFormatting>
  <conditionalFormatting sqref="BD14">
    <cfRule type="cellIs" dxfId="26551" priority="155899" stopIfTrue="1" operator="lessThan">
      <formula>0.5</formula>
    </cfRule>
  </conditionalFormatting>
  <conditionalFormatting sqref="BD14">
    <cfRule type="cellIs" dxfId="26550" priority="155900" stopIfTrue="1" operator="greaterThanOrEqual">
      <formula>0.5</formula>
    </cfRule>
  </conditionalFormatting>
  <conditionalFormatting sqref="BD15">
    <cfRule type="cellIs" dxfId="26549" priority="155901" stopIfTrue="1" operator="equal">
      <formula>-1</formula>
    </cfRule>
  </conditionalFormatting>
  <conditionalFormatting sqref="BD15">
    <cfRule type="cellIs" dxfId="26548" priority="155902" stopIfTrue="1" operator="lessThan">
      <formula>0.5</formula>
    </cfRule>
  </conditionalFormatting>
  <conditionalFormatting sqref="BD15">
    <cfRule type="cellIs" dxfId="26547" priority="155903" stopIfTrue="1" operator="greaterThanOrEqual">
      <formula>0.5</formula>
    </cfRule>
  </conditionalFormatting>
  <conditionalFormatting sqref="BF8">
    <cfRule type="cellIs" dxfId="26546" priority="155904" stopIfTrue="1" operator="equal">
      <formula>-1</formula>
    </cfRule>
  </conditionalFormatting>
  <conditionalFormatting sqref="BF8">
    <cfRule type="cellIs" dxfId="26545" priority="155905" stopIfTrue="1" operator="lessThan">
      <formula>0.5</formula>
    </cfRule>
  </conditionalFormatting>
  <conditionalFormatting sqref="BF8">
    <cfRule type="cellIs" dxfId="26544" priority="155906" stopIfTrue="1" operator="greaterThanOrEqual">
      <formula>0.5</formula>
    </cfRule>
  </conditionalFormatting>
  <conditionalFormatting sqref="BF9">
    <cfRule type="cellIs" dxfId="26543" priority="155907" stopIfTrue="1" operator="equal">
      <formula>-1</formula>
    </cfRule>
  </conditionalFormatting>
  <conditionalFormatting sqref="BF9">
    <cfRule type="cellIs" dxfId="26542" priority="155908" stopIfTrue="1" operator="lessThan">
      <formula>0.5</formula>
    </cfRule>
  </conditionalFormatting>
  <conditionalFormatting sqref="BF9">
    <cfRule type="cellIs" dxfId="26541" priority="155909" stopIfTrue="1" operator="greaterThanOrEqual">
      <formula>0.5</formula>
    </cfRule>
  </conditionalFormatting>
  <conditionalFormatting sqref="BF10">
    <cfRule type="cellIs" dxfId="26540" priority="155910" stopIfTrue="1" operator="equal">
      <formula>-1</formula>
    </cfRule>
  </conditionalFormatting>
  <conditionalFormatting sqref="BF10">
    <cfRule type="cellIs" dxfId="26539" priority="155911" stopIfTrue="1" operator="lessThan">
      <formula>0.5</formula>
    </cfRule>
  </conditionalFormatting>
  <conditionalFormatting sqref="BF10">
    <cfRule type="cellIs" dxfId="26538" priority="155912" stopIfTrue="1" operator="greaterThanOrEqual">
      <formula>0.5</formula>
    </cfRule>
  </conditionalFormatting>
  <conditionalFormatting sqref="BF11">
    <cfRule type="cellIs" dxfId="26537" priority="155913" stopIfTrue="1" operator="equal">
      <formula>-1</formula>
    </cfRule>
  </conditionalFormatting>
  <conditionalFormatting sqref="BF11">
    <cfRule type="cellIs" dxfId="26536" priority="155914" stopIfTrue="1" operator="lessThan">
      <formula>0.5</formula>
    </cfRule>
  </conditionalFormatting>
  <conditionalFormatting sqref="BF11">
    <cfRule type="cellIs" dxfId="26535" priority="155915" stopIfTrue="1" operator="greaterThanOrEqual">
      <formula>0.5</formula>
    </cfRule>
  </conditionalFormatting>
  <conditionalFormatting sqref="BF12">
    <cfRule type="cellIs" dxfId="26534" priority="155916" stopIfTrue="1" operator="equal">
      <formula>-1</formula>
    </cfRule>
  </conditionalFormatting>
  <conditionalFormatting sqref="BF12">
    <cfRule type="cellIs" dxfId="26533" priority="155917" stopIfTrue="1" operator="lessThan">
      <formula>0.5</formula>
    </cfRule>
  </conditionalFormatting>
  <conditionalFormatting sqref="BF12">
    <cfRule type="cellIs" dxfId="26532" priority="155918" stopIfTrue="1" operator="greaterThanOrEqual">
      <formula>0.5</formula>
    </cfRule>
  </conditionalFormatting>
  <conditionalFormatting sqref="BF13">
    <cfRule type="cellIs" dxfId="26531" priority="155919" stopIfTrue="1" operator="equal">
      <formula>-1</formula>
    </cfRule>
  </conditionalFormatting>
  <conditionalFormatting sqref="BF13">
    <cfRule type="cellIs" dxfId="26530" priority="155920" stopIfTrue="1" operator="lessThan">
      <formula>0.5</formula>
    </cfRule>
  </conditionalFormatting>
  <conditionalFormatting sqref="BF13">
    <cfRule type="cellIs" dxfId="26529" priority="155921" stopIfTrue="1" operator="greaterThanOrEqual">
      <formula>0.5</formula>
    </cfRule>
  </conditionalFormatting>
  <conditionalFormatting sqref="BF14">
    <cfRule type="cellIs" dxfId="26528" priority="155922" stopIfTrue="1" operator="equal">
      <formula>-1</formula>
    </cfRule>
  </conditionalFormatting>
  <conditionalFormatting sqref="BF14">
    <cfRule type="cellIs" dxfId="26527" priority="155923" stopIfTrue="1" operator="lessThan">
      <formula>0.5</formula>
    </cfRule>
  </conditionalFormatting>
  <conditionalFormatting sqref="BF14">
    <cfRule type="cellIs" dxfId="26526" priority="155924" stopIfTrue="1" operator="greaterThanOrEqual">
      <formula>0.5</formula>
    </cfRule>
  </conditionalFormatting>
  <conditionalFormatting sqref="BF15">
    <cfRule type="cellIs" dxfId="26525" priority="155925" stopIfTrue="1" operator="equal">
      <formula>-1</formula>
    </cfRule>
  </conditionalFormatting>
  <conditionalFormatting sqref="BF15">
    <cfRule type="cellIs" dxfId="26524" priority="155926" stopIfTrue="1" operator="lessThan">
      <formula>0.5</formula>
    </cfRule>
  </conditionalFormatting>
  <conditionalFormatting sqref="BF15">
    <cfRule type="cellIs" dxfId="26523" priority="155927" stopIfTrue="1" operator="greaterThanOrEqual">
      <formula>0.5</formula>
    </cfRule>
  </conditionalFormatting>
  <conditionalFormatting sqref="BH8">
    <cfRule type="cellIs" dxfId="26522" priority="155928" stopIfTrue="1" operator="equal">
      <formula>-1</formula>
    </cfRule>
  </conditionalFormatting>
  <conditionalFormatting sqref="BH8">
    <cfRule type="cellIs" dxfId="26521" priority="155929" stopIfTrue="1" operator="lessThan">
      <formula>0.5</formula>
    </cfRule>
  </conditionalFormatting>
  <conditionalFormatting sqref="BH8">
    <cfRule type="cellIs" dxfId="26520" priority="155930" stopIfTrue="1" operator="greaterThanOrEqual">
      <formula>0.5</formula>
    </cfRule>
  </conditionalFormatting>
  <conditionalFormatting sqref="BH9">
    <cfRule type="cellIs" dxfId="26519" priority="155931" stopIfTrue="1" operator="equal">
      <formula>-1</formula>
    </cfRule>
  </conditionalFormatting>
  <conditionalFormatting sqref="BH9">
    <cfRule type="cellIs" dxfId="26518" priority="155932" stopIfTrue="1" operator="lessThan">
      <formula>0.5</formula>
    </cfRule>
  </conditionalFormatting>
  <conditionalFormatting sqref="BH9">
    <cfRule type="cellIs" dxfId="26517" priority="155933" stopIfTrue="1" operator="greaterThanOrEqual">
      <formula>0.5</formula>
    </cfRule>
  </conditionalFormatting>
  <conditionalFormatting sqref="BH10">
    <cfRule type="cellIs" dxfId="26516" priority="155934" stopIfTrue="1" operator="equal">
      <formula>-1</formula>
    </cfRule>
  </conditionalFormatting>
  <conditionalFormatting sqref="BH10">
    <cfRule type="cellIs" dxfId="26515" priority="155935" stopIfTrue="1" operator="lessThan">
      <formula>0.5</formula>
    </cfRule>
  </conditionalFormatting>
  <conditionalFormatting sqref="BH10">
    <cfRule type="cellIs" dxfId="26514" priority="155936" stopIfTrue="1" operator="greaterThanOrEqual">
      <formula>0.5</formula>
    </cfRule>
  </conditionalFormatting>
  <conditionalFormatting sqref="BH11">
    <cfRule type="cellIs" dxfId="26513" priority="155937" stopIfTrue="1" operator="equal">
      <formula>-1</formula>
    </cfRule>
  </conditionalFormatting>
  <conditionalFormatting sqref="BH11">
    <cfRule type="cellIs" dxfId="26512" priority="155938" stopIfTrue="1" operator="lessThan">
      <formula>0.5</formula>
    </cfRule>
  </conditionalFormatting>
  <conditionalFormatting sqref="BH11">
    <cfRule type="cellIs" dxfId="26511" priority="155939" stopIfTrue="1" operator="greaterThanOrEqual">
      <formula>0.5</formula>
    </cfRule>
  </conditionalFormatting>
  <conditionalFormatting sqref="BH12">
    <cfRule type="cellIs" dxfId="26510" priority="155940" stopIfTrue="1" operator="equal">
      <formula>-1</formula>
    </cfRule>
  </conditionalFormatting>
  <conditionalFormatting sqref="BH12">
    <cfRule type="cellIs" dxfId="26509" priority="155941" stopIfTrue="1" operator="lessThan">
      <formula>0.5</formula>
    </cfRule>
  </conditionalFormatting>
  <conditionalFormatting sqref="BH12">
    <cfRule type="cellIs" dxfId="26508" priority="155942" stopIfTrue="1" operator="greaterThanOrEqual">
      <formula>0.5</formula>
    </cfRule>
  </conditionalFormatting>
  <conditionalFormatting sqref="BH13">
    <cfRule type="cellIs" dxfId="26507" priority="155943" stopIfTrue="1" operator="equal">
      <formula>-1</formula>
    </cfRule>
  </conditionalFormatting>
  <conditionalFormatting sqref="BH13">
    <cfRule type="cellIs" dxfId="26506" priority="155944" stopIfTrue="1" operator="lessThan">
      <formula>0.5</formula>
    </cfRule>
  </conditionalFormatting>
  <conditionalFormatting sqref="BH13">
    <cfRule type="cellIs" dxfId="26505" priority="155945" stopIfTrue="1" operator="greaterThanOrEqual">
      <formula>0.5</formula>
    </cfRule>
  </conditionalFormatting>
  <conditionalFormatting sqref="BH14">
    <cfRule type="cellIs" dxfId="26504" priority="155946" stopIfTrue="1" operator="equal">
      <formula>-1</formula>
    </cfRule>
  </conditionalFormatting>
  <conditionalFormatting sqref="BH14">
    <cfRule type="cellIs" dxfId="26503" priority="155947" stopIfTrue="1" operator="lessThan">
      <formula>0.5</formula>
    </cfRule>
  </conditionalFormatting>
  <conditionalFormatting sqref="BH14">
    <cfRule type="cellIs" dxfId="26502" priority="155948" stopIfTrue="1" operator="greaterThanOrEqual">
      <formula>0.5</formula>
    </cfRule>
  </conditionalFormatting>
  <conditionalFormatting sqref="BH15">
    <cfRule type="cellIs" dxfId="26501" priority="155949" stopIfTrue="1" operator="equal">
      <formula>-1</formula>
    </cfRule>
  </conditionalFormatting>
  <conditionalFormatting sqref="BH15">
    <cfRule type="cellIs" dxfId="26500" priority="155950" stopIfTrue="1" operator="lessThan">
      <formula>0.5</formula>
    </cfRule>
  </conditionalFormatting>
  <conditionalFormatting sqref="BH15">
    <cfRule type="cellIs" dxfId="26499" priority="155951" stopIfTrue="1" operator="greaterThanOrEqual">
      <formula>0.5</formula>
    </cfRule>
  </conditionalFormatting>
  <conditionalFormatting sqref="BJ8">
    <cfRule type="cellIs" dxfId="26498" priority="155952" stopIfTrue="1" operator="equal">
      <formula>-1</formula>
    </cfRule>
  </conditionalFormatting>
  <conditionalFormatting sqref="BJ8">
    <cfRule type="cellIs" dxfId="26497" priority="155953" stopIfTrue="1" operator="lessThan">
      <formula>0.5</formula>
    </cfRule>
  </conditionalFormatting>
  <conditionalFormatting sqref="BJ8">
    <cfRule type="cellIs" dxfId="26496" priority="155954" stopIfTrue="1" operator="greaterThanOrEqual">
      <formula>0.5</formula>
    </cfRule>
  </conditionalFormatting>
  <conditionalFormatting sqref="BJ9">
    <cfRule type="cellIs" dxfId="26495" priority="155955" stopIfTrue="1" operator="equal">
      <formula>-1</formula>
    </cfRule>
  </conditionalFormatting>
  <conditionalFormatting sqref="BJ9">
    <cfRule type="cellIs" dxfId="26494" priority="155956" stopIfTrue="1" operator="lessThan">
      <formula>0.5</formula>
    </cfRule>
  </conditionalFormatting>
  <conditionalFormatting sqref="BJ9">
    <cfRule type="cellIs" dxfId="26493" priority="155957" stopIfTrue="1" operator="greaterThanOrEqual">
      <formula>0.5</formula>
    </cfRule>
  </conditionalFormatting>
  <conditionalFormatting sqref="BJ10">
    <cfRule type="cellIs" dxfId="26492" priority="155958" stopIfTrue="1" operator="equal">
      <formula>-1</formula>
    </cfRule>
  </conditionalFormatting>
  <conditionalFormatting sqref="BJ10">
    <cfRule type="cellIs" dxfId="26491" priority="155959" stopIfTrue="1" operator="lessThan">
      <formula>0.5</formula>
    </cfRule>
  </conditionalFormatting>
  <conditionalFormatting sqref="BJ10">
    <cfRule type="cellIs" dxfId="26490" priority="155960" stopIfTrue="1" operator="greaterThanOrEqual">
      <formula>0.5</formula>
    </cfRule>
  </conditionalFormatting>
  <conditionalFormatting sqref="BJ11">
    <cfRule type="cellIs" dxfId="26489" priority="155961" stopIfTrue="1" operator="equal">
      <formula>-1</formula>
    </cfRule>
  </conditionalFormatting>
  <conditionalFormatting sqref="BJ11">
    <cfRule type="cellIs" dxfId="26488" priority="155962" stopIfTrue="1" operator="lessThan">
      <formula>0.5</formula>
    </cfRule>
  </conditionalFormatting>
  <conditionalFormatting sqref="BJ11">
    <cfRule type="cellIs" dxfId="26487" priority="155963" stopIfTrue="1" operator="greaterThanOrEqual">
      <formula>0.5</formula>
    </cfRule>
  </conditionalFormatting>
  <conditionalFormatting sqref="BJ12">
    <cfRule type="cellIs" dxfId="26486" priority="155964" stopIfTrue="1" operator="equal">
      <formula>-1</formula>
    </cfRule>
  </conditionalFormatting>
  <conditionalFormatting sqref="BJ12">
    <cfRule type="cellIs" dxfId="26485" priority="155965" stopIfTrue="1" operator="lessThan">
      <formula>0.5</formula>
    </cfRule>
  </conditionalFormatting>
  <conditionalFormatting sqref="BJ12">
    <cfRule type="cellIs" dxfId="26484" priority="155966" stopIfTrue="1" operator="greaterThanOrEqual">
      <formula>0.5</formula>
    </cfRule>
  </conditionalFormatting>
  <conditionalFormatting sqref="BJ13">
    <cfRule type="cellIs" dxfId="26483" priority="155967" stopIfTrue="1" operator="equal">
      <formula>-1</formula>
    </cfRule>
  </conditionalFormatting>
  <conditionalFormatting sqref="BJ13">
    <cfRule type="cellIs" dxfId="26482" priority="155968" stopIfTrue="1" operator="lessThan">
      <formula>0.5</formula>
    </cfRule>
  </conditionalFormatting>
  <conditionalFormatting sqref="BJ13">
    <cfRule type="cellIs" dxfId="26481" priority="155969" stopIfTrue="1" operator="greaterThanOrEqual">
      <formula>0.5</formula>
    </cfRule>
  </conditionalFormatting>
  <conditionalFormatting sqref="BJ14">
    <cfRule type="cellIs" dxfId="26480" priority="155970" stopIfTrue="1" operator="equal">
      <formula>-1</formula>
    </cfRule>
  </conditionalFormatting>
  <conditionalFormatting sqref="BJ14">
    <cfRule type="cellIs" dxfId="26479" priority="155971" stopIfTrue="1" operator="lessThan">
      <formula>0.5</formula>
    </cfRule>
  </conditionalFormatting>
  <conditionalFormatting sqref="BJ14">
    <cfRule type="cellIs" dxfId="26478" priority="155972" stopIfTrue="1" operator="greaterThanOrEqual">
      <formula>0.5</formula>
    </cfRule>
  </conditionalFormatting>
  <conditionalFormatting sqref="BJ15">
    <cfRule type="cellIs" dxfId="26477" priority="155973" stopIfTrue="1" operator="equal">
      <formula>-1</formula>
    </cfRule>
  </conditionalFormatting>
  <conditionalFormatting sqref="BJ15">
    <cfRule type="cellIs" dxfId="26476" priority="155974" stopIfTrue="1" operator="lessThan">
      <formula>0.5</formula>
    </cfRule>
  </conditionalFormatting>
  <conditionalFormatting sqref="BJ15">
    <cfRule type="cellIs" dxfId="26475" priority="155975" stopIfTrue="1" operator="greaterThanOrEqual">
      <formula>0.5</formula>
    </cfRule>
  </conditionalFormatting>
  <conditionalFormatting sqref="D17">
    <cfRule type="cellIs" dxfId="26474" priority="155976" stopIfTrue="1" operator="equal">
      <formula>-1</formula>
    </cfRule>
  </conditionalFormatting>
  <conditionalFormatting sqref="D17">
    <cfRule type="cellIs" dxfId="26473" priority="155977" stopIfTrue="1" operator="lessThan">
      <formula>0.5</formula>
    </cfRule>
  </conditionalFormatting>
  <conditionalFormatting sqref="D17">
    <cfRule type="cellIs" dxfId="26472" priority="155978" stopIfTrue="1" operator="greaterThanOrEqual">
      <formula>0.5</formula>
    </cfRule>
  </conditionalFormatting>
  <conditionalFormatting sqref="D18">
    <cfRule type="cellIs" dxfId="26471" priority="155979" stopIfTrue="1" operator="equal">
      <formula>-1</formula>
    </cfRule>
  </conditionalFormatting>
  <conditionalFormatting sqref="D18">
    <cfRule type="cellIs" dxfId="26470" priority="155980" stopIfTrue="1" operator="lessThan">
      <formula>0.5</formula>
    </cfRule>
  </conditionalFormatting>
  <conditionalFormatting sqref="D18">
    <cfRule type="cellIs" dxfId="26469" priority="155981" stopIfTrue="1" operator="greaterThanOrEqual">
      <formula>0.5</formula>
    </cfRule>
  </conditionalFormatting>
  <conditionalFormatting sqref="D19">
    <cfRule type="cellIs" dxfId="26468" priority="155982" stopIfTrue="1" operator="equal">
      <formula>-1</formula>
    </cfRule>
  </conditionalFormatting>
  <conditionalFormatting sqref="D19">
    <cfRule type="cellIs" dxfId="26467" priority="155983" stopIfTrue="1" operator="lessThan">
      <formula>0.5</formula>
    </cfRule>
  </conditionalFormatting>
  <conditionalFormatting sqref="D19">
    <cfRule type="cellIs" dxfId="26466" priority="155984" stopIfTrue="1" operator="greaterThanOrEqual">
      <formula>0.5</formula>
    </cfRule>
  </conditionalFormatting>
  <conditionalFormatting sqref="D20">
    <cfRule type="cellIs" dxfId="26465" priority="155985" stopIfTrue="1" operator="equal">
      <formula>-1</formula>
    </cfRule>
  </conditionalFormatting>
  <conditionalFormatting sqref="D20">
    <cfRule type="cellIs" dxfId="26464" priority="155986" stopIfTrue="1" operator="lessThan">
      <formula>0.5</formula>
    </cfRule>
  </conditionalFormatting>
  <conditionalFormatting sqref="D20">
    <cfRule type="cellIs" dxfId="26463" priority="155987" stopIfTrue="1" operator="greaterThanOrEqual">
      <formula>0.5</formula>
    </cfRule>
  </conditionalFormatting>
  <conditionalFormatting sqref="D21">
    <cfRule type="cellIs" dxfId="26462" priority="155988" stopIfTrue="1" operator="equal">
      <formula>-1</formula>
    </cfRule>
  </conditionalFormatting>
  <conditionalFormatting sqref="D21">
    <cfRule type="cellIs" dxfId="26461" priority="155989" stopIfTrue="1" operator="lessThan">
      <formula>0.5</formula>
    </cfRule>
  </conditionalFormatting>
  <conditionalFormatting sqref="D21">
    <cfRule type="cellIs" dxfId="26460" priority="155990" stopIfTrue="1" operator="greaterThanOrEqual">
      <formula>0.5</formula>
    </cfRule>
  </conditionalFormatting>
  <conditionalFormatting sqref="D22">
    <cfRule type="cellIs" dxfId="26459" priority="155991" stopIfTrue="1" operator="equal">
      <formula>-1</formula>
    </cfRule>
  </conditionalFormatting>
  <conditionalFormatting sqref="D22">
    <cfRule type="cellIs" dxfId="26458" priority="155992" stopIfTrue="1" operator="lessThan">
      <formula>0.5</formula>
    </cfRule>
  </conditionalFormatting>
  <conditionalFormatting sqref="D22">
    <cfRule type="cellIs" dxfId="26457" priority="155993" stopIfTrue="1" operator="greaterThanOrEqual">
      <formula>0.5</formula>
    </cfRule>
  </conditionalFormatting>
  <conditionalFormatting sqref="D23">
    <cfRule type="cellIs" dxfId="26456" priority="155994" stopIfTrue="1" operator="equal">
      <formula>-1</formula>
    </cfRule>
  </conditionalFormatting>
  <conditionalFormatting sqref="D23">
    <cfRule type="cellIs" dxfId="26455" priority="155995" stopIfTrue="1" operator="lessThan">
      <formula>0.5</formula>
    </cfRule>
  </conditionalFormatting>
  <conditionalFormatting sqref="D23">
    <cfRule type="cellIs" dxfId="26454" priority="155996" stopIfTrue="1" operator="greaterThanOrEqual">
      <formula>0.5</formula>
    </cfRule>
  </conditionalFormatting>
  <conditionalFormatting sqref="D24">
    <cfRule type="cellIs" dxfId="26453" priority="155997" stopIfTrue="1" operator="equal">
      <formula>-1</formula>
    </cfRule>
  </conditionalFormatting>
  <conditionalFormatting sqref="D24">
    <cfRule type="cellIs" dxfId="26452" priority="155998" stopIfTrue="1" operator="lessThan">
      <formula>0.5</formula>
    </cfRule>
  </conditionalFormatting>
  <conditionalFormatting sqref="D24">
    <cfRule type="cellIs" dxfId="26451" priority="155999" stopIfTrue="1" operator="greaterThanOrEqual">
      <formula>0.5</formula>
    </cfRule>
  </conditionalFormatting>
  <conditionalFormatting sqref="D25">
    <cfRule type="cellIs" dxfId="26450" priority="156000" stopIfTrue="1" operator="equal">
      <formula>-1</formula>
    </cfRule>
  </conditionalFormatting>
  <conditionalFormatting sqref="D25">
    <cfRule type="cellIs" dxfId="26449" priority="156001" stopIfTrue="1" operator="lessThan">
      <formula>0.5</formula>
    </cfRule>
  </conditionalFormatting>
  <conditionalFormatting sqref="D25">
    <cfRule type="cellIs" dxfId="26448" priority="156002" stopIfTrue="1" operator="greaterThanOrEqual">
      <formula>0.5</formula>
    </cfRule>
  </conditionalFormatting>
  <conditionalFormatting sqref="D26">
    <cfRule type="cellIs" dxfId="26447" priority="156003" stopIfTrue="1" operator="equal">
      <formula>-1</formula>
    </cfRule>
  </conditionalFormatting>
  <conditionalFormatting sqref="D26">
    <cfRule type="cellIs" dxfId="26446" priority="156004" stopIfTrue="1" operator="lessThan">
      <formula>0.5</formula>
    </cfRule>
  </conditionalFormatting>
  <conditionalFormatting sqref="D26">
    <cfRule type="cellIs" dxfId="26445" priority="156005" stopIfTrue="1" operator="greaterThanOrEqual">
      <formula>0.5</formula>
    </cfRule>
  </conditionalFormatting>
  <conditionalFormatting sqref="D27">
    <cfRule type="cellIs" dxfId="26444" priority="156006" stopIfTrue="1" operator="equal">
      <formula>-1</formula>
    </cfRule>
  </conditionalFormatting>
  <conditionalFormatting sqref="D27">
    <cfRule type="cellIs" dxfId="26443" priority="156007" stopIfTrue="1" operator="lessThan">
      <formula>0.5</formula>
    </cfRule>
  </conditionalFormatting>
  <conditionalFormatting sqref="D27">
    <cfRule type="cellIs" dxfId="26442" priority="156008" stopIfTrue="1" operator="greaterThanOrEqual">
      <formula>0.5</formula>
    </cfRule>
  </conditionalFormatting>
  <conditionalFormatting sqref="D28">
    <cfRule type="cellIs" dxfId="26441" priority="156009" stopIfTrue="1" operator="equal">
      <formula>-1</formula>
    </cfRule>
  </conditionalFormatting>
  <conditionalFormatting sqref="D28">
    <cfRule type="cellIs" dxfId="26440" priority="156010" stopIfTrue="1" operator="lessThan">
      <formula>0.5</formula>
    </cfRule>
  </conditionalFormatting>
  <conditionalFormatting sqref="D28">
    <cfRule type="cellIs" dxfId="26439" priority="156011" stopIfTrue="1" operator="greaterThanOrEqual">
      <formula>0.5</formula>
    </cfRule>
  </conditionalFormatting>
  <conditionalFormatting sqref="D29">
    <cfRule type="cellIs" dxfId="26438" priority="156012" stopIfTrue="1" operator="equal">
      <formula>-1</formula>
    </cfRule>
  </conditionalFormatting>
  <conditionalFormatting sqref="D29">
    <cfRule type="cellIs" dxfId="26437" priority="156013" stopIfTrue="1" operator="lessThan">
      <formula>0.5</formula>
    </cfRule>
  </conditionalFormatting>
  <conditionalFormatting sqref="D29">
    <cfRule type="cellIs" dxfId="26436" priority="156014" stopIfTrue="1" operator="greaterThanOrEqual">
      <formula>0.5</formula>
    </cfRule>
  </conditionalFormatting>
  <conditionalFormatting sqref="D30">
    <cfRule type="cellIs" dxfId="26435" priority="156015" stopIfTrue="1" operator="equal">
      <formula>-1</formula>
    </cfRule>
  </conditionalFormatting>
  <conditionalFormatting sqref="D30">
    <cfRule type="cellIs" dxfId="26434" priority="156016" stopIfTrue="1" operator="lessThan">
      <formula>0.5</formula>
    </cfRule>
  </conditionalFormatting>
  <conditionalFormatting sqref="D30">
    <cfRule type="cellIs" dxfId="26433" priority="156017" stopIfTrue="1" operator="greaterThanOrEqual">
      <formula>0.5</formula>
    </cfRule>
  </conditionalFormatting>
  <conditionalFormatting sqref="D31">
    <cfRule type="cellIs" dxfId="26432" priority="156018" stopIfTrue="1" operator="equal">
      <formula>-1</formula>
    </cfRule>
  </conditionalFormatting>
  <conditionalFormatting sqref="D31">
    <cfRule type="cellIs" dxfId="26431" priority="156019" stopIfTrue="1" operator="lessThan">
      <formula>0.5</formula>
    </cfRule>
  </conditionalFormatting>
  <conditionalFormatting sqref="D31">
    <cfRule type="cellIs" dxfId="26430" priority="156020" stopIfTrue="1" operator="greaterThanOrEqual">
      <formula>0.5</formula>
    </cfRule>
  </conditionalFormatting>
  <conditionalFormatting sqref="D32">
    <cfRule type="cellIs" dxfId="26429" priority="156021" stopIfTrue="1" operator="equal">
      <formula>-1</formula>
    </cfRule>
  </conditionalFormatting>
  <conditionalFormatting sqref="D32">
    <cfRule type="cellIs" dxfId="26428" priority="156022" stopIfTrue="1" operator="lessThan">
      <formula>0.5</formula>
    </cfRule>
  </conditionalFormatting>
  <conditionalFormatting sqref="D32">
    <cfRule type="cellIs" dxfId="26427" priority="156023" stopIfTrue="1" operator="greaterThanOrEqual">
      <formula>0.5</formula>
    </cfRule>
  </conditionalFormatting>
  <conditionalFormatting sqref="D33">
    <cfRule type="cellIs" dxfId="26426" priority="156024" stopIfTrue="1" operator="equal">
      <formula>-1</formula>
    </cfRule>
  </conditionalFormatting>
  <conditionalFormatting sqref="D33">
    <cfRule type="cellIs" dxfId="26425" priority="156025" stopIfTrue="1" operator="lessThan">
      <formula>0.5</formula>
    </cfRule>
  </conditionalFormatting>
  <conditionalFormatting sqref="D33">
    <cfRule type="cellIs" dxfId="26424" priority="156026" stopIfTrue="1" operator="greaterThanOrEqual">
      <formula>0.5</formula>
    </cfRule>
  </conditionalFormatting>
  <conditionalFormatting sqref="D34">
    <cfRule type="cellIs" dxfId="26423" priority="156027" stopIfTrue="1" operator="equal">
      <formula>-1</formula>
    </cfRule>
  </conditionalFormatting>
  <conditionalFormatting sqref="D34">
    <cfRule type="cellIs" dxfId="26422" priority="156028" stopIfTrue="1" operator="lessThan">
      <formula>0.5</formula>
    </cfRule>
  </conditionalFormatting>
  <conditionalFormatting sqref="D34">
    <cfRule type="cellIs" dxfId="26421" priority="156029" stopIfTrue="1" operator="greaterThanOrEqual">
      <formula>0.5</formula>
    </cfRule>
  </conditionalFormatting>
  <conditionalFormatting sqref="D35">
    <cfRule type="cellIs" dxfId="26420" priority="156030" stopIfTrue="1" operator="equal">
      <formula>-1</formula>
    </cfRule>
  </conditionalFormatting>
  <conditionalFormatting sqref="D35">
    <cfRule type="cellIs" dxfId="26419" priority="156031" stopIfTrue="1" operator="lessThan">
      <formula>0.5</formula>
    </cfRule>
  </conditionalFormatting>
  <conditionalFormatting sqref="D35">
    <cfRule type="cellIs" dxfId="26418" priority="156032" stopIfTrue="1" operator="greaterThanOrEqual">
      <formula>0.5</formula>
    </cfRule>
  </conditionalFormatting>
  <conditionalFormatting sqref="D36">
    <cfRule type="cellIs" dxfId="26417" priority="156033" stopIfTrue="1" operator="equal">
      <formula>-1</formula>
    </cfRule>
  </conditionalFormatting>
  <conditionalFormatting sqref="D36">
    <cfRule type="cellIs" dxfId="26416" priority="156034" stopIfTrue="1" operator="lessThan">
      <formula>0.5</formula>
    </cfRule>
  </conditionalFormatting>
  <conditionalFormatting sqref="D36">
    <cfRule type="cellIs" dxfId="26415" priority="156035" stopIfTrue="1" operator="greaterThanOrEqual">
      <formula>0.5</formula>
    </cfRule>
  </conditionalFormatting>
  <conditionalFormatting sqref="D37">
    <cfRule type="cellIs" dxfId="26414" priority="156036" stopIfTrue="1" operator="equal">
      <formula>-1</formula>
    </cfRule>
  </conditionalFormatting>
  <conditionalFormatting sqref="D37">
    <cfRule type="cellIs" dxfId="26413" priority="156037" stopIfTrue="1" operator="lessThan">
      <formula>0.5</formula>
    </cfRule>
  </conditionalFormatting>
  <conditionalFormatting sqref="D37">
    <cfRule type="cellIs" dxfId="26412" priority="156038" stopIfTrue="1" operator="greaterThanOrEqual">
      <formula>0.5</formula>
    </cfRule>
  </conditionalFormatting>
  <conditionalFormatting sqref="F17">
    <cfRule type="cellIs" dxfId="26411" priority="156039" stopIfTrue="1" operator="equal">
      <formula>-1</formula>
    </cfRule>
  </conditionalFormatting>
  <conditionalFormatting sqref="F17">
    <cfRule type="cellIs" dxfId="26410" priority="156040" stopIfTrue="1" operator="lessThan">
      <formula>0.5</formula>
    </cfRule>
  </conditionalFormatting>
  <conditionalFormatting sqref="F17">
    <cfRule type="cellIs" dxfId="26409" priority="156041" stopIfTrue="1" operator="greaterThanOrEqual">
      <formula>0.5</formula>
    </cfRule>
  </conditionalFormatting>
  <conditionalFormatting sqref="F18">
    <cfRule type="cellIs" dxfId="26408" priority="156042" stopIfTrue="1" operator="equal">
      <formula>-1</formula>
    </cfRule>
  </conditionalFormatting>
  <conditionalFormatting sqref="F18">
    <cfRule type="cellIs" dxfId="26407" priority="156043" stopIfTrue="1" operator="lessThan">
      <formula>0.5</formula>
    </cfRule>
  </conditionalFormatting>
  <conditionalFormatting sqref="F18">
    <cfRule type="cellIs" dxfId="26406" priority="156044" stopIfTrue="1" operator="greaterThanOrEqual">
      <formula>0.5</formula>
    </cfRule>
  </conditionalFormatting>
  <conditionalFormatting sqref="F19">
    <cfRule type="cellIs" dxfId="26405" priority="156045" stopIfTrue="1" operator="equal">
      <formula>-1</formula>
    </cfRule>
  </conditionalFormatting>
  <conditionalFormatting sqref="F19">
    <cfRule type="cellIs" dxfId="26404" priority="156046" stopIfTrue="1" operator="lessThan">
      <formula>0.5</formula>
    </cfRule>
  </conditionalFormatting>
  <conditionalFormatting sqref="F19">
    <cfRule type="cellIs" dxfId="26403" priority="156047" stopIfTrue="1" operator="greaterThanOrEqual">
      <formula>0.5</formula>
    </cfRule>
  </conditionalFormatting>
  <conditionalFormatting sqref="F20">
    <cfRule type="cellIs" dxfId="26402" priority="156048" stopIfTrue="1" operator="equal">
      <formula>-1</formula>
    </cfRule>
  </conditionalFormatting>
  <conditionalFormatting sqref="F20">
    <cfRule type="cellIs" dxfId="26401" priority="156049" stopIfTrue="1" operator="lessThan">
      <formula>0.5</formula>
    </cfRule>
  </conditionalFormatting>
  <conditionalFormatting sqref="F20">
    <cfRule type="cellIs" dxfId="26400" priority="156050" stopIfTrue="1" operator="greaterThanOrEqual">
      <formula>0.5</formula>
    </cfRule>
  </conditionalFormatting>
  <conditionalFormatting sqref="F21">
    <cfRule type="cellIs" dxfId="26399" priority="156051" stopIfTrue="1" operator="equal">
      <formula>-1</formula>
    </cfRule>
  </conditionalFormatting>
  <conditionalFormatting sqref="F21">
    <cfRule type="cellIs" dxfId="26398" priority="156052" stopIfTrue="1" operator="lessThan">
      <formula>0.5</formula>
    </cfRule>
  </conditionalFormatting>
  <conditionalFormatting sqref="F21">
    <cfRule type="cellIs" dxfId="26397" priority="156053" stopIfTrue="1" operator="greaterThanOrEqual">
      <formula>0.5</formula>
    </cfRule>
  </conditionalFormatting>
  <conditionalFormatting sqref="F22">
    <cfRule type="cellIs" dxfId="26396" priority="156054" stopIfTrue="1" operator="equal">
      <formula>-1</formula>
    </cfRule>
  </conditionalFormatting>
  <conditionalFormatting sqref="F22">
    <cfRule type="cellIs" dxfId="26395" priority="156055" stopIfTrue="1" operator="lessThan">
      <formula>0.5</formula>
    </cfRule>
  </conditionalFormatting>
  <conditionalFormatting sqref="F22">
    <cfRule type="cellIs" dxfId="26394" priority="156056" stopIfTrue="1" operator="greaterThanOrEqual">
      <formula>0.5</formula>
    </cfRule>
  </conditionalFormatting>
  <conditionalFormatting sqref="F23">
    <cfRule type="cellIs" dxfId="26393" priority="156057" stopIfTrue="1" operator="equal">
      <formula>-1</formula>
    </cfRule>
  </conditionalFormatting>
  <conditionalFormatting sqref="F23">
    <cfRule type="cellIs" dxfId="26392" priority="156058" stopIfTrue="1" operator="lessThan">
      <formula>0.5</formula>
    </cfRule>
  </conditionalFormatting>
  <conditionalFormatting sqref="F23">
    <cfRule type="cellIs" dxfId="26391" priority="156059" stopIfTrue="1" operator="greaterThanOrEqual">
      <formula>0.5</formula>
    </cfRule>
  </conditionalFormatting>
  <conditionalFormatting sqref="F24">
    <cfRule type="cellIs" dxfId="26390" priority="156060" stopIfTrue="1" operator="equal">
      <formula>-1</formula>
    </cfRule>
  </conditionalFormatting>
  <conditionalFormatting sqref="F24">
    <cfRule type="cellIs" dxfId="26389" priority="156061" stopIfTrue="1" operator="lessThan">
      <formula>0.5</formula>
    </cfRule>
  </conditionalFormatting>
  <conditionalFormatting sqref="F24">
    <cfRule type="cellIs" dxfId="26388" priority="156062" stopIfTrue="1" operator="greaterThanOrEqual">
      <formula>0.5</formula>
    </cfRule>
  </conditionalFormatting>
  <conditionalFormatting sqref="F25">
    <cfRule type="cellIs" dxfId="26387" priority="156063" stopIfTrue="1" operator="equal">
      <formula>-1</formula>
    </cfRule>
  </conditionalFormatting>
  <conditionalFormatting sqref="F25">
    <cfRule type="cellIs" dxfId="26386" priority="156064" stopIfTrue="1" operator="lessThan">
      <formula>0.5</formula>
    </cfRule>
  </conditionalFormatting>
  <conditionalFormatting sqref="F25">
    <cfRule type="cellIs" dxfId="26385" priority="156065" stopIfTrue="1" operator="greaterThanOrEqual">
      <formula>0.5</formula>
    </cfRule>
  </conditionalFormatting>
  <conditionalFormatting sqref="F26">
    <cfRule type="cellIs" dxfId="26384" priority="156066" stopIfTrue="1" operator="equal">
      <formula>-1</formula>
    </cfRule>
  </conditionalFormatting>
  <conditionalFormatting sqref="F26">
    <cfRule type="cellIs" dxfId="26383" priority="156067" stopIfTrue="1" operator="lessThan">
      <formula>0.5</formula>
    </cfRule>
  </conditionalFormatting>
  <conditionalFormatting sqref="F26">
    <cfRule type="cellIs" dxfId="26382" priority="156068" stopIfTrue="1" operator="greaterThanOrEqual">
      <formula>0.5</formula>
    </cfRule>
  </conditionalFormatting>
  <conditionalFormatting sqref="F27">
    <cfRule type="cellIs" dxfId="26381" priority="156069" stopIfTrue="1" operator="equal">
      <formula>-1</formula>
    </cfRule>
  </conditionalFormatting>
  <conditionalFormatting sqref="F27">
    <cfRule type="cellIs" dxfId="26380" priority="156070" stopIfTrue="1" operator="lessThan">
      <formula>0.5</formula>
    </cfRule>
  </conditionalFormatting>
  <conditionalFormatting sqref="F27">
    <cfRule type="cellIs" dxfId="26379" priority="156071" stopIfTrue="1" operator="greaterThanOrEqual">
      <formula>0.5</formula>
    </cfRule>
  </conditionalFormatting>
  <conditionalFormatting sqref="F28">
    <cfRule type="cellIs" dxfId="26378" priority="156072" stopIfTrue="1" operator="equal">
      <formula>-1</formula>
    </cfRule>
  </conditionalFormatting>
  <conditionalFormatting sqref="F28">
    <cfRule type="cellIs" dxfId="26377" priority="156073" stopIfTrue="1" operator="lessThan">
      <formula>0.5</formula>
    </cfRule>
  </conditionalFormatting>
  <conditionalFormatting sqref="F28">
    <cfRule type="cellIs" dxfId="26376" priority="156074" stopIfTrue="1" operator="greaterThanOrEqual">
      <formula>0.5</formula>
    </cfRule>
  </conditionalFormatting>
  <conditionalFormatting sqref="F29">
    <cfRule type="cellIs" dxfId="26375" priority="156075" stopIfTrue="1" operator="equal">
      <formula>-1</formula>
    </cfRule>
  </conditionalFormatting>
  <conditionalFormatting sqref="F29">
    <cfRule type="cellIs" dxfId="26374" priority="156076" stopIfTrue="1" operator="lessThan">
      <formula>0.5</formula>
    </cfRule>
  </conditionalFormatting>
  <conditionalFormatting sqref="F29">
    <cfRule type="cellIs" dxfId="26373" priority="156077" stopIfTrue="1" operator="greaterThanOrEqual">
      <formula>0.5</formula>
    </cfRule>
  </conditionalFormatting>
  <conditionalFormatting sqref="F30">
    <cfRule type="cellIs" dxfId="26372" priority="156078" stopIfTrue="1" operator="equal">
      <formula>-1</formula>
    </cfRule>
  </conditionalFormatting>
  <conditionalFormatting sqref="F30">
    <cfRule type="cellIs" dxfId="26371" priority="156079" stopIfTrue="1" operator="lessThan">
      <formula>0.5</formula>
    </cfRule>
  </conditionalFormatting>
  <conditionalFormatting sqref="F30">
    <cfRule type="cellIs" dxfId="26370" priority="156080" stopIfTrue="1" operator="greaterThanOrEqual">
      <formula>0.5</formula>
    </cfRule>
  </conditionalFormatting>
  <conditionalFormatting sqref="F31">
    <cfRule type="cellIs" dxfId="26369" priority="156081" stopIfTrue="1" operator="equal">
      <formula>-1</formula>
    </cfRule>
  </conditionalFormatting>
  <conditionalFormatting sqref="F31">
    <cfRule type="cellIs" dxfId="26368" priority="156082" stopIfTrue="1" operator="lessThan">
      <formula>0.5</formula>
    </cfRule>
  </conditionalFormatting>
  <conditionalFormatting sqref="F31">
    <cfRule type="cellIs" dxfId="26367" priority="156083" stopIfTrue="1" operator="greaterThanOrEqual">
      <formula>0.5</formula>
    </cfRule>
  </conditionalFormatting>
  <conditionalFormatting sqref="F32">
    <cfRule type="cellIs" dxfId="26366" priority="156084" stopIfTrue="1" operator="equal">
      <formula>-1</formula>
    </cfRule>
  </conditionalFormatting>
  <conditionalFormatting sqref="F32">
    <cfRule type="cellIs" dxfId="26365" priority="156085" stopIfTrue="1" operator="lessThan">
      <formula>0.5</formula>
    </cfRule>
  </conditionalFormatting>
  <conditionalFormatting sqref="F32">
    <cfRule type="cellIs" dxfId="26364" priority="156086" stopIfTrue="1" operator="greaterThanOrEqual">
      <formula>0.5</formula>
    </cfRule>
  </conditionalFormatting>
  <conditionalFormatting sqref="F33">
    <cfRule type="cellIs" dxfId="26363" priority="156087" stopIfTrue="1" operator="equal">
      <formula>-1</formula>
    </cfRule>
  </conditionalFormatting>
  <conditionalFormatting sqref="F33">
    <cfRule type="cellIs" dxfId="26362" priority="156088" stopIfTrue="1" operator="lessThan">
      <formula>0.5</formula>
    </cfRule>
  </conditionalFormatting>
  <conditionalFormatting sqref="F33">
    <cfRule type="cellIs" dxfId="26361" priority="156089" stopIfTrue="1" operator="greaterThanOrEqual">
      <formula>0.5</formula>
    </cfRule>
  </conditionalFormatting>
  <conditionalFormatting sqref="F34">
    <cfRule type="cellIs" dxfId="26360" priority="156090" stopIfTrue="1" operator="equal">
      <formula>-1</formula>
    </cfRule>
  </conditionalFormatting>
  <conditionalFormatting sqref="F34">
    <cfRule type="cellIs" dxfId="26359" priority="156091" stopIfTrue="1" operator="lessThan">
      <formula>0.5</formula>
    </cfRule>
  </conditionalFormatting>
  <conditionalFormatting sqref="F34">
    <cfRule type="cellIs" dxfId="26358" priority="156092" stopIfTrue="1" operator="greaterThanOrEqual">
      <formula>0.5</formula>
    </cfRule>
  </conditionalFormatting>
  <conditionalFormatting sqref="F35">
    <cfRule type="cellIs" dxfId="26357" priority="156093" stopIfTrue="1" operator="equal">
      <formula>-1</formula>
    </cfRule>
  </conditionalFormatting>
  <conditionalFormatting sqref="F35">
    <cfRule type="cellIs" dxfId="26356" priority="156094" stopIfTrue="1" operator="lessThan">
      <formula>0.5</formula>
    </cfRule>
  </conditionalFormatting>
  <conditionalFormatting sqref="F35">
    <cfRule type="cellIs" dxfId="26355" priority="156095" stopIfTrue="1" operator="greaterThanOrEqual">
      <formula>0.5</formula>
    </cfRule>
  </conditionalFormatting>
  <conditionalFormatting sqref="F36">
    <cfRule type="cellIs" dxfId="26354" priority="156096" stopIfTrue="1" operator="equal">
      <formula>-1</formula>
    </cfRule>
  </conditionalFormatting>
  <conditionalFormatting sqref="F36">
    <cfRule type="cellIs" dxfId="26353" priority="156097" stopIfTrue="1" operator="lessThan">
      <formula>0.5</formula>
    </cfRule>
  </conditionalFormatting>
  <conditionalFormatting sqref="F36">
    <cfRule type="cellIs" dxfId="26352" priority="156098" stopIfTrue="1" operator="greaterThanOrEqual">
      <formula>0.5</formula>
    </cfRule>
  </conditionalFormatting>
  <conditionalFormatting sqref="F37">
    <cfRule type="cellIs" dxfId="26351" priority="156099" stopIfTrue="1" operator="equal">
      <formula>-1</formula>
    </cfRule>
  </conditionalFormatting>
  <conditionalFormatting sqref="F37">
    <cfRule type="cellIs" dxfId="26350" priority="156100" stopIfTrue="1" operator="lessThan">
      <formula>0.5</formula>
    </cfRule>
  </conditionalFormatting>
  <conditionalFormatting sqref="F37">
    <cfRule type="cellIs" dxfId="26349" priority="156101" stopIfTrue="1" operator="greaterThanOrEqual">
      <formula>0.5</formula>
    </cfRule>
  </conditionalFormatting>
  <conditionalFormatting sqref="H17">
    <cfRule type="cellIs" dxfId="26348" priority="156102" stopIfTrue="1" operator="equal">
      <formula>-1</formula>
    </cfRule>
  </conditionalFormatting>
  <conditionalFormatting sqref="H17">
    <cfRule type="cellIs" dxfId="26347" priority="156103" stopIfTrue="1" operator="lessThan">
      <formula>0.5</formula>
    </cfRule>
  </conditionalFormatting>
  <conditionalFormatting sqref="H17">
    <cfRule type="cellIs" dxfId="26346" priority="156104" stopIfTrue="1" operator="greaterThanOrEqual">
      <formula>0.5</formula>
    </cfRule>
  </conditionalFormatting>
  <conditionalFormatting sqref="H18">
    <cfRule type="cellIs" dxfId="26345" priority="156105" stopIfTrue="1" operator="equal">
      <formula>-1</formula>
    </cfRule>
  </conditionalFormatting>
  <conditionalFormatting sqref="H18">
    <cfRule type="cellIs" dxfId="26344" priority="156106" stopIfTrue="1" operator="lessThan">
      <formula>0.5</formula>
    </cfRule>
  </conditionalFormatting>
  <conditionalFormatting sqref="H18">
    <cfRule type="cellIs" dxfId="26343" priority="156107" stopIfTrue="1" operator="greaterThanOrEqual">
      <formula>0.5</formula>
    </cfRule>
  </conditionalFormatting>
  <conditionalFormatting sqref="H19">
    <cfRule type="cellIs" dxfId="26342" priority="156108" stopIfTrue="1" operator="equal">
      <formula>-1</formula>
    </cfRule>
  </conditionalFormatting>
  <conditionalFormatting sqref="H19">
    <cfRule type="cellIs" dxfId="26341" priority="156109" stopIfTrue="1" operator="lessThan">
      <formula>0.5</formula>
    </cfRule>
  </conditionalFormatting>
  <conditionalFormatting sqref="H19">
    <cfRule type="cellIs" dxfId="26340" priority="156110" stopIfTrue="1" operator="greaterThanOrEqual">
      <formula>0.5</formula>
    </cfRule>
  </conditionalFormatting>
  <conditionalFormatting sqref="H20">
    <cfRule type="cellIs" dxfId="26339" priority="156111" stopIfTrue="1" operator="equal">
      <formula>-1</formula>
    </cfRule>
  </conditionalFormatting>
  <conditionalFormatting sqref="H20">
    <cfRule type="cellIs" dxfId="26338" priority="156112" stopIfTrue="1" operator="lessThan">
      <formula>0.5</formula>
    </cfRule>
  </conditionalFormatting>
  <conditionalFormatting sqref="H20">
    <cfRule type="cellIs" dxfId="26337" priority="156113" stopIfTrue="1" operator="greaterThanOrEqual">
      <formula>0.5</formula>
    </cfRule>
  </conditionalFormatting>
  <conditionalFormatting sqref="H21">
    <cfRule type="cellIs" dxfId="26336" priority="156114" stopIfTrue="1" operator="equal">
      <formula>-1</formula>
    </cfRule>
  </conditionalFormatting>
  <conditionalFormatting sqref="H21">
    <cfRule type="cellIs" dxfId="26335" priority="156115" stopIfTrue="1" operator="lessThan">
      <formula>0.5</formula>
    </cfRule>
  </conditionalFormatting>
  <conditionalFormatting sqref="H21">
    <cfRule type="cellIs" dxfId="26334" priority="156116" stopIfTrue="1" operator="greaterThanOrEqual">
      <formula>0.5</formula>
    </cfRule>
  </conditionalFormatting>
  <conditionalFormatting sqref="H22">
    <cfRule type="cellIs" dxfId="26333" priority="156117" stopIfTrue="1" operator="equal">
      <formula>-1</formula>
    </cfRule>
  </conditionalFormatting>
  <conditionalFormatting sqref="H22">
    <cfRule type="cellIs" dxfId="26332" priority="156118" stopIfTrue="1" operator="lessThan">
      <formula>0.5</formula>
    </cfRule>
  </conditionalFormatting>
  <conditionalFormatting sqref="H22">
    <cfRule type="cellIs" dxfId="26331" priority="156119" stopIfTrue="1" operator="greaterThanOrEqual">
      <formula>0.5</formula>
    </cfRule>
  </conditionalFormatting>
  <conditionalFormatting sqref="H23">
    <cfRule type="cellIs" dxfId="26330" priority="156120" stopIfTrue="1" operator="equal">
      <formula>-1</formula>
    </cfRule>
  </conditionalFormatting>
  <conditionalFormatting sqref="H23">
    <cfRule type="cellIs" dxfId="26329" priority="156121" stopIfTrue="1" operator="lessThan">
      <formula>0.5</formula>
    </cfRule>
  </conditionalFormatting>
  <conditionalFormatting sqref="H23">
    <cfRule type="cellIs" dxfId="26328" priority="156122" stopIfTrue="1" operator="greaterThanOrEqual">
      <formula>0.5</formula>
    </cfRule>
  </conditionalFormatting>
  <conditionalFormatting sqref="H24">
    <cfRule type="cellIs" dxfId="26327" priority="156123" stopIfTrue="1" operator="equal">
      <formula>-1</formula>
    </cfRule>
  </conditionalFormatting>
  <conditionalFormatting sqref="H24">
    <cfRule type="cellIs" dxfId="26326" priority="156124" stopIfTrue="1" operator="lessThan">
      <formula>0.5</formula>
    </cfRule>
  </conditionalFormatting>
  <conditionalFormatting sqref="H24">
    <cfRule type="cellIs" dxfId="26325" priority="156125" stopIfTrue="1" operator="greaterThanOrEqual">
      <formula>0.5</formula>
    </cfRule>
  </conditionalFormatting>
  <conditionalFormatting sqref="H25">
    <cfRule type="cellIs" dxfId="26324" priority="156126" stopIfTrue="1" operator="equal">
      <formula>-1</formula>
    </cfRule>
  </conditionalFormatting>
  <conditionalFormatting sqref="H25">
    <cfRule type="cellIs" dxfId="26323" priority="156127" stopIfTrue="1" operator="lessThan">
      <formula>0.5</formula>
    </cfRule>
  </conditionalFormatting>
  <conditionalFormatting sqref="H25">
    <cfRule type="cellIs" dxfId="26322" priority="156128" stopIfTrue="1" operator="greaterThanOrEqual">
      <formula>0.5</formula>
    </cfRule>
  </conditionalFormatting>
  <conditionalFormatting sqref="H26">
    <cfRule type="cellIs" dxfId="26321" priority="156129" stopIfTrue="1" operator="equal">
      <formula>-1</formula>
    </cfRule>
  </conditionalFormatting>
  <conditionalFormatting sqref="H26">
    <cfRule type="cellIs" dxfId="26320" priority="156130" stopIfTrue="1" operator="lessThan">
      <formula>0.5</formula>
    </cfRule>
  </conditionalFormatting>
  <conditionalFormatting sqref="H26">
    <cfRule type="cellIs" dxfId="26319" priority="156131" stopIfTrue="1" operator="greaterThanOrEqual">
      <formula>0.5</formula>
    </cfRule>
  </conditionalFormatting>
  <conditionalFormatting sqref="H27">
    <cfRule type="cellIs" dxfId="26318" priority="156132" stopIfTrue="1" operator="equal">
      <formula>-1</formula>
    </cfRule>
  </conditionalFormatting>
  <conditionalFormatting sqref="H27">
    <cfRule type="cellIs" dxfId="26317" priority="156133" stopIfTrue="1" operator="lessThan">
      <formula>0.5</formula>
    </cfRule>
  </conditionalFormatting>
  <conditionalFormatting sqref="H27">
    <cfRule type="cellIs" dxfId="26316" priority="156134" stopIfTrue="1" operator="greaterThanOrEqual">
      <formula>0.5</formula>
    </cfRule>
  </conditionalFormatting>
  <conditionalFormatting sqref="H28">
    <cfRule type="cellIs" dxfId="26315" priority="156135" stopIfTrue="1" operator="equal">
      <formula>-1</formula>
    </cfRule>
  </conditionalFormatting>
  <conditionalFormatting sqref="H28">
    <cfRule type="cellIs" dxfId="26314" priority="156136" stopIfTrue="1" operator="lessThan">
      <formula>0.5</formula>
    </cfRule>
  </conditionalFormatting>
  <conditionalFormatting sqref="H28">
    <cfRule type="cellIs" dxfId="26313" priority="156137" stopIfTrue="1" operator="greaterThanOrEqual">
      <formula>0.5</formula>
    </cfRule>
  </conditionalFormatting>
  <conditionalFormatting sqref="H29">
    <cfRule type="cellIs" dxfId="26312" priority="156138" stopIfTrue="1" operator="equal">
      <formula>-1</formula>
    </cfRule>
  </conditionalFormatting>
  <conditionalFormatting sqref="H29">
    <cfRule type="cellIs" dxfId="26311" priority="156139" stopIfTrue="1" operator="lessThan">
      <formula>0.5</formula>
    </cfRule>
  </conditionalFormatting>
  <conditionalFormatting sqref="H29">
    <cfRule type="cellIs" dxfId="26310" priority="156140" stopIfTrue="1" operator="greaterThanOrEqual">
      <formula>0.5</formula>
    </cfRule>
  </conditionalFormatting>
  <conditionalFormatting sqref="H30">
    <cfRule type="cellIs" dxfId="26309" priority="156141" stopIfTrue="1" operator="equal">
      <formula>-1</formula>
    </cfRule>
  </conditionalFormatting>
  <conditionalFormatting sqref="H30">
    <cfRule type="cellIs" dxfId="26308" priority="156142" stopIfTrue="1" operator="lessThan">
      <formula>0.5</formula>
    </cfRule>
  </conditionalFormatting>
  <conditionalFormatting sqref="H30">
    <cfRule type="cellIs" dxfId="26307" priority="156143" stopIfTrue="1" operator="greaterThanOrEqual">
      <formula>0.5</formula>
    </cfRule>
  </conditionalFormatting>
  <conditionalFormatting sqref="H31">
    <cfRule type="cellIs" dxfId="26306" priority="156144" stopIfTrue="1" operator="equal">
      <formula>-1</formula>
    </cfRule>
  </conditionalFormatting>
  <conditionalFormatting sqref="H31">
    <cfRule type="cellIs" dxfId="26305" priority="156145" stopIfTrue="1" operator="lessThan">
      <formula>0.5</formula>
    </cfRule>
  </conditionalFormatting>
  <conditionalFormatting sqref="H31">
    <cfRule type="cellIs" dxfId="26304" priority="156146" stopIfTrue="1" operator="greaterThanOrEqual">
      <formula>0.5</formula>
    </cfRule>
  </conditionalFormatting>
  <conditionalFormatting sqref="H32">
    <cfRule type="cellIs" dxfId="26303" priority="156147" stopIfTrue="1" operator="equal">
      <formula>-1</formula>
    </cfRule>
  </conditionalFormatting>
  <conditionalFormatting sqref="H32">
    <cfRule type="cellIs" dxfId="26302" priority="156148" stopIfTrue="1" operator="lessThan">
      <formula>0.5</formula>
    </cfRule>
  </conditionalFormatting>
  <conditionalFormatting sqref="H32">
    <cfRule type="cellIs" dxfId="26301" priority="156149" stopIfTrue="1" operator="greaterThanOrEqual">
      <formula>0.5</formula>
    </cfRule>
  </conditionalFormatting>
  <conditionalFormatting sqref="H33">
    <cfRule type="cellIs" dxfId="26300" priority="156150" stopIfTrue="1" operator="equal">
      <formula>-1</formula>
    </cfRule>
  </conditionalFormatting>
  <conditionalFormatting sqref="H33">
    <cfRule type="cellIs" dxfId="26299" priority="156151" stopIfTrue="1" operator="lessThan">
      <formula>0.5</formula>
    </cfRule>
  </conditionalFormatting>
  <conditionalFormatting sqref="H33">
    <cfRule type="cellIs" dxfId="26298" priority="156152" stopIfTrue="1" operator="greaterThanOrEqual">
      <formula>0.5</formula>
    </cfRule>
  </conditionalFormatting>
  <conditionalFormatting sqref="H34">
    <cfRule type="cellIs" dxfId="26297" priority="156153" stopIfTrue="1" operator="equal">
      <formula>-1</formula>
    </cfRule>
  </conditionalFormatting>
  <conditionalFormatting sqref="H34">
    <cfRule type="cellIs" dxfId="26296" priority="156154" stopIfTrue="1" operator="lessThan">
      <formula>0.5</formula>
    </cfRule>
  </conditionalFormatting>
  <conditionalFormatting sqref="H34">
    <cfRule type="cellIs" dxfId="26295" priority="156155" stopIfTrue="1" operator="greaterThanOrEqual">
      <formula>0.5</formula>
    </cfRule>
  </conditionalFormatting>
  <conditionalFormatting sqref="H35">
    <cfRule type="cellIs" dxfId="26294" priority="156156" stopIfTrue="1" operator="equal">
      <formula>-1</formula>
    </cfRule>
  </conditionalFormatting>
  <conditionalFormatting sqref="H35">
    <cfRule type="cellIs" dxfId="26293" priority="156157" stopIfTrue="1" operator="lessThan">
      <formula>0.5</formula>
    </cfRule>
  </conditionalFormatting>
  <conditionalFormatting sqref="H35">
    <cfRule type="cellIs" dxfId="26292" priority="156158" stopIfTrue="1" operator="greaterThanOrEqual">
      <formula>0.5</formula>
    </cfRule>
  </conditionalFormatting>
  <conditionalFormatting sqref="H36">
    <cfRule type="cellIs" dxfId="26291" priority="156159" stopIfTrue="1" operator="equal">
      <formula>-1</formula>
    </cfRule>
  </conditionalFormatting>
  <conditionalFormatting sqref="H36">
    <cfRule type="cellIs" dxfId="26290" priority="156160" stopIfTrue="1" operator="lessThan">
      <formula>0.5</formula>
    </cfRule>
  </conditionalFormatting>
  <conditionalFormatting sqref="H36">
    <cfRule type="cellIs" dxfId="26289" priority="156161" stopIfTrue="1" operator="greaterThanOrEqual">
      <formula>0.5</formula>
    </cfRule>
  </conditionalFormatting>
  <conditionalFormatting sqref="H37">
    <cfRule type="cellIs" dxfId="26288" priority="156162" stopIfTrue="1" operator="equal">
      <formula>-1</formula>
    </cfRule>
  </conditionalFormatting>
  <conditionalFormatting sqref="H37">
    <cfRule type="cellIs" dxfId="26287" priority="156163" stopIfTrue="1" operator="lessThan">
      <formula>0.5</formula>
    </cfRule>
  </conditionalFormatting>
  <conditionalFormatting sqref="H37">
    <cfRule type="cellIs" dxfId="26286" priority="156164" stopIfTrue="1" operator="greaterThanOrEqual">
      <formula>0.5</formula>
    </cfRule>
  </conditionalFormatting>
  <conditionalFormatting sqref="J17">
    <cfRule type="cellIs" dxfId="26285" priority="156165" stopIfTrue="1" operator="equal">
      <formula>-1</formula>
    </cfRule>
  </conditionalFormatting>
  <conditionalFormatting sqref="J17">
    <cfRule type="cellIs" dxfId="26284" priority="156166" stopIfTrue="1" operator="lessThan">
      <formula>0.5</formula>
    </cfRule>
  </conditionalFormatting>
  <conditionalFormatting sqref="J17">
    <cfRule type="cellIs" dxfId="26283" priority="156167" stopIfTrue="1" operator="greaterThanOrEqual">
      <formula>0.5</formula>
    </cfRule>
  </conditionalFormatting>
  <conditionalFormatting sqref="J18">
    <cfRule type="cellIs" dxfId="26282" priority="156168" stopIfTrue="1" operator="equal">
      <formula>-1</formula>
    </cfRule>
  </conditionalFormatting>
  <conditionalFormatting sqref="J18">
    <cfRule type="cellIs" dxfId="26281" priority="156169" stopIfTrue="1" operator="lessThan">
      <formula>0.5</formula>
    </cfRule>
  </conditionalFormatting>
  <conditionalFormatting sqref="J18">
    <cfRule type="cellIs" dxfId="26280" priority="156170" stopIfTrue="1" operator="greaterThanOrEqual">
      <formula>0.5</formula>
    </cfRule>
  </conditionalFormatting>
  <conditionalFormatting sqref="J19">
    <cfRule type="cellIs" dxfId="26279" priority="156171" stopIfTrue="1" operator="equal">
      <formula>-1</formula>
    </cfRule>
  </conditionalFormatting>
  <conditionalFormatting sqref="J19">
    <cfRule type="cellIs" dxfId="26278" priority="156172" stopIfTrue="1" operator="lessThan">
      <formula>0.5</formula>
    </cfRule>
  </conditionalFormatting>
  <conditionalFormatting sqref="J19">
    <cfRule type="cellIs" dxfId="26277" priority="156173" stopIfTrue="1" operator="greaterThanOrEqual">
      <formula>0.5</formula>
    </cfRule>
  </conditionalFormatting>
  <conditionalFormatting sqref="J20">
    <cfRule type="cellIs" dxfId="26276" priority="156174" stopIfTrue="1" operator="equal">
      <formula>-1</formula>
    </cfRule>
  </conditionalFormatting>
  <conditionalFormatting sqref="J20">
    <cfRule type="cellIs" dxfId="26275" priority="156175" stopIfTrue="1" operator="lessThan">
      <formula>0.5</formula>
    </cfRule>
  </conditionalFormatting>
  <conditionalFormatting sqref="J20">
    <cfRule type="cellIs" dxfId="26274" priority="156176" stopIfTrue="1" operator="greaterThanOrEqual">
      <formula>0.5</formula>
    </cfRule>
  </conditionalFormatting>
  <conditionalFormatting sqref="J21">
    <cfRule type="cellIs" dxfId="26273" priority="156177" stopIfTrue="1" operator="equal">
      <formula>-1</formula>
    </cfRule>
  </conditionalFormatting>
  <conditionalFormatting sqref="J21">
    <cfRule type="cellIs" dxfId="26272" priority="156178" stopIfTrue="1" operator="lessThan">
      <formula>0.5</formula>
    </cfRule>
  </conditionalFormatting>
  <conditionalFormatting sqref="J21">
    <cfRule type="cellIs" dxfId="26271" priority="156179" stopIfTrue="1" operator="greaterThanOrEqual">
      <formula>0.5</formula>
    </cfRule>
  </conditionalFormatting>
  <conditionalFormatting sqref="J22">
    <cfRule type="cellIs" dxfId="26270" priority="156180" stopIfTrue="1" operator="equal">
      <formula>-1</formula>
    </cfRule>
  </conditionalFormatting>
  <conditionalFormatting sqref="J22">
    <cfRule type="cellIs" dxfId="26269" priority="156181" stopIfTrue="1" operator="lessThan">
      <formula>0.5</formula>
    </cfRule>
  </conditionalFormatting>
  <conditionalFormatting sqref="J22">
    <cfRule type="cellIs" dxfId="26268" priority="156182" stopIfTrue="1" operator="greaterThanOrEqual">
      <formula>0.5</formula>
    </cfRule>
  </conditionalFormatting>
  <conditionalFormatting sqref="J23">
    <cfRule type="cellIs" dxfId="26267" priority="156183" stopIfTrue="1" operator="equal">
      <formula>-1</formula>
    </cfRule>
  </conditionalFormatting>
  <conditionalFormatting sqref="J23">
    <cfRule type="cellIs" dxfId="26266" priority="156184" stopIfTrue="1" operator="lessThan">
      <formula>0.5</formula>
    </cfRule>
  </conditionalFormatting>
  <conditionalFormatting sqref="J23">
    <cfRule type="cellIs" dxfId="26265" priority="156185" stopIfTrue="1" operator="greaterThanOrEqual">
      <formula>0.5</formula>
    </cfRule>
  </conditionalFormatting>
  <conditionalFormatting sqref="J24">
    <cfRule type="cellIs" dxfId="26264" priority="156186" stopIfTrue="1" operator="equal">
      <formula>-1</formula>
    </cfRule>
  </conditionalFormatting>
  <conditionalFormatting sqref="J24">
    <cfRule type="cellIs" dxfId="26263" priority="156187" stopIfTrue="1" operator="lessThan">
      <formula>0.5</formula>
    </cfRule>
  </conditionalFormatting>
  <conditionalFormatting sqref="J24">
    <cfRule type="cellIs" dxfId="26262" priority="156188" stopIfTrue="1" operator="greaterThanOrEqual">
      <formula>0.5</formula>
    </cfRule>
  </conditionalFormatting>
  <conditionalFormatting sqref="J25">
    <cfRule type="cellIs" dxfId="26261" priority="156189" stopIfTrue="1" operator="equal">
      <formula>-1</formula>
    </cfRule>
  </conditionalFormatting>
  <conditionalFormatting sqref="J25">
    <cfRule type="cellIs" dxfId="26260" priority="156190" stopIfTrue="1" operator="lessThan">
      <formula>0.5</formula>
    </cfRule>
  </conditionalFormatting>
  <conditionalFormatting sqref="J25">
    <cfRule type="cellIs" dxfId="26259" priority="156191" stopIfTrue="1" operator="greaterThanOrEqual">
      <formula>0.5</formula>
    </cfRule>
  </conditionalFormatting>
  <conditionalFormatting sqref="J26">
    <cfRule type="cellIs" dxfId="26258" priority="156192" stopIfTrue="1" operator="equal">
      <formula>-1</formula>
    </cfRule>
  </conditionalFormatting>
  <conditionalFormatting sqref="J26">
    <cfRule type="cellIs" dxfId="26257" priority="156193" stopIfTrue="1" operator="lessThan">
      <formula>0.5</formula>
    </cfRule>
  </conditionalFormatting>
  <conditionalFormatting sqref="J26">
    <cfRule type="cellIs" dxfId="26256" priority="156194" stopIfTrue="1" operator="greaterThanOrEqual">
      <formula>0.5</formula>
    </cfRule>
  </conditionalFormatting>
  <conditionalFormatting sqref="J27">
    <cfRule type="cellIs" dxfId="26255" priority="156195" stopIfTrue="1" operator="equal">
      <formula>-1</formula>
    </cfRule>
  </conditionalFormatting>
  <conditionalFormatting sqref="J27">
    <cfRule type="cellIs" dxfId="26254" priority="156196" stopIfTrue="1" operator="lessThan">
      <formula>0.5</formula>
    </cfRule>
  </conditionalFormatting>
  <conditionalFormatting sqref="J27">
    <cfRule type="cellIs" dxfId="26253" priority="156197" stopIfTrue="1" operator="greaterThanOrEqual">
      <formula>0.5</formula>
    </cfRule>
  </conditionalFormatting>
  <conditionalFormatting sqref="J28">
    <cfRule type="cellIs" dxfId="26252" priority="156198" stopIfTrue="1" operator="equal">
      <formula>-1</formula>
    </cfRule>
  </conditionalFormatting>
  <conditionalFormatting sqref="J28">
    <cfRule type="cellIs" dxfId="26251" priority="156199" stopIfTrue="1" operator="lessThan">
      <formula>0.5</formula>
    </cfRule>
  </conditionalFormatting>
  <conditionalFormatting sqref="J28">
    <cfRule type="cellIs" dxfId="26250" priority="156200" stopIfTrue="1" operator="greaterThanOrEqual">
      <formula>0.5</formula>
    </cfRule>
  </conditionalFormatting>
  <conditionalFormatting sqref="J29">
    <cfRule type="cellIs" dxfId="26249" priority="156201" stopIfTrue="1" operator="equal">
      <formula>-1</formula>
    </cfRule>
  </conditionalFormatting>
  <conditionalFormatting sqref="J29">
    <cfRule type="cellIs" dxfId="26248" priority="156202" stopIfTrue="1" operator="lessThan">
      <formula>0.5</formula>
    </cfRule>
  </conditionalFormatting>
  <conditionalFormatting sqref="J29">
    <cfRule type="cellIs" dxfId="26247" priority="156203" stopIfTrue="1" operator="greaterThanOrEqual">
      <formula>0.5</formula>
    </cfRule>
  </conditionalFormatting>
  <conditionalFormatting sqref="J30">
    <cfRule type="cellIs" dxfId="26246" priority="156204" stopIfTrue="1" operator="equal">
      <formula>-1</formula>
    </cfRule>
  </conditionalFormatting>
  <conditionalFormatting sqref="J30">
    <cfRule type="cellIs" dxfId="26245" priority="156205" stopIfTrue="1" operator="lessThan">
      <formula>0.5</formula>
    </cfRule>
  </conditionalFormatting>
  <conditionalFormatting sqref="J30">
    <cfRule type="cellIs" dxfId="26244" priority="156206" stopIfTrue="1" operator="greaterThanOrEqual">
      <formula>0.5</formula>
    </cfRule>
  </conditionalFormatting>
  <conditionalFormatting sqref="J31">
    <cfRule type="cellIs" dxfId="26243" priority="156207" stopIfTrue="1" operator="equal">
      <formula>-1</formula>
    </cfRule>
  </conditionalFormatting>
  <conditionalFormatting sqref="J31">
    <cfRule type="cellIs" dxfId="26242" priority="156208" stopIfTrue="1" operator="lessThan">
      <formula>0.5</formula>
    </cfRule>
  </conditionalFormatting>
  <conditionalFormatting sqref="J31">
    <cfRule type="cellIs" dxfId="26241" priority="156209" stopIfTrue="1" operator="greaterThanOrEqual">
      <formula>0.5</formula>
    </cfRule>
  </conditionalFormatting>
  <conditionalFormatting sqref="J32">
    <cfRule type="cellIs" dxfId="26240" priority="156210" stopIfTrue="1" operator="equal">
      <formula>-1</formula>
    </cfRule>
  </conditionalFormatting>
  <conditionalFormatting sqref="J32">
    <cfRule type="cellIs" dxfId="26239" priority="156211" stopIfTrue="1" operator="lessThan">
      <formula>0.5</formula>
    </cfRule>
  </conditionalFormatting>
  <conditionalFormatting sqref="J32">
    <cfRule type="cellIs" dxfId="26238" priority="156212" stopIfTrue="1" operator="greaterThanOrEqual">
      <formula>0.5</formula>
    </cfRule>
  </conditionalFormatting>
  <conditionalFormatting sqref="J33">
    <cfRule type="cellIs" dxfId="26237" priority="156213" stopIfTrue="1" operator="equal">
      <formula>-1</formula>
    </cfRule>
  </conditionalFormatting>
  <conditionalFormatting sqref="J33">
    <cfRule type="cellIs" dxfId="26236" priority="156214" stopIfTrue="1" operator="lessThan">
      <formula>0.5</formula>
    </cfRule>
  </conditionalFormatting>
  <conditionalFormatting sqref="J33">
    <cfRule type="cellIs" dxfId="26235" priority="156215" stopIfTrue="1" operator="greaterThanOrEqual">
      <formula>0.5</formula>
    </cfRule>
  </conditionalFormatting>
  <conditionalFormatting sqref="J34">
    <cfRule type="cellIs" dxfId="26234" priority="156216" stopIfTrue="1" operator="equal">
      <formula>-1</formula>
    </cfRule>
  </conditionalFormatting>
  <conditionalFormatting sqref="J34">
    <cfRule type="cellIs" dxfId="26233" priority="156217" stopIfTrue="1" operator="lessThan">
      <formula>0.5</formula>
    </cfRule>
  </conditionalFormatting>
  <conditionalFormatting sqref="J34">
    <cfRule type="cellIs" dxfId="26232" priority="156218" stopIfTrue="1" operator="greaterThanOrEqual">
      <formula>0.5</formula>
    </cfRule>
  </conditionalFormatting>
  <conditionalFormatting sqref="J35">
    <cfRule type="cellIs" dxfId="26231" priority="156219" stopIfTrue="1" operator="equal">
      <formula>-1</formula>
    </cfRule>
  </conditionalFormatting>
  <conditionalFormatting sqref="J35">
    <cfRule type="cellIs" dxfId="26230" priority="156220" stopIfTrue="1" operator="lessThan">
      <formula>0.5</formula>
    </cfRule>
  </conditionalFormatting>
  <conditionalFormatting sqref="J35">
    <cfRule type="cellIs" dxfId="26229" priority="156221" stopIfTrue="1" operator="greaterThanOrEqual">
      <formula>0.5</formula>
    </cfRule>
  </conditionalFormatting>
  <conditionalFormatting sqref="J36">
    <cfRule type="cellIs" dxfId="26228" priority="156222" stopIfTrue="1" operator="equal">
      <formula>-1</formula>
    </cfRule>
  </conditionalFormatting>
  <conditionalFormatting sqref="J36">
    <cfRule type="cellIs" dxfId="26227" priority="156223" stopIfTrue="1" operator="lessThan">
      <formula>0.5</formula>
    </cfRule>
  </conditionalFormatting>
  <conditionalFormatting sqref="J36">
    <cfRule type="cellIs" dxfId="26226" priority="156224" stopIfTrue="1" operator="greaterThanOrEqual">
      <formula>0.5</formula>
    </cfRule>
  </conditionalFormatting>
  <conditionalFormatting sqref="J37">
    <cfRule type="cellIs" dxfId="26225" priority="156225" stopIfTrue="1" operator="equal">
      <formula>-1</formula>
    </cfRule>
  </conditionalFormatting>
  <conditionalFormatting sqref="J37">
    <cfRule type="cellIs" dxfId="26224" priority="156226" stopIfTrue="1" operator="lessThan">
      <formula>0.5</formula>
    </cfRule>
  </conditionalFormatting>
  <conditionalFormatting sqref="J37">
    <cfRule type="cellIs" dxfId="26223" priority="156227" stopIfTrue="1" operator="greaterThanOrEqual">
      <formula>0.5</formula>
    </cfRule>
  </conditionalFormatting>
  <conditionalFormatting sqref="L17">
    <cfRule type="cellIs" dxfId="26222" priority="156228" stopIfTrue="1" operator="equal">
      <formula>-1</formula>
    </cfRule>
  </conditionalFormatting>
  <conditionalFormatting sqref="L17">
    <cfRule type="cellIs" dxfId="26221" priority="156229" stopIfTrue="1" operator="lessThan">
      <formula>0.5</formula>
    </cfRule>
  </conditionalFormatting>
  <conditionalFormatting sqref="L17">
    <cfRule type="cellIs" dxfId="26220" priority="156230" stopIfTrue="1" operator="greaterThanOrEqual">
      <formula>0.5</formula>
    </cfRule>
  </conditionalFormatting>
  <conditionalFormatting sqref="L18">
    <cfRule type="cellIs" dxfId="26219" priority="156231" stopIfTrue="1" operator="equal">
      <formula>-1</formula>
    </cfRule>
  </conditionalFormatting>
  <conditionalFormatting sqref="L18">
    <cfRule type="cellIs" dxfId="26218" priority="156232" stopIfTrue="1" operator="lessThan">
      <formula>0.5</formula>
    </cfRule>
  </conditionalFormatting>
  <conditionalFormatting sqref="L18">
    <cfRule type="cellIs" dxfId="26217" priority="156233" stopIfTrue="1" operator="greaterThanOrEqual">
      <formula>0.5</formula>
    </cfRule>
  </conditionalFormatting>
  <conditionalFormatting sqref="L19">
    <cfRule type="cellIs" dxfId="26216" priority="156234" stopIfTrue="1" operator="equal">
      <formula>-1</formula>
    </cfRule>
  </conditionalFormatting>
  <conditionalFormatting sqref="L19">
    <cfRule type="cellIs" dxfId="26215" priority="156235" stopIfTrue="1" operator="lessThan">
      <formula>0.5</formula>
    </cfRule>
  </conditionalFormatting>
  <conditionalFormatting sqref="L19">
    <cfRule type="cellIs" dxfId="26214" priority="156236" stopIfTrue="1" operator="greaterThanOrEqual">
      <formula>0.5</formula>
    </cfRule>
  </conditionalFormatting>
  <conditionalFormatting sqref="L20">
    <cfRule type="cellIs" dxfId="26213" priority="156237" stopIfTrue="1" operator="equal">
      <formula>-1</formula>
    </cfRule>
  </conditionalFormatting>
  <conditionalFormatting sqref="L20">
    <cfRule type="cellIs" dxfId="26212" priority="156238" stopIfTrue="1" operator="lessThan">
      <formula>0.5</formula>
    </cfRule>
  </conditionalFormatting>
  <conditionalFormatting sqref="L20">
    <cfRule type="cellIs" dxfId="26211" priority="156239" stopIfTrue="1" operator="greaterThanOrEqual">
      <formula>0.5</formula>
    </cfRule>
  </conditionalFormatting>
  <conditionalFormatting sqref="L21">
    <cfRule type="cellIs" dxfId="26210" priority="156240" stopIfTrue="1" operator="equal">
      <formula>-1</formula>
    </cfRule>
  </conditionalFormatting>
  <conditionalFormatting sqref="L21">
    <cfRule type="cellIs" dxfId="26209" priority="156241" stopIfTrue="1" operator="lessThan">
      <formula>0.5</formula>
    </cfRule>
  </conditionalFormatting>
  <conditionalFormatting sqref="L21">
    <cfRule type="cellIs" dxfId="26208" priority="156242" stopIfTrue="1" operator="greaterThanOrEqual">
      <formula>0.5</formula>
    </cfRule>
  </conditionalFormatting>
  <conditionalFormatting sqref="L22">
    <cfRule type="cellIs" dxfId="26207" priority="156243" stopIfTrue="1" operator="equal">
      <formula>-1</formula>
    </cfRule>
  </conditionalFormatting>
  <conditionalFormatting sqref="L22">
    <cfRule type="cellIs" dxfId="26206" priority="156244" stopIfTrue="1" operator="lessThan">
      <formula>0.5</formula>
    </cfRule>
  </conditionalFormatting>
  <conditionalFormatting sqref="L22">
    <cfRule type="cellIs" dxfId="26205" priority="156245" stopIfTrue="1" operator="greaterThanOrEqual">
      <formula>0.5</formula>
    </cfRule>
  </conditionalFormatting>
  <conditionalFormatting sqref="L23">
    <cfRule type="cellIs" dxfId="26204" priority="156246" stopIfTrue="1" operator="equal">
      <formula>-1</formula>
    </cfRule>
  </conditionalFormatting>
  <conditionalFormatting sqref="L23">
    <cfRule type="cellIs" dxfId="26203" priority="156247" stopIfTrue="1" operator="lessThan">
      <formula>0.5</formula>
    </cfRule>
  </conditionalFormatting>
  <conditionalFormatting sqref="L23">
    <cfRule type="cellIs" dxfId="26202" priority="156248" stopIfTrue="1" operator="greaterThanOrEqual">
      <formula>0.5</formula>
    </cfRule>
  </conditionalFormatting>
  <conditionalFormatting sqref="L24">
    <cfRule type="cellIs" dxfId="26201" priority="156249" stopIfTrue="1" operator="equal">
      <formula>-1</formula>
    </cfRule>
  </conditionalFormatting>
  <conditionalFormatting sqref="L24">
    <cfRule type="cellIs" dxfId="26200" priority="156250" stopIfTrue="1" operator="lessThan">
      <formula>0.5</formula>
    </cfRule>
  </conditionalFormatting>
  <conditionalFormatting sqref="L24">
    <cfRule type="cellIs" dxfId="26199" priority="156251" stopIfTrue="1" operator="greaterThanOrEqual">
      <formula>0.5</formula>
    </cfRule>
  </conditionalFormatting>
  <conditionalFormatting sqref="L25">
    <cfRule type="cellIs" dxfId="26198" priority="156252" stopIfTrue="1" operator="equal">
      <formula>-1</formula>
    </cfRule>
  </conditionalFormatting>
  <conditionalFormatting sqref="L25">
    <cfRule type="cellIs" dxfId="26197" priority="156253" stopIfTrue="1" operator="lessThan">
      <formula>0.5</formula>
    </cfRule>
  </conditionalFormatting>
  <conditionalFormatting sqref="L25">
    <cfRule type="cellIs" dxfId="26196" priority="156254" stopIfTrue="1" operator="greaterThanOrEqual">
      <formula>0.5</formula>
    </cfRule>
  </conditionalFormatting>
  <conditionalFormatting sqref="L26">
    <cfRule type="cellIs" dxfId="26195" priority="156255" stopIfTrue="1" operator="equal">
      <formula>-1</formula>
    </cfRule>
  </conditionalFormatting>
  <conditionalFormatting sqref="L26">
    <cfRule type="cellIs" dxfId="26194" priority="156256" stopIfTrue="1" operator="lessThan">
      <formula>0.5</formula>
    </cfRule>
  </conditionalFormatting>
  <conditionalFormatting sqref="L26">
    <cfRule type="cellIs" dxfId="26193" priority="156257" stopIfTrue="1" operator="greaterThanOrEqual">
      <formula>0.5</formula>
    </cfRule>
  </conditionalFormatting>
  <conditionalFormatting sqref="L27">
    <cfRule type="cellIs" dxfId="26192" priority="156258" stopIfTrue="1" operator="equal">
      <formula>-1</formula>
    </cfRule>
  </conditionalFormatting>
  <conditionalFormatting sqref="L27">
    <cfRule type="cellIs" dxfId="26191" priority="156259" stopIfTrue="1" operator="lessThan">
      <formula>0.5</formula>
    </cfRule>
  </conditionalFormatting>
  <conditionalFormatting sqref="L27">
    <cfRule type="cellIs" dxfId="26190" priority="156260" stopIfTrue="1" operator="greaterThanOrEqual">
      <formula>0.5</formula>
    </cfRule>
  </conditionalFormatting>
  <conditionalFormatting sqref="L28">
    <cfRule type="cellIs" dxfId="26189" priority="156261" stopIfTrue="1" operator="equal">
      <formula>-1</formula>
    </cfRule>
  </conditionalFormatting>
  <conditionalFormatting sqref="L28">
    <cfRule type="cellIs" dxfId="26188" priority="156262" stopIfTrue="1" operator="lessThan">
      <formula>0.5</formula>
    </cfRule>
  </conditionalFormatting>
  <conditionalFormatting sqref="L28">
    <cfRule type="cellIs" dxfId="26187" priority="156263" stopIfTrue="1" operator="greaterThanOrEqual">
      <formula>0.5</formula>
    </cfRule>
  </conditionalFormatting>
  <conditionalFormatting sqref="L29">
    <cfRule type="cellIs" dxfId="26186" priority="156264" stopIfTrue="1" operator="equal">
      <formula>-1</formula>
    </cfRule>
  </conditionalFormatting>
  <conditionalFormatting sqref="L29">
    <cfRule type="cellIs" dxfId="26185" priority="156265" stopIfTrue="1" operator="lessThan">
      <formula>0.5</formula>
    </cfRule>
  </conditionalFormatting>
  <conditionalFormatting sqref="L29">
    <cfRule type="cellIs" dxfId="26184" priority="156266" stopIfTrue="1" operator="greaterThanOrEqual">
      <formula>0.5</formula>
    </cfRule>
  </conditionalFormatting>
  <conditionalFormatting sqref="L30">
    <cfRule type="cellIs" dxfId="26183" priority="156267" stopIfTrue="1" operator="equal">
      <formula>-1</formula>
    </cfRule>
  </conditionalFormatting>
  <conditionalFormatting sqref="L30">
    <cfRule type="cellIs" dxfId="26182" priority="156268" stopIfTrue="1" operator="lessThan">
      <formula>0.5</formula>
    </cfRule>
  </conditionalFormatting>
  <conditionalFormatting sqref="L30">
    <cfRule type="cellIs" dxfId="26181" priority="156269" stopIfTrue="1" operator="greaterThanOrEqual">
      <formula>0.5</formula>
    </cfRule>
  </conditionalFormatting>
  <conditionalFormatting sqref="L31">
    <cfRule type="cellIs" dxfId="26180" priority="156270" stopIfTrue="1" operator="equal">
      <formula>-1</formula>
    </cfRule>
  </conditionalFormatting>
  <conditionalFormatting sqref="L31">
    <cfRule type="cellIs" dxfId="26179" priority="156271" stopIfTrue="1" operator="lessThan">
      <formula>0.5</formula>
    </cfRule>
  </conditionalFormatting>
  <conditionalFormatting sqref="L31">
    <cfRule type="cellIs" dxfId="26178" priority="156272" stopIfTrue="1" operator="greaterThanOrEqual">
      <formula>0.5</formula>
    </cfRule>
  </conditionalFormatting>
  <conditionalFormatting sqref="L32">
    <cfRule type="cellIs" dxfId="26177" priority="156273" stopIfTrue="1" operator="equal">
      <formula>-1</formula>
    </cfRule>
  </conditionalFormatting>
  <conditionalFormatting sqref="L32">
    <cfRule type="cellIs" dxfId="26176" priority="156274" stopIfTrue="1" operator="lessThan">
      <formula>0.5</formula>
    </cfRule>
  </conditionalFormatting>
  <conditionalFormatting sqref="L32">
    <cfRule type="cellIs" dxfId="26175" priority="156275" stopIfTrue="1" operator="greaterThanOrEqual">
      <formula>0.5</formula>
    </cfRule>
  </conditionalFormatting>
  <conditionalFormatting sqref="L33">
    <cfRule type="cellIs" dxfId="26174" priority="156276" stopIfTrue="1" operator="equal">
      <formula>-1</formula>
    </cfRule>
  </conditionalFormatting>
  <conditionalFormatting sqref="L33">
    <cfRule type="cellIs" dxfId="26173" priority="156277" stopIfTrue="1" operator="lessThan">
      <formula>0.5</formula>
    </cfRule>
  </conditionalFormatting>
  <conditionalFormatting sqref="L33">
    <cfRule type="cellIs" dxfId="26172" priority="156278" stopIfTrue="1" operator="greaterThanOrEqual">
      <formula>0.5</formula>
    </cfRule>
  </conditionalFormatting>
  <conditionalFormatting sqref="L34">
    <cfRule type="cellIs" dxfId="26171" priority="156279" stopIfTrue="1" operator="equal">
      <formula>-1</formula>
    </cfRule>
  </conditionalFormatting>
  <conditionalFormatting sqref="L34">
    <cfRule type="cellIs" dxfId="26170" priority="156280" stopIfTrue="1" operator="lessThan">
      <formula>0.5</formula>
    </cfRule>
  </conditionalFormatting>
  <conditionalFormatting sqref="L34">
    <cfRule type="cellIs" dxfId="26169" priority="156281" stopIfTrue="1" operator="greaterThanOrEqual">
      <formula>0.5</formula>
    </cfRule>
  </conditionalFormatting>
  <conditionalFormatting sqref="L35">
    <cfRule type="cellIs" dxfId="26168" priority="156282" stopIfTrue="1" operator="equal">
      <formula>-1</formula>
    </cfRule>
  </conditionalFormatting>
  <conditionalFormatting sqref="L35">
    <cfRule type="cellIs" dxfId="26167" priority="156283" stopIfTrue="1" operator="lessThan">
      <formula>0.5</formula>
    </cfRule>
  </conditionalFormatting>
  <conditionalFormatting sqref="L35">
    <cfRule type="cellIs" dxfId="26166" priority="156284" stopIfTrue="1" operator="greaterThanOrEqual">
      <formula>0.5</formula>
    </cfRule>
  </conditionalFormatting>
  <conditionalFormatting sqref="L36">
    <cfRule type="cellIs" dxfId="26165" priority="156285" stopIfTrue="1" operator="equal">
      <formula>-1</formula>
    </cfRule>
  </conditionalFormatting>
  <conditionalFormatting sqref="L36">
    <cfRule type="cellIs" dxfId="26164" priority="156286" stopIfTrue="1" operator="lessThan">
      <formula>0.5</formula>
    </cfRule>
  </conditionalFormatting>
  <conditionalFormatting sqref="L36">
    <cfRule type="cellIs" dxfId="26163" priority="156287" stopIfTrue="1" operator="greaterThanOrEqual">
      <formula>0.5</formula>
    </cfRule>
  </conditionalFormatting>
  <conditionalFormatting sqref="L37">
    <cfRule type="cellIs" dxfId="26162" priority="156288" stopIfTrue="1" operator="equal">
      <formula>-1</formula>
    </cfRule>
  </conditionalFormatting>
  <conditionalFormatting sqref="L37">
    <cfRule type="cellIs" dxfId="26161" priority="156289" stopIfTrue="1" operator="lessThan">
      <formula>0.5</formula>
    </cfRule>
  </conditionalFormatting>
  <conditionalFormatting sqref="L37">
    <cfRule type="cellIs" dxfId="26160" priority="156290" stopIfTrue="1" operator="greaterThanOrEqual">
      <formula>0.5</formula>
    </cfRule>
  </conditionalFormatting>
  <conditionalFormatting sqref="N17">
    <cfRule type="cellIs" dxfId="26159" priority="156291" stopIfTrue="1" operator="equal">
      <formula>-1</formula>
    </cfRule>
  </conditionalFormatting>
  <conditionalFormatting sqref="N17">
    <cfRule type="cellIs" dxfId="26158" priority="156292" stopIfTrue="1" operator="lessThan">
      <formula>0.5</formula>
    </cfRule>
  </conditionalFormatting>
  <conditionalFormatting sqref="N17">
    <cfRule type="cellIs" dxfId="26157" priority="156293" stopIfTrue="1" operator="greaterThanOrEqual">
      <formula>0.5</formula>
    </cfRule>
  </conditionalFormatting>
  <conditionalFormatting sqref="N18">
    <cfRule type="cellIs" dxfId="26156" priority="156294" stopIfTrue="1" operator="equal">
      <formula>-1</formula>
    </cfRule>
  </conditionalFormatting>
  <conditionalFormatting sqref="N18">
    <cfRule type="cellIs" dxfId="26155" priority="156295" stopIfTrue="1" operator="lessThan">
      <formula>0.5</formula>
    </cfRule>
  </conditionalFormatting>
  <conditionalFormatting sqref="N18">
    <cfRule type="cellIs" dxfId="26154" priority="156296" stopIfTrue="1" operator="greaterThanOrEqual">
      <formula>0.5</formula>
    </cfRule>
  </conditionalFormatting>
  <conditionalFormatting sqref="N19">
    <cfRule type="cellIs" dxfId="26153" priority="156297" stopIfTrue="1" operator="equal">
      <formula>-1</formula>
    </cfRule>
  </conditionalFormatting>
  <conditionalFormatting sqref="N19">
    <cfRule type="cellIs" dxfId="26152" priority="156298" stopIfTrue="1" operator="lessThan">
      <formula>0.5</formula>
    </cfRule>
  </conditionalFormatting>
  <conditionalFormatting sqref="N19">
    <cfRule type="cellIs" dxfId="26151" priority="156299" stopIfTrue="1" operator="greaterThanOrEqual">
      <formula>0.5</formula>
    </cfRule>
  </conditionalFormatting>
  <conditionalFormatting sqref="N20">
    <cfRule type="cellIs" dxfId="26150" priority="156300" stopIfTrue="1" operator="equal">
      <formula>-1</formula>
    </cfRule>
  </conditionalFormatting>
  <conditionalFormatting sqref="N20">
    <cfRule type="cellIs" dxfId="26149" priority="156301" stopIfTrue="1" operator="lessThan">
      <formula>0.5</formula>
    </cfRule>
  </conditionalFormatting>
  <conditionalFormatting sqref="N20">
    <cfRule type="cellIs" dxfId="26148" priority="156302" stopIfTrue="1" operator="greaterThanOrEqual">
      <formula>0.5</formula>
    </cfRule>
  </conditionalFormatting>
  <conditionalFormatting sqref="N21">
    <cfRule type="cellIs" dxfId="26147" priority="156303" stopIfTrue="1" operator="equal">
      <formula>-1</formula>
    </cfRule>
  </conditionalFormatting>
  <conditionalFormatting sqref="N21">
    <cfRule type="cellIs" dxfId="26146" priority="156304" stopIfTrue="1" operator="lessThan">
      <formula>0.5</formula>
    </cfRule>
  </conditionalFormatting>
  <conditionalFormatting sqref="N21">
    <cfRule type="cellIs" dxfId="26145" priority="156305" stopIfTrue="1" operator="greaterThanOrEqual">
      <formula>0.5</formula>
    </cfRule>
  </conditionalFormatting>
  <conditionalFormatting sqref="N22">
    <cfRule type="cellIs" dxfId="26144" priority="156306" stopIfTrue="1" operator="equal">
      <formula>-1</formula>
    </cfRule>
  </conditionalFormatting>
  <conditionalFormatting sqref="N22">
    <cfRule type="cellIs" dxfId="26143" priority="156307" stopIfTrue="1" operator="lessThan">
      <formula>0.5</formula>
    </cfRule>
  </conditionalFormatting>
  <conditionalFormatting sqref="N22">
    <cfRule type="cellIs" dxfId="26142" priority="156308" stopIfTrue="1" operator="greaterThanOrEqual">
      <formula>0.5</formula>
    </cfRule>
  </conditionalFormatting>
  <conditionalFormatting sqref="N23">
    <cfRule type="cellIs" dxfId="26141" priority="156309" stopIfTrue="1" operator="equal">
      <formula>-1</formula>
    </cfRule>
  </conditionalFormatting>
  <conditionalFormatting sqref="N23">
    <cfRule type="cellIs" dxfId="26140" priority="156310" stopIfTrue="1" operator="lessThan">
      <formula>0.5</formula>
    </cfRule>
  </conditionalFormatting>
  <conditionalFormatting sqref="N23">
    <cfRule type="cellIs" dxfId="26139" priority="156311" stopIfTrue="1" operator="greaterThanOrEqual">
      <formula>0.5</formula>
    </cfRule>
  </conditionalFormatting>
  <conditionalFormatting sqref="N24">
    <cfRule type="cellIs" dxfId="26138" priority="156312" stopIfTrue="1" operator="equal">
      <formula>-1</formula>
    </cfRule>
  </conditionalFormatting>
  <conditionalFormatting sqref="N24">
    <cfRule type="cellIs" dxfId="26137" priority="156313" stopIfTrue="1" operator="lessThan">
      <formula>0.5</formula>
    </cfRule>
  </conditionalFormatting>
  <conditionalFormatting sqref="N24">
    <cfRule type="cellIs" dxfId="26136" priority="156314" stopIfTrue="1" operator="greaterThanOrEqual">
      <formula>0.5</formula>
    </cfRule>
  </conditionalFormatting>
  <conditionalFormatting sqref="N25">
    <cfRule type="cellIs" dxfId="26135" priority="156315" stopIfTrue="1" operator="equal">
      <formula>-1</formula>
    </cfRule>
  </conditionalFormatting>
  <conditionalFormatting sqref="N25">
    <cfRule type="cellIs" dxfId="26134" priority="156316" stopIfTrue="1" operator="lessThan">
      <formula>0.5</formula>
    </cfRule>
  </conditionalFormatting>
  <conditionalFormatting sqref="N25">
    <cfRule type="cellIs" dxfId="26133" priority="156317" stopIfTrue="1" operator="greaterThanOrEqual">
      <formula>0.5</formula>
    </cfRule>
  </conditionalFormatting>
  <conditionalFormatting sqref="N26">
    <cfRule type="cellIs" dxfId="26132" priority="156318" stopIfTrue="1" operator="equal">
      <formula>-1</formula>
    </cfRule>
  </conditionalFormatting>
  <conditionalFormatting sqref="N26">
    <cfRule type="cellIs" dxfId="26131" priority="156319" stopIfTrue="1" operator="lessThan">
      <formula>0.5</formula>
    </cfRule>
  </conditionalFormatting>
  <conditionalFormatting sqref="N26">
    <cfRule type="cellIs" dxfId="26130" priority="156320" stopIfTrue="1" operator="greaterThanOrEqual">
      <formula>0.5</formula>
    </cfRule>
  </conditionalFormatting>
  <conditionalFormatting sqref="N27">
    <cfRule type="cellIs" dxfId="26129" priority="156321" stopIfTrue="1" operator="equal">
      <formula>-1</formula>
    </cfRule>
  </conditionalFormatting>
  <conditionalFormatting sqref="N27">
    <cfRule type="cellIs" dxfId="26128" priority="156322" stopIfTrue="1" operator="lessThan">
      <formula>0.5</formula>
    </cfRule>
  </conditionalFormatting>
  <conditionalFormatting sqref="N27">
    <cfRule type="cellIs" dxfId="26127" priority="156323" stopIfTrue="1" operator="greaterThanOrEqual">
      <formula>0.5</formula>
    </cfRule>
  </conditionalFormatting>
  <conditionalFormatting sqref="N28">
    <cfRule type="cellIs" dxfId="26126" priority="156324" stopIfTrue="1" operator="equal">
      <formula>-1</formula>
    </cfRule>
  </conditionalFormatting>
  <conditionalFormatting sqref="N28">
    <cfRule type="cellIs" dxfId="26125" priority="156325" stopIfTrue="1" operator="lessThan">
      <formula>0.5</formula>
    </cfRule>
  </conditionalFormatting>
  <conditionalFormatting sqref="N28">
    <cfRule type="cellIs" dxfId="26124" priority="156326" stopIfTrue="1" operator="greaterThanOrEqual">
      <formula>0.5</formula>
    </cfRule>
  </conditionalFormatting>
  <conditionalFormatting sqref="N29">
    <cfRule type="cellIs" dxfId="26123" priority="156327" stopIfTrue="1" operator="equal">
      <formula>-1</formula>
    </cfRule>
  </conditionalFormatting>
  <conditionalFormatting sqref="N29">
    <cfRule type="cellIs" dxfId="26122" priority="156328" stopIfTrue="1" operator="lessThan">
      <formula>0.5</formula>
    </cfRule>
  </conditionalFormatting>
  <conditionalFormatting sqref="N29">
    <cfRule type="cellIs" dxfId="26121" priority="156329" stopIfTrue="1" operator="greaterThanOrEqual">
      <formula>0.5</formula>
    </cfRule>
  </conditionalFormatting>
  <conditionalFormatting sqref="N30">
    <cfRule type="cellIs" dxfId="26120" priority="156330" stopIfTrue="1" operator="equal">
      <formula>-1</formula>
    </cfRule>
  </conditionalFormatting>
  <conditionalFormatting sqref="N30">
    <cfRule type="cellIs" dxfId="26119" priority="156331" stopIfTrue="1" operator="lessThan">
      <formula>0.5</formula>
    </cfRule>
  </conditionalFormatting>
  <conditionalFormatting sqref="N30">
    <cfRule type="cellIs" dxfId="26118" priority="156332" stopIfTrue="1" operator="greaterThanOrEqual">
      <formula>0.5</formula>
    </cfRule>
  </conditionalFormatting>
  <conditionalFormatting sqref="N31">
    <cfRule type="cellIs" dxfId="26117" priority="156333" stopIfTrue="1" operator="equal">
      <formula>-1</formula>
    </cfRule>
  </conditionalFormatting>
  <conditionalFormatting sqref="N31">
    <cfRule type="cellIs" dxfId="26116" priority="156334" stopIfTrue="1" operator="lessThan">
      <formula>0.5</formula>
    </cfRule>
  </conditionalFormatting>
  <conditionalFormatting sqref="N31">
    <cfRule type="cellIs" dxfId="26115" priority="156335" stopIfTrue="1" operator="greaterThanOrEqual">
      <formula>0.5</formula>
    </cfRule>
  </conditionalFormatting>
  <conditionalFormatting sqref="N32">
    <cfRule type="cellIs" dxfId="26114" priority="156336" stopIfTrue="1" operator="equal">
      <formula>-1</formula>
    </cfRule>
  </conditionalFormatting>
  <conditionalFormatting sqref="N32">
    <cfRule type="cellIs" dxfId="26113" priority="156337" stopIfTrue="1" operator="lessThan">
      <formula>0.5</formula>
    </cfRule>
  </conditionalFormatting>
  <conditionalFormatting sqref="N32">
    <cfRule type="cellIs" dxfId="26112" priority="156338" stopIfTrue="1" operator="greaterThanOrEqual">
      <formula>0.5</formula>
    </cfRule>
  </conditionalFormatting>
  <conditionalFormatting sqref="N33">
    <cfRule type="cellIs" dxfId="26111" priority="156339" stopIfTrue="1" operator="equal">
      <formula>-1</formula>
    </cfRule>
  </conditionalFormatting>
  <conditionalFormatting sqref="N33">
    <cfRule type="cellIs" dxfId="26110" priority="156340" stopIfTrue="1" operator="lessThan">
      <formula>0.5</formula>
    </cfRule>
  </conditionalFormatting>
  <conditionalFormatting sqref="N33">
    <cfRule type="cellIs" dxfId="26109" priority="156341" stopIfTrue="1" operator="greaterThanOrEqual">
      <formula>0.5</formula>
    </cfRule>
  </conditionalFormatting>
  <conditionalFormatting sqref="N34">
    <cfRule type="cellIs" dxfId="26108" priority="156342" stopIfTrue="1" operator="equal">
      <formula>-1</formula>
    </cfRule>
  </conditionalFormatting>
  <conditionalFormatting sqref="N34">
    <cfRule type="cellIs" dxfId="26107" priority="156343" stopIfTrue="1" operator="lessThan">
      <formula>0.5</formula>
    </cfRule>
  </conditionalFormatting>
  <conditionalFormatting sqref="N34">
    <cfRule type="cellIs" dxfId="26106" priority="156344" stopIfTrue="1" operator="greaterThanOrEqual">
      <formula>0.5</formula>
    </cfRule>
  </conditionalFormatting>
  <conditionalFormatting sqref="N35">
    <cfRule type="cellIs" dxfId="26105" priority="156345" stopIfTrue="1" operator="equal">
      <formula>-1</formula>
    </cfRule>
  </conditionalFormatting>
  <conditionalFormatting sqref="N35">
    <cfRule type="cellIs" dxfId="26104" priority="156346" stopIfTrue="1" operator="lessThan">
      <formula>0.5</formula>
    </cfRule>
  </conditionalFormatting>
  <conditionalFormatting sqref="N35">
    <cfRule type="cellIs" dxfId="26103" priority="156347" stopIfTrue="1" operator="greaterThanOrEqual">
      <formula>0.5</formula>
    </cfRule>
  </conditionalFormatting>
  <conditionalFormatting sqref="N36">
    <cfRule type="cellIs" dxfId="26102" priority="156348" stopIfTrue="1" operator="equal">
      <formula>-1</formula>
    </cfRule>
  </conditionalFormatting>
  <conditionalFormatting sqref="N36">
    <cfRule type="cellIs" dxfId="26101" priority="156349" stopIfTrue="1" operator="lessThan">
      <formula>0.5</formula>
    </cfRule>
  </conditionalFormatting>
  <conditionalFormatting sqref="N36">
    <cfRule type="cellIs" dxfId="26100" priority="156350" stopIfTrue="1" operator="greaterThanOrEqual">
      <formula>0.5</formula>
    </cfRule>
  </conditionalFormatting>
  <conditionalFormatting sqref="N37">
    <cfRule type="cellIs" dxfId="26099" priority="156351" stopIfTrue="1" operator="equal">
      <formula>-1</formula>
    </cfRule>
  </conditionalFormatting>
  <conditionalFormatting sqref="N37">
    <cfRule type="cellIs" dxfId="26098" priority="156352" stopIfTrue="1" operator="lessThan">
      <formula>0.5</formula>
    </cfRule>
  </conditionalFormatting>
  <conditionalFormatting sqref="N37">
    <cfRule type="cellIs" dxfId="26097" priority="156353" stopIfTrue="1" operator="greaterThanOrEqual">
      <formula>0.5</formula>
    </cfRule>
  </conditionalFormatting>
  <conditionalFormatting sqref="P17">
    <cfRule type="cellIs" dxfId="26096" priority="156354" stopIfTrue="1" operator="equal">
      <formula>-1</formula>
    </cfRule>
  </conditionalFormatting>
  <conditionalFormatting sqref="P17">
    <cfRule type="cellIs" dxfId="26095" priority="156355" stopIfTrue="1" operator="lessThan">
      <formula>0.5</formula>
    </cfRule>
  </conditionalFormatting>
  <conditionalFormatting sqref="P17">
    <cfRule type="cellIs" dxfId="26094" priority="156356" stopIfTrue="1" operator="greaterThanOrEqual">
      <formula>0.5</formula>
    </cfRule>
  </conditionalFormatting>
  <conditionalFormatting sqref="P18">
    <cfRule type="cellIs" dxfId="26093" priority="156357" stopIfTrue="1" operator="equal">
      <formula>-1</formula>
    </cfRule>
  </conditionalFormatting>
  <conditionalFormatting sqref="P18">
    <cfRule type="cellIs" dxfId="26092" priority="156358" stopIfTrue="1" operator="lessThan">
      <formula>0.5</formula>
    </cfRule>
  </conditionalFormatting>
  <conditionalFormatting sqref="P18">
    <cfRule type="cellIs" dxfId="26091" priority="156359" stopIfTrue="1" operator="greaterThanOrEqual">
      <formula>0.5</formula>
    </cfRule>
  </conditionalFormatting>
  <conditionalFormatting sqref="P19">
    <cfRule type="cellIs" dxfId="26090" priority="156360" stopIfTrue="1" operator="equal">
      <formula>-1</formula>
    </cfRule>
  </conditionalFormatting>
  <conditionalFormatting sqref="P19">
    <cfRule type="cellIs" dxfId="26089" priority="156361" stopIfTrue="1" operator="lessThan">
      <formula>0.5</formula>
    </cfRule>
  </conditionalFormatting>
  <conditionalFormatting sqref="P19">
    <cfRule type="cellIs" dxfId="26088" priority="156362" stopIfTrue="1" operator="greaterThanOrEqual">
      <formula>0.5</formula>
    </cfRule>
  </conditionalFormatting>
  <conditionalFormatting sqref="P20">
    <cfRule type="cellIs" dxfId="26087" priority="156363" stopIfTrue="1" operator="equal">
      <formula>-1</formula>
    </cfRule>
  </conditionalFormatting>
  <conditionalFormatting sqref="P20">
    <cfRule type="cellIs" dxfId="26086" priority="156364" stopIfTrue="1" operator="lessThan">
      <formula>0.5</formula>
    </cfRule>
  </conditionalFormatting>
  <conditionalFormatting sqref="P20">
    <cfRule type="cellIs" dxfId="26085" priority="156365" stopIfTrue="1" operator="greaterThanOrEqual">
      <formula>0.5</formula>
    </cfRule>
  </conditionalFormatting>
  <conditionalFormatting sqref="P21">
    <cfRule type="cellIs" dxfId="26084" priority="156366" stopIfTrue="1" operator="equal">
      <formula>-1</formula>
    </cfRule>
  </conditionalFormatting>
  <conditionalFormatting sqref="P21">
    <cfRule type="cellIs" dxfId="26083" priority="156367" stopIfTrue="1" operator="lessThan">
      <formula>0.5</formula>
    </cfRule>
  </conditionalFormatting>
  <conditionalFormatting sqref="P21">
    <cfRule type="cellIs" dxfId="26082" priority="156368" stopIfTrue="1" operator="greaterThanOrEqual">
      <formula>0.5</formula>
    </cfRule>
  </conditionalFormatting>
  <conditionalFormatting sqref="P22">
    <cfRule type="cellIs" dxfId="26081" priority="156369" stopIfTrue="1" operator="equal">
      <formula>-1</formula>
    </cfRule>
  </conditionalFormatting>
  <conditionalFormatting sqref="P22">
    <cfRule type="cellIs" dxfId="26080" priority="156370" stopIfTrue="1" operator="lessThan">
      <formula>0.5</formula>
    </cfRule>
  </conditionalFormatting>
  <conditionalFormatting sqref="P22">
    <cfRule type="cellIs" dxfId="26079" priority="156371" stopIfTrue="1" operator="greaterThanOrEqual">
      <formula>0.5</formula>
    </cfRule>
  </conditionalFormatting>
  <conditionalFormatting sqref="P23">
    <cfRule type="cellIs" dxfId="26078" priority="156372" stopIfTrue="1" operator="equal">
      <formula>-1</formula>
    </cfRule>
  </conditionalFormatting>
  <conditionalFormatting sqref="P23">
    <cfRule type="cellIs" dxfId="26077" priority="156373" stopIfTrue="1" operator="lessThan">
      <formula>0.5</formula>
    </cfRule>
  </conditionalFormatting>
  <conditionalFormatting sqref="P23">
    <cfRule type="cellIs" dxfId="26076" priority="156374" stopIfTrue="1" operator="greaterThanOrEqual">
      <formula>0.5</formula>
    </cfRule>
  </conditionalFormatting>
  <conditionalFormatting sqref="P24">
    <cfRule type="cellIs" dxfId="26075" priority="156375" stopIfTrue="1" operator="equal">
      <formula>-1</formula>
    </cfRule>
  </conditionalFormatting>
  <conditionalFormatting sqref="P24">
    <cfRule type="cellIs" dxfId="26074" priority="156376" stopIfTrue="1" operator="lessThan">
      <formula>0.5</formula>
    </cfRule>
  </conditionalFormatting>
  <conditionalFormatting sqref="P24">
    <cfRule type="cellIs" dxfId="26073" priority="156377" stopIfTrue="1" operator="greaterThanOrEqual">
      <formula>0.5</formula>
    </cfRule>
  </conditionalFormatting>
  <conditionalFormatting sqref="P25">
    <cfRule type="cellIs" dxfId="26072" priority="156378" stopIfTrue="1" operator="equal">
      <formula>-1</formula>
    </cfRule>
  </conditionalFormatting>
  <conditionalFormatting sqref="P25">
    <cfRule type="cellIs" dxfId="26071" priority="156379" stopIfTrue="1" operator="lessThan">
      <formula>0.5</formula>
    </cfRule>
  </conditionalFormatting>
  <conditionalFormatting sqref="P25">
    <cfRule type="cellIs" dxfId="26070" priority="156380" stopIfTrue="1" operator="greaterThanOrEqual">
      <formula>0.5</formula>
    </cfRule>
  </conditionalFormatting>
  <conditionalFormatting sqref="P26">
    <cfRule type="cellIs" dxfId="26069" priority="156381" stopIfTrue="1" operator="equal">
      <formula>-1</formula>
    </cfRule>
  </conditionalFormatting>
  <conditionalFormatting sqref="P26">
    <cfRule type="cellIs" dxfId="26068" priority="156382" stopIfTrue="1" operator="lessThan">
      <formula>0.5</formula>
    </cfRule>
  </conditionalFormatting>
  <conditionalFormatting sqref="P26">
    <cfRule type="cellIs" dxfId="26067" priority="156383" stopIfTrue="1" operator="greaterThanOrEqual">
      <formula>0.5</formula>
    </cfRule>
  </conditionalFormatting>
  <conditionalFormatting sqref="P27">
    <cfRule type="cellIs" dxfId="26066" priority="156384" stopIfTrue="1" operator="equal">
      <formula>-1</formula>
    </cfRule>
  </conditionalFormatting>
  <conditionalFormatting sqref="P27">
    <cfRule type="cellIs" dxfId="26065" priority="156385" stopIfTrue="1" operator="lessThan">
      <formula>0.5</formula>
    </cfRule>
  </conditionalFormatting>
  <conditionalFormatting sqref="P27">
    <cfRule type="cellIs" dxfId="26064" priority="156386" stopIfTrue="1" operator="greaterThanOrEqual">
      <formula>0.5</formula>
    </cfRule>
  </conditionalFormatting>
  <conditionalFormatting sqref="P28">
    <cfRule type="cellIs" dxfId="26063" priority="156387" stopIfTrue="1" operator="equal">
      <formula>-1</formula>
    </cfRule>
  </conditionalFormatting>
  <conditionalFormatting sqref="P28">
    <cfRule type="cellIs" dxfId="26062" priority="156388" stopIfTrue="1" operator="lessThan">
      <formula>0.5</formula>
    </cfRule>
  </conditionalFormatting>
  <conditionalFormatting sqref="P28">
    <cfRule type="cellIs" dxfId="26061" priority="156389" stopIfTrue="1" operator="greaterThanOrEqual">
      <formula>0.5</formula>
    </cfRule>
  </conditionalFormatting>
  <conditionalFormatting sqref="P29">
    <cfRule type="cellIs" dxfId="26060" priority="156390" stopIfTrue="1" operator="equal">
      <formula>-1</formula>
    </cfRule>
  </conditionalFormatting>
  <conditionalFormatting sqref="P29">
    <cfRule type="cellIs" dxfId="26059" priority="156391" stopIfTrue="1" operator="lessThan">
      <formula>0.5</formula>
    </cfRule>
  </conditionalFormatting>
  <conditionalFormatting sqref="P29">
    <cfRule type="cellIs" dxfId="26058" priority="156392" stopIfTrue="1" operator="greaterThanOrEqual">
      <formula>0.5</formula>
    </cfRule>
  </conditionalFormatting>
  <conditionalFormatting sqref="P30">
    <cfRule type="cellIs" dxfId="26057" priority="156393" stopIfTrue="1" operator="equal">
      <formula>-1</formula>
    </cfRule>
  </conditionalFormatting>
  <conditionalFormatting sqref="P30">
    <cfRule type="cellIs" dxfId="26056" priority="156394" stopIfTrue="1" operator="lessThan">
      <formula>0.5</formula>
    </cfRule>
  </conditionalFormatting>
  <conditionalFormatting sqref="P30">
    <cfRule type="cellIs" dxfId="26055" priority="156395" stopIfTrue="1" operator="greaterThanOrEqual">
      <formula>0.5</formula>
    </cfRule>
  </conditionalFormatting>
  <conditionalFormatting sqref="P31">
    <cfRule type="cellIs" dxfId="26054" priority="156396" stopIfTrue="1" operator="equal">
      <formula>-1</formula>
    </cfRule>
  </conditionalFormatting>
  <conditionalFormatting sqref="P31">
    <cfRule type="cellIs" dxfId="26053" priority="156397" stopIfTrue="1" operator="lessThan">
      <formula>0.5</formula>
    </cfRule>
  </conditionalFormatting>
  <conditionalFormatting sqref="P31">
    <cfRule type="cellIs" dxfId="26052" priority="156398" stopIfTrue="1" operator="greaterThanOrEqual">
      <formula>0.5</formula>
    </cfRule>
  </conditionalFormatting>
  <conditionalFormatting sqref="P32">
    <cfRule type="cellIs" dxfId="26051" priority="156399" stopIfTrue="1" operator="equal">
      <formula>-1</formula>
    </cfRule>
  </conditionalFormatting>
  <conditionalFormatting sqref="P32">
    <cfRule type="cellIs" dxfId="26050" priority="156400" stopIfTrue="1" operator="lessThan">
      <formula>0.5</formula>
    </cfRule>
  </conditionalFormatting>
  <conditionalFormatting sqref="P32">
    <cfRule type="cellIs" dxfId="26049" priority="156401" stopIfTrue="1" operator="greaterThanOrEqual">
      <formula>0.5</formula>
    </cfRule>
  </conditionalFormatting>
  <conditionalFormatting sqref="P33">
    <cfRule type="cellIs" dxfId="26048" priority="156402" stopIfTrue="1" operator="equal">
      <formula>-1</formula>
    </cfRule>
  </conditionalFormatting>
  <conditionalFormatting sqref="P33">
    <cfRule type="cellIs" dxfId="26047" priority="156403" stopIfTrue="1" operator="lessThan">
      <formula>0.5</formula>
    </cfRule>
  </conditionalFormatting>
  <conditionalFormatting sqref="P33">
    <cfRule type="cellIs" dxfId="26046" priority="156404" stopIfTrue="1" operator="greaterThanOrEqual">
      <formula>0.5</formula>
    </cfRule>
  </conditionalFormatting>
  <conditionalFormatting sqref="P34">
    <cfRule type="cellIs" dxfId="26045" priority="156405" stopIfTrue="1" operator="equal">
      <formula>-1</formula>
    </cfRule>
  </conditionalFormatting>
  <conditionalFormatting sqref="P34">
    <cfRule type="cellIs" dxfId="26044" priority="156406" stopIfTrue="1" operator="lessThan">
      <formula>0.5</formula>
    </cfRule>
  </conditionalFormatting>
  <conditionalFormatting sqref="P34">
    <cfRule type="cellIs" dxfId="26043" priority="156407" stopIfTrue="1" operator="greaterThanOrEqual">
      <formula>0.5</formula>
    </cfRule>
  </conditionalFormatting>
  <conditionalFormatting sqref="P35">
    <cfRule type="cellIs" dxfId="26042" priority="156408" stopIfTrue="1" operator="equal">
      <formula>-1</formula>
    </cfRule>
  </conditionalFormatting>
  <conditionalFormatting sqref="P35">
    <cfRule type="cellIs" dxfId="26041" priority="156409" stopIfTrue="1" operator="lessThan">
      <formula>0.5</formula>
    </cfRule>
  </conditionalFormatting>
  <conditionalFormatting sqref="P35">
    <cfRule type="cellIs" dxfId="26040" priority="156410" stopIfTrue="1" operator="greaterThanOrEqual">
      <formula>0.5</formula>
    </cfRule>
  </conditionalFormatting>
  <conditionalFormatting sqref="P36">
    <cfRule type="cellIs" dxfId="26039" priority="156411" stopIfTrue="1" operator="equal">
      <formula>-1</formula>
    </cfRule>
  </conditionalFormatting>
  <conditionalFormatting sqref="P36">
    <cfRule type="cellIs" dxfId="26038" priority="156412" stopIfTrue="1" operator="lessThan">
      <formula>0.5</formula>
    </cfRule>
  </conditionalFormatting>
  <conditionalFormatting sqref="P36">
    <cfRule type="cellIs" dxfId="26037" priority="156413" stopIfTrue="1" operator="greaterThanOrEqual">
      <formula>0.5</formula>
    </cfRule>
  </conditionalFormatting>
  <conditionalFormatting sqref="P37">
    <cfRule type="cellIs" dxfId="26036" priority="156414" stopIfTrue="1" operator="equal">
      <formula>-1</formula>
    </cfRule>
  </conditionalFormatting>
  <conditionalFormatting sqref="P37">
    <cfRule type="cellIs" dxfId="26035" priority="156415" stopIfTrue="1" operator="lessThan">
      <formula>0.5</formula>
    </cfRule>
  </conditionalFormatting>
  <conditionalFormatting sqref="P37">
    <cfRule type="cellIs" dxfId="26034" priority="156416" stopIfTrue="1" operator="greaterThanOrEqual">
      <formula>0.5</formula>
    </cfRule>
  </conditionalFormatting>
  <conditionalFormatting sqref="R17">
    <cfRule type="cellIs" dxfId="26033" priority="156417" stopIfTrue="1" operator="equal">
      <formula>-1</formula>
    </cfRule>
  </conditionalFormatting>
  <conditionalFormatting sqref="R17">
    <cfRule type="cellIs" dxfId="26032" priority="156418" stopIfTrue="1" operator="lessThan">
      <formula>0.5</formula>
    </cfRule>
  </conditionalFormatting>
  <conditionalFormatting sqref="R17">
    <cfRule type="cellIs" dxfId="26031" priority="156419" stopIfTrue="1" operator="greaterThanOrEqual">
      <formula>0.5</formula>
    </cfRule>
  </conditionalFormatting>
  <conditionalFormatting sqref="R18">
    <cfRule type="cellIs" dxfId="26030" priority="156420" stopIfTrue="1" operator="equal">
      <formula>-1</formula>
    </cfRule>
  </conditionalFormatting>
  <conditionalFormatting sqref="R18">
    <cfRule type="cellIs" dxfId="26029" priority="156421" stopIfTrue="1" operator="lessThan">
      <formula>0.5</formula>
    </cfRule>
  </conditionalFormatting>
  <conditionalFormatting sqref="R18">
    <cfRule type="cellIs" dxfId="26028" priority="156422" stopIfTrue="1" operator="greaterThanOrEqual">
      <formula>0.5</formula>
    </cfRule>
  </conditionalFormatting>
  <conditionalFormatting sqref="R19">
    <cfRule type="cellIs" dxfId="26027" priority="156423" stopIfTrue="1" operator="equal">
      <formula>-1</formula>
    </cfRule>
  </conditionalFormatting>
  <conditionalFormatting sqref="R19">
    <cfRule type="cellIs" dxfId="26026" priority="156424" stopIfTrue="1" operator="lessThan">
      <formula>0.5</formula>
    </cfRule>
  </conditionalFormatting>
  <conditionalFormatting sqref="R19">
    <cfRule type="cellIs" dxfId="26025" priority="156425" stopIfTrue="1" operator="greaterThanOrEqual">
      <formula>0.5</formula>
    </cfRule>
  </conditionalFormatting>
  <conditionalFormatting sqref="R20">
    <cfRule type="cellIs" dxfId="26024" priority="156426" stopIfTrue="1" operator="equal">
      <formula>-1</formula>
    </cfRule>
  </conditionalFormatting>
  <conditionalFormatting sqref="R20">
    <cfRule type="cellIs" dxfId="26023" priority="156427" stopIfTrue="1" operator="lessThan">
      <formula>0.5</formula>
    </cfRule>
  </conditionalFormatting>
  <conditionalFormatting sqref="R20">
    <cfRule type="cellIs" dxfId="26022" priority="156428" stopIfTrue="1" operator="greaterThanOrEqual">
      <formula>0.5</formula>
    </cfRule>
  </conditionalFormatting>
  <conditionalFormatting sqref="R21">
    <cfRule type="cellIs" dxfId="26021" priority="156429" stopIfTrue="1" operator="equal">
      <formula>-1</formula>
    </cfRule>
  </conditionalFormatting>
  <conditionalFormatting sqref="R21">
    <cfRule type="cellIs" dxfId="26020" priority="156430" stopIfTrue="1" operator="lessThan">
      <formula>0.5</formula>
    </cfRule>
  </conditionalFormatting>
  <conditionalFormatting sqref="R21">
    <cfRule type="cellIs" dxfId="26019" priority="156431" stopIfTrue="1" operator="greaterThanOrEqual">
      <formula>0.5</formula>
    </cfRule>
  </conditionalFormatting>
  <conditionalFormatting sqref="R22">
    <cfRule type="cellIs" dxfId="26018" priority="156432" stopIfTrue="1" operator="equal">
      <formula>-1</formula>
    </cfRule>
  </conditionalFormatting>
  <conditionalFormatting sqref="R22">
    <cfRule type="cellIs" dxfId="26017" priority="156433" stopIfTrue="1" operator="lessThan">
      <formula>0.5</formula>
    </cfRule>
  </conditionalFormatting>
  <conditionalFormatting sqref="R22">
    <cfRule type="cellIs" dxfId="26016" priority="156434" stopIfTrue="1" operator="greaterThanOrEqual">
      <formula>0.5</formula>
    </cfRule>
  </conditionalFormatting>
  <conditionalFormatting sqref="R23">
    <cfRule type="cellIs" dxfId="26015" priority="156435" stopIfTrue="1" operator="equal">
      <formula>-1</formula>
    </cfRule>
  </conditionalFormatting>
  <conditionalFormatting sqref="R23">
    <cfRule type="cellIs" dxfId="26014" priority="156436" stopIfTrue="1" operator="lessThan">
      <formula>0.5</formula>
    </cfRule>
  </conditionalFormatting>
  <conditionalFormatting sqref="R23">
    <cfRule type="cellIs" dxfId="26013" priority="156437" stopIfTrue="1" operator="greaterThanOrEqual">
      <formula>0.5</formula>
    </cfRule>
  </conditionalFormatting>
  <conditionalFormatting sqref="R24">
    <cfRule type="cellIs" dxfId="26012" priority="156438" stopIfTrue="1" operator="equal">
      <formula>-1</formula>
    </cfRule>
  </conditionalFormatting>
  <conditionalFormatting sqref="R24">
    <cfRule type="cellIs" dxfId="26011" priority="156439" stopIfTrue="1" operator="lessThan">
      <formula>0.5</formula>
    </cfRule>
  </conditionalFormatting>
  <conditionalFormatting sqref="R24">
    <cfRule type="cellIs" dxfId="26010" priority="156440" stopIfTrue="1" operator="greaterThanOrEqual">
      <formula>0.5</formula>
    </cfRule>
  </conditionalFormatting>
  <conditionalFormatting sqref="R25">
    <cfRule type="cellIs" dxfId="26009" priority="156441" stopIfTrue="1" operator="equal">
      <formula>-1</formula>
    </cfRule>
  </conditionalFormatting>
  <conditionalFormatting sqref="R25">
    <cfRule type="cellIs" dxfId="26008" priority="156442" stopIfTrue="1" operator="lessThan">
      <formula>0.5</formula>
    </cfRule>
  </conditionalFormatting>
  <conditionalFormatting sqref="R25">
    <cfRule type="cellIs" dxfId="26007" priority="156443" stopIfTrue="1" operator="greaterThanOrEqual">
      <formula>0.5</formula>
    </cfRule>
  </conditionalFormatting>
  <conditionalFormatting sqref="R26">
    <cfRule type="cellIs" dxfId="26006" priority="156444" stopIfTrue="1" operator="equal">
      <formula>-1</formula>
    </cfRule>
  </conditionalFormatting>
  <conditionalFormatting sqref="R26">
    <cfRule type="cellIs" dxfId="26005" priority="156445" stopIfTrue="1" operator="lessThan">
      <formula>0.5</formula>
    </cfRule>
  </conditionalFormatting>
  <conditionalFormatting sqref="R26">
    <cfRule type="cellIs" dxfId="26004" priority="156446" stopIfTrue="1" operator="greaterThanOrEqual">
      <formula>0.5</formula>
    </cfRule>
  </conditionalFormatting>
  <conditionalFormatting sqref="R27">
    <cfRule type="cellIs" dxfId="26003" priority="156447" stopIfTrue="1" operator="equal">
      <formula>-1</formula>
    </cfRule>
  </conditionalFormatting>
  <conditionalFormatting sqref="R27">
    <cfRule type="cellIs" dxfId="26002" priority="156448" stopIfTrue="1" operator="lessThan">
      <formula>0.5</formula>
    </cfRule>
  </conditionalFormatting>
  <conditionalFormatting sqref="R27">
    <cfRule type="cellIs" dxfId="26001" priority="156449" stopIfTrue="1" operator="greaterThanOrEqual">
      <formula>0.5</formula>
    </cfRule>
  </conditionalFormatting>
  <conditionalFormatting sqref="R28">
    <cfRule type="cellIs" dxfId="26000" priority="156450" stopIfTrue="1" operator="equal">
      <formula>-1</formula>
    </cfRule>
  </conditionalFormatting>
  <conditionalFormatting sqref="R28">
    <cfRule type="cellIs" dxfId="25999" priority="156451" stopIfTrue="1" operator="lessThan">
      <formula>0.5</formula>
    </cfRule>
  </conditionalFormatting>
  <conditionalFormatting sqref="R28">
    <cfRule type="cellIs" dxfId="25998" priority="156452" stopIfTrue="1" operator="greaterThanOrEqual">
      <formula>0.5</formula>
    </cfRule>
  </conditionalFormatting>
  <conditionalFormatting sqref="R29">
    <cfRule type="cellIs" dxfId="25997" priority="156453" stopIfTrue="1" operator="equal">
      <formula>-1</formula>
    </cfRule>
  </conditionalFormatting>
  <conditionalFormatting sqref="R29">
    <cfRule type="cellIs" dxfId="25996" priority="156454" stopIfTrue="1" operator="lessThan">
      <formula>0.5</formula>
    </cfRule>
  </conditionalFormatting>
  <conditionalFormatting sqref="R29">
    <cfRule type="cellIs" dxfId="25995" priority="156455" stopIfTrue="1" operator="greaterThanOrEqual">
      <formula>0.5</formula>
    </cfRule>
  </conditionalFormatting>
  <conditionalFormatting sqref="R30">
    <cfRule type="cellIs" dxfId="25994" priority="156456" stopIfTrue="1" operator="equal">
      <formula>-1</formula>
    </cfRule>
  </conditionalFormatting>
  <conditionalFormatting sqref="R30">
    <cfRule type="cellIs" dxfId="25993" priority="156457" stopIfTrue="1" operator="lessThan">
      <formula>0.5</formula>
    </cfRule>
  </conditionalFormatting>
  <conditionalFormatting sqref="R30">
    <cfRule type="cellIs" dxfId="25992" priority="156458" stopIfTrue="1" operator="greaterThanOrEqual">
      <formula>0.5</formula>
    </cfRule>
  </conditionalFormatting>
  <conditionalFormatting sqref="R31">
    <cfRule type="cellIs" dxfId="25991" priority="156459" stopIfTrue="1" operator="equal">
      <formula>-1</formula>
    </cfRule>
  </conditionalFormatting>
  <conditionalFormatting sqref="R31">
    <cfRule type="cellIs" dxfId="25990" priority="156460" stopIfTrue="1" operator="lessThan">
      <formula>0.5</formula>
    </cfRule>
  </conditionalFormatting>
  <conditionalFormatting sqref="R31">
    <cfRule type="cellIs" dxfId="25989" priority="156461" stopIfTrue="1" operator="greaterThanOrEqual">
      <formula>0.5</formula>
    </cfRule>
  </conditionalFormatting>
  <conditionalFormatting sqref="R32">
    <cfRule type="cellIs" dxfId="25988" priority="156462" stopIfTrue="1" operator="equal">
      <formula>-1</formula>
    </cfRule>
  </conditionalFormatting>
  <conditionalFormatting sqref="R32">
    <cfRule type="cellIs" dxfId="25987" priority="156463" stopIfTrue="1" operator="lessThan">
      <formula>0.5</formula>
    </cfRule>
  </conditionalFormatting>
  <conditionalFormatting sqref="R32">
    <cfRule type="cellIs" dxfId="25986" priority="156464" stopIfTrue="1" operator="greaterThanOrEqual">
      <formula>0.5</formula>
    </cfRule>
  </conditionalFormatting>
  <conditionalFormatting sqref="R33">
    <cfRule type="cellIs" dxfId="25985" priority="156465" stopIfTrue="1" operator="equal">
      <formula>-1</formula>
    </cfRule>
  </conditionalFormatting>
  <conditionalFormatting sqref="R33">
    <cfRule type="cellIs" dxfId="25984" priority="156466" stopIfTrue="1" operator="lessThan">
      <formula>0.5</formula>
    </cfRule>
  </conditionalFormatting>
  <conditionalFormatting sqref="R33">
    <cfRule type="cellIs" dxfId="25983" priority="156467" stopIfTrue="1" operator="greaterThanOrEqual">
      <formula>0.5</formula>
    </cfRule>
  </conditionalFormatting>
  <conditionalFormatting sqref="R34">
    <cfRule type="cellIs" dxfId="25982" priority="156468" stopIfTrue="1" operator="equal">
      <formula>-1</formula>
    </cfRule>
  </conditionalFormatting>
  <conditionalFormatting sqref="R34">
    <cfRule type="cellIs" dxfId="25981" priority="156469" stopIfTrue="1" operator="lessThan">
      <formula>0.5</formula>
    </cfRule>
  </conditionalFormatting>
  <conditionalFormatting sqref="R34">
    <cfRule type="cellIs" dxfId="25980" priority="156470" stopIfTrue="1" operator="greaterThanOrEqual">
      <formula>0.5</formula>
    </cfRule>
  </conditionalFormatting>
  <conditionalFormatting sqref="R35">
    <cfRule type="cellIs" dxfId="25979" priority="156471" stopIfTrue="1" operator="equal">
      <formula>-1</formula>
    </cfRule>
  </conditionalFormatting>
  <conditionalFormatting sqref="R35">
    <cfRule type="cellIs" dxfId="25978" priority="156472" stopIfTrue="1" operator="lessThan">
      <formula>0.5</formula>
    </cfRule>
  </conditionalFormatting>
  <conditionalFormatting sqref="R35">
    <cfRule type="cellIs" dxfId="25977" priority="156473" stopIfTrue="1" operator="greaterThanOrEqual">
      <formula>0.5</formula>
    </cfRule>
  </conditionalFormatting>
  <conditionalFormatting sqref="R36">
    <cfRule type="cellIs" dxfId="25976" priority="156474" stopIfTrue="1" operator="equal">
      <formula>-1</formula>
    </cfRule>
  </conditionalFormatting>
  <conditionalFormatting sqref="R36">
    <cfRule type="cellIs" dxfId="25975" priority="156475" stopIfTrue="1" operator="lessThan">
      <formula>0.5</formula>
    </cfRule>
  </conditionalFormatting>
  <conditionalFormatting sqref="R36">
    <cfRule type="cellIs" dxfId="25974" priority="156476" stopIfTrue="1" operator="greaterThanOrEqual">
      <formula>0.5</formula>
    </cfRule>
  </conditionalFormatting>
  <conditionalFormatting sqref="R37">
    <cfRule type="cellIs" dxfId="25973" priority="156477" stopIfTrue="1" operator="equal">
      <formula>-1</formula>
    </cfRule>
  </conditionalFormatting>
  <conditionalFormatting sqref="R37">
    <cfRule type="cellIs" dxfId="25972" priority="156478" stopIfTrue="1" operator="lessThan">
      <formula>0.5</formula>
    </cfRule>
  </conditionalFormatting>
  <conditionalFormatting sqref="R37">
    <cfRule type="cellIs" dxfId="25971" priority="156479" stopIfTrue="1" operator="greaterThanOrEqual">
      <formula>0.5</formula>
    </cfRule>
  </conditionalFormatting>
  <conditionalFormatting sqref="T17">
    <cfRule type="cellIs" dxfId="25970" priority="156480" stopIfTrue="1" operator="equal">
      <formula>-1</formula>
    </cfRule>
  </conditionalFormatting>
  <conditionalFormatting sqref="T17">
    <cfRule type="cellIs" dxfId="25969" priority="156481" stopIfTrue="1" operator="lessThan">
      <formula>0.5</formula>
    </cfRule>
  </conditionalFormatting>
  <conditionalFormatting sqref="T17">
    <cfRule type="cellIs" dxfId="25968" priority="156482" stopIfTrue="1" operator="greaterThanOrEqual">
      <formula>0.5</formula>
    </cfRule>
  </conditionalFormatting>
  <conditionalFormatting sqref="T18">
    <cfRule type="cellIs" dxfId="25967" priority="156483" stopIfTrue="1" operator="equal">
      <formula>-1</formula>
    </cfRule>
  </conditionalFormatting>
  <conditionalFormatting sqref="T18">
    <cfRule type="cellIs" dxfId="25966" priority="156484" stopIfTrue="1" operator="lessThan">
      <formula>0.5</formula>
    </cfRule>
  </conditionalFormatting>
  <conditionalFormatting sqref="T18">
    <cfRule type="cellIs" dxfId="25965" priority="156485" stopIfTrue="1" operator="greaterThanOrEqual">
      <formula>0.5</formula>
    </cfRule>
  </conditionalFormatting>
  <conditionalFormatting sqref="T19">
    <cfRule type="cellIs" dxfId="25964" priority="156486" stopIfTrue="1" operator="equal">
      <formula>-1</formula>
    </cfRule>
  </conditionalFormatting>
  <conditionalFormatting sqref="T19">
    <cfRule type="cellIs" dxfId="25963" priority="156487" stopIfTrue="1" operator="lessThan">
      <formula>0.5</formula>
    </cfRule>
  </conditionalFormatting>
  <conditionalFormatting sqref="T19">
    <cfRule type="cellIs" dxfId="25962" priority="156488" stopIfTrue="1" operator="greaterThanOrEqual">
      <formula>0.5</formula>
    </cfRule>
  </conditionalFormatting>
  <conditionalFormatting sqref="T20">
    <cfRule type="cellIs" dxfId="25961" priority="156489" stopIfTrue="1" operator="equal">
      <formula>-1</formula>
    </cfRule>
  </conditionalFormatting>
  <conditionalFormatting sqref="T20">
    <cfRule type="cellIs" dxfId="25960" priority="156490" stopIfTrue="1" operator="lessThan">
      <formula>0.5</formula>
    </cfRule>
  </conditionalFormatting>
  <conditionalFormatting sqref="T20">
    <cfRule type="cellIs" dxfId="25959" priority="156491" stopIfTrue="1" operator="greaterThanOrEqual">
      <formula>0.5</formula>
    </cfRule>
  </conditionalFormatting>
  <conditionalFormatting sqref="T21">
    <cfRule type="cellIs" dxfId="25958" priority="156492" stopIfTrue="1" operator="equal">
      <formula>-1</formula>
    </cfRule>
  </conditionalFormatting>
  <conditionalFormatting sqref="T21">
    <cfRule type="cellIs" dxfId="25957" priority="156493" stopIfTrue="1" operator="lessThan">
      <formula>0.5</formula>
    </cfRule>
  </conditionalFormatting>
  <conditionalFormatting sqref="T21">
    <cfRule type="cellIs" dxfId="25956" priority="156494" stopIfTrue="1" operator="greaterThanOrEqual">
      <formula>0.5</formula>
    </cfRule>
  </conditionalFormatting>
  <conditionalFormatting sqref="T22">
    <cfRule type="cellIs" dxfId="25955" priority="156495" stopIfTrue="1" operator="equal">
      <formula>-1</formula>
    </cfRule>
  </conditionalFormatting>
  <conditionalFormatting sqref="T22">
    <cfRule type="cellIs" dxfId="25954" priority="156496" stopIfTrue="1" operator="lessThan">
      <formula>0.5</formula>
    </cfRule>
  </conditionalFormatting>
  <conditionalFormatting sqref="T22">
    <cfRule type="cellIs" dxfId="25953" priority="156497" stopIfTrue="1" operator="greaterThanOrEqual">
      <formula>0.5</formula>
    </cfRule>
  </conditionalFormatting>
  <conditionalFormatting sqref="T23">
    <cfRule type="cellIs" dxfId="25952" priority="156498" stopIfTrue="1" operator="equal">
      <formula>-1</formula>
    </cfRule>
  </conditionalFormatting>
  <conditionalFormatting sqref="T23">
    <cfRule type="cellIs" dxfId="25951" priority="156499" stopIfTrue="1" operator="lessThan">
      <formula>0.5</formula>
    </cfRule>
  </conditionalFormatting>
  <conditionalFormatting sqref="T23">
    <cfRule type="cellIs" dxfId="25950" priority="156500" stopIfTrue="1" operator="greaterThanOrEqual">
      <formula>0.5</formula>
    </cfRule>
  </conditionalFormatting>
  <conditionalFormatting sqref="T24">
    <cfRule type="cellIs" dxfId="25949" priority="156501" stopIfTrue="1" operator="equal">
      <formula>-1</formula>
    </cfRule>
  </conditionalFormatting>
  <conditionalFormatting sqref="T24">
    <cfRule type="cellIs" dxfId="25948" priority="156502" stopIfTrue="1" operator="lessThan">
      <formula>0.5</formula>
    </cfRule>
  </conditionalFormatting>
  <conditionalFormatting sqref="T24">
    <cfRule type="cellIs" dxfId="25947" priority="156503" stopIfTrue="1" operator="greaterThanOrEqual">
      <formula>0.5</formula>
    </cfRule>
  </conditionalFormatting>
  <conditionalFormatting sqref="T25">
    <cfRule type="cellIs" dxfId="25946" priority="156504" stopIfTrue="1" operator="equal">
      <formula>-1</formula>
    </cfRule>
  </conditionalFormatting>
  <conditionalFormatting sqref="T25">
    <cfRule type="cellIs" dxfId="25945" priority="156505" stopIfTrue="1" operator="lessThan">
      <formula>0.5</formula>
    </cfRule>
  </conditionalFormatting>
  <conditionalFormatting sqref="T25">
    <cfRule type="cellIs" dxfId="25944" priority="156506" stopIfTrue="1" operator="greaterThanOrEqual">
      <formula>0.5</formula>
    </cfRule>
  </conditionalFormatting>
  <conditionalFormatting sqref="T26">
    <cfRule type="cellIs" dxfId="25943" priority="156507" stopIfTrue="1" operator="equal">
      <formula>-1</formula>
    </cfRule>
  </conditionalFormatting>
  <conditionalFormatting sqref="T26">
    <cfRule type="cellIs" dxfId="25942" priority="156508" stopIfTrue="1" operator="lessThan">
      <formula>0.5</formula>
    </cfRule>
  </conditionalFormatting>
  <conditionalFormatting sqref="T26">
    <cfRule type="cellIs" dxfId="25941" priority="156509" stopIfTrue="1" operator="greaterThanOrEqual">
      <formula>0.5</formula>
    </cfRule>
  </conditionalFormatting>
  <conditionalFormatting sqref="T27">
    <cfRule type="cellIs" dxfId="25940" priority="156510" stopIfTrue="1" operator="equal">
      <formula>-1</formula>
    </cfRule>
  </conditionalFormatting>
  <conditionalFormatting sqref="T27">
    <cfRule type="cellIs" dxfId="25939" priority="156511" stopIfTrue="1" operator="lessThan">
      <formula>0.5</formula>
    </cfRule>
  </conditionalFormatting>
  <conditionalFormatting sqref="T27">
    <cfRule type="cellIs" dxfId="25938" priority="156512" stopIfTrue="1" operator="greaterThanOrEqual">
      <formula>0.5</formula>
    </cfRule>
  </conditionalFormatting>
  <conditionalFormatting sqref="T28">
    <cfRule type="cellIs" dxfId="25937" priority="156513" stopIfTrue="1" operator="equal">
      <formula>-1</formula>
    </cfRule>
  </conditionalFormatting>
  <conditionalFormatting sqref="T28">
    <cfRule type="cellIs" dxfId="25936" priority="156514" stopIfTrue="1" operator="lessThan">
      <formula>0.5</formula>
    </cfRule>
  </conditionalFormatting>
  <conditionalFormatting sqref="T28">
    <cfRule type="cellIs" dxfId="25935" priority="156515" stopIfTrue="1" operator="greaterThanOrEqual">
      <formula>0.5</formula>
    </cfRule>
  </conditionalFormatting>
  <conditionalFormatting sqref="T29">
    <cfRule type="cellIs" dxfId="25934" priority="156516" stopIfTrue="1" operator="equal">
      <formula>-1</formula>
    </cfRule>
  </conditionalFormatting>
  <conditionalFormatting sqref="T29">
    <cfRule type="cellIs" dxfId="25933" priority="156517" stopIfTrue="1" operator="lessThan">
      <formula>0.5</formula>
    </cfRule>
  </conditionalFormatting>
  <conditionalFormatting sqref="T29">
    <cfRule type="cellIs" dxfId="25932" priority="156518" stopIfTrue="1" operator="greaterThanOrEqual">
      <formula>0.5</formula>
    </cfRule>
  </conditionalFormatting>
  <conditionalFormatting sqref="T30">
    <cfRule type="cellIs" dxfId="25931" priority="156519" stopIfTrue="1" operator="equal">
      <formula>-1</formula>
    </cfRule>
  </conditionalFormatting>
  <conditionalFormatting sqref="T30">
    <cfRule type="cellIs" dxfId="25930" priority="156520" stopIfTrue="1" operator="lessThan">
      <formula>0.5</formula>
    </cfRule>
  </conditionalFormatting>
  <conditionalFormatting sqref="T30">
    <cfRule type="cellIs" dxfId="25929" priority="156521" stopIfTrue="1" operator="greaterThanOrEqual">
      <formula>0.5</formula>
    </cfRule>
  </conditionalFormatting>
  <conditionalFormatting sqref="T31">
    <cfRule type="cellIs" dxfId="25928" priority="156522" stopIfTrue="1" operator="equal">
      <formula>-1</formula>
    </cfRule>
  </conditionalFormatting>
  <conditionalFormatting sqref="T31">
    <cfRule type="cellIs" dxfId="25927" priority="156523" stopIfTrue="1" operator="lessThan">
      <formula>0.5</formula>
    </cfRule>
  </conditionalFormatting>
  <conditionalFormatting sqref="T31">
    <cfRule type="cellIs" dxfId="25926" priority="156524" stopIfTrue="1" operator="greaterThanOrEqual">
      <formula>0.5</formula>
    </cfRule>
  </conditionalFormatting>
  <conditionalFormatting sqref="T32">
    <cfRule type="cellIs" dxfId="25925" priority="156525" stopIfTrue="1" operator="equal">
      <formula>-1</formula>
    </cfRule>
  </conditionalFormatting>
  <conditionalFormatting sqref="T32">
    <cfRule type="cellIs" dxfId="25924" priority="156526" stopIfTrue="1" operator="lessThan">
      <formula>0.5</formula>
    </cfRule>
  </conditionalFormatting>
  <conditionalFormatting sqref="T32">
    <cfRule type="cellIs" dxfId="25923" priority="156527" stopIfTrue="1" operator="greaterThanOrEqual">
      <formula>0.5</formula>
    </cfRule>
  </conditionalFormatting>
  <conditionalFormatting sqref="T33">
    <cfRule type="cellIs" dxfId="25922" priority="156528" stopIfTrue="1" operator="equal">
      <formula>-1</formula>
    </cfRule>
  </conditionalFormatting>
  <conditionalFormatting sqref="T33">
    <cfRule type="cellIs" dxfId="25921" priority="156529" stopIfTrue="1" operator="lessThan">
      <formula>0.5</formula>
    </cfRule>
  </conditionalFormatting>
  <conditionalFormatting sqref="T33">
    <cfRule type="cellIs" dxfId="25920" priority="156530" stopIfTrue="1" operator="greaterThanOrEqual">
      <formula>0.5</formula>
    </cfRule>
  </conditionalFormatting>
  <conditionalFormatting sqref="T34">
    <cfRule type="cellIs" dxfId="25919" priority="156531" stopIfTrue="1" operator="equal">
      <formula>-1</formula>
    </cfRule>
  </conditionalFormatting>
  <conditionalFormatting sqref="T34">
    <cfRule type="cellIs" dxfId="25918" priority="156532" stopIfTrue="1" operator="lessThan">
      <formula>0.5</formula>
    </cfRule>
  </conditionalFormatting>
  <conditionalFormatting sqref="T34">
    <cfRule type="cellIs" dxfId="25917" priority="156533" stopIfTrue="1" operator="greaterThanOrEqual">
      <formula>0.5</formula>
    </cfRule>
  </conditionalFormatting>
  <conditionalFormatting sqref="T35">
    <cfRule type="cellIs" dxfId="25916" priority="156534" stopIfTrue="1" operator="equal">
      <formula>-1</formula>
    </cfRule>
  </conditionalFormatting>
  <conditionalFormatting sqref="T35">
    <cfRule type="cellIs" dxfId="25915" priority="156535" stopIfTrue="1" operator="lessThan">
      <formula>0.5</formula>
    </cfRule>
  </conditionalFormatting>
  <conditionalFormatting sqref="T35">
    <cfRule type="cellIs" dxfId="25914" priority="156536" stopIfTrue="1" operator="greaterThanOrEqual">
      <formula>0.5</formula>
    </cfRule>
  </conditionalFormatting>
  <conditionalFormatting sqref="T36">
    <cfRule type="cellIs" dxfId="25913" priority="156537" stopIfTrue="1" operator="equal">
      <formula>-1</formula>
    </cfRule>
  </conditionalFormatting>
  <conditionalFormatting sqref="T36">
    <cfRule type="cellIs" dxfId="25912" priority="156538" stopIfTrue="1" operator="lessThan">
      <formula>0.5</formula>
    </cfRule>
  </conditionalFormatting>
  <conditionalFormatting sqref="T36">
    <cfRule type="cellIs" dxfId="25911" priority="156539" stopIfTrue="1" operator="greaterThanOrEqual">
      <formula>0.5</formula>
    </cfRule>
  </conditionalFormatting>
  <conditionalFormatting sqref="T37">
    <cfRule type="cellIs" dxfId="25910" priority="156540" stopIfTrue="1" operator="equal">
      <formula>-1</formula>
    </cfRule>
  </conditionalFormatting>
  <conditionalFormatting sqref="T37">
    <cfRule type="cellIs" dxfId="25909" priority="156541" stopIfTrue="1" operator="lessThan">
      <formula>0.5</formula>
    </cfRule>
  </conditionalFormatting>
  <conditionalFormatting sqref="T37">
    <cfRule type="cellIs" dxfId="25908" priority="156542" stopIfTrue="1" operator="greaterThanOrEqual">
      <formula>0.5</formula>
    </cfRule>
  </conditionalFormatting>
  <conditionalFormatting sqref="V17">
    <cfRule type="cellIs" dxfId="25907" priority="156543" stopIfTrue="1" operator="equal">
      <formula>-1</formula>
    </cfRule>
  </conditionalFormatting>
  <conditionalFormatting sqref="V17">
    <cfRule type="cellIs" dxfId="25906" priority="156544" stopIfTrue="1" operator="lessThan">
      <formula>0.5</formula>
    </cfRule>
  </conditionalFormatting>
  <conditionalFormatting sqref="V17">
    <cfRule type="cellIs" dxfId="25905" priority="156545" stopIfTrue="1" operator="greaterThanOrEqual">
      <formula>0.5</formula>
    </cfRule>
  </conditionalFormatting>
  <conditionalFormatting sqref="V18">
    <cfRule type="cellIs" dxfId="25904" priority="156546" stopIfTrue="1" operator="equal">
      <formula>-1</formula>
    </cfRule>
  </conditionalFormatting>
  <conditionalFormatting sqref="V18">
    <cfRule type="cellIs" dxfId="25903" priority="156547" stopIfTrue="1" operator="lessThan">
      <formula>0.5</formula>
    </cfRule>
  </conditionalFormatting>
  <conditionalFormatting sqref="V18">
    <cfRule type="cellIs" dxfId="25902" priority="156548" stopIfTrue="1" operator="greaterThanOrEqual">
      <formula>0.5</formula>
    </cfRule>
  </conditionalFormatting>
  <conditionalFormatting sqref="V19">
    <cfRule type="cellIs" dxfId="25901" priority="156549" stopIfTrue="1" operator="equal">
      <formula>-1</formula>
    </cfRule>
  </conditionalFormatting>
  <conditionalFormatting sqref="V19">
    <cfRule type="cellIs" dxfId="25900" priority="156550" stopIfTrue="1" operator="lessThan">
      <formula>0.5</formula>
    </cfRule>
  </conditionalFormatting>
  <conditionalFormatting sqref="V19">
    <cfRule type="cellIs" dxfId="25899" priority="156551" stopIfTrue="1" operator="greaterThanOrEqual">
      <formula>0.5</formula>
    </cfRule>
  </conditionalFormatting>
  <conditionalFormatting sqref="V20">
    <cfRule type="cellIs" dxfId="25898" priority="156552" stopIfTrue="1" operator="equal">
      <formula>-1</formula>
    </cfRule>
  </conditionalFormatting>
  <conditionalFormatting sqref="V20">
    <cfRule type="cellIs" dxfId="25897" priority="156553" stopIfTrue="1" operator="lessThan">
      <formula>0.5</formula>
    </cfRule>
  </conditionalFormatting>
  <conditionalFormatting sqref="V20">
    <cfRule type="cellIs" dxfId="25896" priority="156554" stopIfTrue="1" operator="greaterThanOrEqual">
      <formula>0.5</formula>
    </cfRule>
  </conditionalFormatting>
  <conditionalFormatting sqref="V21">
    <cfRule type="cellIs" dxfId="25895" priority="156555" stopIfTrue="1" operator="equal">
      <formula>-1</formula>
    </cfRule>
  </conditionalFormatting>
  <conditionalFormatting sqref="V21">
    <cfRule type="cellIs" dxfId="25894" priority="156556" stopIfTrue="1" operator="lessThan">
      <formula>0.5</formula>
    </cfRule>
  </conditionalFormatting>
  <conditionalFormatting sqref="V21">
    <cfRule type="cellIs" dxfId="25893" priority="156557" stopIfTrue="1" operator="greaterThanOrEqual">
      <formula>0.5</formula>
    </cfRule>
  </conditionalFormatting>
  <conditionalFormatting sqref="V22">
    <cfRule type="cellIs" dxfId="25892" priority="156558" stopIfTrue="1" operator="equal">
      <formula>-1</formula>
    </cfRule>
  </conditionalFormatting>
  <conditionalFormatting sqref="V22">
    <cfRule type="cellIs" dxfId="25891" priority="156559" stopIfTrue="1" operator="lessThan">
      <formula>0.5</formula>
    </cfRule>
  </conditionalFormatting>
  <conditionalFormatting sqref="V22">
    <cfRule type="cellIs" dxfId="25890" priority="156560" stopIfTrue="1" operator="greaterThanOrEqual">
      <formula>0.5</formula>
    </cfRule>
  </conditionalFormatting>
  <conditionalFormatting sqref="V23">
    <cfRule type="cellIs" dxfId="25889" priority="156561" stopIfTrue="1" operator="equal">
      <formula>-1</formula>
    </cfRule>
  </conditionalFormatting>
  <conditionalFormatting sqref="V23">
    <cfRule type="cellIs" dxfId="25888" priority="156562" stopIfTrue="1" operator="lessThan">
      <formula>0.5</formula>
    </cfRule>
  </conditionalFormatting>
  <conditionalFormatting sqref="V23">
    <cfRule type="cellIs" dxfId="25887" priority="156563" stopIfTrue="1" operator="greaterThanOrEqual">
      <formula>0.5</formula>
    </cfRule>
  </conditionalFormatting>
  <conditionalFormatting sqref="V24">
    <cfRule type="cellIs" dxfId="25886" priority="156564" stopIfTrue="1" operator="equal">
      <formula>-1</formula>
    </cfRule>
  </conditionalFormatting>
  <conditionalFormatting sqref="V24">
    <cfRule type="cellIs" dxfId="25885" priority="156565" stopIfTrue="1" operator="lessThan">
      <formula>0.5</formula>
    </cfRule>
  </conditionalFormatting>
  <conditionalFormatting sqref="V24">
    <cfRule type="cellIs" dxfId="25884" priority="156566" stopIfTrue="1" operator="greaterThanOrEqual">
      <formula>0.5</formula>
    </cfRule>
  </conditionalFormatting>
  <conditionalFormatting sqref="V25">
    <cfRule type="cellIs" dxfId="25883" priority="156567" stopIfTrue="1" operator="equal">
      <formula>-1</formula>
    </cfRule>
  </conditionalFormatting>
  <conditionalFormatting sqref="V25">
    <cfRule type="cellIs" dxfId="25882" priority="156568" stopIfTrue="1" operator="lessThan">
      <formula>0.5</formula>
    </cfRule>
  </conditionalFormatting>
  <conditionalFormatting sqref="V25">
    <cfRule type="cellIs" dxfId="25881" priority="156569" stopIfTrue="1" operator="greaterThanOrEqual">
      <formula>0.5</formula>
    </cfRule>
  </conditionalFormatting>
  <conditionalFormatting sqref="V26">
    <cfRule type="cellIs" dxfId="25880" priority="156570" stopIfTrue="1" operator="equal">
      <formula>-1</formula>
    </cfRule>
  </conditionalFormatting>
  <conditionalFormatting sqref="V26">
    <cfRule type="cellIs" dxfId="25879" priority="156571" stopIfTrue="1" operator="lessThan">
      <formula>0.5</formula>
    </cfRule>
  </conditionalFormatting>
  <conditionalFormatting sqref="V26">
    <cfRule type="cellIs" dxfId="25878" priority="156572" stopIfTrue="1" operator="greaterThanOrEqual">
      <formula>0.5</formula>
    </cfRule>
  </conditionalFormatting>
  <conditionalFormatting sqref="V27">
    <cfRule type="cellIs" dxfId="25877" priority="156573" stopIfTrue="1" operator="equal">
      <formula>-1</formula>
    </cfRule>
  </conditionalFormatting>
  <conditionalFormatting sqref="V27">
    <cfRule type="cellIs" dxfId="25876" priority="156574" stopIfTrue="1" operator="lessThan">
      <formula>0.5</formula>
    </cfRule>
  </conditionalFormatting>
  <conditionalFormatting sqref="V27">
    <cfRule type="cellIs" dxfId="25875" priority="156575" stopIfTrue="1" operator="greaterThanOrEqual">
      <formula>0.5</formula>
    </cfRule>
  </conditionalFormatting>
  <conditionalFormatting sqref="V28">
    <cfRule type="cellIs" dxfId="25874" priority="156576" stopIfTrue="1" operator="equal">
      <formula>-1</formula>
    </cfRule>
  </conditionalFormatting>
  <conditionalFormatting sqref="V28">
    <cfRule type="cellIs" dxfId="25873" priority="156577" stopIfTrue="1" operator="lessThan">
      <formula>0.5</formula>
    </cfRule>
  </conditionalFormatting>
  <conditionalFormatting sqref="V28">
    <cfRule type="cellIs" dxfId="25872" priority="156578" stopIfTrue="1" operator="greaterThanOrEqual">
      <formula>0.5</formula>
    </cfRule>
  </conditionalFormatting>
  <conditionalFormatting sqref="V29">
    <cfRule type="cellIs" dxfId="25871" priority="156579" stopIfTrue="1" operator="equal">
      <formula>-1</formula>
    </cfRule>
  </conditionalFormatting>
  <conditionalFormatting sqref="V29">
    <cfRule type="cellIs" dxfId="25870" priority="156580" stopIfTrue="1" operator="lessThan">
      <formula>0.5</formula>
    </cfRule>
  </conditionalFormatting>
  <conditionalFormatting sqref="V29">
    <cfRule type="cellIs" dxfId="25869" priority="156581" stopIfTrue="1" operator="greaterThanOrEqual">
      <formula>0.5</formula>
    </cfRule>
  </conditionalFormatting>
  <conditionalFormatting sqref="V30">
    <cfRule type="cellIs" dxfId="25868" priority="156582" stopIfTrue="1" operator="equal">
      <formula>-1</formula>
    </cfRule>
  </conditionalFormatting>
  <conditionalFormatting sqref="V30">
    <cfRule type="cellIs" dxfId="25867" priority="156583" stopIfTrue="1" operator="lessThan">
      <formula>0.5</formula>
    </cfRule>
  </conditionalFormatting>
  <conditionalFormatting sqref="V30">
    <cfRule type="cellIs" dxfId="25866" priority="156584" stopIfTrue="1" operator="greaterThanOrEqual">
      <formula>0.5</formula>
    </cfRule>
  </conditionalFormatting>
  <conditionalFormatting sqref="V31">
    <cfRule type="cellIs" dxfId="25865" priority="156585" stopIfTrue="1" operator="equal">
      <formula>-1</formula>
    </cfRule>
  </conditionalFormatting>
  <conditionalFormatting sqref="V31">
    <cfRule type="cellIs" dxfId="25864" priority="156586" stopIfTrue="1" operator="lessThan">
      <formula>0.5</formula>
    </cfRule>
  </conditionalFormatting>
  <conditionalFormatting sqref="V31">
    <cfRule type="cellIs" dxfId="25863" priority="156587" stopIfTrue="1" operator="greaterThanOrEqual">
      <formula>0.5</formula>
    </cfRule>
  </conditionalFormatting>
  <conditionalFormatting sqref="V32">
    <cfRule type="cellIs" dxfId="25862" priority="156588" stopIfTrue="1" operator="equal">
      <formula>-1</formula>
    </cfRule>
  </conditionalFormatting>
  <conditionalFormatting sqref="V32">
    <cfRule type="cellIs" dxfId="25861" priority="156589" stopIfTrue="1" operator="lessThan">
      <formula>0.5</formula>
    </cfRule>
  </conditionalFormatting>
  <conditionalFormatting sqref="V32">
    <cfRule type="cellIs" dxfId="25860" priority="156590" stopIfTrue="1" operator="greaterThanOrEqual">
      <formula>0.5</formula>
    </cfRule>
  </conditionalFormatting>
  <conditionalFormatting sqref="V33">
    <cfRule type="cellIs" dxfId="25859" priority="156591" stopIfTrue="1" operator="equal">
      <formula>-1</formula>
    </cfRule>
  </conditionalFormatting>
  <conditionalFormatting sqref="V33">
    <cfRule type="cellIs" dxfId="25858" priority="156592" stopIfTrue="1" operator="lessThan">
      <formula>0.5</formula>
    </cfRule>
  </conditionalFormatting>
  <conditionalFormatting sqref="V33">
    <cfRule type="cellIs" dxfId="25857" priority="156593" stopIfTrue="1" operator="greaterThanOrEqual">
      <formula>0.5</formula>
    </cfRule>
  </conditionalFormatting>
  <conditionalFormatting sqref="V34">
    <cfRule type="cellIs" dxfId="25856" priority="156594" stopIfTrue="1" operator="equal">
      <formula>-1</formula>
    </cfRule>
  </conditionalFormatting>
  <conditionalFormatting sqref="V34">
    <cfRule type="cellIs" dxfId="25855" priority="156595" stopIfTrue="1" operator="lessThan">
      <formula>0.5</formula>
    </cfRule>
  </conditionalFormatting>
  <conditionalFormatting sqref="V34">
    <cfRule type="cellIs" dxfId="25854" priority="156596" stopIfTrue="1" operator="greaterThanOrEqual">
      <formula>0.5</formula>
    </cfRule>
  </conditionalFormatting>
  <conditionalFormatting sqref="V35">
    <cfRule type="cellIs" dxfId="25853" priority="156597" stopIfTrue="1" operator="equal">
      <formula>-1</formula>
    </cfRule>
  </conditionalFormatting>
  <conditionalFormatting sqref="V35">
    <cfRule type="cellIs" dxfId="25852" priority="156598" stopIfTrue="1" operator="lessThan">
      <formula>0.5</formula>
    </cfRule>
  </conditionalFormatting>
  <conditionalFormatting sqref="V35">
    <cfRule type="cellIs" dxfId="25851" priority="156599" stopIfTrue="1" operator="greaterThanOrEqual">
      <formula>0.5</formula>
    </cfRule>
  </conditionalFormatting>
  <conditionalFormatting sqref="V36">
    <cfRule type="cellIs" dxfId="25850" priority="156600" stopIfTrue="1" operator="equal">
      <formula>-1</formula>
    </cfRule>
  </conditionalFormatting>
  <conditionalFormatting sqref="V36">
    <cfRule type="cellIs" dxfId="25849" priority="156601" stopIfTrue="1" operator="lessThan">
      <formula>0.5</formula>
    </cfRule>
  </conditionalFormatting>
  <conditionalFormatting sqref="V36">
    <cfRule type="cellIs" dxfId="25848" priority="156602" stopIfTrue="1" operator="greaterThanOrEqual">
      <formula>0.5</formula>
    </cfRule>
  </conditionalFormatting>
  <conditionalFormatting sqref="V37">
    <cfRule type="cellIs" dxfId="25847" priority="156603" stopIfTrue="1" operator="equal">
      <formula>-1</formula>
    </cfRule>
  </conditionalFormatting>
  <conditionalFormatting sqref="V37">
    <cfRule type="cellIs" dxfId="25846" priority="156604" stopIfTrue="1" operator="lessThan">
      <formula>0.5</formula>
    </cfRule>
  </conditionalFormatting>
  <conditionalFormatting sqref="V37">
    <cfRule type="cellIs" dxfId="25845" priority="156605" stopIfTrue="1" operator="greaterThanOrEqual">
      <formula>0.5</formula>
    </cfRule>
  </conditionalFormatting>
  <conditionalFormatting sqref="X17">
    <cfRule type="cellIs" dxfId="25844" priority="156606" stopIfTrue="1" operator="equal">
      <formula>-1</formula>
    </cfRule>
  </conditionalFormatting>
  <conditionalFormatting sqref="X17">
    <cfRule type="cellIs" dxfId="25843" priority="156607" stopIfTrue="1" operator="lessThan">
      <formula>0.5</formula>
    </cfRule>
  </conditionalFormatting>
  <conditionalFormatting sqref="X17">
    <cfRule type="cellIs" dxfId="25842" priority="156608" stopIfTrue="1" operator="greaterThanOrEqual">
      <formula>0.5</formula>
    </cfRule>
  </conditionalFormatting>
  <conditionalFormatting sqref="X18">
    <cfRule type="cellIs" dxfId="25841" priority="156609" stopIfTrue="1" operator="equal">
      <formula>-1</formula>
    </cfRule>
  </conditionalFormatting>
  <conditionalFormatting sqref="X18">
    <cfRule type="cellIs" dxfId="25840" priority="156610" stopIfTrue="1" operator="lessThan">
      <formula>0.5</formula>
    </cfRule>
  </conditionalFormatting>
  <conditionalFormatting sqref="X18">
    <cfRule type="cellIs" dxfId="25839" priority="156611" stopIfTrue="1" operator="greaterThanOrEqual">
      <formula>0.5</formula>
    </cfRule>
  </conditionalFormatting>
  <conditionalFormatting sqref="X19">
    <cfRule type="cellIs" dxfId="25838" priority="156612" stopIfTrue="1" operator="equal">
      <formula>-1</formula>
    </cfRule>
  </conditionalFormatting>
  <conditionalFormatting sqref="X19">
    <cfRule type="cellIs" dxfId="25837" priority="156613" stopIfTrue="1" operator="lessThan">
      <formula>0.5</formula>
    </cfRule>
  </conditionalFormatting>
  <conditionalFormatting sqref="X19">
    <cfRule type="cellIs" dxfId="25836" priority="156614" stopIfTrue="1" operator="greaterThanOrEqual">
      <formula>0.5</formula>
    </cfRule>
  </conditionalFormatting>
  <conditionalFormatting sqref="X20">
    <cfRule type="cellIs" dxfId="25835" priority="156615" stopIfTrue="1" operator="equal">
      <formula>-1</formula>
    </cfRule>
  </conditionalFormatting>
  <conditionalFormatting sqref="X20">
    <cfRule type="cellIs" dxfId="25834" priority="156616" stopIfTrue="1" operator="lessThan">
      <formula>0.5</formula>
    </cfRule>
  </conditionalFormatting>
  <conditionalFormatting sqref="X20">
    <cfRule type="cellIs" dxfId="25833" priority="156617" stopIfTrue="1" operator="greaterThanOrEqual">
      <formula>0.5</formula>
    </cfRule>
  </conditionalFormatting>
  <conditionalFormatting sqref="X21">
    <cfRule type="cellIs" dxfId="25832" priority="156618" stopIfTrue="1" operator="equal">
      <formula>-1</formula>
    </cfRule>
  </conditionalFormatting>
  <conditionalFormatting sqref="X21">
    <cfRule type="cellIs" dxfId="25831" priority="156619" stopIfTrue="1" operator="lessThan">
      <formula>0.5</formula>
    </cfRule>
  </conditionalFormatting>
  <conditionalFormatting sqref="X21">
    <cfRule type="cellIs" dxfId="25830" priority="156620" stopIfTrue="1" operator="greaterThanOrEqual">
      <formula>0.5</formula>
    </cfRule>
  </conditionalFormatting>
  <conditionalFormatting sqref="X22">
    <cfRule type="cellIs" dxfId="25829" priority="156621" stopIfTrue="1" operator="equal">
      <formula>-1</formula>
    </cfRule>
  </conditionalFormatting>
  <conditionalFormatting sqref="X22">
    <cfRule type="cellIs" dxfId="25828" priority="156622" stopIfTrue="1" operator="lessThan">
      <formula>0.5</formula>
    </cfRule>
  </conditionalFormatting>
  <conditionalFormatting sqref="X22">
    <cfRule type="cellIs" dxfId="25827" priority="156623" stopIfTrue="1" operator="greaterThanOrEqual">
      <formula>0.5</formula>
    </cfRule>
  </conditionalFormatting>
  <conditionalFormatting sqref="X23">
    <cfRule type="cellIs" dxfId="25826" priority="156624" stopIfTrue="1" operator="equal">
      <formula>-1</formula>
    </cfRule>
  </conditionalFormatting>
  <conditionalFormatting sqref="X23">
    <cfRule type="cellIs" dxfId="25825" priority="156625" stopIfTrue="1" operator="lessThan">
      <formula>0.5</formula>
    </cfRule>
  </conditionalFormatting>
  <conditionalFormatting sqref="X23">
    <cfRule type="cellIs" dxfId="25824" priority="156626" stopIfTrue="1" operator="greaterThanOrEqual">
      <formula>0.5</formula>
    </cfRule>
  </conditionalFormatting>
  <conditionalFormatting sqref="X24">
    <cfRule type="cellIs" dxfId="25823" priority="156627" stopIfTrue="1" operator="equal">
      <formula>-1</formula>
    </cfRule>
  </conditionalFormatting>
  <conditionalFormatting sqref="X24">
    <cfRule type="cellIs" dxfId="25822" priority="156628" stopIfTrue="1" operator="lessThan">
      <formula>0.5</formula>
    </cfRule>
  </conditionalFormatting>
  <conditionalFormatting sqref="X24">
    <cfRule type="cellIs" dxfId="25821" priority="156629" stopIfTrue="1" operator="greaterThanOrEqual">
      <formula>0.5</formula>
    </cfRule>
  </conditionalFormatting>
  <conditionalFormatting sqref="X25">
    <cfRule type="cellIs" dxfId="25820" priority="156630" stopIfTrue="1" operator="equal">
      <formula>-1</formula>
    </cfRule>
  </conditionalFormatting>
  <conditionalFormatting sqref="X25">
    <cfRule type="cellIs" dxfId="25819" priority="156631" stopIfTrue="1" operator="lessThan">
      <formula>0.5</formula>
    </cfRule>
  </conditionalFormatting>
  <conditionalFormatting sqref="X25">
    <cfRule type="cellIs" dxfId="25818" priority="156632" stopIfTrue="1" operator="greaterThanOrEqual">
      <formula>0.5</formula>
    </cfRule>
  </conditionalFormatting>
  <conditionalFormatting sqref="X26">
    <cfRule type="cellIs" dxfId="25817" priority="156633" stopIfTrue="1" operator="equal">
      <formula>-1</formula>
    </cfRule>
  </conditionalFormatting>
  <conditionalFormatting sqref="X26">
    <cfRule type="cellIs" dxfId="25816" priority="156634" stopIfTrue="1" operator="lessThan">
      <formula>0.5</formula>
    </cfRule>
  </conditionalFormatting>
  <conditionalFormatting sqref="X26">
    <cfRule type="cellIs" dxfId="25815" priority="156635" stopIfTrue="1" operator="greaterThanOrEqual">
      <formula>0.5</formula>
    </cfRule>
  </conditionalFormatting>
  <conditionalFormatting sqref="X27">
    <cfRule type="cellIs" dxfId="25814" priority="156636" stopIfTrue="1" operator="equal">
      <formula>-1</formula>
    </cfRule>
  </conditionalFormatting>
  <conditionalFormatting sqref="X27">
    <cfRule type="cellIs" dxfId="25813" priority="156637" stopIfTrue="1" operator="lessThan">
      <formula>0.5</formula>
    </cfRule>
  </conditionalFormatting>
  <conditionalFormatting sqref="X27">
    <cfRule type="cellIs" dxfId="25812" priority="156638" stopIfTrue="1" operator="greaterThanOrEqual">
      <formula>0.5</formula>
    </cfRule>
  </conditionalFormatting>
  <conditionalFormatting sqref="X28">
    <cfRule type="cellIs" dxfId="25811" priority="156639" stopIfTrue="1" operator="equal">
      <formula>-1</formula>
    </cfRule>
  </conditionalFormatting>
  <conditionalFormatting sqref="X28">
    <cfRule type="cellIs" dxfId="25810" priority="156640" stopIfTrue="1" operator="lessThan">
      <formula>0.5</formula>
    </cfRule>
  </conditionalFormatting>
  <conditionalFormatting sqref="X28">
    <cfRule type="cellIs" dxfId="25809" priority="156641" stopIfTrue="1" operator="greaterThanOrEqual">
      <formula>0.5</formula>
    </cfRule>
  </conditionalFormatting>
  <conditionalFormatting sqref="X29">
    <cfRule type="cellIs" dxfId="25808" priority="156642" stopIfTrue="1" operator="equal">
      <formula>-1</formula>
    </cfRule>
  </conditionalFormatting>
  <conditionalFormatting sqref="X29">
    <cfRule type="cellIs" dxfId="25807" priority="156643" stopIfTrue="1" operator="lessThan">
      <formula>0.5</formula>
    </cfRule>
  </conditionalFormatting>
  <conditionalFormatting sqref="X29">
    <cfRule type="cellIs" dxfId="25806" priority="156644" stopIfTrue="1" operator="greaterThanOrEqual">
      <formula>0.5</formula>
    </cfRule>
  </conditionalFormatting>
  <conditionalFormatting sqref="X30">
    <cfRule type="cellIs" dxfId="25805" priority="156645" stopIfTrue="1" operator="equal">
      <formula>-1</formula>
    </cfRule>
  </conditionalFormatting>
  <conditionalFormatting sqref="X30">
    <cfRule type="cellIs" dxfId="25804" priority="156646" stopIfTrue="1" operator="lessThan">
      <formula>0.5</formula>
    </cfRule>
  </conditionalFormatting>
  <conditionalFormatting sqref="X30">
    <cfRule type="cellIs" dxfId="25803" priority="156647" stopIfTrue="1" operator="greaterThanOrEqual">
      <formula>0.5</formula>
    </cfRule>
  </conditionalFormatting>
  <conditionalFormatting sqref="X31">
    <cfRule type="cellIs" dxfId="25802" priority="156648" stopIfTrue="1" operator="equal">
      <formula>-1</formula>
    </cfRule>
  </conditionalFormatting>
  <conditionalFormatting sqref="X31">
    <cfRule type="cellIs" dxfId="25801" priority="156649" stopIfTrue="1" operator="lessThan">
      <formula>0.5</formula>
    </cfRule>
  </conditionalFormatting>
  <conditionalFormatting sqref="X31">
    <cfRule type="cellIs" dxfId="25800" priority="156650" stopIfTrue="1" operator="greaterThanOrEqual">
      <formula>0.5</formula>
    </cfRule>
  </conditionalFormatting>
  <conditionalFormatting sqref="X32">
    <cfRule type="cellIs" dxfId="25799" priority="156651" stopIfTrue="1" operator="equal">
      <formula>-1</formula>
    </cfRule>
  </conditionalFormatting>
  <conditionalFormatting sqref="X32">
    <cfRule type="cellIs" dxfId="25798" priority="156652" stopIfTrue="1" operator="lessThan">
      <formula>0.5</formula>
    </cfRule>
  </conditionalFormatting>
  <conditionalFormatting sqref="X32">
    <cfRule type="cellIs" dxfId="25797" priority="156653" stopIfTrue="1" operator="greaterThanOrEqual">
      <formula>0.5</formula>
    </cfRule>
  </conditionalFormatting>
  <conditionalFormatting sqref="X33">
    <cfRule type="cellIs" dxfId="25796" priority="156654" stopIfTrue="1" operator="equal">
      <formula>-1</formula>
    </cfRule>
  </conditionalFormatting>
  <conditionalFormatting sqref="X33">
    <cfRule type="cellIs" dxfId="25795" priority="156655" stopIfTrue="1" operator="lessThan">
      <formula>0.5</formula>
    </cfRule>
  </conditionalFormatting>
  <conditionalFormatting sqref="X33">
    <cfRule type="cellIs" dxfId="25794" priority="156656" stopIfTrue="1" operator="greaterThanOrEqual">
      <formula>0.5</formula>
    </cfRule>
  </conditionalFormatting>
  <conditionalFormatting sqref="X34">
    <cfRule type="cellIs" dxfId="25793" priority="156657" stopIfTrue="1" operator="equal">
      <formula>-1</formula>
    </cfRule>
  </conditionalFormatting>
  <conditionalFormatting sqref="X34">
    <cfRule type="cellIs" dxfId="25792" priority="156658" stopIfTrue="1" operator="lessThan">
      <formula>0.5</formula>
    </cfRule>
  </conditionalFormatting>
  <conditionalFormatting sqref="X34">
    <cfRule type="cellIs" dxfId="25791" priority="156659" stopIfTrue="1" operator="greaterThanOrEqual">
      <formula>0.5</formula>
    </cfRule>
  </conditionalFormatting>
  <conditionalFormatting sqref="X35">
    <cfRule type="cellIs" dxfId="25790" priority="156660" stopIfTrue="1" operator="equal">
      <formula>-1</formula>
    </cfRule>
  </conditionalFormatting>
  <conditionalFormatting sqref="X35">
    <cfRule type="cellIs" dxfId="25789" priority="156661" stopIfTrue="1" operator="lessThan">
      <formula>0.5</formula>
    </cfRule>
  </conditionalFormatting>
  <conditionalFormatting sqref="X35">
    <cfRule type="cellIs" dxfId="25788" priority="156662" stopIfTrue="1" operator="greaterThanOrEqual">
      <formula>0.5</formula>
    </cfRule>
  </conditionalFormatting>
  <conditionalFormatting sqref="X36">
    <cfRule type="cellIs" dxfId="25787" priority="156663" stopIfTrue="1" operator="equal">
      <formula>-1</formula>
    </cfRule>
  </conditionalFormatting>
  <conditionalFormatting sqref="X36">
    <cfRule type="cellIs" dxfId="25786" priority="156664" stopIfTrue="1" operator="lessThan">
      <formula>0.5</formula>
    </cfRule>
  </conditionalFormatting>
  <conditionalFormatting sqref="X36">
    <cfRule type="cellIs" dxfId="25785" priority="156665" stopIfTrue="1" operator="greaterThanOrEqual">
      <formula>0.5</formula>
    </cfRule>
  </conditionalFormatting>
  <conditionalFormatting sqref="X37">
    <cfRule type="cellIs" dxfId="25784" priority="156666" stopIfTrue="1" operator="equal">
      <formula>-1</formula>
    </cfRule>
  </conditionalFormatting>
  <conditionalFormatting sqref="X37">
    <cfRule type="cellIs" dxfId="25783" priority="156667" stopIfTrue="1" operator="lessThan">
      <formula>0.5</formula>
    </cfRule>
  </conditionalFormatting>
  <conditionalFormatting sqref="X37">
    <cfRule type="cellIs" dxfId="25782" priority="156668" stopIfTrue="1" operator="greaterThanOrEqual">
      <formula>0.5</formula>
    </cfRule>
  </conditionalFormatting>
  <conditionalFormatting sqref="Z17">
    <cfRule type="cellIs" dxfId="25781" priority="156669" stopIfTrue="1" operator="equal">
      <formula>-1</formula>
    </cfRule>
  </conditionalFormatting>
  <conditionalFormatting sqref="Z17">
    <cfRule type="cellIs" dxfId="25780" priority="156670" stopIfTrue="1" operator="lessThan">
      <formula>0.5</formula>
    </cfRule>
  </conditionalFormatting>
  <conditionalFormatting sqref="Z17">
    <cfRule type="cellIs" dxfId="25779" priority="156671" stopIfTrue="1" operator="greaterThanOrEqual">
      <formula>0.5</formula>
    </cfRule>
  </conditionalFormatting>
  <conditionalFormatting sqref="Z18">
    <cfRule type="cellIs" dxfId="25778" priority="156672" stopIfTrue="1" operator="equal">
      <formula>-1</formula>
    </cfRule>
  </conditionalFormatting>
  <conditionalFormatting sqref="Z18">
    <cfRule type="cellIs" dxfId="25777" priority="156673" stopIfTrue="1" operator="lessThan">
      <formula>0.5</formula>
    </cfRule>
  </conditionalFormatting>
  <conditionalFormatting sqref="Z18">
    <cfRule type="cellIs" dxfId="25776" priority="156674" stopIfTrue="1" operator="greaterThanOrEqual">
      <formula>0.5</formula>
    </cfRule>
  </conditionalFormatting>
  <conditionalFormatting sqref="Z19">
    <cfRule type="cellIs" dxfId="25775" priority="156675" stopIfTrue="1" operator="equal">
      <formula>-1</formula>
    </cfRule>
  </conditionalFormatting>
  <conditionalFormatting sqref="Z19">
    <cfRule type="cellIs" dxfId="25774" priority="156676" stopIfTrue="1" operator="lessThan">
      <formula>0.5</formula>
    </cfRule>
  </conditionalFormatting>
  <conditionalFormatting sqref="Z19">
    <cfRule type="cellIs" dxfId="25773" priority="156677" stopIfTrue="1" operator="greaterThanOrEqual">
      <formula>0.5</formula>
    </cfRule>
  </conditionalFormatting>
  <conditionalFormatting sqref="Z20">
    <cfRule type="cellIs" dxfId="25772" priority="156678" stopIfTrue="1" operator="equal">
      <formula>-1</formula>
    </cfRule>
  </conditionalFormatting>
  <conditionalFormatting sqref="Z20">
    <cfRule type="cellIs" dxfId="25771" priority="156679" stopIfTrue="1" operator="lessThan">
      <formula>0.5</formula>
    </cfRule>
  </conditionalFormatting>
  <conditionalFormatting sqref="Z20">
    <cfRule type="cellIs" dxfId="25770" priority="156680" stopIfTrue="1" operator="greaterThanOrEqual">
      <formula>0.5</formula>
    </cfRule>
  </conditionalFormatting>
  <conditionalFormatting sqref="Z21">
    <cfRule type="cellIs" dxfId="25769" priority="156681" stopIfTrue="1" operator="equal">
      <formula>-1</formula>
    </cfRule>
  </conditionalFormatting>
  <conditionalFormatting sqref="Z21">
    <cfRule type="cellIs" dxfId="25768" priority="156682" stopIfTrue="1" operator="lessThan">
      <formula>0.5</formula>
    </cfRule>
  </conditionalFormatting>
  <conditionalFormatting sqref="Z21">
    <cfRule type="cellIs" dxfId="25767" priority="156683" stopIfTrue="1" operator="greaterThanOrEqual">
      <formula>0.5</formula>
    </cfRule>
  </conditionalFormatting>
  <conditionalFormatting sqref="Z22">
    <cfRule type="cellIs" dxfId="25766" priority="156684" stopIfTrue="1" operator="equal">
      <formula>-1</formula>
    </cfRule>
  </conditionalFormatting>
  <conditionalFormatting sqref="Z22">
    <cfRule type="cellIs" dxfId="25765" priority="156685" stopIfTrue="1" operator="lessThan">
      <formula>0.5</formula>
    </cfRule>
  </conditionalFormatting>
  <conditionalFormatting sqref="Z22">
    <cfRule type="cellIs" dxfId="25764" priority="156686" stopIfTrue="1" operator="greaterThanOrEqual">
      <formula>0.5</formula>
    </cfRule>
  </conditionalFormatting>
  <conditionalFormatting sqref="Z23">
    <cfRule type="cellIs" dxfId="25763" priority="156687" stopIfTrue="1" operator="equal">
      <formula>-1</formula>
    </cfRule>
  </conditionalFormatting>
  <conditionalFormatting sqref="Z23">
    <cfRule type="cellIs" dxfId="25762" priority="156688" stopIfTrue="1" operator="lessThan">
      <formula>0.5</formula>
    </cfRule>
  </conditionalFormatting>
  <conditionalFormatting sqref="Z23">
    <cfRule type="cellIs" dxfId="25761" priority="156689" stopIfTrue="1" operator="greaterThanOrEqual">
      <formula>0.5</formula>
    </cfRule>
  </conditionalFormatting>
  <conditionalFormatting sqref="Z24">
    <cfRule type="cellIs" dxfId="25760" priority="156690" stopIfTrue="1" operator="equal">
      <formula>-1</formula>
    </cfRule>
  </conditionalFormatting>
  <conditionalFormatting sqref="Z24">
    <cfRule type="cellIs" dxfId="25759" priority="156691" stopIfTrue="1" operator="lessThan">
      <formula>0.5</formula>
    </cfRule>
  </conditionalFormatting>
  <conditionalFormatting sqref="Z24">
    <cfRule type="cellIs" dxfId="25758" priority="156692" stopIfTrue="1" operator="greaterThanOrEqual">
      <formula>0.5</formula>
    </cfRule>
  </conditionalFormatting>
  <conditionalFormatting sqref="Z25">
    <cfRule type="cellIs" dxfId="25757" priority="156693" stopIfTrue="1" operator="equal">
      <formula>-1</formula>
    </cfRule>
  </conditionalFormatting>
  <conditionalFormatting sqref="Z25">
    <cfRule type="cellIs" dxfId="25756" priority="156694" stopIfTrue="1" operator="lessThan">
      <formula>0.5</formula>
    </cfRule>
  </conditionalFormatting>
  <conditionalFormatting sqref="Z25">
    <cfRule type="cellIs" dxfId="25755" priority="156695" stopIfTrue="1" operator="greaterThanOrEqual">
      <formula>0.5</formula>
    </cfRule>
  </conditionalFormatting>
  <conditionalFormatting sqref="Z26">
    <cfRule type="cellIs" dxfId="25754" priority="156696" stopIfTrue="1" operator="equal">
      <formula>-1</formula>
    </cfRule>
  </conditionalFormatting>
  <conditionalFormatting sqref="Z26">
    <cfRule type="cellIs" dxfId="25753" priority="156697" stopIfTrue="1" operator="lessThan">
      <formula>0.5</formula>
    </cfRule>
  </conditionalFormatting>
  <conditionalFormatting sqref="Z26">
    <cfRule type="cellIs" dxfId="25752" priority="156698" stopIfTrue="1" operator="greaterThanOrEqual">
      <formula>0.5</formula>
    </cfRule>
  </conditionalFormatting>
  <conditionalFormatting sqref="Z27">
    <cfRule type="cellIs" dxfId="25751" priority="156699" stopIfTrue="1" operator="equal">
      <formula>-1</formula>
    </cfRule>
  </conditionalFormatting>
  <conditionalFormatting sqref="Z27">
    <cfRule type="cellIs" dxfId="25750" priority="156700" stopIfTrue="1" operator="lessThan">
      <formula>0.5</formula>
    </cfRule>
  </conditionalFormatting>
  <conditionalFormatting sqref="Z27">
    <cfRule type="cellIs" dxfId="25749" priority="156701" stopIfTrue="1" operator="greaterThanOrEqual">
      <formula>0.5</formula>
    </cfRule>
  </conditionalFormatting>
  <conditionalFormatting sqref="Z28">
    <cfRule type="cellIs" dxfId="25748" priority="156702" stopIfTrue="1" operator="equal">
      <formula>-1</formula>
    </cfRule>
  </conditionalFormatting>
  <conditionalFormatting sqref="Z28">
    <cfRule type="cellIs" dxfId="25747" priority="156703" stopIfTrue="1" operator="lessThan">
      <formula>0.5</formula>
    </cfRule>
  </conditionalFormatting>
  <conditionalFormatting sqref="Z28">
    <cfRule type="cellIs" dxfId="25746" priority="156704" stopIfTrue="1" operator="greaterThanOrEqual">
      <formula>0.5</formula>
    </cfRule>
  </conditionalFormatting>
  <conditionalFormatting sqref="Z29">
    <cfRule type="cellIs" dxfId="25745" priority="156705" stopIfTrue="1" operator="equal">
      <formula>-1</formula>
    </cfRule>
  </conditionalFormatting>
  <conditionalFormatting sqref="Z29">
    <cfRule type="cellIs" dxfId="25744" priority="156706" stopIfTrue="1" operator="lessThan">
      <formula>0.5</formula>
    </cfRule>
  </conditionalFormatting>
  <conditionalFormatting sqref="Z29">
    <cfRule type="cellIs" dxfId="25743" priority="156707" stopIfTrue="1" operator="greaterThanOrEqual">
      <formula>0.5</formula>
    </cfRule>
  </conditionalFormatting>
  <conditionalFormatting sqref="Z30">
    <cfRule type="cellIs" dxfId="25742" priority="156708" stopIfTrue="1" operator="equal">
      <formula>-1</formula>
    </cfRule>
  </conditionalFormatting>
  <conditionalFormatting sqref="Z30">
    <cfRule type="cellIs" dxfId="25741" priority="156709" stopIfTrue="1" operator="lessThan">
      <formula>0.5</formula>
    </cfRule>
  </conditionalFormatting>
  <conditionalFormatting sqref="Z30">
    <cfRule type="cellIs" dxfId="25740" priority="156710" stopIfTrue="1" operator="greaterThanOrEqual">
      <formula>0.5</formula>
    </cfRule>
  </conditionalFormatting>
  <conditionalFormatting sqref="Z31">
    <cfRule type="cellIs" dxfId="25739" priority="156711" stopIfTrue="1" operator="equal">
      <formula>-1</formula>
    </cfRule>
  </conditionalFormatting>
  <conditionalFormatting sqref="Z31">
    <cfRule type="cellIs" dxfId="25738" priority="156712" stopIfTrue="1" operator="lessThan">
      <formula>0.5</formula>
    </cfRule>
  </conditionalFormatting>
  <conditionalFormatting sqref="Z31">
    <cfRule type="cellIs" dxfId="25737" priority="156713" stopIfTrue="1" operator="greaterThanOrEqual">
      <formula>0.5</formula>
    </cfRule>
  </conditionalFormatting>
  <conditionalFormatting sqref="Z32">
    <cfRule type="cellIs" dxfId="25736" priority="156714" stopIfTrue="1" operator="equal">
      <formula>-1</formula>
    </cfRule>
  </conditionalFormatting>
  <conditionalFormatting sqref="Z32">
    <cfRule type="cellIs" dxfId="25735" priority="156715" stopIfTrue="1" operator="lessThan">
      <formula>0.5</formula>
    </cfRule>
  </conditionalFormatting>
  <conditionalFormatting sqref="Z32">
    <cfRule type="cellIs" dxfId="25734" priority="156716" stopIfTrue="1" operator="greaterThanOrEqual">
      <formula>0.5</formula>
    </cfRule>
  </conditionalFormatting>
  <conditionalFormatting sqref="Z33">
    <cfRule type="cellIs" dxfId="25733" priority="156717" stopIfTrue="1" operator="equal">
      <formula>-1</formula>
    </cfRule>
  </conditionalFormatting>
  <conditionalFormatting sqref="Z33">
    <cfRule type="cellIs" dxfId="25732" priority="156718" stopIfTrue="1" operator="lessThan">
      <formula>0.5</formula>
    </cfRule>
  </conditionalFormatting>
  <conditionalFormatting sqref="Z33">
    <cfRule type="cellIs" dxfId="25731" priority="156719" stopIfTrue="1" operator="greaterThanOrEqual">
      <formula>0.5</formula>
    </cfRule>
  </conditionalFormatting>
  <conditionalFormatting sqref="Z34">
    <cfRule type="cellIs" dxfId="25730" priority="156720" stopIfTrue="1" operator="equal">
      <formula>-1</formula>
    </cfRule>
  </conditionalFormatting>
  <conditionalFormatting sqref="Z34">
    <cfRule type="cellIs" dxfId="25729" priority="156721" stopIfTrue="1" operator="lessThan">
      <formula>0.5</formula>
    </cfRule>
  </conditionalFormatting>
  <conditionalFormatting sqref="Z34">
    <cfRule type="cellIs" dxfId="25728" priority="156722" stopIfTrue="1" operator="greaterThanOrEqual">
      <formula>0.5</formula>
    </cfRule>
  </conditionalFormatting>
  <conditionalFormatting sqref="Z35">
    <cfRule type="cellIs" dxfId="25727" priority="156723" stopIfTrue="1" operator="equal">
      <formula>-1</formula>
    </cfRule>
  </conditionalFormatting>
  <conditionalFormatting sqref="Z35">
    <cfRule type="cellIs" dxfId="25726" priority="156724" stopIfTrue="1" operator="lessThan">
      <formula>0.5</formula>
    </cfRule>
  </conditionalFormatting>
  <conditionalFormatting sqref="Z35">
    <cfRule type="cellIs" dxfId="25725" priority="156725" stopIfTrue="1" operator="greaterThanOrEqual">
      <formula>0.5</formula>
    </cfRule>
  </conditionalFormatting>
  <conditionalFormatting sqref="Z36">
    <cfRule type="cellIs" dxfId="25724" priority="156726" stopIfTrue="1" operator="equal">
      <formula>-1</formula>
    </cfRule>
  </conditionalFormatting>
  <conditionalFormatting sqref="Z36">
    <cfRule type="cellIs" dxfId="25723" priority="156727" stopIfTrue="1" operator="lessThan">
      <formula>0.5</formula>
    </cfRule>
  </conditionalFormatting>
  <conditionalFormatting sqref="Z36">
    <cfRule type="cellIs" dxfId="25722" priority="156728" stopIfTrue="1" operator="greaterThanOrEqual">
      <formula>0.5</formula>
    </cfRule>
  </conditionalFormatting>
  <conditionalFormatting sqref="Z37">
    <cfRule type="cellIs" dxfId="25721" priority="156729" stopIfTrue="1" operator="equal">
      <formula>-1</formula>
    </cfRule>
  </conditionalFormatting>
  <conditionalFormatting sqref="Z37">
    <cfRule type="cellIs" dxfId="25720" priority="156730" stopIfTrue="1" operator="lessThan">
      <formula>0.5</formula>
    </cfRule>
  </conditionalFormatting>
  <conditionalFormatting sqref="Z37">
    <cfRule type="cellIs" dxfId="25719" priority="156731" stopIfTrue="1" operator="greaterThanOrEqual">
      <formula>0.5</formula>
    </cfRule>
  </conditionalFormatting>
  <conditionalFormatting sqref="AB17">
    <cfRule type="cellIs" dxfId="25718" priority="156732" stopIfTrue="1" operator="equal">
      <formula>-1</formula>
    </cfRule>
  </conditionalFormatting>
  <conditionalFormatting sqref="AB17">
    <cfRule type="cellIs" dxfId="25717" priority="156733" stopIfTrue="1" operator="lessThan">
      <formula>0.5</formula>
    </cfRule>
  </conditionalFormatting>
  <conditionalFormatting sqref="AB17">
    <cfRule type="cellIs" dxfId="25716" priority="156734" stopIfTrue="1" operator="greaterThanOrEqual">
      <formula>0.5</formula>
    </cfRule>
  </conditionalFormatting>
  <conditionalFormatting sqref="AB18">
    <cfRule type="cellIs" dxfId="25715" priority="156735" stopIfTrue="1" operator="equal">
      <formula>-1</formula>
    </cfRule>
  </conditionalFormatting>
  <conditionalFormatting sqref="AB18">
    <cfRule type="cellIs" dxfId="25714" priority="156736" stopIfTrue="1" operator="lessThan">
      <formula>0.5</formula>
    </cfRule>
  </conditionalFormatting>
  <conditionalFormatting sqref="AB18">
    <cfRule type="cellIs" dxfId="25713" priority="156737" stopIfTrue="1" operator="greaterThanOrEqual">
      <formula>0.5</formula>
    </cfRule>
  </conditionalFormatting>
  <conditionalFormatting sqref="AB19">
    <cfRule type="cellIs" dxfId="25712" priority="156738" stopIfTrue="1" operator="equal">
      <formula>-1</formula>
    </cfRule>
  </conditionalFormatting>
  <conditionalFormatting sqref="AB19">
    <cfRule type="cellIs" dxfId="25711" priority="156739" stopIfTrue="1" operator="lessThan">
      <formula>0.5</formula>
    </cfRule>
  </conditionalFormatting>
  <conditionalFormatting sqref="AB19">
    <cfRule type="cellIs" dxfId="25710" priority="156740" stopIfTrue="1" operator="greaterThanOrEqual">
      <formula>0.5</formula>
    </cfRule>
  </conditionalFormatting>
  <conditionalFormatting sqref="AB20">
    <cfRule type="cellIs" dxfId="25709" priority="156741" stopIfTrue="1" operator="equal">
      <formula>-1</formula>
    </cfRule>
  </conditionalFormatting>
  <conditionalFormatting sqref="AB20">
    <cfRule type="cellIs" dxfId="25708" priority="156742" stopIfTrue="1" operator="lessThan">
      <formula>0.5</formula>
    </cfRule>
  </conditionalFormatting>
  <conditionalFormatting sqref="AB20">
    <cfRule type="cellIs" dxfId="25707" priority="156743" stopIfTrue="1" operator="greaterThanOrEqual">
      <formula>0.5</formula>
    </cfRule>
  </conditionalFormatting>
  <conditionalFormatting sqref="AB21">
    <cfRule type="cellIs" dxfId="25706" priority="156744" stopIfTrue="1" operator="equal">
      <formula>-1</formula>
    </cfRule>
  </conditionalFormatting>
  <conditionalFormatting sqref="AB21">
    <cfRule type="cellIs" dxfId="25705" priority="156745" stopIfTrue="1" operator="lessThan">
      <formula>0.5</formula>
    </cfRule>
  </conditionalFormatting>
  <conditionalFormatting sqref="AB21">
    <cfRule type="cellIs" dxfId="25704" priority="156746" stopIfTrue="1" operator="greaterThanOrEqual">
      <formula>0.5</formula>
    </cfRule>
  </conditionalFormatting>
  <conditionalFormatting sqref="AB22">
    <cfRule type="cellIs" dxfId="25703" priority="156747" stopIfTrue="1" operator="equal">
      <formula>-1</formula>
    </cfRule>
  </conditionalFormatting>
  <conditionalFormatting sqref="AB22">
    <cfRule type="cellIs" dxfId="25702" priority="156748" stopIfTrue="1" operator="lessThan">
      <formula>0.5</formula>
    </cfRule>
  </conditionalFormatting>
  <conditionalFormatting sqref="AB22">
    <cfRule type="cellIs" dxfId="25701" priority="156749" stopIfTrue="1" operator="greaterThanOrEqual">
      <formula>0.5</formula>
    </cfRule>
  </conditionalFormatting>
  <conditionalFormatting sqref="AB23">
    <cfRule type="cellIs" dxfId="25700" priority="156750" stopIfTrue="1" operator="equal">
      <formula>-1</formula>
    </cfRule>
  </conditionalFormatting>
  <conditionalFormatting sqref="AB23">
    <cfRule type="cellIs" dxfId="25699" priority="156751" stopIfTrue="1" operator="lessThan">
      <formula>0.5</formula>
    </cfRule>
  </conditionalFormatting>
  <conditionalFormatting sqref="AB23">
    <cfRule type="cellIs" dxfId="25698" priority="156752" stopIfTrue="1" operator="greaterThanOrEqual">
      <formula>0.5</formula>
    </cfRule>
  </conditionalFormatting>
  <conditionalFormatting sqref="AB24">
    <cfRule type="cellIs" dxfId="25697" priority="156753" stopIfTrue="1" operator="equal">
      <formula>-1</formula>
    </cfRule>
  </conditionalFormatting>
  <conditionalFormatting sqref="AB24">
    <cfRule type="cellIs" dxfId="25696" priority="156754" stopIfTrue="1" operator="lessThan">
      <formula>0.5</formula>
    </cfRule>
  </conditionalFormatting>
  <conditionalFormatting sqref="AB24">
    <cfRule type="cellIs" dxfId="25695" priority="156755" stopIfTrue="1" operator="greaterThanOrEqual">
      <formula>0.5</formula>
    </cfRule>
  </conditionalFormatting>
  <conditionalFormatting sqref="AB25">
    <cfRule type="cellIs" dxfId="25694" priority="156756" stopIfTrue="1" operator="equal">
      <formula>-1</formula>
    </cfRule>
  </conditionalFormatting>
  <conditionalFormatting sqref="AB25">
    <cfRule type="cellIs" dxfId="25693" priority="156757" stopIfTrue="1" operator="lessThan">
      <formula>0.5</formula>
    </cfRule>
  </conditionalFormatting>
  <conditionalFormatting sqref="AB25">
    <cfRule type="cellIs" dxfId="25692" priority="156758" stopIfTrue="1" operator="greaterThanOrEqual">
      <formula>0.5</formula>
    </cfRule>
  </conditionalFormatting>
  <conditionalFormatting sqref="AB26">
    <cfRule type="cellIs" dxfId="25691" priority="156759" stopIfTrue="1" operator="equal">
      <formula>-1</formula>
    </cfRule>
  </conditionalFormatting>
  <conditionalFormatting sqref="AB26">
    <cfRule type="cellIs" dxfId="25690" priority="156760" stopIfTrue="1" operator="lessThan">
      <formula>0.5</formula>
    </cfRule>
  </conditionalFormatting>
  <conditionalFormatting sqref="AB26">
    <cfRule type="cellIs" dxfId="25689" priority="156761" stopIfTrue="1" operator="greaterThanOrEqual">
      <formula>0.5</formula>
    </cfRule>
  </conditionalFormatting>
  <conditionalFormatting sqref="AB27">
    <cfRule type="cellIs" dxfId="25688" priority="156762" stopIfTrue="1" operator="equal">
      <formula>-1</formula>
    </cfRule>
  </conditionalFormatting>
  <conditionalFormatting sqref="AB27">
    <cfRule type="cellIs" dxfId="25687" priority="156763" stopIfTrue="1" operator="lessThan">
      <formula>0.5</formula>
    </cfRule>
  </conditionalFormatting>
  <conditionalFormatting sqref="AB27">
    <cfRule type="cellIs" dxfId="25686" priority="156764" stopIfTrue="1" operator="greaterThanOrEqual">
      <formula>0.5</formula>
    </cfRule>
  </conditionalFormatting>
  <conditionalFormatting sqref="AB28">
    <cfRule type="cellIs" dxfId="25685" priority="156765" stopIfTrue="1" operator="equal">
      <formula>-1</formula>
    </cfRule>
  </conditionalFormatting>
  <conditionalFormatting sqref="AB28">
    <cfRule type="cellIs" dxfId="25684" priority="156766" stopIfTrue="1" operator="lessThan">
      <formula>0.5</formula>
    </cfRule>
  </conditionalFormatting>
  <conditionalFormatting sqref="AB28">
    <cfRule type="cellIs" dxfId="25683" priority="156767" stopIfTrue="1" operator="greaterThanOrEqual">
      <formula>0.5</formula>
    </cfRule>
  </conditionalFormatting>
  <conditionalFormatting sqref="AB29">
    <cfRule type="cellIs" dxfId="25682" priority="156768" stopIfTrue="1" operator="equal">
      <formula>-1</formula>
    </cfRule>
  </conditionalFormatting>
  <conditionalFormatting sqref="AB29">
    <cfRule type="cellIs" dxfId="25681" priority="156769" stopIfTrue="1" operator="lessThan">
      <formula>0.5</formula>
    </cfRule>
  </conditionalFormatting>
  <conditionalFormatting sqref="AB29">
    <cfRule type="cellIs" dxfId="25680" priority="156770" stopIfTrue="1" operator="greaterThanOrEqual">
      <formula>0.5</formula>
    </cfRule>
  </conditionalFormatting>
  <conditionalFormatting sqref="AB30">
    <cfRule type="cellIs" dxfId="25679" priority="156771" stopIfTrue="1" operator="equal">
      <formula>-1</formula>
    </cfRule>
  </conditionalFormatting>
  <conditionalFormatting sqref="AB30">
    <cfRule type="cellIs" dxfId="25678" priority="156772" stopIfTrue="1" operator="lessThan">
      <formula>0.5</formula>
    </cfRule>
  </conditionalFormatting>
  <conditionalFormatting sqref="AB30">
    <cfRule type="cellIs" dxfId="25677" priority="156773" stopIfTrue="1" operator="greaterThanOrEqual">
      <formula>0.5</formula>
    </cfRule>
  </conditionalFormatting>
  <conditionalFormatting sqref="AB31">
    <cfRule type="cellIs" dxfId="25676" priority="156774" stopIfTrue="1" operator="equal">
      <formula>-1</formula>
    </cfRule>
  </conditionalFormatting>
  <conditionalFormatting sqref="AB31">
    <cfRule type="cellIs" dxfId="25675" priority="156775" stopIfTrue="1" operator="lessThan">
      <formula>0.5</formula>
    </cfRule>
  </conditionalFormatting>
  <conditionalFormatting sqref="AB31">
    <cfRule type="cellIs" dxfId="25674" priority="156776" stopIfTrue="1" operator="greaterThanOrEqual">
      <formula>0.5</formula>
    </cfRule>
  </conditionalFormatting>
  <conditionalFormatting sqref="AB32">
    <cfRule type="cellIs" dxfId="25673" priority="156777" stopIfTrue="1" operator="equal">
      <formula>-1</formula>
    </cfRule>
  </conditionalFormatting>
  <conditionalFormatting sqref="AB32">
    <cfRule type="cellIs" dxfId="25672" priority="156778" stopIfTrue="1" operator="lessThan">
      <formula>0.5</formula>
    </cfRule>
  </conditionalFormatting>
  <conditionalFormatting sqref="AB32">
    <cfRule type="cellIs" dxfId="25671" priority="156779" stopIfTrue="1" operator="greaterThanOrEqual">
      <formula>0.5</formula>
    </cfRule>
  </conditionalFormatting>
  <conditionalFormatting sqref="AB33">
    <cfRule type="cellIs" dxfId="25670" priority="156780" stopIfTrue="1" operator="equal">
      <formula>-1</formula>
    </cfRule>
  </conditionalFormatting>
  <conditionalFormatting sqref="AB33">
    <cfRule type="cellIs" dxfId="25669" priority="156781" stopIfTrue="1" operator="lessThan">
      <formula>0.5</formula>
    </cfRule>
  </conditionalFormatting>
  <conditionalFormatting sqref="AB33">
    <cfRule type="cellIs" dxfId="25668" priority="156782" stopIfTrue="1" operator="greaterThanOrEqual">
      <formula>0.5</formula>
    </cfRule>
  </conditionalFormatting>
  <conditionalFormatting sqref="AB34">
    <cfRule type="cellIs" dxfId="25667" priority="156783" stopIfTrue="1" operator="equal">
      <formula>-1</formula>
    </cfRule>
  </conditionalFormatting>
  <conditionalFormatting sqref="AB34">
    <cfRule type="cellIs" dxfId="25666" priority="156784" stopIfTrue="1" operator="lessThan">
      <formula>0.5</formula>
    </cfRule>
  </conditionalFormatting>
  <conditionalFormatting sqref="AB34">
    <cfRule type="cellIs" dxfId="25665" priority="156785" stopIfTrue="1" operator="greaterThanOrEqual">
      <formula>0.5</formula>
    </cfRule>
  </conditionalFormatting>
  <conditionalFormatting sqref="AB35">
    <cfRule type="cellIs" dxfId="25664" priority="156786" stopIfTrue="1" operator="equal">
      <formula>-1</formula>
    </cfRule>
  </conditionalFormatting>
  <conditionalFormatting sqref="AB35">
    <cfRule type="cellIs" dxfId="25663" priority="156787" stopIfTrue="1" operator="lessThan">
      <formula>0.5</formula>
    </cfRule>
  </conditionalFormatting>
  <conditionalFormatting sqref="AB35">
    <cfRule type="cellIs" dxfId="25662" priority="156788" stopIfTrue="1" operator="greaterThanOrEqual">
      <formula>0.5</formula>
    </cfRule>
  </conditionalFormatting>
  <conditionalFormatting sqref="AB36">
    <cfRule type="cellIs" dxfId="25661" priority="156789" stopIfTrue="1" operator="equal">
      <formula>-1</formula>
    </cfRule>
  </conditionalFormatting>
  <conditionalFormatting sqref="AB36">
    <cfRule type="cellIs" dxfId="25660" priority="156790" stopIfTrue="1" operator="lessThan">
      <formula>0.5</formula>
    </cfRule>
  </conditionalFormatting>
  <conditionalFormatting sqref="AB36">
    <cfRule type="cellIs" dxfId="25659" priority="156791" stopIfTrue="1" operator="greaterThanOrEqual">
      <formula>0.5</formula>
    </cfRule>
  </conditionalFormatting>
  <conditionalFormatting sqref="AB37">
    <cfRule type="cellIs" dxfId="25658" priority="156792" stopIfTrue="1" operator="equal">
      <formula>-1</formula>
    </cfRule>
  </conditionalFormatting>
  <conditionalFormatting sqref="AB37">
    <cfRule type="cellIs" dxfId="25657" priority="156793" stopIfTrue="1" operator="lessThan">
      <formula>0.5</formula>
    </cfRule>
  </conditionalFormatting>
  <conditionalFormatting sqref="AB37">
    <cfRule type="cellIs" dxfId="25656" priority="156794" stopIfTrue="1" operator="greaterThanOrEqual">
      <formula>0.5</formula>
    </cfRule>
  </conditionalFormatting>
  <conditionalFormatting sqref="AD17">
    <cfRule type="cellIs" dxfId="25655" priority="156795" stopIfTrue="1" operator="equal">
      <formula>-1</formula>
    </cfRule>
  </conditionalFormatting>
  <conditionalFormatting sqref="AD17">
    <cfRule type="cellIs" dxfId="25654" priority="156796" stopIfTrue="1" operator="lessThan">
      <formula>0.5</formula>
    </cfRule>
  </conditionalFormatting>
  <conditionalFormatting sqref="AD17">
    <cfRule type="cellIs" dxfId="25653" priority="156797" stopIfTrue="1" operator="greaterThanOrEqual">
      <formula>0.5</formula>
    </cfRule>
  </conditionalFormatting>
  <conditionalFormatting sqref="AD18">
    <cfRule type="cellIs" dxfId="25652" priority="156798" stopIfTrue="1" operator="equal">
      <formula>-1</formula>
    </cfRule>
  </conditionalFormatting>
  <conditionalFormatting sqref="AD18">
    <cfRule type="cellIs" dxfId="25651" priority="156799" stopIfTrue="1" operator="lessThan">
      <formula>0.5</formula>
    </cfRule>
  </conditionalFormatting>
  <conditionalFormatting sqref="AD18">
    <cfRule type="cellIs" dxfId="25650" priority="156800" stopIfTrue="1" operator="greaterThanOrEqual">
      <formula>0.5</formula>
    </cfRule>
  </conditionalFormatting>
  <conditionalFormatting sqref="AD19">
    <cfRule type="cellIs" dxfId="25649" priority="156801" stopIfTrue="1" operator="equal">
      <formula>-1</formula>
    </cfRule>
  </conditionalFormatting>
  <conditionalFormatting sqref="AD19">
    <cfRule type="cellIs" dxfId="25648" priority="156802" stopIfTrue="1" operator="lessThan">
      <formula>0.5</formula>
    </cfRule>
  </conditionalFormatting>
  <conditionalFormatting sqref="AD19">
    <cfRule type="cellIs" dxfId="25647" priority="156803" stopIfTrue="1" operator="greaterThanOrEqual">
      <formula>0.5</formula>
    </cfRule>
  </conditionalFormatting>
  <conditionalFormatting sqref="AD20">
    <cfRule type="cellIs" dxfId="25646" priority="156804" stopIfTrue="1" operator="equal">
      <formula>-1</formula>
    </cfRule>
  </conditionalFormatting>
  <conditionalFormatting sqref="AD20">
    <cfRule type="cellIs" dxfId="25645" priority="156805" stopIfTrue="1" operator="lessThan">
      <formula>0.5</formula>
    </cfRule>
  </conditionalFormatting>
  <conditionalFormatting sqref="AD20">
    <cfRule type="cellIs" dxfId="25644" priority="156806" stopIfTrue="1" operator="greaterThanOrEqual">
      <formula>0.5</formula>
    </cfRule>
  </conditionalFormatting>
  <conditionalFormatting sqref="AD21">
    <cfRule type="cellIs" dxfId="25643" priority="156807" stopIfTrue="1" operator="equal">
      <formula>-1</formula>
    </cfRule>
  </conditionalFormatting>
  <conditionalFormatting sqref="AD21">
    <cfRule type="cellIs" dxfId="25642" priority="156808" stopIfTrue="1" operator="lessThan">
      <formula>0.5</formula>
    </cfRule>
  </conditionalFormatting>
  <conditionalFormatting sqref="AD21">
    <cfRule type="cellIs" dxfId="25641" priority="156809" stopIfTrue="1" operator="greaterThanOrEqual">
      <formula>0.5</formula>
    </cfRule>
  </conditionalFormatting>
  <conditionalFormatting sqref="AD22">
    <cfRule type="cellIs" dxfId="25640" priority="156810" stopIfTrue="1" operator="equal">
      <formula>-1</formula>
    </cfRule>
  </conditionalFormatting>
  <conditionalFormatting sqref="AD22">
    <cfRule type="cellIs" dxfId="25639" priority="156811" stopIfTrue="1" operator="lessThan">
      <formula>0.5</formula>
    </cfRule>
  </conditionalFormatting>
  <conditionalFormatting sqref="AD22">
    <cfRule type="cellIs" dxfId="25638" priority="156812" stopIfTrue="1" operator="greaterThanOrEqual">
      <formula>0.5</formula>
    </cfRule>
  </conditionalFormatting>
  <conditionalFormatting sqref="AD23">
    <cfRule type="cellIs" dxfId="25637" priority="156813" stopIfTrue="1" operator="equal">
      <formula>-1</formula>
    </cfRule>
  </conditionalFormatting>
  <conditionalFormatting sqref="AD23">
    <cfRule type="cellIs" dxfId="25636" priority="156814" stopIfTrue="1" operator="lessThan">
      <formula>0.5</formula>
    </cfRule>
  </conditionalFormatting>
  <conditionalFormatting sqref="AD23">
    <cfRule type="cellIs" dxfId="25635" priority="156815" stopIfTrue="1" operator="greaterThanOrEqual">
      <formula>0.5</formula>
    </cfRule>
  </conditionalFormatting>
  <conditionalFormatting sqref="AD24">
    <cfRule type="cellIs" dxfId="25634" priority="156816" stopIfTrue="1" operator="equal">
      <formula>-1</formula>
    </cfRule>
  </conditionalFormatting>
  <conditionalFormatting sqref="AD24">
    <cfRule type="cellIs" dxfId="25633" priority="156817" stopIfTrue="1" operator="lessThan">
      <formula>0.5</formula>
    </cfRule>
  </conditionalFormatting>
  <conditionalFormatting sqref="AD24">
    <cfRule type="cellIs" dxfId="25632" priority="156818" stopIfTrue="1" operator="greaterThanOrEqual">
      <formula>0.5</formula>
    </cfRule>
  </conditionalFormatting>
  <conditionalFormatting sqref="AD25">
    <cfRule type="cellIs" dxfId="25631" priority="156819" stopIfTrue="1" operator="equal">
      <formula>-1</formula>
    </cfRule>
  </conditionalFormatting>
  <conditionalFormatting sqref="AD25">
    <cfRule type="cellIs" dxfId="25630" priority="156820" stopIfTrue="1" operator="lessThan">
      <formula>0.5</formula>
    </cfRule>
  </conditionalFormatting>
  <conditionalFormatting sqref="AD25">
    <cfRule type="cellIs" dxfId="25629" priority="156821" stopIfTrue="1" operator="greaterThanOrEqual">
      <formula>0.5</formula>
    </cfRule>
  </conditionalFormatting>
  <conditionalFormatting sqref="AD26">
    <cfRule type="cellIs" dxfId="25628" priority="156822" stopIfTrue="1" operator="equal">
      <formula>-1</formula>
    </cfRule>
  </conditionalFormatting>
  <conditionalFormatting sqref="AD26">
    <cfRule type="cellIs" dxfId="25627" priority="156823" stopIfTrue="1" operator="lessThan">
      <formula>0.5</formula>
    </cfRule>
  </conditionalFormatting>
  <conditionalFormatting sqref="AD26">
    <cfRule type="cellIs" dxfId="25626" priority="156824" stopIfTrue="1" operator="greaterThanOrEqual">
      <formula>0.5</formula>
    </cfRule>
  </conditionalFormatting>
  <conditionalFormatting sqref="AD27">
    <cfRule type="cellIs" dxfId="25625" priority="156825" stopIfTrue="1" operator="equal">
      <formula>-1</formula>
    </cfRule>
  </conditionalFormatting>
  <conditionalFormatting sqref="AD27">
    <cfRule type="cellIs" dxfId="25624" priority="156826" stopIfTrue="1" operator="lessThan">
      <formula>0.5</formula>
    </cfRule>
  </conditionalFormatting>
  <conditionalFormatting sqref="AD27">
    <cfRule type="cellIs" dxfId="25623" priority="156827" stopIfTrue="1" operator="greaterThanOrEqual">
      <formula>0.5</formula>
    </cfRule>
  </conditionalFormatting>
  <conditionalFormatting sqref="AD28">
    <cfRule type="cellIs" dxfId="25622" priority="156828" stopIfTrue="1" operator="equal">
      <formula>-1</formula>
    </cfRule>
  </conditionalFormatting>
  <conditionalFormatting sqref="AD28">
    <cfRule type="cellIs" dxfId="25621" priority="156829" stopIfTrue="1" operator="lessThan">
      <formula>0.5</formula>
    </cfRule>
  </conditionalFormatting>
  <conditionalFormatting sqref="AD28">
    <cfRule type="cellIs" dxfId="25620" priority="156830" stopIfTrue="1" operator="greaterThanOrEqual">
      <formula>0.5</formula>
    </cfRule>
  </conditionalFormatting>
  <conditionalFormatting sqref="AD29">
    <cfRule type="cellIs" dxfId="25619" priority="156831" stopIfTrue="1" operator="equal">
      <formula>-1</formula>
    </cfRule>
  </conditionalFormatting>
  <conditionalFormatting sqref="AD29">
    <cfRule type="cellIs" dxfId="25618" priority="156832" stopIfTrue="1" operator="lessThan">
      <formula>0.5</formula>
    </cfRule>
  </conditionalFormatting>
  <conditionalFormatting sqref="AD29">
    <cfRule type="cellIs" dxfId="25617" priority="156833" stopIfTrue="1" operator="greaterThanOrEqual">
      <formula>0.5</formula>
    </cfRule>
  </conditionalFormatting>
  <conditionalFormatting sqref="AD30">
    <cfRule type="cellIs" dxfId="25616" priority="156834" stopIfTrue="1" operator="equal">
      <formula>-1</formula>
    </cfRule>
  </conditionalFormatting>
  <conditionalFormatting sqref="AD30">
    <cfRule type="cellIs" dxfId="25615" priority="156835" stopIfTrue="1" operator="lessThan">
      <formula>0.5</formula>
    </cfRule>
  </conditionalFormatting>
  <conditionalFormatting sqref="AD30">
    <cfRule type="cellIs" dxfId="25614" priority="156836" stopIfTrue="1" operator="greaterThanOrEqual">
      <formula>0.5</formula>
    </cfRule>
  </conditionalFormatting>
  <conditionalFormatting sqref="AD31">
    <cfRule type="cellIs" dxfId="25613" priority="156837" stopIfTrue="1" operator="equal">
      <formula>-1</formula>
    </cfRule>
  </conditionalFormatting>
  <conditionalFormatting sqref="AD31">
    <cfRule type="cellIs" dxfId="25612" priority="156838" stopIfTrue="1" operator="lessThan">
      <formula>0.5</formula>
    </cfRule>
  </conditionalFormatting>
  <conditionalFormatting sqref="AD31">
    <cfRule type="cellIs" dxfId="25611" priority="156839" stopIfTrue="1" operator="greaterThanOrEqual">
      <formula>0.5</formula>
    </cfRule>
  </conditionalFormatting>
  <conditionalFormatting sqref="AD32">
    <cfRule type="cellIs" dxfId="25610" priority="156840" stopIfTrue="1" operator="equal">
      <formula>-1</formula>
    </cfRule>
  </conditionalFormatting>
  <conditionalFormatting sqref="AD32">
    <cfRule type="cellIs" dxfId="25609" priority="156841" stopIfTrue="1" operator="lessThan">
      <formula>0.5</formula>
    </cfRule>
  </conditionalFormatting>
  <conditionalFormatting sqref="AD32">
    <cfRule type="cellIs" dxfId="25608" priority="156842" stopIfTrue="1" operator="greaterThanOrEqual">
      <formula>0.5</formula>
    </cfRule>
  </conditionalFormatting>
  <conditionalFormatting sqref="AD33">
    <cfRule type="cellIs" dxfId="25607" priority="156843" stopIfTrue="1" operator="equal">
      <formula>-1</formula>
    </cfRule>
  </conditionalFormatting>
  <conditionalFormatting sqref="AD33">
    <cfRule type="cellIs" dxfId="25606" priority="156844" stopIfTrue="1" operator="lessThan">
      <formula>0.5</formula>
    </cfRule>
  </conditionalFormatting>
  <conditionalFormatting sqref="AD33">
    <cfRule type="cellIs" dxfId="25605" priority="156845" stopIfTrue="1" operator="greaterThanOrEqual">
      <formula>0.5</formula>
    </cfRule>
  </conditionalFormatting>
  <conditionalFormatting sqref="AD34">
    <cfRule type="cellIs" dxfId="25604" priority="156846" stopIfTrue="1" operator="equal">
      <formula>-1</formula>
    </cfRule>
  </conditionalFormatting>
  <conditionalFormatting sqref="AD34">
    <cfRule type="cellIs" dxfId="25603" priority="156847" stopIfTrue="1" operator="lessThan">
      <formula>0.5</formula>
    </cfRule>
  </conditionalFormatting>
  <conditionalFormatting sqref="AD34">
    <cfRule type="cellIs" dxfId="25602" priority="156848" stopIfTrue="1" operator="greaterThanOrEqual">
      <formula>0.5</formula>
    </cfRule>
  </conditionalFormatting>
  <conditionalFormatting sqref="AD35">
    <cfRule type="cellIs" dxfId="25601" priority="156849" stopIfTrue="1" operator="equal">
      <formula>-1</formula>
    </cfRule>
  </conditionalFormatting>
  <conditionalFormatting sqref="AD35">
    <cfRule type="cellIs" dxfId="25600" priority="156850" stopIfTrue="1" operator="lessThan">
      <formula>0.5</formula>
    </cfRule>
  </conditionalFormatting>
  <conditionalFormatting sqref="AD35">
    <cfRule type="cellIs" dxfId="25599" priority="156851" stopIfTrue="1" operator="greaterThanOrEqual">
      <formula>0.5</formula>
    </cfRule>
  </conditionalFormatting>
  <conditionalFormatting sqref="AD36">
    <cfRule type="cellIs" dxfId="25598" priority="156852" stopIfTrue="1" operator="equal">
      <formula>-1</formula>
    </cfRule>
  </conditionalFormatting>
  <conditionalFormatting sqref="AD36">
    <cfRule type="cellIs" dxfId="25597" priority="156853" stopIfTrue="1" operator="lessThan">
      <formula>0.5</formula>
    </cfRule>
  </conditionalFormatting>
  <conditionalFormatting sqref="AD36">
    <cfRule type="cellIs" dxfId="25596" priority="156854" stopIfTrue="1" operator="greaterThanOrEqual">
      <formula>0.5</formula>
    </cfRule>
  </conditionalFormatting>
  <conditionalFormatting sqref="AD37">
    <cfRule type="cellIs" dxfId="25595" priority="156855" stopIfTrue="1" operator="equal">
      <formula>-1</formula>
    </cfRule>
  </conditionalFormatting>
  <conditionalFormatting sqref="AD37">
    <cfRule type="cellIs" dxfId="25594" priority="156856" stopIfTrue="1" operator="lessThan">
      <formula>0.5</formula>
    </cfRule>
  </conditionalFormatting>
  <conditionalFormatting sqref="AD37">
    <cfRule type="cellIs" dxfId="25593" priority="156857" stopIfTrue="1" operator="greaterThanOrEqual">
      <formula>0.5</formula>
    </cfRule>
  </conditionalFormatting>
  <conditionalFormatting sqref="AF17">
    <cfRule type="cellIs" dxfId="25592" priority="156858" stopIfTrue="1" operator="equal">
      <formula>-1</formula>
    </cfRule>
  </conditionalFormatting>
  <conditionalFormatting sqref="AF17">
    <cfRule type="cellIs" dxfId="25591" priority="156859" stopIfTrue="1" operator="lessThan">
      <formula>0.5</formula>
    </cfRule>
  </conditionalFormatting>
  <conditionalFormatting sqref="AF17">
    <cfRule type="cellIs" dxfId="25590" priority="156860" stopIfTrue="1" operator="greaterThanOrEqual">
      <formula>0.5</formula>
    </cfRule>
  </conditionalFormatting>
  <conditionalFormatting sqref="AF18">
    <cfRule type="cellIs" dxfId="25589" priority="156861" stopIfTrue="1" operator="equal">
      <formula>-1</formula>
    </cfRule>
  </conditionalFormatting>
  <conditionalFormatting sqref="AF18">
    <cfRule type="cellIs" dxfId="25588" priority="156862" stopIfTrue="1" operator="lessThan">
      <formula>0.5</formula>
    </cfRule>
  </conditionalFormatting>
  <conditionalFormatting sqref="AF18">
    <cfRule type="cellIs" dxfId="25587" priority="156863" stopIfTrue="1" operator="greaterThanOrEqual">
      <formula>0.5</formula>
    </cfRule>
  </conditionalFormatting>
  <conditionalFormatting sqref="AF19">
    <cfRule type="cellIs" dxfId="25586" priority="156864" stopIfTrue="1" operator="equal">
      <formula>-1</formula>
    </cfRule>
  </conditionalFormatting>
  <conditionalFormatting sqref="AF19">
    <cfRule type="cellIs" dxfId="25585" priority="156865" stopIfTrue="1" operator="lessThan">
      <formula>0.5</formula>
    </cfRule>
  </conditionalFormatting>
  <conditionalFormatting sqref="AF19">
    <cfRule type="cellIs" dxfId="25584" priority="156866" stopIfTrue="1" operator="greaterThanOrEqual">
      <formula>0.5</formula>
    </cfRule>
  </conditionalFormatting>
  <conditionalFormatting sqref="AF20">
    <cfRule type="cellIs" dxfId="25583" priority="156867" stopIfTrue="1" operator="equal">
      <formula>-1</formula>
    </cfRule>
  </conditionalFormatting>
  <conditionalFormatting sqref="AF20">
    <cfRule type="cellIs" dxfId="25582" priority="156868" stopIfTrue="1" operator="lessThan">
      <formula>0.5</formula>
    </cfRule>
  </conditionalFormatting>
  <conditionalFormatting sqref="AF20">
    <cfRule type="cellIs" dxfId="25581" priority="156869" stopIfTrue="1" operator="greaterThanOrEqual">
      <formula>0.5</formula>
    </cfRule>
  </conditionalFormatting>
  <conditionalFormatting sqref="AF21">
    <cfRule type="cellIs" dxfId="25580" priority="156870" stopIfTrue="1" operator="equal">
      <formula>-1</formula>
    </cfRule>
  </conditionalFormatting>
  <conditionalFormatting sqref="AF21">
    <cfRule type="cellIs" dxfId="25579" priority="156871" stopIfTrue="1" operator="lessThan">
      <formula>0.5</formula>
    </cfRule>
  </conditionalFormatting>
  <conditionalFormatting sqref="AF21">
    <cfRule type="cellIs" dxfId="25578" priority="156872" stopIfTrue="1" operator="greaterThanOrEqual">
      <formula>0.5</formula>
    </cfRule>
  </conditionalFormatting>
  <conditionalFormatting sqref="AF22">
    <cfRule type="cellIs" dxfId="25577" priority="156873" stopIfTrue="1" operator="equal">
      <formula>-1</formula>
    </cfRule>
  </conditionalFormatting>
  <conditionalFormatting sqref="AF22">
    <cfRule type="cellIs" dxfId="25576" priority="156874" stopIfTrue="1" operator="lessThan">
      <formula>0.5</formula>
    </cfRule>
  </conditionalFormatting>
  <conditionalFormatting sqref="AF22">
    <cfRule type="cellIs" dxfId="25575" priority="156875" stopIfTrue="1" operator="greaterThanOrEqual">
      <formula>0.5</formula>
    </cfRule>
  </conditionalFormatting>
  <conditionalFormatting sqref="AF23">
    <cfRule type="cellIs" dxfId="25574" priority="156876" stopIfTrue="1" operator="equal">
      <formula>-1</formula>
    </cfRule>
  </conditionalFormatting>
  <conditionalFormatting sqref="AF23">
    <cfRule type="cellIs" dxfId="25573" priority="156877" stopIfTrue="1" operator="lessThan">
      <formula>0.5</formula>
    </cfRule>
  </conditionalFormatting>
  <conditionalFormatting sqref="AF23">
    <cfRule type="cellIs" dxfId="25572" priority="156878" stopIfTrue="1" operator="greaterThanOrEqual">
      <formula>0.5</formula>
    </cfRule>
  </conditionalFormatting>
  <conditionalFormatting sqref="AF24">
    <cfRule type="cellIs" dxfId="25571" priority="156879" stopIfTrue="1" operator="equal">
      <formula>-1</formula>
    </cfRule>
  </conditionalFormatting>
  <conditionalFormatting sqref="AF24">
    <cfRule type="cellIs" dxfId="25570" priority="156880" stopIfTrue="1" operator="lessThan">
      <formula>0.5</formula>
    </cfRule>
  </conditionalFormatting>
  <conditionalFormatting sqref="AF24">
    <cfRule type="cellIs" dxfId="25569" priority="156881" stopIfTrue="1" operator="greaterThanOrEqual">
      <formula>0.5</formula>
    </cfRule>
  </conditionalFormatting>
  <conditionalFormatting sqref="AF25">
    <cfRule type="cellIs" dxfId="25568" priority="156882" stopIfTrue="1" operator="equal">
      <formula>-1</formula>
    </cfRule>
  </conditionalFormatting>
  <conditionalFormatting sqref="AF25">
    <cfRule type="cellIs" dxfId="25567" priority="156883" stopIfTrue="1" operator="lessThan">
      <formula>0.5</formula>
    </cfRule>
  </conditionalFormatting>
  <conditionalFormatting sqref="AF25">
    <cfRule type="cellIs" dxfId="25566" priority="156884" stopIfTrue="1" operator="greaterThanOrEqual">
      <formula>0.5</formula>
    </cfRule>
  </conditionalFormatting>
  <conditionalFormatting sqref="AF26">
    <cfRule type="cellIs" dxfId="25565" priority="156885" stopIfTrue="1" operator="equal">
      <formula>-1</formula>
    </cfRule>
  </conditionalFormatting>
  <conditionalFormatting sqref="AF26">
    <cfRule type="cellIs" dxfId="25564" priority="156886" stopIfTrue="1" operator="lessThan">
      <formula>0.5</formula>
    </cfRule>
  </conditionalFormatting>
  <conditionalFormatting sqref="AF26">
    <cfRule type="cellIs" dxfId="25563" priority="156887" stopIfTrue="1" operator="greaterThanOrEqual">
      <formula>0.5</formula>
    </cfRule>
  </conditionalFormatting>
  <conditionalFormatting sqref="AF27">
    <cfRule type="cellIs" dxfId="25562" priority="156888" stopIfTrue="1" operator="equal">
      <formula>-1</formula>
    </cfRule>
  </conditionalFormatting>
  <conditionalFormatting sqref="AF27">
    <cfRule type="cellIs" dxfId="25561" priority="156889" stopIfTrue="1" operator="lessThan">
      <formula>0.5</formula>
    </cfRule>
  </conditionalFormatting>
  <conditionalFormatting sqref="AF27">
    <cfRule type="cellIs" dxfId="25560" priority="156890" stopIfTrue="1" operator="greaterThanOrEqual">
      <formula>0.5</formula>
    </cfRule>
  </conditionalFormatting>
  <conditionalFormatting sqref="AF28">
    <cfRule type="cellIs" dxfId="25559" priority="156891" stopIfTrue="1" operator="equal">
      <formula>-1</formula>
    </cfRule>
  </conditionalFormatting>
  <conditionalFormatting sqref="AF28">
    <cfRule type="cellIs" dxfId="25558" priority="156892" stopIfTrue="1" operator="lessThan">
      <formula>0.5</formula>
    </cfRule>
  </conditionalFormatting>
  <conditionalFormatting sqref="AF28">
    <cfRule type="cellIs" dxfId="25557" priority="156893" stopIfTrue="1" operator="greaterThanOrEqual">
      <formula>0.5</formula>
    </cfRule>
  </conditionalFormatting>
  <conditionalFormatting sqref="AF29">
    <cfRule type="cellIs" dxfId="25556" priority="156894" stopIfTrue="1" operator="equal">
      <formula>-1</formula>
    </cfRule>
  </conditionalFormatting>
  <conditionalFormatting sqref="AF29">
    <cfRule type="cellIs" dxfId="25555" priority="156895" stopIfTrue="1" operator="lessThan">
      <formula>0.5</formula>
    </cfRule>
  </conditionalFormatting>
  <conditionalFormatting sqref="AF29">
    <cfRule type="cellIs" dxfId="25554" priority="156896" stopIfTrue="1" operator="greaterThanOrEqual">
      <formula>0.5</formula>
    </cfRule>
  </conditionalFormatting>
  <conditionalFormatting sqref="AF30">
    <cfRule type="cellIs" dxfId="25553" priority="156897" stopIfTrue="1" operator="equal">
      <formula>-1</formula>
    </cfRule>
  </conditionalFormatting>
  <conditionalFormatting sqref="AF30">
    <cfRule type="cellIs" dxfId="25552" priority="156898" stopIfTrue="1" operator="lessThan">
      <formula>0.5</formula>
    </cfRule>
  </conditionalFormatting>
  <conditionalFormatting sqref="AF30">
    <cfRule type="cellIs" dxfId="25551" priority="156899" stopIfTrue="1" operator="greaterThanOrEqual">
      <formula>0.5</formula>
    </cfRule>
  </conditionalFormatting>
  <conditionalFormatting sqref="AF31">
    <cfRule type="cellIs" dxfId="25550" priority="156900" stopIfTrue="1" operator="equal">
      <formula>-1</formula>
    </cfRule>
  </conditionalFormatting>
  <conditionalFormatting sqref="AF31">
    <cfRule type="cellIs" dxfId="25549" priority="156901" stopIfTrue="1" operator="lessThan">
      <formula>0.5</formula>
    </cfRule>
  </conditionalFormatting>
  <conditionalFormatting sqref="AF31">
    <cfRule type="cellIs" dxfId="25548" priority="156902" stopIfTrue="1" operator="greaterThanOrEqual">
      <formula>0.5</formula>
    </cfRule>
  </conditionalFormatting>
  <conditionalFormatting sqref="AF32">
    <cfRule type="cellIs" dxfId="25547" priority="156903" stopIfTrue="1" operator="equal">
      <formula>-1</formula>
    </cfRule>
  </conditionalFormatting>
  <conditionalFormatting sqref="AF32">
    <cfRule type="cellIs" dxfId="25546" priority="156904" stopIfTrue="1" operator="lessThan">
      <formula>0.5</formula>
    </cfRule>
  </conditionalFormatting>
  <conditionalFormatting sqref="AF32">
    <cfRule type="cellIs" dxfId="25545" priority="156905" stopIfTrue="1" operator="greaterThanOrEqual">
      <formula>0.5</formula>
    </cfRule>
  </conditionalFormatting>
  <conditionalFormatting sqref="AF33">
    <cfRule type="cellIs" dxfId="25544" priority="156906" stopIfTrue="1" operator="equal">
      <formula>-1</formula>
    </cfRule>
  </conditionalFormatting>
  <conditionalFormatting sqref="AF33">
    <cfRule type="cellIs" dxfId="25543" priority="156907" stopIfTrue="1" operator="lessThan">
      <formula>0.5</formula>
    </cfRule>
  </conditionalFormatting>
  <conditionalFormatting sqref="AF33">
    <cfRule type="cellIs" dxfId="25542" priority="156908" stopIfTrue="1" operator="greaterThanOrEqual">
      <formula>0.5</formula>
    </cfRule>
  </conditionalFormatting>
  <conditionalFormatting sqref="AF34">
    <cfRule type="cellIs" dxfId="25541" priority="156909" stopIfTrue="1" operator="equal">
      <formula>-1</formula>
    </cfRule>
  </conditionalFormatting>
  <conditionalFormatting sqref="AF34">
    <cfRule type="cellIs" dxfId="25540" priority="156910" stopIfTrue="1" operator="lessThan">
      <formula>0.5</formula>
    </cfRule>
  </conditionalFormatting>
  <conditionalFormatting sqref="AF34">
    <cfRule type="cellIs" dxfId="25539" priority="156911" stopIfTrue="1" operator="greaterThanOrEqual">
      <formula>0.5</formula>
    </cfRule>
  </conditionalFormatting>
  <conditionalFormatting sqref="AF35">
    <cfRule type="cellIs" dxfId="25538" priority="156912" stopIfTrue="1" operator="equal">
      <formula>-1</formula>
    </cfRule>
  </conditionalFormatting>
  <conditionalFormatting sqref="AF35">
    <cfRule type="cellIs" dxfId="25537" priority="156913" stopIfTrue="1" operator="lessThan">
      <formula>0.5</formula>
    </cfRule>
  </conditionalFormatting>
  <conditionalFormatting sqref="AF35">
    <cfRule type="cellIs" dxfId="25536" priority="156914" stopIfTrue="1" operator="greaterThanOrEqual">
      <formula>0.5</formula>
    </cfRule>
  </conditionalFormatting>
  <conditionalFormatting sqref="AF36">
    <cfRule type="cellIs" dxfId="25535" priority="156915" stopIfTrue="1" operator="equal">
      <formula>-1</formula>
    </cfRule>
  </conditionalFormatting>
  <conditionalFormatting sqref="AF36">
    <cfRule type="cellIs" dxfId="25534" priority="156916" stopIfTrue="1" operator="lessThan">
      <formula>0.5</formula>
    </cfRule>
  </conditionalFormatting>
  <conditionalFormatting sqref="AF36">
    <cfRule type="cellIs" dxfId="25533" priority="156917" stopIfTrue="1" operator="greaterThanOrEqual">
      <formula>0.5</formula>
    </cfRule>
  </conditionalFormatting>
  <conditionalFormatting sqref="AF37">
    <cfRule type="cellIs" dxfId="25532" priority="156918" stopIfTrue="1" operator="equal">
      <formula>-1</formula>
    </cfRule>
  </conditionalFormatting>
  <conditionalFormatting sqref="AF37">
    <cfRule type="cellIs" dxfId="25531" priority="156919" stopIfTrue="1" operator="lessThan">
      <formula>0.5</formula>
    </cfRule>
  </conditionalFormatting>
  <conditionalFormatting sqref="AF37">
    <cfRule type="cellIs" dxfId="25530" priority="156920" stopIfTrue="1" operator="greaterThanOrEqual">
      <formula>0.5</formula>
    </cfRule>
  </conditionalFormatting>
  <conditionalFormatting sqref="AH17">
    <cfRule type="cellIs" dxfId="25529" priority="156921" stopIfTrue="1" operator="equal">
      <formula>-1</formula>
    </cfRule>
  </conditionalFormatting>
  <conditionalFormatting sqref="AH17">
    <cfRule type="cellIs" dxfId="25528" priority="156922" stopIfTrue="1" operator="lessThan">
      <formula>0.5</formula>
    </cfRule>
  </conditionalFormatting>
  <conditionalFormatting sqref="AH17">
    <cfRule type="cellIs" dxfId="25527" priority="156923" stopIfTrue="1" operator="greaterThanOrEqual">
      <formula>0.5</formula>
    </cfRule>
  </conditionalFormatting>
  <conditionalFormatting sqref="AH18">
    <cfRule type="cellIs" dxfId="25526" priority="156924" stopIfTrue="1" operator="equal">
      <formula>-1</formula>
    </cfRule>
  </conditionalFormatting>
  <conditionalFormatting sqref="AH18">
    <cfRule type="cellIs" dxfId="25525" priority="156925" stopIfTrue="1" operator="lessThan">
      <formula>0.5</formula>
    </cfRule>
  </conditionalFormatting>
  <conditionalFormatting sqref="AH18">
    <cfRule type="cellIs" dxfId="25524" priority="156926" stopIfTrue="1" operator="greaterThanOrEqual">
      <formula>0.5</formula>
    </cfRule>
  </conditionalFormatting>
  <conditionalFormatting sqref="AH19">
    <cfRule type="cellIs" dxfId="25523" priority="156927" stopIfTrue="1" operator="equal">
      <formula>-1</formula>
    </cfRule>
  </conditionalFormatting>
  <conditionalFormatting sqref="AH19">
    <cfRule type="cellIs" dxfId="25522" priority="156928" stopIfTrue="1" operator="lessThan">
      <formula>0.5</formula>
    </cfRule>
  </conditionalFormatting>
  <conditionalFormatting sqref="AH19">
    <cfRule type="cellIs" dxfId="25521" priority="156929" stopIfTrue="1" operator="greaterThanOrEqual">
      <formula>0.5</formula>
    </cfRule>
  </conditionalFormatting>
  <conditionalFormatting sqref="AH20">
    <cfRule type="cellIs" dxfId="25520" priority="156930" stopIfTrue="1" operator="equal">
      <formula>-1</formula>
    </cfRule>
  </conditionalFormatting>
  <conditionalFormatting sqref="AH20">
    <cfRule type="cellIs" dxfId="25519" priority="156931" stopIfTrue="1" operator="lessThan">
      <formula>0.5</formula>
    </cfRule>
  </conditionalFormatting>
  <conditionalFormatting sqref="AH20">
    <cfRule type="cellIs" dxfId="25518" priority="156932" stopIfTrue="1" operator="greaterThanOrEqual">
      <formula>0.5</formula>
    </cfRule>
  </conditionalFormatting>
  <conditionalFormatting sqref="AH21">
    <cfRule type="cellIs" dxfId="25517" priority="156933" stopIfTrue="1" operator="equal">
      <formula>-1</formula>
    </cfRule>
  </conditionalFormatting>
  <conditionalFormatting sqref="AH21">
    <cfRule type="cellIs" dxfId="25516" priority="156934" stopIfTrue="1" operator="lessThan">
      <formula>0.5</formula>
    </cfRule>
  </conditionalFormatting>
  <conditionalFormatting sqref="AH21">
    <cfRule type="cellIs" dxfId="25515" priority="156935" stopIfTrue="1" operator="greaterThanOrEqual">
      <formula>0.5</formula>
    </cfRule>
  </conditionalFormatting>
  <conditionalFormatting sqref="AH22">
    <cfRule type="cellIs" dxfId="25514" priority="156936" stopIfTrue="1" operator="equal">
      <formula>-1</formula>
    </cfRule>
  </conditionalFormatting>
  <conditionalFormatting sqref="AH22">
    <cfRule type="cellIs" dxfId="25513" priority="156937" stopIfTrue="1" operator="lessThan">
      <formula>0.5</formula>
    </cfRule>
  </conditionalFormatting>
  <conditionalFormatting sqref="AH22">
    <cfRule type="cellIs" dxfId="25512" priority="156938" stopIfTrue="1" operator="greaterThanOrEqual">
      <formula>0.5</formula>
    </cfRule>
  </conditionalFormatting>
  <conditionalFormatting sqref="AH23">
    <cfRule type="cellIs" dxfId="25511" priority="156939" stopIfTrue="1" operator="equal">
      <formula>-1</formula>
    </cfRule>
  </conditionalFormatting>
  <conditionalFormatting sqref="AH23">
    <cfRule type="cellIs" dxfId="25510" priority="156940" stopIfTrue="1" operator="lessThan">
      <formula>0.5</formula>
    </cfRule>
  </conditionalFormatting>
  <conditionalFormatting sqref="AH23">
    <cfRule type="cellIs" dxfId="25509" priority="156941" stopIfTrue="1" operator="greaterThanOrEqual">
      <formula>0.5</formula>
    </cfRule>
  </conditionalFormatting>
  <conditionalFormatting sqref="AH24">
    <cfRule type="cellIs" dxfId="25508" priority="156942" stopIfTrue="1" operator="equal">
      <formula>-1</formula>
    </cfRule>
  </conditionalFormatting>
  <conditionalFormatting sqref="AH24">
    <cfRule type="cellIs" dxfId="25507" priority="156943" stopIfTrue="1" operator="lessThan">
      <formula>0.5</formula>
    </cfRule>
  </conditionalFormatting>
  <conditionalFormatting sqref="AH24">
    <cfRule type="cellIs" dxfId="25506" priority="156944" stopIfTrue="1" operator="greaterThanOrEqual">
      <formula>0.5</formula>
    </cfRule>
  </conditionalFormatting>
  <conditionalFormatting sqref="AH25">
    <cfRule type="cellIs" dxfId="25505" priority="156945" stopIfTrue="1" operator="equal">
      <formula>-1</formula>
    </cfRule>
  </conditionalFormatting>
  <conditionalFormatting sqref="AH25">
    <cfRule type="cellIs" dxfId="25504" priority="156946" stopIfTrue="1" operator="lessThan">
      <formula>0.5</formula>
    </cfRule>
  </conditionalFormatting>
  <conditionalFormatting sqref="AH25">
    <cfRule type="cellIs" dxfId="25503" priority="156947" stopIfTrue="1" operator="greaterThanOrEqual">
      <formula>0.5</formula>
    </cfRule>
  </conditionalFormatting>
  <conditionalFormatting sqref="AH26">
    <cfRule type="cellIs" dxfId="25502" priority="156948" stopIfTrue="1" operator="equal">
      <formula>-1</formula>
    </cfRule>
  </conditionalFormatting>
  <conditionalFormatting sqref="AH26">
    <cfRule type="cellIs" dxfId="25501" priority="156949" stopIfTrue="1" operator="lessThan">
      <formula>0.5</formula>
    </cfRule>
  </conditionalFormatting>
  <conditionalFormatting sqref="AH26">
    <cfRule type="cellIs" dxfId="25500" priority="156950" stopIfTrue="1" operator="greaterThanOrEqual">
      <formula>0.5</formula>
    </cfRule>
  </conditionalFormatting>
  <conditionalFormatting sqref="AH27">
    <cfRule type="cellIs" dxfId="25499" priority="156951" stopIfTrue="1" operator="equal">
      <formula>-1</formula>
    </cfRule>
  </conditionalFormatting>
  <conditionalFormatting sqref="AH27">
    <cfRule type="cellIs" dxfId="25498" priority="156952" stopIfTrue="1" operator="lessThan">
      <formula>0.5</formula>
    </cfRule>
  </conditionalFormatting>
  <conditionalFormatting sqref="AH27">
    <cfRule type="cellIs" dxfId="25497" priority="156953" stopIfTrue="1" operator="greaterThanOrEqual">
      <formula>0.5</formula>
    </cfRule>
  </conditionalFormatting>
  <conditionalFormatting sqref="AH28">
    <cfRule type="cellIs" dxfId="25496" priority="156954" stopIfTrue="1" operator="equal">
      <formula>-1</formula>
    </cfRule>
  </conditionalFormatting>
  <conditionalFormatting sqref="AH28">
    <cfRule type="cellIs" dxfId="25495" priority="156955" stopIfTrue="1" operator="lessThan">
      <formula>0.5</formula>
    </cfRule>
  </conditionalFormatting>
  <conditionalFormatting sqref="AH28">
    <cfRule type="cellIs" dxfId="25494" priority="156956" stopIfTrue="1" operator="greaterThanOrEqual">
      <formula>0.5</formula>
    </cfRule>
  </conditionalFormatting>
  <conditionalFormatting sqref="AH29">
    <cfRule type="cellIs" dxfId="25493" priority="156957" stopIfTrue="1" operator="equal">
      <formula>-1</formula>
    </cfRule>
  </conditionalFormatting>
  <conditionalFormatting sqref="AH29">
    <cfRule type="cellIs" dxfId="25492" priority="156958" stopIfTrue="1" operator="lessThan">
      <formula>0.5</formula>
    </cfRule>
  </conditionalFormatting>
  <conditionalFormatting sqref="AH29">
    <cfRule type="cellIs" dxfId="25491" priority="156959" stopIfTrue="1" operator="greaterThanOrEqual">
      <formula>0.5</formula>
    </cfRule>
  </conditionalFormatting>
  <conditionalFormatting sqref="AH30">
    <cfRule type="cellIs" dxfId="25490" priority="156960" stopIfTrue="1" operator="equal">
      <formula>-1</formula>
    </cfRule>
  </conditionalFormatting>
  <conditionalFormatting sqref="AH30">
    <cfRule type="cellIs" dxfId="25489" priority="156961" stopIfTrue="1" operator="lessThan">
      <formula>0.5</formula>
    </cfRule>
  </conditionalFormatting>
  <conditionalFormatting sqref="AH30">
    <cfRule type="cellIs" dxfId="25488" priority="156962" stopIfTrue="1" operator="greaterThanOrEqual">
      <formula>0.5</formula>
    </cfRule>
  </conditionalFormatting>
  <conditionalFormatting sqref="AH31">
    <cfRule type="cellIs" dxfId="25487" priority="156963" stopIfTrue="1" operator="equal">
      <formula>-1</formula>
    </cfRule>
  </conditionalFormatting>
  <conditionalFormatting sqref="AH31">
    <cfRule type="cellIs" dxfId="25486" priority="156964" stopIfTrue="1" operator="lessThan">
      <formula>0.5</formula>
    </cfRule>
  </conditionalFormatting>
  <conditionalFormatting sqref="AH31">
    <cfRule type="cellIs" dxfId="25485" priority="156965" stopIfTrue="1" operator="greaterThanOrEqual">
      <formula>0.5</formula>
    </cfRule>
  </conditionalFormatting>
  <conditionalFormatting sqref="AH32">
    <cfRule type="cellIs" dxfId="25484" priority="156966" stopIfTrue="1" operator="equal">
      <formula>-1</formula>
    </cfRule>
  </conditionalFormatting>
  <conditionalFormatting sqref="AH32">
    <cfRule type="cellIs" dxfId="25483" priority="156967" stopIfTrue="1" operator="lessThan">
      <formula>0.5</formula>
    </cfRule>
  </conditionalFormatting>
  <conditionalFormatting sqref="AH32">
    <cfRule type="cellIs" dxfId="25482" priority="156968" stopIfTrue="1" operator="greaterThanOrEqual">
      <formula>0.5</formula>
    </cfRule>
  </conditionalFormatting>
  <conditionalFormatting sqref="AH33">
    <cfRule type="cellIs" dxfId="25481" priority="156969" stopIfTrue="1" operator="equal">
      <formula>-1</formula>
    </cfRule>
  </conditionalFormatting>
  <conditionalFormatting sqref="AH33">
    <cfRule type="cellIs" dxfId="25480" priority="156970" stopIfTrue="1" operator="lessThan">
      <formula>0.5</formula>
    </cfRule>
  </conditionalFormatting>
  <conditionalFormatting sqref="AH33">
    <cfRule type="cellIs" dxfId="25479" priority="156971" stopIfTrue="1" operator="greaterThanOrEqual">
      <formula>0.5</formula>
    </cfRule>
  </conditionalFormatting>
  <conditionalFormatting sqref="AH34">
    <cfRule type="cellIs" dxfId="25478" priority="156972" stopIfTrue="1" operator="equal">
      <formula>-1</formula>
    </cfRule>
  </conditionalFormatting>
  <conditionalFormatting sqref="AH34">
    <cfRule type="cellIs" dxfId="25477" priority="156973" stopIfTrue="1" operator="lessThan">
      <formula>0.5</formula>
    </cfRule>
  </conditionalFormatting>
  <conditionalFormatting sqref="AH34">
    <cfRule type="cellIs" dxfId="25476" priority="156974" stopIfTrue="1" operator="greaterThanOrEqual">
      <formula>0.5</formula>
    </cfRule>
  </conditionalFormatting>
  <conditionalFormatting sqref="AH35">
    <cfRule type="cellIs" dxfId="25475" priority="156975" stopIfTrue="1" operator="equal">
      <formula>-1</formula>
    </cfRule>
  </conditionalFormatting>
  <conditionalFormatting sqref="AH35">
    <cfRule type="cellIs" dxfId="25474" priority="156976" stopIfTrue="1" operator="lessThan">
      <formula>0.5</formula>
    </cfRule>
  </conditionalFormatting>
  <conditionalFormatting sqref="AH35">
    <cfRule type="cellIs" dxfId="25473" priority="156977" stopIfTrue="1" operator="greaterThanOrEqual">
      <formula>0.5</formula>
    </cfRule>
  </conditionalFormatting>
  <conditionalFormatting sqref="AH36">
    <cfRule type="cellIs" dxfId="25472" priority="156978" stopIfTrue="1" operator="equal">
      <formula>-1</formula>
    </cfRule>
  </conditionalFormatting>
  <conditionalFormatting sqref="AH36">
    <cfRule type="cellIs" dxfId="25471" priority="156979" stopIfTrue="1" operator="lessThan">
      <formula>0.5</formula>
    </cfRule>
  </conditionalFormatting>
  <conditionalFormatting sqref="AH36">
    <cfRule type="cellIs" dxfId="25470" priority="156980" stopIfTrue="1" operator="greaterThanOrEqual">
      <formula>0.5</formula>
    </cfRule>
  </conditionalFormatting>
  <conditionalFormatting sqref="AH37">
    <cfRule type="cellIs" dxfId="25469" priority="156981" stopIfTrue="1" operator="equal">
      <formula>-1</formula>
    </cfRule>
  </conditionalFormatting>
  <conditionalFormatting sqref="AH37">
    <cfRule type="cellIs" dxfId="25468" priority="156982" stopIfTrue="1" operator="lessThan">
      <formula>0.5</formula>
    </cfRule>
  </conditionalFormatting>
  <conditionalFormatting sqref="AH37">
    <cfRule type="cellIs" dxfId="25467" priority="156983" stopIfTrue="1" operator="greaterThanOrEqual">
      <formula>0.5</formula>
    </cfRule>
  </conditionalFormatting>
  <conditionalFormatting sqref="AJ17">
    <cfRule type="cellIs" dxfId="25466" priority="156984" stopIfTrue="1" operator="equal">
      <formula>-1</formula>
    </cfRule>
  </conditionalFormatting>
  <conditionalFormatting sqref="AJ17">
    <cfRule type="cellIs" dxfId="25465" priority="156985" stopIfTrue="1" operator="lessThan">
      <formula>0.5</formula>
    </cfRule>
  </conditionalFormatting>
  <conditionalFormatting sqref="AJ17">
    <cfRule type="cellIs" dxfId="25464" priority="156986" stopIfTrue="1" operator="greaterThanOrEqual">
      <formula>0.5</formula>
    </cfRule>
  </conditionalFormatting>
  <conditionalFormatting sqref="AJ18">
    <cfRule type="cellIs" dxfId="25463" priority="156987" stopIfTrue="1" operator="equal">
      <formula>-1</formula>
    </cfRule>
  </conditionalFormatting>
  <conditionalFormatting sqref="AJ18">
    <cfRule type="cellIs" dxfId="25462" priority="156988" stopIfTrue="1" operator="lessThan">
      <formula>0.5</formula>
    </cfRule>
  </conditionalFormatting>
  <conditionalFormatting sqref="AJ18">
    <cfRule type="cellIs" dxfId="25461" priority="156989" stopIfTrue="1" operator="greaterThanOrEqual">
      <formula>0.5</formula>
    </cfRule>
  </conditionalFormatting>
  <conditionalFormatting sqref="AJ19">
    <cfRule type="cellIs" dxfId="25460" priority="156990" stopIfTrue="1" operator="equal">
      <formula>-1</formula>
    </cfRule>
  </conditionalFormatting>
  <conditionalFormatting sqref="AJ19">
    <cfRule type="cellIs" dxfId="25459" priority="156991" stopIfTrue="1" operator="lessThan">
      <formula>0.5</formula>
    </cfRule>
  </conditionalFormatting>
  <conditionalFormatting sqref="AJ19">
    <cfRule type="cellIs" dxfId="25458" priority="156992" stopIfTrue="1" operator="greaterThanOrEqual">
      <formula>0.5</formula>
    </cfRule>
  </conditionalFormatting>
  <conditionalFormatting sqref="AJ20">
    <cfRule type="cellIs" dxfId="25457" priority="156993" stopIfTrue="1" operator="equal">
      <formula>-1</formula>
    </cfRule>
  </conditionalFormatting>
  <conditionalFormatting sqref="AJ20">
    <cfRule type="cellIs" dxfId="25456" priority="156994" stopIfTrue="1" operator="lessThan">
      <formula>0.5</formula>
    </cfRule>
  </conditionalFormatting>
  <conditionalFormatting sqref="AJ20">
    <cfRule type="cellIs" dxfId="25455" priority="156995" stopIfTrue="1" operator="greaterThanOrEqual">
      <formula>0.5</formula>
    </cfRule>
  </conditionalFormatting>
  <conditionalFormatting sqref="AJ21">
    <cfRule type="cellIs" dxfId="25454" priority="156996" stopIfTrue="1" operator="equal">
      <formula>-1</formula>
    </cfRule>
  </conditionalFormatting>
  <conditionalFormatting sqref="AJ21">
    <cfRule type="cellIs" dxfId="25453" priority="156997" stopIfTrue="1" operator="lessThan">
      <formula>0.5</formula>
    </cfRule>
  </conditionalFormatting>
  <conditionalFormatting sqref="AJ21">
    <cfRule type="cellIs" dxfId="25452" priority="156998" stopIfTrue="1" operator="greaterThanOrEqual">
      <formula>0.5</formula>
    </cfRule>
  </conditionalFormatting>
  <conditionalFormatting sqref="AJ22">
    <cfRule type="cellIs" dxfId="25451" priority="156999" stopIfTrue="1" operator="equal">
      <formula>-1</formula>
    </cfRule>
  </conditionalFormatting>
  <conditionalFormatting sqref="AJ22">
    <cfRule type="cellIs" dxfId="25450" priority="157000" stopIfTrue="1" operator="lessThan">
      <formula>0.5</formula>
    </cfRule>
  </conditionalFormatting>
  <conditionalFormatting sqref="AJ22">
    <cfRule type="cellIs" dxfId="25449" priority="157001" stopIfTrue="1" operator="greaterThanOrEqual">
      <formula>0.5</formula>
    </cfRule>
  </conditionalFormatting>
  <conditionalFormatting sqref="AJ23">
    <cfRule type="cellIs" dxfId="25448" priority="157002" stopIfTrue="1" operator="equal">
      <formula>-1</formula>
    </cfRule>
  </conditionalFormatting>
  <conditionalFormatting sqref="AJ23">
    <cfRule type="cellIs" dxfId="25447" priority="157003" stopIfTrue="1" operator="lessThan">
      <formula>0.5</formula>
    </cfRule>
  </conditionalFormatting>
  <conditionalFormatting sqref="AJ23">
    <cfRule type="cellIs" dxfId="25446" priority="157004" stopIfTrue="1" operator="greaterThanOrEqual">
      <formula>0.5</formula>
    </cfRule>
  </conditionalFormatting>
  <conditionalFormatting sqref="AJ24">
    <cfRule type="cellIs" dxfId="25445" priority="157005" stopIfTrue="1" operator="equal">
      <formula>-1</formula>
    </cfRule>
  </conditionalFormatting>
  <conditionalFormatting sqref="AJ24">
    <cfRule type="cellIs" dxfId="25444" priority="157006" stopIfTrue="1" operator="lessThan">
      <formula>0.5</formula>
    </cfRule>
  </conditionalFormatting>
  <conditionalFormatting sqref="AJ24">
    <cfRule type="cellIs" dxfId="25443" priority="157007" stopIfTrue="1" operator="greaterThanOrEqual">
      <formula>0.5</formula>
    </cfRule>
  </conditionalFormatting>
  <conditionalFormatting sqref="AJ25">
    <cfRule type="cellIs" dxfId="25442" priority="157008" stopIfTrue="1" operator="equal">
      <formula>-1</formula>
    </cfRule>
  </conditionalFormatting>
  <conditionalFormatting sqref="AJ25">
    <cfRule type="cellIs" dxfId="25441" priority="157009" stopIfTrue="1" operator="lessThan">
      <formula>0.5</formula>
    </cfRule>
  </conditionalFormatting>
  <conditionalFormatting sqref="AJ25">
    <cfRule type="cellIs" dxfId="25440" priority="157010" stopIfTrue="1" operator="greaterThanOrEqual">
      <formula>0.5</formula>
    </cfRule>
  </conditionalFormatting>
  <conditionalFormatting sqref="AJ26">
    <cfRule type="cellIs" dxfId="25439" priority="157011" stopIfTrue="1" operator="equal">
      <formula>-1</formula>
    </cfRule>
  </conditionalFormatting>
  <conditionalFormatting sqref="AJ26">
    <cfRule type="cellIs" dxfId="25438" priority="157012" stopIfTrue="1" operator="lessThan">
      <formula>0.5</formula>
    </cfRule>
  </conditionalFormatting>
  <conditionalFormatting sqref="AJ26">
    <cfRule type="cellIs" dxfId="25437" priority="157013" stopIfTrue="1" operator="greaterThanOrEqual">
      <formula>0.5</formula>
    </cfRule>
  </conditionalFormatting>
  <conditionalFormatting sqref="AJ27">
    <cfRule type="cellIs" dxfId="25436" priority="157014" stopIfTrue="1" operator="equal">
      <formula>-1</formula>
    </cfRule>
  </conditionalFormatting>
  <conditionalFormatting sqref="AJ27">
    <cfRule type="cellIs" dxfId="25435" priority="157015" stopIfTrue="1" operator="lessThan">
      <formula>0.5</formula>
    </cfRule>
  </conditionalFormatting>
  <conditionalFormatting sqref="AJ27">
    <cfRule type="cellIs" dxfId="25434" priority="157016" stopIfTrue="1" operator="greaterThanOrEqual">
      <formula>0.5</formula>
    </cfRule>
  </conditionalFormatting>
  <conditionalFormatting sqref="AJ28">
    <cfRule type="cellIs" dxfId="25433" priority="157017" stopIfTrue="1" operator="equal">
      <formula>-1</formula>
    </cfRule>
  </conditionalFormatting>
  <conditionalFormatting sqref="AJ28">
    <cfRule type="cellIs" dxfId="25432" priority="157018" stopIfTrue="1" operator="lessThan">
      <formula>0.5</formula>
    </cfRule>
  </conditionalFormatting>
  <conditionalFormatting sqref="AJ28">
    <cfRule type="cellIs" dxfId="25431" priority="157019" stopIfTrue="1" operator="greaterThanOrEqual">
      <formula>0.5</formula>
    </cfRule>
  </conditionalFormatting>
  <conditionalFormatting sqref="AJ29">
    <cfRule type="cellIs" dxfId="25430" priority="157020" stopIfTrue="1" operator="equal">
      <formula>-1</formula>
    </cfRule>
  </conditionalFormatting>
  <conditionalFormatting sqref="AJ29">
    <cfRule type="cellIs" dxfId="25429" priority="157021" stopIfTrue="1" operator="lessThan">
      <formula>0.5</formula>
    </cfRule>
  </conditionalFormatting>
  <conditionalFormatting sqref="AJ29">
    <cfRule type="cellIs" dxfId="25428" priority="157022" stopIfTrue="1" operator="greaterThanOrEqual">
      <formula>0.5</formula>
    </cfRule>
  </conditionalFormatting>
  <conditionalFormatting sqref="AJ30">
    <cfRule type="cellIs" dxfId="25427" priority="157023" stopIfTrue="1" operator="equal">
      <formula>-1</formula>
    </cfRule>
  </conditionalFormatting>
  <conditionalFormatting sqref="AJ30">
    <cfRule type="cellIs" dxfId="25426" priority="157024" stopIfTrue="1" operator="lessThan">
      <formula>0.5</formula>
    </cfRule>
  </conditionalFormatting>
  <conditionalFormatting sqref="AJ30">
    <cfRule type="cellIs" dxfId="25425" priority="157025" stopIfTrue="1" operator="greaterThanOrEqual">
      <formula>0.5</formula>
    </cfRule>
  </conditionalFormatting>
  <conditionalFormatting sqref="AJ31">
    <cfRule type="cellIs" dxfId="25424" priority="157026" stopIfTrue="1" operator="equal">
      <formula>-1</formula>
    </cfRule>
  </conditionalFormatting>
  <conditionalFormatting sqref="AJ31">
    <cfRule type="cellIs" dxfId="25423" priority="157027" stopIfTrue="1" operator="lessThan">
      <formula>0.5</formula>
    </cfRule>
  </conditionalFormatting>
  <conditionalFormatting sqref="AJ31">
    <cfRule type="cellIs" dxfId="25422" priority="157028" stopIfTrue="1" operator="greaterThanOrEqual">
      <formula>0.5</formula>
    </cfRule>
  </conditionalFormatting>
  <conditionalFormatting sqref="AJ32">
    <cfRule type="cellIs" dxfId="25421" priority="157029" stopIfTrue="1" operator="equal">
      <formula>-1</formula>
    </cfRule>
  </conditionalFormatting>
  <conditionalFormatting sqref="AJ32">
    <cfRule type="cellIs" dxfId="25420" priority="157030" stopIfTrue="1" operator="lessThan">
      <formula>0.5</formula>
    </cfRule>
  </conditionalFormatting>
  <conditionalFormatting sqref="AJ32">
    <cfRule type="cellIs" dxfId="25419" priority="157031" stopIfTrue="1" operator="greaterThanOrEqual">
      <formula>0.5</formula>
    </cfRule>
  </conditionalFormatting>
  <conditionalFormatting sqref="AJ33">
    <cfRule type="cellIs" dxfId="25418" priority="157032" stopIfTrue="1" operator="equal">
      <formula>-1</formula>
    </cfRule>
  </conditionalFormatting>
  <conditionalFormatting sqref="AJ33">
    <cfRule type="cellIs" dxfId="25417" priority="157033" stopIfTrue="1" operator="lessThan">
      <formula>0.5</formula>
    </cfRule>
  </conditionalFormatting>
  <conditionalFormatting sqref="AJ33">
    <cfRule type="cellIs" dxfId="25416" priority="157034" stopIfTrue="1" operator="greaterThanOrEqual">
      <formula>0.5</formula>
    </cfRule>
  </conditionalFormatting>
  <conditionalFormatting sqref="AJ34">
    <cfRule type="cellIs" dxfId="25415" priority="157035" stopIfTrue="1" operator="equal">
      <formula>-1</formula>
    </cfRule>
  </conditionalFormatting>
  <conditionalFormatting sqref="AJ34">
    <cfRule type="cellIs" dxfId="25414" priority="157036" stopIfTrue="1" operator="lessThan">
      <formula>0.5</formula>
    </cfRule>
  </conditionalFormatting>
  <conditionalFormatting sqref="AJ34">
    <cfRule type="cellIs" dxfId="25413" priority="157037" stopIfTrue="1" operator="greaterThanOrEqual">
      <formula>0.5</formula>
    </cfRule>
  </conditionalFormatting>
  <conditionalFormatting sqref="AJ35">
    <cfRule type="cellIs" dxfId="25412" priority="157038" stopIfTrue="1" operator="equal">
      <formula>-1</formula>
    </cfRule>
  </conditionalFormatting>
  <conditionalFormatting sqref="AJ35">
    <cfRule type="cellIs" dxfId="25411" priority="157039" stopIfTrue="1" operator="lessThan">
      <formula>0.5</formula>
    </cfRule>
  </conditionalFormatting>
  <conditionalFormatting sqref="AJ35">
    <cfRule type="cellIs" dxfId="25410" priority="157040" stopIfTrue="1" operator="greaterThanOrEqual">
      <formula>0.5</formula>
    </cfRule>
  </conditionalFormatting>
  <conditionalFormatting sqref="AJ36">
    <cfRule type="cellIs" dxfId="25409" priority="157041" stopIfTrue="1" operator="equal">
      <formula>-1</formula>
    </cfRule>
  </conditionalFormatting>
  <conditionalFormatting sqref="AJ36">
    <cfRule type="cellIs" dxfId="25408" priority="157042" stopIfTrue="1" operator="lessThan">
      <formula>0.5</formula>
    </cfRule>
  </conditionalFormatting>
  <conditionalFormatting sqref="AJ36">
    <cfRule type="cellIs" dxfId="25407" priority="157043" stopIfTrue="1" operator="greaterThanOrEqual">
      <formula>0.5</formula>
    </cfRule>
  </conditionalFormatting>
  <conditionalFormatting sqref="AJ37">
    <cfRule type="cellIs" dxfId="25406" priority="157044" stopIfTrue="1" operator="equal">
      <formula>-1</formula>
    </cfRule>
  </conditionalFormatting>
  <conditionalFormatting sqref="AJ37">
    <cfRule type="cellIs" dxfId="25405" priority="157045" stopIfTrue="1" operator="lessThan">
      <formula>0.5</formula>
    </cfRule>
  </conditionalFormatting>
  <conditionalFormatting sqref="AJ37">
    <cfRule type="cellIs" dxfId="25404" priority="157046" stopIfTrue="1" operator="greaterThanOrEqual">
      <formula>0.5</formula>
    </cfRule>
  </conditionalFormatting>
  <conditionalFormatting sqref="AL17">
    <cfRule type="cellIs" dxfId="25403" priority="157047" stopIfTrue="1" operator="equal">
      <formula>-1</formula>
    </cfRule>
  </conditionalFormatting>
  <conditionalFormatting sqref="AL17">
    <cfRule type="cellIs" dxfId="25402" priority="157048" stopIfTrue="1" operator="lessThan">
      <formula>0.5</formula>
    </cfRule>
  </conditionalFormatting>
  <conditionalFormatting sqref="AL17">
    <cfRule type="cellIs" dxfId="25401" priority="157049" stopIfTrue="1" operator="greaterThanOrEqual">
      <formula>0.5</formula>
    </cfRule>
  </conditionalFormatting>
  <conditionalFormatting sqref="AL18">
    <cfRule type="cellIs" dxfId="25400" priority="157050" stopIfTrue="1" operator="equal">
      <formula>-1</formula>
    </cfRule>
  </conditionalFormatting>
  <conditionalFormatting sqref="AL18">
    <cfRule type="cellIs" dxfId="25399" priority="157051" stopIfTrue="1" operator="lessThan">
      <formula>0.5</formula>
    </cfRule>
  </conditionalFormatting>
  <conditionalFormatting sqref="AL18">
    <cfRule type="cellIs" dxfId="25398" priority="157052" stopIfTrue="1" operator="greaterThanOrEqual">
      <formula>0.5</formula>
    </cfRule>
  </conditionalFormatting>
  <conditionalFormatting sqref="AL19">
    <cfRule type="cellIs" dxfId="25397" priority="157053" stopIfTrue="1" operator="equal">
      <formula>-1</formula>
    </cfRule>
  </conditionalFormatting>
  <conditionalFormatting sqref="AL19">
    <cfRule type="cellIs" dxfId="25396" priority="157054" stopIfTrue="1" operator="lessThan">
      <formula>0.5</formula>
    </cfRule>
  </conditionalFormatting>
  <conditionalFormatting sqref="AL19">
    <cfRule type="cellIs" dxfId="25395" priority="157055" stopIfTrue="1" operator="greaterThanOrEqual">
      <formula>0.5</formula>
    </cfRule>
  </conditionalFormatting>
  <conditionalFormatting sqref="AL20">
    <cfRule type="cellIs" dxfId="25394" priority="157056" stopIfTrue="1" operator="equal">
      <formula>-1</formula>
    </cfRule>
  </conditionalFormatting>
  <conditionalFormatting sqref="AL20">
    <cfRule type="cellIs" dxfId="25393" priority="157057" stopIfTrue="1" operator="lessThan">
      <formula>0.5</formula>
    </cfRule>
  </conditionalFormatting>
  <conditionalFormatting sqref="AL20">
    <cfRule type="cellIs" dxfId="25392" priority="157058" stopIfTrue="1" operator="greaterThanOrEqual">
      <formula>0.5</formula>
    </cfRule>
  </conditionalFormatting>
  <conditionalFormatting sqref="AL21">
    <cfRule type="cellIs" dxfId="25391" priority="157059" stopIfTrue="1" operator="equal">
      <formula>-1</formula>
    </cfRule>
  </conditionalFormatting>
  <conditionalFormatting sqref="AL21">
    <cfRule type="cellIs" dxfId="25390" priority="157060" stopIfTrue="1" operator="lessThan">
      <formula>0.5</formula>
    </cfRule>
  </conditionalFormatting>
  <conditionalFormatting sqref="AL21">
    <cfRule type="cellIs" dxfId="25389" priority="157061" stopIfTrue="1" operator="greaterThanOrEqual">
      <formula>0.5</formula>
    </cfRule>
  </conditionalFormatting>
  <conditionalFormatting sqref="AL22">
    <cfRule type="cellIs" dxfId="25388" priority="157062" stopIfTrue="1" operator="equal">
      <formula>-1</formula>
    </cfRule>
  </conditionalFormatting>
  <conditionalFormatting sqref="AL22">
    <cfRule type="cellIs" dxfId="25387" priority="157063" stopIfTrue="1" operator="lessThan">
      <formula>0.5</formula>
    </cfRule>
  </conditionalFormatting>
  <conditionalFormatting sqref="AL22">
    <cfRule type="cellIs" dxfId="25386" priority="157064" stopIfTrue="1" operator="greaterThanOrEqual">
      <formula>0.5</formula>
    </cfRule>
  </conditionalFormatting>
  <conditionalFormatting sqref="AL23">
    <cfRule type="cellIs" dxfId="25385" priority="157065" stopIfTrue="1" operator="equal">
      <formula>-1</formula>
    </cfRule>
  </conditionalFormatting>
  <conditionalFormatting sqref="AL23">
    <cfRule type="cellIs" dxfId="25384" priority="157066" stopIfTrue="1" operator="lessThan">
      <formula>0.5</formula>
    </cfRule>
  </conditionalFormatting>
  <conditionalFormatting sqref="AL23">
    <cfRule type="cellIs" dxfId="25383" priority="157067" stopIfTrue="1" operator="greaterThanOrEqual">
      <formula>0.5</formula>
    </cfRule>
  </conditionalFormatting>
  <conditionalFormatting sqref="AL24">
    <cfRule type="cellIs" dxfId="25382" priority="157068" stopIfTrue="1" operator="equal">
      <formula>-1</formula>
    </cfRule>
  </conditionalFormatting>
  <conditionalFormatting sqref="AL24">
    <cfRule type="cellIs" dxfId="25381" priority="157069" stopIfTrue="1" operator="lessThan">
      <formula>0.5</formula>
    </cfRule>
  </conditionalFormatting>
  <conditionalFormatting sqref="AL24">
    <cfRule type="cellIs" dxfId="25380" priority="157070" stopIfTrue="1" operator="greaterThanOrEqual">
      <formula>0.5</formula>
    </cfRule>
  </conditionalFormatting>
  <conditionalFormatting sqref="AL25">
    <cfRule type="cellIs" dxfId="25379" priority="157071" stopIfTrue="1" operator="equal">
      <formula>-1</formula>
    </cfRule>
  </conditionalFormatting>
  <conditionalFormatting sqref="AL25">
    <cfRule type="cellIs" dxfId="25378" priority="157072" stopIfTrue="1" operator="lessThan">
      <formula>0.5</formula>
    </cfRule>
  </conditionalFormatting>
  <conditionalFormatting sqref="AL25">
    <cfRule type="cellIs" dxfId="25377" priority="157073" stopIfTrue="1" operator="greaterThanOrEqual">
      <formula>0.5</formula>
    </cfRule>
  </conditionalFormatting>
  <conditionalFormatting sqref="AL26">
    <cfRule type="cellIs" dxfId="25376" priority="157074" stopIfTrue="1" operator="equal">
      <formula>-1</formula>
    </cfRule>
  </conditionalFormatting>
  <conditionalFormatting sqref="AL26">
    <cfRule type="cellIs" dxfId="25375" priority="157075" stopIfTrue="1" operator="lessThan">
      <formula>0.5</formula>
    </cfRule>
  </conditionalFormatting>
  <conditionalFormatting sqref="AL26">
    <cfRule type="cellIs" dxfId="25374" priority="157076" stopIfTrue="1" operator="greaterThanOrEqual">
      <formula>0.5</formula>
    </cfRule>
  </conditionalFormatting>
  <conditionalFormatting sqref="AL27">
    <cfRule type="cellIs" dxfId="25373" priority="157077" stopIfTrue="1" operator="equal">
      <formula>-1</formula>
    </cfRule>
  </conditionalFormatting>
  <conditionalFormatting sqref="AL27">
    <cfRule type="cellIs" dxfId="25372" priority="157078" stopIfTrue="1" operator="lessThan">
      <formula>0.5</formula>
    </cfRule>
  </conditionalFormatting>
  <conditionalFormatting sqref="AL27">
    <cfRule type="cellIs" dxfId="25371" priority="157079" stopIfTrue="1" operator="greaterThanOrEqual">
      <formula>0.5</formula>
    </cfRule>
  </conditionalFormatting>
  <conditionalFormatting sqref="AL28">
    <cfRule type="cellIs" dxfId="25370" priority="157080" stopIfTrue="1" operator="equal">
      <formula>-1</formula>
    </cfRule>
  </conditionalFormatting>
  <conditionalFormatting sqref="AL28">
    <cfRule type="cellIs" dxfId="25369" priority="157081" stopIfTrue="1" operator="lessThan">
      <formula>0.5</formula>
    </cfRule>
  </conditionalFormatting>
  <conditionalFormatting sqref="AL28">
    <cfRule type="cellIs" dxfId="25368" priority="157082" stopIfTrue="1" operator="greaterThanOrEqual">
      <formula>0.5</formula>
    </cfRule>
  </conditionalFormatting>
  <conditionalFormatting sqref="AL29">
    <cfRule type="cellIs" dxfId="25367" priority="157083" stopIfTrue="1" operator="equal">
      <formula>-1</formula>
    </cfRule>
  </conditionalFormatting>
  <conditionalFormatting sqref="AL29">
    <cfRule type="cellIs" dxfId="25366" priority="157084" stopIfTrue="1" operator="lessThan">
      <formula>0.5</formula>
    </cfRule>
  </conditionalFormatting>
  <conditionalFormatting sqref="AL29">
    <cfRule type="cellIs" dxfId="25365" priority="157085" stopIfTrue="1" operator="greaterThanOrEqual">
      <formula>0.5</formula>
    </cfRule>
  </conditionalFormatting>
  <conditionalFormatting sqref="AL30">
    <cfRule type="cellIs" dxfId="25364" priority="157086" stopIfTrue="1" operator="equal">
      <formula>-1</formula>
    </cfRule>
  </conditionalFormatting>
  <conditionalFormatting sqref="AL30">
    <cfRule type="cellIs" dxfId="25363" priority="157087" stopIfTrue="1" operator="lessThan">
      <formula>0.5</formula>
    </cfRule>
  </conditionalFormatting>
  <conditionalFormatting sqref="AL30">
    <cfRule type="cellIs" dxfId="25362" priority="157088" stopIfTrue="1" operator="greaterThanOrEqual">
      <formula>0.5</formula>
    </cfRule>
  </conditionalFormatting>
  <conditionalFormatting sqref="AL31">
    <cfRule type="cellIs" dxfId="25361" priority="157089" stopIfTrue="1" operator="equal">
      <formula>-1</formula>
    </cfRule>
  </conditionalFormatting>
  <conditionalFormatting sqref="AL31">
    <cfRule type="cellIs" dxfId="25360" priority="157090" stopIfTrue="1" operator="lessThan">
      <formula>0.5</formula>
    </cfRule>
  </conditionalFormatting>
  <conditionalFormatting sqref="AL31">
    <cfRule type="cellIs" dxfId="25359" priority="157091" stopIfTrue="1" operator="greaterThanOrEqual">
      <formula>0.5</formula>
    </cfRule>
  </conditionalFormatting>
  <conditionalFormatting sqref="AL32">
    <cfRule type="cellIs" dxfId="25358" priority="157092" stopIfTrue="1" operator="equal">
      <formula>-1</formula>
    </cfRule>
  </conditionalFormatting>
  <conditionalFormatting sqref="AL32">
    <cfRule type="cellIs" dxfId="25357" priority="157093" stopIfTrue="1" operator="lessThan">
      <formula>0.5</formula>
    </cfRule>
  </conditionalFormatting>
  <conditionalFormatting sqref="AL32">
    <cfRule type="cellIs" dxfId="25356" priority="157094" stopIfTrue="1" operator="greaterThanOrEqual">
      <formula>0.5</formula>
    </cfRule>
  </conditionalFormatting>
  <conditionalFormatting sqref="AL33">
    <cfRule type="cellIs" dxfId="25355" priority="157095" stopIfTrue="1" operator="equal">
      <formula>-1</formula>
    </cfRule>
  </conditionalFormatting>
  <conditionalFormatting sqref="AL33">
    <cfRule type="cellIs" dxfId="25354" priority="157096" stopIfTrue="1" operator="lessThan">
      <formula>0.5</formula>
    </cfRule>
  </conditionalFormatting>
  <conditionalFormatting sqref="AL33">
    <cfRule type="cellIs" dxfId="25353" priority="157097" stopIfTrue="1" operator="greaterThanOrEqual">
      <formula>0.5</formula>
    </cfRule>
  </conditionalFormatting>
  <conditionalFormatting sqref="AL34">
    <cfRule type="cellIs" dxfId="25352" priority="157098" stopIfTrue="1" operator="equal">
      <formula>-1</formula>
    </cfRule>
  </conditionalFormatting>
  <conditionalFormatting sqref="AL34">
    <cfRule type="cellIs" dxfId="25351" priority="157099" stopIfTrue="1" operator="lessThan">
      <formula>0.5</formula>
    </cfRule>
  </conditionalFormatting>
  <conditionalFormatting sqref="AL34">
    <cfRule type="cellIs" dxfId="25350" priority="157100" stopIfTrue="1" operator="greaterThanOrEqual">
      <formula>0.5</formula>
    </cfRule>
  </conditionalFormatting>
  <conditionalFormatting sqref="AL35">
    <cfRule type="cellIs" dxfId="25349" priority="157101" stopIfTrue="1" operator="equal">
      <formula>-1</formula>
    </cfRule>
  </conditionalFormatting>
  <conditionalFormatting sqref="AL35">
    <cfRule type="cellIs" dxfId="25348" priority="157102" stopIfTrue="1" operator="lessThan">
      <formula>0.5</formula>
    </cfRule>
  </conditionalFormatting>
  <conditionalFormatting sqref="AL35">
    <cfRule type="cellIs" dxfId="25347" priority="157103" stopIfTrue="1" operator="greaterThanOrEqual">
      <formula>0.5</formula>
    </cfRule>
  </conditionalFormatting>
  <conditionalFormatting sqref="AL36">
    <cfRule type="cellIs" dxfId="25346" priority="157104" stopIfTrue="1" operator="equal">
      <formula>-1</formula>
    </cfRule>
  </conditionalFormatting>
  <conditionalFormatting sqref="AL36">
    <cfRule type="cellIs" dxfId="25345" priority="157105" stopIfTrue="1" operator="lessThan">
      <formula>0.5</formula>
    </cfRule>
  </conditionalFormatting>
  <conditionalFormatting sqref="AL36">
    <cfRule type="cellIs" dxfId="25344" priority="157106" stopIfTrue="1" operator="greaterThanOrEqual">
      <formula>0.5</formula>
    </cfRule>
  </conditionalFormatting>
  <conditionalFormatting sqref="AL37">
    <cfRule type="cellIs" dxfId="25343" priority="157107" stopIfTrue="1" operator="equal">
      <formula>-1</formula>
    </cfRule>
  </conditionalFormatting>
  <conditionalFormatting sqref="AL37">
    <cfRule type="cellIs" dxfId="25342" priority="157108" stopIfTrue="1" operator="lessThan">
      <formula>0.5</formula>
    </cfRule>
  </conditionalFormatting>
  <conditionalFormatting sqref="AL37">
    <cfRule type="cellIs" dxfId="25341" priority="157109" stopIfTrue="1" operator="greaterThanOrEqual">
      <formula>0.5</formula>
    </cfRule>
  </conditionalFormatting>
  <conditionalFormatting sqref="AN17">
    <cfRule type="cellIs" dxfId="25340" priority="157110" stopIfTrue="1" operator="equal">
      <formula>-1</formula>
    </cfRule>
  </conditionalFormatting>
  <conditionalFormatting sqref="AN17">
    <cfRule type="cellIs" dxfId="25339" priority="157111" stopIfTrue="1" operator="lessThan">
      <formula>0.5</formula>
    </cfRule>
  </conditionalFormatting>
  <conditionalFormatting sqref="AN17">
    <cfRule type="cellIs" dxfId="25338" priority="157112" stopIfTrue="1" operator="greaterThanOrEqual">
      <formula>0.5</formula>
    </cfRule>
  </conditionalFormatting>
  <conditionalFormatting sqref="AN18">
    <cfRule type="cellIs" dxfId="25337" priority="157113" stopIfTrue="1" operator="equal">
      <formula>-1</formula>
    </cfRule>
  </conditionalFormatting>
  <conditionalFormatting sqref="AN18">
    <cfRule type="cellIs" dxfId="25336" priority="157114" stopIfTrue="1" operator="lessThan">
      <formula>0.5</formula>
    </cfRule>
  </conditionalFormatting>
  <conditionalFormatting sqref="AN18">
    <cfRule type="cellIs" dxfId="25335" priority="157115" stopIfTrue="1" operator="greaterThanOrEqual">
      <formula>0.5</formula>
    </cfRule>
  </conditionalFormatting>
  <conditionalFormatting sqref="AN19">
    <cfRule type="cellIs" dxfId="25334" priority="157116" stopIfTrue="1" operator="equal">
      <formula>-1</formula>
    </cfRule>
  </conditionalFormatting>
  <conditionalFormatting sqref="AN19">
    <cfRule type="cellIs" dxfId="25333" priority="157117" stopIfTrue="1" operator="lessThan">
      <formula>0.5</formula>
    </cfRule>
  </conditionalFormatting>
  <conditionalFormatting sqref="AN19">
    <cfRule type="cellIs" dxfId="25332" priority="157118" stopIfTrue="1" operator="greaterThanOrEqual">
      <formula>0.5</formula>
    </cfRule>
  </conditionalFormatting>
  <conditionalFormatting sqref="AN20">
    <cfRule type="cellIs" dxfId="25331" priority="157119" stopIfTrue="1" operator="equal">
      <formula>-1</formula>
    </cfRule>
  </conditionalFormatting>
  <conditionalFormatting sqref="AN20">
    <cfRule type="cellIs" dxfId="25330" priority="157120" stopIfTrue="1" operator="lessThan">
      <formula>0.5</formula>
    </cfRule>
  </conditionalFormatting>
  <conditionalFormatting sqref="AN20">
    <cfRule type="cellIs" dxfId="25329" priority="157121" stopIfTrue="1" operator="greaterThanOrEqual">
      <formula>0.5</formula>
    </cfRule>
  </conditionalFormatting>
  <conditionalFormatting sqref="AN21">
    <cfRule type="cellIs" dxfId="25328" priority="157122" stopIfTrue="1" operator="equal">
      <formula>-1</formula>
    </cfRule>
  </conditionalFormatting>
  <conditionalFormatting sqref="AN21">
    <cfRule type="cellIs" dxfId="25327" priority="157123" stopIfTrue="1" operator="lessThan">
      <formula>0.5</formula>
    </cfRule>
  </conditionalFormatting>
  <conditionalFormatting sqref="AN21">
    <cfRule type="cellIs" dxfId="25326" priority="157124" stopIfTrue="1" operator="greaterThanOrEqual">
      <formula>0.5</formula>
    </cfRule>
  </conditionalFormatting>
  <conditionalFormatting sqref="AN22">
    <cfRule type="cellIs" dxfId="25325" priority="157125" stopIfTrue="1" operator="equal">
      <formula>-1</formula>
    </cfRule>
  </conditionalFormatting>
  <conditionalFormatting sqref="AN22">
    <cfRule type="cellIs" dxfId="25324" priority="157126" stopIfTrue="1" operator="lessThan">
      <formula>0.5</formula>
    </cfRule>
  </conditionalFormatting>
  <conditionalFormatting sqref="AN22">
    <cfRule type="cellIs" dxfId="25323" priority="157127" stopIfTrue="1" operator="greaterThanOrEqual">
      <formula>0.5</formula>
    </cfRule>
  </conditionalFormatting>
  <conditionalFormatting sqref="AN23">
    <cfRule type="cellIs" dxfId="25322" priority="157128" stopIfTrue="1" operator="equal">
      <formula>-1</formula>
    </cfRule>
  </conditionalFormatting>
  <conditionalFormatting sqref="AN23">
    <cfRule type="cellIs" dxfId="25321" priority="157129" stopIfTrue="1" operator="lessThan">
      <formula>0.5</formula>
    </cfRule>
  </conditionalFormatting>
  <conditionalFormatting sqref="AN23">
    <cfRule type="cellIs" dxfId="25320" priority="157130" stopIfTrue="1" operator="greaterThanOrEqual">
      <formula>0.5</formula>
    </cfRule>
  </conditionalFormatting>
  <conditionalFormatting sqref="AN24">
    <cfRule type="cellIs" dxfId="25319" priority="157131" stopIfTrue="1" operator="equal">
      <formula>-1</formula>
    </cfRule>
  </conditionalFormatting>
  <conditionalFormatting sqref="AN24">
    <cfRule type="cellIs" dxfId="25318" priority="157132" stopIfTrue="1" operator="lessThan">
      <formula>0.5</formula>
    </cfRule>
  </conditionalFormatting>
  <conditionalFormatting sqref="AN24">
    <cfRule type="cellIs" dxfId="25317" priority="157133" stopIfTrue="1" operator="greaterThanOrEqual">
      <formula>0.5</formula>
    </cfRule>
  </conditionalFormatting>
  <conditionalFormatting sqref="AN25">
    <cfRule type="cellIs" dxfId="25316" priority="157134" stopIfTrue="1" operator="equal">
      <formula>-1</formula>
    </cfRule>
  </conditionalFormatting>
  <conditionalFormatting sqref="AN25">
    <cfRule type="cellIs" dxfId="25315" priority="157135" stopIfTrue="1" operator="lessThan">
      <formula>0.5</formula>
    </cfRule>
  </conditionalFormatting>
  <conditionalFormatting sqref="AN25">
    <cfRule type="cellIs" dxfId="25314" priority="157136" stopIfTrue="1" operator="greaterThanOrEqual">
      <formula>0.5</formula>
    </cfRule>
  </conditionalFormatting>
  <conditionalFormatting sqref="AN26">
    <cfRule type="cellIs" dxfId="25313" priority="157137" stopIfTrue="1" operator="equal">
      <formula>-1</formula>
    </cfRule>
  </conditionalFormatting>
  <conditionalFormatting sqref="AN26">
    <cfRule type="cellIs" dxfId="25312" priority="157138" stopIfTrue="1" operator="lessThan">
      <formula>0.5</formula>
    </cfRule>
  </conditionalFormatting>
  <conditionalFormatting sqref="AN26">
    <cfRule type="cellIs" dxfId="25311" priority="157139" stopIfTrue="1" operator="greaterThanOrEqual">
      <formula>0.5</formula>
    </cfRule>
  </conditionalFormatting>
  <conditionalFormatting sqref="AN27">
    <cfRule type="cellIs" dxfId="25310" priority="157140" stopIfTrue="1" operator="equal">
      <formula>-1</formula>
    </cfRule>
  </conditionalFormatting>
  <conditionalFormatting sqref="AN27">
    <cfRule type="cellIs" dxfId="25309" priority="157141" stopIfTrue="1" operator="lessThan">
      <formula>0.5</formula>
    </cfRule>
  </conditionalFormatting>
  <conditionalFormatting sqref="AN27">
    <cfRule type="cellIs" dxfId="25308" priority="157142" stopIfTrue="1" operator="greaterThanOrEqual">
      <formula>0.5</formula>
    </cfRule>
  </conditionalFormatting>
  <conditionalFormatting sqref="AN28">
    <cfRule type="cellIs" dxfId="25307" priority="157143" stopIfTrue="1" operator="equal">
      <formula>-1</formula>
    </cfRule>
  </conditionalFormatting>
  <conditionalFormatting sqref="AN28">
    <cfRule type="cellIs" dxfId="25306" priority="157144" stopIfTrue="1" operator="lessThan">
      <formula>0.5</formula>
    </cfRule>
  </conditionalFormatting>
  <conditionalFormatting sqref="AN28">
    <cfRule type="cellIs" dxfId="25305" priority="157145" stopIfTrue="1" operator="greaterThanOrEqual">
      <formula>0.5</formula>
    </cfRule>
  </conditionalFormatting>
  <conditionalFormatting sqref="AN29">
    <cfRule type="cellIs" dxfId="25304" priority="157146" stopIfTrue="1" operator="equal">
      <formula>-1</formula>
    </cfRule>
  </conditionalFormatting>
  <conditionalFormatting sqref="AN29">
    <cfRule type="cellIs" dxfId="25303" priority="157147" stopIfTrue="1" operator="lessThan">
      <formula>0.5</formula>
    </cfRule>
  </conditionalFormatting>
  <conditionalFormatting sqref="AN29">
    <cfRule type="cellIs" dxfId="25302" priority="157148" stopIfTrue="1" operator="greaterThanOrEqual">
      <formula>0.5</formula>
    </cfRule>
  </conditionalFormatting>
  <conditionalFormatting sqref="AN30">
    <cfRule type="cellIs" dxfId="25301" priority="157149" stopIfTrue="1" operator="equal">
      <formula>-1</formula>
    </cfRule>
  </conditionalFormatting>
  <conditionalFormatting sqref="AN30">
    <cfRule type="cellIs" dxfId="25300" priority="157150" stopIfTrue="1" operator="lessThan">
      <formula>0.5</formula>
    </cfRule>
  </conditionalFormatting>
  <conditionalFormatting sqref="AN30">
    <cfRule type="cellIs" dxfId="25299" priority="157151" stopIfTrue="1" operator="greaterThanOrEqual">
      <formula>0.5</formula>
    </cfRule>
  </conditionalFormatting>
  <conditionalFormatting sqref="AN31">
    <cfRule type="cellIs" dxfId="25298" priority="157152" stopIfTrue="1" operator="equal">
      <formula>-1</formula>
    </cfRule>
  </conditionalFormatting>
  <conditionalFormatting sqref="AN31">
    <cfRule type="cellIs" dxfId="25297" priority="157153" stopIfTrue="1" operator="lessThan">
      <formula>0.5</formula>
    </cfRule>
  </conditionalFormatting>
  <conditionalFormatting sqref="AN31">
    <cfRule type="cellIs" dxfId="25296" priority="157154" stopIfTrue="1" operator="greaterThanOrEqual">
      <formula>0.5</formula>
    </cfRule>
  </conditionalFormatting>
  <conditionalFormatting sqref="AN32">
    <cfRule type="cellIs" dxfId="25295" priority="157155" stopIfTrue="1" operator="equal">
      <formula>-1</formula>
    </cfRule>
  </conditionalFormatting>
  <conditionalFormatting sqref="AN32">
    <cfRule type="cellIs" dxfId="25294" priority="157156" stopIfTrue="1" operator="lessThan">
      <formula>0.5</formula>
    </cfRule>
  </conditionalFormatting>
  <conditionalFormatting sqref="AN32">
    <cfRule type="cellIs" dxfId="25293" priority="157157" stopIfTrue="1" operator="greaterThanOrEqual">
      <formula>0.5</formula>
    </cfRule>
  </conditionalFormatting>
  <conditionalFormatting sqref="AN33">
    <cfRule type="cellIs" dxfId="25292" priority="157158" stopIfTrue="1" operator="equal">
      <formula>-1</formula>
    </cfRule>
  </conditionalFormatting>
  <conditionalFormatting sqref="AN33">
    <cfRule type="cellIs" dxfId="25291" priority="157159" stopIfTrue="1" operator="lessThan">
      <formula>0.5</formula>
    </cfRule>
  </conditionalFormatting>
  <conditionalFormatting sqref="AN33">
    <cfRule type="cellIs" dxfId="25290" priority="157160" stopIfTrue="1" operator="greaterThanOrEqual">
      <formula>0.5</formula>
    </cfRule>
  </conditionalFormatting>
  <conditionalFormatting sqref="AN34">
    <cfRule type="cellIs" dxfId="25289" priority="157161" stopIfTrue="1" operator="equal">
      <formula>-1</formula>
    </cfRule>
  </conditionalFormatting>
  <conditionalFormatting sqref="AN34">
    <cfRule type="cellIs" dxfId="25288" priority="157162" stopIfTrue="1" operator="lessThan">
      <formula>0.5</formula>
    </cfRule>
  </conditionalFormatting>
  <conditionalFormatting sqref="AN34">
    <cfRule type="cellIs" dxfId="25287" priority="157163" stopIfTrue="1" operator="greaterThanOrEqual">
      <formula>0.5</formula>
    </cfRule>
  </conditionalFormatting>
  <conditionalFormatting sqref="AN35">
    <cfRule type="cellIs" dxfId="25286" priority="157164" stopIfTrue="1" operator="equal">
      <formula>-1</formula>
    </cfRule>
  </conditionalFormatting>
  <conditionalFormatting sqref="AN35">
    <cfRule type="cellIs" dxfId="25285" priority="157165" stopIfTrue="1" operator="lessThan">
      <formula>0.5</formula>
    </cfRule>
  </conditionalFormatting>
  <conditionalFormatting sqref="AN35">
    <cfRule type="cellIs" dxfId="25284" priority="157166" stopIfTrue="1" operator="greaterThanOrEqual">
      <formula>0.5</formula>
    </cfRule>
  </conditionalFormatting>
  <conditionalFormatting sqref="AN36">
    <cfRule type="cellIs" dxfId="25283" priority="157167" stopIfTrue="1" operator="equal">
      <formula>-1</formula>
    </cfRule>
  </conditionalFormatting>
  <conditionalFormatting sqref="AN36">
    <cfRule type="cellIs" dxfId="25282" priority="157168" stopIfTrue="1" operator="lessThan">
      <formula>0.5</formula>
    </cfRule>
  </conditionalFormatting>
  <conditionalFormatting sqref="AN36">
    <cfRule type="cellIs" dxfId="25281" priority="157169" stopIfTrue="1" operator="greaterThanOrEqual">
      <formula>0.5</formula>
    </cfRule>
  </conditionalFormatting>
  <conditionalFormatting sqref="AN37">
    <cfRule type="cellIs" dxfId="25280" priority="157170" stopIfTrue="1" operator="equal">
      <formula>-1</formula>
    </cfRule>
  </conditionalFormatting>
  <conditionalFormatting sqref="AN37">
    <cfRule type="cellIs" dxfId="25279" priority="157171" stopIfTrue="1" operator="lessThan">
      <formula>0.5</formula>
    </cfRule>
  </conditionalFormatting>
  <conditionalFormatting sqref="AN37">
    <cfRule type="cellIs" dxfId="25278" priority="157172" stopIfTrue="1" operator="greaterThanOrEqual">
      <formula>0.5</formula>
    </cfRule>
  </conditionalFormatting>
  <conditionalFormatting sqref="AP17">
    <cfRule type="cellIs" dxfId="25277" priority="157173" stopIfTrue="1" operator="equal">
      <formula>-1</formula>
    </cfRule>
  </conditionalFormatting>
  <conditionalFormatting sqref="AP17">
    <cfRule type="cellIs" dxfId="25276" priority="157174" stopIfTrue="1" operator="lessThan">
      <formula>0.5</formula>
    </cfRule>
  </conditionalFormatting>
  <conditionalFormatting sqref="AP17">
    <cfRule type="cellIs" dxfId="25275" priority="157175" stopIfTrue="1" operator="greaterThanOrEqual">
      <formula>0.5</formula>
    </cfRule>
  </conditionalFormatting>
  <conditionalFormatting sqref="AP18">
    <cfRule type="cellIs" dxfId="25274" priority="157176" stopIfTrue="1" operator="equal">
      <formula>-1</formula>
    </cfRule>
  </conditionalFormatting>
  <conditionalFormatting sqref="AP18">
    <cfRule type="cellIs" dxfId="25273" priority="157177" stopIfTrue="1" operator="lessThan">
      <formula>0.5</formula>
    </cfRule>
  </conditionalFormatting>
  <conditionalFormatting sqref="AP18">
    <cfRule type="cellIs" dxfId="25272" priority="157178" stopIfTrue="1" operator="greaterThanOrEqual">
      <formula>0.5</formula>
    </cfRule>
  </conditionalFormatting>
  <conditionalFormatting sqref="AP19">
    <cfRule type="cellIs" dxfId="25271" priority="157179" stopIfTrue="1" operator="equal">
      <formula>-1</formula>
    </cfRule>
  </conditionalFormatting>
  <conditionalFormatting sqref="AP19">
    <cfRule type="cellIs" dxfId="25270" priority="157180" stopIfTrue="1" operator="lessThan">
      <formula>0.5</formula>
    </cfRule>
  </conditionalFormatting>
  <conditionalFormatting sqref="AP19">
    <cfRule type="cellIs" dxfId="25269" priority="157181" stopIfTrue="1" operator="greaterThanOrEqual">
      <formula>0.5</formula>
    </cfRule>
  </conditionalFormatting>
  <conditionalFormatting sqref="AP20">
    <cfRule type="cellIs" dxfId="25268" priority="157182" stopIfTrue="1" operator="equal">
      <formula>-1</formula>
    </cfRule>
  </conditionalFormatting>
  <conditionalFormatting sqref="AP20">
    <cfRule type="cellIs" dxfId="25267" priority="157183" stopIfTrue="1" operator="lessThan">
      <formula>0.5</formula>
    </cfRule>
  </conditionalFormatting>
  <conditionalFormatting sqref="AP20">
    <cfRule type="cellIs" dxfId="25266" priority="157184" stopIfTrue="1" operator="greaterThanOrEqual">
      <formula>0.5</formula>
    </cfRule>
  </conditionalFormatting>
  <conditionalFormatting sqref="AP21">
    <cfRule type="cellIs" dxfId="25265" priority="157185" stopIfTrue="1" operator="equal">
      <formula>-1</formula>
    </cfRule>
  </conditionalFormatting>
  <conditionalFormatting sqref="AP21">
    <cfRule type="cellIs" dxfId="25264" priority="157186" stopIfTrue="1" operator="lessThan">
      <formula>0.5</formula>
    </cfRule>
  </conditionalFormatting>
  <conditionalFormatting sqref="AP21">
    <cfRule type="cellIs" dxfId="25263" priority="157187" stopIfTrue="1" operator="greaterThanOrEqual">
      <formula>0.5</formula>
    </cfRule>
  </conditionalFormatting>
  <conditionalFormatting sqref="AP22">
    <cfRule type="cellIs" dxfId="25262" priority="157188" stopIfTrue="1" operator="equal">
      <formula>-1</formula>
    </cfRule>
  </conditionalFormatting>
  <conditionalFormatting sqref="AP22">
    <cfRule type="cellIs" dxfId="25261" priority="157189" stopIfTrue="1" operator="lessThan">
      <formula>0.5</formula>
    </cfRule>
  </conditionalFormatting>
  <conditionalFormatting sqref="AP22">
    <cfRule type="cellIs" dxfId="25260" priority="157190" stopIfTrue="1" operator="greaterThanOrEqual">
      <formula>0.5</formula>
    </cfRule>
  </conditionalFormatting>
  <conditionalFormatting sqref="AP23">
    <cfRule type="cellIs" dxfId="25259" priority="157191" stopIfTrue="1" operator="equal">
      <formula>-1</formula>
    </cfRule>
  </conditionalFormatting>
  <conditionalFormatting sqref="AP23">
    <cfRule type="cellIs" dxfId="25258" priority="157192" stopIfTrue="1" operator="lessThan">
      <formula>0.5</formula>
    </cfRule>
  </conditionalFormatting>
  <conditionalFormatting sqref="AP23">
    <cfRule type="cellIs" dxfId="25257" priority="157193" stopIfTrue="1" operator="greaterThanOrEqual">
      <formula>0.5</formula>
    </cfRule>
  </conditionalFormatting>
  <conditionalFormatting sqref="AP24">
    <cfRule type="cellIs" dxfId="25256" priority="157194" stopIfTrue="1" operator="equal">
      <formula>-1</formula>
    </cfRule>
  </conditionalFormatting>
  <conditionalFormatting sqref="AP24">
    <cfRule type="cellIs" dxfId="25255" priority="157195" stopIfTrue="1" operator="lessThan">
      <formula>0.5</formula>
    </cfRule>
  </conditionalFormatting>
  <conditionalFormatting sqref="AP24">
    <cfRule type="cellIs" dxfId="25254" priority="157196" stopIfTrue="1" operator="greaterThanOrEqual">
      <formula>0.5</formula>
    </cfRule>
  </conditionalFormatting>
  <conditionalFormatting sqref="AP25">
    <cfRule type="cellIs" dxfId="25253" priority="157197" stopIfTrue="1" operator="equal">
      <formula>-1</formula>
    </cfRule>
  </conditionalFormatting>
  <conditionalFormatting sqref="AP25">
    <cfRule type="cellIs" dxfId="25252" priority="157198" stopIfTrue="1" operator="lessThan">
      <formula>0.5</formula>
    </cfRule>
  </conditionalFormatting>
  <conditionalFormatting sqref="AP25">
    <cfRule type="cellIs" dxfId="25251" priority="157199" stopIfTrue="1" operator="greaterThanOrEqual">
      <formula>0.5</formula>
    </cfRule>
  </conditionalFormatting>
  <conditionalFormatting sqref="AP26">
    <cfRule type="cellIs" dxfId="25250" priority="157200" stopIfTrue="1" operator="equal">
      <formula>-1</formula>
    </cfRule>
  </conditionalFormatting>
  <conditionalFormatting sqref="AP26">
    <cfRule type="cellIs" dxfId="25249" priority="157201" stopIfTrue="1" operator="lessThan">
      <formula>0.5</formula>
    </cfRule>
  </conditionalFormatting>
  <conditionalFormatting sqref="AP26">
    <cfRule type="cellIs" dxfId="25248" priority="157202" stopIfTrue="1" operator="greaterThanOrEqual">
      <formula>0.5</formula>
    </cfRule>
  </conditionalFormatting>
  <conditionalFormatting sqref="AP27">
    <cfRule type="cellIs" dxfId="25247" priority="157203" stopIfTrue="1" operator="equal">
      <formula>-1</formula>
    </cfRule>
  </conditionalFormatting>
  <conditionalFormatting sqref="AP27">
    <cfRule type="cellIs" dxfId="25246" priority="157204" stopIfTrue="1" operator="lessThan">
      <formula>0.5</formula>
    </cfRule>
  </conditionalFormatting>
  <conditionalFormatting sqref="AP27">
    <cfRule type="cellIs" dxfId="25245" priority="157205" stopIfTrue="1" operator="greaterThanOrEqual">
      <formula>0.5</formula>
    </cfRule>
  </conditionalFormatting>
  <conditionalFormatting sqref="AP28">
    <cfRule type="cellIs" dxfId="25244" priority="157206" stopIfTrue="1" operator="equal">
      <formula>-1</formula>
    </cfRule>
  </conditionalFormatting>
  <conditionalFormatting sqref="AP28">
    <cfRule type="cellIs" dxfId="25243" priority="157207" stopIfTrue="1" operator="lessThan">
      <formula>0.5</formula>
    </cfRule>
  </conditionalFormatting>
  <conditionalFormatting sqref="AP28">
    <cfRule type="cellIs" dxfId="25242" priority="157208" stopIfTrue="1" operator="greaterThanOrEqual">
      <formula>0.5</formula>
    </cfRule>
  </conditionalFormatting>
  <conditionalFormatting sqref="AP29">
    <cfRule type="cellIs" dxfId="25241" priority="157209" stopIfTrue="1" operator="equal">
      <formula>-1</formula>
    </cfRule>
  </conditionalFormatting>
  <conditionalFormatting sqref="AP29">
    <cfRule type="cellIs" dxfId="25240" priority="157210" stopIfTrue="1" operator="lessThan">
      <formula>0.5</formula>
    </cfRule>
  </conditionalFormatting>
  <conditionalFormatting sqref="AP29">
    <cfRule type="cellIs" dxfId="25239" priority="157211" stopIfTrue="1" operator="greaterThanOrEqual">
      <formula>0.5</formula>
    </cfRule>
  </conditionalFormatting>
  <conditionalFormatting sqref="AP30">
    <cfRule type="cellIs" dxfId="25238" priority="157212" stopIfTrue="1" operator="equal">
      <formula>-1</formula>
    </cfRule>
  </conditionalFormatting>
  <conditionalFormatting sqref="AP30">
    <cfRule type="cellIs" dxfId="25237" priority="157213" stopIfTrue="1" operator="lessThan">
      <formula>0.5</formula>
    </cfRule>
  </conditionalFormatting>
  <conditionalFormatting sqref="AP30">
    <cfRule type="cellIs" dxfId="25236" priority="157214" stopIfTrue="1" operator="greaterThanOrEqual">
      <formula>0.5</formula>
    </cfRule>
  </conditionalFormatting>
  <conditionalFormatting sqref="AP31">
    <cfRule type="cellIs" dxfId="25235" priority="157215" stopIfTrue="1" operator="equal">
      <formula>-1</formula>
    </cfRule>
  </conditionalFormatting>
  <conditionalFormatting sqref="AP31">
    <cfRule type="cellIs" dxfId="25234" priority="157216" stopIfTrue="1" operator="lessThan">
      <formula>0.5</formula>
    </cfRule>
  </conditionalFormatting>
  <conditionalFormatting sqref="AP31">
    <cfRule type="cellIs" dxfId="25233" priority="157217" stopIfTrue="1" operator="greaterThanOrEqual">
      <formula>0.5</formula>
    </cfRule>
  </conditionalFormatting>
  <conditionalFormatting sqref="AP32">
    <cfRule type="cellIs" dxfId="25232" priority="157218" stopIfTrue="1" operator="equal">
      <formula>-1</formula>
    </cfRule>
  </conditionalFormatting>
  <conditionalFormatting sqref="AP32">
    <cfRule type="cellIs" dxfId="25231" priority="157219" stopIfTrue="1" operator="lessThan">
      <formula>0.5</formula>
    </cfRule>
  </conditionalFormatting>
  <conditionalFormatting sqref="AP32">
    <cfRule type="cellIs" dxfId="25230" priority="157220" stopIfTrue="1" operator="greaterThanOrEqual">
      <formula>0.5</formula>
    </cfRule>
  </conditionalFormatting>
  <conditionalFormatting sqref="AP33">
    <cfRule type="cellIs" dxfId="25229" priority="157221" stopIfTrue="1" operator="equal">
      <formula>-1</formula>
    </cfRule>
  </conditionalFormatting>
  <conditionalFormatting sqref="AP33">
    <cfRule type="cellIs" dxfId="25228" priority="157222" stopIfTrue="1" operator="lessThan">
      <formula>0.5</formula>
    </cfRule>
  </conditionalFormatting>
  <conditionalFormatting sqref="AP33">
    <cfRule type="cellIs" dxfId="25227" priority="157223" stopIfTrue="1" operator="greaterThanOrEqual">
      <formula>0.5</formula>
    </cfRule>
  </conditionalFormatting>
  <conditionalFormatting sqref="AP34">
    <cfRule type="cellIs" dxfId="25226" priority="157224" stopIfTrue="1" operator="equal">
      <formula>-1</formula>
    </cfRule>
  </conditionalFormatting>
  <conditionalFormatting sqref="AP34">
    <cfRule type="cellIs" dxfId="25225" priority="157225" stopIfTrue="1" operator="lessThan">
      <formula>0.5</formula>
    </cfRule>
  </conditionalFormatting>
  <conditionalFormatting sqref="AP34">
    <cfRule type="cellIs" dxfId="25224" priority="157226" stopIfTrue="1" operator="greaterThanOrEqual">
      <formula>0.5</formula>
    </cfRule>
  </conditionalFormatting>
  <conditionalFormatting sqref="AP35">
    <cfRule type="cellIs" dxfId="25223" priority="157227" stopIfTrue="1" operator="equal">
      <formula>-1</formula>
    </cfRule>
  </conditionalFormatting>
  <conditionalFormatting sqref="AP35">
    <cfRule type="cellIs" dxfId="25222" priority="157228" stopIfTrue="1" operator="lessThan">
      <formula>0.5</formula>
    </cfRule>
  </conditionalFormatting>
  <conditionalFormatting sqref="AP35">
    <cfRule type="cellIs" dxfId="25221" priority="157229" stopIfTrue="1" operator="greaterThanOrEqual">
      <formula>0.5</formula>
    </cfRule>
  </conditionalFormatting>
  <conditionalFormatting sqref="AP36">
    <cfRule type="cellIs" dxfId="25220" priority="157230" stopIfTrue="1" operator="equal">
      <formula>-1</formula>
    </cfRule>
  </conditionalFormatting>
  <conditionalFormatting sqref="AP36">
    <cfRule type="cellIs" dxfId="25219" priority="157231" stopIfTrue="1" operator="lessThan">
      <formula>0.5</formula>
    </cfRule>
  </conditionalFormatting>
  <conditionalFormatting sqref="AP36">
    <cfRule type="cellIs" dxfId="25218" priority="157232" stopIfTrue="1" operator="greaterThanOrEqual">
      <formula>0.5</formula>
    </cfRule>
  </conditionalFormatting>
  <conditionalFormatting sqref="AP37">
    <cfRule type="cellIs" dxfId="25217" priority="157233" stopIfTrue="1" operator="equal">
      <formula>-1</formula>
    </cfRule>
  </conditionalFormatting>
  <conditionalFormatting sqref="AP37">
    <cfRule type="cellIs" dxfId="25216" priority="157234" stopIfTrue="1" operator="lessThan">
      <formula>0.5</formula>
    </cfRule>
  </conditionalFormatting>
  <conditionalFormatting sqref="AP37">
    <cfRule type="cellIs" dxfId="25215" priority="157235" stopIfTrue="1" operator="greaterThanOrEqual">
      <formula>0.5</formula>
    </cfRule>
  </conditionalFormatting>
  <conditionalFormatting sqref="AR17">
    <cfRule type="cellIs" dxfId="25214" priority="157236" stopIfTrue="1" operator="equal">
      <formula>-1</formula>
    </cfRule>
  </conditionalFormatting>
  <conditionalFormatting sqref="AR17">
    <cfRule type="cellIs" dxfId="25213" priority="157237" stopIfTrue="1" operator="lessThan">
      <formula>0.5</formula>
    </cfRule>
  </conditionalFormatting>
  <conditionalFormatting sqref="AR17">
    <cfRule type="cellIs" dxfId="25212" priority="157238" stopIfTrue="1" operator="greaterThanOrEqual">
      <formula>0.5</formula>
    </cfRule>
  </conditionalFormatting>
  <conditionalFormatting sqref="AR18">
    <cfRule type="cellIs" dxfId="25211" priority="157239" stopIfTrue="1" operator="equal">
      <formula>-1</formula>
    </cfRule>
  </conditionalFormatting>
  <conditionalFormatting sqref="AR18">
    <cfRule type="cellIs" dxfId="25210" priority="157240" stopIfTrue="1" operator="lessThan">
      <formula>0.5</formula>
    </cfRule>
  </conditionalFormatting>
  <conditionalFormatting sqref="AR18">
    <cfRule type="cellIs" dxfId="25209" priority="157241" stopIfTrue="1" operator="greaterThanOrEqual">
      <formula>0.5</formula>
    </cfRule>
  </conditionalFormatting>
  <conditionalFormatting sqref="AR19">
    <cfRule type="cellIs" dxfId="25208" priority="157242" stopIfTrue="1" operator="equal">
      <formula>-1</formula>
    </cfRule>
  </conditionalFormatting>
  <conditionalFormatting sqref="AR19">
    <cfRule type="cellIs" dxfId="25207" priority="157243" stopIfTrue="1" operator="lessThan">
      <formula>0.5</formula>
    </cfRule>
  </conditionalFormatting>
  <conditionalFormatting sqref="AR19">
    <cfRule type="cellIs" dxfId="25206" priority="157244" stopIfTrue="1" operator="greaterThanOrEqual">
      <formula>0.5</formula>
    </cfRule>
  </conditionalFormatting>
  <conditionalFormatting sqref="AR20">
    <cfRule type="cellIs" dxfId="25205" priority="157245" stopIfTrue="1" operator="equal">
      <formula>-1</formula>
    </cfRule>
  </conditionalFormatting>
  <conditionalFormatting sqref="AR20">
    <cfRule type="cellIs" dxfId="25204" priority="157246" stopIfTrue="1" operator="lessThan">
      <formula>0.5</formula>
    </cfRule>
  </conditionalFormatting>
  <conditionalFormatting sqref="AR20">
    <cfRule type="cellIs" dxfId="25203" priority="157247" stopIfTrue="1" operator="greaterThanOrEqual">
      <formula>0.5</formula>
    </cfRule>
  </conditionalFormatting>
  <conditionalFormatting sqref="AR21">
    <cfRule type="cellIs" dxfId="25202" priority="157248" stopIfTrue="1" operator="equal">
      <formula>-1</formula>
    </cfRule>
  </conditionalFormatting>
  <conditionalFormatting sqref="AR21">
    <cfRule type="cellIs" dxfId="25201" priority="157249" stopIfTrue="1" operator="lessThan">
      <formula>0.5</formula>
    </cfRule>
  </conditionalFormatting>
  <conditionalFormatting sqref="AR21">
    <cfRule type="cellIs" dxfId="25200" priority="157250" stopIfTrue="1" operator="greaterThanOrEqual">
      <formula>0.5</formula>
    </cfRule>
  </conditionalFormatting>
  <conditionalFormatting sqref="AR22">
    <cfRule type="cellIs" dxfId="25199" priority="157251" stopIfTrue="1" operator="equal">
      <formula>-1</formula>
    </cfRule>
  </conditionalFormatting>
  <conditionalFormatting sqref="AR22">
    <cfRule type="cellIs" dxfId="25198" priority="157252" stopIfTrue="1" operator="lessThan">
      <formula>0.5</formula>
    </cfRule>
  </conditionalFormatting>
  <conditionalFormatting sqref="AR22">
    <cfRule type="cellIs" dxfId="25197" priority="157253" stopIfTrue="1" operator="greaterThanOrEqual">
      <formula>0.5</formula>
    </cfRule>
  </conditionalFormatting>
  <conditionalFormatting sqref="AR23">
    <cfRule type="cellIs" dxfId="25196" priority="157254" stopIfTrue="1" operator="equal">
      <formula>-1</formula>
    </cfRule>
  </conditionalFormatting>
  <conditionalFormatting sqref="AR23">
    <cfRule type="cellIs" dxfId="25195" priority="157255" stopIfTrue="1" operator="lessThan">
      <formula>0.5</formula>
    </cfRule>
  </conditionalFormatting>
  <conditionalFormatting sqref="AR23">
    <cfRule type="cellIs" dxfId="25194" priority="157256" stopIfTrue="1" operator="greaterThanOrEqual">
      <formula>0.5</formula>
    </cfRule>
  </conditionalFormatting>
  <conditionalFormatting sqref="AR24">
    <cfRule type="cellIs" dxfId="25193" priority="157257" stopIfTrue="1" operator="equal">
      <formula>-1</formula>
    </cfRule>
  </conditionalFormatting>
  <conditionalFormatting sqref="AR24">
    <cfRule type="cellIs" dxfId="25192" priority="157258" stopIfTrue="1" operator="lessThan">
      <formula>0.5</formula>
    </cfRule>
  </conditionalFormatting>
  <conditionalFormatting sqref="AR24">
    <cfRule type="cellIs" dxfId="25191" priority="157259" stopIfTrue="1" operator="greaterThanOrEqual">
      <formula>0.5</formula>
    </cfRule>
  </conditionalFormatting>
  <conditionalFormatting sqref="AR25">
    <cfRule type="cellIs" dxfId="25190" priority="157260" stopIfTrue="1" operator="equal">
      <formula>-1</formula>
    </cfRule>
  </conditionalFormatting>
  <conditionalFormatting sqref="AR25">
    <cfRule type="cellIs" dxfId="25189" priority="157261" stopIfTrue="1" operator="lessThan">
      <formula>0.5</formula>
    </cfRule>
  </conditionalFormatting>
  <conditionalFormatting sqref="AR25">
    <cfRule type="cellIs" dxfId="25188" priority="157262" stopIfTrue="1" operator="greaterThanOrEqual">
      <formula>0.5</formula>
    </cfRule>
  </conditionalFormatting>
  <conditionalFormatting sqref="AR26">
    <cfRule type="cellIs" dxfId="25187" priority="157263" stopIfTrue="1" operator="equal">
      <formula>-1</formula>
    </cfRule>
  </conditionalFormatting>
  <conditionalFormatting sqref="AR26">
    <cfRule type="cellIs" dxfId="25186" priority="157264" stopIfTrue="1" operator="lessThan">
      <formula>0.5</formula>
    </cfRule>
  </conditionalFormatting>
  <conditionalFormatting sqref="AR26">
    <cfRule type="cellIs" dxfId="25185" priority="157265" stopIfTrue="1" operator="greaterThanOrEqual">
      <formula>0.5</formula>
    </cfRule>
  </conditionalFormatting>
  <conditionalFormatting sqref="AR27">
    <cfRule type="cellIs" dxfId="25184" priority="157266" stopIfTrue="1" operator="equal">
      <formula>-1</formula>
    </cfRule>
  </conditionalFormatting>
  <conditionalFormatting sqref="AR27">
    <cfRule type="cellIs" dxfId="25183" priority="157267" stopIfTrue="1" operator="lessThan">
      <formula>0.5</formula>
    </cfRule>
  </conditionalFormatting>
  <conditionalFormatting sqref="AR27">
    <cfRule type="cellIs" dxfId="25182" priority="157268" stopIfTrue="1" operator="greaterThanOrEqual">
      <formula>0.5</formula>
    </cfRule>
  </conditionalFormatting>
  <conditionalFormatting sqref="AR28">
    <cfRule type="cellIs" dxfId="25181" priority="157269" stopIfTrue="1" operator="equal">
      <formula>-1</formula>
    </cfRule>
  </conditionalFormatting>
  <conditionalFormatting sqref="AR28">
    <cfRule type="cellIs" dxfId="25180" priority="157270" stopIfTrue="1" operator="lessThan">
      <formula>0.5</formula>
    </cfRule>
  </conditionalFormatting>
  <conditionalFormatting sqref="AR28">
    <cfRule type="cellIs" dxfId="25179" priority="157271" stopIfTrue="1" operator="greaterThanOrEqual">
      <formula>0.5</formula>
    </cfRule>
  </conditionalFormatting>
  <conditionalFormatting sqref="AR29">
    <cfRule type="cellIs" dxfId="25178" priority="157272" stopIfTrue="1" operator="equal">
      <formula>-1</formula>
    </cfRule>
  </conditionalFormatting>
  <conditionalFormatting sqref="AR29">
    <cfRule type="cellIs" dxfId="25177" priority="157273" stopIfTrue="1" operator="lessThan">
      <formula>0.5</formula>
    </cfRule>
  </conditionalFormatting>
  <conditionalFormatting sqref="AR29">
    <cfRule type="cellIs" dxfId="25176" priority="157274" stopIfTrue="1" operator="greaterThanOrEqual">
      <formula>0.5</formula>
    </cfRule>
  </conditionalFormatting>
  <conditionalFormatting sqref="AR30">
    <cfRule type="cellIs" dxfId="25175" priority="157275" stopIfTrue="1" operator="equal">
      <formula>-1</formula>
    </cfRule>
  </conditionalFormatting>
  <conditionalFormatting sqref="AR30">
    <cfRule type="cellIs" dxfId="25174" priority="157276" stopIfTrue="1" operator="lessThan">
      <formula>0.5</formula>
    </cfRule>
  </conditionalFormatting>
  <conditionalFormatting sqref="AR30">
    <cfRule type="cellIs" dxfId="25173" priority="157277" stopIfTrue="1" operator="greaterThanOrEqual">
      <formula>0.5</formula>
    </cfRule>
  </conditionalFormatting>
  <conditionalFormatting sqref="AR31">
    <cfRule type="cellIs" dxfId="25172" priority="157278" stopIfTrue="1" operator="equal">
      <formula>-1</formula>
    </cfRule>
  </conditionalFormatting>
  <conditionalFormatting sqref="AR31">
    <cfRule type="cellIs" dxfId="25171" priority="157279" stopIfTrue="1" operator="lessThan">
      <formula>0.5</formula>
    </cfRule>
  </conditionalFormatting>
  <conditionalFormatting sqref="AR31">
    <cfRule type="cellIs" dxfId="25170" priority="157280" stopIfTrue="1" operator="greaterThanOrEqual">
      <formula>0.5</formula>
    </cfRule>
  </conditionalFormatting>
  <conditionalFormatting sqref="AR32">
    <cfRule type="cellIs" dxfId="25169" priority="157281" stopIfTrue="1" operator="equal">
      <formula>-1</formula>
    </cfRule>
  </conditionalFormatting>
  <conditionalFormatting sqref="AR32">
    <cfRule type="cellIs" dxfId="25168" priority="157282" stopIfTrue="1" operator="lessThan">
      <formula>0.5</formula>
    </cfRule>
  </conditionalFormatting>
  <conditionalFormatting sqref="AR32">
    <cfRule type="cellIs" dxfId="25167" priority="157283" stopIfTrue="1" operator="greaterThanOrEqual">
      <formula>0.5</formula>
    </cfRule>
  </conditionalFormatting>
  <conditionalFormatting sqref="AR33">
    <cfRule type="cellIs" dxfId="25166" priority="157284" stopIfTrue="1" operator="equal">
      <formula>-1</formula>
    </cfRule>
  </conditionalFormatting>
  <conditionalFormatting sqref="AR33">
    <cfRule type="cellIs" dxfId="25165" priority="157285" stopIfTrue="1" operator="lessThan">
      <formula>0.5</formula>
    </cfRule>
  </conditionalFormatting>
  <conditionalFormatting sqref="AR33">
    <cfRule type="cellIs" dxfId="25164" priority="157286" stopIfTrue="1" operator="greaterThanOrEqual">
      <formula>0.5</formula>
    </cfRule>
  </conditionalFormatting>
  <conditionalFormatting sqref="AR34">
    <cfRule type="cellIs" dxfId="25163" priority="157287" stopIfTrue="1" operator="equal">
      <formula>-1</formula>
    </cfRule>
  </conditionalFormatting>
  <conditionalFormatting sqref="AR34">
    <cfRule type="cellIs" dxfId="25162" priority="157288" stopIfTrue="1" operator="lessThan">
      <formula>0.5</formula>
    </cfRule>
  </conditionalFormatting>
  <conditionalFormatting sqref="AR34">
    <cfRule type="cellIs" dxfId="25161" priority="157289" stopIfTrue="1" operator="greaterThanOrEqual">
      <formula>0.5</formula>
    </cfRule>
  </conditionalFormatting>
  <conditionalFormatting sqref="AR35">
    <cfRule type="cellIs" dxfId="25160" priority="157290" stopIfTrue="1" operator="equal">
      <formula>-1</formula>
    </cfRule>
  </conditionalFormatting>
  <conditionalFormatting sqref="AR35">
    <cfRule type="cellIs" dxfId="25159" priority="157291" stopIfTrue="1" operator="lessThan">
      <formula>0.5</formula>
    </cfRule>
  </conditionalFormatting>
  <conditionalFormatting sqref="AR35">
    <cfRule type="cellIs" dxfId="25158" priority="157292" stopIfTrue="1" operator="greaterThanOrEqual">
      <formula>0.5</formula>
    </cfRule>
  </conditionalFormatting>
  <conditionalFormatting sqref="AR36">
    <cfRule type="cellIs" dxfId="25157" priority="157293" stopIfTrue="1" operator="equal">
      <formula>-1</formula>
    </cfRule>
  </conditionalFormatting>
  <conditionalFormatting sqref="AR36">
    <cfRule type="cellIs" dxfId="25156" priority="157294" stopIfTrue="1" operator="lessThan">
      <formula>0.5</formula>
    </cfRule>
  </conditionalFormatting>
  <conditionalFormatting sqref="AR36">
    <cfRule type="cellIs" dxfId="25155" priority="157295" stopIfTrue="1" operator="greaterThanOrEqual">
      <formula>0.5</formula>
    </cfRule>
  </conditionalFormatting>
  <conditionalFormatting sqref="AR37">
    <cfRule type="cellIs" dxfId="25154" priority="157296" stopIfTrue="1" operator="equal">
      <formula>-1</formula>
    </cfRule>
  </conditionalFormatting>
  <conditionalFormatting sqref="AR37">
    <cfRule type="cellIs" dxfId="25153" priority="157297" stopIfTrue="1" operator="lessThan">
      <formula>0.5</formula>
    </cfRule>
  </conditionalFormatting>
  <conditionalFormatting sqref="AR37">
    <cfRule type="cellIs" dxfId="25152" priority="157298" stopIfTrue="1" operator="greaterThanOrEqual">
      <formula>0.5</formula>
    </cfRule>
  </conditionalFormatting>
  <conditionalFormatting sqref="AT17">
    <cfRule type="cellIs" dxfId="25151" priority="157299" stopIfTrue="1" operator="equal">
      <formula>-1</formula>
    </cfRule>
  </conditionalFormatting>
  <conditionalFormatting sqref="AT17">
    <cfRule type="cellIs" dxfId="25150" priority="157300" stopIfTrue="1" operator="lessThan">
      <formula>0.5</formula>
    </cfRule>
  </conditionalFormatting>
  <conditionalFormatting sqref="AT17">
    <cfRule type="cellIs" dxfId="25149" priority="157301" stopIfTrue="1" operator="greaterThanOrEqual">
      <formula>0.5</formula>
    </cfRule>
  </conditionalFormatting>
  <conditionalFormatting sqref="AT18">
    <cfRule type="cellIs" dxfId="25148" priority="157302" stopIfTrue="1" operator="equal">
      <formula>-1</formula>
    </cfRule>
  </conditionalFormatting>
  <conditionalFormatting sqref="AT18">
    <cfRule type="cellIs" dxfId="25147" priority="157303" stopIfTrue="1" operator="lessThan">
      <formula>0.5</formula>
    </cfRule>
  </conditionalFormatting>
  <conditionalFormatting sqref="AT18">
    <cfRule type="cellIs" dxfId="25146" priority="157304" stopIfTrue="1" operator="greaterThanOrEqual">
      <formula>0.5</formula>
    </cfRule>
  </conditionalFormatting>
  <conditionalFormatting sqref="AT19">
    <cfRule type="cellIs" dxfId="25145" priority="157305" stopIfTrue="1" operator="equal">
      <formula>-1</formula>
    </cfRule>
  </conditionalFormatting>
  <conditionalFormatting sqref="AT19">
    <cfRule type="cellIs" dxfId="25144" priority="157306" stopIfTrue="1" operator="lessThan">
      <formula>0.5</formula>
    </cfRule>
  </conditionalFormatting>
  <conditionalFormatting sqref="AT19">
    <cfRule type="cellIs" dxfId="25143" priority="157307" stopIfTrue="1" operator="greaterThanOrEqual">
      <formula>0.5</formula>
    </cfRule>
  </conditionalFormatting>
  <conditionalFormatting sqref="AT20">
    <cfRule type="cellIs" dxfId="25142" priority="157308" stopIfTrue="1" operator="equal">
      <formula>-1</formula>
    </cfRule>
  </conditionalFormatting>
  <conditionalFormatting sqref="AT20">
    <cfRule type="cellIs" dxfId="25141" priority="157309" stopIfTrue="1" operator="lessThan">
      <formula>0.5</formula>
    </cfRule>
  </conditionalFormatting>
  <conditionalFormatting sqref="AT20">
    <cfRule type="cellIs" dxfId="25140" priority="157310" stopIfTrue="1" operator="greaterThanOrEqual">
      <formula>0.5</formula>
    </cfRule>
  </conditionalFormatting>
  <conditionalFormatting sqref="AT21">
    <cfRule type="cellIs" dxfId="25139" priority="157311" stopIfTrue="1" operator="equal">
      <formula>-1</formula>
    </cfRule>
  </conditionalFormatting>
  <conditionalFormatting sqref="AT21">
    <cfRule type="cellIs" dxfId="25138" priority="157312" stopIfTrue="1" operator="lessThan">
      <formula>0.5</formula>
    </cfRule>
  </conditionalFormatting>
  <conditionalFormatting sqref="AT21">
    <cfRule type="cellIs" dxfId="25137" priority="157313" stopIfTrue="1" operator="greaterThanOrEqual">
      <formula>0.5</formula>
    </cfRule>
  </conditionalFormatting>
  <conditionalFormatting sqref="AT22">
    <cfRule type="cellIs" dxfId="25136" priority="157314" stopIfTrue="1" operator="equal">
      <formula>-1</formula>
    </cfRule>
  </conditionalFormatting>
  <conditionalFormatting sqref="AT22">
    <cfRule type="cellIs" dxfId="25135" priority="157315" stopIfTrue="1" operator="lessThan">
      <formula>0.5</formula>
    </cfRule>
  </conditionalFormatting>
  <conditionalFormatting sqref="AT22">
    <cfRule type="cellIs" dxfId="25134" priority="157316" stopIfTrue="1" operator="greaterThanOrEqual">
      <formula>0.5</formula>
    </cfRule>
  </conditionalFormatting>
  <conditionalFormatting sqref="AT23">
    <cfRule type="cellIs" dxfId="25133" priority="157317" stopIfTrue="1" operator="equal">
      <formula>-1</formula>
    </cfRule>
  </conditionalFormatting>
  <conditionalFormatting sqref="AT23">
    <cfRule type="cellIs" dxfId="25132" priority="157318" stopIfTrue="1" operator="lessThan">
      <formula>0.5</formula>
    </cfRule>
  </conditionalFormatting>
  <conditionalFormatting sqref="AT23">
    <cfRule type="cellIs" dxfId="25131" priority="157319" stopIfTrue="1" operator="greaterThanOrEqual">
      <formula>0.5</formula>
    </cfRule>
  </conditionalFormatting>
  <conditionalFormatting sqref="AT24">
    <cfRule type="cellIs" dxfId="25130" priority="157320" stopIfTrue="1" operator="equal">
      <formula>-1</formula>
    </cfRule>
  </conditionalFormatting>
  <conditionalFormatting sqref="AT24">
    <cfRule type="cellIs" dxfId="25129" priority="157321" stopIfTrue="1" operator="lessThan">
      <formula>0.5</formula>
    </cfRule>
  </conditionalFormatting>
  <conditionalFormatting sqref="AT24">
    <cfRule type="cellIs" dxfId="25128" priority="157322" stopIfTrue="1" operator="greaterThanOrEqual">
      <formula>0.5</formula>
    </cfRule>
  </conditionalFormatting>
  <conditionalFormatting sqref="AT25">
    <cfRule type="cellIs" dxfId="25127" priority="157323" stopIfTrue="1" operator="equal">
      <formula>-1</formula>
    </cfRule>
  </conditionalFormatting>
  <conditionalFormatting sqref="AT25">
    <cfRule type="cellIs" dxfId="25126" priority="157324" stopIfTrue="1" operator="lessThan">
      <formula>0.5</formula>
    </cfRule>
  </conditionalFormatting>
  <conditionalFormatting sqref="AT25">
    <cfRule type="cellIs" dxfId="25125" priority="157325" stopIfTrue="1" operator="greaterThanOrEqual">
      <formula>0.5</formula>
    </cfRule>
  </conditionalFormatting>
  <conditionalFormatting sqref="AT26">
    <cfRule type="cellIs" dxfId="25124" priority="157326" stopIfTrue="1" operator="equal">
      <formula>-1</formula>
    </cfRule>
  </conditionalFormatting>
  <conditionalFormatting sqref="AT26">
    <cfRule type="cellIs" dxfId="25123" priority="157327" stopIfTrue="1" operator="lessThan">
      <formula>0.5</formula>
    </cfRule>
  </conditionalFormatting>
  <conditionalFormatting sqref="AT26">
    <cfRule type="cellIs" dxfId="25122" priority="157328" stopIfTrue="1" operator="greaterThanOrEqual">
      <formula>0.5</formula>
    </cfRule>
  </conditionalFormatting>
  <conditionalFormatting sqref="AT27">
    <cfRule type="cellIs" dxfId="25121" priority="157329" stopIfTrue="1" operator="equal">
      <formula>-1</formula>
    </cfRule>
  </conditionalFormatting>
  <conditionalFormatting sqref="AT27">
    <cfRule type="cellIs" dxfId="25120" priority="157330" stopIfTrue="1" operator="lessThan">
      <formula>0.5</formula>
    </cfRule>
  </conditionalFormatting>
  <conditionalFormatting sqref="AT27">
    <cfRule type="cellIs" dxfId="25119" priority="157331" stopIfTrue="1" operator="greaterThanOrEqual">
      <formula>0.5</formula>
    </cfRule>
  </conditionalFormatting>
  <conditionalFormatting sqref="AT28">
    <cfRule type="cellIs" dxfId="25118" priority="157332" stopIfTrue="1" operator="equal">
      <formula>-1</formula>
    </cfRule>
  </conditionalFormatting>
  <conditionalFormatting sqref="AT28">
    <cfRule type="cellIs" dxfId="25117" priority="157333" stopIfTrue="1" operator="lessThan">
      <formula>0.5</formula>
    </cfRule>
  </conditionalFormatting>
  <conditionalFormatting sqref="AT28">
    <cfRule type="cellIs" dxfId="25116" priority="157334" stopIfTrue="1" operator="greaterThanOrEqual">
      <formula>0.5</formula>
    </cfRule>
  </conditionalFormatting>
  <conditionalFormatting sqref="AT29">
    <cfRule type="cellIs" dxfId="25115" priority="157335" stopIfTrue="1" operator="equal">
      <formula>-1</formula>
    </cfRule>
  </conditionalFormatting>
  <conditionalFormatting sqref="AT29">
    <cfRule type="cellIs" dxfId="25114" priority="157336" stopIfTrue="1" operator="lessThan">
      <formula>0.5</formula>
    </cfRule>
  </conditionalFormatting>
  <conditionalFormatting sqref="AT29">
    <cfRule type="cellIs" dxfId="25113" priority="157337" stopIfTrue="1" operator="greaterThanOrEqual">
      <formula>0.5</formula>
    </cfRule>
  </conditionalFormatting>
  <conditionalFormatting sqref="AT30">
    <cfRule type="cellIs" dxfId="25112" priority="157338" stopIfTrue="1" operator="equal">
      <formula>-1</formula>
    </cfRule>
  </conditionalFormatting>
  <conditionalFormatting sqref="AT30">
    <cfRule type="cellIs" dxfId="25111" priority="157339" stopIfTrue="1" operator="lessThan">
      <formula>0.5</formula>
    </cfRule>
  </conditionalFormatting>
  <conditionalFormatting sqref="AT30">
    <cfRule type="cellIs" dxfId="25110" priority="157340" stopIfTrue="1" operator="greaterThanOrEqual">
      <formula>0.5</formula>
    </cfRule>
  </conditionalFormatting>
  <conditionalFormatting sqref="AT31">
    <cfRule type="cellIs" dxfId="25109" priority="157341" stopIfTrue="1" operator="equal">
      <formula>-1</formula>
    </cfRule>
  </conditionalFormatting>
  <conditionalFormatting sqref="AT31">
    <cfRule type="cellIs" dxfId="25108" priority="157342" stopIfTrue="1" operator="lessThan">
      <formula>0.5</formula>
    </cfRule>
  </conditionalFormatting>
  <conditionalFormatting sqref="AT31">
    <cfRule type="cellIs" dxfId="25107" priority="157343" stopIfTrue="1" operator="greaterThanOrEqual">
      <formula>0.5</formula>
    </cfRule>
  </conditionalFormatting>
  <conditionalFormatting sqref="AT32">
    <cfRule type="cellIs" dxfId="25106" priority="157344" stopIfTrue="1" operator="equal">
      <formula>-1</formula>
    </cfRule>
  </conditionalFormatting>
  <conditionalFormatting sqref="AT32">
    <cfRule type="cellIs" dxfId="25105" priority="157345" stopIfTrue="1" operator="lessThan">
      <formula>0.5</formula>
    </cfRule>
  </conditionalFormatting>
  <conditionalFormatting sqref="AT32">
    <cfRule type="cellIs" dxfId="25104" priority="157346" stopIfTrue="1" operator="greaterThanOrEqual">
      <formula>0.5</formula>
    </cfRule>
  </conditionalFormatting>
  <conditionalFormatting sqref="AT33">
    <cfRule type="cellIs" dxfId="25103" priority="157347" stopIfTrue="1" operator="equal">
      <formula>-1</formula>
    </cfRule>
  </conditionalFormatting>
  <conditionalFormatting sqref="AT33">
    <cfRule type="cellIs" dxfId="25102" priority="157348" stopIfTrue="1" operator="lessThan">
      <formula>0.5</formula>
    </cfRule>
  </conditionalFormatting>
  <conditionalFormatting sqref="AT33">
    <cfRule type="cellIs" dxfId="25101" priority="157349" stopIfTrue="1" operator="greaterThanOrEqual">
      <formula>0.5</formula>
    </cfRule>
  </conditionalFormatting>
  <conditionalFormatting sqref="AT34">
    <cfRule type="cellIs" dxfId="25100" priority="157350" stopIfTrue="1" operator="equal">
      <formula>-1</formula>
    </cfRule>
  </conditionalFormatting>
  <conditionalFormatting sqref="AT34">
    <cfRule type="cellIs" dxfId="25099" priority="157351" stopIfTrue="1" operator="lessThan">
      <formula>0.5</formula>
    </cfRule>
  </conditionalFormatting>
  <conditionalFormatting sqref="AT34">
    <cfRule type="cellIs" dxfId="25098" priority="157352" stopIfTrue="1" operator="greaterThanOrEqual">
      <formula>0.5</formula>
    </cfRule>
  </conditionalFormatting>
  <conditionalFormatting sqref="AT35">
    <cfRule type="cellIs" dxfId="25097" priority="157353" stopIfTrue="1" operator="equal">
      <formula>-1</formula>
    </cfRule>
  </conditionalFormatting>
  <conditionalFormatting sqref="AT35">
    <cfRule type="cellIs" dxfId="25096" priority="157354" stopIfTrue="1" operator="lessThan">
      <formula>0.5</formula>
    </cfRule>
  </conditionalFormatting>
  <conditionalFormatting sqref="AT35">
    <cfRule type="cellIs" dxfId="25095" priority="157355" stopIfTrue="1" operator="greaterThanOrEqual">
      <formula>0.5</formula>
    </cfRule>
  </conditionalFormatting>
  <conditionalFormatting sqref="AT36">
    <cfRule type="cellIs" dxfId="25094" priority="157356" stopIfTrue="1" operator="equal">
      <formula>-1</formula>
    </cfRule>
  </conditionalFormatting>
  <conditionalFormatting sqref="AT36">
    <cfRule type="cellIs" dxfId="25093" priority="157357" stopIfTrue="1" operator="lessThan">
      <formula>0.5</formula>
    </cfRule>
  </conditionalFormatting>
  <conditionalFormatting sqref="AT36">
    <cfRule type="cellIs" dxfId="25092" priority="157358" stopIfTrue="1" operator="greaterThanOrEqual">
      <formula>0.5</formula>
    </cfRule>
  </conditionalFormatting>
  <conditionalFormatting sqref="AT37">
    <cfRule type="cellIs" dxfId="25091" priority="157359" stopIfTrue="1" operator="equal">
      <formula>-1</formula>
    </cfRule>
  </conditionalFormatting>
  <conditionalFormatting sqref="AT37">
    <cfRule type="cellIs" dxfId="25090" priority="157360" stopIfTrue="1" operator="lessThan">
      <formula>0.5</formula>
    </cfRule>
  </conditionalFormatting>
  <conditionalFormatting sqref="AT37">
    <cfRule type="cellIs" dxfId="25089" priority="157361" stopIfTrue="1" operator="greaterThanOrEqual">
      <formula>0.5</formula>
    </cfRule>
  </conditionalFormatting>
  <conditionalFormatting sqref="AV17">
    <cfRule type="cellIs" dxfId="25088" priority="157362" stopIfTrue="1" operator="equal">
      <formula>-1</formula>
    </cfRule>
  </conditionalFormatting>
  <conditionalFormatting sqref="AV17">
    <cfRule type="cellIs" dxfId="25087" priority="157363" stopIfTrue="1" operator="lessThan">
      <formula>0.5</formula>
    </cfRule>
  </conditionalFormatting>
  <conditionalFormatting sqref="AV17">
    <cfRule type="cellIs" dxfId="25086" priority="157364" stopIfTrue="1" operator="greaterThanOrEqual">
      <formula>0.5</formula>
    </cfRule>
  </conditionalFormatting>
  <conditionalFormatting sqref="AV18">
    <cfRule type="cellIs" dxfId="25085" priority="157365" stopIfTrue="1" operator="equal">
      <formula>-1</formula>
    </cfRule>
  </conditionalFormatting>
  <conditionalFormatting sqref="AV18">
    <cfRule type="cellIs" dxfId="25084" priority="157366" stopIfTrue="1" operator="lessThan">
      <formula>0.5</formula>
    </cfRule>
  </conditionalFormatting>
  <conditionalFormatting sqref="AV18">
    <cfRule type="cellIs" dxfId="25083" priority="157367" stopIfTrue="1" operator="greaterThanOrEqual">
      <formula>0.5</formula>
    </cfRule>
  </conditionalFormatting>
  <conditionalFormatting sqref="AV19">
    <cfRule type="cellIs" dxfId="25082" priority="157368" stopIfTrue="1" operator="equal">
      <formula>-1</formula>
    </cfRule>
  </conditionalFormatting>
  <conditionalFormatting sqref="AV19">
    <cfRule type="cellIs" dxfId="25081" priority="157369" stopIfTrue="1" operator="lessThan">
      <formula>0.5</formula>
    </cfRule>
  </conditionalFormatting>
  <conditionalFormatting sqref="AV19">
    <cfRule type="cellIs" dxfId="25080" priority="157370" stopIfTrue="1" operator="greaterThanOrEqual">
      <formula>0.5</formula>
    </cfRule>
  </conditionalFormatting>
  <conditionalFormatting sqref="AV20">
    <cfRule type="cellIs" dxfId="25079" priority="157371" stopIfTrue="1" operator="equal">
      <formula>-1</formula>
    </cfRule>
  </conditionalFormatting>
  <conditionalFormatting sqref="AV20">
    <cfRule type="cellIs" dxfId="25078" priority="157372" stopIfTrue="1" operator="lessThan">
      <formula>0.5</formula>
    </cfRule>
  </conditionalFormatting>
  <conditionalFormatting sqref="AV20">
    <cfRule type="cellIs" dxfId="25077" priority="157373" stopIfTrue="1" operator="greaterThanOrEqual">
      <formula>0.5</formula>
    </cfRule>
  </conditionalFormatting>
  <conditionalFormatting sqref="AV21">
    <cfRule type="cellIs" dxfId="25076" priority="157374" stopIfTrue="1" operator="equal">
      <formula>-1</formula>
    </cfRule>
  </conditionalFormatting>
  <conditionalFormatting sqref="AV21">
    <cfRule type="cellIs" dxfId="25075" priority="157375" stopIfTrue="1" operator="lessThan">
      <formula>0.5</formula>
    </cfRule>
  </conditionalFormatting>
  <conditionalFormatting sqref="AV21">
    <cfRule type="cellIs" dxfId="25074" priority="157376" stopIfTrue="1" operator="greaterThanOrEqual">
      <formula>0.5</formula>
    </cfRule>
  </conditionalFormatting>
  <conditionalFormatting sqref="AV22">
    <cfRule type="cellIs" dxfId="25073" priority="157377" stopIfTrue="1" operator="equal">
      <formula>-1</formula>
    </cfRule>
  </conditionalFormatting>
  <conditionalFormatting sqref="AV22">
    <cfRule type="cellIs" dxfId="25072" priority="157378" stopIfTrue="1" operator="lessThan">
      <formula>0.5</formula>
    </cfRule>
  </conditionalFormatting>
  <conditionalFormatting sqref="AV22">
    <cfRule type="cellIs" dxfId="25071" priority="157379" stopIfTrue="1" operator="greaterThanOrEqual">
      <formula>0.5</formula>
    </cfRule>
  </conditionalFormatting>
  <conditionalFormatting sqref="AV23">
    <cfRule type="cellIs" dxfId="25070" priority="157380" stopIfTrue="1" operator="equal">
      <formula>-1</formula>
    </cfRule>
  </conditionalFormatting>
  <conditionalFormatting sqref="AV23">
    <cfRule type="cellIs" dxfId="25069" priority="157381" stopIfTrue="1" operator="lessThan">
      <formula>0.5</formula>
    </cfRule>
  </conditionalFormatting>
  <conditionalFormatting sqref="AV23">
    <cfRule type="cellIs" dxfId="25068" priority="157382" stopIfTrue="1" operator="greaterThanOrEqual">
      <formula>0.5</formula>
    </cfRule>
  </conditionalFormatting>
  <conditionalFormatting sqref="AV24">
    <cfRule type="cellIs" dxfId="25067" priority="157383" stopIfTrue="1" operator="equal">
      <formula>-1</formula>
    </cfRule>
  </conditionalFormatting>
  <conditionalFormatting sqref="AV24">
    <cfRule type="cellIs" dxfId="25066" priority="157384" stopIfTrue="1" operator="lessThan">
      <formula>0.5</formula>
    </cfRule>
  </conditionalFormatting>
  <conditionalFormatting sqref="AV24">
    <cfRule type="cellIs" dxfId="25065" priority="157385" stopIfTrue="1" operator="greaterThanOrEqual">
      <formula>0.5</formula>
    </cfRule>
  </conditionalFormatting>
  <conditionalFormatting sqref="AV25">
    <cfRule type="cellIs" dxfId="25064" priority="157386" stopIfTrue="1" operator="equal">
      <formula>-1</formula>
    </cfRule>
  </conditionalFormatting>
  <conditionalFormatting sqref="AV25">
    <cfRule type="cellIs" dxfId="25063" priority="157387" stopIfTrue="1" operator="lessThan">
      <formula>0.5</formula>
    </cfRule>
  </conditionalFormatting>
  <conditionalFormatting sqref="AV25">
    <cfRule type="cellIs" dxfId="25062" priority="157388" stopIfTrue="1" operator="greaterThanOrEqual">
      <formula>0.5</formula>
    </cfRule>
  </conditionalFormatting>
  <conditionalFormatting sqref="AV26">
    <cfRule type="cellIs" dxfId="25061" priority="157389" stopIfTrue="1" operator="equal">
      <formula>-1</formula>
    </cfRule>
  </conditionalFormatting>
  <conditionalFormatting sqref="AV26">
    <cfRule type="cellIs" dxfId="25060" priority="157390" stopIfTrue="1" operator="lessThan">
      <formula>0.5</formula>
    </cfRule>
  </conditionalFormatting>
  <conditionalFormatting sqref="AV26">
    <cfRule type="cellIs" dxfId="25059" priority="157391" stopIfTrue="1" operator="greaterThanOrEqual">
      <formula>0.5</formula>
    </cfRule>
  </conditionalFormatting>
  <conditionalFormatting sqref="AV27">
    <cfRule type="cellIs" dxfId="25058" priority="157392" stopIfTrue="1" operator="equal">
      <formula>-1</formula>
    </cfRule>
  </conditionalFormatting>
  <conditionalFormatting sqref="AV27">
    <cfRule type="cellIs" dxfId="25057" priority="157393" stopIfTrue="1" operator="lessThan">
      <formula>0.5</formula>
    </cfRule>
  </conditionalFormatting>
  <conditionalFormatting sqref="AV27">
    <cfRule type="cellIs" dxfId="25056" priority="157394" stopIfTrue="1" operator="greaterThanOrEqual">
      <formula>0.5</formula>
    </cfRule>
  </conditionalFormatting>
  <conditionalFormatting sqref="AV28">
    <cfRule type="cellIs" dxfId="25055" priority="157395" stopIfTrue="1" operator="equal">
      <formula>-1</formula>
    </cfRule>
  </conditionalFormatting>
  <conditionalFormatting sqref="AV28">
    <cfRule type="cellIs" dxfId="25054" priority="157396" stopIfTrue="1" operator="lessThan">
      <formula>0.5</formula>
    </cfRule>
  </conditionalFormatting>
  <conditionalFormatting sqref="AV28">
    <cfRule type="cellIs" dxfId="25053" priority="157397" stopIfTrue="1" operator="greaterThanOrEqual">
      <formula>0.5</formula>
    </cfRule>
  </conditionalFormatting>
  <conditionalFormatting sqref="AV29">
    <cfRule type="cellIs" dxfId="25052" priority="157398" stopIfTrue="1" operator="equal">
      <formula>-1</formula>
    </cfRule>
  </conditionalFormatting>
  <conditionalFormatting sqref="AV29">
    <cfRule type="cellIs" dxfId="25051" priority="157399" stopIfTrue="1" operator="lessThan">
      <formula>0.5</formula>
    </cfRule>
  </conditionalFormatting>
  <conditionalFormatting sqref="AV29">
    <cfRule type="cellIs" dxfId="25050" priority="157400" stopIfTrue="1" operator="greaterThanOrEqual">
      <formula>0.5</formula>
    </cfRule>
  </conditionalFormatting>
  <conditionalFormatting sqref="AV30">
    <cfRule type="cellIs" dxfId="25049" priority="157401" stopIfTrue="1" operator="equal">
      <formula>-1</formula>
    </cfRule>
  </conditionalFormatting>
  <conditionalFormatting sqref="AV30">
    <cfRule type="cellIs" dxfId="25048" priority="157402" stopIfTrue="1" operator="lessThan">
      <formula>0.5</formula>
    </cfRule>
  </conditionalFormatting>
  <conditionalFormatting sqref="AV30">
    <cfRule type="cellIs" dxfId="25047" priority="157403" stopIfTrue="1" operator="greaterThanOrEqual">
      <formula>0.5</formula>
    </cfRule>
  </conditionalFormatting>
  <conditionalFormatting sqref="AV31">
    <cfRule type="cellIs" dxfId="25046" priority="157404" stopIfTrue="1" operator="equal">
      <formula>-1</formula>
    </cfRule>
  </conditionalFormatting>
  <conditionalFormatting sqref="AV31">
    <cfRule type="cellIs" dxfId="25045" priority="157405" stopIfTrue="1" operator="lessThan">
      <formula>0.5</formula>
    </cfRule>
  </conditionalFormatting>
  <conditionalFormatting sqref="AV31">
    <cfRule type="cellIs" dxfId="25044" priority="157406" stopIfTrue="1" operator="greaterThanOrEqual">
      <formula>0.5</formula>
    </cfRule>
  </conditionalFormatting>
  <conditionalFormatting sqref="AV32">
    <cfRule type="cellIs" dxfId="25043" priority="157407" stopIfTrue="1" operator="equal">
      <formula>-1</formula>
    </cfRule>
  </conditionalFormatting>
  <conditionalFormatting sqref="AV32">
    <cfRule type="cellIs" dxfId="25042" priority="157408" stopIfTrue="1" operator="lessThan">
      <formula>0.5</formula>
    </cfRule>
  </conditionalFormatting>
  <conditionalFormatting sqref="AV32">
    <cfRule type="cellIs" dxfId="25041" priority="157409" stopIfTrue="1" operator="greaterThanOrEqual">
      <formula>0.5</formula>
    </cfRule>
  </conditionalFormatting>
  <conditionalFormatting sqref="AV33">
    <cfRule type="cellIs" dxfId="25040" priority="157410" stopIfTrue="1" operator="equal">
      <formula>-1</formula>
    </cfRule>
  </conditionalFormatting>
  <conditionalFormatting sqref="AV33">
    <cfRule type="cellIs" dxfId="25039" priority="157411" stopIfTrue="1" operator="lessThan">
      <formula>0.5</formula>
    </cfRule>
  </conditionalFormatting>
  <conditionalFormatting sqref="AV33">
    <cfRule type="cellIs" dxfId="25038" priority="157412" stopIfTrue="1" operator="greaterThanOrEqual">
      <formula>0.5</formula>
    </cfRule>
  </conditionalFormatting>
  <conditionalFormatting sqref="AV34">
    <cfRule type="cellIs" dxfId="25037" priority="157413" stopIfTrue="1" operator="equal">
      <formula>-1</formula>
    </cfRule>
  </conditionalFormatting>
  <conditionalFormatting sqref="AV34">
    <cfRule type="cellIs" dxfId="25036" priority="157414" stopIfTrue="1" operator="lessThan">
      <formula>0.5</formula>
    </cfRule>
  </conditionalFormatting>
  <conditionalFormatting sqref="AV34">
    <cfRule type="cellIs" dxfId="25035" priority="157415" stopIfTrue="1" operator="greaterThanOrEqual">
      <formula>0.5</formula>
    </cfRule>
  </conditionalFormatting>
  <conditionalFormatting sqref="AV35">
    <cfRule type="cellIs" dxfId="25034" priority="157416" stopIfTrue="1" operator="equal">
      <formula>-1</formula>
    </cfRule>
  </conditionalFormatting>
  <conditionalFormatting sqref="AV35">
    <cfRule type="cellIs" dxfId="25033" priority="157417" stopIfTrue="1" operator="lessThan">
      <formula>0.5</formula>
    </cfRule>
  </conditionalFormatting>
  <conditionalFormatting sqref="AV35">
    <cfRule type="cellIs" dxfId="25032" priority="157418" stopIfTrue="1" operator="greaterThanOrEqual">
      <formula>0.5</formula>
    </cfRule>
  </conditionalFormatting>
  <conditionalFormatting sqref="AV36">
    <cfRule type="cellIs" dxfId="25031" priority="157419" stopIfTrue="1" operator="equal">
      <formula>-1</formula>
    </cfRule>
  </conditionalFormatting>
  <conditionalFormatting sqref="AV36">
    <cfRule type="cellIs" dxfId="25030" priority="157420" stopIfTrue="1" operator="lessThan">
      <formula>0.5</formula>
    </cfRule>
  </conditionalFormatting>
  <conditionalFormatting sqref="AV36">
    <cfRule type="cellIs" dxfId="25029" priority="157421" stopIfTrue="1" operator="greaterThanOrEqual">
      <formula>0.5</formula>
    </cfRule>
  </conditionalFormatting>
  <conditionalFormatting sqref="AV37">
    <cfRule type="cellIs" dxfId="25028" priority="157422" stopIfTrue="1" operator="equal">
      <formula>-1</formula>
    </cfRule>
  </conditionalFormatting>
  <conditionalFormatting sqref="AV37">
    <cfRule type="cellIs" dxfId="25027" priority="157423" stopIfTrue="1" operator="lessThan">
      <formula>0.5</formula>
    </cfRule>
  </conditionalFormatting>
  <conditionalFormatting sqref="AV37">
    <cfRule type="cellIs" dxfId="25026" priority="157424" stopIfTrue="1" operator="greaterThanOrEqual">
      <formula>0.5</formula>
    </cfRule>
  </conditionalFormatting>
  <conditionalFormatting sqref="AX17">
    <cfRule type="cellIs" dxfId="25025" priority="157425" stopIfTrue="1" operator="equal">
      <formula>-1</formula>
    </cfRule>
  </conditionalFormatting>
  <conditionalFormatting sqref="AX17">
    <cfRule type="cellIs" dxfId="25024" priority="157426" stopIfTrue="1" operator="lessThan">
      <formula>0.5</formula>
    </cfRule>
  </conditionalFormatting>
  <conditionalFormatting sqref="AX17">
    <cfRule type="cellIs" dxfId="25023" priority="157427" stopIfTrue="1" operator="greaterThanOrEqual">
      <formula>0.5</formula>
    </cfRule>
  </conditionalFormatting>
  <conditionalFormatting sqref="AX18">
    <cfRule type="cellIs" dxfId="25022" priority="157428" stopIfTrue="1" operator="equal">
      <formula>-1</formula>
    </cfRule>
  </conditionalFormatting>
  <conditionalFormatting sqref="AX18">
    <cfRule type="cellIs" dxfId="25021" priority="157429" stopIfTrue="1" operator="lessThan">
      <formula>0.5</formula>
    </cfRule>
  </conditionalFormatting>
  <conditionalFormatting sqref="AX18">
    <cfRule type="cellIs" dxfId="25020" priority="157430" stopIfTrue="1" operator="greaterThanOrEqual">
      <formula>0.5</formula>
    </cfRule>
  </conditionalFormatting>
  <conditionalFormatting sqref="AX19">
    <cfRule type="cellIs" dxfId="25019" priority="157431" stopIfTrue="1" operator="equal">
      <formula>-1</formula>
    </cfRule>
  </conditionalFormatting>
  <conditionalFormatting sqref="AX19">
    <cfRule type="cellIs" dxfId="25018" priority="157432" stopIfTrue="1" operator="lessThan">
      <formula>0.5</formula>
    </cfRule>
  </conditionalFormatting>
  <conditionalFormatting sqref="AX19">
    <cfRule type="cellIs" dxfId="25017" priority="157433" stopIfTrue="1" operator="greaterThanOrEqual">
      <formula>0.5</formula>
    </cfRule>
  </conditionalFormatting>
  <conditionalFormatting sqref="AX20">
    <cfRule type="cellIs" dxfId="25016" priority="157434" stopIfTrue="1" operator="equal">
      <formula>-1</formula>
    </cfRule>
  </conditionalFormatting>
  <conditionalFormatting sqref="AX20">
    <cfRule type="cellIs" dxfId="25015" priority="157435" stopIfTrue="1" operator="lessThan">
      <formula>0.5</formula>
    </cfRule>
  </conditionalFormatting>
  <conditionalFormatting sqref="AX20">
    <cfRule type="cellIs" dxfId="25014" priority="157436" stopIfTrue="1" operator="greaterThanOrEqual">
      <formula>0.5</formula>
    </cfRule>
  </conditionalFormatting>
  <conditionalFormatting sqref="AX21">
    <cfRule type="cellIs" dxfId="25013" priority="157437" stopIfTrue="1" operator="equal">
      <formula>-1</formula>
    </cfRule>
  </conditionalFormatting>
  <conditionalFormatting sqref="AX21">
    <cfRule type="cellIs" dxfId="25012" priority="157438" stopIfTrue="1" operator="lessThan">
      <formula>0.5</formula>
    </cfRule>
  </conditionalFormatting>
  <conditionalFormatting sqref="AX21">
    <cfRule type="cellIs" dxfId="25011" priority="157439" stopIfTrue="1" operator="greaterThanOrEqual">
      <formula>0.5</formula>
    </cfRule>
  </conditionalFormatting>
  <conditionalFormatting sqref="AX22">
    <cfRule type="cellIs" dxfId="25010" priority="157440" stopIfTrue="1" operator="equal">
      <formula>-1</formula>
    </cfRule>
  </conditionalFormatting>
  <conditionalFormatting sqref="AX22">
    <cfRule type="cellIs" dxfId="25009" priority="157441" stopIfTrue="1" operator="lessThan">
      <formula>0.5</formula>
    </cfRule>
  </conditionalFormatting>
  <conditionalFormatting sqref="AX22">
    <cfRule type="cellIs" dxfId="25008" priority="157442" stopIfTrue="1" operator="greaterThanOrEqual">
      <formula>0.5</formula>
    </cfRule>
  </conditionalFormatting>
  <conditionalFormatting sqref="AX23">
    <cfRule type="cellIs" dxfId="25007" priority="157443" stopIfTrue="1" operator="equal">
      <formula>-1</formula>
    </cfRule>
  </conditionalFormatting>
  <conditionalFormatting sqref="AX23">
    <cfRule type="cellIs" dxfId="25006" priority="157444" stopIfTrue="1" operator="lessThan">
      <formula>0.5</formula>
    </cfRule>
  </conditionalFormatting>
  <conditionalFormatting sqref="AX23">
    <cfRule type="cellIs" dxfId="25005" priority="157445" stopIfTrue="1" operator="greaterThanOrEqual">
      <formula>0.5</formula>
    </cfRule>
  </conditionalFormatting>
  <conditionalFormatting sqref="AX24">
    <cfRule type="cellIs" dxfId="25004" priority="157446" stopIfTrue="1" operator="equal">
      <formula>-1</formula>
    </cfRule>
  </conditionalFormatting>
  <conditionalFormatting sqref="AX24">
    <cfRule type="cellIs" dxfId="25003" priority="157447" stopIfTrue="1" operator="lessThan">
      <formula>0.5</formula>
    </cfRule>
  </conditionalFormatting>
  <conditionalFormatting sqref="AX24">
    <cfRule type="cellIs" dxfId="25002" priority="157448" stopIfTrue="1" operator="greaterThanOrEqual">
      <formula>0.5</formula>
    </cfRule>
  </conditionalFormatting>
  <conditionalFormatting sqref="AX25">
    <cfRule type="cellIs" dxfId="25001" priority="157449" stopIfTrue="1" operator="equal">
      <formula>-1</formula>
    </cfRule>
  </conditionalFormatting>
  <conditionalFormatting sqref="AX25">
    <cfRule type="cellIs" dxfId="25000" priority="157450" stopIfTrue="1" operator="lessThan">
      <formula>0.5</formula>
    </cfRule>
  </conditionalFormatting>
  <conditionalFormatting sqref="AX25">
    <cfRule type="cellIs" dxfId="24999" priority="157451" stopIfTrue="1" operator="greaterThanOrEqual">
      <formula>0.5</formula>
    </cfRule>
  </conditionalFormatting>
  <conditionalFormatting sqref="AX26">
    <cfRule type="cellIs" dxfId="24998" priority="157452" stopIfTrue="1" operator="equal">
      <formula>-1</formula>
    </cfRule>
  </conditionalFormatting>
  <conditionalFormatting sqref="AX26">
    <cfRule type="cellIs" dxfId="24997" priority="157453" stopIfTrue="1" operator="lessThan">
      <formula>0.5</formula>
    </cfRule>
  </conditionalFormatting>
  <conditionalFormatting sqref="AX26">
    <cfRule type="cellIs" dxfId="24996" priority="157454" stopIfTrue="1" operator="greaterThanOrEqual">
      <formula>0.5</formula>
    </cfRule>
  </conditionalFormatting>
  <conditionalFormatting sqref="AX27">
    <cfRule type="cellIs" dxfId="24995" priority="157455" stopIfTrue="1" operator="equal">
      <formula>-1</formula>
    </cfRule>
  </conditionalFormatting>
  <conditionalFormatting sqref="AX27">
    <cfRule type="cellIs" dxfId="24994" priority="157456" stopIfTrue="1" operator="lessThan">
      <formula>0.5</formula>
    </cfRule>
  </conditionalFormatting>
  <conditionalFormatting sqref="AX27">
    <cfRule type="cellIs" dxfId="24993" priority="157457" stopIfTrue="1" operator="greaterThanOrEqual">
      <formula>0.5</formula>
    </cfRule>
  </conditionalFormatting>
  <conditionalFormatting sqref="AX28">
    <cfRule type="cellIs" dxfId="24992" priority="157458" stopIfTrue="1" operator="equal">
      <formula>-1</formula>
    </cfRule>
  </conditionalFormatting>
  <conditionalFormatting sqref="AX28">
    <cfRule type="cellIs" dxfId="24991" priority="157459" stopIfTrue="1" operator="lessThan">
      <formula>0.5</formula>
    </cfRule>
  </conditionalFormatting>
  <conditionalFormatting sqref="AX28">
    <cfRule type="cellIs" dxfId="24990" priority="157460" stopIfTrue="1" operator="greaterThanOrEqual">
      <formula>0.5</formula>
    </cfRule>
  </conditionalFormatting>
  <conditionalFormatting sqref="AX29">
    <cfRule type="cellIs" dxfId="24989" priority="157461" stopIfTrue="1" operator="equal">
      <formula>-1</formula>
    </cfRule>
  </conditionalFormatting>
  <conditionalFormatting sqref="AX29">
    <cfRule type="cellIs" dxfId="24988" priority="157462" stopIfTrue="1" operator="lessThan">
      <formula>0.5</formula>
    </cfRule>
  </conditionalFormatting>
  <conditionalFormatting sqref="AX29">
    <cfRule type="cellIs" dxfId="24987" priority="157463" stopIfTrue="1" operator="greaterThanOrEqual">
      <formula>0.5</formula>
    </cfRule>
  </conditionalFormatting>
  <conditionalFormatting sqref="AX30">
    <cfRule type="cellIs" dxfId="24986" priority="157464" stopIfTrue="1" operator="equal">
      <formula>-1</formula>
    </cfRule>
  </conditionalFormatting>
  <conditionalFormatting sqref="AX30">
    <cfRule type="cellIs" dxfId="24985" priority="157465" stopIfTrue="1" operator="lessThan">
      <formula>0.5</formula>
    </cfRule>
  </conditionalFormatting>
  <conditionalFormatting sqref="AX30">
    <cfRule type="cellIs" dxfId="24984" priority="157466" stopIfTrue="1" operator="greaterThanOrEqual">
      <formula>0.5</formula>
    </cfRule>
  </conditionalFormatting>
  <conditionalFormatting sqref="AX31">
    <cfRule type="cellIs" dxfId="24983" priority="157467" stopIfTrue="1" operator="equal">
      <formula>-1</formula>
    </cfRule>
  </conditionalFormatting>
  <conditionalFormatting sqref="AX31">
    <cfRule type="cellIs" dxfId="24982" priority="157468" stopIfTrue="1" operator="lessThan">
      <formula>0.5</formula>
    </cfRule>
  </conditionalFormatting>
  <conditionalFormatting sqref="AX31">
    <cfRule type="cellIs" dxfId="24981" priority="157469" stopIfTrue="1" operator="greaterThanOrEqual">
      <formula>0.5</formula>
    </cfRule>
  </conditionalFormatting>
  <conditionalFormatting sqref="AX32">
    <cfRule type="cellIs" dxfId="24980" priority="157470" stopIfTrue="1" operator="equal">
      <formula>-1</formula>
    </cfRule>
  </conditionalFormatting>
  <conditionalFormatting sqref="AX32">
    <cfRule type="cellIs" dxfId="24979" priority="157471" stopIfTrue="1" operator="lessThan">
      <formula>0.5</formula>
    </cfRule>
  </conditionalFormatting>
  <conditionalFormatting sqref="AX32">
    <cfRule type="cellIs" dxfId="24978" priority="157472" stopIfTrue="1" operator="greaterThanOrEqual">
      <formula>0.5</formula>
    </cfRule>
  </conditionalFormatting>
  <conditionalFormatting sqref="AX33">
    <cfRule type="cellIs" dxfId="24977" priority="157473" stopIfTrue="1" operator="equal">
      <formula>-1</formula>
    </cfRule>
  </conditionalFormatting>
  <conditionalFormatting sqref="AX33">
    <cfRule type="cellIs" dxfId="24976" priority="157474" stopIfTrue="1" operator="lessThan">
      <formula>0.5</formula>
    </cfRule>
  </conditionalFormatting>
  <conditionalFormatting sqref="AX33">
    <cfRule type="cellIs" dxfId="24975" priority="157475" stopIfTrue="1" operator="greaterThanOrEqual">
      <formula>0.5</formula>
    </cfRule>
  </conditionalFormatting>
  <conditionalFormatting sqref="AX34">
    <cfRule type="cellIs" dxfId="24974" priority="157476" stopIfTrue="1" operator="equal">
      <formula>-1</formula>
    </cfRule>
  </conditionalFormatting>
  <conditionalFormatting sqref="AX34">
    <cfRule type="cellIs" dxfId="24973" priority="157477" stopIfTrue="1" operator="lessThan">
      <formula>0.5</formula>
    </cfRule>
  </conditionalFormatting>
  <conditionalFormatting sqref="AX34">
    <cfRule type="cellIs" dxfId="24972" priority="157478" stopIfTrue="1" operator="greaterThanOrEqual">
      <formula>0.5</formula>
    </cfRule>
  </conditionalFormatting>
  <conditionalFormatting sqref="AX35">
    <cfRule type="cellIs" dxfId="24971" priority="157479" stopIfTrue="1" operator="equal">
      <formula>-1</formula>
    </cfRule>
  </conditionalFormatting>
  <conditionalFormatting sqref="AX35">
    <cfRule type="cellIs" dxfId="24970" priority="157480" stopIfTrue="1" operator="lessThan">
      <formula>0.5</formula>
    </cfRule>
  </conditionalFormatting>
  <conditionalFormatting sqref="AX35">
    <cfRule type="cellIs" dxfId="24969" priority="157481" stopIfTrue="1" operator="greaterThanOrEqual">
      <formula>0.5</formula>
    </cfRule>
  </conditionalFormatting>
  <conditionalFormatting sqref="AX36">
    <cfRule type="cellIs" dxfId="24968" priority="157482" stopIfTrue="1" operator="equal">
      <formula>-1</formula>
    </cfRule>
  </conditionalFormatting>
  <conditionalFormatting sqref="AX36">
    <cfRule type="cellIs" dxfId="24967" priority="157483" stopIfTrue="1" operator="lessThan">
      <formula>0.5</formula>
    </cfRule>
  </conditionalFormatting>
  <conditionalFormatting sqref="AX36">
    <cfRule type="cellIs" dxfId="24966" priority="157484" stopIfTrue="1" operator="greaterThanOrEqual">
      <formula>0.5</formula>
    </cfRule>
  </conditionalFormatting>
  <conditionalFormatting sqref="AX37">
    <cfRule type="cellIs" dxfId="24965" priority="157485" stopIfTrue="1" operator="equal">
      <formula>-1</formula>
    </cfRule>
  </conditionalFormatting>
  <conditionalFormatting sqref="AX37">
    <cfRule type="cellIs" dxfId="24964" priority="157486" stopIfTrue="1" operator="lessThan">
      <formula>0.5</formula>
    </cfRule>
  </conditionalFormatting>
  <conditionalFormatting sqref="AX37">
    <cfRule type="cellIs" dxfId="24963" priority="157487" stopIfTrue="1" operator="greaterThanOrEqual">
      <formula>0.5</formula>
    </cfRule>
  </conditionalFormatting>
  <conditionalFormatting sqref="AZ17">
    <cfRule type="cellIs" dxfId="24962" priority="157488" stopIfTrue="1" operator="equal">
      <formula>-1</formula>
    </cfRule>
  </conditionalFormatting>
  <conditionalFormatting sqref="AZ17">
    <cfRule type="cellIs" dxfId="24961" priority="157489" stopIfTrue="1" operator="lessThan">
      <formula>0.5</formula>
    </cfRule>
  </conditionalFormatting>
  <conditionalFormatting sqref="AZ17">
    <cfRule type="cellIs" dxfId="24960" priority="157490" stopIfTrue="1" operator="greaterThanOrEqual">
      <formula>0.5</formula>
    </cfRule>
  </conditionalFormatting>
  <conditionalFormatting sqref="AZ18">
    <cfRule type="cellIs" dxfId="24959" priority="157491" stopIfTrue="1" operator="equal">
      <formula>-1</formula>
    </cfRule>
  </conditionalFormatting>
  <conditionalFormatting sqref="AZ18">
    <cfRule type="cellIs" dxfId="24958" priority="157492" stopIfTrue="1" operator="lessThan">
      <formula>0.5</formula>
    </cfRule>
  </conditionalFormatting>
  <conditionalFormatting sqref="AZ18">
    <cfRule type="cellIs" dxfId="24957" priority="157493" stopIfTrue="1" operator="greaterThanOrEqual">
      <formula>0.5</formula>
    </cfRule>
  </conditionalFormatting>
  <conditionalFormatting sqref="AZ19">
    <cfRule type="cellIs" dxfId="24956" priority="157494" stopIfTrue="1" operator="equal">
      <formula>-1</formula>
    </cfRule>
  </conditionalFormatting>
  <conditionalFormatting sqref="AZ19">
    <cfRule type="cellIs" dxfId="24955" priority="157495" stopIfTrue="1" operator="lessThan">
      <formula>0.5</formula>
    </cfRule>
  </conditionalFormatting>
  <conditionalFormatting sqref="AZ19">
    <cfRule type="cellIs" dxfId="24954" priority="157496" stopIfTrue="1" operator="greaterThanOrEqual">
      <formula>0.5</formula>
    </cfRule>
  </conditionalFormatting>
  <conditionalFormatting sqref="AZ20">
    <cfRule type="cellIs" dxfId="24953" priority="157497" stopIfTrue="1" operator="equal">
      <formula>-1</formula>
    </cfRule>
  </conditionalFormatting>
  <conditionalFormatting sqref="AZ20">
    <cfRule type="cellIs" dxfId="24952" priority="157498" stopIfTrue="1" operator="lessThan">
      <formula>0.5</formula>
    </cfRule>
  </conditionalFormatting>
  <conditionalFormatting sqref="AZ20">
    <cfRule type="cellIs" dxfId="24951" priority="157499" stopIfTrue="1" operator="greaterThanOrEqual">
      <formula>0.5</formula>
    </cfRule>
  </conditionalFormatting>
  <conditionalFormatting sqref="AZ21">
    <cfRule type="cellIs" dxfId="24950" priority="157500" stopIfTrue="1" operator="equal">
      <formula>-1</formula>
    </cfRule>
  </conditionalFormatting>
  <conditionalFormatting sqref="AZ21">
    <cfRule type="cellIs" dxfId="24949" priority="157501" stopIfTrue="1" operator="lessThan">
      <formula>0.5</formula>
    </cfRule>
  </conditionalFormatting>
  <conditionalFormatting sqref="AZ21">
    <cfRule type="cellIs" dxfId="24948" priority="157502" stopIfTrue="1" operator="greaterThanOrEqual">
      <formula>0.5</formula>
    </cfRule>
  </conditionalFormatting>
  <conditionalFormatting sqref="AZ22">
    <cfRule type="cellIs" dxfId="24947" priority="157503" stopIfTrue="1" operator="equal">
      <formula>-1</formula>
    </cfRule>
  </conditionalFormatting>
  <conditionalFormatting sqref="AZ22">
    <cfRule type="cellIs" dxfId="24946" priority="157504" stopIfTrue="1" operator="lessThan">
      <formula>0.5</formula>
    </cfRule>
  </conditionalFormatting>
  <conditionalFormatting sqref="AZ22">
    <cfRule type="cellIs" dxfId="24945" priority="157505" stopIfTrue="1" operator="greaterThanOrEqual">
      <formula>0.5</formula>
    </cfRule>
  </conditionalFormatting>
  <conditionalFormatting sqref="AZ23">
    <cfRule type="cellIs" dxfId="24944" priority="157506" stopIfTrue="1" operator="equal">
      <formula>-1</formula>
    </cfRule>
  </conditionalFormatting>
  <conditionalFormatting sqref="AZ23">
    <cfRule type="cellIs" dxfId="24943" priority="157507" stopIfTrue="1" operator="lessThan">
      <formula>0.5</formula>
    </cfRule>
  </conditionalFormatting>
  <conditionalFormatting sqref="AZ23">
    <cfRule type="cellIs" dxfId="24942" priority="157508" stopIfTrue="1" operator="greaterThanOrEqual">
      <formula>0.5</formula>
    </cfRule>
  </conditionalFormatting>
  <conditionalFormatting sqref="AZ24">
    <cfRule type="cellIs" dxfId="24941" priority="157509" stopIfTrue="1" operator="equal">
      <formula>-1</formula>
    </cfRule>
  </conditionalFormatting>
  <conditionalFormatting sqref="AZ24">
    <cfRule type="cellIs" dxfId="24940" priority="157510" stopIfTrue="1" operator="lessThan">
      <formula>0.5</formula>
    </cfRule>
  </conditionalFormatting>
  <conditionalFormatting sqref="AZ24">
    <cfRule type="cellIs" dxfId="24939" priority="157511" stopIfTrue="1" operator="greaterThanOrEqual">
      <formula>0.5</formula>
    </cfRule>
  </conditionalFormatting>
  <conditionalFormatting sqref="AZ25">
    <cfRule type="cellIs" dxfId="24938" priority="157512" stopIfTrue="1" operator="equal">
      <formula>-1</formula>
    </cfRule>
  </conditionalFormatting>
  <conditionalFormatting sqref="AZ25">
    <cfRule type="cellIs" dxfId="24937" priority="157513" stopIfTrue="1" operator="lessThan">
      <formula>0.5</formula>
    </cfRule>
  </conditionalFormatting>
  <conditionalFormatting sqref="AZ25">
    <cfRule type="cellIs" dxfId="24936" priority="157514" stopIfTrue="1" operator="greaterThanOrEqual">
      <formula>0.5</formula>
    </cfRule>
  </conditionalFormatting>
  <conditionalFormatting sqref="AZ26">
    <cfRule type="cellIs" dxfId="24935" priority="157515" stopIfTrue="1" operator="equal">
      <formula>-1</formula>
    </cfRule>
  </conditionalFormatting>
  <conditionalFormatting sqref="AZ26">
    <cfRule type="cellIs" dxfId="24934" priority="157516" stopIfTrue="1" operator="lessThan">
      <formula>0.5</formula>
    </cfRule>
  </conditionalFormatting>
  <conditionalFormatting sqref="AZ26">
    <cfRule type="cellIs" dxfId="24933" priority="157517" stopIfTrue="1" operator="greaterThanOrEqual">
      <formula>0.5</formula>
    </cfRule>
  </conditionalFormatting>
  <conditionalFormatting sqref="AZ27">
    <cfRule type="cellIs" dxfId="24932" priority="157518" stopIfTrue="1" operator="equal">
      <formula>-1</formula>
    </cfRule>
  </conditionalFormatting>
  <conditionalFormatting sqref="AZ27">
    <cfRule type="cellIs" dxfId="24931" priority="157519" stopIfTrue="1" operator="lessThan">
      <formula>0.5</formula>
    </cfRule>
  </conditionalFormatting>
  <conditionalFormatting sqref="AZ27">
    <cfRule type="cellIs" dxfId="24930" priority="157520" stopIfTrue="1" operator="greaterThanOrEqual">
      <formula>0.5</formula>
    </cfRule>
  </conditionalFormatting>
  <conditionalFormatting sqref="AZ28">
    <cfRule type="cellIs" dxfId="24929" priority="157521" stopIfTrue="1" operator="equal">
      <formula>-1</formula>
    </cfRule>
  </conditionalFormatting>
  <conditionalFormatting sqref="AZ28">
    <cfRule type="cellIs" dxfId="24928" priority="157522" stopIfTrue="1" operator="lessThan">
      <formula>0.5</formula>
    </cfRule>
  </conditionalFormatting>
  <conditionalFormatting sqref="AZ28">
    <cfRule type="cellIs" dxfId="24927" priority="157523" stopIfTrue="1" operator="greaterThanOrEqual">
      <formula>0.5</formula>
    </cfRule>
  </conditionalFormatting>
  <conditionalFormatting sqref="AZ29">
    <cfRule type="cellIs" dxfId="24926" priority="157524" stopIfTrue="1" operator="equal">
      <formula>-1</formula>
    </cfRule>
  </conditionalFormatting>
  <conditionalFormatting sqref="AZ29">
    <cfRule type="cellIs" dxfId="24925" priority="157525" stopIfTrue="1" operator="lessThan">
      <formula>0.5</formula>
    </cfRule>
  </conditionalFormatting>
  <conditionalFormatting sqref="AZ29">
    <cfRule type="cellIs" dxfId="24924" priority="157526" stopIfTrue="1" operator="greaterThanOrEqual">
      <formula>0.5</formula>
    </cfRule>
  </conditionalFormatting>
  <conditionalFormatting sqref="AZ30">
    <cfRule type="cellIs" dxfId="24923" priority="157527" stopIfTrue="1" operator="equal">
      <formula>-1</formula>
    </cfRule>
  </conditionalFormatting>
  <conditionalFormatting sqref="AZ30">
    <cfRule type="cellIs" dxfId="24922" priority="157528" stopIfTrue="1" operator="lessThan">
      <formula>0.5</formula>
    </cfRule>
  </conditionalFormatting>
  <conditionalFormatting sqref="AZ30">
    <cfRule type="cellIs" dxfId="24921" priority="157529" stopIfTrue="1" operator="greaterThanOrEqual">
      <formula>0.5</formula>
    </cfRule>
  </conditionalFormatting>
  <conditionalFormatting sqref="AZ31">
    <cfRule type="cellIs" dxfId="24920" priority="157530" stopIfTrue="1" operator="equal">
      <formula>-1</formula>
    </cfRule>
  </conditionalFormatting>
  <conditionalFormatting sqref="AZ31">
    <cfRule type="cellIs" dxfId="24919" priority="157531" stopIfTrue="1" operator="lessThan">
      <formula>0.5</formula>
    </cfRule>
  </conditionalFormatting>
  <conditionalFormatting sqref="AZ31">
    <cfRule type="cellIs" dxfId="24918" priority="157532" stopIfTrue="1" operator="greaterThanOrEqual">
      <formula>0.5</formula>
    </cfRule>
  </conditionalFormatting>
  <conditionalFormatting sqref="AZ32">
    <cfRule type="cellIs" dxfId="24917" priority="157533" stopIfTrue="1" operator="equal">
      <formula>-1</formula>
    </cfRule>
  </conditionalFormatting>
  <conditionalFormatting sqref="AZ32">
    <cfRule type="cellIs" dxfId="24916" priority="157534" stopIfTrue="1" operator="lessThan">
      <formula>0.5</formula>
    </cfRule>
  </conditionalFormatting>
  <conditionalFormatting sqref="AZ32">
    <cfRule type="cellIs" dxfId="24915" priority="157535" stopIfTrue="1" operator="greaterThanOrEqual">
      <formula>0.5</formula>
    </cfRule>
  </conditionalFormatting>
  <conditionalFormatting sqref="AZ33">
    <cfRule type="cellIs" dxfId="24914" priority="157536" stopIfTrue="1" operator="equal">
      <formula>-1</formula>
    </cfRule>
  </conditionalFormatting>
  <conditionalFormatting sqref="AZ33">
    <cfRule type="cellIs" dxfId="24913" priority="157537" stopIfTrue="1" operator="lessThan">
      <formula>0.5</formula>
    </cfRule>
  </conditionalFormatting>
  <conditionalFormatting sqref="AZ33">
    <cfRule type="cellIs" dxfId="24912" priority="157538" stopIfTrue="1" operator="greaterThanOrEqual">
      <formula>0.5</formula>
    </cfRule>
  </conditionalFormatting>
  <conditionalFormatting sqref="AZ34">
    <cfRule type="cellIs" dxfId="24911" priority="157539" stopIfTrue="1" operator="equal">
      <formula>-1</formula>
    </cfRule>
  </conditionalFormatting>
  <conditionalFormatting sqref="AZ34">
    <cfRule type="cellIs" dxfId="24910" priority="157540" stopIfTrue="1" operator="lessThan">
      <formula>0.5</formula>
    </cfRule>
  </conditionalFormatting>
  <conditionalFormatting sqref="AZ34">
    <cfRule type="cellIs" dxfId="24909" priority="157541" stopIfTrue="1" operator="greaterThanOrEqual">
      <formula>0.5</formula>
    </cfRule>
  </conditionalFormatting>
  <conditionalFormatting sqref="AZ35">
    <cfRule type="cellIs" dxfId="24908" priority="157542" stopIfTrue="1" operator="equal">
      <formula>-1</formula>
    </cfRule>
  </conditionalFormatting>
  <conditionalFormatting sqref="AZ35">
    <cfRule type="cellIs" dxfId="24907" priority="157543" stopIfTrue="1" operator="lessThan">
      <formula>0.5</formula>
    </cfRule>
  </conditionalFormatting>
  <conditionalFormatting sqref="AZ35">
    <cfRule type="cellIs" dxfId="24906" priority="157544" stopIfTrue="1" operator="greaterThanOrEqual">
      <formula>0.5</formula>
    </cfRule>
  </conditionalFormatting>
  <conditionalFormatting sqref="AZ36">
    <cfRule type="cellIs" dxfId="24905" priority="157545" stopIfTrue="1" operator="equal">
      <formula>-1</formula>
    </cfRule>
  </conditionalFormatting>
  <conditionalFormatting sqref="AZ36">
    <cfRule type="cellIs" dxfId="24904" priority="157546" stopIfTrue="1" operator="lessThan">
      <formula>0.5</formula>
    </cfRule>
  </conditionalFormatting>
  <conditionalFormatting sqref="AZ36">
    <cfRule type="cellIs" dxfId="24903" priority="157547" stopIfTrue="1" operator="greaterThanOrEqual">
      <formula>0.5</formula>
    </cfRule>
  </conditionalFormatting>
  <conditionalFormatting sqref="AZ37">
    <cfRule type="cellIs" dxfId="24902" priority="157548" stopIfTrue="1" operator="equal">
      <formula>-1</formula>
    </cfRule>
  </conditionalFormatting>
  <conditionalFormatting sqref="AZ37">
    <cfRule type="cellIs" dxfId="24901" priority="157549" stopIfTrue="1" operator="lessThan">
      <formula>0.5</formula>
    </cfRule>
  </conditionalFormatting>
  <conditionalFormatting sqref="AZ37">
    <cfRule type="cellIs" dxfId="24900" priority="157550" stopIfTrue="1" operator="greaterThanOrEqual">
      <formula>0.5</formula>
    </cfRule>
  </conditionalFormatting>
  <conditionalFormatting sqref="BB17">
    <cfRule type="cellIs" dxfId="24899" priority="157551" stopIfTrue="1" operator="equal">
      <formula>-1</formula>
    </cfRule>
  </conditionalFormatting>
  <conditionalFormatting sqref="BB17">
    <cfRule type="cellIs" dxfId="24898" priority="157552" stopIfTrue="1" operator="lessThan">
      <formula>0.5</formula>
    </cfRule>
  </conditionalFormatting>
  <conditionalFormatting sqref="BB17">
    <cfRule type="cellIs" dxfId="24897" priority="157553" stopIfTrue="1" operator="greaterThanOrEqual">
      <formula>0.5</formula>
    </cfRule>
  </conditionalFormatting>
  <conditionalFormatting sqref="BB18">
    <cfRule type="cellIs" dxfId="24896" priority="157554" stopIfTrue="1" operator="equal">
      <formula>-1</formula>
    </cfRule>
  </conditionalFormatting>
  <conditionalFormatting sqref="BB18">
    <cfRule type="cellIs" dxfId="24895" priority="157555" stopIfTrue="1" operator="lessThan">
      <formula>0.5</formula>
    </cfRule>
  </conditionalFormatting>
  <conditionalFormatting sqref="BB18">
    <cfRule type="cellIs" dxfId="24894" priority="157556" stopIfTrue="1" operator="greaterThanOrEqual">
      <formula>0.5</formula>
    </cfRule>
  </conditionalFormatting>
  <conditionalFormatting sqref="BB19">
    <cfRule type="cellIs" dxfId="24893" priority="157557" stopIfTrue="1" operator="equal">
      <formula>-1</formula>
    </cfRule>
  </conditionalFormatting>
  <conditionalFormatting sqref="BB19">
    <cfRule type="cellIs" dxfId="24892" priority="157558" stopIfTrue="1" operator="lessThan">
      <formula>0.5</formula>
    </cfRule>
  </conditionalFormatting>
  <conditionalFormatting sqref="BB19">
    <cfRule type="cellIs" dxfId="24891" priority="157559" stopIfTrue="1" operator="greaterThanOrEqual">
      <formula>0.5</formula>
    </cfRule>
  </conditionalFormatting>
  <conditionalFormatting sqref="BB20">
    <cfRule type="cellIs" dxfId="24890" priority="157560" stopIfTrue="1" operator="equal">
      <formula>-1</formula>
    </cfRule>
  </conditionalFormatting>
  <conditionalFormatting sqref="BB20">
    <cfRule type="cellIs" dxfId="24889" priority="157561" stopIfTrue="1" operator="lessThan">
      <formula>0.5</formula>
    </cfRule>
  </conditionalFormatting>
  <conditionalFormatting sqref="BB20">
    <cfRule type="cellIs" dxfId="24888" priority="157562" stopIfTrue="1" operator="greaterThanOrEqual">
      <formula>0.5</formula>
    </cfRule>
  </conditionalFormatting>
  <conditionalFormatting sqref="BB21">
    <cfRule type="cellIs" dxfId="24887" priority="157563" stopIfTrue="1" operator="equal">
      <formula>-1</formula>
    </cfRule>
  </conditionalFormatting>
  <conditionalFormatting sqref="BB21">
    <cfRule type="cellIs" dxfId="24886" priority="157564" stopIfTrue="1" operator="lessThan">
      <formula>0.5</formula>
    </cfRule>
  </conditionalFormatting>
  <conditionalFormatting sqref="BB21">
    <cfRule type="cellIs" dxfId="24885" priority="157565" stopIfTrue="1" operator="greaterThanOrEqual">
      <formula>0.5</formula>
    </cfRule>
  </conditionalFormatting>
  <conditionalFormatting sqref="BB22">
    <cfRule type="cellIs" dxfId="24884" priority="157566" stopIfTrue="1" operator="equal">
      <formula>-1</formula>
    </cfRule>
  </conditionalFormatting>
  <conditionalFormatting sqref="BB22">
    <cfRule type="cellIs" dxfId="24883" priority="157567" stopIfTrue="1" operator="lessThan">
      <formula>0.5</formula>
    </cfRule>
  </conditionalFormatting>
  <conditionalFormatting sqref="BB22">
    <cfRule type="cellIs" dxfId="24882" priority="157568" stopIfTrue="1" operator="greaterThanOrEqual">
      <formula>0.5</formula>
    </cfRule>
  </conditionalFormatting>
  <conditionalFormatting sqref="BB23">
    <cfRule type="cellIs" dxfId="24881" priority="157569" stopIfTrue="1" operator="equal">
      <formula>-1</formula>
    </cfRule>
  </conditionalFormatting>
  <conditionalFormatting sqref="BB23">
    <cfRule type="cellIs" dxfId="24880" priority="157570" stopIfTrue="1" operator="lessThan">
      <formula>0.5</formula>
    </cfRule>
  </conditionalFormatting>
  <conditionalFormatting sqref="BB23">
    <cfRule type="cellIs" dxfId="24879" priority="157571" stopIfTrue="1" operator="greaterThanOrEqual">
      <formula>0.5</formula>
    </cfRule>
  </conditionalFormatting>
  <conditionalFormatting sqref="BB24">
    <cfRule type="cellIs" dxfId="24878" priority="157572" stopIfTrue="1" operator="equal">
      <formula>-1</formula>
    </cfRule>
  </conditionalFormatting>
  <conditionalFormatting sqref="BB24">
    <cfRule type="cellIs" dxfId="24877" priority="157573" stopIfTrue="1" operator="lessThan">
      <formula>0.5</formula>
    </cfRule>
  </conditionalFormatting>
  <conditionalFormatting sqref="BB24">
    <cfRule type="cellIs" dxfId="24876" priority="157574" stopIfTrue="1" operator="greaterThanOrEqual">
      <formula>0.5</formula>
    </cfRule>
  </conditionalFormatting>
  <conditionalFormatting sqref="BB25">
    <cfRule type="cellIs" dxfId="24875" priority="157575" stopIfTrue="1" operator="equal">
      <formula>-1</formula>
    </cfRule>
  </conditionalFormatting>
  <conditionalFormatting sqref="BB25">
    <cfRule type="cellIs" dxfId="24874" priority="157576" stopIfTrue="1" operator="lessThan">
      <formula>0.5</formula>
    </cfRule>
  </conditionalFormatting>
  <conditionalFormatting sqref="BB25">
    <cfRule type="cellIs" dxfId="24873" priority="157577" stopIfTrue="1" operator="greaterThanOrEqual">
      <formula>0.5</formula>
    </cfRule>
  </conditionalFormatting>
  <conditionalFormatting sqref="BB26">
    <cfRule type="cellIs" dxfId="24872" priority="157578" stopIfTrue="1" operator="equal">
      <formula>-1</formula>
    </cfRule>
  </conditionalFormatting>
  <conditionalFormatting sqref="BB26">
    <cfRule type="cellIs" dxfId="24871" priority="157579" stopIfTrue="1" operator="lessThan">
      <formula>0.5</formula>
    </cfRule>
  </conditionalFormatting>
  <conditionalFormatting sqref="BB26">
    <cfRule type="cellIs" dxfId="24870" priority="157580" stopIfTrue="1" operator="greaterThanOrEqual">
      <formula>0.5</formula>
    </cfRule>
  </conditionalFormatting>
  <conditionalFormatting sqref="BB27">
    <cfRule type="cellIs" dxfId="24869" priority="157581" stopIfTrue="1" operator="equal">
      <formula>-1</formula>
    </cfRule>
  </conditionalFormatting>
  <conditionalFormatting sqref="BB27">
    <cfRule type="cellIs" dxfId="24868" priority="157582" stopIfTrue="1" operator="lessThan">
      <formula>0.5</formula>
    </cfRule>
  </conditionalFormatting>
  <conditionalFormatting sqref="BB27">
    <cfRule type="cellIs" dxfId="24867" priority="157583" stopIfTrue="1" operator="greaterThanOrEqual">
      <formula>0.5</formula>
    </cfRule>
  </conditionalFormatting>
  <conditionalFormatting sqref="BB28">
    <cfRule type="cellIs" dxfId="24866" priority="157584" stopIfTrue="1" operator="equal">
      <formula>-1</formula>
    </cfRule>
  </conditionalFormatting>
  <conditionalFormatting sqref="BB28">
    <cfRule type="cellIs" dxfId="24865" priority="157585" stopIfTrue="1" operator="lessThan">
      <formula>0.5</formula>
    </cfRule>
  </conditionalFormatting>
  <conditionalFormatting sqref="BB28">
    <cfRule type="cellIs" dxfId="24864" priority="157586" stopIfTrue="1" operator="greaterThanOrEqual">
      <formula>0.5</formula>
    </cfRule>
  </conditionalFormatting>
  <conditionalFormatting sqref="BB29">
    <cfRule type="cellIs" dxfId="24863" priority="157587" stopIfTrue="1" operator="equal">
      <formula>-1</formula>
    </cfRule>
  </conditionalFormatting>
  <conditionalFormatting sqref="BB29">
    <cfRule type="cellIs" dxfId="24862" priority="157588" stopIfTrue="1" operator="lessThan">
      <formula>0.5</formula>
    </cfRule>
  </conditionalFormatting>
  <conditionalFormatting sqref="BB29">
    <cfRule type="cellIs" dxfId="24861" priority="157589" stopIfTrue="1" operator="greaterThanOrEqual">
      <formula>0.5</formula>
    </cfRule>
  </conditionalFormatting>
  <conditionalFormatting sqref="BB30">
    <cfRule type="cellIs" dxfId="24860" priority="157590" stopIfTrue="1" operator="equal">
      <formula>-1</formula>
    </cfRule>
  </conditionalFormatting>
  <conditionalFormatting sqref="BB30">
    <cfRule type="cellIs" dxfId="24859" priority="157591" stopIfTrue="1" operator="lessThan">
      <formula>0.5</formula>
    </cfRule>
  </conditionalFormatting>
  <conditionalFormatting sqref="BB30">
    <cfRule type="cellIs" dxfId="24858" priority="157592" stopIfTrue="1" operator="greaterThanOrEqual">
      <formula>0.5</formula>
    </cfRule>
  </conditionalFormatting>
  <conditionalFormatting sqref="BB31">
    <cfRule type="cellIs" dxfId="24857" priority="157593" stopIfTrue="1" operator="equal">
      <formula>-1</formula>
    </cfRule>
  </conditionalFormatting>
  <conditionalFormatting sqref="BB31">
    <cfRule type="cellIs" dxfId="24856" priority="157594" stopIfTrue="1" operator="lessThan">
      <formula>0.5</formula>
    </cfRule>
  </conditionalFormatting>
  <conditionalFormatting sqref="BB31">
    <cfRule type="cellIs" dxfId="24855" priority="157595" stopIfTrue="1" operator="greaterThanOrEqual">
      <formula>0.5</formula>
    </cfRule>
  </conditionalFormatting>
  <conditionalFormatting sqref="BB32">
    <cfRule type="cellIs" dxfId="24854" priority="157596" stopIfTrue="1" operator="equal">
      <formula>-1</formula>
    </cfRule>
  </conditionalFormatting>
  <conditionalFormatting sqref="BB32">
    <cfRule type="cellIs" dxfId="24853" priority="157597" stopIfTrue="1" operator="lessThan">
      <formula>0.5</formula>
    </cfRule>
  </conditionalFormatting>
  <conditionalFormatting sqref="BB32">
    <cfRule type="cellIs" dxfId="24852" priority="157598" stopIfTrue="1" operator="greaterThanOrEqual">
      <formula>0.5</formula>
    </cfRule>
  </conditionalFormatting>
  <conditionalFormatting sqref="BB33">
    <cfRule type="cellIs" dxfId="24851" priority="157599" stopIfTrue="1" operator="equal">
      <formula>-1</formula>
    </cfRule>
  </conditionalFormatting>
  <conditionalFormatting sqref="BB33">
    <cfRule type="cellIs" dxfId="24850" priority="157600" stopIfTrue="1" operator="lessThan">
      <formula>0.5</formula>
    </cfRule>
  </conditionalFormatting>
  <conditionalFormatting sqref="BB33">
    <cfRule type="cellIs" dxfId="24849" priority="157601" stopIfTrue="1" operator="greaterThanOrEqual">
      <formula>0.5</formula>
    </cfRule>
  </conditionalFormatting>
  <conditionalFormatting sqref="BB34">
    <cfRule type="cellIs" dxfId="24848" priority="157602" stopIfTrue="1" operator="equal">
      <formula>-1</formula>
    </cfRule>
  </conditionalFormatting>
  <conditionalFormatting sqref="BB34">
    <cfRule type="cellIs" dxfId="24847" priority="157603" stopIfTrue="1" operator="lessThan">
      <formula>0.5</formula>
    </cfRule>
  </conditionalFormatting>
  <conditionalFormatting sqref="BB34">
    <cfRule type="cellIs" dxfId="24846" priority="157604" stopIfTrue="1" operator="greaterThanOrEqual">
      <formula>0.5</formula>
    </cfRule>
  </conditionalFormatting>
  <conditionalFormatting sqref="BB35">
    <cfRule type="cellIs" dxfId="24845" priority="157605" stopIfTrue="1" operator="equal">
      <formula>-1</formula>
    </cfRule>
  </conditionalFormatting>
  <conditionalFormatting sqref="BB35">
    <cfRule type="cellIs" dxfId="24844" priority="157606" stopIfTrue="1" operator="lessThan">
      <formula>0.5</formula>
    </cfRule>
  </conditionalFormatting>
  <conditionalFormatting sqref="BB35">
    <cfRule type="cellIs" dxfId="24843" priority="157607" stopIfTrue="1" operator="greaterThanOrEqual">
      <formula>0.5</formula>
    </cfRule>
  </conditionalFormatting>
  <conditionalFormatting sqref="BB36">
    <cfRule type="cellIs" dxfId="24842" priority="157608" stopIfTrue="1" operator="equal">
      <formula>-1</formula>
    </cfRule>
  </conditionalFormatting>
  <conditionalFormatting sqref="BB36">
    <cfRule type="cellIs" dxfId="24841" priority="157609" stopIfTrue="1" operator="lessThan">
      <formula>0.5</formula>
    </cfRule>
  </conditionalFormatting>
  <conditionalFormatting sqref="BB36">
    <cfRule type="cellIs" dxfId="24840" priority="157610" stopIfTrue="1" operator="greaterThanOrEqual">
      <formula>0.5</formula>
    </cfRule>
  </conditionalFormatting>
  <conditionalFormatting sqref="BB37">
    <cfRule type="cellIs" dxfId="24839" priority="157611" stopIfTrue="1" operator="equal">
      <formula>-1</formula>
    </cfRule>
  </conditionalFormatting>
  <conditionalFormatting sqref="BB37">
    <cfRule type="cellIs" dxfId="24838" priority="157612" stopIfTrue="1" operator="lessThan">
      <formula>0.5</formula>
    </cfRule>
  </conditionalFormatting>
  <conditionalFormatting sqref="BB37">
    <cfRule type="cellIs" dxfId="24837" priority="157613" stopIfTrue="1" operator="greaterThanOrEqual">
      <formula>0.5</formula>
    </cfRule>
  </conditionalFormatting>
  <conditionalFormatting sqref="BD17">
    <cfRule type="cellIs" dxfId="24836" priority="157614" stopIfTrue="1" operator="equal">
      <formula>-1</formula>
    </cfRule>
  </conditionalFormatting>
  <conditionalFormatting sqref="BD17">
    <cfRule type="cellIs" dxfId="24835" priority="157615" stopIfTrue="1" operator="lessThan">
      <formula>0.5</formula>
    </cfRule>
  </conditionalFormatting>
  <conditionalFormatting sqref="BD17">
    <cfRule type="cellIs" dxfId="24834" priority="157616" stopIfTrue="1" operator="greaterThanOrEqual">
      <formula>0.5</formula>
    </cfRule>
  </conditionalFormatting>
  <conditionalFormatting sqref="BD18">
    <cfRule type="cellIs" dxfId="24833" priority="157617" stopIfTrue="1" operator="equal">
      <formula>-1</formula>
    </cfRule>
  </conditionalFormatting>
  <conditionalFormatting sqref="BD18">
    <cfRule type="cellIs" dxfId="24832" priority="157618" stopIfTrue="1" operator="lessThan">
      <formula>0.5</formula>
    </cfRule>
  </conditionalFormatting>
  <conditionalFormatting sqref="BD18">
    <cfRule type="cellIs" dxfId="24831" priority="157619" stopIfTrue="1" operator="greaterThanOrEqual">
      <formula>0.5</formula>
    </cfRule>
  </conditionalFormatting>
  <conditionalFormatting sqref="BD19">
    <cfRule type="cellIs" dxfId="24830" priority="157620" stopIfTrue="1" operator="equal">
      <formula>-1</formula>
    </cfRule>
  </conditionalFormatting>
  <conditionalFormatting sqref="BD19">
    <cfRule type="cellIs" dxfId="24829" priority="157621" stopIfTrue="1" operator="lessThan">
      <formula>0.5</formula>
    </cfRule>
  </conditionalFormatting>
  <conditionalFormatting sqref="BD19">
    <cfRule type="cellIs" dxfId="24828" priority="157622" stopIfTrue="1" operator="greaterThanOrEqual">
      <formula>0.5</formula>
    </cfRule>
  </conditionalFormatting>
  <conditionalFormatting sqref="BD20">
    <cfRule type="cellIs" dxfId="24827" priority="157623" stopIfTrue="1" operator="equal">
      <formula>-1</formula>
    </cfRule>
  </conditionalFormatting>
  <conditionalFormatting sqref="BD20">
    <cfRule type="cellIs" dxfId="24826" priority="157624" stopIfTrue="1" operator="lessThan">
      <formula>0.5</formula>
    </cfRule>
  </conditionalFormatting>
  <conditionalFormatting sqref="BD20">
    <cfRule type="cellIs" dxfId="24825" priority="157625" stopIfTrue="1" operator="greaterThanOrEqual">
      <formula>0.5</formula>
    </cfRule>
  </conditionalFormatting>
  <conditionalFormatting sqref="BD21">
    <cfRule type="cellIs" dxfId="24824" priority="157626" stopIfTrue="1" operator="equal">
      <formula>-1</formula>
    </cfRule>
  </conditionalFormatting>
  <conditionalFormatting sqref="BD21">
    <cfRule type="cellIs" dxfId="24823" priority="157627" stopIfTrue="1" operator="lessThan">
      <formula>0.5</formula>
    </cfRule>
  </conditionalFormatting>
  <conditionalFormatting sqref="BD21">
    <cfRule type="cellIs" dxfId="24822" priority="157628" stopIfTrue="1" operator="greaterThanOrEqual">
      <formula>0.5</formula>
    </cfRule>
  </conditionalFormatting>
  <conditionalFormatting sqref="BD22">
    <cfRule type="cellIs" dxfId="24821" priority="157629" stopIfTrue="1" operator="equal">
      <formula>-1</formula>
    </cfRule>
  </conditionalFormatting>
  <conditionalFormatting sqref="BD22">
    <cfRule type="cellIs" dxfId="24820" priority="157630" stopIfTrue="1" operator="lessThan">
      <formula>0.5</formula>
    </cfRule>
  </conditionalFormatting>
  <conditionalFormatting sqref="BD22">
    <cfRule type="cellIs" dxfId="24819" priority="157631" stopIfTrue="1" operator="greaterThanOrEqual">
      <formula>0.5</formula>
    </cfRule>
  </conditionalFormatting>
  <conditionalFormatting sqref="BD23">
    <cfRule type="cellIs" dxfId="24818" priority="157632" stopIfTrue="1" operator="equal">
      <formula>-1</formula>
    </cfRule>
  </conditionalFormatting>
  <conditionalFormatting sqref="BD23">
    <cfRule type="cellIs" dxfId="24817" priority="157633" stopIfTrue="1" operator="lessThan">
      <formula>0.5</formula>
    </cfRule>
  </conditionalFormatting>
  <conditionalFormatting sqref="BD23">
    <cfRule type="cellIs" dxfId="24816" priority="157634" stopIfTrue="1" operator="greaterThanOrEqual">
      <formula>0.5</formula>
    </cfRule>
  </conditionalFormatting>
  <conditionalFormatting sqref="BD24">
    <cfRule type="cellIs" dxfId="24815" priority="157635" stopIfTrue="1" operator="equal">
      <formula>-1</formula>
    </cfRule>
  </conditionalFormatting>
  <conditionalFormatting sqref="BD24">
    <cfRule type="cellIs" dxfId="24814" priority="157636" stopIfTrue="1" operator="lessThan">
      <formula>0.5</formula>
    </cfRule>
  </conditionalFormatting>
  <conditionalFormatting sqref="BD24">
    <cfRule type="cellIs" dxfId="24813" priority="157637" stopIfTrue="1" operator="greaterThanOrEqual">
      <formula>0.5</formula>
    </cfRule>
  </conditionalFormatting>
  <conditionalFormatting sqref="BD25">
    <cfRule type="cellIs" dxfId="24812" priority="157638" stopIfTrue="1" operator="equal">
      <formula>-1</formula>
    </cfRule>
  </conditionalFormatting>
  <conditionalFormatting sqref="BD25">
    <cfRule type="cellIs" dxfId="24811" priority="157639" stopIfTrue="1" operator="lessThan">
      <formula>0.5</formula>
    </cfRule>
  </conditionalFormatting>
  <conditionalFormatting sqref="BD25">
    <cfRule type="cellIs" dxfId="24810" priority="157640" stopIfTrue="1" operator="greaterThanOrEqual">
      <formula>0.5</formula>
    </cfRule>
  </conditionalFormatting>
  <conditionalFormatting sqref="BD26">
    <cfRule type="cellIs" dxfId="24809" priority="157641" stopIfTrue="1" operator="equal">
      <formula>-1</formula>
    </cfRule>
  </conditionalFormatting>
  <conditionalFormatting sqref="BD26">
    <cfRule type="cellIs" dxfId="24808" priority="157642" stopIfTrue="1" operator="lessThan">
      <formula>0.5</formula>
    </cfRule>
  </conditionalFormatting>
  <conditionalFormatting sqref="BD26">
    <cfRule type="cellIs" dxfId="24807" priority="157643" stopIfTrue="1" operator="greaterThanOrEqual">
      <formula>0.5</formula>
    </cfRule>
  </conditionalFormatting>
  <conditionalFormatting sqref="BD27">
    <cfRule type="cellIs" dxfId="24806" priority="157644" stopIfTrue="1" operator="equal">
      <formula>-1</formula>
    </cfRule>
  </conditionalFormatting>
  <conditionalFormatting sqref="BD27">
    <cfRule type="cellIs" dxfId="24805" priority="157645" stopIfTrue="1" operator="lessThan">
      <formula>0.5</formula>
    </cfRule>
  </conditionalFormatting>
  <conditionalFormatting sqref="BD27">
    <cfRule type="cellIs" dxfId="24804" priority="157646" stopIfTrue="1" operator="greaterThanOrEqual">
      <formula>0.5</formula>
    </cfRule>
  </conditionalFormatting>
  <conditionalFormatting sqref="BD28">
    <cfRule type="cellIs" dxfId="24803" priority="157647" stopIfTrue="1" operator="equal">
      <formula>-1</formula>
    </cfRule>
  </conditionalFormatting>
  <conditionalFormatting sqref="BD28">
    <cfRule type="cellIs" dxfId="24802" priority="157648" stopIfTrue="1" operator="lessThan">
      <formula>0.5</formula>
    </cfRule>
  </conditionalFormatting>
  <conditionalFormatting sqref="BD28">
    <cfRule type="cellIs" dxfId="24801" priority="157649" stopIfTrue="1" operator="greaterThanOrEqual">
      <formula>0.5</formula>
    </cfRule>
  </conditionalFormatting>
  <conditionalFormatting sqref="BD29">
    <cfRule type="cellIs" dxfId="24800" priority="157650" stopIfTrue="1" operator="equal">
      <formula>-1</formula>
    </cfRule>
  </conditionalFormatting>
  <conditionalFormatting sqref="BD29">
    <cfRule type="cellIs" dxfId="24799" priority="157651" stopIfTrue="1" operator="lessThan">
      <formula>0.5</formula>
    </cfRule>
  </conditionalFormatting>
  <conditionalFormatting sqref="BD29">
    <cfRule type="cellIs" dxfId="24798" priority="157652" stopIfTrue="1" operator="greaterThanOrEqual">
      <formula>0.5</formula>
    </cfRule>
  </conditionalFormatting>
  <conditionalFormatting sqref="BD30">
    <cfRule type="cellIs" dxfId="24797" priority="157653" stopIfTrue="1" operator="equal">
      <formula>-1</formula>
    </cfRule>
  </conditionalFormatting>
  <conditionalFormatting sqref="BD30">
    <cfRule type="cellIs" dxfId="24796" priority="157654" stopIfTrue="1" operator="lessThan">
      <formula>0.5</formula>
    </cfRule>
  </conditionalFormatting>
  <conditionalFormatting sqref="BD30">
    <cfRule type="cellIs" dxfId="24795" priority="157655" stopIfTrue="1" operator="greaterThanOrEqual">
      <formula>0.5</formula>
    </cfRule>
  </conditionalFormatting>
  <conditionalFormatting sqref="BD31">
    <cfRule type="cellIs" dxfId="24794" priority="157656" stopIfTrue="1" operator="equal">
      <formula>-1</formula>
    </cfRule>
  </conditionalFormatting>
  <conditionalFormatting sqref="BD31">
    <cfRule type="cellIs" dxfId="24793" priority="157657" stopIfTrue="1" operator="lessThan">
      <formula>0.5</formula>
    </cfRule>
  </conditionalFormatting>
  <conditionalFormatting sqref="BD31">
    <cfRule type="cellIs" dxfId="24792" priority="157658" stopIfTrue="1" operator="greaterThanOrEqual">
      <formula>0.5</formula>
    </cfRule>
  </conditionalFormatting>
  <conditionalFormatting sqref="BD32">
    <cfRule type="cellIs" dxfId="24791" priority="157659" stopIfTrue="1" operator="equal">
      <formula>-1</formula>
    </cfRule>
  </conditionalFormatting>
  <conditionalFormatting sqref="BD32">
    <cfRule type="cellIs" dxfId="24790" priority="157660" stopIfTrue="1" operator="lessThan">
      <formula>0.5</formula>
    </cfRule>
  </conditionalFormatting>
  <conditionalFormatting sqref="BD32">
    <cfRule type="cellIs" dxfId="24789" priority="157661" stopIfTrue="1" operator="greaterThanOrEqual">
      <formula>0.5</formula>
    </cfRule>
  </conditionalFormatting>
  <conditionalFormatting sqref="BD33">
    <cfRule type="cellIs" dxfId="24788" priority="157662" stopIfTrue="1" operator="equal">
      <formula>-1</formula>
    </cfRule>
  </conditionalFormatting>
  <conditionalFormatting sqref="BD33">
    <cfRule type="cellIs" dxfId="24787" priority="157663" stopIfTrue="1" operator="lessThan">
      <formula>0.5</formula>
    </cfRule>
  </conditionalFormatting>
  <conditionalFormatting sqref="BD33">
    <cfRule type="cellIs" dxfId="24786" priority="157664" stopIfTrue="1" operator="greaterThanOrEqual">
      <formula>0.5</formula>
    </cfRule>
  </conditionalFormatting>
  <conditionalFormatting sqref="BD34">
    <cfRule type="cellIs" dxfId="24785" priority="157665" stopIfTrue="1" operator="equal">
      <formula>-1</formula>
    </cfRule>
  </conditionalFormatting>
  <conditionalFormatting sqref="BD34">
    <cfRule type="cellIs" dxfId="24784" priority="157666" stopIfTrue="1" operator="lessThan">
      <formula>0.5</formula>
    </cfRule>
  </conditionalFormatting>
  <conditionalFormatting sqref="BD34">
    <cfRule type="cellIs" dxfId="24783" priority="157667" stopIfTrue="1" operator="greaterThanOrEqual">
      <formula>0.5</formula>
    </cfRule>
  </conditionalFormatting>
  <conditionalFormatting sqref="BD35">
    <cfRule type="cellIs" dxfId="24782" priority="157668" stopIfTrue="1" operator="equal">
      <formula>-1</formula>
    </cfRule>
  </conditionalFormatting>
  <conditionalFormatting sqref="BD35">
    <cfRule type="cellIs" dxfId="24781" priority="157669" stopIfTrue="1" operator="lessThan">
      <formula>0.5</formula>
    </cfRule>
  </conditionalFormatting>
  <conditionalFormatting sqref="BD35">
    <cfRule type="cellIs" dxfId="24780" priority="157670" stopIfTrue="1" operator="greaterThanOrEqual">
      <formula>0.5</formula>
    </cfRule>
  </conditionalFormatting>
  <conditionalFormatting sqref="BD36">
    <cfRule type="cellIs" dxfId="24779" priority="157671" stopIfTrue="1" operator="equal">
      <formula>-1</formula>
    </cfRule>
  </conditionalFormatting>
  <conditionalFormatting sqref="BD36">
    <cfRule type="cellIs" dxfId="24778" priority="157672" stopIfTrue="1" operator="lessThan">
      <formula>0.5</formula>
    </cfRule>
  </conditionalFormatting>
  <conditionalFormatting sqref="BD36">
    <cfRule type="cellIs" dxfId="24777" priority="157673" stopIfTrue="1" operator="greaterThanOrEqual">
      <formula>0.5</formula>
    </cfRule>
  </conditionalFormatting>
  <conditionalFormatting sqref="BD37">
    <cfRule type="cellIs" dxfId="24776" priority="157674" stopIfTrue="1" operator="equal">
      <formula>-1</formula>
    </cfRule>
  </conditionalFormatting>
  <conditionalFormatting sqref="BD37">
    <cfRule type="cellIs" dxfId="24775" priority="157675" stopIfTrue="1" operator="lessThan">
      <formula>0.5</formula>
    </cfRule>
  </conditionalFormatting>
  <conditionalFormatting sqref="BD37">
    <cfRule type="cellIs" dxfId="24774" priority="157676" stopIfTrue="1" operator="greaterThanOrEqual">
      <formula>0.5</formula>
    </cfRule>
  </conditionalFormatting>
  <conditionalFormatting sqref="BF17">
    <cfRule type="cellIs" dxfId="24773" priority="157677" stopIfTrue="1" operator="equal">
      <formula>-1</formula>
    </cfRule>
  </conditionalFormatting>
  <conditionalFormatting sqref="BF17">
    <cfRule type="cellIs" dxfId="24772" priority="157678" stopIfTrue="1" operator="lessThan">
      <formula>0.5</formula>
    </cfRule>
  </conditionalFormatting>
  <conditionalFormatting sqref="BF17">
    <cfRule type="cellIs" dxfId="24771" priority="157679" stopIfTrue="1" operator="greaterThanOrEqual">
      <formula>0.5</formula>
    </cfRule>
  </conditionalFormatting>
  <conditionalFormatting sqref="BF18">
    <cfRule type="cellIs" dxfId="24770" priority="157680" stopIfTrue="1" operator="equal">
      <formula>-1</formula>
    </cfRule>
  </conditionalFormatting>
  <conditionalFormatting sqref="BF18">
    <cfRule type="cellIs" dxfId="24769" priority="157681" stopIfTrue="1" operator="lessThan">
      <formula>0.5</formula>
    </cfRule>
  </conditionalFormatting>
  <conditionalFormatting sqref="BF18">
    <cfRule type="cellIs" dxfId="24768" priority="157682" stopIfTrue="1" operator="greaterThanOrEqual">
      <formula>0.5</formula>
    </cfRule>
  </conditionalFormatting>
  <conditionalFormatting sqref="BF19">
    <cfRule type="cellIs" dxfId="24767" priority="157683" stopIfTrue="1" operator="equal">
      <formula>-1</formula>
    </cfRule>
  </conditionalFormatting>
  <conditionalFormatting sqref="BF19">
    <cfRule type="cellIs" dxfId="24766" priority="157684" stopIfTrue="1" operator="lessThan">
      <formula>0.5</formula>
    </cfRule>
  </conditionalFormatting>
  <conditionalFormatting sqref="BF19">
    <cfRule type="cellIs" dxfId="24765" priority="157685" stopIfTrue="1" operator="greaterThanOrEqual">
      <formula>0.5</formula>
    </cfRule>
  </conditionalFormatting>
  <conditionalFormatting sqref="BF20">
    <cfRule type="cellIs" dxfId="24764" priority="157686" stopIfTrue="1" operator="equal">
      <formula>-1</formula>
    </cfRule>
  </conditionalFormatting>
  <conditionalFormatting sqref="BF20">
    <cfRule type="cellIs" dxfId="24763" priority="157687" stopIfTrue="1" operator="lessThan">
      <formula>0.5</formula>
    </cfRule>
  </conditionalFormatting>
  <conditionalFormatting sqref="BF20">
    <cfRule type="cellIs" dxfId="24762" priority="157688" stopIfTrue="1" operator="greaterThanOrEqual">
      <formula>0.5</formula>
    </cfRule>
  </conditionalFormatting>
  <conditionalFormatting sqref="BF21">
    <cfRule type="cellIs" dxfId="24761" priority="157689" stopIfTrue="1" operator="equal">
      <formula>-1</formula>
    </cfRule>
  </conditionalFormatting>
  <conditionalFormatting sqref="BF21">
    <cfRule type="cellIs" dxfId="24760" priority="157690" stopIfTrue="1" operator="lessThan">
      <formula>0.5</formula>
    </cfRule>
  </conditionalFormatting>
  <conditionalFormatting sqref="BF21">
    <cfRule type="cellIs" dxfId="24759" priority="157691" stopIfTrue="1" operator="greaterThanOrEqual">
      <formula>0.5</formula>
    </cfRule>
  </conditionalFormatting>
  <conditionalFormatting sqref="BF22">
    <cfRule type="cellIs" dxfId="24758" priority="157692" stopIfTrue="1" operator="equal">
      <formula>-1</formula>
    </cfRule>
  </conditionalFormatting>
  <conditionalFormatting sqref="BF22">
    <cfRule type="cellIs" dxfId="24757" priority="157693" stopIfTrue="1" operator="lessThan">
      <formula>0.5</formula>
    </cfRule>
  </conditionalFormatting>
  <conditionalFormatting sqref="BF22">
    <cfRule type="cellIs" dxfId="24756" priority="157694" stopIfTrue="1" operator="greaterThanOrEqual">
      <formula>0.5</formula>
    </cfRule>
  </conditionalFormatting>
  <conditionalFormatting sqref="BF23">
    <cfRule type="cellIs" dxfId="24755" priority="157695" stopIfTrue="1" operator="equal">
      <formula>-1</formula>
    </cfRule>
  </conditionalFormatting>
  <conditionalFormatting sqref="BF23">
    <cfRule type="cellIs" dxfId="24754" priority="157696" stopIfTrue="1" operator="lessThan">
      <formula>0.5</formula>
    </cfRule>
  </conditionalFormatting>
  <conditionalFormatting sqref="BF23">
    <cfRule type="cellIs" dxfId="24753" priority="157697" stopIfTrue="1" operator="greaterThanOrEqual">
      <formula>0.5</formula>
    </cfRule>
  </conditionalFormatting>
  <conditionalFormatting sqref="BF24">
    <cfRule type="cellIs" dxfId="24752" priority="157698" stopIfTrue="1" operator="equal">
      <formula>-1</formula>
    </cfRule>
  </conditionalFormatting>
  <conditionalFormatting sqref="BF24">
    <cfRule type="cellIs" dxfId="24751" priority="157699" stopIfTrue="1" operator="lessThan">
      <formula>0.5</formula>
    </cfRule>
  </conditionalFormatting>
  <conditionalFormatting sqref="BF24">
    <cfRule type="cellIs" dxfId="24750" priority="157700" stopIfTrue="1" operator="greaterThanOrEqual">
      <formula>0.5</formula>
    </cfRule>
  </conditionalFormatting>
  <conditionalFormatting sqref="BF25">
    <cfRule type="cellIs" dxfId="24749" priority="157701" stopIfTrue="1" operator="equal">
      <formula>-1</formula>
    </cfRule>
  </conditionalFormatting>
  <conditionalFormatting sqref="BF25">
    <cfRule type="cellIs" dxfId="24748" priority="157702" stopIfTrue="1" operator="lessThan">
      <formula>0.5</formula>
    </cfRule>
  </conditionalFormatting>
  <conditionalFormatting sqref="BF25">
    <cfRule type="cellIs" dxfId="24747" priority="157703" stopIfTrue="1" operator="greaterThanOrEqual">
      <formula>0.5</formula>
    </cfRule>
  </conditionalFormatting>
  <conditionalFormatting sqref="BF26">
    <cfRule type="cellIs" dxfId="24746" priority="157704" stopIfTrue="1" operator="equal">
      <formula>-1</formula>
    </cfRule>
  </conditionalFormatting>
  <conditionalFormatting sqref="BF26">
    <cfRule type="cellIs" dxfId="24745" priority="157705" stopIfTrue="1" operator="lessThan">
      <formula>0.5</formula>
    </cfRule>
  </conditionalFormatting>
  <conditionalFormatting sqref="BF26">
    <cfRule type="cellIs" dxfId="24744" priority="157706" stopIfTrue="1" operator="greaterThanOrEqual">
      <formula>0.5</formula>
    </cfRule>
  </conditionalFormatting>
  <conditionalFormatting sqref="BF27">
    <cfRule type="cellIs" dxfId="24743" priority="157707" stopIfTrue="1" operator="equal">
      <formula>-1</formula>
    </cfRule>
  </conditionalFormatting>
  <conditionalFormatting sqref="BF27">
    <cfRule type="cellIs" dxfId="24742" priority="157708" stopIfTrue="1" operator="lessThan">
      <formula>0.5</formula>
    </cfRule>
  </conditionalFormatting>
  <conditionalFormatting sqref="BF27">
    <cfRule type="cellIs" dxfId="24741" priority="157709" stopIfTrue="1" operator="greaterThanOrEqual">
      <formula>0.5</formula>
    </cfRule>
  </conditionalFormatting>
  <conditionalFormatting sqref="BF28">
    <cfRule type="cellIs" dxfId="24740" priority="157710" stopIfTrue="1" operator="equal">
      <formula>-1</formula>
    </cfRule>
  </conditionalFormatting>
  <conditionalFormatting sqref="BF28">
    <cfRule type="cellIs" dxfId="24739" priority="157711" stopIfTrue="1" operator="lessThan">
      <formula>0.5</formula>
    </cfRule>
  </conditionalFormatting>
  <conditionalFormatting sqref="BF28">
    <cfRule type="cellIs" dxfId="24738" priority="157712" stopIfTrue="1" operator="greaterThanOrEqual">
      <formula>0.5</formula>
    </cfRule>
  </conditionalFormatting>
  <conditionalFormatting sqref="BF29">
    <cfRule type="cellIs" dxfId="24737" priority="157713" stopIfTrue="1" operator="equal">
      <formula>-1</formula>
    </cfRule>
  </conditionalFormatting>
  <conditionalFormatting sqref="BF29">
    <cfRule type="cellIs" dxfId="24736" priority="157714" stopIfTrue="1" operator="lessThan">
      <formula>0.5</formula>
    </cfRule>
  </conditionalFormatting>
  <conditionalFormatting sqref="BF29">
    <cfRule type="cellIs" dxfId="24735" priority="157715" stopIfTrue="1" operator="greaterThanOrEqual">
      <formula>0.5</formula>
    </cfRule>
  </conditionalFormatting>
  <conditionalFormatting sqref="BF30">
    <cfRule type="cellIs" dxfId="24734" priority="157716" stopIfTrue="1" operator="equal">
      <formula>-1</formula>
    </cfRule>
  </conditionalFormatting>
  <conditionalFormatting sqref="BF30">
    <cfRule type="cellIs" dxfId="24733" priority="157717" stopIfTrue="1" operator="lessThan">
      <formula>0.5</formula>
    </cfRule>
  </conditionalFormatting>
  <conditionalFormatting sqref="BF30">
    <cfRule type="cellIs" dxfId="24732" priority="157718" stopIfTrue="1" operator="greaterThanOrEqual">
      <formula>0.5</formula>
    </cfRule>
  </conditionalFormatting>
  <conditionalFormatting sqref="BF31">
    <cfRule type="cellIs" dxfId="24731" priority="157719" stopIfTrue="1" operator="equal">
      <formula>-1</formula>
    </cfRule>
  </conditionalFormatting>
  <conditionalFormatting sqref="BF31">
    <cfRule type="cellIs" dxfId="24730" priority="157720" stopIfTrue="1" operator="lessThan">
      <formula>0.5</formula>
    </cfRule>
  </conditionalFormatting>
  <conditionalFormatting sqref="BF31">
    <cfRule type="cellIs" dxfId="24729" priority="157721" stopIfTrue="1" operator="greaterThanOrEqual">
      <formula>0.5</formula>
    </cfRule>
  </conditionalFormatting>
  <conditionalFormatting sqref="BF32">
    <cfRule type="cellIs" dxfId="24728" priority="157722" stopIfTrue="1" operator="equal">
      <formula>-1</formula>
    </cfRule>
  </conditionalFormatting>
  <conditionalFormatting sqref="BF32">
    <cfRule type="cellIs" dxfId="24727" priority="157723" stopIfTrue="1" operator="lessThan">
      <formula>0.5</formula>
    </cfRule>
  </conditionalFormatting>
  <conditionalFormatting sqref="BF32">
    <cfRule type="cellIs" dxfId="24726" priority="157724" stopIfTrue="1" operator="greaterThanOrEqual">
      <formula>0.5</formula>
    </cfRule>
  </conditionalFormatting>
  <conditionalFormatting sqref="BF33">
    <cfRule type="cellIs" dxfId="24725" priority="157725" stopIfTrue="1" operator="equal">
      <formula>-1</formula>
    </cfRule>
  </conditionalFormatting>
  <conditionalFormatting sqref="BF33">
    <cfRule type="cellIs" dxfId="24724" priority="157726" stopIfTrue="1" operator="lessThan">
      <formula>0.5</formula>
    </cfRule>
  </conditionalFormatting>
  <conditionalFormatting sqref="BF33">
    <cfRule type="cellIs" dxfId="24723" priority="157727" stopIfTrue="1" operator="greaterThanOrEqual">
      <formula>0.5</formula>
    </cfRule>
  </conditionalFormatting>
  <conditionalFormatting sqref="BF34">
    <cfRule type="cellIs" dxfId="24722" priority="157728" stopIfTrue="1" operator="equal">
      <formula>-1</formula>
    </cfRule>
  </conditionalFormatting>
  <conditionalFormatting sqref="BF34">
    <cfRule type="cellIs" dxfId="24721" priority="157729" stopIfTrue="1" operator="lessThan">
      <formula>0.5</formula>
    </cfRule>
  </conditionalFormatting>
  <conditionalFormatting sqref="BF34">
    <cfRule type="cellIs" dxfId="24720" priority="157730" stopIfTrue="1" operator="greaterThanOrEqual">
      <formula>0.5</formula>
    </cfRule>
  </conditionalFormatting>
  <conditionalFormatting sqref="BF35">
    <cfRule type="cellIs" dxfId="24719" priority="157731" stopIfTrue="1" operator="equal">
      <formula>-1</formula>
    </cfRule>
  </conditionalFormatting>
  <conditionalFormatting sqref="BF35">
    <cfRule type="cellIs" dxfId="24718" priority="157732" stopIfTrue="1" operator="lessThan">
      <formula>0.5</formula>
    </cfRule>
  </conditionalFormatting>
  <conditionalFormatting sqref="BF35">
    <cfRule type="cellIs" dxfId="24717" priority="157733" stopIfTrue="1" operator="greaterThanOrEqual">
      <formula>0.5</formula>
    </cfRule>
  </conditionalFormatting>
  <conditionalFormatting sqref="BF36">
    <cfRule type="cellIs" dxfId="24716" priority="157734" stopIfTrue="1" operator="equal">
      <formula>-1</formula>
    </cfRule>
  </conditionalFormatting>
  <conditionalFormatting sqref="BF36">
    <cfRule type="cellIs" dxfId="24715" priority="157735" stopIfTrue="1" operator="lessThan">
      <formula>0.5</formula>
    </cfRule>
  </conditionalFormatting>
  <conditionalFormatting sqref="BF36">
    <cfRule type="cellIs" dxfId="24714" priority="157736" stopIfTrue="1" operator="greaterThanOrEqual">
      <formula>0.5</formula>
    </cfRule>
  </conditionalFormatting>
  <conditionalFormatting sqref="BF37">
    <cfRule type="cellIs" dxfId="24713" priority="157737" stopIfTrue="1" operator="equal">
      <formula>-1</formula>
    </cfRule>
  </conditionalFormatting>
  <conditionalFormatting sqref="BF37">
    <cfRule type="cellIs" dxfId="24712" priority="157738" stopIfTrue="1" operator="lessThan">
      <formula>0.5</formula>
    </cfRule>
  </conditionalFormatting>
  <conditionalFormatting sqref="BF37">
    <cfRule type="cellIs" dxfId="24711" priority="157739" stopIfTrue="1" operator="greaterThanOrEqual">
      <formula>0.5</formula>
    </cfRule>
  </conditionalFormatting>
  <conditionalFormatting sqref="BH17">
    <cfRule type="cellIs" dxfId="24710" priority="157740" stopIfTrue="1" operator="equal">
      <formula>-1</formula>
    </cfRule>
  </conditionalFormatting>
  <conditionalFormatting sqref="BH17">
    <cfRule type="cellIs" dxfId="24709" priority="157741" stopIfTrue="1" operator="lessThan">
      <formula>0.5</formula>
    </cfRule>
  </conditionalFormatting>
  <conditionalFormatting sqref="BH17">
    <cfRule type="cellIs" dxfId="24708" priority="157742" stopIfTrue="1" operator="greaterThanOrEqual">
      <formula>0.5</formula>
    </cfRule>
  </conditionalFormatting>
  <conditionalFormatting sqref="BH18">
    <cfRule type="cellIs" dxfId="24707" priority="157743" stopIfTrue="1" operator="equal">
      <formula>-1</formula>
    </cfRule>
  </conditionalFormatting>
  <conditionalFormatting sqref="BH18">
    <cfRule type="cellIs" dxfId="24706" priority="157744" stopIfTrue="1" operator="lessThan">
      <formula>0.5</formula>
    </cfRule>
  </conditionalFormatting>
  <conditionalFormatting sqref="BH18">
    <cfRule type="cellIs" dxfId="24705" priority="157745" stopIfTrue="1" operator="greaterThanOrEqual">
      <formula>0.5</formula>
    </cfRule>
  </conditionalFormatting>
  <conditionalFormatting sqref="BH19">
    <cfRule type="cellIs" dxfId="24704" priority="157746" stopIfTrue="1" operator="equal">
      <formula>-1</formula>
    </cfRule>
  </conditionalFormatting>
  <conditionalFormatting sqref="BH19">
    <cfRule type="cellIs" dxfId="24703" priority="157747" stopIfTrue="1" operator="lessThan">
      <formula>0.5</formula>
    </cfRule>
  </conditionalFormatting>
  <conditionalFormatting sqref="BH19">
    <cfRule type="cellIs" dxfId="24702" priority="157748" stopIfTrue="1" operator="greaterThanOrEqual">
      <formula>0.5</formula>
    </cfRule>
  </conditionalFormatting>
  <conditionalFormatting sqref="BH20">
    <cfRule type="cellIs" dxfId="24701" priority="157749" stopIfTrue="1" operator="equal">
      <formula>-1</formula>
    </cfRule>
  </conditionalFormatting>
  <conditionalFormatting sqref="BH20">
    <cfRule type="cellIs" dxfId="24700" priority="157750" stopIfTrue="1" operator="lessThan">
      <formula>0.5</formula>
    </cfRule>
  </conditionalFormatting>
  <conditionalFormatting sqref="BH20">
    <cfRule type="cellIs" dxfId="24699" priority="157751" stopIfTrue="1" operator="greaterThanOrEqual">
      <formula>0.5</formula>
    </cfRule>
  </conditionalFormatting>
  <conditionalFormatting sqref="BH21">
    <cfRule type="cellIs" dxfId="24698" priority="157752" stopIfTrue="1" operator="equal">
      <formula>-1</formula>
    </cfRule>
  </conditionalFormatting>
  <conditionalFormatting sqref="BH21">
    <cfRule type="cellIs" dxfId="24697" priority="157753" stopIfTrue="1" operator="lessThan">
      <formula>0.5</formula>
    </cfRule>
  </conditionalFormatting>
  <conditionalFormatting sqref="BH21">
    <cfRule type="cellIs" dxfId="24696" priority="157754" stopIfTrue="1" operator="greaterThanOrEqual">
      <formula>0.5</formula>
    </cfRule>
  </conditionalFormatting>
  <conditionalFormatting sqref="BH22">
    <cfRule type="cellIs" dxfId="24695" priority="157755" stopIfTrue="1" operator="equal">
      <formula>-1</formula>
    </cfRule>
  </conditionalFormatting>
  <conditionalFormatting sqref="BH22">
    <cfRule type="cellIs" dxfId="24694" priority="157756" stopIfTrue="1" operator="lessThan">
      <formula>0.5</formula>
    </cfRule>
  </conditionalFormatting>
  <conditionalFormatting sqref="BH22">
    <cfRule type="cellIs" dxfId="24693" priority="157757" stopIfTrue="1" operator="greaterThanOrEqual">
      <formula>0.5</formula>
    </cfRule>
  </conditionalFormatting>
  <conditionalFormatting sqref="BH23">
    <cfRule type="cellIs" dxfId="24692" priority="157758" stopIfTrue="1" operator="equal">
      <formula>-1</formula>
    </cfRule>
  </conditionalFormatting>
  <conditionalFormatting sqref="BH23">
    <cfRule type="cellIs" dxfId="24691" priority="157759" stopIfTrue="1" operator="lessThan">
      <formula>0.5</formula>
    </cfRule>
  </conditionalFormatting>
  <conditionalFormatting sqref="BH23">
    <cfRule type="cellIs" dxfId="24690" priority="157760" stopIfTrue="1" operator="greaterThanOrEqual">
      <formula>0.5</formula>
    </cfRule>
  </conditionalFormatting>
  <conditionalFormatting sqref="BH24">
    <cfRule type="cellIs" dxfId="24689" priority="157761" stopIfTrue="1" operator="equal">
      <formula>-1</formula>
    </cfRule>
  </conditionalFormatting>
  <conditionalFormatting sqref="BH24">
    <cfRule type="cellIs" dxfId="24688" priority="157762" stopIfTrue="1" operator="lessThan">
      <formula>0.5</formula>
    </cfRule>
  </conditionalFormatting>
  <conditionalFormatting sqref="BH24">
    <cfRule type="cellIs" dxfId="24687" priority="157763" stopIfTrue="1" operator="greaterThanOrEqual">
      <formula>0.5</formula>
    </cfRule>
  </conditionalFormatting>
  <conditionalFormatting sqref="BH25">
    <cfRule type="cellIs" dxfId="24686" priority="157764" stopIfTrue="1" operator="equal">
      <formula>-1</formula>
    </cfRule>
  </conditionalFormatting>
  <conditionalFormatting sqref="BH25">
    <cfRule type="cellIs" dxfId="24685" priority="157765" stopIfTrue="1" operator="lessThan">
      <formula>0.5</formula>
    </cfRule>
  </conditionalFormatting>
  <conditionalFormatting sqref="BH25">
    <cfRule type="cellIs" dxfId="24684" priority="157766" stopIfTrue="1" operator="greaterThanOrEqual">
      <formula>0.5</formula>
    </cfRule>
  </conditionalFormatting>
  <conditionalFormatting sqref="BH26">
    <cfRule type="cellIs" dxfId="24683" priority="157767" stopIfTrue="1" operator="equal">
      <formula>-1</formula>
    </cfRule>
  </conditionalFormatting>
  <conditionalFormatting sqref="BH26">
    <cfRule type="cellIs" dxfId="24682" priority="157768" stopIfTrue="1" operator="lessThan">
      <formula>0.5</formula>
    </cfRule>
  </conditionalFormatting>
  <conditionalFormatting sqref="BH26">
    <cfRule type="cellIs" dxfId="24681" priority="157769" stopIfTrue="1" operator="greaterThanOrEqual">
      <formula>0.5</formula>
    </cfRule>
  </conditionalFormatting>
  <conditionalFormatting sqref="BH27">
    <cfRule type="cellIs" dxfId="24680" priority="157770" stopIfTrue="1" operator="equal">
      <formula>-1</formula>
    </cfRule>
  </conditionalFormatting>
  <conditionalFormatting sqref="BH27">
    <cfRule type="cellIs" dxfId="24679" priority="157771" stopIfTrue="1" operator="lessThan">
      <formula>0.5</formula>
    </cfRule>
  </conditionalFormatting>
  <conditionalFormatting sqref="BH27">
    <cfRule type="cellIs" dxfId="24678" priority="157772" stopIfTrue="1" operator="greaterThanOrEqual">
      <formula>0.5</formula>
    </cfRule>
  </conditionalFormatting>
  <conditionalFormatting sqref="BH28">
    <cfRule type="cellIs" dxfId="24677" priority="157773" stopIfTrue="1" operator="equal">
      <formula>-1</formula>
    </cfRule>
  </conditionalFormatting>
  <conditionalFormatting sqref="BH28">
    <cfRule type="cellIs" dxfId="24676" priority="157774" stopIfTrue="1" operator="lessThan">
      <formula>0.5</formula>
    </cfRule>
  </conditionalFormatting>
  <conditionalFormatting sqref="BH28">
    <cfRule type="cellIs" dxfId="24675" priority="157775" stopIfTrue="1" operator="greaterThanOrEqual">
      <formula>0.5</formula>
    </cfRule>
  </conditionalFormatting>
  <conditionalFormatting sqref="BH29">
    <cfRule type="cellIs" dxfId="24674" priority="157776" stopIfTrue="1" operator="equal">
      <formula>-1</formula>
    </cfRule>
  </conditionalFormatting>
  <conditionalFormatting sqref="BH29">
    <cfRule type="cellIs" dxfId="24673" priority="157777" stopIfTrue="1" operator="lessThan">
      <formula>0.5</formula>
    </cfRule>
  </conditionalFormatting>
  <conditionalFormatting sqref="BH29">
    <cfRule type="cellIs" dxfId="24672" priority="157778" stopIfTrue="1" operator="greaterThanOrEqual">
      <formula>0.5</formula>
    </cfRule>
  </conditionalFormatting>
  <conditionalFormatting sqref="BH30">
    <cfRule type="cellIs" dxfId="24671" priority="157779" stopIfTrue="1" operator="equal">
      <formula>-1</formula>
    </cfRule>
  </conditionalFormatting>
  <conditionalFormatting sqref="BH30">
    <cfRule type="cellIs" dxfId="24670" priority="157780" stopIfTrue="1" operator="lessThan">
      <formula>0.5</formula>
    </cfRule>
  </conditionalFormatting>
  <conditionalFormatting sqref="BH30">
    <cfRule type="cellIs" dxfId="24669" priority="157781" stopIfTrue="1" operator="greaterThanOrEqual">
      <formula>0.5</formula>
    </cfRule>
  </conditionalFormatting>
  <conditionalFormatting sqref="BH31">
    <cfRule type="cellIs" dxfId="24668" priority="157782" stopIfTrue="1" operator="equal">
      <formula>-1</formula>
    </cfRule>
  </conditionalFormatting>
  <conditionalFormatting sqref="BH31">
    <cfRule type="cellIs" dxfId="24667" priority="157783" stopIfTrue="1" operator="lessThan">
      <formula>0.5</formula>
    </cfRule>
  </conditionalFormatting>
  <conditionalFormatting sqref="BH31">
    <cfRule type="cellIs" dxfId="24666" priority="157784" stopIfTrue="1" operator="greaterThanOrEqual">
      <formula>0.5</formula>
    </cfRule>
  </conditionalFormatting>
  <conditionalFormatting sqref="BH32">
    <cfRule type="cellIs" dxfId="24665" priority="157785" stopIfTrue="1" operator="equal">
      <formula>-1</formula>
    </cfRule>
  </conditionalFormatting>
  <conditionalFormatting sqref="BH32">
    <cfRule type="cellIs" dxfId="24664" priority="157786" stopIfTrue="1" operator="lessThan">
      <formula>0.5</formula>
    </cfRule>
  </conditionalFormatting>
  <conditionalFormatting sqref="BH32">
    <cfRule type="cellIs" dxfId="24663" priority="157787" stopIfTrue="1" operator="greaterThanOrEqual">
      <formula>0.5</formula>
    </cfRule>
  </conditionalFormatting>
  <conditionalFormatting sqref="BH33">
    <cfRule type="cellIs" dxfId="24662" priority="157788" stopIfTrue="1" operator="equal">
      <formula>-1</formula>
    </cfRule>
  </conditionalFormatting>
  <conditionalFormatting sqref="BH33">
    <cfRule type="cellIs" dxfId="24661" priority="157789" stopIfTrue="1" operator="lessThan">
      <formula>0.5</formula>
    </cfRule>
  </conditionalFormatting>
  <conditionalFormatting sqref="BH33">
    <cfRule type="cellIs" dxfId="24660" priority="157790" stopIfTrue="1" operator="greaterThanOrEqual">
      <formula>0.5</formula>
    </cfRule>
  </conditionalFormatting>
  <conditionalFormatting sqref="BH34">
    <cfRule type="cellIs" dxfId="24659" priority="157791" stopIfTrue="1" operator="equal">
      <formula>-1</formula>
    </cfRule>
  </conditionalFormatting>
  <conditionalFormatting sqref="BH34">
    <cfRule type="cellIs" dxfId="24658" priority="157792" stopIfTrue="1" operator="lessThan">
      <formula>0.5</formula>
    </cfRule>
  </conditionalFormatting>
  <conditionalFormatting sqref="BH34">
    <cfRule type="cellIs" dxfId="24657" priority="157793" stopIfTrue="1" operator="greaterThanOrEqual">
      <formula>0.5</formula>
    </cfRule>
  </conditionalFormatting>
  <conditionalFormatting sqref="BH35">
    <cfRule type="cellIs" dxfId="24656" priority="157794" stopIfTrue="1" operator="equal">
      <formula>-1</formula>
    </cfRule>
  </conditionalFormatting>
  <conditionalFormatting sqref="BH35">
    <cfRule type="cellIs" dxfId="24655" priority="157795" stopIfTrue="1" operator="lessThan">
      <formula>0.5</formula>
    </cfRule>
  </conditionalFormatting>
  <conditionalFormatting sqref="BH35">
    <cfRule type="cellIs" dxfId="24654" priority="157796" stopIfTrue="1" operator="greaterThanOrEqual">
      <formula>0.5</formula>
    </cfRule>
  </conditionalFormatting>
  <conditionalFormatting sqref="BH36">
    <cfRule type="cellIs" dxfId="24653" priority="157797" stopIfTrue="1" operator="equal">
      <formula>-1</formula>
    </cfRule>
  </conditionalFormatting>
  <conditionalFormatting sqref="BH36">
    <cfRule type="cellIs" dxfId="24652" priority="157798" stopIfTrue="1" operator="lessThan">
      <formula>0.5</formula>
    </cfRule>
  </conditionalFormatting>
  <conditionalFormatting sqref="BH36">
    <cfRule type="cellIs" dxfId="24651" priority="157799" stopIfTrue="1" operator="greaterThanOrEqual">
      <formula>0.5</formula>
    </cfRule>
  </conditionalFormatting>
  <conditionalFormatting sqref="BH37">
    <cfRule type="cellIs" dxfId="24650" priority="157800" stopIfTrue="1" operator="equal">
      <formula>-1</formula>
    </cfRule>
  </conditionalFormatting>
  <conditionalFormatting sqref="BH37">
    <cfRule type="cellIs" dxfId="24649" priority="157801" stopIfTrue="1" operator="lessThan">
      <formula>0.5</formula>
    </cfRule>
  </conditionalFormatting>
  <conditionalFormatting sqref="BH37">
    <cfRule type="cellIs" dxfId="24648" priority="157802" stopIfTrue="1" operator="greaterThanOrEqual">
      <formula>0.5</formula>
    </cfRule>
  </conditionalFormatting>
  <conditionalFormatting sqref="BJ17">
    <cfRule type="cellIs" dxfId="24647" priority="157803" stopIfTrue="1" operator="equal">
      <formula>-1</formula>
    </cfRule>
  </conditionalFormatting>
  <conditionalFormatting sqref="BJ17">
    <cfRule type="cellIs" dxfId="24646" priority="157804" stopIfTrue="1" operator="lessThan">
      <formula>0.5</formula>
    </cfRule>
  </conditionalFormatting>
  <conditionalFormatting sqref="BJ17">
    <cfRule type="cellIs" dxfId="24645" priority="157805" stopIfTrue="1" operator="greaterThanOrEqual">
      <formula>0.5</formula>
    </cfRule>
  </conditionalFormatting>
  <conditionalFormatting sqref="BJ18">
    <cfRule type="cellIs" dxfId="24644" priority="157806" stopIfTrue="1" operator="equal">
      <formula>-1</formula>
    </cfRule>
  </conditionalFormatting>
  <conditionalFormatting sqref="BJ18">
    <cfRule type="cellIs" dxfId="24643" priority="157807" stopIfTrue="1" operator="lessThan">
      <formula>0.5</formula>
    </cfRule>
  </conditionalFormatting>
  <conditionalFormatting sqref="BJ18">
    <cfRule type="cellIs" dxfId="24642" priority="157808" stopIfTrue="1" operator="greaterThanOrEqual">
      <formula>0.5</formula>
    </cfRule>
  </conditionalFormatting>
  <conditionalFormatting sqref="BJ19">
    <cfRule type="cellIs" dxfId="24641" priority="157809" stopIfTrue="1" operator="equal">
      <formula>-1</formula>
    </cfRule>
  </conditionalFormatting>
  <conditionalFormatting sqref="BJ19">
    <cfRule type="cellIs" dxfId="24640" priority="157810" stopIfTrue="1" operator="lessThan">
      <formula>0.5</formula>
    </cfRule>
  </conditionalFormatting>
  <conditionalFormatting sqref="BJ19">
    <cfRule type="cellIs" dxfId="24639" priority="157811" stopIfTrue="1" operator="greaterThanOrEqual">
      <formula>0.5</formula>
    </cfRule>
  </conditionalFormatting>
  <conditionalFormatting sqref="BJ20">
    <cfRule type="cellIs" dxfId="24638" priority="157812" stopIfTrue="1" operator="equal">
      <formula>-1</formula>
    </cfRule>
  </conditionalFormatting>
  <conditionalFormatting sqref="BJ20">
    <cfRule type="cellIs" dxfId="24637" priority="157813" stopIfTrue="1" operator="lessThan">
      <formula>0.5</formula>
    </cfRule>
  </conditionalFormatting>
  <conditionalFormatting sqref="BJ20">
    <cfRule type="cellIs" dxfId="24636" priority="157814" stopIfTrue="1" operator="greaterThanOrEqual">
      <formula>0.5</formula>
    </cfRule>
  </conditionalFormatting>
  <conditionalFormatting sqref="BJ21">
    <cfRule type="cellIs" dxfId="24635" priority="157815" stopIfTrue="1" operator="equal">
      <formula>-1</formula>
    </cfRule>
  </conditionalFormatting>
  <conditionalFormatting sqref="BJ21">
    <cfRule type="cellIs" dxfId="24634" priority="157816" stopIfTrue="1" operator="lessThan">
      <formula>0.5</formula>
    </cfRule>
  </conditionalFormatting>
  <conditionalFormatting sqref="BJ21">
    <cfRule type="cellIs" dxfId="24633" priority="157817" stopIfTrue="1" operator="greaterThanOrEqual">
      <formula>0.5</formula>
    </cfRule>
  </conditionalFormatting>
  <conditionalFormatting sqref="BJ22">
    <cfRule type="cellIs" dxfId="24632" priority="157818" stopIfTrue="1" operator="equal">
      <formula>-1</formula>
    </cfRule>
  </conditionalFormatting>
  <conditionalFormatting sqref="BJ22">
    <cfRule type="cellIs" dxfId="24631" priority="157819" stopIfTrue="1" operator="lessThan">
      <formula>0.5</formula>
    </cfRule>
  </conditionalFormatting>
  <conditionalFormatting sqref="BJ22">
    <cfRule type="cellIs" dxfId="24630" priority="157820" stopIfTrue="1" operator="greaterThanOrEqual">
      <formula>0.5</formula>
    </cfRule>
  </conditionalFormatting>
  <conditionalFormatting sqref="BJ23">
    <cfRule type="cellIs" dxfId="24629" priority="157821" stopIfTrue="1" operator="equal">
      <formula>-1</formula>
    </cfRule>
  </conditionalFormatting>
  <conditionalFormatting sqref="BJ23">
    <cfRule type="cellIs" dxfId="24628" priority="157822" stopIfTrue="1" operator="lessThan">
      <formula>0.5</formula>
    </cfRule>
  </conditionalFormatting>
  <conditionalFormatting sqref="BJ23">
    <cfRule type="cellIs" dxfId="24627" priority="157823" stopIfTrue="1" operator="greaterThanOrEqual">
      <formula>0.5</formula>
    </cfRule>
  </conditionalFormatting>
  <conditionalFormatting sqref="BJ24">
    <cfRule type="cellIs" dxfId="24626" priority="157824" stopIfTrue="1" operator="equal">
      <formula>-1</formula>
    </cfRule>
  </conditionalFormatting>
  <conditionalFormatting sqref="BJ24">
    <cfRule type="cellIs" dxfId="24625" priority="157825" stopIfTrue="1" operator="lessThan">
      <formula>0.5</formula>
    </cfRule>
  </conditionalFormatting>
  <conditionalFormatting sqref="BJ24">
    <cfRule type="cellIs" dxfId="24624" priority="157826" stopIfTrue="1" operator="greaterThanOrEqual">
      <formula>0.5</formula>
    </cfRule>
  </conditionalFormatting>
  <conditionalFormatting sqref="BJ25">
    <cfRule type="cellIs" dxfId="24623" priority="157827" stopIfTrue="1" operator="equal">
      <formula>-1</formula>
    </cfRule>
  </conditionalFormatting>
  <conditionalFormatting sqref="BJ25">
    <cfRule type="cellIs" dxfId="24622" priority="157828" stopIfTrue="1" operator="lessThan">
      <formula>0.5</formula>
    </cfRule>
  </conditionalFormatting>
  <conditionalFormatting sqref="BJ25">
    <cfRule type="cellIs" dxfId="24621" priority="157829" stopIfTrue="1" operator="greaterThanOrEqual">
      <formula>0.5</formula>
    </cfRule>
  </conditionalFormatting>
  <conditionalFormatting sqref="BJ26">
    <cfRule type="cellIs" dxfId="24620" priority="157830" stopIfTrue="1" operator="equal">
      <formula>-1</formula>
    </cfRule>
  </conditionalFormatting>
  <conditionalFormatting sqref="BJ26">
    <cfRule type="cellIs" dxfId="24619" priority="157831" stopIfTrue="1" operator="lessThan">
      <formula>0.5</formula>
    </cfRule>
  </conditionalFormatting>
  <conditionalFormatting sqref="BJ26">
    <cfRule type="cellIs" dxfId="24618" priority="157832" stopIfTrue="1" operator="greaterThanOrEqual">
      <formula>0.5</formula>
    </cfRule>
  </conditionalFormatting>
  <conditionalFormatting sqref="BJ27">
    <cfRule type="cellIs" dxfId="24617" priority="157833" stopIfTrue="1" operator="equal">
      <formula>-1</formula>
    </cfRule>
  </conditionalFormatting>
  <conditionalFormatting sqref="BJ27">
    <cfRule type="cellIs" dxfId="24616" priority="157834" stopIfTrue="1" operator="lessThan">
      <formula>0.5</formula>
    </cfRule>
  </conditionalFormatting>
  <conditionalFormatting sqref="BJ27">
    <cfRule type="cellIs" dxfId="24615" priority="157835" stopIfTrue="1" operator="greaterThanOrEqual">
      <formula>0.5</formula>
    </cfRule>
  </conditionalFormatting>
  <conditionalFormatting sqref="BJ28">
    <cfRule type="cellIs" dxfId="24614" priority="157836" stopIfTrue="1" operator="equal">
      <formula>-1</formula>
    </cfRule>
  </conditionalFormatting>
  <conditionalFormatting sqref="BJ28">
    <cfRule type="cellIs" dxfId="24613" priority="157837" stopIfTrue="1" operator="lessThan">
      <formula>0.5</formula>
    </cfRule>
  </conditionalFormatting>
  <conditionalFormatting sqref="BJ28">
    <cfRule type="cellIs" dxfId="24612" priority="157838" stopIfTrue="1" operator="greaterThanOrEqual">
      <formula>0.5</formula>
    </cfRule>
  </conditionalFormatting>
  <conditionalFormatting sqref="BJ29">
    <cfRule type="cellIs" dxfId="24611" priority="157839" stopIfTrue="1" operator="equal">
      <formula>-1</formula>
    </cfRule>
  </conditionalFormatting>
  <conditionalFormatting sqref="BJ29">
    <cfRule type="cellIs" dxfId="24610" priority="157840" stopIfTrue="1" operator="lessThan">
      <formula>0.5</formula>
    </cfRule>
  </conditionalFormatting>
  <conditionalFormatting sqref="BJ29">
    <cfRule type="cellIs" dxfId="24609" priority="157841" stopIfTrue="1" operator="greaterThanOrEqual">
      <formula>0.5</formula>
    </cfRule>
  </conditionalFormatting>
  <conditionalFormatting sqref="BJ30">
    <cfRule type="cellIs" dxfId="24608" priority="157842" stopIfTrue="1" operator="equal">
      <formula>-1</formula>
    </cfRule>
  </conditionalFormatting>
  <conditionalFormatting sqref="BJ30">
    <cfRule type="cellIs" dxfId="24607" priority="157843" stopIfTrue="1" operator="lessThan">
      <formula>0.5</formula>
    </cfRule>
  </conditionalFormatting>
  <conditionalFormatting sqref="BJ30">
    <cfRule type="cellIs" dxfId="24606" priority="157844" stopIfTrue="1" operator="greaterThanOrEqual">
      <formula>0.5</formula>
    </cfRule>
  </conditionalFormatting>
  <conditionalFormatting sqref="BJ31">
    <cfRule type="cellIs" dxfId="24605" priority="157845" stopIfTrue="1" operator="equal">
      <formula>-1</formula>
    </cfRule>
  </conditionalFormatting>
  <conditionalFormatting sqref="BJ31">
    <cfRule type="cellIs" dxfId="24604" priority="157846" stopIfTrue="1" operator="lessThan">
      <formula>0.5</formula>
    </cfRule>
  </conditionalFormatting>
  <conditionalFormatting sqref="BJ31">
    <cfRule type="cellIs" dxfId="24603" priority="157847" stopIfTrue="1" operator="greaterThanOrEqual">
      <formula>0.5</formula>
    </cfRule>
  </conditionalFormatting>
  <conditionalFormatting sqref="BJ32">
    <cfRule type="cellIs" dxfId="24602" priority="157848" stopIfTrue="1" operator="equal">
      <formula>-1</formula>
    </cfRule>
  </conditionalFormatting>
  <conditionalFormatting sqref="BJ32">
    <cfRule type="cellIs" dxfId="24601" priority="157849" stopIfTrue="1" operator="lessThan">
      <formula>0.5</formula>
    </cfRule>
  </conditionalFormatting>
  <conditionalFormatting sqref="BJ32">
    <cfRule type="cellIs" dxfId="24600" priority="157850" stopIfTrue="1" operator="greaterThanOrEqual">
      <formula>0.5</formula>
    </cfRule>
  </conditionalFormatting>
  <conditionalFormatting sqref="BJ33">
    <cfRule type="cellIs" dxfId="24599" priority="157851" stopIfTrue="1" operator="equal">
      <formula>-1</formula>
    </cfRule>
  </conditionalFormatting>
  <conditionalFormatting sqref="BJ33">
    <cfRule type="cellIs" dxfId="24598" priority="157852" stopIfTrue="1" operator="lessThan">
      <formula>0.5</formula>
    </cfRule>
  </conditionalFormatting>
  <conditionalFormatting sqref="BJ33">
    <cfRule type="cellIs" dxfId="24597" priority="157853" stopIfTrue="1" operator="greaterThanOrEqual">
      <formula>0.5</formula>
    </cfRule>
  </conditionalFormatting>
  <conditionalFormatting sqref="BJ34">
    <cfRule type="cellIs" dxfId="24596" priority="157854" stopIfTrue="1" operator="equal">
      <formula>-1</formula>
    </cfRule>
  </conditionalFormatting>
  <conditionalFormatting sqref="BJ34">
    <cfRule type="cellIs" dxfId="24595" priority="157855" stopIfTrue="1" operator="lessThan">
      <formula>0.5</formula>
    </cfRule>
  </conditionalFormatting>
  <conditionalFormatting sqref="BJ34">
    <cfRule type="cellIs" dxfId="24594" priority="157856" stopIfTrue="1" operator="greaterThanOrEqual">
      <formula>0.5</formula>
    </cfRule>
  </conditionalFormatting>
  <conditionalFormatting sqref="BJ35">
    <cfRule type="cellIs" dxfId="24593" priority="157857" stopIfTrue="1" operator="equal">
      <formula>-1</formula>
    </cfRule>
  </conditionalFormatting>
  <conditionalFormatting sqref="BJ35">
    <cfRule type="cellIs" dxfId="24592" priority="157858" stopIfTrue="1" operator="lessThan">
      <formula>0.5</formula>
    </cfRule>
  </conditionalFormatting>
  <conditionalFormatting sqref="BJ35">
    <cfRule type="cellIs" dxfId="24591" priority="157859" stopIfTrue="1" operator="greaterThanOrEqual">
      <formula>0.5</formula>
    </cfRule>
  </conditionalFormatting>
  <conditionalFormatting sqref="BJ36">
    <cfRule type="cellIs" dxfId="24590" priority="157860" stopIfTrue="1" operator="equal">
      <formula>-1</formula>
    </cfRule>
  </conditionalFormatting>
  <conditionalFormatting sqref="BJ36">
    <cfRule type="cellIs" dxfId="24589" priority="157861" stopIfTrue="1" operator="lessThan">
      <formula>0.5</formula>
    </cfRule>
  </conditionalFormatting>
  <conditionalFormatting sqref="BJ36">
    <cfRule type="cellIs" dxfId="24588" priority="157862" stopIfTrue="1" operator="greaterThanOrEqual">
      <formula>0.5</formula>
    </cfRule>
  </conditionalFormatting>
  <conditionalFormatting sqref="BJ37">
    <cfRule type="cellIs" dxfId="24587" priority="157863" stopIfTrue="1" operator="equal">
      <formula>-1</formula>
    </cfRule>
  </conditionalFormatting>
  <conditionalFormatting sqref="BJ37">
    <cfRule type="cellIs" dxfId="24586" priority="157864" stopIfTrue="1" operator="lessThan">
      <formula>0.5</formula>
    </cfRule>
  </conditionalFormatting>
  <conditionalFormatting sqref="BJ37">
    <cfRule type="cellIs" dxfId="24585" priority="157865" stopIfTrue="1" operator="greaterThanOrEqual">
      <formula>0.5</formula>
    </cfRule>
  </conditionalFormatting>
  <conditionalFormatting sqref="D39">
    <cfRule type="cellIs" dxfId="24584" priority="157866" stopIfTrue="1" operator="equal">
      <formula>-1</formula>
    </cfRule>
  </conditionalFormatting>
  <conditionalFormatting sqref="D39">
    <cfRule type="cellIs" dxfId="24583" priority="157867" stopIfTrue="1" operator="lessThan">
      <formula>0.5</formula>
    </cfRule>
  </conditionalFormatting>
  <conditionalFormatting sqref="D39">
    <cfRule type="cellIs" dxfId="24582" priority="157868" stopIfTrue="1" operator="greaterThanOrEqual">
      <formula>0.5</formula>
    </cfRule>
  </conditionalFormatting>
  <conditionalFormatting sqref="D40">
    <cfRule type="cellIs" dxfId="24581" priority="157869" stopIfTrue="1" operator="equal">
      <formula>-1</formula>
    </cfRule>
  </conditionalFormatting>
  <conditionalFormatting sqref="D40">
    <cfRule type="cellIs" dxfId="24580" priority="157870" stopIfTrue="1" operator="lessThan">
      <formula>0.5</formula>
    </cfRule>
  </conditionalFormatting>
  <conditionalFormatting sqref="D40">
    <cfRule type="cellIs" dxfId="24579" priority="157871" stopIfTrue="1" operator="greaterThanOrEqual">
      <formula>0.5</formula>
    </cfRule>
  </conditionalFormatting>
  <conditionalFormatting sqref="D41">
    <cfRule type="cellIs" dxfId="24578" priority="157872" stopIfTrue="1" operator="equal">
      <formula>-1</formula>
    </cfRule>
  </conditionalFormatting>
  <conditionalFormatting sqref="D41">
    <cfRule type="cellIs" dxfId="24577" priority="157873" stopIfTrue="1" operator="lessThan">
      <formula>0.5</formula>
    </cfRule>
  </conditionalFormatting>
  <conditionalFormatting sqref="D41">
    <cfRule type="cellIs" dxfId="24576" priority="157874" stopIfTrue="1" operator="greaterThanOrEqual">
      <formula>0.5</formula>
    </cfRule>
  </conditionalFormatting>
  <conditionalFormatting sqref="D42">
    <cfRule type="cellIs" dxfId="24575" priority="157875" stopIfTrue="1" operator="equal">
      <formula>-1</formula>
    </cfRule>
  </conditionalFormatting>
  <conditionalFormatting sqref="D42">
    <cfRule type="cellIs" dxfId="24574" priority="157876" stopIfTrue="1" operator="lessThan">
      <formula>0.5</formula>
    </cfRule>
  </conditionalFormatting>
  <conditionalFormatting sqref="D42">
    <cfRule type="cellIs" dxfId="24573" priority="157877" stopIfTrue="1" operator="greaterThanOrEqual">
      <formula>0.5</formula>
    </cfRule>
  </conditionalFormatting>
  <conditionalFormatting sqref="D43">
    <cfRule type="cellIs" dxfId="24572" priority="157878" stopIfTrue="1" operator="equal">
      <formula>-1</formula>
    </cfRule>
  </conditionalFormatting>
  <conditionalFormatting sqref="D43">
    <cfRule type="cellIs" dxfId="24571" priority="157879" stopIfTrue="1" operator="lessThan">
      <formula>0.5</formula>
    </cfRule>
  </conditionalFormatting>
  <conditionalFormatting sqref="D43">
    <cfRule type="cellIs" dxfId="24570" priority="157880" stopIfTrue="1" operator="greaterThanOrEqual">
      <formula>0.5</formula>
    </cfRule>
  </conditionalFormatting>
  <conditionalFormatting sqref="D44">
    <cfRule type="cellIs" dxfId="24569" priority="157881" stopIfTrue="1" operator="equal">
      <formula>-1</formula>
    </cfRule>
  </conditionalFormatting>
  <conditionalFormatting sqref="D44">
    <cfRule type="cellIs" dxfId="24568" priority="157882" stopIfTrue="1" operator="lessThan">
      <formula>0.5</formula>
    </cfRule>
  </conditionalFormatting>
  <conditionalFormatting sqref="D44">
    <cfRule type="cellIs" dxfId="24567" priority="157883" stopIfTrue="1" operator="greaterThanOrEqual">
      <formula>0.5</formula>
    </cfRule>
  </conditionalFormatting>
  <conditionalFormatting sqref="D45">
    <cfRule type="cellIs" dxfId="24566" priority="157884" stopIfTrue="1" operator="equal">
      <formula>-1</formula>
    </cfRule>
  </conditionalFormatting>
  <conditionalFormatting sqref="D45">
    <cfRule type="cellIs" dxfId="24565" priority="157885" stopIfTrue="1" operator="lessThan">
      <formula>0.5</formula>
    </cfRule>
  </conditionalFormatting>
  <conditionalFormatting sqref="D45">
    <cfRule type="cellIs" dxfId="24564" priority="157886" stopIfTrue="1" operator="greaterThanOrEqual">
      <formula>0.5</formula>
    </cfRule>
  </conditionalFormatting>
  <conditionalFormatting sqref="D46">
    <cfRule type="cellIs" dxfId="24563" priority="157887" stopIfTrue="1" operator="equal">
      <formula>-1</formula>
    </cfRule>
  </conditionalFormatting>
  <conditionalFormatting sqref="D46">
    <cfRule type="cellIs" dxfId="24562" priority="157888" stopIfTrue="1" operator="lessThan">
      <formula>0.5</formula>
    </cfRule>
  </conditionalFormatting>
  <conditionalFormatting sqref="D46">
    <cfRule type="cellIs" dxfId="24561" priority="157889" stopIfTrue="1" operator="greaterThanOrEqual">
      <formula>0.5</formula>
    </cfRule>
  </conditionalFormatting>
  <conditionalFormatting sqref="D47">
    <cfRule type="cellIs" dxfId="24560" priority="157890" stopIfTrue="1" operator="equal">
      <formula>-1</formula>
    </cfRule>
  </conditionalFormatting>
  <conditionalFormatting sqref="D47">
    <cfRule type="cellIs" dxfId="24559" priority="157891" stopIfTrue="1" operator="lessThan">
      <formula>0.5</formula>
    </cfRule>
  </conditionalFormatting>
  <conditionalFormatting sqref="D47">
    <cfRule type="cellIs" dxfId="24558" priority="157892" stopIfTrue="1" operator="greaterThanOrEqual">
      <formula>0.5</formula>
    </cfRule>
  </conditionalFormatting>
  <conditionalFormatting sqref="D48">
    <cfRule type="cellIs" dxfId="24557" priority="157893" stopIfTrue="1" operator="equal">
      <formula>-1</formula>
    </cfRule>
  </conditionalFormatting>
  <conditionalFormatting sqref="D48">
    <cfRule type="cellIs" dxfId="24556" priority="157894" stopIfTrue="1" operator="lessThan">
      <formula>0.5</formula>
    </cfRule>
  </conditionalFormatting>
  <conditionalFormatting sqref="D48">
    <cfRule type="cellIs" dxfId="24555" priority="157895" stopIfTrue="1" operator="greaterThanOrEqual">
      <formula>0.5</formula>
    </cfRule>
  </conditionalFormatting>
  <conditionalFormatting sqref="D49">
    <cfRule type="cellIs" dxfId="24554" priority="157896" stopIfTrue="1" operator="equal">
      <formula>-1</formula>
    </cfRule>
  </conditionalFormatting>
  <conditionalFormatting sqref="D49">
    <cfRule type="cellIs" dxfId="24553" priority="157897" stopIfTrue="1" operator="lessThan">
      <formula>0.5</formula>
    </cfRule>
  </conditionalFormatting>
  <conditionalFormatting sqref="D49">
    <cfRule type="cellIs" dxfId="24552" priority="157898" stopIfTrue="1" operator="greaterThanOrEqual">
      <formula>0.5</formula>
    </cfRule>
  </conditionalFormatting>
  <conditionalFormatting sqref="D50">
    <cfRule type="cellIs" dxfId="24551" priority="157899" stopIfTrue="1" operator="equal">
      <formula>-1</formula>
    </cfRule>
  </conditionalFormatting>
  <conditionalFormatting sqref="D50">
    <cfRule type="cellIs" dxfId="24550" priority="157900" stopIfTrue="1" operator="lessThan">
      <formula>0.5</formula>
    </cfRule>
  </conditionalFormatting>
  <conditionalFormatting sqref="D50">
    <cfRule type="cellIs" dxfId="24549" priority="157901" stopIfTrue="1" operator="greaterThanOrEqual">
      <formula>0.5</formula>
    </cfRule>
  </conditionalFormatting>
  <conditionalFormatting sqref="D51">
    <cfRule type="cellIs" dxfId="24548" priority="157902" stopIfTrue="1" operator="equal">
      <formula>-1</formula>
    </cfRule>
  </conditionalFormatting>
  <conditionalFormatting sqref="D51">
    <cfRule type="cellIs" dxfId="24547" priority="157903" stopIfTrue="1" operator="lessThan">
      <formula>0.5</formula>
    </cfRule>
  </conditionalFormatting>
  <conditionalFormatting sqref="D51">
    <cfRule type="cellIs" dxfId="24546" priority="157904" stopIfTrue="1" operator="greaterThanOrEqual">
      <formula>0.5</formula>
    </cfRule>
  </conditionalFormatting>
  <conditionalFormatting sqref="D52">
    <cfRule type="cellIs" dxfId="24545" priority="157905" stopIfTrue="1" operator="equal">
      <formula>-1</formula>
    </cfRule>
  </conditionalFormatting>
  <conditionalFormatting sqref="D52">
    <cfRule type="cellIs" dxfId="24544" priority="157906" stopIfTrue="1" operator="lessThan">
      <formula>0.5</formula>
    </cfRule>
  </conditionalFormatting>
  <conditionalFormatting sqref="D52">
    <cfRule type="cellIs" dxfId="24543" priority="157907" stopIfTrue="1" operator="greaterThanOrEqual">
      <formula>0.5</formula>
    </cfRule>
  </conditionalFormatting>
  <conditionalFormatting sqref="D53">
    <cfRule type="cellIs" dxfId="24542" priority="157908" stopIfTrue="1" operator="equal">
      <formula>-1</formula>
    </cfRule>
  </conditionalFormatting>
  <conditionalFormatting sqref="D53">
    <cfRule type="cellIs" dxfId="24541" priority="157909" stopIfTrue="1" operator="lessThan">
      <formula>0.5</formula>
    </cfRule>
  </conditionalFormatting>
  <conditionalFormatting sqref="D53">
    <cfRule type="cellIs" dxfId="24540" priority="157910" stopIfTrue="1" operator="greaterThanOrEqual">
      <formula>0.5</formula>
    </cfRule>
  </conditionalFormatting>
  <conditionalFormatting sqref="D54">
    <cfRule type="cellIs" dxfId="24539" priority="157911" stopIfTrue="1" operator="equal">
      <formula>-1</formula>
    </cfRule>
  </conditionalFormatting>
  <conditionalFormatting sqref="D54">
    <cfRule type="cellIs" dxfId="24538" priority="157912" stopIfTrue="1" operator="lessThan">
      <formula>0.5</formula>
    </cfRule>
  </conditionalFormatting>
  <conditionalFormatting sqref="D54">
    <cfRule type="cellIs" dxfId="24537" priority="157913" stopIfTrue="1" operator="greaterThanOrEqual">
      <formula>0.5</formula>
    </cfRule>
  </conditionalFormatting>
  <conditionalFormatting sqref="D55">
    <cfRule type="cellIs" dxfId="24536" priority="157914" stopIfTrue="1" operator="equal">
      <formula>-1</formula>
    </cfRule>
  </conditionalFormatting>
  <conditionalFormatting sqref="D55">
    <cfRule type="cellIs" dxfId="24535" priority="157915" stopIfTrue="1" operator="lessThan">
      <formula>0.5</formula>
    </cfRule>
  </conditionalFormatting>
  <conditionalFormatting sqref="D55">
    <cfRule type="cellIs" dxfId="24534" priority="157916" stopIfTrue="1" operator="greaterThanOrEqual">
      <formula>0.5</formula>
    </cfRule>
  </conditionalFormatting>
  <conditionalFormatting sqref="D56">
    <cfRule type="cellIs" dxfId="24533" priority="157917" stopIfTrue="1" operator="equal">
      <formula>-1</formula>
    </cfRule>
  </conditionalFormatting>
  <conditionalFormatting sqref="D56">
    <cfRule type="cellIs" dxfId="24532" priority="157918" stopIfTrue="1" operator="lessThan">
      <formula>0.5</formula>
    </cfRule>
  </conditionalFormatting>
  <conditionalFormatting sqref="D56">
    <cfRule type="cellIs" dxfId="24531" priority="157919" stopIfTrue="1" operator="greaterThanOrEqual">
      <formula>0.5</formula>
    </cfRule>
  </conditionalFormatting>
  <conditionalFormatting sqref="D57">
    <cfRule type="cellIs" dxfId="24530" priority="157920" stopIfTrue="1" operator="equal">
      <formula>-1</formula>
    </cfRule>
  </conditionalFormatting>
  <conditionalFormatting sqref="D57">
    <cfRule type="cellIs" dxfId="24529" priority="157921" stopIfTrue="1" operator="lessThan">
      <formula>0.5</formula>
    </cfRule>
  </conditionalFormatting>
  <conditionalFormatting sqref="D57">
    <cfRule type="cellIs" dxfId="24528" priority="157922" stopIfTrue="1" operator="greaterThanOrEqual">
      <formula>0.5</formula>
    </cfRule>
  </conditionalFormatting>
  <conditionalFormatting sqref="D58">
    <cfRule type="cellIs" dxfId="24527" priority="157923" stopIfTrue="1" operator="equal">
      <formula>-1</formula>
    </cfRule>
  </conditionalFormatting>
  <conditionalFormatting sqref="D58">
    <cfRule type="cellIs" dxfId="24526" priority="157924" stopIfTrue="1" operator="lessThan">
      <formula>0.5</formula>
    </cfRule>
  </conditionalFormatting>
  <conditionalFormatting sqref="D58">
    <cfRule type="cellIs" dxfId="24525" priority="157925" stopIfTrue="1" operator="greaterThanOrEqual">
      <formula>0.5</formula>
    </cfRule>
  </conditionalFormatting>
  <conditionalFormatting sqref="F39">
    <cfRule type="cellIs" dxfId="24524" priority="157926" stopIfTrue="1" operator="equal">
      <formula>-1</formula>
    </cfRule>
  </conditionalFormatting>
  <conditionalFormatting sqref="F39">
    <cfRule type="cellIs" dxfId="24523" priority="157927" stopIfTrue="1" operator="lessThan">
      <formula>0.5</formula>
    </cfRule>
  </conditionalFormatting>
  <conditionalFormatting sqref="F39">
    <cfRule type="cellIs" dxfId="24522" priority="157928" stopIfTrue="1" operator="greaterThanOrEqual">
      <formula>0.5</formula>
    </cfRule>
  </conditionalFormatting>
  <conditionalFormatting sqref="F40">
    <cfRule type="cellIs" dxfId="24521" priority="157929" stopIfTrue="1" operator="equal">
      <formula>-1</formula>
    </cfRule>
  </conditionalFormatting>
  <conditionalFormatting sqref="F40">
    <cfRule type="cellIs" dxfId="24520" priority="157930" stopIfTrue="1" operator="lessThan">
      <formula>0.5</formula>
    </cfRule>
  </conditionalFormatting>
  <conditionalFormatting sqref="F40">
    <cfRule type="cellIs" dxfId="24519" priority="157931" stopIfTrue="1" operator="greaterThanOrEqual">
      <formula>0.5</formula>
    </cfRule>
  </conditionalFormatting>
  <conditionalFormatting sqref="F41">
    <cfRule type="cellIs" dxfId="24518" priority="157932" stopIfTrue="1" operator="equal">
      <formula>-1</formula>
    </cfRule>
  </conditionalFormatting>
  <conditionalFormatting sqref="F41">
    <cfRule type="cellIs" dxfId="24517" priority="157933" stopIfTrue="1" operator="lessThan">
      <formula>0.5</formula>
    </cfRule>
  </conditionalFormatting>
  <conditionalFormatting sqref="F41">
    <cfRule type="cellIs" dxfId="24516" priority="157934" stopIfTrue="1" operator="greaterThanOrEqual">
      <formula>0.5</formula>
    </cfRule>
  </conditionalFormatting>
  <conditionalFormatting sqref="F42">
    <cfRule type="cellIs" dxfId="24515" priority="157935" stopIfTrue="1" operator="equal">
      <formula>-1</formula>
    </cfRule>
  </conditionalFormatting>
  <conditionalFormatting sqref="F42">
    <cfRule type="cellIs" dxfId="24514" priority="157936" stopIfTrue="1" operator="lessThan">
      <formula>0.5</formula>
    </cfRule>
  </conditionalFormatting>
  <conditionalFormatting sqref="F42">
    <cfRule type="cellIs" dxfId="24513" priority="157937" stopIfTrue="1" operator="greaterThanOrEqual">
      <formula>0.5</formula>
    </cfRule>
  </conditionalFormatting>
  <conditionalFormatting sqref="F43">
    <cfRule type="cellIs" dxfId="24512" priority="157938" stopIfTrue="1" operator="equal">
      <formula>-1</formula>
    </cfRule>
  </conditionalFormatting>
  <conditionalFormatting sqref="F43">
    <cfRule type="cellIs" dxfId="24511" priority="157939" stopIfTrue="1" operator="lessThan">
      <formula>0.5</formula>
    </cfRule>
  </conditionalFormatting>
  <conditionalFormatting sqref="F43">
    <cfRule type="cellIs" dxfId="24510" priority="157940" stopIfTrue="1" operator="greaterThanOrEqual">
      <formula>0.5</formula>
    </cfRule>
  </conditionalFormatting>
  <conditionalFormatting sqref="F44">
    <cfRule type="cellIs" dxfId="24509" priority="157941" stopIfTrue="1" operator="equal">
      <formula>-1</formula>
    </cfRule>
  </conditionalFormatting>
  <conditionalFormatting sqref="F44">
    <cfRule type="cellIs" dxfId="24508" priority="157942" stopIfTrue="1" operator="lessThan">
      <formula>0.5</formula>
    </cfRule>
  </conditionalFormatting>
  <conditionalFormatting sqref="F44">
    <cfRule type="cellIs" dxfId="24507" priority="157943" stopIfTrue="1" operator="greaterThanOrEqual">
      <formula>0.5</formula>
    </cfRule>
  </conditionalFormatting>
  <conditionalFormatting sqref="F45">
    <cfRule type="cellIs" dxfId="24506" priority="157944" stopIfTrue="1" operator="equal">
      <formula>-1</formula>
    </cfRule>
  </conditionalFormatting>
  <conditionalFormatting sqref="F45">
    <cfRule type="cellIs" dxfId="24505" priority="157945" stopIfTrue="1" operator="lessThan">
      <formula>0.5</formula>
    </cfRule>
  </conditionalFormatting>
  <conditionalFormatting sqref="F45">
    <cfRule type="cellIs" dxfId="24504" priority="157946" stopIfTrue="1" operator="greaterThanOrEqual">
      <formula>0.5</formula>
    </cfRule>
  </conditionalFormatting>
  <conditionalFormatting sqref="F46">
    <cfRule type="cellIs" dxfId="24503" priority="157947" stopIfTrue="1" operator="equal">
      <formula>-1</formula>
    </cfRule>
  </conditionalFormatting>
  <conditionalFormatting sqref="F46">
    <cfRule type="cellIs" dxfId="24502" priority="157948" stopIfTrue="1" operator="lessThan">
      <formula>0.5</formula>
    </cfRule>
  </conditionalFormatting>
  <conditionalFormatting sqref="F46">
    <cfRule type="cellIs" dxfId="24501" priority="157949" stopIfTrue="1" operator="greaterThanOrEqual">
      <formula>0.5</formula>
    </cfRule>
  </conditionalFormatting>
  <conditionalFormatting sqref="F47">
    <cfRule type="cellIs" dxfId="24500" priority="157950" stopIfTrue="1" operator="equal">
      <formula>-1</formula>
    </cfRule>
  </conditionalFormatting>
  <conditionalFormatting sqref="F47">
    <cfRule type="cellIs" dxfId="24499" priority="157951" stopIfTrue="1" operator="lessThan">
      <formula>0.5</formula>
    </cfRule>
  </conditionalFormatting>
  <conditionalFormatting sqref="F47">
    <cfRule type="cellIs" dxfId="24498" priority="157952" stopIfTrue="1" operator="greaterThanOrEqual">
      <formula>0.5</formula>
    </cfRule>
  </conditionalFormatting>
  <conditionalFormatting sqref="F48">
    <cfRule type="cellIs" dxfId="24497" priority="157953" stopIfTrue="1" operator="equal">
      <formula>-1</formula>
    </cfRule>
  </conditionalFormatting>
  <conditionalFormatting sqref="F48">
    <cfRule type="cellIs" dxfId="24496" priority="157954" stopIfTrue="1" operator="lessThan">
      <formula>0.5</formula>
    </cfRule>
  </conditionalFormatting>
  <conditionalFormatting sqref="F48">
    <cfRule type="cellIs" dxfId="24495" priority="157955" stopIfTrue="1" operator="greaterThanOrEqual">
      <formula>0.5</formula>
    </cfRule>
  </conditionalFormatting>
  <conditionalFormatting sqref="F49">
    <cfRule type="cellIs" dxfId="24494" priority="157956" stopIfTrue="1" operator="equal">
      <formula>-1</formula>
    </cfRule>
  </conditionalFormatting>
  <conditionalFormatting sqref="F49">
    <cfRule type="cellIs" dxfId="24493" priority="157957" stopIfTrue="1" operator="lessThan">
      <formula>0.5</formula>
    </cfRule>
  </conditionalFormatting>
  <conditionalFormatting sqref="F49">
    <cfRule type="cellIs" dxfId="24492" priority="157958" stopIfTrue="1" operator="greaterThanOrEqual">
      <formula>0.5</formula>
    </cfRule>
  </conditionalFormatting>
  <conditionalFormatting sqref="F50">
    <cfRule type="cellIs" dxfId="24491" priority="157959" stopIfTrue="1" operator="equal">
      <formula>-1</formula>
    </cfRule>
  </conditionalFormatting>
  <conditionalFormatting sqref="F50">
    <cfRule type="cellIs" dxfId="24490" priority="157960" stopIfTrue="1" operator="lessThan">
      <formula>0.5</formula>
    </cfRule>
  </conditionalFormatting>
  <conditionalFormatting sqref="F50">
    <cfRule type="cellIs" dxfId="24489" priority="157961" stopIfTrue="1" operator="greaterThanOrEqual">
      <formula>0.5</formula>
    </cfRule>
  </conditionalFormatting>
  <conditionalFormatting sqref="F51">
    <cfRule type="cellIs" dxfId="24488" priority="157962" stopIfTrue="1" operator="equal">
      <formula>-1</formula>
    </cfRule>
  </conditionalFormatting>
  <conditionalFormatting sqref="F51">
    <cfRule type="cellIs" dxfId="24487" priority="157963" stopIfTrue="1" operator="lessThan">
      <formula>0.5</formula>
    </cfRule>
  </conditionalFormatting>
  <conditionalFormatting sqref="F51">
    <cfRule type="cellIs" dxfId="24486" priority="157964" stopIfTrue="1" operator="greaterThanOrEqual">
      <formula>0.5</formula>
    </cfRule>
  </conditionalFormatting>
  <conditionalFormatting sqref="F52">
    <cfRule type="cellIs" dxfId="24485" priority="157965" stopIfTrue="1" operator="equal">
      <formula>-1</formula>
    </cfRule>
  </conditionalFormatting>
  <conditionalFormatting sqref="F52">
    <cfRule type="cellIs" dxfId="24484" priority="157966" stopIfTrue="1" operator="lessThan">
      <formula>0.5</formula>
    </cfRule>
  </conditionalFormatting>
  <conditionalFormatting sqref="F52">
    <cfRule type="cellIs" dxfId="24483" priority="157967" stopIfTrue="1" operator="greaterThanOrEqual">
      <formula>0.5</formula>
    </cfRule>
  </conditionalFormatting>
  <conditionalFormatting sqref="F53">
    <cfRule type="cellIs" dxfId="24482" priority="157968" stopIfTrue="1" operator="equal">
      <formula>-1</formula>
    </cfRule>
  </conditionalFormatting>
  <conditionalFormatting sqref="F53">
    <cfRule type="cellIs" dxfId="24481" priority="157969" stopIfTrue="1" operator="lessThan">
      <formula>0.5</formula>
    </cfRule>
  </conditionalFormatting>
  <conditionalFormatting sqref="F53">
    <cfRule type="cellIs" dxfId="24480" priority="157970" stopIfTrue="1" operator="greaterThanOrEqual">
      <formula>0.5</formula>
    </cfRule>
  </conditionalFormatting>
  <conditionalFormatting sqref="F54">
    <cfRule type="cellIs" dxfId="24479" priority="157971" stopIfTrue="1" operator="equal">
      <formula>-1</formula>
    </cfRule>
  </conditionalFormatting>
  <conditionalFormatting sqref="F54">
    <cfRule type="cellIs" dxfId="24478" priority="157972" stopIfTrue="1" operator="lessThan">
      <formula>0.5</formula>
    </cfRule>
  </conditionalFormatting>
  <conditionalFormatting sqref="F54">
    <cfRule type="cellIs" dxfId="24477" priority="157973" stopIfTrue="1" operator="greaterThanOrEqual">
      <formula>0.5</formula>
    </cfRule>
  </conditionalFormatting>
  <conditionalFormatting sqref="F55">
    <cfRule type="cellIs" dxfId="24476" priority="157974" stopIfTrue="1" operator="equal">
      <formula>-1</formula>
    </cfRule>
  </conditionalFormatting>
  <conditionalFormatting sqref="F55">
    <cfRule type="cellIs" dxfId="24475" priority="157975" stopIfTrue="1" operator="lessThan">
      <formula>0.5</formula>
    </cfRule>
  </conditionalFormatting>
  <conditionalFormatting sqref="F55">
    <cfRule type="cellIs" dxfId="24474" priority="157976" stopIfTrue="1" operator="greaterThanOrEqual">
      <formula>0.5</formula>
    </cfRule>
  </conditionalFormatting>
  <conditionalFormatting sqref="F56">
    <cfRule type="cellIs" dxfId="24473" priority="157977" stopIfTrue="1" operator="equal">
      <formula>-1</formula>
    </cfRule>
  </conditionalFormatting>
  <conditionalFormatting sqref="F56">
    <cfRule type="cellIs" dxfId="24472" priority="157978" stopIfTrue="1" operator="lessThan">
      <formula>0.5</formula>
    </cfRule>
  </conditionalFormatting>
  <conditionalFormatting sqref="F56">
    <cfRule type="cellIs" dxfId="24471" priority="157979" stopIfTrue="1" operator="greaterThanOrEqual">
      <formula>0.5</formula>
    </cfRule>
  </conditionalFormatting>
  <conditionalFormatting sqref="F57">
    <cfRule type="cellIs" dxfId="24470" priority="157980" stopIfTrue="1" operator="equal">
      <formula>-1</formula>
    </cfRule>
  </conditionalFormatting>
  <conditionalFormatting sqref="F57">
    <cfRule type="cellIs" dxfId="24469" priority="157981" stopIfTrue="1" operator="lessThan">
      <formula>0.5</formula>
    </cfRule>
  </conditionalFormatting>
  <conditionalFormatting sqref="F57">
    <cfRule type="cellIs" dxfId="24468" priority="157982" stopIfTrue="1" operator="greaterThanOrEqual">
      <formula>0.5</formula>
    </cfRule>
  </conditionalFormatting>
  <conditionalFormatting sqref="F58">
    <cfRule type="cellIs" dxfId="24467" priority="157983" stopIfTrue="1" operator="equal">
      <formula>-1</formula>
    </cfRule>
  </conditionalFormatting>
  <conditionalFormatting sqref="F58">
    <cfRule type="cellIs" dxfId="24466" priority="157984" stopIfTrue="1" operator="lessThan">
      <formula>0.5</formula>
    </cfRule>
  </conditionalFormatting>
  <conditionalFormatting sqref="F58">
    <cfRule type="cellIs" dxfId="24465" priority="157985" stopIfTrue="1" operator="greaterThanOrEqual">
      <formula>0.5</formula>
    </cfRule>
  </conditionalFormatting>
  <conditionalFormatting sqref="H39">
    <cfRule type="cellIs" dxfId="24464" priority="157986" stopIfTrue="1" operator="equal">
      <formula>-1</formula>
    </cfRule>
  </conditionalFormatting>
  <conditionalFormatting sqref="H39">
    <cfRule type="cellIs" dxfId="24463" priority="157987" stopIfTrue="1" operator="lessThan">
      <formula>0.5</formula>
    </cfRule>
  </conditionalFormatting>
  <conditionalFormatting sqref="H39">
    <cfRule type="cellIs" dxfId="24462" priority="157988" stopIfTrue="1" operator="greaterThanOrEqual">
      <formula>0.5</formula>
    </cfRule>
  </conditionalFormatting>
  <conditionalFormatting sqref="H40">
    <cfRule type="cellIs" dxfId="24461" priority="157989" stopIfTrue="1" operator="equal">
      <formula>-1</formula>
    </cfRule>
  </conditionalFormatting>
  <conditionalFormatting sqref="H40">
    <cfRule type="cellIs" dxfId="24460" priority="157990" stopIfTrue="1" operator="lessThan">
      <formula>0.5</formula>
    </cfRule>
  </conditionalFormatting>
  <conditionalFormatting sqref="H40">
    <cfRule type="cellIs" dxfId="24459" priority="157991" stopIfTrue="1" operator="greaterThanOrEqual">
      <formula>0.5</formula>
    </cfRule>
  </conditionalFormatting>
  <conditionalFormatting sqref="H41">
    <cfRule type="cellIs" dxfId="24458" priority="157992" stopIfTrue="1" operator="equal">
      <formula>-1</formula>
    </cfRule>
  </conditionalFormatting>
  <conditionalFormatting sqref="H41">
    <cfRule type="cellIs" dxfId="24457" priority="157993" stopIfTrue="1" operator="lessThan">
      <formula>0.5</formula>
    </cfRule>
  </conditionalFormatting>
  <conditionalFormatting sqref="H41">
    <cfRule type="cellIs" dxfId="24456" priority="157994" stopIfTrue="1" operator="greaterThanOrEqual">
      <formula>0.5</formula>
    </cfRule>
  </conditionalFormatting>
  <conditionalFormatting sqref="H42">
    <cfRule type="cellIs" dxfId="24455" priority="157995" stopIfTrue="1" operator="equal">
      <formula>-1</formula>
    </cfRule>
  </conditionalFormatting>
  <conditionalFormatting sqref="H42">
    <cfRule type="cellIs" dxfId="24454" priority="157996" stopIfTrue="1" operator="lessThan">
      <formula>0.5</formula>
    </cfRule>
  </conditionalFormatting>
  <conditionalFormatting sqref="H42">
    <cfRule type="cellIs" dxfId="24453" priority="157997" stopIfTrue="1" operator="greaterThanOrEqual">
      <formula>0.5</formula>
    </cfRule>
  </conditionalFormatting>
  <conditionalFormatting sqref="H43">
    <cfRule type="cellIs" dxfId="24452" priority="157998" stopIfTrue="1" operator="equal">
      <formula>-1</formula>
    </cfRule>
  </conditionalFormatting>
  <conditionalFormatting sqref="H43">
    <cfRule type="cellIs" dxfId="24451" priority="157999" stopIfTrue="1" operator="lessThan">
      <formula>0.5</formula>
    </cfRule>
  </conditionalFormatting>
  <conditionalFormatting sqref="H43">
    <cfRule type="cellIs" dxfId="24450" priority="158000" stopIfTrue="1" operator="greaterThanOrEqual">
      <formula>0.5</formula>
    </cfRule>
  </conditionalFormatting>
  <conditionalFormatting sqref="H44">
    <cfRule type="cellIs" dxfId="24449" priority="158001" stopIfTrue="1" operator="equal">
      <formula>-1</formula>
    </cfRule>
  </conditionalFormatting>
  <conditionalFormatting sqref="H44">
    <cfRule type="cellIs" dxfId="24448" priority="158002" stopIfTrue="1" operator="lessThan">
      <formula>0.5</formula>
    </cfRule>
  </conditionalFormatting>
  <conditionalFormatting sqref="H44">
    <cfRule type="cellIs" dxfId="24447" priority="158003" stopIfTrue="1" operator="greaterThanOrEqual">
      <formula>0.5</formula>
    </cfRule>
  </conditionalFormatting>
  <conditionalFormatting sqref="H45">
    <cfRule type="cellIs" dxfId="24446" priority="158004" stopIfTrue="1" operator="equal">
      <formula>-1</formula>
    </cfRule>
  </conditionalFormatting>
  <conditionalFormatting sqref="H45">
    <cfRule type="cellIs" dxfId="24445" priority="158005" stopIfTrue="1" operator="lessThan">
      <formula>0.5</formula>
    </cfRule>
  </conditionalFormatting>
  <conditionalFormatting sqref="H45">
    <cfRule type="cellIs" dxfId="24444" priority="158006" stopIfTrue="1" operator="greaterThanOrEqual">
      <formula>0.5</formula>
    </cfRule>
  </conditionalFormatting>
  <conditionalFormatting sqref="H46">
    <cfRule type="cellIs" dxfId="24443" priority="158007" stopIfTrue="1" operator="equal">
      <formula>-1</formula>
    </cfRule>
  </conditionalFormatting>
  <conditionalFormatting sqref="H46">
    <cfRule type="cellIs" dxfId="24442" priority="158008" stopIfTrue="1" operator="lessThan">
      <formula>0.5</formula>
    </cfRule>
  </conditionalFormatting>
  <conditionalFormatting sqref="H46">
    <cfRule type="cellIs" dxfId="24441" priority="158009" stopIfTrue="1" operator="greaterThanOrEqual">
      <formula>0.5</formula>
    </cfRule>
  </conditionalFormatting>
  <conditionalFormatting sqref="H47">
    <cfRule type="cellIs" dxfId="24440" priority="158010" stopIfTrue="1" operator="equal">
      <formula>-1</formula>
    </cfRule>
  </conditionalFormatting>
  <conditionalFormatting sqref="H47">
    <cfRule type="cellIs" dxfId="24439" priority="158011" stopIfTrue="1" operator="lessThan">
      <formula>0.5</formula>
    </cfRule>
  </conditionalFormatting>
  <conditionalFormatting sqref="H47">
    <cfRule type="cellIs" dxfId="24438" priority="158012" stopIfTrue="1" operator="greaterThanOrEqual">
      <formula>0.5</formula>
    </cfRule>
  </conditionalFormatting>
  <conditionalFormatting sqref="H48">
    <cfRule type="cellIs" dxfId="24437" priority="158013" stopIfTrue="1" operator="equal">
      <formula>-1</formula>
    </cfRule>
  </conditionalFormatting>
  <conditionalFormatting sqref="H48">
    <cfRule type="cellIs" dxfId="24436" priority="158014" stopIfTrue="1" operator="lessThan">
      <formula>0.5</formula>
    </cfRule>
  </conditionalFormatting>
  <conditionalFormatting sqref="H48">
    <cfRule type="cellIs" dxfId="24435" priority="158015" stopIfTrue="1" operator="greaterThanOrEqual">
      <formula>0.5</formula>
    </cfRule>
  </conditionalFormatting>
  <conditionalFormatting sqref="H49">
    <cfRule type="cellIs" dxfId="24434" priority="158016" stopIfTrue="1" operator="equal">
      <formula>-1</formula>
    </cfRule>
  </conditionalFormatting>
  <conditionalFormatting sqref="H49">
    <cfRule type="cellIs" dxfId="24433" priority="158017" stopIfTrue="1" operator="lessThan">
      <formula>0.5</formula>
    </cfRule>
  </conditionalFormatting>
  <conditionalFormatting sqref="H49">
    <cfRule type="cellIs" dxfId="24432" priority="158018" stopIfTrue="1" operator="greaterThanOrEqual">
      <formula>0.5</formula>
    </cfRule>
  </conditionalFormatting>
  <conditionalFormatting sqref="H50">
    <cfRule type="cellIs" dxfId="24431" priority="158019" stopIfTrue="1" operator="equal">
      <formula>-1</formula>
    </cfRule>
  </conditionalFormatting>
  <conditionalFormatting sqref="H50">
    <cfRule type="cellIs" dxfId="24430" priority="158020" stopIfTrue="1" operator="lessThan">
      <formula>0.5</formula>
    </cfRule>
  </conditionalFormatting>
  <conditionalFormatting sqref="H50">
    <cfRule type="cellIs" dxfId="24429" priority="158021" stopIfTrue="1" operator="greaterThanOrEqual">
      <formula>0.5</formula>
    </cfRule>
  </conditionalFormatting>
  <conditionalFormatting sqref="H51">
    <cfRule type="cellIs" dxfId="24428" priority="158022" stopIfTrue="1" operator="equal">
      <formula>-1</formula>
    </cfRule>
  </conditionalFormatting>
  <conditionalFormatting sqref="H51">
    <cfRule type="cellIs" dxfId="24427" priority="158023" stopIfTrue="1" operator="lessThan">
      <formula>0.5</formula>
    </cfRule>
  </conditionalFormatting>
  <conditionalFormatting sqref="H51">
    <cfRule type="cellIs" dxfId="24426" priority="158024" stopIfTrue="1" operator="greaterThanOrEqual">
      <formula>0.5</formula>
    </cfRule>
  </conditionalFormatting>
  <conditionalFormatting sqref="H52">
    <cfRule type="cellIs" dxfId="24425" priority="158025" stopIfTrue="1" operator="equal">
      <formula>-1</formula>
    </cfRule>
  </conditionalFormatting>
  <conditionalFormatting sqref="H52">
    <cfRule type="cellIs" dxfId="24424" priority="158026" stopIfTrue="1" operator="lessThan">
      <formula>0.5</formula>
    </cfRule>
  </conditionalFormatting>
  <conditionalFormatting sqref="H52">
    <cfRule type="cellIs" dxfId="24423" priority="158027" stopIfTrue="1" operator="greaterThanOrEqual">
      <formula>0.5</formula>
    </cfRule>
  </conditionalFormatting>
  <conditionalFormatting sqref="H53">
    <cfRule type="cellIs" dxfId="24422" priority="158028" stopIfTrue="1" operator="equal">
      <formula>-1</formula>
    </cfRule>
  </conditionalFormatting>
  <conditionalFormatting sqref="H53">
    <cfRule type="cellIs" dxfId="24421" priority="158029" stopIfTrue="1" operator="lessThan">
      <formula>0.5</formula>
    </cfRule>
  </conditionalFormatting>
  <conditionalFormatting sqref="H53">
    <cfRule type="cellIs" dxfId="24420" priority="158030" stopIfTrue="1" operator="greaterThanOrEqual">
      <formula>0.5</formula>
    </cfRule>
  </conditionalFormatting>
  <conditionalFormatting sqref="H54">
    <cfRule type="cellIs" dxfId="24419" priority="158031" stopIfTrue="1" operator="equal">
      <formula>-1</formula>
    </cfRule>
  </conditionalFormatting>
  <conditionalFormatting sqref="H54">
    <cfRule type="cellIs" dxfId="24418" priority="158032" stopIfTrue="1" operator="lessThan">
      <formula>0.5</formula>
    </cfRule>
  </conditionalFormatting>
  <conditionalFormatting sqref="H54">
    <cfRule type="cellIs" dxfId="24417" priority="158033" stopIfTrue="1" operator="greaterThanOrEqual">
      <formula>0.5</formula>
    </cfRule>
  </conditionalFormatting>
  <conditionalFormatting sqref="H55">
    <cfRule type="cellIs" dxfId="24416" priority="158034" stopIfTrue="1" operator="equal">
      <formula>-1</formula>
    </cfRule>
  </conditionalFormatting>
  <conditionalFormatting sqref="H55">
    <cfRule type="cellIs" dxfId="24415" priority="158035" stopIfTrue="1" operator="lessThan">
      <formula>0.5</formula>
    </cfRule>
  </conditionalFormatting>
  <conditionalFormatting sqref="H55">
    <cfRule type="cellIs" dxfId="24414" priority="158036" stopIfTrue="1" operator="greaterThanOrEqual">
      <formula>0.5</formula>
    </cfRule>
  </conditionalFormatting>
  <conditionalFormatting sqref="H56">
    <cfRule type="cellIs" dxfId="24413" priority="158037" stopIfTrue="1" operator="equal">
      <formula>-1</formula>
    </cfRule>
  </conditionalFormatting>
  <conditionalFormatting sqref="H56">
    <cfRule type="cellIs" dxfId="24412" priority="158038" stopIfTrue="1" operator="lessThan">
      <formula>0.5</formula>
    </cfRule>
  </conditionalFormatting>
  <conditionalFormatting sqref="H56">
    <cfRule type="cellIs" dxfId="24411" priority="158039" stopIfTrue="1" operator="greaterThanOrEqual">
      <formula>0.5</formula>
    </cfRule>
  </conditionalFormatting>
  <conditionalFormatting sqref="H57">
    <cfRule type="cellIs" dxfId="24410" priority="158040" stopIfTrue="1" operator="equal">
      <formula>-1</formula>
    </cfRule>
  </conditionalFormatting>
  <conditionalFormatting sqref="H57">
    <cfRule type="cellIs" dxfId="24409" priority="158041" stopIfTrue="1" operator="lessThan">
      <formula>0.5</formula>
    </cfRule>
  </conditionalFormatting>
  <conditionalFormatting sqref="H57">
    <cfRule type="cellIs" dxfId="24408" priority="158042" stopIfTrue="1" operator="greaterThanOrEqual">
      <formula>0.5</formula>
    </cfRule>
  </conditionalFormatting>
  <conditionalFormatting sqref="H58">
    <cfRule type="cellIs" dxfId="24407" priority="158043" stopIfTrue="1" operator="equal">
      <formula>-1</formula>
    </cfRule>
  </conditionalFormatting>
  <conditionalFormatting sqref="H58">
    <cfRule type="cellIs" dxfId="24406" priority="158044" stopIfTrue="1" operator="lessThan">
      <formula>0.5</formula>
    </cfRule>
  </conditionalFormatting>
  <conditionalFormatting sqref="H58">
    <cfRule type="cellIs" dxfId="24405" priority="158045" stopIfTrue="1" operator="greaterThanOrEqual">
      <formula>0.5</formula>
    </cfRule>
  </conditionalFormatting>
  <conditionalFormatting sqref="J39">
    <cfRule type="cellIs" dxfId="24404" priority="158046" stopIfTrue="1" operator="equal">
      <formula>-1</formula>
    </cfRule>
  </conditionalFormatting>
  <conditionalFormatting sqref="J39">
    <cfRule type="cellIs" dxfId="24403" priority="158047" stopIfTrue="1" operator="lessThan">
      <formula>0.5</formula>
    </cfRule>
  </conditionalFormatting>
  <conditionalFormatting sqref="J39">
    <cfRule type="cellIs" dxfId="24402" priority="158048" stopIfTrue="1" operator="greaterThanOrEqual">
      <formula>0.5</formula>
    </cfRule>
  </conditionalFormatting>
  <conditionalFormatting sqref="J40">
    <cfRule type="cellIs" dxfId="24401" priority="158049" stopIfTrue="1" operator="equal">
      <formula>-1</formula>
    </cfRule>
  </conditionalFormatting>
  <conditionalFormatting sqref="J40">
    <cfRule type="cellIs" dxfId="24400" priority="158050" stopIfTrue="1" operator="lessThan">
      <formula>0.5</formula>
    </cfRule>
  </conditionalFormatting>
  <conditionalFormatting sqref="J40">
    <cfRule type="cellIs" dxfId="24399" priority="158051" stopIfTrue="1" operator="greaterThanOrEqual">
      <formula>0.5</formula>
    </cfRule>
  </conditionalFormatting>
  <conditionalFormatting sqref="J41">
    <cfRule type="cellIs" dxfId="24398" priority="158052" stopIfTrue="1" operator="equal">
      <formula>-1</formula>
    </cfRule>
  </conditionalFormatting>
  <conditionalFormatting sqref="J41">
    <cfRule type="cellIs" dxfId="24397" priority="158053" stopIfTrue="1" operator="lessThan">
      <formula>0.5</formula>
    </cfRule>
  </conditionalFormatting>
  <conditionalFormatting sqref="J41">
    <cfRule type="cellIs" dxfId="24396" priority="158054" stopIfTrue="1" operator="greaterThanOrEqual">
      <formula>0.5</formula>
    </cfRule>
  </conditionalFormatting>
  <conditionalFormatting sqref="J42">
    <cfRule type="cellIs" dxfId="24395" priority="158055" stopIfTrue="1" operator="equal">
      <formula>-1</formula>
    </cfRule>
  </conditionalFormatting>
  <conditionalFormatting sqref="J42">
    <cfRule type="cellIs" dxfId="24394" priority="158056" stopIfTrue="1" operator="lessThan">
      <formula>0.5</formula>
    </cfRule>
  </conditionalFormatting>
  <conditionalFormatting sqref="J42">
    <cfRule type="cellIs" dxfId="24393" priority="158057" stopIfTrue="1" operator="greaterThanOrEqual">
      <formula>0.5</formula>
    </cfRule>
  </conditionalFormatting>
  <conditionalFormatting sqref="J43">
    <cfRule type="cellIs" dxfId="24392" priority="158058" stopIfTrue="1" operator="equal">
      <formula>-1</formula>
    </cfRule>
  </conditionalFormatting>
  <conditionalFormatting sqref="J43">
    <cfRule type="cellIs" dxfId="24391" priority="158059" stopIfTrue="1" operator="lessThan">
      <formula>0.5</formula>
    </cfRule>
  </conditionalFormatting>
  <conditionalFormatting sqref="J43">
    <cfRule type="cellIs" dxfId="24390" priority="158060" stopIfTrue="1" operator="greaterThanOrEqual">
      <formula>0.5</formula>
    </cfRule>
  </conditionalFormatting>
  <conditionalFormatting sqref="J44">
    <cfRule type="cellIs" dxfId="24389" priority="158061" stopIfTrue="1" operator="equal">
      <formula>-1</formula>
    </cfRule>
  </conditionalFormatting>
  <conditionalFormatting sqref="J44">
    <cfRule type="cellIs" dxfId="24388" priority="158062" stopIfTrue="1" operator="lessThan">
      <formula>0.5</formula>
    </cfRule>
  </conditionalFormatting>
  <conditionalFormatting sqref="J44">
    <cfRule type="cellIs" dxfId="24387" priority="158063" stopIfTrue="1" operator="greaterThanOrEqual">
      <formula>0.5</formula>
    </cfRule>
  </conditionalFormatting>
  <conditionalFormatting sqref="J45">
    <cfRule type="cellIs" dxfId="24386" priority="158064" stopIfTrue="1" operator="equal">
      <formula>-1</formula>
    </cfRule>
  </conditionalFormatting>
  <conditionalFormatting sqref="J45">
    <cfRule type="cellIs" dxfId="24385" priority="158065" stopIfTrue="1" operator="lessThan">
      <formula>0.5</formula>
    </cfRule>
  </conditionalFormatting>
  <conditionalFormatting sqref="J45">
    <cfRule type="cellIs" dxfId="24384" priority="158066" stopIfTrue="1" operator="greaterThanOrEqual">
      <formula>0.5</formula>
    </cfRule>
  </conditionalFormatting>
  <conditionalFormatting sqref="J46">
    <cfRule type="cellIs" dxfId="24383" priority="158067" stopIfTrue="1" operator="equal">
      <formula>-1</formula>
    </cfRule>
  </conditionalFormatting>
  <conditionalFormatting sqref="J46">
    <cfRule type="cellIs" dxfId="24382" priority="158068" stopIfTrue="1" operator="lessThan">
      <formula>0.5</formula>
    </cfRule>
  </conditionalFormatting>
  <conditionalFormatting sqref="J46">
    <cfRule type="cellIs" dxfId="24381" priority="158069" stopIfTrue="1" operator="greaterThanOrEqual">
      <formula>0.5</formula>
    </cfRule>
  </conditionalFormatting>
  <conditionalFormatting sqref="J47">
    <cfRule type="cellIs" dxfId="24380" priority="158070" stopIfTrue="1" operator="equal">
      <formula>-1</formula>
    </cfRule>
  </conditionalFormatting>
  <conditionalFormatting sqref="J47">
    <cfRule type="cellIs" dxfId="24379" priority="158071" stopIfTrue="1" operator="lessThan">
      <formula>0.5</formula>
    </cfRule>
  </conditionalFormatting>
  <conditionalFormatting sqref="J47">
    <cfRule type="cellIs" dxfId="24378" priority="158072" stopIfTrue="1" operator="greaterThanOrEqual">
      <formula>0.5</formula>
    </cfRule>
  </conditionalFormatting>
  <conditionalFormatting sqref="J48">
    <cfRule type="cellIs" dxfId="24377" priority="158073" stopIfTrue="1" operator="equal">
      <formula>-1</formula>
    </cfRule>
  </conditionalFormatting>
  <conditionalFormatting sqref="J48">
    <cfRule type="cellIs" dxfId="24376" priority="158074" stopIfTrue="1" operator="lessThan">
      <formula>0.5</formula>
    </cfRule>
  </conditionalFormatting>
  <conditionalFormatting sqref="J48">
    <cfRule type="cellIs" dxfId="24375" priority="158075" stopIfTrue="1" operator="greaterThanOrEqual">
      <formula>0.5</formula>
    </cfRule>
  </conditionalFormatting>
  <conditionalFormatting sqref="J49">
    <cfRule type="cellIs" dxfId="24374" priority="158076" stopIfTrue="1" operator="equal">
      <formula>-1</formula>
    </cfRule>
  </conditionalFormatting>
  <conditionalFormatting sqref="J49">
    <cfRule type="cellIs" dxfId="24373" priority="158077" stopIfTrue="1" operator="lessThan">
      <formula>0.5</formula>
    </cfRule>
  </conditionalFormatting>
  <conditionalFormatting sqref="J49">
    <cfRule type="cellIs" dxfId="24372" priority="158078" stopIfTrue="1" operator="greaterThanOrEqual">
      <formula>0.5</formula>
    </cfRule>
  </conditionalFormatting>
  <conditionalFormatting sqref="J50">
    <cfRule type="cellIs" dxfId="24371" priority="158079" stopIfTrue="1" operator="equal">
      <formula>-1</formula>
    </cfRule>
  </conditionalFormatting>
  <conditionalFormatting sqref="J50">
    <cfRule type="cellIs" dxfId="24370" priority="158080" stopIfTrue="1" operator="lessThan">
      <formula>0.5</formula>
    </cfRule>
  </conditionalFormatting>
  <conditionalFormatting sqref="J50">
    <cfRule type="cellIs" dxfId="24369" priority="158081" stopIfTrue="1" operator="greaterThanOrEqual">
      <formula>0.5</formula>
    </cfRule>
  </conditionalFormatting>
  <conditionalFormatting sqref="J51">
    <cfRule type="cellIs" dxfId="24368" priority="158082" stopIfTrue="1" operator="equal">
      <formula>-1</formula>
    </cfRule>
  </conditionalFormatting>
  <conditionalFormatting sqref="J51">
    <cfRule type="cellIs" dxfId="24367" priority="158083" stopIfTrue="1" operator="lessThan">
      <formula>0.5</formula>
    </cfRule>
  </conditionalFormatting>
  <conditionalFormatting sqref="J51">
    <cfRule type="cellIs" dxfId="24366" priority="158084" stopIfTrue="1" operator="greaterThanOrEqual">
      <formula>0.5</formula>
    </cfRule>
  </conditionalFormatting>
  <conditionalFormatting sqref="J52">
    <cfRule type="cellIs" dxfId="24365" priority="158085" stopIfTrue="1" operator="equal">
      <formula>-1</formula>
    </cfRule>
  </conditionalFormatting>
  <conditionalFormatting sqref="J52">
    <cfRule type="cellIs" dxfId="24364" priority="158086" stopIfTrue="1" operator="lessThan">
      <formula>0.5</formula>
    </cfRule>
  </conditionalFormatting>
  <conditionalFormatting sqref="J52">
    <cfRule type="cellIs" dxfId="24363" priority="158087" stopIfTrue="1" operator="greaterThanOrEqual">
      <formula>0.5</formula>
    </cfRule>
  </conditionalFormatting>
  <conditionalFormatting sqref="J53">
    <cfRule type="cellIs" dxfId="24362" priority="158088" stopIfTrue="1" operator="equal">
      <formula>-1</formula>
    </cfRule>
  </conditionalFormatting>
  <conditionalFormatting sqref="J53">
    <cfRule type="cellIs" dxfId="24361" priority="158089" stopIfTrue="1" operator="lessThan">
      <formula>0.5</formula>
    </cfRule>
  </conditionalFormatting>
  <conditionalFormatting sqref="J53">
    <cfRule type="cellIs" dxfId="24360" priority="158090" stopIfTrue="1" operator="greaterThanOrEqual">
      <formula>0.5</formula>
    </cfRule>
  </conditionalFormatting>
  <conditionalFormatting sqref="J54">
    <cfRule type="cellIs" dxfId="24359" priority="158091" stopIfTrue="1" operator="equal">
      <formula>-1</formula>
    </cfRule>
  </conditionalFormatting>
  <conditionalFormatting sqref="J54">
    <cfRule type="cellIs" dxfId="24358" priority="158092" stopIfTrue="1" operator="lessThan">
      <formula>0.5</formula>
    </cfRule>
  </conditionalFormatting>
  <conditionalFormatting sqref="J54">
    <cfRule type="cellIs" dxfId="24357" priority="158093" stopIfTrue="1" operator="greaterThanOrEqual">
      <formula>0.5</formula>
    </cfRule>
  </conditionalFormatting>
  <conditionalFormatting sqref="J55">
    <cfRule type="cellIs" dxfId="24356" priority="158094" stopIfTrue="1" operator="equal">
      <formula>-1</formula>
    </cfRule>
  </conditionalFormatting>
  <conditionalFormatting sqref="J55">
    <cfRule type="cellIs" dxfId="24355" priority="158095" stopIfTrue="1" operator="lessThan">
      <formula>0.5</formula>
    </cfRule>
  </conditionalFormatting>
  <conditionalFormatting sqref="J55">
    <cfRule type="cellIs" dxfId="24354" priority="158096" stopIfTrue="1" operator="greaterThanOrEqual">
      <formula>0.5</formula>
    </cfRule>
  </conditionalFormatting>
  <conditionalFormatting sqref="J56">
    <cfRule type="cellIs" dxfId="24353" priority="158097" stopIfTrue="1" operator="equal">
      <formula>-1</formula>
    </cfRule>
  </conditionalFormatting>
  <conditionalFormatting sqref="J56">
    <cfRule type="cellIs" dxfId="24352" priority="158098" stopIfTrue="1" operator="lessThan">
      <formula>0.5</formula>
    </cfRule>
  </conditionalFormatting>
  <conditionalFormatting sqref="J56">
    <cfRule type="cellIs" dxfId="24351" priority="158099" stopIfTrue="1" operator="greaterThanOrEqual">
      <formula>0.5</formula>
    </cfRule>
  </conditionalFormatting>
  <conditionalFormatting sqref="J57">
    <cfRule type="cellIs" dxfId="24350" priority="158100" stopIfTrue="1" operator="equal">
      <formula>-1</formula>
    </cfRule>
  </conditionalFormatting>
  <conditionalFormatting sqref="J57">
    <cfRule type="cellIs" dxfId="24349" priority="158101" stopIfTrue="1" operator="lessThan">
      <formula>0.5</formula>
    </cfRule>
  </conditionalFormatting>
  <conditionalFormatting sqref="J57">
    <cfRule type="cellIs" dxfId="24348" priority="158102" stopIfTrue="1" operator="greaterThanOrEqual">
      <formula>0.5</formula>
    </cfRule>
  </conditionalFormatting>
  <conditionalFormatting sqref="J58">
    <cfRule type="cellIs" dxfId="24347" priority="158103" stopIfTrue="1" operator="equal">
      <formula>-1</formula>
    </cfRule>
  </conditionalFormatting>
  <conditionalFormatting sqref="J58">
    <cfRule type="cellIs" dxfId="24346" priority="158104" stopIfTrue="1" operator="lessThan">
      <formula>0.5</formula>
    </cfRule>
  </conditionalFormatting>
  <conditionalFormatting sqref="J58">
    <cfRule type="cellIs" dxfId="24345" priority="158105" stopIfTrue="1" operator="greaterThanOrEqual">
      <formula>0.5</formula>
    </cfRule>
  </conditionalFormatting>
  <conditionalFormatting sqref="L39">
    <cfRule type="cellIs" dxfId="24344" priority="158106" stopIfTrue="1" operator="equal">
      <formula>-1</formula>
    </cfRule>
  </conditionalFormatting>
  <conditionalFormatting sqref="L39">
    <cfRule type="cellIs" dxfId="24343" priority="158107" stopIfTrue="1" operator="lessThan">
      <formula>0.5</formula>
    </cfRule>
  </conditionalFormatting>
  <conditionalFormatting sqref="L39">
    <cfRule type="cellIs" dxfId="24342" priority="158108" stopIfTrue="1" operator="greaterThanOrEqual">
      <formula>0.5</formula>
    </cfRule>
  </conditionalFormatting>
  <conditionalFormatting sqref="L40">
    <cfRule type="cellIs" dxfId="24341" priority="158109" stopIfTrue="1" operator="equal">
      <formula>-1</formula>
    </cfRule>
  </conditionalFormatting>
  <conditionalFormatting sqref="L40">
    <cfRule type="cellIs" dxfId="24340" priority="158110" stopIfTrue="1" operator="lessThan">
      <formula>0.5</formula>
    </cfRule>
  </conditionalFormatting>
  <conditionalFormatting sqref="L40">
    <cfRule type="cellIs" dxfId="24339" priority="158111" stopIfTrue="1" operator="greaterThanOrEqual">
      <formula>0.5</formula>
    </cfRule>
  </conditionalFormatting>
  <conditionalFormatting sqref="L41">
    <cfRule type="cellIs" dxfId="24338" priority="158112" stopIfTrue="1" operator="equal">
      <formula>-1</formula>
    </cfRule>
  </conditionalFormatting>
  <conditionalFormatting sqref="L41">
    <cfRule type="cellIs" dxfId="24337" priority="158113" stopIfTrue="1" operator="lessThan">
      <formula>0.5</formula>
    </cfRule>
  </conditionalFormatting>
  <conditionalFormatting sqref="L41">
    <cfRule type="cellIs" dxfId="24336" priority="158114" stopIfTrue="1" operator="greaterThanOrEqual">
      <formula>0.5</formula>
    </cfRule>
  </conditionalFormatting>
  <conditionalFormatting sqref="L42">
    <cfRule type="cellIs" dxfId="24335" priority="158115" stopIfTrue="1" operator="equal">
      <formula>-1</formula>
    </cfRule>
  </conditionalFormatting>
  <conditionalFormatting sqref="L42">
    <cfRule type="cellIs" dxfId="24334" priority="158116" stopIfTrue="1" operator="lessThan">
      <formula>0.5</formula>
    </cfRule>
  </conditionalFormatting>
  <conditionalFormatting sqref="L42">
    <cfRule type="cellIs" dxfId="24333" priority="158117" stopIfTrue="1" operator="greaterThanOrEqual">
      <formula>0.5</formula>
    </cfRule>
  </conditionalFormatting>
  <conditionalFormatting sqref="L43">
    <cfRule type="cellIs" dxfId="24332" priority="158118" stopIfTrue="1" operator="equal">
      <formula>-1</formula>
    </cfRule>
  </conditionalFormatting>
  <conditionalFormatting sqref="L43">
    <cfRule type="cellIs" dxfId="24331" priority="158119" stopIfTrue="1" operator="lessThan">
      <formula>0.5</formula>
    </cfRule>
  </conditionalFormatting>
  <conditionalFormatting sqref="L43">
    <cfRule type="cellIs" dxfId="24330" priority="158120" stopIfTrue="1" operator="greaterThanOrEqual">
      <formula>0.5</formula>
    </cfRule>
  </conditionalFormatting>
  <conditionalFormatting sqref="L44">
    <cfRule type="cellIs" dxfId="24329" priority="158121" stopIfTrue="1" operator="equal">
      <formula>-1</formula>
    </cfRule>
  </conditionalFormatting>
  <conditionalFormatting sqref="L44">
    <cfRule type="cellIs" dxfId="24328" priority="158122" stopIfTrue="1" operator="lessThan">
      <formula>0.5</formula>
    </cfRule>
  </conditionalFormatting>
  <conditionalFormatting sqref="L44">
    <cfRule type="cellIs" dxfId="24327" priority="158123" stopIfTrue="1" operator="greaterThanOrEqual">
      <formula>0.5</formula>
    </cfRule>
  </conditionalFormatting>
  <conditionalFormatting sqref="L45">
    <cfRule type="cellIs" dxfId="24326" priority="158124" stopIfTrue="1" operator="equal">
      <formula>-1</formula>
    </cfRule>
  </conditionalFormatting>
  <conditionalFormatting sqref="L45">
    <cfRule type="cellIs" dxfId="24325" priority="158125" stopIfTrue="1" operator="lessThan">
      <formula>0.5</formula>
    </cfRule>
  </conditionalFormatting>
  <conditionalFormatting sqref="L45">
    <cfRule type="cellIs" dxfId="24324" priority="158126" stopIfTrue="1" operator="greaterThanOrEqual">
      <formula>0.5</formula>
    </cfRule>
  </conditionalFormatting>
  <conditionalFormatting sqref="L46">
    <cfRule type="cellIs" dxfId="24323" priority="158127" stopIfTrue="1" operator="equal">
      <formula>-1</formula>
    </cfRule>
  </conditionalFormatting>
  <conditionalFormatting sqref="L46">
    <cfRule type="cellIs" dxfId="24322" priority="158128" stopIfTrue="1" operator="lessThan">
      <formula>0.5</formula>
    </cfRule>
  </conditionalFormatting>
  <conditionalFormatting sqref="L46">
    <cfRule type="cellIs" dxfId="24321" priority="158129" stopIfTrue="1" operator="greaterThanOrEqual">
      <formula>0.5</formula>
    </cfRule>
  </conditionalFormatting>
  <conditionalFormatting sqref="L47">
    <cfRule type="cellIs" dxfId="24320" priority="158130" stopIfTrue="1" operator="equal">
      <formula>-1</formula>
    </cfRule>
  </conditionalFormatting>
  <conditionalFormatting sqref="L47">
    <cfRule type="cellIs" dxfId="24319" priority="158131" stopIfTrue="1" operator="lessThan">
      <formula>0.5</formula>
    </cfRule>
  </conditionalFormatting>
  <conditionalFormatting sqref="L47">
    <cfRule type="cellIs" dxfId="24318" priority="158132" stopIfTrue="1" operator="greaterThanOrEqual">
      <formula>0.5</formula>
    </cfRule>
  </conditionalFormatting>
  <conditionalFormatting sqref="L48">
    <cfRule type="cellIs" dxfId="24317" priority="158133" stopIfTrue="1" operator="equal">
      <formula>-1</formula>
    </cfRule>
  </conditionalFormatting>
  <conditionalFormatting sqref="L48">
    <cfRule type="cellIs" dxfId="24316" priority="158134" stopIfTrue="1" operator="lessThan">
      <formula>0.5</formula>
    </cfRule>
  </conditionalFormatting>
  <conditionalFormatting sqref="L48">
    <cfRule type="cellIs" dxfId="24315" priority="158135" stopIfTrue="1" operator="greaterThanOrEqual">
      <formula>0.5</formula>
    </cfRule>
  </conditionalFormatting>
  <conditionalFormatting sqref="L49">
    <cfRule type="cellIs" dxfId="24314" priority="158136" stopIfTrue="1" operator="equal">
      <formula>-1</formula>
    </cfRule>
  </conditionalFormatting>
  <conditionalFormatting sqref="L49">
    <cfRule type="cellIs" dxfId="24313" priority="158137" stopIfTrue="1" operator="lessThan">
      <formula>0.5</formula>
    </cfRule>
  </conditionalFormatting>
  <conditionalFormatting sqref="L49">
    <cfRule type="cellIs" dxfId="24312" priority="158138" stopIfTrue="1" operator="greaterThanOrEqual">
      <formula>0.5</formula>
    </cfRule>
  </conditionalFormatting>
  <conditionalFormatting sqref="L50">
    <cfRule type="cellIs" dxfId="24311" priority="158139" stopIfTrue="1" operator="equal">
      <formula>-1</formula>
    </cfRule>
  </conditionalFormatting>
  <conditionalFormatting sqref="L50">
    <cfRule type="cellIs" dxfId="24310" priority="158140" stopIfTrue="1" operator="lessThan">
      <formula>0.5</formula>
    </cfRule>
  </conditionalFormatting>
  <conditionalFormatting sqref="L50">
    <cfRule type="cellIs" dxfId="24309" priority="158141" stopIfTrue="1" operator="greaterThanOrEqual">
      <formula>0.5</formula>
    </cfRule>
  </conditionalFormatting>
  <conditionalFormatting sqref="L51">
    <cfRule type="cellIs" dxfId="24308" priority="158142" stopIfTrue="1" operator="equal">
      <formula>-1</formula>
    </cfRule>
  </conditionalFormatting>
  <conditionalFormatting sqref="L51">
    <cfRule type="cellIs" dxfId="24307" priority="158143" stopIfTrue="1" operator="lessThan">
      <formula>0.5</formula>
    </cfRule>
  </conditionalFormatting>
  <conditionalFormatting sqref="L51">
    <cfRule type="cellIs" dxfId="24306" priority="158144" stopIfTrue="1" operator="greaterThanOrEqual">
      <formula>0.5</formula>
    </cfRule>
  </conditionalFormatting>
  <conditionalFormatting sqref="L52">
    <cfRule type="cellIs" dxfId="24305" priority="158145" stopIfTrue="1" operator="equal">
      <formula>-1</formula>
    </cfRule>
  </conditionalFormatting>
  <conditionalFormatting sqref="L52">
    <cfRule type="cellIs" dxfId="24304" priority="158146" stopIfTrue="1" operator="lessThan">
      <formula>0.5</formula>
    </cfRule>
  </conditionalFormatting>
  <conditionalFormatting sqref="L52">
    <cfRule type="cellIs" dxfId="24303" priority="158147" stopIfTrue="1" operator="greaterThanOrEqual">
      <formula>0.5</formula>
    </cfRule>
  </conditionalFormatting>
  <conditionalFormatting sqref="L53">
    <cfRule type="cellIs" dxfId="24302" priority="158148" stopIfTrue="1" operator="equal">
      <formula>-1</formula>
    </cfRule>
  </conditionalFormatting>
  <conditionalFormatting sqref="L53">
    <cfRule type="cellIs" dxfId="24301" priority="158149" stopIfTrue="1" operator="lessThan">
      <formula>0.5</formula>
    </cfRule>
  </conditionalFormatting>
  <conditionalFormatting sqref="L53">
    <cfRule type="cellIs" dxfId="24300" priority="158150" stopIfTrue="1" operator="greaterThanOrEqual">
      <formula>0.5</formula>
    </cfRule>
  </conditionalFormatting>
  <conditionalFormatting sqref="L54">
    <cfRule type="cellIs" dxfId="24299" priority="158151" stopIfTrue="1" operator="equal">
      <formula>-1</formula>
    </cfRule>
  </conditionalFormatting>
  <conditionalFormatting sqref="L54">
    <cfRule type="cellIs" dxfId="24298" priority="158152" stopIfTrue="1" operator="lessThan">
      <formula>0.5</formula>
    </cfRule>
  </conditionalFormatting>
  <conditionalFormatting sqref="L54">
    <cfRule type="cellIs" dxfId="24297" priority="158153" stopIfTrue="1" operator="greaterThanOrEqual">
      <formula>0.5</formula>
    </cfRule>
  </conditionalFormatting>
  <conditionalFormatting sqref="L55">
    <cfRule type="cellIs" dxfId="24296" priority="158154" stopIfTrue="1" operator="equal">
      <formula>-1</formula>
    </cfRule>
  </conditionalFormatting>
  <conditionalFormatting sqref="L55">
    <cfRule type="cellIs" dxfId="24295" priority="158155" stopIfTrue="1" operator="lessThan">
      <formula>0.5</formula>
    </cfRule>
  </conditionalFormatting>
  <conditionalFormatting sqref="L55">
    <cfRule type="cellIs" dxfId="24294" priority="158156" stopIfTrue="1" operator="greaterThanOrEqual">
      <formula>0.5</formula>
    </cfRule>
  </conditionalFormatting>
  <conditionalFormatting sqref="L56">
    <cfRule type="cellIs" dxfId="24293" priority="158157" stopIfTrue="1" operator="equal">
      <formula>-1</formula>
    </cfRule>
  </conditionalFormatting>
  <conditionalFormatting sqref="L56">
    <cfRule type="cellIs" dxfId="24292" priority="158158" stopIfTrue="1" operator="lessThan">
      <formula>0.5</formula>
    </cfRule>
  </conditionalFormatting>
  <conditionalFormatting sqref="L56">
    <cfRule type="cellIs" dxfId="24291" priority="158159" stopIfTrue="1" operator="greaterThanOrEqual">
      <formula>0.5</formula>
    </cfRule>
  </conditionalFormatting>
  <conditionalFormatting sqref="L57">
    <cfRule type="cellIs" dxfId="24290" priority="158160" stopIfTrue="1" operator="equal">
      <formula>-1</formula>
    </cfRule>
  </conditionalFormatting>
  <conditionalFormatting sqref="L57">
    <cfRule type="cellIs" dxfId="24289" priority="158161" stopIfTrue="1" operator="lessThan">
      <formula>0.5</formula>
    </cfRule>
  </conditionalFormatting>
  <conditionalFormatting sqref="L57">
    <cfRule type="cellIs" dxfId="24288" priority="158162" stopIfTrue="1" operator="greaterThanOrEqual">
      <formula>0.5</formula>
    </cfRule>
  </conditionalFormatting>
  <conditionalFormatting sqref="L58">
    <cfRule type="cellIs" dxfId="24287" priority="158163" stopIfTrue="1" operator="equal">
      <formula>-1</formula>
    </cfRule>
  </conditionalFormatting>
  <conditionalFormatting sqref="L58">
    <cfRule type="cellIs" dxfId="24286" priority="158164" stopIfTrue="1" operator="lessThan">
      <formula>0.5</formula>
    </cfRule>
  </conditionalFormatting>
  <conditionalFormatting sqref="L58">
    <cfRule type="cellIs" dxfId="24285" priority="158165" stopIfTrue="1" operator="greaterThanOrEqual">
      <formula>0.5</formula>
    </cfRule>
  </conditionalFormatting>
  <conditionalFormatting sqref="N39">
    <cfRule type="cellIs" dxfId="24284" priority="158166" stopIfTrue="1" operator="equal">
      <formula>-1</formula>
    </cfRule>
  </conditionalFormatting>
  <conditionalFormatting sqref="N39">
    <cfRule type="cellIs" dxfId="24283" priority="158167" stopIfTrue="1" operator="lessThan">
      <formula>0.5</formula>
    </cfRule>
  </conditionalFormatting>
  <conditionalFormatting sqref="N39">
    <cfRule type="cellIs" dxfId="24282" priority="158168" stopIfTrue="1" operator="greaterThanOrEqual">
      <formula>0.5</formula>
    </cfRule>
  </conditionalFormatting>
  <conditionalFormatting sqref="N40">
    <cfRule type="cellIs" dxfId="24281" priority="158169" stopIfTrue="1" operator="equal">
      <formula>-1</formula>
    </cfRule>
  </conditionalFormatting>
  <conditionalFormatting sqref="N40">
    <cfRule type="cellIs" dxfId="24280" priority="158170" stopIfTrue="1" operator="lessThan">
      <formula>0.5</formula>
    </cfRule>
  </conditionalFormatting>
  <conditionalFormatting sqref="N40">
    <cfRule type="cellIs" dxfId="24279" priority="158171" stopIfTrue="1" operator="greaterThanOrEqual">
      <formula>0.5</formula>
    </cfRule>
  </conditionalFormatting>
  <conditionalFormatting sqref="N41">
    <cfRule type="cellIs" dxfId="24278" priority="158172" stopIfTrue="1" operator="equal">
      <formula>-1</formula>
    </cfRule>
  </conditionalFormatting>
  <conditionalFormatting sqref="N41">
    <cfRule type="cellIs" dxfId="24277" priority="158173" stopIfTrue="1" operator="lessThan">
      <formula>0.5</formula>
    </cfRule>
  </conditionalFormatting>
  <conditionalFormatting sqref="N41">
    <cfRule type="cellIs" dxfId="24276" priority="158174" stopIfTrue="1" operator="greaterThanOrEqual">
      <formula>0.5</formula>
    </cfRule>
  </conditionalFormatting>
  <conditionalFormatting sqref="N42">
    <cfRule type="cellIs" dxfId="24275" priority="158175" stopIfTrue="1" operator="equal">
      <formula>-1</formula>
    </cfRule>
  </conditionalFormatting>
  <conditionalFormatting sqref="N42">
    <cfRule type="cellIs" dxfId="24274" priority="158176" stopIfTrue="1" operator="lessThan">
      <formula>0.5</formula>
    </cfRule>
  </conditionalFormatting>
  <conditionalFormatting sqref="N42">
    <cfRule type="cellIs" dxfId="24273" priority="158177" stopIfTrue="1" operator="greaterThanOrEqual">
      <formula>0.5</formula>
    </cfRule>
  </conditionalFormatting>
  <conditionalFormatting sqref="N43">
    <cfRule type="cellIs" dxfId="24272" priority="158178" stopIfTrue="1" operator="equal">
      <formula>-1</formula>
    </cfRule>
  </conditionalFormatting>
  <conditionalFormatting sqref="N43">
    <cfRule type="cellIs" dxfId="24271" priority="158179" stopIfTrue="1" operator="lessThan">
      <formula>0.5</formula>
    </cfRule>
  </conditionalFormatting>
  <conditionalFormatting sqref="N43">
    <cfRule type="cellIs" dxfId="24270" priority="158180" stopIfTrue="1" operator="greaterThanOrEqual">
      <formula>0.5</formula>
    </cfRule>
  </conditionalFormatting>
  <conditionalFormatting sqref="N44">
    <cfRule type="cellIs" dxfId="24269" priority="158181" stopIfTrue="1" operator="equal">
      <formula>-1</formula>
    </cfRule>
  </conditionalFormatting>
  <conditionalFormatting sqref="N44">
    <cfRule type="cellIs" dxfId="24268" priority="158182" stopIfTrue="1" operator="lessThan">
      <formula>0.5</formula>
    </cfRule>
  </conditionalFormatting>
  <conditionalFormatting sqref="N44">
    <cfRule type="cellIs" dxfId="24267" priority="158183" stopIfTrue="1" operator="greaterThanOrEqual">
      <formula>0.5</formula>
    </cfRule>
  </conditionalFormatting>
  <conditionalFormatting sqref="N45">
    <cfRule type="cellIs" dxfId="24266" priority="158184" stopIfTrue="1" operator="equal">
      <formula>-1</formula>
    </cfRule>
  </conditionalFormatting>
  <conditionalFormatting sqref="N45">
    <cfRule type="cellIs" dxfId="24265" priority="158185" stopIfTrue="1" operator="lessThan">
      <formula>0.5</formula>
    </cfRule>
  </conditionalFormatting>
  <conditionalFormatting sqref="N45">
    <cfRule type="cellIs" dxfId="24264" priority="158186" stopIfTrue="1" operator="greaterThanOrEqual">
      <formula>0.5</formula>
    </cfRule>
  </conditionalFormatting>
  <conditionalFormatting sqref="N46">
    <cfRule type="cellIs" dxfId="24263" priority="158187" stopIfTrue="1" operator="equal">
      <formula>-1</formula>
    </cfRule>
  </conditionalFormatting>
  <conditionalFormatting sqref="N46">
    <cfRule type="cellIs" dxfId="24262" priority="158188" stopIfTrue="1" operator="lessThan">
      <formula>0.5</formula>
    </cfRule>
  </conditionalFormatting>
  <conditionalFormatting sqref="N46">
    <cfRule type="cellIs" dxfId="24261" priority="158189" stopIfTrue="1" operator="greaterThanOrEqual">
      <formula>0.5</formula>
    </cfRule>
  </conditionalFormatting>
  <conditionalFormatting sqref="N47">
    <cfRule type="cellIs" dxfId="24260" priority="158190" stopIfTrue="1" operator="equal">
      <formula>-1</formula>
    </cfRule>
  </conditionalFormatting>
  <conditionalFormatting sqref="N47">
    <cfRule type="cellIs" dxfId="24259" priority="158191" stopIfTrue="1" operator="lessThan">
      <formula>0.5</formula>
    </cfRule>
  </conditionalFormatting>
  <conditionalFormatting sqref="N47">
    <cfRule type="cellIs" dxfId="24258" priority="158192" stopIfTrue="1" operator="greaterThanOrEqual">
      <formula>0.5</formula>
    </cfRule>
  </conditionalFormatting>
  <conditionalFormatting sqref="N48">
    <cfRule type="cellIs" dxfId="24257" priority="158193" stopIfTrue="1" operator="equal">
      <formula>-1</formula>
    </cfRule>
  </conditionalFormatting>
  <conditionalFormatting sqref="N48">
    <cfRule type="cellIs" dxfId="24256" priority="158194" stopIfTrue="1" operator="lessThan">
      <formula>0.5</formula>
    </cfRule>
  </conditionalFormatting>
  <conditionalFormatting sqref="N48">
    <cfRule type="cellIs" dxfId="24255" priority="158195" stopIfTrue="1" operator="greaterThanOrEqual">
      <formula>0.5</formula>
    </cfRule>
  </conditionalFormatting>
  <conditionalFormatting sqref="N49">
    <cfRule type="cellIs" dxfId="24254" priority="158196" stopIfTrue="1" operator="equal">
      <formula>-1</formula>
    </cfRule>
  </conditionalFormatting>
  <conditionalFormatting sqref="N49">
    <cfRule type="cellIs" dxfId="24253" priority="158197" stopIfTrue="1" operator="lessThan">
      <formula>0.5</formula>
    </cfRule>
  </conditionalFormatting>
  <conditionalFormatting sqref="N49">
    <cfRule type="cellIs" dxfId="24252" priority="158198" stopIfTrue="1" operator="greaterThanOrEqual">
      <formula>0.5</formula>
    </cfRule>
  </conditionalFormatting>
  <conditionalFormatting sqref="N50">
    <cfRule type="cellIs" dxfId="24251" priority="158199" stopIfTrue="1" operator="equal">
      <formula>-1</formula>
    </cfRule>
  </conditionalFormatting>
  <conditionalFormatting sqref="N50">
    <cfRule type="cellIs" dxfId="24250" priority="158200" stopIfTrue="1" operator="lessThan">
      <formula>0.5</formula>
    </cfRule>
  </conditionalFormatting>
  <conditionalFormatting sqref="N50">
    <cfRule type="cellIs" dxfId="24249" priority="158201" stopIfTrue="1" operator="greaterThanOrEqual">
      <formula>0.5</formula>
    </cfRule>
  </conditionalFormatting>
  <conditionalFormatting sqref="N51">
    <cfRule type="cellIs" dxfId="24248" priority="158202" stopIfTrue="1" operator="equal">
      <formula>-1</formula>
    </cfRule>
  </conditionalFormatting>
  <conditionalFormatting sqref="N51">
    <cfRule type="cellIs" dxfId="24247" priority="158203" stopIfTrue="1" operator="lessThan">
      <formula>0.5</formula>
    </cfRule>
  </conditionalFormatting>
  <conditionalFormatting sqref="N51">
    <cfRule type="cellIs" dxfId="24246" priority="158204" stopIfTrue="1" operator="greaterThanOrEqual">
      <formula>0.5</formula>
    </cfRule>
  </conditionalFormatting>
  <conditionalFormatting sqref="N52">
    <cfRule type="cellIs" dxfId="24245" priority="158205" stopIfTrue="1" operator="equal">
      <formula>-1</formula>
    </cfRule>
  </conditionalFormatting>
  <conditionalFormatting sqref="N52">
    <cfRule type="cellIs" dxfId="24244" priority="158206" stopIfTrue="1" operator="lessThan">
      <formula>0.5</formula>
    </cfRule>
  </conditionalFormatting>
  <conditionalFormatting sqref="N52">
    <cfRule type="cellIs" dxfId="24243" priority="158207" stopIfTrue="1" operator="greaterThanOrEqual">
      <formula>0.5</formula>
    </cfRule>
  </conditionalFormatting>
  <conditionalFormatting sqref="N53">
    <cfRule type="cellIs" dxfId="24242" priority="158208" stopIfTrue="1" operator="equal">
      <formula>-1</formula>
    </cfRule>
  </conditionalFormatting>
  <conditionalFormatting sqref="N53">
    <cfRule type="cellIs" dxfId="24241" priority="158209" stopIfTrue="1" operator="lessThan">
      <formula>0.5</formula>
    </cfRule>
  </conditionalFormatting>
  <conditionalFormatting sqref="N53">
    <cfRule type="cellIs" dxfId="24240" priority="158210" stopIfTrue="1" operator="greaterThanOrEqual">
      <formula>0.5</formula>
    </cfRule>
  </conditionalFormatting>
  <conditionalFormatting sqref="N54">
    <cfRule type="cellIs" dxfId="24239" priority="158211" stopIfTrue="1" operator="equal">
      <formula>-1</formula>
    </cfRule>
  </conditionalFormatting>
  <conditionalFormatting sqref="N54">
    <cfRule type="cellIs" dxfId="24238" priority="158212" stopIfTrue="1" operator="lessThan">
      <formula>0.5</formula>
    </cfRule>
  </conditionalFormatting>
  <conditionalFormatting sqref="N54">
    <cfRule type="cellIs" dxfId="24237" priority="158213" stopIfTrue="1" operator="greaterThanOrEqual">
      <formula>0.5</formula>
    </cfRule>
  </conditionalFormatting>
  <conditionalFormatting sqref="N55">
    <cfRule type="cellIs" dxfId="24236" priority="158214" stopIfTrue="1" operator="equal">
      <formula>-1</formula>
    </cfRule>
  </conditionalFormatting>
  <conditionalFormatting sqref="N55">
    <cfRule type="cellIs" dxfId="24235" priority="158215" stopIfTrue="1" operator="lessThan">
      <formula>0.5</formula>
    </cfRule>
  </conditionalFormatting>
  <conditionalFormatting sqref="N55">
    <cfRule type="cellIs" dxfId="24234" priority="158216" stopIfTrue="1" operator="greaterThanOrEqual">
      <formula>0.5</formula>
    </cfRule>
  </conditionalFormatting>
  <conditionalFormatting sqref="N56">
    <cfRule type="cellIs" dxfId="24233" priority="158217" stopIfTrue="1" operator="equal">
      <formula>-1</formula>
    </cfRule>
  </conditionalFormatting>
  <conditionalFormatting sqref="N56">
    <cfRule type="cellIs" dxfId="24232" priority="158218" stopIfTrue="1" operator="lessThan">
      <formula>0.5</formula>
    </cfRule>
  </conditionalFormatting>
  <conditionalFormatting sqref="N56">
    <cfRule type="cellIs" dxfId="24231" priority="158219" stopIfTrue="1" operator="greaterThanOrEqual">
      <formula>0.5</formula>
    </cfRule>
  </conditionalFormatting>
  <conditionalFormatting sqref="N57">
    <cfRule type="cellIs" dxfId="24230" priority="158220" stopIfTrue="1" operator="equal">
      <formula>-1</formula>
    </cfRule>
  </conditionalFormatting>
  <conditionalFormatting sqref="N57">
    <cfRule type="cellIs" dxfId="24229" priority="158221" stopIfTrue="1" operator="lessThan">
      <formula>0.5</formula>
    </cfRule>
  </conditionalFormatting>
  <conditionalFormatting sqref="N57">
    <cfRule type="cellIs" dxfId="24228" priority="158222" stopIfTrue="1" operator="greaterThanOrEqual">
      <formula>0.5</formula>
    </cfRule>
  </conditionalFormatting>
  <conditionalFormatting sqref="N58">
    <cfRule type="cellIs" dxfId="24227" priority="158223" stopIfTrue="1" operator="equal">
      <formula>-1</formula>
    </cfRule>
  </conditionalFormatting>
  <conditionalFormatting sqref="N58">
    <cfRule type="cellIs" dxfId="24226" priority="158224" stopIfTrue="1" operator="lessThan">
      <formula>0.5</formula>
    </cfRule>
  </conditionalFormatting>
  <conditionalFormatting sqref="N58">
    <cfRule type="cellIs" dxfId="24225" priority="158225" stopIfTrue="1" operator="greaterThanOrEqual">
      <formula>0.5</formula>
    </cfRule>
  </conditionalFormatting>
  <conditionalFormatting sqref="P39">
    <cfRule type="cellIs" dxfId="24224" priority="158226" stopIfTrue="1" operator="equal">
      <formula>-1</formula>
    </cfRule>
  </conditionalFormatting>
  <conditionalFormatting sqref="P39">
    <cfRule type="cellIs" dxfId="24223" priority="158227" stopIfTrue="1" operator="lessThan">
      <formula>0.5</formula>
    </cfRule>
  </conditionalFormatting>
  <conditionalFormatting sqref="P39">
    <cfRule type="cellIs" dxfId="24222" priority="158228" stopIfTrue="1" operator="greaterThanOrEqual">
      <formula>0.5</formula>
    </cfRule>
  </conditionalFormatting>
  <conditionalFormatting sqref="P40">
    <cfRule type="cellIs" dxfId="24221" priority="158229" stopIfTrue="1" operator="equal">
      <formula>-1</formula>
    </cfRule>
  </conditionalFormatting>
  <conditionalFormatting sqref="P40">
    <cfRule type="cellIs" dxfId="24220" priority="158230" stopIfTrue="1" operator="lessThan">
      <formula>0.5</formula>
    </cfRule>
  </conditionalFormatting>
  <conditionalFormatting sqref="P40">
    <cfRule type="cellIs" dxfId="24219" priority="158231" stopIfTrue="1" operator="greaterThanOrEqual">
      <formula>0.5</formula>
    </cfRule>
  </conditionalFormatting>
  <conditionalFormatting sqref="P41">
    <cfRule type="cellIs" dxfId="24218" priority="158232" stopIfTrue="1" operator="equal">
      <formula>-1</formula>
    </cfRule>
  </conditionalFormatting>
  <conditionalFormatting sqref="P41">
    <cfRule type="cellIs" dxfId="24217" priority="158233" stopIfTrue="1" operator="lessThan">
      <formula>0.5</formula>
    </cfRule>
  </conditionalFormatting>
  <conditionalFormatting sqref="P41">
    <cfRule type="cellIs" dxfId="24216" priority="158234" stopIfTrue="1" operator="greaterThanOrEqual">
      <formula>0.5</formula>
    </cfRule>
  </conditionalFormatting>
  <conditionalFormatting sqref="P42">
    <cfRule type="cellIs" dxfId="24215" priority="158235" stopIfTrue="1" operator="equal">
      <formula>-1</formula>
    </cfRule>
  </conditionalFormatting>
  <conditionalFormatting sqref="P42">
    <cfRule type="cellIs" dxfId="24214" priority="158236" stopIfTrue="1" operator="lessThan">
      <formula>0.5</formula>
    </cfRule>
  </conditionalFormatting>
  <conditionalFormatting sqref="P42">
    <cfRule type="cellIs" dxfId="24213" priority="158237" stopIfTrue="1" operator="greaterThanOrEqual">
      <formula>0.5</formula>
    </cfRule>
  </conditionalFormatting>
  <conditionalFormatting sqref="P43">
    <cfRule type="cellIs" dxfId="24212" priority="158238" stopIfTrue="1" operator="equal">
      <formula>-1</formula>
    </cfRule>
  </conditionalFormatting>
  <conditionalFormatting sqref="P43">
    <cfRule type="cellIs" dxfId="24211" priority="158239" stopIfTrue="1" operator="lessThan">
      <formula>0.5</formula>
    </cfRule>
  </conditionalFormatting>
  <conditionalFormatting sqref="P43">
    <cfRule type="cellIs" dxfId="24210" priority="158240" stopIfTrue="1" operator="greaterThanOrEqual">
      <formula>0.5</formula>
    </cfRule>
  </conditionalFormatting>
  <conditionalFormatting sqref="P44">
    <cfRule type="cellIs" dxfId="24209" priority="158241" stopIfTrue="1" operator="equal">
      <formula>-1</formula>
    </cfRule>
  </conditionalFormatting>
  <conditionalFormatting sqref="P44">
    <cfRule type="cellIs" dxfId="24208" priority="158242" stopIfTrue="1" operator="lessThan">
      <formula>0.5</formula>
    </cfRule>
  </conditionalFormatting>
  <conditionalFormatting sqref="P44">
    <cfRule type="cellIs" dxfId="24207" priority="158243" stopIfTrue="1" operator="greaterThanOrEqual">
      <formula>0.5</formula>
    </cfRule>
  </conditionalFormatting>
  <conditionalFormatting sqref="P45">
    <cfRule type="cellIs" dxfId="24206" priority="158244" stopIfTrue="1" operator="equal">
      <formula>-1</formula>
    </cfRule>
  </conditionalFormatting>
  <conditionalFormatting sqref="P45">
    <cfRule type="cellIs" dxfId="24205" priority="158245" stopIfTrue="1" operator="lessThan">
      <formula>0.5</formula>
    </cfRule>
  </conditionalFormatting>
  <conditionalFormatting sqref="P45">
    <cfRule type="cellIs" dxfId="24204" priority="158246" stopIfTrue="1" operator="greaterThanOrEqual">
      <formula>0.5</formula>
    </cfRule>
  </conditionalFormatting>
  <conditionalFormatting sqref="P46">
    <cfRule type="cellIs" dxfId="24203" priority="158247" stopIfTrue="1" operator="equal">
      <formula>-1</formula>
    </cfRule>
  </conditionalFormatting>
  <conditionalFormatting sqref="P46">
    <cfRule type="cellIs" dxfId="24202" priority="158248" stopIfTrue="1" operator="lessThan">
      <formula>0.5</formula>
    </cfRule>
  </conditionalFormatting>
  <conditionalFormatting sqref="P46">
    <cfRule type="cellIs" dxfId="24201" priority="158249" stopIfTrue="1" operator="greaterThanOrEqual">
      <formula>0.5</formula>
    </cfRule>
  </conditionalFormatting>
  <conditionalFormatting sqref="P47">
    <cfRule type="cellIs" dxfId="24200" priority="158250" stopIfTrue="1" operator="equal">
      <formula>-1</formula>
    </cfRule>
  </conditionalFormatting>
  <conditionalFormatting sqref="P47">
    <cfRule type="cellIs" dxfId="24199" priority="158251" stopIfTrue="1" operator="lessThan">
      <formula>0.5</formula>
    </cfRule>
  </conditionalFormatting>
  <conditionalFormatting sqref="P47">
    <cfRule type="cellIs" dxfId="24198" priority="158252" stopIfTrue="1" operator="greaterThanOrEqual">
      <formula>0.5</formula>
    </cfRule>
  </conditionalFormatting>
  <conditionalFormatting sqref="P48">
    <cfRule type="cellIs" dxfId="24197" priority="158253" stopIfTrue="1" operator="equal">
      <formula>-1</formula>
    </cfRule>
  </conditionalFormatting>
  <conditionalFormatting sqref="P48">
    <cfRule type="cellIs" dxfId="24196" priority="158254" stopIfTrue="1" operator="lessThan">
      <formula>0.5</formula>
    </cfRule>
  </conditionalFormatting>
  <conditionalFormatting sqref="P48">
    <cfRule type="cellIs" dxfId="24195" priority="158255" stopIfTrue="1" operator="greaterThanOrEqual">
      <formula>0.5</formula>
    </cfRule>
  </conditionalFormatting>
  <conditionalFormatting sqref="P49">
    <cfRule type="cellIs" dxfId="24194" priority="158256" stopIfTrue="1" operator="equal">
      <formula>-1</formula>
    </cfRule>
  </conditionalFormatting>
  <conditionalFormatting sqref="P49">
    <cfRule type="cellIs" dxfId="24193" priority="158257" stopIfTrue="1" operator="lessThan">
      <formula>0.5</formula>
    </cfRule>
  </conditionalFormatting>
  <conditionalFormatting sqref="P49">
    <cfRule type="cellIs" dxfId="24192" priority="158258" stopIfTrue="1" operator="greaterThanOrEqual">
      <formula>0.5</formula>
    </cfRule>
  </conditionalFormatting>
  <conditionalFormatting sqref="P50">
    <cfRule type="cellIs" dxfId="24191" priority="158259" stopIfTrue="1" operator="equal">
      <formula>-1</formula>
    </cfRule>
  </conditionalFormatting>
  <conditionalFormatting sqref="P50">
    <cfRule type="cellIs" dxfId="24190" priority="158260" stopIfTrue="1" operator="lessThan">
      <formula>0.5</formula>
    </cfRule>
  </conditionalFormatting>
  <conditionalFormatting sqref="P50">
    <cfRule type="cellIs" dxfId="24189" priority="158261" stopIfTrue="1" operator="greaterThanOrEqual">
      <formula>0.5</formula>
    </cfRule>
  </conditionalFormatting>
  <conditionalFormatting sqref="P51">
    <cfRule type="cellIs" dxfId="24188" priority="158262" stopIfTrue="1" operator="equal">
      <formula>-1</formula>
    </cfRule>
  </conditionalFormatting>
  <conditionalFormatting sqref="P51">
    <cfRule type="cellIs" dxfId="24187" priority="158263" stopIfTrue="1" operator="lessThan">
      <formula>0.5</formula>
    </cfRule>
  </conditionalFormatting>
  <conditionalFormatting sqref="P51">
    <cfRule type="cellIs" dxfId="24186" priority="158264" stopIfTrue="1" operator="greaterThanOrEqual">
      <formula>0.5</formula>
    </cfRule>
  </conditionalFormatting>
  <conditionalFormatting sqref="P52">
    <cfRule type="cellIs" dxfId="24185" priority="158265" stopIfTrue="1" operator="equal">
      <formula>-1</formula>
    </cfRule>
  </conditionalFormatting>
  <conditionalFormatting sqref="P52">
    <cfRule type="cellIs" dxfId="24184" priority="158266" stopIfTrue="1" operator="lessThan">
      <formula>0.5</formula>
    </cfRule>
  </conditionalFormatting>
  <conditionalFormatting sqref="P52">
    <cfRule type="cellIs" dxfId="24183" priority="158267" stopIfTrue="1" operator="greaterThanOrEqual">
      <formula>0.5</formula>
    </cfRule>
  </conditionalFormatting>
  <conditionalFormatting sqref="P53">
    <cfRule type="cellIs" dxfId="24182" priority="158268" stopIfTrue="1" operator="equal">
      <formula>-1</formula>
    </cfRule>
  </conditionalFormatting>
  <conditionalFormatting sqref="P53">
    <cfRule type="cellIs" dxfId="24181" priority="158269" stopIfTrue="1" operator="lessThan">
      <formula>0.5</formula>
    </cfRule>
  </conditionalFormatting>
  <conditionalFormatting sqref="P53">
    <cfRule type="cellIs" dxfId="24180" priority="158270" stopIfTrue="1" operator="greaterThanOrEqual">
      <formula>0.5</formula>
    </cfRule>
  </conditionalFormatting>
  <conditionalFormatting sqref="P54">
    <cfRule type="cellIs" dxfId="24179" priority="158271" stopIfTrue="1" operator="equal">
      <formula>-1</formula>
    </cfRule>
  </conditionalFormatting>
  <conditionalFormatting sqref="P54">
    <cfRule type="cellIs" dxfId="24178" priority="158272" stopIfTrue="1" operator="lessThan">
      <formula>0.5</formula>
    </cfRule>
  </conditionalFormatting>
  <conditionalFormatting sqref="P54">
    <cfRule type="cellIs" dxfId="24177" priority="158273" stopIfTrue="1" operator="greaterThanOrEqual">
      <formula>0.5</formula>
    </cfRule>
  </conditionalFormatting>
  <conditionalFormatting sqref="P55">
    <cfRule type="cellIs" dxfId="24176" priority="158274" stopIfTrue="1" operator="equal">
      <formula>-1</formula>
    </cfRule>
  </conditionalFormatting>
  <conditionalFormatting sqref="P55">
    <cfRule type="cellIs" dxfId="24175" priority="158275" stopIfTrue="1" operator="lessThan">
      <formula>0.5</formula>
    </cfRule>
  </conditionalFormatting>
  <conditionalFormatting sqref="P55">
    <cfRule type="cellIs" dxfId="24174" priority="158276" stopIfTrue="1" operator="greaterThanOrEqual">
      <formula>0.5</formula>
    </cfRule>
  </conditionalFormatting>
  <conditionalFormatting sqref="P56">
    <cfRule type="cellIs" dxfId="24173" priority="158277" stopIfTrue="1" operator="equal">
      <formula>-1</formula>
    </cfRule>
  </conditionalFormatting>
  <conditionalFormatting sqref="P56">
    <cfRule type="cellIs" dxfId="24172" priority="158278" stopIfTrue="1" operator="lessThan">
      <formula>0.5</formula>
    </cfRule>
  </conditionalFormatting>
  <conditionalFormatting sqref="P56">
    <cfRule type="cellIs" dxfId="24171" priority="158279" stopIfTrue="1" operator="greaterThanOrEqual">
      <formula>0.5</formula>
    </cfRule>
  </conditionalFormatting>
  <conditionalFormatting sqref="P57">
    <cfRule type="cellIs" dxfId="24170" priority="158280" stopIfTrue="1" operator="equal">
      <formula>-1</formula>
    </cfRule>
  </conditionalFormatting>
  <conditionalFormatting sqref="P57">
    <cfRule type="cellIs" dxfId="24169" priority="158281" stopIfTrue="1" operator="lessThan">
      <formula>0.5</formula>
    </cfRule>
  </conditionalFormatting>
  <conditionalFormatting sqref="P57">
    <cfRule type="cellIs" dxfId="24168" priority="158282" stopIfTrue="1" operator="greaterThanOrEqual">
      <formula>0.5</formula>
    </cfRule>
  </conditionalFormatting>
  <conditionalFormatting sqref="P58">
    <cfRule type="cellIs" dxfId="24167" priority="158283" stopIfTrue="1" operator="equal">
      <formula>-1</formula>
    </cfRule>
  </conditionalFormatting>
  <conditionalFormatting sqref="P58">
    <cfRule type="cellIs" dxfId="24166" priority="158284" stopIfTrue="1" operator="lessThan">
      <formula>0.5</formula>
    </cfRule>
  </conditionalFormatting>
  <conditionalFormatting sqref="P58">
    <cfRule type="cellIs" dxfId="24165" priority="158285" stopIfTrue="1" operator="greaterThanOrEqual">
      <formula>0.5</formula>
    </cfRule>
  </conditionalFormatting>
  <conditionalFormatting sqref="R39">
    <cfRule type="cellIs" dxfId="24164" priority="158286" stopIfTrue="1" operator="equal">
      <formula>-1</formula>
    </cfRule>
  </conditionalFormatting>
  <conditionalFormatting sqref="R39">
    <cfRule type="cellIs" dxfId="24163" priority="158287" stopIfTrue="1" operator="lessThan">
      <formula>0.5</formula>
    </cfRule>
  </conditionalFormatting>
  <conditionalFormatting sqref="R39">
    <cfRule type="cellIs" dxfId="24162" priority="158288" stopIfTrue="1" operator="greaterThanOrEqual">
      <formula>0.5</formula>
    </cfRule>
  </conditionalFormatting>
  <conditionalFormatting sqref="R40">
    <cfRule type="cellIs" dxfId="24161" priority="158289" stopIfTrue="1" operator="equal">
      <formula>-1</formula>
    </cfRule>
  </conditionalFormatting>
  <conditionalFormatting sqref="R40">
    <cfRule type="cellIs" dxfId="24160" priority="158290" stopIfTrue="1" operator="lessThan">
      <formula>0.5</formula>
    </cfRule>
  </conditionalFormatting>
  <conditionalFormatting sqref="R40">
    <cfRule type="cellIs" dxfId="24159" priority="158291" stopIfTrue="1" operator="greaterThanOrEqual">
      <formula>0.5</formula>
    </cfRule>
  </conditionalFormatting>
  <conditionalFormatting sqref="R41">
    <cfRule type="cellIs" dxfId="24158" priority="158292" stopIfTrue="1" operator="equal">
      <formula>-1</formula>
    </cfRule>
  </conditionalFormatting>
  <conditionalFormatting sqref="R41">
    <cfRule type="cellIs" dxfId="24157" priority="158293" stopIfTrue="1" operator="lessThan">
      <formula>0.5</formula>
    </cfRule>
  </conditionalFormatting>
  <conditionalFormatting sqref="R41">
    <cfRule type="cellIs" dxfId="24156" priority="158294" stopIfTrue="1" operator="greaterThanOrEqual">
      <formula>0.5</formula>
    </cfRule>
  </conditionalFormatting>
  <conditionalFormatting sqref="R42">
    <cfRule type="cellIs" dxfId="24155" priority="158295" stopIfTrue="1" operator="equal">
      <formula>-1</formula>
    </cfRule>
  </conditionalFormatting>
  <conditionalFormatting sqref="R42">
    <cfRule type="cellIs" dxfId="24154" priority="158296" stopIfTrue="1" operator="lessThan">
      <formula>0.5</formula>
    </cfRule>
  </conditionalFormatting>
  <conditionalFormatting sqref="R42">
    <cfRule type="cellIs" dxfId="24153" priority="158297" stopIfTrue="1" operator="greaterThanOrEqual">
      <formula>0.5</formula>
    </cfRule>
  </conditionalFormatting>
  <conditionalFormatting sqref="R43">
    <cfRule type="cellIs" dxfId="24152" priority="158298" stopIfTrue="1" operator="equal">
      <formula>-1</formula>
    </cfRule>
  </conditionalFormatting>
  <conditionalFormatting sqref="R43">
    <cfRule type="cellIs" dxfId="24151" priority="158299" stopIfTrue="1" operator="lessThan">
      <formula>0.5</formula>
    </cfRule>
  </conditionalFormatting>
  <conditionalFormatting sqref="R43">
    <cfRule type="cellIs" dxfId="24150" priority="158300" stopIfTrue="1" operator="greaterThanOrEqual">
      <formula>0.5</formula>
    </cfRule>
  </conditionalFormatting>
  <conditionalFormatting sqref="R44">
    <cfRule type="cellIs" dxfId="24149" priority="158301" stopIfTrue="1" operator="equal">
      <formula>-1</formula>
    </cfRule>
  </conditionalFormatting>
  <conditionalFormatting sqref="R44">
    <cfRule type="cellIs" dxfId="24148" priority="158302" stopIfTrue="1" operator="lessThan">
      <formula>0.5</formula>
    </cfRule>
  </conditionalFormatting>
  <conditionalFormatting sqref="R44">
    <cfRule type="cellIs" dxfId="24147" priority="158303" stopIfTrue="1" operator="greaterThanOrEqual">
      <formula>0.5</formula>
    </cfRule>
  </conditionalFormatting>
  <conditionalFormatting sqref="R45">
    <cfRule type="cellIs" dxfId="24146" priority="158304" stopIfTrue="1" operator="equal">
      <formula>-1</formula>
    </cfRule>
  </conditionalFormatting>
  <conditionalFormatting sqref="R45">
    <cfRule type="cellIs" dxfId="24145" priority="158305" stopIfTrue="1" operator="lessThan">
      <formula>0.5</formula>
    </cfRule>
  </conditionalFormatting>
  <conditionalFormatting sqref="R45">
    <cfRule type="cellIs" dxfId="24144" priority="158306" stopIfTrue="1" operator="greaterThanOrEqual">
      <formula>0.5</formula>
    </cfRule>
  </conditionalFormatting>
  <conditionalFormatting sqref="R46">
    <cfRule type="cellIs" dxfId="24143" priority="158307" stopIfTrue="1" operator="equal">
      <formula>-1</formula>
    </cfRule>
  </conditionalFormatting>
  <conditionalFormatting sqref="R46">
    <cfRule type="cellIs" dxfId="24142" priority="158308" stopIfTrue="1" operator="lessThan">
      <formula>0.5</formula>
    </cfRule>
  </conditionalFormatting>
  <conditionalFormatting sqref="R46">
    <cfRule type="cellIs" dxfId="24141" priority="158309" stopIfTrue="1" operator="greaterThanOrEqual">
      <formula>0.5</formula>
    </cfRule>
  </conditionalFormatting>
  <conditionalFormatting sqref="R47">
    <cfRule type="cellIs" dxfId="24140" priority="158310" stopIfTrue="1" operator="equal">
      <formula>-1</formula>
    </cfRule>
  </conditionalFormatting>
  <conditionalFormatting sqref="R47">
    <cfRule type="cellIs" dxfId="24139" priority="158311" stopIfTrue="1" operator="lessThan">
      <formula>0.5</formula>
    </cfRule>
  </conditionalFormatting>
  <conditionalFormatting sqref="R47">
    <cfRule type="cellIs" dxfId="24138" priority="158312" stopIfTrue="1" operator="greaterThanOrEqual">
      <formula>0.5</formula>
    </cfRule>
  </conditionalFormatting>
  <conditionalFormatting sqref="R48">
    <cfRule type="cellIs" dxfId="24137" priority="158313" stopIfTrue="1" operator="equal">
      <formula>-1</formula>
    </cfRule>
  </conditionalFormatting>
  <conditionalFormatting sqref="R48">
    <cfRule type="cellIs" dxfId="24136" priority="158314" stopIfTrue="1" operator="lessThan">
      <formula>0.5</formula>
    </cfRule>
  </conditionalFormatting>
  <conditionalFormatting sqref="R48">
    <cfRule type="cellIs" dxfId="24135" priority="158315" stopIfTrue="1" operator="greaterThanOrEqual">
      <formula>0.5</formula>
    </cfRule>
  </conditionalFormatting>
  <conditionalFormatting sqref="R49">
    <cfRule type="cellIs" dxfId="24134" priority="158316" stopIfTrue="1" operator="equal">
      <formula>-1</formula>
    </cfRule>
  </conditionalFormatting>
  <conditionalFormatting sqref="R49">
    <cfRule type="cellIs" dxfId="24133" priority="158317" stopIfTrue="1" operator="lessThan">
      <formula>0.5</formula>
    </cfRule>
  </conditionalFormatting>
  <conditionalFormatting sqref="R49">
    <cfRule type="cellIs" dxfId="24132" priority="158318" stopIfTrue="1" operator="greaterThanOrEqual">
      <formula>0.5</formula>
    </cfRule>
  </conditionalFormatting>
  <conditionalFormatting sqref="R50">
    <cfRule type="cellIs" dxfId="24131" priority="158319" stopIfTrue="1" operator="equal">
      <formula>-1</formula>
    </cfRule>
  </conditionalFormatting>
  <conditionalFormatting sqref="R50">
    <cfRule type="cellIs" dxfId="24130" priority="158320" stopIfTrue="1" operator="lessThan">
      <formula>0.5</formula>
    </cfRule>
  </conditionalFormatting>
  <conditionalFormatting sqref="R50">
    <cfRule type="cellIs" dxfId="24129" priority="158321" stopIfTrue="1" operator="greaterThanOrEqual">
      <formula>0.5</formula>
    </cfRule>
  </conditionalFormatting>
  <conditionalFormatting sqref="R51">
    <cfRule type="cellIs" dxfId="24128" priority="158322" stopIfTrue="1" operator="equal">
      <formula>-1</formula>
    </cfRule>
  </conditionalFormatting>
  <conditionalFormatting sqref="R51">
    <cfRule type="cellIs" dxfId="24127" priority="158323" stopIfTrue="1" operator="lessThan">
      <formula>0.5</formula>
    </cfRule>
  </conditionalFormatting>
  <conditionalFormatting sqref="R51">
    <cfRule type="cellIs" dxfId="24126" priority="158324" stopIfTrue="1" operator="greaterThanOrEqual">
      <formula>0.5</formula>
    </cfRule>
  </conditionalFormatting>
  <conditionalFormatting sqref="R52">
    <cfRule type="cellIs" dxfId="24125" priority="158325" stopIfTrue="1" operator="equal">
      <formula>-1</formula>
    </cfRule>
  </conditionalFormatting>
  <conditionalFormatting sqref="R52">
    <cfRule type="cellIs" dxfId="24124" priority="158326" stopIfTrue="1" operator="lessThan">
      <formula>0.5</formula>
    </cfRule>
  </conditionalFormatting>
  <conditionalFormatting sqref="R52">
    <cfRule type="cellIs" dxfId="24123" priority="158327" stopIfTrue="1" operator="greaterThanOrEqual">
      <formula>0.5</formula>
    </cfRule>
  </conditionalFormatting>
  <conditionalFormatting sqref="R53">
    <cfRule type="cellIs" dxfId="24122" priority="158328" stopIfTrue="1" operator="equal">
      <formula>-1</formula>
    </cfRule>
  </conditionalFormatting>
  <conditionalFormatting sqref="R53">
    <cfRule type="cellIs" dxfId="24121" priority="158329" stopIfTrue="1" operator="lessThan">
      <formula>0.5</formula>
    </cfRule>
  </conditionalFormatting>
  <conditionalFormatting sqref="R53">
    <cfRule type="cellIs" dxfId="24120" priority="158330" stopIfTrue="1" operator="greaterThanOrEqual">
      <formula>0.5</formula>
    </cfRule>
  </conditionalFormatting>
  <conditionalFormatting sqref="R54">
    <cfRule type="cellIs" dxfId="24119" priority="158331" stopIfTrue="1" operator="equal">
      <formula>-1</formula>
    </cfRule>
  </conditionalFormatting>
  <conditionalFormatting sqref="R54">
    <cfRule type="cellIs" dxfId="24118" priority="158332" stopIfTrue="1" operator="lessThan">
      <formula>0.5</formula>
    </cfRule>
  </conditionalFormatting>
  <conditionalFormatting sqref="R54">
    <cfRule type="cellIs" dxfId="24117" priority="158333" stopIfTrue="1" operator="greaterThanOrEqual">
      <formula>0.5</formula>
    </cfRule>
  </conditionalFormatting>
  <conditionalFormatting sqref="R55">
    <cfRule type="cellIs" dxfId="24116" priority="158334" stopIfTrue="1" operator="equal">
      <formula>-1</formula>
    </cfRule>
  </conditionalFormatting>
  <conditionalFormatting sqref="R55">
    <cfRule type="cellIs" dxfId="24115" priority="158335" stopIfTrue="1" operator="lessThan">
      <formula>0.5</formula>
    </cfRule>
  </conditionalFormatting>
  <conditionalFormatting sqref="R55">
    <cfRule type="cellIs" dxfId="24114" priority="158336" stopIfTrue="1" operator="greaterThanOrEqual">
      <formula>0.5</formula>
    </cfRule>
  </conditionalFormatting>
  <conditionalFormatting sqref="R56">
    <cfRule type="cellIs" dxfId="24113" priority="158337" stopIfTrue="1" operator="equal">
      <formula>-1</formula>
    </cfRule>
  </conditionalFormatting>
  <conditionalFormatting sqref="R56">
    <cfRule type="cellIs" dxfId="24112" priority="158338" stopIfTrue="1" operator="lessThan">
      <formula>0.5</formula>
    </cfRule>
  </conditionalFormatting>
  <conditionalFormatting sqref="R56">
    <cfRule type="cellIs" dxfId="24111" priority="158339" stopIfTrue="1" operator="greaterThanOrEqual">
      <formula>0.5</formula>
    </cfRule>
  </conditionalFormatting>
  <conditionalFormatting sqref="R57">
    <cfRule type="cellIs" dxfId="24110" priority="158340" stopIfTrue="1" operator="equal">
      <formula>-1</formula>
    </cfRule>
  </conditionalFormatting>
  <conditionalFormatting sqref="R57">
    <cfRule type="cellIs" dxfId="24109" priority="158341" stopIfTrue="1" operator="lessThan">
      <formula>0.5</formula>
    </cfRule>
  </conditionalFormatting>
  <conditionalFormatting sqref="R57">
    <cfRule type="cellIs" dxfId="24108" priority="158342" stopIfTrue="1" operator="greaterThanOrEqual">
      <formula>0.5</formula>
    </cfRule>
  </conditionalFormatting>
  <conditionalFormatting sqref="R58">
    <cfRule type="cellIs" dxfId="24107" priority="158343" stopIfTrue="1" operator="equal">
      <formula>-1</formula>
    </cfRule>
  </conditionalFormatting>
  <conditionalFormatting sqref="R58">
    <cfRule type="cellIs" dxfId="24106" priority="158344" stopIfTrue="1" operator="lessThan">
      <formula>0.5</formula>
    </cfRule>
  </conditionalFormatting>
  <conditionalFormatting sqref="R58">
    <cfRule type="cellIs" dxfId="24105" priority="158345" stopIfTrue="1" operator="greaterThanOrEqual">
      <formula>0.5</formula>
    </cfRule>
  </conditionalFormatting>
  <conditionalFormatting sqref="T39">
    <cfRule type="cellIs" dxfId="24104" priority="158346" stopIfTrue="1" operator="equal">
      <formula>-1</formula>
    </cfRule>
  </conditionalFormatting>
  <conditionalFormatting sqref="T39">
    <cfRule type="cellIs" dxfId="24103" priority="158347" stopIfTrue="1" operator="lessThan">
      <formula>0.5</formula>
    </cfRule>
  </conditionalFormatting>
  <conditionalFormatting sqref="T39">
    <cfRule type="cellIs" dxfId="24102" priority="158348" stopIfTrue="1" operator="greaterThanOrEqual">
      <formula>0.5</formula>
    </cfRule>
  </conditionalFormatting>
  <conditionalFormatting sqref="T40">
    <cfRule type="cellIs" dxfId="24101" priority="158349" stopIfTrue="1" operator="equal">
      <formula>-1</formula>
    </cfRule>
  </conditionalFormatting>
  <conditionalFormatting sqref="T40">
    <cfRule type="cellIs" dxfId="24100" priority="158350" stopIfTrue="1" operator="lessThan">
      <formula>0.5</formula>
    </cfRule>
  </conditionalFormatting>
  <conditionalFormatting sqref="T40">
    <cfRule type="cellIs" dxfId="24099" priority="158351" stopIfTrue="1" operator="greaterThanOrEqual">
      <formula>0.5</formula>
    </cfRule>
  </conditionalFormatting>
  <conditionalFormatting sqref="T41">
    <cfRule type="cellIs" dxfId="24098" priority="158352" stopIfTrue="1" operator="equal">
      <formula>-1</formula>
    </cfRule>
  </conditionalFormatting>
  <conditionalFormatting sqref="T41">
    <cfRule type="cellIs" dxfId="24097" priority="158353" stopIfTrue="1" operator="lessThan">
      <formula>0.5</formula>
    </cfRule>
  </conditionalFormatting>
  <conditionalFormatting sqref="T41">
    <cfRule type="cellIs" dxfId="24096" priority="158354" stopIfTrue="1" operator="greaterThanOrEqual">
      <formula>0.5</formula>
    </cfRule>
  </conditionalFormatting>
  <conditionalFormatting sqref="T42">
    <cfRule type="cellIs" dxfId="24095" priority="158355" stopIfTrue="1" operator="equal">
      <formula>-1</formula>
    </cfRule>
  </conditionalFormatting>
  <conditionalFormatting sqref="T42">
    <cfRule type="cellIs" dxfId="24094" priority="158356" stopIfTrue="1" operator="lessThan">
      <formula>0.5</formula>
    </cfRule>
  </conditionalFormatting>
  <conditionalFormatting sqref="T42">
    <cfRule type="cellIs" dxfId="24093" priority="158357" stopIfTrue="1" operator="greaterThanOrEqual">
      <formula>0.5</formula>
    </cfRule>
  </conditionalFormatting>
  <conditionalFormatting sqref="T43">
    <cfRule type="cellIs" dxfId="24092" priority="158358" stopIfTrue="1" operator="equal">
      <formula>-1</formula>
    </cfRule>
  </conditionalFormatting>
  <conditionalFormatting sqref="T43">
    <cfRule type="cellIs" dxfId="24091" priority="158359" stopIfTrue="1" operator="lessThan">
      <formula>0.5</formula>
    </cfRule>
  </conditionalFormatting>
  <conditionalFormatting sqref="T43">
    <cfRule type="cellIs" dxfId="24090" priority="158360" stopIfTrue="1" operator="greaterThanOrEqual">
      <formula>0.5</formula>
    </cfRule>
  </conditionalFormatting>
  <conditionalFormatting sqref="T44">
    <cfRule type="cellIs" dxfId="24089" priority="158361" stopIfTrue="1" operator="equal">
      <formula>-1</formula>
    </cfRule>
  </conditionalFormatting>
  <conditionalFormatting sqref="T44">
    <cfRule type="cellIs" dxfId="24088" priority="158362" stopIfTrue="1" operator="lessThan">
      <formula>0.5</formula>
    </cfRule>
  </conditionalFormatting>
  <conditionalFormatting sqref="T44">
    <cfRule type="cellIs" dxfId="24087" priority="158363" stopIfTrue="1" operator="greaterThanOrEqual">
      <formula>0.5</formula>
    </cfRule>
  </conditionalFormatting>
  <conditionalFormatting sqref="T45">
    <cfRule type="cellIs" dxfId="24086" priority="158364" stopIfTrue="1" operator="equal">
      <formula>-1</formula>
    </cfRule>
  </conditionalFormatting>
  <conditionalFormatting sqref="T45">
    <cfRule type="cellIs" dxfId="24085" priority="158365" stopIfTrue="1" operator="lessThan">
      <formula>0.5</formula>
    </cfRule>
  </conditionalFormatting>
  <conditionalFormatting sqref="T45">
    <cfRule type="cellIs" dxfId="24084" priority="158366" stopIfTrue="1" operator="greaterThanOrEqual">
      <formula>0.5</formula>
    </cfRule>
  </conditionalFormatting>
  <conditionalFormatting sqref="T46">
    <cfRule type="cellIs" dxfId="24083" priority="158367" stopIfTrue="1" operator="equal">
      <formula>-1</formula>
    </cfRule>
  </conditionalFormatting>
  <conditionalFormatting sqref="T46">
    <cfRule type="cellIs" dxfId="24082" priority="158368" stopIfTrue="1" operator="lessThan">
      <formula>0.5</formula>
    </cfRule>
  </conditionalFormatting>
  <conditionalFormatting sqref="T46">
    <cfRule type="cellIs" dxfId="24081" priority="158369" stopIfTrue="1" operator="greaterThanOrEqual">
      <formula>0.5</formula>
    </cfRule>
  </conditionalFormatting>
  <conditionalFormatting sqref="T47">
    <cfRule type="cellIs" dxfId="24080" priority="158370" stopIfTrue="1" operator="equal">
      <formula>-1</formula>
    </cfRule>
  </conditionalFormatting>
  <conditionalFormatting sqref="T47">
    <cfRule type="cellIs" dxfId="24079" priority="158371" stopIfTrue="1" operator="lessThan">
      <formula>0.5</formula>
    </cfRule>
  </conditionalFormatting>
  <conditionalFormatting sqref="T47">
    <cfRule type="cellIs" dxfId="24078" priority="158372" stopIfTrue="1" operator="greaterThanOrEqual">
      <formula>0.5</formula>
    </cfRule>
  </conditionalFormatting>
  <conditionalFormatting sqref="T48">
    <cfRule type="cellIs" dxfId="24077" priority="158373" stopIfTrue="1" operator="equal">
      <formula>-1</formula>
    </cfRule>
  </conditionalFormatting>
  <conditionalFormatting sqref="T48">
    <cfRule type="cellIs" dxfId="24076" priority="158374" stopIfTrue="1" operator="lessThan">
      <formula>0.5</formula>
    </cfRule>
  </conditionalFormatting>
  <conditionalFormatting sqref="T48">
    <cfRule type="cellIs" dxfId="24075" priority="158375" stopIfTrue="1" operator="greaterThanOrEqual">
      <formula>0.5</formula>
    </cfRule>
  </conditionalFormatting>
  <conditionalFormatting sqref="T49">
    <cfRule type="cellIs" dxfId="24074" priority="158376" stopIfTrue="1" operator="equal">
      <formula>-1</formula>
    </cfRule>
  </conditionalFormatting>
  <conditionalFormatting sqref="T49">
    <cfRule type="cellIs" dxfId="24073" priority="158377" stopIfTrue="1" operator="lessThan">
      <formula>0.5</formula>
    </cfRule>
  </conditionalFormatting>
  <conditionalFormatting sqref="T49">
    <cfRule type="cellIs" dxfId="24072" priority="158378" stopIfTrue="1" operator="greaterThanOrEqual">
      <formula>0.5</formula>
    </cfRule>
  </conditionalFormatting>
  <conditionalFormatting sqref="T50">
    <cfRule type="cellIs" dxfId="24071" priority="158379" stopIfTrue="1" operator="equal">
      <formula>-1</formula>
    </cfRule>
  </conditionalFormatting>
  <conditionalFormatting sqref="T50">
    <cfRule type="cellIs" dxfId="24070" priority="158380" stopIfTrue="1" operator="lessThan">
      <formula>0.5</formula>
    </cfRule>
  </conditionalFormatting>
  <conditionalFormatting sqref="T50">
    <cfRule type="cellIs" dxfId="24069" priority="158381" stopIfTrue="1" operator="greaterThanOrEqual">
      <formula>0.5</formula>
    </cfRule>
  </conditionalFormatting>
  <conditionalFormatting sqref="T51">
    <cfRule type="cellIs" dxfId="24068" priority="158382" stopIfTrue="1" operator="equal">
      <formula>-1</formula>
    </cfRule>
  </conditionalFormatting>
  <conditionalFormatting sqref="T51">
    <cfRule type="cellIs" dxfId="24067" priority="158383" stopIfTrue="1" operator="lessThan">
      <formula>0.5</formula>
    </cfRule>
  </conditionalFormatting>
  <conditionalFormatting sqref="T51">
    <cfRule type="cellIs" dxfId="24066" priority="158384" stopIfTrue="1" operator="greaterThanOrEqual">
      <formula>0.5</formula>
    </cfRule>
  </conditionalFormatting>
  <conditionalFormatting sqref="T52">
    <cfRule type="cellIs" dxfId="24065" priority="158385" stopIfTrue="1" operator="equal">
      <formula>-1</formula>
    </cfRule>
  </conditionalFormatting>
  <conditionalFormatting sqref="T52">
    <cfRule type="cellIs" dxfId="24064" priority="158386" stopIfTrue="1" operator="lessThan">
      <formula>0.5</formula>
    </cfRule>
  </conditionalFormatting>
  <conditionalFormatting sqref="T52">
    <cfRule type="cellIs" dxfId="24063" priority="158387" stopIfTrue="1" operator="greaterThanOrEqual">
      <formula>0.5</formula>
    </cfRule>
  </conditionalFormatting>
  <conditionalFormatting sqref="T53">
    <cfRule type="cellIs" dxfId="24062" priority="158388" stopIfTrue="1" operator="equal">
      <formula>-1</formula>
    </cfRule>
  </conditionalFormatting>
  <conditionalFormatting sqref="T53">
    <cfRule type="cellIs" dxfId="24061" priority="158389" stopIfTrue="1" operator="lessThan">
      <formula>0.5</formula>
    </cfRule>
  </conditionalFormatting>
  <conditionalFormatting sqref="T53">
    <cfRule type="cellIs" dxfId="24060" priority="158390" stopIfTrue="1" operator="greaterThanOrEqual">
      <formula>0.5</formula>
    </cfRule>
  </conditionalFormatting>
  <conditionalFormatting sqref="T54">
    <cfRule type="cellIs" dxfId="24059" priority="158391" stopIfTrue="1" operator="equal">
      <formula>-1</formula>
    </cfRule>
  </conditionalFormatting>
  <conditionalFormatting sqref="T54">
    <cfRule type="cellIs" dxfId="24058" priority="158392" stopIfTrue="1" operator="lessThan">
      <formula>0.5</formula>
    </cfRule>
  </conditionalFormatting>
  <conditionalFormatting sqref="T54">
    <cfRule type="cellIs" dxfId="24057" priority="158393" stopIfTrue="1" operator="greaterThanOrEqual">
      <formula>0.5</formula>
    </cfRule>
  </conditionalFormatting>
  <conditionalFormatting sqref="T55">
    <cfRule type="cellIs" dxfId="24056" priority="158394" stopIfTrue="1" operator="equal">
      <formula>-1</formula>
    </cfRule>
  </conditionalFormatting>
  <conditionalFormatting sqref="T55">
    <cfRule type="cellIs" dxfId="24055" priority="158395" stopIfTrue="1" operator="lessThan">
      <formula>0.5</formula>
    </cfRule>
  </conditionalFormatting>
  <conditionalFormatting sqref="T55">
    <cfRule type="cellIs" dxfId="24054" priority="158396" stopIfTrue="1" operator="greaterThanOrEqual">
      <formula>0.5</formula>
    </cfRule>
  </conditionalFormatting>
  <conditionalFormatting sqref="T56">
    <cfRule type="cellIs" dxfId="24053" priority="158397" stopIfTrue="1" operator="equal">
      <formula>-1</formula>
    </cfRule>
  </conditionalFormatting>
  <conditionalFormatting sqref="T56">
    <cfRule type="cellIs" dxfId="24052" priority="158398" stopIfTrue="1" operator="lessThan">
      <formula>0.5</formula>
    </cfRule>
  </conditionalFormatting>
  <conditionalFormatting sqref="T56">
    <cfRule type="cellIs" dxfId="24051" priority="158399" stopIfTrue="1" operator="greaterThanOrEqual">
      <formula>0.5</formula>
    </cfRule>
  </conditionalFormatting>
  <conditionalFormatting sqref="T57">
    <cfRule type="cellIs" dxfId="24050" priority="158400" stopIfTrue="1" operator="equal">
      <formula>-1</formula>
    </cfRule>
  </conditionalFormatting>
  <conditionalFormatting sqref="T57">
    <cfRule type="cellIs" dxfId="24049" priority="158401" stopIfTrue="1" operator="lessThan">
      <formula>0.5</formula>
    </cfRule>
  </conditionalFormatting>
  <conditionalFormatting sqref="T57">
    <cfRule type="cellIs" dxfId="24048" priority="158402" stopIfTrue="1" operator="greaterThanOrEqual">
      <formula>0.5</formula>
    </cfRule>
  </conditionalFormatting>
  <conditionalFormatting sqref="T58">
    <cfRule type="cellIs" dxfId="24047" priority="158403" stopIfTrue="1" operator="equal">
      <formula>-1</formula>
    </cfRule>
  </conditionalFormatting>
  <conditionalFormatting sqref="T58">
    <cfRule type="cellIs" dxfId="24046" priority="158404" stopIfTrue="1" operator="lessThan">
      <formula>0.5</formula>
    </cfRule>
  </conditionalFormatting>
  <conditionalFormatting sqref="T58">
    <cfRule type="cellIs" dxfId="24045" priority="158405" stopIfTrue="1" operator="greaterThanOrEqual">
      <formula>0.5</formula>
    </cfRule>
  </conditionalFormatting>
  <conditionalFormatting sqref="V39">
    <cfRule type="cellIs" dxfId="24044" priority="158406" stopIfTrue="1" operator="equal">
      <formula>-1</formula>
    </cfRule>
  </conditionalFormatting>
  <conditionalFormatting sqref="V39">
    <cfRule type="cellIs" dxfId="24043" priority="158407" stopIfTrue="1" operator="lessThan">
      <formula>0.5</formula>
    </cfRule>
  </conditionalFormatting>
  <conditionalFormatting sqref="V39">
    <cfRule type="cellIs" dxfId="24042" priority="158408" stopIfTrue="1" operator="greaterThanOrEqual">
      <formula>0.5</formula>
    </cfRule>
  </conditionalFormatting>
  <conditionalFormatting sqref="V40">
    <cfRule type="cellIs" dxfId="24041" priority="158409" stopIfTrue="1" operator="equal">
      <formula>-1</formula>
    </cfRule>
  </conditionalFormatting>
  <conditionalFormatting sqref="V40">
    <cfRule type="cellIs" dxfId="24040" priority="158410" stopIfTrue="1" operator="lessThan">
      <formula>0.5</formula>
    </cfRule>
  </conditionalFormatting>
  <conditionalFormatting sqref="V40">
    <cfRule type="cellIs" dxfId="24039" priority="158411" stopIfTrue="1" operator="greaterThanOrEqual">
      <formula>0.5</formula>
    </cfRule>
  </conditionalFormatting>
  <conditionalFormatting sqref="V41">
    <cfRule type="cellIs" dxfId="24038" priority="158412" stopIfTrue="1" operator="equal">
      <formula>-1</formula>
    </cfRule>
  </conditionalFormatting>
  <conditionalFormatting sqref="V41">
    <cfRule type="cellIs" dxfId="24037" priority="158413" stopIfTrue="1" operator="lessThan">
      <formula>0.5</formula>
    </cfRule>
  </conditionalFormatting>
  <conditionalFormatting sqref="V41">
    <cfRule type="cellIs" dxfId="24036" priority="158414" stopIfTrue="1" operator="greaterThanOrEqual">
      <formula>0.5</formula>
    </cfRule>
  </conditionalFormatting>
  <conditionalFormatting sqref="V42">
    <cfRule type="cellIs" dxfId="24035" priority="158415" stopIfTrue="1" operator="equal">
      <formula>-1</formula>
    </cfRule>
  </conditionalFormatting>
  <conditionalFormatting sqref="V42">
    <cfRule type="cellIs" dxfId="24034" priority="158416" stopIfTrue="1" operator="lessThan">
      <formula>0.5</formula>
    </cfRule>
  </conditionalFormatting>
  <conditionalFormatting sqref="V42">
    <cfRule type="cellIs" dxfId="24033" priority="158417" stopIfTrue="1" operator="greaterThanOrEqual">
      <formula>0.5</formula>
    </cfRule>
  </conditionalFormatting>
  <conditionalFormatting sqref="V43">
    <cfRule type="cellIs" dxfId="24032" priority="158418" stopIfTrue="1" operator="equal">
      <formula>-1</formula>
    </cfRule>
  </conditionalFormatting>
  <conditionalFormatting sqref="V43">
    <cfRule type="cellIs" dxfId="24031" priority="158419" stopIfTrue="1" operator="lessThan">
      <formula>0.5</formula>
    </cfRule>
  </conditionalFormatting>
  <conditionalFormatting sqref="V43">
    <cfRule type="cellIs" dxfId="24030" priority="158420" stopIfTrue="1" operator="greaterThanOrEqual">
      <formula>0.5</formula>
    </cfRule>
  </conditionalFormatting>
  <conditionalFormatting sqref="V44">
    <cfRule type="cellIs" dxfId="24029" priority="158421" stopIfTrue="1" operator="equal">
      <formula>-1</formula>
    </cfRule>
  </conditionalFormatting>
  <conditionalFormatting sqref="V44">
    <cfRule type="cellIs" dxfId="24028" priority="158422" stopIfTrue="1" operator="lessThan">
      <formula>0.5</formula>
    </cfRule>
  </conditionalFormatting>
  <conditionalFormatting sqref="V44">
    <cfRule type="cellIs" dxfId="24027" priority="158423" stopIfTrue="1" operator="greaterThanOrEqual">
      <formula>0.5</formula>
    </cfRule>
  </conditionalFormatting>
  <conditionalFormatting sqref="V45">
    <cfRule type="cellIs" dxfId="24026" priority="158424" stopIfTrue="1" operator="equal">
      <formula>-1</formula>
    </cfRule>
  </conditionalFormatting>
  <conditionalFormatting sqref="V45">
    <cfRule type="cellIs" dxfId="24025" priority="158425" stopIfTrue="1" operator="lessThan">
      <formula>0.5</formula>
    </cfRule>
  </conditionalFormatting>
  <conditionalFormatting sqref="V45">
    <cfRule type="cellIs" dxfId="24024" priority="158426" stopIfTrue="1" operator="greaterThanOrEqual">
      <formula>0.5</formula>
    </cfRule>
  </conditionalFormatting>
  <conditionalFormatting sqref="V46">
    <cfRule type="cellIs" dxfId="24023" priority="158427" stopIfTrue="1" operator="equal">
      <formula>-1</formula>
    </cfRule>
  </conditionalFormatting>
  <conditionalFormatting sqref="V46">
    <cfRule type="cellIs" dxfId="24022" priority="158428" stopIfTrue="1" operator="lessThan">
      <formula>0.5</formula>
    </cfRule>
  </conditionalFormatting>
  <conditionalFormatting sqref="V46">
    <cfRule type="cellIs" dxfId="24021" priority="158429" stopIfTrue="1" operator="greaterThanOrEqual">
      <formula>0.5</formula>
    </cfRule>
  </conditionalFormatting>
  <conditionalFormatting sqref="V47">
    <cfRule type="cellIs" dxfId="24020" priority="158430" stopIfTrue="1" operator="equal">
      <formula>-1</formula>
    </cfRule>
  </conditionalFormatting>
  <conditionalFormatting sqref="V47">
    <cfRule type="cellIs" dxfId="24019" priority="158431" stopIfTrue="1" operator="lessThan">
      <formula>0.5</formula>
    </cfRule>
  </conditionalFormatting>
  <conditionalFormatting sqref="V47">
    <cfRule type="cellIs" dxfId="24018" priority="158432" stopIfTrue="1" operator="greaterThanOrEqual">
      <formula>0.5</formula>
    </cfRule>
  </conditionalFormatting>
  <conditionalFormatting sqref="V48">
    <cfRule type="cellIs" dxfId="24017" priority="158433" stopIfTrue="1" operator="equal">
      <formula>-1</formula>
    </cfRule>
  </conditionalFormatting>
  <conditionalFormatting sqref="V48">
    <cfRule type="cellIs" dxfId="24016" priority="158434" stopIfTrue="1" operator="lessThan">
      <formula>0.5</formula>
    </cfRule>
  </conditionalFormatting>
  <conditionalFormatting sqref="V48">
    <cfRule type="cellIs" dxfId="24015" priority="158435" stopIfTrue="1" operator="greaterThanOrEqual">
      <formula>0.5</formula>
    </cfRule>
  </conditionalFormatting>
  <conditionalFormatting sqref="V49">
    <cfRule type="cellIs" dxfId="24014" priority="158436" stopIfTrue="1" operator="equal">
      <formula>-1</formula>
    </cfRule>
  </conditionalFormatting>
  <conditionalFormatting sqref="V49">
    <cfRule type="cellIs" dxfId="24013" priority="158437" stopIfTrue="1" operator="lessThan">
      <formula>0.5</formula>
    </cfRule>
  </conditionalFormatting>
  <conditionalFormatting sqref="V49">
    <cfRule type="cellIs" dxfId="24012" priority="158438" stopIfTrue="1" operator="greaterThanOrEqual">
      <formula>0.5</formula>
    </cfRule>
  </conditionalFormatting>
  <conditionalFormatting sqref="V50">
    <cfRule type="cellIs" dxfId="24011" priority="158439" stopIfTrue="1" operator="equal">
      <formula>-1</formula>
    </cfRule>
  </conditionalFormatting>
  <conditionalFormatting sqref="V50">
    <cfRule type="cellIs" dxfId="24010" priority="158440" stopIfTrue="1" operator="lessThan">
      <formula>0.5</formula>
    </cfRule>
  </conditionalFormatting>
  <conditionalFormatting sqref="V50">
    <cfRule type="cellIs" dxfId="24009" priority="158441" stopIfTrue="1" operator="greaterThanOrEqual">
      <formula>0.5</formula>
    </cfRule>
  </conditionalFormatting>
  <conditionalFormatting sqref="V51">
    <cfRule type="cellIs" dxfId="24008" priority="158442" stopIfTrue="1" operator="equal">
      <formula>-1</formula>
    </cfRule>
  </conditionalFormatting>
  <conditionalFormatting sqref="V51">
    <cfRule type="cellIs" dxfId="24007" priority="158443" stopIfTrue="1" operator="lessThan">
      <formula>0.5</formula>
    </cfRule>
  </conditionalFormatting>
  <conditionalFormatting sqref="V51">
    <cfRule type="cellIs" dxfId="24006" priority="158444" stopIfTrue="1" operator="greaterThanOrEqual">
      <formula>0.5</formula>
    </cfRule>
  </conditionalFormatting>
  <conditionalFormatting sqref="V52">
    <cfRule type="cellIs" dxfId="24005" priority="158445" stopIfTrue="1" operator="equal">
      <formula>-1</formula>
    </cfRule>
  </conditionalFormatting>
  <conditionalFormatting sqref="V52">
    <cfRule type="cellIs" dxfId="24004" priority="158446" stopIfTrue="1" operator="lessThan">
      <formula>0.5</formula>
    </cfRule>
  </conditionalFormatting>
  <conditionalFormatting sqref="V52">
    <cfRule type="cellIs" dxfId="24003" priority="158447" stopIfTrue="1" operator="greaterThanOrEqual">
      <formula>0.5</formula>
    </cfRule>
  </conditionalFormatting>
  <conditionalFormatting sqref="V53">
    <cfRule type="cellIs" dxfId="24002" priority="158448" stopIfTrue="1" operator="equal">
      <formula>-1</formula>
    </cfRule>
  </conditionalFormatting>
  <conditionalFormatting sqref="V53">
    <cfRule type="cellIs" dxfId="24001" priority="158449" stopIfTrue="1" operator="lessThan">
      <formula>0.5</formula>
    </cfRule>
  </conditionalFormatting>
  <conditionalFormatting sqref="V53">
    <cfRule type="cellIs" dxfId="24000" priority="158450" stopIfTrue="1" operator="greaterThanOrEqual">
      <formula>0.5</formula>
    </cfRule>
  </conditionalFormatting>
  <conditionalFormatting sqref="V54">
    <cfRule type="cellIs" dxfId="23999" priority="158451" stopIfTrue="1" operator="equal">
      <formula>-1</formula>
    </cfRule>
  </conditionalFormatting>
  <conditionalFormatting sqref="V54">
    <cfRule type="cellIs" dxfId="23998" priority="158452" stopIfTrue="1" operator="lessThan">
      <formula>0.5</formula>
    </cfRule>
  </conditionalFormatting>
  <conditionalFormatting sqref="V54">
    <cfRule type="cellIs" dxfId="23997" priority="158453" stopIfTrue="1" operator="greaterThanOrEqual">
      <formula>0.5</formula>
    </cfRule>
  </conditionalFormatting>
  <conditionalFormatting sqref="V55">
    <cfRule type="cellIs" dxfId="23996" priority="158454" stopIfTrue="1" operator="equal">
      <formula>-1</formula>
    </cfRule>
  </conditionalFormatting>
  <conditionalFormatting sqref="V55">
    <cfRule type="cellIs" dxfId="23995" priority="158455" stopIfTrue="1" operator="lessThan">
      <formula>0.5</formula>
    </cfRule>
  </conditionalFormatting>
  <conditionalFormatting sqref="V55">
    <cfRule type="cellIs" dxfId="23994" priority="158456" stopIfTrue="1" operator="greaterThanOrEqual">
      <formula>0.5</formula>
    </cfRule>
  </conditionalFormatting>
  <conditionalFormatting sqref="V56">
    <cfRule type="cellIs" dxfId="23993" priority="158457" stopIfTrue="1" operator="equal">
      <formula>-1</formula>
    </cfRule>
  </conditionalFormatting>
  <conditionalFormatting sqref="V56">
    <cfRule type="cellIs" dxfId="23992" priority="158458" stopIfTrue="1" operator="lessThan">
      <formula>0.5</formula>
    </cfRule>
  </conditionalFormatting>
  <conditionalFormatting sqref="V56">
    <cfRule type="cellIs" dxfId="23991" priority="158459" stopIfTrue="1" operator="greaterThanOrEqual">
      <formula>0.5</formula>
    </cfRule>
  </conditionalFormatting>
  <conditionalFormatting sqref="V57">
    <cfRule type="cellIs" dxfId="23990" priority="158460" stopIfTrue="1" operator="equal">
      <formula>-1</formula>
    </cfRule>
  </conditionalFormatting>
  <conditionalFormatting sqref="V57">
    <cfRule type="cellIs" dxfId="23989" priority="158461" stopIfTrue="1" operator="lessThan">
      <formula>0.5</formula>
    </cfRule>
  </conditionalFormatting>
  <conditionalFormatting sqref="V57">
    <cfRule type="cellIs" dxfId="23988" priority="158462" stopIfTrue="1" operator="greaterThanOrEqual">
      <formula>0.5</formula>
    </cfRule>
  </conditionalFormatting>
  <conditionalFormatting sqref="V58">
    <cfRule type="cellIs" dxfId="23987" priority="158463" stopIfTrue="1" operator="equal">
      <formula>-1</formula>
    </cfRule>
  </conditionalFormatting>
  <conditionalFormatting sqref="V58">
    <cfRule type="cellIs" dxfId="23986" priority="158464" stopIfTrue="1" operator="lessThan">
      <formula>0.5</formula>
    </cfRule>
  </conditionalFormatting>
  <conditionalFormatting sqref="V58">
    <cfRule type="cellIs" dxfId="23985" priority="158465" stopIfTrue="1" operator="greaterThanOrEqual">
      <formula>0.5</formula>
    </cfRule>
  </conditionalFormatting>
  <conditionalFormatting sqref="X39">
    <cfRule type="cellIs" dxfId="23984" priority="158466" stopIfTrue="1" operator="equal">
      <formula>-1</formula>
    </cfRule>
  </conditionalFormatting>
  <conditionalFormatting sqref="X39">
    <cfRule type="cellIs" dxfId="23983" priority="158467" stopIfTrue="1" operator="lessThan">
      <formula>0.5</formula>
    </cfRule>
  </conditionalFormatting>
  <conditionalFormatting sqref="X39">
    <cfRule type="cellIs" dxfId="23982" priority="158468" stopIfTrue="1" operator="greaterThanOrEqual">
      <formula>0.5</formula>
    </cfRule>
  </conditionalFormatting>
  <conditionalFormatting sqref="X40">
    <cfRule type="cellIs" dxfId="23981" priority="158469" stopIfTrue="1" operator="equal">
      <formula>-1</formula>
    </cfRule>
  </conditionalFormatting>
  <conditionalFormatting sqref="X40">
    <cfRule type="cellIs" dxfId="23980" priority="158470" stopIfTrue="1" operator="lessThan">
      <formula>0.5</formula>
    </cfRule>
  </conditionalFormatting>
  <conditionalFormatting sqref="X40">
    <cfRule type="cellIs" dxfId="23979" priority="158471" stopIfTrue="1" operator="greaterThanOrEqual">
      <formula>0.5</formula>
    </cfRule>
  </conditionalFormatting>
  <conditionalFormatting sqref="X41">
    <cfRule type="cellIs" dxfId="23978" priority="158472" stopIfTrue="1" operator="equal">
      <formula>-1</formula>
    </cfRule>
  </conditionalFormatting>
  <conditionalFormatting sqref="X41">
    <cfRule type="cellIs" dxfId="23977" priority="158473" stopIfTrue="1" operator="lessThan">
      <formula>0.5</formula>
    </cfRule>
  </conditionalFormatting>
  <conditionalFormatting sqref="X41">
    <cfRule type="cellIs" dxfId="23976" priority="158474" stopIfTrue="1" operator="greaterThanOrEqual">
      <formula>0.5</formula>
    </cfRule>
  </conditionalFormatting>
  <conditionalFormatting sqref="X42">
    <cfRule type="cellIs" dxfId="23975" priority="158475" stopIfTrue="1" operator="equal">
      <formula>-1</formula>
    </cfRule>
  </conditionalFormatting>
  <conditionalFormatting sqref="X42">
    <cfRule type="cellIs" dxfId="23974" priority="158476" stopIfTrue="1" operator="lessThan">
      <formula>0.5</formula>
    </cfRule>
  </conditionalFormatting>
  <conditionalFormatting sqref="X42">
    <cfRule type="cellIs" dxfId="23973" priority="158477" stopIfTrue="1" operator="greaterThanOrEqual">
      <formula>0.5</formula>
    </cfRule>
  </conditionalFormatting>
  <conditionalFormatting sqref="X43">
    <cfRule type="cellIs" dxfId="23972" priority="158478" stopIfTrue="1" operator="equal">
      <formula>-1</formula>
    </cfRule>
  </conditionalFormatting>
  <conditionalFormatting sqref="X43">
    <cfRule type="cellIs" dxfId="23971" priority="158479" stopIfTrue="1" operator="lessThan">
      <formula>0.5</formula>
    </cfRule>
  </conditionalFormatting>
  <conditionalFormatting sqref="X43">
    <cfRule type="cellIs" dxfId="23970" priority="158480" stopIfTrue="1" operator="greaterThanOrEqual">
      <formula>0.5</formula>
    </cfRule>
  </conditionalFormatting>
  <conditionalFormatting sqref="X44">
    <cfRule type="cellIs" dxfId="23969" priority="158481" stopIfTrue="1" operator="equal">
      <formula>-1</formula>
    </cfRule>
  </conditionalFormatting>
  <conditionalFormatting sqref="X44">
    <cfRule type="cellIs" dxfId="23968" priority="158482" stopIfTrue="1" operator="lessThan">
      <formula>0.5</formula>
    </cfRule>
  </conditionalFormatting>
  <conditionalFormatting sqref="X44">
    <cfRule type="cellIs" dxfId="23967" priority="158483" stopIfTrue="1" operator="greaterThanOrEqual">
      <formula>0.5</formula>
    </cfRule>
  </conditionalFormatting>
  <conditionalFormatting sqref="X45">
    <cfRule type="cellIs" dxfId="23966" priority="158484" stopIfTrue="1" operator="equal">
      <formula>-1</formula>
    </cfRule>
  </conditionalFormatting>
  <conditionalFormatting sqref="X45">
    <cfRule type="cellIs" dxfId="23965" priority="158485" stopIfTrue="1" operator="lessThan">
      <formula>0.5</formula>
    </cfRule>
  </conditionalFormatting>
  <conditionalFormatting sqref="X45">
    <cfRule type="cellIs" dxfId="23964" priority="158486" stopIfTrue="1" operator="greaterThanOrEqual">
      <formula>0.5</formula>
    </cfRule>
  </conditionalFormatting>
  <conditionalFormatting sqref="X46">
    <cfRule type="cellIs" dxfId="23963" priority="158487" stopIfTrue="1" operator="equal">
      <formula>-1</formula>
    </cfRule>
  </conditionalFormatting>
  <conditionalFormatting sqref="X46">
    <cfRule type="cellIs" dxfId="23962" priority="158488" stopIfTrue="1" operator="lessThan">
      <formula>0.5</formula>
    </cfRule>
  </conditionalFormatting>
  <conditionalFormatting sqref="X46">
    <cfRule type="cellIs" dxfId="23961" priority="158489" stopIfTrue="1" operator="greaterThanOrEqual">
      <formula>0.5</formula>
    </cfRule>
  </conditionalFormatting>
  <conditionalFormatting sqref="X47">
    <cfRule type="cellIs" dxfId="23960" priority="158490" stopIfTrue="1" operator="equal">
      <formula>-1</formula>
    </cfRule>
  </conditionalFormatting>
  <conditionalFormatting sqref="X47">
    <cfRule type="cellIs" dxfId="23959" priority="158491" stopIfTrue="1" operator="lessThan">
      <formula>0.5</formula>
    </cfRule>
  </conditionalFormatting>
  <conditionalFormatting sqref="X47">
    <cfRule type="cellIs" dxfId="23958" priority="158492" stopIfTrue="1" operator="greaterThanOrEqual">
      <formula>0.5</formula>
    </cfRule>
  </conditionalFormatting>
  <conditionalFormatting sqref="X48">
    <cfRule type="cellIs" dxfId="23957" priority="158493" stopIfTrue="1" operator="equal">
      <formula>-1</formula>
    </cfRule>
  </conditionalFormatting>
  <conditionalFormatting sqref="X48">
    <cfRule type="cellIs" dxfId="23956" priority="158494" stopIfTrue="1" operator="lessThan">
      <formula>0.5</formula>
    </cfRule>
  </conditionalFormatting>
  <conditionalFormatting sqref="X48">
    <cfRule type="cellIs" dxfId="23955" priority="158495" stopIfTrue="1" operator="greaterThanOrEqual">
      <formula>0.5</formula>
    </cfRule>
  </conditionalFormatting>
  <conditionalFormatting sqref="X49">
    <cfRule type="cellIs" dxfId="23954" priority="158496" stopIfTrue="1" operator="equal">
      <formula>-1</formula>
    </cfRule>
  </conditionalFormatting>
  <conditionalFormatting sqref="X49">
    <cfRule type="cellIs" dxfId="23953" priority="158497" stopIfTrue="1" operator="lessThan">
      <formula>0.5</formula>
    </cfRule>
  </conditionalFormatting>
  <conditionalFormatting sqref="X49">
    <cfRule type="cellIs" dxfId="23952" priority="158498" stopIfTrue="1" operator="greaterThanOrEqual">
      <formula>0.5</formula>
    </cfRule>
  </conditionalFormatting>
  <conditionalFormatting sqref="X50">
    <cfRule type="cellIs" dxfId="23951" priority="158499" stopIfTrue="1" operator="equal">
      <formula>-1</formula>
    </cfRule>
  </conditionalFormatting>
  <conditionalFormatting sqref="X50">
    <cfRule type="cellIs" dxfId="23950" priority="158500" stopIfTrue="1" operator="lessThan">
      <formula>0.5</formula>
    </cfRule>
  </conditionalFormatting>
  <conditionalFormatting sqref="X50">
    <cfRule type="cellIs" dxfId="23949" priority="158501" stopIfTrue="1" operator="greaterThanOrEqual">
      <formula>0.5</formula>
    </cfRule>
  </conditionalFormatting>
  <conditionalFormatting sqref="X51">
    <cfRule type="cellIs" dxfId="23948" priority="158502" stopIfTrue="1" operator="equal">
      <formula>-1</formula>
    </cfRule>
  </conditionalFormatting>
  <conditionalFormatting sqref="X51">
    <cfRule type="cellIs" dxfId="23947" priority="158503" stopIfTrue="1" operator="lessThan">
      <formula>0.5</formula>
    </cfRule>
  </conditionalFormatting>
  <conditionalFormatting sqref="X51">
    <cfRule type="cellIs" dxfId="23946" priority="158504" stopIfTrue="1" operator="greaterThanOrEqual">
      <formula>0.5</formula>
    </cfRule>
  </conditionalFormatting>
  <conditionalFormatting sqref="X52">
    <cfRule type="cellIs" dxfId="23945" priority="158505" stopIfTrue="1" operator="equal">
      <formula>-1</formula>
    </cfRule>
  </conditionalFormatting>
  <conditionalFormatting sqref="X52">
    <cfRule type="cellIs" dxfId="23944" priority="158506" stopIfTrue="1" operator="lessThan">
      <formula>0.5</formula>
    </cfRule>
  </conditionalFormatting>
  <conditionalFormatting sqref="X52">
    <cfRule type="cellIs" dxfId="23943" priority="158507" stopIfTrue="1" operator="greaterThanOrEqual">
      <formula>0.5</formula>
    </cfRule>
  </conditionalFormatting>
  <conditionalFormatting sqref="X53">
    <cfRule type="cellIs" dxfId="23942" priority="158508" stopIfTrue="1" operator="equal">
      <formula>-1</formula>
    </cfRule>
  </conditionalFormatting>
  <conditionalFormatting sqref="X53">
    <cfRule type="cellIs" dxfId="23941" priority="158509" stopIfTrue="1" operator="lessThan">
      <formula>0.5</formula>
    </cfRule>
  </conditionalFormatting>
  <conditionalFormatting sqref="X53">
    <cfRule type="cellIs" dxfId="23940" priority="158510" stopIfTrue="1" operator="greaterThanOrEqual">
      <formula>0.5</formula>
    </cfRule>
  </conditionalFormatting>
  <conditionalFormatting sqref="X54">
    <cfRule type="cellIs" dxfId="23939" priority="158511" stopIfTrue="1" operator="equal">
      <formula>-1</formula>
    </cfRule>
  </conditionalFormatting>
  <conditionalFormatting sqref="X54">
    <cfRule type="cellIs" dxfId="23938" priority="158512" stopIfTrue="1" operator="lessThan">
      <formula>0.5</formula>
    </cfRule>
  </conditionalFormatting>
  <conditionalFormatting sqref="X54">
    <cfRule type="cellIs" dxfId="23937" priority="158513" stopIfTrue="1" operator="greaterThanOrEqual">
      <formula>0.5</formula>
    </cfRule>
  </conditionalFormatting>
  <conditionalFormatting sqref="X55">
    <cfRule type="cellIs" dxfId="23936" priority="158514" stopIfTrue="1" operator="equal">
      <formula>-1</formula>
    </cfRule>
  </conditionalFormatting>
  <conditionalFormatting sqref="X55">
    <cfRule type="cellIs" dxfId="23935" priority="158515" stopIfTrue="1" operator="lessThan">
      <formula>0.5</formula>
    </cfRule>
  </conditionalFormatting>
  <conditionalFormatting sqref="X55">
    <cfRule type="cellIs" dxfId="23934" priority="158516" stopIfTrue="1" operator="greaterThanOrEqual">
      <formula>0.5</formula>
    </cfRule>
  </conditionalFormatting>
  <conditionalFormatting sqref="X56">
    <cfRule type="cellIs" dxfId="23933" priority="158517" stopIfTrue="1" operator="equal">
      <formula>-1</formula>
    </cfRule>
  </conditionalFormatting>
  <conditionalFormatting sqref="X56">
    <cfRule type="cellIs" dxfId="23932" priority="158518" stopIfTrue="1" operator="lessThan">
      <formula>0.5</formula>
    </cfRule>
  </conditionalFormatting>
  <conditionalFormatting sqref="X56">
    <cfRule type="cellIs" dxfId="23931" priority="158519" stopIfTrue="1" operator="greaterThanOrEqual">
      <formula>0.5</formula>
    </cfRule>
  </conditionalFormatting>
  <conditionalFormatting sqref="X57">
    <cfRule type="cellIs" dxfId="23930" priority="158520" stopIfTrue="1" operator="equal">
      <formula>-1</formula>
    </cfRule>
  </conditionalFormatting>
  <conditionalFormatting sqref="X57">
    <cfRule type="cellIs" dxfId="23929" priority="158521" stopIfTrue="1" operator="lessThan">
      <formula>0.5</formula>
    </cfRule>
  </conditionalFormatting>
  <conditionalFormatting sqref="X57">
    <cfRule type="cellIs" dxfId="23928" priority="158522" stopIfTrue="1" operator="greaterThanOrEqual">
      <formula>0.5</formula>
    </cfRule>
  </conditionalFormatting>
  <conditionalFormatting sqref="X58">
    <cfRule type="cellIs" dxfId="23927" priority="158523" stopIfTrue="1" operator="equal">
      <formula>-1</formula>
    </cfRule>
  </conditionalFormatting>
  <conditionalFormatting sqref="X58">
    <cfRule type="cellIs" dxfId="23926" priority="158524" stopIfTrue="1" operator="lessThan">
      <formula>0.5</formula>
    </cfRule>
  </conditionalFormatting>
  <conditionalFormatting sqref="X58">
    <cfRule type="cellIs" dxfId="23925" priority="158525" stopIfTrue="1" operator="greaterThanOrEqual">
      <formula>0.5</formula>
    </cfRule>
  </conditionalFormatting>
  <conditionalFormatting sqref="Z39">
    <cfRule type="cellIs" dxfId="23924" priority="158526" stopIfTrue="1" operator="equal">
      <formula>-1</formula>
    </cfRule>
  </conditionalFormatting>
  <conditionalFormatting sqref="Z39">
    <cfRule type="cellIs" dxfId="23923" priority="158527" stopIfTrue="1" operator="lessThan">
      <formula>0.5</formula>
    </cfRule>
  </conditionalFormatting>
  <conditionalFormatting sqref="Z39">
    <cfRule type="cellIs" dxfId="23922" priority="158528" stopIfTrue="1" operator="greaterThanOrEqual">
      <formula>0.5</formula>
    </cfRule>
  </conditionalFormatting>
  <conditionalFormatting sqref="Z40">
    <cfRule type="cellIs" dxfId="23921" priority="158529" stopIfTrue="1" operator="equal">
      <formula>-1</formula>
    </cfRule>
  </conditionalFormatting>
  <conditionalFormatting sqref="Z40">
    <cfRule type="cellIs" dxfId="23920" priority="158530" stopIfTrue="1" operator="lessThan">
      <formula>0.5</formula>
    </cfRule>
  </conditionalFormatting>
  <conditionalFormatting sqref="Z40">
    <cfRule type="cellIs" dxfId="23919" priority="158531" stopIfTrue="1" operator="greaterThanOrEqual">
      <formula>0.5</formula>
    </cfRule>
  </conditionalFormatting>
  <conditionalFormatting sqref="Z41">
    <cfRule type="cellIs" dxfId="23918" priority="158532" stopIfTrue="1" operator="equal">
      <formula>-1</formula>
    </cfRule>
  </conditionalFormatting>
  <conditionalFormatting sqref="Z41">
    <cfRule type="cellIs" dxfId="23917" priority="158533" stopIfTrue="1" operator="lessThan">
      <formula>0.5</formula>
    </cfRule>
  </conditionalFormatting>
  <conditionalFormatting sqref="Z41">
    <cfRule type="cellIs" dxfId="23916" priority="158534" stopIfTrue="1" operator="greaterThanOrEqual">
      <formula>0.5</formula>
    </cfRule>
  </conditionalFormatting>
  <conditionalFormatting sqref="Z42">
    <cfRule type="cellIs" dxfId="23915" priority="158535" stopIfTrue="1" operator="equal">
      <formula>-1</formula>
    </cfRule>
  </conditionalFormatting>
  <conditionalFormatting sqref="Z42">
    <cfRule type="cellIs" dxfId="23914" priority="158536" stopIfTrue="1" operator="lessThan">
      <formula>0.5</formula>
    </cfRule>
  </conditionalFormatting>
  <conditionalFormatting sqref="Z42">
    <cfRule type="cellIs" dxfId="23913" priority="158537" stopIfTrue="1" operator="greaterThanOrEqual">
      <formula>0.5</formula>
    </cfRule>
  </conditionalFormatting>
  <conditionalFormatting sqref="Z43">
    <cfRule type="cellIs" dxfId="23912" priority="158538" stopIfTrue="1" operator="equal">
      <formula>-1</formula>
    </cfRule>
  </conditionalFormatting>
  <conditionalFormatting sqref="Z43">
    <cfRule type="cellIs" dxfId="23911" priority="158539" stopIfTrue="1" operator="lessThan">
      <formula>0.5</formula>
    </cfRule>
  </conditionalFormatting>
  <conditionalFormatting sqref="Z43">
    <cfRule type="cellIs" dxfId="23910" priority="158540" stopIfTrue="1" operator="greaterThanOrEqual">
      <formula>0.5</formula>
    </cfRule>
  </conditionalFormatting>
  <conditionalFormatting sqref="Z44">
    <cfRule type="cellIs" dxfId="23909" priority="158541" stopIfTrue="1" operator="equal">
      <formula>-1</formula>
    </cfRule>
  </conditionalFormatting>
  <conditionalFormatting sqref="Z44">
    <cfRule type="cellIs" dxfId="23908" priority="158542" stopIfTrue="1" operator="lessThan">
      <formula>0.5</formula>
    </cfRule>
  </conditionalFormatting>
  <conditionalFormatting sqref="Z44">
    <cfRule type="cellIs" dxfId="23907" priority="158543" stopIfTrue="1" operator="greaterThanOrEqual">
      <formula>0.5</formula>
    </cfRule>
  </conditionalFormatting>
  <conditionalFormatting sqref="Z45">
    <cfRule type="cellIs" dxfId="23906" priority="158544" stopIfTrue="1" operator="equal">
      <formula>-1</formula>
    </cfRule>
  </conditionalFormatting>
  <conditionalFormatting sqref="Z45">
    <cfRule type="cellIs" dxfId="23905" priority="158545" stopIfTrue="1" operator="lessThan">
      <formula>0.5</formula>
    </cfRule>
  </conditionalFormatting>
  <conditionalFormatting sqref="Z45">
    <cfRule type="cellIs" dxfId="23904" priority="158546" stopIfTrue="1" operator="greaterThanOrEqual">
      <formula>0.5</formula>
    </cfRule>
  </conditionalFormatting>
  <conditionalFormatting sqref="Z46">
    <cfRule type="cellIs" dxfId="23903" priority="158547" stopIfTrue="1" operator="equal">
      <formula>-1</formula>
    </cfRule>
  </conditionalFormatting>
  <conditionalFormatting sqref="Z46">
    <cfRule type="cellIs" dxfId="23902" priority="158548" stopIfTrue="1" operator="lessThan">
      <formula>0.5</formula>
    </cfRule>
  </conditionalFormatting>
  <conditionalFormatting sqref="Z46">
    <cfRule type="cellIs" dxfId="23901" priority="158549" stopIfTrue="1" operator="greaterThanOrEqual">
      <formula>0.5</formula>
    </cfRule>
  </conditionalFormatting>
  <conditionalFormatting sqref="Z47">
    <cfRule type="cellIs" dxfId="23900" priority="158550" stopIfTrue="1" operator="equal">
      <formula>-1</formula>
    </cfRule>
  </conditionalFormatting>
  <conditionalFormatting sqref="Z47">
    <cfRule type="cellIs" dxfId="23899" priority="158551" stopIfTrue="1" operator="lessThan">
      <formula>0.5</formula>
    </cfRule>
  </conditionalFormatting>
  <conditionalFormatting sqref="Z47">
    <cfRule type="cellIs" dxfId="23898" priority="158552" stopIfTrue="1" operator="greaterThanOrEqual">
      <formula>0.5</formula>
    </cfRule>
  </conditionalFormatting>
  <conditionalFormatting sqref="Z48">
    <cfRule type="cellIs" dxfId="23897" priority="158553" stopIfTrue="1" operator="equal">
      <formula>-1</formula>
    </cfRule>
  </conditionalFormatting>
  <conditionalFormatting sqref="Z48">
    <cfRule type="cellIs" dxfId="23896" priority="158554" stopIfTrue="1" operator="lessThan">
      <formula>0.5</formula>
    </cfRule>
  </conditionalFormatting>
  <conditionalFormatting sqref="Z48">
    <cfRule type="cellIs" dxfId="23895" priority="158555" stopIfTrue="1" operator="greaterThanOrEqual">
      <formula>0.5</formula>
    </cfRule>
  </conditionalFormatting>
  <conditionalFormatting sqref="Z49">
    <cfRule type="cellIs" dxfId="23894" priority="158556" stopIfTrue="1" operator="equal">
      <formula>-1</formula>
    </cfRule>
  </conditionalFormatting>
  <conditionalFormatting sqref="Z49">
    <cfRule type="cellIs" dxfId="23893" priority="158557" stopIfTrue="1" operator="lessThan">
      <formula>0.5</formula>
    </cfRule>
  </conditionalFormatting>
  <conditionalFormatting sqref="Z49">
    <cfRule type="cellIs" dxfId="23892" priority="158558" stopIfTrue="1" operator="greaterThanOrEqual">
      <formula>0.5</formula>
    </cfRule>
  </conditionalFormatting>
  <conditionalFormatting sqref="Z50">
    <cfRule type="cellIs" dxfId="23891" priority="158559" stopIfTrue="1" operator="equal">
      <formula>-1</formula>
    </cfRule>
  </conditionalFormatting>
  <conditionalFormatting sqref="Z50">
    <cfRule type="cellIs" dxfId="23890" priority="158560" stopIfTrue="1" operator="lessThan">
      <formula>0.5</formula>
    </cfRule>
  </conditionalFormatting>
  <conditionalFormatting sqref="Z50">
    <cfRule type="cellIs" dxfId="23889" priority="158561" stopIfTrue="1" operator="greaterThanOrEqual">
      <formula>0.5</formula>
    </cfRule>
  </conditionalFormatting>
  <conditionalFormatting sqref="Z51">
    <cfRule type="cellIs" dxfId="23888" priority="158562" stopIfTrue="1" operator="equal">
      <formula>-1</formula>
    </cfRule>
  </conditionalFormatting>
  <conditionalFormatting sqref="Z51">
    <cfRule type="cellIs" dxfId="23887" priority="158563" stopIfTrue="1" operator="lessThan">
      <formula>0.5</formula>
    </cfRule>
  </conditionalFormatting>
  <conditionalFormatting sqref="Z51">
    <cfRule type="cellIs" dxfId="23886" priority="158564" stopIfTrue="1" operator="greaterThanOrEqual">
      <formula>0.5</formula>
    </cfRule>
  </conditionalFormatting>
  <conditionalFormatting sqref="Z52">
    <cfRule type="cellIs" dxfId="23885" priority="158565" stopIfTrue="1" operator="equal">
      <formula>-1</formula>
    </cfRule>
  </conditionalFormatting>
  <conditionalFormatting sqref="Z52">
    <cfRule type="cellIs" dxfId="23884" priority="158566" stopIfTrue="1" operator="lessThan">
      <formula>0.5</formula>
    </cfRule>
  </conditionalFormatting>
  <conditionalFormatting sqref="Z52">
    <cfRule type="cellIs" dxfId="23883" priority="158567" stopIfTrue="1" operator="greaterThanOrEqual">
      <formula>0.5</formula>
    </cfRule>
  </conditionalFormatting>
  <conditionalFormatting sqref="Z53">
    <cfRule type="cellIs" dxfId="23882" priority="158568" stopIfTrue="1" operator="equal">
      <formula>-1</formula>
    </cfRule>
  </conditionalFormatting>
  <conditionalFormatting sqref="Z53">
    <cfRule type="cellIs" dxfId="23881" priority="158569" stopIfTrue="1" operator="lessThan">
      <formula>0.5</formula>
    </cfRule>
  </conditionalFormatting>
  <conditionalFormatting sqref="Z53">
    <cfRule type="cellIs" dxfId="23880" priority="158570" stopIfTrue="1" operator="greaterThanOrEqual">
      <formula>0.5</formula>
    </cfRule>
  </conditionalFormatting>
  <conditionalFormatting sqref="Z54">
    <cfRule type="cellIs" dxfId="23879" priority="158571" stopIfTrue="1" operator="equal">
      <formula>-1</formula>
    </cfRule>
  </conditionalFormatting>
  <conditionalFormatting sqref="Z54">
    <cfRule type="cellIs" dxfId="23878" priority="158572" stopIfTrue="1" operator="lessThan">
      <formula>0.5</formula>
    </cfRule>
  </conditionalFormatting>
  <conditionalFormatting sqref="Z54">
    <cfRule type="cellIs" dxfId="23877" priority="158573" stopIfTrue="1" operator="greaterThanOrEqual">
      <formula>0.5</formula>
    </cfRule>
  </conditionalFormatting>
  <conditionalFormatting sqref="Z55">
    <cfRule type="cellIs" dxfId="23876" priority="158574" stopIfTrue="1" operator="equal">
      <formula>-1</formula>
    </cfRule>
  </conditionalFormatting>
  <conditionalFormatting sqref="Z55">
    <cfRule type="cellIs" dxfId="23875" priority="158575" stopIfTrue="1" operator="lessThan">
      <formula>0.5</formula>
    </cfRule>
  </conditionalFormatting>
  <conditionalFormatting sqref="Z55">
    <cfRule type="cellIs" dxfId="23874" priority="158576" stopIfTrue="1" operator="greaterThanOrEqual">
      <formula>0.5</formula>
    </cfRule>
  </conditionalFormatting>
  <conditionalFormatting sqref="Z56">
    <cfRule type="cellIs" dxfId="23873" priority="158577" stopIfTrue="1" operator="equal">
      <formula>-1</formula>
    </cfRule>
  </conditionalFormatting>
  <conditionalFormatting sqref="Z56">
    <cfRule type="cellIs" dxfId="23872" priority="158578" stopIfTrue="1" operator="lessThan">
      <formula>0.5</formula>
    </cfRule>
  </conditionalFormatting>
  <conditionalFormatting sqref="Z56">
    <cfRule type="cellIs" dxfId="23871" priority="158579" stopIfTrue="1" operator="greaterThanOrEqual">
      <formula>0.5</formula>
    </cfRule>
  </conditionalFormatting>
  <conditionalFormatting sqref="Z57">
    <cfRule type="cellIs" dxfId="23870" priority="158580" stopIfTrue="1" operator="equal">
      <formula>-1</formula>
    </cfRule>
  </conditionalFormatting>
  <conditionalFormatting sqref="Z57">
    <cfRule type="cellIs" dxfId="23869" priority="158581" stopIfTrue="1" operator="lessThan">
      <formula>0.5</formula>
    </cfRule>
  </conditionalFormatting>
  <conditionalFormatting sqref="Z57">
    <cfRule type="cellIs" dxfId="23868" priority="158582" stopIfTrue="1" operator="greaterThanOrEqual">
      <formula>0.5</formula>
    </cfRule>
  </conditionalFormatting>
  <conditionalFormatting sqref="Z58">
    <cfRule type="cellIs" dxfId="23867" priority="158583" stopIfTrue="1" operator="equal">
      <formula>-1</formula>
    </cfRule>
  </conditionalFormatting>
  <conditionalFormatting sqref="Z58">
    <cfRule type="cellIs" dxfId="23866" priority="158584" stopIfTrue="1" operator="lessThan">
      <formula>0.5</formula>
    </cfRule>
  </conditionalFormatting>
  <conditionalFormatting sqref="Z58">
    <cfRule type="cellIs" dxfId="23865" priority="158585" stopIfTrue="1" operator="greaterThanOrEqual">
      <formula>0.5</formula>
    </cfRule>
  </conditionalFormatting>
  <conditionalFormatting sqref="AB39">
    <cfRule type="cellIs" dxfId="23864" priority="158586" stopIfTrue="1" operator="equal">
      <formula>-1</formula>
    </cfRule>
  </conditionalFormatting>
  <conditionalFormatting sqref="AB39">
    <cfRule type="cellIs" dxfId="23863" priority="158587" stopIfTrue="1" operator="lessThan">
      <formula>0.5</formula>
    </cfRule>
  </conditionalFormatting>
  <conditionalFormatting sqref="AB39">
    <cfRule type="cellIs" dxfId="23862" priority="158588" stopIfTrue="1" operator="greaterThanOrEqual">
      <formula>0.5</formula>
    </cfRule>
  </conditionalFormatting>
  <conditionalFormatting sqref="AB40">
    <cfRule type="cellIs" dxfId="23861" priority="158589" stopIfTrue="1" operator="equal">
      <formula>-1</formula>
    </cfRule>
  </conditionalFormatting>
  <conditionalFormatting sqref="AB40">
    <cfRule type="cellIs" dxfId="23860" priority="158590" stopIfTrue="1" operator="lessThan">
      <formula>0.5</formula>
    </cfRule>
  </conditionalFormatting>
  <conditionalFormatting sqref="AB40">
    <cfRule type="cellIs" dxfId="23859" priority="158591" stopIfTrue="1" operator="greaterThanOrEqual">
      <formula>0.5</formula>
    </cfRule>
  </conditionalFormatting>
  <conditionalFormatting sqref="AB41">
    <cfRule type="cellIs" dxfId="23858" priority="158592" stopIfTrue="1" operator="equal">
      <formula>-1</formula>
    </cfRule>
  </conditionalFormatting>
  <conditionalFormatting sqref="AB41">
    <cfRule type="cellIs" dxfId="23857" priority="158593" stopIfTrue="1" operator="lessThan">
      <formula>0.5</formula>
    </cfRule>
  </conditionalFormatting>
  <conditionalFormatting sqref="AB41">
    <cfRule type="cellIs" dxfId="23856" priority="158594" stopIfTrue="1" operator="greaterThanOrEqual">
      <formula>0.5</formula>
    </cfRule>
  </conditionalFormatting>
  <conditionalFormatting sqref="AB42">
    <cfRule type="cellIs" dxfId="23855" priority="158595" stopIfTrue="1" operator="equal">
      <formula>-1</formula>
    </cfRule>
  </conditionalFormatting>
  <conditionalFormatting sqref="AB42">
    <cfRule type="cellIs" dxfId="23854" priority="158596" stopIfTrue="1" operator="lessThan">
      <formula>0.5</formula>
    </cfRule>
  </conditionalFormatting>
  <conditionalFormatting sqref="AB42">
    <cfRule type="cellIs" dxfId="23853" priority="158597" stopIfTrue="1" operator="greaterThanOrEqual">
      <formula>0.5</formula>
    </cfRule>
  </conditionalFormatting>
  <conditionalFormatting sqref="AB43">
    <cfRule type="cellIs" dxfId="23852" priority="158598" stopIfTrue="1" operator="equal">
      <formula>-1</formula>
    </cfRule>
  </conditionalFormatting>
  <conditionalFormatting sqref="AB43">
    <cfRule type="cellIs" dxfId="23851" priority="158599" stopIfTrue="1" operator="lessThan">
      <formula>0.5</formula>
    </cfRule>
  </conditionalFormatting>
  <conditionalFormatting sqref="AB43">
    <cfRule type="cellIs" dxfId="23850" priority="158600" stopIfTrue="1" operator="greaterThanOrEqual">
      <formula>0.5</formula>
    </cfRule>
  </conditionalFormatting>
  <conditionalFormatting sqref="AB44">
    <cfRule type="cellIs" dxfId="23849" priority="158601" stopIfTrue="1" operator="equal">
      <formula>-1</formula>
    </cfRule>
  </conditionalFormatting>
  <conditionalFormatting sqref="AB44">
    <cfRule type="cellIs" dxfId="23848" priority="158602" stopIfTrue="1" operator="lessThan">
      <formula>0.5</formula>
    </cfRule>
  </conditionalFormatting>
  <conditionalFormatting sqref="AB44">
    <cfRule type="cellIs" dxfId="23847" priority="158603" stopIfTrue="1" operator="greaterThanOrEqual">
      <formula>0.5</formula>
    </cfRule>
  </conditionalFormatting>
  <conditionalFormatting sqref="AB45">
    <cfRule type="cellIs" dxfId="23846" priority="158604" stopIfTrue="1" operator="equal">
      <formula>-1</formula>
    </cfRule>
  </conditionalFormatting>
  <conditionalFormatting sqref="AB45">
    <cfRule type="cellIs" dxfId="23845" priority="158605" stopIfTrue="1" operator="lessThan">
      <formula>0.5</formula>
    </cfRule>
  </conditionalFormatting>
  <conditionalFormatting sqref="AB45">
    <cfRule type="cellIs" dxfId="23844" priority="158606" stopIfTrue="1" operator="greaterThanOrEqual">
      <formula>0.5</formula>
    </cfRule>
  </conditionalFormatting>
  <conditionalFormatting sqref="AB46">
    <cfRule type="cellIs" dxfId="23843" priority="158607" stopIfTrue="1" operator="equal">
      <formula>-1</formula>
    </cfRule>
  </conditionalFormatting>
  <conditionalFormatting sqref="AB46">
    <cfRule type="cellIs" dxfId="23842" priority="158608" stopIfTrue="1" operator="lessThan">
      <formula>0.5</formula>
    </cfRule>
  </conditionalFormatting>
  <conditionalFormatting sqref="AB46">
    <cfRule type="cellIs" dxfId="23841" priority="158609" stopIfTrue="1" operator="greaterThanOrEqual">
      <formula>0.5</formula>
    </cfRule>
  </conditionalFormatting>
  <conditionalFormatting sqref="AB47">
    <cfRule type="cellIs" dxfId="23840" priority="158610" stopIfTrue="1" operator="equal">
      <formula>-1</formula>
    </cfRule>
  </conditionalFormatting>
  <conditionalFormatting sqref="AB47">
    <cfRule type="cellIs" dxfId="23839" priority="158611" stopIfTrue="1" operator="lessThan">
      <formula>0.5</formula>
    </cfRule>
  </conditionalFormatting>
  <conditionalFormatting sqref="AB47">
    <cfRule type="cellIs" dxfId="23838" priority="158612" stopIfTrue="1" operator="greaterThanOrEqual">
      <formula>0.5</formula>
    </cfRule>
  </conditionalFormatting>
  <conditionalFormatting sqref="AB48">
    <cfRule type="cellIs" dxfId="23837" priority="158613" stopIfTrue="1" operator="equal">
      <formula>-1</formula>
    </cfRule>
  </conditionalFormatting>
  <conditionalFormatting sqref="AB48">
    <cfRule type="cellIs" dxfId="23836" priority="158614" stopIfTrue="1" operator="lessThan">
      <formula>0.5</formula>
    </cfRule>
  </conditionalFormatting>
  <conditionalFormatting sqref="AB48">
    <cfRule type="cellIs" dxfId="23835" priority="158615" stopIfTrue="1" operator="greaterThanOrEqual">
      <formula>0.5</formula>
    </cfRule>
  </conditionalFormatting>
  <conditionalFormatting sqref="AB49">
    <cfRule type="cellIs" dxfId="23834" priority="158616" stopIfTrue="1" operator="equal">
      <formula>-1</formula>
    </cfRule>
  </conditionalFormatting>
  <conditionalFormatting sqref="AB49">
    <cfRule type="cellIs" dxfId="23833" priority="158617" stopIfTrue="1" operator="lessThan">
      <formula>0.5</formula>
    </cfRule>
  </conditionalFormatting>
  <conditionalFormatting sqref="AB49">
    <cfRule type="cellIs" dxfId="23832" priority="158618" stopIfTrue="1" operator="greaterThanOrEqual">
      <formula>0.5</formula>
    </cfRule>
  </conditionalFormatting>
  <conditionalFormatting sqref="AB50">
    <cfRule type="cellIs" dxfId="23831" priority="158619" stopIfTrue="1" operator="equal">
      <formula>-1</formula>
    </cfRule>
  </conditionalFormatting>
  <conditionalFormatting sqref="AB50">
    <cfRule type="cellIs" dxfId="23830" priority="158620" stopIfTrue="1" operator="lessThan">
      <formula>0.5</formula>
    </cfRule>
  </conditionalFormatting>
  <conditionalFormatting sqref="AB50">
    <cfRule type="cellIs" dxfId="23829" priority="158621" stopIfTrue="1" operator="greaterThanOrEqual">
      <formula>0.5</formula>
    </cfRule>
  </conditionalFormatting>
  <conditionalFormatting sqref="AB51">
    <cfRule type="cellIs" dxfId="23828" priority="158622" stopIfTrue="1" operator="equal">
      <formula>-1</formula>
    </cfRule>
  </conditionalFormatting>
  <conditionalFormatting sqref="AB51">
    <cfRule type="cellIs" dxfId="23827" priority="158623" stopIfTrue="1" operator="lessThan">
      <formula>0.5</formula>
    </cfRule>
  </conditionalFormatting>
  <conditionalFormatting sqref="AB51">
    <cfRule type="cellIs" dxfId="23826" priority="158624" stopIfTrue="1" operator="greaterThanOrEqual">
      <formula>0.5</formula>
    </cfRule>
  </conditionalFormatting>
  <conditionalFormatting sqref="AB52">
    <cfRule type="cellIs" dxfId="23825" priority="158625" stopIfTrue="1" operator="equal">
      <formula>-1</formula>
    </cfRule>
  </conditionalFormatting>
  <conditionalFormatting sqref="AB52">
    <cfRule type="cellIs" dxfId="23824" priority="158626" stopIfTrue="1" operator="lessThan">
      <formula>0.5</formula>
    </cfRule>
  </conditionalFormatting>
  <conditionalFormatting sqref="AB52">
    <cfRule type="cellIs" dxfId="23823" priority="158627" stopIfTrue="1" operator="greaterThanOrEqual">
      <formula>0.5</formula>
    </cfRule>
  </conditionalFormatting>
  <conditionalFormatting sqref="AB53">
    <cfRule type="cellIs" dxfId="23822" priority="158628" stopIfTrue="1" operator="equal">
      <formula>-1</formula>
    </cfRule>
  </conditionalFormatting>
  <conditionalFormatting sqref="AB53">
    <cfRule type="cellIs" dxfId="23821" priority="158629" stopIfTrue="1" operator="lessThan">
      <formula>0.5</formula>
    </cfRule>
  </conditionalFormatting>
  <conditionalFormatting sqref="AB53">
    <cfRule type="cellIs" dxfId="23820" priority="158630" stopIfTrue="1" operator="greaterThanOrEqual">
      <formula>0.5</formula>
    </cfRule>
  </conditionalFormatting>
  <conditionalFormatting sqref="AB54">
    <cfRule type="cellIs" dxfId="23819" priority="158631" stopIfTrue="1" operator="equal">
      <formula>-1</formula>
    </cfRule>
  </conditionalFormatting>
  <conditionalFormatting sqref="AB54">
    <cfRule type="cellIs" dxfId="23818" priority="158632" stopIfTrue="1" operator="lessThan">
      <formula>0.5</formula>
    </cfRule>
  </conditionalFormatting>
  <conditionalFormatting sqref="AB54">
    <cfRule type="cellIs" dxfId="23817" priority="158633" stopIfTrue="1" operator="greaterThanOrEqual">
      <formula>0.5</formula>
    </cfRule>
  </conditionalFormatting>
  <conditionalFormatting sqref="AB55">
    <cfRule type="cellIs" dxfId="23816" priority="158634" stopIfTrue="1" operator="equal">
      <formula>-1</formula>
    </cfRule>
  </conditionalFormatting>
  <conditionalFormatting sqref="AB55">
    <cfRule type="cellIs" dxfId="23815" priority="158635" stopIfTrue="1" operator="lessThan">
      <formula>0.5</formula>
    </cfRule>
  </conditionalFormatting>
  <conditionalFormatting sqref="AB55">
    <cfRule type="cellIs" dxfId="23814" priority="158636" stopIfTrue="1" operator="greaterThanOrEqual">
      <formula>0.5</formula>
    </cfRule>
  </conditionalFormatting>
  <conditionalFormatting sqref="AB56">
    <cfRule type="cellIs" dxfId="23813" priority="158637" stopIfTrue="1" operator="equal">
      <formula>-1</formula>
    </cfRule>
  </conditionalFormatting>
  <conditionalFormatting sqref="AB56">
    <cfRule type="cellIs" dxfId="23812" priority="158638" stopIfTrue="1" operator="lessThan">
      <formula>0.5</formula>
    </cfRule>
  </conditionalFormatting>
  <conditionalFormatting sqref="AB56">
    <cfRule type="cellIs" dxfId="23811" priority="158639" stopIfTrue="1" operator="greaterThanOrEqual">
      <formula>0.5</formula>
    </cfRule>
  </conditionalFormatting>
  <conditionalFormatting sqref="AB57">
    <cfRule type="cellIs" dxfId="23810" priority="158640" stopIfTrue="1" operator="equal">
      <formula>-1</formula>
    </cfRule>
  </conditionalFormatting>
  <conditionalFormatting sqref="AB57">
    <cfRule type="cellIs" dxfId="23809" priority="158641" stopIfTrue="1" operator="lessThan">
      <formula>0.5</formula>
    </cfRule>
  </conditionalFormatting>
  <conditionalFormatting sqref="AB57">
    <cfRule type="cellIs" dxfId="23808" priority="158642" stopIfTrue="1" operator="greaterThanOrEqual">
      <formula>0.5</formula>
    </cfRule>
  </conditionalFormatting>
  <conditionalFormatting sqref="AB58">
    <cfRule type="cellIs" dxfId="23807" priority="158643" stopIfTrue="1" operator="equal">
      <formula>-1</formula>
    </cfRule>
  </conditionalFormatting>
  <conditionalFormatting sqref="AB58">
    <cfRule type="cellIs" dxfId="23806" priority="158644" stopIfTrue="1" operator="lessThan">
      <formula>0.5</formula>
    </cfRule>
  </conditionalFormatting>
  <conditionalFormatting sqref="AB58">
    <cfRule type="cellIs" dxfId="23805" priority="158645" stopIfTrue="1" operator="greaterThanOrEqual">
      <formula>0.5</formula>
    </cfRule>
  </conditionalFormatting>
  <conditionalFormatting sqref="AD39">
    <cfRule type="cellIs" dxfId="23804" priority="158646" stopIfTrue="1" operator="equal">
      <formula>-1</formula>
    </cfRule>
  </conditionalFormatting>
  <conditionalFormatting sqref="AD39">
    <cfRule type="cellIs" dxfId="23803" priority="158647" stopIfTrue="1" operator="lessThan">
      <formula>0.5</formula>
    </cfRule>
  </conditionalFormatting>
  <conditionalFormatting sqref="AD39">
    <cfRule type="cellIs" dxfId="23802" priority="158648" stopIfTrue="1" operator="greaterThanOrEqual">
      <formula>0.5</formula>
    </cfRule>
  </conditionalFormatting>
  <conditionalFormatting sqref="AD40">
    <cfRule type="cellIs" dxfId="23801" priority="158649" stopIfTrue="1" operator="equal">
      <formula>-1</formula>
    </cfRule>
  </conditionalFormatting>
  <conditionalFormatting sqref="AD40">
    <cfRule type="cellIs" dxfId="23800" priority="158650" stopIfTrue="1" operator="lessThan">
      <formula>0.5</formula>
    </cfRule>
  </conditionalFormatting>
  <conditionalFormatting sqref="AD40">
    <cfRule type="cellIs" dxfId="23799" priority="158651" stopIfTrue="1" operator="greaterThanOrEqual">
      <formula>0.5</formula>
    </cfRule>
  </conditionalFormatting>
  <conditionalFormatting sqref="AD41">
    <cfRule type="cellIs" dxfId="23798" priority="158652" stopIfTrue="1" operator="equal">
      <formula>-1</formula>
    </cfRule>
  </conditionalFormatting>
  <conditionalFormatting sqref="AD41">
    <cfRule type="cellIs" dxfId="23797" priority="158653" stopIfTrue="1" operator="lessThan">
      <formula>0.5</formula>
    </cfRule>
  </conditionalFormatting>
  <conditionalFormatting sqref="AD41">
    <cfRule type="cellIs" dxfId="23796" priority="158654" stopIfTrue="1" operator="greaterThanOrEqual">
      <formula>0.5</formula>
    </cfRule>
  </conditionalFormatting>
  <conditionalFormatting sqref="AD42">
    <cfRule type="cellIs" dxfId="23795" priority="158655" stopIfTrue="1" operator="equal">
      <formula>-1</formula>
    </cfRule>
  </conditionalFormatting>
  <conditionalFormatting sqref="AD42">
    <cfRule type="cellIs" dxfId="23794" priority="158656" stopIfTrue="1" operator="lessThan">
      <formula>0.5</formula>
    </cfRule>
  </conditionalFormatting>
  <conditionalFormatting sqref="AD42">
    <cfRule type="cellIs" dxfId="23793" priority="158657" stopIfTrue="1" operator="greaterThanOrEqual">
      <formula>0.5</formula>
    </cfRule>
  </conditionalFormatting>
  <conditionalFormatting sqref="AD43">
    <cfRule type="cellIs" dxfId="23792" priority="158658" stopIfTrue="1" operator="equal">
      <formula>-1</formula>
    </cfRule>
  </conditionalFormatting>
  <conditionalFormatting sqref="AD43">
    <cfRule type="cellIs" dxfId="23791" priority="158659" stopIfTrue="1" operator="lessThan">
      <formula>0.5</formula>
    </cfRule>
  </conditionalFormatting>
  <conditionalFormatting sqref="AD43">
    <cfRule type="cellIs" dxfId="23790" priority="158660" stopIfTrue="1" operator="greaterThanOrEqual">
      <formula>0.5</formula>
    </cfRule>
  </conditionalFormatting>
  <conditionalFormatting sqref="AD44">
    <cfRule type="cellIs" dxfId="23789" priority="158661" stopIfTrue="1" operator="equal">
      <formula>-1</formula>
    </cfRule>
  </conditionalFormatting>
  <conditionalFormatting sqref="AD44">
    <cfRule type="cellIs" dxfId="23788" priority="158662" stopIfTrue="1" operator="lessThan">
      <formula>0.5</formula>
    </cfRule>
  </conditionalFormatting>
  <conditionalFormatting sqref="AD44">
    <cfRule type="cellIs" dxfId="23787" priority="158663" stopIfTrue="1" operator="greaterThanOrEqual">
      <formula>0.5</formula>
    </cfRule>
  </conditionalFormatting>
  <conditionalFormatting sqref="AD45">
    <cfRule type="cellIs" dxfId="23786" priority="158664" stopIfTrue="1" operator="equal">
      <formula>-1</formula>
    </cfRule>
  </conditionalFormatting>
  <conditionalFormatting sqref="AD45">
    <cfRule type="cellIs" dxfId="23785" priority="158665" stopIfTrue="1" operator="lessThan">
      <formula>0.5</formula>
    </cfRule>
  </conditionalFormatting>
  <conditionalFormatting sqref="AD45">
    <cfRule type="cellIs" dxfId="23784" priority="158666" stopIfTrue="1" operator="greaterThanOrEqual">
      <formula>0.5</formula>
    </cfRule>
  </conditionalFormatting>
  <conditionalFormatting sqref="AD46">
    <cfRule type="cellIs" dxfId="23783" priority="158667" stopIfTrue="1" operator="equal">
      <formula>-1</formula>
    </cfRule>
  </conditionalFormatting>
  <conditionalFormatting sqref="AD46">
    <cfRule type="cellIs" dxfId="23782" priority="158668" stopIfTrue="1" operator="lessThan">
      <formula>0.5</formula>
    </cfRule>
  </conditionalFormatting>
  <conditionalFormatting sqref="AD46">
    <cfRule type="cellIs" dxfId="23781" priority="158669" stopIfTrue="1" operator="greaterThanOrEqual">
      <formula>0.5</formula>
    </cfRule>
  </conditionalFormatting>
  <conditionalFormatting sqref="AD47">
    <cfRule type="cellIs" dxfId="23780" priority="158670" stopIfTrue="1" operator="equal">
      <formula>-1</formula>
    </cfRule>
  </conditionalFormatting>
  <conditionalFormatting sqref="AD47">
    <cfRule type="cellIs" dxfId="23779" priority="158671" stopIfTrue="1" operator="lessThan">
      <formula>0.5</formula>
    </cfRule>
  </conditionalFormatting>
  <conditionalFormatting sqref="AD47">
    <cfRule type="cellIs" dxfId="23778" priority="158672" stopIfTrue="1" operator="greaterThanOrEqual">
      <formula>0.5</formula>
    </cfRule>
  </conditionalFormatting>
  <conditionalFormatting sqref="AD48">
    <cfRule type="cellIs" dxfId="23777" priority="158673" stopIfTrue="1" operator="equal">
      <formula>-1</formula>
    </cfRule>
  </conditionalFormatting>
  <conditionalFormatting sqref="AD48">
    <cfRule type="cellIs" dxfId="23776" priority="158674" stopIfTrue="1" operator="lessThan">
      <formula>0.5</formula>
    </cfRule>
  </conditionalFormatting>
  <conditionalFormatting sqref="AD48">
    <cfRule type="cellIs" dxfId="23775" priority="158675" stopIfTrue="1" operator="greaterThanOrEqual">
      <formula>0.5</formula>
    </cfRule>
  </conditionalFormatting>
  <conditionalFormatting sqref="AD49">
    <cfRule type="cellIs" dxfId="23774" priority="158676" stopIfTrue="1" operator="equal">
      <formula>-1</formula>
    </cfRule>
  </conditionalFormatting>
  <conditionalFormatting sqref="AD49">
    <cfRule type="cellIs" dxfId="23773" priority="158677" stopIfTrue="1" operator="lessThan">
      <formula>0.5</formula>
    </cfRule>
  </conditionalFormatting>
  <conditionalFormatting sqref="AD49">
    <cfRule type="cellIs" dxfId="23772" priority="158678" stopIfTrue="1" operator="greaterThanOrEqual">
      <formula>0.5</formula>
    </cfRule>
  </conditionalFormatting>
  <conditionalFormatting sqref="AD50">
    <cfRule type="cellIs" dxfId="23771" priority="158679" stopIfTrue="1" operator="equal">
      <formula>-1</formula>
    </cfRule>
  </conditionalFormatting>
  <conditionalFormatting sqref="AD50">
    <cfRule type="cellIs" dxfId="23770" priority="158680" stopIfTrue="1" operator="lessThan">
      <formula>0.5</formula>
    </cfRule>
  </conditionalFormatting>
  <conditionalFormatting sqref="AD50">
    <cfRule type="cellIs" dxfId="23769" priority="158681" stopIfTrue="1" operator="greaterThanOrEqual">
      <formula>0.5</formula>
    </cfRule>
  </conditionalFormatting>
  <conditionalFormatting sqref="AD51">
    <cfRule type="cellIs" dxfId="23768" priority="158682" stopIfTrue="1" operator="equal">
      <formula>-1</formula>
    </cfRule>
  </conditionalFormatting>
  <conditionalFormatting sqref="AD51">
    <cfRule type="cellIs" dxfId="23767" priority="158683" stopIfTrue="1" operator="lessThan">
      <formula>0.5</formula>
    </cfRule>
  </conditionalFormatting>
  <conditionalFormatting sqref="AD51">
    <cfRule type="cellIs" dxfId="23766" priority="158684" stopIfTrue="1" operator="greaterThanOrEqual">
      <formula>0.5</formula>
    </cfRule>
  </conditionalFormatting>
  <conditionalFormatting sqref="AD52">
    <cfRule type="cellIs" dxfId="23765" priority="158685" stopIfTrue="1" operator="equal">
      <formula>-1</formula>
    </cfRule>
  </conditionalFormatting>
  <conditionalFormatting sqref="AD52">
    <cfRule type="cellIs" dxfId="23764" priority="158686" stopIfTrue="1" operator="lessThan">
      <formula>0.5</formula>
    </cfRule>
  </conditionalFormatting>
  <conditionalFormatting sqref="AD52">
    <cfRule type="cellIs" dxfId="23763" priority="158687" stopIfTrue="1" operator="greaterThanOrEqual">
      <formula>0.5</formula>
    </cfRule>
  </conditionalFormatting>
  <conditionalFormatting sqref="AD53">
    <cfRule type="cellIs" dxfId="23762" priority="158688" stopIfTrue="1" operator="equal">
      <formula>-1</formula>
    </cfRule>
  </conditionalFormatting>
  <conditionalFormatting sqref="AD53">
    <cfRule type="cellIs" dxfId="23761" priority="158689" stopIfTrue="1" operator="lessThan">
      <formula>0.5</formula>
    </cfRule>
  </conditionalFormatting>
  <conditionalFormatting sqref="AD53">
    <cfRule type="cellIs" dxfId="23760" priority="158690" stopIfTrue="1" operator="greaterThanOrEqual">
      <formula>0.5</formula>
    </cfRule>
  </conditionalFormatting>
  <conditionalFormatting sqref="AD54">
    <cfRule type="cellIs" dxfId="23759" priority="158691" stopIfTrue="1" operator="equal">
      <formula>-1</formula>
    </cfRule>
  </conditionalFormatting>
  <conditionalFormatting sqref="AD54">
    <cfRule type="cellIs" dxfId="23758" priority="158692" stopIfTrue="1" operator="lessThan">
      <formula>0.5</formula>
    </cfRule>
  </conditionalFormatting>
  <conditionalFormatting sqref="AD54">
    <cfRule type="cellIs" dxfId="23757" priority="158693" stopIfTrue="1" operator="greaterThanOrEqual">
      <formula>0.5</formula>
    </cfRule>
  </conditionalFormatting>
  <conditionalFormatting sqref="AD55">
    <cfRule type="cellIs" dxfId="23756" priority="158694" stopIfTrue="1" operator="equal">
      <formula>-1</formula>
    </cfRule>
  </conditionalFormatting>
  <conditionalFormatting sqref="AD55">
    <cfRule type="cellIs" dxfId="23755" priority="158695" stopIfTrue="1" operator="lessThan">
      <formula>0.5</formula>
    </cfRule>
  </conditionalFormatting>
  <conditionalFormatting sqref="AD55">
    <cfRule type="cellIs" dxfId="23754" priority="158696" stopIfTrue="1" operator="greaterThanOrEqual">
      <formula>0.5</formula>
    </cfRule>
  </conditionalFormatting>
  <conditionalFormatting sqref="AD56">
    <cfRule type="cellIs" dxfId="23753" priority="158697" stopIfTrue="1" operator="equal">
      <formula>-1</formula>
    </cfRule>
  </conditionalFormatting>
  <conditionalFormatting sqref="AD56">
    <cfRule type="cellIs" dxfId="23752" priority="158698" stopIfTrue="1" operator="lessThan">
      <formula>0.5</formula>
    </cfRule>
  </conditionalFormatting>
  <conditionalFormatting sqref="AD56">
    <cfRule type="cellIs" dxfId="23751" priority="158699" stopIfTrue="1" operator="greaterThanOrEqual">
      <formula>0.5</formula>
    </cfRule>
  </conditionalFormatting>
  <conditionalFormatting sqref="AD57">
    <cfRule type="cellIs" dxfId="23750" priority="158700" stopIfTrue="1" operator="equal">
      <formula>-1</formula>
    </cfRule>
  </conditionalFormatting>
  <conditionalFormatting sqref="AD57">
    <cfRule type="cellIs" dxfId="23749" priority="158701" stopIfTrue="1" operator="lessThan">
      <formula>0.5</formula>
    </cfRule>
  </conditionalFormatting>
  <conditionalFormatting sqref="AD57">
    <cfRule type="cellIs" dxfId="23748" priority="158702" stopIfTrue="1" operator="greaterThanOrEqual">
      <formula>0.5</formula>
    </cfRule>
  </conditionalFormatting>
  <conditionalFormatting sqref="AD58">
    <cfRule type="cellIs" dxfId="23747" priority="158703" stopIfTrue="1" operator="equal">
      <formula>-1</formula>
    </cfRule>
  </conditionalFormatting>
  <conditionalFormatting sqref="AD58">
    <cfRule type="cellIs" dxfId="23746" priority="158704" stopIfTrue="1" operator="lessThan">
      <formula>0.5</formula>
    </cfRule>
  </conditionalFormatting>
  <conditionalFormatting sqref="AD58">
    <cfRule type="cellIs" dxfId="23745" priority="158705" stopIfTrue="1" operator="greaterThanOrEqual">
      <formula>0.5</formula>
    </cfRule>
  </conditionalFormatting>
  <conditionalFormatting sqref="AF39">
    <cfRule type="cellIs" dxfId="23744" priority="158706" stopIfTrue="1" operator="equal">
      <formula>-1</formula>
    </cfRule>
  </conditionalFormatting>
  <conditionalFormatting sqref="AF39">
    <cfRule type="cellIs" dxfId="23743" priority="158707" stopIfTrue="1" operator="lessThan">
      <formula>0.5</formula>
    </cfRule>
  </conditionalFormatting>
  <conditionalFormatting sqref="AF39">
    <cfRule type="cellIs" dxfId="23742" priority="158708" stopIfTrue="1" operator="greaterThanOrEqual">
      <formula>0.5</formula>
    </cfRule>
  </conditionalFormatting>
  <conditionalFormatting sqref="AF40">
    <cfRule type="cellIs" dxfId="23741" priority="158709" stopIfTrue="1" operator="equal">
      <formula>-1</formula>
    </cfRule>
  </conditionalFormatting>
  <conditionalFormatting sqref="AF40">
    <cfRule type="cellIs" dxfId="23740" priority="158710" stopIfTrue="1" operator="lessThan">
      <formula>0.5</formula>
    </cfRule>
  </conditionalFormatting>
  <conditionalFormatting sqref="AF40">
    <cfRule type="cellIs" dxfId="23739" priority="158711" stopIfTrue="1" operator="greaterThanOrEqual">
      <formula>0.5</formula>
    </cfRule>
  </conditionalFormatting>
  <conditionalFormatting sqref="AF41">
    <cfRule type="cellIs" dxfId="23738" priority="158712" stopIfTrue="1" operator="equal">
      <formula>-1</formula>
    </cfRule>
  </conditionalFormatting>
  <conditionalFormatting sqref="AF41">
    <cfRule type="cellIs" dxfId="23737" priority="158713" stopIfTrue="1" operator="lessThan">
      <formula>0.5</formula>
    </cfRule>
  </conditionalFormatting>
  <conditionalFormatting sqref="AF41">
    <cfRule type="cellIs" dxfId="23736" priority="158714" stopIfTrue="1" operator="greaterThanOrEqual">
      <formula>0.5</formula>
    </cfRule>
  </conditionalFormatting>
  <conditionalFormatting sqref="AF42">
    <cfRule type="cellIs" dxfId="23735" priority="158715" stopIfTrue="1" operator="equal">
      <formula>-1</formula>
    </cfRule>
  </conditionalFormatting>
  <conditionalFormatting sqref="AF42">
    <cfRule type="cellIs" dxfId="23734" priority="158716" stopIfTrue="1" operator="lessThan">
      <formula>0.5</formula>
    </cfRule>
  </conditionalFormatting>
  <conditionalFormatting sqref="AF42">
    <cfRule type="cellIs" dxfId="23733" priority="158717" stopIfTrue="1" operator="greaterThanOrEqual">
      <formula>0.5</formula>
    </cfRule>
  </conditionalFormatting>
  <conditionalFormatting sqref="AF43">
    <cfRule type="cellIs" dxfId="23732" priority="158718" stopIfTrue="1" operator="equal">
      <formula>-1</formula>
    </cfRule>
  </conditionalFormatting>
  <conditionalFormatting sqref="AF43">
    <cfRule type="cellIs" dxfId="23731" priority="158719" stopIfTrue="1" operator="lessThan">
      <formula>0.5</formula>
    </cfRule>
  </conditionalFormatting>
  <conditionalFormatting sqref="AF43">
    <cfRule type="cellIs" dxfId="23730" priority="158720" stopIfTrue="1" operator="greaterThanOrEqual">
      <formula>0.5</formula>
    </cfRule>
  </conditionalFormatting>
  <conditionalFormatting sqref="AF44">
    <cfRule type="cellIs" dxfId="23729" priority="158721" stopIfTrue="1" operator="equal">
      <formula>-1</formula>
    </cfRule>
  </conditionalFormatting>
  <conditionalFormatting sqref="AF44">
    <cfRule type="cellIs" dxfId="23728" priority="158722" stopIfTrue="1" operator="lessThan">
      <formula>0.5</formula>
    </cfRule>
  </conditionalFormatting>
  <conditionalFormatting sqref="AF44">
    <cfRule type="cellIs" dxfId="23727" priority="158723" stopIfTrue="1" operator="greaterThanOrEqual">
      <formula>0.5</formula>
    </cfRule>
  </conditionalFormatting>
  <conditionalFormatting sqref="AF45">
    <cfRule type="cellIs" dxfId="23726" priority="158724" stopIfTrue="1" operator="equal">
      <formula>-1</formula>
    </cfRule>
  </conditionalFormatting>
  <conditionalFormatting sqref="AF45">
    <cfRule type="cellIs" dxfId="23725" priority="158725" stopIfTrue="1" operator="lessThan">
      <formula>0.5</formula>
    </cfRule>
  </conditionalFormatting>
  <conditionalFormatting sqref="AF45">
    <cfRule type="cellIs" dxfId="23724" priority="158726" stopIfTrue="1" operator="greaterThanOrEqual">
      <formula>0.5</formula>
    </cfRule>
  </conditionalFormatting>
  <conditionalFormatting sqref="AF46">
    <cfRule type="cellIs" dxfId="23723" priority="158727" stopIfTrue="1" operator="equal">
      <formula>-1</formula>
    </cfRule>
  </conditionalFormatting>
  <conditionalFormatting sqref="AF46">
    <cfRule type="cellIs" dxfId="23722" priority="158728" stopIfTrue="1" operator="lessThan">
      <formula>0.5</formula>
    </cfRule>
  </conditionalFormatting>
  <conditionalFormatting sqref="AF46">
    <cfRule type="cellIs" dxfId="23721" priority="158729" stopIfTrue="1" operator="greaterThanOrEqual">
      <formula>0.5</formula>
    </cfRule>
  </conditionalFormatting>
  <conditionalFormatting sqref="AF47">
    <cfRule type="cellIs" dxfId="23720" priority="158730" stopIfTrue="1" operator="equal">
      <formula>-1</formula>
    </cfRule>
  </conditionalFormatting>
  <conditionalFormatting sqref="AF47">
    <cfRule type="cellIs" dxfId="23719" priority="158731" stopIfTrue="1" operator="lessThan">
      <formula>0.5</formula>
    </cfRule>
  </conditionalFormatting>
  <conditionalFormatting sqref="AF47">
    <cfRule type="cellIs" dxfId="23718" priority="158732" stopIfTrue="1" operator="greaterThanOrEqual">
      <formula>0.5</formula>
    </cfRule>
  </conditionalFormatting>
  <conditionalFormatting sqref="AF48">
    <cfRule type="cellIs" dxfId="23717" priority="158733" stopIfTrue="1" operator="equal">
      <formula>-1</formula>
    </cfRule>
  </conditionalFormatting>
  <conditionalFormatting sqref="AF48">
    <cfRule type="cellIs" dxfId="23716" priority="158734" stopIfTrue="1" operator="lessThan">
      <formula>0.5</formula>
    </cfRule>
  </conditionalFormatting>
  <conditionalFormatting sqref="AF48">
    <cfRule type="cellIs" dxfId="23715" priority="158735" stopIfTrue="1" operator="greaterThanOrEqual">
      <formula>0.5</formula>
    </cfRule>
  </conditionalFormatting>
  <conditionalFormatting sqref="AF49">
    <cfRule type="cellIs" dxfId="23714" priority="158736" stopIfTrue="1" operator="equal">
      <formula>-1</formula>
    </cfRule>
  </conditionalFormatting>
  <conditionalFormatting sqref="AF49">
    <cfRule type="cellIs" dxfId="23713" priority="158737" stopIfTrue="1" operator="lessThan">
      <formula>0.5</formula>
    </cfRule>
  </conditionalFormatting>
  <conditionalFormatting sqref="AF49">
    <cfRule type="cellIs" dxfId="23712" priority="158738" stopIfTrue="1" operator="greaterThanOrEqual">
      <formula>0.5</formula>
    </cfRule>
  </conditionalFormatting>
  <conditionalFormatting sqref="AF50">
    <cfRule type="cellIs" dxfId="23711" priority="158739" stopIfTrue="1" operator="equal">
      <formula>-1</formula>
    </cfRule>
  </conditionalFormatting>
  <conditionalFormatting sqref="AF50">
    <cfRule type="cellIs" dxfId="23710" priority="158740" stopIfTrue="1" operator="lessThan">
      <formula>0.5</formula>
    </cfRule>
  </conditionalFormatting>
  <conditionalFormatting sqref="AF50">
    <cfRule type="cellIs" dxfId="23709" priority="158741" stopIfTrue="1" operator="greaterThanOrEqual">
      <formula>0.5</formula>
    </cfRule>
  </conditionalFormatting>
  <conditionalFormatting sqref="AF51">
    <cfRule type="cellIs" dxfId="23708" priority="158742" stopIfTrue="1" operator="equal">
      <formula>-1</formula>
    </cfRule>
  </conditionalFormatting>
  <conditionalFormatting sqref="AF51">
    <cfRule type="cellIs" dxfId="23707" priority="158743" stopIfTrue="1" operator="lessThan">
      <formula>0.5</formula>
    </cfRule>
  </conditionalFormatting>
  <conditionalFormatting sqref="AF51">
    <cfRule type="cellIs" dxfId="23706" priority="158744" stopIfTrue="1" operator="greaterThanOrEqual">
      <formula>0.5</formula>
    </cfRule>
  </conditionalFormatting>
  <conditionalFormatting sqref="AF52">
    <cfRule type="cellIs" dxfId="23705" priority="158745" stopIfTrue="1" operator="equal">
      <formula>-1</formula>
    </cfRule>
  </conditionalFormatting>
  <conditionalFormatting sqref="AF52">
    <cfRule type="cellIs" dxfId="23704" priority="158746" stopIfTrue="1" operator="lessThan">
      <formula>0.5</formula>
    </cfRule>
  </conditionalFormatting>
  <conditionalFormatting sqref="AF52">
    <cfRule type="cellIs" dxfId="23703" priority="158747" stopIfTrue="1" operator="greaterThanOrEqual">
      <formula>0.5</formula>
    </cfRule>
  </conditionalFormatting>
  <conditionalFormatting sqref="AF53">
    <cfRule type="cellIs" dxfId="23702" priority="158748" stopIfTrue="1" operator="equal">
      <formula>-1</formula>
    </cfRule>
  </conditionalFormatting>
  <conditionalFormatting sqref="AF53">
    <cfRule type="cellIs" dxfId="23701" priority="158749" stopIfTrue="1" operator="lessThan">
      <formula>0.5</formula>
    </cfRule>
  </conditionalFormatting>
  <conditionalFormatting sqref="AF53">
    <cfRule type="cellIs" dxfId="23700" priority="158750" stopIfTrue="1" operator="greaterThanOrEqual">
      <formula>0.5</formula>
    </cfRule>
  </conditionalFormatting>
  <conditionalFormatting sqref="AF54">
    <cfRule type="cellIs" dxfId="23699" priority="158751" stopIfTrue="1" operator="equal">
      <formula>-1</formula>
    </cfRule>
  </conditionalFormatting>
  <conditionalFormatting sqref="AF54">
    <cfRule type="cellIs" dxfId="23698" priority="158752" stopIfTrue="1" operator="lessThan">
      <formula>0.5</formula>
    </cfRule>
  </conditionalFormatting>
  <conditionalFormatting sqref="AF54">
    <cfRule type="cellIs" dxfId="23697" priority="158753" stopIfTrue="1" operator="greaterThanOrEqual">
      <formula>0.5</formula>
    </cfRule>
  </conditionalFormatting>
  <conditionalFormatting sqref="AF55">
    <cfRule type="cellIs" dxfId="23696" priority="158754" stopIfTrue="1" operator="equal">
      <formula>-1</formula>
    </cfRule>
  </conditionalFormatting>
  <conditionalFormatting sqref="AF55">
    <cfRule type="cellIs" dxfId="23695" priority="158755" stopIfTrue="1" operator="lessThan">
      <formula>0.5</formula>
    </cfRule>
  </conditionalFormatting>
  <conditionalFormatting sqref="AF55">
    <cfRule type="cellIs" dxfId="23694" priority="158756" stopIfTrue="1" operator="greaterThanOrEqual">
      <formula>0.5</formula>
    </cfRule>
  </conditionalFormatting>
  <conditionalFormatting sqref="AF56">
    <cfRule type="cellIs" dxfId="23693" priority="158757" stopIfTrue="1" operator="equal">
      <formula>-1</formula>
    </cfRule>
  </conditionalFormatting>
  <conditionalFormatting sqref="AF56">
    <cfRule type="cellIs" dxfId="23692" priority="158758" stopIfTrue="1" operator="lessThan">
      <formula>0.5</formula>
    </cfRule>
  </conditionalFormatting>
  <conditionalFormatting sqref="AF56">
    <cfRule type="cellIs" dxfId="23691" priority="158759" stopIfTrue="1" operator="greaterThanOrEqual">
      <formula>0.5</formula>
    </cfRule>
  </conditionalFormatting>
  <conditionalFormatting sqref="AF57">
    <cfRule type="cellIs" dxfId="23690" priority="158760" stopIfTrue="1" operator="equal">
      <formula>-1</formula>
    </cfRule>
  </conditionalFormatting>
  <conditionalFormatting sqref="AF57">
    <cfRule type="cellIs" dxfId="23689" priority="158761" stopIfTrue="1" operator="lessThan">
      <formula>0.5</formula>
    </cfRule>
  </conditionalFormatting>
  <conditionalFormatting sqref="AF57">
    <cfRule type="cellIs" dxfId="23688" priority="158762" stopIfTrue="1" operator="greaterThanOrEqual">
      <formula>0.5</formula>
    </cfRule>
  </conditionalFormatting>
  <conditionalFormatting sqref="AF58">
    <cfRule type="cellIs" dxfId="23687" priority="158763" stopIfTrue="1" operator="equal">
      <formula>-1</formula>
    </cfRule>
  </conditionalFormatting>
  <conditionalFormatting sqref="AF58">
    <cfRule type="cellIs" dxfId="23686" priority="158764" stopIfTrue="1" operator="lessThan">
      <formula>0.5</formula>
    </cfRule>
  </conditionalFormatting>
  <conditionalFormatting sqref="AF58">
    <cfRule type="cellIs" dxfId="23685" priority="158765" stopIfTrue="1" operator="greaterThanOrEqual">
      <formula>0.5</formula>
    </cfRule>
  </conditionalFormatting>
  <conditionalFormatting sqref="AH39">
    <cfRule type="cellIs" dxfId="23684" priority="158766" stopIfTrue="1" operator="equal">
      <formula>-1</formula>
    </cfRule>
  </conditionalFormatting>
  <conditionalFormatting sqref="AH39">
    <cfRule type="cellIs" dxfId="23683" priority="158767" stopIfTrue="1" operator="lessThan">
      <formula>0.5</formula>
    </cfRule>
  </conditionalFormatting>
  <conditionalFormatting sqref="AH39">
    <cfRule type="cellIs" dxfId="23682" priority="158768" stopIfTrue="1" operator="greaterThanOrEqual">
      <formula>0.5</formula>
    </cfRule>
  </conditionalFormatting>
  <conditionalFormatting sqref="AH40">
    <cfRule type="cellIs" dxfId="23681" priority="158769" stopIfTrue="1" operator="equal">
      <formula>-1</formula>
    </cfRule>
  </conditionalFormatting>
  <conditionalFormatting sqref="AH40">
    <cfRule type="cellIs" dxfId="23680" priority="158770" stopIfTrue="1" operator="lessThan">
      <formula>0.5</formula>
    </cfRule>
  </conditionalFormatting>
  <conditionalFormatting sqref="AH40">
    <cfRule type="cellIs" dxfId="23679" priority="158771" stopIfTrue="1" operator="greaterThanOrEqual">
      <formula>0.5</formula>
    </cfRule>
  </conditionalFormatting>
  <conditionalFormatting sqref="AH41">
    <cfRule type="cellIs" dxfId="23678" priority="158772" stopIfTrue="1" operator="equal">
      <formula>-1</formula>
    </cfRule>
  </conditionalFormatting>
  <conditionalFormatting sqref="AH41">
    <cfRule type="cellIs" dxfId="23677" priority="158773" stopIfTrue="1" operator="lessThan">
      <formula>0.5</formula>
    </cfRule>
  </conditionalFormatting>
  <conditionalFormatting sqref="AH41">
    <cfRule type="cellIs" dxfId="23676" priority="158774" stopIfTrue="1" operator="greaterThanOrEqual">
      <formula>0.5</formula>
    </cfRule>
  </conditionalFormatting>
  <conditionalFormatting sqref="AH42">
    <cfRule type="cellIs" dxfId="23675" priority="158775" stopIfTrue="1" operator="equal">
      <formula>-1</formula>
    </cfRule>
  </conditionalFormatting>
  <conditionalFormatting sqref="AH42">
    <cfRule type="cellIs" dxfId="23674" priority="158776" stopIfTrue="1" operator="lessThan">
      <formula>0.5</formula>
    </cfRule>
  </conditionalFormatting>
  <conditionalFormatting sqref="AH42">
    <cfRule type="cellIs" dxfId="23673" priority="158777" stopIfTrue="1" operator="greaterThanOrEqual">
      <formula>0.5</formula>
    </cfRule>
  </conditionalFormatting>
  <conditionalFormatting sqref="AH43">
    <cfRule type="cellIs" dxfId="23672" priority="158778" stopIfTrue="1" operator="equal">
      <formula>-1</formula>
    </cfRule>
  </conditionalFormatting>
  <conditionalFormatting sqref="AH43">
    <cfRule type="cellIs" dxfId="23671" priority="158779" stopIfTrue="1" operator="lessThan">
      <formula>0.5</formula>
    </cfRule>
  </conditionalFormatting>
  <conditionalFormatting sqref="AH43">
    <cfRule type="cellIs" dxfId="23670" priority="158780" stopIfTrue="1" operator="greaterThanOrEqual">
      <formula>0.5</formula>
    </cfRule>
  </conditionalFormatting>
  <conditionalFormatting sqref="AH44">
    <cfRule type="cellIs" dxfId="23669" priority="158781" stopIfTrue="1" operator="equal">
      <formula>-1</formula>
    </cfRule>
  </conditionalFormatting>
  <conditionalFormatting sqref="AH44">
    <cfRule type="cellIs" dxfId="23668" priority="158782" stopIfTrue="1" operator="lessThan">
      <formula>0.5</formula>
    </cfRule>
  </conditionalFormatting>
  <conditionalFormatting sqref="AH44">
    <cfRule type="cellIs" dxfId="23667" priority="158783" stopIfTrue="1" operator="greaterThanOrEqual">
      <formula>0.5</formula>
    </cfRule>
  </conditionalFormatting>
  <conditionalFormatting sqref="AH45">
    <cfRule type="cellIs" dxfId="23666" priority="158784" stopIfTrue="1" operator="equal">
      <formula>-1</formula>
    </cfRule>
  </conditionalFormatting>
  <conditionalFormatting sqref="AH45">
    <cfRule type="cellIs" dxfId="23665" priority="158785" stopIfTrue="1" operator="lessThan">
      <formula>0.5</formula>
    </cfRule>
  </conditionalFormatting>
  <conditionalFormatting sqref="AH45">
    <cfRule type="cellIs" dxfId="23664" priority="158786" stopIfTrue="1" operator="greaterThanOrEqual">
      <formula>0.5</formula>
    </cfRule>
  </conditionalFormatting>
  <conditionalFormatting sqref="AH46">
    <cfRule type="cellIs" dxfId="23663" priority="158787" stopIfTrue="1" operator="equal">
      <formula>-1</formula>
    </cfRule>
  </conditionalFormatting>
  <conditionalFormatting sqref="AH46">
    <cfRule type="cellIs" dxfId="23662" priority="158788" stopIfTrue="1" operator="lessThan">
      <formula>0.5</formula>
    </cfRule>
  </conditionalFormatting>
  <conditionalFormatting sqref="AH46">
    <cfRule type="cellIs" dxfId="23661" priority="158789" stopIfTrue="1" operator="greaterThanOrEqual">
      <formula>0.5</formula>
    </cfRule>
  </conditionalFormatting>
  <conditionalFormatting sqref="AH47">
    <cfRule type="cellIs" dxfId="23660" priority="158790" stopIfTrue="1" operator="equal">
      <formula>-1</formula>
    </cfRule>
  </conditionalFormatting>
  <conditionalFormatting sqref="AH47">
    <cfRule type="cellIs" dxfId="23659" priority="158791" stopIfTrue="1" operator="lessThan">
      <formula>0.5</formula>
    </cfRule>
  </conditionalFormatting>
  <conditionalFormatting sqref="AH47">
    <cfRule type="cellIs" dxfId="23658" priority="158792" stopIfTrue="1" operator="greaterThanOrEqual">
      <formula>0.5</formula>
    </cfRule>
  </conditionalFormatting>
  <conditionalFormatting sqref="AH48">
    <cfRule type="cellIs" dxfId="23657" priority="158793" stopIfTrue="1" operator="equal">
      <formula>-1</formula>
    </cfRule>
  </conditionalFormatting>
  <conditionalFormatting sqref="AH48">
    <cfRule type="cellIs" dxfId="23656" priority="158794" stopIfTrue="1" operator="lessThan">
      <formula>0.5</formula>
    </cfRule>
  </conditionalFormatting>
  <conditionalFormatting sqref="AH48">
    <cfRule type="cellIs" dxfId="23655" priority="158795" stopIfTrue="1" operator="greaterThanOrEqual">
      <formula>0.5</formula>
    </cfRule>
  </conditionalFormatting>
  <conditionalFormatting sqref="AH49">
    <cfRule type="cellIs" dxfId="23654" priority="158796" stopIfTrue="1" operator="equal">
      <formula>-1</formula>
    </cfRule>
  </conditionalFormatting>
  <conditionalFormatting sqref="AH49">
    <cfRule type="cellIs" dxfId="23653" priority="158797" stopIfTrue="1" operator="lessThan">
      <formula>0.5</formula>
    </cfRule>
  </conditionalFormatting>
  <conditionalFormatting sqref="AH49">
    <cfRule type="cellIs" dxfId="23652" priority="158798" stopIfTrue="1" operator="greaterThanOrEqual">
      <formula>0.5</formula>
    </cfRule>
  </conditionalFormatting>
  <conditionalFormatting sqref="AH50">
    <cfRule type="cellIs" dxfId="23651" priority="158799" stopIfTrue="1" operator="equal">
      <formula>-1</formula>
    </cfRule>
  </conditionalFormatting>
  <conditionalFormatting sqref="AH50">
    <cfRule type="cellIs" dxfId="23650" priority="158800" stopIfTrue="1" operator="lessThan">
      <formula>0.5</formula>
    </cfRule>
  </conditionalFormatting>
  <conditionalFormatting sqref="AH50">
    <cfRule type="cellIs" dxfId="23649" priority="158801" stopIfTrue="1" operator="greaterThanOrEqual">
      <formula>0.5</formula>
    </cfRule>
  </conditionalFormatting>
  <conditionalFormatting sqref="AH51">
    <cfRule type="cellIs" dxfId="23648" priority="158802" stopIfTrue="1" operator="equal">
      <formula>-1</formula>
    </cfRule>
  </conditionalFormatting>
  <conditionalFormatting sqref="AH51">
    <cfRule type="cellIs" dxfId="23647" priority="158803" stopIfTrue="1" operator="lessThan">
      <formula>0.5</formula>
    </cfRule>
  </conditionalFormatting>
  <conditionalFormatting sqref="AH51">
    <cfRule type="cellIs" dxfId="23646" priority="158804" stopIfTrue="1" operator="greaterThanOrEqual">
      <formula>0.5</formula>
    </cfRule>
  </conditionalFormatting>
  <conditionalFormatting sqref="AH52">
    <cfRule type="cellIs" dxfId="23645" priority="158805" stopIfTrue="1" operator="equal">
      <formula>-1</formula>
    </cfRule>
  </conditionalFormatting>
  <conditionalFormatting sqref="AH52">
    <cfRule type="cellIs" dxfId="23644" priority="158806" stopIfTrue="1" operator="lessThan">
      <formula>0.5</formula>
    </cfRule>
  </conditionalFormatting>
  <conditionalFormatting sqref="AH52">
    <cfRule type="cellIs" dxfId="23643" priority="158807" stopIfTrue="1" operator="greaterThanOrEqual">
      <formula>0.5</formula>
    </cfRule>
  </conditionalFormatting>
  <conditionalFormatting sqref="AH53">
    <cfRule type="cellIs" dxfId="23642" priority="158808" stopIfTrue="1" operator="equal">
      <formula>-1</formula>
    </cfRule>
  </conditionalFormatting>
  <conditionalFormatting sqref="AH53">
    <cfRule type="cellIs" dxfId="23641" priority="158809" stopIfTrue="1" operator="lessThan">
      <formula>0.5</formula>
    </cfRule>
  </conditionalFormatting>
  <conditionalFormatting sqref="AH53">
    <cfRule type="cellIs" dxfId="23640" priority="158810" stopIfTrue="1" operator="greaterThanOrEqual">
      <formula>0.5</formula>
    </cfRule>
  </conditionalFormatting>
  <conditionalFormatting sqref="AH54">
    <cfRule type="cellIs" dxfId="23639" priority="158811" stopIfTrue="1" operator="equal">
      <formula>-1</formula>
    </cfRule>
  </conditionalFormatting>
  <conditionalFormatting sqref="AH54">
    <cfRule type="cellIs" dxfId="23638" priority="158812" stopIfTrue="1" operator="lessThan">
      <formula>0.5</formula>
    </cfRule>
  </conditionalFormatting>
  <conditionalFormatting sqref="AH54">
    <cfRule type="cellIs" dxfId="23637" priority="158813" stopIfTrue="1" operator="greaterThanOrEqual">
      <formula>0.5</formula>
    </cfRule>
  </conditionalFormatting>
  <conditionalFormatting sqref="AH55">
    <cfRule type="cellIs" dxfId="23636" priority="158814" stopIfTrue="1" operator="equal">
      <formula>-1</formula>
    </cfRule>
  </conditionalFormatting>
  <conditionalFormatting sqref="AH55">
    <cfRule type="cellIs" dxfId="23635" priority="158815" stopIfTrue="1" operator="lessThan">
      <formula>0.5</formula>
    </cfRule>
  </conditionalFormatting>
  <conditionalFormatting sqref="AH55">
    <cfRule type="cellIs" dxfId="23634" priority="158816" stopIfTrue="1" operator="greaterThanOrEqual">
      <formula>0.5</formula>
    </cfRule>
  </conditionalFormatting>
  <conditionalFormatting sqref="AH56">
    <cfRule type="cellIs" dxfId="23633" priority="158817" stopIfTrue="1" operator="equal">
      <formula>-1</formula>
    </cfRule>
  </conditionalFormatting>
  <conditionalFormatting sqref="AH56">
    <cfRule type="cellIs" dxfId="23632" priority="158818" stopIfTrue="1" operator="lessThan">
      <formula>0.5</formula>
    </cfRule>
  </conditionalFormatting>
  <conditionalFormatting sqref="AH56">
    <cfRule type="cellIs" dxfId="23631" priority="158819" stopIfTrue="1" operator="greaterThanOrEqual">
      <formula>0.5</formula>
    </cfRule>
  </conditionalFormatting>
  <conditionalFormatting sqref="AH57">
    <cfRule type="cellIs" dxfId="23630" priority="158820" stopIfTrue="1" operator="equal">
      <formula>-1</formula>
    </cfRule>
  </conditionalFormatting>
  <conditionalFormatting sqref="AH57">
    <cfRule type="cellIs" dxfId="23629" priority="158821" stopIfTrue="1" operator="lessThan">
      <formula>0.5</formula>
    </cfRule>
  </conditionalFormatting>
  <conditionalFormatting sqref="AH57">
    <cfRule type="cellIs" dxfId="23628" priority="158822" stopIfTrue="1" operator="greaterThanOrEqual">
      <formula>0.5</formula>
    </cfRule>
  </conditionalFormatting>
  <conditionalFormatting sqref="AH58">
    <cfRule type="cellIs" dxfId="23627" priority="158823" stopIfTrue="1" operator="equal">
      <formula>-1</formula>
    </cfRule>
  </conditionalFormatting>
  <conditionalFormatting sqref="AH58">
    <cfRule type="cellIs" dxfId="23626" priority="158824" stopIfTrue="1" operator="lessThan">
      <formula>0.5</formula>
    </cfRule>
  </conditionalFormatting>
  <conditionalFormatting sqref="AH58">
    <cfRule type="cellIs" dxfId="23625" priority="158825" stopIfTrue="1" operator="greaterThanOrEqual">
      <formula>0.5</formula>
    </cfRule>
  </conditionalFormatting>
  <conditionalFormatting sqref="AJ39">
    <cfRule type="cellIs" dxfId="23624" priority="158826" stopIfTrue="1" operator="equal">
      <formula>-1</formula>
    </cfRule>
  </conditionalFormatting>
  <conditionalFormatting sqref="AJ39">
    <cfRule type="cellIs" dxfId="23623" priority="158827" stopIfTrue="1" operator="lessThan">
      <formula>0.5</formula>
    </cfRule>
  </conditionalFormatting>
  <conditionalFormatting sqref="AJ39">
    <cfRule type="cellIs" dxfId="23622" priority="158828" stopIfTrue="1" operator="greaterThanOrEqual">
      <formula>0.5</formula>
    </cfRule>
  </conditionalFormatting>
  <conditionalFormatting sqref="AJ40">
    <cfRule type="cellIs" dxfId="23621" priority="158829" stopIfTrue="1" operator="equal">
      <formula>-1</formula>
    </cfRule>
  </conditionalFormatting>
  <conditionalFormatting sqref="AJ40">
    <cfRule type="cellIs" dxfId="23620" priority="158830" stopIfTrue="1" operator="lessThan">
      <formula>0.5</formula>
    </cfRule>
  </conditionalFormatting>
  <conditionalFormatting sqref="AJ40">
    <cfRule type="cellIs" dxfId="23619" priority="158831" stopIfTrue="1" operator="greaterThanOrEqual">
      <formula>0.5</formula>
    </cfRule>
  </conditionalFormatting>
  <conditionalFormatting sqref="AJ41">
    <cfRule type="cellIs" dxfId="23618" priority="158832" stopIfTrue="1" operator="equal">
      <formula>-1</formula>
    </cfRule>
  </conditionalFormatting>
  <conditionalFormatting sqref="AJ41">
    <cfRule type="cellIs" dxfId="23617" priority="158833" stopIfTrue="1" operator="lessThan">
      <formula>0.5</formula>
    </cfRule>
  </conditionalFormatting>
  <conditionalFormatting sqref="AJ41">
    <cfRule type="cellIs" dxfId="23616" priority="158834" stopIfTrue="1" operator="greaterThanOrEqual">
      <formula>0.5</formula>
    </cfRule>
  </conditionalFormatting>
  <conditionalFormatting sqref="AJ42">
    <cfRule type="cellIs" dxfId="23615" priority="158835" stopIfTrue="1" operator="equal">
      <formula>-1</formula>
    </cfRule>
  </conditionalFormatting>
  <conditionalFormatting sqref="AJ42">
    <cfRule type="cellIs" dxfId="23614" priority="158836" stopIfTrue="1" operator="lessThan">
      <formula>0.5</formula>
    </cfRule>
  </conditionalFormatting>
  <conditionalFormatting sqref="AJ42">
    <cfRule type="cellIs" dxfId="23613" priority="158837" stopIfTrue="1" operator="greaterThanOrEqual">
      <formula>0.5</formula>
    </cfRule>
  </conditionalFormatting>
  <conditionalFormatting sqref="AJ43">
    <cfRule type="cellIs" dxfId="23612" priority="158838" stopIfTrue="1" operator="equal">
      <formula>-1</formula>
    </cfRule>
  </conditionalFormatting>
  <conditionalFormatting sqref="AJ43">
    <cfRule type="cellIs" dxfId="23611" priority="158839" stopIfTrue="1" operator="lessThan">
      <formula>0.5</formula>
    </cfRule>
  </conditionalFormatting>
  <conditionalFormatting sqref="AJ43">
    <cfRule type="cellIs" dxfId="23610" priority="158840" stopIfTrue="1" operator="greaterThanOrEqual">
      <formula>0.5</formula>
    </cfRule>
  </conditionalFormatting>
  <conditionalFormatting sqref="AJ44">
    <cfRule type="cellIs" dxfId="23609" priority="158841" stopIfTrue="1" operator="equal">
      <formula>-1</formula>
    </cfRule>
  </conditionalFormatting>
  <conditionalFormatting sqref="AJ44">
    <cfRule type="cellIs" dxfId="23608" priority="158842" stopIfTrue="1" operator="lessThan">
      <formula>0.5</formula>
    </cfRule>
  </conditionalFormatting>
  <conditionalFormatting sqref="AJ44">
    <cfRule type="cellIs" dxfId="23607" priority="158843" stopIfTrue="1" operator="greaterThanOrEqual">
      <formula>0.5</formula>
    </cfRule>
  </conditionalFormatting>
  <conditionalFormatting sqref="AJ45">
    <cfRule type="cellIs" dxfId="23606" priority="158844" stopIfTrue="1" operator="equal">
      <formula>-1</formula>
    </cfRule>
  </conditionalFormatting>
  <conditionalFormatting sqref="AJ45">
    <cfRule type="cellIs" dxfId="23605" priority="158845" stopIfTrue="1" operator="lessThan">
      <formula>0.5</formula>
    </cfRule>
  </conditionalFormatting>
  <conditionalFormatting sqref="AJ45">
    <cfRule type="cellIs" dxfId="23604" priority="158846" stopIfTrue="1" operator="greaterThanOrEqual">
      <formula>0.5</formula>
    </cfRule>
  </conditionalFormatting>
  <conditionalFormatting sqref="AJ46">
    <cfRule type="cellIs" dxfId="23603" priority="158847" stopIfTrue="1" operator="equal">
      <formula>-1</formula>
    </cfRule>
  </conditionalFormatting>
  <conditionalFormatting sqref="AJ46">
    <cfRule type="cellIs" dxfId="23602" priority="158848" stopIfTrue="1" operator="lessThan">
      <formula>0.5</formula>
    </cfRule>
  </conditionalFormatting>
  <conditionalFormatting sqref="AJ46">
    <cfRule type="cellIs" dxfId="23601" priority="158849" stopIfTrue="1" operator="greaterThanOrEqual">
      <formula>0.5</formula>
    </cfRule>
  </conditionalFormatting>
  <conditionalFormatting sqref="AJ47">
    <cfRule type="cellIs" dxfId="23600" priority="158850" stopIfTrue="1" operator="equal">
      <formula>-1</formula>
    </cfRule>
  </conditionalFormatting>
  <conditionalFormatting sqref="AJ47">
    <cfRule type="cellIs" dxfId="23599" priority="158851" stopIfTrue="1" operator="lessThan">
      <formula>0.5</formula>
    </cfRule>
  </conditionalFormatting>
  <conditionalFormatting sqref="AJ47">
    <cfRule type="cellIs" dxfId="23598" priority="158852" stopIfTrue="1" operator="greaterThanOrEqual">
      <formula>0.5</formula>
    </cfRule>
  </conditionalFormatting>
  <conditionalFormatting sqref="AJ48">
    <cfRule type="cellIs" dxfId="23597" priority="158853" stopIfTrue="1" operator="equal">
      <formula>-1</formula>
    </cfRule>
  </conditionalFormatting>
  <conditionalFormatting sqref="AJ48">
    <cfRule type="cellIs" dxfId="23596" priority="158854" stopIfTrue="1" operator="lessThan">
      <formula>0.5</formula>
    </cfRule>
  </conditionalFormatting>
  <conditionalFormatting sqref="AJ48">
    <cfRule type="cellIs" dxfId="23595" priority="158855" stopIfTrue="1" operator="greaterThanOrEqual">
      <formula>0.5</formula>
    </cfRule>
  </conditionalFormatting>
  <conditionalFormatting sqref="AJ49">
    <cfRule type="cellIs" dxfId="23594" priority="158856" stopIfTrue="1" operator="equal">
      <formula>-1</formula>
    </cfRule>
  </conditionalFormatting>
  <conditionalFormatting sqref="AJ49">
    <cfRule type="cellIs" dxfId="23593" priority="158857" stopIfTrue="1" operator="lessThan">
      <formula>0.5</formula>
    </cfRule>
  </conditionalFormatting>
  <conditionalFormatting sqref="AJ49">
    <cfRule type="cellIs" dxfId="23592" priority="158858" stopIfTrue="1" operator="greaterThanOrEqual">
      <formula>0.5</formula>
    </cfRule>
  </conditionalFormatting>
  <conditionalFormatting sqref="AJ50">
    <cfRule type="cellIs" dxfId="23591" priority="158859" stopIfTrue="1" operator="equal">
      <formula>-1</formula>
    </cfRule>
  </conditionalFormatting>
  <conditionalFormatting sqref="AJ50">
    <cfRule type="cellIs" dxfId="23590" priority="158860" stopIfTrue="1" operator="lessThan">
      <formula>0.5</formula>
    </cfRule>
  </conditionalFormatting>
  <conditionalFormatting sqref="AJ50">
    <cfRule type="cellIs" dxfId="23589" priority="158861" stopIfTrue="1" operator="greaterThanOrEqual">
      <formula>0.5</formula>
    </cfRule>
  </conditionalFormatting>
  <conditionalFormatting sqref="AJ51">
    <cfRule type="cellIs" dxfId="23588" priority="158862" stopIfTrue="1" operator="equal">
      <formula>-1</formula>
    </cfRule>
  </conditionalFormatting>
  <conditionalFormatting sqref="AJ51">
    <cfRule type="cellIs" dxfId="23587" priority="158863" stopIfTrue="1" operator="lessThan">
      <formula>0.5</formula>
    </cfRule>
  </conditionalFormatting>
  <conditionalFormatting sqref="AJ51">
    <cfRule type="cellIs" dxfId="23586" priority="158864" stopIfTrue="1" operator="greaterThanOrEqual">
      <formula>0.5</formula>
    </cfRule>
  </conditionalFormatting>
  <conditionalFormatting sqref="AJ52">
    <cfRule type="cellIs" dxfId="23585" priority="158865" stopIfTrue="1" operator="equal">
      <formula>-1</formula>
    </cfRule>
  </conditionalFormatting>
  <conditionalFormatting sqref="AJ52">
    <cfRule type="cellIs" dxfId="23584" priority="158866" stopIfTrue="1" operator="lessThan">
      <formula>0.5</formula>
    </cfRule>
  </conditionalFormatting>
  <conditionalFormatting sqref="AJ52">
    <cfRule type="cellIs" dxfId="23583" priority="158867" stopIfTrue="1" operator="greaterThanOrEqual">
      <formula>0.5</formula>
    </cfRule>
  </conditionalFormatting>
  <conditionalFormatting sqref="AJ53">
    <cfRule type="cellIs" dxfId="23582" priority="158868" stopIfTrue="1" operator="equal">
      <formula>-1</formula>
    </cfRule>
  </conditionalFormatting>
  <conditionalFormatting sqref="AJ53">
    <cfRule type="cellIs" dxfId="23581" priority="158869" stopIfTrue="1" operator="lessThan">
      <formula>0.5</formula>
    </cfRule>
  </conditionalFormatting>
  <conditionalFormatting sqref="AJ53">
    <cfRule type="cellIs" dxfId="23580" priority="158870" stopIfTrue="1" operator="greaterThanOrEqual">
      <formula>0.5</formula>
    </cfRule>
  </conditionalFormatting>
  <conditionalFormatting sqref="AJ54">
    <cfRule type="cellIs" dxfId="23579" priority="158871" stopIfTrue="1" operator="equal">
      <formula>-1</formula>
    </cfRule>
  </conditionalFormatting>
  <conditionalFormatting sqref="AJ54">
    <cfRule type="cellIs" dxfId="23578" priority="158872" stopIfTrue="1" operator="lessThan">
      <formula>0.5</formula>
    </cfRule>
  </conditionalFormatting>
  <conditionalFormatting sqref="AJ54">
    <cfRule type="cellIs" dxfId="23577" priority="158873" stopIfTrue="1" operator="greaterThanOrEqual">
      <formula>0.5</formula>
    </cfRule>
  </conditionalFormatting>
  <conditionalFormatting sqref="AJ55">
    <cfRule type="cellIs" dxfId="23576" priority="158874" stopIfTrue="1" operator="equal">
      <formula>-1</formula>
    </cfRule>
  </conditionalFormatting>
  <conditionalFormatting sqref="AJ55">
    <cfRule type="cellIs" dxfId="23575" priority="158875" stopIfTrue="1" operator="lessThan">
      <formula>0.5</formula>
    </cfRule>
  </conditionalFormatting>
  <conditionalFormatting sqref="AJ55">
    <cfRule type="cellIs" dxfId="23574" priority="158876" stopIfTrue="1" operator="greaterThanOrEqual">
      <formula>0.5</formula>
    </cfRule>
  </conditionalFormatting>
  <conditionalFormatting sqref="AJ56">
    <cfRule type="cellIs" dxfId="23573" priority="158877" stopIfTrue="1" operator="equal">
      <formula>-1</formula>
    </cfRule>
  </conditionalFormatting>
  <conditionalFormatting sqref="AJ56">
    <cfRule type="cellIs" dxfId="23572" priority="158878" stopIfTrue="1" operator="lessThan">
      <formula>0.5</formula>
    </cfRule>
  </conditionalFormatting>
  <conditionalFormatting sqref="AJ56">
    <cfRule type="cellIs" dxfId="23571" priority="158879" stopIfTrue="1" operator="greaterThanOrEqual">
      <formula>0.5</formula>
    </cfRule>
  </conditionalFormatting>
  <conditionalFormatting sqref="AJ57">
    <cfRule type="cellIs" dxfId="23570" priority="158880" stopIfTrue="1" operator="equal">
      <formula>-1</formula>
    </cfRule>
  </conditionalFormatting>
  <conditionalFormatting sqref="AJ57">
    <cfRule type="cellIs" dxfId="23569" priority="158881" stopIfTrue="1" operator="lessThan">
      <formula>0.5</formula>
    </cfRule>
  </conditionalFormatting>
  <conditionalFormatting sqref="AJ57">
    <cfRule type="cellIs" dxfId="23568" priority="158882" stopIfTrue="1" operator="greaterThanOrEqual">
      <formula>0.5</formula>
    </cfRule>
  </conditionalFormatting>
  <conditionalFormatting sqref="AJ58">
    <cfRule type="cellIs" dxfId="23567" priority="158883" stopIfTrue="1" operator="equal">
      <formula>-1</formula>
    </cfRule>
  </conditionalFormatting>
  <conditionalFormatting sqref="AJ58">
    <cfRule type="cellIs" dxfId="23566" priority="158884" stopIfTrue="1" operator="lessThan">
      <formula>0.5</formula>
    </cfRule>
  </conditionalFormatting>
  <conditionalFormatting sqref="AJ58">
    <cfRule type="cellIs" dxfId="23565" priority="158885" stopIfTrue="1" operator="greaterThanOrEqual">
      <formula>0.5</formula>
    </cfRule>
  </conditionalFormatting>
  <conditionalFormatting sqref="AL39">
    <cfRule type="cellIs" dxfId="23564" priority="158886" stopIfTrue="1" operator="equal">
      <formula>-1</formula>
    </cfRule>
  </conditionalFormatting>
  <conditionalFormatting sqref="AL39">
    <cfRule type="cellIs" dxfId="23563" priority="158887" stopIfTrue="1" operator="lessThan">
      <formula>0.5</formula>
    </cfRule>
  </conditionalFormatting>
  <conditionalFormatting sqref="AL39">
    <cfRule type="cellIs" dxfId="23562" priority="158888" stopIfTrue="1" operator="greaterThanOrEqual">
      <formula>0.5</formula>
    </cfRule>
  </conditionalFormatting>
  <conditionalFormatting sqref="AL40">
    <cfRule type="cellIs" dxfId="23561" priority="158889" stopIfTrue="1" operator="equal">
      <formula>-1</formula>
    </cfRule>
  </conditionalFormatting>
  <conditionalFormatting sqref="AL40">
    <cfRule type="cellIs" dxfId="23560" priority="158890" stopIfTrue="1" operator="lessThan">
      <formula>0.5</formula>
    </cfRule>
  </conditionalFormatting>
  <conditionalFormatting sqref="AL40">
    <cfRule type="cellIs" dxfId="23559" priority="158891" stopIfTrue="1" operator="greaterThanOrEqual">
      <formula>0.5</formula>
    </cfRule>
  </conditionalFormatting>
  <conditionalFormatting sqref="AL41">
    <cfRule type="cellIs" dxfId="23558" priority="158892" stopIfTrue="1" operator="equal">
      <formula>-1</formula>
    </cfRule>
  </conditionalFormatting>
  <conditionalFormatting sqref="AL41">
    <cfRule type="cellIs" dxfId="23557" priority="158893" stopIfTrue="1" operator="lessThan">
      <formula>0.5</formula>
    </cfRule>
  </conditionalFormatting>
  <conditionalFormatting sqref="AL41">
    <cfRule type="cellIs" dxfId="23556" priority="158894" stopIfTrue="1" operator="greaterThanOrEqual">
      <formula>0.5</formula>
    </cfRule>
  </conditionalFormatting>
  <conditionalFormatting sqref="AL42">
    <cfRule type="cellIs" dxfId="23555" priority="158895" stopIfTrue="1" operator="equal">
      <formula>-1</formula>
    </cfRule>
  </conditionalFormatting>
  <conditionalFormatting sqref="AL42">
    <cfRule type="cellIs" dxfId="23554" priority="158896" stopIfTrue="1" operator="lessThan">
      <formula>0.5</formula>
    </cfRule>
  </conditionalFormatting>
  <conditionalFormatting sqref="AL42">
    <cfRule type="cellIs" dxfId="23553" priority="158897" stopIfTrue="1" operator="greaterThanOrEqual">
      <formula>0.5</formula>
    </cfRule>
  </conditionalFormatting>
  <conditionalFormatting sqref="AL43">
    <cfRule type="cellIs" dxfId="23552" priority="158898" stopIfTrue="1" operator="equal">
      <formula>-1</formula>
    </cfRule>
  </conditionalFormatting>
  <conditionalFormatting sqref="AL43">
    <cfRule type="cellIs" dxfId="23551" priority="158899" stopIfTrue="1" operator="lessThan">
      <formula>0.5</formula>
    </cfRule>
  </conditionalFormatting>
  <conditionalFormatting sqref="AL43">
    <cfRule type="cellIs" dxfId="23550" priority="158900" stopIfTrue="1" operator="greaterThanOrEqual">
      <formula>0.5</formula>
    </cfRule>
  </conditionalFormatting>
  <conditionalFormatting sqref="AL44">
    <cfRule type="cellIs" dxfId="23549" priority="158901" stopIfTrue="1" operator="equal">
      <formula>-1</formula>
    </cfRule>
  </conditionalFormatting>
  <conditionalFormatting sqref="AL44">
    <cfRule type="cellIs" dxfId="23548" priority="158902" stopIfTrue="1" operator="lessThan">
      <formula>0.5</formula>
    </cfRule>
  </conditionalFormatting>
  <conditionalFormatting sqref="AL44">
    <cfRule type="cellIs" dxfId="23547" priority="158903" stopIfTrue="1" operator="greaterThanOrEqual">
      <formula>0.5</formula>
    </cfRule>
  </conditionalFormatting>
  <conditionalFormatting sqref="AL45">
    <cfRule type="cellIs" dxfId="23546" priority="158904" stopIfTrue="1" operator="equal">
      <formula>-1</formula>
    </cfRule>
  </conditionalFormatting>
  <conditionalFormatting sqref="AL45">
    <cfRule type="cellIs" dxfId="23545" priority="158905" stopIfTrue="1" operator="lessThan">
      <formula>0.5</formula>
    </cfRule>
  </conditionalFormatting>
  <conditionalFormatting sqref="AL45">
    <cfRule type="cellIs" dxfId="23544" priority="158906" stopIfTrue="1" operator="greaterThanOrEqual">
      <formula>0.5</formula>
    </cfRule>
  </conditionalFormatting>
  <conditionalFormatting sqref="AL46">
    <cfRule type="cellIs" dxfId="23543" priority="158907" stopIfTrue="1" operator="equal">
      <formula>-1</formula>
    </cfRule>
  </conditionalFormatting>
  <conditionalFormatting sqref="AL46">
    <cfRule type="cellIs" dxfId="23542" priority="158908" stopIfTrue="1" operator="lessThan">
      <formula>0.5</formula>
    </cfRule>
  </conditionalFormatting>
  <conditionalFormatting sqref="AL46">
    <cfRule type="cellIs" dxfId="23541" priority="158909" stopIfTrue="1" operator="greaterThanOrEqual">
      <formula>0.5</formula>
    </cfRule>
  </conditionalFormatting>
  <conditionalFormatting sqref="AL47">
    <cfRule type="cellIs" dxfId="23540" priority="158910" stopIfTrue="1" operator="equal">
      <formula>-1</formula>
    </cfRule>
  </conditionalFormatting>
  <conditionalFormatting sqref="AL47">
    <cfRule type="cellIs" dxfId="23539" priority="158911" stopIfTrue="1" operator="lessThan">
      <formula>0.5</formula>
    </cfRule>
  </conditionalFormatting>
  <conditionalFormatting sqref="AL47">
    <cfRule type="cellIs" dxfId="23538" priority="158912" stopIfTrue="1" operator="greaterThanOrEqual">
      <formula>0.5</formula>
    </cfRule>
  </conditionalFormatting>
  <conditionalFormatting sqref="AL48">
    <cfRule type="cellIs" dxfId="23537" priority="158913" stopIfTrue="1" operator="equal">
      <formula>-1</formula>
    </cfRule>
  </conditionalFormatting>
  <conditionalFormatting sqref="AL48">
    <cfRule type="cellIs" dxfId="23536" priority="158914" stopIfTrue="1" operator="lessThan">
      <formula>0.5</formula>
    </cfRule>
  </conditionalFormatting>
  <conditionalFormatting sqref="AL48">
    <cfRule type="cellIs" dxfId="23535" priority="158915" stopIfTrue="1" operator="greaterThanOrEqual">
      <formula>0.5</formula>
    </cfRule>
  </conditionalFormatting>
  <conditionalFormatting sqref="AL49">
    <cfRule type="cellIs" dxfId="23534" priority="158916" stopIfTrue="1" operator="equal">
      <formula>-1</formula>
    </cfRule>
  </conditionalFormatting>
  <conditionalFormatting sqref="AL49">
    <cfRule type="cellIs" dxfId="23533" priority="158917" stopIfTrue="1" operator="lessThan">
      <formula>0.5</formula>
    </cfRule>
  </conditionalFormatting>
  <conditionalFormatting sqref="AL49">
    <cfRule type="cellIs" dxfId="23532" priority="158918" stopIfTrue="1" operator="greaterThanOrEqual">
      <formula>0.5</formula>
    </cfRule>
  </conditionalFormatting>
  <conditionalFormatting sqref="AL50">
    <cfRule type="cellIs" dxfId="23531" priority="158919" stopIfTrue="1" operator="equal">
      <formula>-1</formula>
    </cfRule>
  </conditionalFormatting>
  <conditionalFormatting sqref="AL50">
    <cfRule type="cellIs" dxfId="23530" priority="158920" stopIfTrue="1" operator="lessThan">
      <formula>0.5</formula>
    </cfRule>
  </conditionalFormatting>
  <conditionalFormatting sqref="AL50">
    <cfRule type="cellIs" dxfId="23529" priority="158921" stopIfTrue="1" operator="greaterThanOrEqual">
      <formula>0.5</formula>
    </cfRule>
  </conditionalFormatting>
  <conditionalFormatting sqref="AL51">
    <cfRule type="cellIs" dxfId="23528" priority="158922" stopIfTrue="1" operator="equal">
      <formula>-1</formula>
    </cfRule>
  </conditionalFormatting>
  <conditionalFormatting sqref="AL51">
    <cfRule type="cellIs" dxfId="23527" priority="158923" stopIfTrue="1" operator="lessThan">
      <formula>0.5</formula>
    </cfRule>
  </conditionalFormatting>
  <conditionalFormatting sqref="AL51">
    <cfRule type="cellIs" dxfId="23526" priority="158924" stopIfTrue="1" operator="greaterThanOrEqual">
      <formula>0.5</formula>
    </cfRule>
  </conditionalFormatting>
  <conditionalFormatting sqref="AL52">
    <cfRule type="cellIs" dxfId="23525" priority="158925" stopIfTrue="1" operator="equal">
      <formula>-1</formula>
    </cfRule>
  </conditionalFormatting>
  <conditionalFormatting sqref="AL52">
    <cfRule type="cellIs" dxfId="23524" priority="158926" stopIfTrue="1" operator="lessThan">
      <formula>0.5</formula>
    </cfRule>
  </conditionalFormatting>
  <conditionalFormatting sqref="AL52">
    <cfRule type="cellIs" dxfId="23523" priority="158927" stopIfTrue="1" operator="greaterThanOrEqual">
      <formula>0.5</formula>
    </cfRule>
  </conditionalFormatting>
  <conditionalFormatting sqref="AL53">
    <cfRule type="cellIs" dxfId="23522" priority="158928" stopIfTrue="1" operator="equal">
      <formula>-1</formula>
    </cfRule>
  </conditionalFormatting>
  <conditionalFormatting sqref="AL53">
    <cfRule type="cellIs" dxfId="23521" priority="158929" stopIfTrue="1" operator="lessThan">
      <formula>0.5</formula>
    </cfRule>
  </conditionalFormatting>
  <conditionalFormatting sqref="AL53">
    <cfRule type="cellIs" dxfId="23520" priority="158930" stopIfTrue="1" operator="greaterThanOrEqual">
      <formula>0.5</formula>
    </cfRule>
  </conditionalFormatting>
  <conditionalFormatting sqref="AL54">
    <cfRule type="cellIs" dxfId="23519" priority="158931" stopIfTrue="1" operator="equal">
      <formula>-1</formula>
    </cfRule>
  </conditionalFormatting>
  <conditionalFormatting sqref="AL54">
    <cfRule type="cellIs" dxfId="23518" priority="158932" stopIfTrue="1" operator="lessThan">
      <formula>0.5</formula>
    </cfRule>
  </conditionalFormatting>
  <conditionalFormatting sqref="AL54">
    <cfRule type="cellIs" dxfId="23517" priority="158933" stopIfTrue="1" operator="greaterThanOrEqual">
      <formula>0.5</formula>
    </cfRule>
  </conditionalFormatting>
  <conditionalFormatting sqref="AL55">
    <cfRule type="cellIs" dxfId="23516" priority="158934" stopIfTrue="1" operator="equal">
      <formula>-1</formula>
    </cfRule>
  </conditionalFormatting>
  <conditionalFormatting sqref="AL55">
    <cfRule type="cellIs" dxfId="23515" priority="158935" stopIfTrue="1" operator="lessThan">
      <formula>0.5</formula>
    </cfRule>
  </conditionalFormatting>
  <conditionalFormatting sqref="AL55">
    <cfRule type="cellIs" dxfId="23514" priority="158936" stopIfTrue="1" operator="greaterThanOrEqual">
      <formula>0.5</formula>
    </cfRule>
  </conditionalFormatting>
  <conditionalFormatting sqref="AL56">
    <cfRule type="cellIs" dxfId="23513" priority="158937" stopIfTrue="1" operator="equal">
      <formula>-1</formula>
    </cfRule>
  </conditionalFormatting>
  <conditionalFormatting sqref="AL56">
    <cfRule type="cellIs" dxfId="23512" priority="158938" stopIfTrue="1" operator="lessThan">
      <formula>0.5</formula>
    </cfRule>
  </conditionalFormatting>
  <conditionalFormatting sqref="AL56">
    <cfRule type="cellIs" dxfId="23511" priority="158939" stopIfTrue="1" operator="greaterThanOrEqual">
      <formula>0.5</formula>
    </cfRule>
  </conditionalFormatting>
  <conditionalFormatting sqref="AL57">
    <cfRule type="cellIs" dxfId="23510" priority="158940" stopIfTrue="1" operator="equal">
      <formula>-1</formula>
    </cfRule>
  </conditionalFormatting>
  <conditionalFormatting sqref="AL57">
    <cfRule type="cellIs" dxfId="23509" priority="158941" stopIfTrue="1" operator="lessThan">
      <formula>0.5</formula>
    </cfRule>
  </conditionalFormatting>
  <conditionalFormatting sqref="AL57">
    <cfRule type="cellIs" dxfId="23508" priority="158942" stopIfTrue="1" operator="greaterThanOrEqual">
      <formula>0.5</formula>
    </cfRule>
  </conditionalFormatting>
  <conditionalFormatting sqref="AL58">
    <cfRule type="cellIs" dxfId="23507" priority="158943" stopIfTrue="1" operator="equal">
      <formula>-1</formula>
    </cfRule>
  </conditionalFormatting>
  <conditionalFormatting sqref="AL58">
    <cfRule type="cellIs" dxfId="23506" priority="158944" stopIfTrue="1" operator="lessThan">
      <formula>0.5</formula>
    </cfRule>
  </conditionalFormatting>
  <conditionalFormatting sqref="AL58">
    <cfRule type="cellIs" dxfId="23505" priority="158945" stopIfTrue="1" operator="greaterThanOrEqual">
      <formula>0.5</formula>
    </cfRule>
  </conditionalFormatting>
  <conditionalFormatting sqref="AN39">
    <cfRule type="cellIs" dxfId="23504" priority="158946" stopIfTrue="1" operator="equal">
      <formula>-1</formula>
    </cfRule>
  </conditionalFormatting>
  <conditionalFormatting sqref="AN39">
    <cfRule type="cellIs" dxfId="23503" priority="158947" stopIfTrue="1" operator="lessThan">
      <formula>0.5</formula>
    </cfRule>
  </conditionalFormatting>
  <conditionalFormatting sqref="AN39">
    <cfRule type="cellIs" dxfId="23502" priority="158948" stopIfTrue="1" operator="greaterThanOrEqual">
      <formula>0.5</formula>
    </cfRule>
  </conditionalFormatting>
  <conditionalFormatting sqref="AN40">
    <cfRule type="cellIs" dxfId="23501" priority="158949" stopIfTrue="1" operator="equal">
      <formula>-1</formula>
    </cfRule>
  </conditionalFormatting>
  <conditionalFormatting sqref="AN40">
    <cfRule type="cellIs" dxfId="23500" priority="158950" stopIfTrue="1" operator="lessThan">
      <formula>0.5</formula>
    </cfRule>
  </conditionalFormatting>
  <conditionalFormatting sqref="AN40">
    <cfRule type="cellIs" dxfId="23499" priority="158951" stopIfTrue="1" operator="greaterThanOrEqual">
      <formula>0.5</formula>
    </cfRule>
  </conditionalFormatting>
  <conditionalFormatting sqref="AN41">
    <cfRule type="cellIs" dxfId="23498" priority="158952" stopIfTrue="1" operator="equal">
      <formula>-1</formula>
    </cfRule>
  </conditionalFormatting>
  <conditionalFormatting sqref="AN41">
    <cfRule type="cellIs" dxfId="23497" priority="158953" stopIfTrue="1" operator="lessThan">
      <formula>0.5</formula>
    </cfRule>
  </conditionalFormatting>
  <conditionalFormatting sqref="AN41">
    <cfRule type="cellIs" dxfId="23496" priority="158954" stopIfTrue="1" operator="greaterThanOrEqual">
      <formula>0.5</formula>
    </cfRule>
  </conditionalFormatting>
  <conditionalFormatting sqref="AN42">
    <cfRule type="cellIs" dxfId="23495" priority="158955" stopIfTrue="1" operator="equal">
      <formula>-1</formula>
    </cfRule>
  </conditionalFormatting>
  <conditionalFormatting sqref="AN42">
    <cfRule type="cellIs" dxfId="23494" priority="158956" stopIfTrue="1" operator="lessThan">
      <formula>0.5</formula>
    </cfRule>
  </conditionalFormatting>
  <conditionalFormatting sqref="AN42">
    <cfRule type="cellIs" dxfId="23493" priority="158957" stopIfTrue="1" operator="greaterThanOrEqual">
      <formula>0.5</formula>
    </cfRule>
  </conditionalFormatting>
  <conditionalFormatting sqref="AN43">
    <cfRule type="cellIs" dxfId="23492" priority="158958" stopIfTrue="1" operator="equal">
      <formula>-1</formula>
    </cfRule>
  </conditionalFormatting>
  <conditionalFormatting sqref="AN43">
    <cfRule type="cellIs" dxfId="23491" priority="158959" stopIfTrue="1" operator="lessThan">
      <formula>0.5</formula>
    </cfRule>
  </conditionalFormatting>
  <conditionalFormatting sqref="AN43">
    <cfRule type="cellIs" dxfId="23490" priority="158960" stopIfTrue="1" operator="greaterThanOrEqual">
      <formula>0.5</formula>
    </cfRule>
  </conditionalFormatting>
  <conditionalFormatting sqref="AN44">
    <cfRule type="cellIs" dxfId="23489" priority="158961" stopIfTrue="1" operator="equal">
      <formula>-1</formula>
    </cfRule>
  </conditionalFormatting>
  <conditionalFormatting sqref="AN44">
    <cfRule type="cellIs" dxfId="23488" priority="158962" stopIfTrue="1" operator="lessThan">
      <formula>0.5</formula>
    </cfRule>
  </conditionalFormatting>
  <conditionalFormatting sqref="AN44">
    <cfRule type="cellIs" dxfId="23487" priority="158963" stopIfTrue="1" operator="greaterThanOrEqual">
      <formula>0.5</formula>
    </cfRule>
  </conditionalFormatting>
  <conditionalFormatting sqref="AN45">
    <cfRule type="cellIs" dxfId="23486" priority="158964" stopIfTrue="1" operator="equal">
      <formula>-1</formula>
    </cfRule>
  </conditionalFormatting>
  <conditionalFormatting sqref="AN45">
    <cfRule type="cellIs" dxfId="23485" priority="158965" stopIfTrue="1" operator="lessThan">
      <formula>0.5</formula>
    </cfRule>
  </conditionalFormatting>
  <conditionalFormatting sqref="AN45">
    <cfRule type="cellIs" dxfId="23484" priority="158966" stopIfTrue="1" operator="greaterThanOrEqual">
      <formula>0.5</formula>
    </cfRule>
  </conditionalFormatting>
  <conditionalFormatting sqref="AN46">
    <cfRule type="cellIs" dxfId="23483" priority="158967" stopIfTrue="1" operator="equal">
      <formula>-1</formula>
    </cfRule>
  </conditionalFormatting>
  <conditionalFormatting sqref="AN46">
    <cfRule type="cellIs" dxfId="23482" priority="158968" stopIfTrue="1" operator="lessThan">
      <formula>0.5</formula>
    </cfRule>
  </conditionalFormatting>
  <conditionalFormatting sqref="AN46">
    <cfRule type="cellIs" dxfId="23481" priority="158969" stopIfTrue="1" operator="greaterThanOrEqual">
      <formula>0.5</formula>
    </cfRule>
  </conditionalFormatting>
  <conditionalFormatting sqref="AN47">
    <cfRule type="cellIs" dxfId="23480" priority="158970" stopIfTrue="1" operator="equal">
      <formula>-1</formula>
    </cfRule>
  </conditionalFormatting>
  <conditionalFormatting sqref="AN47">
    <cfRule type="cellIs" dxfId="23479" priority="158971" stopIfTrue="1" operator="lessThan">
      <formula>0.5</formula>
    </cfRule>
  </conditionalFormatting>
  <conditionalFormatting sqref="AN47">
    <cfRule type="cellIs" dxfId="23478" priority="158972" stopIfTrue="1" operator="greaterThanOrEqual">
      <formula>0.5</formula>
    </cfRule>
  </conditionalFormatting>
  <conditionalFormatting sqref="AN48">
    <cfRule type="cellIs" dxfId="23477" priority="158973" stopIfTrue="1" operator="equal">
      <formula>-1</formula>
    </cfRule>
  </conditionalFormatting>
  <conditionalFormatting sqref="AN48">
    <cfRule type="cellIs" dxfId="23476" priority="158974" stopIfTrue="1" operator="lessThan">
      <formula>0.5</formula>
    </cfRule>
  </conditionalFormatting>
  <conditionalFormatting sqref="AN48">
    <cfRule type="cellIs" dxfId="23475" priority="158975" stopIfTrue="1" operator="greaterThanOrEqual">
      <formula>0.5</formula>
    </cfRule>
  </conditionalFormatting>
  <conditionalFormatting sqref="AN49">
    <cfRule type="cellIs" dxfId="23474" priority="158976" stopIfTrue="1" operator="equal">
      <formula>-1</formula>
    </cfRule>
  </conditionalFormatting>
  <conditionalFormatting sqref="AN49">
    <cfRule type="cellIs" dxfId="23473" priority="158977" stopIfTrue="1" operator="lessThan">
      <formula>0.5</formula>
    </cfRule>
  </conditionalFormatting>
  <conditionalFormatting sqref="AN49">
    <cfRule type="cellIs" dxfId="23472" priority="158978" stopIfTrue="1" operator="greaterThanOrEqual">
      <formula>0.5</formula>
    </cfRule>
  </conditionalFormatting>
  <conditionalFormatting sqref="AN50">
    <cfRule type="cellIs" dxfId="23471" priority="158979" stopIfTrue="1" operator="equal">
      <formula>-1</formula>
    </cfRule>
  </conditionalFormatting>
  <conditionalFormatting sqref="AN50">
    <cfRule type="cellIs" dxfId="23470" priority="158980" stopIfTrue="1" operator="lessThan">
      <formula>0.5</formula>
    </cfRule>
  </conditionalFormatting>
  <conditionalFormatting sqref="AN50">
    <cfRule type="cellIs" dxfId="23469" priority="158981" stopIfTrue="1" operator="greaterThanOrEqual">
      <formula>0.5</formula>
    </cfRule>
  </conditionalFormatting>
  <conditionalFormatting sqref="AN51">
    <cfRule type="cellIs" dxfId="23468" priority="158982" stopIfTrue="1" operator="equal">
      <formula>-1</formula>
    </cfRule>
  </conditionalFormatting>
  <conditionalFormatting sqref="AN51">
    <cfRule type="cellIs" dxfId="23467" priority="158983" stopIfTrue="1" operator="lessThan">
      <formula>0.5</formula>
    </cfRule>
  </conditionalFormatting>
  <conditionalFormatting sqref="AN51">
    <cfRule type="cellIs" dxfId="23466" priority="158984" stopIfTrue="1" operator="greaterThanOrEqual">
      <formula>0.5</formula>
    </cfRule>
  </conditionalFormatting>
  <conditionalFormatting sqref="AN52">
    <cfRule type="cellIs" dxfId="23465" priority="158985" stopIfTrue="1" operator="equal">
      <formula>-1</formula>
    </cfRule>
  </conditionalFormatting>
  <conditionalFormatting sqref="AN52">
    <cfRule type="cellIs" dxfId="23464" priority="158986" stopIfTrue="1" operator="lessThan">
      <formula>0.5</formula>
    </cfRule>
  </conditionalFormatting>
  <conditionalFormatting sqref="AN52">
    <cfRule type="cellIs" dxfId="23463" priority="158987" stopIfTrue="1" operator="greaterThanOrEqual">
      <formula>0.5</formula>
    </cfRule>
  </conditionalFormatting>
  <conditionalFormatting sqref="AN53">
    <cfRule type="cellIs" dxfId="23462" priority="158988" stopIfTrue="1" operator="equal">
      <formula>-1</formula>
    </cfRule>
  </conditionalFormatting>
  <conditionalFormatting sqref="AN53">
    <cfRule type="cellIs" dxfId="23461" priority="158989" stopIfTrue="1" operator="lessThan">
      <formula>0.5</formula>
    </cfRule>
  </conditionalFormatting>
  <conditionalFormatting sqref="AN53">
    <cfRule type="cellIs" dxfId="23460" priority="158990" stopIfTrue="1" operator="greaterThanOrEqual">
      <formula>0.5</formula>
    </cfRule>
  </conditionalFormatting>
  <conditionalFormatting sqref="AN54">
    <cfRule type="cellIs" dxfId="23459" priority="158991" stopIfTrue="1" operator="equal">
      <formula>-1</formula>
    </cfRule>
  </conditionalFormatting>
  <conditionalFormatting sqref="AN54">
    <cfRule type="cellIs" dxfId="23458" priority="158992" stopIfTrue="1" operator="lessThan">
      <formula>0.5</formula>
    </cfRule>
  </conditionalFormatting>
  <conditionalFormatting sqref="AN54">
    <cfRule type="cellIs" dxfId="23457" priority="158993" stopIfTrue="1" operator="greaterThanOrEqual">
      <formula>0.5</formula>
    </cfRule>
  </conditionalFormatting>
  <conditionalFormatting sqref="AN55">
    <cfRule type="cellIs" dxfId="23456" priority="158994" stopIfTrue="1" operator="equal">
      <formula>-1</formula>
    </cfRule>
  </conditionalFormatting>
  <conditionalFormatting sqref="AN55">
    <cfRule type="cellIs" dxfId="23455" priority="158995" stopIfTrue="1" operator="lessThan">
      <formula>0.5</formula>
    </cfRule>
  </conditionalFormatting>
  <conditionalFormatting sqref="AN55">
    <cfRule type="cellIs" dxfId="23454" priority="158996" stopIfTrue="1" operator="greaterThanOrEqual">
      <formula>0.5</formula>
    </cfRule>
  </conditionalFormatting>
  <conditionalFormatting sqref="AN56">
    <cfRule type="cellIs" dxfId="23453" priority="158997" stopIfTrue="1" operator="equal">
      <formula>-1</formula>
    </cfRule>
  </conditionalFormatting>
  <conditionalFormatting sqref="AN56">
    <cfRule type="cellIs" dxfId="23452" priority="158998" stopIfTrue="1" operator="lessThan">
      <formula>0.5</formula>
    </cfRule>
  </conditionalFormatting>
  <conditionalFormatting sqref="AN56">
    <cfRule type="cellIs" dxfId="23451" priority="158999" stopIfTrue="1" operator="greaterThanOrEqual">
      <formula>0.5</formula>
    </cfRule>
  </conditionalFormatting>
  <conditionalFormatting sqref="AN57">
    <cfRule type="cellIs" dxfId="23450" priority="159000" stopIfTrue="1" operator="equal">
      <formula>-1</formula>
    </cfRule>
  </conditionalFormatting>
  <conditionalFormatting sqref="AN57">
    <cfRule type="cellIs" dxfId="23449" priority="159001" stopIfTrue="1" operator="lessThan">
      <formula>0.5</formula>
    </cfRule>
  </conditionalFormatting>
  <conditionalFormatting sqref="AN57">
    <cfRule type="cellIs" dxfId="23448" priority="159002" stopIfTrue="1" operator="greaterThanOrEqual">
      <formula>0.5</formula>
    </cfRule>
  </conditionalFormatting>
  <conditionalFormatting sqref="AN58">
    <cfRule type="cellIs" dxfId="23447" priority="159003" stopIfTrue="1" operator="equal">
      <formula>-1</formula>
    </cfRule>
  </conditionalFormatting>
  <conditionalFormatting sqref="AN58">
    <cfRule type="cellIs" dxfId="23446" priority="159004" stopIfTrue="1" operator="lessThan">
      <formula>0.5</formula>
    </cfRule>
  </conditionalFormatting>
  <conditionalFormatting sqref="AN58">
    <cfRule type="cellIs" dxfId="23445" priority="159005" stopIfTrue="1" operator="greaterThanOrEqual">
      <formula>0.5</formula>
    </cfRule>
  </conditionalFormatting>
  <conditionalFormatting sqref="AP39">
    <cfRule type="cellIs" dxfId="23444" priority="159006" stopIfTrue="1" operator="equal">
      <formula>-1</formula>
    </cfRule>
  </conditionalFormatting>
  <conditionalFormatting sqref="AP39">
    <cfRule type="cellIs" dxfId="23443" priority="159007" stopIfTrue="1" operator="lessThan">
      <formula>0.5</formula>
    </cfRule>
  </conditionalFormatting>
  <conditionalFormatting sqref="AP39">
    <cfRule type="cellIs" dxfId="23442" priority="159008" stopIfTrue="1" operator="greaterThanOrEqual">
      <formula>0.5</formula>
    </cfRule>
  </conditionalFormatting>
  <conditionalFormatting sqref="AP40">
    <cfRule type="cellIs" dxfId="23441" priority="159009" stopIfTrue="1" operator="equal">
      <formula>-1</formula>
    </cfRule>
  </conditionalFormatting>
  <conditionalFormatting sqref="AP40">
    <cfRule type="cellIs" dxfId="23440" priority="159010" stopIfTrue="1" operator="lessThan">
      <formula>0.5</formula>
    </cfRule>
  </conditionalFormatting>
  <conditionalFormatting sqref="AP40">
    <cfRule type="cellIs" dxfId="23439" priority="159011" stopIfTrue="1" operator="greaterThanOrEqual">
      <formula>0.5</formula>
    </cfRule>
  </conditionalFormatting>
  <conditionalFormatting sqref="AP41">
    <cfRule type="cellIs" dxfId="23438" priority="159012" stopIfTrue="1" operator="equal">
      <formula>-1</formula>
    </cfRule>
  </conditionalFormatting>
  <conditionalFormatting sqref="AP41">
    <cfRule type="cellIs" dxfId="23437" priority="159013" stopIfTrue="1" operator="lessThan">
      <formula>0.5</formula>
    </cfRule>
  </conditionalFormatting>
  <conditionalFormatting sqref="AP41">
    <cfRule type="cellIs" dxfId="23436" priority="159014" stopIfTrue="1" operator="greaterThanOrEqual">
      <formula>0.5</formula>
    </cfRule>
  </conditionalFormatting>
  <conditionalFormatting sqref="AP42">
    <cfRule type="cellIs" dxfId="23435" priority="159015" stopIfTrue="1" operator="equal">
      <formula>-1</formula>
    </cfRule>
  </conditionalFormatting>
  <conditionalFormatting sqref="AP42">
    <cfRule type="cellIs" dxfId="23434" priority="159016" stopIfTrue="1" operator="lessThan">
      <formula>0.5</formula>
    </cfRule>
  </conditionalFormatting>
  <conditionalFormatting sqref="AP42">
    <cfRule type="cellIs" dxfId="23433" priority="159017" stopIfTrue="1" operator="greaterThanOrEqual">
      <formula>0.5</formula>
    </cfRule>
  </conditionalFormatting>
  <conditionalFormatting sqref="AP43">
    <cfRule type="cellIs" dxfId="23432" priority="159018" stopIfTrue="1" operator="equal">
      <formula>-1</formula>
    </cfRule>
  </conditionalFormatting>
  <conditionalFormatting sqref="AP43">
    <cfRule type="cellIs" dxfId="23431" priority="159019" stopIfTrue="1" operator="lessThan">
      <formula>0.5</formula>
    </cfRule>
  </conditionalFormatting>
  <conditionalFormatting sqref="AP43">
    <cfRule type="cellIs" dxfId="23430" priority="159020" stopIfTrue="1" operator="greaterThanOrEqual">
      <formula>0.5</formula>
    </cfRule>
  </conditionalFormatting>
  <conditionalFormatting sqref="AP44">
    <cfRule type="cellIs" dxfId="23429" priority="159021" stopIfTrue="1" operator="equal">
      <formula>-1</formula>
    </cfRule>
  </conditionalFormatting>
  <conditionalFormatting sqref="AP44">
    <cfRule type="cellIs" dxfId="23428" priority="159022" stopIfTrue="1" operator="lessThan">
      <formula>0.5</formula>
    </cfRule>
  </conditionalFormatting>
  <conditionalFormatting sqref="AP44">
    <cfRule type="cellIs" dxfId="23427" priority="159023" stopIfTrue="1" operator="greaterThanOrEqual">
      <formula>0.5</formula>
    </cfRule>
  </conditionalFormatting>
  <conditionalFormatting sqref="AP45">
    <cfRule type="cellIs" dxfId="23426" priority="159024" stopIfTrue="1" operator="equal">
      <formula>-1</formula>
    </cfRule>
  </conditionalFormatting>
  <conditionalFormatting sqref="AP45">
    <cfRule type="cellIs" dxfId="23425" priority="159025" stopIfTrue="1" operator="lessThan">
      <formula>0.5</formula>
    </cfRule>
  </conditionalFormatting>
  <conditionalFormatting sqref="AP45">
    <cfRule type="cellIs" dxfId="23424" priority="159026" stopIfTrue="1" operator="greaterThanOrEqual">
      <formula>0.5</formula>
    </cfRule>
  </conditionalFormatting>
  <conditionalFormatting sqref="AP46">
    <cfRule type="cellIs" dxfId="23423" priority="159027" stopIfTrue="1" operator="equal">
      <formula>-1</formula>
    </cfRule>
  </conditionalFormatting>
  <conditionalFormatting sqref="AP46">
    <cfRule type="cellIs" dxfId="23422" priority="159028" stopIfTrue="1" operator="lessThan">
      <formula>0.5</formula>
    </cfRule>
  </conditionalFormatting>
  <conditionalFormatting sqref="AP46">
    <cfRule type="cellIs" dxfId="23421" priority="159029" stopIfTrue="1" operator="greaterThanOrEqual">
      <formula>0.5</formula>
    </cfRule>
  </conditionalFormatting>
  <conditionalFormatting sqref="AP47">
    <cfRule type="cellIs" dxfId="23420" priority="159030" stopIfTrue="1" operator="equal">
      <formula>-1</formula>
    </cfRule>
  </conditionalFormatting>
  <conditionalFormatting sqref="AP47">
    <cfRule type="cellIs" dxfId="23419" priority="159031" stopIfTrue="1" operator="lessThan">
      <formula>0.5</formula>
    </cfRule>
  </conditionalFormatting>
  <conditionalFormatting sqref="AP47">
    <cfRule type="cellIs" dxfId="23418" priority="159032" stopIfTrue="1" operator="greaterThanOrEqual">
      <formula>0.5</formula>
    </cfRule>
  </conditionalFormatting>
  <conditionalFormatting sqref="AP48">
    <cfRule type="cellIs" dxfId="23417" priority="159033" stopIfTrue="1" operator="equal">
      <formula>-1</formula>
    </cfRule>
  </conditionalFormatting>
  <conditionalFormatting sqref="AP48">
    <cfRule type="cellIs" dxfId="23416" priority="159034" stopIfTrue="1" operator="lessThan">
      <formula>0.5</formula>
    </cfRule>
  </conditionalFormatting>
  <conditionalFormatting sqref="AP48">
    <cfRule type="cellIs" dxfId="23415" priority="159035" stopIfTrue="1" operator="greaterThanOrEqual">
      <formula>0.5</formula>
    </cfRule>
  </conditionalFormatting>
  <conditionalFormatting sqref="AP49">
    <cfRule type="cellIs" dxfId="23414" priority="159036" stopIfTrue="1" operator="equal">
      <formula>-1</formula>
    </cfRule>
  </conditionalFormatting>
  <conditionalFormatting sqref="AP49">
    <cfRule type="cellIs" dxfId="23413" priority="159037" stopIfTrue="1" operator="lessThan">
      <formula>0.5</formula>
    </cfRule>
  </conditionalFormatting>
  <conditionalFormatting sqref="AP49">
    <cfRule type="cellIs" dxfId="23412" priority="159038" stopIfTrue="1" operator="greaterThanOrEqual">
      <formula>0.5</formula>
    </cfRule>
  </conditionalFormatting>
  <conditionalFormatting sqref="AP50">
    <cfRule type="cellIs" dxfId="23411" priority="159039" stopIfTrue="1" operator="equal">
      <formula>-1</formula>
    </cfRule>
  </conditionalFormatting>
  <conditionalFormatting sqref="AP50">
    <cfRule type="cellIs" dxfId="23410" priority="159040" stopIfTrue="1" operator="lessThan">
      <formula>0.5</formula>
    </cfRule>
  </conditionalFormatting>
  <conditionalFormatting sqref="AP50">
    <cfRule type="cellIs" dxfId="23409" priority="159041" stopIfTrue="1" operator="greaterThanOrEqual">
      <formula>0.5</formula>
    </cfRule>
  </conditionalFormatting>
  <conditionalFormatting sqref="AP51">
    <cfRule type="cellIs" dxfId="23408" priority="159042" stopIfTrue="1" operator="equal">
      <formula>-1</formula>
    </cfRule>
  </conditionalFormatting>
  <conditionalFormatting sqref="AP51">
    <cfRule type="cellIs" dxfId="23407" priority="159043" stopIfTrue="1" operator="lessThan">
      <formula>0.5</formula>
    </cfRule>
  </conditionalFormatting>
  <conditionalFormatting sqref="AP51">
    <cfRule type="cellIs" dxfId="23406" priority="159044" stopIfTrue="1" operator="greaterThanOrEqual">
      <formula>0.5</formula>
    </cfRule>
  </conditionalFormatting>
  <conditionalFormatting sqref="AP52">
    <cfRule type="cellIs" dxfId="23405" priority="159045" stopIfTrue="1" operator="equal">
      <formula>-1</formula>
    </cfRule>
  </conditionalFormatting>
  <conditionalFormatting sqref="AP52">
    <cfRule type="cellIs" dxfId="23404" priority="159046" stopIfTrue="1" operator="lessThan">
      <formula>0.5</formula>
    </cfRule>
  </conditionalFormatting>
  <conditionalFormatting sqref="AP52">
    <cfRule type="cellIs" dxfId="23403" priority="159047" stopIfTrue="1" operator="greaterThanOrEqual">
      <formula>0.5</formula>
    </cfRule>
  </conditionalFormatting>
  <conditionalFormatting sqref="AP53">
    <cfRule type="cellIs" dxfId="23402" priority="159048" stopIfTrue="1" operator="equal">
      <formula>-1</formula>
    </cfRule>
  </conditionalFormatting>
  <conditionalFormatting sqref="AP53">
    <cfRule type="cellIs" dxfId="23401" priority="159049" stopIfTrue="1" operator="lessThan">
      <formula>0.5</formula>
    </cfRule>
  </conditionalFormatting>
  <conditionalFormatting sqref="AP53">
    <cfRule type="cellIs" dxfId="23400" priority="159050" stopIfTrue="1" operator="greaterThanOrEqual">
      <formula>0.5</formula>
    </cfRule>
  </conditionalFormatting>
  <conditionalFormatting sqref="AP54">
    <cfRule type="cellIs" dxfId="23399" priority="159051" stopIfTrue="1" operator="equal">
      <formula>-1</formula>
    </cfRule>
  </conditionalFormatting>
  <conditionalFormatting sqref="AP54">
    <cfRule type="cellIs" dxfId="23398" priority="159052" stopIfTrue="1" operator="lessThan">
      <formula>0.5</formula>
    </cfRule>
  </conditionalFormatting>
  <conditionalFormatting sqref="AP54">
    <cfRule type="cellIs" dxfId="23397" priority="159053" stopIfTrue="1" operator="greaterThanOrEqual">
      <formula>0.5</formula>
    </cfRule>
  </conditionalFormatting>
  <conditionalFormatting sqref="AP55">
    <cfRule type="cellIs" dxfId="23396" priority="159054" stopIfTrue="1" operator="equal">
      <formula>-1</formula>
    </cfRule>
  </conditionalFormatting>
  <conditionalFormatting sqref="AP55">
    <cfRule type="cellIs" dxfId="23395" priority="159055" stopIfTrue="1" operator="lessThan">
      <formula>0.5</formula>
    </cfRule>
  </conditionalFormatting>
  <conditionalFormatting sqref="AP55">
    <cfRule type="cellIs" dxfId="23394" priority="159056" stopIfTrue="1" operator="greaterThanOrEqual">
      <formula>0.5</formula>
    </cfRule>
  </conditionalFormatting>
  <conditionalFormatting sqref="AP56">
    <cfRule type="cellIs" dxfId="23393" priority="159057" stopIfTrue="1" operator="equal">
      <formula>-1</formula>
    </cfRule>
  </conditionalFormatting>
  <conditionalFormatting sqref="AP56">
    <cfRule type="cellIs" dxfId="23392" priority="159058" stopIfTrue="1" operator="lessThan">
      <formula>0.5</formula>
    </cfRule>
  </conditionalFormatting>
  <conditionalFormatting sqref="AP56">
    <cfRule type="cellIs" dxfId="23391" priority="159059" stopIfTrue="1" operator="greaterThanOrEqual">
      <formula>0.5</formula>
    </cfRule>
  </conditionalFormatting>
  <conditionalFormatting sqref="AP57">
    <cfRule type="cellIs" dxfId="23390" priority="159060" stopIfTrue="1" operator="equal">
      <formula>-1</formula>
    </cfRule>
  </conditionalFormatting>
  <conditionalFormatting sqref="AP57">
    <cfRule type="cellIs" dxfId="23389" priority="159061" stopIfTrue="1" operator="lessThan">
      <formula>0.5</formula>
    </cfRule>
  </conditionalFormatting>
  <conditionalFormatting sqref="AP57">
    <cfRule type="cellIs" dxfId="23388" priority="159062" stopIfTrue="1" operator="greaterThanOrEqual">
      <formula>0.5</formula>
    </cfRule>
  </conditionalFormatting>
  <conditionalFormatting sqref="AP58">
    <cfRule type="cellIs" dxfId="23387" priority="159063" stopIfTrue="1" operator="equal">
      <formula>-1</formula>
    </cfRule>
  </conditionalFormatting>
  <conditionalFormatting sqref="AP58">
    <cfRule type="cellIs" dxfId="23386" priority="159064" stopIfTrue="1" operator="lessThan">
      <formula>0.5</formula>
    </cfRule>
  </conditionalFormatting>
  <conditionalFormatting sqref="AP58">
    <cfRule type="cellIs" dxfId="23385" priority="159065" stopIfTrue="1" operator="greaterThanOrEqual">
      <formula>0.5</formula>
    </cfRule>
  </conditionalFormatting>
  <conditionalFormatting sqref="AR39">
    <cfRule type="cellIs" dxfId="23384" priority="159066" stopIfTrue="1" operator="equal">
      <formula>-1</formula>
    </cfRule>
  </conditionalFormatting>
  <conditionalFormatting sqref="AR39">
    <cfRule type="cellIs" dxfId="23383" priority="159067" stopIfTrue="1" operator="lessThan">
      <formula>0.5</formula>
    </cfRule>
  </conditionalFormatting>
  <conditionalFormatting sqref="AR39">
    <cfRule type="cellIs" dxfId="23382" priority="159068" stopIfTrue="1" operator="greaterThanOrEqual">
      <formula>0.5</formula>
    </cfRule>
  </conditionalFormatting>
  <conditionalFormatting sqref="AR40">
    <cfRule type="cellIs" dxfId="23381" priority="159069" stopIfTrue="1" operator="equal">
      <formula>-1</formula>
    </cfRule>
  </conditionalFormatting>
  <conditionalFormatting sqref="AR40">
    <cfRule type="cellIs" dxfId="23380" priority="159070" stopIfTrue="1" operator="lessThan">
      <formula>0.5</formula>
    </cfRule>
  </conditionalFormatting>
  <conditionalFormatting sqref="AR40">
    <cfRule type="cellIs" dxfId="23379" priority="159071" stopIfTrue="1" operator="greaterThanOrEqual">
      <formula>0.5</formula>
    </cfRule>
  </conditionalFormatting>
  <conditionalFormatting sqref="AR41">
    <cfRule type="cellIs" dxfId="23378" priority="159072" stopIfTrue="1" operator="equal">
      <formula>-1</formula>
    </cfRule>
  </conditionalFormatting>
  <conditionalFormatting sqref="AR41">
    <cfRule type="cellIs" dxfId="23377" priority="159073" stopIfTrue="1" operator="lessThan">
      <formula>0.5</formula>
    </cfRule>
  </conditionalFormatting>
  <conditionalFormatting sqref="AR41">
    <cfRule type="cellIs" dxfId="23376" priority="159074" stopIfTrue="1" operator="greaterThanOrEqual">
      <formula>0.5</formula>
    </cfRule>
  </conditionalFormatting>
  <conditionalFormatting sqref="AR42">
    <cfRule type="cellIs" dxfId="23375" priority="159075" stopIfTrue="1" operator="equal">
      <formula>-1</formula>
    </cfRule>
  </conditionalFormatting>
  <conditionalFormatting sqref="AR42">
    <cfRule type="cellIs" dxfId="23374" priority="159076" stopIfTrue="1" operator="lessThan">
      <formula>0.5</formula>
    </cfRule>
  </conditionalFormatting>
  <conditionalFormatting sqref="AR42">
    <cfRule type="cellIs" dxfId="23373" priority="159077" stopIfTrue="1" operator="greaterThanOrEqual">
      <formula>0.5</formula>
    </cfRule>
  </conditionalFormatting>
  <conditionalFormatting sqref="AR43">
    <cfRule type="cellIs" dxfId="23372" priority="159078" stopIfTrue="1" operator="equal">
      <formula>-1</formula>
    </cfRule>
  </conditionalFormatting>
  <conditionalFormatting sqref="AR43">
    <cfRule type="cellIs" dxfId="23371" priority="159079" stopIfTrue="1" operator="lessThan">
      <formula>0.5</formula>
    </cfRule>
  </conditionalFormatting>
  <conditionalFormatting sqref="AR43">
    <cfRule type="cellIs" dxfId="23370" priority="159080" stopIfTrue="1" operator="greaterThanOrEqual">
      <formula>0.5</formula>
    </cfRule>
  </conditionalFormatting>
  <conditionalFormatting sqref="AR44">
    <cfRule type="cellIs" dxfId="23369" priority="159081" stopIfTrue="1" operator="equal">
      <formula>-1</formula>
    </cfRule>
  </conditionalFormatting>
  <conditionalFormatting sqref="AR44">
    <cfRule type="cellIs" dxfId="23368" priority="159082" stopIfTrue="1" operator="lessThan">
      <formula>0.5</formula>
    </cfRule>
  </conditionalFormatting>
  <conditionalFormatting sqref="AR44">
    <cfRule type="cellIs" dxfId="23367" priority="159083" stopIfTrue="1" operator="greaterThanOrEqual">
      <formula>0.5</formula>
    </cfRule>
  </conditionalFormatting>
  <conditionalFormatting sqref="AR45">
    <cfRule type="cellIs" dxfId="23366" priority="159084" stopIfTrue="1" operator="equal">
      <formula>-1</formula>
    </cfRule>
  </conditionalFormatting>
  <conditionalFormatting sqref="AR45">
    <cfRule type="cellIs" dxfId="23365" priority="159085" stopIfTrue="1" operator="lessThan">
      <formula>0.5</formula>
    </cfRule>
  </conditionalFormatting>
  <conditionalFormatting sqref="AR45">
    <cfRule type="cellIs" dxfId="23364" priority="159086" stopIfTrue="1" operator="greaterThanOrEqual">
      <formula>0.5</formula>
    </cfRule>
  </conditionalFormatting>
  <conditionalFormatting sqref="AR46">
    <cfRule type="cellIs" dxfId="23363" priority="159087" stopIfTrue="1" operator="equal">
      <formula>-1</formula>
    </cfRule>
  </conditionalFormatting>
  <conditionalFormatting sqref="AR46">
    <cfRule type="cellIs" dxfId="23362" priority="159088" stopIfTrue="1" operator="lessThan">
      <formula>0.5</formula>
    </cfRule>
  </conditionalFormatting>
  <conditionalFormatting sqref="AR46">
    <cfRule type="cellIs" dxfId="23361" priority="159089" stopIfTrue="1" operator="greaterThanOrEqual">
      <formula>0.5</formula>
    </cfRule>
  </conditionalFormatting>
  <conditionalFormatting sqref="AR47">
    <cfRule type="cellIs" dxfId="23360" priority="159090" stopIfTrue="1" operator="equal">
      <formula>-1</formula>
    </cfRule>
  </conditionalFormatting>
  <conditionalFormatting sqref="AR47">
    <cfRule type="cellIs" dxfId="23359" priority="159091" stopIfTrue="1" operator="lessThan">
      <formula>0.5</formula>
    </cfRule>
  </conditionalFormatting>
  <conditionalFormatting sqref="AR47">
    <cfRule type="cellIs" dxfId="23358" priority="159092" stopIfTrue="1" operator="greaterThanOrEqual">
      <formula>0.5</formula>
    </cfRule>
  </conditionalFormatting>
  <conditionalFormatting sqref="AR48">
    <cfRule type="cellIs" dxfId="23357" priority="159093" stopIfTrue="1" operator="equal">
      <formula>-1</formula>
    </cfRule>
  </conditionalFormatting>
  <conditionalFormatting sqref="AR48">
    <cfRule type="cellIs" dxfId="23356" priority="159094" stopIfTrue="1" operator="lessThan">
      <formula>0.5</formula>
    </cfRule>
  </conditionalFormatting>
  <conditionalFormatting sqref="AR48">
    <cfRule type="cellIs" dxfId="23355" priority="159095" stopIfTrue="1" operator="greaterThanOrEqual">
      <formula>0.5</formula>
    </cfRule>
  </conditionalFormatting>
  <conditionalFormatting sqref="AR49">
    <cfRule type="cellIs" dxfId="23354" priority="159096" stopIfTrue="1" operator="equal">
      <formula>-1</formula>
    </cfRule>
  </conditionalFormatting>
  <conditionalFormatting sqref="AR49">
    <cfRule type="cellIs" dxfId="23353" priority="159097" stopIfTrue="1" operator="lessThan">
      <formula>0.5</formula>
    </cfRule>
  </conditionalFormatting>
  <conditionalFormatting sqref="AR49">
    <cfRule type="cellIs" dxfId="23352" priority="159098" stopIfTrue="1" operator="greaterThanOrEqual">
      <formula>0.5</formula>
    </cfRule>
  </conditionalFormatting>
  <conditionalFormatting sqref="AR50">
    <cfRule type="cellIs" dxfId="23351" priority="159099" stopIfTrue="1" operator="equal">
      <formula>-1</formula>
    </cfRule>
  </conditionalFormatting>
  <conditionalFormatting sqref="AR50">
    <cfRule type="cellIs" dxfId="23350" priority="159100" stopIfTrue="1" operator="lessThan">
      <formula>0.5</formula>
    </cfRule>
  </conditionalFormatting>
  <conditionalFormatting sqref="AR50">
    <cfRule type="cellIs" dxfId="23349" priority="159101" stopIfTrue="1" operator="greaterThanOrEqual">
      <formula>0.5</formula>
    </cfRule>
  </conditionalFormatting>
  <conditionalFormatting sqref="AR51">
    <cfRule type="cellIs" dxfId="23348" priority="159102" stopIfTrue="1" operator="equal">
      <formula>-1</formula>
    </cfRule>
  </conditionalFormatting>
  <conditionalFormatting sqref="AR51">
    <cfRule type="cellIs" dxfId="23347" priority="159103" stopIfTrue="1" operator="lessThan">
      <formula>0.5</formula>
    </cfRule>
  </conditionalFormatting>
  <conditionalFormatting sqref="AR51">
    <cfRule type="cellIs" dxfId="23346" priority="159104" stopIfTrue="1" operator="greaterThanOrEqual">
      <formula>0.5</formula>
    </cfRule>
  </conditionalFormatting>
  <conditionalFormatting sqref="AR52">
    <cfRule type="cellIs" dxfId="23345" priority="159105" stopIfTrue="1" operator="equal">
      <formula>-1</formula>
    </cfRule>
  </conditionalFormatting>
  <conditionalFormatting sqref="AR52">
    <cfRule type="cellIs" dxfId="23344" priority="159106" stopIfTrue="1" operator="lessThan">
      <formula>0.5</formula>
    </cfRule>
  </conditionalFormatting>
  <conditionalFormatting sqref="AR52">
    <cfRule type="cellIs" dxfId="23343" priority="159107" stopIfTrue="1" operator="greaterThanOrEqual">
      <formula>0.5</formula>
    </cfRule>
  </conditionalFormatting>
  <conditionalFormatting sqref="AR53">
    <cfRule type="cellIs" dxfId="23342" priority="159108" stopIfTrue="1" operator="equal">
      <formula>-1</formula>
    </cfRule>
  </conditionalFormatting>
  <conditionalFormatting sqref="AR53">
    <cfRule type="cellIs" dxfId="23341" priority="159109" stopIfTrue="1" operator="lessThan">
      <formula>0.5</formula>
    </cfRule>
  </conditionalFormatting>
  <conditionalFormatting sqref="AR53">
    <cfRule type="cellIs" dxfId="23340" priority="159110" stopIfTrue="1" operator="greaterThanOrEqual">
      <formula>0.5</formula>
    </cfRule>
  </conditionalFormatting>
  <conditionalFormatting sqref="AR54">
    <cfRule type="cellIs" dxfId="23339" priority="159111" stopIfTrue="1" operator="equal">
      <formula>-1</formula>
    </cfRule>
  </conditionalFormatting>
  <conditionalFormatting sqref="AR54">
    <cfRule type="cellIs" dxfId="23338" priority="159112" stopIfTrue="1" operator="lessThan">
      <formula>0.5</formula>
    </cfRule>
  </conditionalFormatting>
  <conditionalFormatting sqref="AR54">
    <cfRule type="cellIs" dxfId="23337" priority="159113" stopIfTrue="1" operator="greaterThanOrEqual">
      <formula>0.5</formula>
    </cfRule>
  </conditionalFormatting>
  <conditionalFormatting sqref="AR55">
    <cfRule type="cellIs" dxfId="23336" priority="159114" stopIfTrue="1" operator="equal">
      <formula>-1</formula>
    </cfRule>
  </conditionalFormatting>
  <conditionalFormatting sqref="AR55">
    <cfRule type="cellIs" dxfId="23335" priority="159115" stopIfTrue="1" operator="lessThan">
      <formula>0.5</formula>
    </cfRule>
  </conditionalFormatting>
  <conditionalFormatting sqref="AR55">
    <cfRule type="cellIs" dxfId="23334" priority="159116" stopIfTrue="1" operator="greaterThanOrEqual">
      <formula>0.5</formula>
    </cfRule>
  </conditionalFormatting>
  <conditionalFormatting sqref="AR56">
    <cfRule type="cellIs" dxfId="23333" priority="159117" stopIfTrue="1" operator="equal">
      <formula>-1</formula>
    </cfRule>
  </conditionalFormatting>
  <conditionalFormatting sqref="AR56">
    <cfRule type="cellIs" dxfId="23332" priority="159118" stopIfTrue="1" operator="lessThan">
      <formula>0.5</formula>
    </cfRule>
  </conditionalFormatting>
  <conditionalFormatting sqref="AR56">
    <cfRule type="cellIs" dxfId="23331" priority="159119" stopIfTrue="1" operator="greaterThanOrEqual">
      <formula>0.5</formula>
    </cfRule>
  </conditionalFormatting>
  <conditionalFormatting sqref="AR57">
    <cfRule type="cellIs" dxfId="23330" priority="159120" stopIfTrue="1" operator="equal">
      <formula>-1</formula>
    </cfRule>
  </conditionalFormatting>
  <conditionalFormatting sqref="AR57">
    <cfRule type="cellIs" dxfId="23329" priority="159121" stopIfTrue="1" operator="lessThan">
      <formula>0.5</formula>
    </cfRule>
  </conditionalFormatting>
  <conditionalFormatting sqref="AR57">
    <cfRule type="cellIs" dxfId="23328" priority="159122" stopIfTrue="1" operator="greaterThanOrEqual">
      <formula>0.5</formula>
    </cfRule>
  </conditionalFormatting>
  <conditionalFormatting sqref="AR58">
    <cfRule type="cellIs" dxfId="23327" priority="159123" stopIfTrue="1" operator="equal">
      <formula>-1</formula>
    </cfRule>
  </conditionalFormatting>
  <conditionalFormatting sqref="AR58">
    <cfRule type="cellIs" dxfId="23326" priority="159124" stopIfTrue="1" operator="lessThan">
      <formula>0.5</formula>
    </cfRule>
  </conditionalFormatting>
  <conditionalFormatting sqref="AR58">
    <cfRule type="cellIs" dxfId="23325" priority="159125" stopIfTrue="1" operator="greaterThanOrEqual">
      <formula>0.5</formula>
    </cfRule>
  </conditionalFormatting>
  <conditionalFormatting sqref="AT39">
    <cfRule type="cellIs" dxfId="23324" priority="159126" stopIfTrue="1" operator="equal">
      <formula>-1</formula>
    </cfRule>
  </conditionalFormatting>
  <conditionalFormatting sqref="AT39">
    <cfRule type="cellIs" dxfId="23323" priority="159127" stopIfTrue="1" operator="lessThan">
      <formula>0.5</formula>
    </cfRule>
  </conditionalFormatting>
  <conditionalFormatting sqref="AT39">
    <cfRule type="cellIs" dxfId="23322" priority="159128" stopIfTrue="1" operator="greaterThanOrEqual">
      <formula>0.5</formula>
    </cfRule>
  </conditionalFormatting>
  <conditionalFormatting sqref="AT40">
    <cfRule type="cellIs" dxfId="23321" priority="159129" stopIfTrue="1" operator="equal">
      <formula>-1</formula>
    </cfRule>
  </conditionalFormatting>
  <conditionalFormatting sqref="AT40">
    <cfRule type="cellIs" dxfId="23320" priority="159130" stopIfTrue="1" operator="lessThan">
      <formula>0.5</formula>
    </cfRule>
  </conditionalFormatting>
  <conditionalFormatting sqref="AT40">
    <cfRule type="cellIs" dxfId="23319" priority="159131" stopIfTrue="1" operator="greaterThanOrEqual">
      <formula>0.5</formula>
    </cfRule>
  </conditionalFormatting>
  <conditionalFormatting sqref="AT41">
    <cfRule type="cellIs" dxfId="23318" priority="159132" stopIfTrue="1" operator="equal">
      <formula>-1</formula>
    </cfRule>
  </conditionalFormatting>
  <conditionalFormatting sqref="AT41">
    <cfRule type="cellIs" dxfId="23317" priority="159133" stopIfTrue="1" operator="lessThan">
      <formula>0.5</formula>
    </cfRule>
  </conditionalFormatting>
  <conditionalFormatting sqref="AT41">
    <cfRule type="cellIs" dxfId="23316" priority="159134" stopIfTrue="1" operator="greaterThanOrEqual">
      <formula>0.5</formula>
    </cfRule>
  </conditionalFormatting>
  <conditionalFormatting sqref="AT42">
    <cfRule type="cellIs" dxfId="23315" priority="159135" stopIfTrue="1" operator="equal">
      <formula>-1</formula>
    </cfRule>
  </conditionalFormatting>
  <conditionalFormatting sqref="AT42">
    <cfRule type="cellIs" dxfId="23314" priority="159136" stopIfTrue="1" operator="lessThan">
      <formula>0.5</formula>
    </cfRule>
  </conditionalFormatting>
  <conditionalFormatting sqref="AT42">
    <cfRule type="cellIs" dxfId="23313" priority="159137" stopIfTrue="1" operator="greaterThanOrEqual">
      <formula>0.5</formula>
    </cfRule>
  </conditionalFormatting>
  <conditionalFormatting sqref="AT43">
    <cfRule type="cellIs" dxfId="23312" priority="159138" stopIfTrue="1" operator="equal">
      <formula>-1</formula>
    </cfRule>
  </conditionalFormatting>
  <conditionalFormatting sqref="AT43">
    <cfRule type="cellIs" dxfId="23311" priority="159139" stopIfTrue="1" operator="lessThan">
      <formula>0.5</formula>
    </cfRule>
  </conditionalFormatting>
  <conditionalFormatting sqref="AT43">
    <cfRule type="cellIs" dxfId="23310" priority="159140" stopIfTrue="1" operator="greaterThanOrEqual">
      <formula>0.5</formula>
    </cfRule>
  </conditionalFormatting>
  <conditionalFormatting sqref="AT44">
    <cfRule type="cellIs" dxfId="23309" priority="159141" stopIfTrue="1" operator="equal">
      <formula>-1</formula>
    </cfRule>
  </conditionalFormatting>
  <conditionalFormatting sqref="AT44">
    <cfRule type="cellIs" dxfId="23308" priority="159142" stopIfTrue="1" operator="lessThan">
      <formula>0.5</formula>
    </cfRule>
  </conditionalFormatting>
  <conditionalFormatting sqref="AT44">
    <cfRule type="cellIs" dxfId="23307" priority="159143" stopIfTrue="1" operator="greaterThanOrEqual">
      <formula>0.5</formula>
    </cfRule>
  </conditionalFormatting>
  <conditionalFormatting sqref="AT45">
    <cfRule type="cellIs" dxfId="23306" priority="159144" stopIfTrue="1" operator="equal">
      <formula>-1</formula>
    </cfRule>
  </conditionalFormatting>
  <conditionalFormatting sqref="AT45">
    <cfRule type="cellIs" dxfId="23305" priority="159145" stopIfTrue="1" operator="lessThan">
      <formula>0.5</formula>
    </cfRule>
  </conditionalFormatting>
  <conditionalFormatting sqref="AT45">
    <cfRule type="cellIs" dxfId="23304" priority="159146" stopIfTrue="1" operator="greaterThanOrEqual">
      <formula>0.5</formula>
    </cfRule>
  </conditionalFormatting>
  <conditionalFormatting sqref="AT46">
    <cfRule type="cellIs" dxfId="23303" priority="159147" stopIfTrue="1" operator="equal">
      <formula>-1</formula>
    </cfRule>
  </conditionalFormatting>
  <conditionalFormatting sqref="AT46">
    <cfRule type="cellIs" dxfId="23302" priority="159148" stopIfTrue="1" operator="lessThan">
      <formula>0.5</formula>
    </cfRule>
  </conditionalFormatting>
  <conditionalFormatting sqref="AT46">
    <cfRule type="cellIs" dxfId="23301" priority="159149" stopIfTrue="1" operator="greaterThanOrEqual">
      <formula>0.5</formula>
    </cfRule>
  </conditionalFormatting>
  <conditionalFormatting sqref="AT47">
    <cfRule type="cellIs" dxfId="23300" priority="159150" stopIfTrue="1" operator="equal">
      <formula>-1</formula>
    </cfRule>
  </conditionalFormatting>
  <conditionalFormatting sqref="AT47">
    <cfRule type="cellIs" dxfId="23299" priority="159151" stopIfTrue="1" operator="lessThan">
      <formula>0.5</formula>
    </cfRule>
  </conditionalFormatting>
  <conditionalFormatting sqref="AT47">
    <cfRule type="cellIs" dxfId="23298" priority="159152" stopIfTrue="1" operator="greaterThanOrEqual">
      <formula>0.5</formula>
    </cfRule>
  </conditionalFormatting>
  <conditionalFormatting sqref="AT48">
    <cfRule type="cellIs" dxfId="23297" priority="159153" stopIfTrue="1" operator="equal">
      <formula>-1</formula>
    </cfRule>
  </conditionalFormatting>
  <conditionalFormatting sqref="AT48">
    <cfRule type="cellIs" dxfId="23296" priority="159154" stopIfTrue="1" operator="lessThan">
      <formula>0.5</formula>
    </cfRule>
  </conditionalFormatting>
  <conditionalFormatting sqref="AT48">
    <cfRule type="cellIs" dxfId="23295" priority="159155" stopIfTrue="1" operator="greaterThanOrEqual">
      <formula>0.5</formula>
    </cfRule>
  </conditionalFormatting>
  <conditionalFormatting sqref="AT49">
    <cfRule type="cellIs" dxfId="23294" priority="159156" stopIfTrue="1" operator="equal">
      <formula>-1</formula>
    </cfRule>
  </conditionalFormatting>
  <conditionalFormatting sqref="AT49">
    <cfRule type="cellIs" dxfId="23293" priority="159157" stopIfTrue="1" operator="lessThan">
      <formula>0.5</formula>
    </cfRule>
  </conditionalFormatting>
  <conditionalFormatting sqref="AT49">
    <cfRule type="cellIs" dxfId="23292" priority="159158" stopIfTrue="1" operator="greaterThanOrEqual">
      <formula>0.5</formula>
    </cfRule>
  </conditionalFormatting>
  <conditionalFormatting sqref="AT50">
    <cfRule type="cellIs" dxfId="23291" priority="159159" stopIfTrue="1" operator="equal">
      <formula>-1</formula>
    </cfRule>
  </conditionalFormatting>
  <conditionalFormatting sqref="AT50">
    <cfRule type="cellIs" dxfId="23290" priority="159160" stopIfTrue="1" operator="lessThan">
      <formula>0.5</formula>
    </cfRule>
  </conditionalFormatting>
  <conditionalFormatting sqref="AT50">
    <cfRule type="cellIs" dxfId="23289" priority="159161" stopIfTrue="1" operator="greaterThanOrEqual">
      <formula>0.5</formula>
    </cfRule>
  </conditionalFormatting>
  <conditionalFormatting sqref="AT51">
    <cfRule type="cellIs" dxfId="23288" priority="159162" stopIfTrue="1" operator="equal">
      <formula>-1</formula>
    </cfRule>
  </conditionalFormatting>
  <conditionalFormatting sqref="AT51">
    <cfRule type="cellIs" dxfId="23287" priority="159163" stopIfTrue="1" operator="lessThan">
      <formula>0.5</formula>
    </cfRule>
  </conditionalFormatting>
  <conditionalFormatting sqref="AT51">
    <cfRule type="cellIs" dxfId="23286" priority="159164" stopIfTrue="1" operator="greaterThanOrEqual">
      <formula>0.5</formula>
    </cfRule>
  </conditionalFormatting>
  <conditionalFormatting sqref="AT52">
    <cfRule type="cellIs" dxfId="23285" priority="159165" stopIfTrue="1" operator="equal">
      <formula>-1</formula>
    </cfRule>
  </conditionalFormatting>
  <conditionalFormatting sqref="AT52">
    <cfRule type="cellIs" dxfId="23284" priority="159166" stopIfTrue="1" operator="lessThan">
      <formula>0.5</formula>
    </cfRule>
  </conditionalFormatting>
  <conditionalFormatting sqref="AT52">
    <cfRule type="cellIs" dxfId="23283" priority="159167" stopIfTrue="1" operator="greaterThanOrEqual">
      <formula>0.5</formula>
    </cfRule>
  </conditionalFormatting>
  <conditionalFormatting sqref="AT53">
    <cfRule type="cellIs" dxfId="23282" priority="159168" stopIfTrue="1" operator="equal">
      <formula>-1</formula>
    </cfRule>
  </conditionalFormatting>
  <conditionalFormatting sqref="AT53">
    <cfRule type="cellIs" dxfId="23281" priority="159169" stopIfTrue="1" operator="lessThan">
      <formula>0.5</formula>
    </cfRule>
  </conditionalFormatting>
  <conditionalFormatting sqref="AT53">
    <cfRule type="cellIs" dxfId="23280" priority="159170" stopIfTrue="1" operator="greaterThanOrEqual">
      <formula>0.5</formula>
    </cfRule>
  </conditionalFormatting>
  <conditionalFormatting sqref="AT54">
    <cfRule type="cellIs" dxfId="23279" priority="159171" stopIfTrue="1" operator="equal">
      <formula>-1</formula>
    </cfRule>
  </conditionalFormatting>
  <conditionalFormatting sqref="AT54">
    <cfRule type="cellIs" dxfId="23278" priority="159172" stopIfTrue="1" operator="lessThan">
      <formula>0.5</formula>
    </cfRule>
  </conditionalFormatting>
  <conditionalFormatting sqref="AT54">
    <cfRule type="cellIs" dxfId="23277" priority="159173" stopIfTrue="1" operator="greaterThanOrEqual">
      <formula>0.5</formula>
    </cfRule>
  </conditionalFormatting>
  <conditionalFormatting sqref="AT55">
    <cfRule type="cellIs" dxfId="23276" priority="159174" stopIfTrue="1" operator="equal">
      <formula>-1</formula>
    </cfRule>
  </conditionalFormatting>
  <conditionalFormatting sqref="AT55">
    <cfRule type="cellIs" dxfId="23275" priority="159175" stopIfTrue="1" operator="lessThan">
      <formula>0.5</formula>
    </cfRule>
  </conditionalFormatting>
  <conditionalFormatting sqref="AT55">
    <cfRule type="cellIs" dxfId="23274" priority="159176" stopIfTrue="1" operator="greaterThanOrEqual">
      <formula>0.5</formula>
    </cfRule>
  </conditionalFormatting>
  <conditionalFormatting sqref="AT56">
    <cfRule type="cellIs" dxfId="23273" priority="159177" stopIfTrue="1" operator="equal">
      <formula>-1</formula>
    </cfRule>
  </conditionalFormatting>
  <conditionalFormatting sqref="AT56">
    <cfRule type="cellIs" dxfId="23272" priority="159178" stopIfTrue="1" operator="lessThan">
      <formula>0.5</formula>
    </cfRule>
  </conditionalFormatting>
  <conditionalFormatting sqref="AT56">
    <cfRule type="cellIs" dxfId="23271" priority="159179" stopIfTrue="1" operator="greaterThanOrEqual">
      <formula>0.5</formula>
    </cfRule>
  </conditionalFormatting>
  <conditionalFormatting sqref="AT57">
    <cfRule type="cellIs" dxfId="23270" priority="159180" stopIfTrue="1" operator="equal">
      <formula>-1</formula>
    </cfRule>
  </conditionalFormatting>
  <conditionalFormatting sqref="AT57">
    <cfRule type="cellIs" dxfId="23269" priority="159181" stopIfTrue="1" operator="lessThan">
      <formula>0.5</formula>
    </cfRule>
  </conditionalFormatting>
  <conditionalFormatting sqref="AT57">
    <cfRule type="cellIs" dxfId="23268" priority="159182" stopIfTrue="1" operator="greaterThanOrEqual">
      <formula>0.5</formula>
    </cfRule>
  </conditionalFormatting>
  <conditionalFormatting sqref="AT58">
    <cfRule type="cellIs" dxfId="23267" priority="159183" stopIfTrue="1" operator="equal">
      <formula>-1</formula>
    </cfRule>
  </conditionalFormatting>
  <conditionalFormatting sqref="AT58">
    <cfRule type="cellIs" dxfId="23266" priority="159184" stopIfTrue="1" operator="lessThan">
      <formula>0.5</formula>
    </cfRule>
  </conditionalFormatting>
  <conditionalFormatting sqref="AT58">
    <cfRule type="cellIs" dxfId="23265" priority="159185" stopIfTrue="1" operator="greaterThanOrEqual">
      <formula>0.5</formula>
    </cfRule>
  </conditionalFormatting>
  <conditionalFormatting sqref="AV39">
    <cfRule type="cellIs" dxfId="23264" priority="159186" stopIfTrue="1" operator="equal">
      <formula>-1</formula>
    </cfRule>
  </conditionalFormatting>
  <conditionalFormatting sqref="AV39">
    <cfRule type="cellIs" dxfId="23263" priority="159187" stopIfTrue="1" operator="lessThan">
      <formula>0.5</formula>
    </cfRule>
  </conditionalFormatting>
  <conditionalFormatting sqref="AV39">
    <cfRule type="cellIs" dxfId="23262" priority="159188" stopIfTrue="1" operator="greaterThanOrEqual">
      <formula>0.5</formula>
    </cfRule>
  </conditionalFormatting>
  <conditionalFormatting sqref="AV40">
    <cfRule type="cellIs" dxfId="23261" priority="159189" stopIfTrue="1" operator="equal">
      <formula>-1</formula>
    </cfRule>
  </conditionalFormatting>
  <conditionalFormatting sqref="AV40">
    <cfRule type="cellIs" dxfId="23260" priority="159190" stopIfTrue="1" operator="lessThan">
      <formula>0.5</formula>
    </cfRule>
  </conditionalFormatting>
  <conditionalFormatting sqref="AV40">
    <cfRule type="cellIs" dxfId="23259" priority="159191" stopIfTrue="1" operator="greaterThanOrEqual">
      <formula>0.5</formula>
    </cfRule>
  </conditionalFormatting>
  <conditionalFormatting sqref="AV41">
    <cfRule type="cellIs" dxfId="23258" priority="159192" stopIfTrue="1" operator="equal">
      <formula>-1</formula>
    </cfRule>
  </conditionalFormatting>
  <conditionalFormatting sqref="AV41">
    <cfRule type="cellIs" dxfId="23257" priority="159193" stopIfTrue="1" operator="lessThan">
      <formula>0.5</formula>
    </cfRule>
  </conditionalFormatting>
  <conditionalFormatting sqref="AV41">
    <cfRule type="cellIs" dxfId="23256" priority="159194" stopIfTrue="1" operator="greaterThanOrEqual">
      <formula>0.5</formula>
    </cfRule>
  </conditionalFormatting>
  <conditionalFormatting sqref="AV42">
    <cfRule type="cellIs" dxfId="23255" priority="159195" stopIfTrue="1" operator="equal">
      <formula>-1</formula>
    </cfRule>
  </conditionalFormatting>
  <conditionalFormatting sqref="AV42">
    <cfRule type="cellIs" dxfId="23254" priority="159196" stopIfTrue="1" operator="lessThan">
      <formula>0.5</formula>
    </cfRule>
  </conditionalFormatting>
  <conditionalFormatting sqref="AV42">
    <cfRule type="cellIs" dxfId="23253" priority="159197" stopIfTrue="1" operator="greaterThanOrEqual">
      <formula>0.5</formula>
    </cfRule>
  </conditionalFormatting>
  <conditionalFormatting sqref="AV43">
    <cfRule type="cellIs" dxfId="23252" priority="159198" stopIfTrue="1" operator="equal">
      <formula>-1</formula>
    </cfRule>
  </conditionalFormatting>
  <conditionalFormatting sqref="AV43">
    <cfRule type="cellIs" dxfId="23251" priority="159199" stopIfTrue="1" operator="lessThan">
      <formula>0.5</formula>
    </cfRule>
  </conditionalFormatting>
  <conditionalFormatting sqref="AV43">
    <cfRule type="cellIs" dxfId="23250" priority="159200" stopIfTrue="1" operator="greaterThanOrEqual">
      <formula>0.5</formula>
    </cfRule>
  </conditionalFormatting>
  <conditionalFormatting sqref="AV44">
    <cfRule type="cellIs" dxfId="23249" priority="159201" stopIfTrue="1" operator="equal">
      <formula>-1</formula>
    </cfRule>
  </conditionalFormatting>
  <conditionalFormatting sqref="AV44">
    <cfRule type="cellIs" dxfId="23248" priority="159202" stopIfTrue="1" operator="lessThan">
      <formula>0.5</formula>
    </cfRule>
  </conditionalFormatting>
  <conditionalFormatting sqref="AV44">
    <cfRule type="cellIs" dxfId="23247" priority="159203" stopIfTrue="1" operator="greaterThanOrEqual">
      <formula>0.5</formula>
    </cfRule>
  </conditionalFormatting>
  <conditionalFormatting sqref="AV45">
    <cfRule type="cellIs" dxfId="23246" priority="159204" stopIfTrue="1" operator="equal">
      <formula>-1</formula>
    </cfRule>
  </conditionalFormatting>
  <conditionalFormatting sqref="AV45">
    <cfRule type="cellIs" dxfId="23245" priority="159205" stopIfTrue="1" operator="lessThan">
      <formula>0.5</formula>
    </cfRule>
  </conditionalFormatting>
  <conditionalFormatting sqref="AV45">
    <cfRule type="cellIs" dxfId="23244" priority="159206" stopIfTrue="1" operator="greaterThanOrEqual">
      <formula>0.5</formula>
    </cfRule>
  </conditionalFormatting>
  <conditionalFormatting sqref="AV46">
    <cfRule type="cellIs" dxfId="23243" priority="159207" stopIfTrue="1" operator="equal">
      <formula>-1</formula>
    </cfRule>
  </conditionalFormatting>
  <conditionalFormatting sqref="AV46">
    <cfRule type="cellIs" dxfId="23242" priority="159208" stopIfTrue="1" operator="lessThan">
      <formula>0.5</formula>
    </cfRule>
  </conditionalFormatting>
  <conditionalFormatting sqref="AV46">
    <cfRule type="cellIs" dxfId="23241" priority="159209" stopIfTrue="1" operator="greaterThanOrEqual">
      <formula>0.5</formula>
    </cfRule>
  </conditionalFormatting>
  <conditionalFormatting sqref="AV47">
    <cfRule type="cellIs" dxfId="23240" priority="159210" stopIfTrue="1" operator="equal">
      <formula>-1</formula>
    </cfRule>
  </conditionalFormatting>
  <conditionalFormatting sqref="AV47">
    <cfRule type="cellIs" dxfId="23239" priority="159211" stopIfTrue="1" operator="lessThan">
      <formula>0.5</formula>
    </cfRule>
  </conditionalFormatting>
  <conditionalFormatting sqref="AV47">
    <cfRule type="cellIs" dxfId="23238" priority="159212" stopIfTrue="1" operator="greaterThanOrEqual">
      <formula>0.5</formula>
    </cfRule>
  </conditionalFormatting>
  <conditionalFormatting sqref="AV48">
    <cfRule type="cellIs" dxfId="23237" priority="159213" stopIfTrue="1" operator="equal">
      <formula>-1</formula>
    </cfRule>
  </conditionalFormatting>
  <conditionalFormatting sqref="AV48">
    <cfRule type="cellIs" dxfId="23236" priority="159214" stopIfTrue="1" operator="lessThan">
      <formula>0.5</formula>
    </cfRule>
  </conditionalFormatting>
  <conditionalFormatting sqref="AV48">
    <cfRule type="cellIs" dxfId="23235" priority="159215" stopIfTrue="1" operator="greaterThanOrEqual">
      <formula>0.5</formula>
    </cfRule>
  </conditionalFormatting>
  <conditionalFormatting sqref="AV49">
    <cfRule type="cellIs" dxfId="23234" priority="159216" stopIfTrue="1" operator="equal">
      <formula>-1</formula>
    </cfRule>
  </conditionalFormatting>
  <conditionalFormatting sqref="AV49">
    <cfRule type="cellIs" dxfId="23233" priority="159217" stopIfTrue="1" operator="lessThan">
      <formula>0.5</formula>
    </cfRule>
  </conditionalFormatting>
  <conditionalFormatting sqref="AV49">
    <cfRule type="cellIs" dxfId="23232" priority="159218" stopIfTrue="1" operator="greaterThanOrEqual">
      <formula>0.5</formula>
    </cfRule>
  </conditionalFormatting>
  <conditionalFormatting sqref="AV50">
    <cfRule type="cellIs" dxfId="23231" priority="159219" stopIfTrue="1" operator="equal">
      <formula>-1</formula>
    </cfRule>
  </conditionalFormatting>
  <conditionalFormatting sqref="AV50">
    <cfRule type="cellIs" dxfId="23230" priority="159220" stopIfTrue="1" operator="lessThan">
      <formula>0.5</formula>
    </cfRule>
  </conditionalFormatting>
  <conditionalFormatting sqref="AV50">
    <cfRule type="cellIs" dxfId="23229" priority="159221" stopIfTrue="1" operator="greaterThanOrEqual">
      <formula>0.5</formula>
    </cfRule>
  </conditionalFormatting>
  <conditionalFormatting sqref="AV51">
    <cfRule type="cellIs" dxfId="23228" priority="159222" stopIfTrue="1" operator="equal">
      <formula>-1</formula>
    </cfRule>
  </conditionalFormatting>
  <conditionalFormatting sqref="AV51">
    <cfRule type="cellIs" dxfId="23227" priority="159223" stopIfTrue="1" operator="lessThan">
      <formula>0.5</formula>
    </cfRule>
  </conditionalFormatting>
  <conditionalFormatting sqref="AV51">
    <cfRule type="cellIs" dxfId="23226" priority="159224" stopIfTrue="1" operator="greaterThanOrEqual">
      <formula>0.5</formula>
    </cfRule>
  </conditionalFormatting>
  <conditionalFormatting sqref="AV52">
    <cfRule type="cellIs" dxfId="23225" priority="159225" stopIfTrue="1" operator="equal">
      <formula>-1</formula>
    </cfRule>
  </conditionalFormatting>
  <conditionalFormatting sqref="AV52">
    <cfRule type="cellIs" dxfId="23224" priority="159226" stopIfTrue="1" operator="lessThan">
      <formula>0.5</formula>
    </cfRule>
  </conditionalFormatting>
  <conditionalFormatting sqref="AV52">
    <cfRule type="cellIs" dxfId="23223" priority="159227" stopIfTrue="1" operator="greaterThanOrEqual">
      <formula>0.5</formula>
    </cfRule>
  </conditionalFormatting>
  <conditionalFormatting sqref="AV53">
    <cfRule type="cellIs" dxfId="23222" priority="159228" stopIfTrue="1" operator="equal">
      <formula>-1</formula>
    </cfRule>
  </conditionalFormatting>
  <conditionalFormatting sqref="AV53">
    <cfRule type="cellIs" dxfId="23221" priority="159229" stopIfTrue="1" operator="lessThan">
      <formula>0.5</formula>
    </cfRule>
  </conditionalFormatting>
  <conditionalFormatting sqref="AV53">
    <cfRule type="cellIs" dxfId="23220" priority="159230" stopIfTrue="1" operator="greaterThanOrEqual">
      <formula>0.5</formula>
    </cfRule>
  </conditionalFormatting>
  <conditionalFormatting sqref="AV54">
    <cfRule type="cellIs" dxfId="23219" priority="159231" stopIfTrue="1" operator="equal">
      <formula>-1</formula>
    </cfRule>
  </conditionalFormatting>
  <conditionalFormatting sqref="AV54">
    <cfRule type="cellIs" dxfId="23218" priority="159232" stopIfTrue="1" operator="lessThan">
      <formula>0.5</formula>
    </cfRule>
  </conditionalFormatting>
  <conditionalFormatting sqref="AV54">
    <cfRule type="cellIs" dxfId="23217" priority="159233" stopIfTrue="1" operator="greaterThanOrEqual">
      <formula>0.5</formula>
    </cfRule>
  </conditionalFormatting>
  <conditionalFormatting sqref="AV55">
    <cfRule type="cellIs" dxfId="23216" priority="159234" stopIfTrue="1" operator="equal">
      <formula>-1</formula>
    </cfRule>
  </conditionalFormatting>
  <conditionalFormatting sqref="AV55">
    <cfRule type="cellIs" dxfId="23215" priority="159235" stopIfTrue="1" operator="lessThan">
      <formula>0.5</formula>
    </cfRule>
  </conditionalFormatting>
  <conditionalFormatting sqref="AV55">
    <cfRule type="cellIs" dxfId="23214" priority="159236" stopIfTrue="1" operator="greaterThanOrEqual">
      <formula>0.5</formula>
    </cfRule>
  </conditionalFormatting>
  <conditionalFormatting sqref="AV56">
    <cfRule type="cellIs" dxfId="23213" priority="159237" stopIfTrue="1" operator="equal">
      <formula>-1</formula>
    </cfRule>
  </conditionalFormatting>
  <conditionalFormatting sqref="AV56">
    <cfRule type="cellIs" dxfId="23212" priority="159238" stopIfTrue="1" operator="lessThan">
      <formula>0.5</formula>
    </cfRule>
  </conditionalFormatting>
  <conditionalFormatting sqref="AV56">
    <cfRule type="cellIs" dxfId="23211" priority="159239" stopIfTrue="1" operator="greaterThanOrEqual">
      <formula>0.5</formula>
    </cfRule>
  </conditionalFormatting>
  <conditionalFormatting sqref="AV57">
    <cfRule type="cellIs" dxfId="23210" priority="159240" stopIfTrue="1" operator="equal">
      <formula>-1</formula>
    </cfRule>
  </conditionalFormatting>
  <conditionalFormatting sqref="AV57">
    <cfRule type="cellIs" dxfId="23209" priority="159241" stopIfTrue="1" operator="lessThan">
      <formula>0.5</formula>
    </cfRule>
  </conditionalFormatting>
  <conditionalFormatting sqref="AV57">
    <cfRule type="cellIs" dxfId="23208" priority="159242" stopIfTrue="1" operator="greaterThanOrEqual">
      <formula>0.5</formula>
    </cfRule>
  </conditionalFormatting>
  <conditionalFormatting sqref="AV58">
    <cfRule type="cellIs" dxfId="23207" priority="159243" stopIfTrue="1" operator="equal">
      <formula>-1</formula>
    </cfRule>
  </conditionalFormatting>
  <conditionalFormatting sqref="AV58">
    <cfRule type="cellIs" dxfId="23206" priority="159244" stopIfTrue="1" operator="lessThan">
      <formula>0.5</formula>
    </cfRule>
  </conditionalFormatting>
  <conditionalFormatting sqref="AV58">
    <cfRule type="cellIs" dxfId="23205" priority="159245" stopIfTrue="1" operator="greaterThanOrEqual">
      <formula>0.5</formula>
    </cfRule>
  </conditionalFormatting>
  <conditionalFormatting sqref="AX39">
    <cfRule type="cellIs" dxfId="23204" priority="159246" stopIfTrue="1" operator="equal">
      <formula>-1</formula>
    </cfRule>
  </conditionalFormatting>
  <conditionalFormatting sqref="AX39">
    <cfRule type="cellIs" dxfId="23203" priority="159247" stopIfTrue="1" operator="lessThan">
      <formula>0.5</formula>
    </cfRule>
  </conditionalFormatting>
  <conditionalFormatting sqref="AX39">
    <cfRule type="cellIs" dxfId="23202" priority="159248" stopIfTrue="1" operator="greaterThanOrEqual">
      <formula>0.5</formula>
    </cfRule>
  </conditionalFormatting>
  <conditionalFormatting sqref="AX40">
    <cfRule type="cellIs" dxfId="23201" priority="159249" stopIfTrue="1" operator="equal">
      <formula>-1</formula>
    </cfRule>
  </conditionalFormatting>
  <conditionalFormatting sqref="AX40">
    <cfRule type="cellIs" dxfId="23200" priority="159250" stopIfTrue="1" operator="lessThan">
      <formula>0.5</formula>
    </cfRule>
  </conditionalFormatting>
  <conditionalFormatting sqref="AX40">
    <cfRule type="cellIs" dxfId="23199" priority="159251" stopIfTrue="1" operator="greaterThanOrEqual">
      <formula>0.5</formula>
    </cfRule>
  </conditionalFormatting>
  <conditionalFormatting sqref="AX41">
    <cfRule type="cellIs" dxfId="23198" priority="159252" stopIfTrue="1" operator="equal">
      <formula>-1</formula>
    </cfRule>
  </conditionalFormatting>
  <conditionalFormatting sqref="AX41">
    <cfRule type="cellIs" dxfId="23197" priority="159253" stopIfTrue="1" operator="lessThan">
      <formula>0.5</formula>
    </cfRule>
  </conditionalFormatting>
  <conditionalFormatting sqref="AX41">
    <cfRule type="cellIs" dxfId="23196" priority="159254" stopIfTrue="1" operator="greaterThanOrEqual">
      <formula>0.5</formula>
    </cfRule>
  </conditionalFormatting>
  <conditionalFormatting sqref="AX42">
    <cfRule type="cellIs" dxfId="23195" priority="159255" stopIfTrue="1" operator="equal">
      <formula>-1</formula>
    </cfRule>
  </conditionalFormatting>
  <conditionalFormatting sqref="AX42">
    <cfRule type="cellIs" dxfId="23194" priority="159256" stopIfTrue="1" operator="lessThan">
      <formula>0.5</formula>
    </cfRule>
  </conditionalFormatting>
  <conditionalFormatting sqref="AX42">
    <cfRule type="cellIs" dxfId="23193" priority="159257" stopIfTrue="1" operator="greaterThanOrEqual">
      <formula>0.5</formula>
    </cfRule>
  </conditionalFormatting>
  <conditionalFormatting sqref="AX43">
    <cfRule type="cellIs" dxfId="23192" priority="159258" stopIfTrue="1" operator="equal">
      <formula>-1</formula>
    </cfRule>
  </conditionalFormatting>
  <conditionalFormatting sqref="AX43">
    <cfRule type="cellIs" dxfId="23191" priority="159259" stopIfTrue="1" operator="lessThan">
      <formula>0.5</formula>
    </cfRule>
  </conditionalFormatting>
  <conditionalFormatting sqref="AX43">
    <cfRule type="cellIs" dxfId="23190" priority="159260" stopIfTrue="1" operator="greaterThanOrEqual">
      <formula>0.5</formula>
    </cfRule>
  </conditionalFormatting>
  <conditionalFormatting sqref="AX44">
    <cfRule type="cellIs" dxfId="23189" priority="159261" stopIfTrue="1" operator="equal">
      <formula>-1</formula>
    </cfRule>
  </conditionalFormatting>
  <conditionalFormatting sqref="AX44">
    <cfRule type="cellIs" dxfId="23188" priority="159262" stopIfTrue="1" operator="lessThan">
      <formula>0.5</formula>
    </cfRule>
  </conditionalFormatting>
  <conditionalFormatting sqref="AX44">
    <cfRule type="cellIs" dxfId="23187" priority="159263" stopIfTrue="1" operator="greaterThanOrEqual">
      <formula>0.5</formula>
    </cfRule>
  </conditionalFormatting>
  <conditionalFormatting sqref="AX45">
    <cfRule type="cellIs" dxfId="23186" priority="159264" stopIfTrue="1" operator="equal">
      <formula>-1</formula>
    </cfRule>
  </conditionalFormatting>
  <conditionalFormatting sqref="AX45">
    <cfRule type="cellIs" dxfId="23185" priority="159265" stopIfTrue="1" operator="lessThan">
      <formula>0.5</formula>
    </cfRule>
  </conditionalFormatting>
  <conditionalFormatting sqref="AX45">
    <cfRule type="cellIs" dxfId="23184" priority="159266" stopIfTrue="1" operator="greaterThanOrEqual">
      <formula>0.5</formula>
    </cfRule>
  </conditionalFormatting>
  <conditionalFormatting sqref="AX46">
    <cfRule type="cellIs" dxfId="23183" priority="159267" stopIfTrue="1" operator="equal">
      <formula>-1</formula>
    </cfRule>
  </conditionalFormatting>
  <conditionalFormatting sqref="AX46">
    <cfRule type="cellIs" dxfId="23182" priority="159268" stopIfTrue="1" operator="lessThan">
      <formula>0.5</formula>
    </cfRule>
  </conditionalFormatting>
  <conditionalFormatting sqref="AX46">
    <cfRule type="cellIs" dxfId="23181" priority="159269" stopIfTrue="1" operator="greaterThanOrEqual">
      <formula>0.5</formula>
    </cfRule>
  </conditionalFormatting>
  <conditionalFormatting sqref="AX47">
    <cfRule type="cellIs" dxfId="23180" priority="159270" stopIfTrue="1" operator="equal">
      <formula>-1</formula>
    </cfRule>
  </conditionalFormatting>
  <conditionalFormatting sqref="AX47">
    <cfRule type="cellIs" dxfId="23179" priority="159271" stopIfTrue="1" operator="lessThan">
      <formula>0.5</formula>
    </cfRule>
  </conditionalFormatting>
  <conditionalFormatting sqref="AX47">
    <cfRule type="cellIs" dxfId="23178" priority="159272" stopIfTrue="1" operator="greaterThanOrEqual">
      <formula>0.5</formula>
    </cfRule>
  </conditionalFormatting>
  <conditionalFormatting sqref="AX48">
    <cfRule type="cellIs" dxfId="23177" priority="159273" stopIfTrue="1" operator="equal">
      <formula>-1</formula>
    </cfRule>
  </conditionalFormatting>
  <conditionalFormatting sqref="AX48">
    <cfRule type="cellIs" dxfId="23176" priority="159274" stopIfTrue="1" operator="lessThan">
      <formula>0.5</formula>
    </cfRule>
  </conditionalFormatting>
  <conditionalFormatting sqref="AX48">
    <cfRule type="cellIs" dxfId="23175" priority="159275" stopIfTrue="1" operator="greaterThanOrEqual">
      <formula>0.5</formula>
    </cfRule>
  </conditionalFormatting>
  <conditionalFormatting sqref="AX49">
    <cfRule type="cellIs" dxfId="23174" priority="159276" stopIfTrue="1" operator="equal">
      <formula>-1</formula>
    </cfRule>
  </conditionalFormatting>
  <conditionalFormatting sqref="AX49">
    <cfRule type="cellIs" dxfId="23173" priority="159277" stopIfTrue="1" operator="lessThan">
      <formula>0.5</formula>
    </cfRule>
  </conditionalFormatting>
  <conditionalFormatting sqref="AX49">
    <cfRule type="cellIs" dxfId="23172" priority="159278" stopIfTrue="1" operator="greaterThanOrEqual">
      <formula>0.5</formula>
    </cfRule>
  </conditionalFormatting>
  <conditionalFormatting sqref="AX50">
    <cfRule type="cellIs" dxfId="23171" priority="159279" stopIfTrue="1" operator="equal">
      <formula>-1</formula>
    </cfRule>
  </conditionalFormatting>
  <conditionalFormatting sqref="AX50">
    <cfRule type="cellIs" dxfId="23170" priority="159280" stopIfTrue="1" operator="lessThan">
      <formula>0.5</formula>
    </cfRule>
  </conditionalFormatting>
  <conditionalFormatting sqref="AX50">
    <cfRule type="cellIs" dxfId="23169" priority="159281" stopIfTrue="1" operator="greaterThanOrEqual">
      <formula>0.5</formula>
    </cfRule>
  </conditionalFormatting>
  <conditionalFormatting sqref="AX51">
    <cfRule type="cellIs" dxfId="23168" priority="159282" stopIfTrue="1" operator="equal">
      <formula>-1</formula>
    </cfRule>
  </conditionalFormatting>
  <conditionalFormatting sqref="AX51">
    <cfRule type="cellIs" dxfId="23167" priority="159283" stopIfTrue="1" operator="lessThan">
      <formula>0.5</formula>
    </cfRule>
  </conditionalFormatting>
  <conditionalFormatting sqref="AX51">
    <cfRule type="cellIs" dxfId="23166" priority="159284" stopIfTrue="1" operator="greaterThanOrEqual">
      <formula>0.5</formula>
    </cfRule>
  </conditionalFormatting>
  <conditionalFormatting sqref="AX52">
    <cfRule type="cellIs" dxfId="23165" priority="159285" stopIfTrue="1" operator="equal">
      <formula>-1</formula>
    </cfRule>
  </conditionalFormatting>
  <conditionalFormatting sqref="AX52">
    <cfRule type="cellIs" dxfId="23164" priority="159286" stopIfTrue="1" operator="lessThan">
      <formula>0.5</formula>
    </cfRule>
  </conditionalFormatting>
  <conditionalFormatting sqref="AX52">
    <cfRule type="cellIs" dxfId="23163" priority="159287" stopIfTrue="1" operator="greaterThanOrEqual">
      <formula>0.5</formula>
    </cfRule>
  </conditionalFormatting>
  <conditionalFormatting sqref="AX53">
    <cfRule type="cellIs" dxfId="23162" priority="159288" stopIfTrue="1" operator="equal">
      <formula>-1</formula>
    </cfRule>
  </conditionalFormatting>
  <conditionalFormatting sqref="AX53">
    <cfRule type="cellIs" dxfId="23161" priority="159289" stopIfTrue="1" operator="lessThan">
      <formula>0.5</formula>
    </cfRule>
  </conditionalFormatting>
  <conditionalFormatting sqref="AX53">
    <cfRule type="cellIs" dxfId="23160" priority="159290" stopIfTrue="1" operator="greaterThanOrEqual">
      <formula>0.5</formula>
    </cfRule>
  </conditionalFormatting>
  <conditionalFormatting sqref="AX54">
    <cfRule type="cellIs" dxfId="23159" priority="159291" stopIfTrue="1" operator="equal">
      <formula>-1</formula>
    </cfRule>
  </conditionalFormatting>
  <conditionalFormatting sqref="AX54">
    <cfRule type="cellIs" dxfId="23158" priority="159292" stopIfTrue="1" operator="lessThan">
      <formula>0.5</formula>
    </cfRule>
  </conditionalFormatting>
  <conditionalFormatting sqref="AX54">
    <cfRule type="cellIs" dxfId="23157" priority="159293" stopIfTrue="1" operator="greaterThanOrEqual">
      <formula>0.5</formula>
    </cfRule>
  </conditionalFormatting>
  <conditionalFormatting sqref="AX55">
    <cfRule type="cellIs" dxfId="23156" priority="159294" stopIfTrue="1" operator="equal">
      <formula>-1</formula>
    </cfRule>
  </conditionalFormatting>
  <conditionalFormatting sqref="AX55">
    <cfRule type="cellIs" dxfId="23155" priority="159295" stopIfTrue="1" operator="lessThan">
      <formula>0.5</formula>
    </cfRule>
  </conditionalFormatting>
  <conditionalFormatting sqref="AX55">
    <cfRule type="cellIs" dxfId="23154" priority="159296" stopIfTrue="1" operator="greaterThanOrEqual">
      <formula>0.5</formula>
    </cfRule>
  </conditionalFormatting>
  <conditionalFormatting sqref="AX56">
    <cfRule type="cellIs" dxfId="23153" priority="159297" stopIfTrue="1" operator="equal">
      <formula>-1</formula>
    </cfRule>
  </conditionalFormatting>
  <conditionalFormatting sqref="AX56">
    <cfRule type="cellIs" dxfId="23152" priority="159298" stopIfTrue="1" operator="lessThan">
      <formula>0.5</formula>
    </cfRule>
  </conditionalFormatting>
  <conditionalFormatting sqref="AX56">
    <cfRule type="cellIs" dxfId="23151" priority="159299" stopIfTrue="1" operator="greaterThanOrEqual">
      <formula>0.5</formula>
    </cfRule>
  </conditionalFormatting>
  <conditionalFormatting sqref="AX57">
    <cfRule type="cellIs" dxfId="23150" priority="159300" stopIfTrue="1" operator="equal">
      <formula>-1</formula>
    </cfRule>
  </conditionalFormatting>
  <conditionalFormatting sqref="AX57">
    <cfRule type="cellIs" dxfId="23149" priority="159301" stopIfTrue="1" operator="lessThan">
      <formula>0.5</formula>
    </cfRule>
  </conditionalFormatting>
  <conditionalFormatting sqref="AX57">
    <cfRule type="cellIs" dxfId="23148" priority="159302" stopIfTrue="1" operator="greaterThanOrEqual">
      <formula>0.5</formula>
    </cfRule>
  </conditionalFormatting>
  <conditionalFormatting sqref="AX58">
    <cfRule type="cellIs" dxfId="23147" priority="159303" stopIfTrue="1" operator="equal">
      <formula>-1</formula>
    </cfRule>
  </conditionalFormatting>
  <conditionalFormatting sqref="AX58">
    <cfRule type="cellIs" dxfId="23146" priority="159304" stopIfTrue="1" operator="lessThan">
      <formula>0.5</formula>
    </cfRule>
  </conditionalFormatting>
  <conditionalFormatting sqref="AX58">
    <cfRule type="cellIs" dxfId="23145" priority="159305" stopIfTrue="1" operator="greaterThanOrEqual">
      <formula>0.5</formula>
    </cfRule>
  </conditionalFormatting>
  <conditionalFormatting sqref="AZ39">
    <cfRule type="cellIs" dxfId="23144" priority="159306" stopIfTrue="1" operator="equal">
      <formula>-1</formula>
    </cfRule>
  </conditionalFormatting>
  <conditionalFormatting sqref="AZ39">
    <cfRule type="cellIs" dxfId="23143" priority="159307" stopIfTrue="1" operator="lessThan">
      <formula>0.5</formula>
    </cfRule>
  </conditionalFormatting>
  <conditionalFormatting sqref="AZ39">
    <cfRule type="cellIs" dxfId="23142" priority="159308" stopIfTrue="1" operator="greaterThanOrEqual">
      <formula>0.5</formula>
    </cfRule>
  </conditionalFormatting>
  <conditionalFormatting sqref="AZ40">
    <cfRule type="cellIs" dxfId="23141" priority="159309" stopIfTrue="1" operator="equal">
      <formula>-1</formula>
    </cfRule>
  </conditionalFormatting>
  <conditionalFormatting sqref="AZ40">
    <cfRule type="cellIs" dxfId="23140" priority="159310" stopIfTrue="1" operator="lessThan">
      <formula>0.5</formula>
    </cfRule>
  </conditionalFormatting>
  <conditionalFormatting sqref="AZ40">
    <cfRule type="cellIs" dxfId="23139" priority="159311" stopIfTrue="1" operator="greaterThanOrEqual">
      <formula>0.5</formula>
    </cfRule>
  </conditionalFormatting>
  <conditionalFormatting sqref="AZ41">
    <cfRule type="cellIs" dxfId="23138" priority="159312" stopIfTrue="1" operator="equal">
      <formula>-1</formula>
    </cfRule>
  </conditionalFormatting>
  <conditionalFormatting sqref="AZ41">
    <cfRule type="cellIs" dxfId="23137" priority="159313" stopIfTrue="1" operator="lessThan">
      <formula>0.5</formula>
    </cfRule>
  </conditionalFormatting>
  <conditionalFormatting sqref="AZ41">
    <cfRule type="cellIs" dxfId="23136" priority="159314" stopIfTrue="1" operator="greaterThanOrEqual">
      <formula>0.5</formula>
    </cfRule>
  </conditionalFormatting>
  <conditionalFormatting sqref="AZ42">
    <cfRule type="cellIs" dxfId="23135" priority="159315" stopIfTrue="1" operator="equal">
      <formula>-1</formula>
    </cfRule>
  </conditionalFormatting>
  <conditionalFormatting sqref="AZ42">
    <cfRule type="cellIs" dxfId="23134" priority="159316" stopIfTrue="1" operator="lessThan">
      <formula>0.5</formula>
    </cfRule>
  </conditionalFormatting>
  <conditionalFormatting sqref="AZ42">
    <cfRule type="cellIs" dxfId="23133" priority="159317" stopIfTrue="1" operator="greaterThanOrEqual">
      <formula>0.5</formula>
    </cfRule>
  </conditionalFormatting>
  <conditionalFormatting sqref="AZ43">
    <cfRule type="cellIs" dxfId="23132" priority="159318" stopIfTrue="1" operator="equal">
      <formula>-1</formula>
    </cfRule>
  </conditionalFormatting>
  <conditionalFormatting sqref="AZ43">
    <cfRule type="cellIs" dxfId="23131" priority="159319" stopIfTrue="1" operator="lessThan">
      <formula>0.5</formula>
    </cfRule>
  </conditionalFormatting>
  <conditionalFormatting sqref="AZ43">
    <cfRule type="cellIs" dxfId="23130" priority="159320" stopIfTrue="1" operator="greaterThanOrEqual">
      <formula>0.5</formula>
    </cfRule>
  </conditionalFormatting>
  <conditionalFormatting sqref="AZ44">
    <cfRule type="cellIs" dxfId="23129" priority="159321" stopIfTrue="1" operator="equal">
      <formula>-1</formula>
    </cfRule>
  </conditionalFormatting>
  <conditionalFormatting sqref="AZ44">
    <cfRule type="cellIs" dxfId="23128" priority="159322" stopIfTrue="1" operator="lessThan">
      <formula>0.5</formula>
    </cfRule>
  </conditionalFormatting>
  <conditionalFormatting sqref="AZ44">
    <cfRule type="cellIs" dxfId="23127" priority="159323" stopIfTrue="1" operator="greaterThanOrEqual">
      <formula>0.5</formula>
    </cfRule>
  </conditionalFormatting>
  <conditionalFormatting sqref="AZ45">
    <cfRule type="cellIs" dxfId="23126" priority="159324" stopIfTrue="1" operator="equal">
      <formula>-1</formula>
    </cfRule>
  </conditionalFormatting>
  <conditionalFormatting sqref="AZ45">
    <cfRule type="cellIs" dxfId="23125" priority="159325" stopIfTrue="1" operator="lessThan">
      <formula>0.5</formula>
    </cfRule>
  </conditionalFormatting>
  <conditionalFormatting sqref="AZ45">
    <cfRule type="cellIs" dxfId="23124" priority="159326" stopIfTrue="1" operator="greaterThanOrEqual">
      <formula>0.5</formula>
    </cfRule>
  </conditionalFormatting>
  <conditionalFormatting sqref="AZ46">
    <cfRule type="cellIs" dxfId="23123" priority="159327" stopIfTrue="1" operator="equal">
      <formula>-1</formula>
    </cfRule>
  </conditionalFormatting>
  <conditionalFormatting sqref="AZ46">
    <cfRule type="cellIs" dxfId="23122" priority="159328" stopIfTrue="1" operator="lessThan">
      <formula>0.5</formula>
    </cfRule>
  </conditionalFormatting>
  <conditionalFormatting sqref="AZ46">
    <cfRule type="cellIs" dxfId="23121" priority="159329" stopIfTrue="1" operator="greaterThanOrEqual">
      <formula>0.5</formula>
    </cfRule>
  </conditionalFormatting>
  <conditionalFormatting sqref="AZ47">
    <cfRule type="cellIs" dxfId="23120" priority="159330" stopIfTrue="1" operator="equal">
      <formula>-1</formula>
    </cfRule>
  </conditionalFormatting>
  <conditionalFormatting sqref="AZ47">
    <cfRule type="cellIs" dxfId="23119" priority="159331" stopIfTrue="1" operator="lessThan">
      <formula>0.5</formula>
    </cfRule>
  </conditionalFormatting>
  <conditionalFormatting sqref="AZ47">
    <cfRule type="cellIs" dxfId="23118" priority="159332" stopIfTrue="1" operator="greaterThanOrEqual">
      <formula>0.5</formula>
    </cfRule>
  </conditionalFormatting>
  <conditionalFormatting sqref="AZ48">
    <cfRule type="cellIs" dxfId="23117" priority="159333" stopIfTrue="1" operator="equal">
      <formula>-1</formula>
    </cfRule>
  </conditionalFormatting>
  <conditionalFormatting sqref="AZ48">
    <cfRule type="cellIs" dxfId="23116" priority="159334" stopIfTrue="1" operator="lessThan">
      <formula>0.5</formula>
    </cfRule>
  </conditionalFormatting>
  <conditionalFormatting sqref="AZ48">
    <cfRule type="cellIs" dxfId="23115" priority="159335" stopIfTrue="1" operator="greaterThanOrEqual">
      <formula>0.5</formula>
    </cfRule>
  </conditionalFormatting>
  <conditionalFormatting sqref="AZ49">
    <cfRule type="cellIs" dxfId="23114" priority="159336" stopIfTrue="1" operator="equal">
      <formula>-1</formula>
    </cfRule>
  </conditionalFormatting>
  <conditionalFormatting sqref="AZ49">
    <cfRule type="cellIs" dxfId="23113" priority="159337" stopIfTrue="1" operator="lessThan">
      <formula>0.5</formula>
    </cfRule>
  </conditionalFormatting>
  <conditionalFormatting sqref="AZ49">
    <cfRule type="cellIs" dxfId="23112" priority="159338" stopIfTrue="1" operator="greaterThanOrEqual">
      <formula>0.5</formula>
    </cfRule>
  </conditionalFormatting>
  <conditionalFormatting sqref="AZ50">
    <cfRule type="cellIs" dxfId="23111" priority="159339" stopIfTrue="1" operator="equal">
      <formula>-1</formula>
    </cfRule>
  </conditionalFormatting>
  <conditionalFormatting sqref="AZ50">
    <cfRule type="cellIs" dxfId="23110" priority="159340" stopIfTrue="1" operator="lessThan">
      <formula>0.5</formula>
    </cfRule>
  </conditionalFormatting>
  <conditionalFormatting sqref="AZ50">
    <cfRule type="cellIs" dxfId="23109" priority="159341" stopIfTrue="1" operator="greaterThanOrEqual">
      <formula>0.5</formula>
    </cfRule>
  </conditionalFormatting>
  <conditionalFormatting sqref="AZ51">
    <cfRule type="cellIs" dxfId="23108" priority="159342" stopIfTrue="1" operator="equal">
      <formula>-1</formula>
    </cfRule>
  </conditionalFormatting>
  <conditionalFormatting sqref="AZ51">
    <cfRule type="cellIs" dxfId="23107" priority="159343" stopIfTrue="1" operator="lessThan">
      <formula>0.5</formula>
    </cfRule>
  </conditionalFormatting>
  <conditionalFormatting sqref="AZ51">
    <cfRule type="cellIs" dxfId="23106" priority="159344" stopIfTrue="1" operator="greaterThanOrEqual">
      <formula>0.5</formula>
    </cfRule>
  </conditionalFormatting>
  <conditionalFormatting sqref="AZ52">
    <cfRule type="cellIs" dxfId="23105" priority="159345" stopIfTrue="1" operator="equal">
      <formula>-1</formula>
    </cfRule>
  </conditionalFormatting>
  <conditionalFormatting sqref="AZ52">
    <cfRule type="cellIs" dxfId="23104" priority="159346" stopIfTrue="1" operator="lessThan">
      <formula>0.5</formula>
    </cfRule>
  </conditionalFormatting>
  <conditionalFormatting sqref="AZ52">
    <cfRule type="cellIs" dxfId="23103" priority="159347" stopIfTrue="1" operator="greaterThanOrEqual">
      <formula>0.5</formula>
    </cfRule>
  </conditionalFormatting>
  <conditionalFormatting sqref="AZ53">
    <cfRule type="cellIs" dxfId="23102" priority="159348" stopIfTrue="1" operator="equal">
      <formula>-1</formula>
    </cfRule>
  </conditionalFormatting>
  <conditionalFormatting sqref="AZ53">
    <cfRule type="cellIs" dxfId="23101" priority="159349" stopIfTrue="1" operator="lessThan">
      <formula>0.5</formula>
    </cfRule>
  </conditionalFormatting>
  <conditionalFormatting sqref="AZ53">
    <cfRule type="cellIs" dxfId="23100" priority="159350" stopIfTrue="1" operator="greaterThanOrEqual">
      <formula>0.5</formula>
    </cfRule>
  </conditionalFormatting>
  <conditionalFormatting sqref="AZ54">
    <cfRule type="cellIs" dxfId="23099" priority="159351" stopIfTrue="1" operator="equal">
      <formula>-1</formula>
    </cfRule>
  </conditionalFormatting>
  <conditionalFormatting sqref="AZ54">
    <cfRule type="cellIs" dxfId="23098" priority="159352" stopIfTrue="1" operator="lessThan">
      <formula>0.5</formula>
    </cfRule>
  </conditionalFormatting>
  <conditionalFormatting sqref="AZ54">
    <cfRule type="cellIs" dxfId="23097" priority="159353" stopIfTrue="1" operator="greaterThanOrEqual">
      <formula>0.5</formula>
    </cfRule>
  </conditionalFormatting>
  <conditionalFormatting sqref="AZ55">
    <cfRule type="cellIs" dxfId="23096" priority="159354" stopIfTrue="1" operator="equal">
      <formula>-1</formula>
    </cfRule>
  </conditionalFormatting>
  <conditionalFormatting sqref="AZ55">
    <cfRule type="cellIs" dxfId="23095" priority="159355" stopIfTrue="1" operator="lessThan">
      <formula>0.5</formula>
    </cfRule>
  </conditionalFormatting>
  <conditionalFormatting sqref="AZ55">
    <cfRule type="cellIs" dxfId="23094" priority="159356" stopIfTrue="1" operator="greaterThanOrEqual">
      <formula>0.5</formula>
    </cfRule>
  </conditionalFormatting>
  <conditionalFormatting sqref="AZ56">
    <cfRule type="cellIs" dxfId="23093" priority="159357" stopIfTrue="1" operator="equal">
      <formula>-1</formula>
    </cfRule>
  </conditionalFormatting>
  <conditionalFormatting sqref="AZ56">
    <cfRule type="cellIs" dxfId="23092" priority="159358" stopIfTrue="1" operator="lessThan">
      <formula>0.5</formula>
    </cfRule>
  </conditionalFormatting>
  <conditionalFormatting sqref="AZ56">
    <cfRule type="cellIs" dxfId="23091" priority="159359" stopIfTrue="1" operator="greaterThanOrEqual">
      <formula>0.5</formula>
    </cfRule>
  </conditionalFormatting>
  <conditionalFormatting sqref="AZ57">
    <cfRule type="cellIs" dxfId="23090" priority="159360" stopIfTrue="1" operator="equal">
      <formula>-1</formula>
    </cfRule>
  </conditionalFormatting>
  <conditionalFormatting sqref="AZ57">
    <cfRule type="cellIs" dxfId="23089" priority="159361" stopIfTrue="1" operator="lessThan">
      <formula>0.5</formula>
    </cfRule>
  </conditionalFormatting>
  <conditionalFormatting sqref="AZ57">
    <cfRule type="cellIs" dxfId="23088" priority="159362" stopIfTrue="1" operator="greaterThanOrEqual">
      <formula>0.5</formula>
    </cfRule>
  </conditionalFormatting>
  <conditionalFormatting sqref="AZ58">
    <cfRule type="cellIs" dxfId="23087" priority="159363" stopIfTrue="1" operator="equal">
      <formula>-1</formula>
    </cfRule>
  </conditionalFormatting>
  <conditionalFormatting sqref="AZ58">
    <cfRule type="cellIs" dxfId="23086" priority="159364" stopIfTrue="1" operator="lessThan">
      <formula>0.5</formula>
    </cfRule>
  </conditionalFormatting>
  <conditionalFormatting sqref="AZ58">
    <cfRule type="cellIs" dxfId="23085" priority="159365" stopIfTrue="1" operator="greaterThanOrEqual">
      <formula>0.5</formula>
    </cfRule>
  </conditionalFormatting>
  <conditionalFormatting sqref="BB39">
    <cfRule type="cellIs" dxfId="23084" priority="159366" stopIfTrue="1" operator="equal">
      <formula>-1</formula>
    </cfRule>
  </conditionalFormatting>
  <conditionalFormatting sqref="BB39">
    <cfRule type="cellIs" dxfId="23083" priority="159367" stopIfTrue="1" operator="lessThan">
      <formula>0.5</formula>
    </cfRule>
  </conditionalFormatting>
  <conditionalFormatting sqref="BB39">
    <cfRule type="cellIs" dxfId="23082" priority="159368" stopIfTrue="1" operator="greaterThanOrEqual">
      <formula>0.5</formula>
    </cfRule>
  </conditionalFormatting>
  <conditionalFormatting sqref="BB40">
    <cfRule type="cellIs" dxfId="23081" priority="159369" stopIfTrue="1" operator="equal">
      <formula>-1</formula>
    </cfRule>
  </conditionalFormatting>
  <conditionalFormatting sqref="BB40">
    <cfRule type="cellIs" dxfId="23080" priority="159370" stopIfTrue="1" operator="lessThan">
      <formula>0.5</formula>
    </cfRule>
  </conditionalFormatting>
  <conditionalFormatting sqref="BB40">
    <cfRule type="cellIs" dxfId="23079" priority="159371" stopIfTrue="1" operator="greaterThanOrEqual">
      <formula>0.5</formula>
    </cfRule>
  </conditionalFormatting>
  <conditionalFormatting sqref="BB41">
    <cfRule type="cellIs" dxfId="23078" priority="159372" stopIfTrue="1" operator="equal">
      <formula>-1</formula>
    </cfRule>
  </conditionalFormatting>
  <conditionalFormatting sqref="BB41">
    <cfRule type="cellIs" dxfId="23077" priority="159373" stopIfTrue="1" operator="lessThan">
      <formula>0.5</formula>
    </cfRule>
  </conditionalFormatting>
  <conditionalFormatting sqref="BB41">
    <cfRule type="cellIs" dxfId="23076" priority="159374" stopIfTrue="1" operator="greaterThanOrEqual">
      <formula>0.5</formula>
    </cfRule>
  </conditionalFormatting>
  <conditionalFormatting sqref="BB42">
    <cfRule type="cellIs" dxfId="23075" priority="159375" stopIfTrue="1" operator="equal">
      <formula>-1</formula>
    </cfRule>
  </conditionalFormatting>
  <conditionalFormatting sqref="BB42">
    <cfRule type="cellIs" dxfId="23074" priority="159376" stopIfTrue="1" operator="lessThan">
      <formula>0.5</formula>
    </cfRule>
  </conditionalFormatting>
  <conditionalFormatting sqref="BB42">
    <cfRule type="cellIs" dxfId="23073" priority="159377" stopIfTrue="1" operator="greaterThanOrEqual">
      <formula>0.5</formula>
    </cfRule>
  </conditionalFormatting>
  <conditionalFormatting sqref="BB43">
    <cfRule type="cellIs" dxfId="23072" priority="159378" stopIfTrue="1" operator="equal">
      <formula>-1</formula>
    </cfRule>
  </conditionalFormatting>
  <conditionalFormatting sqref="BB43">
    <cfRule type="cellIs" dxfId="23071" priority="159379" stopIfTrue="1" operator="lessThan">
      <formula>0.5</formula>
    </cfRule>
  </conditionalFormatting>
  <conditionalFormatting sqref="BB43">
    <cfRule type="cellIs" dxfId="23070" priority="159380" stopIfTrue="1" operator="greaterThanOrEqual">
      <formula>0.5</formula>
    </cfRule>
  </conditionalFormatting>
  <conditionalFormatting sqref="BB44">
    <cfRule type="cellIs" dxfId="23069" priority="159381" stopIfTrue="1" operator="equal">
      <formula>-1</formula>
    </cfRule>
  </conditionalFormatting>
  <conditionalFormatting sqref="BB44">
    <cfRule type="cellIs" dxfId="23068" priority="159382" stopIfTrue="1" operator="lessThan">
      <formula>0.5</formula>
    </cfRule>
  </conditionalFormatting>
  <conditionalFormatting sqref="BB44">
    <cfRule type="cellIs" dxfId="23067" priority="159383" stopIfTrue="1" operator="greaterThanOrEqual">
      <formula>0.5</formula>
    </cfRule>
  </conditionalFormatting>
  <conditionalFormatting sqref="BB45">
    <cfRule type="cellIs" dxfId="23066" priority="159384" stopIfTrue="1" operator="equal">
      <formula>-1</formula>
    </cfRule>
  </conditionalFormatting>
  <conditionalFormatting sqref="BB45">
    <cfRule type="cellIs" dxfId="23065" priority="159385" stopIfTrue="1" operator="lessThan">
      <formula>0.5</formula>
    </cfRule>
  </conditionalFormatting>
  <conditionalFormatting sqref="BB45">
    <cfRule type="cellIs" dxfId="23064" priority="159386" stopIfTrue="1" operator="greaterThanOrEqual">
      <formula>0.5</formula>
    </cfRule>
  </conditionalFormatting>
  <conditionalFormatting sqref="BB46">
    <cfRule type="cellIs" dxfId="23063" priority="159387" stopIfTrue="1" operator="equal">
      <formula>-1</formula>
    </cfRule>
  </conditionalFormatting>
  <conditionalFormatting sqref="BB46">
    <cfRule type="cellIs" dxfId="23062" priority="159388" stopIfTrue="1" operator="lessThan">
      <formula>0.5</formula>
    </cfRule>
  </conditionalFormatting>
  <conditionalFormatting sqref="BB46">
    <cfRule type="cellIs" dxfId="23061" priority="159389" stopIfTrue="1" operator="greaterThanOrEqual">
      <formula>0.5</formula>
    </cfRule>
  </conditionalFormatting>
  <conditionalFormatting sqref="BB47">
    <cfRule type="cellIs" dxfId="23060" priority="159390" stopIfTrue="1" operator="equal">
      <formula>-1</formula>
    </cfRule>
  </conditionalFormatting>
  <conditionalFormatting sqref="BB47">
    <cfRule type="cellIs" dxfId="23059" priority="159391" stopIfTrue="1" operator="lessThan">
      <formula>0.5</formula>
    </cfRule>
  </conditionalFormatting>
  <conditionalFormatting sqref="BB47">
    <cfRule type="cellIs" dxfId="23058" priority="159392" stopIfTrue="1" operator="greaterThanOrEqual">
      <formula>0.5</formula>
    </cfRule>
  </conditionalFormatting>
  <conditionalFormatting sqref="BB48">
    <cfRule type="cellIs" dxfId="23057" priority="159393" stopIfTrue="1" operator="equal">
      <formula>-1</formula>
    </cfRule>
  </conditionalFormatting>
  <conditionalFormatting sqref="BB48">
    <cfRule type="cellIs" dxfId="23056" priority="159394" stopIfTrue="1" operator="lessThan">
      <formula>0.5</formula>
    </cfRule>
  </conditionalFormatting>
  <conditionalFormatting sqref="BB48">
    <cfRule type="cellIs" dxfId="23055" priority="159395" stopIfTrue="1" operator="greaterThanOrEqual">
      <formula>0.5</formula>
    </cfRule>
  </conditionalFormatting>
  <conditionalFormatting sqref="BB49">
    <cfRule type="cellIs" dxfId="23054" priority="159396" stopIfTrue="1" operator="equal">
      <formula>-1</formula>
    </cfRule>
  </conditionalFormatting>
  <conditionalFormatting sqref="BB49">
    <cfRule type="cellIs" dxfId="23053" priority="159397" stopIfTrue="1" operator="lessThan">
      <formula>0.5</formula>
    </cfRule>
  </conditionalFormatting>
  <conditionalFormatting sqref="BB49">
    <cfRule type="cellIs" dxfId="23052" priority="159398" stopIfTrue="1" operator="greaterThanOrEqual">
      <formula>0.5</formula>
    </cfRule>
  </conditionalFormatting>
  <conditionalFormatting sqref="BB50">
    <cfRule type="cellIs" dxfId="23051" priority="159399" stopIfTrue="1" operator="equal">
      <formula>-1</formula>
    </cfRule>
  </conditionalFormatting>
  <conditionalFormatting sqref="BB50">
    <cfRule type="cellIs" dxfId="23050" priority="159400" stopIfTrue="1" operator="lessThan">
      <formula>0.5</formula>
    </cfRule>
  </conditionalFormatting>
  <conditionalFormatting sqref="BB50">
    <cfRule type="cellIs" dxfId="23049" priority="159401" stopIfTrue="1" operator="greaterThanOrEqual">
      <formula>0.5</formula>
    </cfRule>
  </conditionalFormatting>
  <conditionalFormatting sqref="BB51">
    <cfRule type="cellIs" dxfId="23048" priority="159402" stopIfTrue="1" operator="equal">
      <formula>-1</formula>
    </cfRule>
  </conditionalFormatting>
  <conditionalFormatting sqref="BB51">
    <cfRule type="cellIs" dxfId="23047" priority="159403" stopIfTrue="1" operator="lessThan">
      <formula>0.5</formula>
    </cfRule>
  </conditionalFormatting>
  <conditionalFormatting sqref="BB51">
    <cfRule type="cellIs" dxfId="23046" priority="159404" stopIfTrue="1" operator="greaterThanOrEqual">
      <formula>0.5</formula>
    </cfRule>
  </conditionalFormatting>
  <conditionalFormatting sqref="BB52">
    <cfRule type="cellIs" dxfId="23045" priority="159405" stopIfTrue="1" operator="equal">
      <formula>-1</formula>
    </cfRule>
  </conditionalFormatting>
  <conditionalFormatting sqref="BB52">
    <cfRule type="cellIs" dxfId="23044" priority="159406" stopIfTrue="1" operator="lessThan">
      <formula>0.5</formula>
    </cfRule>
  </conditionalFormatting>
  <conditionalFormatting sqref="BB52">
    <cfRule type="cellIs" dxfId="23043" priority="159407" stopIfTrue="1" operator="greaterThanOrEqual">
      <formula>0.5</formula>
    </cfRule>
  </conditionalFormatting>
  <conditionalFormatting sqref="BB53">
    <cfRule type="cellIs" dxfId="23042" priority="159408" stopIfTrue="1" operator="equal">
      <formula>-1</formula>
    </cfRule>
  </conditionalFormatting>
  <conditionalFormatting sqref="BB53">
    <cfRule type="cellIs" dxfId="23041" priority="159409" stopIfTrue="1" operator="lessThan">
      <formula>0.5</formula>
    </cfRule>
  </conditionalFormatting>
  <conditionalFormatting sqref="BB53">
    <cfRule type="cellIs" dxfId="23040" priority="159410" stopIfTrue="1" operator="greaterThanOrEqual">
      <formula>0.5</formula>
    </cfRule>
  </conditionalFormatting>
  <conditionalFormatting sqref="BB54">
    <cfRule type="cellIs" dxfId="23039" priority="159411" stopIfTrue="1" operator="equal">
      <formula>-1</formula>
    </cfRule>
  </conditionalFormatting>
  <conditionalFormatting sqref="BB54">
    <cfRule type="cellIs" dxfId="23038" priority="159412" stopIfTrue="1" operator="lessThan">
      <formula>0.5</formula>
    </cfRule>
  </conditionalFormatting>
  <conditionalFormatting sqref="BB54">
    <cfRule type="cellIs" dxfId="23037" priority="159413" stopIfTrue="1" operator="greaterThanOrEqual">
      <formula>0.5</formula>
    </cfRule>
  </conditionalFormatting>
  <conditionalFormatting sqref="BB55">
    <cfRule type="cellIs" dxfId="23036" priority="159414" stopIfTrue="1" operator="equal">
      <formula>-1</formula>
    </cfRule>
  </conditionalFormatting>
  <conditionalFormatting sqref="BB55">
    <cfRule type="cellIs" dxfId="23035" priority="159415" stopIfTrue="1" operator="lessThan">
      <formula>0.5</formula>
    </cfRule>
  </conditionalFormatting>
  <conditionalFormatting sqref="BB55">
    <cfRule type="cellIs" dxfId="23034" priority="159416" stopIfTrue="1" operator="greaterThanOrEqual">
      <formula>0.5</formula>
    </cfRule>
  </conditionalFormatting>
  <conditionalFormatting sqref="BB56">
    <cfRule type="cellIs" dxfId="23033" priority="159417" stopIfTrue="1" operator="equal">
      <formula>-1</formula>
    </cfRule>
  </conditionalFormatting>
  <conditionalFormatting sqref="BB56">
    <cfRule type="cellIs" dxfId="23032" priority="159418" stopIfTrue="1" operator="lessThan">
      <formula>0.5</formula>
    </cfRule>
  </conditionalFormatting>
  <conditionalFormatting sqref="BB56">
    <cfRule type="cellIs" dxfId="23031" priority="159419" stopIfTrue="1" operator="greaterThanOrEqual">
      <formula>0.5</formula>
    </cfRule>
  </conditionalFormatting>
  <conditionalFormatting sqref="BB57">
    <cfRule type="cellIs" dxfId="23030" priority="159420" stopIfTrue="1" operator="equal">
      <formula>-1</formula>
    </cfRule>
  </conditionalFormatting>
  <conditionalFormatting sqref="BB57">
    <cfRule type="cellIs" dxfId="23029" priority="159421" stopIfTrue="1" operator="lessThan">
      <formula>0.5</formula>
    </cfRule>
  </conditionalFormatting>
  <conditionalFormatting sqref="BB57">
    <cfRule type="cellIs" dxfId="23028" priority="159422" stopIfTrue="1" operator="greaterThanOrEqual">
      <formula>0.5</formula>
    </cfRule>
  </conditionalFormatting>
  <conditionalFormatting sqref="BB58">
    <cfRule type="cellIs" dxfId="23027" priority="159423" stopIfTrue="1" operator="equal">
      <formula>-1</formula>
    </cfRule>
  </conditionalFormatting>
  <conditionalFormatting sqref="BB58">
    <cfRule type="cellIs" dxfId="23026" priority="159424" stopIfTrue="1" operator="lessThan">
      <formula>0.5</formula>
    </cfRule>
  </conditionalFormatting>
  <conditionalFormatting sqref="BB58">
    <cfRule type="cellIs" dxfId="23025" priority="159425" stopIfTrue="1" operator="greaterThanOrEqual">
      <formula>0.5</formula>
    </cfRule>
  </conditionalFormatting>
  <conditionalFormatting sqref="BD39">
    <cfRule type="cellIs" dxfId="23024" priority="159426" stopIfTrue="1" operator="equal">
      <formula>-1</formula>
    </cfRule>
  </conditionalFormatting>
  <conditionalFormatting sqref="BD39">
    <cfRule type="cellIs" dxfId="23023" priority="159427" stopIfTrue="1" operator="lessThan">
      <formula>0.5</formula>
    </cfRule>
  </conditionalFormatting>
  <conditionalFormatting sqref="BD39">
    <cfRule type="cellIs" dxfId="23022" priority="159428" stopIfTrue="1" operator="greaterThanOrEqual">
      <formula>0.5</formula>
    </cfRule>
  </conditionalFormatting>
  <conditionalFormatting sqref="BD40">
    <cfRule type="cellIs" dxfId="23021" priority="159429" stopIfTrue="1" operator="equal">
      <formula>-1</formula>
    </cfRule>
  </conditionalFormatting>
  <conditionalFormatting sqref="BD40">
    <cfRule type="cellIs" dxfId="23020" priority="159430" stopIfTrue="1" operator="lessThan">
      <formula>0.5</formula>
    </cfRule>
  </conditionalFormatting>
  <conditionalFormatting sqref="BD40">
    <cfRule type="cellIs" dxfId="23019" priority="159431" stopIfTrue="1" operator="greaterThanOrEqual">
      <formula>0.5</formula>
    </cfRule>
  </conditionalFormatting>
  <conditionalFormatting sqref="BD41">
    <cfRule type="cellIs" dxfId="23018" priority="159432" stopIfTrue="1" operator="equal">
      <formula>-1</formula>
    </cfRule>
  </conditionalFormatting>
  <conditionalFormatting sqref="BD41">
    <cfRule type="cellIs" dxfId="23017" priority="159433" stopIfTrue="1" operator="lessThan">
      <formula>0.5</formula>
    </cfRule>
  </conditionalFormatting>
  <conditionalFormatting sqref="BD41">
    <cfRule type="cellIs" dxfId="23016" priority="159434" stopIfTrue="1" operator="greaterThanOrEqual">
      <formula>0.5</formula>
    </cfRule>
  </conditionalFormatting>
  <conditionalFormatting sqref="BD42">
    <cfRule type="cellIs" dxfId="23015" priority="159435" stopIfTrue="1" operator="equal">
      <formula>-1</formula>
    </cfRule>
  </conditionalFormatting>
  <conditionalFormatting sqref="BD42">
    <cfRule type="cellIs" dxfId="23014" priority="159436" stopIfTrue="1" operator="lessThan">
      <formula>0.5</formula>
    </cfRule>
  </conditionalFormatting>
  <conditionalFormatting sqref="BD42">
    <cfRule type="cellIs" dxfId="23013" priority="159437" stopIfTrue="1" operator="greaterThanOrEqual">
      <formula>0.5</formula>
    </cfRule>
  </conditionalFormatting>
  <conditionalFormatting sqref="BD43">
    <cfRule type="cellIs" dxfId="23012" priority="159438" stopIfTrue="1" operator="equal">
      <formula>-1</formula>
    </cfRule>
  </conditionalFormatting>
  <conditionalFormatting sqref="BD43">
    <cfRule type="cellIs" dxfId="23011" priority="159439" stopIfTrue="1" operator="lessThan">
      <formula>0.5</formula>
    </cfRule>
  </conditionalFormatting>
  <conditionalFormatting sqref="BD43">
    <cfRule type="cellIs" dxfId="23010" priority="159440" stopIfTrue="1" operator="greaterThanOrEqual">
      <formula>0.5</formula>
    </cfRule>
  </conditionalFormatting>
  <conditionalFormatting sqref="BD44">
    <cfRule type="cellIs" dxfId="23009" priority="159441" stopIfTrue="1" operator="equal">
      <formula>-1</formula>
    </cfRule>
  </conditionalFormatting>
  <conditionalFormatting sqref="BD44">
    <cfRule type="cellIs" dxfId="23008" priority="159442" stopIfTrue="1" operator="lessThan">
      <formula>0.5</formula>
    </cfRule>
  </conditionalFormatting>
  <conditionalFormatting sqref="BD44">
    <cfRule type="cellIs" dxfId="23007" priority="159443" stopIfTrue="1" operator="greaterThanOrEqual">
      <formula>0.5</formula>
    </cfRule>
  </conditionalFormatting>
  <conditionalFormatting sqref="BD45">
    <cfRule type="cellIs" dxfId="23006" priority="159444" stopIfTrue="1" operator="equal">
      <formula>-1</formula>
    </cfRule>
  </conditionalFormatting>
  <conditionalFormatting sqref="BD45">
    <cfRule type="cellIs" dxfId="23005" priority="159445" stopIfTrue="1" operator="lessThan">
      <formula>0.5</formula>
    </cfRule>
  </conditionalFormatting>
  <conditionalFormatting sqref="BD45">
    <cfRule type="cellIs" dxfId="23004" priority="159446" stopIfTrue="1" operator="greaterThanOrEqual">
      <formula>0.5</formula>
    </cfRule>
  </conditionalFormatting>
  <conditionalFormatting sqref="BD46">
    <cfRule type="cellIs" dxfId="23003" priority="159447" stopIfTrue="1" operator="equal">
      <formula>-1</formula>
    </cfRule>
  </conditionalFormatting>
  <conditionalFormatting sqref="BD46">
    <cfRule type="cellIs" dxfId="23002" priority="159448" stopIfTrue="1" operator="lessThan">
      <formula>0.5</formula>
    </cfRule>
  </conditionalFormatting>
  <conditionalFormatting sqref="BD46">
    <cfRule type="cellIs" dxfId="23001" priority="159449" stopIfTrue="1" operator="greaterThanOrEqual">
      <formula>0.5</formula>
    </cfRule>
  </conditionalFormatting>
  <conditionalFormatting sqref="BD47">
    <cfRule type="cellIs" dxfId="23000" priority="159450" stopIfTrue="1" operator="equal">
      <formula>-1</formula>
    </cfRule>
  </conditionalFormatting>
  <conditionalFormatting sqref="BD47">
    <cfRule type="cellIs" dxfId="22999" priority="159451" stopIfTrue="1" operator="lessThan">
      <formula>0.5</formula>
    </cfRule>
  </conditionalFormatting>
  <conditionalFormatting sqref="BD47">
    <cfRule type="cellIs" dxfId="22998" priority="159452" stopIfTrue="1" operator="greaterThanOrEqual">
      <formula>0.5</formula>
    </cfRule>
  </conditionalFormatting>
  <conditionalFormatting sqref="BD48">
    <cfRule type="cellIs" dxfId="22997" priority="159453" stopIfTrue="1" operator="equal">
      <formula>-1</formula>
    </cfRule>
  </conditionalFormatting>
  <conditionalFormatting sqref="BD48">
    <cfRule type="cellIs" dxfId="22996" priority="159454" stopIfTrue="1" operator="lessThan">
      <formula>0.5</formula>
    </cfRule>
  </conditionalFormatting>
  <conditionalFormatting sqref="BD48">
    <cfRule type="cellIs" dxfId="22995" priority="159455" stopIfTrue="1" operator="greaterThanOrEqual">
      <formula>0.5</formula>
    </cfRule>
  </conditionalFormatting>
  <conditionalFormatting sqref="BD49">
    <cfRule type="cellIs" dxfId="22994" priority="159456" stopIfTrue="1" operator="equal">
      <formula>-1</formula>
    </cfRule>
  </conditionalFormatting>
  <conditionalFormatting sqref="BD49">
    <cfRule type="cellIs" dxfId="22993" priority="159457" stopIfTrue="1" operator="lessThan">
      <formula>0.5</formula>
    </cfRule>
  </conditionalFormatting>
  <conditionalFormatting sqref="BD49">
    <cfRule type="cellIs" dxfId="22992" priority="159458" stopIfTrue="1" operator="greaterThanOrEqual">
      <formula>0.5</formula>
    </cfRule>
  </conditionalFormatting>
  <conditionalFormatting sqref="BD50">
    <cfRule type="cellIs" dxfId="22991" priority="159459" stopIfTrue="1" operator="equal">
      <formula>-1</formula>
    </cfRule>
  </conditionalFormatting>
  <conditionalFormatting sqref="BD50">
    <cfRule type="cellIs" dxfId="22990" priority="159460" stopIfTrue="1" operator="lessThan">
      <formula>0.5</formula>
    </cfRule>
  </conditionalFormatting>
  <conditionalFormatting sqref="BD50">
    <cfRule type="cellIs" dxfId="22989" priority="159461" stopIfTrue="1" operator="greaterThanOrEqual">
      <formula>0.5</formula>
    </cfRule>
  </conditionalFormatting>
  <conditionalFormatting sqref="BD51">
    <cfRule type="cellIs" dxfId="22988" priority="159462" stopIfTrue="1" operator="equal">
      <formula>-1</formula>
    </cfRule>
  </conditionalFormatting>
  <conditionalFormatting sqref="BD51">
    <cfRule type="cellIs" dxfId="22987" priority="159463" stopIfTrue="1" operator="lessThan">
      <formula>0.5</formula>
    </cfRule>
  </conditionalFormatting>
  <conditionalFormatting sqref="BD51">
    <cfRule type="cellIs" dxfId="22986" priority="159464" stopIfTrue="1" operator="greaterThanOrEqual">
      <formula>0.5</formula>
    </cfRule>
  </conditionalFormatting>
  <conditionalFormatting sqref="BD52">
    <cfRule type="cellIs" dxfId="22985" priority="159465" stopIfTrue="1" operator="equal">
      <formula>-1</formula>
    </cfRule>
  </conditionalFormatting>
  <conditionalFormatting sqref="BD52">
    <cfRule type="cellIs" dxfId="22984" priority="159466" stopIfTrue="1" operator="lessThan">
      <formula>0.5</formula>
    </cfRule>
  </conditionalFormatting>
  <conditionalFormatting sqref="BD52">
    <cfRule type="cellIs" dxfId="22983" priority="159467" stopIfTrue="1" operator="greaterThanOrEqual">
      <formula>0.5</formula>
    </cfRule>
  </conditionalFormatting>
  <conditionalFormatting sqref="BD53">
    <cfRule type="cellIs" dxfId="22982" priority="159468" stopIfTrue="1" operator="equal">
      <formula>-1</formula>
    </cfRule>
  </conditionalFormatting>
  <conditionalFormatting sqref="BD53">
    <cfRule type="cellIs" dxfId="22981" priority="159469" stopIfTrue="1" operator="lessThan">
      <formula>0.5</formula>
    </cfRule>
  </conditionalFormatting>
  <conditionalFormatting sqref="BD53">
    <cfRule type="cellIs" dxfId="22980" priority="159470" stopIfTrue="1" operator="greaterThanOrEqual">
      <formula>0.5</formula>
    </cfRule>
  </conditionalFormatting>
  <conditionalFormatting sqref="BD54">
    <cfRule type="cellIs" dxfId="22979" priority="159471" stopIfTrue="1" operator="equal">
      <formula>-1</formula>
    </cfRule>
  </conditionalFormatting>
  <conditionalFormatting sqref="BD54">
    <cfRule type="cellIs" dxfId="22978" priority="159472" stopIfTrue="1" operator="lessThan">
      <formula>0.5</formula>
    </cfRule>
  </conditionalFormatting>
  <conditionalFormatting sqref="BD54">
    <cfRule type="cellIs" dxfId="22977" priority="159473" stopIfTrue="1" operator="greaterThanOrEqual">
      <formula>0.5</formula>
    </cfRule>
  </conditionalFormatting>
  <conditionalFormatting sqref="BD55">
    <cfRule type="cellIs" dxfId="22976" priority="159474" stopIfTrue="1" operator="equal">
      <formula>-1</formula>
    </cfRule>
  </conditionalFormatting>
  <conditionalFormatting sqref="BD55">
    <cfRule type="cellIs" dxfId="22975" priority="159475" stopIfTrue="1" operator="lessThan">
      <formula>0.5</formula>
    </cfRule>
  </conditionalFormatting>
  <conditionalFormatting sqref="BD55">
    <cfRule type="cellIs" dxfId="22974" priority="159476" stopIfTrue="1" operator="greaterThanOrEqual">
      <formula>0.5</formula>
    </cfRule>
  </conditionalFormatting>
  <conditionalFormatting sqref="BD56">
    <cfRule type="cellIs" dxfId="22973" priority="159477" stopIfTrue="1" operator="equal">
      <formula>-1</formula>
    </cfRule>
  </conditionalFormatting>
  <conditionalFormatting sqref="BD56">
    <cfRule type="cellIs" dxfId="22972" priority="159478" stopIfTrue="1" operator="lessThan">
      <formula>0.5</formula>
    </cfRule>
  </conditionalFormatting>
  <conditionalFormatting sqref="BD56">
    <cfRule type="cellIs" dxfId="22971" priority="159479" stopIfTrue="1" operator="greaterThanOrEqual">
      <formula>0.5</formula>
    </cfRule>
  </conditionalFormatting>
  <conditionalFormatting sqref="BD57">
    <cfRule type="cellIs" dxfId="22970" priority="159480" stopIfTrue="1" operator="equal">
      <formula>-1</formula>
    </cfRule>
  </conditionalFormatting>
  <conditionalFormatting sqref="BD57">
    <cfRule type="cellIs" dxfId="22969" priority="159481" stopIfTrue="1" operator="lessThan">
      <formula>0.5</formula>
    </cfRule>
  </conditionalFormatting>
  <conditionalFormatting sqref="BD57">
    <cfRule type="cellIs" dxfId="22968" priority="159482" stopIfTrue="1" operator="greaterThanOrEqual">
      <formula>0.5</formula>
    </cfRule>
  </conditionalFormatting>
  <conditionalFormatting sqref="BD58">
    <cfRule type="cellIs" dxfId="22967" priority="159483" stopIfTrue="1" operator="equal">
      <formula>-1</formula>
    </cfRule>
  </conditionalFormatting>
  <conditionalFormatting sqref="BD58">
    <cfRule type="cellIs" dxfId="22966" priority="159484" stopIfTrue="1" operator="lessThan">
      <formula>0.5</formula>
    </cfRule>
  </conditionalFormatting>
  <conditionalFormatting sqref="BD58">
    <cfRule type="cellIs" dxfId="22965" priority="159485" stopIfTrue="1" operator="greaterThanOrEqual">
      <formula>0.5</formula>
    </cfRule>
  </conditionalFormatting>
  <conditionalFormatting sqref="BF39">
    <cfRule type="cellIs" dxfId="22964" priority="159486" stopIfTrue="1" operator="equal">
      <formula>-1</formula>
    </cfRule>
  </conditionalFormatting>
  <conditionalFormatting sqref="BF39">
    <cfRule type="cellIs" dxfId="22963" priority="159487" stopIfTrue="1" operator="lessThan">
      <formula>0.5</formula>
    </cfRule>
  </conditionalFormatting>
  <conditionalFormatting sqref="BF39">
    <cfRule type="cellIs" dxfId="22962" priority="159488" stopIfTrue="1" operator="greaterThanOrEqual">
      <formula>0.5</formula>
    </cfRule>
  </conditionalFormatting>
  <conditionalFormatting sqref="BF40">
    <cfRule type="cellIs" dxfId="22961" priority="159489" stopIfTrue="1" operator="equal">
      <formula>-1</formula>
    </cfRule>
  </conditionalFormatting>
  <conditionalFormatting sqref="BF40">
    <cfRule type="cellIs" dxfId="22960" priority="159490" stopIfTrue="1" operator="lessThan">
      <formula>0.5</formula>
    </cfRule>
  </conditionalFormatting>
  <conditionalFormatting sqref="BF40">
    <cfRule type="cellIs" dxfId="22959" priority="159491" stopIfTrue="1" operator="greaterThanOrEqual">
      <formula>0.5</formula>
    </cfRule>
  </conditionalFormatting>
  <conditionalFormatting sqref="BF41">
    <cfRule type="cellIs" dxfId="22958" priority="159492" stopIfTrue="1" operator="equal">
      <formula>-1</formula>
    </cfRule>
  </conditionalFormatting>
  <conditionalFormatting sqref="BF41">
    <cfRule type="cellIs" dxfId="22957" priority="159493" stopIfTrue="1" operator="lessThan">
      <formula>0.5</formula>
    </cfRule>
  </conditionalFormatting>
  <conditionalFormatting sqref="BF41">
    <cfRule type="cellIs" dxfId="22956" priority="159494" stopIfTrue="1" operator="greaterThanOrEqual">
      <formula>0.5</formula>
    </cfRule>
  </conditionalFormatting>
  <conditionalFormatting sqref="BF42">
    <cfRule type="cellIs" dxfId="22955" priority="159495" stopIfTrue="1" operator="equal">
      <formula>-1</formula>
    </cfRule>
  </conditionalFormatting>
  <conditionalFormatting sqref="BF42">
    <cfRule type="cellIs" dxfId="22954" priority="159496" stopIfTrue="1" operator="lessThan">
      <formula>0.5</formula>
    </cfRule>
  </conditionalFormatting>
  <conditionalFormatting sqref="BF42">
    <cfRule type="cellIs" dxfId="22953" priority="159497" stopIfTrue="1" operator="greaterThanOrEqual">
      <formula>0.5</formula>
    </cfRule>
  </conditionalFormatting>
  <conditionalFormatting sqref="BF43">
    <cfRule type="cellIs" dxfId="22952" priority="159498" stopIfTrue="1" operator="equal">
      <formula>-1</formula>
    </cfRule>
  </conditionalFormatting>
  <conditionalFormatting sqref="BF43">
    <cfRule type="cellIs" dxfId="22951" priority="159499" stopIfTrue="1" operator="lessThan">
      <formula>0.5</formula>
    </cfRule>
  </conditionalFormatting>
  <conditionalFormatting sqref="BF43">
    <cfRule type="cellIs" dxfId="22950" priority="159500" stopIfTrue="1" operator="greaterThanOrEqual">
      <formula>0.5</formula>
    </cfRule>
  </conditionalFormatting>
  <conditionalFormatting sqref="BF44">
    <cfRule type="cellIs" dxfId="22949" priority="159501" stopIfTrue="1" operator="equal">
      <formula>-1</formula>
    </cfRule>
  </conditionalFormatting>
  <conditionalFormatting sqref="BF44">
    <cfRule type="cellIs" dxfId="22948" priority="159502" stopIfTrue="1" operator="lessThan">
      <formula>0.5</formula>
    </cfRule>
  </conditionalFormatting>
  <conditionalFormatting sqref="BF44">
    <cfRule type="cellIs" dxfId="22947" priority="159503" stopIfTrue="1" operator="greaterThanOrEqual">
      <formula>0.5</formula>
    </cfRule>
  </conditionalFormatting>
  <conditionalFormatting sqref="BF45">
    <cfRule type="cellIs" dxfId="22946" priority="159504" stopIfTrue="1" operator="equal">
      <formula>-1</formula>
    </cfRule>
  </conditionalFormatting>
  <conditionalFormatting sqref="BF45">
    <cfRule type="cellIs" dxfId="22945" priority="159505" stopIfTrue="1" operator="lessThan">
      <formula>0.5</formula>
    </cfRule>
  </conditionalFormatting>
  <conditionalFormatting sqref="BF45">
    <cfRule type="cellIs" dxfId="22944" priority="159506" stopIfTrue="1" operator="greaterThanOrEqual">
      <formula>0.5</formula>
    </cfRule>
  </conditionalFormatting>
  <conditionalFormatting sqref="BF46">
    <cfRule type="cellIs" dxfId="22943" priority="159507" stopIfTrue="1" operator="equal">
      <formula>-1</formula>
    </cfRule>
  </conditionalFormatting>
  <conditionalFormatting sqref="BF46">
    <cfRule type="cellIs" dxfId="22942" priority="159508" stopIfTrue="1" operator="lessThan">
      <formula>0.5</formula>
    </cfRule>
  </conditionalFormatting>
  <conditionalFormatting sqref="BF46">
    <cfRule type="cellIs" dxfId="22941" priority="159509" stopIfTrue="1" operator="greaterThanOrEqual">
      <formula>0.5</formula>
    </cfRule>
  </conditionalFormatting>
  <conditionalFormatting sqref="BF47">
    <cfRule type="cellIs" dxfId="22940" priority="159510" stopIfTrue="1" operator="equal">
      <formula>-1</formula>
    </cfRule>
  </conditionalFormatting>
  <conditionalFormatting sqref="BF47">
    <cfRule type="cellIs" dxfId="22939" priority="159511" stopIfTrue="1" operator="lessThan">
      <formula>0.5</formula>
    </cfRule>
  </conditionalFormatting>
  <conditionalFormatting sqref="BF47">
    <cfRule type="cellIs" dxfId="22938" priority="159512" stopIfTrue="1" operator="greaterThanOrEqual">
      <formula>0.5</formula>
    </cfRule>
  </conditionalFormatting>
  <conditionalFormatting sqref="BF48">
    <cfRule type="cellIs" dxfId="22937" priority="159513" stopIfTrue="1" operator="equal">
      <formula>-1</formula>
    </cfRule>
  </conditionalFormatting>
  <conditionalFormatting sqref="BF48">
    <cfRule type="cellIs" dxfId="22936" priority="159514" stopIfTrue="1" operator="lessThan">
      <formula>0.5</formula>
    </cfRule>
  </conditionalFormatting>
  <conditionalFormatting sqref="BF48">
    <cfRule type="cellIs" dxfId="22935" priority="159515" stopIfTrue="1" operator="greaterThanOrEqual">
      <formula>0.5</formula>
    </cfRule>
  </conditionalFormatting>
  <conditionalFormatting sqref="BF49">
    <cfRule type="cellIs" dxfId="22934" priority="159516" stopIfTrue="1" operator="equal">
      <formula>-1</formula>
    </cfRule>
  </conditionalFormatting>
  <conditionalFormatting sqref="BF49">
    <cfRule type="cellIs" dxfId="22933" priority="159517" stopIfTrue="1" operator="lessThan">
      <formula>0.5</formula>
    </cfRule>
  </conditionalFormatting>
  <conditionalFormatting sqref="BF49">
    <cfRule type="cellIs" dxfId="22932" priority="159518" stopIfTrue="1" operator="greaterThanOrEqual">
      <formula>0.5</formula>
    </cfRule>
  </conditionalFormatting>
  <conditionalFormatting sqref="BF50">
    <cfRule type="cellIs" dxfId="22931" priority="159519" stopIfTrue="1" operator="equal">
      <formula>-1</formula>
    </cfRule>
  </conditionalFormatting>
  <conditionalFormatting sqref="BF50">
    <cfRule type="cellIs" dxfId="22930" priority="159520" stopIfTrue="1" operator="lessThan">
      <formula>0.5</formula>
    </cfRule>
  </conditionalFormatting>
  <conditionalFormatting sqref="BF50">
    <cfRule type="cellIs" dxfId="22929" priority="159521" stopIfTrue="1" operator="greaterThanOrEqual">
      <formula>0.5</formula>
    </cfRule>
  </conditionalFormatting>
  <conditionalFormatting sqref="BF51">
    <cfRule type="cellIs" dxfId="22928" priority="159522" stopIfTrue="1" operator="equal">
      <formula>-1</formula>
    </cfRule>
  </conditionalFormatting>
  <conditionalFormatting sqref="BF51">
    <cfRule type="cellIs" dxfId="22927" priority="159523" stopIfTrue="1" operator="lessThan">
      <formula>0.5</formula>
    </cfRule>
  </conditionalFormatting>
  <conditionalFormatting sqref="BF51">
    <cfRule type="cellIs" dxfId="22926" priority="159524" stopIfTrue="1" operator="greaterThanOrEqual">
      <formula>0.5</formula>
    </cfRule>
  </conditionalFormatting>
  <conditionalFormatting sqref="BF52">
    <cfRule type="cellIs" dxfId="22925" priority="159525" stopIfTrue="1" operator="equal">
      <formula>-1</formula>
    </cfRule>
  </conditionalFormatting>
  <conditionalFormatting sqref="BF52">
    <cfRule type="cellIs" dxfId="22924" priority="159526" stopIfTrue="1" operator="lessThan">
      <formula>0.5</formula>
    </cfRule>
  </conditionalFormatting>
  <conditionalFormatting sqref="BF52">
    <cfRule type="cellIs" dxfId="22923" priority="159527" stopIfTrue="1" operator="greaterThanOrEqual">
      <formula>0.5</formula>
    </cfRule>
  </conditionalFormatting>
  <conditionalFormatting sqref="BF53">
    <cfRule type="cellIs" dxfId="22922" priority="159528" stopIfTrue="1" operator="equal">
      <formula>-1</formula>
    </cfRule>
  </conditionalFormatting>
  <conditionalFormatting sqref="BF53">
    <cfRule type="cellIs" dxfId="22921" priority="159529" stopIfTrue="1" operator="lessThan">
      <formula>0.5</formula>
    </cfRule>
  </conditionalFormatting>
  <conditionalFormatting sqref="BF53">
    <cfRule type="cellIs" dxfId="22920" priority="159530" stopIfTrue="1" operator="greaterThanOrEqual">
      <formula>0.5</formula>
    </cfRule>
  </conditionalFormatting>
  <conditionalFormatting sqref="BF54">
    <cfRule type="cellIs" dxfId="22919" priority="159531" stopIfTrue="1" operator="equal">
      <formula>-1</formula>
    </cfRule>
  </conditionalFormatting>
  <conditionalFormatting sqref="BF54">
    <cfRule type="cellIs" dxfId="22918" priority="159532" stopIfTrue="1" operator="lessThan">
      <formula>0.5</formula>
    </cfRule>
  </conditionalFormatting>
  <conditionalFormatting sqref="BF54">
    <cfRule type="cellIs" dxfId="22917" priority="159533" stopIfTrue="1" operator="greaterThanOrEqual">
      <formula>0.5</formula>
    </cfRule>
  </conditionalFormatting>
  <conditionalFormatting sqref="BF55">
    <cfRule type="cellIs" dxfId="22916" priority="159534" stopIfTrue="1" operator="equal">
      <formula>-1</formula>
    </cfRule>
  </conditionalFormatting>
  <conditionalFormatting sqref="BF55">
    <cfRule type="cellIs" dxfId="22915" priority="159535" stopIfTrue="1" operator="lessThan">
      <formula>0.5</formula>
    </cfRule>
  </conditionalFormatting>
  <conditionalFormatting sqref="BF55">
    <cfRule type="cellIs" dxfId="22914" priority="159536" stopIfTrue="1" operator="greaterThanOrEqual">
      <formula>0.5</formula>
    </cfRule>
  </conditionalFormatting>
  <conditionalFormatting sqref="BF56">
    <cfRule type="cellIs" dxfId="22913" priority="159537" stopIfTrue="1" operator="equal">
      <formula>-1</formula>
    </cfRule>
  </conditionalFormatting>
  <conditionalFormatting sqref="BF56">
    <cfRule type="cellIs" dxfId="22912" priority="159538" stopIfTrue="1" operator="lessThan">
      <formula>0.5</formula>
    </cfRule>
  </conditionalFormatting>
  <conditionalFormatting sqref="BF56">
    <cfRule type="cellIs" dxfId="22911" priority="159539" stopIfTrue="1" operator="greaterThanOrEqual">
      <formula>0.5</formula>
    </cfRule>
  </conditionalFormatting>
  <conditionalFormatting sqref="BF57">
    <cfRule type="cellIs" dxfId="22910" priority="159540" stopIfTrue="1" operator="equal">
      <formula>-1</formula>
    </cfRule>
  </conditionalFormatting>
  <conditionalFormatting sqref="BF57">
    <cfRule type="cellIs" dxfId="22909" priority="159541" stopIfTrue="1" operator="lessThan">
      <formula>0.5</formula>
    </cfRule>
  </conditionalFormatting>
  <conditionalFormatting sqref="BF57">
    <cfRule type="cellIs" dxfId="22908" priority="159542" stopIfTrue="1" operator="greaterThanOrEqual">
      <formula>0.5</formula>
    </cfRule>
  </conditionalFormatting>
  <conditionalFormatting sqref="BF58">
    <cfRule type="cellIs" dxfId="22907" priority="159543" stopIfTrue="1" operator="equal">
      <formula>-1</formula>
    </cfRule>
  </conditionalFormatting>
  <conditionalFormatting sqref="BF58">
    <cfRule type="cellIs" dxfId="22906" priority="159544" stopIfTrue="1" operator="lessThan">
      <formula>0.5</formula>
    </cfRule>
  </conditionalFormatting>
  <conditionalFormatting sqref="BF58">
    <cfRule type="cellIs" dxfId="22905" priority="159545" stopIfTrue="1" operator="greaterThanOrEqual">
      <formula>0.5</formula>
    </cfRule>
  </conditionalFormatting>
  <conditionalFormatting sqref="BH39">
    <cfRule type="cellIs" dxfId="22904" priority="159546" stopIfTrue="1" operator="equal">
      <formula>-1</formula>
    </cfRule>
  </conditionalFormatting>
  <conditionalFormatting sqref="BH39">
    <cfRule type="cellIs" dxfId="22903" priority="159547" stopIfTrue="1" operator="lessThan">
      <formula>0.5</formula>
    </cfRule>
  </conditionalFormatting>
  <conditionalFormatting sqref="BH39">
    <cfRule type="cellIs" dxfId="22902" priority="159548" stopIfTrue="1" operator="greaterThanOrEqual">
      <formula>0.5</formula>
    </cfRule>
  </conditionalFormatting>
  <conditionalFormatting sqref="BH40">
    <cfRule type="cellIs" dxfId="22901" priority="159549" stopIfTrue="1" operator="equal">
      <formula>-1</formula>
    </cfRule>
  </conditionalFormatting>
  <conditionalFormatting sqref="BH40">
    <cfRule type="cellIs" dxfId="22900" priority="159550" stopIfTrue="1" operator="lessThan">
      <formula>0.5</formula>
    </cfRule>
  </conditionalFormatting>
  <conditionalFormatting sqref="BH40">
    <cfRule type="cellIs" dxfId="22899" priority="159551" stopIfTrue="1" operator="greaterThanOrEqual">
      <formula>0.5</formula>
    </cfRule>
  </conditionalFormatting>
  <conditionalFormatting sqref="BH41">
    <cfRule type="cellIs" dxfId="22898" priority="159552" stopIfTrue="1" operator="equal">
      <formula>-1</formula>
    </cfRule>
  </conditionalFormatting>
  <conditionalFormatting sqref="BH41">
    <cfRule type="cellIs" dxfId="22897" priority="159553" stopIfTrue="1" operator="lessThan">
      <formula>0.5</formula>
    </cfRule>
  </conditionalFormatting>
  <conditionalFormatting sqref="BH41">
    <cfRule type="cellIs" dxfId="22896" priority="159554" stopIfTrue="1" operator="greaterThanOrEqual">
      <formula>0.5</formula>
    </cfRule>
  </conditionalFormatting>
  <conditionalFormatting sqref="BH42">
    <cfRule type="cellIs" dxfId="22895" priority="159555" stopIfTrue="1" operator="equal">
      <formula>-1</formula>
    </cfRule>
  </conditionalFormatting>
  <conditionalFormatting sqref="BH42">
    <cfRule type="cellIs" dxfId="22894" priority="159556" stopIfTrue="1" operator="lessThan">
      <formula>0.5</formula>
    </cfRule>
  </conditionalFormatting>
  <conditionalFormatting sqref="BH42">
    <cfRule type="cellIs" dxfId="22893" priority="159557" stopIfTrue="1" operator="greaterThanOrEqual">
      <formula>0.5</formula>
    </cfRule>
  </conditionalFormatting>
  <conditionalFormatting sqref="BH43">
    <cfRule type="cellIs" dxfId="22892" priority="159558" stopIfTrue="1" operator="equal">
      <formula>-1</formula>
    </cfRule>
  </conditionalFormatting>
  <conditionalFormatting sqref="BH43">
    <cfRule type="cellIs" dxfId="22891" priority="159559" stopIfTrue="1" operator="lessThan">
      <formula>0.5</formula>
    </cfRule>
  </conditionalFormatting>
  <conditionalFormatting sqref="BH43">
    <cfRule type="cellIs" dxfId="22890" priority="159560" stopIfTrue="1" operator="greaterThanOrEqual">
      <formula>0.5</formula>
    </cfRule>
  </conditionalFormatting>
  <conditionalFormatting sqref="BH44">
    <cfRule type="cellIs" dxfId="22889" priority="159561" stopIfTrue="1" operator="equal">
      <formula>-1</formula>
    </cfRule>
  </conditionalFormatting>
  <conditionalFormatting sqref="BH44">
    <cfRule type="cellIs" dxfId="22888" priority="159562" stopIfTrue="1" operator="lessThan">
      <formula>0.5</formula>
    </cfRule>
  </conditionalFormatting>
  <conditionalFormatting sqref="BH44">
    <cfRule type="cellIs" dxfId="22887" priority="159563" stopIfTrue="1" operator="greaterThanOrEqual">
      <formula>0.5</formula>
    </cfRule>
  </conditionalFormatting>
  <conditionalFormatting sqref="BH45">
    <cfRule type="cellIs" dxfId="22886" priority="159564" stopIfTrue="1" operator="equal">
      <formula>-1</formula>
    </cfRule>
  </conditionalFormatting>
  <conditionalFormatting sqref="BH45">
    <cfRule type="cellIs" dxfId="22885" priority="159565" stopIfTrue="1" operator="lessThan">
      <formula>0.5</formula>
    </cfRule>
  </conditionalFormatting>
  <conditionalFormatting sqref="BH45">
    <cfRule type="cellIs" dxfId="22884" priority="159566" stopIfTrue="1" operator="greaterThanOrEqual">
      <formula>0.5</formula>
    </cfRule>
  </conditionalFormatting>
  <conditionalFormatting sqref="BH46">
    <cfRule type="cellIs" dxfId="22883" priority="159567" stopIfTrue="1" operator="equal">
      <formula>-1</formula>
    </cfRule>
  </conditionalFormatting>
  <conditionalFormatting sqref="BH46">
    <cfRule type="cellIs" dxfId="22882" priority="159568" stopIfTrue="1" operator="lessThan">
      <formula>0.5</formula>
    </cfRule>
  </conditionalFormatting>
  <conditionalFormatting sqref="BH46">
    <cfRule type="cellIs" dxfId="22881" priority="159569" stopIfTrue="1" operator="greaterThanOrEqual">
      <formula>0.5</formula>
    </cfRule>
  </conditionalFormatting>
  <conditionalFormatting sqref="BH47">
    <cfRule type="cellIs" dxfId="22880" priority="159570" stopIfTrue="1" operator="equal">
      <formula>-1</formula>
    </cfRule>
  </conditionalFormatting>
  <conditionalFormatting sqref="BH47">
    <cfRule type="cellIs" dxfId="22879" priority="159571" stopIfTrue="1" operator="lessThan">
      <formula>0.5</formula>
    </cfRule>
  </conditionalFormatting>
  <conditionalFormatting sqref="BH47">
    <cfRule type="cellIs" dxfId="22878" priority="159572" stopIfTrue="1" operator="greaterThanOrEqual">
      <formula>0.5</formula>
    </cfRule>
  </conditionalFormatting>
  <conditionalFormatting sqref="BH48">
    <cfRule type="cellIs" dxfId="22877" priority="159573" stopIfTrue="1" operator="equal">
      <formula>-1</formula>
    </cfRule>
  </conditionalFormatting>
  <conditionalFormatting sqref="BH48">
    <cfRule type="cellIs" dxfId="22876" priority="159574" stopIfTrue="1" operator="lessThan">
      <formula>0.5</formula>
    </cfRule>
  </conditionalFormatting>
  <conditionalFormatting sqref="BH48">
    <cfRule type="cellIs" dxfId="22875" priority="159575" stopIfTrue="1" operator="greaterThanOrEqual">
      <formula>0.5</formula>
    </cfRule>
  </conditionalFormatting>
  <conditionalFormatting sqref="BH49">
    <cfRule type="cellIs" dxfId="22874" priority="159576" stopIfTrue="1" operator="equal">
      <formula>-1</formula>
    </cfRule>
  </conditionalFormatting>
  <conditionalFormatting sqref="BH49">
    <cfRule type="cellIs" dxfId="22873" priority="159577" stopIfTrue="1" operator="lessThan">
      <formula>0.5</formula>
    </cfRule>
  </conditionalFormatting>
  <conditionalFormatting sqref="BH49">
    <cfRule type="cellIs" dxfId="22872" priority="159578" stopIfTrue="1" operator="greaterThanOrEqual">
      <formula>0.5</formula>
    </cfRule>
  </conditionalFormatting>
  <conditionalFormatting sqref="BH50">
    <cfRule type="cellIs" dxfId="22871" priority="159579" stopIfTrue="1" operator="equal">
      <formula>-1</formula>
    </cfRule>
  </conditionalFormatting>
  <conditionalFormatting sqref="BH50">
    <cfRule type="cellIs" dxfId="22870" priority="159580" stopIfTrue="1" operator="lessThan">
      <formula>0.5</formula>
    </cfRule>
  </conditionalFormatting>
  <conditionalFormatting sqref="BH50">
    <cfRule type="cellIs" dxfId="22869" priority="159581" stopIfTrue="1" operator="greaterThanOrEqual">
      <formula>0.5</formula>
    </cfRule>
  </conditionalFormatting>
  <conditionalFormatting sqref="BH51">
    <cfRule type="cellIs" dxfId="22868" priority="159582" stopIfTrue="1" operator="equal">
      <formula>-1</formula>
    </cfRule>
  </conditionalFormatting>
  <conditionalFormatting sqref="BH51">
    <cfRule type="cellIs" dxfId="22867" priority="159583" stopIfTrue="1" operator="lessThan">
      <formula>0.5</formula>
    </cfRule>
  </conditionalFormatting>
  <conditionalFormatting sqref="BH51">
    <cfRule type="cellIs" dxfId="22866" priority="159584" stopIfTrue="1" operator="greaterThanOrEqual">
      <formula>0.5</formula>
    </cfRule>
  </conditionalFormatting>
  <conditionalFormatting sqref="BH52">
    <cfRule type="cellIs" dxfId="22865" priority="159585" stopIfTrue="1" operator="equal">
      <formula>-1</formula>
    </cfRule>
  </conditionalFormatting>
  <conditionalFormatting sqref="BH52">
    <cfRule type="cellIs" dxfId="22864" priority="159586" stopIfTrue="1" operator="lessThan">
      <formula>0.5</formula>
    </cfRule>
  </conditionalFormatting>
  <conditionalFormatting sqref="BH52">
    <cfRule type="cellIs" dxfId="22863" priority="159587" stopIfTrue="1" operator="greaterThanOrEqual">
      <formula>0.5</formula>
    </cfRule>
  </conditionalFormatting>
  <conditionalFormatting sqref="BH53">
    <cfRule type="cellIs" dxfId="22862" priority="159588" stopIfTrue="1" operator="equal">
      <formula>-1</formula>
    </cfRule>
  </conditionalFormatting>
  <conditionalFormatting sqref="BH53">
    <cfRule type="cellIs" dxfId="22861" priority="159589" stopIfTrue="1" operator="lessThan">
      <formula>0.5</formula>
    </cfRule>
  </conditionalFormatting>
  <conditionalFormatting sqref="BH53">
    <cfRule type="cellIs" dxfId="22860" priority="159590" stopIfTrue="1" operator="greaterThanOrEqual">
      <formula>0.5</formula>
    </cfRule>
  </conditionalFormatting>
  <conditionalFormatting sqref="BH54">
    <cfRule type="cellIs" dxfId="22859" priority="159591" stopIfTrue="1" operator="equal">
      <formula>-1</formula>
    </cfRule>
  </conditionalFormatting>
  <conditionalFormatting sqref="BH54">
    <cfRule type="cellIs" dxfId="22858" priority="159592" stopIfTrue="1" operator="lessThan">
      <formula>0.5</formula>
    </cfRule>
  </conditionalFormatting>
  <conditionalFormatting sqref="BH54">
    <cfRule type="cellIs" dxfId="22857" priority="159593" stopIfTrue="1" operator="greaterThanOrEqual">
      <formula>0.5</formula>
    </cfRule>
  </conditionalFormatting>
  <conditionalFormatting sqref="BH55">
    <cfRule type="cellIs" dxfId="22856" priority="159594" stopIfTrue="1" operator="equal">
      <formula>-1</formula>
    </cfRule>
  </conditionalFormatting>
  <conditionalFormatting sqref="BH55">
    <cfRule type="cellIs" dxfId="22855" priority="159595" stopIfTrue="1" operator="lessThan">
      <formula>0.5</formula>
    </cfRule>
  </conditionalFormatting>
  <conditionalFormatting sqref="BH55">
    <cfRule type="cellIs" dxfId="22854" priority="159596" stopIfTrue="1" operator="greaterThanOrEqual">
      <formula>0.5</formula>
    </cfRule>
  </conditionalFormatting>
  <conditionalFormatting sqref="BH56">
    <cfRule type="cellIs" dxfId="22853" priority="159597" stopIfTrue="1" operator="equal">
      <formula>-1</formula>
    </cfRule>
  </conditionalFormatting>
  <conditionalFormatting sqref="BH56">
    <cfRule type="cellIs" dxfId="22852" priority="159598" stopIfTrue="1" operator="lessThan">
      <formula>0.5</formula>
    </cfRule>
  </conditionalFormatting>
  <conditionalFormatting sqref="BH56">
    <cfRule type="cellIs" dxfId="22851" priority="159599" stopIfTrue="1" operator="greaterThanOrEqual">
      <formula>0.5</formula>
    </cfRule>
  </conditionalFormatting>
  <conditionalFormatting sqref="BH57">
    <cfRule type="cellIs" dxfId="22850" priority="159600" stopIfTrue="1" operator="equal">
      <formula>-1</formula>
    </cfRule>
  </conditionalFormatting>
  <conditionalFormatting sqref="BH57">
    <cfRule type="cellIs" dxfId="22849" priority="159601" stopIfTrue="1" operator="lessThan">
      <formula>0.5</formula>
    </cfRule>
  </conditionalFormatting>
  <conditionalFormatting sqref="BH57">
    <cfRule type="cellIs" dxfId="22848" priority="159602" stopIfTrue="1" operator="greaterThanOrEqual">
      <formula>0.5</formula>
    </cfRule>
  </conditionalFormatting>
  <conditionalFormatting sqref="BH58">
    <cfRule type="cellIs" dxfId="22847" priority="159603" stopIfTrue="1" operator="equal">
      <formula>-1</formula>
    </cfRule>
  </conditionalFormatting>
  <conditionalFormatting sqref="BH58">
    <cfRule type="cellIs" dxfId="22846" priority="159604" stopIfTrue="1" operator="lessThan">
      <formula>0.5</formula>
    </cfRule>
  </conditionalFormatting>
  <conditionalFormatting sqref="BH58">
    <cfRule type="cellIs" dxfId="22845" priority="159605" stopIfTrue="1" operator="greaterThanOrEqual">
      <formula>0.5</formula>
    </cfRule>
  </conditionalFormatting>
  <conditionalFormatting sqref="BJ39">
    <cfRule type="cellIs" dxfId="22844" priority="159606" stopIfTrue="1" operator="equal">
      <formula>-1</formula>
    </cfRule>
  </conditionalFormatting>
  <conditionalFormatting sqref="BJ39">
    <cfRule type="cellIs" dxfId="22843" priority="159607" stopIfTrue="1" operator="lessThan">
      <formula>0.5</formula>
    </cfRule>
  </conditionalFormatting>
  <conditionalFormatting sqref="BJ39">
    <cfRule type="cellIs" dxfId="22842" priority="159608" stopIfTrue="1" operator="greaterThanOrEqual">
      <formula>0.5</formula>
    </cfRule>
  </conditionalFormatting>
  <conditionalFormatting sqref="BJ40">
    <cfRule type="cellIs" dxfId="22841" priority="159609" stopIfTrue="1" operator="equal">
      <formula>-1</formula>
    </cfRule>
  </conditionalFormatting>
  <conditionalFormatting sqref="BJ40">
    <cfRule type="cellIs" dxfId="22840" priority="159610" stopIfTrue="1" operator="lessThan">
      <formula>0.5</formula>
    </cfRule>
  </conditionalFormatting>
  <conditionalFormatting sqref="BJ40">
    <cfRule type="cellIs" dxfId="22839" priority="159611" stopIfTrue="1" operator="greaterThanOrEqual">
      <formula>0.5</formula>
    </cfRule>
  </conditionalFormatting>
  <conditionalFormatting sqref="BJ41">
    <cfRule type="cellIs" dxfId="22838" priority="159612" stopIfTrue="1" operator="equal">
      <formula>-1</formula>
    </cfRule>
  </conditionalFormatting>
  <conditionalFormatting sqref="BJ41">
    <cfRule type="cellIs" dxfId="22837" priority="159613" stopIfTrue="1" operator="lessThan">
      <formula>0.5</formula>
    </cfRule>
  </conditionalFormatting>
  <conditionalFormatting sqref="BJ41">
    <cfRule type="cellIs" dxfId="22836" priority="159614" stopIfTrue="1" operator="greaterThanOrEqual">
      <formula>0.5</formula>
    </cfRule>
  </conditionalFormatting>
  <conditionalFormatting sqref="BJ42">
    <cfRule type="cellIs" dxfId="22835" priority="159615" stopIfTrue="1" operator="equal">
      <formula>-1</formula>
    </cfRule>
  </conditionalFormatting>
  <conditionalFormatting sqref="BJ42">
    <cfRule type="cellIs" dxfId="22834" priority="159616" stopIfTrue="1" operator="lessThan">
      <formula>0.5</formula>
    </cfRule>
  </conditionalFormatting>
  <conditionalFormatting sqref="BJ42">
    <cfRule type="cellIs" dxfId="22833" priority="159617" stopIfTrue="1" operator="greaterThanOrEqual">
      <formula>0.5</formula>
    </cfRule>
  </conditionalFormatting>
  <conditionalFormatting sqref="BJ43">
    <cfRule type="cellIs" dxfId="22832" priority="159618" stopIfTrue="1" operator="equal">
      <formula>-1</formula>
    </cfRule>
  </conditionalFormatting>
  <conditionalFormatting sqref="BJ43">
    <cfRule type="cellIs" dxfId="22831" priority="159619" stopIfTrue="1" operator="lessThan">
      <formula>0.5</formula>
    </cfRule>
  </conditionalFormatting>
  <conditionalFormatting sqref="BJ43">
    <cfRule type="cellIs" dxfId="22830" priority="159620" stopIfTrue="1" operator="greaterThanOrEqual">
      <formula>0.5</formula>
    </cfRule>
  </conditionalFormatting>
  <conditionalFormatting sqref="BJ44">
    <cfRule type="cellIs" dxfId="22829" priority="159621" stopIfTrue="1" operator="equal">
      <formula>-1</formula>
    </cfRule>
  </conditionalFormatting>
  <conditionalFormatting sqref="BJ44">
    <cfRule type="cellIs" dxfId="22828" priority="159622" stopIfTrue="1" operator="lessThan">
      <formula>0.5</formula>
    </cfRule>
  </conditionalFormatting>
  <conditionalFormatting sqref="BJ44">
    <cfRule type="cellIs" dxfId="22827" priority="159623" stopIfTrue="1" operator="greaterThanOrEqual">
      <formula>0.5</formula>
    </cfRule>
  </conditionalFormatting>
  <conditionalFormatting sqref="BJ45">
    <cfRule type="cellIs" dxfId="22826" priority="159624" stopIfTrue="1" operator="equal">
      <formula>-1</formula>
    </cfRule>
  </conditionalFormatting>
  <conditionalFormatting sqref="BJ45">
    <cfRule type="cellIs" dxfId="22825" priority="159625" stopIfTrue="1" operator="lessThan">
      <formula>0.5</formula>
    </cfRule>
  </conditionalFormatting>
  <conditionalFormatting sqref="BJ45">
    <cfRule type="cellIs" dxfId="22824" priority="159626" stopIfTrue="1" operator="greaterThanOrEqual">
      <formula>0.5</formula>
    </cfRule>
  </conditionalFormatting>
  <conditionalFormatting sqref="BJ46">
    <cfRule type="cellIs" dxfId="22823" priority="159627" stopIfTrue="1" operator="equal">
      <formula>-1</formula>
    </cfRule>
  </conditionalFormatting>
  <conditionalFormatting sqref="BJ46">
    <cfRule type="cellIs" dxfId="22822" priority="159628" stopIfTrue="1" operator="lessThan">
      <formula>0.5</formula>
    </cfRule>
  </conditionalFormatting>
  <conditionalFormatting sqref="BJ46">
    <cfRule type="cellIs" dxfId="22821" priority="159629" stopIfTrue="1" operator="greaterThanOrEqual">
      <formula>0.5</formula>
    </cfRule>
  </conditionalFormatting>
  <conditionalFormatting sqref="BJ47">
    <cfRule type="cellIs" dxfId="22820" priority="159630" stopIfTrue="1" operator="equal">
      <formula>-1</formula>
    </cfRule>
  </conditionalFormatting>
  <conditionalFormatting sqref="BJ47">
    <cfRule type="cellIs" dxfId="22819" priority="159631" stopIfTrue="1" operator="lessThan">
      <formula>0.5</formula>
    </cfRule>
  </conditionalFormatting>
  <conditionalFormatting sqref="BJ47">
    <cfRule type="cellIs" dxfId="22818" priority="159632" stopIfTrue="1" operator="greaterThanOrEqual">
      <formula>0.5</formula>
    </cfRule>
  </conditionalFormatting>
  <conditionalFormatting sqref="BJ48">
    <cfRule type="cellIs" dxfId="22817" priority="159633" stopIfTrue="1" operator="equal">
      <formula>-1</formula>
    </cfRule>
  </conditionalFormatting>
  <conditionalFormatting sqref="BJ48">
    <cfRule type="cellIs" dxfId="22816" priority="159634" stopIfTrue="1" operator="lessThan">
      <formula>0.5</formula>
    </cfRule>
  </conditionalFormatting>
  <conditionalFormatting sqref="BJ48">
    <cfRule type="cellIs" dxfId="22815" priority="159635" stopIfTrue="1" operator="greaterThanOrEqual">
      <formula>0.5</formula>
    </cfRule>
  </conditionalFormatting>
  <conditionalFormatting sqref="BJ49">
    <cfRule type="cellIs" dxfId="22814" priority="159636" stopIfTrue="1" operator="equal">
      <formula>-1</formula>
    </cfRule>
  </conditionalFormatting>
  <conditionalFormatting sqref="BJ49">
    <cfRule type="cellIs" dxfId="22813" priority="159637" stopIfTrue="1" operator="lessThan">
      <formula>0.5</formula>
    </cfRule>
  </conditionalFormatting>
  <conditionalFormatting sqref="BJ49">
    <cfRule type="cellIs" dxfId="22812" priority="159638" stopIfTrue="1" operator="greaterThanOrEqual">
      <formula>0.5</formula>
    </cfRule>
  </conditionalFormatting>
  <conditionalFormatting sqref="BJ50">
    <cfRule type="cellIs" dxfId="22811" priority="159639" stopIfTrue="1" operator="equal">
      <formula>-1</formula>
    </cfRule>
  </conditionalFormatting>
  <conditionalFormatting sqref="BJ50">
    <cfRule type="cellIs" dxfId="22810" priority="159640" stopIfTrue="1" operator="lessThan">
      <formula>0.5</formula>
    </cfRule>
  </conditionalFormatting>
  <conditionalFormatting sqref="BJ50">
    <cfRule type="cellIs" dxfId="22809" priority="159641" stopIfTrue="1" operator="greaterThanOrEqual">
      <formula>0.5</formula>
    </cfRule>
  </conditionalFormatting>
  <conditionalFormatting sqref="BJ51">
    <cfRule type="cellIs" dxfId="22808" priority="159642" stopIfTrue="1" operator="equal">
      <formula>-1</formula>
    </cfRule>
  </conditionalFormatting>
  <conditionalFormatting sqref="BJ51">
    <cfRule type="cellIs" dxfId="22807" priority="159643" stopIfTrue="1" operator="lessThan">
      <formula>0.5</formula>
    </cfRule>
  </conditionalFormatting>
  <conditionalFormatting sqref="BJ51">
    <cfRule type="cellIs" dxfId="22806" priority="159644" stopIfTrue="1" operator="greaterThanOrEqual">
      <formula>0.5</formula>
    </cfRule>
  </conditionalFormatting>
  <conditionalFormatting sqref="BJ52">
    <cfRule type="cellIs" dxfId="22805" priority="159645" stopIfTrue="1" operator="equal">
      <formula>-1</formula>
    </cfRule>
  </conditionalFormatting>
  <conditionalFormatting sqref="BJ52">
    <cfRule type="cellIs" dxfId="22804" priority="159646" stopIfTrue="1" operator="lessThan">
      <formula>0.5</formula>
    </cfRule>
  </conditionalFormatting>
  <conditionalFormatting sqref="BJ52">
    <cfRule type="cellIs" dxfId="22803" priority="159647" stopIfTrue="1" operator="greaterThanOrEqual">
      <formula>0.5</formula>
    </cfRule>
  </conditionalFormatting>
  <conditionalFormatting sqref="BJ53">
    <cfRule type="cellIs" dxfId="22802" priority="159648" stopIfTrue="1" operator="equal">
      <formula>-1</formula>
    </cfRule>
  </conditionalFormatting>
  <conditionalFormatting sqref="BJ53">
    <cfRule type="cellIs" dxfId="22801" priority="159649" stopIfTrue="1" operator="lessThan">
      <formula>0.5</formula>
    </cfRule>
  </conditionalFormatting>
  <conditionalFormatting sqref="BJ53">
    <cfRule type="cellIs" dxfId="22800" priority="159650" stopIfTrue="1" operator="greaterThanOrEqual">
      <formula>0.5</formula>
    </cfRule>
  </conditionalFormatting>
  <conditionalFormatting sqref="BJ54">
    <cfRule type="cellIs" dxfId="22799" priority="159651" stopIfTrue="1" operator="equal">
      <formula>-1</formula>
    </cfRule>
  </conditionalFormatting>
  <conditionalFormatting sqref="BJ54">
    <cfRule type="cellIs" dxfId="22798" priority="159652" stopIfTrue="1" operator="lessThan">
      <formula>0.5</formula>
    </cfRule>
  </conditionalFormatting>
  <conditionalFormatting sqref="BJ54">
    <cfRule type="cellIs" dxfId="22797" priority="159653" stopIfTrue="1" operator="greaterThanOrEqual">
      <formula>0.5</formula>
    </cfRule>
  </conditionalFormatting>
  <conditionalFormatting sqref="BJ55">
    <cfRule type="cellIs" dxfId="22796" priority="159654" stopIfTrue="1" operator="equal">
      <formula>-1</formula>
    </cfRule>
  </conditionalFormatting>
  <conditionalFormatting sqref="BJ55">
    <cfRule type="cellIs" dxfId="22795" priority="159655" stopIfTrue="1" operator="lessThan">
      <formula>0.5</formula>
    </cfRule>
  </conditionalFormatting>
  <conditionalFormatting sqref="BJ55">
    <cfRule type="cellIs" dxfId="22794" priority="159656" stopIfTrue="1" operator="greaterThanOrEqual">
      <formula>0.5</formula>
    </cfRule>
  </conditionalFormatting>
  <conditionalFormatting sqref="BJ56">
    <cfRule type="cellIs" dxfId="22793" priority="159657" stopIfTrue="1" operator="equal">
      <formula>-1</formula>
    </cfRule>
  </conditionalFormatting>
  <conditionalFormatting sqref="BJ56">
    <cfRule type="cellIs" dxfId="22792" priority="159658" stopIfTrue="1" operator="lessThan">
      <formula>0.5</formula>
    </cfRule>
  </conditionalFormatting>
  <conditionalFormatting sqref="BJ56">
    <cfRule type="cellIs" dxfId="22791" priority="159659" stopIfTrue="1" operator="greaterThanOrEqual">
      <formula>0.5</formula>
    </cfRule>
  </conditionalFormatting>
  <conditionalFormatting sqref="BJ57">
    <cfRule type="cellIs" dxfId="22790" priority="159660" stopIfTrue="1" operator="equal">
      <formula>-1</formula>
    </cfRule>
  </conditionalFormatting>
  <conditionalFormatting sqref="BJ57">
    <cfRule type="cellIs" dxfId="22789" priority="159661" stopIfTrue="1" operator="lessThan">
      <formula>0.5</formula>
    </cfRule>
  </conditionalFormatting>
  <conditionalFormatting sqref="BJ57">
    <cfRule type="cellIs" dxfId="22788" priority="159662" stopIfTrue="1" operator="greaterThanOrEqual">
      <formula>0.5</formula>
    </cfRule>
  </conditionalFormatting>
  <conditionalFormatting sqref="BJ58">
    <cfRule type="cellIs" dxfId="22787" priority="159663" stopIfTrue="1" operator="equal">
      <formula>-1</formula>
    </cfRule>
  </conditionalFormatting>
  <conditionalFormatting sqref="BJ58">
    <cfRule type="cellIs" dxfId="22786" priority="159664" stopIfTrue="1" operator="lessThan">
      <formula>0.5</formula>
    </cfRule>
  </conditionalFormatting>
  <conditionalFormatting sqref="BJ58">
    <cfRule type="cellIs" dxfId="22785" priority="159665" stopIfTrue="1" operator="greaterThanOrEqual">
      <formula>0.5</formula>
    </cfRule>
  </conditionalFormatting>
  <conditionalFormatting sqref="D60">
    <cfRule type="cellIs" dxfId="22784" priority="159666" stopIfTrue="1" operator="equal">
      <formula>-1</formula>
    </cfRule>
  </conditionalFormatting>
  <conditionalFormatting sqref="D60">
    <cfRule type="cellIs" dxfId="22783" priority="159667" stopIfTrue="1" operator="lessThan">
      <formula>0.5</formula>
    </cfRule>
  </conditionalFormatting>
  <conditionalFormatting sqref="D60">
    <cfRule type="cellIs" dxfId="22782" priority="159668" stopIfTrue="1" operator="greaterThanOrEqual">
      <formula>0.5</formula>
    </cfRule>
  </conditionalFormatting>
  <conditionalFormatting sqref="D61">
    <cfRule type="cellIs" dxfId="22781" priority="159669" stopIfTrue="1" operator="equal">
      <formula>-1</formula>
    </cfRule>
  </conditionalFormatting>
  <conditionalFormatting sqref="D61">
    <cfRule type="cellIs" dxfId="22780" priority="159670" stopIfTrue="1" operator="lessThan">
      <formula>0.5</formula>
    </cfRule>
  </conditionalFormatting>
  <conditionalFormatting sqref="D61">
    <cfRule type="cellIs" dxfId="22779" priority="159671" stopIfTrue="1" operator="greaterThanOrEqual">
      <formula>0.5</formula>
    </cfRule>
  </conditionalFormatting>
  <conditionalFormatting sqref="D62">
    <cfRule type="cellIs" dxfId="22778" priority="159672" stopIfTrue="1" operator="equal">
      <formula>-1</formula>
    </cfRule>
  </conditionalFormatting>
  <conditionalFormatting sqref="D62">
    <cfRule type="cellIs" dxfId="22777" priority="159673" stopIfTrue="1" operator="lessThan">
      <formula>0.5</formula>
    </cfRule>
  </conditionalFormatting>
  <conditionalFormatting sqref="D62">
    <cfRule type="cellIs" dxfId="22776" priority="159674" stopIfTrue="1" operator="greaterThanOrEqual">
      <formula>0.5</formula>
    </cfRule>
  </conditionalFormatting>
  <conditionalFormatting sqref="D63">
    <cfRule type="cellIs" dxfId="22775" priority="159675" stopIfTrue="1" operator="equal">
      <formula>-1</formula>
    </cfRule>
  </conditionalFormatting>
  <conditionalFormatting sqref="D63">
    <cfRule type="cellIs" dxfId="22774" priority="159676" stopIfTrue="1" operator="lessThan">
      <formula>0.5</formula>
    </cfRule>
  </conditionalFormatting>
  <conditionalFormatting sqref="D63">
    <cfRule type="cellIs" dxfId="22773" priority="159677" stopIfTrue="1" operator="greaterThanOrEqual">
      <formula>0.5</formula>
    </cfRule>
  </conditionalFormatting>
  <conditionalFormatting sqref="F60">
    <cfRule type="cellIs" dxfId="22772" priority="159678" stopIfTrue="1" operator="equal">
      <formula>-1</formula>
    </cfRule>
  </conditionalFormatting>
  <conditionalFormatting sqref="F60">
    <cfRule type="cellIs" dxfId="22771" priority="159679" stopIfTrue="1" operator="lessThan">
      <formula>0.5</formula>
    </cfRule>
  </conditionalFormatting>
  <conditionalFormatting sqref="F60">
    <cfRule type="cellIs" dxfId="22770" priority="159680" stopIfTrue="1" operator="greaterThanOrEqual">
      <formula>0.5</formula>
    </cfRule>
  </conditionalFormatting>
  <conditionalFormatting sqref="F61">
    <cfRule type="cellIs" dxfId="22769" priority="159681" stopIfTrue="1" operator="equal">
      <formula>-1</formula>
    </cfRule>
  </conditionalFormatting>
  <conditionalFormatting sqref="F61">
    <cfRule type="cellIs" dxfId="22768" priority="159682" stopIfTrue="1" operator="lessThan">
      <formula>0.5</formula>
    </cfRule>
  </conditionalFormatting>
  <conditionalFormatting sqref="F61">
    <cfRule type="cellIs" dxfId="22767" priority="159683" stopIfTrue="1" operator="greaterThanOrEqual">
      <formula>0.5</formula>
    </cfRule>
  </conditionalFormatting>
  <conditionalFormatting sqref="F62">
    <cfRule type="cellIs" dxfId="22766" priority="159684" stopIfTrue="1" operator="equal">
      <formula>-1</formula>
    </cfRule>
  </conditionalFormatting>
  <conditionalFormatting sqref="F62">
    <cfRule type="cellIs" dxfId="22765" priority="159685" stopIfTrue="1" operator="lessThan">
      <formula>0.5</formula>
    </cfRule>
  </conditionalFormatting>
  <conditionalFormatting sqref="F62">
    <cfRule type="cellIs" dxfId="22764" priority="159686" stopIfTrue="1" operator="greaterThanOrEqual">
      <formula>0.5</formula>
    </cfRule>
  </conditionalFormatting>
  <conditionalFormatting sqref="F63">
    <cfRule type="cellIs" dxfId="22763" priority="159687" stopIfTrue="1" operator="equal">
      <formula>-1</formula>
    </cfRule>
  </conditionalFormatting>
  <conditionalFormatting sqref="F63">
    <cfRule type="cellIs" dxfId="22762" priority="159688" stopIfTrue="1" operator="lessThan">
      <formula>0.5</formula>
    </cfRule>
  </conditionalFormatting>
  <conditionalFormatting sqref="F63">
    <cfRule type="cellIs" dxfId="22761" priority="159689" stopIfTrue="1" operator="greaterThanOrEqual">
      <formula>0.5</formula>
    </cfRule>
  </conditionalFormatting>
  <conditionalFormatting sqref="H60">
    <cfRule type="cellIs" dxfId="22760" priority="159690" stopIfTrue="1" operator="equal">
      <formula>-1</formula>
    </cfRule>
  </conditionalFormatting>
  <conditionalFormatting sqref="H60">
    <cfRule type="cellIs" dxfId="22759" priority="159691" stopIfTrue="1" operator="lessThan">
      <formula>0.5</formula>
    </cfRule>
  </conditionalFormatting>
  <conditionalFormatting sqref="H60">
    <cfRule type="cellIs" dxfId="22758" priority="159692" stopIfTrue="1" operator="greaterThanOrEqual">
      <formula>0.5</formula>
    </cfRule>
  </conditionalFormatting>
  <conditionalFormatting sqref="H61">
    <cfRule type="cellIs" dxfId="22757" priority="159693" stopIfTrue="1" operator="equal">
      <formula>-1</formula>
    </cfRule>
  </conditionalFormatting>
  <conditionalFormatting sqref="H61">
    <cfRule type="cellIs" dxfId="22756" priority="159694" stopIfTrue="1" operator="lessThan">
      <formula>0.5</formula>
    </cfRule>
  </conditionalFormatting>
  <conditionalFormatting sqref="H61">
    <cfRule type="cellIs" dxfId="22755" priority="159695" stopIfTrue="1" operator="greaterThanOrEqual">
      <formula>0.5</formula>
    </cfRule>
  </conditionalFormatting>
  <conditionalFormatting sqref="H62">
    <cfRule type="cellIs" dxfId="22754" priority="159696" stopIfTrue="1" operator="equal">
      <formula>-1</formula>
    </cfRule>
  </conditionalFormatting>
  <conditionalFormatting sqref="H62">
    <cfRule type="cellIs" dxfId="22753" priority="159697" stopIfTrue="1" operator="lessThan">
      <formula>0.5</formula>
    </cfRule>
  </conditionalFormatting>
  <conditionalFormatting sqref="H62">
    <cfRule type="cellIs" dxfId="22752" priority="159698" stopIfTrue="1" operator="greaterThanOrEqual">
      <formula>0.5</formula>
    </cfRule>
  </conditionalFormatting>
  <conditionalFormatting sqref="H63">
    <cfRule type="cellIs" dxfId="22751" priority="159699" stopIfTrue="1" operator="equal">
      <formula>-1</formula>
    </cfRule>
  </conditionalFormatting>
  <conditionalFormatting sqref="H63">
    <cfRule type="cellIs" dxfId="22750" priority="159700" stopIfTrue="1" operator="lessThan">
      <formula>0.5</formula>
    </cfRule>
  </conditionalFormatting>
  <conditionalFormatting sqref="H63">
    <cfRule type="cellIs" dxfId="22749" priority="159701" stopIfTrue="1" operator="greaterThanOrEqual">
      <formula>0.5</formula>
    </cfRule>
  </conditionalFormatting>
  <conditionalFormatting sqref="J60">
    <cfRule type="cellIs" dxfId="22748" priority="159702" stopIfTrue="1" operator="equal">
      <formula>-1</formula>
    </cfRule>
  </conditionalFormatting>
  <conditionalFormatting sqref="J60">
    <cfRule type="cellIs" dxfId="22747" priority="159703" stopIfTrue="1" operator="lessThan">
      <formula>0.5</formula>
    </cfRule>
  </conditionalFormatting>
  <conditionalFormatting sqref="J60">
    <cfRule type="cellIs" dxfId="22746" priority="159704" stopIfTrue="1" operator="greaterThanOrEqual">
      <formula>0.5</formula>
    </cfRule>
  </conditionalFormatting>
  <conditionalFormatting sqref="J61">
    <cfRule type="cellIs" dxfId="22745" priority="159705" stopIfTrue="1" operator="equal">
      <formula>-1</formula>
    </cfRule>
  </conditionalFormatting>
  <conditionalFormatting sqref="J61">
    <cfRule type="cellIs" dxfId="22744" priority="159706" stopIfTrue="1" operator="lessThan">
      <formula>0.5</formula>
    </cfRule>
  </conditionalFormatting>
  <conditionalFormatting sqref="J61">
    <cfRule type="cellIs" dxfId="22743" priority="159707" stopIfTrue="1" operator="greaterThanOrEqual">
      <formula>0.5</formula>
    </cfRule>
  </conditionalFormatting>
  <conditionalFormatting sqref="J62">
    <cfRule type="cellIs" dxfId="22742" priority="159708" stopIfTrue="1" operator="equal">
      <formula>-1</formula>
    </cfRule>
  </conditionalFormatting>
  <conditionalFormatting sqref="J62">
    <cfRule type="cellIs" dxfId="22741" priority="159709" stopIfTrue="1" operator="lessThan">
      <formula>0.5</formula>
    </cfRule>
  </conditionalFormatting>
  <conditionalFormatting sqref="J62">
    <cfRule type="cellIs" dxfId="22740" priority="159710" stopIfTrue="1" operator="greaterThanOrEqual">
      <formula>0.5</formula>
    </cfRule>
  </conditionalFormatting>
  <conditionalFormatting sqref="J63">
    <cfRule type="cellIs" dxfId="22739" priority="159711" stopIfTrue="1" operator="equal">
      <formula>-1</formula>
    </cfRule>
  </conditionalFormatting>
  <conditionalFormatting sqref="J63">
    <cfRule type="cellIs" dxfId="22738" priority="159712" stopIfTrue="1" operator="lessThan">
      <formula>0.5</formula>
    </cfRule>
  </conditionalFormatting>
  <conditionalFormatting sqref="J63">
    <cfRule type="cellIs" dxfId="22737" priority="159713" stopIfTrue="1" operator="greaterThanOrEqual">
      <formula>0.5</formula>
    </cfRule>
  </conditionalFormatting>
  <conditionalFormatting sqref="L60">
    <cfRule type="cellIs" dxfId="22736" priority="159714" stopIfTrue="1" operator="equal">
      <formula>-1</formula>
    </cfRule>
  </conditionalFormatting>
  <conditionalFormatting sqref="L60">
    <cfRule type="cellIs" dxfId="22735" priority="159715" stopIfTrue="1" operator="lessThan">
      <formula>0.5</formula>
    </cfRule>
  </conditionalFormatting>
  <conditionalFormatting sqref="L60">
    <cfRule type="cellIs" dxfId="22734" priority="159716" stopIfTrue="1" operator="greaterThanOrEqual">
      <formula>0.5</formula>
    </cfRule>
  </conditionalFormatting>
  <conditionalFormatting sqref="L61">
    <cfRule type="cellIs" dxfId="22733" priority="159717" stopIfTrue="1" operator="equal">
      <formula>-1</formula>
    </cfRule>
  </conditionalFormatting>
  <conditionalFormatting sqref="L61">
    <cfRule type="cellIs" dxfId="22732" priority="159718" stopIfTrue="1" operator="lessThan">
      <formula>0.5</formula>
    </cfRule>
  </conditionalFormatting>
  <conditionalFormatting sqref="L61">
    <cfRule type="cellIs" dxfId="22731" priority="159719" stopIfTrue="1" operator="greaterThanOrEqual">
      <formula>0.5</formula>
    </cfRule>
  </conditionalFormatting>
  <conditionalFormatting sqref="L62">
    <cfRule type="cellIs" dxfId="22730" priority="159720" stopIfTrue="1" operator="equal">
      <formula>-1</formula>
    </cfRule>
  </conditionalFormatting>
  <conditionalFormatting sqref="L62">
    <cfRule type="cellIs" dxfId="22729" priority="159721" stopIfTrue="1" operator="lessThan">
      <formula>0.5</formula>
    </cfRule>
  </conditionalFormatting>
  <conditionalFormatting sqref="L62">
    <cfRule type="cellIs" dxfId="22728" priority="159722" stopIfTrue="1" operator="greaterThanOrEqual">
      <formula>0.5</formula>
    </cfRule>
  </conditionalFormatting>
  <conditionalFormatting sqref="L63">
    <cfRule type="cellIs" dxfId="22727" priority="159723" stopIfTrue="1" operator="equal">
      <formula>-1</formula>
    </cfRule>
  </conditionalFormatting>
  <conditionalFormatting sqref="L63">
    <cfRule type="cellIs" dxfId="22726" priority="159724" stopIfTrue="1" operator="lessThan">
      <formula>0.5</formula>
    </cfRule>
  </conditionalFormatting>
  <conditionalFormatting sqref="L63">
    <cfRule type="cellIs" dxfId="22725" priority="159725" stopIfTrue="1" operator="greaterThanOrEqual">
      <formula>0.5</formula>
    </cfRule>
  </conditionalFormatting>
  <conditionalFormatting sqref="N60">
    <cfRule type="cellIs" dxfId="22724" priority="159726" stopIfTrue="1" operator="equal">
      <formula>-1</formula>
    </cfRule>
  </conditionalFormatting>
  <conditionalFormatting sqref="N60">
    <cfRule type="cellIs" dxfId="22723" priority="159727" stopIfTrue="1" operator="lessThan">
      <formula>0.5</formula>
    </cfRule>
  </conditionalFormatting>
  <conditionalFormatting sqref="N60">
    <cfRule type="cellIs" dxfId="22722" priority="159728" stopIfTrue="1" operator="greaterThanOrEqual">
      <formula>0.5</formula>
    </cfRule>
  </conditionalFormatting>
  <conditionalFormatting sqref="N61">
    <cfRule type="cellIs" dxfId="22721" priority="159729" stopIfTrue="1" operator="equal">
      <formula>-1</formula>
    </cfRule>
  </conditionalFormatting>
  <conditionalFormatting sqref="N61">
    <cfRule type="cellIs" dxfId="22720" priority="159730" stopIfTrue="1" operator="lessThan">
      <formula>0.5</formula>
    </cfRule>
  </conditionalFormatting>
  <conditionalFormatting sqref="N61">
    <cfRule type="cellIs" dxfId="22719" priority="159731" stopIfTrue="1" operator="greaterThanOrEqual">
      <formula>0.5</formula>
    </cfRule>
  </conditionalFormatting>
  <conditionalFormatting sqref="N62">
    <cfRule type="cellIs" dxfId="22718" priority="159732" stopIfTrue="1" operator="equal">
      <formula>-1</formula>
    </cfRule>
  </conditionalFormatting>
  <conditionalFormatting sqref="N62">
    <cfRule type="cellIs" dxfId="22717" priority="159733" stopIfTrue="1" operator="lessThan">
      <formula>0.5</formula>
    </cfRule>
  </conditionalFormatting>
  <conditionalFormatting sqref="N62">
    <cfRule type="cellIs" dxfId="22716" priority="159734" stopIfTrue="1" operator="greaterThanOrEqual">
      <formula>0.5</formula>
    </cfRule>
  </conditionalFormatting>
  <conditionalFormatting sqref="N63">
    <cfRule type="cellIs" dxfId="22715" priority="159735" stopIfTrue="1" operator="equal">
      <formula>-1</formula>
    </cfRule>
  </conditionalFormatting>
  <conditionalFormatting sqref="N63">
    <cfRule type="cellIs" dxfId="22714" priority="159736" stopIfTrue="1" operator="lessThan">
      <formula>0.5</formula>
    </cfRule>
  </conditionalFormatting>
  <conditionalFormatting sqref="N63">
    <cfRule type="cellIs" dxfId="22713" priority="159737" stopIfTrue="1" operator="greaterThanOrEqual">
      <formula>0.5</formula>
    </cfRule>
  </conditionalFormatting>
  <conditionalFormatting sqref="P60">
    <cfRule type="cellIs" dxfId="22712" priority="159738" stopIfTrue="1" operator="equal">
      <formula>-1</formula>
    </cfRule>
  </conditionalFormatting>
  <conditionalFormatting sqref="P60">
    <cfRule type="cellIs" dxfId="22711" priority="159739" stopIfTrue="1" operator="lessThan">
      <formula>0.5</formula>
    </cfRule>
  </conditionalFormatting>
  <conditionalFormatting sqref="P60">
    <cfRule type="cellIs" dxfId="22710" priority="159740" stopIfTrue="1" operator="greaterThanOrEqual">
      <formula>0.5</formula>
    </cfRule>
  </conditionalFormatting>
  <conditionalFormatting sqref="P61">
    <cfRule type="cellIs" dxfId="22709" priority="159741" stopIfTrue="1" operator="equal">
      <formula>-1</formula>
    </cfRule>
  </conditionalFormatting>
  <conditionalFormatting sqref="P61">
    <cfRule type="cellIs" dxfId="22708" priority="159742" stopIfTrue="1" operator="lessThan">
      <formula>0.5</formula>
    </cfRule>
  </conditionalFormatting>
  <conditionalFormatting sqref="P61">
    <cfRule type="cellIs" dxfId="22707" priority="159743" stopIfTrue="1" operator="greaterThanOrEqual">
      <formula>0.5</formula>
    </cfRule>
  </conditionalFormatting>
  <conditionalFormatting sqref="P62">
    <cfRule type="cellIs" dxfId="22706" priority="159744" stopIfTrue="1" operator="equal">
      <formula>-1</formula>
    </cfRule>
  </conditionalFormatting>
  <conditionalFormatting sqref="P62">
    <cfRule type="cellIs" dxfId="22705" priority="159745" stopIfTrue="1" operator="lessThan">
      <formula>0.5</formula>
    </cfRule>
  </conditionalFormatting>
  <conditionalFormatting sqref="P62">
    <cfRule type="cellIs" dxfId="22704" priority="159746" stopIfTrue="1" operator="greaterThanOrEqual">
      <formula>0.5</formula>
    </cfRule>
  </conditionalFormatting>
  <conditionalFormatting sqref="P63">
    <cfRule type="cellIs" dxfId="22703" priority="159747" stopIfTrue="1" operator="equal">
      <formula>-1</formula>
    </cfRule>
  </conditionalFormatting>
  <conditionalFormatting sqref="P63">
    <cfRule type="cellIs" dxfId="22702" priority="159748" stopIfTrue="1" operator="lessThan">
      <formula>0.5</formula>
    </cfRule>
  </conditionalFormatting>
  <conditionalFormatting sqref="P63">
    <cfRule type="cellIs" dxfId="22701" priority="159749" stopIfTrue="1" operator="greaterThanOrEqual">
      <formula>0.5</formula>
    </cfRule>
  </conditionalFormatting>
  <conditionalFormatting sqref="R60">
    <cfRule type="cellIs" dxfId="22700" priority="159750" stopIfTrue="1" operator="equal">
      <formula>-1</formula>
    </cfRule>
  </conditionalFormatting>
  <conditionalFormatting sqref="R60">
    <cfRule type="cellIs" dxfId="22699" priority="159751" stopIfTrue="1" operator="lessThan">
      <formula>0.5</formula>
    </cfRule>
  </conditionalFormatting>
  <conditionalFormatting sqref="R60">
    <cfRule type="cellIs" dxfId="22698" priority="159752" stopIfTrue="1" operator="greaterThanOrEqual">
      <formula>0.5</formula>
    </cfRule>
  </conditionalFormatting>
  <conditionalFormatting sqref="R61">
    <cfRule type="cellIs" dxfId="22697" priority="159753" stopIfTrue="1" operator="equal">
      <formula>-1</formula>
    </cfRule>
  </conditionalFormatting>
  <conditionalFormatting sqref="R61">
    <cfRule type="cellIs" dxfId="22696" priority="159754" stopIfTrue="1" operator="lessThan">
      <formula>0.5</formula>
    </cfRule>
  </conditionalFormatting>
  <conditionalFormatting sqref="R61">
    <cfRule type="cellIs" dxfId="22695" priority="159755" stopIfTrue="1" operator="greaterThanOrEqual">
      <formula>0.5</formula>
    </cfRule>
  </conditionalFormatting>
  <conditionalFormatting sqref="R62">
    <cfRule type="cellIs" dxfId="22694" priority="159756" stopIfTrue="1" operator="equal">
      <formula>-1</formula>
    </cfRule>
  </conditionalFormatting>
  <conditionalFormatting sqref="R62">
    <cfRule type="cellIs" dxfId="22693" priority="159757" stopIfTrue="1" operator="lessThan">
      <formula>0.5</formula>
    </cfRule>
  </conditionalFormatting>
  <conditionalFormatting sqref="R62">
    <cfRule type="cellIs" dxfId="22692" priority="159758" stopIfTrue="1" operator="greaterThanOrEqual">
      <formula>0.5</formula>
    </cfRule>
  </conditionalFormatting>
  <conditionalFormatting sqref="R63">
    <cfRule type="cellIs" dxfId="22691" priority="159759" stopIfTrue="1" operator="equal">
      <formula>-1</formula>
    </cfRule>
  </conditionalFormatting>
  <conditionalFormatting sqref="R63">
    <cfRule type="cellIs" dxfId="22690" priority="159760" stopIfTrue="1" operator="lessThan">
      <formula>0.5</formula>
    </cfRule>
  </conditionalFormatting>
  <conditionalFormatting sqref="R63">
    <cfRule type="cellIs" dxfId="22689" priority="159761" stopIfTrue="1" operator="greaterThanOrEqual">
      <formula>0.5</formula>
    </cfRule>
  </conditionalFormatting>
  <conditionalFormatting sqref="T60">
    <cfRule type="cellIs" dxfId="22688" priority="159762" stopIfTrue="1" operator="equal">
      <formula>-1</formula>
    </cfRule>
  </conditionalFormatting>
  <conditionalFormatting sqref="T60">
    <cfRule type="cellIs" dxfId="22687" priority="159763" stopIfTrue="1" operator="lessThan">
      <formula>0.5</formula>
    </cfRule>
  </conditionalFormatting>
  <conditionalFormatting sqref="T60">
    <cfRule type="cellIs" dxfId="22686" priority="159764" stopIfTrue="1" operator="greaterThanOrEqual">
      <formula>0.5</formula>
    </cfRule>
  </conditionalFormatting>
  <conditionalFormatting sqref="T61">
    <cfRule type="cellIs" dxfId="22685" priority="159765" stopIfTrue="1" operator="equal">
      <formula>-1</formula>
    </cfRule>
  </conditionalFormatting>
  <conditionalFormatting sqref="T61">
    <cfRule type="cellIs" dxfId="22684" priority="159766" stopIfTrue="1" operator="lessThan">
      <formula>0.5</formula>
    </cfRule>
  </conditionalFormatting>
  <conditionalFormatting sqref="T61">
    <cfRule type="cellIs" dxfId="22683" priority="159767" stopIfTrue="1" operator="greaterThanOrEqual">
      <formula>0.5</formula>
    </cfRule>
  </conditionalFormatting>
  <conditionalFormatting sqref="T62">
    <cfRule type="cellIs" dxfId="22682" priority="159768" stopIfTrue="1" operator="equal">
      <formula>-1</formula>
    </cfRule>
  </conditionalFormatting>
  <conditionalFormatting sqref="T62">
    <cfRule type="cellIs" dxfId="22681" priority="159769" stopIfTrue="1" operator="lessThan">
      <formula>0.5</formula>
    </cfRule>
  </conditionalFormatting>
  <conditionalFormatting sqref="T62">
    <cfRule type="cellIs" dxfId="22680" priority="159770" stopIfTrue="1" operator="greaterThanOrEqual">
      <formula>0.5</formula>
    </cfRule>
  </conditionalFormatting>
  <conditionalFormatting sqref="T63">
    <cfRule type="cellIs" dxfId="22679" priority="159771" stopIfTrue="1" operator="equal">
      <formula>-1</formula>
    </cfRule>
  </conditionalFormatting>
  <conditionalFormatting sqref="T63">
    <cfRule type="cellIs" dxfId="22678" priority="159772" stopIfTrue="1" operator="lessThan">
      <formula>0.5</formula>
    </cfRule>
  </conditionalFormatting>
  <conditionalFormatting sqref="T63">
    <cfRule type="cellIs" dxfId="22677" priority="159773" stopIfTrue="1" operator="greaterThanOrEqual">
      <formula>0.5</formula>
    </cfRule>
  </conditionalFormatting>
  <conditionalFormatting sqref="V60">
    <cfRule type="cellIs" dxfId="22676" priority="159774" stopIfTrue="1" operator="equal">
      <formula>-1</formula>
    </cfRule>
  </conditionalFormatting>
  <conditionalFormatting sqref="V60">
    <cfRule type="cellIs" dxfId="22675" priority="159775" stopIfTrue="1" operator="lessThan">
      <formula>0.5</formula>
    </cfRule>
  </conditionalFormatting>
  <conditionalFormatting sqref="V60">
    <cfRule type="cellIs" dxfId="22674" priority="159776" stopIfTrue="1" operator="greaterThanOrEqual">
      <formula>0.5</formula>
    </cfRule>
  </conditionalFormatting>
  <conditionalFormatting sqref="V61">
    <cfRule type="cellIs" dxfId="22673" priority="159777" stopIfTrue="1" operator="equal">
      <formula>-1</formula>
    </cfRule>
  </conditionalFormatting>
  <conditionalFormatting sqref="V61">
    <cfRule type="cellIs" dxfId="22672" priority="159778" stopIfTrue="1" operator="lessThan">
      <formula>0.5</formula>
    </cfRule>
  </conditionalFormatting>
  <conditionalFormatting sqref="V61">
    <cfRule type="cellIs" dxfId="22671" priority="159779" stopIfTrue="1" operator="greaterThanOrEqual">
      <formula>0.5</formula>
    </cfRule>
  </conditionalFormatting>
  <conditionalFormatting sqref="V62">
    <cfRule type="cellIs" dxfId="22670" priority="159780" stopIfTrue="1" operator="equal">
      <formula>-1</formula>
    </cfRule>
  </conditionalFormatting>
  <conditionalFormatting sqref="V62">
    <cfRule type="cellIs" dxfId="22669" priority="159781" stopIfTrue="1" operator="lessThan">
      <formula>0.5</formula>
    </cfRule>
  </conditionalFormatting>
  <conditionalFormatting sqref="V62">
    <cfRule type="cellIs" dxfId="22668" priority="159782" stopIfTrue="1" operator="greaterThanOrEqual">
      <formula>0.5</formula>
    </cfRule>
  </conditionalFormatting>
  <conditionalFormatting sqref="V63">
    <cfRule type="cellIs" dxfId="22667" priority="159783" stopIfTrue="1" operator="equal">
      <formula>-1</formula>
    </cfRule>
  </conditionalFormatting>
  <conditionalFormatting sqref="V63">
    <cfRule type="cellIs" dxfId="22666" priority="159784" stopIfTrue="1" operator="lessThan">
      <formula>0.5</formula>
    </cfRule>
  </conditionalFormatting>
  <conditionalFormatting sqref="V63">
    <cfRule type="cellIs" dxfId="22665" priority="159785" stopIfTrue="1" operator="greaterThanOrEqual">
      <formula>0.5</formula>
    </cfRule>
  </conditionalFormatting>
  <conditionalFormatting sqref="X60">
    <cfRule type="cellIs" dxfId="22664" priority="159786" stopIfTrue="1" operator="equal">
      <formula>-1</formula>
    </cfRule>
  </conditionalFormatting>
  <conditionalFormatting sqref="X60">
    <cfRule type="cellIs" dxfId="22663" priority="159787" stopIfTrue="1" operator="lessThan">
      <formula>0.5</formula>
    </cfRule>
  </conditionalFormatting>
  <conditionalFormatting sqref="X60">
    <cfRule type="cellIs" dxfId="22662" priority="159788" stopIfTrue="1" operator="greaterThanOrEqual">
      <formula>0.5</formula>
    </cfRule>
  </conditionalFormatting>
  <conditionalFormatting sqref="X61">
    <cfRule type="cellIs" dxfId="22661" priority="159789" stopIfTrue="1" operator="equal">
      <formula>-1</formula>
    </cfRule>
  </conditionalFormatting>
  <conditionalFormatting sqref="X61">
    <cfRule type="cellIs" dxfId="22660" priority="159790" stopIfTrue="1" operator="lessThan">
      <formula>0.5</formula>
    </cfRule>
  </conditionalFormatting>
  <conditionalFormatting sqref="X61">
    <cfRule type="cellIs" dxfId="22659" priority="159791" stopIfTrue="1" operator="greaterThanOrEqual">
      <formula>0.5</formula>
    </cfRule>
  </conditionalFormatting>
  <conditionalFormatting sqref="X62">
    <cfRule type="cellIs" dxfId="22658" priority="159792" stopIfTrue="1" operator="equal">
      <formula>-1</formula>
    </cfRule>
  </conditionalFormatting>
  <conditionalFormatting sqref="X62">
    <cfRule type="cellIs" dxfId="22657" priority="159793" stopIfTrue="1" operator="lessThan">
      <formula>0.5</formula>
    </cfRule>
  </conditionalFormatting>
  <conditionalFormatting sqref="X62">
    <cfRule type="cellIs" dxfId="22656" priority="159794" stopIfTrue="1" operator="greaterThanOrEqual">
      <formula>0.5</formula>
    </cfRule>
  </conditionalFormatting>
  <conditionalFormatting sqref="X63">
    <cfRule type="cellIs" dxfId="22655" priority="159795" stopIfTrue="1" operator="equal">
      <formula>-1</formula>
    </cfRule>
  </conditionalFormatting>
  <conditionalFormatting sqref="X63">
    <cfRule type="cellIs" dxfId="22654" priority="159796" stopIfTrue="1" operator="lessThan">
      <formula>0.5</formula>
    </cfRule>
  </conditionalFormatting>
  <conditionalFormatting sqref="X63">
    <cfRule type="cellIs" dxfId="22653" priority="159797" stopIfTrue="1" operator="greaterThanOrEqual">
      <formula>0.5</formula>
    </cfRule>
  </conditionalFormatting>
  <conditionalFormatting sqref="Z60">
    <cfRule type="cellIs" dxfId="22652" priority="159798" stopIfTrue="1" operator="equal">
      <formula>-1</formula>
    </cfRule>
  </conditionalFormatting>
  <conditionalFormatting sqref="Z60">
    <cfRule type="cellIs" dxfId="22651" priority="159799" stopIfTrue="1" operator="lessThan">
      <formula>0.5</formula>
    </cfRule>
  </conditionalFormatting>
  <conditionalFormatting sqref="Z60">
    <cfRule type="cellIs" dxfId="22650" priority="159800" stopIfTrue="1" operator="greaterThanOrEqual">
      <formula>0.5</formula>
    </cfRule>
  </conditionalFormatting>
  <conditionalFormatting sqref="Z61">
    <cfRule type="cellIs" dxfId="22649" priority="159801" stopIfTrue="1" operator="equal">
      <formula>-1</formula>
    </cfRule>
  </conditionalFormatting>
  <conditionalFormatting sqref="Z61">
    <cfRule type="cellIs" dxfId="22648" priority="159802" stopIfTrue="1" operator="lessThan">
      <formula>0.5</formula>
    </cfRule>
  </conditionalFormatting>
  <conditionalFormatting sqref="Z61">
    <cfRule type="cellIs" dxfId="22647" priority="159803" stopIfTrue="1" operator="greaterThanOrEqual">
      <formula>0.5</formula>
    </cfRule>
  </conditionalFormatting>
  <conditionalFormatting sqref="Z62">
    <cfRule type="cellIs" dxfId="22646" priority="159804" stopIfTrue="1" operator="equal">
      <formula>-1</formula>
    </cfRule>
  </conditionalFormatting>
  <conditionalFormatting sqref="Z62">
    <cfRule type="cellIs" dxfId="22645" priority="159805" stopIfTrue="1" operator="lessThan">
      <formula>0.5</formula>
    </cfRule>
  </conditionalFormatting>
  <conditionalFormatting sqref="Z62">
    <cfRule type="cellIs" dxfId="22644" priority="159806" stopIfTrue="1" operator="greaterThanOrEqual">
      <formula>0.5</formula>
    </cfRule>
  </conditionalFormatting>
  <conditionalFormatting sqref="Z63">
    <cfRule type="cellIs" dxfId="22643" priority="159807" stopIfTrue="1" operator="equal">
      <formula>-1</formula>
    </cfRule>
  </conditionalFormatting>
  <conditionalFormatting sqref="Z63">
    <cfRule type="cellIs" dxfId="22642" priority="159808" stopIfTrue="1" operator="lessThan">
      <formula>0.5</formula>
    </cfRule>
  </conditionalFormatting>
  <conditionalFormatting sqref="Z63">
    <cfRule type="cellIs" dxfId="22641" priority="159809" stopIfTrue="1" operator="greaterThanOrEqual">
      <formula>0.5</formula>
    </cfRule>
  </conditionalFormatting>
  <conditionalFormatting sqref="AB60">
    <cfRule type="cellIs" dxfId="22640" priority="159810" stopIfTrue="1" operator="equal">
      <formula>-1</formula>
    </cfRule>
  </conditionalFormatting>
  <conditionalFormatting sqref="AB60">
    <cfRule type="cellIs" dxfId="22639" priority="159811" stopIfTrue="1" operator="lessThan">
      <formula>0.5</formula>
    </cfRule>
  </conditionalFormatting>
  <conditionalFormatting sqref="AB60">
    <cfRule type="cellIs" dxfId="22638" priority="159812" stopIfTrue="1" operator="greaterThanOrEqual">
      <formula>0.5</formula>
    </cfRule>
  </conditionalFormatting>
  <conditionalFormatting sqref="AB61">
    <cfRule type="cellIs" dxfId="22637" priority="159813" stopIfTrue="1" operator="equal">
      <formula>-1</formula>
    </cfRule>
  </conditionalFormatting>
  <conditionalFormatting sqref="AB61">
    <cfRule type="cellIs" dxfId="22636" priority="159814" stopIfTrue="1" operator="lessThan">
      <formula>0.5</formula>
    </cfRule>
  </conditionalFormatting>
  <conditionalFormatting sqref="AB61">
    <cfRule type="cellIs" dxfId="22635" priority="159815" stopIfTrue="1" operator="greaterThanOrEqual">
      <formula>0.5</formula>
    </cfRule>
  </conditionalFormatting>
  <conditionalFormatting sqref="AB62">
    <cfRule type="cellIs" dxfId="22634" priority="159816" stopIfTrue="1" operator="equal">
      <formula>-1</formula>
    </cfRule>
  </conditionalFormatting>
  <conditionalFormatting sqref="AB62">
    <cfRule type="cellIs" dxfId="22633" priority="159817" stopIfTrue="1" operator="lessThan">
      <formula>0.5</formula>
    </cfRule>
  </conditionalFormatting>
  <conditionalFormatting sqref="AB62">
    <cfRule type="cellIs" dxfId="22632" priority="159818" stopIfTrue="1" operator="greaterThanOrEqual">
      <formula>0.5</formula>
    </cfRule>
  </conditionalFormatting>
  <conditionalFormatting sqref="AB63">
    <cfRule type="cellIs" dxfId="22631" priority="159819" stopIfTrue="1" operator="equal">
      <formula>-1</formula>
    </cfRule>
  </conditionalFormatting>
  <conditionalFormatting sqref="AB63">
    <cfRule type="cellIs" dxfId="22630" priority="159820" stopIfTrue="1" operator="lessThan">
      <formula>0.5</formula>
    </cfRule>
  </conditionalFormatting>
  <conditionalFormatting sqref="AB63">
    <cfRule type="cellIs" dxfId="22629" priority="159821" stopIfTrue="1" operator="greaterThanOrEqual">
      <formula>0.5</formula>
    </cfRule>
  </conditionalFormatting>
  <conditionalFormatting sqref="AD60">
    <cfRule type="cellIs" dxfId="22628" priority="159822" stopIfTrue="1" operator="equal">
      <formula>-1</formula>
    </cfRule>
  </conditionalFormatting>
  <conditionalFormatting sqref="AD60">
    <cfRule type="cellIs" dxfId="22627" priority="159823" stopIfTrue="1" operator="lessThan">
      <formula>0.5</formula>
    </cfRule>
  </conditionalFormatting>
  <conditionalFormatting sqref="AD60">
    <cfRule type="cellIs" dxfId="22626" priority="159824" stopIfTrue="1" operator="greaterThanOrEqual">
      <formula>0.5</formula>
    </cfRule>
  </conditionalFormatting>
  <conditionalFormatting sqref="AD61">
    <cfRule type="cellIs" dxfId="22625" priority="159825" stopIfTrue="1" operator="equal">
      <formula>-1</formula>
    </cfRule>
  </conditionalFormatting>
  <conditionalFormatting sqref="AD61">
    <cfRule type="cellIs" dxfId="22624" priority="159826" stopIfTrue="1" operator="lessThan">
      <formula>0.5</formula>
    </cfRule>
  </conditionalFormatting>
  <conditionalFormatting sqref="AD61">
    <cfRule type="cellIs" dxfId="22623" priority="159827" stopIfTrue="1" operator="greaterThanOrEqual">
      <formula>0.5</formula>
    </cfRule>
  </conditionalFormatting>
  <conditionalFormatting sqref="AD62">
    <cfRule type="cellIs" dxfId="22622" priority="159828" stopIfTrue="1" operator="equal">
      <formula>-1</formula>
    </cfRule>
  </conditionalFormatting>
  <conditionalFormatting sqref="AD62">
    <cfRule type="cellIs" dxfId="22621" priority="159829" stopIfTrue="1" operator="lessThan">
      <formula>0.5</formula>
    </cfRule>
  </conditionalFormatting>
  <conditionalFormatting sqref="AD62">
    <cfRule type="cellIs" dxfId="22620" priority="159830" stopIfTrue="1" operator="greaterThanOrEqual">
      <formula>0.5</formula>
    </cfRule>
  </conditionalFormatting>
  <conditionalFormatting sqref="AD63">
    <cfRule type="cellIs" dxfId="22619" priority="159831" stopIfTrue="1" operator="equal">
      <formula>-1</formula>
    </cfRule>
  </conditionalFormatting>
  <conditionalFormatting sqref="AD63">
    <cfRule type="cellIs" dxfId="22618" priority="159832" stopIfTrue="1" operator="lessThan">
      <formula>0.5</formula>
    </cfRule>
  </conditionalFormatting>
  <conditionalFormatting sqref="AD63">
    <cfRule type="cellIs" dxfId="22617" priority="159833" stopIfTrue="1" operator="greaterThanOrEqual">
      <formula>0.5</formula>
    </cfRule>
  </conditionalFormatting>
  <conditionalFormatting sqref="AF60">
    <cfRule type="cellIs" dxfId="22616" priority="159834" stopIfTrue="1" operator="equal">
      <formula>-1</formula>
    </cfRule>
  </conditionalFormatting>
  <conditionalFormatting sqref="AF60">
    <cfRule type="cellIs" dxfId="22615" priority="159835" stopIfTrue="1" operator="lessThan">
      <formula>0.5</formula>
    </cfRule>
  </conditionalFormatting>
  <conditionalFormatting sqref="AF60">
    <cfRule type="cellIs" dxfId="22614" priority="159836" stopIfTrue="1" operator="greaterThanOrEqual">
      <formula>0.5</formula>
    </cfRule>
  </conditionalFormatting>
  <conditionalFormatting sqref="AF61">
    <cfRule type="cellIs" dxfId="22613" priority="159837" stopIfTrue="1" operator="equal">
      <formula>-1</formula>
    </cfRule>
  </conditionalFormatting>
  <conditionalFormatting sqref="AF61">
    <cfRule type="cellIs" dxfId="22612" priority="159838" stopIfTrue="1" operator="lessThan">
      <formula>0.5</formula>
    </cfRule>
  </conditionalFormatting>
  <conditionalFormatting sqref="AF61">
    <cfRule type="cellIs" dxfId="22611" priority="159839" stopIfTrue="1" operator="greaterThanOrEqual">
      <formula>0.5</formula>
    </cfRule>
  </conditionalFormatting>
  <conditionalFormatting sqref="AF62">
    <cfRule type="cellIs" dxfId="22610" priority="159840" stopIfTrue="1" operator="equal">
      <formula>-1</formula>
    </cfRule>
  </conditionalFormatting>
  <conditionalFormatting sqref="AF62">
    <cfRule type="cellIs" dxfId="22609" priority="159841" stopIfTrue="1" operator="lessThan">
      <formula>0.5</formula>
    </cfRule>
  </conditionalFormatting>
  <conditionalFormatting sqref="AF62">
    <cfRule type="cellIs" dxfId="22608" priority="159842" stopIfTrue="1" operator="greaterThanOrEqual">
      <formula>0.5</formula>
    </cfRule>
  </conditionalFormatting>
  <conditionalFormatting sqref="AF63">
    <cfRule type="cellIs" dxfId="22607" priority="159843" stopIfTrue="1" operator="equal">
      <formula>-1</formula>
    </cfRule>
  </conditionalFormatting>
  <conditionalFormatting sqref="AF63">
    <cfRule type="cellIs" dxfId="22606" priority="159844" stopIfTrue="1" operator="lessThan">
      <formula>0.5</formula>
    </cfRule>
  </conditionalFormatting>
  <conditionalFormatting sqref="AF63">
    <cfRule type="cellIs" dxfId="22605" priority="159845" stopIfTrue="1" operator="greaterThanOrEqual">
      <formula>0.5</formula>
    </cfRule>
  </conditionalFormatting>
  <conditionalFormatting sqref="AH60">
    <cfRule type="cellIs" dxfId="22604" priority="159846" stopIfTrue="1" operator="equal">
      <formula>-1</formula>
    </cfRule>
  </conditionalFormatting>
  <conditionalFormatting sqref="AH60">
    <cfRule type="cellIs" dxfId="22603" priority="159847" stopIfTrue="1" operator="lessThan">
      <formula>0.5</formula>
    </cfRule>
  </conditionalFormatting>
  <conditionalFormatting sqref="AH60">
    <cfRule type="cellIs" dxfId="22602" priority="159848" stopIfTrue="1" operator="greaterThanOrEqual">
      <formula>0.5</formula>
    </cfRule>
  </conditionalFormatting>
  <conditionalFormatting sqref="AH61">
    <cfRule type="cellIs" dxfId="22601" priority="159849" stopIfTrue="1" operator="equal">
      <formula>-1</formula>
    </cfRule>
  </conditionalFormatting>
  <conditionalFormatting sqref="AH61">
    <cfRule type="cellIs" dxfId="22600" priority="159850" stopIfTrue="1" operator="lessThan">
      <formula>0.5</formula>
    </cfRule>
  </conditionalFormatting>
  <conditionalFormatting sqref="AH61">
    <cfRule type="cellIs" dxfId="22599" priority="159851" stopIfTrue="1" operator="greaterThanOrEqual">
      <formula>0.5</formula>
    </cfRule>
  </conditionalFormatting>
  <conditionalFormatting sqref="AH62">
    <cfRule type="cellIs" dxfId="22598" priority="159852" stopIfTrue="1" operator="equal">
      <formula>-1</formula>
    </cfRule>
  </conditionalFormatting>
  <conditionalFormatting sqref="AH62">
    <cfRule type="cellIs" dxfId="22597" priority="159853" stopIfTrue="1" operator="lessThan">
      <formula>0.5</formula>
    </cfRule>
  </conditionalFormatting>
  <conditionalFormatting sqref="AH62">
    <cfRule type="cellIs" dxfId="22596" priority="159854" stopIfTrue="1" operator="greaterThanOrEqual">
      <formula>0.5</formula>
    </cfRule>
  </conditionalFormatting>
  <conditionalFormatting sqref="AH63">
    <cfRule type="cellIs" dxfId="22595" priority="159855" stopIfTrue="1" operator="equal">
      <formula>-1</formula>
    </cfRule>
  </conditionalFormatting>
  <conditionalFormatting sqref="AH63">
    <cfRule type="cellIs" dxfId="22594" priority="159856" stopIfTrue="1" operator="lessThan">
      <formula>0.5</formula>
    </cfRule>
  </conditionalFormatting>
  <conditionalFormatting sqref="AH63">
    <cfRule type="cellIs" dxfId="22593" priority="159857" stopIfTrue="1" operator="greaterThanOrEqual">
      <formula>0.5</formula>
    </cfRule>
  </conditionalFormatting>
  <conditionalFormatting sqref="AJ60">
    <cfRule type="cellIs" dxfId="22592" priority="159858" stopIfTrue="1" operator="equal">
      <formula>-1</formula>
    </cfRule>
  </conditionalFormatting>
  <conditionalFormatting sqref="AJ60">
    <cfRule type="cellIs" dxfId="22591" priority="159859" stopIfTrue="1" operator="lessThan">
      <formula>0.5</formula>
    </cfRule>
  </conditionalFormatting>
  <conditionalFormatting sqref="AJ60">
    <cfRule type="cellIs" dxfId="22590" priority="159860" stopIfTrue="1" operator="greaterThanOrEqual">
      <formula>0.5</formula>
    </cfRule>
  </conditionalFormatting>
  <conditionalFormatting sqref="AJ61">
    <cfRule type="cellIs" dxfId="22589" priority="159861" stopIfTrue="1" operator="equal">
      <formula>-1</formula>
    </cfRule>
  </conditionalFormatting>
  <conditionalFormatting sqref="AJ61">
    <cfRule type="cellIs" dxfId="22588" priority="159862" stopIfTrue="1" operator="lessThan">
      <formula>0.5</formula>
    </cfRule>
  </conditionalFormatting>
  <conditionalFormatting sqref="AJ61">
    <cfRule type="cellIs" dxfId="22587" priority="159863" stopIfTrue="1" operator="greaterThanOrEqual">
      <formula>0.5</formula>
    </cfRule>
  </conditionalFormatting>
  <conditionalFormatting sqref="AJ62">
    <cfRule type="cellIs" dxfId="22586" priority="159864" stopIfTrue="1" operator="equal">
      <formula>-1</formula>
    </cfRule>
  </conditionalFormatting>
  <conditionalFormatting sqref="AJ62">
    <cfRule type="cellIs" dxfId="22585" priority="159865" stopIfTrue="1" operator="lessThan">
      <formula>0.5</formula>
    </cfRule>
  </conditionalFormatting>
  <conditionalFormatting sqref="AJ62">
    <cfRule type="cellIs" dxfId="22584" priority="159866" stopIfTrue="1" operator="greaterThanOrEqual">
      <formula>0.5</formula>
    </cfRule>
  </conditionalFormatting>
  <conditionalFormatting sqref="AJ63">
    <cfRule type="cellIs" dxfId="22583" priority="159867" stopIfTrue="1" operator="equal">
      <formula>-1</formula>
    </cfRule>
  </conditionalFormatting>
  <conditionalFormatting sqref="AJ63">
    <cfRule type="cellIs" dxfId="22582" priority="159868" stopIfTrue="1" operator="lessThan">
      <formula>0.5</formula>
    </cfRule>
  </conditionalFormatting>
  <conditionalFormatting sqref="AJ63">
    <cfRule type="cellIs" dxfId="22581" priority="159869" stopIfTrue="1" operator="greaterThanOrEqual">
      <formula>0.5</formula>
    </cfRule>
  </conditionalFormatting>
  <conditionalFormatting sqref="AL60">
    <cfRule type="cellIs" dxfId="22580" priority="159870" stopIfTrue="1" operator="equal">
      <formula>-1</formula>
    </cfRule>
  </conditionalFormatting>
  <conditionalFormatting sqref="AL60">
    <cfRule type="cellIs" dxfId="22579" priority="159871" stopIfTrue="1" operator="lessThan">
      <formula>0.5</formula>
    </cfRule>
  </conditionalFormatting>
  <conditionalFormatting sqref="AL60">
    <cfRule type="cellIs" dxfId="22578" priority="159872" stopIfTrue="1" operator="greaterThanOrEqual">
      <formula>0.5</formula>
    </cfRule>
  </conditionalFormatting>
  <conditionalFormatting sqref="AL61">
    <cfRule type="cellIs" dxfId="22577" priority="159873" stopIfTrue="1" operator="equal">
      <formula>-1</formula>
    </cfRule>
  </conditionalFormatting>
  <conditionalFormatting sqref="AL61">
    <cfRule type="cellIs" dxfId="22576" priority="159874" stopIfTrue="1" operator="lessThan">
      <formula>0.5</formula>
    </cfRule>
  </conditionalFormatting>
  <conditionalFormatting sqref="AL61">
    <cfRule type="cellIs" dxfId="22575" priority="159875" stopIfTrue="1" operator="greaterThanOrEqual">
      <formula>0.5</formula>
    </cfRule>
  </conditionalFormatting>
  <conditionalFormatting sqref="AL62">
    <cfRule type="cellIs" dxfId="22574" priority="159876" stopIfTrue="1" operator="equal">
      <formula>-1</formula>
    </cfRule>
  </conditionalFormatting>
  <conditionalFormatting sqref="AL62">
    <cfRule type="cellIs" dxfId="22573" priority="159877" stopIfTrue="1" operator="lessThan">
      <formula>0.5</formula>
    </cfRule>
  </conditionalFormatting>
  <conditionalFormatting sqref="AL62">
    <cfRule type="cellIs" dxfId="22572" priority="159878" stopIfTrue="1" operator="greaterThanOrEqual">
      <formula>0.5</formula>
    </cfRule>
  </conditionalFormatting>
  <conditionalFormatting sqref="AL63">
    <cfRule type="cellIs" dxfId="22571" priority="159879" stopIfTrue="1" operator="equal">
      <formula>-1</formula>
    </cfRule>
  </conditionalFormatting>
  <conditionalFormatting sqref="AL63">
    <cfRule type="cellIs" dxfId="22570" priority="159880" stopIfTrue="1" operator="lessThan">
      <formula>0.5</formula>
    </cfRule>
  </conditionalFormatting>
  <conditionalFormatting sqref="AL63">
    <cfRule type="cellIs" dxfId="22569" priority="159881" stopIfTrue="1" operator="greaterThanOrEqual">
      <formula>0.5</formula>
    </cfRule>
  </conditionalFormatting>
  <conditionalFormatting sqref="AN60">
    <cfRule type="cellIs" dxfId="22568" priority="159882" stopIfTrue="1" operator="equal">
      <formula>-1</formula>
    </cfRule>
  </conditionalFormatting>
  <conditionalFormatting sqref="AN60">
    <cfRule type="cellIs" dxfId="22567" priority="159883" stopIfTrue="1" operator="lessThan">
      <formula>0.5</formula>
    </cfRule>
  </conditionalFormatting>
  <conditionalFormatting sqref="AN60">
    <cfRule type="cellIs" dxfId="22566" priority="159884" stopIfTrue="1" operator="greaterThanOrEqual">
      <formula>0.5</formula>
    </cfRule>
  </conditionalFormatting>
  <conditionalFormatting sqref="AN61">
    <cfRule type="cellIs" dxfId="22565" priority="159885" stopIfTrue="1" operator="equal">
      <formula>-1</formula>
    </cfRule>
  </conditionalFormatting>
  <conditionalFormatting sqref="AN61">
    <cfRule type="cellIs" dxfId="22564" priority="159886" stopIfTrue="1" operator="lessThan">
      <formula>0.5</formula>
    </cfRule>
  </conditionalFormatting>
  <conditionalFormatting sqref="AN61">
    <cfRule type="cellIs" dxfId="22563" priority="159887" stopIfTrue="1" operator="greaterThanOrEqual">
      <formula>0.5</formula>
    </cfRule>
  </conditionalFormatting>
  <conditionalFormatting sqref="AN62">
    <cfRule type="cellIs" dxfId="22562" priority="159888" stopIfTrue="1" operator="equal">
      <formula>-1</formula>
    </cfRule>
  </conditionalFormatting>
  <conditionalFormatting sqref="AN62">
    <cfRule type="cellIs" dxfId="22561" priority="159889" stopIfTrue="1" operator="lessThan">
      <formula>0.5</formula>
    </cfRule>
  </conditionalFormatting>
  <conditionalFormatting sqref="AN62">
    <cfRule type="cellIs" dxfId="22560" priority="159890" stopIfTrue="1" operator="greaterThanOrEqual">
      <formula>0.5</formula>
    </cfRule>
  </conditionalFormatting>
  <conditionalFormatting sqref="AN63">
    <cfRule type="cellIs" dxfId="22559" priority="159891" stopIfTrue="1" operator="equal">
      <formula>-1</formula>
    </cfRule>
  </conditionalFormatting>
  <conditionalFormatting sqref="AN63">
    <cfRule type="cellIs" dxfId="22558" priority="159892" stopIfTrue="1" operator="lessThan">
      <formula>0.5</formula>
    </cfRule>
  </conditionalFormatting>
  <conditionalFormatting sqref="AN63">
    <cfRule type="cellIs" dxfId="22557" priority="159893" stopIfTrue="1" operator="greaterThanOrEqual">
      <formula>0.5</formula>
    </cfRule>
  </conditionalFormatting>
  <conditionalFormatting sqref="AP60">
    <cfRule type="cellIs" dxfId="22556" priority="159894" stopIfTrue="1" operator="equal">
      <formula>-1</formula>
    </cfRule>
  </conditionalFormatting>
  <conditionalFormatting sqref="AP60">
    <cfRule type="cellIs" dxfId="22555" priority="159895" stopIfTrue="1" operator="lessThan">
      <formula>0.5</formula>
    </cfRule>
  </conditionalFormatting>
  <conditionalFormatting sqref="AP60">
    <cfRule type="cellIs" dxfId="22554" priority="159896" stopIfTrue="1" operator="greaterThanOrEqual">
      <formula>0.5</formula>
    </cfRule>
  </conditionalFormatting>
  <conditionalFormatting sqref="AP61">
    <cfRule type="cellIs" dxfId="22553" priority="159897" stopIfTrue="1" operator="equal">
      <formula>-1</formula>
    </cfRule>
  </conditionalFormatting>
  <conditionalFormatting sqref="AP61">
    <cfRule type="cellIs" dxfId="22552" priority="159898" stopIfTrue="1" operator="lessThan">
      <formula>0.5</formula>
    </cfRule>
  </conditionalFormatting>
  <conditionalFormatting sqref="AP61">
    <cfRule type="cellIs" dxfId="22551" priority="159899" stopIfTrue="1" operator="greaterThanOrEqual">
      <formula>0.5</formula>
    </cfRule>
  </conditionalFormatting>
  <conditionalFormatting sqref="AP62">
    <cfRule type="cellIs" dxfId="22550" priority="159900" stopIfTrue="1" operator="equal">
      <formula>-1</formula>
    </cfRule>
  </conditionalFormatting>
  <conditionalFormatting sqref="AP62">
    <cfRule type="cellIs" dxfId="22549" priority="159901" stopIfTrue="1" operator="lessThan">
      <formula>0.5</formula>
    </cfRule>
  </conditionalFormatting>
  <conditionalFormatting sqref="AP62">
    <cfRule type="cellIs" dxfId="22548" priority="159902" stopIfTrue="1" operator="greaterThanOrEqual">
      <formula>0.5</formula>
    </cfRule>
  </conditionalFormatting>
  <conditionalFormatting sqref="AP63">
    <cfRule type="cellIs" dxfId="22547" priority="159903" stopIfTrue="1" operator="equal">
      <formula>-1</formula>
    </cfRule>
  </conditionalFormatting>
  <conditionalFormatting sqref="AP63">
    <cfRule type="cellIs" dxfId="22546" priority="159904" stopIfTrue="1" operator="lessThan">
      <formula>0.5</formula>
    </cfRule>
  </conditionalFormatting>
  <conditionalFormatting sqref="AP63">
    <cfRule type="cellIs" dxfId="22545" priority="159905" stopIfTrue="1" operator="greaterThanOrEqual">
      <formula>0.5</formula>
    </cfRule>
  </conditionalFormatting>
  <conditionalFormatting sqref="AR60">
    <cfRule type="cellIs" dxfId="22544" priority="159906" stopIfTrue="1" operator="equal">
      <formula>-1</formula>
    </cfRule>
  </conditionalFormatting>
  <conditionalFormatting sqref="AR60">
    <cfRule type="cellIs" dxfId="22543" priority="159907" stopIfTrue="1" operator="lessThan">
      <formula>0.5</formula>
    </cfRule>
  </conditionalFormatting>
  <conditionalFormatting sqref="AR60">
    <cfRule type="cellIs" dxfId="22542" priority="159908" stopIfTrue="1" operator="greaterThanOrEqual">
      <formula>0.5</formula>
    </cfRule>
  </conditionalFormatting>
  <conditionalFormatting sqref="AR61">
    <cfRule type="cellIs" dxfId="22541" priority="159909" stopIfTrue="1" operator="equal">
      <formula>-1</formula>
    </cfRule>
  </conditionalFormatting>
  <conditionalFormatting sqref="AR61">
    <cfRule type="cellIs" dxfId="22540" priority="159910" stopIfTrue="1" operator="lessThan">
      <formula>0.5</formula>
    </cfRule>
  </conditionalFormatting>
  <conditionalFormatting sqref="AR61">
    <cfRule type="cellIs" dxfId="22539" priority="159911" stopIfTrue="1" operator="greaterThanOrEqual">
      <formula>0.5</formula>
    </cfRule>
  </conditionalFormatting>
  <conditionalFormatting sqref="AR62">
    <cfRule type="cellIs" dxfId="22538" priority="159912" stopIfTrue="1" operator="equal">
      <formula>-1</formula>
    </cfRule>
  </conditionalFormatting>
  <conditionalFormatting sqref="AR62">
    <cfRule type="cellIs" dxfId="22537" priority="159913" stopIfTrue="1" operator="lessThan">
      <formula>0.5</formula>
    </cfRule>
  </conditionalFormatting>
  <conditionalFormatting sqref="AR62">
    <cfRule type="cellIs" dxfId="22536" priority="159914" stopIfTrue="1" operator="greaterThanOrEqual">
      <formula>0.5</formula>
    </cfRule>
  </conditionalFormatting>
  <conditionalFormatting sqref="AR63">
    <cfRule type="cellIs" dxfId="22535" priority="159915" stopIfTrue="1" operator="equal">
      <formula>-1</formula>
    </cfRule>
  </conditionalFormatting>
  <conditionalFormatting sqref="AR63">
    <cfRule type="cellIs" dxfId="22534" priority="159916" stopIfTrue="1" operator="lessThan">
      <formula>0.5</formula>
    </cfRule>
  </conditionalFormatting>
  <conditionalFormatting sqref="AR63">
    <cfRule type="cellIs" dxfId="22533" priority="159917" stopIfTrue="1" operator="greaterThanOrEqual">
      <formula>0.5</formula>
    </cfRule>
  </conditionalFormatting>
  <conditionalFormatting sqref="AT60">
    <cfRule type="cellIs" dxfId="22532" priority="159918" stopIfTrue="1" operator="equal">
      <formula>-1</formula>
    </cfRule>
  </conditionalFormatting>
  <conditionalFormatting sqref="AT60">
    <cfRule type="cellIs" dxfId="22531" priority="159919" stopIfTrue="1" operator="lessThan">
      <formula>0.5</formula>
    </cfRule>
  </conditionalFormatting>
  <conditionalFormatting sqref="AT60">
    <cfRule type="cellIs" dxfId="22530" priority="159920" stopIfTrue="1" operator="greaterThanOrEqual">
      <formula>0.5</formula>
    </cfRule>
  </conditionalFormatting>
  <conditionalFormatting sqref="AT61">
    <cfRule type="cellIs" dxfId="22529" priority="159921" stopIfTrue="1" operator="equal">
      <formula>-1</formula>
    </cfRule>
  </conditionalFormatting>
  <conditionalFormatting sqref="AT61">
    <cfRule type="cellIs" dxfId="22528" priority="159922" stopIfTrue="1" operator="lessThan">
      <formula>0.5</formula>
    </cfRule>
  </conditionalFormatting>
  <conditionalFormatting sqref="AT61">
    <cfRule type="cellIs" dxfId="22527" priority="159923" stopIfTrue="1" operator="greaterThanOrEqual">
      <formula>0.5</formula>
    </cfRule>
  </conditionalFormatting>
  <conditionalFormatting sqref="AT62">
    <cfRule type="cellIs" dxfId="22526" priority="159924" stopIfTrue="1" operator="equal">
      <formula>-1</formula>
    </cfRule>
  </conditionalFormatting>
  <conditionalFormatting sqref="AT62">
    <cfRule type="cellIs" dxfId="22525" priority="159925" stopIfTrue="1" operator="lessThan">
      <formula>0.5</formula>
    </cfRule>
  </conditionalFormatting>
  <conditionalFormatting sqref="AT62">
    <cfRule type="cellIs" dxfId="22524" priority="159926" stopIfTrue="1" operator="greaterThanOrEqual">
      <formula>0.5</formula>
    </cfRule>
  </conditionalFormatting>
  <conditionalFormatting sqref="AT63">
    <cfRule type="cellIs" dxfId="22523" priority="159927" stopIfTrue="1" operator="equal">
      <formula>-1</formula>
    </cfRule>
  </conditionalFormatting>
  <conditionalFormatting sqref="AT63">
    <cfRule type="cellIs" dxfId="22522" priority="159928" stopIfTrue="1" operator="lessThan">
      <formula>0.5</formula>
    </cfRule>
  </conditionalFormatting>
  <conditionalFormatting sqref="AT63">
    <cfRule type="cellIs" dxfId="22521" priority="159929" stopIfTrue="1" operator="greaterThanOrEqual">
      <formula>0.5</formula>
    </cfRule>
  </conditionalFormatting>
  <conditionalFormatting sqref="AV60">
    <cfRule type="cellIs" dxfId="22520" priority="159930" stopIfTrue="1" operator="equal">
      <formula>-1</formula>
    </cfRule>
  </conditionalFormatting>
  <conditionalFormatting sqref="AV60">
    <cfRule type="cellIs" dxfId="22519" priority="159931" stopIfTrue="1" operator="lessThan">
      <formula>0.5</formula>
    </cfRule>
  </conditionalFormatting>
  <conditionalFormatting sqref="AV60">
    <cfRule type="cellIs" dxfId="22518" priority="159932" stopIfTrue="1" operator="greaterThanOrEqual">
      <formula>0.5</formula>
    </cfRule>
  </conditionalFormatting>
  <conditionalFormatting sqref="AV61">
    <cfRule type="cellIs" dxfId="22517" priority="159933" stopIfTrue="1" operator="equal">
      <formula>-1</formula>
    </cfRule>
  </conditionalFormatting>
  <conditionalFormatting sqref="AV61">
    <cfRule type="cellIs" dxfId="22516" priority="159934" stopIfTrue="1" operator="lessThan">
      <formula>0.5</formula>
    </cfRule>
  </conditionalFormatting>
  <conditionalFormatting sqref="AV61">
    <cfRule type="cellIs" dxfId="22515" priority="159935" stopIfTrue="1" operator="greaterThanOrEqual">
      <formula>0.5</formula>
    </cfRule>
  </conditionalFormatting>
  <conditionalFormatting sqref="AV62">
    <cfRule type="cellIs" dxfId="22514" priority="159936" stopIfTrue="1" operator="equal">
      <formula>-1</formula>
    </cfRule>
  </conditionalFormatting>
  <conditionalFormatting sqref="AV62">
    <cfRule type="cellIs" dxfId="22513" priority="159937" stopIfTrue="1" operator="lessThan">
      <formula>0.5</formula>
    </cfRule>
  </conditionalFormatting>
  <conditionalFormatting sqref="AV62">
    <cfRule type="cellIs" dxfId="22512" priority="159938" stopIfTrue="1" operator="greaterThanOrEqual">
      <formula>0.5</formula>
    </cfRule>
  </conditionalFormatting>
  <conditionalFormatting sqref="AV63">
    <cfRule type="cellIs" dxfId="22511" priority="159939" stopIfTrue="1" operator="equal">
      <formula>-1</formula>
    </cfRule>
  </conditionalFormatting>
  <conditionalFormatting sqref="AV63">
    <cfRule type="cellIs" dxfId="22510" priority="159940" stopIfTrue="1" operator="lessThan">
      <formula>0.5</formula>
    </cfRule>
  </conditionalFormatting>
  <conditionalFormatting sqref="AV63">
    <cfRule type="cellIs" dxfId="22509" priority="159941" stopIfTrue="1" operator="greaterThanOrEqual">
      <formula>0.5</formula>
    </cfRule>
  </conditionalFormatting>
  <conditionalFormatting sqref="AX60">
    <cfRule type="cellIs" dxfId="22508" priority="159942" stopIfTrue="1" operator="equal">
      <formula>-1</formula>
    </cfRule>
  </conditionalFormatting>
  <conditionalFormatting sqref="AX60">
    <cfRule type="cellIs" dxfId="22507" priority="159943" stopIfTrue="1" operator="lessThan">
      <formula>0.5</formula>
    </cfRule>
  </conditionalFormatting>
  <conditionalFormatting sqref="AX60">
    <cfRule type="cellIs" dxfId="22506" priority="159944" stopIfTrue="1" operator="greaterThanOrEqual">
      <formula>0.5</formula>
    </cfRule>
  </conditionalFormatting>
  <conditionalFormatting sqref="AX61">
    <cfRule type="cellIs" dxfId="22505" priority="159945" stopIfTrue="1" operator="equal">
      <formula>-1</formula>
    </cfRule>
  </conditionalFormatting>
  <conditionalFormatting sqref="AX61">
    <cfRule type="cellIs" dxfId="22504" priority="159946" stopIfTrue="1" operator="lessThan">
      <formula>0.5</formula>
    </cfRule>
  </conditionalFormatting>
  <conditionalFormatting sqref="AX61">
    <cfRule type="cellIs" dxfId="22503" priority="159947" stopIfTrue="1" operator="greaterThanOrEqual">
      <formula>0.5</formula>
    </cfRule>
  </conditionalFormatting>
  <conditionalFormatting sqref="AX62">
    <cfRule type="cellIs" dxfId="22502" priority="159948" stopIfTrue="1" operator="equal">
      <formula>-1</formula>
    </cfRule>
  </conditionalFormatting>
  <conditionalFormatting sqref="AX62">
    <cfRule type="cellIs" dxfId="22501" priority="159949" stopIfTrue="1" operator="lessThan">
      <formula>0.5</formula>
    </cfRule>
  </conditionalFormatting>
  <conditionalFormatting sqref="AX62">
    <cfRule type="cellIs" dxfId="22500" priority="159950" stopIfTrue="1" operator="greaterThanOrEqual">
      <formula>0.5</formula>
    </cfRule>
  </conditionalFormatting>
  <conditionalFormatting sqref="AX63">
    <cfRule type="cellIs" dxfId="22499" priority="159951" stopIfTrue="1" operator="equal">
      <formula>-1</formula>
    </cfRule>
  </conditionalFormatting>
  <conditionalFormatting sqref="AX63">
    <cfRule type="cellIs" dxfId="22498" priority="159952" stopIfTrue="1" operator="lessThan">
      <formula>0.5</formula>
    </cfRule>
  </conditionalFormatting>
  <conditionalFormatting sqref="AX63">
    <cfRule type="cellIs" dxfId="22497" priority="159953" stopIfTrue="1" operator="greaterThanOrEqual">
      <formula>0.5</formula>
    </cfRule>
  </conditionalFormatting>
  <conditionalFormatting sqref="AZ60">
    <cfRule type="cellIs" dxfId="22496" priority="159954" stopIfTrue="1" operator="equal">
      <formula>-1</formula>
    </cfRule>
  </conditionalFormatting>
  <conditionalFormatting sqref="AZ60">
    <cfRule type="cellIs" dxfId="22495" priority="159955" stopIfTrue="1" operator="lessThan">
      <formula>0.5</formula>
    </cfRule>
  </conditionalFormatting>
  <conditionalFormatting sqref="AZ60">
    <cfRule type="cellIs" dxfId="22494" priority="159956" stopIfTrue="1" operator="greaterThanOrEqual">
      <formula>0.5</formula>
    </cfRule>
  </conditionalFormatting>
  <conditionalFormatting sqref="AZ61">
    <cfRule type="cellIs" dxfId="22493" priority="159957" stopIfTrue="1" operator="equal">
      <formula>-1</formula>
    </cfRule>
  </conditionalFormatting>
  <conditionalFormatting sqref="AZ61">
    <cfRule type="cellIs" dxfId="22492" priority="159958" stopIfTrue="1" operator="lessThan">
      <formula>0.5</formula>
    </cfRule>
  </conditionalFormatting>
  <conditionalFormatting sqref="AZ61">
    <cfRule type="cellIs" dxfId="22491" priority="159959" stopIfTrue="1" operator="greaterThanOrEqual">
      <formula>0.5</formula>
    </cfRule>
  </conditionalFormatting>
  <conditionalFormatting sqref="AZ62">
    <cfRule type="cellIs" dxfId="22490" priority="159960" stopIfTrue="1" operator="equal">
      <formula>-1</formula>
    </cfRule>
  </conditionalFormatting>
  <conditionalFormatting sqref="AZ62">
    <cfRule type="cellIs" dxfId="22489" priority="159961" stopIfTrue="1" operator="lessThan">
      <formula>0.5</formula>
    </cfRule>
  </conditionalFormatting>
  <conditionalFormatting sqref="AZ62">
    <cfRule type="cellIs" dxfId="22488" priority="159962" stopIfTrue="1" operator="greaterThanOrEqual">
      <formula>0.5</formula>
    </cfRule>
  </conditionalFormatting>
  <conditionalFormatting sqref="AZ63">
    <cfRule type="cellIs" dxfId="22487" priority="159963" stopIfTrue="1" operator="equal">
      <formula>-1</formula>
    </cfRule>
  </conditionalFormatting>
  <conditionalFormatting sqref="AZ63">
    <cfRule type="cellIs" dxfId="22486" priority="159964" stopIfTrue="1" operator="lessThan">
      <formula>0.5</formula>
    </cfRule>
  </conditionalFormatting>
  <conditionalFormatting sqref="AZ63">
    <cfRule type="cellIs" dxfId="22485" priority="159965" stopIfTrue="1" operator="greaterThanOrEqual">
      <formula>0.5</formula>
    </cfRule>
  </conditionalFormatting>
  <conditionalFormatting sqref="BB60">
    <cfRule type="cellIs" dxfId="22484" priority="159966" stopIfTrue="1" operator="equal">
      <formula>-1</formula>
    </cfRule>
  </conditionalFormatting>
  <conditionalFormatting sqref="BB60">
    <cfRule type="cellIs" dxfId="22483" priority="159967" stopIfTrue="1" operator="lessThan">
      <formula>0.5</formula>
    </cfRule>
  </conditionalFormatting>
  <conditionalFormatting sqref="BB60">
    <cfRule type="cellIs" dxfId="22482" priority="159968" stopIfTrue="1" operator="greaterThanOrEqual">
      <formula>0.5</formula>
    </cfRule>
  </conditionalFormatting>
  <conditionalFormatting sqref="BB61">
    <cfRule type="cellIs" dxfId="22481" priority="159969" stopIfTrue="1" operator="equal">
      <formula>-1</formula>
    </cfRule>
  </conditionalFormatting>
  <conditionalFormatting sqref="BB61">
    <cfRule type="cellIs" dxfId="22480" priority="159970" stopIfTrue="1" operator="lessThan">
      <formula>0.5</formula>
    </cfRule>
  </conditionalFormatting>
  <conditionalFormatting sqref="BB61">
    <cfRule type="cellIs" dxfId="22479" priority="159971" stopIfTrue="1" operator="greaterThanOrEqual">
      <formula>0.5</formula>
    </cfRule>
  </conditionalFormatting>
  <conditionalFormatting sqref="BB62">
    <cfRule type="cellIs" dxfId="22478" priority="159972" stopIfTrue="1" operator="equal">
      <formula>-1</formula>
    </cfRule>
  </conditionalFormatting>
  <conditionalFormatting sqref="BB62">
    <cfRule type="cellIs" dxfId="22477" priority="159973" stopIfTrue="1" operator="lessThan">
      <formula>0.5</formula>
    </cfRule>
  </conditionalFormatting>
  <conditionalFormatting sqref="BB62">
    <cfRule type="cellIs" dxfId="22476" priority="159974" stopIfTrue="1" operator="greaterThanOrEqual">
      <formula>0.5</formula>
    </cfRule>
  </conditionalFormatting>
  <conditionalFormatting sqref="BB63">
    <cfRule type="cellIs" dxfId="22475" priority="159975" stopIfTrue="1" operator="equal">
      <formula>-1</formula>
    </cfRule>
  </conditionalFormatting>
  <conditionalFormatting sqref="BB63">
    <cfRule type="cellIs" dxfId="22474" priority="159976" stopIfTrue="1" operator="lessThan">
      <formula>0.5</formula>
    </cfRule>
  </conditionalFormatting>
  <conditionalFormatting sqref="BB63">
    <cfRule type="cellIs" dxfId="22473" priority="159977" stopIfTrue="1" operator="greaterThanOrEqual">
      <formula>0.5</formula>
    </cfRule>
  </conditionalFormatting>
  <conditionalFormatting sqref="BD60">
    <cfRule type="cellIs" dxfId="22472" priority="159978" stopIfTrue="1" operator="equal">
      <formula>-1</formula>
    </cfRule>
  </conditionalFormatting>
  <conditionalFormatting sqref="BD60">
    <cfRule type="cellIs" dxfId="22471" priority="159979" stopIfTrue="1" operator="lessThan">
      <formula>0.5</formula>
    </cfRule>
  </conditionalFormatting>
  <conditionalFormatting sqref="BD60">
    <cfRule type="cellIs" dxfId="22470" priority="159980" stopIfTrue="1" operator="greaterThanOrEqual">
      <formula>0.5</formula>
    </cfRule>
  </conditionalFormatting>
  <conditionalFormatting sqref="BD61">
    <cfRule type="cellIs" dxfId="22469" priority="159981" stopIfTrue="1" operator="equal">
      <formula>-1</formula>
    </cfRule>
  </conditionalFormatting>
  <conditionalFormatting sqref="BD61">
    <cfRule type="cellIs" dxfId="22468" priority="159982" stopIfTrue="1" operator="lessThan">
      <formula>0.5</formula>
    </cfRule>
  </conditionalFormatting>
  <conditionalFormatting sqref="BD61">
    <cfRule type="cellIs" dxfId="22467" priority="159983" stopIfTrue="1" operator="greaterThanOrEqual">
      <formula>0.5</formula>
    </cfRule>
  </conditionalFormatting>
  <conditionalFormatting sqref="BD62">
    <cfRule type="cellIs" dxfId="22466" priority="159984" stopIfTrue="1" operator="equal">
      <formula>-1</formula>
    </cfRule>
  </conditionalFormatting>
  <conditionalFormatting sqref="BD62">
    <cfRule type="cellIs" dxfId="22465" priority="159985" stopIfTrue="1" operator="lessThan">
      <formula>0.5</formula>
    </cfRule>
  </conditionalFormatting>
  <conditionalFormatting sqref="BD62">
    <cfRule type="cellIs" dxfId="22464" priority="159986" stopIfTrue="1" operator="greaterThanOrEqual">
      <formula>0.5</formula>
    </cfRule>
  </conditionalFormatting>
  <conditionalFormatting sqref="BD63">
    <cfRule type="cellIs" dxfId="22463" priority="159987" stopIfTrue="1" operator="equal">
      <formula>-1</formula>
    </cfRule>
  </conditionalFormatting>
  <conditionalFormatting sqref="BD63">
    <cfRule type="cellIs" dxfId="22462" priority="159988" stopIfTrue="1" operator="lessThan">
      <formula>0.5</formula>
    </cfRule>
  </conditionalFormatting>
  <conditionalFormatting sqref="BD63">
    <cfRule type="cellIs" dxfId="22461" priority="159989" stopIfTrue="1" operator="greaterThanOrEqual">
      <formula>0.5</formula>
    </cfRule>
  </conditionalFormatting>
  <conditionalFormatting sqref="BF60">
    <cfRule type="cellIs" dxfId="22460" priority="159990" stopIfTrue="1" operator="equal">
      <formula>-1</formula>
    </cfRule>
  </conditionalFormatting>
  <conditionalFormatting sqref="BF60">
    <cfRule type="cellIs" dxfId="22459" priority="159991" stopIfTrue="1" operator="lessThan">
      <formula>0.5</formula>
    </cfRule>
  </conditionalFormatting>
  <conditionalFormatting sqref="BF60">
    <cfRule type="cellIs" dxfId="22458" priority="159992" stopIfTrue="1" operator="greaterThanOrEqual">
      <formula>0.5</formula>
    </cfRule>
  </conditionalFormatting>
  <conditionalFormatting sqref="BF61">
    <cfRule type="cellIs" dxfId="22457" priority="159993" stopIfTrue="1" operator="equal">
      <formula>-1</formula>
    </cfRule>
  </conditionalFormatting>
  <conditionalFormatting sqref="BF61">
    <cfRule type="cellIs" dxfId="22456" priority="159994" stopIfTrue="1" operator="lessThan">
      <formula>0.5</formula>
    </cfRule>
  </conditionalFormatting>
  <conditionalFormatting sqref="BF61">
    <cfRule type="cellIs" dxfId="22455" priority="159995" stopIfTrue="1" operator="greaterThanOrEqual">
      <formula>0.5</formula>
    </cfRule>
  </conditionalFormatting>
  <conditionalFormatting sqref="BF62">
    <cfRule type="cellIs" dxfId="22454" priority="159996" stopIfTrue="1" operator="equal">
      <formula>-1</formula>
    </cfRule>
  </conditionalFormatting>
  <conditionalFormatting sqref="BF62">
    <cfRule type="cellIs" dxfId="22453" priority="159997" stopIfTrue="1" operator="lessThan">
      <formula>0.5</formula>
    </cfRule>
  </conditionalFormatting>
  <conditionalFormatting sqref="BF62">
    <cfRule type="cellIs" dxfId="22452" priority="159998" stopIfTrue="1" operator="greaterThanOrEqual">
      <formula>0.5</formula>
    </cfRule>
  </conditionalFormatting>
  <conditionalFormatting sqref="BF63">
    <cfRule type="cellIs" dxfId="22451" priority="159999" stopIfTrue="1" operator="equal">
      <formula>-1</formula>
    </cfRule>
  </conditionalFormatting>
  <conditionalFormatting sqref="BF63">
    <cfRule type="cellIs" dxfId="22450" priority="160000" stopIfTrue="1" operator="lessThan">
      <formula>0.5</formula>
    </cfRule>
  </conditionalFormatting>
  <conditionalFormatting sqref="BF63">
    <cfRule type="cellIs" dxfId="22449" priority="160001" stopIfTrue="1" operator="greaterThanOrEqual">
      <formula>0.5</formula>
    </cfRule>
  </conditionalFormatting>
  <conditionalFormatting sqref="BH60">
    <cfRule type="cellIs" dxfId="22448" priority="160002" stopIfTrue="1" operator="equal">
      <formula>-1</formula>
    </cfRule>
  </conditionalFormatting>
  <conditionalFormatting sqref="BH60">
    <cfRule type="cellIs" dxfId="22447" priority="160003" stopIfTrue="1" operator="lessThan">
      <formula>0.5</formula>
    </cfRule>
  </conditionalFormatting>
  <conditionalFormatting sqref="BH60">
    <cfRule type="cellIs" dxfId="22446" priority="160004" stopIfTrue="1" operator="greaterThanOrEqual">
      <formula>0.5</formula>
    </cfRule>
  </conditionalFormatting>
  <conditionalFormatting sqref="BH61">
    <cfRule type="cellIs" dxfId="22445" priority="160005" stopIfTrue="1" operator="equal">
      <formula>-1</formula>
    </cfRule>
  </conditionalFormatting>
  <conditionalFormatting sqref="BH61">
    <cfRule type="cellIs" dxfId="22444" priority="160006" stopIfTrue="1" operator="lessThan">
      <formula>0.5</formula>
    </cfRule>
  </conditionalFormatting>
  <conditionalFormatting sqref="BH61">
    <cfRule type="cellIs" dxfId="22443" priority="160007" stopIfTrue="1" operator="greaterThanOrEqual">
      <formula>0.5</formula>
    </cfRule>
  </conditionalFormatting>
  <conditionalFormatting sqref="BH62">
    <cfRule type="cellIs" dxfId="22442" priority="160008" stopIfTrue="1" operator="equal">
      <formula>-1</formula>
    </cfRule>
  </conditionalFormatting>
  <conditionalFormatting sqref="BH62">
    <cfRule type="cellIs" dxfId="22441" priority="160009" stopIfTrue="1" operator="lessThan">
      <formula>0.5</formula>
    </cfRule>
  </conditionalFormatting>
  <conditionalFormatting sqref="BH62">
    <cfRule type="cellIs" dxfId="22440" priority="160010" stopIfTrue="1" operator="greaterThanOrEqual">
      <formula>0.5</formula>
    </cfRule>
  </conditionalFormatting>
  <conditionalFormatting sqref="BH63">
    <cfRule type="cellIs" dxfId="22439" priority="160011" stopIfTrue="1" operator="equal">
      <formula>-1</formula>
    </cfRule>
  </conditionalFormatting>
  <conditionalFormatting sqref="BH63">
    <cfRule type="cellIs" dxfId="22438" priority="160012" stopIfTrue="1" operator="lessThan">
      <formula>0.5</formula>
    </cfRule>
  </conditionalFormatting>
  <conditionalFormatting sqref="BH63">
    <cfRule type="cellIs" dxfId="22437" priority="160013" stopIfTrue="1" operator="greaterThanOrEqual">
      <formula>0.5</formula>
    </cfRule>
  </conditionalFormatting>
  <conditionalFormatting sqref="BJ60">
    <cfRule type="cellIs" dxfId="22436" priority="160014" stopIfTrue="1" operator="equal">
      <formula>-1</formula>
    </cfRule>
  </conditionalFormatting>
  <conditionalFormatting sqref="BJ60">
    <cfRule type="cellIs" dxfId="22435" priority="160015" stopIfTrue="1" operator="lessThan">
      <formula>0.5</formula>
    </cfRule>
  </conditionalFormatting>
  <conditionalFormatting sqref="BJ60">
    <cfRule type="cellIs" dxfId="22434" priority="160016" stopIfTrue="1" operator="greaterThanOrEqual">
      <formula>0.5</formula>
    </cfRule>
  </conditionalFormatting>
  <conditionalFormatting sqref="BJ61">
    <cfRule type="cellIs" dxfId="22433" priority="160017" stopIfTrue="1" operator="equal">
      <formula>-1</formula>
    </cfRule>
  </conditionalFormatting>
  <conditionalFormatting sqref="BJ61">
    <cfRule type="cellIs" dxfId="22432" priority="160018" stopIfTrue="1" operator="lessThan">
      <formula>0.5</formula>
    </cfRule>
  </conditionalFormatting>
  <conditionalFormatting sqref="BJ61">
    <cfRule type="cellIs" dxfId="22431" priority="160019" stopIfTrue="1" operator="greaterThanOrEqual">
      <formula>0.5</formula>
    </cfRule>
  </conditionalFormatting>
  <conditionalFormatting sqref="BJ62">
    <cfRule type="cellIs" dxfId="22430" priority="160020" stopIfTrue="1" operator="equal">
      <formula>-1</formula>
    </cfRule>
  </conditionalFormatting>
  <conditionalFormatting sqref="BJ62">
    <cfRule type="cellIs" dxfId="22429" priority="160021" stopIfTrue="1" operator="lessThan">
      <formula>0.5</formula>
    </cfRule>
  </conditionalFormatting>
  <conditionalFormatting sqref="BJ62">
    <cfRule type="cellIs" dxfId="22428" priority="160022" stopIfTrue="1" operator="greaterThanOrEqual">
      <formula>0.5</formula>
    </cfRule>
  </conditionalFormatting>
  <conditionalFormatting sqref="BJ63">
    <cfRule type="cellIs" dxfId="22427" priority="160023" stopIfTrue="1" operator="equal">
      <formula>-1</formula>
    </cfRule>
  </conditionalFormatting>
  <conditionalFormatting sqref="BJ63">
    <cfRule type="cellIs" dxfId="22426" priority="160024" stopIfTrue="1" operator="lessThan">
      <formula>0.5</formula>
    </cfRule>
  </conditionalFormatting>
  <conditionalFormatting sqref="BJ63">
    <cfRule type="cellIs" dxfId="22425" priority="160025" stopIfTrue="1" operator="greaterThanOrEqual">
      <formula>0.5</formula>
    </cfRule>
  </conditionalFormatting>
  <conditionalFormatting sqref="D65">
    <cfRule type="cellIs" dxfId="22424" priority="160026" stopIfTrue="1" operator="equal">
      <formula>-1</formula>
    </cfRule>
  </conditionalFormatting>
  <conditionalFormatting sqref="D65">
    <cfRule type="cellIs" dxfId="22423" priority="160027" stopIfTrue="1" operator="lessThan">
      <formula>0.5</formula>
    </cfRule>
  </conditionalFormatting>
  <conditionalFormatting sqref="D65">
    <cfRule type="cellIs" dxfId="22422" priority="160028" stopIfTrue="1" operator="greaterThanOrEqual">
      <formula>0.5</formula>
    </cfRule>
  </conditionalFormatting>
  <conditionalFormatting sqref="D66">
    <cfRule type="cellIs" dxfId="22421" priority="160029" stopIfTrue="1" operator="equal">
      <formula>-1</formula>
    </cfRule>
  </conditionalFormatting>
  <conditionalFormatting sqref="D66">
    <cfRule type="cellIs" dxfId="22420" priority="160030" stopIfTrue="1" operator="lessThan">
      <formula>0.5</formula>
    </cfRule>
  </conditionalFormatting>
  <conditionalFormatting sqref="D66">
    <cfRule type="cellIs" dxfId="22419" priority="160031" stopIfTrue="1" operator="greaterThanOrEqual">
      <formula>0.5</formula>
    </cfRule>
  </conditionalFormatting>
  <conditionalFormatting sqref="D67">
    <cfRule type="cellIs" dxfId="22418" priority="160032" stopIfTrue="1" operator="equal">
      <formula>-1</formula>
    </cfRule>
  </conditionalFormatting>
  <conditionalFormatting sqref="D67">
    <cfRule type="cellIs" dxfId="22417" priority="160033" stopIfTrue="1" operator="lessThan">
      <formula>0.5</formula>
    </cfRule>
  </conditionalFormatting>
  <conditionalFormatting sqref="D67">
    <cfRule type="cellIs" dxfId="22416" priority="160034" stopIfTrue="1" operator="greaterThanOrEqual">
      <formula>0.5</formula>
    </cfRule>
  </conditionalFormatting>
  <conditionalFormatting sqref="D68">
    <cfRule type="cellIs" dxfId="22415" priority="160035" stopIfTrue="1" operator="equal">
      <formula>-1</formula>
    </cfRule>
  </conditionalFormatting>
  <conditionalFormatting sqref="D68">
    <cfRule type="cellIs" dxfId="22414" priority="160036" stopIfTrue="1" operator="lessThan">
      <formula>0.5</formula>
    </cfRule>
  </conditionalFormatting>
  <conditionalFormatting sqref="D68">
    <cfRule type="cellIs" dxfId="22413" priority="160037" stopIfTrue="1" operator="greaterThanOrEqual">
      <formula>0.5</formula>
    </cfRule>
  </conditionalFormatting>
  <conditionalFormatting sqref="D69">
    <cfRule type="cellIs" dxfId="22412" priority="160038" stopIfTrue="1" operator="equal">
      <formula>-1</formula>
    </cfRule>
  </conditionalFormatting>
  <conditionalFormatting sqref="D69">
    <cfRule type="cellIs" dxfId="22411" priority="160039" stopIfTrue="1" operator="lessThan">
      <formula>0.5</formula>
    </cfRule>
  </conditionalFormatting>
  <conditionalFormatting sqref="D69">
    <cfRule type="cellIs" dxfId="22410" priority="160040" stopIfTrue="1" operator="greaterThanOrEqual">
      <formula>0.5</formula>
    </cfRule>
  </conditionalFormatting>
  <conditionalFormatting sqref="D70">
    <cfRule type="cellIs" dxfId="22409" priority="160041" stopIfTrue="1" operator="equal">
      <formula>-1</formula>
    </cfRule>
  </conditionalFormatting>
  <conditionalFormatting sqref="D70">
    <cfRule type="cellIs" dxfId="22408" priority="160042" stopIfTrue="1" operator="lessThan">
      <formula>0.5</formula>
    </cfRule>
  </conditionalFormatting>
  <conditionalFormatting sqref="D70">
    <cfRule type="cellIs" dxfId="22407" priority="160043" stopIfTrue="1" operator="greaterThanOrEqual">
      <formula>0.5</formula>
    </cfRule>
  </conditionalFormatting>
  <conditionalFormatting sqref="D71">
    <cfRule type="cellIs" dxfId="22406" priority="160044" stopIfTrue="1" operator="equal">
      <formula>-1</formula>
    </cfRule>
  </conditionalFormatting>
  <conditionalFormatting sqref="D71">
    <cfRule type="cellIs" dxfId="22405" priority="160045" stopIfTrue="1" operator="lessThan">
      <formula>0.5</formula>
    </cfRule>
  </conditionalFormatting>
  <conditionalFormatting sqref="D71">
    <cfRule type="cellIs" dxfId="22404" priority="160046" stopIfTrue="1" operator="greaterThanOrEqual">
      <formula>0.5</formula>
    </cfRule>
  </conditionalFormatting>
  <conditionalFormatting sqref="D72">
    <cfRule type="cellIs" dxfId="22403" priority="160047" stopIfTrue="1" operator="equal">
      <formula>-1</formula>
    </cfRule>
  </conditionalFormatting>
  <conditionalFormatting sqref="D72">
    <cfRule type="cellIs" dxfId="22402" priority="160048" stopIfTrue="1" operator="lessThan">
      <formula>0.5</formula>
    </cfRule>
  </conditionalFormatting>
  <conditionalFormatting sqref="D72">
    <cfRule type="cellIs" dxfId="22401" priority="160049" stopIfTrue="1" operator="greaterThanOrEqual">
      <formula>0.5</formula>
    </cfRule>
  </conditionalFormatting>
  <conditionalFormatting sqref="D73">
    <cfRule type="cellIs" dxfId="22400" priority="160050" stopIfTrue="1" operator="equal">
      <formula>-1</formula>
    </cfRule>
  </conditionalFormatting>
  <conditionalFormatting sqref="D73">
    <cfRule type="cellIs" dxfId="22399" priority="160051" stopIfTrue="1" operator="lessThan">
      <formula>0.5</formula>
    </cfRule>
  </conditionalFormatting>
  <conditionalFormatting sqref="D73">
    <cfRule type="cellIs" dxfId="22398" priority="160052" stopIfTrue="1" operator="greaterThanOrEqual">
      <formula>0.5</formula>
    </cfRule>
  </conditionalFormatting>
  <conditionalFormatting sqref="D74">
    <cfRule type="cellIs" dxfId="22397" priority="160053" stopIfTrue="1" operator="equal">
      <formula>-1</formula>
    </cfRule>
  </conditionalFormatting>
  <conditionalFormatting sqref="D74">
    <cfRule type="cellIs" dxfId="22396" priority="160054" stopIfTrue="1" operator="lessThan">
      <formula>0.5</formula>
    </cfRule>
  </conditionalFormatting>
  <conditionalFormatting sqref="D74">
    <cfRule type="cellIs" dxfId="22395" priority="160055" stopIfTrue="1" operator="greaterThanOrEqual">
      <formula>0.5</formula>
    </cfRule>
  </conditionalFormatting>
  <conditionalFormatting sqref="D75">
    <cfRule type="cellIs" dxfId="22394" priority="160056" stopIfTrue="1" operator="equal">
      <formula>-1</formula>
    </cfRule>
  </conditionalFormatting>
  <conditionalFormatting sqref="D75">
    <cfRule type="cellIs" dxfId="22393" priority="160057" stopIfTrue="1" operator="lessThan">
      <formula>0.5</formula>
    </cfRule>
  </conditionalFormatting>
  <conditionalFormatting sqref="D75">
    <cfRule type="cellIs" dxfId="22392" priority="160058" stopIfTrue="1" operator="greaterThanOrEqual">
      <formula>0.5</formula>
    </cfRule>
  </conditionalFormatting>
  <conditionalFormatting sqref="D76">
    <cfRule type="cellIs" dxfId="22391" priority="160059" stopIfTrue="1" operator="equal">
      <formula>-1</formula>
    </cfRule>
  </conditionalFormatting>
  <conditionalFormatting sqref="D76">
    <cfRule type="cellIs" dxfId="22390" priority="160060" stopIfTrue="1" operator="lessThan">
      <formula>0.5</formula>
    </cfRule>
  </conditionalFormatting>
  <conditionalFormatting sqref="D76">
    <cfRule type="cellIs" dxfId="22389" priority="160061" stopIfTrue="1" operator="greaterThanOrEqual">
      <formula>0.5</formula>
    </cfRule>
  </conditionalFormatting>
  <conditionalFormatting sqref="D77">
    <cfRule type="cellIs" dxfId="22388" priority="160062" stopIfTrue="1" operator="equal">
      <formula>-1</formula>
    </cfRule>
  </conditionalFormatting>
  <conditionalFormatting sqref="D77">
    <cfRule type="cellIs" dxfId="22387" priority="160063" stopIfTrue="1" operator="lessThan">
      <formula>0.5</formula>
    </cfRule>
  </conditionalFormatting>
  <conditionalFormatting sqref="D77">
    <cfRule type="cellIs" dxfId="22386" priority="160064" stopIfTrue="1" operator="greaterThanOrEqual">
      <formula>0.5</formula>
    </cfRule>
  </conditionalFormatting>
  <conditionalFormatting sqref="D78">
    <cfRule type="cellIs" dxfId="22385" priority="160065" stopIfTrue="1" operator="equal">
      <formula>-1</formula>
    </cfRule>
  </conditionalFormatting>
  <conditionalFormatting sqref="D78">
    <cfRule type="cellIs" dxfId="22384" priority="160066" stopIfTrue="1" operator="lessThan">
      <formula>0.5</formula>
    </cfRule>
  </conditionalFormatting>
  <conditionalFormatting sqref="D78">
    <cfRule type="cellIs" dxfId="22383" priority="160067" stopIfTrue="1" operator="greaterThanOrEqual">
      <formula>0.5</formula>
    </cfRule>
  </conditionalFormatting>
  <conditionalFormatting sqref="D79">
    <cfRule type="cellIs" dxfId="22382" priority="160068" stopIfTrue="1" operator="equal">
      <formula>-1</formula>
    </cfRule>
  </conditionalFormatting>
  <conditionalFormatting sqref="D79">
    <cfRule type="cellIs" dxfId="22381" priority="160069" stopIfTrue="1" operator="lessThan">
      <formula>0.5</formula>
    </cfRule>
  </conditionalFormatting>
  <conditionalFormatting sqref="D79">
    <cfRule type="cellIs" dxfId="22380" priority="160070" stopIfTrue="1" operator="greaterThanOrEqual">
      <formula>0.5</formula>
    </cfRule>
  </conditionalFormatting>
  <conditionalFormatting sqref="D80">
    <cfRule type="cellIs" dxfId="22379" priority="160071" stopIfTrue="1" operator="equal">
      <formula>-1</formula>
    </cfRule>
  </conditionalFormatting>
  <conditionalFormatting sqref="D80">
    <cfRule type="cellIs" dxfId="22378" priority="160072" stopIfTrue="1" operator="lessThan">
      <formula>0.5</formula>
    </cfRule>
  </conditionalFormatting>
  <conditionalFormatting sqref="D80">
    <cfRule type="cellIs" dxfId="22377" priority="160073" stopIfTrue="1" operator="greaterThanOrEqual">
      <formula>0.5</formula>
    </cfRule>
  </conditionalFormatting>
  <conditionalFormatting sqref="D81">
    <cfRule type="cellIs" dxfId="22376" priority="160074" stopIfTrue="1" operator="equal">
      <formula>-1</formula>
    </cfRule>
  </conditionalFormatting>
  <conditionalFormatting sqref="D81">
    <cfRule type="cellIs" dxfId="22375" priority="160075" stopIfTrue="1" operator="lessThan">
      <formula>0.5</formula>
    </cfRule>
  </conditionalFormatting>
  <conditionalFormatting sqref="D81">
    <cfRule type="cellIs" dxfId="22374" priority="160076" stopIfTrue="1" operator="greaterThanOrEqual">
      <formula>0.5</formula>
    </cfRule>
  </conditionalFormatting>
  <conditionalFormatting sqref="D82">
    <cfRule type="cellIs" dxfId="22373" priority="160077" stopIfTrue="1" operator="equal">
      <formula>-1</formula>
    </cfRule>
  </conditionalFormatting>
  <conditionalFormatting sqref="D82">
    <cfRule type="cellIs" dxfId="22372" priority="160078" stopIfTrue="1" operator="lessThan">
      <formula>0.5</formula>
    </cfRule>
  </conditionalFormatting>
  <conditionalFormatting sqref="D82">
    <cfRule type="cellIs" dxfId="22371" priority="160079" stopIfTrue="1" operator="greaterThanOrEqual">
      <formula>0.5</formula>
    </cfRule>
  </conditionalFormatting>
  <conditionalFormatting sqref="D83">
    <cfRule type="cellIs" dxfId="22370" priority="160080" stopIfTrue="1" operator="equal">
      <formula>-1</formula>
    </cfRule>
  </conditionalFormatting>
  <conditionalFormatting sqref="D83">
    <cfRule type="cellIs" dxfId="22369" priority="160081" stopIfTrue="1" operator="lessThan">
      <formula>0.5</formula>
    </cfRule>
  </conditionalFormatting>
  <conditionalFormatting sqref="D83">
    <cfRule type="cellIs" dxfId="22368" priority="160082" stopIfTrue="1" operator="greaterThanOrEqual">
      <formula>0.5</formula>
    </cfRule>
  </conditionalFormatting>
  <conditionalFormatting sqref="D84">
    <cfRule type="cellIs" dxfId="22367" priority="160083" stopIfTrue="1" operator="equal">
      <formula>-1</formula>
    </cfRule>
  </conditionalFormatting>
  <conditionalFormatting sqref="D84">
    <cfRule type="cellIs" dxfId="22366" priority="160084" stopIfTrue="1" operator="lessThan">
      <formula>0.5</formula>
    </cfRule>
  </conditionalFormatting>
  <conditionalFormatting sqref="D84">
    <cfRule type="cellIs" dxfId="22365" priority="160085" stopIfTrue="1" operator="greaterThanOrEqual">
      <formula>0.5</formula>
    </cfRule>
  </conditionalFormatting>
  <conditionalFormatting sqref="D85">
    <cfRule type="cellIs" dxfId="22364" priority="160086" stopIfTrue="1" operator="equal">
      <formula>-1</formula>
    </cfRule>
  </conditionalFormatting>
  <conditionalFormatting sqref="D85">
    <cfRule type="cellIs" dxfId="22363" priority="160087" stopIfTrue="1" operator="lessThan">
      <formula>0.5</formula>
    </cfRule>
  </conditionalFormatting>
  <conditionalFormatting sqref="D85">
    <cfRule type="cellIs" dxfId="22362" priority="160088" stopIfTrue="1" operator="greaterThanOrEqual">
      <formula>0.5</formula>
    </cfRule>
  </conditionalFormatting>
  <conditionalFormatting sqref="F65">
    <cfRule type="cellIs" dxfId="22361" priority="160089" stopIfTrue="1" operator="equal">
      <formula>-1</formula>
    </cfRule>
  </conditionalFormatting>
  <conditionalFormatting sqref="F65">
    <cfRule type="cellIs" dxfId="22360" priority="160090" stopIfTrue="1" operator="lessThan">
      <formula>0.5</formula>
    </cfRule>
  </conditionalFormatting>
  <conditionalFormatting sqref="F65">
    <cfRule type="cellIs" dxfId="22359" priority="160091" stopIfTrue="1" operator="greaterThanOrEqual">
      <formula>0.5</formula>
    </cfRule>
  </conditionalFormatting>
  <conditionalFormatting sqref="F66">
    <cfRule type="cellIs" dxfId="22358" priority="160092" stopIfTrue="1" operator="equal">
      <formula>-1</formula>
    </cfRule>
  </conditionalFormatting>
  <conditionalFormatting sqref="F66">
    <cfRule type="cellIs" dxfId="22357" priority="160093" stopIfTrue="1" operator="lessThan">
      <formula>0.5</formula>
    </cfRule>
  </conditionalFormatting>
  <conditionalFormatting sqref="F66">
    <cfRule type="cellIs" dxfId="22356" priority="160094" stopIfTrue="1" operator="greaterThanOrEqual">
      <formula>0.5</formula>
    </cfRule>
  </conditionalFormatting>
  <conditionalFormatting sqref="F67">
    <cfRule type="cellIs" dxfId="22355" priority="160095" stopIfTrue="1" operator="equal">
      <formula>-1</formula>
    </cfRule>
  </conditionalFormatting>
  <conditionalFormatting sqref="F67">
    <cfRule type="cellIs" dxfId="22354" priority="160096" stopIfTrue="1" operator="lessThan">
      <formula>0.5</formula>
    </cfRule>
  </conditionalFormatting>
  <conditionalFormatting sqref="F67">
    <cfRule type="cellIs" dxfId="22353" priority="160097" stopIfTrue="1" operator="greaterThanOrEqual">
      <formula>0.5</formula>
    </cfRule>
  </conditionalFormatting>
  <conditionalFormatting sqref="F68">
    <cfRule type="cellIs" dxfId="22352" priority="160098" stopIfTrue="1" operator="equal">
      <formula>-1</formula>
    </cfRule>
  </conditionalFormatting>
  <conditionalFormatting sqref="F68">
    <cfRule type="cellIs" dxfId="22351" priority="160099" stopIfTrue="1" operator="lessThan">
      <formula>0.5</formula>
    </cfRule>
  </conditionalFormatting>
  <conditionalFormatting sqref="F68">
    <cfRule type="cellIs" dxfId="22350" priority="160100" stopIfTrue="1" operator="greaterThanOrEqual">
      <formula>0.5</formula>
    </cfRule>
  </conditionalFormatting>
  <conditionalFormatting sqref="F69">
    <cfRule type="cellIs" dxfId="22349" priority="160101" stopIfTrue="1" operator="equal">
      <formula>-1</formula>
    </cfRule>
  </conditionalFormatting>
  <conditionalFormatting sqref="F69">
    <cfRule type="cellIs" dxfId="22348" priority="160102" stopIfTrue="1" operator="lessThan">
      <formula>0.5</formula>
    </cfRule>
  </conditionalFormatting>
  <conditionalFormatting sqref="F69">
    <cfRule type="cellIs" dxfId="22347" priority="160103" stopIfTrue="1" operator="greaterThanOrEqual">
      <formula>0.5</formula>
    </cfRule>
  </conditionalFormatting>
  <conditionalFormatting sqref="F70">
    <cfRule type="cellIs" dxfId="22346" priority="160104" stopIfTrue="1" operator="equal">
      <formula>-1</formula>
    </cfRule>
  </conditionalFormatting>
  <conditionalFormatting sqref="F70">
    <cfRule type="cellIs" dxfId="22345" priority="160105" stopIfTrue="1" operator="lessThan">
      <formula>0.5</formula>
    </cfRule>
  </conditionalFormatting>
  <conditionalFormatting sqref="F70">
    <cfRule type="cellIs" dxfId="22344" priority="160106" stopIfTrue="1" operator="greaterThanOrEqual">
      <formula>0.5</formula>
    </cfRule>
  </conditionalFormatting>
  <conditionalFormatting sqref="F71">
    <cfRule type="cellIs" dxfId="22343" priority="160107" stopIfTrue="1" operator="equal">
      <formula>-1</formula>
    </cfRule>
  </conditionalFormatting>
  <conditionalFormatting sqref="F71">
    <cfRule type="cellIs" dxfId="22342" priority="160108" stopIfTrue="1" operator="lessThan">
      <formula>0.5</formula>
    </cfRule>
  </conditionalFormatting>
  <conditionalFormatting sqref="F71">
    <cfRule type="cellIs" dxfId="22341" priority="160109" stopIfTrue="1" operator="greaterThanOrEqual">
      <formula>0.5</formula>
    </cfRule>
  </conditionalFormatting>
  <conditionalFormatting sqref="F72">
    <cfRule type="cellIs" dxfId="22340" priority="160110" stopIfTrue="1" operator="equal">
      <formula>-1</formula>
    </cfRule>
  </conditionalFormatting>
  <conditionalFormatting sqref="F72">
    <cfRule type="cellIs" dxfId="22339" priority="160111" stopIfTrue="1" operator="lessThan">
      <formula>0.5</formula>
    </cfRule>
  </conditionalFormatting>
  <conditionalFormatting sqref="F72">
    <cfRule type="cellIs" dxfId="22338" priority="160112" stopIfTrue="1" operator="greaterThanOrEqual">
      <formula>0.5</formula>
    </cfRule>
  </conditionalFormatting>
  <conditionalFormatting sqref="F73">
    <cfRule type="cellIs" dxfId="22337" priority="160113" stopIfTrue="1" operator="equal">
      <formula>-1</formula>
    </cfRule>
  </conditionalFormatting>
  <conditionalFormatting sqref="F73">
    <cfRule type="cellIs" dxfId="22336" priority="160114" stopIfTrue="1" operator="lessThan">
      <formula>0.5</formula>
    </cfRule>
  </conditionalFormatting>
  <conditionalFormatting sqref="F73">
    <cfRule type="cellIs" dxfId="22335" priority="160115" stopIfTrue="1" operator="greaterThanOrEqual">
      <formula>0.5</formula>
    </cfRule>
  </conditionalFormatting>
  <conditionalFormatting sqref="F74">
    <cfRule type="cellIs" dxfId="22334" priority="160116" stopIfTrue="1" operator="equal">
      <formula>-1</formula>
    </cfRule>
  </conditionalFormatting>
  <conditionalFormatting sqref="F74">
    <cfRule type="cellIs" dxfId="22333" priority="160117" stopIfTrue="1" operator="lessThan">
      <formula>0.5</formula>
    </cfRule>
  </conditionalFormatting>
  <conditionalFormatting sqref="F74">
    <cfRule type="cellIs" dxfId="22332" priority="160118" stopIfTrue="1" operator="greaterThanOrEqual">
      <formula>0.5</formula>
    </cfRule>
  </conditionalFormatting>
  <conditionalFormatting sqref="F75">
    <cfRule type="cellIs" dxfId="22331" priority="160119" stopIfTrue="1" operator="equal">
      <formula>-1</formula>
    </cfRule>
  </conditionalFormatting>
  <conditionalFormatting sqref="F75">
    <cfRule type="cellIs" dxfId="22330" priority="160120" stopIfTrue="1" operator="lessThan">
      <formula>0.5</formula>
    </cfRule>
  </conditionalFormatting>
  <conditionalFormatting sqref="F75">
    <cfRule type="cellIs" dxfId="22329" priority="160121" stopIfTrue="1" operator="greaterThanOrEqual">
      <formula>0.5</formula>
    </cfRule>
  </conditionalFormatting>
  <conditionalFormatting sqref="F76">
    <cfRule type="cellIs" dxfId="22328" priority="160122" stopIfTrue="1" operator="equal">
      <formula>-1</formula>
    </cfRule>
  </conditionalFormatting>
  <conditionalFormatting sqref="F76">
    <cfRule type="cellIs" dxfId="22327" priority="160123" stopIfTrue="1" operator="lessThan">
      <formula>0.5</formula>
    </cfRule>
  </conditionalFormatting>
  <conditionalFormatting sqref="F76">
    <cfRule type="cellIs" dxfId="22326" priority="160124" stopIfTrue="1" operator="greaterThanOrEqual">
      <formula>0.5</formula>
    </cfRule>
  </conditionalFormatting>
  <conditionalFormatting sqref="F77">
    <cfRule type="cellIs" dxfId="22325" priority="160125" stopIfTrue="1" operator="equal">
      <formula>-1</formula>
    </cfRule>
  </conditionalFormatting>
  <conditionalFormatting sqref="F77">
    <cfRule type="cellIs" dxfId="22324" priority="160126" stopIfTrue="1" operator="lessThan">
      <formula>0.5</formula>
    </cfRule>
  </conditionalFormatting>
  <conditionalFormatting sqref="F77">
    <cfRule type="cellIs" dxfId="22323" priority="160127" stopIfTrue="1" operator="greaterThanOrEqual">
      <formula>0.5</formula>
    </cfRule>
  </conditionalFormatting>
  <conditionalFormatting sqref="F78">
    <cfRule type="cellIs" dxfId="22322" priority="160128" stopIfTrue="1" operator="equal">
      <formula>-1</formula>
    </cfRule>
  </conditionalFormatting>
  <conditionalFormatting sqref="F78">
    <cfRule type="cellIs" dxfId="22321" priority="160129" stopIfTrue="1" operator="lessThan">
      <formula>0.5</formula>
    </cfRule>
  </conditionalFormatting>
  <conditionalFormatting sqref="F78">
    <cfRule type="cellIs" dxfId="22320" priority="160130" stopIfTrue="1" operator="greaterThanOrEqual">
      <formula>0.5</formula>
    </cfRule>
  </conditionalFormatting>
  <conditionalFormatting sqref="F79">
    <cfRule type="cellIs" dxfId="22319" priority="160131" stopIfTrue="1" operator="equal">
      <formula>-1</formula>
    </cfRule>
  </conditionalFormatting>
  <conditionalFormatting sqref="F79">
    <cfRule type="cellIs" dxfId="22318" priority="160132" stopIfTrue="1" operator="lessThan">
      <formula>0.5</formula>
    </cfRule>
  </conditionalFormatting>
  <conditionalFormatting sqref="F79">
    <cfRule type="cellIs" dxfId="22317" priority="160133" stopIfTrue="1" operator="greaterThanOrEqual">
      <formula>0.5</formula>
    </cfRule>
  </conditionalFormatting>
  <conditionalFormatting sqref="F80">
    <cfRule type="cellIs" dxfId="22316" priority="160134" stopIfTrue="1" operator="equal">
      <formula>-1</formula>
    </cfRule>
  </conditionalFormatting>
  <conditionalFormatting sqref="F80">
    <cfRule type="cellIs" dxfId="22315" priority="160135" stopIfTrue="1" operator="lessThan">
      <formula>0.5</formula>
    </cfRule>
  </conditionalFormatting>
  <conditionalFormatting sqref="F80">
    <cfRule type="cellIs" dxfId="22314" priority="160136" stopIfTrue="1" operator="greaterThanOrEqual">
      <formula>0.5</formula>
    </cfRule>
  </conditionalFormatting>
  <conditionalFormatting sqref="F81">
    <cfRule type="cellIs" dxfId="22313" priority="160137" stopIfTrue="1" operator="equal">
      <formula>-1</formula>
    </cfRule>
  </conditionalFormatting>
  <conditionalFormatting sqref="F81">
    <cfRule type="cellIs" dxfId="22312" priority="160138" stopIfTrue="1" operator="lessThan">
      <formula>0.5</formula>
    </cfRule>
  </conditionalFormatting>
  <conditionalFormatting sqref="F81">
    <cfRule type="cellIs" dxfId="22311" priority="160139" stopIfTrue="1" operator="greaterThanOrEqual">
      <formula>0.5</formula>
    </cfRule>
  </conditionalFormatting>
  <conditionalFormatting sqref="F82">
    <cfRule type="cellIs" dxfId="22310" priority="160140" stopIfTrue="1" operator="equal">
      <formula>-1</formula>
    </cfRule>
  </conditionalFormatting>
  <conditionalFormatting sqref="F82">
    <cfRule type="cellIs" dxfId="22309" priority="160141" stopIfTrue="1" operator="lessThan">
      <formula>0.5</formula>
    </cfRule>
  </conditionalFormatting>
  <conditionalFormatting sqref="F82">
    <cfRule type="cellIs" dxfId="22308" priority="160142" stopIfTrue="1" operator="greaterThanOrEqual">
      <formula>0.5</formula>
    </cfRule>
  </conditionalFormatting>
  <conditionalFormatting sqref="F83">
    <cfRule type="cellIs" dxfId="22307" priority="160143" stopIfTrue="1" operator="equal">
      <formula>-1</formula>
    </cfRule>
  </conditionalFormatting>
  <conditionalFormatting sqref="F83">
    <cfRule type="cellIs" dxfId="22306" priority="160144" stopIfTrue="1" operator="lessThan">
      <formula>0.5</formula>
    </cfRule>
  </conditionalFormatting>
  <conditionalFormatting sqref="F83">
    <cfRule type="cellIs" dxfId="22305" priority="160145" stopIfTrue="1" operator="greaterThanOrEqual">
      <formula>0.5</formula>
    </cfRule>
  </conditionalFormatting>
  <conditionalFormatting sqref="F84">
    <cfRule type="cellIs" dxfId="22304" priority="160146" stopIfTrue="1" operator="equal">
      <formula>-1</formula>
    </cfRule>
  </conditionalFormatting>
  <conditionalFormatting sqref="F84">
    <cfRule type="cellIs" dxfId="22303" priority="160147" stopIfTrue="1" operator="lessThan">
      <formula>0.5</formula>
    </cfRule>
  </conditionalFormatting>
  <conditionalFormatting sqref="F84">
    <cfRule type="cellIs" dxfId="22302" priority="160148" stopIfTrue="1" operator="greaterThanOrEqual">
      <formula>0.5</formula>
    </cfRule>
  </conditionalFormatting>
  <conditionalFormatting sqref="F85">
    <cfRule type="cellIs" dxfId="22301" priority="160149" stopIfTrue="1" operator="equal">
      <formula>-1</formula>
    </cfRule>
  </conditionalFormatting>
  <conditionalFormatting sqref="F85">
    <cfRule type="cellIs" dxfId="22300" priority="160150" stopIfTrue="1" operator="lessThan">
      <formula>0.5</formula>
    </cfRule>
  </conditionalFormatting>
  <conditionalFormatting sqref="F85">
    <cfRule type="cellIs" dxfId="22299" priority="160151" stopIfTrue="1" operator="greaterThanOrEqual">
      <formula>0.5</formula>
    </cfRule>
  </conditionalFormatting>
  <conditionalFormatting sqref="H65">
    <cfRule type="cellIs" dxfId="22298" priority="160152" stopIfTrue="1" operator="equal">
      <formula>-1</formula>
    </cfRule>
  </conditionalFormatting>
  <conditionalFormatting sqref="H65">
    <cfRule type="cellIs" dxfId="22297" priority="160153" stopIfTrue="1" operator="lessThan">
      <formula>0.5</formula>
    </cfRule>
  </conditionalFormatting>
  <conditionalFormatting sqref="H65">
    <cfRule type="cellIs" dxfId="22296" priority="160154" stopIfTrue="1" operator="greaterThanOrEqual">
      <formula>0.5</formula>
    </cfRule>
  </conditionalFormatting>
  <conditionalFormatting sqref="H66">
    <cfRule type="cellIs" dxfId="22295" priority="160155" stopIfTrue="1" operator="equal">
      <formula>-1</formula>
    </cfRule>
  </conditionalFormatting>
  <conditionalFormatting sqref="H66">
    <cfRule type="cellIs" dxfId="22294" priority="160156" stopIfTrue="1" operator="lessThan">
      <formula>0.5</formula>
    </cfRule>
  </conditionalFormatting>
  <conditionalFormatting sqref="H66">
    <cfRule type="cellIs" dxfId="22293" priority="160157" stopIfTrue="1" operator="greaterThanOrEqual">
      <formula>0.5</formula>
    </cfRule>
  </conditionalFormatting>
  <conditionalFormatting sqref="H67">
    <cfRule type="cellIs" dxfId="22292" priority="160158" stopIfTrue="1" operator="equal">
      <formula>-1</formula>
    </cfRule>
  </conditionalFormatting>
  <conditionalFormatting sqref="H67">
    <cfRule type="cellIs" dxfId="22291" priority="160159" stopIfTrue="1" operator="lessThan">
      <formula>0.5</formula>
    </cfRule>
  </conditionalFormatting>
  <conditionalFormatting sqref="H67">
    <cfRule type="cellIs" dxfId="22290" priority="160160" stopIfTrue="1" operator="greaterThanOrEqual">
      <formula>0.5</formula>
    </cfRule>
  </conditionalFormatting>
  <conditionalFormatting sqref="H68">
    <cfRule type="cellIs" dxfId="22289" priority="160161" stopIfTrue="1" operator="equal">
      <formula>-1</formula>
    </cfRule>
  </conditionalFormatting>
  <conditionalFormatting sqref="H68">
    <cfRule type="cellIs" dxfId="22288" priority="160162" stopIfTrue="1" operator="lessThan">
      <formula>0.5</formula>
    </cfRule>
  </conditionalFormatting>
  <conditionalFormatting sqref="H68">
    <cfRule type="cellIs" dxfId="22287" priority="160163" stopIfTrue="1" operator="greaterThanOrEqual">
      <formula>0.5</formula>
    </cfRule>
  </conditionalFormatting>
  <conditionalFormatting sqref="H69">
    <cfRule type="cellIs" dxfId="22286" priority="160164" stopIfTrue="1" operator="equal">
      <formula>-1</formula>
    </cfRule>
  </conditionalFormatting>
  <conditionalFormatting sqref="H69">
    <cfRule type="cellIs" dxfId="22285" priority="160165" stopIfTrue="1" operator="lessThan">
      <formula>0.5</formula>
    </cfRule>
  </conditionalFormatting>
  <conditionalFormatting sqref="H69">
    <cfRule type="cellIs" dxfId="22284" priority="160166" stopIfTrue="1" operator="greaterThanOrEqual">
      <formula>0.5</formula>
    </cfRule>
  </conditionalFormatting>
  <conditionalFormatting sqref="H70">
    <cfRule type="cellIs" dxfId="22283" priority="160167" stopIfTrue="1" operator="equal">
      <formula>-1</formula>
    </cfRule>
  </conditionalFormatting>
  <conditionalFormatting sqref="H70">
    <cfRule type="cellIs" dxfId="22282" priority="160168" stopIfTrue="1" operator="lessThan">
      <formula>0.5</formula>
    </cfRule>
  </conditionalFormatting>
  <conditionalFormatting sqref="H70">
    <cfRule type="cellIs" dxfId="22281" priority="160169" stopIfTrue="1" operator="greaterThanOrEqual">
      <formula>0.5</formula>
    </cfRule>
  </conditionalFormatting>
  <conditionalFormatting sqref="H71">
    <cfRule type="cellIs" dxfId="22280" priority="160170" stopIfTrue="1" operator="equal">
      <formula>-1</formula>
    </cfRule>
  </conditionalFormatting>
  <conditionalFormatting sqref="H71">
    <cfRule type="cellIs" dxfId="22279" priority="160171" stopIfTrue="1" operator="lessThan">
      <formula>0.5</formula>
    </cfRule>
  </conditionalFormatting>
  <conditionalFormatting sqref="H71">
    <cfRule type="cellIs" dxfId="22278" priority="160172" stopIfTrue="1" operator="greaterThanOrEqual">
      <formula>0.5</formula>
    </cfRule>
  </conditionalFormatting>
  <conditionalFormatting sqref="H72">
    <cfRule type="cellIs" dxfId="22277" priority="160173" stopIfTrue="1" operator="equal">
      <formula>-1</formula>
    </cfRule>
  </conditionalFormatting>
  <conditionalFormatting sqref="H72">
    <cfRule type="cellIs" dxfId="22276" priority="160174" stopIfTrue="1" operator="lessThan">
      <formula>0.5</formula>
    </cfRule>
  </conditionalFormatting>
  <conditionalFormatting sqref="H72">
    <cfRule type="cellIs" dxfId="22275" priority="160175" stopIfTrue="1" operator="greaterThanOrEqual">
      <formula>0.5</formula>
    </cfRule>
  </conditionalFormatting>
  <conditionalFormatting sqref="H73">
    <cfRule type="cellIs" dxfId="22274" priority="160176" stopIfTrue="1" operator="equal">
      <formula>-1</formula>
    </cfRule>
  </conditionalFormatting>
  <conditionalFormatting sqref="H73">
    <cfRule type="cellIs" dxfId="22273" priority="160177" stopIfTrue="1" operator="lessThan">
      <formula>0.5</formula>
    </cfRule>
  </conditionalFormatting>
  <conditionalFormatting sqref="H73">
    <cfRule type="cellIs" dxfId="22272" priority="160178" stopIfTrue="1" operator="greaterThanOrEqual">
      <formula>0.5</formula>
    </cfRule>
  </conditionalFormatting>
  <conditionalFormatting sqref="H74">
    <cfRule type="cellIs" dxfId="22271" priority="160179" stopIfTrue="1" operator="equal">
      <formula>-1</formula>
    </cfRule>
  </conditionalFormatting>
  <conditionalFormatting sqref="H74">
    <cfRule type="cellIs" dxfId="22270" priority="160180" stopIfTrue="1" operator="lessThan">
      <formula>0.5</formula>
    </cfRule>
  </conditionalFormatting>
  <conditionalFormatting sqref="H74">
    <cfRule type="cellIs" dxfId="22269" priority="160181" stopIfTrue="1" operator="greaterThanOrEqual">
      <formula>0.5</formula>
    </cfRule>
  </conditionalFormatting>
  <conditionalFormatting sqref="H75">
    <cfRule type="cellIs" dxfId="22268" priority="160182" stopIfTrue="1" operator="equal">
      <formula>-1</formula>
    </cfRule>
  </conditionalFormatting>
  <conditionalFormatting sqref="H75">
    <cfRule type="cellIs" dxfId="22267" priority="160183" stopIfTrue="1" operator="lessThan">
      <formula>0.5</formula>
    </cfRule>
  </conditionalFormatting>
  <conditionalFormatting sqref="H75">
    <cfRule type="cellIs" dxfId="22266" priority="160184" stopIfTrue="1" operator="greaterThanOrEqual">
      <formula>0.5</formula>
    </cfRule>
  </conditionalFormatting>
  <conditionalFormatting sqref="H76">
    <cfRule type="cellIs" dxfId="22265" priority="160185" stopIfTrue="1" operator="equal">
      <formula>-1</formula>
    </cfRule>
  </conditionalFormatting>
  <conditionalFormatting sqref="H76">
    <cfRule type="cellIs" dxfId="22264" priority="160186" stopIfTrue="1" operator="lessThan">
      <formula>0.5</formula>
    </cfRule>
  </conditionalFormatting>
  <conditionalFormatting sqref="H76">
    <cfRule type="cellIs" dxfId="22263" priority="160187" stopIfTrue="1" operator="greaterThanOrEqual">
      <formula>0.5</formula>
    </cfRule>
  </conditionalFormatting>
  <conditionalFormatting sqref="H77">
    <cfRule type="cellIs" dxfId="22262" priority="160188" stopIfTrue="1" operator="equal">
      <formula>-1</formula>
    </cfRule>
  </conditionalFormatting>
  <conditionalFormatting sqref="H77">
    <cfRule type="cellIs" dxfId="22261" priority="160189" stopIfTrue="1" operator="lessThan">
      <formula>0.5</formula>
    </cfRule>
  </conditionalFormatting>
  <conditionalFormatting sqref="H77">
    <cfRule type="cellIs" dxfId="22260" priority="160190" stopIfTrue="1" operator="greaterThanOrEqual">
      <formula>0.5</formula>
    </cfRule>
  </conditionalFormatting>
  <conditionalFormatting sqref="H78">
    <cfRule type="cellIs" dxfId="22259" priority="160191" stopIfTrue="1" operator="equal">
      <formula>-1</formula>
    </cfRule>
  </conditionalFormatting>
  <conditionalFormatting sqref="H78">
    <cfRule type="cellIs" dxfId="22258" priority="160192" stopIfTrue="1" operator="lessThan">
      <formula>0.5</formula>
    </cfRule>
  </conditionalFormatting>
  <conditionalFormatting sqref="H78">
    <cfRule type="cellIs" dxfId="22257" priority="160193" stopIfTrue="1" operator="greaterThanOrEqual">
      <formula>0.5</formula>
    </cfRule>
  </conditionalFormatting>
  <conditionalFormatting sqref="H79">
    <cfRule type="cellIs" dxfId="22256" priority="160194" stopIfTrue="1" operator="equal">
      <formula>-1</formula>
    </cfRule>
  </conditionalFormatting>
  <conditionalFormatting sqref="H79">
    <cfRule type="cellIs" dxfId="22255" priority="160195" stopIfTrue="1" operator="lessThan">
      <formula>0.5</formula>
    </cfRule>
  </conditionalFormatting>
  <conditionalFormatting sqref="H79">
    <cfRule type="cellIs" dxfId="22254" priority="160196" stopIfTrue="1" operator="greaterThanOrEqual">
      <formula>0.5</formula>
    </cfRule>
  </conditionalFormatting>
  <conditionalFormatting sqref="H80">
    <cfRule type="cellIs" dxfId="22253" priority="160197" stopIfTrue="1" operator="equal">
      <formula>-1</formula>
    </cfRule>
  </conditionalFormatting>
  <conditionalFormatting sqref="H80">
    <cfRule type="cellIs" dxfId="22252" priority="160198" stopIfTrue="1" operator="lessThan">
      <formula>0.5</formula>
    </cfRule>
  </conditionalFormatting>
  <conditionalFormatting sqref="H80">
    <cfRule type="cellIs" dxfId="22251" priority="160199" stopIfTrue="1" operator="greaterThanOrEqual">
      <formula>0.5</formula>
    </cfRule>
  </conditionalFormatting>
  <conditionalFormatting sqref="H81">
    <cfRule type="cellIs" dxfId="22250" priority="160200" stopIfTrue="1" operator="equal">
      <formula>-1</formula>
    </cfRule>
  </conditionalFormatting>
  <conditionalFormatting sqref="H81">
    <cfRule type="cellIs" dxfId="22249" priority="160201" stopIfTrue="1" operator="lessThan">
      <formula>0.5</formula>
    </cfRule>
  </conditionalFormatting>
  <conditionalFormatting sqref="H81">
    <cfRule type="cellIs" dxfId="22248" priority="160202" stopIfTrue="1" operator="greaterThanOrEqual">
      <formula>0.5</formula>
    </cfRule>
  </conditionalFormatting>
  <conditionalFormatting sqref="H82">
    <cfRule type="cellIs" dxfId="22247" priority="160203" stopIfTrue="1" operator="equal">
      <formula>-1</formula>
    </cfRule>
  </conditionalFormatting>
  <conditionalFormatting sqref="H82">
    <cfRule type="cellIs" dxfId="22246" priority="160204" stopIfTrue="1" operator="lessThan">
      <formula>0.5</formula>
    </cfRule>
  </conditionalFormatting>
  <conditionalFormatting sqref="H82">
    <cfRule type="cellIs" dxfId="22245" priority="160205" stopIfTrue="1" operator="greaterThanOrEqual">
      <formula>0.5</formula>
    </cfRule>
  </conditionalFormatting>
  <conditionalFormatting sqref="H83">
    <cfRule type="cellIs" dxfId="22244" priority="160206" stopIfTrue="1" operator="equal">
      <formula>-1</formula>
    </cfRule>
  </conditionalFormatting>
  <conditionalFormatting sqref="H83">
    <cfRule type="cellIs" dxfId="22243" priority="160207" stopIfTrue="1" operator="lessThan">
      <formula>0.5</formula>
    </cfRule>
  </conditionalFormatting>
  <conditionalFormatting sqref="H83">
    <cfRule type="cellIs" dxfId="22242" priority="160208" stopIfTrue="1" operator="greaterThanOrEqual">
      <formula>0.5</formula>
    </cfRule>
  </conditionalFormatting>
  <conditionalFormatting sqref="H84">
    <cfRule type="cellIs" dxfId="22241" priority="160209" stopIfTrue="1" operator="equal">
      <formula>-1</formula>
    </cfRule>
  </conditionalFormatting>
  <conditionalFormatting sqref="H84">
    <cfRule type="cellIs" dxfId="22240" priority="160210" stopIfTrue="1" operator="lessThan">
      <formula>0.5</formula>
    </cfRule>
  </conditionalFormatting>
  <conditionalFormatting sqref="H84">
    <cfRule type="cellIs" dxfId="22239" priority="160211" stopIfTrue="1" operator="greaterThanOrEqual">
      <formula>0.5</formula>
    </cfRule>
  </conditionalFormatting>
  <conditionalFormatting sqref="H85">
    <cfRule type="cellIs" dxfId="22238" priority="160212" stopIfTrue="1" operator="equal">
      <formula>-1</formula>
    </cfRule>
  </conditionalFormatting>
  <conditionalFormatting sqref="H85">
    <cfRule type="cellIs" dxfId="22237" priority="160213" stopIfTrue="1" operator="lessThan">
      <formula>0.5</formula>
    </cfRule>
  </conditionalFormatting>
  <conditionalFormatting sqref="H85">
    <cfRule type="cellIs" dxfId="22236" priority="160214" stopIfTrue="1" operator="greaterThanOrEqual">
      <formula>0.5</formula>
    </cfRule>
  </conditionalFormatting>
  <conditionalFormatting sqref="J65">
    <cfRule type="cellIs" dxfId="22235" priority="160215" stopIfTrue="1" operator="equal">
      <formula>-1</formula>
    </cfRule>
  </conditionalFormatting>
  <conditionalFormatting sqref="J65">
    <cfRule type="cellIs" dxfId="22234" priority="160216" stopIfTrue="1" operator="lessThan">
      <formula>0.5</formula>
    </cfRule>
  </conditionalFormatting>
  <conditionalFormatting sqref="J65">
    <cfRule type="cellIs" dxfId="22233" priority="160217" stopIfTrue="1" operator="greaterThanOrEqual">
      <formula>0.5</formula>
    </cfRule>
  </conditionalFormatting>
  <conditionalFormatting sqref="J66">
    <cfRule type="cellIs" dxfId="22232" priority="160218" stopIfTrue="1" operator="equal">
      <formula>-1</formula>
    </cfRule>
  </conditionalFormatting>
  <conditionalFormatting sqref="J66">
    <cfRule type="cellIs" dxfId="22231" priority="160219" stopIfTrue="1" operator="lessThan">
      <formula>0.5</formula>
    </cfRule>
  </conditionalFormatting>
  <conditionalFormatting sqref="J66">
    <cfRule type="cellIs" dxfId="22230" priority="160220" stopIfTrue="1" operator="greaterThanOrEqual">
      <formula>0.5</formula>
    </cfRule>
  </conditionalFormatting>
  <conditionalFormatting sqref="J67">
    <cfRule type="cellIs" dxfId="22229" priority="160221" stopIfTrue="1" operator="equal">
      <formula>-1</formula>
    </cfRule>
  </conditionalFormatting>
  <conditionalFormatting sqref="J67">
    <cfRule type="cellIs" dxfId="22228" priority="160222" stopIfTrue="1" operator="lessThan">
      <formula>0.5</formula>
    </cfRule>
  </conditionalFormatting>
  <conditionalFormatting sqref="J67">
    <cfRule type="cellIs" dxfId="22227" priority="160223" stopIfTrue="1" operator="greaterThanOrEqual">
      <formula>0.5</formula>
    </cfRule>
  </conditionalFormatting>
  <conditionalFormatting sqref="J68">
    <cfRule type="cellIs" dxfId="22226" priority="160224" stopIfTrue="1" operator="equal">
      <formula>-1</formula>
    </cfRule>
  </conditionalFormatting>
  <conditionalFormatting sqref="J68">
    <cfRule type="cellIs" dxfId="22225" priority="160225" stopIfTrue="1" operator="lessThan">
      <formula>0.5</formula>
    </cfRule>
  </conditionalFormatting>
  <conditionalFormatting sqref="J68">
    <cfRule type="cellIs" dxfId="22224" priority="160226" stopIfTrue="1" operator="greaterThanOrEqual">
      <formula>0.5</formula>
    </cfRule>
  </conditionalFormatting>
  <conditionalFormatting sqref="J69">
    <cfRule type="cellIs" dxfId="22223" priority="160227" stopIfTrue="1" operator="equal">
      <formula>-1</formula>
    </cfRule>
  </conditionalFormatting>
  <conditionalFormatting sqref="J69">
    <cfRule type="cellIs" dxfId="22222" priority="160228" stopIfTrue="1" operator="lessThan">
      <formula>0.5</formula>
    </cfRule>
  </conditionalFormatting>
  <conditionalFormatting sqref="J69">
    <cfRule type="cellIs" dxfId="22221" priority="160229" stopIfTrue="1" operator="greaterThanOrEqual">
      <formula>0.5</formula>
    </cfRule>
  </conditionalFormatting>
  <conditionalFormatting sqref="J70">
    <cfRule type="cellIs" dxfId="22220" priority="160230" stopIfTrue="1" operator="equal">
      <formula>-1</formula>
    </cfRule>
  </conditionalFormatting>
  <conditionalFormatting sqref="J70">
    <cfRule type="cellIs" dxfId="22219" priority="160231" stopIfTrue="1" operator="lessThan">
      <formula>0.5</formula>
    </cfRule>
  </conditionalFormatting>
  <conditionalFormatting sqref="J70">
    <cfRule type="cellIs" dxfId="22218" priority="160232" stopIfTrue="1" operator="greaterThanOrEqual">
      <formula>0.5</formula>
    </cfRule>
  </conditionalFormatting>
  <conditionalFormatting sqref="J71">
    <cfRule type="cellIs" dxfId="22217" priority="160233" stopIfTrue="1" operator="equal">
      <formula>-1</formula>
    </cfRule>
  </conditionalFormatting>
  <conditionalFormatting sqref="J71">
    <cfRule type="cellIs" dxfId="22216" priority="160234" stopIfTrue="1" operator="lessThan">
      <formula>0.5</formula>
    </cfRule>
  </conditionalFormatting>
  <conditionalFormatting sqref="J71">
    <cfRule type="cellIs" dxfId="22215" priority="160235" stopIfTrue="1" operator="greaterThanOrEqual">
      <formula>0.5</formula>
    </cfRule>
  </conditionalFormatting>
  <conditionalFormatting sqref="J72">
    <cfRule type="cellIs" dxfId="22214" priority="160236" stopIfTrue="1" operator="equal">
      <formula>-1</formula>
    </cfRule>
  </conditionalFormatting>
  <conditionalFormatting sqref="J72">
    <cfRule type="cellIs" dxfId="22213" priority="160237" stopIfTrue="1" operator="lessThan">
      <formula>0.5</formula>
    </cfRule>
  </conditionalFormatting>
  <conditionalFormatting sqref="J72">
    <cfRule type="cellIs" dxfId="22212" priority="160238" stopIfTrue="1" operator="greaterThanOrEqual">
      <formula>0.5</formula>
    </cfRule>
  </conditionalFormatting>
  <conditionalFormatting sqref="J73">
    <cfRule type="cellIs" dxfId="22211" priority="160239" stopIfTrue="1" operator="equal">
      <formula>-1</formula>
    </cfRule>
  </conditionalFormatting>
  <conditionalFormatting sqref="J73">
    <cfRule type="cellIs" dxfId="22210" priority="160240" stopIfTrue="1" operator="lessThan">
      <formula>0.5</formula>
    </cfRule>
  </conditionalFormatting>
  <conditionalFormatting sqref="J73">
    <cfRule type="cellIs" dxfId="22209" priority="160241" stopIfTrue="1" operator="greaterThanOrEqual">
      <formula>0.5</formula>
    </cfRule>
  </conditionalFormatting>
  <conditionalFormatting sqref="J74">
    <cfRule type="cellIs" dxfId="22208" priority="160242" stopIfTrue="1" operator="equal">
      <formula>-1</formula>
    </cfRule>
  </conditionalFormatting>
  <conditionalFormatting sqref="J74">
    <cfRule type="cellIs" dxfId="22207" priority="160243" stopIfTrue="1" operator="lessThan">
      <formula>0.5</formula>
    </cfRule>
  </conditionalFormatting>
  <conditionalFormatting sqref="J74">
    <cfRule type="cellIs" dxfId="22206" priority="160244" stopIfTrue="1" operator="greaterThanOrEqual">
      <formula>0.5</formula>
    </cfRule>
  </conditionalFormatting>
  <conditionalFormatting sqref="J75">
    <cfRule type="cellIs" dxfId="22205" priority="160245" stopIfTrue="1" operator="equal">
      <formula>-1</formula>
    </cfRule>
  </conditionalFormatting>
  <conditionalFormatting sqref="J75">
    <cfRule type="cellIs" dxfId="22204" priority="160246" stopIfTrue="1" operator="lessThan">
      <formula>0.5</formula>
    </cfRule>
  </conditionalFormatting>
  <conditionalFormatting sqref="J75">
    <cfRule type="cellIs" dxfId="22203" priority="160247" stopIfTrue="1" operator="greaterThanOrEqual">
      <formula>0.5</formula>
    </cfRule>
  </conditionalFormatting>
  <conditionalFormatting sqref="J76">
    <cfRule type="cellIs" dxfId="22202" priority="160248" stopIfTrue="1" operator="equal">
      <formula>-1</formula>
    </cfRule>
  </conditionalFormatting>
  <conditionalFormatting sqref="J76">
    <cfRule type="cellIs" dxfId="22201" priority="160249" stopIfTrue="1" operator="lessThan">
      <formula>0.5</formula>
    </cfRule>
  </conditionalFormatting>
  <conditionalFormatting sqref="J76">
    <cfRule type="cellIs" dxfId="22200" priority="160250" stopIfTrue="1" operator="greaterThanOrEqual">
      <formula>0.5</formula>
    </cfRule>
  </conditionalFormatting>
  <conditionalFormatting sqref="J77">
    <cfRule type="cellIs" dxfId="22199" priority="160251" stopIfTrue="1" operator="equal">
      <formula>-1</formula>
    </cfRule>
  </conditionalFormatting>
  <conditionalFormatting sqref="J77">
    <cfRule type="cellIs" dxfId="22198" priority="160252" stopIfTrue="1" operator="lessThan">
      <formula>0.5</formula>
    </cfRule>
  </conditionalFormatting>
  <conditionalFormatting sqref="J77">
    <cfRule type="cellIs" dxfId="22197" priority="160253" stopIfTrue="1" operator="greaterThanOrEqual">
      <formula>0.5</formula>
    </cfRule>
  </conditionalFormatting>
  <conditionalFormatting sqref="J78">
    <cfRule type="cellIs" dxfId="22196" priority="160254" stopIfTrue="1" operator="equal">
      <formula>-1</formula>
    </cfRule>
  </conditionalFormatting>
  <conditionalFormatting sqref="J78">
    <cfRule type="cellIs" dxfId="22195" priority="160255" stopIfTrue="1" operator="lessThan">
      <formula>0.5</formula>
    </cfRule>
  </conditionalFormatting>
  <conditionalFormatting sqref="J78">
    <cfRule type="cellIs" dxfId="22194" priority="160256" stopIfTrue="1" operator="greaterThanOrEqual">
      <formula>0.5</formula>
    </cfRule>
  </conditionalFormatting>
  <conditionalFormatting sqref="J79">
    <cfRule type="cellIs" dxfId="22193" priority="160257" stopIfTrue="1" operator="equal">
      <formula>-1</formula>
    </cfRule>
  </conditionalFormatting>
  <conditionalFormatting sqref="J79">
    <cfRule type="cellIs" dxfId="22192" priority="160258" stopIfTrue="1" operator="lessThan">
      <formula>0.5</formula>
    </cfRule>
  </conditionalFormatting>
  <conditionalFormatting sqref="J79">
    <cfRule type="cellIs" dxfId="22191" priority="160259" stopIfTrue="1" operator="greaterThanOrEqual">
      <formula>0.5</formula>
    </cfRule>
  </conditionalFormatting>
  <conditionalFormatting sqref="J80">
    <cfRule type="cellIs" dxfId="22190" priority="160260" stopIfTrue="1" operator="equal">
      <formula>-1</formula>
    </cfRule>
  </conditionalFormatting>
  <conditionalFormatting sqref="J80">
    <cfRule type="cellIs" dxfId="22189" priority="160261" stopIfTrue="1" operator="lessThan">
      <formula>0.5</formula>
    </cfRule>
  </conditionalFormatting>
  <conditionalFormatting sqref="J80">
    <cfRule type="cellIs" dxfId="22188" priority="160262" stopIfTrue="1" operator="greaterThanOrEqual">
      <formula>0.5</formula>
    </cfRule>
  </conditionalFormatting>
  <conditionalFormatting sqref="J81">
    <cfRule type="cellIs" dxfId="22187" priority="160263" stopIfTrue="1" operator="equal">
      <formula>-1</formula>
    </cfRule>
  </conditionalFormatting>
  <conditionalFormatting sqref="J81">
    <cfRule type="cellIs" dxfId="22186" priority="160264" stopIfTrue="1" operator="lessThan">
      <formula>0.5</formula>
    </cfRule>
  </conditionalFormatting>
  <conditionalFormatting sqref="J81">
    <cfRule type="cellIs" dxfId="22185" priority="160265" stopIfTrue="1" operator="greaterThanOrEqual">
      <formula>0.5</formula>
    </cfRule>
  </conditionalFormatting>
  <conditionalFormatting sqref="J82">
    <cfRule type="cellIs" dxfId="22184" priority="160266" stopIfTrue="1" operator="equal">
      <formula>-1</formula>
    </cfRule>
  </conditionalFormatting>
  <conditionalFormatting sqref="J82">
    <cfRule type="cellIs" dxfId="22183" priority="160267" stopIfTrue="1" operator="lessThan">
      <formula>0.5</formula>
    </cfRule>
  </conditionalFormatting>
  <conditionalFormatting sqref="J82">
    <cfRule type="cellIs" dxfId="22182" priority="160268" stopIfTrue="1" operator="greaterThanOrEqual">
      <formula>0.5</formula>
    </cfRule>
  </conditionalFormatting>
  <conditionalFormatting sqref="J83">
    <cfRule type="cellIs" dxfId="22181" priority="160269" stopIfTrue="1" operator="equal">
      <formula>-1</formula>
    </cfRule>
  </conditionalFormatting>
  <conditionalFormatting sqref="J83">
    <cfRule type="cellIs" dxfId="22180" priority="160270" stopIfTrue="1" operator="lessThan">
      <formula>0.5</formula>
    </cfRule>
  </conditionalFormatting>
  <conditionalFormatting sqref="J83">
    <cfRule type="cellIs" dxfId="22179" priority="160271" stopIfTrue="1" operator="greaterThanOrEqual">
      <formula>0.5</formula>
    </cfRule>
  </conditionalFormatting>
  <conditionalFormatting sqref="J84">
    <cfRule type="cellIs" dxfId="22178" priority="160272" stopIfTrue="1" operator="equal">
      <formula>-1</formula>
    </cfRule>
  </conditionalFormatting>
  <conditionalFormatting sqref="J84">
    <cfRule type="cellIs" dxfId="22177" priority="160273" stopIfTrue="1" operator="lessThan">
      <formula>0.5</formula>
    </cfRule>
  </conditionalFormatting>
  <conditionalFormatting sqref="J84">
    <cfRule type="cellIs" dxfId="22176" priority="160274" stopIfTrue="1" operator="greaterThanOrEqual">
      <formula>0.5</formula>
    </cfRule>
  </conditionalFormatting>
  <conditionalFormatting sqref="J85">
    <cfRule type="cellIs" dxfId="22175" priority="160275" stopIfTrue="1" operator="equal">
      <formula>-1</formula>
    </cfRule>
  </conditionalFormatting>
  <conditionalFormatting sqref="J85">
    <cfRule type="cellIs" dxfId="22174" priority="160276" stopIfTrue="1" operator="lessThan">
      <formula>0.5</formula>
    </cfRule>
  </conditionalFormatting>
  <conditionalFormatting sqref="J85">
    <cfRule type="cellIs" dxfId="22173" priority="160277" stopIfTrue="1" operator="greaterThanOrEqual">
      <formula>0.5</formula>
    </cfRule>
  </conditionalFormatting>
  <conditionalFormatting sqref="L65">
    <cfRule type="cellIs" dxfId="22172" priority="160278" stopIfTrue="1" operator="equal">
      <formula>-1</formula>
    </cfRule>
  </conditionalFormatting>
  <conditionalFormatting sqref="L65">
    <cfRule type="cellIs" dxfId="22171" priority="160279" stopIfTrue="1" operator="lessThan">
      <formula>0.5</formula>
    </cfRule>
  </conditionalFormatting>
  <conditionalFormatting sqref="L65">
    <cfRule type="cellIs" dxfId="22170" priority="160280" stopIfTrue="1" operator="greaterThanOrEqual">
      <formula>0.5</formula>
    </cfRule>
  </conditionalFormatting>
  <conditionalFormatting sqref="L66">
    <cfRule type="cellIs" dxfId="22169" priority="160281" stopIfTrue="1" operator="equal">
      <formula>-1</formula>
    </cfRule>
  </conditionalFormatting>
  <conditionalFormatting sqref="L66">
    <cfRule type="cellIs" dxfId="22168" priority="160282" stopIfTrue="1" operator="lessThan">
      <formula>0.5</formula>
    </cfRule>
  </conditionalFormatting>
  <conditionalFormatting sqref="L66">
    <cfRule type="cellIs" dxfId="22167" priority="160283" stopIfTrue="1" operator="greaterThanOrEqual">
      <formula>0.5</formula>
    </cfRule>
  </conditionalFormatting>
  <conditionalFormatting sqref="L67">
    <cfRule type="cellIs" dxfId="22166" priority="160284" stopIfTrue="1" operator="equal">
      <formula>-1</formula>
    </cfRule>
  </conditionalFormatting>
  <conditionalFormatting sqref="L67">
    <cfRule type="cellIs" dxfId="22165" priority="160285" stopIfTrue="1" operator="lessThan">
      <formula>0.5</formula>
    </cfRule>
  </conditionalFormatting>
  <conditionalFormatting sqref="L67">
    <cfRule type="cellIs" dxfId="22164" priority="160286" stopIfTrue="1" operator="greaterThanOrEqual">
      <formula>0.5</formula>
    </cfRule>
  </conditionalFormatting>
  <conditionalFormatting sqref="L68">
    <cfRule type="cellIs" dxfId="22163" priority="160287" stopIfTrue="1" operator="equal">
      <formula>-1</formula>
    </cfRule>
  </conditionalFormatting>
  <conditionalFormatting sqref="L68">
    <cfRule type="cellIs" dxfId="22162" priority="160288" stopIfTrue="1" operator="lessThan">
      <formula>0.5</formula>
    </cfRule>
  </conditionalFormatting>
  <conditionalFormatting sqref="L68">
    <cfRule type="cellIs" dxfId="22161" priority="160289" stopIfTrue="1" operator="greaterThanOrEqual">
      <formula>0.5</formula>
    </cfRule>
  </conditionalFormatting>
  <conditionalFormatting sqref="L69">
    <cfRule type="cellIs" dxfId="22160" priority="160290" stopIfTrue="1" operator="equal">
      <formula>-1</formula>
    </cfRule>
  </conditionalFormatting>
  <conditionalFormatting sqref="L69">
    <cfRule type="cellIs" dxfId="22159" priority="160291" stopIfTrue="1" operator="lessThan">
      <formula>0.5</formula>
    </cfRule>
  </conditionalFormatting>
  <conditionalFormatting sqref="L69">
    <cfRule type="cellIs" dxfId="22158" priority="160292" stopIfTrue="1" operator="greaterThanOrEqual">
      <formula>0.5</formula>
    </cfRule>
  </conditionalFormatting>
  <conditionalFormatting sqref="L70">
    <cfRule type="cellIs" dxfId="22157" priority="160293" stopIfTrue="1" operator="equal">
      <formula>-1</formula>
    </cfRule>
  </conditionalFormatting>
  <conditionalFormatting sqref="L70">
    <cfRule type="cellIs" dxfId="22156" priority="160294" stopIfTrue="1" operator="lessThan">
      <formula>0.5</formula>
    </cfRule>
  </conditionalFormatting>
  <conditionalFormatting sqref="L70">
    <cfRule type="cellIs" dxfId="22155" priority="160295" stopIfTrue="1" operator="greaterThanOrEqual">
      <formula>0.5</formula>
    </cfRule>
  </conditionalFormatting>
  <conditionalFormatting sqref="L71">
    <cfRule type="cellIs" dxfId="22154" priority="160296" stopIfTrue="1" operator="equal">
      <formula>-1</formula>
    </cfRule>
  </conditionalFormatting>
  <conditionalFormatting sqref="L71">
    <cfRule type="cellIs" dxfId="22153" priority="160297" stopIfTrue="1" operator="lessThan">
      <formula>0.5</formula>
    </cfRule>
  </conditionalFormatting>
  <conditionalFormatting sqref="L71">
    <cfRule type="cellIs" dxfId="22152" priority="160298" stopIfTrue="1" operator="greaterThanOrEqual">
      <formula>0.5</formula>
    </cfRule>
  </conditionalFormatting>
  <conditionalFormatting sqref="L72">
    <cfRule type="cellIs" dxfId="22151" priority="160299" stopIfTrue="1" operator="equal">
      <formula>-1</formula>
    </cfRule>
  </conditionalFormatting>
  <conditionalFormatting sqref="L72">
    <cfRule type="cellIs" dxfId="22150" priority="160300" stopIfTrue="1" operator="lessThan">
      <formula>0.5</formula>
    </cfRule>
  </conditionalFormatting>
  <conditionalFormatting sqref="L72">
    <cfRule type="cellIs" dxfId="22149" priority="160301" stopIfTrue="1" operator="greaterThanOrEqual">
      <formula>0.5</formula>
    </cfRule>
  </conditionalFormatting>
  <conditionalFormatting sqref="L73">
    <cfRule type="cellIs" dxfId="22148" priority="160302" stopIfTrue="1" operator="equal">
      <formula>-1</formula>
    </cfRule>
  </conditionalFormatting>
  <conditionalFormatting sqref="L73">
    <cfRule type="cellIs" dxfId="22147" priority="160303" stopIfTrue="1" operator="lessThan">
      <formula>0.5</formula>
    </cfRule>
  </conditionalFormatting>
  <conditionalFormatting sqref="L73">
    <cfRule type="cellIs" dxfId="22146" priority="160304" stopIfTrue="1" operator="greaterThanOrEqual">
      <formula>0.5</formula>
    </cfRule>
  </conditionalFormatting>
  <conditionalFormatting sqref="L74">
    <cfRule type="cellIs" dxfId="22145" priority="160305" stopIfTrue="1" operator="equal">
      <formula>-1</formula>
    </cfRule>
  </conditionalFormatting>
  <conditionalFormatting sqref="L74">
    <cfRule type="cellIs" dxfId="22144" priority="160306" stopIfTrue="1" operator="lessThan">
      <formula>0.5</formula>
    </cfRule>
  </conditionalFormatting>
  <conditionalFormatting sqref="L74">
    <cfRule type="cellIs" dxfId="22143" priority="160307" stopIfTrue="1" operator="greaterThanOrEqual">
      <formula>0.5</formula>
    </cfRule>
  </conditionalFormatting>
  <conditionalFormatting sqref="L75">
    <cfRule type="cellIs" dxfId="22142" priority="160308" stopIfTrue="1" operator="equal">
      <formula>-1</formula>
    </cfRule>
  </conditionalFormatting>
  <conditionalFormatting sqref="L75">
    <cfRule type="cellIs" dxfId="22141" priority="160309" stopIfTrue="1" operator="lessThan">
      <formula>0.5</formula>
    </cfRule>
  </conditionalFormatting>
  <conditionalFormatting sqref="L75">
    <cfRule type="cellIs" dxfId="22140" priority="160310" stopIfTrue="1" operator="greaterThanOrEqual">
      <formula>0.5</formula>
    </cfRule>
  </conditionalFormatting>
  <conditionalFormatting sqref="L76">
    <cfRule type="cellIs" dxfId="22139" priority="160311" stopIfTrue="1" operator="equal">
      <formula>-1</formula>
    </cfRule>
  </conditionalFormatting>
  <conditionalFormatting sqref="L76">
    <cfRule type="cellIs" dxfId="22138" priority="160312" stopIfTrue="1" operator="lessThan">
      <formula>0.5</formula>
    </cfRule>
  </conditionalFormatting>
  <conditionalFormatting sqref="L76">
    <cfRule type="cellIs" dxfId="22137" priority="160313" stopIfTrue="1" operator="greaterThanOrEqual">
      <formula>0.5</formula>
    </cfRule>
  </conditionalFormatting>
  <conditionalFormatting sqref="L77">
    <cfRule type="cellIs" dxfId="22136" priority="160314" stopIfTrue="1" operator="equal">
      <formula>-1</formula>
    </cfRule>
  </conditionalFormatting>
  <conditionalFormatting sqref="L77">
    <cfRule type="cellIs" dxfId="22135" priority="160315" stopIfTrue="1" operator="lessThan">
      <formula>0.5</formula>
    </cfRule>
  </conditionalFormatting>
  <conditionalFormatting sqref="L77">
    <cfRule type="cellIs" dxfId="22134" priority="160316" stopIfTrue="1" operator="greaterThanOrEqual">
      <formula>0.5</formula>
    </cfRule>
  </conditionalFormatting>
  <conditionalFormatting sqref="L78">
    <cfRule type="cellIs" dxfId="22133" priority="160317" stopIfTrue="1" operator="equal">
      <formula>-1</formula>
    </cfRule>
  </conditionalFormatting>
  <conditionalFormatting sqref="L78">
    <cfRule type="cellIs" dxfId="22132" priority="160318" stopIfTrue="1" operator="lessThan">
      <formula>0.5</formula>
    </cfRule>
  </conditionalFormatting>
  <conditionalFormatting sqref="L78">
    <cfRule type="cellIs" dxfId="22131" priority="160319" stopIfTrue="1" operator="greaterThanOrEqual">
      <formula>0.5</formula>
    </cfRule>
  </conditionalFormatting>
  <conditionalFormatting sqref="L79">
    <cfRule type="cellIs" dxfId="22130" priority="160320" stopIfTrue="1" operator="equal">
      <formula>-1</formula>
    </cfRule>
  </conditionalFormatting>
  <conditionalFormatting sqref="L79">
    <cfRule type="cellIs" dxfId="22129" priority="160321" stopIfTrue="1" operator="lessThan">
      <formula>0.5</formula>
    </cfRule>
  </conditionalFormatting>
  <conditionalFormatting sqref="L79">
    <cfRule type="cellIs" dxfId="22128" priority="160322" stopIfTrue="1" operator="greaterThanOrEqual">
      <formula>0.5</formula>
    </cfRule>
  </conditionalFormatting>
  <conditionalFormatting sqref="L80">
    <cfRule type="cellIs" dxfId="22127" priority="160323" stopIfTrue="1" operator="equal">
      <formula>-1</formula>
    </cfRule>
  </conditionalFormatting>
  <conditionalFormatting sqref="L80">
    <cfRule type="cellIs" dxfId="22126" priority="160324" stopIfTrue="1" operator="lessThan">
      <formula>0.5</formula>
    </cfRule>
  </conditionalFormatting>
  <conditionalFormatting sqref="L80">
    <cfRule type="cellIs" dxfId="22125" priority="160325" stopIfTrue="1" operator="greaterThanOrEqual">
      <formula>0.5</formula>
    </cfRule>
  </conditionalFormatting>
  <conditionalFormatting sqref="L81">
    <cfRule type="cellIs" dxfId="22124" priority="160326" stopIfTrue="1" operator="equal">
      <formula>-1</formula>
    </cfRule>
  </conditionalFormatting>
  <conditionalFormatting sqref="L81">
    <cfRule type="cellIs" dxfId="22123" priority="160327" stopIfTrue="1" operator="lessThan">
      <formula>0.5</formula>
    </cfRule>
  </conditionalFormatting>
  <conditionalFormatting sqref="L81">
    <cfRule type="cellIs" dxfId="22122" priority="160328" stopIfTrue="1" operator="greaterThanOrEqual">
      <formula>0.5</formula>
    </cfRule>
  </conditionalFormatting>
  <conditionalFormatting sqref="L82">
    <cfRule type="cellIs" dxfId="22121" priority="160329" stopIfTrue="1" operator="equal">
      <formula>-1</formula>
    </cfRule>
  </conditionalFormatting>
  <conditionalFormatting sqref="L82">
    <cfRule type="cellIs" dxfId="22120" priority="160330" stopIfTrue="1" operator="lessThan">
      <formula>0.5</formula>
    </cfRule>
  </conditionalFormatting>
  <conditionalFormatting sqref="L82">
    <cfRule type="cellIs" dxfId="22119" priority="160331" stopIfTrue="1" operator="greaterThanOrEqual">
      <formula>0.5</formula>
    </cfRule>
  </conditionalFormatting>
  <conditionalFormatting sqref="L83">
    <cfRule type="cellIs" dxfId="22118" priority="160332" stopIfTrue="1" operator="equal">
      <formula>-1</formula>
    </cfRule>
  </conditionalFormatting>
  <conditionalFormatting sqref="L83">
    <cfRule type="cellIs" dxfId="22117" priority="160333" stopIfTrue="1" operator="lessThan">
      <formula>0.5</formula>
    </cfRule>
  </conditionalFormatting>
  <conditionalFormatting sqref="L83">
    <cfRule type="cellIs" dxfId="22116" priority="160334" stopIfTrue="1" operator="greaterThanOrEqual">
      <formula>0.5</formula>
    </cfRule>
  </conditionalFormatting>
  <conditionalFormatting sqref="L84">
    <cfRule type="cellIs" dxfId="22115" priority="160335" stopIfTrue="1" operator="equal">
      <formula>-1</formula>
    </cfRule>
  </conditionalFormatting>
  <conditionalFormatting sqref="L84">
    <cfRule type="cellIs" dxfId="22114" priority="160336" stopIfTrue="1" operator="lessThan">
      <formula>0.5</formula>
    </cfRule>
  </conditionalFormatting>
  <conditionalFormatting sqref="L84">
    <cfRule type="cellIs" dxfId="22113" priority="160337" stopIfTrue="1" operator="greaterThanOrEqual">
      <formula>0.5</formula>
    </cfRule>
  </conditionalFormatting>
  <conditionalFormatting sqref="L85">
    <cfRule type="cellIs" dxfId="22112" priority="160338" stopIfTrue="1" operator="equal">
      <formula>-1</formula>
    </cfRule>
  </conditionalFormatting>
  <conditionalFormatting sqref="L85">
    <cfRule type="cellIs" dxfId="22111" priority="160339" stopIfTrue="1" operator="lessThan">
      <formula>0.5</formula>
    </cfRule>
  </conditionalFormatting>
  <conditionalFormatting sqref="L85">
    <cfRule type="cellIs" dxfId="22110" priority="160340" stopIfTrue="1" operator="greaterThanOrEqual">
      <formula>0.5</formula>
    </cfRule>
  </conditionalFormatting>
  <conditionalFormatting sqref="N65">
    <cfRule type="cellIs" dxfId="22109" priority="160341" stopIfTrue="1" operator="equal">
      <formula>-1</formula>
    </cfRule>
  </conditionalFormatting>
  <conditionalFormatting sqref="N65">
    <cfRule type="cellIs" dxfId="22108" priority="160342" stopIfTrue="1" operator="lessThan">
      <formula>0.5</formula>
    </cfRule>
  </conditionalFormatting>
  <conditionalFormatting sqref="N65">
    <cfRule type="cellIs" dxfId="22107" priority="160343" stopIfTrue="1" operator="greaterThanOrEqual">
      <formula>0.5</formula>
    </cfRule>
  </conditionalFormatting>
  <conditionalFormatting sqref="N66">
    <cfRule type="cellIs" dxfId="22106" priority="160344" stopIfTrue="1" operator="equal">
      <formula>-1</formula>
    </cfRule>
  </conditionalFormatting>
  <conditionalFormatting sqref="N66">
    <cfRule type="cellIs" dxfId="22105" priority="160345" stopIfTrue="1" operator="lessThan">
      <formula>0.5</formula>
    </cfRule>
  </conditionalFormatting>
  <conditionalFormatting sqref="N66">
    <cfRule type="cellIs" dxfId="22104" priority="160346" stopIfTrue="1" operator="greaterThanOrEqual">
      <formula>0.5</formula>
    </cfRule>
  </conditionalFormatting>
  <conditionalFormatting sqref="N67">
    <cfRule type="cellIs" dxfId="22103" priority="160347" stopIfTrue="1" operator="equal">
      <formula>-1</formula>
    </cfRule>
  </conditionalFormatting>
  <conditionalFormatting sqref="N67">
    <cfRule type="cellIs" dxfId="22102" priority="160348" stopIfTrue="1" operator="lessThan">
      <formula>0.5</formula>
    </cfRule>
  </conditionalFormatting>
  <conditionalFormatting sqref="N67">
    <cfRule type="cellIs" dxfId="22101" priority="160349" stopIfTrue="1" operator="greaterThanOrEqual">
      <formula>0.5</formula>
    </cfRule>
  </conditionalFormatting>
  <conditionalFormatting sqref="N68">
    <cfRule type="cellIs" dxfId="22100" priority="160350" stopIfTrue="1" operator="equal">
      <formula>-1</formula>
    </cfRule>
  </conditionalFormatting>
  <conditionalFormatting sqref="N68">
    <cfRule type="cellIs" dxfId="22099" priority="160351" stopIfTrue="1" operator="lessThan">
      <formula>0.5</formula>
    </cfRule>
  </conditionalFormatting>
  <conditionalFormatting sqref="N68">
    <cfRule type="cellIs" dxfId="22098" priority="160352" stopIfTrue="1" operator="greaterThanOrEqual">
      <formula>0.5</formula>
    </cfRule>
  </conditionalFormatting>
  <conditionalFormatting sqref="N69">
    <cfRule type="cellIs" dxfId="22097" priority="160353" stopIfTrue="1" operator="equal">
      <formula>-1</formula>
    </cfRule>
  </conditionalFormatting>
  <conditionalFormatting sqref="N69">
    <cfRule type="cellIs" dxfId="22096" priority="160354" stopIfTrue="1" operator="lessThan">
      <formula>0.5</formula>
    </cfRule>
  </conditionalFormatting>
  <conditionalFormatting sqref="N69">
    <cfRule type="cellIs" dxfId="22095" priority="160355" stopIfTrue="1" operator="greaterThanOrEqual">
      <formula>0.5</formula>
    </cfRule>
  </conditionalFormatting>
  <conditionalFormatting sqref="N70">
    <cfRule type="cellIs" dxfId="22094" priority="160356" stopIfTrue="1" operator="equal">
      <formula>-1</formula>
    </cfRule>
  </conditionalFormatting>
  <conditionalFormatting sqref="N70">
    <cfRule type="cellIs" dxfId="22093" priority="160357" stopIfTrue="1" operator="lessThan">
      <formula>0.5</formula>
    </cfRule>
  </conditionalFormatting>
  <conditionalFormatting sqref="N70">
    <cfRule type="cellIs" dxfId="22092" priority="160358" stopIfTrue="1" operator="greaterThanOrEqual">
      <formula>0.5</formula>
    </cfRule>
  </conditionalFormatting>
  <conditionalFormatting sqref="N71">
    <cfRule type="cellIs" dxfId="22091" priority="160359" stopIfTrue="1" operator="equal">
      <formula>-1</formula>
    </cfRule>
  </conditionalFormatting>
  <conditionalFormatting sqref="N71">
    <cfRule type="cellIs" dxfId="22090" priority="160360" stopIfTrue="1" operator="lessThan">
      <formula>0.5</formula>
    </cfRule>
  </conditionalFormatting>
  <conditionalFormatting sqref="N71">
    <cfRule type="cellIs" dxfId="22089" priority="160361" stopIfTrue="1" operator="greaterThanOrEqual">
      <formula>0.5</formula>
    </cfRule>
  </conditionalFormatting>
  <conditionalFormatting sqref="N72">
    <cfRule type="cellIs" dxfId="22088" priority="160362" stopIfTrue="1" operator="equal">
      <formula>-1</formula>
    </cfRule>
  </conditionalFormatting>
  <conditionalFormatting sqref="N72">
    <cfRule type="cellIs" dxfId="22087" priority="160363" stopIfTrue="1" operator="lessThan">
      <formula>0.5</formula>
    </cfRule>
  </conditionalFormatting>
  <conditionalFormatting sqref="N72">
    <cfRule type="cellIs" dxfId="22086" priority="160364" stopIfTrue="1" operator="greaterThanOrEqual">
      <formula>0.5</formula>
    </cfRule>
  </conditionalFormatting>
  <conditionalFormatting sqref="N73">
    <cfRule type="cellIs" dxfId="22085" priority="160365" stopIfTrue="1" operator="equal">
      <formula>-1</formula>
    </cfRule>
  </conditionalFormatting>
  <conditionalFormatting sqref="N73">
    <cfRule type="cellIs" dxfId="22084" priority="160366" stopIfTrue="1" operator="lessThan">
      <formula>0.5</formula>
    </cfRule>
  </conditionalFormatting>
  <conditionalFormatting sqref="N73">
    <cfRule type="cellIs" dxfId="22083" priority="160367" stopIfTrue="1" operator="greaterThanOrEqual">
      <formula>0.5</formula>
    </cfRule>
  </conditionalFormatting>
  <conditionalFormatting sqref="N74">
    <cfRule type="cellIs" dxfId="22082" priority="160368" stopIfTrue="1" operator="equal">
      <formula>-1</formula>
    </cfRule>
  </conditionalFormatting>
  <conditionalFormatting sqref="N74">
    <cfRule type="cellIs" dxfId="22081" priority="160369" stopIfTrue="1" operator="lessThan">
      <formula>0.5</formula>
    </cfRule>
  </conditionalFormatting>
  <conditionalFormatting sqref="N74">
    <cfRule type="cellIs" dxfId="22080" priority="160370" stopIfTrue="1" operator="greaterThanOrEqual">
      <formula>0.5</formula>
    </cfRule>
  </conditionalFormatting>
  <conditionalFormatting sqref="N75">
    <cfRule type="cellIs" dxfId="22079" priority="160371" stopIfTrue="1" operator="equal">
      <formula>-1</formula>
    </cfRule>
  </conditionalFormatting>
  <conditionalFormatting sqref="N75">
    <cfRule type="cellIs" dxfId="22078" priority="160372" stopIfTrue="1" operator="lessThan">
      <formula>0.5</formula>
    </cfRule>
  </conditionalFormatting>
  <conditionalFormatting sqref="N75">
    <cfRule type="cellIs" dxfId="22077" priority="160373" stopIfTrue="1" operator="greaterThanOrEqual">
      <formula>0.5</formula>
    </cfRule>
  </conditionalFormatting>
  <conditionalFormatting sqref="N76">
    <cfRule type="cellIs" dxfId="22076" priority="160374" stopIfTrue="1" operator="equal">
      <formula>-1</formula>
    </cfRule>
  </conditionalFormatting>
  <conditionalFormatting sqref="N76">
    <cfRule type="cellIs" dxfId="22075" priority="160375" stopIfTrue="1" operator="lessThan">
      <formula>0.5</formula>
    </cfRule>
  </conditionalFormatting>
  <conditionalFormatting sqref="N76">
    <cfRule type="cellIs" dxfId="22074" priority="160376" stopIfTrue="1" operator="greaterThanOrEqual">
      <formula>0.5</formula>
    </cfRule>
  </conditionalFormatting>
  <conditionalFormatting sqref="N77">
    <cfRule type="cellIs" dxfId="22073" priority="160377" stopIfTrue="1" operator="equal">
      <formula>-1</formula>
    </cfRule>
  </conditionalFormatting>
  <conditionalFormatting sqref="N77">
    <cfRule type="cellIs" dxfId="22072" priority="160378" stopIfTrue="1" operator="lessThan">
      <formula>0.5</formula>
    </cfRule>
  </conditionalFormatting>
  <conditionalFormatting sqref="N77">
    <cfRule type="cellIs" dxfId="22071" priority="160379" stopIfTrue="1" operator="greaterThanOrEqual">
      <formula>0.5</formula>
    </cfRule>
  </conditionalFormatting>
  <conditionalFormatting sqref="N78">
    <cfRule type="cellIs" dxfId="22070" priority="160380" stopIfTrue="1" operator="equal">
      <formula>-1</formula>
    </cfRule>
  </conditionalFormatting>
  <conditionalFormatting sqref="N78">
    <cfRule type="cellIs" dxfId="22069" priority="160381" stopIfTrue="1" operator="lessThan">
      <formula>0.5</formula>
    </cfRule>
  </conditionalFormatting>
  <conditionalFormatting sqref="N78">
    <cfRule type="cellIs" dxfId="22068" priority="160382" stopIfTrue="1" operator="greaterThanOrEqual">
      <formula>0.5</formula>
    </cfRule>
  </conditionalFormatting>
  <conditionalFormatting sqref="N79">
    <cfRule type="cellIs" dxfId="22067" priority="160383" stopIfTrue="1" operator="equal">
      <formula>-1</formula>
    </cfRule>
  </conditionalFormatting>
  <conditionalFormatting sqref="N79">
    <cfRule type="cellIs" dxfId="22066" priority="160384" stopIfTrue="1" operator="lessThan">
      <formula>0.5</formula>
    </cfRule>
  </conditionalFormatting>
  <conditionalFormatting sqref="N79">
    <cfRule type="cellIs" dxfId="22065" priority="160385" stopIfTrue="1" operator="greaterThanOrEqual">
      <formula>0.5</formula>
    </cfRule>
  </conditionalFormatting>
  <conditionalFormatting sqref="N80">
    <cfRule type="cellIs" dxfId="22064" priority="160386" stopIfTrue="1" operator="equal">
      <formula>-1</formula>
    </cfRule>
  </conditionalFormatting>
  <conditionalFormatting sqref="N80">
    <cfRule type="cellIs" dxfId="22063" priority="160387" stopIfTrue="1" operator="lessThan">
      <formula>0.5</formula>
    </cfRule>
  </conditionalFormatting>
  <conditionalFormatting sqref="N80">
    <cfRule type="cellIs" dxfId="22062" priority="160388" stopIfTrue="1" operator="greaterThanOrEqual">
      <formula>0.5</formula>
    </cfRule>
  </conditionalFormatting>
  <conditionalFormatting sqref="N81">
    <cfRule type="cellIs" dxfId="22061" priority="160389" stopIfTrue="1" operator="equal">
      <formula>-1</formula>
    </cfRule>
  </conditionalFormatting>
  <conditionalFormatting sqref="N81">
    <cfRule type="cellIs" dxfId="22060" priority="160390" stopIfTrue="1" operator="lessThan">
      <formula>0.5</formula>
    </cfRule>
  </conditionalFormatting>
  <conditionalFormatting sqref="N81">
    <cfRule type="cellIs" dxfId="22059" priority="160391" stopIfTrue="1" operator="greaterThanOrEqual">
      <formula>0.5</formula>
    </cfRule>
  </conditionalFormatting>
  <conditionalFormatting sqref="N82">
    <cfRule type="cellIs" dxfId="22058" priority="160392" stopIfTrue="1" operator="equal">
      <formula>-1</formula>
    </cfRule>
  </conditionalFormatting>
  <conditionalFormatting sqref="N82">
    <cfRule type="cellIs" dxfId="22057" priority="160393" stopIfTrue="1" operator="lessThan">
      <formula>0.5</formula>
    </cfRule>
  </conditionalFormatting>
  <conditionalFormatting sqref="N82">
    <cfRule type="cellIs" dxfId="22056" priority="160394" stopIfTrue="1" operator="greaterThanOrEqual">
      <formula>0.5</formula>
    </cfRule>
  </conditionalFormatting>
  <conditionalFormatting sqref="N83">
    <cfRule type="cellIs" dxfId="22055" priority="160395" stopIfTrue="1" operator="equal">
      <formula>-1</formula>
    </cfRule>
  </conditionalFormatting>
  <conditionalFormatting sqref="N83">
    <cfRule type="cellIs" dxfId="22054" priority="160396" stopIfTrue="1" operator="lessThan">
      <formula>0.5</formula>
    </cfRule>
  </conditionalFormatting>
  <conditionalFormatting sqref="N83">
    <cfRule type="cellIs" dxfId="22053" priority="160397" stopIfTrue="1" operator="greaterThanOrEqual">
      <formula>0.5</formula>
    </cfRule>
  </conditionalFormatting>
  <conditionalFormatting sqref="N84">
    <cfRule type="cellIs" dxfId="22052" priority="160398" stopIfTrue="1" operator="equal">
      <formula>-1</formula>
    </cfRule>
  </conditionalFormatting>
  <conditionalFormatting sqref="N84">
    <cfRule type="cellIs" dxfId="22051" priority="160399" stopIfTrue="1" operator="lessThan">
      <formula>0.5</formula>
    </cfRule>
  </conditionalFormatting>
  <conditionalFormatting sqref="N84">
    <cfRule type="cellIs" dxfId="22050" priority="160400" stopIfTrue="1" operator="greaterThanOrEqual">
      <formula>0.5</formula>
    </cfRule>
  </conditionalFormatting>
  <conditionalFormatting sqref="N85">
    <cfRule type="cellIs" dxfId="22049" priority="160401" stopIfTrue="1" operator="equal">
      <formula>-1</formula>
    </cfRule>
  </conditionalFormatting>
  <conditionalFormatting sqref="N85">
    <cfRule type="cellIs" dxfId="22048" priority="160402" stopIfTrue="1" operator="lessThan">
      <formula>0.5</formula>
    </cfRule>
  </conditionalFormatting>
  <conditionalFormatting sqref="N85">
    <cfRule type="cellIs" dxfId="22047" priority="160403" stopIfTrue="1" operator="greaterThanOrEqual">
      <formula>0.5</formula>
    </cfRule>
  </conditionalFormatting>
  <conditionalFormatting sqref="P65">
    <cfRule type="cellIs" dxfId="22046" priority="160404" stopIfTrue="1" operator="equal">
      <formula>-1</formula>
    </cfRule>
  </conditionalFormatting>
  <conditionalFormatting sqref="P65">
    <cfRule type="cellIs" dxfId="22045" priority="160405" stopIfTrue="1" operator="lessThan">
      <formula>0.5</formula>
    </cfRule>
  </conditionalFormatting>
  <conditionalFormatting sqref="P65">
    <cfRule type="cellIs" dxfId="22044" priority="160406" stopIfTrue="1" operator="greaterThanOrEqual">
      <formula>0.5</formula>
    </cfRule>
  </conditionalFormatting>
  <conditionalFormatting sqref="P66">
    <cfRule type="cellIs" dxfId="22043" priority="160407" stopIfTrue="1" operator="equal">
      <formula>-1</formula>
    </cfRule>
  </conditionalFormatting>
  <conditionalFormatting sqref="P66">
    <cfRule type="cellIs" dxfId="22042" priority="160408" stopIfTrue="1" operator="lessThan">
      <formula>0.5</formula>
    </cfRule>
  </conditionalFormatting>
  <conditionalFormatting sqref="P66">
    <cfRule type="cellIs" dxfId="22041" priority="160409" stopIfTrue="1" operator="greaterThanOrEqual">
      <formula>0.5</formula>
    </cfRule>
  </conditionalFormatting>
  <conditionalFormatting sqref="P67">
    <cfRule type="cellIs" dxfId="22040" priority="160410" stopIfTrue="1" operator="equal">
      <formula>-1</formula>
    </cfRule>
  </conditionalFormatting>
  <conditionalFormatting sqref="P67">
    <cfRule type="cellIs" dxfId="22039" priority="160411" stopIfTrue="1" operator="lessThan">
      <formula>0.5</formula>
    </cfRule>
  </conditionalFormatting>
  <conditionalFormatting sqref="P67">
    <cfRule type="cellIs" dxfId="22038" priority="160412" stopIfTrue="1" operator="greaterThanOrEqual">
      <formula>0.5</formula>
    </cfRule>
  </conditionalFormatting>
  <conditionalFormatting sqref="P68">
    <cfRule type="cellIs" dxfId="22037" priority="160413" stopIfTrue="1" operator="equal">
      <formula>-1</formula>
    </cfRule>
  </conditionalFormatting>
  <conditionalFormatting sqref="P68">
    <cfRule type="cellIs" dxfId="22036" priority="160414" stopIfTrue="1" operator="lessThan">
      <formula>0.5</formula>
    </cfRule>
  </conditionalFormatting>
  <conditionalFormatting sqref="P68">
    <cfRule type="cellIs" dxfId="22035" priority="160415" stopIfTrue="1" operator="greaterThanOrEqual">
      <formula>0.5</formula>
    </cfRule>
  </conditionalFormatting>
  <conditionalFormatting sqref="P69">
    <cfRule type="cellIs" dxfId="22034" priority="160416" stopIfTrue="1" operator="equal">
      <formula>-1</formula>
    </cfRule>
  </conditionalFormatting>
  <conditionalFormatting sqref="P69">
    <cfRule type="cellIs" dxfId="22033" priority="160417" stopIfTrue="1" operator="lessThan">
      <formula>0.5</formula>
    </cfRule>
  </conditionalFormatting>
  <conditionalFormatting sqref="P69">
    <cfRule type="cellIs" dxfId="22032" priority="160418" stopIfTrue="1" operator="greaterThanOrEqual">
      <formula>0.5</formula>
    </cfRule>
  </conditionalFormatting>
  <conditionalFormatting sqref="P70">
    <cfRule type="cellIs" dxfId="22031" priority="160419" stopIfTrue="1" operator="equal">
      <formula>-1</formula>
    </cfRule>
  </conditionalFormatting>
  <conditionalFormatting sqref="P70">
    <cfRule type="cellIs" dxfId="22030" priority="160420" stopIfTrue="1" operator="lessThan">
      <formula>0.5</formula>
    </cfRule>
  </conditionalFormatting>
  <conditionalFormatting sqref="P70">
    <cfRule type="cellIs" dxfId="22029" priority="160421" stopIfTrue="1" operator="greaterThanOrEqual">
      <formula>0.5</formula>
    </cfRule>
  </conditionalFormatting>
  <conditionalFormatting sqref="P71">
    <cfRule type="cellIs" dxfId="22028" priority="160422" stopIfTrue="1" operator="equal">
      <formula>-1</formula>
    </cfRule>
  </conditionalFormatting>
  <conditionalFormatting sqref="P71">
    <cfRule type="cellIs" dxfId="22027" priority="160423" stopIfTrue="1" operator="lessThan">
      <formula>0.5</formula>
    </cfRule>
  </conditionalFormatting>
  <conditionalFormatting sqref="P71">
    <cfRule type="cellIs" dxfId="22026" priority="160424" stopIfTrue="1" operator="greaterThanOrEqual">
      <formula>0.5</formula>
    </cfRule>
  </conditionalFormatting>
  <conditionalFormatting sqref="P72">
    <cfRule type="cellIs" dxfId="22025" priority="160425" stopIfTrue="1" operator="equal">
      <formula>-1</formula>
    </cfRule>
  </conditionalFormatting>
  <conditionalFormatting sqref="P72">
    <cfRule type="cellIs" dxfId="22024" priority="160426" stopIfTrue="1" operator="lessThan">
      <formula>0.5</formula>
    </cfRule>
  </conditionalFormatting>
  <conditionalFormatting sqref="P72">
    <cfRule type="cellIs" dxfId="22023" priority="160427" stopIfTrue="1" operator="greaterThanOrEqual">
      <formula>0.5</formula>
    </cfRule>
  </conditionalFormatting>
  <conditionalFormatting sqref="P73">
    <cfRule type="cellIs" dxfId="22022" priority="160428" stopIfTrue="1" operator="equal">
      <formula>-1</formula>
    </cfRule>
  </conditionalFormatting>
  <conditionalFormatting sqref="P73">
    <cfRule type="cellIs" dxfId="22021" priority="160429" stopIfTrue="1" operator="lessThan">
      <formula>0.5</formula>
    </cfRule>
  </conditionalFormatting>
  <conditionalFormatting sqref="P73">
    <cfRule type="cellIs" dxfId="22020" priority="160430" stopIfTrue="1" operator="greaterThanOrEqual">
      <formula>0.5</formula>
    </cfRule>
  </conditionalFormatting>
  <conditionalFormatting sqref="P74">
    <cfRule type="cellIs" dxfId="22019" priority="160431" stopIfTrue="1" operator="equal">
      <formula>-1</formula>
    </cfRule>
  </conditionalFormatting>
  <conditionalFormatting sqref="P74">
    <cfRule type="cellIs" dxfId="22018" priority="160432" stopIfTrue="1" operator="lessThan">
      <formula>0.5</formula>
    </cfRule>
  </conditionalFormatting>
  <conditionalFormatting sqref="P74">
    <cfRule type="cellIs" dxfId="22017" priority="160433" stopIfTrue="1" operator="greaterThanOrEqual">
      <formula>0.5</formula>
    </cfRule>
  </conditionalFormatting>
  <conditionalFormatting sqref="P75">
    <cfRule type="cellIs" dxfId="22016" priority="160434" stopIfTrue="1" operator="equal">
      <formula>-1</formula>
    </cfRule>
  </conditionalFormatting>
  <conditionalFormatting sqref="P75">
    <cfRule type="cellIs" dxfId="22015" priority="160435" stopIfTrue="1" operator="lessThan">
      <formula>0.5</formula>
    </cfRule>
  </conditionalFormatting>
  <conditionalFormatting sqref="P75">
    <cfRule type="cellIs" dxfId="22014" priority="160436" stopIfTrue="1" operator="greaterThanOrEqual">
      <formula>0.5</formula>
    </cfRule>
  </conditionalFormatting>
  <conditionalFormatting sqref="P76">
    <cfRule type="cellIs" dxfId="22013" priority="160437" stopIfTrue="1" operator="equal">
      <formula>-1</formula>
    </cfRule>
  </conditionalFormatting>
  <conditionalFormatting sqref="P76">
    <cfRule type="cellIs" dxfId="22012" priority="160438" stopIfTrue="1" operator="lessThan">
      <formula>0.5</formula>
    </cfRule>
  </conditionalFormatting>
  <conditionalFormatting sqref="P76">
    <cfRule type="cellIs" dxfId="22011" priority="160439" stopIfTrue="1" operator="greaterThanOrEqual">
      <formula>0.5</formula>
    </cfRule>
  </conditionalFormatting>
  <conditionalFormatting sqref="P77">
    <cfRule type="cellIs" dxfId="22010" priority="160440" stopIfTrue="1" operator="equal">
      <formula>-1</formula>
    </cfRule>
  </conditionalFormatting>
  <conditionalFormatting sqref="P77">
    <cfRule type="cellIs" dxfId="22009" priority="160441" stopIfTrue="1" operator="lessThan">
      <formula>0.5</formula>
    </cfRule>
  </conditionalFormatting>
  <conditionalFormatting sqref="P77">
    <cfRule type="cellIs" dxfId="22008" priority="160442" stopIfTrue="1" operator="greaterThanOrEqual">
      <formula>0.5</formula>
    </cfRule>
  </conditionalFormatting>
  <conditionalFormatting sqref="P78">
    <cfRule type="cellIs" dxfId="22007" priority="160443" stopIfTrue="1" operator="equal">
      <formula>-1</formula>
    </cfRule>
  </conditionalFormatting>
  <conditionalFormatting sqref="P78">
    <cfRule type="cellIs" dxfId="22006" priority="160444" stopIfTrue="1" operator="lessThan">
      <formula>0.5</formula>
    </cfRule>
  </conditionalFormatting>
  <conditionalFormatting sqref="P78">
    <cfRule type="cellIs" dxfId="22005" priority="160445" stopIfTrue="1" operator="greaterThanOrEqual">
      <formula>0.5</formula>
    </cfRule>
  </conditionalFormatting>
  <conditionalFormatting sqref="P79">
    <cfRule type="cellIs" dxfId="22004" priority="160446" stopIfTrue="1" operator="equal">
      <formula>-1</formula>
    </cfRule>
  </conditionalFormatting>
  <conditionalFormatting sqref="P79">
    <cfRule type="cellIs" dxfId="22003" priority="160447" stopIfTrue="1" operator="lessThan">
      <formula>0.5</formula>
    </cfRule>
  </conditionalFormatting>
  <conditionalFormatting sqref="P79">
    <cfRule type="cellIs" dxfId="22002" priority="160448" stopIfTrue="1" operator="greaterThanOrEqual">
      <formula>0.5</formula>
    </cfRule>
  </conditionalFormatting>
  <conditionalFormatting sqref="P80">
    <cfRule type="cellIs" dxfId="22001" priority="160449" stopIfTrue="1" operator="equal">
      <formula>-1</formula>
    </cfRule>
  </conditionalFormatting>
  <conditionalFormatting sqref="P80">
    <cfRule type="cellIs" dxfId="22000" priority="160450" stopIfTrue="1" operator="lessThan">
      <formula>0.5</formula>
    </cfRule>
  </conditionalFormatting>
  <conditionalFormatting sqref="P80">
    <cfRule type="cellIs" dxfId="21999" priority="160451" stopIfTrue="1" operator="greaterThanOrEqual">
      <formula>0.5</formula>
    </cfRule>
  </conditionalFormatting>
  <conditionalFormatting sqref="P81">
    <cfRule type="cellIs" dxfId="21998" priority="160452" stopIfTrue="1" operator="equal">
      <formula>-1</formula>
    </cfRule>
  </conditionalFormatting>
  <conditionalFormatting sqref="P81">
    <cfRule type="cellIs" dxfId="21997" priority="160453" stopIfTrue="1" operator="lessThan">
      <formula>0.5</formula>
    </cfRule>
  </conditionalFormatting>
  <conditionalFormatting sqref="P81">
    <cfRule type="cellIs" dxfId="21996" priority="160454" stopIfTrue="1" operator="greaterThanOrEqual">
      <formula>0.5</formula>
    </cfRule>
  </conditionalFormatting>
  <conditionalFormatting sqref="P82">
    <cfRule type="cellIs" dxfId="21995" priority="160455" stopIfTrue="1" operator="equal">
      <formula>-1</formula>
    </cfRule>
  </conditionalFormatting>
  <conditionalFormatting sqref="P82">
    <cfRule type="cellIs" dxfId="21994" priority="160456" stopIfTrue="1" operator="lessThan">
      <formula>0.5</formula>
    </cfRule>
  </conditionalFormatting>
  <conditionalFormatting sqref="P82">
    <cfRule type="cellIs" dxfId="21993" priority="160457" stopIfTrue="1" operator="greaterThanOrEqual">
      <formula>0.5</formula>
    </cfRule>
  </conditionalFormatting>
  <conditionalFormatting sqref="P83">
    <cfRule type="cellIs" dxfId="21992" priority="160458" stopIfTrue="1" operator="equal">
      <formula>-1</formula>
    </cfRule>
  </conditionalFormatting>
  <conditionalFormatting sqref="P83">
    <cfRule type="cellIs" dxfId="21991" priority="160459" stopIfTrue="1" operator="lessThan">
      <formula>0.5</formula>
    </cfRule>
  </conditionalFormatting>
  <conditionalFormatting sqref="P83">
    <cfRule type="cellIs" dxfId="21990" priority="160460" stopIfTrue="1" operator="greaterThanOrEqual">
      <formula>0.5</formula>
    </cfRule>
  </conditionalFormatting>
  <conditionalFormatting sqref="P84">
    <cfRule type="cellIs" dxfId="21989" priority="160461" stopIfTrue="1" operator="equal">
      <formula>-1</formula>
    </cfRule>
  </conditionalFormatting>
  <conditionalFormatting sqref="P84">
    <cfRule type="cellIs" dxfId="21988" priority="160462" stopIfTrue="1" operator="lessThan">
      <formula>0.5</formula>
    </cfRule>
  </conditionalFormatting>
  <conditionalFormatting sqref="P84">
    <cfRule type="cellIs" dxfId="21987" priority="160463" stopIfTrue="1" operator="greaterThanOrEqual">
      <formula>0.5</formula>
    </cfRule>
  </conditionalFormatting>
  <conditionalFormatting sqref="P85">
    <cfRule type="cellIs" dxfId="21986" priority="160464" stopIfTrue="1" operator="equal">
      <formula>-1</formula>
    </cfRule>
  </conditionalFormatting>
  <conditionalFormatting sqref="P85">
    <cfRule type="cellIs" dxfId="21985" priority="160465" stopIfTrue="1" operator="lessThan">
      <formula>0.5</formula>
    </cfRule>
  </conditionalFormatting>
  <conditionalFormatting sqref="P85">
    <cfRule type="cellIs" dxfId="21984" priority="160466" stopIfTrue="1" operator="greaterThanOrEqual">
      <formula>0.5</formula>
    </cfRule>
  </conditionalFormatting>
  <conditionalFormatting sqref="R65">
    <cfRule type="cellIs" dxfId="21983" priority="160467" stopIfTrue="1" operator="equal">
      <formula>-1</formula>
    </cfRule>
  </conditionalFormatting>
  <conditionalFormatting sqref="R65">
    <cfRule type="cellIs" dxfId="21982" priority="160468" stopIfTrue="1" operator="lessThan">
      <formula>0.5</formula>
    </cfRule>
  </conditionalFormatting>
  <conditionalFormatting sqref="R65">
    <cfRule type="cellIs" dxfId="21981" priority="160469" stopIfTrue="1" operator="greaterThanOrEqual">
      <formula>0.5</formula>
    </cfRule>
  </conditionalFormatting>
  <conditionalFormatting sqref="R66">
    <cfRule type="cellIs" dxfId="21980" priority="160470" stopIfTrue="1" operator="equal">
      <formula>-1</formula>
    </cfRule>
  </conditionalFormatting>
  <conditionalFormatting sqref="R66">
    <cfRule type="cellIs" dxfId="21979" priority="160471" stopIfTrue="1" operator="lessThan">
      <formula>0.5</formula>
    </cfRule>
  </conditionalFormatting>
  <conditionalFormatting sqref="R66">
    <cfRule type="cellIs" dxfId="21978" priority="160472" stopIfTrue="1" operator="greaterThanOrEqual">
      <formula>0.5</formula>
    </cfRule>
  </conditionalFormatting>
  <conditionalFormatting sqref="R67">
    <cfRule type="cellIs" dxfId="21977" priority="160473" stopIfTrue="1" operator="equal">
      <formula>-1</formula>
    </cfRule>
  </conditionalFormatting>
  <conditionalFormatting sqref="R67">
    <cfRule type="cellIs" dxfId="21976" priority="160474" stopIfTrue="1" operator="lessThan">
      <formula>0.5</formula>
    </cfRule>
  </conditionalFormatting>
  <conditionalFormatting sqref="R67">
    <cfRule type="cellIs" dxfId="21975" priority="160475" stopIfTrue="1" operator="greaterThanOrEqual">
      <formula>0.5</formula>
    </cfRule>
  </conditionalFormatting>
  <conditionalFormatting sqref="R68">
    <cfRule type="cellIs" dxfId="21974" priority="160476" stopIfTrue="1" operator="equal">
      <formula>-1</formula>
    </cfRule>
  </conditionalFormatting>
  <conditionalFormatting sqref="R68">
    <cfRule type="cellIs" dxfId="21973" priority="160477" stopIfTrue="1" operator="lessThan">
      <formula>0.5</formula>
    </cfRule>
  </conditionalFormatting>
  <conditionalFormatting sqref="R68">
    <cfRule type="cellIs" dxfId="21972" priority="160478" stopIfTrue="1" operator="greaterThanOrEqual">
      <formula>0.5</formula>
    </cfRule>
  </conditionalFormatting>
  <conditionalFormatting sqref="R69">
    <cfRule type="cellIs" dxfId="21971" priority="160479" stopIfTrue="1" operator="equal">
      <formula>-1</formula>
    </cfRule>
  </conditionalFormatting>
  <conditionalFormatting sqref="R69">
    <cfRule type="cellIs" dxfId="21970" priority="160480" stopIfTrue="1" operator="lessThan">
      <formula>0.5</formula>
    </cfRule>
  </conditionalFormatting>
  <conditionalFormatting sqref="R69">
    <cfRule type="cellIs" dxfId="21969" priority="160481" stopIfTrue="1" operator="greaterThanOrEqual">
      <formula>0.5</formula>
    </cfRule>
  </conditionalFormatting>
  <conditionalFormatting sqref="R70">
    <cfRule type="cellIs" dxfId="21968" priority="160482" stopIfTrue="1" operator="equal">
      <formula>-1</formula>
    </cfRule>
  </conditionalFormatting>
  <conditionalFormatting sqref="R70">
    <cfRule type="cellIs" dxfId="21967" priority="160483" stopIfTrue="1" operator="lessThan">
      <formula>0.5</formula>
    </cfRule>
  </conditionalFormatting>
  <conditionalFormatting sqref="R70">
    <cfRule type="cellIs" dxfId="21966" priority="160484" stopIfTrue="1" operator="greaterThanOrEqual">
      <formula>0.5</formula>
    </cfRule>
  </conditionalFormatting>
  <conditionalFormatting sqref="R71">
    <cfRule type="cellIs" dxfId="21965" priority="160485" stopIfTrue="1" operator="equal">
      <formula>-1</formula>
    </cfRule>
  </conditionalFormatting>
  <conditionalFormatting sqref="R71">
    <cfRule type="cellIs" dxfId="21964" priority="160486" stopIfTrue="1" operator="lessThan">
      <formula>0.5</formula>
    </cfRule>
  </conditionalFormatting>
  <conditionalFormatting sqref="R71">
    <cfRule type="cellIs" dxfId="21963" priority="160487" stopIfTrue="1" operator="greaterThanOrEqual">
      <formula>0.5</formula>
    </cfRule>
  </conditionalFormatting>
  <conditionalFormatting sqref="R72">
    <cfRule type="cellIs" dxfId="21962" priority="160488" stopIfTrue="1" operator="equal">
      <formula>-1</formula>
    </cfRule>
  </conditionalFormatting>
  <conditionalFormatting sqref="R72">
    <cfRule type="cellIs" dxfId="21961" priority="160489" stopIfTrue="1" operator="lessThan">
      <formula>0.5</formula>
    </cfRule>
  </conditionalFormatting>
  <conditionalFormatting sqref="R72">
    <cfRule type="cellIs" dxfId="21960" priority="160490" stopIfTrue="1" operator="greaterThanOrEqual">
      <formula>0.5</formula>
    </cfRule>
  </conditionalFormatting>
  <conditionalFormatting sqref="R73">
    <cfRule type="cellIs" dxfId="21959" priority="160491" stopIfTrue="1" operator="equal">
      <formula>-1</formula>
    </cfRule>
  </conditionalFormatting>
  <conditionalFormatting sqref="R73">
    <cfRule type="cellIs" dxfId="21958" priority="160492" stopIfTrue="1" operator="lessThan">
      <formula>0.5</formula>
    </cfRule>
  </conditionalFormatting>
  <conditionalFormatting sqref="R73">
    <cfRule type="cellIs" dxfId="21957" priority="160493" stopIfTrue="1" operator="greaterThanOrEqual">
      <formula>0.5</formula>
    </cfRule>
  </conditionalFormatting>
  <conditionalFormatting sqref="R74">
    <cfRule type="cellIs" dxfId="21956" priority="160494" stopIfTrue="1" operator="equal">
      <formula>-1</formula>
    </cfRule>
  </conditionalFormatting>
  <conditionalFormatting sqref="R74">
    <cfRule type="cellIs" dxfId="21955" priority="160495" stopIfTrue="1" operator="lessThan">
      <formula>0.5</formula>
    </cfRule>
  </conditionalFormatting>
  <conditionalFormatting sqref="R74">
    <cfRule type="cellIs" dxfId="21954" priority="160496" stopIfTrue="1" operator="greaterThanOrEqual">
      <formula>0.5</formula>
    </cfRule>
  </conditionalFormatting>
  <conditionalFormatting sqref="R75">
    <cfRule type="cellIs" dxfId="21953" priority="160497" stopIfTrue="1" operator="equal">
      <formula>-1</formula>
    </cfRule>
  </conditionalFormatting>
  <conditionalFormatting sqref="R75">
    <cfRule type="cellIs" dxfId="21952" priority="160498" stopIfTrue="1" operator="lessThan">
      <formula>0.5</formula>
    </cfRule>
  </conditionalFormatting>
  <conditionalFormatting sqref="R75">
    <cfRule type="cellIs" dxfId="21951" priority="160499" stopIfTrue="1" operator="greaterThanOrEqual">
      <formula>0.5</formula>
    </cfRule>
  </conditionalFormatting>
  <conditionalFormatting sqref="R76">
    <cfRule type="cellIs" dxfId="21950" priority="160500" stopIfTrue="1" operator="equal">
      <formula>-1</formula>
    </cfRule>
  </conditionalFormatting>
  <conditionalFormatting sqref="R76">
    <cfRule type="cellIs" dxfId="21949" priority="160501" stopIfTrue="1" operator="lessThan">
      <formula>0.5</formula>
    </cfRule>
  </conditionalFormatting>
  <conditionalFormatting sqref="R76">
    <cfRule type="cellIs" dxfId="21948" priority="160502" stopIfTrue="1" operator="greaterThanOrEqual">
      <formula>0.5</formula>
    </cfRule>
  </conditionalFormatting>
  <conditionalFormatting sqref="R77">
    <cfRule type="cellIs" dxfId="21947" priority="160503" stopIfTrue="1" operator="equal">
      <formula>-1</formula>
    </cfRule>
  </conditionalFormatting>
  <conditionalFormatting sqref="R77">
    <cfRule type="cellIs" dxfId="21946" priority="160504" stopIfTrue="1" operator="lessThan">
      <formula>0.5</formula>
    </cfRule>
  </conditionalFormatting>
  <conditionalFormatting sqref="R77">
    <cfRule type="cellIs" dxfId="21945" priority="160505" stopIfTrue="1" operator="greaterThanOrEqual">
      <formula>0.5</formula>
    </cfRule>
  </conditionalFormatting>
  <conditionalFormatting sqref="R78">
    <cfRule type="cellIs" dxfId="21944" priority="160506" stopIfTrue="1" operator="equal">
      <formula>-1</formula>
    </cfRule>
  </conditionalFormatting>
  <conditionalFormatting sqref="R78">
    <cfRule type="cellIs" dxfId="21943" priority="160507" stopIfTrue="1" operator="lessThan">
      <formula>0.5</formula>
    </cfRule>
  </conditionalFormatting>
  <conditionalFormatting sqref="R78">
    <cfRule type="cellIs" dxfId="21942" priority="160508" stopIfTrue="1" operator="greaterThanOrEqual">
      <formula>0.5</formula>
    </cfRule>
  </conditionalFormatting>
  <conditionalFormatting sqref="R79">
    <cfRule type="cellIs" dxfId="21941" priority="160509" stopIfTrue="1" operator="equal">
      <formula>-1</formula>
    </cfRule>
  </conditionalFormatting>
  <conditionalFormatting sqref="R79">
    <cfRule type="cellIs" dxfId="21940" priority="160510" stopIfTrue="1" operator="lessThan">
      <formula>0.5</formula>
    </cfRule>
  </conditionalFormatting>
  <conditionalFormatting sqref="R79">
    <cfRule type="cellIs" dxfId="21939" priority="160511" stopIfTrue="1" operator="greaterThanOrEqual">
      <formula>0.5</formula>
    </cfRule>
  </conditionalFormatting>
  <conditionalFormatting sqref="R80">
    <cfRule type="cellIs" dxfId="21938" priority="160512" stopIfTrue="1" operator="equal">
      <formula>-1</formula>
    </cfRule>
  </conditionalFormatting>
  <conditionalFormatting sqref="R80">
    <cfRule type="cellIs" dxfId="21937" priority="160513" stopIfTrue="1" operator="lessThan">
      <formula>0.5</formula>
    </cfRule>
  </conditionalFormatting>
  <conditionalFormatting sqref="R80">
    <cfRule type="cellIs" dxfId="21936" priority="160514" stopIfTrue="1" operator="greaterThanOrEqual">
      <formula>0.5</formula>
    </cfRule>
  </conditionalFormatting>
  <conditionalFormatting sqref="R81">
    <cfRule type="cellIs" dxfId="21935" priority="160515" stopIfTrue="1" operator="equal">
      <formula>-1</formula>
    </cfRule>
  </conditionalFormatting>
  <conditionalFormatting sqref="R81">
    <cfRule type="cellIs" dxfId="21934" priority="160516" stopIfTrue="1" operator="lessThan">
      <formula>0.5</formula>
    </cfRule>
  </conditionalFormatting>
  <conditionalFormatting sqref="R81">
    <cfRule type="cellIs" dxfId="21933" priority="160517" stopIfTrue="1" operator="greaterThanOrEqual">
      <formula>0.5</formula>
    </cfRule>
  </conditionalFormatting>
  <conditionalFormatting sqref="R82">
    <cfRule type="cellIs" dxfId="21932" priority="160518" stopIfTrue="1" operator="equal">
      <formula>-1</formula>
    </cfRule>
  </conditionalFormatting>
  <conditionalFormatting sqref="R82">
    <cfRule type="cellIs" dxfId="21931" priority="160519" stopIfTrue="1" operator="lessThan">
      <formula>0.5</formula>
    </cfRule>
  </conditionalFormatting>
  <conditionalFormatting sqref="R82">
    <cfRule type="cellIs" dxfId="21930" priority="160520" stopIfTrue="1" operator="greaterThanOrEqual">
      <formula>0.5</formula>
    </cfRule>
  </conditionalFormatting>
  <conditionalFormatting sqref="R83">
    <cfRule type="cellIs" dxfId="21929" priority="160521" stopIfTrue="1" operator="equal">
      <formula>-1</formula>
    </cfRule>
  </conditionalFormatting>
  <conditionalFormatting sqref="R83">
    <cfRule type="cellIs" dxfId="21928" priority="160522" stopIfTrue="1" operator="lessThan">
      <formula>0.5</formula>
    </cfRule>
  </conditionalFormatting>
  <conditionalFormatting sqref="R83">
    <cfRule type="cellIs" dxfId="21927" priority="160523" stopIfTrue="1" operator="greaterThanOrEqual">
      <formula>0.5</formula>
    </cfRule>
  </conditionalFormatting>
  <conditionalFormatting sqref="R84">
    <cfRule type="cellIs" dxfId="21926" priority="160524" stopIfTrue="1" operator="equal">
      <formula>-1</formula>
    </cfRule>
  </conditionalFormatting>
  <conditionalFormatting sqref="R84">
    <cfRule type="cellIs" dxfId="21925" priority="160525" stopIfTrue="1" operator="lessThan">
      <formula>0.5</formula>
    </cfRule>
  </conditionalFormatting>
  <conditionalFormatting sqref="R84">
    <cfRule type="cellIs" dxfId="21924" priority="160526" stopIfTrue="1" operator="greaterThanOrEqual">
      <formula>0.5</formula>
    </cfRule>
  </conditionalFormatting>
  <conditionalFormatting sqref="R85">
    <cfRule type="cellIs" dxfId="21923" priority="160527" stopIfTrue="1" operator="equal">
      <formula>-1</formula>
    </cfRule>
  </conditionalFormatting>
  <conditionalFormatting sqref="R85">
    <cfRule type="cellIs" dxfId="21922" priority="160528" stopIfTrue="1" operator="lessThan">
      <formula>0.5</formula>
    </cfRule>
  </conditionalFormatting>
  <conditionalFormatting sqref="R85">
    <cfRule type="cellIs" dxfId="21921" priority="160529" stopIfTrue="1" operator="greaterThanOrEqual">
      <formula>0.5</formula>
    </cfRule>
  </conditionalFormatting>
  <conditionalFormatting sqref="T65">
    <cfRule type="cellIs" dxfId="21920" priority="160530" stopIfTrue="1" operator="equal">
      <formula>-1</formula>
    </cfRule>
  </conditionalFormatting>
  <conditionalFormatting sqref="T65">
    <cfRule type="cellIs" dxfId="21919" priority="160531" stopIfTrue="1" operator="lessThan">
      <formula>0.5</formula>
    </cfRule>
  </conditionalFormatting>
  <conditionalFormatting sqref="T65">
    <cfRule type="cellIs" dxfId="21918" priority="160532" stopIfTrue="1" operator="greaterThanOrEqual">
      <formula>0.5</formula>
    </cfRule>
  </conditionalFormatting>
  <conditionalFormatting sqref="T66">
    <cfRule type="cellIs" dxfId="21917" priority="160533" stopIfTrue="1" operator="equal">
      <formula>-1</formula>
    </cfRule>
  </conditionalFormatting>
  <conditionalFormatting sqref="T66">
    <cfRule type="cellIs" dxfId="21916" priority="160534" stopIfTrue="1" operator="lessThan">
      <formula>0.5</formula>
    </cfRule>
  </conditionalFormatting>
  <conditionalFormatting sqref="T66">
    <cfRule type="cellIs" dxfId="21915" priority="160535" stopIfTrue="1" operator="greaterThanOrEqual">
      <formula>0.5</formula>
    </cfRule>
  </conditionalFormatting>
  <conditionalFormatting sqref="T67">
    <cfRule type="cellIs" dxfId="21914" priority="160536" stopIfTrue="1" operator="equal">
      <formula>-1</formula>
    </cfRule>
  </conditionalFormatting>
  <conditionalFormatting sqref="T67">
    <cfRule type="cellIs" dxfId="21913" priority="160537" stopIfTrue="1" operator="lessThan">
      <formula>0.5</formula>
    </cfRule>
  </conditionalFormatting>
  <conditionalFormatting sqref="T67">
    <cfRule type="cellIs" dxfId="21912" priority="160538" stopIfTrue="1" operator="greaterThanOrEqual">
      <formula>0.5</formula>
    </cfRule>
  </conditionalFormatting>
  <conditionalFormatting sqref="T68">
    <cfRule type="cellIs" dxfId="21911" priority="160539" stopIfTrue="1" operator="equal">
      <formula>-1</formula>
    </cfRule>
  </conditionalFormatting>
  <conditionalFormatting sqref="T68">
    <cfRule type="cellIs" dxfId="21910" priority="160540" stopIfTrue="1" operator="lessThan">
      <formula>0.5</formula>
    </cfRule>
  </conditionalFormatting>
  <conditionalFormatting sqref="T68">
    <cfRule type="cellIs" dxfId="21909" priority="160541" stopIfTrue="1" operator="greaterThanOrEqual">
      <formula>0.5</formula>
    </cfRule>
  </conditionalFormatting>
  <conditionalFormatting sqref="T69">
    <cfRule type="cellIs" dxfId="21908" priority="160542" stopIfTrue="1" operator="equal">
      <formula>-1</formula>
    </cfRule>
  </conditionalFormatting>
  <conditionalFormatting sqref="T69">
    <cfRule type="cellIs" dxfId="21907" priority="160543" stopIfTrue="1" operator="lessThan">
      <formula>0.5</formula>
    </cfRule>
  </conditionalFormatting>
  <conditionalFormatting sqref="T69">
    <cfRule type="cellIs" dxfId="21906" priority="160544" stopIfTrue="1" operator="greaterThanOrEqual">
      <formula>0.5</formula>
    </cfRule>
  </conditionalFormatting>
  <conditionalFormatting sqref="T70">
    <cfRule type="cellIs" dxfId="21905" priority="160545" stopIfTrue="1" operator="equal">
      <formula>-1</formula>
    </cfRule>
  </conditionalFormatting>
  <conditionalFormatting sqref="T70">
    <cfRule type="cellIs" dxfId="21904" priority="160546" stopIfTrue="1" operator="lessThan">
      <formula>0.5</formula>
    </cfRule>
  </conditionalFormatting>
  <conditionalFormatting sqref="T70">
    <cfRule type="cellIs" dxfId="21903" priority="160547" stopIfTrue="1" operator="greaterThanOrEqual">
      <formula>0.5</formula>
    </cfRule>
  </conditionalFormatting>
  <conditionalFormatting sqref="T71">
    <cfRule type="cellIs" dxfId="21902" priority="160548" stopIfTrue="1" operator="equal">
      <formula>-1</formula>
    </cfRule>
  </conditionalFormatting>
  <conditionalFormatting sqref="T71">
    <cfRule type="cellIs" dxfId="21901" priority="160549" stopIfTrue="1" operator="lessThan">
      <formula>0.5</formula>
    </cfRule>
  </conditionalFormatting>
  <conditionalFormatting sqref="T71">
    <cfRule type="cellIs" dxfId="21900" priority="160550" stopIfTrue="1" operator="greaterThanOrEqual">
      <formula>0.5</formula>
    </cfRule>
  </conditionalFormatting>
  <conditionalFormatting sqref="T72">
    <cfRule type="cellIs" dxfId="21899" priority="160551" stopIfTrue="1" operator="equal">
      <formula>-1</formula>
    </cfRule>
  </conditionalFormatting>
  <conditionalFormatting sqref="T72">
    <cfRule type="cellIs" dxfId="21898" priority="160552" stopIfTrue="1" operator="lessThan">
      <formula>0.5</formula>
    </cfRule>
  </conditionalFormatting>
  <conditionalFormatting sqref="T72">
    <cfRule type="cellIs" dxfId="21897" priority="160553" stopIfTrue="1" operator="greaterThanOrEqual">
      <formula>0.5</formula>
    </cfRule>
  </conditionalFormatting>
  <conditionalFormatting sqref="T73">
    <cfRule type="cellIs" dxfId="21896" priority="160554" stopIfTrue="1" operator="equal">
      <formula>-1</formula>
    </cfRule>
  </conditionalFormatting>
  <conditionalFormatting sqref="T73">
    <cfRule type="cellIs" dxfId="21895" priority="160555" stopIfTrue="1" operator="lessThan">
      <formula>0.5</formula>
    </cfRule>
  </conditionalFormatting>
  <conditionalFormatting sqref="T73">
    <cfRule type="cellIs" dxfId="21894" priority="160556" stopIfTrue="1" operator="greaterThanOrEqual">
      <formula>0.5</formula>
    </cfRule>
  </conditionalFormatting>
  <conditionalFormatting sqref="T74">
    <cfRule type="cellIs" dxfId="21893" priority="160557" stopIfTrue="1" operator="equal">
      <formula>-1</formula>
    </cfRule>
  </conditionalFormatting>
  <conditionalFormatting sqref="T74">
    <cfRule type="cellIs" dxfId="21892" priority="160558" stopIfTrue="1" operator="lessThan">
      <formula>0.5</formula>
    </cfRule>
  </conditionalFormatting>
  <conditionalFormatting sqref="T74">
    <cfRule type="cellIs" dxfId="21891" priority="160559" stopIfTrue="1" operator="greaterThanOrEqual">
      <formula>0.5</formula>
    </cfRule>
  </conditionalFormatting>
  <conditionalFormatting sqref="T75">
    <cfRule type="cellIs" dxfId="21890" priority="160560" stopIfTrue="1" operator="equal">
      <formula>-1</formula>
    </cfRule>
  </conditionalFormatting>
  <conditionalFormatting sqref="T75">
    <cfRule type="cellIs" dxfId="21889" priority="160561" stopIfTrue="1" operator="lessThan">
      <formula>0.5</formula>
    </cfRule>
  </conditionalFormatting>
  <conditionalFormatting sqref="T75">
    <cfRule type="cellIs" dxfId="21888" priority="160562" stopIfTrue="1" operator="greaterThanOrEqual">
      <formula>0.5</formula>
    </cfRule>
  </conditionalFormatting>
  <conditionalFormatting sqref="T76">
    <cfRule type="cellIs" dxfId="21887" priority="160563" stopIfTrue="1" operator="equal">
      <formula>-1</formula>
    </cfRule>
  </conditionalFormatting>
  <conditionalFormatting sqref="T76">
    <cfRule type="cellIs" dxfId="21886" priority="160564" stopIfTrue="1" operator="lessThan">
      <formula>0.5</formula>
    </cfRule>
  </conditionalFormatting>
  <conditionalFormatting sqref="T76">
    <cfRule type="cellIs" dxfId="21885" priority="160565" stopIfTrue="1" operator="greaterThanOrEqual">
      <formula>0.5</formula>
    </cfRule>
  </conditionalFormatting>
  <conditionalFormatting sqref="T77">
    <cfRule type="cellIs" dxfId="21884" priority="160566" stopIfTrue="1" operator="equal">
      <formula>-1</formula>
    </cfRule>
  </conditionalFormatting>
  <conditionalFormatting sqref="T77">
    <cfRule type="cellIs" dxfId="21883" priority="160567" stopIfTrue="1" operator="lessThan">
      <formula>0.5</formula>
    </cfRule>
  </conditionalFormatting>
  <conditionalFormatting sqref="T77">
    <cfRule type="cellIs" dxfId="21882" priority="160568" stopIfTrue="1" operator="greaterThanOrEqual">
      <formula>0.5</formula>
    </cfRule>
  </conditionalFormatting>
  <conditionalFormatting sqref="T78">
    <cfRule type="cellIs" dxfId="21881" priority="160569" stopIfTrue="1" operator="equal">
      <formula>-1</formula>
    </cfRule>
  </conditionalFormatting>
  <conditionalFormatting sqref="T78">
    <cfRule type="cellIs" dxfId="21880" priority="160570" stopIfTrue="1" operator="lessThan">
      <formula>0.5</formula>
    </cfRule>
  </conditionalFormatting>
  <conditionalFormatting sqref="T78">
    <cfRule type="cellIs" dxfId="21879" priority="160571" stopIfTrue="1" operator="greaterThanOrEqual">
      <formula>0.5</formula>
    </cfRule>
  </conditionalFormatting>
  <conditionalFormatting sqref="T79">
    <cfRule type="cellIs" dxfId="21878" priority="160572" stopIfTrue="1" operator="equal">
      <formula>-1</formula>
    </cfRule>
  </conditionalFormatting>
  <conditionalFormatting sqref="T79">
    <cfRule type="cellIs" dxfId="21877" priority="160573" stopIfTrue="1" operator="lessThan">
      <formula>0.5</formula>
    </cfRule>
  </conditionalFormatting>
  <conditionalFormatting sqref="T79">
    <cfRule type="cellIs" dxfId="21876" priority="160574" stopIfTrue="1" operator="greaterThanOrEqual">
      <formula>0.5</formula>
    </cfRule>
  </conditionalFormatting>
  <conditionalFormatting sqref="T80">
    <cfRule type="cellIs" dxfId="21875" priority="160575" stopIfTrue="1" operator="equal">
      <formula>-1</formula>
    </cfRule>
  </conditionalFormatting>
  <conditionalFormatting sqref="T80">
    <cfRule type="cellIs" dxfId="21874" priority="160576" stopIfTrue="1" operator="lessThan">
      <formula>0.5</formula>
    </cfRule>
  </conditionalFormatting>
  <conditionalFormatting sqref="T80">
    <cfRule type="cellIs" dxfId="21873" priority="160577" stopIfTrue="1" operator="greaterThanOrEqual">
      <formula>0.5</formula>
    </cfRule>
  </conditionalFormatting>
  <conditionalFormatting sqref="T81">
    <cfRule type="cellIs" dxfId="21872" priority="160578" stopIfTrue="1" operator="equal">
      <formula>-1</formula>
    </cfRule>
  </conditionalFormatting>
  <conditionalFormatting sqref="T81">
    <cfRule type="cellIs" dxfId="21871" priority="160579" stopIfTrue="1" operator="lessThan">
      <formula>0.5</formula>
    </cfRule>
  </conditionalFormatting>
  <conditionalFormatting sqref="T81">
    <cfRule type="cellIs" dxfId="21870" priority="160580" stopIfTrue="1" operator="greaterThanOrEqual">
      <formula>0.5</formula>
    </cfRule>
  </conditionalFormatting>
  <conditionalFormatting sqref="T82">
    <cfRule type="cellIs" dxfId="21869" priority="160581" stopIfTrue="1" operator="equal">
      <formula>-1</formula>
    </cfRule>
  </conditionalFormatting>
  <conditionalFormatting sqref="T82">
    <cfRule type="cellIs" dxfId="21868" priority="160582" stopIfTrue="1" operator="lessThan">
      <formula>0.5</formula>
    </cfRule>
  </conditionalFormatting>
  <conditionalFormatting sqref="T82">
    <cfRule type="cellIs" dxfId="21867" priority="160583" stopIfTrue="1" operator="greaterThanOrEqual">
      <formula>0.5</formula>
    </cfRule>
  </conditionalFormatting>
  <conditionalFormatting sqref="T83">
    <cfRule type="cellIs" dxfId="21866" priority="160584" stopIfTrue="1" operator="equal">
      <formula>-1</formula>
    </cfRule>
  </conditionalFormatting>
  <conditionalFormatting sqref="T83">
    <cfRule type="cellIs" dxfId="21865" priority="160585" stopIfTrue="1" operator="lessThan">
      <formula>0.5</formula>
    </cfRule>
  </conditionalFormatting>
  <conditionalFormatting sqref="T83">
    <cfRule type="cellIs" dxfId="21864" priority="160586" stopIfTrue="1" operator="greaterThanOrEqual">
      <formula>0.5</formula>
    </cfRule>
  </conditionalFormatting>
  <conditionalFormatting sqref="T84">
    <cfRule type="cellIs" dxfId="21863" priority="160587" stopIfTrue="1" operator="equal">
      <formula>-1</formula>
    </cfRule>
  </conditionalFormatting>
  <conditionalFormatting sqref="T84">
    <cfRule type="cellIs" dxfId="21862" priority="160588" stopIfTrue="1" operator="lessThan">
      <formula>0.5</formula>
    </cfRule>
  </conditionalFormatting>
  <conditionalFormatting sqref="T84">
    <cfRule type="cellIs" dxfId="21861" priority="160589" stopIfTrue="1" operator="greaterThanOrEqual">
      <formula>0.5</formula>
    </cfRule>
  </conditionalFormatting>
  <conditionalFormatting sqref="T85">
    <cfRule type="cellIs" dxfId="21860" priority="160590" stopIfTrue="1" operator="equal">
      <formula>-1</formula>
    </cfRule>
  </conditionalFormatting>
  <conditionalFormatting sqref="T85">
    <cfRule type="cellIs" dxfId="21859" priority="160591" stopIfTrue="1" operator="lessThan">
      <formula>0.5</formula>
    </cfRule>
  </conditionalFormatting>
  <conditionalFormatting sqref="T85">
    <cfRule type="cellIs" dxfId="21858" priority="160592" stopIfTrue="1" operator="greaterThanOrEqual">
      <formula>0.5</formula>
    </cfRule>
  </conditionalFormatting>
  <conditionalFormatting sqref="V65">
    <cfRule type="cellIs" dxfId="21857" priority="160593" stopIfTrue="1" operator="equal">
      <formula>-1</formula>
    </cfRule>
  </conditionalFormatting>
  <conditionalFormatting sqref="V65">
    <cfRule type="cellIs" dxfId="21856" priority="160594" stopIfTrue="1" operator="lessThan">
      <formula>0.5</formula>
    </cfRule>
  </conditionalFormatting>
  <conditionalFormatting sqref="V65">
    <cfRule type="cellIs" dxfId="21855" priority="160595" stopIfTrue="1" operator="greaterThanOrEqual">
      <formula>0.5</formula>
    </cfRule>
  </conditionalFormatting>
  <conditionalFormatting sqref="V66">
    <cfRule type="cellIs" dxfId="21854" priority="160596" stopIfTrue="1" operator="equal">
      <formula>-1</formula>
    </cfRule>
  </conditionalFormatting>
  <conditionalFormatting sqref="V66">
    <cfRule type="cellIs" dxfId="21853" priority="160597" stopIfTrue="1" operator="lessThan">
      <formula>0.5</formula>
    </cfRule>
  </conditionalFormatting>
  <conditionalFormatting sqref="V66">
    <cfRule type="cellIs" dxfId="21852" priority="160598" stopIfTrue="1" operator="greaterThanOrEqual">
      <formula>0.5</formula>
    </cfRule>
  </conditionalFormatting>
  <conditionalFormatting sqref="V67">
    <cfRule type="cellIs" dxfId="21851" priority="160599" stopIfTrue="1" operator="equal">
      <formula>-1</formula>
    </cfRule>
  </conditionalFormatting>
  <conditionalFormatting sqref="V67">
    <cfRule type="cellIs" dxfId="21850" priority="160600" stopIfTrue="1" operator="lessThan">
      <formula>0.5</formula>
    </cfRule>
  </conditionalFormatting>
  <conditionalFormatting sqref="V67">
    <cfRule type="cellIs" dxfId="21849" priority="160601" stopIfTrue="1" operator="greaterThanOrEqual">
      <formula>0.5</formula>
    </cfRule>
  </conditionalFormatting>
  <conditionalFormatting sqref="V68">
    <cfRule type="cellIs" dxfId="21848" priority="160602" stopIfTrue="1" operator="equal">
      <formula>-1</formula>
    </cfRule>
  </conditionalFormatting>
  <conditionalFormatting sqref="V68">
    <cfRule type="cellIs" dxfId="21847" priority="160603" stopIfTrue="1" operator="lessThan">
      <formula>0.5</formula>
    </cfRule>
  </conditionalFormatting>
  <conditionalFormatting sqref="V68">
    <cfRule type="cellIs" dxfId="21846" priority="160604" stopIfTrue="1" operator="greaterThanOrEqual">
      <formula>0.5</formula>
    </cfRule>
  </conditionalFormatting>
  <conditionalFormatting sqref="V69">
    <cfRule type="cellIs" dxfId="21845" priority="160605" stopIfTrue="1" operator="equal">
      <formula>-1</formula>
    </cfRule>
  </conditionalFormatting>
  <conditionalFormatting sqref="V69">
    <cfRule type="cellIs" dxfId="21844" priority="160606" stopIfTrue="1" operator="lessThan">
      <formula>0.5</formula>
    </cfRule>
  </conditionalFormatting>
  <conditionalFormatting sqref="V69">
    <cfRule type="cellIs" dxfId="21843" priority="160607" stopIfTrue="1" operator="greaterThanOrEqual">
      <formula>0.5</formula>
    </cfRule>
  </conditionalFormatting>
  <conditionalFormatting sqref="V70">
    <cfRule type="cellIs" dxfId="21842" priority="160608" stopIfTrue="1" operator="equal">
      <formula>-1</formula>
    </cfRule>
  </conditionalFormatting>
  <conditionalFormatting sqref="V70">
    <cfRule type="cellIs" dxfId="21841" priority="160609" stopIfTrue="1" operator="lessThan">
      <formula>0.5</formula>
    </cfRule>
  </conditionalFormatting>
  <conditionalFormatting sqref="V70">
    <cfRule type="cellIs" dxfId="21840" priority="160610" stopIfTrue="1" operator="greaterThanOrEqual">
      <formula>0.5</formula>
    </cfRule>
  </conditionalFormatting>
  <conditionalFormatting sqref="V71">
    <cfRule type="cellIs" dxfId="21839" priority="160611" stopIfTrue="1" operator="equal">
      <formula>-1</formula>
    </cfRule>
  </conditionalFormatting>
  <conditionalFormatting sqref="V71">
    <cfRule type="cellIs" dxfId="21838" priority="160612" stopIfTrue="1" operator="lessThan">
      <formula>0.5</formula>
    </cfRule>
  </conditionalFormatting>
  <conditionalFormatting sqref="V71">
    <cfRule type="cellIs" dxfId="21837" priority="160613" stopIfTrue="1" operator="greaterThanOrEqual">
      <formula>0.5</formula>
    </cfRule>
  </conditionalFormatting>
  <conditionalFormatting sqref="V72">
    <cfRule type="cellIs" dxfId="21836" priority="160614" stopIfTrue="1" operator="equal">
      <formula>-1</formula>
    </cfRule>
  </conditionalFormatting>
  <conditionalFormatting sqref="V72">
    <cfRule type="cellIs" dxfId="21835" priority="160615" stopIfTrue="1" operator="lessThan">
      <formula>0.5</formula>
    </cfRule>
  </conditionalFormatting>
  <conditionalFormatting sqref="V72">
    <cfRule type="cellIs" dxfId="21834" priority="160616" stopIfTrue="1" operator="greaterThanOrEqual">
      <formula>0.5</formula>
    </cfRule>
  </conditionalFormatting>
  <conditionalFormatting sqref="V73">
    <cfRule type="cellIs" dxfId="21833" priority="160617" stopIfTrue="1" operator="equal">
      <formula>-1</formula>
    </cfRule>
  </conditionalFormatting>
  <conditionalFormatting sqref="V73">
    <cfRule type="cellIs" dxfId="21832" priority="160618" stopIfTrue="1" operator="lessThan">
      <formula>0.5</formula>
    </cfRule>
  </conditionalFormatting>
  <conditionalFormatting sqref="V73">
    <cfRule type="cellIs" dxfId="21831" priority="160619" stopIfTrue="1" operator="greaterThanOrEqual">
      <formula>0.5</formula>
    </cfRule>
  </conditionalFormatting>
  <conditionalFormatting sqref="V74">
    <cfRule type="cellIs" dxfId="21830" priority="160620" stopIfTrue="1" operator="equal">
      <formula>-1</formula>
    </cfRule>
  </conditionalFormatting>
  <conditionalFormatting sqref="V74">
    <cfRule type="cellIs" dxfId="21829" priority="160621" stopIfTrue="1" operator="lessThan">
      <formula>0.5</formula>
    </cfRule>
  </conditionalFormatting>
  <conditionalFormatting sqref="V74">
    <cfRule type="cellIs" dxfId="21828" priority="160622" stopIfTrue="1" operator="greaterThanOrEqual">
      <formula>0.5</formula>
    </cfRule>
  </conditionalFormatting>
  <conditionalFormatting sqref="V75">
    <cfRule type="cellIs" dxfId="21827" priority="160623" stopIfTrue="1" operator="equal">
      <formula>-1</formula>
    </cfRule>
  </conditionalFormatting>
  <conditionalFormatting sqref="V75">
    <cfRule type="cellIs" dxfId="21826" priority="160624" stopIfTrue="1" operator="lessThan">
      <formula>0.5</formula>
    </cfRule>
  </conditionalFormatting>
  <conditionalFormatting sqref="V75">
    <cfRule type="cellIs" dxfId="21825" priority="160625" stopIfTrue="1" operator="greaterThanOrEqual">
      <formula>0.5</formula>
    </cfRule>
  </conditionalFormatting>
  <conditionalFormatting sqref="V76">
    <cfRule type="cellIs" dxfId="21824" priority="160626" stopIfTrue="1" operator="equal">
      <formula>-1</formula>
    </cfRule>
  </conditionalFormatting>
  <conditionalFormatting sqref="V76">
    <cfRule type="cellIs" dxfId="21823" priority="160627" stopIfTrue="1" operator="lessThan">
      <formula>0.5</formula>
    </cfRule>
  </conditionalFormatting>
  <conditionalFormatting sqref="V76">
    <cfRule type="cellIs" dxfId="21822" priority="160628" stopIfTrue="1" operator="greaterThanOrEqual">
      <formula>0.5</formula>
    </cfRule>
  </conditionalFormatting>
  <conditionalFormatting sqref="V77">
    <cfRule type="cellIs" dxfId="21821" priority="160629" stopIfTrue="1" operator="equal">
      <formula>-1</formula>
    </cfRule>
  </conditionalFormatting>
  <conditionalFormatting sqref="V77">
    <cfRule type="cellIs" dxfId="21820" priority="160630" stopIfTrue="1" operator="lessThan">
      <formula>0.5</formula>
    </cfRule>
  </conditionalFormatting>
  <conditionalFormatting sqref="V77">
    <cfRule type="cellIs" dxfId="21819" priority="160631" stopIfTrue="1" operator="greaterThanOrEqual">
      <formula>0.5</formula>
    </cfRule>
  </conditionalFormatting>
  <conditionalFormatting sqref="V78">
    <cfRule type="cellIs" dxfId="21818" priority="160632" stopIfTrue="1" operator="equal">
      <formula>-1</formula>
    </cfRule>
  </conditionalFormatting>
  <conditionalFormatting sqref="V78">
    <cfRule type="cellIs" dxfId="21817" priority="160633" stopIfTrue="1" operator="lessThan">
      <formula>0.5</formula>
    </cfRule>
  </conditionalFormatting>
  <conditionalFormatting sqref="V78">
    <cfRule type="cellIs" dxfId="21816" priority="160634" stopIfTrue="1" operator="greaterThanOrEqual">
      <formula>0.5</formula>
    </cfRule>
  </conditionalFormatting>
  <conditionalFormatting sqref="V79">
    <cfRule type="cellIs" dxfId="21815" priority="160635" stopIfTrue="1" operator="equal">
      <formula>-1</formula>
    </cfRule>
  </conditionalFormatting>
  <conditionalFormatting sqref="V79">
    <cfRule type="cellIs" dxfId="21814" priority="160636" stopIfTrue="1" operator="lessThan">
      <formula>0.5</formula>
    </cfRule>
  </conditionalFormatting>
  <conditionalFormatting sqref="V79">
    <cfRule type="cellIs" dxfId="21813" priority="160637" stopIfTrue="1" operator="greaterThanOrEqual">
      <formula>0.5</formula>
    </cfRule>
  </conditionalFormatting>
  <conditionalFormatting sqref="V80">
    <cfRule type="cellIs" dxfId="21812" priority="160638" stopIfTrue="1" operator="equal">
      <formula>-1</formula>
    </cfRule>
  </conditionalFormatting>
  <conditionalFormatting sqref="V80">
    <cfRule type="cellIs" dxfId="21811" priority="160639" stopIfTrue="1" operator="lessThan">
      <formula>0.5</formula>
    </cfRule>
  </conditionalFormatting>
  <conditionalFormatting sqref="V80">
    <cfRule type="cellIs" dxfId="21810" priority="160640" stopIfTrue="1" operator="greaterThanOrEqual">
      <formula>0.5</formula>
    </cfRule>
  </conditionalFormatting>
  <conditionalFormatting sqref="V81">
    <cfRule type="cellIs" dxfId="21809" priority="160641" stopIfTrue="1" operator="equal">
      <formula>-1</formula>
    </cfRule>
  </conditionalFormatting>
  <conditionalFormatting sqref="V81">
    <cfRule type="cellIs" dxfId="21808" priority="160642" stopIfTrue="1" operator="lessThan">
      <formula>0.5</formula>
    </cfRule>
  </conditionalFormatting>
  <conditionalFormatting sqref="V81">
    <cfRule type="cellIs" dxfId="21807" priority="160643" stopIfTrue="1" operator="greaterThanOrEqual">
      <formula>0.5</formula>
    </cfRule>
  </conditionalFormatting>
  <conditionalFormatting sqref="V82">
    <cfRule type="cellIs" dxfId="21806" priority="160644" stopIfTrue="1" operator="equal">
      <formula>-1</formula>
    </cfRule>
  </conditionalFormatting>
  <conditionalFormatting sqref="V82">
    <cfRule type="cellIs" dxfId="21805" priority="160645" stopIfTrue="1" operator="lessThan">
      <formula>0.5</formula>
    </cfRule>
  </conditionalFormatting>
  <conditionalFormatting sqref="V82">
    <cfRule type="cellIs" dxfId="21804" priority="160646" stopIfTrue="1" operator="greaterThanOrEqual">
      <formula>0.5</formula>
    </cfRule>
  </conditionalFormatting>
  <conditionalFormatting sqref="V83">
    <cfRule type="cellIs" dxfId="21803" priority="160647" stopIfTrue="1" operator="equal">
      <formula>-1</formula>
    </cfRule>
  </conditionalFormatting>
  <conditionalFormatting sqref="V83">
    <cfRule type="cellIs" dxfId="21802" priority="160648" stopIfTrue="1" operator="lessThan">
      <formula>0.5</formula>
    </cfRule>
  </conditionalFormatting>
  <conditionalFormatting sqref="V83">
    <cfRule type="cellIs" dxfId="21801" priority="160649" stopIfTrue="1" operator="greaterThanOrEqual">
      <formula>0.5</formula>
    </cfRule>
  </conditionalFormatting>
  <conditionalFormatting sqref="V84">
    <cfRule type="cellIs" dxfId="21800" priority="160650" stopIfTrue="1" operator="equal">
      <formula>-1</formula>
    </cfRule>
  </conditionalFormatting>
  <conditionalFormatting sqref="V84">
    <cfRule type="cellIs" dxfId="21799" priority="160651" stopIfTrue="1" operator="lessThan">
      <formula>0.5</formula>
    </cfRule>
  </conditionalFormatting>
  <conditionalFormatting sqref="V84">
    <cfRule type="cellIs" dxfId="21798" priority="160652" stopIfTrue="1" operator="greaterThanOrEqual">
      <formula>0.5</formula>
    </cfRule>
  </conditionalFormatting>
  <conditionalFormatting sqref="V85">
    <cfRule type="cellIs" dxfId="21797" priority="160653" stopIfTrue="1" operator="equal">
      <formula>-1</formula>
    </cfRule>
  </conditionalFormatting>
  <conditionalFormatting sqref="V85">
    <cfRule type="cellIs" dxfId="21796" priority="160654" stopIfTrue="1" operator="lessThan">
      <formula>0.5</formula>
    </cfRule>
  </conditionalFormatting>
  <conditionalFormatting sqref="V85">
    <cfRule type="cellIs" dxfId="21795" priority="160655" stopIfTrue="1" operator="greaterThanOrEqual">
      <formula>0.5</formula>
    </cfRule>
  </conditionalFormatting>
  <conditionalFormatting sqref="X65">
    <cfRule type="cellIs" dxfId="21794" priority="160656" stopIfTrue="1" operator="equal">
      <formula>-1</formula>
    </cfRule>
  </conditionalFormatting>
  <conditionalFormatting sqref="X65">
    <cfRule type="cellIs" dxfId="21793" priority="160657" stopIfTrue="1" operator="lessThan">
      <formula>0.5</formula>
    </cfRule>
  </conditionalFormatting>
  <conditionalFormatting sqref="X65">
    <cfRule type="cellIs" dxfId="21792" priority="160658" stopIfTrue="1" operator="greaterThanOrEqual">
      <formula>0.5</formula>
    </cfRule>
  </conditionalFormatting>
  <conditionalFormatting sqref="X66">
    <cfRule type="cellIs" dxfId="21791" priority="160659" stopIfTrue="1" operator="equal">
      <formula>-1</formula>
    </cfRule>
  </conditionalFormatting>
  <conditionalFormatting sqref="X66">
    <cfRule type="cellIs" dxfId="21790" priority="160660" stopIfTrue="1" operator="lessThan">
      <formula>0.5</formula>
    </cfRule>
  </conditionalFormatting>
  <conditionalFormatting sqref="X66">
    <cfRule type="cellIs" dxfId="21789" priority="160661" stopIfTrue="1" operator="greaterThanOrEqual">
      <formula>0.5</formula>
    </cfRule>
  </conditionalFormatting>
  <conditionalFormatting sqref="X67">
    <cfRule type="cellIs" dxfId="21788" priority="160662" stopIfTrue="1" operator="equal">
      <formula>-1</formula>
    </cfRule>
  </conditionalFormatting>
  <conditionalFormatting sqref="X67">
    <cfRule type="cellIs" dxfId="21787" priority="160663" stopIfTrue="1" operator="lessThan">
      <formula>0.5</formula>
    </cfRule>
  </conditionalFormatting>
  <conditionalFormatting sqref="X67">
    <cfRule type="cellIs" dxfId="21786" priority="160664" stopIfTrue="1" operator="greaterThanOrEqual">
      <formula>0.5</formula>
    </cfRule>
  </conditionalFormatting>
  <conditionalFormatting sqref="X68">
    <cfRule type="cellIs" dxfId="21785" priority="160665" stopIfTrue="1" operator="equal">
      <formula>-1</formula>
    </cfRule>
  </conditionalFormatting>
  <conditionalFormatting sqref="X68">
    <cfRule type="cellIs" dxfId="21784" priority="160666" stopIfTrue="1" operator="lessThan">
      <formula>0.5</formula>
    </cfRule>
  </conditionalFormatting>
  <conditionalFormatting sqref="X68">
    <cfRule type="cellIs" dxfId="21783" priority="160667" stopIfTrue="1" operator="greaterThanOrEqual">
      <formula>0.5</formula>
    </cfRule>
  </conditionalFormatting>
  <conditionalFormatting sqref="X69">
    <cfRule type="cellIs" dxfId="21782" priority="160668" stopIfTrue="1" operator="equal">
      <formula>-1</formula>
    </cfRule>
  </conditionalFormatting>
  <conditionalFormatting sqref="X69">
    <cfRule type="cellIs" dxfId="21781" priority="160669" stopIfTrue="1" operator="lessThan">
      <formula>0.5</formula>
    </cfRule>
  </conditionalFormatting>
  <conditionalFormatting sqref="X69">
    <cfRule type="cellIs" dxfId="21780" priority="160670" stopIfTrue="1" operator="greaterThanOrEqual">
      <formula>0.5</formula>
    </cfRule>
  </conditionalFormatting>
  <conditionalFormatting sqref="X70">
    <cfRule type="cellIs" dxfId="21779" priority="160671" stopIfTrue="1" operator="equal">
      <formula>-1</formula>
    </cfRule>
  </conditionalFormatting>
  <conditionalFormatting sqref="X70">
    <cfRule type="cellIs" dxfId="21778" priority="160672" stopIfTrue="1" operator="lessThan">
      <formula>0.5</formula>
    </cfRule>
  </conditionalFormatting>
  <conditionalFormatting sqref="X70">
    <cfRule type="cellIs" dxfId="21777" priority="160673" stopIfTrue="1" operator="greaterThanOrEqual">
      <formula>0.5</formula>
    </cfRule>
  </conditionalFormatting>
  <conditionalFormatting sqref="X71">
    <cfRule type="cellIs" dxfId="21776" priority="160674" stopIfTrue="1" operator="equal">
      <formula>-1</formula>
    </cfRule>
  </conditionalFormatting>
  <conditionalFormatting sqref="X71">
    <cfRule type="cellIs" dxfId="21775" priority="160675" stopIfTrue="1" operator="lessThan">
      <formula>0.5</formula>
    </cfRule>
  </conditionalFormatting>
  <conditionalFormatting sqref="X71">
    <cfRule type="cellIs" dxfId="21774" priority="160676" stopIfTrue="1" operator="greaterThanOrEqual">
      <formula>0.5</formula>
    </cfRule>
  </conditionalFormatting>
  <conditionalFormatting sqref="X72">
    <cfRule type="cellIs" dxfId="21773" priority="160677" stopIfTrue="1" operator="equal">
      <formula>-1</formula>
    </cfRule>
  </conditionalFormatting>
  <conditionalFormatting sqref="X72">
    <cfRule type="cellIs" dxfId="21772" priority="160678" stopIfTrue="1" operator="lessThan">
      <formula>0.5</formula>
    </cfRule>
  </conditionalFormatting>
  <conditionalFormatting sqref="X72">
    <cfRule type="cellIs" dxfId="21771" priority="160679" stopIfTrue="1" operator="greaterThanOrEqual">
      <formula>0.5</formula>
    </cfRule>
  </conditionalFormatting>
  <conditionalFormatting sqref="X73">
    <cfRule type="cellIs" dxfId="21770" priority="160680" stopIfTrue="1" operator="equal">
      <formula>-1</formula>
    </cfRule>
  </conditionalFormatting>
  <conditionalFormatting sqref="X73">
    <cfRule type="cellIs" dxfId="21769" priority="160681" stopIfTrue="1" operator="lessThan">
      <formula>0.5</formula>
    </cfRule>
  </conditionalFormatting>
  <conditionalFormatting sqref="X73">
    <cfRule type="cellIs" dxfId="21768" priority="160682" stopIfTrue="1" operator="greaterThanOrEqual">
      <formula>0.5</formula>
    </cfRule>
  </conditionalFormatting>
  <conditionalFormatting sqref="X74">
    <cfRule type="cellIs" dxfId="21767" priority="160683" stopIfTrue="1" operator="equal">
      <formula>-1</formula>
    </cfRule>
  </conditionalFormatting>
  <conditionalFormatting sqref="X74">
    <cfRule type="cellIs" dxfId="21766" priority="160684" stopIfTrue="1" operator="lessThan">
      <formula>0.5</formula>
    </cfRule>
  </conditionalFormatting>
  <conditionalFormatting sqref="X74">
    <cfRule type="cellIs" dxfId="21765" priority="160685" stopIfTrue="1" operator="greaterThanOrEqual">
      <formula>0.5</formula>
    </cfRule>
  </conditionalFormatting>
  <conditionalFormatting sqref="X75">
    <cfRule type="cellIs" dxfId="21764" priority="160686" stopIfTrue="1" operator="equal">
      <formula>-1</formula>
    </cfRule>
  </conditionalFormatting>
  <conditionalFormatting sqref="X75">
    <cfRule type="cellIs" dxfId="21763" priority="160687" stopIfTrue="1" operator="lessThan">
      <formula>0.5</formula>
    </cfRule>
  </conditionalFormatting>
  <conditionalFormatting sqref="X75">
    <cfRule type="cellIs" dxfId="21762" priority="160688" stopIfTrue="1" operator="greaterThanOrEqual">
      <formula>0.5</formula>
    </cfRule>
  </conditionalFormatting>
  <conditionalFormatting sqref="X76">
    <cfRule type="cellIs" dxfId="21761" priority="160689" stopIfTrue="1" operator="equal">
      <formula>-1</formula>
    </cfRule>
  </conditionalFormatting>
  <conditionalFormatting sqref="X76">
    <cfRule type="cellIs" dxfId="21760" priority="160690" stopIfTrue="1" operator="lessThan">
      <formula>0.5</formula>
    </cfRule>
  </conditionalFormatting>
  <conditionalFormatting sqref="X76">
    <cfRule type="cellIs" dxfId="21759" priority="160691" stopIfTrue="1" operator="greaterThanOrEqual">
      <formula>0.5</formula>
    </cfRule>
  </conditionalFormatting>
  <conditionalFormatting sqref="X77">
    <cfRule type="cellIs" dxfId="21758" priority="160692" stopIfTrue="1" operator="equal">
      <formula>-1</formula>
    </cfRule>
  </conditionalFormatting>
  <conditionalFormatting sqref="X77">
    <cfRule type="cellIs" dxfId="21757" priority="160693" stopIfTrue="1" operator="lessThan">
      <formula>0.5</formula>
    </cfRule>
  </conditionalFormatting>
  <conditionalFormatting sqref="X77">
    <cfRule type="cellIs" dxfId="21756" priority="160694" stopIfTrue="1" operator="greaterThanOrEqual">
      <formula>0.5</formula>
    </cfRule>
  </conditionalFormatting>
  <conditionalFormatting sqref="X78">
    <cfRule type="cellIs" dxfId="21755" priority="160695" stopIfTrue="1" operator="equal">
      <formula>-1</formula>
    </cfRule>
  </conditionalFormatting>
  <conditionalFormatting sqref="X78">
    <cfRule type="cellIs" dxfId="21754" priority="160696" stopIfTrue="1" operator="lessThan">
      <formula>0.5</formula>
    </cfRule>
  </conditionalFormatting>
  <conditionalFormatting sqref="X78">
    <cfRule type="cellIs" dxfId="21753" priority="160697" stopIfTrue="1" operator="greaterThanOrEqual">
      <formula>0.5</formula>
    </cfRule>
  </conditionalFormatting>
  <conditionalFormatting sqref="X79">
    <cfRule type="cellIs" dxfId="21752" priority="160698" stopIfTrue="1" operator="equal">
      <formula>-1</formula>
    </cfRule>
  </conditionalFormatting>
  <conditionalFormatting sqref="X79">
    <cfRule type="cellIs" dxfId="21751" priority="160699" stopIfTrue="1" operator="lessThan">
      <formula>0.5</formula>
    </cfRule>
  </conditionalFormatting>
  <conditionalFormatting sqref="X79">
    <cfRule type="cellIs" dxfId="21750" priority="160700" stopIfTrue="1" operator="greaterThanOrEqual">
      <formula>0.5</formula>
    </cfRule>
  </conditionalFormatting>
  <conditionalFormatting sqref="X80">
    <cfRule type="cellIs" dxfId="21749" priority="160701" stopIfTrue="1" operator="equal">
      <formula>-1</formula>
    </cfRule>
  </conditionalFormatting>
  <conditionalFormatting sqref="X80">
    <cfRule type="cellIs" dxfId="21748" priority="160702" stopIfTrue="1" operator="lessThan">
      <formula>0.5</formula>
    </cfRule>
  </conditionalFormatting>
  <conditionalFormatting sqref="X80">
    <cfRule type="cellIs" dxfId="21747" priority="160703" stopIfTrue="1" operator="greaterThanOrEqual">
      <formula>0.5</formula>
    </cfRule>
  </conditionalFormatting>
  <conditionalFormatting sqref="X81">
    <cfRule type="cellIs" dxfId="21746" priority="160704" stopIfTrue="1" operator="equal">
      <formula>-1</formula>
    </cfRule>
  </conditionalFormatting>
  <conditionalFormatting sqref="X81">
    <cfRule type="cellIs" dxfId="21745" priority="160705" stopIfTrue="1" operator="lessThan">
      <formula>0.5</formula>
    </cfRule>
  </conditionalFormatting>
  <conditionalFormatting sqref="X81">
    <cfRule type="cellIs" dxfId="21744" priority="160706" stopIfTrue="1" operator="greaterThanOrEqual">
      <formula>0.5</formula>
    </cfRule>
  </conditionalFormatting>
  <conditionalFormatting sqref="X82">
    <cfRule type="cellIs" dxfId="21743" priority="160707" stopIfTrue="1" operator="equal">
      <formula>-1</formula>
    </cfRule>
  </conditionalFormatting>
  <conditionalFormatting sqref="X82">
    <cfRule type="cellIs" dxfId="21742" priority="160708" stopIfTrue="1" operator="lessThan">
      <formula>0.5</formula>
    </cfRule>
  </conditionalFormatting>
  <conditionalFormatting sqref="X82">
    <cfRule type="cellIs" dxfId="21741" priority="160709" stopIfTrue="1" operator="greaterThanOrEqual">
      <formula>0.5</formula>
    </cfRule>
  </conditionalFormatting>
  <conditionalFormatting sqref="X83">
    <cfRule type="cellIs" dxfId="21740" priority="160710" stopIfTrue="1" operator="equal">
      <formula>-1</formula>
    </cfRule>
  </conditionalFormatting>
  <conditionalFormatting sqref="X83">
    <cfRule type="cellIs" dxfId="21739" priority="160711" stopIfTrue="1" operator="lessThan">
      <formula>0.5</formula>
    </cfRule>
  </conditionalFormatting>
  <conditionalFormatting sqref="X83">
    <cfRule type="cellIs" dxfId="21738" priority="160712" stopIfTrue="1" operator="greaterThanOrEqual">
      <formula>0.5</formula>
    </cfRule>
  </conditionalFormatting>
  <conditionalFormatting sqref="X84">
    <cfRule type="cellIs" dxfId="21737" priority="160713" stopIfTrue="1" operator="equal">
      <formula>-1</formula>
    </cfRule>
  </conditionalFormatting>
  <conditionalFormatting sqref="X84">
    <cfRule type="cellIs" dxfId="21736" priority="160714" stopIfTrue="1" operator="lessThan">
      <formula>0.5</formula>
    </cfRule>
  </conditionalFormatting>
  <conditionalFormatting sqref="X84">
    <cfRule type="cellIs" dxfId="21735" priority="160715" stopIfTrue="1" operator="greaterThanOrEqual">
      <formula>0.5</formula>
    </cfRule>
  </conditionalFormatting>
  <conditionalFormatting sqref="X85">
    <cfRule type="cellIs" dxfId="21734" priority="160716" stopIfTrue="1" operator="equal">
      <formula>-1</formula>
    </cfRule>
  </conditionalFormatting>
  <conditionalFormatting sqref="X85">
    <cfRule type="cellIs" dxfId="21733" priority="160717" stopIfTrue="1" operator="lessThan">
      <formula>0.5</formula>
    </cfRule>
  </conditionalFormatting>
  <conditionalFormatting sqref="X85">
    <cfRule type="cellIs" dxfId="21732" priority="160718" stopIfTrue="1" operator="greaterThanOrEqual">
      <formula>0.5</formula>
    </cfRule>
  </conditionalFormatting>
  <conditionalFormatting sqref="Z65">
    <cfRule type="cellIs" dxfId="21731" priority="160719" stopIfTrue="1" operator="equal">
      <formula>-1</formula>
    </cfRule>
  </conditionalFormatting>
  <conditionalFormatting sqref="Z65">
    <cfRule type="cellIs" dxfId="21730" priority="160720" stopIfTrue="1" operator="lessThan">
      <formula>0.5</formula>
    </cfRule>
  </conditionalFormatting>
  <conditionalFormatting sqref="Z65">
    <cfRule type="cellIs" dxfId="21729" priority="160721" stopIfTrue="1" operator="greaterThanOrEqual">
      <formula>0.5</formula>
    </cfRule>
  </conditionalFormatting>
  <conditionalFormatting sqref="Z66">
    <cfRule type="cellIs" dxfId="21728" priority="160722" stopIfTrue="1" operator="equal">
      <formula>-1</formula>
    </cfRule>
  </conditionalFormatting>
  <conditionalFormatting sqref="Z66">
    <cfRule type="cellIs" dxfId="21727" priority="160723" stopIfTrue="1" operator="lessThan">
      <formula>0.5</formula>
    </cfRule>
  </conditionalFormatting>
  <conditionalFormatting sqref="Z66">
    <cfRule type="cellIs" dxfId="21726" priority="160724" stopIfTrue="1" operator="greaterThanOrEqual">
      <formula>0.5</formula>
    </cfRule>
  </conditionalFormatting>
  <conditionalFormatting sqref="Z67">
    <cfRule type="cellIs" dxfId="21725" priority="160725" stopIfTrue="1" operator="equal">
      <formula>-1</formula>
    </cfRule>
  </conditionalFormatting>
  <conditionalFormatting sqref="Z67">
    <cfRule type="cellIs" dxfId="21724" priority="160726" stopIfTrue="1" operator="lessThan">
      <formula>0.5</formula>
    </cfRule>
  </conditionalFormatting>
  <conditionalFormatting sqref="Z67">
    <cfRule type="cellIs" dxfId="21723" priority="160727" stopIfTrue="1" operator="greaterThanOrEqual">
      <formula>0.5</formula>
    </cfRule>
  </conditionalFormatting>
  <conditionalFormatting sqref="Z68">
    <cfRule type="cellIs" dxfId="21722" priority="160728" stopIfTrue="1" operator="equal">
      <formula>-1</formula>
    </cfRule>
  </conditionalFormatting>
  <conditionalFormatting sqref="Z68">
    <cfRule type="cellIs" dxfId="21721" priority="160729" stopIfTrue="1" operator="lessThan">
      <formula>0.5</formula>
    </cfRule>
  </conditionalFormatting>
  <conditionalFormatting sqref="Z68">
    <cfRule type="cellIs" dxfId="21720" priority="160730" stopIfTrue="1" operator="greaterThanOrEqual">
      <formula>0.5</formula>
    </cfRule>
  </conditionalFormatting>
  <conditionalFormatting sqref="Z69">
    <cfRule type="cellIs" dxfId="21719" priority="160731" stopIfTrue="1" operator="equal">
      <formula>-1</formula>
    </cfRule>
  </conditionalFormatting>
  <conditionalFormatting sqref="Z69">
    <cfRule type="cellIs" dxfId="21718" priority="160732" stopIfTrue="1" operator="lessThan">
      <formula>0.5</formula>
    </cfRule>
  </conditionalFormatting>
  <conditionalFormatting sqref="Z69">
    <cfRule type="cellIs" dxfId="21717" priority="160733" stopIfTrue="1" operator="greaterThanOrEqual">
      <formula>0.5</formula>
    </cfRule>
  </conditionalFormatting>
  <conditionalFormatting sqref="Z70">
    <cfRule type="cellIs" dxfId="21716" priority="160734" stopIfTrue="1" operator="equal">
      <formula>-1</formula>
    </cfRule>
  </conditionalFormatting>
  <conditionalFormatting sqref="Z70">
    <cfRule type="cellIs" dxfId="21715" priority="160735" stopIfTrue="1" operator="lessThan">
      <formula>0.5</formula>
    </cfRule>
  </conditionalFormatting>
  <conditionalFormatting sqref="Z70">
    <cfRule type="cellIs" dxfId="21714" priority="160736" stopIfTrue="1" operator="greaterThanOrEqual">
      <formula>0.5</formula>
    </cfRule>
  </conditionalFormatting>
  <conditionalFormatting sqref="Z71">
    <cfRule type="cellIs" dxfId="21713" priority="160737" stopIfTrue="1" operator="equal">
      <formula>-1</formula>
    </cfRule>
  </conditionalFormatting>
  <conditionalFormatting sqref="Z71">
    <cfRule type="cellIs" dxfId="21712" priority="160738" stopIfTrue="1" operator="lessThan">
      <formula>0.5</formula>
    </cfRule>
  </conditionalFormatting>
  <conditionalFormatting sqref="Z71">
    <cfRule type="cellIs" dxfId="21711" priority="160739" stopIfTrue="1" operator="greaterThanOrEqual">
      <formula>0.5</formula>
    </cfRule>
  </conditionalFormatting>
  <conditionalFormatting sqref="Z72">
    <cfRule type="cellIs" dxfId="21710" priority="160740" stopIfTrue="1" operator="equal">
      <formula>-1</formula>
    </cfRule>
  </conditionalFormatting>
  <conditionalFormatting sqref="Z72">
    <cfRule type="cellIs" dxfId="21709" priority="160741" stopIfTrue="1" operator="lessThan">
      <formula>0.5</formula>
    </cfRule>
  </conditionalFormatting>
  <conditionalFormatting sqref="Z72">
    <cfRule type="cellIs" dxfId="21708" priority="160742" stopIfTrue="1" operator="greaterThanOrEqual">
      <formula>0.5</formula>
    </cfRule>
  </conditionalFormatting>
  <conditionalFormatting sqref="Z73">
    <cfRule type="cellIs" dxfId="21707" priority="160743" stopIfTrue="1" operator="equal">
      <formula>-1</formula>
    </cfRule>
  </conditionalFormatting>
  <conditionalFormatting sqref="Z73">
    <cfRule type="cellIs" dxfId="21706" priority="160744" stopIfTrue="1" operator="lessThan">
      <formula>0.5</formula>
    </cfRule>
  </conditionalFormatting>
  <conditionalFormatting sqref="Z73">
    <cfRule type="cellIs" dxfId="21705" priority="160745" stopIfTrue="1" operator="greaterThanOrEqual">
      <formula>0.5</formula>
    </cfRule>
  </conditionalFormatting>
  <conditionalFormatting sqref="Z74">
    <cfRule type="cellIs" dxfId="21704" priority="160746" stopIfTrue="1" operator="equal">
      <formula>-1</formula>
    </cfRule>
  </conditionalFormatting>
  <conditionalFormatting sqref="Z74">
    <cfRule type="cellIs" dxfId="21703" priority="160747" stopIfTrue="1" operator="lessThan">
      <formula>0.5</formula>
    </cfRule>
  </conditionalFormatting>
  <conditionalFormatting sqref="Z74">
    <cfRule type="cellIs" dxfId="21702" priority="160748" stopIfTrue="1" operator="greaterThanOrEqual">
      <formula>0.5</formula>
    </cfRule>
  </conditionalFormatting>
  <conditionalFormatting sqref="Z75">
    <cfRule type="cellIs" dxfId="21701" priority="160749" stopIfTrue="1" operator="equal">
      <formula>-1</formula>
    </cfRule>
  </conditionalFormatting>
  <conditionalFormatting sqref="Z75">
    <cfRule type="cellIs" dxfId="21700" priority="160750" stopIfTrue="1" operator="lessThan">
      <formula>0.5</formula>
    </cfRule>
  </conditionalFormatting>
  <conditionalFormatting sqref="Z75">
    <cfRule type="cellIs" dxfId="21699" priority="160751" stopIfTrue="1" operator="greaterThanOrEqual">
      <formula>0.5</formula>
    </cfRule>
  </conditionalFormatting>
  <conditionalFormatting sqref="Z76">
    <cfRule type="cellIs" dxfId="21698" priority="160752" stopIfTrue="1" operator="equal">
      <formula>-1</formula>
    </cfRule>
  </conditionalFormatting>
  <conditionalFormatting sqref="Z76">
    <cfRule type="cellIs" dxfId="21697" priority="160753" stopIfTrue="1" operator="lessThan">
      <formula>0.5</formula>
    </cfRule>
  </conditionalFormatting>
  <conditionalFormatting sqref="Z76">
    <cfRule type="cellIs" dxfId="21696" priority="160754" stopIfTrue="1" operator="greaterThanOrEqual">
      <formula>0.5</formula>
    </cfRule>
  </conditionalFormatting>
  <conditionalFormatting sqref="Z77">
    <cfRule type="cellIs" dxfId="21695" priority="160755" stopIfTrue="1" operator="equal">
      <formula>-1</formula>
    </cfRule>
  </conditionalFormatting>
  <conditionalFormatting sqref="Z77">
    <cfRule type="cellIs" dxfId="21694" priority="160756" stopIfTrue="1" operator="lessThan">
      <formula>0.5</formula>
    </cfRule>
  </conditionalFormatting>
  <conditionalFormatting sqref="Z77">
    <cfRule type="cellIs" dxfId="21693" priority="160757" stopIfTrue="1" operator="greaterThanOrEqual">
      <formula>0.5</formula>
    </cfRule>
  </conditionalFormatting>
  <conditionalFormatting sqref="Z78">
    <cfRule type="cellIs" dxfId="21692" priority="160758" stopIfTrue="1" operator="equal">
      <formula>-1</formula>
    </cfRule>
  </conditionalFormatting>
  <conditionalFormatting sqref="Z78">
    <cfRule type="cellIs" dxfId="21691" priority="160759" stopIfTrue="1" operator="lessThan">
      <formula>0.5</formula>
    </cfRule>
  </conditionalFormatting>
  <conditionalFormatting sqref="Z78">
    <cfRule type="cellIs" dxfId="21690" priority="160760" stopIfTrue="1" operator="greaterThanOrEqual">
      <formula>0.5</formula>
    </cfRule>
  </conditionalFormatting>
  <conditionalFormatting sqref="Z79">
    <cfRule type="cellIs" dxfId="21689" priority="160761" stopIfTrue="1" operator="equal">
      <formula>-1</formula>
    </cfRule>
  </conditionalFormatting>
  <conditionalFormatting sqref="Z79">
    <cfRule type="cellIs" dxfId="21688" priority="160762" stopIfTrue="1" operator="lessThan">
      <formula>0.5</formula>
    </cfRule>
  </conditionalFormatting>
  <conditionalFormatting sqref="Z79">
    <cfRule type="cellIs" dxfId="21687" priority="160763" stopIfTrue="1" operator="greaterThanOrEqual">
      <formula>0.5</formula>
    </cfRule>
  </conditionalFormatting>
  <conditionalFormatting sqref="Z80">
    <cfRule type="cellIs" dxfId="21686" priority="160764" stopIfTrue="1" operator="equal">
      <formula>-1</formula>
    </cfRule>
  </conditionalFormatting>
  <conditionalFormatting sqref="Z80">
    <cfRule type="cellIs" dxfId="21685" priority="160765" stopIfTrue="1" operator="lessThan">
      <formula>0.5</formula>
    </cfRule>
  </conditionalFormatting>
  <conditionalFormatting sqref="Z80">
    <cfRule type="cellIs" dxfId="21684" priority="160766" stopIfTrue="1" operator="greaterThanOrEqual">
      <formula>0.5</formula>
    </cfRule>
  </conditionalFormatting>
  <conditionalFormatting sqref="Z81">
    <cfRule type="cellIs" dxfId="21683" priority="160767" stopIfTrue="1" operator="equal">
      <formula>-1</formula>
    </cfRule>
  </conditionalFormatting>
  <conditionalFormatting sqref="Z81">
    <cfRule type="cellIs" dxfId="21682" priority="160768" stopIfTrue="1" operator="lessThan">
      <formula>0.5</formula>
    </cfRule>
  </conditionalFormatting>
  <conditionalFormatting sqref="Z81">
    <cfRule type="cellIs" dxfId="21681" priority="160769" stopIfTrue="1" operator="greaterThanOrEqual">
      <formula>0.5</formula>
    </cfRule>
  </conditionalFormatting>
  <conditionalFormatting sqref="Z82">
    <cfRule type="cellIs" dxfId="21680" priority="160770" stopIfTrue="1" operator="equal">
      <formula>-1</formula>
    </cfRule>
  </conditionalFormatting>
  <conditionalFormatting sqref="Z82">
    <cfRule type="cellIs" dxfId="21679" priority="160771" stopIfTrue="1" operator="lessThan">
      <formula>0.5</formula>
    </cfRule>
  </conditionalFormatting>
  <conditionalFormatting sqref="Z82">
    <cfRule type="cellIs" dxfId="21678" priority="160772" stopIfTrue="1" operator="greaterThanOrEqual">
      <formula>0.5</formula>
    </cfRule>
  </conditionalFormatting>
  <conditionalFormatting sqref="Z83">
    <cfRule type="cellIs" dxfId="21677" priority="160773" stopIfTrue="1" operator="equal">
      <formula>-1</formula>
    </cfRule>
  </conditionalFormatting>
  <conditionalFormatting sqref="Z83">
    <cfRule type="cellIs" dxfId="21676" priority="160774" stopIfTrue="1" operator="lessThan">
      <formula>0.5</formula>
    </cfRule>
  </conditionalFormatting>
  <conditionalFormatting sqref="Z83">
    <cfRule type="cellIs" dxfId="21675" priority="160775" stopIfTrue="1" operator="greaterThanOrEqual">
      <formula>0.5</formula>
    </cfRule>
  </conditionalFormatting>
  <conditionalFormatting sqref="Z84">
    <cfRule type="cellIs" dxfId="21674" priority="160776" stopIfTrue="1" operator="equal">
      <formula>-1</formula>
    </cfRule>
  </conditionalFormatting>
  <conditionalFormatting sqref="Z84">
    <cfRule type="cellIs" dxfId="21673" priority="160777" stopIfTrue="1" operator="lessThan">
      <formula>0.5</formula>
    </cfRule>
  </conditionalFormatting>
  <conditionalFormatting sqref="Z84">
    <cfRule type="cellIs" dxfId="21672" priority="160778" stopIfTrue="1" operator="greaterThanOrEqual">
      <formula>0.5</formula>
    </cfRule>
  </conditionalFormatting>
  <conditionalFormatting sqref="Z85">
    <cfRule type="cellIs" dxfId="21671" priority="160779" stopIfTrue="1" operator="equal">
      <formula>-1</formula>
    </cfRule>
  </conditionalFormatting>
  <conditionalFormatting sqref="Z85">
    <cfRule type="cellIs" dxfId="21670" priority="160780" stopIfTrue="1" operator="lessThan">
      <formula>0.5</formula>
    </cfRule>
  </conditionalFormatting>
  <conditionalFormatting sqref="Z85">
    <cfRule type="cellIs" dxfId="21669" priority="160781" stopIfTrue="1" operator="greaterThanOrEqual">
      <formula>0.5</formula>
    </cfRule>
  </conditionalFormatting>
  <conditionalFormatting sqref="AB65">
    <cfRule type="cellIs" dxfId="21668" priority="160782" stopIfTrue="1" operator="equal">
      <formula>-1</formula>
    </cfRule>
  </conditionalFormatting>
  <conditionalFormatting sqref="AB65">
    <cfRule type="cellIs" dxfId="21667" priority="160783" stopIfTrue="1" operator="lessThan">
      <formula>0.5</formula>
    </cfRule>
  </conditionalFormatting>
  <conditionalFormatting sqref="AB65">
    <cfRule type="cellIs" dxfId="21666" priority="160784" stopIfTrue="1" operator="greaterThanOrEqual">
      <formula>0.5</formula>
    </cfRule>
  </conditionalFormatting>
  <conditionalFormatting sqref="AB66">
    <cfRule type="cellIs" dxfId="21665" priority="160785" stopIfTrue="1" operator="equal">
      <formula>-1</formula>
    </cfRule>
  </conditionalFormatting>
  <conditionalFormatting sqref="AB66">
    <cfRule type="cellIs" dxfId="21664" priority="160786" stopIfTrue="1" operator="lessThan">
      <formula>0.5</formula>
    </cfRule>
  </conditionalFormatting>
  <conditionalFormatting sqref="AB66">
    <cfRule type="cellIs" dxfId="21663" priority="160787" stopIfTrue="1" operator="greaterThanOrEqual">
      <formula>0.5</formula>
    </cfRule>
  </conditionalFormatting>
  <conditionalFormatting sqref="AB67">
    <cfRule type="cellIs" dxfId="21662" priority="160788" stopIfTrue="1" operator="equal">
      <formula>-1</formula>
    </cfRule>
  </conditionalFormatting>
  <conditionalFormatting sqref="AB67">
    <cfRule type="cellIs" dxfId="21661" priority="160789" stopIfTrue="1" operator="lessThan">
      <formula>0.5</formula>
    </cfRule>
  </conditionalFormatting>
  <conditionalFormatting sqref="AB67">
    <cfRule type="cellIs" dxfId="21660" priority="160790" stopIfTrue="1" operator="greaterThanOrEqual">
      <formula>0.5</formula>
    </cfRule>
  </conditionalFormatting>
  <conditionalFormatting sqref="AB68">
    <cfRule type="cellIs" dxfId="21659" priority="160791" stopIfTrue="1" operator="equal">
      <formula>-1</formula>
    </cfRule>
  </conditionalFormatting>
  <conditionalFormatting sqref="AB68">
    <cfRule type="cellIs" dxfId="21658" priority="160792" stopIfTrue="1" operator="lessThan">
      <formula>0.5</formula>
    </cfRule>
  </conditionalFormatting>
  <conditionalFormatting sqref="AB68">
    <cfRule type="cellIs" dxfId="21657" priority="160793" stopIfTrue="1" operator="greaterThanOrEqual">
      <formula>0.5</formula>
    </cfRule>
  </conditionalFormatting>
  <conditionalFormatting sqref="AB69">
    <cfRule type="cellIs" dxfId="21656" priority="160794" stopIfTrue="1" operator="equal">
      <formula>-1</formula>
    </cfRule>
  </conditionalFormatting>
  <conditionalFormatting sqref="AB69">
    <cfRule type="cellIs" dxfId="21655" priority="160795" stopIfTrue="1" operator="lessThan">
      <formula>0.5</formula>
    </cfRule>
  </conditionalFormatting>
  <conditionalFormatting sqref="AB69">
    <cfRule type="cellIs" dxfId="21654" priority="160796" stopIfTrue="1" operator="greaterThanOrEqual">
      <formula>0.5</formula>
    </cfRule>
  </conditionalFormatting>
  <conditionalFormatting sqref="AB70">
    <cfRule type="cellIs" dxfId="21653" priority="160797" stopIfTrue="1" operator="equal">
      <formula>-1</formula>
    </cfRule>
  </conditionalFormatting>
  <conditionalFormatting sqref="AB70">
    <cfRule type="cellIs" dxfId="21652" priority="160798" stopIfTrue="1" operator="lessThan">
      <formula>0.5</formula>
    </cfRule>
  </conditionalFormatting>
  <conditionalFormatting sqref="AB70">
    <cfRule type="cellIs" dxfId="21651" priority="160799" stopIfTrue="1" operator="greaterThanOrEqual">
      <formula>0.5</formula>
    </cfRule>
  </conditionalFormatting>
  <conditionalFormatting sqref="AB71">
    <cfRule type="cellIs" dxfId="21650" priority="160800" stopIfTrue="1" operator="equal">
      <formula>-1</formula>
    </cfRule>
  </conditionalFormatting>
  <conditionalFormatting sqref="AB71">
    <cfRule type="cellIs" dxfId="21649" priority="160801" stopIfTrue="1" operator="lessThan">
      <formula>0.5</formula>
    </cfRule>
  </conditionalFormatting>
  <conditionalFormatting sqref="AB71">
    <cfRule type="cellIs" dxfId="21648" priority="160802" stopIfTrue="1" operator="greaterThanOrEqual">
      <formula>0.5</formula>
    </cfRule>
  </conditionalFormatting>
  <conditionalFormatting sqref="AB72">
    <cfRule type="cellIs" dxfId="21647" priority="160803" stopIfTrue="1" operator="equal">
      <formula>-1</formula>
    </cfRule>
  </conditionalFormatting>
  <conditionalFormatting sqref="AB72">
    <cfRule type="cellIs" dxfId="21646" priority="160804" stopIfTrue="1" operator="lessThan">
      <formula>0.5</formula>
    </cfRule>
  </conditionalFormatting>
  <conditionalFormatting sqref="AB72">
    <cfRule type="cellIs" dxfId="21645" priority="160805" stopIfTrue="1" operator="greaterThanOrEqual">
      <formula>0.5</formula>
    </cfRule>
  </conditionalFormatting>
  <conditionalFormatting sqref="AB73">
    <cfRule type="cellIs" dxfId="21644" priority="160806" stopIfTrue="1" operator="equal">
      <formula>-1</formula>
    </cfRule>
  </conditionalFormatting>
  <conditionalFormatting sqref="AB73">
    <cfRule type="cellIs" dxfId="21643" priority="160807" stopIfTrue="1" operator="lessThan">
      <formula>0.5</formula>
    </cfRule>
  </conditionalFormatting>
  <conditionalFormatting sqref="AB73">
    <cfRule type="cellIs" dxfId="21642" priority="160808" stopIfTrue="1" operator="greaterThanOrEqual">
      <formula>0.5</formula>
    </cfRule>
  </conditionalFormatting>
  <conditionalFormatting sqref="AB74">
    <cfRule type="cellIs" dxfId="21641" priority="160809" stopIfTrue="1" operator="equal">
      <formula>-1</formula>
    </cfRule>
  </conditionalFormatting>
  <conditionalFormatting sqref="AB74">
    <cfRule type="cellIs" dxfId="21640" priority="160810" stopIfTrue="1" operator="lessThan">
      <formula>0.5</formula>
    </cfRule>
  </conditionalFormatting>
  <conditionalFormatting sqref="AB74">
    <cfRule type="cellIs" dxfId="21639" priority="160811" stopIfTrue="1" operator="greaterThanOrEqual">
      <formula>0.5</formula>
    </cfRule>
  </conditionalFormatting>
  <conditionalFormatting sqref="AB75">
    <cfRule type="cellIs" dxfId="21638" priority="160812" stopIfTrue="1" operator="equal">
      <formula>-1</formula>
    </cfRule>
  </conditionalFormatting>
  <conditionalFormatting sqref="AB75">
    <cfRule type="cellIs" dxfId="21637" priority="160813" stopIfTrue="1" operator="lessThan">
      <formula>0.5</formula>
    </cfRule>
  </conditionalFormatting>
  <conditionalFormatting sqref="AB75">
    <cfRule type="cellIs" dxfId="21636" priority="160814" stopIfTrue="1" operator="greaterThanOrEqual">
      <formula>0.5</formula>
    </cfRule>
  </conditionalFormatting>
  <conditionalFormatting sqref="AB76">
    <cfRule type="cellIs" dxfId="21635" priority="160815" stopIfTrue="1" operator="equal">
      <formula>-1</formula>
    </cfRule>
  </conditionalFormatting>
  <conditionalFormatting sqref="AB76">
    <cfRule type="cellIs" dxfId="21634" priority="160816" stopIfTrue="1" operator="lessThan">
      <formula>0.5</formula>
    </cfRule>
  </conditionalFormatting>
  <conditionalFormatting sqref="AB76">
    <cfRule type="cellIs" dxfId="21633" priority="160817" stopIfTrue="1" operator="greaterThanOrEqual">
      <formula>0.5</formula>
    </cfRule>
  </conditionalFormatting>
  <conditionalFormatting sqref="AB77">
    <cfRule type="cellIs" dxfId="21632" priority="160818" stopIfTrue="1" operator="equal">
      <formula>-1</formula>
    </cfRule>
  </conditionalFormatting>
  <conditionalFormatting sqref="AB77">
    <cfRule type="cellIs" dxfId="21631" priority="160819" stopIfTrue="1" operator="lessThan">
      <formula>0.5</formula>
    </cfRule>
  </conditionalFormatting>
  <conditionalFormatting sqref="AB77">
    <cfRule type="cellIs" dxfId="21630" priority="160820" stopIfTrue="1" operator="greaterThanOrEqual">
      <formula>0.5</formula>
    </cfRule>
  </conditionalFormatting>
  <conditionalFormatting sqref="AB78">
    <cfRule type="cellIs" dxfId="21629" priority="160821" stopIfTrue="1" operator="equal">
      <formula>-1</formula>
    </cfRule>
  </conditionalFormatting>
  <conditionalFormatting sqref="AB78">
    <cfRule type="cellIs" dxfId="21628" priority="160822" stopIfTrue="1" operator="lessThan">
      <formula>0.5</formula>
    </cfRule>
  </conditionalFormatting>
  <conditionalFormatting sqref="AB78">
    <cfRule type="cellIs" dxfId="21627" priority="160823" stopIfTrue="1" operator="greaterThanOrEqual">
      <formula>0.5</formula>
    </cfRule>
  </conditionalFormatting>
  <conditionalFormatting sqref="AB79">
    <cfRule type="cellIs" dxfId="21626" priority="160824" stopIfTrue="1" operator="equal">
      <formula>-1</formula>
    </cfRule>
  </conditionalFormatting>
  <conditionalFormatting sqref="AB79">
    <cfRule type="cellIs" dxfId="21625" priority="160825" stopIfTrue="1" operator="lessThan">
      <formula>0.5</formula>
    </cfRule>
  </conditionalFormatting>
  <conditionalFormatting sqref="AB79">
    <cfRule type="cellIs" dxfId="21624" priority="160826" stopIfTrue="1" operator="greaterThanOrEqual">
      <formula>0.5</formula>
    </cfRule>
  </conditionalFormatting>
  <conditionalFormatting sqref="AB80">
    <cfRule type="cellIs" dxfId="21623" priority="160827" stopIfTrue="1" operator="equal">
      <formula>-1</formula>
    </cfRule>
  </conditionalFormatting>
  <conditionalFormatting sqref="AB80">
    <cfRule type="cellIs" dxfId="21622" priority="160828" stopIfTrue="1" operator="lessThan">
      <formula>0.5</formula>
    </cfRule>
  </conditionalFormatting>
  <conditionalFormatting sqref="AB80">
    <cfRule type="cellIs" dxfId="21621" priority="160829" stopIfTrue="1" operator="greaterThanOrEqual">
      <formula>0.5</formula>
    </cfRule>
  </conditionalFormatting>
  <conditionalFormatting sqref="AB81">
    <cfRule type="cellIs" dxfId="21620" priority="160830" stopIfTrue="1" operator="equal">
      <formula>-1</formula>
    </cfRule>
  </conditionalFormatting>
  <conditionalFormatting sqref="AB81">
    <cfRule type="cellIs" dxfId="21619" priority="160831" stopIfTrue="1" operator="lessThan">
      <formula>0.5</formula>
    </cfRule>
  </conditionalFormatting>
  <conditionalFormatting sqref="AB81">
    <cfRule type="cellIs" dxfId="21618" priority="160832" stopIfTrue="1" operator="greaterThanOrEqual">
      <formula>0.5</formula>
    </cfRule>
  </conditionalFormatting>
  <conditionalFormatting sqref="AB82">
    <cfRule type="cellIs" dxfId="21617" priority="160833" stopIfTrue="1" operator="equal">
      <formula>-1</formula>
    </cfRule>
  </conditionalFormatting>
  <conditionalFormatting sqref="AB82">
    <cfRule type="cellIs" dxfId="21616" priority="160834" stopIfTrue="1" operator="lessThan">
      <formula>0.5</formula>
    </cfRule>
  </conditionalFormatting>
  <conditionalFormatting sqref="AB82">
    <cfRule type="cellIs" dxfId="21615" priority="160835" stopIfTrue="1" operator="greaterThanOrEqual">
      <formula>0.5</formula>
    </cfRule>
  </conditionalFormatting>
  <conditionalFormatting sqref="AB83">
    <cfRule type="cellIs" dxfId="21614" priority="160836" stopIfTrue="1" operator="equal">
      <formula>-1</formula>
    </cfRule>
  </conditionalFormatting>
  <conditionalFormatting sqref="AB83">
    <cfRule type="cellIs" dxfId="21613" priority="160837" stopIfTrue="1" operator="lessThan">
      <formula>0.5</formula>
    </cfRule>
  </conditionalFormatting>
  <conditionalFormatting sqref="AB83">
    <cfRule type="cellIs" dxfId="21612" priority="160838" stopIfTrue="1" operator="greaterThanOrEqual">
      <formula>0.5</formula>
    </cfRule>
  </conditionalFormatting>
  <conditionalFormatting sqref="AB84">
    <cfRule type="cellIs" dxfId="21611" priority="160839" stopIfTrue="1" operator="equal">
      <formula>-1</formula>
    </cfRule>
  </conditionalFormatting>
  <conditionalFormatting sqref="AB84">
    <cfRule type="cellIs" dxfId="21610" priority="160840" stopIfTrue="1" operator="lessThan">
      <formula>0.5</formula>
    </cfRule>
  </conditionalFormatting>
  <conditionalFormatting sqref="AB84">
    <cfRule type="cellIs" dxfId="21609" priority="160841" stopIfTrue="1" operator="greaterThanOrEqual">
      <formula>0.5</formula>
    </cfRule>
  </conditionalFormatting>
  <conditionalFormatting sqref="AB85">
    <cfRule type="cellIs" dxfId="21608" priority="160842" stopIfTrue="1" operator="equal">
      <formula>-1</formula>
    </cfRule>
  </conditionalFormatting>
  <conditionalFormatting sqref="AB85">
    <cfRule type="cellIs" dxfId="21607" priority="160843" stopIfTrue="1" operator="lessThan">
      <formula>0.5</formula>
    </cfRule>
  </conditionalFormatting>
  <conditionalFormatting sqref="AB85">
    <cfRule type="cellIs" dxfId="21606" priority="160844" stopIfTrue="1" operator="greaterThanOrEqual">
      <formula>0.5</formula>
    </cfRule>
  </conditionalFormatting>
  <conditionalFormatting sqref="AD65">
    <cfRule type="cellIs" dxfId="21605" priority="160845" stopIfTrue="1" operator="equal">
      <formula>-1</formula>
    </cfRule>
  </conditionalFormatting>
  <conditionalFormatting sqref="AD65">
    <cfRule type="cellIs" dxfId="21604" priority="160846" stopIfTrue="1" operator="lessThan">
      <formula>0.5</formula>
    </cfRule>
  </conditionalFormatting>
  <conditionalFormatting sqref="AD65">
    <cfRule type="cellIs" dxfId="21603" priority="160847" stopIfTrue="1" operator="greaterThanOrEqual">
      <formula>0.5</formula>
    </cfRule>
  </conditionalFormatting>
  <conditionalFormatting sqref="AD66">
    <cfRule type="cellIs" dxfId="21602" priority="160848" stopIfTrue="1" operator="equal">
      <formula>-1</formula>
    </cfRule>
  </conditionalFormatting>
  <conditionalFormatting sqref="AD66">
    <cfRule type="cellIs" dxfId="21601" priority="160849" stopIfTrue="1" operator="lessThan">
      <formula>0.5</formula>
    </cfRule>
  </conditionalFormatting>
  <conditionalFormatting sqref="AD66">
    <cfRule type="cellIs" dxfId="21600" priority="160850" stopIfTrue="1" operator="greaterThanOrEqual">
      <formula>0.5</formula>
    </cfRule>
  </conditionalFormatting>
  <conditionalFormatting sqref="AD67">
    <cfRule type="cellIs" dxfId="21599" priority="160851" stopIfTrue="1" operator="equal">
      <formula>-1</formula>
    </cfRule>
  </conditionalFormatting>
  <conditionalFormatting sqref="AD67">
    <cfRule type="cellIs" dxfId="21598" priority="160852" stopIfTrue="1" operator="lessThan">
      <formula>0.5</formula>
    </cfRule>
  </conditionalFormatting>
  <conditionalFormatting sqref="AD67">
    <cfRule type="cellIs" dxfId="21597" priority="160853" stopIfTrue="1" operator="greaterThanOrEqual">
      <formula>0.5</formula>
    </cfRule>
  </conditionalFormatting>
  <conditionalFormatting sqref="AD68">
    <cfRule type="cellIs" dxfId="21596" priority="160854" stopIfTrue="1" operator="equal">
      <formula>-1</formula>
    </cfRule>
  </conditionalFormatting>
  <conditionalFormatting sqref="AD68">
    <cfRule type="cellIs" dxfId="21595" priority="160855" stopIfTrue="1" operator="lessThan">
      <formula>0.5</formula>
    </cfRule>
  </conditionalFormatting>
  <conditionalFormatting sqref="AD68">
    <cfRule type="cellIs" dxfId="21594" priority="160856" stopIfTrue="1" operator="greaterThanOrEqual">
      <formula>0.5</formula>
    </cfRule>
  </conditionalFormatting>
  <conditionalFormatting sqref="AD69">
    <cfRule type="cellIs" dxfId="21593" priority="160857" stopIfTrue="1" operator="equal">
      <formula>-1</formula>
    </cfRule>
  </conditionalFormatting>
  <conditionalFormatting sqref="AD69">
    <cfRule type="cellIs" dxfId="21592" priority="160858" stopIfTrue="1" operator="lessThan">
      <formula>0.5</formula>
    </cfRule>
  </conditionalFormatting>
  <conditionalFormatting sqref="AD69">
    <cfRule type="cellIs" dxfId="21591" priority="160859" stopIfTrue="1" operator="greaterThanOrEqual">
      <formula>0.5</formula>
    </cfRule>
  </conditionalFormatting>
  <conditionalFormatting sqref="AD70">
    <cfRule type="cellIs" dxfId="21590" priority="160860" stopIfTrue="1" operator="equal">
      <formula>-1</formula>
    </cfRule>
  </conditionalFormatting>
  <conditionalFormatting sqref="AD70">
    <cfRule type="cellIs" dxfId="21589" priority="160861" stopIfTrue="1" operator="lessThan">
      <formula>0.5</formula>
    </cfRule>
  </conditionalFormatting>
  <conditionalFormatting sqref="AD70">
    <cfRule type="cellIs" dxfId="21588" priority="160862" stopIfTrue="1" operator="greaterThanOrEqual">
      <formula>0.5</formula>
    </cfRule>
  </conditionalFormatting>
  <conditionalFormatting sqref="AD71">
    <cfRule type="cellIs" dxfId="21587" priority="160863" stopIfTrue="1" operator="equal">
      <formula>-1</formula>
    </cfRule>
  </conditionalFormatting>
  <conditionalFormatting sqref="AD71">
    <cfRule type="cellIs" dxfId="21586" priority="160864" stopIfTrue="1" operator="lessThan">
      <formula>0.5</formula>
    </cfRule>
  </conditionalFormatting>
  <conditionalFormatting sqref="AD71">
    <cfRule type="cellIs" dxfId="21585" priority="160865" stopIfTrue="1" operator="greaterThanOrEqual">
      <formula>0.5</formula>
    </cfRule>
  </conditionalFormatting>
  <conditionalFormatting sqref="AD72">
    <cfRule type="cellIs" dxfId="21584" priority="160866" stopIfTrue="1" operator="equal">
      <formula>-1</formula>
    </cfRule>
  </conditionalFormatting>
  <conditionalFormatting sqref="AD72">
    <cfRule type="cellIs" dxfId="21583" priority="160867" stopIfTrue="1" operator="lessThan">
      <formula>0.5</formula>
    </cfRule>
  </conditionalFormatting>
  <conditionalFormatting sqref="AD72">
    <cfRule type="cellIs" dxfId="21582" priority="160868" stopIfTrue="1" operator="greaterThanOrEqual">
      <formula>0.5</formula>
    </cfRule>
  </conditionalFormatting>
  <conditionalFormatting sqref="AD73">
    <cfRule type="cellIs" dxfId="21581" priority="160869" stopIfTrue="1" operator="equal">
      <formula>-1</formula>
    </cfRule>
  </conditionalFormatting>
  <conditionalFormatting sqref="AD73">
    <cfRule type="cellIs" dxfId="21580" priority="160870" stopIfTrue="1" operator="lessThan">
      <formula>0.5</formula>
    </cfRule>
  </conditionalFormatting>
  <conditionalFormatting sqref="AD73">
    <cfRule type="cellIs" dxfId="21579" priority="160871" stopIfTrue="1" operator="greaterThanOrEqual">
      <formula>0.5</formula>
    </cfRule>
  </conditionalFormatting>
  <conditionalFormatting sqref="AD74">
    <cfRule type="cellIs" dxfId="21578" priority="160872" stopIfTrue="1" operator="equal">
      <formula>-1</formula>
    </cfRule>
  </conditionalFormatting>
  <conditionalFormatting sqref="AD74">
    <cfRule type="cellIs" dxfId="21577" priority="160873" stopIfTrue="1" operator="lessThan">
      <formula>0.5</formula>
    </cfRule>
  </conditionalFormatting>
  <conditionalFormatting sqref="AD74">
    <cfRule type="cellIs" dxfId="21576" priority="160874" stopIfTrue="1" operator="greaterThanOrEqual">
      <formula>0.5</formula>
    </cfRule>
  </conditionalFormatting>
  <conditionalFormatting sqref="AD75">
    <cfRule type="cellIs" dxfId="21575" priority="160875" stopIfTrue="1" operator="equal">
      <formula>-1</formula>
    </cfRule>
  </conditionalFormatting>
  <conditionalFormatting sqref="AD75">
    <cfRule type="cellIs" dxfId="21574" priority="160876" stopIfTrue="1" operator="lessThan">
      <formula>0.5</formula>
    </cfRule>
  </conditionalFormatting>
  <conditionalFormatting sqref="AD75">
    <cfRule type="cellIs" dxfId="21573" priority="160877" stopIfTrue="1" operator="greaterThanOrEqual">
      <formula>0.5</formula>
    </cfRule>
  </conditionalFormatting>
  <conditionalFormatting sqref="AD76">
    <cfRule type="cellIs" dxfId="21572" priority="160878" stopIfTrue="1" operator="equal">
      <formula>-1</formula>
    </cfRule>
  </conditionalFormatting>
  <conditionalFormatting sqref="AD76">
    <cfRule type="cellIs" dxfId="21571" priority="160879" stopIfTrue="1" operator="lessThan">
      <formula>0.5</formula>
    </cfRule>
  </conditionalFormatting>
  <conditionalFormatting sqref="AD76">
    <cfRule type="cellIs" dxfId="21570" priority="160880" stopIfTrue="1" operator="greaterThanOrEqual">
      <formula>0.5</formula>
    </cfRule>
  </conditionalFormatting>
  <conditionalFormatting sqref="AD77">
    <cfRule type="cellIs" dxfId="21569" priority="160881" stopIfTrue="1" operator="equal">
      <formula>-1</formula>
    </cfRule>
  </conditionalFormatting>
  <conditionalFormatting sqref="AD77">
    <cfRule type="cellIs" dxfId="21568" priority="160882" stopIfTrue="1" operator="lessThan">
      <formula>0.5</formula>
    </cfRule>
  </conditionalFormatting>
  <conditionalFormatting sqref="AD77">
    <cfRule type="cellIs" dxfId="21567" priority="160883" stopIfTrue="1" operator="greaterThanOrEqual">
      <formula>0.5</formula>
    </cfRule>
  </conditionalFormatting>
  <conditionalFormatting sqref="AD78">
    <cfRule type="cellIs" dxfId="21566" priority="160884" stopIfTrue="1" operator="equal">
      <formula>-1</formula>
    </cfRule>
  </conditionalFormatting>
  <conditionalFormatting sqref="AD78">
    <cfRule type="cellIs" dxfId="21565" priority="160885" stopIfTrue="1" operator="lessThan">
      <formula>0.5</formula>
    </cfRule>
  </conditionalFormatting>
  <conditionalFormatting sqref="AD78">
    <cfRule type="cellIs" dxfId="21564" priority="160886" stopIfTrue="1" operator="greaterThanOrEqual">
      <formula>0.5</formula>
    </cfRule>
  </conditionalFormatting>
  <conditionalFormatting sqref="AD79">
    <cfRule type="cellIs" dxfId="21563" priority="160887" stopIfTrue="1" operator="equal">
      <formula>-1</formula>
    </cfRule>
  </conditionalFormatting>
  <conditionalFormatting sqref="AD79">
    <cfRule type="cellIs" dxfId="21562" priority="160888" stopIfTrue="1" operator="lessThan">
      <formula>0.5</formula>
    </cfRule>
  </conditionalFormatting>
  <conditionalFormatting sqref="AD79">
    <cfRule type="cellIs" dxfId="21561" priority="160889" stopIfTrue="1" operator="greaterThanOrEqual">
      <formula>0.5</formula>
    </cfRule>
  </conditionalFormatting>
  <conditionalFormatting sqref="AD80">
    <cfRule type="cellIs" dxfId="21560" priority="160890" stopIfTrue="1" operator="equal">
      <formula>-1</formula>
    </cfRule>
  </conditionalFormatting>
  <conditionalFormatting sqref="AD80">
    <cfRule type="cellIs" dxfId="21559" priority="160891" stopIfTrue="1" operator="lessThan">
      <formula>0.5</formula>
    </cfRule>
  </conditionalFormatting>
  <conditionalFormatting sqref="AD80">
    <cfRule type="cellIs" dxfId="21558" priority="160892" stopIfTrue="1" operator="greaterThanOrEqual">
      <formula>0.5</formula>
    </cfRule>
  </conditionalFormatting>
  <conditionalFormatting sqref="AD81">
    <cfRule type="cellIs" dxfId="21557" priority="160893" stopIfTrue="1" operator="equal">
      <formula>-1</formula>
    </cfRule>
  </conditionalFormatting>
  <conditionalFormatting sqref="AD81">
    <cfRule type="cellIs" dxfId="21556" priority="160894" stopIfTrue="1" operator="lessThan">
      <formula>0.5</formula>
    </cfRule>
  </conditionalFormatting>
  <conditionalFormatting sqref="AD81">
    <cfRule type="cellIs" dxfId="21555" priority="160895" stopIfTrue="1" operator="greaterThanOrEqual">
      <formula>0.5</formula>
    </cfRule>
  </conditionalFormatting>
  <conditionalFormatting sqref="AD82">
    <cfRule type="cellIs" dxfId="21554" priority="160896" stopIfTrue="1" operator="equal">
      <formula>-1</formula>
    </cfRule>
  </conditionalFormatting>
  <conditionalFormatting sqref="AD82">
    <cfRule type="cellIs" dxfId="21553" priority="160897" stopIfTrue="1" operator="lessThan">
      <formula>0.5</formula>
    </cfRule>
  </conditionalFormatting>
  <conditionalFormatting sqref="AD82">
    <cfRule type="cellIs" dxfId="21552" priority="160898" stopIfTrue="1" operator="greaterThanOrEqual">
      <formula>0.5</formula>
    </cfRule>
  </conditionalFormatting>
  <conditionalFormatting sqref="AD83">
    <cfRule type="cellIs" dxfId="21551" priority="160899" stopIfTrue="1" operator="equal">
      <formula>-1</formula>
    </cfRule>
  </conditionalFormatting>
  <conditionalFormatting sqref="AD83">
    <cfRule type="cellIs" dxfId="21550" priority="160900" stopIfTrue="1" operator="lessThan">
      <formula>0.5</formula>
    </cfRule>
  </conditionalFormatting>
  <conditionalFormatting sqref="AD83">
    <cfRule type="cellIs" dxfId="21549" priority="160901" stopIfTrue="1" operator="greaterThanOrEqual">
      <formula>0.5</formula>
    </cfRule>
  </conditionalFormatting>
  <conditionalFormatting sqref="AD84">
    <cfRule type="cellIs" dxfId="21548" priority="160902" stopIfTrue="1" operator="equal">
      <formula>-1</formula>
    </cfRule>
  </conditionalFormatting>
  <conditionalFormatting sqref="AD84">
    <cfRule type="cellIs" dxfId="21547" priority="160903" stopIfTrue="1" operator="lessThan">
      <formula>0.5</formula>
    </cfRule>
  </conditionalFormatting>
  <conditionalFormatting sqref="AD84">
    <cfRule type="cellIs" dxfId="21546" priority="160904" stopIfTrue="1" operator="greaterThanOrEqual">
      <formula>0.5</formula>
    </cfRule>
  </conditionalFormatting>
  <conditionalFormatting sqref="AD85">
    <cfRule type="cellIs" dxfId="21545" priority="160905" stopIfTrue="1" operator="equal">
      <formula>-1</formula>
    </cfRule>
  </conditionalFormatting>
  <conditionalFormatting sqref="AD85">
    <cfRule type="cellIs" dxfId="21544" priority="160906" stopIfTrue="1" operator="lessThan">
      <formula>0.5</formula>
    </cfRule>
  </conditionalFormatting>
  <conditionalFormatting sqref="AD85">
    <cfRule type="cellIs" dxfId="21543" priority="160907" stopIfTrue="1" operator="greaterThanOrEqual">
      <formula>0.5</formula>
    </cfRule>
  </conditionalFormatting>
  <conditionalFormatting sqref="AF65">
    <cfRule type="cellIs" dxfId="21542" priority="160908" stopIfTrue="1" operator="equal">
      <formula>-1</formula>
    </cfRule>
  </conditionalFormatting>
  <conditionalFormatting sqref="AF65">
    <cfRule type="cellIs" dxfId="21541" priority="160909" stopIfTrue="1" operator="lessThan">
      <formula>0.5</formula>
    </cfRule>
  </conditionalFormatting>
  <conditionalFormatting sqref="AF65">
    <cfRule type="cellIs" dxfId="21540" priority="160910" stopIfTrue="1" operator="greaterThanOrEqual">
      <formula>0.5</formula>
    </cfRule>
  </conditionalFormatting>
  <conditionalFormatting sqref="AF66">
    <cfRule type="cellIs" dxfId="21539" priority="160911" stopIfTrue="1" operator="equal">
      <formula>-1</formula>
    </cfRule>
  </conditionalFormatting>
  <conditionalFormatting sqref="AF66">
    <cfRule type="cellIs" dxfId="21538" priority="160912" stopIfTrue="1" operator="lessThan">
      <formula>0.5</formula>
    </cfRule>
  </conditionalFormatting>
  <conditionalFormatting sqref="AF66">
    <cfRule type="cellIs" dxfId="21537" priority="160913" stopIfTrue="1" operator="greaterThanOrEqual">
      <formula>0.5</formula>
    </cfRule>
  </conditionalFormatting>
  <conditionalFormatting sqref="AF67">
    <cfRule type="cellIs" dxfId="21536" priority="160914" stopIfTrue="1" operator="equal">
      <formula>-1</formula>
    </cfRule>
  </conditionalFormatting>
  <conditionalFormatting sqref="AF67">
    <cfRule type="cellIs" dxfId="21535" priority="160915" stopIfTrue="1" operator="lessThan">
      <formula>0.5</formula>
    </cfRule>
  </conditionalFormatting>
  <conditionalFormatting sqref="AF67">
    <cfRule type="cellIs" dxfId="21534" priority="160916" stopIfTrue="1" operator="greaterThanOrEqual">
      <formula>0.5</formula>
    </cfRule>
  </conditionalFormatting>
  <conditionalFormatting sqref="AF68">
    <cfRule type="cellIs" dxfId="21533" priority="160917" stopIfTrue="1" operator="equal">
      <formula>-1</formula>
    </cfRule>
  </conditionalFormatting>
  <conditionalFormatting sqref="AF68">
    <cfRule type="cellIs" dxfId="21532" priority="160918" stopIfTrue="1" operator="lessThan">
      <formula>0.5</formula>
    </cfRule>
  </conditionalFormatting>
  <conditionalFormatting sqref="AF68">
    <cfRule type="cellIs" dxfId="21531" priority="160919" stopIfTrue="1" operator="greaterThanOrEqual">
      <formula>0.5</formula>
    </cfRule>
  </conditionalFormatting>
  <conditionalFormatting sqref="AF69">
    <cfRule type="cellIs" dxfId="21530" priority="160920" stopIfTrue="1" operator="equal">
      <formula>-1</formula>
    </cfRule>
  </conditionalFormatting>
  <conditionalFormatting sqref="AF69">
    <cfRule type="cellIs" dxfId="21529" priority="160921" stopIfTrue="1" operator="lessThan">
      <formula>0.5</formula>
    </cfRule>
  </conditionalFormatting>
  <conditionalFormatting sqref="AF69">
    <cfRule type="cellIs" dxfId="21528" priority="160922" stopIfTrue="1" operator="greaterThanOrEqual">
      <formula>0.5</formula>
    </cfRule>
  </conditionalFormatting>
  <conditionalFormatting sqref="AF70">
    <cfRule type="cellIs" dxfId="21527" priority="160923" stopIfTrue="1" operator="equal">
      <formula>-1</formula>
    </cfRule>
  </conditionalFormatting>
  <conditionalFormatting sqref="AF70">
    <cfRule type="cellIs" dxfId="21526" priority="160924" stopIfTrue="1" operator="lessThan">
      <formula>0.5</formula>
    </cfRule>
  </conditionalFormatting>
  <conditionalFormatting sqref="AF70">
    <cfRule type="cellIs" dxfId="21525" priority="160925" stopIfTrue="1" operator="greaterThanOrEqual">
      <formula>0.5</formula>
    </cfRule>
  </conditionalFormatting>
  <conditionalFormatting sqref="AF71">
    <cfRule type="cellIs" dxfId="21524" priority="160926" stopIfTrue="1" operator="equal">
      <formula>-1</formula>
    </cfRule>
  </conditionalFormatting>
  <conditionalFormatting sqref="AF71">
    <cfRule type="cellIs" dxfId="21523" priority="160927" stopIfTrue="1" operator="lessThan">
      <formula>0.5</formula>
    </cfRule>
  </conditionalFormatting>
  <conditionalFormatting sqref="AF71">
    <cfRule type="cellIs" dxfId="21522" priority="160928" stopIfTrue="1" operator="greaterThanOrEqual">
      <formula>0.5</formula>
    </cfRule>
  </conditionalFormatting>
  <conditionalFormatting sqref="AF72">
    <cfRule type="cellIs" dxfId="21521" priority="160929" stopIfTrue="1" operator="equal">
      <formula>-1</formula>
    </cfRule>
  </conditionalFormatting>
  <conditionalFormatting sqref="AF72">
    <cfRule type="cellIs" dxfId="21520" priority="160930" stopIfTrue="1" operator="lessThan">
      <formula>0.5</formula>
    </cfRule>
  </conditionalFormatting>
  <conditionalFormatting sqref="AF72">
    <cfRule type="cellIs" dxfId="21519" priority="160931" stopIfTrue="1" operator="greaterThanOrEqual">
      <formula>0.5</formula>
    </cfRule>
  </conditionalFormatting>
  <conditionalFormatting sqref="AF73">
    <cfRule type="cellIs" dxfId="21518" priority="160932" stopIfTrue="1" operator="equal">
      <formula>-1</formula>
    </cfRule>
  </conditionalFormatting>
  <conditionalFormatting sqref="AF73">
    <cfRule type="cellIs" dxfId="21517" priority="160933" stopIfTrue="1" operator="lessThan">
      <formula>0.5</formula>
    </cfRule>
  </conditionalFormatting>
  <conditionalFormatting sqref="AF73">
    <cfRule type="cellIs" dxfId="21516" priority="160934" stopIfTrue="1" operator="greaterThanOrEqual">
      <formula>0.5</formula>
    </cfRule>
  </conditionalFormatting>
  <conditionalFormatting sqref="AF74">
    <cfRule type="cellIs" dxfId="21515" priority="160935" stopIfTrue="1" operator="equal">
      <formula>-1</formula>
    </cfRule>
  </conditionalFormatting>
  <conditionalFormatting sqref="AF74">
    <cfRule type="cellIs" dxfId="21514" priority="160936" stopIfTrue="1" operator="lessThan">
      <formula>0.5</formula>
    </cfRule>
  </conditionalFormatting>
  <conditionalFormatting sqref="AF74">
    <cfRule type="cellIs" dxfId="21513" priority="160937" stopIfTrue="1" operator="greaterThanOrEqual">
      <formula>0.5</formula>
    </cfRule>
  </conditionalFormatting>
  <conditionalFormatting sqref="AF75">
    <cfRule type="cellIs" dxfId="21512" priority="160938" stopIfTrue="1" operator="equal">
      <formula>-1</formula>
    </cfRule>
  </conditionalFormatting>
  <conditionalFormatting sqref="AF75">
    <cfRule type="cellIs" dxfId="21511" priority="160939" stopIfTrue="1" operator="lessThan">
      <formula>0.5</formula>
    </cfRule>
  </conditionalFormatting>
  <conditionalFormatting sqref="AF75">
    <cfRule type="cellIs" dxfId="21510" priority="160940" stopIfTrue="1" operator="greaterThanOrEqual">
      <formula>0.5</formula>
    </cfRule>
  </conditionalFormatting>
  <conditionalFormatting sqref="AF76">
    <cfRule type="cellIs" dxfId="21509" priority="160941" stopIfTrue="1" operator="equal">
      <formula>-1</formula>
    </cfRule>
  </conditionalFormatting>
  <conditionalFormatting sqref="AF76">
    <cfRule type="cellIs" dxfId="21508" priority="160942" stopIfTrue="1" operator="lessThan">
      <formula>0.5</formula>
    </cfRule>
  </conditionalFormatting>
  <conditionalFormatting sqref="AF76">
    <cfRule type="cellIs" dxfId="21507" priority="160943" stopIfTrue="1" operator="greaterThanOrEqual">
      <formula>0.5</formula>
    </cfRule>
  </conditionalFormatting>
  <conditionalFormatting sqref="AF77">
    <cfRule type="cellIs" dxfId="21506" priority="160944" stopIfTrue="1" operator="equal">
      <formula>-1</formula>
    </cfRule>
  </conditionalFormatting>
  <conditionalFormatting sqref="AF77">
    <cfRule type="cellIs" dxfId="21505" priority="160945" stopIfTrue="1" operator="lessThan">
      <formula>0.5</formula>
    </cfRule>
  </conditionalFormatting>
  <conditionalFormatting sqref="AF77">
    <cfRule type="cellIs" dxfId="21504" priority="160946" stopIfTrue="1" operator="greaterThanOrEqual">
      <formula>0.5</formula>
    </cfRule>
  </conditionalFormatting>
  <conditionalFormatting sqref="AF78">
    <cfRule type="cellIs" dxfId="21503" priority="160947" stopIfTrue="1" operator="equal">
      <formula>-1</formula>
    </cfRule>
  </conditionalFormatting>
  <conditionalFormatting sqref="AF78">
    <cfRule type="cellIs" dxfId="21502" priority="160948" stopIfTrue="1" operator="lessThan">
      <formula>0.5</formula>
    </cfRule>
  </conditionalFormatting>
  <conditionalFormatting sqref="AF78">
    <cfRule type="cellIs" dxfId="21501" priority="160949" stopIfTrue="1" operator="greaterThanOrEqual">
      <formula>0.5</formula>
    </cfRule>
  </conditionalFormatting>
  <conditionalFormatting sqref="AF79">
    <cfRule type="cellIs" dxfId="21500" priority="160950" stopIfTrue="1" operator="equal">
      <formula>-1</formula>
    </cfRule>
  </conditionalFormatting>
  <conditionalFormatting sqref="AF79">
    <cfRule type="cellIs" dxfId="21499" priority="160951" stopIfTrue="1" operator="lessThan">
      <formula>0.5</formula>
    </cfRule>
  </conditionalFormatting>
  <conditionalFormatting sqref="AF79">
    <cfRule type="cellIs" dxfId="21498" priority="160952" stopIfTrue="1" operator="greaterThanOrEqual">
      <formula>0.5</formula>
    </cfRule>
  </conditionalFormatting>
  <conditionalFormatting sqref="AF80">
    <cfRule type="cellIs" dxfId="21497" priority="160953" stopIfTrue="1" operator="equal">
      <formula>-1</formula>
    </cfRule>
  </conditionalFormatting>
  <conditionalFormatting sqref="AF80">
    <cfRule type="cellIs" dxfId="21496" priority="160954" stopIfTrue="1" operator="lessThan">
      <formula>0.5</formula>
    </cfRule>
  </conditionalFormatting>
  <conditionalFormatting sqref="AF80">
    <cfRule type="cellIs" dxfId="21495" priority="160955" stopIfTrue="1" operator="greaterThanOrEqual">
      <formula>0.5</formula>
    </cfRule>
  </conditionalFormatting>
  <conditionalFormatting sqref="AF81">
    <cfRule type="cellIs" dxfId="21494" priority="160956" stopIfTrue="1" operator="equal">
      <formula>-1</formula>
    </cfRule>
  </conditionalFormatting>
  <conditionalFormatting sqref="AF81">
    <cfRule type="cellIs" dxfId="21493" priority="160957" stopIfTrue="1" operator="lessThan">
      <formula>0.5</formula>
    </cfRule>
  </conditionalFormatting>
  <conditionalFormatting sqref="AF81">
    <cfRule type="cellIs" dxfId="21492" priority="160958" stopIfTrue="1" operator="greaterThanOrEqual">
      <formula>0.5</formula>
    </cfRule>
  </conditionalFormatting>
  <conditionalFormatting sqref="AF82">
    <cfRule type="cellIs" dxfId="21491" priority="160959" stopIfTrue="1" operator="equal">
      <formula>-1</formula>
    </cfRule>
  </conditionalFormatting>
  <conditionalFormatting sqref="AF82">
    <cfRule type="cellIs" dxfId="21490" priority="160960" stopIfTrue="1" operator="lessThan">
      <formula>0.5</formula>
    </cfRule>
  </conditionalFormatting>
  <conditionalFormatting sqref="AF82">
    <cfRule type="cellIs" dxfId="21489" priority="160961" stopIfTrue="1" operator="greaterThanOrEqual">
      <formula>0.5</formula>
    </cfRule>
  </conditionalFormatting>
  <conditionalFormatting sqref="AF83">
    <cfRule type="cellIs" dxfId="21488" priority="160962" stopIfTrue="1" operator="equal">
      <formula>-1</formula>
    </cfRule>
  </conditionalFormatting>
  <conditionalFormatting sqref="AF83">
    <cfRule type="cellIs" dxfId="21487" priority="160963" stopIfTrue="1" operator="lessThan">
      <formula>0.5</formula>
    </cfRule>
  </conditionalFormatting>
  <conditionalFormatting sqref="AF83">
    <cfRule type="cellIs" dxfId="21486" priority="160964" stopIfTrue="1" operator="greaterThanOrEqual">
      <formula>0.5</formula>
    </cfRule>
  </conditionalFormatting>
  <conditionalFormatting sqref="AF84">
    <cfRule type="cellIs" dxfId="21485" priority="160965" stopIfTrue="1" operator="equal">
      <formula>-1</formula>
    </cfRule>
  </conditionalFormatting>
  <conditionalFormatting sqref="AF84">
    <cfRule type="cellIs" dxfId="21484" priority="160966" stopIfTrue="1" operator="lessThan">
      <formula>0.5</formula>
    </cfRule>
  </conditionalFormatting>
  <conditionalFormatting sqref="AF84">
    <cfRule type="cellIs" dxfId="21483" priority="160967" stopIfTrue="1" operator="greaterThanOrEqual">
      <formula>0.5</formula>
    </cfRule>
  </conditionalFormatting>
  <conditionalFormatting sqref="AF85">
    <cfRule type="cellIs" dxfId="21482" priority="160968" stopIfTrue="1" operator="equal">
      <formula>-1</formula>
    </cfRule>
  </conditionalFormatting>
  <conditionalFormatting sqref="AF85">
    <cfRule type="cellIs" dxfId="21481" priority="160969" stopIfTrue="1" operator="lessThan">
      <formula>0.5</formula>
    </cfRule>
  </conditionalFormatting>
  <conditionalFormatting sqref="AF85">
    <cfRule type="cellIs" dxfId="21480" priority="160970" stopIfTrue="1" operator="greaterThanOrEqual">
      <formula>0.5</formula>
    </cfRule>
  </conditionalFormatting>
  <conditionalFormatting sqref="AH65">
    <cfRule type="cellIs" dxfId="21479" priority="160971" stopIfTrue="1" operator="equal">
      <formula>-1</formula>
    </cfRule>
  </conditionalFormatting>
  <conditionalFormatting sqref="AH65">
    <cfRule type="cellIs" dxfId="21478" priority="160972" stopIfTrue="1" operator="lessThan">
      <formula>0.5</formula>
    </cfRule>
  </conditionalFormatting>
  <conditionalFormatting sqref="AH65">
    <cfRule type="cellIs" dxfId="21477" priority="160973" stopIfTrue="1" operator="greaterThanOrEqual">
      <formula>0.5</formula>
    </cfRule>
  </conditionalFormatting>
  <conditionalFormatting sqref="AH66">
    <cfRule type="cellIs" dxfId="21476" priority="160974" stopIfTrue="1" operator="equal">
      <formula>-1</formula>
    </cfRule>
  </conditionalFormatting>
  <conditionalFormatting sqref="AH66">
    <cfRule type="cellIs" dxfId="21475" priority="160975" stopIfTrue="1" operator="lessThan">
      <formula>0.5</formula>
    </cfRule>
  </conditionalFormatting>
  <conditionalFormatting sqref="AH66">
    <cfRule type="cellIs" dxfId="21474" priority="160976" stopIfTrue="1" operator="greaterThanOrEqual">
      <formula>0.5</formula>
    </cfRule>
  </conditionalFormatting>
  <conditionalFormatting sqref="AH67">
    <cfRule type="cellIs" dxfId="21473" priority="160977" stopIfTrue="1" operator="equal">
      <formula>-1</formula>
    </cfRule>
  </conditionalFormatting>
  <conditionalFormatting sqref="AH67">
    <cfRule type="cellIs" dxfId="21472" priority="160978" stopIfTrue="1" operator="lessThan">
      <formula>0.5</formula>
    </cfRule>
  </conditionalFormatting>
  <conditionalFormatting sqref="AH67">
    <cfRule type="cellIs" dxfId="21471" priority="160979" stopIfTrue="1" operator="greaterThanOrEqual">
      <formula>0.5</formula>
    </cfRule>
  </conditionalFormatting>
  <conditionalFormatting sqref="AH68">
    <cfRule type="cellIs" dxfId="21470" priority="160980" stopIfTrue="1" operator="equal">
      <formula>-1</formula>
    </cfRule>
  </conditionalFormatting>
  <conditionalFormatting sqref="AH68">
    <cfRule type="cellIs" dxfId="21469" priority="160981" stopIfTrue="1" operator="lessThan">
      <formula>0.5</formula>
    </cfRule>
  </conditionalFormatting>
  <conditionalFormatting sqref="AH68">
    <cfRule type="cellIs" dxfId="21468" priority="160982" stopIfTrue="1" operator="greaterThanOrEqual">
      <formula>0.5</formula>
    </cfRule>
  </conditionalFormatting>
  <conditionalFormatting sqref="AH69">
    <cfRule type="cellIs" dxfId="21467" priority="160983" stopIfTrue="1" operator="equal">
      <formula>-1</formula>
    </cfRule>
  </conditionalFormatting>
  <conditionalFormatting sqref="AH69">
    <cfRule type="cellIs" dxfId="21466" priority="160984" stopIfTrue="1" operator="lessThan">
      <formula>0.5</formula>
    </cfRule>
  </conditionalFormatting>
  <conditionalFormatting sqref="AH69">
    <cfRule type="cellIs" dxfId="21465" priority="160985" stopIfTrue="1" operator="greaterThanOrEqual">
      <formula>0.5</formula>
    </cfRule>
  </conditionalFormatting>
  <conditionalFormatting sqref="AH70">
    <cfRule type="cellIs" dxfId="21464" priority="160986" stopIfTrue="1" operator="equal">
      <formula>-1</formula>
    </cfRule>
  </conditionalFormatting>
  <conditionalFormatting sqref="AH70">
    <cfRule type="cellIs" dxfId="21463" priority="160987" stopIfTrue="1" operator="lessThan">
      <formula>0.5</formula>
    </cfRule>
  </conditionalFormatting>
  <conditionalFormatting sqref="AH70">
    <cfRule type="cellIs" dxfId="21462" priority="160988" stopIfTrue="1" operator="greaterThanOrEqual">
      <formula>0.5</formula>
    </cfRule>
  </conditionalFormatting>
  <conditionalFormatting sqref="AH71">
    <cfRule type="cellIs" dxfId="21461" priority="160989" stopIfTrue="1" operator="equal">
      <formula>-1</formula>
    </cfRule>
  </conditionalFormatting>
  <conditionalFormatting sqref="AH71">
    <cfRule type="cellIs" dxfId="21460" priority="160990" stopIfTrue="1" operator="lessThan">
      <formula>0.5</formula>
    </cfRule>
  </conditionalFormatting>
  <conditionalFormatting sqref="AH71">
    <cfRule type="cellIs" dxfId="21459" priority="160991" stopIfTrue="1" operator="greaterThanOrEqual">
      <formula>0.5</formula>
    </cfRule>
  </conditionalFormatting>
  <conditionalFormatting sqref="AH72">
    <cfRule type="cellIs" dxfId="21458" priority="160992" stopIfTrue="1" operator="equal">
      <formula>-1</formula>
    </cfRule>
  </conditionalFormatting>
  <conditionalFormatting sqref="AH72">
    <cfRule type="cellIs" dxfId="21457" priority="160993" stopIfTrue="1" operator="lessThan">
      <formula>0.5</formula>
    </cfRule>
  </conditionalFormatting>
  <conditionalFormatting sqref="AH72">
    <cfRule type="cellIs" dxfId="21456" priority="160994" stopIfTrue="1" operator="greaterThanOrEqual">
      <formula>0.5</formula>
    </cfRule>
  </conditionalFormatting>
  <conditionalFormatting sqref="AH73">
    <cfRule type="cellIs" dxfId="21455" priority="160995" stopIfTrue="1" operator="equal">
      <formula>-1</formula>
    </cfRule>
  </conditionalFormatting>
  <conditionalFormatting sqref="AH73">
    <cfRule type="cellIs" dxfId="21454" priority="160996" stopIfTrue="1" operator="lessThan">
      <formula>0.5</formula>
    </cfRule>
  </conditionalFormatting>
  <conditionalFormatting sqref="AH73">
    <cfRule type="cellIs" dxfId="21453" priority="160997" stopIfTrue="1" operator="greaterThanOrEqual">
      <formula>0.5</formula>
    </cfRule>
  </conditionalFormatting>
  <conditionalFormatting sqref="AH74">
    <cfRule type="cellIs" dxfId="21452" priority="160998" stopIfTrue="1" operator="equal">
      <formula>-1</formula>
    </cfRule>
  </conditionalFormatting>
  <conditionalFormatting sqref="AH74">
    <cfRule type="cellIs" dxfId="21451" priority="160999" stopIfTrue="1" operator="lessThan">
      <formula>0.5</formula>
    </cfRule>
  </conditionalFormatting>
  <conditionalFormatting sqref="AH74">
    <cfRule type="cellIs" dxfId="21450" priority="161000" stopIfTrue="1" operator="greaterThanOrEqual">
      <formula>0.5</formula>
    </cfRule>
  </conditionalFormatting>
  <conditionalFormatting sqref="AH75">
    <cfRule type="cellIs" dxfId="21449" priority="161001" stopIfTrue="1" operator="equal">
      <formula>-1</formula>
    </cfRule>
  </conditionalFormatting>
  <conditionalFormatting sqref="AH75">
    <cfRule type="cellIs" dxfId="21448" priority="161002" stopIfTrue="1" operator="lessThan">
      <formula>0.5</formula>
    </cfRule>
  </conditionalFormatting>
  <conditionalFormatting sqref="AH75">
    <cfRule type="cellIs" dxfId="21447" priority="161003" stopIfTrue="1" operator="greaterThanOrEqual">
      <formula>0.5</formula>
    </cfRule>
  </conditionalFormatting>
  <conditionalFormatting sqref="AH76">
    <cfRule type="cellIs" dxfId="21446" priority="161004" stopIfTrue="1" operator="equal">
      <formula>-1</formula>
    </cfRule>
  </conditionalFormatting>
  <conditionalFormatting sqref="AH76">
    <cfRule type="cellIs" dxfId="21445" priority="161005" stopIfTrue="1" operator="lessThan">
      <formula>0.5</formula>
    </cfRule>
  </conditionalFormatting>
  <conditionalFormatting sqref="AH76">
    <cfRule type="cellIs" dxfId="21444" priority="161006" stopIfTrue="1" operator="greaterThanOrEqual">
      <formula>0.5</formula>
    </cfRule>
  </conditionalFormatting>
  <conditionalFormatting sqref="AH77">
    <cfRule type="cellIs" dxfId="21443" priority="161007" stopIfTrue="1" operator="equal">
      <formula>-1</formula>
    </cfRule>
  </conditionalFormatting>
  <conditionalFormatting sqref="AH77">
    <cfRule type="cellIs" dxfId="21442" priority="161008" stopIfTrue="1" operator="lessThan">
      <formula>0.5</formula>
    </cfRule>
  </conditionalFormatting>
  <conditionalFormatting sqref="AH77">
    <cfRule type="cellIs" dxfId="21441" priority="161009" stopIfTrue="1" operator="greaterThanOrEqual">
      <formula>0.5</formula>
    </cfRule>
  </conditionalFormatting>
  <conditionalFormatting sqref="AH78">
    <cfRule type="cellIs" dxfId="21440" priority="161010" stopIfTrue="1" operator="equal">
      <formula>-1</formula>
    </cfRule>
  </conditionalFormatting>
  <conditionalFormatting sqref="AH78">
    <cfRule type="cellIs" dxfId="21439" priority="161011" stopIfTrue="1" operator="lessThan">
      <formula>0.5</formula>
    </cfRule>
  </conditionalFormatting>
  <conditionalFormatting sqref="AH78">
    <cfRule type="cellIs" dxfId="21438" priority="161012" stopIfTrue="1" operator="greaterThanOrEqual">
      <formula>0.5</formula>
    </cfRule>
  </conditionalFormatting>
  <conditionalFormatting sqref="AH79">
    <cfRule type="cellIs" dxfId="21437" priority="161013" stopIfTrue="1" operator="equal">
      <formula>-1</formula>
    </cfRule>
  </conditionalFormatting>
  <conditionalFormatting sqref="AH79">
    <cfRule type="cellIs" dxfId="21436" priority="161014" stopIfTrue="1" operator="lessThan">
      <formula>0.5</formula>
    </cfRule>
  </conditionalFormatting>
  <conditionalFormatting sqref="AH79">
    <cfRule type="cellIs" dxfId="21435" priority="161015" stopIfTrue="1" operator="greaterThanOrEqual">
      <formula>0.5</formula>
    </cfRule>
  </conditionalFormatting>
  <conditionalFormatting sqref="AH80">
    <cfRule type="cellIs" dxfId="21434" priority="161016" stopIfTrue="1" operator="equal">
      <formula>-1</formula>
    </cfRule>
  </conditionalFormatting>
  <conditionalFormatting sqref="AH80">
    <cfRule type="cellIs" dxfId="21433" priority="161017" stopIfTrue="1" operator="lessThan">
      <formula>0.5</formula>
    </cfRule>
  </conditionalFormatting>
  <conditionalFormatting sqref="AH80">
    <cfRule type="cellIs" dxfId="21432" priority="161018" stopIfTrue="1" operator="greaterThanOrEqual">
      <formula>0.5</formula>
    </cfRule>
  </conditionalFormatting>
  <conditionalFormatting sqref="AH81">
    <cfRule type="cellIs" dxfId="21431" priority="161019" stopIfTrue="1" operator="equal">
      <formula>-1</formula>
    </cfRule>
  </conditionalFormatting>
  <conditionalFormatting sqref="AH81">
    <cfRule type="cellIs" dxfId="21430" priority="161020" stopIfTrue="1" operator="lessThan">
      <formula>0.5</formula>
    </cfRule>
  </conditionalFormatting>
  <conditionalFormatting sqref="AH81">
    <cfRule type="cellIs" dxfId="21429" priority="161021" stopIfTrue="1" operator="greaterThanOrEqual">
      <formula>0.5</formula>
    </cfRule>
  </conditionalFormatting>
  <conditionalFormatting sqref="AH82">
    <cfRule type="cellIs" dxfId="21428" priority="161022" stopIfTrue="1" operator="equal">
      <formula>-1</formula>
    </cfRule>
  </conditionalFormatting>
  <conditionalFormatting sqref="AH82">
    <cfRule type="cellIs" dxfId="21427" priority="161023" stopIfTrue="1" operator="lessThan">
      <formula>0.5</formula>
    </cfRule>
  </conditionalFormatting>
  <conditionalFormatting sqref="AH82">
    <cfRule type="cellIs" dxfId="21426" priority="161024" stopIfTrue="1" operator="greaterThanOrEqual">
      <formula>0.5</formula>
    </cfRule>
  </conditionalFormatting>
  <conditionalFormatting sqref="AH83">
    <cfRule type="cellIs" dxfId="21425" priority="161025" stopIfTrue="1" operator="equal">
      <formula>-1</formula>
    </cfRule>
  </conditionalFormatting>
  <conditionalFormatting sqref="AH83">
    <cfRule type="cellIs" dxfId="21424" priority="161026" stopIfTrue="1" operator="lessThan">
      <formula>0.5</formula>
    </cfRule>
  </conditionalFormatting>
  <conditionalFormatting sqref="AH83">
    <cfRule type="cellIs" dxfId="21423" priority="161027" stopIfTrue="1" operator="greaterThanOrEqual">
      <formula>0.5</formula>
    </cfRule>
  </conditionalFormatting>
  <conditionalFormatting sqref="AH84">
    <cfRule type="cellIs" dxfId="21422" priority="161028" stopIfTrue="1" operator="equal">
      <formula>-1</formula>
    </cfRule>
  </conditionalFormatting>
  <conditionalFormatting sqref="AH84">
    <cfRule type="cellIs" dxfId="21421" priority="161029" stopIfTrue="1" operator="lessThan">
      <formula>0.5</formula>
    </cfRule>
  </conditionalFormatting>
  <conditionalFormatting sqref="AH84">
    <cfRule type="cellIs" dxfId="21420" priority="161030" stopIfTrue="1" operator="greaterThanOrEqual">
      <formula>0.5</formula>
    </cfRule>
  </conditionalFormatting>
  <conditionalFormatting sqref="AH85">
    <cfRule type="cellIs" dxfId="21419" priority="161031" stopIfTrue="1" operator="equal">
      <formula>-1</formula>
    </cfRule>
  </conditionalFormatting>
  <conditionalFormatting sqref="AH85">
    <cfRule type="cellIs" dxfId="21418" priority="161032" stopIfTrue="1" operator="lessThan">
      <formula>0.5</formula>
    </cfRule>
  </conditionalFormatting>
  <conditionalFormatting sqref="AH85">
    <cfRule type="cellIs" dxfId="21417" priority="161033" stopIfTrue="1" operator="greaterThanOrEqual">
      <formula>0.5</formula>
    </cfRule>
  </conditionalFormatting>
  <conditionalFormatting sqref="AJ65">
    <cfRule type="cellIs" dxfId="21416" priority="161034" stopIfTrue="1" operator="equal">
      <formula>-1</formula>
    </cfRule>
  </conditionalFormatting>
  <conditionalFormatting sqref="AJ65">
    <cfRule type="cellIs" dxfId="21415" priority="161035" stopIfTrue="1" operator="lessThan">
      <formula>0.5</formula>
    </cfRule>
  </conditionalFormatting>
  <conditionalFormatting sqref="AJ65">
    <cfRule type="cellIs" dxfId="21414" priority="161036" stopIfTrue="1" operator="greaterThanOrEqual">
      <formula>0.5</formula>
    </cfRule>
  </conditionalFormatting>
  <conditionalFormatting sqref="AJ66">
    <cfRule type="cellIs" dxfId="21413" priority="161037" stopIfTrue="1" operator="equal">
      <formula>-1</formula>
    </cfRule>
  </conditionalFormatting>
  <conditionalFormatting sqref="AJ66">
    <cfRule type="cellIs" dxfId="21412" priority="161038" stopIfTrue="1" operator="lessThan">
      <formula>0.5</formula>
    </cfRule>
  </conditionalFormatting>
  <conditionalFormatting sqref="AJ66">
    <cfRule type="cellIs" dxfId="21411" priority="161039" stopIfTrue="1" operator="greaterThanOrEqual">
      <formula>0.5</formula>
    </cfRule>
  </conditionalFormatting>
  <conditionalFormatting sqref="AJ67">
    <cfRule type="cellIs" dxfId="21410" priority="161040" stopIfTrue="1" operator="equal">
      <formula>-1</formula>
    </cfRule>
  </conditionalFormatting>
  <conditionalFormatting sqref="AJ67">
    <cfRule type="cellIs" dxfId="21409" priority="161041" stopIfTrue="1" operator="lessThan">
      <formula>0.5</formula>
    </cfRule>
  </conditionalFormatting>
  <conditionalFormatting sqref="AJ67">
    <cfRule type="cellIs" dxfId="21408" priority="161042" stopIfTrue="1" operator="greaterThanOrEqual">
      <formula>0.5</formula>
    </cfRule>
  </conditionalFormatting>
  <conditionalFormatting sqref="AJ68">
    <cfRule type="cellIs" dxfId="21407" priority="161043" stopIfTrue="1" operator="equal">
      <formula>-1</formula>
    </cfRule>
  </conditionalFormatting>
  <conditionalFormatting sqref="AJ68">
    <cfRule type="cellIs" dxfId="21406" priority="161044" stopIfTrue="1" operator="lessThan">
      <formula>0.5</formula>
    </cfRule>
  </conditionalFormatting>
  <conditionalFormatting sqref="AJ68">
    <cfRule type="cellIs" dxfId="21405" priority="161045" stopIfTrue="1" operator="greaterThanOrEqual">
      <formula>0.5</formula>
    </cfRule>
  </conditionalFormatting>
  <conditionalFormatting sqref="AJ69">
    <cfRule type="cellIs" dxfId="21404" priority="161046" stopIfTrue="1" operator="equal">
      <formula>-1</formula>
    </cfRule>
  </conditionalFormatting>
  <conditionalFormatting sqref="AJ69">
    <cfRule type="cellIs" dxfId="21403" priority="161047" stopIfTrue="1" operator="lessThan">
      <formula>0.5</formula>
    </cfRule>
  </conditionalFormatting>
  <conditionalFormatting sqref="AJ69">
    <cfRule type="cellIs" dxfId="21402" priority="161048" stopIfTrue="1" operator="greaterThanOrEqual">
      <formula>0.5</formula>
    </cfRule>
  </conditionalFormatting>
  <conditionalFormatting sqref="AJ70">
    <cfRule type="cellIs" dxfId="21401" priority="161049" stopIfTrue="1" operator="equal">
      <formula>-1</formula>
    </cfRule>
  </conditionalFormatting>
  <conditionalFormatting sqref="AJ70">
    <cfRule type="cellIs" dxfId="21400" priority="161050" stopIfTrue="1" operator="lessThan">
      <formula>0.5</formula>
    </cfRule>
  </conditionalFormatting>
  <conditionalFormatting sqref="AJ70">
    <cfRule type="cellIs" dxfId="21399" priority="161051" stopIfTrue="1" operator="greaterThanOrEqual">
      <formula>0.5</formula>
    </cfRule>
  </conditionalFormatting>
  <conditionalFormatting sqref="AJ71">
    <cfRule type="cellIs" dxfId="21398" priority="161052" stopIfTrue="1" operator="equal">
      <formula>-1</formula>
    </cfRule>
  </conditionalFormatting>
  <conditionalFormatting sqref="AJ71">
    <cfRule type="cellIs" dxfId="21397" priority="161053" stopIfTrue="1" operator="lessThan">
      <formula>0.5</formula>
    </cfRule>
  </conditionalFormatting>
  <conditionalFormatting sqref="AJ71">
    <cfRule type="cellIs" dxfId="21396" priority="161054" stopIfTrue="1" operator="greaterThanOrEqual">
      <formula>0.5</formula>
    </cfRule>
  </conditionalFormatting>
  <conditionalFormatting sqref="AJ72">
    <cfRule type="cellIs" dxfId="21395" priority="161055" stopIfTrue="1" operator="equal">
      <formula>-1</formula>
    </cfRule>
  </conditionalFormatting>
  <conditionalFormatting sqref="AJ72">
    <cfRule type="cellIs" dxfId="21394" priority="161056" stopIfTrue="1" operator="lessThan">
      <formula>0.5</formula>
    </cfRule>
  </conditionalFormatting>
  <conditionalFormatting sqref="AJ72">
    <cfRule type="cellIs" dxfId="21393" priority="161057" stopIfTrue="1" operator="greaterThanOrEqual">
      <formula>0.5</formula>
    </cfRule>
  </conditionalFormatting>
  <conditionalFormatting sqref="AJ73">
    <cfRule type="cellIs" dxfId="21392" priority="161058" stopIfTrue="1" operator="equal">
      <formula>-1</formula>
    </cfRule>
  </conditionalFormatting>
  <conditionalFormatting sqref="AJ73">
    <cfRule type="cellIs" dxfId="21391" priority="161059" stopIfTrue="1" operator="lessThan">
      <formula>0.5</formula>
    </cfRule>
  </conditionalFormatting>
  <conditionalFormatting sqref="AJ73">
    <cfRule type="cellIs" dxfId="21390" priority="161060" stopIfTrue="1" operator="greaterThanOrEqual">
      <formula>0.5</formula>
    </cfRule>
  </conditionalFormatting>
  <conditionalFormatting sqref="AJ74">
    <cfRule type="cellIs" dxfId="21389" priority="161061" stopIfTrue="1" operator="equal">
      <formula>-1</formula>
    </cfRule>
  </conditionalFormatting>
  <conditionalFormatting sqref="AJ74">
    <cfRule type="cellIs" dxfId="21388" priority="161062" stopIfTrue="1" operator="lessThan">
      <formula>0.5</formula>
    </cfRule>
  </conditionalFormatting>
  <conditionalFormatting sqref="AJ74">
    <cfRule type="cellIs" dxfId="21387" priority="161063" stopIfTrue="1" operator="greaterThanOrEqual">
      <formula>0.5</formula>
    </cfRule>
  </conditionalFormatting>
  <conditionalFormatting sqref="AJ75">
    <cfRule type="cellIs" dxfId="21386" priority="161064" stopIfTrue="1" operator="equal">
      <formula>-1</formula>
    </cfRule>
  </conditionalFormatting>
  <conditionalFormatting sqref="AJ75">
    <cfRule type="cellIs" dxfId="21385" priority="161065" stopIfTrue="1" operator="lessThan">
      <formula>0.5</formula>
    </cfRule>
  </conditionalFormatting>
  <conditionalFormatting sqref="AJ75">
    <cfRule type="cellIs" dxfId="21384" priority="161066" stopIfTrue="1" operator="greaterThanOrEqual">
      <formula>0.5</formula>
    </cfRule>
  </conditionalFormatting>
  <conditionalFormatting sqref="AJ76">
    <cfRule type="cellIs" dxfId="21383" priority="161067" stopIfTrue="1" operator="equal">
      <formula>-1</formula>
    </cfRule>
  </conditionalFormatting>
  <conditionalFormatting sqref="AJ76">
    <cfRule type="cellIs" dxfId="21382" priority="161068" stopIfTrue="1" operator="lessThan">
      <formula>0.5</formula>
    </cfRule>
  </conditionalFormatting>
  <conditionalFormatting sqref="AJ76">
    <cfRule type="cellIs" dxfId="21381" priority="161069" stopIfTrue="1" operator="greaterThanOrEqual">
      <formula>0.5</formula>
    </cfRule>
  </conditionalFormatting>
  <conditionalFormatting sqref="AJ77">
    <cfRule type="cellIs" dxfId="21380" priority="161070" stopIfTrue="1" operator="equal">
      <formula>-1</formula>
    </cfRule>
  </conditionalFormatting>
  <conditionalFormatting sqref="AJ77">
    <cfRule type="cellIs" dxfId="21379" priority="161071" stopIfTrue="1" operator="lessThan">
      <formula>0.5</formula>
    </cfRule>
  </conditionalFormatting>
  <conditionalFormatting sqref="AJ77">
    <cfRule type="cellIs" dxfId="21378" priority="161072" stopIfTrue="1" operator="greaterThanOrEqual">
      <formula>0.5</formula>
    </cfRule>
  </conditionalFormatting>
  <conditionalFormatting sqref="AJ78">
    <cfRule type="cellIs" dxfId="21377" priority="161073" stopIfTrue="1" operator="equal">
      <formula>-1</formula>
    </cfRule>
  </conditionalFormatting>
  <conditionalFormatting sqref="AJ78">
    <cfRule type="cellIs" dxfId="21376" priority="161074" stopIfTrue="1" operator="lessThan">
      <formula>0.5</formula>
    </cfRule>
  </conditionalFormatting>
  <conditionalFormatting sqref="AJ78">
    <cfRule type="cellIs" dxfId="21375" priority="161075" stopIfTrue="1" operator="greaterThanOrEqual">
      <formula>0.5</formula>
    </cfRule>
  </conditionalFormatting>
  <conditionalFormatting sqref="AJ79">
    <cfRule type="cellIs" dxfId="21374" priority="161076" stopIfTrue="1" operator="equal">
      <formula>-1</formula>
    </cfRule>
  </conditionalFormatting>
  <conditionalFormatting sqref="AJ79">
    <cfRule type="cellIs" dxfId="21373" priority="161077" stopIfTrue="1" operator="lessThan">
      <formula>0.5</formula>
    </cfRule>
  </conditionalFormatting>
  <conditionalFormatting sqref="AJ79">
    <cfRule type="cellIs" dxfId="21372" priority="161078" stopIfTrue="1" operator="greaterThanOrEqual">
      <formula>0.5</formula>
    </cfRule>
  </conditionalFormatting>
  <conditionalFormatting sqref="AJ80">
    <cfRule type="cellIs" dxfId="21371" priority="161079" stopIfTrue="1" operator="equal">
      <formula>-1</formula>
    </cfRule>
  </conditionalFormatting>
  <conditionalFormatting sqref="AJ80">
    <cfRule type="cellIs" dxfId="21370" priority="161080" stopIfTrue="1" operator="lessThan">
      <formula>0.5</formula>
    </cfRule>
  </conditionalFormatting>
  <conditionalFormatting sqref="AJ80">
    <cfRule type="cellIs" dxfId="21369" priority="161081" stopIfTrue="1" operator="greaterThanOrEqual">
      <formula>0.5</formula>
    </cfRule>
  </conditionalFormatting>
  <conditionalFormatting sqref="AJ81">
    <cfRule type="cellIs" dxfId="21368" priority="161082" stopIfTrue="1" operator="equal">
      <formula>-1</formula>
    </cfRule>
  </conditionalFormatting>
  <conditionalFormatting sqref="AJ81">
    <cfRule type="cellIs" dxfId="21367" priority="161083" stopIfTrue="1" operator="lessThan">
      <formula>0.5</formula>
    </cfRule>
  </conditionalFormatting>
  <conditionalFormatting sqref="AJ81">
    <cfRule type="cellIs" dxfId="21366" priority="161084" stopIfTrue="1" operator="greaterThanOrEqual">
      <formula>0.5</formula>
    </cfRule>
  </conditionalFormatting>
  <conditionalFormatting sqref="AJ82">
    <cfRule type="cellIs" dxfId="21365" priority="161085" stopIfTrue="1" operator="equal">
      <formula>-1</formula>
    </cfRule>
  </conditionalFormatting>
  <conditionalFormatting sqref="AJ82">
    <cfRule type="cellIs" dxfId="21364" priority="161086" stopIfTrue="1" operator="lessThan">
      <formula>0.5</formula>
    </cfRule>
  </conditionalFormatting>
  <conditionalFormatting sqref="AJ82">
    <cfRule type="cellIs" dxfId="21363" priority="161087" stopIfTrue="1" operator="greaterThanOrEqual">
      <formula>0.5</formula>
    </cfRule>
  </conditionalFormatting>
  <conditionalFormatting sqref="AJ83">
    <cfRule type="cellIs" dxfId="21362" priority="161088" stopIfTrue="1" operator="equal">
      <formula>-1</formula>
    </cfRule>
  </conditionalFormatting>
  <conditionalFormatting sqref="AJ83">
    <cfRule type="cellIs" dxfId="21361" priority="161089" stopIfTrue="1" operator="lessThan">
      <formula>0.5</formula>
    </cfRule>
  </conditionalFormatting>
  <conditionalFormatting sqref="AJ83">
    <cfRule type="cellIs" dxfId="21360" priority="161090" stopIfTrue="1" operator="greaterThanOrEqual">
      <formula>0.5</formula>
    </cfRule>
  </conditionalFormatting>
  <conditionalFormatting sqref="AJ84">
    <cfRule type="cellIs" dxfId="21359" priority="161091" stopIfTrue="1" operator="equal">
      <formula>-1</formula>
    </cfRule>
  </conditionalFormatting>
  <conditionalFormatting sqref="AJ84">
    <cfRule type="cellIs" dxfId="21358" priority="161092" stopIfTrue="1" operator="lessThan">
      <formula>0.5</formula>
    </cfRule>
  </conditionalFormatting>
  <conditionalFormatting sqref="AJ84">
    <cfRule type="cellIs" dxfId="21357" priority="161093" stopIfTrue="1" operator="greaterThanOrEqual">
      <formula>0.5</formula>
    </cfRule>
  </conditionalFormatting>
  <conditionalFormatting sqref="AJ85">
    <cfRule type="cellIs" dxfId="21356" priority="161094" stopIfTrue="1" operator="equal">
      <formula>-1</formula>
    </cfRule>
  </conditionalFormatting>
  <conditionalFormatting sqref="AJ85">
    <cfRule type="cellIs" dxfId="21355" priority="161095" stopIfTrue="1" operator="lessThan">
      <formula>0.5</formula>
    </cfRule>
  </conditionalFormatting>
  <conditionalFormatting sqref="AJ85">
    <cfRule type="cellIs" dxfId="21354" priority="161096" stopIfTrue="1" operator="greaterThanOrEqual">
      <formula>0.5</formula>
    </cfRule>
  </conditionalFormatting>
  <conditionalFormatting sqref="AL65">
    <cfRule type="cellIs" dxfId="21353" priority="161097" stopIfTrue="1" operator="equal">
      <formula>-1</formula>
    </cfRule>
  </conditionalFormatting>
  <conditionalFormatting sqref="AL65">
    <cfRule type="cellIs" dxfId="21352" priority="161098" stopIfTrue="1" operator="lessThan">
      <formula>0.5</formula>
    </cfRule>
  </conditionalFormatting>
  <conditionalFormatting sqref="AL65">
    <cfRule type="cellIs" dxfId="21351" priority="161099" stopIfTrue="1" operator="greaterThanOrEqual">
      <formula>0.5</formula>
    </cfRule>
  </conditionalFormatting>
  <conditionalFormatting sqref="AL66">
    <cfRule type="cellIs" dxfId="21350" priority="161100" stopIfTrue="1" operator="equal">
      <formula>-1</formula>
    </cfRule>
  </conditionalFormatting>
  <conditionalFormatting sqref="AL66">
    <cfRule type="cellIs" dxfId="21349" priority="161101" stopIfTrue="1" operator="lessThan">
      <formula>0.5</formula>
    </cfRule>
  </conditionalFormatting>
  <conditionalFormatting sqref="AL66">
    <cfRule type="cellIs" dxfId="21348" priority="161102" stopIfTrue="1" operator="greaterThanOrEqual">
      <formula>0.5</formula>
    </cfRule>
  </conditionalFormatting>
  <conditionalFormatting sqref="AL67">
    <cfRule type="cellIs" dxfId="21347" priority="161103" stopIfTrue="1" operator="equal">
      <formula>-1</formula>
    </cfRule>
  </conditionalFormatting>
  <conditionalFormatting sqref="AL67">
    <cfRule type="cellIs" dxfId="21346" priority="161104" stopIfTrue="1" operator="lessThan">
      <formula>0.5</formula>
    </cfRule>
  </conditionalFormatting>
  <conditionalFormatting sqref="AL67">
    <cfRule type="cellIs" dxfId="21345" priority="161105" stopIfTrue="1" operator="greaterThanOrEqual">
      <formula>0.5</formula>
    </cfRule>
  </conditionalFormatting>
  <conditionalFormatting sqref="AL68">
    <cfRule type="cellIs" dxfId="21344" priority="161106" stopIfTrue="1" operator="equal">
      <formula>-1</formula>
    </cfRule>
  </conditionalFormatting>
  <conditionalFormatting sqref="AL68">
    <cfRule type="cellIs" dxfId="21343" priority="161107" stopIfTrue="1" operator="lessThan">
      <formula>0.5</formula>
    </cfRule>
  </conditionalFormatting>
  <conditionalFormatting sqref="AL68">
    <cfRule type="cellIs" dxfId="21342" priority="161108" stopIfTrue="1" operator="greaterThanOrEqual">
      <formula>0.5</formula>
    </cfRule>
  </conditionalFormatting>
  <conditionalFormatting sqref="AL69">
    <cfRule type="cellIs" dxfId="21341" priority="161109" stopIfTrue="1" operator="equal">
      <formula>-1</formula>
    </cfRule>
  </conditionalFormatting>
  <conditionalFormatting sqref="AL69">
    <cfRule type="cellIs" dxfId="21340" priority="161110" stopIfTrue="1" operator="lessThan">
      <formula>0.5</formula>
    </cfRule>
  </conditionalFormatting>
  <conditionalFormatting sqref="AL69">
    <cfRule type="cellIs" dxfId="21339" priority="161111" stopIfTrue="1" operator="greaterThanOrEqual">
      <formula>0.5</formula>
    </cfRule>
  </conditionalFormatting>
  <conditionalFormatting sqref="AL70">
    <cfRule type="cellIs" dxfId="21338" priority="161112" stopIfTrue="1" operator="equal">
      <formula>-1</formula>
    </cfRule>
  </conditionalFormatting>
  <conditionalFormatting sqref="AL70">
    <cfRule type="cellIs" dxfId="21337" priority="161113" stopIfTrue="1" operator="lessThan">
      <formula>0.5</formula>
    </cfRule>
  </conditionalFormatting>
  <conditionalFormatting sqref="AL70">
    <cfRule type="cellIs" dxfId="21336" priority="161114" stopIfTrue="1" operator="greaterThanOrEqual">
      <formula>0.5</formula>
    </cfRule>
  </conditionalFormatting>
  <conditionalFormatting sqref="AL71">
    <cfRule type="cellIs" dxfId="21335" priority="161115" stopIfTrue="1" operator="equal">
      <formula>-1</formula>
    </cfRule>
  </conditionalFormatting>
  <conditionalFormatting sqref="AL71">
    <cfRule type="cellIs" dxfId="21334" priority="161116" stopIfTrue="1" operator="lessThan">
      <formula>0.5</formula>
    </cfRule>
  </conditionalFormatting>
  <conditionalFormatting sqref="AL71">
    <cfRule type="cellIs" dxfId="21333" priority="161117" stopIfTrue="1" operator="greaterThanOrEqual">
      <formula>0.5</formula>
    </cfRule>
  </conditionalFormatting>
  <conditionalFormatting sqref="AL72">
    <cfRule type="cellIs" dxfId="21332" priority="161118" stopIfTrue="1" operator="equal">
      <formula>-1</formula>
    </cfRule>
  </conditionalFormatting>
  <conditionalFormatting sqref="AL72">
    <cfRule type="cellIs" dxfId="21331" priority="161119" stopIfTrue="1" operator="lessThan">
      <formula>0.5</formula>
    </cfRule>
  </conditionalFormatting>
  <conditionalFormatting sqref="AL72">
    <cfRule type="cellIs" dxfId="21330" priority="161120" stopIfTrue="1" operator="greaterThanOrEqual">
      <formula>0.5</formula>
    </cfRule>
  </conditionalFormatting>
  <conditionalFormatting sqref="AL73">
    <cfRule type="cellIs" dxfId="21329" priority="161121" stopIfTrue="1" operator="equal">
      <formula>-1</formula>
    </cfRule>
  </conditionalFormatting>
  <conditionalFormatting sqref="AL73">
    <cfRule type="cellIs" dxfId="21328" priority="161122" stopIfTrue="1" operator="lessThan">
      <formula>0.5</formula>
    </cfRule>
  </conditionalFormatting>
  <conditionalFormatting sqref="AL73">
    <cfRule type="cellIs" dxfId="21327" priority="161123" stopIfTrue="1" operator="greaterThanOrEqual">
      <formula>0.5</formula>
    </cfRule>
  </conditionalFormatting>
  <conditionalFormatting sqref="AL74">
    <cfRule type="cellIs" dxfId="21326" priority="161124" stopIfTrue="1" operator="equal">
      <formula>-1</formula>
    </cfRule>
  </conditionalFormatting>
  <conditionalFormatting sqref="AL74">
    <cfRule type="cellIs" dxfId="21325" priority="161125" stopIfTrue="1" operator="lessThan">
      <formula>0.5</formula>
    </cfRule>
  </conditionalFormatting>
  <conditionalFormatting sqref="AL74">
    <cfRule type="cellIs" dxfId="21324" priority="161126" stopIfTrue="1" operator="greaterThanOrEqual">
      <formula>0.5</formula>
    </cfRule>
  </conditionalFormatting>
  <conditionalFormatting sqref="AL75">
    <cfRule type="cellIs" dxfId="21323" priority="161127" stopIfTrue="1" operator="equal">
      <formula>-1</formula>
    </cfRule>
  </conditionalFormatting>
  <conditionalFormatting sqref="AL75">
    <cfRule type="cellIs" dxfId="21322" priority="161128" stopIfTrue="1" operator="lessThan">
      <formula>0.5</formula>
    </cfRule>
  </conditionalFormatting>
  <conditionalFormatting sqref="AL75">
    <cfRule type="cellIs" dxfId="21321" priority="161129" stopIfTrue="1" operator="greaterThanOrEqual">
      <formula>0.5</formula>
    </cfRule>
  </conditionalFormatting>
  <conditionalFormatting sqref="AL76">
    <cfRule type="cellIs" dxfId="21320" priority="161130" stopIfTrue="1" operator="equal">
      <formula>-1</formula>
    </cfRule>
  </conditionalFormatting>
  <conditionalFormatting sqref="AL76">
    <cfRule type="cellIs" dxfId="21319" priority="161131" stopIfTrue="1" operator="lessThan">
      <formula>0.5</formula>
    </cfRule>
  </conditionalFormatting>
  <conditionalFormatting sqref="AL76">
    <cfRule type="cellIs" dxfId="21318" priority="161132" stopIfTrue="1" operator="greaterThanOrEqual">
      <formula>0.5</formula>
    </cfRule>
  </conditionalFormatting>
  <conditionalFormatting sqref="AL77">
    <cfRule type="cellIs" dxfId="21317" priority="161133" stopIfTrue="1" operator="equal">
      <formula>-1</formula>
    </cfRule>
  </conditionalFormatting>
  <conditionalFormatting sqref="AL77">
    <cfRule type="cellIs" dxfId="21316" priority="161134" stopIfTrue="1" operator="lessThan">
      <formula>0.5</formula>
    </cfRule>
  </conditionalFormatting>
  <conditionalFormatting sqref="AL77">
    <cfRule type="cellIs" dxfId="21315" priority="161135" stopIfTrue="1" operator="greaterThanOrEqual">
      <formula>0.5</formula>
    </cfRule>
  </conditionalFormatting>
  <conditionalFormatting sqref="AL78">
    <cfRule type="cellIs" dxfId="21314" priority="161136" stopIfTrue="1" operator="equal">
      <formula>-1</formula>
    </cfRule>
  </conditionalFormatting>
  <conditionalFormatting sqref="AL78">
    <cfRule type="cellIs" dxfId="21313" priority="161137" stopIfTrue="1" operator="lessThan">
      <formula>0.5</formula>
    </cfRule>
  </conditionalFormatting>
  <conditionalFormatting sqref="AL78">
    <cfRule type="cellIs" dxfId="21312" priority="161138" stopIfTrue="1" operator="greaterThanOrEqual">
      <formula>0.5</formula>
    </cfRule>
  </conditionalFormatting>
  <conditionalFormatting sqref="AL79">
    <cfRule type="cellIs" dxfId="21311" priority="161139" stopIfTrue="1" operator="equal">
      <formula>-1</formula>
    </cfRule>
  </conditionalFormatting>
  <conditionalFormatting sqref="AL79">
    <cfRule type="cellIs" dxfId="21310" priority="161140" stopIfTrue="1" operator="lessThan">
      <formula>0.5</formula>
    </cfRule>
  </conditionalFormatting>
  <conditionalFormatting sqref="AL79">
    <cfRule type="cellIs" dxfId="21309" priority="161141" stopIfTrue="1" operator="greaterThanOrEqual">
      <formula>0.5</formula>
    </cfRule>
  </conditionalFormatting>
  <conditionalFormatting sqref="AL80">
    <cfRule type="cellIs" dxfId="21308" priority="161142" stopIfTrue="1" operator="equal">
      <formula>-1</formula>
    </cfRule>
  </conditionalFormatting>
  <conditionalFormatting sqref="AL80">
    <cfRule type="cellIs" dxfId="21307" priority="161143" stopIfTrue="1" operator="lessThan">
      <formula>0.5</formula>
    </cfRule>
  </conditionalFormatting>
  <conditionalFormatting sqref="AL80">
    <cfRule type="cellIs" dxfId="21306" priority="161144" stopIfTrue="1" operator="greaterThanOrEqual">
      <formula>0.5</formula>
    </cfRule>
  </conditionalFormatting>
  <conditionalFormatting sqref="AL81">
    <cfRule type="cellIs" dxfId="21305" priority="161145" stopIfTrue="1" operator="equal">
      <formula>-1</formula>
    </cfRule>
  </conditionalFormatting>
  <conditionalFormatting sqref="AL81">
    <cfRule type="cellIs" dxfId="21304" priority="161146" stopIfTrue="1" operator="lessThan">
      <formula>0.5</formula>
    </cfRule>
  </conditionalFormatting>
  <conditionalFormatting sqref="AL81">
    <cfRule type="cellIs" dxfId="21303" priority="161147" stopIfTrue="1" operator="greaterThanOrEqual">
      <formula>0.5</formula>
    </cfRule>
  </conditionalFormatting>
  <conditionalFormatting sqref="AL82">
    <cfRule type="cellIs" dxfId="21302" priority="161148" stopIfTrue="1" operator="equal">
      <formula>-1</formula>
    </cfRule>
  </conditionalFormatting>
  <conditionalFormatting sqref="AL82">
    <cfRule type="cellIs" dxfId="21301" priority="161149" stopIfTrue="1" operator="lessThan">
      <formula>0.5</formula>
    </cfRule>
  </conditionalFormatting>
  <conditionalFormatting sqref="AL82">
    <cfRule type="cellIs" dxfId="21300" priority="161150" stopIfTrue="1" operator="greaterThanOrEqual">
      <formula>0.5</formula>
    </cfRule>
  </conditionalFormatting>
  <conditionalFormatting sqref="AL83">
    <cfRule type="cellIs" dxfId="21299" priority="161151" stopIfTrue="1" operator="equal">
      <formula>-1</formula>
    </cfRule>
  </conditionalFormatting>
  <conditionalFormatting sqref="AL83">
    <cfRule type="cellIs" dxfId="21298" priority="161152" stopIfTrue="1" operator="lessThan">
      <formula>0.5</formula>
    </cfRule>
  </conditionalFormatting>
  <conditionalFormatting sqref="AL83">
    <cfRule type="cellIs" dxfId="21297" priority="161153" stopIfTrue="1" operator="greaterThanOrEqual">
      <formula>0.5</formula>
    </cfRule>
  </conditionalFormatting>
  <conditionalFormatting sqref="AL84">
    <cfRule type="cellIs" dxfId="21296" priority="161154" stopIfTrue="1" operator="equal">
      <formula>-1</formula>
    </cfRule>
  </conditionalFormatting>
  <conditionalFormatting sqref="AL84">
    <cfRule type="cellIs" dxfId="21295" priority="161155" stopIfTrue="1" operator="lessThan">
      <formula>0.5</formula>
    </cfRule>
  </conditionalFormatting>
  <conditionalFormatting sqref="AL84">
    <cfRule type="cellIs" dxfId="21294" priority="161156" stopIfTrue="1" operator="greaterThanOrEqual">
      <formula>0.5</formula>
    </cfRule>
  </conditionalFormatting>
  <conditionalFormatting sqref="AL85">
    <cfRule type="cellIs" dxfId="21293" priority="161157" stopIfTrue="1" operator="equal">
      <formula>-1</formula>
    </cfRule>
  </conditionalFormatting>
  <conditionalFormatting sqref="AL85">
    <cfRule type="cellIs" dxfId="21292" priority="161158" stopIfTrue="1" operator="lessThan">
      <formula>0.5</formula>
    </cfRule>
  </conditionalFormatting>
  <conditionalFormatting sqref="AL85">
    <cfRule type="cellIs" dxfId="21291" priority="161159" stopIfTrue="1" operator="greaterThanOrEqual">
      <formula>0.5</formula>
    </cfRule>
  </conditionalFormatting>
  <conditionalFormatting sqref="AN65">
    <cfRule type="cellIs" dxfId="21290" priority="161160" stopIfTrue="1" operator="equal">
      <formula>-1</formula>
    </cfRule>
  </conditionalFormatting>
  <conditionalFormatting sqref="AN65">
    <cfRule type="cellIs" dxfId="21289" priority="161161" stopIfTrue="1" operator="lessThan">
      <formula>0.5</formula>
    </cfRule>
  </conditionalFormatting>
  <conditionalFormatting sqref="AN65">
    <cfRule type="cellIs" dxfId="21288" priority="161162" stopIfTrue="1" operator="greaterThanOrEqual">
      <formula>0.5</formula>
    </cfRule>
  </conditionalFormatting>
  <conditionalFormatting sqref="AN66">
    <cfRule type="cellIs" dxfId="21287" priority="161163" stopIfTrue="1" operator="equal">
      <formula>-1</formula>
    </cfRule>
  </conditionalFormatting>
  <conditionalFormatting sqref="AN66">
    <cfRule type="cellIs" dxfId="21286" priority="161164" stopIfTrue="1" operator="lessThan">
      <formula>0.5</formula>
    </cfRule>
  </conditionalFormatting>
  <conditionalFormatting sqref="AN66">
    <cfRule type="cellIs" dxfId="21285" priority="161165" stopIfTrue="1" operator="greaterThanOrEqual">
      <formula>0.5</formula>
    </cfRule>
  </conditionalFormatting>
  <conditionalFormatting sqref="AN67">
    <cfRule type="cellIs" dxfId="21284" priority="161166" stopIfTrue="1" operator="equal">
      <formula>-1</formula>
    </cfRule>
  </conditionalFormatting>
  <conditionalFormatting sqref="AN67">
    <cfRule type="cellIs" dxfId="21283" priority="161167" stopIfTrue="1" operator="lessThan">
      <formula>0.5</formula>
    </cfRule>
  </conditionalFormatting>
  <conditionalFormatting sqref="AN67">
    <cfRule type="cellIs" dxfId="21282" priority="161168" stopIfTrue="1" operator="greaterThanOrEqual">
      <formula>0.5</formula>
    </cfRule>
  </conditionalFormatting>
  <conditionalFormatting sqref="AN68">
    <cfRule type="cellIs" dxfId="21281" priority="161169" stopIfTrue="1" operator="equal">
      <formula>-1</formula>
    </cfRule>
  </conditionalFormatting>
  <conditionalFormatting sqref="AN68">
    <cfRule type="cellIs" dxfId="21280" priority="161170" stopIfTrue="1" operator="lessThan">
      <formula>0.5</formula>
    </cfRule>
  </conditionalFormatting>
  <conditionalFormatting sqref="AN68">
    <cfRule type="cellIs" dxfId="21279" priority="161171" stopIfTrue="1" operator="greaterThanOrEqual">
      <formula>0.5</formula>
    </cfRule>
  </conditionalFormatting>
  <conditionalFormatting sqref="AN69">
    <cfRule type="cellIs" dxfId="21278" priority="161172" stopIfTrue="1" operator="equal">
      <formula>-1</formula>
    </cfRule>
  </conditionalFormatting>
  <conditionalFormatting sqref="AN69">
    <cfRule type="cellIs" dxfId="21277" priority="161173" stopIfTrue="1" operator="lessThan">
      <formula>0.5</formula>
    </cfRule>
  </conditionalFormatting>
  <conditionalFormatting sqref="AN69">
    <cfRule type="cellIs" dxfId="21276" priority="161174" stopIfTrue="1" operator="greaterThanOrEqual">
      <formula>0.5</formula>
    </cfRule>
  </conditionalFormatting>
  <conditionalFormatting sqref="AN70">
    <cfRule type="cellIs" dxfId="21275" priority="161175" stopIfTrue="1" operator="equal">
      <formula>-1</formula>
    </cfRule>
  </conditionalFormatting>
  <conditionalFormatting sqref="AN70">
    <cfRule type="cellIs" dxfId="21274" priority="161176" stopIfTrue="1" operator="lessThan">
      <formula>0.5</formula>
    </cfRule>
  </conditionalFormatting>
  <conditionalFormatting sqref="AN70">
    <cfRule type="cellIs" dxfId="21273" priority="161177" stopIfTrue="1" operator="greaterThanOrEqual">
      <formula>0.5</formula>
    </cfRule>
  </conditionalFormatting>
  <conditionalFormatting sqref="AN71">
    <cfRule type="cellIs" dxfId="21272" priority="161178" stopIfTrue="1" operator="equal">
      <formula>-1</formula>
    </cfRule>
  </conditionalFormatting>
  <conditionalFormatting sqref="AN71">
    <cfRule type="cellIs" dxfId="21271" priority="161179" stopIfTrue="1" operator="lessThan">
      <formula>0.5</formula>
    </cfRule>
  </conditionalFormatting>
  <conditionalFormatting sqref="AN71">
    <cfRule type="cellIs" dxfId="21270" priority="161180" stopIfTrue="1" operator="greaterThanOrEqual">
      <formula>0.5</formula>
    </cfRule>
  </conditionalFormatting>
  <conditionalFormatting sqref="AN72">
    <cfRule type="cellIs" dxfId="21269" priority="161181" stopIfTrue="1" operator="equal">
      <formula>-1</formula>
    </cfRule>
  </conditionalFormatting>
  <conditionalFormatting sqref="AN72">
    <cfRule type="cellIs" dxfId="21268" priority="161182" stopIfTrue="1" operator="lessThan">
      <formula>0.5</formula>
    </cfRule>
  </conditionalFormatting>
  <conditionalFormatting sqref="AN72">
    <cfRule type="cellIs" dxfId="21267" priority="161183" stopIfTrue="1" operator="greaterThanOrEqual">
      <formula>0.5</formula>
    </cfRule>
  </conditionalFormatting>
  <conditionalFormatting sqref="AN73">
    <cfRule type="cellIs" dxfId="21266" priority="161184" stopIfTrue="1" operator="equal">
      <formula>-1</formula>
    </cfRule>
  </conditionalFormatting>
  <conditionalFormatting sqref="AN73">
    <cfRule type="cellIs" dxfId="21265" priority="161185" stopIfTrue="1" operator="lessThan">
      <formula>0.5</formula>
    </cfRule>
  </conditionalFormatting>
  <conditionalFormatting sqref="AN73">
    <cfRule type="cellIs" dxfId="21264" priority="161186" stopIfTrue="1" operator="greaterThanOrEqual">
      <formula>0.5</formula>
    </cfRule>
  </conditionalFormatting>
  <conditionalFormatting sqref="AN74">
    <cfRule type="cellIs" dxfId="21263" priority="161187" stopIfTrue="1" operator="equal">
      <formula>-1</formula>
    </cfRule>
  </conditionalFormatting>
  <conditionalFormatting sqref="AN74">
    <cfRule type="cellIs" dxfId="21262" priority="161188" stopIfTrue="1" operator="lessThan">
      <formula>0.5</formula>
    </cfRule>
  </conditionalFormatting>
  <conditionalFormatting sqref="AN74">
    <cfRule type="cellIs" dxfId="21261" priority="161189" stopIfTrue="1" operator="greaterThanOrEqual">
      <formula>0.5</formula>
    </cfRule>
  </conditionalFormatting>
  <conditionalFormatting sqref="AN75">
    <cfRule type="cellIs" dxfId="21260" priority="161190" stopIfTrue="1" operator="equal">
      <formula>-1</formula>
    </cfRule>
  </conditionalFormatting>
  <conditionalFormatting sqref="AN75">
    <cfRule type="cellIs" dxfId="21259" priority="161191" stopIfTrue="1" operator="lessThan">
      <formula>0.5</formula>
    </cfRule>
  </conditionalFormatting>
  <conditionalFormatting sqref="AN75">
    <cfRule type="cellIs" dxfId="21258" priority="161192" stopIfTrue="1" operator="greaterThanOrEqual">
      <formula>0.5</formula>
    </cfRule>
  </conditionalFormatting>
  <conditionalFormatting sqref="AN76">
    <cfRule type="cellIs" dxfId="21257" priority="161193" stopIfTrue="1" operator="equal">
      <formula>-1</formula>
    </cfRule>
  </conditionalFormatting>
  <conditionalFormatting sqref="AN76">
    <cfRule type="cellIs" dxfId="21256" priority="161194" stopIfTrue="1" operator="lessThan">
      <formula>0.5</formula>
    </cfRule>
  </conditionalFormatting>
  <conditionalFormatting sqref="AN76">
    <cfRule type="cellIs" dxfId="21255" priority="161195" stopIfTrue="1" operator="greaterThanOrEqual">
      <formula>0.5</formula>
    </cfRule>
  </conditionalFormatting>
  <conditionalFormatting sqref="AN77">
    <cfRule type="cellIs" dxfId="21254" priority="161196" stopIfTrue="1" operator="equal">
      <formula>-1</formula>
    </cfRule>
  </conditionalFormatting>
  <conditionalFormatting sqref="AN77">
    <cfRule type="cellIs" dxfId="21253" priority="161197" stopIfTrue="1" operator="lessThan">
      <formula>0.5</formula>
    </cfRule>
  </conditionalFormatting>
  <conditionalFormatting sqref="AN77">
    <cfRule type="cellIs" dxfId="21252" priority="161198" stopIfTrue="1" operator="greaterThanOrEqual">
      <formula>0.5</formula>
    </cfRule>
  </conditionalFormatting>
  <conditionalFormatting sqref="AN78">
    <cfRule type="cellIs" dxfId="21251" priority="161199" stopIfTrue="1" operator="equal">
      <formula>-1</formula>
    </cfRule>
  </conditionalFormatting>
  <conditionalFormatting sqref="AN78">
    <cfRule type="cellIs" dxfId="21250" priority="161200" stopIfTrue="1" operator="lessThan">
      <formula>0.5</formula>
    </cfRule>
  </conditionalFormatting>
  <conditionalFormatting sqref="AN78">
    <cfRule type="cellIs" dxfId="21249" priority="161201" stopIfTrue="1" operator="greaterThanOrEqual">
      <formula>0.5</formula>
    </cfRule>
  </conditionalFormatting>
  <conditionalFormatting sqref="AN79">
    <cfRule type="cellIs" dxfId="21248" priority="161202" stopIfTrue="1" operator="equal">
      <formula>-1</formula>
    </cfRule>
  </conditionalFormatting>
  <conditionalFormatting sqref="AN79">
    <cfRule type="cellIs" dxfId="21247" priority="161203" stopIfTrue="1" operator="lessThan">
      <formula>0.5</formula>
    </cfRule>
  </conditionalFormatting>
  <conditionalFormatting sqref="AN79">
    <cfRule type="cellIs" dxfId="21246" priority="161204" stopIfTrue="1" operator="greaterThanOrEqual">
      <formula>0.5</formula>
    </cfRule>
  </conditionalFormatting>
  <conditionalFormatting sqref="AN80">
    <cfRule type="cellIs" dxfId="21245" priority="161205" stopIfTrue="1" operator="equal">
      <formula>-1</formula>
    </cfRule>
  </conditionalFormatting>
  <conditionalFormatting sqref="AN80">
    <cfRule type="cellIs" dxfId="21244" priority="161206" stopIfTrue="1" operator="lessThan">
      <formula>0.5</formula>
    </cfRule>
  </conditionalFormatting>
  <conditionalFormatting sqref="AN80">
    <cfRule type="cellIs" dxfId="21243" priority="161207" stopIfTrue="1" operator="greaterThanOrEqual">
      <formula>0.5</formula>
    </cfRule>
  </conditionalFormatting>
  <conditionalFormatting sqref="AN81">
    <cfRule type="cellIs" dxfId="21242" priority="161208" stopIfTrue="1" operator="equal">
      <formula>-1</formula>
    </cfRule>
  </conditionalFormatting>
  <conditionalFormatting sqref="AN81">
    <cfRule type="cellIs" dxfId="21241" priority="161209" stopIfTrue="1" operator="lessThan">
      <formula>0.5</formula>
    </cfRule>
  </conditionalFormatting>
  <conditionalFormatting sqref="AN81">
    <cfRule type="cellIs" dxfId="21240" priority="161210" stopIfTrue="1" operator="greaterThanOrEqual">
      <formula>0.5</formula>
    </cfRule>
  </conditionalFormatting>
  <conditionalFormatting sqref="AN82">
    <cfRule type="cellIs" dxfId="21239" priority="161211" stopIfTrue="1" operator="equal">
      <formula>-1</formula>
    </cfRule>
  </conditionalFormatting>
  <conditionalFormatting sqref="AN82">
    <cfRule type="cellIs" dxfId="21238" priority="161212" stopIfTrue="1" operator="lessThan">
      <formula>0.5</formula>
    </cfRule>
  </conditionalFormatting>
  <conditionalFormatting sqref="AN82">
    <cfRule type="cellIs" dxfId="21237" priority="161213" stopIfTrue="1" operator="greaterThanOrEqual">
      <formula>0.5</formula>
    </cfRule>
  </conditionalFormatting>
  <conditionalFormatting sqref="AN83">
    <cfRule type="cellIs" dxfId="21236" priority="161214" stopIfTrue="1" operator="equal">
      <formula>-1</formula>
    </cfRule>
  </conditionalFormatting>
  <conditionalFormatting sqref="AN83">
    <cfRule type="cellIs" dxfId="21235" priority="161215" stopIfTrue="1" operator="lessThan">
      <formula>0.5</formula>
    </cfRule>
  </conditionalFormatting>
  <conditionalFormatting sqref="AN83">
    <cfRule type="cellIs" dxfId="21234" priority="161216" stopIfTrue="1" operator="greaterThanOrEqual">
      <formula>0.5</formula>
    </cfRule>
  </conditionalFormatting>
  <conditionalFormatting sqref="AN84">
    <cfRule type="cellIs" dxfId="21233" priority="161217" stopIfTrue="1" operator="equal">
      <formula>-1</formula>
    </cfRule>
  </conditionalFormatting>
  <conditionalFormatting sqref="AN84">
    <cfRule type="cellIs" dxfId="21232" priority="161218" stopIfTrue="1" operator="lessThan">
      <formula>0.5</formula>
    </cfRule>
  </conditionalFormatting>
  <conditionalFormatting sqref="AN84">
    <cfRule type="cellIs" dxfId="21231" priority="161219" stopIfTrue="1" operator="greaterThanOrEqual">
      <formula>0.5</formula>
    </cfRule>
  </conditionalFormatting>
  <conditionalFormatting sqref="AN85">
    <cfRule type="cellIs" dxfId="21230" priority="161220" stopIfTrue="1" operator="equal">
      <formula>-1</formula>
    </cfRule>
  </conditionalFormatting>
  <conditionalFormatting sqref="AN85">
    <cfRule type="cellIs" dxfId="21229" priority="161221" stopIfTrue="1" operator="lessThan">
      <formula>0.5</formula>
    </cfRule>
  </conditionalFormatting>
  <conditionalFormatting sqref="AN85">
    <cfRule type="cellIs" dxfId="21228" priority="161222" stopIfTrue="1" operator="greaterThanOrEqual">
      <formula>0.5</formula>
    </cfRule>
  </conditionalFormatting>
  <conditionalFormatting sqref="AP65">
    <cfRule type="cellIs" dxfId="21227" priority="161223" stopIfTrue="1" operator="equal">
      <formula>-1</formula>
    </cfRule>
  </conditionalFormatting>
  <conditionalFormatting sqref="AP65">
    <cfRule type="cellIs" dxfId="21226" priority="161224" stopIfTrue="1" operator="lessThan">
      <formula>0.5</formula>
    </cfRule>
  </conditionalFormatting>
  <conditionalFormatting sqref="AP65">
    <cfRule type="cellIs" dxfId="21225" priority="161225" stopIfTrue="1" operator="greaterThanOrEqual">
      <formula>0.5</formula>
    </cfRule>
  </conditionalFormatting>
  <conditionalFormatting sqref="AP66">
    <cfRule type="cellIs" dxfId="21224" priority="161226" stopIfTrue="1" operator="equal">
      <formula>-1</formula>
    </cfRule>
  </conditionalFormatting>
  <conditionalFormatting sqref="AP66">
    <cfRule type="cellIs" dxfId="21223" priority="161227" stopIfTrue="1" operator="lessThan">
      <formula>0.5</formula>
    </cfRule>
  </conditionalFormatting>
  <conditionalFormatting sqref="AP66">
    <cfRule type="cellIs" dxfId="21222" priority="161228" stopIfTrue="1" operator="greaterThanOrEqual">
      <formula>0.5</formula>
    </cfRule>
  </conditionalFormatting>
  <conditionalFormatting sqref="AP67">
    <cfRule type="cellIs" dxfId="21221" priority="161229" stopIfTrue="1" operator="equal">
      <formula>-1</formula>
    </cfRule>
  </conditionalFormatting>
  <conditionalFormatting sqref="AP67">
    <cfRule type="cellIs" dxfId="21220" priority="161230" stopIfTrue="1" operator="lessThan">
      <formula>0.5</formula>
    </cfRule>
  </conditionalFormatting>
  <conditionalFormatting sqref="AP67">
    <cfRule type="cellIs" dxfId="21219" priority="161231" stopIfTrue="1" operator="greaterThanOrEqual">
      <formula>0.5</formula>
    </cfRule>
  </conditionalFormatting>
  <conditionalFormatting sqref="AP68">
    <cfRule type="cellIs" dxfId="21218" priority="161232" stopIfTrue="1" operator="equal">
      <formula>-1</formula>
    </cfRule>
  </conditionalFormatting>
  <conditionalFormatting sqref="AP68">
    <cfRule type="cellIs" dxfId="21217" priority="161233" stopIfTrue="1" operator="lessThan">
      <formula>0.5</formula>
    </cfRule>
  </conditionalFormatting>
  <conditionalFormatting sqref="AP68">
    <cfRule type="cellIs" dxfId="21216" priority="161234" stopIfTrue="1" operator="greaterThanOrEqual">
      <formula>0.5</formula>
    </cfRule>
  </conditionalFormatting>
  <conditionalFormatting sqref="AP69">
    <cfRule type="cellIs" dxfId="21215" priority="161235" stopIfTrue="1" operator="equal">
      <formula>-1</formula>
    </cfRule>
  </conditionalFormatting>
  <conditionalFormatting sqref="AP69">
    <cfRule type="cellIs" dxfId="21214" priority="161236" stopIfTrue="1" operator="lessThan">
      <formula>0.5</formula>
    </cfRule>
  </conditionalFormatting>
  <conditionalFormatting sqref="AP69">
    <cfRule type="cellIs" dxfId="21213" priority="161237" stopIfTrue="1" operator="greaterThanOrEqual">
      <formula>0.5</formula>
    </cfRule>
  </conditionalFormatting>
  <conditionalFormatting sqref="AP70">
    <cfRule type="cellIs" dxfId="21212" priority="161238" stopIfTrue="1" operator="equal">
      <formula>-1</formula>
    </cfRule>
  </conditionalFormatting>
  <conditionalFormatting sqref="AP70">
    <cfRule type="cellIs" dxfId="21211" priority="161239" stopIfTrue="1" operator="lessThan">
      <formula>0.5</formula>
    </cfRule>
  </conditionalFormatting>
  <conditionalFormatting sqref="AP70">
    <cfRule type="cellIs" dxfId="21210" priority="161240" stopIfTrue="1" operator="greaterThanOrEqual">
      <formula>0.5</formula>
    </cfRule>
  </conditionalFormatting>
  <conditionalFormatting sqref="AP71">
    <cfRule type="cellIs" dxfId="21209" priority="161241" stopIfTrue="1" operator="equal">
      <formula>-1</formula>
    </cfRule>
  </conditionalFormatting>
  <conditionalFormatting sqref="AP71">
    <cfRule type="cellIs" dxfId="21208" priority="161242" stopIfTrue="1" operator="lessThan">
      <formula>0.5</formula>
    </cfRule>
  </conditionalFormatting>
  <conditionalFormatting sqref="AP71">
    <cfRule type="cellIs" dxfId="21207" priority="161243" stopIfTrue="1" operator="greaterThanOrEqual">
      <formula>0.5</formula>
    </cfRule>
  </conditionalFormatting>
  <conditionalFormatting sqref="AP72">
    <cfRule type="cellIs" dxfId="21206" priority="161244" stopIfTrue="1" operator="equal">
      <formula>-1</formula>
    </cfRule>
  </conditionalFormatting>
  <conditionalFormatting sqref="AP72">
    <cfRule type="cellIs" dxfId="21205" priority="161245" stopIfTrue="1" operator="lessThan">
      <formula>0.5</formula>
    </cfRule>
  </conditionalFormatting>
  <conditionalFormatting sqref="AP72">
    <cfRule type="cellIs" dxfId="21204" priority="161246" stopIfTrue="1" operator="greaterThanOrEqual">
      <formula>0.5</formula>
    </cfRule>
  </conditionalFormatting>
  <conditionalFormatting sqref="AP73">
    <cfRule type="cellIs" dxfId="21203" priority="161247" stopIfTrue="1" operator="equal">
      <formula>-1</formula>
    </cfRule>
  </conditionalFormatting>
  <conditionalFormatting sqref="AP73">
    <cfRule type="cellIs" dxfId="21202" priority="161248" stopIfTrue="1" operator="lessThan">
      <formula>0.5</formula>
    </cfRule>
  </conditionalFormatting>
  <conditionalFormatting sqref="AP73">
    <cfRule type="cellIs" dxfId="21201" priority="161249" stopIfTrue="1" operator="greaterThanOrEqual">
      <formula>0.5</formula>
    </cfRule>
  </conditionalFormatting>
  <conditionalFormatting sqref="AP74">
    <cfRule type="cellIs" dxfId="21200" priority="161250" stopIfTrue="1" operator="equal">
      <formula>-1</formula>
    </cfRule>
  </conditionalFormatting>
  <conditionalFormatting sqref="AP74">
    <cfRule type="cellIs" dxfId="21199" priority="161251" stopIfTrue="1" operator="lessThan">
      <formula>0.5</formula>
    </cfRule>
  </conditionalFormatting>
  <conditionalFormatting sqref="AP74">
    <cfRule type="cellIs" dxfId="21198" priority="161252" stopIfTrue="1" operator="greaterThanOrEqual">
      <formula>0.5</formula>
    </cfRule>
  </conditionalFormatting>
  <conditionalFormatting sqref="AP75">
    <cfRule type="cellIs" dxfId="21197" priority="161253" stopIfTrue="1" operator="equal">
      <formula>-1</formula>
    </cfRule>
  </conditionalFormatting>
  <conditionalFormatting sqref="AP75">
    <cfRule type="cellIs" dxfId="21196" priority="161254" stopIfTrue="1" operator="lessThan">
      <formula>0.5</formula>
    </cfRule>
  </conditionalFormatting>
  <conditionalFormatting sqref="AP75">
    <cfRule type="cellIs" dxfId="21195" priority="161255" stopIfTrue="1" operator="greaterThanOrEqual">
      <formula>0.5</formula>
    </cfRule>
  </conditionalFormatting>
  <conditionalFormatting sqref="AP76">
    <cfRule type="cellIs" dxfId="21194" priority="161256" stopIfTrue="1" operator="equal">
      <formula>-1</formula>
    </cfRule>
  </conditionalFormatting>
  <conditionalFormatting sqref="AP76">
    <cfRule type="cellIs" dxfId="21193" priority="161257" stopIfTrue="1" operator="lessThan">
      <formula>0.5</formula>
    </cfRule>
  </conditionalFormatting>
  <conditionalFormatting sqref="AP76">
    <cfRule type="cellIs" dxfId="21192" priority="161258" stopIfTrue="1" operator="greaterThanOrEqual">
      <formula>0.5</formula>
    </cfRule>
  </conditionalFormatting>
  <conditionalFormatting sqref="AP77">
    <cfRule type="cellIs" dxfId="21191" priority="161259" stopIfTrue="1" operator="equal">
      <formula>-1</formula>
    </cfRule>
  </conditionalFormatting>
  <conditionalFormatting sqref="AP77">
    <cfRule type="cellIs" dxfId="21190" priority="161260" stopIfTrue="1" operator="lessThan">
      <formula>0.5</formula>
    </cfRule>
  </conditionalFormatting>
  <conditionalFormatting sqref="AP77">
    <cfRule type="cellIs" dxfId="21189" priority="161261" stopIfTrue="1" operator="greaterThanOrEqual">
      <formula>0.5</formula>
    </cfRule>
  </conditionalFormatting>
  <conditionalFormatting sqref="AP78">
    <cfRule type="cellIs" dxfId="21188" priority="161262" stopIfTrue="1" operator="equal">
      <formula>-1</formula>
    </cfRule>
  </conditionalFormatting>
  <conditionalFormatting sqref="AP78">
    <cfRule type="cellIs" dxfId="21187" priority="161263" stopIfTrue="1" operator="lessThan">
      <formula>0.5</formula>
    </cfRule>
  </conditionalFormatting>
  <conditionalFormatting sqref="AP78">
    <cfRule type="cellIs" dxfId="21186" priority="161264" stopIfTrue="1" operator="greaterThanOrEqual">
      <formula>0.5</formula>
    </cfRule>
  </conditionalFormatting>
  <conditionalFormatting sqref="AP79">
    <cfRule type="cellIs" dxfId="21185" priority="161265" stopIfTrue="1" operator="equal">
      <formula>-1</formula>
    </cfRule>
  </conditionalFormatting>
  <conditionalFormatting sqref="AP79">
    <cfRule type="cellIs" dxfId="21184" priority="161266" stopIfTrue="1" operator="lessThan">
      <formula>0.5</formula>
    </cfRule>
  </conditionalFormatting>
  <conditionalFormatting sqref="AP79">
    <cfRule type="cellIs" dxfId="21183" priority="161267" stopIfTrue="1" operator="greaterThanOrEqual">
      <formula>0.5</formula>
    </cfRule>
  </conditionalFormatting>
  <conditionalFormatting sqref="AP80">
    <cfRule type="cellIs" dxfId="21182" priority="161268" stopIfTrue="1" operator="equal">
      <formula>-1</formula>
    </cfRule>
  </conditionalFormatting>
  <conditionalFormatting sqref="AP80">
    <cfRule type="cellIs" dxfId="21181" priority="161269" stopIfTrue="1" operator="lessThan">
      <formula>0.5</formula>
    </cfRule>
  </conditionalFormatting>
  <conditionalFormatting sqref="AP80">
    <cfRule type="cellIs" dxfId="21180" priority="161270" stopIfTrue="1" operator="greaterThanOrEqual">
      <formula>0.5</formula>
    </cfRule>
  </conditionalFormatting>
  <conditionalFormatting sqref="AP81">
    <cfRule type="cellIs" dxfId="21179" priority="161271" stopIfTrue="1" operator="equal">
      <formula>-1</formula>
    </cfRule>
  </conditionalFormatting>
  <conditionalFormatting sqref="AP81">
    <cfRule type="cellIs" dxfId="21178" priority="161272" stopIfTrue="1" operator="lessThan">
      <formula>0.5</formula>
    </cfRule>
  </conditionalFormatting>
  <conditionalFormatting sqref="AP81">
    <cfRule type="cellIs" dxfId="21177" priority="161273" stopIfTrue="1" operator="greaterThanOrEqual">
      <formula>0.5</formula>
    </cfRule>
  </conditionalFormatting>
  <conditionalFormatting sqref="AP82">
    <cfRule type="cellIs" dxfId="21176" priority="161274" stopIfTrue="1" operator="equal">
      <formula>-1</formula>
    </cfRule>
  </conditionalFormatting>
  <conditionalFormatting sqref="AP82">
    <cfRule type="cellIs" dxfId="21175" priority="161275" stopIfTrue="1" operator="lessThan">
      <formula>0.5</formula>
    </cfRule>
  </conditionalFormatting>
  <conditionalFormatting sqref="AP82">
    <cfRule type="cellIs" dxfId="21174" priority="161276" stopIfTrue="1" operator="greaterThanOrEqual">
      <formula>0.5</formula>
    </cfRule>
  </conditionalFormatting>
  <conditionalFormatting sqref="AP83">
    <cfRule type="cellIs" dxfId="21173" priority="161277" stopIfTrue="1" operator="equal">
      <formula>-1</formula>
    </cfRule>
  </conditionalFormatting>
  <conditionalFormatting sqref="AP83">
    <cfRule type="cellIs" dxfId="21172" priority="161278" stopIfTrue="1" operator="lessThan">
      <formula>0.5</formula>
    </cfRule>
  </conditionalFormatting>
  <conditionalFormatting sqref="AP83">
    <cfRule type="cellIs" dxfId="21171" priority="161279" stopIfTrue="1" operator="greaterThanOrEqual">
      <formula>0.5</formula>
    </cfRule>
  </conditionalFormatting>
  <conditionalFormatting sqref="AP84">
    <cfRule type="cellIs" dxfId="21170" priority="161280" stopIfTrue="1" operator="equal">
      <formula>-1</formula>
    </cfRule>
  </conditionalFormatting>
  <conditionalFormatting sqref="AP84">
    <cfRule type="cellIs" dxfId="21169" priority="161281" stopIfTrue="1" operator="lessThan">
      <formula>0.5</formula>
    </cfRule>
  </conditionalFormatting>
  <conditionalFormatting sqref="AP84">
    <cfRule type="cellIs" dxfId="21168" priority="161282" stopIfTrue="1" operator="greaterThanOrEqual">
      <formula>0.5</formula>
    </cfRule>
  </conditionalFormatting>
  <conditionalFormatting sqref="AP85">
    <cfRule type="cellIs" dxfId="21167" priority="161283" stopIfTrue="1" operator="equal">
      <formula>-1</formula>
    </cfRule>
  </conditionalFormatting>
  <conditionalFormatting sqref="AP85">
    <cfRule type="cellIs" dxfId="21166" priority="161284" stopIfTrue="1" operator="lessThan">
      <formula>0.5</formula>
    </cfRule>
  </conditionalFormatting>
  <conditionalFormatting sqref="AP85">
    <cfRule type="cellIs" dxfId="21165" priority="161285" stopIfTrue="1" operator="greaterThanOrEqual">
      <formula>0.5</formula>
    </cfRule>
  </conditionalFormatting>
  <conditionalFormatting sqref="AR65">
    <cfRule type="cellIs" dxfId="21164" priority="161286" stopIfTrue="1" operator="equal">
      <formula>-1</formula>
    </cfRule>
  </conditionalFormatting>
  <conditionalFormatting sqref="AR65">
    <cfRule type="cellIs" dxfId="21163" priority="161287" stopIfTrue="1" operator="lessThan">
      <formula>0.5</formula>
    </cfRule>
  </conditionalFormatting>
  <conditionalFormatting sqref="AR65">
    <cfRule type="cellIs" dxfId="21162" priority="161288" stopIfTrue="1" operator="greaterThanOrEqual">
      <formula>0.5</formula>
    </cfRule>
  </conditionalFormatting>
  <conditionalFormatting sqref="AR66">
    <cfRule type="cellIs" dxfId="21161" priority="161289" stopIfTrue="1" operator="equal">
      <formula>-1</formula>
    </cfRule>
  </conditionalFormatting>
  <conditionalFormatting sqref="AR66">
    <cfRule type="cellIs" dxfId="21160" priority="161290" stopIfTrue="1" operator="lessThan">
      <formula>0.5</formula>
    </cfRule>
  </conditionalFormatting>
  <conditionalFormatting sqref="AR66">
    <cfRule type="cellIs" dxfId="21159" priority="161291" stopIfTrue="1" operator="greaterThanOrEqual">
      <formula>0.5</formula>
    </cfRule>
  </conditionalFormatting>
  <conditionalFormatting sqref="AR67">
    <cfRule type="cellIs" dxfId="21158" priority="161292" stopIfTrue="1" operator="equal">
      <formula>-1</formula>
    </cfRule>
  </conditionalFormatting>
  <conditionalFormatting sqref="AR67">
    <cfRule type="cellIs" dxfId="21157" priority="161293" stopIfTrue="1" operator="lessThan">
      <formula>0.5</formula>
    </cfRule>
  </conditionalFormatting>
  <conditionalFormatting sqref="AR67">
    <cfRule type="cellIs" dxfId="21156" priority="161294" stopIfTrue="1" operator="greaterThanOrEqual">
      <formula>0.5</formula>
    </cfRule>
  </conditionalFormatting>
  <conditionalFormatting sqref="AR68">
    <cfRule type="cellIs" dxfId="21155" priority="161295" stopIfTrue="1" operator="equal">
      <formula>-1</formula>
    </cfRule>
  </conditionalFormatting>
  <conditionalFormatting sqref="AR68">
    <cfRule type="cellIs" dxfId="21154" priority="161296" stopIfTrue="1" operator="lessThan">
      <formula>0.5</formula>
    </cfRule>
  </conditionalFormatting>
  <conditionalFormatting sqref="AR68">
    <cfRule type="cellIs" dxfId="21153" priority="161297" stopIfTrue="1" operator="greaterThanOrEqual">
      <formula>0.5</formula>
    </cfRule>
  </conditionalFormatting>
  <conditionalFormatting sqref="AR69">
    <cfRule type="cellIs" dxfId="21152" priority="161298" stopIfTrue="1" operator="equal">
      <formula>-1</formula>
    </cfRule>
  </conditionalFormatting>
  <conditionalFormatting sqref="AR69">
    <cfRule type="cellIs" dxfId="21151" priority="161299" stopIfTrue="1" operator="lessThan">
      <formula>0.5</formula>
    </cfRule>
  </conditionalFormatting>
  <conditionalFormatting sqref="AR69">
    <cfRule type="cellIs" dxfId="21150" priority="161300" stopIfTrue="1" operator="greaterThanOrEqual">
      <formula>0.5</formula>
    </cfRule>
  </conditionalFormatting>
  <conditionalFormatting sqref="AR70">
    <cfRule type="cellIs" dxfId="21149" priority="161301" stopIfTrue="1" operator="equal">
      <formula>-1</formula>
    </cfRule>
  </conditionalFormatting>
  <conditionalFormatting sqref="AR70">
    <cfRule type="cellIs" dxfId="21148" priority="161302" stopIfTrue="1" operator="lessThan">
      <formula>0.5</formula>
    </cfRule>
  </conditionalFormatting>
  <conditionalFormatting sqref="AR70">
    <cfRule type="cellIs" dxfId="21147" priority="161303" stopIfTrue="1" operator="greaterThanOrEqual">
      <formula>0.5</formula>
    </cfRule>
  </conditionalFormatting>
  <conditionalFormatting sqref="AR71">
    <cfRule type="cellIs" dxfId="21146" priority="161304" stopIfTrue="1" operator="equal">
      <formula>-1</formula>
    </cfRule>
  </conditionalFormatting>
  <conditionalFormatting sqref="AR71">
    <cfRule type="cellIs" dxfId="21145" priority="161305" stopIfTrue="1" operator="lessThan">
      <formula>0.5</formula>
    </cfRule>
  </conditionalFormatting>
  <conditionalFormatting sqref="AR71">
    <cfRule type="cellIs" dxfId="21144" priority="161306" stopIfTrue="1" operator="greaterThanOrEqual">
      <formula>0.5</formula>
    </cfRule>
  </conditionalFormatting>
  <conditionalFormatting sqref="AR72">
    <cfRule type="cellIs" dxfId="21143" priority="161307" stopIfTrue="1" operator="equal">
      <formula>-1</formula>
    </cfRule>
  </conditionalFormatting>
  <conditionalFormatting sqref="AR72">
    <cfRule type="cellIs" dxfId="21142" priority="161308" stopIfTrue="1" operator="lessThan">
      <formula>0.5</formula>
    </cfRule>
  </conditionalFormatting>
  <conditionalFormatting sqref="AR72">
    <cfRule type="cellIs" dxfId="21141" priority="161309" stopIfTrue="1" operator="greaterThanOrEqual">
      <formula>0.5</formula>
    </cfRule>
  </conditionalFormatting>
  <conditionalFormatting sqref="AR73">
    <cfRule type="cellIs" dxfId="21140" priority="161310" stopIfTrue="1" operator="equal">
      <formula>-1</formula>
    </cfRule>
  </conditionalFormatting>
  <conditionalFormatting sqref="AR73">
    <cfRule type="cellIs" dxfId="21139" priority="161311" stopIfTrue="1" operator="lessThan">
      <formula>0.5</formula>
    </cfRule>
  </conditionalFormatting>
  <conditionalFormatting sqref="AR73">
    <cfRule type="cellIs" dxfId="21138" priority="161312" stopIfTrue="1" operator="greaterThanOrEqual">
      <formula>0.5</formula>
    </cfRule>
  </conditionalFormatting>
  <conditionalFormatting sqref="AR74">
    <cfRule type="cellIs" dxfId="21137" priority="161313" stopIfTrue="1" operator="equal">
      <formula>-1</formula>
    </cfRule>
  </conditionalFormatting>
  <conditionalFormatting sqref="AR74">
    <cfRule type="cellIs" dxfId="21136" priority="161314" stopIfTrue="1" operator="lessThan">
      <formula>0.5</formula>
    </cfRule>
  </conditionalFormatting>
  <conditionalFormatting sqref="AR74">
    <cfRule type="cellIs" dxfId="21135" priority="161315" stopIfTrue="1" operator="greaterThanOrEqual">
      <formula>0.5</formula>
    </cfRule>
  </conditionalFormatting>
  <conditionalFormatting sqref="AR75">
    <cfRule type="cellIs" dxfId="21134" priority="161316" stopIfTrue="1" operator="equal">
      <formula>-1</formula>
    </cfRule>
  </conditionalFormatting>
  <conditionalFormatting sqref="AR75">
    <cfRule type="cellIs" dxfId="21133" priority="161317" stopIfTrue="1" operator="lessThan">
      <formula>0.5</formula>
    </cfRule>
  </conditionalFormatting>
  <conditionalFormatting sqref="AR75">
    <cfRule type="cellIs" dxfId="21132" priority="161318" stopIfTrue="1" operator="greaterThanOrEqual">
      <formula>0.5</formula>
    </cfRule>
  </conditionalFormatting>
  <conditionalFormatting sqref="AR76">
    <cfRule type="cellIs" dxfId="21131" priority="161319" stopIfTrue="1" operator="equal">
      <formula>-1</formula>
    </cfRule>
  </conditionalFormatting>
  <conditionalFormatting sqref="AR76">
    <cfRule type="cellIs" dxfId="21130" priority="161320" stopIfTrue="1" operator="lessThan">
      <formula>0.5</formula>
    </cfRule>
  </conditionalFormatting>
  <conditionalFormatting sqref="AR76">
    <cfRule type="cellIs" dxfId="21129" priority="161321" stopIfTrue="1" operator="greaterThanOrEqual">
      <formula>0.5</formula>
    </cfRule>
  </conditionalFormatting>
  <conditionalFormatting sqref="AR77">
    <cfRule type="cellIs" dxfId="21128" priority="161322" stopIfTrue="1" operator="equal">
      <formula>-1</formula>
    </cfRule>
  </conditionalFormatting>
  <conditionalFormatting sqref="AR77">
    <cfRule type="cellIs" dxfId="21127" priority="161323" stopIfTrue="1" operator="lessThan">
      <formula>0.5</formula>
    </cfRule>
  </conditionalFormatting>
  <conditionalFormatting sqref="AR77">
    <cfRule type="cellIs" dxfId="21126" priority="161324" stopIfTrue="1" operator="greaterThanOrEqual">
      <formula>0.5</formula>
    </cfRule>
  </conditionalFormatting>
  <conditionalFormatting sqref="AR78">
    <cfRule type="cellIs" dxfId="21125" priority="161325" stopIfTrue="1" operator="equal">
      <formula>-1</formula>
    </cfRule>
  </conditionalFormatting>
  <conditionalFormatting sqref="AR78">
    <cfRule type="cellIs" dxfId="21124" priority="161326" stopIfTrue="1" operator="lessThan">
      <formula>0.5</formula>
    </cfRule>
  </conditionalFormatting>
  <conditionalFormatting sqref="AR78">
    <cfRule type="cellIs" dxfId="21123" priority="161327" stopIfTrue="1" operator="greaterThanOrEqual">
      <formula>0.5</formula>
    </cfRule>
  </conditionalFormatting>
  <conditionalFormatting sqref="AR79">
    <cfRule type="cellIs" dxfId="21122" priority="161328" stopIfTrue="1" operator="equal">
      <formula>-1</formula>
    </cfRule>
  </conditionalFormatting>
  <conditionalFormatting sqref="AR79">
    <cfRule type="cellIs" dxfId="21121" priority="161329" stopIfTrue="1" operator="lessThan">
      <formula>0.5</formula>
    </cfRule>
  </conditionalFormatting>
  <conditionalFormatting sqref="AR79">
    <cfRule type="cellIs" dxfId="21120" priority="161330" stopIfTrue="1" operator="greaterThanOrEqual">
      <formula>0.5</formula>
    </cfRule>
  </conditionalFormatting>
  <conditionalFormatting sqref="AR80">
    <cfRule type="cellIs" dxfId="21119" priority="161331" stopIfTrue="1" operator="equal">
      <formula>-1</formula>
    </cfRule>
  </conditionalFormatting>
  <conditionalFormatting sqref="AR80">
    <cfRule type="cellIs" dxfId="21118" priority="161332" stopIfTrue="1" operator="lessThan">
      <formula>0.5</formula>
    </cfRule>
  </conditionalFormatting>
  <conditionalFormatting sqref="AR80">
    <cfRule type="cellIs" dxfId="21117" priority="161333" stopIfTrue="1" operator="greaterThanOrEqual">
      <formula>0.5</formula>
    </cfRule>
  </conditionalFormatting>
  <conditionalFormatting sqref="AR81">
    <cfRule type="cellIs" dxfId="21116" priority="161334" stopIfTrue="1" operator="equal">
      <formula>-1</formula>
    </cfRule>
  </conditionalFormatting>
  <conditionalFormatting sqref="AR81">
    <cfRule type="cellIs" dxfId="21115" priority="161335" stopIfTrue="1" operator="lessThan">
      <formula>0.5</formula>
    </cfRule>
  </conditionalFormatting>
  <conditionalFormatting sqref="AR81">
    <cfRule type="cellIs" dxfId="21114" priority="161336" stopIfTrue="1" operator="greaterThanOrEqual">
      <formula>0.5</formula>
    </cfRule>
  </conditionalFormatting>
  <conditionalFormatting sqref="AR82">
    <cfRule type="cellIs" dxfId="21113" priority="161337" stopIfTrue="1" operator="equal">
      <formula>-1</formula>
    </cfRule>
  </conditionalFormatting>
  <conditionalFormatting sqref="AR82">
    <cfRule type="cellIs" dxfId="21112" priority="161338" stopIfTrue="1" operator="lessThan">
      <formula>0.5</formula>
    </cfRule>
  </conditionalFormatting>
  <conditionalFormatting sqref="AR82">
    <cfRule type="cellIs" dxfId="21111" priority="161339" stopIfTrue="1" operator="greaterThanOrEqual">
      <formula>0.5</formula>
    </cfRule>
  </conditionalFormatting>
  <conditionalFormatting sqref="AR83">
    <cfRule type="cellIs" dxfId="21110" priority="161340" stopIfTrue="1" operator="equal">
      <formula>-1</formula>
    </cfRule>
  </conditionalFormatting>
  <conditionalFormatting sqref="AR83">
    <cfRule type="cellIs" dxfId="21109" priority="161341" stopIfTrue="1" operator="lessThan">
      <formula>0.5</formula>
    </cfRule>
  </conditionalFormatting>
  <conditionalFormatting sqref="AR83">
    <cfRule type="cellIs" dxfId="21108" priority="161342" stopIfTrue="1" operator="greaterThanOrEqual">
      <formula>0.5</formula>
    </cfRule>
  </conditionalFormatting>
  <conditionalFormatting sqref="AR84">
    <cfRule type="cellIs" dxfId="21107" priority="161343" stopIfTrue="1" operator="equal">
      <formula>-1</formula>
    </cfRule>
  </conditionalFormatting>
  <conditionalFormatting sqref="AR84">
    <cfRule type="cellIs" dxfId="21106" priority="161344" stopIfTrue="1" operator="lessThan">
      <formula>0.5</formula>
    </cfRule>
  </conditionalFormatting>
  <conditionalFormatting sqref="AR84">
    <cfRule type="cellIs" dxfId="21105" priority="161345" stopIfTrue="1" operator="greaterThanOrEqual">
      <formula>0.5</formula>
    </cfRule>
  </conditionalFormatting>
  <conditionalFormatting sqref="AR85">
    <cfRule type="cellIs" dxfId="21104" priority="161346" stopIfTrue="1" operator="equal">
      <formula>-1</formula>
    </cfRule>
  </conditionalFormatting>
  <conditionalFormatting sqref="AR85">
    <cfRule type="cellIs" dxfId="21103" priority="161347" stopIfTrue="1" operator="lessThan">
      <formula>0.5</formula>
    </cfRule>
  </conditionalFormatting>
  <conditionalFormatting sqref="AR85">
    <cfRule type="cellIs" dxfId="21102" priority="161348" stopIfTrue="1" operator="greaterThanOrEqual">
      <formula>0.5</formula>
    </cfRule>
  </conditionalFormatting>
  <conditionalFormatting sqref="AT65">
    <cfRule type="cellIs" dxfId="21101" priority="161349" stopIfTrue="1" operator="equal">
      <formula>-1</formula>
    </cfRule>
  </conditionalFormatting>
  <conditionalFormatting sqref="AT65">
    <cfRule type="cellIs" dxfId="21100" priority="161350" stopIfTrue="1" operator="lessThan">
      <formula>0.5</formula>
    </cfRule>
  </conditionalFormatting>
  <conditionalFormatting sqref="AT65">
    <cfRule type="cellIs" dxfId="21099" priority="161351" stopIfTrue="1" operator="greaterThanOrEqual">
      <formula>0.5</formula>
    </cfRule>
  </conditionalFormatting>
  <conditionalFormatting sqref="AT66">
    <cfRule type="cellIs" dxfId="21098" priority="161352" stopIfTrue="1" operator="equal">
      <formula>-1</formula>
    </cfRule>
  </conditionalFormatting>
  <conditionalFormatting sqref="AT66">
    <cfRule type="cellIs" dxfId="21097" priority="161353" stopIfTrue="1" operator="lessThan">
      <formula>0.5</formula>
    </cfRule>
  </conditionalFormatting>
  <conditionalFormatting sqref="AT66">
    <cfRule type="cellIs" dxfId="21096" priority="161354" stopIfTrue="1" operator="greaterThanOrEqual">
      <formula>0.5</formula>
    </cfRule>
  </conditionalFormatting>
  <conditionalFormatting sqref="AT67">
    <cfRule type="cellIs" dxfId="21095" priority="161355" stopIfTrue="1" operator="equal">
      <formula>-1</formula>
    </cfRule>
  </conditionalFormatting>
  <conditionalFormatting sqref="AT67">
    <cfRule type="cellIs" dxfId="21094" priority="161356" stopIfTrue="1" operator="lessThan">
      <formula>0.5</formula>
    </cfRule>
  </conditionalFormatting>
  <conditionalFormatting sqref="AT67">
    <cfRule type="cellIs" dxfId="21093" priority="161357" stopIfTrue="1" operator="greaterThanOrEqual">
      <formula>0.5</formula>
    </cfRule>
  </conditionalFormatting>
  <conditionalFormatting sqref="AT68">
    <cfRule type="cellIs" dxfId="21092" priority="161358" stopIfTrue="1" operator="equal">
      <formula>-1</formula>
    </cfRule>
  </conditionalFormatting>
  <conditionalFormatting sqref="AT68">
    <cfRule type="cellIs" dxfId="21091" priority="161359" stopIfTrue="1" operator="lessThan">
      <formula>0.5</formula>
    </cfRule>
  </conditionalFormatting>
  <conditionalFormatting sqref="AT68">
    <cfRule type="cellIs" dxfId="21090" priority="161360" stopIfTrue="1" operator="greaterThanOrEqual">
      <formula>0.5</formula>
    </cfRule>
  </conditionalFormatting>
  <conditionalFormatting sqref="AT69">
    <cfRule type="cellIs" dxfId="21089" priority="161361" stopIfTrue="1" operator="equal">
      <formula>-1</formula>
    </cfRule>
  </conditionalFormatting>
  <conditionalFormatting sqref="AT69">
    <cfRule type="cellIs" dxfId="21088" priority="161362" stopIfTrue="1" operator="lessThan">
      <formula>0.5</formula>
    </cfRule>
  </conditionalFormatting>
  <conditionalFormatting sqref="AT69">
    <cfRule type="cellIs" dxfId="21087" priority="161363" stopIfTrue="1" operator="greaterThanOrEqual">
      <formula>0.5</formula>
    </cfRule>
  </conditionalFormatting>
  <conditionalFormatting sqref="AT70">
    <cfRule type="cellIs" dxfId="21086" priority="161364" stopIfTrue="1" operator="equal">
      <formula>-1</formula>
    </cfRule>
  </conditionalFormatting>
  <conditionalFormatting sqref="AT70">
    <cfRule type="cellIs" dxfId="21085" priority="161365" stopIfTrue="1" operator="lessThan">
      <formula>0.5</formula>
    </cfRule>
  </conditionalFormatting>
  <conditionalFormatting sqref="AT70">
    <cfRule type="cellIs" dxfId="21084" priority="161366" stopIfTrue="1" operator="greaterThanOrEqual">
      <formula>0.5</formula>
    </cfRule>
  </conditionalFormatting>
  <conditionalFormatting sqref="AT71">
    <cfRule type="cellIs" dxfId="21083" priority="161367" stopIfTrue="1" operator="equal">
      <formula>-1</formula>
    </cfRule>
  </conditionalFormatting>
  <conditionalFormatting sqref="AT71">
    <cfRule type="cellIs" dxfId="21082" priority="161368" stopIfTrue="1" operator="lessThan">
      <formula>0.5</formula>
    </cfRule>
  </conditionalFormatting>
  <conditionalFormatting sqref="AT71">
    <cfRule type="cellIs" dxfId="21081" priority="161369" stopIfTrue="1" operator="greaterThanOrEqual">
      <formula>0.5</formula>
    </cfRule>
  </conditionalFormatting>
  <conditionalFormatting sqref="AT72">
    <cfRule type="cellIs" dxfId="21080" priority="161370" stopIfTrue="1" operator="equal">
      <formula>-1</formula>
    </cfRule>
  </conditionalFormatting>
  <conditionalFormatting sqref="AT72">
    <cfRule type="cellIs" dxfId="21079" priority="161371" stopIfTrue="1" operator="lessThan">
      <formula>0.5</formula>
    </cfRule>
  </conditionalFormatting>
  <conditionalFormatting sqref="AT72">
    <cfRule type="cellIs" dxfId="21078" priority="161372" stopIfTrue="1" operator="greaterThanOrEqual">
      <formula>0.5</formula>
    </cfRule>
  </conditionalFormatting>
  <conditionalFormatting sqref="AT73">
    <cfRule type="cellIs" dxfId="21077" priority="161373" stopIfTrue="1" operator="equal">
      <formula>-1</formula>
    </cfRule>
  </conditionalFormatting>
  <conditionalFormatting sqref="AT73">
    <cfRule type="cellIs" dxfId="21076" priority="161374" stopIfTrue="1" operator="lessThan">
      <formula>0.5</formula>
    </cfRule>
  </conditionalFormatting>
  <conditionalFormatting sqref="AT73">
    <cfRule type="cellIs" dxfId="21075" priority="161375" stopIfTrue="1" operator="greaterThanOrEqual">
      <formula>0.5</formula>
    </cfRule>
  </conditionalFormatting>
  <conditionalFormatting sqref="AT74">
    <cfRule type="cellIs" dxfId="21074" priority="161376" stopIfTrue="1" operator="equal">
      <formula>-1</formula>
    </cfRule>
  </conditionalFormatting>
  <conditionalFormatting sqref="AT74">
    <cfRule type="cellIs" dxfId="21073" priority="161377" stopIfTrue="1" operator="lessThan">
      <formula>0.5</formula>
    </cfRule>
  </conditionalFormatting>
  <conditionalFormatting sqref="AT74">
    <cfRule type="cellIs" dxfId="21072" priority="161378" stopIfTrue="1" operator="greaterThanOrEqual">
      <formula>0.5</formula>
    </cfRule>
  </conditionalFormatting>
  <conditionalFormatting sqref="AT75">
    <cfRule type="cellIs" dxfId="21071" priority="161379" stopIfTrue="1" operator="equal">
      <formula>-1</formula>
    </cfRule>
  </conditionalFormatting>
  <conditionalFormatting sqref="AT75">
    <cfRule type="cellIs" dxfId="21070" priority="161380" stopIfTrue="1" operator="lessThan">
      <formula>0.5</formula>
    </cfRule>
  </conditionalFormatting>
  <conditionalFormatting sqref="AT75">
    <cfRule type="cellIs" dxfId="21069" priority="161381" stopIfTrue="1" operator="greaterThanOrEqual">
      <formula>0.5</formula>
    </cfRule>
  </conditionalFormatting>
  <conditionalFormatting sqref="AT76">
    <cfRule type="cellIs" dxfId="21068" priority="161382" stopIfTrue="1" operator="equal">
      <formula>-1</formula>
    </cfRule>
  </conditionalFormatting>
  <conditionalFormatting sqref="AT76">
    <cfRule type="cellIs" dxfId="21067" priority="161383" stopIfTrue="1" operator="lessThan">
      <formula>0.5</formula>
    </cfRule>
  </conditionalFormatting>
  <conditionalFormatting sqref="AT76">
    <cfRule type="cellIs" dxfId="21066" priority="161384" stopIfTrue="1" operator="greaterThanOrEqual">
      <formula>0.5</formula>
    </cfRule>
  </conditionalFormatting>
  <conditionalFormatting sqref="AT77">
    <cfRule type="cellIs" dxfId="21065" priority="161385" stopIfTrue="1" operator="equal">
      <formula>-1</formula>
    </cfRule>
  </conditionalFormatting>
  <conditionalFormatting sqref="AT77">
    <cfRule type="cellIs" dxfId="21064" priority="161386" stopIfTrue="1" operator="lessThan">
      <formula>0.5</formula>
    </cfRule>
  </conditionalFormatting>
  <conditionalFormatting sqref="AT77">
    <cfRule type="cellIs" dxfId="21063" priority="161387" stopIfTrue="1" operator="greaterThanOrEqual">
      <formula>0.5</formula>
    </cfRule>
  </conditionalFormatting>
  <conditionalFormatting sqref="AT78">
    <cfRule type="cellIs" dxfId="21062" priority="161388" stopIfTrue="1" operator="equal">
      <formula>-1</formula>
    </cfRule>
  </conditionalFormatting>
  <conditionalFormatting sqref="AT78">
    <cfRule type="cellIs" dxfId="21061" priority="161389" stopIfTrue="1" operator="lessThan">
      <formula>0.5</formula>
    </cfRule>
  </conditionalFormatting>
  <conditionalFormatting sqref="AT78">
    <cfRule type="cellIs" dxfId="21060" priority="161390" stopIfTrue="1" operator="greaterThanOrEqual">
      <formula>0.5</formula>
    </cfRule>
  </conditionalFormatting>
  <conditionalFormatting sqref="AT79">
    <cfRule type="cellIs" dxfId="21059" priority="161391" stopIfTrue="1" operator="equal">
      <formula>-1</formula>
    </cfRule>
  </conditionalFormatting>
  <conditionalFormatting sqref="AT79">
    <cfRule type="cellIs" dxfId="21058" priority="161392" stopIfTrue="1" operator="lessThan">
      <formula>0.5</formula>
    </cfRule>
  </conditionalFormatting>
  <conditionalFormatting sqref="AT79">
    <cfRule type="cellIs" dxfId="21057" priority="161393" stopIfTrue="1" operator="greaterThanOrEqual">
      <formula>0.5</formula>
    </cfRule>
  </conditionalFormatting>
  <conditionalFormatting sqref="AT80">
    <cfRule type="cellIs" dxfId="21056" priority="161394" stopIfTrue="1" operator="equal">
      <formula>-1</formula>
    </cfRule>
  </conditionalFormatting>
  <conditionalFormatting sqref="AT80">
    <cfRule type="cellIs" dxfId="21055" priority="161395" stopIfTrue="1" operator="lessThan">
      <formula>0.5</formula>
    </cfRule>
  </conditionalFormatting>
  <conditionalFormatting sqref="AT80">
    <cfRule type="cellIs" dxfId="21054" priority="161396" stopIfTrue="1" operator="greaterThanOrEqual">
      <formula>0.5</formula>
    </cfRule>
  </conditionalFormatting>
  <conditionalFormatting sqref="AT81">
    <cfRule type="cellIs" dxfId="21053" priority="161397" stopIfTrue="1" operator="equal">
      <formula>-1</formula>
    </cfRule>
  </conditionalFormatting>
  <conditionalFormatting sqref="AT81">
    <cfRule type="cellIs" dxfId="21052" priority="161398" stopIfTrue="1" operator="lessThan">
      <formula>0.5</formula>
    </cfRule>
  </conditionalFormatting>
  <conditionalFormatting sqref="AT81">
    <cfRule type="cellIs" dxfId="21051" priority="161399" stopIfTrue="1" operator="greaterThanOrEqual">
      <formula>0.5</formula>
    </cfRule>
  </conditionalFormatting>
  <conditionalFormatting sqref="AT82">
    <cfRule type="cellIs" dxfId="21050" priority="161400" stopIfTrue="1" operator="equal">
      <formula>-1</formula>
    </cfRule>
  </conditionalFormatting>
  <conditionalFormatting sqref="AT82">
    <cfRule type="cellIs" dxfId="21049" priority="161401" stopIfTrue="1" operator="lessThan">
      <formula>0.5</formula>
    </cfRule>
  </conditionalFormatting>
  <conditionalFormatting sqref="AT82">
    <cfRule type="cellIs" dxfId="21048" priority="161402" stopIfTrue="1" operator="greaterThanOrEqual">
      <formula>0.5</formula>
    </cfRule>
  </conditionalFormatting>
  <conditionalFormatting sqref="AT83">
    <cfRule type="cellIs" dxfId="21047" priority="161403" stopIfTrue="1" operator="equal">
      <formula>-1</formula>
    </cfRule>
  </conditionalFormatting>
  <conditionalFormatting sqref="AT83">
    <cfRule type="cellIs" dxfId="21046" priority="161404" stopIfTrue="1" operator="lessThan">
      <formula>0.5</formula>
    </cfRule>
  </conditionalFormatting>
  <conditionalFormatting sqref="AT83">
    <cfRule type="cellIs" dxfId="21045" priority="161405" stopIfTrue="1" operator="greaterThanOrEqual">
      <formula>0.5</formula>
    </cfRule>
  </conditionalFormatting>
  <conditionalFormatting sqref="AT84">
    <cfRule type="cellIs" dxfId="21044" priority="161406" stopIfTrue="1" operator="equal">
      <formula>-1</formula>
    </cfRule>
  </conditionalFormatting>
  <conditionalFormatting sqref="AT84">
    <cfRule type="cellIs" dxfId="21043" priority="161407" stopIfTrue="1" operator="lessThan">
      <formula>0.5</formula>
    </cfRule>
  </conditionalFormatting>
  <conditionalFormatting sqref="AT84">
    <cfRule type="cellIs" dxfId="21042" priority="161408" stopIfTrue="1" operator="greaterThanOrEqual">
      <formula>0.5</formula>
    </cfRule>
  </conditionalFormatting>
  <conditionalFormatting sqref="AT85">
    <cfRule type="cellIs" dxfId="21041" priority="161409" stopIfTrue="1" operator="equal">
      <formula>-1</formula>
    </cfRule>
  </conditionalFormatting>
  <conditionalFormatting sqref="AT85">
    <cfRule type="cellIs" dxfId="21040" priority="161410" stopIfTrue="1" operator="lessThan">
      <formula>0.5</formula>
    </cfRule>
  </conditionalFormatting>
  <conditionalFormatting sqref="AT85">
    <cfRule type="cellIs" dxfId="21039" priority="161411" stopIfTrue="1" operator="greaterThanOrEqual">
      <formula>0.5</formula>
    </cfRule>
  </conditionalFormatting>
  <conditionalFormatting sqref="AV65">
    <cfRule type="cellIs" dxfId="21038" priority="161412" stopIfTrue="1" operator="equal">
      <formula>-1</formula>
    </cfRule>
  </conditionalFormatting>
  <conditionalFormatting sqref="AV65">
    <cfRule type="cellIs" dxfId="21037" priority="161413" stopIfTrue="1" operator="lessThan">
      <formula>0.5</formula>
    </cfRule>
  </conditionalFormatting>
  <conditionalFormatting sqref="AV65">
    <cfRule type="cellIs" dxfId="21036" priority="161414" stopIfTrue="1" operator="greaterThanOrEqual">
      <formula>0.5</formula>
    </cfRule>
  </conditionalFormatting>
  <conditionalFormatting sqref="AV66">
    <cfRule type="cellIs" dxfId="21035" priority="161415" stopIfTrue="1" operator="equal">
      <formula>-1</formula>
    </cfRule>
  </conditionalFormatting>
  <conditionalFormatting sqref="AV66">
    <cfRule type="cellIs" dxfId="21034" priority="161416" stopIfTrue="1" operator="lessThan">
      <formula>0.5</formula>
    </cfRule>
  </conditionalFormatting>
  <conditionalFormatting sqref="AV66">
    <cfRule type="cellIs" dxfId="21033" priority="161417" stopIfTrue="1" operator="greaterThanOrEqual">
      <formula>0.5</formula>
    </cfRule>
  </conditionalFormatting>
  <conditionalFormatting sqref="AV67">
    <cfRule type="cellIs" dxfId="21032" priority="161418" stopIfTrue="1" operator="equal">
      <formula>-1</formula>
    </cfRule>
  </conditionalFormatting>
  <conditionalFormatting sqref="AV67">
    <cfRule type="cellIs" dxfId="21031" priority="161419" stopIfTrue="1" operator="lessThan">
      <formula>0.5</formula>
    </cfRule>
  </conditionalFormatting>
  <conditionalFormatting sqref="AV67">
    <cfRule type="cellIs" dxfId="21030" priority="161420" stopIfTrue="1" operator="greaterThanOrEqual">
      <formula>0.5</formula>
    </cfRule>
  </conditionalFormatting>
  <conditionalFormatting sqref="AV68">
    <cfRule type="cellIs" dxfId="21029" priority="161421" stopIfTrue="1" operator="equal">
      <formula>-1</formula>
    </cfRule>
  </conditionalFormatting>
  <conditionalFormatting sqref="AV68">
    <cfRule type="cellIs" dxfId="21028" priority="161422" stopIfTrue="1" operator="lessThan">
      <formula>0.5</formula>
    </cfRule>
  </conditionalFormatting>
  <conditionalFormatting sqref="AV68">
    <cfRule type="cellIs" dxfId="21027" priority="161423" stopIfTrue="1" operator="greaterThanOrEqual">
      <formula>0.5</formula>
    </cfRule>
  </conditionalFormatting>
  <conditionalFormatting sqref="AV69">
    <cfRule type="cellIs" dxfId="21026" priority="161424" stopIfTrue="1" operator="equal">
      <formula>-1</formula>
    </cfRule>
  </conditionalFormatting>
  <conditionalFormatting sqref="AV69">
    <cfRule type="cellIs" dxfId="21025" priority="161425" stopIfTrue="1" operator="lessThan">
      <formula>0.5</formula>
    </cfRule>
  </conditionalFormatting>
  <conditionalFormatting sqref="AV69">
    <cfRule type="cellIs" dxfId="21024" priority="161426" stopIfTrue="1" operator="greaterThanOrEqual">
      <formula>0.5</formula>
    </cfRule>
  </conditionalFormatting>
  <conditionalFormatting sqref="AV70">
    <cfRule type="cellIs" dxfId="21023" priority="161427" stopIfTrue="1" operator="equal">
      <formula>-1</formula>
    </cfRule>
  </conditionalFormatting>
  <conditionalFormatting sqref="AV70">
    <cfRule type="cellIs" dxfId="21022" priority="161428" stopIfTrue="1" operator="lessThan">
      <formula>0.5</formula>
    </cfRule>
  </conditionalFormatting>
  <conditionalFormatting sqref="AV70">
    <cfRule type="cellIs" dxfId="21021" priority="161429" stopIfTrue="1" operator="greaterThanOrEqual">
      <formula>0.5</formula>
    </cfRule>
  </conditionalFormatting>
  <conditionalFormatting sqref="AV71">
    <cfRule type="cellIs" dxfId="21020" priority="161430" stopIfTrue="1" operator="equal">
      <formula>-1</formula>
    </cfRule>
  </conditionalFormatting>
  <conditionalFormatting sqref="AV71">
    <cfRule type="cellIs" dxfId="21019" priority="161431" stopIfTrue="1" operator="lessThan">
      <formula>0.5</formula>
    </cfRule>
  </conditionalFormatting>
  <conditionalFormatting sqref="AV71">
    <cfRule type="cellIs" dxfId="21018" priority="161432" stopIfTrue="1" operator="greaterThanOrEqual">
      <formula>0.5</formula>
    </cfRule>
  </conditionalFormatting>
  <conditionalFormatting sqref="AV72">
    <cfRule type="cellIs" dxfId="21017" priority="161433" stopIfTrue="1" operator="equal">
      <formula>-1</formula>
    </cfRule>
  </conditionalFormatting>
  <conditionalFormatting sqref="AV72">
    <cfRule type="cellIs" dxfId="21016" priority="161434" stopIfTrue="1" operator="lessThan">
      <formula>0.5</formula>
    </cfRule>
  </conditionalFormatting>
  <conditionalFormatting sqref="AV72">
    <cfRule type="cellIs" dxfId="21015" priority="161435" stopIfTrue="1" operator="greaterThanOrEqual">
      <formula>0.5</formula>
    </cfRule>
  </conditionalFormatting>
  <conditionalFormatting sqref="AV73">
    <cfRule type="cellIs" dxfId="21014" priority="161436" stopIfTrue="1" operator="equal">
      <formula>-1</formula>
    </cfRule>
  </conditionalFormatting>
  <conditionalFormatting sqref="AV73">
    <cfRule type="cellIs" dxfId="21013" priority="161437" stopIfTrue="1" operator="lessThan">
      <formula>0.5</formula>
    </cfRule>
  </conditionalFormatting>
  <conditionalFormatting sqref="AV73">
    <cfRule type="cellIs" dxfId="21012" priority="161438" stopIfTrue="1" operator="greaterThanOrEqual">
      <formula>0.5</formula>
    </cfRule>
  </conditionalFormatting>
  <conditionalFormatting sqref="AV74">
    <cfRule type="cellIs" dxfId="21011" priority="161439" stopIfTrue="1" operator="equal">
      <formula>-1</formula>
    </cfRule>
  </conditionalFormatting>
  <conditionalFormatting sqref="AV74">
    <cfRule type="cellIs" dxfId="21010" priority="161440" stopIfTrue="1" operator="lessThan">
      <formula>0.5</formula>
    </cfRule>
  </conditionalFormatting>
  <conditionalFormatting sqref="AV74">
    <cfRule type="cellIs" dxfId="21009" priority="161441" stopIfTrue="1" operator="greaterThanOrEqual">
      <formula>0.5</formula>
    </cfRule>
  </conditionalFormatting>
  <conditionalFormatting sqref="AV75">
    <cfRule type="cellIs" dxfId="21008" priority="161442" stopIfTrue="1" operator="equal">
      <formula>-1</formula>
    </cfRule>
  </conditionalFormatting>
  <conditionalFormatting sqref="AV75">
    <cfRule type="cellIs" dxfId="21007" priority="161443" stopIfTrue="1" operator="lessThan">
      <formula>0.5</formula>
    </cfRule>
  </conditionalFormatting>
  <conditionalFormatting sqref="AV75">
    <cfRule type="cellIs" dxfId="21006" priority="161444" stopIfTrue="1" operator="greaterThanOrEqual">
      <formula>0.5</formula>
    </cfRule>
  </conditionalFormatting>
  <conditionalFormatting sqref="AV76">
    <cfRule type="cellIs" dxfId="21005" priority="161445" stopIfTrue="1" operator="equal">
      <formula>-1</formula>
    </cfRule>
  </conditionalFormatting>
  <conditionalFormatting sqref="AV76">
    <cfRule type="cellIs" dxfId="21004" priority="161446" stopIfTrue="1" operator="lessThan">
      <formula>0.5</formula>
    </cfRule>
  </conditionalFormatting>
  <conditionalFormatting sqref="AV76">
    <cfRule type="cellIs" dxfId="21003" priority="161447" stopIfTrue="1" operator="greaterThanOrEqual">
      <formula>0.5</formula>
    </cfRule>
  </conditionalFormatting>
  <conditionalFormatting sqref="AV77">
    <cfRule type="cellIs" dxfId="21002" priority="161448" stopIfTrue="1" operator="equal">
      <formula>-1</formula>
    </cfRule>
  </conditionalFormatting>
  <conditionalFormatting sqref="AV77">
    <cfRule type="cellIs" dxfId="21001" priority="161449" stopIfTrue="1" operator="lessThan">
      <formula>0.5</formula>
    </cfRule>
  </conditionalFormatting>
  <conditionalFormatting sqref="AV77">
    <cfRule type="cellIs" dxfId="21000" priority="161450" stopIfTrue="1" operator="greaterThanOrEqual">
      <formula>0.5</formula>
    </cfRule>
  </conditionalFormatting>
  <conditionalFormatting sqref="AV78">
    <cfRule type="cellIs" dxfId="20999" priority="161451" stopIfTrue="1" operator="equal">
      <formula>-1</formula>
    </cfRule>
  </conditionalFormatting>
  <conditionalFormatting sqref="AV78">
    <cfRule type="cellIs" dxfId="20998" priority="161452" stopIfTrue="1" operator="lessThan">
      <formula>0.5</formula>
    </cfRule>
  </conditionalFormatting>
  <conditionalFormatting sqref="AV78">
    <cfRule type="cellIs" dxfId="20997" priority="161453" stopIfTrue="1" operator="greaterThanOrEqual">
      <formula>0.5</formula>
    </cfRule>
  </conditionalFormatting>
  <conditionalFormatting sqref="AV79">
    <cfRule type="cellIs" dxfId="20996" priority="161454" stopIfTrue="1" operator="equal">
      <formula>-1</formula>
    </cfRule>
  </conditionalFormatting>
  <conditionalFormatting sqref="AV79">
    <cfRule type="cellIs" dxfId="20995" priority="161455" stopIfTrue="1" operator="lessThan">
      <formula>0.5</formula>
    </cfRule>
  </conditionalFormatting>
  <conditionalFormatting sqref="AV79">
    <cfRule type="cellIs" dxfId="20994" priority="161456" stopIfTrue="1" operator="greaterThanOrEqual">
      <formula>0.5</formula>
    </cfRule>
  </conditionalFormatting>
  <conditionalFormatting sqref="AV80">
    <cfRule type="cellIs" dxfId="20993" priority="161457" stopIfTrue="1" operator="equal">
      <formula>-1</formula>
    </cfRule>
  </conditionalFormatting>
  <conditionalFormatting sqref="AV80">
    <cfRule type="cellIs" dxfId="20992" priority="161458" stopIfTrue="1" operator="lessThan">
      <formula>0.5</formula>
    </cfRule>
  </conditionalFormatting>
  <conditionalFormatting sqref="AV80">
    <cfRule type="cellIs" dxfId="20991" priority="161459" stopIfTrue="1" operator="greaterThanOrEqual">
      <formula>0.5</formula>
    </cfRule>
  </conditionalFormatting>
  <conditionalFormatting sqref="AV81">
    <cfRule type="cellIs" dxfId="20990" priority="161460" stopIfTrue="1" operator="equal">
      <formula>-1</formula>
    </cfRule>
  </conditionalFormatting>
  <conditionalFormatting sqref="AV81">
    <cfRule type="cellIs" dxfId="20989" priority="161461" stopIfTrue="1" operator="lessThan">
      <formula>0.5</formula>
    </cfRule>
  </conditionalFormatting>
  <conditionalFormatting sqref="AV81">
    <cfRule type="cellIs" dxfId="20988" priority="161462" stopIfTrue="1" operator="greaterThanOrEqual">
      <formula>0.5</formula>
    </cfRule>
  </conditionalFormatting>
  <conditionalFormatting sqref="AV82">
    <cfRule type="cellIs" dxfId="20987" priority="161463" stopIfTrue="1" operator="equal">
      <formula>-1</formula>
    </cfRule>
  </conditionalFormatting>
  <conditionalFormatting sqref="AV82">
    <cfRule type="cellIs" dxfId="20986" priority="161464" stopIfTrue="1" operator="lessThan">
      <formula>0.5</formula>
    </cfRule>
  </conditionalFormatting>
  <conditionalFormatting sqref="AV82">
    <cfRule type="cellIs" dxfId="20985" priority="161465" stopIfTrue="1" operator="greaterThanOrEqual">
      <formula>0.5</formula>
    </cfRule>
  </conditionalFormatting>
  <conditionalFormatting sqref="AV83">
    <cfRule type="cellIs" dxfId="20984" priority="161466" stopIfTrue="1" operator="equal">
      <formula>-1</formula>
    </cfRule>
  </conditionalFormatting>
  <conditionalFormatting sqref="AV83">
    <cfRule type="cellIs" dxfId="20983" priority="161467" stopIfTrue="1" operator="lessThan">
      <formula>0.5</formula>
    </cfRule>
  </conditionalFormatting>
  <conditionalFormatting sqref="AV83">
    <cfRule type="cellIs" dxfId="20982" priority="161468" stopIfTrue="1" operator="greaterThanOrEqual">
      <formula>0.5</formula>
    </cfRule>
  </conditionalFormatting>
  <conditionalFormatting sqref="AV84">
    <cfRule type="cellIs" dxfId="20981" priority="161469" stopIfTrue="1" operator="equal">
      <formula>-1</formula>
    </cfRule>
  </conditionalFormatting>
  <conditionalFormatting sqref="AV84">
    <cfRule type="cellIs" dxfId="20980" priority="161470" stopIfTrue="1" operator="lessThan">
      <formula>0.5</formula>
    </cfRule>
  </conditionalFormatting>
  <conditionalFormatting sqref="AV84">
    <cfRule type="cellIs" dxfId="20979" priority="161471" stopIfTrue="1" operator="greaterThanOrEqual">
      <formula>0.5</formula>
    </cfRule>
  </conditionalFormatting>
  <conditionalFormatting sqref="AV85">
    <cfRule type="cellIs" dxfId="20978" priority="161472" stopIfTrue="1" operator="equal">
      <formula>-1</formula>
    </cfRule>
  </conditionalFormatting>
  <conditionalFormatting sqref="AV85">
    <cfRule type="cellIs" dxfId="20977" priority="161473" stopIfTrue="1" operator="lessThan">
      <formula>0.5</formula>
    </cfRule>
  </conditionalFormatting>
  <conditionalFormatting sqref="AV85">
    <cfRule type="cellIs" dxfId="20976" priority="161474" stopIfTrue="1" operator="greaterThanOrEqual">
      <formula>0.5</formula>
    </cfRule>
  </conditionalFormatting>
  <conditionalFormatting sqref="AX65">
    <cfRule type="cellIs" dxfId="20975" priority="161475" stopIfTrue="1" operator="equal">
      <formula>-1</formula>
    </cfRule>
  </conditionalFormatting>
  <conditionalFormatting sqref="AX65">
    <cfRule type="cellIs" dxfId="20974" priority="161476" stopIfTrue="1" operator="lessThan">
      <formula>0.5</formula>
    </cfRule>
  </conditionalFormatting>
  <conditionalFormatting sqref="AX65">
    <cfRule type="cellIs" dxfId="20973" priority="161477" stopIfTrue="1" operator="greaterThanOrEqual">
      <formula>0.5</formula>
    </cfRule>
  </conditionalFormatting>
  <conditionalFormatting sqref="AX66">
    <cfRule type="cellIs" dxfId="20972" priority="161478" stopIfTrue="1" operator="equal">
      <formula>-1</formula>
    </cfRule>
  </conditionalFormatting>
  <conditionalFormatting sqref="AX66">
    <cfRule type="cellIs" dxfId="20971" priority="161479" stopIfTrue="1" operator="lessThan">
      <formula>0.5</formula>
    </cfRule>
  </conditionalFormatting>
  <conditionalFormatting sqref="AX66">
    <cfRule type="cellIs" dxfId="20970" priority="161480" stopIfTrue="1" operator="greaterThanOrEqual">
      <formula>0.5</formula>
    </cfRule>
  </conditionalFormatting>
  <conditionalFormatting sqref="AX67">
    <cfRule type="cellIs" dxfId="20969" priority="161481" stopIfTrue="1" operator="equal">
      <formula>-1</formula>
    </cfRule>
  </conditionalFormatting>
  <conditionalFormatting sqref="AX67">
    <cfRule type="cellIs" dxfId="20968" priority="161482" stopIfTrue="1" operator="lessThan">
      <formula>0.5</formula>
    </cfRule>
  </conditionalFormatting>
  <conditionalFormatting sqref="AX67">
    <cfRule type="cellIs" dxfId="20967" priority="161483" stopIfTrue="1" operator="greaterThanOrEqual">
      <formula>0.5</formula>
    </cfRule>
  </conditionalFormatting>
  <conditionalFormatting sqref="AX68">
    <cfRule type="cellIs" dxfId="20966" priority="161484" stopIfTrue="1" operator="equal">
      <formula>-1</formula>
    </cfRule>
  </conditionalFormatting>
  <conditionalFormatting sqref="AX68">
    <cfRule type="cellIs" dxfId="20965" priority="161485" stopIfTrue="1" operator="lessThan">
      <formula>0.5</formula>
    </cfRule>
  </conditionalFormatting>
  <conditionalFormatting sqref="AX68">
    <cfRule type="cellIs" dxfId="20964" priority="161486" stopIfTrue="1" operator="greaterThanOrEqual">
      <formula>0.5</formula>
    </cfRule>
  </conditionalFormatting>
  <conditionalFormatting sqref="AX69">
    <cfRule type="cellIs" dxfId="20963" priority="161487" stopIfTrue="1" operator="equal">
      <formula>-1</formula>
    </cfRule>
  </conditionalFormatting>
  <conditionalFormatting sqref="AX69">
    <cfRule type="cellIs" dxfId="20962" priority="161488" stopIfTrue="1" operator="lessThan">
      <formula>0.5</formula>
    </cfRule>
  </conditionalFormatting>
  <conditionalFormatting sqref="AX69">
    <cfRule type="cellIs" dxfId="20961" priority="161489" stopIfTrue="1" operator="greaterThanOrEqual">
      <formula>0.5</formula>
    </cfRule>
  </conditionalFormatting>
  <conditionalFormatting sqref="AX70">
    <cfRule type="cellIs" dxfId="20960" priority="161490" stopIfTrue="1" operator="equal">
      <formula>-1</formula>
    </cfRule>
  </conditionalFormatting>
  <conditionalFormatting sqref="AX70">
    <cfRule type="cellIs" dxfId="20959" priority="161491" stopIfTrue="1" operator="lessThan">
      <formula>0.5</formula>
    </cfRule>
  </conditionalFormatting>
  <conditionalFormatting sqref="AX70">
    <cfRule type="cellIs" dxfId="20958" priority="161492" stopIfTrue="1" operator="greaterThanOrEqual">
      <formula>0.5</formula>
    </cfRule>
  </conditionalFormatting>
  <conditionalFormatting sqref="AX71">
    <cfRule type="cellIs" dxfId="20957" priority="161493" stopIfTrue="1" operator="equal">
      <formula>-1</formula>
    </cfRule>
  </conditionalFormatting>
  <conditionalFormatting sqref="AX71">
    <cfRule type="cellIs" dxfId="20956" priority="161494" stopIfTrue="1" operator="lessThan">
      <formula>0.5</formula>
    </cfRule>
  </conditionalFormatting>
  <conditionalFormatting sqref="AX71">
    <cfRule type="cellIs" dxfId="20955" priority="161495" stopIfTrue="1" operator="greaterThanOrEqual">
      <formula>0.5</formula>
    </cfRule>
  </conditionalFormatting>
  <conditionalFormatting sqref="AX72">
    <cfRule type="cellIs" dxfId="20954" priority="161496" stopIfTrue="1" operator="equal">
      <formula>-1</formula>
    </cfRule>
  </conditionalFormatting>
  <conditionalFormatting sqref="AX72">
    <cfRule type="cellIs" dxfId="20953" priority="161497" stopIfTrue="1" operator="lessThan">
      <formula>0.5</formula>
    </cfRule>
  </conditionalFormatting>
  <conditionalFormatting sqref="AX72">
    <cfRule type="cellIs" dxfId="20952" priority="161498" stopIfTrue="1" operator="greaterThanOrEqual">
      <formula>0.5</formula>
    </cfRule>
  </conditionalFormatting>
  <conditionalFormatting sqref="AX73">
    <cfRule type="cellIs" dxfId="20951" priority="161499" stopIfTrue="1" operator="equal">
      <formula>-1</formula>
    </cfRule>
  </conditionalFormatting>
  <conditionalFormatting sqref="AX73">
    <cfRule type="cellIs" dxfId="20950" priority="161500" stopIfTrue="1" operator="lessThan">
      <formula>0.5</formula>
    </cfRule>
  </conditionalFormatting>
  <conditionalFormatting sqref="AX73">
    <cfRule type="cellIs" dxfId="20949" priority="161501" stopIfTrue="1" operator="greaterThanOrEqual">
      <formula>0.5</formula>
    </cfRule>
  </conditionalFormatting>
  <conditionalFormatting sqref="AX74">
    <cfRule type="cellIs" dxfId="20948" priority="161502" stopIfTrue="1" operator="equal">
      <formula>-1</formula>
    </cfRule>
  </conditionalFormatting>
  <conditionalFormatting sqref="AX74">
    <cfRule type="cellIs" dxfId="20947" priority="161503" stopIfTrue="1" operator="lessThan">
      <formula>0.5</formula>
    </cfRule>
  </conditionalFormatting>
  <conditionalFormatting sqref="AX74">
    <cfRule type="cellIs" dxfId="20946" priority="161504" stopIfTrue="1" operator="greaterThanOrEqual">
      <formula>0.5</formula>
    </cfRule>
  </conditionalFormatting>
  <conditionalFormatting sqref="AX75">
    <cfRule type="cellIs" dxfId="20945" priority="161505" stopIfTrue="1" operator="equal">
      <formula>-1</formula>
    </cfRule>
  </conditionalFormatting>
  <conditionalFormatting sqref="AX75">
    <cfRule type="cellIs" dxfId="20944" priority="161506" stopIfTrue="1" operator="lessThan">
      <formula>0.5</formula>
    </cfRule>
  </conditionalFormatting>
  <conditionalFormatting sqref="AX75">
    <cfRule type="cellIs" dxfId="20943" priority="161507" stopIfTrue="1" operator="greaterThanOrEqual">
      <formula>0.5</formula>
    </cfRule>
  </conditionalFormatting>
  <conditionalFormatting sqref="AX76">
    <cfRule type="cellIs" dxfId="20942" priority="161508" stopIfTrue="1" operator="equal">
      <formula>-1</formula>
    </cfRule>
  </conditionalFormatting>
  <conditionalFormatting sqref="AX76">
    <cfRule type="cellIs" dxfId="20941" priority="161509" stopIfTrue="1" operator="lessThan">
      <formula>0.5</formula>
    </cfRule>
  </conditionalFormatting>
  <conditionalFormatting sqref="AX76">
    <cfRule type="cellIs" dxfId="20940" priority="161510" stopIfTrue="1" operator="greaterThanOrEqual">
      <formula>0.5</formula>
    </cfRule>
  </conditionalFormatting>
  <conditionalFormatting sqref="AX77">
    <cfRule type="cellIs" dxfId="20939" priority="161511" stopIfTrue="1" operator="equal">
      <formula>-1</formula>
    </cfRule>
  </conditionalFormatting>
  <conditionalFormatting sqref="AX77">
    <cfRule type="cellIs" dxfId="20938" priority="161512" stopIfTrue="1" operator="lessThan">
      <formula>0.5</formula>
    </cfRule>
  </conditionalFormatting>
  <conditionalFormatting sqref="AX77">
    <cfRule type="cellIs" dxfId="20937" priority="161513" stopIfTrue="1" operator="greaterThanOrEqual">
      <formula>0.5</formula>
    </cfRule>
  </conditionalFormatting>
  <conditionalFormatting sqref="AX78">
    <cfRule type="cellIs" dxfId="20936" priority="161514" stopIfTrue="1" operator="equal">
      <formula>-1</formula>
    </cfRule>
  </conditionalFormatting>
  <conditionalFormatting sqref="AX78">
    <cfRule type="cellIs" dxfId="20935" priority="161515" stopIfTrue="1" operator="lessThan">
      <formula>0.5</formula>
    </cfRule>
  </conditionalFormatting>
  <conditionalFormatting sqref="AX78">
    <cfRule type="cellIs" dxfId="20934" priority="161516" stopIfTrue="1" operator="greaterThanOrEqual">
      <formula>0.5</formula>
    </cfRule>
  </conditionalFormatting>
  <conditionalFormatting sqref="AX79">
    <cfRule type="cellIs" dxfId="20933" priority="161517" stopIfTrue="1" operator="equal">
      <formula>-1</formula>
    </cfRule>
  </conditionalFormatting>
  <conditionalFormatting sqref="AX79">
    <cfRule type="cellIs" dxfId="20932" priority="161518" stopIfTrue="1" operator="lessThan">
      <formula>0.5</formula>
    </cfRule>
  </conditionalFormatting>
  <conditionalFormatting sqref="AX79">
    <cfRule type="cellIs" dxfId="20931" priority="161519" stopIfTrue="1" operator="greaterThanOrEqual">
      <formula>0.5</formula>
    </cfRule>
  </conditionalFormatting>
  <conditionalFormatting sqref="AX80">
    <cfRule type="cellIs" dxfId="20930" priority="161520" stopIfTrue="1" operator="equal">
      <formula>-1</formula>
    </cfRule>
  </conditionalFormatting>
  <conditionalFormatting sqref="AX80">
    <cfRule type="cellIs" dxfId="20929" priority="161521" stopIfTrue="1" operator="lessThan">
      <formula>0.5</formula>
    </cfRule>
  </conditionalFormatting>
  <conditionalFormatting sqref="AX80">
    <cfRule type="cellIs" dxfId="20928" priority="161522" stopIfTrue="1" operator="greaterThanOrEqual">
      <formula>0.5</formula>
    </cfRule>
  </conditionalFormatting>
  <conditionalFormatting sqref="AX81">
    <cfRule type="cellIs" dxfId="20927" priority="161523" stopIfTrue="1" operator="equal">
      <formula>-1</formula>
    </cfRule>
  </conditionalFormatting>
  <conditionalFormatting sqref="AX81">
    <cfRule type="cellIs" dxfId="20926" priority="161524" stopIfTrue="1" operator="lessThan">
      <formula>0.5</formula>
    </cfRule>
  </conditionalFormatting>
  <conditionalFormatting sqref="AX81">
    <cfRule type="cellIs" dxfId="20925" priority="161525" stopIfTrue="1" operator="greaterThanOrEqual">
      <formula>0.5</formula>
    </cfRule>
  </conditionalFormatting>
  <conditionalFormatting sqref="AX82">
    <cfRule type="cellIs" dxfId="20924" priority="161526" stopIfTrue="1" operator="equal">
      <formula>-1</formula>
    </cfRule>
  </conditionalFormatting>
  <conditionalFormatting sqref="AX82">
    <cfRule type="cellIs" dxfId="20923" priority="161527" stopIfTrue="1" operator="lessThan">
      <formula>0.5</formula>
    </cfRule>
  </conditionalFormatting>
  <conditionalFormatting sqref="AX82">
    <cfRule type="cellIs" dxfId="20922" priority="161528" stopIfTrue="1" operator="greaterThanOrEqual">
      <formula>0.5</formula>
    </cfRule>
  </conditionalFormatting>
  <conditionalFormatting sqref="AX83">
    <cfRule type="cellIs" dxfId="20921" priority="161529" stopIfTrue="1" operator="equal">
      <formula>-1</formula>
    </cfRule>
  </conditionalFormatting>
  <conditionalFormatting sqref="AX83">
    <cfRule type="cellIs" dxfId="20920" priority="161530" stopIfTrue="1" operator="lessThan">
      <formula>0.5</formula>
    </cfRule>
  </conditionalFormatting>
  <conditionalFormatting sqref="AX83">
    <cfRule type="cellIs" dxfId="20919" priority="161531" stopIfTrue="1" operator="greaterThanOrEqual">
      <formula>0.5</formula>
    </cfRule>
  </conditionalFormatting>
  <conditionalFormatting sqref="AX84">
    <cfRule type="cellIs" dxfId="20918" priority="161532" stopIfTrue="1" operator="equal">
      <formula>-1</formula>
    </cfRule>
  </conditionalFormatting>
  <conditionalFormatting sqref="AX84">
    <cfRule type="cellIs" dxfId="20917" priority="161533" stopIfTrue="1" operator="lessThan">
      <formula>0.5</formula>
    </cfRule>
  </conditionalFormatting>
  <conditionalFormatting sqref="AX84">
    <cfRule type="cellIs" dxfId="20916" priority="161534" stopIfTrue="1" operator="greaterThanOrEqual">
      <formula>0.5</formula>
    </cfRule>
  </conditionalFormatting>
  <conditionalFormatting sqref="AX85">
    <cfRule type="cellIs" dxfId="20915" priority="161535" stopIfTrue="1" operator="equal">
      <formula>-1</formula>
    </cfRule>
  </conditionalFormatting>
  <conditionalFormatting sqref="AX85">
    <cfRule type="cellIs" dxfId="20914" priority="161536" stopIfTrue="1" operator="lessThan">
      <formula>0.5</formula>
    </cfRule>
  </conditionalFormatting>
  <conditionalFormatting sqref="AX85">
    <cfRule type="cellIs" dxfId="20913" priority="161537" stopIfTrue="1" operator="greaterThanOrEqual">
      <formula>0.5</formula>
    </cfRule>
  </conditionalFormatting>
  <conditionalFormatting sqref="AZ65">
    <cfRule type="cellIs" dxfId="20912" priority="161538" stopIfTrue="1" operator="equal">
      <formula>-1</formula>
    </cfRule>
  </conditionalFormatting>
  <conditionalFormatting sqref="AZ65">
    <cfRule type="cellIs" dxfId="20911" priority="161539" stopIfTrue="1" operator="lessThan">
      <formula>0.5</formula>
    </cfRule>
  </conditionalFormatting>
  <conditionalFormatting sqref="AZ65">
    <cfRule type="cellIs" dxfId="20910" priority="161540" stopIfTrue="1" operator="greaterThanOrEqual">
      <formula>0.5</formula>
    </cfRule>
  </conditionalFormatting>
  <conditionalFormatting sqref="AZ66">
    <cfRule type="cellIs" dxfId="20909" priority="161541" stopIfTrue="1" operator="equal">
      <formula>-1</formula>
    </cfRule>
  </conditionalFormatting>
  <conditionalFormatting sqref="AZ66">
    <cfRule type="cellIs" dxfId="20908" priority="161542" stopIfTrue="1" operator="lessThan">
      <formula>0.5</formula>
    </cfRule>
  </conditionalFormatting>
  <conditionalFormatting sqref="AZ66">
    <cfRule type="cellIs" dxfId="20907" priority="161543" stopIfTrue="1" operator="greaterThanOrEqual">
      <formula>0.5</formula>
    </cfRule>
  </conditionalFormatting>
  <conditionalFormatting sqref="AZ67">
    <cfRule type="cellIs" dxfId="20906" priority="161544" stopIfTrue="1" operator="equal">
      <formula>-1</formula>
    </cfRule>
  </conditionalFormatting>
  <conditionalFormatting sqref="AZ67">
    <cfRule type="cellIs" dxfId="20905" priority="161545" stopIfTrue="1" operator="lessThan">
      <formula>0.5</formula>
    </cfRule>
  </conditionalFormatting>
  <conditionalFormatting sqref="AZ67">
    <cfRule type="cellIs" dxfId="20904" priority="161546" stopIfTrue="1" operator="greaterThanOrEqual">
      <formula>0.5</formula>
    </cfRule>
  </conditionalFormatting>
  <conditionalFormatting sqref="AZ68">
    <cfRule type="cellIs" dxfId="20903" priority="161547" stopIfTrue="1" operator="equal">
      <formula>-1</formula>
    </cfRule>
  </conditionalFormatting>
  <conditionalFormatting sqref="AZ68">
    <cfRule type="cellIs" dxfId="20902" priority="161548" stopIfTrue="1" operator="lessThan">
      <formula>0.5</formula>
    </cfRule>
  </conditionalFormatting>
  <conditionalFormatting sqref="AZ68">
    <cfRule type="cellIs" dxfId="20901" priority="161549" stopIfTrue="1" operator="greaterThanOrEqual">
      <formula>0.5</formula>
    </cfRule>
  </conditionalFormatting>
  <conditionalFormatting sqref="AZ69">
    <cfRule type="cellIs" dxfId="20900" priority="161550" stopIfTrue="1" operator="equal">
      <formula>-1</formula>
    </cfRule>
  </conditionalFormatting>
  <conditionalFormatting sqref="AZ69">
    <cfRule type="cellIs" dxfId="20899" priority="161551" stopIfTrue="1" operator="lessThan">
      <formula>0.5</formula>
    </cfRule>
  </conditionalFormatting>
  <conditionalFormatting sqref="AZ69">
    <cfRule type="cellIs" dxfId="20898" priority="161552" stopIfTrue="1" operator="greaterThanOrEqual">
      <formula>0.5</formula>
    </cfRule>
  </conditionalFormatting>
  <conditionalFormatting sqref="AZ70">
    <cfRule type="cellIs" dxfId="20897" priority="161553" stopIfTrue="1" operator="equal">
      <formula>-1</formula>
    </cfRule>
  </conditionalFormatting>
  <conditionalFormatting sqref="AZ70">
    <cfRule type="cellIs" dxfId="20896" priority="161554" stopIfTrue="1" operator="lessThan">
      <formula>0.5</formula>
    </cfRule>
  </conditionalFormatting>
  <conditionalFormatting sqref="AZ70">
    <cfRule type="cellIs" dxfId="20895" priority="161555" stopIfTrue="1" operator="greaterThanOrEqual">
      <formula>0.5</formula>
    </cfRule>
  </conditionalFormatting>
  <conditionalFormatting sqref="AZ71">
    <cfRule type="cellIs" dxfId="20894" priority="161556" stopIfTrue="1" operator="equal">
      <formula>-1</formula>
    </cfRule>
  </conditionalFormatting>
  <conditionalFormatting sqref="AZ71">
    <cfRule type="cellIs" dxfId="20893" priority="161557" stopIfTrue="1" operator="lessThan">
      <formula>0.5</formula>
    </cfRule>
  </conditionalFormatting>
  <conditionalFormatting sqref="AZ71">
    <cfRule type="cellIs" dxfId="20892" priority="161558" stopIfTrue="1" operator="greaterThanOrEqual">
      <formula>0.5</formula>
    </cfRule>
  </conditionalFormatting>
  <conditionalFormatting sqref="AZ72">
    <cfRule type="cellIs" dxfId="20891" priority="161559" stopIfTrue="1" operator="equal">
      <formula>-1</formula>
    </cfRule>
  </conditionalFormatting>
  <conditionalFormatting sqref="AZ72">
    <cfRule type="cellIs" dxfId="20890" priority="161560" stopIfTrue="1" operator="lessThan">
      <formula>0.5</formula>
    </cfRule>
  </conditionalFormatting>
  <conditionalFormatting sqref="AZ72">
    <cfRule type="cellIs" dxfId="20889" priority="161561" stopIfTrue="1" operator="greaterThanOrEqual">
      <formula>0.5</formula>
    </cfRule>
  </conditionalFormatting>
  <conditionalFormatting sqref="AZ73">
    <cfRule type="cellIs" dxfId="20888" priority="161562" stopIfTrue="1" operator="equal">
      <formula>-1</formula>
    </cfRule>
  </conditionalFormatting>
  <conditionalFormatting sqref="AZ73">
    <cfRule type="cellIs" dxfId="20887" priority="161563" stopIfTrue="1" operator="lessThan">
      <formula>0.5</formula>
    </cfRule>
  </conditionalFormatting>
  <conditionalFormatting sqref="AZ73">
    <cfRule type="cellIs" dxfId="20886" priority="161564" stopIfTrue="1" operator="greaterThanOrEqual">
      <formula>0.5</formula>
    </cfRule>
  </conditionalFormatting>
  <conditionalFormatting sqref="AZ74">
    <cfRule type="cellIs" dxfId="20885" priority="161565" stopIfTrue="1" operator="equal">
      <formula>-1</formula>
    </cfRule>
  </conditionalFormatting>
  <conditionalFormatting sqref="AZ74">
    <cfRule type="cellIs" dxfId="20884" priority="161566" stopIfTrue="1" operator="lessThan">
      <formula>0.5</formula>
    </cfRule>
  </conditionalFormatting>
  <conditionalFormatting sqref="AZ74">
    <cfRule type="cellIs" dxfId="20883" priority="161567" stopIfTrue="1" operator="greaterThanOrEqual">
      <formula>0.5</formula>
    </cfRule>
  </conditionalFormatting>
  <conditionalFormatting sqref="AZ75">
    <cfRule type="cellIs" dxfId="20882" priority="161568" stopIfTrue="1" operator="equal">
      <formula>-1</formula>
    </cfRule>
  </conditionalFormatting>
  <conditionalFormatting sqref="AZ75">
    <cfRule type="cellIs" dxfId="20881" priority="161569" stopIfTrue="1" operator="lessThan">
      <formula>0.5</formula>
    </cfRule>
  </conditionalFormatting>
  <conditionalFormatting sqref="AZ75">
    <cfRule type="cellIs" dxfId="20880" priority="161570" stopIfTrue="1" operator="greaterThanOrEqual">
      <formula>0.5</formula>
    </cfRule>
  </conditionalFormatting>
  <conditionalFormatting sqref="AZ76">
    <cfRule type="cellIs" dxfId="20879" priority="161571" stopIfTrue="1" operator="equal">
      <formula>-1</formula>
    </cfRule>
  </conditionalFormatting>
  <conditionalFormatting sqref="AZ76">
    <cfRule type="cellIs" dxfId="20878" priority="161572" stopIfTrue="1" operator="lessThan">
      <formula>0.5</formula>
    </cfRule>
  </conditionalFormatting>
  <conditionalFormatting sqref="AZ76">
    <cfRule type="cellIs" dxfId="20877" priority="161573" stopIfTrue="1" operator="greaterThanOrEqual">
      <formula>0.5</formula>
    </cfRule>
  </conditionalFormatting>
  <conditionalFormatting sqref="AZ77">
    <cfRule type="cellIs" dxfId="20876" priority="161574" stopIfTrue="1" operator="equal">
      <formula>-1</formula>
    </cfRule>
  </conditionalFormatting>
  <conditionalFormatting sqref="AZ77">
    <cfRule type="cellIs" dxfId="20875" priority="161575" stopIfTrue="1" operator="lessThan">
      <formula>0.5</formula>
    </cfRule>
  </conditionalFormatting>
  <conditionalFormatting sqref="AZ77">
    <cfRule type="cellIs" dxfId="20874" priority="161576" stopIfTrue="1" operator="greaterThanOrEqual">
      <formula>0.5</formula>
    </cfRule>
  </conditionalFormatting>
  <conditionalFormatting sqref="AZ78">
    <cfRule type="cellIs" dxfId="20873" priority="161577" stopIfTrue="1" operator="equal">
      <formula>-1</formula>
    </cfRule>
  </conditionalFormatting>
  <conditionalFormatting sqref="AZ78">
    <cfRule type="cellIs" dxfId="20872" priority="161578" stopIfTrue="1" operator="lessThan">
      <formula>0.5</formula>
    </cfRule>
  </conditionalFormatting>
  <conditionalFormatting sqref="AZ78">
    <cfRule type="cellIs" dxfId="20871" priority="161579" stopIfTrue="1" operator="greaterThanOrEqual">
      <formula>0.5</formula>
    </cfRule>
  </conditionalFormatting>
  <conditionalFormatting sqref="AZ79">
    <cfRule type="cellIs" dxfId="20870" priority="161580" stopIfTrue="1" operator="equal">
      <formula>-1</formula>
    </cfRule>
  </conditionalFormatting>
  <conditionalFormatting sqref="AZ79">
    <cfRule type="cellIs" dxfId="20869" priority="161581" stopIfTrue="1" operator="lessThan">
      <formula>0.5</formula>
    </cfRule>
  </conditionalFormatting>
  <conditionalFormatting sqref="AZ79">
    <cfRule type="cellIs" dxfId="20868" priority="161582" stopIfTrue="1" operator="greaterThanOrEqual">
      <formula>0.5</formula>
    </cfRule>
  </conditionalFormatting>
  <conditionalFormatting sqref="AZ80">
    <cfRule type="cellIs" dxfId="20867" priority="161583" stopIfTrue="1" operator="equal">
      <formula>-1</formula>
    </cfRule>
  </conditionalFormatting>
  <conditionalFormatting sqref="AZ80">
    <cfRule type="cellIs" dxfId="20866" priority="161584" stopIfTrue="1" operator="lessThan">
      <formula>0.5</formula>
    </cfRule>
  </conditionalFormatting>
  <conditionalFormatting sqref="AZ80">
    <cfRule type="cellIs" dxfId="20865" priority="161585" stopIfTrue="1" operator="greaterThanOrEqual">
      <formula>0.5</formula>
    </cfRule>
  </conditionalFormatting>
  <conditionalFormatting sqref="AZ81">
    <cfRule type="cellIs" dxfId="20864" priority="161586" stopIfTrue="1" operator="equal">
      <formula>-1</formula>
    </cfRule>
  </conditionalFormatting>
  <conditionalFormatting sqref="AZ81">
    <cfRule type="cellIs" dxfId="20863" priority="161587" stopIfTrue="1" operator="lessThan">
      <formula>0.5</formula>
    </cfRule>
  </conditionalFormatting>
  <conditionalFormatting sqref="AZ81">
    <cfRule type="cellIs" dxfId="20862" priority="161588" stopIfTrue="1" operator="greaterThanOrEqual">
      <formula>0.5</formula>
    </cfRule>
  </conditionalFormatting>
  <conditionalFormatting sqref="AZ82">
    <cfRule type="cellIs" dxfId="20861" priority="161589" stopIfTrue="1" operator="equal">
      <formula>-1</formula>
    </cfRule>
  </conditionalFormatting>
  <conditionalFormatting sqref="AZ82">
    <cfRule type="cellIs" dxfId="20860" priority="161590" stopIfTrue="1" operator="lessThan">
      <formula>0.5</formula>
    </cfRule>
  </conditionalFormatting>
  <conditionalFormatting sqref="AZ82">
    <cfRule type="cellIs" dxfId="20859" priority="161591" stopIfTrue="1" operator="greaterThanOrEqual">
      <formula>0.5</formula>
    </cfRule>
  </conditionalFormatting>
  <conditionalFormatting sqref="AZ83">
    <cfRule type="cellIs" dxfId="20858" priority="161592" stopIfTrue="1" operator="equal">
      <formula>-1</formula>
    </cfRule>
  </conditionalFormatting>
  <conditionalFormatting sqref="AZ83">
    <cfRule type="cellIs" dxfId="20857" priority="161593" stopIfTrue="1" operator="lessThan">
      <formula>0.5</formula>
    </cfRule>
  </conditionalFormatting>
  <conditionalFormatting sqref="AZ83">
    <cfRule type="cellIs" dxfId="20856" priority="161594" stopIfTrue="1" operator="greaterThanOrEqual">
      <formula>0.5</formula>
    </cfRule>
  </conditionalFormatting>
  <conditionalFormatting sqref="AZ84">
    <cfRule type="cellIs" dxfId="20855" priority="161595" stopIfTrue="1" operator="equal">
      <formula>-1</formula>
    </cfRule>
  </conditionalFormatting>
  <conditionalFormatting sqref="AZ84">
    <cfRule type="cellIs" dxfId="20854" priority="161596" stopIfTrue="1" operator="lessThan">
      <formula>0.5</formula>
    </cfRule>
  </conditionalFormatting>
  <conditionalFormatting sqref="AZ84">
    <cfRule type="cellIs" dxfId="20853" priority="161597" stopIfTrue="1" operator="greaterThanOrEqual">
      <formula>0.5</formula>
    </cfRule>
  </conditionalFormatting>
  <conditionalFormatting sqref="AZ85">
    <cfRule type="cellIs" dxfId="20852" priority="161598" stopIfTrue="1" operator="equal">
      <formula>-1</formula>
    </cfRule>
  </conditionalFormatting>
  <conditionalFormatting sqref="AZ85">
    <cfRule type="cellIs" dxfId="20851" priority="161599" stopIfTrue="1" operator="lessThan">
      <formula>0.5</formula>
    </cfRule>
  </conditionalFormatting>
  <conditionalFormatting sqref="AZ85">
    <cfRule type="cellIs" dxfId="20850" priority="161600" stopIfTrue="1" operator="greaterThanOrEqual">
      <formula>0.5</formula>
    </cfRule>
  </conditionalFormatting>
  <conditionalFormatting sqref="BB65">
    <cfRule type="cellIs" dxfId="20849" priority="161601" stopIfTrue="1" operator="equal">
      <formula>-1</formula>
    </cfRule>
  </conditionalFormatting>
  <conditionalFormatting sqref="BB65">
    <cfRule type="cellIs" dxfId="20848" priority="161602" stopIfTrue="1" operator="lessThan">
      <formula>0.5</formula>
    </cfRule>
  </conditionalFormatting>
  <conditionalFormatting sqref="BB65">
    <cfRule type="cellIs" dxfId="20847" priority="161603" stopIfTrue="1" operator="greaterThanOrEqual">
      <formula>0.5</formula>
    </cfRule>
  </conditionalFormatting>
  <conditionalFormatting sqref="BB66">
    <cfRule type="cellIs" dxfId="20846" priority="161604" stopIfTrue="1" operator="equal">
      <formula>-1</formula>
    </cfRule>
  </conditionalFormatting>
  <conditionalFormatting sqref="BB66">
    <cfRule type="cellIs" dxfId="20845" priority="161605" stopIfTrue="1" operator="lessThan">
      <formula>0.5</formula>
    </cfRule>
  </conditionalFormatting>
  <conditionalFormatting sqref="BB66">
    <cfRule type="cellIs" dxfId="20844" priority="161606" stopIfTrue="1" operator="greaterThanOrEqual">
      <formula>0.5</formula>
    </cfRule>
  </conditionalFormatting>
  <conditionalFormatting sqref="BB67">
    <cfRule type="cellIs" dxfId="20843" priority="161607" stopIfTrue="1" operator="equal">
      <formula>-1</formula>
    </cfRule>
  </conditionalFormatting>
  <conditionalFormatting sqref="BB67">
    <cfRule type="cellIs" dxfId="20842" priority="161608" stopIfTrue="1" operator="lessThan">
      <formula>0.5</formula>
    </cfRule>
  </conditionalFormatting>
  <conditionalFormatting sqref="BB67">
    <cfRule type="cellIs" dxfId="20841" priority="161609" stopIfTrue="1" operator="greaterThanOrEqual">
      <formula>0.5</formula>
    </cfRule>
  </conditionalFormatting>
  <conditionalFormatting sqref="BB68">
    <cfRule type="cellIs" dxfId="20840" priority="161610" stopIfTrue="1" operator="equal">
      <formula>-1</formula>
    </cfRule>
  </conditionalFormatting>
  <conditionalFormatting sqref="BB68">
    <cfRule type="cellIs" dxfId="20839" priority="161611" stopIfTrue="1" operator="lessThan">
      <formula>0.5</formula>
    </cfRule>
  </conditionalFormatting>
  <conditionalFormatting sqref="BB68">
    <cfRule type="cellIs" dxfId="20838" priority="161612" stopIfTrue="1" operator="greaterThanOrEqual">
      <formula>0.5</formula>
    </cfRule>
  </conditionalFormatting>
  <conditionalFormatting sqref="BB69">
    <cfRule type="cellIs" dxfId="20837" priority="161613" stopIfTrue="1" operator="equal">
      <formula>-1</formula>
    </cfRule>
  </conditionalFormatting>
  <conditionalFormatting sqref="BB69">
    <cfRule type="cellIs" dxfId="20836" priority="161614" stopIfTrue="1" operator="lessThan">
      <formula>0.5</formula>
    </cfRule>
  </conditionalFormatting>
  <conditionalFormatting sqref="BB69">
    <cfRule type="cellIs" dxfId="20835" priority="161615" stopIfTrue="1" operator="greaterThanOrEqual">
      <formula>0.5</formula>
    </cfRule>
  </conditionalFormatting>
  <conditionalFormatting sqref="BB70">
    <cfRule type="cellIs" dxfId="20834" priority="161616" stopIfTrue="1" operator="equal">
      <formula>-1</formula>
    </cfRule>
  </conditionalFormatting>
  <conditionalFormatting sqref="BB70">
    <cfRule type="cellIs" dxfId="20833" priority="161617" stopIfTrue="1" operator="lessThan">
      <formula>0.5</formula>
    </cfRule>
  </conditionalFormatting>
  <conditionalFormatting sqref="BB70">
    <cfRule type="cellIs" dxfId="20832" priority="161618" stopIfTrue="1" operator="greaterThanOrEqual">
      <formula>0.5</formula>
    </cfRule>
  </conditionalFormatting>
  <conditionalFormatting sqref="BB71">
    <cfRule type="cellIs" dxfId="20831" priority="161619" stopIfTrue="1" operator="equal">
      <formula>-1</formula>
    </cfRule>
  </conditionalFormatting>
  <conditionalFormatting sqref="BB71">
    <cfRule type="cellIs" dxfId="20830" priority="161620" stopIfTrue="1" operator="lessThan">
      <formula>0.5</formula>
    </cfRule>
  </conditionalFormatting>
  <conditionalFormatting sqref="BB71">
    <cfRule type="cellIs" dxfId="20829" priority="161621" stopIfTrue="1" operator="greaterThanOrEqual">
      <formula>0.5</formula>
    </cfRule>
  </conditionalFormatting>
  <conditionalFormatting sqref="BB72">
    <cfRule type="cellIs" dxfId="20828" priority="161622" stopIfTrue="1" operator="equal">
      <formula>-1</formula>
    </cfRule>
  </conditionalFormatting>
  <conditionalFormatting sqref="BB72">
    <cfRule type="cellIs" dxfId="20827" priority="161623" stopIfTrue="1" operator="lessThan">
      <formula>0.5</formula>
    </cfRule>
  </conditionalFormatting>
  <conditionalFormatting sqref="BB72">
    <cfRule type="cellIs" dxfId="20826" priority="161624" stopIfTrue="1" operator="greaterThanOrEqual">
      <formula>0.5</formula>
    </cfRule>
  </conditionalFormatting>
  <conditionalFormatting sqref="BB73">
    <cfRule type="cellIs" dxfId="20825" priority="161625" stopIfTrue="1" operator="equal">
      <formula>-1</formula>
    </cfRule>
  </conditionalFormatting>
  <conditionalFormatting sqref="BB73">
    <cfRule type="cellIs" dxfId="20824" priority="161626" stopIfTrue="1" operator="lessThan">
      <formula>0.5</formula>
    </cfRule>
  </conditionalFormatting>
  <conditionalFormatting sqref="BB73">
    <cfRule type="cellIs" dxfId="20823" priority="161627" stopIfTrue="1" operator="greaterThanOrEqual">
      <formula>0.5</formula>
    </cfRule>
  </conditionalFormatting>
  <conditionalFormatting sqref="BB74">
    <cfRule type="cellIs" dxfId="20822" priority="161628" stopIfTrue="1" operator="equal">
      <formula>-1</formula>
    </cfRule>
  </conditionalFormatting>
  <conditionalFormatting sqref="BB74">
    <cfRule type="cellIs" dxfId="20821" priority="161629" stopIfTrue="1" operator="lessThan">
      <formula>0.5</formula>
    </cfRule>
  </conditionalFormatting>
  <conditionalFormatting sqref="BB74">
    <cfRule type="cellIs" dxfId="20820" priority="161630" stopIfTrue="1" operator="greaterThanOrEqual">
      <formula>0.5</formula>
    </cfRule>
  </conditionalFormatting>
  <conditionalFormatting sqref="BB75">
    <cfRule type="cellIs" dxfId="20819" priority="161631" stopIfTrue="1" operator="equal">
      <formula>-1</formula>
    </cfRule>
  </conditionalFormatting>
  <conditionalFormatting sqref="BB75">
    <cfRule type="cellIs" dxfId="20818" priority="161632" stopIfTrue="1" operator="lessThan">
      <formula>0.5</formula>
    </cfRule>
  </conditionalFormatting>
  <conditionalFormatting sqref="BB75">
    <cfRule type="cellIs" dxfId="20817" priority="161633" stopIfTrue="1" operator="greaterThanOrEqual">
      <formula>0.5</formula>
    </cfRule>
  </conditionalFormatting>
  <conditionalFormatting sqref="BB76">
    <cfRule type="cellIs" dxfId="20816" priority="161634" stopIfTrue="1" operator="equal">
      <formula>-1</formula>
    </cfRule>
  </conditionalFormatting>
  <conditionalFormatting sqref="BB76">
    <cfRule type="cellIs" dxfId="20815" priority="161635" stopIfTrue="1" operator="lessThan">
      <formula>0.5</formula>
    </cfRule>
  </conditionalFormatting>
  <conditionalFormatting sqref="BB76">
    <cfRule type="cellIs" dxfId="20814" priority="161636" stopIfTrue="1" operator="greaterThanOrEqual">
      <formula>0.5</formula>
    </cfRule>
  </conditionalFormatting>
  <conditionalFormatting sqref="BB77">
    <cfRule type="cellIs" dxfId="20813" priority="161637" stopIfTrue="1" operator="equal">
      <formula>-1</formula>
    </cfRule>
  </conditionalFormatting>
  <conditionalFormatting sqref="BB77">
    <cfRule type="cellIs" dxfId="20812" priority="161638" stopIfTrue="1" operator="lessThan">
      <formula>0.5</formula>
    </cfRule>
  </conditionalFormatting>
  <conditionalFormatting sqref="BB77">
    <cfRule type="cellIs" dxfId="20811" priority="161639" stopIfTrue="1" operator="greaterThanOrEqual">
      <formula>0.5</formula>
    </cfRule>
  </conditionalFormatting>
  <conditionalFormatting sqref="BB78">
    <cfRule type="cellIs" dxfId="20810" priority="161640" stopIfTrue="1" operator="equal">
      <formula>-1</formula>
    </cfRule>
  </conditionalFormatting>
  <conditionalFormatting sqref="BB78">
    <cfRule type="cellIs" dxfId="20809" priority="161641" stopIfTrue="1" operator="lessThan">
      <formula>0.5</formula>
    </cfRule>
  </conditionalFormatting>
  <conditionalFormatting sqref="BB78">
    <cfRule type="cellIs" dxfId="20808" priority="161642" stopIfTrue="1" operator="greaterThanOrEqual">
      <formula>0.5</formula>
    </cfRule>
  </conditionalFormatting>
  <conditionalFormatting sqref="BB79">
    <cfRule type="cellIs" dxfId="20807" priority="161643" stopIfTrue="1" operator="equal">
      <formula>-1</formula>
    </cfRule>
  </conditionalFormatting>
  <conditionalFormatting sqref="BB79">
    <cfRule type="cellIs" dxfId="20806" priority="161644" stopIfTrue="1" operator="lessThan">
      <formula>0.5</formula>
    </cfRule>
  </conditionalFormatting>
  <conditionalFormatting sqref="BB79">
    <cfRule type="cellIs" dxfId="20805" priority="161645" stopIfTrue="1" operator="greaterThanOrEqual">
      <formula>0.5</formula>
    </cfRule>
  </conditionalFormatting>
  <conditionalFormatting sqref="BB80">
    <cfRule type="cellIs" dxfId="20804" priority="161646" stopIfTrue="1" operator="equal">
      <formula>-1</formula>
    </cfRule>
  </conditionalFormatting>
  <conditionalFormatting sqref="BB80">
    <cfRule type="cellIs" dxfId="20803" priority="161647" stopIfTrue="1" operator="lessThan">
      <formula>0.5</formula>
    </cfRule>
  </conditionalFormatting>
  <conditionalFormatting sqref="BB80">
    <cfRule type="cellIs" dxfId="20802" priority="161648" stopIfTrue="1" operator="greaterThanOrEqual">
      <formula>0.5</formula>
    </cfRule>
  </conditionalFormatting>
  <conditionalFormatting sqref="BB81">
    <cfRule type="cellIs" dxfId="20801" priority="161649" stopIfTrue="1" operator="equal">
      <formula>-1</formula>
    </cfRule>
  </conditionalFormatting>
  <conditionalFormatting sqref="BB81">
    <cfRule type="cellIs" dxfId="20800" priority="161650" stopIfTrue="1" operator="lessThan">
      <formula>0.5</formula>
    </cfRule>
  </conditionalFormatting>
  <conditionalFormatting sqref="BB81">
    <cfRule type="cellIs" dxfId="20799" priority="161651" stopIfTrue="1" operator="greaterThanOrEqual">
      <formula>0.5</formula>
    </cfRule>
  </conditionalFormatting>
  <conditionalFormatting sqref="BB82">
    <cfRule type="cellIs" dxfId="20798" priority="161652" stopIfTrue="1" operator="equal">
      <formula>-1</formula>
    </cfRule>
  </conditionalFormatting>
  <conditionalFormatting sqref="BB82">
    <cfRule type="cellIs" dxfId="20797" priority="161653" stopIfTrue="1" operator="lessThan">
      <formula>0.5</formula>
    </cfRule>
  </conditionalFormatting>
  <conditionalFormatting sqref="BB82">
    <cfRule type="cellIs" dxfId="20796" priority="161654" stopIfTrue="1" operator="greaterThanOrEqual">
      <formula>0.5</formula>
    </cfRule>
  </conditionalFormatting>
  <conditionalFormatting sqref="BB83">
    <cfRule type="cellIs" dxfId="20795" priority="161655" stopIfTrue="1" operator="equal">
      <formula>-1</formula>
    </cfRule>
  </conditionalFormatting>
  <conditionalFormatting sqref="BB83">
    <cfRule type="cellIs" dxfId="20794" priority="161656" stopIfTrue="1" operator="lessThan">
      <formula>0.5</formula>
    </cfRule>
  </conditionalFormatting>
  <conditionalFormatting sqref="BB83">
    <cfRule type="cellIs" dxfId="20793" priority="161657" stopIfTrue="1" operator="greaterThanOrEqual">
      <formula>0.5</formula>
    </cfRule>
  </conditionalFormatting>
  <conditionalFormatting sqref="BB84">
    <cfRule type="cellIs" dxfId="20792" priority="161658" stopIfTrue="1" operator="equal">
      <formula>-1</formula>
    </cfRule>
  </conditionalFormatting>
  <conditionalFormatting sqref="BB84">
    <cfRule type="cellIs" dxfId="20791" priority="161659" stopIfTrue="1" operator="lessThan">
      <formula>0.5</formula>
    </cfRule>
  </conditionalFormatting>
  <conditionalFormatting sqref="BB84">
    <cfRule type="cellIs" dxfId="20790" priority="161660" stopIfTrue="1" operator="greaterThanOrEqual">
      <formula>0.5</formula>
    </cfRule>
  </conditionalFormatting>
  <conditionalFormatting sqref="BB85">
    <cfRule type="cellIs" dxfId="20789" priority="161661" stopIfTrue="1" operator="equal">
      <formula>-1</formula>
    </cfRule>
  </conditionalFormatting>
  <conditionalFormatting sqref="BB85">
    <cfRule type="cellIs" dxfId="20788" priority="161662" stopIfTrue="1" operator="lessThan">
      <formula>0.5</formula>
    </cfRule>
  </conditionalFormatting>
  <conditionalFormatting sqref="BB85">
    <cfRule type="cellIs" dxfId="20787" priority="161663" stopIfTrue="1" operator="greaterThanOrEqual">
      <formula>0.5</formula>
    </cfRule>
  </conditionalFormatting>
  <conditionalFormatting sqref="BD65">
    <cfRule type="cellIs" dxfId="20786" priority="161664" stopIfTrue="1" operator="equal">
      <formula>-1</formula>
    </cfRule>
  </conditionalFormatting>
  <conditionalFormatting sqref="BD65">
    <cfRule type="cellIs" dxfId="20785" priority="161665" stopIfTrue="1" operator="lessThan">
      <formula>0.5</formula>
    </cfRule>
  </conditionalFormatting>
  <conditionalFormatting sqref="BD65">
    <cfRule type="cellIs" dxfId="20784" priority="161666" stopIfTrue="1" operator="greaterThanOrEqual">
      <formula>0.5</formula>
    </cfRule>
  </conditionalFormatting>
  <conditionalFormatting sqref="BD66">
    <cfRule type="cellIs" dxfId="20783" priority="161667" stopIfTrue="1" operator="equal">
      <formula>-1</formula>
    </cfRule>
  </conditionalFormatting>
  <conditionalFormatting sqref="BD66">
    <cfRule type="cellIs" dxfId="20782" priority="161668" stopIfTrue="1" operator="lessThan">
      <formula>0.5</formula>
    </cfRule>
  </conditionalFormatting>
  <conditionalFormatting sqref="BD66">
    <cfRule type="cellIs" dxfId="20781" priority="161669" stopIfTrue="1" operator="greaterThanOrEqual">
      <formula>0.5</formula>
    </cfRule>
  </conditionalFormatting>
  <conditionalFormatting sqref="BD67">
    <cfRule type="cellIs" dxfId="20780" priority="161670" stopIfTrue="1" operator="equal">
      <formula>-1</formula>
    </cfRule>
  </conditionalFormatting>
  <conditionalFormatting sqref="BD67">
    <cfRule type="cellIs" dxfId="20779" priority="161671" stopIfTrue="1" operator="lessThan">
      <formula>0.5</formula>
    </cfRule>
  </conditionalFormatting>
  <conditionalFormatting sqref="BD67">
    <cfRule type="cellIs" dxfId="20778" priority="161672" stopIfTrue="1" operator="greaterThanOrEqual">
      <formula>0.5</formula>
    </cfRule>
  </conditionalFormatting>
  <conditionalFormatting sqref="BD68">
    <cfRule type="cellIs" dxfId="20777" priority="161673" stopIfTrue="1" operator="equal">
      <formula>-1</formula>
    </cfRule>
  </conditionalFormatting>
  <conditionalFormatting sqref="BD68">
    <cfRule type="cellIs" dxfId="20776" priority="161674" stopIfTrue="1" operator="lessThan">
      <formula>0.5</formula>
    </cfRule>
  </conditionalFormatting>
  <conditionalFormatting sqref="BD68">
    <cfRule type="cellIs" dxfId="20775" priority="161675" stopIfTrue="1" operator="greaterThanOrEqual">
      <formula>0.5</formula>
    </cfRule>
  </conditionalFormatting>
  <conditionalFormatting sqref="BD69">
    <cfRule type="cellIs" dxfId="20774" priority="161676" stopIfTrue="1" operator="equal">
      <formula>-1</formula>
    </cfRule>
  </conditionalFormatting>
  <conditionalFormatting sqref="BD69">
    <cfRule type="cellIs" dxfId="20773" priority="161677" stopIfTrue="1" operator="lessThan">
      <formula>0.5</formula>
    </cfRule>
  </conditionalFormatting>
  <conditionalFormatting sqref="BD69">
    <cfRule type="cellIs" dxfId="20772" priority="161678" stopIfTrue="1" operator="greaterThanOrEqual">
      <formula>0.5</formula>
    </cfRule>
  </conditionalFormatting>
  <conditionalFormatting sqref="BD70">
    <cfRule type="cellIs" dxfId="20771" priority="161679" stopIfTrue="1" operator="equal">
      <formula>-1</formula>
    </cfRule>
  </conditionalFormatting>
  <conditionalFormatting sqref="BD70">
    <cfRule type="cellIs" dxfId="20770" priority="161680" stopIfTrue="1" operator="lessThan">
      <formula>0.5</formula>
    </cfRule>
  </conditionalFormatting>
  <conditionalFormatting sqref="BD70">
    <cfRule type="cellIs" dxfId="20769" priority="161681" stopIfTrue="1" operator="greaterThanOrEqual">
      <formula>0.5</formula>
    </cfRule>
  </conditionalFormatting>
  <conditionalFormatting sqref="BD71">
    <cfRule type="cellIs" dxfId="20768" priority="161682" stopIfTrue="1" operator="equal">
      <formula>-1</formula>
    </cfRule>
  </conditionalFormatting>
  <conditionalFormatting sqref="BD71">
    <cfRule type="cellIs" dxfId="20767" priority="161683" stopIfTrue="1" operator="lessThan">
      <formula>0.5</formula>
    </cfRule>
  </conditionalFormatting>
  <conditionalFormatting sqref="BD71">
    <cfRule type="cellIs" dxfId="20766" priority="161684" stopIfTrue="1" operator="greaterThanOrEqual">
      <formula>0.5</formula>
    </cfRule>
  </conditionalFormatting>
  <conditionalFormatting sqref="BD72">
    <cfRule type="cellIs" dxfId="20765" priority="161685" stopIfTrue="1" operator="equal">
      <formula>-1</formula>
    </cfRule>
  </conditionalFormatting>
  <conditionalFormatting sqref="BD72">
    <cfRule type="cellIs" dxfId="20764" priority="161686" stopIfTrue="1" operator="lessThan">
      <formula>0.5</formula>
    </cfRule>
  </conditionalFormatting>
  <conditionalFormatting sqref="BD72">
    <cfRule type="cellIs" dxfId="20763" priority="161687" stopIfTrue="1" operator="greaterThanOrEqual">
      <formula>0.5</formula>
    </cfRule>
  </conditionalFormatting>
  <conditionalFormatting sqref="BD73">
    <cfRule type="cellIs" dxfId="20762" priority="161688" stopIfTrue="1" operator="equal">
      <formula>-1</formula>
    </cfRule>
  </conditionalFormatting>
  <conditionalFormatting sqref="BD73">
    <cfRule type="cellIs" dxfId="20761" priority="161689" stopIfTrue="1" operator="lessThan">
      <formula>0.5</formula>
    </cfRule>
  </conditionalFormatting>
  <conditionalFormatting sqref="BD73">
    <cfRule type="cellIs" dxfId="20760" priority="161690" stopIfTrue="1" operator="greaterThanOrEqual">
      <formula>0.5</formula>
    </cfRule>
  </conditionalFormatting>
  <conditionalFormatting sqref="BD74">
    <cfRule type="cellIs" dxfId="20759" priority="161691" stopIfTrue="1" operator="equal">
      <formula>-1</formula>
    </cfRule>
  </conditionalFormatting>
  <conditionalFormatting sqref="BD74">
    <cfRule type="cellIs" dxfId="20758" priority="161692" stopIfTrue="1" operator="lessThan">
      <formula>0.5</formula>
    </cfRule>
  </conditionalFormatting>
  <conditionalFormatting sqref="BD74">
    <cfRule type="cellIs" dxfId="20757" priority="161693" stopIfTrue="1" operator="greaterThanOrEqual">
      <formula>0.5</formula>
    </cfRule>
  </conditionalFormatting>
  <conditionalFormatting sqref="BD75">
    <cfRule type="cellIs" dxfId="20756" priority="161694" stopIfTrue="1" operator="equal">
      <formula>-1</formula>
    </cfRule>
  </conditionalFormatting>
  <conditionalFormatting sqref="BD75">
    <cfRule type="cellIs" dxfId="20755" priority="161695" stopIfTrue="1" operator="lessThan">
      <formula>0.5</formula>
    </cfRule>
  </conditionalFormatting>
  <conditionalFormatting sqref="BD75">
    <cfRule type="cellIs" dxfId="20754" priority="161696" stopIfTrue="1" operator="greaterThanOrEqual">
      <formula>0.5</formula>
    </cfRule>
  </conditionalFormatting>
  <conditionalFormatting sqref="BD76">
    <cfRule type="cellIs" dxfId="20753" priority="161697" stopIfTrue="1" operator="equal">
      <formula>-1</formula>
    </cfRule>
  </conditionalFormatting>
  <conditionalFormatting sqref="BD76">
    <cfRule type="cellIs" dxfId="20752" priority="161698" stopIfTrue="1" operator="lessThan">
      <formula>0.5</formula>
    </cfRule>
  </conditionalFormatting>
  <conditionalFormatting sqref="BD76">
    <cfRule type="cellIs" dxfId="20751" priority="161699" stopIfTrue="1" operator="greaterThanOrEqual">
      <formula>0.5</formula>
    </cfRule>
  </conditionalFormatting>
  <conditionalFormatting sqref="BD77">
    <cfRule type="cellIs" dxfId="20750" priority="161700" stopIfTrue="1" operator="equal">
      <formula>-1</formula>
    </cfRule>
  </conditionalFormatting>
  <conditionalFormatting sqref="BD77">
    <cfRule type="cellIs" dxfId="20749" priority="161701" stopIfTrue="1" operator="lessThan">
      <formula>0.5</formula>
    </cfRule>
  </conditionalFormatting>
  <conditionalFormatting sqref="BD77">
    <cfRule type="cellIs" dxfId="20748" priority="161702" stopIfTrue="1" operator="greaterThanOrEqual">
      <formula>0.5</formula>
    </cfRule>
  </conditionalFormatting>
  <conditionalFormatting sqref="BD78">
    <cfRule type="cellIs" dxfId="20747" priority="161703" stopIfTrue="1" operator="equal">
      <formula>-1</formula>
    </cfRule>
  </conditionalFormatting>
  <conditionalFormatting sqref="BD78">
    <cfRule type="cellIs" dxfId="20746" priority="161704" stopIfTrue="1" operator="lessThan">
      <formula>0.5</formula>
    </cfRule>
  </conditionalFormatting>
  <conditionalFormatting sqref="BD78">
    <cfRule type="cellIs" dxfId="20745" priority="161705" stopIfTrue="1" operator="greaterThanOrEqual">
      <formula>0.5</formula>
    </cfRule>
  </conditionalFormatting>
  <conditionalFormatting sqref="BD79">
    <cfRule type="cellIs" dxfId="20744" priority="161706" stopIfTrue="1" operator="equal">
      <formula>-1</formula>
    </cfRule>
  </conditionalFormatting>
  <conditionalFormatting sqref="BD79">
    <cfRule type="cellIs" dxfId="20743" priority="161707" stopIfTrue="1" operator="lessThan">
      <formula>0.5</formula>
    </cfRule>
  </conditionalFormatting>
  <conditionalFormatting sqref="BD79">
    <cfRule type="cellIs" dxfId="20742" priority="161708" stopIfTrue="1" operator="greaterThanOrEqual">
      <formula>0.5</formula>
    </cfRule>
  </conditionalFormatting>
  <conditionalFormatting sqref="BD80">
    <cfRule type="cellIs" dxfId="20741" priority="161709" stopIfTrue="1" operator="equal">
      <formula>-1</formula>
    </cfRule>
  </conditionalFormatting>
  <conditionalFormatting sqref="BD80">
    <cfRule type="cellIs" dxfId="20740" priority="161710" stopIfTrue="1" operator="lessThan">
      <formula>0.5</formula>
    </cfRule>
  </conditionalFormatting>
  <conditionalFormatting sqref="BD80">
    <cfRule type="cellIs" dxfId="20739" priority="161711" stopIfTrue="1" operator="greaterThanOrEqual">
      <formula>0.5</formula>
    </cfRule>
  </conditionalFormatting>
  <conditionalFormatting sqref="BD81">
    <cfRule type="cellIs" dxfId="20738" priority="161712" stopIfTrue="1" operator="equal">
      <formula>-1</formula>
    </cfRule>
  </conditionalFormatting>
  <conditionalFormatting sqref="BD81">
    <cfRule type="cellIs" dxfId="20737" priority="161713" stopIfTrue="1" operator="lessThan">
      <formula>0.5</formula>
    </cfRule>
  </conditionalFormatting>
  <conditionalFormatting sqref="BD81">
    <cfRule type="cellIs" dxfId="20736" priority="161714" stopIfTrue="1" operator="greaterThanOrEqual">
      <formula>0.5</formula>
    </cfRule>
  </conditionalFormatting>
  <conditionalFormatting sqref="BD82">
    <cfRule type="cellIs" dxfId="20735" priority="161715" stopIfTrue="1" operator="equal">
      <formula>-1</formula>
    </cfRule>
  </conditionalFormatting>
  <conditionalFormatting sqref="BD82">
    <cfRule type="cellIs" dxfId="20734" priority="161716" stopIfTrue="1" operator="lessThan">
      <formula>0.5</formula>
    </cfRule>
  </conditionalFormatting>
  <conditionalFormatting sqref="BD82">
    <cfRule type="cellIs" dxfId="20733" priority="161717" stopIfTrue="1" operator="greaterThanOrEqual">
      <formula>0.5</formula>
    </cfRule>
  </conditionalFormatting>
  <conditionalFormatting sqref="BD83">
    <cfRule type="cellIs" dxfId="20732" priority="161718" stopIfTrue="1" operator="equal">
      <formula>-1</formula>
    </cfRule>
  </conditionalFormatting>
  <conditionalFormatting sqref="BD83">
    <cfRule type="cellIs" dxfId="20731" priority="161719" stopIfTrue="1" operator="lessThan">
      <formula>0.5</formula>
    </cfRule>
  </conditionalFormatting>
  <conditionalFormatting sqref="BD83">
    <cfRule type="cellIs" dxfId="20730" priority="161720" stopIfTrue="1" operator="greaterThanOrEqual">
      <formula>0.5</formula>
    </cfRule>
  </conditionalFormatting>
  <conditionalFormatting sqref="BD84">
    <cfRule type="cellIs" dxfId="20729" priority="161721" stopIfTrue="1" operator="equal">
      <formula>-1</formula>
    </cfRule>
  </conditionalFormatting>
  <conditionalFormatting sqref="BD84">
    <cfRule type="cellIs" dxfId="20728" priority="161722" stopIfTrue="1" operator="lessThan">
      <formula>0.5</formula>
    </cfRule>
  </conditionalFormatting>
  <conditionalFormatting sqref="BD84">
    <cfRule type="cellIs" dxfId="20727" priority="161723" stopIfTrue="1" operator="greaterThanOrEqual">
      <formula>0.5</formula>
    </cfRule>
  </conditionalFormatting>
  <conditionalFormatting sqref="BD85">
    <cfRule type="cellIs" dxfId="20726" priority="161724" stopIfTrue="1" operator="equal">
      <formula>-1</formula>
    </cfRule>
  </conditionalFormatting>
  <conditionalFormatting sqref="BD85">
    <cfRule type="cellIs" dxfId="20725" priority="161725" stopIfTrue="1" operator="lessThan">
      <formula>0.5</formula>
    </cfRule>
  </conditionalFormatting>
  <conditionalFormatting sqref="BD85">
    <cfRule type="cellIs" dxfId="20724" priority="161726" stopIfTrue="1" operator="greaterThanOrEqual">
      <formula>0.5</formula>
    </cfRule>
  </conditionalFormatting>
  <conditionalFormatting sqref="BF65">
    <cfRule type="cellIs" dxfId="20723" priority="161727" stopIfTrue="1" operator="equal">
      <formula>-1</formula>
    </cfRule>
  </conditionalFormatting>
  <conditionalFormatting sqref="BF65">
    <cfRule type="cellIs" dxfId="20722" priority="161728" stopIfTrue="1" operator="lessThan">
      <formula>0.5</formula>
    </cfRule>
  </conditionalFormatting>
  <conditionalFormatting sqref="BF65">
    <cfRule type="cellIs" dxfId="20721" priority="161729" stopIfTrue="1" operator="greaterThanOrEqual">
      <formula>0.5</formula>
    </cfRule>
  </conditionalFormatting>
  <conditionalFormatting sqref="BF66">
    <cfRule type="cellIs" dxfId="20720" priority="161730" stopIfTrue="1" operator="equal">
      <formula>-1</formula>
    </cfRule>
  </conditionalFormatting>
  <conditionalFormatting sqref="BF66">
    <cfRule type="cellIs" dxfId="20719" priority="161731" stopIfTrue="1" operator="lessThan">
      <formula>0.5</formula>
    </cfRule>
  </conditionalFormatting>
  <conditionalFormatting sqref="BF66">
    <cfRule type="cellIs" dxfId="20718" priority="161732" stopIfTrue="1" operator="greaterThanOrEqual">
      <formula>0.5</formula>
    </cfRule>
  </conditionalFormatting>
  <conditionalFormatting sqref="BF67">
    <cfRule type="cellIs" dxfId="20717" priority="161733" stopIfTrue="1" operator="equal">
      <formula>-1</formula>
    </cfRule>
  </conditionalFormatting>
  <conditionalFormatting sqref="BF67">
    <cfRule type="cellIs" dxfId="20716" priority="161734" stopIfTrue="1" operator="lessThan">
      <formula>0.5</formula>
    </cfRule>
  </conditionalFormatting>
  <conditionalFormatting sqref="BF67">
    <cfRule type="cellIs" dxfId="20715" priority="161735" stopIfTrue="1" operator="greaterThanOrEqual">
      <formula>0.5</formula>
    </cfRule>
  </conditionalFormatting>
  <conditionalFormatting sqref="BF68">
    <cfRule type="cellIs" dxfId="20714" priority="161736" stopIfTrue="1" operator="equal">
      <formula>-1</formula>
    </cfRule>
  </conditionalFormatting>
  <conditionalFormatting sqref="BF68">
    <cfRule type="cellIs" dxfId="20713" priority="161737" stopIfTrue="1" operator="lessThan">
      <formula>0.5</formula>
    </cfRule>
  </conditionalFormatting>
  <conditionalFormatting sqref="BF68">
    <cfRule type="cellIs" dxfId="20712" priority="161738" stopIfTrue="1" operator="greaterThanOrEqual">
      <formula>0.5</formula>
    </cfRule>
  </conditionalFormatting>
  <conditionalFormatting sqref="BF69">
    <cfRule type="cellIs" dxfId="20711" priority="161739" stopIfTrue="1" operator="equal">
      <formula>-1</formula>
    </cfRule>
  </conditionalFormatting>
  <conditionalFormatting sqref="BF69">
    <cfRule type="cellIs" dxfId="20710" priority="161740" stopIfTrue="1" operator="lessThan">
      <formula>0.5</formula>
    </cfRule>
  </conditionalFormatting>
  <conditionalFormatting sqref="BF69">
    <cfRule type="cellIs" dxfId="20709" priority="161741" stopIfTrue="1" operator="greaterThanOrEqual">
      <formula>0.5</formula>
    </cfRule>
  </conditionalFormatting>
  <conditionalFormatting sqref="BF70">
    <cfRule type="cellIs" dxfId="20708" priority="161742" stopIfTrue="1" operator="equal">
      <formula>-1</formula>
    </cfRule>
  </conditionalFormatting>
  <conditionalFormatting sqref="BF70">
    <cfRule type="cellIs" dxfId="20707" priority="161743" stopIfTrue="1" operator="lessThan">
      <formula>0.5</formula>
    </cfRule>
  </conditionalFormatting>
  <conditionalFormatting sqref="BF70">
    <cfRule type="cellIs" dxfId="20706" priority="161744" stopIfTrue="1" operator="greaterThanOrEqual">
      <formula>0.5</formula>
    </cfRule>
  </conditionalFormatting>
  <conditionalFormatting sqref="BF71">
    <cfRule type="cellIs" dxfId="20705" priority="161745" stopIfTrue="1" operator="equal">
      <formula>-1</formula>
    </cfRule>
  </conditionalFormatting>
  <conditionalFormatting sqref="BF71">
    <cfRule type="cellIs" dxfId="20704" priority="161746" stopIfTrue="1" operator="lessThan">
      <formula>0.5</formula>
    </cfRule>
  </conditionalFormatting>
  <conditionalFormatting sqref="BF71">
    <cfRule type="cellIs" dxfId="20703" priority="161747" stopIfTrue="1" operator="greaterThanOrEqual">
      <formula>0.5</formula>
    </cfRule>
  </conditionalFormatting>
  <conditionalFormatting sqref="BF72">
    <cfRule type="cellIs" dxfId="20702" priority="161748" stopIfTrue="1" operator="equal">
      <formula>-1</formula>
    </cfRule>
  </conditionalFormatting>
  <conditionalFormatting sqref="BF72">
    <cfRule type="cellIs" dxfId="20701" priority="161749" stopIfTrue="1" operator="lessThan">
      <formula>0.5</formula>
    </cfRule>
  </conditionalFormatting>
  <conditionalFormatting sqref="BF72">
    <cfRule type="cellIs" dxfId="20700" priority="161750" stopIfTrue="1" operator="greaterThanOrEqual">
      <formula>0.5</formula>
    </cfRule>
  </conditionalFormatting>
  <conditionalFormatting sqref="BF73">
    <cfRule type="cellIs" dxfId="20699" priority="161751" stopIfTrue="1" operator="equal">
      <formula>-1</formula>
    </cfRule>
  </conditionalFormatting>
  <conditionalFormatting sqref="BF73">
    <cfRule type="cellIs" dxfId="20698" priority="161752" stopIfTrue="1" operator="lessThan">
      <formula>0.5</formula>
    </cfRule>
  </conditionalFormatting>
  <conditionalFormatting sqref="BF73">
    <cfRule type="cellIs" dxfId="20697" priority="161753" stopIfTrue="1" operator="greaterThanOrEqual">
      <formula>0.5</formula>
    </cfRule>
  </conditionalFormatting>
  <conditionalFormatting sqref="BF74">
    <cfRule type="cellIs" dxfId="20696" priority="161754" stopIfTrue="1" operator="equal">
      <formula>-1</formula>
    </cfRule>
  </conditionalFormatting>
  <conditionalFormatting sqref="BF74">
    <cfRule type="cellIs" dxfId="20695" priority="161755" stopIfTrue="1" operator="lessThan">
      <formula>0.5</formula>
    </cfRule>
  </conditionalFormatting>
  <conditionalFormatting sqref="BF74">
    <cfRule type="cellIs" dxfId="20694" priority="161756" stopIfTrue="1" operator="greaterThanOrEqual">
      <formula>0.5</formula>
    </cfRule>
  </conditionalFormatting>
  <conditionalFormatting sqref="BF75">
    <cfRule type="cellIs" dxfId="20693" priority="161757" stopIfTrue="1" operator="equal">
      <formula>-1</formula>
    </cfRule>
  </conditionalFormatting>
  <conditionalFormatting sqref="BF75">
    <cfRule type="cellIs" dxfId="20692" priority="161758" stopIfTrue="1" operator="lessThan">
      <formula>0.5</formula>
    </cfRule>
  </conditionalFormatting>
  <conditionalFormatting sqref="BF75">
    <cfRule type="cellIs" dxfId="20691" priority="161759" stopIfTrue="1" operator="greaterThanOrEqual">
      <formula>0.5</formula>
    </cfRule>
  </conditionalFormatting>
  <conditionalFormatting sqref="BF76">
    <cfRule type="cellIs" dxfId="20690" priority="161760" stopIfTrue="1" operator="equal">
      <formula>-1</formula>
    </cfRule>
  </conditionalFormatting>
  <conditionalFormatting sqref="BF76">
    <cfRule type="cellIs" dxfId="20689" priority="161761" stopIfTrue="1" operator="lessThan">
      <formula>0.5</formula>
    </cfRule>
  </conditionalFormatting>
  <conditionalFormatting sqref="BF76">
    <cfRule type="cellIs" dxfId="20688" priority="161762" stopIfTrue="1" operator="greaterThanOrEqual">
      <formula>0.5</formula>
    </cfRule>
  </conditionalFormatting>
  <conditionalFormatting sqref="BF77">
    <cfRule type="cellIs" dxfId="20687" priority="161763" stopIfTrue="1" operator="equal">
      <formula>-1</formula>
    </cfRule>
  </conditionalFormatting>
  <conditionalFormatting sqref="BF77">
    <cfRule type="cellIs" dxfId="20686" priority="161764" stopIfTrue="1" operator="lessThan">
      <formula>0.5</formula>
    </cfRule>
  </conditionalFormatting>
  <conditionalFormatting sqref="BF77">
    <cfRule type="cellIs" dxfId="20685" priority="161765" stopIfTrue="1" operator="greaterThanOrEqual">
      <formula>0.5</formula>
    </cfRule>
  </conditionalFormatting>
  <conditionalFormatting sqref="BF78">
    <cfRule type="cellIs" dxfId="20684" priority="161766" stopIfTrue="1" operator="equal">
      <formula>-1</formula>
    </cfRule>
  </conditionalFormatting>
  <conditionalFormatting sqref="BF78">
    <cfRule type="cellIs" dxfId="20683" priority="161767" stopIfTrue="1" operator="lessThan">
      <formula>0.5</formula>
    </cfRule>
  </conditionalFormatting>
  <conditionalFormatting sqref="BF78">
    <cfRule type="cellIs" dxfId="20682" priority="161768" stopIfTrue="1" operator="greaterThanOrEqual">
      <formula>0.5</formula>
    </cfRule>
  </conditionalFormatting>
  <conditionalFormatting sqref="BF79">
    <cfRule type="cellIs" dxfId="20681" priority="161769" stopIfTrue="1" operator="equal">
      <formula>-1</formula>
    </cfRule>
  </conditionalFormatting>
  <conditionalFormatting sqref="BF79">
    <cfRule type="cellIs" dxfId="20680" priority="161770" stopIfTrue="1" operator="lessThan">
      <formula>0.5</formula>
    </cfRule>
  </conditionalFormatting>
  <conditionalFormatting sqref="BF79">
    <cfRule type="cellIs" dxfId="20679" priority="161771" stopIfTrue="1" operator="greaterThanOrEqual">
      <formula>0.5</formula>
    </cfRule>
  </conditionalFormatting>
  <conditionalFormatting sqref="BF80">
    <cfRule type="cellIs" dxfId="20678" priority="161772" stopIfTrue="1" operator="equal">
      <formula>-1</formula>
    </cfRule>
  </conditionalFormatting>
  <conditionalFormatting sqref="BF80">
    <cfRule type="cellIs" dxfId="20677" priority="161773" stopIfTrue="1" operator="lessThan">
      <formula>0.5</formula>
    </cfRule>
  </conditionalFormatting>
  <conditionalFormatting sqref="BF80">
    <cfRule type="cellIs" dxfId="20676" priority="161774" stopIfTrue="1" operator="greaterThanOrEqual">
      <formula>0.5</formula>
    </cfRule>
  </conditionalFormatting>
  <conditionalFormatting sqref="BF81">
    <cfRule type="cellIs" dxfId="20675" priority="161775" stopIfTrue="1" operator="equal">
      <formula>-1</formula>
    </cfRule>
  </conditionalFormatting>
  <conditionalFormatting sqref="BF81">
    <cfRule type="cellIs" dxfId="20674" priority="161776" stopIfTrue="1" operator="lessThan">
      <formula>0.5</formula>
    </cfRule>
  </conditionalFormatting>
  <conditionalFormatting sqref="BF81">
    <cfRule type="cellIs" dxfId="20673" priority="161777" stopIfTrue="1" operator="greaterThanOrEqual">
      <formula>0.5</formula>
    </cfRule>
  </conditionalFormatting>
  <conditionalFormatting sqref="BF82">
    <cfRule type="cellIs" dxfId="20672" priority="161778" stopIfTrue="1" operator="equal">
      <formula>-1</formula>
    </cfRule>
  </conditionalFormatting>
  <conditionalFormatting sqref="BF82">
    <cfRule type="cellIs" dxfId="20671" priority="161779" stopIfTrue="1" operator="lessThan">
      <formula>0.5</formula>
    </cfRule>
  </conditionalFormatting>
  <conditionalFormatting sqref="BF82">
    <cfRule type="cellIs" dxfId="20670" priority="161780" stopIfTrue="1" operator="greaterThanOrEqual">
      <formula>0.5</formula>
    </cfRule>
  </conditionalFormatting>
  <conditionalFormatting sqref="BF83">
    <cfRule type="cellIs" dxfId="20669" priority="161781" stopIfTrue="1" operator="equal">
      <formula>-1</formula>
    </cfRule>
  </conditionalFormatting>
  <conditionalFormatting sqref="BF83">
    <cfRule type="cellIs" dxfId="20668" priority="161782" stopIfTrue="1" operator="lessThan">
      <formula>0.5</formula>
    </cfRule>
  </conditionalFormatting>
  <conditionalFormatting sqref="BF83">
    <cfRule type="cellIs" dxfId="20667" priority="161783" stopIfTrue="1" operator="greaterThanOrEqual">
      <formula>0.5</formula>
    </cfRule>
  </conditionalFormatting>
  <conditionalFormatting sqref="BF84">
    <cfRule type="cellIs" dxfId="20666" priority="161784" stopIfTrue="1" operator="equal">
      <formula>-1</formula>
    </cfRule>
  </conditionalFormatting>
  <conditionalFormatting sqref="BF84">
    <cfRule type="cellIs" dxfId="20665" priority="161785" stopIfTrue="1" operator="lessThan">
      <formula>0.5</formula>
    </cfRule>
  </conditionalFormatting>
  <conditionalFormatting sqref="BF84">
    <cfRule type="cellIs" dxfId="20664" priority="161786" stopIfTrue="1" operator="greaterThanOrEqual">
      <formula>0.5</formula>
    </cfRule>
  </conditionalFormatting>
  <conditionalFormatting sqref="BF85">
    <cfRule type="cellIs" dxfId="20663" priority="161787" stopIfTrue="1" operator="equal">
      <formula>-1</formula>
    </cfRule>
  </conditionalFormatting>
  <conditionalFormatting sqref="BF85">
    <cfRule type="cellIs" dxfId="20662" priority="161788" stopIfTrue="1" operator="lessThan">
      <formula>0.5</formula>
    </cfRule>
  </conditionalFormatting>
  <conditionalFormatting sqref="BF85">
    <cfRule type="cellIs" dxfId="20661" priority="161789" stopIfTrue="1" operator="greaterThanOrEqual">
      <formula>0.5</formula>
    </cfRule>
  </conditionalFormatting>
  <conditionalFormatting sqref="BH65">
    <cfRule type="cellIs" dxfId="20660" priority="161790" stopIfTrue="1" operator="equal">
      <formula>-1</formula>
    </cfRule>
  </conditionalFormatting>
  <conditionalFormatting sqref="BH65">
    <cfRule type="cellIs" dxfId="20659" priority="161791" stopIfTrue="1" operator="lessThan">
      <formula>0.5</formula>
    </cfRule>
  </conditionalFormatting>
  <conditionalFormatting sqref="BH65">
    <cfRule type="cellIs" dxfId="20658" priority="161792" stopIfTrue="1" operator="greaterThanOrEqual">
      <formula>0.5</formula>
    </cfRule>
  </conditionalFormatting>
  <conditionalFormatting sqref="BH66">
    <cfRule type="cellIs" dxfId="20657" priority="161793" stopIfTrue="1" operator="equal">
      <formula>-1</formula>
    </cfRule>
  </conditionalFormatting>
  <conditionalFormatting sqref="BH66">
    <cfRule type="cellIs" dxfId="20656" priority="161794" stopIfTrue="1" operator="lessThan">
      <formula>0.5</formula>
    </cfRule>
  </conditionalFormatting>
  <conditionalFormatting sqref="BH66">
    <cfRule type="cellIs" dxfId="20655" priority="161795" stopIfTrue="1" operator="greaterThanOrEqual">
      <formula>0.5</formula>
    </cfRule>
  </conditionalFormatting>
  <conditionalFormatting sqref="BH67">
    <cfRule type="cellIs" dxfId="20654" priority="161796" stopIfTrue="1" operator="equal">
      <formula>-1</formula>
    </cfRule>
  </conditionalFormatting>
  <conditionalFormatting sqref="BH67">
    <cfRule type="cellIs" dxfId="20653" priority="161797" stopIfTrue="1" operator="lessThan">
      <formula>0.5</formula>
    </cfRule>
  </conditionalFormatting>
  <conditionalFormatting sqref="BH67">
    <cfRule type="cellIs" dxfId="20652" priority="161798" stopIfTrue="1" operator="greaterThanOrEqual">
      <formula>0.5</formula>
    </cfRule>
  </conditionalFormatting>
  <conditionalFormatting sqref="BH68">
    <cfRule type="cellIs" dxfId="20651" priority="161799" stopIfTrue="1" operator="equal">
      <formula>-1</formula>
    </cfRule>
  </conditionalFormatting>
  <conditionalFormatting sqref="BH68">
    <cfRule type="cellIs" dxfId="20650" priority="161800" stopIfTrue="1" operator="lessThan">
      <formula>0.5</formula>
    </cfRule>
  </conditionalFormatting>
  <conditionalFormatting sqref="BH68">
    <cfRule type="cellIs" dxfId="20649" priority="161801" stopIfTrue="1" operator="greaterThanOrEqual">
      <formula>0.5</formula>
    </cfRule>
  </conditionalFormatting>
  <conditionalFormatting sqref="BH69">
    <cfRule type="cellIs" dxfId="20648" priority="161802" stopIfTrue="1" operator="equal">
      <formula>-1</formula>
    </cfRule>
  </conditionalFormatting>
  <conditionalFormatting sqref="BH69">
    <cfRule type="cellIs" dxfId="20647" priority="161803" stopIfTrue="1" operator="lessThan">
      <formula>0.5</formula>
    </cfRule>
  </conditionalFormatting>
  <conditionalFormatting sqref="BH69">
    <cfRule type="cellIs" dxfId="20646" priority="161804" stopIfTrue="1" operator="greaterThanOrEqual">
      <formula>0.5</formula>
    </cfRule>
  </conditionalFormatting>
  <conditionalFormatting sqref="BH70">
    <cfRule type="cellIs" dxfId="20645" priority="161805" stopIfTrue="1" operator="equal">
      <formula>-1</formula>
    </cfRule>
  </conditionalFormatting>
  <conditionalFormatting sqref="BH70">
    <cfRule type="cellIs" dxfId="20644" priority="161806" stopIfTrue="1" operator="lessThan">
      <formula>0.5</formula>
    </cfRule>
  </conditionalFormatting>
  <conditionalFormatting sqref="BH70">
    <cfRule type="cellIs" dxfId="20643" priority="161807" stopIfTrue="1" operator="greaterThanOrEqual">
      <formula>0.5</formula>
    </cfRule>
  </conditionalFormatting>
  <conditionalFormatting sqref="BH71">
    <cfRule type="cellIs" dxfId="20642" priority="161808" stopIfTrue="1" operator="equal">
      <formula>-1</formula>
    </cfRule>
  </conditionalFormatting>
  <conditionalFormatting sqref="BH71">
    <cfRule type="cellIs" dxfId="20641" priority="161809" stopIfTrue="1" operator="lessThan">
      <formula>0.5</formula>
    </cfRule>
  </conditionalFormatting>
  <conditionalFormatting sqref="BH71">
    <cfRule type="cellIs" dxfId="20640" priority="161810" stopIfTrue="1" operator="greaterThanOrEqual">
      <formula>0.5</formula>
    </cfRule>
  </conditionalFormatting>
  <conditionalFormatting sqref="BH72">
    <cfRule type="cellIs" dxfId="20639" priority="161811" stopIfTrue="1" operator="equal">
      <formula>-1</formula>
    </cfRule>
  </conditionalFormatting>
  <conditionalFormatting sqref="BH72">
    <cfRule type="cellIs" dxfId="20638" priority="161812" stopIfTrue="1" operator="lessThan">
      <formula>0.5</formula>
    </cfRule>
  </conditionalFormatting>
  <conditionalFormatting sqref="BH72">
    <cfRule type="cellIs" dxfId="20637" priority="161813" stopIfTrue="1" operator="greaterThanOrEqual">
      <formula>0.5</formula>
    </cfRule>
  </conditionalFormatting>
  <conditionalFormatting sqref="BH73">
    <cfRule type="cellIs" dxfId="20636" priority="161814" stopIfTrue="1" operator="equal">
      <formula>-1</formula>
    </cfRule>
  </conditionalFormatting>
  <conditionalFormatting sqref="BH73">
    <cfRule type="cellIs" dxfId="20635" priority="161815" stopIfTrue="1" operator="lessThan">
      <formula>0.5</formula>
    </cfRule>
  </conditionalFormatting>
  <conditionalFormatting sqref="BH73">
    <cfRule type="cellIs" dxfId="20634" priority="161816" stopIfTrue="1" operator="greaterThanOrEqual">
      <formula>0.5</formula>
    </cfRule>
  </conditionalFormatting>
  <conditionalFormatting sqref="BH74">
    <cfRule type="cellIs" dxfId="20633" priority="161817" stopIfTrue="1" operator="equal">
      <formula>-1</formula>
    </cfRule>
  </conditionalFormatting>
  <conditionalFormatting sqref="BH74">
    <cfRule type="cellIs" dxfId="20632" priority="161818" stopIfTrue="1" operator="lessThan">
      <formula>0.5</formula>
    </cfRule>
  </conditionalFormatting>
  <conditionalFormatting sqref="BH74">
    <cfRule type="cellIs" dxfId="20631" priority="161819" stopIfTrue="1" operator="greaterThanOrEqual">
      <formula>0.5</formula>
    </cfRule>
  </conditionalFormatting>
  <conditionalFormatting sqref="BH75">
    <cfRule type="cellIs" dxfId="20630" priority="161820" stopIfTrue="1" operator="equal">
      <formula>-1</formula>
    </cfRule>
  </conditionalFormatting>
  <conditionalFormatting sqref="BH75">
    <cfRule type="cellIs" dxfId="20629" priority="161821" stopIfTrue="1" operator="lessThan">
      <formula>0.5</formula>
    </cfRule>
  </conditionalFormatting>
  <conditionalFormatting sqref="BH75">
    <cfRule type="cellIs" dxfId="20628" priority="161822" stopIfTrue="1" operator="greaterThanOrEqual">
      <formula>0.5</formula>
    </cfRule>
  </conditionalFormatting>
  <conditionalFormatting sqref="BH76">
    <cfRule type="cellIs" dxfId="20627" priority="161823" stopIfTrue="1" operator="equal">
      <formula>-1</formula>
    </cfRule>
  </conditionalFormatting>
  <conditionalFormatting sqref="BH76">
    <cfRule type="cellIs" dxfId="20626" priority="161824" stopIfTrue="1" operator="lessThan">
      <formula>0.5</formula>
    </cfRule>
  </conditionalFormatting>
  <conditionalFormatting sqref="BH76">
    <cfRule type="cellIs" dxfId="20625" priority="161825" stopIfTrue="1" operator="greaterThanOrEqual">
      <formula>0.5</formula>
    </cfRule>
  </conditionalFormatting>
  <conditionalFormatting sqref="BH77">
    <cfRule type="cellIs" dxfId="20624" priority="161826" stopIfTrue="1" operator="equal">
      <formula>-1</formula>
    </cfRule>
  </conditionalFormatting>
  <conditionalFormatting sqref="BH77">
    <cfRule type="cellIs" dxfId="20623" priority="161827" stopIfTrue="1" operator="lessThan">
      <formula>0.5</formula>
    </cfRule>
  </conditionalFormatting>
  <conditionalFormatting sqref="BH77">
    <cfRule type="cellIs" dxfId="20622" priority="161828" stopIfTrue="1" operator="greaterThanOrEqual">
      <formula>0.5</formula>
    </cfRule>
  </conditionalFormatting>
  <conditionalFormatting sqref="BH78">
    <cfRule type="cellIs" dxfId="20621" priority="161829" stopIfTrue="1" operator="equal">
      <formula>-1</formula>
    </cfRule>
  </conditionalFormatting>
  <conditionalFormatting sqref="BH78">
    <cfRule type="cellIs" dxfId="20620" priority="161830" stopIfTrue="1" operator="lessThan">
      <formula>0.5</formula>
    </cfRule>
  </conditionalFormatting>
  <conditionalFormatting sqref="BH78">
    <cfRule type="cellIs" dxfId="20619" priority="161831" stopIfTrue="1" operator="greaterThanOrEqual">
      <formula>0.5</formula>
    </cfRule>
  </conditionalFormatting>
  <conditionalFormatting sqref="BH79">
    <cfRule type="cellIs" dxfId="20618" priority="161832" stopIfTrue="1" operator="equal">
      <formula>-1</formula>
    </cfRule>
  </conditionalFormatting>
  <conditionalFormatting sqref="BH79">
    <cfRule type="cellIs" dxfId="20617" priority="161833" stopIfTrue="1" operator="lessThan">
      <formula>0.5</formula>
    </cfRule>
  </conditionalFormatting>
  <conditionalFormatting sqref="BH79">
    <cfRule type="cellIs" dxfId="20616" priority="161834" stopIfTrue="1" operator="greaterThanOrEqual">
      <formula>0.5</formula>
    </cfRule>
  </conditionalFormatting>
  <conditionalFormatting sqref="BH80">
    <cfRule type="cellIs" dxfId="20615" priority="161835" stopIfTrue="1" operator="equal">
      <formula>-1</formula>
    </cfRule>
  </conditionalFormatting>
  <conditionalFormatting sqref="BH80">
    <cfRule type="cellIs" dxfId="20614" priority="161836" stopIfTrue="1" operator="lessThan">
      <formula>0.5</formula>
    </cfRule>
  </conditionalFormatting>
  <conditionalFormatting sqref="BH80">
    <cfRule type="cellIs" dxfId="20613" priority="161837" stopIfTrue="1" operator="greaterThanOrEqual">
      <formula>0.5</formula>
    </cfRule>
  </conditionalFormatting>
  <conditionalFormatting sqref="BH81">
    <cfRule type="cellIs" dxfId="20612" priority="161838" stopIfTrue="1" operator="equal">
      <formula>-1</formula>
    </cfRule>
  </conditionalFormatting>
  <conditionalFormatting sqref="BH81">
    <cfRule type="cellIs" dxfId="20611" priority="161839" stopIfTrue="1" operator="lessThan">
      <formula>0.5</formula>
    </cfRule>
  </conditionalFormatting>
  <conditionalFormatting sqref="BH81">
    <cfRule type="cellIs" dxfId="20610" priority="161840" stopIfTrue="1" operator="greaterThanOrEqual">
      <formula>0.5</formula>
    </cfRule>
  </conditionalFormatting>
  <conditionalFormatting sqref="BH82">
    <cfRule type="cellIs" dxfId="20609" priority="161841" stopIfTrue="1" operator="equal">
      <formula>-1</formula>
    </cfRule>
  </conditionalFormatting>
  <conditionalFormatting sqref="BH82">
    <cfRule type="cellIs" dxfId="20608" priority="161842" stopIfTrue="1" operator="lessThan">
      <formula>0.5</formula>
    </cfRule>
  </conditionalFormatting>
  <conditionalFormatting sqref="BH82">
    <cfRule type="cellIs" dxfId="20607" priority="161843" stopIfTrue="1" operator="greaterThanOrEqual">
      <formula>0.5</formula>
    </cfRule>
  </conditionalFormatting>
  <conditionalFormatting sqref="BH83">
    <cfRule type="cellIs" dxfId="20606" priority="161844" stopIfTrue="1" operator="equal">
      <formula>-1</formula>
    </cfRule>
  </conditionalFormatting>
  <conditionalFormatting sqref="BH83">
    <cfRule type="cellIs" dxfId="20605" priority="161845" stopIfTrue="1" operator="lessThan">
      <formula>0.5</formula>
    </cfRule>
  </conditionalFormatting>
  <conditionalFormatting sqref="BH83">
    <cfRule type="cellIs" dxfId="20604" priority="161846" stopIfTrue="1" operator="greaterThanOrEqual">
      <formula>0.5</formula>
    </cfRule>
  </conditionalFormatting>
  <conditionalFormatting sqref="BH84">
    <cfRule type="cellIs" dxfId="20603" priority="161847" stopIfTrue="1" operator="equal">
      <formula>-1</formula>
    </cfRule>
  </conditionalFormatting>
  <conditionalFormatting sqref="BH84">
    <cfRule type="cellIs" dxfId="20602" priority="161848" stopIfTrue="1" operator="lessThan">
      <formula>0.5</formula>
    </cfRule>
  </conditionalFormatting>
  <conditionalFormatting sqref="BH84">
    <cfRule type="cellIs" dxfId="20601" priority="161849" stopIfTrue="1" operator="greaterThanOrEqual">
      <formula>0.5</formula>
    </cfRule>
  </conditionalFormatting>
  <conditionalFormatting sqref="BH85">
    <cfRule type="cellIs" dxfId="20600" priority="161850" stopIfTrue="1" operator="equal">
      <formula>-1</formula>
    </cfRule>
  </conditionalFormatting>
  <conditionalFormatting sqref="BH85">
    <cfRule type="cellIs" dxfId="20599" priority="161851" stopIfTrue="1" operator="lessThan">
      <formula>0.5</formula>
    </cfRule>
  </conditionalFormatting>
  <conditionalFormatting sqref="BH85">
    <cfRule type="cellIs" dxfId="20598" priority="161852" stopIfTrue="1" operator="greaterThanOrEqual">
      <formula>0.5</formula>
    </cfRule>
  </conditionalFormatting>
  <conditionalFormatting sqref="BJ65">
    <cfRule type="cellIs" dxfId="20597" priority="161853" stopIfTrue="1" operator="equal">
      <formula>-1</formula>
    </cfRule>
  </conditionalFormatting>
  <conditionalFormatting sqref="BJ65">
    <cfRule type="cellIs" dxfId="20596" priority="161854" stopIfTrue="1" operator="lessThan">
      <formula>0.5</formula>
    </cfRule>
  </conditionalFormatting>
  <conditionalFormatting sqref="BJ65">
    <cfRule type="cellIs" dxfId="20595" priority="161855" stopIfTrue="1" operator="greaterThanOrEqual">
      <formula>0.5</formula>
    </cfRule>
  </conditionalFormatting>
  <conditionalFormatting sqref="BJ66">
    <cfRule type="cellIs" dxfId="20594" priority="161856" stopIfTrue="1" operator="equal">
      <formula>-1</formula>
    </cfRule>
  </conditionalFormatting>
  <conditionalFormatting sqref="BJ66">
    <cfRule type="cellIs" dxfId="20593" priority="161857" stopIfTrue="1" operator="lessThan">
      <formula>0.5</formula>
    </cfRule>
  </conditionalFormatting>
  <conditionalFormatting sqref="BJ66">
    <cfRule type="cellIs" dxfId="20592" priority="161858" stopIfTrue="1" operator="greaterThanOrEqual">
      <formula>0.5</formula>
    </cfRule>
  </conditionalFormatting>
  <conditionalFormatting sqref="BJ67">
    <cfRule type="cellIs" dxfId="20591" priority="161859" stopIfTrue="1" operator="equal">
      <formula>-1</formula>
    </cfRule>
  </conditionalFormatting>
  <conditionalFormatting sqref="BJ67">
    <cfRule type="cellIs" dxfId="20590" priority="161860" stopIfTrue="1" operator="lessThan">
      <formula>0.5</formula>
    </cfRule>
  </conditionalFormatting>
  <conditionalFormatting sqref="BJ67">
    <cfRule type="cellIs" dxfId="20589" priority="161861" stopIfTrue="1" operator="greaterThanOrEqual">
      <formula>0.5</formula>
    </cfRule>
  </conditionalFormatting>
  <conditionalFormatting sqref="BJ68">
    <cfRule type="cellIs" dxfId="20588" priority="161862" stopIfTrue="1" operator="equal">
      <formula>-1</formula>
    </cfRule>
  </conditionalFormatting>
  <conditionalFormatting sqref="BJ68">
    <cfRule type="cellIs" dxfId="20587" priority="161863" stopIfTrue="1" operator="lessThan">
      <formula>0.5</formula>
    </cfRule>
  </conditionalFormatting>
  <conditionalFormatting sqref="BJ68">
    <cfRule type="cellIs" dxfId="20586" priority="161864" stopIfTrue="1" operator="greaterThanOrEqual">
      <formula>0.5</formula>
    </cfRule>
  </conditionalFormatting>
  <conditionalFormatting sqref="BJ69">
    <cfRule type="cellIs" dxfId="20585" priority="161865" stopIfTrue="1" operator="equal">
      <formula>-1</formula>
    </cfRule>
  </conditionalFormatting>
  <conditionalFormatting sqref="BJ69">
    <cfRule type="cellIs" dxfId="20584" priority="161866" stopIfTrue="1" operator="lessThan">
      <formula>0.5</formula>
    </cfRule>
  </conditionalFormatting>
  <conditionalFormatting sqref="BJ69">
    <cfRule type="cellIs" dxfId="20583" priority="161867" stopIfTrue="1" operator="greaterThanOrEqual">
      <formula>0.5</formula>
    </cfRule>
  </conditionalFormatting>
  <conditionalFormatting sqref="BJ70">
    <cfRule type="cellIs" dxfId="20582" priority="161868" stopIfTrue="1" operator="equal">
      <formula>-1</formula>
    </cfRule>
  </conditionalFormatting>
  <conditionalFormatting sqref="BJ70">
    <cfRule type="cellIs" dxfId="20581" priority="161869" stopIfTrue="1" operator="lessThan">
      <formula>0.5</formula>
    </cfRule>
  </conditionalFormatting>
  <conditionalFormatting sqref="BJ70">
    <cfRule type="cellIs" dxfId="20580" priority="161870" stopIfTrue="1" operator="greaterThanOrEqual">
      <formula>0.5</formula>
    </cfRule>
  </conditionalFormatting>
  <conditionalFormatting sqref="BJ71">
    <cfRule type="cellIs" dxfId="20579" priority="161871" stopIfTrue="1" operator="equal">
      <formula>-1</formula>
    </cfRule>
  </conditionalFormatting>
  <conditionalFormatting sqref="BJ71">
    <cfRule type="cellIs" dxfId="20578" priority="161872" stopIfTrue="1" operator="lessThan">
      <formula>0.5</formula>
    </cfRule>
  </conditionalFormatting>
  <conditionalFormatting sqref="BJ71">
    <cfRule type="cellIs" dxfId="20577" priority="161873" stopIfTrue="1" operator="greaterThanOrEqual">
      <formula>0.5</formula>
    </cfRule>
  </conditionalFormatting>
  <conditionalFormatting sqref="BJ72">
    <cfRule type="cellIs" dxfId="20576" priority="161874" stopIfTrue="1" operator="equal">
      <formula>-1</formula>
    </cfRule>
  </conditionalFormatting>
  <conditionalFormatting sqref="BJ72">
    <cfRule type="cellIs" dxfId="20575" priority="161875" stopIfTrue="1" operator="lessThan">
      <formula>0.5</formula>
    </cfRule>
  </conditionalFormatting>
  <conditionalFormatting sqref="BJ72">
    <cfRule type="cellIs" dxfId="20574" priority="161876" stopIfTrue="1" operator="greaterThanOrEqual">
      <formula>0.5</formula>
    </cfRule>
  </conditionalFormatting>
  <conditionalFormatting sqref="BJ73">
    <cfRule type="cellIs" dxfId="20573" priority="161877" stopIfTrue="1" operator="equal">
      <formula>-1</formula>
    </cfRule>
  </conditionalFormatting>
  <conditionalFormatting sqref="BJ73">
    <cfRule type="cellIs" dxfId="20572" priority="161878" stopIfTrue="1" operator="lessThan">
      <formula>0.5</formula>
    </cfRule>
  </conditionalFormatting>
  <conditionalFormatting sqref="BJ73">
    <cfRule type="cellIs" dxfId="20571" priority="161879" stopIfTrue="1" operator="greaterThanOrEqual">
      <formula>0.5</formula>
    </cfRule>
  </conditionalFormatting>
  <conditionalFormatting sqref="BJ74">
    <cfRule type="cellIs" dxfId="20570" priority="161880" stopIfTrue="1" operator="equal">
      <formula>-1</formula>
    </cfRule>
  </conditionalFormatting>
  <conditionalFormatting sqref="BJ74">
    <cfRule type="cellIs" dxfId="20569" priority="161881" stopIfTrue="1" operator="lessThan">
      <formula>0.5</formula>
    </cfRule>
  </conditionalFormatting>
  <conditionalFormatting sqref="BJ74">
    <cfRule type="cellIs" dxfId="20568" priority="161882" stopIfTrue="1" operator="greaterThanOrEqual">
      <formula>0.5</formula>
    </cfRule>
  </conditionalFormatting>
  <conditionalFormatting sqref="BJ75">
    <cfRule type="cellIs" dxfId="20567" priority="161883" stopIfTrue="1" operator="equal">
      <formula>-1</formula>
    </cfRule>
  </conditionalFormatting>
  <conditionalFormatting sqref="BJ75">
    <cfRule type="cellIs" dxfId="20566" priority="161884" stopIfTrue="1" operator="lessThan">
      <formula>0.5</formula>
    </cfRule>
  </conditionalFormatting>
  <conditionalFormatting sqref="BJ75">
    <cfRule type="cellIs" dxfId="20565" priority="161885" stopIfTrue="1" operator="greaterThanOrEqual">
      <formula>0.5</formula>
    </cfRule>
  </conditionalFormatting>
  <conditionalFormatting sqref="BJ76">
    <cfRule type="cellIs" dxfId="20564" priority="161886" stopIfTrue="1" operator="equal">
      <formula>-1</formula>
    </cfRule>
  </conditionalFormatting>
  <conditionalFormatting sqref="BJ76">
    <cfRule type="cellIs" dxfId="20563" priority="161887" stopIfTrue="1" operator="lessThan">
      <formula>0.5</formula>
    </cfRule>
  </conditionalFormatting>
  <conditionalFormatting sqref="BJ76">
    <cfRule type="cellIs" dxfId="20562" priority="161888" stopIfTrue="1" operator="greaterThanOrEqual">
      <formula>0.5</formula>
    </cfRule>
  </conditionalFormatting>
  <conditionalFormatting sqref="BJ77">
    <cfRule type="cellIs" dxfId="20561" priority="161889" stopIfTrue="1" operator="equal">
      <formula>-1</formula>
    </cfRule>
  </conditionalFormatting>
  <conditionalFormatting sqref="BJ77">
    <cfRule type="cellIs" dxfId="20560" priority="161890" stopIfTrue="1" operator="lessThan">
      <formula>0.5</formula>
    </cfRule>
  </conditionalFormatting>
  <conditionalFormatting sqref="BJ77">
    <cfRule type="cellIs" dxfId="20559" priority="161891" stopIfTrue="1" operator="greaterThanOrEqual">
      <formula>0.5</formula>
    </cfRule>
  </conditionalFormatting>
  <conditionalFormatting sqref="BJ78">
    <cfRule type="cellIs" dxfId="20558" priority="161892" stopIfTrue="1" operator="equal">
      <formula>-1</formula>
    </cfRule>
  </conditionalFormatting>
  <conditionalFormatting sqref="BJ78">
    <cfRule type="cellIs" dxfId="20557" priority="161893" stopIfTrue="1" operator="lessThan">
      <formula>0.5</formula>
    </cfRule>
  </conditionalFormatting>
  <conditionalFormatting sqref="BJ78">
    <cfRule type="cellIs" dxfId="20556" priority="161894" stopIfTrue="1" operator="greaterThanOrEqual">
      <formula>0.5</formula>
    </cfRule>
  </conditionalFormatting>
  <conditionalFormatting sqref="BJ79">
    <cfRule type="cellIs" dxfId="20555" priority="161895" stopIfTrue="1" operator="equal">
      <formula>-1</formula>
    </cfRule>
  </conditionalFormatting>
  <conditionalFormatting sqref="BJ79">
    <cfRule type="cellIs" dxfId="20554" priority="161896" stopIfTrue="1" operator="lessThan">
      <formula>0.5</formula>
    </cfRule>
  </conditionalFormatting>
  <conditionalFormatting sqref="BJ79">
    <cfRule type="cellIs" dxfId="20553" priority="161897" stopIfTrue="1" operator="greaterThanOrEqual">
      <formula>0.5</formula>
    </cfRule>
  </conditionalFormatting>
  <conditionalFormatting sqref="BJ80">
    <cfRule type="cellIs" dxfId="20552" priority="161898" stopIfTrue="1" operator="equal">
      <formula>-1</formula>
    </cfRule>
  </conditionalFormatting>
  <conditionalFormatting sqref="BJ80">
    <cfRule type="cellIs" dxfId="20551" priority="161899" stopIfTrue="1" operator="lessThan">
      <formula>0.5</formula>
    </cfRule>
  </conditionalFormatting>
  <conditionalFormatting sqref="BJ80">
    <cfRule type="cellIs" dxfId="20550" priority="161900" stopIfTrue="1" operator="greaterThanOrEqual">
      <formula>0.5</formula>
    </cfRule>
  </conditionalFormatting>
  <conditionalFormatting sqref="BJ81">
    <cfRule type="cellIs" dxfId="20549" priority="161901" stopIfTrue="1" operator="equal">
      <formula>-1</formula>
    </cfRule>
  </conditionalFormatting>
  <conditionalFormatting sqref="BJ81">
    <cfRule type="cellIs" dxfId="20548" priority="161902" stopIfTrue="1" operator="lessThan">
      <formula>0.5</formula>
    </cfRule>
  </conditionalFormatting>
  <conditionalFormatting sqref="BJ81">
    <cfRule type="cellIs" dxfId="20547" priority="161903" stopIfTrue="1" operator="greaterThanOrEqual">
      <formula>0.5</formula>
    </cfRule>
  </conditionalFormatting>
  <conditionalFormatting sqref="BJ82">
    <cfRule type="cellIs" dxfId="20546" priority="161904" stopIfTrue="1" operator="equal">
      <formula>-1</formula>
    </cfRule>
  </conditionalFormatting>
  <conditionalFormatting sqref="BJ82">
    <cfRule type="cellIs" dxfId="20545" priority="161905" stopIfTrue="1" operator="lessThan">
      <formula>0.5</formula>
    </cfRule>
  </conditionalFormatting>
  <conditionalFormatting sqref="BJ82">
    <cfRule type="cellIs" dxfId="20544" priority="161906" stopIfTrue="1" operator="greaterThanOrEqual">
      <formula>0.5</formula>
    </cfRule>
  </conditionalFormatting>
  <conditionalFormatting sqref="BJ83">
    <cfRule type="cellIs" dxfId="20543" priority="161907" stopIfTrue="1" operator="equal">
      <formula>-1</formula>
    </cfRule>
  </conditionalFormatting>
  <conditionalFormatting sqref="BJ83">
    <cfRule type="cellIs" dxfId="20542" priority="161908" stopIfTrue="1" operator="lessThan">
      <formula>0.5</formula>
    </cfRule>
  </conditionalFormatting>
  <conditionalFormatting sqref="BJ83">
    <cfRule type="cellIs" dxfId="20541" priority="161909" stopIfTrue="1" operator="greaterThanOrEqual">
      <formula>0.5</formula>
    </cfRule>
  </conditionalFormatting>
  <conditionalFormatting sqref="BJ84">
    <cfRule type="cellIs" dxfId="20540" priority="161910" stopIfTrue="1" operator="equal">
      <formula>-1</formula>
    </cfRule>
  </conditionalFormatting>
  <conditionalFormatting sqref="BJ84">
    <cfRule type="cellIs" dxfId="20539" priority="161911" stopIfTrue="1" operator="lessThan">
      <formula>0.5</formula>
    </cfRule>
  </conditionalFormatting>
  <conditionalFormatting sqref="BJ84">
    <cfRule type="cellIs" dxfId="20538" priority="161912" stopIfTrue="1" operator="greaterThanOrEqual">
      <formula>0.5</formula>
    </cfRule>
  </conditionalFormatting>
  <conditionalFormatting sqref="BJ85">
    <cfRule type="cellIs" dxfId="20537" priority="161913" stopIfTrue="1" operator="equal">
      <formula>-1</formula>
    </cfRule>
  </conditionalFormatting>
  <conditionalFormatting sqref="BJ85">
    <cfRule type="cellIs" dxfId="20536" priority="161914" stopIfTrue="1" operator="lessThan">
      <formula>0.5</formula>
    </cfRule>
  </conditionalFormatting>
  <conditionalFormatting sqref="BJ85">
    <cfRule type="cellIs" dxfId="20535" priority="16191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8BD99-C3D3-DE47-ACA5-6D1793F68DE6}">
  <sheetPr codeName="Sheet8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66" t="str" cm="1">
        <f t="array" ref="A1">[1]!GRUPO</f>
        <v>2º Bach.</v>
      </c>
      <c r="B1" s="71" t="s">
        <v>102</v>
      </c>
      <c r="C1" s="67">
        <v>1</v>
      </c>
      <c r="D1" s="67"/>
      <c r="E1" s="67">
        <v>2</v>
      </c>
      <c r="F1" s="67" t="s">
        <v>0</v>
      </c>
      <c r="G1" s="67">
        <v>3</v>
      </c>
      <c r="H1" s="67" t="s">
        <v>0</v>
      </c>
      <c r="I1" s="67">
        <v>4</v>
      </c>
      <c r="J1" s="67" t="s">
        <v>0</v>
      </c>
      <c r="K1" s="67">
        <v>5</v>
      </c>
      <c r="L1" s="67" t="s">
        <v>0</v>
      </c>
      <c r="M1" s="67">
        <v>6</v>
      </c>
      <c r="N1" s="67" t="s">
        <v>0</v>
      </c>
      <c r="O1" s="67">
        <v>7</v>
      </c>
      <c r="P1" s="67" t="s">
        <v>0</v>
      </c>
      <c r="Q1" s="67">
        <v>8</v>
      </c>
      <c r="R1" s="67" t="s">
        <v>0</v>
      </c>
      <c r="S1" s="67">
        <v>9</v>
      </c>
      <c r="T1" s="67" t="s">
        <v>0</v>
      </c>
      <c r="U1" s="67">
        <v>10</v>
      </c>
      <c r="V1" s="67" t="s">
        <v>0</v>
      </c>
      <c r="W1" s="67">
        <v>11</v>
      </c>
      <c r="X1" s="67" t="s">
        <v>0</v>
      </c>
      <c r="Y1" s="67">
        <v>12</v>
      </c>
      <c r="Z1" s="67" t="s">
        <v>1</v>
      </c>
      <c r="AA1" s="67">
        <v>13</v>
      </c>
      <c r="AB1" s="67" t="s">
        <v>0</v>
      </c>
      <c r="AC1" s="67">
        <v>14</v>
      </c>
      <c r="AD1" s="67" t="s">
        <v>0</v>
      </c>
      <c r="AE1" s="67">
        <v>15</v>
      </c>
      <c r="AF1" s="67" t="s">
        <v>0</v>
      </c>
      <c r="AG1" s="67">
        <v>16</v>
      </c>
      <c r="AH1" s="67" t="s">
        <v>0</v>
      </c>
      <c r="AI1" s="67">
        <v>17</v>
      </c>
      <c r="AJ1" s="67"/>
      <c r="AK1" s="67">
        <v>18</v>
      </c>
      <c r="AL1" s="67"/>
      <c r="AM1" s="67">
        <v>19</v>
      </c>
      <c r="AN1" s="67"/>
      <c r="AO1" s="67">
        <v>20</v>
      </c>
      <c r="AP1" s="67" t="s">
        <v>0</v>
      </c>
      <c r="AQ1" s="67">
        <v>21</v>
      </c>
      <c r="AR1" s="67"/>
      <c r="AS1" s="67">
        <v>22</v>
      </c>
      <c r="AT1" s="67" t="s">
        <v>0</v>
      </c>
      <c r="AU1" s="67">
        <v>23</v>
      </c>
      <c r="AV1" s="67" t="s">
        <v>0</v>
      </c>
      <c r="AW1" s="67">
        <v>24</v>
      </c>
      <c r="AX1" s="67"/>
      <c r="AY1" s="67">
        <v>25</v>
      </c>
      <c r="AZ1" s="67"/>
      <c r="BA1" s="67">
        <v>26</v>
      </c>
      <c r="BB1" s="67"/>
      <c r="BC1" s="67">
        <v>27</v>
      </c>
      <c r="BD1" s="67"/>
      <c r="BE1" s="67">
        <v>28</v>
      </c>
      <c r="BF1" s="67"/>
      <c r="BG1" s="67">
        <v>29</v>
      </c>
      <c r="BH1" s="67"/>
      <c r="BI1" s="67">
        <v>30</v>
      </c>
      <c r="BJ1" s="67"/>
    </row>
    <row r="2" spans="1:62" ht="115" customHeight="1" x14ac:dyDescent="0.2">
      <c r="A2" s="66"/>
      <c r="B2" s="72"/>
      <c r="C2" s="68" t="str">
        <f>[1]Examen11!C$2</f>
        <v>Alma Casa, Mario</v>
      </c>
      <c r="D2" s="68"/>
      <c r="E2" s="68" t="str">
        <f>[1]Examen11!E$2</f>
        <v>Amado Luz, Martín</v>
      </c>
      <c r="F2" s="68"/>
      <c r="G2" s="68" t="str">
        <f>[1]Examen11!G$2</f>
        <v>Bonete Cune, Carla</v>
      </c>
      <c r="H2" s="68"/>
      <c r="I2" s="68" t="str">
        <f>[1]Examen11!I$2</f>
        <v>Casado Marín, María</v>
      </c>
      <c r="J2" s="68"/>
      <c r="K2" s="68" t="str">
        <f>[1]Examen11!K$2</f>
        <v>Concepción García, Elena</v>
      </c>
      <c r="L2" s="68"/>
      <c r="M2" s="68" t="str">
        <f>[1]Examen11!M$2</f>
        <v>Díaz Lucas, Ricardo</v>
      </c>
      <c r="N2" s="68"/>
      <c r="O2" s="68" t="str">
        <f>[1]Examen11!O$2</f>
        <v>Díaz Ríos, Lucía</v>
      </c>
      <c r="P2" s="68"/>
      <c r="Q2" s="68" t="str">
        <f>[1]Examen11!Q$2</f>
        <v>García López, Juan Ángel</v>
      </c>
      <c r="R2" s="68"/>
      <c r="S2" s="68" t="str">
        <f>[1]Examen11!S$2</f>
        <v>García Pérez, Luis</v>
      </c>
      <c r="T2" s="68"/>
      <c r="U2" s="68" t="str">
        <f>[1]Examen11!U$2</f>
        <v>Garijo Piqueras, María</v>
      </c>
      <c r="V2" s="68"/>
      <c r="W2" s="68" t="str">
        <f>[1]Examen11!W$2</f>
        <v>Gómez Luna, José</v>
      </c>
      <c r="X2" s="68"/>
      <c r="Y2" s="68" t="str">
        <f>[1]Examen11!Y$2</f>
        <v>González García, Juan</v>
      </c>
      <c r="Z2" s="68"/>
      <c r="AA2" s="68" t="str">
        <f>[1]Examen11!AA$2</f>
        <v>González Pérez, María</v>
      </c>
      <c r="AB2" s="68"/>
      <c r="AC2" s="68" t="str">
        <f>[1]Examen11!AC$2</f>
        <v>Laín Hernández, Luisa</v>
      </c>
      <c r="AD2" s="68"/>
      <c r="AE2" s="68" t="str">
        <f>[1]Examen11!AE$2</f>
        <v>Lirios Lara, Juan</v>
      </c>
      <c r="AF2" s="68"/>
      <c r="AG2" s="68" t="str">
        <f>[1]Examen11!AG$2</f>
        <v>López Picazo, Marta</v>
      </c>
      <c r="AH2" s="68"/>
      <c r="AI2" s="68" t="str">
        <f>[1]Examen11!AI$2</f>
        <v>Molina Pérez, Marina</v>
      </c>
      <c r="AJ2" s="68"/>
      <c r="AK2" s="68" t="str">
        <f>[1]Examen11!AK$2</f>
        <v>Molina Sánchez, Inmaculada</v>
      </c>
      <c r="AL2" s="68"/>
      <c r="AM2" s="68" t="str">
        <f>[1]Examen11!AM$2</f>
        <v>Montero Pacheco, Pablo</v>
      </c>
      <c r="AN2" s="68"/>
      <c r="AO2" s="68" t="str">
        <f>[1]Examen11!AO$2</f>
        <v>Mora García, Javier</v>
      </c>
      <c r="AP2" s="68"/>
      <c r="AQ2" s="68" t="str">
        <f>[1]Examen11!AQ$2</f>
        <v>Morcillo Pared, Luna</v>
      </c>
      <c r="AR2" s="68"/>
      <c r="AS2" s="68" t="str">
        <f>[1]Examen11!AS$2</f>
        <v>Moreno Hernández, Francisco</v>
      </c>
      <c r="AT2" s="68"/>
      <c r="AU2" s="68" t="str">
        <f>[1]Examen11!AU$2</f>
        <v>Muñoz Garijo, Pablo</v>
      </c>
      <c r="AV2" s="68"/>
      <c r="AW2" s="68" t="str">
        <f>[1]Examen11!AW$2</f>
        <v>Pérez Garrido, Francisco</v>
      </c>
      <c r="AX2" s="68"/>
      <c r="AY2" s="68" t="str">
        <f>[1]Examen11!AY$2</f>
        <v>Serna Serna, Susana</v>
      </c>
      <c r="AZ2" s="68"/>
      <c r="BA2" s="68" t="str">
        <f>[1]Examen11!BA$2</f>
        <v>Soriano Tornero, Manuel</v>
      </c>
      <c r="BB2" s="68"/>
      <c r="BC2" s="68" t="str">
        <f>[1]Examen11!BC$2</f>
        <v>Zarza Parrilla, Manuel</v>
      </c>
      <c r="BD2" s="68"/>
      <c r="BE2" s="68" t="str">
        <f>[1]Examen11!BE$2</f>
        <v/>
      </c>
      <c r="BF2" s="68"/>
      <c r="BG2" s="68" t="str">
        <f>[1]Examen11!BG$2</f>
        <v/>
      </c>
      <c r="BH2" s="68"/>
      <c r="BI2" s="68" t="str">
        <f>[1]Examen11!BI$2</f>
        <v/>
      </c>
      <c r="BJ2" s="68"/>
    </row>
    <row r="3" spans="1:62" ht="33" customHeight="1" x14ac:dyDescent="0.2">
      <c r="A3" s="36" t="str" cm="1">
        <f t="array" ref="A3">[1]!VERSION</f>
        <v>Versión 1.1</v>
      </c>
      <c r="B3" s="10" t="str">
        <f>IF((B4+B7+B16+B38+B59+B64)=1,"Ok","Error % Bloques")</f>
        <v>Ok</v>
      </c>
      <c r="C3" s="53">
        <f>SUM(C4,C7,C16,C38,C59,C64)</f>
        <v>0</v>
      </c>
      <c r="D3" s="54"/>
      <c r="E3" s="53">
        <f t="shared" ref="E3" si="0">SUM(E4,E7,E16,E38,E59,E64)</f>
        <v>0</v>
      </c>
      <c r="F3" s="54"/>
      <c r="G3" s="53">
        <f t="shared" ref="G3" si="1">SUM(G4,G7,G16,G38,G59,G64)</f>
        <v>0</v>
      </c>
      <c r="H3" s="54"/>
      <c r="I3" s="53">
        <f t="shared" ref="I3" si="2">SUM(I4,I7,I16,I38,I59,I64)</f>
        <v>0</v>
      </c>
      <c r="J3" s="54"/>
      <c r="K3" s="53">
        <f t="shared" ref="K3" si="3">SUM(K4,K7,K16,K38,K59,K64)</f>
        <v>0</v>
      </c>
      <c r="L3" s="54"/>
      <c r="M3" s="53">
        <f t="shared" ref="M3" si="4">SUM(M4,M7,M16,M38,M59,M64)</f>
        <v>0</v>
      </c>
      <c r="N3" s="54"/>
      <c r="O3" s="53">
        <f t="shared" ref="O3" si="5">SUM(O4,O7,O16,O38,O59,O64)</f>
        <v>0</v>
      </c>
      <c r="P3" s="54"/>
      <c r="Q3" s="53">
        <f t="shared" ref="Q3" si="6">SUM(Q4,Q7,Q16,Q38,Q59,Q64)</f>
        <v>0</v>
      </c>
      <c r="R3" s="54"/>
      <c r="S3" s="53">
        <f t="shared" ref="S3" si="7">SUM(S4,S7,S16,S38,S59,S64)</f>
        <v>0</v>
      </c>
      <c r="T3" s="54"/>
      <c r="U3" s="53">
        <f t="shared" ref="U3" si="8">SUM(U4,U7,U16,U38,U59,U64)</f>
        <v>0</v>
      </c>
      <c r="V3" s="54"/>
      <c r="W3" s="53">
        <f t="shared" ref="W3" si="9">SUM(W4,W7,W16,W38,W59,W64)</f>
        <v>0</v>
      </c>
      <c r="X3" s="54"/>
      <c r="Y3" s="53">
        <f t="shared" ref="Y3" si="10">SUM(Y4,Y7,Y16,Y38,Y59,Y64)</f>
        <v>0</v>
      </c>
      <c r="Z3" s="54"/>
      <c r="AA3" s="53">
        <f t="shared" ref="AA3" si="11">SUM(AA4,AA7,AA16,AA38,AA59,AA64)</f>
        <v>0</v>
      </c>
      <c r="AB3" s="54"/>
      <c r="AC3" s="53">
        <f t="shared" ref="AC3" si="12">SUM(AC4,AC7,AC16,AC38,AC59,AC64)</f>
        <v>0</v>
      </c>
      <c r="AD3" s="54"/>
      <c r="AE3" s="53">
        <f t="shared" ref="AE3" si="13">SUM(AE4,AE7,AE16,AE38,AE59,AE64)</f>
        <v>0</v>
      </c>
      <c r="AF3" s="54"/>
      <c r="AG3" s="53">
        <f t="shared" ref="AG3" si="14">SUM(AG4,AG7,AG16,AG38,AG59,AG64)</f>
        <v>0</v>
      </c>
      <c r="AH3" s="54"/>
      <c r="AI3" s="53">
        <f t="shared" ref="AI3" si="15">SUM(AI4,AI7,AI16,AI38,AI59,AI64)</f>
        <v>0</v>
      </c>
      <c r="AJ3" s="54"/>
      <c r="AK3" s="53">
        <f t="shared" ref="AK3" si="16">SUM(AK4,AK7,AK16,AK38,AK59,AK64)</f>
        <v>0</v>
      </c>
      <c r="AL3" s="54"/>
      <c r="AM3" s="53">
        <f t="shared" ref="AM3" si="17">SUM(AM4,AM7,AM16,AM38,AM59,AM64)</f>
        <v>0</v>
      </c>
      <c r="AN3" s="54"/>
      <c r="AO3" s="53">
        <f t="shared" ref="AO3" si="18">SUM(AO4,AO7,AO16,AO38,AO59,AO64)</f>
        <v>0</v>
      </c>
      <c r="AP3" s="54"/>
      <c r="AQ3" s="53">
        <f t="shared" ref="AQ3" si="19">SUM(AQ4,AQ7,AQ16,AQ38,AQ59,AQ64)</f>
        <v>0</v>
      </c>
      <c r="AR3" s="54"/>
      <c r="AS3" s="53">
        <f t="shared" ref="AS3" si="20">SUM(AS4,AS7,AS16,AS38,AS59,AS64)</f>
        <v>0</v>
      </c>
      <c r="AT3" s="54"/>
      <c r="AU3" s="53">
        <f t="shared" ref="AU3" si="21">SUM(AU4,AU7,AU16,AU38,AU59,AU64)</f>
        <v>0</v>
      </c>
      <c r="AV3" s="54"/>
      <c r="AW3" s="53">
        <f t="shared" ref="AW3" si="22">SUM(AW4,AW7,AW16,AW38,AW59,AW64)</f>
        <v>0</v>
      </c>
      <c r="AX3" s="54"/>
      <c r="AY3" s="53">
        <f t="shared" ref="AY3" si="23">SUM(AY4,AY7,AY16,AY38,AY59,AY64)</f>
        <v>0</v>
      </c>
      <c r="AZ3" s="54"/>
      <c r="BA3" s="53">
        <f t="shared" ref="BA3" si="24">SUM(BA4,BA7,BA16,BA38,BA59,BA64)</f>
        <v>0</v>
      </c>
      <c r="BB3" s="54"/>
      <c r="BC3" s="53">
        <f t="shared" ref="BC3" si="25">SUM(BC4,BC7,BC16,BC38,BC59,BC64)</f>
        <v>0</v>
      </c>
      <c r="BD3" s="54"/>
      <c r="BE3" s="53">
        <f t="shared" ref="BE3" si="26">SUM(BE4,BE7,BE16,BE38,BE59,BE64)</f>
        <v>0</v>
      </c>
      <c r="BF3" s="54"/>
      <c r="BG3" s="53">
        <f t="shared" ref="BG3" si="27">SUM(BG4,BG7,BG16,BG38,BG59,BG64)</f>
        <v>0</v>
      </c>
      <c r="BH3" s="54"/>
      <c r="BI3" s="53">
        <f t="shared" ref="BI3" si="28">SUM(BI4,BI7,BI16,BI38,BI59,BI64)</f>
        <v>0</v>
      </c>
      <c r="BJ3" s="54"/>
    </row>
    <row r="4" spans="1:62" ht="38" x14ac:dyDescent="0.2">
      <c r="A4" s="6" t="s">
        <v>2</v>
      </c>
      <c r="B4" s="7">
        <f>Estructura!D2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3">
        <f>Tercera!B5</f>
        <v>0</v>
      </c>
      <c r="C5" s="31">
        <f>Tercera!C5</f>
        <v>0</v>
      </c>
      <c r="D5" s="32">
        <f>IF($B5,C5/$B5,-1)</f>
        <v>-1</v>
      </c>
      <c r="E5" s="31">
        <f>Tercera!E5</f>
        <v>0</v>
      </c>
      <c r="F5" s="32">
        <f>IF($B5,E5/$B5,-1)</f>
        <v>-1</v>
      </c>
      <c r="G5" s="31">
        <f>Tercera!G5</f>
        <v>0</v>
      </c>
      <c r="H5" s="32">
        <f>IF($B5,G5/$B5,-1)</f>
        <v>-1</v>
      </c>
      <c r="I5" s="31">
        <f>Tercera!I5</f>
        <v>0</v>
      </c>
      <c r="J5" s="32">
        <f>IF($B5,I5/$B5,-1)</f>
        <v>-1</v>
      </c>
      <c r="K5" s="31">
        <f>Tercera!K5</f>
        <v>0</v>
      </c>
      <c r="L5" s="32">
        <f>IF($B5,K5/$B5,-1)</f>
        <v>-1</v>
      </c>
      <c r="M5" s="31">
        <f>Tercera!M5</f>
        <v>0</v>
      </c>
      <c r="N5" s="32">
        <f>IF($B5,M5/$B5,-1)</f>
        <v>-1</v>
      </c>
      <c r="O5" s="31">
        <f>Tercera!O5</f>
        <v>0</v>
      </c>
      <c r="P5" s="32">
        <f>IF($B5,O5/$B5,-1)</f>
        <v>-1</v>
      </c>
      <c r="Q5" s="31">
        <f>Tercera!Q5</f>
        <v>0</v>
      </c>
      <c r="R5" s="32">
        <f>IF($B5,Q5/$B5,-1)</f>
        <v>-1</v>
      </c>
      <c r="S5" s="31">
        <f>Tercera!S5</f>
        <v>0</v>
      </c>
      <c r="T5" s="32">
        <f>IF($B5,S5/$B5,-1)</f>
        <v>-1</v>
      </c>
      <c r="U5" s="31">
        <f>Tercera!U5</f>
        <v>0</v>
      </c>
      <c r="V5" s="32">
        <f>IF($B5,U5/$B5,-1)</f>
        <v>-1</v>
      </c>
      <c r="W5" s="31">
        <f>Tercera!W5</f>
        <v>0</v>
      </c>
      <c r="X5" s="32">
        <f>IF($B5,W5/$B5,-1)</f>
        <v>-1</v>
      </c>
      <c r="Y5" s="31">
        <f>Tercera!Y5</f>
        <v>0</v>
      </c>
      <c r="Z5" s="32">
        <f>IF($B5,Y5/$B5,-1)</f>
        <v>-1</v>
      </c>
      <c r="AA5" s="31">
        <f>Tercera!AA5</f>
        <v>0</v>
      </c>
      <c r="AB5" s="32">
        <f>IF($B5,AA5/$B5,-1)</f>
        <v>-1</v>
      </c>
      <c r="AC5" s="31">
        <f>Tercera!AC5</f>
        <v>0</v>
      </c>
      <c r="AD5" s="32">
        <f>IF($B5,AC5/$B5,-1)</f>
        <v>-1</v>
      </c>
      <c r="AE5" s="31">
        <f>Tercera!AE5</f>
        <v>0</v>
      </c>
      <c r="AF5" s="32">
        <f>IF($B5,AE5/$B5,-1)</f>
        <v>-1</v>
      </c>
      <c r="AG5" s="31">
        <f>Tercera!AG5</f>
        <v>0</v>
      </c>
      <c r="AH5" s="32">
        <f>IF($B5,AG5/$B5,-1)</f>
        <v>-1</v>
      </c>
      <c r="AI5" s="31">
        <f>Tercera!AI5</f>
        <v>0</v>
      </c>
      <c r="AJ5" s="32">
        <f>IF($B5,AI5/$B5,-1)</f>
        <v>-1</v>
      </c>
      <c r="AK5" s="31">
        <f>Tercera!AK5</f>
        <v>0</v>
      </c>
      <c r="AL5" s="32">
        <f>IF($B5,AK5/$B5,-1)</f>
        <v>-1</v>
      </c>
      <c r="AM5" s="31">
        <f>Tercera!AM5</f>
        <v>0</v>
      </c>
      <c r="AN5" s="32">
        <f>IF($B5,AM5/$B5,-1)</f>
        <v>-1</v>
      </c>
      <c r="AO5" s="31">
        <f>Tercera!AO5</f>
        <v>0</v>
      </c>
      <c r="AP5" s="32">
        <f>IF($B5,AO5/$B5,-1)</f>
        <v>-1</v>
      </c>
      <c r="AQ5" s="31">
        <f>Tercera!AQ5</f>
        <v>0</v>
      </c>
      <c r="AR5" s="32">
        <f>IF($B5,AQ5/$B5,-1)</f>
        <v>-1</v>
      </c>
      <c r="AS5" s="31">
        <f>Tercera!AS5</f>
        <v>0</v>
      </c>
      <c r="AT5" s="32">
        <f>IF($B5,AS5/$B5,-1)</f>
        <v>-1</v>
      </c>
      <c r="AU5" s="31">
        <f>Tercera!AU5</f>
        <v>0</v>
      </c>
      <c r="AV5" s="32">
        <f>IF($B5,AU5/$B5,-1)</f>
        <v>-1</v>
      </c>
      <c r="AW5" s="31">
        <f>Tercera!AW5</f>
        <v>0</v>
      </c>
      <c r="AX5" s="32">
        <f>IF($B5,AW5/$B5,-1)</f>
        <v>-1</v>
      </c>
      <c r="AY5" s="31">
        <f>Tercera!AY5</f>
        <v>0</v>
      </c>
      <c r="AZ5" s="32">
        <f>IF($B5,AY5/$B5,-1)</f>
        <v>-1</v>
      </c>
      <c r="BA5" s="31">
        <f>Tercera!BA5</f>
        <v>0</v>
      </c>
      <c r="BB5" s="32">
        <f>IF($B5,BA5/$B5,-1)</f>
        <v>-1</v>
      </c>
      <c r="BC5" s="31">
        <f>Tercera!BC5</f>
        <v>0</v>
      </c>
      <c r="BD5" s="32">
        <f>IF($B5,BC5/$B5,-1)</f>
        <v>-1</v>
      </c>
      <c r="BE5" s="31">
        <f>Tercera!BE5</f>
        <v>0</v>
      </c>
      <c r="BF5" s="32">
        <f>IF($B5,BE5/$B5,-1)</f>
        <v>-1</v>
      </c>
      <c r="BG5" s="31">
        <f>Tercera!BG5</f>
        <v>0</v>
      </c>
      <c r="BH5" s="32">
        <f>IF($B5,BG5/$B5,-1)</f>
        <v>-1</v>
      </c>
      <c r="BI5" s="31">
        <f>Tercera!BI5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Tercera!B6</f>
        <v>0</v>
      </c>
      <c r="C6" s="31">
        <f>Tercera!C6</f>
        <v>0</v>
      </c>
      <c r="D6" s="32">
        <f>IF($B6,C6/$B6,-1)</f>
        <v>-1</v>
      </c>
      <c r="E6" s="31">
        <f>Tercera!E6</f>
        <v>0</v>
      </c>
      <c r="F6" s="32">
        <f>IF($B6,E6/$B6,-1)</f>
        <v>-1</v>
      </c>
      <c r="G6" s="31">
        <f>Tercera!G6</f>
        <v>0</v>
      </c>
      <c r="H6" s="32">
        <f>IF($B6,G6/$B6,-1)</f>
        <v>-1</v>
      </c>
      <c r="I6" s="31">
        <f>Tercera!I6</f>
        <v>0</v>
      </c>
      <c r="J6" s="32">
        <f>IF($B6,I6/$B6,-1)</f>
        <v>-1</v>
      </c>
      <c r="K6" s="31">
        <f>Tercera!K6</f>
        <v>0</v>
      </c>
      <c r="L6" s="32">
        <f>IF($B6,K6/$B6,-1)</f>
        <v>-1</v>
      </c>
      <c r="M6" s="31">
        <f>Tercera!M6</f>
        <v>0</v>
      </c>
      <c r="N6" s="32">
        <f>IF($B6,M6/$B6,-1)</f>
        <v>-1</v>
      </c>
      <c r="O6" s="31">
        <f>Tercera!O6</f>
        <v>0</v>
      </c>
      <c r="P6" s="32">
        <f>IF($B6,O6/$B6,-1)</f>
        <v>-1</v>
      </c>
      <c r="Q6" s="31">
        <f>Tercera!Q6</f>
        <v>0</v>
      </c>
      <c r="R6" s="32">
        <f>IF($B6,Q6/$B6,-1)</f>
        <v>-1</v>
      </c>
      <c r="S6" s="31">
        <f>Tercera!S6</f>
        <v>0</v>
      </c>
      <c r="T6" s="32">
        <f>IF($B6,S6/$B6,-1)</f>
        <v>-1</v>
      </c>
      <c r="U6" s="31">
        <f>Tercera!U6</f>
        <v>0</v>
      </c>
      <c r="V6" s="32">
        <f>IF($B6,U6/$B6,-1)</f>
        <v>-1</v>
      </c>
      <c r="W6" s="31">
        <f>Tercera!W6</f>
        <v>0</v>
      </c>
      <c r="X6" s="32">
        <f>IF($B6,W6/$B6,-1)</f>
        <v>-1</v>
      </c>
      <c r="Y6" s="31">
        <f>Tercera!Y6</f>
        <v>0</v>
      </c>
      <c r="Z6" s="32">
        <f>IF($B6,Y6/$B6,-1)</f>
        <v>-1</v>
      </c>
      <c r="AA6" s="31">
        <f>Tercera!AA6</f>
        <v>0</v>
      </c>
      <c r="AB6" s="32">
        <f>IF($B6,AA6/$B6,-1)</f>
        <v>-1</v>
      </c>
      <c r="AC6" s="31">
        <f>Tercera!AC6</f>
        <v>0</v>
      </c>
      <c r="AD6" s="32">
        <f>IF($B6,AC6/$B6,-1)</f>
        <v>-1</v>
      </c>
      <c r="AE6" s="31">
        <f>Tercera!AE6</f>
        <v>0</v>
      </c>
      <c r="AF6" s="32">
        <f>IF($B6,AE6/$B6,-1)</f>
        <v>-1</v>
      </c>
      <c r="AG6" s="31">
        <f>Tercera!AG6</f>
        <v>0</v>
      </c>
      <c r="AH6" s="32">
        <f>IF($B6,AG6/$B6,-1)</f>
        <v>-1</v>
      </c>
      <c r="AI6" s="31">
        <f>Tercera!AI6</f>
        <v>0</v>
      </c>
      <c r="AJ6" s="32">
        <f>IF($B6,AI6/$B6,-1)</f>
        <v>-1</v>
      </c>
      <c r="AK6" s="31">
        <f>Tercera!AK6</f>
        <v>0</v>
      </c>
      <c r="AL6" s="32">
        <f>IF($B6,AK6/$B6,-1)</f>
        <v>-1</v>
      </c>
      <c r="AM6" s="31">
        <f>Tercera!AM6</f>
        <v>0</v>
      </c>
      <c r="AN6" s="32">
        <f>IF($B6,AM6/$B6,-1)</f>
        <v>-1</v>
      </c>
      <c r="AO6" s="31">
        <f>Tercera!AO6</f>
        <v>0</v>
      </c>
      <c r="AP6" s="32">
        <f>IF($B6,AO6/$B6,-1)</f>
        <v>-1</v>
      </c>
      <c r="AQ6" s="31">
        <f>Tercera!AQ6</f>
        <v>0</v>
      </c>
      <c r="AR6" s="32">
        <f>IF($B6,AQ6/$B6,-1)</f>
        <v>-1</v>
      </c>
      <c r="AS6" s="31">
        <f>Tercera!AS6</f>
        <v>0</v>
      </c>
      <c r="AT6" s="32">
        <f>IF($B6,AS6/$B6,-1)</f>
        <v>-1</v>
      </c>
      <c r="AU6" s="31">
        <f>Tercera!AU6</f>
        <v>0</v>
      </c>
      <c r="AV6" s="32">
        <f>IF($B6,AU6/$B6,-1)</f>
        <v>-1</v>
      </c>
      <c r="AW6" s="31">
        <f>Tercera!AW6</f>
        <v>0</v>
      </c>
      <c r="AX6" s="32">
        <f>IF($B6,AW6/$B6,-1)</f>
        <v>-1</v>
      </c>
      <c r="AY6" s="31">
        <f>Tercera!AY6</f>
        <v>0</v>
      </c>
      <c r="AZ6" s="32">
        <f>IF($B6,AY6/$B6,-1)</f>
        <v>-1</v>
      </c>
      <c r="BA6" s="31">
        <f>Tercera!BA6</f>
        <v>0</v>
      </c>
      <c r="BB6" s="32">
        <f>IF($B6,BA6/$B6,-1)</f>
        <v>-1</v>
      </c>
      <c r="BC6" s="31">
        <f>Tercera!BC6</f>
        <v>0</v>
      </c>
      <c r="BD6" s="32">
        <f>IF($B6,BC6/$B6,-1)</f>
        <v>-1</v>
      </c>
      <c r="BE6" s="31">
        <f>Tercera!BE6</f>
        <v>0</v>
      </c>
      <c r="BF6" s="32">
        <f>IF($B6,BE6/$B6,-1)</f>
        <v>-1</v>
      </c>
      <c r="BG6" s="31">
        <f>Tercera!BG6</f>
        <v>0</v>
      </c>
      <c r="BH6" s="32">
        <f>IF($B6,BG6/$B6,-1)</f>
        <v>-1</v>
      </c>
      <c r="BI6" s="31">
        <f>Tercera!BI6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Tercera!B8</f>
        <v>0</v>
      </c>
      <c r="C8" s="31">
        <f>Tercera!C8</f>
        <v>0</v>
      </c>
      <c r="D8" s="32">
        <f t="shared" ref="D8:D15" si="29">IF($B8,C8/$B8,-1)</f>
        <v>-1</v>
      </c>
      <c r="E8" s="31">
        <f>Tercera!E8</f>
        <v>0</v>
      </c>
      <c r="F8" s="32">
        <f t="shared" ref="F8:F15" si="30">IF($B8,E8/$B8,-1)</f>
        <v>-1</v>
      </c>
      <c r="G8" s="31">
        <f>Tercera!G8</f>
        <v>0</v>
      </c>
      <c r="H8" s="32">
        <f t="shared" ref="H8:H15" si="31">IF($B8,G8/$B8,-1)</f>
        <v>-1</v>
      </c>
      <c r="I8" s="31">
        <f>Tercera!I8</f>
        <v>0</v>
      </c>
      <c r="J8" s="32">
        <f t="shared" ref="J8:J15" si="32">IF($B8,I8/$B8,-1)</f>
        <v>-1</v>
      </c>
      <c r="K8" s="31">
        <f>Tercera!K8</f>
        <v>0</v>
      </c>
      <c r="L8" s="32">
        <f t="shared" ref="L8:L15" si="33">IF($B8,K8/$B8,-1)</f>
        <v>-1</v>
      </c>
      <c r="M8" s="31">
        <f>Tercera!M8</f>
        <v>0</v>
      </c>
      <c r="N8" s="32">
        <f t="shared" ref="N8:N15" si="34">IF($B8,M8/$B8,-1)</f>
        <v>-1</v>
      </c>
      <c r="O8" s="31">
        <f>Tercera!O8</f>
        <v>0</v>
      </c>
      <c r="P8" s="32">
        <f t="shared" ref="P8:P15" si="35">IF($B8,O8/$B8,-1)</f>
        <v>-1</v>
      </c>
      <c r="Q8" s="31">
        <f>Tercera!Q8</f>
        <v>0</v>
      </c>
      <c r="R8" s="32">
        <f t="shared" ref="R8:R15" si="36">IF($B8,Q8/$B8,-1)</f>
        <v>-1</v>
      </c>
      <c r="S8" s="31">
        <f>Tercera!S8</f>
        <v>0</v>
      </c>
      <c r="T8" s="32">
        <f t="shared" ref="T8:T15" si="37">IF($B8,S8/$B8,-1)</f>
        <v>-1</v>
      </c>
      <c r="U8" s="31">
        <f>Tercera!U8</f>
        <v>0</v>
      </c>
      <c r="V8" s="32">
        <f t="shared" ref="V8:V15" si="38">IF($B8,U8/$B8,-1)</f>
        <v>-1</v>
      </c>
      <c r="W8" s="31">
        <f>Tercera!W8</f>
        <v>0</v>
      </c>
      <c r="X8" s="32">
        <f t="shared" ref="X8:X15" si="39">IF($B8,W8/$B8,-1)</f>
        <v>-1</v>
      </c>
      <c r="Y8" s="31">
        <f>Tercera!Y8</f>
        <v>0</v>
      </c>
      <c r="Z8" s="32">
        <f t="shared" ref="Z8:Z15" si="40">IF($B8,Y8/$B8,-1)</f>
        <v>-1</v>
      </c>
      <c r="AA8" s="31">
        <f>Tercera!AA8</f>
        <v>0</v>
      </c>
      <c r="AB8" s="32">
        <f t="shared" ref="AB8:AB15" si="41">IF($B8,AA8/$B8,-1)</f>
        <v>-1</v>
      </c>
      <c r="AC8" s="31">
        <f>Tercera!AC8</f>
        <v>0</v>
      </c>
      <c r="AD8" s="32">
        <f t="shared" ref="AD8:AD15" si="42">IF($B8,AC8/$B8,-1)</f>
        <v>-1</v>
      </c>
      <c r="AE8" s="31">
        <f>Tercera!AE8</f>
        <v>0</v>
      </c>
      <c r="AF8" s="32">
        <f t="shared" ref="AF8:AF15" si="43">IF($B8,AE8/$B8,-1)</f>
        <v>-1</v>
      </c>
      <c r="AG8" s="31">
        <f>Tercera!AG8</f>
        <v>0</v>
      </c>
      <c r="AH8" s="32">
        <f t="shared" ref="AH8:AH15" si="44">IF($B8,AG8/$B8,-1)</f>
        <v>-1</v>
      </c>
      <c r="AI8" s="31">
        <f>Tercera!AI8</f>
        <v>0</v>
      </c>
      <c r="AJ8" s="32">
        <f t="shared" ref="AJ8:AJ15" si="45">IF($B8,AI8/$B8,-1)</f>
        <v>-1</v>
      </c>
      <c r="AK8" s="31">
        <f>Tercera!AK8</f>
        <v>0</v>
      </c>
      <c r="AL8" s="32">
        <f t="shared" ref="AL8:AL15" si="46">IF($B8,AK8/$B8,-1)</f>
        <v>-1</v>
      </c>
      <c r="AM8" s="31">
        <f>Tercera!AM8</f>
        <v>0</v>
      </c>
      <c r="AN8" s="32">
        <f t="shared" ref="AN8:AN15" si="47">IF($B8,AM8/$B8,-1)</f>
        <v>-1</v>
      </c>
      <c r="AO8" s="31">
        <f>Tercera!AO8</f>
        <v>0</v>
      </c>
      <c r="AP8" s="32">
        <f t="shared" ref="AP8:AP15" si="48">IF($B8,AO8/$B8,-1)</f>
        <v>-1</v>
      </c>
      <c r="AQ8" s="31">
        <f>Tercera!AQ8</f>
        <v>0</v>
      </c>
      <c r="AR8" s="32">
        <f t="shared" ref="AR8:AR15" si="49">IF($B8,AQ8/$B8,-1)</f>
        <v>-1</v>
      </c>
      <c r="AS8" s="31">
        <f>Tercera!AS8</f>
        <v>0</v>
      </c>
      <c r="AT8" s="32">
        <f t="shared" ref="AT8:AT15" si="50">IF($B8,AS8/$B8,-1)</f>
        <v>-1</v>
      </c>
      <c r="AU8" s="31">
        <f>Tercera!AU8</f>
        <v>0</v>
      </c>
      <c r="AV8" s="32">
        <f t="shared" ref="AV8:AV15" si="51">IF($B8,AU8/$B8,-1)</f>
        <v>-1</v>
      </c>
      <c r="AW8" s="31">
        <f>Tercera!AW8</f>
        <v>0</v>
      </c>
      <c r="AX8" s="32">
        <f t="shared" ref="AX8:AX15" si="52">IF($B8,AW8/$B8,-1)</f>
        <v>-1</v>
      </c>
      <c r="AY8" s="31">
        <f>Tercera!AY8</f>
        <v>0</v>
      </c>
      <c r="AZ8" s="32">
        <f t="shared" ref="AZ8:AZ15" si="53">IF($B8,AY8/$B8,-1)</f>
        <v>-1</v>
      </c>
      <c r="BA8" s="31">
        <f>Tercera!BA8</f>
        <v>0</v>
      </c>
      <c r="BB8" s="32">
        <f t="shared" ref="BB8:BB15" si="54">IF($B8,BA8/$B8,-1)</f>
        <v>-1</v>
      </c>
      <c r="BC8" s="31">
        <f>Tercera!BC8</f>
        <v>0</v>
      </c>
      <c r="BD8" s="32">
        <f t="shared" ref="BD8:BD15" si="55">IF($B8,BC8/$B8,-1)</f>
        <v>-1</v>
      </c>
      <c r="BE8" s="31">
        <f>Tercera!BE8</f>
        <v>0</v>
      </c>
      <c r="BF8" s="32">
        <f t="shared" ref="BF8:BF15" si="56">IF($B8,BE8/$B8,-1)</f>
        <v>-1</v>
      </c>
      <c r="BG8" s="31">
        <f>Tercera!BG8</f>
        <v>0</v>
      </c>
      <c r="BH8" s="32">
        <f t="shared" ref="BH8:BH15" si="57">IF($B8,BG8/$B8,-1)</f>
        <v>-1</v>
      </c>
      <c r="BI8" s="31">
        <f>Tercera!BI8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Tercera!B9</f>
        <v>0</v>
      </c>
      <c r="C9" s="31">
        <f>Tercera!C9</f>
        <v>0</v>
      </c>
      <c r="D9" s="32">
        <f t="shared" si="29"/>
        <v>-1</v>
      </c>
      <c r="E9" s="31">
        <f>Tercera!E9</f>
        <v>0</v>
      </c>
      <c r="F9" s="32">
        <f t="shared" si="30"/>
        <v>-1</v>
      </c>
      <c r="G9" s="31">
        <f>Tercera!G9</f>
        <v>0</v>
      </c>
      <c r="H9" s="32">
        <f t="shared" si="31"/>
        <v>-1</v>
      </c>
      <c r="I9" s="31">
        <f>Tercera!I9</f>
        <v>0</v>
      </c>
      <c r="J9" s="32">
        <f t="shared" si="32"/>
        <v>-1</v>
      </c>
      <c r="K9" s="31">
        <f>Tercera!K9</f>
        <v>0</v>
      </c>
      <c r="L9" s="32">
        <f t="shared" si="33"/>
        <v>-1</v>
      </c>
      <c r="M9" s="31">
        <f>Tercera!M9</f>
        <v>0</v>
      </c>
      <c r="N9" s="32">
        <f t="shared" si="34"/>
        <v>-1</v>
      </c>
      <c r="O9" s="31">
        <f>Tercera!O9</f>
        <v>0</v>
      </c>
      <c r="P9" s="32">
        <f t="shared" si="35"/>
        <v>-1</v>
      </c>
      <c r="Q9" s="31">
        <f>Tercera!Q9</f>
        <v>0</v>
      </c>
      <c r="R9" s="32">
        <f t="shared" si="36"/>
        <v>-1</v>
      </c>
      <c r="S9" s="31">
        <f>Tercera!S9</f>
        <v>0</v>
      </c>
      <c r="T9" s="32">
        <f t="shared" si="37"/>
        <v>-1</v>
      </c>
      <c r="U9" s="31">
        <f>Tercera!U9</f>
        <v>0</v>
      </c>
      <c r="V9" s="32">
        <f t="shared" si="38"/>
        <v>-1</v>
      </c>
      <c r="W9" s="31">
        <f>Tercera!W9</f>
        <v>0</v>
      </c>
      <c r="X9" s="32">
        <f t="shared" si="39"/>
        <v>-1</v>
      </c>
      <c r="Y9" s="31">
        <f>Tercera!Y9</f>
        <v>0</v>
      </c>
      <c r="Z9" s="32">
        <f t="shared" si="40"/>
        <v>-1</v>
      </c>
      <c r="AA9" s="31">
        <f>Tercera!AA9</f>
        <v>0</v>
      </c>
      <c r="AB9" s="32">
        <f t="shared" si="41"/>
        <v>-1</v>
      </c>
      <c r="AC9" s="31">
        <f>Tercera!AC9</f>
        <v>0</v>
      </c>
      <c r="AD9" s="32">
        <f t="shared" si="42"/>
        <v>-1</v>
      </c>
      <c r="AE9" s="31">
        <f>Tercera!AE9</f>
        <v>0</v>
      </c>
      <c r="AF9" s="32">
        <f t="shared" si="43"/>
        <v>-1</v>
      </c>
      <c r="AG9" s="31">
        <f>Tercera!AG9</f>
        <v>0</v>
      </c>
      <c r="AH9" s="32">
        <f t="shared" si="44"/>
        <v>-1</v>
      </c>
      <c r="AI9" s="31">
        <f>Tercera!AI9</f>
        <v>0</v>
      </c>
      <c r="AJ9" s="32">
        <f t="shared" si="45"/>
        <v>-1</v>
      </c>
      <c r="AK9" s="31">
        <f>Tercera!AK9</f>
        <v>0</v>
      </c>
      <c r="AL9" s="32">
        <f t="shared" si="46"/>
        <v>-1</v>
      </c>
      <c r="AM9" s="31">
        <f>Tercera!AM9</f>
        <v>0</v>
      </c>
      <c r="AN9" s="32">
        <f t="shared" si="47"/>
        <v>-1</v>
      </c>
      <c r="AO9" s="31">
        <f>Tercera!AO9</f>
        <v>0</v>
      </c>
      <c r="AP9" s="32">
        <f t="shared" si="48"/>
        <v>-1</v>
      </c>
      <c r="AQ9" s="31">
        <f>Tercera!AQ9</f>
        <v>0</v>
      </c>
      <c r="AR9" s="32">
        <f t="shared" si="49"/>
        <v>-1</v>
      </c>
      <c r="AS9" s="31">
        <f>Tercera!AS9</f>
        <v>0</v>
      </c>
      <c r="AT9" s="32">
        <f t="shared" si="50"/>
        <v>-1</v>
      </c>
      <c r="AU9" s="31">
        <f>Tercera!AU9</f>
        <v>0</v>
      </c>
      <c r="AV9" s="32">
        <f t="shared" si="51"/>
        <v>-1</v>
      </c>
      <c r="AW9" s="31">
        <f>Tercera!AW9</f>
        <v>0</v>
      </c>
      <c r="AX9" s="32">
        <f t="shared" si="52"/>
        <v>-1</v>
      </c>
      <c r="AY9" s="31">
        <f>Tercera!AY9</f>
        <v>0</v>
      </c>
      <c r="AZ9" s="32">
        <f t="shared" si="53"/>
        <v>-1</v>
      </c>
      <c r="BA9" s="31">
        <f>Tercera!BA9</f>
        <v>0</v>
      </c>
      <c r="BB9" s="32">
        <f t="shared" si="54"/>
        <v>-1</v>
      </c>
      <c r="BC9" s="31">
        <f>Tercera!BC9</f>
        <v>0</v>
      </c>
      <c r="BD9" s="32">
        <f t="shared" si="55"/>
        <v>-1</v>
      </c>
      <c r="BE9" s="31">
        <f>Tercera!BE9</f>
        <v>0</v>
      </c>
      <c r="BF9" s="32">
        <f t="shared" si="56"/>
        <v>-1</v>
      </c>
      <c r="BG9" s="31">
        <f>Tercera!BG9</f>
        <v>0</v>
      </c>
      <c r="BH9" s="32">
        <f t="shared" si="57"/>
        <v>-1</v>
      </c>
      <c r="BI9" s="31">
        <f>Tercera!BI9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Tercera!B10</f>
        <v>0</v>
      </c>
      <c r="C10" s="31">
        <f>Tercera!C10</f>
        <v>0</v>
      </c>
      <c r="D10" s="32">
        <f t="shared" si="29"/>
        <v>-1</v>
      </c>
      <c r="E10" s="31">
        <f>Tercera!E10</f>
        <v>0</v>
      </c>
      <c r="F10" s="32">
        <f t="shared" si="30"/>
        <v>-1</v>
      </c>
      <c r="G10" s="31">
        <f>Tercera!G10</f>
        <v>0</v>
      </c>
      <c r="H10" s="32">
        <f t="shared" si="31"/>
        <v>-1</v>
      </c>
      <c r="I10" s="31">
        <f>Tercera!I10</f>
        <v>0</v>
      </c>
      <c r="J10" s="32">
        <f t="shared" si="32"/>
        <v>-1</v>
      </c>
      <c r="K10" s="31">
        <f>Tercera!K10</f>
        <v>0</v>
      </c>
      <c r="L10" s="32">
        <f t="shared" si="33"/>
        <v>-1</v>
      </c>
      <c r="M10" s="31">
        <f>Tercera!M10</f>
        <v>0</v>
      </c>
      <c r="N10" s="32">
        <f t="shared" si="34"/>
        <v>-1</v>
      </c>
      <c r="O10" s="31">
        <f>Tercera!O10</f>
        <v>0</v>
      </c>
      <c r="P10" s="32">
        <f t="shared" si="35"/>
        <v>-1</v>
      </c>
      <c r="Q10" s="31">
        <f>Tercera!Q10</f>
        <v>0</v>
      </c>
      <c r="R10" s="32">
        <f t="shared" si="36"/>
        <v>-1</v>
      </c>
      <c r="S10" s="31">
        <f>Tercera!S10</f>
        <v>0</v>
      </c>
      <c r="T10" s="32">
        <f t="shared" si="37"/>
        <v>-1</v>
      </c>
      <c r="U10" s="31">
        <f>Tercera!U10</f>
        <v>0</v>
      </c>
      <c r="V10" s="32">
        <f t="shared" si="38"/>
        <v>-1</v>
      </c>
      <c r="W10" s="31">
        <f>Tercera!W10</f>
        <v>0</v>
      </c>
      <c r="X10" s="32">
        <f t="shared" si="39"/>
        <v>-1</v>
      </c>
      <c r="Y10" s="31">
        <f>Tercera!Y10</f>
        <v>0</v>
      </c>
      <c r="Z10" s="32">
        <f t="shared" si="40"/>
        <v>-1</v>
      </c>
      <c r="AA10" s="31">
        <f>Tercera!AA10</f>
        <v>0</v>
      </c>
      <c r="AB10" s="32">
        <f t="shared" si="41"/>
        <v>-1</v>
      </c>
      <c r="AC10" s="31">
        <f>Tercera!AC10</f>
        <v>0</v>
      </c>
      <c r="AD10" s="32">
        <f t="shared" si="42"/>
        <v>-1</v>
      </c>
      <c r="AE10" s="31">
        <f>Tercera!AE10</f>
        <v>0</v>
      </c>
      <c r="AF10" s="32">
        <f t="shared" si="43"/>
        <v>-1</v>
      </c>
      <c r="AG10" s="31">
        <f>Tercera!AG10</f>
        <v>0</v>
      </c>
      <c r="AH10" s="32">
        <f t="shared" si="44"/>
        <v>-1</v>
      </c>
      <c r="AI10" s="31">
        <f>Tercera!AI10</f>
        <v>0</v>
      </c>
      <c r="AJ10" s="32">
        <f t="shared" si="45"/>
        <v>-1</v>
      </c>
      <c r="AK10" s="31">
        <f>Tercera!AK10</f>
        <v>0</v>
      </c>
      <c r="AL10" s="32">
        <f t="shared" si="46"/>
        <v>-1</v>
      </c>
      <c r="AM10" s="31">
        <f>Tercera!AM10</f>
        <v>0</v>
      </c>
      <c r="AN10" s="32">
        <f t="shared" si="47"/>
        <v>-1</v>
      </c>
      <c r="AO10" s="31">
        <f>Tercera!AO10</f>
        <v>0</v>
      </c>
      <c r="AP10" s="32">
        <f t="shared" si="48"/>
        <v>-1</v>
      </c>
      <c r="AQ10" s="31">
        <f>Tercera!AQ10</f>
        <v>0</v>
      </c>
      <c r="AR10" s="32">
        <f t="shared" si="49"/>
        <v>-1</v>
      </c>
      <c r="AS10" s="31">
        <f>Tercera!AS10</f>
        <v>0</v>
      </c>
      <c r="AT10" s="32">
        <f t="shared" si="50"/>
        <v>-1</v>
      </c>
      <c r="AU10" s="31">
        <f>Tercera!AU10</f>
        <v>0</v>
      </c>
      <c r="AV10" s="32">
        <f t="shared" si="51"/>
        <v>-1</v>
      </c>
      <c r="AW10" s="31">
        <f>Tercera!AW10</f>
        <v>0</v>
      </c>
      <c r="AX10" s="32">
        <f t="shared" si="52"/>
        <v>-1</v>
      </c>
      <c r="AY10" s="31">
        <f>Tercera!AY10</f>
        <v>0</v>
      </c>
      <c r="AZ10" s="32">
        <f t="shared" si="53"/>
        <v>-1</v>
      </c>
      <c r="BA10" s="31">
        <f>Tercera!BA10</f>
        <v>0</v>
      </c>
      <c r="BB10" s="32">
        <f t="shared" si="54"/>
        <v>-1</v>
      </c>
      <c r="BC10" s="31">
        <f>Tercera!BC10</f>
        <v>0</v>
      </c>
      <c r="BD10" s="32">
        <f t="shared" si="55"/>
        <v>-1</v>
      </c>
      <c r="BE10" s="31">
        <f>Tercera!BE10</f>
        <v>0</v>
      </c>
      <c r="BF10" s="32">
        <f t="shared" si="56"/>
        <v>-1</v>
      </c>
      <c r="BG10" s="31">
        <f>Tercera!BG10</f>
        <v>0</v>
      </c>
      <c r="BH10" s="32">
        <f t="shared" si="57"/>
        <v>-1</v>
      </c>
      <c r="BI10" s="31">
        <f>Tercera!BI10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Tercera!B11</f>
        <v>0</v>
      </c>
      <c r="C11" s="31">
        <f>Tercera!C11</f>
        <v>0</v>
      </c>
      <c r="D11" s="32">
        <f t="shared" si="29"/>
        <v>-1</v>
      </c>
      <c r="E11" s="31">
        <f>Tercera!E11</f>
        <v>0</v>
      </c>
      <c r="F11" s="32">
        <f t="shared" si="30"/>
        <v>-1</v>
      </c>
      <c r="G11" s="31">
        <f>Tercera!G11</f>
        <v>0</v>
      </c>
      <c r="H11" s="32">
        <f t="shared" si="31"/>
        <v>-1</v>
      </c>
      <c r="I11" s="31">
        <f>Tercera!I11</f>
        <v>0</v>
      </c>
      <c r="J11" s="32">
        <f t="shared" si="32"/>
        <v>-1</v>
      </c>
      <c r="K11" s="31">
        <f>Tercera!K11</f>
        <v>0</v>
      </c>
      <c r="L11" s="32">
        <f t="shared" si="33"/>
        <v>-1</v>
      </c>
      <c r="M11" s="31">
        <f>Tercera!M11</f>
        <v>0</v>
      </c>
      <c r="N11" s="32">
        <f t="shared" si="34"/>
        <v>-1</v>
      </c>
      <c r="O11" s="31">
        <f>Tercera!O11</f>
        <v>0</v>
      </c>
      <c r="P11" s="32">
        <f t="shared" si="35"/>
        <v>-1</v>
      </c>
      <c r="Q11" s="31">
        <f>Tercera!Q11</f>
        <v>0</v>
      </c>
      <c r="R11" s="32">
        <f t="shared" si="36"/>
        <v>-1</v>
      </c>
      <c r="S11" s="31">
        <f>Tercera!S11</f>
        <v>0</v>
      </c>
      <c r="T11" s="32">
        <f t="shared" si="37"/>
        <v>-1</v>
      </c>
      <c r="U11" s="31">
        <f>Tercera!U11</f>
        <v>0</v>
      </c>
      <c r="V11" s="32">
        <f t="shared" si="38"/>
        <v>-1</v>
      </c>
      <c r="W11" s="31">
        <f>Tercera!W11</f>
        <v>0</v>
      </c>
      <c r="X11" s="32">
        <f t="shared" si="39"/>
        <v>-1</v>
      </c>
      <c r="Y11" s="31">
        <f>Tercera!Y11</f>
        <v>0</v>
      </c>
      <c r="Z11" s="32">
        <f t="shared" si="40"/>
        <v>-1</v>
      </c>
      <c r="AA11" s="31">
        <f>Tercera!AA11</f>
        <v>0</v>
      </c>
      <c r="AB11" s="32">
        <f t="shared" si="41"/>
        <v>-1</v>
      </c>
      <c r="AC11" s="31">
        <f>Tercera!AC11</f>
        <v>0</v>
      </c>
      <c r="AD11" s="32">
        <f t="shared" si="42"/>
        <v>-1</v>
      </c>
      <c r="AE11" s="31">
        <f>Tercera!AE11</f>
        <v>0</v>
      </c>
      <c r="AF11" s="32">
        <f t="shared" si="43"/>
        <v>-1</v>
      </c>
      <c r="AG11" s="31">
        <f>Tercera!AG11</f>
        <v>0</v>
      </c>
      <c r="AH11" s="32">
        <f t="shared" si="44"/>
        <v>-1</v>
      </c>
      <c r="AI11" s="31">
        <f>Tercera!AI11</f>
        <v>0</v>
      </c>
      <c r="AJ11" s="32">
        <f t="shared" si="45"/>
        <v>-1</v>
      </c>
      <c r="AK11" s="31">
        <f>Tercera!AK11</f>
        <v>0</v>
      </c>
      <c r="AL11" s="32">
        <f t="shared" si="46"/>
        <v>-1</v>
      </c>
      <c r="AM11" s="31">
        <f>Tercera!AM11</f>
        <v>0</v>
      </c>
      <c r="AN11" s="32">
        <f t="shared" si="47"/>
        <v>-1</v>
      </c>
      <c r="AO11" s="31">
        <f>Tercera!AO11</f>
        <v>0</v>
      </c>
      <c r="AP11" s="32">
        <f t="shared" si="48"/>
        <v>-1</v>
      </c>
      <c r="AQ11" s="31">
        <f>Tercera!AQ11</f>
        <v>0</v>
      </c>
      <c r="AR11" s="32">
        <f t="shared" si="49"/>
        <v>-1</v>
      </c>
      <c r="AS11" s="31">
        <f>Tercera!AS11</f>
        <v>0</v>
      </c>
      <c r="AT11" s="32">
        <f t="shared" si="50"/>
        <v>-1</v>
      </c>
      <c r="AU11" s="31">
        <f>Tercera!AU11</f>
        <v>0</v>
      </c>
      <c r="AV11" s="32">
        <f t="shared" si="51"/>
        <v>-1</v>
      </c>
      <c r="AW11" s="31">
        <f>Tercera!AW11</f>
        <v>0</v>
      </c>
      <c r="AX11" s="32">
        <f t="shared" si="52"/>
        <v>-1</v>
      </c>
      <c r="AY11" s="31">
        <f>Tercera!AY11</f>
        <v>0</v>
      </c>
      <c r="AZ11" s="32">
        <f t="shared" si="53"/>
        <v>-1</v>
      </c>
      <c r="BA11" s="31">
        <f>Tercera!BA11</f>
        <v>0</v>
      </c>
      <c r="BB11" s="32">
        <f t="shared" si="54"/>
        <v>-1</v>
      </c>
      <c r="BC11" s="31">
        <f>Tercera!BC11</f>
        <v>0</v>
      </c>
      <c r="BD11" s="32">
        <f t="shared" si="55"/>
        <v>-1</v>
      </c>
      <c r="BE11" s="31">
        <f>Tercera!BE11</f>
        <v>0</v>
      </c>
      <c r="BF11" s="32">
        <f t="shared" si="56"/>
        <v>-1</v>
      </c>
      <c r="BG11" s="31">
        <f>Tercera!BG11</f>
        <v>0</v>
      </c>
      <c r="BH11" s="32">
        <f t="shared" si="57"/>
        <v>-1</v>
      </c>
      <c r="BI11" s="31">
        <f>Tercera!BI11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Tercera!B12</f>
        <v>0</v>
      </c>
      <c r="C12" s="31">
        <f>Tercera!C12</f>
        <v>0</v>
      </c>
      <c r="D12" s="32">
        <f t="shared" si="29"/>
        <v>-1</v>
      </c>
      <c r="E12" s="31">
        <f>Tercera!E12</f>
        <v>0</v>
      </c>
      <c r="F12" s="32">
        <f t="shared" si="30"/>
        <v>-1</v>
      </c>
      <c r="G12" s="31">
        <f>Tercera!G12</f>
        <v>0</v>
      </c>
      <c r="H12" s="32">
        <f t="shared" si="31"/>
        <v>-1</v>
      </c>
      <c r="I12" s="31">
        <f>Tercera!I12</f>
        <v>0</v>
      </c>
      <c r="J12" s="32">
        <f t="shared" si="32"/>
        <v>-1</v>
      </c>
      <c r="K12" s="31">
        <f>Tercera!K12</f>
        <v>0</v>
      </c>
      <c r="L12" s="32">
        <f t="shared" si="33"/>
        <v>-1</v>
      </c>
      <c r="M12" s="31">
        <f>Tercera!M12</f>
        <v>0</v>
      </c>
      <c r="N12" s="32">
        <f t="shared" si="34"/>
        <v>-1</v>
      </c>
      <c r="O12" s="31">
        <f>Tercera!O12</f>
        <v>0</v>
      </c>
      <c r="P12" s="32">
        <f t="shared" si="35"/>
        <v>-1</v>
      </c>
      <c r="Q12" s="31">
        <f>Tercera!Q12</f>
        <v>0</v>
      </c>
      <c r="R12" s="32">
        <f t="shared" si="36"/>
        <v>-1</v>
      </c>
      <c r="S12" s="31">
        <f>Tercera!S12</f>
        <v>0</v>
      </c>
      <c r="T12" s="32">
        <f t="shared" si="37"/>
        <v>-1</v>
      </c>
      <c r="U12" s="31">
        <f>Tercera!U12</f>
        <v>0</v>
      </c>
      <c r="V12" s="32">
        <f t="shared" si="38"/>
        <v>-1</v>
      </c>
      <c r="W12" s="31">
        <f>Tercera!W12</f>
        <v>0</v>
      </c>
      <c r="X12" s="32">
        <f t="shared" si="39"/>
        <v>-1</v>
      </c>
      <c r="Y12" s="31">
        <f>Tercera!Y12</f>
        <v>0</v>
      </c>
      <c r="Z12" s="32">
        <f t="shared" si="40"/>
        <v>-1</v>
      </c>
      <c r="AA12" s="31">
        <f>Tercera!AA12</f>
        <v>0</v>
      </c>
      <c r="AB12" s="32">
        <f t="shared" si="41"/>
        <v>-1</v>
      </c>
      <c r="AC12" s="31">
        <f>Tercera!AC12</f>
        <v>0</v>
      </c>
      <c r="AD12" s="32">
        <f t="shared" si="42"/>
        <v>-1</v>
      </c>
      <c r="AE12" s="31">
        <f>Tercera!AE12</f>
        <v>0</v>
      </c>
      <c r="AF12" s="32">
        <f t="shared" si="43"/>
        <v>-1</v>
      </c>
      <c r="AG12" s="31">
        <f>Tercera!AG12</f>
        <v>0</v>
      </c>
      <c r="AH12" s="32">
        <f t="shared" si="44"/>
        <v>-1</v>
      </c>
      <c r="AI12" s="31">
        <f>Tercera!AI12</f>
        <v>0</v>
      </c>
      <c r="AJ12" s="32">
        <f t="shared" si="45"/>
        <v>-1</v>
      </c>
      <c r="AK12" s="31">
        <f>Tercera!AK12</f>
        <v>0</v>
      </c>
      <c r="AL12" s="32">
        <f t="shared" si="46"/>
        <v>-1</v>
      </c>
      <c r="AM12" s="31">
        <f>Tercera!AM12</f>
        <v>0</v>
      </c>
      <c r="AN12" s="32">
        <f t="shared" si="47"/>
        <v>-1</v>
      </c>
      <c r="AO12" s="31">
        <f>Tercera!AO12</f>
        <v>0</v>
      </c>
      <c r="AP12" s="32">
        <f t="shared" si="48"/>
        <v>-1</v>
      </c>
      <c r="AQ12" s="31">
        <f>Tercera!AQ12</f>
        <v>0</v>
      </c>
      <c r="AR12" s="32">
        <f t="shared" si="49"/>
        <v>-1</v>
      </c>
      <c r="AS12" s="31">
        <f>Tercera!AS12</f>
        <v>0</v>
      </c>
      <c r="AT12" s="32">
        <f t="shared" si="50"/>
        <v>-1</v>
      </c>
      <c r="AU12" s="31">
        <f>Tercera!AU12</f>
        <v>0</v>
      </c>
      <c r="AV12" s="32">
        <f t="shared" si="51"/>
        <v>-1</v>
      </c>
      <c r="AW12" s="31">
        <f>Tercera!AW12</f>
        <v>0</v>
      </c>
      <c r="AX12" s="32">
        <f t="shared" si="52"/>
        <v>-1</v>
      </c>
      <c r="AY12" s="31">
        <f>Tercera!AY12</f>
        <v>0</v>
      </c>
      <c r="AZ12" s="32">
        <f t="shared" si="53"/>
        <v>-1</v>
      </c>
      <c r="BA12" s="31">
        <f>Tercera!BA12</f>
        <v>0</v>
      </c>
      <c r="BB12" s="32">
        <f t="shared" si="54"/>
        <v>-1</v>
      </c>
      <c r="BC12" s="31">
        <f>Tercera!BC12</f>
        <v>0</v>
      </c>
      <c r="BD12" s="32">
        <f t="shared" si="55"/>
        <v>-1</v>
      </c>
      <c r="BE12" s="31">
        <f>Tercera!BE12</f>
        <v>0</v>
      </c>
      <c r="BF12" s="32">
        <f t="shared" si="56"/>
        <v>-1</v>
      </c>
      <c r="BG12" s="31">
        <f>Tercera!BG12</f>
        <v>0</v>
      </c>
      <c r="BH12" s="32">
        <f t="shared" si="57"/>
        <v>-1</v>
      </c>
      <c r="BI12" s="31">
        <f>Tercera!BI12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Tercera!B13</f>
        <v>0</v>
      </c>
      <c r="C13" s="31">
        <f>Tercera!C13</f>
        <v>0</v>
      </c>
      <c r="D13" s="32">
        <f t="shared" si="29"/>
        <v>-1</v>
      </c>
      <c r="E13" s="31">
        <f>Tercera!E13</f>
        <v>0</v>
      </c>
      <c r="F13" s="32">
        <f t="shared" si="30"/>
        <v>-1</v>
      </c>
      <c r="G13" s="31">
        <f>Tercera!G13</f>
        <v>0</v>
      </c>
      <c r="H13" s="32">
        <f t="shared" si="31"/>
        <v>-1</v>
      </c>
      <c r="I13" s="31">
        <f>Tercera!I13</f>
        <v>0</v>
      </c>
      <c r="J13" s="32">
        <f t="shared" si="32"/>
        <v>-1</v>
      </c>
      <c r="K13" s="31">
        <f>Tercera!K13</f>
        <v>0</v>
      </c>
      <c r="L13" s="32">
        <f t="shared" si="33"/>
        <v>-1</v>
      </c>
      <c r="M13" s="31">
        <f>Tercera!M13</f>
        <v>0</v>
      </c>
      <c r="N13" s="32">
        <f t="shared" si="34"/>
        <v>-1</v>
      </c>
      <c r="O13" s="31">
        <f>Tercera!O13</f>
        <v>0</v>
      </c>
      <c r="P13" s="32">
        <f t="shared" si="35"/>
        <v>-1</v>
      </c>
      <c r="Q13" s="31">
        <f>Tercera!Q13</f>
        <v>0</v>
      </c>
      <c r="R13" s="32">
        <f t="shared" si="36"/>
        <v>-1</v>
      </c>
      <c r="S13" s="31">
        <f>Tercera!S13</f>
        <v>0</v>
      </c>
      <c r="T13" s="32">
        <f t="shared" si="37"/>
        <v>-1</v>
      </c>
      <c r="U13" s="31">
        <f>Tercera!U13</f>
        <v>0</v>
      </c>
      <c r="V13" s="32">
        <f t="shared" si="38"/>
        <v>-1</v>
      </c>
      <c r="W13" s="31">
        <f>Tercera!W13</f>
        <v>0</v>
      </c>
      <c r="X13" s="32">
        <f t="shared" si="39"/>
        <v>-1</v>
      </c>
      <c r="Y13" s="31">
        <f>Tercera!Y13</f>
        <v>0</v>
      </c>
      <c r="Z13" s="32">
        <f t="shared" si="40"/>
        <v>-1</v>
      </c>
      <c r="AA13" s="31">
        <f>Tercera!AA13</f>
        <v>0</v>
      </c>
      <c r="AB13" s="32">
        <f t="shared" si="41"/>
        <v>-1</v>
      </c>
      <c r="AC13" s="31">
        <f>Tercera!AC13</f>
        <v>0</v>
      </c>
      <c r="AD13" s="32">
        <f t="shared" si="42"/>
        <v>-1</v>
      </c>
      <c r="AE13" s="31">
        <f>Tercera!AE13</f>
        <v>0</v>
      </c>
      <c r="AF13" s="32">
        <f t="shared" si="43"/>
        <v>-1</v>
      </c>
      <c r="AG13" s="31">
        <f>Tercera!AG13</f>
        <v>0</v>
      </c>
      <c r="AH13" s="32">
        <f t="shared" si="44"/>
        <v>-1</v>
      </c>
      <c r="AI13" s="31">
        <f>Tercera!AI13</f>
        <v>0</v>
      </c>
      <c r="AJ13" s="32">
        <f t="shared" si="45"/>
        <v>-1</v>
      </c>
      <c r="AK13" s="31">
        <f>Tercera!AK13</f>
        <v>0</v>
      </c>
      <c r="AL13" s="32">
        <f t="shared" si="46"/>
        <v>-1</v>
      </c>
      <c r="AM13" s="31">
        <f>Tercera!AM13</f>
        <v>0</v>
      </c>
      <c r="AN13" s="32">
        <f t="shared" si="47"/>
        <v>-1</v>
      </c>
      <c r="AO13" s="31">
        <f>Tercera!AO13</f>
        <v>0</v>
      </c>
      <c r="AP13" s="32">
        <f t="shared" si="48"/>
        <v>-1</v>
      </c>
      <c r="AQ13" s="31">
        <f>Tercera!AQ13</f>
        <v>0</v>
      </c>
      <c r="AR13" s="32">
        <f t="shared" si="49"/>
        <v>-1</v>
      </c>
      <c r="AS13" s="31">
        <f>Tercera!AS13</f>
        <v>0</v>
      </c>
      <c r="AT13" s="32">
        <f t="shared" si="50"/>
        <v>-1</v>
      </c>
      <c r="AU13" s="31">
        <f>Tercera!AU13</f>
        <v>0</v>
      </c>
      <c r="AV13" s="32">
        <f t="shared" si="51"/>
        <v>-1</v>
      </c>
      <c r="AW13" s="31">
        <f>Tercera!AW13</f>
        <v>0</v>
      </c>
      <c r="AX13" s="32">
        <f t="shared" si="52"/>
        <v>-1</v>
      </c>
      <c r="AY13" s="31">
        <f>Tercera!AY13</f>
        <v>0</v>
      </c>
      <c r="AZ13" s="32">
        <f t="shared" si="53"/>
        <v>-1</v>
      </c>
      <c r="BA13" s="31">
        <f>Tercera!BA13</f>
        <v>0</v>
      </c>
      <c r="BB13" s="32">
        <f t="shared" si="54"/>
        <v>-1</v>
      </c>
      <c r="BC13" s="31">
        <f>Tercera!BC13</f>
        <v>0</v>
      </c>
      <c r="BD13" s="32">
        <f t="shared" si="55"/>
        <v>-1</v>
      </c>
      <c r="BE13" s="31">
        <f>Tercera!BE13</f>
        <v>0</v>
      </c>
      <c r="BF13" s="32">
        <f t="shared" si="56"/>
        <v>-1</v>
      </c>
      <c r="BG13" s="31">
        <f>Tercera!BG13</f>
        <v>0</v>
      </c>
      <c r="BH13" s="32">
        <f t="shared" si="57"/>
        <v>-1</v>
      </c>
      <c r="BI13" s="31">
        <f>Tercera!BI13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Tercera!B14</f>
        <v>0</v>
      </c>
      <c r="C14" s="31">
        <f>Tercera!C14</f>
        <v>0</v>
      </c>
      <c r="D14" s="32">
        <f t="shared" si="29"/>
        <v>-1</v>
      </c>
      <c r="E14" s="31">
        <f>Tercera!E14</f>
        <v>0</v>
      </c>
      <c r="F14" s="32">
        <f t="shared" si="30"/>
        <v>-1</v>
      </c>
      <c r="G14" s="31">
        <f>Tercera!G14</f>
        <v>0</v>
      </c>
      <c r="H14" s="32">
        <f t="shared" si="31"/>
        <v>-1</v>
      </c>
      <c r="I14" s="31">
        <f>Tercera!I14</f>
        <v>0</v>
      </c>
      <c r="J14" s="32">
        <f t="shared" si="32"/>
        <v>-1</v>
      </c>
      <c r="K14" s="31">
        <f>Tercera!K14</f>
        <v>0</v>
      </c>
      <c r="L14" s="32">
        <f t="shared" si="33"/>
        <v>-1</v>
      </c>
      <c r="M14" s="31">
        <f>Tercera!M14</f>
        <v>0</v>
      </c>
      <c r="N14" s="32">
        <f t="shared" si="34"/>
        <v>-1</v>
      </c>
      <c r="O14" s="31">
        <f>Tercera!O14</f>
        <v>0</v>
      </c>
      <c r="P14" s="32">
        <f t="shared" si="35"/>
        <v>-1</v>
      </c>
      <c r="Q14" s="31">
        <f>Tercera!Q14</f>
        <v>0</v>
      </c>
      <c r="R14" s="32">
        <f t="shared" si="36"/>
        <v>-1</v>
      </c>
      <c r="S14" s="31">
        <f>Tercera!S14</f>
        <v>0</v>
      </c>
      <c r="T14" s="32">
        <f t="shared" si="37"/>
        <v>-1</v>
      </c>
      <c r="U14" s="31">
        <f>Tercera!U14</f>
        <v>0</v>
      </c>
      <c r="V14" s="32">
        <f t="shared" si="38"/>
        <v>-1</v>
      </c>
      <c r="W14" s="31">
        <f>Tercera!W14</f>
        <v>0</v>
      </c>
      <c r="X14" s="32">
        <f t="shared" si="39"/>
        <v>-1</v>
      </c>
      <c r="Y14" s="31">
        <f>Tercera!Y14</f>
        <v>0</v>
      </c>
      <c r="Z14" s="32">
        <f t="shared" si="40"/>
        <v>-1</v>
      </c>
      <c r="AA14" s="31">
        <f>Tercera!AA14</f>
        <v>0</v>
      </c>
      <c r="AB14" s="32">
        <f t="shared" si="41"/>
        <v>-1</v>
      </c>
      <c r="AC14" s="31">
        <f>Tercera!AC14</f>
        <v>0</v>
      </c>
      <c r="AD14" s="32">
        <f t="shared" si="42"/>
        <v>-1</v>
      </c>
      <c r="AE14" s="31">
        <f>Tercera!AE14</f>
        <v>0</v>
      </c>
      <c r="AF14" s="32">
        <f t="shared" si="43"/>
        <v>-1</v>
      </c>
      <c r="AG14" s="31">
        <f>Tercera!AG14</f>
        <v>0</v>
      </c>
      <c r="AH14" s="32">
        <f t="shared" si="44"/>
        <v>-1</v>
      </c>
      <c r="AI14" s="31">
        <f>Tercera!AI14</f>
        <v>0</v>
      </c>
      <c r="AJ14" s="32">
        <f t="shared" si="45"/>
        <v>-1</v>
      </c>
      <c r="AK14" s="31">
        <f>Tercera!AK14</f>
        <v>0</v>
      </c>
      <c r="AL14" s="32">
        <f t="shared" si="46"/>
        <v>-1</v>
      </c>
      <c r="AM14" s="31">
        <f>Tercera!AM14</f>
        <v>0</v>
      </c>
      <c r="AN14" s="32">
        <f t="shared" si="47"/>
        <v>-1</v>
      </c>
      <c r="AO14" s="31">
        <f>Tercera!AO14</f>
        <v>0</v>
      </c>
      <c r="AP14" s="32">
        <f t="shared" si="48"/>
        <v>-1</v>
      </c>
      <c r="AQ14" s="31">
        <f>Tercera!AQ14</f>
        <v>0</v>
      </c>
      <c r="AR14" s="32">
        <f t="shared" si="49"/>
        <v>-1</v>
      </c>
      <c r="AS14" s="31">
        <f>Tercera!AS14</f>
        <v>0</v>
      </c>
      <c r="AT14" s="32">
        <f t="shared" si="50"/>
        <v>-1</v>
      </c>
      <c r="AU14" s="31">
        <f>Tercera!AU14</f>
        <v>0</v>
      </c>
      <c r="AV14" s="32">
        <f t="shared" si="51"/>
        <v>-1</v>
      </c>
      <c r="AW14" s="31">
        <f>Tercera!AW14</f>
        <v>0</v>
      </c>
      <c r="AX14" s="32">
        <f t="shared" si="52"/>
        <v>-1</v>
      </c>
      <c r="AY14" s="31">
        <f>Tercera!AY14</f>
        <v>0</v>
      </c>
      <c r="AZ14" s="32">
        <f t="shared" si="53"/>
        <v>-1</v>
      </c>
      <c r="BA14" s="31">
        <f>Tercera!BA14</f>
        <v>0</v>
      </c>
      <c r="BB14" s="32">
        <f t="shared" si="54"/>
        <v>-1</v>
      </c>
      <c r="BC14" s="31">
        <f>Tercera!BC14</f>
        <v>0</v>
      </c>
      <c r="BD14" s="32">
        <f t="shared" si="55"/>
        <v>-1</v>
      </c>
      <c r="BE14" s="31">
        <f>Tercera!BE14</f>
        <v>0</v>
      </c>
      <c r="BF14" s="32">
        <f t="shared" si="56"/>
        <v>-1</v>
      </c>
      <c r="BG14" s="31">
        <f>Tercera!BG14</f>
        <v>0</v>
      </c>
      <c r="BH14" s="32">
        <f t="shared" si="57"/>
        <v>-1</v>
      </c>
      <c r="BI14" s="31">
        <f>Tercera!BI14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Tercera!B15</f>
        <v>0</v>
      </c>
      <c r="C15" s="31">
        <f>Tercera!C15</f>
        <v>0</v>
      </c>
      <c r="D15" s="32">
        <f t="shared" si="29"/>
        <v>-1</v>
      </c>
      <c r="E15" s="31">
        <f>Tercera!E15</f>
        <v>0</v>
      </c>
      <c r="F15" s="32">
        <f t="shared" si="30"/>
        <v>-1</v>
      </c>
      <c r="G15" s="31">
        <f>Tercera!G15</f>
        <v>0</v>
      </c>
      <c r="H15" s="32">
        <f t="shared" si="31"/>
        <v>-1</v>
      </c>
      <c r="I15" s="31">
        <f>Tercera!I15</f>
        <v>0</v>
      </c>
      <c r="J15" s="32">
        <f t="shared" si="32"/>
        <v>-1</v>
      </c>
      <c r="K15" s="31">
        <f>Tercera!K15</f>
        <v>0</v>
      </c>
      <c r="L15" s="32">
        <f t="shared" si="33"/>
        <v>-1</v>
      </c>
      <c r="M15" s="31">
        <f>Tercera!M15</f>
        <v>0</v>
      </c>
      <c r="N15" s="32">
        <f t="shared" si="34"/>
        <v>-1</v>
      </c>
      <c r="O15" s="31">
        <f>Tercera!O15</f>
        <v>0</v>
      </c>
      <c r="P15" s="32">
        <f t="shared" si="35"/>
        <v>-1</v>
      </c>
      <c r="Q15" s="31">
        <f>Tercera!Q15</f>
        <v>0</v>
      </c>
      <c r="R15" s="32">
        <f t="shared" si="36"/>
        <v>-1</v>
      </c>
      <c r="S15" s="31">
        <f>Tercera!S15</f>
        <v>0</v>
      </c>
      <c r="T15" s="32">
        <f t="shared" si="37"/>
        <v>-1</v>
      </c>
      <c r="U15" s="31">
        <f>Tercera!U15</f>
        <v>0</v>
      </c>
      <c r="V15" s="32">
        <f t="shared" si="38"/>
        <v>-1</v>
      </c>
      <c r="W15" s="31">
        <f>Tercera!W15</f>
        <v>0</v>
      </c>
      <c r="X15" s="32">
        <f t="shared" si="39"/>
        <v>-1</v>
      </c>
      <c r="Y15" s="31">
        <f>Tercera!Y15</f>
        <v>0</v>
      </c>
      <c r="Z15" s="32">
        <f t="shared" si="40"/>
        <v>-1</v>
      </c>
      <c r="AA15" s="31">
        <f>Tercera!AA15</f>
        <v>0</v>
      </c>
      <c r="AB15" s="32">
        <f t="shared" si="41"/>
        <v>-1</v>
      </c>
      <c r="AC15" s="31">
        <f>Tercera!AC15</f>
        <v>0</v>
      </c>
      <c r="AD15" s="32">
        <f t="shared" si="42"/>
        <v>-1</v>
      </c>
      <c r="AE15" s="31">
        <f>Tercera!AE15</f>
        <v>0</v>
      </c>
      <c r="AF15" s="32">
        <f t="shared" si="43"/>
        <v>-1</v>
      </c>
      <c r="AG15" s="31">
        <f>Tercera!AG15</f>
        <v>0</v>
      </c>
      <c r="AH15" s="32">
        <f t="shared" si="44"/>
        <v>-1</v>
      </c>
      <c r="AI15" s="31">
        <f>Tercera!AI15</f>
        <v>0</v>
      </c>
      <c r="AJ15" s="32">
        <f t="shared" si="45"/>
        <v>-1</v>
      </c>
      <c r="AK15" s="31">
        <f>Tercera!AK15</f>
        <v>0</v>
      </c>
      <c r="AL15" s="32">
        <f t="shared" si="46"/>
        <v>-1</v>
      </c>
      <c r="AM15" s="31">
        <f>Tercera!AM15</f>
        <v>0</v>
      </c>
      <c r="AN15" s="32">
        <f t="shared" si="47"/>
        <v>-1</v>
      </c>
      <c r="AO15" s="31">
        <f>Tercera!AO15</f>
        <v>0</v>
      </c>
      <c r="AP15" s="32">
        <f t="shared" si="48"/>
        <v>-1</v>
      </c>
      <c r="AQ15" s="31">
        <f>Tercera!AQ15</f>
        <v>0</v>
      </c>
      <c r="AR15" s="32">
        <f t="shared" si="49"/>
        <v>-1</v>
      </c>
      <c r="AS15" s="31">
        <f>Tercera!AS15</f>
        <v>0</v>
      </c>
      <c r="AT15" s="32">
        <f t="shared" si="50"/>
        <v>-1</v>
      </c>
      <c r="AU15" s="31">
        <f>Tercera!AU15</f>
        <v>0</v>
      </c>
      <c r="AV15" s="32">
        <f t="shared" si="51"/>
        <v>-1</v>
      </c>
      <c r="AW15" s="31">
        <f>Tercera!AW15</f>
        <v>0</v>
      </c>
      <c r="AX15" s="32">
        <f t="shared" si="52"/>
        <v>-1</v>
      </c>
      <c r="AY15" s="31">
        <f>Tercera!AY15</f>
        <v>0</v>
      </c>
      <c r="AZ15" s="32">
        <f t="shared" si="53"/>
        <v>-1</v>
      </c>
      <c r="BA15" s="31">
        <f>Tercera!BA15</f>
        <v>0</v>
      </c>
      <c r="BB15" s="32">
        <f t="shared" si="54"/>
        <v>-1</v>
      </c>
      <c r="BC15" s="31">
        <f>Tercera!BC15</f>
        <v>0</v>
      </c>
      <c r="BD15" s="32">
        <f t="shared" si="55"/>
        <v>-1</v>
      </c>
      <c r="BE15" s="31">
        <f>Tercera!BE15</f>
        <v>0</v>
      </c>
      <c r="BF15" s="32">
        <f t="shared" si="56"/>
        <v>-1</v>
      </c>
      <c r="BG15" s="31">
        <f>Tercera!BG15</f>
        <v>0</v>
      </c>
      <c r="BH15" s="32">
        <f t="shared" si="57"/>
        <v>-1</v>
      </c>
      <c r="BI15" s="31">
        <f>Tercera!BI15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Tercera!B17</f>
        <v>0</v>
      </c>
      <c r="C17" s="31">
        <f>Tercera!C17</f>
        <v>0</v>
      </c>
      <c r="D17" s="32">
        <f t="shared" ref="D17:D37" si="59">IF($B17,C17/$B17,-1)</f>
        <v>-1</v>
      </c>
      <c r="E17" s="31">
        <f>Tercera!E17</f>
        <v>0</v>
      </c>
      <c r="F17" s="32">
        <f t="shared" ref="F17:F37" si="60">IF($B17,E17/$B17,-1)</f>
        <v>-1</v>
      </c>
      <c r="G17" s="31">
        <f>Tercera!G17</f>
        <v>0</v>
      </c>
      <c r="H17" s="32">
        <f t="shared" ref="H17:H37" si="61">IF($B17,G17/$B17,-1)</f>
        <v>-1</v>
      </c>
      <c r="I17" s="31">
        <f>Tercera!I17</f>
        <v>0</v>
      </c>
      <c r="J17" s="32">
        <f t="shared" ref="J17:J37" si="62">IF($B17,I17/$B17,-1)</f>
        <v>-1</v>
      </c>
      <c r="K17" s="31">
        <f>Tercera!K17</f>
        <v>0</v>
      </c>
      <c r="L17" s="32">
        <f t="shared" ref="L17:L37" si="63">IF($B17,K17/$B17,-1)</f>
        <v>-1</v>
      </c>
      <c r="M17" s="31">
        <f>Tercera!M17</f>
        <v>0</v>
      </c>
      <c r="N17" s="32">
        <f t="shared" ref="N17:N37" si="64">IF($B17,M17/$B17,-1)</f>
        <v>-1</v>
      </c>
      <c r="O17" s="31">
        <f>Tercera!O17</f>
        <v>0</v>
      </c>
      <c r="P17" s="32">
        <f t="shared" ref="P17:P37" si="65">IF($B17,O17/$B17,-1)</f>
        <v>-1</v>
      </c>
      <c r="Q17" s="31">
        <f>Tercera!Q17</f>
        <v>0</v>
      </c>
      <c r="R17" s="32">
        <f t="shared" ref="R17:R37" si="66">IF($B17,Q17/$B17,-1)</f>
        <v>-1</v>
      </c>
      <c r="S17" s="31">
        <f>Tercera!S17</f>
        <v>0</v>
      </c>
      <c r="T17" s="32">
        <f t="shared" ref="T17:T37" si="67">IF($B17,S17/$B17,-1)</f>
        <v>-1</v>
      </c>
      <c r="U17" s="31">
        <f>Tercera!U17</f>
        <v>0</v>
      </c>
      <c r="V17" s="32">
        <f t="shared" ref="V17:V37" si="68">IF($B17,U17/$B17,-1)</f>
        <v>-1</v>
      </c>
      <c r="W17" s="31">
        <f>Tercera!W17</f>
        <v>0</v>
      </c>
      <c r="X17" s="32">
        <f t="shared" ref="X17:X37" si="69">IF($B17,W17/$B17,-1)</f>
        <v>-1</v>
      </c>
      <c r="Y17" s="31">
        <f>Tercera!Y17</f>
        <v>0</v>
      </c>
      <c r="Z17" s="32">
        <f t="shared" ref="Z17:Z37" si="70">IF($B17,Y17/$B17,-1)</f>
        <v>-1</v>
      </c>
      <c r="AA17" s="31">
        <f>Tercera!AA17</f>
        <v>0</v>
      </c>
      <c r="AB17" s="32">
        <f t="shared" ref="AB17:AB37" si="71">IF($B17,AA17/$B17,-1)</f>
        <v>-1</v>
      </c>
      <c r="AC17" s="31">
        <f>Tercera!AC17</f>
        <v>0</v>
      </c>
      <c r="AD17" s="32">
        <f t="shared" ref="AD17:AD37" si="72">IF($B17,AC17/$B17,-1)</f>
        <v>-1</v>
      </c>
      <c r="AE17" s="31">
        <f>Tercera!AE17</f>
        <v>0</v>
      </c>
      <c r="AF17" s="32">
        <f t="shared" ref="AF17:AF37" si="73">IF($B17,AE17/$B17,-1)</f>
        <v>-1</v>
      </c>
      <c r="AG17" s="31">
        <f>Tercera!AG17</f>
        <v>0</v>
      </c>
      <c r="AH17" s="32">
        <f t="shared" ref="AH17:AH37" si="74">IF($B17,AG17/$B17,-1)</f>
        <v>-1</v>
      </c>
      <c r="AI17" s="31">
        <f>Tercera!AI17</f>
        <v>0</v>
      </c>
      <c r="AJ17" s="32">
        <f t="shared" ref="AJ17:AJ37" si="75">IF($B17,AI17/$B17,-1)</f>
        <v>-1</v>
      </c>
      <c r="AK17" s="31">
        <f>Tercera!AK17</f>
        <v>0</v>
      </c>
      <c r="AL17" s="32">
        <f t="shared" ref="AL17:AL37" si="76">IF($B17,AK17/$B17,-1)</f>
        <v>-1</v>
      </c>
      <c r="AM17" s="31">
        <f>Tercera!AM17</f>
        <v>0</v>
      </c>
      <c r="AN17" s="32">
        <f t="shared" ref="AN17:AN37" si="77">IF($B17,AM17/$B17,-1)</f>
        <v>-1</v>
      </c>
      <c r="AO17" s="31">
        <f>Tercera!AO17</f>
        <v>0</v>
      </c>
      <c r="AP17" s="32">
        <f t="shared" ref="AP17:AP37" si="78">IF($B17,AO17/$B17,-1)</f>
        <v>-1</v>
      </c>
      <c r="AQ17" s="31">
        <f>Tercera!AQ17</f>
        <v>0</v>
      </c>
      <c r="AR17" s="32">
        <f t="shared" ref="AR17:AR37" si="79">IF($B17,AQ17/$B17,-1)</f>
        <v>-1</v>
      </c>
      <c r="AS17" s="31">
        <f>Tercera!AS17</f>
        <v>0</v>
      </c>
      <c r="AT17" s="32">
        <f t="shared" ref="AT17:AT37" si="80">IF($B17,AS17/$B17,-1)</f>
        <v>-1</v>
      </c>
      <c r="AU17" s="31">
        <f>Tercera!AU17</f>
        <v>0</v>
      </c>
      <c r="AV17" s="32">
        <f t="shared" ref="AV17:AV37" si="81">IF($B17,AU17/$B17,-1)</f>
        <v>-1</v>
      </c>
      <c r="AW17" s="31">
        <f>Tercera!AW17</f>
        <v>0</v>
      </c>
      <c r="AX17" s="32">
        <f t="shared" ref="AX17:AX37" si="82">IF($B17,AW17/$B17,-1)</f>
        <v>-1</v>
      </c>
      <c r="AY17" s="31">
        <f>Tercera!AY17</f>
        <v>0</v>
      </c>
      <c r="AZ17" s="32">
        <f t="shared" ref="AZ17:AZ37" si="83">IF($B17,AY17/$B17,-1)</f>
        <v>-1</v>
      </c>
      <c r="BA17" s="31">
        <f>Tercera!BA17</f>
        <v>0</v>
      </c>
      <c r="BB17" s="32">
        <f t="shared" ref="BB17:BB37" si="84">IF($B17,BA17/$B17,-1)</f>
        <v>-1</v>
      </c>
      <c r="BC17" s="31">
        <f>Tercera!BC17</f>
        <v>0</v>
      </c>
      <c r="BD17" s="32">
        <f t="shared" ref="BD17:BD37" si="85">IF($B17,BC17/$B17,-1)</f>
        <v>-1</v>
      </c>
      <c r="BE17" s="31">
        <f>Tercera!BE17</f>
        <v>0</v>
      </c>
      <c r="BF17" s="32">
        <f t="shared" ref="BF17:BF37" si="86">IF($B17,BE17/$B17,-1)</f>
        <v>-1</v>
      </c>
      <c r="BG17" s="31">
        <f>Tercera!BG17</f>
        <v>0</v>
      </c>
      <c r="BH17" s="32">
        <f t="shared" ref="BH17:BH37" si="87">IF($B17,BG17/$B17,-1)</f>
        <v>-1</v>
      </c>
      <c r="BI17" s="31">
        <f>Tercera!BI17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Tercera!B18</f>
        <v>0</v>
      </c>
      <c r="C18" s="31">
        <f>Tercera!C18</f>
        <v>0</v>
      </c>
      <c r="D18" s="32">
        <f t="shared" si="59"/>
        <v>-1</v>
      </c>
      <c r="E18" s="31">
        <f>Tercera!E18</f>
        <v>0</v>
      </c>
      <c r="F18" s="32">
        <f t="shared" si="60"/>
        <v>-1</v>
      </c>
      <c r="G18" s="31">
        <f>Tercera!G18</f>
        <v>0</v>
      </c>
      <c r="H18" s="32">
        <f t="shared" si="61"/>
        <v>-1</v>
      </c>
      <c r="I18" s="31">
        <f>Tercera!I18</f>
        <v>0</v>
      </c>
      <c r="J18" s="32">
        <f t="shared" si="62"/>
        <v>-1</v>
      </c>
      <c r="K18" s="31">
        <f>Tercera!K18</f>
        <v>0</v>
      </c>
      <c r="L18" s="32">
        <f t="shared" si="63"/>
        <v>-1</v>
      </c>
      <c r="M18" s="31">
        <f>Tercera!M18</f>
        <v>0</v>
      </c>
      <c r="N18" s="32">
        <f t="shared" si="64"/>
        <v>-1</v>
      </c>
      <c r="O18" s="31">
        <f>Tercera!O18</f>
        <v>0</v>
      </c>
      <c r="P18" s="32">
        <f t="shared" si="65"/>
        <v>-1</v>
      </c>
      <c r="Q18" s="31">
        <f>Tercera!Q18</f>
        <v>0</v>
      </c>
      <c r="R18" s="32">
        <f t="shared" si="66"/>
        <v>-1</v>
      </c>
      <c r="S18" s="31">
        <f>Tercera!S18</f>
        <v>0</v>
      </c>
      <c r="T18" s="32">
        <f t="shared" si="67"/>
        <v>-1</v>
      </c>
      <c r="U18" s="31">
        <f>Tercera!U18</f>
        <v>0</v>
      </c>
      <c r="V18" s="32">
        <f t="shared" si="68"/>
        <v>-1</v>
      </c>
      <c r="W18" s="31">
        <f>Tercera!W18</f>
        <v>0</v>
      </c>
      <c r="X18" s="32">
        <f t="shared" si="69"/>
        <v>-1</v>
      </c>
      <c r="Y18" s="31">
        <f>Tercera!Y18</f>
        <v>0</v>
      </c>
      <c r="Z18" s="32">
        <f t="shared" si="70"/>
        <v>-1</v>
      </c>
      <c r="AA18" s="31">
        <f>Tercera!AA18</f>
        <v>0</v>
      </c>
      <c r="AB18" s="32">
        <f t="shared" si="71"/>
        <v>-1</v>
      </c>
      <c r="AC18" s="31">
        <f>Tercera!AC18</f>
        <v>0</v>
      </c>
      <c r="AD18" s="32">
        <f t="shared" si="72"/>
        <v>-1</v>
      </c>
      <c r="AE18" s="31">
        <f>Tercera!AE18</f>
        <v>0</v>
      </c>
      <c r="AF18" s="32">
        <f t="shared" si="73"/>
        <v>-1</v>
      </c>
      <c r="AG18" s="31">
        <f>Tercera!AG18</f>
        <v>0</v>
      </c>
      <c r="AH18" s="32">
        <f t="shared" si="74"/>
        <v>-1</v>
      </c>
      <c r="AI18" s="31">
        <f>Tercera!AI18</f>
        <v>0</v>
      </c>
      <c r="AJ18" s="32">
        <f t="shared" si="75"/>
        <v>-1</v>
      </c>
      <c r="AK18" s="31">
        <f>Tercera!AK18</f>
        <v>0</v>
      </c>
      <c r="AL18" s="32">
        <f t="shared" si="76"/>
        <v>-1</v>
      </c>
      <c r="AM18" s="31">
        <f>Tercera!AM18</f>
        <v>0</v>
      </c>
      <c r="AN18" s="32">
        <f t="shared" si="77"/>
        <v>-1</v>
      </c>
      <c r="AO18" s="31">
        <f>Tercera!AO18</f>
        <v>0</v>
      </c>
      <c r="AP18" s="32">
        <f t="shared" si="78"/>
        <v>-1</v>
      </c>
      <c r="AQ18" s="31">
        <f>Tercera!AQ18</f>
        <v>0</v>
      </c>
      <c r="AR18" s="32">
        <f t="shared" si="79"/>
        <v>-1</v>
      </c>
      <c r="AS18" s="31">
        <f>Tercera!AS18</f>
        <v>0</v>
      </c>
      <c r="AT18" s="32">
        <f t="shared" si="80"/>
        <v>-1</v>
      </c>
      <c r="AU18" s="31">
        <f>Tercera!AU18</f>
        <v>0</v>
      </c>
      <c r="AV18" s="32">
        <f t="shared" si="81"/>
        <v>-1</v>
      </c>
      <c r="AW18" s="31">
        <f>Tercera!AW18</f>
        <v>0</v>
      </c>
      <c r="AX18" s="32">
        <f t="shared" si="82"/>
        <v>-1</v>
      </c>
      <c r="AY18" s="31">
        <f>Tercera!AY18</f>
        <v>0</v>
      </c>
      <c r="AZ18" s="32">
        <f t="shared" si="83"/>
        <v>-1</v>
      </c>
      <c r="BA18" s="31">
        <f>Tercera!BA18</f>
        <v>0</v>
      </c>
      <c r="BB18" s="32">
        <f t="shared" si="84"/>
        <v>-1</v>
      </c>
      <c r="BC18" s="31">
        <f>Tercera!BC18</f>
        <v>0</v>
      </c>
      <c r="BD18" s="32">
        <f t="shared" si="85"/>
        <v>-1</v>
      </c>
      <c r="BE18" s="31">
        <f>Tercera!BE18</f>
        <v>0</v>
      </c>
      <c r="BF18" s="32">
        <f t="shared" si="86"/>
        <v>-1</v>
      </c>
      <c r="BG18" s="31">
        <f>Tercera!BG18</f>
        <v>0</v>
      </c>
      <c r="BH18" s="32">
        <f t="shared" si="87"/>
        <v>-1</v>
      </c>
      <c r="BI18" s="31">
        <f>Tercera!BI18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Tercera!B19</f>
        <v>0</v>
      </c>
      <c r="C19" s="31">
        <f>Tercera!C19</f>
        <v>0</v>
      </c>
      <c r="D19" s="32">
        <f t="shared" si="59"/>
        <v>-1</v>
      </c>
      <c r="E19" s="31">
        <f>Tercera!E19</f>
        <v>0</v>
      </c>
      <c r="F19" s="32">
        <f t="shared" si="60"/>
        <v>-1</v>
      </c>
      <c r="G19" s="31">
        <f>Tercera!G19</f>
        <v>0</v>
      </c>
      <c r="H19" s="32">
        <f t="shared" si="61"/>
        <v>-1</v>
      </c>
      <c r="I19" s="31">
        <f>Tercera!I19</f>
        <v>0</v>
      </c>
      <c r="J19" s="32">
        <f t="shared" si="62"/>
        <v>-1</v>
      </c>
      <c r="K19" s="31">
        <f>Tercera!K19</f>
        <v>0</v>
      </c>
      <c r="L19" s="32">
        <f t="shared" si="63"/>
        <v>-1</v>
      </c>
      <c r="M19" s="31">
        <f>Tercera!M19</f>
        <v>0</v>
      </c>
      <c r="N19" s="32">
        <f t="shared" si="64"/>
        <v>-1</v>
      </c>
      <c r="O19" s="31">
        <f>Tercera!O19</f>
        <v>0</v>
      </c>
      <c r="P19" s="32">
        <f t="shared" si="65"/>
        <v>-1</v>
      </c>
      <c r="Q19" s="31">
        <f>Tercera!Q19</f>
        <v>0</v>
      </c>
      <c r="R19" s="32">
        <f t="shared" si="66"/>
        <v>-1</v>
      </c>
      <c r="S19" s="31">
        <f>Tercera!S19</f>
        <v>0</v>
      </c>
      <c r="T19" s="32">
        <f t="shared" si="67"/>
        <v>-1</v>
      </c>
      <c r="U19" s="31">
        <f>Tercera!U19</f>
        <v>0</v>
      </c>
      <c r="V19" s="32">
        <f t="shared" si="68"/>
        <v>-1</v>
      </c>
      <c r="W19" s="31">
        <f>Tercera!W19</f>
        <v>0</v>
      </c>
      <c r="X19" s="32">
        <f t="shared" si="69"/>
        <v>-1</v>
      </c>
      <c r="Y19" s="31">
        <f>Tercera!Y19</f>
        <v>0</v>
      </c>
      <c r="Z19" s="32">
        <f t="shared" si="70"/>
        <v>-1</v>
      </c>
      <c r="AA19" s="31">
        <f>Tercera!AA19</f>
        <v>0</v>
      </c>
      <c r="AB19" s="32">
        <f t="shared" si="71"/>
        <v>-1</v>
      </c>
      <c r="AC19" s="31">
        <f>Tercera!AC19</f>
        <v>0</v>
      </c>
      <c r="AD19" s="32">
        <f t="shared" si="72"/>
        <v>-1</v>
      </c>
      <c r="AE19" s="31">
        <f>Tercera!AE19</f>
        <v>0</v>
      </c>
      <c r="AF19" s="32">
        <f t="shared" si="73"/>
        <v>-1</v>
      </c>
      <c r="AG19" s="31">
        <f>Tercera!AG19</f>
        <v>0</v>
      </c>
      <c r="AH19" s="32">
        <f t="shared" si="74"/>
        <v>-1</v>
      </c>
      <c r="AI19" s="31">
        <f>Tercera!AI19</f>
        <v>0</v>
      </c>
      <c r="AJ19" s="32">
        <f t="shared" si="75"/>
        <v>-1</v>
      </c>
      <c r="AK19" s="31">
        <f>Tercera!AK19</f>
        <v>0</v>
      </c>
      <c r="AL19" s="32">
        <f t="shared" si="76"/>
        <v>-1</v>
      </c>
      <c r="AM19" s="31">
        <f>Tercera!AM19</f>
        <v>0</v>
      </c>
      <c r="AN19" s="32">
        <f t="shared" si="77"/>
        <v>-1</v>
      </c>
      <c r="AO19" s="31">
        <f>Tercera!AO19</f>
        <v>0</v>
      </c>
      <c r="AP19" s="32">
        <f t="shared" si="78"/>
        <v>-1</v>
      </c>
      <c r="AQ19" s="31">
        <f>Tercera!AQ19</f>
        <v>0</v>
      </c>
      <c r="AR19" s="32">
        <f t="shared" si="79"/>
        <v>-1</v>
      </c>
      <c r="AS19" s="31">
        <f>Tercera!AS19</f>
        <v>0</v>
      </c>
      <c r="AT19" s="32">
        <f t="shared" si="80"/>
        <v>-1</v>
      </c>
      <c r="AU19" s="31">
        <f>Tercera!AU19</f>
        <v>0</v>
      </c>
      <c r="AV19" s="32">
        <f t="shared" si="81"/>
        <v>-1</v>
      </c>
      <c r="AW19" s="31">
        <f>Tercera!AW19</f>
        <v>0</v>
      </c>
      <c r="AX19" s="32">
        <f t="shared" si="82"/>
        <v>-1</v>
      </c>
      <c r="AY19" s="31">
        <f>Tercera!AY19</f>
        <v>0</v>
      </c>
      <c r="AZ19" s="32">
        <f t="shared" si="83"/>
        <v>-1</v>
      </c>
      <c r="BA19" s="31">
        <f>Tercera!BA19</f>
        <v>0</v>
      </c>
      <c r="BB19" s="32">
        <f t="shared" si="84"/>
        <v>-1</v>
      </c>
      <c r="BC19" s="31">
        <f>Tercera!BC19</f>
        <v>0</v>
      </c>
      <c r="BD19" s="32">
        <f t="shared" si="85"/>
        <v>-1</v>
      </c>
      <c r="BE19" s="31">
        <f>Tercera!BE19</f>
        <v>0</v>
      </c>
      <c r="BF19" s="32">
        <f t="shared" si="86"/>
        <v>-1</v>
      </c>
      <c r="BG19" s="31">
        <f>Tercera!BG19</f>
        <v>0</v>
      </c>
      <c r="BH19" s="32">
        <f t="shared" si="87"/>
        <v>-1</v>
      </c>
      <c r="BI19" s="31">
        <f>Tercera!BI19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Tercera!B20</f>
        <v>0</v>
      </c>
      <c r="C20" s="31">
        <f>Tercera!C20</f>
        <v>0</v>
      </c>
      <c r="D20" s="32">
        <f t="shared" si="59"/>
        <v>-1</v>
      </c>
      <c r="E20" s="31">
        <f>Tercera!E20</f>
        <v>0</v>
      </c>
      <c r="F20" s="32">
        <f t="shared" si="60"/>
        <v>-1</v>
      </c>
      <c r="G20" s="31">
        <f>Tercera!G20</f>
        <v>0</v>
      </c>
      <c r="H20" s="32">
        <f t="shared" si="61"/>
        <v>-1</v>
      </c>
      <c r="I20" s="31">
        <f>Tercera!I20</f>
        <v>0</v>
      </c>
      <c r="J20" s="32">
        <f t="shared" si="62"/>
        <v>-1</v>
      </c>
      <c r="K20" s="31">
        <f>Tercera!K20</f>
        <v>0</v>
      </c>
      <c r="L20" s="32">
        <f t="shared" si="63"/>
        <v>-1</v>
      </c>
      <c r="M20" s="31">
        <f>Tercera!M20</f>
        <v>0</v>
      </c>
      <c r="N20" s="32">
        <f t="shared" si="64"/>
        <v>-1</v>
      </c>
      <c r="O20" s="31">
        <f>Tercera!O20</f>
        <v>0</v>
      </c>
      <c r="P20" s="32">
        <f t="shared" si="65"/>
        <v>-1</v>
      </c>
      <c r="Q20" s="31">
        <f>Tercera!Q20</f>
        <v>0</v>
      </c>
      <c r="R20" s="32">
        <f t="shared" si="66"/>
        <v>-1</v>
      </c>
      <c r="S20" s="31">
        <f>Tercera!S20</f>
        <v>0</v>
      </c>
      <c r="T20" s="32">
        <f t="shared" si="67"/>
        <v>-1</v>
      </c>
      <c r="U20" s="31">
        <f>Tercera!U20</f>
        <v>0</v>
      </c>
      <c r="V20" s="32">
        <f t="shared" si="68"/>
        <v>-1</v>
      </c>
      <c r="W20" s="31">
        <f>Tercera!W20</f>
        <v>0</v>
      </c>
      <c r="X20" s="32">
        <f t="shared" si="69"/>
        <v>-1</v>
      </c>
      <c r="Y20" s="31">
        <f>Tercera!Y20</f>
        <v>0</v>
      </c>
      <c r="Z20" s="32">
        <f t="shared" si="70"/>
        <v>-1</v>
      </c>
      <c r="AA20" s="31">
        <f>Tercera!AA20</f>
        <v>0</v>
      </c>
      <c r="AB20" s="32">
        <f t="shared" si="71"/>
        <v>-1</v>
      </c>
      <c r="AC20" s="31">
        <f>Tercera!AC20</f>
        <v>0</v>
      </c>
      <c r="AD20" s="32">
        <f t="shared" si="72"/>
        <v>-1</v>
      </c>
      <c r="AE20" s="31">
        <f>Tercera!AE20</f>
        <v>0</v>
      </c>
      <c r="AF20" s="32">
        <f t="shared" si="73"/>
        <v>-1</v>
      </c>
      <c r="AG20" s="31">
        <f>Tercera!AG20</f>
        <v>0</v>
      </c>
      <c r="AH20" s="32">
        <f t="shared" si="74"/>
        <v>-1</v>
      </c>
      <c r="AI20" s="31">
        <f>Tercera!AI20</f>
        <v>0</v>
      </c>
      <c r="AJ20" s="32">
        <f t="shared" si="75"/>
        <v>-1</v>
      </c>
      <c r="AK20" s="31">
        <f>Tercera!AK20</f>
        <v>0</v>
      </c>
      <c r="AL20" s="32">
        <f t="shared" si="76"/>
        <v>-1</v>
      </c>
      <c r="AM20" s="31">
        <f>Tercera!AM20</f>
        <v>0</v>
      </c>
      <c r="AN20" s="32">
        <f t="shared" si="77"/>
        <v>-1</v>
      </c>
      <c r="AO20" s="31">
        <f>Tercera!AO20</f>
        <v>0</v>
      </c>
      <c r="AP20" s="32">
        <f t="shared" si="78"/>
        <v>-1</v>
      </c>
      <c r="AQ20" s="31">
        <f>Tercera!AQ20</f>
        <v>0</v>
      </c>
      <c r="AR20" s="32">
        <f t="shared" si="79"/>
        <v>-1</v>
      </c>
      <c r="AS20" s="31">
        <f>Tercera!AS20</f>
        <v>0</v>
      </c>
      <c r="AT20" s="32">
        <f t="shared" si="80"/>
        <v>-1</v>
      </c>
      <c r="AU20" s="31">
        <f>Tercera!AU20</f>
        <v>0</v>
      </c>
      <c r="AV20" s="32">
        <f t="shared" si="81"/>
        <v>-1</v>
      </c>
      <c r="AW20" s="31">
        <f>Tercera!AW20</f>
        <v>0</v>
      </c>
      <c r="AX20" s="32">
        <f t="shared" si="82"/>
        <v>-1</v>
      </c>
      <c r="AY20" s="31">
        <f>Tercera!AY20</f>
        <v>0</v>
      </c>
      <c r="AZ20" s="32">
        <f t="shared" si="83"/>
        <v>-1</v>
      </c>
      <c r="BA20" s="31">
        <f>Tercera!BA20</f>
        <v>0</v>
      </c>
      <c r="BB20" s="32">
        <f t="shared" si="84"/>
        <v>-1</v>
      </c>
      <c r="BC20" s="31">
        <f>Tercera!BC20</f>
        <v>0</v>
      </c>
      <c r="BD20" s="32">
        <f t="shared" si="85"/>
        <v>-1</v>
      </c>
      <c r="BE20" s="31">
        <f>Tercera!BE20</f>
        <v>0</v>
      </c>
      <c r="BF20" s="32">
        <f t="shared" si="86"/>
        <v>-1</v>
      </c>
      <c r="BG20" s="31">
        <f>Tercera!BG20</f>
        <v>0</v>
      </c>
      <c r="BH20" s="32">
        <f t="shared" si="87"/>
        <v>-1</v>
      </c>
      <c r="BI20" s="31">
        <f>Tercera!BI20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Tercera!B21</f>
        <v>0</v>
      </c>
      <c r="C21" s="31">
        <f>Tercera!C21</f>
        <v>0</v>
      </c>
      <c r="D21" s="32">
        <f t="shared" si="59"/>
        <v>-1</v>
      </c>
      <c r="E21" s="31">
        <f>Tercera!E21</f>
        <v>0</v>
      </c>
      <c r="F21" s="32">
        <f t="shared" si="60"/>
        <v>-1</v>
      </c>
      <c r="G21" s="31">
        <f>Tercera!G21</f>
        <v>0</v>
      </c>
      <c r="H21" s="32">
        <f t="shared" si="61"/>
        <v>-1</v>
      </c>
      <c r="I21" s="31">
        <f>Tercera!I21</f>
        <v>0</v>
      </c>
      <c r="J21" s="32">
        <f t="shared" si="62"/>
        <v>-1</v>
      </c>
      <c r="K21" s="31">
        <f>Tercera!K21</f>
        <v>0</v>
      </c>
      <c r="L21" s="32">
        <f t="shared" si="63"/>
        <v>-1</v>
      </c>
      <c r="M21" s="31">
        <f>Tercera!M21</f>
        <v>0</v>
      </c>
      <c r="N21" s="32">
        <f t="shared" si="64"/>
        <v>-1</v>
      </c>
      <c r="O21" s="31">
        <f>Tercera!O21</f>
        <v>0</v>
      </c>
      <c r="P21" s="32">
        <f t="shared" si="65"/>
        <v>-1</v>
      </c>
      <c r="Q21" s="31">
        <f>Tercera!Q21</f>
        <v>0</v>
      </c>
      <c r="R21" s="32">
        <f t="shared" si="66"/>
        <v>-1</v>
      </c>
      <c r="S21" s="31">
        <f>Tercera!S21</f>
        <v>0</v>
      </c>
      <c r="T21" s="32">
        <f t="shared" si="67"/>
        <v>-1</v>
      </c>
      <c r="U21" s="31">
        <f>Tercera!U21</f>
        <v>0</v>
      </c>
      <c r="V21" s="32">
        <f t="shared" si="68"/>
        <v>-1</v>
      </c>
      <c r="W21" s="31">
        <f>Tercera!W21</f>
        <v>0</v>
      </c>
      <c r="X21" s="32">
        <f t="shared" si="69"/>
        <v>-1</v>
      </c>
      <c r="Y21" s="31">
        <f>Tercera!Y21</f>
        <v>0</v>
      </c>
      <c r="Z21" s="32">
        <f t="shared" si="70"/>
        <v>-1</v>
      </c>
      <c r="AA21" s="31">
        <f>Tercera!AA21</f>
        <v>0</v>
      </c>
      <c r="AB21" s="32">
        <f t="shared" si="71"/>
        <v>-1</v>
      </c>
      <c r="AC21" s="31">
        <f>Tercera!AC21</f>
        <v>0</v>
      </c>
      <c r="AD21" s="32">
        <f t="shared" si="72"/>
        <v>-1</v>
      </c>
      <c r="AE21" s="31">
        <f>Tercera!AE21</f>
        <v>0</v>
      </c>
      <c r="AF21" s="32">
        <f t="shared" si="73"/>
        <v>-1</v>
      </c>
      <c r="AG21" s="31">
        <f>Tercera!AG21</f>
        <v>0</v>
      </c>
      <c r="AH21" s="32">
        <f t="shared" si="74"/>
        <v>-1</v>
      </c>
      <c r="AI21" s="31">
        <f>Tercera!AI21</f>
        <v>0</v>
      </c>
      <c r="AJ21" s="32">
        <f t="shared" si="75"/>
        <v>-1</v>
      </c>
      <c r="AK21" s="31">
        <f>Tercera!AK21</f>
        <v>0</v>
      </c>
      <c r="AL21" s="32">
        <f t="shared" si="76"/>
        <v>-1</v>
      </c>
      <c r="AM21" s="31">
        <f>Tercera!AM21</f>
        <v>0</v>
      </c>
      <c r="AN21" s="32">
        <f t="shared" si="77"/>
        <v>-1</v>
      </c>
      <c r="AO21" s="31">
        <f>Tercera!AO21</f>
        <v>0</v>
      </c>
      <c r="AP21" s="32">
        <f t="shared" si="78"/>
        <v>-1</v>
      </c>
      <c r="AQ21" s="31">
        <f>Tercera!AQ21</f>
        <v>0</v>
      </c>
      <c r="AR21" s="32">
        <f t="shared" si="79"/>
        <v>-1</v>
      </c>
      <c r="AS21" s="31">
        <f>Tercera!AS21</f>
        <v>0</v>
      </c>
      <c r="AT21" s="32">
        <f t="shared" si="80"/>
        <v>-1</v>
      </c>
      <c r="AU21" s="31">
        <f>Tercera!AU21</f>
        <v>0</v>
      </c>
      <c r="AV21" s="32">
        <f t="shared" si="81"/>
        <v>-1</v>
      </c>
      <c r="AW21" s="31">
        <f>Tercera!AW21</f>
        <v>0</v>
      </c>
      <c r="AX21" s="32">
        <f t="shared" si="82"/>
        <v>-1</v>
      </c>
      <c r="AY21" s="31">
        <f>Tercera!AY21</f>
        <v>0</v>
      </c>
      <c r="AZ21" s="32">
        <f t="shared" si="83"/>
        <v>-1</v>
      </c>
      <c r="BA21" s="31">
        <f>Tercera!BA21</f>
        <v>0</v>
      </c>
      <c r="BB21" s="32">
        <f t="shared" si="84"/>
        <v>-1</v>
      </c>
      <c r="BC21" s="31">
        <f>Tercera!BC21</f>
        <v>0</v>
      </c>
      <c r="BD21" s="32">
        <f t="shared" si="85"/>
        <v>-1</v>
      </c>
      <c r="BE21" s="31">
        <f>Tercera!BE21</f>
        <v>0</v>
      </c>
      <c r="BF21" s="32">
        <f t="shared" si="86"/>
        <v>-1</v>
      </c>
      <c r="BG21" s="31">
        <f>Tercera!BG21</f>
        <v>0</v>
      </c>
      <c r="BH21" s="32">
        <f t="shared" si="87"/>
        <v>-1</v>
      </c>
      <c r="BI21" s="31">
        <f>Tercera!BI21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Tercera!B22</f>
        <v>0</v>
      </c>
      <c r="C22" s="31">
        <f>Tercera!C22</f>
        <v>0</v>
      </c>
      <c r="D22" s="32">
        <f t="shared" si="59"/>
        <v>-1</v>
      </c>
      <c r="E22" s="31">
        <f>Tercera!E22</f>
        <v>0</v>
      </c>
      <c r="F22" s="32">
        <f t="shared" si="60"/>
        <v>-1</v>
      </c>
      <c r="G22" s="31">
        <f>Tercera!G22</f>
        <v>0</v>
      </c>
      <c r="H22" s="32">
        <f t="shared" si="61"/>
        <v>-1</v>
      </c>
      <c r="I22" s="31">
        <f>Tercera!I22</f>
        <v>0</v>
      </c>
      <c r="J22" s="32">
        <f t="shared" si="62"/>
        <v>-1</v>
      </c>
      <c r="K22" s="31">
        <f>Tercera!K22</f>
        <v>0</v>
      </c>
      <c r="L22" s="32">
        <f t="shared" si="63"/>
        <v>-1</v>
      </c>
      <c r="M22" s="31">
        <f>Tercera!M22</f>
        <v>0</v>
      </c>
      <c r="N22" s="32">
        <f t="shared" si="64"/>
        <v>-1</v>
      </c>
      <c r="O22" s="31">
        <f>Tercera!O22</f>
        <v>0</v>
      </c>
      <c r="P22" s="32">
        <f t="shared" si="65"/>
        <v>-1</v>
      </c>
      <c r="Q22" s="31">
        <f>Tercera!Q22</f>
        <v>0</v>
      </c>
      <c r="R22" s="32">
        <f t="shared" si="66"/>
        <v>-1</v>
      </c>
      <c r="S22" s="31">
        <f>Tercera!S22</f>
        <v>0</v>
      </c>
      <c r="T22" s="32">
        <f t="shared" si="67"/>
        <v>-1</v>
      </c>
      <c r="U22" s="31">
        <f>Tercera!U22</f>
        <v>0</v>
      </c>
      <c r="V22" s="32">
        <f t="shared" si="68"/>
        <v>-1</v>
      </c>
      <c r="W22" s="31">
        <f>Tercera!W22</f>
        <v>0</v>
      </c>
      <c r="X22" s="32">
        <f t="shared" si="69"/>
        <v>-1</v>
      </c>
      <c r="Y22" s="31">
        <f>Tercera!Y22</f>
        <v>0</v>
      </c>
      <c r="Z22" s="32">
        <f t="shared" si="70"/>
        <v>-1</v>
      </c>
      <c r="AA22" s="31">
        <f>Tercera!AA22</f>
        <v>0</v>
      </c>
      <c r="AB22" s="32">
        <f t="shared" si="71"/>
        <v>-1</v>
      </c>
      <c r="AC22" s="31">
        <f>Tercera!AC22</f>
        <v>0</v>
      </c>
      <c r="AD22" s="32">
        <f t="shared" si="72"/>
        <v>-1</v>
      </c>
      <c r="AE22" s="31">
        <f>Tercera!AE22</f>
        <v>0</v>
      </c>
      <c r="AF22" s="32">
        <f t="shared" si="73"/>
        <v>-1</v>
      </c>
      <c r="AG22" s="31">
        <f>Tercera!AG22</f>
        <v>0</v>
      </c>
      <c r="AH22" s="32">
        <f t="shared" si="74"/>
        <v>-1</v>
      </c>
      <c r="AI22" s="31">
        <f>Tercera!AI22</f>
        <v>0</v>
      </c>
      <c r="AJ22" s="32">
        <f t="shared" si="75"/>
        <v>-1</v>
      </c>
      <c r="AK22" s="31">
        <f>Tercera!AK22</f>
        <v>0</v>
      </c>
      <c r="AL22" s="32">
        <f t="shared" si="76"/>
        <v>-1</v>
      </c>
      <c r="AM22" s="31">
        <f>Tercera!AM22</f>
        <v>0</v>
      </c>
      <c r="AN22" s="32">
        <f t="shared" si="77"/>
        <v>-1</v>
      </c>
      <c r="AO22" s="31">
        <f>Tercera!AO22</f>
        <v>0</v>
      </c>
      <c r="AP22" s="32">
        <f t="shared" si="78"/>
        <v>-1</v>
      </c>
      <c r="AQ22" s="31">
        <f>Tercera!AQ22</f>
        <v>0</v>
      </c>
      <c r="AR22" s="32">
        <f t="shared" si="79"/>
        <v>-1</v>
      </c>
      <c r="AS22" s="31">
        <f>Tercera!AS22</f>
        <v>0</v>
      </c>
      <c r="AT22" s="32">
        <f t="shared" si="80"/>
        <v>-1</v>
      </c>
      <c r="AU22" s="31">
        <f>Tercera!AU22</f>
        <v>0</v>
      </c>
      <c r="AV22" s="32">
        <f t="shared" si="81"/>
        <v>-1</v>
      </c>
      <c r="AW22" s="31">
        <f>Tercera!AW22</f>
        <v>0</v>
      </c>
      <c r="AX22" s="32">
        <f t="shared" si="82"/>
        <v>-1</v>
      </c>
      <c r="AY22" s="31">
        <f>Tercera!AY22</f>
        <v>0</v>
      </c>
      <c r="AZ22" s="32">
        <f t="shared" si="83"/>
        <v>-1</v>
      </c>
      <c r="BA22" s="31">
        <f>Tercera!BA22</f>
        <v>0</v>
      </c>
      <c r="BB22" s="32">
        <f t="shared" si="84"/>
        <v>-1</v>
      </c>
      <c r="BC22" s="31">
        <f>Tercera!BC22</f>
        <v>0</v>
      </c>
      <c r="BD22" s="32">
        <f t="shared" si="85"/>
        <v>-1</v>
      </c>
      <c r="BE22" s="31">
        <f>Tercera!BE22</f>
        <v>0</v>
      </c>
      <c r="BF22" s="32">
        <f t="shared" si="86"/>
        <v>-1</v>
      </c>
      <c r="BG22" s="31">
        <f>Tercera!BG22</f>
        <v>0</v>
      </c>
      <c r="BH22" s="32">
        <f t="shared" si="87"/>
        <v>-1</v>
      </c>
      <c r="BI22" s="31">
        <f>Tercera!BI22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Tercera!B23</f>
        <v>0</v>
      </c>
      <c r="C23" s="31">
        <f>Tercera!C23</f>
        <v>0</v>
      </c>
      <c r="D23" s="32">
        <f t="shared" si="59"/>
        <v>-1</v>
      </c>
      <c r="E23" s="31">
        <f>Tercera!E23</f>
        <v>0</v>
      </c>
      <c r="F23" s="32">
        <f t="shared" si="60"/>
        <v>-1</v>
      </c>
      <c r="G23" s="31">
        <f>Tercera!G23</f>
        <v>0</v>
      </c>
      <c r="H23" s="32">
        <f t="shared" si="61"/>
        <v>-1</v>
      </c>
      <c r="I23" s="31">
        <f>Tercera!I23</f>
        <v>0</v>
      </c>
      <c r="J23" s="32">
        <f t="shared" si="62"/>
        <v>-1</v>
      </c>
      <c r="K23" s="31">
        <f>Tercera!K23</f>
        <v>0</v>
      </c>
      <c r="L23" s="32">
        <f t="shared" si="63"/>
        <v>-1</v>
      </c>
      <c r="M23" s="31">
        <f>Tercera!M23</f>
        <v>0</v>
      </c>
      <c r="N23" s="32">
        <f t="shared" si="64"/>
        <v>-1</v>
      </c>
      <c r="O23" s="31">
        <f>Tercera!O23</f>
        <v>0</v>
      </c>
      <c r="P23" s="32">
        <f t="shared" si="65"/>
        <v>-1</v>
      </c>
      <c r="Q23" s="31">
        <f>Tercera!Q23</f>
        <v>0</v>
      </c>
      <c r="R23" s="32">
        <f t="shared" si="66"/>
        <v>-1</v>
      </c>
      <c r="S23" s="31">
        <f>Tercera!S23</f>
        <v>0</v>
      </c>
      <c r="T23" s="32">
        <f t="shared" si="67"/>
        <v>-1</v>
      </c>
      <c r="U23" s="31">
        <f>Tercera!U23</f>
        <v>0</v>
      </c>
      <c r="V23" s="32">
        <f t="shared" si="68"/>
        <v>-1</v>
      </c>
      <c r="W23" s="31">
        <f>Tercera!W23</f>
        <v>0</v>
      </c>
      <c r="X23" s="32">
        <f t="shared" si="69"/>
        <v>-1</v>
      </c>
      <c r="Y23" s="31">
        <f>Tercera!Y23</f>
        <v>0</v>
      </c>
      <c r="Z23" s="32">
        <f t="shared" si="70"/>
        <v>-1</v>
      </c>
      <c r="AA23" s="31">
        <f>Tercera!AA23</f>
        <v>0</v>
      </c>
      <c r="AB23" s="32">
        <f t="shared" si="71"/>
        <v>-1</v>
      </c>
      <c r="AC23" s="31">
        <f>Tercera!AC23</f>
        <v>0</v>
      </c>
      <c r="AD23" s="32">
        <f t="shared" si="72"/>
        <v>-1</v>
      </c>
      <c r="AE23" s="31">
        <f>Tercera!AE23</f>
        <v>0</v>
      </c>
      <c r="AF23" s="32">
        <f t="shared" si="73"/>
        <v>-1</v>
      </c>
      <c r="AG23" s="31">
        <f>Tercera!AG23</f>
        <v>0</v>
      </c>
      <c r="AH23" s="32">
        <f t="shared" si="74"/>
        <v>-1</v>
      </c>
      <c r="AI23" s="31">
        <f>Tercera!AI23</f>
        <v>0</v>
      </c>
      <c r="AJ23" s="32">
        <f t="shared" si="75"/>
        <v>-1</v>
      </c>
      <c r="AK23" s="31">
        <f>Tercera!AK23</f>
        <v>0</v>
      </c>
      <c r="AL23" s="32">
        <f t="shared" si="76"/>
        <v>-1</v>
      </c>
      <c r="AM23" s="31">
        <f>Tercera!AM23</f>
        <v>0</v>
      </c>
      <c r="AN23" s="32">
        <f t="shared" si="77"/>
        <v>-1</v>
      </c>
      <c r="AO23" s="31">
        <f>Tercera!AO23</f>
        <v>0</v>
      </c>
      <c r="AP23" s="32">
        <f t="shared" si="78"/>
        <v>-1</v>
      </c>
      <c r="AQ23" s="31">
        <f>Tercera!AQ23</f>
        <v>0</v>
      </c>
      <c r="AR23" s="32">
        <f t="shared" si="79"/>
        <v>-1</v>
      </c>
      <c r="AS23" s="31">
        <f>Tercera!AS23</f>
        <v>0</v>
      </c>
      <c r="AT23" s="32">
        <f t="shared" si="80"/>
        <v>-1</v>
      </c>
      <c r="AU23" s="31">
        <f>Tercera!AU23</f>
        <v>0</v>
      </c>
      <c r="AV23" s="32">
        <f t="shared" si="81"/>
        <v>-1</v>
      </c>
      <c r="AW23" s="31">
        <f>Tercera!AW23</f>
        <v>0</v>
      </c>
      <c r="AX23" s="32">
        <f t="shared" si="82"/>
        <v>-1</v>
      </c>
      <c r="AY23" s="31">
        <f>Tercera!AY23</f>
        <v>0</v>
      </c>
      <c r="AZ23" s="32">
        <f t="shared" si="83"/>
        <v>-1</v>
      </c>
      <c r="BA23" s="31">
        <f>Tercera!BA23</f>
        <v>0</v>
      </c>
      <c r="BB23" s="32">
        <f t="shared" si="84"/>
        <v>-1</v>
      </c>
      <c r="BC23" s="31">
        <f>Tercera!BC23</f>
        <v>0</v>
      </c>
      <c r="BD23" s="32">
        <f t="shared" si="85"/>
        <v>-1</v>
      </c>
      <c r="BE23" s="31">
        <f>Tercera!BE23</f>
        <v>0</v>
      </c>
      <c r="BF23" s="32">
        <f t="shared" si="86"/>
        <v>-1</v>
      </c>
      <c r="BG23" s="31">
        <f>Tercera!BG23</f>
        <v>0</v>
      </c>
      <c r="BH23" s="32">
        <f t="shared" si="87"/>
        <v>-1</v>
      </c>
      <c r="BI23" s="31">
        <f>Tercera!BI23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Tercera!B24</f>
        <v>0</v>
      </c>
      <c r="C24" s="31">
        <f>Tercera!C24</f>
        <v>0</v>
      </c>
      <c r="D24" s="32">
        <f t="shared" si="59"/>
        <v>-1</v>
      </c>
      <c r="E24" s="31">
        <f>Tercera!E24</f>
        <v>0</v>
      </c>
      <c r="F24" s="32">
        <f t="shared" si="60"/>
        <v>-1</v>
      </c>
      <c r="G24" s="31">
        <f>Tercera!G24</f>
        <v>0</v>
      </c>
      <c r="H24" s="32">
        <f t="shared" si="61"/>
        <v>-1</v>
      </c>
      <c r="I24" s="31">
        <f>Tercera!I24</f>
        <v>0</v>
      </c>
      <c r="J24" s="32">
        <f t="shared" si="62"/>
        <v>-1</v>
      </c>
      <c r="K24" s="31">
        <f>Tercera!K24</f>
        <v>0</v>
      </c>
      <c r="L24" s="32">
        <f t="shared" si="63"/>
        <v>-1</v>
      </c>
      <c r="M24" s="31">
        <f>Tercera!M24</f>
        <v>0</v>
      </c>
      <c r="N24" s="32">
        <f t="shared" si="64"/>
        <v>-1</v>
      </c>
      <c r="O24" s="31">
        <f>Tercera!O24</f>
        <v>0</v>
      </c>
      <c r="P24" s="32">
        <f t="shared" si="65"/>
        <v>-1</v>
      </c>
      <c r="Q24" s="31">
        <f>Tercera!Q24</f>
        <v>0</v>
      </c>
      <c r="R24" s="32">
        <f t="shared" si="66"/>
        <v>-1</v>
      </c>
      <c r="S24" s="31">
        <f>Tercera!S24</f>
        <v>0</v>
      </c>
      <c r="T24" s="32">
        <f t="shared" si="67"/>
        <v>-1</v>
      </c>
      <c r="U24" s="31">
        <f>Tercera!U24</f>
        <v>0</v>
      </c>
      <c r="V24" s="32">
        <f t="shared" si="68"/>
        <v>-1</v>
      </c>
      <c r="W24" s="31">
        <f>Tercera!W24</f>
        <v>0</v>
      </c>
      <c r="X24" s="32">
        <f t="shared" si="69"/>
        <v>-1</v>
      </c>
      <c r="Y24" s="31">
        <f>Tercera!Y24</f>
        <v>0</v>
      </c>
      <c r="Z24" s="32">
        <f t="shared" si="70"/>
        <v>-1</v>
      </c>
      <c r="AA24" s="31">
        <f>Tercera!AA24</f>
        <v>0</v>
      </c>
      <c r="AB24" s="32">
        <f t="shared" si="71"/>
        <v>-1</v>
      </c>
      <c r="AC24" s="31">
        <f>Tercera!AC24</f>
        <v>0</v>
      </c>
      <c r="AD24" s="32">
        <f t="shared" si="72"/>
        <v>-1</v>
      </c>
      <c r="AE24" s="31">
        <f>Tercera!AE24</f>
        <v>0</v>
      </c>
      <c r="AF24" s="32">
        <f t="shared" si="73"/>
        <v>-1</v>
      </c>
      <c r="AG24" s="31">
        <f>Tercera!AG24</f>
        <v>0</v>
      </c>
      <c r="AH24" s="32">
        <f t="shared" si="74"/>
        <v>-1</v>
      </c>
      <c r="AI24" s="31">
        <f>Tercera!AI24</f>
        <v>0</v>
      </c>
      <c r="AJ24" s="32">
        <f t="shared" si="75"/>
        <v>-1</v>
      </c>
      <c r="AK24" s="31">
        <f>Tercera!AK24</f>
        <v>0</v>
      </c>
      <c r="AL24" s="32">
        <f t="shared" si="76"/>
        <v>-1</v>
      </c>
      <c r="AM24" s="31">
        <f>Tercera!AM24</f>
        <v>0</v>
      </c>
      <c r="AN24" s="32">
        <f t="shared" si="77"/>
        <v>-1</v>
      </c>
      <c r="AO24" s="31">
        <f>Tercera!AO24</f>
        <v>0</v>
      </c>
      <c r="AP24" s="32">
        <f t="shared" si="78"/>
        <v>-1</v>
      </c>
      <c r="AQ24" s="31">
        <f>Tercera!AQ24</f>
        <v>0</v>
      </c>
      <c r="AR24" s="32">
        <f t="shared" si="79"/>
        <v>-1</v>
      </c>
      <c r="AS24" s="31">
        <f>Tercera!AS24</f>
        <v>0</v>
      </c>
      <c r="AT24" s="32">
        <f t="shared" si="80"/>
        <v>-1</v>
      </c>
      <c r="AU24" s="31">
        <f>Tercera!AU24</f>
        <v>0</v>
      </c>
      <c r="AV24" s="32">
        <f t="shared" si="81"/>
        <v>-1</v>
      </c>
      <c r="AW24" s="31">
        <f>Tercera!AW24</f>
        <v>0</v>
      </c>
      <c r="AX24" s="32">
        <f t="shared" si="82"/>
        <v>-1</v>
      </c>
      <c r="AY24" s="31">
        <f>Tercera!AY24</f>
        <v>0</v>
      </c>
      <c r="AZ24" s="32">
        <f t="shared" si="83"/>
        <v>-1</v>
      </c>
      <c r="BA24" s="31">
        <f>Tercera!BA24</f>
        <v>0</v>
      </c>
      <c r="BB24" s="32">
        <f t="shared" si="84"/>
        <v>-1</v>
      </c>
      <c r="BC24" s="31">
        <f>Tercera!BC24</f>
        <v>0</v>
      </c>
      <c r="BD24" s="32">
        <f t="shared" si="85"/>
        <v>-1</v>
      </c>
      <c r="BE24" s="31">
        <f>Tercera!BE24</f>
        <v>0</v>
      </c>
      <c r="BF24" s="32">
        <f t="shared" si="86"/>
        <v>-1</v>
      </c>
      <c r="BG24" s="31">
        <f>Tercera!BG24</f>
        <v>0</v>
      </c>
      <c r="BH24" s="32">
        <f t="shared" si="87"/>
        <v>-1</v>
      </c>
      <c r="BI24" s="31">
        <f>Tercera!BI24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Tercera!B25</f>
        <v>0</v>
      </c>
      <c r="C25" s="31">
        <f>Tercera!C25</f>
        <v>0</v>
      </c>
      <c r="D25" s="32">
        <f t="shared" si="59"/>
        <v>-1</v>
      </c>
      <c r="E25" s="31">
        <f>Tercera!E25</f>
        <v>0</v>
      </c>
      <c r="F25" s="32">
        <f t="shared" si="60"/>
        <v>-1</v>
      </c>
      <c r="G25" s="31">
        <f>Tercera!G25</f>
        <v>0</v>
      </c>
      <c r="H25" s="32">
        <f t="shared" si="61"/>
        <v>-1</v>
      </c>
      <c r="I25" s="31">
        <f>Tercera!I25</f>
        <v>0</v>
      </c>
      <c r="J25" s="32">
        <f t="shared" si="62"/>
        <v>-1</v>
      </c>
      <c r="K25" s="31">
        <f>Tercera!K25</f>
        <v>0</v>
      </c>
      <c r="L25" s="32">
        <f t="shared" si="63"/>
        <v>-1</v>
      </c>
      <c r="M25" s="31">
        <f>Tercera!M25</f>
        <v>0</v>
      </c>
      <c r="N25" s="32">
        <f t="shared" si="64"/>
        <v>-1</v>
      </c>
      <c r="O25" s="31">
        <f>Tercera!O25</f>
        <v>0</v>
      </c>
      <c r="P25" s="32">
        <f t="shared" si="65"/>
        <v>-1</v>
      </c>
      <c r="Q25" s="31">
        <f>Tercera!Q25</f>
        <v>0</v>
      </c>
      <c r="R25" s="32">
        <f t="shared" si="66"/>
        <v>-1</v>
      </c>
      <c r="S25" s="31">
        <f>Tercera!S25</f>
        <v>0</v>
      </c>
      <c r="T25" s="32">
        <f t="shared" si="67"/>
        <v>-1</v>
      </c>
      <c r="U25" s="31">
        <f>Tercera!U25</f>
        <v>0</v>
      </c>
      <c r="V25" s="32">
        <f t="shared" si="68"/>
        <v>-1</v>
      </c>
      <c r="W25" s="31">
        <f>Tercera!W25</f>
        <v>0</v>
      </c>
      <c r="X25" s="32">
        <f t="shared" si="69"/>
        <v>-1</v>
      </c>
      <c r="Y25" s="31">
        <f>Tercera!Y25</f>
        <v>0</v>
      </c>
      <c r="Z25" s="32">
        <f t="shared" si="70"/>
        <v>-1</v>
      </c>
      <c r="AA25" s="31">
        <f>Tercera!AA25</f>
        <v>0</v>
      </c>
      <c r="AB25" s="32">
        <f t="shared" si="71"/>
        <v>-1</v>
      </c>
      <c r="AC25" s="31">
        <f>Tercera!AC25</f>
        <v>0</v>
      </c>
      <c r="AD25" s="32">
        <f t="shared" si="72"/>
        <v>-1</v>
      </c>
      <c r="AE25" s="31">
        <f>Tercera!AE25</f>
        <v>0</v>
      </c>
      <c r="AF25" s="32">
        <f t="shared" si="73"/>
        <v>-1</v>
      </c>
      <c r="AG25" s="31">
        <f>Tercera!AG25</f>
        <v>0</v>
      </c>
      <c r="AH25" s="32">
        <f t="shared" si="74"/>
        <v>-1</v>
      </c>
      <c r="AI25" s="31">
        <f>Tercera!AI25</f>
        <v>0</v>
      </c>
      <c r="AJ25" s="32">
        <f t="shared" si="75"/>
        <v>-1</v>
      </c>
      <c r="AK25" s="31">
        <f>Tercera!AK25</f>
        <v>0</v>
      </c>
      <c r="AL25" s="32">
        <f t="shared" si="76"/>
        <v>-1</v>
      </c>
      <c r="AM25" s="31">
        <f>Tercera!AM25</f>
        <v>0</v>
      </c>
      <c r="AN25" s="32">
        <f t="shared" si="77"/>
        <v>-1</v>
      </c>
      <c r="AO25" s="31">
        <f>Tercera!AO25</f>
        <v>0</v>
      </c>
      <c r="AP25" s="32">
        <f t="shared" si="78"/>
        <v>-1</v>
      </c>
      <c r="AQ25" s="31">
        <f>Tercera!AQ25</f>
        <v>0</v>
      </c>
      <c r="AR25" s="32">
        <f t="shared" si="79"/>
        <v>-1</v>
      </c>
      <c r="AS25" s="31">
        <f>Tercera!AS25</f>
        <v>0</v>
      </c>
      <c r="AT25" s="32">
        <f t="shared" si="80"/>
        <v>-1</v>
      </c>
      <c r="AU25" s="31">
        <f>Tercera!AU25</f>
        <v>0</v>
      </c>
      <c r="AV25" s="32">
        <f t="shared" si="81"/>
        <v>-1</v>
      </c>
      <c r="AW25" s="31">
        <f>Tercera!AW25</f>
        <v>0</v>
      </c>
      <c r="AX25" s="32">
        <f t="shared" si="82"/>
        <v>-1</v>
      </c>
      <c r="AY25" s="31">
        <f>Tercera!AY25</f>
        <v>0</v>
      </c>
      <c r="AZ25" s="32">
        <f t="shared" si="83"/>
        <v>-1</v>
      </c>
      <c r="BA25" s="31">
        <f>Tercera!BA25</f>
        <v>0</v>
      </c>
      <c r="BB25" s="32">
        <f t="shared" si="84"/>
        <v>-1</v>
      </c>
      <c r="BC25" s="31">
        <f>Tercera!BC25</f>
        <v>0</v>
      </c>
      <c r="BD25" s="32">
        <f t="shared" si="85"/>
        <v>-1</v>
      </c>
      <c r="BE25" s="31">
        <f>Tercera!BE25</f>
        <v>0</v>
      </c>
      <c r="BF25" s="32">
        <f t="shared" si="86"/>
        <v>-1</v>
      </c>
      <c r="BG25" s="31">
        <f>Tercera!BG25</f>
        <v>0</v>
      </c>
      <c r="BH25" s="32">
        <f t="shared" si="87"/>
        <v>-1</v>
      </c>
      <c r="BI25" s="31">
        <f>Tercera!BI25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Tercera!B26</f>
        <v>0</v>
      </c>
      <c r="C26" s="31">
        <f>Tercera!C26</f>
        <v>0</v>
      </c>
      <c r="D26" s="32">
        <f t="shared" si="59"/>
        <v>-1</v>
      </c>
      <c r="E26" s="31">
        <f>Tercera!E26</f>
        <v>0</v>
      </c>
      <c r="F26" s="32">
        <f t="shared" si="60"/>
        <v>-1</v>
      </c>
      <c r="G26" s="31">
        <f>Tercera!G26</f>
        <v>0</v>
      </c>
      <c r="H26" s="32">
        <f t="shared" si="61"/>
        <v>-1</v>
      </c>
      <c r="I26" s="31">
        <f>Tercera!I26</f>
        <v>0</v>
      </c>
      <c r="J26" s="32">
        <f t="shared" si="62"/>
        <v>-1</v>
      </c>
      <c r="K26" s="31">
        <f>Tercera!K26</f>
        <v>0</v>
      </c>
      <c r="L26" s="32">
        <f t="shared" si="63"/>
        <v>-1</v>
      </c>
      <c r="M26" s="31">
        <f>Tercera!M26</f>
        <v>0</v>
      </c>
      <c r="N26" s="32">
        <f t="shared" si="64"/>
        <v>-1</v>
      </c>
      <c r="O26" s="31">
        <f>Tercera!O26</f>
        <v>0</v>
      </c>
      <c r="P26" s="32">
        <f t="shared" si="65"/>
        <v>-1</v>
      </c>
      <c r="Q26" s="31">
        <f>Tercera!Q26</f>
        <v>0</v>
      </c>
      <c r="R26" s="32">
        <f t="shared" si="66"/>
        <v>-1</v>
      </c>
      <c r="S26" s="31">
        <f>Tercera!S26</f>
        <v>0</v>
      </c>
      <c r="T26" s="32">
        <f t="shared" si="67"/>
        <v>-1</v>
      </c>
      <c r="U26" s="31">
        <f>Tercera!U26</f>
        <v>0</v>
      </c>
      <c r="V26" s="32">
        <f t="shared" si="68"/>
        <v>-1</v>
      </c>
      <c r="W26" s="31">
        <f>Tercera!W26</f>
        <v>0</v>
      </c>
      <c r="X26" s="32">
        <f t="shared" si="69"/>
        <v>-1</v>
      </c>
      <c r="Y26" s="31">
        <f>Tercera!Y26</f>
        <v>0</v>
      </c>
      <c r="Z26" s="32">
        <f t="shared" si="70"/>
        <v>-1</v>
      </c>
      <c r="AA26" s="31">
        <f>Tercera!AA26</f>
        <v>0</v>
      </c>
      <c r="AB26" s="32">
        <f t="shared" si="71"/>
        <v>-1</v>
      </c>
      <c r="AC26" s="31">
        <f>Tercera!AC26</f>
        <v>0</v>
      </c>
      <c r="AD26" s="32">
        <f t="shared" si="72"/>
        <v>-1</v>
      </c>
      <c r="AE26" s="31">
        <f>Tercera!AE26</f>
        <v>0</v>
      </c>
      <c r="AF26" s="32">
        <f t="shared" si="73"/>
        <v>-1</v>
      </c>
      <c r="AG26" s="31">
        <f>Tercera!AG26</f>
        <v>0</v>
      </c>
      <c r="AH26" s="32">
        <f t="shared" si="74"/>
        <v>-1</v>
      </c>
      <c r="AI26" s="31">
        <f>Tercera!AI26</f>
        <v>0</v>
      </c>
      <c r="AJ26" s="32">
        <f t="shared" si="75"/>
        <v>-1</v>
      </c>
      <c r="AK26" s="31">
        <f>Tercera!AK26</f>
        <v>0</v>
      </c>
      <c r="AL26" s="32">
        <f t="shared" si="76"/>
        <v>-1</v>
      </c>
      <c r="AM26" s="31">
        <f>Tercera!AM26</f>
        <v>0</v>
      </c>
      <c r="AN26" s="32">
        <f t="shared" si="77"/>
        <v>-1</v>
      </c>
      <c r="AO26" s="31">
        <f>Tercera!AO26</f>
        <v>0</v>
      </c>
      <c r="AP26" s="32">
        <f t="shared" si="78"/>
        <v>-1</v>
      </c>
      <c r="AQ26" s="31">
        <f>Tercera!AQ26</f>
        <v>0</v>
      </c>
      <c r="AR26" s="32">
        <f t="shared" si="79"/>
        <v>-1</v>
      </c>
      <c r="AS26" s="31">
        <f>Tercera!AS26</f>
        <v>0</v>
      </c>
      <c r="AT26" s="32">
        <f t="shared" si="80"/>
        <v>-1</v>
      </c>
      <c r="AU26" s="31">
        <f>Tercera!AU26</f>
        <v>0</v>
      </c>
      <c r="AV26" s="32">
        <f t="shared" si="81"/>
        <v>-1</v>
      </c>
      <c r="AW26" s="31">
        <f>Tercera!AW26</f>
        <v>0</v>
      </c>
      <c r="AX26" s="32">
        <f t="shared" si="82"/>
        <v>-1</v>
      </c>
      <c r="AY26" s="31">
        <f>Tercera!AY26</f>
        <v>0</v>
      </c>
      <c r="AZ26" s="32">
        <f t="shared" si="83"/>
        <v>-1</v>
      </c>
      <c r="BA26" s="31">
        <f>Tercera!BA26</f>
        <v>0</v>
      </c>
      <c r="BB26" s="32">
        <f t="shared" si="84"/>
        <v>-1</v>
      </c>
      <c r="BC26" s="31">
        <f>Tercera!BC26</f>
        <v>0</v>
      </c>
      <c r="BD26" s="32">
        <f t="shared" si="85"/>
        <v>-1</v>
      </c>
      <c r="BE26" s="31">
        <f>Tercera!BE26</f>
        <v>0</v>
      </c>
      <c r="BF26" s="32">
        <f t="shared" si="86"/>
        <v>-1</v>
      </c>
      <c r="BG26" s="31">
        <f>Tercera!BG26</f>
        <v>0</v>
      </c>
      <c r="BH26" s="32">
        <f t="shared" si="87"/>
        <v>-1</v>
      </c>
      <c r="BI26" s="31">
        <f>Tercera!BI26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Tercera!B27</f>
        <v>0</v>
      </c>
      <c r="C27" s="31">
        <f>Tercera!C27</f>
        <v>0</v>
      </c>
      <c r="D27" s="32">
        <f t="shared" si="59"/>
        <v>-1</v>
      </c>
      <c r="E27" s="31">
        <f>Tercera!E27</f>
        <v>0</v>
      </c>
      <c r="F27" s="32">
        <f t="shared" si="60"/>
        <v>-1</v>
      </c>
      <c r="G27" s="31">
        <f>Tercera!G27</f>
        <v>0</v>
      </c>
      <c r="H27" s="32">
        <f t="shared" si="61"/>
        <v>-1</v>
      </c>
      <c r="I27" s="31">
        <f>Tercera!I27</f>
        <v>0</v>
      </c>
      <c r="J27" s="32">
        <f t="shared" si="62"/>
        <v>-1</v>
      </c>
      <c r="K27" s="31">
        <f>Tercera!K27</f>
        <v>0</v>
      </c>
      <c r="L27" s="32">
        <f t="shared" si="63"/>
        <v>-1</v>
      </c>
      <c r="M27" s="31">
        <f>Tercera!M27</f>
        <v>0</v>
      </c>
      <c r="N27" s="32">
        <f t="shared" si="64"/>
        <v>-1</v>
      </c>
      <c r="O27" s="31">
        <f>Tercera!O27</f>
        <v>0</v>
      </c>
      <c r="P27" s="32">
        <f t="shared" si="65"/>
        <v>-1</v>
      </c>
      <c r="Q27" s="31">
        <f>Tercera!Q27</f>
        <v>0</v>
      </c>
      <c r="R27" s="32">
        <f t="shared" si="66"/>
        <v>-1</v>
      </c>
      <c r="S27" s="31">
        <f>Tercera!S27</f>
        <v>0</v>
      </c>
      <c r="T27" s="32">
        <f t="shared" si="67"/>
        <v>-1</v>
      </c>
      <c r="U27" s="31">
        <f>Tercera!U27</f>
        <v>0</v>
      </c>
      <c r="V27" s="32">
        <f t="shared" si="68"/>
        <v>-1</v>
      </c>
      <c r="W27" s="31">
        <f>Tercera!W27</f>
        <v>0</v>
      </c>
      <c r="X27" s="32">
        <f t="shared" si="69"/>
        <v>-1</v>
      </c>
      <c r="Y27" s="31">
        <f>Tercera!Y27</f>
        <v>0</v>
      </c>
      <c r="Z27" s="32">
        <f t="shared" si="70"/>
        <v>-1</v>
      </c>
      <c r="AA27" s="31">
        <f>Tercera!AA27</f>
        <v>0</v>
      </c>
      <c r="AB27" s="32">
        <f t="shared" si="71"/>
        <v>-1</v>
      </c>
      <c r="AC27" s="31">
        <f>Tercera!AC27</f>
        <v>0</v>
      </c>
      <c r="AD27" s="32">
        <f t="shared" si="72"/>
        <v>-1</v>
      </c>
      <c r="AE27" s="31">
        <f>Tercera!AE27</f>
        <v>0</v>
      </c>
      <c r="AF27" s="32">
        <f t="shared" si="73"/>
        <v>-1</v>
      </c>
      <c r="AG27" s="31">
        <f>Tercera!AG27</f>
        <v>0</v>
      </c>
      <c r="AH27" s="32">
        <f t="shared" si="74"/>
        <v>-1</v>
      </c>
      <c r="AI27" s="31">
        <f>Tercera!AI27</f>
        <v>0</v>
      </c>
      <c r="AJ27" s="32">
        <f t="shared" si="75"/>
        <v>-1</v>
      </c>
      <c r="AK27" s="31">
        <f>Tercera!AK27</f>
        <v>0</v>
      </c>
      <c r="AL27" s="32">
        <f t="shared" si="76"/>
        <v>-1</v>
      </c>
      <c r="AM27" s="31">
        <f>Tercera!AM27</f>
        <v>0</v>
      </c>
      <c r="AN27" s="32">
        <f t="shared" si="77"/>
        <v>-1</v>
      </c>
      <c r="AO27" s="31">
        <f>Tercera!AO27</f>
        <v>0</v>
      </c>
      <c r="AP27" s="32">
        <f t="shared" si="78"/>
        <v>-1</v>
      </c>
      <c r="AQ27" s="31">
        <f>Tercera!AQ27</f>
        <v>0</v>
      </c>
      <c r="AR27" s="32">
        <f t="shared" si="79"/>
        <v>-1</v>
      </c>
      <c r="AS27" s="31">
        <f>Tercera!AS27</f>
        <v>0</v>
      </c>
      <c r="AT27" s="32">
        <f t="shared" si="80"/>
        <v>-1</v>
      </c>
      <c r="AU27" s="31">
        <f>Tercera!AU27</f>
        <v>0</v>
      </c>
      <c r="AV27" s="32">
        <f t="shared" si="81"/>
        <v>-1</v>
      </c>
      <c r="AW27" s="31">
        <f>Tercera!AW27</f>
        <v>0</v>
      </c>
      <c r="AX27" s="32">
        <f t="shared" si="82"/>
        <v>-1</v>
      </c>
      <c r="AY27" s="31">
        <f>Tercera!AY27</f>
        <v>0</v>
      </c>
      <c r="AZ27" s="32">
        <f t="shared" si="83"/>
        <v>-1</v>
      </c>
      <c r="BA27" s="31">
        <f>Tercera!BA27</f>
        <v>0</v>
      </c>
      <c r="BB27" s="32">
        <f t="shared" si="84"/>
        <v>-1</v>
      </c>
      <c r="BC27" s="31">
        <f>Tercera!BC27</f>
        <v>0</v>
      </c>
      <c r="BD27" s="32">
        <f t="shared" si="85"/>
        <v>-1</v>
      </c>
      <c r="BE27" s="31">
        <f>Tercera!BE27</f>
        <v>0</v>
      </c>
      <c r="BF27" s="32">
        <f t="shared" si="86"/>
        <v>-1</v>
      </c>
      <c r="BG27" s="31">
        <f>Tercera!BG27</f>
        <v>0</v>
      </c>
      <c r="BH27" s="32">
        <f t="shared" si="87"/>
        <v>-1</v>
      </c>
      <c r="BI27" s="31">
        <f>Tercera!BI27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Tercera!B28</f>
        <v>0</v>
      </c>
      <c r="C28" s="31">
        <f>Tercera!C28</f>
        <v>0</v>
      </c>
      <c r="D28" s="32">
        <f t="shared" si="59"/>
        <v>-1</v>
      </c>
      <c r="E28" s="31">
        <f>Tercera!E28</f>
        <v>0</v>
      </c>
      <c r="F28" s="32">
        <f t="shared" si="60"/>
        <v>-1</v>
      </c>
      <c r="G28" s="31">
        <f>Tercera!G28</f>
        <v>0</v>
      </c>
      <c r="H28" s="32">
        <f t="shared" si="61"/>
        <v>-1</v>
      </c>
      <c r="I28" s="31">
        <f>Tercera!I28</f>
        <v>0</v>
      </c>
      <c r="J28" s="32">
        <f t="shared" si="62"/>
        <v>-1</v>
      </c>
      <c r="K28" s="31">
        <f>Tercera!K28</f>
        <v>0</v>
      </c>
      <c r="L28" s="32">
        <f t="shared" si="63"/>
        <v>-1</v>
      </c>
      <c r="M28" s="31">
        <f>Tercera!M28</f>
        <v>0</v>
      </c>
      <c r="N28" s="32">
        <f t="shared" si="64"/>
        <v>-1</v>
      </c>
      <c r="O28" s="31">
        <f>Tercera!O28</f>
        <v>0</v>
      </c>
      <c r="P28" s="32">
        <f t="shared" si="65"/>
        <v>-1</v>
      </c>
      <c r="Q28" s="31">
        <f>Tercera!Q28</f>
        <v>0</v>
      </c>
      <c r="R28" s="32">
        <f t="shared" si="66"/>
        <v>-1</v>
      </c>
      <c r="S28" s="31">
        <f>Tercera!S28</f>
        <v>0</v>
      </c>
      <c r="T28" s="32">
        <f t="shared" si="67"/>
        <v>-1</v>
      </c>
      <c r="U28" s="31">
        <f>Tercera!U28</f>
        <v>0</v>
      </c>
      <c r="V28" s="32">
        <f t="shared" si="68"/>
        <v>-1</v>
      </c>
      <c r="W28" s="31">
        <f>Tercera!W28</f>
        <v>0</v>
      </c>
      <c r="X28" s="32">
        <f t="shared" si="69"/>
        <v>-1</v>
      </c>
      <c r="Y28" s="31">
        <f>Tercera!Y28</f>
        <v>0</v>
      </c>
      <c r="Z28" s="32">
        <f t="shared" si="70"/>
        <v>-1</v>
      </c>
      <c r="AA28" s="31">
        <f>Tercera!AA28</f>
        <v>0</v>
      </c>
      <c r="AB28" s="32">
        <f t="shared" si="71"/>
        <v>-1</v>
      </c>
      <c r="AC28" s="31">
        <f>Tercera!AC28</f>
        <v>0</v>
      </c>
      <c r="AD28" s="32">
        <f t="shared" si="72"/>
        <v>-1</v>
      </c>
      <c r="AE28" s="31">
        <f>Tercera!AE28</f>
        <v>0</v>
      </c>
      <c r="AF28" s="32">
        <f t="shared" si="73"/>
        <v>-1</v>
      </c>
      <c r="AG28" s="31">
        <f>Tercera!AG28</f>
        <v>0</v>
      </c>
      <c r="AH28" s="32">
        <f t="shared" si="74"/>
        <v>-1</v>
      </c>
      <c r="AI28" s="31">
        <f>Tercera!AI28</f>
        <v>0</v>
      </c>
      <c r="AJ28" s="32">
        <f t="shared" si="75"/>
        <v>-1</v>
      </c>
      <c r="AK28" s="31">
        <f>Tercera!AK28</f>
        <v>0</v>
      </c>
      <c r="AL28" s="32">
        <f t="shared" si="76"/>
        <v>-1</v>
      </c>
      <c r="AM28" s="31">
        <f>Tercera!AM28</f>
        <v>0</v>
      </c>
      <c r="AN28" s="32">
        <f t="shared" si="77"/>
        <v>-1</v>
      </c>
      <c r="AO28" s="31">
        <f>Tercera!AO28</f>
        <v>0</v>
      </c>
      <c r="AP28" s="32">
        <f t="shared" si="78"/>
        <v>-1</v>
      </c>
      <c r="AQ28" s="31">
        <f>Tercera!AQ28</f>
        <v>0</v>
      </c>
      <c r="AR28" s="32">
        <f t="shared" si="79"/>
        <v>-1</v>
      </c>
      <c r="AS28" s="31">
        <f>Tercera!AS28</f>
        <v>0</v>
      </c>
      <c r="AT28" s="32">
        <f t="shared" si="80"/>
        <v>-1</v>
      </c>
      <c r="AU28" s="31">
        <f>Tercera!AU28</f>
        <v>0</v>
      </c>
      <c r="AV28" s="32">
        <f t="shared" si="81"/>
        <v>-1</v>
      </c>
      <c r="AW28" s="31">
        <f>Tercera!AW28</f>
        <v>0</v>
      </c>
      <c r="AX28" s="32">
        <f t="shared" si="82"/>
        <v>-1</v>
      </c>
      <c r="AY28" s="31">
        <f>Tercera!AY28</f>
        <v>0</v>
      </c>
      <c r="AZ28" s="32">
        <f t="shared" si="83"/>
        <v>-1</v>
      </c>
      <c r="BA28" s="31">
        <f>Tercera!BA28</f>
        <v>0</v>
      </c>
      <c r="BB28" s="32">
        <f t="shared" si="84"/>
        <v>-1</v>
      </c>
      <c r="BC28" s="31">
        <f>Tercera!BC28</f>
        <v>0</v>
      </c>
      <c r="BD28" s="32">
        <f t="shared" si="85"/>
        <v>-1</v>
      </c>
      <c r="BE28" s="31">
        <f>Tercera!BE28</f>
        <v>0</v>
      </c>
      <c r="BF28" s="32">
        <f t="shared" si="86"/>
        <v>-1</v>
      </c>
      <c r="BG28" s="31">
        <f>Tercera!BG28</f>
        <v>0</v>
      </c>
      <c r="BH28" s="32">
        <f t="shared" si="87"/>
        <v>-1</v>
      </c>
      <c r="BI28" s="31">
        <f>Tercera!BI28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Tercera!B29</f>
        <v>0</v>
      </c>
      <c r="C29" s="31">
        <f>Tercera!C29</f>
        <v>0</v>
      </c>
      <c r="D29" s="32">
        <f t="shared" si="59"/>
        <v>-1</v>
      </c>
      <c r="E29" s="31">
        <f>Tercera!E29</f>
        <v>0</v>
      </c>
      <c r="F29" s="32">
        <f t="shared" si="60"/>
        <v>-1</v>
      </c>
      <c r="G29" s="31">
        <f>Tercera!G29</f>
        <v>0</v>
      </c>
      <c r="H29" s="32">
        <f t="shared" si="61"/>
        <v>-1</v>
      </c>
      <c r="I29" s="31">
        <f>Tercera!I29</f>
        <v>0</v>
      </c>
      <c r="J29" s="32">
        <f t="shared" si="62"/>
        <v>-1</v>
      </c>
      <c r="K29" s="31">
        <f>Tercera!K29</f>
        <v>0</v>
      </c>
      <c r="L29" s="32">
        <f t="shared" si="63"/>
        <v>-1</v>
      </c>
      <c r="M29" s="31">
        <f>Tercera!M29</f>
        <v>0</v>
      </c>
      <c r="N29" s="32">
        <f t="shared" si="64"/>
        <v>-1</v>
      </c>
      <c r="O29" s="31">
        <f>Tercera!O29</f>
        <v>0</v>
      </c>
      <c r="P29" s="32">
        <f t="shared" si="65"/>
        <v>-1</v>
      </c>
      <c r="Q29" s="31">
        <f>Tercera!Q29</f>
        <v>0</v>
      </c>
      <c r="R29" s="32">
        <f t="shared" si="66"/>
        <v>-1</v>
      </c>
      <c r="S29" s="31">
        <f>Tercera!S29</f>
        <v>0</v>
      </c>
      <c r="T29" s="32">
        <f t="shared" si="67"/>
        <v>-1</v>
      </c>
      <c r="U29" s="31">
        <f>Tercera!U29</f>
        <v>0</v>
      </c>
      <c r="V29" s="32">
        <f t="shared" si="68"/>
        <v>-1</v>
      </c>
      <c r="W29" s="31">
        <f>Tercera!W29</f>
        <v>0</v>
      </c>
      <c r="X29" s="32">
        <f t="shared" si="69"/>
        <v>-1</v>
      </c>
      <c r="Y29" s="31">
        <f>Tercera!Y29</f>
        <v>0</v>
      </c>
      <c r="Z29" s="32">
        <f t="shared" si="70"/>
        <v>-1</v>
      </c>
      <c r="AA29" s="31">
        <f>Tercera!AA29</f>
        <v>0</v>
      </c>
      <c r="AB29" s="32">
        <f t="shared" si="71"/>
        <v>-1</v>
      </c>
      <c r="AC29" s="31">
        <f>Tercera!AC29</f>
        <v>0</v>
      </c>
      <c r="AD29" s="32">
        <f t="shared" si="72"/>
        <v>-1</v>
      </c>
      <c r="AE29" s="31">
        <f>Tercera!AE29</f>
        <v>0</v>
      </c>
      <c r="AF29" s="32">
        <f t="shared" si="73"/>
        <v>-1</v>
      </c>
      <c r="AG29" s="31">
        <f>Tercera!AG29</f>
        <v>0</v>
      </c>
      <c r="AH29" s="32">
        <f t="shared" si="74"/>
        <v>-1</v>
      </c>
      <c r="AI29" s="31">
        <f>Tercera!AI29</f>
        <v>0</v>
      </c>
      <c r="AJ29" s="32">
        <f t="shared" si="75"/>
        <v>-1</v>
      </c>
      <c r="AK29" s="31">
        <f>Tercera!AK29</f>
        <v>0</v>
      </c>
      <c r="AL29" s="32">
        <f t="shared" si="76"/>
        <v>-1</v>
      </c>
      <c r="AM29" s="31">
        <f>Tercera!AM29</f>
        <v>0</v>
      </c>
      <c r="AN29" s="32">
        <f t="shared" si="77"/>
        <v>-1</v>
      </c>
      <c r="AO29" s="31">
        <f>Tercera!AO29</f>
        <v>0</v>
      </c>
      <c r="AP29" s="32">
        <f t="shared" si="78"/>
        <v>-1</v>
      </c>
      <c r="AQ29" s="31">
        <f>Tercera!AQ29</f>
        <v>0</v>
      </c>
      <c r="AR29" s="32">
        <f t="shared" si="79"/>
        <v>-1</v>
      </c>
      <c r="AS29" s="31">
        <f>Tercera!AS29</f>
        <v>0</v>
      </c>
      <c r="AT29" s="32">
        <f t="shared" si="80"/>
        <v>-1</v>
      </c>
      <c r="AU29" s="31">
        <f>Tercera!AU29</f>
        <v>0</v>
      </c>
      <c r="AV29" s="32">
        <f t="shared" si="81"/>
        <v>-1</v>
      </c>
      <c r="AW29" s="31">
        <f>Tercera!AW29</f>
        <v>0</v>
      </c>
      <c r="AX29" s="32">
        <f t="shared" si="82"/>
        <v>-1</v>
      </c>
      <c r="AY29" s="31">
        <f>Tercera!AY29</f>
        <v>0</v>
      </c>
      <c r="AZ29" s="32">
        <f t="shared" si="83"/>
        <v>-1</v>
      </c>
      <c r="BA29" s="31">
        <f>Tercera!BA29</f>
        <v>0</v>
      </c>
      <c r="BB29" s="32">
        <f t="shared" si="84"/>
        <v>-1</v>
      </c>
      <c r="BC29" s="31">
        <f>Tercera!BC29</f>
        <v>0</v>
      </c>
      <c r="BD29" s="32">
        <f t="shared" si="85"/>
        <v>-1</v>
      </c>
      <c r="BE29" s="31">
        <f>Tercera!BE29</f>
        <v>0</v>
      </c>
      <c r="BF29" s="32">
        <f t="shared" si="86"/>
        <v>-1</v>
      </c>
      <c r="BG29" s="31">
        <f>Tercera!BG29</f>
        <v>0</v>
      </c>
      <c r="BH29" s="32">
        <f t="shared" si="87"/>
        <v>-1</v>
      </c>
      <c r="BI29" s="31">
        <f>Tercera!BI29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Tercera!B30</f>
        <v>0</v>
      </c>
      <c r="C30" s="31">
        <f>Tercera!C30</f>
        <v>0</v>
      </c>
      <c r="D30" s="32">
        <f t="shared" si="59"/>
        <v>-1</v>
      </c>
      <c r="E30" s="31">
        <f>Tercera!E30</f>
        <v>0</v>
      </c>
      <c r="F30" s="32">
        <f t="shared" si="60"/>
        <v>-1</v>
      </c>
      <c r="G30" s="31">
        <f>Tercera!G30</f>
        <v>0</v>
      </c>
      <c r="H30" s="32">
        <f t="shared" si="61"/>
        <v>-1</v>
      </c>
      <c r="I30" s="31">
        <f>Tercera!I30</f>
        <v>0</v>
      </c>
      <c r="J30" s="32">
        <f t="shared" si="62"/>
        <v>-1</v>
      </c>
      <c r="K30" s="31">
        <f>Tercera!K30</f>
        <v>0</v>
      </c>
      <c r="L30" s="32">
        <f t="shared" si="63"/>
        <v>-1</v>
      </c>
      <c r="M30" s="31">
        <f>Tercera!M30</f>
        <v>0</v>
      </c>
      <c r="N30" s="32">
        <f t="shared" si="64"/>
        <v>-1</v>
      </c>
      <c r="O30" s="31">
        <f>Tercera!O30</f>
        <v>0</v>
      </c>
      <c r="P30" s="32">
        <f t="shared" si="65"/>
        <v>-1</v>
      </c>
      <c r="Q30" s="31">
        <f>Tercera!Q30</f>
        <v>0</v>
      </c>
      <c r="R30" s="32">
        <f t="shared" si="66"/>
        <v>-1</v>
      </c>
      <c r="S30" s="31">
        <f>Tercera!S30</f>
        <v>0</v>
      </c>
      <c r="T30" s="32">
        <f t="shared" si="67"/>
        <v>-1</v>
      </c>
      <c r="U30" s="31">
        <f>Tercera!U30</f>
        <v>0</v>
      </c>
      <c r="V30" s="32">
        <f t="shared" si="68"/>
        <v>-1</v>
      </c>
      <c r="W30" s="31">
        <f>Tercera!W30</f>
        <v>0</v>
      </c>
      <c r="X30" s="32">
        <f t="shared" si="69"/>
        <v>-1</v>
      </c>
      <c r="Y30" s="31">
        <f>Tercera!Y30</f>
        <v>0</v>
      </c>
      <c r="Z30" s="32">
        <f t="shared" si="70"/>
        <v>-1</v>
      </c>
      <c r="AA30" s="31">
        <f>Tercera!AA30</f>
        <v>0</v>
      </c>
      <c r="AB30" s="32">
        <f t="shared" si="71"/>
        <v>-1</v>
      </c>
      <c r="AC30" s="31">
        <f>Tercera!AC30</f>
        <v>0</v>
      </c>
      <c r="AD30" s="32">
        <f t="shared" si="72"/>
        <v>-1</v>
      </c>
      <c r="AE30" s="31">
        <f>Tercera!AE30</f>
        <v>0</v>
      </c>
      <c r="AF30" s="32">
        <f t="shared" si="73"/>
        <v>-1</v>
      </c>
      <c r="AG30" s="31">
        <f>Tercera!AG30</f>
        <v>0</v>
      </c>
      <c r="AH30" s="32">
        <f t="shared" si="74"/>
        <v>-1</v>
      </c>
      <c r="AI30" s="31">
        <f>Tercera!AI30</f>
        <v>0</v>
      </c>
      <c r="AJ30" s="32">
        <f t="shared" si="75"/>
        <v>-1</v>
      </c>
      <c r="AK30" s="31">
        <f>Tercera!AK30</f>
        <v>0</v>
      </c>
      <c r="AL30" s="32">
        <f t="shared" si="76"/>
        <v>-1</v>
      </c>
      <c r="AM30" s="31">
        <f>Tercera!AM30</f>
        <v>0</v>
      </c>
      <c r="AN30" s="32">
        <f t="shared" si="77"/>
        <v>-1</v>
      </c>
      <c r="AO30" s="31">
        <f>Tercera!AO30</f>
        <v>0</v>
      </c>
      <c r="AP30" s="32">
        <f t="shared" si="78"/>
        <v>-1</v>
      </c>
      <c r="AQ30" s="31">
        <f>Tercera!AQ30</f>
        <v>0</v>
      </c>
      <c r="AR30" s="32">
        <f t="shared" si="79"/>
        <v>-1</v>
      </c>
      <c r="AS30" s="31">
        <f>Tercera!AS30</f>
        <v>0</v>
      </c>
      <c r="AT30" s="32">
        <f t="shared" si="80"/>
        <v>-1</v>
      </c>
      <c r="AU30" s="31">
        <f>Tercera!AU30</f>
        <v>0</v>
      </c>
      <c r="AV30" s="32">
        <f t="shared" si="81"/>
        <v>-1</v>
      </c>
      <c r="AW30" s="31">
        <f>Tercera!AW30</f>
        <v>0</v>
      </c>
      <c r="AX30" s="32">
        <f t="shared" si="82"/>
        <v>-1</v>
      </c>
      <c r="AY30" s="31">
        <f>Tercera!AY30</f>
        <v>0</v>
      </c>
      <c r="AZ30" s="32">
        <f t="shared" si="83"/>
        <v>-1</v>
      </c>
      <c r="BA30" s="31">
        <f>Tercera!BA30</f>
        <v>0</v>
      </c>
      <c r="BB30" s="32">
        <f t="shared" si="84"/>
        <v>-1</v>
      </c>
      <c r="BC30" s="31">
        <f>Tercera!BC30</f>
        <v>0</v>
      </c>
      <c r="BD30" s="32">
        <f t="shared" si="85"/>
        <v>-1</v>
      </c>
      <c r="BE30" s="31">
        <f>Tercera!BE30</f>
        <v>0</v>
      </c>
      <c r="BF30" s="32">
        <f t="shared" si="86"/>
        <v>-1</v>
      </c>
      <c r="BG30" s="31">
        <f>Tercera!BG30</f>
        <v>0</v>
      </c>
      <c r="BH30" s="32">
        <f t="shared" si="87"/>
        <v>-1</v>
      </c>
      <c r="BI30" s="31">
        <f>Tercera!BI30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Tercera!B31</f>
        <v>0</v>
      </c>
      <c r="C31" s="31">
        <f>Tercera!C31</f>
        <v>0</v>
      </c>
      <c r="D31" s="32">
        <f t="shared" si="59"/>
        <v>-1</v>
      </c>
      <c r="E31" s="31">
        <f>Tercera!E31</f>
        <v>0</v>
      </c>
      <c r="F31" s="32">
        <f t="shared" si="60"/>
        <v>-1</v>
      </c>
      <c r="G31" s="31">
        <f>Tercera!G31</f>
        <v>0</v>
      </c>
      <c r="H31" s="32">
        <f t="shared" si="61"/>
        <v>-1</v>
      </c>
      <c r="I31" s="31">
        <f>Tercera!I31</f>
        <v>0</v>
      </c>
      <c r="J31" s="32">
        <f t="shared" si="62"/>
        <v>-1</v>
      </c>
      <c r="K31" s="31">
        <f>Tercera!K31</f>
        <v>0</v>
      </c>
      <c r="L31" s="32">
        <f t="shared" si="63"/>
        <v>-1</v>
      </c>
      <c r="M31" s="31">
        <f>Tercera!M31</f>
        <v>0</v>
      </c>
      <c r="N31" s="32">
        <f t="shared" si="64"/>
        <v>-1</v>
      </c>
      <c r="O31" s="31">
        <f>Tercera!O31</f>
        <v>0</v>
      </c>
      <c r="P31" s="32">
        <f t="shared" si="65"/>
        <v>-1</v>
      </c>
      <c r="Q31" s="31">
        <f>Tercera!Q31</f>
        <v>0</v>
      </c>
      <c r="R31" s="32">
        <f t="shared" si="66"/>
        <v>-1</v>
      </c>
      <c r="S31" s="31">
        <f>Tercera!S31</f>
        <v>0</v>
      </c>
      <c r="T31" s="32">
        <f t="shared" si="67"/>
        <v>-1</v>
      </c>
      <c r="U31" s="31">
        <f>Tercera!U31</f>
        <v>0</v>
      </c>
      <c r="V31" s="32">
        <f t="shared" si="68"/>
        <v>-1</v>
      </c>
      <c r="W31" s="31">
        <f>Tercera!W31</f>
        <v>0</v>
      </c>
      <c r="X31" s="32">
        <f t="shared" si="69"/>
        <v>-1</v>
      </c>
      <c r="Y31" s="31">
        <f>Tercera!Y31</f>
        <v>0</v>
      </c>
      <c r="Z31" s="32">
        <f t="shared" si="70"/>
        <v>-1</v>
      </c>
      <c r="AA31" s="31">
        <f>Tercera!AA31</f>
        <v>0</v>
      </c>
      <c r="AB31" s="32">
        <f t="shared" si="71"/>
        <v>-1</v>
      </c>
      <c r="AC31" s="31">
        <f>Tercera!AC31</f>
        <v>0</v>
      </c>
      <c r="AD31" s="32">
        <f t="shared" si="72"/>
        <v>-1</v>
      </c>
      <c r="AE31" s="31">
        <f>Tercera!AE31</f>
        <v>0</v>
      </c>
      <c r="AF31" s="32">
        <f t="shared" si="73"/>
        <v>-1</v>
      </c>
      <c r="AG31" s="31">
        <f>Tercera!AG31</f>
        <v>0</v>
      </c>
      <c r="AH31" s="32">
        <f t="shared" si="74"/>
        <v>-1</v>
      </c>
      <c r="AI31" s="31">
        <f>Tercera!AI31</f>
        <v>0</v>
      </c>
      <c r="AJ31" s="32">
        <f t="shared" si="75"/>
        <v>-1</v>
      </c>
      <c r="AK31" s="31">
        <f>Tercera!AK31</f>
        <v>0</v>
      </c>
      <c r="AL31" s="32">
        <f t="shared" si="76"/>
        <v>-1</v>
      </c>
      <c r="AM31" s="31">
        <f>Tercera!AM31</f>
        <v>0</v>
      </c>
      <c r="AN31" s="32">
        <f t="shared" si="77"/>
        <v>-1</v>
      </c>
      <c r="AO31" s="31">
        <f>Tercera!AO31</f>
        <v>0</v>
      </c>
      <c r="AP31" s="32">
        <f t="shared" si="78"/>
        <v>-1</v>
      </c>
      <c r="AQ31" s="31">
        <f>Tercera!AQ31</f>
        <v>0</v>
      </c>
      <c r="AR31" s="32">
        <f t="shared" si="79"/>
        <v>-1</v>
      </c>
      <c r="AS31" s="31">
        <f>Tercera!AS31</f>
        <v>0</v>
      </c>
      <c r="AT31" s="32">
        <f t="shared" si="80"/>
        <v>-1</v>
      </c>
      <c r="AU31" s="31">
        <f>Tercera!AU31</f>
        <v>0</v>
      </c>
      <c r="AV31" s="32">
        <f t="shared" si="81"/>
        <v>-1</v>
      </c>
      <c r="AW31" s="31">
        <f>Tercera!AW31</f>
        <v>0</v>
      </c>
      <c r="AX31" s="32">
        <f t="shared" si="82"/>
        <v>-1</v>
      </c>
      <c r="AY31" s="31">
        <f>Tercera!AY31</f>
        <v>0</v>
      </c>
      <c r="AZ31" s="32">
        <f t="shared" si="83"/>
        <v>-1</v>
      </c>
      <c r="BA31" s="31">
        <f>Tercera!BA31</f>
        <v>0</v>
      </c>
      <c r="BB31" s="32">
        <f t="shared" si="84"/>
        <v>-1</v>
      </c>
      <c r="BC31" s="31">
        <f>Tercera!BC31</f>
        <v>0</v>
      </c>
      <c r="BD31" s="32">
        <f t="shared" si="85"/>
        <v>-1</v>
      </c>
      <c r="BE31" s="31">
        <f>Tercera!BE31</f>
        <v>0</v>
      </c>
      <c r="BF31" s="32">
        <f t="shared" si="86"/>
        <v>-1</v>
      </c>
      <c r="BG31" s="31">
        <f>Tercera!BG31</f>
        <v>0</v>
      </c>
      <c r="BH31" s="32">
        <f t="shared" si="87"/>
        <v>-1</v>
      </c>
      <c r="BI31" s="31">
        <f>Tercera!BI31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Tercera!B32</f>
        <v>0</v>
      </c>
      <c r="C32" s="31">
        <f>Tercera!C32</f>
        <v>0</v>
      </c>
      <c r="D32" s="32">
        <f t="shared" si="59"/>
        <v>-1</v>
      </c>
      <c r="E32" s="31">
        <f>Tercera!E32</f>
        <v>0</v>
      </c>
      <c r="F32" s="32">
        <f t="shared" si="60"/>
        <v>-1</v>
      </c>
      <c r="G32" s="31">
        <f>Tercera!G32</f>
        <v>0</v>
      </c>
      <c r="H32" s="32">
        <f t="shared" si="61"/>
        <v>-1</v>
      </c>
      <c r="I32" s="31">
        <f>Tercera!I32</f>
        <v>0</v>
      </c>
      <c r="J32" s="32">
        <f t="shared" si="62"/>
        <v>-1</v>
      </c>
      <c r="K32" s="31">
        <f>Tercera!K32</f>
        <v>0</v>
      </c>
      <c r="L32" s="32">
        <f t="shared" si="63"/>
        <v>-1</v>
      </c>
      <c r="M32" s="31">
        <f>Tercera!M32</f>
        <v>0</v>
      </c>
      <c r="N32" s="32">
        <f t="shared" si="64"/>
        <v>-1</v>
      </c>
      <c r="O32" s="31">
        <f>Tercera!O32</f>
        <v>0</v>
      </c>
      <c r="P32" s="32">
        <f t="shared" si="65"/>
        <v>-1</v>
      </c>
      <c r="Q32" s="31">
        <f>Tercera!Q32</f>
        <v>0</v>
      </c>
      <c r="R32" s="32">
        <f t="shared" si="66"/>
        <v>-1</v>
      </c>
      <c r="S32" s="31">
        <f>Tercera!S32</f>
        <v>0</v>
      </c>
      <c r="T32" s="32">
        <f t="shared" si="67"/>
        <v>-1</v>
      </c>
      <c r="U32" s="31">
        <f>Tercera!U32</f>
        <v>0</v>
      </c>
      <c r="V32" s="32">
        <f t="shared" si="68"/>
        <v>-1</v>
      </c>
      <c r="W32" s="31">
        <f>Tercera!W32</f>
        <v>0</v>
      </c>
      <c r="X32" s="32">
        <f t="shared" si="69"/>
        <v>-1</v>
      </c>
      <c r="Y32" s="31">
        <f>Tercera!Y32</f>
        <v>0</v>
      </c>
      <c r="Z32" s="32">
        <f t="shared" si="70"/>
        <v>-1</v>
      </c>
      <c r="AA32" s="31">
        <f>Tercera!AA32</f>
        <v>0</v>
      </c>
      <c r="AB32" s="32">
        <f t="shared" si="71"/>
        <v>-1</v>
      </c>
      <c r="AC32" s="31">
        <f>Tercera!AC32</f>
        <v>0</v>
      </c>
      <c r="AD32" s="32">
        <f t="shared" si="72"/>
        <v>-1</v>
      </c>
      <c r="AE32" s="31">
        <f>Tercera!AE32</f>
        <v>0</v>
      </c>
      <c r="AF32" s="32">
        <f t="shared" si="73"/>
        <v>-1</v>
      </c>
      <c r="AG32" s="31">
        <f>Tercera!AG32</f>
        <v>0</v>
      </c>
      <c r="AH32" s="32">
        <f t="shared" si="74"/>
        <v>-1</v>
      </c>
      <c r="AI32" s="31">
        <f>Tercera!AI32</f>
        <v>0</v>
      </c>
      <c r="AJ32" s="32">
        <f t="shared" si="75"/>
        <v>-1</v>
      </c>
      <c r="AK32" s="31">
        <f>Tercera!AK32</f>
        <v>0</v>
      </c>
      <c r="AL32" s="32">
        <f t="shared" si="76"/>
        <v>-1</v>
      </c>
      <c r="AM32" s="31">
        <f>Tercera!AM32</f>
        <v>0</v>
      </c>
      <c r="AN32" s="32">
        <f t="shared" si="77"/>
        <v>-1</v>
      </c>
      <c r="AO32" s="31">
        <f>Tercera!AO32</f>
        <v>0</v>
      </c>
      <c r="AP32" s="32">
        <f t="shared" si="78"/>
        <v>-1</v>
      </c>
      <c r="AQ32" s="31">
        <f>Tercera!AQ32</f>
        <v>0</v>
      </c>
      <c r="AR32" s="32">
        <f t="shared" si="79"/>
        <v>-1</v>
      </c>
      <c r="AS32" s="31">
        <f>Tercera!AS32</f>
        <v>0</v>
      </c>
      <c r="AT32" s="32">
        <f t="shared" si="80"/>
        <v>-1</v>
      </c>
      <c r="AU32" s="31">
        <f>Tercera!AU32</f>
        <v>0</v>
      </c>
      <c r="AV32" s="32">
        <f t="shared" si="81"/>
        <v>-1</v>
      </c>
      <c r="AW32" s="31">
        <f>Tercera!AW32</f>
        <v>0</v>
      </c>
      <c r="AX32" s="32">
        <f t="shared" si="82"/>
        <v>-1</v>
      </c>
      <c r="AY32" s="31">
        <f>Tercera!AY32</f>
        <v>0</v>
      </c>
      <c r="AZ32" s="32">
        <f t="shared" si="83"/>
        <v>-1</v>
      </c>
      <c r="BA32" s="31">
        <f>Tercera!BA32</f>
        <v>0</v>
      </c>
      <c r="BB32" s="32">
        <f t="shared" si="84"/>
        <v>-1</v>
      </c>
      <c r="BC32" s="31">
        <f>Tercera!BC32</f>
        <v>0</v>
      </c>
      <c r="BD32" s="32">
        <f t="shared" si="85"/>
        <v>-1</v>
      </c>
      <c r="BE32" s="31">
        <f>Tercera!BE32</f>
        <v>0</v>
      </c>
      <c r="BF32" s="32">
        <f t="shared" si="86"/>
        <v>-1</v>
      </c>
      <c r="BG32" s="31">
        <f>Tercera!BG32</f>
        <v>0</v>
      </c>
      <c r="BH32" s="32">
        <f t="shared" si="87"/>
        <v>-1</v>
      </c>
      <c r="BI32" s="31">
        <f>Tercera!BI32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Tercera!B33</f>
        <v>0</v>
      </c>
      <c r="C33" s="31">
        <f>Tercera!C33</f>
        <v>0</v>
      </c>
      <c r="D33" s="32">
        <f t="shared" si="59"/>
        <v>-1</v>
      </c>
      <c r="E33" s="31">
        <f>Tercera!E33</f>
        <v>0</v>
      </c>
      <c r="F33" s="32">
        <f t="shared" si="60"/>
        <v>-1</v>
      </c>
      <c r="G33" s="31">
        <f>Tercera!G33</f>
        <v>0</v>
      </c>
      <c r="H33" s="32">
        <f t="shared" si="61"/>
        <v>-1</v>
      </c>
      <c r="I33" s="31">
        <f>Tercera!I33</f>
        <v>0</v>
      </c>
      <c r="J33" s="32">
        <f t="shared" si="62"/>
        <v>-1</v>
      </c>
      <c r="K33" s="31">
        <f>Tercera!K33</f>
        <v>0</v>
      </c>
      <c r="L33" s="32">
        <f t="shared" si="63"/>
        <v>-1</v>
      </c>
      <c r="M33" s="31">
        <f>Tercera!M33</f>
        <v>0</v>
      </c>
      <c r="N33" s="32">
        <f t="shared" si="64"/>
        <v>-1</v>
      </c>
      <c r="O33" s="31">
        <f>Tercera!O33</f>
        <v>0</v>
      </c>
      <c r="P33" s="32">
        <f t="shared" si="65"/>
        <v>-1</v>
      </c>
      <c r="Q33" s="31">
        <f>Tercera!Q33</f>
        <v>0</v>
      </c>
      <c r="R33" s="32">
        <f t="shared" si="66"/>
        <v>-1</v>
      </c>
      <c r="S33" s="31">
        <f>Tercera!S33</f>
        <v>0</v>
      </c>
      <c r="T33" s="32">
        <f t="shared" si="67"/>
        <v>-1</v>
      </c>
      <c r="U33" s="31">
        <f>Tercera!U33</f>
        <v>0</v>
      </c>
      <c r="V33" s="32">
        <f t="shared" si="68"/>
        <v>-1</v>
      </c>
      <c r="W33" s="31">
        <f>Tercera!W33</f>
        <v>0</v>
      </c>
      <c r="X33" s="32">
        <f t="shared" si="69"/>
        <v>-1</v>
      </c>
      <c r="Y33" s="31">
        <f>Tercera!Y33</f>
        <v>0</v>
      </c>
      <c r="Z33" s="32">
        <f t="shared" si="70"/>
        <v>-1</v>
      </c>
      <c r="AA33" s="31">
        <f>Tercera!AA33</f>
        <v>0</v>
      </c>
      <c r="AB33" s="32">
        <f t="shared" si="71"/>
        <v>-1</v>
      </c>
      <c r="AC33" s="31">
        <f>Tercera!AC33</f>
        <v>0</v>
      </c>
      <c r="AD33" s="32">
        <f t="shared" si="72"/>
        <v>-1</v>
      </c>
      <c r="AE33" s="31">
        <f>Tercera!AE33</f>
        <v>0</v>
      </c>
      <c r="AF33" s="32">
        <f t="shared" si="73"/>
        <v>-1</v>
      </c>
      <c r="AG33" s="31">
        <f>Tercera!AG33</f>
        <v>0</v>
      </c>
      <c r="AH33" s="32">
        <f t="shared" si="74"/>
        <v>-1</v>
      </c>
      <c r="AI33" s="31">
        <f>Tercera!AI33</f>
        <v>0</v>
      </c>
      <c r="AJ33" s="32">
        <f t="shared" si="75"/>
        <v>-1</v>
      </c>
      <c r="AK33" s="31">
        <f>Tercera!AK33</f>
        <v>0</v>
      </c>
      <c r="AL33" s="32">
        <f t="shared" si="76"/>
        <v>-1</v>
      </c>
      <c r="AM33" s="31">
        <f>Tercera!AM33</f>
        <v>0</v>
      </c>
      <c r="AN33" s="32">
        <f t="shared" si="77"/>
        <v>-1</v>
      </c>
      <c r="AO33" s="31">
        <f>Tercera!AO33</f>
        <v>0</v>
      </c>
      <c r="AP33" s="32">
        <f t="shared" si="78"/>
        <v>-1</v>
      </c>
      <c r="AQ33" s="31">
        <f>Tercera!AQ33</f>
        <v>0</v>
      </c>
      <c r="AR33" s="32">
        <f t="shared" si="79"/>
        <v>-1</v>
      </c>
      <c r="AS33" s="31">
        <f>Tercera!AS33</f>
        <v>0</v>
      </c>
      <c r="AT33" s="32">
        <f t="shared" si="80"/>
        <v>-1</v>
      </c>
      <c r="AU33" s="31">
        <f>Tercera!AU33</f>
        <v>0</v>
      </c>
      <c r="AV33" s="32">
        <f t="shared" si="81"/>
        <v>-1</v>
      </c>
      <c r="AW33" s="31">
        <f>Tercera!AW33</f>
        <v>0</v>
      </c>
      <c r="AX33" s="32">
        <f t="shared" si="82"/>
        <v>-1</v>
      </c>
      <c r="AY33" s="31">
        <f>Tercera!AY33</f>
        <v>0</v>
      </c>
      <c r="AZ33" s="32">
        <f t="shared" si="83"/>
        <v>-1</v>
      </c>
      <c r="BA33" s="31">
        <f>Tercera!BA33</f>
        <v>0</v>
      </c>
      <c r="BB33" s="32">
        <f t="shared" si="84"/>
        <v>-1</v>
      </c>
      <c r="BC33" s="31">
        <f>Tercera!BC33</f>
        <v>0</v>
      </c>
      <c r="BD33" s="32">
        <f t="shared" si="85"/>
        <v>-1</v>
      </c>
      <c r="BE33" s="31">
        <f>Tercera!BE33</f>
        <v>0</v>
      </c>
      <c r="BF33" s="32">
        <f t="shared" si="86"/>
        <v>-1</v>
      </c>
      <c r="BG33" s="31">
        <f>Tercera!BG33</f>
        <v>0</v>
      </c>
      <c r="BH33" s="32">
        <f t="shared" si="87"/>
        <v>-1</v>
      </c>
      <c r="BI33" s="31">
        <f>Tercera!BI33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Tercera!B34</f>
        <v>0</v>
      </c>
      <c r="C34" s="31">
        <f>Tercera!C34</f>
        <v>0</v>
      </c>
      <c r="D34" s="32">
        <f t="shared" si="59"/>
        <v>-1</v>
      </c>
      <c r="E34" s="31">
        <f>Tercera!E34</f>
        <v>0</v>
      </c>
      <c r="F34" s="32">
        <f t="shared" si="60"/>
        <v>-1</v>
      </c>
      <c r="G34" s="31">
        <f>Tercera!G34</f>
        <v>0</v>
      </c>
      <c r="H34" s="32">
        <f t="shared" si="61"/>
        <v>-1</v>
      </c>
      <c r="I34" s="31">
        <f>Tercera!I34</f>
        <v>0</v>
      </c>
      <c r="J34" s="32">
        <f t="shared" si="62"/>
        <v>-1</v>
      </c>
      <c r="K34" s="31">
        <f>Tercera!K34</f>
        <v>0</v>
      </c>
      <c r="L34" s="32">
        <f t="shared" si="63"/>
        <v>-1</v>
      </c>
      <c r="M34" s="31">
        <f>Tercera!M34</f>
        <v>0</v>
      </c>
      <c r="N34" s="32">
        <f t="shared" si="64"/>
        <v>-1</v>
      </c>
      <c r="O34" s="31">
        <f>Tercera!O34</f>
        <v>0</v>
      </c>
      <c r="P34" s="32">
        <f t="shared" si="65"/>
        <v>-1</v>
      </c>
      <c r="Q34" s="31">
        <f>Tercera!Q34</f>
        <v>0</v>
      </c>
      <c r="R34" s="32">
        <f t="shared" si="66"/>
        <v>-1</v>
      </c>
      <c r="S34" s="31">
        <f>Tercera!S34</f>
        <v>0</v>
      </c>
      <c r="T34" s="32">
        <f t="shared" si="67"/>
        <v>-1</v>
      </c>
      <c r="U34" s="31">
        <f>Tercera!U34</f>
        <v>0</v>
      </c>
      <c r="V34" s="32">
        <f t="shared" si="68"/>
        <v>-1</v>
      </c>
      <c r="W34" s="31">
        <f>Tercera!W34</f>
        <v>0</v>
      </c>
      <c r="X34" s="32">
        <f t="shared" si="69"/>
        <v>-1</v>
      </c>
      <c r="Y34" s="31">
        <f>Tercera!Y34</f>
        <v>0</v>
      </c>
      <c r="Z34" s="32">
        <f t="shared" si="70"/>
        <v>-1</v>
      </c>
      <c r="AA34" s="31">
        <f>Tercera!AA34</f>
        <v>0</v>
      </c>
      <c r="AB34" s="32">
        <f t="shared" si="71"/>
        <v>-1</v>
      </c>
      <c r="AC34" s="31">
        <f>Tercera!AC34</f>
        <v>0</v>
      </c>
      <c r="AD34" s="32">
        <f t="shared" si="72"/>
        <v>-1</v>
      </c>
      <c r="AE34" s="31">
        <f>Tercera!AE34</f>
        <v>0</v>
      </c>
      <c r="AF34" s="32">
        <f t="shared" si="73"/>
        <v>-1</v>
      </c>
      <c r="AG34" s="31">
        <f>Tercera!AG34</f>
        <v>0</v>
      </c>
      <c r="AH34" s="32">
        <f t="shared" si="74"/>
        <v>-1</v>
      </c>
      <c r="AI34" s="31">
        <f>Tercera!AI34</f>
        <v>0</v>
      </c>
      <c r="AJ34" s="32">
        <f t="shared" si="75"/>
        <v>-1</v>
      </c>
      <c r="AK34" s="31">
        <f>Tercera!AK34</f>
        <v>0</v>
      </c>
      <c r="AL34" s="32">
        <f t="shared" si="76"/>
        <v>-1</v>
      </c>
      <c r="AM34" s="31">
        <f>Tercera!AM34</f>
        <v>0</v>
      </c>
      <c r="AN34" s="32">
        <f t="shared" si="77"/>
        <v>-1</v>
      </c>
      <c r="AO34" s="31">
        <f>Tercera!AO34</f>
        <v>0</v>
      </c>
      <c r="AP34" s="32">
        <f t="shared" si="78"/>
        <v>-1</v>
      </c>
      <c r="AQ34" s="31">
        <f>Tercera!AQ34</f>
        <v>0</v>
      </c>
      <c r="AR34" s="32">
        <f t="shared" si="79"/>
        <v>-1</v>
      </c>
      <c r="AS34" s="31">
        <f>Tercera!AS34</f>
        <v>0</v>
      </c>
      <c r="AT34" s="32">
        <f t="shared" si="80"/>
        <v>-1</v>
      </c>
      <c r="AU34" s="31">
        <f>Tercera!AU34</f>
        <v>0</v>
      </c>
      <c r="AV34" s="32">
        <f t="shared" si="81"/>
        <v>-1</v>
      </c>
      <c r="AW34" s="31">
        <f>Tercera!AW34</f>
        <v>0</v>
      </c>
      <c r="AX34" s="32">
        <f t="shared" si="82"/>
        <v>-1</v>
      </c>
      <c r="AY34" s="31">
        <f>Tercera!AY34</f>
        <v>0</v>
      </c>
      <c r="AZ34" s="32">
        <f t="shared" si="83"/>
        <v>-1</v>
      </c>
      <c r="BA34" s="31">
        <f>Tercera!BA34</f>
        <v>0</v>
      </c>
      <c r="BB34" s="32">
        <f t="shared" si="84"/>
        <v>-1</v>
      </c>
      <c r="BC34" s="31">
        <f>Tercera!BC34</f>
        <v>0</v>
      </c>
      <c r="BD34" s="32">
        <f t="shared" si="85"/>
        <v>-1</v>
      </c>
      <c r="BE34" s="31">
        <f>Tercera!BE34</f>
        <v>0</v>
      </c>
      <c r="BF34" s="32">
        <f t="shared" si="86"/>
        <v>-1</v>
      </c>
      <c r="BG34" s="31">
        <f>Tercera!BG34</f>
        <v>0</v>
      </c>
      <c r="BH34" s="32">
        <f t="shared" si="87"/>
        <v>-1</v>
      </c>
      <c r="BI34" s="31">
        <f>Tercera!BI34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Tercera!B35</f>
        <v>0</v>
      </c>
      <c r="C35" s="31">
        <f>Tercera!C35</f>
        <v>0</v>
      </c>
      <c r="D35" s="32">
        <f t="shared" si="59"/>
        <v>-1</v>
      </c>
      <c r="E35" s="31">
        <f>Tercera!E35</f>
        <v>0</v>
      </c>
      <c r="F35" s="32">
        <f t="shared" si="60"/>
        <v>-1</v>
      </c>
      <c r="G35" s="31">
        <f>Tercera!G35</f>
        <v>0</v>
      </c>
      <c r="H35" s="32">
        <f t="shared" si="61"/>
        <v>-1</v>
      </c>
      <c r="I35" s="31">
        <f>Tercera!I35</f>
        <v>0</v>
      </c>
      <c r="J35" s="32">
        <f t="shared" si="62"/>
        <v>-1</v>
      </c>
      <c r="K35" s="31">
        <f>Tercera!K35</f>
        <v>0</v>
      </c>
      <c r="L35" s="32">
        <f t="shared" si="63"/>
        <v>-1</v>
      </c>
      <c r="M35" s="31">
        <f>Tercera!M35</f>
        <v>0</v>
      </c>
      <c r="N35" s="32">
        <f t="shared" si="64"/>
        <v>-1</v>
      </c>
      <c r="O35" s="31">
        <f>Tercera!O35</f>
        <v>0</v>
      </c>
      <c r="P35" s="32">
        <f t="shared" si="65"/>
        <v>-1</v>
      </c>
      <c r="Q35" s="31">
        <f>Tercera!Q35</f>
        <v>0</v>
      </c>
      <c r="R35" s="32">
        <f t="shared" si="66"/>
        <v>-1</v>
      </c>
      <c r="S35" s="31">
        <f>Tercera!S35</f>
        <v>0</v>
      </c>
      <c r="T35" s="32">
        <f t="shared" si="67"/>
        <v>-1</v>
      </c>
      <c r="U35" s="31">
        <f>Tercera!U35</f>
        <v>0</v>
      </c>
      <c r="V35" s="32">
        <f t="shared" si="68"/>
        <v>-1</v>
      </c>
      <c r="W35" s="31">
        <f>Tercera!W35</f>
        <v>0</v>
      </c>
      <c r="X35" s="32">
        <f t="shared" si="69"/>
        <v>-1</v>
      </c>
      <c r="Y35" s="31">
        <f>Tercera!Y35</f>
        <v>0</v>
      </c>
      <c r="Z35" s="32">
        <f t="shared" si="70"/>
        <v>-1</v>
      </c>
      <c r="AA35" s="31">
        <f>Tercera!AA35</f>
        <v>0</v>
      </c>
      <c r="AB35" s="32">
        <f t="shared" si="71"/>
        <v>-1</v>
      </c>
      <c r="AC35" s="31">
        <f>Tercera!AC35</f>
        <v>0</v>
      </c>
      <c r="AD35" s="32">
        <f t="shared" si="72"/>
        <v>-1</v>
      </c>
      <c r="AE35" s="31">
        <f>Tercera!AE35</f>
        <v>0</v>
      </c>
      <c r="AF35" s="32">
        <f t="shared" si="73"/>
        <v>-1</v>
      </c>
      <c r="AG35" s="31">
        <f>Tercera!AG35</f>
        <v>0</v>
      </c>
      <c r="AH35" s="32">
        <f t="shared" si="74"/>
        <v>-1</v>
      </c>
      <c r="AI35" s="31">
        <f>Tercera!AI35</f>
        <v>0</v>
      </c>
      <c r="AJ35" s="32">
        <f t="shared" si="75"/>
        <v>-1</v>
      </c>
      <c r="AK35" s="31">
        <f>Tercera!AK35</f>
        <v>0</v>
      </c>
      <c r="AL35" s="32">
        <f t="shared" si="76"/>
        <v>-1</v>
      </c>
      <c r="AM35" s="31">
        <f>Tercera!AM35</f>
        <v>0</v>
      </c>
      <c r="AN35" s="32">
        <f t="shared" si="77"/>
        <v>-1</v>
      </c>
      <c r="AO35" s="31">
        <f>Tercera!AO35</f>
        <v>0</v>
      </c>
      <c r="AP35" s="32">
        <f t="shared" si="78"/>
        <v>-1</v>
      </c>
      <c r="AQ35" s="31">
        <f>Tercera!AQ35</f>
        <v>0</v>
      </c>
      <c r="AR35" s="32">
        <f t="shared" si="79"/>
        <v>-1</v>
      </c>
      <c r="AS35" s="31">
        <f>Tercera!AS35</f>
        <v>0</v>
      </c>
      <c r="AT35" s="32">
        <f t="shared" si="80"/>
        <v>-1</v>
      </c>
      <c r="AU35" s="31">
        <f>Tercera!AU35</f>
        <v>0</v>
      </c>
      <c r="AV35" s="32">
        <f t="shared" si="81"/>
        <v>-1</v>
      </c>
      <c r="AW35" s="31">
        <f>Tercera!AW35</f>
        <v>0</v>
      </c>
      <c r="AX35" s="32">
        <f t="shared" si="82"/>
        <v>-1</v>
      </c>
      <c r="AY35" s="31">
        <f>Tercera!AY35</f>
        <v>0</v>
      </c>
      <c r="AZ35" s="32">
        <f t="shared" si="83"/>
        <v>-1</v>
      </c>
      <c r="BA35" s="31">
        <f>Tercera!BA35</f>
        <v>0</v>
      </c>
      <c r="BB35" s="32">
        <f t="shared" si="84"/>
        <v>-1</v>
      </c>
      <c r="BC35" s="31">
        <f>Tercera!BC35</f>
        <v>0</v>
      </c>
      <c r="BD35" s="32">
        <f t="shared" si="85"/>
        <v>-1</v>
      </c>
      <c r="BE35" s="31">
        <f>Tercera!BE35</f>
        <v>0</v>
      </c>
      <c r="BF35" s="32">
        <f t="shared" si="86"/>
        <v>-1</v>
      </c>
      <c r="BG35" s="31">
        <f>Tercera!BG35</f>
        <v>0</v>
      </c>
      <c r="BH35" s="32">
        <f t="shared" si="87"/>
        <v>-1</v>
      </c>
      <c r="BI35" s="31">
        <f>Tercera!BI35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Tercera!B36</f>
        <v>0</v>
      </c>
      <c r="C36" s="31">
        <f>Tercera!C36</f>
        <v>0</v>
      </c>
      <c r="D36" s="32">
        <f t="shared" si="59"/>
        <v>-1</v>
      </c>
      <c r="E36" s="31">
        <f>Tercera!E36</f>
        <v>0</v>
      </c>
      <c r="F36" s="32">
        <f t="shared" si="60"/>
        <v>-1</v>
      </c>
      <c r="G36" s="31">
        <f>Tercera!G36</f>
        <v>0</v>
      </c>
      <c r="H36" s="32">
        <f t="shared" si="61"/>
        <v>-1</v>
      </c>
      <c r="I36" s="31">
        <f>Tercera!I36</f>
        <v>0</v>
      </c>
      <c r="J36" s="32">
        <f t="shared" si="62"/>
        <v>-1</v>
      </c>
      <c r="K36" s="31">
        <f>Tercera!K36</f>
        <v>0</v>
      </c>
      <c r="L36" s="32">
        <f t="shared" si="63"/>
        <v>-1</v>
      </c>
      <c r="M36" s="31">
        <f>Tercera!M36</f>
        <v>0</v>
      </c>
      <c r="N36" s="32">
        <f t="shared" si="64"/>
        <v>-1</v>
      </c>
      <c r="O36" s="31">
        <f>Tercera!O36</f>
        <v>0</v>
      </c>
      <c r="P36" s="32">
        <f t="shared" si="65"/>
        <v>-1</v>
      </c>
      <c r="Q36" s="31">
        <f>Tercera!Q36</f>
        <v>0</v>
      </c>
      <c r="R36" s="32">
        <f t="shared" si="66"/>
        <v>-1</v>
      </c>
      <c r="S36" s="31">
        <f>Tercera!S36</f>
        <v>0</v>
      </c>
      <c r="T36" s="32">
        <f t="shared" si="67"/>
        <v>-1</v>
      </c>
      <c r="U36" s="31">
        <f>Tercera!U36</f>
        <v>0</v>
      </c>
      <c r="V36" s="32">
        <f t="shared" si="68"/>
        <v>-1</v>
      </c>
      <c r="W36" s="31">
        <f>Tercera!W36</f>
        <v>0</v>
      </c>
      <c r="X36" s="32">
        <f t="shared" si="69"/>
        <v>-1</v>
      </c>
      <c r="Y36" s="31">
        <f>Tercera!Y36</f>
        <v>0</v>
      </c>
      <c r="Z36" s="32">
        <f t="shared" si="70"/>
        <v>-1</v>
      </c>
      <c r="AA36" s="31">
        <f>Tercera!AA36</f>
        <v>0</v>
      </c>
      <c r="AB36" s="32">
        <f t="shared" si="71"/>
        <v>-1</v>
      </c>
      <c r="AC36" s="31">
        <f>Tercera!AC36</f>
        <v>0</v>
      </c>
      <c r="AD36" s="32">
        <f t="shared" si="72"/>
        <v>-1</v>
      </c>
      <c r="AE36" s="31">
        <f>Tercera!AE36</f>
        <v>0</v>
      </c>
      <c r="AF36" s="32">
        <f t="shared" si="73"/>
        <v>-1</v>
      </c>
      <c r="AG36" s="31">
        <f>Tercera!AG36</f>
        <v>0</v>
      </c>
      <c r="AH36" s="32">
        <f t="shared" si="74"/>
        <v>-1</v>
      </c>
      <c r="AI36" s="31">
        <f>Tercera!AI36</f>
        <v>0</v>
      </c>
      <c r="AJ36" s="32">
        <f t="shared" si="75"/>
        <v>-1</v>
      </c>
      <c r="AK36" s="31">
        <f>Tercera!AK36</f>
        <v>0</v>
      </c>
      <c r="AL36" s="32">
        <f t="shared" si="76"/>
        <v>-1</v>
      </c>
      <c r="AM36" s="31">
        <f>Tercera!AM36</f>
        <v>0</v>
      </c>
      <c r="AN36" s="32">
        <f t="shared" si="77"/>
        <v>-1</v>
      </c>
      <c r="AO36" s="31">
        <f>Tercera!AO36</f>
        <v>0</v>
      </c>
      <c r="AP36" s="32">
        <f t="shared" si="78"/>
        <v>-1</v>
      </c>
      <c r="AQ36" s="31">
        <f>Tercera!AQ36</f>
        <v>0</v>
      </c>
      <c r="AR36" s="32">
        <f t="shared" si="79"/>
        <v>-1</v>
      </c>
      <c r="AS36" s="31">
        <f>Tercera!AS36</f>
        <v>0</v>
      </c>
      <c r="AT36" s="32">
        <f t="shared" si="80"/>
        <v>-1</v>
      </c>
      <c r="AU36" s="31">
        <f>Tercera!AU36</f>
        <v>0</v>
      </c>
      <c r="AV36" s="32">
        <f t="shared" si="81"/>
        <v>-1</v>
      </c>
      <c r="AW36" s="31">
        <f>Tercera!AW36</f>
        <v>0</v>
      </c>
      <c r="AX36" s="32">
        <f t="shared" si="82"/>
        <v>-1</v>
      </c>
      <c r="AY36" s="31">
        <f>Tercera!AY36</f>
        <v>0</v>
      </c>
      <c r="AZ36" s="32">
        <f t="shared" si="83"/>
        <v>-1</v>
      </c>
      <c r="BA36" s="31">
        <f>Tercera!BA36</f>
        <v>0</v>
      </c>
      <c r="BB36" s="32">
        <f t="shared" si="84"/>
        <v>-1</v>
      </c>
      <c r="BC36" s="31">
        <f>Tercera!BC36</f>
        <v>0</v>
      </c>
      <c r="BD36" s="32">
        <f t="shared" si="85"/>
        <v>-1</v>
      </c>
      <c r="BE36" s="31">
        <f>Tercera!BE36</f>
        <v>0</v>
      </c>
      <c r="BF36" s="32">
        <f t="shared" si="86"/>
        <v>-1</v>
      </c>
      <c r="BG36" s="31">
        <f>Tercera!BG36</f>
        <v>0</v>
      </c>
      <c r="BH36" s="32">
        <f t="shared" si="87"/>
        <v>-1</v>
      </c>
      <c r="BI36" s="31">
        <f>Tercera!BI36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Tercera!B37</f>
        <v>0</v>
      </c>
      <c r="C37" s="31">
        <f>Tercera!C37</f>
        <v>0</v>
      </c>
      <c r="D37" s="32">
        <f t="shared" si="59"/>
        <v>-1</v>
      </c>
      <c r="E37" s="31">
        <f>Tercera!E37</f>
        <v>0</v>
      </c>
      <c r="F37" s="32">
        <f t="shared" si="60"/>
        <v>-1</v>
      </c>
      <c r="G37" s="31">
        <f>Tercera!G37</f>
        <v>0</v>
      </c>
      <c r="H37" s="32">
        <f t="shared" si="61"/>
        <v>-1</v>
      </c>
      <c r="I37" s="31">
        <f>Tercera!I37</f>
        <v>0</v>
      </c>
      <c r="J37" s="32">
        <f t="shared" si="62"/>
        <v>-1</v>
      </c>
      <c r="K37" s="31">
        <f>Tercera!K37</f>
        <v>0</v>
      </c>
      <c r="L37" s="32">
        <f t="shared" si="63"/>
        <v>-1</v>
      </c>
      <c r="M37" s="31">
        <f>Tercera!M37</f>
        <v>0</v>
      </c>
      <c r="N37" s="32">
        <f t="shared" si="64"/>
        <v>-1</v>
      </c>
      <c r="O37" s="31">
        <f>Tercera!O37</f>
        <v>0</v>
      </c>
      <c r="P37" s="32">
        <f t="shared" si="65"/>
        <v>-1</v>
      </c>
      <c r="Q37" s="31">
        <f>Tercera!Q37</f>
        <v>0</v>
      </c>
      <c r="R37" s="32">
        <f t="shared" si="66"/>
        <v>-1</v>
      </c>
      <c r="S37" s="31">
        <f>Tercera!S37</f>
        <v>0</v>
      </c>
      <c r="T37" s="32">
        <f t="shared" si="67"/>
        <v>-1</v>
      </c>
      <c r="U37" s="31">
        <f>Tercera!U37</f>
        <v>0</v>
      </c>
      <c r="V37" s="32">
        <f t="shared" si="68"/>
        <v>-1</v>
      </c>
      <c r="W37" s="31">
        <f>Tercera!W37</f>
        <v>0</v>
      </c>
      <c r="X37" s="32">
        <f t="shared" si="69"/>
        <v>-1</v>
      </c>
      <c r="Y37" s="31">
        <f>Tercera!Y37</f>
        <v>0</v>
      </c>
      <c r="Z37" s="32">
        <f t="shared" si="70"/>
        <v>-1</v>
      </c>
      <c r="AA37" s="31">
        <f>Tercera!AA37</f>
        <v>0</v>
      </c>
      <c r="AB37" s="32">
        <f t="shared" si="71"/>
        <v>-1</v>
      </c>
      <c r="AC37" s="31">
        <f>Tercera!AC37</f>
        <v>0</v>
      </c>
      <c r="AD37" s="32">
        <f t="shared" si="72"/>
        <v>-1</v>
      </c>
      <c r="AE37" s="31">
        <f>Tercera!AE37</f>
        <v>0</v>
      </c>
      <c r="AF37" s="32">
        <f t="shared" si="73"/>
        <v>-1</v>
      </c>
      <c r="AG37" s="31">
        <f>Tercera!AG37</f>
        <v>0</v>
      </c>
      <c r="AH37" s="32">
        <f t="shared" si="74"/>
        <v>-1</v>
      </c>
      <c r="AI37" s="31">
        <f>Tercera!AI37</f>
        <v>0</v>
      </c>
      <c r="AJ37" s="32">
        <f t="shared" si="75"/>
        <v>-1</v>
      </c>
      <c r="AK37" s="31">
        <f>Tercera!AK37</f>
        <v>0</v>
      </c>
      <c r="AL37" s="32">
        <f t="shared" si="76"/>
        <v>-1</v>
      </c>
      <c r="AM37" s="31">
        <f>Tercera!AM37</f>
        <v>0</v>
      </c>
      <c r="AN37" s="32">
        <f t="shared" si="77"/>
        <v>-1</v>
      </c>
      <c r="AO37" s="31">
        <f>Tercera!AO37</f>
        <v>0</v>
      </c>
      <c r="AP37" s="32">
        <f t="shared" si="78"/>
        <v>-1</v>
      </c>
      <c r="AQ37" s="31">
        <f>Tercera!AQ37</f>
        <v>0</v>
      </c>
      <c r="AR37" s="32">
        <f t="shared" si="79"/>
        <v>-1</v>
      </c>
      <c r="AS37" s="31">
        <f>Tercera!AS37</f>
        <v>0</v>
      </c>
      <c r="AT37" s="32">
        <f t="shared" si="80"/>
        <v>-1</v>
      </c>
      <c r="AU37" s="31">
        <f>Tercera!AU37</f>
        <v>0</v>
      </c>
      <c r="AV37" s="32">
        <f t="shared" si="81"/>
        <v>-1</v>
      </c>
      <c r="AW37" s="31">
        <f>Tercera!AW37</f>
        <v>0</v>
      </c>
      <c r="AX37" s="32">
        <f t="shared" si="82"/>
        <v>-1</v>
      </c>
      <c r="AY37" s="31">
        <f>Tercera!AY37</f>
        <v>0</v>
      </c>
      <c r="AZ37" s="32">
        <f t="shared" si="83"/>
        <v>-1</v>
      </c>
      <c r="BA37" s="31">
        <f>Tercera!BA37</f>
        <v>0</v>
      </c>
      <c r="BB37" s="32">
        <f t="shared" si="84"/>
        <v>-1</v>
      </c>
      <c r="BC37" s="31">
        <f>Tercera!BC37</f>
        <v>0</v>
      </c>
      <c r="BD37" s="32">
        <f t="shared" si="85"/>
        <v>-1</v>
      </c>
      <c r="BE37" s="31">
        <f>Tercera!BE37</f>
        <v>0</v>
      </c>
      <c r="BF37" s="32">
        <f t="shared" si="86"/>
        <v>-1</v>
      </c>
      <c r="BG37" s="31">
        <f>Tercera!BG37</f>
        <v>0</v>
      </c>
      <c r="BH37" s="32">
        <f t="shared" si="87"/>
        <v>-1</v>
      </c>
      <c r="BI37" s="31">
        <f>Tercera!BI37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2" t="str">
        <f>IF(SUM($B39:$B58)&lt;&gt;0,SUM(C39:C58)/SUM($B39:$B58)*$B38*10, "")</f>
        <v/>
      </c>
      <c r="D38" s="52"/>
      <c r="E38" s="52" t="str">
        <f>IF(SUM($B39:$B58)&lt;&gt;0,SUM(E39:E58)/SUM($B39:$B58)*$B38*10, "")</f>
        <v/>
      </c>
      <c r="F38" s="52"/>
      <c r="G38" s="52" t="str">
        <f>IF(SUM($B39:$B58)&lt;&gt;0,SUM(G39:G58)/SUM($B39:$B58)*$B38*10, "")</f>
        <v/>
      </c>
      <c r="H38" s="52"/>
      <c r="I38" s="52" t="str">
        <f>IF(SUM($B39:$B58)&lt;&gt;0,SUM(I39:I58)/SUM($B39:$B58)*$B38*10, "")</f>
        <v/>
      </c>
      <c r="J38" s="52"/>
      <c r="K38" s="52" t="str">
        <f>IF(SUM($B39:$B58)&lt;&gt;0,SUM(K39:K58)/SUM($B39:$B58)*$B38*10, "")</f>
        <v/>
      </c>
      <c r="L38" s="52"/>
      <c r="M38" s="52" t="str">
        <f>IF(SUM($B39:$B58)&lt;&gt;0,SUM(M39:M58)/SUM($B39:$B58)*$B38*10, "")</f>
        <v/>
      </c>
      <c r="N38" s="52"/>
      <c r="O38" s="52" t="str">
        <f>IF(SUM($B39:$B58)&lt;&gt;0,SUM(O39:O58)/SUM($B39:$B58)*$B38*10, "")</f>
        <v/>
      </c>
      <c r="P38" s="52"/>
      <c r="Q38" s="52" t="str">
        <f>IF(SUM($B39:$B58)&lt;&gt;0,SUM(Q39:Q58)/SUM($B39:$B58)*$B38*10, "")</f>
        <v/>
      </c>
      <c r="R38" s="52"/>
      <c r="S38" s="52" t="str">
        <f>IF(SUM($B39:$B58)&lt;&gt;0,SUM(S39:S58)/SUM($B39:$B58)*$B38*10, "")</f>
        <v/>
      </c>
      <c r="T38" s="52"/>
      <c r="U38" s="52" t="str">
        <f>IF(SUM($B39:$B58)&lt;&gt;0,SUM(U39:U58)/SUM($B39:$B58)*$B38*10, "")</f>
        <v/>
      </c>
      <c r="V38" s="52"/>
      <c r="W38" s="52" t="str">
        <f>IF(SUM($B39:$B58)&lt;&gt;0,SUM(W39:W58)/SUM($B39:$B58)*$B38*10, "")</f>
        <v/>
      </c>
      <c r="X38" s="52"/>
      <c r="Y38" s="52" t="str">
        <f>IF(SUM($B39:$B58)&lt;&gt;0,SUM(Y39:Y58)/SUM($B39:$B58)*$B38*10, "")</f>
        <v/>
      </c>
      <c r="Z38" s="52"/>
      <c r="AA38" s="52" t="str">
        <f>IF(SUM($B39:$B58)&lt;&gt;0,SUM(AA39:AA58)/SUM($B39:$B58)*$B38*10, "")</f>
        <v/>
      </c>
      <c r="AB38" s="52"/>
      <c r="AC38" s="52" t="str">
        <f>IF(SUM($B39:$B58)&lt;&gt;0,SUM(AC39:AC58)/SUM($B39:$B58)*$B38*10, "")</f>
        <v/>
      </c>
      <c r="AD38" s="52"/>
      <c r="AE38" s="52" t="str">
        <f>IF(SUM($B39:$B58)&lt;&gt;0,SUM(AE39:AE58)/SUM($B39:$B58)*$B38*10, "")</f>
        <v/>
      </c>
      <c r="AF38" s="52"/>
      <c r="AG38" s="52" t="str">
        <f>IF(SUM($B39:$B58)&lt;&gt;0,SUM(AG39:AG58)/SUM($B39:$B58)*$B38*10, "")</f>
        <v/>
      </c>
      <c r="AH38" s="52"/>
      <c r="AI38" s="52" t="str">
        <f>IF(SUM($B39:$B58)&lt;&gt;0,SUM(AI39:AI58)/SUM($B39:$B58)*$B38*10, "")</f>
        <v/>
      </c>
      <c r="AJ38" s="52"/>
      <c r="AK38" s="52" t="str">
        <f>IF(SUM($B39:$B58)&lt;&gt;0,SUM(AK39:AK58)/SUM($B39:$B58)*$B38*10, "")</f>
        <v/>
      </c>
      <c r="AL38" s="52"/>
      <c r="AM38" s="52" t="str">
        <f>IF(SUM($B39:$B58)&lt;&gt;0,SUM(AM39:AM58)/SUM($B39:$B58)*$B38*10, "")</f>
        <v/>
      </c>
      <c r="AN38" s="52"/>
      <c r="AO38" s="52" t="str">
        <f>IF(SUM($B39:$B58)&lt;&gt;0,SUM(AO39:AO58)/SUM($B39:$B58)*$B38*10, "")</f>
        <v/>
      </c>
      <c r="AP38" s="52"/>
      <c r="AQ38" s="52" t="str">
        <f>IF(SUM($B39:$B58)&lt;&gt;0,SUM(AQ39:AQ58)/SUM($B39:$B58)*$B38*10, "")</f>
        <v/>
      </c>
      <c r="AR38" s="52"/>
      <c r="AS38" s="52" t="str">
        <f>IF(SUM($B39:$B58)&lt;&gt;0,SUM(AS39:AS58)/SUM($B39:$B58)*$B38*10, "")</f>
        <v/>
      </c>
      <c r="AT38" s="52"/>
      <c r="AU38" s="52" t="str">
        <f>IF(SUM($B39:$B58)&lt;&gt;0,SUM(AU39:AU58)/SUM($B39:$B58)*$B38*10, "")</f>
        <v/>
      </c>
      <c r="AV38" s="52"/>
      <c r="AW38" s="52" t="str">
        <f>IF(SUM($B39:$B58)&lt;&gt;0,SUM(AW39:AW58)/SUM($B39:$B58)*$B38*10, "")</f>
        <v/>
      </c>
      <c r="AX38" s="52"/>
      <c r="AY38" s="52" t="str">
        <f>IF(SUM($B39:$B58)&lt;&gt;0,SUM(AY39:AY58)/SUM($B39:$B58)*$B38*10, "")</f>
        <v/>
      </c>
      <c r="AZ38" s="52"/>
      <c r="BA38" s="52" t="str">
        <f>IF(SUM($B39:$B58)&lt;&gt;0,SUM(BA39:BA58)/SUM($B39:$B58)*$B38*10, "")</f>
        <v/>
      </c>
      <c r="BB38" s="52"/>
      <c r="BC38" s="52" t="str">
        <f>IF(SUM($B39:$B58)&lt;&gt;0,SUM(BC39:BC58)/SUM($B39:$B58)*$B38*10, "")</f>
        <v/>
      </c>
      <c r="BD38" s="52"/>
      <c r="BE38" s="52" t="str">
        <f>IF(SUM($B39:$B58)&lt;&gt;0,SUM(BE39:BE58)/SUM($B39:$B58)*$B38*10, "")</f>
        <v/>
      </c>
      <c r="BF38" s="52"/>
      <c r="BG38" s="52" t="str">
        <f>IF(SUM($B39:$B58)&lt;&gt;0,SUM(BG39:BG58)/SUM($B39:$B58)*$B38*10, "")</f>
        <v/>
      </c>
      <c r="BH38" s="52"/>
      <c r="BI38" s="52" t="str">
        <f>IF(SUM($B39:$B58)&lt;&gt;0,SUM(BI39:BI58)/SUM($B39:$B58)*$B38*10, "")</f>
        <v/>
      </c>
      <c r="BJ38" s="52"/>
    </row>
    <row r="39" spans="1:62" ht="28" x14ac:dyDescent="0.2">
      <c r="A39" s="2" t="s">
        <v>39</v>
      </c>
      <c r="B39" s="13">
        <f>Tercera!B39</f>
        <v>0</v>
      </c>
      <c r="C39" s="31">
        <f>Tercera!C39</f>
        <v>0</v>
      </c>
      <c r="D39" s="32">
        <f t="shared" ref="D39:D58" si="89">IF($B39,C39/$B39,-1)</f>
        <v>-1</v>
      </c>
      <c r="E39" s="31">
        <f>Tercera!E39</f>
        <v>0</v>
      </c>
      <c r="F39" s="32">
        <f t="shared" ref="F39:F58" si="90">IF($B39,E39/$B39,-1)</f>
        <v>-1</v>
      </c>
      <c r="G39" s="31">
        <f>Tercera!G39</f>
        <v>0</v>
      </c>
      <c r="H39" s="32">
        <f t="shared" ref="H39:H58" si="91">IF($B39,G39/$B39,-1)</f>
        <v>-1</v>
      </c>
      <c r="I39" s="31">
        <f>Tercera!I39</f>
        <v>0</v>
      </c>
      <c r="J39" s="32">
        <f t="shared" ref="J39:J58" si="92">IF($B39,I39/$B39,-1)</f>
        <v>-1</v>
      </c>
      <c r="K39" s="31">
        <f>Tercera!K39</f>
        <v>0</v>
      </c>
      <c r="L39" s="32">
        <f t="shared" ref="L39:L58" si="93">IF($B39,K39/$B39,-1)</f>
        <v>-1</v>
      </c>
      <c r="M39" s="31">
        <f>Tercera!M39</f>
        <v>0</v>
      </c>
      <c r="N39" s="32">
        <f t="shared" ref="N39:N58" si="94">IF($B39,M39/$B39,-1)</f>
        <v>-1</v>
      </c>
      <c r="O39" s="31">
        <f>Tercera!O39</f>
        <v>0</v>
      </c>
      <c r="P39" s="32">
        <f t="shared" ref="P39:P58" si="95">IF($B39,O39/$B39,-1)</f>
        <v>-1</v>
      </c>
      <c r="Q39" s="31">
        <f>Tercera!Q39</f>
        <v>0</v>
      </c>
      <c r="R39" s="32">
        <f t="shared" ref="R39:R58" si="96">IF($B39,Q39/$B39,-1)</f>
        <v>-1</v>
      </c>
      <c r="S39" s="31">
        <f>Tercera!S39</f>
        <v>0</v>
      </c>
      <c r="T39" s="32">
        <f t="shared" ref="T39:T58" si="97">IF($B39,S39/$B39,-1)</f>
        <v>-1</v>
      </c>
      <c r="U39" s="31">
        <f>Tercera!U39</f>
        <v>0</v>
      </c>
      <c r="V39" s="32">
        <f t="shared" ref="V39:V58" si="98">IF($B39,U39/$B39,-1)</f>
        <v>-1</v>
      </c>
      <c r="W39" s="31">
        <f>Tercera!W39</f>
        <v>0</v>
      </c>
      <c r="X39" s="32">
        <f t="shared" ref="X39:X58" si="99">IF($B39,W39/$B39,-1)</f>
        <v>-1</v>
      </c>
      <c r="Y39" s="31">
        <f>Tercera!Y39</f>
        <v>0</v>
      </c>
      <c r="Z39" s="32">
        <f t="shared" ref="Z39:Z58" si="100">IF($B39,Y39/$B39,-1)</f>
        <v>-1</v>
      </c>
      <c r="AA39" s="31">
        <f>Tercera!AA39</f>
        <v>0</v>
      </c>
      <c r="AB39" s="32">
        <f t="shared" ref="AB39:AB58" si="101">IF($B39,AA39/$B39,-1)</f>
        <v>-1</v>
      </c>
      <c r="AC39" s="31">
        <f>Tercera!AC39</f>
        <v>0</v>
      </c>
      <c r="AD39" s="32">
        <f t="shared" ref="AD39:AD58" si="102">IF($B39,AC39/$B39,-1)</f>
        <v>-1</v>
      </c>
      <c r="AE39" s="31">
        <f>Tercera!AE39</f>
        <v>0</v>
      </c>
      <c r="AF39" s="32">
        <f t="shared" ref="AF39:AF58" si="103">IF($B39,AE39/$B39,-1)</f>
        <v>-1</v>
      </c>
      <c r="AG39" s="31">
        <f>Tercera!AG39</f>
        <v>0</v>
      </c>
      <c r="AH39" s="32">
        <f t="shared" ref="AH39:AH58" si="104">IF($B39,AG39/$B39,-1)</f>
        <v>-1</v>
      </c>
      <c r="AI39" s="31">
        <f>Tercera!AI39</f>
        <v>0</v>
      </c>
      <c r="AJ39" s="32">
        <f t="shared" ref="AJ39:AJ58" si="105">IF($B39,AI39/$B39,-1)</f>
        <v>-1</v>
      </c>
      <c r="AK39" s="31">
        <f>Tercera!AK39</f>
        <v>0</v>
      </c>
      <c r="AL39" s="32">
        <f t="shared" ref="AL39:AL58" si="106">IF($B39,AK39/$B39,-1)</f>
        <v>-1</v>
      </c>
      <c r="AM39" s="31">
        <f>Tercera!AM39</f>
        <v>0</v>
      </c>
      <c r="AN39" s="32">
        <f t="shared" ref="AN39:AN58" si="107">IF($B39,AM39/$B39,-1)</f>
        <v>-1</v>
      </c>
      <c r="AO39" s="31">
        <f>Tercera!AO39</f>
        <v>0</v>
      </c>
      <c r="AP39" s="32">
        <f t="shared" ref="AP39:AP58" si="108">IF($B39,AO39/$B39,-1)</f>
        <v>-1</v>
      </c>
      <c r="AQ39" s="31">
        <f>Tercera!AQ39</f>
        <v>0</v>
      </c>
      <c r="AR39" s="32">
        <f t="shared" ref="AR39:AR58" si="109">IF($B39,AQ39/$B39,-1)</f>
        <v>-1</v>
      </c>
      <c r="AS39" s="31">
        <f>Tercera!AS39</f>
        <v>0</v>
      </c>
      <c r="AT39" s="32">
        <f t="shared" ref="AT39:AT58" si="110">IF($B39,AS39/$B39,-1)</f>
        <v>-1</v>
      </c>
      <c r="AU39" s="31">
        <f>Tercera!AU39</f>
        <v>0</v>
      </c>
      <c r="AV39" s="32">
        <f t="shared" ref="AV39:AV58" si="111">IF($B39,AU39/$B39,-1)</f>
        <v>-1</v>
      </c>
      <c r="AW39" s="31">
        <f>Tercera!AW39</f>
        <v>0</v>
      </c>
      <c r="AX39" s="32">
        <f t="shared" ref="AX39:AX58" si="112">IF($B39,AW39/$B39,-1)</f>
        <v>-1</v>
      </c>
      <c r="AY39" s="31">
        <f>Tercera!AY39</f>
        <v>0</v>
      </c>
      <c r="AZ39" s="32">
        <f t="shared" ref="AZ39:AZ58" si="113">IF($B39,AY39/$B39,-1)</f>
        <v>-1</v>
      </c>
      <c r="BA39" s="31">
        <f>Tercera!BA39</f>
        <v>0</v>
      </c>
      <c r="BB39" s="32">
        <f t="shared" ref="BB39:BB58" si="114">IF($B39,BA39/$B39,-1)</f>
        <v>-1</v>
      </c>
      <c r="BC39" s="31">
        <f>Tercera!BC39</f>
        <v>0</v>
      </c>
      <c r="BD39" s="32">
        <f t="shared" ref="BD39:BD58" si="115">IF($B39,BC39/$B39,-1)</f>
        <v>-1</v>
      </c>
      <c r="BE39" s="31">
        <f>Tercera!BE39</f>
        <v>0</v>
      </c>
      <c r="BF39" s="32">
        <f t="shared" ref="BF39:BF58" si="116">IF($B39,BE39/$B39,-1)</f>
        <v>-1</v>
      </c>
      <c r="BG39" s="31">
        <f>Tercera!BG39</f>
        <v>0</v>
      </c>
      <c r="BH39" s="32">
        <f t="shared" ref="BH39:BH58" si="117">IF($B39,BG39/$B39,-1)</f>
        <v>-1</v>
      </c>
      <c r="BI39" s="31">
        <f>Tercera!BI39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Tercera!B40</f>
        <v>0</v>
      </c>
      <c r="C40" s="31">
        <f>Tercera!C40</f>
        <v>0</v>
      </c>
      <c r="D40" s="32">
        <f t="shared" si="89"/>
        <v>-1</v>
      </c>
      <c r="E40" s="31">
        <f>Tercera!E40</f>
        <v>0</v>
      </c>
      <c r="F40" s="32">
        <f t="shared" si="90"/>
        <v>-1</v>
      </c>
      <c r="G40" s="31">
        <f>Tercera!G40</f>
        <v>0</v>
      </c>
      <c r="H40" s="32">
        <f t="shared" si="91"/>
        <v>-1</v>
      </c>
      <c r="I40" s="31">
        <f>Tercera!I40</f>
        <v>0</v>
      </c>
      <c r="J40" s="32">
        <f t="shared" si="92"/>
        <v>-1</v>
      </c>
      <c r="K40" s="31">
        <f>Tercera!K40</f>
        <v>0</v>
      </c>
      <c r="L40" s="32">
        <f t="shared" si="93"/>
        <v>-1</v>
      </c>
      <c r="M40" s="31">
        <f>Tercera!M40</f>
        <v>0</v>
      </c>
      <c r="N40" s="32">
        <f t="shared" si="94"/>
        <v>-1</v>
      </c>
      <c r="O40" s="31">
        <f>Tercera!O40</f>
        <v>0</v>
      </c>
      <c r="P40" s="32">
        <f t="shared" si="95"/>
        <v>-1</v>
      </c>
      <c r="Q40" s="31">
        <f>Tercera!Q40</f>
        <v>0</v>
      </c>
      <c r="R40" s="32">
        <f t="shared" si="96"/>
        <v>-1</v>
      </c>
      <c r="S40" s="31">
        <f>Tercera!S40</f>
        <v>0</v>
      </c>
      <c r="T40" s="32">
        <f t="shared" si="97"/>
        <v>-1</v>
      </c>
      <c r="U40" s="31">
        <f>Tercera!U40</f>
        <v>0</v>
      </c>
      <c r="V40" s="32">
        <f t="shared" si="98"/>
        <v>-1</v>
      </c>
      <c r="W40" s="31">
        <f>Tercera!W40</f>
        <v>0</v>
      </c>
      <c r="X40" s="32">
        <f t="shared" si="99"/>
        <v>-1</v>
      </c>
      <c r="Y40" s="31">
        <f>Tercera!Y40</f>
        <v>0</v>
      </c>
      <c r="Z40" s="32">
        <f t="shared" si="100"/>
        <v>-1</v>
      </c>
      <c r="AA40" s="31">
        <f>Tercera!AA40</f>
        <v>0</v>
      </c>
      <c r="AB40" s="32">
        <f t="shared" si="101"/>
        <v>-1</v>
      </c>
      <c r="AC40" s="31">
        <f>Tercera!AC40</f>
        <v>0</v>
      </c>
      <c r="AD40" s="32">
        <f t="shared" si="102"/>
        <v>-1</v>
      </c>
      <c r="AE40" s="31">
        <f>Tercera!AE40</f>
        <v>0</v>
      </c>
      <c r="AF40" s="32">
        <f t="shared" si="103"/>
        <v>-1</v>
      </c>
      <c r="AG40" s="31">
        <f>Tercera!AG40</f>
        <v>0</v>
      </c>
      <c r="AH40" s="32">
        <f t="shared" si="104"/>
        <v>-1</v>
      </c>
      <c r="AI40" s="31">
        <f>Tercera!AI40</f>
        <v>0</v>
      </c>
      <c r="AJ40" s="32">
        <f t="shared" si="105"/>
        <v>-1</v>
      </c>
      <c r="AK40" s="31">
        <f>Tercera!AK40</f>
        <v>0</v>
      </c>
      <c r="AL40" s="32">
        <f t="shared" si="106"/>
        <v>-1</v>
      </c>
      <c r="AM40" s="31">
        <f>Tercera!AM40</f>
        <v>0</v>
      </c>
      <c r="AN40" s="32">
        <f t="shared" si="107"/>
        <v>-1</v>
      </c>
      <c r="AO40" s="31">
        <f>Tercera!AO40</f>
        <v>0</v>
      </c>
      <c r="AP40" s="32">
        <f t="shared" si="108"/>
        <v>-1</v>
      </c>
      <c r="AQ40" s="31">
        <f>Tercera!AQ40</f>
        <v>0</v>
      </c>
      <c r="AR40" s="32">
        <f t="shared" si="109"/>
        <v>-1</v>
      </c>
      <c r="AS40" s="31">
        <f>Tercera!AS40</f>
        <v>0</v>
      </c>
      <c r="AT40" s="32">
        <f t="shared" si="110"/>
        <v>-1</v>
      </c>
      <c r="AU40" s="31">
        <f>Tercera!AU40</f>
        <v>0</v>
      </c>
      <c r="AV40" s="32">
        <f t="shared" si="111"/>
        <v>-1</v>
      </c>
      <c r="AW40" s="31">
        <f>Tercera!AW40</f>
        <v>0</v>
      </c>
      <c r="AX40" s="32">
        <f t="shared" si="112"/>
        <v>-1</v>
      </c>
      <c r="AY40" s="31">
        <f>Tercera!AY40</f>
        <v>0</v>
      </c>
      <c r="AZ40" s="32">
        <f t="shared" si="113"/>
        <v>-1</v>
      </c>
      <c r="BA40" s="31">
        <f>Tercera!BA40</f>
        <v>0</v>
      </c>
      <c r="BB40" s="32">
        <f t="shared" si="114"/>
        <v>-1</v>
      </c>
      <c r="BC40" s="31">
        <f>Tercera!BC40</f>
        <v>0</v>
      </c>
      <c r="BD40" s="32">
        <f t="shared" si="115"/>
        <v>-1</v>
      </c>
      <c r="BE40" s="31">
        <f>Tercera!BE40</f>
        <v>0</v>
      </c>
      <c r="BF40" s="32">
        <f t="shared" si="116"/>
        <v>-1</v>
      </c>
      <c r="BG40" s="31">
        <f>Tercera!BG40</f>
        <v>0</v>
      </c>
      <c r="BH40" s="32">
        <f t="shared" si="117"/>
        <v>-1</v>
      </c>
      <c r="BI40" s="31">
        <f>Tercera!BI40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Tercera!B41</f>
        <v>0</v>
      </c>
      <c r="C41" s="31">
        <f>Tercera!C41</f>
        <v>0</v>
      </c>
      <c r="D41" s="32">
        <f t="shared" si="89"/>
        <v>-1</v>
      </c>
      <c r="E41" s="31">
        <f>Tercera!E41</f>
        <v>0</v>
      </c>
      <c r="F41" s="32">
        <f t="shared" si="90"/>
        <v>-1</v>
      </c>
      <c r="G41" s="31">
        <f>Tercera!G41</f>
        <v>0</v>
      </c>
      <c r="H41" s="32">
        <f t="shared" si="91"/>
        <v>-1</v>
      </c>
      <c r="I41" s="31">
        <f>Tercera!I41</f>
        <v>0</v>
      </c>
      <c r="J41" s="32">
        <f t="shared" si="92"/>
        <v>-1</v>
      </c>
      <c r="K41" s="31">
        <f>Tercera!K41</f>
        <v>0</v>
      </c>
      <c r="L41" s="32">
        <f t="shared" si="93"/>
        <v>-1</v>
      </c>
      <c r="M41" s="31">
        <f>Tercera!M41</f>
        <v>0</v>
      </c>
      <c r="N41" s="32">
        <f t="shared" si="94"/>
        <v>-1</v>
      </c>
      <c r="O41" s="31">
        <f>Tercera!O41</f>
        <v>0</v>
      </c>
      <c r="P41" s="32">
        <f t="shared" si="95"/>
        <v>-1</v>
      </c>
      <c r="Q41" s="31">
        <f>Tercera!Q41</f>
        <v>0</v>
      </c>
      <c r="R41" s="32">
        <f t="shared" si="96"/>
        <v>-1</v>
      </c>
      <c r="S41" s="31">
        <f>Tercera!S41</f>
        <v>0</v>
      </c>
      <c r="T41" s="32">
        <f t="shared" si="97"/>
        <v>-1</v>
      </c>
      <c r="U41" s="31">
        <f>Tercera!U41</f>
        <v>0</v>
      </c>
      <c r="V41" s="32">
        <f t="shared" si="98"/>
        <v>-1</v>
      </c>
      <c r="W41" s="31">
        <f>Tercera!W41</f>
        <v>0</v>
      </c>
      <c r="X41" s="32">
        <f t="shared" si="99"/>
        <v>-1</v>
      </c>
      <c r="Y41" s="31">
        <f>Tercera!Y41</f>
        <v>0</v>
      </c>
      <c r="Z41" s="32">
        <f t="shared" si="100"/>
        <v>-1</v>
      </c>
      <c r="AA41" s="31">
        <f>Tercera!AA41</f>
        <v>0</v>
      </c>
      <c r="AB41" s="32">
        <f t="shared" si="101"/>
        <v>-1</v>
      </c>
      <c r="AC41" s="31">
        <f>Tercera!AC41</f>
        <v>0</v>
      </c>
      <c r="AD41" s="32">
        <f t="shared" si="102"/>
        <v>-1</v>
      </c>
      <c r="AE41" s="31">
        <f>Tercera!AE41</f>
        <v>0</v>
      </c>
      <c r="AF41" s="32">
        <f t="shared" si="103"/>
        <v>-1</v>
      </c>
      <c r="AG41" s="31">
        <f>Tercera!AG41</f>
        <v>0</v>
      </c>
      <c r="AH41" s="32">
        <f t="shared" si="104"/>
        <v>-1</v>
      </c>
      <c r="AI41" s="31">
        <f>Tercera!AI41</f>
        <v>0</v>
      </c>
      <c r="AJ41" s="32">
        <f t="shared" si="105"/>
        <v>-1</v>
      </c>
      <c r="AK41" s="31">
        <f>Tercera!AK41</f>
        <v>0</v>
      </c>
      <c r="AL41" s="32">
        <f t="shared" si="106"/>
        <v>-1</v>
      </c>
      <c r="AM41" s="31">
        <f>Tercera!AM41</f>
        <v>0</v>
      </c>
      <c r="AN41" s="32">
        <f t="shared" si="107"/>
        <v>-1</v>
      </c>
      <c r="AO41" s="31">
        <f>Tercera!AO41</f>
        <v>0</v>
      </c>
      <c r="AP41" s="32">
        <f t="shared" si="108"/>
        <v>-1</v>
      </c>
      <c r="AQ41" s="31">
        <f>Tercera!AQ41</f>
        <v>0</v>
      </c>
      <c r="AR41" s="32">
        <f t="shared" si="109"/>
        <v>-1</v>
      </c>
      <c r="AS41" s="31">
        <f>Tercera!AS41</f>
        <v>0</v>
      </c>
      <c r="AT41" s="32">
        <f t="shared" si="110"/>
        <v>-1</v>
      </c>
      <c r="AU41" s="31">
        <f>Tercera!AU41</f>
        <v>0</v>
      </c>
      <c r="AV41" s="32">
        <f t="shared" si="111"/>
        <v>-1</v>
      </c>
      <c r="AW41" s="31">
        <f>Tercera!AW41</f>
        <v>0</v>
      </c>
      <c r="AX41" s="32">
        <f t="shared" si="112"/>
        <v>-1</v>
      </c>
      <c r="AY41" s="31">
        <f>Tercera!AY41</f>
        <v>0</v>
      </c>
      <c r="AZ41" s="32">
        <f t="shared" si="113"/>
        <v>-1</v>
      </c>
      <c r="BA41" s="31">
        <f>Tercera!BA41</f>
        <v>0</v>
      </c>
      <c r="BB41" s="32">
        <f t="shared" si="114"/>
        <v>-1</v>
      </c>
      <c r="BC41" s="31">
        <f>Tercera!BC41</f>
        <v>0</v>
      </c>
      <c r="BD41" s="32">
        <f t="shared" si="115"/>
        <v>-1</v>
      </c>
      <c r="BE41" s="31">
        <f>Tercera!BE41</f>
        <v>0</v>
      </c>
      <c r="BF41" s="32">
        <f t="shared" si="116"/>
        <v>-1</v>
      </c>
      <c r="BG41" s="31">
        <f>Tercera!BG41</f>
        <v>0</v>
      </c>
      <c r="BH41" s="32">
        <f t="shared" si="117"/>
        <v>-1</v>
      </c>
      <c r="BI41" s="31">
        <f>Tercera!BI41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Tercera!B42</f>
        <v>0</v>
      </c>
      <c r="C42" s="31">
        <f>Tercera!C42</f>
        <v>0</v>
      </c>
      <c r="D42" s="32">
        <f t="shared" si="89"/>
        <v>-1</v>
      </c>
      <c r="E42" s="31">
        <f>Tercera!E42</f>
        <v>0</v>
      </c>
      <c r="F42" s="32">
        <f t="shared" si="90"/>
        <v>-1</v>
      </c>
      <c r="G42" s="31">
        <f>Tercera!G42</f>
        <v>0</v>
      </c>
      <c r="H42" s="32">
        <f t="shared" si="91"/>
        <v>-1</v>
      </c>
      <c r="I42" s="31">
        <f>Tercera!I42</f>
        <v>0</v>
      </c>
      <c r="J42" s="32">
        <f t="shared" si="92"/>
        <v>-1</v>
      </c>
      <c r="K42" s="31">
        <f>Tercera!K42</f>
        <v>0</v>
      </c>
      <c r="L42" s="32">
        <f t="shared" si="93"/>
        <v>-1</v>
      </c>
      <c r="M42" s="31">
        <f>Tercera!M42</f>
        <v>0</v>
      </c>
      <c r="N42" s="32">
        <f t="shared" si="94"/>
        <v>-1</v>
      </c>
      <c r="O42" s="31">
        <f>Tercera!O42</f>
        <v>0</v>
      </c>
      <c r="P42" s="32">
        <f t="shared" si="95"/>
        <v>-1</v>
      </c>
      <c r="Q42" s="31">
        <f>Tercera!Q42</f>
        <v>0</v>
      </c>
      <c r="R42" s="32">
        <f t="shared" si="96"/>
        <v>-1</v>
      </c>
      <c r="S42" s="31">
        <f>Tercera!S42</f>
        <v>0</v>
      </c>
      <c r="T42" s="32">
        <f t="shared" si="97"/>
        <v>-1</v>
      </c>
      <c r="U42" s="31">
        <f>Tercera!U42</f>
        <v>0</v>
      </c>
      <c r="V42" s="32">
        <f t="shared" si="98"/>
        <v>-1</v>
      </c>
      <c r="W42" s="31">
        <f>Tercera!W42</f>
        <v>0</v>
      </c>
      <c r="X42" s="32">
        <f t="shared" si="99"/>
        <v>-1</v>
      </c>
      <c r="Y42" s="31">
        <f>Tercera!Y42</f>
        <v>0</v>
      </c>
      <c r="Z42" s="32">
        <f t="shared" si="100"/>
        <v>-1</v>
      </c>
      <c r="AA42" s="31">
        <f>Tercera!AA42</f>
        <v>0</v>
      </c>
      <c r="AB42" s="32">
        <f t="shared" si="101"/>
        <v>-1</v>
      </c>
      <c r="AC42" s="31">
        <f>Tercera!AC42</f>
        <v>0</v>
      </c>
      <c r="AD42" s="32">
        <f t="shared" si="102"/>
        <v>-1</v>
      </c>
      <c r="AE42" s="31">
        <f>Tercera!AE42</f>
        <v>0</v>
      </c>
      <c r="AF42" s="32">
        <f t="shared" si="103"/>
        <v>-1</v>
      </c>
      <c r="AG42" s="31">
        <f>Tercera!AG42</f>
        <v>0</v>
      </c>
      <c r="AH42" s="32">
        <f t="shared" si="104"/>
        <v>-1</v>
      </c>
      <c r="AI42" s="31">
        <f>Tercera!AI42</f>
        <v>0</v>
      </c>
      <c r="AJ42" s="32">
        <f t="shared" si="105"/>
        <v>-1</v>
      </c>
      <c r="AK42" s="31">
        <f>Tercera!AK42</f>
        <v>0</v>
      </c>
      <c r="AL42" s="32">
        <f t="shared" si="106"/>
        <v>-1</v>
      </c>
      <c r="AM42" s="31">
        <f>Tercera!AM42</f>
        <v>0</v>
      </c>
      <c r="AN42" s="32">
        <f t="shared" si="107"/>
        <v>-1</v>
      </c>
      <c r="AO42" s="31">
        <f>Tercera!AO42</f>
        <v>0</v>
      </c>
      <c r="AP42" s="32">
        <f t="shared" si="108"/>
        <v>-1</v>
      </c>
      <c r="AQ42" s="31">
        <f>Tercera!AQ42</f>
        <v>0</v>
      </c>
      <c r="AR42" s="32">
        <f t="shared" si="109"/>
        <v>-1</v>
      </c>
      <c r="AS42" s="31">
        <f>Tercera!AS42</f>
        <v>0</v>
      </c>
      <c r="AT42" s="32">
        <f t="shared" si="110"/>
        <v>-1</v>
      </c>
      <c r="AU42" s="31">
        <f>Tercera!AU42</f>
        <v>0</v>
      </c>
      <c r="AV42" s="32">
        <f t="shared" si="111"/>
        <v>-1</v>
      </c>
      <c r="AW42" s="31">
        <f>Tercera!AW42</f>
        <v>0</v>
      </c>
      <c r="AX42" s="32">
        <f t="shared" si="112"/>
        <v>-1</v>
      </c>
      <c r="AY42" s="31">
        <f>Tercera!AY42</f>
        <v>0</v>
      </c>
      <c r="AZ42" s="32">
        <f t="shared" si="113"/>
        <v>-1</v>
      </c>
      <c r="BA42" s="31">
        <f>Tercera!BA42</f>
        <v>0</v>
      </c>
      <c r="BB42" s="32">
        <f t="shared" si="114"/>
        <v>-1</v>
      </c>
      <c r="BC42" s="31">
        <f>Tercera!BC42</f>
        <v>0</v>
      </c>
      <c r="BD42" s="32">
        <f t="shared" si="115"/>
        <v>-1</v>
      </c>
      <c r="BE42" s="31">
        <f>Tercera!BE42</f>
        <v>0</v>
      </c>
      <c r="BF42" s="32">
        <f t="shared" si="116"/>
        <v>-1</v>
      </c>
      <c r="BG42" s="31">
        <f>Tercera!BG42</f>
        <v>0</v>
      </c>
      <c r="BH42" s="32">
        <f t="shared" si="117"/>
        <v>-1</v>
      </c>
      <c r="BI42" s="31">
        <f>Tercera!BI42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Tercera!B43</f>
        <v>0</v>
      </c>
      <c r="C43" s="31">
        <f>Tercera!C43</f>
        <v>0</v>
      </c>
      <c r="D43" s="32">
        <f t="shared" si="89"/>
        <v>-1</v>
      </c>
      <c r="E43" s="31">
        <f>Tercera!E43</f>
        <v>0</v>
      </c>
      <c r="F43" s="32">
        <f t="shared" si="90"/>
        <v>-1</v>
      </c>
      <c r="G43" s="31">
        <f>Tercera!G43</f>
        <v>0</v>
      </c>
      <c r="H43" s="32">
        <f t="shared" si="91"/>
        <v>-1</v>
      </c>
      <c r="I43" s="31">
        <f>Tercera!I43</f>
        <v>0</v>
      </c>
      <c r="J43" s="32">
        <f t="shared" si="92"/>
        <v>-1</v>
      </c>
      <c r="K43" s="31">
        <f>Tercera!K43</f>
        <v>0</v>
      </c>
      <c r="L43" s="32">
        <f t="shared" si="93"/>
        <v>-1</v>
      </c>
      <c r="M43" s="31">
        <f>Tercera!M43</f>
        <v>0</v>
      </c>
      <c r="N43" s="32">
        <f t="shared" si="94"/>
        <v>-1</v>
      </c>
      <c r="O43" s="31">
        <f>Tercera!O43</f>
        <v>0</v>
      </c>
      <c r="P43" s="32">
        <f t="shared" si="95"/>
        <v>-1</v>
      </c>
      <c r="Q43" s="31">
        <f>Tercera!Q43</f>
        <v>0</v>
      </c>
      <c r="R43" s="32">
        <f t="shared" si="96"/>
        <v>-1</v>
      </c>
      <c r="S43" s="31">
        <f>Tercera!S43</f>
        <v>0</v>
      </c>
      <c r="T43" s="32">
        <f t="shared" si="97"/>
        <v>-1</v>
      </c>
      <c r="U43" s="31">
        <f>Tercera!U43</f>
        <v>0</v>
      </c>
      <c r="V43" s="32">
        <f t="shared" si="98"/>
        <v>-1</v>
      </c>
      <c r="W43" s="31">
        <f>Tercera!W43</f>
        <v>0</v>
      </c>
      <c r="X43" s="32">
        <f t="shared" si="99"/>
        <v>-1</v>
      </c>
      <c r="Y43" s="31">
        <f>Tercera!Y43</f>
        <v>0</v>
      </c>
      <c r="Z43" s="32">
        <f t="shared" si="100"/>
        <v>-1</v>
      </c>
      <c r="AA43" s="31">
        <f>Tercera!AA43</f>
        <v>0</v>
      </c>
      <c r="AB43" s="32">
        <f t="shared" si="101"/>
        <v>-1</v>
      </c>
      <c r="AC43" s="31">
        <f>Tercera!AC43</f>
        <v>0</v>
      </c>
      <c r="AD43" s="32">
        <f t="shared" si="102"/>
        <v>-1</v>
      </c>
      <c r="AE43" s="31">
        <f>Tercera!AE43</f>
        <v>0</v>
      </c>
      <c r="AF43" s="32">
        <f t="shared" si="103"/>
        <v>-1</v>
      </c>
      <c r="AG43" s="31">
        <f>Tercera!AG43</f>
        <v>0</v>
      </c>
      <c r="AH43" s="32">
        <f t="shared" si="104"/>
        <v>-1</v>
      </c>
      <c r="AI43" s="31">
        <f>Tercera!AI43</f>
        <v>0</v>
      </c>
      <c r="AJ43" s="32">
        <f t="shared" si="105"/>
        <v>-1</v>
      </c>
      <c r="AK43" s="31">
        <f>Tercera!AK43</f>
        <v>0</v>
      </c>
      <c r="AL43" s="32">
        <f t="shared" si="106"/>
        <v>-1</v>
      </c>
      <c r="AM43" s="31">
        <f>Tercera!AM43</f>
        <v>0</v>
      </c>
      <c r="AN43" s="32">
        <f t="shared" si="107"/>
        <v>-1</v>
      </c>
      <c r="AO43" s="31">
        <f>Tercera!AO43</f>
        <v>0</v>
      </c>
      <c r="AP43" s="32">
        <f t="shared" si="108"/>
        <v>-1</v>
      </c>
      <c r="AQ43" s="31">
        <f>Tercera!AQ43</f>
        <v>0</v>
      </c>
      <c r="AR43" s="32">
        <f t="shared" si="109"/>
        <v>-1</v>
      </c>
      <c r="AS43" s="31">
        <f>Tercera!AS43</f>
        <v>0</v>
      </c>
      <c r="AT43" s="32">
        <f t="shared" si="110"/>
        <v>-1</v>
      </c>
      <c r="AU43" s="31">
        <f>Tercera!AU43</f>
        <v>0</v>
      </c>
      <c r="AV43" s="32">
        <f t="shared" si="111"/>
        <v>-1</v>
      </c>
      <c r="AW43" s="31">
        <f>Tercera!AW43</f>
        <v>0</v>
      </c>
      <c r="AX43" s="32">
        <f t="shared" si="112"/>
        <v>-1</v>
      </c>
      <c r="AY43" s="31">
        <f>Tercera!AY43</f>
        <v>0</v>
      </c>
      <c r="AZ43" s="32">
        <f t="shared" si="113"/>
        <v>-1</v>
      </c>
      <c r="BA43" s="31">
        <f>Tercera!BA43</f>
        <v>0</v>
      </c>
      <c r="BB43" s="32">
        <f t="shared" si="114"/>
        <v>-1</v>
      </c>
      <c r="BC43" s="31">
        <f>Tercera!BC43</f>
        <v>0</v>
      </c>
      <c r="BD43" s="32">
        <f t="shared" si="115"/>
        <v>-1</v>
      </c>
      <c r="BE43" s="31">
        <f>Tercera!BE43</f>
        <v>0</v>
      </c>
      <c r="BF43" s="32">
        <f t="shared" si="116"/>
        <v>-1</v>
      </c>
      <c r="BG43" s="31">
        <f>Tercera!BG43</f>
        <v>0</v>
      </c>
      <c r="BH43" s="32">
        <f t="shared" si="117"/>
        <v>-1</v>
      </c>
      <c r="BI43" s="31">
        <f>Tercera!BI43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Tercera!B44</f>
        <v>0</v>
      </c>
      <c r="C44" s="31">
        <f>Tercera!C44</f>
        <v>0</v>
      </c>
      <c r="D44" s="32">
        <f t="shared" si="89"/>
        <v>-1</v>
      </c>
      <c r="E44" s="31">
        <f>Tercera!E44</f>
        <v>0</v>
      </c>
      <c r="F44" s="32">
        <f t="shared" si="90"/>
        <v>-1</v>
      </c>
      <c r="G44" s="31">
        <f>Tercera!G44</f>
        <v>0</v>
      </c>
      <c r="H44" s="32">
        <f t="shared" si="91"/>
        <v>-1</v>
      </c>
      <c r="I44" s="31">
        <f>Tercera!I44</f>
        <v>0</v>
      </c>
      <c r="J44" s="32">
        <f t="shared" si="92"/>
        <v>-1</v>
      </c>
      <c r="K44" s="31">
        <f>Tercera!K44</f>
        <v>0</v>
      </c>
      <c r="L44" s="32">
        <f t="shared" si="93"/>
        <v>-1</v>
      </c>
      <c r="M44" s="31">
        <f>Tercera!M44</f>
        <v>0</v>
      </c>
      <c r="N44" s="32">
        <f t="shared" si="94"/>
        <v>-1</v>
      </c>
      <c r="O44" s="31">
        <f>Tercera!O44</f>
        <v>0</v>
      </c>
      <c r="P44" s="32">
        <f t="shared" si="95"/>
        <v>-1</v>
      </c>
      <c r="Q44" s="31">
        <f>Tercera!Q44</f>
        <v>0</v>
      </c>
      <c r="R44" s="32">
        <f t="shared" si="96"/>
        <v>-1</v>
      </c>
      <c r="S44" s="31">
        <f>Tercera!S44</f>
        <v>0</v>
      </c>
      <c r="T44" s="32">
        <f t="shared" si="97"/>
        <v>-1</v>
      </c>
      <c r="U44" s="31">
        <f>Tercera!U44</f>
        <v>0</v>
      </c>
      <c r="V44" s="32">
        <f t="shared" si="98"/>
        <v>-1</v>
      </c>
      <c r="W44" s="31">
        <f>Tercera!W44</f>
        <v>0</v>
      </c>
      <c r="X44" s="32">
        <f t="shared" si="99"/>
        <v>-1</v>
      </c>
      <c r="Y44" s="31">
        <f>Tercera!Y44</f>
        <v>0</v>
      </c>
      <c r="Z44" s="32">
        <f t="shared" si="100"/>
        <v>-1</v>
      </c>
      <c r="AA44" s="31">
        <f>Tercera!AA44</f>
        <v>0</v>
      </c>
      <c r="AB44" s="32">
        <f t="shared" si="101"/>
        <v>-1</v>
      </c>
      <c r="AC44" s="31">
        <f>Tercera!AC44</f>
        <v>0</v>
      </c>
      <c r="AD44" s="32">
        <f t="shared" si="102"/>
        <v>-1</v>
      </c>
      <c r="AE44" s="31">
        <f>Tercera!AE44</f>
        <v>0</v>
      </c>
      <c r="AF44" s="32">
        <f t="shared" si="103"/>
        <v>-1</v>
      </c>
      <c r="AG44" s="31">
        <f>Tercera!AG44</f>
        <v>0</v>
      </c>
      <c r="AH44" s="32">
        <f t="shared" si="104"/>
        <v>-1</v>
      </c>
      <c r="AI44" s="31">
        <f>Tercera!AI44</f>
        <v>0</v>
      </c>
      <c r="AJ44" s="32">
        <f t="shared" si="105"/>
        <v>-1</v>
      </c>
      <c r="AK44" s="31">
        <f>Tercera!AK44</f>
        <v>0</v>
      </c>
      <c r="AL44" s="32">
        <f t="shared" si="106"/>
        <v>-1</v>
      </c>
      <c r="AM44" s="31">
        <f>Tercera!AM44</f>
        <v>0</v>
      </c>
      <c r="AN44" s="32">
        <f t="shared" si="107"/>
        <v>-1</v>
      </c>
      <c r="AO44" s="31">
        <f>Tercera!AO44</f>
        <v>0</v>
      </c>
      <c r="AP44" s="32">
        <f t="shared" si="108"/>
        <v>-1</v>
      </c>
      <c r="AQ44" s="31">
        <f>Tercera!AQ44</f>
        <v>0</v>
      </c>
      <c r="AR44" s="32">
        <f t="shared" si="109"/>
        <v>-1</v>
      </c>
      <c r="AS44" s="31">
        <f>Tercera!AS44</f>
        <v>0</v>
      </c>
      <c r="AT44" s="32">
        <f t="shared" si="110"/>
        <v>-1</v>
      </c>
      <c r="AU44" s="31">
        <f>Tercera!AU44</f>
        <v>0</v>
      </c>
      <c r="AV44" s="32">
        <f t="shared" si="111"/>
        <v>-1</v>
      </c>
      <c r="AW44" s="31">
        <f>Tercera!AW44</f>
        <v>0</v>
      </c>
      <c r="AX44" s="32">
        <f t="shared" si="112"/>
        <v>-1</v>
      </c>
      <c r="AY44" s="31">
        <f>Tercera!AY44</f>
        <v>0</v>
      </c>
      <c r="AZ44" s="32">
        <f t="shared" si="113"/>
        <v>-1</v>
      </c>
      <c r="BA44" s="31">
        <f>Tercera!BA44</f>
        <v>0</v>
      </c>
      <c r="BB44" s="32">
        <f t="shared" si="114"/>
        <v>-1</v>
      </c>
      <c r="BC44" s="31">
        <f>Tercera!BC44</f>
        <v>0</v>
      </c>
      <c r="BD44" s="32">
        <f t="shared" si="115"/>
        <v>-1</v>
      </c>
      <c r="BE44" s="31">
        <f>Tercera!BE44</f>
        <v>0</v>
      </c>
      <c r="BF44" s="32">
        <f t="shared" si="116"/>
        <v>-1</v>
      </c>
      <c r="BG44" s="31">
        <f>Tercera!BG44</f>
        <v>0</v>
      </c>
      <c r="BH44" s="32">
        <f t="shared" si="117"/>
        <v>-1</v>
      </c>
      <c r="BI44" s="31">
        <f>Tercera!BI44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Tercera!B45</f>
        <v>0</v>
      </c>
      <c r="C45" s="31">
        <f>Tercera!C45</f>
        <v>0</v>
      </c>
      <c r="D45" s="32">
        <f t="shared" si="89"/>
        <v>-1</v>
      </c>
      <c r="E45" s="31">
        <f>Tercera!E45</f>
        <v>0</v>
      </c>
      <c r="F45" s="32">
        <f t="shared" si="90"/>
        <v>-1</v>
      </c>
      <c r="G45" s="31">
        <f>Tercera!G45</f>
        <v>0</v>
      </c>
      <c r="H45" s="32">
        <f t="shared" si="91"/>
        <v>-1</v>
      </c>
      <c r="I45" s="31">
        <f>Tercera!I45</f>
        <v>0</v>
      </c>
      <c r="J45" s="32">
        <f t="shared" si="92"/>
        <v>-1</v>
      </c>
      <c r="K45" s="31">
        <f>Tercera!K45</f>
        <v>0</v>
      </c>
      <c r="L45" s="32">
        <f t="shared" si="93"/>
        <v>-1</v>
      </c>
      <c r="M45" s="31">
        <f>Tercera!M45</f>
        <v>0</v>
      </c>
      <c r="N45" s="32">
        <f t="shared" si="94"/>
        <v>-1</v>
      </c>
      <c r="O45" s="31">
        <f>Tercera!O45</f>
        <v>0</v>
      </c>
      <c r="P45" s="32">
        <f t="shared" si="95"/>
        <v>-1</v>
      </c>
      <c r="Q45" s="31">
        <f>Tercera!Q45</f>
        <v>0</v>
      </c>
      <c r="R45" s="32">
        <f t="shared" si="96"/>
        <v>-1</v>
      </c>
      <c r="S45" s="31">
        <f>Tercera!S45</f>
        <v>0</v>
      </c>
      <c r="T45" s="32">
        <f t="shared" si="97"/>
        <v>-1</v>
      </c>
      <c r="U45" s="31">
        <f>Tercera!U45</f>
        <v>0</v>
      </c>
      <c r="V45" s="32">
        <f t="shared" si="98"/>
        <v>-1</v>
      </c>
      <c r="W45" s="31">
        <f>Tercera!W45</f>
        <v>0</v>
      </c>
      <c r="X45" s="32">
        <f t="shared" si="99"/>
        <v>-1</v>
      </c>
      <c r="Y45" s="31">
        <f>Tercera!Y45</f>
        <v>0</v>
      </c>
      <c r="Z45" s="32">
        <f t="shared" si="100"/>
        <v>-1</v>
      </c>
      <c r="AA45" s="31">
        <f>Tercera!AA45</f>
        <v>0</v>
      </c>
      <c r="AB45" s="32">
        <f t="shared" si="101"/>
        <v>-1</v>
      </c>
      <c r="AC45" s="31">
        <f>Tercera!AC45</f>
        <v>0</v>
      </c>
      <c r="AD45" s="32">
        <f t="shared" si="102"/>
        <v>-1</v>
      </c>
      <c r="AE45" s="31">
        <f>Tercera!AE45</f>
        <v>0</v>
      </c>
      <c r="AF45" s="32">
        <f t="shared" si="103"/>
        <v>-1</v>
      </c>
      <c r="AG45" s="31">
        <f>Tercera!AG45</f>
        <v>0</v>
      </c>
      <c r="AH45" s="32">
        <f t="shared" si="104"/>
        <v>-1</v>
      </c>
      <c r="AI45" s="31">
        <f>Tercera!AI45</f>
        <v>0</v>
      </c>
      <c r="AJ45" s="32">
        <f t="shared" si="105"/>
        <v>-1</v>
      </c>
      <c r="AK45" s="31">
        <f>Tercera!AK45</f>
        <v>0</v>
      </c>
      <c r="AL45" s="32">
        <f t="shared" si="106"/>
        <v>-1</v>
      </c>
      <c r="AM45" s="31">
        <f>Tercera!AM45</f>
        <v>0</v>
      </c>
      <c r="AN45" s="32">
        <f t="shared" si="107"/>
        <v>-1</v>
      </c>
      <c r="AO45" s="31">
        <f>Tercera!AO45</f>
        <v>0</v>
      </c>
      <c r="AP45" s="32">
        <f t="shared" si="108"/>
        <v>-1</v>
      </c>
      <c r="AQ45" s="31">
        <f>Tercera!AQ45</f>
        <v>0</v>
      </c>
      <c r="AR45" s="32">
        <f t="shared" si="109"/>
        <v>-1</v>
      </c>
      <c r="AS45" s="31">
        <f>Tercera!AS45</f>
        <v>0</v>
      </c>
      <c r="AT45" s="32">
        <f t="shared" si="110"/>
        <v>-1</v>
      </c>
      <c r="AU45" s="31">
        <f>Tercera!AU45</f>
        <v>0</v>
      </c>
      <c r="AV45" s="32">
        <f t="shared" si="111"/>
        <v>-1</v>
      </c>
      <c r="AW45" s="31">
        <f>Tercera!AW45</f>
        <v>0</v>
      </c>
      <c r="AX45" s="32">
        <f t="shared" si="112"/>
        <v>-1</v>
      </c>
      <c r="AY45" s="31">
        <f>Tercera!AY45</f>
        <v>0</v>
      </c>
      <c r="AZ45" s="32">
        <f t="shared" si="113"/>
        <v>-1</v>
      </c>
      <c r="BA45" s="31">
        <f>Tercera!BA45</f>
        <v>0</v>
      </c>
      <c r="BB45" s="32">
        <f t="shared" si="114"/>
        <v>-1</v>
      </c>
      <c r="BC45" s="31">
        <f>Tercera!BC45</f>
        <v>0</v>
      </c>
      <c r="BD45" s="32">
        <f t="shared" si="115"/>
        <v>-1</v>
      </c>
      <c r="BE45" s="31">
        <f>Tercera!BE45</f>
        <v>0</v>
      </c>
      <c r="BF45" s="32">
        <f t="shared" si="116"/>
        <v>-1</v>
      </c>
      <c r="BG45" s="31">
        <f>Tercera!BG45</f>
        <v>0</v>
      </c>
      <c r="BH45" s="32">
        <f t="shared" si="117"/>
        <v>-1</v>
      </c>
      <c r="BI45" s="31">
        <f>Tercera!BI45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Tercera!B46</f>
        <v>0</v>
      </c>
      <c r="C46" s="31">
        <f>Tercera!C46</f>
        <v>0</v>
      </c>
      <c r="D46" s="32">
        <f t="shared" si="89"/>
        <v>-1</v>
      </c>
      <c r="E46" s="31">
        <f>Tercera!E46</f>
        <v>0</v>
      </c>
      <c r="F46" s="32">
        <f t="shared" si="90"/>
        <v>-1</v>
      </c>
      <c r="G46" s="31">
        <f>Tercera!G46</f>
        <v>0</v>
      </c>
      <c r="H46" s="32">
        <f t="shared" si="91"/>
        <v>-1</v>
      </c>
      <c r="I46" s="31">
        <f>Tercera!I46</f>
        <v>0</v>
      </c>
      <c r="J46" s="32">
        <f t="shared" si="92"/>
        <v>-1</v>
      </c>
      <c r="K46" s="31">
        <f>Tercera!K46</f>
        <v>0</v>
      </c>
      <c r="L46" s="32">
        <f t="shared" si="93"/>
        <v>-1</v>
      </c>
      <c r="M46" s="31">
        <f>Tercera!M46</f>
        <v>0</v>
      </c>
      <c r="N46" s="32">
        <f t="shared" si="94"/>
        <v>-1</v>
      </c>
      <c r="O46" s="31">
        <f>Tercera!O46</f>
        <v>0</v>
      </c>
      <c r="P46" s="32">
        <f t="shared" si="95"/>
        <v>-1</v>
      </c>
      <c r="Q46" s="31">
        <f>Tercera!Q46</f>
        <v>0</v>
      </c>
      <c r="R46" s="32">
        <f t="shared" si="96"/>
        <v>-1</v>
      </c>
      <c r="S46" s="31">
        <f>Tercera!S46</f>
        <v>0</v>
      </c>
      <c r="T46" s="32">
        <f t="shared" si="97"/>
        <v>-1</v>
      </c>
      <c r="U46" s="31">
        <f>Tercera!U46</f>
        <v>0</v>
      </c>
      <c r="V46" s="32">
        <f t="shared" si="98"/>
        <v>-1</v>
      </c>
      <c r="W46" s="31">
        <f>Tercera!W46</f>
        <v>0</v>
      </c>
      <c r="X46" s="32">
        <f t="shared" si="99"/>
        <v>-1</v>
      </c>
      <c r="Y46" s="31">
        <f>Tercera!Y46</f>
        <v>0</v>
      </c>
      <c r="Z46" s="32">
        <f t="shared" si="100"/>
        <v>-1</v>
      </c>
      <c r="AA46" s="31">
        <f>Tercera!AA46</f>
        <v>0</v>
      </c>
      <c r="AB46" s="32">
        <f t="shared" si="101"/>
        <v>-1</v>
      </c>
      <c r="AC46" s="31">
        <f>Tercera!AC46</f>
        <v>0</v>
      </c>
      <c r="AD46" s="32">
        <f t="shared" si="102"/>
        <v>-1</v>
      </c>
      <c r="AE46" s="31">
        <f>Tercera!AE46</f>
        <v>0</v>
      </c>
      <c r="AF46" s="32">
        <f t="shared" si="103"/>
        <v>-1</v>
      </c>
      <c r="AG46" s="31">
        <f>Tercera!AG46</f>
        <v>0</v>
      </c>
      <c r="AH46" s="32">
        <f t="shared" si="104"/>
        <v>-1</v>
      </c>
      <c r="AI46" s="31">
        <f>Tercera!AI46</f>
        <v>0</v>
      </c>
      <c r="AJ46" s="32">
        <f t="shared" si="105"/>
        <v>-1</v>
      </c>
      <c r="AK46" s="31">
        <f>Tercera!AK46</f>
        <v>0</v>
      </c>
      <c r="AL46" s="32">
        <f t="shared" si="106"/>
        <v>-1</v>
      </c>
      <c r="AM46" s="31">
        <f>Tercera!AM46</f>
        <v>0</v>
      </c>
      <c r="AN46" s="32">
        <f t="shared" si="107"/>
        <v>-1</v>
      </c>
      <c r="AO46" s="31">
        <f>Tercera!AO46</f>
        <v>0</v>
      </c>
      <c r="AP46" s="32">
        <f t="shared" si="108"/>
        <v>-1</v>
      </c>
      <c r="AQ46" s="31">
        <f>Tercera!AQ46</f>
        <v>0</v>
      </c>
      <c r="AR46" s="32">
        <f t="shared" si="109"/>
        <v>-1</v>
      </c>
      <c r="AS46" s="31">
        <f>Tercera!AS46</f>
        <v>0</v>
      </c>
      <c r="AT46" s="32">
        <f t="shared" si="110"/>
        <v>-1</v>
      </c>
      <c r="AU46" s="31">
        <f>Tercera!AU46</f>
        <v>0</v>
      </c>
      <c r="AV46" s="32">
        <f t="shared" si="111"/>
        <v>-1</v>
      </c>
      <c r="AW46" s="31">
        <f>Tercera!AW46</f>
        <v>0</v>
      </c>
      <c r="AX46" s="32">
        <f t="shared" si="112"/>
        <v>-1</v>
      </c>
      <c r="AY46" s="31">
        <f>Tercera!AY46</f>
        <v>0</v>
      </c>
      <c r="AZ46" s="32">
        <f t="shared" si="113"/>
        <v>-1</v>
      </c>
      <c r="BA46" s="31">
        <f>Tercera!BA46</f>
        <v>0</v>
      </c>
      <c r="BB46" s="32">
        <f t="shared" si="114"/>
        <v>-1</v>
      </c>
      <c r="BC46" s="31">
        <f>Tercera!BC46</f>
        <v>0</v>
      </c>
      <c r="BD46" s="32">
        <f t="shared" si="115"/>
        <v>-1</v>
      </c>
      <c r="BE46" s="31">
        <f>Tercera!BE46</f>
        <v>0</v>
      </c>
      <c r="BF46" s="32">
        <f t="shared" si="116"/>
        <v>-1</v>
      </c>
      <c r="BG46" s="31">
        <f>Tercera!BG46</f>
        <v>0</v>
      </c>
      <c r="BH46" s="32">
        <f t="shared" si="117"/>
        <v>-1</v>
      </c>
      <c r="BI46" s="31">
        <f>Tercera!BI46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Tercera!B47</f>
        <v>0</v>
      </c>
      <c r="C47" s="31">
        <f>Tercera!C47</f>
        <v>0</v>
      </c>
      <c r="D47" s="32">
        <f t="shared" si="89"/>
        <v>-1</v>
      </c>
      <c r="E47" s="31">
        <f>Tercera!E47</f>
        <v>0</v>
      </c>
      <c r="F47" s="32">
        <f t="shared" si="90"/>
        <v>-1</v>
      </c>
      <c r="G47" s="31">
        <f>Tercera!G47</f>
        <v>0</v>
      </c>
      <c r="H47" s="32">
        <f t="shared" si="91"/>
        <v>-1</v>
      </c>
      <c r="I47" s="31">
        <f>Tercera!I47</f>
        <v>0</v>
      </c>
      <c r="J47" s="32">
        <f t="shared" si="92"/>
        <v>-1</v>
      </c>
      <c r="K47" s="31">
        <f>Tercera!K47</f>
        <v>0</v>
      </c>
      <c r="L47" s="32">
        <f t="shared" si="93"/>
        <v>-1</v>
      </c>
      <c r="M47" s="31">
        <f>Tercera!M47</f>
        <v>0</v>
      </c>
      <c r="N47" s="32">
        <f t="shared" si="94"/>
        <v>-1</v>
      </c>
      <c r="O47" s="31">
        <f>Tercera!O47</f>
        <v>0</v>
      </c>
      <c r="P47" s="32">
        <f t="shared" si="95"/>
        <v>-1</v>
      </c>
      <c r="Q47" s="31">
        <f>Tercera!Q47</f>
        <v>0</v>
      </c>
      <c r="R47" s="32">
        <f t="shared" si="96"/>
        <v>-1</v>
      </c>
      <c r="S47" s="31">
        <f>Tercera!S47</f>
        <v>0</v>
      </c>
      <c r="T47" s="32">
        <f t="shared" si="97"/>
        <v>-1</v>
      </c>
      <c r="U47" s="31">
        <f>Tercera!U47</f>
        <v>0</v>
      </c>
      <c r="V47" s="32">
        <f t="shared" si="98"/>
        <v>-1</v>
      </c>
      <c r="W47" s="31">
        <f>Tercera!W47</f>
        <v>0</v>
      </c>
      <c r="X47" s="32">
        <f t="shared" si="99"/>
        <v>-1</v>
      </c>
      <c r="Y47" s="31">
        <f>Tercera!Y47</f>
        <v>0</v>
      </c>
      <c r="Z47" s="32">
        <f t="shared" si="100"/>
        <v>-1</v>
      </c>
      <c r="AA47" s="31">
        <f>Tercera!AA47</f>
        <v>0</v>
      </c>
      <c r="AB47" s="32">
        <f t="shared" si="101"/>
        <v>-1</v>
      </c>
      <c r="AC47" s="31">
        <f>Tercera!AC47</f>
        <v>0</v>
      </c>
      <c r="AD47" s="32">
        <f t="shared" si="102"/>
        <v>-1</v>
      </c>
      <c r="AE47" s="31">
        <f>Tercera!AE47</f>
        <v>0</v>
      </c>
      <c r="AF47" s="32">
        <f t="shared" si="103"/>
        <v>-1</v>
      </c>
      <c r="AG47" s="31">
        <f>Tercera!AG47</f>
        <v>0</v>
      </c>
      <c r="AH47" s="32">
        <f t="shared" si="104"/>
        <v>-1</v>
      </c>
      <c r="AI47" s="31">
        <f>Tercera!AI47</f>
        <v>0</v>
      </c>
      <c r="AJ47" s="32">
        <f t="shared" si="105"/>
        <v>-1</v>
      </c>
      <c r="AK47" s="31">
        <f>Tercera!AK47</f>
        <v>0</v>
      </c>
      <c r="AL47" s="32">
        <f t="shared" si="106"/>
        <v>-1</v>
      </c>
      <c r="AM47" s="31">
        <f>Tercera!AM47</f>
        <v>0</v>
      </c>
      <c r="AN47" s="32">
        <f t="shared" si="107"/>
        <v>-1</v>
      </c>
      <c r="AO47" s="31">
        <f>Tercera!AO47</f>
        <v>0</v>
      </c>
      <c r="AP47" s="32">
        <f t="shared" si="108"/>
        <v>-1</v>
      </c>
      <c r="AQ47" s="31">
        <f>Tercera!AQ47</f>
        <v>0</v>
      </c>
      <c r="AR47" s="32">
        <f t="shared" si="109"/>
        <v>-1</v>
      </c>
      <c r="AS47" s="31">
        <f>Tercera!AS47</f>
        <v>0</v>
      </c>
      <c r="AT47" s="32">
        <f t="shared" si="110"/>
        <v>-1</v>
      </c>
      <c r="AU47" s="31">
        <f>Tercera!AU47</f>
        <v>0</v>
      </c>
      <c r="AV47" s="32">
        <f t="shared" si="111"/>
        <v>-1</v>
      </c>
      <c r="AW47" s="31">
        <f>Tercera!AW47</f>
        <v>0</v>
      </c>
      <c r="AX47" s="32">
        <f t="shared" si="112"/>
        <v>-1</v>
      </c>
      <c r="AY47" s="31">
        <f>Tercera!AY47</f>
        <v>0</v>
      </c>
      <c r="AZ47" s="32">
        <f t="shared" si="113"/>
        <v>-1</v>
      </c>
      <c r="BA47" s="31">
        <f>Tercera!BA47</f>
        <v>0</v>
      </c>
      <c r="BB47" s="32">
        <f t="shared" si="114"/>
        <v>-1</v>
      </c>
      <c r="BC47" s="31">
        <f>Tercera!BC47</f>
        <v>0</v>
      </c>
      <c r="BD47" s="32">
        <f t="shared" si="115"/>
        <v>-1</v>
      </c>
      <c r="BE47" s="31">
        <f>Tercera!BE47</f>
        <v>0</v>
      </c>
      <c r="BF47" s="32">
        <f t="shared" si="116"/>
        <v>-1</v>
      </c>
      <c r="BG47" s="31">
        <f>Tercera!BG47</f>
        <v>0</v>
      </c>
      <c r="BH47" s="32">
        <f t="shared" si="117"/>
        <v>-1</v>
      </c>
      <c r="BI47" s="31">
        <f>Tercera!BI47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Tercera!B48</f>
        <v>0</v>
      </c>
      <c r="C48" s="31">
        <f>Tercera!C48</f>
        <v>0</v>
      </c>
      <c r="D48" s="32">
        <f t="shared" si="89"/>
        <v>-1</v>
      </c>
      <c r="E48" s="31">
        <f>Tercera!E48</f>
        <v>0</v>
      </c>
      <c r="F48" s="32">
        <f t="shared" si="90"/>
        <v>-1</v>
      </c>
      <c r="G48" s="31">
        <f>Tercera!G48</f>
        <v>0</v>
      </c>
      <c r="H48" s="32">
        <f t="shared" si="91"/>
        <v>-1</v>
      </c>
      <c r="I48" s="31">
        <f>Tercera!I48</f>
        <v>0</v>
      </c>
      <c r="J48" s="32">
        <f t="shared" si="92"/>
        <v>-1</v>
      </c>
      <c r="K48" s="31">
        <f>Tercera!K48</f>
        <v>0</v>
      </c>
      <c r="L48" s="32">
        <f t="shared" si="93"/>
        <v>-1</v>
      </c>
      <c r="M48" s="31">
        <f>Tercera!M48</f>
        <v>0</v>
      </c>
      <c r="N48" s="32">
        <f t="shared" si="94"/>
        <v>-1</v>
      </c>
      <c r="O48" s="31">
        <f>Tercera!O48</f>
        <v>0</v>
      </c>
      <c r="P48" s="32">
        <f t="shared" si="95"/>
        <v>-1</v>
      </c>
      <c r="Q48" s="31">
        <f>Tercera!Q48</f>
        <v>0</v>
      </c>
      <c r="R48" s="32">
        <f t="shared" si="96"/>
        <v>-1</v>
      </c>
      <c r="S48" s="31">
        <f>Tercera!S48</f>
        <v>0</v>
      </c>
      <c r="T48" s="32">
        <f t="shared" si="97"/>
        <v>-1</v>
      </c>
      <c r="U48" s="31">
        <f>Tercera!U48</f>
        <v>0</v>
      </c>
      <c r="V48" s="32">
        <f t="shared" si="98"/>
        <v>-1</v>
      </c>
      <c r="W48" s="31">
        <f>Tercera!W48</f>
        <v>0</v>
      </c>
      <c r="X48" s="32">
        <f t="shared" si="99"/>
        <v>-1</v>
      </c>
      <c r="Y48" s="31">
        <f>Tercera!Y48</f>
        <v>0</v>
      </c>
      <c r="Z48" s="32">
        <f t="shared" si="100"/>
        <v>-1</v>
      </c>
      <c r="AA48" s="31">
        <f>Tercera!AA48</f>
        <v>0</v>
      </c>
      <c r="AB48" s="32">
        <f t="shared" si="101"/>
        <v>-1</v>
      </c>
      <c r="AC48" s="31">
        <f>Tercera!AC48</f>
        <v>0</v>
      </c>
      <c r="AD48" s="32">
        <f t="shared" si="102"/>
        <v>-1</v>
      </c>
      <c r="AE48" s="31">
        <f>Tercera!AE48</f>
        <v>0</v>
      </c>
      <c r="AF48" s="32">
        <f t="shared" si="103"/>
        <v>-1</v>
      </c>
      <c r="AG48" s="31">
        <f>Tercera!AG48</f>
        <v>0</v>
      </c>
      <c r="AH48" s="32">
        <f t="shared" si="104"/>
        <v>-1</v>
      </c>
      <c r="AI48" s="31">
        <f>Tercera!AI48</f>
        <v>0</v>
      </c>
      <c r="AJ48" s="32">
        <f t="shared" si="105"/>
        <v>-1</v>
      </c>
      <c r="AK48" s="31">
        <f>Tercera!AK48</f>
        <v>0</v>
      </c>
      <c r="AL48" s="32">
        <f t="shared" si="106"/>
        <v>-1</v>
      </c>
      <c r="AM48" s="31">
        <f>Tercera!AM48</f>
        <v>0</v>
      </c>
      <c r="AN48" s="32">
        <f t="shared" si="107"/>
        <v>-1</v>
      </c>
      <c r="AO48" s="31">
        <f>Tercera!AO48</f>
        <v>0</v>
      </c>
      <c r="AP48" s="32">
        <f t="shared" si="108"/>
        <v>-1</v>
      </c>
      <c r="AQ48" s="31">
        <f>Tercera!AQ48</f>
        <v>0</v>
      </c>
      <c r="AR48" s="32">
        <f t="shared" si="109"/>
        <v>-1</v>
      </c>
      <c r="AS48" s="31">
        <f>Tercera!AS48</f>
        <v>0</v>
      </c>
      <c r="AT48" s="32">
        <f t="shared" si="110"/>
        <v>-1</v>
      </c>
      <c r="AU48" s="31">
        <f>Tercera!AU48</f>
        <v>0</v>
      </c>
      <c r="AV48" s="32">
        <f t="shared" si="111"/>
        <v>-1</v>
      </c>
      <c r="AW48" s="31">
        <f>Tercera!AW48</f>
        <v>0</v>
      </c>
      <c r="AX48" s="32">
        <f t="shared" si="112"/>
        <v>-1</v>
      </c>
      <c r="AY48" s="31">
        <f>Tercera!AY48</f>
        <v>0</v>
      </c>
      <c r="AZ48" s="32">
        <f t="shared" si="113"/>
        <v>-1</v>
      </c>
      <c r="BA48" s="31">
        <f>Tercera!BA48</f>
        <v>0</v>
      </c>
      <c r="BB48" s="32">
        <f t="shared" si="114"/>
        <v>-1</v>
      </c>
      <c r="BC48" s="31">
        <f>Tercera!BC48</f>
        <v>0</v>
      </c>
      <c r="BD48" s="32">
        <f t="shared" si="115"/>
        <v>-1</v>
      </c>
      <c r="BE48" s="31">
        <f>Tercera!BE48</f>
        <v>0</v>
      </c>
      <c r="BF48" s="32">
        <f t="shared" si="116"/>
        <v>-1</v>
      </c>
      <c r="BG48" s="31">
        <f>Tercera!BG48</f>
        <v>0</v>
      </c>
      <c r="BH48" s="32">
        <f t="shared" si="117"/>
        <v>-1</v>
      </c>
      <c r="BI48" s="31">
        <f>Tercera!BI48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Tercera!B49</f>
        <v>0</v>
      </c>
      <c r="C49" s="31">
        <f>Tercera!C49</f>
        <v>0</v>
      </c>
      <c r="D49" s="32">
        <f t="shared" si="89"/>
        <v>-1</v>
      </c>
      <c r="E49" s="31">
        <f>Tercera!E49</f>
        <v>0</v>
      </c>
      <c r="F49" s="32">
        <f t="shared" si="90"/>
        <v>-1</v>
      </c>
      <c r="G49" s="31">
        <f>Tercera!G49</f>
        <v>0</v>
      </c>
      <c r="H49" s="32">
        <f t="shared" si="91"/>
        <v>-1</v>
      </c>
      <c r="I49" s="31">
        <f>Tercera!I49</f>
        <v>0</v>
      </c>
      <c r="J49" s="32">
        <f t="shared" si="92"/>
        <v>-1</v>
      </c>
      <c r="K49" s="31">
        <f>Tercera!K49</f>
        <v>0</v>
      </c>
      <c r="L49" s="32">
        <f t="shared" si="93"/>
        <v>-1</v>
      </c>
      <c r="M49" s="31">
        <f>Tercera!M49</f>
        <v>0</v>
      </c>
      <c r="N49" s="32">
        <f t="shared" si="94"/>
        <v>-1</v>
      </c>
      <c r="O49" s="31">
        <f>Tercera!O49</f>
        <v>0</v>
      </c>
      <c r="P49" s="32">
        <f t="shared" si="95"/>
        <v>-1</v>
      </c>
      <c r="Q49" s="31">
        <f>Tercera!Q49</f>
        <v>0</v>
      </c>
      <c r="R49" s="32">
        <f t="shared" si="96"/>
        <v>-1</v>
      </c>
      <c r="S49" s="31">
        <f>Tercera!S49</f>
        <v>0</v>
      </c>
      <c r="T49" s="32">
        <f t="shared" si="97"/>
        <v>-1</v>
      </c>
      <c r="U49" s="31">
        <f>Tercera!U49</f>
        <v>0</v>
      </c>
      <c r="V49" s="32">
        <f t="shared" si="98"/>
        <v>-1</v>
      </c>
      <c r="W49" s="31">
        <f>Tercera!W49</f>
        <v>0</v>
      </c>
      <c r="X49" s="32">
        <f t="shared" si="99"/>
        <v>-1</v>
      </c>
      <c r="Y49" s="31">
        <f>Tercera!Y49</f>
        <v>0</v>
      </c>
      <c r="Z49" s="32">
        <f t="shared" si="100"/>
        <v>-1</v>
      </c>
      <c r="AA49" s="31">
        <f>Tercera!AA49</f>
        <v>0</v>
      </c>
      <c r="AB49" s="32">
        <f t="shared" si="101"/>
        <v>-1</v>
      </c>
      <c r="AC49" s="31">
        <f>Tercera!AC49</f>
        <v>0</v>
      </c>
      <c r="AD49" s="32">
        <f t="shared" si="102"/>
        <v>-1</v>
      </c>
      <c r="AE49" s="31">
        <f>Tercera!AE49</f>
        <v>0</v>
      </c>
      <c r="AF49" s="32">
        <f t="shared" si="103"/>
        <v>-1</v>
      </c>
      <c r="AG49" s="31">
        <f>Tercera!AG49</f>
        <v>0</v>
      </c>
      <c r="AH49" s="32">
        <f t="shared" si="104"/>
        <v>-1</v>
      </c>
      <c r="AI49" s="31">
        <f>Tercera!AI49</f>
        <v>0</v>
      </c>
      <c r="AJ49" s="32">
        <f t="shared" si="105"/>
        <v>-1</v>
      </c>
      <c r="AK49" s="31">
        <f>Tercera!AK49</f>
        <v>0</v>
      </c>
      <c r="AL49" s="32">
        <f t="shared" si="106"/>
        <v>-1</v>
      </c>
      <c r="AM49" s="31">
        <f>Tercera!AM49</f>
        <v>0</v>
      </c>
      <c r="AN49" s="32">
        <f t="shared" si="107"/>
        <v>-1</v>
      </c>
      <c r="AO49" s="31">
        <f>Tercera!AO49</f>
        <v>0</v>
      </c>
      <c r="AP49" s="32">
        <f t="shared" si="108"/>
        <v>-1</v>
      </c>
      <c r="AQ49" s="31">
        <f>Tercera!AQ49</f>
        <v>0</v>
      </c>
      <c r="AR49" s="32">
        <f t="shared" si="109"/>
        <v>-1</v>
      </c>
      <c r="AS49" s="31">
        <f>Tercera!AS49</f>
        <v>0</v>
      </c>
      <c r="AT49" s="32">
        <f t="shared" si="110"/>
        <v>-1</v>
      </c>
      <c r="AU49" s="31">
        <f>Tercera!AU49</f>
        <v>0</v>
      </c>
      <c r="AV49" s="32">
        <f t="shared" si="111"/>
        <v>-1</v>
      </c>
      <c r="AW49" s="31">
        <f>Tercera!AW49</f>
        <v>0</v>
      </c>
      <c r="AX49" s="32">
        <f t="shared" si="112"/>
        <v>-1</v>
      </c>
      <c r="AY49" s="31">
        <f>Tercera!AY49</f>
        <v>0</v>
      </c>
      <c r="AZ49" s="32">
        <f t="shared" si="113"/>
        <v>-1</v>
      </c>
      <c r="BA49" s="31">
        <f>Tercera!BA49</f>
        <v>0</v>
      </c>
      <c r="BB49" s="32">
        <f t="shared" si="114"/>
        <v>-1</v>
      </c>
      <c r="BC49" s="31">
        <f>Tercera!BC49</f>
        <v>0</v>
      </c>
      <c r="BD49" s="32">
        <f t="shared" si="115"/>
        <v>-1</v>
      </c>
      <c r="BE49" s="31">
        <f>Tercera!BE49</f>
        <v>0</v>
      </c>
      <c r="BF49" s="32">
        <f t="shared" si="116"/>
        <v>-1</v>
      </c>
      <c r="BG49" s="31">
        <f>Tercera!BG49</f>
        <v>0</v>
      </c>
      <c r="BH49" s="32">
        <f t="shared" si="117"/>
        <v>-1</v>
      </c>
      <c r="BI49" s="31">
        <f>Tercera!BI49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Tercera!B50</f>
        <v>0</v>
      </c>
      <c r="C50" s="31">
        <f>Tercera!C50</f>
        <v>0</v>
      </c>
      <c r="D50" s="32">
        <f t="shared" si="89"/>
        <v>-1</v>
      </c>
      <c r="E50" s="31">
        <f>Tercera!E50</f>
        <v>0</v>
      </c>
      <c r="F50" s="32">
        <f t="shared" si="90"/>
        <v>-1</v>
      </c>
      <c r="G50" s="31">
        <f>Tercera!G50</f>
        <v>0</v>
      </c>
      <c r="H50" s="32">
        <f t="shared" si="91"/>
        <v>-1</v>
      </c>
      <c r="I50" s="31">
        <f>Tercera!I50</f>
        <v>0</v>
      </c>
      <c r="J50" s="32">
        <f t="shared" si="92"/>
        <v>-1</v>
      </c>
      <c r="K50" s="31">
        <f>Tercera!K50</f>
        <v>0</v>
      </c>
      <c r="L50" s="32">
        <f t="shared" si="93"/>
        <v>-1</v>
      </c>
      <c r="M50" s="31">
        <f>Tercera!M50</f>
        <v>0</v>
      </c>
      <c r="N50" s="32">
        <f t="shared" si="94"/>
        <v>-1</v>
      </c>
      <c r="O50" s="31">
        <f>Tercera!O50</f>
        <v>0</v>
      </c>
      <c r="P50" s="32">
        <f t="shared" si="95"/>
        <v>-1</v>
      </c>
      <c r="Q50" s="31">
        <f>Tercera!Q50</f>
        <v>0</v>
      </c>
      <c r="R50" s="32">
        <f t="shared" si="96"/>
        <v>-1</v>
      </c>
      <c r="S50" s="31">
        <f>Tercera!S50</f>
        <v>0</v>
      </c>
      <c r="T50" s="32">
        <f t="shared" si="97"/>
        <v>-1</v>
      </c>
      <c r="U50" s="31">
        <f>Tercera!U50</f>
        <v>0</v>
      </c>
      <c r="V50" s="32">
        <f t="shared" si="98"/>
        <v>-1</v>
      </c>
      <c r="W50" s="31">
        <f>Tercera!W50</f>
        <v>0</v>
      </c>
      <c r="X50" s="32">
        <f t="shared" si="99"/>
        <v>-1</v>
      </c>
      <c r="Y50" s="31">
        <f>Tercera!Y50</f>
        <v>0</v>
      </c>
      <c r="Z50" s="32">
        <f t="shared" si="100"/>
        <v>-1</v>
      </c>
      <c r="AA50" s="31">
        <f>Tercera!AA50</f>
        <v>0</v>
      </c>
      <c r="AB50" s="32">
        <f t="shared" si="101"/>
        <v>-1</v>
      </c>
      <c r="AC50" s="31">
        <f>Tercera!AC50</f>
        <v>0</v>
      </c>
      <c r="AD50" s="32">
        <f t="shared" si="102"/>
        <v>-1</v>
      </c>
      <c r="AE50" s="31">
        <f>Tercera!AE50</f>
        <v>0</v>
      </c>
      <c r="AF50" s="32">
        <f t="shared" si="103"/>
        <v>-1</v>
      </c>
      <c r="AG50" s="31">
        <f>Tercera!AG50</f>
        <v>0</v>
      </c>
      <c r="AH50" s="32">
        <f t="shared" si="104"/>
        <v>-1</v>
      </c>
      <c r="AI50" s="31">
        <f>Tercera!AI50</f>
        <v>0</v>
      </c>
      <c r="AJ50" s="32">
        <f t="shared" si="105"/>
        <v>-1</v>
      </c>
      <c r="AK50" s="31">
        <f>Tercera!AK50</f>
        <v>0</v>
      </c>
      <c r="AL50" s="32">
        <f t="shared" si="106"/>
        <v>-1</v>
      </c>
      <c r="AM50" s="31">
        <f>Tercera!AM50</f>
        <v>0</v>
      </c>
      <c r="AN50" s="32">
        <f t="shared" si="107"/>
        <v>-1</v>
      </c>
      <c r="AO50" s="31">
        <f>Tercera!AO50</f>
        <v>0</v>
      </c>
      <c r="AP50" s="32">
        <f t="shared" si="108"/>
        <v>-1</v>
      </c>
      <c r="AQ50" s="31">
        <f>Tercera!AQ50</f>
        <v>0</v>
      </c>
      <c r="AR50" s="32">
        <f t="shared" si="109"/>
        <v>-1</v>
      </c>
      <c r="AS50" s="31">
        <f>Tercera!AS50</f>
        <v>0</v>
      </c>
      <c r="AT50" s="32">
        <f t="shared" si="110"/>
        <v>-1</v>
      </c>
      <c r="AU50" s="31">
        <f>Tercera!AU50</f>
        <v>0</v>
      </c>
      <c r="AV50" s="32">
        <f t="shared" si="111"/>
        <v>-1</v>
      </c>
      <c r="AW50" s="31">
        <f>Tercera!AW50</f>
        <v>0</v>
      </c>
      <c r="AX50" s="32">
        <f t="shared" si="112"/>
        <v>-1</v>
      </c>
      <c r="AY50" s="31">
        <f>Tercera!AY50</f>
        <v>0</v>
      </c>
      <c r="AZ50" s="32">
        <f t="shared" si="113"/>
        <v>-1</v>
      </c>
      <c r="BA50" s="31">
        <f>Tercera!BA50</f>
        <v>0</v>
      </c>
      <c r="BB50" s="32">
        <f t="shared" si="114"/>
        <v>-1</v>
      </c>
      <c r="BC50" s="31">
        <f>Tercera!BC50</f>
        <v>0</v>
      </c>
      <c r="BD50" s="32">
        <f t="shared" si="115"/>
        <v>-1</v>
      </c>
      <c r="BE50" s="31">
        <f>Tercera!BE50</f>
        <v>0</v>
      </c>
      <c r="BF50" s="32">
        <f t="shared" si="116"/>
        <v>-1</v>
      </c>
      <c r="BG50" s="31">
        <f>Tercera!BG50</f>
        <v>0</v>
      </c>
      <c r="BH50" s="32">
        <f t="shared" si="117"/>
        <v>-1</v>
      </c>
      <c r="BI50" s="31">
        <f>Tercera!BI50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Tercera!B51</f>
        <v>0</v>
      </c>
      <c r="C51" s="31">
        <f>Tercera!C51</f>
        <v>0</v>
      </c>
      <c r="D51" s="32">
        <f t="shared" si="89"/>
        <v>-1</v>
      </c>
      <c r="E51" s="31">
        <f>Tercera!E51</f>
        <v>0</v>
      </c>
      <c r="F51" s="32">
        <f t="shared" si="90"/>
        <v>-1</v>
      </c>
      <c r="G51" s="31">
        <f>Tercera!G51</f>
        <v>0</v>
      </c>
      <c r="H51" s="32">
        <f t="shared" si="91"/>
        <v>-1</v>
      </c>
      <c r="I51" s="31">
        <f>Tercera!I51</f>
        <v>0</v>
      </c>
      <c r="J51" s="32">
        <f t="shared" si="92"/>
        <v>-1</v>
      </c>
      <c r="K51" s="31">
        <f>Tercera!K51</f>
        <v>0</v>
      </c>
      <c r="L51" s="32">
        <f t="shared" si="93"/>
        <v>-1</v>
      </c>
      <c r="M51" s="31">
        <f>Tercera!M51</f>
        <v>0</v>
      </c>
      <c r="N51" s="32">
        <f t="shared" si="94"/>
        <v>-1</v>
      </c>
      <c r="O51" s="31">
        <f>Tercera!O51</f>
        <v>0</v>
      </c>
      <c r="P51" s="32">
        <f t="shared" si="95"/>
        <v>-1</v>
      </c>
      <c r="Q51" s="31">
        <f>Tercera!Q51</f>
        <v>0</v>
      </c>
      <c r="R51" s="32">
        <f t="shared" si="96"/>
        <v>-1</v>
      </c>
      <c r="S51" s="31">
        <f>Tercera!S51</f>
        <v>0</v>
      </c>
      <c r="T51" s="32">
        <f t="shared" si="97"/>
        <v>-1</v>
      </c>
      <c r="U51" s="31">
        <f>Tercera!U51</f>
        <v>0</v>
      </c>
      <c r="V51" s="32">
        <f t="shared" si="98"/>
        <v>-1</v>
      </c>
      <c r="W51" s="31">
        <f>Tercera!W51</f>
        <v>0</v>
      </c>
      <c r="X51" s="32">
        <f t="shared" si="99"/>
        <v>-1</v>
      </c>
      <c r="Y51" s="31">
        <f>Tercera!Y51</f>
        <v>0</v>
      </c>
      <c r="Z51" s="32">
        <f t="shared" si="100"/>
        <v>-1</v>
      </c>
      <c r="AA51" s="31">
        <f>Tercera!AA51</f>
        <v>0</v>
      </c>
      <c r="AB51" s="32">
        <f t="shared" si="101"/>
        <v>-1</v>
      </c>
      <c r="AC51" s="31">
        <f>Tercera!AC51</f>
        <v>0</v>
      </c>
      <c r="AD51" s="32">
        <f t="shared" si="102"/>
        <v>-1</v>
      </c>
      <c r="AE51" s="31">
        <f>Tercera!AE51</f>
        <v>0</v>
      </c>
      <c r="AF51" s="32">
        <f t="shared" si="103"/>
        <v>-1</v>
      </c>
      <c r="AG51" s="31">
        <f>Tercera!AG51</f>
        <v>0</v>
      </c>
      <c r="AH51" s="32">
        <f t="shared" si="104"/>
        <v>-1</v>
      </c>
      <c r="AI51" s="31">
        <f>Tercera!AI51</f>
        <v>0</v>
      </c>
      <c r="AJ51" s="32">
        <f t="shared" si="105"/>
        <v>-1</v>
      </c>
      <c r="AK51" s="31">
        <f>Tercera!AK51</f>
        <v>0</v>
      </c>
      <c r="AL51" s="32">
        <f t="shared" si="106"/>
        <v>-1</v>
      </c>
      <c r="AM51" s="31">
        <f>Tercera!AM51</f>
        <v>0</v>
      </c>
      <c r="AN51" s="32">
        <f t="shared" si="107"/>
        <v>-1</v>
      </c>
      <c r="AO51" s="31">
        <f>Tercera!AO51</f>
        <v>0</v>
      </c>
      <c r="AP51" s="32">
        <f t="shared" si="108"/>
        <v>-1</v>
      </c>
      <c r="AQ51" s="31">
        <f>Tercera!AQ51</f>
        <v>0</v>
      </c>
      <c r="AR51" s="32">
        <f t="shared" si="109"/>
        <v>-1</v>
      </c>
      <c r="AS51" s="31">
        <f>Tercera!AS51</f>
        <v>0</v>
      </c>
      <c r="AT51" s="32">
        <f t="shared" si="110"/>
        <v>-1</v>
      </c>
      <c r="AU51" s="31">
        <f>Tercera!AU51</f>
        <v>0</v>
      </c>
      <c r="AV51" s="32">
        <f t="shared" si="111"/>
        <v>-1</v>
      </c>
      <c r="AW51" s="31">
        <f>Tercera!AW51</f>
        <v>0</v>
      </c>
      <c r="AX51" s="32">
        <f t="shared" si="112"/>
        <v>-1</v>
      </c>
      <c r="AY51" s="31">
        <f>Tercera!AY51</f>
        <v>0</v>
      </c>
      <c r="AZ51" s="32">
        <f t="shared" si="113"/>
        <v>-1</v>
      </c>
      <c r="BA51" s="31">
        <f>Tercera!BA51</f>
        <v>0</v>
      </c>
      <c r="BB51" s="32">
        <f t="shared" si="114"/>
        <v>-1</v>
      </c>
      <c r="BC51" s="31">
        <f>Tercera!BC51</f>
        <v>0</v>
      </c>
      <c r="BD51" s="32">
        <f t="shared" si="115"/>
        <v>-1</v>
      </c>
      <c r="BE51" s="31">
        <f>Tercera!BE51</f>
        <v>0</v>
      </c>
      <c r="BF51" s="32">
        <f t="shared" si="116"/>
        <v>-1</v>
      </c>
      <c r="BG51" s="31">
        <f>Tercera!BG51</f>
        <v>0</v>
      </c>
      <c r="BH51" s="32">
        <f t="shared" si="117"/>
        <v>-1</v>
      </c>
      <c r="BI51" s="31">
        <f>Tercera!BI51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Tercera!B52</f>
        <v>0</v>
      </c>
      <c r="C52" s="31">
        <f>Tercera!C52</f>
        <v>0</v>
      </c>
      <c r="D52" s="32">
        <f t="shared" si="89"/>
        <v>-1</v>
      </c>
      <c r="E52" s="31">
        <f>Tercera!E52</f>
        <v>0</v>
      </c>
      <c r="F52" s="32">
        <f t="shared" si="90"/>
        <v>-1</v>
      </c>
      <c r="G52" s="31">
        <f>Tercera!G52</f>
        <v>0</v>
      </c>
      <c r="H52" s="32">
        <f t="shared" si="91"/>
        <v>-1</v>
      </c>
      <c r="I52" s="31">
        <f>Tercera!I52</f>
        <v>0</v>
      </c>
      <c r="J52" s="32">
        <f t="shared" si="92"/>
        <v>-1</v>
      </c>
      <c r="K52" s="31">
        <f>Tercera!K52</f>
        <v>0</v>
      </c>
      <c r="L52" s="32">
        <f t="shared" si="93"/>
        <v>-1</v>
      </c>
      <c r="M52" s="31">
        <f>Tercera!M52</f>
        <v>0</v>
      </c>
      <c r="N52" s="32">
        <f t="shared" si="94"/>
        <v>-1</v>
      </c>
      <c r="O52" s="31">
        <f>Tercera!O52</f>
        <v>0</v>
      </c>
      <c r="P52" s="32">
        <f t="shared" si="95"/>
        <v>-1</v>
      </c>
      <c r="Q52" s="31">
        <f>Tercera!Q52</f>
        <v>0</v>
      </c>
      <c r="R52" s="32">
        <f t="shared" si="96"/>
        <v>-1</v>
      </c>
      <c r="S52" s="31">
        <f>Tercera!S52</f>
        <v>0</v>
      </c>
      <c r="T52" s="32">
        <f t="shared" si="97"/>
        <v>-1</v>
      </c>
      <c r="U52" s="31">
        <f>Tercera!U52</f>
        <v>0</v>
      </c>
      <c r="V52" s="32">
        <f t="shared" si="98"/>
        <v>-1</v>
      </c>
      <c r="W52" s="31">
        <f>Tercera!W52</f>
        <v>0</v>
      </c>
      <c r="X52" s="32">
        <f t="shared" si="99"/>
        <v>-1</v>
      </c>
      <c r="Y52" s="31">
        <f>Tercera!Y52</f>
        <v>0</v>
      </c>
      <c r="Z52" s="32">
        <f t="shared" si="100"/>
        <v>-1</v>
      </c>
      <c r="AA52" s="31">
        <f>Tercera!AA52</f>
        <v>0</v>
      </c>
      <c r="AB52" s="32">
        <f t="shared" si="101"/>
        <v>-1</v>
      </c>
      <c r="AC52" s="31">
        <f>Tercera!AC52</f>
        <v>0</v>
      </c>
      <c r="AD52" s="32">
        <f t="shared" si="102"/>
        <v>-1</v>
      </c>
      <c r="AE52" s="31">
        <f>Tercera!AE52</f>
        <v>0</v>
      </c>
      <c r="AF52" s="32">
        <f t="shared" si="103"/>
        <v>-1</v>
      </c>
      <c r="AG52" s="31">
        <f>Tercera!AG52</f>
        <v>0</v>
      </c>
      <c r="AH52" s="32">
        <f t="shared" si="104"/>
        <v>-1</v>
      </c>
      <c r="AI52" s="31">
        <f>Tercera!AI52</f>
        <v>0</v>
      </c>
      <c r="AJ52" s="32">
        <f t="shared" si="105"/>
        <v>-1</v>
      </c>
      <c r="AK52" s="31">
        <f>Tercera!AK52</f>
        <v>0</v>
      </c>
      <c r="AL52" s="32">
        <f t="shared" si="106"/>
        <v>-1</v>
      </c>
      <c r="AM52" s="31">
        <f>Tercera!AM52</f>
        <v>0</v>
      </c>
      <c r="AN52" s="32">
        <f t="shared" si="107"/>
        <v>-1</v>
      </c>
      <c r="AO52" s="31">
        <f>Tercera!AO52</f>
        <v>0</v>
      </c>
      <c r="AP52" s="32">
        <f t="shared" si="108"/>
        <v>-1</v>
      </c>
      <c r="AQ52" s="31">
        <f>Tercera!AQ52</f>
        <v>0</v>
      </c>
      <c r="AR52" s="32">
        <f t="shared" si="109"/>
        <v>-1</v>
      </c>
      <c r="AS52" s="31">
        <f>Tercera!AS52</f>
        <v>0</v>
      </c>
      <c r="AT52" s="32">
        <f t="shared" si="110"/>
        <v>-1</v>
      </c>
      <c r="AU52" s="31">
        <f>Tercera!AU52</f>
        <v>0</v>
      </c>
      <c r="AV52" s="32">
        <f t="shared" si="111"/>
        <v>-1</v>
      </c>
      <c r="AW52" s="31">
        <f>Tercera!AW52</f>
        <v>0</v>
      </c>
      <c r="AX52" s="32">
        <f t="shared" si="112"/>
        <v>-1</v>
      </c>
      <c r="AY52" s="31">
        <f>Tercera!AY52</f>
        <v>0</v>
      </c>
      <c r="AZ52" s="32">
        <f t="shared" si="113"/>
        <v>-1</v>
      </c>
      <c r="BA52" s="31">
        <f>Tercera!BA52</f>
        <v>0</v>
      </c>
      <c r="BB52" s="32">
        <f t="shared" si="114"/>
        <v>-1</v>
      </c>
      <c r="BC52" s="31">
        <f>Tercera!BC52</f>
        <v>0</v>
      </c>
      <c r="BD52" s="32">
        <f t="shared" si="115"/>
        <v>-1</v>
      </c>
      <c r="BE52" s="31">
        <f>Tercera!BE52</f>
        <v>0</v>
      </c>
      <c r="BF52" s="32">
        <f t="shared" si="116"/>
        <v>-1</v>
      </c>
      <c r="BG52" s="31">
        <f>Tercera!BG52</f>
        <v>0</v>
      </c>
      <c r="BH52" s="32">
        <f t="shared" si="117"/>
        <v>-1</v>
      </c>
      <c r="BI52" s="31">
        <f>Tercera!BI52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Tercera!B53</f>
        <v>0</v>
      </c>
      <c r="C53" s="31">
        <f>Tercera!C53</f>
        <v>0</v>
      </c>
      <c r="D53" s="32">
        <f t="shared" si="89"/>
        <v>-1</v>
      </c>
      <c r="E53" s="31">
        <f>Tercera!E53</f>
        <v>0</v>
      </c>
      <c r="F53" s="32">
        <f t="shared" si="90"/>
        <v>-1</v>
      </c>
      <c r="G53" s="31">
        <f>Tercera!G53</f>
        <v>0</v>
      </c>
      <c r="H53" s="32">
        <f t="shared" si="91"/>
        <v>-1</v>
      </c>
      <c r="I53" s="31">
        <f>Tercera!I53</f>
        <v>0</v>
      </c>
      <c r="J53" s="32">
        <f t="shared" si="92"/>
        <v>-1</v>
      </c>
      <c r="K53" s="31">
        <f>Tercera!K53</f>
        <v>0</v>
      </c>
      <c r="L53" s="32">
        <f t="shared" si="93"/>
        <v>-1</v>
      </c>
      <c r="M53" s="31">
        <f>Tercera!M53</f>
        <v>0</v>
      </c>
      <c r="N53" s="32">
        <f t="shared" si="94"/>
        <v>-1</v>
      </c>
      <c r="O53" s="31">
        <f>Tercera!O53</f>
        <v>0</v>
      </c>
      <c r="P53" s="32">
        <f t="shared" si="95"/>
        <v>-1</v>
      </c>
      <c r="Q53" s="31">
        <f>Tercera!Q53</f>
        <v>0</v>
      </c>
      <c r="R53" s="32">
        <f t="shared" si="96"/>
        <v>-1</v>
      </c>
      <c r="S53" s="31">
        <f>Tercera!S53</f>
        <v>0</v>
      </c>
      <c r="T53" s="32">
        <f t="shared" si="97"/>
        <v>-1</v>
      </c>
      <c r="U53" s="31">
        <f>Tercera!U53</f>
        <v>0</v>
      </c>
      <c r="V53" s="32">
        <f t="shared" si="98"/>
        <v>-1</v>
      </c>
      <c r="W53" s="31">
        <f>Tercera!W53</f>
        <v>0</v>
      </c>
      <c r="X53" s="32">
        <f t="shared" si="99"/>
        <v>-1</v>
      </c>
      <c r="Y53" s="31">
        <f>Tercera!Y53</f>
        <v>0</v>
      </c>
      <c r="Z53" s="32">
        <f t="shared" si="100"/>
        <v>-1</v>
      </c>
      <c r="AA53" s="31">
        <f>Tercera!AA53</f>
        <v>0</v>
      </c>
      <c r="AB53" s="32">
        <f t="shared" si="101"/>
        <v>-1</v>
      </c>
      <c r="AC53" s="31">
        <f>Tercera!AC53</f>
        <v>0</v>
      </c>
      <c r="AD53" s="32">
        <f t="shared" si="102"/>
        <v>-1</v>
      </c>
      <c r="AE53" s="31">
        <f>Tercera!AE53</f>
        <v>0</v>
      </c>
      <c r="AF53" s="32">
        <f t="shared" si="103"/>
        <v>-1</v>
      </c>
      <c r="AG53" s="31">
        <f>Tercera!AG53</f>
        <v>0</v>
      </c>
      <c r="AH53" s="32">
        <f t="shared" si="104"/>
        <v>-1</v>
      </c>
      <c r="AI53" s="31">
        <f>Tercera!AI53</f>
        <v>0</v>
      </c>
      <c r="AJ53" s="32">
        <f t="shared" si="105"/>
        <v>-1</v>
      </c>
      <c r="AK53" s="31">
        <f>Tercera!AK53</f>
        <v>0</v>
      </c>
      <c r="AL53" s="32">
        <f t="shared" si="106"/>
        <v>-1</v>
      </c>
      <c r="AM53" s="31">
        <f>Tercera!AM53</f>
        <v>0</v>
      </c>
      <c r="AN53" s="32">
        <f t="shared" si="107"/>
        <v>-1</v>
      </c>
      <c r="AO53" s="31">
        <f>Tercera!AO53</f>
        <v>0</v>
      </c>
      <c r="AP53" s="32">
        <f t="shared" si="108"/>
        <v>-1</v>
      </c>
      <c r="AQ53" s="31">
        <f>Tercera!AQ53</f>
        <v>0</v>
      </c>
      <c r="AR53" s="32">
        <f t="shared" si="109"/>
        <v>-1</v>
      </c>
      <c r="AS53" s="31">
        <f>Tercera!AS53</f>
        <v>0</v>
      </c>
      <c r="AT53" s="32">
        <f t="shared" si="110"/>
        <v>-1</v>
      </c>
      <c r="AU53" s="31">
        <f>Tercera!AU53</f>
        <v>0</v>
      </c>
      <c r="AV53" s="32">
        <f t="shared" si="111"/>
        <v>-1</v>
      </c>
      <c r="AW53" s="31">
        <f>Tercera!AW53</f>
        <v>0</v>
      </c>
      <c r="AX53" s="32">
        <f t="shared" si="112"/>
        <v>-1</v>
      </c>
      <c r="AY53" s="31">
        <f>Tercera!AY53</f>
        <v>0</v>
      </c>
      <c r="AZ53" s="32">
        <f t="shared" si="113"/>
        <v>-1</v>
      </c>
      <c r="BA53" s="31">
        <f>Tercera!BA53</f>
        <v>0</v>
      </c>
      <c r="BB53" s="32">
        <f t="shared" si="114"/>
        <v>-1</v>
      </c>
      <c r="BC53" s="31">
        <f>Tercera!BC53</f>
        <v>0</v>
      </c>
      <c r="BD53" s="32">
        <f t="shared" si="115"/>
        <v>-1</v>
      </c>
      <c r="BE53" s="31">
        <f>Tercera!BE53</f>
        <v>0</v>
      </c>
      <c r="BF53" s="32">
        <f t="shared" si="116"/>
        <v>-1</v>
      </c>
      <c r="BG53" s="31">
        <f>Tercera!BG53</f>
        <v>0</v>
      </c>
      <c r="BH53" s="32">
        <f t="shared" si="117"/>
        <v>-1</v>
      </c>
      <c r="BI53" s="31">
        <f>Tercera!BI53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Tercera!B54</f>
        <v>0</v>
      </c>
      <c r="C54" s="31">
        <f>Tercera!C54</f>
        <v>0</v>
      </c>
      <c r="D54" s="32">
        <f t="shared" si="89"/>
        <v>-1</v>
      </c>
      <c r="E54" s="31">
        <f>Tercera!E54</f>
        <v>0</v>
      </c>
      <c r="F54" s="32">
        <f t="shared" si="90"/>
        <v>-1</v>
      </c>
      <c r="G54" s="31">
        <f>Tercera!G54</f>
        <v>0</v>
      </c>
      <c r="H54" s="32">
        <f t="shared" si="91"/>
        <v>-1</v>
      </c>
      <c r="I54" s="31">
        <f>Tercera!I54</f>
        <v>0</v>
      </c>
      <c r="J54" s="32">
        <f t="shared" si="92"/>
        <v>-1</v>
      </c>
      <c r="K54" s="31">
        <f>Tercera!K54</f>
        <v>0</v>
      </c>
      <c r="L54" s="32">
        <f t="shared" si="93"/>
        <v>-1</v>
      </c>
      <c r="M54" s="31">
        <f>Tercera!M54</f>
        <v>0</v>
      </c>
      <c r="N54" s="32">
        <f t="shared" si="94"/>
        <v>-1</v>
      </c>
      <c r="O54" s="31">
        <f>Tercera!O54</f>
        <v>0</v>
      </c>
      <c r="P54" s="32">
        <f t="shared" si="95"/>
        <v>-1</v>
      </c>
      <c r="Q54" s="31">
        <f>Tercera!Q54</f>
        <v>0</v>
      </c>
      <c r="R54" s="32">
        <f t="shared" si="96"/>
        <v>-1</v>
      </c>
      <c r="S54" s="31">
        <f>Tercera!S54</f>
        <v>0</v>
      </c>
      <c r="T54" s="32">
        <f t="shared" si="97"/>
        <v>-1</v>
      </c>
      <c r="U54" s="31">
        <f>Tercera!U54</f>
        <v>0</v>
      </c>
      <c r="V54" s="32">
        <f t="shared" si="98"/>
        <v>-1</v>
      </c>
      <c r="W54" s="31">
        <f>Tercera!W54</f>
        <v>0</v>
      </c>
      <c r="X54" s="32">
        <f t="shared" si="99"/>
        <v>-1</v>
      </c>
      <c r="Y54" s="31">
        <f>Tercera!Y54</f>
        <v>0</v>
      </c>
      <c r="Z54" s="32">
        <f t="shared" si="100"/>
        <v>-1</v>
      </c>
      <c r="AA54" s="31">
        <f>Tercera!AA54</f>
        <v>0</v>
      </c>
      <c r="AB54" s="32">
        <f t="shared" si="101"/>
        <v>-1</v>
      </c>
      <c r="AC54" s="31">
        <f>Tercera!AC54</f>
        <v>0</v>
      </c>
      <c r="AD54" s="32">
        <f t="shared" si="102"/>
        <v>-1</v>
      </c>
      <c r="AE54" s="31">
        <f>Tercera!AE54</f>
        <v>0</v>
      </c>
      <c r="AF54" s="32">
        <f t="shared" si="103"/>
        <v>-1</v>
      </c>
      <c r="AG54" s="31">
        <f>Tercera!AG54</f>
        <v>0</v>
      </c>
      <c r="AH54" s="32">
        <f t="shared" si="104"/>
        <v>-1</v>
      </c>
      <c r="AI54" s="31">
        <f>Tercera!AI54</f>
        <v>0</v>
      </c>
      <c r="AJ54" s="32">
        <f t="shared" si="105"/>
        <v>-1</v>
      </c>
      <c r="AK54" s="31">
        <f>Tercera!AK54</f>
        <v>0</v>
      </c>
      <c r="AL54" s="32">
        <f t="shared" si="106"/>
        <v>-1</v>
      </c>
      <c r="AM54" s="31">
        <f>Tercera!AM54</f>
        <v>0</v>
      </c>
      <c r="AN54" s="32">
        <f t="shared" si="107"/>
        <v>-1</v>
      </c>
      <c r="AO54" s="31">
        <f>Tercera!AO54</f>
        <v>0</v>
      </c>
      <c r="AP54" s="32">
        <f t="shared" si="108"/>
        <v>-1</v>
      </c>
      <c r="AQ54" s="31">
        <f>Tercera!AQ54</f>
        <v>0</v>
      </c>
      <c r="AR54" s="32">
        <f t="shared" si="109"/>
        <v>-1</v>
      </c>
      <c r="AS54" s="31">
        <f>Tercera!AS54</f>
        <v>0</v>
      </c>
      <c r="AT54" s="32">
        <f t="shared" si="110"/>
        <v>-1</v>
      </c>
      <c r="AU54" s="31">
        <f>Tercera!AU54</f>
        <v>0</v>
      </c>
      <c r="AV54" s="32">
        <f t="shared" si="111"/>
        <v>-1</v>
      </c>
      <c r="AW54" s="31">
        <f>Tercera!AW54</f>
        <v>0</v>
      </c>
      <c r="AX54" s="32">
        <f t="shared" si="112"/>
        <v>-1</v>
      </c>
      <c r="AY54" s="31">
        <f>Tercera!AY54</f>
        <v>0</v>
      </c>
      <c r="AZ54" s="32">
        <f t="shared" si="113"/>
        <v>-1</v>
      </c>
      <c r="BA54" s="31">
        <f>Tercera!BA54</f>
        <v>0</v>
      </c>
      <c r="BB54" s="32">
        <f t="shared" si="114"/>
        <v>-1</v>
      </c>
      <c r="BC54" s="31">
        <f>Tercera!BC54</f>
        <v>0</v>
      </c>
      <c r="BD54" s="32">
        <f t="shared" si="115"/>
        <v>-1</v>
      </c>
      <c r="BE54" s="31">
        <f>Tercera!BE54</f>
        <v>0</v>
      </c>
      <c r="BF54" s="32">
        <f t="shared" si="116"/>
        <v>-1</v>
      </c>
      <c r="BG54" s="31">
        <f>Tercera!BG54</f>
        <v>0</v>
      </c>
      <c r="BH54" s="32">
        <f t="shared" si="117"/>
        <v>-1</v>
      </c>
      <c r="BI54" s="31">
        <f>Tercera!BI54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Tercera!B55</f>
        <v>0</v>
      </c>
      <c r="C55" s="31">
        <f>Tercera!C55</f>
        <v>0</v>
      </c>
      <c r="D55" s="32">
        <f t="shared" si="89"/>
        <v>-1</v>
      </c>
      <c r="E55" s="31">
        <f>Tercera!E55</f>
        <v>0</v>
      </c>
      <c r="F55" s="32">
        <f t="shared" si="90"/>
        <v>-1</v>
      </c>
      <c r="G55" s="31">
        <f>Tercera!G55</f>
        <v>0</v>
      </c>
      <c r="H55" s="32">
        <f t="shared" si="91"/>
        <v>-1</v>
      </c>
      <c r="I55" s="31">
        <f>Tercera!I55</f>
        <v>0</v>
      </c>
      <c r="J55" s="32">
        <f t="shared" si="92"/>
        <v>-1</v>
      </c>
      <c r="K55" s="31">
        <f>Tercera!K55</f>
        <v>0</v>
      </c>
      <c r="L55" s="32">
        <f t="shared" si="93"/>
        <v>-1</v>
      </c>
      <c r="M55" s="31">
        <f>Tercera!M55</f>
        <v>0</v>
      </c>
      <c r="N55" s="32">
        <f t="shared" si="94"/>
        <v>-1</v>
      </c>
      <c r="O55" s="31">
        <f>Tercera!O55</f>
        <v>0</v>
      </c>
      <c r="P55" s="32">
        <f t="shared" si="95"/>
        <v>-1</v>
      </c>
      <c r="Q55" s="31">
        <f>Tercera!Q55</f>
        <v>0</v>
      </c>
      <c r="R55" s="32">
        <f t="shared" si="96"/>
        <v>-1</v>
      </c>
      <c r="S55" s="31">
        <f>Tercera!S55</f>
        <v>0</v>
      </c>
      <c r="T55" s="32">
        <f t="shared" si="97"/>
        <v>-1</v>
      </c>
      <c r="U55" s="31">
        <f>Tercera!U55</f>
        <v>0</v>
      </c>
      <c r="V55" s="32">
        <f t="shared" si="98"/>
        <v>-1</v>
      </c>
      <c r="W55" s="31">
        <f>Tercera!W55</f>
        <v>0</v>
      </c>
      <c r="X55" s="32">
        <f t="shared" si="99"/>
        <v>-1</v>
      </c>
      <c r="Y55" s="31">
        <f>Tercera!Y55</f>
        <v>0</v>
      </c>
      <c r="Z55" s="32">
        <f t="shared" si="100"/>
        <v>-1</v>
      </c>
      <c r="AA55" s="31">
        <f>Tercera!AA55</f>
        <v>0</v>
      </c>
      <c r="AB55" s="32">
        <f t="shared" si="101"/>
        <v>-1</v>
      </c>
      <c r="AC55" s="31">
        <f>Tercera!AC55</f>
        <v>0</v>
      </c>
      <c r="AD55" s="32">
        <f t="shared" si="102"/>
        <v>-1</v>
      </c>
      <c r="AE55" s="31">
        <f>Tercera!AE55</f>
        <v>0</v>
      </c>
      <c r="AF55" s="32">
        <f t="shared" si="103"/>
        <v>-1</v>
      </c>
      <c r="AG55" s="31">
        <f>Tercera!AG55</f>
        <v>0</v>
      </c>
      <c r="AH55" s="32">
        <f t="shared" si="104"/>
        <v>-1</v>
      </c>
      <c r="AI55" s="31">
        <f>Tercera!AI55</f>
        <v>0</v>
      </c>
      <c r="AJ55" s="32">
        <f t="shared" si="105"/>
        <v>-1</v>
      </c>
      <c r="AK55" s="31">
        <f>Tercera!AK55</f>
        <v>0</v>
      </c>
      <c r="AL55" s="32">
        <f t="shared" si="106"/>
        <v>-1</v>
      </c>
      <c r="AM55" s="31">
        <f>Tercera!AM55</f>
        <v>0</v>
      </c>
      <c r="AN55" s="32">
        <f t="shared" si="107"/>
        <v>-1</v>
      </c>
      <c r="AO55" s="31">
        <f>Tercera!AO55</f>
        <v>0</v>
      </c>
      <c r="AP55" s="32">
        <f t="shared" si="108"/>
        <v>-1</v>
      </c>
      <c r="AQ55" s="31">
        <f>Tercera!AQ55</f>
        <v>0</v>
      </c>
      <c r="AR55" s="32">
        <f t="shared" si="109"/>
        <v>-1</v>
      </c>
      <c r="AS55" s="31">
        <f>Tercera!AS55</f>
        <v>0</v>
      </c>
      <c r="AT55" s="32">
        <f t="shared" si="110"/>
        <v>-1</v>
      </c>
      <c r="AU55" s="31">
        <f>Tercera!AU55</f>
        <v>0</v>
      </c>
      <c r="AV55" s="32">
        <f t="shared" si="111"/>
        <v>-1</v>
      </c>
      <c r="AW55" s="31">
        <f>Tercera!AW55</f>
        <v>0</v>
      </c>
      <c r="AX55" s="32">
        <f t="shared" si="112"/>
        <v>-1</v>
      </c>
      <c r="AY55" s="31">
        <f>Tercera!AY55</f>
        <v>0</v>
      </c>
      <c r="AZ55" s="32">
        <f t="shared" si="113"/>
        <v>-1</v>
      </c>
      <c r="BA55" s="31">
        <f>Tercera!BA55</f>
        <v>0</v>
      </c>
      <c r="BB55" s="32">
        <f t="shared" si="114"/>
        <v>-1</v>
      </c>
      <c r="BC55" s="31">
        <f>Tercera!BC55</f>
        <v>0</v>
      </c>
      <c r="BD55" s="32">
        <f t="shared" si="115"/>
        <v>-1</v>
      </c>
      <c r="BE55" s="31">
        <f>Tercera!BE55</f>
        <v>0</v>
      </c>
      <c r="BF55" s="32">
        <f t="shared" si="116"/>
        <v>-1</v>
      </c>
      <c r="BG55" s="31">
        <f>Tercera!BG55</f>
        <v>0</v>
      </c>
      <c r="BH55" s="32">
        <f t="shared" si="117"/>
        <v>-1</v>
      </c>
      <c r="BI55" s="31">
        <f>Tercera!BI55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Tercera!B56</f>
        <v>0</v>
      </c>
      <c r="C56" s="31">
        <f>Tercera!C56</f>
        <v>0</v>
      </c>
      <c r="D56" s="32">
        <f t="shared" si="89"/>
        <v>-1</v>
      </c>
      <c r="E56" s="31">
        <f>Tercera!E56</f>
        <v>0</v>
      </c>
      <c r="F56" s="32">
        <f t="shared" si="90"/>
        <v>-1</v>
      </c>
      <c r="G56" s="31">
        <f>Tercera!G56</f>
        <v>0</v>
      </c>
      <c r="H56" s="32">
        <f t="shared" si="91"/>
        <v>-1</v>
      </c>
      <c r="I56" s="31">
        <f>Tercera!I56</f>
        <v>0</v>
      </c>
      <c r="J56" s="32">
        <f t="shared" si="92"/>
        <v>-1</v>
      </c>
      <c r="K56" s="31">
        <f>Tercera!K56</f>
        <v>0</v>
      </c>
      <c r="L56" s="32">
        <f t="shared" si="93"/>
        <v>-1</v>
      </c>
      <c r="M56" s="31">
        <f>Tercera!M56</f>
        <v>0</v>
      </c>
      <c r="N56" s="32">
        <f t="shared" si="94"/>
        <v>-1</v>
      </c>
      <c r="O56" s="31">
        <f>Tercera!O56</f>
        <v>0</v>
      </c>
      <c r="P56" s="32">
        <f t="shared" si="95"/>
        <v>-1</v>
      </c>
      <c r="Q56" s="31">
        <f>Tercera!Q56</f>
        <v>0</v>
      </c>
      <c r="R56" s="32">
        <f t="shared" si="96"/>
        <v>-1</v>
      </c>
      <c r="S56" s="31">
        <f>Tercera!S56</f>
        <v>0</v>
      </c>
      <c r="T56" s="32">
        <f t="shared" si="97"/>
        <v>-1</v>
      </c>
      <c r="U56" s="31">
        <f>Tercera!U56</f>
        <v>0</v>
      </c>
      <c r="V56" s="32">
        <f t="shared" si="98"/>
        <v>-1</v>
      </c>
      <c r="W56" s="31">
        <f>Tercera!W56</f>
        <v>0</v>
      </c>
      <c r="X56" s="32">
        <f t="shared" si="99"/>
        <v>-1</v>
      </c>
      <c r="Y56" s="31">
        <f>Tercera!Y56</f>
        <v>0</v>
      </c>
      <c r="Z56" s="32">
        <f t="shared" si="100"/>
        <v>-1</v>
      </c>
      <c r="AA56" s="31">
        <f>Tercera!AA56</f>
        <v>0</v>
      </c>
      <c r="AB56" s="32">
        <f t="shared" si="101"/>
        <v>-1</v>
      </c>
      <c r="AC56" s="31">
        <f>Tercera!AC56</f>
        <v>0</v>
      </c>
      <c r="AD56" s="32">
        <f t="shared" si="102"/>
        <v>-1</v>
      </c>
      <c r="AE56" s="31">
        <f>Tercera!AE56</f>
        <v>0</v>
      </c>
      <c r="AF56" s="32">
        <f t="shared" si="103"/>
        <v>-1</v>
      </c>
      <c r="AG56" s="31">
        <f>Tercera!AG56</f>
        <v>0</v>
      </c>
      <c r="AH56" s="32">
        <f t="shared" si="104"/>
        <v>-1</v>
      </c>
      <c r="AI56" s="31">
        <f>Tercera!AI56</f>
        <v>0</v>
      </c>
      <c r="AJ56" s="32">
        <f t="shared" si="105"/>
        <v>-1</v>
      </c>
      <c r="AK56" s="31">
        <f>Tercera!AK56</f>
        <v>0</v>
      </c>
      <c r="AL56" s="32">
        <f t="shared" si="106"/>
        <v>-1</v>
      </c>
      <c r="AM56" s="31">
        <f>Tercera!AM56</f>
        <v>0</v>
      </c>
      <c r="AN56" s="32">
        <f t="shared" si="107"/>
        <v>-1</v>
      </c>
      <c r="AO56" s="31">
        <f>Tercera!AO56</f>
        <v>0</v>
      </c>
      <c r="AP56" s="32">
        <f t="shared" si="108"/>
        <v>-1</v>
      </c>
      <c r="AQ56" s="31">
        <f>Tercera!AQ56</f>
        <v>0</v>
      </c>
      <c r="AR56" s="32">
        <f t="shared" si="109"/>
        <v>-1</v>
      </c>
      <c r="AS56" s="31">
        <f>Tercera!AS56</f>
        <v>0</v>
      </c>
      <c r="AT56" s="32">
        <f t="shared" si="110"/>
        <v>-1</v>
      </c>
      <c r="AU56" s="31">
        <f>Tercera!AU56</f>
        <v>0</v>
      </c>
      <c r="AV56" s="32">
        <f t="shared" si="111"/>
        <v>-1</v>
      </c>
      <c r="AW56" s="31">
        <f>Tercera!AW56</f>
        <v>0</v>
      </c>
      <c r="AX56" s="32">
        <f t="shared" si="112"/>
        <v>-1</v>
      </c>
      <c r="AY56" s="31">
        <f>Tercera!AY56</f>
        <v>0</v>
      </c>
      <c r="AZ56" s="32">
        <f t="shared" si="113"/>
        <v>-1</v>
      </c>
      <c r="BA56" s="31">
        <f>Tercera!BA56</f>
        <v>0</v>
      </c>
      <c r="BB56" s="32">
        <f t="shared" si="114"/>
        <v>-1</v>
      </c>
      <c r="BC56" s="31">
        <f>Tercera!BC56</f>
        <v>0</v>
      </c>
      <c r="BD56" s="32">
        <f t="shared" si="115"/>
        <v>-1</v>
      </c>
      <c r="BE56" s="31">
        <f>Tercera!BE56</f>
        <v>0</v>
      </c>
      <c r="BF56" s="32">
        <f t="shared" si="116"/>
        <v>-1</v>
      </c>
      <c r="BG56" s="31">
        <f>Tercera!BG56</f>
        <v>0</v>
      </c>
      <c r="BH56" s="32">
        <f t="shared" si="117"/>
        <v>-1</v>
      </c>
      <c r="BI56" s="31">
        <f>Tercera!BI56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Tercera!B57</f>
        <v>0</v>
      </c>
      <c r="C57" s="31">
        <f>Tercera!C57</f>
        <v>0</v>
      </c>
      <c r="D57" s="32">
        <f t="shared" si="89"/>
        <v>-1</v>
      </c>
      <c r="E57" s="31">
        <f>Tercera!E57</f>
        <v>0</v>
      </c>
      <c r="F57" s="32">
        <f t="shared" si="90"/>
        <v>-1</v>
      </c>
      <c r="G57" s="31">
        <f>Tercera!G57</f>
        <v>0</v>
      </c>
      <c r="H57" s="32">
        <f t="shared" si="91"/>
        <v>-1</v>
      </c>
      <c r="I57" s="31">
        <f>Tercera!I57</f>
        <v>0</v>
      </c>
      <c r="J57" s="32">
        <f t="shared" si="92"/>
        <v>-1</v>
      </c>
      <c r="K57" s="31">
        <f>Tercera!K57</f>
        <v>0</v>
      </c>
      <c r="L57" s="32">
        <f t="shared" si="93"/>
        <v>-1</v>
      </c>
      <c r="M57" s="31">
        <f>Tercera!M57</f>
        <v>0</v>
      </c>
      <c r="N57" s="32">
        <f t="shared" si="94"/>
        <v>-1</v>
      </c>
      <c r="O57" s="31">
        <f>Tercera!O57</f>
        <v>0</v>
      </c>
      <c r="P57" s="32">
        <f t="shared" si="95"/>
        <v>-1</v>
      </c>
      <c r="Q57" s="31">
        <f>Tercera!Q57</f>
        <v>0</v>
      </c>
      <c r="R57" s="32">
        <f t="shared" si="96"/>
        <v>-1</v>
      </c>
      <c r="S57" s="31">
        <f>Tercera!S57</f>
        <v>0</v>
      </c>
      <c r="T57" s="32">
        <f t="shared" si="97"/>
        <v>-1</v>
      </c>
      <c r="U57" s="31">
        <f>Tercera!U57</f>
        <v>0</v>
      </c>
      <c r="V57" s="32">
        <f t="shared" si="98"/>
        <v>-1</v>
      </c>
      <c r="W57" s="31">
        <f>Tercera!W57</f>
        <v>0</v>
      </c>
      <c r="X57" s="32">
        <f t="shared" si="99"/>
        <v>-1</v>
      </c>
      <c r="Y57" s="31">
        <f>Tercera!Y57</f>
        <v>0</v>
      </c>
      <c r="Z57" s="32">
        <f t="shared" si="100"/>
        <v>-1</v>
      </c>
      <c r="AA57" s="31">
        <f>Tercera!AA57</f>
        <v>0</v>
      </c>
      <c r="AB57" s="32">
        <f t="shared" si="101"/>
        <v>-1</v>
      </c>
      <c r="AC57" s="31">
        <f>Tercera!AC57</f>
        <v>0</v>
      </c>
      <c r="AD57" s="32">
        <f t="shared" si="102"/>
        <v>-1</v>
      </c>
      <c r="AE57" s="31">
        <f>Tercera!AE57</f>
        <v>0</v>
      </c>
      <c r="AF57" s="32">
        <f t="shared" si="103"/>
        <v>-1</v>
      </c>
      <c r="AG57" s="31">
        <f>Tercera!AG57</f>
        <v>0</v>
      </c>
      <c r="AH57" s="32">
        <f t="shared" si="104"/>
        <v>-1</v>
      </c>
      <c r="AI57" s="31">
        <f>Tercera!AI57</f>
        <v>0</v>
      </c>
      <c r="AJ57" s="32">
        <f t="shared" si="105"/>
        <v>-1</v>
      </c>
      <c r="AK57" s="31">
        <f>Tercera!AK57</f>
        <v>0</v>
      </c>
      <c r="AL57" s="32">
        <f t="shared" si="106"/>
        <v>-1</v>
      </c>
      <c r="AM57" s="31">
        <f>Tercera!AM57</f>
        <v>0</v>
      </c>
      <c r="AN57" s="32">
        <f t="shared" si="107"/>
        <v>-1</v>
      </c>
      <c r="AO57" s="31">
        <f>Tercera!AO57</f>
        <v>0</v>
      </c>
      <c r="AP57" s="32">
        <f t="shared" si="108"/>
        <v>-1</v>
      </c>
      <c r="AQ57" s="31">
        <f>Tercera!AQ57</f>
        <v>0</v>
      </c>
      <c r="AR57" s="32">
        <f t="shared" si="109"/>
        <v>-1</v>
      </c>
      <c r="AS57" s="31">
        <f>Tercera!AS57</f>
        <v>0</v>
      </c>
      <c r="AT57" s="32">
        <f t="shared" si="110"/>
        <v>-1</v>
      </c>
      <c r="AU57" s="31">
        <f>Tercera!AU57</f>
        <v>0</v>
      </c>
      <c r="AV57" s="32">
        <f t="shared" si="111"/>
        <v>-1</v>
      </c>
      <c r="AW57" s="31">
        <f>Tercera!AW57</f>
        <v>0</v>
      </c>
      <c r="AX57" s="32">
        <f t="shared" si="112"/>
        <v>-1</v>
      </c>
      <c r="AY57" s="31">
        <f>Tercera!AY57</f>
        <v>0</v>
      </c>
      <c r="AZ57" s="32">
        <f t="shared" si="113"/>
        <v>-1</v>
      </c>
      <c r="BA57" s="31">
        <f>Tercera!BA57</f>
        <v>0</v>
      </c>
      <c r="BB57" s="32">
        <f t="shared" si="114"/>
        <v>-1</v>
      </c>
      <c r="BC57" s="31">
        <f>Tercera!BC57</f>
        <v>0</v>
      </c>
      <c r="BD57" s="32">
        <f t="shared" si="115"/>
        <v>-1</v>
      </c>
      <c r="BE57" s="31">
        <f>Tercera!BE57</f>
        <v>0</v>
      </c>
      <c r="BF57" s="32">
        <f t="shared" si="116"/>
        <v>-1</v>
      </c>
      <c r="BG57" s="31">
        <f>Tercera!BG57</f>
        <v>0</v>
      </c>
      <c r="BH57" s="32">
        <f t="shared" si="117"/>
        <v>-1</v>
      </c>
      <c r="BI57" s="31">
        <f>Tercera!BI57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Tercera!B58</f>
        <v>0</v>
      </c>
      <c r="C58" s="31">
        <f>Tercera!C58</f>
        <v>0</v>
      </c>
      <c r="D58" s="32">
        <f t="shared" si="89"/>
        <v>-1</v>
      </c>
      <c r="E58" s="31">
        <f>Tercera!E58</f>
        <v>0</v>
      </c>
      <c r="F58" s="32">
        <f t="shared" si="90"/>
        <v>-1</v>
      </c>
      <c r="G58" s="31">
        <f>Tercera!G58</f>
        <v>0</v>
      </c>
      <c r="H58" s="32">
        <f t="shared" si="91"/>
        <v>-1</v>
      </c>
      <c r="I58" s="31">
        <f>Tercera!I58</f>
        <v>0</v>
      </c>
      <c r="J58" s="32">
        <f t="shared" si="92"/>
        <v>-1</v>
      </c>
      <c r="K58" s="31">
        <f>Tercera!K58</f>
        <v>0</v>
      </c>
      <c r="L58" s="32">
        <f t="shared" si="93"/>
        <v>-1</v>
      </c>
      <c r="M58" s="31">
        <f>Tercera!M58</f>
        <v>0</v>
      </c>
      <c r="N58" s="32">
        <f t="shared" si="94"/>
        <v>-1</v>
      </c>
      <c r="O58" s="31">
        <f>Tercera!O58</f>
        <v>0</v>
      </c>
      <c r="P58" s="32">
        <f t="shared" si="95"/>
        <v>-1</v>
      </c>
      <c r="Q58" s="31">
        <f>Tercera!Q58</f>
        <v>0</v>
      </c>
      <c r="R58" s="32">
        <f t="shared" si="96"/>
        <v>-1</v>
      </c>
      <c r="S58" s="31">
        <f>Tercera!S58</f>
        <v>0</v>
      </c>
      <c r="T58" s="32">
        <f t="shared" si="97"/>
        <v>-1</v>
      </c>
      <c r="U58" s="31">
        <f>Tercera!U58</f>
        <v>0</v>
      </c>
      <c r="V58" s="32">
        <f t="shared" si="98"/>
        <v>-1</v>
      </c>
      <c r="W58" s="31">
        <f>Tercera!W58</f>
        <v>0</v>
      </c>
      <c r="X58" s="32">
        <f t="shared" si="99"/>
        <v>-1</v>
      </c>
      <c r="Y58" s="31">
        <f>Tercera!Y58</f>
        <v>0</v>
      </c>
      <c r="Z58" s="32">
        <f t="shared" si="100"/>
        <v>-1</v>
      </c>
      <c r="AA58" s="31">
        <f>Tercera!AA58</f>
        <v>0</v>
      </c>
      <c r="AB58" s="32">
        <f t="shared" si="101"/>
        <v>-1</v>
      </c>
      <c r="AC58" s="31">
        <f>Tercera!AC58</f>
        <v>0</v>
      </c>
      <c r="AD58" s="32">
        <f t="shared" si="102"/>
        <v>-1</v>
      </c>
      <c r="AE58" s="31">
        <f>Tercera!AE58</f>
        <v>0</v>
      </c>
      <c r="AF58" s="32">
        <f t="shared" si="103"/>
        <v>-1</v>
      </c>
      <c r="AG58" s="31">
        <f>Tercera!AG58</f>
        <v>0</v>
      </c>
      <c r="AH58" s="32">
        <f t="shared" si="104"/>
        <v>-1</v>
      </c>
      <c r="AI58" s="31">
        <f>Tercera!AI58</f>
        <v>0</v>
      </c>
      <c r="AJ58" s="32">
        <f t="shared" si="105"/>
        <v>-1</v>
      </c>
      <c r="AK58" s="31">
        <f>Tercera!AK58</f>
        <v>0</v>
      </c>
      <c r="AL58" s="32">
        <f t="shared" si="106"/>
        <v>-1</v>
      </c>
      <c r="AM58" s="31">
        <f>Tercera!AM58</f>
        <v>0</v>
      </c>
      <c r="AN58" s="32">
        <f t="shared" si="107"/>
        <v>-1</v>
      </c>
      <c r="AO58" s="31">
        <f>Tercera!AO58</f>
        <v>0</v>
      </c>
      <c r="AP58" s="32">
        <f t="shared" si="108"/>
        <v>-1</v>
      </c>
      <c r="AQ58" s="31">
        <f>Tercera!AQ58</f>
        <v>0</v>
      </c>
      <c r="AR58" s="32">
        <f t="shared" si="109"/>
        <v>-1</v>
      </c>
      <c r="AS58" s="31">
        <f>Tercera!AS58</f>
        <v>0</v>
      </c>
      <c r="AT58" s="32">
        <f t="shared" si="110"/>
        <v>-1</v>
      </c>
      <c r="AU58" s="31">
        <f>Tercera!AU58</f>
        <v>0</v>
      </c>
      <c r="AV58" s="32">
        <f t="shared" si="111"/>
        <v>-1</v>
      </c>
      <c r="AW58" s="31">
        <f>Tercera!AW58</f>
        <v>0</v>
      </c>
      <c r="AX58" s="32">
        <f t="shared" si="112"/>
        <v>-1</v>
      </c>
      <c r="AY58" s="31">
        <f>Tercera!AY58</f>
        <v>0</v>
      </c>
      <c r="AZ58" s="32">
        <f t="shared" si="113"/>
        <v>-1</v>
      </c>
      <c r="BA58" s="31">
        <f>Tercera!BA58</f>
        <v>0</v>
      </c>
      <c r="BB58" s="32">
        <f t="shared" si="114"/>
        <v>-1</v>
      </c>
      <c r="BC58" s="31">
        <f>Tercera!BC58</f>
        <v>0</v>
      </c>
      <c r="BD58" s="32">
        <f t="shared" si="115"/>
        <v>-1</v>
      </c>
      <c r="BE58" s="31">
        <f>Tercera!BE58</f>
        <v>0</v>
      </c>
      <c r="BF58" s="32">
        <f t="shared" si="116"/>
        <v>-1</v>
      </c>
      <c r="BG58" s="31">
        <f>Tercera!BG58</f>
        <v>0</v>
      </c>
      <c r="BH58" s="32">
        <f t="shared" si="117"/>
        <v>-1</v>
      </c>
      <c r="BI58" s="31">
        <f>Tercera!BI58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2" t="str">
        <f>IF(SUM($B60:$B63)&lt;&gt;0,SUM(C60:C63)/SUM($B60:$B63)*$B59*10, "")</f>
        <v/>
      </c>
      <c r="D59" s="52"/>
      <c r="E59" s="52" t="str">
        <f>IF(SUM($B60:$B63)&lt;&gt;0,SUM(E60:E63)/SUM($B60:$B63)*$B59*10, "")</f>
        <v/>
      </c>
      <c r="F59" s="52"/>
      <c r="G59" s="52" t="str">
        <f>IF(SUM($B60:$B63)&lt;&gt;0,SUM(G60:G63)/SUM($B60:$B63)*$B59*10, "")</f>
        <v/>
      </c>
      <c r="H59" s="52"/>
      <c r="I59" s="52" t="str">
        <f>IF(SUM($B60:$B63)&lt;&gt;0,SUM(I60:I63)/SUM($B60:$B63)*$B59*10, "")</f>
        <v/>
      </c>
      <c r="J59" s="52"/>
      <c r="K59" s="52" t="str">
        <f>IF(SUM($B60:$B63)&lt;&gt;0,SUM(K60:K63)/SUM($B60:$B63)*$B59*10, "")</f>
        <v/>
      </c>
      <c r="L59" s="52"/>
      <c r="M59" s="52" t="str">
        <f>IF(SUM($B60:$B63)&lt;&gt;0,SUM(M60:M63)/SUM($B60:$B63)*$B59*10, "")</f>
        <v/>
      </c>
      <c r="N59" s="52"/>
      <c r="O59" s="52" t="str">
        <f>IF(SUM($B60:$B63)&lt;&gt;0,SUM(O60:O63)/SUM($B60:$B63)*$B59*10, "")</f>
        <v/>
      </c>
      <c r="P59" s="52"/>
      <c r="Q59" s="52" t="str">
        <f>IF(SUM($B60:$B63)&lt;&gt;0,SUM(Q60:Q63)/SUM($B60:$B63)*$B59*10, "")</f>
        <v/>
      </c>
      <c r="R59" s="52"/>
      <c r="S59" s="52" t="str">
        <f>IF(SUM($B60:$B63)&lt;&gt;0,SUM(S60:S63)/SUM($B60:$B63)*$B59*10, "")</f>
        <v/>
      </c>
      <c r="T59" s="52"/>
      <c r="U59" s="52" t="str">
        <f>IF(SUM($B60:$B63)&lt;&gt;0,SUM(U60:U63)/SUM($B60:$B63)*$B59*10, "")</f>
        <v/>
      </c>
      <c r="V59" s="52"/>
      <c r="W59" s="52" t="str">
        <f>IF(SUM($B60:$B63)&lt;&gt;0,SUM(W60:W63)/SUM($B60:$B63)*$B59*10, "")</f>
        <v/>
      </c>
      <c r="X59" s="52"/>
      <c r="Y59" s="52" t="str">
        <f>IF(SUM($B60:$B63)&lt;&gt;0,SUM(Y60:Y63)/SUM($B60:$B63)*$B59*10, "")</f>
        <v/>
      </c>
      <c r="Z59" s="52"/>
      <c r="AA59" s="52" t="str">
        <f>IF(SUM($B60:$B63)&lt;&gt;0,SUM(AA60:AA63)/SUM($B60:$B63)*$B59*10, "")</f>
        <v/>
      </c>
      <c r="AB59" s="52"/>
      <c r="AC59" s="52" t="str">
        <f>IF(SUM($B60:$B63)&lt;&gt;0,SUM(AC60:AC63)/SUM($B60:$B63)*$B59*10, "")</f>
        <v/>
      </c>
      <c r="AD59" s="52"/>
      <c r="AE59" s="52" t="str">
        <f>IF(SUM($B60:$B63)&lt;&gt;0,SUM(AE60:AE63)/SUM($B60:$B63)*$B59*10, "")</f>
        <v/>
      </c>
      <c r="AF59" s="52"/>
      <c r="AG59" s="52" t="str">
        <f>IF(SUM($B60:$B63)&lt;&gt;0,SUM(AG60:AG63)/SUM($B60:$B63)*$B59*10, "")</f>
        <v/>
      </c>
      <c r="AH59" s="52"/>
      <c r="AI59" s="52" t="str">
        <f>IF(SUM($B60:$B63)&lt;&gt;0,SUM(AI60:AI63)/SUM($B60:$B63)*$B59*10, "")</f>
        <v/>
      </c>
      <c r="AJ59" s="52"/>
      <c r="AK59" s="52" t="str">
        <f>IF(SUM($B60:$B63)&lt;&gt;0,SUM(AK60:AK63)/SUM($B60:$B63)*$B59*10, "")</f>
        <v/>
      </c>
      <c r="AL59" s="52"/>
      <c r="AM59" s="52" t="str">
        <f>IF(SUM($B60:$B63)&lt;&gt;0,SUM(AM60:AM63)/SUM($B60:$B63)*$B59*10, "")</f>
        <v/>
      </c>
      <c r="AN59" s="52"/>
      <c r="AO59" s="52" t="str">
        <f>IF(SUM($B60:$B63)&lt;&gt;0,SUM(AO60:AO63)/SUM($B60:$B63)*$B59*10, "")</f>
        <v/>
      </c>
      <c r="AP59" s="52"/>
      <c r="AQ59" s="52" t="str">
        <f>IF(SUM($B60:$B63)&lt;&gt;0,SUM(AQ60:AQ63)/SUM($B60:$B63)*$B59*10, "")</f>
        <v/>
      </c>
      <c r="AR59" s="52"/>
      <c r="AS59" s="52" t="str">
        <f>IF(SUM($B60:$B63)&lt;&gt;0,SUM(AS60:AS63)/SUM($B60:$B63)*$B59*10, "")</f>
        <v/>
      </c>
      <c r="AT59" s="52"/>
      <c r="AU59" s="52" t="str">
        <f>IF(SUM($B60:$B63)&lt;&gt;0,SUM(AU60:AU63)/SUM($B60:$B63)*$B59*10, "")</f>
        <v/>
      </c>
      <c r="AV59" s="52"/>
      <c r="AW59" s="52" t="str">
        <f>IF(SUM($B60:$B63)&lt;&gt;0,SUM(AW60:AW63)/SUM($B60:$B63)*$B59*10, "")</f>
        <v/>
      </c>
      <c r="AX59" s="52"/>
      <c r="AY59" s="52" t="str">
        <f>IF(SUM($B60:$B63)&lt;&gt;0,SUM(AY60:AY63)/SUM($B60:$B63)*$B59*10, "")</f>
        <v/>
      </c>
      <c r="AZ59" s="52"/>
      <c r="BA59" s="52" t="str">
        <f>IF(SUM($B60:$B63)&lt;&gt;0,SUM(BA60:BA63)/SUM($B60:$B63)*$B59*10, "")</f>
        <v/>
      </c>
      <c r="BB59" s="52"/>
      <c r="BC59" s="52" t="str">
        <f>IF(SUM($B60:$B63)&lt;&gt;0,SUM(BC60:BC63)/SUM($B60:$B63)*$B59*10, "")</f>
        <v/>
      </c>
      <c r="BD59" s="52"/>
      <c r="BE59" s="52" t="str">
        <f>IF(SUM($B60:$B63)&lt;&gt;0,SUM(BE60:BE63)/SUM($B60:$B63)*$B59*10, "")</f>
        <v/>
      </c>
      <c r="BF59" s="52"/>
      <c r="BG59" s="52" t="str">
        <f>IF(SUM($B60:$B63)&lt;&gt;0,SUM(BG60:BG63)/SUM($B60:$B63)*$B59*10, "")</f>
        <v/>
      </c>
      <c r="BH59" s="52"/>
      <c r="BI59" s="52" t="str">
        <f>IF(SUM($B60:$B63)&lt;&gt;0,SUM(BI60:BI63)/SUM($B60:$B63)*$B59*10, "")</f>
        <v/>
      </c>
      <c r="BJ59" s="52"/>
    </row>
    <row r="60" spans="1:62" ht="28" x14ac:dyDescent="0.2">
      <c r="A60" s="2" t="s">
        <v>59</v>
      </c>
      <c r="B60" s="13">
        <f>Tercera!B60</f>
        <v>0</v>
      </c>
      <c r="C60" s="31">
        <f>Tercera!C60</f>
        <v>0</v>
      </c>
      <c r="D60" s="32">
        <f>IF($B60,C60/$B60,-1)</f>
        <v>-1</v>
      </c>
      <c r="E60" s="31">
        <f>Tercera!E60</f>
        <v>0</v>
      </c>
      <c r="F60" s="32">
        <f>IF($B60,E60/$B60,-1)</f>
        <v>-1</v>
      </c>
      <c r="G60" s="31">
        <f>Tercera!G60</f>
        <v>0</v>
      </c>
      <c r="H60" s="32">
        <f>IF($B60,G60/$B60,-1)</f>
        <v>-1</v>
      </c>
      <c r="I60" s="31">
        <f>Tercera!I60</f>
        <v>0</v>
      </c>
      <c r="J60" s="32">
        <f>IF($B60,I60/$B60,-1)</f>
        <v>-1</v>
      </c>
      <c r="K60" s="31">
        <f>Tercera!K60</f>
        <v>0</v>
      </c>
      <c r="L60" s="32">
        <f>IF($B60,K60/$B60,-1)</f>
        <v>-1</v>
      </c>
      <c r="M60" s="31">
        <f>Tercera!M60</f>
        <v>0</v>
      </c>
      <c r="N60" s="32">
        <f>IF($B60,M60/$B60,-1)</f>
        <v>-1</v>
      </c>
      <c r="O60" s="31">
        <f>Tercera!O60</f>
        <v>0</v>
      </c>
      <c r="P60" s="32">
        <f>IF($B60,O60/$B60,-1)</f>
        <v>-1</v>
      </c>
      <c r="Q60" s="31">
        <f>Tercera!Q60</f>
        <v>0</v>
      </c>
      <c r="R60" s="32">
        <f>IF($B60,Q60/$B60,-1)</f>
        <v>-1</v>
      </c>
      <c r="S60" s="31">
        <f>Tercera!S60</f>
        <v>0</v>
      </c>
      <c r="T60" s="32">
        <f>IF($B60,S60/$B60,-1)</f>
        <v>-1</v>
      </c>
      <c r="U60" s="31">
        <f>Tercera!U60</f>
        <v>0</v>
      </c>
      <c r="V60" s="32">
        <f>IF($B60,U60/$B60,-1)</f>
        <v>-1</v>
      </c>
      <c r="W60" s="31">
        <f>Tercera!W60</f>
        <v>0</v>
      </c>
      <c r="X60" s="32">
        <f>IF($B60,W60/$B60,-1)</f>
        <v>-1</v>
      </c>
      <c r="Y60" s="31">
        <f>Tercera!Y60</f>
        <v>0</v>
      </c>
      <c r="Z60" s="32">
        <f>IF($B60,Y60/$B60,-1)</f>
        <v>-1</v>
      </c>
      <c r="AA60" s="31">
        <f>Tercera!AA60</f>
        <v>0</v>
      </c>
      <c r="AB60" s="32">
        <f>IF($B60,AA60/$B60,-1)</f>
        <v>-1</v>
      </c>
      <c r="AC60" s="31">
        <f>Tercera!AC60</f>
        <v>0</v>
      </c>
      <c r="AD60" s="32">
        <f>IF($B60,AC60/$B60,-1)</f>
        <v>-1</v>
      </c>
      <c r="AE60" s="31">
        <f>Tercera!AE60</f>
        <v>0</v>
      </c>
      <c r="AF60" s="32">
        <f>IF($B60,AE60/$B60,-1)</f>
        <v>-1</v>
      </c>
      <c r="AG60" s="31">
        <f>Tercera!AG60</f>
        <v>0</v>
      </c>
      <c r="AH60" s="32">
        <f>IF($B60,AG60/$B60,-1)</f>
        <v>-1</v>
      </c>
      <c r="AI60" s="31">
        <f>Tercera!AI60</f>
        <v>0</v>
      </c>
      <c r="AJ60" s="32">
        <f>IF($B60,AI60/$B60,-1)</f>
        <v>-1</v>
      </c>
      <c r="AK60" s="31">
        <f>Tercera!AK60</f>
        <v>0</v>
      </c>
      <c r="AL60" s="32">
        <f>IF($B60,AK60/$B60,-1)</f>
        <v>-1</v>
      </c>
      <c r="AM60" s="31">
        <f>Tercera!AM60</f>
        <v>0</v>
      </c>
      <c r="AN60" s="32">
        <f>IF($B60,AM60/$B60,-1)</f>
        <v>-1</v>
      </c>
      <c r="AO60" s="31">
        <f>Tercera!AO60</f>
        <v>0</v>
      </c>
      <c r="AP60" s="32">
        <f>IF($B60,AO60/$B60,-1)</f>
        <v>-1</v>
      </c>
      <c r="AQ60" s="31">
        <f>Tercera!AQ60</f>
        <v>0</v>
      </c>
      <c r="AR60" s="32">
        <f>IF($B60,AQ60/$B60,-1)</f>
        <v>-1</v>
      </c>
      <c r="AS60" s="31">
        <f>Tercera!AS60</f>
        <v>0</v>
      </c>
      <c r="AT60" s="32">
        <f>IF($B60,AS60/$B60,-1)</f>
        <v>-1</v>
      </c>
      <c r="AU60" s="31">
        <f>Tercera!AU60</f>
        <v>0</v>
      </c>
      <c r="AV60" s="32">
        <f>IF($B60,AU60/$B60,-1)</f>
        <v>-1</v>
      </c>
      <c r="AW60" s="31">
        <f>Tercera!AW60</f>
        <v>0</v>
      </c>
      <c r="AX60" s="32">
        <f>IF($B60,AW60/$B60,-1)</f>
        <v>-1</v>
      </c>
      <c r="AY60" s="31">
        <f>Tercera!AY60</f>
        <v>0</v>
      </c>
      <c r="AZ60" s="32">
        <f>IF($B60,AY60/$B60,-1)</f>
        <v>-1</v>
      </c>
      <c r="BA60" s="31">
        <f>Tercera!BA60</f>
        <v>0</v>
      </c>
      <c r="BB60" s="32">
        <f>IF($B60,BA60/$B60,-1)</f>
        <v>-1</v>
      </c>
      <c r="BC60" s="31">
        <f>Tercera!BC60</f>
        <v>0</v>
      </c>
      <c r="BD60" s="32">
        <f>IF($B60,BC60/$B60,-1)</f>
        <v>-1</v>
      </c>
      <c r="BE60" s="31">
        <f>Tercera!BE60</f>
        <v>0</v>
      </c>
      <c r="BF60" s="32">
        <f>IF($B60,BE60/$B60,-1)</f>
        <v>-1</v>
      </c>
      <c r="BG60" s="31">
        <f>Tercera!BG60</f>
        <v>0</v>
      </c>
      <c r="BH60" s="32">
        <f>IF($B60,BG60/$B60,-1)</f>
        <v>-1</v>
      </c>
      <c r="BI60" s="31">
        <f>Tercera!BI60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Tercera!B61</f>
        <v>0</v>
      </c>
      <c r="C61" s="31">
        <f>Tercera!C61</f>
        <v>0</v>
      </c>
      <c r="D61" s="32">
        <f>IF($B61,C61/$B61,-1)</f>
        <v>-1</v>
      </c>
      <c r="E61" s="31">
        <f>Tercera!E61</f>
        <v>0</v>
      </c>
      <c r="F61" s="32">
        <f>IF($B61,E61/$B61,-1)</f>
        <v>-1</v>
      </c>
      <c r="G61" s="31">
        <f>Tercera!G61</f>
        <v>0</v>
      </c>
      <c r="H61" s="32">
        <f>IF($B61,G61/$B61,-1)</f>
        <v>-1</v>
      </c>
      <c r="I61" s="31">
        <f>Tercera!I61</f>
        <v>0</v>
      </c>
      <c r="J61" s="32">
        <f>IF($B61,I61/$B61,-1)</f>
        <v>-1</v>
      </c>
      <c r="K61" s="31">
        <f>Tercera!K61</f>
        <v>0</v>
      </c>
      <c r="L61" s="32">
        <f>IF($B61,K61/$B61,-1)</f>
        <v>-1</v>
      </c>
      <c r="M61" s="31">
        <f>Tercera!M61</f>
        <v>0</v>
      </c>
      <c r="N61" s="32">
        <f>IF($B61,M61/$B61,-1)</f>
        <v>-1</v>
      </c>
      <c r="O61" s="31">
        <f>Tercera!O61</f>
        <v>0</v>
      </c>
      <c r="P61" s="32">
        <f>IF($B61,O61/$B61,-1)</f>
        <v>-1</v>
      </c>
      <c r="Q61" s="31">
        <f>Tercera!Q61</f>
        <v>0</v>
      </c>
      <c r="R61" s="32">
        <f>IF($B61,Q61/$B61,-1)</f>
        <v>-1</v>
      </c>
      <c r="S61" s="31">
        <f>Tercera!S61</f>
        <v>0</v>
      </c>
      <c r="T61" s="32">
        <f>IF($B61,S61/$B61,-1)</f>
        <v>-1</v>
      </c>
      <c r="U61" s="31">
        <f>Tercera!U61</f>
        <v>0</v>
      </c>
      <c r="V61" s="32">
        <f>IF($B61,U61/$B61,-1)</f>
        <v>-1</v>
      </c>
      <c r="W61" s="31">
        <f>Tercera!W61</f>
        <v>0</v>
      </c>
      <c r="X61" s="32">
        <f>IF($B61,W61/$B61,-1)</f>
        <v>-1</v>
      </c>
      <c r="Y61" s="31">
        <f>Tercera!Y61</f>
        <v>0</v>
      </c>
      <c r="Z61" s="32">
        <f>IF($B61,Y61/$B61,-1)</f>
        <v>-1</v>
      </c>
      <c r="AA61" s="31">
        <f>Tercera!AA61</f>
        <v>0</v>
      </c>
      <c r="AB61" s="32">
        <f>IF($B61,AA61/$B61,-1)</f>
        <v>-1</v>
      </c>
      <c r="AC61" s="31">
        <f>Tercera!AC61</f>
        <v>0</v>
      </c>
      <c r="AD61" s="32">
        <f>IF($B61,AC61/$B61,-1)</f>
        <v>-1</v>
      </c>
      <c r="AE61" s="31">
        <f>Tercera!AE61</f>
        <v>0</v>
      </c>
      <c r="AF61" s="32">
        <f>IF($B61,AE61/$B61,-1)</f>
        <v>-1</v>
      </c>
      <c r="AG61" s="31">
        <f>Tercera!AG61</f>
        <v>0</v>
      </c>
      <c r="AH61" s="32">
        <f>IF($B61,AG61/$B61,-1)</f>
        <v>-1</v>
      </c>
      <c r="AI61" s="31">
        <f>Tercera!AI61</f>
        <v>0</v>
      </c>
      <c r="AJ61" s="32">
        <f>IF($B61,AI61/$B61,-1)</f>
        <v>-1</v>
      </c>
      <c r="AK61" s="31">
        <f>Tercera!AK61</f>
        <v>0</v>
      </c>
      <c r="AL61" s="32">
        <f>IF($B61,AK61/$B61,-1)</f>
        <v>-1</v>
      </c>
      <c r="AM61" s="31">
        <f>Tercera!AM61</f>
        <v>0</v>
      </c>
      <c r="AN61" s="32">
        <f>IF($B61,AM61/$B61,-1)</f>
        <v>-1</v>
      </c>
      <c r="AO61" s="31">
        <f>Tercera!AO61</f>
        <v>0</v>
      </c>
      <c r="AP61" s="32">
        <f>IF($B61,AO61/$B61,-1)</f>
        <v>-1</v>
      </c>
      <c r="AQ61" s="31">
        <f>Tercera!AQ61</f>
        <v>0</v>
      </c>
      <c r="AR61" s="32">
        <f>IF($B61,AQ61/$B61,-1)</f>
        <v>-1</v>
      </c>
      <c r="AS61" s="31">
        <f>Tercera!AS61</f>
        <v>0</v>
      </c>
      <c r="AT61" s="32">
        <f>IF($B61,AS61/$B61,-1)</f>
        <v>-1</v>
      </c>
      <c r="AU61" s="31">
        <f>Tercera!AU61</f>
        <v>0</v>
      </c>
      <c r="AV61" s="32">
        <f>IF($B61,AU61/$B61,-1)</f>
        <v>-1</v>
      </c>
      <c r="AW61" s="31">
        <f>Tercera!AW61</f>
        <v>0</v>
      </c>
      <c r="AX61" s="32">
        <f>IF($B61,AW61/$B61,-1)</f>
        <v>-1</v>
      </c>
      <c r="AY61" s="31">
        <f>Tercera!AY61</f>
        <v>0</v>
      </c>
      <c r="AZ61" s="32">
        <f>IF($B61,AY61/$B61,-1)</f>
        <v>-1</v>
      </c>
      <c r="BA61" s="31">
        <f>Tercera!BA61</f>
        <v>0</v>
      </c>
      <c r="BB61" s="32">
        <f>IF($B61,BA61/$B61,-1)</f>
        <v>-1</v>
      </c>
      <c r="BC61" s="31">
        <f>Tercera!BC61</f>
        <v>0</v>
      </c>
      <c r="BD61" s="32">
        <f>IF($B61,BC61/$B61,-1)</f>
        <v>-1</v>
      </c>
      <c r="BE61" s="31">
        <f>Tercera!BE61</f>
        <v>0</v>
      </c>
      <c r="BF61" s="32">
        <f>IF($B61,BE61/$B61,-1)</f>
        <v>-1</v>
      </c>
      <c r="BG61" s="31">
        <f>Tercera!BG61</f>
        <v>0</v>
      </c>
      <c r="BH61" s="32">
        <f>IF($B61,BG61/$B61,-1)</f>
        <v>-1</v>
      </c>
      <c r="BI61" s="31">
        <f>Tercera!BI61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Tercera!B62</f>
        <v>0</v>
      </c>
      <c r="C62" s="31">
        <f>Tercera!C62</f>
        <v>0</v>
      </c>
      <c r="D62" s="32">
        <f>IF($B62,C62/$B62,-1)</f>
        <v>-1</v>
      </c>
      <c r="E62" s="31">
        <f>Tercera!E62</f>
        <v>0</v>
      </c>
      <c r="F62" s="32">
        <f>IF($B62,E62/$B62,-1)</f>
        <v>-1</v>
      </c>
      <c r="G62" s="31">
        <f>Tercera!G62</f>
        <v>0</v>
      </c>
      <c r="H62" s="32">
        <f>IF($B62,G62/$B62,-1)</f>
        <v>-1</v>
      </c>
      <c r="I62" s="31">
        <f>Tercera!I62</f>
        <v>0</v>
      </c>
      <c r="J62" s="32">
        <f>IF($B62,I62/$B62,-1)</f>
        <v>-1</v>
      </c>
      <c r="K62" s="31">
        <f>Tercera!K62</f>
        <v>0</v>
      </c>
      <c r="L62" s="32">
        <f>IF($B62,K62/$B62,-1)</f>
        <v>-1</v>
      </c>
      <c r="M62" s="31">
        <f>Tercera!M62</f>
        <v>0</v>
      </c>
      <c r="N62" s="32">
        <f>IF($B62,M62/$B62,-1)</f>
        <v>-1</v>
      </c>
      <c r="O62" s="31">
        <f>Tercera!O62</f>
        <v>0</v>
      </c>
      <c r="P62" s="32">
        <f>IF($B62,O62/$B62,-1)</f>
        <v>-1</v>
      </c>
      <c r="Q62" s="31">
        <f>Tercera!Q62</f>
        <v>0</v>
      </c>
      <c r="R62" s="32">
        <f>IF($B62,Q62/$B62,-1)</f>
        <v>-1</v>
      </c>
      <c r="S62" s="31">
        <f>Tercera!S62</f>
        <v>0</v>
      </c>
      <c r="T62" s="32">
        <f>IF($B62,S62/$B62,-1)</f>
        <v>-1</v>
      </c>
      <c r="U62" s="31">
        <f>Tercera!U62</f>
        <v>0</v>
      </c>
      <c r="V62" s="32">
        <f>IF($B62,U62/$B62,-1)</f>
        <v>-1</v>
      </c>
      <c r="W62" s="31">
        <f>Tercera!W62</f>
        <v>0</v>
      </c>
      <c r="X62" s="32">
        <f>IF($B62,W62/$B62,-1)</f>
        <v>-1</v>
      </c>
      <c r="Y62" s="31">
        <f>Tercera!Y62</f>
        <v>0</v>
      </c>
      <c r="Z62" s="32">
        <f>IF($B62,Y62/$B62,-1)</f>
        <v>-1</v>
      </c>
      <c r="AA62" s="31">
        <f>Tercera!AA62</f>
        <v>0</v>
      </c>
      <c r="AB62" s="32">
        <f>IF($B62,AA62/$B62,-1)</f>
        <v>-1</v>
      </c>
      <c r="AC62" s="31">
        <f>Tercera!AC62</f>
        <v>0</v>
      </c>
      <c r="AD62" s="32">
        <f>IF($B62,AC62/$B62,-1)</f>
        <v>-1</v>
      </c>
      <c r="AE62" s="31">
        <f>Tercera!AE62</f>
        <v>0</v>
      </c>
      <c r="AF62" s="32">
        <f>IF($B62,AE62/$B62,-1)</f>
        <v>-1</v>
      </c>
      <c r="AG62" s="31">
        <f>Tercera!AG62</f>
        <v>0</v>
      </c>
      <c r="AH62" s="32">
        <f>IF($B62,AG62/$B62,-1)</f>
        <v>-1</v>
      </c>
      <c r="AI62" s="31">
        <f>Tercera!AI62</f>
        <v>0</v>
      </c>
      <c r="AJ62" s="32">
        <f>IF($B62,AI62/$B62,-1)</f>
        <v>-1</v>
      </c>
      <c r="AK62" s="31">
        <f>Tercera!AK62</f>
        <v>0</v>
      </c>
      <c r="AL62" s="32">
        <f>IF($B62,AK62/$B62,-1)</f>
        <v>-1</v>
      </c>
      <c r="AM62" s="31">
        <f>Tercera!AM62</f>
        <v>0</v>
      </c>
      <c r="AN62" s="32">
        <f>IF($B62,AM62/$B62,-1)</f>
        <v>-1</v>
      </c>
      <c r="AO62" s="31">
        <f>Tercera!AO62</f>
        <v>0</v>
      </c>
      <c r="AP62" s="32">
        <f>IF($B62,AO62/$B62,-1)</f>
        <v>-1</v>
      </c>
      <c r="AQ62" s="31">
        <f>Tercera!AQ62</f>
        <v>0</v>
      </c>
      <c r="AR62" s="32">
        <f>IF($B62,AQ62/$B62,-1)</f>
        <v>-1</v>
      </c>
      <c r="AS62" s="31">
        <f>Tercera!AS62</f>
        <v>0</v>
      </c>
      <c r="AT62" s="32">
        <f>IF($B62,AS62/$B62,-1)</f>
        <v>-1</v>
      </c>
      <c r="AU62" s="31">
        <f>Tercera!AU62</f>
        <v>0</v>
      </c>
      <c r="AV62" s="32">
        <f>IF($B62,AU62/$B62,-1)</f>
        <v>-1</v>
      </c>
      <c r="AW62" s="31">
        <f>Tercera!AW62</f>
        <v>0</v>
      </c>
      <c r="AX62" s="32">
        <f>IF($B62,AW62/$B62,-1)</f>
        <v>-1</v>
      </c>
      <c r="AY62" s="31">
        <f>Tercera!AY62</f>
        <v>0</v>
      </c>
      <c r="AZ62" s="32">
        <f>IF($B62,AY62/$B62,-1)</f>
        <v>-1</v>
      </c>
      <c r="BA62" s="31">
        <f>Tercera!BA62</f>
        <v>0</v>
      </c>
      <c r="BB62" s="32">
        <f>IF($B62,BA62/$B62,-1)</f>
        <v>-1</v>
      </c>
      <c r="BC62" s="31">
        <f>Tercera!BC62</f>
        <v>0</v>
      </c>
      <c r="BD62" s="32">
        <f>IF($B62,BC62/$B62,-1)</f>
        <v>-1</v>
      </c>
      <c r="BE62" s="31">
        <f>Tercera!BE62</f>
        <v>0</v>
      </c>
      <c r="BF62" s="32">
        <f>IF($B62,BE62/$B62,-1)</f>
        <v>-1</v>
      </c>
      <c r="BG62" s="31">
        <f>Tercera!BG62</f>
        <v>0</v>
      </c>
      <c r="BH62" s="32">
        <f>IF($B62,BG62/$B62,-1)</f>
        <v>-1</v>
      </c>
      <c r="BI62" s="31">
        <f>Tercera!BI62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Tercera!B63</f>
        <v>0</v>
      </c>
      <c r="C63" s="31">
        <f>Tercera!C63</f>
        <v>0</v>
      </c>
      <c r="D63" s="32">
        <f>IF($B63,C63/$B63,-1)</f>
        <v>-1</v>
      </c>
      <c r="E63" s="31">
        <f>Tercera!E63</f>
        <v>0</v>
      </c>
      <c r="F63" s="32">
        <f>IF($B63,E63/$B63,-1)</f>
        <v>-1</v>
      </c>
      <c r="G63" s="31">
        <f>Tercera!G63</f>
        <v>0</v>
      </c>
      <c r="H63" s="32">
        <f>IF($B63,G63/$B63,-1)</f>
        <v>-1</v>
      </c>
      <c r="I63" s="31">
        <f>Tercera!I63</f>
        <v>0</v>
      </c>
      <c r="J63" s="32">
        <f>IF($B63,I63/$B63,-1)</f>
        <v>-1</v>
      </c>
      <c r="K63" s="31">
        <f>Tercera!K63</f>
        <v>0</v>
      </c>
      <c r="L63" s="32">
        <f>IF($B63,K63/$B63,-1)</f>
        <v>-1</v>
      </c>
      <c r="M63" s="31">
        <f>Tercera!M63</f>
        <v>0</v>
      </c>
      <c r="N63" s="32">
        <f>IF($B63,M63/$B63,-1)</f>
        <v>-1</v>
      </c>
      <c r="O63" s="31">
        <f>Tercera!O63</f>
        <v>0</v>
      </c>
      <c r="P63" s="32">
        <f>IF($B63,O63/$B63,-1)</f>
        <v>-1</v>
      </c>
      <c r="Q63" s="31">
        <f>Tercera!Q63</f>
        <v>0</v>
      </c>
      <c r="R63" s="32">
        <f>IF($B63,Q63/$B63,-1)</f>
        <v>-1</v>
      </c>
      <c r="S63" s="31">
        <f>Tercera!S63</f>
        <v>0</v>
      </c>
      <c r="T63" s="32">
        <f>IF($B63,S63/$B63,-1)</f>
        <v>-1</v>
      </c>
      <c r="U63" s="31">
        <f>Tercera!U63</f>
        <v>0</v>
      </c>
      <c r="V63" s="32">
        <f>IF($B63,U63/$B63,-1)</f>
        <v>-1</v>
      </c>
      <c r="W63" s="31">
        <f>Tercera!W63</f>
        <v>0</v>
      </c>
      <c r="X63" s="32">
        <f>IF($B63,W63/$B63,-1)</f>
        <v>-1</v>
      </c>
      <c r="Y63" s="31">
        <f>Tercera!Y63</f>
        <v>0</v>
      </c>
      <c r="Z63" s="32">
        <f>IF($B63,Y63/$B63,-1)</f>
        <v>-1</v>
      </c>
      <c r="AA63" s="31">
        <f>Tercera!AA63</f>
        <v>0</v>
      </c>
      <c r="AB63" s="32">
        <f>IF($B63,AA63/$B63,-1)</f>
        <v>-1</v>
      </c>
      <c r="AC63" s="31">
        <f>Tercera!AC63</f>
        <v>0</v>
      </c>
      <c r="AD63" s="32">
        <f>IF($B63,AC63/$B63,-1)</f>
        <v>-1</v>
      </c>
      <c r="AE63" s="31">
        <f>Tercera!AE63</f>
        <v>0</v>
      </c>
      <c r="AF63" s="32">
        <f>IF($B63,AE63/$B63,-1)</f>
        <v>-1</v>
      </c>
      <c r="AG63" s="31">
        <f>Tercera!AG63</f>
        <v>0</v>
      </c>
      <c r="AH63" s="32">
        <f>IF($B63,AG63/$B63,-1)</f>
        <v>-1</v>
      </c>
      <c r="AI63" s="31">
        <f>Tercera!AI63</f>
        <v>0</v>
      </c>
      <c r="AJ63" s="32">
        <f>IF($B63,AI63/$B63,-1)</f>
        <v>-1</v>
      </c>
      <c r="AK63" s="31">
        <f>Tercera!AK63</f>
        <v>0</v>
      </c>
      <c r="AL63" s="32">
        <f>IF($B63,AK63/$B63,-1)</f>
        <v>-1</v>
      </c>
      <c r="AM63" s="31">
        <f>Tercera!AM63</f>
        <v>0</v>
      </c>
      <c r="AN63" s="32">
        <f>IF($B63,AM63/$B63,-1)</f>
        <v>-1</v>
      </c>
      <c r="AO63" s="31">
        <f>Tercera!AO63</f>
        <v>0</v>
      </c>
      <c r="AP63" s="32">
        <f>IF($B63,AO63/$B63,-1)</f>
        <v>-1</v>
      </c>
      <c r="AQ63" s="31">
        <f>Tercera!AQ63</f>
        <v>0</v>
      </c>
      <c r="AR63" s="32">
        <f>IF($B63,AQ63/$B63,-1)</f>
        <v>-1</v>
      </c>
      <c r="AS63" s="31">
        <f>Tercera!AS63</f>
        <v>0</v>
      </c>
      <c r="AT63" s="32">
        <f>IF($B63,AS63/$B63,-1)</f>
        <v>-1</v>
      </c>
      <c r="AU63" s="31">
        <f>Tercera!AU63</f>
        <v>0</v>
      </c>
      <c r="AV63" s="32">
        <f>IF($B63,AU63/$B63,-1)</f>
        <v>-1</v>
      </c>
      <c r="AW63" s="31">
        <f>Tercera!AW63</f>
        <v>0</v>
      </c>
      <c r="AX63" s="32">
        <f>IF($B63,AW63/$B63,-1)</f>
        <v>-1</v>
      </c>
      <c r="AY63" s="31">
        <f>Tercera!AY63</f>
        <v>0</v>
      </c>
      <c r="AZ63" s="32">
        <f>IF($B63,AY63/$B63,-1)</f>
        <v>-1</v>
      </c>
      <c r="BA63" s="31">
        <f>Tercera!BA63</f>
        <v>0</v>
      </c>
      <c r="BB63" s="32">
        <f>IF($B63,BA63/$B63,-1)</f>
        <v>-1</v>
      </c>
      <c r="BC63" s="31">
        <f>Tercera!BC63</f>
        <v>0</v>
      </c>
      <c r="BD63" s="32">
        <f>IF($B63,BC63/$B63,-1)</f>
        <v>-1</v>
      </c>
      <c r="BE63" s="31">
        <f>Tercera!BE63</f>
        <v>0</v>
      </c>
      <c r="BF63" s="32">
        <f>IF($B63,BE63/$B63,-1)</f>
        <v>-1</v>
      </c>
      <c r="BG63" s="31">
        <f>Tercera!BG63</f>
        <v>0</v>
      </c>
      <c r="BH63" s="32">
        <f>IF($B63,BG63/$B63,-1)</f>
        <v>-1</v>
      </c>
      <c r="BI63" s="31">
        <f>Tercera!BI63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52" t="str">
        <f>IF(SUM($B65:$B85)&lt;&gt;0,SUM(C65:C85)/SUM($B65:$B85)*$B64*10, "")</f>
        <v/>
      </c>
      <c r="D64" s="52"/>
      <c r="E64" s="52" t="str">
        <f>IF(SUM($B65:$B85)&lt;&gt;0,SUM(E65:E85)/SUM($B65:$B85)*$B64*10, "")</f>
        <v/>
      </c>
      <c r="F64" s="52"/>
      <c r="G64" s="52" t="str">
        <f>IF(SUM($B65:$B85)&lt;&gt;0,SUM(G65:G85)/SUM($B65:$B85)*$B64*10, "")</f>
        <v/>
      </c>
      <c r="H64" s="52"/>
      <c r="I64" s="52" t="str">
        <f>IF(SUM($B65:$B85)&lt;&gt;0,SUM(I65:I85)/SUM($B65:$B85)*$B64*10, "")</f>
        <v/>
      </c>
      <c r="J64" s="52"/>
      <c r="K64" s="52" t="str">
        <f>IF(SUM($B65:$B85)&lt;&gt;0,SUM(K65:K85)/SUM($B65:$B85)*$B64*10, "")</f>
        <v/>
      </c>
      <c r="L64" s="52"/>
      <c r="M64" s="52" t="str">
        <f>IF(SUM($B65:$B85)&lt;&gt;0,SUM(M65:M85)/SUM($B65:$B85)*$B64*10, "")</f>
        <v/>
      </c>
      <c r="N64" s="52"/>
      <c r="O64" s="52" t="str">
        <f>IF(SUM($B65:$B85)&lt;&gt;0,SUM(O65:O85)/SUM($B65:$B85)*$B64*10, "")</f>
        <v/>
      </c>
      <c r="P64" s="52"/>
      <c r="Q64" s="52" t="str">
        <f>IF(SUM($B65:$B85)&lt;&gt;0,SUM(Q65:Q85)/SUM($B65:$B85)*$B64*10, "")</f>
        <v/>
      </c>
      <c r="R64" s="52"/>
      <c r="S64" s="52" t="str">
        <f>IF(SUM($B65:$B85)&lt;&gt;0,SUM(S65:S85)/SUM($B65:$B85)*$B64*10, "")</f>
        <v/>
      </c>
      <c r="T64" s="52"/>
      <c r="U64" s="52" t="str">
        <f>IF(SUM($B65:$B85)&lt;&gt;0,SUM(U65:U85)/SUM($B65:$B85)*$B64*10, "")</f>
        <v/>
      </c>
      <c r="V64" s="52"/>
      <c r="W64" s="52" t="str">
        <f>IF(SUM($B65:$B85)&lt;&gt;0,SUM(W65:W85)/SUM($B65:$B85)*$B64*10, "")</f>
        <v/>
      </c>
      <c r="X64" s="52"/>
      <c r="Y64" s="52" t="str">
        <f>IF(SUM($B65:$B85)&lt;&gt;0,SUM(Y65:Y85)/SUM($B65:$B85)*$B64*10, "")</f>
        <v/>
      </c>
      <c r="Z64" s="52"/>
      <c r="AA64" s="52" t="str">
        <f>IF(SUM($B65:$B85)&lt;&gt;0,SUM(AA65:AA85)/SUM($B65:$B85)*$B64*10, "")</f>
        <v/>
      </c>
      <c r="AB64" s="52"/>
      <c r="AC64" s="52" t="str">
        <f>IF(SUM($B65:$B85)&lt;&gt;0,SUM(AC65:AC85)/SUM($B65:$B85)*$B64*10, "")</f>
        <v/>
      </c>
      <c r="AD64" s="52"/>
      <c r="AE64" s="52" t="str">
        <f>IF(SUM($B65:$B85)&lt;&gt;0,SUM(AE65:AE85)/SUM($B65:$B85)*$B64*10, "")</f>
        <v/>
      </c>
      <c r="AF64" s="52"/>
      <c r="AG64" s="52" t="str">
        <f>IF(SUM($B65:$B85)&lt;&gt;0,SUM(AG65:AG85)/SUM($B65:$B85)*$B64*10, "")</f>
        <v/>
      </c>
      <c r="AH64" s="52"/>
      <c r="AI64" s="52" t="str">
        <f>IF(SUM($B65:$B85)&lt;&gt;0,SUM(AI65:AI85)/SUM($B65:$B85)*$B64*10, "")</f>
        <v/>
      </c>
      <c r="AJ64" s="52"/>
      <c r="AK64" s="52" t="str">
        <f>IF(SUM($B65:$B85)&lt;&gt;0,SUM(AK65:AK85)/SUM($B65:$B85)*$B64*10, "")</f>
        <v/>
      </c>
      <c r="AL64" s="52"/>
      <c r="AM64" s="52" t="str">
        <f>IF(SUM($B65:$B85)&lt;&gt;0,SUM(AM65:AM85)/SUM($B65:$B85)*$B64*10, "")</f>
        <v/>
      </c>
      <c r="AN64" s="52"/>
      <c r="AO64" s="52" t="str">
        <f>IF(SUM($B65:$B85)&lt;&gt;0,SUM(AO65:AO85)/SUM($B65:$B85)*$B64*10, "")</f>
        <v/>
      </c>
      <c r="AP64" s="52"/>
      <c r="AQ64" s="52" t="str">
        <f>IF(SUM($B65:$B85)&lt;&gt;0,SUM(AQ65:AQ85)/SUM($B65:$B85)*$B64*10, "")</f>
        <v/>
      </c>
      <c r="AR64" s="52"/>
      <c r="AS64" s="52" t="str">
        <f>IF(SUM($B65:$B85)&lt;&gt;0,SUM(AS65:AS85)/SUM($B65:$B85)*$B64*10, "")</f>
        <v/>
      </c>
      <c r="AT64" s="52"/>
      <c r="AU64" s="52" t="str">
        <f>IF(SUM($B65:$B85)&lt;&gt;0,SUM(AU65:AU85)/SUM($B65:$B85)*$B64*10, "")</f>
        <v/>
      </c>
      <c r="AV64" s="52"/>
      <c r="AW64" s="52" t="str">
        <f>IF(SUM($B65:$B85)&lt;&gt;0,SUM(AW65:AW85)/SUM($B65:$B85)*$B64*10, "")</f>
        <v/>
      </c>
      <c r="AX64" s="52"/>
      <c r="AY64" s="52" t="str">
        <f>IF(SUM($B65:$B85)&lt;&gt;0,SUM(AY65:AY85)/SUM($B65:$B85)*$B64*10, "")</f>
        <v/>
      </c>
      <c r="AZ64" s="52"/>
      <c r="BA64" s="52" t="str">
        <f>IF(SUM($B65:$B85)&lt;&gt;0,SUM(BA65:BA85)/SUM($B65:$B85)*$B64*10, "")</f>
        <v/>
      </c>
      <c r="BB64" s="52"/>
      <c r="BC64" s="52" t="str">
        <f>IF(SUM($B65:$B85)&lt;&gt;0,SUM(BC65:BC85)/SUM($B65:$B85)*$B64*10, "")</f>
        <v/>
      </c>
      <c r="BD64" s="52"/>
      <c r="BE64" s="52" t="str">
        <f>IF(SUM($B65:$B85)&lt;&gt;0,SUM(BE65:BE85)/SUM($B65:$B85)*$B64*10, "")</f>
        <v/>
      </c>
      <c r="BF64" s="52"/>
      <c r="BG64" s="52" t="str">
        <f>IF(SUM($B65:$B85)&lt;&gt;0,SUM(BG65:BG85)/SUM($B65:$B85)*$B64*10, "")</f>
        <v/>
      </c>
      <c r="BH64" s="52"/>
      <c r="BI64" s="52" t="str">
        <f>IF(SUM($B65:$B85)&lt;&gt;0,SUM(BI65:BI85)/SUM($B65:$B85)*$B64*10, "")</f>
        <v/>
      </c>
      <c r="BJ64" s="52"/>
    </row>
    <row r="65" spans="1:62" ht="56" x14ac:dyDescent="0.2">
      <c r="A65" s="2" t="s">
        <v>63</v>
      </c>
      <c r="B65" s="13">
        <f>Tercera!B65</f>
        <v>0</v>
      </c>
      <c r="C65" s="31">
        <f>Tercera!C65</f>
        <v>0</v>
      </c>
      <c r="D65" s="32">
        <f t="shared" ref="D65:D85" si="119">IF($B65,C65/$B65,-1)</f>
        <v>-1</v>
      </c>
      <c r="E65" s="31">
        <f>Tercera!E65</f>
        <v>0</v>
      </c>
      <c r="F65" s="32">
        <f t="shared" ref="F65:F85" si="120">IF($B65,E65/$B65,-1)</f>
        <v>-1</v>
      </c>
      <c r="G65" s="31">
        <f>Tercera!G65</f>
        <v>0</v>
      </c>
      <c r="H65" s="32">
        <f t="shared" ref="H65:H85" si="121">IF($B65,G65/$B65,-1)</f>
        <v>-1</v>
      </c>
      <c r="I65" s="31">
        <f>Tercera!I65</f>
        <v>0</v>
      </c>
      <c r="J65" s="32">
        <f t="shared" ref="J65:J85" si="122">IF($B65,I65/$B65,-1)</f>
        <v>-1</v>
      </c>
      <c r="K65" s="31">
        <f>Tercera!K65</f>
        <v>0</v>
      </c>
      <c r="L65" s="32">
        <f t="shared" ref="L65:L85" si="123">IF($B65,K65/$B65,-1)</f>
        <v>-1</v>
      </c>
      <c r="M65" s="31">
        <f>Tercera!M65</f>
        <v>0</v>
      </c>
      <c r="N65" s="32">
        <f t="shared" ref="N65:N85" si="124">IF($B65,M65/$B65,-1)</f>
        <v>-1</v>
      </c>
      <c r="O65" s="31">
        <f>Tercera!O65</f>
        <v>0</v>
      </c>
      <c r="P65" s="32">
        <f t="shared" ref="P65:P85" si="125">IF($B65,O65/$B65,-1)</f>
        <v>-1</v>
      </c>
      <c r="Q65" s="31">
        <f>Tercera!Q65</f>
        <v>0</v>
      </c>
      <c r="R65" s="32">
        <f t="shared" ref="R65:R85" si="126">IF($B65,Q65/$B65,-1)</f>
        <v>-1</v>
      </c>
      <c r="S65" s="31">
        <f>Tercera!S65</f>
        <v>0</v>
      </c>
      <c r="T65" s="32">
        <f t="shared" ref="T65:T85" si="127">IF($B65,S65/$B65,-1)</f>
        <v>-1</v>
      </c>
      <c r="U65" s="31">
        <f>Tercera!U65</f>
        <v>0</v>
      </c>
      <c r="V65" s="32">
        <f t="shared" ref="V65:V85" si="128">IF($B65,U65/$B65,-1)</f>
        <v>-1</v>
      </c>
      <c r="W65" s="31">
        <f>Tercera!W65</f>
        <v>0</v>
      </c>
      <c r="X65" s="32">
        <f t="shared" ref="X65:X85" si="129">IF($B65,W65/$B65,-1)</f>
        <v>-1</v>
      </c>
      <c r="Y65" s="31">
        <f>Tercera!Y65</f>
        <v>0</v>
      </c>
      <c r="Z65" s="32">
        <f t="shared" ref="Z65:Z85" si="130">IF($B65,Y65/$B65,-1)</f>
        <v>-1</v>
      </c>
      <c r="AA65" s="31">
        <f>Tercera!AA65</f>
        <v>0</v>
      </c>
      <c r="AB65" s="32">
        <f t="shared" ref="AB65:AB85" si="131">IF($B65,AA65/$B65,-1)</f>
        <v>-1</v>
      </c>
      <c r="AC65" s="31">
        <f>Tercera!AC65</f>
        <v>0</v>
      </c>
      <c r="AD65" s="32">
        <f t="shared" ref="AD65:AD85" si="132">IF($B65,AC65/$B65,-1)</f>
        <v>-1</v>
      </c>
      <c r="AE65" s="31">
        <f>Tercera!AE65</f>
        <v>0</v>
      </c>
      <c r="AF65" s="32">
        <f t="shared" ref="AF65:AF85" si="133">IF($B65,AE65/$B65,-1)</f>
        <v>-1</v>
      </c>
      <c r="AG65" s="31">
        <f>Tercera!AG65</f>
        <v>0</v>
      </c>
      <c r="AH65" s="32">
        <f t="shared" ref="AH65:AH85" si="134">IF($B65,AG65/$B65,-1)</f>
        <v>-1</v>
      </c>
      <c r="AI65" s="31">
        <f>Tercera!AI65</f>
        <v>0</v>
      </c>
      <c r="AJ65" s="32">
        <f t="shared" ref="AJ65:AJ85" si="135">IF($B65,AI65/$B65,-1)</f>
        <v>-1</v>
      </c>
      <c r="AK65" s="31">
        <f>Tercera!AK65</f>
        <v>0</v>
      </c>
      <c r="AL65" s="32">
        <f t="shared" ref="AL65:AL85" si="136">IF($B65,AK65/$B65,-1)</f>
        <v>-1</v>
      </c>
      <c r="AM65" s="31">
        <f>Tercera!AM65</f>
        <v>0</v>
      </c>
      <c r="AN65" s="32">
        <f t="shared" ref="AN65:AN85" si="137">IF($B65,AM65/$B65,-1)</f>
        <v>-1</v>
      </c>
      <c r="AO65" s="31">
        <f>Tercera!AO65</f>
        <v>0</v>
      </c>
      <c r="AP65" s="32">
        <f t="shared" ref="AP65:AP85" si="138">IF($B65,AO65/$B65,-1)</f>
        <v>-1</v>
      </c>
      <c r="AQ65" s="31">
        <f>Tercera!AQ65</f>
        <v>0</v>
      </c>
      <c r="AR65" s="32">
        <f t="shared" ref="AR65:AR85" si="139">IF($B65,AQ65/$B65,-1)</f>
        <v>-1</v>
      </c>
      <c r="AS65" s="31">
        <f>Tercera!AS65</f>
        <v>0</v>
      </c>
      <c r="AT65" s="32">
        <f t="shared" ref="AT65:AT85" si="140">IF($B65,AS65/$B65,-1)</f>
        <v>-1</v>
      </c>
      <c r="AU65" s="31">
        <f>Tercera!AU65</f>
        <v>0</v>
      </c>
      <c r="AV65" s="32">
        <f t="shared" ref="AV65:AV85" si="141">IF($B65,AU65/$B65,-1)</f>
        <v>-1</v>
      </c>
      <c r="AW65" s="31">
        <f>Tercera!AW65</f>
        <v>0</v>
      </c>
      <c r="AX65" s="32">
        <f t="shared" ref="AX65:AX85" si="142">IF($B65,AW65/$B65,-1)</f>
        <v>-1</v>
      </c>
      <c r="AY65" s="31">
        <f>Tercera!AY65</f>
        <v>0</v>
      </c>
      <c r="AZ65" s="32">
        <f t="shared" ref="AZ65:AZ85" si="143">IF($B65,AY65/$B65,-1)</f>
        <v>-1</v>
      </c>
      <c r="BA65" s="31">
        <f>Tercera!BA65</f>
        <v>0</v>
      </c>
      <c r="BB65" s="32">
        <f t="shared" ref="BB65:BB85" si="144">IF($B65,BA65/$B65,-1)</f>
        <v>-1</v>
      </c>
      <c r="BC65" s="31">
        <f>Tercera!BC65</f>
        <v>0</v>
      </c>
      <c r="BD65" s="32">
        <f t="shared" ref="BD65:BD85" si="145">IF($B65,BC65/$B65,-1)</f>
        <v>-1</v>
      </c>
      <c r="BE65" s="31">
        <f>Tercera!BE65</f>
        <v>0</v>
      </c>
      <c r="BF65" s="32">
        <f t="shared" ref="BF65:BF85" si="146">IF($B65,BE65/$B65,-1)</f>
        <v>-1</v>
      </c>
      <c r="BG65" s="31">
        <f>Tercera!BG65</f>
        <v>0</v>
      </c>
      <c r="BH65" s="32">
        <f t="shared" ref="BH65:BH85" si="147">IF($B65,BG65/$B65,-1)</f>
        <v>-1</v>
      </c>
      <c r="BI65" s="31">
        <f>Tercera!BI65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Tercera!B66</f>
        <v>0</v>
      </c>
      <c r="C66" s="31">
        <f>Tercera!C66</f>
        <v>0</v>
      </c>
      <c r="D66" s="32">
        <f t="shared" si="119"/>
        <v>-1</v>
      </c>
      <c r="E66" s="31">
        <f>Tercera!E66</f>
        <v>0</v>
      </c>
      <c r="F66" s="32">
        <f t="shared" si="120"/>
        <v>-1</v>
      </c>
      <c r="G66" s="31">
        <f>Tercera!G66</f>
        <v>0</v>
      </c>
      <c r="H66" s="32">
        <f t="shared" si="121"/>
        <v>-1</v>
      </c>
      <c r="I66" s="31">
        <f>Tercera!I66</f>
        <v>0</v>
      </c>
      <c r="J66" s="32">
        <f t="shared" si="122"/>
        <v>-1</v>
      </c>
      <c r="K66" s="31">
        <f>Tercera!K66</f>
        <v>0</v>
      </c>
      <c r="L66" s="32">
        <f t="shared" si="123"/>
        <v>-1</v>
      </c>
      <c r="M66" s="31">
        <f>Tercera!M66</f>
        <v>0</v>
      </c>
      <c r="N66" s="32">
        <f t="shared" si="124"/>
        <v>-1</v>
      </c>
      <c r="O66" s="31">
        <f>Tercera!O66</f>
        <v>0</v>
      </c>
      <c r="P66" s="32">
        <f t="shared" si="125"/>
        <v>-1</v>
      </c>
      <c r="Q66" s="31">
        <f>Tercera!Q66</f>
        <v>0</v>
      </c>
      <c r="R66" s="32">
        <f t="shared" si="126"/>
        <v>-1</v>
      </c>
      <c r="S66" s="31">
        <f>Tercera!S66</f>
        <v>0</v>
      </c>
      <c r="T66" s="32">
        <f t="shared" si="127"/>
        <v>-1</v>
      </c>
      <c r="U66" s="31">
        <f>Tercera!U66</f>
        <v>0</v>
      </c>
      <c r="V66" s="32">
        <f t="shared" si="128"/>
        <v>-1</v>
      </c>
      <c r="W66" s="31">
        <f>Tercera!W66</f>
        <v>0</v>
      </c>
      <c r="X66" s="32">
        <f t="shared" si="129"/>
        <v>-1</v>
      </c>
      <c r="Y66" s="31">
        <f>Tercera!Y66</f>
        <v>0</v>
      </c>
      <c r="Z66" s="32">
        <f t="shared" si="130"/>
        <v>-1</v>
      </c>
      <c r="AA66" s="31">
        <f>Tercera!AA66</f>
        <v>0</v>
      </c>
      <c r="AB66" s="32">
        <f t="shared" si="131"/>
        <v>-1</v>
      </c>
      <c r="AC66" s="31">
        <f>Tercera!AC66</f>
        <v>0</v>
      </c>
      <c r="AD66" s="32">
        <f t="shared" si="132"/>
        <v>-1</v>
      </c>
      <c r="AE66" s="31">
        <f>Tercera!AE66</f>
        <v>0</v>
      </c>
      <c r="AF66" s="32">
        <f t="shared" si="133"/>
        <v>-1</v>
      </c>
      <c r="AG66" s="31">
        <f>Tercera!AG66</f>
        <v>0</v>
      </c>
      <c r="AH66" s="32">
        <f t="shared" si="134"/>
        <v>-1</v>
      </c>
      <c r="AI66" s="31">
        <f>Tercera!AI66</f>
        <v>0</v>
      </c>
      <c r="AJ66" s="32">
        <f t="shared" si="135"/>
        <v>-1</v>
      </c>
      <c r="AK66" s="31">
        <f>Tercera!AK66</f>
        <v>0</v>
      </c>
      <c r="AL66" s="32">
        <f t="shared" si="136"/>
        <v>-1</v>
      </c>
      <c r="AM66" s="31">
        <f>Tercera!AM66</f>
        <v>0</v>
      </c>
      <c r="AN66" s="32">
        <f t="shared" si="137"/>
        <v>-1</v>
      </c>
      <c r="AO66" s="31">
        <f>Tercera!AO66</f>
        <v>0</v>
      </c>
      <c r="AP66" s="32">
        <f t="shared" si="138"/>
        <v>-1</v>
      </c>
      <c r="AQ66" s="31">
        <f>Tercera!AQ66</f>
        <v>0</v>
      </c>
      <c r="AR66" s="32">
        <f t="shared" si="139"/>
        <v>-1</v>
      </c>
      <c r="AS66" s="31">
        <f>Tercera!AS66</f>
        <v>0</v>
      </c>
      <c r="AT66" s="32">
        <f t="shared" si="140"/>
        <v>-1</v>
      </c>
      <c r="AU66" s="31">
        <f>Tercera!AU66</f>
        <v>0</v>
      </c>
      <c r="AV66" s="32">
        <f t="shared" si="141"/>
        <v>-1</v>
      </c>
      <c r="AW66" s="31">
        <f>Tercera!AW66</f>
        <v>0</v>
      </c>
      <c r="AX66" s="32">
        <f t="shared" si="142"/>
        <v>-1</v>
      </c>
      <c r="AY66" s="31">
        <f>Tercera!AY66</f>
        <v>0</v>
      </c>
      <c r="AZ66" s="32">
        <f t="shared" si="143"/>
        <v>-1</v>
      </c>
      <c r="BA66" s="31">
        <f>Tercera!BA66</f>
        <v>0</v>
      </c>
      <c r="BB66" s="32">
        <f t="shared" si="144"/>
        <v>-1</v>
      </c>
      <c r="BC66" s="31">
        <f>Tercera!BC66</f>
        <v>0</v>
      </c>
      <c r="BD66" s="32">
        <f t="shared" si="145"/>
        <v>-1</v>
      </c>
      <c r="BE66" s="31">
        <f>Tercera!BE66</f>
        <v>0</v>
      </c>
      <c r="BF66" s="32">
        <f t="shared" si="146"/>
        <v>-1</v>
      </c>
      <c r="BG66" s="31">
        <f>Tercera!BG66</f>
        <v>0</v>
      </c>
      <c r="BH66" s="32">
        <f t="shared" si="147"/>
        <v>-1</v>
      </c>
      <c r="BI66" s="31">
        <f>Tercera!BI66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Tercera!B67</f>
        <v>0</v>
      </c>
      <c r="C67" s="31">
        <f>Tercera!C67</f>
        <v>0</v>
      </c>
      <c r="D67" s="32">
        <f t="shared" si="119"/>
        <v>-1</v>
      </c>
      <c r="E67" s="31">
        <f>Tercera!E67</f>
        <v>0</v>
      </c>
      <c r="F67" s="32">
        <f t="shared" si="120"/>
        <v>-1</v>
      </c>
      <c r="G67" s="31">
        <f>Tercera!G67</f>
        <v>0</v>
      </c>
      <c r="H67" s="32">
        <f t="shared" si="121"/>
        <v>-1</v>
      </c>
      <c r="I67" s="31">
        <f>Tercera!I67</f>
        <v>0</v>
      </c>
      <c r="J67" s="32">
        <f t="shared" si="122"/>
        <v>-1</v>
      </c>
      <c r="K67" s="31">
        <f>Tercera!K67</f>
        <v>0</v>
      </c>
      <c r="L67" s="32">
        <f t="shared" si="123"/>
        <v>-1</v>
      </c>
      <c r="M67" s="31">
        <f>Tercera!M67</f>
        <v>0</v>
      </c>
      <c r="N67" s="32">
        <f t="shared" si="124"/>
        <v>-1</v>
      </c>
      <c r="O67" s="31">
        <f>Tercera!O67</f>
        <v>0</v>
      </c>
      <c r="P67" s="32">
        <f t="shared" si="125"/>
        <v>-1</v>
      </c>
      <c r="Q67" s="31">
        <f>Tercera!Q67</f>
        <v>0</v>
      </c>
      <c r="R67" s="32">
        <f t="shared" si="126"/>
        <v>-1</v>
      </c>
      <c r="S67" s="31">
        <f>Tercera!S67</f>
        <v>0</v>
      </c>
      <c r="T67" s="32">
        <f t="shared" si="127"/>
        <v>-1</v>
      </c>
      <c r="U67" s="31">
        <f>Tercera!U67</f>
        <v>0</v>
      </c>
      <c r="V67" s="32">
        <f t="shared" si="128"/>
        <v>-1</v>
      </c>
      <c r="W67" s="31">
        <f>Tercera!W67</f>
        <v>0</v>
      </c>
      <c r="X67" s="32">
        <f t="shared" si="129"/>
        <v>-1</v>
      </c>
      <c r="Y67" s="31">
        <f>Tercera!Y67</f>
        <v>0</v>
      </c>
      <c r="Z67" s="32">
        <f t="shared" si="130"/>
        <v>-1</v>
      </c>
      <c r="AA67" s="31">
        <f>Tercera!AA67</f>
        <v>0</v>
      </c>
      <c r="AB67" s="32">
        <f t="shared" si="131"/>
        <v>-1</v>
      </c>
      <c r="AC67" s="31">
        <f>Tercera!AC67</f>
        <v>0</v>
      </c>
      <c r="AD67" s="32">
        <f t="shared" si="132"/>
        <v>-1</v>
      </c>
      <c r="AE67" s="31">
        <f>Tercera!AE67</f>
        <v>0</v>
      </c>
      <c r="AF67" s="32">
        <f t="shared" si="133"/>
        <v>-1</v>
      </c>
      <c r="AG67" s="31">
        <f>Tercera!AG67</f>
        <v>0</v>
      </c>
      <c r="AH67" s="32">
        <f t="shared" si="134"/>
        <v>-1</v>
      </c>
      <c r="AI67" s="31">
        <f>Tercera!AI67</f>
        <v>0</v>
      </c>
      <c r="AJ67" s="32">
        <f t="shared" si="135"/>
        <v>-1</v>
      </c>
      <c r="AK67" s="31">
        <f>Tercera!AK67</f>
        <v>0</v>
      </c>
      <c r="AL67" s="32">
        <f t="shared" si="136"/>
        <v>-1</v>
      </c>
      <c r="AM67" s="31">
        <f>Tercera!AM67</f>
        <v>0</v>
      </c>
      <c r="AN67" s="32">
        <f t="shared" si="137"/>
        <v>-1</v>
      </c>
      <c r="AO67" s="31">
        <f>Tercera!AO67</f>
        <v>0</v>
      </c>
      <c r="AP67" s="32">
        <f t="shared" si="138"/>
        <v>-1</v>
      </c>
      <c r="AQ67" s="31">
        <f>Tercera!AQ67</f>
        <v>0</v>
      </c>
      <c r="AR67" s="32">
        <f t="shared" si="139"/>
        <v>-1</v>
      </c>
      <c r="AS67" s="31">
        <f>Tercera!AS67</f>
        <v>0</v>
      </c>
      <c r="AT67" s="32">
        <f t="shared" si="140"/>
        <v>-1</v>
      </c>
      <c r="AU67" s="31">
        <f>Tercera!AU67</f>
        <v>0</v>
      </c>
      <c r="AV67" s="32">
        <f t="shared" si="141"/>
        <v>-1</v>
      </c>
      <c r="AW67" s="31">
        <f>Tercera!AW67</f>
        <v>0</v>
      </c>
      <c r="AX67" s="32">
        <f t="shared" si="142"/>
        <v>-1</v>
      </c>
      <c r="AY67" s="31">
        <f>Tercera!AY67</f>
        <v>0</v>
      </c>
      <c r="AZ67" s="32">
        <f t="shared" si="143"/>
        <v>-1</v>
      </c>
      <c r="BA67" s="31">
        <f>Tercera!BA67</f>
        <v>0</v>
      </c>
      <c r="BB67" s="32">
        <f t="shared" si="144"/>
        <v>-1</v>
      </c>
      <c r="BC67" s="31">
        <f>Tercera!BC67</f>
        <v>0</v>
      </c>
      <c r="BD67" s="32">
        <f t="shared" si="145"/>
        <v>-1</v>
      </c>
      <c r="BE67" s="31">
        <f>Tercera!BE67</f>
        <v>0</v>
      </c>
      <c r="BF67" s="32">
        <f t="shared" si="146"/>
        <v>-1</v>
      </c>
      <c r="BG67" s="31">
        <f>Tercera!BG67</f>
        <v>0</v>
      </c>
      <c r="BH67" s="32">
        <f t="shared" si="147"/>
        <v>-1</v>
      </c>
      <c r="BI67" s="31">
        <f>Tercera!BI67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Tercera!B68</f>
        <v>0</v>
      </c>
      <c r="C68" s="31">
        <f>Tercera!C68</f>
        <v>0</v>
      </c>
      <c r="D68" s="32">
        <f t="shared" si="119"/>
        <v>-1</v>
      </c>
      <c r="E68" s="31">
        <f>Tercera!E68</f>
        <v>0</v>
      </c>
      <c r="F68" s="32">
        <f t="shared" si="120"/>
        <v>-1</v>
      </c>
      <c r="G68" s="31">
        <f>Tercera!G68</f>
        <v>0</v>
      </c>
      <c r="H68" s="32">
        <f t="shared" si="121"/>
        <v>-1</v>
      </c>
      <c r="I68" s="31">
        <f>Tercera!I68</f>
        <v>0</v>
      </c>
      <c r="J68" s="32">
        <f t="shared" si="122"/>
        <v>-1</v>
      </c>
      <c r="K68" s="31">
        <f>Tercera!K68</f>
        <v>0</v>
      </c>
      <c r="L68" s="32">
        <f t="shared" si="123"/>
        <v>-1</v>
      </c>
      <c r="M68" s="31">
        <f>Tercera!M68</f>
        <v>0</v>
      </c>
      <c r="N68" s="32">
        <f t="shared" si="124"/>
        <v>-1</v>
      </c>
      <c r="O68" s="31">
        <f>Tercera!O68</f>
        <v>0</v>
      </c>
      <c r="P68" s="32">
        <f t="shared" si="125"/>
        <v>-1</v>
      </c>
      <c r="Q68" s="31">
        <f>Tercera!Q68</f>
        <v>0</v>
      </c>
      <c r="R68" s="32">
        <f t="shared" si="126"/>
        <v>-1</v>
      </c>
      <c r="S68" s="31">
        <f>Tercera!S68</f>
        <v>0</v>
      </c>
      <c r="T68" s="32">
        <f t="shared" si="127"/>
        <v>-1</v>
      </c>
      <c r="U68" s="31">
        <f>Tercera!U68</f>
        <v>0</v>
      </c>
      <c r="V68" s="32">
        <f t="shared" si="128"/>
        <v>-1</v>
      </c>
      <c r="W68" s="31">
        <f>Tercera!W68</f>
        <v>0</v>
      </c>
      <c r="X68" s="32">
        <f t="shared" si="129"/>
        <v>-1</v>
      </c>
      <c r="Y68" s="31">
        <f>Tercera!Y68</f>
        <v>0</v>
      </c>
      <c r="Z68" s="32">
        <f t="shared" si="130"/>
        <v>-1</v>
      </c>
      <c r="AA68" s="31">
        <f>Tercera!AA68</f>
        <v>0</v>
      </c>
      <c r="AB68" s="32">
        <f t="shared" si="131"/>
        <v>-1</v>
      </c>
      <c r="AC68" s="31">
        <f>Tercera!AC68</f>
        <v>0</v>
      </c>
      <c r="AD68" s="32">
        <f t="shared" si="132"/>
        <v>-1</v>
      </c>
      <c r="AE68" s="31">
        <f>Tercera!AE68</f>
        <v>0</v>
      </c>
      <c r="AF68" s="32">
        <f t="shared" si="133"/>
        <v>-1</v>
      </c>
      <c r="AG68" s="31">
        <f>Tercera!AG68</f>
        <v>0</v>
      </c>
      <c r="AH68" s="32">
        <f t="shared" si="134"/>
        <v>-1</v>
      </c>
      <c r="AI68" s="31">
        <f>Tercera!AI68</f>
        <v>0</v>
      </c>
      <c r="AJ68" s="32">
        <f t="shared" si="135"/>
        <v>-1</v>
      </c>
      <c r="AK68" s="31">
        <f>Tercera!AK68</f>
        <v>0</v>
      </c>
      <c r="AL68" s="32">
        <f t="shared" si="136"/>
        <v>-1</v>
      </c>
      <c r="AM68" s="31">
        <f>Tercera!AM68</f>
        <v>0</v>
      </c>
      <c r="AN68" s="32">
        <f t="shared" si="137"/>
        <v>-1</v>
      </c>
      <c r="AO68" s="31">
        <f>Tercera!AO68</f>
        <v>0</v>
      </c>
      <c r="AP68" s="32">
        <f t="shared" si="138"/>
        <v>-1</v>
      </c>
      <c r="AQ68" s="31">
        <f>Tercera!AQ68</f>
        <v>0</v>
      </c>
      <c r="AR68" s="32">
        <f t="shared" si="139"/>
        <v>-1</v>
      </c>
      <c r="AS68" s="31">
        <f>Tercera!AS68</f>
        <v>0</v>
      </c>
      <c r="AT68" s="32">
        <f t="shared" si="140"/>
        <v>-1</v>
      </c>
      <c r="AU68" s="31">
        <f>Tercera!AU68</f>
        <v>0</v>
      </c>
      <c r="AV68" s="32">
        <f t="shared" si="141"/>
        <v>-1</v>
      </c>
      <c r="AW68" s="31">
        <f>Tercera!AW68</f>
        <v>0</v>
      </c>
      <c r="AX68" s="32">
        <f t="shared" si="142"/>
        <v>-1</v>
      </c>
      <c r="AY68" s="31">
        <f>Tercera!AY68</f>
        <v>0</v>
      </c>
      <c r="AZ68" s="32">
        <f t="shared" si="143"/>
        <v>-1</v>
      </c>
      <c r="BA68" s="31">
        <f>Tercera!BA68</f>
        <v>0</v>
      </c>
      <c r="BB68" s="32">
        <f t="shared" si="144"/>
        <v>-1</v>
      </c>
      <c r="BC68" s="31">
        <f>Tercera!BC68</f>
        <v>0</v>
      </c>
      <c r="BD68" s="32">
        <f t="shared" si="145"/>
        <v>-1</v>
      </c>
      <c r="BE68" s="31">
        <f>Tercera!BE68</f>
        <v>0</v>
      </c>
      <c r="BF68" s="32">
        <f t="shared" si="146"/>
        <v>-1</v>
      </c>
      <c r="BG68" s="31">
        <f>Tercera!BG68</f>
        <v>0</v>
      </c>
      <c r="BH68" s="32">
        <f t="shared" si="147"/>
        <v>-1</v>
      </c>
      <c r="BI68" s="31">
        <f>Tercera!BI68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Tercera!B69</f>
        <v>0</v>
      </c>
      <c r="C69" s="31">
        <f>Tercera!C69</f>
        <v>0</v>
      </c>
      <c r="D69" s="32">
        <f t="shared" si="119"/>
        <v>-1</v>
      </c>
      <c r="E69" s="31">
        <f>Tercera!E69</f>
        <v>0</v>
      </c>
      <c r="F69" s="32">
        <f t="shared" si="120"/>
        <v>-1</v>
      </c>
      <c r="G69" s="31">
        <f>Tercera!G69</f>
        <v>0</v>
      </c>
      <c r="H69" s="32">
        <f t="shared" si="121"/>
        <v>-1</v>
      </c>
      <c r="I69" s="31">
        <f>Tercera!I69</f>
        <v>0</v>
      </c>
      <c r="J69" s="32">
        <f t="shared" si="122"/>
        <v>-1</v>
      </c>
      <c r="K69" s="31">
        <f>Tercera!K69</f>
        <v>0</v>
      </c>
      <c r="L69" s="32">
        <f t="shared" si="123"/>
        <v>-1</v>
      </c>
      <c r="M69" s="31">
        <f>Tercera!M69</f>
        <v>0</v>
      </c>
      <c r="N69" s="32">
        <f t="shared" si="124"/>
        <v>-1</v>
      </c>
      <c r="O69" s="31">
        <f>Tercera!O69</f>
        <v>0</v>
      </c>
      <c r="P69" s="32">
        <f t="shared" si="125"/>
        <v>-1</v>
      </c>
      <c r="Q69" s="31">
        <f>Tercera!Q69</f>
        <v>0</v>
      </c>
      <c r="R69" s="32">
        <f t="shared" si="126"/>
        <v>-1</v>
      </c>
      <c r="S69" s="31">
        <f>Tercera!S69</f>
        <v>0</v>
      </c>
      <c r="T69" s="32">
        <f t="shared" si="127"/>
        <v>-1</v>
      </c>
      <c r="U69" s="31">
        <f>Tercera!U69</f>
        <v>0</v>
      </c>
      <c r="V69" s="32">
        <f t="shared" si="128"/>
        <v>-1</v>
      </c>
      <c r="W69" s="31">
        <f>Tercera!W69</f>
        <v>0</v>
      </c>
      <c r="X69" s="32">
        <f t="shared" si="129"/>
        <v>-1</v>
      </c>
      <c r="Y69" s="31">
        <f>Tercera!Y69</f>
        <v>0</v>
      </c>
      <c r="Z69" s="32">
        <f t="shared" si="130"/>
        <v>-1</v>
      </c>
      <c r="AA69" s="31">
        <f>Tercera!AA69</f>
        <v>0</v>
      </c>
      <c r="AB69" s="32">
        <f t="shared" si="131"/>
        <v>-1</v>
      </c>
      <c r="AC69" s="31">
        <f>Tercera!AC69</f>
        <v>0</v>
      </c>
      <c r="AD69" s="32">
        <f t="shared" si="132"/>
        <v>-1</v>
      </c>
      <c r="AE69" s="31">
        <f>Tercera!AE69</f>
        <v>0</v>
      </c>
      <c r="AF69" s="32">
        <f t="shared" si="133"/>
        <v>-1</v>
      </c>
      <c r="AG69" s="31">
        <f>Tercera!AG69</f>
        <v>0</v>
      </c>
      <c r="AH69" s="32">
        <f t="shared" si="134"/>
        <v>-1</v>
      </c>
      <c r="AI69" s="31">
        <f>Tercera!AI69</f>
        <v>0</v>
      </c>
      <c r="AJ69" s="32">
        <f t="shared" si="135"/>
        <v>-1</v>
      </c>
      <c r="AK69" s="31">
        <f>Tercera!AK69</f>
        <v>0</v>
      </c>
      <c r="AL69" s="32">
        <f t="shared" si="136"/>
        <v>-1</v>
      </c>
      <c r="AM69" s="31">
        <f>Tercera!AM69</f>
        <v>0</v>
      </c>
      <c r="AN69" s="32">
        <f t="shared" si="137"/>
        <v>-1</v>
      </c>
      <c r="AO69" s="31">
        <f>Tercera!AO69</f>
        <v>0</v>
      </c>
      <c r="AP69" s="32">
        <f t="shared" si="138"/>
        <v>-1</v>
      </c>
      <c r="AQ69" s="31">
        <f>Tercera!AQ69</f>
        <v>0</v>
      </c>
      <c r="AR69" s="32">
        <f t="shared" si="139"/>
        <v>-1</v>
      </c>
      <c r="AS69" s="31">
        <f>Tercera!AS69</f>
        <v>0</v>
      </c>
      <c r="AT69" s="32">
        <f t="shared" si="140"/>
        <v>-1</v>
      </c>
      <c r="AU69" s="31">
        <f>Tercera!AU69</f>
        <v>0</v>
      </c>
      <c r="AV69" s="32">
        <f t="shared" si="141"/>
        <v>-1</v>
      </c>
      <c r="AW69" s="31">
        <f>Tercera!AW69</f>
        <v>0</v>
      </c>
      <c r="AX69" s="32">
        <f t="shared" si="142"/>
        <v>-1</v>
      </c>
      <c r="AY69" s="31">
        <f>Tercera!AY69</f>
        <v>0</v>
      </c>
      <c r="AZ69" s="32">
        <f t="shared" si="143"/>
        <v>-1</v>
      </c>
      <c r="BA69" s="31">
        <f>Tercera!BA69</f>
        <v>0</v>
      </c>
      <c r="BB69" s="32">
        <f t="shared" si="144"/>
        <v>-1</v>
      </c>
      <c r="BC69" s="31">
        <f>Tercera!BC69</f>
        <v>0</v>
      </c>
      <c r="BD69" s="32">
        <f t="shared" si="145"/>
        <v>-1</v>
      </c>
      <c r="BE69" s="31">
        <f>Tercera!BE69</f>
        <v>0</v>
      </c>
      <c r="BF69" s="32">
        <f t="shared" si="146"/>
        <v>-1</v>
      </c>
      <c r="BG69" s="31">
        <f>Tercera!BG69</f>
        <v>0</v>
      </c>
      <c r="BH69" s="32">
        <f t="shared" si="147"/>
        <v>-1</v>
      </c>
      <c r="BI69" s="31">
        <f>Tercera!BI69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Tercera!B70</f>
        <v>0</v>
      </c>
      <c r="C70" s="31">
        <f>Tercera!C70</f>
        <v>0</v>
      </c>
      <c r="D70" s="32">
        <f t="shared" si="119"/>
        <v>-1</v>
      </c>
      <c r="E70" s="31">
        <f>Tercera!E70</f>
        <v>0</v>
      </c>
      <c r="F70" s="32">
        <f t="shared" si="120"/>
        <v>-1</v>
      </c>
      <c r="G70" s="31">
        <f>Tercera!G70</f>
        <v>0</v>
      </c>
      <c r="H70" s="32">
        <f t="shared" si="121"/>
        <v>-1</v>
      </c>
      <c r="I70" s="31">
        <f>Tercera!I70</f>
        <v>0</v>
      </c>
      <c r="J70" s="32">
        <f t="shared" si="122"/>
        <v>-1</v>
      </c>
      <c r="K70" s="31">
        <f>Tercera!K70</f>
        <v>0</v>
      </c>
      <c r="L70" s="32">
        <f t="shared" si="123"/>
        <v>-1</v>
      </c>
      <c r="M70" s="31">
        <f>Tercera!M70</f>
        <v>0</v>
      </c>
      <c r="N70" s="32">
        <f t="shared" si="124"/>
        <v>-1</v>
      </c>
      <c r="O70" s="31">
        <f>Tercera!O70</f>
        <v>0</v>
      </c>
      <c r="P70" s="32">
        <f t="shared" si="125"/>
        <v>-1</v>
      </c>
      <c r="Q70" s="31">
        <f>Tercera!Q70</f>
        <v>0</v>
      </c>
      <c r="R70" s="32">
        <f t="shared" si="126"/>
        <v>-1</v>
      </c>
      <c r="S70" s="31">
        <f>Tercera!S70</f>
        <v>0</v>
      </c>
      <c r="T70" s="32">
        <f t="shared" si="127"/>
        <v>-1</v>
      </c>
      <c r="U70" s="31">
        <f>Tercera!U70</f>
        <v>0</v>
      </c>
      <c r="V70" s="32">
        <f t="shared" si="128"/>
        <v>-1</v>
      </c>
      <c r="W70" s="31">
        <f>Tercera!W70</f>
        <v>0</v>
      </c>
      <c r="X70" s="32">
        <f t="shared" si="129"/>
        <v>-1</v>
      </c>
      <c r="Y70" s="31">
        <f>Tercera!Y70</f>
        <v>0</v>
      </c>
      <c r="Z70" s="32">
        <f t="shared" si="130"/>
        <v>-1</v>
      </c>
      <c r="AA70" s="31">
        <f>Tercera!AA70</f>
        <v>0</v>
      </c>
      <c r="AB70" s="32">
        <f t="shared" si="131"/>
        <v>-1</v>
      </c>
      <c r="AC70" s="31">
        <f>Tercera!AC70</f>
        <v>0</v>
      </c>
      <c r="AD70" s="32">
        <f t="shared" si="132"/>
        <v>-1</v>
      </c>
      <c r="AE70" s="31">
        <f>Tercera!AE70</f>
        <v>0</v>
      </c>
      <c r="AF70" s="32">
        <f t="shared" si="133"/>
        <v>-1</v>
      </c>
      <c r="AG70" s="31">
        <f>Tercera!AG70</f>
        <v>0</v>
      </c>
      <c r="AH70" s="32">
        <f t="shared" si="134"/>
        <v>-1</v>
      </c>
      <c r="AI70" s="31">
        <f>Tercera!AI70</f>
        <v>0</v>
      </c>
      <c r="AJ70" s="32">
        <f t="shared" si="135"/>
        <v>-1</v>
      </c>
      <c r="AK70" s="31">
        <f>Tercera!AK70</f>
        <v>0</v>
      </c>
      <c r="AL70" s="32">
        <f t="shared" si="136"/>
        <v>-1</v>
      </c>
      <c r="AM70" s="31">
        <f>Tercera!AM70</f>
        <v>0</v>
      </c>
      <c r="AN70" s="32">
        <f t="shared" si="137"/>
        <v>-1</v>
      </c>
      <c r="AO70" s="31">
        <f>Tercera!AO70</f>
        <v>0</v>
      </c>
      <c r="AP70" s="32">
        <f t="shared" si="138"/>
        <v>-1</v>
      </c>
      <c r="AQ70" s="31">
        <f>Tercera!AQ70</f>
        <v>0</v>
      </c>
      <c r="AR70" s="32">
        <f t="shared" si="139"/>
        <v>-1</v>
      </c>
      <c r="AS70" s="31">
        <f>Tercera!AS70</f>
        <v>0</v>
      </c>
      <c r="AT70" s="32">
        <f t="shared" si="140"/>
        <v>-1</v>
      </c>
      <c r="AU70" s="31">
        <f>Tercera!AU70</f>
        <v>0</v>
      </c>
      <c r="AV70" s="32">
        <f t="shared" si="141"/>
        <v>-1</v>
      </c>
      <c r="AW70" s="31">
        <f>Tercera!AW70</f>
        <v>0</v>
      </c>
      <c r="AX70" s="32">
        <f t="shared" si="142"/>
        <v>-1</v>
      </c>
      <c r="AY70" s="31">
        <f>Tercera!AY70</f>
        <v>0</v>
      </c>
      <c r="AZ70" s="32">
        <f t="shared" si="143"/>
        <v>-1</v>
      </c>
      <c r="BA70" s="31">
        <f>Tercera!BA70</f>
        <v>0</v>
      </c>
      <c r="BB70" s="32">
        <f t="shared" si="144"/>
        <v>-1</v>
      </c>
      <c r="BC70" s="31">
        <f>Tercera!BC70</f>
        <v>0</v>
      </c>
      <c r="BD70" s="32">
        <f t="shared" si="145"/>
        <v>-1</v>
      </c>
      <c r="BE70" s="31">
        <f>Tercera!BE70</f>
        <v>0</v>
      </c>
      <c r="BF70" s="32">
        <f t="shared" si="146"/>
        <v>-1</v>
      </c>
      <c r="BG70" s="31">
        <f>Tercera!BG70</f>
        <v>0</v>
      </c>
      <c r="BH70" s="32">
        <f t="shared" si="147"/>
        <v>-1</v>
      </c>
      <c r="BI70" s="31">
        <f>Tercera!BI70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Tercera!B71</f>
        <v>0</v>
      </c>
      <c r="C71" s="31">
        <f>Tercera!C71</f>
        <v>0</v>
      </c>
      <c r="D71" s="32">
        <f t="shared" si="119"/>
        <v>-1</v>
      </c>
      <c r="E71" s="31">
        <f>Tercera!E71</f>
        <v>0</v>
      </c>
      <c r="F71" s="32">
        <f t="shared" si="120"/>
        <v>-1</v>
      </c>
      <c r="G71" s="31">
        <f>Tercera!G71</f>
        <v>0</v>
      </c>
      <c r="H71" s="32">
        <f t="shared" si="121"/>
        <v>-1</v>
      </c>
      <c r="I71" s="31">
        <f>Tercera!I71</f>
        <v>0</v>
      </c>
      <c r="J71" s="32">
        <f t="shared" si="122"/>
        <v>-1</v>
      </c>
      <c r="K71" s="31">
        <f>Tercera!K71</f>
        <v>0</v>
      </c>
      <c r="L71" s="32">
        <f t="shared" si="123"/>
        <v>-1</v>
      </c>
      <c r="M71" s="31">
        <f>Tercera!M71</f>
        <v>0</v>
      </c>
      <c r="N71" s="32">
        <f t="shared" si="124"/>
        <v>-1</v>
      </c>
      <c r="O71" s="31">
        <f>Tercera!O71</f>
        <v>0</v>
      </c>
      <c r="P71" s="32">
        <f t="shared" si="125"/>
        <v>-1</v>
      </c>
      <c r="Q71" s="31">
        <f>Tercera!Q71</f>
        <v>0</v>
      </c>
      <c r="R71" s="32">
        <f t="shared" si="126"/>
        <v>-1</v>
      </c>
      <c r="S71" s="31">
        <f>Tercera!S71</f>
        <v>0</v>
      </c>
      <c r="T71" s="32">
        <f t="shared" si="127"/>
        <v>-1</v>
      </c>
      <c r="U71" s="31">
        <f>Tercera!U71</f>
        <v>0</v>
      </c>
      <c r="V71" s="32">
        <f t="shared" si="128"/>
        <v>-1</v>
      </c>
      <c r="W71" s="31">
        <f>Tercera!W71</f>
        <v>0</v>
      </c>
      <c r="X71" s="32">
        <f t="shared" si="129"/>
        <v>-1</v>
      </c>
      <c r="Y71" s="31">
        <f>Tercera!Y71</f>
        <v>0</v>
      </c>
      <c r="Z71" s="32">
        <f t="shared" si="130"/>
        <v>-1</v>
      </c>
      <c r="AA71" s="31">
        <f>Tercera!AA71</f>
        <v>0</v>
      </c>
      <c r="AB71" s="32">
        <f t="shared" si="131"/>
        <v>-1</v>
      </c>
      <c r="AC71" s="31">
        <f>Tercera!AC71</f>
        <v>0</v>
      </c>
      <c r="AD71" s="32">
        <f t="shared" si="132"/>
        <v>-1</v>
      </c>
      <c r="AE71" s="31">
        <f>Tercera!AE71</f>
        <v>0</v>
      </c>
      <c r="AF71" s="32">
        <f t="shared" si="133"/>
        <v>-1</v>
      </c>
      <c r="AG71" s="31">
        <f>Tercera!AG71</f>
        <v>0</v>
      </c>
      <c r="AH71" s="32">
        <f t="shared" si="134"/>
        <v>-1</v>
      </c>
      <c r="AI71" s="31">
        <f>Tercera!AI71</f>
        <v>0</v>
      </c>
      <c r="AJ71" s="32">
        <f t="shared" si="135"/>
        <v>-1</v>
      </c>
      <c r="AK71" s="31">
        <f>Tercera!AK71</f>
        <v>0</v>
      </c>
      <c r="AL71" s="32">
        <f t="shared" si="136"/>
        <v>-1</v>
      </c>
      <c r="AM71" s="31">
        <f>Tercera!AM71</f>
        <v>0</v>
      </c>
      <c r="AN71" s="32">
        <f t="shared" si="137"/>
        <v>-1</v>
      </c>
      <c r="AO71" s="31">
        <f>Tercera!AO71</f>
        <v>0</v>
      </c>
      <c r="AP71" s="32">
        <f t="shared" si="138"/>
        <v>-1</v>
      </c>
      <c r="AQ71" s="31">
        <f>Tercera!AQ71</f>
        <v>0</v>
      </c>
      <c r="AR71" s="32">
        <f t="shared" si="139"/>
        <v>-1</v>
      </c>
      <c r="AS71" s="31">
        <f>Tercera!AS71</f>
        <v>0</v>
      </c>
      <c r="AT71" s="32">
        <f t="shared" si="140"/>
        <v>-1</v>
      </c>
      <c r="AU71" s="31">
        <f>Tercera!AU71</f>
        <v>0</v>
      </c>
      <c r="AV71" s="32">
        <f t="shared" si="141"/>
        <v>-1</v>
      </c>
      <c r="AW71" s="31">
        <f>Tercera!AW71</f>
        <v>0</v>
      </c>
      <c r="AX71" s="32">
        <f t="shared" si="142"/>
        <v>-1</v>
      </c>
      <c r="AY71" s="31">
        <f>Tercera!AY71</f>
        <v>0</v>
      </c>
      <c r="AZ71" s="32">
        <f t="shared" si="143"/>
        <v>-1</v>
      </c>
      <c r="BA71" s="31">
        <f>Tercera!BA71</f>
        <v>0</v>
      </c>
      <c r="BB71" s="32">
        <f t="shared" si="144"/>
        <v>-1</v>
      </c>
      <c r="BC71" s="31">
        <f>Tercera!BC71</f>
        <v>0</v>
      </c>
      <c r="BD71" s="32">
        <f t="shared" si="145"/>
        <v>-1</v>
      </c>
      <c r="BE71" s="31">
        <f>Tercera!BE71</f>
        <v>0</v>
      </c>
      <c r="BF71" s="32">
        <f t="shared" si="146"/>
        <v>-1</v>
      </c>
      <c r="BG71" s="31">
        <f>Tercera!BG71</f>
        <v>0</v>
      </c>
      <c r="BH71" s="32">
        <f t="shared" si="147"/>
        <v>-1</v>
      </c>
      <c r="BI71" s="31">
        <f>Tercera!BI71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Tercera!B72</f>
        <v>0</v>
      </c>
      <c r="C72" s="31">
        <f>Tercera!C72</f>
        <v>0</v>
      </c>
      <c r="D72" s="32">
        <f t="shared" si="119"/>
        <v>-1</v>
      </c>
      <c r="E72" s="31">
        <f>Tercera!E72</f>
        <v>0</v>
      </c>
      <c r="F72" s="32">
        <f t="shared" si="120"/>
        <v>-1</v>
      </c>
      <c r="G72" s="31">
        <f>Tercera!G72</f>
        <v>0</v>
      </c>
      <c r="H72" s="32">
        <f t="shared" si="121"/>
        <v>-1</v>
      </c>
      <c r="I72" s="31">
        <f>Tercera!I72</f>
        <v>0</v>
      </c>
      <c r="J72" s="32">
        <f t="shared" si="122"/>
        <v>-1</v>
      </c>
      <c r="K72" s="31">
        <f>Tercera!K72</f>
        <v>0</v>
      </c>
      <c r="L72" s="32">
        <f t="shared" si="123"/>
        <v>-1</v>
      </c>
      <c r="M72" s="31">
        <f>Tercera!M72</f>
        <v>0</v>
      </c>
      <c r="N72" s="32">
        <f t="shared" si="124"/>
        <v>-1</v>
      </c>
      <c r="O72" s="31">
        <f>Tercera!O72</f>
        <v>0</v>
      </c>
      <c r="P72" s="32">
        <f t="shared" si="125"/>
        <v>-1</v>
      </c>
      <c r="Q72" s="31">
        <f>Tercera!Q72</f>
        <v>0</v>
      </c>
      <c r="R72" s="32">
        <f t="shared" si="126"/>
        <v>-1</v>
      </c>
      <c r="S72" s="31">
        <f>Tercera!S72</f>
        <v>0</v>
      </c>
      <c r="T72" s="32">
        <f t="shared" si="127"/>
        <v>-1</v>
      </c>
      <c r="U72" s="31">
        <f>Tercera!U72</f>
        <v>0</v>
      </c>
      <c r="V72" s="32">
        <f t="shared" si="128"/>
        <v>-1</v>
      </c>
      <c r="W72" s="31">
        <f>Tercera!W72</f>
        <v>0</v>
      </c>
      <c r="X72" s="32">
        <f t="shared" si="129"/>
        <v>-1</v>
      </c>
      <c r="Y72" s="31">
        <f>Tercera!Y72</f>
        <v>0</v>
      </c>
      <c r="Z72" s="32">
        <f t="shared" si="130"/>
        <v>-1</v>
      </c>
      <c r="AA72" s="31">
        <f>Tercera!AA72</f>
        <v>0</v>
      </c>
      <c r="AB72" s="32">
        <f t="shared" si="131"/>
        <v>-1</v>
      </c>
      <c r="AC72" s="31">
        <f>Tercera!AC72</f>
        <v>0</v>
      </c>
      <c r="AD72" s="32">
        <f t="shared" si="132"/>
        <v>-1</v>
      </c>
      <c r="AE72" s="31">
        <f>Tercera!AE72</f>
        <v>0</v>
      </c>
      <c r="AF72" s="32">
        <f t="shared" si="133"/>
        <v>-1</v>
      </c>
      <c r="AG72" s="31">
        <f>Tercera!AG72</f>
        <v>0</v>
      </c>
      <c r="AH72" s="32">
        <f t="shared" si="134"/>
        <v>-1</v>
      </c>
      <c r="AI72" s="31">
        <f>Tercera!AI72</f>
        <v>0</v>
      </c>
      <c r="AJ72" s="32">
        <f t="shared" si="135"/>
        <v>-1</v>
      </c>
      <c r="AK72" s="31">
        <f>Tercera!AK72</f>
        <v>0</v>
      </c>
      <c r="AL72" s="32">
        <f t="shared" si="136"/>
        <v>-1</v>
      </c>
      <c r="AM72" s="31">
        <f>Tercera!AM72</f>
        <v>0</v>
      </c>
      <c r="AN72" s="32">
        <f t="shared" si="137"/>
        <v>-1</v>
      </c>
      <c r="AO72" s="31">
        <f>Tercera!AO72</f>
        <v>0</v>
      </c>
      <c r="AP72" s="32">
        <f t="shared" si="138"/>
        <v>-1</v>
      </c>
      <c r="AQ72" s="31">
        <f>Tercera!AQ72</f>
        <v>0</v>
      </c>
      <c r="AR72" s="32">
        <f t="shared" si="139"/>
        <v>-1</v>
      </c>
      <c r="AS72" s="31">
        <f>Tercera!AS72</f>
        <v>0</v>
      </c>
      <c r="AT72" s="32">
        <f t="shared" si="140"/>
        <v>-1</v>
      </c>
      <c r="AU72" s="31">
        <f>Tercera!AU72</f>
        <v>0</v>
      </c>
      <c r="AV72" s="32">
        <f t="shared" si="141"/>
        <v>-1</v>
      </c>
      <c r="AW72" s="31">
        <f>Tercera!AW72</f>
        <v>0</v>
      </c>
      <c r="AX72" s="32">
        <f t="shared" si="142"/>
        <v>-1</v>
      </c>
      <c r="AY72" s="31">
        <f>Tercera!AY72</f>
        <v>0</v>
      </c>
      <c r="AZ72" s="32">
        <f t="shared" si="143"/>
        <v>-1</v>
      </c>
      <c r="BA72" s="31">
        <f>Tercera!BA72</f>
        <v>0</v>
      </c>
      <c r="BB72" s="32">
        <f t="shared" si="144"/>
        <v>-1</v>
      </c>
      <c r="BC72" s="31">
        <f>Tercera!BC72</f>
        <v>0</v>
      </c>
      <c r="BD72" s="32">
        <f t="shared" si="145"/>
        <v>-1</v>
      </c>
      <c r="BE72" s="31">
        <f>Tercera!BE72</f>
        <v>0</v>
      </c>
      <c r="BF72" s="32">
        <f t="shared" si="146"/>
        <v>-1</v>
      </c>
      <c r="BG72" s="31">
        <f>Tercera!BG72</f>
        <v>0</v>
      </c>
      <c r="BH72" s="32">
        <f t="shared" si="147"/>
        <v>-1</v>
      </c>
      <c r="BI72" s="31">
        <f>Tercera!BI72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Tercera!B73</f>
        <v>0</v>
      </c>
      <c r="C73" s="31">
        <f>Tercera!C73</f>
        <v>0</v>
      </c>
      <c r="D73" s="32">
        <f t="shared" si="119"/>
        <v>-1</v>
      </c>
      <c r="E73" s="31">
        <f>Tercera!E73</f>
        <v>0</v>
      </c>
      <c r="F73" s="32">
        <f t="shared" si="120"/>
        <v>-1</v>
      </c>
      <c r="G73" s="31">
        <f>Tercera!G73</f>
        <v>0</v>
      </c>
      <c r="H73" s="32">
        <f t="shared" si="121"/>
        <v>-1</v>
      </c>
      <c r="I73" s="31">
        <f>Tercera!I73</f>
        <v>0</v>
      </c>
      <c r="J73" s="32">
        <f t="shared" si="122"/>
        <v>-1</v>
      </c>
      <c r="K73" s="31">
        <f>Tercera!K73</f>
        <v>0</v>
      </c>
      <c r="L73" s="32">
        <f t="shared" si="123"/>
        <v>-1</v>
      </c>
      <c r="M73" s="31">
        <f>Tercera!M73</f>
        <v>0</v>
      </c>
      <c r="N73" s="32">
        <f t="shared" si="124"/>
        <v>-1</v>
      </c>
      <c r="O73" s="31">
        <f>Tercera!O73</f>
        <v>0</v>
      </c>
      <c r="P73" s="32">
        <f t="shared" si="125"/>
        <v>-1</v>
      </c>
      <c r="Q73" s="31">
        <f>Tercera!Q73</f>
        <v>0</v>
      </c>
      <c r="R73" s="32">
        <f t="shared" si="126"/>
        <v>-1</v>
      </c>
      <c r="S73" s="31">
        <f>Tercera!S73</f>
        <v>0</v>
      </c>
      <c r="T73" s="32">
        <f t="shared" si="127"/>
        <v>-1</v>
      </c>
      <c r="U73" s="31">
        <f>Tercera!U73</f>
        <v>0</v>
      </c>
      <c r="V73" s="32">
        <f t="shared" si="128"/>
        <v>-1</v>
      </c>
      <c r="W73" s="31">
        <f>Tercera!W73</f>
        <v>0</v>
      </c>
      <c r="X73" s="32">
        <f t="shared" si="129"/>
        <v>-1</v>
      </c>
      <c r="Y73" s="31">
        <f>Tercera!Y73</f>
        <v>0</v>
      </c>
      <c r="Z73" s="32">
        <f t="shared" si="130"/>
        <v>-1</v>
      </c>
      <c r="AA73" s="31">
        <f>Tercera!AA73</f>
        <v>0</v>
      </c>
      <c r="AB73" s="32">
        <f t="shared" si="131"/>
        <v>-1</v>
      </c>
      <c r="AC73" s="31">
        <f>Tercera!AC73</f>
        <v>0</v>
      </c>
      <c r="AD73" s="32">
        <f t="shared" si="132"/>
        <v>-1</v>
      </c>
      <c r="AE73" s="31">
        <f>Tercera!AE73</f>
        <v>0</v>
      </c>
      <c r="AF73" s="32">
        <f t="shared" si="133"/>
        <v>-1</v>
      </c>
      <c r="AG73" s="31">
        <f>Tercera!AG73</f>
        <v>0</v>
      </c>
      <c r="AH73" s="32">
        <f t="shared" si="134"/>
        <v>-1</v>
      </c>
      <c r="AI73" s="31">
        <f>Tercera!AI73</f>
        <v>0</v>
      </c>
      <c r="AJ73" s="32">
        <f t="shared" si="135"/>
        <v>-1</v>
      </c>
      <c r="AK73" s="31">
        <f>Tercera!AK73</f>
        <v>0</v>
      </c>
      <c r="AL73" s="32">
        <f t="shared" si="136"/>
        <v>-1</v>
      </c>
      <c r="AM73" s="31">
        <f>Tercera!AM73</f>
        <v>0</v>
      </c>
      <c r="AN73" s="32">
        <f t="shared" si="137"/>
        <v>-1</v>
      </c>
      <c r="AO73" s="31">
        <f>Tercera!AO73</f>
        <v>0</v>
      </c>
      <c r="AP73" s="32">
        <f t="shared" si="138"/>
        <v>-1</v>
      </c>
      <c r="AQ73" s="31">
        <f>Tercera!AQ73</f>
        <v>0</v>
      </c>
      <c r="AR73" s="32">
        <f t="shared" si="139"/>
        <v>-1</v>
      </c>
      <c r="AS73" s="31">
        <f>Tercera!AS73</f>
        <v>0</v>
      </c>
      <c r="AT73" s="32">
        <f t="shared" si="140"/>
        <v>-1</v>
      </c>
      <c r="AU73" s="31">
        <f>Tercera!AU73</f>
        <v>0</v>
      </c>
      <c r="AV73" s="32">
        <f t="shared" si="141"/>
        <v>-1</v>
      </c>
      <c r="AW73" s="31">
        <f>Tercera!AW73</f>
        <v>0</v>
      </c>
      <c r="AX73" s="32">
        <f t="shared" si="142"/>
        <v>-1</v>
      </c>
      <c r="AY73" s="31">
        <f>Tercera!AY73</f>
        <v>0</v>
      </c>
      <c r="AZ73" s="32">
        <f t="shared" si="143"/>
        <v>-1</v>
      </c>
      <c r="BA73" s="31">
        <f>Tercera!BA73</f>
        <v>0</v>
      </c>
      <c r="BB73" s="32">
        <f t="shared" si="144"/>
        <v>-1</v>
      </c>
      <c r="BC73" s="31">
        <f>Tercera!BC73</f>
        <v>0</v>
      </c>
      <c r="BD73" s="32">
        <f t="shared" si="145"/>
        <v>-1</v>
      </c>
      <c r="BE73" s="31">
        <f>Tercera!BE73</f>
        <v>0</v>
      </c>
      <c r="BF73" s="32">
        <f t="shared" si="146"/>
        <v>-1</v>
      </c>
      <c r="BG73" s="31">
        <f>Tercera!BG73</f>
        <v>0</v>
      </c>
      <c r="BH73" s="32">
        <f t="shared" si="147"/>
        <v>-1</v>
      </c>
      <c r="BI73" s="31">
        <f>Tercera!BI73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Tercera!B74</f>
        <v>0</v>
      </c>
      <c r="C74" s="31">
        <f>Tercera!C74</f>
        <v>0</v>
      </c>
      <c r="D74" s="32">
        <f t="shared" si="119"/>
        <v>-1</v>
      </c>
      <c r="E74" s="31">
        <f>Tercera!E74</f>
        <v>0</v>
      </c>
      <c r="F74" s="32">
        <f t="shared" si="120"/>
        <v>-1</v>
      </c>
      <c r="G74" s="31">
        <f>Tercera!G74</f>
        <v>0</v>
      </c>
      <c r="H74" s="32">
        <f t="shared" si="121"/>
        <v>-1</v>
      </c>
      <c r="I74" s="31">
        <f>Tercera!I74</f>
        <v>0</v>
      </c>
      <c r="J74" s="32">
        <f t="shared" si="122"/>
        <v>-1</v>
      </c>
      <c r="K74" s="31">
        <f>Tercera!K74</f>
        <v>0</v>
      </c>
      <c r="L74" s="32">
        <f t="shared" si="123"/>
        <v>-1</v>
      </c>
      <c r="M74" s="31">
        <f>Tercera!M74</f>
        <v>0</v>
      </c>
      <c r="N74" s="32">
        <f t="shared" si="124"/>
        <v>-1</v>
      </c>
      <c r="O74" s="31">
        <f>Tercera!O74</f>
        <v>0</v>
      </c>
      <c r="P74" s="32">
        <f t="shared" si="125"/>
        <v>-1</v>
      </c>
      <c r="Q74" s="31">
        <f>Tercera!Q74</f>
        <v>0</v>
      </c>
      <c r="R74" s="32">
        <f t="shared" si="126"/>
        <v>-1</v>
      </c>
      <c r="S74" s="31">
        <f>Tercera!S74</f>
        <v>0</v>
      </c>
      <c r="T74" s="32">
        <f t="shared" si="127"/>
        <v>-1</v>
      </c>
      <c r="U74" s="31">
        <f>Tercera!U74</f>
        <v>0</v>
      </c>
      <c r="V74" s="32">
        <f t="shared" si="128"/>
        <v>-1</v>
      </c>
      <c r="W74" s="31">
        <f>Tercera!W74</f>
        <v>0</v>
      </c>
      <c r="X74" s="32">
        <f t="shared" si="129"/>
        <v>-1</v>
      </c>
      <c r="Y74" s="31">
        <f>Tercera!Y74</f>
        <v>0</v>
      </c>
      <c r="Z74" s="32">
        <f t="shared" si="130"/>
        <v>-1</v>
      </c>
      <c r="AA74" s="31">
        <f>Tercera!AA74</f>
        <v>0</v>
      </c>
      <c r="AB74" s="32">
        <f t="shared" si="131"/>
        <v>-1</v>
      </c>
      <c r="AC74" s="31">
        <f>Tercera!AC74</f>
        <v>0</v>
      </c>
      <c r="AD74" s="32">
        <f t="shared" si="132"/>
        <v>-1</v>
      </c>
      <c r="AE74" s="31">
        <f>Tercera!AE74</f>
        <v>0</v>
      </c>
      <c r="AF74" s="32">
        <f t="shared" si="133"/>
        <v>-1</v>
      </c>
      <c r="AG74" s="31">
        <f>Tercera!AG74</f>
        <v>0</v>
      </c>
      <c r="AH74" s="32">
        <f t="shared" si="134"/>
        <v>-1</v>
      </c>
      <c r="AI74" s="31">
        <f>Tercera!AI74</f>
        <v>0</v>
      </c>
      <c r="AJ74" s="32">
        <f t="shared" si="135"/>
        <v>-1</v>
      </c>
      <c r="AK74" s="31">
        <f>Tercera!AK74</f>
        <v>0</v>
      </c>
      <c r="AL74" s="32">
        <f t="shared" si="136"/>
        <v>-1</v>
      </c>
      <c r="AM74" s="31">
        <f>Tercera!AM74</f>
        <v>0</v>
      </c>
      <c r="AN74" s="32">
        <f t="shared" si="137"/>
        <v>-1</v>
      </c>
      <c r="AO74" s="31">
        <f>Tercera!AO74</f>
        <v>0</v>
      </c>
      <c r="AP74" s="32">
        <f t="shared" si="138"/>
        <v>-1</v>
      </c>
      <c r="AQ74" s="31">
        <f>Tercera!AQ74</f>
        <v>0</v>
      </c>
      <c r="AR74" s="32">
        <f t="shared" si="139"/>
        <v>-1</v>
      </c>
      <c r="AS74" s="31">
        <f>Tercera!AS74</f>
        <v>0</v>
      </c>
      <c r="AT74" s="32">
        <f t="shared" si="140"/>
        <v>-1</v>
      </c>
      <c r="AU74" s="31">
        <f>Tercera!AU74</f>
        <v>0</v>
      </c>
      <c r="AV74" s="32">
        <f t="shared" si="141"/>
        <v>-1</v>
      </c>
      <c r="AW74" s="31">
        <f>Tercera!AW74</f>
        <v>0</v>
      </c>
      <c r="AX74" s="32">
        <f t="shared" si="142"/>
        <v>-1</v>
      </c>
      <c r="AY74" s="31">
        <f>Tercera!AY74</f>
        <v>0</v>
      </c>
      <c r="AZ74" s="32">
        <f t="shared" si="143"/>
        <v>-1</v>
      </c>
      <c r="BA74" s="31">
        <f>Tercera!BA74</f>
        <v>0</v>
      </c>
      <c r="BB74" s="32">
        <f t="shared" si="144"/>
        <v>-1</v>
      </c>
      <c r="BC74" s="31">
        <f>Tercera!BC74</f>
        <v>0</v>
      </c>
      <c r="BD74" s="32">
        <f t="shared" si="145"/>
        <v>-1</v>
      </c>
      <c r="BE74" s="31">
        <f>Tercera!BE74</f>
        <v>0</v>
      </c>
      <c r="BF74" s="32">
        <f t="shared" si="146"/>
        <v>-1</v>
      </c>
      <c r="BG74" s="31">
        <f>Tercera!BG74</f>
        <v>0</v>
      </c>
      <c r="BH74" s="32">
        <f t="shared" si="147"/>
        <v>-1</v>
      </c>
      <c r="BI74" s="31">
        <f>Tercera!BI74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Tercera!B75</f>
        <v>0</v>
      </c>
      <c r="C75" s="31">
        <f>Tercera!C75</f>
        <v>0</v>
      </c>
      <c r="D75" s="32">
        <f t="shared" si="119"/>
        <v>-1</v>
      </c>
      <c r="E75" s="31">
        <f>Tercera!E75</f>
        <v>0</v>
      </c>
      <c r="F75" s="32">
        <f t="shared" si="120"/>
        <v>-1</v>
      </c>
      <c r="G75" s="31">
        <f>Tercera!G75</f>
        <v>0</v>
      </c>
      <c r="H75" s="32">
        <f t="shared" si="121"/>
        <v>-1</v>
      </c>
      <c r="I75" s="31">
        <f>Tercera!I75</f>
        <v>0</v>
      </c>
      <c r="J75" s="32">
        <f t="shared" si="122"/>
        <v>-1</v>
      </c>
      <c r="K75" s="31">
        <f>Tercera!K75</f>
        <v>0</v>
      </c>
      <c r="L75" s="32">
        <f t="shared" si="123"/>
        <v>-1</v>
      </c>
      <c r="M75" s="31">
        <f>Tercera!M75</f>
        <v>0</v>
      </c>
      <c r="N75" s="32">
        <f t="shared" si="124"/>
        <v>-1</v>
      </c>
      <c r="O75" s="31">
        <f>Tercera!O75</f>
        <v>0</v>
      </c>
      <c r="P75" s="32">
        <f t="shared" si="125"/>
        <v>-1</v>
      </c>
      <c r="Q75" s="31">
        <f>Tercera!Q75</f>
        <v>0</v>
      </c>
      <c r="R75" s="32">
        <f t="shared" si="126"/>
        <v>-1</v>
      </c>
      <c r="S75" s="31">
        <f>Tercera!S75</f>
        <v>0</v>
      </c>
      <c r="T75" s="32">
        <f t="shared" si="127"/>
        <v>-1</v>
      </c>
      <c r="U75" s="31">
        <f>Tercera!U75</f>
        <v>0</v>
      </c>
      <c r="V75" s="32">
        <f t="shared" si="128"/>
        <v>-1</v>
      </c>
      <c r="W75" s="31">
        <f>Tercera!W75</f>
        <v>0</v>
      </c>
      <c r="X75" s="32">
        <f t="shared" si="129"/>
        <v>-1</v>
      </c>
      <c r="Y75" s="31">
        <f>Tercera!Y75</f>
        <v>0</v>
      </c>
      <c r="Z75" s="32">
        <f t="shared" si="130"/>
        <v>-1</v>
      </c>
      <c r="AA75" s="31">
        <f>Tercera!AA75</f>
        <v>0</v>
      </c>
      <c r="AB75" s="32">
        <f t="shared" si="131"/>
        <v>-1</v>
      </c>
      <c r="AC75" s="31">
        <f>Tercera!AC75</f>
        <v>0</v>
      </c>
      <c r="AD75" s="32">
        <f t="shared" si="132"/>
        <v>-1</v>
      </c>
      <c r="AE75" s="31">
        <f>Tercera!AE75</f>
        <v>0</v>
      </c>
      <c r="AF75" s="32">
        <f t="shared" si="133"/>
        <v>-1</v>
      </c>
      <c r="AG75" s="31">
        <f>Tercera!AG75</f>
        <v>0</v>
      </c>
      <c r="AH75" s="32">
        <f t="shared" si="134"/>
        <v>-1</v>
      </c>
      <c r="AI75" s="31">
        <f>Tercera!AI75</f>
        <v>0</v>
      </c>
      <c r="AJ75" s="32">
        <f t="shared" si="135"/>
        <v>-1</v>
      </c>
      <c r="AK75" s="31">
        <f>Tercera!AK75</f>
        <v>0</v>
      </c>
      <c r="AL75" s="32">
        <f t="shared" si="136"/>
        <v>-1</v>
      </c>
      <c r="AM75" s="31">
        <f>Tercera!AM75</f>
        <v>0</v>
      </c>
      <c r="AN75" s="32">
        <f t="shared" si="137"/>
        <v>-1</v>
      </c>
      <c r="AO75" s="31">
        <f>Tercera!AO75</f>
        <v>0</v>
      </c>
      <c r="AP75" s="32">
        <f t="shared" si="138"/>
        <v>-1</v>
      </c>
      <c r="AQ75" s="31">
        <f>Tercera!AQ75</f>
        <v>0</v>
      </c>
      <c r="AR75" s="32">
        <f t="shared" si="139"/>
        <v>-1</v>
      </c>
      <c r="AS75" s="31">
        <f>Tercera!AS75</f>
        <v>0</v>
      </c>
      <c r="AT75" s="32">
        <f t="shared" si="140"/>
        <v>-1</v>
      </c>
      <c r="AU75" s="31">
        <f>Tercera!AU75</f>
        <v>0</v>
      </c>
      <c r="AV75" s="32">
        <f t="shared" si="141"/>
        <v>-1</v>
      </c>
      <c r="AW75" s="31">
        <f>Tercera!AW75</f>
        <v>0</v>
      </c>
      <c r="AX75" s="32">
        <f t="shared" si="142"/>
        <v>-1</v>
      </c>
      <c r="AY75" s="31">
        <f>Tercera!AY75</f>
        <v>0</v>
      </c>
      <c r="AZ75" s="32">
        <f t="shared" si="143"/>
        <v>-1</v>
      </c>
      <c r="BA75" s="31">
        <f>Tercera!BA75</f>
        <v>0</v>
      </c>
      <c r="BB75" s="32">
        <f t="shared" si="144"/>
        <v>-1</v>
      </c>
      <c r="BC75" s="31">
        <f>Tercera!BC75</f>
        <v>0</v>
      </c>
      <c r="BD75" s="32">
        <f t="shared" si="145"/>
        <v>-1</v>
      </c>
      <c r="BE75" s="31">
        <f>Tercera!BE75</f>
        <v>0</v>
      </c>
      <c r="BF75" s="32">
        <f t="shared" si="146"/>
        <v>-1</v>
      </c>
      <c r="BG75" s="31">
        <f>Tercera!BG75</f>
        <v>0</v>
      </c>
      <c r="BH75" s="32">
        <f t="shared" si="147"/>
        <v>-1</v>
      </c>
      <c r="BI75" s="31">
        <f>Tercera!BI75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Tercera!B76</f>
        <v>0</v>
      </c>
      <c r="C76" s="31">
        <f>Tercera!C76</f>
        <v>0</v>
      </c>
      <c r="D76" s="32">
        <f t="shared" si="119"/>
        <v>-1</v>
      </c>
      <c r="E76" s="31">
        <f>Tercera!E76</f>
        <v>0</v>
      </c>
      <c r="F76" s="32">
        <f t="shared" si="120"/>
        <v>-1</v>
      </c>
      <c r="G76" s="31">
        <f>Tercera!G76</f>
        <v>0</v>
      </c>
      <c r="H76" s="32">
        <f t="shared" si="121"/>
        <v>-1</v>
      </c>
      <c r="I76" s="31">
        <f>Tercera!I76</f>
        <v>0</v>
      </c>
      <c r="J76" s="32">
        <f t="shared" si="122"/>
        <v>-1</v>
      </c>
      <c r="K76" s="31">
        <f>Tercera!K76</f>
        <v>0</v>
      </c>
      <c r="L76" s="32">
        <f t="shared" si="123"/>
        <v>-1</v>
      </c>
      <c r="M76" s="31">
        <f>Tercera!M76</f>
        <v>0</v>
      </c>
      <c r="N76" s="32">
        <f t="shared" si="124"/>
        <v>-1</v>
      </c>
      <c r="O76" s="31">
        <f>Tercera!O76</f>
        <v>0</v>
      </c>
      <c r="P76" s="32">
        <f t="shared" si="125"/>
        <v>-1</v>
      </c>
      <c r="Q76" s="31">
        <f>Tercera!Q76</f>
        <v>0</v>
      </c>
      <c r="R76" s="32">
        <f t="shared" si="126"/>
        <v>-1</v>
      </c>
      <c r="S76" s="31">
        <f>Tercera!S76</f>
        <v>0</v>
      </c>
      <c r="T76" s="32">
        <f t="shared" si="127"/>
        <v>-1</v>
      </c>
      <c r="U76" s="31">
        <f>Tercera!U76</f>
        <v>0</v>
      </c>
      <c r="V76" s="32">
        <f t="shared" si="128"/>
        <v>-1</v>
      </c>
      <c r="W76" s="31">
        <f>Tercera!W76</f>
        <v>0</v>
      </c>
      <c r="X76" s="32">
        <f t="shared" si="129"/>
        <v>-1</v>
      </c>
      <c r="Y76" s="31">
        <f>Tercera!Y76</f>
        <v>0</v>
      </c>
      <c r="Z76" s="32">
        <f t="shared" si="130"/>
        <v>-1</v>
      </c>
      <c r="AA76" s="31">
        <f>Tercera!AA76</f>
        <v>0</v>
      </c>
      <c r="AB76" s="32">
        <f t="shared" si="131"/>
        <v>-1</v>
      </c>
      <c r="AC76" s="31">
        <f>Tercera!AC76</f>
        <v>0</v>
      </c>
      <c r="AD76" s="32">
        <f t="shared" si="132"/>
        <v>-1</v>
      </c>
      <c r="AE76" s="31">
        <f>Tercera!AE76</f>
        <v>0</v>
      </c>
      <c r="AF76" s="32">
        <f t="shared" si="133"/>
        <v>-1</v>
      </c>
      <c r="AG76" s="31">
        <f>Tercera!AG76</f>
        <v>0</v>
      </c>
      <c r="AH76" s="32">
        <f t="shared" si="134"/>
        <v>-1</v>
      </c>
      <c r="AI76" s="31">
        <f>Tercera!AI76</f>
        <v>0</v>
      </c>
      <c r="AJ76" s="32">
        <f t="shared" si="135"/>
        <v>-1</v>
      </c>
      <c r="AK76" s="31">
        <f>Tercera!AK76</f>
        <v>0</v>
      </c>
      <c r="AL76" s="32">
        <f t="shared" si="136"/>
        <v>-1</v>
      </c>
      <c r="AM76" s="31">
        <f>Tercera!AM76</f>
        <v>0</v>
      </c>
      <c r="AN76" s="32">
        <f t="shared" si="137"/>
        <v>-1</v>
      </c>
      <c r="AO76" s="31">
        <f>Tercera!AO76</f>
        <v>0</v>
      </c>
      <c r="AP76" s="32">
        <f t="shared" si="138"/>
        <v>-1</v>
      </c>
      <c r="AQ76" s="31">
        <f>Tercera!AQ76</f>
        <v>0</v>
      </c>
      <c r="AR76" s="32">
        <f t="shared" si="139"/>
        <v>-1</v>
      </c>
      <c r="AS76" s="31">
        <f>Tercera!AS76</f>
        <v>0</v>
      </c>
      <c r="AT76" s="32">
        <f t="shared" si="140"/>
        <v>-1</v>
      </c>
      <c r="AU76" s="31">
        <f>Tercera!AU76</f>
        <v>0</v>
      </c>
      <c r="AV76" s="32">
        <f t="shared" si="141"/>
        <v>-1</v>
      </c>
      <c r="AW76" s="31">
        <f>Tercera!AW76</f>
        <v>0</v>
      </c>
      <c r="AX76" s="32">
        <f t="shared" si="142"/>
        <v>-1</v>
      </c>
      <c r="AY76" s="31">
        <f>Tercera!AY76</f>
        <v>0</v>
      </c>
      <c r="AZ76" s="32">
        <f t="shared" si="143"/>
        <v>-1</v>
      </c>
      <c r="BA76" s="31">
        <f>Tercera!BA76</f>
        <v>0</v>
      </c>
      <c r="BB76" s="32">
        <f t="shared" si="144"/>
        <v>-1</v>
      </c>
      <c r="BC76" s="31">
        <f>Tercera!BC76</f>
        <v>0</v>
      </c>
      <c r="BD76" s="32">
        <f t="shared" si="145"/>
        <v>-1</v>
      </c>
      <c r="BE76" s="31">
        <f>Tercera!BE76</f>
        <v>0</v>
      </c>
      <c r="BF76" s="32">
        <f t="shared" si="146"/>
        <v>-1</v>
      </c>
      <c r="BG76" s="31">
        <f>Tercera!BG76</f>
        <v>0</v>
      </c>
      <c r="BH76" s="32">
        <f t="shared" si="147"/>
        <v>-1</v>
      </c>
      <c r="BI76" s="31">
        <f>Tercera!BI76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Tercera!B77</f>
        <v>0</v>
      </c>
      <c r="C77" s="31">
        <f>Tercera!C77</f>
        <v>0</v>
      </c>
      <c r="D77" s="32">
        <f t="shared" si="119"/>
        <v>-1</v>
      </c>
      <c r="E77" s="31">
        <f>Tercera!E77</f>
        <v>0</v>
      </c>
      <c r="F77" s="32">
        <f t="shared" si="120"/>
        <v>-1</v>
      </c>
      <c r="G77" s="31">
        <f>Tercera!G77</f>
        <v>0</v>
      </c>
      <c r="H77" s="32">
        <f t="shared" si="121"/>
        <v>-1</v>
      </c>
      <c r="I77" s="31">
        <f>Tercera!I77</f>
        <v>0</v>
      </c>
      <c r="J77" s="32">
        <f t="shared" si="122"/>
        <v>-1</v>
      </c>
      <c r="K77" s="31">
        <f>Tercera!K77</f>
        <v>0</v>
      </c>
      <c r="L77" s="32">
        <f t="shared" si="123"/>
        <v>-1</v>
      </c>
      <c r="M77" s="31">
        <f>Tercera!M77</f>
        <v>0</v>
      </c>
      <c r="N77" s="32">
        <f t="shared" si="124"/>
        <v>-1</v>
      </c>
      <c r="O77" s="31">
        <f>Tercera!O77</f>
        <v>0</v>
      </c>
      <c r="P77" s="32">
        <f t="shared" si="125"/>
        <v>-1</v>
      </c>
      <c r="Q77" s="31">
        <f>Tercera!Q77</f>
        <v>0</v>
      </c>
      <c r="R77" s="32">
        <f t="shared" si="126"/>
        <v>-1</v>
      </c>
      <c r="S77" s="31">
        <f>Tercera!S77</f>
        <v>0</v>
      </c>
      <c r="T77" s="32">
        <f t="shared" si="127"/>
        <v>-1</v>
      </c>
      <c r="U77" s="31">
        <f>Tercera!U77</f>
        <v>0</v>
      </c>
      <c r="V77" s="32">
        <f t="shared" si="128"/>
        <v>-1</v>
      </c>
      <c r="W77" s="31">
        <f>Tercera!W77</f>
        <v>0</v>
      </c>
      <c r="X77" s="32">
        <f t="shared" si="129"/>
        <v>-1</v>
      </c>
      <c r="Y77" s="31">
        <f>Tercera!Y77</f>
        <v>0</v>
      </c>
      <c r="Z77" s="32">
        <f t="shared" si="130"/>
        <v>-1</v>
      </c>
      <c r="AA77" s="31">
        <f>Tercera!AA77</f>
        <v>0</v>
      </c>
      <c r="AB77" s="32">
        <f t="shared" si="131"/>
        <v>-1</v>
      </c>
      <c r="AC77" s="31">
        <f>Tercera!AC77</f>
        <v>0</v>
      </c>
      <c r="AD77" s="32">
        <f t="shared" si="132"/>
        <v>-1</v>
      </c>
      <c r="AE77" s="31">
        <f>Tercera!AE77</f>
        <v>0</v>
      </c>
      <c r="AF77" s="32">
        <f t="shared" si="133"/>
        <v>-1</v>
      </c>
      <c r="AG77" s="31">
        <f>Tercera!AG77</f>
        <v>0</v>
      </c>
      <c r="AH77" s="32">
        <f t="shared" si="134"/>
        <v>-1</v>
      </c>
      <c r="AI77" s="31">
        <f>Tercera!AI77</f>
        <v>0</v>
      </c>
      <c r="AJ77" s="32">
        <f t="shared" si="135"/>
        <v>-1</v>
      </c>
      <c r="AK77" s="31">
        <f>Tercera!AK77</f>
        <v>0</v>
      </c>
      <c r="AL77" s="32">
        <f t="shared" si="136"/>
        <v>-1</v>
      </c>
      <c r="AM77" s="31">
        <f>Tercera!AM77</f>
        <v>0</v>
      </c>
      <c r="AN77" s="32">
        <f t="shared" si="137"/>
        <v>-1</v>
      </c>
      <c r="AO77" s="31">
        <f>Tercera!AO77</f>
        <v>0</v>
      </c>
      <c r="AP77" s="32">
        <f t="shared" si="138"/>
        <v>-1</v>
      </c>
      <c r="AQ77" s="31">
        <f>Tercera!AQ77</f>
        <v>0</v>
      </c>
      <c r="AR77" s="32">
        <f t="shared" si="139"/>
        <v>-1</v>
      </c>
      <c r="AS77" s="31">
        <f>Tercera!AS77</f>
        <v>0</v>
      </c>
      <c r="AT77" s="32">
        <f t="shared" si="140"/>
        <v>-1</v>
      </c>
      <c r="AU77" s="31">
        <f>Tercera!AU77</f>
        <v>0</v>
      </c>
      <c r="AV77" s="32">
        <f t="shared" si="141"/>
        <v>-1</v>
      </c>
      <c r="AW77" s="31">
        <f>Tercera!AW77</f>
        <v>0</v>
      </c>
      <c r="AX77" s="32">
        <f t="shared" si="142"/>
        <v>-1</v>
      </c>
      <c r="AY77" s="31">
        <f>Tercera!AY77</f>
        <v>0</v>
      </c>
      <c r="AZ77" s="32">
        <f t="shared" si="143"/>
        <v>-1</v>
      </c>
      <c r="BA77" s="31">
        <f>Tercera!BA77</f>
        <v>0</v>
      </c>
      <c r="BB77" s="32">
        <f t="shared" si="144"/>
        <v>-1</v>
      </c>
      <c r="BC77" s="31">
        <f>Tercera!BC77</f>
        <v>0</v>
      </c>
      <c r="BD77" s="32">
        <f t="shared" si="145"/>
        <v>-1</v>
      </c>
      <c r="BE77" s="31">
        <f>Tercera!BE77</f>
        <v>0</v>
      </c>
      <c r="BF77" s="32">
        <f t="shared" si="146"/>
        <v>-1</v>
      </c>
      <c r="BG77" s="31">
        <f>Tercera!BG77</f>
        <v>0</v>
      </c>
      <c r="BH77" s="32">
        <f t="shared" si="147"/>
        <v>-1</v>
      </c>
      <c r="BI77" s="31">
        <f>Tercera!BI77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Tercera!B78</f>
        <v>0</v>
      </c>
      <c r="C78" s="31">
        <f>Tercera!C78</f>
        <v>0</v>
      </c>
      <c r="D78" s="32">
        <f t="shared" si="119"/>
        <v>-1</v>
      </c>
      <c r="E78" s="31">
        <f>Tercera!E78</f>
        <v>0</v>
      </c>
      <c r="F78" s="32">
        <f t="shared" si="120"/>
        <v>-1</v>
      </c>
      <c r="G78" s="31">
        <f>Tercera!G78</f>
        <v>0</v>
      </c>
      <c r="H78" s="32">
        <f t="shared" si="121"/>
        <v>-1</v>
      </c>
      <c r="I78" s="31">
        <f>Tercera!I78</f>
        <v>0</v>
      </c>
      <c r="J78" s="32">
        <f t="shared" si="122"/>
        <v>-1</v>
      </c>
      <c r="K78" s="31">
        <f>Tercera!K78</f>
        <v>0</v>
      </c>
      <c r="L78" s="32">
        <f t="shared" si="123"/>
        <v>-1</v>
      </c>
      <c r="M78" s="31">
        <f>Tercera!M78</f>
        <v>0</v>
      </c>
      <c r="N78" s="32">
        <f t="shared" si="124"/>
        <v>-1</v>
      </c>
      <c r="O78" s="31">
        <f>Tercera!O78</f>
        <v>0</v>
      </c>
      <c r="P78" s="32">
        <f t="shared" si="125"/>
        <v>-1</v>
      </c>
      <c r="Q78" s="31">
        <f>Tercera!Q78</f>
        <v>0</v>
      </c>
      <c r="R78" s="32">
        <f t="shared" si="126"/>
        <v>-1</v>
      </c>
      <c r="S78" s="31">
        <f>Tercera!S78</f>
        <v>0</v>
      </c>
      <c r="T78" s="32">
        <f t="shared" si="127"/>
        <v>-1</v>
      </c>
      <c r="U78" s="31">
        <f>Tercera!U78</f>
        <v>0</v>
      </c>
      <c r="V78" s="32">
        <f t="shared" si="128"/>
        <v>-1</v>
      </c>
      <c r="W78" s="31">
        <f>Tercera!W78</f>
        <v>0</v>
      </c>
      <c r="X78" s="32">
        <f t="shared" si="129"/>
        <v>-1</v>
      </c>
      <c r="Y78" s="31">
        <f>Tercera!Y78</f>
        <v>0</v>
      </c>
      <c r="Z78" s="32">
        <f t="shared" si="130"/>
        <v>-1</v>
      </c>
      <c r="AA78" s="31">
        <f>Tercera!AA78</f>
        <v>0</v>
      </c>
      <c r="AB78" s="32">
        <f t="shared" si="131"/>
        <v>-1</v>
      </c>
      <c r="AC78" s="31">
        <f>Tercera!AC78</f>
        <v>0</v>
      </c>
      <c r="AD78" s="32">
        <f t="shared" si="132"/>
        <v>-1</v>
      </c>
      <c r="AE78" s="31">
        <f>Tercera!AE78</f>
        <v>0</v>
      </c>
      <c r="AF78" s="32">
        <f t="shared" si="133"/>
        <v>-1</v>
      </c>
      <c r="AG78" s="31">
        <f>Tercera!AG78</f>
        <v>0</v>
      </c>
      <c r="AH78" s="32">
        <f t="shared" si="134"/>
        <v>-1</v>
      </c>
      <c r="AI78" s="31">
        <f>Tercera!AI78</f>
        <v>0</v>
      </c>
      <c r="AJ78" s="32">
        <f t="shared" si="135"/>
        <v>-1</v>
      </c>
      <c r="AK78" s="31">
        <f>Tercera!AK78</f>
        <v>0</v>
      </c>
      <c r="AL78" s="32">
        <f t="shared" si="136"/>
        <v>-1</v>
      </c>
      <c r="AM78" s="31">
        <f>Tercera!AM78</f>
        <v>0</v>
      </c>
      <c r="AN78" s="32">
        <f t="shared" si="137"/>
        <v>-1</v>
      </c>
      <c r="AO78" s="31">
        <f>Tercera!AO78</f>
        <v>0</v>
      </c>
      <c r="AP78" s="32">
        <f t="shared" si="138"/>
        <v>-1</v>
      </c>
      <c r="AQ78" s="31">
        <f>Tercera!AQ78</f>
        <v>0</v>
      </c>
      <c r="AR78" s="32">
        <f t="shared" si="139"/>
        <v>-1</v>
      </c>
      <c r="AS78" s="31">
        <f>Tercera!AS78</f>
        <v>0</v>
      </c>
      <c r="AT78" s="32">
        <f t="shared" si="140"/>
        <v>-1</v>
      </c>
      <c r="AU78" s="31">
        <f>Tercera!AU78</f>
        <v>0</v>
      </c>
      <c r="AV78" s="32">
        <f t="shared" si="141"/>
        <v>-1</v>
      </c>
      <c r="AW78" s="31">
        <f>Tercera!AW78</f>
        <v>0</v>
      </c>
      <c r="AX78" s="32">
        <f t="shared" si="142"/>
        <v>-1</v>
      </c>
      <c r="AY78" s="31">
        <f>Tercera!AY78</f>
        <v>0</v>
      </c>
      <c r="AZ78" s="32">
        <f t="shared" si="143"/>
        <v>-1</v>
      </c>
      <c r="BA78" s="31">
        <f>Tercera!BA78</f>
        <v>0</v>
      </c>
      <c r="BB78" s="32">
        <f t="shared" si="144"/>
        <v>-1</v>
      </c>
      <c r="BC78" s="31">
        <f>Tercera!BC78</f>
        <v>0</v>
      </c>
      <c r="BD78" s="32">
        <f t="shared" si="145"/>
        <v>-1</v>
      </c>
      <c r="BE78" s="31">
        <f>Tercera!BE78</f>
        <v>0</v>
      </c>
      <c r="BF78" s="32">
        <f t="shared" si="146"/>
        <v>-1</v>
      </c>
      <c r="BG78" s="31">
        <f>Tercera!BG78</f>
        <v>0</v>
      </c>
      <c r="BH78" s="32">
        <f t="shared" si="147"/>
        <v>-1</v>
      </c>
      <c r="BI78" s="31">
        <f>Tercera!BI78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Tercera!B79</f>
        <v>0</v>
      </c>
      <c r="C79" s="31">
        <f>Tercera!C79</f>
        <v>0</v>
      </c>
      <c r="D79" s="32">
        <f t="shared" si="119"/>
        <v>-1</v>
      </c>
      <c r="E79" s="31">
        <f>Tercera!E79</f>
        <v>0</v>
      </c>
      <c r="F79" s="32">
        <f t="shared" si="120"/>
        <v>-1</v>
      </c>
      <c r="G79" s="31">
        <f>Tercera!G79</f>
        <v>0</v>
      </c>
      <c r="H79" s="32">
        <f t="shared" si="121"/>
        <v>-1</v>
      </c>
      <c r="I79" s="31">
        <f>Tercera!I79</f>
        <v>0</v>
      </c>
      <c r="J79" s="32">
        <f t="shared" si="122"/>
        <v>-1</v>
      </c>
      <c r="K79" s="31">
        <f>Tercera!K79</f>
        <v>0</v>
      </c>
      <c r="L79" s="32">
        <f t="shared" si="123"/>
        <v>-1</v>
      </c>
      <c r="M79" s="31">
        <f>Tercera!M79</f>
        <v>0</v>
      </c>
      <c r="N79" s="32">
        <f t="shared" si="124"/>
        <v>-1</v>
      </c>
      <c r="O79" s="31">
        <f>Tercera!O79</f>
        <v>0</v>
      </c>
      <c r="P79" s="32">
        <f t="shared" si="125"/>
        <v>-1</v>
      </c>
      <c r="Q79" s="31">
        <f>Tercera!Q79</f>
        <v>0</v>
      </c>
      <c r="R79" s="32">
        <f t="shared" si="126"/>
        <v>-1</v>
      </c>
      <c r="S79" s="31">
        <f>Tercera!S79</f>
        <v>0</v>
      </c>
      <c r="T79" s="32">
        <f t="shared" si="127"/>
        <v>-1</v>
      </c>
      <c r="U79" s="31">
        <f>Tercera!U79</f>
        <v>0</v>
      </c>
      <c r="V79" s="32">
        <f t="shared" si="128"/>
        <v>-1</v>
      </c>
      <c r="W79" s="31">
        <f>Tercera!W79</f>
        <v>0</v>
      </c>
      <c r="X79" s="32">
        <f t="shared" si="129"/>
        <v>-1</v>
      </c>
      <c r="Y79" s="31">
        <f>Tercera!Y79</f>
        <v>0</v>
      </c>
      <c r="Z79" s="32">
        <f t="shared" si="130"/>
        <v>-1</v>
      </c>
      <c r="AA79" s="31">
        <f>Tercera!AA79</f>
        <v>0</v>
      </c>
      <c r="AB79" s="32">
        <f t="shared" si="131"/>
        <v>-1</v>
      </c>
      <c r="AC79" s="31">
        <f>Tercera!AC79</f>
        <v>0</v>
      </c>
      <c r="AD79" s="32">
        <f t="shared" si="132"/>
        <v>-1</v>
      </c>
      <c r="AE79" s="31">
        <f>Tercera!AE79</f>
        <v>0</v>
      </c>
      <c r="AF79" s="32">
        <f t="shared" si="133"/>
        <v>-1</v>
      </c>
      <c r="AG79" s="31">
        <f>Tercera!AG79</f>
        <v>0</v>
      </c>
      <c r="AH79" s="32">
        <f t="shared" si="134"/>
        <v>-1</v>
      </c>
      <c r="AI79" s="31">
        <f>Tercera!AI79</f>
        <v>0</v>
      </c>
      <c r="AJ79" s="32">
        <f t="shared" si="135"/>
        <v>-1</v>
      </c>
      <c r="AK79" s="31">
        <f>Tercera!AK79</f>
        <v>0</v>
      </c>
      <c r="AL79" s="32">
        <f t="shared" si="136"/>
        <v>-1</v>
      </c>
      <c r="AM79" s="31">
        <f>Tercera!AM79</f>
        <v>0</v>
      </c>
      <c r="AN79" s="32">
        <f t="shared" si="137"/>
        <v>-1</v>
      </c>
      <c r="AO79" s="31">
        <f>Tercera!AO79</f>
        <v>0</v>
      </c>
      <c r="AP79" s="32">
        <f t="shared" si="138"/>
        <v>-1</v>
      </c>
      <c r="AQ79" s="31">
        <f>Tercera!AQ79</f>
        <v>0</v>
      </c>
      <c r="AR79" s="32">
        <f t="shared" si="139"/>
        <v>-1</v>
      </c>
      <c r="AS79" s="31">
        <f>Tercera!AS79</f>
        <v>0</v>
      </c>
      <c r="AT79" s="32">
        <f t="shared" si="140"/>
        <v>-1</v>
      </c>
      <c r="AU79" s="31">
        <f>Tercera!AU79</f>
        <v>0</v>
      </c>
      <c r="AV79" s="32">
        <f t="shared" si="141"/>
        <v>-1</v>
      </c>
      <c r="AW79" s="31">
        <f>Tercera!AW79</f>
        <v>0</v>
      </c>
      <c r="AX79" s="32">
        <f t="shared" si="142"/>
        <v>-1</v>
      </c>
      <c r="AY79" s="31">
        <f>Tercera!AY79</f>
        <v>0</v>
      </c>
      <c r="AZ79" s="32">
        <f t="shared" si="143"/>
        <v>-1</v>
      </c>
      <c r="BA79" s="31">
        <f>Tercera!BA79</f>
        <v>0</v>
      </c>
      <c r="BB79" s="32">
        <f t="shared" si="144"/>
        <v>-1</v>
      </c>
      <c r="BC79" s="31">
        <f>Tercera!BC79</f>
        <v>0</v>
      </c>
      <c r="BD79" s="32">
        <f t="shared" si="145"/>
        <v>-1</v>
      </c>
      <c r="BE79" s="31">
        <f>Tercera!BE79</f>
        <v>0</v>
      </c>
      <c r="BF79" s="32">
        <f t="shared" si="146"/>
        <v>-1</v>
      </c>
      <c r="BG79" s="31">
        <f>Tercera!BG79</f>
        <v>0</v>
      </c>
      <c r="BH79" s="32">
        <f t="shared" si="147"/>
        <v>-1</v>
      </c>
      <c r="BI79" s="31">
        <f>Tercera!BI79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Tercera!B80</f>
        <v>0</v>
      </c>
      <c r="C80" s="31">
        <f>Tercera!C80</f>
        <v>0</v>
      </c>
      <c r="D80" s="32">
        <f t="shared" si="119"/>
        <v>-1</v>
      </c>
      <c r="E80" s="31">
        <f>Tercera!E80</f>
        <v>0</v>
      </c>
      <c r="F80" s="32">
        <f t="shared" si="120"/>
        <v>-1</v>
      </c>
      <c r="G80" s="31">
        <f>Tercera!G80</f>
        <v>0</v>
      </c>
      <c r="H80" s="32">
        <f t="shared" si="121"/>
        <v>-1</v>
      </c>
      <c r="I80" s="31">
        <f>Tercera!I80</f>
        <v>0</v>
      </c>
      <c r="J80" s="32">
        <f t="shared" si="122"/>
        <v>-1</v>
      </c>
      <c r="K80" s="31">
        <f>Tercera!K80</f>
        <v>0</v>
      </c>
      <c r="L80" s="32">
        <f t="shared" si="123"/>
        <v>-1</v>
      </c>
      <c r="M80" s="31">
        <f>Tercera!M80</f>
        <v>0</v>
      </c>
      <c r="N80" s="32">
        <f t="shared" si="124"/>
        <v>-1</v>
      </c>
      <c r="O80" s="31">
        <f>Tercera!O80</f>
        <v>0</v>
      </c>
      <c r="P80" s="32">
        <f t="shared" si="125"/>
        <v>-1</v>
      </c>
      <c r="Q80" s="31">
        <f>Tercera!Q80</f>
        <v>0</v>
      </c>
      <c r="R80" s="32">
        <f t="shared" si="126"/>
        <v>-1</v>
      </c>
      <c r="S80" s="31">
        <f>Tercera!S80</f>
        <v>0</v>
      </c>
      <c r="T80" s="32">
        <f t="shared" si="127"/>
        <v>-1</v>
      </c>
      <c r="U80" s="31">
        <f>Tercera!U80</f>
        <v>0</v>
      </c>
      <c r="V80" s="32">
        <f t="shared" si="128"/>
        <v>-1</v>
      </c>
      <c r="W80" s="31">
        <f>Tercera!W80</f>
        <v>0</v>
      </c>
      <c r="X80" s="32">
        <f t="shared" si="129"/>
        <v>-1</v>
      </c>
      <c r="Y80" s="31">
        <f>Tercera!Y80</f>
        <v>0</v>
      </c>
      <c r="Z80" s="32">
        <f t="shared" si="130"/>
        <v>-1</v>
      </c>
      <c r="AA80" s="31">
        <f>Tercera!AA80</f>
        <v>0</v>
      </c>
      <c r="AB80" s="32">
        <f t="shared" si="131"/>
        <v>-1</v>
      </c>
      <c r="AC80" s="31">
        <f>Tercera!AC80</f>
        <v>0</v>
      </c>
      <c r="AD80" s="32">
        <f t="shared" si="132"/>
        <v>-1</v>
      </c>
      <c r="AE80" s="31">
        <f>Tercera!AE80</f>
        <v>0</v>
      </c>
      <c r="AF80" s="32">
        <f t="shared" si="133"/>
        <v>-1</v>
      </c>
      <c r="AG80" s="31">
        <f>Tercera!AG80</f>
        <v>0</v>
      </c>
      <c r="AH80" s="32">
        <f t="shared" si="134"/>
        <v>-1</v>
      </c>
      <c r="AI80" s="31">
        <f>Tercera!AI80</f>
        <v>0</v>
      </c>
      <c r="AJ80" s="32">
        <f t="shared" si="135"/>
        <v>-1</v>
      </c>
      <c r="AK80" s="31">
        <f>Tercera!AK80</f>
        <v>0</v>
      </c>
      <c r="AL80" s="32">
        <f t="shared" si="136"/>
        <v>-1</v>
      </c>
      <c r="AM80" s="31">
        <f>Tercera!AM80</f>
        <v>0</v>
      </c>
      <c r="AN80" s="32">
        <f t="shared" si="137"/>
        <v>-1</v>
      </c>
      <c r="AO80" s="31">
        <f>Tercera!AO80</f>
        <v>0</v>
      </c>
      <c r="AP80" s="32">
        <f t="shared" si="138"/>
        <v>-1</v>
      </c>
      <c r="AQ80" s="31">
        <f>Tercera!AQ80</f>
        <v>0</v>
      </c>
      <c r="AR80" s="32">
        <f t="shared" si="139"/>
        <v>-1</v>
      </c>
      <c r="AS80" s="31">
        <f>Tercera!AS80</f>
        <v>0</v>
      </c>
      <c r="AT80" s="32">
        <f t="shared" si="140"/>
        <v>-1</v>
      </c>
      <c r="AU80" s="31">
        <f>Tercera!AU80</f>
        <v>0</v>
      </c>
      <c r="AV80" s="32">
        <f t="shared" si="141"/>
        <v>-1</v>
      </c>
      <c r="AW80" s="31">
        <f>Tercera!AW80</f>
        <v>0</v>
      </c>
      <c r="AX80" s="32">
        <f t="shared" si="142"/>
        <v>-1</v>
      </c>
      <c r="AY80" s="31">
        <f>Tercera!AY80</f>
        <v>0</v>
      </c>
      <c r="AZ80" s="32">
        <f t="shared" si="143"/>
        <v>-1</v>
      </c>
      <c r="BA80" s="31">
        <f>Tercera!BA80</f>
        <v>0</v>
      </c>
      <c r="BB80" s="32">
        <f t="shared" si="144"/>
        <v>-1</v>
      </c>
      <c r="BC80" s="31">
        <f>Tercera!BC80</f>
        <v>0</v>
      </c>
      <c r="BD80" s="32">
        <f t="shared" si="145"/>
        <v>-1</v>
      </c>
      <c r="BE80" s="31">
        <f>Tercera!BE80</f>
        <v>0</v>
      </c>
      <c r="BF80" s="32">
        <f t="shared" si="146"/>
        <v>-1</v>
      </c>
      <c r="BG80" s="31">
        <f>Tercera!BG80</f>
        <v>0</v>
      </c>
      <c r="BH80" s="32">
        <f t="shared" si="147"/>
        <v>-1</v>
      </c>
      <c r="BI80" s="31">
        <f>Tercera!BI80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Tercera!B81</f>
        <v>0</v>
      </c>
      <c r="C81" s="31">
        <f>Tercera!C81</f>
        <v>0</v>
      </c>
      <c r="D81" s="32">
        <f t="shared" si="119"/>
        <v>-1</v>
      </c>
      <c r="E81" s="31">
        <f>Tercera!E81</f>
        <v>0</v>
      </c>
      <c r="F81" s="32">
        <f t="shared" si="120"/>
        <v>-1</v>
      </c>
      <c r="G81" s="31">
        <f>Tercera!G81</f>
        <v>0</v>
      </c>
      <c r="H81" s="32">
        <f t="shared" si="121"/>
        <v>-1</v>
      </c>
      <c r="I81" s="31">
        <f>Tercera!I81</f>
        <v>0</v>
      </c>
      <c r="J81" s="32">
        <f t="shared" si="122"/>
        <v>-1</v>
      </c>
      <c r="K81" s="31">
        <f>Tercera!K81</f>
        <v>0</v>
      </c>
      <c r="L81" s="32">
        <f t="shared" si="123"/>
        <v>-1</v>
      </c>
      <c r="M81" s="31">
        <f>Tercera!M81</f>
        <v>0</v>
      </c>
      <c r="N81" s="32">
        <f t="shared" si="124"/>
        <v>-1</v>
      </c>
      <c r="O81" s="31">
        <f>Tercera!O81</f>
        <v>0</v>
      </c>
      <c r="P81" s="32">
        <f t="shared" si="125"/>
        <v>-1</v>
      </c>
      <c r="Q81" s="31">
        <f>Tercera!Q81</f>
        <v>0</v>
      </c>
      <c r="R81" s="32">
        <f t="shared" si="126"/>
        <v>-1</v>
      </c>
      <c r="S81" s="31">
        <f>Tercera!S81</f>
        <v>0</v>
      </c>
      <c r="T81" s="32">
        <f t="shared" si="127"/>
        <v>-1</v>
      </c>
      <c r="U81" s="31">
        <f>Tercera!U81</f>
        <v>0</v>
      </c>
      <c r="V81" s="32">
        <f t="shared" si="128"/>
        <v>-1</v>
      </c>
      <c r="W81" s="31">
        <f>Tercera!W81</f>
        <v>0</v>
      </c>
      <c r="X81" s="32">
        <f t="shared" si="129"/>
        <v>-1</v>
      </c>
      <c r="Y81" s="31">
        <f>Tercera!Y81</f>
        <v>0</v>
      </c>
      <c r="Z81" s="32">
        <f t="shared" si="130"/>
        <v>-1</v>
      </c>
      <c r="AA81" s="31">
        <f>Tercera!AA81</f>
        <v>0</v>
      </c>
      <c r="AB81" s="32">
        <f t="shared" si="131"/>
        <v>-1</v>
      </c>
      <c r="AC81" s="31">
        <f>Tercera!AC81</f>
        <v>0</v>
      </c>
      <c r="AD81" s="32">
        <f t="shared" si="132"/>
        <v>-1</v>
      </c>
      <c r="AE81" s="31">
        <f>Tercera!AE81</f>
        <v>0</v>
      </c>
      <c r="AF81" s="32">
        <f t="shared" si="133"/>
        <v>-1</v>
      </c>
      <c r="AG81" s="31">
        <f>Tercera!AG81</f>
        <v>0</v>
      </c>
      <c r="AH81" s="32">
        <f t="shared" si="134"/>
        <v>-1</v>
      </c>
      <c r="AI81" s="31">
        <f>Tercera!AI81</f>
        <v>0</v>
      </c>
      <c r="AJ81" s="32">
        <f t="shared" si="135"/>
        <v>-1</v>
      </c>
      <c r="AK81" s="31">
        <f>Tercera!AK81</f>
        <v>0</v>
      </c>
      <c r="AL81" s="32">
        <f t="shared" si="136"/>
        <v>-1</v>
      </c>
      <c r="AM81" s="31">
        <f>Tercera!AM81</f>
        <v>0</v>
      </c>
      <c r="AN81" s="32">
        <f t="shared" si="137"/>
        <v>-1</v>
      </c>
      <c r="AO81" s="31">
        <f>Tercera!AO81</f>
        <v>0</v>
      </c>
      <c r="AP81" s="32">
        <f t="shared" si="138"/>
        <v>-1</v>
      </c>
      <c r="AQ81" s="31">
        <f>Tercera!AQ81</f>
        <v>0</v>
      </c>
      <c r="AR81" s="32">
        <f t="shared" si="139"/>
        <v>-1</v>
      </c>
      <c r="AS81" s="31">
        <f>Tercera!AS81</f>
        <v>0</v>
      </c>
      <c r="AT81" s="32">
        <f t="shared" si="140"/>
        <v>-1</v>
      </c>
      <c r="AU81" s="31">
        <f>Tercera!AU81</f>
        <v>0</v>
      </c>
      <c r="AV81" s="32">
        <f t="shared" si="141"/>
        <v>-1</v>
      </c>
      <c r="AW81" s="31">
        <f>Tercera!AW81</f>
        <v>0</v>
      </c>
      <c r="AX81" s="32">
        <f t="shared" si="142"/>
        <v>-1</v>
      </c>
      <c r="AY81" s="31">
        <f>Tercera!AY81</f>
        <v>0</v>
      </c>
      <c r="AZ81" s="32">
        <f t="shared" si="143"/>
        <v>-1</v>
      </c>
      <c r="BA81" s="31">
        <f>Tercera!BA81</f>
        <v>0</v>
      </c>
      <c r="BB81" s="32">
        <f t="shared" si="144"/>
        <v>-1</v>
      </c>
      <c r="BC81" s="31">
        <f>Tercera!BC81</f>
        <v>0</v>
      </c>
      <c r="BD81" s="32">
        <f t="shared" si="145"/>
        <v>-1</v>
      </c>
      <c r="BE81" s="31">
        <f>Tercera!BE81</f>
        <v>0</v>
      </c>
      <c r="BF81" s="32">
        <f t="shared" si="146"/>
        <v>-1</v>
      </c>
      <c r="BG81" s="31">
        <f>Tercera!BG81</f>
        <v>0</v>
      </c>
      <c r="BH81" s="32">
        <f t="shared" si="147"/>
        <v>-1</v>
      </c>
      <c r="BI81" s="31">
        <f>Tercera!BI81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Tercera!B82</f>
        <v>0</v>
      </c>
      <c r="C82" s="31">
        <f>Tercera!C82</f>
        <v>0</v>
      </c>
      <c r="D82" s="32">
        <f t="shared" si="119"/>
        <v>-1</v>
      </c>
      <c r="E82" s="31">
        <f>Tercera!E82</f>
        <v>0</v>
      </c>
      <c r="F82" s="32">
        <f t="shared" si="120"/>
        <v>-1</v>
      </c>
      <c r="G82" s="31">
        <f>Tercera!G82</f>
        <v>0</v>
      </c>
      <c r="H82" s="32">
        <f t="shared" si="121"/>
        <v>-1</v>
      </c>
      <c r="I82" s="31">
        <f>Tercera!I82</f>
        <v>0</v>
      </c>
      <c r="J82" s="32">
        <f t="shared" si="122"/>
        <v>-1</v>
      </c>
      <c r="K82" s="31">
        <f>Tercera!K82</f>
        <v>0</v>
      </c>
      <c r="L82" s="32">
        <f t="shared" si="123"/>
        <v>-1</v>
      </c>
      <c r="M82" s="31">
        <f>Tercera!M82</f>
        <v>0</v>
      </c>
      <c r="N82" s="32">
        <f t="shared" si="124"/>
        <v>-1</v>
      </c>
      <c r="O82" s="31">
        <f>Tercera!O82</f>
        <v>0</v>
      </c>
      <c r="P82" s="32">
        <f t="shared" si="125"/>
        <v>-1</v>
      </c>
      <c r="Q82" s="31">
        <f>Tercera!Q82</f>
        <v>0</v>
      </c>
      <c r="R82" s="32">
        <f t="shared" si="126"/>
        <v>-1</v>
      </c>
      <c r="S82" s="31">
        <f>Tercera!S82</f>
        <v>0</v>
      </c>
      <c r="T82" s="32">
        <f t="shared" si="127"/>
        <v>-1</v>
      </c>
      <c r="U82" s="31">
        <f>Tercera!U82</f>
        <v>0</v>
      </c>
      <c r="V82" s="32">
        <f t="shared" si="128"/>
        <v>-1</v>
      </c>
      <c r="W82" s="31">
        <f>Tercera!W82</f>
        <v>0</v>
      </c>
      <c r="X82" s="32">
        <f t="shared" si="129"/>
        <v>-1</v>
      </c>
      <c r="Y82" s="31">
        <f>Tercera!Y82</f>
        <v>0</v>
      </c>
      <c r="Z82" s="32">
        <f t="shared" si="130"/>
        <v>-1</v>
      </c>
      <c r="AA82" s="31">
        <f>Tercera!AA82</f>
        <v>0</v>
      </c>
      <c r="AB82" s="32">
        <f t="shared" si="131"/>
        <v>-1</v>
      </c>
      <c r="AC82" s="31">
        <f>Tercera!AC82</f>
        <v>0</v>
      </c>
      <c r="AD82" s="32">
        <f t="shared" si="132"/>
        <v>-1</v>
      </c>
      <c r="AE82" s="31">
        <f>Tercera!AE82</f>
        <v>0</v>
      </c>
      <c r="AF82" s="32">
        <f t="shared" si="133"/>
        <v>-1</v>
      </c>
      <c r="AG82" s="31">
        <f>Tercera!AG82</f>
        <v>0</v>
      </c>
      <c r="AH82" s="32">
        <f t="shared" si="134"/>
        <v>-1</v>
      </c>
      <c r="AI82" s="31">
        <f>Tercera!AI82</f>
        <v>0</v>
      </c>
      <c r="AJ82" s="32">
        <f t="shared" si="135"/>
        <v>-1</v>
      </c>
      <c r="AK82" s="31">
        <f>Tercera!AK82</f>
        <v>0</v>
      </c>
      <c r="AL82" s="32">
        <f t="shared" si="136"/>
        <v>-1</v>
      </c>
      <c r="AM82" s="31">
        <f>Tercera!AM82</f>
        <v>0</v>
      </c>
      <c r="AN82" s="32">
        <f t="shared" si="137"/>
        <v>-1</v>
      </c>
      <c r="AO82" s="31">
        <f>Tercera!AO82</f>
        <v>0</v>
      </c>
      <c r="AP82" s="32">
        <f t="shared" si="138"/>
        <v>-1</v>
      </c>
      <c r="AQ82" s="31">
        <f>Tercera!AQ82</f>
        <v>0</v>
      </c>
      <c r="AR82" s="32">
        <f t="shared" si="139"/>
        <v>-1</v>
      </c>
      <c r="AS82" s="31">
        <f>Tercera!AS82</f>
        <v>0</v>
      </c>
      <c r="AT82" s="32">
        <f t="shared" si="140"/>
        <v>-1</v>
      </c>
      <c r="AU82" s="31">
        <f>Tercera!AU82</f>
        <v>0</v>
      </c>
      <c r="AV82" s="32">
        <f t="shared" si="141"/>
        <v>-1</v>
      </c>
      <c r="AW82" s="31">
        <f>Tercera!AW82</f>
        <v>0</v>
      </c>
      <c r="AX82" s="32">
        <f t="shared" si="142"/>
        <v>-1</v>
      </c>
      <c r="AY82" s="31">
        <f>Tercera!AY82</f>
        <v>0</v>
      </c>
      <c r="AZ82" s="32">
        <f t="shared" si="143"/>
        <v>-1</v>
      </c>
      <c r="BA82" s="31">
        <f>Tercera!BA82</f>
        <v>0</v>
      </c>
      <c r="BB82" s="32">
        <f t="shared" si="144"/>
        <v>-1</v>
      </c>
      <c r="BC82" s="31">
        <f>Tercera!BC82</f>
        <v>0</v>
      </c>
      <c r="BD82" s="32">
        <f t="shared" si="145"/>
        <v>-1</v>
      </c>
      <c r="BE82" s="31">
        <f>Tercera!BE82</f>
        <v>0</v>
      </c>
      <c r="BF82" s="32">
        <f t="shared" si="146"/>
        <v>-1</v>
      </c>
      <c r="BG82" s="31">
        <f>Tercera!BG82</f>
        <v>0</v>
      </c>
      <c r="BH82" s="32">
        <f t="shared" si="147"/>
        <v>-1</v>
      </c>
      <c r="BI82" s="31">
        <f>Tercera!BI82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Tercera!B83</f>
        <v>0</v>
      </c>
      <c r="C83" s="31">
        <f>Tercera!C83</f>
        <v>0</v>
      </c>
      <c r="D83" s="32">
        <f t="shared" si="119"/>
        <v>-1</v>
      </c>
      <c r="E83" s="31">
        <f>Tercera!E83</f>
        <v>0</v>
      </c>
      <c r="F83" s="32">
        <f t="shared" si="120"/>
        <v>-1</v>
      </c>
      <c r="G83" s="31">
        <f>Tercera!G83</f>
        <v>0</v>
      </c>
      <c r="H83" s="32">
        <f t="shared" si="121"/>
        <v>-1</v>
      </c>
      <c r="I83" s="31">
        <f>Tercera!I83</f>
        <v>0</v>
      </c>
      <c r="J83" s="32">
        <f t="shared" si="122"/>
        <v>-1</v>
      </c>
      <c r="K83" s="31">
        <f>Tercera!K83</f>
        <v>0</v>
      </c>
      <c r="L83" s="32">
        <f t="shared" si="123"/>
        <v>-1</v>
      </c>
      <c r="M83" s="31">
        <f>Tercera!M83</f>
        <v>0</v>
      </c>
      <c r="N83" s="32">
        <f t="shared" si="124"/>
        <v>-1</v>
      </c>
      <c r="O83" s="31">
        <f>Tercera!O83</f>
        <v>0</v>
      </c>
      <c r="P83" s="32">
        <f t="shared" si="125"/>
        <v>-1</v>
      </c>
      <c r="Q83" s="31">
        <f>Tercera!Q83</f>
        <v>0</v>
      </c>
      <c r="R83" s="32">
        <f t="shared" si="126"/>
        <v>-1</v>
      </c>
      <c r="S83" s="31">
        <f>Tercera!S83</f>
        <v>0</v>
      </c>
      <c r="T83" s="32">
        <f t="shared" si="127"/>
        <v>-1</v>
      </c>
      <c r="U83" s="31">
        <f>Tercera!U83</f>
        <v>0</v>
      </c>
      <c r="V83" s="32">
        <f t="shared" si="128"/>
        <v>-1</v>
      </c>
      <c r="W83" s="31">
        <f>Tercera!W83</f>
        <v>0</v>
      </c>
      <c r="X83" s="32">
        <f t="shared" si="129"/>
        <v>-1</v>
      </c>
      <c r="Y83" s="31">
        <f>Tercera!Y83</f>
        <v>0</v>
      </c>
      <c r="Z83" s="32">
        <f t="shared" si="130"/>
        <v>-1</v>
      </c>
      <c r="AA83" s="31">
        <f>Tercera!AA83</f>
        <v>0</v>
      </c>
      <c r="AB83" s="32">
        <f t="shared" si="131"/>
        <v>-1</v>
      </c>
      <c r="AC83" s="31">
        <f>Tercera!AC83</f>
        <v>0</v>
      </c>
      <c r="AD83" s="32">
        <f t="shared" si="132"/>
        <v>-1</v>
      </c>
      <c r="AE83" s="31">
        <f>Tercera!AE83</f>
        <v>0</v>
      </c>
      <c r="AF83" s="32">
        <f t="shared" si="133"/>
        <v>-1</v>
      </c>
      <c r="AG83" s="31">
        <f>Tercera!AG83</f>
        <v>0</v>
      </c>
      <c r="AH83" s="32">
        <f t="shared" si="134"/>
        <v>-1</v>
      </c>
      <c r="AI83" s="31">
        <f>Tercera!AI83</f>
        <v>0</v>
      </c>
      <c r="AJ83" s="32">
        <f t="shared" si="135"/>
        <v>-1</v>
      </c>
      <c r="AK83" s="31">
        <f>Tercera!AK83</f>
        <v>0</v>
      </c>
      <c r="AL83" s="32">
        <f t="shared" si="136"/>
        <v>-1</v>
      </c>
      <c r="AM83" s="31">
        <f>Tercera!AM83</f>
        <v>0</v>
      </c>
      <c r="AN83" s="32">
        <f t="shared" si="137"/>
        <v>-1</v>
      </c>
      <c r="AO83" s="31">
        <f>Tercera!AO83</f>
        <v>0</v>
      </c>
      <c r="AP83" s="32">
        <f t="shared" si="138"/>
        <v>-1</v>
      </c>
      <c r="AQ83" s="31">
        <f>Tercera!AQ83</f>
        <v>0</v>
      </c>
      <c r="AR83" s="32">
        <f t="shared" si="139"/>
        <v>-1</v>
      </c>
      <c r="AS83" s="31">
        <f>Tercera!AS83</f>
        <v>0</v>
      </c>
      <c r="AT83" s="32">
        <f t="shared" si="140"/>
        <v>-1</v>
      </c>
      <c r="AU83" s="31">
        <f>Tercera!AU83</f>
        <v>0</v>
      </c>
      <c r="AV83" s="32">
        <f t="shared" si="141"/>
        <v>-1</v>
      </c>
      <c r="AW83" s="31">
        <f>Tercera!AW83</f>
        <v>0</v>
      </c>
      <c r="AX83" s="32">
        <f t="shared" si="142"/>
        <v>-1</v>
      </c>
      <c r="AY83" s="31">
        <f>Tercera!AY83</f>
        <v>0</v>
      </c>
      <c r="AZ83" s="32">
        <f t="shared" si="143"/>
        <v>-1</v>
      </c>
      <c r="BA83" s="31">
        <f>Tercera!BA83</f>
        <v>0</v>
      </c>
      <c r="BB83" s="32">
        <f t="shared" si="144"/>
        <v>-1</v>
      </c>
      <c r="BC83" s="31">
        <f>Tercera!BC83</f>
        <v>0</v>
      </c>
      <c r="BD83" s="32">
        <f t="shared" si="145"/>
        <v>-1</v>
      </c>
      <c r="BE83" s="31">
        <f>Tercera!BE83</f>
        <v>0</v>
      </c>
      <c r="BF83" s="32">
        <f t="shared" si="146"/>
        <v>-1</v>
      </c>
      <c r="BG83" s="31">
        <f>Tercera!BG83</f>
        <v>0</v>
      </c>
      <c r="BH83" s="32">
        <f t="shared" si="147"/>
        <v>-1</v>
      </c>
      <c r="BI83" s="31">
        <f>Tercera!BI83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Tercera!B84</f>
        <v>0</v>
      </c>
      <c r="C84" s="31">
        <f>Tercera!C84</f>
        <v>0</v>
      </c>
      <c r="D84" s="32">
        <f t="shared" si="119"/>
        <v>-1</v>
      </c>
      <c r="E84" s="31">
        <f>Tercera!E84</f>
        <v>0</v>
      </c>
      <c r="F84" s="32">
        <f t="shared" si="120"/>
        <v>-1</v>
      </c>
      <c r="G84" s="31">
        <f>Tercera!G84</f>
        <v>0</v>
      </c>
      <c r="H84" s="32">
        <f t="shared" si="121"/>
        <v>-1</v>
      </c>
      <c r="I84" s="31">
        <f>Tercera!I84</f>
        <v>0</v>
      </c>
      <c r="J84" s="32">
        <f t="shared" si="122"/>
        <v>-1</v>
      </c>
      <c r="K84" s="31">
        <f>Tercera!K84</f>
        <v>0</v>
      </c>
      <c r="L84" s="32">
        <f t="shared" si="123"/>
        <v>-1</v>
      </c>
      <c r="M84" s="31">
        <f>Tercera!M84</f>
        <v>0</v>
      </c>
      <c r="N84" s="32">
        <f t="shared" si="124"/>
        <v>-1</v>
      </c>
      <c r="O84" s="31">
        <f>Tercera!O84</f>
        <v>0</v>
      </c>
      <c r="P84" s="32">
        <f t="shared" si="125"/>
        <v>-1</v>
      </c>
      <c r="Q84" s="31">
        <f>Tercera!Q84</f>
        <v>0</v>
      </c>
      <c r="R84" s="32">
        <f t="shared" si="126"/>
        <v>-1</v>
      </c>
      <c r="S84" s="31">
        <f>Tercera!S84</f>
        <v>0</v>
      </c>
      <c r="T84" s="32">
        <f t="shared" si="127"/>
        <v>-1</v>
      </c>
      <c r="U84" s="31">
        <f>Tercera!U84</f>
        <v>0</v>
      </c>
      <c r="V84" s="32">
        <f t="shared" si="128"/>
        <v>-1</v>
      </c>
      <c r="W84" s="31">
        <f>Tercera!W84</f>
        <v>0</v>
      </c>
      <c r="X84" s="32">
        <f t="shared" si="129"/>
        <v>-1</v>
      </c>
      <c r="Y84" s="31">
        <f>Tercera!Y84</f>
        <v>0</v>
      </c>
      <c r="Z84" s="32">
        <f t="shared" si="130"/>
        <v>-1</v>
      </c>
      <c r="AA84" s="31">
        <f>Tercera!AA84</f>
        <v>0</v>
      </c>
      <c r="AB84" s="32">
        <f t="shared" si="131"/>
        <v>-1</v>
      </c>
      <c r="AC84" s="31">
        <f>Tercera!AC84</f>
        <v>0</v>
      </c>
      <c r="AD84" s="32">
        <f t="shared" si="132"/>
        <v>-1</v>
      </c>
      <c r="AE84" s="31">
        <f>Tercera!AE84</f>
        <v>0</v>
      </c>
      <c r="AF84" s="32">
        <f t="shared" si="133"/>
        <v>-1</v>
      </c>
      <c r="AG84" s="31">
        <f>Tercera!AG84</f>
        <v>0</v>
      </c>
      <c r="AH84" s="32">
        <f t="shared" si="134"/>
        <v>-1</v>
      </c>
      <c r="AI84" s="31">
        <f>Tercera!AI84</f>
        <v>0</v>
      </c>
      <c r="AJ84" s="32">
        <f t="shared" si="135"/>
        <v>-1</v>
      </c>
      <c r="AK84" s="31">
        <f>Tercera!AK84</f>
        <v>0</v>
      </c>
      <c r="AL84" s="32">
        <f t="shared" si="136"/>
        <v>-1</v>
      </c>
      <c r="AM84" s="31">
        <f>Tercera!AM84</f>
        <v>0</v>
      </c>
      <c r="AN84" s="32">
        <f t="shared" si="137"/>
        <v>-1</v>
      </c>
      <c r="AO84" s="31">
        <f>Tercera!AO84</f>
        <v>0</v>
      </c>
      <c r="AP84" s="32">
        <f t="shared" si="138"/>
        <v>-1</v>
      </c>
      <c r="AQ84" s="31">
        <f>Tercera!AQ84</f>
        <v>0</v>
      </c>
      <c r="AR84" s="32">
        <f t="shared" si="139"/>
        <v>-1</v>
      </c>
      <c r="AS84" s="31">
        <f>Tercera!AS84</f>
        <v>0</v>
      </c>
      <c r="AT84" s="32">
        <f t="shared" si="140"/>
        <v>-1</v>
      </c>
      <c r="AU84" s="31">
        <f>Tercera!AU84</f>
        <v>0</v>
      </c>
      <c r="AV84" s="32">
        <f t="shared" si="141"/>
        <v>-1</v>
      </c>
      <c r="AW84" s="31">
        <f>Tercera!AW84</f>
        <v>0</v>
      </c>
      <c r="AX84" s="32">
        <f t="shared" si="142"/>
        <v>-1</v>
      </c>
      <c r="AY84" s="31">
        <f>Tercera!AY84</f>
        <v>0</v>
      </c>
      <c r="AZ84" s="32">
        <f t="shared" si="143"/>
        <v>-1</v>
      </c>
      <c r="BA84" s="31">
        <f>Tercera!BA84</f>
        <v>0</v>
      </c>
      <c r="BB84" s="32">
        <f t="shared" si="144"/>
        <v>-1</v>
      </c>
      <c r="BC84" s="31">
        <f>Tercera!BC84</f>
        <v>0</v>
      </c>
      <c r="BD84" s="32">
        <f t="shared" si="145"/>
        <v>-1</v>
      </c>
      <c r="BE84" s="31">
        <f>Tercera!BE84</f>
        <v>0</v>
      </c>
      <c r="BF84" s="32">
        <f t="shared" si="146"/>
        <v>-1</v>
      </c>
      <c r="BG84" s="31">
        <f>Tercera!BG84</f>
        <v>0</v>
      </c>
      <c r="BH84" s="32">
        <f t="shared" si="147"/>
        <v>-1</v>
      </c>
      <c r="BI84" s="31">
        <f>Tercera!BI84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Tercera!B85</f>
        <v>0</v>
      </c>
      <c r="C85" s="31">
        <f>Tercera!C85</f>
        <v>0</v>
      </c>
      <c r="D85" s="32">
        <f t="shared" si="119"/>
        <v>-1</v>
      </c>
      <c r="E85" s="31">
        <f>Tercera!E85</f>
        <v>0</v>
      </c>
      <c r="F85" s="32">
        <f t="shared" si="120"/>
        <v>-1</v>
      </c>
      <c r="G85" s="31">
        <f>Tercera!G85</f>
        <v>0</v>
      </c>
      <c r="H85" s="32">
        <f t="shared" si="121"/>
        <v>-1</v>
      </c>
      <c r="I85" s="31">
        <f>Tercera!I85</f>
        <v>0</v>
      </c>
      <c r="J85" s="32">
        <f t="shared" si="122"/>
        <v>-1</v>
      </c>
      <c r="K85" s="31">
        <f>Tercera!K85</f>
        <v>0</v>
      </c>
      <c r="L85" s="32">
        <f t="shared" si="123"/>
        <v>-1</v>
      </c>
      <c r="M85" s="31">
        <f>Tercera!M85</f>
        <v>0</v>
      </c>
      <c r="N85" s="32">
        <f t="shared" si="124"/>
        <v>-1</v>
      </c>
      <c r="O85" s="31">
        <f>Tercera!O85</f>
        <v>0</v>
      </c>
      <c r="P85" s="32">
        <f t="shared" si="125"/>
        <v>-1</v>
      </c>
      <c r="Q85" s="31">
        <f>Tercera!Q85</f>
        <v>0</v>
      </c>
      <c r="R85" s="32">
        <f t="shared" si="126"/>
        <v>-1</v>
      </c>
      <c r="S85" s="31">
        <f>Tercera!S85</f>
        <v>0</v>
      </c>
      <c r="T85" s="32">
        <f t="shared" si="127"/>
        <v>-1</v>
      </c>
      <c r="U85" s="31">
        <f>Tercera!U85</f>
        <v>0</v>
      </c>
      <c r="V85" s="32">
        <f t="shared" si="128"/>
        <v>-1</v>
      </c>
      <c r="W85" s="31">
        <f>Tercera!W85</f>
        <v>0</v>
      </c>
      <c r="X85" s="32">
        <f t="shared" si="129"/>
        <v>-1</v>
      </c>
      <c r="Y85" s="31">
        <f>Tercera!Y85</f>
        <v>0</v>
      </c>
      <c r="Z85" s="32">
        <f t="shared" si="130"/>
        <v>-1</v>
      </c>
      <c r="AA85" s="31">
        <f>Tercera!AA85</f>
        <v>0</v>
      </c>
      <c r="AB85" s="32">
        <f t="shared" si="131"/>
        <v>-1</v>
      </c>
      <c r="AC85" s="31">
        <f>Tercera!AC85</f>
        <v>0</v>
      </c>
      <c r="AD85" s="32">
        <f t="shared" si="132"/>
        <v>-1</v>
      </c>
      <c r="AE85" s="31">
        <f>Tercera!AE85</f>
        <v>0</v>
      </c>
      <c r="AF85" s="32">
        <f t="shared" si="133"/>
        <v>-1</v>
      </c>
      <c r="AG85" s="31">
        <f>Tercera!AG85</f>
        <v>0</v>
      </c>
      <c r="AH85" s="32">
        <f t="shared" si="134"/>
        <v>-1</v>
      </c>
      <c r="AI85" s="31">
        <f>Tercera!AI85</f>
        <v>0</v>
      </c>
      <c r="AJ85" s="32">
        <f t="shared" si="135"/>
        <v>-1</v>
      </c>
      <c r="AK85" s="31">
        <f>Tercera!AK85</f>
        <v>0</v>
      </c>
      <c r="AL85" s="32">
        <f t="shared" si="136"/>
        <v>-1</v>
      </c>
      <c r="AM85" s="31">
        <f>Tercera!AM85</f>
        <v>0</v>
      </c>
      <c r="AN85" s="32">
        <f t="shared" si="137"/>
        <v>-1</v>
      </c>
      <c r="AO85" s="31">
        <f>Tercera!AO85</f>
        <v>0</v>
      </c>
      <c r="AP85" s="32">
        <f t="shared" si="138"/>
        <v>-1</v>
      </c>
      <c r="AQ85" s="31">
        <f>Tercera!AQ85</f>
        <v>0</v>
      </c>
      <c r="AR85" s="32">
        <f t="shared" si="139"/>
        <v>-1</v>
      </c>
      <c r="AS85" s="31">
        <f>Tercera!AS85</f>
        <v>0</v>
      </c>
      <c r="AT85" s="32">
        <f t="shared" si="140"/>
        <v>-1</v>
      </c>
      <c r="AU85" s="31">
        <f>Tercera!AU85</f>
        <v>0</v>
      </c>
      <c r="AV85" s="32">
        <f t="shared" si="141"/>
        <v>-1</v>
      </c>
      <c r="AW85" s="31">
        <f>Tercera!AW85</f>
        <v>0</v>
      </c>
      <c r="AX85" s="32">
        <f t="shared" si="142"/>
        <v>-1</v>
      </c>
      <c r="AY85" s="31">
        <f>Tercera!AY85</f>
        <v>0</v>
      </c>
      <c r="AZ85" s="32">
        <f t="shared" si="143"/>
        <v>-1</v>
      </c>
      <c r="BA85" s="31">
        <f>Tercera!BA85</f>
        <v>0</v>
      </c>
      <c r="BB85" s="32">
        <f t="shared" si="144"/>
        <v>-1</v>
      </c>
      <c r="BC85" s="31">
        <f>Tercera!BC85</f>
        <v>0</v>
      </c>
      <c r="BD85" s="32">
        <f t="shared" si="145"/>
        <v>-1</v>
      </c>
      <c r="BE85" s="31">
        <f>Tercera!BE85</f>
        <v>0</v>
      </c>
      <c r="BF85" s="32">
        <f t="shared" si="146"/>
        <v>-1</v>
      </c>
      <c r="BG85" s="31">
        <f>Tercera!BG85</f>
        <v>0</v>
      </c>
      <c r="BH85" s="32">
        <f t="shared" si="147"/>
        <v>-1</v>
      </c>
      <c r="BI85" s="31">
        <f>Tercera!BI85</f>
        <v>0</v>
      </c>
      <c r="BJ85" s="32">
        <f t="shared" si="148"/>
        <v>-1</v>
      </c>
    </row>
    <row r="86" spans="1:62" ht="19" customHeight="1" x14ac:dyDescent="0.2">
      <c r="A86" s="48" t="s">
        <v>84</v>
      </c>
      <c r="B86" s="49"/>
      <c r="C86" s="53">
        <f>SUM(C4,C7,C16,C38,C59,C64)</f>
        <v>0</v>
      </c>
      <c r="D86" s="54"/>
      <c r="E86" s="54">
        <f>SUM(E65:E85,E60:E63,E39:E58,E17:E37,E8:E15,E5:E6)</f>
        <v>0</v>
      </c>
      <c r="F86" s="54"/>
      <c r="G86" s="54">
        <f t="shared" ref="G86" si="149">SUM(G65:G85,G60:G63,G39:G58,G17:G37,G8:G15,G5:G6)</f>
        <v>0</v>
      </c>
      <c r="H86" s="54"/>
      <c r="I86" s="54">
        <f t="shared" ref="I86" si="150">SUM(I65:I85,I60:I63,I39:I58,I17:I37,I8:I15,I5:I6)</f>
        <v>0</v>
      </c>
      <c r="J86" s="54"/>
      <c r="K86" s="54">
        <f t="shared" ref="K86" si="151">SUM(K65:K85,K60:K63,K39:K58,K17:K37,K8:K15,K5:K6)</f>
        <v>0</v>
      </c>
      <c r="L86" s="54"/>
      <c r="M86" s="54">
        <f t="shared" ref="M86" si="152">SUM(M65:M85,M60:M63,M39:M58,M17:M37,M8:M15,M5:M6)</f>
        <v>0</v>
      </c>
      <c r="N86" s="54"/>
      <c r="O86" s="54">
        <f t="shared" ref="O86" si="153">SUM(O65:O85,O60:O63,O39:O58,O17:O37,O8:O15,O5:O6)</f>
        <v>0</v>
      </c>
      <c r="P86" s="54"/>
      <c r="Q86" s="54">
        <f t="shared" ref="Q86" si="154">SUM(Q65:Q85,Q60:Q63,Q39:Q58,Q17:Q37,Q8:Q15,Q5:Q6)</f>
        <v>0</v>
      </c>
      <c r="R86" s="54"/>
      <c r="S86" s="54">
        <f t="shared" ref="S86" si="155">SUM(S65:S85,S60:S63,S39:S58,S17:S37,S8:S15,S5:S6)</f>
        <v>0</v>
      </c>
      <c r="T86" s="54"/>
      <c r="U86" s="54">
        <f t="shared" ref="U86" si="156">SUM(U65:U85,U60:U63,U39:U58,U17:U37,U8:U15,U5:U6)</f>
        <v>0</v>
      </c>
      <c r="V86" s="54"/>
      <c r="W86" s="54">
        <f t="shared" ref="W86" si="157">SUM(W65:W85,W60:W63,W39:W58,W17:W37,W8:W15,W5:W6)</f>
        <v>0</v>
      </c>
      <c r="X86" s="54"/>
      <c r="Y86" s="54">
        <f t="shared" ref="Y86" si="158">SUM(Y65:Y85,Y60:Y63,Y39:Y58,Y17:Y37,Y8:Y15,Y5:Y6)</f>
        <v>0</v>
      </c>
      <c r="Z86" s="54"/>
      <c r="AA86" s="54">
        <f t="shared" ref="AA86" si="159">SUM(AA65:AA85,AA60:AA63,AA39:AA58,AA17:AA37,AA8:AA15,AA5:AA6)</f>
        <v>0</v>
      </c>
      <c r="AB86" s="54"/>
      <c r="AC86" s="54">
        <f t="shared" ref="AC86" si="160">SUM(AC65:AC85,AC60:AC63,AC39:AC58,AC17:AC37,AC8:AC15,AC5:AC6)</f>
        <v>0</v>
      </c>
      <c r="AD86" s="54"/>
      <c r="AE86" s="54">
        <f t="shared" ref="AE86" si="161">SUM(AE65:AE85,AE60:AE63,AE39:AE58,AE17:AE37,AE8:AE15,AE5:AE6)</f>
        <v>0</v>
      </c>
      <c r="AF86" s="54"/>
      <c r="AG86" s="54">
        <f t="shared" ref="AG86" si="162">SUM(AG65:AG85,AG60:AG63,AG39:AG58,AG17:AG37,AG8:AG15,AG5:AG6)</f>
        <v>0</v>
      </c>
      <c r="AH86" s="54"/>
      <c r="AI86" s="54">
        <f t="shared" ref="AI86" si="163">SUM(AI65:AI85,AI60:AI63,AI39:AI58,AI17:AI37,AI8:AI15,AI5:AI6)</f>
        <v>0</v>
      </c>
      <c r="AJ86" s="54"/>
      <c r="AK86" s="54">
        <f t="shared" ref="AK86" si="164">SUM(AK65:AK85,AK60:AK63,AK39:AK58,AK17:AK37,AK8:AK15,AK5:AK6)</f>
        <v>0</v>
      </c>
      <c r="AL86" s="54"/>
      <c r="AM86" s="54">
        <f t="shared" ref="AM86" si="165">SUM(AM65:AM85,AM60:AM63,AM39:AM58,AM17:AM37,AM8:AM15,AM5:AM6)</f>
        <v>0</v>
      </c>
      <c r="AN86" s="54"/>
      <c r="AO86" s="54">
        <f t="shared" ref="AO86" si="166">SUM(AO65:AO85,AO60:AO63,AO39:AO58,AO17:AO37,AO8:AO15,AO5:AO6)</f>
        <v>0</v>
      </c>
      <c r="AP86" s="54"/>
      <c r="AQ86" s="54">
        <f t="shared" ref="AQ86" si="167">SUM(AQ65:AQ85,AQ60:AQ63,AQ39:AQ58,AQ17:AQ37,AQ8:AQ15,AQ5:AQ6)</f>
        <v>0</v>
      </c>
      <c r="AR86" s="54"/>
      <c r="AS86" s="54">
        <f t="shared" ref="AS86" si="168">SUM(AS65:AS85,AS60:AS63,AS39:AS58,AS17:AS37,AS8:AS15,AS5:AS6)</f>
        <v>0</v>
      </c>
      <c r="AT86" s="54"/>
      <c r="AU86" s="54">
        <f t="shared" ref="AU86" si="169">SUM(AU65:AU85,AU60:AU63,AU39:AU58,AU17:AU37,AU8:AU15,AU5:AU6)</f>
        <v>0</v>
      </c>
      <c r="AV86" s="54"/>
      <c r="AW86" s="54">
        <f t="shared" ref="AW86" si="170">SUM(AW65:AW85,AW60:AW63,AW39:AW58,AW17:AW37,AW8:AW15,AW5:AW6)</f>
        <v>0</v>
      </c>
      <c r="AX86" s="54"/>
      <c r="AY86" s="54">
        <f t="shared" ref="AY86" si="171">SUM(AY65:AY85,AY60:AY63,AY39:AY58,AY17:AY37,AY8:AY15,AY5:AY6)</f>
        <v>0</v>
      </c>
      <c r="AZ86" s="54"/>
      <c r="BA86" s="54">
        <f t="shared" ref="BA86" si="172">SUM(BA65:BA85,BA60:BA63,BA39:BA58,BA17:BA37,BA8:BA15,BA5:BA6)</f>
        <v>0</v>
      </c>
      <c r="BB86" s="54"/>
      <c r="BC86" s="54">
        <f t="shared" ref="BC86" si="173">SUM(BC65:BC85,BC60:BC63,BC39:BC58,BC17:BC37,BC8:BC15,BC5:BC6)</f>
        <v>0</v>
      </c>
      <c r="BD86" s="54"/>
      <c r="BE86" s="54">
        <f t="shared" ref="BE86" si="174">SUM(BE65:BE85,BE60:BE63,BE39:BE58,BE17:BE37,BE8:BE15,BE5:BE6)</f>
        <v>0</v>
      </c>
      <c r="BF86" s="54"/>
      <c r="BG86" s="54">
        <f t="shared" ref="BG86" si="175">SUM(BG65:BG85,BG60:BG63,BG39:BG58,BG17:BG37,BG8:BG15,BG5:BG6)</f>
        <v>0</v>
      </c>
      <c r="BH86" s="54"/>
      <c r="BI86" s="54">
        <f t="shared" ref="BI86" si="176">SUM(BI65:BI85,BI60:BI63,BI39:BI58,BI17:BI37,BI8:BI15,BI5:BI6)</f>
        <v>0</v>
      </c>
      <c r="BJ86" s="54"/>
    </row>
    <row r="87" spans="1:62" ht="19" customHeight="1" x14ac:dyDescent="0.2">
      <c r="A87" s="48"/>
      <c r="B87" s="49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</row>
    <row r="88" spans="1:62" ht="19" customHeight="1" x14ac:dyDescent="0.2">
      <c r="A88" s="48"/>
      <c r="B88" s="49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</row>
  </sheetData>
  <sheetProtection algorithmName="SHA-512" hashValue="hL65OyiEWy37YNvigS6WTCEVGGukEJ3l6+arCWnzZx8lKCPksNtXBR7Q6yDvxnOkli5/zoI66Jtg5rZrGZcMvA==" saltValue="5GKBQCr8f8Uqqmy7O8tgAQ==" spinCount="100000" sheet="1" objects="1" scenarios="1" formatCells="0" autoFilter="0"/>
  <mergeCells count="30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A1:A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</mergeCells>
  <conditionalFormatting sqref="C86 E86 G86 K86 O86 S86 W86 AA86 AE86 AI86 AM86 AQ86 AU86 AY86 BC86 BG86 I86 M86 Q86 U86 Y86 AC86 AG86 AK86 AO86 AS86 AW86 BA86 BE86 BI86">
    <cfRule type="cellIs" dxfId="20534" priority="92" stopIfTrue="1" operator="lessThan">
      <formula>5</formula>
    </cfRule>
    <cfRule type="cellIs" dxfId="2053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0532" priority="2" stopIfTrue="1" operator="lessThan">
      <formula>5</formula>
    </cfRule>
    <cfRule type="cellIs" dxfId="20531" priority="3" operator="greaterThanOrEqual">
      <formula>5</formula>
    </cfRule>
  </conditionalFormatting>
  <conditionalFormatting sqref="B3">
    <cfRule type="cellIs" dxfId="20530" priority="1" operator="notEqual">
      <formula>"Ok"</formula>
    </cfRule>
  </conditionalFormatting>
  <conditionalFormatting sqref="D5">
    <cfRule type="cellIs" dxfId="20529" priority="130056" stopIfTrue="1" operator="equal">
      <formula>-1</formula>
    </cfRule>
  </conditionalFormatting>
  <conditionalFormatting sqref="D5">
    <cfRule type="cellIs" dxfId="20528" priority="130057" stopIfTrue="1" operator="lessThan">
      <formula>0.5</formula>
    </cfRule>
  </conditionalFormatting>
  <conditionalFormatting sqref="D5">
    <cfRule type="cellIs" dxfId="20527" priority="130058" stopIfTrue="1" operator="greaterThanOrEqual">
      <formula>0.5</formula>
    </cfRule>
  </conditionalFormatting>
  <conditionalFormatting sqref="D6">
    <cfRule type="cellIs" dxfId="20526" priority="130059" stopIfTrue="1" operator="equal">
      <formula>-1</formula>
    </cfRule>
  </conditionalFormatting>
  <conditionalFormatting sqref="D6">
    <cfRule type="cellIs" dxfId="20525" priority="130060" stopIfTrue="1" operator="lessThan">
      <formula>0.5</formula>
    </cfRule>
  </conditionalFormatting>
  <conditionalFormatting sqref="D6">
    <cfRule type="cellIs" dxfId="20524" priority="130061" stopIfTrue="1" operator="greaterThanOrEqual">
      <formula>0.5</formula>
    </cfRule>
  </conditionalFormatting>
  <conditionalFormatting sqref="F5">
    <cfRule type="cellIs" dxfId="20523" priority="130062" stopIfTrue="1" operator="equal">
      <formula>-1</formula>
    </cfRule>
  </conditionalFormatting>
  <conditionalFormatting sqref="F5">
    <cfRule type="cellIs" dxfId="20522" priority="130063" stopIfTrue="1" operator="lessThan">
      <formula>0.5</formula>
    </cfRule>
  </conditionalFormatting>
  <conditionalFormatting sqref="F5">
    <cfRule type="cellIs" dxfId="20521" priority="130064" stopIfTrue="1" operator="greaterThanOrEqual">
      <formula>0.5</formula>
    </cfRule>
  </conditionalFormatting>
  <conditionalFormatting sqref="F6">
    <cfRule type="cellIs" dxfId="20520" priority="130065" stopIfTrue="1" operator="equal">
      <formula>-1</formula>
    </cfRule>
  </conditionalFormatting>
  <conditionalFormatting sqref="F6">
    <cfRule type="cellIs" dxfId="20519" priority="130066" stopIfTrue="1" operator="lessThan">
      <formula>0.5</formula>
    </cfRule>
  </conditionalFormatting>
  <conditionalFormatting sqref="F6">
    <cfRule type="cellIs" dxfId="20518" priority="130067" stopIfTrue="1" operator="greaterThanOrEqual">
      <formula>0.5</formula>
    </cfRule>
  </conditionalFormatting>
  <conditionalFormatting sqref="H5">
    <cfRule type="cellIs" dxfId="20517" priority="130068" stopIfTrue="1" operator="equal">
      <formula>-1</formula>
    </cfRule>
  </conditionalFormatting>
  <conditionalFormatting sqref="H5">
    <cfRule type="cellIs" dxfId="20516" priority="130069" stopIfTrue="1" operator="lessThan">
      <formula>0.5</formula>
    </cfRule>
  </conditionalFormatting>
  <conditionalFormatting sqref="H5">
    <cfRule type="cellIs" dxfId="20515" priority="130070" stopIfTrue="1" operator="greaterThanOrEqual">
      <formula>0.5</formula>
    </cfRule>
  </conditionalFormatting>
  <conditionalFormatting sqref="H6">
    <cfRule type="cellIs" dxfId="20514" priority="130071" stopIfTrue="1" operator="equal">
      <formula>-1</formula>
    </cfRule>
  </conditionalFormatting>
  <conditionalFormatting sqref="H6">
    <cfRule type="cellIs" dxfId="20513" priority="130072" stopIfTrue="1" operator="lessThan">
      <formula>0.5</formula>
    </cfRule>
  </conditionalFormatting>
  <conditionalFormatting sqref="H6">
    <cfRule type="cellIs" dxfId="20512" priority="130073" stopIfTrue="1" operator="greaterThanOrEqual">
      <formula>0.5</formula>
    </cfRule>
  </conditionalFormatting>
  <conditionalFormatting sqref="J5">
    <cfRule type="cellIs" dxfId="20511" priority="130074" stopIfTrue="1" operator="equal">
      <formula>-1</formula>
    </cfRule>
  </conditionalFormatting>
  <conditionalFormatting sqref="J5">
    <cfRule type="cellIs" dxfId="20510" priority="130075" stopIfTrue="1" operator="lessThan">
      <formula>0.5</formula>
    </cfRule>
  </conditionalFormatting>
  <conditionalFormatting sqref="J5">
    <cfRule type="cellIs" dxfId="20509" priority="130076" stopIfTrue="1" operator="greaterThanOrEqual">
      <formula>0.5</formula>
    </cfRule>
  </conditionalFormatting>
  <conditionalFormatting sqref="J6">
    <cfRule type="cellIs" dxfId="20508" priority="130077" stopIfTrue="1" operator="equal">
      <formula>-1</formula>
    </cfRule>
  </conditionalFormatting>
  <conditionalFormatting sqref="J6">
    <cfRule type="cellIs" dxfId="20507" priority="130078" stopIfTrue="1" operator="lessThan">
      <formula>0.5</formula>
    </cfRule>
  </conditionalFormatting>
  <conditionalFormatting sqref="J6">
    <cfRule type="cellIs" dxfId="20506" priority="130079" stopIfTrue="1" operator="greaterThanOrEqual">
      <formula>0.5</formula>
    </cfRule>
  </conditionalFormatting>
  <conditionalFormatting sqref="L5">
    <cfRule type="cellIs" dxfId="20505" priority="130080" stopIfTrue="1" operator="equal">
      <formula>-1</formula>
    </cfRule>
  </conditionalFormatting>
  <conditionalFormatting sqref="L5">
    <cfRule type="cellIs" dxfId="20504" priority="130081" stopIfTrue="1" operator="lessThan">
      <formula>0.5</formula>
    </cfRule>
  </conditionalFormatting>
  <conditionalFormatting sqref="L5">
    <cfRule type="cellIs" dxfId="20503" priority="130082" stopIfTrue="1" operator="greaterThanOrEqual">
      <formula>0.5</formula>
    </cfRule>
  </conditionalFormatting>
  <conditionalFormatting sqref="L6">
    <cfRule type="cellIs" dxfId="20502" priority="130083" stopIfTrue="1" operator="equal">
      <formula>-1</formula>
    </cfRule>
  </conditionalFormatting>
  <conditionalFormatting sqref="L6">
    <cfRule type="cellIs" dxfId="20501" priority="130084" stopIfTrue="1" operator="lessThan">
      <formula>0.5</formula>
    </cfRule>
  </conditionalFormatting>
  <conditionalFormatting sqref="L6">
    <cfRule type="cellIs" dxfId="20500" priority="130085" stopIfTrue="1" operator="greaterThanOrEqual">
      <formula>0.5</formula>
    </cfRule>
  </conditionalFormatting>
  <conditionalFormatting sqref="N5">
    <cfRule type="cellIs" dxfId="20499" priority="130086" stopIfTrue="1" operator="equal">
      <formula>-1</formula>
    </cfRule>
  </conditionalFormatting>
  <conditionalFormatting sqref="N5">
    <cfRule type="cellIs" dxfId="20498" priority="130087" stopIfTrue="1" operator="lessThan">
      <formula>0.5</formula>
    </cfRule>
  </conditionalFormatting>
  <conditionalFormatting sqref="N5">
    <cfRule type="cellIs" dxfId="20497" priority="130088" stopIfTrue="1" operator="greaterThanOrEqual">
      <formula>0.5</formula>
    </cfRule>
  </conditionalFormatting>
  <conditionalFormatting sqref="N6">
    <cfRule type="cellIs" dxfId="20496" priority="130089" stopIfTrue="1" operator="equal">
      <formula>-1</formula>
    </cfRule>
  </conditionalFormatting>
  <conditionalFormatting sqref="N6">
    <cfRule type="cellIs" dxfId="20495" priority="130090" stopIfTrue="1" operator="lessThan">
      <formula>0.5</formula>
    </cfRule>
  </conditionalFormatting>
  <conditionalFormatting sqref="N6">
    <cfRule type="cellIs" dxfId="20494" priority="130091" stopIfTrue="1" operator="greaterThanOrEqual">
      <formula>0.5</formula>
    </cfRule>
  </conditionalFormatting>
  <conditionalFormatting sqref="P5">
    <cfRule type="cellIs" dxfId="20493" priority="130092" stopIfTrue="1" operator="equal">
      <formula>-1</formula>
    </cfRule>
  </conditionalFormatting>
  <conditionalFormatting sqref="P5">
    <cfRule type="cellIs" dxfId="20492" priority="130093" stopIfTrue="1" operator="lessThan">
      <formula>0.5</formula>
    </cfRule>
  </conditionalFormatting>
  <conditionalFormatting sqref="P5">
    <cfRule type="cellIs" dxfId="20491" priority="130094" stopIfTrue="1" operator="greaterThanOrEqual">
      <formula>0.5</formula>
    </cfRule>
  </conditionalFormatting>
  <conditionalFormatting sqref="P6">
    <cfRule type="cellIs" dxfId="20490" priority="130095" stopIfTrue="1" operator="equal">
      <formula>-1</formula>
    </cfRule>
  </conditionalFormatting>
  <conditionalFormatting sqref="P6">
    <cfRule type="cellIs" dxfId="20489" priority="130096" stopIfTrue="1" operator="lessThan">
      <formula>0.5</formula>
    </cfRule>
  </conditionalFormatting>
  <conditionalFormatting sqref="P6">
    <cfRule type="cellIs" dxfId="20488" priority="130097" stopIfTrue="1" operator="greaterThanOrEqual">
      <formula>0.5</formula>
    </cfRule>
  </conditionalFormatting>
  <conditionalFormatting sqref="R5">
    <cfRule type="cellIs" dxfId="20487" priority="130098" stopIfTrue="1" operator="equal">
      <formula>-1</formula>
    </cfRule>
  </conditionalFormatting>
  <conditionalFormatting sqref="R5">
    <cfRule type="cellIs" dxfId="20486" priority="130099" stopIfTrue="1" operator="lessThan">
      <formula>0.5</formula>
    </cfRule>
  </conditionalFormatting>
  <conditionalFormatting sqref="R5">
    <cfRule type="cellIs" dxfId="20485" priority="130100" stopIfTrue="1" operator="greaterThanOrEqual">
      <formula>0.5</formula>
    </cfRule>
  </conditionalFormatting>
  <conditionalFormatting sqref="R6">
    <cfRule type="cellIs" dxfId="20484" priority="130101" stopIfTrue="1" operator="equal">
      <formula>-1</formula>
    </cfRule>
  </conditionalFormatting>
  <conditionalFormatting sqref="R6">
    <cfRule type="cellIs" dxfId="20483" priority="130102" stopIfTrue="1" operator="lessThan">
      <formula>0.5</formula>
    </cfRule>
  </conditionalFormatting>
  <conditionalFormatting sqref="R6">
    <cfRule type="cellIs" dxfId="20482" priority="130103" stopIfTrue="1" operator="greaterThanOrEqual">
      <formula>0.5</formula>
    </cfRule>
  </conditionalFormatting>
  <conditionalFormatting sqref="T5">
    <cfRule type="cellIs" dxfId="20481" priority="130104" stopIfTrue="1" operator="equal">
      <formula>-1</formula>
    </cfRule>
  </conditionalFormatting>
  <conditionalFormatting sqref="T5">
    <cfRule type="cellIs" dxfId="20480" priority="130105" stopIfTrue="1" operator="lessThan">
      <formula>0.5</formula>
    </cfRule>
  </conditionalFormatting>
  <conditionalFormatting sqref="T5">
    <cfRule type="cellIs" dxfId="20479" priority="130106" stopIfTrue="1" operator="greaterThanOrEqual">
      <formula>0.5</formula>
    </cfRule>
  </conditionalFormatting>
  <conditionalFormatting sqref="T6">
    <cfRule type="cellIs" dxfId="20478" priority="130107" stopIfTrue="1" operator="equal">
      <formula>-1</formula>
    </cfRule>
  </conditionalFormatting>
  <conditionalFormatting sqref="T6">
    <cfRule type="cellIs" dxfId="20477" priority="130108" stopIfTrue="1" operator="lessThan">
      <formula>0.5</formula>
    </cfRule>
  </conditionalFormatting>
  <conditionalFormatting sqref="T6">
    <cfRule type="cellIs" dxfId="20476" priority="130109" stopIfTrue="1" operator="greaterThanOrEqual">
      <formula>0.5</formula>
    </cfRule>
  </conditionalFormatting>
  <conditionalFormatting sqref="V5">
    <cfRule type="cellIs" dxfId="20475" priority="130110" stopIfTrue="1" operator="equal">
      <formula>-1</formula>
    </cfRule>
  </conditionalFormatting>
  <conditionalFormatting sqref="V5">
    <cfRule type="cellIs" dxfId="20474" priority="130111" stopIfTrue="1" operator="lessThan">
      <formula>0.5</formula>
    </cfRule>
  </conditionalFormatting>
  <conditionalFormatting sqref="V5">
    <cfRule type="cellIs" dxfId="20473" priority="130112" stopIfTrue="1" operator="greaterThanOrEqual">
      <formula>0.5</formula>
    </cfRule>
  </conditionalFormatting>
  <conditionalFormatting sqref="V6">
    <cfRule type="cellIs" dxfId="20472" priority="130113" stopIfTrue="1" operator="equal">
      <formula>-1</formula>
    </cfRule>
  </conditionalFormatting>
  <conditionalFormatting sqref="V6">
    <cfRule type="cellIs" dxfId="20471" priority="130114" stopIfTrue="1" operator="lessThan">
      <formula>0.5</formula>
    </cfRule>
  </conditionalFormatting>
  <conditionalFormatting sqref="V6">
    <cfRule type="cellIs" dxfId="20470" priority="130115" stopIfTrue="1" operator="greaterThanOrEqual">
      <formula>0.5</formula>
    </cfRule>
  </conditionalFormatting>
  <conditionalFormatting sqref="X5">
    <cfRule type="cellIs" dxfId="20469" priority="130116" stopIfTrue="1" operator="equal">
      <formula>-1</formula>
    </cfRule>
  </conditionalFormatting>
  <conditionalFormatting sqref="X5">
    <cfRule type="cellIs" dxfId="20468" priority="130117" stopIfTrue="1" operator="lessThan">
      <formula>0.5</formula>
    </cfRule>
  </conditionalFormatting>
  <conditionalFormatting sqref="X5">
    <cfRule type="cellIs" dxfId="20467" priority="130118" stopIfTrue="1" operator="greaterThanOrEqual">
      <formula>0.5</formula>
    </cfRule>
  </conditionalFormatting>
  <conditionalFormatting sqref="X6">
    <cfRule type="cellIs" dxfId="20466" priority="130119" stopIfTrue="1" operator="equal">
      <formula>-1</formula>
    </cfRule>
  </conditionalFormatting>
  <conditionalFormatting sqref="X6">
    <cfRule type="cellIs" dxfId="20465" priority="130120" stopIfTrue="1" operator="lessThan">
      <formula>0.5</formula>
    </cfRule>
  </conditionalFormatting>
  <conditionalFormatting sqref="X6">
    <cfRule type="cellIs" dxfId="20464" priority="130121" stopIfTrue="1" operator="greaterThanOrEqual">
      <formula>0.5</formula>
    </cfRule>
  </conditionalFormatting>
  <conditionalFormatting sqref="Z5">
    <cfRule type="cellIs" dxfId="20463" priority="130122" stopIfTrue="1" operator="equal">
      <formula>-1</formula>
    </cfRule>
  </conditionalFormatting>
  <conditionalFormatting sqref="Z5">
    <cfRule type="cellIs" dxfId="20462" priority="130123" stopIfTrue="1" operator="lessThan">
      <formula>0.5</formula>
    </cfRule>
  </conditionalFormatting>
  <conditionalFormatting sqref="Z5">
    <cfRule type="cellIs" dxfId="20461" priority="130124" stopIfTrue="1" operator="greaterThanOrEqual">
      <formula>0.5</formula>
    </cfRule>
  </conditionalFormatting>
  <conditionalFormatting sqref="Z6">
    <cfRule type="cellIs" dxfId="20460" priority="130125" stopIfTrue="1" operator="equal">
      <formula>-1</formula>
    </cfRule>
  </conditionalFormatting>
  <conditionalFormatting sqref="Z6">
    <cfRule type="cellIs" dxfId="20459" priority="130126" stopIfTrue="1" operator="lessThan">
      <formula>0.5</formula>
    </cfRule>
  </conditionalFormatting>
  <conditionalFormatting sqref="Z6">
    <cfRule type="cellIs" dxfId="20458" priority="130127" stopIfTrue="1" operator="greaterThanOrEqual">
      <formula>0.5</formula>
    </cfRule>
  </conditionalFormatting>
  <conditionalFormatting sqref="AB5">
    <cfRule type="cellIs" dxfId="20457" priority="130128" stopIfTrue="1" operator="equal">
      <formula>-1</formula>
    </cfRule>
  </conditionalFormatting>
  <conditionalFormatting sqref="AB5">
    <cfRule type="cellIs" dxfId="20456" priority="130129" stopIfTrue="1" operator="lessThan">
      <formula>0.5</formula>
    </cfRule>
  </conditionalFormatting>
  <conditionalFormatting sqref="AB5">
    <cfRule type="cellIs" dxfId="20455" priority="130130" stopIfTrue="1" operator="greaterThanOrEqual">
      <formula>0.5</formula>
    </cfRule>
  </conditionalFormatting>
  <conditionalFormatting sqref="AB6">
    <cfRule type="cellIs" dxfId="20454" priority="130131" stopIfTrue="1" operator="equal">
      <formula>-1</formula>
    </cfRule>
  </conditionalFormatting>
  <conditionalFormatting sqref="AB6">
    <cfRule type="cellIs" dxfId="20453" priority="130132" stopIfTrue="1" operator="lessThan">
      <formula>0.5</formula>
    </cfRule>
  </conditionalFormatting>
  <conditionalFormatting sqref="AB6">
    <cfRule type="cellIs" dxfId="20452" priority="130133" stopIfTrue="1" operator="greaterThanOrEqual">
      <formula>0.5</formula>
    </cfRule>
  </conditionalFormatting>
  <conditionalFormatting sqref="AD5">
    <cfRule type="cellIs" dxfId="20451" priority="130134" stopIfTrue="1" operator="equal">
      <formula>-1</formula>
    </cfRule>
  </conditionalFormatting>
  <conditionalFormatting sqref="AD5">
    <cfRule type="cellIs" dxfId="20450" priority="130135" stopIfTrue="1" operator="lessThan">
      <formula>0.5</formula>
    </cfRule>
  </conditionalFormatting>
  <conditionalFormatting sqref="AD5">
    <cfRule type="cellIs" dxfId="20449" priority="130136" stopIfTrue="1" operator="greaterThanOrEqual">
      <formula>0.5</formula>
    </cfRule>
  </conditionalFormatting>
  <conditionalFormatting sqref="AD6">
    <cfRule type="cellIs" dxfId="20448" priority="130137" stopIfTrue="1" operator="equal">
      <formula>-1</formula>
    </cfRule>
  </conditionalFormatting>
  <conditionalFormatting sqref="AD6">
    <cfRule type="cellIs" dxfId="20447" priority="130138" stopIfTrue="1" operator="lessThan">
      <formula>0.5</formula>
    </cfRule>
  </conditionalFormatting>
  <conditionalFormatting sqref="AD6">
    <cfRule type="cellIs" dxfId="20446" priority="130139" stopIfTrue="1" operator="greaterThanOrEqual">
      <formula>0.5</formula>
    </cfRule>
  </conditionalFormatting>
  <conditionalFormatting sqref="AF5">
    <cfRule type="cellIs" dxfId="20445" priority="130140" stopIfTrue="1" operator="equal">
      <formula>-1</formula>
    </cfRule>
  </conditionalFormatting>
  <conditionalFormatting sqref="AF5">
    <cfRule type="cellIs" dxfId="20444" priority="130141" stopIfTrue="1" operator="lessThan">
      <formula>0.5</formula>
    </cfRule>
  </conditionalFormatting>
  <conditionalFormatting sqref="AF5">
    <cfRule type="cellIs" dxfId="20443" priority="130142" stopIfTrue="1" operator="greaterThanOrEqual">
      <formula>0.5</formula>
    </cfRule>
  </conditionalFormatting>
  <conditionalFormatting sqref="AF6">
    <cfRule type="cellIs" dxfId="20442" priority="130143" stopIfTrue="1" operator="equal">
      <formula>-1</formula>
    </cfRule>
  </conditionalFormatting>
  <conditionalFormatting sqref="AF6">
    <cfRule type="cellIs" dxfId="20441" priority="130144" stopIfTrue="1" operator="lessThan">
      <formula>0.5</formula>
    </cfRule>
  </conditionalFormatting>
  <conditionalFormatting sqref="AF6">
    <cfRule type="cellIs" dxfId="20440" priority="130145" stopIfTrue="1" operator="greaterThanOrEqual">
      <formula>0.5</formula>
    </cfRule>
  </conditionalFormatting>
  <conditionalFormatting sqref="AH5">
    <cfRule type="cellIs" dxfId="20439" priority="130146" stopIfTrue="1" operator="equal">
      <formula>-1</formula>
    </cfRule>
  </conditionalFormatting>
  <conditionalFormatting sqref="AH5">
    <cfRule type="cellIs" dxfId="20438" priority="130147" stopIfTrue="1" operator="lessThan">
      <formula>0.5</formula>
    </cfRule>
  </conditionalFormatting>
  <conditionalFormatting sqref="AH5">
    <cfRule type="cellIs" dxfId="20437" priority="130148" stopIfTrue="1" operator="greaterThanOrEqual">
      <formula>0.5</formula>
    </cfRule>
  </conditionalFormatting>
  <conditionalFormatting sqref="AH6">
    <cfRule type="cellIs" dxfId="20436" priority="130149" stopIfTrue="1" operator="equal">
      <formula>-1</formula>
    </cfRule>
  </conditionalFormatting>
  <conditionalFormatting sqref="AH6">
    <cfRule type="cellIs" dxfId="20435" priority="130150" stopIfTrue="1" operator="lessThan">
      <formula>0.5</formula>
    </cfRule>
  </conditionalFormatting>
  <conditionalFormatting sqref="AH6">
    <cfRule type="cellIs" dxfId="20434" priority="130151" stopIfTrue="1" operator="greaterThanOrEqual">
      <formula>0.5</formula>
    </cfRule>
  </conditionalFormatting>
  <conditionalFormatting sqref="AJ5">
    <cfRule type="cellIs" dxfId="20433" priority="130152" stopIfTrue="1" operator="equal">
      <formula>-1</formula>
    </cfRule>
  </conditionalFormatting>
  <conditionalFormatting sqref="AJ5">
    <cfRule type="cellIs" dxfId="20432" priority="130153" stopIfTrue="1" operator="lessThan">
      <formula>0.5</formula>
    </cfRule>
  </conditionalFormatting>
  <conditionalFormatting sqref="AJ5">
    <cfRule type="cellIs" dxfId="20431" priority="130154" stopIfTrue="1" operator="greaterThanOrEqual">
      <formula>0.5</formula>
    </cfRule>
  </conditionalFormatting>
  <conditionalFormatting sqref="AJ6">
    <cfRule type="cellIs" dxfId="20430" priority="130155" stopIfTrue="1" operator="equal">
      <formula>-1</formula>
    </cfRule>
  </conditionalFormatting>
  <conditionalFormatting sqref="AJ6">
    <cfRule type="cellIs" dxfId="20429" priority="130156" stopIfTrue="1" operator="lessThan">
      <formula>0.5</formula>
    </cfRule>
  </conditionalFormatting>
  <conditionalFormatting sqref="AJ6">
    <cfRule type="cellIs" dxfId="20428" priority="130157" stopIfTrue="1" operator="greaterThanOrEqual">
      <formula>0.5</formula>
    </cfRule>
  </conditionalFormatting>
  <conditionalFormatting sqref="AL5">
    <cfRule type="cellIs" dxfId="20427" priority="130158" stopIfTrue="1" operator="equal">
      <formula>-1</formula>
    </cfRule>
  </conditionalFormatting>
  <conditionalFormatting sqref="AL5">
    <cfRule type="cellIs" dxfId="20426" priority="130159" stopIfTrue="1" operator="lessThan">
      <formula>0.5</formula>
    </cfRule>
  </conditionalFormatting>
  <conditionalFormatting sqref="AL5">
    <cfRule type="cellIs" dxfId="20425" priority="130160" stopIfTrue="1" operator="greaterThanOrEqual">
      <formula>0.5</formula>
    </cfRule>
  </conditionalFormatting>
  <conditionalFormatting sqref="AL6">
    <cfRule type="cellIs" dxfId="20424" priority="130161" stopIfTrue="1" operator="equal">
      <formula>-1</formula>
    </cfRule>
  </conditionalFormatting>
  <conditionalFormatting sqref="AL6">
    <cfRule type="cellIs" dxfId="20423" priority="130162" stopIfTrue="1" operator="lessThan">
      <formula>0.5</formula>
    </cfRule>
  </conditionalFormatting>
  <conditionalFormatting sqref="AL6">
    <cfRule type="cellIs" dxfId="20422" priority="130163" stopIfTrue="1" operator="greaterThanOrEqual">
      <formula>0.5</formula>
    </cfRule>
  </conditionalFormatting>
  <conditionalFormatting sqref="AN5">
    <cfRule type="cellIs" dxfId="20421" priority="130164" stopIfTrue="1" operator="equal">
      <formula>-1</formula>
    </cfRule>
  </conditionalFormatting>
  <conditionalFormatting sqref="AN5">
    <cfRule type="cellIs" dxfId="20420" priority="130165" stopIfTrue="1" operator="lessThan">
      <formula>0.5</formula>
    </cfRule>
  </conditionalFormatting>
  <conditionalFormatting sqref="AN5">
    <cfRule type="cellIs" dxfId="20419" priority="130166" stopIfTrue="1" operator="greaterThanOrEqual">
      <formula>0.5</formula>
    </cfRule>
  </conditionalFormatting>
  <conditionalFormatting sqref="AN6">
    <cfRule type="cellIs" dxfId="20418" priority="130167" stopIfTrue="1" operator="equal">
      <formula>-1</formula>
    </cfRule>
  </conditionalFormatting>
  <conditionalFormatting sqref="AN6">
    <cfRule type="cellIs" dxfId="20417" priority="130168" stopIfTrue="1" operator="lessThan">
      <formula>0.5</formula>
    </cfRule>
  </conditionalFormatting>
  <conditionalFormatting sqref="AN6">
    <cfRule type="cellIs" dxfId="20416" priority="130169" stopIfTrue="1" operator="greaterThanOrEqual">
      <formula>0.5</formula>
    </cfRule>
  </conditionalFormatting>
  <conditionalFormatting sqref="AP5">
    <cfRule type="cellIs" dxfId="20415" priority="130170" stopIfTrue="1" operator="equal">
      <formula>-1</formula>
    </cfRule>
  </conditionalFormatting>
  <conditionalFormatting sqref="AP5">
    <cfRule type="cellIs" dxfId="20414" priority="130171" stopIfTrue="1" operator="lessThan">
      <formula>0.5</formula>
    </cfRule>
  </conditionalFormatting>
  <conditionalFormatting sqref="AP5">
    <cfRule type="cellIs" dxfId="20413" priority="130172" stopIfTrue="1" operator="greaterThanOrEqual">
      <formula>0.5</formula>
    </cfRule>
  </conditionalFormatting>
  <conditionalFormatting sqref="AP6">
    <cfRule type="cellIs" dxfId="20412" priority="130173" stopIfTrue="1" operator="equal">
      <formula>-1</formula>
    </cfRule>
  </conditionalFormatting>
  <conditionalFormatting sqref="AP6">
    <cfRule type="cellIs" dxfId="20411" priority="130174" stopIfTrue="1" operator="lessThan">
      <formula>0.5</formula>
    </cfRule>
  </conditionalFormatting>
  <conditionalFormatting sqref="AP6">
    <cfRule type="cellIs" dxfId="20410" priority="130175" stopIfTrue="1" operator="greaterThanOrEqual">
      <formula>0.5</formula>
    </cfRule>
  </conditionalFormatting>
  <conditionalFormatting sqref="AR5">
    <cfRule type="cellIs" dxfId="20409" priority="130176" stopIfTrue="1" operator="equal">
      <formula>-1</formula>
    </cfRule>
  </conditionalFormatting>
  <conditionalFormatting sqref="AR5">
    <cfRule type="cellIs" dxfId="20408" priority="130177" stopIfTrue="1" operator="lessThan">
      <formula>0.5</formula>
    </cfRule>
  </conditionalFormatting>
  <conditionalFormatting sqref="AR5">
    <cfRule type="cellIs" dxfId="20407" priority="130178" stopIfTrue="1" operator="greaterThanOrEqual">
      <formula>0.5</formula>
    </cfRule>
  </conditionalFormatting>
  <conditionalFormatting sqref="AR6">
    <cfRule type="cellIs" dxfId="20406" priority="130179" stopIfTrue="1" operator="equal">
      <formula>-1</formula>
    </cfRule>
  </conditionalFormatting>
  <conditionalFormatting sqref="AR6">
    <cfRule type="cellIs" dxfId="20405" priority="130180" stopIfTrue="1" operator="lessThan">
      <formula>0.5</formula>
    </cfRule>
  </conditionalFormatting>
  <conditionalFormatting sqref="AR6">
    <cfRule type="cellIs" dxfId="20404" priority="130181" stopIfTrue="1" operator="greaterThanOrEqual">
      <formula>0.5</formula>
    </cfRule>
  </conditionalFormatting>
  <conditionalFormatting sqref="AT5">
    <cfRule type="cellIs" dxfId="20403" priority="130182" stopIfTrue="1" operator="equal">
      <formula>-1</formula>
    </cfRule>
  </conditionalFormatting>
  <conditionalFormatting sqref="AT5">
    <cfRule type="cellIs" dxfId="20402" priority="130183" stopIfTrue="1" operator="lessThan">
      <formula>0.5</formula>
    </cfRule>
  </conditionalFormatting>
  <conditionalFormatting sqref="AT5">
    <cfRule type="cellIs" dxfId="20401" priority="130184" stopIfTrue="1" operator="greaterThanOrEqual">
      <formula>0.5</formula>
    </cfRule>
  </conditionalFormatting>
  <conditionalFormatting sqref="AT6">
    <cfRule type="cellIs" dxfId="20400" priority="130185" stopIfTrue="1" operator="equal">
      <formula>-1</formula>
    </cfRule>
  </conditionalFormatting>
  <conditionalFormatting sqref="AT6">
    <cfRule type="cellIs" dxfId="20399" priority="130186" stopIfTrue="1" operator="lessThan">
      <formula>0.5</formula>
    </cfRule>
  </conditionalFormatting>
  <conditionalFormatting sqref="AT6">
    <cfRule type="cellIs" dxfId="20398" priority="130187" stopIfTrue="1" operator="greaterThanOrEqual">
      <formula>0.5</formula>
    </cfRule>
  </conditionalFormatting>
  <conditionalFormatting sqref="AV5">
    <cfRule type="cellIs" dxfId="20397" priority="130188" stopIfTrue="1" operator="equal">
      <formula>-1</formula>
    </cfRule>
  </conditionalFormatting>
  <conditionalFormatting sqref="AV5">
    <cfRule type="cellIs" dxfId="20396" priority="130189" stopIfTrue="1" operator="lessThan">
      <formula>0.5</formula>
    </cfRule>
  </conditionalFormatting>
  <conditionalFormatting sqref="AV5">
    <cfRule type="cellIs" dxfId="20395" priority="130190" stopIfTrue="1" operator="greaterThanOrEqual">
      <formula>0.5</formula>
    </cfRule>
  </conditionalFormatting>
  <conditionalFormatting sqref="AV6">
    <cfRule type="cellIs" dxfId="20394" priority="130191" stopIfTrue="1" operator="equal">
      <formula>-1</formula>
    </cfRule>
  </conditionalFormatting>
  <conditionalFormatting sqref="AV6">
    <cfRule type="cellIs" dxfId="20393" priority="130192" stopIfTrue="1" operator="lessThan">
      <formula>0.5</formula>
    </cfRule>
  </conditionalFormatting>
  <conditionalFormatting sqref="AV6">
    <cfRule type="cellIs" dxfId="20392" priority="130193" stopIfTrue="1" operator="greaterThanOrEqual">
      <formula>0.5</formula>
    </cfRule>
  </conditionalFormatting>
  <conditionalFormatting sqref="AX5">
    <cfRule type="cellIs" dxfId="20391" priority="130194" stopIfTrue="1" operator="equal">
      <formula>-1</formula>
    </cfRule>
  </conditionalFormatting>
  <conditionalFormatting sqref="AX5">
    <cfRule type="cellIs" dxfId="20390" priority="130195" stopIfTrue="1" operator="lessThan">
      <formula>0.5</formula>
    </cfRule>
  </conditionalFormatting>
  <conditionalFormatting sqref="AX5">
    <cfRule type="cellIs" dxfId="20389" priority="130196" stopIfTrue="1" operator="greaterThanOrEqual">
      <formula>0.5</formula>
    </cfRule>
  </conditionalFormatting>
  <conditionalFormatting sqref="AX6">
    <cfRule type="cellIs" dxfId="20388" priority="130197" stopIfTrue="1" operator="equal">
      <formula>-1</formula>
    </cfRule>
  </conditionalFormatting>
  <conditionalFormatting sqref="AX6">
    <cfRule type="cellIs" dxfId="20387" priority="130198" stopIfTrue="1" operator="lessThan">
      <formula>0.5</formula>
    </cfRule>
  </conditionalFormatting>
  <conditionalFormatting sqref="AX6">
    <cfRule type="cellIs" dxfId="20386" priority="130199" stopIfTrue="1" operator="greaterThanOrEqual">
      <formula>0.5</formula>
    </cfRule>
  </conditionalFormatting>
  <conditionalFormatting sqref="AZ5">
    <cfRule type="cellIs" dxfId="20385" priority="130200" stopIfTrue="1" operator="equal">
      <formula>-1</formula>
    </cfRule>
  </conditionalFormatting>
  <conditionalFormatting sqref="AZ5">
    <cfRule type="cellIs" dxfId="20384" priority="130201" stopIfTrue="1" operator="lessThan">
      <formula>0.5</formula>
    </cfRule>
  </conditionalFormatting>
  <conditionalFormatting sqref="AZ5">
    <cfRule type="cellIs" dxfId="20383" priority="130202" stopIfTrue="1" operator="greaterThanOrEqual">
      <formula>0.5</formula>
    </cfRule>
  </conditionalFormatting>
  <conditionalFormatting sqref="AZ6">
    <cfRule type="cellIs" dxfId="20382" priority="130203" stopIfTrue="1" operator="equal">
      <formula>-1</formula>
    </cfRule>
  </conditionalFormatting>
  <conditionalFormatting sqref="AZ6">
    <cfRule type="cellIs" dxfId="20381" priority="130204" stopIfTrue="1" operator="lessThan">
      <formula>0.5</formula>
    </cfRule>
  </conditionalFormatting>
  <conditionalFormatting sqref="AZ6">
    <cfRule type="cellIs" dxfId="20380" priority="130205" stopIfTrue="1" operator="greaterThanOrEqual">
      <formula>0.5</formula>
    </cfRule>
  </conditionalFormatting>
  <conditionalFormatting sqref="BB5">
    <cfRule type="cellIs" dxfId="20379" priority="130206" stopIfTrue="1" operator="equal">
      <formula>-1</formula>
    </cfRule>
  </conditionalFormatting>
  <conditionalFormatting sqref="BB5">
    <cfRule type="cellIs" dxfId="20378" priority="130207" stopIfTrue="1" operator="lessThan">
      <formula>0.5</formula>
    </cfRule>
  </conditionalFormatting>
  <conditionalFormatting sqref="BB5">
    <cfRule type="cellIs" dxfId="20377" priority="130208" stopIfTrue="1" operator="greaterThanOrEqual">
      <formula>0.5</formula>
    </cfRule>
  </conditionalFormatting>
  <conditionalFormatting sqref="BB6">
    <cfRule type="cellIs" dxfId="20376" priority="130209" stopIfTrue="1" operator="equal">
      <formula>-1</formula>
    </cfRule>
  </conditionalFormatting>
  <conditionalFormatting sqref="BB6">
    <cfRule type="cellIs" dxfId="20375" priority="130210" stopIfTrue="1" operator="lessThan">
      <formula>0.5</formula>
    </cfRule>
  </conditionalFormatting>
  <conditionalFormatting sqref="BB6">
    <cfRule type="cellIs" dxfId="20374" priority="130211" stopIfTrue="1" operator="greaterThanOrEqual">
      <formula>0.5</formula>
    </cfRule>
  </conditionalFormatting>
  <conditionalFormatting sqref="BD5">
    <cfRule type="cellIs" dxfId="20373" priority="130212" stopIfTrue="1" operator="equal">
      <formula>-1</formula>
    </cfRule>
  </conditionalFormatting>
  <conditionalFormatting sqref="BD5">
    <cfRule type="cellIs" dxfId="20372" priority="130213" stopIfTrue="1" operator="lessThan">
      <formula>0.5</formula>
    </cfRule>
  </conditionalFormatting>
  <conditionalFormatting sqref="BD5">
    <cfRule type="cellIs" dxfId="20371" priority="130214" stopIfTrue="1" operator="greaterThanOrEqual">
      <formula>0.5</formula>
    </cfRule>
  </conditionalFormatting>
  <conditionalFormatting sqref="BD6">
    <cfRule type="cellIs" dxfId="20370" priority="130215" stopIfTrue="1" operator="equal">
      <formula>-1</formula>
    </cfRule>
  </conditionalFormatting>
  <conditionalFormatting sqref="BD6">
    <cfRule type="cellIs" dxfId="20369" priority="130216" stopIfTrue="1" operator="lessThan">
      <formula>0.5</formula>
    </cfRule>
  </conditionalFormatting>
  <conditionalFormatting sqref="BD6">
    <cfRule type="cellIs" dxfId="20368" priority="130217" stopIfTrue="1" operator="greaterThanOrEqual">
      <formula>0.5</formula>
    </cfRule>
  </conditionalFormatting>
  <conditionalFormatting sqref="BF5">
    <cfRule type="cellIs" dxfId="20367" priority="130218" stopIfTrue="1" operator="equal">
      <formula>-1</formula>
    </cfRule>
  </conditionalFormatting>
  <conditionalFormatting sqref="BF5">
    <cfRule type="cellIs" dxfId="20366" priority="130219" stopIfTrue="1" operator="lessThan">
      <formula>0.5</formula>
    </cfRule>
  </conditionalFormatting>
  <conditionalFormatting sqref="BF5">
    <cfRule type="cellIs" dxfId="20365" priority="130220" stopIfTrue="1" operator="greaterThanOrEqual">
      <formula>0.5</formula>
    </cfRule>
  </conditionalFormatting>
  <conditionalFormatting sqref="BF6">
    <cfRule type="cellIs" dxfId="20364" priority="130221" stopIfTrue="1" operator="equal">
      <formula>-1</formula>
    </cfRule>
  </conditionalFormatting>
  <conditionalFormatting sqref="BF6">
    <cfRule type="cellIs" dxfId="20363" priority="130222" stopIfTrue="1" operator="lessThan">
      <formula>0.5</formula>
    </cfRule>
  </conditionalFormatting>
  <conditionalFormatting sqref="BF6">
    <cfRule type="cellIs" dxfId="20362" priority="130223" stopIfTrue="1" operator="greaterThanOrEqual">
      <formula>0.5</formula>
    </cfRule>
  </conditionalFormatting>
  <conditionalFormatting sqref="BH5">
    <cfRule type="cellIs" dxfId="20361" priority="130224" stopIfTrue="1" operator="equal">
      <formula>-1</formula>
    </cfRule>
  </conditionalFormatting>
  <conditionalFormatting sqref="BH5">
    <cfRule type="cellIs" dxfId="20360" priority="130225" stopIfTrue="1" operator="lessThan">
      <formula>0.5</formula>
    </cfRule>
  </conditionalFormatting>
  <conditionalFormatting sqref="BH5">
    <cfRule type="cellIs" dxfId="20359" priority="130226" stopIfTrue="1" operator="greaterThanOrEqual">
      <formula>0.5</formula>
    </cfRule>
  </conditionalFormatting>
  <conditionalFormatting sqref="BH6">
    <cfRule type="cellIs" dxfId="20358" priority="130227" stopIfTrue="1" operator="equal">
      <formula>-1</formula>
    </cfRule>
  </conditionalFormatting>
  <conditionalFormatting sqref="BH6">
    <cfRule type="cellIs" dxfId="20357" priority="130228" stopIfTrue="1" operator="lessThan">
      <formula>0.5</formula>
    </cfRule>
  </conditionalFormatting>
  <conditionalFormatting sqref="BH6">
    <cfRule type="cellIs" dxfId="20356" priority="130229" stopIfTrue="1" operator="greaterThanOrEqual">
      <formula>0.5</formula>
    </cfRule>
  </conditionalFormatting>
  <conditionalFormatting sqref="BJ5">
    <cfRule type="cellIs" dxfId="20355" priority="130230" stopIfTrue="1" operator="equal">
      <formula>-1</formula>
    </cfRule>
  </conditionalFormatting>
  <conditionalFormatting sqref="BJ5">
    <cfRule type="cellIs" dxfId="20354" priority="130231" stopIfTrue="1" operator="lessThan">
      <formula>0.5</formula>
    </cfRule>
  </conditionalFormatting>
  <conditionalFormatting sqref="BJ5">
    <cfRule type="cellIs" dxfId="20353" priority="130232" stopIfTrue="1" operator="greaterThanOrEqual">
      <formula>0.5</formula>
    </cfRule>
  </conditionalFormatting>
  <conditionalFormatting sqref="BJ6">
    <cfRule type="cellIs" dxfId="20352" priority="130233" stopIfTrue="1" operator="equal">
      <formula>-1</formula>
    </cfRule>
  </conditionalFormatting>
  <conditionalFormatting sqref="BJ6">
    <cfRule type="cellIs" dxfId="20351" priority="130234" stopIfTrue="1" operator="lessThan">
      <formula>0.5</formula>
    </cfRule>
  </conditionalFormatting>
  <conditionalFormatting sqref="BJ6">
    <cfRule type="cellIs" dxfId="20350" priority="130235" stopIfTrue="1" operator="greaterThanOrEqual">
      <formula>0.5</formula>
    </cfRule>
  </conditionalFormatting>
  <conditionalFormatting sqref="D8">
    <cfRule type="cellIs" dxfId="20349" priority="130236" stopIfTrue="1" operator="equal">
      <formula>-1</formula>
    </cfRule>
  </conditionalFormatting>
  <conditionalFormatting sqref="D8">
    <cfRule type="cellIs" dxfId="20348" priority="130237" stopIfTrue="1" operator="lessThan">
      <formula>0.5</formula>
    </cfRule>
  </conditionalFormatting>
  <conditionalFormatting sqref="D8">
    <cfRule type="cellIs" dxfId="20347" priority="130238" stopIfTrue="1" operator="greaterThanOrEqual">
      <formula>0.5</formula>
    </cfRule>
  </conditionalFormatting>
  <conditionalFormatting sqref="D9">
    <cfRule type="cellIs" dxfId="20346" priority="130239" stopIfTrue="1" operator="equal">
      <formula>-1</formula>
    </cfRule>
  </conditionalFormatting>
  <conditionalFormatting sqref="D9">
    <cfRule type="cellIs" dxfId="20345" priority="130240" stopIfTrue="1" operator="lessThan">
      <formula>0.5</formula>
    </cfRule>
  </conditionalFormatting>
  <conditionalFormatting sqref="D9">
    <cfRule type="cellIs" dxfId="20344" priority="130241" stopIfTrue="1" operator="greaterThanOrEqual">
      <formula>0.5</formula>
    </cfRule>
  </conditionalFormatting>
  <conditionalFormatting sqref="D10">
    <cfRule type="cellIs" dxfId="20343" priority="130242" stopIfTrue="1" operator="equal">
      <formula>-1</formula>
    </cfRule>
  </conditionalFormatting>
  <conditionalFormatting sqref="D10">
    <cfRule type="cellIs" dxfId="20342" priority="130243" stopIfTrue="1" operator="lessThan">
      <formula>0.5</formula>
    </cfRule>
  </conditionalFormatting>
  <conditionalFormatting sqref="D10">
    <cfRule type="cellIs" dxfId="20341" priority="130244" stopIfTrue="1" operator="greaterThanOrEqual">
      <formula>0.5</formula>
    </cfRule>
  </conditionalFormatting>
  <conditionalFormatting sqref="D11">
    <cfRule type="cellIs" dxfId="20340" priority="130245" stopIfTrue="1" operator="equal">
      <formula>-1</formula>
    </cfRule>
  </conditionalFormatting>
  <conditionalFormatting sqref="D11">
    <cfRule type="cellIs" dxfId="20339" priority="130246" stopIfTrue="1" operator="lessThan">
      <formula>0.5</formula>
    </cfRule>
  </conditionalFormatting>
  <conditionalFormatting sqref="D11">
    <cfRule type="cellIs" dxfId="20338" priority="130247" stopIfTrue="1" operator="greaterThanOrEqual">
      <formula>0.5</formula>
    </cfRule>
  </conditionalFormatting>
  <conditionalFormatting sqref="D12">
    <cfRule type="cellIs" dxfId="20337" priority="130248" stopIfTrue="1" operator="equal">
      <formula>-1</formula>
    </cfRule>
  </conditionalFormatting>
  <conditionalFormatting sqref="D12">
    <cfRule type="cellIs" dxfId="20336" priority="130249" stopIfTrue="1" operator="lessThan">
      <formula>0.5</formula>
    </cfRule>
  </conditionalFormatting>
  <conditionalFormatting sqref="D12">
    <cfRule type="cellIs" dxfId="20335" priority="130250" stopIfTrue="1" operator="greaterThanOrEqual">
      <formula>0.5</formula>
    </cfRule>
  </conditionalFormatting>
  <conditionalFormatting sqref="D13">
    <cfRule type="cellIs" dxfId="20334" priority="130251" stopIfTrue="1" operator="equal">
      <formula>-1</formula>
    </cfRule>
  </conditionalFormatting>
  <conditionalFormatting sqref="D13">
    <cfRule type="cellIs" dxfId="20333" priority="130252" stopIfTrue="1" operator="lessThan">
      <formula>0.5</formula>
    </cfRule>
  </conditionalFormatting>
  <conditionalFormatting sqref="D13">
    <cfRule type="cellIs" dxfId="20332" priority="130253" stopIfTrue="1" operator="greaterThanOrEqual">
      <formula>0.5</formula>
    </cfRule>
  </conditionalFormatting>
  <conditionalFormatting sqref="D14">
    <cfRule type="cellIs" dxfId="20331" priority="130254" stopIfTrue="1" operator="equal">
      <formula>-1</formula>
    </cfRule>
  </conditionalFormatting>
  <conditionalFormatting sqref="D14">
    <cfRule type="cellIs" dxfId="20330" priority="130255" stopIfTrue="1" operator="lessThan">
      <formula>0.5</formula>
    </cfRule>
  </conditionalFormatting>
  <conditionalFormatting sqref="D14">
    <cfRule type="cellIs" dxfId="20329" priority="130256" stopIfTrue="1" operator="greaterThanOrEqual">
      <formula>0.5</formula>
    </cfRule>
  </conditionalFormatting>
  <conditionalFormatting sqref="D15">
    <cfRule type="cellIs" dxfId="20328" priority="130257" stopIfTrue="1" operator="equal">
      <formula>-1</formula>
    </cfRule>
  </conditionalFormatting>
  <conditionalFormatting sqref="D15">
    <cfRule type="cellIs" dxfId="20327" priority="130258" stopIfTrue="1" operator="lessThan">
      <formula>0.5</formula>
    </cfRule>
  </conditionalFormatting>
  <conditionalFormatting sqref="D15">
    <cfRule type="cellIs" dxfId="20326" priority="130259" stopIfTrue="1" operator="greaterThanOrEqual">
      <formula>0.5</formula>
    </cfRule>
  </conditionalFormatting>
  <conditionalFormatting sqref="F8">
    <cfRule type="cellIs" dxfId="20325" priority="130260" stopIfTrue="1" operator="equal">
      <formula>-1</formula>
    </cfRule>
  </conditionalFormatting>
  <conditionalFormatting sqref="F8">
    <cfRule type="cellIs" dxfId="20324" priority="130261" stopIfTrue="1" operator="lessThan">
      <formula>0.5</formula>
    </cfRule>
  </conditionalFormatting>
  <conditionalFormatting sqref="F8">
    <cfRule type="cellIs" dxfId="20323" priority="130262" stopIfTrue="1" operator="greaterThanOrEqual">
      <formula>0.5</formula>
    </cfRule>
  </conditionalFormatting>
  <conditionalFormatting sqref="F9">
    <cfRule type="cellIs" dxfId="20322" priority="130263" stopIfTrue="1" operator="equal">
      <formula>-1</formula>
    </cfRule>
  </conditionalFormatting>
  <conditionalFormatting sqref="F9">
    <cfRule type="cellIs" dxfId="20321" priority="130264" stopIfTrue="1" operator="lessThan">
      <formula>0.5</formula>
    </cfRule>
  </conditionalFormatting>
  <conditionalFormatting sqref="F9">
    <cfRule type="cellIs" dxfId="20320" priority="130265" stopIfTrue="1" operator="greaterThanOrEqual">
      <formula>0.5</formula>
    </cfRule>
  </conditionalFormatting>
  <conditionalFormatting sqref="F10">
    <cfRule type="cellIs" dxfId="20319" priority="130266" stopIfTrue="1" operator="equal">
      <formula>-1</formula>
    </cfRule>
  </conditionalFormatting>
  <conditionalFormatting sqref="F10">
    <cfRule type="cellIs" dxfId="20318" priority="130267" stopIfTrue="1" operator="lessThan">
      <formula>0.5</formula>
    </cfRule>
  </conditionalFormatting>
  <conditionalFormatting sqref="F10">
    <cfRule type="cellIs" dxfId="20317" priority="130268" stopIfTrue="1" operator="greaterThanOrEqual">
      <formula>0.5</formula>
    </cfRule>
  </conditionalFormatting>
  <conditionalFormatting sqref="F11">
    <cfRule type="cellIs" dxfId="20316" priority="130269" stopIfTrue="1" operator="equal">
      <formula>-1</formula>
    </cfRule>
  </conditionalFormatting>
  <conditionalFormatting sqref="F11">
    <cfRule type="cellIs" dxfId="20315" priority="130270" stopIfTrue="1" operator="lessThan">
      <formula>0.5</formula>
    </cfRule>
  </conditionalFormatting>
  <conditionalFormatting sqref="F11">
    <cfRule type="cellIs" dxfId="20314" priority="130271" stopIfTrue="1" operator="greaterThanOrEqual">
      <formula>0.5</formula>
    </cfRule>
  </conditionalFormatting>
  <conditionalFormatting sqref="F12">
    <cfRule type="cellIs" dxfId="20313" priority="130272" stopIfTrue="1" operator="equal">
      <formula>-1</formula>
    </cfRule>
  </conditionalFormatting>
  <conditionalFormatting sqref="F12">
    <cfRule type="cellIs" dxfId="20312" priority="130273" stopIfTrue="1" operator="lessThan">
      <formula>0.5</formula>
    </cfRule>
  </conditionalFormatting>
  <conditionalFormatting sqref="F12">
    <cfRule type="cellIs" dxfId="20311" priority="130274" stopIfTrue="1" operator="greaterThanOrEqual">
      <formula>0.5</formula>
    </cfRule>
  </conditionalFormatting>
  <conditionalFormatting sqref="F13">
    <cfRule type="cellIs" dxfId="20310" priority="130275" stopIfTrue="1" operator="equal">
      <formula>-1</formula>
    </cfRule>
  </conditionalFormatting>
  <conditionalFormatting sqref="F13">
    <cfRule type="cellIs" dxfId="20309" priority="130276" stopIfTrue="1" operator="lessThan">
      <formula>0.5</formula>
    </cfRule>
  </conditionalFormatting>
  <conditionalFormatting sqref="F13">
    <cfRule type="cellIs" dxfId="20308" priority="130277" stopIfTrue="1" operator="greaterThanOrEqual">
      <formula>0.5</formula>
    </cfRule>
  </conditionalFormatting>
  <conditionalFormatting sqref="F14">
    <cfRule type="cellIs" dxfId="20307" priority="130278" stopIfTrue="1" operator="equal">
      <formula>-1</formula>
    </cfRule>
  </conditionalFormatting>
  <conditionalFormatting sqref="F14">
    <cfRule type="cellIs" dxfId="20306" priority="130279" stopIfTrue="1" operator="lessThan">
      <formula>0.5</formula>
    </cfRule>
  </conditionalFormatting>
  <conditionalFormatting sqref="F14">
    <cfRule type="cellIs" dxfId="20305" priority="130280" stopIfTrue="1" operator="greaterThanOrEqual">
      <formula>0.5</formula>
    </cfRule>
  </conditionalFormatting>
  <conditionalFormatting sqref="F15">
    <cfRule type="cellIs" dxfId="20304" priority="130281" stopIfTrue="1" operator="equal">
      <formula>-1</formula>
    </cfRule>
  </conditionalFormatting>
  <conditionalFormatting sqref="F15">
    <cfRule type="cellIs" dxfId="20303" priority="130282" stopIfTrue="1" operator="lessThan">
      <formula>0.5</formula>
    </cfRule>
  </conditionalFormatting>
  <conditionalFormatting sqref="F15">
    <cfRule type="cellIs" dxfId="20302" priority="130283" stopIfTrue="1" operator="greaterThanOrEqual">
      <formula>0.5</formula>
    </cfRule>
  </conditionalFormatting>
  <conditionalFormatting sqref="H8">
    <cfRule type="cellIs" dxfId="20301" priority="130284" stopIfTrue="1" operator="equal">
      <formula>-1</formula>
    </cfRule>
  </conditionalFormatting>
  <conditionalFormatting sqref="H8">
    <cfRule type="cellIs" dxfId="20300" priority="130285" stopIfTrue="1" operator="lessThan">
      <formula>0.5</formula>
    </cfRule>
  </conditionalFormatting>
  <conditionalFormatting sqref="H8">
    <cfRule type="cellIs" dxfId="20299" priority="130286" stopIfTrue="1" operator="greaterThanOrEqual">
      <formula>0.5</formula>
    </cfRule>
  </conditionalFormatting>
  <conditionalFormatting sqref="H9">
    <cfRule type="cellIs" dxfId="20298" priority="130287" stopIfTrue="1" operator="equal">
      <formula>-1</formula>
    </cfRule>
  </conditionalFormatting>
  <conditionalFormatting sqref="H9">
    <cfRule type="cellIs" dxfId="20297" priority="130288" stopIfTrue="1" operator="lessThan">
      <formula>0.5</formula>
    </cfRule>
  </conditionalFormatting>
  <conditionalFormatting sqref="H9">
    <cfRule type="cellIs" dxfId="20296" priority="130289" stopIfTrue="1" operator="greaterThanOrEqual">
      <formula>0.5</formula>
    </cfRule>
  </conditionalFormatting>
  <conditionalFormatting sqref="H10">
    <cfRule type="cellIs" dxfId="20295" priority="130290" stopIfTrue="1" operator="equal">
      <formula>-1</formula>
    </cfRule>
  </conditionalFormatting>
  <conditionalFormatting sqref="H10">
    <cfRule type="cellIs" dxfId="20294" priority="130291" stopIfTrue="1" operator="lessThan">
      <formula>0.5</formula>
    </cfRule>
  </conditionalFormatting>
  <conditionalFormatting sqref="H10">
    <cfRule type="cellIs" dxfId="20293" priority="130292" stopIfTrue="1" operator="greaterThanOrEqual">
      <formula>0.5</formula>
    </cfRule>
  </conditionalFormatting>
  <conditionalFormatting sqref="H11">
    <cfRule type="cellIs" dxfId="20292" priority="130293" stopIfTrue="1" operator="equal">
      <formula>-1</formula>
    </cfRule>
  </conditionalFormatting>
  <conditionalFormatting sqref="H11">
    <cfRule type="cellIs" dxfId="20291" priority="130294" stopIfTrue="1" operator="lessThan">
      <formula>0.5</formula>
    </cfRule>
  </conditionalFormatting>
  <conditionalFormatting sqref="H11">
    <cfRule type="cellIs" dxfId="20290" priority="130295" stopIfTrue="1" operator="greaterThanOrEqual">
      <formula>0.5</formula>
    </cfRule>
  </conditionalFormatting>
  <conditionalFormatting sqref="H12">
    <cfRule type="cellIs" dxfId="20289" priority="130296" stopIfTrue="1" operator="equal">
      <formula>-1</formula>
    </cfRule>
  </conditionalFormatting>
  <conditionalFormatting sqref="H12">
    <cfRule type="cellIs" dxfId="20288" priority="130297" stopIfTrue="1" operator="lessThan">
      <formula>0.5</formula>
    </cfRule>
  </conditionalFormatting>
  <conditionalFormatting sqref="H12">
    <cfRule type="cellIs" dxfId="20287" priority="130298" stopIfTrue="1" operator="greaterThanOrEqual">
      <formula>0.5</formula>
    </cfRule>
  </conditionalFormatting>
  <conditionalFormatting sqref="H13">
    <cfRule type="cellIs" dxfId="20286" priority="130299" stopIfTrue="1" operator="equal">
      <formula>-1</formula>
    </cfRule>
  </conditionalFormatting>
  <conditionalFormatting sqref="H13">
    <cfRule type="cellIs" dxfId="20285" priority="130300" stopIfTrue="1" operator="lessThan">
      <formula>0.5</formula>
    </cfRule>
  </conditionalFormatting>
  <conditionalFormatting sqref="H13">
    <cfRule type="cellIs" dxfId="20284" priority="130301" stopIfTrue="1" operator="greaterThanOrEqual">
      <formula>0.5</formula>
    </cfRule>
  </conditionalFormatting>
  <conditionalFormatting sqref="H14">
    <cfRule type="cellIs" dxfId="20283" priority="130302" stopIfTrue="1" operator="equal">
      <formula>-1</formula>
    </cfRule>
  </conditionalFormatting>
  <conditionalFormatting sqref="H14">
    <cfRule type="cellIs" dxfId="20282" priority="130303" stopIfTrue="1" operator="lessThan">
      <formula>0.5</formula>
    </cfRule>
  </conditionalFormatting>
  <conditionalFormatting sqref="H14">
    <cfRule type="cellIs" dxfId="20281" priority="130304" stopIfTrue="1" operator="greaterThanOrEqual">
      <formula>0.5</formula>
    </cfRule>
  </conditionalFormatting>
  <conditionalFormatting sqref="H15">
    <cfRule type="cellIs" dxfId="20280" priority="130305" stopIfTrue="1" operator="equal">
      <formula>-1</formula>
    </cfRule>
  </conditionalFormatting>
  <conditionalFormatting sqref="H15">
    <cfRule type="cellIs" dxfId="20279" priority="130306" stopIfTrue="1" operator="lessThan">
      <formula>0.5</formula>
    </cfRule>
  </conditionalFormatting>
  <conditionalFormatting sqref="H15">
    <cfRule type="cellIs" dxfId="20278" priority="130307" stopIfTrue="1" operator="greaterThanOrEqual">
      <formula>0.5</formula>
    </cfRule>
  </conditionalFormatting>
  <conditionalFormatting sqref="J8">
    <cfRule type="cellIs" dxfId="20277" priority="130308" stopIfTrue="1" operator="equal">
      <formula>-1</formula>
    </cfRule>
  </conditionalFormatting>
  <conditionalFormatting sqref="J8">
    <cfRule type="cellIs" dxfId="20276" priority="130309" stopIfTrue="1" operator="lessThan">
      <formula>0.5</formula>
    </cfRule>
  </conditionalFormatting>
  <conditionalFormatting sqref="J8">
    <cfRule type="cellIs" dxfId="20275" priority="130310" stopIfTrue="1" operator="greaterThanOrEqual">
      <formula>0.5</formula>
    </cfRule>
  </conditionalFormatting>
  <conditionalFormatting sqref="J9">
    <cfRule type="cellIs" dxfId="20274" priority="130311" stopIfTrue="1" operator="equal">
      <formula>-1</formula>
    </cfRule>
  </conditionalFormatting>
  <conditionalFormatting sqref="J9">
    <cfRule type="cellIs" dxfId="20273" priority="130312" stopIfTrue="1" operator="lessThan">
      <formula>0.5</formula>
    </cfRule>
  </conditionalFormatting>
  <conditionalFormatting sqref="J9">
    <cfRule type="cellIs" dxfId="20272" priority="130313" stopIfTrue="1" operator="greaterThanOrEqual">
      <formula>0.5</formula>
    </cfRule>
  </conditionalFormatting>
  <conditionalFormatting sqref="J10">
    <cfRule type="cellIs" dxfId="20271" priority="130314" stopIfTrue="1" operator="equal">
      <formula>-1</formula>
    </cfRule>
  </conditionalFormatting>
  <conditionalFormatting sqref="J10">
    <cfRule type="cellIs" dxfId="20270" priority="130315" stopIfTrue="1" operator="lessThan">
      <formula>0.5</formula>
    </cfRule>
  </conditionalFormatting>
  <conditionalFormatting sqref="J10">
    <cfRule type="cellIs" dxfId="20269" priority="130316" stopIfTrue="1" operator="greaterThanOrEqual">
      <formula>0.5</formula>
    </cfRule>
  </conditionalFormatting>
  <conditionalFormatting sqref="J11">
    <cfRule type="cellIs" dxfId="20268" priority="130317" stopIfTrue="1" operator="equal">
      <formula>-1</formula>
    </cfRule>
  </conditionalFormatting>
  <conditionalFormatting sqref="J11">
    <cfRule type="cellIs" dxfId="20267" priority="130318" stopIfTrue="1" operator="lessThan">
      <formula>0.5</formula>
    </cfRule>
  </conditionalFormatting>
  <conditionalFormatting sqref="J11">
    <cfRule type="cellIs" dxfId="20266" priority="130319" stopIfTrue="1" operator="greaterThanOrEqual">
      <formula>0.5</formula>
    </cfRule>
  </conditionalFormatting>
  <conditionalFormatting sqref="J12">
    <cfRule type="cellIs" dxfId="20265" priority="130320" stopIfTrue="1" operator="equal">
      <formula>-1</formula>
    </cfRule>
  </conditionalFormatting>
  <conditionalFormatting sqref="J12">
    <cfRule type="cellIs" dxfId="20264" priority="130321" stopIfTrue="1" operator="lessThan">
      <formula>0.5</formula>
    </cfRule>
  </conditionalFormatting>
  <conditionalFormatting sqref="J12">
    <cfRule type="cellIs" dxfId="20263" priority="130322" stopIfTrue="1" operator="greaterThanOrEqual">
      <formula>0.5</formula>
    </cfRule>
  </conditionalFormatting>
  <conditionalFormatting sqref="J13">
    <cfRule type="cellIs" dxfId="20262" priority="130323" stopIfTrue="1" operator="equal">
      <formula>-1</formula>
    </cfRule>
  </conditionalFormatting>
  <conditionalFormatting sqref="J13">
    <cfRule type="cellIs" dxfId="20261" priority="130324" stopIfTrue="1" operator="lessThan">
      <formula>0.5</formula>
    </cfRule>
  </conditionalFormatting>
  <conditionalFormatting sqref="J13">
    <cfRule type="cellIs" dxfId="20260" priority="130325" stopIfTrue="1" operator="greaterThanOrEqual">
      <formula>0.5</formula>
    </cfRule>
  </conditionalFormatting>
  <conditionalFormatting sqref="J14">
    <cfRule type="cellIs" dxfId="20259" priority="130326" stopIfTrue="1" operator="equal">
      <formula>-1</formula>
    </cfRule>
  </conditionalFormatting>
  <conditionalFormatting sqref="J14">
    <cfRule type="cellIs" dxfId="20258" priority="130327" stopIfTrue="1" operator="lessThan">
      <formula>0.5</formula>
    </cfRule>
  </conditionalFormatting>
  <conditionalFormatting sqref="J14">
    <cfRule type="cellIs" dxfId="20257" priority="130328" stopIfTrue="1" operator="greaterThanOrEqual">
      <formula>0.5</formula>
    </cfRule>
  </conditionalFormatting>
  <conditionalFormatting sqref="J15">
    <cfRule type="cellIs" dxfId="20256" priority="130329" stopIfTrue="1" operator="equal">
      <formula>-1</formula>
    </cfRule>
  </conditionalFormatting>
  <conditionalFormatting sqref="J15">
    <cfRule type="cellIs" dxfId="20255" priority="130330" stopIfTrue="1" operator="lessThan">
      <formula>0.5</formula>
    </cfRule>
  </conditionalFormatting>
  <conditionalFormatting sqref="J15">
    <cfRule type="cellIs" dxfId="20254" priority="130331" stopIfTrue="1" operator="greaterThanOrEqual">
      <formula>0.5</formula>
    </cfRule>
  </conditionalFormatting>
  <conditionalFormatting sqref="L8">
    <cfRule type="cellIs" dxfId="20253" priority="130332" stopIfTrue="1" operator="equal">
      <formula>-1</formula>
    </cfRule>
  </conditionalFormatting>
  <conditionalFormatting sqref="L8">
    <cfRule type="cellIs" dxfId="20252" priority="130333" stopIfTrue="1" operator="lessThan">
      <formula>0.5</formula>
    </cfRule>
  </conditionalFormatting>
  <conditionalFormatting sqref="L8">
    <cfRule type="cellIs" dxfId="20251" priority="130334" stopIfTrue="1" operator="greaterThanOrEqual">
      <formula>0.5</formula>
    </cfRule>
  </conditionalFormatting>
  <conditionalFormatting sqref="L9">
    <cfRule type="cellIs" dxfId="20250" priority="130335" stopIfTrue="1" operator="equal">
      <formula>-1</formula>
    </cfRule>
  </conditionalFormatting>
  <conditionalFormatting sqref="L9">
    <cfRule type="cellIs" dxfId="20249" priority="130336" stopIfTrue="1" operator="lessThan">
      <formula>0.5</formula>
    </cfRule>
  </conditionalFormatting>
  <conditionalFormatting sqref="L9">
    <cfRule type="cellIs" dxfId="20248" priority="130337" stopIfTrue="1" operator="greaterThanOrEqual">
      <formula>0.5</formula>
    </cfRule>
  </conditionalFormatting>
  <conditionalFormatting sqref="L10">
    <cfRule type="cellIs" dxfId="20247" priority="130338" stopIfTrue="1" operator="equal">
      <formula>-1</formula>
    </cfRule>
  </conditionalFormatting>
  <conditionalFormatting sqref="L10">
    <cfRule type="cellIs" dxfId="20246" priority="130339" stopIfTrue="1" operator="lessThan">
      <formula>0.5</formula>
    </cfRule>
  </conditionalFormatting>
  <conditionalFormatting sqref="L10">
    <cfRule type="cellIs" dxfId="20245" priority="130340" stopIfTrue="1" operator="greaterThanOrEqual">
      <formula>0.5</formula>
    </cfRule>
  </conditionalFormatting>
  <conditionalFormatting sqref="L11">
    <cfRule type="cellIs" dxfId="20244" priority="130341" stopIfTrue="1" operator="equal">
      <formula>-1</formula>
    </cfRule>
  </conditionalFormatting>
  <conditionalFormatting sqref="L11">
    <cfRule type="cellIs" dxfId="20243" priority="130342" stopIfTrue="1" operator="lessThan">
      <formula>0.5</formula>
    </cfRule>
  </conditionalFormatting>
  <conditionalFormatting sqref="L11">
    <cfRule type="cellIs" dxfId="20242" priority="130343" stopIfTrue="1" operator="greaterThanOrEqual">
      <formula>0.5</formula>
    </cfRule>
  </conditionalFormatting>
  <conditionalFormatting sqref="L12">
    <cfRule type="cellIs" dxfId="20241" priority="130344" stopIfTrue="1" operator="equal">
      <formula>-1</formula>
    </cfRule>
  </conditionalFormatting>
  <conditionalFormatting sqref="L12">
    <cfRule type="cellIs" dxfId="20240" priority="130345" stopIfTrue="1" operator="lessThan">
      <formula>0.5</formula>
    </cfRule>
  </conditionalFormatting>
  <conditionalFormatting sqref="L12">
    <cfRule type="cellIs" dxfId="20239" priority="130346" stopIfTrue="1" operator="greaterThanOrEqual">
      <formula>0.5</formula>
    </cfRule>
  </conditionalFormatting>
  <conditionalFormatting sqref="L13">
    <cfRule type="cellIs" dxfId="20238" priority="130347" stopIfTrue="1" operator="equal">
      <formula>-1</formula>
    </cfRule>
  </conditionalFormatting>
  <conditionalFormatting sqref="L13">
    <cfRule type="cellIs" dxfId="20237" priority="130348" stopIfTrue="1" operator="lessThan">
      <formula>0.5</formula>
    </cfRule>
  </conditionalFormatting>
  <conditionalFormatting sqref="L13">
    <cfRule type="cellIs" dxfId="20236" priority="130349" stopIfTrue="1" operator="greaterThanOrEqual">
      <formula>0.5</formula>
    </cfRule>
  </conditionalFormatting>
  <conditionalFormatting sqref="L14">
    <cfRule type="cellIs" dxfId="20235" priority="130350" stopIfTrue="1" operator="equal">
      <formula>-1</formula>
    </cfRule>
  </conditionalFormatting>
  <conditionalFormatting sqref="L14">
    <cfRule type="cellIs" dxfId="20234" priority="130351" stopIfTrue="1" operator="lessThan">
      <formula>0.5</formula>
    </cfRule>
  </conditionalFormatting>
  <conditionalFormatting sqref="L14">
    <cfRule type="cellIs" dxfId="20233" priority="130352" stopIfTrue="1" operator="greaterThanOrEqual">
      <formula>0.5</formula>
    </cfRule>
  </conditionalFormatting>
  <conditionalFormatting sqref="L15">
    <cfRule type="cellIs" dxfId="20232" priority="130353" stopIfTrue="1" operator="equal">
      <formula>-1</formula>
    </cfRule>
  </conditionalFormatting>
  <conditionalFormatting sqref="L15">
    <cfRule type="cellIs" dxfId="20231" priority="130354" stopIfTrue="1" operator="lessThan">
      <formula>0.5</formula>
    </cfRule>
  </conditionalFormatting>
  <conditionalFormatting sqref="L15">
    <cfRule type="cellIs" dxfId="20230" priority="130355" stopIfTrue="1" operator="greaterThanOrEqual">
      <formula>0.5</formula>
    </cfRule>
  </conditionalFormatting>
  <conditionalFormatting sqref="N8">
    <cfRule type="cellIs" dxfId="20229" priority="130356" stopIfTrue="1" operator="equal">
      <formula>-1</formula>
    </cfRule>
  </conditionalFormatting>
  <conditionalFormatting sqref="N8">
    <cfRule type="cellIs" dxfId="20228" priority="130357" stopIfTrue="1" operator="lessThan">
      <formula>0.5</formula>
    </cfRule>
  </conditionalFormatting>
  <conditionalFormatting sqref="N8">
    <cfRule type="cellIs" dxfId="20227" priority="130358" stopIfTrue="1" operator="greaterThanOrEqual">
      <formula>0.5</formula>
    </cfRule>
  </conditionalFormatting>
  <conditionalFormatting sqref="N9">
    <cfRule type="cellIs" dxfId="20226" priority="130359" stopIfTrue="1" operator="equal">
      <formula>-1</formula>
    </cfRule>
  </conditionalFormatting>
  <conditionalFormatting sqref="N9">
    <cfRule type="cellIs" dxfId="20225" priority="130360" stopIfTrue="1" operator="lessThan">
      <formula>0.5</formula>
    </cfRule>
  </conditionalFormatting>
  <conditionalFormatting sqref="N9">
    <cfRule type="cellIs" dxfId="20224" priority="130361" stopIfTrue="1" operator="greaterThanOrEqual">
      <formula>0.5</formula>
    </cfRule>
  </conditionalFormatting>
  <conditionalFormatting sqref="N10">
    <cfRule type="cellIs" dxfId="20223" priority="130362" stopIfTrue="1" operator="equal">
      <formula>-1</formula>
    </cfRule>
  </conditionalFormatting>
  <conditionalFormatting sqref="N10">
    <cfRule type="cellIs" dxfId="20222" priority="130363" stopIfTrue="1" operator="lessThan">
      <formula>0.5</formula>
    </cfRule>
  </conditionalFormatting>
  <conditionalFormatting sqref="N10">
    <cfRule type="cellIs" dxfId="20221" priority="130364" stopIfTrue="1" operator="greaterThanOrEqual">
      <formula>0.5</formula>
    </cfRule>
  </conditionalFormatting>
  <conditionalFormatting sqref="N11">
    <cfRule type="cellIs" dxfId="20220" priority="130365" stopIfTrue="1" operator="equal">
      <formula>-1</formula>
    </cfRule>
  </conditionalFormatting>
  <conditionalFormatting sqref="N11">
    <cfRule type="cellIs" dxfId="20219" priority="130366" stopIfTrue="1" operator="lessThan">
      <formula>0.5</formula>
    </cfRule>
  </conditionalFormatting>
  <conditionalFormatting sqref="N11">
    <cfRule type="cellIs" dxfId="20218" priority="130367" stopIfTrue="1" operator="greaterThanOrEqual">
      <formula>0.5</formula>
    </cfRule>
  </conditionalFormatting>
  <conditionalFormatting sqref="N12">
    <cfRule type="cellIs" dxfId="20217" priority="130368" stopIfTrue="1" operator="equal">
      <formula>-1</formula>
    </cfRule>
  </conditionalFormatting>
  <conditionalFormatting sqref="N12">
    <cfRule type="cellIs" dxfId="20216" priority="130369" stopIfTrue="1" operator="lessThan">
      <formula>0.5</formula>
    </cfRule>
  </conditionalFormatting>
  <conditionalFormatting sqref="N12">
    <cfRule type="cellIs" dxfId="20215" priority="130370" stopIfTrue="1" operator="greaterThanOrEqual">
      <formula>0.5</formula>
    </cfRule>
  </conditionalFormatting>
  <conditionalFormatting sqref="N13">
    <cfRule type="cellIs" dxfId="20214" priority="130371" stopIfTrue="1" operator="equal">
      <formula>-1</formula>
    </cfRule>
  </conditionalFormatting>
  <conditionalFormatting sqref="N13">
    <cfRule type="cellIs" dxfId="20213" priority="130372" stopIfTrue="1" operator="lessThan">
      <formula>0.5</formula>
    </cfRule>
  </conditionalFormatting>
  <conditionalFormatting sqref="N13">
    <cfRule type="cellIs" dxfId="20212" priority="130373" stopIfTrue="1" operator="greaterThanOrEqual">
      <formula>0.5</formula>
    </cfRule>
  </conditionalFormatting>
  <conditionalFormatting sqref="N14">
    <cfRule type="cellIs" dxfId="20211" priority="130374" stopIfTrue="1" operator="equal">
      <formula>-1</formula>
    </cfRule>
  </conditionalFormatting>
  <conditionalFormatting sqref="N14">
    <cfRule type="cellIs" dxfId="20210" priority="130375" stopIfTrue="1" operator="lessThan">
      <formula>0.5</formula>
    </cfRule>
  </conditionalFormatting>
  <conditionalFormatting sqref="N14">
    <cfRule type="cellIs" dxfId="20209" priority="130376" stopIfTrue="1" operator="greaterThanOrEqual">
      <formula>0.5</formula>
    </cfRule>
  </conditionalFormatting>
  <conditionalFormatting sqref="N15">
    <cfRule type="cellIs" dxfId="20208" priority="130377" stopIfTrue="1" operator="equal">
      <formula>-1</formula>
    </cfRule>
  </conditionalFormatting>
  <conditionalFormatting sqref="N15">
    <cfRule type="cellIs" dxfId="20207" priority="130378" stopIfTrue="1" operator="lessThan">
      <formula>0.5</formula>
    </cfRule>
  </conditionalFormatting>
  <conditionalFormatting sqref="N15">
    <cfRule type="cellIs" dxfId="20206" priority="130379" stopIfTrue="1" operator="greaterThanOrEqual">
      <formula>0.5</formula>
    </cfRule>
  </conditionalFormatting>
  <conditionalFormatting sqref="P8">
    <cfRule type="cellIs" dxfId="20205" priority="130380" stopIfTrue="1" operator="equal">
      <formula>-1</formula>
    </cfRule>
  </conditionalFormatting>
  <conditionalFormatting sqref="P8">
    <cfRule type="cellIs" dxfId="20204" priority="130381" stopIfTrue="1" operator="lessThan">
      <formula>0.5</formula>
    </cfRule>
  </conditionalFormatting>
  <conditionalFormatting sqref="P8">
    <cfRule type="cellIs" dxfId="20203" priority="130382" stopIfTrue="1" operator="greaterThanOrEqual">
      <formula>0.5</formula>
    </cfRule>
  </conditionalFormatting>
  <conditionalFormatting sqref="P9">
    <cfRule type="cellIs" dxfId="20202" priority="130383" stopIfTrue="1" operator="equal">
      <formula>-1</formula>
    </cfRule>
  </conditionalFormatting>
  <conditionalFormatting sqref="P9">
    <cfRule type="cellIs" dxfId="20201" priority="130384" stopIfTrue="1" operator="lessThan">
      <formula>0.5</formula>
    </cfRule>
  </conditionalFormatting>
  <conditionalFormatting sqref="P9">
    <cfRule type="cellIs" dxfId="20200" priority="130385" stopIfTrue="1" operator="greaterThanOrEqual">
      <formula>0.5</formula>
    </cfRule>
  </conditionalFormatting>
  <conditionalFormatting sqref="P10">
    <cfRule type="cellIs" dxfId="20199" priority="130386" stopIfTrue="1" operator="equal">
      <formula>-1</formula>
    </cfRule>
  </conditionalFormatting>
  <conditionalFormatting sqref="P10">
    <cfRule type="cellIs" dxfId="20198" priority="130387" stopIfTrue="1" operator="lessThan">
      <formula>0.5</formula>
    </cfRule>
  </conditionalFormatting>
  <conditionalFormatting sqref="P10">
    <cfRule type="cellIs" dxfId="20197" priority="130388" stopIfTrue="1" operator="greaterThanOrEqual">
      <formula>0.5</formula>
    </cfRule>
  </conditionalFormatting>
  <conditionalFormatting sqref="P11">
    <cfRule type="cellIs" dxfId="20196" priority="130389" stopIfTrue="1" operator="equal">
      <formula>-1</formula>
    </cfRule>
  </conditionalFormatting>
  <conditionalFormatting sqref="P11">
    <cfRule type="cellIs" dxfId="20195" priority="130390" stopIfTrue="1" operator="lessThan">
      <formula>0.5</formula>
    </cfRule>
  </conditionalFormatting>
  <conditionalFormatting sqref="P11">
    <cfRule type="cellIs" dxfId="20194" priority="130391" stopIfTrue="1" operator="greaterThanOrEqual">
      <formula>0.5</formula>
    </cfRule>
  </conditionalFormatting>
  <conditionalFormatting sqref="P12">
    <cfRule type="cellIs" dxfId="20193" priority="130392" stopIfTrue="1" operator="equal">
      <formula>-1</formula>
    </cfRule>
  </conditionalFormatting>
  <conditionalFormatting sqref="P12">
    <cfRule type="cellIs" dxfId="20192" priority="130393" stopIfTrue="1" operator="lessThan">
      <formula>0.5</formula>
    </cfRule>
  </conditionalFormatting>
  <conditionalFormatting sqref="P12">
    <cfRule type="cellIs" dxfId="20191" priority="130394" stopIfTrue="1" operator="greaterThanOrEqual">
      <formula>0.5</formula>
    </cfRule>
  </conditionalFormatting>
  <conditionalFormatting sqref="P13">
    <cfRule type="cellIs" dxfId="20190" priority="130395" stopIfTrue="1" operator="equal">
      <formula>-1</formula>
    </cfRule>
  </conditionalFormatting>
  <conditionalFormatting sqref="P13">
    <cfRule type="cellIs" dxfId="20189" priority="130396" stopIfTrue="1" operator="lessThan">
      <formula>0.5</formula>
    </cfRule>
  </conditionalFormatting>
  <conditionalFormatting sqref="P13">
    <cfRule type="cellIs" dxfId="20188" priority="130397" stopIfTrue="1" operator="greaterThanOrEqual">
      <formula>0.5</formula>
    </cfRule>
  </conditionalFormatting>
  <conditionalFormatting sqref="P14">
    <cfRule type="cellIs" dxfId="20187" priority="130398" stopIfTrue="1" operator="equal">
      <formula>-1</formula>
    </cfRule>
  </conditionalFormatting>
  <conditionalFormatting sqref="P14">
    <cfRule type="cellIs" dxfId="20186" priority="130399" stopIfTrue="1" operator="lessThan">
      <formula>0.5</formula>
    </cfRule>
  </conditionalFormatting>
  <conditionalFormatting sqref="P14">
    <cfRule type="cellIs" dxfId="20185" priority="130400" stopIfTrue="1" operator="greaterThanOrEqual">
      <formula>0.5</formula>
    </cfRule>
  </conditionalFormatting>
  <conditionalFormatting sqref="P15">
    <cfRule type="cellIs" dxfId="20184" priority="130401" stopIfTrue="1" operator="equal">
      <formula>-1</formula>
    </cfRule>
  </conditionalFormatting>
  <conditionalFormatting sqref="P15">
    <cfRule type="cellIs" dxfId="20183" priority="130402" stopIfTrue="1" operator="lessThan">
      <formula>0.5</formula>
    </cfRule>
  </conditionalFormatting>
  <conditionalFormatting sqref="P15">
    <cfRule type="cellIs" dxfId="20182" priority="130403" stopIfTrue="1" operator="greaterThanOrEqual">
      <formula>0.5</formula>
    </cfRule>
  </conditionalFormatting>
  <conditionalFormatting sqref="R8">
    <cfRule type="cellIs" dxfId="20181" priority="130404" stopIfTrue="1" operator="equal">
      <formula>-1</formula>
    </cfRule>
  </conditionalFormatting>
  <conditionalFormatting sqref="R8">
    <cfRule type="cellIs" dxfId="20180" priority="130405" stopIfTrue="1" operator="lessThan">
      <formula>0.5</formula>
    </cfRule>
  </conditionalFormatting>
  <conditionalFormatting sqref="R8">
    <cfRule type="cellIs" dxfId="20179" priority="130406" stopIfTrue="1" operator="greaterThanOrEqual">
      <formula>0.5</formula>
    </cfRule>
  </conditionalFormatting>
  <conditionalFormatting sqref="R9">
    <cfRule type="cellIs" dxfId="20178" priority="130407" stopIfTrue="1" operator="equal">
      <formula>-1</formula>
    </cfRule>
  </conditionalFormatting>
  <conditionalFormatting sqref="R9">
    <cfRule type="cellIs" dxfId="20177" priority="130408" stopIfTrue="1" operator="lessThan">
      <formula>0.5</formula>
    </cfRule>
  </conditionalFormatting>
  <conditionalFormatting sqref="R9">
    <cfRule type="cellIs" dxfId="20176" priority="130409" stopIfTrue="1" operator="greaterThanOrEqual">
      <formula>0.5</formula>
    </cfRule>
  </conditionalFormatting>
  <conditionalFormatting sqref="R10">
    <cfRule type="cellIs" dxfId="20175" priority="130410" stopIfTrue="1" operator="equal">
      <formula>-1</formula>
    </cfRule>
  </conditionalFormatting>
  <conditionalFormatting sqref="R10">
    <cfRule type="cellIs" dxfId="20174" priority="130411" stopIfTrue="1" operator="lessThan">
      <formula>0.5</formula>
    </cfRule>
  </conditionalFormatting>
  <conditionalFormatting sqref="R10">
    <cfRule type="cellIs" dxfId="20173" priority="130412" stopIfTrue="1" operator="greaterThanOrEqual">
      <formula>0.5</formula>
    </cfRule>
  </conditionalFormatting>
  <conditionalFormatting sqref="R11">
    <cfRule type="cellIs" dxfId="20172" priority="130413" stopIfTrue="1" operator="equal">
      <formula>-1</formula>
    </cfRule>
  </conditionalFormatting>
  <conditionalFormatting sqref="R11">
    <cfRule type="cellIs" dxfId="20171" priority="130414" stopIfTrue="1" operator="lessThan">
      <formula>0.5</formula>
    </cfRule>
  </conditionalFormatting>
  <conditionalFormatting sqref="R11">
    <cfRule type="cellIs" dxfId="20170" priority="130415" stopIfTrue="1" operator="greaterThanOrEqual">
      <formula>0.5</formula>
    </cfRule>
  </conditionalFormatting>
  <conditionalFormatting sqref="R12">
    <cfRule type="cellIs" dxfId="20169" priority="130416" stopIfTrue="1" operator="equal">
      <formula>-1</formula>
    </cfRule>
  </conditionalFormatting>
  <conditionalFormatting sqref="R12">
    <cfRule type="cellIs" dxfId="20168" priority="130417" stopIfTrue="1" operator="lessThan">
      <formula>0.5</formula>
    </cfRule>
  </conditionalFormatting>
  <conditionalFormatting sqref="R12">
    <cfRule type="cellIs" dxfId="20167" priority="130418" stopIfTrue="1" operator="greaterThanOrEqual">
      <formula>0.5</formula>
    </cfRule>
  </conditionalFormatting>
  <conditionalFormatting sqref="R13">
    <cfRule type="cellIs" dxfId="20166" priority="130419" stopIfTrue="1" operator="equal">
      <formula>-1</formula>
    </cfRule>
  </conditionalFormatting>
  <conditionalFormatting sqref="R13">
    <cfRule type="cellIs" dxfId="20165" priority="130420" stopIfTrue="1" operator="lessThan">
      <formula>0.5</formula>
    </cfRule>
  </conditionalFormatting>
  <conditionalFormatting sqref="R13">
    <cfRule type="cellIs" dxfId="20164" priority="130421" stopIfTrue="1" operator="greaterThanOrEqual">
      <formula>0.5</formula>
    </cfRule>
  </conditionalFormatting>
  <conditionalFormatting sqref="R14">
    <cfRule type="cellIs" dxfId="20163" priority="130422" stopIfTrue="1" operator="equal">
      <formula>-1</formula>
    </cfRule>
  </conditionalFormatting>
  <conditionalFormatting sqref="R14">
    <cfRule type="cellIs" dxfId="20162" priority="130423" stopIfTrue="1" operator="lessThan">
      <formula>0.5</formula>
    </cfRule>
  </conditionalFormatting>
  <conditionalFormatting sqref="R14">
    <cfRule type="cellIs" dxfId="20161" priority="130424" stopIfTrue="1" operator="greaterThanOrEqual">
      <formula>0.5</formula>
    </cfRule>
  </conditionalFormatting>
  <conditionalFormatting sqref="R15">
    <cfRule type="cellIs" dxfId="20160" priority="130425" stopIfTrue="1" operator="equal">
      <formula>-1</formula>
    </cfRule>
  </conditionalFormatting>
  <conditionalFormatting sqref="R15">
    <cfRule type="cellIs" dxfId="20159" priority="130426" stopIfTrue="1" operator="lessThan">
      <formula>0.5</formula>
    </cfRule>
  </conditionalFormatting>
  <conditionalFormatting sqref="R15">
    <cfRule type="cellIs" dxfId="20158" priority="130427" stopIfTrue="1" operator="greaterThanOrEqual">
      <formula>0.5</formula>
    </cfRule>
  </conditionalFormatting>
  <conditionalFormatting sqref="T8">
    <cfRule type="cellIs" dxfId="20157" priority="130428" stopIfTrue="1" operator="equal">
      <formula>-1</formula>
    </cfRule>
  </conditionalFormatting>
  <conditionalFormatting sqref="T8">
    <cfRule type="cellIs" dxfId="20156" priority="130429" stopIfTrue="1" operator="lessThan">
      <formula>0.5</formula>
    </cfRule>
  </conditionalFormatting>
  <conditionalFormatting sqref="T8">
    <cfRule type="cellIs" dxfId="20155" priority="130430" stopIfTrue="1" operator="greaterThanOrEqual">
      <formula>0.5</formula>
    </cfRule>
  </conditionalFormatting>
  <conditionalFormatting sqref="T9">
    <cfRule type="cellIs" dxfId="20154" priority="130431" stopIfTrue="1" operator="equal">
      <formula>-1</formula>
    </cfRule>
  </conditionalFormatting>
  <conditionalFormatting sqref="T9">
    <cfRule type="cellIs" dxfId="20153" priority="130432" stopIfTrue="1" operator="lessThan">
      <formula>0.5</formula>
    </cfRule>
  </conditionalFormatting>
  <conditionalFormatting sqref="T9">
    <cfRule type="cellIs" dxfId="20152" priority="130433" stopIfTrue="1" operator="greaterThanOrEqual">
      <formula>0.5</formula>
    </cfRule>
  </conditionalFormatting>
  <conditionalFormatting sqref="T10">
    <cfRule type="cellIs" dxfId="20151" priority="130434" stopIfTrue="1" operator="equal">
      <formula>-1</formula>
    </cfRule>
  </conditionalFormatting>
  <conditionalFormatting sqref="T10">
    <cfRule type="cellIs" dxfId="20150" priority="130435" stopIfTrue="1" operator="lessThan">
      <formula>0.5</formula>
    </cfRule>
  </conditionalFormatting>
  <conditionalFormatting sqref="T10">
    <cfRule type="cellIs" dxfId="20149" priority="130436" stopIfTrue="1" operator="greaterThanOrEqual">
      <formula>0.5</formula>
    </cfRule>
  </conditionalFormatting>
  <conditionalFormatting sqref="T11">
    <cfRule type="cellIs" dxfId="20148" priority="130437" stopIfTrue="1" operator="equal">
      <formula>-1</formula>
    </cfRule>
  </conditionalFormatting>
  <conditionalFormatting sqref="T11">
    <cfRule type="cellIs" dxfId="20147" priority="130438" stopIfTrue="1" operator="lessThan">
      <formula>0.5</formula>
    </cfRule>
  </conditionalFormatting>
  <conditionalFormatting sqref="T11">
    <cfRule type="cellIs" dxfId="20146" priority="130439" stopIfTrue="1" operator="greaterThanOrEqual">
      <formula>0.5</formula>
    </cfRule>
  </conditionalFormatting>
  <conditionalFormatting sqref="T12">
    <cfRule type="cellIs" dxfId="20145" priority="130440" stopIfTrue="1" operator="equal">
      <formula>-1</formula>
    </cfRule>
  </conditionalFormatting>
  <conditionalFormatting sqref="T12">
    <cfRule type="cellIs" dxfId="20144" priority="130441" stopIfTrue="1" operator="lessThan">
      <formula>0.5</formula>
    </cfRule>
  </conditionalFormatting>
  <conditionalFormatting sqref="T12">
    <cfRule type="cellIs" dxfId="20143" priority="130442" stopIfTrue="1" operator="greaterThanOrEqual">
      <formula>0.5</formula>
    </cfRule>
  </conditionalFormatting>
  <conditionalFormatting sqref="T13">
    <cfRule type="cellIs" dxfId="20142" priority="130443" stopIfTrue="1" operator="equal">
      <formula>-1</formula>
    </cfRule>
  </conditionalFormatting>
  <conditionalFormatting sqref="T13">
    <cfRule type="cellIs" dxfId="20141" priority="130444" stopIfTrue="1" operator="lessThan">
      <formula>0.5</formula>
    </cfRule>
  </conditionalFormatting>
  <conditionalFormatting sqref="T13">
    <cfRule type="cellIs" dxfId="20140" priority="130445" stopIfTrue="1" operator="greaterThanOrEqual">
      <formula>0.5</formula>
    </cfRule>
  </conditionalFormatting>
  <conditionalFormatting sqref="T14">
    <cfRule type="cellIs" dxfId="20139" priority="130446" stopIfTrue="1" operator="equal">
      <formula>-1</formula>
    </cfRule>
  </conditionalFormatting>
  <conditionalFormatting sqref="T14">
    <cfRule type="cellIs" dxfId="20138" priority="130447" stopIfTrue="1" operator="lessThan">
      <formula>0.5</formula>
    </cfRule>
  </conditionalFormatting>
  <conditionalFormatting sqref="T14">
    <cfRule type="cellIs" dxfId="20137" priority="130448" stopIfTrue="1" operator="greaterThanOrEqual">
      <formula>0.5</formula>
    </cfRule>
  </conditionalFormatting>
  <conditionalFormatting sqref="T15">
    <cfRule type="cellIs" dxfId="20136" priority="130449" stopIfTrue="1" operator="equal">
      <formula>-1</formula>
    </cfRule>
  </conditionalFormatting>
  <conditionalFormatting sqref="T15">
    <cfRule type="cellIs" dxfId="20135" priority="130450" stopIfTrue="1" operator="lessThan">
      <formula>0.5</formula>
    </cfRule>
  </conditionalFormatting>
  <conditionalFormatting sqref="T15">
    <cfRule type="cellIs" dxfId="20134" priority="130451" stopIfTrue="1" operator="greaterThanOrEqual">
      <formula>0.5</formula>
    </cfRule>
  </conditionalFormatting>
  <conditionalFormatting sqref="V8">
    <cfRule type="cellIs" dxfId="20133" priority="130452" stopIfTrue="1" operator="equal">
      <formula>-1</formula>
    </cfRule>
  </conditionalFormatting>
  <conditionalFormatting sqref="V8">
    <cfRule type="cellIs" dxfId="20132" priority="130453" stopIfTrue="1" operator="lessThan">
      <formula>0.5</formula>
    </cfRule>
  </conditionalFormatting>
  <conditionalFormatting sqref="V8">
    <cfRule type="cellIs" dxfId="20131" priority="130454" stopIfTrue="1" operator="greaterThanOrEqual">
      <formula>0.5</formula>
    </cfRule>
  </conditionalFormatting>
  <conditionalFormatting sqref="V9">
    <cfRule type="cellIs" dxfId="20130" priority="130455" stopIfTrue="1" operator="equal">
      <formula>-1</formula>
    </cfRule>
  </conditionalFormatting>
  <conditionalFormatting sqref="V9">
    <cfRule type="cellIs" dxfId="20129" priority="130456" stopIfTrue="1" operator="lessThan">
      <formula>0.5</formula>
    </cfRule>
  </conditionalFormatting>
  <conditionalFormatting sqref="V9">
    <cfRule type="cellIs" dxfId="20128" priority="130457" stopIfTrue="1" operator="greaterThanOrEqual">
      <formula>0.5</formula>
    </cfRule>
  </conditionalFormatting>
  <conditionalFormatting sqref="V10">
    <cfRule type="cellIs" dxfId="20127" priority="130458" stopIfTrue="1" operator="equal">
      <formula>-1</formula>
    </cfRule>
  </conditionalFormatting>
  <conditionalFormatting sqref="V10">
    <cfRule type="cellIs" dxfId="20126" priority="130459" stopIfTrue="1" operator="lessThan">
      <formula>0.5</formula>
    </cfRule>
  </conditionalFormatting>
  <conditionalFormatting sqref="V10">
    <cfRule type="cellIs" dxfId="20125" priority="130460" stopIfTrue="1" operator="greaterThanOrEqual">
      <formula>0.5</formula>
    </cfRule>
  </conditionalFormatting>
  <conditionalFormatting sqref="V11">
    <cfRule type="cellIs" dxfId="20124" priority="130461" stopIfTrue="1" operator="equal">
      <formula>-1</formula>
    </cfRule>
  </conditionalFormatting>
  <conditionalFormatting sqref="V11">
    <cfRule type="cellIs" dxfId="20123" priority="130462" stopIfTrue="1" operator="lessThan">
      <formula>0.5</formula>
    </cfRule>
  </conditionalFormatting>
  <conditionalFormatting sqref="V11">
    <cfRule type="cellIs" dxfId="20122" priority="130463" stopIfTrue="1" operator="greaterThanOrEqual">
      <formula>0.5</formula>
    </cfRule>
  </conditionalFormatting>
  <conditionalFormatting sqref="V12">
    <cfRule type="cellIs" dxfId="20121" priority="130464" stopIfTrue="1" operator="equal">
      <formula>-1</formula>
    </cfRule>
  </conditionalFormatting>
  <conditionalFormatting sqref="V12">
    <cfRule type="cellIs" dxfId="20120" priority="130465" stopIfTrue="1" operator="lessThan">
      <formula>0.5</formula>
    </cfRule>
  </conditionalFormatting>
  <conditionalFormatting sqref="V12">
    <cfRule type="cellIs" dxfId="20119" priority="130466" stopIfTrue="1" operator="greaterThanOrEqual">
      <formula>0.5</formula>
    </cfRule>
  </conditionalFormatting>
  <conditionalFormatting sqref="V13">
    <cfRule type="cellIs" dxfId="20118" priority="130467" stopIfTrue="1" operator="equal">
      <formula>-1</formula>
    </cfRule>
  </conditionalFormatting>
  <conditionalFormatting sqref="V13">
    <cfRule type="cellIs" dxfId="20117" priority="130468" stopIfTrue="1" operator="lessThan">
      <formula>0.5</formula>
    </cfRule>
  </conditionalFormatting>
  <conditionalFormatting sqref="V13">
    <cfRule type="cellIs" dxfId="20116" priority="130469" stopIfTrue="1" operator="greaterThanOrEqual">
      <formula>0.5</formula>
    </cfRule>
  </conditionalFormatting>
  <conditionalFormatting sqref="V14">
    <cfRule type="cellIs" dxfId="20115" priority="130470" stopIfTrue="1" operator="equal">
      <formula>-1</formula>
    </cfRule>
  </conditionalFormatting>
  <conditionalFormatting sqref="V14">
    <cfRule type="cellIs" dxfId="20114" priority="130471" stopIfTrue="1" operator="lessThan">
      <formula>0.5</formula>
    </cfRule>
  </conditionalFormatting>
  <conditionalFormatting sqref="V14">
    <cfRule type="cellIs" dxfId="20113" priority="130472" stopIfTrue="1" operator="greaterThanOrEqual">
      <formula>0.5</formula>
    </cfRule>
  </conditionalFormatting>
  <conditionalFormatting sqref="V15">
    <cfRule type="cellIs" dxfId="20112" priority="130473" stopIfTrue="1" operator="equal">
      <formula>-1</formula>
    </cfRule>
  </conditionalFormatting>
  <conditionalFormatting sqref="V15">
    <cfRule type="cellIs" dxfId="20111" priority="130474" stopIfTrue="1" operator="lessThan">
      <formula>0.5</formula>
    </cfRule>
  </conditionalFormatting>
  <conditionalFormatting sqref="V15">
    <cfRule type="cellIs" dxfId="20110" priority="130475" stopIfTrue="1" operator="greaterThanOrEqual">
      <formula>0.5</formula>
    </cfRule>
  </conditionalFormatting>
  <conditionalFormatting sqref="X8">
    <cfRule type="cellIs" dxfId="20109" priority="130476" stopIfTrue="1" operator="equal">
      <formula>-1</formula>
    </cfRule>
  </conditionalFormatting>
  <conditionalFormatting sqref="X8">
    <cfRule type="cellIs" dxfId="20108" priority="130477" stopIfTrue="1" operator="lessThan">
      <formula>0.5</formula>
    </cfRule>
  </conditionalFormatting>
  <conditionalFormatting sqref="X8">
    <cfRule type="cellIs" dxfId="20107" priority="130478" stopIfTrue="1" operator="greaterThanOrEqual">
      <formula>0.5</formula>
    </cfRule>
  </conditionalFormatting>
  <conditionalFormatting sqref="X9">
    <cfRule type="cellIs" dxfId="20106" priority="130479" stopIfTrue="1" operator="equal">
      <formula>-1</formula>
    </cfRule>
  </conditionalFormatting>
  <conditionalFormatting sqref="X9">
    <cfRule type="cellIs" dxfId="20105" priority="130480" stopIfTrue="1" operator="lessThan">
      <formula>0.5</formula>
    </cfRule>
  </conditionalFormatting>
  <conditionalFormatting sqref="X9">
    <cfRule type="cellIs" dxfId="20104" priority="130481" stopIfTrue="1" operator="greaterThanOrEqual">
      <formula>0.5</formula>
    </cfRule>
  </conditionalFormatting>
  <conditionalFormatting sqref="X10">
    <cfRule type="cellIs" dxfId="20103" priority="130482" stopIfTrue="1" operator="equal">
      <formula>-1</formula>
    </cfRule>
  </conditionalFormatting>
  <conditionalFormatting sqref="X10">
    <cfRule type="cellIs" dxfId="20102" priority="130483" stopIfTrue="1" operator="lessThan">
      <formula>0.5</formula>
    </cfRule>
  </conditionalFormatting>
  <conditionalFormatting sqref="X10">
    <cfRule type="cellIs" dxfId="20101" priority="130484" stopIfTrue="1" operator="greaterThanOrEqual">
      <formula>0.5</formula>
    </cfRule>
  </conditionalFormatting>
  <conditionalFormatting sqref="X11">
    <cfRule type="cellIs" dxfId="20100" priority="130485" stopIfTrue="1" operator="equal">
      <formula>-1</formula>
    </cfRule>
  </conditionalFormatting>
  <conditionalFormatting sqref="X11">
    <cfRule type="cellIs" dxfId="20099" priority="130486" stopIfTrue="1" operator="lessThan">
      <formula>0.5</formula>
    </cfRule>
  </conditionalFormatting>
  <conditionalFormatting sqref="X11">
    <cfRule type="cellIs" dxfId="20098" priority="130487" stopIfTrue="1" operator="greaterThanOrEqual">
      <formula>0.5</formula>
    </cfRule>
  </conditionalFormatting>
  <conditionalFormatting sqref="X12">
    <cfRule type="cellIs" dxfId="20097" priority="130488" stopIfTrue="1" operator="equal">
      <formula>-1</formula>
    </cfRule>
  </conditionalFormatting>
  <conditionalFormatting sqref="X12">
    <cfRule type="cellIs" dxfId="20096" priority="130489" stopIfTrue="1" operator="lessThan">
      <formula>0.5</formula>
    </cfRule>
  </conditionalFormatting>
  <conditionalFormatting sqref="X12">
    <cfRule type="cellIs" dxfId="20095" priority="130490" stopIfTrue="1" operator="greaterThanOrEqual">
      <formula>0.5</formula>
    </cfRule>
  </conditionalFormatting>
  <conditionalFormatting sqref="X13">
    <cfRule type="cellIs" dxfId="20094" priority="130491" stopIfTrue="1" operator="equal">
      <formula>-1</formula>
    </cfRule>
  </conditionalFormatting>
  <conditionalFormatting sqref="X13">
    <cfRule type="cellIs" dxfId="20093" priority="130492" stopIfTrue="1" operator="lessThan">
      <formula>0.5</formula>
    </cfRule>
  </conditionalFormatting>
  <conditionalFormatting sqref="X13">
    <cfRule type="cellIs" dxfId="20092" priority="130493" stopIfTrue="1" operator="greaterThanOrEqual">
      <formula>0.5</formula>
    </cfRule>
  </conditionalFormatting>
  <conditionalFormatting sqref="X14">
    <cfRule type="cellIs" dxfId="20091" priority="130494" stopIfTrue="1" operator="equal">
      <formula>-1</formula>
    </cfRule>
  </conditionalFormatting>
  <conditionalFormatting sqref="X14">
    <cfRule type="cellIs" dxfId="20090" priority="130495" stopIfTrue="1" operator="lessThan">
      <formula>0.5</formula>
    </cfRule>
  </conditionalFormatting>
  <conditionalFormatting sqref="X14">
    <cfRule type="cellIs" dxfId="20089" priority="130496" stopIfTrue="1" operator="greaterThanOrEqual">
      <formula>0.5</formula>
    </cfRule>
  </conditionalFormatting>
  <conditionalFormatting sqref="X15">
    <cfRule type="cellIs" dxfId="20088" priority="130497" stopIfTrue="1" operator="equal">
      <formula>-1</formula>
    </cfRule>
  </conditionalFormatting>
  <conditionalFormatting sqref="X15">
    <cfRule type="cellIs" dxfId="20087" priority="130498" stopIfTrue="1" operator="lessThan">
      <formula>0.5</formula>
    </cfRule>
  </conditionalFormatting>
  <conditionalFormatting sqref="X15">
    <cfRule type="cellIs" dxfId="20086" priority="130499" stopIfTrue="1" operator="greaterThanOrEqual">
      <formula>0.5</formula>
    </cfRule>
  </conditionalFormatting>
  <conditionalFormatting sqref="Z8">
    <cfRule type="cellIs" dxfId="20085" priority="130500" stopIfTrue="1" operator="equal">
      <formula>-1</formula>
    </cfRule>
  </conditionalFormatting>
  <conditionalFormatting sqref="Z8">
    <cfRule type="cellIs" dxfId="20084" priority="130501" stopIfTrue="1" operator="lessThan">
      <formula>0.5</formula>
    </cfRule>
  </conditionalFormatting>
  <conditionalFormatting sqref="Z8">
    <cfRule type="cellIs" dxfId="20083" priority="130502" stopIfTrue="1" operator="greaterThanOrEqual">
      <formula>0.5</formula>
    </cfRule>
  </conditionalFormatting>
  <conditionalFormatting sqref="Z9">
    <cfRule type="cellIs" dxfId="20082" priority="130503" stopIfTrue="1" operator="equal">
      <formula>-1</formula>
    </cfRule>
  </conditionalFormatting>
  <conditionalFormatting sqref="Z9">
    <cfRule type="cellIs" dxfId="20081" priority="130504" stopIfTrue="1" operator="lessThan">
      <formula>0.5</formula>
    </cfRule>
  </conditionalFormatting>
  <conditionalFormatting sqref="Z9">
    <cfRule type="cellIs" dxfId="20080" priority="130505" stopIfTrue="1" operator="greaterThanOrEqual">
      <formula>0.5</formula>
    </cfRule>
  </conditionalFormatting>
  <conditionalFormatting sqref="Z10">
    <cfRule type="cellIs" dxfId="20079" priority="130506" stopIfTrue="1" operator="equal">
      <formula>-1</formula>
    </cfRule>
  </conditionalFormatting>
  <conditionalFormatting sqref="Z10">
    <cfRule type="cellIs" dxfId="20078" priority="130507" stopIfTrue="1" operator="lessThan">
      <formula>0.5</formula>
    </cfRule>
  </conditionalFormatting>
  <conditionalFormatting sqref="Z10">
    <cfRule type="cellIs" dxfId="20077" priority="130508" stopIfTrue="1" operator="greaterThanOrEqual">
      <formula>0.5</formula>
    </cfRule>
  </conditionalFormatting>
  <conditionalFormatting sqref="Z11">
    <cfRule type="cellIs" dxfId="20076" priority="130509" stopIfTrue="1" operator="equal">
      <formula>-1</formula>
    </cfRule>
  </conditionalFormatting>
  <conditionalFormatting sqref="Z11">
    <cfRule type="cellIs" dxfId="20075" priority="130510" stopIfTrue="1" operator="lessThan">
      <formula>0.5</formula>
    </cfRule>
  </conditionalFormatting>
  <conditionalFormatting sqref="Z11">
    <cfRule type="cellIs" dxfId="20074" priority="130511" stopIfTrue="1" operator="greaterThanOrEqual">
      <formula>0.5</formula>
    </cfRule>
  </conditionalFormatting>
  <conditionalFormatting sqref="Z12">
    <cfRule type="cellIs" dxfId="20073" priority="130512" stopIfTrue="1" operator="equal">
      <formula>-1</formula>
    </cfRule>
  </conditionalFormatting>
  <conditionalFormatting sqref="Z12">
    <cfRule type="cellIs" dxfId="20072" priority="130513" stopIfTrue="1" operator="lessThan">
      <formula>0.5</formula>
    </cfRule>
  </conditionalFormatting>
  <conditionalFormatting sqref="Z12">
    <cfRule type="cellIs" dxfId="20071" priority="130514" stopIfTrue="1" operator="greaterThanOrEqual">
      <formula>0.5</formula>
    </cfRule>
  </conditionalFormatting>
  <conditionalFormatting sqref="Z13">
    <cfRule type="cellIs" dxfId="20070" priority="130515" stopIfTrue="1" operator="equal">
      <formula>-1</formula>
    </cfRule>
  </conditionalFormatting>
  <conditionalFormatting sqref="Z13">
    <cfRule type="cellIs" dxfId="20069" priority="130516" stopIfTrue="1" operator="lessThan">
      <formula>0.5</formula>
    </cfRule>
  </conditionalFormatting>
  <conditionalFormatting sqref="Z13">
    <cfRule type="cellIs" dxfId="20068" priority="130517" stopIfTrue="1" operator="greaterThanOrEqual">
      <formula>0.5</formula>
    </cfRule>
  </conditionalFormatting>
  <conditionalFormatting sqref="Z14">
    <cfRule type="cellIs" dxfId="20067" priority="130518" stopIfTrue="1" operator="equal">
      <formula>-1</formula>
    </cfRule>
  </conditionalFormatting>
  <conditionalFormatting sqref="Z14">
    <cfRule type="cellIs" dxfId="20066" priority="130519" stopIfTrue="1" operator="lessThan">
      <formula>0.5</formula>
    </cfRule>
  </conditionalFormatting>
  <conditionalFormatting sqref="Z14">
    <cfRule type="cellIs" dxfId="20065" priority="130520" stopIfTrue="1" operator="greaterThanOrEqual">
      <formula>0.5</formula>
    </cfRule>
  </conditionalFormatting>
  <conditionalFormatting sqref="Z15">
    <cfRule type="cellIs" dxfId="20064" priority="130521" stopIfTrue="1" operator="equal">
      <formula>-1</formula>
    </cfRule>
  </conditionalFormatting>
  <conditionalFormatting sqref="Z15">
    <cfRule type="cellIs" dxfId="20063" priority="130522" stopIfTrue="1" operator="lessThan">
      <formula>0.5</formula>
    </cfRule>
  </conditionalFormatting>
  <conditionalFormatting sqref="Z15">
    <cfRule type="cellIs" dxfId="20062" priority="130523" stopIfTrue="1" operator="greaterThanOrEqual">
      <formula>0.5</formula>
    </cfRule>
  </conditionalFormatting>
  <conditionalFormatting sqref="AB8">
    <cfRule type="cellIs" dxfId="20061" priority="130524" stopIfTrue="1" operator="equal">
      <formula>-1</formula>
    </cfRule>
  </conditionalFormatting>
  <conditionalFormatting sqref="AB8">
    <cfRule type="cellIs" dxfId="20060" priority="130525" stopIfTrue="1" operator="lessThan">
      <formula>0.5</formula>
    </cfRule>
  </conditionalFormatting>
  <conditionalFormatting sqref="AB8">
    <cfRule type="cellIs" dxfId="20059" priority="130526" stopIfTrue="1" operator="greaterThanOrEqual">
      <formula>0.5</formula>
    </cfRule>
  </conditionalFormatting>
  <conditionalFormatting sqref="AB9">
    <cfRule type="cellIs" dxfId="20058" priority="130527" stopIfTrue="1" operator="equal">
      <formula>-1</formula>
    </cfRule>
  </conditionalFormatting>
  <conditionalFormatting sqref="AB9">
    <cfRule type="cellIs" dxfId="20057" priority="130528" stopIfTrue="1" operator="lessThan">
      <formula>0.5</formula>
    </cfRule>
  </conditionalFormatting>
  <conditionalFormatting sqref="AB9">
    <cfRule type="cellIs" dxfId="20056" priority="130529" stopIfTrue="1" operator="greaterThanOrEqual">
      <formula>0.5</formula>
    </cfRule>
  </conditionalFormatting>
  <conditionalFormatting sqref="AB10">
    <cfRule type="cellIs" dxfId="20055" priority="130530" stopIfTrue="1" operator="equal">
      <formula>-1</formula>
    </cfRule>
  </conditionalFormatting>
  <conditionalFormatting sqref="AB10">
    <cfRule type="cellIs" dxfId="20054" priority="130531" stopIfTrue="1" operator="lessThan">
      <formula>0.5</formula>
    </cfRule>
  </conditionalFormatting>
  <conditionalFormatting sqref="AB10">
    <cfRule type="cellIs" dxfId="20053" priority="130532" stopIfTrue="1" operator="greaterThanOrEqual">
      <formula>0.5</formula>
    </cfRule>
  </conditionalFormatting>
  <conditionalFormatting sqref="AB11">
    <cfRule type="cellIs" dxfId="20052" priority="130533" stopIfTrue="1" operator="equal">
      <formula>-1</formula>
    </cfRule>
  </conditionalFormatting>
  <conditionalFormatting sqref="AB11">
    <cfRule type="cellIs" dxfId="20051" priority="130534" stopIfTrue="1" operator="lessThan">
      <formula>0.5</formula>
    </cfRule>
  </conditionalFormatting>
  <conditionalFormatting sqref="AB11">
    <cfRule type="cellIs" dxfId="20050" priority="130535" stopIfTrue="1" operator="greaterThanOrEqual">
      <formula>0.5</formula>
    </cfRule>
  </conditionalFormatting>
  <conditionalFormatting sqref="AB12">
    <cfRule type="cellIs" dxfId="20049" priority="130536" stopIfTrue="1" operator="equal">
      <formula>-1</formula>
    </cfRule>
  </conditionalFormatting>
  <conditionalFormatting sqref="AB12">
    <cfRule type="cellIs" dxfId="20048" priority="130537" stopIfTrue="1" operator="lessThan">
      <formula>0.5</formula>
    </cfRule>
  </conditionalFormatting>
  <conditionalFormatting sqref="AB12">
    <cfRule type="cellIs" dxfId="20047" priority="130538" stopIfTrue="1" operator="greaterThanOrEqual">
      <formula>0.5</formula>
    </cfRule>
  </conditionalFormatting>
  <conditionalFormatting sqref="AB13">
    <cfRule type="cellIs" dxfId="20046" priority="130539" stopIfTrue="1" operator="equal">
      <formula>-1</formula>
    </cfRule>
  </conditionalFormatting>
  <conditionalFormatting sqref="AB13">
    <cfRule type="cellIs" dxfId="20045" priority="130540" stopIfTrue="1" operator="lessThan">
      <formula>0.5</formula>
    </cfRule>
  </conditionalFormatting>
  <conditionalFormatting sqref="AB13">
    <cfRule type="cellIs" dxfId="20044" priority="130541" stopIfTrue="1" operator="greaterThanOrEqual">
      <formula>0.5</formula>
    </cfRule>
  </conditionalFormatting>
  <conditionalFormatting sqref="AB14">
    <cfRule type="cellIs" dxfId="20043" priority="130542" stopIfTrue="1" operator="equal">
      <formula>-1</formula>
    </cfRule>
  </conditionalFormatting>
  <conditionalFormatting sqref="AB14">
    <cfRule type="cellIs" dxfId="20042" priority="130543" stopIfTrue="1" operator="lessThan">
      <formula>0.5</formula>
    </cfRule>
  </conditionalFormatting>
  <conditionalFormatting sqref="AB14">
    <cfRule type="cellIs" dxfId="20041" priority="130544" stopIfTrue="1" operator="greaterThanOrEqual">
      <formula>0.5</formula>
    </cfRule>
  </conditionalFormatting>
  <conditionalFormatting sqref="AB15">
    <cfRule type="cellIs" dxfId="20040" priority="130545" stopIfTrue="1" operator="equal">
      <formula>-1</formula>
    </cfRule>
  </conditionalFormatting>
  <conditionalFormatting sqref="AB15">
    <cfRule type="cellIs" dxfId="20039" priority="130546" stopIfTrue="1" operator="lessThan">
      <formula>0.5</formula>
    </cfRule>
  </conditionalFormatting>
  <conditionalFormatting sqref="AB15">
    <cfRule type="cellIs" dxfId="20038" priority="130547" stopIfTrue="1" operator="greaterThanOrEqual">
      <formula>0.5</formula>
    </cfRule>
  </conditionalFormatting>
  <conditionalFormatting sqref="AD8">
    <cfRule type="cellIs" dxfId="20037" priority="130548" stopIfTrue="1" operator="equal">
      <formula>-1</formula>
    </cfRule>
  </conditionalFormatting>
  <conditionalFormatting sqref="AD8">
    <cfRule type="cellIs" dxfId="20036" priority="130549" stopIfTrue="1" operator="lessThan">
      <formula>0.5</formula>
    </cfRule>
  </conditionalFormatting>
  <conditionalFormatting sqref="AD8">
    <cfRule type="cellIs" dxfId="20035" priority="130550" stopIfTrue="1" operator="greaterThanOrEqual">
      <formula>0.5</formula>
    </cfRule>
  </conditionalFormatting>
  <conditionalFormatting sqref="AD9">
    <cfRule type="cellIs" dxfId="20034" priority="130551" stopIfTrue="1" operator="equal">
      <formula>-1</formula>
    </cfRule>
  </conditionalFormatting>
  <conditionalFormatting sqref="AD9">
    <cfRule type="cellIs" dxfId="20033" priority="130552" stopIfTrue="1" operator="lessThan">
      <formula>0.5</formula>
    </cfRule>
  </conditionalFormatting>
  <conditionalFormatting sqref="AD9">
    <cfRule type="cellIs" dxfId="20032" priority="130553" stopIfTrue="1" operator="greaterThanOrEqual">
      <formula>0.5</formula>
    </cfRule>
  </conditionalFormatting>
  <conditionalFormatting sqref="AD10">
    <cfRule type="cellIs" dxfId="20031" priority="130554" stopIfTrue="1" operator="equal">
      <formula>-1</formula>
    </cfRule>
  </conditionalFormatting>
  <conditionalFormatting sqref="AD10">
    <cfRule type="cellIs" dxfId="20030" priority="130555" stopIfTrue="1" operator="lessThan">
      <formula>0.5</formula>
    </cfRule>
  </conditionalFormatting>
  <conditionalFormatting sqref="AD10">
    <cfRule type="cellIs" dxfId="20029" priority="130556" stopIfTrue="1" operator="greaterThanOrEqual">
      <formula>0.5</formula>
    </cfRule>
  </conditionalFormatting>
  <conditionalFormatting sqref="AD11">
    <cfRule type="cellIs" dxfId="20028" priority="130557" stopIfTrue="1" operator="equal">
      <formula>-1</formula>
    </cfRule>
  </conditionalFormatting>
  <conditionalFormatting sqref="AD11">
    <cfRule type="cellIs" dxfId="20027" priority="130558" stopIfTrue="1" operator="lessThan">
      <formula>0.5</formula>
    </cfRule>
  </conditionalFormatting>
  <conditionalFormatting sqref="AD11">
    <cfRule type="cellIs" dxfId="20026" priority="130559" stopIfTrue="1" operator="greaterThanOrEqual">
      <formula>0.5</formula>
    </cfRule>
  </conditionalFormatting>
  <conditionalFormatting sqref="AD12">
    <cfRule type="cellIs" dxfId="20025" priority="130560" stopIfTrue="1" operator="equal">
      <formula>-1</formula>
    </cfRule>
  </conditionalFormatting>
  <conditionalFormatting sqref="AD12">
    <cfRule type="cellIs" dxfId="20024" priority="130561" stopIfTrue="1" operator="lessThan">
      <formula>0.5</formula>
    </cfRule>
  </conditionalFormatting>
  <conditionalFormatting sqref="AD12">
    <cfRule type="cellIs" dxfId="20023" priority="130562" stopIfTrue="1" operator="greaterThanOrEqual">
      <formula>0.5</formula>
    </cfRule>
  </conditionalFormatting>
  <conditionalFormatting sqref="AD13">
    <cfRule type="cellIs" dxfId="20022" priority="130563" stopIfTrue="1" operator="equal">
      <formula>-1</formula>
    </cfRule>
  </conditionalFormatting>
  <conditionalFormatting sqref="AD13">
    <cfRule type="cellIs" dxfId="20021" priority="130564" stopIfTrue="1" operator="lessThan">
      <formula>0.5</formula>
    </cfRule>
  </conditionalFormatting>
  <conditionalFormatting sqref="AD13">
    <cfRule type="cellIs" dxfId="20020" priority="130565" stopIfTrue="1" operator="greaterThanOrEqual">
      <formula>0.5</formula>
    </cfRule>
  </conditionalFormatting>
  <conditionalFormatting sqref="AD14">
    <cfRule type="cellIs" dxfId="20019" priority="130566" stopIfTrue="1" operator="equal">
      <formula>-1</formula>
    </cfRule>
  </conditionalFormatting>
  <conditionalFormatting sqref="AD14">
    <cfRule type="cellIs" dxfId="20018" priority="130567" stopIfTrue="1" operator="lessThan">
      <formula>0.5</formula>
    </cfRule>
  </conditionalFormatting>
  <conditionalFormatting sqref="AD14">
    <cfRule type="cellIs" dxfId="20017" priority="130568" stopIfTrue="1" operator="greaterThanOrEqual">
      <formula>0.5</formula>
    </cfRule>
  </conditionalFormatting>
  <conditionalFormatting sqref="AD15">
    <cfRule type="cellIs" dxfId="20016" priority="130569" stopIfTrue="1" operator="equal">
      <formula>-1</formula>
    </cfRule>
  </conditionalFormatting>
  <conditionalFormatting sqref="AD15">
    <cfRule type="cellIs" dxfId="20015" priority="130570" stopIfTrue="1" operator="lessThan">
      <formula>0.5</formula>
    </cfRule>
  </conditionalFormatting>
  <conditionalFormatting sqref="AD15">
    <cfRule type="cellIs" dxfId="20014" priority="130571" stopIfTrue="1" operator="greaterThanOrEqual">
      <formula>0.5</formula>
    </cfRule>
  </conditionalFormatting>
  <conditionalFormatting sqref="AF8">
    <cfRule type="cellIs" dxfId="20013" priority="130572" stopIfTrue="1" operator="equal">
      <formula>-1</formula>
    </cfRule>
  </conditionalFormatting>
  <conditionalFormatting sqref="AF8">
    <cfRule type="cellIs" dxfId="20012" priority="130573" stopIfTrue="1" operator="lessThan">
      <formula>0.5</formula>
    </cfRule>
  </conditionalFormatting>
  <conditionalFormatting sqref="AF8">
    <cfRule type="cellIs" dxfId="20011" priority="130574" stopIfTrue="1" operator="greaterThanOrEqual">
      <formula>0.5</formula>
    </cfRule>
  </conditionalFormatting>
  <conditionalFormatting sqref="AF9">
    <cfRule type="cellIs" dxfId="20010" priority="130575" stopIfTrue="1" operator="equal">
      <formula>-1</formula>
    </cfRule>
  </conditionalFormatting>
  <conditionalFormatting sqref="AF9">
    <cfRule type="cellIs" dxfId="20009" priority="130576" stopIfTrue="1" operator="lessThan">
      <formula>0.5</formula>
    </cfRule>
  </conditionalFormatting>
  <conditionalFormatting sqref="AF9">
    <cfRule type="cellIs" dxfId="20008" priority="130577" stopIfTrue="1" operator="greaterThanOrEqual">
      <formula>0.5</formula>
    </cfRule>
  </conditionalFormatting>
  <conditionalFormatting sqref="AF10">
    <cfRule type="cellIs" dxfId="20007" priority="130578" stopIfTrue="1" operator="equal">
      <formula>-1</formula>
    </cfRule>
  </conditionalFormatting>
  <conditionalFormatting sqref="AF10">
    <cfRule type="cellIs" dxfId="20006" priority="130579" stopIfTrue="1" operator="lessThan">
      <formula>0.5</formula>
    </cfRule>
  </conditionalFormatting>
  <conditionalFormatting sqref="AF10">
    <cfRule type="cellIs" dxfId="20005" priority="130580" stopIfTrue="1" operator="greaterThanOrEqual">
      <formula>0.5</formula>
    </cfRule>
  </conditionalFormatting>
  <conditionalFormatting sqref="AF11">
    <cfRule type="cellIs" dxfId="20004" priority="130581" stopIfTrue="1" operator="equal">
      <formula>-1</formula>
    </cfRule>
  </conditionalFormatting>
  <conditionalFormatting sqref="AF11">
    <cfRule type="cellIs" dxfId="20003" priority="130582" stopIfTrue="1" operator="lessThan">
      <formula>0.5</formula>
    </cfRule>
  </conditionalFormatting>
  <conditionalFormatting sqref="AF11">
    <cfRule type="cellIs" dxfId="20002" priority="130583" stopIfTrue="1" operator="greaterThanOrEqual">
      <formula>0.5</formula>
    </cfRule>
  </conditionalFormatting>
  <conditionalFormatting sqref="AF12">
    <cfRule type="cellIs" dxfId="20001" priority="130584" stopIfTrue="1" operator="equal">
      <formula>-1</formula>
    </cfRule>
  </conditionalFormatting>
  <conditionalFormatting sqref="AF12">
    <cfRule type="cellIs" dxfId="20000" priority="130585" stopIfTrue="1" operator="lessThan">
      <formula>0.5</formula>
    </cfRule>
  </conditionalFormatting>
  <conditionalFormatting sqref="AF12">
    <cfRule type="cellIs" dxfId="19999" priority="130586" stopIfTrue="1" operator="greaterThanOrEqual">
      <formula>0.5</formula>
    </cfRule>
  </conditionalFormatting>
  <conditionalFormatting sqref="AF13">
    <cfRule type="cellIs" dxfId="19998" priority="130587" stopIfTrue="1" operator="equal">
      <formula>-1</formula>
    </cfRule>
  </conditionalFormatting>
  <conditionalFormatting sqref="AF13">
    <cfRule type="cellIs" dxfId="19997" priority="130588" stopIfTrue="1" operator="lessThan">
      <formula>0.5</formula>
    </cfRule>
  </conditionalFormatting>
  <conditionalFormatting sqref="AF13">
    <cfRule type="cellIs" dxfId="19996" priority="130589" stopIfTrue="1" operator="greaterThanOrEqual">
      <formula>0.5</formula>
    </cfRule>
  </conditionalFormatting>
  <conditionalFormatting sqref="AF14">
    <cfRule type="cellIs" dxfId="19995" priority="130590" stopIfTrue="1" operator="equal">
      <formula>-1</formula>
    </cfRule>
  </conditionalFormatting>
  <conditionalFormatting sqref="AF14">
    <cfRule type="cellIs" dxfId="19994" priority="130591" stopIfTrue="1" operator="lessThan">
      <formula>0.5</formula>
    </cfRule>
  </conditionalFormatting>
  <conditionalFormatting sqref="AF14">
    <cfRule type="cellIs" dxfId="19993" priority="130592" stopIfTrue="1" operator="greaterThanOrEqual">
      <formula>0.5</formula>
    </cfRule>
  </conditionalFormatting>
  <conditionalFormatting sqref="AF15">
    <cfRule type="cellIs" dxfId="19992" priority="130593" stopIfTrue="1" operator="equal">
      <formula>-1</formula>
    </cfRule>
  </conditionalFormatting>
  <conditionalFormatting sqref="AF15">
    <cfRule type="cellIs" dxfId="19991" priority="130594" stopIfTrue="1" operator="lessThan">
      <formula>0.5</formula>
    </cfRule>
  </conditionalFormatting>
  <conditionalFormatting sqref="AF15">
    <cfRule type="cellIs" dxfId="19990" priority="130595" stopIfTrue="1" operator="greaterThanOrEqual">
      <formula>0.5</formula>
    </cfRule>
  </conditionalFormatting>
  <conditionalFormatting sqref="AH8">
    <cfRule type="cellIs" dxfId="19989" priority="130596" stopIfTrue="1" operator="equal">
      <formula>-1</formula>
    </cfRule>
  </conditionalFormatting>
  <conditionalFormatting sqref="AH8">
    <cfRule type="cellIs" dxfId="19988" priority="130597" stopIfTrue="1" operator="lessThan">
      <formula>0.5</formula>
    </cfRule>
  </conditionalFormatting>
  <conditionalFormatting sqref="AH8">
    <cfRule type="cellIs" dxfId="19987" priority="130598" stopIfTrue="1" operator="greaterThanOrEqual">
      <formula>0.5</formula>
    </cfRule>
  </conditionalFormatting>
  <conditionalFormatting sqref="AH9">
    <cfRule type="cellIs" dxfId="19986" priority="130599" stopIfTrue="1" operator="equal">
      <formula>-1</formula>
    </cfRule>
  </conditionalFormatting>
  <conditionalFormatting sqref="AH9">
    <cfRule type="cellIs" dxfId="19985" priority="130600" stopIfTrue="1" operator="lessThan">
      <formula>0.5</formula>
    </cfRule>
  </conditionalFormatting>
  <conditionalFormatting sqref="AH9">
    <cfRule type="cellIs" dxfId="19984" priority="130601" stopIfTrue="1" operator="greaterThanOrEqual">
      <formula>0.5</formula>
    </cfRule>
  </conditionalFormatting>
  <conditionalFormatting sqref="AH10">
    <cfRule type="cellIs" dxfId="19983" priority="130602" stopIfTrue="1" operator="equal">
      <formula>-1</formula>
    </cfRule>
  </conditionalFormatting>
  <conditionalFormatting sqref="AH10">
    <cfRule type="cellIs" dxfId="19982" priority="130603" stopIfTrue="1" operator="lessThan">
      <formula>0.5</formula>
    </cfRule>
  </conditionalFormatting>
  <conditionalFormatting sqref="AH10">
    <cfRule type="cellIs" dxfId="19981" priority="130604" stopIfTrue="1" operator="greaterThanOrEqual">
      <formula>0.5</formula>
    </cfRule>
  </conditionalFormatting>
  <conditionalFormatting sqref="AH11">
    <cfRule type="cellIs" dxfId="19980" priority="130605" stopIfTrue="1" operator="equal">
      <formula>-1</formula>
    </cfRule>
  </conditionalFormatting>
  <conditionalFormatting sqref="AH11">
    <cfRule type="cellIs" dxfId="19979" priority="130606" stopIfTrue="1" operator="lessThan">
      <formula>0.5</formula>
    </cfRule>
  </conditionalFormatting>
  <conditionalFormatting sqref="AH11">
    <cfRule type="cellIs" dxfId="19978" priority="130607" stopIfTrue="1" operator="greaterThanOrEqual">
      <formula>0.5</formula>
    </cfRule>
  </conditionalFormatting>
  <conditionalFormatting sqref="AH12">
    <cfRule type="cellIs" dxfId="19977" priority="130608" stopIfTrue="1" operator="equal">
      <formula>-1</formula>
    </cfRule>
  </conditionalFormatting>
  <conditionalFormatting sqref="AH12">
    <cfRule type="cellIs" dxfId="19976" priority="130609" stopIfTrue="1" operator="lessThan">
      <formula>0.5</formula>
    </cfRule>
  </conditionalFormatting>
  <conditionalFormatting sqref="AH12">
    <cfRule type="cellIs" dxfId="19975" priority="130610" stopIfTrue="1" operator="greaterThanOrEqual">
      <formula>0.5</formula>
    </cfRule>
  </conditionalFormatting>
  <conditionalFormatting sqref="AH13">
    <cfRule type="cellIs" dxfId="19974" priority="130611" stopIfTrue="1" operator="equal">
      <formula>-1</formula>
    </cfRule>
  </conditionalFormatting>
  <conditionalFormatting sqref="AH13">
    <cfRule type="cellIs" dxfId="19973" priority="130612" stopIfTrue="1" operator="lessThan">
      <formula>0.5</formula>
    </cfRule>
  </conditionalFormatting>
  <conditionalFormatting sqref="AH13">
    <cfRule type="cellIs" dxfId="19972" priority="130613" stopIfTrue="1" operator="greaterThanOrEqual">
      <formula>0.5</formula>
    </cfRule>
  </conditionalFormatting>
  <conditionalFormatting sqref="AH14">
    <cfRule type="cellIs" dxfId="19971" priority="130614" stopIfTrue="1" operator="equal">
      <formula>-1</formula>
    </cfRule>
  </conditionalFormatting>
  <conditionalFormatting sqref="AH14">
    <cfRule type="cellIs" dxfId="19970" priority="130615" stopIfTrue="1" operator="lessThan">
      <formula>0.5</formula>
    </cfRule>
  </conditionalFormatting>
  <conditionalFormatting sqref="AH14">
    <cfRule type="cellIs" dxfId="19969" priority="130616" stopIfTrue="1" operator="greaterThanOrEqual">
      <formula>0.5</formula>
    </cfRule>
  </conditionalFormatting>
  <conditionalFormatting sqref="AH15">
    <cfRule type="cellIs" dxfId="19968" priority="130617" stopIfTrue="1" operator="equal">
      <formula>-1</formula>
    </cfRule>
  </conditionalFormatting>
  <conditionalFormatting sqref="AH15">
    <cfRule type="cellIs" dxfId="19967" priority="130618" stopIfTrue="1" operator="lessThan">
      <formula>0.5</formula>
    </cfRule>
  </conditionalFormatting>
  <conditionalFormatting sqref="AH15">
    <cfRule type="cellIs" dxfId="19966" priority="130619" stopIfTrue="1" operator="greaterThanOrEqual">
      <formula>0.5</formula>
    </cfRule>
  </conditionalFormatting>
  <conditionalFormatting sqref="AJ8">
    <cfRule type="cellIs" dxfId="19965" priority="130620" stopIfTrue="1" operator="equal">
      <formula>-1</formula>
    </cfRule>
  </conditionalFormatting>
  <conditionalFormatting sqref="AJ8">
    <cfRule type="cellIs" dxfId="19964" priority="130621" stopIfTrue="1" operator="lessThan">
      <formula>0.5</formula>
    </cfRule>
  </conditionalFormatting>
  <conditionalFormatting sqref="AJ8">
    <cfRule type="cellIs" dxfId="19963" priority="130622" stopIfTrue="1" operator="greaterThanOrEqual">
      <formula>0.5</formula>
    </cfRule>
  </conditionalFormatting>
  <conditionalFormatting sqref="AJ9">
    <cfRule type="cellIs" dxfId="19962" priority="130623" stopIfTrue="1" operator="equal">
      <formula>-1</formula>
    </cfRule>
  </conditionalFormatting>
  <conditionalFormatting sqref="AJ9">
    <cfRule type="cellIs" dxfId="19961" priority="130624" stopIfTrue="1" operator="lessThan">
      <formula>0.5</formula>
    </cfRule>
  </conditionalFormatting>
  <conditionalFormatting sqref="AJ9">
    <cfRule type="cellIs" dxfId="19960" priority="130625" stopIfTrue="1" operator="greaterThanOrEqual">
      <formula>0.5</formula>
    </cfRule>
  </conditionalFormatting>
  <conditionalFormatting sqref="AJ10">
    <cfRule type="cellIs" dxfId="19959" priority="130626" stopIfTrue="1" operator="equal">
      <formula>-1</formula>
    </cfRule>
  </conditionalFormatting>
  <conditionalFormatting sqref="AJ10">
    <cfRule type="cellIs" dxfId="19958" priority="130627" stopIfTrue="1" operator="lessThan">
      <formula>0.5</formula>
    </cfRule>
  </conditionalFormatting>
  <conditionalFormatting sqref="AJ10">
    <cfRule type="cellIs" dxfId="19957" priority="130628" stopIfTrue="1" operator="greaterThanOrEqual">
      <formula>0.5</formula>
    </cfRule>
  </conditionalFormatting>
  <conditionalFormatting sqref="AJ11">
    <cfRule type="cellIs" dxfId="19956" priority="130629" stopIfTrue="1" operator="equal">
      <formula>-1</formula>
    </cfRule>
  </conditionalFormatting>
  <conditionalFormatting sqref="AJ11">
    <cfRule type="cellIs" dxfId="19955" priority="130630" stopIfTrue="1" operator="lessThan">
      <formula>0.5</formula>
    </cfRule>
  </conditionalFormatting>
  <conditionalFormatting sqref="AJ11">
    <cfRule type="cellIs" dxfId="19954" priority="130631" stopIfTrue="1" operator="greaterThanOrEqual">
      <formula>0.5</formula>
    </cfRule>
  </conditionalFormatting>
  <conditionalFormatting sqref="AJ12">
    <cfRule type="cellIs" dxfId="19953" priority="130632" stopIfTrue="1" operator="equal">
      <formula>-1</formula>
    </cfRule>
  </conditionalFormatting>
  <conditionalFormatting sqref="AJ12">
    <cfRule type="cellIs" dxfId="19952" priority="130633" stopIfTrue="1" operator="lessThan">
      <formula>0.5</formula>
    </cfRule>
  </conditionalFormatting>
  <conditionalFormatting sqref="AJ12">
    <cfRule type="cellIs" dxfId="19951" priority="130634" stopIfTrue="1" operator="greaterThanOrEqual">
      <formula>0.5</formula>
    </cfRule>
  </conditionalFormatting>
  <conditionalFormatting sqref="AJ13">
    <cfRule type="cellIs" dxfId="19950" priority="130635" stopIfTrue="1" operator="equal">
      <formula>-1</formula>
    </cfRule>
  </conditionalFormatting>
  <conditionalFormatting sqref="AJ13">
    <cfRule type="cellIs" dxfId="19949" priority="130636" stopIfTrue="1" operator="lessThan">
      <formula>0.5</formula>
    </cfRule>
  </conditionalFormatting>
  <conditionalFormatting sqref="AJ13">
    <cfRule type="cellIs" dxfId="19948" priority="130637" stopIfTrue="1" operator="greaterThanOrEqual">
      <formula>0.5</formula>
    </cfRule>
  </conditionalFormatting>
  <conditionalFormatting sqref="AJ14">
    <cfRule type="cellIs" dxfId="19947" priority="130638" stopIfTrue="1" operator="equal">
      <formula>-1</formula>
    </cfRule>
  </conditionalFormatting>
  <conditionalFormatting sqref="AJ14">
    <cfRule type="cellIs" dxfId="19946" priority="130639" stopIfTrue="1" operator="lessThan">
      <formula>0.5</formula>
    </cfRule>
  </conditionalFormatting>
  <conditionalFormatting sqref="AJ14">
    <cfRule type="cellIs" dxfId="19945" priority="130640" stopIfTrue="1" operator="greaterThanOrEqual">
      <formula>0.5</formula>
    </cfRule>
  </conditionalFormatting>
  <conditionalFormatting sqref="AJ15">
    <cfRule type="cellIs" dxfId="19944" priority="130641" stopIfTrue="1" operator="equal">
      <formula>-1</formula>
    </cfRule>
  </conditionalFormatting>
  <conditionalFormatting sqref="AJ15">
    <cfRule type="cellIs" dxfId="19943" priority="130642" stopIfTrue="1" operator="lessThan">
      <formula>0.5</formula>
    </cfRule>
  </conditionalFormatting>
  <conditionalFormatting sqref="AJ15">
    <cfRule type="cellIs" dxfId="19942" priority="130643" stopIfTrue="1" operator="greaterThanOrEqual">
      <formula>0.5</formula>
    </cfRule>
  </conditionalFormatting>
  <conditionalFormatting sqref="AL8">
    <cfRule type="cellIs" dxfId="19941" priority="130644" stopIfTrue="1" operator="equal">
      <formula>-1</formula>
    </cfRule>
  </conditionalFormatting>
  <conditionalFormatting sqref="AL8">
    <cfRule type="cellIs" dxfId="19940" priority="130645" stopIfTrue="1" operator="lessThan">
      <formula>0.5</formula>
    </cfRule>
  </conditionalFormatting>
  <conditionalFormatting sqref="AL8">
    <cfRule type="cellIs" dxfId="19939" priority="130646" stopIfTrue="1" operator="greaterThanOrEqual">
      <formula>0.5</formula>
    </cfRule>
  </conditionalFormatting>
  <conditionalFormatting sqref="AL9">
    <cfRule type="cellIs" dxfId="19938" priority="130647" stopIfTrue="1" operator="equal">
      <formula>-1</formula>
    </cfRule>
  </conditionalFormatting>
  <conditionalFormatting sqref="AL9">
    <cfRule type="cellIs" dxfId="19937" priority="130648" stopIfTrue="1" operator="lessThan">
      <formula>0.5</formula>
    </cfRule>
  </conditionalFormatting>
  <conditionalFormatting sqref="AL9">
    <cfRule type="cellIs" dxfId="19936" priority="130649" stopIfTrue="1" operator="greaterThanOrEqual">
      <formula>0.5</formula>
    </cfRule>
  </conditionalFormatting>
  <conditionalFormatting sqref="AL10">
    <cfRule type="cellIs" dxfId="19935" priority="130650" stopIfTrue="1" operator="equal">
      <formula>-1</formula>
    </cfRule>
  </conditionalFormatting>
  <conditionalFormatting sqref="AL10">
    <cfRule type="cellIs" dxfId="19934" priority="130651" stopIfTrue="1" operator="lessThan">
      <formula>0.5</formula>
    </cfRule>
  </conditionalFormatting>
  <conditionalFormatting sqref="AL10">
    <cfRule type="cellIs" dxfId="19933" priority="130652" stopIfTrue="1" operator="greaterThanOrEqual">
      <formula>0.5</formula>
    </cfRule>
  </conditionalFormatting>
  <conditionalFormatting sqref="AL11">
    <cfRule type="cellIs" dxfId="19932" priority="130653" stopIfTrue="1" operator="equal">
      <formula>-1</formula>
    </cfRule>
  </conditionalFormatting>
  <conditionalFormatting sqref="AL11">
    <cfRule type="cellIs" dxfId="19931" priority="130654" stopIfTrue="1" operator="lessThan">
      <formula>0.5</formula>
    </cfRule>
  </conditionalFormatting>
  <conditionalFormatting sqref="AL11">
    <cfRule type="cellIs" dxfId="19930" priority="130655" stopIfTrue="1" operator="greaterThanOrEqual">
      <formula>0.5</formula>
    </cfRule>
  </conditionalFormatting>
  <conditionalFormatting sqref="AL12">
    <cfRule type="cellIs" dxfId="19929" priority="130656" stopIfTrue="1" operator="equal">
      <formula>-1</formula>
    </cfRule>
  </conditionalFormatting>
  <conditionalFormatting sqref="AL12">
    <cfRule type="cellIs" dxfId="19928" priority="130657" stopIfTrue="1" operator="lessThan">
      <formula>0.5</formula>
    </cfRule>
  </conditionalFormatting>
  <conditionalFormatting sqref="AL12">
    <cfRule type="cellIs" dxfId="19927" priority="130658" stopIfTrue="1" operator="greaterThanOrEqual">
      <formula>0.5</formula>
    </cfRule>
  </conditionalFormatting>
  <conditionalFormatting sqref="AL13">
    <cfRule type="cellIs" dxfId="19926" priority="130659" stopIfTrue="1" operator="equal">
      <formula>-1</formula>
    </cfRule>
  </conditionalFormatting>
  <conditionalFormatting sqref="AL13">
    <cfRule type="cellIs" dxfId="19925" priority="130660" stopIfTrue="1" operator="lessThan">
      <formula>0.5</formula>
    </cfRule>
  </conditionalFormatting>
  <conditionalFormatting sqref="AL13">
    <cfRule type="cellIs" dxfId="19924" priority="130661" stopIfTrue="1" operator="greaterThanOrEqual">
      <formula>0.5</formula>
    </cfRule>
  </conditionalFormatting>
  <conditionalFormatting sqref="AL14">
    <cfRule type="cellIs" dxfId="19923" priority="130662" stopIfTrue="1" operator="equal">
      <formula>-1</formula>
    </cfRule>
  </conditionalFormatting>
  <conditionalFormatting sqref="AL14">
    <cfRule type="cellIs" dxfId="19922" priority="130663" stopIfTrue="1" operator="lessThan">
      <formula>0.5</formula>
    </cfRule>
  </conditionalFormatting>
  <conditionalFormatting sqref="AL14">
    <cfRule type="cellIs" dxfId="19921" priority="130664" stopIfTrue="1" operator="greaterThanOrEqual">
      <formula>0.5</formula>
    </cfRule>
  </conditionalFormatting>
  <conditionalFormatting sqref="AL15">
    <cfRule type="cellIs" dxfId="19920" priority="130665" stopIfTrue="1" operator="equal">
      <formula>-1</formula>
    </cfRule>
  </conditionalFormatting>
  <conditionalFormatting sqref="AL15">
    <cfRule type="cellIs" dxfId="19919" priority="130666" stopIfTrue="1" operator="lessThan">
      <formula>0.5</formula>
    </cfRule>
  </conditionalFormatting>
  <conditionalFormatting sqref="AL15">
    <cfRule type="cellIs" dxfId="19918" priority="130667" stopIfTrue="1" operator="greaterThanOrEqual">
      <formula>0.5</formula>
    </cfRule>
  </conditionalFormatting>
  <conditionalFormatting sqref="AN8">
    <cfRule type="cellIs" dxfId="19917" priority="130668" stopIfTrue="1" operator="equal">
      <formula>-1</formula>
    </cfRule>
  </conditionalFormatting>
  <conditionalFormatting sqref="AN8">
    <cfRule type="cellIs" dxfId="19916" priority="130669" stopIfTrue="1" operator="lessThan">
      <formula>0.5</formula>
    </cfRule>
  </conditionalFormatting>
  <conditionalFormatting sqref="AN8">
    <cfRule type="cellIs" dxfId="19915" priority="130670" stopIfTrue="1" operator="greaterThanOrEqual">
      <formula>0.5</formula>
    </cfRule>
  </conditionalFormatting>
  <conditionalFormatting sqref="AN9">
    <cfRule type="cellIs" dxfId="19914" priority="130671" stopIfTrue="1" operator="equal">
      <formula>-1</formula>
    </cfRule>
  </conditionalFormatting>
  <conditionalFormatting sqref="AN9">
    <cfRule type="cellIs" dxfId="19913" priority="130672" stopIfTrue="1" operator="lessThan">
      <formula>0.5</formula>
    </cfRule>
  </conditionalFormatting>
  <conditionalFormatting sqref="AN9">
    <cfRule type="cellIs" dxfId="19912" priority="130673" stopIfTrue="1" operator="greaterThanOrEqual">
      <formula>0.5</formula>
    </cfRule>
  </conditionalFormatting>
  <conditionalFormatting sqref="AN10">
    <cfRule type="cellIs" dxfId="19911" priority="130674" stopIfTrue="1" operator="equal">
      <formula>-1</formula>
    </cfRule>
  </conditionalFormatting>
  <conditionalFormatting sqref="AN10">
    <cfRule type="cellIs" dxfId="19910" priority="130675" stopIfTrue="1" operator="lessThan">
      <formula>0.5</formula>
    </cfRule>
  </conditionalFormatting>
  <conditionalFormatting sqref="AN10">
    <cfRule type="cellIs" dxfId="19909" priority="130676" stopIfTrue="1" operator="greaterThanOrEqual">
      <formula>0.5</formula>
    </cfRule>
  </conditionalFormatting>
  <conditionalFormatting sqref="AN11">
    <cfRule type="cellIs" dxfId="19908" priority="130677" stopIfTrue="1" operator="equal">
      <formula>-1</formula>
    </cfRule>
  </conditionalFormatting>
  <conditionalFormatting sqref="AN11">
    <cfRule type="cellIs" dxfId="19907" priority="130678" stopIfTrue="1" operator="lessThan">
      <formula>0.5</formula>
    </cfRule>
  </conditionalFormatting>
  <conditionalFormatting sqref="AN11">
    <cfRule type="cellIs" dxfId="19906" priority="130679" stopIfTrue="1" operator="greaterThanOrEqual">
      <formula>0.5</formula>
    </cfRule>
  </conditionalFormatting>
  <conditionalFormatting sqref="AN12">
    <cfRule type="cellIs" dxfId="19905" priority="130680" stopIfTrue="1" operator="equal">
      <formula>-1</formula>
    </cfRule>
  </conditionalFormatting>
  <conditionalFormatting sqref="AN12">
    <cfRule type="cellIs" dxfId="19904" priority="130681" stopIfTrue="1" operator="lessThan">
      <formula>0.5</formula>
    </cfRule>
  </conditionalFormatting>
  <conditionalFormatting sqref="AN12">
    <cfRule type="cellIs" dxfId="19903" priority="130682" stopIfTrue="1" operator="greaterThanOrEqual">
      <formula>0.5</formula>
    </cfRule>
  </conditionalFormatting>
  <conditionalFormatting sqref="AN13">
    <cfRule type="cellIs" dxfId="19902" priority="130683" stopIfTrue="1" operator="equal">
      <formula>-1</formula>
    </cfRule>
  </conditionalFormatting>
  <conditionalFormatting sqref="AN13">
    <cfRule type="cellIs" dxfId="19901" priority="130684" stopIfTrue="1" operator="lessThan">
      <formula>0.5</formula>
    </cfRule>
  </conditionalFormatting>
  <conditionalFormatting sqref="AN13">
    <cfRule type="cellIs" dxfId="19900" priority="130685" stopIfTrue="1" operator="greaterThanOrEqual">
      <formula>0.5</formula>
    </cfRule>
  </conditionalFormatting>
  <conditionalFormatting sqref="AN14">
    <cfRule type="cellIs" dxfId="19899" priority="130686" stopIfTrue="1" operator="equal">
      <formula>-1</formula>
    </cfRule>
  </conditionalFormatting>
  <conditionalFormatting sqref="AN14">
    <cfRule type="cellIs" dxfId="19898" priority="130687" stopIfTrue="1" operator="lessThan">
      <formula>0.5</formula>
    </cfRule>
  </conditionalFormatting>
  <conditionalFormatting sqref="AN14">
    <cfRule type="cellIs" dxfId="19897" priority="130688" stopIfTrue="1" operator="greaterThanOrEqual">
      <formula>0.5</formula>
    </cfRule>
  </conditionalFormatting>
  <conditionalFormatting sqref="AN15">
    <cfRule type="cellIs" dxfId="19896" priority="130689" stopIfTrue="1" operator="equal">
      <formula>-1</formula>
    </cfRule>
  </conditionalFormatting>
  <conditionalFormatting sqref="AN15">
    <cfRule type="cellIs" dxfId="19895" priority="130690" stopIfTrue="1" operator="lessThan">
      <formula>0.5</formula>
    </cfRule>
  </conditionalFormatting>
  <conditionalFormatting sqref="AN15">
    <cfRule type="cellIs" dxfId="19894" priority="130691" stopIfTrue="1" operator="greaterThanOrEqual">
      <formula>0.5</formula>
    </cfRule>
  </conditionalFormatting>
  <conditionalFormatting sqref="AP8">
    <cfRule type="cellIs" dxfId="19893" priority="130692" stopIfTrue="1" operator="equal">
      <formula>-1</formula>
    </cfRule>
  </conditionalFormatting>
  <conditionalFormatting sqref="AP8">
    <cfRule type="cellIs" dxfId="19892" priority="130693" stopIfTrue="1" operator="lessThan">
      <formula>0.5</formula>
    </cfRule>
  </conditionalFormatting>
  <conditionalFormatting sqref="AP8">
    <cfRule type="cellIs" dxfId="19891" priority="130694" stopIfTrue="1" operator="greaterThanOrEqual">
      <formula>0.5</formula>
    </cfRule>
  </conditionalFormatting>
  <conditionalFormatting sqref="AP9">
    <cfRule type="cellIs" dxfId="19890" priority="130695" stopIfTrue="1" operator="equal">
      <formula>-1</formula>
    </cfRule>
  </conditionalFormatting>
  <conditionalFormatting sqref="AP9">
    <cfRule type="cellIs" dxfId="19889" priority="130696" stopIfTrue="1" operator="lessThan">
      <formula>0.5</formula>
    </cfRule>
  </conditionalFormatting>
  <conditionalFormatting sqref="AP9">
    <cfRule type="cellIs" dxfId="19888" priority="130697" stopIfTrue="1" operator="greaterThanOrEqual">
      <formula>0.5</formula>
    </cfRule>
  </conditionalFormatting>
  <conditionalFormatting sqref="AP10">
    <cfRule type="cellIs" dxfId="19887" priority="130698" stopIfTrue="1" operator="equal">
      <formula>-1</formula>
    </cfRule>
  </conditionalFormatting>
  <conditionalFormatting sqref="AP10">
    <cfRule type="cellIs" dxfId="19886" priority="130699" stopIfTrue="1" operator="lessThan">
      <formula>0.5</formula>
    </cfRule>
  </conditionalFormatting>
  <conditionalFormatting sqref="AP10">
    <cfRule type="cellIs" dxfId="19885" priority="130700" stopIfTrue="1" operator="greaterThanOrEqual">
      <formula>0.5</formula>
    </cfRule>
  </conditionalFormatting>
  <conditionalFormatting sqref="AP11">
    <cfRule type="cellIs" dxfId="19884" priority="130701" stopIfTrue="1" operator="equal">
      <formula>-1</formula>
    </cfRule>
  </conditionalFormatting>
  <conditionalFormatting sqref="AP11">
    <cfRule type="cellIs" dxfId="19883" priority="130702" stopIfTrue="1" operator="lessThan">
      <formula>0.5</formula>
    </cfRule>
  </conditionalFormatting>
  <conditionalFormatting sqref="AP11">
    <cfRule type="cellIs" dxfId="19882" priority="130703" stopIfTrue="1" operator="greaterThanOrEqual">
      <formula>0.5</formula>
    </cfRule>
  </conditionalFormatting>
  <conditionalFormatting sqref="AP12">
    <cfRule type="cellIs" dxfId="19881" priority="130704" stopIfTrue="1" operator="equal">
      <formula>-1</formula>
    </cfRule>
  </conditionalFormatting>
  <conditionalFormatting sqref="AP12">
    <cfRule type="cellIs" dxfId="19880" priority="130705" stopIfTrue="1" operator="lessThan">
      <formula>0.5</formula>
    </cfRule>
  </conditionalFormatting>
  <conditionalFormatting sqref="AP12">
    <cfRule type="cellIs" dxfId="19879" priority="130706" stopIfTrue="1" operator="greaterThanOrEqual">
      <formula>0.5</formula>
    </cfRule>
  </conditionalFormatting>
  <conditionalFormatting sqref="AP13">
    <cfRule type="cellIs" dxfId="19878" priority="130707" stopIfTrue="1" operator="equal">
      <formula>-1</formula>
    </cfRule>
  </conditionalFormatting>
  <conditionalFormatting sqref="AP13">
    <cfRule type="cellIs" dxfId="19877" priority="130708" stopIfTrue="1" operator="lessThan">
      <formula>0.5</formula>
    </cfRule>
  </conditionalFormatting>
  <conditionalFormatting sqref="AP13">
    <cfRule type="cellIs" dxfId="19876" priority="130709" stopIfTrue="1" operator="greaterThanOrEqual">
      <formula>0.5</formula>
    </cfRule>
  </conditionalFormatting>
  <conditionalFormatting sqref="AP14">
    <cfRule type="cellIs" dxfId="19875" priority="130710" stopIfTrue="1" operator="equal">
      <formula>-1</formula>
    </cfRule>
  </conditionalFormatting>
  <conditionalFormatting sqref="AP14">
    <cfRule type="cellIs" dxfId="19874" priority="130711" stopIfTrue="1" operator="lessThan">
      <formula>0.5</formula>
    </cfRule>
  </conditionalFormatting>
  <conditionalFormatting sqref="AP14">
    <cfRule type="cellIs" dxfId="19873" priority="130712" stopIfTrue="1" operator="greaterThanOrEqual">
      <formula>0.5</formula>
    </cfRule>
  </conditionalFormatting>
  <conditionalFormatting sqref="AP15">
    <cfRule type="cellIs" dxfId="19872" priority="130713" stopIfTrue="1" operator="equal">
      <formula>-1</formula>
    </cfRule>
  </conditionalFormatting>
  <conditionalFormatting sqref="AP15">
    <cfRule type="cellIs" dxfId="19871" priority="130714" stopIfTrue="1" operator="lessThan">
      <formula>0.5</formula>
    </cfRule>
  </conditionalFormatting>
  <conditionalFormatting sqref="AP15">
    <cfRule type="cellIs" dxfId="19870" priority="130715" stopIfTrue="1" operator="greaterThanOrEqual">
      <formula>0.5</formula>
    </cfRule>
  </conditionalFormatting>
  <conditionalFormatting sqref="AR8">
    <cfRule type="cellIs" dxfId="19869" priority="130716" stopIfTrue="1" operator="equal">
      <formula>-1</formula>
    </cfRule>
  </conditionalFormatting>
  <conditionalFormatting sqref="AR8">
    <cfRule type="cellIs" dxfId="19868" priority="130717" stopIfTrue="1" operator="lessThan">
      <formula>0.5</formula>
    </cfRule>
  </conditionalFormatting>
  <conditionalFormatting sqref="AR8">
    <cfRule type="cellIs" dxfId="19867" priority="130718" stopIfTrue="1" operator="greaterThanOrEqual">
      <formula>0.5</formula>
    </cfRule>
  </conditionalFormatting>
  <conditionalFormatting sqref="AR9">
    <cfRule type="cellIs" dxfId="19866" priority="130719" stopIfTrue="1" operator="equal">
      <formula>-1</formula>
    </cfRule>
  </conditionalFormatting>
  <conditionalFormatting sqref="AR9">
    <cfRule type="cellIs" dxfId="19865" priority="130720" stopIfTrue="1" operator="lessThan">
      <formula>0.5</formula>
    </cfRule>
  </conditionalFormatting>
  <conditionalFormatting sqref="AR9">
    <cfRule type="cellIs" dxfId="19864" priority="130721" stopIfTrue="1" operator="greaterThanOrEqual">
      <formula>0.5</formula>
    </cfRule>
  </conditionalFormatting>
  <conditionalFormatting sqref="AR10">
    <cfRule type="cellIs" dxfId="19863" priority="130722" stopIfTrue="1" operator="equal">
      <formula>-1</formula>
    </cfRule>
  </conditionalFormatting>
  <conditionalFormatting sqref="AR10">
    <cfRule type="cellIs" dxfId="19862" priority="130723" stopIfTrue="1" operator="lessThan">
      <formula>0.5</formula>
    </cfRule>
  </conditionalFormatting>
  <conditionalFormatting sqref="AR10">
    <cfRule type="cellIs" dxfId="19861" priority="130724" stopIfTrue="1" operator="greaterThanOrEqual">
      <formula>0.5</formula>
    </cfRule>
  </conditionalFormatting>
  <conditionalFormatting sqref="AR11">
    <cfRule type="cellIs" dxfId="19860" priority="130725" stopIfTrue="1" operator="equal">
      <formula>-1</formula>
    </cfRule>
  </conditionalFormatting>
  <conditionalFormatting sqref="AR11">
    <cfRule type="cellIs" dxfId="19859" priority="130726" stopIfTrue="1" operator="lessThan">
      <formula>0.5</formula>
    </cfRule>
  </conditionalFormatting>
  <conditionalFormatting sqref="AR11">
    <cfRule type="cellIs" dxfId="19858" priority="130727" stopIfTrue="1" operator="greaterThanOrEqual">
      <formula>0.5</formula>
    </cfRule>
  </conditionalFormatting>
  <conditionalFormatting sqref="AR12">
    <cfRule type="cellIs" dxfId="19857" priority="130728" stopIfTrue="1" operator="equal">
      <formula>-1</formula>
    </cfRule>
  </conditionalFormatting>
  <conditionalFormatting sqref="AR12">
    <cfRule type="cellIs" dxfId="19856" priority="130729" stopIfTrue="1" operator="lessThan">
      <formula>0.5</formula>
    </cfRule>
  </conditionalFormatting>
  <conditionalFormatting sqref="AR12">
    <cfRule type="cellIs" dxfId="19855" priority="130730" stopIfTrue="1" operator="greaterThanOrEqual">
      <formula>0.5</formula>
    </cfRule>
  </conditionalFormatting>
  <conditionalFormatting sqref="AR13">
    <cfRule type="cellIs" dxfId="19854" priority="130731" stopIfTrue="1" operator="equal">
      <formula>-1</formula>
    </cfRule>
  </conditionalFormatting>
  <conditionalFormatting sqref="AR13">
    <cfRule type="cellIs" dxfId="19853" priority="130732" stopIfTrue="1" operator="lessThan">
      <formula>0.5</formula>
    </cfRule>
  </conditionalFormatting>
  <conditionalFormatting sqref="AR13">
    <cfRule type="cellIs" dxfId="19852" priority="130733" stopIfTrue="1" operator="greaterThanOrEqual">
      <formula>0.5</formula>
    </cfRule>
  </conditionalFormatting>
  <conditionalFormatting sqref="AR14">
    <cfRule type="cellIs" dxfId="19851" priority="130734" stopIfTrue="1" operator="equal">
      <formula>-1</formula>
    </cfRule>
  </conditionalFormatting>
  <conditionalFormatting sqref="AR14">
    <cfRule type="cellIs" dxfId="19850" priority="130735" stopIfTrue="1" operator="lessThan">
      <formula>0.5</formula>
    </cfRule>
  </conditionalFormatting>
  <conditionalFormatting sqref="AR14">
    <cfRule type="cellIs" dxfId="19849" priority="130736" stopIfTrue="1" operator="greaterThanOrEqual">
      <formula>0.5</formula>
    </cfRule>
  </conditionalFormatting>
  <conditionalFormatting sqref="AR15">
    <cfRule type="cellIs" dxfId="19848" priority="130737" stopIfTrue="1" operator="equal">
      <formula>-1</formula>
    </cfRule>
  </conditionalFormatting>
  <conditionalFormatting sqref="AR15">
    <cfRule type="cellIs" dxfId="19847" priority="130738" stopIfTrue="1" operator="lessThan">
      <formula>0.5</formula>
    </cfRule>
  </conditionalFormatting>
  <conditionalFormatting sqref="AR15">
    <cfRule type="cellIs" dxfId="19846" priority="130739" stopIfTrue="1" operator="greaterThanOrEqual">
      <formula>0.5</formula>
    </cfRule>
  </conditionalFormatting>
  <conditionalFormatting sqref="AT8">
    <cfRule type="cellIs" dxfId="19845" priority="130740" stopIfTrue="1" operator="equal">
      <formula>-1</formula>
    </cfRule>
  </conditionalFormatting>
  <conditionalFormatting sqref="AT8">
    <cfRule type="cellIs" dxfId="19844" priority="130741" stopIfTrue="1" operator="lessThan">
      <formula>0.5</formula>
    </cfRule>
  </conditionalFormatting>
  <conditionalFormatting sqref="AT8">
    <cfRule type="cellIs" dxfId="19843" priority="130742" stopIfTrue="1" operator="greaterThanOrEqual">
      <formula>0.5</formula>
    </cfRule>
  </conditionalFormatting>
  <conditionalFormatting sqref="AT9">
    <cfRule type="cellIs" dxfId="19842" priority="130743" stopIfTrue="1" operator="equal">
      <formula>-1</formula>
    </cfRule>
  </conditionalFormatting>
  <conditionalFormatting sqref="AT9">
    <cfRule type="cellIs" dxfId="19841" priority="130744" stopIfTrue="1" operator="lessThan">
      <formula>0.5</formula>
    </cfRule>
  </conditionalFormatting>
  <conditionalFormatting sqref="AT9">
    <cfRule type="cellIs" dxfId="19840" priority="130745" stopIfTrue="1" operator="greaterThanOrEqual">
      <formula>0.5</formula>
    </cfRule>
  </conditionalFormatting>
  <conditionalFormatting sqref="AT10">
    <cfRule type="cellIs" dxfId="19839" priority="130746" stopIfTrue="1" operator="equal">
      <formula>-1</formula>
    </cfRule>
  </conditionalFormatting>
  <conditionalFormatting sqref="AT10">
    <cfRule type="cellIs" dxfId="19838" priority="130747" stopIfTrue="1" operator="lessThan">
      <formula>0.5</formula>
    </cfRule>
  </conditionalFormatting>
  <conditionalFormatting sqref="AT10">
    <cfRule type="cellIs" dxfId="19837" priority="130748" stopIfTrue="1" operator="greaterThanOrEqual">
      <formula>0.5</formula>
    </cfRule>
  </conditionalFormatting>
  <conditionalFormatting sqref="AT11">
    <cfRule type="cellIs" dxfId="19836" priority="130749" stopIfTrue="1" operator="equal">
      <formula>-1</formula>
    </cfRule>
  </conditionalFormatting>
  <conditionalFormatting sqref="AT11">
    <cfRule type="cellIs" dxfId="19835" priority="130750" stopIfTrue="1" operator="lessThan">
      <formula>0.5</formula>
    </cfRule>
  </conditionalFormatting>
  <conditionalFormatting sqref="AT11">
    <cfRule type="cellIs" dxfId="19834" priority="130751" stopIfTrue="1" operator="greaterThanOrEqual">
      <formula>0.5</formula>
    </cfRule>
  </conditionalFormatting>
  <conditionalFormatting sqref="AT12">
    <cfRule type="cellIs" dxfId="19833" priority="130752" stopIfTrue="1" operator="equal">
      <formula>-1</formula>
    </cfRule>
  </conditionalFormatting>
  <conditionalFormatting sqref="AT12">
    <cfRule type="cellIs" dxfId="19832" priority="130753" stopIfTrue="1" operator="lessThan">
      <formula>0.5</formula>
    </cfRule>
  </conditionalFormatting>
  <conditionalFormatting sqref="AT12">
    <cfRule type="cellIs" dxfId="19831" priority="130754" stopIfTrue="1" operator="greaterThanOrEqual">
      <formula>0.5</formula>
    </cfRule>
  </conditionalFormatting>
  <conditionalFormatting sqref="AT13">
    <cfRule type="cellIs" dxfId="19830" priority="130755" stopIfTrue="1" operator="equal">
      <formula>-1</formula>
    </cfRule>
  </conditionalFormatting>
  <conditionalFormatting sqref="AT13">
    <cfRule type="cellIs" dxfId="19829" priority="130756" stopIfTrue="1" operator="lessThan">
      <formula>0.5</formula>
    </cfRule>
  </conditionalFormatting>
  <conditionalFormatting sqref="AT13">
    <cfRule type="cellIs" dxfId="19828" priority="130757" stopIfTrue="1" operator="greaterThanOrEqual">
      <formula>0.5</formula>
    </cfRule>
  </conditionalFormatting>
  <conditionalFormatting sqref="AT14">
    <cfRule type="cellIs" dxfId="19827" priority="130758" stopIfTrue="1" operator="equal">
      <formula>-1</formula>
    </cfRule>
  </conditionalFormatting>
  <conditionalFormatting sqref="AT14">
    <cfRule type="cellIs" dxfId="19826" priority="130759" stopIfTrue="1" operator="lessThan">
      <formula>0.5</formula>
    </cfRule>
  </conditionalFormatting>
  <conditionalFormatting sqref="AT14">
    <cfRule type="cellIs" dxfId="19825" priority="130760" stopIfTrue="1" operator="greaterThanOrEqual">
      <formula>0.5</formula>
    </cfRule>
  </conditionalFormatting>
  <conditionalFormatting sqref="AT15">
    <cfRule type="cellIs" dxfId="19824" priority="130761" stopIfTrue="1" operator="equal">
      <formula>-1</formula>
    </cfRule>
  </conditionalFormatting>
  <conditionalFormatting sqref="AT15">
    <cfRule type="cellIs" dxfId="19823" priority="130762" stopIfTrue="1" operator="lessThan">
      <formula>0.5</formula>
    </cfRule>
  </conditionalFormatting>
  <conditionalFormatting sqref="AT15">
    <cfRule type="cellIs" dxfId="19822" priority="130763" stopIfTrue="1" operator="greaterThanOrEqual">
      <formula>0.5</formula>
    </cfRule>
  </conditionalFormatting>
  <conditionalFormatting sqref="AV8">
    <cfRule type="cellIs" dxfId="19821" priority="130764" stopIfTrue="1" operator="equal">
      <formula>-1</formula>
    </cfRule>
  </conditionalFormatting>
  <conditionalFormatting sqref="AV8">
    <cfRule type="cellIs" dxfId="19820" priority="130765" stopIfTrue="1" operator="lessThan">
      <formula>0.5</formula>
    </cfRule>
  </conditionalFormatting>
  <conditionalFormatting sqref="AV8">
    <cfRule type="cellIs" dxfId="19819" priority="130766" stopIfTrue="1" operator="greaterThanOrEqual">
      <formula>0.5</formula>
    </cfRule>
  </conditionalFormatting>
  <conditionalFormatting sqref="AV9">
    <cfRule type="cellIs" dxfId="19818" priority="130767" stopIfTrue="1" operator="equal">
      <formula>-1</formula>
    </cfRule>
  </conditionalFormatting>
  <conditionalFormatting sqref="AV9">
    <cfRule type="cellIs" dxfId="19817" priority="130768" stopIfTrue="1" operator="lessThan">
      <formula>0.5</formula>
    </cfRule>
  </conditionalFormatting>
  <conditionalFormatting sqref="AV9">
    <cfRule type="cellIs" dxfId="19816" priority="130769" stopIfTrue="1" operator="greaterThanOrEqual">
      <formula>0.5</formula>
    </cfRule>
  </conditionalFormatting>
  <conditionalFormatting sqref="AV10">
    <cfRule type="cellIs" dxfId="19815" priority="130770" stopIfTrue="1" operator="equal">
      <formula>-1</formula>
    </cfRule>
  </conditionalFormatting>
  <conditionalFormatting sqref="AV10">
    <cfRule type="cellIs" dxfId="19814" priority="130771" stopIfTrue="1" operator="lessThan">
      <formula>0.5</formula>
    </cfRule>
  </conditionalFormatting>
  <conditionalFormatting sqref="AV10">
    <cfRule type="cellIs" dxfId="19813" priority="130772" stopIfTrue="1" operator="greaterThanOrEqual">
      <formula>0.5</formula>
    </cfRule>
  </conditionalFormatting>
  <conditionalFormatting sqref="AV11">
    <cfRule type="cellIs" dxfId="19812" priority="130773" stopIfTrue="1" operator="equal">
      <formula>-1</formula>
    </cfRule>
  </conditionalFormatting>
  <conditionalFormatting sqref="AV11">
    <cfRule type="cellIs" dxfId="19811" priority="130774" stopIfTrue="1" operator="lessThan">
      <formula>0.5</formula>
    </cfRule>
  </conditionalFormatting>
  <conditionalFormatting sqref="AV11">
    <cfRule type="cellIs" dxfId="19810" priority="130775" stopIfTrue="1" operator="greaterThanOrEqual">
      <formula>0.5</formula>
    </cfRule>
  </conditionalFormatting>
  <conditionalFormatting sqref="AV12">
    <cfRule type="cellIs" dxfId="19809" priority="130776" stopIfTrue="1" operator="equal">
      <formula>-1</formula>
    </cfRule>
  </conditionalFormatting>
  <conditionalFormatting sqref="AV12">
    <cfRule type="cellIs" dxfId="19808" priority="130777" stopIfTrue="1" operator="lessThan">
      <formula>0.5</formula>
    </cfRule>
  </conditionalFormatting>
  <conditionalFormatting sqref="AV12">
    <cfRule type="cellIs" dxfId="19807" priority="130778" stopIfTrue="1" operator="greaterThanOrEqual">
      <formula>0.5</formula>
    </cfRule>
  </conditionalFormatting>
  <conditionalFormatting sqref="AV13">
    <cfRule type="cellIs" dxfId="19806" priority="130779" stopIfTrue="1" operator="equal">
      <formula>-1</formula>
    </cfRule>
  </conditionalFormatting>
  <conditionalFormatting sqref="AV13">
    <cfRule type="cellIs" dxfId="19805" priority="130780" stopIfTrue="1" operator="lessThan">
      <formula>0.5</formula>
    </cfRule>
  </conditionalFormatting>
  <conditionalFormatting sqref="AV13">
    <cfRule type="cellIs" dxfId="19804" priority="130781" stopIfTrue="1" operator="greaterThanOrEqual">
      <formula>0.5</formula>
    </cfRule>
  </conditionalFormatting>
  <conditionalFormatting sqref="AV14">
    <cfRule type="cellIs" dxfId="19803" priority="130782" stopIfTrue="1" operator="equal">
      <formula>-1</formula>
    </cfRule>
  </conditionalFormatting>
  <conditionalFormatting sqref="AV14">
    <cfRule type="cellIs" dxfId="19802" priority="130783" stopIfTrue="1" operator="lessThan">
      <formula>0.5</formula>
    </cfRule>
  </conditionalFormatting>
  <conditionalFormatting sqref="AV14">
    <cfRule type="cellIs" dxfId="19801" priority="130784" stopIfTrue="1" operator="greaterThanOrEqual">
      <formula>0.5</formula>
    </cfRule>
  </conditionalFormatting>
  <conditionalFormatting sqref="AV15">
    <cfRule type="cellIs" dxfId="19800" priority="130785" stopIfTrue="1" operator="equal">
      <formula>-1</formula>
    </cfRule>
  </conditionalFormatting>
  <conditionalFormatting sqref="AV15">
    <cfRule type="cellIs" dxfId="19799" priority="130786" stopIfTrue="1" operator="lessThan">
      <formula>0.5</formula>
    </cfRule>
  </conditionalFormatting>
  <conditionalFormatting sqref="AV15">
    <cfRule type="cellIs" dxfId="19798" priority="130787" stopIfTrue="1" operator="greaterThanOrEqual">
      <formula>0.5</formula>
    </cfRule>
  </conditionalFormatting>
  <conditionalFormatting sqref="AX8">
    <cfRule type="cellIs" dxfId="19797" priority="130788" stopIfTrue="1" operator="equal">
      <formula>-1</formula>
    </cfRule>
  </conditionalFormatting>
  <conditionalFormatting sqref="AX8">
    <cfRule type="cellIs" dxfId="19796" priority="130789" stopIfTrue="1" operator="lessThan">
      <formula>0.5</formula>
    </cfRule>
  </conditionalFormatting>
  <conditionalFormatting sqref="AX8">
    <cfRule type="cellIs" dxfId="19795" priority="130790" stopIfTrue="1" operator="greaterThanOrEqual">
      <formula>0.5</formula>
    </cfRule>
  </conditionalFormatting>
  <conditionalFormatting sqref="AX9">
    <cfRule type="cellIs" dxfId="19794" priority="130791" stopIfTrue="1" operator="equal">
      <formula>-1</formula>
    </cfRule>
  </conditionalFormatting>
  <conditionalFormatting sqref="AX9">
    <cfRule type="cellIs" dxfId="19793" priority="130792" stopIfTrue="1" operator="lessThan">
      <formula>0.5</formula>
    </cfRule>
  </conditionalFormatting>
  <conditionalFormatting sqref="AX9">
    <cfRule type="cellIs" dxfId="19792" priority="130793" stopIfTrue="1" operator="greaterThanOrEqual">
      <formula>0.5</formula>
    </cfRule>
  </conditionalFormatting>
  <conditionalFormatting sqref="AX10">
    <cfRule type="cellIs" dxfId="19791" priority="130794" stopIfTrue="1" operator="equal">
      <formula>-1</formula>
    </cfRule>
  </conditionalFormatting>
  <conditionalFormatting sqref="AX10">
    <cfRule type="cellIs" dxfId="19790" priority="130795" stopIfTrue="1" operator="lessThan">
      <formula>0.5</formula>
    </cfRule>
  </conditionalFormatting>
  <conditionalFormatting sqref="AX10">
    <cfRule type="cellIs" dxfId="19789" priority="130796" stopIfTrue="1" operator="greaterThanOrEqual">
      <formula>0.5</formula>
    </cfRule>
  </conditionalFormatting>
  <conditionalFormatting sqref="AX11">
    <cfRule type="cellIs" dxfId="19788" priority="130797" stopIfTrue="1" operator="equal">
      <formula>-1</formula>
    </cfRule>
  </conditionalFormatting>
  <conditionalFormatting sqref="AX11">
    <cfRule type="cellIs" dxfId="19787" priority="130798" stopIfTrue="1" operator="lessThan">
      <formula>0.5</formula>
    </cfRule>
  </conditionalFormatting>
  <conditionalFormatting sqref="AX11">
    <cfRule type="cellIs" dxfId="19786" priority="130799" stopIfTrue="1" operator="greaterThanOrEqual">
      <formula>0.5</formula>
    </cfRule>
  </conditionalFormatting>
  <conditionalFormatting sqref="AX12">
    <cfRule type="cellIs" dxfId="19785" priority="130800" stopIfTrue="1" operator="equal">
      <formula>-1</formula>
    </cfRule>
  </conditionalFormatting>
  <conditionalFormatting sqref="AX12">
    <cfRule type="cellIs" dxfId="19784" priority="130801" stopIfTrue="1" operator="lessThan">
      <formula>0.5</formula>
    </cfRule>
  </conditionalFormatting>
  <conditionalFormatting sqref="AX12">
    <cfRule type="cellIs" dxfId="19783" priority="130802" stopIfTrue="1" operator="greaterThanOrEqual">
      <formula>0.5</formula>
    </cfRule>
  </conditionalFormatting>
  <conditionalFormatting sqref="AX13">
    <cfRule type="cellIs" dxfId="19782" priority="130803" stopIfTrue="1" operator="equal">
      <formula>-1</formula>
    </cfRule>
  </conditionalFormatting>
  <conditionalFormatting sqref="AX13">
    <cfRule type="cellIs" dxfId="19781" priority="130804" stopIfTrue="1" operator="lessThan">
      <formula>0.5</formula>
    </cfRule>
  </conditionalFormatting>
  <conditionalFormatting sqref="AX13">
    <cfRule type="cellIs" dxfId="19780" priority="130805" stopIfTrue="1" operator="greaterThanOrEqual">
      <formula>0.5</formula>
    </cfRule>
  </conditionalFormatting>
  <conditionalFormatting sqref="AX14">
    <cfRule type="cellIs" dxfId="19779" priority="130806" stopIfTrue="1" operator="equal">
      <formula>-1</formula>
    </cfRule>
  </conditionalFormatting>
  <conditionalFormatting sqref="AX14">
    <cfRule type="cellIs" dxfId="19778" priority="130807" stopIfTrue="1" operator="lessThan">
      <formula>0.5</formula>
    </cfRule>
  </conditionalFormatting>
  <conditionalFormatting sqref="AX14">
    <cfRule type="cellIs" dxfId="19777" priority="130808" stopIfTrue="1" operator="greaterThanOrEqual">
      <formula>0.5</formula>
    </cfRule>
  </conditionalFormatting>
  <conditionalFormatting sqref="AX15">
    <cfRule type="cellIs" dxfId="19776" priority="130809" stopIfTrue="1" operator="equal">
      <formula>-1</formula>
    </cfRule>
  </conditionalFormatting>
  <conditionalFormatting sqref="AX15">
    <cfRule type="cellIs" dxfId="19775" priority="130810" stopIfTrue="1" operator="lessThan">
      <formula>0.5</formula>
    </cfRule>
  </conditionalFormatting>
  <conditionalFormatting sqref="AX15">
    <cfRule type="cellIs" dxfId="19774" priority="130811" stopIfTrue="1" operator="greaterThanOrEqual">
      <formula>0.5</formula>
    </cfRule>
  </conditionalFormatting>
  <conditionalFormatting sqref="AZ8">
    <cfRule type="cellIs" dxfId="19773" priority="130812" stopIfTrue="1" operator="equal">
      <formula>-1</formula>
    </cfRule>
  </conditionalFormatting>
  <conditionalFormatting sqref="AZ8">
    <cfRule type="cellIs" dxfId="19772" priority="130813" stopIfTrue="1" operator="lessThan">
      <formula>0.5</formula>
    </cfRule>
  </conditionalFormatting>
  <conditionalFormatting sqref="AZ8">
    <cfRule type="cellIs" dxfId="19771" priority="130814" stopIfTrue="1" operator="greaterThanOrEqual">
      <formula>0.5</formula>
    </cfRule>
  </conditionalFormatting>
  <conditionalFormatting sqref="AZ9">
    <cfRule type="cellIs" dxfId="19770" priority="130815" stopIfTrue="1" operator="equal">
      <formula>-1</formula>
    </cfRule>
  </conditionalFormatting>
  <conditionalFormatting sqref="AZ9">
    <cfRule type="cellIs" dxfId="19769" priority="130816" stopIfTrue="1" operator="lessThan">
      <formula>0.5</formula>
    </cfRule>
  </conditionalFormatting>
  <conditionalFormatting sqref="AZ9">
    <cfRule type="cellIs" dxfId="19768" priority="130817" stopIfTrue="1" operator="greaterThanOrEqual">
      <formula>0.5</formula>
    </cfRule>
  </conditionalFormatting>
  <conditionalFormatting sqref="AZ10">
    <cfRule type="cellIs" dxfId="19767" priority="130818" stopIfTrue="1" operator="equal">
      <formula>-1</formula>
    </cfRule>
  </conditionalFormatting>
  <conditionalFormatting sqref="AZ10">
    <cfRule type="cellIs" dxfId="19766" priority="130819" stopIfTrue="1" operator="lessThan">
      <formula>0.5</formula>
    </cfRule>
  </conditionalFormatting>
  <conditionalFormatting sqref="AZ10">
    <cfRule type="cellIs" dxfId="19765" priority="130820" stopIfTrue="1" operator="greaterThanOrEqual">
      <formula>0.5</formula>
    </cfRule>
  </conditionalFormatting>
  <conditionalFormatting sqref="AZ11">
    <cfRule type="cellIs" dxfId="19764" priority="130821" stopIfTrue="1" operator="equal">
      <formula>-1</formula>
    </cfRule>
  </conditionalFormatting>
  <conditionalFormatting sqref="AZ11">
    <cfRule type="cellIs" dxfId="19763" priority="130822" stopIfTrue="1" operator="lessThan">
      <formula>0.5</formula>
    </cfRule>
  </conditionalFormatting>
  <conditionalFormatting sqref="AZ11">
    <cfRule type="cellIs" dxfId="19762" priority="130823" stopIfTrue="1" operator="greaterThanOrEqual">
      <formula>0.5</formula>
    </cfRule>
  </conditionalFormatting>
  <conditionalFormatting sqref="AZ12">
    <cfRule type="cellIs" dxfId="19761" priority="130824" stopIfTrue="1" operator="equal">
      <formula>-1</formula>
    </cfRule>
  </conditionalFormatting>
  <conditionalFormatting sqref="AZ12">
    <cfRule type="cellIs" dxfId="19760" priority="130825" stopIfTrue="1" operator="lessThan">
      <formula>0.5</formula>
    </cfRule>
  </conditionalFormatting>
  <conditionalFormatting sqref="AZ12">
    <cfRule type="cellIs" dxfId="19759" priority="130826" stopIfTrue="1" operator="greaterThanOrEqual">
      <formula>0.5</formula>
    </cfRule>
  </conditionalFormatting>
  <conditionalFormatting sqref="AZ13">
    <cfRule type="cellIs" dxfId="19758" priority="130827" stopIfTrue="1" operator="equal">
      <formula>-1</formula>
    </cfRule>
  </conditionalFormatting>
  <conditionalFormatting sqref="AZ13">
    <cfRule type="cellIs" dxfId="19757" priority="130828" stopIfTrue="1" operator="lessThan">
      <formula>0.5</formula>
    </cfRule>
  </conditionalFormatting>
  <conditionalFormatting sqref="AZ13">
    <cfRule type="cellIs" dxfId="19756" priority="130829" stopIfTrue="1" operator="greaterThanOrEqual">
      <formula>0.5</formula>
    </cfRule>
  </conditionalFormatting>
  <conditionalFormatting sqref="AZ14">
    <cfRule type="cellIs" dxfId="19755" priority="130830" stopIfTrue="1" operator="equal">
      <formula>-1</formula>
    </cfRule>
  </conditionalFormatting>
  <conditionalFormatting sqref="AZ14">
    <cfRule type="cellIs" dxfId="19754" priority="130831" stopIfTrue="1" operator="lessThan">
      <formula>0.5</formula>
    </cfRule>
  </conditionalFormatting>
  <conditionalFormatting sqref="AZ14">
    <cfRule type="cellIs" dxfId="19753" priority="130832" stopIfTrue="1" operator="greaterThanOrEqual">
      <formula>0.5</formula>
    </cfRule>
  </conditionalFormatting>
  <conditionalFormatting sqref="AZ15">
    <cfRule type="cellIs" dxfId="19752" priority="130833" stopIfTrue="1" operator="equal">
      <formula>-1</formula>
    </cfRule>
  </conditionalFormatting>
  <conditionalFormatting sqref="AZ15">
    <cfRule type="cellIs" dxfId="19751" priority="130834" stopIfTrue="1" operator="lessThan">
      <formula>0.5</formula>
    </cfRule>
  </conditionalFormatting>
  <conditionalFormatting sqref="AZ15">
    <cfRule type="cellIs" dxfId="19750" priority="130835" stopIfTrue="1" operator="greaterThanOrEqual">
      <formula>0.5</formula>
    </cfRule>
  </conditionalFormatting>
  <conditionalFormatting sqref="BB8">
    <cfRule type="cellIs" dxfId="19749" priority="130836" stopIfTrue="1" operator="equal">
      <formula>-1</formula>
    </cfRule>
  </conditionalFormatting>
  <conditionalFormatting sqref="BB8">
    <cfRule type="cellIs" dxfId="19748" priority="130837" stopIfTrue="1" operator="lessThan">
      <formula>0.5</formula>
    </cfRule>
  </conditionalFormatting>
  <conditionalFormatting sqref="BB8">
    <cfRule type="cellIs" dxfId="19747" priority="130838" stopIfTrue="1" operator="greaterThanOrEqual">
      <formula>0.5</formula>
    </cfRule>
  </conditionalFormatting>
  <conditionalFormatting sqref="BB9">
    <cfRule type="cellIs" dxfId="19746" priority="130839" stopIfTrue="1" operator="equal">
      <formula>-1</formula>
    </cfRule>
  </conditionalFormatting>
  <conditionalFormatting sqref="BB9">
    <cfRule type="cellIs" dxfId="19745" priority="130840" stopIfTrue="1" operator="lessThan">
      <formula>0.5</formula>
    </cfRule>
  </conditionalFormatting>
  <conditionalFormatting sqref="BB9">
    <cfRule type="cellIs" dxfId="19744" priority="130841" stopIfTrue="1" operator="greaterThanOrEqual">
      <formula>0.5</formula>
    </cfRule>
  </conditionalFormatting>
  <conditionalFormatting sqref="BB10">
    <cfRule type="cellIs" dxfId="19743" priority="130842" stopIfTrue="1" operator="equal">
      <formula>-1</formula>
    </cfRule>
  </conditionalFormatting>
  <conditionalFormatting sqref="BB10">
    <cfRule type="cellIs" dxfId="19742" priority="130843" stopIfTrue="1" operator="lessThan">
      <formula>0.5</formula>
    </cfRule>
  </conditionalFormatting>
  <conditionalFormatting sqref="BB10">
    <cfRule type="cellIs" dxfId="19741" priority="130844" stopIfTrue="1" operator="greaterThanOrEqual">
      <formula>0.5</formula>
    </cfRule>
  </conditionalFormatting>
  <conditionalFormatting sqref="BB11">
    <cfRule type="cellIs" dxfId="19740" priority="130845" stopIfTrue="1" operator="equal">
      <formula>-1</formula>
    </cfRule>
  </conditionalFormatting>
  <conditionalFormatting sqref="BB11">
    <cfRule type="cellIs" dxfId="19739" priority="130846" stopIfTrue="1" operator="lessThan">
      <formula>0.5</formula>
    </cfRule>
  </conditionalFormatting>
  <conditionalFormatting sqref="BB11">
    <cfRule type="cellIs" dxfId="19738" priority="130847" stopIfTrue="1" operator="greaterThanOrEqual">
      <formula>0.5</formula>
    </cfRule>
  </conditionalFormatting>
  <conditionalFormatting sqref="BB12">
    <cfRule type="cellIs" dxfId="19737" priority="130848" stopIfTrue="1" operator="equal">
      <formula>-1</formula>
    </cfRule>
  </conditionalFormatting>
  <conditionalFormatting sqref="BB12">
    <cfRule type="cellIs" dxfId="19736" priority="130849" stopIfTrue="1" operator="lessThan">
      <formula>0.5</formula>
    </cfRule>
  </conditionalFormatting>
  <conditionalFormatting sqref="BB12">
    <cfRule type="cellIs" dxfId="19735" priority="130850" stopIfTrue="1" operator="greaterThanOrEqual">
      <formula>0.5</formula>
    </cfRule>
  </conditionalFormatting>
  <conditionalFormatting sqref="BB13">
    <cfRule type="cellIs" dxfId="19734" priority="130851" stopIfTrue="1" operator="equal">
      <formula>-1</formula>
    </cfRule>
  </conditionalFormatting>
  <conditionalFormatting sqref="BB13">
    <cfRule type="cellIs" dxfId="19733" priority="130852" stopIfTrue="1" operator="lessThan">
      <formula>0.5</formula>
    </cfRule>
  </conditionalFormatting>
  <conditionalFormatting sqref="BB13">
    <cfRule type="cellIs" dxfId="19732" priority="130853" stopIfTrue="1" operator="greaterThanOrEqual">
      <formula>0.5</formula>
    </cfRule>
  </conditionalFormatting>
  <conditionalFormatting sqref="BB14">
    <cfRule type="cellIs" dxfId="19731" priority="130854" stopIfTrue="1" operator="equal">
      <formula>-1</formula>
    </cfRule>
  </conditionalFormatting>
  <conditionalFormatting sqref="BB14">
    <cfRule type="cellIs" dxfId="19730" priority="130855" stopIfTrue="1" operator="lessThan">
      <formula>0.5</formula>
    </cfRule>
  </conditionalFormatting>
  <conditionalFormatting sqref="BB14">
    <cfRule type="cellIs" dxfId="19729" priority="130856" stopIfTrue="1" operator="greaterThanOrEqual">
      <formula>0.5</formula>
    </cfRule>
  </conditionalFormatting>
  <conditionalFormatting sqref="BB15">
    <cfRule type="cellIs" dxfId="19728" priority="130857" stopIfTrue="1" operator="equal">
      <formula>-1</formula>
    </cfRule>
  </conditionalFormatting>
  <conditionalFormatting sqref="BB15">
    <cfRule type="cellIs" dxfId="19727" priority="130858" stopIfTrue="1" operator="lessThan">
      <formula>0.5</formula>
    </cfRule>
  </conditionalFormatting>
  <conditionalFormatting sqref="BB15">
    <cfRule type="cellIs" dxfId="19726" priority="130859" stopIfTrue="1" operator="greaterThanOrEqual">
      <formula>0.5</formula>
    </cfRule>
  </conditionalFormatting>
  <conditionalFormatting sqref="BD8">
    <cfRule type="cellIs" dxfId="19725" priority="130860" stopIfTrue="1" operator="equal">
      <formula>-1</formula>
    </cfRule>
  </conditionalFormatting>
  <conditionalFormatting sqref="BD8">
    <cfRule type="cellIs" dxfId="19724" priority="130861" stopIfTrue="1" operator="lessThan">
      <formula>0.5</formula>
    </cfRule>
  </conditionalFormatting>
  <conditionalFormatting sqref="BD8">
    <cfRule type="cellIs" dxfId="19723" priority="130862" stopIfTrue="1" operator="greaterThanOrEqual">
      <formula>0.5</formula>
    </cfRule>
  </conditionalFormatting>
  <conditionalFormatting sqref="BD9">
    <cfRule type="cellIs" dxfId="19722" priority="130863" stopIfTrue="1" operator="equal">
      <formula>-1</formula>
    </cfRule>
  </conditionalFormatting>
  <conditionalFormatting sqref="BD9">
    <cfRule type="cellIs" dxfId="19721" priority="130864" stopIfTrue="1" operator="lessThan">
      <formula>0.5</formula>
    </cfRule>
  </conditionalFormatting>
  <conditionalFormatting sqref="BD9">
    <cfRule type="cellIs" dxfId="19720" priority="130865" stopIfTrue="1" operator="greaterThanOrEqual">
      <formula>0.5</formula>
    </cfRule>
  </conditionalFormatting>
  <conditionalFormatting sqref="BD10">
    <cfRule type="cellIs" dxfId="19719" priority="130866" stopIfTrue="1" operator="equal">
      <formula>-1</formula>
    </cfRule>
  </conditionalFormatting>
  <conditionalFormatting sqref="BD10">
    <cfRule type="cellIs" dxfId="19718" priority="130867" stopIfTrue="1" operator="lessThan">
      <formula>0.5</formula>
    </cfRule>
  </conditionalFormatting>
  <conditionalFormatting sqref="BD10">
    <cfRule type="cellIs" dxfId="19717" priority="130868" stopIfTrue="1" operator="greaterThanOrEqual">
      <formula>0.5</formula>
    </cfRule>
  </conditionalFormatting>
  <conditionalFormatting sqref="BD11">
    <cfRule type="cellIs" dxfId="19716" priority="130869" stopIfTrue="1" operator="equal">
      <formula>-1</formula>
    </cfRule>
  </conditionalFormatting>
  <conditionalFormatting sqref="BD11">
    <cfRule type="cellIs" dxfId="19715" priority="130870" stopIfTrue="1" operator="lessThan">
      <formula>0.5</formula>
    </cfRule>
  </conditionalFormatting>
  <conditionalFormatting sqref="BD11">
    <cfRule type="cellIs" dxfId="19714" priority="130871" stopIfTrue="1" operator="greaterThanOrEqual">
      <formula>0.5</formula>
    </cfRule>
  </conditionalFormatting>
  <conditionalFormatting sqref="BD12">
    <cfRule type="cellIs" dxfId="19713" priority="130872" stopIfTrue="1" operator="equal">
      <formula>-1</formula>
    </cfRule>
  </conditionalFormatting>
  <conditionalFormatting sqref="BD12">
    <cfRule type="cellIs" dxfId="19712" priority="130873" stopIfTrue="1" operator="lessThan">
      <formula>0.5</formula>
    </cfRule>
  </conditionalFormatting>
  <conditionalFormatting sqref="BD12">
    <cfRule type="cellIs" dxfId="19711" priority="130874" stopIfTrue="1" operator="greaterThanOrEqual">
      <formula>0.5</formula>
    </cfRule>
  </conditionalFormatting>
  <conditionalFormatting sqref="BD13">
    <cfRule type="cellIs" dxfId="19710" priority="130875" stopIfTrue="1" operator="equal">
      <formula>-1</formula>
    </cfRule>
  </conditionalFormatting>
  <conditionalFormatting sqref="BD13">
    <cfRule type="cellIs" dxfId="19709" priority="130876" stopIfTrue="1" operator="lessThan">
      <formula>0.5</formula>
    </cfRule>
  </conditionalFormatting>
  <conditionalFormatting sqref="BD13">
    <cfRule type="cellIs" dxfId="19708" priority="130877" stopIfTrue="1" operator="greaterThanOrEqual">
      <formula>0.5</formula>
    </cfRule>
  </conditionalFormatting>
  <conditionalFormatting sqref="BD14">
    <cfRule type="cellIs" dxfId="19707" priority="130878" stopIfTrue="1" operator="equal">
      <formula>-1</formula>
    </cfRule>
  </conditionalFormatting>
  <conditionalFormatting sqref="BD14">
    <cfRule type="cellIs" dxfId="19706" priority="130879" stopIfTrue="1" operator="lessThan">
      <formula>0.5</formula>
    </cfRule>
  </conditionalFormatting>
  <conditionalFormatting sqref="BD14">
    <cfRule type="cellIs" dxfId="19705" priority="130880" stopIfTrue="1" operator="greaterThanOrEqual">
      <formula>0.5</formula>
    </cfRule>
  </conditionalFormatting>
  <conditionalFormatting sqref="BD15">
    <cfRule type="cellIs" dxfId="19704" priority="130881" stopIfTrue="1" operator="equal">
      <formula>-1</formula>
    </cfRule>
  </conditionalFormatting>
  <conditionalFormatting sqref="BD15">
    <cfRule type="cellIs" dxfId="19703" priority="130882" stopIfTrue="1" operator="lessThan">
      <formula>0.5</formula>
    </cfRule>
  </conditionalFormatting>
  <conditionalFormatting sqref="BD15">
    <cfRule type="cellIs" dxfId="19702" priority="130883" stopIfTrue="1" operator="greaterThanOrEqual">
      <formula>0.5</formula>
    </cfRule>
  </conditionalFormatting>
  <conditionalFormatting sqref="BF8">
    <cfRule type="cellIs" dxfId="19701" priority="130884" stopIfTrue="1" operator="equal">
      <formula>-1</formula>
    </cfRule>
  </conditionalFormatting>
  <conditionalFormatting sqref="BF8">
    <cfRule type="cellIs" dxfId="19700" priority="130885" stopIfTrue="1" operator="lessThan">
      <formula>0.5</formula>
    </cfRule>
  </conditionalFormatting>
  <conditionalFormatting sqref="BF8">
    <cfRule type="cellIs" dxfId="19699" priority="130886" stopIfTrue="1" operator="greaterThanOrEqual">
      <formula>0.5</formula>
    </cfRule>
  </conditionalFormatting>
  <conditionalFormatting sqref="BF9">
    <cfRule type="cellIs" dxfId="19698" priority="130887" stopIfTrue="1" operator="equal">
      <formula>-1</formula>
    </cfRule>
  </conditionalFormatting>
  <conditionalFormatting sqref="BF9">
    <cfRule type="cellIs" dxfId="19697" priority="130888" stopIfTrue="1" operator="lessThan">
      <formula>0.5</formula>
    </cfRule>
  </conditionalFormatting>
  <conditionalFormatting sqref="BF9">
    <cfRule type="cellIs" dxfId="19696" priority="130889" stopIfTrue="1" operator="greaterThanOrEqual">
      <formula>0.5</formula>
    </cfRule>
  </conditionalFormatting>
  <conditionalFormatting sqref="BF10">
    <cfRule type="cellIs" dxfId="19695" priority="130890" stopIfTrue="1" operator="equal">
      <formula>-1</formula>
    </cfRule>
  </conditionalFormatting>
  <conditionalFormatting sqref="BF10">
    <cfRule type="cellIs" dxfId="19694" priority="130891" stopIfTrue="1" operator="lessThan">
      <formula>0.5</formula>
    </cfRule>
  </conditionalFormatting>
  <conditionalFormatting sqref="BF10">
    <cfRule type="cellIs" dxfId="19693" priority="130892" stopIfTrue="1" operator="greaterThanOrEqual">
      <formula>0.5</formula>
    </cfRule>
  </conditionalFormatting>
  <conditionalFormatting sqref="BF11">
    <cfRule type="cellIs" dxfId="19692" priority="130893" stopIfTrue="1" operator="equal">
      <formula>-1</formula>
    </cfRule>
  </conditionalFormatting>
  <conditionalFormatting sqref="BF11">
    <cfRule type="cellIs" dxfId="19691" priority="130894" stopIfTrue="1" operator="lessThan">
      <formula>0.5</formula>
    </cfRule>
  </conditionalFormatting>
  <conditionalFormatting sqref="BF11">
    <cfRule type="cellIs" dxfId="19690" priority="130895" stopIfTrue="1" operator="greaterThanOrEqual">
      <formula>0.5</formula>
    </cfRule>
  </conditionalFormatting>
  <conditionalFormatting sqref="BF12">
    <cfRule type="cellIs" dxfId="19689" priority="130896" stopIfTrue="1" operator="equal">
      <formula>-1</formula>
    </cfRule>
  </conditionalFormatting>
  <conditionalFormatting sqref="BF12">
    <cfRule type="cellIs" dxfId="19688" priority="130897" stopIfTrue="1" operator="lessThan">
      <formula>0.5</formula>
    </cfRule>
  </conditionalFormatting>
  <conditionalFormatting sqref="BF12">
    <cfRule type="cellIs" dxfId="19687" priority="130898" stopIfTrue="1" operator="greaterThanOrEqual">
      <formula>0.5</formula>
    </cfRule>
  </conditionalFormatting>
  <conditionalFormatting sqref="BF13">
    <cfRule type="cellIs" dxfId="19686" priority="130899" stopIfTrue="1" operator="equal">
      <formula>-1</formula>
    </cfRule>
  </conditionalFormatting>
  <conditionalFormatting sqref="BF13">
    <cfRule type="cellIs" dxfId="19685" priority="130900" stopIfTrue="1" operator="lessThan">
      <formula>0.5</formula>
    </cfRule>
  </conditionalFormatting>
  <conditionalFormatting sqref="BF13">
    <cfRule type="cellIs" dxfId="19684" priority="130901" stopIfTrue="1" operator="greaterThanOrEqual">
      <formula>0.5</formula>
    </cfRule>
  </conditionalFormatting>
  <conditionalFormatting sqref="BF14">
    <cfRule type="cellIs" dxfId="19683" priority="130902" stopIfTrue="1" operator="equal">
      <formula>-1</formula>
    </cfRule>
  </conditionalFormatting>
  <conditionalFormatting sqref="BF14">
    <cfRule type="cellIs" dxfId="19682" priority="130903" stopIfTrue="1" operator="lessThan">
      <formula>0.5</formula>
    </cfRule>
  </conditionalFormatting>
  <conditionalFormatting sqref="BF14">
    <cfRule type="cellIs" dxfId="19681" priority="130904" stopIfTrue="1" operator="greaterThanOrEqual">
      <formula>0.5</formula>
    </cfRule>
  </conditionalFormatting>
  <conditionalFormatting sqref="BF15">
    <cfRule type="cellIs" dxfId="19680" priority="130905" stopIfTrue="1" operator="equal">
      <formula>-1</formula>
    </cfRule>
  </conditionalFormatting>
  <conditionalFormatting sqref="BF15">
    <cfRule type="cellIs" dxfId="19679" priority="130906" stopIfTrue="1" operator="lessThan">
      <formula>0.5</formula>
    </cfRule>
  </conditionalFormatting>
  <conditionalFormatting sqref="BF15">
    <cfRule type="cellIs" dxfId="19678" priority="130907" stopIfTrue="1" operator="greaterThanOrEqual">
      <formula>0.5</formula>
    </cfRule>
  </conditionalFormatting>
  <conditionalFormatting sqref="BH8">
    <cfRule type="cellIs" dxfId="19677" priority="130908" stopIfTrue="1" operator="equal">
      <formula>-1</formula>
    </cfRule>
  </conditionalFormatting>
  <conditionalFormatting sqref="BH8">
    <cfRule type="cellIs" dxfId="19676" priority="130909" stopIfTrue="1" operator="lessThan">
      <formula>0.5</formula>
    </cfRule>
  </conditionalFormatting>
  <conditionalFormatting sqref="BH8">
    <cfRule type="cellIs" dxfId="19675" priority="130910" stopIfTrue="1" operator="greaterThanOrEqual">
      <formula>0.5</formula>
    </cfRule>
  </conditionalFormatting>
  <conditionalFormatting sqref="BH9">
    <cfRule type="cellIs" dxfId="19674" priority="130911" stopIfTrue="1" operator="equal">
      <formula>-1</formula>
    </cfRule>
  </conditionalFormatting>
  <conditionalFormatting sqref="BH9">
    <cfRule type="cellIs" dxfId="19673" priority="130912" stopIfTrue="1" operator="lessThan">
      <formula>0.5</formula>
    </cfRule>
  </conditionalFormatting>
  <conditionalFormatting sqref="BH9">
    <cfRule type="cellIs" dxfId="19672" priority="130913" stopIfTrue="1" operator="greaterThanOrEqual">
      <formula>0.5</formula>
    </cfRule>
  </conditionalFormatting>
  <conditionalFormatting sqref="BH10">
    <cfRule type="cellIs" dxfId="19671" priority="130914" stopIfTrue="1" operator="equal">
      <formula>-1</formula>
    </cfRule>
  </conditionalFormatting>
  <conditionalFormatting sqref="BH10">
    <cfRule type="cellIs" dxfId="19670" priority="130915" stopIfTrue="1" operator="lessThan">
      <formula>0.5</formula>
    </cfRule>
  </conditionalFormatting>
  <conditionalFormatting sqref="BH10">
    <cfRule type="cellIs" dxfId="19669" priority="130916" stopIfTrue="1" operator="greaterThanOrEqual">
      <formula>0.5</formula>
    </cfRule>
  </conditionalFormatting>
  <conditionalFormatting sqref="BH11">
    <cfRule type="cellIs" dxfId="19668" priority="130917" stopIfTrue="1" operator="equal">
      <formula>-1</formula>
    </cfRule>
  </conditionalFormatting>
  <conditionalFormatting sqref="BH11">
    <cfRule type="cellIs" dxfId="19667" priority="130918" stopIfTrue="1" operator="lessThan">
      <formula>0.5</formula>
    </cfRule>
  </conditionalFormatting>
  <conditionalFormatting sqref="BH11">
    <cfRule type="cellIs" dxfId="19666" priority="130919" stopIfTrue="1" operator="greaterThanOrEqual">
      <formula>0.5</formula>
    </cfRule>
  </conditionalFormatting>
  <conditionalFormatting sqref="BH12">
    <cfRule type="cellIs" dxfId="19665" priority="130920" stopIfTrue="1" operator="equal">
      <formula>-1</formula>
    </cfRule>
  </conditionalFormatting>
  <conditionalFormatting sqref="BH12">
    <cfRule type="cellIs" dxfId="19664" priority="130921" stopIfTrue="1" operator="lessThan">
      <formula>0.5</formula>
    </cfRule>
  </conditionalFormatting>
  <conditionalFormatting sqref="BH12">
    <cfRule type="cellIs" dxfId="19663" priority="130922" stopIfTrue="1" operator="greaterThanOrEqual">
      <formula>0.5</formula>
    </cfRule>
  </conditionalFormatting>
  <conditionalFormatting sqref="BH13">
    <cfRule type="cellIs" dxfId="19662" priority="130923" stopIfTrue="1" operator="equal">
      <formula>-1</formula>
    </cfRule>
  </conditionalFormatting>
  <conditionalFormatting sqref="BH13">
    <cfRule type="cellIs" dxfId="19661" priority="130924" stopIfTrue="1" operator="lessThan">
      <formula>0.5</formula>
    </cfRule>
  </conditionalFormatting>
  <conditionalFormatting sqref="BH13">
    <cfRule type="cellIs" dxfId="19660" priority="130925" stopIfTrue="1" operator="greaterThanOrEqual">
      <formula>0.5</formula>
    </cfRule>
  </conditionalFormatting>
  <conditionalFormatting sqref="BH14">
    <cfRule type="cellIs" dxfId="19659" priority="130926" stopIfTrue="1" operator="equal">
      <formula>-1</formula>
    </cfRule>
  </conditionalFormatting>
  <conditionalFormatting sqref="BH14">
    <cfRule type="cellIs" dxfId="19658" priority="130927" stopIfTrue="1" operator="lessThan">
      <formula>0.5</formula>
    </cfRule>
  </conditionalFormatting>
  <conditionalFormatting sqref="BH14">
    <cfRule type="cellIs" dxfId="19657" priority="130928" stopIfTrue="1" operator="greaterThanOrEqual">
      <formula>0.5</formula>
    </cfRule>
  </conditionalFormatting>
  <conditionalFormatting sqref="BH15">
    <cfRule type="cellIs" dxfId="19656" priority="130929" stopIfTrue="1" operator="equal">
      <formula>-1</formula>
    </cfRule>
  </conditionalFormatting>
  <conditionalFormatting sqref="BH15">
    <cfRule type="cellIs" dxfId="19655" priority="130930" stopIfTrue="1" operator="lessThan">
      <formula>0.5</formula>
    </cfRule>
  </conditionalFormatting>
  <conditionalFormatting sqref="BH15">
    <cfRule type="cellIs" dxfId="19654" priority="130931" stopIfTrue="1" operator="greaterThanOrEqual">
      <formula>0.5</formula>
    </cfRule>
  </conditionalFormatting>
  <conditionalFormatting sqref="BJ8">
    <cfRule type="cellIs" dxfId="19653" priority="130932" stopIfTrue="1" operator="equal">
      <formula>-1</formula>
    </cfRule>
  </conditionalFormatting>
  <conditionalFormatting sqref="BJ8">
    <cfRule type="cellIs" dxfId="19652" priority="130933" stopIfTrue="1" operator="lessThan">
      <formula>0.5</formula>
    </cfRule>
  </conditionalFormatting>
  <conditionalFormatting sqref="BJ8">
    <cfRule type="cellIs" dxfId="19651" priority="130934" stopIfTrue="1" operator="greaterThanOrEqual">
      <formula>0.5</formula>
    </cfRule>
  </conditionalFormatting>
  <conditionalFormatting sqref="BJ9">
    <cfRule type="cellIs" dxfId="19650" priority="130935" stopIfTrue="1" operator="equal">
      <formula>-1</formula>
    </cfRule>
  </conditionalFormatting>
  <conditionalFormatting sqref="BJ9">
    <cfRule type="cellIs" dxfId="19649" priority="130936" stopIfTrue="1" operator="lessThan">
      <formula>0.5</formula>
    </cfRule>
  </conditionalFormatting>
  <conditionalFormatting sqref="BJ9">
    <cfRule type="cellIs" dxfId="19648" priority="130937" stopIfTrue="1" operator="greaterThanOrEqual">
      <formula>0.5</formula>
    </cfRule>
  </conditionalFormatting>
  <conditionalFormatting sqref="BJ10">
    <cfRule type="cellIs" dxfId="19647" priority="130938" stopIfTrue="1" operator="equal">
      <formula>-1</formula>
    </cfRule>
  </conditionalFormatting>
  <conditionalFormatting sqref="BJ10">
    <cfRule type="cellIs" dxfId="19646" priority="130939" stopIfTrue="1" operator="lessThan">
      <formula>0.5</formula>
    </cfRule>
  </conditionalFormatting>
  <conditionalFormatting sqref="BJ10">
    <cfRule type="cellIs" dxfId="19645" priority="130940" stopIfTrue="1" operator="greaterThanOrEqual">
      <formula>0.5</formula>
    </cfRule>
  </conditionalFormatting>
  <conditionalFormatting sqref="BJ11">
    <cfRule type="cellIs" dxfId="19644" priority="130941" stopIfTrue="1" operator="equal">
      <formula>-1</formula>
    </cfRule>
  </conditionalFormatting>
  <conditionalFormatting sqref="BJ11">
    <cfRule type="cellIs" dxfId="19643" priority="130942" stopIfTrue="1" operator="lessThan">
      <formula>0.5</formula>
    </cfRule>
  </conditionalFormatting>
  <conditionalFormatting sqref="BJ11">
    <cfRule type="cellIs" dxfId="19642" priority="130943" stopIfTrue="1" operator="greaterThanOrEqual">
      <formula>0.5</formula>
    </cfRule>
  </conditionalFormatting>
  <conditionalFormatting sqref="BJ12">
    <cfRule type="cellIs" dxfId="19641" priority="130944" stopIfTrue="1" operator="equal">
      <formula>-1</formula>
    </cfRule>
  </conditionalFormatting>
  <conditionalFormatting sqref="BJ12">
    <cfRule type="cellIs" dxfId="19640" priority="130945" stopIfTrue="1" operator="lessThan">
      <formula>0.5</formula>
    </cfRule>
  </conditionalFormatting>
  <conditionalFormatting sqref="BJ12">
    <cfRule type="cellIs" dxfId="19639" priority="130946" stopIfTrue="1" operator="greaterThanOrEqual">
      <formula>0.5</formula>
    </cfRule>
  </conditionalFormatting>
  <conditionalFormatting sqref="BJ13">
    <cfRule type="cellIs" dxfId="19638" priority="130947" stopIfTrue="1" operator="equal">
      <formula>-1</formula>
    </cfRule>
  </conditionalFormatting>
  <conditionalFormatting sqref="BJ13">
    <cfRule type="cellIs" dxfId="19637" priority="130948" stopIfTrue="1" operator="lessThan">
      <formula>0.5</formula>
    </cfRule>
  </conditionalFormatting>
  <conditionalFormatting sqref="BJ13">
    <cfRule type="cellIs" dxfId="19636" priority="130949" stopIfTrue="1" operator="greaterThanOrEqual">
      <formula>0.5</formula>
    </cfRule>
  </conditionalFormatting>
  <conditionalFormatting sqref="BJ14">
    <cfRule type="cellIs" dxfId="19635" priority="130950" stopIfTrue="1" operator="equal">
      <formula>-1</formula>
    </cfRule>
  </conditionalFormatting>
  <conditionalFormatting sqref="BJ14">
    <cfRule type="cellIs" dxfId="19634" priority="130951" stopIfTrue="1" operator="lessThan">
      <formula>0.5</formula>
    </cfRule>
  </conditionalFormatting>
  <conditionalFormatting sqref="BJ14">
    <cfRule type="cellIs" dxfId="19633" priority="130952" stopIfTrue="1" operator="greaterThanOrEqual">
      <formula>0.5</formula>
    </cfRule>
  </conditionalFormatting>
  <conditionalFormatting sqref="BJ15">
    <cfRule type="cellIs" dxfId="19632" priority="130953" stopIfTrue="1" operator="equal">
      <formula>-1</formula>
    </cfRule>
  </conditionalFormatting>
  <conditionalFormatting sqref="BJ15">
    <cfRule type="cellIs" dxfId="19631" priority="130954" stopIfTrue="1" operator="lessThan">
      <formula>0.5</formula>
    </cfRule>
  </conditionalFormatting>
  <conditionalFormatting sqref="BJ15">
    <cfRule type="cellIs" dxfId="19630" priority="130955" stopIfTrue="1" operator="greaterThanOrEqual">
      <formula>0.5</formula>
    </cfRule>
  </conditionalFormatting>
  <conditionalFormatting sqref="D17">
    <cfRule type="cellIs" dxfId="19629" priority="130956" stopIfTrue="1" operator="equal">
      <formula>-1</formula>
    </cfRule>
  </conditionalFormatting>
  <conditionalFormatting sqref="D17">
    <cfRule type="cellIs" dxfId="19628" priority="130957" stopIfTrue="1" operator="lessThan">
      <formula>0.5</formula>
    </cfRule>
  </conditionalFormatting>
  <conditionalFormatting sqref="D17">
    <cfRule type="cellIs" dxfId="19627" priority="130958" stopIfTrue="1" operator="greaterThanOrEqual">
      <formula>0.5</formula>
    </cfRule>
  </conditionalFormatting>
  <conditionalFormatting sqref="D18">
    <cfRule type="cellIs" dxfId="19626" priority="130959" stopIfTrue="1" operator="equal">
      <formula>-1</formula>
    </cfRule>
  </conditionalFormatting>
  <conditionalFormatting sqref="D18">
    <cfRule type="cellIs" dxfId="19625" priority="130960" stopIfTrue="1" operator="lessThan">
      <formula>0.5</formula>
    </cfRule>
  </conditionalFormatting>
  <conditionalFormatting sqref="D18">
    <cfRule type="cellIs" dxfId="19624" priority="130961" stopIfTrue="1" operator="greaterThanOrEqual">
      <formula>0.5</formula>
    </cfRule>
  </conditionalFormatting>
  <conditionalFormatting sqref="D19">
    <cfRule type="cellIs" dxfId="19623" priority="130962" stopIfTrue="1" operator="equal">
      <formula>-1</formula>
    </cfRule>
  </conditionalFormatting>
  <conditionalFormatting sqref="D19">
    <cfRule type="cellIs" dxfId="19622" priority="130963" stopIfTrue="1" operator="lessThan">
      <formula>0.5</formula>
    </cfRule>
  </conditionalFormatting>
  <conditionalFormatting sqref="D19">
    <cfRule type="cellIs" dxfId="19621" priority="130964" stopIfTrue="1" operator="greaterThanOrEqual">
      <formula>0.5</formula>
    </cfRule>
  </conditionalFormatting>
  <conditionalFormatting sqref="D20">
    <cfRule type="cellIs" dxfId="19620" priority="130965" stopIfTrue="1" operator="equal">
      <formula>-1</formula>
    </cfRule>
  </conditionalFormatting>
  <conditionalFormatting sqref="D20">
    <cfRule type="cellIs" dxfId="19619" priority="130966" stopIfTrue="1" operator="lessThan">
      <formula>0.5</formula>
    </cfRule>
  </conditionalFormatting>
  <conditionalFormatting sqref="D20">
    <cfRule type="cellIs" dxfId="19618" priority="130967" stopIfTrue="1" operator="greaterThanOrEqual">
      <formula>0.5</formula>
    </cfRule>
  </conditionalFormatting>
  <conditionalFormatting sqref="D21">
    <cfRule type="cellIs" dxfId="19617" priority="130968" stopIfTrue="1" operator="equal">
      <formula>-1</formula>
    </cfRule>
  </conditionalFormatting>
  <conditionalFormatting sqref="D21">
    <cfRule type="cellIs" dxfId="19616" priority="130969" stopIfTrue="1" operator="lessThan">
      <formula>0.5</formula>
    </cfRule>
  </conditionalFormatting>
  <conditionalFormatting sqref="D21">
    <cfRule type="cellIs" dxfId="19615" priority="130970" stopIfTrue="1" operator="greaterThanOrEqual">
      <formula>0.5</formula>
    </cfRule>
  </conditionalFormatting>
  <conditionalFormatting sqref="D22">
    <cfRule type="cellIs" dxfId="19614" priority="130971" stopIfTrue="1" operator="equal">
      <formula>-1</formula>
    </cfRule>
  </conditionalFormatting>
  <conditionalFormatting sqref="D22">
    <cfRule type="cellIs" dxfId="19613" priority="130972" stopIfTrue="1" operator="lessThan">
      <formula>0.5</formula>
    </cfRule>
  </conditionalFormatting>
  <conditionalFormatting sqref="D22">
    <cfRule type="cellIs" dxfId="19612" priority="130973" stopIfTrue="1" operator="greaterThanOrEqual">
      <formula>0.5</formula>
    </cfRule>
  </conditionalFormatting>
  <conditionalFormatting sqref="D23">
    <cfRule type="cellIs" dxfId="19611" priority="130974" stopIfTrue="1" operator="equal">
      <formula>-1</formula>
    </cfRule>
  </conditionalFormatting>
  <conditionalFormatting sqref="D23">
    <cfRule type="cellIs" dxfId="19610" priority="130975" stopIfTrue="1" operator="lessThan">
      <formula>0.5</formula>
    </cfRule>
  </conditionalFormatting>
  <conditionalFormatting sqref="D23">
    <cfRule type="cellIs" dxfId="19609" priority="130976" stopIfTrue="1" operator="greaterThanOrEqual">
      <formula>0.5</formula>
    </cfRule>
  </conditionalFormatting>
  <conditionalFormatting sqref="D24">
    <cfRule type="cellIs" dxfId="19608" priority="130977" stopIfTrue="1" operator="equal">
      <formula>-1</formula>
    </cfRule>
  </conditionalFormatting>
  <conditionalFormatting sqref="D24">
    <cfRule type="cellIs" dxfId="19607" priority="130978" stopIfTrue="1" operator="lessThan">
      <formula>0.5</formula>
    </cfRule>
  </conditionalFormatting>
  <conditionalFormatting sqref="D24">
    <cfRule type="cellIs" dxfId="19606" priority="130979" stopIfTrue="1" operator="greaterThanOrEqual">
      <formula>0.5</formula>
    </cfRule>
  </conditionalFormatting>
  <conditionalFormatting sqref="D25">
    <cfRule type="cellIs" dxfId="19605" priority="130980" stopIfTrue="1" operator="equal">
      <formula>-1</formula>
    </cfRule>
  </conditionalFormatting>
  <conditionalFormatting sqref="D25">
    <cfRule type="cellIs" dxfId="19604" priority="130981" stopIfTrue="1" operator="lessThan">
      <formula>0.5</formula>
    </cfRule>
  </conditionalFormatting>
  <conditionalFormatting sqref="D25">
    <cfRule type="cellIs" dxfId="19603" priority="130982" stopIfTrue="1" operator="greaterThanOrEqual">
      <formula>0.5</formula>
    </cfRule>
  </conditionalFormatting>
  <conditionalFormatting sqref="D26">
    <cfRule type="cellIs" dxfId="19602" priority="130983" stopIfTrue="1" operator="equal">
      <formula>-1</formula>
    </cfRule>
  </conditionalFormatting>
  <conditionalFormatting sqref="D26">
    <cfRule type="cellIs" dxfId="19601" priority="130984" stopIfTrue="1" operator="lessThan">
      <formula>0.5</formula>
    </cfRule>
  </conditionalFormatting>
  <conditionalFormatting sqref="D26">
    <cfRule type="cellIs" dxfId="19600" priority="130985" stopIfTrue="1" operator="greaterThanOrEqual">
      <formula>0.5</formula>
    </cfRule>
  </conditionalFormatting>
  <conditionalFormatting sqref="D27">
    <cfRule type="cellIs" dxfId="19599" priority="130986" stopIfTrue="1" operator="equal">
      <formula>-1</formula>
    </cfRule>
  </conditionalFormatting>
  <conditionalFormatting sqref="D27">
    <cfRule type="cellIs" dxfId="19598" priority="130987" stopIfTrue="1" operator="lessThan">
      <formula>0.5</formula>
    </cfRule>
  </conditionalFormatting>
  <conditionalFormatting sqref="D27">
    <cfRule type="cellIs" dxfId="19597" priority="130988" stopIfTrue="1" operator="greaterThanOrEqual">
      <formula>0.5</formula>
    </cfRule>
  </conditionalFormatting>
  <conditionalFormatting sqref="D28">
    <cfRule type="cellIs" dxfId="19596" priority="130989" stopIfTrue="1" operator="equal">
      <formula>-1</formula>
    </cfRule>
  </conditionalFormatting>
  <conditionalFormatting sqref="D28">
    <cfRule type="cellIs" dxfId="19595" priority="130990" stopIfTrue="1" operator="lessThan">
      <formula>0.5</formula>
    </cfRule>
  </conditionalFormatting>
  <conditionalFormatting sqref="D28">
    <cfRule type="cellIs" dxfId="19594" priority="130991" stopIfTrue="1" operator="greaterThanOrEqual">
      <formula>0.5</formula>
    </cfRule>
  </conditionalFormatting>
  <conditionalFormatting sqref="D29">
    <cfRule type="cellIs" dxfId="19593" priority="130992" stopIfTrue="1" operator="equal">
      <formula>-1</formula>
    </cfRule>
  </conditionalFormatting>
  <conditionalFormatting sqref="D29">
    <cfRule type="cellIs" dxfId="19592" priority="130993" stopIfTrue="1" operator="lessThan">
      <formula>0.5</formula>
    </cfRule>
  </conditionalFormatting>
  <conditionalFormatting sqref="D29">
    <cfRule type="cellIs" dxfId="19591" priority="130994" stopIfTrue="1" operator="greaterThanOrEqual">
      <formula>0.5</formula>
    </cfRule>
  </conditionalFormatting>
  <conditionalFormatting sqref="D30">
    <cfRule type="cellIs" dxfId="19590" priority="130995" stopIfTrue="1" operator="equal">
      <formula>-1</formula>
    </cfRule>
  </conditionalFormatting>
  <conditionalFormatting sqref="D30">
    <cfRule type="cellIs" dxfId="19589" priority="130996" stopIfTrue="1" operator="lessThan">
      <formula>0.5</formula>
    </cfRule>
  </conditionalFormatting>
  <conditionalFormatting sqref="D30">
    <cfRule type="cellIs" dxfId="19588" priority="130997" stopIfTrue="1" operator="greaterThanOrEqual">
      <formula>0.5</formula>
    </cfRule>
  </conditionalFormatting>
  <conditionalFormatting sqref="D31">
    <cfRule type="cellIs" dxfId="19587" priority="130998" stopIfTrue="1" operator="equal">
      <formula>-1</formula>
    </cfRule>
  </conditionalFormatting>
  <conditionalFormatting sqref="D31">
    <cfRule type="cellIs" dxfId="19586" priority="130999" stopIfTrue="1" operator="lessThan">
      <formula>0.5</formula>
    </cfRule>
  </conditionalFormatting>
  <conditionalFormatting sqref="D31">
    <cfRule type="cellIs" dxfId="19585" priority="131000" stopIfTrue="1" operator="greaterThanOrEqual">
      <formula>0.5</formula>
    </cfRule>
  </conditionalFormatting>
  <conditionalFormatting sqref="D32">
    <cfRule type="cellIs" dxfId="19584" priority="131001" stopIfTrue="1" operator="equal">
      <formula>-1</formula>
    </cfRule>
  </conditionalFormatting>
  <conditionalFormatting sqref="D32">
    <cfRule type="cellIs" dxfId="19583" priority="131002" stopIfTrue="1" operator="lessThan">
      <formula>0.5</formula>
    </cfRule>
  </conditionalFormatting>
  <conditionalFormatting sqref="D32">
    <cfRule type="cellIs" dxfId="19582" priority="131003" stopIfTrue="1" operator="greaterThanOrEqual">
      <formula>0.5</formula>
    </cfRule>
  </conditionalFormatting>
  <conditionalFormatting sqref="D33">
    <cfRule type="cellIs" dxfId="19581" priority="131004" stopIfTrue="1" operator="equal">
      <formula>-1</formula>
    </cfRule>
  </conditionalFormatting>
  <conditionalFormatting sqref="D33">
    <cfRule type="cellIs" dxfId="19580" priority="131005" stopIfTrue="1" operator="lessThan">
      <formula>0.5</formula>
    </cfRule>
  </conditionalFormatting>
  <conditionalFormatting sqref="D33">
    <cfRule type="cellIs" dxfId="19579" priority="131006" stopIfTrue="1" operator="greaterThanOrEqual">
      <formula>0.5</formula>
    </cfRule>
  </conditionalFormatting>
  <conditionalFormatting sqref="D34">
    <cfRule type="cellIs" dxfId="19578" priority="131007" stopIfTrue="1" operator="equal">
      <formula>-1</formula>
    </cfRule>
  </conditionalFormatting>
  <conditionalFormatting sqref="D34">
    <cfRule type="cellIs" dxfId="19577" priority="131008" stopIfTrue="1" operator="lessThan">
      <formula>0.5</formula>
    </cfRule>
  </conditionalFormatting>
  <conditionalFormatting sqref="D34">
    <cfRule type="cellIs" dxfId="19576" priority="131009" stopIfTrue="1" operator="greaterThanOrEqual">
      <formula>0.5</formula>
    </cfRule>
  </conditionalFormatting>
  <conditionalFormatting sqref="D35">
    <cfRule type="cellIs" dxfId="19575" priority="131010" stopIfTrue="1" operator="equal">
      <formula>-1</formula>
    </cfRule>
  </conditionalFormatting>
  <conditionalFormatting sqref="D35">
    <cfRule type="cellIs" dxfId="19574" priority="131011" stopIfTrue="1" operator="lessThan">
      <formula>0.5</formula>
    </cfRule>
  </conditionalFormatting>
  <conditionalFormatting sqref="D35">
    <cfRule type="cellIs" dxfId="19573" priority="131012" stopIfTrue="1" operator="greaterThanOrEqual">
      <formula>0.5</formula>
    </cfRule>
  </conditionalFormatting>
  <conditionalFormatting sqref="D36">
    <cfRule type="cellIs" dxfId="19572" priority="131013" stopIfTrue="1" operator="equal">
      <formula>-1</formula>
    </cfRule>
  </conditionalFormatting>
  <conditionalFormatting sqref="D36">
    <cfRule type="cellIs" dxfId="19571" priority="131014" stopIfTrue="1" operator="lessThan">
      <formula>0.5</formula>
    </cfRule>
  </conditionalFormatting>
  <conditionalFormatting sqref="D36">
    <cfRule type="cellIs" dxfId="19570" priority="131015" stopIfTrue="1" operator="greaterThanOrEqual">
      <formula>0.5</formula>
    </cfRule>
  </conditionalFormatting>
  <conditionalFormatting sqref="D37">
    <cfRule type="cellIs" dxfId="19569" priority="131016" stopIfTrue="1" operator="equal">
      <formula>-1</formula>
    </cfRule>
  </conditionalFormatting>
  <conditionalFormatting sqref="D37">
    <cfRule type="cellIs" dxfId="19568" priority="131017" stopIfTrue="1" operator="lessThan">
      <formula>0.5</formula>
    </cfRule>
  </conditionalFormatting>
  <conditionalFormatting sqref="D37">
    <cfRule type="cellIs" dxfId="19567" priority="131018" stopIfTrue="1" operator="greaterThanOrEqual">
      <formula>0.5</formula>
    </cfRule>
  </conditionalFormatting>
  <conditionalFormatting sqref="F17">
    <cfRule type="cellIs" dxfId="19566" priority="131019" stopIfTrue="1" operator="equal">
      <formula>-1</formula>
    </cfRule>
  </conditionalFormatting>
  <conditionalFormatting sqref="F17">
    <cfRule type="cellIs" dxfId="19565" priority="131020" stopIfTrue="1" operator="lessThan">
      <formula>0.5</formula>
    </cfRule>
  </conditionalFormatting>
  <conditionalFormatting sqref="F17">
    <cfRule type="cellIs" dxfId="19564" priority="131021" stopIfTrue="1" operator="greaterThanOrEqual">
      <formula>0.5</formula>
    </cfRule>
  </conditionalFormatting>
  <conditionalFormatting sqref="F18">
    <cfRule type="cellIs" dxfId="19563" priority="131022" stopIfTrue="1" operator="equal">
      <formula>-1</formula>
    </cfRule>
  </conditionalFormatting>
  <conditionalFormatting sqref="F18">
    <cfRule type="cellIs" dxfId="19562" priority="131023" stopIfTrue="1" operator="lessThan">
      <formula>0.5</formula>
    </cfRule>
  </conditionalFormatting>
  <conditionalFormatting sqref="F18">
    <cfRule type="cellIs" dxfId="19561" priority="131024" stopIfTrue="1" operator="greaterThanOrEqual">
      <formula>0.5</formula>
    </cfRule>
  </conditionalFormatting>
  <conditionalFormatting sqref="F19">
    <cfRule type="cellIs" dxfId="19560" priority="131025" stopIfTrue="1" operator="equal">
      <formula>-1</formula>
    </cfRule>
  </conditionalFormatting>
  <conditionalFormatting sqref="F19">
    <cfRule type="cellIs" dxfId="19559" priority="131026" stopIfTrue="1" operator="lessThan">
      <formula>0.5</formula>
    </cfRule>
  </conditionalFormatting>
  <conditionalFormatting sqref="F19">
    <cfRule type="cellIs" dxfId="19558" priority="131027" stopIfTrue="1" operator="greaterThanOrEqual">
      <formula>0.5</formula>
    </cfRule>
  </conditionalFormatting>
  <conditionalFormatting sqref="F20">
    <cfRule type="cellIs" dxfId="19557" priority="131028" stopIfTrue="1" operator="equal">
      <formula>-1</formula>
    </cfRule>
  </conditionalFormatting>
  <conditionalFormatting sqref="F20">
    <cfRule type="cellIs" dxfId="19556" priority="131029" stopIfTrue="1" operator="lessThan">
      <formula>0.5</formula>
    </cfRule>
  </conditionalFormatting>
  <conditionalFormatting sqref="F20">
    <cfRule type="cellIs" dxfId="19555" priority="131030" stopIfTrue="1" operator="greaterThanOrEqual">
      <formula>0.5</formula>
    </cfRule>
  </conditionalFormatting>
  <conditionalFormatting sqref="F21">
    <cfRule type="cellIs" dxfId="19554" priority="131031" stopIfTrue="1" operator="equal">
      <formula>-1</formula>
    </cfRule>
  </conditionalFormatting>
  <conditionalFormatting sqref="F21">
    <cfRule type="cellIs" dxfId="19553" priority="131032" stopIfTrue="1" operator="lessThan">
      <formula>0.5</formula>
    </cfRule>
  </conditionalFormatting>
  <conditionalFormatting sqref="F21">
    <cfRule type="cellIs" dxfId="19552" priority="131033" stopIfTrue="1" operator="greaterThanOrEqual">
      <formula>0.5</formula>
    </cfRule>
  </conditionalFormatting>
  <conditionalFormatting sqref="F22">
    <cfRule type="cellIs" dxfId="19551" priority="131034" stopIfTrue="1" operator="equal">
      <formula>-1</formula>
    </cfRule>
  </conditionalFormatting>
  <conditionalFormatting sqref="F22">
    <cfRule type="cellIs" dxfId="19550" priority="131035" stopIfTrue="1" operator="lessThan">
      <formula>0.5</formula>
    </cfRule>
  </conditionalFormatting>
  <conditionalFormatting sqref="F22">
    <cfRule type="cellIs" dxfId="19549" priority="131036" stopIfTrue="1" operator="greaterThanOrEqual">
      <formula>0.5</formula>
    </cfRule>
  </conditionalFormatting>
  <conditionalFormatting sqref="F23">
    <cfRule type="cellIs" dxfId="19548" priority="131037" stopIfTrue="1" operator="equal">
      <formula>-1</formula>
    </cfRule>
  </conditionalFormatting>
  <conditionalFormatting sqref="F23">
    <cfRule type="cellIs" dxfId="19547" priority="131038" stopIfTrue="1" operator="lessThan">
      <formula>0.5</formula>
    </cfRule>
  </conditionalFormatting>
  <conditionalFormatting sqref="F23">
    <cfRule type="cellIs" dxfId="19546" priority="131039" stopIfTrue="1" operator="greaterThanOrEqual">
      <formula>0.5</formula>
    </cfRule>
  </conditionalFormatting>
  <conditionalFormatting sqref="F24">
    <cfRule type="cellIs" dxfId="19545" priority="131040" stopIfTrue="1" operator="equal">
      <formula>-1</formula>
    </cfRule>
  </conditionalFormatting>
  <conditionalFormatting sqref="F24">
    <cfRule type="cellIs" dxfId="19544" priority="131041" stopIfTrue="1" operator="lessThan">
      <formula>0.5</formula>
    </cfRule>
  </conditionalFormatting>
  <conditionalFormatting sqref="F24">
    <cfRule type="cellIs" dxfId="19543" priority="131042" stopIfTrue="1" operator="greaterThanOrEqual">
      <formula>0.5</formula>
    </cfRule>
  </conditionalFormatting>
  <conditionalFormatting sqref="F25">
    <cfRule type="cellIs" dxfId="19542" priority="131043" stopIfTrue="1" operator="equal">
      <formula>-1</formula>
    </cfRule>
  </conditionalFormatting>
  <conditionalFormatting sqref="F25">
    <cfRule type="cellIs" dxfId="19541" priority="131044" stopIfTrue="1" operator="lessThan">
      <formula>0.5</formula>
    </cfRule>
  </conditionalFormatting>
  <conditionalFormatting sqref="F25">
    <cfRule type="cellIs" dxfId="19540" priority="131045" stopIfTrue="1" operator="greaterThanOrEqual">
      <formula>0.5</formula>
    </cfRule>
  </conditionalFormatting>
  <conditionalFormatting sqref="F26">
    <cfRule type="cellIs" dxfId="19539" priority="131046" stopIfTrue="1" operator="equal">
      <formula>-1</formula>
    </cfRule>
  </conditionalFormatting>
  <conditionalFormatting sqref="F26">
    <cfRule type="cellIs" dxfId="19538" priority="131047" stopIfTrue="1" operator="lessThan">
      <formula>0.5</formula>
    </cfRule>
  </conditionalFormatting>
  <conditionalFormatting sqref="F26">
    <cfRule type="cellIs" dxfId="19537" priority="131048" stopIfTrue="1" operator="greaterThanOrEqual">
      <formula>0.5</formula>
    </cfRule>
  </conditionalFormatting>
  <conditionalFormatting sqref="F27">
    <cfRule type="cellIs" dxfId="19536" priority="131049" stopIfTrue="1" operator="equal">
      <formula>-1</formula>
    </cfRule>
  </conditionalFormatting>
  <conditionalFormatting sqref="F27">
    <cfRule type="cellIs" dxfId="19535" priority="131050" stopIfTrue="1" operator="lessThan">
      <formula>0.5</formula>
    </cfRule>
  </conditionalFormatting>
  <conditionalFormatting sqref="F27">
    <cfRule type="cellIs" dxfId="19534" priority="131051" stopIfTrue="1" operator="greaterThanOrEqual">
      <formula>0.5</formula>
    </cfRule>
  </conditionalFormatting>
  <conditionalFormatting sqref="F28">
    <cfRule type="cellIs" dxfId="19533" priority="131052" stopIfTrue="1" operator="equal">
      <formula>-1</formula>
    </cfRule>
  </conditionalFormatting>
  <conditionalFormatting sqref="F28">
    <cfRule type="cellIs" dxfId="19532" priority="131053" stopIfTrue="1" operator="lessThan">
      <formula>0.5</formula>
    </cfRule>
  </conditionalFormatting>
  <conditionalFormatting sqref="F28">
    <cfRule type="cellIs" dxfId="19531" priority="131054" stopIfTrue="1" operator="greaterThanOrEqual">
      <formula>0.5</formula>
    </cfRule>
  </conditionalFormatting>
  <conditionalFormatting sqref="F29">
    <cfRule type="cellIs" dxfId="19530" priority="131055" stopIfTrue="1" operator="equal">
      <formula>-1</formula>
    </cfRule>
  </conditionalFormatting>
  <conditionalFormatting sqref="F29">
    <cfRule type="cellIs" dxfId="19529" priority="131056" stopIfTrue="1" operator="lessThan">
      <formula>0.5</formula>
    </cfRule>
  </conditionalFormatting>
  <conditionalFormatting sqref="F29">
    <cfRule type="cellIs" dxfId="19528" priority="131057" stopIfTrue="1" operator="greaterThanOrEqual">
      <formula>0.5</formula>
    </cfRule>
  </conditionalFormatting>
  <conditionalFormatting sqref="F30">
    <cfRule type="cellIs" dxfId="19527" priority="131058" stopIfTrue="1" operator="equal">
      <formula>-1</formula>
    </cfRule>
  </conditionalFormatting>
  <conditionalFormatting sqref="F30">
    <cfRule type="cellIs" dxfId="19526" priority="131059" stopIfTrue="1" operator="lessThan">
      <formula>0.5</formula>
    </cfRule>
  </conditionalFormatting>
  <conditionalFormatting sqref="F30">
    <cfRule type="cellIs" dxfId="19525" priority="131060" stopIfTrue="1" operator="greaterThanOrEqual">
      <formula>0.5</formula>
    </cfRule>
  </conditionalFormatting>
  <conditionalFormatting sqref="F31">
    <cfRule type="cellIs" dxfId="19524" priority="131061" stopIfTrue="1" operator="equal">
      <formula>-1</formula>
    </cfRule>
  </conditionalFormatting>
  <conditionalFormatting sqref="F31">
    <cfRule type="cellIs" dxfId="19523" priority="131062" stopIfTrue="1" operator="lessThan">
      <formula>0.5</formula>
    </cfRule>
  </conditionalFormatting>
  <conditionalFormatting sqref="F31">
    <cfRule type="cellIs" dxfId="19522" priority="131063" stopIfTrue="1" operator="greaterThanOrEqual">
      <formula>0.5</formula>
    </cfRule>
  </conditionalFormatting>
  <conditionalFormatting sqref="F32">
    <cfRule type="cellIs" dxfId="19521" priority="131064" stopIfTrue="1" operator="equal">
      <formula>-1</formula>
    </cfRule>
  </conditionalFormatting>
  <conditionalFormatting sqref="F32">
    <cfRule type="cellIs" dxfId="19520" priority="131065" stopIfTrue="1" operator="lessThan">
      <formula>0.5</formula>
    </cfRule>
  </conditionalFormatting>
  <conditionalFormatting sqref="F32">
    <cfRule type="cellIs" dxfId="19519" priority="131066" stopIfTrue="1" operator="greaterThanOrEqual">
      <formula>0.5</formula>
    </cfRule>
  </conditionalFormatting>
  <conditionalFormatting sqref="F33">
    <cfRule type="cellIs" dxfId="19518" priority="131067" stopIfTrue="1" operator="equal">
      <formula>-1</formula>
    </cfRule>
  </conditionalFormatting>
  <conditionalFormatting sqref="F33">
    <cfRule type="cellIs" dxfId="19517" priority="131068" stopIfTrue="1" operator="lessThan">
      <formula>0.5</formula>
    </cfRule>
  </conditionalFormatting>
  <conditionalFormatting sqref="F33">
    <cfRule type="cellIs" dxfId="19516" priority="131069" stopIfTrue="1" operator="greaterThanOrEqual">
      <formula>0.5</formula>
    </cfRule>
  </conditionalFormatting>
  <conditionalFormatting sqref="F34">
    <cfRule type="cellIs" dxfId="19515" priority="131070" stopIfTrue="1" operator="equal">
      <formula>-1</formula>
    </cfRule>
  </conditionalFormatting>
  <conditionalFormatting sqref="F34">
    <cfRule type="cellIs" dxfId="19514" priority="131071" stopIfTrue="1" operator="lessThan">
      <formula>0.5</formula>
    </cfRule>
  </conditionalFormatting>
  <conditionalFormatting sqref="F34">
    <cfRule type="cellIs" dxfId="19513" priority="131072" stopIfTrue="1" operator="greaterThanOrEqual">
      <formula>0.5</formula>
    </cfRule>
  </conditionalFormatting>
  <conditionalFormatting sqref="F35">
    <cfRule type="cellIs" dxfId="19512" priority="131073" stopIfTrue="1" operator="equal">
      <formula>-1</formula>
    </cfRule>
  </conditionalFormatting>
  <conditionalFormatting sqref="F35">
    <cfRule type="cellIs" dxfId="19511" priority="131074" stopIfTrue="1" operator="lessThan">
      <formula>0.5</formula>
    </cfRule>
  </conditionalFormatting>
  <conditionalFormatting sqref="F35">
    <cfRule type="cellIs" dxfId="19510" priority="131075" stopIfTrue="1" operator="greaterThanOrEqual">
      <formula>0.5</formula>
    </cfRule>
  </conditionalFormatting>
  <conditionalFormatting sqref="F36">
    <cfRule type="cellIs" dxfId="19509" priority="131076" stopIfTrue="1" operator="equal">
      <formula>-1</formula>
    </cfRule>
  </conditionalFormatting>
  <conditionalFormatting sqref="F36">
    <cfRule type="cellIs" dxfId="19508" priority="131077" stopIfTrue="1" operator="lessThan">
      <formula>0.5</formula>
    </cfRule>
  </conditionalFormatting>
  <conditionalFormatting sqref="F36">
    <cfRule type="cellIs" dxfId="19507" priority="131078" stopIfTrue="1" operator="greaterThanOrEqual">
      <formula>0.5</formula>
    </cfRule>
  </conditionalFormatting>
  <conditionalFormatting sqref="F37">
    <cfRule type="cellIs" dxfId="19506" priority="131079" stopIfTrue="1" operator="equal">
      <formula>-1</formula>
    </cfRule>
  </conditionalFormatting>
  <conditionalFormatting sqref="F37">
    <cfRule type="cellIs" dxfId="19505" priority="131080" stopIfTrue="1" operator="lessThan">
      <formula>0.5</formula>
    </cfRule>
  </conditionalFormatting>
  <conditionalFormatting sqref="F37">
    <cfRule type="cellIs" dxfId="19504" priority="131081" stopIfTrue="1" operator="greaterThanOrEqual">
      <formula>0.5</formula>
    </cfRule>
  </conditionalFormatting>
  <conditionalFormatting sqref="H17">
    <cfRule type="cellIs" dxfId="19503" priority="131082" stopIfTrue="1" operator="equal">
      <formula>-1</formula>
    </cfRule>
  </conditionalFormatting>
  <conditionalFormatting sqref="H17">
    <cfRule type="cellIs" dxfId="19502" priority="131083" stopIfTrue="1" operator="lessThan">
      <formula>0.5</formula>
    </cfRule>
  </conditionalFormatting>
  <conditionalFormatting sqref="H17">
    <cfRule type="cellIs" dxfId="19501" priority="131084" stopIfTrue="1" operator="greaterThanOrEqual">
      <formula>0.5</formula>
    </cfRule>
  </conditionalFormatting>
  <conditionalFormatting sqref="H18">
    <cfRule type="cellIs" dxfId="19500" priority="131085" stopIfTrue="1" operator="equal">
      <formula>-1</formula>
    </cfRule>
  </conditionalFormatting>
  <conditionalFormatting sqref="H18">
    <cfRule type="cellIs" dxfId="19499" priority="131086" stopIfTrue="1" operator="lessThan">
      <formula>0.5</formula>
    </cfRule>
  </conditionalFormatting>
  <conditionalFormatting sqref="H18">
    <cfRule type="cellIs" dxfId="19498" priority="131087" stopIfTrue="1" operator="greaterThanOrEqual">
      <formula>0.5</formula>
    </cfRule>
  </conditionalFormatting>
  <conditionalFormatting sqref="H19">
    <cfRule type="cellIs" dxfId="19497" priority="131088" stopIfTrue="1" operator="equal">
      <formula>-1</formula>
    </cfRule>
  </conditionalFormatting>
  <conditionalFormatting sqref="H19">
    <cfRule type="cellIs" dxfId="19496" priority="131089" stopIfTrue="1" operator="lessThan">
      <formula>0.5</formula>
    </cfRule>
  </conditionalFormatting>
  <conditionalFormatting sqref="H19">
    <cfRule type="cellIs" dxfId="19495" priority="131090" stopIfTrue="1" operator="greaterThanOrEqual">
      <formula>0.5</formula>
    </cfRule>
  </conditionalFormatting>
  <conditionalFormatting sqref="H20">
    <cfRule type="cellIs" dxfId="19494" priority="131091" stopIfTrue="1" operator="equal">
      <formula>-1</formula>
    </cfRule>
  </conditionalFormatting>
  <conditionalFormatting sqref="H20">
    <cfRule type="cellIs" dxfId="19493" priority="131092" stopIfTrue="1" operator="lessThan">
      <formula>0.5</formula>
    </cfRule>
  </conditionalFormatting>
  <conditionalFormatting sqref="H20">
    <cfRule type="cellIs" dxfId="19492" priority="131093" stopIfTrue="1" operator="greaterThanOrEqual">
      <formula>0.5</formula>
    </cfRule>
  </conditionalFormatting>
  <conditionalFormatting sqref="H21">
    <cfRule type="cellIs" dxfId="19491" priority="131094" stopIfTrue="1" operator="equal">
      <formula>-1</formula>
    </cfRule>
  </conditionalFormatting>
  <conditionalFormatting sqref="H21">
    <cfRule type="cellIs" dxfId="19490" priority="131095" stopIfTrue="1" operator="lessThan">
      <formula>0.5</formula>
    </cfRule>
  </conditionalFormatting>
  <conditionalFormatting sqref="H21">
    <cfRule type="cellIs" dxfId="19489" priority="131096" stopIfTrue="1" operator="greaterThanOrEqual">
      <formula>0.5</formula>
    </cfRule>
  </conditionalFormatting>
  <conditionalFormatting sqref="H22">
    <cfRule type="cellIs" dxfId="19488" priority="131097" stopIfTrue="1" operator="equal">
      <formula>-1</formula>
    </cfRule>
  </conditionalFormatting>
  <conditionalFormatting sqref="H22">
    <cfRule type="cellIs" dxfId="19487" priority="131098" stopIfTrue="1" operator="lessThan">
      <formula>0.5</formula>
    </cfRule>
  </conditionalFormatting>
  <conditionalFormatting sqref="H22">
    <cfRule type="cellIs" dxfId="19486" priority="131099" stopIfTrue="1" operator="greaterThanOrEqual">
      <formula>0.5</formula>
    </cfRule>
  </conditionalFormatting>
  <conditionalFormatting sqref="H23">
    <cfRule type="cellIs" dxfId="19485" priority="131100" stopIfTrue="1" operator="equal">
      <formula>-1</formula>
    </cfRule>
  </conditionalFormatting>
  <conditionalFormatting sqref="H23">
    <cfRule type="cellIs" dxfId="19484" priority="131101" stopIfTrue="1" operator="lessThan">
      <formula>0.5</formula>
    </cfRule>
  </conditionalFormatting>
  <conditionalFormatting sqref="H23">
    <cfRule type="cellIs" dxfId="19483" priority="131102" stopIfTrue="1" operator="greaterThanOrEqual">
      <formula>0.5</formula>
    </cfRule>
  </conditionalFormatting>
  <conditionalFormatting sqref="H24">
    <cfRule type="cellIs" dxfId="19482" priority="131103" stopIfTrue="1" operator="equal">
      <formula>-1</formula>
    </cfRule>
  </conditionalFormatting>
  <conditionalFormatting sqref="H24">
    <cfRule type="cellIs" dxfId="19481" priority="131104" stopIfTrue="1" operator="lessThan">
      <formula>0.5</formula>
    </cfRule>
  </conditionalFormatting>
  <conditionalFormatting sqref="H24">
    <cfRule type="cellIs" dxfId="19480" priority="131105" stopIfTrue="1" operator="greaterThanOrEqual">
      <formula>0.5</formula>
    </cfRule>
  </conditionalFormatting>
  <conditionalFormatting sqref="H25">
    <cfRule type="cellIs" dxfId="19479" priority="131106" stopIfTrue="1" operator="equal">
      <formula>-1</formula>
    </cfRule>
  </conditionalFormatting>
  <conditionalFormatting sqref="H25">
    <cfRule type="cellIs" dxfId="19478" priority="131107" stopIfTrue="1" operator="lessThan">
      <formula>0.5</formula>
    </cfRule>
  </conditionalFormatting>
  <conditionalFormatting sqref="H25">
    <cfRule type="cellIs" dxfId="19477" priority="131108" stopIfTrue="1" operator="greaterThanOrEqual">
      <formula>0.5</formula>
    </cfRule>
  </conditionalFormatting>
  <conditionalFormatting sqref="H26">
    <cfRule type="cellIs" dxfId="19476" priority="131109" stopIfTrue="1" operator="equal">
      <formula>-1</formula>
    </cfRule>
  </conditionalFormatting>
  <conditionalFormatting sqref="H26">
    <cfRule type="cellIs" dxfId="19475" priority="131110" stopIfTrue="1" operator="lessThan">
      <formula>0.5</formula>
    </cfRule>
  </conditionalFormatting>
  <conditionalFormatting sqref="H26">
    <cfRule type="cellIs" dxfId="19474" priority="131111" stopIfTrue="1" operator="greaterThanOrEqual">
      <formula>0.5</formula>
    </cfRule>
  </conditionalFormatting>
  <conditionalFormatting sqref="H27">
    <cfRule type="cellIs" dxfId="19473" priority="131112" stopIfTrue="1" operator="equal">
      <formula>-1</formula>
    </cfRule>
  </conditionalFormatting>
  <conditionalFormatting sqref="H27">
    <cfRule type="cellIs" dxfId="19472" priority="131113" stopIfTrue="1" operator="lessThan">
      <formula>0.5</formula>
    </cfRule>
  </conditionalFormatting>
  <conditionalFormatting sqref="H27">
    <cfRule type="cellIs" dxfId="19471" priority="131114" stopIfTrue="1" operator="greaterThanOrEqual">
      <formula>0.5</formula>
    </cfRule>
  </conditionalFormatting>
  <conditionalFormatting sqref="H28">
    <cfRule type="cellIs" dxfId="19470" priority="131115" stopIfTrue="1" operator="equal">
      <formula>-1</formula>
    </cfRule>
  </conditionalFormatting>
  <conditionalFormatting sqref="H28">
    <cfRule type="cellIs" dxfId="19469" priority="131116" stopIfTrue="1" operator="lessThan">
      <formula>0.5</formula>
    </cfRule>
  </conditionalFormatting>
  <conditionalFormatting sqref="H28">
    <cfRule type="cellIs" dxfId="19468" priority="131117" stopIfTrue="1" operator="greaterThanOrEqual">
      <formula>0.5</formula>
    </cfRule>
  </conditionalFormatting>
  <conditionalFormatting sqref="H29">
    <cfRule type="cellIs" dxfId="19467" priority="131118" stopIfTrue="1" operator="equal">
      <formula>-1</formula>
    </cfRule>
  </conditionalFormatting>
  <conditionalFormatting sqref="H29">
    <cfRule type="cellIs" dxfId="19466" priority="131119" stopIfTrue="1" operator="lessThan">
      <formula>0.5</formula>
    </cfRule>
  </conditionalFormatting>
  <conditionalFormatting sqref="H29">
    <cfRule type="cellIs" dxfId="19465" priority="131120" stopIfTrue="1" operator="greaterThanOrEqual">
      <formula>0.5</formula>
    </cfRule>
  </conditionalFormatting>
  <conditionalFormatting sqref="H30">
    <cfRule type="cellIs" dxfId="19464" priority="131121" stopIfTrue="1" operator="equal">
      <formula>-1</formula>
    </cfRule>
  </conditionalFormatting>
  <conditionalFormatting sqref="H30">
    <cfRule type="cellIs" dxfId="19463" priority="131122" stopIfTrue="1" operator="lessThan">
      <formula>0.5</formula>
    </cfRule>
  </conditionalFormatting>
  <conditionalFormatting sqref="H30">
    <cfRule type="cellIs" dxfId="19462" priority="131123" stopIfTrue="1" operator="greaterThanOrEqual">
      <formula>0.5</formula>
    </cfRule>
  </conditionalFormatting>
  <conditionalFormatting sqref="H31">
    <cfRule type="cellIs" dxfId="19461" priority="131124" stopIfTrue="1" operator="equal">
      <formula>-1</formula>
    </cfRule>
  </conditionalFormatting>
  <conditionalFormatting sqref="H31">
    <cfRule type="cellIs" dxfId="19460" priority="131125" stopIfTrue="1" operator="lessThan">
      <formula>0.5</formula>
    </cfRule>
  </conditionalFormatting>
  <conditionalFormatting sqref="H31">
    <cfRule type="cellIs" dxfId="19459" priority="131126" stopIfTrue="1" operator="greaterThanOrEqual">
      <formula>0.5</formula>
    </cfRule>
  </conditionalFormatting>
  <conditionalFormatting sqref="H32">
    <cfRule type="cellIs" dxfId="19458" priority="131127" stopIfTrue="1" operator="equal">
      <formula>-1</formula>
    </cfRule>
  </conditionalFormatting>
  <conditionalFormatting sqref="H32">
    <cfRule type="cellIs" dxfId="19457" priority="131128" stopIfTrue="1" operator="lessThan">
      <formula>0.5</formula>
    </cfRule>
  </conditionalFormatting>
  <conditionalFormatting sqref="H32">
    <cfRule type="cellIs" dxfId="19456" priority="131129" stopIfTrue="1" operator="greaterThanOrEqual">
      <formula>0.5</formula>
    </cfRule>
  </conditionalFormatting>
  <conditionalFormatting sqref="H33">
    <cfRule type="cellIs" dxfId="19455" priority="131130" stopIfTrue="1" operator="equal">
      <formula>-1</formula>
    </cfRule>
  </conditionalFormatting>
  <conditionalFormatting sqref="H33">
    <cfRule type="cellIs" dxfId="19454" priority="131131" stopIfTrue="1" operator="lessThan">
      <formula>0.5</formula>
    </cfRule>
  </conditionalFormatting>
  <conditionalFormatting sqref="H33">
    <cfRule type="cellIs" dxfId="19453" priority="131132" stopIfTrue="1" operator="greaterThanOrEqual">
      <formula>0.5</formula>
    </cfRule>
  </conditionalFormatting>
  <conditionalFormatting sqref="H34">
    <cfRule type="cellIs" dxfId="19452" priority="131133" stopIfTrue="1" operator="equal">
      <formula>-1</formula>
    </cfRule>
  </conditionalFormatting>
  <conditionalFormatting sqref="H34">
    <cfRule type="cellIs" dxfId="19451" priority="131134" stopIfTrue="1" operator="lessThan">
      <formula>0.5</formula>
    </cfRule>
  </conditionalFormatting>
  <conditionalFormatting sqref="H34">
    <cfRule type="cellIs" dxfId="19450" priority="131135" stopIfTrue="1" operator="greaterThanOrEqual">
      <formula>0.5</formula>
    </cfRule>
  </conditionalFormatting>
  <conditionalFormatting sqref="H35">
    <cfRule type="cellIs" dxfId="19449" priority="131136" stopIfTrue="1" operator="equal">
      <formula>-1</formula>
    </cfRule>
  </conditionalFormatting>
  <conditionalFormatting sqref="H35">
    <cfRule type="cellIs" dxfId="19448" priority="131137" stopIfTrue="1" operator="lessThan">
      <formula>0.5</formula>
    </cfRule>
  </conditionalFormatting>
  <conditionalFormatting sqref="H35">
    <cfRule type="cellIs" dxfId="19447" priority="131138" stopIfTrue="1" operator="greaterThanOrEqual">
      <formula>0.5</formula>
    </cfRule>
  </conditionalFormatting>
  <conditionalFormatting sqref="H36">
    <cfRule type="cellIs" dxfId="19446" priority="131139" stopIfTrue="1" operator="equal">
      <formula>-1</formula>
    </cfRule>
  </conditionalFormatting>
  <conditionalFormatting sqref="H36">
    <cfRule type="cellIs" dxfId="19445" priority="131140" stopIfTrue="1" operator="lessThan">
      <formula>0.5</formula>
    </cfRule>
  </conditionalFormatting>
  <conditionalFormatting sqref="H36">
    <cfRule type="cellIs" dxfId="19444" priority="131141" stopIfTrue="1" operator="greaterThanOrEqual">
      <formula>0.5</formula>
    </cfRule>
  </conditionalFormatting>
  <conditionalFormatting sqref="H37">
    <cfRule type="cellIs" dxfId="19443" priority="131142" stopIfTrue="1" operator="equal">
      <formula>-1</formula>
    </cfRule>
  </conditionalFormatting>
  <conditionalFormatting sqref="H37">
    <cfRule type="cellIs" dxfId="19442" priority="131143" stopIfTrue="1" operator="lessThan">
      <formula>0.5</formula>
    </cfRule>
  </conditionalFormatting>
  <conditionalFormatting sqref="H37">
    <cfRule type="cellIs" dxfId="19441" priority="131144" stopIfTrue="1" operator="greaterThanOrEqual">
      <formula>0.5</formula>
    </cfRule>
  </conditionalFormatting>
  <conditionalFormatting sqref="J17">
    <cfRule type="cellIs" dxfId="19440" priority="131145" stopIfTrue="1" operator="equal">
      <formula>-1</formula>
    </cfRule>
  </conditionalFormatting>
  <conditionalFormatting sqref="J17">
    <cfRule type="cellIs" dxfId="19439" priority="131146" stopIfTrue="1" operator="lessThan">
      <formula>0.5</formula>
    </cfRule>
  </conditionalFormatting>
  <conditionalFormatting sqref="J17">
    <cfRule type="cellIs" dxfId="19438" priority="131147" stopIfTrue="1" operator="greaterThanOrEqual">
      <formula>0.5</formula>
    </cfRule>
  </conditionalFormatting>
  <conditionalFormatting sqref="J18">
    <cfRule type="cellIs" dxfId="19437" priority="131148" stopIfTrue="1" operator="equal">
      <formula>-1</formula>
    </cfRule>
  </conditionalFormatting>
  <conditionalFormatting sqref="J18">
    <cfRule type="cellIs" dxfId="19436" priority="131149" stopIfTrue="1" operator="lessThan">
      <formula>0.5</formula>
    </cfRule>
  </conditionalFormatting>
  <conditionalFormatting sqref="J18">
    <cfRule type="cellIs" dxfId="19435" priority="131150" stopIfTrue="1" operator="greaterThanOrEqual">
      <formula>0.5</formula>
    </cfRule>
  </conditionalFormatting>
  <conditionalFormatting sqref="J19">
    <cfRule type="cellIs" dxfId="19434" priority="131151" stopIfTrue="1" operator="equal">
      <formula>-1</formula>
    </cfRule>
  </conditionalFormatting>
  <conditionalFormatting sqref="J19">
    <cfRule type="cellIs" dxfId="19433" priority="131152" stopIfTrue="1" operator="lessThan">
      <formula>0.5</formula>
    </cfRule>
  </conditionalFormatting>
  <conditionalFormatting sqref="J19">
    <cfRule type="cellIs" dxfId="19432" priority="131153" stopIfTrue="1" operator="greaterThanOrEqual">
      <formula>0.5</formula>
    </cfRule>
  </conditionalFormatting>
  <conditionalFormatting sqref="J20">
    <cfRule type="cellIs" dxfId="19431" priority="131154" stopIfTrue="1" operator="equal">
      <formula>-1</formula>
    </cfRule>
  </conditionalFormatting>
  <conditionalFormatting sqref="J20">
    <cfRule type="cellIs" dxfId="19430" priority="131155" stopIfTrue="1" operator="lessThan">
      <formula>0.5</formula>
    </cfRule>
  </conditionalFormatting>
  <conditionalFormatting sqref="J20">
    <cfRule type="cellIs" dxfId="19429" priority="131156" stopIfTrue="1" operator="greaterThanOrEqual">
      <formula>0.5</formula>
    </cfRule>
  </conditionalFormatting>
  <conditionalFormatting sqref="J21">
    <cfRule type="cellIs" dxfId="19428" priority="131157" stopIfTrue="1" operator="equal">
      <formula>-1</formula>
    </cfRule>
  </conditionalFormatting>
  <conditionalFormatting sqref="J21">
    <cfRule type="cellIs" dxfId="19427" priority="131158" stopIfTrue="1" operator="lessThan">
      <formula>0.5</formula>
    </cfRule>
  </conditionalFormatting>
  <conditionalFormatting sqref="J21">
    <cfRule type="cellIs" dxfId="19426" priority="131159" stopIfTrue="1" operator="greaterThanOrEqual">
      <formula>0.5</formula>
    </cfRule>
  </conditionalFormatting>
  <conditionalFormatting sqref="J22">
    <cfRule type="cellIs" dxfId="19425" priority="131160" stopIfTrue="1" operator="equal">
      <formula>-1</formula>
    </cfRule>
  </conditionalFormatting>
  <conditionalFormatting sqref="J22">
    <cfRule type="cellIs" dxfId="19424" priority="131161" stopIfTrue="1" operator="lessThan">
      <formula>0.5</formula>
    </cfRule>
  </conditionalFormatting>
  <conditionalFormatting sqref="J22">
    <cfRule type="cellIs" dxfId="19423" priority="131162" stopIfTrue="1" operator="greaterThanOrEqual">
      <formula>0.5</formula>
    </cfRule>
  </conditionalFormatting>
  <conditionalFormatting sqref="J23">
    <cfRule type="cellIs" dxfId="19422" priority="131163" stopIfTrue="1" operator="equal">
      <formula>-1</formula>
    </cfRule>
  </conditionalFormatting>
  <conditionalFormatting sqref="J23">
    <cfRule type="cellIs" dxfId="19421" priority="131164" stopIfTrue="1" operator="lessThan">
      <formula>0.5</formula>
    </cfRule>
  </conditionalFormatting>
  <conditionalFormatting sqref="J23">
    <cfRule type="cellIs" dxfId="19420" priority="131165" stopIfTrue="1" operator="greaterThanOrEqual">
      <formula>0.5</formula>
    </cfRule>
  </conditionalFormatting>
  <conditionalFormatting sqref="J24">
    <cfRule type="cellIs" dxfId="19419" priority="131166" stopIfTrue="1" operator="equal">
      <formula>-1</formula>
    </cfRule>
  </conditionalFormatting>
  <conditionalFormatting sqref="J24">
    <cfRule type="cellIs" dxfId="19418" priority="131167" stopIfTrue="1" operator="lessThan">
      <formula>0.5</formula>
    </cfRule>
  </conditionalFormatting>
  <conditionalFormatting sqref="J24">
    <cfRule type="cellIs" dxfId="19417" priority="131168" stopIfTrue="1" operator="greaterThanOrEqual">
      <formula>0.5</formula>
    </cfRule>
  </conditionalFormatting>
  <conditionalFormatting sqref="J25">
    <cfRule type="cellIs" dxfId="19416" priority="131169" stopIfTrue="1" operator="equal">
      <formula>-1</formula>
    </cfRule>
  </conditionalFormatting>
  <conditionalFormatting sqref="J25">
    <cfRule type="cellIs" dxfId="19415" priority="131170" stopIfTrue="1" operator="lessThan">
      <formula>0.5</formula>
    </cfRule>
  </conditionalFormatting>
  <conditionalFormatting sqref="J25">
    <cfRule type="cellIs" dxfId="19414" priority="131171" stopIfTrue="1" operator="greaterThanOrEqual">
      <formula>0.5</formula>
    </cfRule>
  </conditionalFormatting>
  <conditionalFormatting sqref="J26">
    <cfRule type="cellIs" dxfId="19413" priority="131172" stopIfTrue="1" operator="equal">
      <formula>-1</formula>
    </cfRule>
  </conditionalFormatting>
  <conditionalFormatting sqref="J26">
    <cfRule type="cellIs" dxfId="19412" priority="131173" stopIfTrue="1" operator="lessThan">
      <formula>0.5</formula>
    </cfRule>
  </conditionalFormatting>
  <conditionalFormatting sqref="J26">
    <cfRule type="cellIs" dxfId="19411" priority="131174" stopIfTrue="1" operator="greaterThanOrEqual">
      <formula>0.5</formula>
    </cfRule>
  </conditionalFormatting>
  <conditionalFormatting sqref="J27">
    <cfRule type="cellIs" dxfId="19410" priority="131175" stopIfTrue="1" operator="equal">
      <formula>-1</formula>
    </cfRule>
  </conditionalFormatting>
  <conditionalFormatting sqref="J27">
    <cfRule type="cellIs" dxfId="19409" priority="131176" stopIfTrue="1" operator="lessThan">
      <formula>0.5</formula>
    </cfRule>
  </conditionalFormatting>
  <conditionalFormatting sqref="J27">
    <cfRule type="cellIs" dxfId="19408" priority="131177" stopIfTrue="1" operator="greaterThanOrEqual">
      <formula>0.5</formula>
    </cfRule>
  </conditionalFormatting>
  <conditionalFormatting sqref="J28">
    <cfRule type="cellIs" dxfId="19407" priority="131178" stopIfTrue="1" operator="equal">
      <formula>-1</formula>
    </cfRule>
  </conditionalFormatting>
  <conditionalFormatting sqref="J28">
    <cfRule type="cellIs" dxfId="19406" priority="131179" stopIfTrue="1" operator="lessThan">
      <formula>0.5</formula>
    </cfRule>
  </conditionalFormatting>
  <conditionalFormatting sqref="J28">
    <cfRule type="cellIs" dxfId="19405" priority="131180" stopIfTrue="1" operator="greaterThanOrEqual">
      <formula>0.5</formula>
    </cfRule>
  </conditionalFormatting>
  <conditionalFormatting sqref="J29">
    <cfRule type="cellIs" dxfId="19404" priority="131181" stopIfTrue="1" operator="equal">
      <formula>-1</formula>
    </cfRule>
  </conditionalFormatting>
  <conditionalFormatting sqref="J29">
    <cfRule type="cellIs" dxfId="19403" priority="131182" stopIfTrue="1" operator="lessThan">
      <formula>0.5</formula>
    </cfRule>
  </conditionalFormatting>
  <conditionalFormatting sqref="J29">
    <cfRule type="cellIs" dxfId="19402" priority="131183" stopIfTrue="1" operator="greaterThanOrEqual">
      <formula>0.5</formula>
    </cfRule>
  </conditionalFormatting>
  <conditionalFormatting sqref="J30">
    <cfRule type="cellIs" dxfId="19401" priority="131184" stopIfTrue="1" operator="equal">
      <formula>-1</formula>
    </cfRule>
  </conditionalFormatting>
  <conditionalFormatting sqref="J30">
    <cfRule type="cellIs" dxfId="19400" priority="131185" stopIfTrue="1" operator="lessThan">
      <formula>0.5</formula>
    </cfRule>
  </conditionalFormatting>
  <conditionalFormatting sqref="J30">
    <cfRule type="cellIs" dxfId="19399" priority="131186" stopIfTrue="1" operator="greaterThanOrEqual">
      <formula>0.5</formula>
    </cfRule>
  </conditionalFormatting>
  <conditionalFormatting sqref="J31">
    <cfRule type="cellIs" dxfId="19398" priority="131187" stopIfTrue="1" operator="equal">
      <formula>-1</formula>
    </cfRule>
  </conditionalFormatting>
  <conditionalFormatting sqref="J31">
    <cfRule type="cellIs" dxfId="19397" priority="131188" stopIfTrue="1" operator="lessThan">
      <formula>0.5</formula>
    </cfRule>
  </conditionalFormatting>
  <conditionalFormatting sqref="J31">
    <cfRule type="cellIs" dxfId="19396" priority="131189" stopIfTrue="1" operator="greaterThanOrEqual">
      <formula>0.5</formula>
    </cfRule>
  </conditionalFormatting>
  <conditionalFormatting sqref="J32">
    <cfRule type="cellIs" dxfId="19395" priority="131190" stopIfTrue="1" operator="equal">
      <formula>-1</formula>
    </cfRule>
  </conditionalFormatting>
  <conditionalFormatting sqref="J32">
    <cfRule type="cellIs" dxfId="19394" priority="131191" stopIfTrue="1" operator="lessThan">
      <formula>0.5</formula>
    </cfRule>
  </conditionalFormatting>
  <conditionalFormatting sqref="J32">
    <cfRule type="cellIs" dxfId="19393" priority="131192" stopIfTrue="1" operator="greaterThanOrEqual">
      <formula>0.5</formula>
    </cfRule>
  </conditionalFormatting>
  <conditionalFormatting sqref="J33">
    <cfRule type="cellIs" dxfId="19392" priority="131193" stopIfTrue="1" operator="equal">
      <formula>-1</formula>
    </cfRule>
  </conditionalFormatting>
  <conditionalFormatting sqref="J33">
    <cfRule type="cellIs" dxfId="19391" priority="131194" stopIfTrue="1" operator="lessThan">
      <formula>0.5</formula>
    </cfRule>
  </conditionalFormatting>
  <conditionalFormatting sqref="J33">
    <cfRule type="cellIs" dxfId="19390" priority="131195" stopIfTrue="1" operator="greaterThanOrEqual">
      <formula>0.5</formula>
    </cfRule>
  </conditionalFormatting>
  <conditionalFormatting sqref="J34">
    <cfRule type="cellIs" dxfId="19389" priority="131196" stopIfTrue="1" operator="equal">
      <formula>-1</formula>
    </cfRule>
  </conditionalFormatting>
  <conditionalFormatting sqref="J34">
    <cfRule type="cellIs" dxfId="19388" priority="131197" stopIfTrue="1" operator="lessThan">
      <formula>0.5</formula>
    </cfRule>
  </conditionalFormatting>
  <conditionalFormatting sqref="J34">
    <cfRule type="cellIs" dxfId="19387" priority="131198" stopIfTrue="1" operator="greaterThanOrEqual">
      <formula>0.5</formula>
    </cfRule>
  </conditionalFormatting>
  <conditionalFormatting sqref="J35">
    <cfRule type="cellIs" dxfId="19386" priority="131199" stopIfTrue="1" operator="equal">
      <formula>-1</formula>
    </cfRule>
  </conditionalFormatting>
  <conditionalFormatting sqref="J35">
    <cfRule type="cellIs" dxfId="19385" priority="131200" stopIfTrue="1" operator="lessThan">
      <formula>0.5</formula>
    </cfRule>
  </conditionalFormatting>
  <conditionalFormatting sqref="J35">
    <cfRule type="cellIs" dxfId="19384" priority="131201" stopIfTrue="1" operator="greaterThanOrEqual">
      <formula>0.5</formula>
    </cfRule>
  </conditionalFormatting>
  <conditionalFormatting sqref="J36">
    <cfRule type="cellIs" dxfId="19383" priority="131202" stopIfTrue="1" operator="equal">
      <formula>-1</formula>
    </cfRule>
  </conditionalFormatting>
  <conditionalFormatting sqref="J36">
    <cfRule type="cellIs" dxfId="19382" priority="131203" stopIfTrue="1" operator="lessThan">
      <formula>0.5</formula>
    </cfRule>
  </conditionalFormatting>
  <conditionalFormatting sqref="J36">
    <cfRule type="cellIs" dxfId="19381" priority="131204" stopIfTrue="1" operator="greaterThanOrEqual">
      <formula>0.5</formula>
    </cfRule>
  </conditionalFormatting>
  <conditionalFormatting sqref="J37">
    <cfRule type="cellIs" dxfId="19380" priority="131205" stopIfTrue="1" operator="equal">
      <formula>-1</formula>
    </cfRule>
  </conditionalFormatting>
  <conditionalFormatting sqref="J37">
    <cfRule type="cellIs" dxfId="19379" priority="131206" stopIfTrue="1" operator="lessThan">
      <formula>0.5</formula>
    </cfRule>
  </conditionalFormatting>
  <conditionalFormatting sqref="J37">
    <cfRule type="cellIs" dxfId="19378" priority="131207" stopIfTrue="1" operator="greaterThanOrEqual">
      <formula>0.5</formula>
    </cfRule>
  </conditionalFormatting>
  <conditionalFormatting sqref="L17">
    <cfRule type="cellIs" dxfId="19377" priority="131208" stopIfTrue="1" operator="equal">
      <formula>-1</formula>
    </cfRule>
  </conditionalFormatting>
  <conditionalFormatting sqref="L17">
    <cfRule type="cellIs" dxfId="19376" priority="131209" stopIfTrue="1" operator="lessThan">
      <formula>0.5</formula>
    </cfRule>
  </conditionalFormatting>
  <conditionalFormatting sqref="L17">
    <cfRule type="cellIs" dxfId="19375" priority="131210" stopIfTrue="1" operator="greaterThanOrEqual">
      <formula>0.5</formula>
    </cfRule>
  </conditionalFormatting>
  <conditionalFormatting sqref="L18">
    <cfRule type="cellIs" dxfId="19374" priority="131211" stopIfTrue="1" operator="equal">
      <formula>-1</formula>
    </cfRule>
  </conditionalFormatting>
  <conditionalFormatting sqref="L18">
    <cfRule type="cellIs" dxfId="19373" priority="131212" stopIfTrue="1" operator="lessThan">
      <formula>0.5</formula>
    </cfRule>
  </conditionalFormatting>
  <conditionalFormatting sqref="L18">
    <cfRule type="cellIs" dxfId="19372" priority="131213" stopIfTrue="1" operator="greaterThanOrEqual">
      <formula>0.5</formula>
    </cfRule>
  </conditionalFormatting>
  <conditionalFormatting sqref="L19">
    <cfRule type="cellIs" dxfId="19371" priority="131214" stopIfTrue="1" operator="equal">
      <formula>-1</formula>
    </cfRule>
  </conditionalFormatting>
  <conditionalFormatting sqref="L19">
    <cfRule type="cellIs" dxfId="19370" priority="131215" stopIfTrue="1" operator="lessThan">
      <formula>0.5</formula>
    </cfRule>
  </conditionalFormatting>
  <conditionalFormatting sqref="L19">
    <cfRule type="cellIs" dxfId="19369" priority="131216" stopIfTrue="1" operator="greaterThanOrEqual">
      <formula>0.5</formula>
    </cfRule>
  </conditionalFormatting>
  <conditionalFormatting sqref="L20">
    <cfRule type="cellIs" dxfId="19368" priority="131217" stopIfTrue="1" operator="equal">
      <formula>-1</formula>
    </cfRule>
  </conditionalFormatting>
  <conditionalFormatting sqref="L20">
    <cfRule type="cellIs" dxfId="19367" priority="131218" stopIfTrue="1" operator="lessThan">
      <formula>0.5</formula>
    </cfRule>
  </conditionalFormatting>
  <conditionalFormatting sqref="L20">
    <cfRule type="cellIs" dxfId="19366" priority="131219" stopIfTrue="1" operator="greaterThanOrEqual">
      <formula>0.5</formula>
    </cfRule>
  </conditionalFormatting>
  <conditionalFormatting sqref="L21">
    <cfRule type="cellIs" dxfId="19365" priority="131220" stopIfTrue="1" operator="equal">
      <formula>-1</formula>
    </cfRule>
  </conditionalFormatting>
  <conditionalFormatting sqref="L21">
    <cfRule type="cellIs" dxfId="19364" priority="131221" stopIfTrue="1" operator="lessThan">
      <formula>0.5</formula>
    </cfRule>
  </conditionalFormatting>
  <conditionalFormatting sqref="L21">
    <cfRule type="cellIs" dxfId="19363" priority="131222" stopIfTrue="1" operator="greaterThanOrEqual">
      <formula>0.5</formula>
    </cfRule>
  </conditionalFormatting>
  <conditionalFormatting sqref="L22">
    <cfRule type="cellIs" dxfId="19362" priority="131223" stopIfTrue="1" operator="equal">
      <formula>-1</formula>
    </cfRule>
  </conditionalFormatting>
  <conditionalFormatting sqref="L22">
    <cfRule type="cellIs" dxfId="19361" priority="131224" stopIfTrue="1" operator="lessThan">
      <formula>0.5</formula>
    </cfRule>
  </conditionalFormatting>
  <conditionalFormatting sqref="L22">
    <cfRule type="cellIs" dxfId="19360" priority="131225" stopIfTrue="1" operator="greaterThanOrEqual">
      <formula>0.5</formula>
    </cfRule>
  </conditionalFormatting>
  <conditionalFormatting sqref="L23">
    <cfRule type="cellIs" dxfId="19359" priority="131226" stopIfTrue="1" operator="equal">
      <formula>-1</formula>
    </cfRule>
  </conditionalFormatting>
  <conditionalFormatting sqref="L23">
    <cfRule type="cellIs" dxfId="19358" priority="131227" stopIfTrue="1" operator="lessThan">
      <formula>0.5</formula>
    </cfRule>
  </conditionalFormatting>
  <conditionalFormatting sqref="L23">
    <cfRule type="cellIs" dxfId="19357" priority="131228" stopIfTrue="1" operator="greaterThanOrEqual">
      <formula>0.5</formula>
    </cfRule>
  </conditionalFormatting>
  <conditionalFormatting sqref="L24">
    <cfRule type="cellIs" dxfId="19356" priority="131229" stopIfTrue="1" operator="equal">
      <formula>-1</formula>
    </cfRule>
  </conditionalFormatting>
  <conditionalFormatting sqref="L24">
    <cfRule type="cellIs" dxfId="19355" priority="131230" stopIfTrue="1" operator="lessThan">
      <formula>0.5</formula>
    </cfRule>
  </conditionalFormatting>
  <conditionalFormatting sqref="L24">
    <cfRule type="cellIs" dxfId="19354" priority="131231" stopIfTrue="1" operator="greaterThanOrEqual">
      <formula>0.5</formula>
    </cfRule>
  </conditionalFormatting>
  <conditionalFormatting sqref="L25">
    <cfRule type="cellIs" dxfId="19353" priority="131232" stopIfTrue="1" operator="equal">
      <formula>-1</formula>
    </cfRule>
  </conditionalFormatting>
  <conditionalFormatting sqref="L25">
    <cfRule type="cellIs" dxfId="19352" priority="131233" stopIfTrue="1" operator="lessThan">
      <formula>0.5</formula>
    </cfRule>
  </conditionalFormatting>
  <conditionalFormatting sqref="L25">
    <cfRule type="cellIs" dxfId="19351" priority="131234" stopIfTrue="1" operator="greaterThanOrEqual">
      <formula>0.5</formula>
    </cfRule>
  </conditionalFormatting>
  <conditionalFormatting sqref="L26">
    <cfRule type="cellIs" dxfId="19350" priority="131235" stopIfTrue="1" operator="equal">
      <formula>-1</formula>
    </cfRule>
  </conditionalFormatting>
  <conditionalFormatting sqref="L26">
    <cfRule type="cellIs" dxfId="19349" priority="131236" stopIfTrue="1" operator="lessThan">
      <formula>0.5</formula>
    </cfRule>
  </conditionalFormatting>
  <conditionalFormatting sqref="L26">
    <cfRule type="cellIs" dxfId="19348" priority="131237" stopIfTrue="1" operator="greaterThanOrEqual">
      <formula>0.5</formula>
    </cfRule>
  </conditionalFormatting>
  <conditionalFormatting sqref="L27">
    <cfRule type="cellIs" dxfId="19347" priority="131238" stopIfTrue="1" operator="equal">
      <formula>-1</formula>
    </cfRule>
  </conditionalFormatting>
  <conditionalFormatting sqref="L27">
    <cfRule type="cellIs" dxfId="19346" priority="131239" stopIfTrue="1" operator="lessThan">
      <formula>0.5</formula>
    </cfRule>
  </conditionalFormatting>
  <conditionalFormatting sqref="L27">
    <cfRule type="cellIs" dxfId="19345" priority="131240" stopIfTrue="1" operator="greaterThanOrEqual">
      <formula>0.5</formula>
    </cfRule>
  </conditionalFormatting>
  <conditionalFormatting sqref="L28">
    <cfRule type="cellIs" dxfId="19344" priority="131241" stopIfTrue="1" operator="equal">
      <formula>-1</formula>
    </cfRule>
  </conditionalFormatting>
  <conditionalFormatting sqref="L28">
    <cfRule type="cellIs" dxfId="19343" priority="131242" stopIfTrue="1" operator="lessThan">
      <formula>0.5</formula>
    </cfRule>
  </conditionalFormatting>
  <conditionalFormatting sqref="L28">
    <cfRule type="cellIs" dxfId="19342" priority="131243" stopIfTrue="1" operator="greaterThanOrEqual">
      <formula>0.5</formula>
    </cfRule>
  </conditionalFormatting>
  <conditionalFormatting sqref="L29">
    <cfRule type="cellIs" dxfId="19341" priority="131244" stopIfTrue="1" operator="equal">
      <formula>-1</formula>
    </cfRule>
  </conditionalFormatting>
  <conditionalFormatting sqref="L29">
    <cfRule type="cellIs" dxfId="19340" priority="131245" stopIfTrue="1" operator="lessThan">
      <formula>0.5</formula>
    </cfRule>
  </conditionalFormatting>
  <conditionalFormatting sqref="L29">
    <cfRule type="cellIs" dxfId="19339" priority="131246" stopIfTrue="1" operator="greaterThanOrEqual">
      <formula>0.5</formula>
    </cfRule>
  </conditionalFormatting>
  <conditionalFormatting sqref="L30">
    <cfRule type="cellIs" dxfId="19338" priority="131247" stopIfTrue="1" operator="equal">
      <formula>-1</formula>
    </cfRule>
  </conditionalFormatting>
  <conditionalFormatting sqref="L30">
    <cfRule type="cellIs" dxfId="19337" priority="131248" stopIfTrue="1" operator="lessThan">
      <formula>0.5</formula>
    </cfRule>
  </conditionalFormatting>
  <conditionalFormatting sqref="L30">
    <cfRule type="cellIs" dxfId="19336" priority="131249" stopIfTrue="1" operator="greaterThanOrEqual">
      <formula>0.5</formula>
    </cfRule>
  </conditionalFormatting>
  <conditionalFormatting sqref="L31">
    <cfRule type="cellIs" dxfId="19335" priority="131250" stopIfTrue="1" operator="equal">
      <formula>-1</formula>
    </cfRule>
  </conditionalFormatting>
  <conditionalFormatting sqref="L31">
    <cfRule type="cellIs" dxfId="19334" priority="131251" stopIfTrue="1" operator="lessThan">
      <formula>0.5</formula>
    </cfRule>
  </conditionalFormatting>
  <conditionalFormatting sqref="L31">
    <cfRule type="cellIs" dxfId="19333" priority="131252" stopIfTrue="1" operator="greaterThanOrEqual">
      <formula>0.5</formula>
    </cfRule>
  </conditionalFormatting>
  <conditionalFormatting sqref="L32">
    <cfRule type="cellIs" dxfId="19332" priority="131253" stopIfTrue="1" operator="equal">
      <formula>-1</formula>
    </cfRule>
  </conditionalFormatting>
  <conditionalFormatting sqref="L32">
    <cfRule type="cellIs" dxfId="19331" priority="131254" stopIfTrue="1" operator="lessThan">
      <formula>0.5</formula>
    </cfRule>
  </conditionalFormatting>
  <conditionalFormatting sqref="L32">
    <cfRule type="cellIs" dxfId="19330" priority="131255" stopIfTrue="1" operator="greaterThanOrEqual">
      <formula>0.5</formula>
    </cfRule>
  </conditionalFormatting>
  <conditionalFormatting sqref="L33">
    <cfRule type="cellIs" dxfId="19329" priority="131256" stopIfTrue="1" operator="equal">
      <formula>-1</formula>
    </cfRule>
  </conditionalFormatting>
  <conditionalFormatting sqref="L33">
    <cfRule type="cellIs" dxfId="19328" priority="131257" stopIfTrue="1" operator="lessThan">
      <formula>0.5</formula>
    </cfRule>
  </conditionalFormatting>
  <conditionalFormatting sqref="L33">
    <cfRule type="cellIs" dxfId="19327" priority="131258" stopIfTrue="1" operator="greaterThanOrEqual">
      <formula>0.5</formula>
    </cfRule>
  </conditionalFormatting>
  <conditionalFormatting sqref="L34">
    <cfRule type="cellIs" dxfId="19326" priority="131259" stopIfTrue="1" operator="equal">
      <formula>-1</formula>
    </cfRule>
  </conditionalFormatting>
  <conditionalFormatting sqref="L34">
    <cfRule type="cellIs" dxfId="19325" priority="131260" stopIfTrue="1" operator="lessThan">
      <formula>0.5</formula>
    </cfRule>
  </conditionalFormatting>
  <conditionalFormatting sqref="L34">
    <cfRule type="cellIs" dxfId="19324" priority="131261" stopIfTrue="1" operator="greaterThanOrEqual">
      <formula>0.5</formula>
    </cfRule>
  </conditionalFormatting>
  <conditionalFormatting sqref="L35">
    <cfRule type="cellIs" dxfId="19323" priority="131262" stopIfTrue="1" operator="equal">
      <formula>-1</formula>
    </cfRule>
  </conditionalFormatting>
  <conditionalFormatting sqref="L35">
    <cfRule type="cellIs" dxfId="19322" priority="131263" stopIfTrue="1" operator="lessThan">
      <formula>0.5</formula>
    </cfRule>
  </conditionalFormatting>
  <conditionalFormatting sqref="L35">
    <cfRule type="cellIs" dxfId="19321" priority="131264" stopIfTrue="1" operator="greaterThanOrEqual">
      <formula>0.5</formula>
    </cfRule>
  </conditionalFormatting>
  <conditionalFormatting sqref="L36">
    <cfRule type="cellIs" dxfId="19320" priority="131265" stopIfTrue="1" operator="equal">
      <formula>-1</formula>
    </cfRule>
  </conditionalFormatting>
  <conditionalFormatting sqref="L36">
    <cfRule type="cellIs" dxfId="19319" priority="131266" stopIfTrue="1" operator="lessThan">
      <formula>0.5</formula>
    </cfRule>
  </conditionalFormatting>
  <conditionalFormatting sqref="L36">
    <cfRule type="cellIs" dxfId="19318" priority="131267" stopIfTrue="1" operator="greaterThanOrEqual">
      <formula>0.5</formula>
    </cfRule>
  </conditionalFormatting>
  <conditionalFormatting sqref="L37">
    <cfRule type="cellIs" dxfId="19317" priority="131268" stopIfTrue="1" operator="equal">
      <formula>-1</formula>
    </cfRule>
  </conditionalFormatting>
  <conditionalFormatting sqref="L37">
    <cfRule type="cellIs" dxfId="19316" priority="131269" stopIfTrue="1" operator="lessThan">
      <formula>0.5</formula>
    </cfRule>
  </conditionalFormatting>
  <conditionalFormatting sqref="L37">
    <cfRule type="cellIs" dxfId="19315" priority="131270" stopIfTrue="1" operator="greaterThanOrEqual">
      <formula>0.5</formula>
    </cfRule>
  </conditionalFormatting>
  <conditionalFormatting sqref="N17">
    <cfRule type="cellIs" dxfId="19314" priority="131271" stopIfTrue="1" operator="equal">
      <formula>-1</formula>
    </cfRule>
  </conditionalFormatting>
  <conditionalFormatting sqref="N17">
    <cfRule type="cellIs" dxfId="19313" priority="131272" stopIfTrue="1" operator="lessThan">
      <formula>0.5</formula>
    </cfRule>
  </conditionalFormatting>
  <conditionalFormatting sqref="N17">
    <cfRule type="cellIs" dxfId="19312" priority="131273" stopIfTrue="1" operator="greaterThanOrEqual">
      <formula>0.5</formula>
    </cfRule>
  </conditionalFormatting>
  <conditionalFormatting sqref="N18">
    <cfRule type="cellIs" dxfId="19311" priority="131274" stopIfTrue="1" operator="equal">
      <formula>-1</formula>
    </cfRule>
  </conditionalFormatting>
  <conditionalFormatting sqref="N18">
    <cfRule type="cellIs" dxfId="19310" priority="131275" stopIfTrue="1" operator="lessThan">
      <formula>0.5</formula>
    </cfRule>
  </conditionalFormatting>
  <conditionalFormatting sqref="N18">
    <cfRule type="cellIs" dxfId="19309" priority="131276" stopIfTrue="1" operator="greaterThanOrEqual">
      <formula>0.5</formula>
    </cfRule>
  </conditionalFormatting>
  <conditionalFormatting sqref="N19">
    <cfRule type="cellIs" dxfId="19308" priority="131277" stopIfTrue="1" operator="equal">
      <formula>-1</formula>
    </cfRule>
  </conditionalFormatting>
  <conditionalFormatting sqref="N19">
    <cfRule type="cellIs" dxfId="19307" priority="131278" stopIfTrue="1" operator="lessThan">
      <formula>0.5</formula>
    </cfRule>
  </conditionalFormatting>
  <conditionalFormatting sqref="N19">
    <cfRule type="cellIs" dxfId="19306" priority="131279" stopIfTrue="1" operator="greaterThanOrEqual">
      <formula>0.5</formula>
    </cfRule>
  </conditionalFormatting>
  <conditionalFormatting sqref="N20">
    <cfRule type="cellIs" dxfId="19305" priority="131280" stopIfTrue="1" operator="equal">
      <formula>-1</formula>
    </cfRule>
  </conditionalFormatting>
  <conditionalFormatting sqref="N20">
    <cfRule type="cellIs" dxfId="19304" priority="131281" stopIfTrue="1" operator="lessThan">
      <formula>0.5</formula>
    </cfRule>
  </conditionalFormatting>
  <conditionalFormatting sqref="N20">
    <cfRule type="cellIs" dxfId="19303" priority="131282" stopIfTrue="1" operator="greaterThanOrEqual">
      <formula>0.5</formula>
    </cfRule>
  </conditionalFormatting>
  <conditionalFormatting sqref="N21">
    <cfRule type="cellIs" dxfId="19302" priority="131283" stopIfTrue="1" operator="equal">
      <formula>-1</formula>
    </cfRule>
  </conditionalFormatting>
  <conditionalFormatting sqref="N21">
    <cfRule type="cellIs" dxfId="19301" priority="131284" stopIfTrue="1" operator="lessThan">
      <formula>0.5</formula>
    </cfRule>
  </conditionalFormatting>
  <conditionalFormatting sqref="N21">
    <cfRule type="cellIs" dxfId="19300" priority="131285" stopIfTrue="1" operator="greaterThanOrEqual">
      <formula>0.5</formula>
    </cfRule>
  </conditionalFormatting>
  <conditionalFormatting sqref="N22">
    <cfRule type="cellIs" dxfId="19299" priority="131286" stopIfTrue="1" operator="equal">
      <formula>-1</formula>
    </cfRule>
  </conditionalFormatting>
  <conditionalFormatting sqref="N22">
    <cfRule type="cellIs" dxfId="19298" priority="131287" stopIfTrue="1" operator="lessThan">
      <formula>0.5</formula>
    </cfRule>
  </conditionalFormatting>
  <conditionalFormatting sqref="N22">
    <cfRule type="cellIs" dxfId="19297" priority="131288" stopIfTrue="1" operator="greaterThanOrEqual">
      <formula>0.5</formula>
    </cfRule>
  </conditionalFormatting>
  <conditionalFormatting sqref="N23">
    <cfRule type="cellIs" dxfId="19296" priority="131289" stopIfTrue="1" operator="equal">
      <formula>-1</formula>
    </cfRule>
  </conditionalFormatting>
  <conditionalFormatting sqref="N23">
    <cfRule type="cellIs" dxfId="19295" priority="131290" stopIfTrue="1" operator="lessThan">
      <formula>0.5</formula>
    </cfRule>
  </conditionalFormatting>
  <conditionalFormatting sqref="N23">
    <cfRule type="cellIs" dxfId="19294" priority="131291" stopIfTrue="1" operator="greaterThanOrEqual">
      <formula>0.5</formula>
    </cfRule>
  </conditionalFormatting>
  <conditionalFormatting sqref="N24">
    <cfRule type="cellIs" dxfId="19293" priority="131292" stopIfTrue="1" operator="equal">
      <formula>-1</formula>
    </cfRule>
  </conditionalFormatting>
  <conditionalFormatting sqref="N24">
    <cfRule type="cellIs" dxfId="19292" priority="131293" stopIfTrue="1" operator="lessThan">
      <formula>0.5</formula>
    </cfRule>
  </conditionalFormatting>
  <conditionalFormatting sqref="N24">
    <cfRule type="cellIs" dxfId="19291" priority="131294" stopIfTrue="1" operator="greaterThanOrEqual">
      <formula>0.5</formula>
    </cfRule>
  </conditionalFormatting>
  <conditionalFormatting sqref="N25">
    <cfRule type="cellIs" dxfId="19290" priority="131295" stopIfTrue="1" operator="equal">
      <formula>-1</formula>
    </cfRule>
  </conditionalFormatting>
  <conditionalFormatting sqref="N25">
    <cfRule type="cellIs" dxfId="19289" priority="131296" stopIfTrue="1" operator="lessThan">
      <formula>0.5</formula>
    </cfRule>
  </conditionalFormatting>
  <conditionalFormatting sqref="N25">
    <cfRule type="cellIs" dxfId="19288" priority="131297" stopIfTrue="1" operator="greaterThanOrEqual">
      <formula>0.5</formula>
    </cfRule>
  </conditionalFormatting>
  <conditionalFormatting sqref="N26">
    <cfRule type="cellIs" dxfId="19287" priority="131298" stopIfTrue="1" operator="equal">
      <formula>-1</formula>
    </cfRule>
  </conditionalFormatting>
  <conditionalFormatting sqref="N26">
    <cfRule type="cellIs" dxfId="19286" priority="131299" stopIfTrue="1" operator="lessThan">
      <formula>0.5</formula>
    </cfRule>
  </conditionalFormatting>
  <conditionalFormatting sqref="N26">
    <cfRule type="cellIs" dxfId="19285" priority="131300" stopIfTrue="1" operator="greaterThanOrEqual">
      <formula>0.5</formula>
    </cfRule>
  </conditionalFormatting>
  <conditionalFormatting sqref="N27">
    <cfRule type="cellIs" dxfId="19284" priority="131301" stopIfTrue="1" operator="equal">
      <formula>-1</formula>
    </cfRule>
  </conditionalFormatting>
  <conditionalFormatting sqref="N27">
    <cfRule type="cellIs" dxfId="19283" priority="131302" stopIfTrue="1" operator="lessThan">
      <formula>0.5</formula>
    </cfRule>
  </conditionalFormatting>
  <conditionalFormatting sqref="N27">
    <cfRule type="cellIs" dxfId="19282" priority="131303" stopIfTrue="1" operator="greaterThanOrEqual">
      <formula>0.5</formula>
    </cfRule>
  </conditionalFormatting>
  <conditionalFormatting sqref="N28">
    <cfRule type="cellIs" dxfId="19281" priority="131304" stopIfTrue="1" operator="equal">
      <formula>-1</formula>
    </cfRule>
  </conditionalFormatting>
  <conditionalFormatting sqref="N28">
    <cfRule type="cellIs" dxfId="19280" priority="131305" stopIfTrue="1" operator="lessThan">
      <formula>0.5</formula>
    </cfRule>
  </conditionalFormatting>
  <conditionalFormatting sqref="N28">
    <cfRule type="cellIs" dxfId="19279" priority="131306" stopIfTrue="1" operator="greaterThanOrEqual">
      <formula>0.5</formula>
    </cfRule>
  </conditionalFormatting>
  <conditionalFormatting sqref="N29">
    <cfRule type="cellIs" dxfId="19278" priority="131307" stopIfTrue="1" operator="equal">
      <formula>-1</formula>
    </cfRule>
  </conditionalFormatting>
  <conditionalFormatting sqref="N29">
    <cfRule type="cellIs" dxfId="19277" priority="131308" stopIfTrue="1" operator="lessThan">
      <formula>0.5</formula>
    </cfRule>
  </conditionalFormatting>
  <conditionalFormatting sqref="N29">
    <cfRule type="cellIs" dxfId="19276" priority="131309" stopIfTrue="1" operator="greaterThanOrEqual">
      <formula>0.5</formula>
    </cfRule>
  </conditionalFormatting>
  <conditionalFormatting sqref="N30">
    <cfRule type="cellIs" dxfId="19275" priority="131310" stopIfTrue="1" operator="equal">
      <formula>-1</formula>
    </cfRule>
  </conditionalFormatting>
  <conditionalFormatting sqref="N30">
    <cfRule type="cellIs" dxfId="19274" priority="131311" stopIfTrue="1" operator="lessThan">
      <formula>0.5</formula>
    </cfRule>
  </conditionalFormatting>
  <conditionalFormatting sqref="N30">
    <cfRule type="cellIs" dxfId="19273" priority="131312" stopIfTrue="1" operator="greaterThanOrEqual">
      <formula>0.5</formula>
    </cfRule>
  </conditionalFormatting>
  <conditionalFormatting sqref="N31">
    <cfRule type="cellIs" dxfId="19272" priority="131313" stopIfTrue="1" operator="equal">
      <formula>-1</formula>
    </cfRule>
  </conditionalFormatting>
  <conditionalFormatting sqref="N31">
    <cfRule type="cellIs" dxfId="19271" priority="131314" stopIfTrue="1" operator="lessThan">
      <formula>0.5</formula>
    </cfRule>
  </conditionalFormatting>
  <conditionalFormatting sqref="N31">
    <cfRule type="cellIs" dxfId="19270" priority="131315" stopIfTrue="1" operator="greaterThanOrEqual">
      <formula>0.5</formula>
    </cfRule>
  </conditionalFormatting>
  <conditionalFormatting sqref="N32">
    <cfRule type="cellIs" dxfId="19269" priority="131316" stopIfTrue="1" operator="equal">
      <formula>-1</formula>
    </cfRule>
  </conditionalFormatting>
  <conditionalFormatting sqref="N32">
    <cfRule type="cellIs" dxfId="19268" priority="131317" stopIfTrue="1" operator="lessThan">
      <formula>0.5</formula>
    </cfRule>
  </conditionalFormatting>
  <conditionalFormatting sqref="N32">
    <cfRule type="cellIs" dxfId="19267" priority="131318" stopIfTrue="1" operator="greaterThanOrEqual">
      <formula>0.5</formula>
    </cfRule>
  </conditionalFormatting>
  <conditionalFormatting sqref="N33">
    <cfRule type="cellIs" dxfId="19266" priority="131319" stopIfTrue="1" operator="equal">
      <formula>-1</formula>
    </cfRule>
  </conditionalFormatting>
  <conditionalFormatting sqref="N33">
    <cfRule type="cellIs" dxfId="19265" priority="131320" stopIfTrue="1" operator="lessThan">
      <formula>0.5</formula>
    </cfRule>
  </conditionalFormatting>
  <conditionalFormatting sqref="N33">
    <cfRule type="cellIs" dxfId="19264" priority="131321" stopIfTrue="1" operator="greaterThanOrEqual">
      <formula>0.5</formula>
    </cfRule>
  </conditionalFormatting>
  <conditionalFormatting sqref="N34">
    <cfRule type="cellIs" dxfId="19263" priority="131322" stopIfTrue="1" operator="equal">
      <formula>-1</formula>
    </cfRule>
  </conditionalFormatting>
  <conditionalFormatting sqref="N34">
    <cfRule type="cellIs" dxfId="19262" priority="131323" stopIfTrue="1" operator="lessThan">
      <formula>0.5</formula>
    </cfRule>
  </conditionalFormatting>
  <conditionalFormatting sqref="N34">
    <cfRule type="cellIs" dxfId="19261" priority="131324" stopIfTrue="1" operator="greaterThanOrEqual">
      <formula>0.5</formula>
    </cfRule>
  </conditionalFormatting>
  <conditionalFormatting sqref="N35">
    <cfRule type="cellIs" dxfId="19260" priority="131325" stopIfTrue="1" operator="equal">
      <formula>-1</formula>
    </cfRule>
  </conditionalFormatting>
  <conditionalFormatting sqref="N35">
    <cfRule type="cellIs" dxfId="19259" priority="131326" stopIfTrue="1" operator="lessThan">
      <formula>0.5</formula>
    </cfRule>
  </conditionalFormatting>
  <conditionalFormatting sqref="N35">
    <cfRule type="cellIs" dxfId="19258" priority="131327" stopIfTrue="1" operator="greaterThanOrEqual">
      <formula>0.5</formula>
    </cfRule>
  </conditionalFormatting>
  <conditionalFormatting sqref="N36">
    <cfRule type="cellIs" dxfId="19257" priority="131328" stopIfTrue="1" operator="equal">
      <formula>-1</formula>
    </cfRule>
  </conditionalFormatting>
  <conditionalFormatting sqref="N36">
    <cfRule type="cellIs" dxfId="19256" priority="131329" stopIfTrue="1" operator="lessThan">
      <formula>0.5</formula>
    </cfRule>
  </conditionalFormatting>
  <conditionalFormatting sqref="N36">
    <cfRule type="cellIs" dxfId="19255" priority="131330" stopIfTrue="1" operator="greaterThanOrEqual">
      <formula>0.5</formula>
    </cfRule>
  </conditionalFormatting>
  <conditionalFormatting sqref="N37">
    <cfRule type="cellIs" dxfId="19254" priority="131331" stopIfTrue="1" operator="equal">
      <formula>-1</formula>
    </cfRule>
  </conditionalFormatting>
  <conditionalFormatting sqref="N37">
    <cfRule type="cellIs" dxfId="19253" priority="131332" stopIfTrue="1" operator="lessThan">
      <formula>0.5</formula>
    </cfRule>
  </conditionalFormatting>
  <conditionalFormatting sqref="N37">
    <cfRule type="cellIs" dxfId="19252" priority="131333" stopIfTrue="1" operator="greaterThanOrEqual">
      <formula>0.5</formula>
    </cfRule>
  </conditionalFormatting>
  <conditionalFormatting sqref="P17">
    <cfRule type="cellIs" dxfId="19251" priority="131334" stopIfTrue="1" operator="equal">
      <formula>-1</formula>
    </cfRule>
  </conditionalFormatting>
  <conditionalFormatting sqref="P17">
    <cfRule type="cellIs" dxfId="19250" priority="131335" stopIfTrue="1" operator="lessThan">
      <formula>0.5</formula>
    </cfRule>
  </conditionalFormatting>
  <conditionalFormatting sqref="P17">
    <cfRule type="cellIs" dxfId="19249" priority="131336" stopIfTrue="1" operator="greaterThanOrEqual">
      <formula>0.5</formula>
    </cfRule>
  </conditionalFormatting>
  <conditionalFormatting sqref="P18">
    <cfRule type="cellIs" dxfId="19248" priority="131337" stopIfTrue="1" operator="equal">
      <formula>-1</formula>
    </cfRule>
  </conditionalFormatting>
  <conditionalFormatting sqref="P18">
    <cfRule type="cellIs" dxfId="19247" priority="131338" stopIfTrue="1" operator="lessThan">
      <formula>0.5</formula>
    </cfRule>
  </conditionalFormatting>
  <conditionalFormatting sqref="P18">
    <cfRule type="cellIs" dxfId="19246" priority="131339" stopIfTrue="1" operator="greaterThanOrEqual">
      <formula>0.5</formula>
    </cfRule>
  </conditionalFormatting>
  <conditionalFormatting sqref="P19">
    <cfRule type="cellIs" dxfId="19245" priority="131340" stopIfTrue="1" operator="equal">
      <formula>-1</formula>
    </cfRule>
  </conditionalFormatting>
  <conditionalFormatting sqref="P19">
    <cfRule type="cellIs" dxfId="19244" priority="131341" stopIfTrue="1" operator="lessThan">
      <formula>0.5</formula>
    </cfRule>
  </conditionalFormatting>
  <conditionalFormatting sqref="P19">
    <cfRule type="cellIs" dxfId="19243" priority="131342" stopIfTrue="1" operator="greaterThanOrEqual">
      <formula>0.5</formula>
    </cfRule>
  </conditionalFormatting>
  <conditionalFormatting sqref="P20">
    <cfRule type="cellIs" dxfId="19242" priority="131343" stopIfTrue="1" operator="equal">
      <formula>-1</formula>
    </cfRule>
  </conditionalFormatting>
  <conditionalFormatting sqref="P20">
    <cfRule type="cellIs" dxfId="19241" priority="131344" stopIfTrue="1" operator="lessThan">
      <formula>0.5</formula>
    </cfRule>
  </conditionalFormatting>
  <conditionalFormatting sqref="P20">
    <cfRule type="cellIs" dxfId="19240" priority="131345" stopIfTrue="1" operator="greaterThanOrEqual">
      <formula>0.5</formula>
    </cfRule>
  </conditionalFormatting>
  <conditionalFormatting sqref="P21">
    <cfRule type="cellIs" dxfId="19239" priority="131346" stopIfTrue="1" operator="equal">
      <formula>-1</formula>
    </cfRule>
  </conditionalFormatting>
  <conditionalFormatting sqref="P21">
    <cfRule type="cellIs" dxfId="19238" priority="131347" stopIfTrue="1" operator="lessThan">
      <formula>0.5</formula>
    </cfRule>
  </conditionalFormatting>
  <conditionalFormatting sqref="P21">
    <cfRule type="cellIs" dxfId="19237" priority="131348" stopIfTrue="1" operator="greaterThanOrEqual">
      <formula>0.5</formula>
    </cfRule>
  </conditionalFormatting>
  <conditionalFormatting sqref="P22">
    <cfRule type="cellIs" dxfId="19236" priority="131349" stopIfTrue="1" operator="equal">
      <formula>-1</formula>
    </cfRule>
  </conditionalFormatting>
  <conditionalFormatting sqref="P22">
    <cfRule type="cellIs" dxfId="19235" priority="131350" stopIfTrue="1" operator="lessThan">
      <formula>0.5</formula>
    </cfRule>
  </conditionalFormatting>
  <conditionalFormatting sqref="P22">
    <cfRule type="cellIs" dxfId="19234" priority="131351" stopIfTrue="1" operator="greaterThanOrEqual">
      <formula>0.5</formula>
    </cfRule>
  </conditionalFormatting>
  <conditionalFormatting sqref="P23">
    <cfRule type="cellIs" dxfId="19233" priority="131352" stopIfTrue="1" operator="equal">
      <formula>-1</formula>
    </cfRule>
  </conditionalFormatting>
  <conditionalFormatting sqref="P23">
    <cfRule type="cellIs" dxfId="19232" priority="131353" stopIfTrue="1" operator="lessThan">
      <formula>0.5</formula>
    </cfRule>
  </conditionalFormatting>
  <conditionalFormatting sqref="P23">
    <cfRule type="cellIs" dxfId="19231" priority="131354" stopIfTrue="1" operator="greaterThanOrEqual">
      <formula>0.5</formula>
    </cfRule>
  </conditionalFormatting>
  <conditionalFormatting sqref="P24">
    <cfRule type="cellIs" dxfId="19230" priority="131355" stopIfTrue="1" operator="equal">
      <formula>-1</formula>
    </cfRule>
  </conditionalFormatting>
  <conditionalFormatting sqref="P24">
    <cfRule type="cellIs" dxfId="19229" priority="131356" stopIfTrue="1" operator="lessThan">
      <formula>0.5</formula>
    </cfRule>
  </conditionalFormatting>
  <conditionalFormatting sqref="P24">
    <cfRule type="cellIs" dxfId="19228" priority="131357" stopIfTrue="1" operator="greaterThanOrEqual">
      <formula>0.5</formula>
    </cfRule>
  </conditionalFormatting>
  <conditionalFormatting sqref="P25">
    <cfRule type="cellIs" dxfId="19227" priority="131358" stopIfTrue="1" operator="equal">
      <formula>-1</formula>
    </cfRule>
  </conditionalFormatting>
  <conditionalFormatting sqref="P25">
    <cfRule type="cellIs" dxfId="19226" priority="131359" stopIfTrue="1" operator="lessThan">
      <formula>0.5</formula>
    </cfRule>
  </conditionalFormatting>
  <conditionalFormatting sqref="P25">
    <cfRule type="cellIs" dxfId="19225" priority="131360" stopIfTrue="1" operator="greaterThanOrEqual">
      <formula>0.5</formula>
    </cfRule>
  </conditionalFormatting>
  <conditionalFormatting sqref="P26">
    <cfRule type="cellIs" dxfId="19224" priority="131361" stopIfTrue="1" operator="equal">
      <formula>-1</formula>
    </cfRule>
  </conditionalFormatting>
  <conditionalFormatting sqref="P26">
    <cfRule type="cellIs" dxfId="19223" priority="131362" stopIfTrue="1" operator="lessThan">
      <formula>0.5</formula>
    </cfRule>
  </conditionalFormatting>
  <conditionalFormatting sqref="P26">
    <cfRule type="cellIs" dxfId="19222" priority="131363" stopIfTrue="1" operator="greaterThanOrEqual">
      <formula>0.5</formula>
    </cfRule>
  </conditionalFormatting>
  <conditionalFormatting sqref="P27">
    <cfRule type="cellIs" dxfId="19221" priority="131364" stopIfTrue="1" operator="equal">
      <formula>-1</formula>
    </cfRule>
  </conditionalFormatting>
  <conditionalFormatting sqref="P27">
    <cfRule type="cellIs" dxfId="19220" priority="131365" stopIfTrue="1" operator="lessThan">
      <formula>0.5</formula>
    </cfRule>
  </conditionalFormatting>
  <conditionalFormatting sqref="P27">
    <cfRule type="cellIs" dxfId="19219" priority="131366" stopIfTrue="1" operator="greaterThanOrEqual">
      <formula>0.5</formula>
    </cfRule>
  </conditionalFormatting>
  <conditionalFormatting sqref="P28">
    <cfRule type="cellIs" dxfId="19218" priority="131367" stopIfTrue="1" operator="equal">
      <formula>-1</formula>
    </cfRule>
  </conditionalFormatting>
  <conditionalFormatting sqref="P28">
    <cfRule type="cellIs" dxfId="19217" priority="131368" stopIfTrue="1" operator="lessThan">
      <formula>0.5</formula>
    </cfRule>
  </conditionalFormatting>
  <conditionalFormatting sqref="P28">
    <cfRule type="cellIs" dxfId="19216" priority="131369" stopIfTrue="1" operator="greaterThanOrEqual">
      <formula>0.5</formula>
    </cfRule>
  </conditionalFormatting>
  <conditionalFormatting sqref="P29">
    <cfRule type="cellIs" dxfId="19215" priority="131370" stopIfTrue="1" operator="equal">
      <formula>-1</formula>
    </cfRule>
  </conditionalFormatting>
  <conditionalFormatting sqref="P29">
    <cfRule type="cellIs" dxfId="19214" priority="131371" stopIfTrue="1" operator="lessThan">
      <formula>0.5</formula>
    </cfRule>
  </conditionalFormatting>
  <conditionalFormatting sqref="P29">
    <cfRule type="cellIs" dxfId="19213" priority="131372" stopIfTrue="1" operator="greaterThanOrEqual">
      <formula>0.5</formula>
    </cfRule>
  </conditionalFormatting>
  <conditionalFormatting sqref="P30">
    <cfRule type="cellIs" dxfId="19212" priority="131373" stopIfTrue="1" operator="equal">
      <formula>-1</formula>
    </cfRule>
  </conditionalFormatting>
  <conditionalFormatting sqref="P30">
    <cfRule type="cellIs" dxfId="19211" priority="131374" stopIfTrue="1" operator="lessThan">
      <formula>0.5</formula>
    </cfRule>
  </conditionalFormatting>
  <conditionalFormatting sqref="P30">
    <cfRule type="cellIs" dxfId="19210" priority="131375" stopIfTrue="1" operator="greaterThanOrEqual">
      <formula>0.5</formula>
    </cfRule>
  </conditionalFormatting>
  <conditionalFormatting sqref="P31">
    <cfRule type="cellIs" dxfId="19209" priority="131376" stopIfTrue="1" operator="equal">
      <formula>-1</formula>
    </cfRule>
  </conditionalFormatting>
  <conditionalFormatting sqref="P31">
    <cfRule type="cellIs" dxfId="19208" priority="131377" stopIfTrue="1" operator="lessThan">
      <formula>0.5</formula>
    </cfRule>
  </conditionalFormatting>
  <conditionalFormatting sqref="P31">
    <cfRule type="cellIs" dxfId="19207" priority="131378" stopIfTrue="1" operator="greaterThanOrEqual">
      <formula>0.5</formula>
    </cfRule>
  </conditionalFormatting>
  <conditionalFormatting sqref="P32">
    <cfRule type="cellIs" dxfId="19206" priority="131379" stopIfTrue="1" operator="equal">
      <formula>-1</formula>
    </cfRule>
  </conditionalFormatting>
  <conditionalFormatting sqref="P32">
    <cfRule type="cellIs" dxfId="19205" priority="131380" stopIfTrue="1" operator="lessThan">
      <formula>0.5</formula>
    </cfRule>
  </conditionalFormatting>
  <conditionalFormatting sqref="P32">
    <cfRule type="cellIs" dxfId="19204" priority="131381" stopIfTrue="1" operator="greaterThanOrEqual">
      <formula>0.5</formula>
    </cfRule>
  </conditionalFormatting>
  <conditionalFormatting sqref="P33">
    <cfRule type="cellIs" dxfId="19203" priority="131382" stopIfTrue="1" operator="equal">
      <formula>-1</formula>
    </cfRule>
  </conditionalFormatting>
  <conditionalFormatting sqref="P33">
    <cfRule type="cellIs" dxfId="19202" priority="131383" stopIfTrue="1" operator="lessThan">
      <formula>0.5</formula>
    </cfRule>
  </conditionalFormatting>
  <conditionalFormatting sqref="P33">
    <cfRule type="cellIs" dxfId="19201" priority="131384" stopIfTrue="1" operator="greaterThanOrEqual">
      <formula>0.5</formula>
    </cfRule>
  </conditionalFormatting>
  <conditionalFormatting sqref="P34">
    <cfRule type="cellIs" dxfId="19200" priority="131385" stopIfTrue="1" operator="equal">
      <formula>-1</formula>
    </cfRule>
  </conditionalFormatting>
  <conditionalFormatting sqref="P34">
    <cfRule type="cellIs" dxfId="19199" priority="131386" stopIfTrue="1" operator="lessThan">
      <formula>0.5</formula>
    </cfRule>
  </conditionalFormatting>
  <conditionalFormatting sqref="P34">
    <cfRule type="cellIs" dxfId="19198" priority="131387" stopIfTrue="1" operator="greaterThanOrEqual">
      <formula>0.5</formula>
    </cfRule>
  </conditionalFormatting>
  <conditionalFormatting sqref="P35">
    <cfRule type="cellIs" dxfId="19197" priority="131388" stopIfTrue="1" operator="equal">
      <formula>-1</formula>
    </cfRule>
  </conditionalFormatting>
  <conditionalFormatting sqref="P35">
    <cfRule type="cellIs" dxfId="19196" priority="131389" stopIfTrue="1" operator="lessThan">
      <formula>0.5</formula>
    </cfRule>
  </conditionalFormatting>
  <conditionalFormatting sqref="P35">
    <cfRule type="cellIs" dxfId="19195" priority="131390" stopIfTrue="1" operator="greaterThanOrEqual">
      <formula>0.5</formula>
    </cfRule>
  </conditionalFormatting>
  <conditionalFormatting sqref="P36">
    <cfRule type="cellIs" dxfId="19194" priority="131391" stopIfTrue="1" operator="equal">
      <formula>-1</formula>
    </cfRule>
  </conditionalFormatting>
  <conditionalFormatting sqref="P36">
    <cfRule type="cellIs" dxfId="19193" priority="131392" stopIfTrue="1" operator="lessThan">
      <formula>0.5</formula>
    </cfRule>
  </conditionalFormatting>
  <conditionalFormatting sqref="P36">
    <cfRule type="cellIs" dxfId="19192" priority="131393" stopIfTrue="1" operator="greaterThanOrEqual">
      <formula>0.5</formula>
    </cfRule>
  </conditionalFormatting>
  <conditionalFormatting sqref="P37">
    <cfRule type="cellIs" dxfId="19191" priority="131394" stopIfTrue="1" operator="equal">
      <formula>-1</formula>
    </cfRule>
  </conditionalFormatting>
  <conditionalFormatting sqref="P37">
    <cfRule type="cellIs" dxfId="19190" priority="131395" stopIfTrue="1" operator="lessThan">
      <formula>0.5</formula>
    </cfRule>
  </conditionalFormatting>
  <conditionalFormatting sqref="P37">
    <cfRule type="cellIs" dxfId="19189" priority="131396" stopIfTrue="1" operator="greaterThanOrEqual">
      <formula>0.5</formula>
    </cfRule>
  </conditionalFormatting>
  <conditionalFormatting sqref="R17">
    <cfRule type="cellIs" dxfId="19188" priority="131397" stopIfTrue="1" operator="equal">
      <formula>-1</formula>
    </cfRule>
  </conditionalFormatting>
  <conditionalFormatting sqref="R17">
    <cfRule type="cellIs" dxfId="19187" priority="131398" stopIfTrue="1" operator="lessThan">
      <formula>0.5</formula>
    </cfRule>
  </conditionalFormatting>
  <conditionalFormatting sqref="R17">
    <cfRule type="cellIs" dxfId="19186" priority="131399" stopIfTrue="1" operator="greaterThanOrEqual">
      <formula>0.5</formula>
    </cfRule>
  </conditionalFormatting>
  <conditionalFormatting sqref="R18">
    <cfRule type="cellIs" dxfId="19185" priority="131400" stopIfTrue="1" operator="equal">
      <formula>-1</formula>
    </cfRule>
  </conditionalFormatting>
  <conditionalFormatting sqref="R18">
    <cfRule type="cellIs" dxfId="19184" priority="131401" stopIfTrue="1" operator="lessThan">
      <formula>0.5</formula>
    </cfRule>
  </conditionalFormatting>
  <conditionalFormatting sqref="R18">
    <cfRule type="cellIs" dxfId="19183" priority="131402" stopIfTrue="1" operator="greaterThanOrEqual">
      <formula>0.5</formula>
    </cfRule>
  </conditionalFormatting>
  <conditionalFormatting sqref="R19">
    <cfRule type="cellIs" dxfId="19182" priority="131403" stopIfTrue="1" operator="equal">
      <formula>-1</formula>
    </cfRule>
  </conditionalFormatting>
  <conditionalFormatting sqref="R19">
    <cfRule type="cellIs" dxfId="19181" priority="131404" stopIfTrue="1" operator="lessThan">
      <formula>0.5</formula>
    </cfRule>
  </conditionalFormatting>
  <conditionalFormatting sqref="R19">
    <cfRule type="cellIs" dxfId="19180" priority="131405" stopIfTrue="1" operator="greaterThanOrEqual">
      <formula>0.5</formula>
    </cfRule>
  </conditionalFormatting>
  <conditionalFormatting sqref="R20">
    <cfRule type="cellIs" dxfId="19179" priority="131406" stopIfTrue="1" operator="equal">
      <formula>-1</formula>
    </cfRule>
  </conditionalFormatting>
  <conditionalFormatting sqref="R20">
    <cfRule type="cellIs" dxfId="19178" priority="131407" stopIfTrue="1" operator="lessThan">
      <formula>0.5</formula>
    </cfRule>
  </conditionalFormatting>
  <conditionalFormatting sqref="R20">
    <cfRule type="cellIs" dxfId="19177" priority="131408" stopIfTrue="1" operator="greaterThanOrEqual">
      <formula>0.5</formula>
    </cfRule>
  </conditionalFormatting>
  <conditionalFormatting sqref="R21">
    <cfRule type="cellIs" dxfId="19176" priority="131409" stopIfTrue="1" operator="equal">
      <formula>-1</formula>
    </cfRule>
  </conditionalFormatting>
  <conditionalFormatting sqref="R21">
    <cfRule type="cellIs" dxfId="19175" priority="131410" stopIfTrue="1" operator="lessThan">
      <formula>0.5</formula>
    </cfRule>
  </conditionalFormatting>
  <conditionalFormatting sqref="R21">
    <cfRule type="cellIs" dxfId="19174" priority="131411" stopIfTrue="1" operator="greaterThanOrEqual">
      <formula>0.5</formula>
    </cfRule>
  </conditionalFormatting>
  <conditionalFormatting sqref="R22">
    <cfRule type="cellIs" dxfId="19173" priority="131412" stopIfTrue="1" operator="equal">
      <formula>-1</formula>
    </cfRule>
  </conditionalFormatting>
  <conditionalFormatting sqref="R22">
    <cfRule type="cellIs" dxfId="19172" priority="131413" stopIfTrue="1" operator="lessThan">
      <formula>0.5</formula>
    </cfRule>
  </conditionalFormatting>
  <conditionalFormatting sqref="R22">
    <cfRule type="cellIs" dxfId="19171" priority="131414" stopIfTrue="1" operator="greaterThanOrEqual">
      <formula>0.5</formula>
    </cfRule>
  </conditionalFormatting>
  <conditionalFormatting sqref="R23">
    <cfRule type="cellIs" dxfId="19170" priority="131415" stopIfTrue="1" operator="equal">
      <formula>-1</formula>
    </cfRule>
  </conditionalFormatting>
  <conditionalFormatting sqref="R23">
    <cfRule type="cellIs" dxfId="19169" priority="131416" stopIfTrue="1" operator="lessThan">
      <formula>0.5</formula>
    </cfRule>
  </conditionalFormatting>
  <conditionalFormatting sqref="R23">
    <cfRule type="cellIs" dxfId="19168" priority="131417" stopIfTrue="1" operator="greaterThanOrEqual">
      <formula>0.5</formula>
    </cfRule>
  </conditionalFormatting>
  <conditionalFormatting sqref="R24">
    <cfRule type="cellIs" dxfId="19167" priority="131418" stopIfTrue="1" operator="equal">
      <formula>-1</formula>
    </cfRule>
  </conditionalFormatting>
  <conditionalFormatting sqref="R24">
    <cfRule type="cellIs" dxfId="19166" priority="131419" stopIfTrue="1" operator="lessThan">
      <formula>0.5</formula>
    </cfRule>
  </conditionalFormatting>
  <conditionalFormatting sqref="R24">
    <cfRule type="cellIs" dxfId="19165" priority="131420" stopIfTrue="1" operator="greaterThanOrEqual">
      <formula>0.5</formula>
    </cfRule>
  </conditionalFormatting>
  <conditionalFormatting sqref="R25">
    <cfRule type="cellIs" dxfId="19164" priority="131421" stopIfTrue="1" operator="equal">
      <formula>-1</formula>
    </cfRule>
  </conditionalFormatting>
  <conditionalFormatting sqref="R25">
    <cfRule type="cellIs" dxfId="19163" priority="131422" stopIfTrue="1" operator="lessThan">
      <formula>0.5</formula>
    </cfRule>
  </conditionalFormatting>
  <conditionalFormatting sqref="R25">
    <cfRule type="cellIs" dxfId="19162" priority="131423" stopIfTrue="1" operator="greaterThanOrEqual">
      <formula>0.5</formula>
    </cfRule>
  </conditionalFormatting>
  <conditionalFormatting sqref="R26">
    <cfRule type="cellIs" dxfId="19161" priority="131424" stopIfTrue="1" operator="equal">
      <formula>-1</formula>
    </cfRule>
  </conditionalFormatting>
  <conditionalFormatting sqref="R26">
    <cfRule type="cellIs" dxfId="19160" priority="131425" stopIfTrue="1" operator="lessThan">
      <formula>0.5</formula>
    </cfRule>
  </conditionalFormatting>
  <conditionalFormatting sqref="R26">
    <cfRule type="cellIs" dxfId="19159" priority="131426" stopIfTrue="1" operator="greaterThanOrEqual">
      <formula>0.5</formula>
    </cfRule>
  </conditionalFormatting>
  <conditionalFormatting sqref="R27">
    <cfRule type="cellIs" dxfId="19158" priority="131427" stopIfTrue="1" operator="equal">
      <formula>-1</formula>
    </cfRule>
  </conditionalFormatting>
  <conditionalFormatting sqref="R27">
    <cfRule type="cellIs" dxfId="19157" priority="131428" stopIfTrue="1" operator="lessThan">
      <formula>0.5</formula>
    </cfRule>
  </conditionalFormatting>
  <conditionalFormatting sqref="R27">
    <cfRule type="cellIs" dxfId="19156" priority="131429" stopIfTrue="1" operator="greaterThanOrEqual">
      <formula>0.5</formula>
    </cfRule>
  </conditionalFormatting>
  <conditionalFormatting sqref="R28">
    <cfRule type="cellIs" dxfId="19155" priority="131430" stopIfTrue="1" operator="equal">
      <formula>-1</formula>
    </cfRule>
  </conditionalFormatting>
  <conditionalFormatting sqref="R28">
    <cfRule type="cellIs" dxfId="19154" priority="131431" stopIfTrue="1" operator="lessThan">
      <formula>0.5</formula>
    </cfRule>
  </conditionalFormatting>
  <conditionalFormatting sqref="R28">
    <cfRule type="cellIs" dxfId="19153" priority="131432" stopIfTrue="1" operator="greaterThanOrEqual">
      <formula>0.5</formula>
    </cfRule>
  </conditionalFormatting>
  <conditionalFormatting sqref="R29">
    <cfRule type="cellIs" dxfId="19152" priority="131433" stopIfTrue="1" operator="equal">
      <formula>-1</formula>
    </cfRule>
  </conditionalFormatting>
  <conditionalFormatting sqref="R29">
    <cfRule type="cellIs" dxfId="19151" priority="131434" stopIfTrue="1" operator="lessThan">
      <formula>0.5</formula>
    </cfRule>
  </conditionalFormatting>
  <conditionalFormatting sqref="R29">
    <cfRule type="cellIs" dxfId="19150" priority="131435" stopIfTrue="1" operator="greaterThanOrEqual">
      <formula>0.5</formula>
    </cfRule>
  </conditionalFormatting>
  <conditionalFormatting sqref="R30">
    <cfRule type="cellIs" dxfId="19149" priority="131436" stopIfTrue="1" operator="equal">
      <formula>-1</formula>
    </cfRule>
  </conditionalFormatting>
  <conditionalFormatting sqref="R30">
    <cfRule type="cellIs" dxfId="19148" priority="131437" stopIfTrue="1" operator="lessThan">
      <formula>0.5</formula>
    </cfRule>
  </conditionalFormatting>
  <conditionalFormatting sqref="R30">
    <cfRule type="cellIs" dxfId="19147" priority="131438" stopIfTrue="1" operator="greaterThanOrEqual">
      <formula>0.5</formula>
    </cfRule>
  </conditionalFormatting>
  <conditionalFormatting sqref="R31">
    <cfRule type="cellIs" dxfId="19146" priority="131439" stopIfTrue="1" operator="equal">
      <formula>-1</formula>
    </cfRule>
  </conditionalFormatting>
  <conditionalFormatting sqref="R31">
    <cfRule type="cellIs" dxfId="19145" priority="131440" stopIfTrue="1" operator="lessThan">
      <formula>0.5</formula>
    </cfRule>
  </conditionalFormatting>
  <conditionalFormatting sqref="R31">
    <cfRule type="cellIs" dxfId="19144" priority="131441" stopIfTrue="1" operator="greaterThanOrEqual">
      <formula>0.5</formula>
    </cfRule>
  </conditionalFormatting>
  <conditionalFormatting sqref="R32">
    <cfRule type="cellIs" dxfId="19143" priority="131442" stopIfTrue="1" operator="equal">
      <formula>-1</formula>
    </cfRule>
  </conditionalFormatting>
  <conditionalFormatting sqref="R32">
    <cfRule type="cellIs" dxfId="19142" priority="131443" stopIfTrue="1" operator="lessThan">
      <formula>0.5</formula>
    </cfRule>
  </conditionalFormatting>
  <conditionalFormatting sqref="R32">
    <cfRule type="cellIs" dxfId="19141" priority="131444" stopIfTrue="1" operator="greaterThanOrEqual">
      <formula>0.5</formula>
    </cfRule>
  </conditionalFormatting>
  <conditionalFormatting sqref="R33">
    <cfRule type="cellIs" dxfId="19140" priority="131445" stopIfTrue="1" operator="equal">
      <formula>-1</formula>
    </cfRule>
  </conditionalFormatting>
  <conditionalFormatting sqref="R33">
    <cfRule type="cellIs" dxfId="19139" priority="131446" stopIfTrue="1" operator="lessThan">
      <formula>0.5</formula>
    </cfRule>
  </conditionalFormatting>
  <conditionalFormatting sqref="R33">
    <cfRule type="cellIs" dxfId="19138" priority="131447" stopIfTrue="1" operator="greaterThanOrEqual">
      <formula>0.5</formula>
    </cfRule>
  </conditionalFormatting>
  <conditionalFormatting sqref="R34">
    <cfRule type="cellIs" dxfId="19137" priority="131448" stopIfTrue="1" operator="equal">
      <formula>-1</formula>
    </cfRule>
  </conditionalFormatting>
  <conditionalFormatting sqref="R34">
    <cfRule type="cellIs" dxfId="19136" priority="131449" stopIfTrue="1" operator="lessThan">
      <formula>0.5</formula>
    </cfRule>
  </conditionalFormatting>
  <conditionalFormatting sqref="R34">
    <cfRule type="cellIs" dxfId="19135" priority="131450" stopIfTrue="1" operator="greaterThanOrEqual">
      <formula>0.5</formula>
    </cfRule>
  </conditionalFormatting>
  <conditionalFormatting sqref="R35">
    <cfRule type="cellIs" dxfId="19134" priority="131451" stopIfTrue="1" operator="equal">
      <formula>-1</formula>
    </cfRule>
  </conditionalFormatting>
  <conditionalFormatting sqref="R35">
    <cfRule type="cellIs" dxfId="19133" priority="131452" stopIfTrue="1" operator="lessThan">
      <formula>0.5</formula>
    </cfRule>
  </conditionalFormatting>
  <conditionalFormatting sqref="R35">
    <cfRule type="cellIs" dxfId="19132" priority="131453" stopIfTrue="1" operator="greaterThanOrEqual">
      <formula>0.5</formula>
    </cfRule>
  </conditionalFormatting>
  <conditionalFormatting sqref="R36">
    <cfRule type="cellIs" dxfId="19131" priority="131454" stopIfTrue="1" operator="equal">
      <formula>-1</formula>
    </cfRule>
  </conditionalFormatting>
  <conditionalFormatting sqref="R36">
    <cfRule type="cellIs" dxfId="19130" priority="131455" stopIfTrue="1" operator="lessThan">
      <formula>0.5</formula>
    </cfRule>
  </conditionalFormatting>
  <conditionalFormatting sqref="R36">
    <cfRule type="cellIs" dxfId="19129" priority="131456" stopIfTrue="1" operator="greaterThanOrEqual">
      <formula>0.5</formula>
    </cfRule>
  </conditionalFormatting>
  <conditionalFormatting sqref="R37">
    <cfRule type="cellIs" dxfId="19128" priority="131457" stopIfTrue="1" operator="equal">
      <formula>-1</formula>
    </cfRule>
  </conditionalFormatting>
  <conditionalFormatting sqref="R37">
    <cfRule type="cellIs" dxfId="19127" priority="131458" stopIfTrue="1" operator="lessThan">
      <formula>0.5</formula>
    </cfRule>
  </conditionalFormatting>
  <conditionalFormatting sqref="R37">
    <cfRule type="cellIs" dxfId="19126" priority="131459" stopIfTrue="1" operator="greaterThanOrEqual">
      <formula>0.5</formula>
    </cfRule>
  </conditionalFormatting>
  <conditionalFormatting sqref="T17">
    <cfRule type="cellIs" dxfId="19125" priority="131460" stopIfTrue="1" operator="equal">
      <formula>-1</formula>
    </cfRule>
  </conditionalFormatting>
  <conditionalFormatting sqref="T17">
    <cfRule type="cellIs" dxfId="19124" priority="131461" stopIfTrue="1" operator="lessThan">
      <formula>0.5</formula>
    </cfRule>
  </conditionalFormatting>
  <conditionalFormatting sqref="T17">
    <cfRule type="cellIs" dxfId="19123" priority="131462" stopIfTrue="1" operator="greaterThanOrEqual">
      <formula>0.5</formula>
    </cfRule>
  </conditionalFormatting>
  <conditionalFormatting sqref="T18">
    <cfRule type="cellIs" dxfId="19122" priority="131463" stopIfTrue="1" operator="equal">
      <formula>-1</formula>
    </cfRule>
  </conditionalFormatting>
  <conditionalFormatting sqref="T18">
    <cfRule type="cellIs" dxfId="19121" priority="131464" stopIfTrue="1" operator="lessThan">
      <formula>0.5</formula>
    </cfRule>
  </conditionalFormatting>
  <conditionalFormatting sqref="T18">
    <cfRule type="cellIs" dxfId="19120" priority="131465" stopIfTrue="1" operator="greaterThanOrEqual">
      <formula>0.5</formula>
    </cfRule>
  </conditionalFormatting>
  <conditionalFormatting sqref="T19">
    <cfRule type="cellIs" dxfId="19119" priority="131466" stopIfTrue="1" operator="equal">
      <formula>-1</formula>
    </cfRule>
  </conditionalFormatting>
  <conditionalFormatting sqref="T19">
    <cfRule type="cellIs" dxfId="19118" priority="131467" stopIfTrue="1" operator="lessThan">
      <formula>0.5</formula>
    </cfRule>
  </conditionalFormatting>
  <conditionalFormatting sqref="T19">
    <cfRule type="cellIs" dxfId="19117" priority="131468" stopIfTrue="1" operator="greaterThanOrEqual">
      <formula>0.5</formula>
    </cfRule>
  </conditionalFormatting>
  <conditionalFormatting sqref="T20">
    <cfRule type="cellIs" dxfId="19116" priority="131469" stopIfTrue="1" operator="equal">
      <formula>-1</formula>
    </cfRule>
  </conditionalFormatting>
  <conditionalFormatting sqref="T20">
    <cfRule type="cellIs" dxfId="19115" priority="131470" stopIfTrue="1" operator="lessThan">
      <formula>0.5</formula>
    </cfRule>
  </conditionalFormatting>
  <conditionalFormatting sqref="T20">
    <cfRule type="cellIs" dxfId="19114" priority="131471" stopIfTrue="1" operator="greaterThanOrEqual">
      <formula>0.5</formula>
    </cfRule>
  </conditionalFormatting>
  <conditionalFormatting sqref="T21">
    <cfRule type="cellIs" dxfId="19113" priority="131472" stopIfTrue="1" operator="equal">
      <formula>-1</formula>
    </cfRule>
  </conditionalFormatting>
  <conditionalFormatting sqref="T21">
    <cfRule type="cellIs" dxfId="19112" priority="131473" stopIfTrue="1" operator="lessThan">
      <formula>0.5</formula>
    </cfRule>
  </conditionalFormatting>
  <conditionalFormatting sqref="T21">
    <cfRule type="cellIs" dxfId="19111" priority="131474" stopIfTrue="1" operator="greaterThanOrEqual">
      <formula>0.5</formula>
    </cfRule>
  </conditionalFormatting>
  <conditionalFormatting sqref="T22">
    <cfRule type="cellIs" dxfId="19110" priority="131475" stopIfTrue="1" operator="equal">
      <formula>-1</formula>
    </cfRule>
  </conditionalFormatting>
  <conditionalFormatting sqref="T22">
    <cfRule type="cellIs" dxfId="19109" priority="131476" stopIfTrue="1" operator="lessThan">
      <formula>0.5</formula>
    </cfRule>
  </conditionalFormatting>
  <conditionalFormatting sqref="T22">
    <cfRule type="cellIs" dxfId="19108" priority="131477" stopIfTrue="1" operator="greaterThanOrEqual">
      <formula>0.5</formula>
    </cfRule>
  </conditionalFormatting>
  <conditionalFormatting sqref="T23">
    <cfRule type="cellIs" dxfId="19107" priority="131478" stopIfTrue="1" operator="equal">
      <formula>-1</formula>
    </cfRule>
  </conditionalFormatting>
  <conditionalFormatting sqref="T23">
    <cfRule type="cellIs" dxfId="19106" priority="131479" stopIfTrue="1" operator="lessThan">
      <formula>0.5</formula>
    </cfRule>
  </conditionalFormatting>
  <conditionalFormatting sqref="T23">
    <cfRule type="cellIs" dxfId="19105" priority="131480" stopIfTrue="1" operator="greaterThanOrEqual">
      <formula>0.5</formula>
    </cfRule>
  </conditionalFormatting>
  <conditionalFormatting sqref="T24">
    <cfRule type="cellIs" dxfId="19104" priority="131481" stopIfTrue="1" operator="equal">
      <formula>-1</formula>
    </cfRule>
  </conditionalFormatting>
  <conditionalFormatting sqref="T24">
    <cfRule type="cellIs" dxfId="19103" priority="131482" stopIfTrue="1" operator="lessThan">
      <formula>0.5</formula>
    </cfRule>
  </conditionalFormatting>
  <conditionalFormatting sqref="T24">
    <cfRule type="cellIs" dxfId="19102" priority="131483" stopIfTrue="1" operator="greaterThanOrEqual">
      <formula>0.5</formula>
    </cfRule>
  </conditionalFormatting>
  <conditionalFormatting sqref="T25">
    <cfRule type="cellIs" dxfId="19101" priority="131484" stopIfTrue="1" operator="equal">
      <formula>-1</formula>
    </cfRule>
  </conditionalFormatting>
  <conditionalFormatting sqref="T25">
    <cfRule type="cellIs" dxfId="19100" priority="131485" stopIfTrue="1" operator="lessThan">
      <formula>0.5</formula>
    </cfRule>
  </conditionalFormatting>
  <conditionalFormatting sqref="T25">
    <cfRule type="cellIs" dxfId="19099" priority="131486" stopIfTrue="1" operator="greaterThanOrEqual">
      <formula>0.5</formula>
    </cfRule>
  </conditionalFormatting>
  <conditionalFormatting sqref="T26">
    <cfRule type="cellIs" dxfId="19098" priority="131487" stopIfTrue="1" operator="equal">
      <formula>-1</formula>
    </cfRule>
  </conditionalFormatting>
  <conditionalFormatting sqref="T26">
    <cfRule type="cellIs" dxfId="19097" priority="131488" stopIfTrue="1" operator="lessThan">
      <formula>0.5</formula>
    </cfRule>
  </conditionalFormatting>
  <conditionalFormatting sqref="T26">
    <cfRule type="cellIs" dxfId="19096" priority="131489" stopIfTrue="1" operator="greaterThanOrEqual">
      <formula>0.5</formula>
    </cfRule>
  </conditionalFormatting>
  <conditionalFormatting sqref="T27">
    <cfRule type="cellIs" dxfId="19095" priority="131490" stopIfTrue="1" operator="equal">
      <formula>-1</formula>
    </cfRule>
  </conditionalFormatting>
  <conditionalFormatting sqref="T27">
    <cfRule type="cellIs" dxfId="19094" priority="131491" stopIfTrue="1" operator="lessThan">
      <formula>0.5</formula>
    </cfRule>
  </conditionalFormatting>
  <conditionalFormatting sqref="T27">
    <cfRule type="cellIs" dxfId="19093" priority="131492" stopIfTrue="1" operator="greaterThanOrEqual">
      <formula>0.5</formula>
    </cfRule>
  </conditionalFormatting>
  <conditionalFormatting sqref="T28">
    <cfRule type="cellIs" dxfId="19092" priority="131493" stopIfTrue="1" operator="equal">
      <formula>-1</formula>
    </cfRule>
  </conditionalFormatting>
  <conditionalFormatting sqref="T28">
    <cfRule type="cellIs" dxfId="19091" priority="131494" stopIfTrue="1" operator="lessThan">
      <formula>0.5</formula>
    </cfRule>
  </conditionalFormatting>
  <conditionalFormatting sqref="T28">
    <cfRule type="cellIs" dxfId="19090" priority="131495" stopIfTrue="1" operator="greaterThanOrEqual">
      <formula>0.5</formula>
    </cfRule>
  </conditionalFormatting>
  <conditionalFormatting sqref="T29">
    <cfRule type="cellIs" dxfId="19089" priority="131496" stopIfTrue="1" operator="equal">
      <formula>-1</formula>
    </cfRule>
  </conditionalFormatting>
  <conditionalFormatting sqref="T29">
    <cfRule type="cellIs" dxfId="19088" priority="131497" stopIfTrue="1" operator="lessThan">
      <formula>0.5</formula>
    </cfRule>
  </conditionalFormatting>
  <conditionalFormatting sqref="T29">
    <cfRule type="cellIs" dxfId="19087" priority="131498" stopIfTrue="1" operator="greaterThanOrEqual">
      <formula>0.5</formula>
    </cfRule>
  </conditionalFormatting>
  <conditionalFormatting sqref="T30">
    <cfRule type="cellIs" dxfId="19086" priority="131499" stopIfTrue="1" operator="equal">
      <formula>-1</formula>
    </cfRule>
  </conditionalFormatting>
  <conditionalFormatting sqref="T30">
    <cfRule type="cellIs" dxfId="19085" priority="131500" stopIfTrue="1" operator="lessThan">
      <formula>0.5</formula>
    </cfRule>
  </conditionalFormatting>
  <conditionalFormatting sqref="T30">
    <cfRule type="cellIs" dxfId="19084" priority="131501" stopIfTrue="1" operator="greaterThanOrEqual">
      <formula>0.5</formula>
    </cfRule>
  </conditionalFormatting>
  <conditionalFormatting sqref="T31">
    <cfRule type="cellIs" dxfId="19083" priority="131502" stopIfTrue="1" operator="equal">
      <formula>-1</formula>
    </cfRule>
  </conditionalFormatting>
  <conditionalFormatting sqref="T31">
    <cfRule type="cellIs" dxfId="19082" priority="131503" stopIfTrue="1" operator="lessThan">
      <formula>0.5</formula>
    </cfRule>
  </conditionalFormatting>
  <conditionalFormatting sqref="T31">
    <cfRule type="cellIs" dxfId="19081" priority="131504" stopIfTrue="1" operator="greaterThanOrEqual">
      <formula>0.5</formula>
    </cfRule>
  </conditionalFormatting>
  <conditionalFormatting sqref="T32">
    <cfRule type="cellIs" dxfId="19080" priority="131505" stopIfTrue="1" operator="equal">
      <formula>-1</formula>
    </cfRule>
  </conditionalFormatting>
  <conditionalFormatting sqref="T32">
    <cfRule type="cellIs" dxfId="19079" priority="131506" stopIfTrue="1" operator="lessThan">
      <formula>0.5</formula>
    </cfRule>
  </conditionalFormatting>
  <conditionalFormatting sqref="T32">
    <cfRule type="cellIs" dxfId="19078" priority="131507" stopIfTrue="1" operator="greaterThanOrEqual">
      <formula>0.5</formula>
    </cfRule>
  </conditionalFormatting>
  <conditionalFormatting sqref="T33">
    <cfRule type="cellIs" dxfId="19077" priority="131508" stopIfTrue="1" operator="equal">
      <formula>-1</formula>
    </cfRule>
  </conditionalFormatting>
  <conditionalFormatting sqref="T33">
    <cfRule type="cellIs" dxfId="19076" priority="131509" stopIfTrue="1" operator="lessThan">
      <formula>0.5</formula>
    </cfRule>
  </conditionalFormatting>
  <conditionalFormatting sqref="T33">
    <cfRule type="cellIs" dxfId="19075" priority="131510" stopIfTrue="1" operator="greaterThanOrEqual">
      <formula>0.5</formula>
    </cfRule>
  </conditionalFormatting>
  <conditionalFormatting sqref="T34">
    <cfRule type="cellIs" dxfId="19074" priority="131511" stopIfTrue="1" operator="equal">
      <formula>-1</formula>
    </cfRule>
  </conditionalFormatting>
  <conditionalFormatting sqref="T34">
    <cfRule type="cellIs" dxfId="19073" priority="131512" stopIfTrue="1" operator="lessThan">
      <formula>0.5</formula>
    </cfRule>
  </conditionalFormatting>
  <conditionalFormatting sqref="T34">
    <cfRule type="cellIs" dxfId="19072" priority="131513" stopIfTrue="1" operator="greaterThanOrEqual">
      <formula>0.5</formula>
    </cfRule>
  </conditionalFormatting>
  <conditionalFormatting sqref="T35">
    <cfRule type="cellIs" dxfId="19071" priority="131514" stopIfTrue="1" operator="equal">
      <formula>-1</formula>
    </cfRule>
  </conditionalFormatting>
  <conditionalFormatting sqref="T35">
    <cfRule type="cellIs" dxfId="19070" priority="131515" stopIfTrue="1" operator="lessThan">
      <formula>0.5</formula>
    </cfRule>
  </conditionalFormatting>
  <conditionalFormatting sqref="T35">
    <cfRule type="cellIs" dxfId="19069" priority="131516" stopIfTrue="1" operator="greaterThanOrEqual">
      <formula>0.5</formula>
    </cfRule>
  </conditionalFormatting>
  <conditionalFormatting sqref="T36">
    <cfRule type="cellIs" dxfId="19068" priority="131517" stopIfTrue="1" operator="equal">
      <formula>-1</formula>
    </cfRule>
  </conditionalFormatting>
  <conditionalFormatting sqref="T36">
    <cfRule type="cellIs" dxfId="19067" priority="131518" stopIfTrue="1" operator="lessThan">
      <formula>0.5</formula>
    </cfRule>
  </conditionalFormatting>
  <conditionalFormatting sqref="T36">
    <cfRule type="cellIs" dxfId="19066" priority="131519" stopIfTrue="1" operator="greaterThanOrEqual">
      <formula>0.5</formula>
    </cfRule>
  </conditionalFormatting>
  <conditionalFormatting sqref="T37">
    <cfRule type="cellIs" dxfId="19065" priority="131520" stopIfTrue="1" operator="equal">
      <formula>-1</formula>
    </cfRule>
  </conditionalFormatting>
  <conditionalFormatting sqref="T37">
    <cfRule type="cellIs" dxfId="19064" priority="131521" stopIfTrue="1" operator="lessThan">
      <formula>0.5</formula>
    </cfRule>
  </conditionalFormatting>
  <conditionalFormatting sqref="T37">
    <cfRule type="cellIs" dxfId="19063" priority="131522" stopIfTrue="1" operator="greaterThanOrEqual">
      <formula>0.5</formula>
    </cfRule>
  </conditionalFormatting>
  <conditionalFormatting sqref="V17">
    <cfRule type="cellIs" dxfId="19062" priority="131523" stopIfTrue="1" operator="equal">
      <formula>-1</formula>
    </cfRule>
  </conditionalFormatting>
  <conditionalFormatting sqref="V17">
    <cfRule type="cellIs" dxfId="19061" priority="131524" stopIfTrue="1" operator="lessThan">
      <formula>0.5</formula>
    </cfRule>
  </conditionalFormatting>
  <conditionalFormatting sqref="V17">
    <cfRule type="cellIs" dxfId="19060" priority="131525" stopIfTrue="1" operator="greaterThanOrEqual">
      <formula>0.5</formula>
    </cfRule>
  </conditionalFormatting>
  <conditionalFormatting sqref="V18">
    <cfRule type="cellIs" dxfId="19059" priority="131526" stopIfTrue="1" operator="equal">
      <formula>-1</formula>
    </cfRule>
  </conditionalFormatting>
  <conditionalFormatting sqref="V18">
    <cfRule type="cellIs" dxfId="19058" priority="131527" stopIfTrue="1" operator="lessThan">
      <formula>0.5</formula>
    </cfRule>
  </conditionalFormatting>
  <conditionalFormatting sqref="V18">
    <cfRule type="cellIs" dxfId="19057" priority="131528" stopIfTrue="1" operator="greaterThanOrEqual">
      <formula>0.5</formula>
    </cfRule>
  </conditionalFormatting>
  <conditionalFormatting sqref="V19">
    <cfRule type="cellIs" dxfId="19056" priority="131529" stopIfTrue="1" operator="equal">
      <formula>-1</formula>
    </cfRule>
  </conditionalFormatting>
  <conditionalFormatting sqref="V19">
    <cfRule type="cellIs" dxfId="19055" priority="131530" stopIfTrue="1" operator="lessThan">
      <formula>0.5</formula>
    </cfRule>
  </conditionalFormatting>
  <conditionalFormatting sqref="V19">
    <cfRule type="cellIs" dxfId="19054" priority="131531" stopIfTrue="1" operator="greaterThanOrEqual">
      <formula>0.5</formula>
    </cfRule>
  </conditionalFormatting>
  <conditionalFormatting sqref="V20">
    <cfRule type="cellIs" dxfId="19053" priority="131532" stopIfTrue="1" operator="equal">
      <formula>-1</formula>
    </cfRule>
  </conditionalFormatting>
  <conditionalFormatting sqref="V20">
    <cfRule type="cellIs" dxfId="19052" priority="131533" stopIfTrue="1" operator="lessThan">
      <formula>0.5</formula>
    </cfRule>
  </conditionalFormatting>
  <conditionalFormatting sqref="V20">
    <cfRule type="cellIs" dxfId="19051" priority="131534" stopIfTrue="1" operator="greaterThanOrEqual">
      <formula>0.5</formula>
    </cfRule>
  </conditionalFormatting>
  <conditionalFormatting sqref="V21">
    <cfRule type="cellIs" dxfId="19050" priority="131535" stopIfTrue="1" operator="equal">
      <formula>-1</formula>
    </cfRule>
  </conditionalFormatting>
  <conditionalFormatting sqref="V21">
    <cfRule type="cellIs" dxfId="19049" priority="131536" stopIfTrue="1" operator="lessThan">
      <formula>0.5</formula>
    </cfRule>
  </conditionalFormatting>
  <conditionalFormatting sqref="V21">
    <cfRule type="cellIs" dxfId="19048" priority="131537" stopIfTrue="1" operator="greaterThanOrEqual">
      <formula>0.5</formula>
    </cfRule>
  </conditionalFormatting>
  <conditionalFormatting sqref="V22">
    <cfRule type="cellIs" dxfId="19047" priority="131538" stopIfTrue="1" operator="equal">
      <formula>-1</formula>
    </cfRule>
  </conditionalFormatting>
  <conditionalFormatting sqref="V22">
    <cfRule type="cellIs" dxfId="19046" priority="131539" stopIfTrue="1" operator="lessThan">
      <formula>0.5</formula>
    </cfRule>
  </conditionalFormatting>
  <conditionalFormatting sqref="V22">
    <cfRule type="cellIs" dxfId="19045" priority="131540" stopIfTrue="1" operator="greaterThanOrEqual">
      <formula>0.5</formula>
    </cfRule>
  </conditionalFormatting>
  <conditionalFormatting sqref="V23">
    <cfRule type="cellIs" dxfId="19044" priority="131541" stopIfTrue="1" operator="equal">
      <formula>-1</formula>
    </cfRule>
  </conditionalFormatting>
  <conditionalFormatting sqref="V23">
    <cfRule type="cellIs" dxfId="19043" priority="131542" stopIfTrue="1" operator="lessThan">
      <formula>0.5</formula>
    </cfRule>
  </conditionalFormatting>
  <conditionalFormatting sqref="V23">
    <cfRule type="cellIs" dxfId="19042" priority="131543" stopIfTrue="1" operator="greaterThanOrEqual">
      <formula>0.5</formula>
    </cfRule>
  </conditionalFormatting>
  <conditionalFormatting sqref="V24">
    <cfRule type="cellIs" dxfId="19041" priority="131544" stopIfTrue="1" operator="equal">
      <formula>-1</formula>
    </cfRule>
  </conditionalFormatting>
  <conditionalFormatting sqref="V24">
    <cfRule type="cellIs" dxfId="19040" priority="131545" stopIfTrue="1" operator="lessThan">
      <formula>0.5</formula>
    </cfRule>
  </conditionalFormatting>
  <conditionalFormatting sqref="V24">
    <cfRule type="cellIs" dxfId="19039" priority="131546" stopIfTrue="1" operator="greaterThanOrEqual">
      <formula>0.5</formula>
    </cfRule>
  </conditionalFormatting>
  <conditionalFormatting sqref="V25">
    <cfRule type="cellIs" dxfId="19038" priority="131547" stopIfTrue="1" operator="equal">
      <formula>-1</formula>
    </cfRule>
  </conditionalFormatting>
  <conditionalFormatting sqref="V25">
    <cfRule type="cellIs" dxfId="19037" priority="131548" stopIfTrue="1" operator="lessThan">
      <formula>0.5</formula>
    </cfRule>
  </conditionalFormatting>
  <conditionalFormatting sqref="V25">
    <cfRule type="cellIs" dxfId="19036" priority="131549" stopIfTrue="1" operator="greaterThanOrEqual">
      <formula>0.5</formula>
    </cfRule>
  </conditionalFormatting>
  <conditionalFormatting sqref="V26">
    <cfRule type="cellIs" dxfId="19035" priority="131550" stopIfTrue="1" operator="equal">
      <formula>-1</formula>
    </cfRule>
  </conditionalFormatting>
  <conditionalFormatting sqref="V26">
    <cfRule type="cellIs" dxfId="19034" priority="131551" stopIfTrue="1" operator="lessThan">
      <formula>0.5</formula>
    </cfRule>
  </conditionalFormatting>
  <conditionalFormatting sqref="V26">
    <cfRule type="cellIs" dxfId="19033" priority="131552" stopIfTrue="1" operator="greaterThanOrEqual">
      <formula>0.5</formula>
    </cfRule>
  </conditionalFormatting>
  <conditionalFormatting sqref="V27">
    <cfRule type="cellIs" dxfId="19032" priority="131553" stopIfTrue="1" operator="equal">
      <formula>-1</formula>
    </cfRule>
  </conditionalFormatting>
  <conditionalFormatting sqref="V27">
    <cfRule type="cellIs" dxfId="19031" priority="131554" stopIfTrue="1" operator="lessThan">
      <formula>0.5</formula>
    </cfRule>
  </conditionalFormatting>
  <conditionalFormatting sqref="V27">
    <cfRule type="cellIs" dxfId="19030" priority="131555" stopIfTrue="1" operator="greaterThanOrEqual">
      <formula>0.5</formula>
    </cfRule>
  </conditionalFormatting>
  <conditionalFormatting sqref="V28">
    <cfRule type="cellIs" dxfId="19029" priority="131556" stopIfTrue="1" operator="equal">
      <formula>-1</formula>
    </cfRule>
  </conditionalFormatting>
  <conditionalFormatting sqref="V28">
    <cfRule type="cellIs" dxfId="19028" priority="131557" stopIfTrue="1" operator="lessThan">
      <formula>0.5</formula>
    </cfRule>
  </conditionalFormatting>
  <conditionalFormatting sqref="V28">
    <cfRule type="cellIs" dxfId="19027" priority="131558" stopIfTrue="1" operator="greaterThanOrEqual">
      <formula>0.5</formula>
    </cfRule>
  </conditionalFormatting>
  <conditionalFormatting sqref="V29">
    <cfRule type="cellIs" dxfId="19026" priority="131559" stopIfTrue="1" operator="equal">
      <formula>-1</formula>
    </cfRule>
  </conditionalFormatting>
  <conditionalFormatting sqref="V29">
    <cfRule type="cellIs" dxfId="19025" priority="131560" stopIfTrue="1" operator="lessThan">
      <formula>0.5</formula>
    </cfRule>
  </conditionalFormatting>
  <conditionalFormatting sqref="V29">
    <cfRule type="cellIs" dxfId="19024" priority="131561" stopIfTrue="1" operator="greaterThanOrEqual">
      <formula>0.5</formula>
    </cfRule>
  </conditionalFormatting>
  <conditionalFormatting sqref="V30">
    <cfRule type="cellIs" dxfId="19023" priority="131562" stopIfTrue="1" operator="equal">
      <formula>-1</formula>
    </cfRule>
  </conditionalFormatting>
  <conditionalFormatting sqref="V30">
    <cfRule type="cellIs" dxfId="19022" priority="131563" stopIfTrue="1" operator="lessThan">
      <formula>0.5</formula>
    </cfRule>
  </conditionalFormatting>
  <conditionalFormatting sqref="V30">
    <cfRule type="cellIs" dxfId="19021" priority="131564" stopIfTrue="1" operator="greaterThanOrEqual">
      <formula>0.5</formula>
    </cfRule>
  </conditionalFormatting>
  <conditionalFormatting sqref="V31">
    <cfRule type="cellIs" dxfId="19020" priority="131565" stopIfTrue="1" operator="equal">
      <formula>-1</formula>
    </cfRule>
  </conditionalFormatting>
  <conditionalFormatting sqref="V31">
    <cfRule type="cellIs" dxfId="19019" priority="131566" stopIfTrue="1" operator="lessThan">
      <formula>0.5</formula>
    </cfRule>
  </conditionalFormatting>
  <conditionalFormatting sqref="V31">
    <cfRule type="cellIs" dxfId="19018" priority="131567" stopIfTrue="1" operator="greaterThanOrEqual">
      <formula>0.5</formula>
    </cfRule>
  </conditionalFormatting>
  <conditionalFormatting sqref="V32">
    <cfRule type="cellIs" dxfId="19017" priority="131568" stopIfTrue="1" operator="equal">
      <formula>-1</formula>
    </cfRule>
  </conditionalFormatting>
  <conditionalFormatting sqref="V32">
    <cfRule type="cellIs" dxfId="19016" priority="131569" stopIfTrue="1" operator="lessThan">
      <formula>0.5</formula>
    </cfRule>
  </conditionalFormatting>
  <conditionalFormatting sqref="V32">
    <cfRule type="cellIs" dxfId="19015" priority="131570" stopIfTrue="1" operator="greaterThanOrEqual">
      <formula>0.5</formula>
    </cfRule>
  </conditionalFormatting>
  <conditionalFormatting sqref="V33">
    <cfRule type="cellIs" dxfId="19014" priority="131571" stopIfTrue="1" operator="equal">
      <formula>-1</formula>
    </cfRule>
  </conditionalFormatting>
  <conditionalFormatting sqref="V33">
    <cfRule type="cellIs" dxfId="19013" priority="131572" stopIfTrue="1" operator="lessThan">
      <formula>0.5</formula>
    </cfRule>
  </conditionalFormatting>
  <conditionalFormatting sqref="V33">
    <cfRule type="cellIs" dxfId="19012" priority="131573" stopIfTrue="1" operator="greaterThanOrEqual">
      <formula>0.5</formula>
    </cfRule>
  </conditionalFormatting>
  <conditionalFormatting sqref="V34">
    <cfRule type="cellIs" dxfId="19011" priority="131574" stopIfTrue="1" operator="equal">
      <formula>-1</formula>
    </cfRule>
  </conditionalFormatting>
  <conditionalFormatting sqref="V34">
    <cfRule type="cellIs" dxfId="19010" priority="131575" stopIfTrue="1" operator="lessThan">
      <formula>0.5</formula>
    </cfRule>
  </conditionalFormatting>
  <conditionalFormatting sqref="V34">
    <cfRule type="cellIs" dxfId="19009" priority="131576" stopIfTrue="1" operator="greaterThanOrEqual">
      <formula>0.5</formula>
    </cfRule>
  </conditionalFormatting>
  <conditionalFormatting sqref="V35">
    <cfRule type="cellIs" dxfId="19008" priority="131577" stopIfTrue="1" operator="equal">
      <formula>-1</formula>
    </cfRule>
  </conditionalFormatting>
  <conditionalFormatting sqref="V35">
    <cfRule type="cellIs" dxfId="19007" priority="131578" stopIfTrue="1" operator="lessThan">
      <formula>0.5</formula>
    </cfRule>
  </conditionalFormatting>
  <conditionalFormatting sqref="V35">
    <cfRule type="cellIs" dxfId="19006" priority="131579" stopIfTrue="1" operator="greaterThanOrEqual">
      <formula>0.5</formula>
    </cfRule>
  </conditionalFormatting>
  <conditionalFormatting sqref="V36">
    <cfRule type="cellIs" dxfId="19005" priority="131580" stopIfTrue="1" operator="equal">
      <formula>-1</formula>
    </cfRule>
  </conditionalFormatting>
  <conditionalFormatting sqref="V36">
    <cfRule type="cellIs" dxfId="19004" priority="131581" stopIfTrue="1" operator="lessThan">
      <formula>0.5</formula>
    </cfRule>
  </conditionalFormatting>
  <conditionalFormatting sqref="V36">
    <cfRule type="cellIs" dxfId="19003" priority="131582" stopIfTrue="1" operator="greaterThanOrEqual">
      <formula>0.5</formula>
    </cfRule>
  </conditionalFormatting>
  <conditionalFormatting sqref="V37">
    <cfRule type="cellIs" dxfId="19002" priority="131583" stopIfTrue="1" operator="equal">
      <formula>-1</formula>
    </cfRule>
  </conditionalFormatting>
  <conditionalFormatting sqref="V37">
    <cfRule type="cellIs" dxfId="19001" priority="131584" stopIfTrue="1" operator="lessThan">
      <formula>0.5</formula>
    </cfRule>
  </conditionalFormatting>
  <conditionalFormatting sqref="V37">
    <cfRule type="cellIs" dxfId="19000" priority="131585" stopIfTrue="1" operator="greaterThanOrEqual">
      <formula>0.5</formula>
    </cfRule>
  </conditionalFormatting>
  <conditionalFormatting sqref="X17">
    <cfRule type="cellIs" dxfId="18999" priority="131586" stopIfTrue="1" operator="equal">
      <formula>-1</formula>
    </cfRule>
  </conditionalFormatting>
  <conditionalFormatting sqref="X17">
    <cfRule type="cellIs" dxfId="18998" priority="131587" stopIfTrue="1" operator="lessThan">
      <formula>0.5</formula>
    </cfRule>
  </conditionalFormatting>
  <conditionalFormatting sqref="X17">
    <cfRule type="cellIs" dxfId="18997" priority="131588" stopIfTrue="1" operator="greaterThanOrEqual">
      <formula>0.5</formula>
    </cfRule>
  </conditionalFormatting>
  <conditionalFormatting sqref="X18">
    <cfRule type="cellIs" dxfId="18996" priority="131589" stopIfTrue="1" operator="equal">
      <formula>-1</formula>
    </cfRule>
  </conditionalFormatting>
  <conditionalFormatting sqref="X18">
    <cfRule type="cellIs" dxfId="18995" priority="131590" stopIfTrue="1" operator="lessThan">
      <formula>0.5</formula>
    </cfRule>
  </conditionalFormatting>
  <conditionalFormatting sqref="X18">
    <cfRule type="cellIs" dxfId="18994" priority="131591" stopIfTrue="1" operator="greaterThanOrEqual">
      <formula>0.5</formula>
    </cfRule>
  </conditionalFormatting>
  <conditionalFormatting sqref="X19">
    <cfRule type="cellIs" dxfId="18993" priority="131592" stopIfTrue="1" operator="equal">
      <formula>-1</formula>
    </cfRule>
  </conditionalFormatting>
  <conditionalFormatting sqref="X19">
    <cfRule type="cellIs" dxfId="18992" priority="131593" stopIfTrue="1" operator="lessThan">
      <formula>0.5</formula>
    </cfRule>
  </conditionalFormatting>
  <conditionalFormatting sqref="X19">
    <cfRule type="cellIs" dxfId="18991" priority="131594" stopIfTrue="1" operator="greaterThanOrEqual">
      <formula>0.5</formula>
    </cfRule>
  </conditionalFormatting>
  <conditionalFormatting sqref="X20">
    <cfRule type="cellIs" dxfId="18990" priority="131595" stopIfTrue="1" operator="equal">
      <formula>-1</formula>
    </cfRule>
  </conditionalFormatting>
  <conditionalFormatting sqref="X20">
    <cfRule type="cellIs" dxfId="18989" priority="131596" stopIfTrue="1" operator="lessThan">
      <formula>0.5</formula>
    </cfRule>
  </conditionalFormatting>
  <conditionalFormatting sqref="X20">
    <cfRule type="cellIs" dxfId="18988" priority="131597" stopIfTrue="1" operator="greaterThanOrEqual">
      <formula>0.5</formula>
    </cfRule>
  </conditionalFormatting>
  <conditionalFormatting sqref="X21">
    <cfRule type="cellIs" dxfId="18987" priority="131598" stopIfTrue="1" operator="equal">
      <formula>-1</formula>
    </cfRule>
  </conditionalFormatting>
  <conditionalFormatting sqref="X21">
    <cfRule type="cellIs" dxfId="18986" priority="131599" stopIfTrue="1" operator="lessThan">
      <formula>0.5</formula>
    </cfRule>
  </conditionalFormatting>
  <conditionalFormatting sqref="X21">
    <cfRule type="cellIs" dxfId="18985" priority="131600" stopIfTrue="1" operator="greaterThanOrEqual">
      <formula>0.5</formula>
    </cfRule>
  </conditionalFormatting>
  <conditionalFormatting sqref="X22">
    <cfRule type="cellIs" dxfId="18984" priority="131601" stopIfTrue="1" operator="equal">
      <formula>-1</formula>
    </cfRule>
  </conditionalFormatting>
  <conditionalFormatting sqref="X22">
    <cfRule type="cellIs" dxfId="18983" priority="131602" stopIfTrue="1" operator="lessThan">
      <formula>0.5</formula>
    </cfRule>
  </conditionalFormatting>
  <conditionalFormatting sqref="X22">
    <cfRule type="cellIs" dxfId="18982" priority="131603" stopIfTrue="1" operator="greaterThanOrEqual">
      <formula>0.5</formula>
    </cfRule>
  </conditionalFormatting>
  <conditionalFormatting sqref="X23">
    <cfRule type="cellIs" dxfId="18981" priority="131604" stopIfTrue="1" operator="equal">
      <formula>-1</formula>
    </cfRule>
  </conditionalFormatting>
  <conditionalFormatting sqref="X23">
    <cfRule type="cellIs" dxfId="18980" priority="131605" stopIfTrue="1" operator="lessThan">
      <formula>0.5</formula>
    </cfRule>
  </conditionalFormatting>
  <conditionalFormatting sqref="X23">
    <cfRule type="cellIs" dxfId="18979" priority="131606" stopIfTrue="1" operator="greaterThanOrEqual">
      <formula>0.5</formula>
    </cfRule>
  </conditionalFormatting>
  <conditionalFormatting sqref="X24">
    <cfRule type="cellIs" dxfId="18978" priority="131607" stopIfTrue="1" operator="equal">
      <formula>-1</formula>
    </cfRule>
  </conditionalFormatting>
  <conditionalFormatting sqref="X24">
    <cfRule type="cellIs" dxfId="18977" priority="131608" stopIfTrue="1" operator="lessThan">
      <formula>0.5</formula>
    </cfRule>
  </conditionalFormatting>
  <conditionalFormatting sqref="X24">
    <cfRule type="cellIs" dxfId="18976" priority="131609" stopIfTrue="1" operator="greaterThanOrEqual">
      <formula>0.5</formula>
    </cfRule>
  </conditionalFormatting>
  <conditionalFormatting sqref="X25">
    <cfRule type="cellIs" dxfId="18975" priority="131610" stopIfTrue="1" operator="equal">
      <formula>-1</formula>
    </cfRule>
  </conditionalFormatting>
  <conditionalFormatting sqref="X25">
    <cfRule type="cellIs" dxfId="18974" priority="131611" stopIfTrue="1" operator="lessThan">
      <formula>0.5</formula>
    </cfRule>
  </conditionalFormatting>
  <conditionalFormatting sqref="X25">
    <cfRule type="cellIs" dxfId="18973" priority="131612" stopIfTrue="1" operator="greaterThanOrEqual">
      <formula>0.5</formula>
    </cfRule>
  </conditionalFormatting>
  <conditionalFormatting sqref="X26">
    <cfRule type="cellIs" dxfId="18972" priority="131613" stopIfTrue="1" operator="equal">
      <formula>-1</formula>
    </cfRule>
  </conditionalFormatting>
  <conditionalFormatting sqref="X26">
    <cfRule type="cellIs" dxfId="18971" priority="131614" stopIfTrue="1" operator="lessThan">
      <formula>0.5</formula>
    </cfRule>
  </conditionalFormatting>
  <conditionalFormatting sqref="X26">
    <cfRule type="cellIs" dxfId="18970" priority="131615" stopIfTrue="1" operator="greaterThanOrEqual">
      <formula>0.5</formula>
    </cfRule>
  </conditionalFormatting>
  <conditionalFormatting sqref="X27">
    <cfRule type="cellIs" dxfId="18969" priority="131616" stopIfTrue="1" operator="equal">
      <formula>-1</formula>
    </cfRule>
  </conditionalFormatting>
  <conditionalFormatting sqref="X27">
    <cfRule type="cellIs" dxfId="18968" priority="131617" stopIfTrue="1" operator="lessThan">
      <formula>0.5</formula>
    </cfRule>
  </conditionalFormatting>
  <conditionalFormatting sqref="X27">
    <cfRule type="cellIs" dxfId="18967" priority="131618" stopIfTrue="1" operator="greaterThanOrEqual">
      <formula>0.5</formula>
    </cfRule>
  </conditionalFormatting>
  <conditionalFormatting sqref="X28">
    <cfRule type="cellIs" dxfId="18966" priority="131619" stopIfTrue="1" operator="equal">
      <formula>-1</formula>
    </cfRule>
  </conditionalFormatting>
  <conditionalFormatting sqref="X28">
    <cfRule type="cellIs" dxfId="18965" priority="131620" stopIfTrue="1" operator="lessThan">
      <formula>0.5</formula>
    </cfRule>
  </conditionalFormatting>
  <conditionalFormatting sqref="X28">
    <cfRule type="cellIs" dxfId="18964" priority="131621" stopIfTrue="1" operator="greaterThanOrEqual">
      <formula>0.5</formula>
    </cfRule>
  </conditionalFormatting>
  <conditionalFormatting sqref="X29">
    <cfRule type="cellIs" dxfId="18963" priority="131622" stopIfTrue="1" operator="equal">
      <formula>-1</formula>
    </cfRule>
  </conditionalFormatting>
  <conditionalFormatting sqref="X29">
    <cfRule type="cellIs" dxfId="18962" priority="131623" stopIfTrue="1" operator="lessThan">
      <formula>0.5</formula>
    </cfRule>
  </conditionalFormatting>
  <conditionalFormatting sqref="X29">
    <cfRule type="cellIs" dxfId="18961" priority="131624" stopIfTrue="1" operator="greaterThanOrEqual">
      <formula>0.5</formula>
    </cfRule>
  </conditionalFormatting>
  <conditionalFormatting sqref="X30">
    <cfRule type="cellIs" dxfId="18960" priority="131625" stopIfTrue="1" operator="equal">
      <formula>-1</formula>
    </cfRule>
  </conditionalFormatting>
  <conditionalFormatting sqref="X30">
    <cfRule type="cellIs" dxfId="18959" priority="131626" stopIfTrue="1" operator="lessThan">
      <formula>0.5</formula>
    </cfRule>
  </conditionalFormatting>
  <conditionalFormatting sqref="X30">
    <cfRule type="cellIs" dxfId="18958" priority="131627" stopIfTrue="1" operator="greaterThanOrEqual">
      <formula>0.5</formula>
    </cfRule>
  </conditionalFormatting>
  <conditionalFormatting sqref="X31">
    <cfRule type="cellIs" dxfId="18957" priority="131628" stopIfTrue="1" operator="equal">
      <formula>-1</formula>
    </cfRule>
  </conditionalFormatting>
  <conditionalFormatting sqref="X31">
    <cfRule type="cellIs" dxfId="18956" priority="131629" stopIfTrue="1" operator="lessThan">
      <formula>0.5</formula>
    </cfRule>
  </conditionalFormatting>
  <conditionalFormatting sqref="X31">
    <cfRule type="cellIs" dxfId="18955" priority="131630" stopIfTrue="1" operator="greaterThanOrEqual">
      <formula>0.5</formula>
    </cfRule>
  </conditionalFormatting>
  <conditionalFormatting sqref="X32">
    <cfRule type="cellIs" dxfId="18954" priority="131631" stopIfTrue="1" operator="equal">
      <formula>-1</formula>
    </cfRule>
  </conditionalFormatting>
  <conditionalFormatting sqref="X32">
    <cfRule type="cellIs" dxfId="18953" priority="131632" stopIfTrue="1" operator="lessThan">
      <formula>0.5</formula>
    </cfRule>
  </conditionalFormatting>
  <conditionalFormatting sqref="X32">
    <cfRule type="cellIs" dxfId="18952" priority="131633" stopIfTrue="1" operator="greaterThanOrEqual">
      <formula>0.5</formula>
    </cfRule>
  </conditionalFormatting>
  <conditionalFormatting sqref="X33">
    <cfRule type="cellIs" dxfId="18951" priority="131634" stopIfTrue="1" operator="equal">
      <formula>-1</formula>
    </cfRule>
  </conditionalFormatting>
  <conditionalFormatting sqref="X33">
    <cfRule type="cellIs" dxfId="18950" priority="131635" stopIfTrue="1" operator="lessThan">
      <formula>0.5</formula>
    </cfRule>
  </conditionalFormatting>
  <conditionalFormatting sqref="X33">
    <cfRule type="cellIs" dxfId="18949" priority="131636" stopIfTrue="1" operator="greaterThanOrEqual">
      <formula>0.5</formula>
    </cfRule>
  </conditionalFormatting>
  <conditionalFormatting sqref="X34">
    <cfRule type="cellIs" dxfId="18948" priority="131637" stopIfTrue="1" operator="equal">
      <formula>-1</formula>
    </cfRule>
  </conditionalFormatting>
  <conditionalFormatting sqref="X34">
    <cfRule type="cellIs" dxfId="18947" priority="131638" stopIfTrue="1" operator="lessThan">
      <formula>0.5</formula>
    </cfRule>
  </conditionalFormatting>
  <conditionalFormatting sqref="X34">
    <cfRule type="cellIs" dxfId="18946" priority="131639" stopIfTrue="1" operator="greaterThanOrEqual">
      <formula>0.5</formula>
    </cfRule>
  </conditionalFormatting>
  <conditionalFormatting sqref="X35">
    <cfRule type="cellIs" dxfId="18945" priority="131640" stopIfTrue="1" operator="equal">
      <formula>-1</formula>
    </cfRule>
  </conditionalFormatting>
  <conditionalFormatting sqref="X35">
    <cfRule type="cellIs" dxfId="18944" priority="131641" stopIfTrue="1" operator="lessThan">
      <formula>0.5</formula>
    </cfRule>
  </conditionalFormatting>
  <conditionalFormatting sqref="X35">
    <cfRule type="cellIs" dxfId="18943" priority="131642" stopIfTrue="1" operator="greaterThanOrEqual">
      <formula>0.5</formula>
    </cfRule>
  </conditionalFormatting>
  <conditionalFormatting sqref="X36">
    <cfRule type="cellIs" dxfId="18942" priority="131643" stopIfTrue="1" operator="equal">
      <formula>-1</formula>
    </cfRule>
  </conditionalFormatting>
  <conditionalFormatting sqref="X36">
    <cfRule type="cellIs" dxfId="18941" priority="131644" stopIfTrue="1" operator="lessThan">
      <formula>0.5</formula>
    </cfRule>
  </conditionalFormatting>
  <conditionalFormatting sqref="X36">
    <cfRule type="cellIs" dxfId="18940" priority="131645" stopIfTrue="1" operator="greaterThanOrEqual">
      <formula>0.5</formula>
    </cfRule>
  </conditionalFormatting>
  <conditionalFormatting sqref="X37">
    <cfRule type="cellIs" dxfId="18939" priority="131646" stopIfTrue="1" operator="equal">
      <formula>-1</formula>
    </cfRule>
  </conditionalFormatting>
  <conditionalFormatting sqref="X37">
    <cfRule type="cellIs" dxfId="18938" priority="131647" stopIfTrue="1" operator="lessThan">
      <formula>0.5</formula>
    </cfRule>
  </conditionalFormatting>
  <conditionalFormatting sqref="X37">
    <cfRule type="cellIs" dxfId="18937" priority="131648" stopIfTrue="1" operator="greaterThanOrEqual">
      <formula>0.5</formula>
    </cfRule>
  </conditionalFormatting>
  <conditionalFormatting sqref="Z17">
    <cfRule type="cellIs" dxfId="18936" priority="131649" stopIfTrue="1" operator="equal">
      <formula>-1</formula>
    </cfRule>
  </conditionalFormatting>
  <conditionalFormatting sqref="Z17">
    <cfRule type="cellIs" dxfId="18935" priority="131650" stopIfTrue="1" operator="lessThan">
      <formula>0.5</formula>
    </cfRule>
  </conditionalFormatting>
  <conditionalFormatting sqref="Z17">
    <cfRule type="cellIs" dxfId="18934" priority="131651" stopIfTrue="1" operator="greaterThanOrEqual">
      <formula>0.5</formula>
    </cfRule>
  </conditionalFormatting>
  <conditionalFormatting sqref="Z18">
    <cfRule type="cellIs" dxfId="18933" priority="131652" stopIfTrue="1" operator="equal">
      <formula>-1</formula>
    </cfRule>
  </conditionalFormatting>
  <conditionalFormatting sqref="Z18">
    <cfRule type="cellIs" dxfId="18932" priority="131653" stopIfTrue="1" operator="lessThan">
      <formula>0.5</formula>
    </cfRule>
  </conditionalFormatting>
  <conditionalFormatting sqref="Z18">
    <cfRule type="cellIs" dxfId="18931" priority="131654" stopIfTrue="1" operator="greaterThanOrEqual">
      <formula>0.5</formula>
    </cfRule>
  </conditionalFormatting>
  <conditionalFormatting sqref="Z19">
    <cfRule type="cellIs" dxfId="18930" priority="131655" stopIfTrue="1" operator="equal">
      <formula>-1</formula>
    </cfRule>
  </conditionalFormatting>
  <conditionalFormatting sqref="Z19">
    <cfRule type="cellIs" dxfId="18929" priority="131656" stopIfTrue="1" operator="lessThan">
      <formula>0.5</formula>
    </cfRule>
  </conditionalFormatting>
  <conditionalFormatting sqref="Z19">
    <cfRule type="cellIs" dxfId="18928" priority="131657" stopIfTrue="1" operator="greaterThanOrEqual">
      <formula>0.5</formula>
    </cfRule>
  </conditionalFormatting>
  <conditionalFormatting sqref="Z20">
    <cfRule type="cellIs" dxfId="18927" priority="131658" stopIfTrue="1" operator="equal">
      <formula>-1</formula>
    </cfRule>
  </conditionalFormatting>
  <conditionalFormatting sqref="Z20">
    <cfRule type="cellIs" dxfId="18926" priority="131659" stopIfTrue="1" operator="lessThan">
      <formula>0.5</formula>
    </cfRule>
  </conditionalFormatting>
  <conditionalFormatting sqref="Z20">
    <cfRule type="cellIs" dxfId="18925" priority="131660" stopIfTrue="1" operator="greaterThanOrEqual">
      <formula>0.5</formula>
    </cfRule>
  </conditionalFormatting>
  <conditionalFormatting sqref="Z21">
    <cfRule type="cellIs" dxfId="18924" priority="131661" stopIfTrue="1" operator="equal">
      <formula>-1</formula>
    </cfRule>
  </conditionalFormatting>
  <conditionalFormatting sqref="Z21">
    <cfRule type="cellIs" dxfId="18923" priority="131662" stopIfTrue="1" operator="lessThan">
      <formula>0.5</formula>
    </cfRule>
  </conditionalFormatting>
  <conditionalFormatting sqref="Z21">
    <cfRule type="cellIs" dxfId="18922" priority="131663" stopIfTrue="1" operator="greaterThanOrEqual">
      <formula>0.5</formula>
    </cfRule>
  </conditionalFormatting>
  <conditionalFormatting sqref="Z22">
    <cfRule type="cellIs" dxfId="18921" priority="131664" stopIfTrue="1" operator="equal">
      <formula>-1</formula>
    </cfRule>
  </conditionalFormatting>
  <conditionalFormatting sqref="Z22">
    <cfRule type="cellIs" dxfId="18920" priority="131665" stopIfTrue="1" operator="lessThan">
      <formula>0.5</formula>
    </cfRule>
  </conditionalFormatting>
  <conditionalFormatting sqref="Z22">
    <cfRule type="cellIs" dxfId="18919" priority="131666" stopIfTrue="1" operator="greaterThanOrEqual">
      <formula>0.5</formula>
    </cfRule>
  </conditionalFormatting>
  <conditionalFormatting sqref="Z23">
    <cfRule type="cellIs" dxfId="18918" priority="131667" stopIfTrue="1" operator="equal">
      <formula>-1</formula>
    </cfRule>
  </conditionalFormatting>
  <conditionalFormatting sqref="Z23">
    <cfRule type="cellIs" dxfId="18917" priority="131668" stopIfTrue="1" operator="lessThan">
      <formula>0.5</formula>
    </cfRule>
  </conditionalFormatting>
  <conditionalFormatting sqref="Z23">
    <cfRule type="cellIs" dxfId="18916" priority="131669" stopIfTrue="1" operator="greaterThanOrEqual">
      <formula>0.5</formula>
    </cfRule>
  </conditionalFormatting>
  <conditionalFormatting sqref="Z24">
    <cfRule type="cellIs" dxfId="18915" priority="131670" stopIfTrue="1" operator="equal">
      <formula>-1</formula>
    </cfRule>
  </conditionalFormatting>
  <conditionalFormatting sqref="Z24">
    <cfRule type="cellIs" dxfId="18914" priority="131671" stopIfTrue="1" operator="lessThan">
      <formula>0.5</formula>
    </cfRule>
  </conditionalFormatting>
  <conditionalFormatting sqref="Z24">
    <cfRule type="cellIs" dxfId="18913" priority="131672" stopIfTrue="1" operator="greaterThanOrEqual">
      <formula>0.5</formula>
    </cfRule>
  </conditionalFormatting>
  <conditionalFormatting sqref="Z25">
    <cfRule type="cellIs" dxfId="18912" priority="131673" stopIfTrue="1" operator="equal">
      <formula>-1</formula>
    </cfRule>
  </conditionalFormatting>
  <conditionalFormatting sqref="Z25">
    <cfRule type="cellIs" dxfId="18911" priority="131674" stopIfTrue="1" operator="lessThan">
      <formula>0.5</formula>
    </cfRule>
  </conditionalFormatting>
  <conditionalFormatting sqref="Z25">
    <cfRule type="cellIs" dxfId="18910" priority="131675" stopIfTrue="1" operator="greaterThanOrEqual">
      <formula>0.5</formula>
    </cfRule>
  </conditionalFormatting>
  <conditionalFormatting sqref="Z26">
    <cfRule type="cellIs" dxfId="18909" priority="131676" stopIfTrue="1" operator="equal">
      <formula>-1</formula>
    </cfRule>
  </conditionalFormatting>
  <conditionalFormatting sqref="Z26">
    <cfRule type="cellIs" dxfId="18908" priority="131677" stopIfTrue="1" operator="lessThan">
      <formula>0.5</formula>
    </cfRule>
  </conditionalFormatting>
  <conditionalFormatting sqref="Z26">
    <cfRule type="cellIs" dxfId="18907" priority="131678" stopIfTrue="1" operator="greaterThanOrEqual">
      <formula>0.5</formula>
    </cfRule>
  </conditionalFormatting>
  <conditionalFormatting sqref="Z27">
    <cfRule type="cellIs" dxfId="18906" priority="131679" stopIfTrue="1" operator="equal">
      <formula>-1</formula>
    </cfRule>
  </conditionalFormatting>
  <conditionalFormatting sqref="Z27">
    <cfRule type="cellIs" dxfId="18905" priority="131680" stopIfTrue="1" operator="lessThan">
      <formula>0.5</formula>
    </cfRule>
  </conditionalFormatting>
  <conditionalFormatting sqref="Z27">
    <cfRule type="cellIs" dxfId="18904" priority="131681" stopIfTrue="1" operator="greaterThanOrEqual">
      <formula>0.5</formula>
    </cfRule>
  </conditionalFormatting>
  <conditionalFormatting sqref="Z28">
    <cfRule type="cellIs" dxfId="18903" priority="131682" stopIfTrue="1" operator="equal">
      <formula>-1</formula>
    </cfRule>
  </conditionalFormatting>
  <conditionalFormatting sqref="Z28">
    <cfRule type="cellIs" dxfId="18902" priority="131683" stopIfTrue="1" operator="lessThan">
      <formula>0.5</formula>
    </cfRule>
  </conditionalFormatting>
  <conditionalFormatting sqref="Z28">
    <cfRule type="cellIs" dxfId="18901" priority="131684" stopIfTrue="1" operator="greaterThanOrEqual">
      <formula>0.5</formula>
    </cfRule>
  </conditionalFormatting>
  <conditionalFormatting sqref="Z29">
    <cfRule type="cellIs" dxfId="18900" priority="131685" stopIfTrue="1" operator="equal">
      <formula>-1</formula>
    </cfRule>
  </conditionalFormatting>
  <conditionalFormatting sqref="Z29">
    <cfRule type="cellIs" dxfId="18899" priority="131686" stopIfTrue="1" operator="lessThan">
      <formula>0.5</formula>
    </cfRule>
  </conditionalFormatting>
  <conditionalFormatting sqref="Z29">
    <cfRule type="cellIs" dxfId="18898" priority="131687" stopIfTrue="1" operator="greaterThanOrEqual">
      <formula>0.5</formula>
    </cfRule>
  </conditionalFormatting>
  <conditionalFormatting sqref="Z30">
    <cfRule type="cellIs" dxfId="18897" priority="131688" stopIfTrue="1" operator="equal">
      <formula>-1</formula>
    </cfRule>
  </conditionalFormatting>
  <conditionalFormatting sqref="Z30">
    <cfRule type="cellIs" dxfId="18896" priority="131689" stopIfTrue="1" operator="lessThan">
      <formula>0.5</formula>
    </cfRule>
  </conditionalFormatting>
  <conditionalFormatting sqref="Z30">
    <cfRule type="cellIs" dxfId="18895" priority="131690" stopIfTrue="1" operator="greaterThanOrEqual">
      <formula>0.5</formula>
    </cfRule>
  </conditionalFormatting>
  <conditionalFormatting sqref="Z31">
    <cfRule type="cellIs" dxfId="18894" priority="131691" stopIfTrue="1" operator="equal">
      <formula>-1</formula>
    </cfRule>
  </conditionalFormatting>
  <conditionalFormatting sqref="Z31">
    <cfRule type="cellIs" dxfId="18893" priority="131692" stopIfTrue="1" operator="lessThan">
      <formula>0.5</formula>
    </cfRule>
  </conditionalFormatting>
  <conditionalFormatting sqref="Z31">
    <cfRule type="cellIs" dxfId="18892" priority="131693" stopIfTrue="1" operator="greaterThanOrEqual">
      <formula>0.5</formula>
    </cfRule>
  </conditionalFormatting>
  <conditionalFormatting sqref="Z32">
    <cfRule type="cellIs" dxfId="18891" priority="131694" stopIfTrue="1" operator="equal">
      <formula>-1</formula>
    </cfRule>
  </conditionalFormatting>
  <conditionalFormatting sqref="Z32">
    <cfRule type="cellIs" dxfId="18890" priority="131695" stopIfTrue="1" operator="lessThan">
      <formula>0.5</formula>
    </cfRule>
  </conditionalFormatting>
  <conditionalFormatting sqref="Z32">
    <cfRule type="cellIs" dxfId="18889" priority="131696" stopIfTrue="1" operator="greaterThanOrEqual">
      <formula>0.5</formula>
    </cfRule>
  </conditionalFormatting>
  <conditionalFormatting sqref="Z33">
    <cfRule type="cellIs" dxfId="18888" priority="131697" stopIfTrue="1" operator="equal">
      <formula>-1</formula>
    </cfRule>
  </conditionalFormatting>
  <conditionalFormatting sqref="Z33">
    <cfRule type="cellIs" dxfId="18887" priority="131698" stopIfTrue="1" operator="lessThan">
      <formula>0.5</formula>
    </cfRule>
  </conditionalFormatting>
  <conditionalFormatting sqref="Z33">
    <cfRule type="cellIs" dxfId="18886" priority="131699" stopIfTrue="1" operator="greaterThanOrEqual">
      <formula>0.5</formula>
    </cfRule>
  </conditionalFormatting>
  <conditionalFormatting sqref="Z34">
    <cfRule type="cellIs" dxfId="18885" priority="131700" stopIfTrue="1" operator="equal">
      <formula>-1</formula>
    </cfRule>
  </conditionalFormatting>
  <conditionalFormatting sqref="Z34">
    <cfRule type="cellIs" dxfId="18884" priority="131701" stopIfTrue="1" operator="lessThan">
      <formula>0.5</formula>
    </cfRule>
  </conditionalFormatting>
  <conditionalFormatting sqref="Z34">
    <cfRule type="cellIs" dxfId="18883" priority="131702" stopIfTrue="1" operator="greaterThanOrEqual">
      <formula>0.5</formula>
    </cfRule>
  </conditionalFormatting>
  <conditionalFormatting sqref="Z35">
    <cfRule type="cellIs" dxfId="18882" priority="131703" stopIfTrue="1" operator="equal">
      <formula>-1</formula>
    </cfRule>
  </conditionalFormatting>
  <conditionalFormatting sqref="Z35">
    <cfRule type="cellIs" dxfId="18881" priority="131704" stopIfTrue="1" operator="lessThan">
      <formula>0.5</formula>
    </cfRule>
  </conditionalFormatting>
  <conditionalFormatting sqref="Z35">
    <cfRule type="cellIs" dxfId="18880" priority="131705" stopIfTrue="1" operator="greaterThanOrEqual">
      <formula>0.5</formula>
    </cfRule>
  </conditionalFormatting>
  <conditionalFormatting sqref="Z36">
    <cfRule type="cellIs" dxfId="18879" priority="131706" stopIfTrue="1" operator="equal">
      <formula>-1</formula>
    </cfRule>
  </conditionalFormatting>
  <conditionalFormatting sqref="Z36">
    <cfRule type="cellIs" dxfId="18878" priority="131707" stopIfTrue="1" operator="lessThan">
      <formula>0.5</formula>
    </cfRule>
  </conditionalFormatting>
  <conditionalFormatting sqref="Z36">
    <cfRule type="cellIs" dxfId="18877" priority="131708" stopIfTrue="1" operator="greaterThanOrEqual">
      <formula>0.5</formula>
    </cfRule>
  </conditionalFormatting>
  <conditionalFormatting sqref="Z37">
    <cfRule type="cellIs" dxfId="18876" priority="131709" stopIfTrue="1" operator="equal">
      <formula>-1</formula>
    </cfRule>
  </conditionalFormatting>
  <conditionalFormatting sqref="Z37">
    <cfRule type="cellIs" dxfId="18875" priority="131710" stopIfTrue="1" operator="lessThan">
      <formula>0.5</formula>
    </cfRule>
  </conditionalFormatting>
  <conditionalFormatting sqref="Z37">
    <cfRule type="cellIs" dxfId="18874" priority="131711" stopIfTrue="1" operator="greaterThanOrEqual">
      <formula>0.5</formula>
    </cfRule>
  </conditionalFormatting>
  <conditionalFormatting sqref="AB17">
    <cfRule type="cellIs" dxfId="18873" priority="131712" stopIfTrue="1" operator="equal">
      <formula>-1</formula>
    </cfRule>
  </conditionalFormatting>
  <conditionalFormatting sqref="AB17">
    <cfRule type="cellIs" dxfId="18872" priority="131713" stopIfTrue="1" operator="lessThan">
      <formula>0.5</formula>
    </cfRule>
  </conditionalFormatting>
  <conditionalFormatting sqref="AB17">
    <cfRule type="cellIs" dxfId="18871" priority="131714" stopIfTrue="1" operator="greaterThanOrEqual">
      <formula>0.5</formula>
    </cfRule>
  </conditionalFormatting>
  <conditionalFormatting sqref="AB18">
    <cfRule type="cellIs" dxfId="18870" priority="131715" stopIfTrue="1" operator="equal">
      <formula>-1</formula>
    </cfRule>
  </conditionalFormatting>
  <conditionalFormatting sqref="AB18">
    <cfRule type="cellIs" dxfId="18869" priority="131716" stopIfTrue="1" operator="lessThan">
      <formula>0.5</formula>
    </cfRule>
  </conditionalFormatting>
  <conditionalFormatting sqref="AB18">
    <cfRule type="cellIs" dxfId="18868" priority="131717" stopIfTrue="1" operator="greaterThanOrEqual">
      <formula>0.5</formula>
    </cfRule>
  </conditionalFormatting>
  <conditionalFormatting sqref="AB19">
    <cfRule type="cellIs" dxfId="18867" priority="131718" stopIfTrue="1" operator="equal">
      <formula>-1</formula>
    </cfRule>
  </conditionalFormatting>
  <conditionalFormatting sqref="AB19">
    <cfRule type="cellIs" dxfId="18866" priority="131719" stopIfTrue="1" operator="lessThan">
      <formula>0.5</formula>
    </cfRule>
  </conditionalFormatting>
  <conditionalFormatting sqref="AB19">
    <cfRule type="cellIs" dxfId="18865" priority="131720" stopIfTrue="1" operator="greaterThanOrEqual">
      <formula>0.5</formula>
    </cfRule>
  </conditionalFormatting>
  <conditionalFormatting sqref="AB20">
    <cfRule type="cellIs" dxfId="18864" priority="131721" stopIfTrue="1" operator="equal">
      <formula>-1</formula>
    </cfRule>
  </conditionalFormatting>
  <conditionalFormatting sqref="AB20">
    <cfRule type="cellIs" dxfId="18863" priority="131722" stopIfTrue="1" operator="lessThan">
      <formula>0.5</formula>
    </cfRule>
  </conditionalFormatting>
  <conditionalFormatting sqref="AB20">
    <cfRule type="cellIs" dxfId="18862" priority="131723" stopIfTrue="1" operator="greaterThanOrEqual">
      <formula>0.5</formula>
    </cfRule>
  </conditionalFormatting>
  <conditionalFormatting sqref="AB21">
    <cfRule type="cellIs" dxfId="18861" priority="131724" stopIfTrue="1" operator="equal">
      <formula>-1</formula>
    </cfRule>
  </conditionalFormatting>
  <conditionalFormatting sqref="AB21">
    <cfRule type="cellIs" dxfId="18860" priority="131725" stopIfTrue="1" operator="lessThan">
      <formula>0.5</formula>
    </cfRule>
  </conditionalFormatting>
  <conditionalFormatting sqref="AB21">
    <cfRule type="cellIs" dxfId="18859" priority="131726" stopIfTrue="1" operator="greaterThanOrEqual">
      <formula>0.5</formula>
    </cfRule>
  </conditionalFormatting>
  <conditionalFormatting sqref="AB22">
    <cfRule type="cellIs" dxfId="18858" priority="131727" stopIfTrue="1" operator="equal">
      <formula>-1</formula>
    </cfRule>
  </conditionalFormatting>
  <conditionalFormatting sqref="AB22">
    <cfRule type="cellIs" dxfId="18857" priority="131728" stopIfTrue="1" operator="lessThan">
      <formula>0.5</formula>
    </cfRule>
  </conditionalFormatting>
  <conditionalFormatting sqref="AB22">
    <cfRule type="cellIs" dxfId="18856" priority="131729" stopIfTrue="1" operator="greaterThanOrEqual">
      <formula>0.5</formula>
    </cfRule>
  </conditionalFormatting>
  <conditionalFormatting sqref="AB23">
    <cfRule type="cellIs" dxfId="18855" priority="131730" stopIfTrue="1" operator="equal">
      <formula>-1</formula>
    </cfRule>
  </conditionalFormatting>
  <conditionalFormatting sqref="AB23">
    <cfRule type="cellIs" dxfId="18854" priority="131731" stopIfTrue="1" operator="lessThan">
      <formula>0.5</formula>
    </cfRule>
  </conditionalFormatting>
  <conditionalFormatting sqref="AB23">
    <cfRule type="cellIs" dxfId="18853" priority="131732" stopIfTrue="1" operator="greaterThanOrEqual">
      <formula>0.5</formula>
    </cfRule>
  </conditionalFormatting>
  <conditionalFormatting sqref="AB24">
    <cfRule type="cellIs" dxfId="18852" priority="131733" stopIfTrue="1" operator="equal">
      <formula>-1</formula>
    </cfRule>
  </conditionalFormatting>
  <conditionalFormatting sqref="AB24">
    <cfRule type="cellIs" dxfId="18851" priority="131734" stopIfTrue="1" operator="lessThan">
      <formula>0.5</formula>
    </cfRule>
  </conditionalFormatting>
  <conditionalFormatting sqref="AB24">
    <cfRule type="cellIs" dxfId="18850" priority="131735" stopIfTrue="1" operator="greaterThanOrEqual">
      <formula>0.5</formula>
    </cfRule>
  </conditionalFormatting>
  <conditionalFormatting sqref="AB25">
    <cfRule type="cellIs" dxfId="18849" priority="131736" stopIfTrue="1" operator="equal">
      <formula>-1</formula>
    </cfRule>
  </conditionalFormatting>
  <conditionalFormatting sqref="AB25">
    <cfRule type="cellIs" dxfId="18848" priority="131737" stopIfTrue="1" operator="lessThan">
      <formula>0.5</formula>
    </cfRule>
  </conditionalFormatting>
  <conditionalFormatting sqref="AB25">
    <cfRule type="cellIs" dxfId="18847" priority="131738" stopIfTrue="1" operator="greaterThanOrEqual">
      <formula>0.5</formula>
    </cfRule>
  </conditionalFormatting>
  <conditionalFormatting sqref="AB26">
    <cfRule type="cellIs" dxfId="18846" priority="131739" stopIfTrue="1" operator="equal">
      <formula>-1</formula>
    </cfRule>
  </conditionalFormatting>
  <conditionalFormatting sqref="AB26">
    <cfRule type="cellIs" dxfId="18845" priority="131740" stopIfTrue="1" operator="lessThan">
      <formula>0.5</formula>
    </cfRule>
  </conditionalFormatting>
  <conditionalFormatting sqref="AB26">
    <cfRule type="cellIs" dxfId="18844" priority="131741" stopIfTrue="1" operator="greaterThanOrEqual">
      <formula>0.5</formula>
    </cfRule>
  </conditionalFormatting>
  <conditionalFormatting sqref="AB27">
    <cfRule type="cellIs" dxfId="18843" priority="131742" stopIfTrue="1" operator="equal">
      <formula>-1</formula>
    </cfRule>
  </conditionalFormatting>
  <conditionalFormatting sqref="AB27">
    <cfRule type="cellIs" dxfId="18842" priority="131743" stopIfTrue="1" operator="lessThan">
      <formula>0.5</formula>
    </cfRule>
  </conditionalFormatting>
  <conditionalFormatting sqref="AB27">
    <cfRule type="cellIs" dxfId="18841" priority="131744" stopIfTrue="1" operator="greaterThanOrEqual">
      <formula>0.5</formula>
    </cfRule>
  </conditionalFormatting>
  <conditionalFormatting sqref="AB28">
    <cfRule type="cellIs" dxfId="18840" priority="131745" stopIfTrue="1" operator="equal">
      <formula>-1</formula>
    </cfRule>
  </conditionalFormatting>
  <conditionalFormatting sqref="AB28">
    <cfRule type="cellIs" dxfId="18839" priority="131746" stopIfTrue="1" operator="lessThan">
      <formula>0.5</formula>
    </cfRule>
  </conditionalFormatting>
  <conditionalFormatting sqref="AB28">
    <cfRule type="cellIs" dxfId="18838" priority="131747" stopIfTrue="1" operator="greaterThanOrEqual">
      <formula>0.5</formula>
    </cfRule>
  </conditionalFormatting>
  <conditionalFormatting sqref="AB29">
    <cfRule type="cellIs" dxfId="18837" priority="131748" stopIfTrue="1" operator="equal">
      <formula>-1</formula>
    </cfRule>
  </conditionalFormatting>
  <conditionalFormatting sqref="AB29">
    <cfRule type="cellIs" dxfId="18836" priority="131749" stopIfTrue="1" operator="lessThan">
      <formula>0.5</formula>
    </cfRule>
  </conditionalFormatting>
  <conditionalFormatting sqref="AB29">
    <cfRule type="cellIs" dxfId="18835" priority="131750" stopIfTrue="1" operator="greaterThanOrEqual">
      <formula>0.5</formula>
    </cfRule>
  </conditionalFormatting>
  <conditionalFormatting sqref="AB30">
    <cfRule type="cellIs" dxfId="18834" priority="131751" stopIfTrue="1" operator="equal">
      <formula>-1</formula>
    </cfRule>
  </conditionalFormatting>
  <conditionalFormatting sqref="AB30">
    <cfRule type="cellIs" dxfId="18833" priority="131752" stopIfTrue="1" operator="lessThan">
      <formula>0.5</formula>
    </cfRule>
  </conditionalFormatting>
  <conditionalFormatting sqref="AB30">
    <cfRule type="cellIs" dxfId="18832" priority="131753" stopIfTrue="1" operator="greaterThanOrEqual">
      <formula>0.5</formula>
    </cfRule>
  </conditionalFormatting>
  <conditionalFormatting sqref="AB31">
    <cfRule type="cellIs" dxfId="18831" priority="131754" stopIfTrue="1" operator="equal">
      <formula>-1</formula>
    </cfRule>
  </conditionalFormatting>
  <conditionalFormatting sqref="AB31">
    <cfRule type="cellIs" dxfId="18830" priority="131755" stopIfTrue="1" operator="lessThan">
      <formula>0.5</formula>
    </cfRule>
  </conditionalFormatting>
  <conditionalFormatting sqref="AB31">
    <cfRule type="cellIs" dxfId="18829" priority="131756" stopIfTrue="1" operator="greaterThanOrEqual">
      <formula>0.5</formula>
    </cfRule>
  </conditionalFormatting>
  <conditionalFormatting sqref="AB32">
    <cfRule type="cellIs" dxfId="18828" priority="131757" stopIfTrue="1" operator="equal">
      <formula>-1</formula>
    </cfRule>
  </conditionalFormatting>
  <conditionalFormatting sqref="AB32">
    <cfRule type="cellIs" dxfId="18827" priority="131758" stopIfTrue="1" operator="lessThan">
      <formula>0.5</formula>
    </cfRule>
  </conditionalFormatting>
  <conditionalFormatting sqref="AB32">
    <cfRule type="cellIs" dxfId="18826" priority="131759" stopIfTrue="1" operator="greaterThanOrEqual">
      <formula>0.5</formula>
    </cfRule>
  </conditionalFormatting>
  <conditionalFormatting sqref="AB33">
    <cfRule type="cellIs" dxfId="18825" priority="131760" stopIfTrue="1" operator="equal">
      <formula>-1</formula>
    </cfRule>
  </conditionalFormatting>
  <conditionalFormatting sqref="AB33">
    <cfRule type="cellIs" dxfId="18824" priority="131761" stopIfTrue="1" operator="lessThan">
      <formula>0.5</formula>
    </cfRule>
  </conditionalFormatting>
  <conditionalFormatting sqref="AB33">
    <cfRule type="cellIs" dxfId="18823" priority="131762" stopIfTrue="1" operator="greaterThanOrEqual">
      <formula>0.5</formula>
    </cfRule>
  </conditionalFormatting>
  <conditionalFormatting sqref="AB34">
    <cfRule type="cellIs" dxfId="18822" priority="131763" stopIfTrue="1" operator="equal">
      <formula>-1</formula>
    </cfRule>
  </conditionalFormatting>
  <conditionalFormatting sqref="AB34">
    <cfRule type="cellIs" dxfId="18821" priority="131764" stopIfTrue="1" operator="lessThan">
      <formula>0.5</formula>
    </cfRule>
  </conditionalFormatting>
  <conditionalFormatting sqref="AB34">
    <cfRule type="cellIs" dxfId="18820" priority="131765" stopIfTrue="1" operator="greaterThanOrEqual">
      <formula>0.5</formula>
    </cfRule>
  </conditionalFormatting>
  <conditionalFormatting sqref="AB35">
    <cfRule type="cellIs" dxfId="18819" priority="131766" stopIfTrue="1" operator="equal">
      <formula>-1</formula>
    </cfRule>
  </conditionalFormatting>
  <conditionalFormatting sqref="AB35">
    <cfRule type="cellIs" dxfId="18818" priority="131767" stopIfTrue="1" operator="lessThan">
      <formula>0.5</formula>
    </cfRule>
  </conditionalFormatting>
  <conditionalFormatting sqref="AB35">
    <cfRule type="cellIs" dxfId="18817" priority="131768" stopIfTrue="1" operator="greaterThanOrEqual">
      <formula>0.5</formula>
    </cfRule>
  </conditionalFormatting>
  <conditionalFormatting sqref="AB36">
    <cfRule type="cellIs" dxfId="18816" priority="131769" stopIfTrue="1" operator="equal">
      <formula>-1</formula>
    </cfRule>
  </conditionalFormatting>
  <conditionalFormatting sqref="AB36">
    <cfRule type="cellIs" dxfId="18815" priority="131770" stopIfTrue="1" operator="lessThan">
      <formula>0.5</formula>
    </cfRule>
  </conditionalFormatting>
  <conditionalFormatting sqref="AB36">
    <cfRule type="cellIs" dxfId="18814" priority="131771" stopIfTrue="1" operator="greaterThanOrEqual">
      <formula>0.5</formula>
    </cfRule>
  </conditionalFormatting>
  <conditionalFormatting sqref="AB37">
    <cfRule type="cellIs" dxfId="18813" priority="131772" stopIfTrue="1" operator="equal">
      <formula>-1</formula>
    </cfRule>
  </conditionalFormatting>
  <conditionalFormatting sqref="AB37">
    <cfRule type="cellIs" dxfId="18812" priority="131773" stopIfTrue="1" operator="lessThan">
      <formula>0.5</formula>
    </cfRule>
  </conditionalFormatting>
  <conditionalFormatting sqref="AB37">
    <cfRule type="cellIs" dxfId="18811" priority="131774" stopIfTrue="1" operator="greaterThanOrEqual">
      <formula>0.5</formula>
    </cfRule>
  </conditionalFormatting>
  <conditionalFormatting sqref="AD17">
    <cfRule type="cellIs" dxfId="18810" priority="131775" stopIfTrue="1" operator="equal">
      <formula>-1</formula>
    </cfRule>
  </conditionalFormatting>
  <conditionalFormatting sqref="AD17">
    <cfRule type="cellIs" dxfId="18809" priority="131776" stopIfTrue="1" operator="lessThan">
      <formula>0.5</formula>
    </cfRule>
  </conditionalFormatting>
  <conditionalFormatting sqref="AD17">
    <cfRule type="cellIs" dxfId="18808" priority="131777" stopIfTrue="1" operator="greaterThanOrEqual">
      <formula>0.5</formula>
    </cfRule>
  </conditionalFormatting>
  <conditionalFormatting sqref="AD18">
    <cfRule type="cellIs" dxfId="18807" priority="131778" stopIfTrue="1" operator="equal">
      <formula>-1</formula>
    </cfRule>
  </conditionalFormatting>
  <conditionalFormatting sqref="AD18">
    <cfRule type="cellIs" dxfId="18806" priority="131779" stopIfTrue="1" operator="lessThan">
      <formula>0.5</formula>
    </cfRule>
  </conditionalFormatting>
  <conditionalFormatting sqref="AD18">
    <cfRule type="cellIs" dxfId="18805" priority="131780" stopIfTrue="1" operator="greaterThanOrEqual">
      <formula>0.5</formula>
    </cfRule>
  </conditionalFormatting>
  <conditionalFormatting sqref="AD19">
    <cfRule type="cellIs" dxfId="18804" priority="131781" stopIfTrue="1" operator="equal">
      <formula>-1</formula>
    </cfRule>
  </conditionalFormatting>
  <conditionalFormatting sqref="AD19">
    <cfRule type="cellIs" dxfId="18803" priority="131782" stopIfTrue="1" operator="lessThan">
      <formula>0.5</formula>
    </cfRule>
  </conditionalFormatting>
  <conditionalFormatting sqref="AD19">
    <cfRule type="cellIs" dxfId="18802" priority="131783" stopIfTrue="1" operator="greaterThanOrEqual">
      <formula>0.5</formula>
    </cfRule>
  </conditionalFormatting>
  <conditionalFormatting sqref="AD20">
    <cfRule type="cellIs" dxfId="18801" priority="131784" stopIfTrue="1" operator="equal">
      <formula>-1</formula>
    </cfRule>
  </conditionalFormatting>
  <conditionalFormatting sqref="AD20">
    <cfRule type="cellIs" dxfId="18800" priority="131785" stopIfTrue="1" operator="lessThan">
      <formula>0.5</formula>
    </cfRule>
  </conditionalFormatting>
  <conditionalFormatting sqref="AD20">
    <cfRule type="cellIs" dxfId="18799" priority="131786" stopIfTrue="1" operator="greaterThanOrEqual">
      <formula>0.5</formula>
    </cfRule>
  </conditionalFormatting>
  <conditionalFormatting sqref="AD21">
    <cfRule type="cellIs" dxfId="18798" priority="131787" stopIfTrue="1" operator="equal">
      <formula>-1</formula>
    </cfRule>
  </conditionalFormatting>
  <conditionalFormatting sqref="AD21">
    <cfRule type="cellIs" dxfId="18797" priority="131788" stopIfTrue="1" operator="lessThan">
      <formula>0.5</formula>
    </cfRule>
  </conditionalFormatting>
  <conditionalFormatting sqref="AD21">
    <cfRule type="cellIs" dxfId="18796" priority="131789" stopIfTrue="1" operator="greaterThanOrEqual">
      <formula>0.5</formula>
    </cfRule>
  </conditionalFormatting>
  <conditionalFormatting sqref="AD22">
    <cfRule type="cellIs" dxfId="18795" priority="131790" stopIfTrue="1" operator="equal">
      <formula>-1</formula>
    </cfRule>
  </conditionalFormatting>
  <conditionalFormatting sqref="AD22">
    <cfRule type="cellIs" dxfId="18794" priority="131791" stopIfTrue="1" operator="lessThan">
      <formula>0.5</formula>
    </cfRule>
  </conditionalFormatting>
  <conditionalFormatting sqref="AD22">
    <cfRule type="cellIs" dxfId="18793" priority="131792" stopIfTrue="1" operator="greaterThanOrEqual">
      <formula>0.5</formula>
    </cfRule>
  </conditionalFormatting>
  <conditionalFormatting sqref="AD23">
    <cfRule type="cellIs" dxfId="18792" priority="131793" stopIfTrue="1" operator="equal">
      <formula>-1</formula>
    </cfRule>
  </conditionalFormatting>
  <conditionalFormatting sqref="AD23">
    <cfRule type="cellIs" dxfId="18791" priority="131794" stopIfTrue="1" operator="lessThan">
      <formula>0.5</formula>
    </cfRule>
  </conditionalFormatting>
  <conditionalFormatting sqref="AD23">
    <cfRule type="cellIs" dxfId="18790" priority="131795" stopIfTrue="1" operator="greaterThanOrEqual">
      <formula>0.5</formula>
    </cfRule>
  </conditionalFormatting>
  <conditionalFormatting sqref="AD24">
    <cfRule type="cellIs" dxfId="18789" priority="131796" stopIfTrue="1" operator="equal">
      <formula>-1</formula>
    </cfRule>
  </conditionalFormatting>
  <conditionalFormatting sqref="AD24">
    <cfRule type="cellIs" dxfId="18788" priority="131797" stopIfTrue="1" operator="lessThan">
      <formula>0.5</formula>
    </cfRule>
  </conditionalFormatting>
  <conditionalFormatting sqref="AD24">
    <cfRule type="cellIs" dxfId="18787" priority="131798" stopIfTrue="1" operator="greaterThanOrEqual">
      <formula>0.5</formula>
    </cfRule>
  </conditionalFormatting>
  <conditionalFormatting sqref="AD25">
    <cfRule type="cellIs" dxfId="18786" priority="131799" stopIfTrue="1" operator="equal">
      <formula>-1</formula>
    </cfRule>
  </conditionalFormatting>
  <conditionalFormatting sqref="AD25">
    <cfRule type="cellIs" dxfId="18785" priority="131800" stopIfTrue="1" operator="lessThan">
      <formula>0.5</formula>
    </cfRule>
  </conditionalFormatting>
  <conditionalFormatting sqref="AD25">
    <cfRule type="cellIs" dxfId="18784" priority="131801" stopIfTrue="1" operator="greaterThanOrEqual">
      <formula>0.5</formula>
    </cfRule>
  </conditionalFormatting>
  <conditionalFormatting sqref="AD26">
    <cfRule type="cellIs" dxfId="18783" priority="131802" stopIfTrue="1" operator="equal">
      <formula>-1</formula>
    </cfRule>
  </conditionalFormatting>
  <conditionalFormatting sqref="AD26">
    <cfRule type="cellIs" dxfId="18782" priority="131803" stopIfTrue="1" operator="lessThan">
      <formula>0.5</formula>
    </cfRule>
  </conditionalFormatting>
  <conditionalFormatting sqref="AD26">
    <cfRule type="cellIs" dxfId="18781" priority="131804" stopIfTrue="1" operator="greaterThanOrEqual">
      <formula>0.5</formula>
    </cfRule>
  </conditionalFormatting>
  <conditionalFormatting sqref="AD27">
    <cfRule type="cellIs" dxfId="18780" priority="131805" stopIfTrue="1" operator="equal">
      <formula>-1</formula>
    </cfRule>
  </conditionalFormatting>
  <conditionalFormatting sqref="AD27">
    <cfRule type="cellIs" dxfId="18779" priority="131806" stopIfTrue="1" operator="lessThan">
      <formula>0.5</formula>
    </cfRule>
  </conditionalFormatting>
  <conditionalFormatting sqref="AD27">
    <cfRule type="cellIs" dxfId="18778" priority="131807" stopIfTrue="1" operator="greaterThanOrEqual">
      <formula>0.5</formula>
    </cfRule>
  </conditionalFormatting>
  <conditionalFormatting sqref="AD28">
    <cfRule type="cellIs" dxfId="18777" priority="131808" stopIfTrue="1" operator="equal">
      <formula>-1</formula>
    </cfRule>
  </conditionalFormatting>
  <conditionalFormatting sqref="AD28">
    <cfRule type="cellIs" dxfId="18776" priority="131809" stopIfTrue="1" operator="lessThan">
      <formula>0.5</formula>
    </cfRule>
  </conditionalFormatting>
  <conditionalFormatting sqref="AD28">
    <cfRule type="cellIs" dxfId="18775" priority="131810" stopIfTrue="1" operator="greaterThanOrEqual">
      <formula>0.5</formula>
    </cfRule>
  </conditionalFormatting>
  <conditionalFormatting sqref="AD29">
    <cfRule type="cellIs" dxfId="18774" priority="131811" stopIfTrue="1" operator="equal">
      <formula>-1</formula>
    </cfRule>
  </conditionalFormatting>
  <conditionalFormatting sqref="AD29">
    <cfRule type="cellIs" dxfId="18773" priority="131812" stopIfTrue="1" operator="lessThan">
      <formula>0.5</formula>
    </cfRule>
  </conditionalFormatting>
  <conditionalFormatting sqref="AD29">
    <cfRule type="cellIs" dxfId="18772" priority="131813" stopIfTrue="1" operator="greaterThanOrEqual">
      <formula>0.5</formula>
    </cfRule>
  </conditionalFormatting>
  <conditionalFormatting sqref="AD30">
    <cfRule type="cellIs" dxfId="18771" priority="131814" stopIfTrue="1" operator="equal">
      <formula>-1</formula>
    </cfRule>
  </conditionalFormatting>
  <conditionalFormatting sqref="AD30">
    <cfRule type="cellIs" dxfId="18770" priority="131815" stopIfTrue="1" operator="lessThan">
      <formula>0.5</formula>
    </cfRule>
  </conditionalFormatting>
  <conditionalFormatting sqref="AD30">
    <cfRule type="cellIs" dxfId="18769" priority="131816" stopIfTrue="1" operator="greaterThanOrEqual">
      <formula>0.5</formula>
    </cfRule>
  </conditionalFormatting>
  <conditionalFormatting sqref="AD31">
    <cfRule type="cellIs" dxfId="18768" priority="131817" stopIfTrue="1" operator="equal">
      <formula>-1</formula>
    </cfRule>
  </conditionalFormatting>
  <conditionalFormatting sqref="AD31">
    <cfRule type="cellIs" dxfId="18767" priority="131818" stopIfTrue="1" operator="lessThan">
      <formula>0.5</formula>
    </cfRule>
  </conditionalFormatting>
  <conditionalFormatting sqref="AD31">
    <cfRule type="cellIs" dxfId="18766" priority="131819" stopIfTrue="1" operator="greaterThanOrEqual">
      <formula>0.5</formula>
    </cfRule>
  </conditionalFormatting>
  <conditionalFormatting sqref="AD32">
    <cfRule type="cellIs" dxfId="18765" priority="131820" stopIfTrue="1" operator="equal">
      <formula>-1</formula>
    </cfRule>
  </conditionalFormatting>
  <conditionalFormatting sqref="AD32">
    <cfRule type="cellIs" dxfId="18764" priority="131821" stopIfTrue="1" operator="lessThan">
      <formula>0.5</formula>
    </cfRule>
  </conditionalFormatting>
  <conditionalFormatting sqref="AD32">
    <cfRule type="cellIs" dxfId="18763" priority="131822" stopIfTrue="1" operator="greaterThanOrEqual">
      <formula>0.5</formula>
    </cfRule>
  </conditionalFormatting>
  <conditionalFormatting sqref="AD33">
    <cfRule type="cellIs" dxfId="18762" priority="131823" stopIfTrue="1" operator="equal">
      <formula>-1</formula>
    </cfRule>
  </conditionalFormatting>
  <conditionalFormatting sqref="AD33">
    <cfRule type="cellIs" dxfId="18761" priority="131824" stopIfTrue="1" operator="lessThan">
      <formula>0.5</formula>
    </cfRule>
  </conditionalFormatting>
  <conditionalFormatting sqref="AD33">
    <cfRule type="cellIs" dxfId="18760" priority="131825" stopIfTrue="1" operator="greaterThanOrEqual">
      <formula>0.5</formula>
    </cfRule>
  </conditionalFormatting>
  <conditionalFormatting sqref="AD34">
    <cfRule type="cellIs" dxfId="18759" priority="131826" stopIfTrue="1" operator="equal">
      <formula>-1</formula>
    </cfRule>
  </conditionalFormatting>
  <conditionalFormatting sqref="AD34">
    <cfRule type="cellIs" dxfId="18758" priority="131827" stopIfTrue="1" operator="lessThan">
      <formula>0.5</formula>
    </cfRule>
  </conditionalFormatting>
  <conditionalFormatting sqref="AD34">
    <cfRule type="cellIs" dxfId="18757" priority="131828" stopIfTrue="1" operator="greaterThanOrEqual">
      <formula>0.5</formula>
    </cfRule>
  </conditionalFormatting>
  <conditionalFormatting sqref="AD35">
    <cfRule type="cellIs" dxfId="18756" priority="131829" stopIfTrue="1" operator="equal">
      <formula>-1</formula>
    </cfRule>
  </conditionalFormatting>
  <conditionalFormatting sqref="AD35">
    <cfRule type="cellIs" dxfId="18755" priority="131830" stopIfTrue="1" operator="lessThan">
      <formula>0.5</formula>
    </cfRule>
  </conditionalFormatting>
  <conditionalFormatting sqref="AD35">
    <cfRule type="cellIs" dxfId="18754" priority="131831" stopIfTrue="1" operator="greaterThanOrEqual">
      <formula>0.5</formula>
    </cfRule>
  </conditionalFormatting>
  <conditionalFormatting sqref="AD36">
    <cfRule type="cellIs" dxfId="18753" priority="131832" stopIfTrue="1" operator="equal">
      <formula>-1</formula>
    </cfRule>
  </conditionalFormatting>
  <conditionalFormatting sqref="AD36">
    <cfRule type="cellIs" dxfId="18752" priority="131833" stopIfTrue="1" operator="lessThan">
      <formula>0.5</formula>
    </cfRule>
  </conditionalFormatting>
  <conditionalFormatting sqref="AD36">
    <cfRule type="cellIs" dxfId="18751" priority="131834" stopIfTrue="1" operator="greaterThanOrEqual">
      <formula>0.5</formula>
    </cfRule>
  </conditionalFormatting>
  <conditionalFormatting sqref="AD37">
    <cfRule type="cellIs" dxfId="18750" priority="131835" stopIfTrue="1" operator="equal">
      <formula>-1</formula>
    </cfRule>
  </conditionalFormatting>
  <conditionalFormatting sqref="AD37">
    <cfRule type="cellIs" dxfId="18749" priority="131836" stopIfTrue="1" operator="lessThan">
      <formula>0.5</formula>
    </cfRule>
  </conditionalFormatting>
  <conditionalFormatting sqref="AD37">
    <cfRule type="cellIs" dxfId="18748" priority="131837" stopIfTrue="1" operator="greaterThanOrEqual">
      <formula>0.5</formula>
    </cfRule>
  </conditionalFormatting>
  <conditionalFormatting sqref="AF17">
    <cfRule type="cellIs" dxfId="18747" priority="131838" stopIfTrue="1" operator="equal">
      <formula>-1</formula>
    </cfRule>
  </conditionalFormatting>
  <conditionalFormatting sqref="AF17">
    <cfRule type="cellIs" dxfId="18746" priority="131839" stopIfTrue="1" operator="lessThan">
      <formula>0.5</formula>
    </cfRule>
  </conditionalFormatting>
  <conditionalFormatting sqref="AF17">
    <cfRule type="cellIs" dxfId="18745" priority="131840" stopIfTrue="1" operator="greaterThanOrEqual">
      <formula>0.5</formula>
    </cfRule>
  </conditionalFormatting>
  <conditionalFormatting sqref="AF18">
    <cfRule type="cellIs" dxfId="18744" priority="131841" stopIfTrue="1" operator="equal">
      <formula>-1</formula>
    </cfRule>
  </conditionalFormatting>
  <conditionalFormatting sqref="AF18">
    <cfRule type="cellIs" dxfId="18743" priority="131842" stopIfTrue="1" operator="lessThan">
      <formula>0.5</formula>
    </cfRule>
  </conditionalFormatting>
  <conditionalFormatting sqref="AF18">
    <cfRule type="cellIs" dxfId="18742" priority="131843" stopIfTrue="1" operator="greaterThanOrEqual">
      <formula>0.5</formula>
    </cfRule>
  </conditionalFormatting>
  <conditionalFormatting sqref="AF19">
    <cfRule type="cellIs" dxfId="18741" priority="131844" stopIfTrue="1" operator="equal">
      <formula>-1</formula>
    </cfRule>
  </conditionalFormatting>
  <conditionalFormatting sqref="AF19">
    <cfRule type="cellIs" dxfId="18740" priority="131845" stopIfTrue="1" operator="lessThan">
      <formula>0.5</formula>
    </cfRule>
  </conditionalFormatting>
  <conditionalFormatting sqref="AF19">
    <cfRule type="cellIs" dxfId="18739" priority="131846" stopIfTrue="1" operator="greaterThanOrEqual">
      <formula>0.5</formula>
    </cfRule>
  </conditionalFormatting>
  <conditionalFormatting sqref="AF20">
    <cfRule type="cellIs" dxfId="18738" priority="131847" stopIfTrue="1" operator="equal">
      <formula>-1</formula>
    </cfRule>
  </conditionalFormatting>
  <conditionalFormatting sqref="AF20">
    <cfRule type="cellIs" dxfId="18737" priority="131848" stopIfTrue="1" operator="lessThan">
      <formula>0.5</formula>
    </cfRule>
  </conditionalFormatting>
  <conditionalFormatting sqref="AF20">
    <cfRule type="cellIs" dxfId="18736" priority="131849" stopIfTrue="1" operator="greaterThanOrEqual">
      <formula>0.5</formula>
    </cfRule>
  </conditionalFormatting>
  <conditionalFormatting sqref="AF21">
    <cfRule type="cellIs" dxfId="18735" priority="131850" stopIfTrue="1" operator="equal">
      <formula>-1</formula>
    </cfRule>
  </conditionalFormatting>
  <conditionalFormatting sqref="AF21">
    <cfRule type="cellIs" dxfId="18734" priority="131851" stopIfTrue="1" operator="lessThan">
      <formula>0.5</formula>
    </cfRule>
  </conditionalFormatting>
  <conditionalFormatting sqref="AF21">
    <cfRule type="cellIs" dxfId="18733" priority="131852" stopIfTrue="1" operator="greaterThanOrEqual">
      <formula>0.5</formula>
    </cfRule>
  </conditionalFormatting>
  <conditionalFormatting sqref="AF22">
    <cfRule type="cellIs" dxfId="18732" priority="131853" stopIfTrue="1" operator="equal">
      <formula>-1</formula>
    </cfRule>
  </conditionalFormatting>
  <conditionalFormatting sqref="AF22">
    <cfRule type="cellIs" dxfId="18731" priority="131854" stopIfTrue="1" operator="lessThan">
      <formula>0.5</formula>
    </cfRule>
  </conditionalFormatting>
  <conditionalFormatting sqref="AF22">
    <cfRule type="cellIs" dxfId="18730" priority="131855" stopIfTrue="1" operator="greaterThanOrEqual">
      <formula>0.5</formula>
    </cfRule>
  </conditionalFormatting>
  <conditionalFormatting sqref="AF23">
    <cfRule type="cellIs" dxfId="18729" priority="131856" stopIfTrue="1" operator="equal">
      <formula>-1</formula>
    </cfRule>
  </conditionalFormatting>
  <conditionalFormatting sqref="AF23">
    <cfRule type="cellIs" dxfId="18728" priority="131857" stopIfTrue="1" operator="lessThan">
      <formula>0.5</formula>
    </cfRule>
  </conditionalFormatting>
  <conditionalFormatting sqref="AF23">
    <cfRule type="cellIs" dxfId="18727" priority="131858" stopIfTrue="1" operator="greaterThanOrEqual">
      <formula>0.5</formula>
    </cfRule>
  </conditionalFormatting>
  <conditionalFormatting sqref="AF24">
    <cfRule type="cellIs" dxfId="18726" priority="131859" stopIfTrue="1" operator="equal">
      <formula>-1</formula>
    </cfRule>
  </conditionalFormatting>
  <conditionalFormatting sqref="AF24">
    <cfRule type="cellIs" dxfId="18725" priority="131860" stopIfTrue="1" operator="lessThan">
      <formula>0.5</formula>
    </cfRule>
  </conditionalFormatting>
  <conditionalFormatting sqref="AF24">
    <cfRule type="cellIs" dxfId="18724" priority="131861" stopIfTrue="1" operator="greaterThanOrEqual">
      <formula>0.5</formula>
    </cfRule>
  </conditionalFormatting>
  <conditionalFormatting sqref="AF25">
    <cfRule type="cellIs" dxfId="18723" priority="131862" stopIfTrue="1" operator="equal">
      <formula>-1</formula>
    </cfRule>
  </conditionalFormatting>
  <conditionalFormatting sqref="AF25">
    <cfRule type="cellIs" dxfId="18722" priority="131863" stopIfTrue="1" operator="lessThan">
      <formula>0.5</formula>
    </cfRule>
  </conditionalFormatting>
  <conditionalFormatting sqref="AF25">
    <cfRule type="cellIs" dxfId="18721" priority="131864" stopIfTrue="1" operator="greaterThanOrEqual">
      <formula>0.5</formula>
    </cfRule>
  </conditionalFormatting>
  <conditionalFormatting sqref="AF26">
    <cfRule type="cellIs" dxfId="18720" priority="131865" stopIfTrue="1" operator="equal">
      <formula>-1</formula>
    </cfRule>
  </conditionalFormatting>
  <conditionalFormatting sqref="AF26">
    <cfRule type="cellIs" dxfId="18719" priority="131866" stopIfTrue="1" operator="lessThan">
      <formula>0.5</formula>
    </cfRule>
  </conditionalFormatting>
  <conditionalFormatting sqref="AF26">
    <cfRule type="cellIs" dxfId="18718" priority="131867" stopIfTrue="1" operator="greaterThanOrEqual">
      <formula>0.5</formula>
    </cfRule>
  </conditionalFormatting>
  <conditionalFormatting sqref="AF27">
    <cfRule type="cellIs" dxfId="18717" priority="131868" stopIfTrue="1" operator="equal">
      <formula>-1</formula>
    </cfRule>
  </conditionalFormatting>
  <conditionalFormatting sqref="AF27">
    <cfRule type="cellIs" dxfId="18716" priority="131869" stopIfTrue="1" operator="lessThan">
      <formula>0.5</formula>
    </cfRule>
  </conditionalFormatting>
  <conditionalFormatting sqref="AF27">
    <cfRule type="cellIs" dxfId="18715" priority="131870" stopIfTrue="1" operator="greaterThanOrEqual">
      <formula>0.5</formula>
    </cfRule>
  </conditionalFormatting>
  <conditionalFormatting sqref="AF28">
    <cfRule type="cellIs" dxfId="18714" priority="131871" stopIfTrue="1" operator="equal">
      <formula>-1</formula>
    </cfRule>
  </conditionalFormatting>
  <conditionalFormatting sqref="AF28">
    <cfRule type="cellIs" dxfId="18713" priority="131872" stopIfTrue="1" operator="lessThan">
      <formula>0.5</formula>
    </cfRule>
  </conditionalFormatting>
  <conditionalFormatting sqref="AF28">
    <cfRule type="cellIs" dxfId="18712" priority="131873" stopIfTrue="1" operator="greaterThanOrEqual">
      <formula>0.5</formula>
    </cfRule>
  </conditionalFormatting>
  <conditionalFormatting sqref="AF29">
    <cfRule type="cellIs" dxfId="18711" priority="131874" stopIfTrue="1" operator="equal">
      <formula>-1</formula>
    </cfRule>
  </conditionalFormatting>
  <conditionalFormatting sqref="AF29">
    <cfRule type="cellIs" dxfId="18710" priority="131875" stopIfTrue="1" operator="lessThan">
      <formula>0.5</formula>
    </cfRule>
  </conditionalFormatting>
  <conditionalFormatting sqref="AF29">
    <cfRule type="cellIs" dxfId="18709" priority="131876" stopIfTrue="1" operator="greaterThanOrEqual">
      <formula>0.5</formula>
    </cfRule>
  </conditionalFormatting>
  <conditionalFormatting sqref="AF30">
    <cfRule type="cellIs" dxfId="18708" priority="131877" stopIfTrue="1" operator="equal">
      <formula>-1</formula>
    </cfRule>
  </conditionalFormatting>
  <conditionalFormatting sqref="AF30">
    <cfRule type="cellIs" dxfId="18707" priority="131878" stopIfTrue="1" operator="lessThan">
      <formula>0.5</formula>
    </cfRule>
  </conditionalFormatting>
  <conditionalFormatting sqref="AF30">
    <cfRule type="cellIs" dxfId="18706" priority="131879" stopIfTrue="1" operator="greaterThanOrEqual">
      <formula>0.5</formula>
    </cfRule>
  </conditionalFormatting>
  <conditionalFormatting sqref="AF31">
    <cfRule type="cellIs" dxfId="18705" priority="131880" stopIfTrue="1" operator="equal">
      <formula>-1</formula>
    </cfRule>
  </conditionalFormatting>
  <conditionalFormatting sqref="AF31">
    <cfRule type="cellIs" dxfId="18704" priority="131881" stopIfTrue="1" operator="lessThan">
      <formula>0.5</formula>
    </cfRule>
  </conditionalFormatting>
  <conditionalFormatting sqref="AF31">
    <cfRule type="cellIs" dxfId="18703" priority="131882" stopIfTrue="1" operator="greaterThanOrEqual">
      <formula>0.5</formula>
    </cfRule>
  </conditionalFormatting>
  <conditionalFormatting sqref="AF32">
    <cfRule type="cellIs" dxfId="18702" priority="131883" stopIfTrue="1" operator="equal">
      <formula>-1</formula>
    </cfRule>
  </conditionalFormatting>
  <conditionalFormatting sqref="AF32">
    <cfRule type="cellIs" dxfId="18701" priority="131884" stopIfTrue="1" operator="lessThan">
      <formula>0.5</formula>
    </cfRule>
  </conditionalFormatting>
  <conditionalFormatting sqref="AF32">
    <cfRule type="cellIs" dxfId="18700" priority="131885" stopIfTrue="1" operator="greaterThanOrEqual">
      <formula>0.5</formula>
    </cfRule>
  </conditionalFormatting>
  <conditionalFormatting sqref="AF33">
    <cfRule type="cellIs" dxfId="18699" priority="131886" stopIfTrue="1" operator="equal">
      <formula>-1</formula>
    </cfRule>
  </conditionalFormatting>
  <conditionalFormatting sqref="AF33">
    <cfRule type="cellIs" dxfId="18698" priority="131887" stopIfTrue="1" operator="lessThan">
      <formula>0.5</formula>
    </cfRule>
  </conditionalFormatting>
  <conditionalFormatting sqref="AF33">
    <cfRule type="cellIs" dxfId="18697" priority="131888" stopIfTrue="1" operator="greaterThanOrEqual">
      <formula>0.5</formula>
    </cfRule>
  </conditionalFormatting>
  <conditionalFormatting sqref="AF34">
    <cfRule type="cellIs" dxfId="18696" priority="131889" stopIfTrue="1" operator="equal">
      <formula>-1</formula>
    </cfRule>
  </conditionalFormatting>
  <conditionalFormatting sqref="AF34">
    <cfRule type="cellIs" dxfId="18695" priority="131890" stopIfTrue="1" operator="lessThan">
      <formula>0.5</formula>
    </cfRule>
  </conditionalFormatting>
  <conditionalFormatting sqref="AF34">
    <cfRule type="cellIs" dxfId="18694" priority="131891" stopIfTrue="1" operator="greaterThanOrEqual">
      <formula>0.5</formula>
    </cfRule>
  </conditionalFormatting>
  <conditionalFormatting sqref="AF35">
    <cfRule type="cellIs" dxfId="18693" priority="131892" stopIfTrue="1" operator="equal">
      <formula>-1</formula>
    </cfRule>
  </conditionalFormatting>
  <conditionalFormatting sqref="AF35">
    <cfRule type="cellIs" dxfId="18692" priority="131893" stopIfTrue="1" operator="lessThan">
      <formula>0.5</formula>
    </cfRule>
  </conditionalFormatting>
  <conditionalFormatting sqref="AF35">
    <cfRule type="cellIs" dxfId="18691" priority="131894" stopIfTrue="1" operator="greaterThanOrEqual">
      <formula>0.5</formula>
    </cfRule>
  </conditionalFormatting>
  <conditionalFormatting sqref="AF36">
    <cfRule type="cellIs" dxfId="18690" priority="131895" stopIfTrue="1" operator="equal">
      <formula>-1</formula>
    </cfRule>
  </conditionalFormatting>
  <conditionalFormatting sqref="AF36">
    <cfRule type="cellIs" dxfId="18689" priority="131896" stopIfTrue="1" operator="lessThan">
      <formula>0.5</formula>
    </cfRule>
  </conditionalFormatting>
  <conditionalFormatting sqref="AF36">
    <cfRule type="cellIs" dxfId="18688" priority="131897" stopIfTrue="1" operator="greaterThanOrEqual">
      <formula>0.5</formula>
    </cfRule>
  </conditionalFormatting>
  <conditionalFormatting sqref="AF37">
    <cfRule type="cellIs" dxfId="18687" priority="131898" stopIfTrue="1" operator="equal">
      <formula>-1</formula>
    </cfRule>
  </conditionalFormatting>
  <conditionalFormatting sqref="AF37">
    <cfRule type="cellIs" dxfId="18686" priority="131899" stopIfTrue="1" operator="lessThan">
      <formula>0.5</formula>
    </cfRule>
  </conditionalFormatting>
  <conditionalFormatting sqref="AF37">
    <cfRule type="cellIs" dxfId="18685" priority="131900" stopIfTrue="1" operator="greaterThanOrEqual">
      <formula>0.5</formula>
    </cfRule>
  </conditionalFormatting>
  <conditionalFormatting sqref="AH17">
    <cfRule type="cellIs" dxfId="18684" priority="131901" stopIfTrue="1" operator="equal">
      <formula>-1</formula>
    </cfRule>
  </conditionalFormatting>
  <conditionalFormatting sqref="AH17">
    <cfRule type="cellIs" dxfId="18683" priority="131902" stopIfTrue="1" operator="lessThan">
      <formula>0.5</formula>
    </cfRule>
  </conditionalFormatting>
  <conditionalFormatting sqref="AH17">
    <cfRule type="cellIs" dxfId="18682" priority="131903" stopIfTrue="1" operator="greaterThanOrEqual">
      <formula>0.5</formula>
    </cfRule>
  </conditionalFormatting>
  <conditionalFormatting sqref="AH18">
    <cfRule type="cellIs" dxfId="18681" priority="131904" stopIfTrue="1" operator="equal">
      <formula>-1</formula>
    </cfRule>
  </conditionalFormatting>
  <conditionalFormatting sqref="AH18">
    <cfRule type="cellIs" dxfId="18680" priority="131905" stopIfTrue="1" operator="lessThan">
      <formula>0.5</formula>
    </cfRule>
  </conditionalFormatting>
  <conditionalFormatting sqref="AH18">
    <cfRule type="cellIs" dxfId="18679" priority="131906" stopIfTrue="1" operator="greaterThanOrEqual">
      <formula>0.5</formula>
    </cfRule>
  </conditionalFormatting>
  <conditionalFormatting sqref="AH19">
    <cfRule type="cellIs" dxfId="18678" priority="131907" stopIfTrue="1" operator="equal">
      <formula>-1</formula>
    </cfRule>
  </conditionalFormatting>
  <conditionalFormatting sqref="AH19">
    <cfRule type="cellIs" dxfId="18677" priority="131908" stopIfTrue="1" operator="lessThan">
      <formula>0.5</formula>
    </cfRule>
  </conditionalFormatting>
  <conditionalFormatting sqref="AH19">
    <cfRule type="cellIs" dxfId="18676" priority="131909" stopIfTrue="1" operator="greaterThanOrEqual">
      <formula>0.5</formula>
    </cfRule>
  </conditionalFormatting>
  <conditionalFormatting sqref="AH20">
    <cfRule type="cellIs" dxfId="18675" priority="131910" stopIfTrue="1" operator="equal">
      <formula>-1</formula>
    </cfRule>
  </conditionalFormatting>
  <conditionalFormatting sqref="AH20">
    <cfRule type="cellIs" dxfId="18674" priority="131911" stopIfTrue="1" operator="lessThan">
      <formula>0.5</formula>
    </cfRule>
  </conditionalFormatting>
  <conditionalFormatting sqref="AH20">
    <cfRule type="cellIs" dxfId="18673" priority="131912" stopIfTrue="1" operator="greaterThanOrEqual">
      <formula>0.5</formula>
    </cfRule>
  </conditionalFormatting>
  <conditionalFormatting sqref="AH21">
    <cfRule type="cellIs" dxfId="18672" priority="131913" stopIfTrue="1" operator="equal">
      <formula>-1</formula>
    </cfRule>
  </conditionalFormatting>
  <conditionalFormatting sqref="AH21">
    <cfRule type="cellIs" dxfId="18671" priority="131914" stopIfTrue="1" operator="lessThan">
      <formula>0.5</formula>
    </cfRule>
  </conditionalFormatting>
  <conditionalFormatting sqref="AH21">
    <cfRule type="cellIs" dxfId="18670" priority="131915" stopIfTrue="1" operator="greaterThanOrEqual">
      <formula>0.5</formula>
    </cfRule>
  </conditionalFormatting>
  <conditionalFormatting sqref="AH22">
    <cfRule type="cellIs" dxfId="18669" priority="131916" stopIfTrue="1" operator="equal">
      <formula>-1</formula>
    </cfRule>
  </conditionalFormatting>
  <conditionalFormatting sqref="AH22">
    <cfRule type="cellIs" dxfId="18668" priority="131917" stopIfTrue="1" operator="lessThan">
      <formula>0.5</formula>
    </cfRule>
  </conditionalFormatting>
  <conditionalFormatting sqref="AH22">
    <cfRule type="cellIs" dxfId="18667" priority="131918" stopIfTrue="1" operator="greaterThanOrEqual">
      <formula>0.5</formula>
    </cfRule>
  </conditionalFormatting>
  <conditionalFormatting sqref="AH23">
    <cfRule type="cellIs" dxfId="18666" priority="131919" stopIfTrue="1" operator="equal">
      <formula>-1</formula>
    </cfRule>
  </conditionalFormatting>
  <conditionalFormatting sqref="AH23">
    <cfRule type="cellIs" dxfId="18665" priority="131920" stopIfTrue="1" operator="lessThan">
      <formula>0.5</formula>
    </cfRule>
  </conditionalFormatting>
  <conditionalFormatting sqref="AH23">
    <cfRule type="cellIs" dxfId="18664" priority="131921" stopIfTrue="1" operator="greaterThanOrEqual">
      <formula>0.5</formula>
    </cfRule>
  </conditionalFormatting>
  <conditionalFormatting sqref="AH24">
    <cfRule type="cellIs" dxfId="18663" priority="131922" stopIfTrue="1" operator="equal">
      <formula>-1</formula>
    </cfRule>
  </conditionalFormatting>
  <conditionalFormatting sqref="AH24">
    <cfRule type="cellIs" dxfId="18662" priority="131923" stopIfTrue="1" operator="lessThan">
      <formula>0.5</formula>
    </cfRule>
  </conditionalFormatting>
  <conditionalFormatting sqref="AH24">
    <cfRule type="cellIs" dxfId="18661" priority="131924" stopIfTrue="1" operator="greaterThanOrEqual">
      <formula>0.5</formula>
    </cfRule>
  </conditionalFormatting>
  <conditionalFormatting sqref="AH25">
    <cfRule type="cellIs" dxfId="18660" priority="131925" stopIfTrue="1" operator="equal">
      <formula>-1</formula>
    </cfRule>
  </conditionalFormatting>
  <conditionalFormatting sqref="AH25">
    <cfRule type="cellIs" dxfId="18659" priority="131926" stopIfTrue="1" operator="lessThan">
      <formula>0.5</formula>
    </cfRule>
  </conditionalFormatting>
  <conditionalFormatting sqref="AH25">
    <cfRule type="cellIs" dxfId="18658" priority="131927" stopIfTrue="1" operator="greaterThanOrEqual">
      <formula>0.5</formula>
    </cfRule>
  </conditionalFormatting>
  <conditionalFormatting sqref="AH26">
    <cfRule type="cellIs" dxfId="18657" priority="131928" stopIfTrue="1" operator="equal">
      <formula>-1</formula>
    </cfRule>
  </conditionalFormatting>
  <conditionalFormatting sqref="AH26">
    <cfRule type="cellIs" dxfId="18656" priority="131929" stopIfTrue="1" operator="lessThan">
      <formula>0.5</formula>
    </cfRule>
  </conditionalFormatting>
  <conditionalFormatting sqref="AH26">
    <cfRule type="cellIs" dxfId="18655" priority="131930" stopIfTrue="1" operator="greaterThanOrEqual">
      <formula>0.5</formula>
    </cfRule>
  </conditionalFormatting>
  <conditionalFormatting sqref="AH27">
    <cfRule type="cellIs" dxfId="18654" priority="131931" stopIfTrue="1" operator="equal">
      <formula>-1</formula>
    </cfRule>
  </conditionalFormatting>
  <conditionalFormatting sqref="AH27">
    <cfRule type="cellIs" dxfId="18653" priority="131932" stopIfTrue="1" operator="lessThan">
      <formula>0.5</formula>
    </cfRule>
  </conditionalFormatting>
  <conditionalFormatting sqref="AH27">
    <cfRule type="cellIs" dxfId="18652" priority="131933" stopIfTrue="1" operator="greaterThanOrEqual">
      <formula>0.5</formula>
    </cfRule>
  </conditionalFormatting>
  <conditionalFormatting sqref="AH28">
    <cfRule type="cellIs" dxfId="18651" priority="131934" stopIfTrue="1" operator="equal">
      <formula>-1</formula>
    </cfRule>
  </conditionalFormatting>
  <conditionalFormatting sqref="AH28">
    <cfRule type="cellIs" dxfId="18650" priority="131935" stopIfTrue="1" operator="lessThan">
      <formula>0.5</formula>
    </cfRule>
  </conditionalFormatting>
  <conditionalFormatting sqref="AH28">
    <cfRule type="cellIs" dxfId="18649" priority="131936" stopIfTrue="1" operator="greaterThanOrEqual">
      <formula>0.5</formula>
    </cfRule>
  </conditionalFormatting>
  <conditionalFormatting sqref="AH29">
    <cfRule type="cellIs" dxfId="18648" priority="131937" stopIfTrue="1" operator="equal">
      <formula>-1</formula>
    </cfRule>
  </conditionalFormatting>
  <conditionalFormatting sqref="AH29">
    <cfRule type="cellIs" dxfId="18647" priority="131938" stopIfTrue="1" operator="lessThan">
      <formula>0.5</formula>
    </cfRule>
  </conditionalFormatting>
  <conditionalFormatting sqref="AH29">
    <cfRule type="cellIs" dxfId="18646" priority="131939" stopIfTrue="1" operator="greaterThanOrEqual">
      <formula>0.5</formula>
    </cfRule>
  </conditionalFormatting>
  <conditionalFormatting sqref="AH30">
    <cfRule type="cellIs" dxfId="18645" priority="131940" stopIfTrue="1" operator="equal">
      <formula>-1</formula>
    </cfRule>
  </conditionalFormatting>
  <conditionalFormatting sqref="AH30">
    <cfRule type="cellIs" dxfId="18644" priority="131941" stopIfTrue="1" operator="lessThan">
      <formula>0.5</formula>
    </cfRule>
  </conditionalFormatting>
  <conditionalFormatting sqref="AH30">
    <cfRule type="cellIs" dxfId="18643" priority="131942" stopIfTrue="1" operator="greaterThanOrEqual">
      <formula>0.5</formula>
    </cfRule>
  </conditionalFormatting>
  <conditionalFormatting sqref="AH31">
    <cfRule type="cellIs" dxfId="18642" priority="131943" stopIfTrue="1" operator="equal">
      <formula>-1</formula>
    </cfRule>
  </conditionalFormatting>
  <conditionalFormatting sqref="AH31">
    <cfRule type="cellIs" dxfId="18641" priority="131944" stopIfTrue="1" operator="lessThan">
      <formula>0.5</formula>
    </cfRule>
  </conditionalFormatting>
  <conditionalFormatting sqref="AH31">
    <cfRule type="cellIs" dxfId="18640" priority="131945" stopIfTrue="1" operator="greaterThanOrEqual">
      <formula>0.5</formula>
    </cfRule>
  </conditionalFormatting>
  <conditionalFormatting sqref="AH32">
    <cfRule type="cellIs" dxfId="18639" priority="131946" stopIfTrue="1" operator="equal">
      <formula>-1</formula>
    </cfRule>
  </conditionalFormatting>
  <conditionalFormatting sqref="AH32">
    <cfRule type="cellIs" dxfId="18638" priority="131947" stopIfTrue="1" operator="lessThan">
      <formula>0.5</formula>
    </cfRule>
  </conditionalFormatting>
  <conditionalFormatting sqref="AH32">
    <cfRule type="cellIs" dxfId="18637" priority="131948" stopIfTrue="1" operator="greaterThanOrEqual">
      <formula>0.5</formula>
    </cfRule>
  </conditionalFormatting>
  <conditionalFormatting sqref="AH33">
    <cfRule type="cellIs" dxfId="18636" priority="131949" stopIfTrue="1" operator="equal">
      <formula>-1</formula>
    </cfRule>
  </conditionalFormatting>
  <conditionalFormatting sqref="AH33">
    <cfRule type="cellIs" dxfId="18635" priority="131950" stopIfTrue="1" operator="lessThan">
      <formula>0.5</formula>
    </cfRule>
  </conditionalFormatting>
  <conditionalFormatting sqref="AH33">
    <cfRule type="cellIs" dxfId="18634" priority="131951" stopIfTrue="1" operator="greaterThanOrEqual">
      <formula>0.5</formula>
    </cfRule>
  </conditionalFormatting>
  <conditionalFormatting sqref="AH34">
    <cfRule type="cellIs" dxfId="18633" priority="131952" stopIfTrue="1" operator="equal">
      <formula>-1</formula>
    </cfRule>
  </conditionalFormatting>
  <conditionalFormatting sqref="AH34">
    <cfRule type="cellIs" dxfId="18632" priority="131953" stopIfTrue="1" operator="lessThan">
      <formula>0.5</formula>
    </cfRule>
  </conditionalFormatting>
  <conditionalFormatting sqref="AH34">
    <cfRule type="cellIs" dxfId="18631" priority="131954" stopIfTrue="1" operator="greaterThanOrEqual">
      <formula>0.5</formula>
    </cfRule>
  </conditionalFormatting>
  <conditionalFormatting sqref="AH35">
    <cfRule type="cellIs" dxfId="18630" priority="131955" stopIfTrue="1" operator="equal">
      <formula>-1</formula>
    </cfRule>
  </conditionalFormatting>
  <conditionalFormatting sqref="AH35">
    <cfRule type="cellIs" dxfId="18629" priority="131956" stopIfTrue="1" operator="lessThan">
      <formula>0.5</formula>
    </cfRule>
  </conditionalFormatting>
  <conditionalFormatting sqref="AH35">
    <cfRule type="cellIs" dxfId="18628" priority="131957" stopIfTrue="1" operator="greaterThanOrEqual">
      <formula>0.5</formula>
    </cfRule>
  </conditionalFormatting>
  <conditionalFormatting sqref="AH36">
    <cfRule type="cellIs" dxfId="18627" priority="131958" stopIfTrue="1" operator="equal">
      <formula>-1</formula>
    </cfRule>
  </conditionalFormatting>
  <conditionalFormatting sqref="AH36">
    <cfRule type="cellIs" dxfId="18626" priority="131959" stopIfTrue="1" operator="lessThan">
      <formula>0.5</formula>
    </cfRule>
  </conditionalFormatting>
  <conditionalFormatting sqref="AH36">
    <cfRule type="cellIs" dxfId="18625" priority="131960" stopIfTrue="1" operator="greaterThanOrEqual">
      <formula>0.5</formula>
    </cfRule>
  </conditionalFormatting>
  <conditionalFormatting sqref="AH37">
    <cfRule type="cellIs" dxfId="18624" priority="131961" stopIfTrue="1" operator="equal">
      <formula>-1</formula>
    </cfRule>
  </conditionalFormatting>
  <conditionalFormatting sqref="AH37">
    <cfRule type="cellIs" dxfId="18623" priority="131962" stopIfTrue="1" operator="lessThan">
      <formula>0.5</formula>
    </cfRule>
  </conditionalFormatting>
  <conditionalFormatting sqref="AH37">
    <cfRule type="cellIs" dxfId="18622" priority="131963" stopIfTrue="1" operator="greaterThanOrEqual">
      <formula>0.5</formula>
    </cfRule>
  </conditionalFormatting>
  <conditionalFormatting sqref="AJ17">
    <cfRule type="cellIs" dxfId="18621" priority="131964" stopIfTrue="1" operator="equal">
      <formula>-1</formula>
    </cfRule>
  </conditionalFormatting>
  <conditionalFormatting sqref="AJ17">
    <cfRule type="cellIs" dxfId="18620" priority="131965" stopIfTrue="1" operator="lessThan">
      <formula>0.5</formula>
    </cfRule>
  </conditionalFormatting>
  <conditionalFormatting sqref="AJ17">
    <cfRule type="cellIs" dxfId="18619" priority="131966" stopIfTrue="1" operator="greaterThanOrEqual">
      <formula>0.5</formula>
    </cfRule>
  </conditionalFormatting>
  <conditionalFormatting sqref="AJ18">
    <cfRule type="cellIs" dxfId="18618" priority="131967" stopIfTrue="1" operator="equal">
      <formula>-1</formula>
    </cfRule>
  </conditionalFormatting>
  <conditionalFormatting sqref="AJ18">
    <cfRule type="cellIs" dxfId="18617" priority="131968" stopIfTrue="1" operator="lessThan">
      <formula>0.5</formula>
    </cfRule>
  </conditionalFormatting>
  <conditionalFormatting sqref="AJ18">
    <cfRule type="cellIs" dxfId="18616" priority="131969" stopIfTrue="1" operator="greaterThanOrEqual">
      <formula>0.5</formula>
    </cfRule>
  </conditionalFormatting>
  <conditionalFormatting sqref="AJ19">
    <cfRule type="cellIs" dxfId="18615" priority="131970" stopIfTrue="1" operator="equal">
      <formula>-1</formula>
    </cfRule>
  </conditionalFormatting>
  <conditionalFormatting sqref="AJ19">
    <cfRule type="cellIs" dxfId="18614" priority="131971" stopIfTrue="1" operator="lessThan">
      <formula>0.5</formula>
    </cfRule>
  </conditionalFormatting>
  <conditionalFormatting sqref="AJ19">
    <cfRule type="cellIs" dxfId="18613" priority="131972" stopIfTrue="1" operator="greaterThanOrEqual">
      <formula>0.5</formula>
    </cfRule>
  </conditionalFormatting>
  <conditionalFormatting sqref="AJ20">
    <cfRule type="cellIs" dxfId="18612" priority="131973" stopIfTrue="1" operator="equal">
      <formula>-1</formula>
    </cfRule>
  </conditionalFormatting>
  <conditionalFormatting sqref="AJ20">
    <cfRule type="cellIs" dxfId="18611" priority="131974" stopIfTrue="1" operator="lessThan">
      <formula>0.5</formula>
    </cfRule>
  </conditionalFormatting>
  <conditionalFormatting sqref="AJ20">
    <cfRule type="cellIs" dxfId="18610" priority="131975" stopIfTrue="1" operator="greaterThanOrEqual">
      <formula>0.5</formula>
    </cfRule>
  </conditionalFormatting>
  <conditionalFormatting sqref="AJ21">
    <cfRule type="cellIs" dxfId="18609" priority="131976" stopIfTrue="1" operator="equal">
      <formula>-1</formula>
    </cfRule>
  </conditionalFormatting>
  <conditionalFormatting sqref="AJ21">
    <cfRule type="cellIs" dxfId="18608" priority="131977" stopIfTrue="1" operator="lessThan">
      <formula>0.5</formula>
    </cfRule>
  </conditionalFormatting>
  <conditionalFormatting sqref="AJ21">
    <cfRule type="cellIs" dxfId="18607" priority="131978" stopIfTrue="1" operator="greaterThanOrEqual">
      <formula>0.5</formula>
    </cfRule>
  </conditionalFormatting>
  <conditionalFormatting sqref="AJ22">
    <cfRule type="cellIs" dxfId="18606" priority="131979" stopIfTrue="1" operator="equal">
      <formula>-1</formula>
    </cfRule>
  </conditionalFormatting>
  <conditionalFormatting sqref="AJ22">
    <cfRule type="cellIs" dxfId="18605" priority="131980" stopIfTrue="1" operator="lessThan">
      <formula>0.5</formula>
    </cfRule>
  </conditionalFormatting>
  <conditionalFormatting sqref="AJ22">
    <cfRule type="cellIs" dxfId="18604" priority="131981" stopIfTrue="1" operator="greaterThanOrEqual">
      <formula>0.5</formula>
    </cfRule>
  </conditionalFormatting>
  <conditionalFormatting sqref="AJ23">
    <cfRule type="cellIs" dxfId="18603" priority="131982" stopIfTrue="1" operator="equal">
      <formula>-1</formula>
    </cfRule>
  </conditionalFormatting>
  <conditionalFormatting sqref="AJ23">
    <cfRule type="cellIs" dxfId="18602" priority="131983" stopIfTrue="1" operator="lessThan">
      <formula>0.5</formula>
    </cfRule>
  </conditionalFormatting>
  <conditionalFormatting sqref="AJ23">
    <cfRule type="cellIs" dxfId="18601" priority="131984" stopIfTrue="1" operator="greaterThanOrEqual">
      <formula>0.5</formula>
    </cfRule>
  </conditionalFormatting>
  <conditionalFormatting sqref="AJ24">
    <cfRule type="cellIs" dxfId="18600" priority="131985" stopIfTrue="1" operator="equal">
      <formula>-1</formula>
    </cfRule>
  </conditionalFormatting>
  <conditionalFormatting sqref="AJ24">
    <cfRule type="cellIs" dxfId="18599" priority="131986" stopIfTrue="1" operator="lessThan">
      <formula>0.5</formula>
    </cfRule>
  </conditionalFormatting>
  <conditionalFormatting sqref="AJ24">
    <cfRule type="cellIs" dxfId="18598" priority="131987" stopIfTrue="1" operator="greaterThanOrEqual">
      <formula>0.5</formula>
    </cfRule>
  </conditionalFormatting>
  <conditionalFormatting sqref="AJ25">
    <cfRule type="cellIs" dxfId="18597" priority="131988" stopIfTrue="1" operator="equal">
      <formula>-1</formula>
    </cfRule>
  </conditionalFormatting>
  <conditionalFormatting sqref="AJ25">
    <cfRule type="cellIs" dxfId="18596" priority="131989" stopIfTrue="1" operator="lessThan">
      <formula>0.5</formula>
    </cfRule>
  </conditionalFormatting>
  <conditionalFormatting sqref="AJ25">
    <cfRule type="cellIs" dxfId="18595" priority="131990" stopIfTrue="1" operator="greaterThanOrEqual">
      <formula>0.5</formula>
    </cfRule>
  </conditionalFormatting>
  <conditionalFormatting sqref="AJ26">
    <cfRule type="cellIs" dxfId="18594" priority="131991" stopIfTrue="1" operator="equal">
      <formula>-1</formula>
    </cfRule>
  </conditionalFormatting>
  <conditionalFormatting sqref="AJ26">
    <cfRule type="cellIs" dxfId="18593" priority="131992" stopIfTrue="1" operator="lessThan">
      <formula>0.5</formula>
    </cfRule>
  </conditionalFormatting>
  <conditionalFormatting sqref="AJ26">
    <cfRule type="cellIs" dxfId="18592" priority="131993" stopIfTrue="1" operator="greaterThanOrEqual">
      <formula>0.5</formula>
    </cfRule>
  </conditionalFormatting>
  <conditionalFormatting sqref="AJ27">
    <cfRule type="cellIs" dxfId="18591" priority="131994" stopIfTrue="1" operator="equal">
      <formula>-1</formula>
    </cfRule>
  </conditionalFormatting>
  <conditionalFormatting sqref="AJ27">
    <cfRule type="cellIs" dxfId="18590" priority="131995" stopIfTrue="1" operator="lessThan">
      <formula>0.5</formula>
    </cfRule>
  </conditionalFormatting>
  <conditionalFormatting sqref="AJ27">
    <cfRule type="cellIs" dxfId="18589" priority="131996" stopIfTrue="1" operator="greaterThanOrEqual">
      <formula>0.5</formula>
    </cfRule>
  </conditionalFormatting>
  <conditionalFormatting sqref="AJ28">
    <cfRule type="cellIs" dxfId="18588" priority="131997" stopIfTrue="1" operator="equal">
      <formula>-1</formula>
    </cfRule>
  </conditionalFormatting>
  <conditionalFormatting sqref="AJ28">
    <cfRule type="cellIs" dxfId="18587" priority="131998" stopIfTrue="1" operator="lessThan">
      <formula>0.5</formula>
    </cfRule>
  </conditionalFormatting>
  <conditionalFormatting sqref="AJ28">
    <cfRule type="cellIs" dxfId="18586" priority="131999" stopIfTrue="1" operator="greaterThanOrEqual">
      <formula>0.5</formula>
    </cfRule>
  </conditionalFormatting>
  <conditionalFormatting sqref="AJ29">
    <cfRule type="cellIs" dxfId="18585" priority="132000" stopIfTrue="1" operator="equal">
      <formula>-1</formula>
    </cfRule>
  </conditionalFormatting>
  <conditionalFormatting sqref="AJ29">
    <cfRule type="cellIs" dxfId="18584" priority="132001" stopIfTrue="1" operator="lessThan">
      <formula>0.5</formula>
    </cfRule>
  </conditionalFormatting>
  <conditionalFormatting sqref="AJ29">
    <cfRule type="cellIs" dxfId="18583" priority="132002" stopIfTrue="1" operator="greaterThanOrEqual">
      <formula>0.5</formula>
    </cfRule>
  </conditionalFormatting>
  <conditionalFormatting sqref="AJ30">
    <cfRule type="cellIs" dxfId="18582" priority="132003" stopIfTrue="1" operator="equal">
      <formula>-1</formula>
    </cfRule>
  </conditionalFormatting>
  <conditionalFormatting sqref="AJ30">
    <cfRule type="cellIs" dxfId="18581" priority="132004" stopIfTrue="1" operator="lessThan">
      <formula>0.5</formula>
    </cfRule>
  </conditionalFormatting>
  <conditionalFormatting sqref="AJ30">
    <cfRule type="cellIs" dxfId="18580" priority="132005" stopIfTrue="1" operator="greaterThanOrEqual">
      <formula>0.5</formula>
    </cfRule>
  </conditionalFormatting>
  <conditionalFormatting sqref="AJ31">
    <cfRule type="cellIs" dxfId="18579" priority="132006" stopIfTrue="1" operator="equal">
      <formula>-1</formula>
    </cfRule>
  </conditionalFormatting>
  <conditionalFormatting sqref="AJ31">
    <cfRule type="cellIs" dxfId="18578" priority="132007" stopIfTrue="1" operator="lessThan">
      <formula>0.5</formula>
    </cfRule>
  </conditionalFormatting>
  <conditionalFormatting sqref="AJ31">
    <cfRule type="cellIs" dxfId="18577" priority="132008" stopIfTrue="1" operator="greaterThanOrEqual">
      <formula>0.5</formula>
    </cfRule>
  </conditionalFormatting>
  <conditionalFormatting sqref="AJ32">
    <cfRule type="cellIs" dxfId="18576" priority="132009" stopIfTrue="1" operator="equal">
      <formula>-1</formula>
    </cfRule>
  </conditionalFormatting>
  <conditionalFormatting sqref="AJ32">
    <cfRule type="cellIs" dxfId="18575" priority="132010" stopIfTrue="1" operator="lessThan">
      <formula>0.5</formula>
    </cfRule>
  </conditionalFormatting>
  <conditionalFormatting sqref="AJ32">
    <cfRule type="cellIs" dxfId="18574" priority="132011" stopIfTrue="1" operator="greaterThanOrEqual">
      <formula>0.5</formula>
    </cfRule>
  </conditionalFormatting>
  <conditionalFormatting sqref="AJ33">
    <cfRule type="cellIs" dxfId="18573" priority="132012" stopIfTrue="1" operator="equal">
      <formula>-1</formula>
    </cfRule>
  </conditionalFormatting>
  <conditionalFormatting sqref="AJ33">
    <cfRule type="cellIs" dxfId="18572" priority="132013" stopIfTrue="1" operator="lessThan">
      <formula>0.5</formula>
    </cfRule>
  </conditionalFormatting>
  <conditionalFormatting sqref="AJ33">
    <cfRule type="cellIs" dxfId="18571" priority="132014" stopIfTrue="1" operator="greaterThanOrEqual">
      <formula>0.5</formula>
    </cfRule>
  </conditionalFormatting>
  <conditionalFormatting sqref="AJ34">
    <cfRule type="cellIs" dxfId="18570" priority="132015" stopIfTrue="1" operator="equal">
      <formula>-1</formula>
    </cfRule>
  </conditionalFormatting>
  <conditionalFormatting sqref="AJ34">
    <cfRule type="cellIs" dxfId="18569" priority="132016" stopIfTrue="1" operator="lessThan">
      <formula>0.5</formula>
    </cfRule>
  </conditionalFormatting>
  <conditionalFormatting sqref="AJ34">
    <cfRule type="cellIs" dxfId="18568" priority="132017" stopIfTrue="1" operator="greaterThanOrEqual">
      <formula>0.5</formula>
    </cfRule>
  </conditionalFormatting>
  <conditionalFormatting sqref="AJ35">
    <cfRule type="cellIs" dxfId="18567" priority="132018" stopIfTrue="1" operator="equal">
      <formula>-1</formula>
    </cfRule>
  </conditionalFormatting>
  <conditionalFormatting sqref="AJ35">
    <cfRule type="cellIs" dxfId="18566" priority="132019" stopIfTrue="1" operator="lessThan">
      <formula>0.5</formula>
    </cfRule>
  </conditionalFormatting>
  <conditionalFormatting sqref="AJ35">
    <cfRule type="cellIs" dxfId="18565" priority="132020" stopIfTrue="1" operator="greaterThanOrEqual">
      <formula>0.5</formula>
    </cfRule>
  </conditionalFormatting>
  <conditionalFormatting sqref="AJ36">
    <cfRule type="cellIs" dxfId="18564" priority="132021" stopIfTrue="1" operator="equal">
      <formula>-1</formula>
    </cfRule>
  </conditionalFormatting>
  <conditionalFormatting sqref="AJ36">
    <cfRule type="cellIs" dxfId="18563" priority="132022" stopIfTrue="1" operator="lessThan">
      <formula>0.5</formula>
    </cfRule>
  </conditionalFormatting>
  <conditionalFormatting sqref="AJ36">
    <cfRule type="cellIs" dxfId="18562" priority="132023" stopIfTrue="1" operator="greaterThanOrEqual">
      <formula>0.5</formula>
    </cfRule>
  </conditionalFormatting>
  <conditionalFormatting sqref="AJ37">
    <cfRule type="cellIs" dxfId="18561" priority="132024" stopIfTrue="1" operator="equal">
      <formula>-1</formula>
    </cfRule>
  </conditionalFormatting>
  <conditionalFormatting sqref="AJ37">
    <cfRule type="cellIs" dxfId="18560" priority="132025" stopIfTrue="1" operator="lessThan">
      <formula>0.5</formula>
    </cfRule>
  </conditionalFormatting>
  <conditionalFormatting sqref="AJ37">
    <cfRule type="cellIs" dxfId="18559" priority="132026" stopIfTrue="1" operator="greaterThanOrEqual">
      <formula>0.5</formula>
    </cfRule>
  </conditionalFormatting>
  <conditionalFormatting sqref="AL17">
    <cfRule type="cellIs" dxfId="18558" priority="132027" stopIfTrue="1" operator="equal">
      <formula>-1</formula>
    </cfRule>
  </conditionalFormatting>
  <conditionalFormatting sqref="AL17">
    <cfRule type="cellIs" dxfId="18557" priority="132028" stopIfTrue="1" operator="lessThan">
      <formula>0.5</formula>
    </cfRule>
  </conditionalFormatting>
  <conditionalFormatting sqref="AL17">
    <cfRule type="cellIs" dxfId="18556" priority="132029" stopIfTrue="1" operator="greaterThanOrEqual">
      <formula>0.5</formula>
    </cfRule>
  </conditionalFormatting>
  <conditionalFormatting sqref="AL18">
    <cfRule type="cellIs" dxfId="18555" priority="132030" stopIfTrue="1" operator="equal">
      <formula>-1</formula>
    </cfRule>
  </conditionalFormatting>
  <conditionalFormatting sqref="AL18">
    <cfRule type="cellIs" dxfId="18554" priority="132031" stopIfTrue="1" operator="lessThan">
      <formula>0.5</formula>
    </cfRule>
  </conditionalFormatting>
  <conditionalFormatting sqref="AL18">
    <cfRule type="cellIs" dxfId="18553" priority="132032" stopIfTrue="1" operator="greaterThanOrEqual">
      <formula>0.5</formula>
    </cfRule>
  </conditionalFormatting>
  <conditionalFormatting sqref="AL19">
    <cfRule type="cellIs" dxfId="18552" priority="132033" stopIfTrue="1" operator="equal">
      <formula>-1</formula>
    </cfRule>
  </conditionalFormatting>
  <conditionalFormatting sqref="AL19">
    <cfRule type="cellIs" dxfId="18551" priority="132034" stopIfTrue="1" operator="lessThan">
      <formula>0.5</formula>
    </cfRule>
  </conditionalFormatting>
  <conditionalFormatting sqref="AL19">
    <cfRule type="cellIs" dxfId="18550" priority="132035" stopIfTrue="1" operator="greaterThanOrEqual">
      <formula>0.5</formula>
    </cfRule>
  </conditionalFormatting>
  <conditionalFormatting sqref="AL20">
    <cfRule type="cellIs" dxfId="18549" priority="132036" stopIfTrue="1" operator="equal">
      <formula>-1</formula>
    </cfRule>
  </conditionalFormatting>
  <conditionalFormatting sqref="AL20">
    <cfRule type="cellIs" dxfId="18548" priority="132037" stopIfTrue="1" operator="lessThan">
      <formula>0.5</formula>
    </cfRule>
  </conditionalFormatting>
  <conditionalFormatting sqref="AL20">
    <cfRule type="cellIs" dxfId="18547" priority="132038" stopIfTrue="1" operator="greaterThanOrEqual">
      <formula>0.5</formula>
    </cfRule>
  </conditionalFormatting>
  <conditionalFormatting sqref="AL21">
    <cfRule type="cellIs" dxfId="18546" priority="132039" stopIfTrue="1" operator="equal">
      <formula>-1</formula>
    </cfRule>
  </conditionalFormatting>
  <conditionalFormatting sqref="AL21">
    <cfRule type="cellIs" dxfId="18545" priority="132040" stopIfTrue="1" operator="lessThan">
      <formula>0.5</formula>
    </cfRule>
  </conditionalFormatting>
  <conditionalFormatting sqref="AL21">
    <cfRule type="cellIs" dxfId="18544" priority="132041" stopIfTrue="1" operator="greaterThanOrEqual">
      <formula>0.5</formula>
    </cfRule>
  </conditionalFormatting>
  <conditionalFormatting sqref="AL22">
    <cfRule type="cellIs" dxfId="18543" priority="132042" stopIfTrue="1" operator="equal">
      <formula>-1</formula>
    </cfRule>
  </conditionalFormatting>
  <conditionalFormatting sqref="AL22">
    <cfRule type="cellIs" dxfId="18542" priority="132043" stopIfTrue="1" operator="lessThan">
      <formula>0.5</formula>
    </cfRule>
  </conditionalFormatting>
  <conditionalFormatting sqref="AL22">
    <cfRule type="cellIs" dxfId="18541" priority="132044" stopIfTrue="1" operator="greaterThanOrEqual">
      <formula>0.5</formula>
    </cfRule>
  </conditionalFormatting>
  <conditionalFormatting sqref="AL23">
    <cfRule type="cellIs" dxfId="18540" priority="132045" stopIfTrue="1" operator="equal">
      <formula>-1</formula>
    </cfRule>
  </conditionalFormatting>
  <conditionalFormatting sqref="AL23">
    <cfRule type="cellIs" dxfId="18539" priority="132046" stopIfTrue="1" operator="lessThan">
      <formula>0.5</formula>
    </cfRule>
  </conditionalFormatting>
  <conditionalFormatting sqref="AL23">
    <cfRule type="cellIs" dxfId="18538" priority="132047" stopIfTrue="1" operator="greaterThanOrEqual">
      <formula>0.5</formula>
    </cfRule>
  </conditionalFormatting>
  <conditionalFormatting sqref="AL24">
    <cfRule type="cellIs" dxfId="18537" priority="132048" stopIfTrue="1" operator="equal">
      <formula>-1</formula>
    </cfRule>
  </conditionalFormatting>
  <conditionalFormatting sqref="AL24">
    <cfRule type="cellIs" dxfId="18536" priority="132049" stopIfTrue="1" operator="lessThan">
      <formula>0.5</formula>
    </cfRule>
  </conditionalFormatting>
  <conditionalFormatting sqref="AL24">
    <cfRule type="cellIs" dxfId="18535" priority="132050" stopIfTrue="1" operator="greaterThanOrEqual">
      <formula>0.5</formula>
    </cfRule>
  </conditionalFormatting>
  <conditionalFormatting sqref="AL25">
    <cfRule type="cellIs" dxfId="18534" priority="132051" stopIfTrue="1" operator="equal">
      <formula>-1</formula>
    </cfRule>
  </conditionalFormatting>
  <conditionalFormatting sqref="AL25">
    <cfRule type="cellIs" dxfId="18533" priority="132052" stopIfTrue="1" operator="lessThan">
      <formula>0.5</formula>
    </cfRule>
  </conditionalFormatting>
  <conditionalFormatting sqref="AL25">
    <cfRule type="cellIs" dxfId="18532" priority="132053" stopIfTrue="1" operator="greaterThanOrEqual">
      <formula>0.5</formula>
    </cfRule>
  </conditionalFormatting>
  <conditionalFormatting sqref="AL26">
    <cfRule type="cellIs" dxfId="18531" priority="132054" stopIfTrue="1" operator="equal">
      <formula>-1</formula>
    </cfRule>
  </conditionalFormatting>
  <conditionalFormatting sqref="AL26">
    <cfRule type="cellIs" dxfId="18530" priority="132055" stopIfTrue="1" operator="lessThan">
      <formula>0.5</formula>
    </cfRule>
  </conditionalFormatting>
  <conditionalFormatting sqref="AL26">
    <cfRule type="cellIs" dxfId="18529" priority="132056" stopIfTrue="1" operator="greaterThanOrEqual">
      <formula>0.5</formula>
    </cfRule>
  </conditionalFormatting>
  <conditionalFormatting sqref="AL27">
    <cfRule type="cellIs" dxfId="18528" priority="132057" stopIfTrue="1" operator="equal">
      <formula>-1</formula>
    </cfRule>
  </conditionalFormatting>
  <conditionalFormatting sqref="AL27">
    <cfRule type="cellIs" dxfId="18527" priority="132058" stopIfTrue="1" operator="lessThan">
      <formula>0.5</formula>
    </cfRule>
  </conditionalFormatting>
  <conditionalFormatting sqref="AL27">
    <cfRule type="cellIs" dxfId="18526" priority="132059" stopIfTrue="1" operator="greaterThanOrEqual">
      <formula>0.5</formula>
    </cfRule>
  </conditionalFormatting>
  <conditionalFormatting sqref="AL28">
    <cfRule type="cellIs" dxfId="18525" priority="132060" stopIfTrue="1" operator="equal">
      <formula>-1</formula>
    </cfRule>
  </conditionalFormatting>
  <conditionalFormatting sqref="AL28">
    <cfRule type="cellIs" dxfId="18524" priority="132061" stopIfTrue="1" operator="lessThan">
      <formula>0.5</formula>
    </cfRule>
  </conditionalFormatting>
  <conditionalFormatting sqref="AL28">
    <cfRule type="cellIs" dxfId="18523" priority="132062" stopIfTrue="1" operator="greaterThanOrEqual">
      <formula>0.5</formula>
    </cfRule>
  </conditionalFormatting>
  <conditionalFormatting sqref="AL29">
    <cfRule type="cellIs" dxfId="18522" priority="132063" stopIfTrue="1" operator="equal">
      <formula>-1</formula>
    </cfRule>
  </conditionalFormatting>
  <conditionalFormatting sqref="AL29">
    <cfRule type="cellIs" dxfId="18521" priority="132064" stopIfTrue="1" operator="lessThan">
      <formula>0.5</formula>
    </cfRule>
  </conditionalFormatting>
  <conditionalFormatting sqref="AL29">
    <cfRule type="cellIs" dxfId="18520" priority="132065" stopIfTrue="1" operator="greaterThanOrEqual">
      <formula>0.5</formula>
    </cfRule>
  </conditionalFormatting>
  <conditionalFormatting sqref="AL30">
    <cfRule type="cellIs" dxfId="18519" priority="132066" stopIfTrue="1" operator="equal">
      <formula>-1</formula>
    </cfRule>
  </conditionalFormatting>
  <conditionalFormatting sqref="AL30">
    <cfRule type="cellIs" dxfId="18518" priority="132067" stopIfTrue="1" operator="lessThan">
      <formula>0.5</formula>
    </cfRule>
  </conditionalFormatting>
  <conditionalFormatting sqref="AL30">
    <cfRule type="cellIs" dxfId="18517" priority="132068" stopIfTrue="1" operator="greaterThanOrEqual">
      <formula>0.5</formula>
    </cfRule>
  </conditionalFormatting>
  <conditionalFormatting sqref="AL31">
    <cfRule type="cellIs" dxfId="18516" priority="132069" stopIfTrue="1" operator="equal">
      <formula>-1</formula>
    </cfRule>
  </conditionalFormatting>
  <conditionalFormatting sqref="AL31">
    <cfRule type="cellIs" dxfId="18515" priority="132070" stopIfTrue="1" operator="lessThan">
      <formula>0.5</formula>
    </cfRule>
  </conditionalFormatting>
  <conditionalFormatting sqref="AL31">
    <cfRule type="cellIs" dxfId="18514" priority="132071" stopIfTrue="1" operator="greaterThanOrEqual">
      <formula>0.5</formula>
    </cfRule>
  </conditionalFormatting>
  <conditionalFormatting sqref="AL32">
    <cfRule type="cellIs" dxfId="18513" priority="132072" stopIfTrue="1" operator="equal">
      <formula>-1</formula>
    </cfRule>
  </conditionalFormatting>
  <conditionalFormatting sqref="AL32">
    <cfRule type="cellIs" dxfId="18512" priority="132073" stopIfTrue="1" operator="lessThan">
      <formula>0.5</formula>
    </cfRule>
  </conditionalFormatting>
  <conditionalFormatting sqref="AL32">
    <cfRule type="cellIs" dxfId="18511" priority="132074" stopIfTrue="1" operator="greaterThanOrEqual">
      <formula>0.5</formula>
    </cfRule>
  </conditionalFormatting>
  <conditionalFormatting sqref="AL33">
    <cfRule type="cellIs" dxfId="18510" priority="132075" stopIfTrue="1" operator="equal">
      <formula>-1</formula>
    </cfRule>
  </conditionalFormatting>
  <conditionalFormatting sqref="AL33">
    <cfRule type="cellIs" dxfId="18509" priority="132076" stopIfTrue="1" operator="lessThan">
      <formula>0.5</formula>
    </cfRule>
  </conditionalFormatting>
  <conditionalFormatting sqref="AL33">
    <cfRule type="cellIs" dxfId="18508" priority="132077" stopIfTrue="1" operator="greaterThanOrEqual">
      <formula>0.5</formula>
    </cfRule>
  </conditionalFormatting>
  <conditionalFormatting sqref="AL34">
    <cfRule type="cellIs" dxfId="18507" priority="132078" stopIfTrue="1" operator="equal">
      <formula>-1</formula>
    </cfRule>
  </conditionalFormatting>
  <conditionalFormatting sqref="AL34">
    <cfRule type="cellIs" dxfId="18506" priority="132079" stopIfTrue="1" operator="lessThan">
      <formula>0.5</formula>
    </cfRule>
  </conditionalFormatting>
  <conditionalFormatting sqref="AL34">
    <cfRule type="cellIs" dxfId="18505" priority="132080" stopIfTrue="1" operator="greaterThanOrEqual">
      <formula>0.5</formula>
    </cfRule>
  </conditionalFormatting>
  <conditionalFormatting sqref="AL35">
    <cfRule type="cellIs" dxfId="18504" priority="132081" stopIfTrue="1" operator="equal">
      <formula>-1</formula>
    </cfRule>
  </conditionalFormatting>
  <conditionalFormatting sqref="AL35">
    <cfRule type="cellIs" dxfId="18503" priority="132082" stopIfTrue="1" operator="lessThan">
      <formula>0.5</formula>
    </cfRule>
  </conditionalFormatting>
  <conditionalFormatting sqref="AL35">
    <cfRule type="cellIs" dxfId="18502" priority="132083" stopIfTrue="1" operator="greaterThanOrEqual">
      <formula>0.5</formula>
    </cfRule>
  </conditionalFormatting>
  <conditionalFormatting sqref="AL36">
    <cfRule type="cellIs" dxfId="18501" priority="132084" stopIfTrue="1" operator="equal">
      <formula>-1</formula>
    </cfRule>
  </conditionalFormatting>
  <conditionalFormatting sqref="AL36">
    <cfRule type="cellIs" dxfId="18500" priority="132085" stopIfTrue="1" operator="lessThan">
      <formula>0.5</formula>
    </cfRule>
  </conditionalFormatting>
  <conditionalFormatting sqref="AL36">
    <cfRule type="cellIs" dxfId="18499" priority="132086" stopIfTrue="1" operator="greaterThanOrEqual">
      <formula>0.5</formula>
    </cfRule>
  </conditionalFormatting>
  <conditionalFormatting sqref="AL37">
    <cfRule type="cellIs" dxfId="18498" priority="132087" stopIfTrue="1" operator="equal">
      <formula>-1</formula>
    </cfRule>
  </conditionalFormatting>
  <conditionalFormatting sqref="AL37">
    <cfRule type="cellIs" dxfId="18497" priority="132088" stopIfTrue="1" operator="lessThan">
      <formula>0.5</formula>
    </cfRule>
  </conditionalFormatting>
  <conditionalFormatting sqref="AL37">
    <cfRule type="cellIs" dxfId="18496" priority="132089" stopIfTrue="1" operator="greaterThanOrEqual">
      <formula>0.5</formula>
    </cfRule>
  </conditionalFormatting>
  <conditionalFormatting sqref="AN17">
    <cfRule type="cellIs" dxfId="18495" priority="132090" stopIfTrue="1" operator="equal">
      <formula>-1</formula>
    </cfRule>
  </conditionalFormatting>
  <conditionalFormatting sqref="AN17">
    <cfRule type="cellIs" dxfId="18494" priority="132091" stopIfTrue="1" operator="lessThan">
      <formula>0.5</formula>
    </cfRule>
  </conditionalFormatting>
  <conditionalFormatting sqref="AN17">
    <cfRule type="cellIs" dxfId="18493" priority="132092" stopIfTrue="1" operator="greaterThanOrEqual">
      <formula>0.5</formula>
    </cfRule>
  </conditionalFormatting>
  <conditionalFormatting sqref="AN18">
    <cfRule type="cellIs" dxfId="18492" priority="132093" stopIfTrue="1" operator="equal">
      <formula>-1</formula>
    </cfRule>
  </conditionalFormatting>
  <conditionalFormatting sqref="AN18">
    <cfRule type="cellIs" dxfId="18491" priority="132094" stopIfTrue="1" operator="lessThan">
      <formula>0.5</formula>
    </cfRule>
  </conditionalFormatting>
  <conditionalFormatting sqref="AN18">
    <cfRule type="cellIs" dxfId="18490" priority="132095" stopIfTrue="1" operator="greaterThanOrEqual">
      <formula>0.5</formula>
    </cfRule>
  </conditionalFormatting>
  <conditionalFormatting sqref="AN19">
    <cfRule type="cellIs" dxfId="18489" priority="132096" stopIfTrue="1" operator="equal">
      <formula>-1</formula>
    </cfRule>
  </conditionalFormatting>
  <conditionalFormatting sqref="AN19">
    <cfRule type="cellIs" dxfId="18488" priority="132097" stopIfTrue="1" operator="lessThan">
      <formula>0.5</formula>
    </cfRule>
  </conditionalFormatting>
  <conditionalFormatting sqref="AN19">
    <cfRule type="cellIs" dxfId="18487" priority="132098" stopIfTrue="1" operator="greaterThanOrEqual">
      <formula>0.5</formula>
    </cfRule>
  </conditionalFormatting>
  <conditionalFormatting sqref="AN20">
    <cfRule type="cellIs" dxfId="18486" priority="132099" stopIfTrue="1" operator="equal">
      <formula>-1</formula>
    </cfRule>
  </conditionalFormatting>
  <conditionalFormatting sqref="AN20">
    <cfRule type="cellIs" dxfId="18485" priority="132100" stopIfTrue="1" operator="lessThan">
      <formula>0.5</formula>
    </cfRule>
  </conditionalFormatting>
  <conditionalFormatting sqref="AN20">
    <cfRule type="cellIs" dxfId="18484" priority="132101" stopIfTrue="1" operator="greaterThanOrEqual">
      <formula>0.5</formula>
    </cfRule>
  </conditionalFormatting>
  <conditionalFormatting sqref="AN21">
    <cfRule type="cellIs" dxfId="18483" priority="132102" stopIfTrue="1" operator="equal">
      <formula>-1</formula>
    </cfRule>
  </conditionalFormatting>
  <conditionalFormatting sqref="AN21">
    <cfRule type="cellIs" dxfId="18482" priority="132103" stopIfTrue="1" operator="lessThan">
      <formula>0.5</formula>
    </cfRule>
  </conditionalFormatting>
  <conditionalFormatting sqref="AN21">
    <cfRule type="cellIs" dxfId="18481" priority="132104" stopIfTrue="1" operator="greaterThanOrEqual">
      <formula>0.5</formula>
    </cfRule>
  </conditionalFormatting>
  <conditionalFormatting sqref="AN22">
    <cfRule type="cellIs" dxfId="18480" priority="132105" stopIfTrue="1" operator="equal">
      <formula>-1</formula>
    </cfRule>
  </conditionalFormatting>
  <conditionalFormatting sqref="AN22">
    <cfRule type="cellIs" dxfId="18479" priority="132106" stopIfTrue="1" operator="lessThan">
      <formula>0.5</formula>
    </cfRule>
  </conditionalFormatting>
  <conditionalFormatting sqref="AN22">
    <cfRule type="cellIs" dxfId="18478" priority="132107" stopIfTrue="1" operator="greaterThanOrEqual">
      <formula>0.5</formula>
    </cfRule>
  </conditionalFormatting>
  <conditionalFormatting sqref="AN23">
    <cfRule type="cellIs" dxfId="18477" priority="132108" stopIfTrue="1" operator="equal">
      <formula>-1</formula>
    </cfRule>
  </conditionalFormatting>
  <conditionalFormatting sqref="AN23">
    <cfRule type="cellIs" dxfId="18476" priority="132109" stopIfTrue="1" operator="lessThan">
      <formula>0.5</formula>
    </cfRule>
  </conditionalFormatting>
  <conditionalFormatting sqref="AN23">
    <cfRule type="cellIs" dxfId="18475" priority="132110" stopIfTrue="1" operator="greaterThanOrEqual">
      <formula>0.5</formula>
    </cfRule>
  </conditionalFormatting>
  <conditionalFormatting sqref="AN24">
    <cfRule type="cellIs" dxfId="18474" priority="132111" stopIfTrue="1" operator="equal">
      <formula>-1</formula>
    </cfRule>
  </conditionalFormatting>
  <conditionalFormatting sqref="AN24">
    <cfRule type="cellIs" dxfId="18473" priority="132112" stopIfTrue="1" operator="lessThan">
      <formula>0.5</formula>
    </cfRule>
  </conditionalFormatting>
  <conditionalFormatting sqref="AN24">
    <cfRule type="cellIs" dxfId="18472" priority="132113" stopIfTrue="1" operator="greaterThanOrEqual">
      <formula>0.5</formula>
    </cfRule>
  </conditionalFormatting>
  <conditionalFormatting sqref="AN25">
    <cfRule type="cellIs" dxfId="18471" priority="132114" stopIfTrue="1" operator="equal">
      <formula>-1</formula>
    </cfRule>
  </conditionalFormatting>
  <conditionalFormatting sqref="AN25">
    <cfRule type="cellIs" dxfId="18470" priority="132115" stopIfTrue="1" operator="lessThan">
      <formula>0.5</formula>
    </cfRule>
  </conditionalFormatting>
  <conditionalFormatting sqref="AN25">
    <cfRule type="cellIs" dxfId="18469" priority="132116" stopIfTrue="1" operator="greaterThanOrEqual">
      <formula>0.5</formula>
    </cfRule>
  </conditionalFormatting>
  <conditionalFormatting sqref="AN26">
    <cfRule type="cellIs" dxfId="18468" priority="132117" stopIfTrue="1" operator="equal">
      <formula>-1</formula>
    </cfRule>
  </conditionalFormatting>
  <conditionalFormatting sqref="AN26">
    <cfRule type="cellIs" dxfId="18467" priority="132118" stopIfTrue="1" operator="lessThan">
      <formula>0.5</formula>
    </cfRule>
  </conditionalFormatting>
  <conditionalFormatting sqref="AN26">
    <cfRule type="cellIs" dxfId="18466" priority="132119" stopIfTrue="1" operator="greaterThanOrEqual">
      <formula>0.5</formula>
    </cfRule>
  </conditionalFormatting>
  <conditionalFormatting sqref="AN27">
    <cfRule type="cellIs" dxfId="18465" priority="132120" stopIfTrue="1" operator="equal">
      <formula>-1</formula>
    </cfRule>
  </conditionalFormatting>
  <conditionalFormatting sqref="AN27">
    <cfRule type="cellIs" dxfId="18464" priority="132121" stopIfTrue="1" operator="lessThan">
      <formula>0.5</formula>
    </cfRule>
  </conditionalFormatting>
  <conditionalFormatting sqref="AN27">
    <cfRule type="cellIs" dxfId="18463" priority="132122" stopIfTrue="1" operator="greaterThanOrEqual">
      <formula>0.5</formula>
    </cfRule>
  </conditionalFormatting>
  <conditionalFormatting sqref="AN28">
    <cfRule type="cellIs" dxfId="18462" priority="132123" stopIfTrue="1" operator="equal">
      <formula>-1</formula>
    </cfRule>
  </conditionalFormatting>
  <conditionalFormatting sqref="AN28">
    <cfRule type="cellIs" dxfId="18461" priority="132124" stopIfTrue="1" operator="lessThan">
      <formula>0.5</formula>
    </cfRule>
  </conditionalFormatting>
  <conditionalFormatting sqref="AN28">
    <cfRule type="cellIs" dxfId="18460" priority="132125" stopIfTrue="1" operator="greaterThanOrEqual">
      <formula>0.5</formula>
    </cfRule>
  </conditionalFormatting>
  <conditionalFormatting sqref="AN29">
    <cfRule type="cellIs" dxfId="18459" priority="132126" stopIfTrue="1" operator="equal">
      <formula>-1</formula>
    </cfRule>
  </conditionalFormatting>
  <conditionalFormatting sqref="AN29">
    <cfRule type="cellIs" dxfId="18458" priority="132127" stopIfTrue="1" operator="lessThan">
      <formula>0.5</formula>
    </cfRule>
  </conditionalFormatting>
  <conditionalFormatting sqref="AN29">
    <cfRule type="cellIs" dxfId="18457" priority="132128" stopIfTrue="1" operator="greaterThanOrEqual">
      <formula>0.5</formula>
    </cfRule>
  </conditionalFormatting>
  <conditionalFormatting sqref="AN30">
    <cfRule type="cellIs" dxfId="18456" priority="132129" stopIfTrue="1" operator="equal">
      <formula>-1</formula>
    </cfRule>
  </conditionalFormatting>
  <conditionalFormatting sqref="AN30">
    <cfRule type="cellIs" dxfId="18455" priority="132130" stopIfTrue="1" operator="lessThan">
      <formula>0.5</formula>
    </cfRule>
  </conditionalFormatting>
  <conditionalFormatting sqref="AN30">
    <cfRule type="cellIs" dxfId="18454" priority="132131" stopIfTrue="1" operator="greaterThanOrEqual">
      <formula>0.5</formula>
    </cfRule>
  </conditionalFormatting>
  <conditionalFormatting sqref="AN31">
    <cfRule type="cellIs" dxfId="18453" priority="132132" stopIfTrue="1" operator="equal">
      <formula>-1</formula>
    </cfRule>
  </conditionalFormatting>
  <conditionalFormatting sqref="AN31">
    <cfRule type="cellIs" dxfId="18452" priority="132133" stopIfTrue="1" operator="lessThan">
      <formula>0.5</formula>
    </cfRule>
  </conditionalFormatting>
  <conditionalFormatting sqref="AN31">
    <cfRule type="cellIs" dxfId="18451" priority="132134" stopIfTrue="1" operator="greaterThanOrEqual">
      <formula>0.5</formula>
    </cfRule>
  </conditionalFormatting>
  <conditionalFormatting sqref="AN32">
    <cfRule type="cellIs" dxfId="18450" priority="132135" stopIfTrue="1" operator="equal">
      <formula>-1</formula>
    </cfRule>
  </conditionalFormatting>
  <conditionalFormatting sqref="AN32">
    <cfRule type="cellIs" dxfId="18449" priority="132136" stopIfTrue="1" operator="lessThan">
      <formula>0.5</formula>
    </cfRule>
  </conditionalFormatting>
  <conditionalFormatting sqref="AN32">
    <cfRule type="cellIs" dxfId="18448" priority="132137" stopIfTrue="1" operator="greaterThanOrEqual">
      <formula>0.5</formula>
    </cfRule>
  </conditionalFormatting>
  <conditionalFormatting sqref="AN33">
    <cfRule type="cellIs" dxfId="18447" priority="132138" stopIfTrue="1" operator="equal">
      <formula>-1</formula>
    </cfRule>
  </conditionalFormatting>
  <conditionalFormatting sqref="AN33">
    <cfRule type="cellIs" dxfId="18446" priority="132139" stopIfTrue="1" operator="lessThan">
      <formula>0.5</formula>
    </cfRule>
  </conditionalFormatting>
  <conditionalFormatting sqref="AN33">
    <cfRule type="cellIs" dxfId="18445" priority="132140" stopIfTrue="1" operator="greaterThanOrEqual">
      <formula>0.5</formula>
    </cfRule>
  </conditionalFormatting>
  <conditionalFormatting sqref="AN34">
    <cfRule type="cellIs" dxfId="18444" priority="132141" stopIfTrue="1" operator="equal">
      <formula>-1</formula>
    </cfRule>
  </conditionalFormatting>
  <conditionalFormatting sqref="AN34">
    <cfRule type="cellIs" dxfId="18443" priority="132142" stopIfTrue="1" operator="lessThan">
      <formula>0.5</formula>
    </cfRule>
  </conditionalFormatting>
  <conditionalFormatting sqref="AN34">
    <cfRule type="cellIs" dxfId="18442" priority="132143" stopIfTrue="1" operator="greaterThanOrEqual">
      <formula>0.5</formula>
    </cfRule>
  </conditionalFormatting>
  <conditionalFormatting sqref="AN35">
    <cfRule type="cellIs" dxfId="18441" priority="132144" stopIfTrue="1" operator="equal">
      <formula>-1</formula>
    </cfRule>
  </conditionalFormatting>
  <conditionalFormatting sqref="AN35">
    <cfRule type="cellIs" dxfId="18440" priority="132145" stopIfTrue="1" operator="lessThan">
      <formula>0.5</formula>
    </cfRule>
  </conditionalFormatting>
  <conditionalFormatting sqref="AN35">
    <cfRule type="cellIs" dxfId="18439" priority="132146" stopIfTrue="1" operator="greaterThanOrEqual">
      <formula>0.5</formula>
    </cfRule>
  </conditionalFormatting>
  <conditionalFormatting sqref="AN36">
    <cfRule type="cellIs" dxfId="18438" priority="132147" stopIfTrue="1" operator="equal">
      <formula>-1</formula>
    </cfRule>
  </conditionalFormatting>
  <conditionalFormatting sqref="AN36">
    <cfRule type="cellIs" dxfId="18437" priority="132148" stopIfTrue="1" operator="lessThan">
      <formula>0.5</formula>
    </cfRule>
  </conditionalFormatting>
  <conditionalFormatting sqref="AN36">
    <cfRule type="cellIs" dxfId="18436" priority="132149" stopIfTrue="1" operator="greaterThanOrEqual">
      <formula>0.5</formula>
    </cfRule>
  </conditionalFormatting>
  <conditionalFormatting sqref="AN37">
    <cfRule type="cellIs" dxfId="18435" priority="132150" stopIfTrue="1" operator="equal">
      <formula>-1</formula>
    </cfRule>
  </conditionalFormatting>
  <conditionalFormatting sqref="AN37">
    <cfRule type="cellIs" dxfId="18434" priority="132151" stopIfTrue="1" operator="lessThan">
      <formula>0.5</formula>
    </cfRule>
  </conditionalFormatting>
  <conditionalFormatting sqref="AN37">
    <cfRule type="cellIs" dxfId="18433" priority="132152" stopIfTrue="1" operator="greaterThanOrEqual">
      <formula>0.5</formula>
    </cfRule>
  </conditionalFormatting>
  <conditionalFormatting sqref="AP17">
    <cfRule type="cellIs" dxfId="18432" priority="132153" stopIfTrue="1" operator="equal">
      <formula>-1</formula>
    </cfRule>
  </conditionalFormatting>
  <conditionalFormatting sqref="AP17">
    <cfRule type="cellIs" dxfId="18431" priority="132154" stopIfTrue="1" operator="lessThan">
      <formula>0.5</formula>
    </cfRule>
  </conditionalFormatting>
  <conditionalFormatting sqref="AP17">
    <cfRule type="cellIs" dxfId="18430" priority="132155" stopIfTrue="1" operator="greaterThanOrEqual">
      <formula>0.5</formula>
    </cfRule>
  </conditionalFormatting>
  <conditionalFormatting sqref="AP18">
    <cfRule type="cellIs" dxfId="18429" priority="132156" stopIfTrue="1" operator="equal">
      <formula>-1</formula>
    </cfRule>
  </conditionalFormatting>
  <conditionalFormatting sqref="AP18">
    <cfRule type="cellIs" dxfId="18428" priority="132157" stopIfTrue="1" operator="lessThan">
      <formula>0.5</formula>
    </cfRule>
  </conditionalFormatting>
  <conditionalFormatting sqref="AP18">
    <cfRule type="cellIs" dxfId="18427" priority="132158" stopIfTrue="1" operator="greaterThanOrEqual">
      <formula>0.5</formula>
    </cfRule>
  </conditionalFormatting>
  <conditionalFormatting sqref="AP19">
    <cfRule type="cellIs" dxfId="18426" priority="132159" stopIfTrue="1" operator="equal">
      <formula>-1</formula>
    </cfRule>
  </conditionalFormatting>
  <conditionalFormatting sqref="AP19">
    <cfRule type="cellIs" dxfId="18425" priority="132160" stopIfTrue="1" operator="lessThan">
      <formula>0.5</formula>
    </cfRule>
  </conditionalFormatting>
  <conditionalFormatting sqref="AP19">
    <cfRule type="cellIs" dxfId="18424" priority="132161" stopIfTrue="1" operator="greaterThanOrEqual">
      <formula>0.5</formula>
    </cfRule>
  </conditionalFormatting>
  <conditionalFormatting sqref="AP20">
    <cfRule type="cellIs" dxfId="18423" priority="132162" stopIfTrue="1" operator="equal">
      <formula>-1</formula>
    </cfRule>
  </conditionalFormatting>
  <conditionalFormatting sqref="AP20">
    <cfRule type="cellIs" dxfId="18422" priority="132163" stopIfTrue="1" operator="lessThan">
      <formula>0.5</formula>
    </cfRule>
  </conditionalFormatting>
  <conditionalFormatting sqref="AP20">
    <cfRule type="cellIs" dxfId="18421" priority="132164" stopIfTrue="1" operator="greaterThanOrEqual">
      <formula>0.5</formula>
    </cfRule>
  </conditionalFormatting>
  <conditionalFormatting sqref="AP21">
    <cfRule type="cellIs" dxfId="18420" priority="132165" stopIfTrue="1" operator="equal">
      <formula>-1</formula>
    </cfRule>
  </conditionalFormatting>
  <conditionalFormatting sqref="AP21">
    <cfRule type="cellIs" dxfId="18419" priority="132166" stopIfTrue="1" operator="lessThan">
      <formula>0.5</formula>
    </cfRule>
  </conditionalFormatting>
  <conditionalFormatting sqref="AP21">
    <cfRule type="cellIs" dxfId="18418" priority="132167" stopIfTrue="1" operator="greaterThanOrEqual">
      <formula>0.5</formula>
    </cfRule>
  </conditionalFormatting>
  <conditionalFormatting sqref="AP22">
    <cfRule type="cellIs" dxfId="18417" priority="132168" stopIfTrue="1" operator="equal">
      <formula>-1</formula>
    </cfRule>
  </conditionalFormatting>
  <conditionalFormatting sqref="AP22">
    <cfRule type="cellIs" dxfId="18416" priority="132169" stopIfTrue="1" operator="lessThan">
      <formula>0.5</formula>
    </cfRule>
  </conditionalFormatting>
  <conditionalFormatting sqref="AP22">
    <cfRule type="cellIs" dxfId="18415" priority="132170" stopIfTrue="1" operator="greaterThanOrEqual">
      <formula>0.5</formula>
    </cfRule>
  </conditionalFormatting>
  <conditionalFormatting sqref="AP23">
    <cfRule type="cellIs" dxfId="18414" priority="132171" stopIfTrue="1" operator="equal">
      <formula>-1</formula>
    </cfRule>
  </conditionalFormatting>
  <conditionalFormatting sqref="AP23">
    <cfRule type="cellIs" dxfId="18413" priority="132172" stopIfTrue="1" operator="lessThan">
      <formula>0.5</formula>
    </cfRule>
  </conditionalFormatting>
  <conditionalFormatting sqref="AP23">
    <cfRule type="cellIs" dxfId="18412" priority="132173" stopIfTrue="1" operator="greaterThanOrEqual">
      <formula>0.5</formula>
    </cfRule>
  </conditionalFormatting>
  <conditionalFormatting sqref="AP24">
    <cfRule type="cellIs" dxfId="18411" priority="132174" stopIfTrue="1" operator="equal">
      <formula>-1</formula>
    </cfRule>
  </conditionalFormatting>
  <conditionalFormatting sqref="AP24">
    <cfRule type="cellIs" dxfId="18410" priority="132175" stopIfTrue="1" operator="lessThan">
      <formula>0.5</formula>
    </cfRule>
  </conditionalFormatting>
  <conditionalFormatting sqref="AP24">
    <cfRule type="cellIs" dxfId="18409" priority="132176" stopIfTrue="1" operator="greaterThanOrEqual">
      <formula>0.5</formula>
    </cfRule>
  </conditionalFormatting>
  <conditionalFormatting sqref="AP25">
    <cfRule type="cellIs" dxfId="18408" priority="132177" stopIfTrue="1" operator="equal">
      <formula>-1</formula>
    </cfRule>
  </conditionalFormatting>
  <conditionalFormatting sqref="AP25">
    <cfRule type="cellIs" dxfId="18407" priority="132178" stopIfTrue="1" operator="lessThan">
      <formula>0.5</formula>
    </cfRule>
  </conditionalFormatting>
  <conditionalFormatting sqref="AP25">
    <cfRule type="cellIs" dxfId="18406" priority="132179" stopIfTrue="1" operator="greaterThanOrEqual">
      <formula>0.5</formula>
    </cfRule>
  </conditionalFormatting>
  <conditionalFormatting sqref="AP26">
    <cfRule type="cellIs" dxfId="18405" priority="132180" stopIfTrue="1" operator="equal">
      <formula>-1</formula>
    </cfRule>
  </conditionalFormatting>
  <conditionalFormatting sqref="AP26">
    <cfRule type="cellIs" dxfId="18404" priority="132181" stopIfTrue="1" operator="lessThan">
      <formula>0.5</formula>
    </cfRule>
  </conditionalFormatting>
  <conditionalFormatting sqref="AP26">
    <cfRule type="cellIs" dxfId="18403" priority="132182" stopIfTrue="1" operator="greaterThanOrEqual">
      <formula>0.5</formula>
    </cfRule>
  </conditionalFormatting>
  <conditionalFormatting sqref="AP27">
    <cfRule type="cellIs" dxfId="18402" priority="132183" stopIfTrue="1" operator="equal">
      <formula>-1</formula>
    </cfRule>
  </conditionalFormatting>
  <conditionalFormatting sqref="AP27">
    <cfRule type="cellIs" dxfId="18401" priority="132184" stopIfTrue="1" operator="lessThan">
      <formula>0.5</formula>
    </cfRule>
  </conditionalFormatting>
  <conditionalFormatting sqref="AP27">
    <cfRule type="cellIs" dxfId="18400" priority="132185" stopIfTrue="1" operator="greaterThanOrEqual">
      <formula>0.5</formula>
    </cfRule>
  </conditionalFormatting>
  <conditionalFormatting sqref="AP28">
    <cfRule type="cellIs" dxfId="18399" priority="132186" stopIfTrue="1" operator="equal">
      <formula>-1</formula>
    </cfRule>
  </conditionalFormatting>
  <conditionalFormatting sqref="AP28">
    <cfRule type="cellIs" dxfId="18398" priority="132187" stopIfTrue="1" operator="lessThan">
      <formula>0.5</formula>
    </cfRule>
  </conditionalFormatting>
  <conditionalFormatting sqref="AP28">
    <cfRule type="cellIs" dxfId="18397" priority="132188" stopIfTrue="1" operator="greaterThanOrEqual">
      <formula>0.5</formula>
    </cfRule>
  </conditionalFormatting>
  <conditionalFormatting sqref="AP29">
    <cfRule type="cellIs" dxfId="18396" priority="132189" stopIfTrue="1" operator="equal">
      <formula>-1</formula>
    </cfRule>
  </conditionalFormatting>
  <conditionalFormatting sqref="AP29">
    <cfRule type="cellIs" dxfId="18395" priority="132190" stopIfTrue="1" operator="lessThan">
      <formula>0.5</formula>
    </cfRule>
  </conditionalFormatting>
  <conditionalFormatting sqref="AP29">
    <cfRule type="cellIs" dxfId="18394" priority="132191" stopIfTrue="1" operator="greaterThanOrEqual">
      <formula>0.5</formula>
    </cfRule>
  </conditionalFormatting>
  <conditionalFormatting sqref="AP30">
    <cfRule type="cellIs" dxfId="18393" priority="132192" stopIfTrue="1" operator="equal">
      <formula>-1</formula>
    </cfRule>
  </conditionalFormatting>
  <conditionalFormatting sqref="AP30">
    <cfRule type="cellIs" dxfId="18392" priority="132193" stopIfTrue="1" operator="lessThan">
      <formula>0.5</formula>
    </cfRule>
  </conditionalFormatting>
  <conditionalFormatting sqref="AP30">
    <cfRule type="cellIs" dxfId="18391" priority="132194" stopIfTrue="1" operator="greaterThanOrEqual">
      <formula>0.5</formula>
    </cfRule>
  </conditionalFormatting>
  <conditionalFormatting sqref="AP31">
    <cfRule type="cellIs" dxfId="18390" priority="132195" stopIfTrue="1" operator="equal">
      <formula>-1</formula>
    </cfRule>
  </conditionalFormatting>
  <conditionalFormatting sqref="AP31">
    <cfRule type="cellIs" dxfId="18389" priority="132196" stopIfTrue="1" operator="lessThan">
      <formula>0.5</formula>
    </cfRule>
  </conditionalFormatting>
  <conditionalFormatting sqref="AP31">
    <cfRule type="cellIs" dxfId="18388" priority="132197" stopIfTrue="1" operator="greaterThanOrEqual">
      <formula>0.5</formula>
    </cfRule>
  </conditionalFormatting>
  <conditionalFormatting sqref="AP32">
    <cfRule type="cellIs" dxfId="18387" priority="132198" stopIfTrue="1" operator="equal">
      <formula>-1</formula>
    </cfRule>
  </conditionalFormatting>
  <conditionalFormatting sqref="AP32">
    <cfRule type="cellIs" dxfId="18386" priority="132199" stopIfTrue="1" operator="lessThan">
      <formula>0.5</formula>
    </cfRule>
  </conditionalFormatting>
  <conditionalFormatting sqref="AP32">
    <cfRule type="cellIs" dxfId="18385" priority="132200" stopIfTrue="1" operator="greaterThanOrEqual">
      <formula>0.5</formula>
    </cfRule>
  </conditionalFormatting>
  <conditionalFormatting sqref="AP33">
    <cfRule type="cellIs" dxfId="18384" priority="132201" stopIfTrue="1" operator="equal">
      <formula>-1</formula>
    </cfRule>
  </conditionalFormatting>
  <conditionalFormatting sqref="AP33">
    <cfRule type="cellIs" dxfId="18383" priority="132202" stopIfTrue="1" operator="lessThan">
      <formula>0.5</formula>
    </cfRule>
  </conditionalFormatting>
  <conditionalFormatting sqref="AP33">
    <cfRule type="cellIs" dxfId="18382" priority="132203" stopIfTrue="1" operator="greaterThanOrEqual">
      <formula>0.5</formula>
    </cfRule>
  </conditionalFormatting>
  <conditionalFormatting sqref="AP34">
    <cfRule type="cellIs" dxfId="18381" priority="132204" stopIfTrue="1" operator="equal">
      <formula>-1</formula>
    </cfRule>
  </conditionalFormatting>
  <conditionalFormatting sqref="AP34">
    <cfRule type="cellIs" dxfId="18380" priority="132205" stopIfTrue="1" operator="lessThan">
      <formula>0.5</formula>
    </cfRule>
  </conditionalFormatting>
  <conditionalFormatting sqref="AP34">
    <cfRule type="cellIs" dxfId="18379" priority="132206" stopIfTrue="1" operator="greaterThanOrEqual">
      <formula>0.5</formula>
    </cfRule>
  </conditionalFormatting>
  <conditionalFormatting sqref="AP35">
    <cfRule type="cellIs" dxfId="18378" priority="132207" stopIfTrue="1" operator="equal">
      <formula>-1</formula>
    </cfRule>
  </conditionalFormatting>
  <conditionalFormatting sqref="AP35">
    <cfRule type="cellIs" dxfId="18377" priority="132208" stopIfTrue="1" operator="lessThan">
      <formula>0.5</formula>
    </cfRule>
  </conditionalFormatting>
  <conditionalFormatting sqref="AP35">
    <cfRule type="cellIs" dxfId="18376" priority="132209" stopIfTrue="1" operator="greaterThanOrEqual">
      <formula>0.5</formula>
    </cfRule>
  </conditionalFormatting>
  <conditionalFormatting sqref="AP36">
    <cfRule type="cellIs" dxfId="18375" priority="132210" stopIfTrue="1" operator="equal">
      <formula>-1</formula>
    </cfRule>
  </conditionalFormatting>
  <conditionalFormatting sqref="AP36">
    <cfRule type="cellIs" dxfId="18374" priority="132211" stopIfTrue="1" operator="lessThan">
      <formula>0.5</formula>
    </cfRule>
  </conditionalFormatting>
  <conditionalFormatting sqref="AP36">
    <cfRule type="cellIs" dxfId="18373" priority="132212" stopIfTrue="1" operator="greaterThanOrEqual">
      <formula>0.5</formula>
    </cfRule>
  </conditionalFormatting>
  <conditionalFormatting sqref="AP37">
    <cfRule type="cellIs" dxfId="18372" priority="132213" stopIfTrue="1" operator="equal">
      <formula>-1</formula>
    </cfRule>
  </conditionalFormatting>
  <conditionalFormatting sqref="AP37">
    <cfRule type="cellIs" dxfId="18371" priority="132214" stopIfTrue="1" operator="lessThan">
      <formula>0.5</formula>
    </cfRule>
  </conditionalFormatting>
  <conditionalFormatting sqref="AP37">
    <cfRule type="cellIs" dxfId="18370" priority="132215" stopIfTrue="1" operator="greaterThanOrEqual">
      <formula>0.5</formula>
    </cfRule>
  </conditionalFormatting>
  <conditionalFormatting sqref="AR17">
    <cfRule type="cellIs" dxfId="18369" priority="132216" stopIfTrue="1" operator="equal">
      <formula>-1</formula>
    </cfRule>
  </conditionalFormatting>
  <conditionalFormatting sqref="AR17">
    <cfRule type="cellIs" dxfId="18368" priority="132217" stopIfTrue="1" operator="lessThan">
      <formula>0.5</formula>
    </cfRule>
  </conditionalFormatting>
  <conditionalFormatting sqref="AR17">
    <cfRule type="cellIs" dxfId="18367" priority="132218" stopIfTrue="1" operator="greaterThanOrEqual">
      <formula>0.5</formula>
    </cfRule>
  </conditionalFormatting>
  <conditionalFormatting sqref="AR18">
    <cfRule type="cellIs" dxfId="18366" priority="132219" stopIfTrue="1" operator="equal">
      <formula>-1</formula>
    </cfRule>
  </conditionalFormatting>
  <conditionalFormatting sqref="AR18">
    <cfRule type="cellIs" dxfId="18365" priority="132220" stopIfTrue="1" operator="lessThan">
      <formula>0.5</formula>
    </cfRule>
  </conditionalFormatting>
  <conditionalFormatting sqref="AR18">
    <cfRule type="cellIs" dxfId="18364" priority="132221" stopIfTrue="1" operator="greaterThanOrEqual">
      <formula>0.5</formula>
    </cfRule>
  </conditionalFormatting>
  <conditionalFormatting sqref="AR19">
    <cfRule type="cellIs" dxfId="18363" priority="132222" stopIfTrue="1" operator="equal">
      <formula>-1</formula>
    </cfRule>
  </conditionalFormatting>
  <conditionalFormatting sqref="AR19">
    <cfRule type="cellIs" dxfId="18362" priority="132223" stopIfTrue="1" operator="lessThan">
      <formula>0.5</formula>
    </cfRule>
  </conditionalFormatting>
  <conditionalFormatting sqref="AR19">
    <cfRule type="cellIs" dxfId="18361" priority="132224" stopIfTrue="1" operator="greaterThanOrEqual">
      <formula>0.5</formula>
    </cfRule>
  </conditionalFormatting>
  <conditionalFormatting sqref="AR20">
    <cfRule type="cellIs" dxfId="18360" priority="132225" stopIfTrue="1" operator="equal">
      <formula>-1</formula>
    </cfRule>
  </conditionalFormatting>
  <conditionalFormatting sqref="AR20">
    <cfRule type="cellIs" dxfId="18359" priority="132226" stopIfTrue="1" operator="lessThan">
      <formula>0.5</formula>
    </cfRule>
  </conditionalFormatting>
  <conditionalFormatting sqref="AR20">
    <cfRule type="cellIs" dxfId="18358" priority="132227" stopIfTrue="1" operator="greaterThanOrEqual">
      <formula>0.5</formula>
    </cfRule>
  </conditionalFormatting>
  <conditionalFormatting sqref="AR21">
    <cfRule type="cellIs" dxfId="18357" priority="132228" stopIfTrue="1" operator="equal">
      <formula>-1</formula>
    </cfRule>
  </conditionalFormatting>
  <conditionalFormatting sqref="AR21">
    <cfRule type="cellIs" dxfId="18356" priority="132229" stopIfTrue="1" operator="lessThan">
      <formula>0.5</formula>
    </cfRule>
  </conditionalFormatting>
  <conditionalFormatting sqref="AR21">
    <cfRule type="cellIs" dxfId="18355" priority="132230" stopIfTrue="1" operator="greaterThanOrEqual">
      <formula>0.5</formula>
    </cfRule>
  </conditionalFormatting>
  <conditionalFormatting sqref="AR22">
    <cfRule type="cellIs" dxfId="18354" priority="132231" stopIfTrue="1" operator="equal">
      <formula>-1</formula>
    </cfRule>
  </conditionalFormatting>
  <conditionalFormatting sqref="AR22">
    <cfRule type="cellIs" dxfId="18353" priority="132232" stopIfTrue="1" operator="lessThan">
      <formula>0.5</formula>
    </cfRule>
  </conditionalFormatting>
  <conditionalFormatting sqref="AR22">
    <cfRule type="cellIs" dxfId="18352" priority="132233" stopIfTrue="1" operator="greaterThanOrEqual">
      <formula>0.5</formula>
    </cfRule>
  </conditionalFormatting>
  <conditionalFormatting sqref="AR23">
    <cfRule type="cellIs" dxfId="18351" priority="132234" stopIfTrue="1" operator="equal">
      <formula>-1</formula>
    </cfRule>
  </conditionalFormatting>
  <conditionalFormatting sqref="AR23">
    <cfRule type="cellIs" dxfId="18350" priority="132235" stopIfTrue="1" operator="lessThan">
      <formula>0.5</formula>
    </cfRule>
  </conditionalFormatting>
  <conditionalFormatting sqref="AR23">
    <cfRule type="cellIs" dxfId="18349" priority="132236" stopIfTrue="1" operator="greaterThanOrEqual">
      <formula>0.5</formula>
    </cfRule>
  </conditionalFormatting>
  <conditionalFormatting sqref="AR24">
    <cfRule type="cellIs" dxfId="18348" priority="132237" stopIfTrue="1" operator="equal">
      <formula>-1</formula>
    </cfRule>
  </conditionalFormatting>
  <conditionalFormatting sqref="AR24">
    <cfRule type="cellIs" dxfId="18347" priority="132238" stopIfTrue="1" operator="lessThan">
      <formula>0.5</formula>
    </cfRule>
  </conditionalFormatting>
  <conditionalFormatting sqref="AR24">
    <cfRule type="cellIs" dxfId="18346" priority="132239" stopIfTrue="1" operator="greaterThanOrEqual">
      <formula>0.5</formula>
    </cfRule>
  </conditionalFormatting>
  <conditionalFormatting sqref="AR25">
    <cfRule type="cellIs" dxfId="18345" priority="132240" stopIfTrue="1" operator="equal">
      <formula>-1</formula>
    </cfRule>
  </conditionalFormatting>
  <conditionalFormatting sqref="AR25">
    <cfRule type="cellIs" dxfId="18344" priority="132241" stopIfTrue="1" operator="lessThan">
      <formula>0.5</formula>
    </cfRule>
  </conditionalFormatting>
  <conditionalFormatting sqref="AR25">
    <cfRule type="cellIs" dxfId="18343" priority="132242" stopIfTrue="1" operator="greaterThanOrEqual">
      <formula>0.5</formula>
    </cfRule>
  </conditionalFormatting>
  <conditionalFormatting sqref="AR26">
    <cfRule type="cellIs" dxfId="18342" priority="132243" stopIfTrue="1" operator="equal">
      <formula>-1</formula>
    </cfRule>
  </conditionalFormatting>
  <conditionalFormatting sqref="AR26">
    <cfRule type="cellIs" dxfId="18341" priority="132244" stopIfTrue="1" operator="lessThan">
      <formula>0.5</formula>
    </cfRule>
  </conditionalFormatting>
  <conditionalFormatting sqref="AR26">
    <cfRule type="cellIs" dxfId="18340" priority="132245" stopIfTrue="1" operator="greaterThanOrEqual">
      <formula>0.5</formula>
    </cfRule>
  </conditionalFormatting>
  <conditionalFormatting sqref="AR27">
    <cfRule type="cellIs" dxfId="18339" priority="132246" stopIfTrue="1" operator="equal">
      <formula>-1</formula>
    </cfRule>
  </conditionalFormatting>
  <conditionalFormatting sqref="AR27">
    <cfRule type="cellIs" dxfId="18338" priority="132247" stopIfTrue="1" operator="lessThan">
      <formula>0.5</formula>
    </cfRule>
  </conditionalFormatting>
  <conditionalFormatting sqref="AR27">
    <cfRule type="cellIs" dxfId="18337" priority="132248" stopIfTrue="1" operator="greaterThanOrEqual">
      <formula>0.5</formula>
    </cfRule>
  </conditionalFormatting>
  <conditionalFormatting sqref="AR28">
    <cfRule type="cellIs" dxfId="18336" priority="132249" stopIfTrue="1" operator="equal">
      <formula>-1</formula>
    </cfRule>
  </conditionalFormatting>
  <conditionalFormatting sqref="AR28">
    <cfRule type="cellIs" dxfId="18335" priority="132250" stopIfTrue="1" operator="lessThan">
      <formula>0.5</formula>
    </cfRule>
  </conditionalFormatting>
  <conditionalFormatting sqref="AR28">
    <cfRule type="cellIs" dxfId="18334" priority="132251" stopIfTrue="1" operator="greaterThanOrEqual">
      <formula>0.5</formula>
    </cfRule>
  </conditionalFormatting>
  <conditionalFormatting sqref="AR29">
    <cfRule type="cellIs" dxfId="18333" priority="132252" stopIfTrue="1" operator="equal">
      <formula>-1</formula>
    </cfRule>
  </conditionalFormatting>
  <conditionalFormatting sqref="AR29">
    <cfRule type="cellIs" dxfId="18332" priority="132253" stopIfTrue="1" operator="lessThan">
      <formula>0.5</formula>
    </cfRule>
  </conditionalFormatting>
  <conditionalFormatting sqref="AR29">
    <cfRule type="cellIs" dxfId="18331" priority="132254" stopIfTrue="1" operator="greaterThanOrEqual">
      <formula>0.5</formula>
    </cfRule>
  </conditionalFormatting>
  <conditionalFormatting sqref="AR30">
    <cfRule type="cellIs" dxfId="18330" priority="132255" stopIfTrue="1" operator="equal">
      <formula>-1</formula>
    </cfRule>
  </conditionalFormatting>
  <conditionalFormatting sqref="AR30">
    <cfRule type="cellIs" dxfId="18329" priority="132256" stopIfTrue="1" operator="lessThan">
      <formula>0.5</formula>
    </cfRule>
  </conditionalFormatting>
  <conditionalFormatting sqref="AR30">
    <cfRule type="cellIs" dxfId="18328" priority="132257" stopIfTrue="1" operator="greaterThanOrEqual">
      <formula>0.5</formula>
    </cfRule>
  </conditionalFormatting>
  <conditionalFormatting sqref="AR31">
    <cfRule type="cellIs" dxfId="18327" priority="132258" stopIfTrue="1" operator="equal">
      <formula>-1</formula>
    </cfRule>
  </conditionalFormatting>
  <conditionalFormatting sqref="AR31">
    <cfRule type="cellIs" dxfId="18326" priority="132259" stopIfTrue="1" operator="lessThan">
      <formula>0.5</formula>
    </cfRule>
  </conditionalFormatting>
  <conditionalFormatting sqref="AR31">
    <cfRule type="cellIs" dxfId="18325" priority="132260" stopIfTrue="1" operator="greaterThanOrEqual">
      <formula>0.5</formula>
    </cfRule>
  </conditionalFormatting>
  <conditionalFormatting sqref="AR32">
    <cfRule type="cellIs" dxfId="18324" priority="132261" stopIfTrue="1" operator="equal">
      <formula>-1</formula>
    </cfRule>
  </conditionalFormatting>
  <conditionalFormatting sqref="AR32">
    <cfRule type="cellIs" dxfId="18323" priority="132262" stopIfTrue="1" operator="lessThan">
      <formula>0.5</formula>
    </cfRule>
  </conditionalFormatting>
  <conditionalFormatting sqref="AR32">
    <cfRule type="cellIs" dxfId="18322" priority="132263" stopIfTrue="1" operator="greaterThanOrEqual">
      <formula>0.5</formula>
    </cfRule>
  </conditionalFormatting>
  <conditionalFormatting sqref="AR33">
    <cfRule type="cellIs" dxfId="18321" priority="132264" stopIfTrue="1" operator="equal">
      <formula>-1</formula>
    </cfRule>
  </conditionalFormatting>
  <conditionalFormatting sqref="AR33">
    <cfRule type="cellIs" dxfId="18320" priority="132265" stopIfTrue="1" operator="lessThan">
      <formula>0.5</formula>
    </cfRule>
  </conditionalFormatting>
  <conditionalFormatting sqref="AR33">
    <cfRule type="cellIs" dxfId="18319" priority="132266" stopIfTrue="1" operator="greaterThanOrEqual">
      <formula>0.5</formula>
    </cfRule>
  </conditionalFormatting>
  <conditionalFormatting sqref="AR34">
    <cfRule type="cellIs" dxfId="18318" priority="132267" stopIfTrue="1" operator="equal">
      <formula>-1</formula>
    </cfRule>
  </conditionalFormatting>
  <conditionalFormatting sqref="AR34">
    <cfRule type="cellIs" dxfId="18317" priority="132268" stopIfTrue="1" operator="lessThan">
      <formula>0.5</formula>
    </cfRule>
  </conditionalFormatting>
  <conditionalFormatting sqref="AR34">
    <cfRule type="cellIs" dxfId="18316" priority="132269" stopIfTrue="1" operator="greaterThanOrEqual">
      <formula>0.5</formula>
    </cfRule>
  </conditionalFormatting>
  <conditionalFormatting sqref="AR35">
    <cfRule type="cellIs" dxfId="18315" priority="132270" stopIfTrue="1" operator="equal">
      <formula>-1</formula>
    </cfRule>
  </conditionalFormatting>
  <conditionalFormatting sqref="AR35">
    <cfRule type="cellIs" dxfId="18314" priority="132271" stopIfTrue="1" operator="lessThan">
      <formula>0.5</formula>
    </cfRule>
  </conditionalFormatting>
  <conditionalFormatting sqref="AR35">
    <cfRule type="cellIs" dxfId="18313" priority="132272" stopIfTrue="1" operator="greaterThanOrEqual">
      <formula>0.5</formula>
    </cfRule>
  </conditionalFormatting>
  <conditionalFormatting sqref="AR36">
    <cfRule type="cellIs" dxfId="18312" priority="132273" stopIfTrue="1" operator="equal">
      <formula>-1</formula>
    </cfRule>
  </conditionalFormatting>
  <conditionalFormatting sqref="AR36">
    <cfRule type="cellIs" dxfId="18311" priority="132274" stopIfTrue="1" operator="lessThan">
      <formula>0.5</formula>
    </cfRule>
  </conditionalFormatting>
  <conditionalFormatting sqref="AR36">
    <cfRule type="cellIs" dxfId="18310" priority="132275" stopIfTrue="1" operator="greaterThanOrEqual">
      <formula>0.5</formula>
    </cfRule>
  </conditionalFormatting>
  <conditionalFormatting sqref="AR37">
    <cfRule type="cellIs" dxfId="18309" priority="132276" stopIfTrue="1" operator="equal">
      <formula>-1</formula>
    </cfRule>
  </conditionalFormatting>
  <conditionalFormatting sqref="AR37">
    <cfRule type="cellIs" dxfId="18308" priority="132277" stopIfTrue="1" operator="lessThan">
      <formula>0.5</formula>
    </cfRule>
  </conditionalFormatting>
  <conditionalFormatting sqref="AR37">
    <cfRule type="cellIs" dxfId="18307" priority="132278" stopIfTrue="1" operator="greaterThanOrEqual">
      <formula>0.5</formula>
    </cfRule>
  </conditionalFormatting>
  <conditionalFormatting sqref="AT17">
    <cfRule type="cellIs" dxfId="18306" priority="132279" stopIfTrue="1" operator="equal">
      <formula>-1</formula>
    </cfRule>
  </conditionalFormatting>
  <conditionalFormatting sqref="AT17">
    <cfRule type="cellIs" dxfId="18305" priority="132280" stopIfTrue="1" operator="lessThan">
      <formula>0.5</formula>
    </cfRule>
  </conditionalFormatting>
  <conditionalFormatting sqref="AT17">
    <cfRule type="cellIs" dxfId="18304" priority="132281" stopIfTrue="1" operator="greaterThanOrEqual">
      <formula>0.5</formula>
    </cfRule>
  </conditionalFormatting>
  <conditionalFormatting sqref="AT18">
    <cfRule type="cellIs" dxfId="18303" priority="132282" stopIfTrue="1" operator="equal">
      <formula>-1</formula>
    </cfRule>
  </conditionalFormatting>
  <conditionalFormatting sqref="AT18">
    <cfRule type="cellIs" dxfId="18302" priority="132283" stopIfTrue="1" operator="lessThan">
      <formula>0.5</formula>
    </cfRule>
  </conditionalFormatting>
  <conditionalFormatting sqref="AT18">
    <cfRule type="cellIs" dxfId="18301" priority="132284" stopIfTrue="1" operator="greaterThanOrEqual">
      <formula>0.5</formula>
    </cfRule>
  </conditionalFormatting>
  <conditionalFormatting sqref="AT19">
    <cfRule type="cellIs" dxfId="18300" priority="132285" stopIfTrue="1" operator="equal">
      <formula>-1</formula>
    </cfRule>
  </conditionalFormatting>
  <conditionalFormatting sqref="AT19">
    <cfRule type="cellIs" dxfId="18299" priority="132286" stopIfTrue="1" operator="lessThan">
      <formula>0.5</formula>
    </cfRule>
  </conditionalFormatting>
  <conditionalFormatting sqref="AT19">
    <cfRule type="cellIs" dxfId="18298" priority="132287" stopIfTrue="1" operator="greaterThanOrEqual">
      <formula>0.5</formula>
    </cfRule>
  </conditionalFormatting>
  <conditionalFormatting sqref="AT20">
    <cfRule type="cellIs" dxfId="18297" priority="132288" stopIfTrue="1" operator="equal">
      <formula>-1</formula>
    </cfRule>
  </conditionalFormatting>
  <conditionalFormatting sqref="AT20">
    <cfRule type="cellIs" dxfId="18296" priority="132289" stopIfTrue="1" operator="lessThan">
      <formula>0.5</formula>
    </cfRule>
  </conditionalFormatting>
  <conditionalFormatting sqref="AT20">
    <cfRule type="cellIs" dxfId="18295" priority="132290" stopIfTrue="1" operator="greaterThanOrEqual">
      <formula>0.5</formula>
    </cfRule>
  </conditionalFormatting>
  <conditionalFormatting sqref="AT21">
    <cfRule type="cellIs" dxfId="18294" priority="132291" stopIfTrue="1" operator="equal">
      <formula>-1</formula>
    </cfRule>
  </conditionalFormatting>
  <conditionalFormatting sqref="AT21">
    <cfRule type="cellIs" dxfId="18293" priority="132292" stopIfTrue="1" operator="lessThan">
      <formula>0.5</formula>
    </cfRule>
  </conditionalFormatting>
  <conditionalFormatting sqref="AT21">
    <cfRule type="cellIs" dxfId="18292" priority="132293" stopIfTrue="1" operator="greaterThanOrEqual">
      <formula>0.5</formula>
    </cfRule>
  </conditionalFormatting>
  <conditionalFormatting sqref="AT22">
    <cfRule type="cellIs" dxfId="18291" priority="132294" stopIfTrue="1" operator="equal">
      <formula>-1</formula>
    </cfRule>
  </conditionalFormatting>
  <conditionalFormatting sqref="AT22">
    <cfRule type="cellIs" dxfId="18290" priority="132295" stopIfTrue="1" operator="lessThan">
      <formula>0.5</formula>
    </cfRule>
  </conditionalFormatting>
  <conditionalFormatting sqref="AT22">
    <cfRule type="cellIs" dxfId="18289" priority="132296" stopIfTrue="1" operator="greaterThanOrEqual">
      <formula>0.5</formula>
    </cfRule>
  </conditionalFormatting>
  <conditionalFormatting sqref="AT23">
    <cfRule type="cellIs" dxfId="18288" priority="132297" stopIfTrue="1" operator="equal">
      <formula>-1</formula>
    </cfRule>
  </conditionalFormatting>
  <conditionalFormatting sqref="AT23">
    <cfRule type="cellIs" dxfId="18287" priority="132298" stopIfTrue="1" operator="lessThan">
      <formula>0.5</formula>
    </cfRule>
  </conditionalFormatting>
  <conditionalFormatting sqref="AT23">
    <cfRule type="cellIs" dxfId="18286" priority="132299" stopIfTrue="1" operator="greaterThanOrEqual">
      <formula>0.5</formula>
    </cfRule>
  </conditionalFormatting>
  <conditionalFormatting sqref="AT24">
    <cfRule type="cellIs" dxfId="18285" priority="132300" stopIfTrue="1" operator="equal">
      <formula>-1</formula>
    </cfRule>
  </conditionalFormatting>
  <conditionalFormatting sqref="AT24">
    <cfRule type="cellIs" dxfId="18284" priority="132301" stopIfTrue="1" operator="lessThan">
      <formula>0.5</formula>
    </cfRule>
  </conditionalFormatting>
  <conditionalFormatting sqref="AT24">
    <cfRule type="cellIs" dxfId="18283" priority="132302" stopIfTrue="1" operator="greaterThanOrEqual">
      <formula>0.5</formula>
    </cfRule>
  </conditionalFormatting>
  <conditionalFormatting sqref="AT25">
    <cfRule type="cellIs" dxfId="18282" priority="132303" stopIfTrue="1" operator="equal">
      <formula>-1</formula>
    </cfRule>
  </conditionalFormatting>
  <conditionalFormatting sqref="AT25">
    <cfRule type="cellIs" dxfId="18281" priority="132304" stopIfTrue="1" operator="lessThan">
      <formula>0.5</formula>
    </cfRule>
  </conditionalFormatting>
  <conditionalFormatting sqref="AT25">
    <cfRule type="cellIs" dxfId="18280" priority="132305" stopIfTrue="1" operator="greaterThanOrEqual">
      <formula>0.5</formula>
    </cfRule>
  </conditionalFormatting>
  <conditionalFormatting sqref="AT26">
    <cfRule type="cellIs" dxfId="18279" priority="132306" stopIfTrue="1" operator="equal">
      <formula>-1</formula>
    </cfRule>
  </conditionalFormatting>
  <conditionalFormatting sqref="AT26">
    <cfRule type="cellIs" dxfId="18278" priority="132307" stopIfTrue="1" operator="lessThan">
      <formula>0.5</formula>
    </cfRule>
  </conditionalFormatting>
  <conditionalFormatting sqref="AT26">
    <cfRule type="cellIs" dxfId="18277" priority="132308" stopIfTrue="1" operator="greaterThanOrEqual">
      <formula>0.5</formula>
    </cfRule>
  </conditionalFormatting>
  <conditionalFormatting sqref="AT27">
    <cfRule type="cellIs" dxfId="18276" priority="132309" stopIfTrue="1" operator="equal">
      <formula>-1</formula>
    </cfRule>
  </conditionalFormatting>
  <conditionalFormatting sqref="AT27">
    <cfRule type="cellIs" dxfId="18275" priority="132310" stopIfTrue="1" operator="lessThan">
      <formula>0.5</formula>
    </cfRule>
  </conditionalFormatting>
  <conditionalFormatting sqref="AT27">
    <cfRule type="cellIs" dxfId="18274" priority="132311" stopIfTrue="1" operator="greaterThanOrEqual">
      <formula>0.5</formula>
    </cfRule>
  </conditionalFormatting>
  <conditionalFormatting sqref="AT28">
    <cfRule type="cellIs" dxfId="18273" priority="132312" stopIfTrue="1" operator="equal">
      <formula>-1</formula>
    </cfRule>
  </conditionalFormatting>
  <conditionalFormatting sqref="AT28">
    <cfRule type="cellIs" dxfId="18272" priority="132313" stopIfTrue="1" operator="lessThan">
      <formula>0.5</formula>
    </cfRule>
  </conditionalFormatting>
  <conditionalFormatting sqref="AT28">
    <cfRule type="cellIs" dxfId="18271" priority="132314" stopIfTrue="1" operator="greaterThanOrEqual">
      <formula>0.5</formula>
    </cfRule>
  </conditionalFormatting>
  <conditionalFormatting sqref="AT29">
    <cfRule type="cellIs" dxfId="18270" priority="132315" stopIfTrue="1" operator="equal">
      <formula>-1</formula>
    </cfRule>
  </conditionalFormatting>
  <conditionalFormatting sqref="AT29">
    <cfRule type="cellIs" dxfId="18269" priority="132316" stopIfTrue="1" operator="lessThan">
      <formula>0.5</formula>
    </cfRule>
  </conditionalFormatting>
  <conditionalFormatting sqref="AT29">
    <cfRule type="cellIs" dxfId="18268" priority="132317" stopIfTrue="1" operator="greaterThanOrEqual">
      <formula>0.5</formula>
    </cfRule>
  </conditionalFormatting>
  <conditionalFormatting sqref="AT30">
    <cfRule type="cellIs" dxfId="18267" priority="132318" stopIfTrue="1" operator="equal">
      <formula>-1</formula>
    </cfRule>
  </conditionalFormatting>
  <conditionalFormatting sqref="AT30">
    <cfRule type="cellIs" dxfId="18266" priority="132319" stopIfTrue="1" operator="lessThan">
      <formula>0.5</formula>
    </cfRule>
  </conditionalFormatting>
  <conditionalFormatting sqref="AT30">
    <cfRule type="cellIs" dxfId="18265" priority="132320" stopIfTrue="1" operator="greaterThanOrEqual">
      <formula>0.5</formula>
    </cfRule>
  </conditionalFormatting>
  <conditionalFormatting sqref="AT31">
    <cfRule type="cellIs" dxfId="18264" priority="132321" stopIfTrue="1" operator="equal">
      <formula>-1</formula>
    </cfRule>
  </conditionalFormatting>
  <conditionalFormatting sqref="AT31">
    <cfRule type="cellIs" dxfId="18263" priority="132322" stopIfTrue="1" operator="lessThan">
      <formula>0.5</formula>
    </cfRule>
  </conditionalFormatting>
  <conditionalFormatting sqref="AT31">
    <cfRule type="cellIs" dxfId="18262" priority="132323" stopIfTrue="1" operator="greaterThanOrEqual">
      <formula>0.5</formula>
    </cfRule>
  </conditionalFormatting>
  <conditionalFormatting sqref="AT32">
    <cfRule type="cellIs" dxfId="18261" priority="132324" stopIfTrue="1" operator="equal">
      <formula>-1</formula>
    </cfRule>
  </conditionalFormatting>
  <conditionalFormatting sqref="AT32">
    <cfRule type="cellIs" dxfId="18260" priority="132325" stopIfTrue="1" operator="lessThan">
      <formula>0.5</formula>
    </cfRule>
  </conditionalFormatting>
  <conditionalFormatting sqref="AT32">
    <cfRule type="cellIs" dxfId="18259" priority="132326" stopIfTrue="1" operator="greaterThanOrEqual">
      <formula>0.5</formula>
    </cfRule>
  </conditionalFormatting>
  <conditionalFormatting sqref="AT33">
    <cfRule type="cellIs" dxfId="18258" priority="132327" stopIfTrue="1" operator="equal">
      <formula>-1</formula>
    </cfRule>
  </conditionalFormatting>
  <conditionalFormatting sqref="AT33">
    <cfRule type="cellIs" dxfId="18257" priority="132328" stopIfTrue="1" operator="lessThan">
      <formula>0.5</formula>
    </cfRule>
  </conditionalFormatting>
  <conditionalFormatting sqref="AT33">
    <cfRule type="cellIs" dxfId="18256" priority="132329" stopIfTrue="1" operator="greaterThanOrEqual">
      <formula>0.5</formula>
    </cfRule>
  </conditionalFormatting>
  <conditionalFormatting sqref="AT34">
    <cfRule type="cellIs" dxfId="18255" priority="132330" stopIfTrue="1" operator="equal">
      <formula>-1</formula>
    </cfRule>
  </conditionalFormatting>
  <conditionalFormatting sqref="AT34">
    <cfRule type="cellIs" dxfId="18254" priority="132331" stopIfTrue="1" operator="lessThan">
      <formula>0.5</formula>
    </cfRule>
  </conditionalFormatting>
  <conditionalFormatting sqref="AT34">
    <cfRule type="cellIs" dxfId="18253" priority="132332" stopIfTrue="1" operator="greaterThanOrEqual">
      <formula>0.5</formula>
    </cfRule>
  </conditionalFormatting>
  <conditionalFormatting sqref="AT35">
    <cfRule type="cellIs" dxfId="18252" priority="132333" stopIfTrue="1" operator="equal">
      <formula>-1</formula>
    </cfRule>
  </conditionalFormatting>
  <conditionalFormatting sqref="AT35">
    <cfRule type="cellIs" dxfId="18251" priority="132334" stopIfTrue="1" operator="lessThan">
      <formula>0.5</formula>
    </cfRule>
  </conditionalFormatting>
  <conditionalFormatting sqref="AT35">
    <cfRule type="cellIs" dxfId="18250" priority="132335" stopIfTrue="1" operator="greaterThanOrEqual">
      <formula>0.5</formula>
    </cfRule>
  </conditionalFormatting>
  <conditionalFormatting sqref="AT36">
    <cfRule type="cellIs" dxfId="18249" priority="132336" stopIfTrue="1" operator="equal">
      <formula>-1</formula>
    </cfRule>
  </conditionalFormatting>
  <conditionalFormatting sqref="AT36">
    <cfRule type="cellIs" dxfId="18248" priority="132337" stopIfTrue="1" operator="lessThan">
      <formula>0.5</formula>
    </cfRule>
  </conditionalFormatting>
  <conditionalFormatting sqref="AT36">
    <cfRule type="cellIs" dxfId="18247" priority="132338" stopIfTrue="1" operator="greaterThanOrEqual">
      <formula>0.5</formula>
    </cfRule>
  </conditionalFormatting>
  <conditionalFormatting sqref="AT37">
    <cfRule type="cellIs" dxfId="18246" priority="132339" stopIfTrue="1" operator="equal">
      <formula>-1</formula>
    </cfRule>
  </conditionalFormatting>
  <conditionalFormatting sqref="AT37">
    <cfRule type="cellIs" dxfId="18245" priority="132340" stopIfTrue="1" operator="lessThan">
      <formula>0.5</formula>
    </cfRule>
  </conditionalFormatting>
  <conditionalFormatting sqref="AT37">
    <cfRule type="cellIs" dxfId="18244" priority="132341" stopIfTrue="1" operator="greaterThanOrEqual">
      <formula>0.5</formula>
    </cfRule>
  </conditionalFormatting>
  <conditionalFormatting sqref="AV17">
    <cfRule type="cellIs" dxfId="18243" priority="132342" stopIfTrue="1" operator="equal">
      <formula>-1</formula>
    </cfRule>
  </conditionalFormatting>
  <conditionalFormatting sqref="AV17">
    <cfRule type="cellIs" dxfId="18242" priority="132343" stopIfTrue="1" operator="lessThan">
      <formula>0.5</formula>
    </cfRule>
  </conditionalFormatting>
  <conditionalFormatting sqref="AV17">
    <cfRule type="cellIs" dxfId="18241" priority="132344" stopIfTrue="1" operator="greaterThanOrEqual">
      <formula>0.5</formula>
    </cfRule>
  </conditionalFormatting>
  <conditionalFormatting sqref="AV18">
    <cfRule type="cellIs" dxfId="18240" priority="132345" stopIfTrue="1" operator="equal">
      <formula>-1</formula>
    </cfRule>
  </conditionalFormatting>
  <conditionalFormatting sqref="AV18">
    <cfRule type="cellIs" dxfId="18239" priority="132346" stopIfTrue="1" operator="lessThan">
      <formula>0.5</formula>
    </cfRule>
  </conditionalFormatting>
  <conditionalFormatting sqref="AV18">
    <cfRule type="cellIs" dxfId="18238" priority="132347" stopIfTrue="1" operator="greaterThanOrEqual">
      <formula>0.5</formula>
    </cfRule>
  </conditionalFormatting>
  <conditionalFormatting sqref="AV19">
    <cfRule type="cellIs" dxfId="18237" priority="132348" stopIfTrue="1" operator="equal">
      <formula>-1</formula>
    </cfRule>
  </conditionalFormatting>
  <conditionalFormatting sqref="AV19">
    <cfRule type="cellIs" dxfId="18236" priority="132349" stopIfTrue="1" operator="lessThan">
      <formula>0.5</formula>
    </cfRule>
  </conditionalFormatting>
  <conditionalFormatting sqref="AV19">
    <cfRule type="cellIs" dxfId="18235" priority="132350" stopIfTrue="1" operator="greaterThanOrEqual">
      <formula>0.5</formula>
    </cfRule>
  </conditionalFormatting>
  <conditionalFormatting sqref="AV20">
    <cfRule type="cellIs" dxfId="18234" priority="132351" stopIfTrue="1" operator="equal">
      <formula>-1</formula>
    </cfRule>
  </conditionalFormatting>
  <conditionalFormatting sqref="AV20">
    <cfRule type="cellIs" dxfId="18233" priority="132352" stopIfTrue="1" operator="lessThan">
      <formula>0.5</formula>
    </cfRule>
  </conditionalFormatting>
  <conditionalFormatting sqref="AV20">
    <cfRule type="cellIs" dxfId="18232" priority="132353" stopIfTrue="1" operator="greaterThanOrEqual">
      <formula>0.5</formula>
    </cfRule>
  </conditionalFormatting>
  <conditionalFormatting sqref="AV21">
    <cfRule type="cellIs" dxfId="18231" priority="132354" stopIfTrue="1" operator="equal">
      <formula>-1</formula>
    </cfRule>
  </conditionalFormatting>
  <conditionalFormatting sqref="AV21">
    <cfRule type="cellIs" dxfId="18230" priority="132355" stopIfTrue="1" operator="lessThan">
      <formula>0.5</formula>
    </cfRule>
  </conditionalFormatting>
  <conditionalFormatting sqref="AV21">
    <cfRule type="cellIs" dxfId="18229" priority="132356" stopIfTrue="1" operator="greaterThanOrEqual">
      <formula>0.5</formula>
    </cfRule>
  </conditionalFormatting>
  <conditionalFormatting sqref="AV22">
    <cfRule type="cellIs" dxfId="18228" priority="132357" stopIfTrue="1" operator="equal">
      <formula>-1</formula>
    </cfRule>
  </conditionalFormatting>
  <conditionalFormatting sqref="AV22">
    <cfRule type="cellIs" dxfId="18227" priority="132358" stopIfTrue="1" operator="lessThan">
      <formula>0.5</formula>
    </cfRule>
  </conditionalFormatting>
  <conditionalFormatting sqref="AV22">
    <cfRule type="cellIs" dxfId="18226" priority="132359" stopIfTrue="1" operator="greaterThanOrEqual">
      <formula>0.5</formula>
    </cfRule>
  </conditionalFormatting>
  <conditionalFormatting sqref="AV23">
    <cfRule type="cellIs" dxfId="18225" priority="132360" stopIfTrue="1" operator="equal">
      <formula>-1</formula>
    </cfRule>
  </conditionalFormatting>
  <conditionalFormatting sqref="AV23">
    <cfRule type="cellIs" dxfId="18224" priority="132361" stopIfTrue="1" operator="lessThan">
      <formula>0.5</formula>
    </cfRule>
  </conditionalFormatting>
  <conditionalFormatting sqref="AV23">
    <cfRule type="cellIs" dxfId="18223" priority="132362" stopIfTrue="1" operator="greaterThanOrEqual">
      <formula>0.5</formula>
    </cfRule>
  </conditionalFormatting>
  <conditionalFormatting sqref="AV24">
    <cfRule type="cellIs" dxfId="18222" priority="132363" stopIfTrue="1" operator="equal">
      <formula>-1</formula>
    </cfRule>
  </conditionalFormatting>
  <conditionalFormatting sqref="AV24">
    <cfRule type="cellIs" dxfId="18221" priority="132364" stopIfTrue="1" operator="lessThan">
      <formula>0.5</formula>
    </cfRule>
  </conditionalFormatting>
  <conditionalFormatting sqref="AV24">
    <cfRule type="cellIs" dxfId="18220" priority="132365" stopIfTrue="1" operator="greaterThanOrEqual">
      <formula>0.5</formula>
    </cfRule>
  </conditionalFormatting>
  <conditionalFormatting sqref="AV25">
    <cfRule type="cellIs" dxfId="18219" priority="132366" stopIfTrue="1" operator="equal">
      <formula>-1</formula>
    </cfRule>
  </conditionalFormatting>
  <conditionalFormatting sqref="AV25">
    <cfRule type="cellIs" dxfId="18218" priority="132367" stopIfTrue="1" operator="lessThan">
      <formula>0.5</formula>
    </cfRule>
  </conditionalFormatting>
  <conditionalFormatting sqref="AV25">
    <cfRule type="cellIs" dxfId="18217" priority="132368" stopIfTrue="1" operator="greaterThanOrEqual">
      <formula>0.5</formula>
    </cfRule>
  </conditionalFormatting>
  <conditionalFormatting sqref="AV26">
    <cfRule type="cellIs" dxfId="18216" priority="132369" stopIfTrue="1" operator="equal">
      <formula>-1</formula>
    </cfRule>
  </conditionalFormatting>
  <conditionalFormatting sqref="AV26">
    <cfRule type="cellIs" dxfId="18215" priority="132370" stopIfTrue="1" operator="lessThan">
      <formula>0.5</formula>
    </cfRule>
  </conditionalFormatting>
  <conditionalFormatting sqref="AV26">
    <cfRule type="cellIs" dxfId="18214" priority="132371" stopIfTrue="1" operator="greaterThanOrEqual">
      <formula>0.5</formula>
    </cfRule>
  </conditionalFormatting>
  <conditionalFormatting sqref="AV27">
    <cfRule type="cellIs" dxfId="18213" priority="132372" stopIfTrue="1" operator="equal">
      <formula>-1</formula>
    </cfRule>
  </conditionalFormatting>
  <conditionalFormatting sqref="AV27">
    <cfRule type="cellIs" dxfId="18212" priority="132373" stopIfTrue="1" operator="lessThan">
      <formula>0.5</formula>
    </cfRule>
  </conditionalFormatting>
  <conditionalFormatting sqref="AV27">
    <cfRule type="cellIs" dxfId="18211" priority="132374" stopIfTrue="1" operator="greaterThanOrEqual">
      <formula>0.5</formula>
    </cfRule>
  </conditionalFormatting>
  <conditionalFormatting sqref="AV28">
    <cfRule type="cellIs" dxfId="18210" priority="132375" stopIfTrue="1" operator="equal">
      <formula>-1</formula>
    </cfRule>
  </conditionalFormatting>
  <conditionalFormatting sqref="AV28">
    <cfRule type="cellIs" dxfId="18209" priority="132376" stopIfTrue="1" operator="lessThan">
      <formula>0.5</formula>
    </cfRule>
  </conditionalFormatting>
  <conditionalFormatting sqref="AV28">
    <cfRule type="cellIs" dxfId="18208" priority="132377" stopIfTrue="1" operator="greaterThanOrEqual">
      <formula>0.5</formula>
    </cfRule>
  </conditionalFormatting>
  <conditionalFormatting sqref="AV29">
    <cfRule type="cellIs" dxfId="18207" priority="132378" stopIfTrue="1" operator="equal">
      <formula>-1</formula>
    </cfRule>
  </conditionalFormatting>
  <conditionalFormatting sqref="AV29">
    <cfRule type="cellIs" dxfId="18206" priority="132379" stopIfTrue="1" operator="lessThan">
      <formula>0.5</formula>
    </cfRule>
  </conditionalFormatting>
  <conditionalFormatting sqref="AV29">
    <cfRule type="cellIs" dxfId="18205" priority="132380" stopIfTrue="1" operator="greaterThanOrEqual">
      <formula>0.5</formula>
    </cfRule>
  </conditionalFormatting>
  <conditionalFormatting sqref="AV30">
    <cfRule type="cellIs" dxfId="18204" priority="132381" stopIfTrue="1" operator="equal">
      <formula>-1</formula>
    </cfRule>
  </conditionalFormatting>
  <conditionalFormatting sqref="AV30">
    <cfRule type="cellIs" dxfId="18203" priority="132382" stopIfTrue="1" operator="lessThan">
      <formula>0.5</formula>
    </cfRule>
  </conditionalFormatting>
  <conditionalFormatting sqref="AV30">
    <cfRule type="cellIs" dxfId="18202" priority="132383" stopIfTrue="1" operator="greaterThanOrEqual">
      <formula>0.5</formula>
    </cfRule>
  </conditionalFormatting>
  <conditionalFormatting sqref="AV31">
    <cfRule type="cellIs" dxfId="18201" priority="132384" stopIfTrue="1" operator="equal">
      <formula>-1</formula>
    </cfRule>
  </conditionalFormatting>
  <conditionalFormatting sqref="AV31">
    <cfRule type="cellIs" dxfId="18200" priority="132385" stopIfTrue="1" operator="lessThan">
      <formula>0.5</formula>
    </cfRule>
  </conditionalFormatting>
  <conditionalFormatting sqref="AV31">
    <cfRule type="cellIs" dxfId="18199" priority="132386" stopIfTrue="1" operator="greaterThanOrEqual">
      <formula>0.5</formula>
    </cfRule>
  </conditionalFormatting>
  <conditionalFormatting sqref="AV32">
    <cfRule type="cellIs" dxfId="18198" priority="132387" stopIfTrue="1" operator="equal">
      <formula>-1</formula>
    </cfRule>
  </conditionalFormatting>
  <conditionalFormatting sqref="AV32">
    <cfRule type="cellIs" dxfId="18197" priority="132388" stopIfTrue="1" operator="lessThan">
      <formula>0.5</formula>
    </cfRule>
  </conditionalFormatting>
  <conditionalFormatting sqref="AV32">
    <cfRule type="cellIs" dxfId="18196" priority="132389" stopIfTrue="1" operator="greaterThanOrEqual">
      <formula>0.5</formula>
    </cfRule>
  </conditionalFormatting>
  <conditionalFormatting sqref="AV33">
    <cfRule type="cellIs" dxfId="18195" priority="132390" stopIfTrue="1" operator="equal">
      <formula>-1</formula>
    </cfRule>
  </conditionalFormatting>
  <conditionalFormatting sqref="AV33">
    <cfRule type="cellIs" dxfId="18194" priority="132391" stopIfTrue="1" operator="lessThan">
      <formula>0.5</formula>
    </cfRule>
  </conditionalFormatting>
  <conditionalFormatting sqref="AV33">
    <cfRule type="cellIs" dxfId="18193" priority="132392" stopIfTrue="1" operator="greaterThanOrEqual">
      <formula>0.5</formula>
    </cfRule>
  </conditionalFormatting>
  <conditionalFormatting sqref="AV34">
    <cfRule type="cellIs" dxfId="18192" priority="132393" stopIfTrue="1" operator="equal">
      <formula>-1</formula>
    </cfRule>
  </conditionalFormatting>
  <conditionalFormatting sqref="AV34">
    <cfRule type="cellIs" dxfId="18191" priority="132394" stopIfTrue="1" operator="lessThan">
      <formula>0.5</formula>
    </cfRule>
  </conditionalFormatting>
  <conditionalFormatting sqref="AV34">
    <cfRule type="cellIs" dxfId="18190" priority="132395" stopIfTrue="1" operator="greaterThanOrEqual">
      <formula>0.5</formula>
    </cfRule>
  </conditionalFormatting>
  <conditionalFormatting sqref="AV35">
    <cfRule type="cellIs" dxfId="18189" priority="132396" stopIfTrue="1" operator="equal">
      <formula>-1</formula>
    </cfRule>
  </conditionalFormatting>
  <conditionalFormatting sqref="AV35">
    <cfRule type="cellIs" dxfId="18188" priority="132397" stopIfTrue="1" operator="lessThan">
      <formula>0.5</formula>
    </cfRule>
  </conditionalFormatting>
  <conditionalFormatting sqref="AV35">
    <cfRule type="cellIs" dxfId="18187" priority="132398" stopIfTrue="1" operator="greaterThanOrEqual">
      <formula>0.5</formula>
    </cfRule>
  </conditionalFormatting>
  <conditionalFormatting sqref="AV36">
    <cfRule type="cellIs" dxfId="18186" priority="132399" stopIfTrue="1" operator="equal">
      <formula>-1</formula>
    </cfRule>
  </conditionalFormatting>
  <conditionalFormatting sqref="AV36">
    <cfRule type="cellIs" dxfId="18185" priority="132400" stopIfTrue="1" operator="lessThan">
      <formula>0.5</formula>
    </cfRule>
  </conditionalFormatting>
  <conditionalFormatting sqref="AV36">
    <cfRule type="cellIs" dxfId="18184" priority="132401" stopIfTrue="1" operator="greaterThanOrEqual">
      <formula>0.5</formula>
    </cfRule>
  </conditionalFormatting>
  <conditionalFormatting sqref="AV37">
    <cfRule type="cellIs" dxfId="18183" priority="132402" stopIfTrue="1" operator="equal">
      <formula>-1</formula>
    </cfRule>
  </conditionalFormatting>
  <conditionalFormatting sqref="AV37">
    <cfRule type="cellIs" dxfId="18182" priority="132403" stopIfTrue="1" operator="lessThan">
      <formula>0.5</formula>
    </cfRule>
  </conditionalFormatting>
  <conditionalFormatting sqref="AV37">
    <cfRule type="cellIs" dxfId="18181" priority="132404" stopIfTrue="1" operator="greaterThanOrEqual">
      <formula>0.5</formula>
    </cfRule>
  </conditionalFormatting>
  <conditionalFormatting sqref="AX17">
    <cfRule type="cellIs" dxfId="18180" priority="132405" stopIfTrue="1" operator="equal">
      <formula>-1</formula>
    </cfRule>
  </conditionalFormatting>
  <conditionalFormatting sqref="AX17">
    <cfRule type="cellIs" dxfId="18179" priority="132406" stopIfTrue="1" operator="lessThan">
      <formula>0.5</formula>
    </cfRule>
  </conditionalFormatting>
  <conditionalFormatting sqref="AX17">
    <cfRule type="cellIs" dxfId="18178" priority="132407" stopIfTrue="1" operator="greaterThanOrEqual">
      <formula>0.5</formula>
    </cfRule>
  </conditionalFormatting>
  <conditionalFormatting sqref="AX18">
    <cfRule type="cellIs" dxfId="18177" priority="132408" stopIfTrue="1" operator="equal">
      <formula>-1</formula>
    </cfRule>
  </conditionalFormatting>
  <conditionalFormatting sqref="AX18">
    <cfRule type="cellIs" dxfId="18176" priority="132409" stopIfTrue="1" operator="lessThan">
      <formula>0.5</formula>
    </cfRule>
  </conditionalFormatting>
  <conditionalFormatting sqref="AX18">
    <cfRule type="cellIs" dxfId="18175" priority="132410" stopIfTrue="1" operator="greaterThanOrEqual">
      <formula>0.5</formula>
    </cfRule>
  </conditionalFormatting>
  <conditionalFormatting sqref="AX19">
    <cfRule type="cellIs" dxfId="18174" priority="132411" stopIfTrue="1" operator="equal">
      <formula>-1</formula>
    </cfRule>
  </conditionalFormatting>
  <conditionalFormatting sqref="AX19">
    <cfRule type="cellIs" dxfId="18173" priority="132412" stopIfTrue="1" operator="lessThan">
      <formula>0.5</formula>
    </cfRule>
  </conditionalFormatting>
  <conditionalFormatting sqref="AX19">
    <cfRule type="cellIs" dxfId="18172" priority="132413" stopIfTrue="1" operator="greaterThanOrEqual">
      <formula>0.5</formula>
    </cfRule>
  </conditionalFormatting>
  <conditionalFormatting sqref="AX20">
    <cfRule type="cellIs" dxfId="18171" priority="132414" stopIfTrue="1" operator="equal">
      <formula>-1</formula>
    </cfRule>
  </conditionalFormatting>
  <conditionalFormatting sqref="AX20">
    <cfRule type="cellIs" dxfId="18170" priority="132415" stopIfTrue="1" operator="lessThan">
      <formula>0.5</formula>
    </cfRule>
  </conditionalFormatting>
  <conditionalFormatting sqref="AX20">
    <cfRule type="cellIs" dxfId="18169" priority="132416" stopIfTrue="1" operator="greaterThanOrEqual">
      <formula>0.5</formula>
    </cfRule>
  </conditionalFormatting>
  <conditionalFormatting sqref="AX21">
    <cfRule type="cellIs" dxfId="18168" priority="132417" stopIfTrue="1" operator="equal">
      <formula>-1</formula>
    </cfRule>
  </conditionalFormatting>
  <conditionalFormatting sqref="AX21">
    <cfRule type="cellIs" dxfId="18167" priority="132418" stopIfTrue="1" operator="lessThan">
      <formula>0.5</formula>
    </cfRule>
  </conditionalFormatting>
  <conditionalFormatting sqref="AX21">
    <cfRule type="cellIs" dxfId="18166" priority="132419" stopIfTrue="1" operator="greaterThanOrEqual">
      <formula>0.5</formula>
    </cfRule>
  </conditionalFormatting>
  <conditionalFormatting sqref="AX22">
    <cfRule type="cellIs" dxfId="18165" priority="132420" stopIfTrue="1" operator="equal">
      <formula>-1</formula>
    </cfRule>
  </conditionalFormatting>
  <conditionalFormatting sqref="AX22">
    <cfRule type="cellIs" dxfId="18164" priority="132421" stopIfTrue="1" operator="lessThan">
      <formula>0.5</formula>
    </cfRule>
  </conditionalFormatting>
  <conditionalFormatting sqref="AX22">
    <cfRule type="cellIs" dxfId="18163" priority="132422" stopIfTrue="1" operator="greaterThanOrEqual">
      <formula>0.5</formula>
    </cfRule>
  </conditionalFormatting>
  <conditionalFormatting sqref="AX23">
    <cfRule type="cellIs" dxfId="18162" priority="132423" stopIfTrue="1" operator="equal">
      <formula>-1</formula>
    </cfRule>
  </conditionalFormatting>
  <conditionalFormatting sqref="AX23">
    <cfRule type="cellIs" dxfId="18161" priority="132424" stopIfTrue="1" operator="lessThan">
      <formula>0.5</formula>
    </cfRule>
  </conditionalFormatting>
  <conditionalFormatting sqref="AX23">
    <cfRule type="cellIs" dxfId="18160" priority="132425" stopIfTrue="1" operator="greaterThanOrEqual">
      <formula>0.5</formula>
    </cfRule>
  </conditionalFormatting>
  <conditionalFormatting sqref="AX24">
    <cfRule type="cellIs" dxfId="18159" priority="132426" stopIfTrue="1" operator="equal">
      <formula>-1</formula>
    </cfRule>
  </conditionalFormatting>
  <conditionalFormatting sqref="AX24">
    <cfRule type="cellIs" dxfId="18158" priority="132427" stopIfTrue="1" operator="lessThan">
      <formula>0.5</formula>
    </cfRule>
  </conditionalFormatting>
  <conditionalFormatting sqref="AX24">
    <cfRule type="cellIs" dxfId="18157" priority="132428" stopIfTrue="1" operator="greaterThanOrEqual">
      <formula>0.5</formula>
    </cfRule>
  </conditionalFormatting>
  <conditionalFormatting sqref="AX25">
    <cfRule type="cellIs" dxfId="18156" priority="132429" stopIfTrue="1" operator="equal">
      <formula>-1</formula>
    </cfRule>
  </conditionalFormatting>
  <conditionalFormatting sqref="AX25">
    <cfRule type="cellIs" dxfId="18155" priority="132430" stopIfTrue="1" operator="lessThan">
      <formula>0.5</formula>
    </cfRule>
  </conditionalFormatting>
  <conditionalFormatting sqref="AX25">
    <cfRule type="cellIs" dxfId="18154" priority="132431" stopIfTrue="1" operator="greaterThanOrEqual">
      <formula>0.5</formula>
    </cfRule>
  </conditionalFormatting>
  <conditionalFormatting sqref="AX26">
    <cfRule type="cellIs" dxfId="18153" priority="132432" stopIfTrue="1" operator="equal">
      <formula>-1</formula>
    </cfRule>
  </conditionalFormatting>
  <conditionalFormatting sqref="AX26">
    <cfRule type="cellIs" dxfId="18152" priority="132433" stopIfTrue="1" operator="lessThan">
      <formula>0.5</formula>
    </cfRule>
  </conditionalFormatting>
  <conditionalFormatting sqref="AX26">
    <cfRule type="cellIs" dxfId="18151" priority="132434" stopIfTrue="1" operator="greaterThanOrEqual">
      <formula>0.5</formula>
    </cfRule>
  </conditionalFormatting>
  <conditionalFormatting sqref="AX27">
    <cfRule type="cellIs" dxfId="18150" priority="132435" stopIfTrue="1" operator="equal">
      <formula>-1</formula>
    </cfRule>
  </conditionalFormatting>
  <conditionalFormatting sqref="AX27">
    <cfRule type="cellIs" dxfId="18149" priority="132436" stopIfTrue="1" operator="lessThan">
      <formula>0.5</formula>
    </cfRule>
  </conditionalFormatting>
  <conditionalFormatting sqref="AX27">
    <cfRule type="cellIs" dxfId="18148" priority="132437" stopIfTrue="1" operator="greaterThanOrEqual">
      <formula>0.5</formula>
    </cfRule>
  </conditionalFormatting>
  <conditionalFormatting sqref="AX28">
    <cfRule type="cellIs" dxfId="18147" priority="132438" stopIfTrue="1" operator="equal">
      <formula>-1</formula>
    </cfRule>
  </conditionalFormatting>
  <conditionalFormatting sqref="AX28">
    <cfRule type="cellIs" dxfId="18146" priority="132439" stopIfTrue="1" operator="lessThan">
      <formula>0.5</formula>
    </cfRule>
  </conditionalFormatting>
  <conditionalFormatting sqref="AX28">
    <cfRule type="cellIs" dxfId="18145" priority="132440" stopIfTrue="1" operator="greaterThanOrEqual">
      <formula>0.5</formula>
    </cfRule>
  </conditionalFormatting>
  <conditionalFormatting sqref="AX29">
    <cfRule type="cellIs" dxfId="18144" priority="132441" stopIfTrue="1" operator="equal">
      <formula>-1</formula>
    </cfRule>
  </conditionalFormatting>
  <conditionalFormatting sqref="AX29">
    <cfRule type="cellIs" dxfId="18143" priority="132442" stopIfTrue="1" operator="lessThan">
      <formula>0.5</formula>
    </cfRule>
  </conditionalFormatting>
  <conditionalFormatting sqref="AX29">
    <cfRule type="cellIs" dxfId="18142" priority="132443" stopIfTrue="1" operator="greaterThanOrEqual">
      <formula>0.5</formula>
    </cfRule>
  </conditionalFormatting>
  <conditionalFormatting sqref="AX30">
    <cfRule type="cellIs" dxfId="18141" priority="132444" stopIfTrue="1" operator="equal">
      <formula>-1</formula>
    </cfRule>
  </conditionalFormatting>
  <conditionalFormatting sqref="AX30">
    <cfRule type="cellIs" dxfId="18140" priority="132445" stopIfTrue="1" operator="lessThan">
      <formula>0.5</formula>
    </cfRule>
  </conditionalFormatting>
  <conditionalFormatting sqref="AX30">
    <cfRule type="cellIs" dxfId="18139" priority="132446" stopIfTrue="1" operator="greaterThanOrEqual">
      <formula>0.5</formula>
    </cfRule>
  </conditionalFormatting>
  <conditionalFormatting sqref="AX31">
    <cfRule type="cellIs" dxfId="18138" priority="132447" stopIfTrue="1" operator="equal">
      <formula>-1</formula>
    </cfRule>
  </conditionalFormatting>
  <conditionalFormatting sqref="AX31">
    <cfRule type="cellIs" dxfId="18137" priority="132448" stopIfTrue="1" operator="lessThan">
      <formula>0.5</formula>
    </cfRule>
  </conditionalFormatting>
  <conditionalFormatting sqref="AX31">
    <cfRule type="cellIs" dxfId="18136" priority="132449" stopIfTrue="1" operator="greaterThanOrEqual">
      <formula>0.5</formula>
    </cfRule>
  </conditionalFormatting>
  <conditionalFormatting sqref="AX32">
    <cfRule type="cellIs" dxfId="18135" priority="132450" stopIfTrue="1" operator="equal">
      <formula>-1</formula>
    </cfRule>
  </conditionalFormatting>
  <conditionalFormatting sqref="AX32">
    <cfRule type="cellIs" dxfId="18134" priority="132451" stopIfTrue="1" operator="lessThan">
      <formula>0.5</formula>
    </cfRule>
  </conditionalFormatting>
  <conditionalFormatting sqref="AX32">
    <cfRule type="cellIs" dxfId="18133" priority="132452" stopIfTrue="1" operator="greaterThanOrEqual">
      <formula>0.5</formula>
    </cfRule>
  </conditionalFormatting>
  <conditionalFormatting sqref="AX33">
    <cfRule type="cellIs" dxfId="18132" priority="132453" stopIfTrue="1" operator="equal">
      <formula>-1</formula>
    </cfRule>
  </conditionalFormatting>
  <conditionalFormatting sqref="AX33">
    <cfRule type="cellIs" dxfId="18131" priority="132454" stopIfTrue="1" operator="lessThan">
      <formula>0.5</formula>
    </cfRule>
  </conditionalFormatting>
  <conditionalFormatting sqref="AX33">
    <cfRule type="cellIs" dxfId="18130" priority="132455" stopIfTrue="1" operator="greaterThanOrEqual">
      <formula>0.5</formula>
    </cfRule>
  </conditionalFormatting>
  <conditionalFormatting sqref="AX34">
    <cfRule type="cellIs" dxfId="18129" priority="132456" stopIfTrue="1" operator="equal">
      <formula>-1</formula>
    </cfRule>
  </conditionalFormatting>
  <conditionalFormatting sqref="AX34">
    <cfRule type="cellIs" dxfId="18128" priority="132457" stopIfTrue="1" operator="lessThan">
      <formula>0.5</formula>
    </cfRule>
  </conditionalFormatting>
  <conditionalFormatting sqref="AX34">
    <cfRule type="cellIs" dxfId="18127" priority="132458" stopIfTrue="1" operator="greaterThanOrEqual">
      <formula>0.5</formula>
    </cfRule>
  </conditionalFormatting>
  <conditionalFormatting sqref="AX35">
    <cfRule type="cellIs" dxfId="18126" priority="132459" stopIfTrue="1" operator="equal">
      <formula>-1</formula>
    </cfRule>
  </conditionalFormatting>
  <conditionalFormatting sqref="AX35">
    <cfRule type="cellIs" dxfId="18125" priority="132460" stopIfTrue="1" operator="lessThan">
      <formula>0.5</formula>
    </cfRule>
  </conditionalFormatting>
  <conditionalFormatting sqref="AX35">
    <cfRule type="cellIs" dxfId="18124" priority="132461" stopIfTrue="1" operator="greaterThanOrEqual">
      <formula>0.5</formula>
    </cfRule>
  </conditionalFormatting>
  <conditionalFormatting sqref="AX36">
    <cfRule type="cellIs" dxfId="18123" priority="132462" stopIfTrue="1" operator="equal">
      <formula>-1</formula>
    </cfRule>
  </conditionalFormatting>
  <conditionalFormatting sqref="AX36">
    <cfRule type="cellIs" dxfId="18122" priority="132463" stopIfTrue="1" operator="lessThan">
      <formula>0.5</formula>
    </cfRule>
  </conditionalFormatting>
  <conditionalFormatting sqref="AX36">
    <cfRule type="cellIs" dxfId="18121" priority="132464" stopIfTrue="1" operator="greaterThanOrEqual">
      <formula>0.5</formula>
    </cfRule>
  </conditionalFormatting>
  <conditionalFormatting sqref="AX37">
    <cfRule type="cellIs" dxfId="18120" priority="132465" stopIfTrue="1" operator="equal">
      <formula>-1</formula>
    </cfRule>
  </conditionalFormatting>
  <conditionalFormatting sqref="AX37">
    <cfRule type="cellIs" dxfId="18119" priority="132466" stopIfTrue="1" operator="lessThan">
      <formula>0.5</formula>
    </cfRule>
  </conditionalFormatting>
  <conditionalFormatting sqref="AX37">
    <cfRule type="cellIs" dxfId="18118" priority="132467" stopIfTrue="1" operator="greaterThanOrEqual">
      <formula>0.5</formula>
    </cfRule>
  </conditionalFormatting>
  <conditionalFormatting sqref="AZ17">
    <cfRule type="cellIs" dxfId="18117" priority="132468" stopIfTrue="1" operator="equal">
      <formula>-1</formula>
    </cfRule>
  </conditionalFormatting>
  <conditionalFormatting sqref="AZ17">
    <cfRule type="cellIs" dxfId="18116" priority="132469" stopIfTrue="1" operator="lessThan">
      <formula>0.5</formula>
    </cfRule>
  </conditionalFormatting>
  <conditionalFormatting sqref="AZ17">
    <cfRule type="cellIs" dxfId="18115" priority="132470" stopIfTrue="1" operator="greaterThanOrEqual">
      <formula>0.5</formula>
    </cfRule>
  </conditionalFormatting>
  <conditionalFormatting sqref="AZ18">
    <cfRule type="cellIs" dxfId="18114" priority="132471" stopIfTrue="1" operator="equal">
      <formula>-1</formula>
    </cfRule>
  </conditionalFormatting>
  <conditionalFormatting sqref="AZ18">
    <cfRule type="cellIs" dxfId="18113" priority="132472" stopIfTrue="1" operator="lessThan">
      <formula>0.5</formula>
    </cfRule>
  </conditionalFormatting>
  <conditionalFormatting sqref="AZ18">
    <cfRule type="cellIs" dxfId="18112" priority="132473" stopIfTrue="1" operator="greaterThanOrEqual">
      <formula>0.5</formula>
    </cfRule>
  </conditionalFormatting>
  <conditionalFormatting sqref="AZ19">
    <cfRule type="cellIs" dxfId="18111" priority="132474" stopIfTrue="1" operator="equal">
      <formula>-1</formula>
    </cfRule>
  </conditionalFormatting>
  <conditionalFormatting sqref="AZ19">
    <cfRule type="cellIs" dxfId="18110" priority="132475" stopIfTrue="1" operator="lessThan">
      <formula>0.5</formula>
    </cfRule>
  </conditionalFormatting>
  <conditionalFormatting sqref="AZ19">
    <cfRule type="cellIs" dxfId="18109" priority="132476" stopIfTrue="1" operator="greaterThanOrEqual">
      <formula>0.5</formula>
    </cfRule>
  </conditionalFormatting>
  <conditionalFormatting sqref="AZ20">
    <cfRule type="cellIs" dxfId="18108" priority="132477" stopIfTrue="1" operator="equal">
      <formula>-1</formula>
    </cfRule>
  </conditionalFormatting>
  <conditionalFormatting sqref="AZ20">
    <cfRule type="cellIs" dxfId="18107" priority="132478" stopIfTrue="1" operator="lessThan">
      <formula>0.5</formula>
    </cfRule>
  </conditionalFormatting>
  <conditionalFormatting sqref="AZ20">
    <cfRule type="cellIs" dxfId="18106" priority="132479" stopIfTrue="1" operator="greaterThanOrEqual">
      <formula>0.5</formula>
    </cfRule>
  </conditionalFormatting>
  <conditionalFormatting sqref="AZ21">
    <cfRule type="cellIs" dxfId="18105" priority="132480" stopIfTrue="1" operator="equal">
      <formula>-1</formula>
    </cfRule>
  </conditionalFormatting>
  <conditionalFormatting sqref="AZ21">
    <cfRule type="cellIs" dxfId="18104" priority="132481" stopIfTrue="1" operator="lessThan">
      <formula>0.5</formula>
    </cfRule>
  </conditionalFormatting>
  <conditionalFormatting sqref="AZ21">
    <cfRule type="cellIs" dxfId="18103" priority="132482" stopIfTrue="1" operator="greaterThanOrEqual">
      <formula>0.5</formula>
    </cfRule>
  </conditionalFormatting>
  <conditionalFormatting sqref="AZ22">
    <cfRule type="cellIs" dxfId="18102" priority="132483" stopIfTrue="1" operator="equal">
      <formula>-1</formula>
    </cfRule>
  </conditionalFormatting>
  <conditionalFormatting sqref="AZ22">
    <cfRule type="cellIs" dxfId="18101" priority="132484" stopIfTrue="1" operator="lessThan">
      <formula>0.5</formula>
    </cfRule>
  </conditionalFormatting>
  <conditionalFormatting sqref="AZ22">
    <cfRule type="cellIs" dxfId="18100" priority="132485" stopIfTrue="1" operator="greaterThanOrEqual">
      <formula>0.5</formula>
    </cfRule>
  </conditionalFormatting>
  <conditionalFormatting sqref="AZ23">
    <cfRule type="cellIs" dxfId="18099" priority="132486" stopIfTrue="1" operator="equal">
      <formula>-1</formula>
    </cfRule>
  </conditionalFormatting>
  <conditionalFormatting sqref="AZ23">
    <cfRule type="cellIs" dxfId="18098" priority="132487" stopIfTrue="1" operator="lessThan">
      <formula>0.5</formula>
    </cfRule>
  </conditionalFormatting>
  <conditionalFormatting sqref="AZ23">
    <cfRule type="cellIs" dxfId="18097" priority="132488" stopIfTrue="1" operator="greaterThanOrEqual">
      <formula>0.5</formula>
    </cfRule>
  </conditionalFormatting>
  <conditionalFormatting sqref="AZ24">
    <cfRule type="cellIs" dxfId="18096" priority="132489" stopIfTrue="1" operator="equal">
      <formula>-1</formula>
    </cfRule>
  </conditionalFormatting>
  <conditionalFormatting sqref="AZ24">
    <cfRule type="cellIs" dxfId="18095" priority="132490" stopIfTrue="1" operator="lessThan">
      <formula>0.5</formula>
    </cfRule>
  </conditionalFormatting>
  <conditionalFormatting sqref="AZ24">
    <cfRule type="cellIs" dxfId="18094" priority="132491" stopIfTrue="1" operator="greaterThanOrEqual">
      <formula>0.5</formula>
    </cfRule>
  </conditionalFormatting>
  <conditionalFormatting sqref="AZ25">
    <cfRule type="cellIs" dxfId="18093" priority="132492" stopIfTrue="1" operator="equal">
      <formula>-1</formula>
    </cfRule>
  </conditionalFormatting>
  <conditionalFormatting sqref="AZ25">
    <cfRule type="cellIs" dxfId="18092" priority="132493" stopIfTrue="1" operator="lessThan">
      <formula>0.5</formula>
    </cfRule>
  </conditionalFormatting>
  <conditionalFormatting sqref="AZ25">
    <cfRule type="cellIs" dxfId="18091" priority="132494" stopIfTrue="1" operator="greaterThanOrEqual">
      <formula>0.5</formula>
    </cfRule>
  </conditionalFormatting>
  <conditionalFormatting sqref="AZ26">
    <cfRule type="cellIs" dxfId="18090" priority="132495" stopIfTrue="1" operator="equal">
      <formula>-1</formula>
    </cfRule>
  </conditionalFormatting>
  <conditionalFormatting sqref="AZ26">
    <cfRule type="cellIs" dxfId="18089" priority="132496" stopIfTrue="1" operator="lessThan">
      <formula>0.5</formula>
    </cfRule>
  </conditionalFormatting>
  <conditionalFormatting sqref="AZ26">
    <cfRule type="cellIs" dxfId="18088" priority="132497" stopIfTrue="1" operator="greaterThanOrEqual">
      <formula>0.5</formula>
    </cfRule>
  </conditionalFormatting>
  <conditionalFormatting sqref="AZ27">
    <cfRule type="cellIs" dxfId="18087" priority="132498" stopIfTrue="1" operator="equal">
      <formula>-1</formula>
    </cfRule>
  </conditionalFormatting>
  <conditionalFormatting sqref="AZ27">
    <cfRule type="cellIs" dxfId="18086" priority="132499" stopIfTrue="1" operator="lessThan">
      <formula>0.5</formula>
    </cfRule>
  </conditionalFormatting>
  <conditionalFormatting sqref="AZ27">
    <cfRule type="cellIs" dxfId="18085" priority="132500" stopIfTrue="1" operator="greaterThanOrEqual">
      <formula>0.5</formula>
    </cfRule>
  </conditionalFormatting>
  <conditionalFormatting sqref="AZ28">
    <cfRule type="cellIs" dxfId="18084" priority="132501" stopIfTrue="1" operator="equal">
      <formula>-1</formula>
    </cfRule>
  </conditionalFormatting>
  <conditionalFormatting sqref="AZ28">
    <cfRule type="cellIs" dxfId="18083" priority="132502" stopIfTrue="1" operator="lessThan">
      <formula>0.5</formula>
    </cfRule>
  </conditionalFormatting>
  <conditionalFormatting sqref="AZ28">
    <cfRule type="cellIs" dxfId="18082" priority="132503" stopIfTrue="1" operator="greaterThanOrEqual">
      <formula>0.5</formula>
    </cfRule>
  </conditionalFormatting>
  <conditionalFormatting sqref="AZ29">
    <cfRule type="cellIs" dxfId="18081" priority="132504" stopIfTrue="1" operator="equal">
      <formula>-1</formula>
    </cfRule>
  </conditionalFormatting>
  <conditionalFormatting sqref="AZ29">
    <cfRule type="cellIs" dxfId="18080" priority="132505" stopIfTrue="1" operator="lessThan">
      <formula>0.5</formula>
    </cfRule>
  </conditionalFormatting>
  <conditionalFormatting sqref="AZ29">
    <cfRule type="cellIs" dxfId="18079" priority="132506" stopIfTrue="1" operator="greaterThanOrEqual">
      <formula>0.5</formula>
    </cfRule>
  </conditionalFormatting>
  <conditionalFormatting sqref="AZ30">
    <cfRule type="cellIs" dxfId="18078" priority="132507" stopIfTrue="1" operator="equal">
      <formula>-1</formula>
    </cfRule>
  </conditionalFormatting>
  <conditionalFormatting sqref="AZ30">
    <cfRule type="cellIs" dxfId="18077" priority="132508" stopIfTrue="1" operator="lessThan">
      <formula>0.5</formula>
    </cfRule>
  </conditionalFormatting>
  <conditionalFormatting sqref="AZ30">
    <cfRule type="cellIs" dxfId="18076" priority="132509" stopIfTrue="1" operator="greaterThanOrEqual">
      <formula>0.5</formula>
    </cfRule>
  </conditionalFormatting>
  <conditionalFormatting sqref="AZ31">
    <cfRule type="cellIs" dxfId="18075" priority="132510" stopIfTrue="1" operator="equal">
      <formula>-1</formula>
    </cfRule>
  </conditionalFormatting>
  <conditionalFormatting sqref="AZ31">
    <cfRule type="cellIs" dxfId="18074" priority="132511" stopIfTrue="1" operator="lessThan">
      <formula>0.5</formula>
    </cfRule>
  </conditionalFormatting>
  <conditionalFormatting sqref="AZ31">
    <cfRule type="cellIs" dxfId="18073" priority="132512" stopIfTrue="1" operator="greaterThanOrEqual">
      <formula>0.5</formula>
    </cfRule>
  </conditionalFormatting>
  <conditionalFormatting sqref="AZ32">
    <cfRule type="cellIs" dxfId="18072" priority="132513" stopIfTrue="1" operator="equal">
      <formula>-1</formula>
    </cfRule>
  </conditionalFormatting>
  <conditionalFormatting sqref="AZ32">
    <cfRule type="cellIs" dxfId="18071" priority="132514" stopIfTrue="1" operator="lessThan">
      <formula>0.5</formula>
    </cfRule>
  </conditionalFormatting>
  <conditionalFormatting sqref="AZ32">
    <cfRule type="cellIs" dxfId="18070" priority="132515" stopIfTrue="1" operator="greaterThanOrEqual">
      <formula>0.5</formula>
    </cfRule>
  </conditionalFormatting>
  <conditionalFormatting sqref="AZ33">
    <cfRule type="cellIs" dxfId="18069" priority="132516" stopIfTrue="1" operator="equal">
      <formula>-1</formula>
    </cfRule>
  </conditionalFormatting>
  <conditionalFormatting sqref="AZ33">
    <cfRule type="cellIs" dxfId="18068" priority="132517" stopIfTrue="1" operator="lessThan">
      <formula>0.5</formula>
    </cfRule>
  </conditionalFormatting>
  <conditionalFormatting sqref="AZ33">
    <cfRule type="cellIs" dxfId="18067" priority="132518" stopIfTrue="1" operator="greaterThanOrEqual">
      <formula>0.5</formula>
    </cfRule>
  </conditionalFormatting>
  <conditionalFormatting sqref="AZ34">
    <cfRule type="cellIs" dxfId="18066" priority="132519" stopIfTrue="1" operator="equal">
      <formula>-1</formula>
    </cfRule>
  </conditionalFormatting>
  <conditionalFormatting sqref="AZ34">
    <cfRule type="cellIs" dxfId="18065" priority="132520" stopIfTrue="1" operator="lessThan">
      <formula>0.5</formula>
    </cfRule>
  </conditionalFormatting>
  <conditionalFormatting sqref="AZ34">
    <cfRule type="cellIs" dxfId="18064" priority="132521" stopIfTrue="1" operator="greaterThanOrEqual">
      <formula>0.5</formula>
    </cfRule>
  </conditionalFormatting>
  <conditionalFormatting sqref="AZ35">
    <cfRule type="cellIs" dxfId="18063" priority="132522" stopIfTrue="1" operator="equal">
      <formula>-1</formula>
    </cfRule>
  </conditionalFormatting>
  <conditionalFormatting sqref="AZ35">
    <cfRule type="cellIs" dxfId="18062" priority="132523" stopIfTrue="1" operator="lessThan">
      <formula>0.5</formula>
    </cfRule>
  </conditionalFormatting>
  <conditionalFormatting sqref="AZ35">
    <cfRule type="cellIs" dxfId="18061" priority="132524" stopIfTrue="1" operator="greaterThanOrEqual">
      <formula>0.5</formula>
    </cfRule>
  </conditionalFormatting>
  <conditionalFormatting sqref="AZ36">
    <cfRule type="cellIs" dxfId="18060" priority="132525" stopIfTrue="1" operator="equal">
      <formula>-1</formula>
    </cfRule>
  </conditionalFormatting>
  <conditionalFormatting sqref="AZ36">
    <cfRule type="cellIs" dxfId="18059" priority="132526" stopIfTrue="1" operator="lessThan">
      <formula>0.5</formula>
    </cfRule>
  </conditionalFormatting>
  <conditionalFormatting sqref="AZ36">
    <cfRule type="cellIs" dxfId="18058" priority="132527" stopIfTrue="1" operator="greaterThanOrEqual">
      <formula>0.5</formula>
    </cfRule>
  </conditionalFormatting>
  <conditionalFormatting sqref="AZ37">
    <cfRule type="cellIs" dxfId="18057" priority="132528" stopIfTrue="1" operator="equal">
      <formula>-1</formula>
    </cfRule>
  </conditionalFormatting>
  <conditionalFormatting sqref="AZ37">
    <cfRule type="cellIs" dxfId="18056" priority="132529" stopIfTrue="1" operator="lessThan">
      <formula>0.5</formula>
    </cfRule>
  </conditionalFormatting>
  <conditionalFormatting sqref="AZ37">
    <cfRule type="cellIs" dxfId="18055" priority="132530" stopIfTrue="1" operator="greaterThanOrEqual">
      <formula>0.5</formula>
    </cfRule>
  </conditionalFormatting>
  <conditionalFormatting sqref="BB17">
    <cfRule type="cellIs" dxfId="18054" priority="132531" stopIfTrue="1" operator="equal">
      <formula>-1</formula>
    </cfRule>
  </conditionalFormatting>
  <conditionalFormatting sqref="BB17">
    <cfRule type="cellIs" dxfId="18053" priority="132532" stopIfTrue="1" operator="lessThan">
      <formula>0.5</formula>
    </cfRule>
  </conditionalFormatting>
  <conditionalFormatting sqref="BB17">
    <cfRule type="cellIs" dxfId="18052" priority="132533" stopIfTrue="1" operator="greaterThanOrEqual">
      <formula>0.5</formula>
    </cfRule>
  </conditionalFormatting>
  <conditionalFormatting sqref="BB18">
    <cfRule type="cellIs" dxfId="18051" priority="132534" stopIfTrue="1" operator="equal">
      <formula>-1</formula>
    </cfRule>
  </conditionalFormatting>
  <conditionalFormatting sqref="BB18">
    <cfRule type="cellIs" dxfId="18050" priority="132535" stopIfTrue="1" operator="lessThan">
      <formula>0.5</formula>
    </cfRule>
  </conditionalFormatting>
  <conditionalFormatting sqref="BB18">
    <cfRule type="cellIs" dxfId="18049" priority="132536" stopIfTrue="1" operator="greaterThanOrEqual">
      <formula>0.5</formula>
    </cfRule>
  </conditionalFormatting>
  <conditionalFormatting sqref="BB19">
    <cfRule type="cellIs" dxfId="18048" priority="132537" stopIfTrue="1" operator="equal">
      <formula>-1</formula>
    </cfRule>
  </conditionalFormatting>
  <conditionalFormatting sqref="BB19">
    <cfRule type="cellIs" dxfId="18047" priority="132538" stopIfTrue="1" operator="lessThan">
      <formula>0.5</formula>
    </cfRule>
  </conditionalFormatting>
  <conditionalFormatting sqref="BB19">
    <cfRule type="cellIs" dxfId="18046" priority="132539" stopIfTrue="1" operator="greaterThanOrEqual">
      <formula>0.5</formula>
    </cfRule>
  </conditionalFormatting>
  <conditionalFormatting sqref="BB20">
    <cfRule type="cellIs" dxfId="18045" priority="132540" stopIfTrue="1" operator="equal">
      <formula>-1</formula>
    </cfRule>
  </conditionalFormatting>
  <conditionalFormatting sqref="BB20">
    <cfRule type="cellIs" dxfId="18044" priority="132541" stopIfTrue="1" operator="lessThan">
      <formula>0.5</formula>
    </cfRule>
  </conditionalFormatting>
  <conditionalFormatting sqref="BB20">
    <cfRule type="cellIs" dxfId="18043" priority="132542" stopIfTrue="1" operator="greaterThanOrEqual">
      <formula>0.5</formula>
    </cfRule>
  </conditionalFormatting>
  <conditionalFormatting sqref="BB21">
    <cfRule type="cellIs" dxfId="18042" priority="132543" stopIfTrue="1" operator="equal">
      <formula>-1</formula>
    </cfRule>
  </conditionalFormatting>
  <conditionalFormatting sqref="BB21">
    <cfRule type="cellIs" dxfId="18041" priority="132544" stopIfTrue="1" operator="lessThan">
      <formula>0.5</formula>
    </cfRule>
  </conditionalFormatting>
  <conditionalFormatting sqref="BB21">
    <cfRule type="cellIs" dxfId="18040" priority="132545" stopIfTrue="1" operator="greaterThanOrEqual">
      <formula>0.5</formula>
    </cfRule>
  </conditionalFormatting>
  <conditionalFormatting sqref="BB22">
    <cfRule type="cellIs" dxfId="18039" priority="132546" stopIfTrue="1" operator="equal">
      <formula>-1</formula>
    </cfRule>
  </conditionalFormatting>
  <conditionalFormatting sqref="BB22">
    <cfRule type="cellIs" dxfId="18038" priority="132547" stopIfTrue="1" operator="lessThan">
      <formula>0.5</formula>
    </cfRule>
  </conditionalFormatting>
  <conditionalFormatting sqref="BB22">
    <cfRule type="cellIs" dxfId="18037" priority="132548" stopIfTrue="1" operator="greaterThanOrEqual">
      <formula>0.5</formula>
    </cfRule>
  </conditionalFormatting>
  <conditionalFormatting sqref="BB23">
    <cfRule type="cellIs" dxfId="18036" priority="132549" stopIfTrue="1" operator="equal">
      <formula>-1</formula>
    </cfRule>
  </conditionalFormatting>
  <conditionalFormatting sqref="BB23">
    <cfRule type="cellIs" dxfId="18035" priority="132550" stopIfTrue="1" operator="lessThan">
      <formula>0.5</formula>
    </cfRule>
  </conditionalFormatting>
  <conditionalFormatting sqref="BB23">
    <cfRule type="cellIs" dxfId="18034" priority="132551" stopIfTrue="1" operator="greaterThanOrEqual">
      <formula>0.5</formula>
    </cfRule>
  </conditionalFormatting>
  <conditionalFormatting sqref="BB24">
    <cfRule type="cellIs" dxfId="18033" priority="132552" stopIfTrue="1" operator="equal">
      <formula>-1</formula>
    </cfRule>
  </conditionalFormatting>
  <conditionalFormatting sqref="BB24">
    <cfRule type="cellIs" dxfId="18032" priority="132553" stopIfTrue="1" operator="lessThan">
      <formula>0.5</formula>
    </cfRule>
  </conditionalFormatting>
  <conditionalFormatting sqref="BB24">
    <cfRule type="cellIs" dxfId="18031" priority="132554" stopIfTrue="1" operator="greaterThanOrEqual">
      <formula>0.5</formula>
    </cfRule>
  </conditionalFormatting>
  <conditionalFormatting sqref="BB25">
    <cfRule type="cellIs" dxfId="18030" priority="132555" stopIfTrue="1" operator="equal">
      <formula>-1</formula>
    </cfRule>
  </conditionalFormatting>
  <conditionalFormatting sqref="BB25">
    <cfRule type="cellIs" dxfId="18029" priority="132556" stopIfTrue="1" operator="lessThan">
      <formula>0.5</formula>
    </cfRule>
  </conditionalFormatting>
  <conditionalFormatting sqref="BB25">
    <cfRule type="cellIs" dxfId="18028" priority="132557" stopIfTrue="1" operator="greaterThanOrEqual">
      <formula>0.5</formula>
    </cfRule>
  </conditionalFormatting>
  <conditionalFormatting sqref="BB26">
    <cfRule type="cellIs" dxfId="18027" priority="132558" stopIfTrue="1" operator="equal">
      <formula>-1</formula>
    </cfRule>
  </conditionalFormatting>
  <conditionalFormatting sqref="BB26">
    <cfRule type="cellIs" dxfId="18026" priority="132559" stopIfTrue="1" operator="lessThan">
      <formula>0.5</formula>
    </cfRule>
  </conditionalFormatting>
  <conditionalFormatting sqref="BB26">
    <cfRule type="cellIs" dxfId="18025" priority="132560" stopIfTrue="1" operator="greaterThanOrEqual">
      <formula>0.5</formula>
    </cfRule>
  </conditionalFormatting>
  <conditionalFormatting sqref="BB27">
    <cfRule type="cellIs" dxfId="18024" priority="132561" stopIfTrue="1" operator="equal">
      <formula>-1</formula>
    </cfRule>
  </conditionalFormatting>
  <conditionalFormatting sqref="BB27">
    <cfRule type="cellIs" dxfId="18023" priority="132562" stopIfTrue="1" operator="lessThan">
      <formula>0.5</formula>
    </cfRule>
  </conditionalFormatting>
  <conditionalFormatting sqref="BB27">
    <cfRule type="cellIs" dxfId="18022" priority="132563" stopIfTrue="1" operator="greaterThanOrEqual">
      <formula>0.5</formula>
    </cfRule>
  </conditionalFormatting>
  <conditionalFormatting sqref="BB28">
    <cfRule type="cellIs" dxfId="18021" priority="132564" stopIfTrue="1" operator="equal">
      <formula>-1</formula>
    </cfRule>
  </conditionalFormatting>
  <conditionalFormatting sqref="BB28">
    <cfRule type="cellIs" dxfId="18020" priority="132565" stopIfTrue="1" operator="lessThan">
      <formula>0.5</formula>
    </cfRule>
  </conditionalFormatting>
  <conditionalFormatting sqref="BB28">
    <cfRule type="cellIs" dxfId="18019" priority="132566" stopIfTrue="1" operator="greaterThanOrEqual">
      <formula>0.5</formula>
    </cfRule>
  </conditionalFormatting>
  <conditionalFormatting sqref="BB29">
    <cfRule type="cellIs" dxfId="18018" priority="132567" stopIfTrue="1" operator="equal">
      <formula>-1</formula>
    </cfRule>
  </conditionalFormatting>
  <conditionalFormatting sqref="BB29">
    <cfRule type="cellIs" dxfId="18017" priority="132568" stopIfTrue="1" operator="lessThan">
      <formula>0.5</formula>
    </cfRule>
  </conditionalFormatting>
  <conditionalFormatting sqref="BB29">
    <cfRule type="cellIs" dxfId="18016" priority="132569" stopIfTrue="1" operator="greaterThanOrEqual">
      <formula>0.5</formula>
    </cfRule>
  </conditionalFormatting>
  <conditionalFormatting sqref="BB30">
    <cfRule type="cellIs" dxfId="18015" priority="132570" stopIfTrue="1" operator="equal">
      <formula>-1</formula>
    </cfRule>
  </conditionalFormatting>
  <conditionalFormatting sqref="BB30">
    <cfRule type="cellIs" dxfId="18014" priority="132571" stopIfTrue="1" operator="lessThan">
      <formula>0.5</formula>
    </cfRule>
  </conditionalFormatting>
  <conditionalFormatting sqref="BB30">
    <cfRule type="cellIs" dxfId="18013" priority="132572" stopIfTrue="1" operator="greaterThanOrEqual">
      <formula>0.5</formula>
    </cfRule>
  </conditionalFormatting>
  <conditionalFormatting sqref="BB31">
    <cfRule type="cellIs" dxfId="18012" priority="132573" stopIfTrue="1" operator="equal">
      <formula>-1</formula>
    </cfRule>
  </conditionalFormatting>
  <conditionalFormatting sqref="BB31">
    <cfRule type="cellIs" dxfId="18011" priority="132574" stopIfTrue="1" operator="lessThan">
      <formula>0.5</formula>
    </cfRule>
  </conditionalFormatting>
  <conditionalFormatting sqref="BB31">
    <cfRule type="cellIs" dxfId="18010" priority="132575" stopIfTrue="1" operator="greaterThanOrEqual">
      <formula>0.5</formula>
    </cfRule>
  </conditionalFormatting>
  <conditionalFormatting sqref="BB32">
    <cfRule type="cellIs" dxfId="18009" priority="132576" stopIfTrue="1" operator="equal">
      <formula>-1</formula>
    </cfRule>
  </conditionalFormatting>
  <conditionalFormatting sqref="BB32">
    <cfRule type="cellIs" dxfId="18008" priority="132577" stopIfTrue="1" operator="lessThan">
      <formula>0.5</formula>
    </cfRule>
  </conditionalFormatting>
  <conditionalFormatting sqref="BB32">
    <cfRule type="cellIs" dxfId="18007" priority="132578" stopIfTrue="1" operator="greaterThanOrEqual">
      <formula>0.5</formula>
    </cfRule>
  </conditionalFormatting>
  <conditionalFormatting sqref="BB33">
    <cfRule type="cellIs" dxfId="18006" priority="132579" stopIfTrue="1" operator="equal">
      <formula>-1</formula>
    </cfRule>
  </conditionalFormatting>
  <conditionalFormatting sqref="BB33">
    <cfRule type="cellIs" dxfId="18005" priority="132580" stopIfTrue="1" operator="lessThan">
      <formula>0.5</formula>
    </cfRule>
  </conditionalFormatting>
  <conditionalFormatting sqref="BB33">
    <cfRule type="cellIs" dxfId="18004" priority="132581" stopIfTrue="1" operator="greaterThanOrEqual">
      <formula>0.5</formula>
    </cfRule>
  </conditionalFormatting>
  <conditionalFormatting sqref="BB34">
    <cfRule type="cellIs" dxfId="18003" priority="132582" stopIfTrue="1" operator="equal">
      <formula>-1</formula>
    </cfRule>
  </conditionalFormatting>
  <conditionalFormatting sqref="BB34">
    <cfRule type="cellIs" dxfId="18002" priority="132583" stopIfTrue="1" operator="lessThan">
      <formula>0.5</formula>
    </cfRule>
  </conditionalFormatting>
  <conditionalFormatting sqref="BB34">
    <cfRule type="cellIs" dxfId="18001" priority="132584" stopIfTrue="1" operator="greaterThanOrEqual">
      <formula>0.5</formula>
    </cfRule>
  </conditionalFormatting>
  <conditionalFormatting sqref="BB35">
    <cfRule type="cellIs" dxfId="18000" priority="132585" stopIfTrue="1" operator="equal">
      <formula>-1</formula>
    </cfRule>
  </conditionalFormatting>
  <conditionalFormatting sqref="BB35">
    <cfRule type="cellIs" dxfId="17999" priority="132586" stopIfTrue="1" operator="lessThan">
      <formula>0.5</formula>
    </cfRule>
  </conditionalFormatting>
  <conditionalFormatting sqref="BB35">
    <cfRule type="cellIs" dxfId="17998" priority="132587" stopIfTrue="1" operator="greaterThanOrEqual">
      <formula>0.5</formula>
    </cfRule>
  </conditionalFormatting>
  <conditionalFormatting sqref="BB36">
    <cfRule type="cellIs" dxfId="17997" priority="132588" stopIfTrue="1" operator="equal">
      <formula>-1</formula>
    </cfRule>
  </conditionalFormatting>
  <conditionalFormatting sqref="BB36">
    <cfRule type="cellIs" dxfId="17996" priority="132589" stopIfTrue="1" operator="lessThan">
      <formula>0.5</formula>
    </cfRule>
  </conditionalFormatting>
  <conditionalFormatting sqref="BB36">
    <cfRule type="cellIs" dxfId="17995" priority="132590" stopIfTrue="1" operator="greaterThanOrEqual">
      <formula>0.5</formula>
    </cfRule>
  </conditionalFormatting>
  <conditionalFormatting sqref="BB37">
    <cfRule type="cellIs" dxfId="17994" priority="132591" stopIfTrue="1" operator="equal">
      <formula>-1</formula>
    </cfRule>
  </conditionalFormatting>
  <conditionalFormatting sqref="BB37">
    <cfRule type="cellIs" dxfId="17993" priority="132592" stopIfTrue="1" operator="lessThan">
      <formula>0.5</formula>
    </cfRule>
  </conditionalFormatting>
  <conditionalFormatting sqref="BB37">
    <cfRule type="cellIs" dxfId="17992" priority="132593" stopIfTrue="1" operator="greaterThanOrEqual">
      <formula>0.5</formula>
    </cfRule>
  </conditionalFormatting>
  <conditionalFormatting sqref="BD17">
    <cfRule type="cellIs" dxfId="17991" priority="132594" stopIfTrue="1" operator="equal">
      <formula>-1</formula>
    </cfRule>
  </conditionalFormatting>
  <conditionalFormatting sqref="BD17">
    <cfRule type="cellIs" dxfId="17990" priority="132595" stopIfTrue="1" operator="lessThan">
      <formula>0.5</formula>
    </cfRule>
  </conditionalFormatting>
  <conditionalFormatting sqref="BD17">
    <cfRule type="cellIs" dxfId="17989" priority="132596" stopIfTrue="1" operator="greaterThanOrEqual">
      <formula>0.5</formula>
    </cfRule>
  </conditionalFormatting>
  <conditionalFormatting sqref="BD18">
    <cfRule type="cellIs" dxfId="17988" priority="132597" stopIfTrue="1" operator="equal">
      <formula>-1</formula>
    </cfRule>
  </conditionalFormatting>
  <conditionalFormatting sqref="BD18">
    <cfRule type="cellIs" dxfId="17987" priority="132598" stopIfTrue="1" operator="lessThan">
      <formula>0.5</formula>
    </cfRule>
  </conditionalFormatting>
  <conditionalFormatting sqref="BD18">
    <cfRule type="cellIs" dxfId="17986" priority="132599" stopIfTrue="1" operator="greaterThanOrEqual">
      <formula>0.5</formula>
    </cfRule>
  </conditionalFormatting>
  <conditionalFormatting sqref="BD19">
    <cfRule type="cellIs" dxfId="17985" priority="132600" stopIfTrue="1" operator="equal">
      <formula>-1</formula>
    </cfRule>
  </conditionalFormatting>
  <conditionalFormatting sqref="BD19">
    <cfRule type="cellIs" dxfId="17984" priority="132601" stopIfTrue="1" operator="lessThan">
      <formula>0.5</formula>
    </cfRule>
  </conditionalFormatting>
  <conditionalFormatting sqref="BD19">
    <cfRule type="cellIs" dxfId="17983" priority="132602" stopIfTrue="1" operator="greaterThanOrEqual">
      <formula>0.5</formula>
    </cfRule>
  </conditionalFormatting>
  <conditionalFormatting sqref="BD20">
    <cfRule type="cellIs" dxfId="17982" priority="132603" stopIfTrue="1" operator="equal">
      <formula>-1</formula>
    </cfRule>
  </conditionalFormatting>
  <conditionalFormatting sqref="BD20">
    <cfRule type="cellIs" dxfId="17981" priority="132604" stopIfTrue="1" operator="lessThan">
      <formula>0.5</formula>
    </cfRule>
  </conditionalFormatting>
  <conditionalFormatting sqref="BD20">
    <cfRule type="cellIs" dxfId="17980" priority="132605" stopIfTrue="1" operator="greaterThanOrEqual">
      <formula>0.5</formula>
    </cfRule>
  </conditionalFormatting>
  <conditionalFormatting sqref="BD21">
    <cfRule type="cellIs" dxfId="17979" priority="132606" stopIfTrue="1" operator="equal">
      <formula>-1</formula>
    </cfRule>
  </conditionalFormatting>
  <conditionalFormatting sqref="BD21">
    <cfRule type="cellIs" dxfId="17978" priority="132607" stopIfTrue="1" operator="lessThan">
      <formula>0.5</formula>
    </cfRule>
  </conditionalFormatting>
  <conditionalFormatting sqref="BD21">
    <cfRule type="cellIs" dxfId="17977" priority="132608" stopIfTrue="1" operator="greaterThanOrEqual">
      <formula>0.5</formula>
    </cfRule>
  </conditionalFormatting>
  <conditionalFormatting sqref="BD22">
    <cfRule type="cellIs" dxfId="17976" priority="132609" stopIfTrue="1" operator="equal">
      <formula>-1</formula>
    </cfRule>
  </conditionalFormatting>
  <conditionalFormatting sqref="BD22">
    <cfRule type="cellIs" dxfId="17975" priority="132610" stopIfTrue="1" operator="lessThan">
      <formula>0.5</formula>
    </cfRule>
  </conditionalFormatting>
  <conditionalFormatting sqref="BD22">
    <cfRule type="cellIs" dxfId="17974" priority="132611" stopIfTrue="1" operator="greaterThanOrEqual">
      <formula>0.5</formula>
    </cfRule>
  </conditionalFormatting>
  <conditionalFormatting sqref="BD23">
    <cfRule type="cellIs" dxfId="17973" priority="132612" stopIfTrue="1" operator="equal">
      <formula>-1</formula>
    </cfRule>
  </conditionalFormatting>
  <conditionalFormatting sqref="BD23">
    <cfRule type="cellIs" dxfId="17972" priority="132613" stopIfTrue="1" operator="lessThan">
      <formula>0.5</formula>
    </cfRule>
  </conditionalFormatting>
  <conditionalFormatting sqref="BD23">
    <cfRule type="cellIs" dxfId="17971" priority="132614" stopIfTrue="1" operator="greaterThanOrEqual">
      <formula>0.5</formula>
    </cfRule>
  </conditionalFormatting>
  <conditionalFormatting sqref="BD24">
    <cfRule type="cellIs" dxfId="17970" priority="132615" stopIfTrue="1" operator="equal">
      <formula>-1</formula>
    </cfRule>
  </conditionalFormatting>
  <conditionalFormatting sqref="BD24">
    <cfRule type="cellIs" dxfId="17969" priority="132616" stopIfTrue="1" operator="lessThan">
      <formula>0.5</formula>
    </cfRule>
  </conditionalFormatting>
  <conditionalFormatting sqref="BD24">
    <cfRule type="cellIs" dxfId="17968" priority="132617" stopIfTrue="1" operator="greaterThanOrEqual">
      <formula>0.5</formula>
    </cfRule>
  </conditionalFormatting>
  <conditionalFormatting sqref="BD25">
    <cfRule type="cellIs" dxfId="17967" priority="132618" stopIfTrue="1" operator="equal">
      <formula>-1</formula>
    </cfRule>
  </conditionalFormatting>
  <conditionalFormatting sqref="BD25">
    <cfRule type="cellIs" dxfId="17966" priority="132619" stopIfTrue="1" operator="lessThan">
      <formula>0.5</formula>
    </cfRule>
  </conditionalFormatting>
  <conditionalFormatting sqref="BD25">
    <cfRule type="cellIs" dxfId="17965" priority="132620" stopIfTrue="1" operator="greaterThanOrEqual">
      <formula>0.5</formula>
    </cfRule>
  </conditionalFormatting>
  <conditionalFormatting sqref="BD26">
    <cfRule type="cellIs" dxfId="17964" priority="132621" stopIfTrue="1" operator="equal">
      <formula>-1</formula>
    </cfRule>
  </conditionalFormatting>
  <conditionalFormatting sqref="BD26">
    <cfRule type="cellIs" dxfId="17963" priority="132622" stopIfTrue="1" operator="lessThan">
      <formula>0.5</formula>
    </cfRule>
  </conditionalFormatting>
  <conditionalFormatting sqref="BD26">
    <cfRule type="cellIs" dxfId="17962" priority="132623" stopIfTrue="1" operator="greaterThanOrEqual">
      <formula>0.5</formula>
    </cfRule>
  </conditionalFormatting>
  <conditionalFormatting sqref="BD27">
    <cfRule type="cellIs" dxfId="17961" priority="132624" stopIfTrue="1" operator="equal">
      <formula>-1</formula>
    </cfRule>
  </conditionalFormatting>
  <conditionalFormatting sqref="BD27">
    <cfRule type="cellIs" dxfId="17960" priority="132625" stopIfTrue="1" operator="lessThan">
      <formula>0.5</formula>
    </cfRule>
  </conditionalFormatting>
  <conditionalFormatting sqref="BD27">
    <cfRule type="cellIs" dxfId="17959" priority="132626" stopIfTrue="1" operator="greaterThanOrEqual">
      <formula>0.5</formula>
    </cfRule>
  </conditionalFormatting>
  <conditionalFormatting sqref="BD28">
    <cfRule type="cellIs" dxfId="17958" priority="132627" stopIfTrue="1" operator="equal">
      <formula>-1</formula>
    </cfRule>
  </conditionalFormatting>
  <conditionalFormatting sqref="BD28">
    <cfRule type="cellIs" dxfId="17957" priority="132628" stopIfTrue="1" operator="lessThan">
      <formula>0.5</formula>
    </cfRule>
  </conditionalFormatting>
  <conditionalFormatting sqref="BD28">
    <cfRule type="cellIs" dxfId="17956" priority="132629" stopIfTrue="1" operator="greaterThanOrEqual">
      <formula>0.5</formula>
    </cfRule>
  </conditionalFormatting>
  <conditionalFormatting sqref="BD29">
    <cfRule type="cellIs" dxfId="17955" priority="132630" stopIfTrue="1" operator="equal">
      <formula>-1</formula>
    </cfRule>
  </conditionalFormatting>
  <conditionalFormatting sqref="BD29">
    <cfRule type="cellIs" dxfId="17954" priority="132631" stopIfTrue="1" operator="lessThan">
      <formula>0.5</formula>
    </cfRule>
  </conditionalFormatting>
  <conditionalFormatting sqref="BD29">
    <cfRule type="cellIs" dxfId="17953" priority="132632" stopIfTrue="1" operator="greaterThanOrEqual">
      <formula>0.5</formula>
    </cfRule>
  </conditionalFormatting>
  <conditionalFormatting sqref="BD30">
    <cfRule type="cellIs" dxfId="17952" priority="132633" stopIfTrue="1" operator="equal">
      <formula>-1</formula>
    </cfRule>
  </conditionalFormatting>
  <conditionalFormatting sqref="BD30">
    <cfRule type="cellIs" dxfId="17951" priority="132634" stopIfTrue="1" operator="lessThan">
      <formula>0.5</formula>
    </cfRule>
  </conditionalFormatting>
  <conditionalFormatting sqref="BD30">
    <cfRule type="cellIs" dxfId="17950" priority="132635" stopIfTrue="1" operator="greaterThanOrEqual">
      <formula>0.5</formula>
    </cfRule>
  </conditionalFormatting>
  <conditionalFormatting sqref="BD31">
    <cfRule type="cellIs" dxfId="17949" priority="132636" stopIfTrue="1" operator="equal">
      <formula>-1</formula>
    </cfRule>
  </conditionalFormatting>
  <conditionalFormatting sqref="BD31">
    <cfRule type="cellIs" dxfId="17948" priority="132637" stopIfTrue="1" operator="lessThan">
      <formula>0.5</formula>
    </cfRule>
  </conditionalFormatting>
  <conditionalFormatting sqref="BD31">
    <cfRule type="cellIs" dxfId="17947" priority="132638" stopIfTrue="1" operator="greaterThanOrEqual">
      <formula>0.5</formula>
    </cfRule>
  </conditionalFormatting>
  <conditionalFormatting sqref="BD32">
    <cfRule type="cellIs" dxfId="17946" priority="132639" stopIfTrue="1" operator="equal">
      <formula>-1</formula>
    </cfRule>
  </conditionalFormatting>
  <conditionalFormatting sqref="BD32">
    <cfRule type="cellIs" dxfId="17945" priority="132640" stopIfTrue="1" operator="lessThan">
      <formula>0.5</formula>
    </cfRule>
  </conditionalFormatting>
  <conditionalFormatting sqref="BD32">
    <cfRule type="cellIs" dxfId="17944" priority="132641" stopIfTrue="1" operator="greaterThanOrEqual">
      <formula>0.5</formula>
    </cfRule>
  </conditionalFormatting>
  <conditionalFormatting sqref="BD33">
    <cfRule type="cellIs" dxfId="17943" priority="132642" stopIfTrue="1" operator="equal">
      <formula>-1</formula>
    </cfRule>
  </conditionalFormatting>
  <conditionalFormatting sqref="BD33">
    <cfRule type="cellIs" dxfId="17942" priority="132643" stopIfTrue="1" operator="lessThan">
      <formula>0.5</formula>
    </cfRule>
  </conditionalFormatting>
  <conditionalFormatting sqref="BD33">
    <cfRule type="cellIs" dxfId="17941" priority="132644" stopIfTrue="1" operator="greaterThanOrEqual">
      <formula>0.5</formula>
    </cfRule>
  </conditionalFormatting>
  <conditionalFormatting sqref="BD34">
    <cfRule type="cellIs" dxfId="17940" priority="132645" stopIfTrue="1" operator="equal">
      <formula>-1</formula>
    </cfRule>
  </conditionalFormatting>
  <conditionalFormatting sqref="BD34">
    <cfRule type="cellIs" dxfId="17939" priority="132646" stopIfTrue="1" operator="lessThan">
      <formula>0.5</formula>
    </cfRule>
  </conditionalFormatting>
  <conditionalFormatting sqref="BD34">
    <cfRule type="cellIs" dxfId="17938" priority="132647" stopIfTrue="1" operator="greaterThanOrEqual">
      <formula>0.5</formula>
    </cfRule>
  </conditionalFormatting>
  <conditionalFormatting sqref="BD35">
    <cfRule type="cellIs" dxfId="17937" priority="132648" stopIfTrue="1" operator="equal">
      <formula>-1</formula>
    </cfRule>
  </conditionalFormatting>
  <conditionalFormatting sqref="BD35">
    <cfRule type="cellIs" dxfId="17936" priority="132649" stopIfTrue="1" operator="lessThan">
      <formula>0.5</formula>
    </cfRule>
  </conditionalFormatting>
  <conditionalFormatting sqref="BD35">
    <cfRule type="cellIs" dxfId="17935" priority="132650" stopIfTrue="1" operator="greaterThanOrEqual">
      <formula>0.5</formula>
    </cfRule>
  </conditionalFormatting>
  <conditionalFormatting sqref="BD36">
    <cfRule type="cellIs" dxfId="17934" priority="132651" stopIfTrue="1" operator="equal">
      <formula>-1</formula>
    </cfRule>
  </conditionalFormatting>
  <conditionalFormatting sqref="BD36">
    <cfRule type="cellIs" dxfId="17933" priority="132652" stopIfTrue="1" operator="lessThan">
      <formula>0.5</formula>
    </cfRule>
  </conditionalFormatting>
  <conditionalFormatting sqref="BD36">
    <cfRule type="cellIs" dxfId="17932" priority="132653" stopIfTrue="1" operator="greaterThanOrEqual">
      <formula>0.5</formula>
    </cfRule>
  </conditionalFormatting>
  <conditionalFormatting sqref="BD37">
    <cfRule type="cellIs" dxfId="17931" priority="132654" stopIfTrue="1" operator="equal">
      <formula>-1</formula>
    </cfRule>
  </conditionalFormatting>
  <conditionalFormatting sqref="BD37">
    <cfRule type="cellIs" dxfId="17930" priority="132655" stopIfTrue="1" operator="lessThan">
      <formula>0.5</formula>
    </cfRule>
  </conditionalFormatting>
  <conditionalFormatting sqref="BD37">
    <cfRule type="cellIs" dxfId="17929" priority="132656" stopIfTrue="1" operator="greaterThanOrEqual">
      <formula>0.5</formula>
    </cfRule>
  </conditionalFormatting>
  <conditionalFormatting sqref="BF17">
    <cfRule type="cellIs" dxfId="17928" priority="132657" stopIfTrue="1" operator="equal">
      <formula>-1</formula>
    </cfRule>
  </conditionalFormatting>
  <conditionalFormatting sqref="BF17">
    <cfRule type="cellIs" dxfId="17927" priority="132658" stopIfTrue="1" operator="lessThan">
      <formula>0.5</formula>
    </cfRule>
  </conditionalFormatting>
  <conditionalFormatting sqref="BF17">
    <cfRule type="cellIs" dxfId="17926" priority="132659" stopIfTrue="1" operator="greaterThanOrEqual">
      <formula>0.5</formula>
    </cfRule>
  </conditionalFormatting>
  <conditionalFormatting sqref="BF18">
    <cfRule type="cellIs" dxfId="17925" priority="132660" stopIfTrue="1" operator="equal">
      <formula>-1</formula>
    </cfRule>
  </conditionalFormatting>
  <conditionalFormatting sqref="BF18">
    <cfRule type="cellIs" dxfId="17924" priority="132661" stopIfTrue="1" operator="lessThan">
      <formula>0.5</formula>
    </cfRule>
  </conditionalFormatting>
  <conditionalFormatting sqref="BF18">
    <cfRule type="cellIs" dxfId="17923" priority="132662" stopIfTrue="1" operator="greaterThanOrEqual">
      <formula>0.5</formula>
    </cfRule>
  </conditionalFormatting>
  <conditionalFormatting sqref="BF19">
    <cfRule type="cellIs" dxfId="17922" priority="132663" stopIfTrue="1" operator="equal">
      <formula>-1</formula>
    </cfRule>
  </conditionalFormatting>
  <conditionalFormatting sqref="BF19">
    <cfRule type="cellIs" dxfId="17921" priority="132664" stopIfTrue="1" operator="lessThan">
      <formula>0.5</formula>
    </cfRule>
  </conditionalFormatting>
  <conditionalFormatting sqref="BF19">
    <cfRule type="cellIs" dxfId="17920" priority="132665" stopIfTrue="1" operator="greaterThanOrEqual">
      <formula>0.5</formula>
    </cfRule>
  </conditionalFormatting>
  <conditionalFormatting sqref="BF20">
    <cfRule type="cellIs" dxfId="17919" priority="132666" stopIfTrue="1" operator="equal">
      <formula>-1</formula>
    </cfRule>
  </conditionalFormatting>
  <conditionalFormatting sqref="BF20">
    <cfRule type="cellIs" dxfId="17918" priority="132667" stopIfTrue="1" operator="lessThan">
      <formula>0.5</formula>
    </cfRule>
  </conditionalFormatting>
  <conditionalFormatting sqref="BF20">
    <cfRule type="cellIs" dxfId="17917" priority="132668" stopIfTrue="1" operator="greaterThanOrEqual">
      <formula>0.5</formula>
    </cfRule>
  </conditionalFormatting>
  <conditionalFormatting sqref="BF21">
    <cfRule type="cellIs" dxfId="17916" priority="132669" stopIfTrue="1" operator="equal">
      <formula>-1</formula>
    </cfRule>
  </conditionalFormatting>
  <conditionalFormatting sqref="BF21">
    <cfRule type="cellIs" dxfId="17915" priority="132670" stopIfTrue="1" operator="lessThan">
      <formula>0.5</formula>
    </cfRule>
  </conditionalFormatting>
  <conditionalFormatting sqref="BF21">
    <cfRule type="cellIs" dxfId="17914" priority="132671" stopIfTrue="1" operator="greaterThanOrEqual">
      <formula>0.5</formula>
    </cfRule>
  </conditionalFormatting>
  <conditionalFormatting sqref="BF22">
    <cfRule type="cellIs" dxfId="17913" priority="132672" stopIfTrue="1" operator="equal">
      <formula>-1</formula>
    </cfRule>
  </conditionalFormatting>
  <conditionalFormatting sqref="BF22">
    <cfRule type="cellIs" dxfId="17912" priority="132673" stopIfTrue="1" operator="lessThan">
      <formula>0.5</formula>
    </cfRule>
  </conditionalFormatting>
  <conditionalFormatting sqref="BF22">
    <cfRule type="cellIs" dxfId="17911" priority="132674" stopIfTrue="1" operator="greaterThanOrEqual">
      <formula>0.5</formula>
    </cfRule>
  </conditionalFormatting>
  <conditionalFormatting sqref="BF23">
    <cfRule type="cellIs" dxfId="17910" priority="132675" stopIfTrue="1" operator="equal">
      <formula>-1</formula>
    </cfRule>
  </conditionalFormatting>
  <conditionalFormatting sqref="BF23">
    <cfRule type="cellIs" dxfId="17909" priority="132676" stopIfTrue="1" operator="lessThan">
      <formula>0.5</formula>
    </cfRule>
  </conditionalFormatting>
  <conditionalFormatting sqref="BF23">
    <cfRule type="cellIs" dxfId="17908" priority="132677" stopIfTrue="1" operator="greaterThanOrEqual">
      <formula>0.5</formula>
    </cfRule>
  </conditionalFormatting>
  <conditionalFormatting sqref="BF24">
    <cfRule type="cellIs" dxfId="17907" priority="132678" stopIfTrue="1" operator="equal">
      <formula>-1</formula>
    </cfRule>
  </conditionalFormatting>
  <conditionalFormatting sqref="BF24">
    <cfRule type="cellIs" dxfId="17906" priority="132679" stopIfTrue="1" operator="lessThan">
      <formula>0.5</formula>
    </cfRule>
  </conditionalFormatting>
  <conditionalFormatting sqref="BF24">
    <cfRule type="cellIs" dxfId="17905" priority="132680" stopIfTrue="1" operator="greaterThanOrEqual">
      <formula>0.5</formula>
    </cfRule>
  </conditionalFormatting>
  <conditionalFormatting sqref="BF25">
    <cfRule type="cellIs" dxfId="17904" priority="132681" stopIfTrue="1" operator="equal">
      <formula>-1</formula>
    </cfRule>
  </conditionalFormatting>
  <conditionalFormatting sqref="BF25">
    <cfRule type="cellIs" dxfId="17903" priority="132682" stopIfTrue="1" operator="lessThan">
      <formula>0.5</formula>
    </cfRule>
  </conditionalFormatting>
  <conditionalFormatting sqref="BF25">
    <cfRule type="cellIs" dxfId="17902" priority="132683" stopIfTrue="1" operator="greaterThanOrEqual">
      <formula>0.5</formula>
    </cfRule>
  </conditionalFormatting>
  <conditionalFormatting sqref="BF26">
    <cfRule type="cellIs" dxfId="17901" priority="132684" stopIfTrue="1" operator="equal">
      <formula>-1</formula>
    </cfRule>
  </conditionalFormatting>
  <conditionalFormatting sqref="BF26">
    <cfRule type="cellIs" dxfId="17900" priority="132685" stopIfTrue="1" operator="lessThan">
      <formula>0.5</formula>
    </cfRule>
  </conditionalFormatting>
  <conditionalFormatting sqref="BF26">
    <cfRule type="cellIs" dxfId="17899" priority="132686" stopIfTrue="1" operator="greaterThanOrEqual">
      <formula>0.5</formula>
    </cfRule>
  </conditionalFormatting>
  <conditionalFormatting sqref="BF27">
    <cfRule type="cellIs" dxfId="17898" priority="132687" stopIfTrue="1" operator="equal">
      <formula>-1</formula>
    </cfRule>
  </conditionalFormatting>
  <conditionalFormatting sqref="BF27">
    <cfRule type="cellIs" dxfId="17897" priority="132688" stopIfTrue="1" operator="lessThan">
      <formula>0.5</formula>
    </cfRule>
  </conditionalFormatting>
  <conditionalFormatting sqref="BF27">
    <cfRule type="cellIs" dxfId="17896" priority="132689" stopIfTrue="1" operator="greaterThanOrEqual">
      <formula>0.5</formula>
    </cfRule>
  </conditionalFormatting>
  <conditionalFormatting sqref="BF28">
    <cfRule type="cellIs" dxfId="17895" priority="132690" stopIfTrue="1" operator="equal">
      <formula>-1</formula>
    </cfRule>
  </conditionalFormatting>
  <conditionalFormatting sqref="BF28">
    <cfRule type="cellIs" dxfId="17894" priority="132691" stopIfTrue="1" operator="lessThan">
      <formula>0.5</formula>
    </cfRule>
  </conditionalFormatting>
  <conditionalFormatting sqref="BF28">
    <cfRule type="cellIs" dxfId="17893" priority="132692" stopIfTrue="1" operator="greaterThanOrEqual">
      <formula>0.5</formula>
    </cfRule>
  </conditionalFormatting>
  <conditionalFormatting sqref="BF29">
    <cfRule type="cellIs" dxfId="17892" priority="132693" stopIfTrue="1" operator="equal">
      <formula>-1</formula>
    </cfRule>
  </conditionalFormatting>
  <conditionalFormatting sqref="BF29">
    <cfRule type="cellIs" dxfId="17891" priority="132694" stopIfTrue="1" operator="lessThan">
      <formula>0.5</formula>
    </cfRule>
  </conditionalFormatting>
  <conditionalFormatting sqref="BF29">
    <cfRule type="cellIs" dxfId="17890" priority="132695" stopIfTrue="1" operator="greaterThanOrEqual">
      <formula>0.5</formula>
    </cfRule>
  </conditionalFormatting>
  <conditionalFormatting sqref="BF30">
    <cfRule type="cellIs" dxfId="17889" priority="132696" stopIfTrue="1" operator="equal">
      <formula>-1</formula>
    </cfRule>
  </conditionalFormatting>
  <conditionalFormatting sqref="BF30">
    <cfRule type="cellIs" dxfId="17888" priority="132697" stopIfTrue="1" operator="lessThan">
      <formula>0.5</formula>
    </cfRule>
  </conditionalFormatting>
  <conditionalFormatting sqref="BF30">
    <cfRule type="cellIs" dxfId="17887" priority="132698" stopIfTrue="1" operator="greaterThanOrEqual">
      <formula>0.5</formula>
    </cfRule>
  </conditionalFormatting>
  <conditionalFormatting sqref="BF31">
    <cfRule type="cellIs" dxfId="17886" priority="132699" stopIfTrue="1" operator="equal">
      <formula>-1</formula>
    </cfRule>
  </conditionalFormatting>
  <conditionalFormatting sqref="BF31">
    <cfRule type="cellIs" dxfId="17885" priority="132700" stopIfTrue="1" operator="lessThan">
      <formula>0.5</formula>
    </cfRule>
  </conditionalFormatting>
  <conditionalFormatting sqref="BF31">
    <cfRule type="cellIs" dxfId="17884" priority="132701" stopIfTrue="1" operator="greaterThanOrEqual">
      <formula>0.5</formula>
    </cfRule>
  </conditionalFormatting>
  <conditionalFormatting sqref="BF32">
    <cfRule type="cellIs" dxfId="17883" priority="132702" stopIfTrue="1" operator="equal">
      <formula>-1</formula>
    </cfRule>
  </conditionalFormatting>
  <conditionalFormatting sqref="BF32">
    <cfRule type="cellIs" dxfId="17882" priority="132703" stopIfTrue="1" operator="lessThan">
      <formula>0.5</formula>
    </cfRule>
  </conditionalFormatting>
  <conditionalFormatting sqref="BF32">
    <cfRule type="cellIs" dxfId="17881" priority="132704" stopIfTrue="1" operator="greaterThanOrEqual">
      <formula>0.5</formula>
    </cfRule>
  </conditionalFormatting>
  <conditionalFormatting sqref="BF33">
    <cfRule type="cellIs" dxfId="17880" priority="132705" stopIfTrue="1" operator="equal">
      <formula>-1</formula>
    </cfRule>
  </conditionalFormatting>
  <conditionalFormatting sqref="BF33">
    <cfRule type="cellIs" dxfId="17879" priority="132706" stopIfTrue="1" operator="lessThan">
      <formula>0.5</formula>
    </cfRule>
  </conditionalFormatting>
  <conditionalFormatting sqref="BF33">
    <cfRule type="cellIs" dxfId="17878" priority="132707" stopIfTrue="1" operator="greaterThanOrEqual">
      <formula>0.5</formula>
    </cfRule>
  </conditionalFormatting>
  <conditionalFormatting sqref="BF34">
    <cfRule type="cellIs" dxfId="17877" priority="132708" stopIfTrue="1" operator="equal">
      <formula>-1</formula>
    </cfRule>
  </conditionalFormatting>
  <conditionalFormatting sqref="BF34">
    <cfRule type="cellIs" dxfId="17876" priority="132709" stopIfTrue="1" operator="lessThan">
      <formula>0.5</formula>
    </cfRule>
  </conditionalFormatting>
  <conditionalFormatting sqref="BF34">
    <cfRule type="cellIs" dxfId="17875" priority="132710" stopIfTrue="1" operator="greaterThanOrEqual">
      <formula>0.5</formula>
    </cfRule>
  </conditionalFormatting>
  <conditionalFormatting sqref="BF35">
    <cfRule type="cellIs" dxfId="17874" priority="132711" stopIfTrue="1" operator="equal">
      <formula>-1</formula>
    </cfRule>
  </conditionalFormatting>
  <conditionalFormatting sqref="BF35">
    <cfRule type="cellIs" dxfId="17873" priority="132712" stopIfTrue="1" operator="lessThan">
      <formula>0.5</formula>
    </cfRule>
  </conditionalFormatting>
  <conditionalFormatting sqref="BF35">
    <cfRule type="cellIs" dxfId="17872" priority="132713" stopIfTrue="1" operator="greaterThanOrEqual">
      <formula>0.5</formula>
    </cfRule>
  </conditionalFormatting>
  <conditionalFormatting sqref="BF36">
    <cfRule type="cellIs" dxfId="17871" priority="132714" stopIfTrue="1" operator="equal">
      <formula>-1</formula>
    </cfRule>
  </conditionalFormatting>
  <conditionalFormatting sqref="BF36">
    <cfRule type="cellIs" dxfId="17870" priority="132715" stopIfTrue="1" operator="lessThan">
      <formula>0.5</formula>
    </cfRule>
  </conditionalFormatting>
  <conditionalFormatting sqref="BF36">
    <cfRule type="cellIs" dxfId="17869" priority="132716" stopIfTrue="1" operator="greaterThanOrEqual">
      <formula>0.5</formula>
    </cfRule>
  </conditionalFormatting>
  <conditionalFormatting sqref="BF37">
    <cfRule type="cellIs" dxfId="17868" priority="132717" stopIfTrue="1" operator="equal">
      <formula>-1</formula>
    </cfRule>
  </conditionalFormatting>
  <conditionalFormatting sqref="BF37">
    <cfRule type="cellIs" dxfId="17867" priority="132718" stopIfTrue="1" operator="lessThan">
      <formula>0.5</formula>
    </cfRule>
  </conditionalFormatting>
  <conditionalFormatting sqref="BF37">
    <cfRule type="cellIs" dxfId="17866" priority="132719" stopIfTrue="1" operator="greaterThanOrEqual">
      <formula>0.5</formula>
    </cfRule>
  </conditionalFormatting>
  <conditionalFormatting sqref="BH17">
    <cfRule type="cellIs" dxfId="17865" priority="132720" stopIfTrue="1" operator="equal">
      <formula>-1</formula>
    </cfRule>
  </conditionalFormatting>
  <conditionalFormatting sqref="BH17">
    <cfRule type="cellIs" dxfId="17864" priority="132721" stopIfTrue="1" operator="lessThan">
      <formula>0.5</formula>
    </cfRule>
  </conditionalFormatting>
  <conditionalFormatting sqref="BH17">
    <cfRule type="cellIs" dxfId="17863" priority="132722" stopIfTrue="1" operator="greaterThanOrEqual">
      <formula>0.5</formula>
    </cfRule>
  </conditionalFormatting>
  <conditionalFormatting sqref="BH18">
    <cfRule type="cellIs" dxfId="17862" priority="132723" stopIfTrue="1" operator="equal">
      <formula>-1</formula>
    </cfRule>
  </conditionalFormatting>
  <conditionalFormatting sqref="BH18">
    <cfRule type="cellIs" dxfId="17861" priority="132724" stopIfTrue="1" operator="lessThan">
      <formula>0.5</formula>
    </cfRule>
  </conditionalFormatting>
  <conditionalFormatting sqref="BH18">
    <cfRule type="cellIs" dxfId="17860" priority="132725" stopIfTrue="1" operator="greaterThanOrEqual">
      <formula>0.5</formula>
    </cfRule>
  </conditionalFormatting>
  <conditionalFormatting sqref="BH19">
    <cfRule type="cellIs" dxfId="17859" priority="132726" stopIfTrue="1" operator="equal">
      <formula>-1</formula>
    </cfRule>
  </conditionalFormatting>
  <conditionalFormatting sqref="BH19">
    <cfRule type="cellIs" dxfId="17858" priority="132727" stopIfTrue="1" operator="lessThan">
      <formula>0.5</formula>
    </cfRule>
  </conditionalFormatting>
  <conditionalFormatting sqref="BH19">
    <cfRule type="cellIs" dxfId="17857" priority="132728" stopIfTrue="1" operator="greaterThanOrEqual">
      <formula>0.5</formula>
    </cfRule>
  </conditionalFormatting>
  <conditionalFormatting sqref="BH20">
    <cfRule type="cellIs" dxfId="17856" priority="132729" stopIfTrue="1" operator="equal">
      <formula>-1</formula>
    </cfRule>
  </conditionalFormatting>
  <conditionalFormatting sqref="BH20">
    <cfRule type="cellIs" dxfId="17855" priority="132730" stopIfTrue="1" operator="lessThan">
      <formula>0.5</formula>
    </cfRule>
  </conditionalFormatting>
  <conditionalFormatting sqref="BH20">
    <cfRule type="cellIs" dxfId="17854" priority="132731" stopIfTrue="1" operator="greaterThanOrEqual">
      <formula>0.5</formula>
    </cfRule>
  </conditionalFormatting>
  <conditionalFormatting sqref="BH21">
    <cfRule type="cellIs" dxfId="17853" priority="132732" stopIfTrue="1" operator="equal">
      <formula>-1</formula>
    </cfRule>
  </conditionalFormatting>
  <conditionalFormatting sqref="BH21">
    <cfRule type="cellIs" dxfId="17852" priority="132733" stopIfTrue="1" operator="lessThan">
      <formula>0.5</formula>
    </cfRule>
  </conditionalFormatting>
  <conditionalFormatting sqref="BH21">
    <cfRule type="cellIs" dxfId="17851" priority="132734" stopIfTrue="1" operator="greaterThanOrEqual">
      <formula>0.5</formula>
    </cfRule>
  </conditionalFormatting>
  <conditionalFormatting sqref="BH22">
    <cfRule type="cellIs" dxfId="17850" priority="132735" stopIfTrue="1" operator="equal">
      <formula>-1</formula>
    </cfRule>
  </conditionalFormatting>
  <conditionalFormatting sqref="BH22">
    <cfRule type="cellIs" dxfId="17849" priority="132736" stopIfTrue="1" operator="lessThan">
      <formula>0.5</formula>
    </cfRule>
  </conditionalFormatting>
  <conditionalFormatting sqref="BH22">
    <cfRule type="cellIs" dxfId="17848" priority="132737" stopIfTrue="1" operator="greaterThanOrEqual">
      <formula>0.5</formula>
    </cfRule>
  </conditionalFormatting>
  <conditionalFormatting sqref="BH23">
    <cfRule type="cellIs" dxfId="17847" priority="132738" stopIfTrue="1" operator="equal">
      <formula>-1</formula>
    </cfRule>
  </conditionalFormatting>
  <conditionalFormatting sqref="BH23">
    <cfRule type="cellIs" dxfId="17846" priority="132739" stopIfTrue="1" operator="lessThan">
      <formula>0.5</formula>
    </cfRule>
  </conditionalFormatting>
  <conditionalFormatting sqref="BH23">
    <cfRule type="cellIs" dxfId="17845" priority="132740" stopIfTrue="1" operator="greaterThanOrEqual">
      <formula>0.5</formula>
    </cfRule>
  </conditionalFormatting>
  <conditionalFormatting sqref="BH24">
    <cfRule type="cellIs" dxfId="17844" priority="132741" stopIfTrue="1" operator="equal">
      <formula>-1</formula>
    </cfRule>
  </conditionalFormatting>
  <conditionalFormatting sqref="BH24">
    <cfRule type="cellIs" dxfId="17843" priority="132742" stopIfTrue="1" operator="lessThan">
      <formula>0.5</formula>
    </cfRule>
  </conditionalFormatting>
  <conditionalFormatting sqref="BH24">
    <cfRule type="cellIs" dxfId="17842" priority="132743" stopIfTrue="1" operator="greaterThanOrEqual">
      <formula>0.5</formula>
    </cfRule>
  </conditionalFormatting>
  <conditionalFormatting sqref="BH25">
    <cfRule type="cellIs" dxfId="17841" priority="132744" stopIfTrue="1" operator="equal">
      <formula>-1</formula>
    </cfRule>
  </conditionalFormatting>
  <conditionalFormatting sqref="BH25">
    <cfRule type="cellIs" dxfId="17840" priority="132745" stopIfTrue="1" operator="lessThan">
      <formula>0.5</formula>
    </cfRule>
  </conditionalFormatting>
  <conditionalFormatting sqref="BH25">
    <cfRule type="cellIs" dxfId="17839" priority="132746" stopIfTrue="1" operator="greaterThanOrEqual">
      <formula>0.5</formula>
    </cfRule>
  </conditionalFormatting>
  <conditionalFormatting sqref="BH26">
    <cfRule type="cellIs" dxfId="17838" priority="132747" stopIfTrue="1" operator="equal">
      <formula>-1</formula>
    </cfRule>
  </conditionalFormatting>
  <conditionalFormatting sqref="BH26">
    <cfRule type="cellIs" dxfId="17837" priority="132748" stopIfTrue="1" operator="lessThan">
      <formula>0.5</formula>
    </cfRule>
  </conditionalFormatting>
  <conditionalFormatting sqref="BH26">
    <cfRule type="cellIs" dxfId="17836" priority="132749" stopIfTrue="1" operator="greaterThanOrEqual">
      <formula>0.5</formula>
    </cfRule>
  </conditionalFormatting>
  <conditionalFormatting sqref="BH27">
    <cfRule type="cellIs" dxfId="17835" priority="132750" stopIfTrue="1" operator="equal">
      <formula>-1</formula>
    </cfRule>
  </conditionalFormatting>
  <conditionalFormatting sqref="BH27">
    <cfRule type="cellIs" dxfId="17834" priority="132751" stopIfTrue="1" operator="lessThan">
      <formula>0.5</formula>
    </cfRule>
  </conditionalFormatting>
  <conditionalFormatting sqref="BH27">
    <cfRule type="cellIs" dxfId="17833" priority="132752" stopIfTrue="1" operator="greaterThanOrEqual">
      <formula>0.5</formula>
    </cfRule>
  </conditionalFormatting>
  <conditionalFormatting sqref="BH28">
    <cfRule type="cellIs" dxfId="17832" priority="132753" stopIfTrue="1" operator="equal">
      <formula>-1</formula>
    </cfRule>
  </conditionalFormatting>
  <conditionalFormatting sqref="BH28">
    <cfRule type="cellIs" dxfId="17831" priority="132754" stopIfTrue="1" operator="lessThan">
      <formula>0.5</formula>
    </cfRule>
  </conditionalFormatting>
  <conditionalFormatting sqref="BH28">
    <cfRule type="cellIs" dxfId="17830" priority="132755" stopIfTrue="1" operator="greaterThanOrEqual">
      <formula>0.5</formula>
    </cfRule>
  </conditionalFormatting>
  <conditionalFormatting sqref="BH29">
    <cfRule type="cellIs" dxfId="17829" priority="132756" stopIfTrue="1" operator="equal">
      <formula>-1</formula>
    </cfRule>
  </conditionalFormatting>
  <conditionalFormatting sqref="BH29">
    <cfRule type="cellIs" dxfId="17828" priority="132757" stopIfTrue="1" operator="lessThan">
      <formula>0.5</formula>
    </cfRule>
  </conditionalFormatting>
  <conditionalFormatting sqref="BH29">
    <cfRule type="cellIs" dxfId="17827" priority="132758" stopIfTrue="1" operator="greaterThanOrEqual">
      <formula>0.5</formula>
    </cfRule>
  </conditionalFormatting>
  <conditionalFormatting sqref="BH30">
    <cfRule type="cellIs" dxfId="17826" priority="132759" stopIfTrue="1" operator="equal">
      <formula>-1</formula>
    </cfRule>
  </conditionalFormatting>
  <conditionalFormatting sqref="BH30">
    <cfRule type="cellIs" dxfId="17825" priority="132760" stopIfTrue="1" operator="lessThan">
      <formula>0.5</formula>
    </cfRule>
  </conditionalFormatting>
  <conditionalFormatting sqref="BH30">
    <cfRule type="cellIs" dxfId="17824" priority="132761" stopIfTrue="1" operator="greaterThanOrEqual">
      <formula>0.5</formula>
    </cfRule>
  </conditionalFormatting>
  <conditionalFormatting sqref="BH31">
    <cfRule type="cellIs" dxfId="17823" priority="132762" stopIfTrue="1" operator="equal">
      <formula>-1</formula>
    </cfRule>
  </conditionalFormatting>
  <conditionalFormatting sqref="BH31">
    <cfRule type="cellIs" dxfId="17822" priority="132763" stopIfTrue="1" operator="lessThan">
      <formula>0.5</formula>
    </cfRule>
  </conditionalFormatting>
  <conditionalFormatting sqref="BH31">
    <cfRule type="cellIs" dxfId="17821" priority="132764" stopIfTrue="1" operator="greaterThanOrEqual">
      <formula>0.5</formula>
    </cfRule>
  </conditionalFormatting>
  <conditionalFormatting sqref="BH32">
    <cfRule type="cellIs" dxfId="17820" priority="132765" stopIfTrue="1" operator="equal">
      <formula>-1</formula>
    </cfRule>
  </conditionalFormatting>
  <conditionalFormatting sqref="BH32">
    <cfRule type="cellIs" dxfId="17819" priority="132766" stopIfTrue="1" operator="lessThan">
      <formula>0.5</formula>
    </cfRule>
  </conditionalFormatting>
  <conditionalFormatting sqref="BH32">
    <cfRule type="cellIs" dxfId="17818" priority="132767" stopIfTrue="1" operator="greaterThanOrEqual">
      <formula>0.5</formula>
    </cfRule>
  </conditionalFormatting>
  <conditionalFormatting sqref="BH33">
    <cfRule type="cellIs" dxfId="17817" priority="132768" stopIfTrue="1" operator="equal">
      <formula>-1</formula>
    </cfRule>
  </conditionalFormatting>
  <conditionalFormatting sqref="BH33">
    <cfRule type="cellIs" dxfId="17816" priority="132769" stopIfTrue="1" operator="lessThan">
      <formula>0.5</formula>
    </cfRule>
  </conditionalFormatting>
  <conditionalFormatting sqref="BH33">
    <cfRule type="cellIs" dxfId="17815" priority="132770" stopIfTrue="1" operator="greaterThanOrEqual">
      <formula>0.5</formula>
    </cfRule>
  </conditionalFormatting>
  <conditionalFormatting sqref="BH34">
    <cfRule type="cellIs" dxfId="17814" priority="132771" stopIfTrue="1" operator="equal">
      <formula>-1</formula>
    </cfRule>
  </conditionalFormatting>
  <conditionalFormatting sqref="BH34">
    <cfRule type="cellIs" dxfId="17813" priority="132772" stopIfTrue="1" operator="lessThan">
      <formula>0.5</formula>
    </cfRule>
  </conditionalFormatting>
  <conditionalFormatting sqref="BH34">
    <cfRule type="cellIs" dxfId="17812" priority="132773" stopIfTrue="1" operator="greaterThanOrEqual">
      <formula>0.5</formula>
    </cfRule>
  </conditionalFormatting>
  <conditionalFormatting sqref="BH35">
    <cfRule type="cellIs" dxfId="17811" priority="132774" stopIfTrue="1" operator="equal">
      <formula>-1</formula>
    </cfRule>
  </conditionalFormatting>
  <conditionalFormatting sqref="BH35">
    <cfRule type="cellIs" dxfId="17810" priority="132775" stopIfTrue="1" operator="lessThan">
      <formula>0.5</formula>
    </cfRule>
  </conditionalFormatting>
  <conditionalFormatting sqref="BH35">
    <cfRule type="cellIs" dxfId="17809" priority="132776" stopIfTrue="1" operator="greaterThanOrEqual">
      <formula>0.5</formula>
    </cfRule>
  </conditionalFormatting>
  <conditionalFormatting sqref="BH36">
    <cfRule type="cellIs" dxfId="17808" priority="132777" stopIfTrue="1" operator="equal">
      <formula>-1</formula>
    </cfRule>
  </conditionalFormatting>
  <conditionalFormatting sqref="BH36">
    <cfRule type="cellIs" dxfId="17807" priority="132778" stopIfTrue="1" operator="lessThan">
      <formula>0.5</formula>
    </cfRule>
  </conditionalFormatting>
  <conditionalFormatting sqref="BH36">
    <cfRule type="cellIs" dxfId="17806" priority="132779" stopIfTrue="1" operator="greaterThanOrEqual">
      <formula>0.5</formula>
    </cfRule>
  </conditionalFormatting>
  <conditionalFormatting sqref="BH37">
    <cfRule type="cellIs" dxfId="17805" priority="132780" stopIfTrue="1" operator="equal">
      <formula>-1</formula>
    </cfRule>
  </conditionalFormatting>
  <conditionalFormatting sqref="BH37">
    <cfRule type="cellIs" dxfId="17804" priority="132781" stopIfTrue="1" operator="lessThan">
      <formula>0.5</formula>
    </cfRule>
  </conditionalFormatting>
  <conditionalFormatting sqref="BH37">
    <cfRule type="cellIs" dxfId="17803" priority="132782" stopIfTrue="1" operator="greaterThanOrEqual">
      <formula>0.5</formula>
    </cfRule>
  </conditionalFormatting>
  <conditionalFormatting sqref="BJ17">
    <cfRule type="cellIs" dxfId="17802" priority="132783" stopIfTrue="1" operator="equal">
      <formula>-1</formula>
    </cfRule>
  </conditionalFormatting>
  <conditionalFormatting sqref="BJ17">
    <cfRule type="cellIs" dxfId="17801" priority="132784" stopIfTrue="1" operator="lessThan">
      <formula>0.5</formula>
    </cfRule>
  </conditionalFormatting>
  <conditionalFormatting sqref="BJ17">
    <cfRule type="cellIs" dxfId="17800" priority="132785" stopIfTrue="1" operator="greaterThanOrEqual">
      <formula>0.5</formula>
    </cfRule>
  </conditionalFormatting>
  <conditionalFormatting sqref="BJ18">
    <cfRule type="cellIs" dxfId="17799" priority="132786" stopIfTrue="1" operator="equal">
      <formula>-1</formula>
    </cfRule>
  </conditionalFormatting>
  <conditionalFormatting sqref="BJ18">
    <cfRule type="cellIs" dxfId="17798" priority="132787" stopIfTrue="1" operator="lessThan">
      <formula>0.5</formula>
    </cfRule>
  </conditionalFormatting>
  <conditionalFormatting sqref="BJ18">
    <cfRule type="cellIs" dxfId="17797" priority="132788" stopIfTrue="1" operator="greaterThanOrEqual">
      <formula>0.5</formula>
    </cfRule>
  </conditionalFormatting>
  <conditionalFormatting sqref="BJ19">
    <cfRule type="cellIs" dxfId="17796" priority="132789" stopIfTrue="1" operator="equal">
      <formula>-1</formula>
    </cfRule>
  </conditionalFormatting>
  <conditionalFormatting sqref="BJ19">
    <cfRule type="cellIs" dxfId="17795" priority="132790" stopIfTrue="1" operator="lessThan">
      <formula>0.5</formula>
    </cfRule>
  </conditionalFormatting>
  <conditionalFormatting sqref="BJ19">
    <cfRule type="cellIs" dxfId="17794" priority="132791" stopIfTrue="1" operator="greaterThanOrEqual">
      <formula>0.5</formula>
    </cfRule>
  </conditionalFormatting>
  <conditionalFormatting sqref="BJ20">
    <cfRule type="cellIs" dxfId="17793" priority="132792" stopIfTrue="1" operator="equal">
      <formula>-1</formula>
    </cfRule>
  </conditionalFormatting>
  <conditionalFormatting sqref="BJ20">
    <cfRule type="cellIs" dxfId="17792" priority="132793" stopIfTrue="1" operator="lessThan">
      <formula>0.5</formula>
    </cfRule>
  </conditionalFormatting>
  <conditionalFormatting sqref="BJ20">
    <cfRule type="cellIs" dxfId="17791" priority="132794" stopIfTrue="1" operator="greaterThanOrEqual">
      <formula>0.5</formula>
    </cfRule>
  </conditionalFormatting>
  <conditionalFormatting sqref="BJ21">
    <cfRule type="cellIs" dxfId="17790" priority="132795" stopIfTrue="1" operator="equal">
      <formula>-1</formula>
    </cfRule>
  </conditionalFormatting>
  <conditionalFormatting sqref="BJ21">
    <cfRule type="cellIs" dxfId="17789" priority="132796" stopIfTrue="1" operator="lessThan">
      <formula>0.5</formula>
    </cfRule>
  </conditionalFormatting>
  <conditionalFormatting sqref="BJ21">
    <cfRule type="cellIs" dxfId="17788" priority="132797" stopIfTrue="1" operator="greaterThanOrEqual">
      <formula>0.5</formula>
    </cfRule>
  </conditionalFormatting>
  <conditionalFormatting sqref="BJ22">
    <cfRule type="cellIs" dxfId="17787" priority="132798" stopIfTrue="1" operator="equal">
      <formula>-1</formula>
    </cfRule>
  </conditionalFormatting>
  <conditionalFormatting sqref="BJ22">
    <cfRule type="cellIs" dxfId="17786" priority="132799" stopIfTrue="1" operator="lessThan">
      <formula>0.5</formula>
    </cfRule>
  </conditionalFormatting>
  <conditionalFormatting sqref="BJ22">
    <cfRule type="cellIs" dxfId="17785" priority="132800" stopIfTrue="1" operator="greaterThanOrEqual">
      <formula>0.5</formula>
    </cfRule>
  </conditionalFormatting>
  <conditionalFormatting sqref="BJ23">
    <cfRule type="cellIs" dxfId="17784" priority="132801" stopIfTrue="1" operator="equal">
      <formula>-1</formula>
    </cfRule>
  </conditionalFormatting>
  <conditionalFormatting sqref="BJ23">
    <cfRule type="cellIs" dxfId="17783" priority="132802" stopIfTrue="1" operator="lessThan">
      <formula>0.5</formula>
    </cfRule>
  </conditionalFormatting>
  <conditionalFormatting sqref="BJ23">
    <cfRule type="cellIs" dxfId="17782" priority="132803" stopIfTrue="1" operator="greaterThanOrEqual">
      <formula>0.5</formula>
    </cfRule>
  </conditionalFormatting>
  <conditionalFormatting sqref="BJ24">
    <cfRule type="cellIs" dxfId="17781" priority="132804" stopIfTrue="1" operator="equal">
      <formula>-1</formula>
    </cfRule>
  </conditionalFormatting>
  <conditionalFormatting sqref="BJ24">
    <cfRule type="cellIs" dxfId="17780" priority="132805" stopIfTrue="1" operator="lessThan">
      <formula>0.5</formula>
    </cfRule>
  </conditionalFormatting>
  <conditionalFormatting sqref="BJ24">
    <cfRule type="cellIs" dxfId="17779" priority="132806" stopIfTrue="1" operator="greaterThanOrEqual">
      <formula>0.5</formula>
    </cfRule>
  </conditionalFormatting>
  <conditionalFormatting sqref="BJ25">
    <cfRule type="cellIs" dxfId="17778" priority="132807" stopIfTrue="1" operator="equal">
      <formula>-1</formula>
    </cfRule>
  </conditionalFormatting>
  <conditionalFormatting sqref="BJ25">
    <cfRule type="cellIs" dxfId="17777" priority="132808" stopIfTrue="1" operator="lessThan">
      <formula>0.5</formula>
    </cfRule>
  </conditionalFormatting>
  <conditionalFormatting sqref="BJ25">
    <cfRule type="cellIs" dxfId="17776" priority="132809" stopIfTrue="1" operator="greaterThanOrEqual">
      <formula>0.5</formula>
    </cfRule>
  </conditionalFormatting>
  <conditionalFormatting sqref="BJ26">
    <cfRule type="cellIs" dxfId="17775" priority="132810" stopIfTrue="1" operator="equal">
      <formula>-1</formula>
    </cfRule>
  </conditionalFormatting>
  <conditionalFormatting sqref="BJ26">
    <cfRule type="cellIs" dxfId="17774" priority="132811" stopIfTrue="1" operator="lessThan">
      <formula>0.5</formula>
    </cfRule>
  </conditionalFormatting>
  <conditionalFormatting sqref="BJ26">
    <cfRule type="cellIs" dxfId="17773" priority="132812" stopIfTrue="1" operator="greaterThanOrEqual">
      <formula>0.5</formula>
    </cfRule>
  </conditionalFormatting>
  <conditionalFormatting sqref="BJ27">
    <cfRule type="cellIs" dxfId="17772" priority="132813" stopIfTrue="1" operator="equal">
      <formula>-1</formula>
    </cfRule>
  </conditionalFormatting>
  <conditionalFormatting sqref="BJ27">
    <cfRule type="cellIs" dxfId="17771" priority="132814" stopIfTrue="1" operator="lessThan">
      <formula>0.5</formula>
    </cfRule>
  </conditionalFormatting>
  <conditionalFormatting sqref="BJ27">
    <cfRule type="cellIs" dxfId="17770" priority="132815" stopIfTrue="1" operator="greaterThanOrEqual">
      <formula>0.5</formula>
    </cfRule>
  </conditionalFormatting>
  <conditionalFormatting sqref="BJ28">
    <cfRule type="cellIs" dxfId="17769" priority="132816" stopIfTrue="1" operator="equal">
      <formula>-1</formula>
    </cfRule>
  </conditionalFormatting>
  <conditionalFormatting sqref="BJ28">
    <cfRule type="cellIs" dxfId="17768" priority="132817" stopIfTrue="1" operator="lessThan">
      <formula>0.5</formula>
    </cfRule>
  </conditionalFormatting>
  <conditionalFormatting sqref="BJ28">
    <cfRule type="cellIs" dxfId="17767" priority="132818" stopIfTrue="1" operator="greaterThanOrEqual">
      <formula>0.5</formula>
    </cfRule>
  </conditionalFormatting>
  <conditionalFormatting sqref="BJ29">
    <cfRule type="cellIs" dxfId="17766" priority="132819" stopIfTrue="1" operator="equal">
      <formula>-1</formula>
    </cfRule>
  </conditionalFormatting>
  <conditionalFormatting sqref="BJ29">
    <cfRule type="cellIs" dxfId="17765" priority="132820" stopIfTrue="1" operator="lessThan">
      <formula>0.5</formula>
    </cfRule>
  </conditionalFormatting>
  <conditionalFormatting sqref="BJ29">
    <cfRule type="cellIs" dxfId="17764" priority="132821" stopIfTrue="1" operator="greaterThanOrEqual">
      <formula>0.5</formula>
    </cfRule>
  </conditionalFormatting>
  <conditionalFormatting sqref="BJ30">
    <cfRule type="cellIs" dxfId="17763" priority="132822" stopIfTrue="1" operator="equal">
      <formula>-1</formula>
    </cfRule>
  </conditionalFormatting>
  <conditionalFormatting sqref="BJ30">
    <cfRule type="cellIs" dxfId="17762" priority="132823" stopIfTrue="1" operator="lessThan">
      <formula>0.5</formula>
    </cfRule>
  </conditionalFormatting>
  <conditionalFormatting sqref="BJ30">
    <cfRule type="cellIs" dxfId="17761" priority="132824" stopIfTrue="1" operator="greaterThanOrEqual">
      <formula>0.5</formula>
    </cfRule>
  </conditionalFormatting>
  <conditionalFormatting sqref="BJ31">
    <cfRule type="cellIs" dxfId="17760" priority="132825" stopIfTrue="1" operator="equal">
      <formula>-1</formula>
    </cfRule>
  </conditionalFormatting>
  <conditionalFormatting sqref="BJ31">
    <cfRule type="cellIs" dxfId="17759" priority="132826" stopIfTrue="1" operator="lessThan">
      <formula>0.5</formula>
    </cfRule>
  </conditionalFormatting>
  <conditionalFormatting sqref="BJ31">
    <cfRule type="cellIs" dxfId="17758" priority="132827" stopIfTrue="1" operator="greaterThanOrEqual">
      <formula>0.5</formula>
    </cfRule>
  </conditionalFormatting>
  <conditionalFormatting sqref="BJ32">
    <cfRule type="cellIs" dxfId="17757" priority="132828" stopIfTrue="1" operator="equal">
      <formula>-1</formula>
    </cfRule>
  </conditionalFormatting>
  <conditionalFormatting sqref="BJ32">
    <cfRule type="cellIs" dxfId="17756" priority="132829" stopIfTrue="1" operator="lessThan">
      <formula>0.5</formula>
    </cfRule>
  </conditionalFormatting>
  <conditionalFormatting sqref="BJ32">
    <cfRule type="cellIs" dxfId="17755" priority="132830" stopIfTrue="1" operator="greaterThanOrEqual">
      <formula>0.5</formula>
    </cfRule>
  </conditionalFormatting>
  <conditionalFormatting sqref="BJ33">
    <cfRule type="cellIs" dxfId="17754" priority="132831" stopIfTrue="1" operator="equal">
      <formula>-1</formula>
    </cfRule>
  </conditionalFormatting>
  <conditionalFormatting sqref="BJ33">
    <cfRule type="cellIs" dxfId="17753" priority="132832" stopIfTrue="1" operator="lessThan">
      <formula>0.5</formula>
    </cfRule>
  </conditionalFormatting>
  <conditionalFormatting sqref="BJ33">
    <cfRule type="cellIs" dxfId="17752" priority="132833" stopIfTrue="1" operator="greaterThanOrEqual">
      <formula>0.5</formula>
    </cfRule>
  </conditionalFormatting>
  <conditionalFormatting sqref="BJ34">
    <cfRule type="cellIs" dxfId="17751" priority="132834" stopIfTrue="1" operator="equal">
      <formula>-1</formula>
    </cfRule>
  </conditionalFormatting>
  <conditionalFormatting sqref="BJ34">
    <cfRule type="cellIs" dxfId="17750" priority="132835" stopIfTrue="1" operator="lessThan">
      <formula>0.5</formula>
    </cfRule>
  </conditionalFormatting>
  <conditionalFormatting sqref="BJ34">
    <cfRule type="cellIs" dxfId="17749" priority="132836" stopIfTrue="1" operator="greaterThanOrEqual">
      <formula>0.5</formula>
    </cfRule>
  </conditionalFormatting>
  <conditionalFormatting sqref="BJ35">
    <cfRule type="cellIs" dxfId="17748" priority="132837" stopIfTrue="1" operator="equal">
      <formula>-1</formula>
    </cfRule>
  </conditionalFormatting>
  <conditionalFormatting sqref="BJ35">
    <cfRule type="cellIs" dxfId="17747" priority="132838" stopIfTrue="1" operator="lessThan">
      <formula>0.5</formula>
    </cfRule>
  </conditionalFormatting>
  <conditionalFormatting sqref="BJ35">
    <cfRule type="cellIs" dxfId="17746" priority="132839" stopIfTrue="1" operator="greaterThanOrEqual">
      <formula>0.5</formula>
    </cfRule>
  </conditionalFormatting>
  <conditionalFormatting sqref="BJ36">
    <cfRule type="cellIs" dxfId="17745" priority="132840" stopIfTrue="1" operator="equal">
      <formula>-1</formula>
    </cfRule>
  </conditionalFormatting>
  <conditionalFormatting sqref="BJ36">
    <cfRule type="cellIs" dxfId="17744" priority="132841" stopIfTrue="1" operator="lessThan">
      <formula>0.5</formula>
    </cfRule>
  </conditionalFormatting>
  <conditionalFormatting sqref="BJ36">
    <cfRule type="cellIs" dxfId="17743" priority="132842" stopIfTrue="1" operator="greaterThanOrEqual">
      <formula>0.5</formula>
    </cfRule>
  </conditionalFormatting>
  <conditionalFormatting sqref="BJ37">
    <cfRule type="cellIs" dxfId="17742" priority="132843" stopIfTrue="1" operator="equal">
      <formula>-1</formula>
    </cfRule>
  </conditionalFormatting>
  <conditionalFormatting sqref="BJ37">
    <cfRule type="cellIs" dxfId="17741" priority="132844" stopIfTrue="1" operator="lessThan">
      <formula>0.5</formula>
    </cfRule>
  </conditionalFormatting>
  <conditionalFormatting sqref="BJ37">
    <cfRule type="cellIs" dxfId="17740" priority="132845" stopIfTrue="1" operator="greaterThanOrEqual">
      <formula>0.5</formula>
    </cfRule>
  </conditionalFormatting>
  <conditionalFormatting sqref="D39">
    <cfRule type="cellIs" dxfId="17739" priority="132846" stopIfTrue="1" operator="equal">
      <formula>-1</formula>
    </cfRule>
  </conditionalFormatting>
  <conditionalFormatting sqref="D39">
    <cfRule type="cellIs" dxfId="17738" priority="132847" stopIfTrue="1" operator="lessThan">
      <formula>0.5</formula>
    </cfRule>
  </conditionalFormatting>
  <conditionalFormatting sqref="D39">
    <cfRule type="cellIs" dxfId="17737" priority="132848" stopIfTrue="1" operator="greaterThanOrEqual">
      <formula>0.5</formula>
    </cfRule>
  </conditionalFormatting>
  <conditionalFormatting sqref="D40">
    <cfRule type="cellIs" dxfId="17736" priority="132849" stopIfTrue="1" operator="equal">
      <formula>-1</formula>
    </cfRule>
  </conditionalFormatting>
  <conditionalFormatting sqref="D40">
    <cfRule type="cellIs" dxfId="17735" priority="132850" stopIfTrue="1" operator="lessThan">
      <formula>0.5</formula>
    </cfRule>
  </conditionalFormatting>
  <conditionalFormatting sqref="D40">
    <cfRule type="cellIs" dxfId="17734" priority="132851" stopIfTrue="1" operator="greaterThanOrEqual">
      <formula>0.5</formula>
    </cfRule>
  </conditionalFormatting>
  <conditionalFormatting sqref="D41">
    <cfRule type="cellIs" dxfId="17733" priority="132852" stopIfTrue="1" operator="equal">
      <formula>-1</formula>
    </cfRule>
  </conditionalFormatting>
  <conditionalFormatting sqref="D41">
    <cfRule type="cellIs" dxfId="17732" priority="132853" stopIfTrue="1" operator="lessThan">
      <formula>0.5</formula>
    </cfRule>
  </conditionalFormatting>
  <conditionalFormatting sqref="D41">
    <cfRule type="cellIs" dxfId="17731" priority="132854" stopIfTrue="1" operator="greaterThanOrEqual">
      <formula>0.5</formula>
    </cfRule>
  </conditionalFormatting>
  <conditionalFormatting sqref="D42">
    <cfRule type="cellIs" dxfId="17730" priority="132855" stopIfTrue="1" operator="equal">
      <formula>-1</formula>
    </cfRule>
  </conditionalFormatting>
  <conditionalFormatting sqref="D42">
    <cfRule type="cellIs" dxfId="17729" priority="132856" stopIfTrue="1" operator="lessThan">
      <formula>0.5</formula>
    </cfRule>
  </conditionalFormatting>
  <conditionalFormatting sqref="D42">
    <cfRule type="cellIs" dxfId="17728" priority="132857" stopIfTrue="1" operator="greaterThanOrEqual">
      <formula>0.5</formula>
    </cfRule>
  </conditionalFormatting>
  <conditionalFormatting sqref="D43">
    <cfRule type="cellIs" dxfId="17727" priority="132858" stopIfTrue="1" operator="equal">
      <formula>-1</formula>
    </cfRule>
  </conditionalFormatting>
  <conditionalFormatting sqref="D43">
    <cfRule type="cellIs" dxfId="17726" priority="132859" stopIfTrue="1" operator="lessThan">
      <formula>0.5</formula>
    </cfRule>
  </conditionalFormatting>
  <conditionalFormatting sqref="D43">
    <cfRule type="cellIs" dxfId="17725" priority="132860" stopIfTrue="1" operator="greaterThanOrEqual">
      <formula>0.5</formula>
    </cfRule>
  </conditionalFormatting>
  <conditionalFormatting sqref="D44">
    <cfRule type="cellIs" dxfId="17724" priority="132861" stopIfTrue="1" operator="equal">
      <formula>-1</formula>
    </cfRule>
  </conditionalFormatting>
  <conditionalFormatting sqref="D44">
    <cfRule type="cellIs" dxfId="17723" priority="132862" stopIfTrue="1" operator="lessThan">
      <formula>0.5</formula>
    </cfRule>
  </conditionalFormatting>
  <conditionalFormatting sqref="D44">
    <cfRule type="cellIs" dxfId="17722" priority="132863" stopIfTrue="1" operator="greaterThanOrEqual">
      <formula>0.5</formula>
    </cfRule>
  </conditionalFormatting>
  <conditionalFormatting sqref="D45">
    <cfRule type="cellIs" dxfId="17721" priority="132864" stopIfTrue="1" operator="equal">
      <formula>-1</formula>
    </cfRule>
  </conditionalFormatting>
  <conditionalFormatting sqref="D45">
    <cfRule type="cellIs" dxfId="17720" priority="132865" stopIfTrue="1" operator="lessThan">
      <formula>0.5</formula>
    </cfRule>
  </conditionalFormatting>
  <conditionalFormatting sqref="D45">
    <cfRule type="cellIs" dxfId="17719" priority="132866" stopIfTrue="1" operator="greaterThanOrEqual">
      <formula>0.5</formula>
    </cfRule>
  </conditionalFormatting>
  <conditionalFormatting sqref="D46">
    <cfRule type="cellIs" dxfId="17718" priority="132867" stopIfTrue="1" operator="equal">
      <formula>-1</formula>
    </cfRule>
  </conditionalFormatting>
  <conditionalFormatting sqref="D46">
    <cfRule type="cellIs" dxfId="17717" priority="132868" stopIfTrue="1" operator="lessThan">
      <formula>0.5</formula>
    </cfRule>
  </conditionalFormatting>
  <conditionalFormatting sqref="D46">
    <cfRule type="cellIs" dxfId="17716" priority="132869" stopIfTrue="1" operator="greaterThanOrEqual">
      <formula>0.5</formula>
    </cfRule>
  </conditionalFormatting>
  <conditionalFormatting sqref="D47">
    <cfRule type="cellIs" dxfId="17715" priority="132870" stopIfTrue="1" operator="equal">
      <formula>-1</formula>
    </cfRule>
  </conditionalFormatting>
  <conditionalFormatting sqref="D47">
    <cfRule type="cellIs" dxfId="17714" priority="132871" stopIfTrue="1" operator="lessThan">
      <formula>0.5</formula>
    </cfRule>
  </conditionalFormatting>
  <conditionalFormatting sqref="D47">
    <cfRule type="cellIs" dxfId="17713" priority="132872" stopIfTrue="1" operator="greaterThanOrEqual">
      <formula>0.5</formula>
    </cfRule>
  </conditionalFormatting>
  <conditionalFormatting sqref="D48">
    <cfRule type="cellIs" dxfId="17712" priority="132873" stopIfTrue="1" operator="equal">
      <formula>-1</formula>
    </cfRule>
  </conditionalFormatting>
  <conditionalFormatting sqref="D48">
    <cfRule type="cellIs" dxfId="17711" priority="132874" stopIfTrue="1" operator="lessThan">
      <formula>0.5</formula>
    </cfRule>
  </conditionalFormatting>
  <conditionalFormatting sqref="D48">
    <cfRule type="cellIs" dxfId="17710" priority="132875" stopIfTrue="1" operator="greaterThanOrEqual">
      <formula>0.5</formula>
    </cfRule>
  </conditionalFormatting>
  <conditionalFormatting sqref="D49">
    <cfRule type="cellIs" dxfId="17709" priority="132876" stopIfTrue="1" operator="equal">
      <formula>-1</formula>
    </cfRule>
  </conditionalFormatting>
  <conditionalFormatting sqref="D49">
    <cfRule type="cellIs" dxfId="17708" priority="132877" stopIfTrue="1" operator="lessThan">
      <formula>0.5</formula>
    </cfRule>
  </conditionalFormatting>
  <conditionalFormatting sqref="D49">
    <cfRule type="cellIs" dxfId="17707" priority="132878" stopIfTrue="1" operator="greaterThanOrEqual">
      <formula>0.5</formula>
    </cfRule>
  </conditionalFormatting>
  <conditionalFormatting sqref="D50">
    <cfRule type="cellIs" dxfId="17706" priority="132879" stopIfTrue="1" operator="equal">
      <formula>-1</formula>
    </cfRule>
  </conditionalFormatting>
  <conditionalFormatting sqref="D50">
    <cfRule type="cellIs" dxfId="17705" priority="132880" stopIfTrue="1" operator="lessThan">
      <formula>0.5</formula>
    </cfRule>
  </conditionalFormatting>
  <conditionalFormatting sqref="D50">
    <cfRule type="cellIs" dxfId="17704" priority="132881" stopIfTrue="1" operator="greaterThanOrEqual">
      <formula>0.5</formula>
    </cfRule>
  </conditionalFormatting>
  <conditionalFormatting sqref="D51">
    <cfRule type="cellIs" dxfId="17703" priority="132882" stopIfTrue="1" operator="equal">
      <formula>-1</formula>
    </cfRule>
  </conditionalFormatting>
  <conditionalFormatting sqref="D51">
    <cfRule type="cellIs" dxfId="17702" priority="132883" stopIfTrue="1" operator="lessThan">
      <formula>0.5</formula>
    </cfRule>
  </conditionalFormatting>
  <conditionalFormatting sqref="D51">
    <cfRule type="cellIs" dxfId="17701" priority="132884" stopIfTrue="1" operator="greaterThanOrEqual">
      <formula>0.5</formula>
    </cfRule>
  </conditionalFormatting>
  <conditionalFormatting sqref="D52">
    <cfRule type="cellIs" dxfId="17700" priority="132885" stopIfTrue="1" operator="equal">
      <formula>-1</formula>
    </cfRule>
  </conditionalFormatting>
  <conditionalFormatting sqref="D52">
    <cfRule type="cellIs" dxfId="17699" priority="132886" stopIfTrue="1" operator="lessThan">
      <formula>0.5</formula>
    </cfRule>
  </conditionalFormatting>
  <conditionalFormatting sqref="D52">
    <cfRule type="cellIs" dxfId="17698" priority="132887" stopIfTrue="1" operator="greaterThanOrEqual">
      <formula>0.5</formula>
    </cfRule>
  </conditionalFormatting>
  <conditionalFormatting sqref="D53">
    <cfRule type="cellIs" dxfId="17697" priority="132888" stopIfTrue="1" operator="equal">
      <formula>-1</formula>
    </cfRule>
  </conditionalFormatting>
  <conditionalFormatting sqref="D53">
    <cfRule type="cellIs" dxfId="17696" priority="132889" stopIfTrue="1" operator="lessThan">
      <formula>0.5</formula>
    </cfRule>
  </conditionalFormatting>
  <conditionalFormatting sqref="D53">
    <cfRule type="cellIs" dxfId="17695" priority="132890" stopIfTrue="1" operator="greaterThanOrEqual">
      <formula>0.5</formula>
    </cfRule>
  </conditionalFormatting>
  <conditionalFormatting sqref="D54">
    <cfRule type="cellIs" dxfId="17694" priority="132891" stopIfTrue="1" operator="equal">
      <formula>-1</formula>
    </cfRule>
  </conditionalFormatting>
  <conditionalFormatting sqref="D54">
    <cfRule type="cellIs" dxfId="17693" priority="132892" stopIfTrue="1" operator="lessThan">
      <formula>0.5</formula>
    </cfRule>
  </conditionalFormatting>
  <conditionalFormatting sqref="D54">
    <cfRule type="cellIs" dxfId="17692" priority="132893" stopIfTrue="1" operator="greaterThanOrEqual">
      <formula>0.5</formula>
    </cfRule>
  </conditionalFormatting>
  <conditionalFormatting sqref="D55">
    <cfRule type="cellIs" dxfId="17691" priority="132894" stopIfTrue="1" operator="equal">
      <formula>-1</formula>
    </cfRule>
  </conditionalFormatting>
  <conditionalFormatting sqref="D55">
    <cfRule type="cellIs" dxfId="17690" priority="132895" stopIfTrue="1" operator="lessThan">
      <formula>0.5</formula>
    </cfRule>
  </conditionalFormatting>
  <conditionalFormatting sqref="D55">
    <cfRule type="cellIs" dxfId="17689" priority="132896" stopIfTrue="1" operator="greaterThanOrEqual">
      <formula>0.5</formula>
    </cfRule>
  </conditionalFormatting>
  <conditionalFormatting sqref="D56">
    <cfRule type="cellIs" dxfId="17688" priority="132897" stopIfTrue="1" operator="equal">
      <formula>-1</formula>
    </cfRule>
  </conditionalFormatting>
  <conditionalFormatting sqref="D56">
    <cfRule type="cellIs" dxfId="17687" priority="132898" stopIfTrue="1" operator="lessThan">
      <formula>0.5</formula>
    </cfRule>
  </conditionalFormatting>
  <conditionalFormatting sqref="D56">
    <cfRule type="cellIs" dxfId="17686" priority="132899" stopIfTrue="1" operator="greaterThanOrEqual">
      <formula>0.5</formula>
    </cfRule>
  </conditionalFormatting>
  <conditionalFormatting sqref="D57">
    <cfRule type="cellIs" dxfId="17685" priority="132900" stopIfTrue="1" operator="equal">
      <formula>-1</formula>
    </cfRule>
  </conditionalFormatting>
  <conditionalFormatting sqref="D57">
    <cfRule type="cellIs" dxfId="17684" priority="132901" stopIfTrue="1" operator="lessThan">
      <formula>0.5</formula>
    </cfRule>
  </conditionalFormatting>
  <conditionalFormatting sqref="D57">
    <cfRule type="cellIs" dxfId="17683" priority="132902" stopIfTrue="1" operator="greaterThanOrEqual">
      <formula>0.5</formula>
    </cfRule>
  </conditionalFormatting>
  <conditionalFormatting sqref="D58">
    <cfRule type="cellIs" dxfId="17682" priority="132903" stopIfTrue="1" operator="equal">
      <formula>-1</formula>
    </cfRule>
  </conditionalFormatting>
  <conditionalFormatting sqref="D58">
    <cfRule type="cellIs" dxfId="17681" priority="132904" stopIfTrue="1" operator="lessThan">
      <formula>0.5</formula>
    </cfRule>
  </conditionalFormatting>
  <conditionalFormatting sqref="D58">
    <cfRule type="cellIs" dxfId="17680" priority="132905" stopIfTrue="1" operator="greaterThanOrEqual">
      <formula>0.5</formula>
    </cfRule>
  </conditionalFormatting>
  <conditionalFormatting sqref="F39">
    <cfRule type="cellIs" dxfId="17679" priority="132906" stopIfTrue="1" operator="equal">
      <formula>-1</formula>
    </cfRule>
  </conditionalFormatting>
  <conditionalFormatting sqref="F39">
    <cfRule type="cellIs" dxfId="17678" priority="132907" stopIfTrue="1" operator="lessThan">
      <formula>0.5</formula>
    </cfRule>
  </conditionalFormatting>
  <conditionalFormatting sqref="F39">
    <cfRule type="cellIs" dxfId="17677" priority="132908" stopIfTrue="1" operator="greaterThanOrEqual">
      <formula>0.5</formula>
    </cfRule>
  </conditionalFormatting>
  <conditionalFormatting sqref="F40">
    <cfRule type="cellIs" dxfId="17676" priority="132909" stopIfTrue="1" operator="equal">
      <formula>-1</formula>
    </cfRule>
  </conditionalFormatting>
  <conditionalFormatting sqref="F40">
    <cfRule type="cellIs" dxfId="17675" priority="132910" stopIfTrue="1" operator="lessThan">
      <formula>0.5</formula>
    </cfRule>
  </conditionalFormatting>
  <conditionalFormatting sqref="F40">
    <cfRule type="cellIs" dxfId="17674" priority="132911" stopIfTrue="1" operator="greaterThanOrEqual">
      <formula>0.5</formula>
    </cfRule>
  </conditionalFormatting>
  <conditionalFormatting sqref="F41">
    <cfRule type="cellIs" dxfId="17673" priority="132912" stopIfTrue="1" operator="equal">
      <formula>-1</formula>
    </cfRule>
  </conditionalFormatting>
  <conditionalFormatting sqref="F41">
    <cfRule type="cellIs" dxfId="17672" priority="132913" stopIfTrue="1" operator="lessThan">
      <formula>0.5</formula>
    </cfRule>
  </conditionalFormatting>
  <conditionalFormatting sqref="F41">
    <cfRule type="cellIs" dxfId="17671" priority="132914" stopIfTrue="1" operator="greaterThanOrEqual">
      <formula>0.5</formula>
    </cfRule>
  </conditionalFormatting>
  <conditionalFormatting sqref="F42">
    <cfRule type="cellIs" dxfId="17670" priority="132915" stopIfTrue="1" operator="equal">
      <formula>-1</formula>
    </cfRule>
  </conditionalFormatting>
  <conditionalFormatting sqref="F42">
    <cfRule type="cellIs" dxfId="17669" priority="132916" stopIfTrue="1" operator="lessThan">
      <formula>0.5</formula>
    </cfRule>
  </conditionalFormatting>
  <conditionalFormatting sqref="F42">
    <cfRule type="cellIs" dxfId="17668" priority="132917" stopIfTrue="1" operator="greaterThanOrEqual">
      <formula>0.5</formula>
    </cfRule>
  </conditionalFormatting>
  <conditionalFormatting sqref="F43">
    <cfRule type="cellIs" dxfId="17667" priority="132918" stopIfTrue="1" operator="equal">
      <formula>-1</formula>
    </cfRule>
  </conditionalFormatting>
  <conditionalFormatting sqref="F43">
    <cfRule type="cellIs" dxfId="17666" priority="132919" stopIfTrue="1" operator="lessThan">
      <formula>0.5</formula>
    </cfRule>
  </conditionalFormatting>
  <conditionalFormatting sqref="F43">
    <cfRule type="cellIs" dxfId="17665" priority="132920" stopIfTrue="1" operator="greaterThanOrEqual">
      <formula>0.5</formula>
    </cfRule>
  </conditionalFormatting>
  <conditionalFormatting sqref="F44">
    <cfRule type="cellIs" dxfId="17664" priority="132921" stopIfTrue="1" operator="equal">
      <formula>-1</formula>
    </cfRule>
  </conditionalFormatting>
  <conditionalFormatting sqref="F44">
    <cfRule type="cellIs" dxfId="17663" priority="132922" stopIfTrue="1" operator="lessThan">
      <formula>0.5</formula>
    </cfRule>
  </conditionalFormatting>
  <conditionalFormatting sqref="F44">
    <cfRule type="cellIs" dxfId="17662" priority="132923" stopIfTrue="1" operator="greaterThanOrEqual">
      <formula>0.5</formula>
    </cfRule>
  </conditionalFormatting>
  <conditionalFormatting sqref="F45">
    <cfRule type="cellIs" dxfId="17661" priority="132924" stopIfTrue="1" operator="equal">
      <formula>-1</formula>
    </cfRule>
  </conditionalFormatting>
  <conditionalFormatting sqref="F45">
    <cfRule type="cellIs" dxfId="17660" priority="132925" stopIfTrue="1" operator="lessThan">
      <formula>0.5</formula>
    </cfRule>
  </conditionalFormatting>
  <conditionalFormatting sqref="F45">
    <cfRule type="cellIs" dxfId="17659" priority="132926" stopIfTrue="1" operator="greaterThanOrEqual">
      <formula>0.5</formula>
    </cfRule>
  </conditionalFormatting>
  <conditionalFormatting sqref="F46">
    <cfRule type="cellIs" dxfId="17658" priority="132927" stopIfTrue="1" operator="equal">
      <formula>-1</formula>
    </cfRule>
  </conditionalFormatting>
  <conditionalFormatting sqref="F46">
    <cfRule type="cellIs" dxfId="17657" priority="132928" stopIfTrue="1" operator="lessThan">
      <formula>0.5</formula>
    </cfRule>
  </conditionalFormatting>
  <conditionalFormatting sqref="F46">
    <cfRule type="cellIs" dxfId="17656" priority="132929" stopIfTrue="1" operator="greaterThanOrEqual">
      <formula>0.5</formula>
    </cfRule>
  </conditionalFormatting>
  <conditionalFormatting sqref="F47">
    <cfRule type="cellIs" dxfId="17655" priority="132930" stopIfTrue="1" operator="equal">
      <formula>-1</formula>
    </cfRule>
  </conditionalFormatting>
  <conditionalFormatting sqref="F47">
    <cfRule type="cellIs" dxfId="17654" priority="132931" stopIfTrue="1" operator="lessThan">
      <formula>0.5</formula>
    </cfRule>
  </conditionalFormatting>
  <conditionalFormatting sqref="F47">
    <cfRule type="cellIs" dxfId="17653" priority="132932" stopIfTrue="1" operator="greaterThanOrEqual">
      <formula>0.5</formula>
    </cfRule>
  </conditionalFormatting>
  <conditionalFormatting sqref="F48">
    <cfRule type="cellIs" dxfId="17652" priority="132933" stopIfTrue="1" operator="equal">
      <formula>-1</formula>
    </cfRule>
  </conditionalFormatting>
  <conditionalFormatting sqref="F48">
    <cfRule type="cellIs" dxfId="17651" priority="132934" stopIfTrue="1" operator="lessThan">
      <formula>0.5</formula>
    </cfRule>
  </conditionalFormatting>
  <conditionalFormatting sqref="F48">
    <cfRule type="cellIs" dxfId="17650" priority="132935" stopIfTrue="1" operator="greaterThanOrEqual">
      <formula>0.5</formula>
    </cfRule>
  </conditionalFormatting>
  <conditionalFormatting sqref="F49">
    <cfRule type="cellIs" dxfId="17649" priority="132936" stopIfTrue="1" operator="equal">
      <formula>-1</formula>
    </cfRule>
  </conditionalFormatting>
  <conditionalFormatting sqref="F49">
    <cfRule type="cellIs" dxfId="17648" priority="132937" stopIfTrue="1" operator="lessThan">
      <formula>0.5</formula>
    </cfRule>
  </conditionalFormatting>
  <conditionalFormatting sqref="F49">
    <cfRule type="cellIs" dxfId="17647" priority="132938" stopIfTrue="1" operator="greaterThanOrEqual">
      <formula>0.5</formula>
    </cfRule>
  </conditionalFormatting>
  <conditionalFormatting sqref="F50">
    <cfRule type="cellIs" dxfId="17646" priority="132939" stopIfTrue="1" operator="equal">
      <formula>-1</formula>
    </cfRule>
  </conditionalFormatting>
  <conditionalFormatting sqref="F50">
    <cfRule type="cellIs" dxfId="17645" priority="132940" stopIfTrue="1" operator="lessThan">
      <formula>0.5</formula>
    </cfRule>
  </conditionalFormatting>
  <conditionalFormatting sqref="F50">
    <cfRule type="cellIs" dxfId="17644" priority="132941" stopIfTrue="1" operator="greaterThanOrEqual">
      <formula>0.5</formula>
    </cfRule>
  </conditionalFormatting>
  <conditionalFormatting sqref="F51">
    <cfRule type="cellIs" dxfId="17643" priority="132942" stopIfTrue="1" operator="equal">
      <formula>-1</formula>
    </cfRule>
  </conditionalFormatting>
  <conditionalFormatting sqref="F51">
    <cfRule type="cellIs" dxfId="17642" priority="132943" stopIfTrue="1" operator="lessThan">
      <formula>0.5</formula>
    </cfRule>
  </conditionalFormatting>
  <conditionalFormatting sqref="F51">
    <cfRule type="cellIs" dxfId="17641" priority="132944" stopIfTrue="1" operator="greaterThanOrEqual">
      <formula>0.5</formula>
    </cfRule>
  </conditionalFormatting>
  <conditionalFormatting sqref="F52">
    <cfRule type="cellIs" dxfId="17640" priority="132945" stopIfTrue="1" operator="equal">
      <formula>-1</formula>
    </cfRule>
  </conditionalFormatting>
  <conditionalFormatting sqref="F52">
    <cfRule type="cellIs" dxfId="17639" priority="132946" stopIfTrue="1" operator="lessThan">
      <formula>0.5</formula>
    </cfRule>
  </conditionalFormatting>
  <conditionalFormatting sqref="F52">
    <cfRule type="cellIs" dxfId="17638" priority="132947" stopIfTrue="1" operator="greaterThanOrEqual">
      <formula>0.5</formula>
    </cfRule>
  </conditionalFormatting>
  <conditionalFormatting sqref="F53">
    <cfRule type="cellIs" dxfId="17637" priority="132948" stopIfTrue="1" operator="equal">
      <formula>-1</formula>
    </cfRule>
  </conditionalFormatting>
  <conditionalFormatting sqref="F53">
    <cfRule type="cellIs" dxfId="17636" priority="132949" stopIfTrue="1" operator="lessThan">
      <formula>0.5</formula>
    </cfRule>
  </conditionalFormatting>
  <conditionalFormatting sqref="F53">
    <cfRule type="cellIs" dxfId="17635" priority="132950" stopIfTrue="1" operator="greaterThanOrEqual">
      <formula>0.5</formula>
    </cfRule>
  </conditionalFormatting>
  <conditionalFormatting sqref="F54">
    <cfRule type="cellIs" dxfId="17634" priority="132951" stopIfTrue="1" operator="equal">
      <formula>-1</formula>
    </cfRule>
  </conditionalFormatting>
  <conditionalFormatting sqref="F54">
    <cfRule type="cellIs" dxfId="17633" priority="132952" stopIfTrue="1" operator="lessThan">
      <formula>0.5</formula>
    </cfRule>
  </conditionalFormatting>
  <conditionalFormatting sqref="F54">
    <cfRule type="cellIs" dxfId="17632" priority="132953" stopIfTrue="1" operator="greaterThanOrEqual">
      <formula>0.5</formula>
    </cfRule>
  </conditionalFormatting>
  <conditionalFormatting sqref="F55">
    <cfRule type="cellIs" dxfId="17631" priority="132954" stopIfTrue="1" operator="equal">
      <formula>-1</formula>
    </cfRule>
  </conditionalFormatting>
  <conditionalFormatting sqref="F55">
    <cfRule type="cellIs" dxfId="17630" priority="132955" stopIfTrue="1" operator="lessThan">
      <formula>0.5</formula>
    </cfRule>
  </conditionalFormatting>
  <conditionalFormatting sqref="F55">
    <cfRule type="cellIs" dxfId="17629" priority="132956" stopIfTrue="1" operator="greaterThanOrEqual">
      <formula>0.5</formula>
    </cfRule>
  </conditionalFormatting>
  <conditionalFormatting sqref="F56">
    <cfRule type="cellIs" dxfId="17628" priority="132957" stopIfTrue="1" operator="equal">
      <formula>-1</formula>
    </cfRule>
  </conditionalFormatting>
  <conditionalFormatting sqref="F56">
    <cfRule type="cellIs" dxfId="17627" priority="132958" stopIfTrue="1" operator="lessThan">
      <formula>0.5</formula>
    </cfRule>
  </conditionalFormatting>
  <conditionalFormatting sqref="F56">
    <cfRule type="cellIs" dxfId="17626" priority="132959" stopIfTrue="1" operator="greaterThanOrEqual">
      <formula>0.5</formula>
    </cfRule>
  </conditionalFormatting>
  <conditionalFormatting sqref="F57">
    <cfRule type="cellIs" dxfId="17625" priority="132960" stopIfTrue="1" operator="equal">
      <formula>-1</formula>
    </cfRule>
  </conditionalFormatting>
  <conditionalFormatting sqref="F57">
    <cfRule type="cellIs" dxfId="17624" priority="132961" stopIfTrue="1" operator="lessThan">
      <formula>0.5</formula>
    </cfRule>
  </conditionalFormatting>
  <conditionalFormatting sqref="F57">
    <cfRule type="cellIs" dxfId="17623" priority="132962" stopIfTrue="1" operator="greaterThanOrEqual">
      <formula>0.5</formula>
    </cfRule>
  </conditionalFormatting>
  <conditionalFormatting sqref="F58">
    <cfRule type="cellIs" dxfId="17622" priority="132963" stopIfTrue="1" operator="equal">
      <formula>-1</formula>
    </cfRule>
  </conditionalFormatting>
  <conditionalFormatting sqref="F58">
    <cfRule type="cellIs" dxfId="17621" priority="132964" stopIfTrue="1" operator="lessThan">
      <formula>0.5</formula>
    </cfRule>
  </conditionalFormatting>
  <conditionalFormatting sqref="F58">
    <cfRule type="cellIs" dxfId="17620" priority="132965" stopIfTrue="1" operator="greaterThanOrEqual">
      <formula>0.5</formula>
    </cfRule>
  </conditionalFormatting>
  <conditionalFormatting sqref="H39">
    <cfRule type="cellIs" dxfId="17619" priority="132966" stopIfTrue="1" operator="equal">
      <formula>-1</formula>
    </cfRule>
  </conditionalFormatting>
  <conditionalFormatting sqref="H39">
    <cfRule type="cellIs" dxfId="17618" priority="132967" stopIfTrue="1" operator="lessThan">
      <formula>0.5</formula>
    </cfRule>
  </conditionalFormatting>
  <conditionalFormatting sqref="H39">
    <cfRule type="cellIs" dxfId="17617" priority="132968" stopIfTrue="1" operator="greaterThanOrEqual">
      <formula>0.5</formula>
    </cfRule>
  </conditionalFormatting>
  <conditionalFormatting sqref="H40">
    <cfRule type="cellIs" dxfId="17616" priority="132969" stopIfTrue="1" operator="equal">
      <formula>-1</formula>
    </cfRule>
  </conditionalFormatting>
  <conditionalFormatting sqref="H40">
    <cfRule type="cellIs" dxfId="17615" priority="132970" stopIfTrue="1" operator="lessThan">
      <formula>0.5</formula>
    </cfRule>
  </conditionalFormatting>
  <conditionalFormatting sqref="H40">
    <cfRule type="cellIs" dxfId="17614" priority="132971" stopIfTrue="1" operator="greaterThanOrEqual">
      <formula>0.5</formula>
    </cfRule>
  </conditionalFormatting>
  <conditionalFormatting sqref="H41">
    <cfRule type="cellIs" dxfId="17613" priority="132972" stopIfTrue="1" operator="equal">
      <formula>-1</formula>
    </cfRule>
  </conditionalFormatting>
  <conditionalFormatting sqref="H41">
    <cfRule type="cellIs" dxfId="17612" priority="132973" stopIfTrue="1" operator="lessThan">
      <formula>0.5</formula>
    </cfRule>
  </conditionalFormatting>
  <conditionalFormatting sqref="H41">
    <cfRule type="cellIs" dxfId="17611" priority="132974" stopIfTrue="1" operator="greaterThanOrEqual">
      <formula>0.5</formula>
    </cfRule>
  </conditionalFormatting>
  <conditionalFormatting sqref="H42">
    <cfRule type="cellIs" dxfId="17610" priority="132975" stopIfTrue="1" operator="equal">
      <formula>-1</formula>
    </cfRule>
  </conditionalFormatting>
  <conditionalFormatting sqref="H42">
    <cfRule type="cellIs" dxfId="17609" priority="132976" stopIfTrue="1" operator="lessThan">
      <formula>0.5</formula>
    </cfRule>
  </conditionalFormatting>
  <conditionalFormatting sqref="H42">
    <cfRule type="cellIs" dxfId="17608" priority="132977" stopIfTrue="1" operator="greaterThanOrEqual">
      <formula>0.5</formula>
    </cfRule>
  </conditionalFormatting>
  <conditionalFormatting sqref="H43">
    <cfRule type="cellIs" dxfId="17607" priority="132978" stopIfTrue="1" operator="equal">
      <formula>-1</formula>
    </cfRule>
  </conditionalFormatting>
  <conditionalFormatting sqref="H43">
    <cfRule type="cellIs" dxfId="17606" priority="132979" stopIfTrue="1" operator="lessThan">
      <formula>0.5</formula>
    </cfRule>
  </conditionalFormatting>
  <conditionalFormatting sqref="H43">
    <cfRule type="cellIs" dxfId="17605" priority="132980" stopIfTrue="1" operator="greaterThanOrEqual">
      <formula>0.5</formula>
    </cfRule>
  </conditionalFormatting>
  <conditionalFormatting sqref="H44">
    <cfRule type="cellIs" dxfId="17604" priority="132981" stopIfTrue="1" operator="equal">
      <formula>-1</formula>
    </cfRule>
  </conditionalFormatting>
  <conditionalFormatting sqref="H44">
    <cfRule type="cellIs" dxfId="17603" priority="132982" stopIfTrue="1" operator="lessThan">
      <formula>0.5</formula>
    </cfRule>
  </conditionalFormatting>
  <conditionalFormatting sqref="H44">
    <cfRule type="cellIs" dxfId="17602" priority="132983" stopIfTrue="1" operator="greaterThanOrEqual">
      <formula>0.5</formula>
    </cfRule>
  </conditionalFormatting>
  <conditionalFormatting sqref="H45">
    <cfRule type="cellIs" dxfId="17601" priority="132984" stopIfTrue="1" operator="equal">
      <formula>-1</formula>
    </cfRule>
  </conditionalFormatting>
  <conditionalFormatting sqref="H45">
    <cfRule type="cellIs" dxfId="17600" priority="132985" stopIfTrue="1" operator="lessThan">
      <formula>0.5</formula>
    </cfRule>
  </conditionalFormatting>
  <conditionalFormatting sqref="H45">
    <cfRule type="cellIs" dxfId="17599" priority="132986" stopIfTrue="1" operator="greaterThanOrEqual">
      <formula>0.5</formula>
    </cfRule>
  </conditionalFormatting>
  <conditionalFormatting sqref="H46">
    <cfRule type="cellIs" dxfId="17598" priority="132987" stopIfTrue="1" operator="equal">
      <formula>-1</formula>
    </cfRule>
  </conditionalFormatting>
  <conditionalFormatting sqref="H46">
    <cfRule type="cellIs" dxfId="17597" priority="132988" stopIfTrue="1" operator="lessThan">
      <formula>0.5</formula>
    </cfRule>
  </conditionalFormatting>
  <conditionalFormatting sqref="H46">
    <cfRule type="cellIs" dxfId="17596" priority="132989" stopIfTrue="1" operator="greaterThanOrEqual">
      <formula>0.5</formula>
    </cfRule>
  </conditionalFormatting>
  <conditionalFormatting sqref="H47">
    <cfRule type="cellIs" dxfId="17595" priority="132990" stopIfTrue="1" operator="equal">
      <formula>-1</formula>
    </cfRule>
  </conditionalFormatting>
  <conditionalFormatting sqref="H47">
    <cfRule type="cellIs" dxfId="17594" priority="132991" stopIfTrue="1" operator="lessThan">
      <formula>0.5</formula>
    </cfRule>
  </conditionalFormatting>
  <conditionalFormatting sqref="H47">
    <cfRule type="cellIs" dxfId="17593" priority="132992" stopIfTrue="1" operator="greaterThanOrEqual">
      <formula>0.5</formula>
    </cfRule>
  </conditionalFormatting>
  <conditionalFormatting sqref="H48">
    <cfRule type="cellIs" dxfId="17592" priority="132993" stopIfTrue="1" operator="equal">
      <formula>-1</formula>
    </cfRule>
  </conditionalFormatting>
  <conditionalFormatting sqref="H48">
    <cfRule type="cellIs" dxfId="17591" priority="132994" stopIfTrue="1" operator="lessThan">
      <formula>0.5</formula>
    </cfRule>
  </conditionalFormatting>
  <conditionalFormatting sqref="H48">
    <cfRule type="cellIs" dxfId="17590" priority="132995" stopIfTrue="1" operator="greaterThanOrEqual">
      <formula>0.5</formula>
    </cfRule>
  </conditionalFormatting>
  <conditionalFormatting sqref="H49">
    <cfRule type="cellIs" dxfId="17589" priority="132996" stopIfTrue="1" operator="equal">
      <formula>-1</formula>
    </cfRule>
  </conditionalFormatting>
  <conditionalFormatting sqref="H49">
    <cfRule type="cellIs" dxfId="17588" priority="132997" stopIfTrue="1" operator="lessThan">
      <formula>0.5</formula>
    </cfRule>
  </conditionalFormatting>
  <conditionalFormatting sqref="H49">
    <cfRule type="cellIs" dxfId="17587" priority="132998" stopIfTrue="1" operator="greaterThanOrEqual">
      <formula>0.5</formula>
    </cfRule>
  </conditionalFormatting>
  <conditionalFormatting sqref="H50">
    <cfRule type="cellIs" dxfId="17586" priority="132999" stopIfTrue="1" operator="equal">
      <formula>-1</formula>
    </cfRule>
  </conditionalFormatting>
  <conditionalFormatting sqref="H50">
    <cfRule type="cellIs" dxfId="17585" priority="133000" stopIfTrue="1" operator="lessThan">
      <formula>0.5</formula>
    </cfRule>
  </conditionalFormatting>
  <conditionalFormatting sqref="H50">
    <cfRule type="cellIs" dxfId="17584" priority="133001" stopIfTrue="1" operator="greaterThanOrEqual">
      <formula>0.5</formula>
    </cfRule>
  </conditionalFormatting>
  <conditionalFormatting sqref="H51">
    <cfRule type="cellIs" dxfId="17583" priority="133002" stopIfTrue="1" operator="equal">
      <formula>-1</formula>
    </cfRule>
  </conditionalFormatting>
  <conditionalFormatting sqref="H51">
    <cfRule type="cellIs" dxfId="17582" priority="133003" stopIfTrue="1" operator="lessThan">
      <formula>0.5</formula>
    </cfRule>
  </conditionalFormatting>
  <conditionalFormatting sqref="H51">
    <cfRule type="cellIs" dxfId="17581" priority="133004" stopIfTrue="1" operator="greaterThanOrEqual">
      <formula>0.5</formula>
    </cfRule>
  </conditionalFormatting>
  <conditionalFormatting sqref="H52">
    <cfRule type="cellIs" dxfId="17580" priority="133005" stopIfTrue="1" operator="equal">
      <formula>-1</formula>
    </cfRule>
  </conditionalFormatting>
  <conditionalFormatting sqref="H52">
    <cfRule type="cellIs" dxfId="17579" priority="133006" stopIfTrue="1" operator="lessThan">
      <formula>0.5</formula>
    </cfRule>
  </conditionalFormatting>
  <conditionalFormatting sqref="H52">
    <cfRule type="cellIs" dxfId="17578" priority="133007" stopIfTrue="1" operator="greaterThanOrEqual">
      <formula>0.5</formula>
    </cfRule>
  </conditionalFormatting>
  <conditionalFormatting sqref="H53">
    <cfRule type="cellIs" dxfId="17577" priority="133008" stopIfTrue="1" operator="equal">
      <formula>-1</formula>
    </cfRule>
  </conditionalFormatting>
  <conditionalFormatting sqref="H53">
    <cfRule type="cellIs" dxfId="17576" priority="133009" stopIfTrue="1" operator="lessThan">
      <formula>0.5</formula>
    </cfRule>
  </conditionalFormatting>
  <conditionalFormatting sqref="H53">
    <cfRule type="cellIs" dxfId="17575" priority="133010" stopIfTrue="1" operator="greaterThanOrEqual">
      <formula>0.5</formula>
    </cfRule>
  </conditionalFormatting>
  <conditionalFormatting sqref="H54">
    <cfRule type="cellIs" dxfId="17574" priority="133011" stopIfTrue="1" operator="equal">
      <formula>-1</formula>
    </cfRule>
  </conditionalFormatting>
  <conditionalFormatting sqref="H54">
    <cfRule type="cellIs" dxfId="17573" priority="133012" stopIfTrue="1" operator="lessThan">
      <formula>0.5</formula>
    </cfRule>
  </conditionalFormatting>
  <conditionalFormatting sqref="H54">
    <cfRule type="cellIs" dxfId="17572" priority="133013" stopIfTrue="1" operator="greaterThanOrEqual">
      <formula>0.5</formula>
    </cfRule>
  </conditionalFormatting>
  <conditionalFormatting sqref="H55">
    <cfRule type="cellIs" dxfId="17571" priority="133014" stopIfTrue="1" operator="equal">
      <formula>-1</formula>
    </cfRule>
  </conditionalFormatting>
  <conditionalFormatting sqref="H55">
    <cfRule type="cellIs" dxfId="17570" priority="133015" stopIfTrue="1" operator="lessThan">
      <formula>0.5</formula>
    </cfRule>
  </conditionalFormatting>
  <conditionalFormatting sqref="H55">
    <cfRule type="cellIs" dxfId="17569" priority="133016" stopIfTrue="1" operator="greaterThanOrEqual">
      <formula>0.5</formula>
    </cfRule>
  </conditionalFormatting>
  <conditionalFormatting sqref="H56">
    <cfRule type="cellIs" dxfId="17568" priority="133017" stopIfTrue="1" operator="equal">
      <formula>-1</formula>
    </cfRule>
  </conditionalFormatting>
  <conditionalFormatting sqref="H56">
    <cfRule type="cellIs" dxfId="17567" priority="133018" stopIfTrue="1" operator="lessThan">
      <formula>0.5</formula>
    </cfRule>
  </conditionalFormatting>
  <conditionalFormatting sqref="H56">
    <cfRule type="cellIs" dxfId="17566" priority="133019" stopIfTrue="1" operator="greaterThanOrEqual">
      <formula>0.5</formula>
    </cfRule>
  </conditionalFormatting>
  <conditionalFormatting sqref="H57">
    <cfRule type="cellIs" dxfId="17565" priority="133020" stopIfTrue="1" operator="equal">
      <formula>-1</formula>
    </cfRule>
  </conditionalFormatting>
  <conditionalFormatting sqref="H57">
    <cfRule type="cellIs" dxfId="17564" priority="133021" stopIfTrue="1" operator="lessThan">
      <formula>0.5</formula>
    </cfRule>
  </conditionalFormatting>
  <conditionalFormatting sqref="H57">
    <cfRule type="cellIs" dxfId="17563" priority="133022" stopIfTrue="1" operator="greaterThanOrEqual">
      <formula>0.5</formula>
    </cfRule>
  </conditionalFormatting>
  <conditionalFormatting sqref="H58">
    <cfRule type="cellIs" dxfId="17562" priority="133023" stopIfTrue="1" operator="equal">
      <formula>-1</formula>
    </cfRule>
  </conditionalFormatting>
  <conditionalFormatting sqref="H58">
    <cfRule type="cellIs" dxfId="17561" priority="133024" stopIfTrue="1" operator="lessThan">
      <formula>0.5</formula>
    </cfRule>
  </conditionalFormatting>
  <conditionalFormatting sqref="H58">
    <cfRule type="cellIs" dxfId="17560" priority="133025" stopIfTrue="1" operator="greaterThanOrEqual">
      <formula>0.5</formula>
    </cfRule>
  </conditionalFormatting>
  <conditionalFormatting sqref="J39">
    <cfRule type="cellIs" dxfId="17559" priority="133026" stopIfTrue="1" operator="equal">
      <formula>-1</formula>
    </cfRule>
  </conditionalFormatting>
  <conditionalFormatting sqref="J39">
    <cfRule type="cellIs" dxfId="17558" priority="133027" stopIfTrue="1" operator="lessThan">
      <formula>0.5</formula>
    </cfRule>
  </conditionalFormatting>
  <conditionalFormatting sqref="J39">
    <cfRule type="cellIs" dxfId="17557" priority="133028" stopIfTrue="1" operator="greaterThanOrEqual">
      <formula>0.5</formula>
    </cfRule>
  </conditionalFormatting>
  <conditionalFormatting sqref="J40">
    <cfRule type="cellIs" dxfId="17556" priority="133029" stopIfTrue="1" operator="equal">
      <formula>-1</formula>
    </cfRule>
  </conditionalFormatting>
  <conditionalFormatting sqref="J40">
    <cfRule type="cellIs" dxfId="17555" priority="133030" stopIfTrue="1" operator="lessThan">
      <formula>0.5</formula>
    </cfRule>
  </conditionalFormatting>
  <conditionalFormatting sqref="J40">
    <cfRule type="cellIs" dxfId="17554" priority="133031" stopIfTrue="1" operator="greaterThanOrEqual">
      <formula>0.5</formula>
    </cfRule>
  </conditionalFormatting>
  <conditionalFormatting sqref="J41">
    <cfRule type="cellIs" dxfId="17553" priority="133032" stopIfTrue="1" operator="equal">
      <formula>-1</formula>
    </cfRule>
  </conditionalFormatting>
  <conditionalFormatting sqref="J41">
    <cfRule type="cellIs" dxfId="17552" priority="133033" stopIfTrue="1" operator="lessThan">
      <formula>0.5</formula>
    </cfRule>
  </conditionalFormatting>
  <conditionalFormatting sqref="J41">
    <cfRule type="cellIs" dxfId="17551" priority="133034" stopIfTrue="1" operator="greaterThanOrEqual">
      <formula>0.5</formula>
    </cfRule>
  </conditionalFormatting>
  <conditionalFormatting sqref="J42">
    <cfRule type="cellIs" dxfId="17550" priority="133035" stopIfTrue="1" operator="equal">
      <formula>-1</formula>
    </cfRule>
  </conditionalFormatting>
  <conditionalFormatting sqref="J42">
    <cfRule type="cellIs" dxfId="17549" priority="133036" stopIfTrue="1" operator="lessThan">
      <formula>0.5</formula>
    </cfRule>
  </conditionalFormatting>
  <conditionalFormatting sqref="J42">
    <cfRule type="cellIs" dxfId="17548" priority="133037" stopIfTrue="1" operator="greaterThanOrEqual">
      <formula>0.5</formula>
    </cfRule>
  </conditionalFormatting>
  <conditionalFormatting sqref="J43">
    <cfRule type="cellIs" dxfId="17547" priority="133038" stopIfTrue="1" operator="equal">
      <formula>-1</formula>
    </cfRule>
  </conditionalFormatting>
  <conditionalFormatting sqref="J43">
    <cfRule type="cellIs" dxfId="17546" priority="133039" stopIfTrue="1" operator="lessThan">
      <formula>0.5</formula>
    </cfRule>
  </conditionalFormatting>
  <conditionalFormatting sqref="J43">
    <cfRule type="cellIs" dxfId="17545" priority="133040" stopIfTrue="1" operator="greaterThanOrEqual">
      <formula>0.5</formula>
    </cfRule>
  </conditionalFormatting>
  <conditionalFormatting sqref="J44">
    <cfRule type="cellIs" dxfId="17544" priority="133041" stopIfTrue="1" operator="equal">
      <formula>-1</formula>
    </cfRule>
  </conditionalFormatting>
  <conditionalFormatting sqref="J44">
    <cfRule type="cellIs" dxfId="17543" priority="133042" stopIfTrue="1" operator="lessThan">
      <formula>0.5</formula>
    </cfRule>
  </conditionalFormatting>
  <conditionalFormatting sqref="J44">
    <cfRule type="cellIs" dxfId="17542" priority="133043" stopIfTrue="1" operator="greaterThanOrEqual">
      <formula>0.5</formula>
    </cfRule>
  </conditionalFormatting>
  <conditionalFormatting sqref="J45">
    <cfRule type="cellIs" dxfId="17541" priority="133044" stopIfTrue="1" operator="equal">
      <formula>-1</formula>
    </cfRule>
  </conditionalFormatting>
  <conditionalFormatting sqref="J45">
    <cfRule type="cellIs" dxfId="17540" priority="133045" stopIfTrue="1" operator="lessThan">
      <formula>0.5</formula>
    </cfRule>
  </conditionalFormatting>
  <conditionalFormatting sqref="J45">
    <cfRule type="cellIs" dxfId="17539" priority="133046" stopIfTrue="1" operator="greaterThanOrEqual">
      <formula>0.5</formula>
    </cfRule>
  </conditionalFormatting>
  <conditionalFormatting sqref="J46">
    <cfRule type="cellIs" dxfId="17538" priority="133047" stopIfTrue="1" operator="equal">
      <formula>-1</formula>
    </cfRule>
  </conditionalFormatting>
  <conditionalFormatting sqref="J46">
    <cfRule type="cellIs" dxfId="17537" priority="133048" stopIfTrue="1" operator="lessThan">
      <formula>0.5</formula>
    </cfRule>
  </conditionalFormatting>
  <conditionalFormatting sqref="J46">
    <cfRule type="cellIs" dxfId="17536" priority="133049" stopIfTrue="1" operator="greaterThanOrEqual">
      <formula>0.5</formula>
    </cfRule>
  </conditionalFormatting>
  <conditionalFormatting sqref="J47">
    <cfRule type="cellIs" dxfId="17535" priority="133050" stopIfTrue="1" operator="equal">
      <formula>-1</formula>
    </cfRule>
  </conditionalFormatting>
  <conditionalFormatting sqref="J47">
    <cfRule type="cellIs" dxfId="17534" priority="133051" stopIfTrue="1" operator="lessThan">
      <formula>0.5</formula>
    </cfRule>
  </conditionalFormatting>
  <conditionalFormatting sqref="J47">
    <cfRule type="cellIs" dxfId="17533" priority="133052" stopIfTrue="1" operator="greaterThanOrEqual">
      <formula>0.5</formula>
    </cfRule>
  </conditionalFormatting>
  <conditionalFormatting sqref="J48">
    <cfRule type="cellIs" dxfId="17532" priority="133053" stopIfTrue="1" operator="equal">
      <formula>-1</formula>
    </cfRule>
  </conditionalFormatting>
  <conditionalFormatting sqref="J48">
    <cfRule type="cellIs" dxfId="17531" priority="133054" stopIfTrue="1" operator="lessThan">
      <formula>0.5</formula>
    </cfRule>
  </conditionalFormatting>
  <conditionalFormatting sqref="J48">
    <cfRule type="cellIs" dxfId="17530" priority="133055" stopIfTrue="1" operator="greaterThanOrEqual">
      <formula>0.5</formula>
    </cfRule>
  </conditionalFormatting>
  <conditionalFormatting sqref="J49">
    <cfRule type="cellIs" dxfId="17529" priority="133056" stopIfTrue="1" operator="equal">
      <formula>-1</formula>
    </cfRule>
  </conditionalFormatting>
  <conditionalFormatting sqref="J49">
    <cfRule type="cellIs" dxfId="17528" priority="133057" stopIfTrue="1" operator="lessThan">
      <formula>0.5</formula>
    </cfRule>
  </conditionalFormatting>
  <conditionalFormatting sqref="J49">
    <cfRule type="cellIs" dxfId="17527" priority="133058" stopIfTrue="1" operator="greaterThanOrEqual">
      <formula>0.5</formula>
    </cfRule>
  </conditionalFormatting>
  <conditionalFormatting sqref="J50">
    <cfRule type="cellIs" dxfId="17526" priority="133059" stopIfTrue="1" operator="equal">
      <formula>-1</formula>
    </cfRule>
  </conditionalFormatting>
  <conditionalFormatting sqref="J50">
    <cfRule type="cellIs" dxfId="17525" priority="133060" stopIfTrue="1" operator="lessThan">
      <formula>0.5</formula>
    </cfRule>
  </conditionalFormatting>
  <conditionalFormatting sqref="J50">
    <cfRule type="cellIs" dxfId="17524" priority="133061" stopIfTrue="1" operator="greaterThanOrEqual">
      <formula>0.5</formula>
    </cfRule>
  </conditionalFormatting>
  <conditionalFormatting sqref="J51">
    <cfRule type="cellIs" dxfId="17523" priority="133062" stopIfTrue="1" operator="equal">
      <formula>-1</formula>
    </cfRule>
  </conditionalFormatting>
  <conditionalFormatting sqref="J51">
    <cfRule type="cellIs" dxfId="17522" priority="133063" stopIfTrue="1" operator="lessThan">
      <formula>0.5</formula>
    </cfRule>
  </conditionalFormatting>
  <conditionalFormatting sqref="J51">
    <cfRule type="cellIs" dxfId="17521" priority="133064" stopIfTrue="1" operator="greaterThanOrEqual">
      <formula>0.5</formula>
    </cfRule>
  </conditionalFormatting>
  <conditionalFormatting sqref="J52">
    <cfRule type="cellIs" dxfId="17520" priority="133065" stopIfTrue="1" operator="equal">
      <formula>-1</formula>
    </cfRule>
  </conditionalFormatting>
  <conditionalFormatting sqref="J52">
    <cfRule type="cellIs" dxfId="17519" priority="133066" stopIfTrue="1" operator="lessThan">
      <formula>0.5</formula>
    </cfRule>
  </conditionalFormatting>
  <conditionalFormatting sqref="J52">
    <cfRule type="cellIs" dxfId="17518" priority="133067" stopIfTrue="1" operator="greaterThanOrEqual">
      <formula>0.5</formula>
    </cfRule>
  </conditionalFormatting>
  <conditionalFormatting sqref="J53">
    <cfRule type="cellIs" dxfId="17517" priority="133068" stopIfTrue="1" operator="equal">
      <formula>-1</formula>
    </cfRule>
  </conditionalFormatting>
  <conditionalFormatting sqref="J53">
    <cfRule type="cellIs" dxfId="17516" priority="133069" stopIfTrue="1" operator="lessThan">
      <formula>0.5</formula>
    </cfRule>
  </conditionalFormatting>
  <conditionalFormatting sqref="J53">
    <cfRule type="cellIs" dxfId="17515" priority="133070" stopIfTrue="1" operator="greaterThanOrEqual">
      <formula>0.5</formula>
    </cfRule>
  </conditionalFormatting>
  <conditionalFormatting sqref="J54">
    <cfRule type="cellIs" dxfId="17514" priority="133071" stopIfTrue="1" operator="equal">
      <formula>-1</formula>
    </cfRule>
  </conditionalFormatting>
  <conditionalFormatting sqref="J54">
    <cfRule type="cellIs" dxfId="17513" priority="133072" stopIfTrue="1" operator="lessThan">
      <formula>0.5</formula>
    </cfRule>
  </conditionalFormatting>
  <conditionalFormatting sqref="J54">
    <cfRule type="cellIs" dxfId="17512" priority="133073" stopIfTrue="1" operator="greaterThanOrEqual">
      <formula>0.5</formula>
    </cfRule>
  </conditionalFormatting>
  <conditionalFormatting sqref="J55">
    <cfRule type="cellIs" dxfId="17511" priority="133074" stopIfTrue="1" operator="equal">
      <formula>-1</formula>
    </cfRule>
  </conditionalFormatting>
  <conditionalFormatting sqref="J55">
    <cfRule type="cellIs" dxfId="17510" priority="133075" stopIfTrue="1" operator="lessThan">
      <formula>0.5</formula>
    </cfRule>
  </conditionalFormatting>
  <conditionalFormatting sqref="J55">
    <cfRule type="cellIs" dxfId="17509" priority="133076" stopIfTrue="1" operator="greaterThanOrEqual">
      <formula>0.5</formula>
    </cfRule>
  </conditionalFormatting>
  <conditionalFormatting sqref="J56">
    <cfRule type="cellIs" dxfId="17508" priority="133077" stopIfTrue="1" operator="equal">
      <formula>-1</formula>
    </cfRule>
  </conditionalFormatting>
  <conditionalFormatting sqref="J56">
    <cfRule type="cellIs" dxfId="17507" priority="133078" stopIfTrue="1" operator="lessThan">
      <formula>0.5</formula>
    </cfRule>
  </conditionalFormatting>
  <conditionalFormatting sqref="J56">
    <cfRule type="cellIs" dxfId="17506" priority="133079" stopIfTrue="1" operator="greaterThanOrEqual">
      <formula>0.5</formula>
    </cfRule>
  </conditionalFormatting>
  <conditionalFormatting sqref="J57">
    <cfRule type="cellIs" dxfId="17505" priority="133080" stopIfTrue="1" operator="equal">
      <formula>-1</formula>
    </cfRule>
  </conditionalFormatting>
  <conditionalFormatting sqref="J57">
    <cfRule type="cellIs" dxfId="17504" priority="133081" stopIfTrue="1" operator="lessThan">
      <formula>0.5</formula>
    </cfRule>
  </conditionalFormatting>
  <conditionalFormatting sqref="J57">
    <cfRule type="cellIs" dxfId="17503" priority="133082" stopIfTrue="1" operator="greaterThanOrEqual">
      <formula>0.5</formula>
    </cfRule>
  </conditionalFormatting>
  <conditionalFormatting sqref="J58">
    <cfRule type="cellIs" dxfId="17502" priority="133083" stopIfTrue="1" operator="equal">
      <formula>-1</formula>
    </cfRule>
  </conditionalFormatting>
  <conditionalFormatting sqref="J58">
    <cfRule type="cellIs" dxfId="17501" priority="133084" stopIfTrue="1" operator="lessThan">
      <formula>0.5</formula>
    </cfRule>
  </conditionalFormatting>
  <conditionalFormatting sqref="J58">
    <cfRule type="cellIs" dxfId="17500" priority="133085" stopIfTrue="1" operator="greaterThanOrEqual">
      <formula>0.5</formula>
    </cfRule>
  </conditionalFormatting>
  <conditionalFormatting sqref="L39">
    <cfRule type="cellIs" dxfId="17499" priority="133086" stopIfTrue="1" operator="equal">
      <formula>-1</formula>
    </cfRule>
  </conditionalFormatting>
  <conditionalFormatting sqref="L39">
    <cfRule type="cellIs" dxfId="17498" priority="133087" stopIfTrue="1" operator="lessThan">
      <formula>0.5</formula>
    </cfRule>
  </conditionalFormatting>
  <conditionalFormatting sqref="L39">
    <cfRule type="cellIs" dxfId="17497" priority="133088" stopIfTrue="1" operator="greaterThanOrEqual">
      <formula>0.5</formula>
    </cfRule>
  </conditionalFormatting>
  <conditionalFormatting sqref="L40">
    <cfRule type="cellIs" dxfId="17496" priority="133089" stopIfTrue="1" operator="equal">
      <formula>-1</formula>
    </cfRule>
  </conditionalFormatting>
  <conditionalFormatting sqref="L40">
    <cfRule type="cellIs" dxfId="17495" priority="133090" stopIfTrue="1" operator="lessThan">
      <formula>0.5</formula>
    </cfRule>
  </conditionalFormatting>
  <conditionalFormatting sqref="L40">
    <cfRule type="cellIs" dxfId="17494" priority="133091" stopIfTrue="1" operator="greaterThanOrEqual">
      <formula>0.5</formula>
    </cfRule>
  </conditionalFormatting>
  <conditionalFormatting sqref="L41">
    <cfRule type="cellIs" dxfId="17493" priority="133092" stopIfTrue="1" operator="equal">
      <formula>-1</formula>
    </cfRule>
  </conditionalFormatting>
  <conditionalFormatting sqref="L41">
    <cfRule type="cellIs" dxfId="17492" priority="133093" stopIfTrue="1" operator="lessThan">
      <formula>0.5</formula>
    </cfRule>
  </conditionalFormatting>
  <conditionalFormatting sqref="L41">
    <cfRule type="cellIs" dxfId="17491" priority="133094" stopIfTrue="1" operator="greaterThanOrEqual">
      <formula>0.5</formula>
    </cfRule>
  </conditionalFormatting>
  <conditionalFormatting sqref="L42">
    <cfRule type="cellIs" dxfId="17490" priority="133095" stopIfTrue="1" operator="equal">
      <formula>-1</formula>
    </cfRule>
  </conditionalFormatting>
  <conditionalFormatting sqref="L42">
    <cfRule type="cellIs" dxfId="17489" priority="133096" stopIfTrue="1" operator="lessThan">
      <formula>0.5</formula>
    </cfRule>
  </conditionalFormatting>
  <conditionalFormatting sqref="L42">
    <cfRule type="cellIs" dxfId="17488" priority="133097" stopIfTrue="1" operator="greaterThanOrEqual">
      <formula>0.5</formula>
    </cfRule>
  </conditionalFormatting>
  <conditionalFormatting sqref="L43">
    <cfRule type="cellIs" dxfId="17487" priority="133098" stopIfTrue="1" operator="equal">
      <formula>-1</formula>
    </cfRule>
  </conditionalFormatting>
  <conditionalFormatting sqref="L43">
    <cfRule type="cellIs" dxfId="17486" priority="133099" stopIfTrue="1" operator="lessThan">
      <formula>0.5</formula>
    </cfRule>
  </conditionalFormatting>
  <conditionalFormatting sqref="L43">
    <cfRule type="cellIs" dxfId="17485" priority="133100" stopIfTrue="1" operator="greaterThanOrEqual">
      <formula>0.5</formula>
    </cfRule>
  </conditionalFormatting>
  <conditionalFormatting sqref="L44">
    <cfRule type="cellIs" dxfId="17484" priority="133101" stopIfTrue="1" operator="equal">
      <formula>-1</formula>
    </cfRule>
  </conditionalFormatting>
  <conditionalFormatting sqref="L44">
    <cfRule type="cellIs" dxfId="17483" priority="133102" stopIfTrue="1" operator="lessThan">
      <formula>0.5</formula>
    </cfRule>
  </conditionalFormatting>
  <conditionalFormatting sqref="L44">
    <cfRule type="cellIs" dxfId="17482" priority="133103" stopIfTrue="1" operator="greaterThanOrEqual">
      <formula>0.5</formula>
    </cfRule>
  </conditionalFormatting>
  <conditionalFormatting sqref="L45">
    <cfRule type="cellIs" dxfId="17481" priority="133104" stopIfTrue="1" operator="equal">
      <formula>-1</formula>
    </cfRule>
  </conditionalFormatting>
  <conditionalFormatting sqref="L45">
    <cfRule type="cellIs" dxfId="17480" priority="133105" stopIfTrue="1" operator="lessThan">
      <formula>0.5</formula>
    </cfRule>
  </conditionalFormatting>
  <conditionalFormatting sqref="L45">
    <cfRule type="cellIs" dxfId="17479" priority="133106" stopIfTrue="1" operator="greaterThanOrEqual">
      <formula>0.5</formula>
    </cfRule>
  </conditionalFormatting>
  <conditionalFormatting sqref="L46">
    <cfRule type="cellIs" dxfId="17478" priority="133107" stopIfTrue="1" operator="equal">
      <formula>-1</formula>
    </cfRule>
  </conditionalFormatting>
  <conditionalFormatting sqref="L46">
    <cfRule type="cellIs" dxfId="17477" priority="133108" stopIfTrue="1" operator="lessThan">
      <formula>0.5</formula>
    </cfRule>
  </conditionalFormatting>
  <conditionalFormatting sqref="L46">
    <cfRule type="cellIs" dxfId="17476" priority="133109" stopIfTrue="1" operator="greaterThanOrEqual">
      <formula>0.5</formula>
    </cfRule>
  </conditionalFormatting>
  <conditionalFormatting sqref="L47">
    <cfRule type="cellIs" dxfId="17475" priority="133110" stopIfTrue="1" operator="equal">
      <formula>-1</formula>
    </cfRule>
  </conditionalFormatting>
  <conditionalFormatting sqref="L47">
    <cfRule type="cellIs" dxfId="17474" priority="133111" stopIfTrue="1" operator="lessThan">
      <formula>0.5</formula>
    </cfRule>
  </conditionalFormatting>
  <conditionalFormatting sqref="L47">
    <cfRule type="cellIs" dxfId="17473" priority="133112" stopIfTrue="1" operator="greaterThanOrEqual">
      <formula>0.5</formula>
    </cfRule>
  </conditionalFormatting>
  <conditionalFormatting sqref="L48">
    <cfRule type="cellIs" dxfId="17472" priority="133113" stopIfTrue="1" operator="equal">
      <formula>-1</formula>
    </cfRule>
  </conditionalFormatting>
  <conditionalFormatting sqref="L48">
    <cfRule type="cellIs" dxfId="17471" priority="133114" stopIfTrue="1" operator="lessThan">
      <formula>0.5</formula>
    </cfRule>
  </conditionalFormatting>
  <conditionalFormatting sqref="L48">
    <cfRule type="cellIs" dxfId="17470" priority="133115" stopIfTrue="1" operator="greaterThanOrEqual">
      <formula>0.5</formula>
    </cfRule>
  </conditionalFormatting>
  <conditionalFormatting sqref="L49">
    <cfRule type="cellIs" dxfId="17469" priority="133116" stopIfTrue="1" operator="equal">
      <formula>-1</formula>
    </cfRule>
  </conditionalFormatting>
  <conditionalFormatting sqref="L49">
    <cfRule type="cellIs" dxfId="17468" priority="133117" stopIfTrue="1" operator="lessThan">
      <formula>0.5</formula>
    </cfRule>
  </conditionalFormatting>
  <conditionalFormatting sqref="L49">
    <cfRule type="cellIs" dxfId="17467" priority="133118" stopIfTrue="1" operator="greaterThanOrEqual">
      <formula>0.5</formula>
    </cfRule>
  </conditionalFormatting>
  <conditionalFormatting sqref="L50">
    <cfRule type="cellIs" dxfId="17466" priority="133119" stopIfTrue="1" operator="equal">
      <formula>-1</formula>
    </cfRule>
  </conditionalFormatting>
  <conditionalFormatting sqref="L50">
    <cfRule type="cellIs" dxfId="17465" priority="133120" stopIfTrue="1" operator="lessThan">
      <formula>0.5</formula>
    </cfRule>
  </conditionalFormatting>
  <conditionalFormatting sqref="L50">
    <cfRule type="cellIs" dxfId="17464" priority="133121" stopIfTrue="1" operator="greaterThanOrEqual">
      <formula>0.5</formula>
    </cfRule>
  </conditionalFormatting>
  <conditionalFormatting sqref="L51">
    <cfRule type="cellIs" dxfId="17463" priority="133122" stopIfTrue="1" operator="equal">
      <formula>-1</formula>
    </cfRule>
  </conditionalFormatting>
  <conditionalFormatting sqref="L51">
    <cfRule type="cellIs" dxfId="17462" priority="133123" stopIfTrue="1" operator="lessThan">
      <formula>0.5</formula>
    </cfRule>
  </conditionalFormatting>
  <conditionalFormatting sqref="L51">
    <cfRule type="cellIs" dxfId="17461" priority="133124" stopIfTrue="1" operator="greaterThanOrEqual">
      <formula>0.5</formula>
    </cfRule>
  </conditionalFormatting>
  <conditionalFormatting sqref="L52">
    <cfRule type="cellIs" dxfId="17460" priority="133125" stopIfTrue="1" operator="equal">
      <formula>-1</formula>
    </cfRule>
  </conditionalFormatting>
  <conditionalFormatting sqref="L52">
    <cfRule type="cellIs" dxfId="17459" priority="133126" stopIfTrue="1" operator="lessThan">
      <formula>0.5</formula>
    </cfRule>
  </conditionalFormatting>
  <conditionalFormatting sqref="L52">
    <cfRule type="cellIs" dxfId="17458" priority="133127" stopIfTrue="1" operator="greaterThanOrEqual">
      <formula>0.5</formula>
    </cfRule>
  </conditionalFormatting>
  <conditionalFormatting sqref="L53">
    <cfRule type="cellIs" dxfId="17457" priority="133128" stopIfTrue="1" operator="equal">
      <formula>-1</formula>
    </cfRule>
  </conditionalFormatting>
  <conditionalFormatting sqref="L53">
    <cfRule type="cellIs" dxfId="17456" priority="133129" stopIfTrue="1" operator="lessThan">
      <formula>0.5</formula>
    </cfRule>
  </conditionalFormatting>
  <conditionalFormatting sqref="L53">
    <cfRule type="cellIs" dxfId="17455" priority="133130" stopIfTrue="1" operator="greaterThanOrEqual">
      <formula>0.5</formula>
    </cfRule>
  </conditionalFormatting>
  <conditionalFormatting sqref="L54">
    <cfRule type="cellIs" dxfId="17454" priority="133131" stopIfTrue="1" operator="equal">
      <formula>-1</formula>
    </cfRule>
  </conditionalFormatting>
  <conditionalFormatting sqref="L54">
    <cfRule type="cellIs" dxfId="17453" priority="133132" stopIfTrue="1" operator="lessThan">
      <formula>0.5</formula>
    </cfRule>
  </conditionalFormatting>
  <conditionalFormatting sqref="L54">
    <cfRule type="cellIs" dxfId="17452" priority="133133" stopIfTrue="1" operator="greaterThanOrEqual">
      <formula>0.5</formula>
    </cfRule>
  </conditionalFormatting>
  <conditionalFormatting sqref="L55">
    <cfRule type="cellIs" dxfId="17451" priority="133134" stopIfTrue="1" operator="equal">
      <formula>-1</formula>
    </cfRule>
  </conditionalFormatting>
  <conditionalFormatting sqref="L55">
    <cfRule type="cellIs" dxfId="17450" priority="133135" stopIfTrue="1" operator="lessThan">
      <formula>0.5</formula>
    </cfRule>
  </conditionalFormatting>
  <conditionalFormatting sqref="L55">
    <cfRule type="cellIs" dxfId="17449" priority="133136" stopIfTrue="1" operator="greaterThanOrEqual">
      <formula>0.5</formula>
    </cfRule>
  </conditionalFormatting>
  <conditionalFormatting sqref="L56">
    <cfRule type="cellIs" dxfId="17448" priority="133137" stopIfTrue="1" operator="equal">
      <formula>-1</formula>
    </cfRule>
  </conditionalFormatting>
  <conditionalFormatting sqref="L56">
    <cfRule type="cellIs" dxfId="17447" priority="133138" stopIfTrue="1" operator="lessThan">
      <formula>0.5</formula>
    </cfRule>
  </conditionalFormatting>
  <conditionalFormatting sqref="L56">
    <cfRule type="cellIs" dxfId="17446" priority="133139" stopIfTrue="1" operator="greaterThanOrEqual">
      <formula>0.5</formula>
    </cfRule>
  </conditionalFormatting>
  <conditionalFormatting sqref="L57">
    <cfRule type="cellIs" dxfId="17445" priority="133140" stopIfTrue="1" operator="equal">
      <formula>-1</formula>
    </cfRule>
  </conditionalFormatting>
  <conditionalFormatting sqref="L57">
    <cfRule type="cellIs" dxfId="17444" priority="133141" stopIfTrue="1" operator="lessThan">
      <formula>0.5</formula>
    </cfRule>
  </conditionalFormatting>
  <conditionalFormatting sqref="L57">
    <cfRule type="cellIs" dxfId="17443" priority="133142" stopIfTrue="1" operator="greaterThanOrEqual">
      <formula>0.5</formula>
    </cfRule>
  </conditionalFormatting>
  <conditionalFormatting sqref="L58">
    <cfRule type="cellIs" dxfId="17442" priority="133143" stopIfTrue="1" operator="equal">
      <formula>-1</formula>
    </cfRule>
  </conditionalFormatting>
  <conditionalFormatting sqref="L58">
    <cfRule type="cellIs" dxfId="17441" priority="133144" stopIfTrue="1" operator="lessThan">
      <formula>0.5</formula>
    </cfRule>
  </conditionalFormatting>
  <conditionalFormatting sqref="L58">
    <cfRule type="cellIs" dxfId="17440" priority="133145" stopIfTrue="1" operator="greaterThanOrEqual">
      <formula>0.5</formula>
    </cfRule>
  </conditionalFormatting>
  <conditionalFormatting sqref="N39">
    <cfRule type="cellIs" dxfId="17439" priority="133146" stopIfTrue="1" operator="equal">
      <formula>-1</formula>
    </cfRule>
  </conditionalFormatting>
  <conditionalFormatting sqref="N39">
    <cfRule type="cellIs" dxfId="17438" priority="133147" stopIfTrue="1" operator="lessThan">
      <formula>0.5</formula>
    </cfRule>
  </conditionalFormatting>
  <conditionalFormatting sqref="N39">
    <cfRule type="cellIs" dxfId="17437" priority="133148" stopIfTrue="1" operator="greaterThanOrEqual">
      <formula>0.5</formula>
    </cfRule>
  </conditionalFormatting>
  <conditionalFormatting sqref="N40">
    <cfRule type="cellIs" dxfId="17436" priority="133149" stopIfTrue="1" operator="equal">
      <formula>-1</formula>
    </cfRule>
  </conditionalFormatting>
  <conditionalFormatting sqref="N40">
    <cfRule type="cellIs" dxfId="17435" priority="133150" stopIfTrue="1" operator="lessThan">
      <formula>0.5</formula>
    </cfRule>
  </conditionalFormatting>
  <conditionalFormatting sqref="N40">
    <cfRule type="cellIs" dxfId="17434" priority="133151" stopIfTrue="1" operator="greaterThanOrEqual">
      <formula>0.5</formula>
    </cfRule>
  </conditionalFormatting>
  <conditionalFormatting sqref="N41">
    <cfRule type="cellIs" dxfId="17433" priority="133152" stopIfTrue="1" operator="equal">
      <formula>-1</formula>
    </cfRule>
  </conditionalFormatting>
  <conditionalFormatting sqref="N41">
    <cfRule type="cellIs" dxfId="17432" priority="133153" stopIfTrue="1" operator="lessThan">
      <formula>0.5</formula>
    </cfRule>
  </conditionalFormatting>
  <conditionalFormatting sqref="N41">
    <cfRule type="cellIs" dxfId="17431" priority="133154" stopIfTrue="1" operator="greaterThanOrEqual">
      <formula>0.5</formula>
    </cfRule>
  </conditionalFormatting>
  <conditionalFormatting sqref="N42">
    <cfRule type="cellIs" dxfId="17430" priority="133155" stopIfTrue="1" operator="equal">
      <formula>-1</formula>
    </cfRule>
  </conditionalFormatting>
  <conditionalFormatting sqref="N42">
    <cfRule type="cellIs" dxfId="17429" priority="133156" stopIfTrue="1" operator="lessThan">
      <formula>0.5</formula>
    </cfRule>
  </conditionalFormatting>
  <conditionalFormatting sqref="N42">
    <cfRule type="cellIs" dxfId="17428" priority="133157" stopIfTrue="1" operator="greaterThanOrEqual">
      <formula>0.5</formula>
    </cfRule>
  </conditionalFormatting>
  <conditionalFormatting sqref="N43">
    <cfRule type="cellIs" dxfId="17427" priority="133158" stopIfTrue="1" operator="equal">
      <formula>-1</formula>
    </cfRule>
  </conditionalFormatting>
  <conditionalFormatting sqref="N43">
    <cfRule type="cellIs" dxfId="17426" priority="133159" stopIfTrue="1" operator="lessThan">
      <formula>0.5</formula>
    </cfRule>
  </conditionalFormatting>
  <conditionalFormatting sqref="N43">
    <cfRule type="cellIs" dxfId="17425" priority="133160" stopIfTrue="1" operator="greaterThanOrEqual">
      <formula>0.5</formula>
    </cfRule>
  </conditionalFormatting>
  <conditionalFormatting sqref="N44">
    <cfRule type="cellIs" dxfId="17424" priority="133161" stopIfTrue="1" operator="equal">
      <formula>-1</formula>
    </cfRule>
  </conditionalFormatting>
  <conditionalFormatting sqref="N44">
    <cfRule type="cellIs" dxfId="17423" priority="133162" stopIfTrue="1" operator="lessThan">
      <formula>0.5</formula>
    </cfRule>
  </conditionalFormatting>
  <conditionalFormatting sqref="N44">
    <cfRule type="cellIs" dxfId="17422" priority="133163" stopIfTrue="1" operator="greaterThanOrEqual">
      <formula>0.5</formula>
    </cfRule>
  </conditionalFormatting>
  <conditionalFormatting sqref="N45">
    <cfRule type="cellIs" dxfId="17421" priority="133164" stopIfTrue="1" operator="equal">
      <formula>-1</formula>
    </cfRule>
  </conditionalFormatting>
  <conditionalFormatting sqref="N45">
    <cfRule type="cellIs" dxfId="17420" priority="133165" stopIfTrue="1" operator="lessThan">
      <formula>0.5</formula>
    </cfRule>
  </conditionalFormatting>
  <conditionalFormatting sqref="N45">
    <cfRule type="cellIs" dxfId="17419" priority="133166" stopIfTrue="1" operator="greaterThanOrEqual">
      <formula>0.5</formula>
    </cfRule>
  </conditionalFormatting>
  <conditionalFormatting sqref="N46">
    <cfRule type="cellIs" dxfId="17418" priority="133167" stopIfTrue="1" operator="equal">
      <formula>-1</formula>
    </cfRule>
  </conditionalFormatting>
  <conditionalFormatting sqref="N46">
    <cfRule type="cellIs" dxfId="17417" priority="133168" stopIfTrue="1" operator="lessThan">
      <formula>0.5</formula>
    </cfRule>
  </conditionalFormatting>
  <conditionalFormatting sqref="N46">
    <cfRule type="cellIs" dxfId="17416" priority="133169" stopIfTrue="1" operator="greaterThanOrEqual">
      <formula>0.5</formula>
    </cfRule>
  </conditionalFormatting>
  <conditionalFormatting sqref="N47">
    <cfRule type="cellIs" dxfId="17415" priority="133170" stopIfTrue="1" operator="equal">
      <formula>-1</formula>
    </cfRule>
  </conditionalFormatting>
  <conditionalFormatting sqref="N47">
    <cfRule type="cellIs" dxfId="17414" priority="133171" stopIfTrue="1" operator="lessThan">
      <formula>0.5</formula>
    </cfRule>
  </conditionalFormatting>
  <conditionalFormatting sqref="N47">
    <cfRule type="cellIs" dxfId="17413" priority="133172" stopIfTrue="1" operator="greaterThanOrEqual">
      <formula>0.5</formula>
    </cfRule>
  </conditionalFormatting>
  <conditionalFormatting sqref="N48">
    <cfRule type="cellIs" dxfId="17412" priority="133173" stopIfTrue="1" operator="equal">
      <formula>-1</formula>
    </cfRule>
  </conditionalFormatting>
  <conditionalFormatting sqref="N48">
    <cfRule type="cellIs" dxfId="17411" priority="133174" stopIfTrue="1" operator="lessThan">
      <formula>0.5</formula>
    </cfRule>
  </conditionalFormatting>
  <conditionalFormatting sqref="N48">
    <cfRule type="cellIs" dxfId="17410" priority="133175" stopIfTrue="1" operator="greaterThanOrEqual">
      <formula>0.5</formula>
    </cfRule>
  </conditionalFormatting>
  <conditionalFormatting sqref="N49">
    <cfRule type="cellIs" dxfId="17409" priority="133176" stopIfTrue="1" operator="equal">
      <formula>-1</formula>
    </cfRule>
  </conditionalFormatting>
  <conditionalFormatting sqref="N49">
    <cfRule type="cellIs" dxfId="17408" priority="133177" stopIfTrue="1" operator="lessThan">
      <formula>0.5</formula>
    </cfRule>
  </conditionalFormatting>
  <conditionalFormatting sqref="N49">
    <cfRule type="cellIs" dxfId="17407" priority="133178" stopIfTrue="1" operator="greaterThanOrEqual">
      <formula>0.5</formula>
    </cfRule>
  </conditionalFormatting>
  <conditionalFormatting sqref="N50">
    <cfRule type="cellIs" dxfId="17406" priority="133179" stopIfTrue="1" operator="equal">
      <formula>-1</formula>
    </cfRule>
  </conditionalFormatting>
  <conditionalFormatting sqref="N50">
    <cfRule type="cellIs" dxfId="17405" priority="133180" stopIfTrue="1" operator="lessThan">
      <formula>0.5</formula>
    </cfRule>
  </conditionalFormatting>
  <conditionalFormatting sqref="N50">
    <cfRule type="cellIs" dxfId="17404" priority="133181" stopIfTrue="1" operator="greaterThanOrEqual">
      <formula>0.5</formula>
    </cfRule>
  </conditionalFormatting>
  <conditionalFormatting sqref="N51">
    <cfRule type="cellIs" dxfId="17403" priority="133182" stopIfTrue="1" operator="equal">
      <formula>-1</formula>
    </cfRule>
  </conditionalFormatting>
  <conditionalFormatting sqref="N51">
    <cfRule type="cellIs" dxfId="17402" priority="133183" stopIfTrue="1" operator="lessThan">
      <formula>0.5</formula>
    </cfRule>
  </conditionalFormatting>
  <conditionalFormatting sqref="N51">
    <cfRule type="cellIs" dxfId="17401" priority="133184" stopIfTrue="1" operator="greaterThanOrEqual">
      <formula>0.5</formula>
    </cfRule>
  </conditionalFormatting>
  <conditionalFormatting sqref="N52">
    <cfRule type="cellIs" dxfId="17400" priority="133185" stopIfTrue="1" operator="equal">
      <formula>-1</formula>
    </cfRule>
  </conditionalFormatting>
  <conditionalFormatting sqref="N52">
    <cfRule type="cellIs" dxfId="17399" priority="133186" stopIfTrue="1" operator="lessThan">
      <formula>0.5</formula>
    </cfRule>
  </conditionalFormatting>
  <conditionalFormatting sqref="N52">
    <cfRule type="cellIs" dxfId="17398" priority="133187" stopIfTrue="1" operator="greaterThanOrEqual">
      <formula>0.5</formula>
    </cfRule>
  </conditionalFormatting>
  <conditionalFormatting sqref="N53">
    <cfRule type="cellIs" dxfId="17397" priority="133188" stopIfTrue="1" operator="equal">
      <formula>-1</formula>
    </cfRule>
  </conditionalFormatting>
  <conditionalFormatting sqref="N53">
    <cfRule type="cellIs" dxfId="17396" priority="133189" stopIfTrue="1" operator="lessThan">
      <formula>0.5</formula>
    </cfRule>
  </conditionalFormatting>
  <conditionalFormatting sqref="N53">
    <cfRule type="cellIs" dxfId="17395" priority="133190" stopIfTrue="1" operator="greaterThanOrEqual">
      <formula>0.5</formula>
    </cfRule>
  </conditionalFormatting>
  <conditionalFormatting sqref="N54">
    <cfRule type="cellIs" dxfId="17394" priority="133191" stopIfTrue="1" operator="equal">
      <formula>-1</formula>
    </cfRule>
  </conditionalFormatting>
  <conditionalFormatting sqref="N54">
    <cfRule type="cellIs" dxfId="17393" priority="133192" stopIfTrue="1" operator="lessThan">
      <formula>0.5</formula>
    </cfRule>
  </conditionalFormatting>
  <conditionalFormatting sqref="N54">
    <cfRule type="cellIs" dxfId="17392" priority="133193" stopIfTrue="1" operator="greaterThanOrEqual">
      <formula>0.5</formula>
    </cfRule>
  </conditionalFormatting>
  <conditionalFormatting sqref="N55">
    <cfRule type="cellIs" dxfId="17391" priority="133194" stopIfTrue="1" operator="equal">
      <formula>-1</formula>
    </cfRule>
  </conditionalFormatting>
  <conditionalFormatting sqref="N55">
    <cfRule type="cellIs" dxfId="17390" priority="133195" stopIfTrue="1" operator="lessThan">
      <formula>0.5</formula>
    </cfRule>
  </conditionalFormatting>
  <conditionalFormatting sqref="N55">
    <cfRule type="cellIs" dxfId="17389" priority="133196" stopIfTrue="1" operator="greaterThanOrEqual">
      <formula>0.5</formula>
    </cfRule>
  </conditionalFormatting>
  <conditionalFormatting sqref="N56">
    <cfRule type="cellIs" dxfId="17388" priority="133197" stopIfTrue="1" operator="equal">
      <formula>-1</formula>
    </cfRule>
  </conditionalFormatting>
  <conditionalFormatting sqref="N56">
    <cfRule type="cellIs" dxfId="17387" priority="133198" stopIfTrue="1" operator="lessThan">
      <formula>0.5</formula>
    </cfRule>
  </conditionalFormatting>
  <conditionalFormatting sqref="N56">
    <cfRule type="cellIs" dxfId="17386" priority="133199" stopIfTrue="1" operator="greaterThanOrEqual">
      <formula>0.5</formula>
    </cfRule>
  </conditionalFormatting>
  <conditionalFormatting sqref="N57">
    <cfRule type="cellIs" dxfId="17385" priority="133200" stopIfTrue="1" operator="equal">
      <formula>-1</formula>
    </cfRule>
  </conditionalFormatting>
  <conditionalFormatting sqref="N57">
    <cfRule type="cellIs" dxfId="17384" priority="133201" stopIfTrue="1" operator="lessThan">
      <formula>0.5</formula>
    </cfRule>
  </conditionalFormatting>
  <conditionalFormatting sqref="N57">
    <cfRule type="cellIs" dxfId="17383" priority="133202" stopIfTrue="1" operator="greaterThanOrEqual">
      <formula>0.5</formula>
    </cfRule>
  </conditionalFormatting>
  <conditionalFormatting sqref="N58">
    <cfRule type="cellIs" dxfId="17382" priority="133203" stopIfTrue="1" operator="equal">
      <formula>-1</formula>
    </cfRule>
  </conditionalFormatting>
  <conditionalFormatting sqref="N58">
    <cfRule type="cellIs" dxfId="17381" priority="133204" stopIfTrue="1" operator="lessThan">
      <formula>0.5</formula>
    </cfRule>
  </conditionalFormatting>
  <conditionalFormatting sqref="N58">
    <cfRule type="cellIs" dxfId="17380" priority="133205" stopIfTrue="1" operator="greaterThanOrEqual">
      <formula>0.5</formula>
    </cfRule>
  </conditionalFormatting>
  <conditionalFormatting sqref="P39">
    <cfRule type="cellIs" dxfId="17379" priority="133206" stopIfTrue="1" operator="equal">
      <formula>-1</formula>
    </cfRule>
  </conditionalFormatting>
  <conditionalFormatting sqref="P39">
    <cfRule type="cellIs" dxfId="17378" priority="133207" stopIfTrue="1" operator="lessThan">
      <formula>0.5</formula>
    </cfRule>
  </conditionalFormatting>
  <conditionalFormatting sqref="P39">
    <cfRule type="cellIs" dxfId="17377" priority="133208" stopIfTrue="1" operator="greaterThanOrEqual">
      <formula>0.5</formula>
    </cfRule>
  </conditionalFormatting>
  <conditionalFormatting sqref="P40">
    <cfRule type="cellIs" dxfId="17376" priority="133209" stopIfTrue="1" operator="equal">
      <formula>-1</formula>
    </cfRule>
  </conditionalFormatting>
  <conditionalFormatting sqref="P40">
    <cfRule type="cellIs" dxfId="17375" priority="133210" stopIfTrue="1" operator="lessThan">
      <formula>0.5</formula>
    </cfRule>
  </conditionalFormatting>
  <conditionalFormatting sqref="P40">
    <cfRule type="cellIs" dxfId="17374" priority="133211" stopIfTrue="1" operator="greaterThanOrEqual">
      <formula>0.5</formula>
    </cfRule>
  </conditionalFormatting>
  <conditionalFormatting sqref="P41">
    <cfRule type="cellIs" dxfId="17373" priority="133212" stopIfTrue="1" operator="equal">
      <formula>-1</formula>
    </cfRule>
  </conditionalFormatting>
  <conditionalFormatting sqref="P41">
    <cfRule type="cellIs" dxfId="17372" priority="133213" stopIfTrue="1" operator="lessThan">
      <formula>0.5</formula>
    </cfRule>
  </conditionalFormatting>
  <conditionalFormatting sqref="P41">
    <cfRule type="cellIs" dxfId="17371" priority="133214" stopIfTrue="1" operator="greaterThanOrEqual">
      <formula>0.5</formula>
    </cfRule>
  </conditionalFormatting>
  <conditionalFormatting sqref="P42">
    <cfRule type="cellIs" dxfId="17370" priority="133215" stopIfTrue="1" operator="equal">
      <formula>-1</formula>
    </cfRule>
  </conditionalFormatting>
  <conditionalFormatting sqref="P42">
    <cfRule type="cellIs" dxfId="17369" priority="133216" stopIfTrue="1" operator="lessThan">
      <formula>0.5</formula>
    </cfRule>
  </conditionalFormatting>
  <conditionalFormatting sqref="P42">
    <cfRule type="cellIs" dxfId="17368" priority="133217" stopIfTrue="1" operator="greaterThanOrEqual">
      <formula>0.5</formula>
    </cfRule>
  </conditionalFormatting>
  <conditionalFormatting sqref="P43">
    <cfRule type="cellIs" dxfId="17367" priority="133218" stopIfTrue="1" operator="equal">
      <formula>-1</formula>
    </cfRule>
  </conditionalFormatting>
  <conditionalFormatting sqref="P43">
    <cfRule type="cellIs" dxfId="17366" priority="133219" stopIfTrue="1" operator="lessThan">
      <formula>0.5</formula>
    </cfRule>
  </conditionalFormatting>
  <conditionalFormatting sqref="P43">
    <cfRule type="cellIs" dxfId="17365" priority="133220" stopIfTrue="1" operator="greaterThanOrEqual">
      <formula>0.5</formula>
    </cfRule>
  </conditionalFormatting>
  <conditionalFormatting sqref="P44">
    <cfRule type="cellIs" dxfId="17364" priority="133221" stopIfTrue="1" operator="equal">
      <formula>-1</formula>
    </cfRule>
  </conditionalFormatting>
  <conditionalFormatting sqref="P44">
    <cfRule type="cellIs" dxfId="17363" priority="133222" stopIfTrue="1" operator="lessThan">
      <formula>0.5</formula>
    </cfRule>
  </conditionalFormatting>
  <conditionalFormatting sqref="P44">
    <cfRule type="cellIs" dxfId="17362" priority="133223" stopIfTrue="1" operator="greaterThanOrEqual">
      <formula>0.5</formula>
    </cfRule>
  </conditionalFormatting>
  <conditionalFormatting sqref="P45">
    <cfRule type="cellIs" dxfId="17361" priority="133224" stopIfTrue="1" operator="equal">
      <formula>-1</formula>
    </cfRule>
  </conditionalFormatting>
  <conditionalFormatting sqref="P45">
    <cfRule type="cellIs" dxfId="17360" priority="133225" stopIfTrue="1" operator="lessThan">
      <formula>0.5</formula>
    </cfRule>
  </conditionalFormatting>
  <conditionalFormatting sqref="P45">
    <cfRule type="cellIs" dxfId="17359" priority="133226" stopIfTrue="1" operator="greaterThanOrEqual">
      <formula>0.5</formula>
    </cfRule>
  </conditionalFormatting>
  <conditionalFormatting sqref="P46">
    <cfRule type="cellIs" dxfId="17358" priority="133227" stopIfTrue="1" operator="equal">
      <formula>-1</formula>
    </cfRule>
  </conditionalFormatting>
  <conditionalFormatting sqref="P46">
    <cfRule type="cellIs" dxfId="17357" priority="133228" stopIfTrue="1" operator="lessThan">
      <formula>0.5</formula>
    </cfRule>
  </conditionalFormatting>
  <conditionalFormatting sqref="P46">
    <cfRule type="cellIs" dxfId="17356" priority="133229" stopIfTrue="1" operator="greaterThanOrEqual">
      <formula>0.5</formula>
    </cfRule>
  </conditionalFormatting>
  <conditionalFormatting sqref="P47">
    <cfRule type="cellIs" dxfId="17355" priority="133230" stopIfTrue="1" operator="equal">
      <formula>-1</formula>
    </cfRule>
  </conditionalFormatting>
  <conditionalFormatting sqref="P47">
    <cfRule type="cellIs" dxfId="17354" priority="133231" stopIfTrue="1" operator="lessThan">
      <formula>0.5</formula>
    </cfRule>
  </conditionalFormatting>
  <conditionalFormatting sqref="P47">
    <cfRule type="cellIs" dxfId="17353" priority="133232" stopIfTrue="1" operator="greaterThanOrEqual">
      <formula>0.5</formula>
    </cfRule>
  </conditionalFormatting>
  <conditionalFormatting sqref="P48">
    <cfRule type="cellIs" dxfId="17352" priority="133233" stopIfTrue="1" operator="equal">
      <formula>-1</formula>
    </cfRule>
  </conditionalFormatting>
  <conditionalFormatting sqref="P48">
    <cfRule type="cellIs" dxfId="17351" priority="133234" stopIfTrue="1" operator="lessThan">
      <formula>0.5</formula>
    </cfRule>
  </conditionalFormatting>
  <conditionalFormatting sqref="P48">
    <cfRule type="cellIs" dxfId="17350" priority="133235" stopIfTrue="1" operator="greaterThanOrEqual">
      <formula>0.5</formula>
    </cfRule>
  </conditionalFormatting>
  <conditionalFormatting sqref="P49">
    <cfRule type="cellIs" dxfId="17349" priority="133236" stopIfTrue="1" operator="equal">
      <formula>-1</formula>
    </cfRule>
  </conditionalFormatting>
  <conditionalFormatting sqref="P49">
    <cfRule type="cellIs" dxfId="17348" priority="133237" stopIfTrue="1" operator="lessThan">
      <formula>0.5</formula>
    </cfRule>
  </conditionalFormatting>
  <conditionalFormatting sqref="P49">
    <cfRule type="cellIs" dxfId="17347" priority="133238" stopIfTrue="1" operator="greaterThanOrEqual">
      <formula>0.5</formula>
    </cfRule>
  </conditionalFormatting>
  <conditionalFormatting sqref="P50">
    <cfRule type="cellIs" dxfId="17346" priority="133239" stopIfTrue="1" operator="equal">
      <formula>-1</formula>
    </cfRule>
  </conditionalFormatting>
  <conditionalFormatting sqref="P50">
    <cfRule type="cellIs" dxfId="17345" priority="133240" stopIfTrue="1" operator="lessThan">
      <formula>0.5</formula>
    </cfRule>
  </conditionalFormatting>
  <conditionalFormatting sqref="P50">
    <cfRule type="cellIs" dxfId="17344" priority="133241" stopIfTrue="1" operator="greaterThanOrEqual">
      <formula>0.5</formula>
    </cfRule>
  </conditionalFormatting>
  <conditionalFormatting sqref="P51">
    <cfRule type="cellIs" dxfId="17343" priority="133242" stopIfTrue="1" operator="equal">
      <formula>-1</formula>
    </cfRule>
  </conditionalFormatting>
  <conditionalFormatting sqref="P51">
    <cfRule type="cellIs" dxfId="17342" priority="133243" stopIfTrue="1" operator="lessThan">
      <formula>0.5</formula>
    </cfRule>
  </conditionalFormatting>
  <conditionalFormatting sqref="P51">
    <cfRule type="cellIs" dxfId="17341" priority="133244" stopIfTrue="1" operator="greaterThanOrEqual">
      <formula>0.5</formula>
    </cfRule>
  </conditionalFormatting>
  <conditionalFormatting sqref="P52">
    <cfRule type="cellIs" dxfId="17340" priority="133245" stopIfTrue="1" operator="equal">
      <formula>-1</formula>
    </cfRule>
  </conditionalFormatting>
  <conditionalFormatting sqref="P52">
    <cfRule type="cellIs" dxfId="17339" priority="133246" stopIfTrue="1" operator="lessThan">
      <formula>0.5</formula>
    </cfRule>
  </conditionalFormatting>
  <conditionalFormatting sqref="P52">
    <cfRule type="cellIs" dxfId="17338" priority="133247" stopIfTrue="1" operator="greaterThanOrEqual">
      <formula>0.5</formula>
    </cfRule>
  </conditionalFormatting>
  <conditionalFormatting sqref="P53">
    <cfRule type="cellIs" dxfId="17337" priority="133248" stopIfTrue="1" operator="equal">
      <formula>-1</formula>
    </cfRule>
  </conditionalFormatting>
  <conditionalFormatting sqref="P53">
    <cfRule type="cellIs" dxfId="17336" priority="133249" stopIfTrue="1" operator="lessThan">
      <formula>0.5</formula>
    </cfRule>
  </conditionalFormatting>
  <conditionalFormatting sqref="P53">
    <cfRule type="cellIs" dxfId="17335" priority="133250" stopIfTrue="1" operator="greaterThanOrEqual">
      <formula>0.5</formula>
    </cfRule>
  </conditionalFormatting>
  <conditionalFormatting sqref="P54">
    <cfRule type="cellIs" dxfId="17334" priority="133251" stopIfTrue="1" operator="equal">
      <formula>-1</formula>
    </cfRule>
  </conditionalFormatting>
  <conditionalFormatting sqref="P54">
    <cfRule type="cellIs" dxfId="17333" priority="133252" stopIfTrue="1" operator="lessThan">
      <formula>0.5</formula>
    </cfRule>
  </conditionalFormatting>
  <conditionalFormatting sqref="P54">
    <cfRule type="cellIs" dxfId="17332" priority="133253" stopIfTrue="1" operator="greaterThanOrEqual">
      <formula>0.5</formula>
    </cfRule>
  </conditionalFormatting>
  <conditionalFormatting sqref="P55">
    <cfRule type="cellIs" dxfId="17331" priority="133254" stopIfTrue="1" operator="equal">
      <formula>-1</formula>
    </cfRule>
  </conditionalFormatting>
  <conditionalFormatting sqref="P55">
    <cfRule type="cellIs" dxfId="17330" priority="133255" stopIfTrue="1" operator="lessThan">
      <formula>0.5</formula>
    </cfRule>
  </conditionalFormatting>
  <conditionalFormatting sqref="P55">
    <cfRule type="cellIs" dxfId="17329" priority="133256" stopIfTrue="1" operator="greaterThanOrEqual">
      <formula>0.5</formula>
    </cfRule>
  </conditionalFormatting>
  <conditionalFormatting sqref="P56">
    <cfRule type="cellIs" dxfId="17328" priority="133257" stopIfTrue="1" operator="equal">
      <formula>-1</formula>
    </cfRule>
  </conditionalFormatting>
  <conditionalFormatting sqref="P56">
    <cfRule type="cellIs" dxfId="17327" priority="133258" stopIfTrue="1" operator="lessThan">
      <formula>0.5</formula>
    </cfRule>
  </conditionalFormatting>
  <conditionalFormatting sqref="P56">
    <cfRule type="cellIs" dxfId="17326" priority="133259" stopIfTrue="1" operator="greaterThanOrEqual">
      <formula>0.5</formula>
    </cfRule>
  </conditionalFormatting>
  <conditionalFormatting sqref="P57">
    <cfRule type="cellIs" dxfId="17325" priority="133260" stopIfTrue="1" operator="equal">
      <formula>-1</formula>
    </cfRule>
  </conditionalFormatting>
  <conditionalFormatting sqref="P57">
    <cfRule type="cellIs" dxfId="17324" priority="133261" stopIfTrue="1" operator="lessThan">
      <formula>0.5</formula>
    </cfRule>
  </conditionalFormatting>
  <conditionalFormatting sqref="P57">
    <cfRule type="cellIs" dxfId="17323" priority="133262" stopIfTrue="1" operator="greaterThanOrEqual">
      <formula>0.5</formula>
    </cfRule>
  </conditionalFormatting>
  <conditionalFormatting sqref="P58">
    <cfRule type="cellIs" dxfId="17322" priority="133263" stopIfTrue="1" operator="equal">
      <formula>-1</formula>
    </cfRule>
  </conditionalFormatting>
  <conditionalFormatting sqref="P58">
    <cfRule type="cellIs" dxfId="17321" priority="133264" stopIfTrue="1" operator="lessThan">
      <formula>0.5</formula>
    </cfRule>
  </conditionalFormatting>
  <conditionalFormatting sqref="P58">
    <cfRule type="cellIs" dxfId="17320" priority="133265" stopIfTrue="1" operator="greaterThanOrEqual">
      <formula>0.5</formula>
    </cfRule>
  </conditionalFormatting>
  <conditionalFormatting sqref="R39">
    <cfRule type="cellIs" dxfId="17319" priority="133266" stopIfTrue="1" operator="equal">
      <formula>-1</formula>
    </cfRule>
  </conditionalFormatting>
  <conditionalFormatting sqref="R39">
    <cfRule type="cellIs" dxfId="17318" priority="133267" stopIfTrue="1" operator="lessThan">
      <formula>0.5</formula>
    </cfRule>
  </conditionalFormatting>
  <conditionalFormatting sqref="R39">
    <cfRule type="cellIs" dxfId="17317" priority="133268" stopIfTrue="1" operator="greaterThanOrEqual">
      <formula>0.5</formula>
    </cfRule>
  </conditionalFormatting>
  <conditionalFormatting sqref="R40">
    <cfRule type="cellIs" dxfId="17316" priority="133269" stopIfTrue="1" operator="equal">
      <formula>-1</formula>
    </cfRule>
  </conditionalFormatting>
  <conditionalFormatting sqref="R40">
    <cfRule type="cellIs" dxfId="17315" priority="133270" stopIfTrue="1" operator="lessThan">
      <formula>0.5</formula>
    </cfRule>
  </conditionalFormatting>
  <conditionalFormatting sqref="R40">
    <cfRule type="cellIs" dxfId="17314" priority="133271" stopIfTrue="1" operator="greaterThanOrEqual">
      <formula>0.5</formula>
    </cfRule>
  </conditionalFormatting>
  <conditionalFormatting sqref="R41">
    <cfRule type="cellIs" dxfId="17313" priority="133272" stopIfTrue="1" operator="equal">
      <formula>-1</formula>
    </cfRule>
  </conditionalFormatting>
  <conditionalFormatting sqref="R41">
    <cfRule type="cellIs" dxfId="17312" priority="133273" stopIfTrue="1" operator="lessThan">
      <formula>0.5</formula>
    </cfRule>
  </conditionalFormatting>
  <conditionalFormatting sqref="R41">
    <cfRule type="cellIs" dxfId="17311" priority="133274" stopIfTrue="1" operator="greaterThanOrEqual">
      <formula>0.5</formula>
    </cfRule>
  </conditionalFormatting>
  <conditionalFormatting sqref="R42">
    <cfRule type="cellIs" dxfId="17310" priority="133275" stopIfTrue="1" operator="equal">
      <formula>-1</formula>
    </cfRule>
  </conditionalFormatting>
  <conditionalFormatting sqref="R42">
    <cfRule type="cellIs" dxfId="17309" priority="133276" stopIfTrue="1" operator="lessThan">
      <formula>0.5</formula>
    </cfRule>
  </conditionalFormatting>
  <conditionalFormatting sqref="R42">
    <cfRule type="cellIs" dxfId="17308" priority="133277" stopIfTrue="1" operator="greaterThanOrEqual">
      <formula>0.5</formula>
    </cfRule>
  </conditionalFormatting>
  <conditionalFormatting sqref="R43">
    <cfRule type="cellIs" dxfId="17307" priority="133278" stopIfTrue="1" operator="equal">
      <formula>-1</formula>
    </cfRule>
  </conditionalFormatting>
  <conditionalFormatting sqref="R43">
    <cfRule type="cellIs" dxfId="17306" priority="133279" stopIfTrue="1" operator="lessThan">
      <formula>0.5</formula>
    </cfRule>
  </conditionalFormatting>
  <conditionalFormatting sqref="R43">
    <cfRule type="cellIs" dxfId="17305" priority="133280" stopIfTrue="1" operator="greaterThanOrEqual">
      <formula>0.5</formula>
    </cfRule>
  </conditionalFormatting>
  <conditionalFormatting sqref="R44">
    <cfRule type="cellIs" dxfId="17304" priority="133281" stopIfTrue="1" operator="equal">
      <formula>-1</formula>
    </cfRule>
  </conditionalFormatting>
  <conditionalFormatting sqref="R44">
    <cfRule type="cellIs" dxfId="17303" priority="133282" stopIfTrue="1" operator="lessThan">
      <formula>0.5</formula>
    </cfRule>
  </conditionalFormatting>
  <conditionalFormatting sqref="R44">
    <cfRule type="cellIs" dxfId="17302" priority="133283" stopIfTrue="1" operator="greaterThanOrEqual">
      <formula>0.5</formula>
    </cfRule>
  </conditionalFormatting>
  <conditionalFormatting sqref="R45">
    <cfRule type="cellIs" dxfId="17301" priority="133284" stopIfTrue="1" operator="equal">
      <formula>-1</formula>
    </cfRule>
  </conditionalFormatting>
  <conditionalFormatting sqref="R45">
    <cfRule type="cellIs" dxfId="17300" priority="133285" stopIfTrue="1" operator="lessThan">
      <formula>0.5</formula>
    </cfRule>
  </conditionalFormatting>
  <conditionalFormatting sqref="R45">
    <cfRule type="cellIs" dxfId="17299" priority="133286" stopIfTrue="1" operator="greaterThanOrEqual">
      <formula>0.5</formula>
    </cfRule>
  </conditionalFormatting>
  <conditionalFormatting sqref="R46">
    <cfRule type="cellIs" dxfId="17298" priority="133287" stopIfTrue="1" operator="equal">
      <formula>-1</formula>
    </cfRule>
  </conditionalFormatting>
  <conditionalFormatting sqref="R46">
    <cfRule type="cellIs" dxfId="17297" priority="133288" stopIfTrue="1" operator="lessThan">
      <formula>0.5</formula>
    </cfRule>
  </conditionalFormatting>
  <conditionalFormatting sqref="R46">
    <cfRule type="cellIs" dxfId="17296" priority="133289" stopIfTrue="1" operator="greaterThanOrEqual">
      <formula>0.5</formula>
    </cfRule>
  </conditionalFormatting>
  <conditionalFormatting sqref="R47">
    <cfRule type="cellIs" dxfId="17295" priority="133290" stopIfTrue="1" operator="equal">
      <formula>-1</formula>
    </cfRule>
  </conditionalFormatting>
  <conditionalFormatting sqref="R47">
    <cfRule type="cellIs" dxfId="17294" priority="133291" stopIfTrue="1" operator="lessThan">
      <formula>0.5</formula>
    </cfRule>
  </conditionalFormatting>
  <conditionalFormatting sqref="R47">
    <cfRule type="cellIs" dxfId="17293" priority="133292" stopIfTrue="1" operator="greaterThanOrEqual">
      <formula>0.5</formula>
    </cfRule>
  </conditionalFormatting>
  <conditionalFormatting sqref="R48">
    <cfRule type="cellIs" dxfId="17292" priority="133293" stopIfTrue="1" operator="equal">
      <formula>-1</formula>
    </cfRule>
  </conditionalFormatting>
  <conditionalFormatting sqref="R48">
    <cfRule type="cellIs" dxfId="17291" priority="133294" stopIfTrue="1" operator="lessThan">
      <formula>0.5</formula>
    </cfRule>
  </conditionalFormatting>
  <conditionalFormatting sqref="R48">
    <cfRule type="cellIs" dxfId="17290" priority="133295" stopIfTrue="1" operator="greaterThanOrEqual">
      <formula>0.5</formula>
    </cfRule>
  </conditionalFormatting>
  <conditionalFormatting sqref="R49">
    <cfRule type="cellIs" dxfId="17289" priority="133296" stopIfTrue="1" operator="equal">
      <formula>-1</formula>
    </cfRule>
  </conditionalFormatting>
  <conditionalFormatting sqref="R49">
    <cfRule type="cellIs" dxfId="17288" priority="133297" stopIfTrue="1" operator="lessThan">
      <formula>0.5</formula>
    </cfRule>
  </conditionalFormatting>
  <conditionalFormatting sqref="R49">
    <cfRule type="cellIs" dxfId="17287" priority="133298" stopIfTrue="1" operator="greaterThanOrEqual">
      <formula>0.5</formula>
    </cfRule>
  </conditionalFormatting>
  <conditionalFormatting sqref="R50">
    <cfRule type="cellIs" dxfId="17286" priority="133299" stopIfTrue="1" operator="equal">
      <formula>-1</formula>
    </cfRule>
  </conditionalFormatting>
  <conditionalFormatting sqref="R50">
    <cfRule type="cellIs" dxfId="17285" priority="133300" stopIfTrue="1" operator="lessThan">
      <formula>0.5</formula>
    </cfRule>
  </conditionalFormatting>
  <conditionalFormatting sqref="R50">
    <cfRule type="cellIs" dxfId="17284" priority="133301" stopIfTrue="1" operator="greaterThanOrEqual">
      <formula>0.5</formula>
    </cfRule>
  </conditionalFormatting>
  <conditionalFormatting sqref="R51">
    <cfRule type="cellIs" dxfId="17283" priority="133302" stopIfTrue="1" operator="equal">
      <formula>-1</formula>
    </cfRule>
  </conditionalFormatting>
  <conditionalFormatting sqref="R51">
    <cfRule type="cellIs" dxfId="17282" priority="133303" stopIfTrue="1" operator="lessThan">
      <formula>0.5</formula>
    </cfRule>
  </conditionalFormatting>
  <conditionalFormatting sqref="R51">
    <cfRule type="cellIs" dxfId="17281" priority="133304" stopIfTrue="1" operator="greaterThanOrEqual">
      <formula>0.5</formula>
    </cfRule>
  </conditionalFormatting>
  <conditionalFormatting sqref="R52">
    <cfRule type="cellIs" dxfId="17280" priority="133305" stopIfTrue="1" operator="equal">
      <formula>-1</formula>
    </cfRule>
  </conditionalFormatting>
  <conditionalFormatting sqref="R52">
    <cfRule type="cellIs" dxfId="17279" priority="133306" stopIfTrue="1" operator="lessThan">
      <formula>0.5</formula>
    </cfRule>
  </conditionalFormatting>
  <conditionalFormatting sqref="R52">
    <cfRule type="cellIs" dxfId="17278" priority="133307" stopIfTrue="1" operator="greaterThanOrEqual">
      <formula>0.5</formula>
    </cfRule>
  </conditionalFormatting>
  <conditionalFormatting sqref="R53">
    <cfRule type="cellIs" dxfId="17277" priority="133308" stopIfTrue="1" operator="equal">
      <formula>-1</formula>
    </cfRule>
  </conditionalFormatting>
  <conditionalFormatting sqref="R53">
    <cfRule type="cellIs" dxfId="17276" priority="133309" stopIfTrue="1" operator="lessThan">
      <formula>0.5</formula>
    </cfRule>
  </conditionalFormatting>
  <conditionalFormatting sqref="R53">
    <cfRule type="cellIs" dxfId="17275" priority="133310" stopIfTrue="1" operator="greaterThanOrEqual">
      <formula>0.5</formula>
    </cfRule>
  </conditionalFormatting>
  <conditionalFormatting sqref="R54">
    <cfRule type="cellIs" dxfId="17274" priority="133311" stopIfTrue="1" operator="equal">
      <formula>-1</formula>
    </cfRule>
  </conditionalFormatting>
  <conditionalFormatting sqref="R54">
    <cfRule type="cellIs" dxfId="17273" priority="133312" stopIfTrue="1" operator="lessThan">
      <formula>0.5</formula>
    </cfRule>
  </conditionalFormatting>
  <conditionalFormatting sqref="R54">
    <cfRule type="cellIs" dxfId="17272" priority="133313" stopIfTrue="1" operator="greaterThanOrEqual">
      <formula>0.5</formula>
    </cfRule>
  </conditionalFormatting>
  <conditionalFormatting sqref="R55">
    <cfRule type="cellIs" dxfId="17271" priority="133314" stopIfTrue="1" operator="equal">
      <formula>-1</formula>
    </cfRule>
  </conditionalFormatting>
  <conditionalFormatting sqref="R55">
    <cfRule type="cellIs" dxfId="17270" priority="133315" stopIfTrue="1" operator="lessThan">
      <formula>0.5</formula>
    </cfRule>
  </conditionalFormatting>
  <conditionalFormatting sqref="R55">
    <cfRule type="cellIs" dxfId="17269" priority="133316" stopIfTrue="1" operator="greaterThanOrEqual">
      <formula>0.5</formula>
    </cfRule>
  </conditionalFormatting>
  <conditionalFormatting sqref="R56">
    <cfRule type="cellIs" dxfId="17268" priority="133317" stopIfTrue="1" operator="equal">
      <formula>-1</formula>
    </cfRule>
  </conditionalFormatting>
  <conditionalFormatting sqref="R56">
    <cfRule type="cellIs" dxfId="17267" priority="133318" stopIfTrue="1" operator="lessThan">
      <formula>0.5</formula>
    </cfRule>
  </conditionalFormatting>
  <conditionalFormatting sqref="R56">
    <cfRule type="cellIs" dxfId="17266" priority="133319" stopIfTrue="1" operator="greaterThanOrEqual">
      <formula>0.5</formula>
    </cfRule>
  </conditionalFormatting>
  <conditionalFormatting sqref="R57">
    <cfRule type="cellIs" dxfId="17265" priority="133320" stopIfTrue="1" operator="equal">
      <formula>-1</formula>
    </cfRule>
  </conditionalFormatting>
  <conditionalFormatting sqref="R57">
    <cfRule type="cellIs" dxfId="17264" priority="133321" stopIfTrue="1" operator="lessThan">
      <formula>0.5</formula>
    </cfRule>
  </conditionalFormatting>
  <conditionalFormatting sqref="R57">
    <cfRule type="cellIs" dxfId="17263" priority="133322" stopIfTrue="1" operator="greaterThanOrEqual">
      <formula>0.5</formula>
    </cfRule>
  </conditionalFormatting>
  <conditionalFormatting sqref="R58">
    <cfRule type="cellIs" dxfId="17262" priority="133323" stopIfTrue="1" operator="equal">
      <formula>-1</formula>
    </cfRule>
  </conditionalFormatting>
  <conditionalFormatting sqref="R58">
    <cfRule type="cellIs" dxfId="17261" priority="133324" stopIfTrue="1" operator="lessThan">
      <formula>0.5</formula>
    </cfRule>
  </conditionalFormatting>
  <conditionalFormatting sqref="R58">
    <cfRule type="cellIs" dxfId="17260" priority="133325" stopIfTrue="1" operator="greaterThanOrEqual">
      <formula>0.5</formula>
    </cfRule>
  </conditionalFormatting>
  <conditionalFormatting sqref="T39">
    <cfRule type="cellIs" dxfId="17259" priority="133326" stopIfTrue="1" operator="equal">
      <formula>-1</formula>
    </cfRule>
  </conditionalFormatting>
  <conditionalFormatting sqref="T39">
    <cfRule type="cellIs" dxfId="17258" priority="133327" stopIfTrue="1" operator="lessThan">
      <formula>0.5</formula>
    </cfRule>
  </conditionalFormatting>
  <conditionalFormatting sqref="T39">
    <cfRule type="cellIs" dxfId="17257" priority="133328" stopIfTrue="1" operator="greaterThanOrEqual">
      <formula>0.5</formula>
    </cfRule>
  </conditionalFormatting>
  <conditionalFormatting sqref="T40">
    <cfRule type="cellIs" dxfId="17256" priority="133329" stopIfTrue="1" operator="equal">
      <formula>-1</formula>
    </cfRule>
  </conditionalFormatting>
  <conditionalFormatting sqref="T40">
    <cfRule type="cellIs" dxfId="17255" priority="133330" stopIfTrue="1" operator="lessThan">
      <formula>0.5</formula>
    </cfRule>
  </conditionalFormatting>
  <conditionalFormatting sqref="T40">
    <cfRule type="cellIs" dxfId="17254" priority="133331" stopIfTrue="1" operator="greaterThanOrEqual">
      <formula>0.5</formula>
    </cfRule>
  </conditionalFormatting>
  <conditionalFormatting sqref="T41">
    <cfRule type="cellIs" dxfId="17253" priority="133332" stopIfTrue="1" operator="equal">
      <formula>-1</formula>
    </cfRule>
  </conditionalFormatting>
  <conditionalFormatting sqref="T41">
    <cfRule type="cellIs" dxfId="17252" priority="133333" stopIfTrue="1" operator="lessThan">
      <formula>0.5</formula>
    </cfRule>
  </conditionalFormatting>
  <conditionalFormatting sqref="T41">
    <cfRule type="cellIs" dxfId="17251" priority="133334" stopIfTrue="1" operator="greaterThanOrEqual">
      <formula>0.5</formula>
    </cfRule>
  </conditionalFormatting>
  <conditionalFormatting sqref="T42">
    <cfRule type="cellIs" dxfId="17250" priority="133335" stopIfTrue="1" operator="equal">
      <formula>-1</formula>
    </cfRule>
  </conditionalFormatting>
  <conditionalFormatting sqref="T42">
    <cfRule type="cellIs" dxfId="17249" priority="133336" stopIfTrue="1" operator="lessThan">
      <formula>0.5</formula>
    </cfRule>
  </conditionalFormatting>
  <conditionalFormatting sqref="T42">
    <cfRule type="cellIs" dxfId="17248" priority="133337" stopIfTrue="1" operator="greaterThanOrEqual">
      <formula>0.5</formula>
    </cfRule>
  </conditionalFormatting>
  <conditionalFormatting sqref="T43">
    <cfRule type="cellIs" dxfId="17247" priority="133338" stopIfTrue="1" operator="equal">
      <formula>-1</formula>
    </cfRule>
  </conditionalFormatting>
  <conditionalFormatting sqref="T43">
    <cfRule type="cellIs" dxfId="17246" priority="133339" stopIfTrue="1" operator="lessThan">
      <formula>0.5</formula>
    </cfRule>
  </conditionalFormatting>
  <conditionalFormatting sqref="T43">
    <cfRule type="cellIs" dxfId="17245" priority="133340" stopIfTrue="1" operator="greaterThanOrEqual">
      <formula>0.5</formula>
    </cfRule>
  </conditionalFormatting>
  <conditionalFormatting sqref="T44">
    <cfRule type="cellIs" dxfId="17244" priority="133341" stopIfTrue="1" operator="equal">
      <formula>-1</formula>
    </cfRule>
  </conditionalFormatting>
  <conditionalFormatting sqref="T44">
    <cfRule type="cellIs" dxfId="17243" priority="133342" stopIfTrue="1" operator="lessThan">
      <formula>0.5</formula>
    </cfRule>
  </conditionalFormatting>
  <conditionalFormatting sqref="T44">
    <cfRule type="cellIs" dxfId="17242" priority="133343" stopIfTrue="1" operator="greaterThanOrEqual">
      <formula>0.5</formula>
    </cfRule>
  </conditionalFormatting>
  <conditionalFormatting sqref="T45">
    <cfRule type="cellIs" dxfId="17241" priority="133344" stopIfTrue="1" operator="equal">
      <formula>-1</formula>
    </cfRule>
  </conditionalFormatting>
  <conditionalFormatting sqref="T45">
    <cfRule type="cellIs" dxfId="17240" priority="133345" stopIfTrue="1" operator="lessThan">
      <formula>0.5</formula>
    </cfRule>
  </conditionalFormatting>
  <conditionalFormatting sqref="T45">
    <cfRule type="cellIs" dxfId="17239" priority="133346" stopIfTrue="1" operator="greaterThanOrEqual">
      <formula>0.5</formula>
    </cfRule>
  </conditionalFormatting>
  <conditionalFormatting sqref="T46">
    <cfRule type="cellIs" dxfId="17238" priority="133347" stopIfTrue="1" operator="equal">
      <formula>-1</formula>
    </cfRule>
  </conditionalFormatting>
  <conditionalFormatting sqref="T46">
    <cfRule type="cellIs" dxfId="17237" priority="133348" stopIfTrue="1" operator="lessThan">
      <formula>0.5</formula>
    </cfRule>
  </conditionalFormatting>
  <conditionalFormatting sqref="T46">
    <cfRule type="cellIs" dxfId="17236" priority="133349" stopIfTrue="1" operator="greaterThanOrEqual">
      <formula>0.5</formula>
    </cfRule>
  </conditionalFormatting>
  <conditionalFormatting sqref="T47">
    <cfRule type="cellIs" dxfId="17235" priority="133350" stopIfTrue="1" operator="equal">
      <formula>-1</formula>
    </cfRule>
  </conditionalFormatting>
  <conditionalFormatting sqref="T47">
    <cfRule type="cellIs" dxfId="17234" priority="133351" stopIfTrue="1" operator="lessThan">
      <formula>0.5</formula>
    </cfRule>
  </conditionalFormatting>
  <conditionalFormatting sqref="T47">
    <cfRule type="cellIs" dxfId="17233" priority="133352" stopIfTrue="1" operator="greaterThanOrEqual">
      <formula>0.5</formula>
    </cfRule>
  </conditionalFormatting>
  <conditionalFormatting sqref="T48">
    <cfRule type="cellIs" dxfId="17232" priority="133353" stopIfTrue="1" operator="equal">
      <formula>-1</formula>
    </cfRule>
  </conditionalFormatting>
  <conditionalFormatting sqref="T48">
    <cfRule type="cellIs" dxfId="17231" priority="133354" stopIfTrue="1" operator="lessThan">
      <formula>0.5</formula>
    </cfRule>
  </conditionalFormatting>
  <conditionalFormatting sqref="T48">
    <cfRule type="cellIs" dxfId="17230" priority="133355" stopIfTrue="1" operator="greaterThanOrEqual">
      <formula>0.5</formula>
    </cfRule>
  </conditionalFormatting>
  <conditionalFormatting sqref="T49">
    <cfRule type="cellIs" dxfId="17229" priority="133356" stopIfTrue="1" operator="equal">
      <formula>-1</formula>
    </cfRule>
  </conditionalFormatting>
  <conditionalFormatting sqref="T49">
    <cfRule type="cellIs" dxfId="17228" priority="133357" stopIfTrue="1" operator="lessThan">
      <formula>0.5</formula>
    </cfRule>
  </conditionalFormatting>
  <conditionalFormatting sqref="T49">
    <cfRule type="cellIs" dxfId="17227" priority="133358" stopIfTrue="1" operator="greaterThanOrEqual">
      <formula>0.5</formula>
    </cfRule>
  </conditionalFormatting>
  <conditionalFormatting sqref="T50">
    <cfRule type="cellIs" dxfId="17226" priority="133359" stopIfTrue="1" operator="equal">
      <formula>-1</formula>
    </cfRule>
  </conditionalFormatting>
  <conditionalFormatting sqref="T50">
    <cfRule type="cellIs" dxfId="17225" priority="133360" stopIfTrue="1" operator="lessThan">
      <formula>0.5</formula>
    </cfRule>
  </conditionalFormatting>
  <conditionalFormatting sqref="T50">
    <cfRule type="cellIs" dxfId="17224" priority="133361" stopIfTrue="1" operator="greaterThanOrEqual">
      <formula>0.5</formula>
    </cfRule>
  </conditionalFormatting>
  <conditionalFormatting sqref="T51">
    <cfRule type="cellIs" dxfId="17223" priority="133362" stopIfTrue="1" operator="equal">
      <formula>-1</formula>
    </cfRule>
  </conditionalFormatting>
  <conditionalFormatting sqref="T51">
    <cfRule type="cellIs" dxfId="17222" priority="133363" stopIfTrue="1" operator="lessThan">
      <formula>0.5</formula>
    </cfRule>
  </conditionalFormatting>
  <conditionalFormatting sqref="T51">
    <cfRule type="cellIs" dxfId="17221" priority="133364" stopIfTrue="1" operator="greaterThanOrEqual">
      <formula>0.5</formula>
    </cfRule>
  </conditionalFormatting>
  <conditionalFormatting sqref="T52">
    <cfRule type="cellIs" dxfId="17220" priority="133365" stopIfTrue="1" operator="equal">
      <formula>-1</formula>
    </cfRule>
  </conditionalFormatting>
  <conditionalFormatting sqref="T52">
    <cfRule type="cellIs" dxfId="17219" priority="133366" stopIfTrue="1" operator="lessThan">
      <formula>0.5</formula>
    </cfRule>
  </conditionalFormatting>
  <conditionalFormatting sqref="T52">
    <cfRule type="cellIs" dxfId="17218" priority="133367" stopIfTrue="1" operator="greaterThanOrEqual">
      <formula>0.5</formula>
    </cfRule>
  </conditionalFormatting>
  <conditionalFormatting sqref="T53">
    <cfRule type="cellIs" dxfId="17217" priority="133368" stopIfTrue="1" operator="equal">
      <formula>-1</formula>
    </cfRule>
  </conditionalFormatting>
  <conditionalFormatting sqref="T53">
    <cfRule type="cellIs" dxfId="17216" priority="133369" stopIfTrue="1" operator="lessThan">
      <formula>0.5</formula>
    </cfRule>
  </conditionalFormatting>
  <conditionalFormatting sqref="T53">
    <cfRule type="cellIs" dxfId="17215" priority="133370" stopIfTrue="1" operator="greaterThanOrEqual">
      <formula>0.5</formula>
    </cfRule>
  </conditionalFormatting>
  <conditionalFormatting sqref="T54">
    <cfRule type="cellIs" dxfId="17214" priority="133371" stopIfTrue="1" operator="equal">
      <formula>-1</formula>
    </cfRule>
  </conditionalFormatting>
  <conditionalFormatting sqref="T54">
    <cfRule type="cellIs" dxfId="17213" priority="133372" stopIfTrue="1" operator="lessThan">
      <formula>0.5</formula>
    </cfRule>
  </conditionalFormatting>
  <conditionalFormatting sqref="T54">
    <cfRule type="cellIs" dxfId="17212" priority="133373" stopIfTrue="1" operator="greaterThanOrEqual">
      <formula>0.5</formula>
    </cfRule>
  </conditionalFormatting>
  <conditionalFormatting sqref="T55">
    <cfRule type="cellIs" dxfId="17211" priority="133374" stopIfTrue="1" operator="equal">
      <formula>-1</formula>
    </cfRule>
  </conditionalFormatting>
  <conditionalFormatting sqref="T55">
    <cfRule type="cellIs" dxfId="17210" priority="133375" stopIfTrue="1" operator="lessThan">
      <formula>0.5</formula>
    </cfRule>
  </conditionalFormatting>
  <conditionalFormatting sqref="T55">
    <cfRule type="cellIs" dxfId="17209" priority="133376" stopIfTrue="1" operator="greaterThanOrEqual">
      <formula>0.5</formula>
    </cfRule>
  </conditionalFormatting>
  <conditionalFormatting sqref="T56">
    <cfRule type="cellIs" dxfId="17208" priority="133377" stopIfTrue="1" operator="equal">
      <formula>-1</formula>
    </cfRule>
  </conditionalFormatting>
  <conditionalFormatting sqref="T56">
    <cfRule type="cellIs" dxfId="17207" priority="133378" stopIfTrue="1" operator="lessThan">
      <formula>0.5</formula>
    </cfRule>
  </conditionalFormatting>
  <conditionalFormatting sqref="T56">
    <cfRule type="cellIs" dxfId="17206" priority="133379" stopIfTrue="1" operator="greaterThanOrEqual">
      <formula>0.5</formula>
    </cfRule>
  </conditionalFormatting>
  <conditionalFormatting sqref="T57">
    <cfRule type="cellIs" dxfId="17205" priority="133380" stopIfTrue="1" operator="equal">
      <formula>-1</formula>
    </cfRule>
  </conditionalFormatting>
  <conditionalFormatting sqref="T57">
    <cfRule type="cellIs" dxfId="17204" priority="133381" stopIfTrue="1" operator="lessThan">
      <formula>0.5</formula>
    </cfRule>
  </conditionalFormatting>
  <conditionalFormatting sqref="T57">
    <cfRule type="cellIs" dxfId="17203" priority="133382" stopIfTrue="1" operator="greaterThanOrEqual">
      <formula>0.5</formula>
    </cfRule>
  </conditionalFormatting>
  <conditionalFormatting sqref="T58">
    <cfRule type="cellIs" dxfId="17202" priority="133383" stopIfTrue="1" operator="equal">
      <formula>-1</formula>
    </cfRule>
  </conditionalFormatting>
  <conditionalFormatting sqref="T58">
    <cfRule type="cellIs" dxfId="17201" priority="133384" stopIfTrue="1" operator="lessThan">
      <formula>0.5</formula>
    </cfRule>
  </conditionalFormatting>
  <conditionalFormatting sqref="T58">
    <cfRule type="cellIs" dxfId="17200" priority="133385" stopIfTrue="1" operator="greaterThanOrEqual">
      <formula>0.5</formula>
    </cfRule>
  </conditionalFormatting>
  <conditionalFormatting sqref="V39">
    <cfRule type="cellIs" dxfId="17199" priority="133386" stopIfTrue="1" operator="equal">
      <formula>-1</formula>
    </cfRule>
  </conditionalFormatting>
  <conditionalFormatting sqref="V39">
    <cfRule type="cellIs" dxfId="17198" priority="133387" stopIfTrue="1" operator="lessThan">
      <formula>0.5</formula>
    </cfRule>
  </conditionalFormatting>
  <conditionalFormatting sqref="V39">
    <cfRule type="cellIs" dxfId="17197" priority="133388" stopIfTrue="1" operator="greaterThanOrEqual">
      <formula>0.5</formula>
    </cfRule>
  </conditionalFormatting>
  <conditionalFormatting sqref="V40">
    <cfRule type="cellIs" dxfId="17196" priority="133389" stopIfTrue="1" operator="equal">
      <formula>-1</formula>
    </cfRule>
  </conditionalFormatting>
  <conditionalFormatting sqref="V40">
    <cfRule type="cellIs" dxfId="17195" priority="133390" stopIfTrue="1" operator="lessThan">
      <formula>0.5</formula>
    </cfRule>
  </conditionalFormatting>
  <conditionalFormatting sqref="V40">
    <cfRule type="cellIs" dxfId="17194" priority="133391" stopIfTrue="1" operator="greaterThanOrEqual">
      <formula>0.5</formula>
    </cfRule>
  </conditionalFormatting>
  <conditionalFormatting sqref="V41">
    <cfRule type="cellIs" dxfId="17193" priority="133392" stopIfTrue="1" operator="equal">
      <formula>-1</formula>
    </cfRule>
  </conditionalFormatting>
  <conditionalFormatting sqref="V41">
    <cfRule type="cellIs" dxfId="17192" priority="133393" stopIfTrue="1" operator="lessThan">
      <formula>0.5</formula>
    </cfRule>
  </conditionalFormatting>
  <conditionalFormatting sqref="V41">
    <cfRule type="cellIs" dxfId="17191" priority="133394" stopIfTrue="1" operator="greaterThanOrEqual">
      <formula>0.5</formula>
    </cfRule>
  </conditionalFormatting>
  <conditionalFormatting sqref="V42">
    <cfRule type="cellIs" dxfId="17190" priority="133395" stopIfTrue="1" operator="equal">
      <formula>-1</formula>
    </cfRule>
  </conditionalFormatting>
  <conditionalFormatting sqref="V42">
    <cfRule type="cellIs" dxfId="17189" priority="133396" stopIfTrue="1" operator="lessThan">
      <formula>0.5</formula>
    </cfRule>
  </conditionalFormatting>
  <conditionalFormatting sqref="V42">
    <cfRule type="cellIs" dxfId="17188" priority="133397" stopIfTrue="1" operator="greaterThanOrEqual">
      <formula>0.5</formula>
    </cfRule>
  </conditionalFormatting>
  <conditionalFormatting sqref="V43">
    <cfRule type="cellIs" dxfId="17187" priority="133398" stopIfTrue="1" operator="equal">
      <formula>-1</formula>
    </cfRule>
  </conditionalFormatting>
  <conditionalFormatting sqref="V43">
    <cfRule type="cellIs" dxfId="17186" priority="133399" stopIfTrue="1" operator="lessThan">
      <formula>0.5</formula>
    </cfRule>
  </conditionalFormatting>
  <conditionalFormatting sqref="V43">
    <cfRule type="cellIs" dxfId="17185" priority="133400" stopIfTrue="1" operator="greaterThanOrEqual">
      <formula>0.5</formula>
    </cfRule>
  </conditionalFormatting>
  <conditionalFormatting sqref="V44">
    <cfRule type="cellIs" dxfId="17184" priority="133401" stopIfTrue="1" operator="equal">
      <formula>-1</formula>
    </cfRule>
  </conditionalFormatting>
  <conditionalFormatting sqref="V44">
    <cfRule type="cellIs" dxfId="17183" priority="133402" stopIfTrue="1" operator="lessThan">
      <formula>0.5</formula>
    </cfRule>
  </conditionalFormatting>
  <conditionalFormatting sqref="V44">
    <cfRule type="cellIs" dxfId="17182" priority="133403" stopIfTrue="1" operator="greaterThanOrEqual">
      <formula>0.5</formula>
    </cfRule>
  </conditionalFormatting>
  <conditionalFormatting sqref="V45">
    <cfRule type="cellIs" dxfId="17181" priority="133404" stopIfTrue="1" operator="equal">
      <formula>-1</formula>
    </cfRule>
  </conditionalFormatting>
  <conditionalFormatting sqref="V45">
    <cfRule type="cellIs" dxfId="17180" priority="133405" stopIfTrue="1" operator="lessThan">
      <formula>0.5</formula>
    </cfRule>
  </conditionalFormatting>
  <conditionalFormatting sqref="V45">
    <cfRule type="cellIs" dxfId="17179" priority="133406" stopIfTrue="1" operator="greaterThanOrEqual">
      <formula>0.5</formula>
    </cfRule>
  </conditionalFormatting>
  <conditionalFormatting sqref="V46">
    <cfRule type="cellIs" dxfId="17178" priority="133407" stopIfTrue="1" operator="equal">
      <formula>-1</formula>
    </cfRule>
  </conditionalFormatting>
  <conditionalFormatting sqref="V46">
    <cfRule type="cellIs" dxfId="17177" priority="133408" stopIfTrue="1" operator="lessThan">
      <formula>0.5</formula>
    </cfRule>
  </conditionalFormatting>
  <conditionalFormatting sqref="V46">
    <cfRule type="cellIs" dxfId="17176" priority="133409" stopIfTrue="1" operator="greaterThanOrEqual">
      <formula>0.5</formula>
    </cfRule>
  </conditionalFormatting>
  <conditionalFormatting sqref="V47">
    <cfRule type="cellIs" dxfId="17175" priority="133410" stopIfTrue="1" operator="equal">
      <formula>-1</formula>
    </cfRule>
  </conditionalFormatting>
  <conditionalFormatting sqref="V47">
    <cfRule type="cellIs" dxfId="17174" priority="133411" stopIfTrue="1" operator="lessThan">
      <formula>0.5</formula>
    </cfRule>
  </conditionalFormatting>
  <conditionalFormatting sqref="V47">
    <cfRule type="cellIs" dxfId="17173" priority="133412" stopIfTrue="1" operator="greaterThanOrEqual">
      <formula>0.5</formula>
    </cfRule>
  </conditionalFormatting>
  <conditionalFormatting sqref="V48">
    <cfRule type="cellIs" dxfId="17172" priority="133413" stopIfTrue="1" operator="equal">
      <formula>-1</formula>
    </cfRule>
  </conditionalFormatting>
  <conditionalFormatting sqref="V48">
    <cfRule type="cellIs" dxfId="17171" priority="133414" stopIfTrue="1" operator="lessThan">
      <formula>0.5</formula>
    </cfRule>
  </conditionalFormatting>
  <conditionalFormatting sqref="V48">
    <cfRule type="cellIs" dxfId="17170" priority="133415" stopIfTrue="1" operator="greaterThanOrEqual">
      <formula>0.5</formula>
    </cfRule>
  </conditionalFormatting>
  <conditionalFormatting sqref="V49">
    <cfRule type="cellIs" dxfId="17169" priority="133416" stopIfTrue="1" operator="equal">
      <formula>-1</formula>
    </cfRule>
  </conditionalFormatting>
  <conditionalFormatting sqref="V49">
    <cfRule type="cellIs" dxfId="17168" priority="133417" stopIfTrue="1" operator="lessThan">
      <formula>0.5</formula>
    </cfRule>
  </conditionalFormatting>
  <conditionalFormatting sqref="V49">
    <cfRule type="cellIs" dxfId="17167" priority="133418" stopIfTrue="1" operator="greaterThanOrEqual">
      <formula>0.5</formula>
    </cfRule>
  </conditionalFormatting>
  <conditionalFormatting sqref="V50">
    <cfRule type="cellIs" dxfId="17166" priority="133419" stopIfTrue="1" operator="equal">
      <formula>-1</formula>
    </cfRule>
  </conditionalFormatting>
  <conditionalFormatting sqref="V50">
    <cfRule type="cellIs" dxfId="17165" priority="133420" stopIfTrue="1" operator="lessThan">
      <formula>0.5</formula>
    </cfRule>
  </conditionalFormatting>
  <conditionalFormatting sqref="V50">
    <cfRule type="cellIs" dxfId="17164" priority="133421" stopIfTrue="1" operator="greaterThanOrEqual">
      <formula>0.5</formula>
    </cfRule>
  </conditionalFormatting>
  <conditionalFormatting sqref="V51">
    <cfRule type="cellIs" dxfId="17163" priority="133422" stopIfTrue="1" operator="equal">
      <formula>-1</formula>
    </cfRule>
  </conditionalFormatting>
  <conditionalFormatting sqref="V51">
    <cfRule type="cellIs" dxfId="17162" priority="133423" stopIfTrue="1" operator="lessThan">
      <formula>0.5</formula>
    </cfRule>
  </conditionalFormatting>
  <conditionalFormatting sqref="V51">
    <cfRule type="cellIs" dxfId="17161" priority="133424" stopIfTrue="1" operator="greaterThanOrEqual">
      <formula>0.5</formula>
    </cfRule>
  </conditionalFormatting>
  <conditionalFormatting sqref="V52">
    <cfRule type="cellIs" dxfId="17160" priority="133425" stopIfTrue="1" operator="equal">
      <formula>-1</formula>
    </cfRule>
  </conditionalFormatting>
  <conditionalFormatting sqref="V52">
    <cfRule type="cellIs" dxfId="17159" priority="133426" stopIfTrue="1" operator="lessThan">
      <formula>0.5</formula>
    </cfRule>
  </conditionalFormatting>
  <conditionalFormatting sqref="V52">
    <cfRule type="cellIs" dxfId="17158" priority="133427" stopIfTrue="1" operator="greaterThanOrEqual">
      <formula>0.5</formula>
    </cfRule>
  </conditionalFormatting>
  <conditionalFormatting sqref="V53">
    <cfRule type="cellIs" dxfId="17157" priority="133428" stopIfTrue="1" operator="equal">
      <formula>-1</formula>
    </cfRule>
  </conditionalFormatting>
  <conditionalFormatting sqref="V53">
    <cfRule type="cellIs" dxfId="17156" priority="133429" stopIfTrue="1" operator="lessThan">
      <formula>0.5</formula>
    </cfRule>
  </conditionalFormatting>
  <conditionalFormatting sqref="V53">
    <cfRule type="cellIs" dxfId="17155" priority="133430" stopIfTrue="1" operator="greaterThanOrEqual">
      <formula>0.5</formula>
    </cfRule>
  </conditionalFormatting>
  <conditionalFormatting sqref="V54">
    <cfRule type="cellIs" dxfId="17154" priority="133431" stopIfTrue="1" operator="equal">
      <formula>-1</formula>
    </cfRule>
  </conditionalFormatting>
  <conditionalFormatting sqref="V54">
    <cfRule type="cellIs" dxfId="17153" priority="133432" stopIfTrue="1" operator="lessThan">
      <formula>0.5</formula>
    </cfRule>
  </conditionalFormatting>
  <conditionalFormatting sqref="V54">
    <cfRule type="cellIs" dxfId="17152" priority="133433" stopIfTrue="1" operator="greaterThanOrEqual">
      <formula>0.5</formula>
    </cfRule>
  </conditionalFormatting>
  <conditionalFormatting sqref="V55">
    <cfRule type="cellIs" dxfId="17151" priority="133434" stopIfTrue="1" operator="equal">
      <formula>-1</formula>
    </cfRule>
  </conditionalFormatting>
  <conditionalFormatting sqref="V55">
    <cfRule type="cellIs" dxfId="17150" priority="133435" stopIfTrue="1" operator="lessThan">
      <formula>0.5</formula>
    </cfRule>
  </conditionalFormatting>
  <conditionalFormatting sqref="V55">
    <cfRule type="cellIs" dxfId="17149" priority="133436" stopIfTrue="1" operator="greaterThanOrEqual">
      <formula>0.5</formula>
    </cfRule>
  </conditionalFormatting>
  <conditionalFormatting sqref="V56">
    <cfRule type="cellIs" dxfId="17148" priority="133437" stopIfTrue="1" operator="equal">
      <formula>-1</formula>
    </cfRule>
  </conditionalFormatting>
  <conditionalFormatting sqref="V56">
    <cfRule type="cellIs" dxfId="17147" priority="133438" stopIfTrue="1" operator="lessThan">
      <formula>0.5</formula>
    </cfRule>
  </conditionalFormatting>
  <conditionalFormatting sqref="V56">
    <cfRule type="cellIs" dxfId="17146" priority="133439" stopIfTrue="1" operator="greaterThanOrEqual">
      <formula>0.5</formula>
    </cfRule>
  </conditionalFormatting>
  <conditionalFormatting sqref="V57">
    <cfRule type="cellIs" dxfId="17145" priority="133440" stopIfTrue="1" operator="equal">
      <formula>-1</formula>
    </cfRule>
  </conditionalFormatting>
  <conditionalFormatting sqref="V57">
    <cfRule type="cellIs" dxfId="17144" priority="133441" stopIfTrue="1" operator="lessThan">
      <formula>0.5</formula>
    </cfRule>
  </conditionalFormatting>
  <conditionalFormatting sqref="V57">
    <cfRule type="cellIs" dxfId="17143" priority="133442" stopIfTrue="1" operator="greaterThanOrEqual">
      <formula>0.5</formula>
    </cfRule>
  </conditionalFormatting>
  <conditionalFormatting sqref="V58">
    <cfRule type="cellIs" dxfId="17142" priority="133443" stopIfTrue="1" operator="equal">
      <formula>-1</formula>
    </cfRule>
  </conditionalFormatting>
  <conditionalFormatting sqref="V58">
    <cfRule type="cellIs" dxfId="17141" priority="133444" stopIfTrue="1" operator="lessThan">
      <formula>0.5</formula>
    </cfRule>
  </conditionalFormatting>
  <conditionalFormatting sqref="V58">
    <cfRule type="cellIs" dxfId="17140" priority="133445" stopIfTrue="1" operator="greaterThanOrEqual">
      <formula>0.5</formula>
    </cfRule>
  </conditionalFormatting>
  <conditionalFormatting sqref="X39">
    <cfRule type="cellIs" dxfId="17139" priority="133446" stopIfTrue="1" operator="equal">
      <formula>-1</formula>
    </cfRule>
  </conditionalFormatting>
  <conditionalFormatting sqref="X39">
    <cfRule type="cellIs" dxfId="17138" priority="133447" stopIfTrue="1" operator="lessThan">
      <formula>0.5</formula>
    </cfRule>
  </conditionalFormatting>
  <conditionalFormatting sqref="X39">
    <cfRule type="cellIs" dxfId="17137" priority="133448" stopIfTrue="1" operator="greaterThanOrEqual">
      <formula>0.5</formula>
    </cfRule>
  </conditionalFormatting>
  <conditionalFormatting sqref="X40">
    <cfRule type="cellIs" dxfId="17136" priority="133449" stopIfTrue="1" operator="equal">
      <formula>-1</formula>
    </cfRule>
  </conditionalFormatting>
  <conditionalFormatting sqref="X40">
    <cfRule type="cellIs" dxfId="17135" priority="133450" stopIfTrue="1" operator="lessThan">
      <formula>0.5</formula>
    </cfRule>
  </conditionalFormatting>
  <conditionalFormatting sqref="X40">
    <cfRule type="cellIs" dxfId="17134" priority="133451" stopIfTrue="1" operator="greaterThanOrEqual">
      <formula>0.5</formula>
    </cfRule>
  </conditionalFormatting>
  <conditionalFormatting sqref="X41">
    <cfRule type="cellIs" dxfId="17133" priority="133452" stopIfTrue="1" operator="equal">
      <formula>-1</formula>
    </cfRule>
  </conditionalFormatting>
  <conditionalFormatting sqref="X41">
    <cfRule type="cellIs" dxfId="17132" priority="133453" stopIfTrue="1" operator="lessThan">
      <formula>0.5</formula>
    </cfRule>
  </conditionalFormatting>
  <conditionalFormatting sqref="X41">
    <cfRule type="cellIs" dxfId="17131" priority="133454" stopIfTrue="1" operator="greaterThanOrEqual">
      <formula>0.5</formula>
    </cfRule>
  </conditionalFormatting>
  <conditionalFormatting sqref="X42">
    <cfRule type="cellIs" dxfId="17130" priority="133455" stopIfTrue="1" operator="equal">
      <formula>-1</formula>
    </cfRule>
  </conditionalFormatting>
  <conditionalFormatting sqref="X42">
    <cfRule type="cellIs" dxfId="17129" priority="133456" stopIfTrue="1" operator="lessThan">
      <formula>0.5</formula>
    </cfRule>
  </conditionalFormatting>
  <conditionalFormatting sqref="X42">
    <cfRule type="cellIs" dxfId="17128" priority="133457" stopIfTrue="1" operator="greaterThanOrEqual">
      <formula>0.5</formula>
    </cfRule>
  </conditionalFormatting>
  <conditionalFormatting sqref="X43">
    <cfRule type="cellIs" dxfId="17127" priority="133458" stopIfTrue="1" operator="equal">
      <formula>-1</formula>
    </cfRule>
  </conditionalFormatting>
  <conditionalFormatting sqref="X43">
    <cfRule type="cellIs" dxfId="17126" priority="133459" stopIfTrue="1" operator="lessThan">
      <formula>0.5</formula>
    </cfRule>
  </conditionalFormatting>
  <conditionalFormatting sqref="X43">
    <cfRule type="cellIs" dxfId="17125" priority="133460" stopIfTrue="1" operator="greaterThanOrEqual">
      <formula>0.5</formula>
    </cfRule>
  </conditionalFormatting>
  <conditionalFormatting sqref="X44">
    <cfRule type="cellIs" dxfId="17124" priority="133461" stopIfTrue="1" operator="equal">
      <formula>-1</formula>
    </cfRule>
  </conditionalFormatting>
  <conditionalFormatting sqref="X44">
    <cfRule type="cellIs" dxfId="17123" priority="133462" stopIfTrue="1" operator="lessThan">
      <formula>0.5</formula>
    </cfRule>
  </conditionalFormatting>
  <conditionalFormatting sqref="X44">
    <cfRule type="cellIs" dxfId="17122" priority="133463" stopIfTrue="1" operator="greaterThanOrEqual">
      <formula>0.5</formula>
    </cfRule>
  </conditionalFormatting>
  <conditionalFormatting sqref="X45">
    <cfRule type="cellIs" dxfId="17121" priority="133464" stopIfTrue="1" operator="equal">
      <formula>-1</formula>
    </cfRule>
  </conditionalFormatting>
  <conditionalFormatting sqref="X45">
    <cfRule type="cellIs" dxfId="17120" priority="133465" stopIfTrue="1" operator="lessThan">
      <formula>0.5</formula>
    </cfRule>
  </conditionalFormatting>
  <conditionalFormatting sqref="X45">
    <cfRule type="cellIs" dxfId="17119" priority="133466" stopIfTrue="1" operator="greaterThanOrEqual">
      <formula>0.5</formula>
    </cfRule>
  </conditionalFormatting>
  <conditionalFormatting sqref="X46">
    <cfRule type="cellIs" dxfId="17118" priority="133467" stopIfTrue="1" operator="equal">
      <formula>-1</formula>
    </cfRule>
  </conditionalFormatting>
  <conditionalFormatting sqref="X46">
    <cfRule type="cellIs" dxfId="17117" priority="133468" stopIfTrue="1" operator="lessThan">
      <formula>0.5</formula>
    </cfRule>
  </conditionalFormatting>
  <conditionalFormatting sqref="X46">
    <cfRule type="cellIs" dxfId="17116" priority="133469" stopIfTrue="1" operator="greaterThanOrEqual">
      <formula>0.5</formula>
    </cfRule>
  </conditionalFormatting>
  <conditionalFormatting sqref="X47">
    <cfRule type="cellIs" dxfId="17115" priority="133470" stopIfTrue="1" operator="equal">
      <formula>-1</formula>
    </cfRule>
  </conditionalFormatting>
  <conditionalFormatting sqref="X47">
    <cfRule type="cellIs" dxfId="17114" priority="133471" stopIfTrue="1" operator="lessThan">
      <formula>0.5</formula>
    </cfRule>
  </conditionalFormatting>
  <conditionalFormatting sqref="X47">
    <cfRule type="cellIs" dxfId="17113" priority="133472" stopIfTrue="1" operator="greaterThanOrEqual">
      <formula>0.5</formula>
    </cfRule>
  </conditionalFormatting>
  <conditionalFormatting sqref="X48">
    <cfRule type="cellIs" dxfId="17112" priority="133473" stopIfTrue="1" operator="equal">
      <formula>-1</formula>
    </cfRule>
  </conditionalFormatting>
  <conditionalFormatting sqref="X48">
    <cfRule type="cellIs" dxfId="17111" priority="133474" stopIfTrue="1" operator="lessThan">
      <formula>0.5</formula>
    </cfRule>
  </conditionalFormatting>
  <conditionalFormatting sqref="X48">
    <cfRule type="cellIs" dxfId="17110" priority="133475" stopIfTrue="1" operator="greaterThanOrEqual">
      <formula>0.5</formula>
    </cfRule>
  </conditionalFormatting>
  <conditionalFormatting sqref="X49">
    <cfRule type="cellIs" dxfId="17109" priority="133476" stopIfTrue="1" operator="equal">
      <formula>-1</formula>
    </cfRule>
  </conditionalFormatting>
  <conditionalFormatting sqref="X49">
    <cfRule type="cellIs" dxfId="17108" priority="133477" stopIfTrue="1" operator="lessThan">
      <formula>0.5</formula>
    </cfRule>
  </conditionalFormatting>
  <conditionalFormatting sqref="X49">
    <cfRule type="cellIs" dxfId="17107" priority="133478" stopIfTrue="1" operator="greaterThanOrEqual">
      <formula>0.5</formula>
    </cfRule>
  </conditionalFormatting>
  <conditionalFormatting sqref="X50">
    <cfRule type="cellIs" dxfId="17106" priority="133479" stopIfTrue="1" operator="equal">
      <formula>-1</formula>
    </cfRule>
  </conditionalFormatting>
  <conditionalFormatting sqref="X50">
    <cfRule type="cellIs" dxfId="17105" priority="133480" stopIfTrue="1" operator="lessThan">
      <formula>0.5</formula>
    </cfRule>
  </conditionalFormatting>
  <conditionalFormatting sqref="X50">
    <cfRule type="cellIs" dxfId="17104" priority="133481" stopIfTrue="1" operator="greaterThanOrEqual">
      <formula>0.5</formula>
    </cfRule>
  </conditionalFormatting>
  <conditionalFormatting sqref="X51">
    <cfRule type="cellIs" dxfId="17103" priority="133482" stopIfTrue="1" operator="equal">
      <formula>-1</formula>
    </cfRule>
  </conditionalFormatting>
  <conditionalFormatting sqref="X51">
    <cfRule type="cellIs" dxfId="17102" priority="133483" stopIfTrue="1" operator="lessThan">
      <formula>0.5</formula>
    </cfRule>
  </conditionalFormatting>
  <conditionalFormatting sqref="X51">
    <cfRule type="cellIs" dxfId="17101" priority="133484" stopIfTrue="1" operator="greaterThanOrEqual">
      <formula>0.5</formula>
    </cfRule>
  </conditionalFormatting>
  <conditionalFormatting sqref="X52">
    <cfRule type="cellIs" dxfId="17100" priority="133485" stopIfTrue="1" operator="equal">
      <formula>-1</formula>
    </cfRule>
  </conditionalFormatting>
  <conditionalFormatting sqref="X52">
    <cfRule type="cellIs" dxfId="17099" priority="133486" stopIfTrue="1" operator="lessThan">
      <formula>0.5</formula>
    </cfRule>
  </conditionalFormatting>
  <conditionalFormatting sqref="X52">
    <cfRule type="cellIs" dxfId="17098" priority="133487" stopIfTrue="1" operator="greaterThanOrEqual">
      <formula>0.5</formula>
    </cfRule>
  </conditionalFormatting>
  <conditionalFormatting sqref="X53">
    <cfRule type="cellIs" dxfId="17097" priority="133488" stopIfTrue="1" operator="equal">
      <formula>-1</formula>
    </cfRule>
  </conditionalFormatting>
  <conditionalFormatting sqref="X53">
    <cfRule type="cellIs" dxfId="17096" priority="133489" stopIfTrue="1" operator="lessThan">
      <formula>0.5</formula>
    </cfRule>
  </conditionalFormatting>
  <conditionalFormatting sqref="X53">
    <cfRule type="cellIs" dxfId="17095" priority="133490" stopIfTrue="1" operator="greaterThanOrEqual">
      <formula>0.5</formula>
    </cfRule>
  </conditionalFormatting>
  <conditionalFormatting sqref="X54">
    <cfRule type="cellIs" dxfId="17094" priority="133491" stopIfTrue="1" operator="equal">
      <formula>-1</formula>
    </cfRule>
  </conditionalFormatting>
  <conditionalFormatting sqref="X54">
    <cfRule type="cellIs" dxfId="17093" priority="133492" stopIfTrue="1" operator="lessThan">
      <formula>0.5</formula>
    </cfRule>
  </conditionalFormatting>
  <conditionalFormatting sqref="X54">
    <cfRule type="cellIs" dxfId="17092" priority="133493" stopIfTrue="1" operator="greaterThanOrEqual">
      <formula>0.5</formula>
    </cfRule>
  </conditionalFormatting>
  <conditionalFormatting sqref="X55">
    <cfRule type="cellIs" dxfId="17091" priority="133494" stopIfTrue="1" operator="equal">
      <formula>-1</formula>
    </cfRule>
  </conditionalFormatting>
  <conditionalFormatting sqref="X55">
    <cfRule type="cellIs" dxfId="17090" priority="133495" stopIfTrue="1" operator="lessThan">
      <formula>0.5</formula>
    </cfRule>
  </conditionalFormatting>
  <conditionalFormatting sqref="X55">
    <cfRule type="cellIs" dxfId="17089" priority="133496" stopIfTrue="1" operator="greaterThanOrEqual">
      <formula>0.5</formula>
    </cfRule>
  </conditionalFormatting>
  <conditionalFormatting sqref="X56">
    <cfRule type="cellIs" dxfId="17088" priority="133497" stopIfTrue="1" operator="equal">
      <formula>-1</formula>
    </cfRule>
  </conditionalFormatting>
  <conditionalFormatting sqref="X56">
    <cfRule type="cellIs" dxfId="17087" priority="133498" stopIfTrue="1" operator="lessThan">
      <formula>0.5</formula>
    </cfRule>
  </conditionalFormatting>
  <conditionalFormatting sqref="X56">
    <cfRule type="cellIs" dxfId="17086" priority="133499" stopIfTrue="1" operator="greaterThanOrEqual">
      <formula>0.5</formula>
    </cfRule>
  </conditionalFormatting>
  <conditionalFormatting sqref="X57">
    <cfRule type="cellIs" dxfId="17085" priority="133500" stopIfTrue="1" operator="equal">
      <formula>-1</formula>
    </cfRule>
  </conditionalFormatting>
  <conditionalFormatting sqref="X57">
    <cfRule type="cellIs" dxfId="17084" priority="133501" stopIfTrue="1" operator="lessThan">
      <formula>0.5</formula>
    </cfRule>
  </conditionalFormatting>
  <conditionalFormatting sqref="X57">
    <cfRule type="cellIs" dxfId="17083" priority="133502" stopIfTrue="1" operator="greaterThanOrEqual">
      <formula>0.5</formula>
    </cfRule>
  </conditionalFormatting>
  <conditionalFormatting sqref="X58">
    <cfRule type="cellIs" dxfId="17082" priority="133503" stopIfTrue="1" operator="equal">
      <formula>-1</formula>
    </cfRule>
  </conditionalFormatting>
  <conditionalFormatting sqref="X58">
    <cfRule type="cellIs" dxfId="17081" priority="133504" stopIfTrue="1" operator="lessThan">
      <formula>0.5</formula>
    </cfRule>
  </conditionalFormatting>
  <conditionalFormatting sqref="X58">
    <cfRule type="cellIs" dxfId="17080" priority="133505" stopIfTrue="1" operator="greaterThanOrEqual">
      <formula>0.5</formula>
    </cfRule>
  </conditionalFormatting>
  <conditionalFormatting sqref="Z39">
    <cfRule type="cellIs" dxfId="17079" priority="133506" stopIfTrue="1" operator="equal">
      <formula>-1</formula>
    </cfRule>
  </conditionalFormatting>
  <conditionalFormatting sqref="Z39">
    <cfRule type="cellIs" dxfId="17078" priority="133507" stopIfTrue="1" operator="lessThan">
      <formula>0.5</formula>
    </cfRule>
  </conditionalFormatting>
  <conditionalFormatting sqref="Z39">
    <cfRule type="cellIs" dxfId="17077" priority="133508" stopIfTrue="1" operator="greaterThanOrEqual">
      <formula>0.5</formula>
    </cfRule>
  </conditionalFormatting>
  <conditionalFormatting sqref="Z40">
    <cfRule type="cellIs" dxfId="17076" priority="133509" stopIfTrue="1" operator="equal">
      <formula>-1</formula>
    </cfRule>
  </conditionalFormatting>
  <conditionalFormatting sqref="Z40">
    <cfRule type="cellIs" dxfId="17075" priority="133510" stopIfTrue="1" operator="lessThan">
      <formula>0.5</formula>
    </cfRule>
  </conditionalFormatting>
  <conditionalFormatting sqref="Z40">
    <cfRule type="cellIs" dxfId="17074" priority="133511" stopIfTrue="1" operator="greaterThanOrEqual">
      <formula>0.5</formula>
    </cfRule>
  </conditionalFormatting>
  <conditionalFormatting sqref="Z41">
    <cfRule type="cellIs" dxfId="17073" priority="133512" stopIfTrue="1" operator="equal">
      <formula>-1</formula>
    </cfRule>
  </conditionalFormatting>
  <conditionalFormatting sqref="Z41">
    <cfRule type="cellIs" dxfId="17072" priority="133513" stopIfTrue="1" operator="lessThan">
      <formula>0.5</formula>
    </cfRule>
  </conditionalFormatting>
  <conditionalFormatting sqref="Z41">
    <cfRule type="cellIs" dxfId="17071" priority="133514" stopIfTrue="1" operator="greaterThanOrEqual">
      <formula>0.5</formula>
    </cfRule>
  </conditionalFormatting>
  <conditionalFormatting sqref="Z42">
    <cfRule type="cellIs" dxfId="17070" priority="133515" stopIfTrue="1" operator="equal">
      <formula>-1</formula>
    </cfRule>
  </conditionalFormatting>
  <conditionalFormatting sqref="Z42">
    <cfRule type="cellIs" dxfId="17069" priority="133516" stopIfTrue="1" operator="lessThan">
      <formula>0.5</formula>
    </cfRule>
  </conditionalFormatting>
  <conditionalFormatting sqref="Z42">
    <cfRule type="cellIs" dxfId="17068" priority="133517" stopIfTrue="1" operator="greaterThanOrEqual">
      <formula>0.5</formula>
    </cfRule>
  </conditionalFormatting>
  <conditionalFormatting sqref="Z43">
    <cfRule type="cellIs" dxfId="17067" priority="133518" stopIfTrue="1" operator="equal">
      <formula>-1</formula>
    </cfRule>
  </conditionalFormatting>
  <conditionalFormatting sqref="Z43">
    <cfRule type="cellIs" dxfId="17066" priority="133519" stopIfTrue="1" operator="lessThan">
      <formula>0.5</formula>
    </cfRule>
  </conditionalFormatting>
  <conditionalFormatting sqref="Z43">
    <cfRule type="cellIs" dxfId="17065" priority="133520" stopIfTrue="1" operator="greaterThanOrEqual">
      <formula>0.5</formula>
    </cfRule>
  </conditionalFormatting>
  <conditionalFormatting sqref="Z44">
    <cfRule type="cellIs" dxfId="17064" priority="133521" stopIfTrue="1" operator="equal">
      <formula>-1</formula>
    </cfRule>
  </conditionalFormatting>
  <conditionalFormatting sqref="Z44">
    <cfRule type="cellIs" dxfId="17063" priority="133522" stopIfTrue="1" operator="lessThan">
      <formula>0.5</formula>
    </cfRule>
  </conditionalFormatting>
  <conditionalFormatting sqref="Z44">
    <cfRule type="cellIs" dxfId="17062" priority="133523" stopIfTrue="1" operator="greaterThanOrEqual">
      <formula>0.5</formula>
    </cfRule>
  </conditionalFormatting>
  <conditionalFormatting sqref="Z45">
    <cfRule type="cellIs" dxfId="17061" priority="133524" stopIfTrue="1" operator="equal">
      <formula>-1</formula>
    </cfRule>
  </conditionalFormatting>
  <conditionalFormatting sqref="Z45">
    <cfRule type="cellIs" dxfId="17060" priority="133525" stopIfTrue="1" operator="lessThan">
      <formula>0.5</formula>
    </cfRule>
  </conditionalFormatting>
  <conditionalFormatting sqref="Z45">
    <cfRule type="cellIs" dxfId="17059" priority="133526" stopIfTrue="1" operator="greaterThanOrEqual">
      <formula>0.5</formula>
    </cfRule>
  </conditionalFormatting>
  <conditionalFormatting sqref="Z46">
    <cfRule type="cellIs" dxfId="17058" priority="133527" stopIfTrue="1" operator="equal">
      <formula>-1</formula>
    </cfRule>
  </conditionalFormatting>
  <conditionalFormatting sqref="Z46">
    <cfRule type="cellIs" dxfId="17057" priority="133528" stopIfTrue="1" operator="lessThan">
      <formula>0.5</formula>
    </cfRule>
  </conditionalFormatting>
  <conditionalFormatting sqref="Z46">
    <cfRule type="cellIs" dxfId="17056" priority="133529" stopIfTrue="1" operator="greaterThanOrEqual">
      <formula>0.5</formula>
    </cfRule>
  </conditionalFormatting>
  <conditionalFormatting sqref="Z47">
    <cfRule type="cellIs" dxfId="17055" priority="133530" stopIfTrue="1" operator="equal">
      <formula>-1</formula>
    </cfRule>
  </conditionalFormatting>
  <conditionalFormatting sqref="Z47">
    <cfRule type="cellIs" dxfId="17054" priority="133531" stopIfTrue="1" operator="lessThan">
      <formula>0.5</formula>
    </cfRule>
  </conditionalFormatting>
  <conditionalFormatting sqref="Z47">
    <cfRule type="cellIs" dxfId="17053" priority="133532" stopIfTrue="1" operator="greaterThanOrEqual">
      <formula>0.5</formula>
    </cfRule>
  </conditionalFormatting>
  <conditionalFormatting sqref="Z48">
    <cfRule type="cellIs" dxfId="17052" priority="133533" stopIfTrue="1" operator="equal">
      <formula>-1</formula>
    </cfRule>
  </conditionalFormatting>
  <conditionalFormatting sqref="Z48">
    <cfRule type="cellIs" dxfId="17051" priority="133534" stopIfTrue="1" operator="lessThan">
      <formula>0.5</formula>
    </cfRule>
  </conditionalFormatting>
  <conditionalFormatting sqref="Z48">
    <cfRule type="cellIs" dxfId="17050" priority="133535" stopIfTrue="1" operator="greaterThanOrEqual">
      <formula>0.5</formula>
    </cfRule>
  </conditionalFormatting>
  <conditionalFormatting sqref="Z49">
    <cfRule type="cellIs" dxfId="17049" priority="133536" stopIfTrue="1" operator="equal">
      <formula>-1</formula>
    </cfRule>
  </conditionalFormatting>
  <conditionalFormatting sqref="Z49">
    <cfRule type="cellIs" dxfId="17048" priority="133537" stopIfTrue="1" operator="lessThan">
      <formula>0.5</formula>
    </cfRule>
  </conditionalFormatting>
  <conditionalFormatting sqref="Z49">
    <cfRule type="cellIs" dxfId="17047" priority="133538" stopIfTrue="1" operator="greaterThanOrEqual">
      <formula>0.5</formula>
    </cfRule>
  </conditionalFormatting>
  <conditionalFormatting sqref="Z50">
    <cfRule type="cellIs" dxfId="17046" priority="133539" stopIfTrue="1" operator="equal">
      <formula>-1</formula>
    </cfRule>
  </conditionalFormatting>
  <conditionalFormatting sqref="Z50">
    <cfRule type="cellIs" dxfId="17045" priority="133540" stopIfTrue="1" operator="lessThan">
      <formula>0.5</formula>
    </cfRule>
  </conditionalFormatting>
  <conditionalFormatting sqref="Z50">
    <cfRule type="cellIs" dxfId="17044" priority="133541" stopIfTrue="1" operator="greaterThanOrEqual">
      <formula>0.5</formula>
    </cfRule>
  </conditionalFormatting>
  <conditionalFormatting sqref="Z51">
    <cfRule type="cellIs" dxfId="17043" priority="133542" stopIfTrue="1" operator="equal">
      <formula>-1</formula>
    </cfRule>
  </conditionalFormatting>
  <conditionalFormatting sqref="Z51">
    <cfRule type="cellIs" dxfId="17042" priority="133543" stopIfTrue="1" operator="lessThan">
      <formula>0.5</formula>
    </cfRule>
  </conditionalFormatting>
  <conditionalFormatting sqref="Z51">
    <cfRule type="cellIs" dxfId="17041" priority="133544" stopIfTrue="1" operator="greaterThanOrEqual">
      <formula>0.5</formula>
    </cfRule>
  </conditionalFormatting>
  <conditionalFormatting sqref="Z52">
    <cfRule type="cellIs" dxfId="17040" priority="133545" stopIfTrue="1" operator="equal">
      <formula>-1</formula>
    </cfRule>
  </conditionalFormatting>
  <conditionalFormatting sqref="Z52">
    <cfRule type="cellIs" dxfId="17039" priority="133546" stopIfTrue="1" operator="lessThan">
      <formula>0.5</formula>
    </cfRule>
  </conditionalFormatting>
  <conditionalFormatting sqref="Z52">
    <cfRule type="cellIs" dxfId="17038" priority="133547" stopIfTrue="1" operator="greaterThanOrEqual">
      <formula>0.5</formula>
    </cfRule>
  </conditionalFormatting>
  <conditionalFormatting sqref="Z53">
    <cfRule type="cellIs" dxfId="17037" priority="133548" stopIfTrue="1" operator="equal">
      <formula>-1</formula>
    </cfRule>
  </conditionalFormatting>
  <conditionalFormatting sqref="Z53">
    <cfRule type="cellIs" dxfId="17036" priority="133549" stopIfTrue="1" operator="lessThan">
      <formula>0.5</formula>
    </cfRule>
  </conditionalFormatting>
  <conditionalFormatting sqref="Z53">
    <cfRule type="cellIs" dxfId="17035" priority="133550" stopIfTrue="1" operator="greaterThanOrEqual">
      <formula>0.5</formula>
    </cfRule>
  </conditionalFormatting>
  <conditionalFormatting sqref="Z54">
    <cfRule type="cellIs" dxfId="17034" priority="133551" stopIfTrue="1" operator="equal">
      <formula>-1</formula>
    </cfRule>
  </conditionalFormatting>
  <conditionalFormatting sqref="Z54">
    <cfRule type="cellIs" dxfId="17033" priority="133552" stopIfTrue="1" operator="lessThan">
      <formula>0.5</formula>
    </cfRule>
  </conditionalFormatting>
  <conditionalFormatting sqref="Z54">
    <cfRule type="cellIs" dxfId="17032" priority="133553" stopIfTrue="1" operator="greaterThanOrEqual">
      <formula>0.5</formula>
    </cfRule>
  </conditionalFormatting>
  <conditionalFormatting sqref="Z55">
    <cfRule type="cellIs" dxfId="17031" priority="133554" stopIfTrue="1" operator="equal">
      <formula>-1</formula>
    </cfRule>
  </conditionalFormatting>
  <conditionalFormatting sqref="Z55">
    <cfRule type="cellIs" dxfId="17030" priority="133555" stopIfTrue="1" operator="lessThan">
      <formula>0.5</formula>
    </cfRule>
  </conditionalFormatting>
  <conditionalFormatting sqref="Z55">
    <cfRule type="cellIs" dxfId="17029" priority="133556" stopIfTrue="1" operator="greaterThanOrEqual">
      <formula>0.5</formula>
    </cfRule>
  </conditionalFormatting>
  <conditionalFormatting sqref="Z56">
    <cfRule type="cellIs" dxfId="17028" priority="133557" stopIfTrue="1" operator="equal">
      <formula>-1</formula>
    </cfRule>
  </conditionalFormatting>
  <conditionalFormatting sqref="Z56">
    <cfRule type="cellIs" dxfId="17027" priority="133558" stopIfTrue="1" operator="lessThan">
      <formula>0.5</formula>
    </cfRule>
  </conditionalFormatting>
  <conditionalFormatting sqref="Z56">
    <cfRule type="cellIs" dxfId="17026" priority="133559" stopIfTrue="1" operator="greaterThanOrEqual">
      <formula>0.5</formula>
    </cfRule>
  </conditionalFormatting>
  <conditionalFormatting sqref="Z57">
    <cfRule type="cellIs" dxfId="17025" priority="133560" stopIfTrue="1" operator="equal">
      <formula>-1</formula>
    </cfRule>
  </conditionalFormatting>
  <conditionalFormatting sqref="Z57">
    <cfRule type="cellIs" dxfId="17024" priority="133561" stopIfTrue="1" operator="lessThan">
      <formula>0.5</formula>
    </cfRule>
  </conditionalFormatting>
  <conditionalFormatting sqref="Z57">
    <cfRule type="cellIs" dxfId="17023" priority="133562" stopIfTrue="1" operator="greaterThanOrEqual">
      <formula>0.5</formula>
    </cfRule>
  </conditionalFormatting>
  <conditionalFormatting sqref="Z58">
    <cfRule type="cellIs" dxfId="17022" priority="133563" stopIfTrue="1" operator="equal">
      <formula>-1</formula>
    </cfRule>
  </conditionalFormatting>
  <conditionalFormatting sqref="Z58">
    <cfRule type="cellIs" dxfId="17021" priority="133564" stopIfTrue="1" operator="lessThan">
      <formula>0.5</formula>
    </cfRule>
  </conditionalFormatting>
  <conditionalFormatting sqref="Z58">
    <cfRule type="cellIs" dxfId="17020" priority="133565" stopIfTrue="1" operator="greaterThanOrEqual">
      <formula>0.5</formula>
    </cfRule>
  </conditionalFormatting>
  <conditionalFormatting sqref="AB39">
    <cfRule type="cellIs" dxfId="17019" priority="133566" stopIfTrue="1" operator="equal">
      <formula>-1</formula>
    </cfRule>
  </conditionalFormatting>
  <conditionalFormatting sqref="AB39">
    <cfRule type="cellIs" dxfId="17018" priority="133567" stopIfTrue="1" operator="lessThan">
      <formula>0.5</formula>
    </cfRule>
  </conditionalFormatting>
  <conditionalFormatting sqref="AB39">
    <cfRule type="cellIs" dxfId="17017" priority="133568" stopIfTrue="1" operator="greaterThanOrEqual">
      <formula>0.5</formula>
    </cfRule>
  </conditionalFormatting>
  <conditionalFormatting sqref="AB40">
    <cfRule type="cellIs" dxfId="17016" priority="133569" stopIfTrue="1" operator="equal">
      <formula>-1</formula>
    </cfRule>
  </conditionalFormatting>
  <conditionalFormatting sqref="AB40">
    <cfRule type="cellIs" dxfId="17015" priority="133570" stopIfTrue="1" operator="lessThan">
      <formula>0.5</formula>
    </cfRule>
  </conditionalFormatting>
  <conditionalFormatting sqref="AB40">
    <cfRule type="cellIs" dxfId="17014" priority="133571" stopIfTrue="1" operator="greaterThanOrEqual">
      <formula>0.5</formula>
    </cfRule>
  </conditionalFormatting>
  <conditionalFormatting sqref="AB41">
    <cfRule type="cellIs" dxfId="17013" priority="133572" stopIfTrue="1" operator="equal">
      <formula>-1</formula>
    </cfRule>
  </conditionalFormatting>
  <conditionalFormatting sqref="AB41">
    <cfRule type="cellIs" dxfId="17012" priority="133573" stopIfTrue="1" operator="lessThan">
      <formula>0.5</formula>
    </cfRule>
  </conditionalFormatting>
  <conditionalFormatting sqref="AB41">
    <cfRule type="cellIs" dxfId="17011" priority="133574" stopIfTrue="1" operator="greaterThanOrEqual">
      <formula>0.5</formula>
    </cfRule>
  </conditionalFormatting>
  <conditionalFormatting sqref="AB42">
    <cfRule type="cellIs" dxfId="17010" priority="133575" stopIfTrue="1" operator="equal">
      <formula>-1</formula>
    </cfRule>
  </conditionalFormatting>
  <conditionalFormatting sqref="AB42">
    <cfRule type="cellIs" dxfId="17009" priority="133576" stopIfTrue="1" operator="lessThan">
      <formula>0.5</formula>
    </cfRule>
  </conditionalFormatting>
  <conditionalFormatting sqref="AB42">
    <cfRule type="cellIs" dxfId="17008" priority="133577" stopIfTrue="1" operator="greaterThanOrEqual">
      <formula>0.5</formula>
    </cfRule>
  </conditionalFormatting>
  <conditionalFormatting sqref="AB43">
    <cfRule type="cellIs" dxfId="17007" priority="133578" stopIfTrue="1" operator="equal">
      <formula>-1</formula>
    </cfRule>
  </conditionalFormatting>
  <conditionalFormatting sqref="AB43">
    <cfRule type="cellIs" dxfId="17006" priority="133579" stopIfTrue="1" operator="lessThan">
      <formula>0.5</formula>
    </cfRule>
  </conditionalFormatting>
  <conditionalFormatting sqref="AB43">
    <cfRule type="cellIs" dxfId="17005" priority="133580" stopIfTrue="1" operator="greaterThanOrEqual">
      <formula>0.5</formula>
    </cfRule>
  </conditionalFormatting>
  <conditionalFormatting sqref="AB44">
    <cfRule type="cellIs" dxfId="17004" priority="133581" stopIfTrue="1" operator="equal">
      <formula>-1</formula>
    </cfRule>
  </conditionalFormatting>
  <conditionalFormatting sqref="AB44">
    <cfRule type="cellIs" dxfId="17003" priority="133582" stopIfTrue="1" operator="lessThan">
      <formula>0.5</formula>
    </cfRule>
  </conditionalFormatting>
  <conditionalFormatting sqref="AB44">
    <cfRule type="cellIs" dxfId="17002" priority="133583" stopIfTrue="1" operator="greaterThanOrEqual">
      <formula>0.5</formula>
    </cfRule>
  </conditionalFormatting>
  <conditionalFormatting sqref="AB45">
    <cfRule type="cellIs" dxfId="17001" priority="133584" stopIfTrue="1" operator="equal">
      <formula>-1</formula>
    </cfRule>
  </conditionalFormatting>
  <conditionalFormatting sqref="AB45">
    <cfRule type="cellIs" dxfId="17000" priority="133585" stopIfTrue="1" operator="lessThan">
      <formula>0.5</formula>
    </cfRule>
  </conditionalFormatting>
  <conditionalFormatting sqref="AB45">
    <cfRule type="cellIs" dxfId="16999" priority="133586" stopIfTrue="1" operator="greaterThanOrEqual">
      <formula>0.5</formula>
    </cfRule>
  </conditionalFormatting>
  <conditionalFormatting sqref="AB46">
    <cfRule type="cellIs" dxfId="16998" priority="133587" stopIfTrue="1" operator="equal">
      <formula>-1</formula>
    </cfRule>
  </conditionalFormatting>
  <conditionalFormatting sqref="AB46">
    <cfRule type="cellIs" dxfId="16997" priority="133588" stopIfTrue="1" operator="lessThan">
      <formula>0.5</formula>
    </cfRule>
  </conditionalFormatting>
  <conditionalFormatting sqref="AB46">
    <cfRule type="cellIs" dxfId="16996" priority="133589" stopIfTrue="1" operator="greaterThanOrEqual">
      <formula>0.5</formula>
    </cfRule>
  </conditionalFormatting>
  <conditionalFormatting sqref="AB47">
    <cfRule type="cellIs" dxfId="16995" priority="133590" stopIfTrue="1" operator="equal">
      <formula>-1</formula>
    </cfRule>
  </conditionalFormatting>
  <conditionalFormatting sqref="AB47">
    <cfRule type="cellIs" dxfId="16994" priority="133591" stopIfTrue="1" operator="lessThan">
      <formula>0.5</formula>
    </cfRule>
  </conditionalFormatting>
  <conditionalFormatting sqref="AB47">
    <cfRule type="cellIs" dxfId="16993" priority="133592" stopIfTrue="1" operator="greaterThanOrEqual">
      <formula>0.5</formula>
    </cfRule>
  </conditionalFormatting>
  <conditionalFormatting sqref="AB48">
    <cfRule type="cellIs" dxfId="16992" priority="133593" stopIfTrue="1" operator="equal">
      <formula>-1</formula>
    </cfRule>
  </conditionalFormatting>
  <conditionalFormatting sqref="AB48">
    <cfRule type="cellIs" dxfId="16991" priority="133594" stopIfTrue="1" operator="lessThan">
      <formula>0.5</formula>
    </cfRule>
  </conditionalFormatting>
  <conditionalFormatting sqref="AB48">
    <cfRule type="cellIs" dxfId="16990" priority="133595" stopIfTrue="1" operator="greaterThanOrEqual">
      <formula>0.5</formula>
    </cfRule>
  </conditionalFormatting>
  <conditionalFormatting sqref="AB49">
    <cfRule type="cellIs" dxfId="16989" priority="133596" stopIfTrue="1" operator="equal">
      <formula>-1</formula>
    </cfRule>
  </conditionalFormatting>
  <conditionalFormatting sqref="AB49">
    <cfRule type="cellIs" dxfId="16988" priority="133597" stopIfTrue="1" operator="lessThan">
      <formula>0.5</formula>
    </cfRule>
  </conditionalFormatting>
  <conditionalFormatting sqref="AB49">
    <cfRule type="cellIs" dxfId="16987" priority="133598" stopIfTrue="1" operator="greaterThanOrEqual">
      <formula>0.5</formula>
    </cfRule>
  </conditionalFormatting>
  <conditionalFormatting sqref="AB50">
    <cfRule type="cellIs" dxfId="16986" priority="133599" stopIfTrue="1" operator="equal">
      <formula>-1</formula>
    </cfRule>
  </conditionalFormatting>
  <conditionalFormatting sqref="AB50">
    <cfRule type="cellIs" dxfId="16985" priority="133600" stopIfTrue="1" operator="lessThan">
      <formula>0.5</formula>
    </cfRule>
  </conditionalFormatting>
  <conditionalFormatting sqref="AB50">
    <cfRule type="cellIs" dxfId="16984" priority="133601" stopIfTrue="1" operator="greaterThanOrEqual">
      <formula>0.5</formula>
    </cfRule>
  </conditionalFormatting>
  <conditionalFormatting sqref="AB51">
    <cfRule type="cellIs" dxfId="16983" priority="133602" stopIfTrue="1" operator="equal">
      <formula>-1</formula>
    </cfRule>
  </conditionalFormatting>
  <conditionalFormatting sqref="AB51">
    <cfRule type="cellIs" dxfId="16982" priority="133603" stopIfTrue="1" operator="lessThan">
      <formula>0.5</formula>
    </cfRule>
  </conditionalFormatting>
  <conditionalFormatting sqref="AB51">
    <cfRule type="cellIs" dxfId="16981" priority="133604" stopIfTrue="1" operator="greaterThanOrEqual">
      <formula>0.5</formula>
    </cfRule>
  </conditionalFormatting>
  <conditionalFormatting sqref="AB52">
    <cfRule type="cellIs" dxfId="16980" priority="133605" stopIfTrue="1" operator="equal">
      <formula>-1</formula>
    </cfRule>
  </conditionalFormatting>
  <conditionalFormatting sqref="AB52">
    <cfRule type="cellIs" dxfId="16979" priority="133606" stopIfTrue="1" operator="lessThan">
      <formula>0.5</formula>
    </cfRule>
  </conditionalFormatting>
  <conditionalFormatting sqref="AB52">
    <cfRule type="cellIs" dxfId="16978" priority="133607" stopIfTrue="1" operator="greaterThanOrEqual">
      <formula>0.5</formula>
    </cfRule>
  </conditionalFormatting>
  <conditionalFormatting sqref="AB53">
    <cfRule type="cellIs" dxfId="16977" priority="133608" stopIfTrue="1" operator="equal">
      <formula>-1</formula>
    </cfRule>
  </conditionalFormatting>
  <conditionalFormatting sqref="AB53">
    <cfRule type="cellIs" dxfId="16976" priority="133609" stopIfTrue="1" operator="lessThan">
      <formula>0.5</formula>
    </cfRule>
  </conditionalFormatting>
  <conditionalFormatting sqref="AB53">
    <cfRule type="cellIs" dxfId="16975" priority="133610" stopIfTrue="1" operator="greaterThanOrEqual">
      <formula>0.5</formula>
    </cfRule>
  </conditionalFormatting>
  <conditionalFormatting sqref="AB54">
    <cfRule type="cellIs" dxfId="16974" priority="133611" stopIfTrue="1" operator="equal">
      <formula>-1</formula>
    </cfRule>
  </conditionalFormatting>
  <conditionalFormatting sqref="AB54">
    <cfRule type="cellIs" dxfId="16973" priority="133612" stopIfTrue="1" operator="lessThan">
      <formula>0.5</formula>
    </cfRule>
  </conditionalFormatting>
  <conditionalFormatting sqref="AB54">
    <cfRule type="cellIs" dxfId="16972" priority="133613" stopIfTrue="1" operator="greaterThanOrEqual">
      <formula>0.5</formula>
    </cfRule>
  </conditionalFormatting>
  <conditionalFormatting sqref="AB55">
    <cfRule type="cellIs" dxfId="16971" priority="133614" stopIfTrue="1" operator="equal">
      <formula>-1</formula>
    </cfRule>
  </conditionalFormatting>
  <conditionalFormatting sqref="AB55">
    <cfRule type="cellIs" dxfId="16970" priority="133615" stopIfTrue="1" operator="lessThan">
      <formula>0.5</formula>
    </cfRule>
  </conditionalFormatting>
  <conditionalFormatting sqref="AB55">
    <cfRule type="cellIs" dxfId="16969" priority="133616" stopIfTrue="1" operator="greaterThanOrEqual">
      <formula>0.5</formula>
    </cfRule>
  </conditionalFormatting>
  <conditionalFormatting sqref="AB56">
    <cfRule type="cellIs" dxfId="16968" priority="133617" stopIfTrue="1" operator="equal">
      <formula>-1</formula>
    </cfRule>
  </conditionalFormatting>
  <conditionalFormatting sqref="AB56">
    <cfRule type="cellIs" dxfId="16967" priority="133618" stopIfTrue="1" operator="lessThan">
      <formula>0.5</formula>
    </cfRule>
  </conditionalFormatting>
  <conditionalFormatting sqref="AB56">
    <cfRule type="cellIs" dxfId="16966" priority="133619" stopIfTrue="1" operator="greaterThanOrEqual">
      <formula>0.5</formula>
    </cfRule>
  </conditionalFormatting>
  <conditionalFormatting sqref="AB57">
    <cfRule type="cellIs" dxfId="16965" priority="133620" stopIfTrue="1" operator="equal">
      <formula>-1</formula>
    </cfRule>
  </conditionalFormatting>
  <conditionalFormatting sqref="AB57">
    <cfRule type="cellIs" dxfId="16964" priority="133621" stopIfTrue="1" operator="lessThan">
      <formula>0.5</formula>
    </cfRule>
  </conditionalFormatting>
  <conditionalFormatting sqref="AB57">
    <cfRule type="cellIs" dxfId="16963" priority="133622" stopIfTrue="1" operator="greaterThanOrEqual">
      <formula>0.5</formula>
    </cfRule>
  </conditionalFormatting>
  <conditionalFormatting sqref="AB58">
    <cfRule type="cellIs" dxfId="16962" priority="133623" stopIfTrue="1" operator="equal">
      <formula>-1</formula>
    </cfRule>
  </conditionalFormatting>
  <conditionalFormatting sqref="AB58">
    <cfRule type="cellIs" dxfId="16961" priority="133624" stopIfTrue="1" operator="lessThan">
      <formula>0.5</formula>
    </cfRule>
  </conditionalFormatting>
  <conditionalFormatting sqref="AB58">
    <cfRule type="cellIs" dxfId="16960" priority="133625" stopIfTrue="1" operator="greaterThanOrEqual">
      <formula>0.5</formula>
    </cfRule>
  </conditionalFormatting>
  <conditionalFormatting sqref="AD39">
    <cfRule type="cellIs" dxfId="16959" priority="133626" stopIfTrue="1" operator="equal">
      <formula>-1</formula>
    </cfRule>
  </conditionalFormatting>
  <conditionalFormatting sqref="AD39">
    <cfRule type="cellIs" dxfId="16958" priority="133627" stopIfTrue="1" operator="lessThan">
      <formula>0.5</formula>
    </cfRule>
  </conditionalFormatting>
  <conditionalFormatting sqref="AD39">
    <cfRule type="cellIs" dxfId="16957" priority="133628" stopIfTrue="1" operator="greaterThanOrEqual">
      <formula>0.5</formula>
    </cfRule>
  </conditionalFormatting>
  <conditionalFormatting sqref="AD40">
    <cfRule type="cellIs" dxfId="16956" priority="133629" stopIfTrue="1" operator="equal">
      <formula>-1</formula>
    </cfRule>
  </conditionalFormatting>
  <conditionalFormatting sqref="AD40">
    <cfRule type="cellIs" dxfId="16955" priority="133630" stopIfTrue="1" operator="lessThan">
      <formula>0.5</formula>
    </cfRule>
  </conditionalFormatting>
  <conditionalFormatting sqref="AD40">
    <cfRule type="cellIs" dxfId="16954" priority="133631" stopIfTrue="1" operator="greaterThanOrEqual">
      <formula>0.5</formula>
    </cfRule>
  </conditionalFormatting>
  <conditionalFormatting sqref="AD41">
    <cfRule type="cellIs" dxfId="16953" priority="133632" stopIfTrue="1" operator="equal">
      <formula>-1</formula>
    </cfRule>
  </conditionalFormatting>
  <conditionalFormatting sqref="AD41">
    <cfRule type="cellIs" dxfId="16952" priority="133633" stopIfTrue="1" operator="lessThan">
      <formula>0.5</formula>
    </cfRule>
  </conditionalFormatting>
  <conditionalFormatting sqref="AD41">
    <cfRule type="cellIs" dxfId="16951" priority="133634" stopIfTrue="1" operator="greaterThanOrEqual">
      <formula>0.5</formula>
    </cfRule>
  </conditionalFormatting>
  <conditionalFormatting sqref="AD42">
    <cfRule type="cellIs" dxfId="16950" priority="133635" stopIfTrue="1" operator="equal">
      <formula>-1</formula>
    </cfRule>
  </conditionalFormatting>
  <conditionalFormatting sqref="AD42">
    <cfRule type="cellIs" dxfId="16949" priority="133636" stopIfTrue="1" operator="lessThan">
      <formula>0.5</formula>
    </cfRule>
  </conditionalFormatting>
  <conditionalFormatting sqref="AD42">
    <cfRule type="cellIs" dxfId="16948" priority="133637" stopIfTrue="1" operator="greaterThanOrEqual">
      <formula>0.5</formula>
    </cfRule>
  </conditionalFormatting>
  <conditionalFormatting sqref="AD43">
    <cfRule type="cellIs" dxfId="16947" priority="133638" stopIfTrue="1" operator="equal">
      <formula>-1</formula>
    </cfRule>
  </conditionalFormatting>
  <conditionalFormatting sqref="AD43">
    <cfRule type="cellIs" dxfId="16946" priority="133639" stopIfTrue="1" operator="lessThan">
      <formula>0.5</formula>
    </cfRule>
  </conditionalFormatting>
  <conditionalFormatting sqref="AD43">
    <cfRule type="cellIs" dxfId="16945" priority="133640" stopIfTrue="1" operator="greaterThanOrEqual">
      <formula>0.5</formula>
    </cfRule>
  </conditionalFormatting>
  <conditionalFormatting sqref="AD44">
    <cfRule type="cellIs" dxfId="16944" priority="133641" stopIfTrue="1" operator="equal">
      <formula>-1</formula>
    </cfRule>
  </conditionalFormatting>
  <conditionalFormatting sqref="AD44">
    <cfRule type="cellIs" dxfId="16943" priority="133642" stopIfTrue="1" operator="lessThan">
      <formula>0.5</formula>
    </cfRule>
  </conditionalFormatting>
  <conditionalFormatting sqref="AD44">
    <cfRule type="cellIs" dxfId="16942" priority="133643" stopIfTrue="1" operator="greaterThanOrEqual">
      <formula>0.5</formula>
    </cfRule>
  </conditionalFormatting>
  <conditionalFormatting sqref="AD45">
    <cfRule type="cellIs" dxfId="16941" priority="133644" stopIfTrue="1" operator="equal">
      <formula>-1</formula>
    </cfRule>
  </conditionalFormatting>
  <conditionalFormatting sqref="AD45">
    <cfRule type="cellIs" dxfId="16940" priority="133645" stopIfTrue="1" operator="lessThan">
      <formula>0.5</formula>
    </cfRule>
  </conditionalFormatting>
  <conditionalFormatting sqref="AD45">
    <cfRule type="cellIs" dxfId="16939" priority="133646" stopIfTrue="1" operator="greaterThanOrEqual">
      <formula>0.5</formula>
    </cfRule>
  </conditionalFormatting>
  <conditionalFormatting sqref="AD46">
    <cfRule type="cellIs" dxfId="16938" priority="133647" stopIfTrue="1" operator="equal">
      <formula>-1</formula>
    </cfRule>
  </conditionalFormatting>
  <conditionalFormatting sqref="AD46">
    <cfRule type="cellIs" dxfId="16937" priority="133648" stopIfTrue="1" operator="lessThan">
      <formula>0.5</formula>
    </cfRule>
  </conditionalFormatting>
  <conditionalFormatting sqref="AD46">
    <cfRule type="cellIs" dxfId="16936" priority="133649" stopIfTrue="1" operator="greaterThanOrEqual">
      <formula>0.5</formula>
    </cfRule>
  </conditionalFormatting>
  <conditionalFormatting sqref="AD47">
    <cfRule type="cellIs" dxfId="16935" priority="133650" stopIfTrue="1" operator="equal">
      <formula>-1</formula>
    </cfRule>
  </conditionalFormatting>
  <conditionalFormatting sqref="AD47">
    <cfRule type="cellIs" dxfId="16934" priority="133651" stopIfTrue="1" operator="lessThan">
      <formula>0.5</formula>
    </cfRule>
  </conditionalFormatting>
  <conditionalFormatting sqref="AD47">
    <cfRule type="cellIs" dxfId="16933" priority="133652" stopIfTrue="1" operator="greaterThanOrEqual">
      <formula>0.5</formula>
    </cfRule>
  </conditionalFormatting>
  <conditionalFormatting sqref="AD48">
    <cfRule type="cellIs" dxfId="16932" priority="133653" stopIfTrue="1" operator="equal">
      <formula>-1</formula>
    </cfRule>
  </conditionalFormatting>
  <conditionalFormatting sqref="AD48">
    <cfRule type="cellIs" dxfId="16931" priority="133654" stopIfTrue="1" operator="lessThan">
      <formula>0.5</formula>
    </cfRule>
  </conditionalFormatting>
  <conditionalFormatting sqref="AD48">
    <cfRule type="cellIs" dxfId="16930" priority="133655" stopIfTrue="1" operator="greaterThanOrEqual">
      <formula>0.5</formula>
    </cfRule>
  </conditionalFormatting>
  <conditionalFormatting sqref="AD49">
    <cfRule type="cellIs" dxfId="16929" priority="133656" stopIfTrue="1" operator="equal">
      <formula>-1</formula>
    </cfRule>
  </conditionalFormatting>
  <conditionalFormatting sqref="AD49">
    <cfRule type="cellIs" dxfId="16928" priority="133657" stopIfTrue="1" operator="lessThan">
      <formula>0.5</formula>
    </cfRule>
  </conditionalFormatting>
  <conditionalFormatting sqref="AD49">
    <cfRule type="cellIs" dxfId="16927" priority="133658" stopIfTrue="1" operator="greaterThanOrEqual">
      <formula>0.5</formula>
    </cfRule>
  </conditionalFormatting>
  <conditionalFormatting sqref="AD50">
    <cfRule type="cellIs" dxfId="16926" priority="133659" stopIfTrue="1" operator="equal">
      <formula>-1</formula>
    </cfRule>
  </conditionalFormatting>
  <conditionalFormatting sqref="AD50">
    <cfRule type="cellIs" dxfId="16925" priority="133660" stopIfTrue="1" operator="lessThan">
      <formula>0.5</formula>
    </cfRule>
  </conditionalFormatting>
  <conditionalFormatting sqref="AD50">
    <cfRule type="cellIs" dxfId="16924" priority="133661" stopIfTrue="1" operator="greaterThanOrEqual">
      <formula>0.5</formula>
    </cfRule>
  </conditionalFormatting>
  <conditionalFormatting sqref="AD51">
    <cfRule type="cellIs" dxfId="16923" priority="133662" stopIfTrue="1" operator="equal">
      <formula>-1</formula>
    </cfRule>
  </conditionalFormatting>
  <conditionalFormatting sqref="AD51">
    <cfRule type="cellIs" dxfId="16922" priority="133663" stopIfTrue="1" operator="lessThan">
      <formula>0.5</formula>
    </cfRule>
  </conditionalFormatting>
  <conditionalFormatting sqref="AD51">
    <cfRule type="cellIs" dxfId="16921" priority="133664" stopIfTrue="1" operator="greaterThanOrEqual">
      <formula>0.5</formula>
    </cfRule>
  </conditionalFormatting>
  <conditionalFormatting sqref="AD52">
    <cfRule type="cellIs" dxfId="16920" priority="133665" stopIfTrue="1" operator="equal">
      <formula>-1</formula>
    </cfRule>
  </conditionalFormatting>
  <conditionalFormatting sqref="AD52">
    <cfRule type="cellIs" dxfId="16919" priority="133666" stopIfTrue="1" operator="lessThan">
      <formula>0.5</formula>
    </cfRule>
  </conditionalFormatting>
  <conditionalFormatting sqref="AD52">
    <cfRule type="cellIs" dxfId="16918" priority="133667" stopIfTrue="1" operator="greaterThanOrEqual">
      <formula>0.5</formula>
    </cfRule>
  </conditionalFormatting>
  <conditionalFormatting sqref="AD53">
    <cfRule type="cellIs" dxfId="16917" priority="133668" stopIfTrue="1" operator="equal">
      <formula>-1</formula>
    </cfRule>
  </conditionalFormatting>
  <conditionalFormatting sqref="AD53">
    <cfRule type="cellIs" dxfId="16916" priority="133669" stopIfTrue="1" operator="lessThan">
      <formula>0.5</formula>
    </cfRule>
  </conditionalFormatting>
  <conditionalFormatting sqref="AD53">
    <cfRule type="cellIs" dxfId="16915" priority="133670" stopIfTrue="1" operator="greaterThanOrEqual">
      <formula>0.5</formula>
    </cfRule>
  </conditionalFormatting>
  <conditionalFormatting sqref="AD54">
    <cfRule type="cellIs" dxfId="16914" priority="133671" stopIfTrue="1" operator="equal">
      <formula>-1</formula>
    </cfRule>
  </conditionalFormatting>
  <conditionalFormatting sqref="AD54">
    <cfRule type="cellIs" dxfId="16913" priority="133672" stopIfTrue="1" operator="lessThan">
      <formula>0.5</formula>
    </cfRule>
  </conditionalFormatting>
  <conditionalFormatting sqref="AD54">
    <cfRule type="cellIs" dxfId="16912" priority="133673" stopIfTrue="1" operator="greaterThanOrEqual">
      <formula>0.5</formula>
    </cfRule>
  </conditionalFormatting>
  <conditionalFormatting sqref="AD55">
    <cfRule type="cellIs" dxfId="16911" priority="133674" stopIfTrue="1" operator="equal">
      <formula>-1</formula>
    </cfRule>
  </conditionalFormatting>
  <conditionalFormatting sqref="AD55">
    <cfRule type="cellIs" dxfId="16910" priority="133675" stopIfTrue="1" operator="lessThan">
      <formula>0.5</formula>
    </cfRule>
  </conditionalFormatting>
  <conditionalFormatting sqref="AD55">
    <cfRule type="cellIs" dxfId="16909" priority="133676" stopIfTrue="1" operator="greaterThanOrEqual">
      <formula>0.5</formula>
    </cfRule>
  </conditionalFormatting>
  <conditionalFormatting sqref="AD56">
    <cfRule type="cellIs" dxfId="16908" priority="133677" stopIfTrue="1" operator="equal">
      <formula>-1</formula>
    </cfRule>
  </conditionalFormatting>
  <conditionalFormatting sqref="AD56">
    <cfRule type="cellIs" dxfId="16907" priority="133678" stopIfTrue="1" operator="lessThan">
      <formula>0.5</formula>
    </cfRule>
  </conditionalFormatting>
  <conditionalFormatting sqref="AD56">
    <cfRule type="cellIs" dxfId="16906" priority="133679" stopIfTrue="1" operator="greaterThanOrEqual">
      <formula>0.5</formula>
    </cfRule>
  </conditionalFormatting>
  <conditionalFormatting sqref="AD57">
    <cfRule type="cellIs" dxfId="16905" priority="133680" stopIfTrue="1" operator="equal">
      <formula>-1</formula>
    </cfRule>
  </conditionalFormatting>
  <conditionalFormatting sqref="AD57">
    <cfRule type="cellIs" dxfId="16904" priority="133681" stopIfTrue="1" operator="lessThan">
      <formula>0.5</formula>
    </cfRule>
  </conditionalFormatting>
  <conditionalFormatting sqref="AD57">
    <cfRule type="cellIs" dxfId="16903" priority="133682" stopIfTrue="1" operator="greaterThanOrEqual">
      <formula>0.5</formula>
    </cfRule>
  </conditionalFormatting>
  <conditionalFormatting sqref="AD58">
    <cfRule type="cellIs" dxfId="16902" priority="133683" stopIfTrue="1" operator="equal">
      <formula>-1</formula>
    </cfRule>
  </conditionalFormatting>
  <conditionalFormatting sqref="AD58">
    <cfRule type="cellIs" dxfId="16901" priority="133684" stopIfTrue="1" operator="lessThan">
      <formula>0.5</formula>
    </cfRule>
  </conditionalFormatting>
  <conditionalFormatting sqref="AD58">
    <cfRule type="cellIs" dxfId="16900" priority="133685" stopIfTrue="1" operator="greaterThanOrEqual">
      <formula>0.5</formula>
    </cfRule>
  </conditionalFormatting>
  <conditionalFormatting sqref="AF39">
    <cfRule type="cellIs" dxfId="16899" priority="133686" stopIfTrue="1" operator="equal">
      <formula>-1</formula>
    </cfRule>
  </conditionalFormatting>
  <conditionalFormatting sqref="AF39">
    <cfRule type="cellIs" dxfId="16898" priority="133687" stopIfTrue="1" operator="lessThan">
      <formula>0.5</formula>
    </cfRule>
  </conditionalFormatting>
  <conditionalFormatting sqref="AF39">
    <cfRule type="cellIs" dxfId="16897" priority="133688" stopIfTrue="1" operator="greaterThanOrEqual">
      <formula>0.5</formula>
    </cfRule>
  </conditionalFormatting>
  <conditionalFormatting sqref="AF40">
    <cfRule type="cellIs" dxfId="16896" priority="133689" stopIfTrue="1" operator="equal">
      <formula>-1</formula>
    </cfRule>
  </conditionalFormatting>
  <conditionalFormatting sqref="AF40">
    <cfRule type="cellIs" dxfId="16895" priority="133690" stopIfTrue="1" operator="lessThan">
      <formula>0.5</formula>
    </cfRule>
  </conditionalFormatting>
  <conditionalFormatting sqref="AF40">
    <cfRule type="cellIs" dxfId="16894" priority="133691" stopIfTrue="1" operator="greaterThanOrEqual">
      <formula>0.5</formula>
    </cfRule>
  </conditionalFormatting>
  <conditionalFormatting sqref="AF41">
    <cfRule type="cellIs" dxfId="16893" priority="133692" stopIfTrue="1" operator="equal">
      <formula>-1</formula>
    </cfRule>
  </conditionalFormatting>
  <conditionalFormatting sqref="AF41">
    <cfRule type="cellIs" dxfId="16892" priority="133693" stopIfTrue="1" operator="lessThan">
      <formula>0.5</formula>
    </cfRule>
  </conditionalFormatting>
  <conditionalFormatting sqref="AF41">
    <cfRule type="cellIs" dxfId="16891" priority="133694" stopIfTrue="1" operator="greaterThanOrEqual">
      <formula>0.5</formula>
    </cfRule>
  </conditionalFormatting>
  <conditionalFormatting sqref="AF42">
    <cfRule type="cellIs" dxfId="16890" priority="133695" stopIfTrue="1" operator="equal">
      <formula>-1</formula>
    </cfRule>
  </conditionalFormatting>
  <conditionalFormatting sqref="AF42">
    <cfRule type="cellIs" dxfId="16889" priority="133696" stopIfTrue="1" operator="lessThan">
      <formula>0.5</formula>
    </cfRule>
  </conditionalFormatting>
  <conditionalFormatting sqref="AF42">
    <cfRule type="cellIs" dxfId="16888" priority="133697" stopIfTrue="1" operator="greaterThanOrEqual">
      <formula>0.5</formula>
    </cfRule>
  </conditionalFormatting>
  <conditionalFormatting sqref="AF43">
    <cfRule type="cellIs" dxfId="16887" priority="133698" stopIfTrue="1" operator="equal">
      <formula>-1</formula>
    </cfRule>
  </conditionalFormatting>
  <conditionalFormatting sqref="AF43">
    <cfRule type="cellIs" dxfId="16886" priority="133699" stopIfTrue="1" operator="lessThan">
      <formula>0.5</formula>
    </cfRule>
  </conditionalFormatting>
  <conditionalFormatting sqref="AF43">
    <cfRule type="cellIs" dxfId="16885" priority="133700" stopIfTrue="1" operator="greaterThanOrEqual">
      <formula>0.5</formula>
    </cfRule>
  </conditionalFormatting>
  <conditionalFormatting sqref="AF44">
    <cfRule type="cellIs" dxfId="16884" priority="133701" stopIfTrue="1" operator="equal">
      <formula>-1</formula>
    </cfRule>
  </conditionalFormatting>
  <conditionalFormatting sqref="AF44">
    <cfRule type="cellIs" dxfId="16883" priority="133702" stopIfTrue="1" operator="lessThan">
      <formula>0.5</formula>
    </cfRule>
  </conditionalFormatting>
  <conditionalFormatting sqref="AF44">
    <cfRule type="cellIs" dxfId="16882" priority="133703" stopIfTrue="1" operator="greaterThanOrEqual">
      <formula>0.5</formula>
    </cfRule>
  </conditionalFormatting>
  <conditionalFormatting sqref="AF45">
    <cfRule type="cellIs" dxfId="16881" priority="133704" stopIfTrue="1" operator="equal">
      <formula>-1</formula>
    </cfRule>
  </conditionalFormatting>
  <conditionalFormatting sqref="AF45">
    <cfRule type="cellIs" dxfId="16880" priority="133705" stopIfTrue="1" operator="lessThan">
      <formula>0.5</formula>
    </cfRule>
  </conditionalFormatting>
  <conditionalFormatting sqref="AF45">
    <cfRule type="cellIs" dxfId="16879" priority="133706" stopIfTrue="1" operator="greaterThanOrEqual">
      <formula>0.5</formula>
    </cfRule>
  </conditionalFormatting>
  <conditionalFormatting sqref="AF46">
    <cfRule type="cellIs" dxfId="16878" priority="133707" stopIfTrue="1" operator="equal">
      <formula>-1</formula>
    </cfRule>
  </conditionalFormatting>
  <conditionalFormatting sqref="AF46">
    <cfRule type="cellIs" dxfId="16877" priority="133708" stopIfTrue="1" operator="lessThan">
      <formula>0.5</formula>
    </cfRule>
  </conditionalFormatting>
  <conditionalFormatting sqref="AF46">
    <cfRule type="cellIs" dxfId="16876" priority="133709" stopIfTrue="1" operator="greaterThanOrEqual">
      <formula>0.5</formula>
    </cfRule>
  </conditionalFormatting>
  <conditionalFormatting sqref="AF47">
    <cfRule type="cellIs" dxfId="16875" priority="133710" stopIfTrue="1" operator="equal">
      <formula>-1</formula>
    </cfRule>
  </conditionalFormatting>
  <conditionalFormatting sqref="AF47">
    <cfRule type="cellIs" dxfId="16874" priority="133711" stopIfTrue="1" operator="lessThan">
      <formula>0.5</formula>
    </cfRule>
  </conditionalFormatting>
  <conditionalFormatting sqref="AF47">
    <cfRule type="cellIs" dxfId="16873" priority="133712" stopIfTrue="1" operator="greaterThanOrEqual">
      <formula>0.5</formula>
    </cfRule>
  </conditionalFormatting>
  <conditionalFormatting sqref="AF48">
    <cfRule type="cellIs" dxfId="16872" priority="133713" stopIfTrue="1" operator="equal">
      <formula>-1</formula>
    </cfRule>
  </conditionalFormatting>
  <conditionalFormatting sqref="AF48">
    <cfRule type="cellIs" dxfId="16871" priority="133714" stopIfTrue="1" operator="lessThan">
      <formula>0.5</formula>
    </cfRule>
  </conditionalFormatting>
  <conditionalFormatting sqref="AF48">
    <cfRule type="cellIs" dxfId="16870" priority="133715" stopIfTrue="1" operator="greaterThanOrEqual">
      <formula>0.5</formula>
    </cfRule>
  </conditionalFormatting>
  <conditionalFormatting sqref="AF49">
    <cfRule type="cellIs" dxfId="16869" priority="133716" stopIfTrue="1" operator="equal">
      <formula>-1</formula>
    </cfRule>
  </conditionalFormatting>
  <conditionalFormatting sqref="AF49">
    <cfRule type="cellIs" dxfId="16868" priority="133717" stopIfTrue="1" operator="lessThan">
      <formula>0.5</formula>
    </cfRule>
  </conditionalFormatting>
  <conditionalFormatting sqref="AF49">
    <cfRule type="cellIs" dxfId="16867" priority="133718" stopIfTrue="1" operator="greaterThanOrEqual">
      <formula>0.5</formula>
    </cfRule>
  </conditionalFormatting>
  <conditionalFormatting sqref="AF50">
    <cfRule type="cellIs" dxfId="16866" priority="133719" stopIfTrue="1" operator="equal">
      <formula>-1</formula>
    </cfRule>
  </conditionalFormatting>
  <conditionalFormatting sqref="AF50">
    <cfRule type="cellIs" dxfId="16865" priority="133720" stopIfTrue="1" operator="lessThan">
      <formula>0.5</formula>
    </cfRule>
  </conditionalFormatting>
  <conditionalFormatting sqref="AF50">
    <cfRule type="cellIs" dxfId="16864" priority="133721" stopIfTrue="1" operator="greaterThanOrEqual">
      <formula>0.5</formula>
    </cfRule>
  </conditionalFormatting>
  <conditionalFormatting sqref="AF51">
    <cfRule type="cellIs" dxfId="16863" priority="133722" stopIfTrue="1" operator="equal">
      <formula>-1</formula>
    </cfRule>
  </conditionalFormatting>
  <conditionalFormatting sqref="AF51">
    <cfRule type="cellIs" dxfId="16862" priority="133723" stopIfTrue="1" operator="lessThan">
      <formula>0.5</formula>
    </cfRule>
  </conditionalFormatting>
  <conditionalFormatting sqref="AF51">
    <cfRule type="cellIs" dxfId="16861" priority="133724" stopIfTrue="1" operator="greaterThanOrEqual">
      <formula>0.5</formula>
    </cfRule>
  </conditionalFormatting>
  <conditionalFormatting sqref="AF52">
    <cfRule type="cellIs" dxfId="16860" priority="133725" stopIfTrue="1" operator="equal">
      <formula>-1</formula>
    </cfRule>
  </conditionalFormatting>
  <conditionalFormatting sqref="AF52">
    <cfRule type="cellIs" dxfId="16859" priority="133726" stopIfTrue="1" operator="lessThan">
      <formula>0.5</formula>
    </cfRule>
  </conditionalFormatting>
  <conditionalFormatting sqref="AF52">
    <cfRule type="cellIs" dxfId="16858" priority="133727" stopIfTrue="1" operator="greaterThanOrEqual">
      <formula>0.5</formula>
    </cfRule>
  </conditionalFormatting>
  <conditionalFormatting sqref="AF53">
    <cfRule type="cellIs" dxfId="16857" priority="133728" stopIfTrue="1" operator="equal">
      <formula>-1</formula>
    </cfRule>
  </conditionalFormatting>
  <conditionalFormatting sqref="AF53">
    <cfRule type="cellIs" dxfId="16856" priority="133729" stopIfTrue="1" operator="lessThan">
      <formula>0.5</formula>
    </cfRule>
  </conditionalFormatting>
  <conditionalFormatting sqref="AF53">
    <cfRule type="cellIs" dxfId="16855" priority="133730" stopIfTrue="1" operator="greaterThanOrEqual">
      <formula>0.5</formula>
    </cfRule>
  </conditionalFormatting>
  <conditionalFormatting sqref="AF54">
    <cfRule type="cellIs" dxfId="16854" priority="133731" stopIfTrue="1" operator="equal">
      <formula>-1</formula>
    </cfRule>
  </conditionalFormatting>
  <conditionalFormatting sqref="AF54">
    <cfRule type="cellIs" dxfId="16853" priority="133732" stopIfTrue="1" operator="lessThan">
      <formula>0.5</formula>
    </cfRule>
  </conditionalFormatting>
  <conditionalFormatting sqref="AF54">
    <cfRule type="cellIs" dxfId="16852" priority="133733" stopIfTrue="1" operator="greaterThanOrEqual">
      <formula>0.5</formula>
    </cfRule>
  </conditionalFormatting>
  <conditionalFormatting sqref="AF55">
    <cfRule type="cellIs" dxfId="16851" priority="133734" stopIfTrue="1" operator="equal">
      <formula>-1</formula>
    </cfRule>
  </conditionalFormatting>
  <conditionalFormatting sqref="AF55">
    <cfRule type="cellIs" dxfId="16850" priority="133735" stopIfTrue="1" operator="lessThan">
      <formula>0.5</formula>
    </cfRule>
  </conditionalFormatting>
  <conditionalFormatting sqref="AF55">
    <cfRule type="cellIs" dxfId="16849" priority="133736" stopIfTrue="1" operator="greaterThanOrEqual">
      <formula>0.5</formula>
    </cfRule>
  </conditionalFormatting>
  <conditionalFormatting sqref="AF56">
    <cfRule type="cellIs" dxfId="16848" priority="133737" stopIfTrue="1" operator="equal">
      <formula>-1</formula>
    </cfRule>
  </conditionalFormatting>
  <conditionalFormatting sqref="AF56">
    <cfRule type="cellIs" dxfId="16847" priority="133738" stopIfTrue="1" operator="lessThan">
      <formula>0.5</formula>
    </cfRule>
  </conditionalFormatting>
  <conditionalFormatting sqref="AF56">
    <cfRule type="cellIs" dxfId="16846" priority="133739" stopIfTrue="1" operator="greaterThanOrEqual">
      <formula>0.5</formula>
    </cfRule>
  </conditionalFormatting>
  <conditionalFormatting sqref="AF57">
    <cfRule type="cellIs" dxfId="16845" priority="133740" stopIfTrue="1" operator="equal">
      <formula>-1</formula>
    </cfRule>
  </conditionalFormatting>
  <conditionalFormatting sqref="AF57">
    <cfRule type="cellIs" dxfId="16844" priority="133741" stopIfTrue="1" operator="lessThan">
      <formula>0.5</formula>
    </cfRule>
  </conditionalFormatting>
  <conditionalFormatting sqref="AF57">
    <cfRule type="cellIs" dxfId="16843" priority="133742" stopIfTrue="1" operator="greaterThanOrEqual">
      <formula>0.5</formula>
    </cfRule>
  </conditionalFormatting>
  <conditionalFormatting sqref="AF58">
    <cfRule type="cellIs" dxfId="16842" priority="133743" stopIfTrue="1" operator="equal">
      <formula>-1</formula>
    </cfRule>
  </conditionalFormatting>
  <conditionalFormatting sqref="AF58">
    <cfRule type="cellIs" dxfId="16841" priority="133744" stopIfTrue="1" operator="lessThan">
      <formula>0.5</formula>
    </cfRule>
  </conditionalFormatting>
  <conditionalFormatting sqref="AF58">
    <cfRule type="cellIs" dxfId="16840" priority="133745" stopIfTrue="1" operator="greaterThanOrEqual">
      <formula>0.5</formula>
    </cfRule>
  </conditionalFormatting>
  <conditionalFormatting sqref="AH39">
    <cfRule type="cellIs" dxfId="16839" priority="133746" stopIfTrue="1" operator="equal">
      <formula>-1</formula>
    </cfRule>
  </conditionalFormatting>
  <conditionalFormatting sqref="AH39">
    <cfRule type="cellIs" dxfId="16838" priority="133747" stopIfTrue="1" operator="lessThan">
      <formula>0.5</formula>
    </cfRule>
  </conditionalFormatting>
  <conditionalFormatting sqref="AH39">
    <cfRule type="cellIs" dxfId="16837" priority="133748" stopIfTrue="1" operator="greaterThanOrEqual">
      <formula>0.5</formula>
    </cfRule>
  </conditionalFormatting>
  <conditionalFormatting sqref="AH40">
    <cfRule type="cellIs" dxfId="16836" priority="133749" stopIfTrue="1" operator="equal">
      <formula>-1</formula>
    </cfRule>
  </conditionalFormatting>
  <conditionalFormatting sqref="AH40">
    <cfRule type="cellIs" dxfId="16835" priority="133750" stopIfTrue="1" operator="lessThan">
      <formula>0.5</formula>
    </cfRule>
  </conditionalFormatting>
  <conditionalFormatting sqref="AH40">
    <cfRule type="cellIs" dxfId="16834" priority="133751" stopIfTrue="1" operator="greaterThanOrEqual">
      <formula>0.5</formula>
    </cfRule>
  </conditionalFormatting>
  <conditionalFormatting sqref="AH41">
    <cfRule type="cellIs" dxfId="16833" priority="133752" stopIfTrue="1" operator="equal">
      <formula>-1</formula>
    </cfRule>
  </conditionalFormatting>
  <conditionalFormatting sqref="AH41">
    <cfRule type="cellIs" dxfId="16832" priority="133753" stopIfTrue="1" operator="lessThan">
      <formula>0.5</formula>
    </cfRule>
  </conditionalFormatting>
  <conditionalFormatting sqref="AH41">
    <cfRule type="cellIs" dxfId="16831" priority="133754" stopIfTrue="1" operator="greaterThanOrEqual">
      <formula>0.5</formula>
    </cfRule>
  </conditionalFormatting>
  <conditionalFormatting sqref="AH42">
    <cfRule type="cellIs" dxfId="16830" priority="133755" stopIfTrue="1" operator="equal">
      <formula>-1</formula>
    </cfRule>
  </conditionalFormatting>
  <conditionalFormatting sqref="AH42">
    <cfRule type="cellIs" dxfId="16829" priority="133756" stopIfTrue="1" operator="lessThan">
      <formula>0.5</formula>
    </cfRule>
  </conditionalFormatting>
  <conditionalFormatting sqref="AH42">
    <cfRule type="cellIs" dxfId="16828" priority="133757" stopIfTrue="1" operator="greaterThanOrEqual">
      <formula>0.5</formula>
    </cfRule>
  </conditionalFormatting>
  <conditionalFormatting sqref="AH43">
    <cfRule type="cellIs" dxfId="16827" priority="133758" stopIfTrue="1" operator="equal">
      <formula>-1</formula>
    </cfRule>
  </conditionalFormatting>
  <conditionalFormatting sqref="AH43">
    <cfRule type="cellIs" dxfId="16826" priority="133759" stopIfTrue="1" operator="lessThan">
      <formula>0.5</formula>
    </cfRule>
  </conditionalFormatting>
  <conditionalFormatting sqref="AH43">
    <cfRule type="cellIs" dxfId="16825" priority="133760" stopIfTrue="1" operator="greaterThanOrEqual">
      <formula>0.5</formula>
    </cfRule>
  </conditionalFormatting>
  <conditionalFormatting sqref="AH44">
    <cfRule type="cellIs" dxfId="16824" priority="133761" stopIfTrue="1" operator="equal">
      <formula>-1</formula>
    </cfRule>
  </conditionalFormatting>
  <conditionalFormatting sqref="AH44">
    <cfRule type="cellIs" dxfId="16823" priority="133762" stopIfTrue="1" operator="lessThan">
      <formula>0.5</formula>
    </cfRule>
  </conditionalFormatting>
  <conditionalFormatting sqref="AH44">
    <cfRule type="cellIs" dxfId="16822" priority="133763" stopIfTrue="1" operator="greaterThanOrEqual">
      <formula>0.5</formula>
    </cfRule>
  </conditionalFormatting>
  <conditionalFormatting sqref="AH45">
    <cfRule type="cellIs" dxfId="16821" priority="133764" stopIfTrue="1" operator="equal">
      <formula>-1</formula>
    </cfRule>
  </conditionalFormatting>
  <conditionalFormatting sqref="AH45">
    <cfRule type="cellIs" dxfId="16820" priority="133765" stopIfTrue="1" operator="lessThan">
      <formula>0.5</formula>
    </cfRule>
  </conditionalFormatting>
  <conditionalFormatting sqref="AH45">
    <cfRule type="cellIs" dxfId="16819" priority="133766" stopIfTrue="1" operator="greaterThanOrEqual">
      <formula>0.5</formula>
    </cfRule>
  </conditionalFormatting>
  <conditionalFormatting sqref="AH46">
    <cfRule type="cellIs" dxfId="16818" priority="133767" stopIfTrue="1" operator="equal">
      <formula>-1</formula>
    </cfRule>
  </conditionalFormatting>
  <conditionalFormatting sqref="AH46">
    <cfRule type="cellIs" dxfId="16817" priority="133768" stopIfTrue="1" operator="lessThan">
      <formula>0.5</formula>
    </cfRule>
  </conditionalFormatting>
  <conditionalFormatting sqref="AH46">
    <cfRule type="cellIs" dxfId="16816" priority="133769" stopIfTrue="1" operator="greaterThanOrEqual">
      <formula>0.5</formula>
    </cfRule>
  </conditionalFormatting>
  <conditionalFormatting sqref="AH47">
    <cfRule type="cellIs" dxfId="16815" priority="133770" stopIfTrue="1" operator="equal">
      <formula>-1</formula>
    </cfRule>
  </conditionalFormatting>
  <conditionalFormatting sqref="AH47">
    <cfRule type="cellIs" dxfId="16814" priority="133771" stopIfTrue="1" operator="lessThan">
      <formula>0.5</formula>
    </cfRule>
  </conditionalFormatting>
  <conditionalFormatting sqref="AH47">
    <cfRule type="cellIs" dxfId="16813" priority="133772" stopIfTrue="1" operator="greaterThanOrEqual">
      <formula>0.5</formula>
    </cfRule>
  </conditionalFormatting>
  <conditionalFormatting sqref="AH48">
    <cfRule type="cellIs" dxfId="16812" priority="133773" stopIfTrue="1" operator="equal">
      <formula>-1</formula>
    </cfRule>
  </conditionalFormatting>
  <conditionalFormatting sqref="AH48">
    <cfRule type="cellIs" dxfId="16811" priority="133774" stopIfTrue="1" operator="lessThan">
      <formula>0.5</formula>
    </cfRule>
  </conditionalFormatting>
  <conditionalFormatting sqref="AH48">
    <cfRule type="cellIs" dxfId="16810" priority="133775" stopIfTrue="1" operator="greaterThanOrEqual">
      <formula>0.5</formula>
    </cfRule>
  </conditionalFormatting>
  <conditionalFormatting sqref="AH49">
    <cfRule type="cellIs" dxfId="16809" priority="133776" stopIfTrue="1" operator="equal">
      <formula>-1</formula>
    </cfRule>
  </conditionalFormatting>
  <conditionalFormatting sqref="AH49">
    <cfRule type="cellIs" dxfId="16808" priority="133777" stopIfTrue="1" operator="lessThan">
      <formula>0.5</formula>
    </cfRule>
  </conditionalFormatting>
  <conditionalFormatting sqref="AH49">
    <cfRule type="cellIs" dxfId="16807" priority="133778" stopIfTrue="1" operator="greaterThanOrEqual">
      <formula>0.5</formula>
    </cfRule>
  </conditionalFormatting>
  <conditionalFormatting sqref="AH50">
    <cfRule type="cellIs" dxfId="16806" priority="133779" stopIfTrue="1" operator="equal">
      <formula>-1</formula>
    </cfRule>
  </conditionalFormatting>
  <conditionalFormatting sqref="AH50">
    <cfRule type="cellIs" dxfId="16805" priority="133780" stopIfTrue="1" operator="lessThan">
      <formula>0.5</formula>
    </cfRule>
  </conditionalFormatting>
  <conditionalFormatting sqref="AH50">
    <cfRule type="cellIs" dxfId="16804" priority="133781" stopIfTrue="1" operator="greaterThanOrEqual">
      <formula>0.5</formula>
    </cfRule>
  </conditionalFormatting>
  <conditionalFormatting sqref="AH51">
    <cfRule type="cellIs" dxfId="16803" priority="133782" stopIfTrue="1" operator="equal">
      <formula>-1</formula>
    </cfRule>
  </conditionalFormatting>
  <conditionalFormatting sqref="AH51">
    <cfRule type="cellIs" dxfId="16802" priority="133783" stopIfTrue="1" operator="lessThan">
      <formula>0.5</formula>
    </cfRule>
  </conditionalFormatting>
  <conditionalFormatting sqref="AH51">
    <cfRule type="cellIs" dxfId="16801" priority="133784" stopIfTrue="1" operator="greaterThanOrEqual">
      <formula>0.5</formula>
    </cfRule>
  </conditionalFormatting>
  <conditionalFormatting sqref="AH52">
    <cfRule type="cellIs" dxfId="16800" priority="133785" stopIfTrue="1" operator="equal">
      <formula>-1</formula>
    </cfRule>
  </conditionalFormatting>
  <conditionalFormatting sqref="AH52">
    <cfRule type="cellIs" dxfId="16799" priority="133786" stopIfTrue="1" operator="lessThan">
      <formula>0.5</formula>
    </cfRule>
  </conditionalFormatting>
  <conditionalFormatting sqref="AH52">
    <cfRule type="cellIs" dxfId="16798" priority="133787" stopIfTrue="1" operator="greaterThanOrEqual">
      <formula>0.5</formula>
    </cfRule>
  </conditionalFormatting>
  <conditionalFormatting sqref="AH53">
    <cfRule type="cellIs" dxfId="16797" priority="133788" stopIfTrue="1" operator="equal">
      <formula>-1</formula>
    </cfRule>
  </conditionalFormatting>
  <conditionalFormatting sqref="AH53">
    <cfRule type="cellIs" dxfId="16796" priority="133789" stopIfTrue="1" operator="lessThan">
      <formula>0.5</formula>
    </cfRule>
  </conditionalFormatting>
  <conditionalFormatting sqref="AH53">
    <cfRule type="cellIs" dxfId="16795" priority="133790" stopIfTrue="1" operator="greaterThanOrEqual">
      <formula>0.5</formula>
    </cfRule>
  </conditionalFormatting>
  <conditionalFormatting sqref="AH54">
    <cfRule type="cellIs" dxfId="16794" priority="133791" stopIfTrue="1" operator="equal">
      <formula>-1</formula>
    </cfRule>
  </conditionalFormatting>
  <conditionalFormatting sqref="AH54">
    <cfRule type="cellIs" dxfId="16793" priority="133792" stopIfTrue="1" operator="lessThan">
      <formula>0.5</formula>
    </cfRule>
  </conditionalFormatting>
  <conditionalFormatting sqref="AH54">
    <cfRule type="cellIs" dxfId="16792" priority="133793" stopIfTrue="1" operator="greaterThanOrEqual">
      <formula>0.5</formula>
    </cfRule>
  </conditionalFormatting>
  <conditionalFormatting sqref="AH55">
    <cfRule type="cellIs" dxfId="16791" priority="133794" stopIfTrue="1" operator="equal">
      <formula>-1</formula>
    </cfRule>
  </conditionalFormatting>
  <conditionalFormatting sqref="AH55">
    <cfRule type="cellIs" dxfId="16790" priority="133795" stopIfTrue="1" operator="lessThan">
      <formula>0.5</formula>
    </cfRule>
  </conditionalFormatting>
  <conditionalFormatting sqref="AH55">
    <cfRule type="cellIs" dxfId="16789" priority="133796" stopIfTrue="1" operator="greaterThanOrEqual">
      <formula>0.5</formula>
    </cfRule>
  </conditionalFormatting>
  <conditionalFormatting sqref="AH56">
    <cfRule type="cellIs" dxfId="16788" priority="133797" stopIfTrue="1" operator="equal">
      <formula>-1</formula>
    </cfRule>
  </conditionalFormatting>
  <conditionalFormatting sqref="AH56">
    <cfRule type="cellIs" dxfId="16787" priority="133798" stopIfTrue="1" operator="lessThan">
      <formula>0.5</formula>
    </cfRule>
  </conditionalFormatting>
  <conditionalFormatting sqref="AH56">
    <cfRule type="cellIs" dxfId="16786" priority="133799" stopIfTrue="1" operator="greaterThanOrEqual">
      <formula>0.5</formula>
    </cfRule>
  </conditionalFormatting>
  <conditionalFormatting sqref="AH57">
    <cfRule type="cellIs" dxfId="16785" priority="133800" stopIfTrue="1" operator="equal">
      <formula>-1</formula>
    </cfRule>
  </conditionalFormatting>
  <conditionalFormatting sqref="AH57">
    <cfRule type="cellIs" dxfId="16784" priority="133801" stopIfTrue="1" operator="lessThan">
      <formula>0.5</formula>
    </cfRule>
  </conditionalFormatting>
  <conditionalFormatting sqref="AH57">
    <cfRule type="cellIs" dxfId="16783" priority="133802" stopIfTrue="1" operator="greaterThanOrEqual">
      <formula>0.5</formula>
    </cfRule>
  </conditionalFormatting>
  <conditionalFormatting sqref="AH58">
    <cfRule type="cellIs" dxfId="16782" priority="133803" stopIfTrue="1" operator="equal">
      <formula>-1</formula>
    </cfRule>
  </conditionalFormatting>
  <conditionalFormatting sqref="AH58">
    <cfRule type="cellIs" dxfId="16781" priority="133804" stopIfTrue="1" operator="lessThan">
      <formula>0.5</formula>
    </cfRule>
  </conditionalFormatting>
  <conditionalFormatting sqref="AH58">
    <cfRule type="cellIs" dxfId="16780" priority="133805" stopIfTrue="1" operator="greaterThanOrEqual">
      <formula>0.5</formula>
    </cfRule>
  </conditionalFormatting>
  <conditionalFormatting sqref="AJ39">
    <cfRule type="cellIs" dxfId="16779" priority="133806" stopIfTrue="1" operator="equal">
      <formula>-1</formula>
    </cfRule>
  </conditionalFormatting>
  <conditionalFormatting sqref="AJ39">
    <cfRule type="cellIs" dxfId="16778" priority="133807" stopIfTrue="1" operator="lessThan">
      <formula>0.5</formula>
    </cfRule>
  </conditionalFormatting>
  <conditionalFormatting sqref="AJ39">
    <cfRule type="cellIs" dxfId="16777" priority="133808" stopIfTrue="1" operator="greaterThanOrEqual">
      <formula>0.5</formula>
    </cfRule>
  </conditionalFormatting>
  <conditionalFormatting sqref="AJ40">
    <cfRule type="cellIs" dxfId="16776" priority="133809" stopIfTrue="1" operator="equal">
      <formula>-1</formula>
    </cfRule>
  </conditionalFormatting>
  <conditionalFormatting sqref="AJ40">
    <cfRule type="cellIs" dxfId="16775" priority="133810" stopIfTrue="1" operator="lessThan">
      <formula>0.5</formula>
    </cfRule>
  </conditionalFormatting>
  <conditionalFormatting sqref="AJ40">
    <cfRule type="cellIs" dxfId="16774" priority="133811" stopIfTrue="1" operator="greaterThanOrEqual">
      <formula>0.5</formula>
    </cfRule>
  </conditionalFormatting>
  <conditionalFormatting sqref="AJ41">
    <cfRule type="cellIs" dxfId="16773" priority="133812" stopIfTrue="1" operator="equal">
      <formula>-1</formula>
    </cfRule>
  </conditionalFormatting>
  <conditionalFormatting sqref="AJ41">
    <cfRule type="cellIs" dxfId="16772" priority="133813" stopIfTrue="1" operator="lessThan">
      <formula>0.5</formula>
    </cfRule>
  </conditionalFormatting>
  <conditionalFormatting sqref="AJ41">
    <cfRule type="cellIs" dxfId="16771" priority="133814" stopIfTrue="1" operator="greaterThanOrEqual">
      <formula>0.5</formula>
    </cfRule>
  </conditionalFormatting>
  <conditionalFormatting sqref="AJ42">
    <cfRule type="cellIs" dxfId="16770" priority="133815" stopIfTrue="1" operator="equal">
      <formula>-1</formula>
    </cfRule>
  </conditionalFormatting>
  <conditionalFormatting sqref="AJ42">
    <cfRule type="cellIs" dxfId="16769" priority="133816" stopIfTrue="1" operator="lessThan">
      <formula>0.5</formula>
    </cfRule>
  </conditionalFormatting>
  <conditionalFormatting sqref="AJ42">
    <cfRule type="cellIs" dxfId="16768" priority="133817" stopIfTrue="1" operator="greaterThanOrEqual">
      <formula>0.5</formula>
    </cfRule>
  </conditionalFormatting>
  <conditionalFormatting sqref="AJ43">
    <cfRule type="cellIs" dxfId="16767" priority="133818" stopIfTrue="1" operator="equal">
      <formula>-1</formula>
    </cfRule>
  </conditionalFormatting>
  <conditionalFormatting sqref="AJ43">
    <cfRule type="cellIs" dxfId="16766" priority="133819" stopIfTrue="1" operator="lessThan">
      <formula>0.5</formula>
    </cfRule>
  </conditionalFormatting>
  <conditionalFormatting sqref="AJ43">
    <cfRule type="cellIs" dxfId="16765" priority="133820" stopIfTrue="1" operator="greaterThanOrEqual">
      <formula>0.5</formula>
    </cfRule>
  </conditionalFormatting>
  <conditionalFormatting sqref="AJ44">
    <cfRule type="cellIs" dxfId="16764" priority="133821" stopIfTrue="1" operator="equal">
      <formula>-1</formula>
    </cfRule>
  </conditionalFormatting>
  <conditionalFormatting sqref="AJ44">
    <cfRule type="cellIs" dxfId="16763" priority="133822" stopIfTrue="1" operator="lessThan">
      <formula>0.5</formula>
    </cfRule>
  </conditionalFormatting>
  <conditionalFormatting sqref="AJ44">
    <cfRule type="cellIs" dxfId="16762" priority="133823" stopIfTrue="1" operator="greaterThanOrEqual">
      <formula>0.5</formula>
    </cfRule>
  </conditionalFormatting>
  <conditionalFormatting sqref="AJ45">
    <cfRule type="cellIs" dxfId="16761" priority="133824" stopIfTrue="1" operator="equal">
      <formula>-1</formula>
    </cfRule>
  </conditionalFormatting>
  <conditionalFormatting sqref="AJ45">
    <cfRule type="cellIs" dxfId="16760" priority="133825" stopIfTrue="1" operator="lessThan">
      <formula>0.5</formula>
    </cfRule>
  </conditionalFormatting>
  <conditionalFormatting sqref="AJ45">
    <cfRule type="cellIs" dxfId="16759" priority="133826" stopIfTrue="1" operator="greaterThanOrEqual">
      <formula>0.5</formula>
    </cfRule>
  </conditionalFormatting>
  <conditionalFormatting sqref="AJ46">
    <cfRule type="cellIs" dxfId="16758" priority="133827" stopIfTrue="1" operator="equal">
      <formula>-1</formula>
    </cfRule>
  </conditionalFormatting>
  <conditionalFormatting sqref="AJ46">
    <cfRule type="cellIs" dxfId="16757" priority="133828" stopIfTrue="1" operator="lessThan">
      <formula>0.5</formula>
    </cfRule>
  </conditionalFormatting>
  <conditionalFormatting sqref="AJ46">
    <cfRule type="cellIs" dxfId="16756" priority="133829" stopIfTrue="1" operator="greaterThanOrEqual">
      <formula>0.5</formula>
    </cfRule>
  </conditionalFormatting>
  <conditionalFormatting sqref="AJ47">
    <cfRule type="cellIs" dxfId="16755" priority="133830" stopIfTrue="1" operator="equal">
      <formula>-1</formula>
    </cfRule>
  </conditionalFormatting>
  <conditionalFormatting sqref="AJ47">
    <cfRule type="cellIs" dxfId="16754" priority="133831" stopIfTrue="1" operator="lessThan">
      <formula>0.5</formula>
    </cfRule>
  </conditionalFormatting>
  <conditionalFormatting sqref="AJ47">
    <cfRule type="cellIs" dxfId="16753" priority="133832" stopIfTrue="1" operator="greaterThanOrEqual">
      <formula>0.5</formula>
    </cfRule>
  </conditionalFormatting>
  <conditionalFormatting sqref="AJ48">
    <cfRule type="cellIs" dxfId="16752" priority="133833" stopIfTrue="1" operator="equal">
      <formula>-1</formula>
    </cfRule>
  </conditionalFormatting>
  <conditionalFormatting sqref="AJ48">
    <cfRule type="cellIs" dxfId="16751" priority="133834" stopIfTrue="1" operator="lessThan">
      <formula>0.5</formula>
    </cfRule>
  </conditionalFormatting>
  <conditionalFormatting sqref="AJ48">
    <cfRule type="cellIs" dxfId="16750" priority="133835" stopIfTrue="1" operator="greaterThanOrEqual">
      <formula>0.5</formula>
    </cfRule>
  </conditionalFormatting>
  <conditionalFormatting sqref="AJ49">
    <cfRule type="cellIs" dxfId="16749" priority="133836" stopIfTrue="1" operator="equal">
      <formula>-1</formula>
    </cfRule>
  </conditionalFormatting>
  <conditionalFormatting sqref="AJ49">
    <cfRule type="cellIs" dxfId="16748" priority="133837" stopIfTrue="1" operator="lessThan">
      <formula>0.5</formula>
    </cfRule>
  </conditionalFormatting>
  <conditionalFormatting sqref="AJ49">
    <cfRule type="cellIs" dxfId="16747" priority="133838" stopIfTrue="1" operator="greaterThanOrEqual">
      <formula>0.5</formula>
    </cfRule>
  </conditionalFormatting>
  <conditionalFormatting sqref="AJ50">
    <cfRule type="cellIs" dxfId="16746" priority="133839" stopIfTrue="1" operator="equal">
      <formula>-1</formula>
    </cfRule>
  </conditionalFormatting>
  <conditionalFormatting sqref="AJ50">
    <cfRule type="cellIs" dxfId="16745" priority="133840" stopIfTrue="1" operator="lessThan">
      <formula>0.5</formula>
    </cfRule>
  </conditionalFormatting>
  <conditionalFormatting sqref="AJ50">
    <cfRule type="cellIs" dxfId="16744" priority="133841" stopIfTrue="1" operator="greaterThanOrEqual">
      <formula>0.5</formula>
    </cfRule>
  </conditionalFormatting>
  <conditionalFormatting sqref="AJ51">
    <cfRule type="cellIs" dxfId="16743" priority="133842" stopIfTrue="1" operator="equal">
      <formula>-1</formula>
    </cfRule>
  </conditionalFormatting>
  <conditionalFormatting sqref="AJ51">
    <cfRule type="cellIs" dxfId="16742" priority="133843" stopIfTrue="1" operator="lessThan">
      <formula>0.5</formula>
    </cfRule>
  </conditionalFormatting>
  <conditionalFormatting sqref="AJ51">
    <cfRule type="cellIs" dxfId="16741" priority="133844" stopIfTrue="1" operator="greaterThanOrEqual">
      <formula>0.5</formula>
    </cfRule>
  </conditionalFormatting>
  <conditionalFormatting sqref="AJ52">
    <cfRule type="cellIs" dxfId="16740" priority="133845" stopIfTrue="1" operator="equal">
      <formula>-1</formula>
    </cfRule>
  </conditionalFormatting>
  <conditionalFormatting sqref="AJ52">
    <cfRule type="cellIs" dxfId="16739" priority="133846" stopIfTrue="1" operator="lessThan">
      <formula>0.5</formula>
    </cfRule>
  </conditionalFormatting>
  <conditionalFormatting sqref="AJ52">
    <cfRule type="cellIs" dxfId="16738" priority="133847" stopIfTrue="1" operator="greaterThanOrEqual">
      <formula>0.5</formula>
    </cfRule>
  </conditionalFormatting>
  <conditionalFormatting sqref="AJ53">
    <cfRule type="cellIs" dxfId="16737" priority="133848" stopIfTrue="1" operator="equal">
      <formula>-1</formula>
    </cfRule>
  </conditionalFormatting>
  <conditionalFormatting sqref="AJ53">
    <cfRule type="cellIs" dxfId="16736" priority="133849" stopIfTrue="1" operator="lessThan">
      <formula>0.5</formula>
    </cfRule>
  </conditionalFormatting>
  <conditionalFormatting sqref="AJ53">
    <cfRule type="cellIs" dxfId="16735" priority="133850" stopIfTrue="1" operator="greaterThanOrEqual">
      <formula>0.5</formula>
    </cfRule>
  </conditionalFormatting>
  <conditionalFormatting sqref="AJ54">
    <cfRule type="cellIs" dxfId="16734" priority="133851" stopIfTrue="1" operator="equal">
      <formula>-1</formula>
    </cfRule>
  </conditionalFormatting>
  <conditionalFormatting sqref="AJ54">
    <cfRule type="cellIs" dxfId="16733" priority="133852" stopIfTrue="1" operator="lessThan">
      <formula>0.5</formula>
    </cfRule>
  </conditionalFormatting>
  <conditionalFormatting sqref="AJ54">
    <cfRule type="cellIs" dxfId="16732" priority="133853" stopIfTrue="1" operator="greaterThanOrEqual">
      <formula>0.5</formula>
    </cfRule>
  </conditionalFormatting>
  <conditionalFormatting sqref="AJ55">
    <cfRule type="cellIs" dxfId="16731" priority="133854" stopIfTrue="1" operator="equal">
      <formula>-1</formula>
    </cfRule>
  </conditionalFormatting>
  <conditionalFormatting sqref="AJ55">
    <cfRule type="cellIs" dxfId="16730" priority="133855" stopIfTrue="1" operator="lessThan">
      <formula>0.5</formula>
    </cfRule>
  </conditionalFormatting>
  <conditionalFormatting sqref="AJ55">
    <cfRule type="cellIs" dxfId="16729" priority="133856" stopIfTrue="1" operator="greaterThanOrEqual">
      <formula>0.5</formula>
    </cfRule>
  </conditionalFormatting>
  <conditionalFormatting sqref="AJ56">
    <cfRule type="cellIs" dxfId="16728" priority="133857" stopIfTrue="1" operator="equal">
      <formula>-1</formula>
    </cfRule>
  </conditionalFormatting>
  <conditionalFormatting sqref="AJ56">
    <cfRule type="cellIs" dxfId="16727" priority="133858" stopIfTrue="1" operator="lessThan">
      <formula>0.5</formula>
    </cfRule>
  </conditionalFormatting>
  <conditionalFormatting sqref="AJ56">
    <cfRule type="cellIs" dxfId="16726" priority="133859" stopIfTrue="1" operator="greaterThanOrEqual">
      <formula>0.5</formula>
    </cfRule>
  </conditionalFormatting>
  <conditionalFormatting sqref="AJ57">
    <cfRule type="cellIs" dxfId="16725" priority="133860" stopIfTrue="1" operator="equal">
      <formula>-1</formula>
    </cfRule>
  </conditionalFormatting>
  <conditionalFormatting sqref="AJ57">
    <cfRule type="cellIs" dxfId="16724" priority="133861" stopIfTrue="1" operator="lessThan">
      <formula>0.5</formula>
    </cfRule>
  </conditionalFormatting>
  <conditionalFormatting sqref="AJ57">
    <cfRule type="cellIs" dxfId="16723" priority="133862" stopIfTrue="1" operator="greaterThanOrEqual">
      <formula>0.5</formula>
    </cfRule>
  </conditionalFormatting>
  <conditionalFormatting sqref="AJ58">
    <cfRule type="cellIs" dxfId="16722" priority="133863" stopIfTrue="1" operator="equal">
      <formula>-1</formula>
    </cfRule>
  </conditionalFormatting>
  <conditionalFormatting sqref="AJ58">
    <cfRule type="cellIs" dxfId="16721" priority="133864" stopIfTrue="1" operator="lessThan">
      <formula>0.5</formula>
    </cfRule>
  </conditionalFormatting>
  <conditionalFormatting sqref="AJ58">
    <cfRule type="cellIs" dxfId="16720" priority="133865" stopIfTrue="1" operator="greaterThanOrEqual">
      <formula>0.5</formula>
    </cfRule>
  </conditionalFormatting>
  <conditionalFormatting sqref="AL39">
    <cfRule type="cellIs" dxfId="16719" priority="133866" stopIfTrue="1" operator="equal">
      <formula>-1</formula>
    </cfRule>
  </conditionalFormatting>
  <conditionalFormatting sqref="AL39">
    <cfRule type="cellIs" dxfId="16718" priority="133867" stopIfTrue="1" operator="lessThan">
      <formula>0.5</formula>
    </cfRule>
  </conditionalFormatting>
  <conditionalFormatting sqref="AL39">
    <cfRule type="cellIs" dxfId="16717" priority="133868" stopIfTrue="1" operator="greaterThanOrEqual">
      <formula>0.5</formula>
    </cfRule>
  </conditionalFormatting>
  <conditionalFormatting sqref="AL40">
    <cfRule type="cellIs" dxfId="16716" priority="133869" stopIfTrue="1" operator="equal">
      <formula>-1</formula>
    </cfRule>
  </conditionalFormatting>
  <conditionalFormatting sqref="AL40">
    <cfRule type="cellIs" dxfId="16715" priority="133870" stopIfTrue="1" operator="lessThan">
      <formula>0.5</formula>
    </cfRule>
  </conditionalFormatting>
  <conditionalFormatting sqref="AL40">
    <cfRule type="cellIs" dxfId="16714" priority="133871" stopIfTrue="1" operator="greaterThanOrEqual">
      <formula>0.5</formula>
    </cfRule>
  </conditionalFormatting>
  <conditionalFormatting sqref="AL41">
    <cfRule type="cellIs" dxfId="16713" priority="133872" stopIfTrue="1" operator="equal">
      <formula>-1</formula>
    </cfRule>
  </conditionalFormatting>
  <conditionalFormatting sqref="AL41">
    <cfRule type="cellIs" dxfId="16712" priority="133873" stopIfTrue="1" operator="lessThan">
      <formula>0.5</formula>
    </cfRule>
  </conditionalFormatting>
  <conditionalFormatting sqref="AL41">
    <cfRule type="cellIs" dxfId="16711" priority="133874" stopIfTrue="1" operator="greaterThanOrEqual">
      <formula>0.5</formula>
    </cfRule>
  </conditionalFormatting>
  <conditionalFormatting sqref="AL42">
    <cfRule type="cellIs" dxfId="16710" priority="133875" stopIfTrue="1" operator="equal">
      <formula>-1</formula>
    </cfRule>
  </conditionalFormatting>
  <conditionalFormatting sqref="AL42">
    <cfRule type="cellIs" dxfId="16709" priority="133876" stopIfTrue="1" operator="lessThan">
      <formula>0.5</formula>
    </cfRule>
  </conditionalFormatting>
  <conditionalFormatting sqref="AL42">
    <cfRule type="cellIs" dxfId="16708" priority="133877" stopIfTrue="1" operator="greaterThanOrEqual">
      <formula>0.5</formula>
    </cfRule>
  </conditionalFormatting>
  <conditionalFormatting sqref="AL43">
    <cfRule type="cellIs" dxfId="16707" priority="133878" stopIfTrue="1" operator="equal">
      <formula>-1</formula>
    </cfRule>
  </conditionalFormatting>
  <conditionalFormatting sqref="AL43">
    <cfRule type="cellIs" dxfId="16706" priority="133879" stopIfTrue="1" operator="lessThan">
      <formula>0.5</formula>
    </cfRule>
  </conditionalFormatting>
  <conditionalFormatting sqref="AL43">
    <cfRule type="cellIs" dxfId="16705" priority="133880" stopIfTrue="1" operator="greaterThanOrEqual">
      <formula>0.5</formula>
    </cfRule>
  </conditionalFormatting>
  <conditionalFormatting sqref="AL44">
    <cfRule type="cellIs" dxfId="16704" priority="133881" stopIfTrue="1" operator="equal">
      <formula>-1</formula>
    </cfRule>
  </conditionalFormatting>
  <conditionalFormatting sqref="AL44">
    <cfRule type="cellIs" dxfId="16703" priority="133882" stopIfTrue="1" operator="lessThan">
      <formula>0.5</formula>
    </cfRule>
  </conditionalFormatting>
  <conditionalFormatting sqref="AL44">
    <cfRule type="cellIs" dxfId="16702" priority="133883" stopIfTrue="1" operator="greaterThanOrEqual">
      <formula>0.5</formula>
    </cfRule>
  </conditionalFormatting>
  <conditionalFormatting sqref="AL45">
    <cfRule type="cellIs" dxfId="16701" priority="133884" stopIfTrue="1" operator="equal">
      <formula>-1</formula>
    </cfRule>
  </conditionalFormatting>
  <conditionalFormatting sqref="AL45">
    <cfRule type="cellIs" dxfId="16700" priority="133885" stopIfTrue="1" operator="lessThan">
      <formula>0.5</formula>
    </cfRule>
  </conditionalFormatting>
  <conditionalFormatting sqref="AL45">
    <cfRule type="cellIs" dxfId="16699" priority="133886" stopIfTrue="1" operator="greaterThanOrEqual">
      <formula>0.5</formula>
    </cfRule>
  </conditionalFormatting>
  <conditionalFormatting sqref="AL46">
    <cfRule type="cellIs" dxfId="16698" priority="133887" stopIfTrue="1" operator="equal">
      <formula>-1</formula>
    </cfRule>
  </conditionalFormatting>
  <conditionalFormatting sqref="AL46">
    <cfRule type="cellIs" dxfId="16697" priority="133888" stopIfTrue="1" operator="lessThan">
      <formula>0.5</formula>
    </cfRule>
  </conditionalFormatting>
  <conditionalFormatting sqref="AL46">
    <cfRule type="cellIs" dxfId="16696" priority="133889" stopIfTrue="1" operator="greaterThanOrEqual">
      <formula>0.5</formula>
    </cfRule>
  </conditionalFormatting>
  <conditionalFormatting sqref="AL47">
    <cfRule type="cellIs" dxfId="16695" priority="133890" stopIfTrue="1" operator="equal">
      <formula>-1</formula>
    </cfRule>
  </conditionalFormatting>
  <conditionalFormatting sqref="AL47">
    <cfRule type="cellIs" dxfId="16694" priority="133891" stopIfTrue="1" operator="lessThan">
      <formula>0.5</formula>
    </cfRule>
  </conditionalFormatting>
  <conditionalFormatting sqref="AL47">
    <cfRule type="cellIs" dxfId="16693" priority="133892" stopIfTrue="1" operator="greaterThanOrEqual">
      <formula>0.5</formula>
    </cfRule>
  </conditionalFormatting>
  <conditionalFormatting sqref="AL48">
    <cfRule type="cellIs" dxfId="16692" priority="133893" stopIfTrue="1" operator="equal">
      <formula>-1</formula>
    </cfRule>
  </conditionalFormatting>
  <conditionalFormatting sqref="AL48">
    <cfRule type="cellIs" dxfId="16691" priority="133894" stopIfTrue="1" operator="lessThan">
      <formula>0.5</formula>
    </cfRule>
  </conditionalFormatting>
  <conditionalFormatting sqref="AL48">
    <cfRule type="cellIs" dxfId="16690" priority="133895" stopIfTrue="1" operator="greaterThanOrEqual">
      <formula>0.5</formula>
    </cfRule>
  </conditionalFormatting>
  <conditionalFormatting sqref="AL49">
    <cfRule type="cellIs" dxfId="16689" priority="133896" stopIfTrue="1" operator="equal">
      <formula>-1</formula>
    </cfRule>
  </conditionalFormatting>
  <conditionalFormatting sqref="AL49">
    <cfRule type="cellIs" dxfId="16688" priority="133897" stopIfTrue="1" operator="lessThan">
      <formula>0.5</formula>
    </cfRule>
  </conditionalFormatting>
  <conditionalFormatting sqref="AL49">
    <cfRule type="cellIs" dxfId="16687" priority="133898" stopIfTrue="1" operator="greaterThanOrEqual">
      <formula>0.5</formula>
    </cfRule>
  </conditionalFormatting>
  <conditionalFormatting sqref="AL50">
    <cfRule type="cellIs" dxfId="16686" priority="133899" stopIfTrue="1" operator="equal">
      <formula>-1</formula>
    </cfRule>
  </conditionalFormatting>
  <conditionalFormatting sqref="AL50">
    <cfRule type="cellIs" dxfId="16685" priority="133900" stopIfTrue="1" operator="lessThan">
      <formula>0.5</formula>
    </cfRule>
  </conditionalFormatting>
  <conditionalFormatting sqref="AL50">
    <cfRule type="cellIs" dxfId="16684" priority="133901" stopIfTrue="1" operator="greaterThanOrEqual">
      <formula>0.5</formula>
    </cfRule>
  </conditionalFormatting>
  <conditionalFormatting sqref="AL51">
    <cfRule type="cellIs" dxfId="16683" priority="133902" stopIfTrue="1" operator="equal">
      <formula>-1</formula>
    </cfRule>
  </conditionalFormatting>
  <conditionalFormatting sqref="AL51">
    <cfRule type="cellIs" dxfId="16682" priority="133903" stopIfTrue="1" operator="lessThan">
      <formula>0.5</formula>
    </cfRule>
  </conditionalFormatting>
  <conditionalFormatting sqref="AL51">
    <cfRule type="cellIs" dxfId="16681" priority="133904" stopIfTrue="1" operator="greaterThanOrEqual">
      <formula>0.5</formula>
    </cfRule>
  </conditionalFormatting>
  <conditionalFormatting sqref="AL52">
    <cfRule type="cellIs" dxfId="16680" priority="133905" stopIfTrue="1" operator="equal">
      <formula>-1</formula>
    </cfRule>
  </conditionalFormatting>
  <conditionalFormatting sqref="AL52">
    <cfRule type="cellIs" dxfId="16679" priority="133906" stopIfTrue="1" operator="lessThan">
      <formula>0.5</formula>
    </cfRule>
  </conditionalFormatting>
  <conditionalFormatting sqref="AL52">
    <cfRule type="cellIs" dxfId="16678" priority="133907" stopIfTrue="1" operator="greaterThanOrEqual">
      <formula>0.5</formula>
    </cfRule>
  </conditionalFormatting>
  <conditionalFormatting sqref="AL53">
    <cfRule type="cellIs" dxfId="16677" priority="133908" stopIfTrue="1" operator="equal">
      <formula>-1</formula>
    </cfRule>
  </conditionalFormatting>
  <conditionalFormatting sqref="AL53">
    <cfRule type="cellIs" dxfId="16676" priority="133909" stopIfTrue="1" operator="lessThan">
      <formula>0.5</formula>
    </cfRule>
  </conditionalFormatting>
  <conditionalFormatting sqref="AL53">
    <cfRule type="cellIs" dxfId="16675" priority="133910" stopIfTrue="1" operator="greaterThanOrEqual">
      <formula>0.5</formula>
    </cfRule>
  </conditionalFormatting>
  <conditionalFormatting sqref="AL54">
    <cfRule type="cellIs" dxfId="16674" priority="133911" stopIfTrue="1" operator="equal">
      <formula>-1</formula>
    </cfRule>
  </conditionalFormatting>
  <conditionalFormatting sqref="AL54">
    <cfRule type="cellIs" dxfId="16673" priority="133912" stopIfTrue="1" operator="lessThan">
      <formula>0.5</formula>
    </cfRule>
  </conditionalFormatting>
  <conditionalFormatting sqref="AL54">
    <cfRule type="cellIs" dxfId="16672" priority="133913" stopIfTrue="1" operator="greaterThanOrEqual">
      <formula>0.5</formula>
    </cfRule>
  </conditionalFormatting>
  <conditionalFormatting sqref="AL55">
    <cfRule type="cellIs" dxfId="16671" priority="133914" stopIfTrue="1" operator="equal">
      <formula>-1</formula>
    </cfRule>
  </conditionalFormatting>
  <conditionalFormatting sqref="AL55">
    <cfRule type="cellIs" dxfId="16670" priority="133915" stopIfTrue="1" operator="lessThan">
      <formula>0.5</formula>
    </cfRule>
  </conditionalFormatting>
  <conditionalFormatting sqref="AL55">
    <cfRule type="cellIs" dxfId="16669" priority="133916" stopIfTrue="1" operator="greaterThanOrEqual">
      <formula>0.5</formula>
    </cfRule>
  </conditionalFormatting>
  <conditionalFormatting sqref="AL56">
    <cfRule type="cellIs" dxfId="16668" priority="133917" stopIfTrue="1" operator="equal">
      <formula>-1</formula>
    </cfRule>
  </conditionalFormatting>
  <conditionalFormatting sqref="AL56">
    <cfRule type="cellIs" dxfId="16667" priority="133918" stopIfTrue="1" operator="lessThan">
      <formula>0.5</formula>
    </cfRule>
  </conditionalFormatting>
  <conditionalFormatting sqref="AL56">
    <cfRule type="cellIs" dxfId="16666" priority="133919" stopIfTrue="1" operator="greaterThanOrEqual">
      <formula>0.5</formula>
    </cfRule>
  </conditionalFormatting>
  <conditionalFormatting sqref="AL57">
    <cfRule type="cellIs" dxfId="16665" priority="133920" stopIfTrue="1" operator="equal">
      <formula>-1</formula>
    </cfRule>
  </conditionalFormatting>
  <conditionalFormatting sqref="AL57">
    <cfRule type="cellIs" dxfId="16664" priority="133921" stopIfTrue="1" operator="lessThan">
      <formula>0.5</formula>
    </cfRule>
  </conditionalFormatting>
  <conditionalFormatting sqref="AL57">
    <cfRule type="cellIs" dxfId="16663" priority="133922" stopIfTrue="1" operator="greaterThanOrEqual">
      <formula>0.5</formula>
    </cfRule>
  </conditionalFormatting>
  <conditionalFormatting sqref="AL58">
    <cfRule type="cellIs" dxfId="16662" priority="133923" stopIfTrue="1" operator="equal">
      <formula>-1</formula>
    </cfRule>
  </conditionalFormatting>
  <conditionalFormatting sqref="AL58">
    <cfRule type="cellIs" dxfId="16661" priority="133924" stopIfTrue="1" operator="lessThan">
      <formula>0.5</formula>
    </cfRule>
  </conditionalFormatting>
  <conditionalFormatting sqref="AL58">
    <cfRule type="cellIs" dxfId="16660" priority="133925" stopIfTrue="1" operator="greaterThanOrEqual">
      <formula>0.5</formula>
    </cfRule>
  </conditionalFormatting>
  <conditionalFormatting sqref="AN39">
    <cfRule type="cellIs" dxfId="16659" priority="133926" stopIfTrue="1" operator="equal">
      <formula>-1</formula>
    </cfRule>
  </conditionalFormatting>
  <conditionalFormatting sqref="AN39">
    <cfRule type="cellIs" dxfId="16658" priority="133927" stopIfTrue="1" operator="lessThan">
      <formula>0.5</formula>
    </cfRule>
  </conditionalFormatting>
  <conditionalFormatting sqref="AN39">
    <cfRule type="cellIs" dxfId="16657" priority="133928" stopIfTrue="1" operator="greaterThanOrEqual">
      <formula>0.5</formula>
    </cfRule>
  </conditionalFormatting>
  <conditionalFormatting sqref="AN40">
    <cfRule type="cellIs" dxfId="16656" priority="133929" stopIfTrue="1" operator="equal">
      <formula>-1</formula>
    </cfRule>
  </conditionalFormatting>
  <conditionalFormatting sqref="AN40">
    <cfRule type="cellIs" dxfId="16655" priority="133930" stopIfTrue="1" operator="lessThan">
      <formula>0.5</formula>
    </cfRule>
  </conditionalFormatting>
  <conditionalFormatting sqref="AN40">
    <cfRule type="cellIs" dxfId="16654" priority="133931" stopIfTrue="1" operator="greaterThanOrEqual">
      <formula>0.5</formula>
    </cfRule>
  </conditionalFormatting>
  <conditionalFormatting sqref="AN41">
    <cfRule type="cellIs" dxfId="16653" priority="133932" stopIfTrue="1" operator="equal">
      <formula>-1</formula>
    </cfRule>
  </conditionalFormatting>
  <conditionalFormatting sqref="AN41">
    <cfRule type="cellIs" dxfId="16652" priority="133933" stopIfTrue="1" operator="lessThan">
      <formula>0.5</formula>
    </cfRule>
  </conditionalFormatting>
  <conditionalFormatting sqref="AN41">
    <cfRule type="cellIs" dxfId="16651" priority="133934" stopIfTrue="1" operator="greaterThanOrEqual">
      <formula>0.5</formula>
    </cfRule>
  </conditionalFormatting>
  <conditionalFormatting sqref="AN42">
    <cfRule type="cellIs" dxfId="16650" priority="133935" stopIfTrue="1" operator="equal">
      <formula>-1</formula>
    </cfRule>
  </conditionalFormatting>
  <conditionalFormatting sqref="AN42">
    <cfRule type="cellIs" dxfId="16649" priority="133936" stopIfTrue="1" operator="lessThan">
      <formula>0.5</formula>
    </cfRule>
  </conditionalFormatting>
  <conditionalFormatting sqref="AN42">
    <cfRule type="cellIs" dxfId="16648" priority="133937" stopIfTrue="1" operator="greaterThanOrEqual">
      <formula>0.5</formula>
    </cfRule>
  </conditionalFormatting>
  <conditionalFormatting sqref="AN43">
    <cfRule type="cellIs" dxfId="16647" priority="133938" stopIfTrue="1" operator="equal">
      <formula>-1</formula>
    </cfRule>
  </conditionalFormatting>
  <conditionalFormatting sqref="AN43">
    <cfRule type="cellIs" dxfId="16646" priority="133939" stopIfTrue="1" operator="lessThan">
      <formula>0.5</formula>
    </cfRule>
  </conditionalFormatting>
  <conditionalFormatting sqref="AN43">
    <cfRule type="cellIs" dxfId="16645" priority="133940" stopIfTrue="1" operator="greaterThanOrEqual">
      <formula>0.5</formula>
    </cfRule>
  </conditionalFormatting>
  <conditionalFormatting sqref="AN44">
    <cfRule type="cellIs" dxfId="16644" priority="133941" stopIfTrue="1" operator="equal">
      <formula>-1</formula>
    </cfRule>
  </conditionalFormatting>
  <conditionalFormatting sqref="AN44">
    <cfRule type="cellIs" dxfId="16643" priority="133942" stopIfTrue="1" operator="lessThan">
      <formula>0.5</formula>
    </cfRule>
  </conditionalFormatting>
  <conditionalFormatting sqref="AN44">
    <cfRule type="cellIs" dxfId="16642" priority="133943" stopIfTrue="1" operator="greaterThanOrEqual">
      <formula>0.5</formula>
    </cfRule>
  </conditionalFormatting>
  <conditionalFormatting sqref="AN45">
    <cfRule type="cellIs" dxfId="16641" priority="133944" stopIfTrue="1" operator="equal">
      <formula>-1</formula>
    </cfRule>
  </conditionalFormatting>
  <conditionalFormatting sqref="AN45">
    <cfRule type="cellIs" dxfId="16640" priority="133945" stopIfTrue="1" operator="lessThan">
      <formula>0.5</formula>
    </cfRule>
  </conditionalFormatting>
  <conditionalFormatting sqref="AN45">
    <cfRule type="cellIs" dxfId="16639" priority="133946" stopIfTrue="1" operator="greaterThanOrEqual">
      <formula>0.5</formula>
    </cfRule>
  </conditionalFormatting>
  <conditionalFormatting sqref="AN46">
    <cfRule type="cellIs" dxfId="16638" priority="133947" stopIfTrue="1" operator="equal">
      <formula>-1</formula>
    </cfRule>
  </conditionalFormatting>
  <conditionalFormatting sqref="AN46">
    <cfRule type="cellIs" dxfId="16637" priority="133948" stopIfTrue="1" operator="lessThan">
      <formula>0.5</formula>
    </cfRule>
  </conditionalFormatting>
  <conditionalFormatting sqref="AN46">
    <cfRule type="cellIs" dxfId="16636" priority="133949" stopIfTrue="1" operator="greaterThanOrEqual">
      <formula>0.5</formula>
    </cfRule>
  </conditionalFormatting>
  <conditionalFormatting sqref="AN47">
    <cfRule type="cellIs" dxfId="16635" priority="133950" stopIfTrue="1" operator="equal">
      <formula>-1</formula>
    </cfRule>
  </conditionalFormatting>
  <conditionalFormatting sqref="AN47">
    <cfRule type="cellIs" dxfId="16634" priority="133951" stopIfTrue="1" operator="lessThan">
      <formula>0.5</formula>
    </cfRule>
  </conditionalFormatting>
  <conditionalFormatting sqref="AN47">
    <cfRule type="cellIs" dxfId="16633" priority="133952" stopIfTrue="1" operator="greaterThanOrEqual">
      <formula>0.5</formula>
    </cfRule>
  </conditionalFormatting>
  <conditionalFormatting sqref="AN48">
    <cfRule type="cellIs" dxfId="16632" priority="133953" stopIfTrue="1" operator="equal">
      <formula>-1</formula>
    </cfRule>
  </conditionalFormatting>
  <conditionalFormatting sqref="AN48">
    <cfRule type="cellIs" dxfId="16631" priority="133954" stopIfTrue="1" operator="lessThan">
      <formula>0.5</formula>
    </cfRule>
  </conditionalFormatting>
  <conditionalFormatting sqref="AN48">
    <cfRule type="cellIs" dxfId="16630" priority="133955" stopIfTrue="1" operator="greaterThanOrEqual">
      <formula>0.5</formula>
    </cfRule>
  </conditionalFormatting>
  <conditionalFormatting sqref="AN49">
    <cfRule type="cellIs" dxfId="16629" priority="133956" stopIfTrue="1" operator="equal">
      <formula>-1</formula>
    </cfRule>
  </conditionalFormatting>
  <conditionalFormatting sqref="AN49">
    <cfRule type="cellIs" dxfId="16628" priority="133957" stopIfTrue="1" operator="lessThan">
      <formula>0.5</formula>
    </cfRule>
  </conditionalFormatting>
  <conditionalFormatting sqref="AN49">
    <cfRule type="cellIs" dxfId="16627" priority="133958" stopIfTrue="1" operator="greaterThanOrEqual">
      <formula>0.5</formula>
    </cfRule>
  </conditionalFormatting>
  <conditionalFormatting sqref="AN50">
    <cfRule type="cellIs" dxfId="16626" priority="133959" stopIfTrue="1" operator="equal">
      <formula>-1</formula>
    </cfRule>
  </conditionalFormatting>
  <conditionalFormatting sqref="AN50">
    <cfRule type="cellIs" dxfId="16625" priority="133960" stopIfTrue="1" operator="lessThan">
      <formula>0.5</formula>
    </cfRule>
  </conditionalFormatting>
  <conditionalFormatting sqref="AN50">
    <cfRule type="cellIs" dxfId="16624" priority="133961" stopIfTrue="1" operator="greaterThanOrEqual">
      <formula>0.5</formula>
    </cfRule>
  </conditionalFormatting>
  <conditionalFormatting sqref="AN51">
    <cfRule type="cellIs" dxfId="16623" priority="133962" stopIfTrue="1" operator="equal">
      <formula>-1</formula>
    </cfRule>
  </conditionalFormatting>
  <conditionalFormatting sqref="AN51">
    <cfRule type="cellIs" dxfId="16622" priority="133963" stopIfTrue="1" operator="lessThan">
      <formula>0.5</formula>
    </cfRule>
  </conditionalFormatting>
  <conditionalFormatting sqref="AN51">
    <cfRule type="cellIs" dxfId="16621" priority="133964" stopIfTrue="1" operator="greaterThanOrEqual">
      <formula>0.5</formula>
    </cfRule>
  </conditionalFormatting>
  <conditionalFormatting sqref="AN52">
    <cfRule type="cellIs" dxfId="16620" priority="133965" stopIfTrue="1" operator="equal">
      <formula>-1</formula>
    </cfRule>
  </conditionalFormatting>
  <conditionalFormatting sqref="AN52">
    <cfRule type="cellIs" dxfId="16619" priority="133966" stopIfTrue="1" operator="lessThan">
      <formula>0.5</formula>
    </cfRule>
  </conditionalFormatting>
  <conditionalFormatting sqref="AN52">
    <cfRule type="cellIs" dxfId="16618" priority="133967" stopIfTrue="1" operator="greaterThanOrEqual">
      <formula>0.5</formula>
    </cfRule>
  </conditionalFormatting>
  <conditionalFormatting sqref="AN53">
    <cfRule type="cellIs" dxfId="16617" priority="133968" stopIfTrue="1" operator="equal">
      <formula>-1</formula>
    </cfRule>
  </conditionalFormatting>
  <conditionalFormatting sqref="AN53">
    <cfRule type="cellIs" dxfId="16616" priority="133969" stopIfTrue="1" operator="lessThan">
      <formula>0.5</formula>
    </cfRule>
  </conditionalFormatting>
  <conditionalFormatting sqref="AN53">
    <cfRule type="cellIs" dxfId="16615" priority="133970" stopIfTrue="1" operator="greaterThanOrEqual">
      <formula>0.5</formula>
    </cfRule>
  </conditionalFormatting>
  <conditionalFormatting sqref="AN54">
    <cfRule type="cellIs" dxfId="16614" priority="133971" stopIfTrue="1" operator="equal">
      <formula>-1</formula>
    </cfRule>
  </conditionalFormatting>
  <conditionalFormatting sqref="AN54">
    <cfRule type="cellIs" dxfId="16613" priority="133972" stopIfTrue="1" operator="lessThan">
      <formula>0.5</formula>
    </cfRule>
  </conditionalFormatting>
  <conditionalFormatting sqref="AN54">
    <cfRule type="cellIs" dxfId="16612" priority="133973" stopIfTrue="1" operator="greaterThanOrEqual">
      <formula>0.5</formula>
    </cfRule>
  </conditionalFormatting>
  <conditionalFormatting sqref="AN55">
    <cfRule type="cellIs" dxfId="16611" priority="133974" stopIfTrue="1" operator="equal">
      <formula>-1</formula>
    </cfRule>
  </conditionalFormatting>
  <conditionalFormatting sqref="AN55">
    <cfRule type="cellIs" dxfId="16610" priority="133975" stopIfTrue="1" operator="lessThan">
      <formula>0.5</formula>
    </cfRule>
  </conditionalFormatting>
  <conditionalFormatting sqref="AN55">
    <cfRule type="cellIs" dxfId="16609" priority="133976" stopIfTrue="1" operator="greaterThanOrEqual">
      <formula>0.5</formula>
    </cfRule>
  </conditionalFormatting>
  <conditionalFormatting sqref="AN56">
    <cfRule type="cellIs" dxfId="16608" priority="133977" stopIfTrue="1" operator="equal">
      <formula>-1</formula>
    </cfRule>
  </conditionalFormatting>
  <conditionalFormatting sqref="AN56">
    <cfRule type="cellIs" dxfId="16607" priority="133978" stopIfTrue="1" operator="lessThan">
      <formula>0.5</formula>
    </cfRule>
  </conditionalFormatting>
  <conditionalFormatting sqref="AN56">
    <cfRule type="cellIs" dxfId="16606" priority="133979" stopIfTrue="1" operator="greaterThanOrEqual">
      <formula>0.5</formula>
    </cfRule>
  </conditionalFormatting>
  <conditionalFormatting sqref="AN57">
    <cfRule type="cellIs" dxfId="16605" priority="133980" stopIfTrue="1" operator="equal">
      <formula>-1</formula>
    </cfRule>
  </conditionalFormatting>
  <conditionalFormatting sqref="AN57">
    <cfRule type="cellIs" dxfId="16604" priority="133981" stopIfTrue="1" operator="lessThan">
      <formula>0.5</formula>
    </cfRule>
  </conditionalFormatting>
  <conditionalFormatting sqref="AN57">
    <cfRule type="cellIs" dxfId="16603" priority="133982" stopIfTrue="1" operator="greaterThanOrEqual">
      <formula>0.5</formula>
    </cfRule>
  </conditionalFormatting>
  <conditionalFormatting sqref="AN58">
    <cfRule type="cellIs" dxfId="16602" priority="133983" stopIfTrue="1" operator="equal">
      <formula>-1</formula>
    </cfRule>
  </conditionalFormatting>
  <conditionalFormatting sqref="AN58">
    <cfRule type="cellIs" dxfId="16601" priority="133984" stopIfTrue="1" operator="lessThan">
      <formula>0.5</formula>
    </cfRule>
  </conditionalFormatting>
  <conditionalFormatting sqref="AN58">
    <cfRule type="cellIs" dxfId="16600" priority="133985" stopIfTrue="1" operator="greaterThanOrEqual">
      <formula>0.5</formula>
    </cfRule>
  </conditionalFormatting>
  <conditionalFormatting sqref="AP39">
    <cfRule type="cellIs" dxfId="16599" priority="133986" stopIfTrue="1" operator="equal">
      <formula>-1</formula>
    </cfRule>
  </conditionalFormatting>
  <conditionalFormatting sqref="AP39">
    <cfRule type="cellIs" dxfId="16598" priority="133987" stopIfTrue="1" operator="lessThan">
      <formula>0.5</formula>
    </cfRule>
  </conditionalFormatting>
  <conditionalFormatting sqref="AP39">
    <cfRule type="cellIs" dxfId="16597" priority="133988" stopIfTrue="1" operator="greaterThanOrEqual">
      <formula>0.5</formula>
    </cfRule>
  </conditionalFormatting>
  <conditionalFormatting sqref="AP40">
    <cfRule type="cellIs" dxfId="16596" priority="133989" stopIfTrue="1" operator="equal">
      <formula>-1</formula>
    </cfRule>
  </conditionalFormatting>
  <conditionalFormatting sqref="AP40">
    <cfRule type="cellIs" dxfId="16595" priority="133990" stopIfTrue="1" operator="lessThan">
      <formula>0.5</formula>
    </cfRule>
  </conditionalFormatting>
  <conditionalFormatting sqref="AP40">
    <cfRule type="cellIs" dxfId="16594" priority="133991" stopIfTrue="1" operator="greaterThanOrEqual">
      <formula>0.5</formula>
    </cfRule>
  </conditionalFormatting>
  <conditionalFormatting sqref="AP41">
    <cfRule type="cellIs" dxfId="16593" priority="133992" stopIfTrue="1" operator="equal">
      <formula>-1</formula>
    </cfRule>
  </conditionalFormatting>
  <conditionalFormatting sqref="AP41">
    <cfRule type="cellIs" dxfId="16592" priority="133993" stopIfTrue="1" operator="lessThan">
      <formula>0.5</formula>
    </cfRule>
  </conditionalFormatting>
  <conditionalFormatting sqref="AP41">
    <cfRule type="cellIs" dxfId="16591" priority="133994" stopIfTrue="1" operator="greaterThanOrEqual">
      <formula>0.5</formula>
    </cfRule>
  </conditionalFormatting>
  <conditionalFormatting sqref="AP42">
    <cfRule type="cellIs" dxfId="16590" priority="133995" stopIfTrue="1" operator="equal">
      <formula>-1</formula>
    </cfRule>
  </conditionalFormatting>
  <conditionalFormatting sqref="AP42">
    <cfRule type="cellIs" dxfId="16589" priority="133996" stopIfTrue="1" operator="lessThan">
      <formula>0.5</formula>
    </cfRule>
  </conditionalFormatting>
  <conditionalFormatting sqref="AP42">
    <cfRule type="cellIs" dxfId="16588" priority="133997" stopIfTrue="1" operator="greaterThanOrEqual">
      <formula>0.5</formula>
    </cfRule>
  </conditionalFormatting>
  <conditionalFormatting sqref="AP43">
    <cfRule type="cellIs" dxfId="16587" priority="133998" stopIfTrue="1" operator="equal">
      <formula>-1</formula>
    </cfRule>
  </conditionalFormatting>
  <conditionalFormatting sqref="AP43">
    <cfRule type="cellIs" dxfId="16586" priority="133999" stopIfTrue="1" operator="lessThan">
      <formula>0.5</formula>
    </cfRule>
  </conditionalFormatting>
  <conditionalFormatting sqref="AP43">
    <cfRule type="cellIs" dxfId="16585" priority="134000" stopIfTrue="1" operator="greaterThanOrEqual">
      <formula>0.5</formula>
    </cfRule>
  </conditionalFormatting>
  <conditionalFormatting sqref="AP44">
    <cfRule type="cellIs" dxfId="16584" priority="134001" stopIfTrue="1" operator="equal">
      <formula>-1</formula>
    </cfRule>
  </conditionalFormatting>
  <conditionalFormatting sqref="AP44">
    <cfRule type="cellIs" dxfId="16583" priority="134002" stopIfTrue="1" operator="lessThan">
      <formula>0.5</formula>
    </cfRule>
  </conditionalFormatting>
  <conditionalFormatting sqref="AP44">
    <cfRule type="cellIs" dxfId="16582" priority="134003" stopIfTrue="1" operator="greaterThanOrEqual">
      <formula>0.5</formula>
    </cfRule>
  </conditionalFormatting>
  <conditionalFormatting sqref="AP45">
    <cfRule type="cellIs" dxfId="16581" priority="134004" stopIfTrue="1" operator="equal">
      <formula>-1</formula>
    </cfRule>
  </conditionalFormatting>
  <conditionalFormatting sqref="AP45">
    <cfRule type="cellIs" dxfId="16580" priority="134005" stopIfTrue="1" operator="lessThan">
      <formula>0.5</formula>
    </cfRule>
  </conditionalFormatting>
  <conditionalFormatting sqref="AP45">
    <cfRule type="cellIs" dxfId="16579" priority="134006" stopIfTrue="1" operator="greaterThanOrEqual">
      <formula>0.5</formula>
    </cfRule>
  </conditionalFormatting>
  <conditionalFormatting sqref="AP46">
    <cfRule type="cellIs" dxfId="16578" priority="134007" stopIfTrue="1" operator="equal">
      <formula>-1</formula>
    </cfRule>
  </conditionalFormatting>
  <conditionalFormatting sqref="AP46">
    <cfRule type="cellIs" dxfId="16577" priority="134008" stopIfTrue="1" operator="lessThan">
      <formula>0.5</formula>
    </cfRule>
  </conditionalFormatting>
  <conditionalFormatting sqref="AP46">
    <cfRule type="cellIs" dxfId="16576" priority="134009" stopIfTrue="1" operator="greaterThanOrEqual">
      <formula>0.5</formula>
    </cfRule>
  </conditionalFormatting>
  <conditionalFormatting sqref="AP47">
    <cfRule type="cellIs" dxfId="16575" priority="134010" stopIfTrue="1" operator="equal">
      <formula>-1</formula>
    </cfRule>
  </conditionalFormatting>
  <conditionalFormatting sqref="AP47">
    <cfRule type="cellIs" dxfId="16574" priority="134011" stopIfTrue="1" operator="lessThan">
      <formula>0.5</formula>
    </cfRule>
  </conditionalFormatting>
  <conditionalFormatting sqref="AP47">
    <cfRule type="cellIs" dxfId="16573" priority="134012" stopIfTrue="1" operator="greaterThanOrEqual">
      <formula>0.5</formula>
    </cfRule>
  </conditionalFormatting>
  <conditionalFormatting sqref="AP48">
    <cfRule type="cellIs" dxfId="16572" priority="134013" stopIfTrue="1" operator="equal">
      <formula>-1</formula>
    </cfRule>
  </conditionalFormatting>
  <conditionalFormatting sqref="AP48">
    <cfRule type="cellIs" dxfId="16571" priority="134014" stopIfTrue="1" operator="lessThan">
      <formula>0.5</formula>
    </cfRule>
  </conditionalFormatting>
  <conditionalFormatting sqref="AP48">
    <cfRule type="cellIs" dxfId="16570" priority="134015" stopIfTrue="1" operator="greaterThanOrEqual">
      <formula>0.5</formula>
    </cfRule>
  </conditionalFormatting>
  <conditionalFormatting sqref="AP49">
    <cfRule type="cellIs" dxfId="16569" priority="134016" stopIfTrue="1" operator="equal">
      <formula>-1</formula>
    </cfRule>
  </conditionalFormatting>
  <conditionalFormatting sqref="AP49">
    <cfRule type="cellIs" dxfId="16568" priority="134017" stopIfTrue="1" operator="lessThan">
      <formula>0.5</formula>
    </cfRule>
  </conditionalFormatting>
  <conditionalFormatting sqref="AP49">
    <cfRule type="cellIs" dxfId="16567" priority="134018" stopIfTrue="1" operator="greaterThanOrEqual">
      <formula>0.5</formula>
    </cfRule>
  </conditionalFormatting>
  <conditionalFormatting sqref="AP50">
    <cfRule type="cellIs" dxfId="16566" priority="134019" stopIfTrue="1" operator="equal">
      <formula>-1</formula>
    </cfRule>
  </conditionalFormatting>
  <conditionalFormatting sqref="AP50">
    <cfRule type="cellIs" dxfId="16565" priority="134020" stopIfTrue="1" operator="lessThan">
      <formula>0.5</formula>
    </cfRule>
  </conditionalFormatting>
  <conditionalFormatting sqref="AP50">
    <cfRule type="cellIs" dxfId="16564" priority="134021" stopIfTrue="1" operator="greaterThanOrEqual">
      <formula>0.5</formula>
    </cfRule>
  </conditionalFormatting>
  <conditionalFormatting sqref="AP51">
    <cfRule type="cellIs" dxfId="16563" priority="134022" stopIfTrue="1" operator="equal">
      <formula>-1</formula>
    </cfRule>
  </conditionalFormatting>
  <conditionalFormatting sqref="AP51">
    <cfRule type="cellIs" dxfId="16562" priority="134023" stopIfTrue="1" operator="lessThan">
      <formula>0.5</formula>
    </cfRule>
  </conditionalFormatting>
  <conditionalFormatting sqref="AP51">
    <cfRule type="cellIs" dxfId="16561" priority="134024" stopIfTrue="1" operator="greaterThanOrEqual">
      <formula>0.5</formula>
    </cfRule>
  </conditionalFormatting>
  <conditionalFormatting sqref="AP52">
    <cfRule type="cellIs" dxfId="16560" priority="134025" stopIfTrue="1" operator="equal">
      <formula>-1</formula>
    </cfRule>
  </conditionalFormatting>
  <conditionalFormatting sqref="AP52">
    <cfRule type="cellIs" dxfId="16559" priority="134026" stopIfTrue="1" operator="lessThan">
      <formula>0.5</formula>
    </cfRule>
  </conditionalFormatting>
  <conditionalFormatting sqref="AP52">
    <cfRule type="cellIs" dxfId="16558" priority="134027" stopIfTrue="1" operator="greaterThanOrEqual">
      <formula>0.5</formula>
    </cfRule>
  </conditionalFormatting>
  <conditionalFormatting sqref="AP53">
    <cfRule type="cellIs" dxfId="16557" priority="134028" stopIfTrue="1" operator="equal">
      <formula>-1</formula>
    </cfRule>
  </conditionalFormatting>
  <conditionalFormatting sqref="AP53">
    <cfRule type="cellIs" dxfId="16556" priority="134029" stopIfTrue="1" operator="lessThan">
      <formula>0.5</formula>
    </cfRule>
  </conditionalFormatting>
  <conditionalFormatting sqref="AP53">
    <cfRule type="cellIs" dxfId="16555" priority="134030" stopIfTrue="1" operator="greaterThanOrEqual">
      <formula>0.5</formula>
    </cfRule>
  </conditionalFormatting>
  <conditionalFormatting sqref="AP54">
    <cfRule type="cellIs" dxfId="16554" priority="134031" stopIfTrue="1" operator="equal">
      <formula>-1</formula>
    </cfRule>
  </conditionalFormatting>
  <conditionalFormatting sqref="AP54">
    <cfRule type="cellIs" dxfId="16553" priority="134032" stopIfTrue="1" operator="lessThan">
      <formula>0.5</formula>
    </cfRule>
  </conditionalFormatting>
  <conditionalFormatting sqref="AP54">
    <cfRule type="cellIs" dxfId="16552" priority="134033" stopIfTrue="1" operator="greaterThanOrEqual">
      <formula>0.5</formula>
    </cfRule>
  </conditionalFormatting>
  <conditionalFormatting sqref="AP55">
    <cfRule type="cellIs" dxfId="16551" priority="134034" stopIfTrue="1" operator="equal">
      <formula>-1</formula>
    </cfRule>
  </conditionalFormatting>
  <conditionalFormatting sqref="AP55">
    <cfRule type="cellIs" dxfId="16550" priority="134035" stopIfTrue="1" operator="lessThan">
      <formula>0.5</formula>
    </cfRule>
  </conditionalFormatting>
  <conditionalFormatting sqref="AP55">
    <cfRule type="cellIs" dxfId="16549" priority="134036" stopIfTrue="1" operator="greaterThanOrEqual">
      <formula>0.5</formula>
    </cfRule>
  </conditionalFormatting>
  <conditionalFormatting sqref="AP56">
    <cfRule type="cellIs" dxfId="16548" priority="134037" stopIfTrue="1" operator="equal">
      <formula>-1</formula>
    </cfRule>
  </conditionalFormatting>
  <conditionalFormatting sqref="AP56">
    <cfRule type="cellIs" dxfId="16547" priority="134038" stopIfTrue="1" operator="lessThan">
      <formula>0.5</formula>
    </cfRule>
  </conditionalFormatting>
  <conditionalFormatting sqref="AP56">
    <cfRule type="cellIs" dxfId="16546" priority="134039" stopIfTrue="1" operator="greaterThanOrEqual">
      <formula>0.5</formula>
    </cfRule>
  </conditionalFormatting>
  <conditionalFormatting sqref="AP57">
    <cfRule type="cellIs" dxfId="16545" priority="134040" stopIfTrue="1" operator="equal">
      <formula>-1</formula>
    </cfRule>
  </conditionalFormatting>
  <conditionalFormatting sqref="AP57">
    <cfRule type="cellIs" dxfId="16544" priority="134041" stopIfTrue="1" operator="lessThan">
      <formula>0.5</formula>
    </cfRule>
  </conditionalFormatting>
  <conditionalFormatting sqref="AP57">
    <cfRule type="cellIs" dxfId="16543" priority="134042" stopIfTrue="1" operator="greaterThanOrEqual">
      <formula>0.5</formula>
    </cfRule>
  </conditionalFormatting>
  <conditionalFormatting sqref="AP58">
    <cfRule type="cellIs" dxfId="16542" priority="134043" stopIfTrue="1" operator="equal">
      <formula>-1</formula>
    </cfRule>
  </conditionalFormatting>
  <conditionalFormatting sqref="AP58">
    <cfRule type="cellIs" dxfId="16541" priority="134044" stopIfTrue="1" operator="lessThan">
      <formula>0.5</formula>
    </cfRule>
  </conditionalFormatting>
  <conditionalFormatting sqref="AP58">
    <cfRule type="cellIs" dxfId="16540" priority="134045" stopIfTrue="1" operator="greaterThanOrEqual">
      <formula>0.5</formula>
    </cfRule>
  </conditionalFormatting>
  <conditionalFormatting sqref="AR39">
    <cfRule type="cellIs" dxfId="16539" priority="134046" stopIfTrue="1" operator="equal">
      <formula>-1</formula>
    </cfRule>
  </conditionalFormatting>
  <conditionalFormatting sqref="AR39">
    <cfRule type="cellIs" dxfId="16538" priority="134047" stopIfTrue="1" operator="lessThan">
      <formula>0.5</formula>
    </cfRule>
  </conditionalFormatting>
  <conditionalFormatting sqref="AR39">
    <cfRule type="cellIs" dxfId="16537" priority="134048" stopIfTrue="1" operator="greaterThanOrEqual">
      <formula>0.5</formula>
    </cfRule>
  </conditionalFormatting>
  <conditionalFormatting sqref="AR40">
    <cfRule type="cellIs" dxfId="16536" priority="134049" stopIfTrue="1" operator="equal">
      <formula>-1</formula>
    </cfRule>
  </conditionalFormatting>
  <conditionalFormatting sqref="AR40">
    <cfRule type="cellIs" dxfId="16535" priority="134050" stopIfTrue="1" operator="lessThan">
      <formula>0.5</formula>
    </cfRule>
  </conditionalFormatting>
  <conditionalFormatting sqref="AR40">
    <cfRule type="cellIs" dxfId="16534" priority="134051" stopIfTrue="1" operator="greaterThanOrEqual">
      <formula>0.5</formula>
    </cfRule>
  </conditionalFormatting>
  <conditionalFormatting sqref="AR41">
    <cfRule type="cellIs" dxfId="16533" priority="134052" stopIfTrue="1" operator="equal">
      <formula>-1</formula>
    </cfRule>
  </conditionalFormatting>
  <conditionalFormatting sqref="AR41">
    <cfRule type="cellIs" dxfId="16532" priority="134053" stopIfTrue="1" operator="lessThan">
      <formula>0.5</formula>
    </cfRule>
  </conditionalFormatting>
  <conditionalFormatting sqref="AR41">
    <cfRule type="cellIs" dxfId="16531" priority="134054" stopIfTrue="1" operator="greaterThanOrEqual">
      <formula>0.5</formula>
    </cfRule>
  </conditionalFormatting>
  <conditionalFormatting sqref="AR42">
    <cfRule type="cellIs" dxfId="16530" priority="134055" stopIfTrue="1" operator="equal">
      <formula>-1</formula>
    </cfRule>
  </conditionalFormatting>
  <conditionalFormatting sqref="AR42">
    <cfRule type="cellIs" dxfId="16529" priority="134056" stopIfTrue="1" operator="lessThan">
      <formula>0.5</formula>
    </cfRule>
  </conditionalFormatting>
  <conditionalFormatting sqref="AR42">
    <cfRule type="cellIs" dxfId="16528" priority="134057" stopIfTrue="1" operator="greaterThanOrEqual">
      <formula>0.5</formula>
    </cfRule>
  </conditionalFormatting>
  <conditionalFormatting sqref="AR43">
    <cfRule type="cellIs" dxfId="16527" priority="134058" stopIfTrue="1" operator="equal">
      <formula>-1</formula>
    </cfRule>
  </conditionalFormatting>
  <conditionalFormatting sqref="AR43">
    <cfRule type="cellIs" dxfId="16526" priority="134059" stopIfTrue="1" operator="lessThan">
      <formula>0.5</formula>
    </cfRule>
  </conditionalFormatting>
  <conditionalFormatting sqref="AR43">
    <cfRule type="cellIs" dxfId="16525" priority="134060" stopIfTrue="1" operator="greaterThanOrEqual">
      <formula>0.5</formula>
    </cfRule>
  </conditionalFormatting>
  <conditionalFormatting sqref="AR44">
    <cfRule type="cellIs" dxfId="16524" priority="134061" stopIfTrue="1" operator="equal">
      <formula>-1</formula>
    </cfRule>
  </conditionalFormatting>
  <conditionalFormatting sqref="AR44">
    <cfRule type="cellIs" dxfId="16523" priority="134062" stopIfTrue="1" operator="lessThan">
      <formula>0.5</formula>
    </cfRule>
  </conditionalFormatting>
  <conditionalFormatting sqref="AR44">
    <cfRule type="cellIs" dxfId="16522" priority="134063" stopIfTrue="1" operator="greaterThanOrEqual">
      <formula>0.5</formula>
    </cfRule>
  </conditionalFormatting>
  <conditionalFormatting sqref="AR45">
    <cfRule type="cellIs" dxfId="16521" priority="134064" stopIfTrue="1" operator="equal">
      <formula>-1</formula>
    </cfRule>
  </conditionalFormatting>
  <conditionalFormatting sqref="AR45">
    <cfRule type="cellIs" dxfId="16520" priority="134065" stopIfTrue="1" operator="lessThan">
      <formula>0.5</formula>
    </cfRule>
  </conditionalFormatting>
  <conditionalFormatting sqref="AR45">
    <cfRule type="cellIs" dxfId="16519" priority="134066" stopIfTrue="1" operator="greaterThanOrEqual">
      <formula>0.5</formula>
    </cfRule>
  </conditionalFormatting>
  <conditionalFormatting sqref="AR46">
    <cfRule type="cellIs" dxfId="16518" priority="134067" stopIfTrue="1" operator="equal">
      <formula>-1</formula>
    </cfRule>
  </conditionalFormatting>
  <conditionalFormatting sqref="AR46">
    <cfRule type="cellIs" dxfId="16517" priority="134068" stopIfTrue="1" operator="lessThan">
      <formula>0.5</formula>
    </cfRule>
  </conditionalFormatting>
  <conditionalFormatting sqref="AR46">
    <cfRule type="cellIs" dxfId="16516" priority="134069" stopIfTrue="1" operator="greaterThanOrEqual">
      <formula>0.5</formula>
    </cfRule>
  </conditionalFormatting>
  <conditionalFormatting sqref="AR47">
    <cfRule type="cellIs" dxfId="16515" priority="134070" stopIfTrue="1" operator="equal">
      <formula>-1</formula>
    </cfRule>
  </conditionalFormatting>
  <conditionalFormatting sqref="AR47">
    <cfRule type="cellIs" dxfId="16514" priority="134071" stopIfTrue="1" operator="lessThan">
      <formula>0.5</formula>
    </cfRule>
  </conditionalFormatting>
  <conditionalFormatting sqref="AR47">
    <cfRule type="cellIs" dxfId="16513" priority="134072" stopIfTrue="1" operator="greaterThanOrEqual">
      <formula>0.5</formula>
    </cfRule>
  </conditionalFormatting>
  <conditionalFormatting sqref="AR48">
    <cfRule type="cellIs" dxfId="16512" priority="134073" stopIfTrue="1" operator="equal">
      <formula>-1</formula>
    </cfRule>
  </conditionalFormatting>
  <conditionalFormatting sqref="AR48">
    <cfRule type="cellIs" dxfId="16511" priority="134074" stopIfTrue="1" operator="lessThan">
      <formula>0.5</formula>
    </cfRule>
  </conditionalFormatting>
  <conditionalFormatting sqref="AR48">
    <cfRule type="cellIs" dxfId="16510" priority="134075" stopIfTrue="1" operator="greaterThanOrEqual">
      <formula>0.5</formula>
    </cfRule>
  </conditionalFormatting>
  <conditionalFormatting sqref="AR49">
    <cfRule type="cellIs" dxfId="16509" priority="134076" stopIfTrue="1" operator="equal">
      <formula>-1</formula>
    </cfRule>
  </conditionalFormatting>
  <conditionalFormatting sqref="AR49">
    <cfRule type="cellIs" dxfId="16508" priority="134077" stopIfTrue="1" operator="lessThan">
      <formula>0.5</formula>
    </cfRule>
  </conditionalFormatting>
  <conditionalFormatting sqref="AR49">
    <cfRule type="cellIs" dxfId="16507" priority="134078" stopIfTrue="1" operator="greaterThanOrEqual">
      <formula>0.5</formula>
    </cfRule>
  </conditionalFormatting>
  <conditionalFormatting sqref="AR50">
    <cfRule type="cellIs" dxfId="16506" priority="134079" stopIfTrue="1" operator="equal">
      <formula>-1</formula>
    </cfRule>
  </conditionalFormatting>
  <conditionalFormatting sqref="AR50">
    <cfRule type="cellIs" dxfId="16505" priority="134080" stopIfTrue="1" operator="lessThan">
      <formula>0.5</formula>
    </cfRule>
  </conditionalFormatting>
  <conditionalFormatting sqref="AR50">
    <cfRule type="cellIs" dxfId="16504" priority="134081" stopIfTrue="1" operator="greaterThanOrEqual">
      <formula>0.5</formula>
    </cfRule>
  </conditionalFormatting>
  <conditionalFormatting sqref="AR51">
    <cfRule type="cellIs" dxfId="16503" priority="134082" stopIfTrue="1" operator="equal">
      <formula>-1</formula>
    </cfRule>
  </conditionalFormatting>
  <conditionalFormatting sqref="AR51">
    <cfRule type="cellIs" dxfId="16502" priority="134083" stopIfTrue="1" operator="lessThan">
      <formula>0.5</formula>
    </cfRule>
  </conditionalFormatting>
  <conditionalFormatting sqref="AR51">
    <cfRule type="cellIs" dxfId="16501" priority="134084" stopIfTrue="1" operator="greaterThanOrEqual">
      <formula>0.5</formula>
    </cfRule>
  </conditionalFormatting>
  <conditionalFormatting sqref="AR52">
    <cfRule type="cellIs" dxfId="16500" priority="134085" stopIfTrue="1" operator="equal">
      <formula>-1</formula>
    </cfRule>
  </conditionalFormatting>
  <conditionalFormatting sqref="AR52">
    <cfRule type="cellIs" dxfId="16499" priority="134086" stopIfTrue="1" operator="lessThan">
      <formula>0.5</formula>
    </cfRule>
  </conditionalFormatting>
  <conditionalFormatting sqref="AR52">
    <cfRule type="cellIs" dxfId="16498" priority="134087" stopIfTrue="1" operator="greaterThanOrEqual">
      <formula>0.5</formula>
    </cfRule>
  </conditionalFormatting>
  <conditionalFormatting sqref="AR53">
    <cfRule type="cellIs" dxfId="16497" priority="134088" stopIfTrue="1" operator="equal">
      <formula>-1</formula>
    </cfRule>
  </conditionalFormatting>
  <conditionalFormatting sqref="AR53">
    <cfRule type="cellIs" dxfId="16496" priority="134089" stopIfTrue="1" operator="lessThan">
      <formula>0.5</formula>
    </cfRule>
  </conditionalFormatting>
  <conditionalFormatting sqref="AR53">
    <cfRule type="cellIs" dxfId="16495" priority="134090" stopIfTrue="1" operator="greaterThanOrEqual">
      <formula>0.5</formula>
    </cfRule>
  </conditionalFormatting>
  <conditionalFormatting sqref="AR54">
    <cfRule type="cellIs" dxfId="16494" priority="134091" stopIfTrue="1" operator="equal">
      <formula>-1</formula>
    </cfRule>
  </conditionalFormatting>
  <conditionalFormatting sqref="AR54">
    <cfRule type="cellIs" dxfId="16493" priority="134092" stopIfTrue="1" operator="lessThan">
      <formula>0.5</formula>
    </cfRule>
  </conditionalFormatting>
  <conditionalFormatting sqref="AR54">
    <cfRule type="cellIs" dxfId="16492" priority="134093" stopIfTrue="1" operator="greaterThanOrEqual">
      <formula>0.5</formula>
    </cfRule>
  </conditionalFormatting>
  <conditionalFormatting sqref="AR55">
    <cfRule type="cellIs" dxfId="16491" priority="134094" stopIfTrue="1" operator="equal">
      <formula>-1</formula>
    </cfRule>
  </conditionalFormatting>
  <conditionalFormatting sqref="AR55">
    <cfRule type="cellIs" dxfId="16490" priority="134095" stopIfTrue="1" operator="lessThan">
      <formula>0.5</formula>
    </cfRule>
  </conditionalFormatting>
  <conditionalFormatting sqref="AR55">
    <cfRule type="cellIs" dxfId="16489" priority="134096" stopIfTrue="1" operator="greaterThanOrEqual">
      <formula>0.5</formula>
    </cfRule>
  </conditionalFormatting>
  <conditionalFormatting sqref="AR56">
    <cfRule type="cellIs" dxfId="16488" priority="134097" stopIfTrue="1" operator="equal">
      <formula>-1</formula>
    </cfRule>
  </conditionalFormatting>
  <conditionalFormatting sqref="AR56">
    <cfRule type="cellIs" dxfId="16487" priority="134098" stopIfTrue="1" operator="lessThan">
      <formula>0.5</formula>
    </cfRule>
  </conditionalFormatting>
  <conditionalFormatting sqref="AR56">
    <cfRule type="cellIs" dxfId="16486" priority="134099" stopIfTrue="1" operator="greaterThanOrEqual">
      <formula>0.5</formula>
    </cfRule>
  </conditionalFormatting>
  <conditionalFormatting sqref="AR57">
    <cfRule type="cellIs" dxfId="16485" priority="134100" stopIfTrue="1" operator="equal">
      <formula>-1</formula>
    </cfRule>
  </conditionalFormatting>
  <conditionalFormatting sqref="AR57">
    <cfRule type="cellIs" dxfId="16484" priority="134101" stopIfTrue="1" operator="lessThan">
      <formula>0.5</formula>
    </cfRule>
  </conditionalFormatting>
  <conditionalFormatting sqref="AR57">
    <cfRule type="cellIs" dxfId="16483" priority="134102" stopIfTrue="1" operator="greaterThanOrEqual">
      <formula>0.5</formula>
    </cfRule>
  </conditionalFormatting>
  <conditionalFormatting sqref="AR58">
    <cfRule type="cellIs" dxfId="16482" priority="134103" stopIfTrue="1" operator="equal">
      <formula>-1</formula>
    </cfRule>
  </conditionalFormatting>
  <conditionalFormatting sqref="AR58">
    <cfRule type="cellIs" dxfId="16481" priority="134104" stopIfTrue="1" operator="lessThan">
      <formula>0.5</formula>
    </cfRule>
  </conditionalFormatting>
  <conditionalFormatting sqref="AR58">
    <cfRule type="cellIs" dxfId="16480" priority="134105" stopIfTrue="1" operator="greaterThanOrEqual">
      <formula>0.5</formula>
    </cfRule>
  </conditionalFormatting>
  <conditionalFormatting sqref="AT39">
    <cfRule type="cellIs" dxfId="16479" priority="134106" stopIfTrue="1" operator="equal">
      <formula>-1</formula>
    </cfRule>
  </conditionalFormatting>
  <conditionalFormatting sqref="AT39">
    <cfRule type="cellIs" dxfId="16478" priority="134107" stopIfTrue="1" operator="lessThan">
      <formula>0.5</formula>
    </cfRule>
  </conditionalFormatting>
  <conditionalFormatting sqref="AT39">
    <cfRule type="cellIs" dxfId="16477" priority="134108" stopIfTrue="1" operator="greaterThanOrEqual">
      <formula>0.5</formula>
    </cfRule>
  </conditionalFormatting>
  <conditionalFormatting sqref="AT40">
    <cfRule type="cellIs" dxfId="16476" priority="134109" stopIfTrue="1" operator="equal">
      <formula>-1</formula>
    </cfRule>
  </conditionalFormatting>
  <conditionalFormatting sqref="AT40">
    <cfRule type="cellIs" dxfId="16475" priority="134110" stopIfTrue="1" operator="lessThan">
      <formula>0.5</formula>
    </cfRule>
  </conditionalFormatting>
  <conditionalFormatting sqref="AT40">
    <cfRule type="cellIs" dxfId="16474" priority="134111" stopIfTrue="1" operator="greaterThanOrEqual">
      <formula>0.5</formula>
    </cfRule>
  </conditionalFormatting>
  <conditionalFormatting sqref="AT41">
    <cfRule type="cellIs" dxfId="16473" priority="134112" stopIfTrue="1" operator="equal">
      <formula>-1</formula>
    </cfRule>
  </conditionalFormatting>
  <conditionalFormatting sqref="AT41">
    <cfRule type="cellIs" dxfId="16472" priority="134113" stopIfTrue="1" operator="lessThan">
      <formula>0.5</formula>
    </cfRule>
  </conditionalFormatting>
  <conditionalFormatting sqref="AT41">
    <cfRule type="cellIs" dxfId="16471" priority="134114" stopIfTrue="1" operator="greaterThanOrEqual">
      <formula>0.5</formula>
    </cfRule>
  </conditionalFormatting>
  <conditionalFormatting sqref="AT42">
    <cfRule type="cellIs" dxfId="16470" priority="134115" stopIfTrue="1" operator="equal">
      <formula>-1</formula>
    </cfRule>
  </conditionalFormatting>
  <conditionalFormatting sqref="AT42">
    <cfRule type="cellIs" dxfId="16469" priority="134116" stopIfTrue="1" operator="lessThan">
      <formula>0.5</formula>
    </cfRule>
  </conditionalFormatting>
  <conditionalFormatting sqref="AT42">
    <cfRule type="cellIs" dxfId="16468" priority="134117" stopIfTrue="1" operator="greaterThanOrEqual">
      <formula>0.5</formula>
    </cfRule>
  </conditionalFormatting>
  <conditionalFormatting sqref="AT43">
    <cfRule type="cellIs" dxfId="16467" priority="134118" stopIfTrue="1" operator="equal">
      <formula>-1</formula>
    </cfRule>
  </conditionalFormatting>
  <conditionalFormatting sqref="AT43">
    <cfRule type="cellIs" dxfId="16466" priority="134119" stopIfTrue="1" operator="lessThan">
      <formula>0.5</formula>
    </cfRule>
  </conditionalFormatting>
  <conditionalFormatting sqref="AT43">
    <cfRule type="cellIs" dxfId="16465" priority="134120" stopIfTrue="1" operator="greaterThanOrEqual">
      <formula>0.5</formula>
    </cfRule>
  </conditionalFormatting>
  <conditionalFormatting sqref="AT44">
    <cfRule type="cellIs" dxfId="16464" priority="134121" stopIfTrue="1" operator="equal">
      <formula>-1</formula>
    </cfRule>
  </conditionalFormatting>
  <conditionalFormatting sqref="AT44">
    <cfRule type="cellIs" dxfId="16463" priority="134122" stopIfTrue="1" operator="lessThan">
      <formula>0.5</formula>
    </cfRule>
  </conditionalFormatting>
  <conditionalFormatting sqref="AT44">
    <cfRule type="cellIs" dxfId="16462" priority="134123" stopIfTrue="1" operator="greaterThanOrEqual">
      <formula>0.5</formula>
    </cfRule>
  </conditionalFormatting>
  <conditionalFormatting sqref="AT45">
    <cfRule type="cellIs" dxfId="16461" priority="134124" stopIfTrue="1" operator="equal">
      <formula>-1</formula>
    </cfRule>
  </conditionalFormatting>
  <conditionalFormatting sqref="AT45">
    <cfRule type="cellIs" dxfId="16460" priority="134125" stopIfTrue="1" operator="lessThan">
      <formula>0.5</formula>
    </cfRule>
  </conditionalFormatting>
  <conditionalFormatting sqref="AT45">
    <cfRule type="cellIs" dxfId="16459" priority="134126" stopIfTrue="1" operator="greaterThanOrEqual">
      <formula>0.5</formula>
    </cfRule>
  </conditionalFormatting>
  <conditionalFormatting sqref="AT46">
    <cfRule type="cellIs" dxfId="16458" priority="134127" stopIfTrue="1" operator="equal">
      <formula>-1</formula>
    </cfRule>
  </conditionalFormatting>
  <conditionalFormatting sqref="AT46">
    <cfRule type="cellIs" dxfId="16457" priority="134128" stopIfTrue="1" operator="lessThan">
      <formula>0.5</formula>
    </cfRule>
  </conditionalFormatting>
  <conditionalFormatting sqref="AT46">
    <cfRule type="cellIs" dxfId="16456" priority="134129" stopIfTrue="1" operator="greaterThanOrEqual">
      <formula>0.5</formula>
    </cfRule>
  </conditionalFormatting>
  <conditionalFormatting sqref="AT47">
    <cfRule type="cellIs" dxfId="16455" priority="134130" stopIfTrue="1" operator="equal">
      <formula>-1</formula>
    </cfRule>
  </conditionalFormatting>
  <conditionalFormatting sqref="AT47">
    <cfRule type="cellIs" dxfId="16454" priority="134131" stopIfTrue="1" operator="lessThan">
      <formula>0.5</formula>
    </cfRule>
  </conditionalFormatting>
  <conditionalFormatting sqref="AT47">
    <cfRule type="cellIs" dxfId="16453" priority="134132" stopIfTrue="1" operator="greaterThanOrEqual">
      <formula>0.5</formula>
    </cfRule>
  </conditionalFormatting>
  <conditionalFormatting sqref="AT48">
    <cfRule type="cellIs" dxfId="16452" priority="134133" stopIfTrue="1" operator="equal">
      <formula>-1</formula>
    </cfRule>
  </conditionalFormatting>
  <conditionalFormatting sqref="AT48">
    <cfRule type="cellIs" dxfId="16451" priority="134134" stopIfTrue="1" operator="lessThan">
      <formula>0.5</formula>
    </cfRule>
  </conditionalFormatting>
  <conditionalFormatting sqref="AT48">
    <cfRule type="cellIs" dxfId="16450" priority="134135" stopIfTrue="1" operator="greaterThanOrEqual">
      <formula>0.5</formula>
    </cfRule>
  </conditionalFormatting>
  <conditionalFormatting sqref="AT49">
    <cfRule type="cellIs" dxfId="16449" priority="134136" stopIfTrue="1" operator="equal">
      <formula>-1</formula>
    </cfRule>
  </conditionalFormatting>
  <conditionalFormatting sqref="AT49">
    <cfRule type="cellIs" dxfId="16448" priority="134137" stopIfTrue="1" operator="lessThan">
      <formula>0.5</formula>
    </cfRule>
  </conditionalFormatting>
  <conditionalFormatting sqref="AT49">
    <cfRule type="cellIs" dxfId="16447" priority="134138" stopIfTrue="1" operator="greaterThanOrEqual">
      <formula>0.5</formula>
    </cfRule>
  </conditionalFormatting>
  <conditionalFormatting sqref="AT50">
    <cfRule type="cellIs" dxfId="16446" priority="134139" stopIfTrue="1" operator="equal">
      <formula>-1</formula>
    </cfRule>
  </conditionalFormatting>
  <conditionalFormatting sqref="AT50">
    <cfRule type="cellIs" dxfId="16445" priority="134140" stopIfTrue="1" operator="lessThan">
      <formula>0.5</formula>
    </cfRule>
  </conditionalFormatting>
  <conditionalFormatting sqref="AT50">
    <cfRule type="cellIs" dxfId="16444" priority="134141" stopIfTrue="1" operator="greaterThanOrEqual">
      <formula>0.5</formula>
    </cfRule>
  </conditionalFormatting>
  <conditionalFormatting sqref="AT51">
    <cfRule type="cellIs" dxfId="16443" priority="134142" stopIfTrue="1" operator="equal">
      <formula>-1</formula>
    </cfRule>
  </conditionalFormatting>
  <conditionalFormatting sqref="AT51">
    <cfRule type="cellIs" dxfId="16442" priority="134143" stopIfTrue="1" operator="lessThan">
      <formula>0.5</formula>
    </cfRule>
  </conditionalFormatting>
  <conditionalFormatting sqref="AT51">
    <cfRule type="cellIs" dxfId="16441" priority="134144" stopIfTrue="1" operator="greaterThanOrEqual">
      <formula>0.5</formula>
    </cfRule>
  </conditionalFormatting>
  <conditionalFormatting sqref="AT52">
    <cfRule type="cellIs" dxfId="16440" priority="134145" stopIfTrue="1" operator="equal">
      <formula>-1</formula>
    </cfRule>
  </conditionalFormatting>
  <conditionalFormatting sqref="AT52">
    <cfRule type="cellIs" dxfId="16439" priority="134146" stopIfTrue="1" operator="lessThan">
      <formula>0.5</formula>
    </cfRule>
  </conditionalFormatting>
  <conditionalFormatting sqref="AT52">
    <cfRule type="cellIs" dxfId="16438" priority="134147" stopIfTrue="1" operator="greaterThanOrEqual">
      <formula>0.5</formula>
    </cfRule>
  </conditionalFormatting>
  <conditionalFormatting sqref="AT53">
    <cfRule type="cellIs" dxfId="16437" priority="134148" stopIfTrue="1" operator="equal">
      <formula>-1</formula>
    </cfRule>
  </conditionalFormatting>
  <conditionalFormatting sqref="AT53">
    <cfRule type="cellIs" dxfId="16436" priority="134149" stopIfTrue="1" operator="lessThan">
      <formula>0.5</formula>
    </cfRule>
  </conditionalFormatting>
  <conditionalFormatting sqref="AT53">
    <cfRule type="cellIs" dxfId="16435" priority="134150" stopIfTrue="1" operator="greaterThanOrEqual">
      <formula>0.5</formula>
    </cfRule>
  </conditionalFormatting>
  <conditionalFormatting sqref="AT54">
    <cfRule type="cellIs" dxfId="16434" priority="134151" stopIfTrue="1" operator="equal">
      <formula>-1</formula>
    </cfRule>
  </conditionalFormatting>
  <conditionalFormatting sqref="AT54">
    <cfRule type="cellIs" dxfId="16433" priority="134152" stopIfTrue="1" operator="lessThan">
      <formula>0.5</formula>
    </cfRule>
  </conditionalFormatting>
  <conditionalFormatting sqref="AT54">
    <cfRule type="cellIs" dxfId="16432" priority="134153" stopIfTrue="1" operator="greaterThanOrEqual">
      <formula>0.5</formula>
    </cfRule>
  </conditionalFormatting>
  <conditionalFormatting sqref="AT55">
    <cfRule type="cellIs" dxfId="16431" priority="134154" stopIfTrue="1" operator="equal">
      <formula>-1</formula>
    </cfRule>
  </conditionalFormatting>
  <conditionalFormatting sqref="AT55">
    <cfRule type="cellIs" dxfId="16430" priority="134155" stopIfTrue="1" operator="lessThan">
      <formula>0.5</formula>
    </cfRule>
  </conditionalFormatting>
  <conditionalFormatting sqref="AT55">
    <cfRule type="cellIs" dxfId="16429" priority="134156" stopIfTrue="1" operator="greaterThanOrEqual">
      <formula>0.5</formula>
    </cfRule>
  </conditionalFormatting>
  <conditionalFormatting sqref="AT56">
    <cfRule type="cellIs" dxfId="16428" priority="134157" stopIfTrue="1" operator="equal">
      <formula>-1</formula>
    </cfRule>
  </conditionalFormatting>
  <conditionalFormatting sqref="AT56">
    <cfRule type="cellIs" dxfId="16427" priority="134158" stopIfTrue="1" operator="lessThan">
      <formula>0.5</formula>
    </cfRule>
  </conditionalFormatting>
  <conditionalFormatting sqref="AT56">
    <cfRule type="cellIs" dxfId="16426" priority="134159" stopIfTrue="1" operator="greaterThanOrEqual">
      <formula>0.5</formula>
    </cfRule>
  </conditionalFormatting>
  <conditionalFormatting sqref="AT57">
    <cfRule type="cellIs" dxfId="16425" priority="134160" stopIfTrue="1" operator="equal">
      <formula>-1</formula>
    </cfRule>
  </conditionalFormatting>
  <conditionalFormatting sqref="AT57">
    <cfRule type="cellIs" dxfId="16424" priority="134161" stopIfTrue="1" operator="lessThan">
      <formula>0.5</formula>
    </cfRule>
  </conditionalFormatting>
  <conditionalFormatting sqref="AT57">
    <cfRule type="cellIs" dxfId="16423" priority="134162" stopIfTrue="1" operator="greaterThanOrEqual">
      <formula>0.5</formula>
    </cfRule>
  </conditionalFormatting>
  <conditionalFormatting sqref="AT58">
    <cfRule type="cellIs" dxfId="16422" priority="134163" stopIfTrue="1" operator="equal">
      <formula>-1</formula>
    </cfRule>
  </conditionalFormatting>
  <conditionalFormatting sqref="AT58">
    <cfRule type="cellIs" dxfId="16421" priority="134164" stopIfTrue="1" operator="lessThan">
      <formula>0.5</formula>
    </cfRule>
  </conditionalFormatting>
  <conditionalFormatting sqref="AT58">
    <cfRule type="cellIs" dxfId="16420" priority="134165" stopIfTrue="1" operator="greaterThanOrEqual">
      <formula>0.5</formula>
    </cfRule>
  </conditionalFormatting>
  <conditionalFormatting sqref="AV39">
    <cfRule type="cellIs" dxfId="16419" priority="134166" stopIfTrue="1" operator="equal">
      <formula>-1</formula>
    </cfRule>
  </conditionalFormatting>
  <conditionalFormatting sqref="AV39">
    <cfRule type="cellIs" dxfId="16418" priority="134167" stopIfTrue="1" operator="lessThan">
      <formula>0.5</formula>
    </cfRule>
  </conditionalFormatting>
  <conditionalFormatting sqref="AV39">
    <cfRule type="cellIs" dxfId="16417" priority="134168" stopIfTrue="1" operator="greaterThanOrEqual">
      <formula>0.5</formula>
    </cfRule>
  </conditionalFormatting>
  <conditionalFormatting sqref="AV40">
    <cfRule type="cellIs" dxfId="16416" priority="134169" stopIfTrue="1" operator="equal">
      <formula>-1</formula>
    </cfRule>
  </conditionalFormatting>
  <conditionalFormatting sqref="AV40">
    <cfRule type="cellIs" dxfId="16415" priority="134170" stopIfTrue="1" operator="lessThan">
      <formula>0.5</formula>
    </cfRule>
  </conditionalFormatting>
  <conditionalFormatting sqref="AV40">
    <cfRule type="cellIs" dxfId="16414" priority="134171" stopIfTrue="1" operator="greaterThanOrEqual">
      <formula>0.5</formula>
    </cfRule>
  </conditionalFormatting>
  <conditionalFormatting sqref="AV41">
    <cfRule type="cellIs" dxfId="16413" priority="134172" stopIfTrue="1" operator="equal">
      <formula>-1</formula>
    </cfRule>
  </conditionalFormatting>
  <conditionalFormatting sqref="AV41">
    <cfRule type="cellIs" dxfId="16412" priority="134173" stopIfTrue="1" operator="lessThan">
      <formula>0.5</formula>
    </cfRule>
  </conditionalFormatting>
  <conditionalFormatting sqref="AV41">
    <cfRule type="cellIs" dxfId="16411" priority="134174" stopIfTrue="1" operator="greaterThanOrEqual">
      <formula>0.5</formula>
    </cfRule>
  </conditionalFormatting>
  <conditionalFormatting sqref="AV42">
    <cfRule type="cellIs" dxfId="16410" priority="134175" stopIfTrue="1" operator="equal">
      <formula>-1</formula>
    </cfRule>
  </conditionalFormatting>
  <conditionalFormatting sqref="AV42">
    <cfRule type="cellIs" dxfId="16409" priority="134176" stopIfTrue="1" operator="lessThan">
      <formula>0.5</formula>
    </cfRule>
  </conditionalFormatting>
  <conditionalFormatting sqref="AV42">
    <cfRule type="cellIs" dxfId="16408" priority="134177" stopIfTrue="1" operator="greaterThanOrEqual">
      <formula>0.5</formula>
    </cfRule>
  </conditionalFormatting>
  <conditionalFormatting sqref="AV43">
    <cfRule type="cellIs" dxfId="16407" priority="134178" stopIfTrue="1" operator="equal">
      <formula>-1</formula>
    </cfRule>
  </conditionalFormatting>
  <conditionalFormatting sqref="AV43">
    <cfRule type="cellIs" dxfId="16406" priority="134179" stopIfTrue="1" operator="lessThan">
      <formula>0.5</formula>
    </cfRule>
  </conditionalFormatting>
  <conditionalFormatting sqref="AV43">
    <cfRule type="cellIs" dxfId="16405" priority="134180" stopIfTrue="1" operator="greaterThanOrEqual">
      <formula>0.5</formula>
    </cfRule>
  </conditionalFormatting>
  <conditionalFormatting sqref="AV44">
    <cfRule type="cellIs" dxfId="16404" priority="134181" stopIfTrue="1" operator="equal">
      <formula>-1</formula>
    </cfRule>
  </conditionalFormatting>
  <conditionalFormatting sqref="AV44">
    <cfRule type="cellIs" dxfId="16403" priority="134182" stopIfTrue="1" operator="lessThan">
      <formula>0.5</formula>
    </cfRule>
  </conditionalFormatting>
  <conditionalFormatting sqref="AV44">
    <cfRule type="cellIs" dxfId="16402" priority="134183" stopIfTrue="1" operator="greaterThanOrEqual">
      <formula>0.5</formula>
    </cfRule>
  </conditionalFormatting>
  <conditionalFormatting sqref="AV45">
    <cfRule type="cellIs" dxfId="16401" priority="134184" stopIfTrue="1" operator="equal">
      <formula>-1</formula>
    </cfRule>
  </conditionalFormatting>
  <conditionalFormatting sqref="AV45">
    <cfRule type="cellIs" dxfId="16400" priority="134185" stopIfTrue="1" operator="lessThan">
      <formula>0.5</formula>
    </cfRule>
  </conditionalFormatting>
  <conditionalFormatting sqref="AV45">
    <cfRule type="cellIs" dxfId="16399" priority="134186" stopIfTrue="1" operator="greaterThanOrEqual">
      <formula>0.5</formula>
    </cfRule>
  </conditionalFormatting>
  <conditionalFormatting sqref="AV46">
    <cfRule type="cellIs" dxfId="16398" priority="134187" stopIfTrue="1" operator="equal">
      <formula>-1</formula>
    </cfRule>
  </conditionalFormatting>
  <conditionalFormatting sqref="AV46">
    <cfRule type="cellIs" dxfId="16397" priority="134188" stopIfTrue="1" operator="lessThan">
      <formula>0.5</formula>
    </cfRule>
  </conditionalFormatting>
  <conditionalFormatting sqref="AV46">
    <cfRule type="cellIs" dxfId="16396" priority="134189" stopIfTrue="1" operator="greaterThanOrEqual">
      <formula>0.5</formula>
    </cfRule>
  </conditionalFormatting>
  <conditionalFormatting sqref="AV47">
    <cfRule type="cellIs" dxfId="16395" priority="134190" stopIfTrue="1" operator="equal">
      <formula>-1</formula>
    </cfRule>
  </conditionalFormatting>
  <conditionalFormatting sqref="AV47">
    <cfRule type="cellIs" dxfId="16394" priority="134191" stopIfTrue="1" operator="lessThan">
      <formula>0.5</formula>
    </cfRule>
  </conditionalFormatting>
  <conditionalFormatting sqref="AV47">
    <cfRule type="cellIs" dxfId="16393" priority="134192" stopIfTrue="1" operator="greaterThanOrEqual">
      <formula>0.5</formula>
    </cfRule>
  </conditionalFormatting>
  <conditionalFormatting sqref="AV48">
    <cfRule type="cellIs" dxfId="16392" priority="134193" stopIfTrue="1" operator="equal">
      <formula>-1</formula>
    </cfRule>
  </conditionalFormatting>
  <conditionalFormatting sqref="AV48">
    <cfRule type="cellIs" dxfId="16391" priority="134194" stopIfTrue="1" operator="lessThan">
      <formula>0.5</formula>
    </cfRule>
  </conditionalFormatting>
  <conditionalFormatting sqref="AV48">
    <cfRule type="cellIs" dxfId="16390" priority="134195" stopIfTrue="1" operator="greaterThanOrEqual">
      <formula>0.5</formula>
    </cfRule>
  </conditionalFormatting>
  <conditionalFormatting sqref="AV49">
    <cfRule type="cellIs" dxfId="16389" priority="134196" stopIfTrue="1" operator="equal">
      <formula>-1</formula>
    </cfRule>
  </conditionalFormatting>
  <conditionalFormatting sqref="AV49">
    <cfRule type="cellIs" dxfId="16388" priority="134197" stopIfTrue="1" operator="lessThan">
      <formula>0.5</formula>
    </cfRule>
  </conditionalFormatting>
  <conditionalFormatting sqref="AV49">
    <cfRule type="cellIs" dxfId="16387" priority="134198" stopIfTrue="1" operator="greaterThanOrEqual">
      <formula>0.5</formula>
    </cfRule>
  </conditionalFormatting>
  <conditionalFormatting sqref="AV50">
    <cfRule type="cellIs" dxfId="16386" priority="134199" stopIfTrue="1" operator="equal">
      <formula>-1</formula>
    </cfRule>
  </conditionalFormatting>
  <conditionalFormatting sqref="AV50">
    <cfRule type="cellIs" dxfId="16385" priority="134200" stopIfTrue="1" operator="lessThan">
      <formula>0.5</formula>
    </cfRule>
  </conditionalFormatting>
  <conditionalFormatting sqref="AV50">
    <cfRule type="cellIs" dxfId="16384" priority="134201" stopIfTrue="1" operator="greaterThanOrEqual">
      <formula>0.5</formula>
    </cfRule>
  </conditionalFormatting>
  <conditionalFormatting sqref="AV51">
    <cfRule type="cellIs" dxfId="16383" priority="134202" stopIfTrue="1" operator="equal">
      <formula>-1</formula>
    </cfRule>
  </conditionalFormatting>
  <conditionalFormatting sqref="AV51">
    <cfRule type="cellIs" dxfId="16382" priority="134203" stopIfTrue="1" operator="lessThan">
      <formula>0.5</formula>
    </cfRule>
  </conditionalFormatting>
  <conditionalFormatting sqref="AV51">
    <cfRule type="cellIs" dxfId="16381" priority="134204" stopIfTrue="1" operator="greaterThanOrEqual">
      <formula>0.5</formula>
    </cfRule>
  </conditionalFormatting>
  <conditionalFormatting sqref="AV52">
    <cfRule type="cellIs" dxfId="16380" priority="134205" stopIfTrue="1" operator="equal">
      <formula>-1</formula>
    </cfRule>
  </conditionalFormatting>
  <conditionalFormatting sqref="AV52">
    <cfRule type="cellIs" dxfId="16379" priority="134206" stopIfTrue="1" operator="lessThan">
      <formula>0.5</formula>
    </cfRule>
  </conditionalFormatting>
  <conditionalFormatting sqref="AV52">
    <cfRule type="cellIs" dxfId="16378" priority="134207" stopIfTrue="1" operator="greaterThanOrEqual">
      <formula>0.5</formula>
    </cfRule>
  </conditionalFormatting>
  <conditionalFormatting sqref="AV53">
    <cfRule type="cellIs" dxfId="16377" priority="134208" stopIfTrue="1" operator="equal">
      <formula>-1</formula>
    </cfRule>
  </conditionalFormatting>
  <conditionalFormatting sqref="AV53">
    <cfRule type="cellIs" dxfId="16376" priority="134209" stopIfTrue="1" operator="lessThan">
      <formula>0.5</formula>
    </cfRule>
  </conditionalFormatting>
  <conditionalFormatting sqref="AV53">
    <cfRule type="cellIs" dxfId="16375" priority="134210" stopIfTrue="1" operator="greaterThanOrEqual">
      <formula>0.5</formula>
    </cfRule>
  </conditionalFormatting>
  <conditionalFormatting sqref="AV54">
    <cfRule type="cellIs" dxfId="16374" priority="134211" stopIfTrue="1" operator="equal">
      <formula>-1</formula>
    </cfRule>
  </conditionalFormatting>
  <conditionalFormatting sqref="AV54">
    <cfRule type="cellIs" dxfId="16373" priority="134212" stopIfTrue="1" operator="lessThan">
      <formula>0.5</formula>
    </cfRule>
  </conditionalFormatting>
  <conditionalFormatting sqref="AV54">
    <cfRule type="cellIs" dxfId="16372" priority="134213" stopIfTrue="1" operator="greaterThanOrEqual">
      <formula>0.5</formula>
    </cfRule>
  </conditionalFormatting>
  <conditionalFormatting sqref="AV55">
    <cfRule type="cellIs" dxfId="16371" priority="134214" stopIfTrue="1" operator="equal">
      <formula>-1</formula>
    </cfRule>
  </conditionalFormatting>
  <conditionalFormatting sqref="AV55">
    <cfRule type="cellIs" dxfId="16370" priority="134215" stopIfTrue="1" operator="lessThan">
      <formula>0.5</formula>
    </cfRule>
  </conditionalFormatting>
  <conditionalFormatting sqref="AV55">
    <cfRule type="cellIs" dxfId="16369" priority="134216" stopIfTrue="1" operator="greaterThanOrEqual">
      <formula>0.5</formula>
    </cfRule>
  </conditionalFormatting>
  <conditionalFormatting sqref="AV56">
    <cfRule type="cellIs" dxfId="16368" priority="134217" stopIfTrue="1" operator="equal">
      <formula>-1</formula>
    </cfRule>
  </conditionalFormatting>
  <conditionalFormatting sqref="AV56">
    <cfRule type="cellIs" dxfId="16367" priority="134218" stopIfTrue="1" operator="lessThan">
      <formula>0.5</formula>
    </cfRule>
  </conditionalFormatting>
  <conditionalFormatting sqref="AV56">
    <cfRule type="cellIs" dxfId="16366" priority="134219" stopIfTrue="1" operator="greaterThanOrEqual">
      <formula>0.5</formula>
    </cfRule>
  </conditionalFormatting>
  <conditionalFormatting sqref="AV57">
    <cfRule type="cellIs" dxfId="16365" priority="134220" stopIfTrue="1" operator="equal">
      <formula>-1</formula>
    </cfRule>
  </conditionalFormatting>
  <conditionalFormatting sqref="AV57">
    <cfRule type="cellIs" dxfId="16364" priority="134221" stopIfTrue="1" operator="lessThan">
      <formula>0.5</formula>
    </cfRule>
  </conditionalFormatting>
  <conditionalFormatting sqref="AV57">
    <cfRule type="cellIs" dxfId="16363" priority="134222" stopIfTrue="1" operator="greaterThanOrEqual">
      <formula>0.5</formula>
    </cfRule>
  </conditionalFormatting>
  <conditionalFormatting sqref="AV58">
    <cfRule type="cellIs" dxfId="16362" priority="134223" stopIfTrue="1" operator="equal">
      <formula>-1</formula>
    </cfRule>
  </conditionalFormatting>
  <conditionalFormatting sqref="AV58">
    <cfRule type="cellIs" dxfId="16361" priority="134224" stopIfTrue="1" operator="lessThan">
      <formula>0.5</formula>
    </cfRule>
  </conditionalFormatting>
  <conditionalFormatting sqref="AV58">
    <cfRule type="cellIs" dxfId="16360" priority="134225" stopIfTrue="1" operator="greaterThanOrEqual">
      <formula>0.5</formula>
    </cfRule>
  </conditionalFormatting>
  <conditionalFormatting sqref="AX39">
    <cfRule type="cellIs" dxfId="16359" priority="134226" stopIfTrue="1" operator="equal">
      <formula>-1</formula>
    </cfRule>
  </conditionalFormatting>
  <conditionalFormatting sqref="AX39">
    <cfRule type="cellIs" dxfId="16358" priority="134227" stopIfTrue="1" operator="lessThan">
      <formula>0.5</formula>
    </cfRule>
  </conditionalFormatting>
  <conditionalFormatting sqref="AX39">
    <cfRule type="cellIs" dxfId="16357" priority="134228" stopIfTrue="1" operator="greaterThanOrEqual">
      <formula>0.5</formula>
    </cfRule>
  </conditionalFormatting>
  <conditionalFormatting sqref="AX40">
    <cfRule type="cellIs" dxfId="16356" priority="134229" stopIfTrue="1" operator="equal">
      <formula>-1</formula>
    </cfRule>
  </conditionalFormatting>
  <conditionalFormatting sqref="AX40">
    <cfRule type="cellIs" dxfId="16355" priority="134230" stopIfTrue="1" operator="lessThan">
      <formula>0.5</formula>
    </cfRule>
  </conditionalFormatting>
  <conditionalFormatting sqref="AX40">
    <cfRule type="cellIs" dxfId="16354" priority="134231" stopIfTrue="1" operator="greaterThanOrEqual">
      <formula>0.5</formula>
    </cfRule>
  </conditionalFormatting>
  <conditionalFormatting sqref="AX41">
    <cfRule type="cellIs" dxfId="16353" priority="134232" stopIfTrue="1" operator="equal">
      <formula>-1</formula>
    </cfRule>
  </conditionalFormatting>
  <conditionalFormatting sqref="AX41">
    <cfRule type="cellIs" dxfId="16352" priority="134233" stopIfTrue="1" operator="lessThan">
      <formula>0.5</formula>
    </cfRule>
  </conditionalFormatting>
  <conditionalFormatting sqref="AX41">
    <cfRule type="cellIs" dxfId="16351" priority="134234" stopIfTrue="1" operator="greaterThanOrEqual">
      <formula>0.5</formula>
    </cfRule>
  </conditionalFormatting>
  <conditionalFormatting sqref="AX42">
    <cfRule type="cellIs" dxfId="16350" priority="134235" stopIfTrue="1" operator="equal">
      <formula>-1</formula>
    </cfRule>
  </conditionalFormatting>
  <conditionalFormatting sqref="AX42">
    <cfRule type="cellIs" dxfId="16349" priority="134236" stopIfTrue="1" operator="lessThan">
      <formula>0.5</formula>
    </cfRule>
  </conditionalFormatting>
  <conditionalFormatting sqref="AX42">
    <cfRule type="cellIs" dxfId="16348" priority="134237" stopIfTrue="1" operator="greaterThanOrEqual">
      <formula>0.5</formula>
    </cfRule>
  </conditionalFormatting>
  <conditionalFormatting sqref="AX43">
    <cfRule type="cellIs" dxfId="16347" priority="134238" stopIfTrue="1" operator="equal">
      <formula>-1</formula>
    </cfRule>
  </conditionalFormatting>
  <conditionalFormatting sqref="AX43">
    <cfRule type="cellIs" dxfId="16346" priority="134239" stopIfTrue="1" operator="lessThan">
      <formula>0.5</formula>
    </cfRule>
  </conditionalFormatting>
  <conditionalFormatting sqref="AX43">
    <cfRule type="cellIs" dxfId="16345" priority="134240" stopIfTrue="1" operator="greaterThanOrEqual">
      <formula>0.5</formula>
    </cfRule>
  </conditionalFormatting>
  <conditionalFormatting sqref="AX44">
    <cfRule type="cellIs" dxfId="16344" priority="134241" stopIfTrue="1" operator="equal">
      <formula>-1</formula>
    </cfRule>
  </conditionalFormatting>
  <conditionalFormatting sqref="AX44">
    <cfRule type="cellIs" dxfId="16343" priority="134242" stopIfTrue="1" operator="lessThan">
      <formula>0.5</formula>
    </cfRule>
  </conditionalFormatting>
  <conditionalFormatting sqref="AX44">
    <cfRule type="cellIs" dxfId="16342" priority="134243" stopIfTrue="1" operator="greaterThanOrEqual">
      <formula>0.5</formula>
    </cfRule>
  </conditionalFormatting>
  <conditionalFormatting sqref="AX45">
    <cfRule type="cellIs" dxfId="16341" priority="134244" stopIfTrue="1" operator="equal">
      <formula>-1</formula>
    </cfRule>
  </conditionalFormatting>
  <conditionalFormatting sqref="AX45">
    <cfRule type="cellIs" dxfId="16340" priority="134245" stopIfTrue="1" operator="lessThan">
      <formula>0.5</formula>
    </cfRule>
  </conditionalFormatting>
  <conditionalFormatting sqref="AX45">
    <cfRule type="cellIs" dxfId="16339" priority="134246" stopIfTrue="1" operator="greaterThanOrEqual">
      <formula>0.5</formula>
    </cfRule>
  </conditionalFormatting>
  <conditionalFormatting sqref="AX46">
    <cfRule type="cellIs" dxfId="16338" priority="134247" stopIfTrue="1" operator="equal">
      <formula>-1</formula>
    </cfRule>
  </conditionalFormatting>
  <conditionalFormatting sqref="AX46">
    <cfRule type="cellIs" dxfId="16337" priority="134248" stopIfTrue="1" operator="lessThan">
      <formula>0.5</formula>
    </cfRule>
  </conditionalFormatting>
  <conditionalFormatting sqref="AX46">
    <cfRule type="cellIs" dxfId="16336" priority="134249" stopIfTrue="1" operator="greaterThanOrEqual">
      <formula>0.5</formula>
    </cfRule>
  </conditionalFormatting>
  <conditionalFormatting sqref="AX47">
    <cfRule type="cellIs" dxfId="16335" priority="134250" stopIfTrue="1" operator="equal">
      <formula>-1</formula>
    </cfRule>
  </conditionalFormatting>
  <conditionalFormatting sqref="AX47">
    <cfRule type="cellIs" dxfId="16334" priority="134251" stopIfTrue="1" operator="lessThan">
      <formula>0.5</formula>
    </cfRule>
  </conditionalFormatting>
  <conditionalFormatting sqref="AX47">
    <cfRule type="cellIs" dxfId="16333" priority="134252" stopIfTrue="1" operator="greaterThanOrEqual">
      <formula>0.5</formula>
    </cfRule>
  </conditionalFormatting>
  <conditionalFormatting sqref="AX48">
    <cfRule type="cellIs" dxfId="16332" priority="134253" stopIfTrue="1" operator="equal">
      <formula>-1</formula>
    </cfRule>
  </conditionalFormatting>
  <conditionalFormatting sqref="AX48">
    <cfRule type="cellIs" dxfId="16331" priority="134254" stopIfTrue="1" operator="lessThan">
      <formula>0.5</formula>
    </cfRule>
  </conditionalFormatting>
  <conditionalFormatting sqref="AX48">
    <cfRule type="cellIs" dxfId="16330" priority="134255" stopIfTrue="1" operator="greaterThanOrEqual">
      <formula>0.5</formula>
    </cfRule>
  </conditionalFormatting>
  <conditionalFormatting sqref="AX49">
    <cfRule type="cellIs" dxfId="16329" priority="134256" stopIfTrue="1" operator="equal">
      <formula>-1</formula>
    </cfRule>
  </conditionalFormatting>
  <conditionalFormatting sqref="AX49">
    <cfRule type="cellIs" dxfId="16328" priority="134257" stopIfTrue="1" operator="lessThan">
      <formula>0.5</formula>
    </cfRule>
  </conditionalFormatting>
  <conditionalFormatting sqref="AX49">
    <cfRule type="cellIs" dxfId="16327" priority="134258" stopIfTrue="1" operator="greaterThanOrEqual">
      <formula>0.5</formula>
    </cfRule>
  </conditionalFormatting>
  <conditionalFormatting sqref="AX50">
    <cfRule type="cellIs" dxfId="16326" priority="134259" stopIfTrue="1" operator="equal">
      <formula>-1</formula>
    </cfRule>
  </conditionalFormatting>
  <conditionalFormatting sqref="AX50">
    <cfRule type="cellIs" dxfId="16325" priority="134260" stopIfTrue="1" operator="lessThan">
      <formula>0.5</formula>
    </cfRule>
  </conditionalFormatting>
  <conditionalFormatting sqref="AX50">
    <cfRule type="cellIs" dxfId="16324" priority="134261" stopIfTrue="1" operator="greaterThanOrEqual">
      <formula>0.5</formula>
    </cfRule>
  </conditionalFormatting>
  <conditionalFormatting sqref="AX51">
    <cfRule type="cellIs" dxfId="16323" priority="134262" stopIfTrue="1" operator="equal">
      <formula>-1</formula>
    </cfRule>
  </conditionalFormatting>
  <conditionalFormatting sqref="AX51">
    <cfRule type="cellIs" dxfId="16322" priority="134263" stopIfTrue="1" operator="lessThan">
      <formula>0.5</formula>
    </cfRule>
  </conditionalFormatting>
  <conditionalFormatting sqref="AX51">
    <cfRule type="cellIs" dxfId="16321" priority="134264" stopIfTrue="1" operator="greaterThanOrEqual">
      <formula>0.5</formula>
    </cfRule>
  </conditionalFormatting>
  <conditionalFormatting sqref="AX52">
    <cfRule type="cellIs" dxfId="16320" priority="134265" stopIfTrue="1" operator="equal">
      <formula>-1</formula>
    </cfRule>
  </conditionalFormatting>
  <conditionalFormatting sqref="AX52">
    <cfRule type="cellIs" dxfId="16319" priority="134266" stopIfTrue="1" operator="lessThan">
      <formula>0.5</formula>
    </cfRule>
  </conditionalFormatting>
  <conditionalFormatting sqref="AX52">
    <cfRule type="cellIs" dxfId="16318" priority="134267" stopIfTrue="1" operator="greaterThanOrEqual">
      <formula>0.5</formula>
    </cfRule>
  </conditionalFormatting>
  <conditionalFormatting sqref="AX53">
    <cfRule type="cellIs" dxfId="16317" priority="134268" stopIfTrue="1" operator="equal">
      <formula>-1</formula>
    </cfRule>
  </conditionalFormatting>
  <conditionalFormatting sqref="AX53">
    <cfRule type="cellIs" dxfId="16316" priority="134269" stopIfTrue="1" operator="lessThan">
      <formula>0.5</formula>
    </cfRule>
  </conditionalFormatting>
  <conditionalFormatting sqref="AX53">
    <cfRule type="cellIs" dxfId="16315" priority="134270" stopIfTrue="1" operator="greaterThanOrEqual">
      <formula>0.5</formula>
    </cfRule>
  </conditionalFormatting>
  <conditionalFormatting sqref="AX54">
    <cfRule type="cellIs" dxfId="16314" priority="134271" stopIfTrue="1" operator="equal">
      <formula>-1</formula>
    </cfRule>
  </conditionalFormatting>
  <conditionalFormatting sqref="AX54">
    <cfRule type="cellIs" dxfId="16313" priority="134272" stopIfTrue="1" operator="lessThan">
      <formula>0.5</formula>
    </cfRule>
  </conditionalFormatting>
  <conditionalFormatting sqref="AX54">
    <cfRule type="cellIs" dxfId="16312" priority="134273" stopIfTrue="1" operator="greaterThanOrEqual">
      <formula>0.5</formula>
    </cfRule>
  </conditionalFormatting>
  <conditionalFormatting sqref="AX55">
    <cfRule type="cellIs" dxfId="16311" priority="134274" stopIfTrue="1" operator="equal">
      <formula>-1</formula>
    </cfRule>
  </conditionalFormatting>
  <conditionalFormatting sqref="AX55">
    <cfRule type="cellIs" dxfId="16310" priority="134275" stopIfTrue="1" operator="lessThan">
      <formula>0.5</formula>
    </cfRule>
  </conditionalFormatting>
  <conditionalFormatting sqref="AX55">
    <cfRule type="cellIs" dxfId="16309" priority="134276" stopIfTrue="1" operator="greaterThanOrEqual">
      <formula>0.5</formula>
    </cfRule>
  </conditionalFormatting>
  <conditionalFormatting sqref="AX56">
    <cfRule type="cellIs" dxfId="16308" priority="134277" stopIfTrue="1" operator="equal">
      <formula>-1</formula>
    </cfRule>
  </conditionalFormatting>
  <conditionalFormatting sqref="AX56">
    <cfRule type="cellIs" dxfId="16307" priority="134278" stopIfTrue="1" operator="lessThan">
      <formula>0.5</formula>
    </cfRule>
  </conditionalFormatting>
  <conditionalFormatting sqref="AX56">
    <cfRule type="cellIs" dxfId="16306" priority="134279" stopIfTrue="1" operator="greaterThanOrEqual">
      <formula>0.5</formula>
    </cfRule>
  </conditionalFormatting>
  <conditionalFormatting sqref="AX57">
    <cfRule type="cellIs" dxfId="16305" priority="134280" stopIfTrue="1" operator="equal">
      <formula>-1</formula>
    </cfRule>
  </conditionalFormatting>
  <conditionalFormatting sqref="AX57">
    <cfRule type="cellIs" dxfId="16304" priority="134281" stopIfTrue="1" operator="lessThan">
      <formula>0.5</formula>
    </cfRule>
  </conditionalFormatting>
  <conditionalFormatting sqref="AX57">
    <cfRule type="cellIs" dxfId="16303" priority="134282" stopIfTrue="1" operator="greaterThanOrEqual">
      <formula>0.5</formula>
    </cfRule>
  </conditionalFormatting>
  <conditionalFormatting sqref="AX58">
    <cfRule type="cellIs" dxfId="16302" priority="134283" stopIfTrue="1" operator="equal">
      <formula>-1</formula>
    </cfRule>
  </conditionalFormatting>
  <conditionalFormatting sqref="AX58">
    <cfRule type="cellIs" dxfId="16301" priority="134284" stopIfTrue="1" operator="lessThan">
      <formula>0.5</formula>
    </cfRule>
  </conditionalFormatting>
  <conditionalFormatting sqref="AX58">
    <cfRule type="cellIs" dxfId="16300" priority="134285" stopIfTrue="1" operator="greaterThanOrEqual">
      <formula>0.5</formula>
    </cfRule>
  </conditionalFormatting>
  <conditionalFormatting sqref="AZ39">
    <cfRule type="cellIs" dxfId="16299" priority="134286" stopIfTrue="1" operator="equal">
      <formula>-1</formula>
    </cfRule>
  </conditionalFormatting>
  <conditionalFormatting sqref="AZ39">
    <cfRule type="cellIs" dxfId="16298" priority="134287" stopIfTrue="1" operator="lessThan">
      <formula>0.5</formula>
    </cfRule>
  </conditionalFormatting>
  <conditionalFormatting sqref="AZ39">
    <cfRule type="cellIs" dxfId="16297" priority="134288" stopIfTrue="1" operator="greaterThanOrEqual">
      <formula>0.5</formula>
    </cfRule>
  </conditionalFormatting>
  <conditionalFormatting sqref="AZ40">
    <cfRule type="cellIs" dxfId="16296" priority="134289" stopIfTrue="1" operator="equal">
      <formula>-1</formula>
    </cfRule>
  </conditionalFormatting>
  <conditionalFormatting sqref="AZ40">
    <cfRule type="cellIs" dxfId="16295" priority="134290" stopIfTrue="1" operator="lessThan">
      <formula>0.5</formula>
    </cfRule>
  </conditionalFormatting>
  <conditionalFormatting sqref="AZ40">
    <cfRule type="cellIs" dxfId="16294" priority="134291" stopIfTrue="1" operator="greaterThanOrEqual">
      <formula>0.5</formula>
    </cfRule>
  </conditionalFormatting>
  <conditionalFormatting sqref="AZ41">
    <cfRule type="cellIs" dxfId="16293" priority="134292" stopIfTrue="1" operator="equal">
      <formula>-1</formula>
    </cfRule>
  </conditionalFormatting>
  <conditionalFormatting sqref="AZ41">
    <cfRule type="cellIs" dxfId="16292" priority="134293" stopIfTrue="1" operator="lessThan">
      <formula>0.5</formula>
    </cfRule>
  </conditionalFormatting>
  <conditionalFormatting sqref="AZ41">
    <cfRule type="cellIs" dxfId="16291" priority="134294" stopIfTrue="1" operator="greaterThanOrEqual">
      <formula>0.5</formula>
    </cfRule>
  </conditionalFormatting>
  <conditionalFormatting sqref="AZ42">
    <cfRule type="cellIs" dxfId="16290" priority="134295" stopIfTrue="1" operator="equal">
      <formula>-1</formula>
    </cfRule>
  </conditionalFormatting>
  <conditionalFormatting sqref="AZ42">
    <cfRule type="cellIs" dxfId="16289" priority="134296" stopIfTrue="1" operator="lessThan">
      <formula>0.5</formula>
    </cfRule>
  </conditionalFormatting>
  <conditionalFormatting sqref="AZ42">
    <cfRule type="cellIs" dxfId="16288" priority="134297" stopIfTrue="1" operator="greaterThanOrEqual">
      <formula>0.5</formula>
    </cfRule>
  </conditionalFormatting>
  <conditionalFormatting sqref="AZ43">
    <cfRule type="cellIs" dxfId="16287" priority="134298" stopIfTrue="1" operator="equal">
      <formula>-1</formula>
    </cfRule>
  </conditionalFormatting>
  <conditionalFormatting sqref="AZ43">
    <cfRule type="cellIs" dxfId="16286" priority="134299" stopIfTrue="1" operator="lessThan">
      <formula>0.5</formula>
    </cfRule>
  </conditionalFormatting>
  <conditionalFormatting sqref="AZ43">
    <cfRule type="cellIs" dxfId="16285" priority="134300" stopIfTrue="1" operator="greaterThanOrEqual">
      <formula>0.5</formula>
    </cfRule>
  </conditionalFormatting>
  <conditionalFormatting sqref="AZ44">
    <cfRule type="cellIs" dxfId="16284" priority="134301" stopIfTrue="1" operator="equal">
      <formula>-1</formula>
    </cfRule>
  </conditionalFormatting>
  <conditionalFormatting sqref="AZ44">
    <cfRule type="cellIs" dxfId="16283" priority="134302" stopIfTrue="1" operator="lessThan">
      <formula>0.5</formula>
    </cfRule>
  </conditionalFormatting>
  <conditionalFormatting sqref="AZ44">
    <cfRule type="cellIs" dxfId="16282" priority="134303" stopIfTrue="1" operator="greaterThanOrEqual">
      <formula>0.5</formula>
    </cfRule>
  </conditionalFormatting>
  <conditionalFormatting sqref="AZ45">
    <cfRule type="cellIs" dxfId="16281" priority="134304" stopIfTrue="1" operator="equal">
      <formula>-1</formula>
    </cfRule>
  </conditionalFormatting>
  <conditionalFormatting sqref="AZ45">
    <cfRule type="cellIs" dxfId="16280" priority="134305" stopIfTrue="1" operator="lessThan">
      <formula>0.5</formula>
    </cfRule>
  </conditionalFormatting>
  <conditionalFormatting sqref="AZ45">
    <cfRule type="cellIs" dxfId="16279" priority="134306" stopIfTrue="1" operator="greaterThanOrEqual">
      <formula>0.5</formula>
    </cfRule>
  </conditionalFormatting>
  <conditionalFormatting sqref="AZ46">
    <cfRule type="cellIs" dxfId="16278" priority="134307" stopIfTrue="1" operator="equal">
      <formula>-1</formula>
    </cfRule>
  </conditionalFormatting>
  <conditionalFormatting sqref="AZ46">
    <cfRule type="cellIs" dxfId="16277" priority="134308" stopIfTrue="1" operator="lessThan">
      <formula>0.5</formula>
    </cfRule>
  </conditionalFormatting>
  <conditionalFormatting sqref="AZ46">
    <cfRule type="cellIs" dxfId="16276" priority="134309" stopIfTrue="1" operator="greaterThanOrEqual">
      <formula>0.5</formula>
    </cfRule>
  </conditionalFormatting>
  <conditionalFormatting sqref="AZ47">
    <cfRule type="cellIs" dxfId="16275" priority="134310" stopIfTrue="1" operator="equal">
      <formula>-1</formula>
    </cfRule>
  </conditionalFormatting>
  <conditionalFormatting sqref="AZ47">
    <cfRule type="cellIs" dxfId="16274" priority="134311" stopIfTrue="1" operator="lessThan">
      <formula>0.5</formula>
    </cfRule>
  </conditionalFormatting>
  <conditionalFormatting sqref="AZ47">
    <cfRule type="cellIs" dxfId="16273" priority="134312" stopIfTrue="1" operator="greaterThanOrEqual">
      <formula>0.5</formula>
    </cfRule>
  </conditionalFormatting>
  <conditionalFormatting sqref="AZ48">
    <cfRule type="cellIs" dxfId="16272" priority="134313" stopIfTrue="1" operator="equal">
      <formula>-1</formula>
    </cfRule>
  </conditionalFormatting>
  <conditionalFormatting sqref="AZ48">
    <cfRule type="cellIs" dxfId="16271" priority="134314" stopIfTrue="1" operator="lessThan">
      <formula>0.5</formula>
    </cfRule>
  </conditionalFormatting>
  <conditionalFormatting sqref="AZ48">
    <cfRule type="cellIs" dxfId="16270" priority="134315" stopIfTrue="1" operator="greaterThanOrEqual">
      <formula>0.5</formula>
    </cfRule>
  </conditionalFormatting>
  <conditionalFormatting sqref="AZ49">
    <cfRule type="cellIs" dxfId="16269" priority="134316" stopIfTrue="1" operator="equal">
      <formula>-1</formula>
    </cfRule>
  </conditionalFormatting>
  <conditionalFormatting sqref="AZ49">
    <cfRule type="cellIs" dxfId="16268" priority="134317" stopIfTrue="1" operator="lessThan">
      <formula>0.5</formula>
    </cfRule>
  </conditionalFormatting>
  <conditionalFormatting sqref="AZ49">
    <cfRule type="cellIs" dxfId="16267" priority="134318" stopIfTrue="1" operator="greaterThanOrEqual">
      <formula>0.5</formula>
    </cfRule>
  </conditionalFormatting>
  <conditionalFormatting sqref="AZ50">
    <cfRule type="cellIs" dxfId="16266" priority="134319" stopIfTrue="1" operator="equal">
      <formula>-1</formula>
    </cfRule>
  </conditionalFormatting>
  <conditionalFormatting sqref="AZ50">
    <cfRule type="cellIs" dxfId="16265" priority="134320" stopIfTrue="1" operator="lessThan">
      <formula>0.5</formula>
    </cfRule>
  </conditionalFormatting>
  <conditionalFormatting sqref="AZ50">
    <cfRule type="cellIs" dxfId="16264" priority="134321" stopIfTrue="1" operator="greaterThanOrEqual">
      <formula>0.5</formula>
    </cfRule>
  </conditionalFormatting>
  <conditionalFormatting sqref="AZ51">
    <cfRule type="cellIs" dxfId="16263" priority="134322" stopIfTrue="1" operator="equal">
      <formula>-1</formula>
    </cfRule>
  </conditionalFormatting>
  <conditionalFormatting sqref="AZ51">
    <cfRule type="cellIs" dxfId="16262" priority="134323" stopIfTrue="1" operator="lessThan">
      <formula>0.5</formula>
    </cfRule>
  </conditionalFormatting>
  <conditionalFormatting sqref="AZ51">
    <cfRule type="cellIs" dxfId="16261" priority="134324" stopIfTrue="1" operator="greaterThanOrEqual">
      <formula>0.5</formula>
    </cfRule>
  </conditionalFormatting>
  <conditionalFormatting sqref="AZ52">
    <cfRule type="cellIs" dxfId="16260" priority="134325" stopIfTrue="1" operator="equal">
      <formula>-1</formula>
    </cfRule>
  </conditionalFormatting>
  <conditionalFormatting sqref="AZ52">
    <cfRule type="cellIs" dxfId="16259" priority="134326" stopIfTrue="1" operator="lessThan">
      <formula>0.5</formula>
    </cfRule>
  </conditionalFormatting>
  <conditionalFormatting sqref="AZ52">
    <cfRule type="cellIs" dxfId="16258" priority="134327" stopIfTrue="1" operator="greaterThanOrEqual">
      <formula>0.5</formula>
    </cfRule>
  </conditionalFormatting>
  <conditionalFormatting sqref="AZ53">
    <cfRule type="cellIs" dxfId="16257" priority="134328" stopIfTrue="1" operator="equal">
      <formula>-1</formula>
    </cfRule>
  </conditionalFormatting>
  <conditionalFormatting sqref="AZ53">
    <cfRule type="cellIs" dxfId="16256" priority="134329" stopIfTrue="1" operator="lessThan">
      <formula>0.5</formula>
    </cfRule>
  </conditionalFormatting>
  <conditionalFormatting sqref="AZ53">
    <cfRule type="cellIs" dxfId="16255" priority="134330" stopIfTrue="1" operator="greaterThanOrEqual">
      <formula>0.5</formula>
    </cfRule>
  </conditionalFormatting>
  <conditionalFormatting sqref="AZ54">
    <cfRule type="cellIs" dxfId="16254" priority="134331" stopIfTrue="1" operator="equal">
      <formula>-1</formula>
    </cfRule>
  </conditionalFormatting>
  <conditionalFormatting sqref="AZ54">
    <cfRule type="cellIs" dxfId="16253" priority="134332" stopIfTrue="1" operator="lessThan">
      <formula>0.5</formula>
    </cfRule>
  </conditionalFormatting>
  <conditionalFormatting sqref="AZ54">
    <cfRule type="cellIs" dxfId="16252" priority="134333" stopIfTrue="1" operator="greaterThanOrEqual">
      <formula>0.5</formula>
    </cfRule>
  </conditionalFormatting>
  <conditionalFormatting sqref="AZ55">
    <cfRule type="cellIs" dxfId="16251" priority="134334" stopIfTrue="1" operator="equal">
      <formula>-1</formula>
    </cfRule>
  </conditionalFormatting>
  <conditionalFormatting sqref="AZ55">
    <cfRule type="cellIs" dxfId="16250" priority="134335" stopIfTrue="1" operator="lessThan">
      <formula>0.5</formula>
    </cfRule>
  </conditionalFormatting>
  <conditionalFormatting sqref="AZ55">
    <cfRule type="cellIs" dxfId="16249" priority="134336" stopIfTrue="1" operator="greaterThanOrEqual">
      <formula>0.5</formula>
    </cfRule>
  </conditionalFormatting>
  <conditionalFormatting sqref="AZ56">
    <cfRule type="cellIs" dxfId="16248" priority="134337" stopIfTrue="1" operator="equal">
      <formula>-1</formula>
    </cfRule>
  </conditionalFormatting>
  <conditionalFormatting sqref="AZ56">
    <cfRule type="cellIs" dxfId="16247" priority="134338" stopIfTrue="1" operator="lessThan">
      <formula>0.5</formula>
    </cfRule>
  </conditionalFormatting>
  <conditionalFormatting sqref="AZ56">
    <cfRule type="cellIs" dxfId="16246" priority="134339" stopIfTrue="1" operator="greaterThanOrEqual">
      <formula>0.5</formula>
    </cfRule>
  </conditionalFormatting>
  <conditionalFormatting sqref="AZ57">
    <cfRule type="cellIs" dxfId="16245" priority="134340" stopIfTrue="1" operator="equal">
      <formula>-1</formula>
    </cfRule>
  </conditionalFormatting>
  <conditionalFormatting sqref="AZ57">
    <cfRule type="cellIs" dxfId="16244" priority="134341" stopIfTrue="1" operator="lessThan">
      <formula>0.5</formula>
    </cfRule>
  </conditionalFormatting>
  <conditionalFormatting sqref="AZ57">
    <cfRule type="cellIs" dxfId="16243" priority="134342" stopIfTrue="1" operator="greaterThanOrEqual">
      <formula>0.5</formula>
    </cfRule>
  </conditionalFormatting>
  <conditionalFormatting sqref="AZ58">
    <cfRule type="cellIs" dxfId="16242" priority="134343" stopIfTrue="1" operator="equal">
      <formula>-1</formula>
    </cfRule>
  </conditionalFormatting>
  <conditionalFormatting sqref="AZ58">
    <cfRule type="cellIs" dxfId="16241" priority="134344" stopIfTrue="1" operator="lessThan">
      <formula>0.5</formula>
    </cfRule>
  </conditionalFormatting>
  <conditionalFormatting sqref="AZ58">
    <cfRule type="cellIs" dxfId="16240" priority="134345" stopIfTrue="1" operator="greaterThanOrEqual">
      <formula>0.5</formula>
    </cfRule>
  </conditionalFormatting>
  <conditionalFormatting sqref="BB39">
    <cfRule type="cellIs" dxfId="16239" priority="134346" stopIfTrue="1" operator="equal">
      <formula>-1</formula>
    </cfRule>
  </conditionalFormatting>
  <conditionalFormatting sqref="BB39">
    <cfRule type="cellIs" dxfId="16238" priority="134347" stopIfTrue="1" operator="lessThan">
      <formula>0.5</formula>
    </cfRule>
  </conditionalFormatting>
  <conditionalFormatting sqref="BB39">
    <cfRule type="cellIs" dxfId="16237" priority="134348" stopIfTrue="1" operator="greaterThanOrEqual">
      <formula>0.5</formula>
    </cfRule>
  </conditionalFormatting>
  <conditionalFormatting sqref="BB40">
    <cfRule type="cellIs" dxfId="16236" priority="134349" stopIfTrue="1" operator="equal">
      <formula>-1</formula>
    </cfRule>
  </conditionalFormatting>
  <conditionalFormatting sqref="BB40">
    <cfRule type="cellIs" dxfId="16235" priority="134350" stopIfTrue="1" operator="lessThan">
      <formula>0.5</formula>
    </cfRule>
  </conditionalFormatting>
  <conditionalFormatting sqref="BB40">
    <cfRule type="cellIs" dxfId="16234" priority="134351" stopIfTrue="1" operator="greaterThanOrEqual">
      <formula>0.5</formula>
    </cfRule>
  </conditionalFormatting>
  <conditionalFormatting sqref="BB41">
    <cfRule type="cellIs" dxfId="16233" priority="134352" stopIfTrue="1" operator="equal">
      <formula>-1</formula>
    </cfRule>
  </conditionalFormatting>
  <conditionalFormatting sqref="BB41">
    <cfRule type="cellIs" dxfId="16232" priority="134353" stopIfTrue="1" operator="lessThan">
      <formula>0.5</formula>
    </cfRule>
  </conditionalFormatting>
  <conditionalFormatting sqref="BB41">
    <cfRule type="cellIs" dxfId="16231" priority="134354" stopIfTrue="1" operator="greaterThanOrEqual">
      <formula>0.5</formula>
    </cfRule>
  </conditionalFormatting>
  <conditionalFormatting sqref="BB42">
    <cfRule type="cellIs" dxfId="16230" priority="134355" stopIfTrue="1" operator="equal">
      <formula>-1</formula>
    </cfRule>
  </conditionalFormatting>
  <conditionalFormatting sqref="BB42">
    <cfRule type="cellIs" dxfId="16229" priority="134356" stopIfTrue="1" operator="lessThan">
      <formula>0.5</formula>
    </cfRule>
  </conditionalFormatting>
  <conditionalFormatting sqref="BB42">
    <cfRule type="cellIs" dxfId="16228" priority="134357" stopIfTrue="1" operator="greaterThanOrEqual">
      <formula>0.5</formula>
    </cfRule>
  </conditionalFormatting>
  <conditionalFormatting sqref="BB43">
    <cfRule type="cellIs" dxfId="16227" priority="134358" stopIfTrue="1" operator="equal">
      <formula>-1</formula>
    </cfRule>
  </conditionalFormatting>
  <conditionalFormatting sqref="BB43">
    <cfRule type="cellIs" dxfId="16226" priority="134359" stopIfTrue="1" operator="lessThan">
      <formula>0.5</formula>
    </cfRule>
  </conditionalFormatting>
  <conditionalFormatting sqref="BB43">
    <cfRule type="cellIs" dxfId="16225" priority="134360" stopIfTrue="1" operator="greaterThanOrEqual">
      <formula>0.5</formula>
    </cfRule>
  </conditionalFormatting>
  <conditionalFormatting sqref="BB44">
    <cfRule type="cellIs" dxfId="16224" priority="134361" stopIfTrue="1" operator="equal">
      <formula>-1</formula>
    </cfRule>
  </conditionalFormatting>
  <conditionalFormatting sqref="BB44">
    <cfRule type="cellIs" dxfId="16223" priority="134362" stopIfTrue="1" operator="lessThan">
      <formula>0.5</formula>
    </cfRule>
  </conditionalFormatting>
  <conditionalFormatting sqref="BB44">
    <cfRule type="cellIs" dxfId="16222" priority="134363" stopIfTrue="1" operator="greaterThanOrEqual">
      <formula>0.5</formula>
    </cfRule>
  </conditionalFormatting>
  <conditionalFormatting sqref="BB45">
    <cfRule type="cellIs" dxfId="16221" priority="134364" stopIfTrue="1" operator="equal">
      <formula>-1</formula>
    </cfRule>
  </conditionalFormatting>
  <conditionalFormatting sqref="BB45">
    <cfRule type="cellIs" dxfId="16220" priority="134365" stopIfTrue="1" operator="lessThan">
      <formula>0.5</formula>
    </cfRule>
  </conditionalFormatting>
  <conditionalFormatting sqref="BB45">
    <cfRule type="cellIs" dxfId="16219" priority="134366" stopIfTrue="1" operator="greaterThanOrEqual">
      <formula>0.5</formula>
    </cfRule>
  </conditionalFormatting>
  <conditionalFormatting sqref="BB46">
    <cfRule type="cellIs" dxfId="16218" priority="134367" stopIfTrue="1" operator="equal">
      <formula>-1</formula>
    </cfRule>
  </conditionalFormatting>
  <conditionalFormatting sqref="BB46">
    <cfRule type="cellIs" dxfId="16217" priority="134368" stopIfTrue="1" operator="lessThan">
      <formula>0.5</formula>
    </cfRule>
  </conditionalFormatting>
  <conditionalFormatting sqref="BB46">
    <cfRule type="cellIs" dxfId="16216" priority="134369" stopIfTrue="1" operator="greaterThanOrEqual">
      <formula>0.5</formula>
    </cfRule>
  </conditionalFormatting>
  <conditionalFormatting sqref="BB47">
    <cfRule type="cellIs" dxfId="16215" priority="134370" stopIfTrue="1" operator="equal">
      <formula>-1</formula>
    </cfRule>
  </conditionalFormatting>
  <conditionalFormatting sqref="BB47">
    <cfRule type="cellIs" dxfId="16214" priority="134371" stopIfTrue="1" operator="lessThan">
      <formula>0.5</formula>
    </cfRule>
  </conditionalFormatting>
  <conditionalFormatting sqref="BB47">
    <cfRule type="cellIs" dxfId="16213" priority="134372" stopIfTrue="1" operator="greaterThanOrEqual">
      <formula>0.5</formula>
    </cfRule>
  </conditionalFormatting>
  <conditionalFormatting sqref="BB48">
    <cfRule type="cellIs" dxfId="16212" priority="134373" stopIfTrue="1" operator="equal">
      <formula>-1</formula>
    </cfRule>
  </conditionalFormatting>
  <conditionalFormatting sqref="BB48">
    <cfRule type="cellIs" dxfId="16211" priority="134374" stopIfTrue="1" operator="lessThan">
      <formula>0.5</formula>
    </cfRule>
  </conditionalFormatting>
  <conditionalFormatting sqref="BB48">
    <cfRule type="cellIs" dxfId="16210" priority="134375" stopIfTrue="1" operator="greaterThanOrEqual">
      <formula>0.5</formula>
    </cfRule>
  </conditionalFormatting>
  <conditionalFormatting sqref="BB49">
    <cfRule type="cellIs" dxfId="16209" priority="134376" stopIfTrue="1" operator="equal">
      <formula>-1</formula>
    </cfRule>
  </conditionalFormatting>
  <conditionalFormatting sqref="BB49">
    <cfRule type="cellIs" dxfId="16208" priority="134377" stopIfTrue="1" operator="lessThan">
      <formula>0.5</formula>
    </cfRule>
  </conditionalFormatting>
  <conditionalFormatting sqref="BB49">
    <cfRule type="cellIs" dxfId="16207" priority="134378" stopIfTrue="1" operator="greaterThanOrEqual">
      <formula>0.5</formula>
    </cfRule>
  </conditionalFormatting>
  <conditionalFormatting sqref="BB50">
    <cfRule type="cellIs" dxfId="16206" priority="134379" stopIfTrue="1" operator="equal">
      <formula>-1</formula>
    </cfRule>
  </conditionalFormatting>
  <conditionalFormatting sqref="BB50">
    <cfRule type="cellIs" dxfId="16205" priority="134380" stopIfTrue="1" operator="lessThan">
      <formula>0.5</formula>
    </cfRule>
  </conditionalFormatting>
  <conditionalFormatting sqref="BB50">
    <cfRule type="cellIs" dxfId="16204" priority="134381" stopIfTrue="1" operator="greaterThanOrEqual">
      <formula>0.5</formula>
    </cfRule>
  </conditionalFormatting>
  <conditionalFormatting sqref="BB51">
    <cfRule type="cellIs" dxfId="16203" priority="134382" stopIfTrue="1" operator="equal">
      <formula>-1</formula>
    </cfRule>
  </conditionalFormatting>
  <conditionalFormatting sqref="BB51">
    <cfRule type="cellIs" dxfId="16202" priority="134383" stopIfTrue="1" operator="lessThan">
      <formula>0.5</formula>
    </cfRule>
  </conditionalFormatting>
  <conditionalFormatting sqref="BB51">
    <cfRule type="cellIs" dxfId="16201" priority="134384" stopIfTrue="1" operator="greaterThanOrEqual">
      <formula>0.5</formula>
    </cfRule>
  </conditionalFormatting>
  <conditionalFormatting sqref="BB52">
    <cfRule type="cellIs" dxfId="16200" priority="134385" stopIfTrue="1" operator="equal">
      <formula>-1</formula>
    </cfRule>
  </conditionalFormatting>
  <conditionalFormatting sqref="BB52">
    <cfRule type="cellIs" dxfId="16199" priority="134386" stopIfTrue="1" operator="lessThan">
      <formula>0.5</formula>
    </cfRule>
  </conditionalFormatting>
  <conditionalFormatting sqref="BB52">
    <cfRule type="cellIs" dxfId="16198" priority="134387" stopIfTrue="1" operator="greaterThanOrEqual">
      <formula>0.5</formula>
    </cfRule>
  </conditionalFormatting>
  <conditionalFormatting sqref="BB53">
    <cfRule type="cellIs" dxfId="16197" priority="134388" stopIfTrue="1" operator="equal">
      <formula>-1</formula>
    </cfRule>
  </conditionalFormatting>
  <conditionalFormatting sqref="BB53">
    <cfRule type="cellIs" dxfId="16196" priority="134389" stopIfTrue="1" operator="lessThan">
      <formula>0.5</formula>
    </cfRule>
  </conditionalFormatting>
  <conditionalFormatting sqref="BB53">
    <cfRule type="cellIs" dxfId="16195" priority="134390" stopIfTrue="1" operator="greaterThanOrEqual">
      <formula>0.5</formula>
    </cfRule>
  </conditionalFormatting>
  <conditionalFormatting sqref="BB54">
    <cfRule type="cellIs" dxfId="16194" priority="134391" stopIfTrue="1" operator="equal">
      <formula>-1</formula>
    </cfRule>
  </conditionalFormatting>
  <conditionalFormatting sqref="BB54">
    <cfRule type="cellIs" dxfId="16193" priority="134392" stopIfTrue="1" operator="lessThan">
      <formula>0.5</formula>
    </cfRule>
  </conditionalFormatting>
  <conditionalFormatting sqref="BB54">
    <cfRule type="cellIs" dxfId="16192" priority="134393" stopIfTrue="1" operator="greaterThanOrEqual">
      <formula>0.5</formula>
    </cfRule>
  </conditionalFormatting>
  <conditionalFormatting sqref="BB55">
    <cfRule type="cellIs" dxfId="16191" priority="134394" stopIfTrue="1" operator="equal">
      <formula>-1</formula>
    </cfRule>
  </conditionalFormatting>
  <conditionalFormatting sqref="BB55">
    <cfRule type="cellIs" dxfId="16190" priority="134395" stopIfTrue="1" operator="lessThan">
      <formula>0.5</formula>
    </cfRule>
  </conditionalFormatting>
  <conditionalFormatting sqref="BB55">
    <cfRule type="cellIs" dxfId="16189" priority="134396" stopIfTrue="1" operator="greaterThanOrEqual">
      <formula>0.5</formula>
    </cfRule>
  </conditionalFormatting>
  <conditionalFormatting sqref="BB56">
    <cfRule type="cellIs" dxfId="16188" priority="134397" stopIfTrue="1" operator="equal">
      <formula>-1</formula>
    </cfRule>
  </conditionalFormatting>
  <conditionalFormatting sqref="BB56">
    <cfRule type="cellIs" dxfId="16187" priority="134398" stopIfTrue="1" operator="lessThan">
      <formula>0.5</formula>
    </cfRule>
  </conditionalFormatting>
  <conditionalFormatting sqref="BB56">
    <cfRule type="cellIs" dxfId="16186" priority="134399" stopIfTrue="1" operator="greaterThanOrEqual">
      <formula>0.5</formula>
    </cfRule>
  </conditionalFormatting>
  <conditionalFormatting sqref="BB57">
    <cfRule type="cellIs" dxfId="16185" priority="134400" stopIfTrue="1" operator="equal">
      <formula>-1</formula>
    </cfRule>
  </conditionalFormatting>
  <conditionalFormatting sqref="BB57">
    <cfRule type="cellIs" dxfId="16184" priority="134401" stopIfTrue="1" operator="lessThan">
      <formula>0.5</formula>
    </cfRule>
  </conditionalFormatting>
  <conditionalFormatting sqref="BB57">
    <cfRule type="cellIs" dxfId="16183" priority="134402" stopIfTrue="1" operator="greaterThanOrEqual">
      <formula>0.5</formula>
    </cfRule>
  </conditionalFormatting>
  <conditionalFormatting sqref="BB58">
    <cfRule type="cellIs" dxfId="16182" priority="134403" stopIfTrue="1" operator="equal">
      <formula>-1</formula>
    </cfRule>
  </conditionalFormatting>
  <conditionalFormatting sqref="BB58">
    <cfRule type="cellIs" dxfId="16181" priority="134404" stopIfTrue="1" operator="lessThan">
      <formula>0.5</formula>
    </cfRule>
  </conditionalFormatting>
  <conditionalFormatting sqref="BB58">
    <cfRule type="cellIs" dxfId="16180" priority="134405" stopIfTrue="1" operator="greaterThanOrEqual">
      <formula>0.5</formula>
    </cfRule>
  </conditionalFormatting>
  <conditionalFormatting sqref="BD39">
    <cfRule type="cellIs" dxfId="16179" priority="134406" stopIfTrue="1" operator="equal">
      <formula>-1</formula>
    </cfRule>
  </conditionalFormatting>
  <conditionalFormatting sqref="BD39">
    <cfRule type="cellIs" dxfId="16178" priority="134407" stopIfTrue="1" operator="lessThan">
      <formula>0.5</formula>
    </cfRule>
  </conditionalFormatting>
  <conditionalFormatting sqref="BD39">
    <cfRule type="cellIs" dxfId="16177" priority="134408" stopIfTrue="1" operator="greaterThanOrEqual">
      <formula>0.5</formula>
    </cfRule>
  </conditionalFormatting>
  <conditionalFormatting sqref="BD40">
    <cfRule type="cellIs" dxfId="16176" priority="134409" stopIfTrue="1" operator="equal">
      <formula>-1</formula>
    </cfRule>
  </conditionalFormatting>
  <conditionalFormatting sqref="BD40">
    <cfRule type="cellIs" dxfId="16175" priority="134410" stopIfTrue="1" operator="lessThan">
      <formula>0.5</formula>
    </cfRule>
  </conditionalFormatting>
  <conditionalFormatting sqref="BD40">
    <cfRule type="cellIs" dxfId="16174" priority="134411" stopIfTrue="1" operator="greaterThanOrEqual">
      <formula>0.5</formula>
    </cfRule>
  </conditionalFormatting>
  <conditionalFormatting sqref="BD41">
    <cfRule type="cellIs" dxfId="16173" priority="134412" stopIfTrue="1" operator="equal">
      <formula>-1</formula>
    </cfRule>
  </conditionalFormatting>
  <conditionalFormatting sqref="BD41">
    <cfRule type="cellIs" dxfId="16172" priority="134413" stopIfTrue="1" operator="lessThan">
      <formula>0.5</formula>
    </cfRule>
  </conditionalFormatting>
  <conditionalFormatting sqref="BD41">
    <cfRule type="cellIs" dxfId="16171" priority="134414" stopIfTrue="1" operator="greaterThanOrEqual">
      <formula>0.5</formula>
    </cfRule>
  </conditionalFormatting>
  <conditionalFormatting sqref="BD42">
    <cfRule type="cellIs" dxfId="16170" priority="134415" stopIfTrue="1" operator="equal">
      <formula>-1</formula>
    </cfRule>
  </conditionalFormatting>
  <conditionalFormatting sqref="BD42">
    <cfRule type="cellIs" dxfId="16169" priority="134416" stopIfTrue="1" operator="lessThan">
      <formula>0.5</formula>
    </cfRule>
  </conditionalFormatting>
  <conditionalFormatting sqref="BD42">
    <cfRule type="cellIs" dxfId="16168" priority="134417" stopIfTrue="1" operator="greaterThanOrEqual">
      <formula>0.5</formula>
    </cfRule>
  </conditionalFormatting>
  <conditionalFormatting sqref="BD43">
    <cfRule type="cellIs" dxfId="16167" priority="134418" stopIfTrue="1" operator="equal">
      <formula>-1</formula>
    </cfRule>
  </conditionalFormatting>
  <conditionalFormatting sqref="BD43">
    <cfRule type="cellIs" dxfId="16166" priority="134419" stopIfTrue="1" operator="lessThan">
      <formula>0.5</formula>
    </cfRule>
  </conditionalFormatting>
  <conditionalFormatting sqref="BD43">
    <cfRule type="cellIs" dxfId="16165" priority="134420" stopIfTrue="1" operator="greaterThanOrEqual">
      <formula>0.5</formula>
    </cfRule>
  </conditionalFormatting>
  <conditionalFormatting sqref="BD44">
    <cfRule type="cellIs" dxfId="16164" priority="134421" stopIfTrue="1" operator="equal">
      <formula>-1</formula>
    </cfRule>
  </conditionalFormatting>
  <conditionalFormatting sqref="BD44">
    <cfRule type="cellIs" dxfId="16163" priority="134422" stopIfTrue="1" operator="lessThan">
      <formula>0.5</formula>
    </cfRule>
  </conditionalFormatting>
  <conditionalFormatting sqref="BD44">
    <cfRule type="cellIs" dxfId="16162" priority="134423" stopIfTrue="1" operator="greaterThanOrEqual">
      <formula>0.5</formula>
    </cfRule>
  </conditionalFormatting>
  <conditionalFormatting sqref="BD45">
    <cfRule type="cellIs" dxfId="16161" priority="134424" stopIfTrue="1" operator="equal">
      <formula>-1</formula>
    </cfRule>
  </conditionalFormatting>
  <conditionalFormatting sqref="BD45">
    <cfRule type="cellIs" dxfId="16160" priority="134425" stopIfTrue="1" operator="lessThan">
      <formula>0.5</formula>
    </cfRule>
  </conditionalFormatting>
  <conditionalFormatting sqref="BD45">
    <cfRule type="cellIs" dxfId="16159" priority="134426" stopIfTrue="1" operator="greaterThanOrEqual">
      <formula>0.5</formula>
    </cfRule>
  </conditionalFormatting>
  <conditionalFormatting sqref="BD46">
    <cfRule type="cellIs" dxfId="16158" priority="134427" stopIfTrue="1" operator="equal">
      <formula>-1</formula>
    </cfRule>
  </conditionalFormatting>
  <conditionalFormatting sqref="BD46">
    <cfRule type="cellIs" dxfId="16157" priority="134428" stopIfTrue="1" operator="lessThan">
      <formula>0.5</formula>
    </cfRule>
  </conditionalFormatting>
  <conditionalFormatting sqref="BD46">
    <cfRule type="cellIs" dxfId="16156" priority="134429" stopIfTrue="1" operator="greaterThanOrEqual">
      <formula>0.5</formula>
    </cfRule>
  </conditionalFormatting>
  <conditionalFormatting sqref="BD47">
    <cfRule type="cellIs" dxfId="16155" priority="134430" stopIfTrue="1" operator="equal">
      <formula>-1</formula>
    </cfRule>
  </conditionalFormatting>
  <conditionalFormatting sqref="BD47">
    <cfRule type="cellIs" dxfId="16154" priority="134431" stopIfTrue="1" operator="lessThan">
      <formula>0.5</formula>
    </cfRule>
  </conditionalFormatting>
  <conditionalFormatting sqref="BD47">
    <cfRule type="cellIs" dxfId="16153" priority="134432" stopIfTrue="1" operator="greaterThanOrEqual">
      <formula>0.5</formula>
    </cfRule>
  </conditionalFormatting>
  <conditionalFormatting sqref="BD48">
    <cfRule type="cellIs" dxfId="16152" priority="134433" stopIfTrue="1" operator="equal">
      <formula>-1</formula>
    </cfRule>
  </conditionalFormatting>
  <conditionalFormatting sqref="BD48">
    <cfRule type="cellIs" dxfId="16151" priority="134434" stopIfTrue="1" operator="lessThan">
      <formula>0.5</formula>
    </cfRule>
  </conditionalFormatting>
  <conditionalFormatting sqref="BD48">
    <cfRule type="cellIs" dxfId="16150" priority="134435" stopIfTrue="1" operator="greaterThanOrEqual">
      <formula>0.5</formula>
    </cfRule>
  </conditionalFormatting>
  <conditionalFormatting sqref="BD49">
    <cfRule type="cellIs" dxfId="16149" priority="134436" stopIfTrue="1" operator="equal">
      <formula>-1</formula>
    </cfRule>
  </conditionalFormatting>
  <conditionalFormatting sqref="BD49">
    <cfRule type="cellIs" dxfId="16148" priority="134437" stopIfTrue="1" operator="lessThan">
      <formula>0.5</formula>
    </cfRule>
  </conditionalFormatting>
  <conditionalFormatting sqref="BD49">
    <cfRule type="cellIs" dxfId="16147" priority="134438" stopIfTrue="1" operator="greaterThanOrEqual">
      <formula>0.5</formula>
    </cfRule>
  </conditionalFormatting>
  <conditionalFormatting sqref="BD50">
    <cfRule type="cellIs" dxfId="16146" priority="134439" stopIfTrue="1" operator="equal">
      <formula>-1</formula>
    </cfRule>
  </conditionalFormatting>
  <conditionalFormatting sqref="BD50">
    <cfRule type="cellIs" dxfId="16145" priority="134440" stopIfTrue="1" operator="lessThan">
      <formula>0.5</formula>
    </cfRule>
  </conditionalFormatting>
  <conditionalFormatting sqref="BD50">
    <cfRule type="cellIs" dxfId="16144" priority="134441" stopIfTrue="1" operator="greaterThanOrEqual">
      <formula>0.5</formula>
    </cfRule>
  </conditionalFormatting>
  <conditionalFormatting sqref="BD51">
    <cfRule type="cellIs" dxfId="16143" priority="134442" stopIfTrue="1" operator="equal">
      <formula>-1</formula>
    </cfRule>
  </conditionalFormatting>
  <conditionalFormatting sqref="BD51">
    <cfRule type="cellIs" dxfId="16142" priority="134443" stopIfTrue="1" operator="lessThan">
      <formula>0.5</formula>
    </cfRule>
  </conditionalFormatting>
  <conditionalFormatting sqref="BD51">
    <cfRule type="cellIs" dxfId="16141" priority="134444" stopIfTrue="1" operator="greaterThanOrEqual">
      <formula>0.5</formula>
    </cfRule>
  </conditionalFormatting>
  <conditionalFormatting sqref="BD52">
    <cfRule type="cellIs" dxfId="16140" priority="134445" stopIfTrue="1" operator="equal">
      <formula>-1</formula>
    </cfRule>
  </conditionalFormatting>
  <conditionalFormatting sqref="BD52">
    <cfRule type="cellIs" dxfId="16139" priority="134446" stopIfTrue="1" operator="lessThan">
      <formula>0.5</formula>
    </cfRule>
  </conditionalFormatting>
  <conditionalFormatting sqref="BD52">
    <cfRule type="cellIs" dxfId="16138" priority="134447" stopIfTrue="1" operator="greaterThanOrEqual">
      <formula>0.5</formula>
    </cfRule>
  </conditionalFormatting>
  <conditionalFormatting sqref="BD53">
    <cfRule type="cellIs" dxfId="16137" priority="134448" stopIfTrue="1" operator="equal">
      <formula>-1</formula>
    </cfRule>
  </conditionalFormatting>
  <conditionalFormatting sqref="BD53">
    <cfRule type="cellIs" dxfId="16136" priority="134449" stopIfTrue="1" operator="lessThan">
      <formula>0.5</formula>
    </cfRule>
  </conditionalFormatting>
  <conditionalFormatting sqref="BD53">
    <cfRule type="cellIs" dxfId="16135" priority="134450" stopIfTrue="1" operator="greaterThanOrEqual">
      <formula>0.5</formula>
    </cfRule>
  </conditionalFormatting>
  <conditionalFormatting sqref="BD54">
    <cfRule type="cellIs" dxfId="16134" priority="134451" stopIfTrue="1" operator="equal">
      <formula>-1</formula>
    </cfRule>
  </conditionalFormatting>
  <conditionalFormatting sqref="BD54">
    <cfRule type="cellIs" dxfId="16133" priority="134452" stopIfTrue="1" operator="lessThan">
      <formula>0.5</formula>
    </cfRule>
  </conditionalFormatting>
  <conditionalFormatting sqref="BD54">
    <cfRule type="cellIs" dxfId="16132" priority="134453" stopIfTrue="1" operator="greaterThanOrEqual">
      <formula>0.5</formula>
    </cfRule>
  </conditionalFormatting>
  <conditionalFormatting sqref="BD55">
    <cfRule type="cellIs" dxfId="16131" priority="134454" stopIfTrue="1" operator="equal">
      <formula>-1</formula>
    </cfRule>
  </conditionalFormatting>
  <conditionalFormatting sqref="BD55">
    <cfRule type="cellIs" dxfId="16130" priority="134455" stopIfTrue="1" operator="lessThan">
      <formula>0.5</formula>
    </cfRule>
  </conditionalFormatting>
  <conditionalFormatting sqref="BD55">
    <cfRule type="cellIs" dxfId="16129" priority="134456" stopIfTrue="1" operator="greaterThanOrEqual">
      <formula>0.5</formula>
    </cfRule>
  </conditionalFormatting>
  <conditionalFormatting sqref="BD56">
    <cfRule type="cellIs" dxfId="16128" priority="134457" stopIfTrue="1" operator="equal">
      <formula>-1</formula>
    </cfRule>
  </conditionalFormatting>
  <conditionalFormatting sqref="BD56">
    <cfRule type="cellIs" dxfId="16127" priority="134458" stopIfTrue="1" operator="lessThan">
      <formula>0.5</formula>
    </cfRule>
  </conditionalFormatting>
  <conditionalFormatting sqref="BD56">
    <cfRule type="cellIs" dxfId="16126" priority="134459" stopIfTrue="1" operator="greaterThanOrEqual">
      <formula>0.5</formula>
    </cfRule>
  </conditionalFormatting>
  <conditionalFormatting sqref="BD57">
    <cfRule type="cellIs" dxfId="16125" priority="134460" stopIfTrue="1" operator="equal">
      <formula>-1</formula>
    </cfRule>
  </conditionalFormatting>
  <conditionalFormatting sqref="BD57">
    <cfRule type="cellIs" dxfId="16124" priority="134461" stopIfTrue="1" operator="lessThan">
      <formula>0.5</formula>
    </cfRule>
  </conditionalFormatting>
  <conditionalFormatting sqref="BD57">
    <cfRule type="cellIs" dxfId="16123" priority="134462" stopIfTrue="1" operator="greaterThanOrEqual">
      <formula>0.5</formula>
    </cfRule>
  </conditionalFormatting>
  <conditionalFormatting sqref="BD58">
    <cfRule type="cellIs" dxfId="16122" priority="134463" stopIfTrue="1" operator="equal">
      <formula>-1</formula>
    </cfRule>
  </conditionalFormatting>
  <conditionalFormatting sqref="BD58">
    <cfRule type="cellIs" dxfId="16121" priority="134464" stopIfTrue="1" operator="lessThan">
      <formula>0.5</formula>
    </cfRule>
  </conditionalFormatting>
  <conditionalFormatting sqref="BD58">
    <cfRule type="cellIs" dxfId="16120" priority="134465" stopIfTrue="1" operator="greaterThanOrEqual">
      <formula>0.5</formula>
    </cfRule>
  </conditionalFormatting>
  <conditionalFormatting sqref="BF39">
    <cfRule type="cellIs" dxfId="16119" priority="134466" stopIfTrue="1" operator="equal">
      <formula>-1</formula>
    </cfRule>
  </conditionalFormatting>
  <conditionalFormatting sqref="BF39">
    <cfRule type="cellIs" dxfId="16118" priority="134467" stopIfTrue="1" operator="lessThan">
      <formula>0.5</formula>
    </cfRule>
  </conditionalFormatting>
  <conditionalFormatting sqref="BF39">
    <cfRule type="cellIs" dxfId="16117" priority="134468" stopIfTrue="1" operator="greaterThanOrEqual">
      <formula>0.5</formula>
    </cfRule>
  </conditionalFormatting>
  <conditionalFormatting sqref="BF40">
    <cfRule type="cellIs" dxfId="16116" priority="134469" stopIfTrue="1" operator="equal">
      <formula>-1</formula>
    </cfRule>
  </conditionalFormatting>
  <conditionalFormatting sqref="BF40">
    <cfRule type="cellIs" dxfId="16115" priority="134470" stopIfTrue="1" operator="lessThan">
      <formula>0.5</formula>
    </cfRule>
  </conditionalFormatting>
  <conditionalFormatting sqref="BF40">
    <cfRule type="cellIs" dxfId="16114" priority="134471" stopIfTrue="1" operator="greaterThanOrEqual">
      <formula>0.5</formula>
    </cfRule>
  </conditionalFormatting>
  <conditionalFormatting sqref="BF41">
    <cfRule type="cellIs" dxfId="16113" priority="134472" stopIfTrue="1" operator="equal">
      <formula>-1</formula>
    </cfRule>
  </conditionalFormatting>
  <conditionalFormatting sqref="BF41">
    <cfRule type="cellIs" dxfId="16112" priority="134473" stopIfTrue="1" operator="lessThan">
      <formula>0.5</formula>
    </cfRule>
  </conditionalFormatting>
  <conditionalFormatting sqref="BF41">
    <cfRule type="cellIs" dxfId="16111" priority="134474" stopIfTrue="1" operator="greaterThanOrEqual">
      <formula>0.5</formula>
    </cfRule>
  </conditionalFormatting>
  <conditionalFormatting sqref="BF42">
    <cfRule type="cellIs" dxfId="16110" priority="134475" stopIfTrue="1" operator="equal">
      <formula>-1</formula>
    </cfRule>
  </conditionalFormatting>
  <conditionalFormatting sqref="BF42">
    <cfRule type="cellIs" dxfId="16109" priority="134476" stopIfTrue="1" operator="lessThan">
      <formula>0.5</formula>
    </cfRule>
  </conditionalFormatting>
  <conditionalFormatting sqref="BF42">
    <cfRule type="cellIs" dxfId="16108" priority="134477" stopIfTrue="1" operator="greaterThanOrEqual">
      <formula>0.5</formula>
    </cfRule>
  </conditionalFormatting>
  <conditionalFormatting sqref="BF43">
    <cfRule type="cellIs" dxfId="16107" priority="134478" stopIfTrue="1" operator="equal">
      <formula>-1</formula>
    </cfRule>
  </conditionalFormatting>
  <conditionalFormatting sqref="BF43">
    <cfRule type="cellIs" dxfId="16106" priority="134479" stopIfTrue="1" operator="lessThan">
      <formula>0.5</formula>
    </cfRule>
  </conditionalFormatting>
  <conditionalFormatting sqref="BF43">
    <cfRule type="cellIs" dxfId="16105" priority="134480" stopIfTrue="1" operator="greaterThanOrEqual">
      <formula>0.5</formula>
    </cfRule>
  </conditionalFormatting>
  <conditionalFormatting sqref="BF44">
    <cfRule type="cellIs" dxfId="16104" priority="134481" stopIfTrue="1" operator="equal">
      <formula>-1</formula>
    </cfRule>
  </conditionalFormatting>
  <conditionalFormatting sqref="BF44">
    <cfRule type="cellIs" dxfId="16103" priority="134482" stopIfTrue="1" operator="lessThan">
      <formula>0.5</formula>
    </cfRule>
  </conditionalFormatting>
  <conditionalFormatting sqref="BF44">
    <cfRule type="cellIs" dxfId="16102" priority="134483" stopIfTrue="1" operator="greaterThanOrEqual">
      <formula>0.5</formula>
    </cfRule>
  </conditionalFormatting>
  <conditionalFormatting sqref="BF45">
    <cfRule type="cellIs" dxfId="16101" priority="134484" stopIfTrue="1" operator="equal">
      <formula>-1</formula>
    </cfRule>
  </conditionalFormatting>
  <conditionalFormatting sqref="BF45">
    <cfRule type="cellIs" dxfId="16100" priority="134485" stopIfTrue="1" operator="lessThan">
      <formula>0.5</formula>
    </cfRule>
  </conditionalFormatting>
  <conditionalFormatting sqref="BF45">
    <cfRule type="cellIs" dxfId="16099" priority="134486" stopIfTrue="1" operator="greaterThanOrEqual">
      <formula>0.5</formula>
    </cfRule>
  </conditionalFormatting>
  <conditionalFormatting sqref="BF46">
    <cfRule type="cellIs" dxfId="16098" priority="134487" stopIfTrue="1" operator="equal">
      <formula>-1</formula>
    </cfRule>
  </conditionalFormatting>
  <conditionalFormatting sqref="BF46">
    <cfRule type="cellIs" dxfId="16097" priority="134488" stopIfTrue="1" operator="lessThan">
      <formula>0.5</formula>
    </cfRule>
  </conditionalFormatting>
  <conditionalFormatting sqref="BF46">
    <cfRule type="cellIs" dxfId="16096" priority="134489" stopIfTrue="1" operator="greaterThanOrEqual">
      <formula>0.5</formula>
    </cfRule>
  </conditionalFormatting>
  <conditionalFormatting sqref="BF47">
    <cfRule type="cellIs" dxfId="16095" priority="134490" stopIfTrue="1" operator="equal">
      <formula>-1</formula>
    </cfRule>
  </conditionalFormatting>
  <conditionalFormatting sqref="BF47">
    <cfRule type="cellIs" dxfId="16094" priority="134491" stopIfTrue="1" operator="lessThan">
      <formula>0.5</formula>
    </cfRule>
  </conditionalFormatting>
  <conditionalFormatting sqref="BF47">
    <cfRule type="cellIs" dxfId="16093" priority="134492" stopIfTrue="1" operator="greaterThanOrEqual">
      <formula>0.5</formula>
    </cfRule>
  </conditionalFormatting>
  <conditionalFormatting sqref="BF48">
    <cfRule type="cellIs" dxfId="16092" priority="134493" stopIfTrue="1" operator="equal">
      <formula>-1</formula>
    </cfRule>
  </conditionalFormatting>
  <conditionalFormatting sqref="BF48">
    <cfRule type="cellIs" dxfId="16091" priority="134494" stopIfTrue="1" operator="lessThan">
      <formula>0.5</formula>
    </cfRule>
  </conditionalFormatting>
  <conditionalFormatting sqref="BF48">
    <cfRule type="cellIs" dxfId="16090" priority="134495" stopIfTrue="1" operator="greaterThanOrEqual">
      <formula>0.5</formula>
    </cfRule>
  </conditionalFormatting>
  <conditionalFormatting sqref="BF49">
    <cfRule type="cellIs" dxfId="16089" priority="134496" stopIfTrue="1" operator="equal">
      <formula>-1</formula>
    </cfRule>
  </conditionalFormatting>
  <conditionalFormatting sqref="BF49">
    <cfRule type="cellIs" dxfId="16088" priority="134497" stopIfTrue="1" operator="lessThan">
      <formula>0.5</formula>
    </cfRule>
  </conditionalFormatting>
  <conditionalFormatting sqref="BF49">
    <cfRule type="cellIs" dxfId="16087" priority="134498" stopIfTrue="1" operator="greaterThanOrEqual">
      <formula>0.5</formula>
    </cfRule>
  </conditionalFormatting>
  <conditionalFormatting sqref="BF50">
    <cfRule type="cellIs" dxfId="16086" priority="134499" stopIfTrue="1" operator="equal">
      <formula>-1</formula>
    </cfRule>
  </conditionalFormatting>
  <conditionalFormatting sqref="BF50">
    <cfRule type="cellIs" dxfId="16085" priority="134500" stopIfTrue="1" operator="lessThan">
      <formula>0.5</formula>
    </cfRule>
  </conditionalFormatting>
  <conditionalFormatting sqref="BF50">
    <cfRule type="cellIs" dxfId="16084" priority="134501" stopIfTrue="1" operator="greaterThanOrEqual">
      <formula>0.5</formula>
    </cfRule>
  </conditionalFormatting>
  <conditionalFormatting sqref="BF51">
    <cfRule type="cellIs" dxfId="16083" priority="134502" stopIfTrue="1" operator="equal">
      <formula>-1</formula>
    </cfRule>
  </conditionalFormatting>
  <conditionalFormatting sqref="BF51">
    <cfRule type="cellIs" dxfId="16082" priority="134503" stopIfTrue="1" operator="lessThan">
      <formula>0.5</formula>
    </cfRule>
  </conditionalFormatting>
  <conditionalFormatting sqref="BF51">
    <cfRule type="cellIs" dxfId="16081" priority="134504" stopIfTrue="1" operator="greaterThanOrEqual">
      <formula>0.5</formula>
    </cfRule>
  </conditionalFormatting>
  <conditionalFormatting sqref="BF52">
    <cfRule type="cellIs" dxfId="16080" priority="134505" stopIfTrue="1" operator="equal">
      <formula>-1</formula>
    </cfRule>
  </conditionalFormatting>
  <conditionalFormatting sqref="BF52">
    <cfRule type="cellIs" dxfId="16079" priority="134506" stopIfTrue="1" operator="lessThan">
      <formula>0.5</formula>
    </cfRule>
  </conditionalFormatting>
  <conditionalFormatting sqref="BF52">
    <cfRule type="cellIs" dxfId="16078" priority="134507" stopIfTrue="1" operator="greaterThanOrEqual">
      <formula>0.5</formula>
    </cfRule>
  </conditionalFormatting>
  <conditionalFormatting sqref="BF53">
    <cfRule type="cellIs" dxfId="16077" priority="134508" stopIfTrue="1" operator="equal">
      <formula>-1</formula>
    </cfRule>
  </conditionalFormatting>
  <conditionalFormatting sqref="BF53">
    <cfRule type="cellIs" dxfId="16076" priority="134509" stopIfTrue="1" operator="lessThan">
      <formula>0.5</formula>
    </cfRule>
  </conditionalFormatting>
  <conditionalFormatting sqref="BF53">
    <cfRule type="cellIs" dxfId="16075" priority="134510" stopIfTrue="1" operator="greaterThanOrEqual">
      <formula>0.5</formula>
    </cfRule>
  </conditionalFormatting>
  <conditionalFormatting sqref="BF54">
    <cfRule type="cellIs" dxfId="16074" priority="134511" stopIfTrue="1" operator="equal">
      <formula>-1</formula>
    </cfRule>
  </conditionalFormatting>
  <conditionalFormatting sqref="BF54">
    <cfRule type="cellIs" dxfId="16073" priority="134512" stopIfTrue="1" operator="lessThan">
      <formula>0.5</formula>
    </cfRule>
  </conditionalFormatting>
  <conditionalFormatting sqref="BF54">
    <cfRule type="cellIs" dxfId="16072" priority="134513" stopIfTrue="1" operator="greaterThanOrEqual">
      <formula>0.5</formula>
    </cfRule>
  </conditionalFormatting>
  <conditionalFormatting sqref="BF55">
    <cfRule type="cellIs" dxfId="16071" priority="134514" stopIfTrue="1" operator="equal">
      <formula>-1</formula>
    </cfRule>
  </conditionalFormatting>
  <conditionalFormatting sqref="BF55">
    <cfRule type="cellIs" dxfId="16070" priority="134515" stopIfTrue="1" operator="lessThan">
      <formula>0.5</formula>
    </cfRule>
  </conditionalFormatting>
  <conditionalFormatting sqref="BF55">
    <cfRule type="cellIs" dxfId="16069" priority="134516" stopIfTrue="1" operator="greaterThanOrEqual">
      <formula>0.5</formula>
    </cfRule>
  </conditionalFormatting>
  <conditionalFormatting sqref="BF56">
    <cfRule type="cellIs" dxfId="16068" priority="134517" stopIfTrue="1" operator="equal">
      <formula>-1</formula>
    </cfRule>
  </conditionalFormatting>
  <conditionalFormatting sqref="BF56">
    <cfRule type="cellIs" dxfId="16067" priority="134518" stopIfTrue="1" operator="lessThan">
      <formula>0.5</formula>
    </cfRule>
  </conditionalFormatting>
  <conditionalFormatting sqref="BF56">
    <cfRule type="cellIs" dxfId="16066" priority="134519" stopIfTrue="1" operator="greaterThanOrEqual">
      <formula>0.5</formula>
    </cfRule>
  </conditionalFormatting>
  <conditionalFormatting sqref="BF57">
    <cfRule type="cellIs" dxfId="16065" priority="134520" stopIfTrue="1" operator="equal">
      <formula>-1</formula>
    </cfRule>
  </conditionalFormatting>
  <conditionalFormatting sqref="BF57">
    <cfRule type="cellIs" dxfId="16064" priority="134521" stopIfTrue="1" operator="lessThan">
      <formula>0.5</formula>
    </cfRule>
  </conditionalFormatting>
  <conditionalFormatting sqref="BF57">
    <cfRule type="cellIs" dxfId="16063" priority="134522" stopIfTrue="1" operator="greaterThanOrEqual">
      <formula>0.5</formula>
    </cfRule>
  </conditionalFormatting>
  <conditionalFormatting sqref="BF58">
    <cfRule type="cellIs" dxfId="16062" priority="134523" stopIfTrue="1" operator="equal">
      <formula>-1</formula>
    </cfRule>
  </conditionalFormatting>
  <conditionalFormatting sqref="BF58">
    <cfRule type="cellIs" dxfId="16061" priority="134524" stopIfTrue="1" operator="lessThan">
      <formula>0.5</formula>
    </cfRule>
  </conditionalFormatting>
  <conditionalFormatting sqref="BF58">
    <cfRule type="cellIs" dxfId="16060" priority="134525" stopIfTrue="1" operator="greaterThanOrEqual">
      <formula>0.5</formula>
    </cfRule>
  </conditionalFormatting>
  <conditionalFormatting sqref="BH39">
    <cfRule type="cellIs" dxfId="16059" priority="134526" stopIfTrue="1" operator="equal">
      <formula>-1</formula>
    </cfRule>
  </conditionalFormatting>
  <conditionalFormatting sqref="BH39">
    <cfRule type="cellIs" dxfId="16058" priority="134527" stopIfTrue="1" operator="lessThan">
      <formula>0.5</formula>
    </cfRule>
  </conditionalFormatting>
  <conditionalFormatting sqref="BH39">
    <cfRule type="cellIs" dxfId="16057" priority="134528" stopIfTrue="1" operator="greaterThanOrEqual">
      <formula>0.5</formula>
    </cfRule>
  </conditionalFormatting>
  <conditionalFormatting sqref="BH40">
    <cfRule type="cellIs" dxfId="16056" priority="134529" stopIfTrue="1" operator="equal">
      <formula>-1</formula>
    </cfRule>
  </conditionalFormatting>
  <conditionalFormatting sqref="BH40">
    <cfRule type="cellIs" dxfId="16055" priority="134530" stopIfTrue="1" operator="lessThan">
      <formula>0.5</formula>
    </cfRule>
  </conditionalFormatting>
  <conditionalFormatting sqref="BH40">
    <cfRule type="cellIs" dxfId="16054" priority="134531" stopIfTrue="1" operator="greaterThanOrEqual">
      <formula>0.5</formula>
    </cfRule>
  </conditionalFormatting>
  <conditionalFormatting sqref="BH41">
    <cfRule type="cellIs" dxfId="16053" priority="134532" stopIfTrue="1" operator="equal">
      <formula>-1</formula>
    </cfRule>
  </conditionalFormatting>
  <conditionalFormatting sqref="BH41">
    <cfRule type="cellIs" dxfId="16052" priority="134533" stopIfTrue="1" operator="lessThan">
      <formula>0.5</formula>
    </cfRule>
  </conditionalFormatting>
  <conditionalFormatting sqref="BH41">
    <cfRule type="cellIs" dxfId="16051" priority="134534" stopIfTrue="1" operator="greaterThanOrEqual">
      <formula>0.5</formula>
    </cfRule>
  </conditionalFormatting>
  <conditionalFormatting sqref="BH42">
    <cfRule type="cellIs" dxfId="16050" priority="134535" stopIfTrue="1" operator="equal">
      <formula>-1</formula>
    </cfRule>
  </conditionalFormatting>
  <conditionalFormatting sqref="BH42">
    <cfRule type="cellIs" dxfId="16049" priority="134536" stopIfTrue="1" operator="lessThan">
      <formula>0.5</formula>
    </cfRule>
  </conditionalFormatting>
  <conditionalFormatting sqref="BH42">
    <cfRule type="cellIs" dxfId="16048" priority="134537" stopIfTrue="1" operator="greaterThanOrEqual">
      <formula>0.5</formula>
    </cfRule>
  </conditionalFormatting>
  <conditionalFormatting sqref="BH43">
    <cfRule type="cellIs" dxfId="16047" priority="134538" stopIfTrue="1" operator="equal">
      <formula>-1</formula>
    </cfRule>
  </conditionalFormatting>
  <conditionalFormatting sqref="BH43">
    <cfRule type="cellIs" dxfId="16046" priority="134539" stopIfTrue="1" operator="lessThan">
      <formula>0.5</formula>
    </cfRule>
  </conditionalFormatting>
  <conditionalFormatting sqref="BH43">
    <cfRule type="cellIs" dxfId="16045" priority="134540" stopIfTrue="1" operator="greaterThanOrEqual">
      <formula>0.5</formula>
    </cfRule>
  </conditionalFormatting>
  <conditionalFormatting sqref="BH44">
    <cfRule type="cellIs" dxfId="16044" priority="134541" stopIfTrue="1" operator="equal">
      <formula>-1</formula>
    </cfRule>
  </conditionalFormatting>
  <conditionalFormatting sqref="BH44">
    <cfRule type="cellIs" dxfId="16043" priority="134542" stopIfTrue="1" operator="lessThan">
      <formula>0.5</formula>
    </cfRule>
  </conditionalFormatting>
  <conditionalFormatting sqref="BH44">
    <cfRule type="cellIs" dxfId="16042" priority="134543" stopIfTrue="1" operator="greaterThanOrEqual">
      <formula>0.5</formula>
    </cfRule>
  </conditionalFormatting>
  <conditionalFormatting sqref="BH45">
    <cfRule type="cellIs" dxfId="16041" priority="134544" stopIfTrue="1" operator="equal">
      <formula>-1</formula>
    </cfRule>
  </conditionalFormatting>
  <conditionalFormatting sqref="BH45">
    <cfRule type="cellIs" dxfId="16040" priority="134545" stopIfTrue="1" operator="lessThan">
      <formula>0.5</formula>
    </cfRule>
  </conditionalFormatting>
  <conditionalFormatting sqref="BH45">
    <cfRule type="cellIs" dxfId="16039" priority="134546" stopIfTrue="1" operator="greaterThanOrEqual">
      <formula>0.5</formula>
    </cfRule>
  </conditionalFormatting>
  <conditionalFormatting sqref="BH46">
    <cfRule type="cellIs" dxfId="16038" priority="134547" stopIfTrue="1" operator="equal">
      <formula>-1</formula>
    </cfRule>
  </conditionalFormatting>
  <conditionalFormatting sqref="BH46">
    <cfRule type="cellIs" dxfId="16037" priority="134548" stopIfTrue="1" operator="lessThan">
      <formula>0.5</formula>
    </cfRule>
  </conditionalFormatting>
  <conditionalFormatting sqref="BH46">
    <cfRule type="cellIs" dxfId="16036" priority="134549" stopIfTrue="1" operator="greaterThanOrEqual">
      <formula>0.5</formula>
    </cfRule>
  </conditionalFormatting>
  <conditionalFormatting sqref="BH47">
    <cfRule type="cellIs" dxfId="16035" priority="134550" stopIfTrue="1" operator="equal">
      <formula>-1</formula>
    </cfRule>
  </conditionalFormatting>
  <conditionalFormatting sqref="BH47">
    <cfRule type="cellIs" dxfId="16034" priority="134551" stopIfTrue="1" operator="lessThan">
      <formula>0.5</formula>
    </cfRule>
  </conditionalFormatting>
  <conditionalFormatting sqref="BH47">
    <cfRule type="cellIs" dxfId="16033" priority="134552" stopIfTrue="1" operator="greaterThanOrEqual">
      <formula>0.5</formula>
    </cfRule>
  </conditionalFormatting>
  <conditionalFormatting sqref="BH48">
    <cfRule type="cellIs" dxfId="16032" priority="134553" stopIfTrue="1" operator="equal">
      <formula>-1</formula>
    </cfRule>
  </conditionalFormatting>
  <conditionalFormatting sqref="BH48">
    <cfRule type="cellIs" dxfId="16031" priority="134554" stopIfTrue="1" operator="lessThan">
      <formula>0.5</formula>
    </cfRule>
  </conditionalFormatting>
  <conditionalFormatting sqref="BH48">
    <cfRule type="cellIs" dxfId="16030" priority="134555" stopIfTrue="1" operator="greaterThanOrEqual">
      <formula>0.5</formula>
    </cfRule>
  </conditionalFormatting>
  <conditionalFormatting sqref="BH49">
    <cfRule type="cellIs" dxfId="16029" priority="134556" stopIfTrue="1" operator="equal">
      <formula>-1</formula>
    </cfRule>
  </conditionalFormatting>
  <conditionalFormatting sqref="BH49">
    <cfRule type="cellIs" dxfId="16028" priority="134557" stopIfTrue="1" operator="lessThan">
      <formula>0.5</formula>
    </cfRule>
  </conditionalFormatting>
  <conditionalFormatting sqref="BH49">
    <cfRule type="cellIs" dxfId="16027" priority="134558" stopIfTrue="1" operator="greaterThanOrEqual">
      <formula>0.5</formula>
    </cfRule>
  </conditionalFormatting>
  <conditionalFormatting sqref="BH50">
    <cfRule type="cellIs" dxfId="16026" priority="134559" stopIfTrue="1" operator="equal">
      <formula>-1</formula>
    </cfRule>
  </conditionalFormatting>
  <conditionalFormatting sqref="BH50">
    <cfRule type="cellIs" dxfId="16025" priority="134560" stopIfTrue="1" operator="lessThan">
      <formula>0.5</formula>
    </cfRule>
  </conditionalFormatting>
  <conditionalFormatting sqref="BH50">
    <cfRule type="cellIs" dxfId="16024" priority="134561" stopIfTrue="1" operator="greaterThanOrEqual">
      <formula>0.5</formula>
    </cfRule>
  </conditionalFormatting>
  <conditionalFormatting sqref="BH51">
    <cfRule type="cellIs" dxfId="16023" priority="134562" stopIfTrue="1" operator="equal">
      <formula>-1</formula>
    </cfRule>
  </conditionalFormatting>
  <conditionalFormatting sqref="BH51">
    <cfRule type="cellIs" dxfId="16022" priority="134563" stopIfTrue="1" operator="lessThan">
      <formula>0.5</formula>
    </cfRule>
  </conditionalFormatting>
  <conditionalFormatting sqref="BH51">
    <cfRule type="cellIs" dxfId="16021" priority="134564" stopIfTrue="1" operator="greaterThanOrEqual">
      <formula>0.5</formula>
    </cfRule>
  </conditionalFormatting>
  <conditionalFormatting sqref="BH52">
    <cfRule type="cellIs" dxfId="16020" priority="134565" stopIfTrue="1" operator="equal">
      <formula>-1</formula>
    </cfRule>
  </conditionalFormatting>
  <conditionalFormatting sqref="BH52">
    <cfRule type="cellIs" dxfId="16019" priority="134566" stopIfTrue="1" operator="lessThan">
      <formula>0.5</formula>
    </cfRule>
  </conditionalFormatting>
  <conditionalFormatting sqref="BH52">
    <cfRule type="cellIs" dxfId="16018" priority="134567" stopIfTrue="1" operator="greaterThanOrEqual">
      <formula>0.5</formula>
    </cfRule>
  </conditionalFormatting>
  <conditionalFormatting sqref="BH53">
    <cfRule type="cellIs" dxfId="16017" priority="134568" stopIfTrue="1" operator="equal">
      <formula>-1</formula>
    </cfRule>
  </conditionalFormatting>
  <conditionalFormatting sqref="BH53">
    <cfRule type="cellIs" dxfId="16016" priority="134569" stopIfTrue="1" operator="lessThan">
      <formula>0.5</formula>
    </cfRule>
  </conditionalFormatting>
  <conditionalFormatting sqref="BH53">
    <cfRule type="cellIs" dxfId="16015" priority="134570" stopIfTrue="1" operator="greaterThanOrEqual">
      <formula>0.5</formula>
    </cfRule>
  </conditionalFormatting>
  <conditionalFormatting sqref="BH54">
    <cfRule type="cellIs" dxfId="16014" priority="134571" stopIfTrue="1" operator="equal">
      <formula>-1</formula>
    </cfRule>
  </conditionalFormatting>
  <conditionalFormatting sqref="BH54">
    <cfRule type="cellIs" dxfId="16013" priority="134572" stopIfTrue="1" operator="lessThan">
      <formula>0.5</formula>
    </cfRule>
  </conditionalFormatting>
  <conditionalFormatting sqref="BH54">
    <cfRule type="cellIs" dxfId="16012" priority="134573" stopIfTrue="1" operator="greaterThanOrEqual">
      <formula>0.5</formula>
    </cfRule>
  </conditionalFormatting>
  <conditionalFormatting sqref="BH55">
    <cfRule type="cellIs" dxfId="16011" priority="134574" stopIfTrue="1" operator="equal">
      <formula>-1</formula>
    </cfRule>
  </conditionalFormatting>
  <conditionalFormatting sqref="BH55">
    <cfRule type="cellIs" dxfId="16010" priority="134575" stopIfTrue="1" operator="lessThan">
      <formula>0.5</formula>
    </cfRule>
  </conditionalFormatting>
  <conditionalFormatting sqref="BH55">
    <cfRule type="cellIs" dxfId="16009" priority="134576" stopIfTrue="1" operator="greaterThanOrEqual">
      <formula>0.5</formula>
    </cfRule>
  </conditionalFormatting>
  <conditionalFormatting sqref="BH56">
    <cfRule type="cellIs" dxfId="16008" priority="134577" stopIfTrue="1" operator="equal">
      <formula>-1</formula>
    </cfRule>
  </conditionalFormatting>
  <conditionalFormatting sqref="BH56">
    <cfRule type="cellIs" dxfId="16007" priority="134578" stopIfTrue="1" operator="lessThan">
      <formula>0.5</formula>
    </cfRule>
  </conditionalFormatting>
  <conditionalFormatting sqref="BH56">
    <cfRule type="cellIs" dxfId="16006" priority="134579" stopIfTrue="1" operator="greaterThanOrEqual">
      <formula>0.5</formula>
    </cfRule>
  </conditionalFormatting>
  <conditionalFormatting sqref="BH57">
    <cfRule type="cellIs" dxfId="16005" priority="134580" stopIfTrue="1" operator="equal">
      <formula>-1</formula>
    </cfRule>
  </conditionalFormatting>
  <conditionalFormatting sqref="BH57">
    <cfRule type="cellIs" dxfId="16004" priority="134581" stopIfTrue="1" operator="lessThan">
      <formula>0.5</formula>
    </cfRule>
  </conditionalFormatting>
  <conditionalFormatting sqref="BH57">
    <cfRule type="cellIs" dxfId="16003" priority="134582" stopIfTrue="1" operator="greaterThanOrEqual">
      <formula>0.5</formula>
    </cfRule>
  </conditionalFormatting>
  <conditionalFormatting sqref="BH58">
    <cfRule type="cellIs" dxfId="16002" priority="134583" stopIfTrue="1" operator="equal">
      <formula>-1</formula>
    </cfRule>
  </conditionalFormatting>
  <conditionalFormatting sqref="BH58">
    <cfRule type="cellIs" dxfId="16001" priority="134584" stopIfTrue="1" operator="lessThan">
      <formula>0.5</formula>
    </cfRule>
  </conditionalFormatting>
  <conditionalFormatting sqref="BH58">
    <cfRule type="cellIs" dxfId="16000" priority="134585" stopIfTrue="1" operator="greaterThanOrEqual">
      <formula>0.5</formula>
    </cfRule>
  </conditionalFormatting>
  <conditionalFormatting sqref="BJ39">
    <cfRule type="cellIs" dxfId="15999" priority="134586" stopIfTrue="1" operator="equal">
      <formula>-1</formula>
    </cfRule>
  </conditionalFormatting>
  <conditionalFormatting sqref="BJ39">
    <cfRule type="cellIs" dxfId="15998" priority="134587" stopIfTrue="1" operator="lessThan">
      <formula>0.5</formula>
    </cfRule>
  </conditionalFormatting>
  <conditionalFormatting sqref="BJ39">
    <cfRule type="cellIs" dxfId="15997" priority="134588" stopIfTrue="1" operator="greaterThanOrEqual">
      <formula>0.5</formula>
    </cfRule>
  </conditionalFormatting>
  <conditionalFormatting sqref="BJ40">
    <cfRule type="cellIs" dxfId="15996" priority="134589" stopIfTrue="1" operator="equal">
      <formula>-1</formula>
    </cfRule>
  </conditionalFormatting>
  <conditionalFormatting sqref="BJ40">
    <cfRule type="cellIs" dxfId="15995" priority="134590" stopIfTrue="1" operator="lessThan">
      <formula>0.5</formula>
    </cfRule>
  </conditionalFormatting>
  <conditionalFormatting sqref="BJ40">
    <cfRule type="cellIs" dxfId="15994" priority="134591" stopIfTrue="1" operator="greaterThanOrEqual">
      <formula>0.5</formula>
    </cfRule>
  </conditionalFormatting>
  <conditionalFormatting sqref="BJ41">
    <cfRule type="cellIs" dxfId="15993" priority="134592" stopIfTrue="1" operator="equal">
      <formula>-1</formula>
    </cfRule>
  </conditionalFormatting>
  <conditionalFormatting sqref="BJ41">
    <cfRule type="cellIs" dxfId="15992" priority="134593" stopIfTrue="1" operator="lessThan">
      <formula>0.5</formula>
    </cfRule>
  </conditionalFormatting>
  <conditionalFormatting sqref="BJ41">
    <cfRule type="cellIs" dxfId="15991" priority="134594" stopIfTrue="1" operator="greaterThanOrEqual">
      <formula>0.5</formula>
    </cfRule>
  </conditionalFormatting>
  <conditionalFormatting sqref="BJ42">
    <cfRule type="cellIs" dxfId="15990" priority="134595" stopIfTrue="1" operator="equal">
      <formula>-1</formula>
    </cfRule>
  </conditionalFormatting>
  <conditionalFormatting sqref="BJ42">
    <cfRule type="cellIs" dxfId="15989" priority="134596" stopIfTrue="1" operator="lessThan">
      <formula>0.5</formula>
    </cfRule>
  </conditionalFormatting>
  <conditionalFormatting sqref="BJ42">
    <cfRule type="cellIs" dxfId="15988" priority="134597" stopIfTrue="1" operator="greaterThanOrEqual">
      <formula>0.5</formula>
    </cfRule>
  </conditionalFormatting>
  <conditionalFormatting sqref="BJ43">
    <cfRule type="cellIs" dxfId="15987" priority="134598" stopIfTrue="1" operator="equal">
      <formula>-1</formula>
    </cfRule>
  </conditionalFormatting>
  <conditionalFormatting sqref="BJ43">
    <cfRule type="cellIs" dxfId="15986" priority="134599" stopIfTrue="1" operator="lessThan">
      <formula>0.5</formula>
    </cfRule>
  </conditionalFormatting>
  <conditionalFormatting sqref="BJ43">
    <cfRule type="cellIs" dxfId="15985" priority="134600" stopIfTrue="1" operator="greaterThanOrEqual">
      <formula>0.5</formula>
    </cfRule>
  </conditionalFormatting>
  <conditionalFormatting sqref="BJ44">
    <cfRule type="cellIs" dxfId="15984" priority="134601" stopIfTrue="1" operator="equal">
      <formula>-1</formula>
    </cfRule>
  </conditionalFormatting>
  <conditionalFormatting sqref="BJ44">
    <cfRule type="cellIs" dxfId="15983" priority="134602" stopIfTrue="1" operator="lessThan">
      <formula>0.5</formula>
    </cfRule>
  </conditionalFormatting>
  <conditionalFormatting sqref="BJ44">
    <cfRule type="cellIs" dxfId="15982" priority="134603" stopIfTrue="1" operator="greaterThanOrEqual">
      <formula>0.5</formula>
    </cfRule>
  </conditionalFormatting>
  <conditionalFormatting sqref="BJ45">
    <cfRule type="cellIs" dxfId="15981" priority="134604" stopIfTrue="1" operator="equal">
      <formula>-1</formula>
    </cfRule>
  </conditionalFormatting>
  <conditionalFormatting sqref="BJ45">
    <cfRule type="cellIs" dxfId="15980" priority="134605" stopIfTrue="1" operator="lessThan">
      <formula>0.5</formula>
    </cfRule>
  </conditionalFormatting>
  <conditionalFormatting sqref="BJ45">
    <cfRule type="cellIs" dxfId="15979" priority="134606" stopIfTrue="1" operator="greaterThanOrEqual">
      <formula>0.5</formula>
    </cfRule>
  </conditionalFormatting>
  <conditionalFormatting sqref="BJ46">
    <cfRule type="cellIs" dxfId="15978" priority="134607" stopIfTrue="1" operator="equal">
      <formula>-1</formula>
    </cfRule>
  </conditionalFormatting>
  <conditionalFormatting sqref="BJ46">
    <cfRule type="cellIs" dxfId="15977" priority="134608" stopIfTrue="1" operator="lessThan">
      <formula>0.5</formula>
    </cfRule>
  </conditionalFormatting>
  <conditionalFormatting sqref="BJ46">
    <cfRule type="cellIs" dxfId="15976" priority="134609" stopIfTrue="1" operator="greaterThanOrEqual">
      <formula>0.5</formula>
    </cfRule>
  </conditionalFormatting>
  <conditionalFormatting sqref="BJ47">
    <cfRule type="cellIs" dxfId="15975" priority="134610" stopIfTrue="1" operator="equal">
      <formula>-1</formula>
    </cfRule>
  </conditionalFormatting>
  <conditionalFormatting sqref="BJ47">
    <cfRule type="cellIs" dxfId="15974" priority="134611" stopIfTrue="1" operator="lessThan">
      <formula>0.5</formula>
    </cfRule>
  </conditionalFormatting>
  <conditionalFormatting sqref="BJ47">
    <cfRule type="cellIs" dxfId="15973" priority="134612" stopIfTrue="1" operator="greaterThanOrEqual">
      <formula>0.5</formula>
    </cfRule>
  </conditionalFormatting>
  <conditionalFormatting sqref="BJ48">
    <cfRule type="cellIs" dxfId="15972" priority="134613" stopIfTrue="1" operator="equal">
      <formula>-1</formula>
    </cfRule>
  </conditionalFormatting>
  <conditionalFormatting sqref="BJ48">
    <cfRule type="cellIs" dxfId="15971" priority="134614" stopIfTrue="1" operator="lessThan">
      <formula>0.5</formula>
    </cfRule>
  </conditionalFormatting>
  <conditionalFormatting sqref="BJ48">
    <cfRule type="cellIs" dxfId="15970" priority="134615" stopIfTrue="1" operator="greaterThanOrEqual">
      <formula>0.5</formula>
    </cfRule>
  </conditionalFormatting>
  <conditionalFormatting sqref="BJ49">
    <cfRule type="cellIs" dxfId="15969" priority="134616" stopIfTrue="1" operator="equal">
      <formula>-1</formula>
    </cfRule>
  </conditionalFormatting>
  <conditionalFormatting sqref="BJ49">
    <cfRule type="cellIs" dxfId="15968" priority="134617" stopIfTrue="1" operator="lessThan">
      <formula>0.5</formula>
    </cfRule>
  </conditionalFormatting>
  <conditionalFormatting sqref="BJ49">
    <cfRule type="cellIs" dxfId="15967" priority="134618" stopIfTrue="1" operator="greaterThanOrEqual">
      <formula>0.5</formula>
    </cfRule>
  </conditionalFormatting>
  <conditionalFormatting sqref="BJ50">
    <cfRule type="cellIs" dxfId="15966" priority="134619" stopIfTrue="1" operator="equal">
      <formula>-1</formula>
    </cfRule>
  </conditionalFormatting>
  <conditionalFormatting sqref="BJ50">
    <cfRule type="cellIs" dxfId="15965" priority="134620" stopIfTrue="1" operator="lessThan">
      <formula>0.5</formula>
    </cfRule>
  </conditionalFormatting>
  <conditionalFormatting sqref="BJ50">
    <cfRule type="cellIs" dxfId="15964" priority="134621" stopIfTrue="1" operator="greaterThanOrEqual">
      <formula>0.5</formula>
    </cfRule>
  </conditionalFormatting>
  <conditionalFormatting sqref="BJ51">
    <cfRule type="cellIs" dxfId="15963" priority="134622" stopIfTrue="1" operator="equal">
      <formula>-1</formula>
    </cfRule>
  </conditionalFormatting>
  <conditionalFormatting sqref="BJ51">
    <cfRule type="cellIs" dxfId="15962" priority="134623" stopIfTrue="1" operator="lessThan">
      <formula>0.5</formula>
    </cfRule>
  </conditionalFormatting>
  <conditionalFormatting sqref="BJ51">
    <cfRule type="cellIs" dxfId="15961" priority="134624" stopIfTrue="1" operator="greaterThanOrEqual">
      <formula>0.5</formula>
    </cfRule>
  </conditionalFormatting>
  <conditionalFormatting sqref="BJ52">
    <cfRule type="cellIs" dxfId="15960" priority="134625" stopIfTrue="1" operator="equal">
      <formula>-1</formula>
    </cfRule>
  </conditionalFormatting>
  <conditionalFormatting sqref="BJ52">
    <cfRule type="cellIs" dxfId="15959" priority="134626" stopIfTrue="1" operator="lessThan">
      <formula>0.5</formula>
    </cfRule>
  </conditionalFormatting>
  <conditionalFormatting sqref="BJ52">
    <cfRule type="cellIs" dxfId="15958" priority="134627" stopIfTrue="1" operator="greaterThanOrEqual">
      <formula>0.5</formula>
    </cfRule>
  </conditionalFormatting>
  <conditionalFormatting sqref="BJ53">
    <cfRule type="cellIs" dxfId="15957" priority="134628" stopIfTrue="1" operator="equal">
      <formula>-1</formula>
    </cfRule>
  </conditionalFormatting>
  <conditionalFormatting sqref="BJ53">
    <cfRule type="cellIs" dxfId="15956" priority="134629" stopIfTrue="1" operator="lessThan">
      <formula>0.5</formula>
    </cfRule>
  </conditionalFormatting>
  <conditionalFormatting sqref="BJ53">
    <cfRule type="cellIs" dxfId="15955" priority="134630" stopIfTrue="1" operator="greaterThanOrEqual">
      <formula>0.5</formula>
    </cfRule>
  </conditionalFormatting>
  <conditionalFormatting sqref="BJ54">
    <cfRule type="cellIs" dxfId="15954" priority="134631" stopIfTrue="1" operator="equal">
      <formula>-1</formula>
    </cfRule>
  </conditionalFormatting>
  <conditionalFormatting sqref="BJ54">
    <cfRule type="cellIs" dxfId="15953" priority="134632" stopIfTrue="1" operator="lessThan">
      <formula>0.5</formula>
    </cfRule>
  </conditionalFormatting>
  <conditionalFormatting sqref="BJ54">
    <cfRule type="cellIs" dxfId="15952" priority="134633" stopIfTrue="1" operator="greaterThanOrEqual">
      <formula>0.5</formula>
    </cfRule>
  </conditionalFormatting>
  <conditionalFormatting sqref="BJ55">
    <cfRule type="cellIs" dxfId="15951" priority="134634" stopIfTrue="1" operator="equal">
      <formula>-1</formula>
    </cfRule>
  </conditionalFormatting>
  <conditionalFormatting sqref="BJ55">
    <cfRule type="cellIs" dxfId="15950" priority="134635" stopIfTrue="1" operator="lessThan">
      <formula>0.5</formula>
    </cfRule>
  </conditionalFormatting>
  <conditionalFormatting sqref="BJ55">
    <cfRule type="cellIs" dxfId="15949" priority="134636" stopIfTrue="1" operator="greaterThanOrEqual">
      <formula>0.5</formula>
    </cfRule>
  </conditionalFormatting>
  <conditionalFormatting sqref="BJ56">
    <cfRule type="cellIs" dxfId="15948" priority="134637" stopIfTrue="1" operator="equal">
      <formula>-1</formula>
    </cfRule>
  </conditionalFormatting>
  <conditionalFormatting sqref="BJ56">
    <cfRule type="cellIs" dxfId="15947" priority="134638" stopIfTrue="1" operator="lessThan">
      <formula>0.5</formula>
    </cfRule>
  </conditionalFormatting>
  <conditionalFormatting sqref="BJ56">
    <cfRule type="cellIs" dxfId="15946" priority="134639" stopIfTrue="1" operator="greaterThanOrEqual">
      <formula>0.5</formula>
    </cfRule>
  </conditionalFormatting>
  <conditionalFormatting sqref="BJ57">
    <cfRule type="cellIs" dxfId="15945" priority="134640" stopIfTrue="1" operator="equal">
      <formula>-1</formula>
    </cfRule>
  </conditionalFormatting>
  <conditionalFormatting sqref="BJ57">
    <cfRule type="cellIs" dxfId="15944" priority="134641" stopIfTrue="1" operator="lessThan">
      <formula>0.5</formula>
    </cfRule>
  </conditionalFormatting>
  <conditionalFormatting sqref="BJ57">
    <cfRule type="cellIs" dxfId="15943" priority="134642" stopIfTrue="1" operator="greaterThanOrEqual">
      <formula>0.5</formula>
    </cfRule>
  </conditionalFormatting>
  <conditionalFormatting sqref="BJ58">
    <cfRule type="cellIs" dxfId="15942" priority="134643" stopIfTrue="1" operator="equal">
      <formula>-1</formula>
    </cfRule>
  </conditionalFormatting>
  <conditionalFormatting sqref="BJ58">
    <cfRule type="cellIs" dxfId="15941" priority="134644" stopIfTrue="1" operator="lessThan">
      <formula>0.5</formula>
    </cfRule>
  </conditionalFormatting>
  <conditionalFormatting sqref="BJ58">
    <cfRule type="cellIs" dxfId="15940" priority="134645" stopIfTrue="1" operator="greaterThanOrEqual">
      <formula>0.5</formula>
    </cfRule>
  </conditionalFormatting>
  <conditionalFormatting sqref="D60">
    <cfRule type="cellIs" dxfId="15939" priority="134646" stopIfTrue="1" operator="equal">
      <formula>-1</formula>
    </cfRule>
  </conditionalFormatting>
  <conditionalFormatting sqref="D60">
    <cfRule type="cellIs" dxfId="15938" priority="134647" stopIfTrue="1" operator="lessThan">
      <formula>0.5</formula>
    </cfRule>
  </conditionalFormatting>
  <conditionalFormatting sqref="D60">
    <cfRule type="cellIs" dxfId="15937" priority="134648" stopIfTrue="1" operator="greaterThanOrEqual">
      <formula>0.5</formula>
    </cfRule>
  </conditionalFormatting>
  <conditionalFormatting sqref="D61">
    <cfRule type="cellIs" dxfId="15936" priority="134649" stopIfTrue="1" operator="equal">
      <formula>-1</formula>
    </cfRule>
  </conditionalFormatting>
  <conditionalFormatting sqref="D61">
    <cfRule type="cellIs" dxfId="15935" priority="134650" stopIfTrue="1" operator="lessThan">
      <formula>0.5</formula>
    </cfRule>
  </conditionalFormatting>
  <conditionalFormatting sqref="D61">
    <cfRule type="cellIs" dxfId="15934" priority="134651" stopIfTrue="1" operator="greaterThanOrEqual">
      <formula>0.5</formula>
    </cfRule>
  </conditionalFormatting>
  <conditionalFormatting sqref="D62">
    <cfRule type="cellIs" dxfId="15933" priority="134652" stopIfTrue="1" operator="equal">
      <formula>-1</formula>
    </cfRule>
  </conditionalFormatting>
  <conditionalFormatting sqref="D62">
    <cfRule type="cellIs" dxfId="15932" priority="134653" stopIfTrue="1" operator="lessThan">
      <formula>0.5</formula>
    </cfRule>
  </conditionalFormatting>
  <conditionalFormatting sqref="D62">
    <cfRule type="cellIs" dxfId="15931" priority="134654" stopIfTrue="1" operator="greaterThanOrEqual">
      <formula>0.5</formula>
    </cfRule>
  </conditionalFormatting>
  <conditionalFormatting sqref="D63">
    <cfRule type="cellIs" dxfId="15930" priority="134655" stopIfTrue="1" operator="equal">
      <formula>-1</formula>
    </cfRule>
  </conditionalFormatting>
  <conditionalFormatting sqref="D63">
    <cfRule type="cellIs" dxfId="15929" priority="134656" stopIfTrue="1" operator="lessThan">
      <formula>0.5</formula>
    </cfRule>
  </conditionalFormatting>
  <conditionalFormatting sqref="D63">
    <cfRule type="cellIs" dxfId="15928" priority="134657" stopIfTrue="1" operator="greaterThanOrEqual">
      <formula>0.5</formula>
    </cfRule>
  </conditionalFormatting>
  <conditionalFormatting sqref="F60">
    <cfRule type="cellIs" dxfId="15927" priority="134658" stopIfTrue="1" operator="equal">
      <formula>-1</formula>
    </cfRule>
  </conditionalFormatting>
  <conditionalFormatting sqref="F60">
    <cfRule type="cellIs" dxfId="15926" priority="134659" stopIfTrue="1" operator="lessThan">
      <formula>0.5</formula>
    </cfRule>
  </conditionalFormatting>
  <conditionalFormatting sqref="F60">
    <cfRule type="cellIs" dxfId="15925" priority="134660" stopIfTrue="1" operator="greaterThanOrEqual">
      <formula>0.5</formula>
    </cfRule>
  </conditionalFormatting>
  <conditionalFormatting sqref="F61">
    <cfRule type="cellIs" dxfId="15924" priority="134661" stopIfTrue="1" operator="equal">
      <formula>-1</formula>
    </cfRule>
  </conditionalFormatting>
  <conditionalFormatting sqref="F61">
    <cfRule type="cellIs" dxfId="15923" priority="134662" stopIfTrue="1" operator="lessThan">
      <formula>0.5</formula>
    </cfRule>
  </conditionalFormatting>
  <conditionalFormatting sqref="F61">
    <cfRule type="cellIs" dxfId="15922" priority="134663" stopIfTrue="1" operator="greaterThanOrEqual">
      <formula>0.5</formula>
    </cfRule>
  </conditionalFormatting>
  <conditionalFormatting sqref="F62">
    <cfRule type="cellIs" dxfId="15921" priority="134664" stopIfTrue="1" operator="equal">
      <formula>-1</formula>
    </cfRule>
  </conditionalFormatting>
  <conditionalFormatting sqref="F62">
    <cfRule type="cellIs" dxfId="15920" priority="134665" stopIfTrue="1" operator="lessThan">
      <formula>0.5</formula>
    </cfRule>
  </conditionalFormatting>
  <conditionalFormatting sqref="F62">
    <cfRule type="cellIs" dxfId="15919" priority="134666" stopIfTrue="1" operator="greaterThanOrEqual">
      <formula>0.5</formula>
    </cfRule>
  </conditionalFormatting>
  <conditionalFormatting sqref="F63">
    <cfRule type="cellIs" dxfId="15918" priority="134667" stopIfTrue="1" operator="equal">
      <formula>-1</formula>
    </cfRule>
  </conditionalFormatting>
  <conditionalFormatting sqref="F63">
    <cfRule type="cellIs" dxfId="15917" priority="134668" stopIfTrue="1" operator="lessThan">
      <formula>0.5</formula>
    </cfRule>
  </conditionalFormatting>
  <conditionalFormatting sqref="F63">
    <cfRule type="cellIs" dxfId="15916" priority="134669" stopIfTrue="1" operator="greaterThanOrEqual">
      <formula>0.5</formula>
    </cfRule>
  </conditionalFormatting>
  <conditionalFormatting sqref="H60">
    <cfRule type="cellIs" dxfId="15915" priority="134670" stopIfTrue="1" operator="equal">
      <formula>-1</formula>
    </cfRule>
  </conditionalFormatting>
  <conditionalFormatting sqref="H60">
    <cfRule type="cellIs" dxfId="15914" priority="134671" stopIfTrue="1" operator="lessThan">
      <formula>0.5</formula>
    </cfRule>
  </conditionalFormatting>
  <conditionalFormatting sqref="H60">
    <cfRule type="cellIs" dxfId="15913" priority="134672" stopIfTrue="1" operator="greaterThanOrEqual">
      <formula>0.5</formula>
    </cfRule>
  </conditionalFormatting>
  <conditionalFormatting sqref="H61">
    <cfRule type="cellIs" dxfId="15912" priority="134673" stopIfTrue="1" operator="equal">
      <formula>-1</formula>
    </cfRule>
  </conditionalFormatting>
  <conditionalFormatting sqref="H61">
    <cfRule type="cellIs" dxfId="15911" priority="134674" stopIfTrue="1" operator="lessThan">
      <formula>0.5</formula>
    </cfRule>
  </conditionalFormatting>
  <conditionalFormatting sqref="H61">
    <cfRule type="cellIs" dxfId="15910" priority="134675" stopIfTrue="1" operator="greaterThanOrEqual">
      <formula>0.5</formula>
    </cfRule>
  </conditionalFormatting>
  <conditionalFormatting sqref="H62">
    <cfRule type="cellIs" dxfId="15909" priority="134676" stopIfTrue="1" operator="equal">
      <formula>-1</formula>
    </cfRule>
  </conditionalFormatting>
  <conditionalFormatting sqref="H62">
    <cfRule type="cellIs" dxfId="15908" priority="134677" stopIfTrue="1" operator="lessThan">
      <formula>0.5</formula>
    </cfRule>
  </conditionalFormatting>
  <conditionalFormatting sqref="H62">
    <cfRule type="cellIs" dxfId="15907" priority="134678" stopIfTrue="1" operator="greaterThanOrEqual">
      <formula>0.5</formula>
    </cfRule>
  </conditionalFormatting>
  <conditionalFormatting sqref="H63">
    <cfRule type="cellIs" dxfId="15906" priority="134679" stopIfTrue="1" operator="equal">
      <formula>-1</formula>
    </cfRule>
  </conditionalFormatting>
  <conditionalFormatting sqref="H63">
    <cfRule type="cellIs" dxfId="15905" priority="134680" stopIfTrue="1" operator="lessThan">
      <formula>0.5</formula>
    </cfRule>
  </conditionalFormatting>
  <conditionalFormatting sqref="H63">
    <cfRule type="cellIs" dxfId="15904" priority="134681" stopIfTrue="1" operator="greaterThanOrEqual">
      <formula>0.5</formula>
    </cfRule>
  </conditionalFormatting>
  <conditionalFormatting sqref="J60">
    <cfRule type="cellIs" dxfId="15903" priority="134682" stopIfTrue="1" operator="equal">
      <formula>-1</formula>
    </cfRule>
  </conditionalFormatting>
  <conditionalFormatting sqref="J60">
    <cfRule type="cellIs" dxfId="15902" priority="134683" stopIfTrue="1" operator="lessThan">
      <formula>0.5</formula>
    </cfRule>
  </conditionalFormatting>
  <conditionalFormatting sqref="J60">
    <cfRule type="cellIs" dxfId="15901" priority="134684" stopIfTrue="1" operator="greaterThanOrEqual">
      <formula>0.5</formula>
    </cfRule>
  </conditionalFormatting>
  <conditionalFormatting sqref="J61">
    <cfRule type="cellIs" dxfId="15900" priority="134685" stopIfTrue="1" operator="equal">
      <formula>-1</formula>
    </cfRule>
  </conditionalFormatting>
  <conditionalFormatting sqref="J61">
    <cfRule type="cellIs" dxfId="15899" priority="134686" stopIfTrue="1" operator="lessThan">
      <formula>0.5</formula>
    </cfRule>
  </conditionalFormatting>
  <conditionalFormatting sqref="J61">
    <cfRule type="cellIs" dxfId="15898" priority="134687" stopIfTrue="1" operator="greaterThanOrEqual">
      <formula>0.5</formula>
    </cfRule>
  </conditionalFormatting>
  <conditionalFormatting sqref="J62">
    <cfRule type="cellIs" dxfId="15897" priority="134688" stopIfTrue="1" operator="equal">
      <formula>-1</formula>
    </cfRule>
  </conditionalFormatting>
  <conditionalFormatting sqref="J62">
    <cfRule type="cellIs" dxfId="15896" priority="134689" stopIfTrue="1" operator="lessThan">
      <formula>0.5</formula>
    </cfRule>
  </conditionalFormatting>
  <conditionalFormatting sqref="J62">
    <cfRule type="cellIs" dxfId="15895" priority="134690" stopIfTrue="1" operator="greaterThanOrEqual">
      <formula>0.5</formula>
    </cfRule>
  </conditionalFormatting>
  <conditionalFormatting sqref="J63">
    <cfRule type="cellIs" dxfId="15894" priority="134691" stopIfTrue="1" operator="equal">
      <formula>-1</formula>
    </cfRule>
  </conditionalFormatting>
  <conditionalFormatting sqref="J63">
    <cfRule type="cellIs" dxfId="15893" priority="134692" stopIfTrue="1" operator="lessThan">
      <formula>0.5</formula>
    </cfRule>
  </conditionalFormatting>
  <conditionalFormatting sqref="J63">
    <cfRule type="cellIs" dxfId="15892" priority="134693" stopIfTrue="1" operator="greaterThanOrEqual">
      <formula>0.5</formula>
    </cfRule>
  </conditionalFormatting>
  <conditionalFormatting sqref="L60">
    <cfRule type="cellIs" dxfId="15891" priority="134694" stopIfTrue="1" operator="equal">
      <formula>-1</formula>
    </cfRule>
  </conditionalFormatting>
  <conditionalFormatting sqref="L60">
    <cfRule type="cellIs" dxfId="15890" priority="134695" stopIfTrue="1" operator="lessThan">
      <formula>0.5</formula>
    </cfRule>
  </conditionalFormatting>
  <conditionalFormatting sqref="L60">
    <cfRule type="cellIs" dxfId="15889" priority="134696" stopIfTrue="1" operator="greaterThanOrEqual">
      <formula>0.5</formula>
    </cfRule>
  </conditionalFormatting>
  <conditionalFormatting sqref="L61">
    <cfRule type="cellIs" dxfId="15888" priority="134697" stopIfTrue="1" operator="equal">
      <formula>-1</formula>
    </cfRule>
  </conditionalFormatting>
  <conditionalFormatting sqref="L61">
    <cfRule type="cellIs" dxfId="15887" priority="134698" stopIfTrue="1" operator="lessThan">
      <formula>0.5</formula>
    </cfRule>
  </conditionalFormatting>
  <conditionalFormatting sqref="L61">
    <cfRule type="cellIs" dxfId="15886" priority="134699" stopIfTrue="1" operator="greaterThanOrEqual">
      <formula>0.5</formula>
    </cfRule>
  </conditionalFormatting>
  <conditionalFormatting sqref="L62">
    <cfRule type="cellIs" dxfId="15885" priority="134700" stopIfTrue="1" operator="equal">
      <formula>-1</formula>
    </cfRule>
  </conditionalFormatting>
  <conditionalFormatting sqref="L62">
    <cfRule type="cellIs" dxfId="15884" priority="134701" stopIfTrue="1" operator="lessThan">
      <formula>0.5</formula>
    </cfRule>
  </conditionalFormatting>
  <conditionalFormatting sqref="L62">
    <cfRule type="cellIs" dxfId="15883" priority="134702" stopIfTrue="1" operator="greaterThanOrEqual">
      <formula>0.5</formula>
    </cfRule>
  </conditionalFormatting>
  <conditionalFormatting sqref="L63">
    <cfRule type="cellIs" dxfId="15882" priority="134703" stopIfTrue="1" operator="equal">
      <formula>-1</formula>
    </cfRule>
  </conditionalFormatting>
  <conditionalFormatting sqref="L63">
    <cfRule type="cellIs" dxfId="15881" priority="134704" stopIfTrue="1" operator="lessThan">
      <formula>0.5</formula>
    </cfRule>
  </conditionalFormatting>
  <conditionalFormatting sqref="L63">
    <cfRule type="cellIs" dxfId="15880" priority="134705" stopIfTrue="1" operator="greaterThanOrEqual">
      <formula>0.5</formula>
    </cfRule>
  </conditionalFormatting>
  <conditionalFormatting sqref="N60">
    <cfRule type="cellIs" dxfId="15879" priority="134706" stopIfTrue="1" operator="equal">
      <formula>-1</formula>
    </cfRule>
  </conditionalFormatting>
  <conditionalFormatting sqref="N60">
    <cfRule type="cellIs" dxfId="15878" priority="134707" stopIfTrue="1" operator="lessThan">
      <formula>0.5</formula>
    </cfRule>
  </conditionalFormatting>
  <conditionalFormatting sqref="N60">
    <cfRule type="cellIs" dxfId="15877" priority="134708" stopIfTrue="1" operator="greaterThanOrEqual">
      <formula>0.5</formula>
    </cfRule>
  </conditionalFormatting>
  <conditionalFormatting sqref="N61">
    <cfRule type="cellIs" dxfId="15876" priority="134709" stopIfTrue="1" operator="equal">
      <formula>-1</formula>
    </cfRule>
  </conditionalFormatting>
  <conditionalFormatting sqref="N61">
    <cfRule type="cellIs" dxfId="15875" priority="134710" stopIfTrue="1" operator="lessThan">
      <formula>0.5</formula>
    </cfRule>
  </conditionalFormatting>
  <conditionalFormatting sqref="N61">
    <cfRule type="cellIs" dxfId="15874" priority="134711" stopIfTrue="1" operator="greaterThanOrEqual">
      <formula>0.5</formula>
    </cfRule>
  </conditionalFormatting>
  <conditionalFormatting sqref="N62">
    <cfRule type="cellIs" dxfId="15873" priority="134712" stopIfTrue="1" operator="equal">
      <formula>-1</formula>
    </cfRule>
  </conditionalFormatting>
  <conditionalFormatting sqref="N62">
    <cfRule type="cellIs" dxfId="15872" priority="134713" stopIfTrue="1" operator="lessThan">
      <formula>0.5</formula>
    </cfRule>
  </conditionalFormatting>
  <conditionalFormatting sqref="N62">
    <cfRule type="cellIs" dxfId="15871" priority="134714" stopIfTrue="1" operator="greaterThanOrEqual">
      <formula>0.5</formula>
    </cfRule>
  </conditionalFormatting>
  <conditionalFormatting sqref="N63">
    <cfRule type="cellIs" dxfId="15870" priority="134715" stopIfTrue="1" operator="equal">
      <formula>-1</formula>
    </cfRule>
  </conditionalFormatting>
  <conditionalFormatting sqref="N63">
    <cfRule type="cellIs" dxfId="15869" priority="134716" stopIfTrue="1" operator="lessThan">
      <formula>0.5</formula>
    </cfRule>
  </conditionalFormatting>
  <conditionalFormatting sqref="N63">
    <cfRule type="cellIs" dxfId="15868" priority="134717" stopIfTrue="1" operator="greaterThanOrEqual">
      <formula>0.5</formula>
    </cfRule>
  </conditionalFormatting>
  <conditionalFormatting sqref="P60">
    <cfRule type="cellIs" dxfId="15867" priority="134718" stopIfTrue="1" operator="equal">
      <formula>-1</formula>
    </cfRule>
  </conditionalFormatting>
  <conditionalFormatting sqref="P60">
    <cfRule type="cellIs" dxfId="15866" priority="134719" stopIfTrue="1" operator="lessThan">
      <formula>0.5</formula>
    </cfRule>
  </conditionalFormatting>
  <conditionalFormatting sqref="P60">
    <cfRule type="cellIs" dxfId="15865" priority="134720" stopIfTrue="1" operator="greaterThanOrEqual">
      <formula>0.5</formula>
    </cfRule>
  </conditionalFormatting>
  <conditionalFormatting sqref="P61">
    <cfRule type="cellIs" dxfId="15864" priority="134721" stopIfTrue="1" operator="equal">
      <formula>-1</formula>
    </cfRule>
  </conditionalFormatting>
  <conditionalFormatting sqref="P61">
    <cfRule type="cellIs" dxfId="15863" priority="134722" stopIfTrue="1" operator="lessThan">
      <formula>0.5</formula>
    </cfRule>
  </conditionalFormatting>
  <conditionalFormatting sqref="P61">
    <cfRule type="cellIs" dxfId="15862" priority="134723" stopIfTrue="1" operator="greaterThanOrEqual">
      <formula>0.5</formula>
    </cfRule>
  </conditionalFormatting>
  <conditionalFormatting sqref="P62">
    <cfRule type="cellIs" dxfId="15861" priority="134724" stopIfTrue="1" operator="equal">
      <formula>-1</formula>
    </cfRule>
  </conditionalFormatting>
  <conditionalFormatting sqref="P62">
    <cfRule type="cellIs" dxfId="15860" priority="134725" stopIfTrue="1" operator="lessThan">
      <formula>0.5</formula>
    </cfRule>
  </conditionalFormatting>
  <conditionalFormatting sqref="P62">
    <cfRule type="cellIs" dxfId="15859" priority="134726" stopIfTrue="1" operator="greaterThanOrEqual">
      <formula>0.5</formula>
    </cfRule>
  </conditionalFormatting>
  <conditionalFormatting sqref="P63">
    <cfRule type="cellIs" dxfId="15858" priority="134727" stopIfTrue="1" operator="equal">
      <formula>-1</formula>
    </cfRule>
  </conditionalFormatting>
  <conditionalFormatting sqref="P63">
    <cfRule type="cellIs" dxfId="15857" priority="134728" stopIfTrue="1" operator="lessThan">
      <formula>0.5</formula>
    </cfRule>
  </conditionalFormatting>
  <conditionalFormatting sqref="P63">
    <cfRule type="cellIs" dxfId="15856" priority="134729" stopIfTrue="1" operator="greaterThanOrEqual">
      <formula>0.5</formula>
    </cfRule>
  </conditionalFormatting>
  <conditionalFormatting sqref="R60">
    <cfRule type="cellIs" dxfId="15855" priority="134730" stopIfTrue="1" operator="equal">
      <formula>-1</formula>
    </cfRule>
  </conditionalFormatting>
  <conditionalFormatting sqref="R60">
    <cfRule type="cellIs" dxfId="15854" priority="134731" stopIfTrue="1" operator="lessThan">
      <formula>0.5</formula>
    </cfRule>
  </conditionalFormatting>
  <conditionalFormatting sqref="R60">
    <cfRule type="cellIs" dxfId="15853" priority="134732" stopIfTrue="1" operator="greaterThanOrEqual">
      <formula>0.5</formula>
    </cfRule>
  </conditionalFormatting>
  <conditionalFormatting sqref="R61">
    <cfRule type="cellIs" dxfId="15852" priority="134733" stopIfTrue="1" operator="equal">
      <formula>-1</formula>
    </cfRule>
  </conditionalFormatting>
  <conditionalFormatting sqref="R61">
    <cfRule type="cellIs" dxfId="15851" priority="134734" stopIfTrue="1" operator="lessThan">
      <formula>0.5</formula>
    </cfRule>
  </conditionalFormatting>
  <conditionalFormatting sqref="R61">
    <cfRule type="cellIs" dxfId="15850" priority="134735" stopIfTrue="1" operator="greaterThanOrEqual">
      <formula>0.5</formula>
    </cfRule>
  </conditionalFormatting>
  <conditionalFormatting sqref="R62">
    <cfRule type="cellIs" dxfId="15849" priority="134736" stopIfTrue="1" operator="equal">
      <formula>-1</formula>
    </cfRule>
  </conditionalFormatting>
  <conditionalFormatting sqref="R62">
    <cfRule type="cellIs" dxfId="15848" priority="134737" stopIfTrue="1" operator="lessThan">
      <formula>0.5</formula>
    </cfRule>
  </conditionalFormatting>
  <conditionalFormatting sqref="R62">
    <cfRule type="cellIs" dxfId="15847" priority="134738" stopIfTrue="1" operator="greaterThanOrEqual">
      <formula>0.5</formula>
    </cfRule>
  </conditionalFormatting>
  <conditionalFormatting sqref="R63">
    <cfRule type="cellIs" dxfId="15846" priority="134739" stopIfTrue="1" operator="equal">
      <formula>-1</formula>
    </cfRule>
  </conditionalFormatting>
  <conditionalFormatting sqref="R63">
    <cfRule type="cellIs" dxfId="15845" priority="134740" stopIfTrue="1" operator="lessThan">
      <formula>0.5</formula>
    </cfRule>
  </conditionalFormatting>
  <conditionalFormatting sqref="R63">
    <cfRule type="cellIs" dxfId="15844" priority="134741" stopIfTrue="1" operator="greaterThanOrEqual">
      <formula>0.5</formula>
    </cfRule>
  </conditionalFormatting>
  <conditionalFormatting sqref="T60">
    <cfRule type="cellIs" dxfId="15843" priority="134742" stopIfTrue="1" operator="equal">
      <formula>-1</formula>
    </cfRule>
  </conditionalFormatting>
  <conditionalFormatting sqref="T60">
    <cfRule type="cellIs" dxfId="15842" priority="134743" stopIfTrue="1" operator="lessThan">
      <formula>0.5</formula>
    </cfRule>
  </conditionalFormatting>
  <conditionalFormatting sqref="T60">
    <cfRule type="cellIs" dxfId="15841" priority="134744" stopIfTrue="1" operator="greaterThanOrEqual">
      <formula>0.5</formula>
    </cfRule>
  </conditionalFormatting>
  <conditionalFormatting sqref="T61">
    <cfRule type="cellIs" dxfId="15840" priority="134745" stopIfTrue="1" operator="equal">
      <formula>-1</formula>
    </cfRule>
  </conditionalFormatting>
  <conditionalFormatting sqref="T61">
    <cfRule type="cellIs" dxfId="15839" priority="134746" stopIfTrue="1" operator="lessThan">
      <formula>0.5</formula>
    </cfRule>
  </conditionalFormatting>
  <conditionalFormatting sqref="T61">
    <cfRule type="cellIs" dxfId="15838" priority="134747" stopIfTrue="1" operator="greaterThanOrEqual">
      <formula>0.5</formula>
    </cfRule>
  </conditionalFormatting>
  <conditionalFormatting sqref="T62">
    <cfRule type="cellIs" dxfId="15837" priority="134748" stopIfTrue="1" operator="equal">
      <formula>-1</formula>
    </cfRule>
  </conditionalFormatting>
  <conditionalFormatting sqref="T62">
    <cfRule type="cellIs" dxfId="15836" priority="134749" stopIfTrue="1" operator="lessThan">
      <formula>0.5</formula>
    </cfRule>
  </conditionalFormatting>
  <conditionalFormatting sqref="T62">
    <cfRule type="cellIs" dxfId="15835" priority="134750" stopIfTrue="1" operator="greaterThanOrEqual">
      <formula>0.5</formula>
    </cfRule>
  </conditionalFormatting>
  <conditionalFormatting sqref="T63">
    <cfRule type="cellIs" dxfId="15834" priority="134751" stopIfTrue="1" operator="equal">
      <formula>-1</formula>
    </cfRule>
  </conditionalFormatting>
  <conditionalFormatting sqref="T63">
    <cfRule type="cellIs" dxfId="15833" priority="134752" stopIfTrue="1" operator="lessThan">
      <formula>0.5</formula>
    </cfRule>
  </conditionalFormatting>
  <conditionalFormatting sqref="T63">
    <cfRule type="cellIs" dxfId="15832" priority="134753" stopIfTrue="1" operator="greaterThanOrEqual">
      <formula>0.5</formula>
    </cfRule>
  </conditionalFormatting>
  <conditionalFormatting sqref="V60">
    <cfRule type="cellIs" dxfId="15831" priority="134754" stopIfTrue="1" operator="equal">
      <formula>-1</formula>
    </cfRule>
  </conditionalFormatting>
  <conditionalFormatting sqref="V60">
    <cfRule type="cellIs" dxfId="15830" priority="134755" stopIfTrue="1" operator="lessThan">
      <formula>0.5</formula>
    </cfRule>
  </conditionalFormatting>
  <conditionalFormatting sqref="V60">
    <cfRule type="cellIs" dxfId="15829" priority="134756" stopIfTrue="1" operator="greaterThanOrEqual">
      <formula>0.5</formula>
    </cfRule>
  </conditionalFormatting>
  <conditionalFormatting sqref="V61">
    <cfRule type="cellIs" dxfId="15828" priority="134757" stopIfTrue="1" operator="equal">
      <formula>-1</formula>
    </cfRule>
  </conditionalFormatting>
  <conditionalFormatting sqref="V61">
    <cfRule type="cellIs" dxfId="15827" priority="134758" stopIfTrue="1" operator="lessThan">
      <formula>0.5</formula>
    </cfRule>
  </conditionalFormatting>
  <conditionalFormatting sqref="V61">
    <cfRule type="cellIs" dxfId="15826" priority="134759" stopIfTrue="1" operator="greaterThanOrEqual">
      <formula>0.5</formula>
    </cfRule>
  </conditionalFormatting>
  <conditionalFormatting sqref="V62">
    <cfRule type="cellIs" dxfId="15825" priority="134760" stopIfTrue="1" operator="equal">
      <formula>-1</formula>
    </cfRule>
  </conditionalFormatting>
  <conditionalFormatting sqref="V62">
    <cfRule type="cellIs" dxfId="15824" priority="134761" stopIfTrue="1" operator="lessThan">
      <formula>0.5</formula>
    </cfRule>
  </conditionalFormatting>
  <conditionalFormatting sqref="V62">
    <cfRule type="cellIs" dxfId="15823" priority="134762" stopIfTrue="1" operator="greaterThanOrEqual">
      <formula>0.5</formula>
    </cfRule>
  </conditionalFormatting>
  <conditionalFormatting sqref="V63">
    <cfRule type="cellIs" dxfId="15822" priority="134763" stopIfTrue="1" operator="equal">
      <formula>-1</formula>
    </cfRule>
  </conditionalFormatting>
  <conditionalFormatting sqref="V63">
    <cfRule type="cellIs" dxfId="15821" priority="134764" stopIfTrue="1" operator="lessThan">
      <formula>0.5</formula>
    </cfRule>
  </conditionalFormatting>
  <conditionalFormatting sqref="V63">
    <cfRule type="cellIs" dxfId="15820" priority="134765" stopIfTrue="1" operator="greaterThanOrEqual">
      <formula>0.5</formula>
    </cfRule>
  </conditionalFormatting>
  <conditionalFormatting sqref="X60">
    <cfRule type="cellIs" dxfId="15819" priority="134766" stopIfTrue="1" operator="equal">
      <formula>-1</formula>
    </cfRule>
  </conditionalFormatting>
  <conditionalFormatting sqref="X60">
    <cfRule type="cellIs" dxfId="15818" priority="134767" stopIfTrue="1" operator="lessThan">
      <formula>0.5</formula>
    </cfRule>
  </conditionalFormatting>
  <conditionalFormatting sqref="X60">
    <cfRule type="cellIs" dxfId="15817" priority="134768" stopIfTrue="1" operator="greaterThanOrEqual">
      <formula>0.5</formula>
    </cfRule>
  </conditionalFormatting>
  <conditionalFormatting sqref="X61">
    <cfRule type="cellIs" dxfId="15816" priority="134769" stopIfTrue="1" operator="equal">
      <formula>-1</formula>
    </cfRule>
  </conditionalFormatting>
  <conditionalFormatting sqref="X61">
    <cfRule type="cellIs" dxfId="15815" priority="134770" stopIfTrue="1" operator="lessThan">
      <formula>0.5</formula>
    </cfRule>
  </conditionalFormatting>
  <conditionalFormatting sqref="X61">
    <cfRule type="cellIs" dxfId="15814" priority="134771" stopIfTrue="1" operator="greaterThanOrEqual">
      <formula>0.5</formula>
    </cfRule>
  </conditionalFormatting>
  <conditionalFormatting sqref="X62">
    <cfRule type="cellIs" dxfId="15813" priority="134772" stopIfTrue="1" operator="equal">
      <formula>-1</formula>
    </cfRule>
  </conditionalFormatting>
  <conditionalFormatting sqref="X62">
    <cfRule type="cellIs" dxfId="15812" priority="134773" stopIfTrue="1" operator="lessThan">
      <formula>0.5</formula>
    </cfRule>
  </conditionalFormatting>
  <conditionalFormatting sqref="X62">
    <cfRule type="cellIs" dxfId="15811" priority="134774" stopIfTrue="1" operator="greaterThanOrEqual">
      <formula>0.5</formula>
    </cfRule>
  </conditionalFormatting>
  <conditionalFormatting sqref="X63">
    <cfRule type="cellIs" dxfId="15810" priority="134775" stopIfTrue="1" operator="equal">
      <formula>-1</formula>
    </cfRule>
  </conditionalFormatting>
  <conditionalFormatting sqref="X63">
    <cfRule type="cellIs" dxfId="15809" priority="134776" stopIfTrue="1" operator="lessThan">
      <formula>0.5</formula>
    </cfRule>
  </conditionalFormatting>
  <conditionalFormatting sqref="X63">
    <cfRule type="cellIs" dxfId="15808" priority="134777" stopIfTrue="1" operator="greaterThanOrEqual">
      <formula>0.5</formula>
    </cfRule>
  </conditionalFormatting>
  <conditionalFormatting sqref="Z60">
    <cfRule type="cellIs" dxfId="15807" priority="134778" stopIfTrue="1" operator="equal">
      <formula>-1</formula>
    </cfRule>
  </conditionalFormatting>
  <conditionalFormatting sqref="Z60">
    <cfRule type="cellIs" dxfId="15806" priority="134779" stopIfTrue="1" operator="lessThan">
      <formula>0.5</formula>
    </cfRule>
  </conditionalFormatting>
  <conditionalFormatting sqref="Z60">
    <cfRule type="cellIs" dxfId="15805" priority="134780" stopIfTrue="1" operator="greaterThanOrEqual">
      <formula>0.5</formula>
    </cfRule>
  </conditionalFormatting>
  <conditionalFormatting sqref="Z61">
    <cfRule type="cellIs" dxfId="15804" priority="134781" stopIfTrue="1" operator="equal">
      <formula>-1</formula>
    </cfRule>
  </conditionalFormatting>
  <conditionalFormatting sqref="Z61">
    <cfRule type="cellIs" dxfId="15803" priority="134782" stopIfTrue="1" operator="lessThan">
      <formula>0.5</formula>
    </cfRule>
  </conditionalFormatting>
  <conditionalFormatting sqref="Z61">
    <cfRule type="cellIs" dxfId="15802" priority="134783" stopIfTrue="1" operator="greaterThanOrEqual">
      <formula>0.5</formula>
    </cfRule>
  </conditionalFormatting>
  <conditionalFormatting sqref="Z62">
    <cfRule type="cellIs" dxfId="15801" priority="134784" stopIfTrue="1" operator="equal">
      <formula>-1</formula>
    </cfRule>
  </conditionalFormatting>
  <conditionalFormatting sqref="Z62">
    <cfRule type="cellIs" dxfId="15800" priority="134785" stopIfTrue="1" operator="lessThan">
      <formula>0.5</formula>
    </cfRule>
  </conditionalFormatting>
  <conditionalFormatting sqref="Z62">
    <cfRule type="cellIs" dxfId="15799" priority="134786" stopIfTrue="1" operator="greaterThanOrEqual">
      <formula>0.5</formula>
    </cfRule>
  </conditionalFormatting>
  <conditionalFormatting sqref="Z63">
    <cfRule type="cellIs" dxfId="15798" priority="134787" stopIfTrue="1" operator="equal">
      <formula>-1</formula>
    </cfRule>
  </conditionalFormatting>
  <conditionalFormatting sqref="Z63">
    <cfRule type="cellIs" dxfId="15797" priority="134788" stopIfTrue="1" operator="lessThan">
      <formula>0.5</formula>
    </cfRule>
  </conditionalFormatting>
  <conditionalFormatting sqref="Z63">
    <cfRule type="cellIs" dxfId="15796" priority="134789" stopIfTrue="1" operator="greaterThanOrEqual">
      <formula>0.5</formula>
    </cfRule>
  </conditionalFormatting>
  <conditionalFormatting sqref="AB60">
    <cfRule type="cellIs" dxfId="15795" priority="134790" stopIfTrue="1" operator="equal">
      <formula>-1</formula>
    </cfRule>
  </conditionalFormatting>
  <conditionalFormatting sqref="AB60">
    <cfRule type="cellIs" dxfId="15794" priority="134791" stopIfTrue="1" operator="lessThan">
      <formula>0.5</formula>
    </cfRule>
  </conditionalFormatting>
  <conditionalFormatting sqref="AB60">
    <cfRule type="cellIs" dxfId="15793" priority="134792" stopIfTrue="1" operator="greaterThanOrEqual">
      <formula>0.5</formula>
    </cfRule>
  </conditionalFormatting>
  <conditionalFormatting sqref="AB61">
    <cfRule type="cellIs" dxfId="15792" priority="134793" stopIfTrue="1" operator="equal">
      <formula>-1</formula>
    </cfRule>
  </conditionalFormatting>
  <conditionalFormatting sqref="AB61">
    <cfRule type="cellIs" dxfId="15791" priority="134794" stopIfTrue="1" operator="lessThan">
      <formula>0.5</formula>
    </cfRule>
  </conditionalFormatting>
  <conditionalFormatting sqref="AB61">
    <cfRule type="cellIs" dxfId="15790" priority="134795" stopIfTrue="1" operator="greaterThanOrEqual">
      <formula>0.5</formula>
    </cfRule>
  </conditionalFormatting>
  <conditionalFormatting sqref="AB62">
    <cfRule type="cellIs" dxfId="15789" priority="134796" stopIfTrue="1" operator="equal">
      <formula>-1</formula>
    </cfRule>
  </conditionalFormatting>
  <conditionalFormatting sqref="AB62">
    <cfRule type="cellIs" dxfId="15788" priority="134797" stopIfTrue="1" operator="lessThan">
      <formula>0.5</formula>
    </cfRule>
  </conditionalFormatting>
  <conditionalFormatting sqref="AB62">
    <cfRule type="cellIs" dxfId="15787" priority="134798" stopIfTrue="1" operator="greaterThanOrEqual">
      <formula>0.5</formula>
    </cfRule>
  </conditionalFormatting>
  <conditionalFormatting sqref="AB63">
    <cfRule type="cellIs" dxfId="15786" priority="134799" stopIfTrue="1" operator="equal">
      <formula>-1</formula>
    </cfRule>
  </conditionalFormatting>
  <conditionalFormatting sqref="AB63">
    <cfRule type="cellIs" dxfId="15785" priority="134800" stopIfTrue="1" operator="lessThan">
      <formula>0.5</formula>
    </cfRule>
  </conditionalFormatting>
  <conditionalFormatting sqref="AB63">
    <cfRule type="cellIs" dxfId="15784" priority="134801" stopIfTrue="1" operator="greaterThanOrEqual">
      <formula>0.5</formula>
    </cfRule>
  </conditionalFormatting>
  <conditionalFormatting sqref="AD60">
    <cfRule type="cellIs" dxfId="15783" priority="134802" stopIfTrue="1" operator="equal">
      <formula>-1</formula>
    </cfRule>
  </conditionalFormatting>
  <conditionalFormatting sqref="AD60">
    <cfRule type="cellIs" dxfId="15782" priority="134803" stopIfTrue="1" operator="lessThan">
      <formula>0.5</formula>
    </cfRule>
  </conditionalFormatting>
  <conditionalFormatting sqref="AD60">
    <cfRule type="cellIs" dxfId="15781" priority="134804" stopIfTrue="1" operator="greaterThanOrEqual">
      <formula>0.5</formula>
    </cfRule>
  </conditionalFormatting>
  <conditionalFormatting sqref="AD61">
    <cfRule type="cellIs" dxfId="15780" priority="134805" stopIfTrue="1" operator="equal">
      <formula>-1</formula>
    </cfRule>
  </conditionalFormatting>
  <conditionalFormatting sqref="AD61">
    <cfRule type="cellIs" dxfId="15779" priority="134806" stopIfTrue="1" operator="lessThan">
      <formula>0.5</formula>
    </cfRule>
  </conditionalFormatting>
  <conditionalFormatting sqref="AD61">
    <cfRule type="cellIs" dxfId="15778" priority="134807" stopIfTrue="1" operator="greaterThanOrEqual">
      <formula>0.5</formula>
    </cfRule>
  </conditionalFormatting>
  <conditionalFormatting sqref="AD62">
    <cfRule type="cellIs" dxfId="15777" priority="134808" stopIfTrue="1" operator="equal">
      <formula>-1</formula>
    </cfRule>
  </conditionalFormatting>
  <conditionalFormatting sqref="AD62">
    <cfRule type="cellIs" dxfId="15776" priority="134809" stopIfTrue="1" operator="lessThan">
      <formula>0.5</formula>
    </cfRule>
  </conditionalFormatting>
  <conditionalFormatting sqref="AD62">
    <cfRule type="cellIs" dxfId="15775" priority="134810" stopIfTrue="1" operator="greaterThanOrEqual">
      <formula>0.5</formula>
    </cfRule>
  </conditionalFormatting>
  <conditionalFormatting sqref="AD63">
    <cfRule type="cellIs" dxfId="15774" priority="134811" stopIfTrue="1" operator="equal">
      <formula>-1</formula>
    </cfRule>
  </conditionalFormatting>
  <conditionalFormatting sqref="AD63">
    <cfRule type="cellIs" dxfId="15773" priority="134812" stopIfTrue="1" operator="lessThan">
      <formula>0.5</formula>
    </cfRule>
  </conditionalFormatting>
  <conditionalFormatting sqref="AD63">
    <cfRule type="cellIs" dxfId="15772" priority="134813" stopIfTrue="1" operator="greaterThanOrEqual">
      <formula>0.5</formula>
    </cfRule>
  </conditionalFormatting>
  <conditionalFormatting sqref="AF60">
    <cfRule type="cellIs" dxfId="15771" priority="134814" stopIfTrue="1" operator="equal">
      <formula>-1</formula>
    </cfRule>
  </conditionalFormatting>
  <conditionalFormatting sqref="AF60">
    <cfRule type="cellIs" dxfId="15770" priority="134815" stopIfTrue="1" operator="lessThan">
      <formula>0.5</formula>
    </cfRule>
  </conditionalFormatting>
  <conditionalFormatting sqref="AF60">
    <cfRule type="cellIs" dxfId="15769" priority="134816" stopIfTrue="1" operator="greaterThanOrEqual">
      <formula>0.5</formula>
    </cfRule>
  </conditionalFormatting>
  <conditionalFormatting sqref="AF61">
    <cfRule type="cellIs" dxfId="15768" priority="134817" stopIfTrue="1" operator="equal">
      <formula>-1</formula>
    </cfRule>
  </conditionalFormatting>
  <conditionalFormatting sqref="AF61">
    <cfRule type="cellIs" dxfId="15767" priority="134818" stopIfTrue="1" operator="lessThan">
      <formula>0.5</formula>
    </cfRule>
  </conditionalFormatting>
  <conditionalFormatting sqref="AF61">
    <cfRule type="cellIs" dxfId="15766" priority="134819" stopIfTrue="1" operator="greaterThanOrEqual">
      <formula>0.5</formula>
    </cfRule>
  </conditionalFormatting>
  <conditionalFormatting sqref="AF62">
    <cfRule type="cellIs" dxfId="15765" priority="134820" stopIfTrue="1" operator="equal">
      <formula>-1</formula>
    </cfRule>
  </conditionalFormatting>
  <conditionalFormatting sqref="AF62">
    <cfRule type="cellIs" dxfId="15764" priority="134821" stopIfTrue="1" operator="lessThan">
      <formula>0.5</formula>
    </cfRule>
  </conditionalFormatting>
  <conditionalFormatting sqref="AF62">
    <cfRule type="cellIs" dxfId="15763" priority="134822" stopIfTrue="1" operator="greaterThanOrEqual">
      <formula>0.5</formula>
    </cfRule>
  </conditionalFormatting>
  <conditionalFormatting sqref="AF63">
    <cfRule type="cellIs" dxfId="15762" priority="134823" stopIfTrue="1" operator="equal">
      <formula>-1</formula>
    </cfRule>
  </conditionalFormatting>
  <conditionalFormatting sqref="AF63">
    <cfRule type="cellIs" dxfId="15761" priority="134824" stopIfTrue="1" operator="lessThan">
      <formula>0.5</formula>
    </cfRule>
  </conditionalFormatting>
  <conditionalFormatting sqref="AF63">
    <cfRule type="cellIs" dxfId="15760" priority="134825" stopIfTrue="1" operator="greaterThanOrEqual">
      <formula>0.5</formula>
    </cfRule>
  </conditionalFormatting>
  <conditionalFormatting sqref="AH60">
    <cfRule type="cellIs" dxfId="15759" priority="134826" stopIfTrue="1" operator="equal">
      <formula>-1</formula>
    </cfRule>
  </conditionalFormatting>
  <conditionalFormatting sqref="AH60">
    <cfRule type="cellIs" dxfId="15758" priority="134827" stopIfTrue="1" operator="lessThan">
      <formula>0.5</formula>
    </cfRule>
  </conditionalFormatting>
  <conditionalFormatting sqref="AH60">
    <cfRule type="cellIs" dxfId="15757" priority="134828" stopIfTrue="1" operator="greaterThanOrEqual">
      <formula>0.5</formula>
    </cfRule>
  </conditionalFormatting>
  <conditionalFormatting sqref="AH61">
    <cfRule type="cellIs" dxfId="15756" priority="134829" stopIfTrue="1" operator="equal">
      <formula>-1</formula>
    </cfRule>
  </conditionalFormatting>
  <conditionalFormatting sqref="AH61">
    <cfRule type="cellIs" dxfId="15755" priority="134830" stopIfTrue="1" operator="lessThan">
      <formula>0.5</formula>
    </cfRule>
  </conditionalFormatting>
  <conditionalFormatting sqref="AH61">
    <cfRule type="cellIs" dxfId="15754" priority="134831" stopIfTrue="1" operator="greaterThanOrEqual">
      <formula>0.5</formula>
    </cfRule>
  </conditionalFormatting>
  <conditionalFormatting sqref="AH62">
    <cfRule type="cellIs" dxfId="15753" priority="134832" stopIfTrue="1" operator="equal">
      <formula>-1</formula>
    </cfRule>
  </conditionalFormatting>
  <conditionalFormatting sqref="AH62">
    <cfRule type="cellIs" dxfId="15752" priority="134833" stopIfTrue="1" operator="lessThan">
      <formula>0.5</formula>
    </cfRule>
  </conditionalFormatting>
  <conditionalFormatting sqref="AH62">
    <cfRule type="cellIs" dxfId="15751" priority="134834" stopIfTrue="1" operator="greaterThanOrEqual">
      <formula>0.5</formula>
    </cfRule>
  </conditionalFormatting>
  <conditionalFormatting sqref="AH63">
    <cfRule type="cellIs" dxfId="15750" priority="134835" stopIfTrue="1" operator="equal">
      <formula>-1</formula>
    </cfRule>
  </conditionalFormatting>
  <conditionalFormatting sqref="AH63">
    <cfRule type="cellIs" dxfId="15749" priority="134836" stopIfTrue="1" operator="lessThan">
      <formula>0.5</formula>
    </cfRule>
  </conditionalFormatting>
  <conditionalFormatting sqref="AH63">
    <cfRule type="cellIs" dxfId="15748" priority="134837" stopIfTrue="1" operator="greaterThanOrEqual">
      <formula>0.5</formula>
    </cfRule>
  </conditionalFormatting>
  <conditionalFormatting sqref="AJ60">
    <cfRule type="cellIs" dxfId="15747" priority="134838" stopIfTrue="1" operator="equal">
      <formula>-1</formula>
    </cfRule>
  </conditionalFormatting>
  <conditionalFormatting sqref="AJ60">
    <cfRule type="cellIs" dxfId="15746" priority="134839" stopIfTrue="1" operator="lessThan">
      <formula>0.5</formula>
    </cfRule>
  </conditionalFormatting>
  <conditionalFormatting sqref="AJ60">
    <cfRule type="cellIs" dxfId="15745" priority="134840" stopIfTrue="1" operator="greaterThanOrEqual">
      <formula>0.5</formula>
    </cfRule>
  </conditionalFormatting>
  <conditionalFormatting sqref="AJ61">
    <cfRule type="cellIs" dxfId="15744" priority="134841" stopIfTrue="1" operator="equal">
      <formula>-1</formula>
    </cfRule>
  </conditionalFormatting>
  <conditionalFormatting sqref="AJ61">
    <cfRule type="cellIs" dxfId="15743" priority="134842" stopIfTrue="1" operator="lessThan">
      <formula>0.5</formula>
    </cfRule>
  </conditionalFormatting>
  <conditionalFormatting sqref="AJ61">
    <cfRule type="cellIs" dxfId="15742" priority="134843" stopIfTrue="1" operator="greaterThanOrEqual">
      <formula>0.5</formula>
    </cfRule>
  </conditionalFormatting>
  <conditionalFormatting sqref="AJ62">
    <cfRule type="cellIs" dxfId="15741" priority="134844" stopIfTrue="1" operator="equal">
      <formula>-1</formula>
    </cfRule>
  </conditionalFormatting>
  <conditionalFormatting sqref="AJ62">
    <cfRule type="cellIs" dxfId="15740" priority="134845" stopIfTrue="1" operator="lessThan">
      <formula>0.5</formula>
    </cfRule>
  </conditionalFormatting>
  <conditionalFormatting sqref="AJ62">
    <cfRule type="cellIs" dxfId="15739" priority="134846" stopIfTrue="1" operator="greaterThanOrEqual">
      <formula>0.5</formula>
    </cfRule>
  </conditionalFormatting>
  <conditionalFormatting sqref="AJ63">
    <cfRule type="cellIs" dxfId="15738" priority="134847" stopIfTrue="1" operator="equal">
      <formula>-1</formula>
    </cfRule>
  </conditionalFormatting>
  <conditionalFormatting sqref="AJ63">
    <cfRule type="cellIs" dxfId="15737" priority="134848" stopIfTrue="1" operator="lessThan">
      <formula>0.5</formula>
    </cfRule>
  </conditionalFormatting>
  <conditionalFormatting sqref="AJ63">
    <cfRule type="cellIs" dxfId="15736" priority="134849" stopIfTrue="1" operator="greaterThanOrEqual">
      <formula>0.5</formula>
    </cfRule>
  </conditionalFormatting>
  <conditionalFormatting sqref="AL60">
    <cfRule type="cellIs" dxfId="15735" priority="134850" stopIfTrue="1" operator="equal">
      <formula>-1</formula>
    </cfRule>
  </conditionalFormatting>
  <conditionalFormatting sqref="AL60">
    <cfRule type="cellIs" dxfId="15734" priority="134851" stopIfTrue="1" operator="lessThan">
      <formula>0.5</formula>
    </cfRule>
  </conditionalFormatting>
  <conditionalFormatting sqref="AL60">
    <cfRule type="cellIs" dxfId="15733" priority="134852" stopIfTrue="1" operator="greaterThanOrEqual">
      <formula>0.5</formula>
    </cfRule>
  </conditionalFormatting>
  <conditionalFormatting sqref="AL61">
    <cfRule type="cellIs" dxfId="15732" priority="134853" stopIfTrue="1" operator="equal">
      <formula>-1</formula>
    </cfRule>
  </conditionalFormatting>
  <conditionalFormatting sqref="AL61">
    <cfRule type="cellIs" dxfId="15731" priority="134854" stopIfTrue="1" operator="lessThan">
      <formula>0.5</formula>
    </cfRule>
  </conditionalFormatting>
  <conditionalFormatting sqref="AL61">
    <cfRule type="cellIs" dxfId="15730" priority="134855" stopIfTrue="1" operator="greaterThanOrEqual">
      <formula>0.5</formula>
    </cfRule>
  </conditionalFormatting>
  <conditionalFormatting sqref="AL62">
    <cfRule type="cellIs" dxfId="15729" priority="134856" stopIfTrue="1" operator="equal">
      <formula>-1</formula>
    </cfRule>
  </conditionalFormatting>
  <conditionalFormatting sqref="AL62">
    <cfRule type="cellIs" dxfId="15728" priority="134857" stopIfTrue="1" operator="lessThan">
      <formula>0.5</formula>
    </cfRule>
  </conditionalFormatting>
  <conditionalFormatting sqref="AL62">
    <cfRule type="cellIs" dxfId="15727" priority="134858" stopIfTrue="1" operator="greaterThanOrEqual">
      <formula>0.5</formula>
    </cfRule>
  </conditionalFormatting>
  <conditionalFormatting sqref="AL63">
    <cfRule type="cellIs" dxfId="15726" priority="134859" stopIfTrue="1" operator="equal">
      <formula>-1</formula>
    </cfRule>
  </conditionalFormatting>
  <conditionalFormatting sqref="AL63">
    <cfRule type="cellIs" dxfId="15725" priority="134860" stopIfTrue="1" operator="lessThan">
      <formula>0.5</formula>
    </cfRule>
  </conditionalFormatting>
  <conditionalFormatting sqref="AL63">
    <cfRule type="cellIs" dxfId="15724" priority="134861" stopIfTrue="1" operator="greaterThanOrEqual">
      <formula>0.5</formula>
    </cfRule>
  </conditionalFormatting>
  <conditionalFormatting sqref="AN60">
    <cfRule type="cellIs" dxfId="15723" priority="134862" stopIfTrue="1" operator="equal">
      <formula>-1</formula>
    </cfRule>
  </conditionalFormatting>
  <conditionalFormatting sqref="AN60">
    <cfRule type="cellIs" dxfId="15722" priority="134863" stopIfTrue="1" operator="lessThan">
      <formula>0.5</formula>
    </cfRule>
  </conditionalFormatting>
  <conditionalFormatting sqref="AN60">
    <cfRule type="cellIs" dxfId="15721" priority="134864" stopIfTrue="1" operator="greaterThanOrEqual">
      <formula>0.5</formula>
    </cfRule>
  </conditionalFormatting>
  <conditionalFormatting sqref="AN61">
    <cfRule type="cellIs" dxfId="15720" priority="134865" stopIfTrue="1" operator="equal">
      <formula>-1</formula>
    </cfRule>
  </conditionalFormatting>
  <conditionalFormatting sqref="AN61">
    <cfRule type="cellIs" dxfId="15719" priority="134866" stopIfTrue="1" operator="lessThan">
      <formula>0.5</formula>
    </cfRule>
  </conditionalFormatting>
  <conditionalFormatting sqref="AN61">
    <cfRule type="cellIs" dxfId="15718" priority="134867" stopIfTrue="1" operator="greaterThanOrEqual">
      <formula>0.5</formula>
    </cfRule>
  </conditionalFormatting>
  <conditionalFormatting sqref="AN62">
    <cfRule type="cellIs" dxfId="15717" priority="134868" stopIfTrue="1" operator="equal">
      <formula>-1</formula>
    </cfRule>
  </conditionalFormatting>
  <conditionalFormatting sqref="AN62">
    <cfRule type="cellIs" dxfId="15716" priority="134869" stopIfTrue="1" operator="lessThan">
      <formula>0.5</formula>
    </cfRule>
  </conditionalFormatting>
  <conditionalFormatting sqref="AN62">
    <cfRule type="cellIs" dxfId="15715" priority="134870" stopIfTrue="1" operator="greaterThanOrEqual">
      <formula>0.5</formula>
    </cfRule>
  </conditionalFormatting>
  <conditionalFormatting sqref="AN63">
    <cfRule type="cellIs" dxfId="15714" priority="134871" stopIfTrue="1" operator="equal">
      <formula>-1</formula>
    </cfRule>
  </conditionalFormatting>
  <conditionalFormatting sqref="AN63">
    <cfRule type="cellIs" dxfId="15713" priority="134872" stopIfTrue="1" operator="lessThan">
      <formula>0.5</formula>
    </cfRule>
  </conditionalFormatting>
  <conditionalFormatting sqref="AN63">
    <cfRule type="cellIs" dxfId="15712" priority="134873" stopIfTrue="1" operator="greaterThanOrEqual">
      <formula>0.5</formula>
    </cfRule>
  </conditionalFormatting>
  <conditionalFormatting sqref="AP60">
    <cfRule type="cellIs" dxfId="15711" priority="134874" stopIfTrue="1" operator="equal">
      <formula>-1</formula>
    </cfRule>
  </conditionalFormatting>
  <conditionalFormatting sqref="AP60">
    <cfRule type="cellIs" dxfId="15710" priority="134875" stopIfTrue="1" operator="lessThan">
      <formula>0.5</formula>
    </cfRule>
  </conditionalFormatting>
  <conditionalFormatting sqref="AP60">
    <cfRule type="cellIs" dxfId="15709" priority="134876" stopIfTrue="1" operator="greaterThanOrEqual">
      <formula>0.5</formula>
    </cfRule>
  </conditionalFormatting>
  <conditionalFormatting sqref="AP61">
    <cfRule type="cellIs" dxfId="15708" priority="134877" stopIfTrue="1" operator="equal">
      <formula>-1</formula>
    </cfRule>
  </conditionalFormatting>
  <conditionalFormatting sqref="AP61">
    <cfRule type="cellIs" dxfId="15707" priority="134878" stopIfTrue="1" operator="lessThan">
      <formula>0.5</formula>
    </cfRule>
  </conditionalFormatting>
  <conditionalFormatting sqref="AP61">
    <cfRule type="cellIs" dxfId="15706" priority="134879" stopIfTrue="1" operator="greaterThanOrEqual">
      <formula>0.5</formula>
    </cfRule>
  </conditionalFormatting>
  <conditionalFormatting sqref="AP62">
    <cfRule type="cellIs" dxfId="15705" priority="134880" stopIfTrue="1" operator="equal">
      <formula>-1</formula>
    </cfRule>
  </conditionalFormatting>
  <conditionalFormatting sqref="AP62">
    <cfRule type="cellIs" dxfId="15704" priority="134881" stopIfTrue="1" operator="lessThan">
      <formula>0.5</formula>
    </cfRule>
  </conditionalFormatting>
  <conditionalFormatting sqref="AP62">
    <cfRule type="cellIs" dxfId="15703" priority="134882" stopIfTrue="1" operator="greaterThanOrEqual">
      <formula>0.5</formula>
    </cfRule>
  </conditionalFormatting>
  <conditionalFormatting sqref="AP63">
    <cfRule type="cellIs" dxfId="15702" priority="134883" stopIfTrue="1" operator="equal">
      <formula>-1</formula>
    </cfRule>
  </conditionalFormatting>
  <conditionalFormatting sqref="AP63">
    <cfRule type="cellIs" dxfId="15701" priority="134884" stopIfTrue="1" operator="lessThan">
      <formula>0.5</formula>
    </cfRule>
  </conditionalFormatting>
  <conditionalFormatting sqref="AP63">
    <cfRule type="cellIs" dxfId="15700" priority="134885" stopIfTrue="1" operator="greaterThanOrEqual">
      <formula>0.5</formula>
    </cfRule>
  </conditionalFormatting>
  <conditionalFormatting sqref="AR60">
    <cfRule type="cellIs" dxfId="15699" priority="134886" stopIfTrue="1" operator="equal">
      <formula>-1</formula>
    </cfRule>
  </conditionalFormatting>
  <conditionalFormatting sqref="AR60">
    <cfRule type="cellIs" dxfId="15698" priority="134887" stopIfTrue="1" operator="lessThan">
      <formula>0.5</formula>
    </cfRule>
  </conditionalFormatting>
  <conditionalFormatting sqref="AR60">
    <cfRule type="cellIs" dxfId="15697" priority="134888" stopIfTrue="1" operator="greaterThanOrEqual">
      <formula>0.5</formula>
    </cfRule>
  </conditionalFormatting>
  <conditionalFormatting sqref="AR61">
    <cfRule type="cellIs" dxfId="15696" priority="134889" stopIfTrue="1" operator="equal">
      <formula>-1</formula>
    </cfRule>
  </conditionalFormatting>
  <conditionalFormatting sqref="AR61">
    <cfRule type="cellIs" dxfId="15695" priority="134890" stopIfTrue="1" operator="lessThan">
      <formula>0.5</formula>
    </cfRule>
  </conditionalFormatting>
  <conditionalFormatting sqref="AR61">
    <cfRule type="cellIs" dxfId="15694" priority="134891" stopIfTrue="1" operator="greaterThanOrEqual">
      <formula>0.5</formula>
    </cfRule>
  </conditionalFormatting>
  <conditionalFormatting sqref="AR62">
    <cfRule type="cellIs" dxfId="15693" priority="134892" stopIfTrue="1" operator="equal">
      <formula>-1</formula>
    </cfRule>
  </conditionalFormatting>
  <conditionalFormatting sqref="AR62">
    <cfRule type="cellIs" dxfId="15692" priority="134893" stopIfTrue="1" operator="lessThan">
      <formula>0.5</formula>
    </cfRule>
  </conditionalFormatting>
  <conditionalFormatting sqref="AR62">
    <cfRule type="cellIs" dxfId="15691" priority="134894" stopIfTrue="1" operator="greaterThanOrEqual">
      <formula>0.5</formula>
    </cfRule>
  </conditionalFormatting>
  <conditionalFormatting sqref="AR63">
    <cfRule type="cellIs" dxfId="15690" priority="134895" stopIfTrue="1" operator="equal">
      <formula>-1</formula>
    </cfRule>
  </conditionalFormatting>
  <conditionalFormatting sqref="AR63">
    <cfRule type="cellIs" dxfId="15689" priority="134896" stopIfTrue="1" operator="lessThan">
      <formula>0.5</formula>
    </cfRule>
  </conditionalFormatting>
  <conditionalFormatting sqref="AR63">
    <cfRule type="cellIs" dxfId="15688" priority="134897" stopIfTrue="1" operator="greaterThanOrEqual">
      <formula>0.5</formula>
    </cfRule>
  </conditionalFormatting>
  <conditionalFormatting sqref="AT60">
    <cfRule type="cellIs" dxfId="15687" priority="134898" stopIfTrue="1" operator="equal">
      <formula>-1</formula>
    </cfRule>
  </conditionalFormatting>
  <conditionalFormatting sqref="AT60">
    <cfRule type="cellIs" dxfId="15686" priority="134899" stopIfTrue="1" operator="lessThan">
      <formula>0.5</formula>
    </cfRule>
  </conditionalFormatting>
  <conditionalFormatting sqref="AT60">
    <cfRule type="cellIs" dxfId="15685" priority="134900" stopIfTrue="1" operator="greaterThanOrEqual">
      <formula>0.5</formula>
    </cfRule>
  </conditionalFormatting>
  <conditionalFormatting sqref="AT61">
    <cfRule type="cellIs" dxfId="15684" priority="134901" stopIfTrue="1" operator="equal">
      <formula>-1</formula>
    </cfRule>
  </conditionalFormatting>
  <conditionalFormatting sqref="AT61">
    <cfRule type="cellIs" dxfId="15683" priority="134902" stopIfTrue="1" operator="lessThan">
      <formula>0.5</formula>
    </cfRule>
  </conditionalFormatting>
  <conditionalFormatting sqref="AT61">
    <cfRule type="cellIs" dxfId="15682" priority="134903" stopIfTrue="1" operator="greaterThanOrEqual">
      <formula>0.5</formula>
    </cfRule>
  </conditionalFormatting>
  <conditionalFormatting sqref="AT62">
    <cfRule type="cellIs" dxfId="15681" priority="134904" stopIfTrue="1" operator="equal">
      <formula>-1</formula>
    </cfRule>
  </conditionalFormatting>
  <conditionalFormatting sqref="AT62">
    <cfRule type="cellIs" dxfId="15680" priority="134905" stopIfTrue="1" operator="lessThan">
      <formula>0.5</formula>
    </cfRule>
  </conditionalFormatting>
  <conditionalFormatting sqref="AT62">
    <cfRule type="cellIs" dxfId="15679" priority="134906" stopIfTrue="1" operator="greaterThanOrEqual">
      <formula>0.5</formula>
    </cfRule>
  </conditionalFormatting>
  <conditionalFormatting sqref="AT63">
    <cfRule type="cellIs" dxfId="15678" priority="134907" stopIfTrue="1" operator="equal">
      <formula>-1</formula>
    </cfRule>
  </conditionalFormatting>
  <conditionalFormatting sqref="AT63">
    <cfRule type="cellIs" dxfId="15677" priority="134908" stopIfTrue="1" operator="lessThan">
      <formula>0.5</formula>
    </cfRule>
  </conditionalFormatting>
  <conditionalFormatting sqref="AT63">
    <cfRule type="cellIs" dxfId="15676" priority="134909" stopIfTrue="1" operator="greaterThanOrEqual">
      <formula>0.5</formula>
    </cfRule>
  </conditionalFormatting>
  <conditionalFormatting sqref="AV60">
    <cfRule type="cellIs" dxfId="15675" priority="134910" stopIfTrue="1" operator="equal">
      <formula>-1</formula>
    </cfRule>
  </conditionalFormatting>
  <conditionalFormatting sqref="AV60">
    <cfRule type="cellIs" dxfId="15674" priority="134911" stopIfTrue="1" operator="lessThan">
      <formula>0.5</formula>
    </cfRule>
  </conditionalFormatting>
  <conditionalFormatting sqref="AV60">
    <cfRule type="cellIs" dxfId="15673" priority="134912" stopIfTrue="1" operator="greaterThanOrEqual">
      <formula>0.5</formula>
    </cfRule>
  </conditionalFormatting>
  <conditionalFormatting sqref="AV61">
    <cfRule type="cellIs" dxfId="15672" priority="134913" stopIfTrue="1" operator="equal">
      <formula>-1</formula>
    </cfRule>
  </conditionalFormatting>
  <conditionalFormatting sqref="AV61">
    <cfRule type="cellIs" dxfId="15671" priority="134914" stopIfTrue="1" operator="lessThan">
      <formula>0.5</formula>
    </cfRule>
  </conditionalFormatting>
  <conditionalFormatting sqref="AV61">
    <cfRule type="cellIs" dxfId="15670" priority="134915" stopIfTrue="1" operator="greaterThanOrEqual">
      <formula>0.5</formula>
    </cfRule>
  </conditionalFormatting>
  <conditionalFormatting sqref="AV62">
    <cfRule type="cellIs" dxfId="15669" priority="134916" stopIfTrue="1" operator="equal">
      <formula>-1</formula>
    </cfRule>
  </conditionalFormatting>
  <conditionalFormatting sqref="AV62">
    <cfRule type="cellIs" dxfId="15668" priority="134917" stopIfTrue="1" operator="lessThan">
      <formula>0.5</formula>
    </cfRule>
  </conditionalFormatting>
  <conditionalFormatting sqref="AV62">
    <cfRule type="cellIs" dxfId="15667" priority="134918" stopIfTrue="1" operator="greaterThanOrEqual">
      <formula>0.5</formula>
    </cfRule>
  </conditionalFormatting>
  <conditionalFormatting sqref="AV63">
    <cfRule type="cellIs" dxfId="15666" priority="134919" stopIfTrue="1" operator="equal">
      <formula>-1</formula>
    </cfRule>
  </conditionalFormatting>
  <conditionalFormatting sqref="AV63">
    <cfRule type="cellIs" dxfId="15665" priority="134920" stopIfTrue="1" operator="lessThan">
      <formula>0.5</formula>
    </cfRule>
  </conditionalFormatting>
  <conditionalFormatting sqref="AV63">
    <cfRule type="cellIs" dxfId="15664" priority="134921" stopIfTrue="1" operator="greaterThanOrEqual">
      <formula>0.5</formula>
    </cfRule>
  </conditionalFormatting>
  <conditionalFormatting sqref="AX60">
    <cfRule type="cellIs" dxfId="15663" priority="134922" stopIfTrue="1" operator="equal">
      <formula>-1</formula>
    </cfRule>
  </conditionalFormatting>
  <conditionalFormatting sqref="AX60">
    <cfRule type="cellIs" dxfId="15662" priority="134923" stopIfTrue="1" operator="lessThan">
      <formula>0.5</formula>
    </cfRule>
  </conditionalFormatting>
  <conditionalFormatting sqref="AX60">
    <cfRule type="cellIs" dxfId="15661" priority="134924" stopIfTrue="1" operator="greaterThanOrEqual">
      <formula>0.5</formula>
    </cfRule>
  </conditionalFormatting>
  <conditionalFormatting sqref="AX61">
    <cfRule type="cellIs" dxfId="15660" priority="134925" stopIfTrue="1" operator="equal">
      <formula>-1</formula>
    </cfRule>
  </conditionalFormatting>
  <conditionalFormatting sqref="AX61">
    <cfRule type="cellIs" dxfId="15659" priority="134926" stopIfTrue="1" operator="lessThan">
      <formula>0.5</formula>
    </cfRule>
  </conditionalFormatting>
  <conditionalFormatting sqref="AX61">
    <cfRule type="cellIs" dxfId="15658" priority="134927" stopIfTrue="1" operator="greaterThanOrEqual">
      <formula>0.5</formula>
    </cfRule>
  </conditionalFormatting>
  <conditionalFormatting sqref="AX62">
    <cfRule type="cellIs" dxfId="15657" priority="134928" stopIfTrue="1" operator="equal">
      <formula>-1</formula>
    </cfRule>
  </conditionalFormatting>
  <conditionalFormatting sqref="AX62">
    <cfRule type="cellIs" dxfId="15656" priority="134929" stopIfTrue="1" operator="lessThan">
      <formula>0.5</formula>
    </cfRule>
  </conditionalFormatting>
  <conditionalFormatting sqref="AX62">
    <cfRule type="cellIs" dxfId="15655" priority="134930" stopIfTrue="1" operator="greaterThanOrEqual">
      <formula>0.5</formula>
    </cfRule>
  </conditionalFormatting>
  <conditionalFormatting sqref="AX63">
    <cfRule type="cellIs" dxfId="15654" priority="134931" stopIfTrue="1" operator="equal">
      <formula>-1</formula>
    </cfRule>
  </conditionalFormatting>
  <conditionalFormatting sqref="AX63">
    <cfRule type="cellIs" dxfId="15653" priority="134932" stopIfTrue="1" operator="lessThan">
      <formula>0.5</formula>
    </cfRule>
  </conditionalFormatting>
  <conditionalFormatting sqref="AX63">
    <cfRule type="cellIs" dxfId="15652" priority="134933" stopIfTrue="1" operator="greaterThanOrEqual">
      <formula>0.5</formula>
    </cfRule>
  </conditionalFormatting>
  <conditionalFormatting sqref="AZ60">
    <cfRule type="cellIs" dxfId="15651" priority="134934" stopIfTrue="1" operator="equal">
      <formula>-1</formula>
    </cfRule>
  </conditionalFormatting>
  <conditionalFormatting sqref="AZ60">
    <cfRule type="cellIs" dxfId="15650" priority="134935" stopIfTrue="1" operator="lessThan">
      <formula>0.5</formula>
    </cfRule>
  </conditionalFormatting>
  <conditionalFormatting sqref="AZ60">
    <cfRule type="cellIs" dxfId="15649" priority="134936" stopIfTrue="1" operator="greaterThanOrEqual">
      <formula>0.5</formula>
    </cfRule>
  </conditionalFormatting>
  <conditionalFormatting sqref="AZ61">
    <cfRule type="cellIs" dxfId="15648" priority="134937" stopIfTrue="1" operator="equal">
      <formula>-1</formula>
    </cfRule>
  </conditionalFormatting>
  <conditionalFormatting sqref="AZ61">
    <cfRule type="cellIs" dxfId="15647" priority="134938" stopIfTrue="1" operator="lessThan">
      <formula>0.5</formula>
    </cfRule>
  </conditionalFormatting>
  <conditionalFormatting sqref="AZ61">
    <cfRule type="cellIs" dxfId="15646" priority="134939" stopIfTrue="1" operator="greaterThanOrEqual">
      <formula>0.5</formula>
    </cfRule>
  </conditionalFormatting>
  <conditionalFormatting sqref="AZ62">
    <cfRule type="cellIs" dxfId="15645" priority="134940" stopIfTrue="1" operator="equal">
      <formula>-1</formula>
    </cfRule>
  </conditionalFormatting>
  <conditionalFormatting sqref="AZ62">
    <cfRule type="cellIs" dxfId="15644" priority="134941" stopIfTrue="1" operator="lessThan">
      <formula>0.5</formula>
    </cfRule>
  </conditionalFormatting>
  <conditionalFormatting sqref="AZ62">
    <cfRule type="cellIs" dxfId="15643" priority="134942" stopIfTrue="1" operator="greaterThanOrEqual">
      <formula>0.5</formula>
    </cfRule>
  </conditionalFormatting>
  <conditionalFormatting sqref="AZ63">
    <cfRule type="cellIs" dxfId="15642" priority="134943" stopIfTrue="1" operator="equal">
      <formula>-1</formula>
    </cfRule>
  </conditionalFormatting>
  <conditionalFormatting sqref="AZ63">
    <cfRule type="cellIs" dxfId="15641" priority="134944" stopIfTrue="1" operator="lessThan">
      <formula>0.5</formula>
    </cfRule>
  </conditionalFormatting>
  <conditionalFormatting sqref="AZ63">
    <cfRule type="cellIs" dxfId="15640" priority="134945" stopIfTrue="1" operator="greaterThanOrEqual">
      <formula>0.5</formula>
    </cfRule>
  </conditionalFormatting>
  <conditionalFormatting sqref="BB60">
    <cfRule type="cellIs" dxfId="15639" priority="134946" stopIfTrue="1" operator="equal">
      <formula>-1</formula>
    </cfRule>
  </conditionalFormatting>
  <conditionalFormatting sqref="BB60">
    <cfRule type="cellIs" dxfId="15638" priority="134947" stopIfTrue="1" operator="lessThan">
      <formula>0.5</formula>
    </cfRule>
  </conditionalFormatting>
  <conditionalFormatting sqref="BB60">
    <cfRule type="cellIs" dxfId="15637" priority="134948" stopIfTrue="1" operator="greaterThanOrEqual">
      <formula>0.5</formula>
    </cfRule>
  </conditionalFormatting>
  <conditionalFormatting sqref="BB61">
    <cfRule type="cellIs" dxfId="15636" priority="134949" stopIfTrue="1" operator="equal">
      <formula>-1</formula>
    </cfRule>
  </conditionalFormatting>
  <conditionalFormatting sqref="BB61">
    <cfRule type="cellIs" dxfId="15635" priority="134950" stopIfTrue="1" operator="lessThan">
      <formula>0.5</formula>
    </cfRule>
  </conditionalFormatting>
  <conditionalFormatting sqref="BB61">
    <cfRule type="cellIs" dxfId="15634" priority="134951" stopIfTrue="1" operator="greaterThanOrEqual">
      <formula>0.5</formula>
    </cfRule>
  </conditionalFormatting>
  <conditionalFormatting sqref="BB62">
    <cfRule type="cellIs" dxfId="15633" priority="134952" stopIfTrue="1" operator="equal">
      <formula>-1</formula>
    </cfRule>
  </conditionalFormatting>
  <conditionalFormatting sqref="BB62">
    <cfRule type="cellIs" dxfId="15632" priority="134953" stopIfTrue="1" operator="lessThan">
      <formula>0.5</formula>
    </cfRule>
  </conditionalFormatting>
  <conditionalFormatting sqref="BB62">
    <cfRule type="cellIs" dxfId="15631" priority="134954" stopIfTrue="1" operator="greaterThanOrEqual">
      <formula>0.5</formula>
    </cfRule>
  </conditionalFormatting>
  <conditionalFormatting sqref="BB63">
    <cfRule type="cellIs" dxfId="15630" priority="134955" stopIfTrue="1" operator="equal">
      <formula>-1</formula>
    </cfRule>
  </conditionalFormatting>
  <conditionalFormatting sqref="BB63">
    <cfRule type="cellIs" dxfId="15629" priority="134956" stopIfTrue="1" operator="lessThan">
      <formula>0.5</formula>
    </cfRule>
  </conditionalFormatting>
  <conditionalFormatting sqref="BB63">
    <cfRule type="cellIs" dxfId="15628" priority="134957" stopIfTrue="1" operator="greaterThanOrEqual">
      <formula>0.5</formula>
    </cfRule>
  </conditionalFormatting>
  <conditionalFormatting sqref="BD60">
    <cfRule type="cellIs" dxfId="15627" priority="134958" stopIfTrue="1" operator="equal">
      <formula>-1</formula>
    </cfRule>
  </conditionalFormatting>
  <conditionalFormatting sqref="BD60">
    <cfRule type="cellIs" dxfId="15626" priority="134959" stopIfTrue="1" operator="lessThan">
      <formula>0.5</formula>
    </cfRule>
  </conditionalFormatting>
  <conditionalFormatting sqref="BD60">
    <cfRule type="cellIs" dxfId="15625" priority="134960" stopIfTrue="1" operator="greaterThanOrEqual">
      <formula>0.5</formula>
    </cfRule>
  </conditionalFormatting>
  <conditionalFormatting sqref="BD61">
    <cfRule type="cellIs" dxfId="15624" priority="134961" stopIfTrue="1" operator="equal">
      <formula>-1</formula>
    </cfRule>
  </conditionalFormatting>
  <conditionalFormatting sqref="BD61">
    <cfRule type="cellIs" dxfId="15623" priority="134962" stopIfTrue="1" operator="lessThan">
      <formula>0.5</formula>
    </cfRule>
  </conditionalFormatting>
  <conditionalFormatting sqref="BD61">
    <cfRule type="cellIs" dxfId="15622" priority="134963" stopIfTrue="1" operator="greaterThanOrEqual">
      <formula>0.5</formula>
    </cfRule>
  </conditionalFormatting>
  <conditionalFormatting sqref="BD62">
    <cfRule type="cellIs" dxfId="15621" priority="134964" stopIfTrue="1" operator="equal">
      <formula>-1</formula>
    </cfRule>
  </conditionalFormatting>
  <conditionalFormatting sqref="BD62">
    <cfRule type="cellIs" dxfId="15620" priority="134965" stopIfTrue="1" operator="lessThan">
      <formula>0.5</formula>
    </cfRule>
  </conditionalFormatting>
  <conditionalFormatting sqref="BD62">
    <cfRule type="cellIs" dxfId="15619" priority="134966" stopIfTrue="1" operator="greaterThanOrEqual">
      <formula>0.5</formula>
    </cfRule>
  </conditionalFormatting>
  <conditionalFormatting sqref="BD63">
    <cfRule type="cellIs" dxfId="15618" priority="134967" stopIfTrue="1" operator="equal">
      <formula>-1</formula>
    </cfRule>
  </conditionalFormatting>
  <conditionalFormatting sqref="BD63">
    <cfRule type="cellIs" dxfId="15617" priority="134968" stopIfTrue="1" operator="lessThan">
      <formula>0.5</formula>
    </cfRule>
  </conditionalFormatting>
  <conditionalFormatting sqref="BD63">
    <cfRule type="cellIs" dxfId="15616" priority="134969" stopIfTrue="1" operator="greaterThanOrEqual">
      <formula>0.5</formula>
    </cfRule>
  </conditionalFormatting>
  <conditionalFormatting sqref="BF60">
    <cfRule type="cellIs" dxfId="15615" priority="134970" stopIfTrue="1" operator="equal">
      <formula>-1</formula>
    </cfRule>
  </conditionalFormatting>
  <conditionalFormatting sqref="BF60">
    <cfRule type="cellIs" dxfId="15614" priority="134971" stopIfTrue="1" operator="lessThan">
      <formula>0.5</formula>
    </cfRule>
  </conditionalFormatting>
  <conditionalFormatting sqref="BF60">
    <cfRule type="cellIs" dxfId="15613" priority="134972" stopIfTrue="1" operator="greaterThanOrEqual">
      <formula>0.5</formula>
    </cfRule>
  </conditionalFormatting>
  <conditionalFormatting sqref="BF61">
    <cfRule type="cellIs" dxfId="15612" priority="134973" stopIfTrue="1" operator="equal">
      <formula>-1</formula>
    </cfRule>
  </conditionalFormatting>
  <conditionalFormatting sqref="BF61">
    <cfRule type="cellIs" dxfId="15611" priority="134974" stopIfTrue="1" operator="lessThan">
      <formula>0.5</formula>
    </cfRule>
  </conditionalFormatting>
  <conditionalFormatting sqref="BF61">
    <cfRule type="cellIs" dxfId="15610" priority="134975" stopIfTrue="1" operator="greaterThanOrEqual">
      <formula>0.5</formula>
    </cfRule>
  </conditionalFormatting>
  <conditionalFormatting sqref="BF62">
    <cfRule type="cellIs" dxfId="15609" priority="134976" stopIfTrue="1" operator="equal">
      <formula>-1</formula>
    </cfRule>
  </conditionalFormatting>
  <conditionalFormatting sqref="BF62">
    <cfRule type="cellIs" dxfId="15608" priority="134977" stopIfTrue="1" operator="lessThan">
      <formula>0.5</formula>
    </cfRule>
  </conditionalFormatting>
  <conditionalFormatting sqref="BF62">
    <cfRule type="cellIs" dxfId="15607" priority="134978" stopIfTrue="1" operator="greaterThanOrEqual">
      <formula>0.5</formula>
    </cfRule>
  </conditionalFormatting>
  <conditionalFormatting sqref="BF63">
    <cfRule type="cellIs" dxfId="15606" priority="134979" stopIfTrue="1" operator="equal">
      <formula>-1</formula>
    </cfRule>
  </conditionalFormatting>
  <conditionalFormatting sqref="BF63">
    <cfRule type="cellIs" dxfId="15605" priority="134980" stopIfTrue="1" operator="lessThan">
      <formula>0.5</formula>
    </cfRule>
  </conditionalFormatting>
  <conditionalFormatting sqref="BF63">
    <cfRule type="cellIs" dxfId="15604" priority="134981" stopIfTrue="1" operator="greaterThanOrEqual">
      <formula>0.5</formula>
    </cfRule>
  </conditionalFormatting>
  <conditionalFormatting sqref="BH60">
    <cfRule type="cellIs" dxfId="15603" priority="134982" stopIfTrue="1" operator="equal">
      <formula>-1</formula>
    </cfRule>
  </conditionalFormatting>
  <conditionalFormatting sqref="BH60">
    <cfRule type="cellIs" dxfId="15602" priority="134983" stopIfTrue="1" operator="lessThan">
      <formula>0.5</formula>
    </cfRule>
  </conditionalFormatting>
  <conditionalFormatting sqref="BH60">
    <cfRule type="cellIs" dxfId="15601" priority="134984" stopIfTrue="1" operator="greaterThanOrEqual">
      <formula>0.5</formula>
    </cfRule>
  </conditionalFormatting>
  <conditionalFormatting sqref="BH61">
    <cfRule type="cellIs" dxfId="15600" priority="134985" stopIfTrue="1" operator="equal">
      <formula>-1</formula>
    </cfRule>
  </conditionalFormatting>
  <conditionalFormatting sqref="BH61">
    <cfRule type="cellIs" dxfId="15599" priority="134986" stopIfTrue="1" operator="lessThan">
      <formula>0.5</formula>
    </cfRule>
  </conditionalFormatting>
  <conditionalFormatting sqref="BH61">
    <cfRule type="cellIs" dxfId="15598" priority="134987" stopIfTrue="1" operator="greaterThanOrEqual">
      <formula>0.5</formula>
    </cfRule>
  </conditionalFormatting>
  <conditionalFormatting sqref="BH62">
    <cfRule type="cellIs" dxfId="15597" priority="134988" stopIfTrue="1" operator="equal">
      <formula>-1</formula>
    </cfRule>
  </conditionalFormatting>
  <conditionalFormatting sqref="BH62">
    <cfRule type="cellIs" dxfId="15596" priority="134989" stopIfTrue="1" operator="lessThan">
      <formula>0.5</formula>
    </cfRule>
  </conditionalFormatting>
  <conditionalFormatting sqref="BH62">
    <cfRule type="cellIs" dxfId="15595" priority="134990" stopIfTrue="1" operator="greaterThanOrEqual">
      <formula>0.5</formula>
    </cfRule>
  </conditionalFormatting>
  <conditionalFormatting sqref="BH63">
    <cfRule type="cellIs" dxfId="15594" priority="134991" stopIfTrue="1" operator="equal">
      <formula>-1</formula>
    </cfRule>
  </conditionalFormatting>
  <conditionalFormatting sqref="BH63">
    <cfRule type="cellIs" dxfId="15593" priority="134992" stopIfTrue="1" operator="lessThan">
      <formula>0.5</formula>
    </cfRule>
  </conditionalFormatting>
  <conditionalFormatting sqref="BH63">
    <cfRule type="cellIs" dxfId="15592" priority="134993" stopIfTrue="1" operator="greaterThanOrEqual">
      <formula>0.5</formula>
    </cfRule>
  </conditionalFormatting>
  <conditionalFormatting sqref="BJ60">
    <cfRule type="cellIs" dxfId="15591" priority="134994" stopIfTrue="1" operator="equal">
      <formula>-1</formula>
    </cfRule>
  </conditionalFormatting>
  <conditionalFormatting sqref="BJ60">
    <cfRule type="cellIs" dxfId="15590" priority="134995" stopIfTrue="1" operator="lessThan">
      <formula>0.5</formula>
    </cfRule>
  </conditionalFormatting>
  <conditionalFormatting sqref="BJ60">
    <cfRule type="cellIs" dxfId="15589" priority="134996" stopIfTrue="1" operator="greaterThanOrEqual">
      <formula>0.5</formula>
    </cfRule>
  </conditionalFormatting>
  <conditionalFormatting sqref="BJ61">
    <cfRule type="cellIs" dxfId="15588" priority="134997" stopIfTrue="1" operator="equal">
      <formula>-1</formula>
    </cfRule>
  </conditionalFormatting>
  <conditionalFormatting sqref="BJ61">
    <cfRule type="cellIs" dxfId="15587" priority="134998" stopIfTrue="1" operator="lessThan">
      <formula>0.5</formula>
    </cfRule>
  </conditionalFormatting>
  <conditionalFormatting sqref="BJ61">
    <cfRule type="cellIs" dxfId="15586" priority="134999" stopIfTrue="1" operator="greaterThanOrEqual">
      <formula>0.5</formula>
    </cfRule>
  </conditionalFormatting>
  <conditionalFormatting sqref="BJ62">
    <cfRule type="cellIs" dxfId="15585" priority="135000" stopIfTrue="1" operator="equal">
      <formula>-1</formula>
    </cfRule>
  </conditionalFormatting>
  <conditionalFormatting sqref="BJ62">
    <cfRule type="cellIs" dxfId="15584" priority="135001" stopIfTrue="1" operator="lessThan">
      <formula>0.5</formula>
    </cfRule>
  </conditionalFormatting>
  <conditionalFormatting sqref="BJ62">
    <cfRule type="cellIs" dxfId="15583" priority="135002" stopIfTrue="1" operator="greaterThanOrEqual">
      <formula>0.5</formula>
    </cfRule>
  </conditionalFormatting>
  <conditionalFormatting sqref="BJ63">
    <cfRule type="cellIs" dxfId="15582" priority="135003" stopIfTrue="1" operator="equal">
      <formula>-1</formula>
    </cfRule>
  </conditionalFormatting>
  <conditionalFormatting sqref="BJ63">
    <cfRule type="cellIs" dxfId="15581" priority="135004" stopIfTrue="1" operator="lessThan">
      <formula>0.5</formula>
    </cfRule>
  </conditionalFormatting>
  <conditionalFormatting sqref="BJ63">
    <cfRule type="cellIs" dxfId="15580" priority="135005" stopIfTrue="1" operator="greaterThanOrEqual">
      <formula>0.5</formula>
    </cfRule>
  </conditionalFormatting>
  <conditionalFormatting sqref="D65">
    <cfRule type="cellIs" dxfId="15579" priority="135006" stopIfTrue="1" operator="equal">
      <formula>-1</formula>
    </cfRule>
  </conditionalFormatting>
  <conditionalFormatting sqref="D65">
    <cfRule type="cellIs" dxfId="15578" priority="135007" stopIfTrue="1" operator="lessThan">
      <formula>0.5</formula>
    </cfRule>
  </conditionalFormatting>
  <conditionalFormatting sqref="D65">
    <cfRule type="cellIs" dxfId="15577" priority="135008" stopIfTrue="1" operator="greaterThanOrEqual">
      <formula>0.5</formula>
    </cfRule>
  </conditionalFormatting>
  <conditionalFormatting sqref="D66">
    <cfRule type="cellIs" dxfId="15576" priority="135009" stopIfTrue="1" operator="equal">
      <formula>-1</formula>
    </cfRule>
  </conditionalFormatting>
  <conditionalFormatting sqref="D66">
    <cfRule type="cellIs" dxfId="15575" priority="135010" stopIfTrue="1" operator="lessThan">
      <formula>0.5</formula>
    </cfRule>
  </conditionalFormatting>
  <conditionalFormatting sqref="D66">
    <cfRule type="cellIs" dxfId="15574" priority="135011" stopIfTrue="1" operator="greaterThanOrEqual">
      <formula>0.5</formula>
    </cfRule>
  </conditionalFormatting>
  <conditionalFormatting sqref="D67">
    <cfRule type="cellIs" dxfId="15573" priority="135012" stopIfTrue="1" operator="equal">
      <formula>-1</formula>
    </cfRule>
  </conditionalFormatting>
  <conditionalFormatting sqref="D67">
    <cfRule type="cellIs" dxfId="15572" priority="135013" stopIfTrue="1" operator="lessThan">
      <formula>0.5</formula>
    </cfRule>
  </conditionalFormatting>
  <conditionalFormatting sqref="D67">
    <cfRule type="cellIs" dxfId="15571" priority="135014" stopIfTrue="1" operator="greaterThanOrEqual">
      <formula>0.5</formula>
    </cfRule>
  </conditionalFormatting>
  <conditionalFormatting sqref="D68">
    <cfRule type="cellIs" dxfId="15570" priority="135015" stopIfTrue="1" operator="equal">
      <formula>-1</formula>
    </cfRule>
  </conditionalFormatting>
  <conditionalFormatting sqref="D68">
    <cfRule type="cellIs" dxfId="15569" priority="135016" stopIfTrue="1" operator="lessThan">
      <formula>0.5</formula>
    </cfRule>
  </conditionalFormatting>
  <conditionalFormatting sqref="D68">
    <cfRule type="cellIs" dxfId="15568" priority="135017" stopIfTrue="1" operator="greaterThanOrEqual">
      <formula>0.5</formula>
    </cfRule>
  </conditionalFormatting>
  <conditionalFormatting sqref="D69">
    <cfRule type="cellIs" dxfId="15567" priority="135018" stopIfTrue="1" operator="equal">
      <formula>-1</formula>
    </cfRule>
  </conditionalFormatting>
  <conditionalFormatting sqref="D69">
    <cfRule type="cellIs" dxfId="15566" priority="135019" stopIfTrue="1" operator="lessThan">
      <formula>0.5</formula>
    </cfRule>
  </conditionalFormatting>
  <conditionalFormatting sqref="D69">
    <cfRule type="cellIs" dxfId="15565" priority="135020" stopIfTrue="1" operator="greaterThanOrEqual">
      <formula>0.5</formula>
    </cfRule>
  </conditionalFormatting>
  <conditionalFormatting sqref="D70">
    <cfRule type="cellIs" dxfId="15564" priority="135021" stopIfTrue="1" operator="equal">
      <formula>-1</formula>
    </cfRule>
  </conditionalFormatting>
  <conditionalFormatting sqref="D70">
    <cfRule type="cellIs" dxfId="15563" priority="135022" stopIfTrue="1" operator="lessThan">
      <formula>0.5</formula>
    </cfRule>
  </conditionalFormatting>
  <conditionalFormatting sqref="D70">
    <cfRule type="cellIs" dxfId="15562" priority="135023" stopIfTrue="1" operator="greaterThanOrEqual">
      <formula>0.5</formula>
    </cfRule>
  </conditionalFormatting>
  <conditionalFormatting sqref="D71">
    <cfRule type="cellIs" dxfId="15561" priority="135024" stopIfTrue="1" operator="equal">
      <formula>-1</formula>
    </cfRule>
  </conditionalFormatting>
  <conditionalFormatting sqref="D71">
    <cfRule type="cellIs" dxfId="15560" priority="135025" stopIfTrue="1" operator="lessThan">
      <formula>0.5</formula>
    </cfRule>
  </conditionalFormatting>
  <conditionalFormatting sqref="D71">
    <cfRule type="cellIs" dxfId="15559" priority="135026" stopIfTrue="1" operator="greaterThanOrEqual">
      <formula>0.5</formula>
    </cfRule>
  </conditionalFormatting>
  <conditionalFormatting sqref="D72">
    <cfRule type="cellIs" dxfId="15558" priority="135027" stopIfTrue="1" operator="equal">
      <formula>-1</formula>
    </cfRule>
  </conditionalFormatting>
  <conditionalFormatting sqref="D72">
    <cfRule type="cellIs" dxfId="15557" priority="135028" stopIfTrue="1" operator="lessThan">
      <formula>0.5</formula>
    </cfRule>
  </conditionalFormatting>
  <conditionalFormatting sqref="D72">
    <cfRule type="cellIs" dxfId="15556" priority="135029" stopIfTrue="1" operator="greaterThanOrEqual">
      <formula>0.5</formula>
    </cfRule>
  </conditionalFormatting>
  <conditionalFormatting sqref="D73">
    <cfRule type="cellIs" dxfId="15555" priority="135030" stopIfTrue="1" operator="equal">
      <formula>-1</formula>
    </cfRule>
  </conditionalFormatting>
  <conditionalFormatting sqref="D73">
    <cfRule type="cellIs" dxfId="15554" priority="135031" stopIfTrue="1" operator="lessThan">
      <formula>0.5</formula>
    </cfRule>
  </conditionalFormatting>
  <conditionalFormatting sqref="D73">
    <cfRule type="cellIs" dxfId="15553" priority="135032" stopIfTrue="1" operator="greaterThanOrEqual">
      <formula>0.5</formula>
    </cfRule>
  </conditionalFormatting>
  <conditionalFormatting sqref="D74">
    <cfRule type="cellIs" dxfId="15552" priority="135033" stopIfTrue="1" operator="equal">
      <formula>-1</formula>
    </cfRule>
  </conditionalFormatting>
  <conditionalFormatting sqref="D74">
    <cfRule type="cellIs" dxfId="15551" priority="135034" stopIfTrue="1" operator="lessThan">
      <formula>0.5</formula>
    </cfRule>
  </conditionalFormatting>
  <conditionalFormatting sqref="D74">
    <cfRule type="cellIs" dxfId="15550" priority="135035" stopIfTrue="1" operator="greaterThanOrEqual">
      <formula>0.5</formula>
    </cfRule>
  </conditionalFormatting>
  <conditionalFormatting sqref="D75">
    <cfRule type="cellIs" dxfId="15549" priority="135036" stopIfTrue="1" operator="equal">
      <formula>-1</formula>
    </cfRule>
  </conditionalFormatting>
  <conditionalFormatting sqref="D75">
    <cfRule type="cellIs" dxfId="15548" priority="135037" stopIfTrue="1" operator="lessThan">
      <formula>0.5</formula>
    </cfRule>
  </conditionalFormatting>
  <conditionalFormatting sqref="D75">
    <cfRule type="cellIs" dxfId="15547" priority="135038" stopIfTrue="1" operator="greaterThanOrEqual">
      <formula>0.5</formula>
    </cfRule>
  </conditionalFormatting>
  <conditionalFormatting sqref="D76">
    <cfRule type="cellIs" dxfId="15546" priority="135039" stopIfTrue="1" operator="equal">
      <formula>-1</formula>
    </cfRule>
  </conditionalFormatting>
  <conditionalFormatting sqref="D76">
    <cfRule type="cellIs" dxfId="15545" priority="135040" stopIfTrue="1" operator="lessThan">
      <formula>0.5</formula>
    </cfRule>
  </conditionalFormatting>
  <conditionalFormatting sqref="D76">
    <cfRule type="cellIs" dxfId="15544" priority="135041" stopIfTrue="1" operator="greaterThanOrEqual">
      <formula>0.5</formula>
    </cfRule>
  </conditionalFormatting>
  <conditionalFormatting sqref="D77">
    <cfRule type="cellIs" dxfId="15543" priority="135042" stopIfTrue="1" operator="equal">
      <formula>-1</formula>
    </cfRule>
  </conditionalFormatting>
  <conditionalFormatting sqref="D77">
    <cfRule type="cellIs" dxfId="15542" priority="135043" stopIfTrue="1" operator="lessThan">
      <formula>0.5</formula>
    </cfRule>
  </conditionalFormatting>
  <conditionalFormatting sqref="D77">
    <cfRule type="cellIs" dxfId="15541" priority="135044" stopIfTrue="1" operator="greaterThanOrEqual">
      <formula>0.5</formula>
    </cfRule>
  </conditionalFormatting>
  <conditionalFormatting sqref="D78">
    <cfRule type="cellIs" dxfId="15540" priority="135045" stopIfTrue="1" operator="equal">
      <formula>-1</formula>
    </cfRule>
  </conditionalFormatting>
  <conditionalFormatting sqref="D78">
    <cfRule type="cellIs" dxfId="15539" priority="135046" stopIfTrue="1" operator="lessThan">
      <formula>0.5</formula>
    </cfRule>
  </conditionalFormatting>
  <conditionalFormatting sqref="D78">
    <cfRule type="cellIs" dxfId="15538" priority="135047" stopIfTrue="1" operator="greaterThanOrEqual">
      <formula>0.5</formula>
    </cfRule>
  </conditionalFormatting>
  <conditionalFormatting sqref="D79">
    <cfRule type="cellIs" dxfId="15537" priority="135048" stopIfTrue="1" operator="equal">
      <formula>-1</formula>
    </cfRule>
  </conditionalFormatting>
  <conditionalFormatting sqref="D79">
    <cfRule type="cellIs" dxfId="15536" priority="135049" stopIfTrue="1" operator="lessThan">
      <formula>0.5</formula>
    </cfRule>
  </conditionalFormatting>
  <conditionalFormatting sqref="D79">
    <cfRule type="cellIs" dxfId="15535" priority="135050" stopIfTrue="1" operator="greaterThanOrEqual">
      <formula>0.5</formula>
    </cfRule>
  </conditionalFormatting>
  <conditionalFormatting sqref="D80">
    <cfRule type="cellIs" dxfId="15534" priority="135051" stopIfTrue="1" operator="equal">
      <formula>-1</formula>
    </cfRule>
  </conditionalFormatting>
  <conditionalFormatting sqref="D80">
    <cfRule type="cellIs" dxfId="15533" priority="135052" stopIfTrue="1" operator="lessThan">
      <formula>0.5</formula>
    </cfRule>
  </conditionalFormatting>
  <conditionalFormatting sqref="D80">
    <cfRule type="cellIs" dxfId="15532" priority="135053" stopIfTrue="1" operator="greaterThanOrEqual">
      <formula>0.5</formula>
    </cfRule>
  </conditionalFormatting>
  <conditionalFormatting sqref="D81">
    <cfRule type="cellIs" dxfId="15531" priority="135054" stopIfTrue="1" operator="equal">
      <formula>-1</formula>
    </cfRule>
  </conditionalFormatting>
  <conditionalFormatting sqref="D81">
    <cfRule type="cellIs" dxfId="15530" priority="135055" stopIfTrue="1" operator="lessThan">
      <formula>0.5</formula>
    </cfRule>
  </conditionalFormatting>
  <conditionalFormatting sqref="D81">
    <cfRule type="cellIs" dxfId="15529" priority="135056" stopIfTrue="1" operator="greaterThanOrEqual">
      <formula>0.5</formula>
    </cfRule>
  </conditionalFormatting>
  <conditionalFormatting sqref="D82">
    <cfRule type="cellIs" dxfId="15528" priority="135057" stopIfTrue="1" operator="equal">
      <formula>-1</formula>
    </cfRule>
  </conditionalFormatting>
  <conditionalFormatting sqref="D82">
    <cfRule type="cellIs" dxfId="15527" priority="135058" stopIfTrue="1" operator="lessThan">
      <formula>0.5</formula>
    </cfRule>
  </conditionalFormatting>
  <conditionalFormatting sqref="D82">
    <cfRule type="cellIs" dxfId="15526" priority="135059" stopIfTrue="1" operator="greaterThanOrEqual">
      <formula>0.5</formula>
    </cfRule>
  </conditionalFormatting>
  <conditionalFormatting sqref="D83">
    <cfRule type="cellIs" dxfId="15525" priority="135060" stopIfTrue="1" operator="equal">
      <formula>-1</formula>
    </cfRule>
  </conditionalFormatting>
  <conditionalFormatting sqref="D83">
    <cfRule type="cellIs" dxfId="15524" priority="135061" stopIfTrue="1" operator="lessThan">
      <formula>0.5</formula>
    </cfRule>
  </conditionalFormatting>
  <conditionalFormatting sqref="D83">
    <cfRule type="cellIs" dxfId="15523" priority="135062" stopIfTrue="1" operator="greaterThanOrEqual">
      <formula>0.5</formula>
    </cfRule>
  </conditionalFormatting>
  <conditionalFormatting sqref="D84">
    <cfRule type="cellIs" dxfId="15522" priority="135063" stopIfTrue="1" operator="equal">
      <formula>-1</formula>
    </cfRule>
  </conditionalFormatting>
  <conditionalFormatting sqref="D84">
    <cfRule type="cellIs" dxfId="15521" priority="135064" stopIfTrue="1" operator="lessThan">
      <formula>0.5</formula>
    </cfRule>
  </conditionalFormatting>
  <conditionalFormatting sqref="D84">
    <cfRule type="cellIs" dxfId="15520" priority="135065" stopIfTrue="1" operator="greaterThanOrEqual">
      <formula>0.5</formula>
    </cfRule>
  </conditionalFormatting>
  <conditionalFormatting sqref="D85">
    <cfRule type="cellIs" dxfId="15519" priority="135066" stopIfTrue="1" operator="equal">
      <formula>-1</formula>
    </cfRule>
  </conditionalFormatting>
  <conditionalFormatting sqref="D85">
    <cfRule type="cellIs" dxfId="15518" priority="135067" stopIfTrue="1" operator="lessThan">
      <formula>0.5</formula>
    </cfRule>
  </conditionalFormatting>
  <conditionalFormatting sqref="D85">
    <cfRule type="cellIs" dxfId="15517" priority="135068" stopIfTrue="1" operator="greaterThanOrEqual">
      <formula>0.5</formula>
    </cfRule>
  </conditionalFormatting>
  <conditionalFormatting sqref="F65">
    <cfRule type="cellIs" dxfId="15516" priority="135069" stopIfTrue="1" operator="equal">
      <formula>-1</formula>
    </cfRule>
  </conditionalFormatting>
  <conditionalFormatting sqref="F65">
    <cfRule type="cellIs" dxfId="15515" priority="135070" stopIfTrue="1" operator="lessThan">
      <formula>0.5</formula>
    </cfRule>
  </conditionalFormatting>
  <conditionalFormatting sqref="F65">
    <cfRule type="cellIs" dxfId="15514" priority="135071" stopIfTrue="1" operator="greaterThanOrEqual">
      <formula>0.5</formula>
    </cfRule>
  </conditionalFormatting>
  <conditionalFormatting sqref="F66">
    <cfRule type="cellIs" dxfId="15513" priority="135072" stopIfTrue="1" operator="equal">
      <formula>-1</formula>
    </cfRule>
  </conditionalFormatting>
  <conditionalFormatting sqref="F66">
    <cfRule type="cellIs" dxfId="15512" priority="135073" stopIfTrue="1" operator="lessThan">
      <formula>0.5</formula>
    </cfRule>
  </conditionalFormatting>
  <conditionalFormatting sqref="F66">
    <cfRule type="cellIs" dxfId="15511" priority="135074" stopIfTrue="1" operator="greaterThanOrEqual">
      <formula>0.5</formula>
    </cfRule>
  </conditionalFormatting>
  <conditionalFormatting sqref="F67">
    <cfRule type="cellIs" dxfId="15510" priority="135075" stopIfTrue="1" operator="equal">
      <formula>-1</formula>
    </cfRule>
  </conditionalFormatting>
  <conditionalFormatting sqref="F67">
    <cfRule type="cellIs" dxfId="15509" priority="135076" stopIfTrue="1" operator="lessThan">
      <formula>0.5</formula>
    </cfRule>
  </conditionalFormatting>
  <conditionalFormatting sqref="F67">
    <cfRule type="cellIs" dxfId="15508" priority="135077" stopIfTrue="1" operator="greaterThanOrEqual">
      <formula>0.5</formula>
    </cfRule>
  </conditionalFormatting>
  <conditionalFormatting sqref="F68">
    <cfRule type="cellIs" dxfId="15507" priority="135078" stopIfTrue="1" operator="equal">
      <formula>-1</formula>
    </cfRule>
  </conditionalFormatting>
  <conditionalFormatting sqref="F68">
    <cfRule type="cellIs" dxfId="15506" priority="135079" stopIfTrue="1" operator="lessThan">
      <formula>0.5</formula>
    </cfRule>
  </conditionalFormatting>
  <conditionalFormatting sqref="F68">
    <cfRule type="cellIs" dxfId="15505" priority="135080" stopIfTrue="1" operator="greaterThanOrEqual">
      <formula>0.5</formula>
    </cfRule>
  </conditionalFormatting>
  <conditionalFormatting sqref="F69">
    <cfRule type="cellIs" dxfId="15504" priority="135081" stopIfTrue="1" operator="equal">
      <formula>-1</formula>
    </cfRule>
  </conditionalFormatting>
  <conditionalFormatting sqref="F69">
    <cfRule type="cellIs" dxfId="15503" priority="135082" stopIfTrue="1" operator="lessThan">
      <formula>0.5</formula>
    </cfRule>
  </conditionalFormatting>
  <conditionalFormatting sqref="F69">
    <cfRule type="cellIs" dxfId="15502" priority="135083" stopIfTrue="1" operator="greaterThanOrEqual">
      <formula>0.5</formula>
    </cfRule>
  </conditionalFormatting>
  <conditionalFormatting sqref="F70">
    <cfRule type="cellIs" dxfId="15501" priority="135084" stopIfTrue="1" operator="equal">
      <formula>-1</formula>
    </cfRule>
  </conditionalFormatting>
  <conditionalFormatting sqref="F70">
    <cfRule type="cellIs" dxfId="15500" priority="135085" stopIfTrue="1" operator="lessThan">
      <formula>0.5</formula>
    </cfRule>
  </conditionalFormatting>
  <conditionalFormatting sqref="F70">
    <cfRule type="cellIs" dxfId="15499" priority="135086" stopIfTrue="1" operator="greaterThanOrEqual">
      <formula>0.5</formula>
    </cfRule>
  </conditionalFormatting>
  <conditionalFormatting sqref="F71">
    <cfRule type="cellIs" dxfId="15498" priority="135087" stopIfTrue="1" operator="equal">
      <formula>-1</formula>
    </cfRule>
  </conditionalFormatting>
  <conditionalFormatting sqref="F71">
    <cfRule type="cellIs" dxfId="15497" priority="135088" stopIfTrue="1" operator="lessThan">
      <formula>0.5</formula>
    </cfRule>
  </conditionalFormatting>
  <conditionalFormatting sqref="F71">
    <cfRule type="cellIs" dxfId="15496" priority="135089" stopIfTrue="1" operator="greaterThanOrEqual">
      <formula>0.5</formula>
    </cfRule>
  </conditionalFormatting>
  <conditionalFormatting sqref="F72">
    <cfRule type="cellIs" dxfId="15495" priority="135090" stopIfTrue="1" operator="equal">
      <formula>-1</formula>
    </cfRule>
  </conditionalFormatting>
  <conditionalFormatting sqref="F72">
    <cfRule type="cellIs" dxfId="15494" priority="135091" stopIfTrue="1" operator="lessThan">
      <formula>0.5</formula>
    </cfRule>
  </conditionalFormatting>
  <conditionalFormatting sqref="F72">
    <cfRule type="cellIs" dxfId="15493" priority="135092" stopIfTrue="1" operator="greaterThanOrEqual">
      <formula>0.5</formula>
    </cfRule>
  </conditionalFormatting>
  <conditionalFormatting sqref="F73">
    <cfRule type="cellIs" dxfId="15492" priority="135093" stopIfTrue="1" operator="equal">
      <formula>-1</formula>
    </cfRule>
  </conditionalFormatting>
  <conditionalFormatting sqref="F73">
    <cfRule type="cellIs" dxfId="15491" priority="135094" stopIfTrue="1" operator="lessThan">
      <formula>0.5</formula>
    </cfRule>
  </conditionalFormatting>
  <conditionalFormatting sqref="F73">
    <cfRule type="cellIs" dxfId="15490" priority="135095" stopIfTrue="1" operator="greaterThanOrEqual">
      <formula>0.5</formula>
    </cfRule>
  </conditionalFormatting>
  <conditionalFormatting sqref="F74">
    <cfRule type="cellIs" dxfId="15489" priority="135096" stopIfTrue="1" operator="equal">
      <formula>-1</formula>
    </cfRule>
  </conditionalFormatting>
  <conditionalFormatting sqref="F74">
    <cfRule type="cellIs" dxfId="15488" priority="135097" stopIfTrue="1" operator="lessThan">
      <formula>0.5</formula>
    </cfRule>
  </conditionalFormatting>
  <conditionalFormatting sqref="F74">
    <cfRule type="cellIs" dxfId="15487" priority="135098" stopIfTrue="1" operator="greaterThanOrEqual">
      <formula>0.5</formula>
    </cfRule>
  </conditionalFormatting>
  <conditionalFormatting sqref="F75">
    <cfRule type="cellIs" dxfId="15486" priority="135099" stopIfTrue="1" operator="equal">
      <formula>-1</formula>
    </cfRule>
  </conditionalFormatting>
  <conditionalFormatting sqref="F75">
    <cfRule type="cellIs" dxfId="15485" priority="135100" stopIfTrue="1" operator="lessThan">
      <formula>0.5</formula>
    </cfRule>
  </conditionalFormatting>
  <conditionalFormatting sqref="F75">
    <cfRule type="cellIs" dxfId="15484" priority="135101" stopIfTrue="1" operator="greaterThanOrEqual">
      <formula>0.5</formula>
    </cfRule>
  </conditionalFormatting>
  <conditionalFormatting sqref="F76">
    <cfRule type="cellIs" dxfId="15483" priority="135102" stopIfTrue="1" operator="equal">
      <formula>-1</formula>
    </cfRule>
  </conditionalFormatting>
  <conditionalFormatting sqref="F76">
    <cfRule type="cellIs" dxfId="15482" priority="135103" stopIfTrue="1" operator="lessThan">
      <formula>0.5</formula>
    </cfRule>
  </conditionalFormatting>
  <conditionalFormatting sqref="F76">
    <cfRule type="cellIs" dxfId="15481" priority="135104" stopIfTrue="1" operator="greaterThanOrEqual">
      <formula>0.5</formula>
    </cfRule>
  </conditionalFormatting>
  <conditionalFormatting sqref="F77">
    <cfRule type="cellIs" dxfId="15480" priority="135105" stopIfTrue="1" operator="equal">
      <formula>-1</formula>
    </cfRule>
  </conditionalFormatting>
  <conditionalFormatting sqref="F77">
    <cfRule type="cellIs" dxfId="15479" priority="135106" stopIfTrue="1" operator="lessThan">
      <formula>0.5</formula>
    </cfRule>
  </conditionalFormatting>
  <conditionalFormatting sqref="F77">
    <cfRule type="cellIs" dxfId="15478" priority="135107" stopIfTrue="1" operator="greaterThanOrEqual">
      <formula>0.5</formula>
    </cfRule>
  </conditionalFormatting>
  <conditionalFormatting sqref="F78">
    <cfRule type="cellIs" dxfId="15477" priority="135108" stopIfTrue="1" operator="equal">
      <formula>-1</formula>
    </cfRule>
  </conditionalFormatting>
  <conditionalFormatting sqref="F78">
    <cfRule type="cellIs" dxfId="15476" priority="135109" stopIfTrue="1" operator="lessThan">
      <formula>0.5</formula>
    </cfRule>
  </conditionalFormatting>
  <conditionalFormatting sqref="F78">
    <cfRule type="cellIs" dxfId="15475" priority="135110" stopIfTrue="1" operator="greaterThanOrEqual">
      <formula>0.5</formula>
    </cfRule>
  </conditionalFormatting>
  <conditionalFormatting sqref="F79">
    <cfRule type="cellIs" dxfId="15474" priority="135111" stopIfTrue="1" operator="equal">
      <formula>-1</formula>
    </cfRule>
  </conditionalFormatting>
  <conditionalFormatting sqref="F79">
    <cfRule type="cellIs" dxfId="15473" priority="135112" stopIfTrue="1" operator="lessThan">
      <formula>0.5</formula>
    </cfRule>
  </conditionalFormatting>
  <conditionalFormatting sqref="F79">
    <cfRule type="cellIs" dxfId="15472" priority="135113" stopIfTrue="1" operator="greaterThanOrEqual">
      <formula>0.5</formula>
    </cfRule>
  </conditionalFormatting>
  <conditionalFormatting sqref="F80">
    <cfRule type="cellIs" dxfId="15471" priority="135114" stopIfTrue="1" operator="equal">
      <formula>-1</formula>
    </cfRule>
  </conditionalFormatting>
  <conditionalFormatting sqref="F80">
    <cfRule type="cellIs" dxfId="15470" priority="135115" stopIfTrue="1" operator="lessThan">
      <formula>0.5</formula>
    </cfRule>
  </conditionalFormatting>
  <conditionalFormatting sqref="F80">
    <cfRule type="cellIs" dxfId="15469" priority="135116" stopIfTrue="1" operator="greaterThanOrEqual">
      <formula>0.5</formula>
    </cfRule>
  </conditionalFormatting>
  <conditionalFormatting sqref="F81">
    <cfRule type="cellIs" dxfId="15468" priority="135117" stopIfTrue="1" operator="equal">
      <formula>-1</formula>
    </cfRule>
  </conditionalFormatting>
  <conditionalFormatting sqref="F81">
    <cfRule type="cellIs" dxfId="15467" priority="135118" stopIfTrue="1" operator="lessThan">
      <formula>0.5</formula>
    </cfRule>
  </conditionalFormatting>
  <conditionalFormatting sqref="F81">
    <cfRule type="cellIs" dxfId="15466" priority="135119" stopIfTrue="1" operator="greaterThanOrEqual">
      <formula>0.5</formula>
    </cfRule>
  </conditionalFormatting>
  <conditionalFormatting sqref="F82">
    <cfRule type="cellIs" dxfId="15465" priority="135120" stopIfTrue="1" operator="equal">
      <formula>-1</formula>
    </cfRule>
  </conditionalFormatting>
  <conditionalFormatting sqref="F82">
    <cfRule type="cellIs" dxfId="15464" priority="135121" stopIfTrue="1" operator="lessThan">
      <formula>0.5</formula>
    </cfRule>
  </conditionalFormatting>
  <conditionalFormatting sqref="F82">
    <cfRule type="cellIs" dxfId="15463" priority="135122" stopIfTrue="1" operator="greaterThanOrEqual">
      <formula>0.5</formula>
    </cfRule>
  </conditionalFormatting>
  <conditionalFormatting sqref="F83">
    <cfRule type="cellIs" dxfId="15462" priority="135123" stopIfTrue="1" operator="equal">
      <formula>-1</formula>
    </cfRule>
  </conditionalFormatting>
  <conditionalFormatting sqref="F83">
    <cfRule type="cellIs" dxfId="15461" priority="135124" stopIfTrue="1" operator="lessThan">
      <formula>0.5</formula>
    </cfRule>
  </conditionalFormatting>
  <conditionalFormatting sqref="F83">
    <cfRule type="cellIs" dxfId="15460" priority="135125" stopIfTrue="1" operator="greaterThanOrEqual">
      <formula>0.5</formula>
    </cfRule>
  </conditionalFormatting>
  <conditionalFormatting sqref="F84">
    <cfRule type="cellIs" dxfId="15459" priority="135126" stopIfTrue="1" operator="equal">
      <formula>-1</formula>
    </cfRule>
  </conditionalFormatting>
  <conditionalFormatting sqref="F84">
    <cfRule type="cellIs" dxfId="15458" priority="135127" stopIfTrue="1" operator="lessThan">
      <formula>0.5</formula>
    </cfRule>
  </conditionalFormatting>
  <conditionalFormatting sqref="F84">
    <cfRule type="cellIs" dxfId="15457" priority="135128" stopIfTrue="1" operator="greaterThanOrEqual">
      <formula>0.5</formula>
    </cfRule>
  </conditionalFormatting>
  <conditionalFormatting sqref="F85">
    <cfRule type="cellIs" dxfId="15456" priority="135129" stopIfTrue="1" operator="equal">
      <formula>-1</formula>
    </cfRule>
  </conditionalFormatting>
  <conditionalFormatting sqref="F85">
    <cfRule type="cellIs" dxfId="15455" priority="135130" stopIfTrue="1" operator="lessThan">
      <formula>0.5</formula>
    </cfRule>
  </conditionalFormatting>
  <conditionalFormatting sqref="F85">
    <cfRule type="cellIs" dxfId="15454" priority="135131" stopIfTrue="1" operator="greaterThanOrEqual">
      <formula>0.5</formula>
    </cfRule>
  </conditionalFormatting>
  <conditionalFormatting sqref="H65">
    <cfRule type="cellIs" dxfId="15453" priority="135132" stopIfTrue="1" operator="equal">
      <formula>-1</formula>
    </cfRule>
  </conditionalFormatting>
  <conditionalFormatting sqref="H65">
    <cfRule type="cellIs" dxfId="15452" priority="135133" stopIfTrue="1" operator="lessThan">
      <formula>0.5</formula>
    </cfRule>
  </conditionalFormatting>
  <conditionalFormatting sqref="H65">
    <cfRule type="cellIs" dxfId="15451" priority="135134" stopIfTrue="1" operator="greaterThanOrEqual">
      <formula>0.5</formula>
    </cfRule>
  </conditionalFormatting>
  <conditionalFormatting sqref="H66">
    <cfRule type="cellIs" dxfId="15450" priority="135135" stopIfTrue="1" operator="equal">
      <formula>-1</formula>
    </cfRule>
  </conditionalFormatting>
  <conditionalFormatting sqref="H66">
    <cfRule type="cellIs" dxfId="15449" priority="135136" stopIfTrue="1" operator="lessThan">
      <formula>0.5</formula>
    </cfRule>
  </conditionalFormatting>
  <conditionalFormatting sqref="H66">
    <cfRule type="cellIs" dxfId="15448" priority="135137" stopIfTrue="1" operator="greaterThanOrEqual">
      <formula>0.5</formula>
    </cfRule>
  </conditionalFormatting>
  <conditionalFormatting sqref="H67">
    <cfRule type="cellIs" dxfId="15447" priority="135138" stopIfTrue="1" operator="equal">
      <formula>-1</formula>
    </cfRule>
  </conditionalFormatting>
  <conditionalFormatting sqref="H67">
    <cfRule type="cellIs" dxfId="15446" priority="135139" stopIfTrue="1" operator="lessThan">
      <formula>0.5</formula>
    </cfRule>
  </conditionalFormatting>
  <conditionalFormatting sqref="H67">
    <cfRule type="cellIs" dxfId="15445" priority="135140" stopIfTrue="1" operator="greaterThanOrEqual">
      <formula>0.5</formula>
    </cfRule>
  </conditionalFormatting>
  <conditionalFormatting sqref="H68">
    <cfRule type="cellIs" dxfId="15444" priority="135141" stopIfTrue="1" operator="equal">
      <formula>-1</formula>
    </cfRule>
  </conditionalFormatting>
  <conditionalFormatting sqref="H68">
    <cfRule type="cellIs" dxfId="15443" priority="135142" stopIfTrue="1" operator="lessThan">
      <formula>0.5</formula>
    </cfRule>
  </conditionalFormatting>
  <conditionalFormatting sqref="H68">
    <cfRule type="cellIs" dxfId="15442" priority="135143" stopIfTrue="1" operator="greaterThanOrEqual">
      <formula>0.5</formula>
    </cfRule>
  </conditionalFormatting>
  <conditionalFormatting sqref="H69">
    <cfRule type="cellIs" dxfId="15441" priority="135144" stopIfTrue="1" operator="equal">
      <formula>-1</formula>
    </cfRule>
  </conditionalFormatting>
  <conditionalFormatting sqref="H69">
    <cfRule type="cellIs" dxfId="15440" priority="135145" stopIfTrue="1" operator="lessThan">
      <formula>0.5</formula>
    </cfRule>
  </conditionalFormatting>
  <conditionalFormatting sqref="H69">
    <cfRule type="cellIs" dxfId="15439" priority="135146" stopIfTrue="1" operator="greaterThanOrEqual">
      <formula>0.5</formula>
    </cfRule>
  </conditionalFormatting>
  <conditionalFormatting sqref="H70">
    <cfRule type="cellIs" dxfId="15438" priority="135147" stopIfTrue="1" operator="equal">
      <formula>-1</formula>
    </cfRule>
  </conditionalFormatting>
  <conditionalFormatting sqref="H70">
    <cfRule type="cellIs" dxfId="15437" priority="135148" stopIfTrue="1" operator="lessThan">
      <formula>0.5</formula>
    </cfRule>
  </conditionalFormatting>
  <conditionalFormatting sqref="H70">
    <cfRule type="cellIs" dxfId="15436" priority="135149" stopIfTrue="1" operator="greaterThanOrEqual">
      <formula>0.5</formula>
    </cfRule>
  </conditionalFormatting>
  <conditionalFormatting sqref="H71">
    <cfRule type="cellIs" dxfId="15435" priority="135150" stopIfTrue="1" operator="equal">
      <formula>-1</formula>
    </cfRule>
  </conditionalFormatting>
  <conditionalFormatting sqref="H71">
    <cfRule type="cellIs" dxfId="15434" priority="135151" stopIfTrue="1" operator="lessThan">
      <formula>0.5</formula>
    </cfRule>
  </conditionalFormatting>
  <conditionalFormatting sqref="H71">
    <cfRule type="cellIs" dxfId="15433" priority="135152" stopIfTrue="1" operator="greaterThanOrEqual">
      <formula>0.5</formula>
    </cfRule>
  </conditionalFormatting>
  <conditionalFormatting sqref="H72">
    <cfRule type="cellIs" dxfId="15432" priority="135153" stopIfTrue="1" operator="equal">
      <formula>-1</formula>
    </cfRule>
  </conditionalFormatting>
  <conditionalFormatting sqref="H72">
    <cfRule type="cellIs" dxfId="15431" priority="135154" stopIfTrue="1" operator="lessThan">
      <formula>0.5</formula>
    </cfRule>
  </conditionalFormatting>
  <conditionalFormatting sqref="H72">
    <cfRule type="cellIs" dxfId="15430" priority="135155" stopIfTrue="1" operator="greaterThanOrEqual">
      <formula>0.5</formula>
    </cfRule>
  </conditionalFormatting>
  <conditionalFormatting sqref="H73">
    <cfRule type="cellIs" dxfId="15429" priority="135156" stopIfTrue="1" operator="equal">
      <formula>-1</formula>
    </cfRule>
  </conditionalFormatting>
  <conditionalFormatting sqref="H73">
    <cfRule type="cellIs" dxfId="15428" priority="135157" stopIfTrue="1" operator="lessThan">
      <formula>0.5</formula>
    </cfRule>
  </conditionalFormatting>
  <conditionalFormatting sqref="H73">
    <cfRule type="cellIs" dxfId="15427" priority="135158" stopIfTrue="1" operator="greaterThanOrEqual">
      <formula>0.5</formula>
    </cfRule>
  </conditionalFormatting>
  <conditionalFormatting sqref="H74">
    <cfRule type="cellIs" dxfId="15426" priority="135159" stopIfTrue="1" operator="equal">
      <formula>-1</formula>
    </cfRule>
  </conditionalFormatting>
  <conditionalFormatting sqref="H74">
    <cfRule type="cellIs" dxfId="15425" priority="135160" stopIfTrue="1" operator="lessThan">
      <formula>0.5</formula>
    </cfRule>
  </conditionalFormatting>
  <conditionalFormatting sqref="H74">
    <cfRule type="cellIs" dxfId="15424" priority="135161" stopIfTrue="1" operator="greaterThanOrEqual">
      <formula>0.5</formula>
    </cfRule>
  </conditionalFormatting>
  <conditionalFormatting sqref="H75">
    <cfRule type="cellIs" dxfId="15423" priority="135162" stopIfTrue="1" operator="equal">
      <formula>-1</formula>
    </cfRule>
  </conditionalFormatting>
  <conditionalFormatting sqref="H75">
    <cfRule type="cellIs" dxfId="15422" priority="135163" stopIfTrue="1" operator="lessThan">
      <formula>0.5</formula>
    </cfRule>
  </conditionalFormatting>
  <conditionalFormatting sqref="H75">
    <cfRule type="cellIs" dxfId="15421" priority="135164" stopIfTrue="1" operator="greaterThanOrEqual">
      <formula>0.5</formula>
    </cfRule>
  </conditionalFormatting>
  <conditionalFormatting sqref="H76">
    <cfRule type="cellIs" dxfId="15420" priority="135165" stopIfTrue="1" operator="equal">
      <formula>-1</formula>
    </cfRule>
  </conditionalFormatting>
  <conditionalFormatting sqref="H76">
    <cfRule type="cellIs" dxfId="15419" priority="135166" stopIfTrue="1" operator="lessThan">
      <formula>0.5</formula>
    </cfRule>
  </conditionalFormatting>
  <conditionalFormatting sqref="H76">
    <cfRule type="cellIs" dxfId="15418" priority="135167" stopIfTrue="1" operator="greaterThanOrEqual">
      <formula>0.5</formula>
    </cfRule>
  </conditionalFormatting>
  <conditionalFormatting sqref="H77">
    <cfRule type="cellIs" dxfId="15417" priority="135168" stopIfTrue="1" operator="equal">
      <formula>-1</formula>
    </cfRule>
  </conditionalFormatting>
  <conditionalFormatting sqref="H77">
    <cfRule type="cellIs" dxfId="15416" priority="135169" stopIfTrue="1" operator="lessThan">
      <formula>0.5</formula>
    </cfRule>
  </conditionalFormatting>
  <conditionalFormatting sqref="H77">
    <cfRule type="cellIs" dxfId="15415" priority="135170" stopIfTrue="1" operator="greaterThanOrEqual">
      <formula>0.5</formula>
    </cfRule>
  </conditionalFormatting>
  <conditionalFormatting sqref="H78">
    <cfRule type="cellIs" dxfId="15414" priority="135171" stopIfTrue="1" operator="equal">
      <formula>-1</formula>
    </cfRule>
  </conditionalFormatting>
  <conditionalFormatting sqref="H78">
    <cfRule type="cellIs" dxfId="15413" priority="135172" stopIfTrue="1" operator="lessThan">
      <formula>0.5</formula>
    </cfRule>
  </conditionalFormatting>
  <conditionalFormatting sqref="H78">
    <cfRule type="cellIs" dxfId="15412" priority="135173" stopIfTrue="1" operator="greaterThanOrEqual">
      <formula>0.5</formula>
    </cfRule>
  </conditionalFormatting>
  <conditionalFormatting sqref="H79">
    <cfRule type="cellIs" dxfId="15411" priority="135174" stopIfTrue="1" operator="equal">
      <formula>-1</formula>
    </cfRule>
  </conditionalFormatting>
  <conditionalFormatting sqref="H79">
    <cfRule type="cellIs" dxfId="15410" priority="135175" stopIfTrue="1" operator="lessThan">
      <formula>0.5</formula>
    </cfRule>
  </conditionalFormatting>
  <conditionalFormatting sqref="H79">
    <cfRule type="cellIs" dxfId="15409" priority="135176" stopIfTrue="1" operator="greaterThanOrEqual">
      <formula>0.5</formula>
    </cfRule>
  </conditionalFormatting>
  <conditionalFormatting sqref="H80">
    <cfRule type="cellIs" dxfId="15408" priority="135177" stopIfTrue="1" operator="equal">
      <formula>-1</formula>
    </cfRule>
  </conditionalFormatting>
  <conditionalFormatting sqref="H80">
    <cfRule type="cellIs" dxfId="15407" priority="135178" stopIfTrue="1" operator="lessThan">
      <formula>0.5</formula>
    </cfRule>
  </conditionalFormatting>
  <conditionalFormatting sqref="H80">
    <cfRule type="cellIs" dxfId="15406" priority="135179" stopIfTrue="1" operator="greaterThanOrEqual">
      <formula>0.5</formula>
    </cfRule>
  </conditionalFormatting>
  <conditionalFormatting sqref="H81">
    <cfRule type="cellIs" dxfId="15405" priority="135180" stopIfTrue="1" operator="equal">
      <formula>-1</formula>
    </cfRule>
  </conditionalFormatting>
  <conditionalFormatting sqref="H81">
    <cfRule type="cellIs" dxfId="15404" priority="135181" stopIfTrue="1" operator="lessThan">
      <formula>0.5</formula>
    </cfRule>
  </conditionalFormatting>
  <conditionalFormatting sqref="H81">
    <cfRule type="cellIs" dxfId="15403" priority="135182" stopIfTrue="1" operator="greaterThanOrEqual">
      <formula>0.5</formula>
    </cfRule>
  </conditionalFormatting>
  <conditionalFormatting sqref="H82">
    <cfRule type="cellIs" dxfId="15402" priority="135183" stopIfTrue="1" operator="equal">
      <formula>-1</formula>
    </cfRule>
  </conditionalFormatting>
  <conditionalFormatting sqref="H82">
    <cfRule type="cellIs" dxfId="15401" priority="135184" stopIfTrue="1" operator="lessThan">
      <formula>0.5</formula>
    </cfRule>
  </conditionalFormatting>
  <conditionalFormatting sqref="H82">
    <cfRule type="cellIs" dxfId="15400" priority="135185" stopIfTrue="1" operator="greaterThanOrEqual">
      <formula>0.5</formula>
    </cfRule>
  </conditionalFormatting>
  <conditionalFormatting sqref="H83">
    <cfRule type="cellIs" dxfId="15399" priority="135186" stopIfTrue="1" operator="equal">
      <formula>-1</formula>
    </cfRule>
  </conditionalFormatting>
  <conditionalFormatting sqref="H83">
    <cfRule type="cellIs" dxfId="15398" priority="135187" stopIfTrue="1" operator="lessThan">
      <formula>0.5</formula>
    </cfRule>
  </conditionalFormatting>
  <conditionalFormatting sqref="H83">
    <cfRule type="cellIs" dxfId="15397" priority="135188" stopIfTrue="1" operator="greaterThanOrEqual">
      <formula>0.5</formula>
    </cfRule>
  </conditionalFormatting>
  <conditionalFormatting sqref="H84">
    <cfRule type="cellIs" dxfId="15396" priority="135189" stopIfTrue="1" operator="equal">
      <formula>-1</formula>
    </cfRule>
  </conditionalFormatting>
  <conditionalFormatting sqref="H84">
    <cfRule type="cellIs" dxfId="15395" priority="135190" stopIfTrue="1" operator="lessThan">
      <formula>0.5</formula>
    </cfRule>
  </conditionalFormatting>
  <conditionalFormatting sqref="H84">
    <cfRule type="cellIs" dxfId="15394" priority="135191" stopIfTrue="1" operator="greaterThanOrEqual">
      <formula>0.5</formula>
    </cfRule>
  </conditionalFormatting>
  <conditionalFormatting sqref="H85">
    <cfRule type="cellIs" dxfId="15393" priority="135192" stopIfTrue="1" operator="equal">
      <formula>-1</formula>
    </cfRule>
  </conditionalFormatting>
  <conditionalFormatting sqref="H85">
    <cfRule type="cellIs" dxfId="15392" priority="135193" stopIfTrue="1" operator="lessThan">
      <formula>0.5</formula>
    </cfRule>
  </conditionalFormatting>
  <conditionalFormatting sqref="H85">
    <cfRule type="cellIs" dxfId="15391" priority="135194" stopIfTrue="1" operator="greaterThanOrEqual">
      <formula>0.5</formula>
    </cfRule>
  </conditionalFormatting>
  <conditionalFormatting sqref="J65">
    <cfRule type="cellIs" dxfId="15390" priority="135195" stopIfTrue="1" operator="equal">
      <formula>-1</formula>
    </cfRule>
  </conditionalFormatting>
  <conditionalFormatting sqref="J65">
    <cfRule type="cellIs" dxfId="15389" priority="135196" stopIfTrue="1" operator="lessThan">
      <formula>0.5</formula>
    </cfRule>
  </conditionalFormatting>
  <conditionalFormatting sqref="J65">
    <cfRule type="cellIs" dxfId="15388" priority="135197" stopIfTrue="1" operator="greaterThanOrEqual">
      <formula>0.5</formula>
    </cfRule>
  </conditionalFormatting>
  <conditionalFormatting sqref="J66">
    <cfRule type="cellIs" dxfId="15387" priority="135198" stopIfTrue="1" operator="equal">
      <formula>-1</formula>
    </cfRule>
  </conditionalFormatting>
  <conditionalFormatting sqref="J66">
    <cfRule type="cellIs" dxfId="15386" priority="135199" stopIfTrue="1" operator="lessThan">
      <formula>0.5</formula>
    </cfRule>
  </conditionalFormatting>
  <conditionalFormatting sqref="J66">
    <cfRule type="cellIs" dxfId="15385" priority="135200" stopIfTrue="1" operator="greaterThanOrEqual">
      <formula>0.5</formula>
    </cfRule>
  </conditionalFormatting>
  <conditionalFormatting sqref="J67">
    <cfRule type="cellIs" dxfId="15384" priority="135201" stopIfTrue="1" operator="equal">
      <formula>-1</formula>
    </cfRule>
  </conditionalFormatting>
  <conditionalFormatting sqref="J67">
    <cfRule type="cellIs" dxfId="15383" priority="135202" stopIfTrue="1" operator="lessThan">
      <formula>0.5</formula>
    </cfRule>
  </conditionalFormatting>
  <conditionalFormatting sqref="J67">
    <cfRule type="cellIs" dxfId="15382" priority="135203" stopIfTrue="1" operator="greaterThanOrEqual">
      <formula>0.5</formula>
    </cfRule>
  </conditionalFormatting>
  <conditionalFormatting sqref="J68">
    <cfRule type="cellIs" dxfId="15381" priority="135204" stopIfTrue="1" operator="equal">
      <formula>-1</formula>
    </cfRule>
  </conditionalFormatting>
  <conditionalFormatting sqref="J68">
    <cfRule type="cellIs" dxfId="15380" priority="135205" stopIfTrue="1" operator="lessThan">
      <formula>0.5</formula>
    </cfRule>
  </conditionalFormatting>
  <conditionalFormatting sqref="J68">
    <cfRule type="cellIs" dxfId="15379" priority="135206" stopIfTrue="1" operator="greaterThanOrEqual">
      <formula>0.5</formula>
    </cfRule>
  </conditionalFormatting>
  <conditionalFormatting sqref="J69">
    <cfRule type="cellIs" dxfId="15378" priority="135207" stopIfTrue="1" operator="equal">
      <formula>-1</formula>
    </cfRule>
  </conditionalFormatting>
  <conditionalFormatting sqref="J69">
    <cfRule type="cellIs" dxfId="15377" priority="135208" stopIfTrue="1" operator="lessThan">
      <formula>0.5</formula>
    </cfRule>
  </conditionalFormatting>
  <conditionalFormatting sqref="J69">
    <cfRule type="cellIs" dxfId="15376" priority="135209" stopIfTrue="1" operator="greaterThanOrEqual">
      <formula>0.5</formula>
    </cfRule>
  </conditionalFormatting>
  <conditionalFormatting sqref="J70">
    <cfRule type="cellIs" dxfId="15375" priority="135210" stopIfTrue="1" operator="equal">
      <formula>-1</formula>
    </cfRule>
  </conditionalFormatting>
  <conditionalFormatting sqref="J70">
    <cfRule type="cellIs" dxfId="15374" priority="135211" stopIfTrue="1" operator="lessThan">
      <formula>0.5</formula>
    </cfRule>
  </conditionalFormatting>
  <conditionalFormatting sqref="J70">
    <cfRule type="cellIs" dxfId="15373" priority="135212" stopIfTrue="1" operator="greaterThanOrEqual">
      <formula>0.5</formula>
    </cfRule>
  </conditionalFormatting>
  <conditionalFormatting sqref="J71">
    <cfRule type="cellIs" dxfId="15372" priority="135213" stopIfTrue="1" operator="equal">
      <formula>-1</formula>
    </cfRule>
  </conditionalFormatting>
  <conditionalFormatting sqref="J71">
    <cfRule type="cellIs" dxfId="15371" priority="135214" stopIfTrue="1" operator="lessThan">
      <formula>0.5</formula>
    </cfRule>
  </conditionalFormatting>
  <conditionalFormatting sqref="J71">
    <cfRule type="cellIs" dxfId="15370" priority="135215" stopIfTrue="1" operator="greaterThanOrEqual">
      <formula>0.5</formula>
    </cfRule>
  </conditionalFormatting>
  <conditionalFormatting sqref="J72">
    <cfRule type="cellIs" dxfId="15369" priority="135216" stopIfTrue="1" operator="equal">
      <formula>-1</formula>
    </cfRule>
  </conditionalFormatting>
  <conditionalFormatting sqref="J72">
    <cfRule type="cellIs" dxfId="15368" priority="135217" stopIfTrue="1" operator="lessThan">
      <formula>0.5</formula>
    </cfRule>
  </conditionalFormatting>
  <conditionalFormatting sqref="J72">
    <cfRule type="cellIs" dxfId="15367" priority="135218" stopIfTrue="1" operator="greaterThanOrEqual">
      <formula>0.5</formula>
    </cfRule>
  </conditionalFormatting>
  <conditionalFormatting sqref="J73">
    <cfRule type="cellIs" dxfId="15366" priority="135219" stopIfTrue="1" operator="equal">
      <formula>-1</formula>
    </cfRule>
  </conditionalFormatting>
  <conditionalFormatting sqref="J73">
    <cfRule type="cellIs" dxfId="15365" priority="135220" stopIfTrue="1" operator="lessThan">
      <formula>0.5</formula>
    </cfRule>
  </conditionalFormatting>
  <conditionalFormatting sqref="J73">
    <cfRule type="cellIs" dxfId="15364" priority="135221" stopIfTrue="1" operator="greaterThanOrEqual">
      <formula>0.5</formula>
    </cfRule>
  </conditionalFormatting>
  <conditionalFormatting sqref="J74">
    <cfRule type="cellIs" dxfId="15363" priority="135222" stopIfTrue="1" operator="equal">
      <formula>-1</formula>
    </cfRule>
  </conditionalFormatting>
  <conditionalFormatting sqref="J74">
    <cfRule type="cellIs" dxfId="15362" priority="135223" stopIfTrue="1" operator="lessThan">
      <formula>0.5</formula>
    </cfRule>
  </conditionalFormatting>
  <conditionalFormatting sqref="J74">
    <cfRule type="cellIs" dxfId="15361" priority="135224" stopIfTrue="1" operator="greaterThanOrEqual">
      <formula>0.5</formula>
    </cfRule>
  </conditionalFormatting>
  <conditionalFormatting sqref="J75">
    <cfRule type="cellIs" dxfId="15360" priority="135225" stopIfTrue="1" operator="equal">
      <formula>-1</formula>
    </cfRule>
  </conditionalFormatting>
  <conditionalFormatting sqref="J75">
    <cfRule type="cellIs" dxfId="15359" priority="135226" stopIfTrue="1" operator="lessThan">
      <formula>0.5</formula>
    </cfRule>
  </conditionalFormatting>
  <conditionalFormatting sqref="J75">
    <cfRule type="cellIs" dxfId="15358" priority="135227" stopIfTrue="1" operator="greaterThanOrEqual">
      <formula>0.5</formula>
    </cfRule>
  </conditionalFormatting>
  <conditionalFormatting sqref="J76">
    <cfRule type="cellIs" dxfId="15357" priority="135228" stopIfTrue="1" operator="equal">
      <formula>-1</formula>
    </cfRule>
  </conditionalFormatting>
  <conditionalFormatting sqref="J76">
    <cfRule type="cellIs" dxfId="15356" priority="135229" stopIfTrue="1" operator="lessThan">
      <formula>0.5</formula>
    </cfRule>
  </conditionalFormatting>
  <conditionalFormatting sqref="J76">
    <cfRule type="cellIs" dxfId="15355" priority="135230" stopIfTrue="1" operator="greaterThanOrEqual">
      <formula>0.5</formula>
    </cfRule>
  </conditionalFormatting>
  <conditionalFormatting sqref="J77">
    <cfRule type="cellIs" dxfId="15354" priority="135231" stopIfTrue="1" operator="equal">
      <formula>-1</formula>
    </cfRule>
  </conditionalFormatting>
  <conditionalFormatting sqref="J77">
    <cfRule type="cellIs" dxfId="15353" priority="135232" stopIfTrue="1" operator="lessThan">
      <formula>0.5</formula>
    </cfRule>
  </conditionalFormatting>
  <conditionalFormatting sqref="J77">
    <cfRule type="cellIs" dxfId="15352" priority="135233" stopIfTrue="1" operator="greaterThanOrEqual">
      <formula>0.5</formula>
    </cfRule>
  </conditionalFormatting>
  <conditionalFormatting sqref="J78">
    <cfRule type="cellIs" dxfId="15351" priority="135234" stopIfTrue="1" operator="equal">
      <formula>-1</formula>
    </cfRule>
  </conditionalFormatting>
  <conditionalFormatting sqref="J78">
    <cfRule type="cellIs" dxfId="15350" priority="135235" stopIfTrue="1" operator="lessThan">
      <formula>0.5</formula>
    </cfRule>
  </conditionalFormatting>
  <conditionalFormatting sqref="J78">
    <cfRule type="cellIs" dxfId="15349" priority="135236" stopIfTrue="1" operator="greaterThanOrEqual">
      <formula>0.5</formula>
    </cfRule>
  </conditionalFormatting>
  <conditionalFormatting sqref="J79">
    <cfRule type="cellIs" dxfId="15348" priority="135237" stopIfTrue="1" operator="equal">
      <formula>-1</formula>
    </cfRule>
  </conditionalFormatting>
  <conditionalFormatting sqref="J79">
    <cfRule type="cellIs" dxfId="15347" priority="135238" stopIfTrue="1" operator="lessThan">
      <formula>0.5</formula>
    </cfRule>
  </conditionalFormatting>
  <conditionalFormatting sqref="J79">
    <cfRule type="cellIs" dxfId="15346" priority="135239" stopIfTrue="1" operator="greaterThanOrEqual">
      <formula>0.5</formula>
    </cfRule>
  </conditionalFormatting>
  <conditionalFormatting sqref="J80">
    <cfRule type="cellIs" dxfId="15345" priority="135240" stopIfTrue="1" operator="equal">
      <formula>-1</formula>
    </cfRule>
  </conditionalFormatting>
  <conditionalFormatting sqref="J80">
    <cfRule type="cellIs" dxfId="15344" priority="135241" stopIfTrue="1" operator="lessThan">
      <formula>0.5</formula>
    </cfRule>
  </conditionalFormatting>
  <conditionalFormatting sqref="J80">
    <cfRule type="cellIs" dxfId="15343" priority="135242" stopIfTrue="1" operator="greaterThanOrEqual">
      <formula>0.5</formula>
    </cfRule>
  </conditionalFormatting>
  <conditionalFormatting sqref="J81">
    <cfRule type="cellIs" dxfId="15342" priority="135243" stopIfTrue="1" operator="equal">
      <formula>-1</formula>
    </cfRule>
  </conditionalFormatting>
  <conditionalFormatting sqref="J81">
    <cfRule type="cellIs" dxfId="15341" priority="135244" stopIfTrue="1" operator="lessThan">
      <formula>0.5</formula>
    </cfRule>
  </conditionalFormatting>
  <conditionalFormatting sqref="J81">
    <cfRule type="cellIs" dxfId="15340" priority="135245" stopIfTrue="1" operator="greaterThanOrEqual">
      <formula>0.5</formula>
    </cfRule>
  </conditionalFormatting>
  <conditionalFormatting sqref="J82">
    <cfRule type="cellIs" dxfId="15339" priority="135246" stopIfTrue="1" operator="equal">
      <formula>-1</formula>
    </cfRule>
  </conditionalFormatting>
  <conditionalFormatting sqref="J82">
    <cfRule type="cellIs" dxfId="15338" priority="135247" stopIfTrue="1" operator="lessThan">
      <formula>0.5</formula>
    </cfRule>
  </conditionalFormatting>
  <conditionalFormatting sqref="J82">
    <cfRule type="cellIs" dxfId="15337" priority="135248" stopIfTrue="1" operator="greaterThanOrEqual">
      <formula>0.5</formula>
    </cfRule>
  </conditionalFormatting>
  <conditionalFormatting sqref="J83">
    <cfRule type="cellIs" dxfId="15336" priority="135249" stopIfTrue="1" operator="equal">
      <formula>-1</formula>
    </cfRule>
  </conditionalFormatting>
  <conditionalFormatting sqref="J83">
    <cfRule type="cellIs" dxfId="15335" priority="135250" stopIfTrue="1" operator="lessThan">
      <formula>0.5</formula>
    </cfRule>
  </conditionalFormatting>
  <conditionalFormatting sqref="J83">
    <cfRule type="cellIs" dxfId="15334" priority="135251" stopIfTrue="1" operator="greaterThanOrEqual">
      <formula>0.5</formula>
    </cfRule>
  </conditionalFormatting>
  <conditionalFormatting sqref="J84">
    <cfRule type="cellIs" dxfId="15333" priority="135252" stopIfTrue="1" operator="equal">
      <formula>-1</formula>
    </cfRule>
  </conditionalFormatting>
  <conditionalFormatting sqref="J84">
    <cfRule type="cellIs" dxfId="15332" priority="135253" stopIfTrue="1" operator="lessThan">
      <formula>0.5</formula>
    </cfRule>
  </conditionalFormatting>
  <conditionalFormatting sqref="J84">
    <cfRule type="cellIs" dxfId="15331" priority="135254" stopIfTrue="1" operator="greaterThanOrEqual">
      <formula>0.5</formula>
    </cfRule>
  </conditionalFormatting>
  <conditionalFormatting sqref="J85">
    <cfRule type="cellIs" dxfId="15330" priority="135255" stopIfTrue="1" operator="equal">
      <formula>-1</formula>
    </cfRule>
  </conditionalFormatting>
  <conditionalFormatting sqref="J85">
    <cfRule type="cellIs" dxfId="15329" priority="135256" stopIfTrue="1" operator="lessThan">
      <formula>0.5</formula>
    </cfRule>
  </conditionalFormatting>
  <conditionalFormatting sqref="J85">
    <cfRule type="cellIs" dxfId="15328" priority="135257" stopIfTrue="1" operator="greaterThanOrEqual">
      <formula>0.5</formula>
    </cfRule>
  </conditionalFormatting>
  <conditionalFormatting sqref="L65">
    <cfRule type="cellIs" dxfId="15327" priority="135258" stopIfTrue="1" operator="equal">
      <formula>-1</formula>
    </cfRule>
  </conditionalFormatting>
  <conditionalFormatting sqref="L65">
    <cfRule type="cellIs" dxfId="15326" priority="135259" stopIfTrue="1" operator="lessThan">
      <formula>0.5</formula>
    </cfRule>
  </conditionalFormatting>
  <conditionalFormatting sqref="L65">
    <cfRule type="cellIs" dxfId="15325" priority="135260" stopIfTrue="1" operator="greaterThanOrEqual">
      <formula>0.5</formula>
    </cfRule>
  </conditionalFormatting>
  <conditionalFormatting sqref="L66">
    <cfRule type="cellIs" dxfId="15324" priority="135261" stopIfTrue="1" operator="equal">
      <formula>-1</formula>
    </cfRule>
  </conditionalFormatting>
  <conditionalFormatting sqref="L66">
    <cfRule type="cellIs" dxfId="15323" priority="135262" stopIfTrue="1" operator="lessThan">
      <formula>0.5</formula>
    </cfRule>
  </conditionalFormatting>
  <conditionalFormatting sqref="L66">
    <cfRule type="cellIs" dxfId="15322" priority="135263" stopIfTrue="1" operator="greaterThanOrEqual">
      <formula>0.5</formula>
    </cfRule>
  </conditionalFormatting>
  <conditionalFormatting sqref="L67">
    <cfRule type="cellIs" dxfId="15321" priority="135264" stopIfTrue="1" operator="equal">
      <formula>-1</formula>
    </cfRule>
  </conditionalFormatting>
  <conditionalFormatting sqref="L67">
    <cfRule type="cellIs" dxfId="15320" priority="135265" stopIfTrue="1" operator="lessThan">
      <formula>0.5</formula>
    </cfRule>
  </conditionalFormatting>
  <conditionalFormatting sqref="L67">
    <cfRule type="cellIs" dxfId="15319" priority="135266" stopIfTrue="1" operator="greaterThanOrEqual">
      <formula>0.5</formula>
    </cfRule>
  </conditionalFormatting>
  <conditionalFormatting sqref="L68">
    <cfRule type="cellIs" dxfId="15318" priority="135267" stopIfTrue="1" operator="equal">
      <formula>-1</formula>
    </cfRule>
  </conditionalFormatting>
  <conditionalFormatting sqref="L68">
    <cfRule type="cellIs" dxfId="15317" priority="135268" stopIfTrue="1" operator="lessThan">
      <formula>0.5</formula>
    </cfRule>
  </conditionalFormatting>
  <conditionalFormatting sqref="L68">
    <cfRule type="cellIs" dxfId="15316" priority="135269" stopIfTrue="1" operator="greaterThanOrEqual">
      <formula>0.5</formula>
    </cfRule>
  </conditionalFormatting>
  <conditionalFormatting sqref="L69">
    <cfRule type="cellIs" dxfId="15315" priority="135270" stopIfTrue="1" operator="equal">
      <formula>-1</formula>
    </cfRule>
  </conditionalFormatting>
  <conditionalFormatting sqref="L69">
    <cfRule type="cellIs" dxfId="15314" priority="135271" stopIfTrue="1" operator="lessThan">
      <formula>0.5</formula>
    </cfRule>
  </conditionalFormatting>
  <conditionalFormatting sqref="L69">
    <cfRule type="cellIs" dxfId="15313" priority="135272" stopIfTrue="1" operator="greaterThanOrEqual">
      <formula>0.5</formula>
    </cfRule>
  </conditionalFormatting>
  <conditionalFormatting sqref="L70">
    <cfRule type="cellIs" dxfId="15312" priority="135273" stopIfTrue="1" operator="equal">
      <formula>-1</formula>
    </cfRule>
  </conditionalFormatting>
  <conditionalFormatting sqref="L70">
    <cfRule type="cellIs" dxfId="15311" priority="135274" stopIfTrue="1" operator="lessThan">
      <formula>0.5</formula>
    </cfRule>
  </conditionalFormatting>
  <conditionalFormatting sqref="L70">
    <cfRule type="cellIs" dxfId="15310" priority="135275" stopIfTrue="1" operator="greaterThanOrEqual">
      <formula>0.5</formula>
    </cfRule>
  </conditionalFormatting>
  <conditionalFormatting sqref="L71">
    <cfRule type="cellIs" dxfId="15309" priority="135276" stopIfTrue="1" operator="equal">
      <formula>-1</formula>
    </cfRule>
  </conditionalFormatting>
  <conditionalFormatting sqref="L71">
    <cfRule type="cellIs" dxfId="15308" priority="135277" stopIfTrue="1" operator="lessThan">
      <formula>0.5</formula>
    </cfRule>
  </conditionalFormatting>
  <conditionalFormatting sqref="L71">
    <cfRule type="cellIs" dxfId="15307" priority="135278" stopIfTrue="1" operator="greaterThanOrEqual">
      <formula>0.5</formula>
    </cfRule>
  </conditionalFormatting>
  <conditionalFormatting sqref="L72">
    <cfRule type="cellIs" dxfId="15306" priority="135279" stopIfTrue="1" operator="equal">
      <formula>-1</formula>
    </cfRule>
  </conditionalFormatting>
  <conditionalFormatting sqref="L72">
    <cfRule type="cellIs" dxfId="15305" priority="135280" stopIfTrue="1" operator="lessThan">
      <formula>0.5</formula>
    </cfRule>
  </conditionalFormatting>
  <conditionalFormatting sqref="L72">
    <cfRule type="cellIs" dxfId="15304" priority="135281" stopIfTrue="1" operator="greaterThanOrEqual">
      <formula>0.5</formula>
    </cfRule>
  </conditionalFormatting>
  <conditionalFormatting sqref="L73">
    <cfRule type="cellIs" dxfId="15303" priority="135282" stopIfTrue="1" operator="equal">
      <formula>-1</formula>
    </cfRule>
  </conditionalFormatting>
  <conditionalFormatting sqref="L73">
    <cfRule type="cellIs" dxfId="15302" priority="135283" stopIfTrue="1" operator="lessThan">
      <formula>0.5</formula>
    </cfRule>
  </conditionalFormatting>
  <conditionalFormatting sqref="L73">
    <cfRule type="cellIs" dxfId="15301" priority="135284" stopIfTrue="1" operator="greaterThanOrEqual">
      <formula>0.5</formula>
    </cfRule>
  </conditionalFormatting>
  <conditionalFormatting sqref="L74">
    <cfRule type="cellIs" dxfId="15300" priority="135285" stopIfTrue="1" operator="equal">
      <formula>-1</formula>
    </cfRule>
  </conditionalFormatting>
  <conditionalFormatting sqref="L74">
    <cfRule type="cellIs" dxfId="15299" priority="135286" stopIfTrue="1" operator="lessThan">
      <formula>0.5</formula>
    </cfRule>
  </conditionalFormatting>
  <conditionalFormatting sqref="L74">
    <cfRule type="cellIs" dxfId="15298" priority="135287" stopIfTrue="1" operator="greaterThanOrEqual">
      <formula>0.5</formula>
    </cfRule>
  </conditionalFormatting>
  <conditionalFormatting sqref="L75">
    <cfRule type="cellIs" dxfId="15297" priority="135288" stopIfTrue="1" operator="equal">
      <formula>-1</formula>
    </cfRule>
  </conditionalFormatting>
  <conditionalFormatting sqref="L75">
    <cfRule type="cellIs" dxfId="15296" priority="135289" stopIfTrue="1" operator="lessThan">
      <formula>0.5</formula>
    </cfRule>
  </conditionalFormatting>
  <conditionalFormatting sqref="L75">
    <cfRule type="cellIs" dxfId="15295" priority="135290" stopIfTrue="1" operator="greaterThanOrEqual">
      <formula>0.5</formula>
    </cfRule>
  </conditionalFormatting>
  <conditionalFormatting sqref="L76">
    <cfRule type="cellIs" dxfId="15294" priority="135291" stopIfTrue="1" operator="equal">
      <formula>-1</formula>
    </cfRule>
  </conditionalFormatting>
  <conditionalFormatting sqref="L76">
    <cfRule type="cellIs" dxfId="15293" priority="135292" stopIfTrue="1" operator="lessThan">
      <formula>0.5</formula>
    </cfRule>
  </conditionalFormatting>
  <conditionalFormatting sqref="L76">
    <cfRule type="cellIs" dxfId="15292" priority="135293" stopIfTrue="1" operator="greaterThanOrEqual">
      <formula>0.5</formula>
    </cfRule>
  </conditionalFormatting>
  <conditionalFormatting sqref="L77">
    <cfRule type="cellIs" dxfId="15291" priority="135294" stopIfTrue="1" operator="equal">
      <formula>-1</formula>
    </cfRule>
  </conditionalFormatting>
  <conditionalFormatting sqref="L77">
    <cfRule type="cellIs" dxfId="15290" priority="135295" stopIfTrue="1" operator="lessThan">
      <formula>0.5</formula>
    </cfRule>
  </conditionalFormatting>
  <conditionalFormatting sqref="L77">
    <cfRule type="cellIs" dxfId="15289" priority="135296" stopIfTrue="1" operator="greaterThanOrEqual">
      <formula>0.5</formula>
    </cfRule>
  </conditionalFormatting>
  <conditionalFormatting sqref="L78">
    <cfRule type="cellIs" dxfId="15288" priority="135297" stopIfTrue="1" operator="equal">
      <formula>-1</formula>
    </cfRule>
  </conditionalFormatting>
  <conditionalFormatting sqref="L78">
    <cfRule type="cellIs" dxfId="15287" priority="135298" stopIfTrue="1" operator="lessThan">
      <formula>0.5</formula>
    </cfRule>
  </conditionalFormatting>
  <conditionalFormatting sqref="L78">
    <cfRule type="cellIs" dxfId="15286" priority="135299" stopIfTrue="1" operator="greaterThanOrEqual">
      <formula>0.5</formula>
    </cfRule>
  </conditionalFormatting>
  <conditionalFormatting sqref="L79">
    <cfRule type="cellIs" dxfId="15285" priority="135300" stopIfTrue="1" operator="equal">
      <formula>-1</formula>
    </cfRule>
  </conditionalFormatting>
  <conditionalFormatting sqref="L79">
    <cfRule type="cellIs" dxfId="15284" priority="135301" stopIfTrue="1" operator="lessThan">
      <formula>0.5</formula>
    </cfRule>
  </conditionalFormatting>
  <conditionalFormatting sqref="L79">
    <cfRule type="cellIs" dxfId="15283" priority="135302" stopIfTrue="1" operator="greaterThanOrEqual">
      <formula>0.5</formula>
    </cfRule>
  </conditionalFormatting>
  <conditionalFormatting sqref="L80">
    <cfRule type="cellIs" dxfId="15282" priority="135303" stopIfTrue="1" operator="equal">
      <formula>-1</formula>
    </cfRule>
  </conditionalFormatting>
  <conditionalFormatting sqref="L80">
    <cfRule type="cellIs" dxfId="15281" priority="135304" stopIfTrue="1" operator="lessThan">
      <formula>0.5</formula>
    </cfRule>
  </conditionalFormatting>
  <conditionalFormatting sqref="L80">
    <cfRule type="cellIs" dxfId="15280" priority="135305" stopIfTrue="1" operator="greaterThanOrEqual">
      <formula>0.5</formula>
    </cfRule>
  </conditionalFormatting>
  <conditionalFormatting sqref="L81">
    <cfRule type="cellIs" dxfId="15279" priority="135306" stopIfTrue="1" operator="equal">
      <formula>-1</formula>
    </cfRule>
  </conditionalFormatting>
  <conditionalFormatting sqref="L81">
    <cfRule type="cellIs" dxfId="15278" priority="135307" stopIfTrue="1" operator="lessThan">
      <formula>0.5</formula>
    </cfRule>
  </conditionalFormatting>
  <conditionalFormatting sqref="L81">
    <cfRule type="cellIs" dxfId="15277" priority="135308" stopIfTrue="1" operator="greaterThanOrEqual">
      <formula>0.5</formula>
    </cfRule>
  </conditionalFormatting>
  <conditionalFormatting sqref="L82">
    <cfRule type="cellIs" dxfId="15276" priority="135309" stopIfTrue="1" operator="equal">
      <formula>-1</formula>
    </cfRule>
  </conditionalFormatting>
  <conditionalFormatting sqref="L82">
    <cfRule type="cellIs" dxfId="15275" priority="135310" stopIfTrue="1" operator="lessThan">
      <formula>0.5</formula>
    </cfRule>
  </conditionalFormatting>
  <conditionalFormatting sqref="L82">
    <cfRule type="cellIs" dxfId="15274" priority="135311" stopIfTrue="1" operator="greaterThanOrEqual">
      <formula>0.5</formula>
    </cfRule>
  </conditionalFormatting>
  <conditionalFormatting sqref="L83">
    <cfRule type="cellIs" dxfId="15273" priority="135312" stopIfTrue="1" operator="equal">
      <formula>-1</formula>
    </cfRule>
  </conditionalFormatting>
  <conditionalFormatting sqref="L83">
    <cfRule type="cellIs" dxfId="15272" priority="135313" stopIfTrue="1" operator="lessThan">
      <formula>0.5</formula>
    </cfRule>
  </conditionalFormatting>
  <conditionalFormatting sqref="L83">
    <cfRule type="cellIs" dxfId="15271" priority="135314" stopIfTrue="1" operator="greaterThanOrEqual">
      <formula>0.5</formula>
    </cfRule>
  </conditionalFormatting>
  <conditionalFormatting sqref="L84">
    <cfRule type="cellIs" dxfId="15270" priority="135315" stopIfTrue="1" operator="equal">
      <formula>-1</formula>
    </cfRule>
  </conditionalFormatting>
  <conditionalFormatting sqref="L84">
    <cfRule type="cellIs" dxfId="15269" priority="135316" stopIfTrue="1" operator="lessThan">
      <formula>0.5</formula>
    </cfRule>
  </conditionalFormatting>
  <conditionalFormatting sqref="L84">
    <cfRule type="cellIs" dxfId="15268" priority="135317" stopIfTrue="1" operator="greaterThanOrEqual">
      <formula>0.5</formula>
    </cfRule>
  </conditionalFormatting>
  <conditionalFormatting sqref="L85">
    <cfRule type="cellIs" dxfId="15267" priority="135318" stopIfTrue="1" operator="equal">
      <formula>-1</formula>
    </cfRule>
  </conditionalFormatting>
  <conditionalFormatting sqref="L85">
    <cfRule type="cellIs" dxfId="15266" priority="135319" stopIfTrue="1" operator="lessThan">
      <formula>0.5</formula>
    </cfRule>
  </conditionalFormatting>
  <conditionalFormatting sqref="L85">
    <cfRule type="cellIs" dxfId="15265" priority="135320" stopIfTrue="1" operator="greaterThanOrEqual">
      <formula>0.5</formula>
    </cfRule>
  </conditionalFormatting>
  <conditionalFormatting sqref="N65">
    <cfRule type="cellIs" dxfId="15264" priority="135321" stopIfTrue="1" operator="equal">
      <formula>-1</formula>
    </cfRule>
  </conditionalFormatting>
  <conditionalFormatting sqref="N65">
    <cfRule type="cellIs" dxfId="15263" priority="135322" stopIfTrue="1" operator="lessThan">
      <formula>0.5</formula>
    </cfRule>
  </conditionalFormatting>
  <conditionalFormatting sqref="N65">
    <cfRule type="cellIs" dxfId="15262" priority="135323" stopIfTrue="1" operator="greaterThanOrEqual">
      <formula>0.5</formula>
    </cfRule>
  </conditionalFormatting>
  <conditionalFormatting sqref="N66">
    <cfRule type="cellIs" dxfId="15261" priority="135324" stopIfTrue="1" operator="equal">
      <formula>-1</formula>
    </cfRule>
  </conditionalFormatting>
  <conditionalFormatting sqref="N66">
    <cfRule type="cellIs" dxfId="15260" priority="135325" stopIfTrue="1" operator="lessThan">
      <formula>0.5</formula>
    </cfRule>
  </conditionalFormatting>
  <conditionalFormatting sqref="N66">
    <cfRule type="cellIs" dxfId="15259" priority="135326" stopIfTrue="1" operator="greaterThanOrEqual">
      <formula>0.5</formula>
    </cfRule>
  </conditionalFormatting>
  <conditionalFormatting sqref="N67">
    <cfRule type="cellIs" dxfId="15258" priority="135327" stopIfTrue="1" operator="equal">
      <formula>-1</formula>
    </cfRule>
  </conditionalFormatting>
  <conditionalFormatting sqref="N67">
    <cfRule type="cellIs" dxfId="15257" priority="135328" stopIfTrue="1" operator="lessThan">
      <formula>0.5</formula>
    </cfRule>
  </conditionalFormatting>
  <conditionalFormatting sqref="N67">
    <cfRule type="cellIs" dxfId="15256" priority="135329" stopIfTrue="1" operator="greaterThanOrEqual">
      <formula>0.5</formula>
    </cfRule>
  </conditionalFormatting>
  <conditionalFormatting sqref="N68">
    <cfRule type="cellIs" dxfId="15255" priority="135330" stopIfTrue="1" operator="equal">
      <formula>-1</formula>
    </cfRule>
  </conditionalFormatting>
  <conditionalFormatting sqref="N68">
    <cfRule type="cellIs" dxfId="15254" priority="135331" stopIfTrue="1" operator="lessThan">
      <formula>0.5</formula>
    </cfRule>
  </conditionalFormatting>
  <conditionalFormatting sqref="N68">
    <cfRule type="cellIs" dxfId="15253" priority="135332" stopIfTrue="1" operator="greaterThanOrEqual">
      <formula>0.5</formula>
    </cfRule>
  </conditionalFormatting>
  <conditionalFormatting sqref="N69">
    <cfRule type="cellIs" dxfId="15252" priority="135333" stopIfTrue="1" operator="equal">
      <formula>-1</formula>
    </cfRule>
  </conditionalFormatting>
  <conditionalFormatting sqref="N69">
    <cfRule type="cellIs" dxfId="15251" priority="135334" stopIfTrue="1" operator="lessThan">
      <formula>0.5</formula>
    </cfRule>
  </conditionalFormatting>
  <conditionalFormatting sqref="N69">
    <cfRule type="cellIs" dxfId="15250" priority="135335" stopIfTrue="1" operator="greaterThanOrEqual">
      <formula>0.5</formula>
    </cfRule>
  </conditionalFormatting>
  <conditionalFormatting sqref="N70">
    <cfRule type="cellIs" dxfId="15249" priority="135336" stopIfTrue="1" operator="equal">
      <formula>-1</formula>
    </cfRule>
  </conditionalFormatting>
  <conditionalFormatting sqref="N70">
    <cfRule type="cellIs" dxfId="15248" priority="135337" stopIfTrue="1" operator="lessThan">
      <formula>0.5</formula>
    </cfRule>
  </conditionalFormatting>
  <conditionalFormatting sqref="N70">
    <cfRule type="cellIs" dxfId="15247" priority="135338" stopIfTrue="1" operator="greaterThanOrEqual">
      <formula>0.5</formula>
    </cfRule>
  </conditionalFormatting>
  <conditionalFormatting sqref="N71">
    <cfRule type="cellIs" dxfId="15246" priority="135339" stopIfTrue="1" operator="equal">
      <formula>-1</formula>
    </cfRule>
  </conditionalFormatting>
  <conditionalFormatting sqref="N71">
    <cfRule type="cellIs" dxfId="15245" priority="135340" stopIfTrue="1" operator="lessThan">
      <formula>0.5</formula>
    </cfRule>
  </conditionalFormatting>
  <conditionalFormatting sqref="N71">
    <cfRule type="cellIs" dxfId="15244" priority="135341" stopIfTrue="1" operator="greaterThanOrEqual">
      <formula>0.5</formula>
    </cfRule>
  </conditionalFormatting>
  <conditionalFormatting sqref="N72">
    <cfRule type="cellIs" dxfId="15243" priority="135342" stopIfTrue="1" operator="equal">
      <formula>-1</formula>
    </cfRule>
  </conditionalFormatting>
  <conditionalFormatting sqref="N72">
    <cfRule type="cellIs" dxfId="15242" priority="135343" stopIfTrue="1" operator="lessThan">
      <formula>0.5</formula>
    </cfRule>
  </conditionalFormatting>
  <conditionalFormatting sqref="N72">
    <cfRule type="cellIs" dxfId="15241" priority="135344" stopIfTrue="1" operator="greaterThanOrEqual">
      <formula>0.5</formula>
    </cfRule>
  </conditionalFormatting>
  <conditionalFormatting sqref="N73">
    <cfRule type="cellIs" dxfId="15240" priority="135345" stopIfTrue="1" operator="equal">
      <formula>-1</formula>
    </cfRule>
  </conditionalFormatting>
  <conditionalFormatting sqref="N73">
    <cfRule type="cellIs" dxfId="15239" priority="135346" stopIfTrue="1" operator="lessThan">
      <formula>0.5</formula>
    </cfRule>
  </conditionalFormatting>
  <conditionalFormatting sqref="N73">
    <cfRule type="cellIs" dxfId="15238" priority="135347" stopIfTrue="1" operator="greaterThanOrEqual">
      <formula>0.5</formula>
    </cfRule>
  </conditionalFormatting>
  <conditionalFormatting sqref="N74">
    <cfRule type="cellIs" dxfId="15237" priority="135348" stopIfTrue="1" operator="equal">
      <formula>-1</formula>
    </cfRule>
  </conditionalFormatting>
  <conditionalFormatting sqref="N74">
    <cfRule type="cellIs" dxfId="15236" priority="135349" stopIfTrue="1" operator="lessThan">
      <formula>0.5</formula>
    </cfRule>
  </conditionalFormatting>
  <conditionalFormatting sqref="N74">
    <cfRule type="cellIs" dxfId="15235" priority="135350" stopIfTrue="1" operator="greaterThanOrEqual">
      <formula>0.5</formula>
    </cfRule>
  </conditionalFormatting>
  <conditionalFormatting sqref="N75">
    <cfRule type="cellIs" dxfId="15234" priority="135351" stopIfTrue="1" operator="equal">
      <formula>-1</formula>
    </cfRule>
  </conditionalFormatting>
  <conditionalFormatting sqref="N75">
    <cfRule type="cellIs" dxfId="15233" priority="135352" stopIfTrue="1" operator="lessThan">
      <formula>0.5</formula>
    </cfRule>
  </conditionalFormatting>
  <conditionalFormatting sqref="N75">
    <cfRule type="cellIs" dxfId="15232" priority="135353" stopIfTrue="1" operator="greaterThanOrEqual">
      <formula>0.5</formula>
    </cfRule>
  </conditionalFormatting>
  <conditionalFormatting sqref="N76">
    <cfRule type="cellIs" dxfId="15231" priority="135354" stopIfTrue="1" operator="equal">
      <formula>-1</formula>
    </cfRule>
  </conditionalFormatting>
  <conditionalFormatting sqref="N76">
    <cfRule type="cellIs" dxfId="15230" priority="135355" stopIfTrue="1" operator="lessThan">
      <formula>0.5</formula>
    </cfRule>
  </conditionalFormatting>
  <conditionalFormatting sqref="N76">
    <cfRule type="cellIs" dxfId="15229" priority="135356" stopIfTrue="1" operator="greaterThanOrEqual">
      <formula>0.5</formula>
    </cfRule>
  </conditionalFormatting>
  <conditionalFormatting sqref="N77">
    <cfRule type="cellIs" dxfId="15228" priority="135357" stopIfTrue="1" operator="equal">
      <formula>-1</formula>
    </cfRule>
  </conditionalFormatting>
  <conditionalFormatting sqref="N77">
    <cfRule type="cellIs" dxfId="15227" priority="135358" stopIfTrue="1" operator="lessThan">
      <formula>0.5</formula>
    </cfRule>
  </conditionalFormatting>
  <conditionalFormatting sqref="N77">
    <cfRule type="cellIs" dxfId="15226" priority="135359" stopIfTrue="1" operator="greaterThanOrEqual">
      <formula>0.5</formula>
    </cfRule>
  </conditionalFormatting>
  <conditionalFormatting sqref="N78">
    <cfRule type="cellIs" dxfId="15225" priority="135360" stopIfTrue="1" operator="equal">
      <formula>-1</formula>
    </cfRule>
  </conditionalFormatting>
  <conditionalFormatting sqref="N78">
    <cfRule type="cellIs" dxfId="15224" priority="135361" stopIfTrue="1" operator="lessThan">
      <formula>0.5</formula>
    </cfRule>
  </conditionalFormatting>
  <conditionalFormatting sqref="N78">
    <cfRule type="cellIs" dxfId="15223" priority="135362" stopIfTrue="1" operator="greaterThanOrEqual">
      <formula>0.5</formula>
    </cfRule>
  </conditionalFormatting>
  <conditionalFormatting sqref="N79">
    <cfRule type="cellIs" dxfId="15222" priority="135363" stopIfTrue="1" operator="equal">
      <formula>-1</formula>
    </cfRule>
  </conditionalFormatting>
  <conditionalFormatting sqref="N79">
    <cfRule type="cellIs" dxfId="15221" priority="135364" stopIfTrue="1" operator="lessThan">
      <formula>0.5</formula>
    </cfRule>
  </conditionalFormatting>
  <conditionalFormatting sqref="N79">
    <cfRule type="cellIs" dxfId="15220" priority="135365" stopIfTrue="1" operator="greaterThanOrEqual">
      <formula>0.5</formula>
    </cfRule>
  </conditionalFormatting>
  <conditionalFormatting sqref="N80">
    <cfRule type="cellIs" dxfId="15219" priority="135366" stopIfTrue="1" operator="equal">
      <formula>-1</formula>
    </cfRule>
  </conditionalFormatting>
  <conditionalFormatting sqref="N80">
    <cfRule type="cellIs" dxfId="15218" priority="135367" stopIfTrue="1" operator="lessThan">
      <formula>0.5</formula>
    </cfRule>
  </conditionalFormatting>
  <conditionalFormatting sqref="N80">
    <cfRule type="cellIs" dxfId="15217" priority="135368" stopIfTrue="1" operator="greaterThanOrEqual">
      <formula>0.5</formula>
    </cfRule>
  </conditionalFormatting>
  <conditionalFormatting sqref="N81">
    <cfRule type="cellIs" dxfId="15216" priority="135369" stopIfTrue="1" operator="equal">
      <formula>-1</formula>
    </cfRule>
  </conditionalFormatting>
  <conditionalFormatting sqref="N81">
    <cfRule type="cellIs" dxfId="15215" priority="135370" stopIfTrue="1" operator="lessThan">
      <formula>0.5</formula>
    </cfRule>
  </conditionalFormatting>
  <conditionalFormatting sqref="N81">
    <cfRule type="cellIs" dxfId="15214" priority="135371" stopIfTrue="1" operator="greaterThanOrEqual">
      <formula>0.5</formula>
    </cfRule>
  </conditionalFormatting>
  <conditionalFormatting sqref="N82">
    <cfRule type="cellIs" dxfId="15213" priority="135372" stopIfTrue="1" operator="equal">
      <formula>-1</formula>
    </cfRule>
  </conditionalFormatting>
  <conditionalFormatting sqref="N82">
    <cfRule type="cellIs" dxfId="15212" priority="135373" stopIfTrue="1" operator="lessThan">
      <formula>0.5</formula>
    </cfRule>
  </conditionalFormatting>
  <conditionalFormatting sqref="N82">
    <cfRule type="cellIs" dxfId="15211" priority="135374" stopIfTrue="1" operator="greaterThanOrEqual">
      <formula>0.5</formula>
    </cfRule>
  </conditionalFormatting>
  <conditionalFormatting sqref="N83">
    <cfRule type="cellIs" dxfId="15210" priority="135375" stopIfTrue="1" operator="equal">
      <formula>-1</formula>
    </cfRule>
  </conditionalFormatting>
  <conditionalFormatting sqref="N83">
    <cfRule type="cellIs" dxfId="15209" priority="135376" stopIfTrue="1" operator="lessThan">
      <formula>0.5</formula>
    </cfRule>
  </conditionalFormatting>
  <conditionalFormatting sqref="N83">
    <cfRule type="cellIs" dxfId="15208" priority="135377" stopIfTrue="1" operator="greaterThanOrEqual">
      <formula>0.5</formula>
    </cfRule>
  </conditionalFormatting>
  <conditionalFormatting sqref="N84">
    <cfRule type="cellIs" dxfId="15207" priority="135378" stopIfTrue="1" operator="equal">
      <formula>-1</formula>
    </cfRule>
  </conditionalFormatting>
  <conditionalFormatting sqref="N84">
    <cfRule type="cellIs" dxfId="15206" priority="135379" stopIfTrue="1" operator="lessThan">
      <formula>0.5</formula>
    </cfRule>
  </conditionalFormatting>
  <conditionalFormatting sqref="N84">
    <cfRule type="cellIs" dxfId="15205" priority="135380" stopIfTrue="1" operator="greaterThanOrEqual">
      <formula>0.5</formula>
    </cfRule>
  </conditionalFormatting>
  <conditionalFormatting sqref="N85">
    <cfRule type="cellIs" dxfId="15204" priority="135381" stopIfTrue="1" operator="equal">
      <formula>-1</formula>
    </cfRule>
  </conditionalFormatting>
  <conditionalFormatting sqref="N85">
    <cfRule type="cellIs" dxfId="15203" priority="135382" stopIfTrue="1" operator="lessThan">
      <formula>0.5</formula>
    </cfRule>
  </conditionalFormatting>
  <conditionalFormatting sqref="N85">
    <cfRule type="cellIs" dxfId="15202" priority="135383" stopIfTrue="1" operator="greaterThanOrEqual">
      <formula>0.5</formula>
    </cfRule>
  </conditionalFormatting>
  <conditionalFormatting sqref="P65">
    <cfRule type="cellIs" dxfId="15201" priority="135384" stopIfTrue="1" operator="equal">
      <formula>-1</formula>
    </cfRule>
  </conditionalFormatting>
  <conditionalFormatting sqref="P65">
    <cfRule type="cellIs" dxfId="15200" priority="135385" stopIfTrue="1" operator="lessThan">
      <formula>0.5</formula>
    </cfRule>
  </conditionalFormatting>
  <conditionalFormatting sqref="P65">
    <cfRule type="cellIs" dxfId="15199" priority="135386" stopIfTrue="1" operator="greaterThanOrEqual">
      <formula>0.5</formula>
    </cfRule>
  </conditionalFormatting>
  <conditionalFormatting sqref="P66">
    <cfRule type="cellIs" dxfId="15198" priority="135387" stopIfTrue="1" operator="equal">
      <formula>-1</formula>
    </cfRule>
  </conditionalFormatting>
  <conditionalFormatting sqref="P66">
    <cfRule type="cellIs" dxfId="15197" priority="135388" stopIfTrue="1" operator="lessThan">
      <formula>0.5</formula>
    </cfRule>
  </conditionalFormatting>
  <conditionalFormatting sqref="P66">
    <cfRule type="cellIs" dxfId="15196" priority="135389" stopIfTrue="1" operator="greaterThanOrEqual">
      <formula>0.5</formula>
    </cfRule>
  </conditionalFormatting>
  <conditionalFormatting sqref="P67">
    <cfRule type="cellIs" dxfId="15195" priority="135390" stopIfTrue="1" operator="equal">
      <formula>-1</formula>
    </cfRule>
  </conditionalFormatting>
  <conditionalFormatting sqref="P67">
    <cfRule type="cellIs" dxfId="15194" priority="135391" stopIfTrue="1" operator="lessThan">
      <formula>0.5</formula>
    </cfRule>
  </conditionalFormatting>
  <conditionalFormatting sqref="P67">
    <cfRule type="cellIs" dxfId="15193" priority="135392" stopIfTrue="1" operator="greaterThanOrEqual">
      <formula>0.5</formula>
    </cfRule>
  </conditionalFormatting>
  <conditionalFormatting sqref="P68">
    <cfRule type="cellIs" dxfId="15192" priority="135393" stopIfTrue="1" operator="equal">
      <formula>-1</formula>
    </cfRule>
  </conditionalFormatting>
  <conditionalFormatting sqref="P68">
    <cfRule type="cellIs" dxfId="15191" priority="135394" stopIfTrue="1" operator="lessThan">
      <formula>0.5</formula>
    </cfRule>
  </conditionalFormatting>
  <conditionalFormatting sqref="P68">
    <cfRule type="cellIs" dxfId="15190" priority="135395" stopIfTrue="1" operator="greaterThanOrEqual">
      <formula>0.5</formula>
    </cfRule>
  </conditionalFormatting>
  <conditionalFormatting sqref="P69">
    <cfRule type="cellIs" dxfId="15189" priority="135396" stopIfTrue="1" operator="equal">
      <formula>-1</formula>
    </cfRule>
  </conditionalFormatting>
  <conditionalFormatting sqref="P69">
    <cfRule type="cellIs" dxfId="15188" priority="135397" stopIfTrue="1" operator="lessThan">
      <formula>0.5</formula>
    </cfRule>
  </conditionalFormatting>
  <conditionalFormatting sqref="P69">
    <cfRule type="cellIs" dxfId="15187" priority="135398" stopIfTrue="1" operator="greaterThanOrEqual">
      <formula>0.5</formula>
    </cfRule>
  </conditionalFormatting>
  <conditionalFormatting sqref="P70">
    <cfRule type="cellIs" dxfId="15186" priority="135399" stopIfTrue="1" operator="equal">
      <formula>-1</formula>
    </cfRule>
  </conditionalFormatting>
  <conditionalFormatting sqref="P70">
    <cfRule type="cellIs" dxfId="15185" priority="135400" stopIfTrue="1" operator="lessThan">
      <formula>0.5</formula>
    </cfRule>
  </conditionalFormatting>
  <conditionalFormatting sqref="P70">
    <cfRule type="cellIs" dxfId="15184" priority="135401" stopIfTrue="1" operator="greaterThanOrEqual">
      <formula>0.5</formula>
    </cfRule>
  </conditionalFormatting>
  <conditionalFormatting sqref="P71">
    <cfRule type="cellIs" dxfId="15183" priority="135402" stopIfTrue="1" operator="equal">
      <formula>-1</formula>
    </cfRule>
  </conditionalFormatting>
  <conditionalFormatting sqref="P71">
    <cfRule type="cellIs" dxfId="15182" priority="135403" stopIfTrue="1" operator="lessThan">
      <formula>0.5</formula>
    </cfRule>
  </conditionalFormatting>
  <conditionalFormatting sqref="P71">
    <cfRule type="cellIs" dxfId="15181" priority="135404" stopIfTrue="1" operator="greaterThanOrEqual">
      <formula>0.5</formula>
    </cfRule>
  </conditionalFormatting>
  <conditionalFormatting sqref="P72">
    <cfRule type="cellIs" dxfId="15180" priority="135405" stopIfTrue="1" operator="equal">
      <formula>-1</formula>
    </cfRule>
  </conditionalFormatting>
  <conditionalFormatting sqref="P72">
    <cfRule type="cellIs" dxfId="15179" priority="135406" stopIfTrue="1" operator="lessThan">
      <formula>0.5</formula>
    </cfRule>
  </conditionalFormatting>
  <conditionalFormatting sqref="P72">
    <cfRule type="cellIs" dxfId="15178" priority="135407" stopIfTrue="1" operator="greaterThanOrEqual">
      <formula>0.5</formula>
    </cfRule>
  </conditionalFormatting>
  <conditionalFormatting sqref="P73">
    <cfRule type="cellIs" dxfId="15177" priority="135408" stopIfTrue="1" operator="equal">
      <formula>-1</formula>
    </cfRule>
  </conditionalFormatting>
  <conditionalFormatting sqref="P73">
    <cfRule type="cellIs" dxfId="15176" priority="135409" stopIfTrue="1" operator="lessThan">
      <formula>0.5</formula>
    </cfRule>
  </conditionalFormatting>
  <conditionalFormatting sqref="P73">
    <cfRule type="cellIs" dxfId="15175" priority="135410" stopIfTrue="1" operator="greaterThanOrEqual">
      <formula>0.5</formula>
    </cfRule>
  </conditionalFormatting>
  <conditionalFormatting sqref="P74">
    <cfRule type="cellIs" dxfId="15174" priority="135411" stopIfTrue="1" operator="equal">
      <formula>-1</formula>
    </cfRule>
  </conditionalFormatting>
  <conditionalFormatting sqref="P74">
    <cfRule type="cellIs" dxfId="15173" priority="135412" stopIfTrue="1" operator="lessThan">
      <formula>0.5</formula>
    </cfRule>
  </conditionalFormatting>
  <conditionalFormatting sqref="P74">
    <cfRule type="cellIs" dxfId="15172" priority="135413" stopIfTrue="1" operator="greaterThanOrEqual">
      <formula>0.5</formula>
    </cfRule>
  </conditionalFormatting>
  <conditionalFormatting sqref="P75">
    <cfRule type="cellIs" dxfId="15171" priority="135414" stopIfTrue="1" operator="equal">
      <formula>-1</formula>
    </cfRule>
  </conditionalFormatting>
  <conditionalFormatting sqref="P75">
    <cfRule type="cellIs" dxfId="15170" priority="135415" stopIfTrue="1" operator="lessThan">
      <formula>0.5</formula>
    </cfRule>
  </conditionalFormatting>
  <conditionalFormatting sqref="P75">
    <cfRule type="cellIs" dxfId="15169" priority="135416" stopIfTrue="1" operator="greaterThanOrEqual">
      <formula>0.5</formula>
    </cfRule>
  </conditionalFormatting>
  <conditionalFormatting sqref="P76">
    <cfRule type="cellIs" dxfId="15168" priority="135417" stopIfTrue="1" operator="equal">
      <formula>-1</formula>
    </cfRule>
  </conditionalFormatting>
  <conditionalFormatting sqref="P76">
    <cfRule type="cellIs" dxfId="15167" priority="135418" stopIfTrue="1" operator="lessThan">
      <formula>0.5</formula>
    </cfRule>
  </conditionalFormatting>
  <conditionalFormatting sqref="P76">
    <cfRule type="cellIs" dxfId="15166" priority="135419" stopIfTrue="1" operator="greaterThanOrEqual">
      <formula>0.5</formula>
    </cfRule>
  </conditionalFormatting>
  <conditionalFormatting sqref="P77">
    <cfRule type="cellIs" dxfId="15165" priority="135420" stopIfTrue="1" operator="equal">
      <formula>-1</formula>
    </cfRule>
  </conditionalFormatting>
  <conditionalFormatting sqref="P77">
    <cfRule type="cellIs" dxfId="15164" priority="135421" stopIfTrue="1" operator="lessThan">
      <formula>0.5</formula>
    </cfRule>
  </conditionalFormatting>
  <conditionalFormatting sqref="P77">
    <cfRule type="cellIs" dxfId="15163" priority="135422" stopIfTrue="1" operator="greaterThanOrEqual">
      <formula>0.5</formula>
    </cfRule>
  </conditionalFormatting>
  <conditionalFormatting sqref="P78">
    <cfRule type="cellIs" dxfId="15162" priority="135423" stopIfTrue="1" operator="equal">
      <formula>-1</formula>
    </cfRule>
  </conditionalFormatting>
  <conditionalFormatting sqref="P78">
    <cfRule type="cellIs" dxfId="15161" priority="135424" stopIfTrue="1" operator="lessThan">
      <formula>0.5</formula>
    </cfRule>
  </conditionalFormatting>
  <conditionalFormatting sqref="P78">
    <cfRule type="cellIs" dxfId="15160" priority="135425" stopIfTrue="1" operator="greaterThanOrEqual">
      <formula>0.5</formula>
    </cfRule>
  </conditionalFormatting>
  <conditionalFormatting sqref="P79">
    <cfRule type="cellIs" dxfId="15159" priority="135426" stopIfTrue="1" operator="equal">
      <formula>-1</formula>
    </cfRule>
  </conditionalFormatting>
  <conditionalFormatting sqref="P79">
    <cfRule type="cellIs" dxfId="15158" priority="135427" stopIfTrue="1" operator="lessThan">
      <formula>0.5</formula>
    </cfRule>
  </conditionalFormatting>
  <conditionalFormatting sqref="P79">
    <cfRule type="cellIs" dxfId="15157" priority="135428" stopIfTrue="1" operator="greaterThanOrEqual">
      <formula>0.5</formula>
    </cfRule>
  </conditionalFormatting>
  <conditionalFormatting sqref="P80">
    <cfRule type="cellIs" dxfId="15156" priority="135429" stopIfTrue="1" operator="equal">
      <formula>-1</formula>
    </cfRule>
  </conditionalFormatting>
  <conditionalFormatting sqref="P80">
    <cfRule type="cellIs" dxfId="15155" priority="135430" stopIfTrue="1" operator="lessThan">
      <formula>0.5</formula>
    </cfRule>
  </conditionalFormatting>
  <conditionalFormatting sqref="P80">
    <cfRule type="cellIs" dxfId="15154" priority="135431" stopIfTrue="1" operator="greaterThanOrEqual">
      <formula>0.5</formula>
    </cfRule>
  </conditionalFormatting>
  <conditionalFormatting sqref="P81">
    <cfRule type="cellIs" dxfId="15153" priority="135432" stopIfTrue="1" operator="equal">
      <formula>-1</formula>
    </cfRule>
  </conditionalFormatting>
  <conditionalFormatting sqref="P81">
    <cfRule type="cellIs" dxfId="15152" priority="135433" stopIfTrue="1" operator="lessThan">
      <formula>0.5</formula>
    </cfRule>
  </conditionalFormatting>
  <conditionalFormatting sqref="P81">
    <cfRule type="cellIs" dxfId="15151" priority="135434" stopIfTrue="1" operator="greaterThanOrEqual">
      <formula>0.5</formula>
    </cfRule>
  </conditionalFormatting>
  <conditionalFormatting sqref="P82">
    <cfRule type="cellIs" dxfId="15150" priority="135435" stopIfTrue="1" operator="equal">
      <formula>-1</formula>
    </cfRule>
  </conditionalFormatting>
  <conditionalFormatting sqref="P82">
    <cfRule type="cellIs" dxfId="15149" priority="135436" stopIfTrue="1" operator="lessThan">
      <formula>0.5</formula>
    </cfRule>
  </conditionalFormatting>
  <conditionalFormatting sqref="P82">
    <cfRule type="cellIs" dxfId="15148" priority="135437" stopIfTrue="1" operator="greaterThanOrEqual">
      <formula>0.5</formula>
    </cfRule>
  </conditionalFormatting>
  <conditionalFormatting sqref="P83">
    <cfRule type="cellIs" dxfId="15147" priority="135438" stopIfTrue="1" operator="equal">
      <formula>-1</formula>
    </cfRule>
  </conditionalFormatting>
  <conditionalFormatting sqref="P83">
    <cfRule type="cellIs" dxfId="15146" priority="135439" stopIfTrue="1" operator="lessThan">
      <formula>0.5</formula>
    </cfRule>
  </conditionalFormatting>
  <conditionalFormatting sqref="P83">
    <cfRule type="cellIs" dxfId="15145" priority="135440" stopIfTrue="1" operator="greaterThanOrEqual">
      <formula>0.5</formula>
    </cfRule>
  </conditionalFormatting>
  <conditionalFormatting sqref="P84">
    <cfRule type="cellIs" dxfId="15144" priority="135441" stopIfTrue="1" operator="equal">
      <formula>-1</formula>
    </cfRule>
  </conditionalFormatting>
  <conditionalFormatting sqref="P84">
    <cfRule type="cellIs" dxfId="15143" priority="135442" stopIfTrue="1" operator="lessThan">
      <formula>0.5</formula>
    </cfRule>
  </conditionalFormatting>
  <conditionalFormatting sqref="P84">
    <cfRule type="cellIs" dxfId="15142" priority="135443" stopIfTrue="1" operator="greaterThanOrEqual">
      <formula>0.5</formula>
    </cfRule>
  </conditionalFormatting>
  <conditionalFormatting sqref="P85">
    <cfRule type="cellIs" dxfId="15141" priority="135444" stopIfTrue="1" operator="equal">
      <formula>-1</formula>
    </cfRule>
  </conditionalFormatting>
  <conditionalFormatting sqref="P85">
    <cfRule type="cellIs" dxfId="15140" priority="135445" stopIfTrue="1" operator="lessThan">
      <formula>0.5</formula>
    </cfRule>
  </conditionalFormatting>
  <conditionalFormatting sqref="P85">
    <cfRule type="cellIs" dxfId="15139" priority="135446" stopIfTrue="1" operator="greaterThanOrEqual">
      <formula>0.5</formula>
    </cfRule>
  </conditionalFormatting>
  <conditionalFormatting sqref="R65">
    <cfRule type="cellIs" dxfId="15138" priority="135447" stopIfTrue="1" operator="equal">
      <formula>-1</formula>
    </cfRule>
  </conditionalFormatting>
  <conditionalFormatting sqref="R65">
    <cfRule type="cellIs" dxfId="15137" priority="135448" stopIfTrue="1" operator="lessThan">
      <formula>0.5</formula>
    </cfRule>
  </conditionalFormatting>
  <conditionalFormatting sqref="R65">
    <cfRule type="cellIs" dxfId="15136" priority="135449" stopIfTrue="1" operator="greaterThanOrEqual">
      <formula>0.5</formula>
    </cfRule>
  </conditionalFormatting>
  <conditionalFormatting sqref="R66">
    <cfRule type="cellIs" dxfId="15135" priority="135450" stopIfTrue="1" operator="equal">
      <formula>-1</formula>
    </cfRule>
  </conditionalFormatting>
  <conditionalFormatting sqref="R66">
    <cfRule type="cellIs" dxfId="15134" priority="135451" stopIfTrue="1" operator="lessThan">
      <formula>0.5</formula>
    </cfRule>
  </conditionalFormatting>
  <conditionalFormatting sqref="R66">
    <cfRule type="cellIs" dxfId="15133" priority="135452" stopIfTrue="1" operator="greaterThanOrEqual">
      <formula>0.5</formula>
    </cfRule>
  </conditionalFormatting>
  <conditionalFormatting sqref="R67">
    <cfRule type="cellIs" dxfId="15132" priority="135453" stopIfTrue="1" operator="equal">
      <formula>-1</formula>
    </cfRule>
  </conditionalFormatting>
  <conditionalFormatting sqref="R67">
    <cfRule type="cellIs" dxfId="15131" priority="135454" stopIfTrue="1" operator="lessThan">
      <formula>0.5</formula>
    </cfRule>
  </conditionalFormatting>
  <conditionalFormatting sqref="R67">
    <cfRule type="cellIs" dxfId="15130" priority="135455" stopIfTrue="1" operator="greaterThanOrEqual">
      <formula>0.5</formula>
    </cfRule>
  </conditionalFormatting>
  <conditionalFormatting sqref="R68">
    <cfRule type="cellIs" dxfId="15129" priority="135456" stopIfTrue="1" operator="equal">
      <formula>-1</formula>
    </cfRule>
  </conditionalFormatting>
  <conditionalFormatting sqref="R68">
    <cfRule type="cellIs" dxfId="15128" priority="135457" stopIfTrue="1" operator="lessThan">
      <formula>0.5</formula>
    </cfRule>
  </conditionalFormatting>
  <conditionalFormatting sqref="R68">
    <cfRule type="cellIs" dxfId="15127" priority="135458" stopIfTrue="1" operator="greaterThanOrEqual">
      <formula>0.5</formula>
    </cfRule>
  </conditionalFormatting>
  <conditionalFormatting sqref="R69">
    <cfRule type="cellIs" dxfId="15126" priority="135459" stopIfTrue="1" operator="equal">
      <formula>-1</formula>
    </cfRule>
  </conditionalFormatting>
  <conditionalFormatting sqref="R69">
    <cfRule type="cellIs" dxfId="15125" priority="135460" stopIfTrue="1" operator="lessThan">
      <formula>0.5</formula>
    </cfRule>
  </conditionalFormatting>
  <conditionalFormatting sqref="R69">
    <cfRule type="cellIs" dxfId="15124" priority="135461" stopIfTrue="1" operator="greaterThanOrEqual">
      <formula>0.5</formula>
    </cfRule>
  </conditionalFormatting>
  <conditionalFormatting sqref="R70">
    <cfRule type="cellIs" dxfId="15123" priority="135462" stopIfTrue="1" operator="equal">
      <formula>-1</formula>
    </cfRule>
  </conditionalFormatting>
  <conditionalFormatting sqref="R70">
    <cfRule type="cellIs" dxfId="15122" priority="135463" stopIfTrue="1" operator="lessThan">
      <formula>0.5</formula>
    </cfRule>
  </conditionalFormatting>
  <conditionalFormatting sqref="R70">
    <cfRule type="cellIs" dxfId="15121" priority="135464" stopIfTrue="1" operator="greaterThanOrEqual">
      <formula>0.5</formula>
    </cfRule>
  </conditionalFormatting>
  <conditionalFormatting sqref="R71">
    <cfRule type="cellIs" dxfId="15120" priority="135465" stopIfTrue="1" operator="equal">
      <formula>-1</formula>
    </cfRule>
  </conditionalFormatting>
  <conditionalFormatting sqref="R71">
    <cfRule type="cellIs" dxfId="15119" priority="135466" stopIfTrue="1" operator="lessThan">
      <formula>0.5</formula>
    </cfRule>
  </conditionalFormatting>
  <conditionalFormatting sqref="R71">
    <cfRule type="cellIs" dxfId="15118" priority="135467" stopIfTrue="1" operator="greaterThanOrEqual">
      <formula>0.5</formula>
    </cfRule>
  </conditionalFormatting>
  <conditionalFormatting sqref="R72">
    <cfRule type="cellIs" dxfId="15117" priority="135468" stopIfTrue="1" operator="equal">
      <formula>-1</formula>
    </cfRule>
  </conditionalFormatting>
  <conditionalFormatting sqref="R72">
    <cfRule type="cellIs" dxfId="15116" priority="135469" stopIfTrue="1" operator="lessThan">
      <formula>0.5</formula>
    </cfRule>
  </conditionalFormatting>
  <conditionalFormatting sqref="R72">
    <cfRule type="cellIs" dxfId="15115" priority="135470" stopIfTrue="1" operator="greaterThanOrEqual">
      <formula>0.5</formula>
    </cfRule>
  </conditionalFormatting>
  <conditionalFormatting sqref="R73">
    <cfRule type="cellIs" dxfId="15114" priority="135471" stopIfTrue="1" operator="equal">
      <formula>-1</formula>
    </cfRule>
  </conditionalFormatting>
  <conditionalFormatting sqref="R73">
    <cfRule type="cellIs" dxfId="15113" priority="135472" stopIfTrue="1" operator="lessThan">
      <formula>0.5</formula>
    </cfRule>
  </conditionalFormatting>
  <conditionalFormatting sqref="R73">
    <cfRule type="cellIs" dxfId="15112" priority="135473" stopIfTrue="1" operator="greaterThanOrEqual">
      <formula>0.5</formula>
    </cfRule>
  </conditionalFormatting>
  <conditionalFormatting sqref="R74">
    <cfRule type="cellIs" dxfId="15111" priority="135474" stopIfTrue="1" operator="equal">
      <formula>-1</formula>
    </cfRule>
  </conditionalFormatting>
  <conditionalFormatting sqref="R74">
    <cfRule type="cellIs" dxfId="15110" priority="135475" stopIfTrue="1" operator="lessThan">
      <formula>0.5</formula>
    </cfRule>
  </conditionalFormatting>
  <conditionalFormatting sqref="R74">
    <cfRule type="cellIs" dxfId="15109" priority="135476" stopIfTrue="1" operator="greaterThanOrEqual">
      <formula>0.5</formula>
    </cfRule>
  </conditionalFormatting>
  <conditionalFormatting sqref="R75">
    <cfRule type="cellIs" dxfId="15108" priority="135477" stopIfTrue="1" operator="equal">
      <formula>-1</formula>
    </cfRule>
  </conditionalFormatting>
  <conditionalFormatting sqref="R75">
    <cfRule type="cellIs" dxfId="15107" priority="135478" stopIfTrue="1" operator="lessThan">
      <formula>0.5</formula>
    </cfRule>
  </conditionalFormatting>
  <conditionalFormatting sqref="R75">
    <cfRule type="cellIs" dxfId="15106" priority="135479" stopIfTrue="1" operator="greaterThanOrEqual">
      <formula>0.5</formula>
    </cfRule>
  </conditionalFormatting>
  <conditionalFormatting sqref="R76">
    <cfRule type="cellIs" dxfId="15105" priority="135480" stopIfTrue="1" operator="equal">
      <formula>-1</formula>
    </cfRule>
  </conditionalFormatting>
  <conditionalFormatting sqref="R76">
    <cfRule type="cellIs" dxfId="15104" priority="135481" stopIfTrue="1" operator="lessThan">
      <formula>0.5</formula>
    </cfRule>
  </conditionalFormatting>
  <conditionalFormatting sqref="R76">
    <cfRule type="cellIs" dxfId="15103" priority="135482" stopIfTrue="1" operator="greaterThanOrEqual">
      <formula>0.5</formula>
    </cfRule>
  </conditionalFormatting>
  <conditionalFormatting sqref="R77">
    <cfRule type="cellIs" dxfId="15102" priority="135483" stopIfTrue="1" operator="equal">
      <formula>-1</formula>
    </cfRule>
  </conditionalFormatting>
  <conditionalFormatting sqref="R77">
    <cfRule type="cellIs" dxfId="15101" priority="135484" stopIfTrue="1" operator="lessThan">
      <formula>0.5</formula>
    </cfRule>
  </conditionalFormatting>
  <conditionalFormatting sqref="R77">
    <cfRule type="cellIs" dxfId="15100" priority="135485" stopIfTrue="1" operator="greaterThanOrEqual">
      <formula>0.5</formula>
    </cfRule>
  </conditionalFormatting>
  <conditionalFormatting sqref="R78">
    <cfRule type="cellIs" dxfId="15099" priority="135486" stopIfTrue="1" operator="equal">
      <formula>-1</formula>
    </cfRule>
  </conditionalFormatting>
  <conditionalFormatting sqref="R78">
    <cfRule type="cellIs" dxfId="15098" priority="135487" stopIfTrue="1" operator="lessThan">
      <formula>0.5</formula>
    </cfRule>
  </conditionalFormatting>
  <conditionalFormatting sqref="R78">
    <cfRule type="cellIs" dxfId="15097" priority="135488" stopIfTrue="1" operator="greaterThanOrEqual">
      <formula>0.5</formula>
    </cfRule>
  </conditionalFormatting>
  <conditionalFormatting sqref="R79">
    <cfRule type="cellIs" dxfId="15096" priority="135489" stopIfTrue="1" operator="equal">
      <formula>-1</formula>
    </cfRule>
  </conditionalFormatting>
  <conditionalFormatting sqref="R79">
    <cfRule type="cellIs" dxfId="15095" priority="135490" stopIfTrue="1" operator="lessThan">
      <formula>0.5</formula>
    </cfRule>
  </conditionalFormatting>
  <conditionalFormatting sqref="R79">
    <cfRule type="cellIs" dxfId="15094" priority="135491" stopIfTrue="1" operator="greaterThanOrEqual">
      <formula>0.5</formula>
    </cfRule>
  </conditionalFormatting>
  <conditionalFormatting sqref="R80">
    <cfRule type="cellIs" dxfId="15093" priority="135492" stopIfTrue="1" operator="equal">
      <formula>-1</formula>
    </cfRule>
  </conditionalFormatting>
  <conditionalFormatting sqref="R80">
    <cfRule type="cellIs" dxfId="15092" priority="135493" stopIfTrue="1" operator="lessThan">
      <formula>0.5</formula>
    </cfRule>
  </conditionalFormatting>
  <conditionalFormatting sqref="R80">
    <cfRule type="cellIs" dxfId="15091" priority="135494" stopIfTrue="1" operator="greaterThanOrEqual">
      <formula>0.5</formula>
    </cfRule>
  </conditionalFormatting>
  <conditionalFormatting sqref="R81">
    <cfRule type="cellIs" dxfId="15090" priority="135495" stopIfTrue="1" operator="equal">
      <formula>-1</formula>
    </cfRule>
  </conditionalFormatting>
  <conditionalFormatting sqref="R81">
    <cfRule type="cellIs" dxfId="15089" priority="135496" stopIfTrue="1" operator="lessThan">
      <formula>0.5</formula>
    </cfRule>
  </conditionalFormatting>
  <conditionalFormatting sqref="R81">
    <cfRule type="cellIs" dxfId="15088" priority="135497" stopIfTrue="1" operator="greaterThanOrEqual">
      <formula>0.5</formula>
    </cfRule>
  </conditionalFormatting>
  <conditionalFormatting sqref="R82">
    <cfRule type="cellIs" dxfId="15087" priority="135498" stopIfTrue="1" operator="equal">
      <formula>-1</formula>
    </cfRule>
  </conditionalFormatting>
  <conditionalFormatting sqref="R82">
    <cfRule type="cellIs" dxfId="15086" priority="135499" stopIfTrue="1" operator="lessThan">
      <formula>0.5</formula>
    </cfRule>
  </conditionalFormatting>
  <conditionalFormatting sqref="R82">
    <cfRule type="cellIs" dxfId="15085" priority="135500" stopIfTrue="1" operator="greaterThanOrEqual">
      <formula>0.5</formula>
    </cfRule>
  </conditionalFormatting>
  <conditionalFormatting sqref="R83">
    <cfRule type="cellIs" dxfId="15084" priority="135501" stopIfTrue="1" operator="equal">
      <formula>-1</formula>
    </cfRule>
  </conditionalFormatting>
  <conditionalFormatting sqref="R83">
    <cfRule type="cellIs" dxfId="15083" priority="135502" stopIfTrue="1" operator="lessThan">
      <formula>0.5</formula>
    </cfRule>
  </conditionalFormatting>
  <conditionalFormatting sqref="R83">
    <cfRule type="cellIs" dxfId="15082" priority="135503" stopIfTrue="1" operator="greaterThanOrEqual">
      <formula>0.5</formula>
    </cfRule>
  </conditionalFormatting>
  <conditionalFormatting sqref="R84">
    <cfRule type="cellIs" dxfId="15081" priority="135504" stopIfTrue="1" operator="equal">
      <formula>-1</formula>
    </cfRule>
  </conditionalFormatting>
  <conditionalFormatting sqref="R84">
    <cfRule type="cellIs" dxfId="15080" priority="135505" stopIfTrue="1" operator="lessThan">
      <formula>0.5</formula>
    </cfRule>
  </conditionalFormatting>
  <conditionalFormatting sqref="R84">
    <cfRule type="cellIs" dxfId="15079" priority="135506" stopIfTrue="1" operator="greaterThanOrEqual">
      <formula>0.5</formula>
    </cfRule>
  </conditionalFormatting>
  <conditionalFormatting sqref="R85">
    <cfRule type="cellIs" dxfId="15078" priority="135507" stopIfTrue="1" operator="equal">
      <formula>-1</formula>
    </cfRule>
  </conditionalFormatting>
  <conditionalFormatting sqref="R85">
    <cfRule type="cellIs" dxfId="15077" priority="135508" stopIfTrue="1" operator="lessThan">
      <formula>0.5</formula>
    </cfRule>
  </conditionalFormatting>
  <conditionalFormatting sqref="R85">
    <cfRule type="cellIs" dxfId="15076" priority="135509" stopIfTrue="1" operator="greaterThanOrEqual">
      <formula>0.5</formula>
    </cfRule>
  </conditionalFormatting>
  <conditionalFormatting sqref="T65">
    <cfRule type="cellIs" dxfId="15075" priority="135510" stopIfTrue="1" operator="equal">
      <formula>-1</formula>
    </cfRule>
  </conditionalFormatting>
  <conditionalFormatting sqref="T65">
    <cfRule type="cellIs" dxfId="15074" priority="135511" stopIfTrue="1" operator="lessThan">
      <formula>0.5</formula>
    </cfRule>
  </conditionalFormatting>
  <conditionalFormatting sqref="T65">
    <cfRule type="cellIs" dxfId="15073" priority="135512" stopIfTrue="1" operator="greaterThanOrEqual">
      <formula>0.5</formula>
    </cfRule>
  </conditionalFormatting>
  <conditionalFormatting sqref="T66">
    <cfRule type="cellIs" dxfId="15072" priority="135513" stopIfTrue="1" operator="equal">
      <formula>-1</formula>
    </cfRule>
  </conditionalFormatting>
  <conditionalFormatting sqref="T66">
    <cfRule type="cellIs" dxfId="15071" priority="135514" stopIfTrue="1" operator="lessThan">
      <formula>0.5</formula>
    </cfRule>
  </conditionalFormatting>
  <conditionalFormatting sqref="T66">
    <cfRule type="cellIs" dxfId="15070" priority="135515" stopIfTrue="1" operator="greaterThanOrEqual">
      <formula>0.5</formula>
    </cfRule>
  </conditionalFormatting>
  <conditionalFormatting sqref="T67">
    <cfRule type="cellIs" dxfId="15069" priority="135516" stopIfTrue="1" operator="equal">
      <formula>-1</formula>
    </cfRule>
  </conditionalFormatting>
  <conditionalFormatting sqref="T67">
    <cfRule type="cellIs" dxfId="15068" priority="135517" stopIfTrue="1" operator="lessThan">
      <formula>0.5</formula>
    </cfRule>
  </conditionalFormatting>
  <conditionalFormatting sqref="T67">
    <cfRule type="cellIs" dxfId="15067" priority="135518" stopIfTrue="1" operator="greaterThanOrEqual">
      <formula>0.5</formula>
    </cfRule>
  </conditionalFormatting>
  <conditionalFormatting sqref="T68">
    <cfRule type="cellIs" dxfId="15066" priority="135519" stopIfTrue="1" operator="equal">
      <formula>-1</formula>
    </cfRule>
  </conditionalFormatting>
  <conditionalFormatting sqref="T68">
    <cfRule type="cellIs" dxfId="15065" priority="135520" stopIfTrue="1" operator="lessThan">
      <formula>0.5</formula>
    </cfRule>
  </conditionalFormatting>
  <conditionalFormatting sqref="T68">
    <cfRule type="cellIs" dxfId="15064" priority="135521" stopIfTrue="1" operator="greaterThanOrEqual">
      <formula>0.5</formula>
    </cfRule>
  </conditionalFormatting>
  <conditionalFormatting sqref="T69">
    <cfRule type="cellIs" dxfId="15063" priority="135522" stopIfTrue="1" operator="equal">
      <formula>-1</formula>
    </cfRule>
  </conditionalFormatting>
  <conditionalFormatting sqref="T69">
    <cfRule type="cellIs" dxfId="15062" priority="135523" stopIfTrue="1" operator="lessThan">
      <formula>0.5</formula>
    </cfRule>
  </conditionalFormatting>
  <conditionalFormatting sqref="T69">
    <cfRule type="cellIs" dxfId="15061" priority="135524" stopIfTrue="1" operator="greaterThanOrEqual">
      <formula>0.5</formula>
    </cfRule>
  </conditionalFormatting>
  <conditionalFormatting sqref="T70">
    <cfRule type="cellIs" dxfId="15060" priority="135525" stopIfTrue="1" operator="equal">
      <formula>-1</formula>
    </cfRule>
  </conditionalFormatting>
  <conditionalFormatting sqref="T70">
    <cfRule type="cellIs" dxfId="15059" priority="135526" stopIfTrue="1" operator="lessThan">
      <formula>0.5</formula>
    </cfRule>
  </conditionalFormatting>
  <conditionalFormatting sqref="T70">
    <cfRule type="cellIs" dxfId="15058" priority="135527" stopIfTrue="1" operator="greaterThanOrEqual">
      <formula>0.5</formula>
    </cfRule>
  </conditionalFormatting>
  <conditionalFormatting sqref="T71">
    <cfRule type="cellIs" dxfId="15057" priority="135528" stopIfTrue="1" operator="equal">
      <formula>-1</formula>
    </cfRule>
  </conditionalFormatting>
  <conditionalFormatting sqref="T71">
    <cfRule type="cellIs" dxfId="15056" priority="135529" stopIfTrue="1" operator="lessThan">
      <formula>0.5</formula>
    </cfRule>
  </conditionalFormatting>
  <conditionalFormatting sqref="T71">
    <cfRule type="cellIs" dxfId="15055" priority="135530" stopIfTrue="1" operator="greaterThanOrEqual">
      <formula>0.5</formula>
    </cfRule>
  </conditionalFormatting>
  <conditionalFormatting sqref="T72">
    <cfRule type="cellIs" dxfId="15054" priority="135531" stopIfTrue="1" operator="equal">
      <formula>-1</formula>
    </cfRule>
  </conditionalFormatting>
  <conditionalFormatting sqref="T72">
    <cfRule type="cellIs" dxfId="15053" priority="135532" stopIfTrue="1" operator="lessThan">
      <formula>0.5</formula>
    </cfRule>
  </conditionalFormatting>
  <conditionalFormatting sqref="T72">
    <cfRule type="cellIs" dxfId="15052" priority="135533" stopIfTrue="1" operator="greaterThanOrEqual">
      <formula>0.5</formula>
    </cfRule>
  </conditionalFormatting>
  <conditionalFormatting sqref="T73">
    <cfRule type="cellIs" dxfId="15051" priority="135534" stopIfTrue="1" operator="equal">
      <formula>-1</formula>
    </cfRule>
  </conditionalFormatting>
  <conditionalFormatting sqref="T73">
    <cfRule type="cellIs" dxfId="15050" priority="135535" stopIfTrue="1" operator="lessThan">
      <formula>0.5</formula>
    </cfRule>
  </conditionalFormatting>
  <conditionalFormatting sqref="T73">
    <cfRule type="cellIs" dxfId="15049" priority="135536" stopIfTrue="1" operator="greaterThanOrEqual">
      <formula>0.5</formula>
    </cfRule>
  </conditionalFormatting>
  <conditionalFormatting sqref="T74">
    <cfRule type="cellIs" dxfId="15048" priority="135537" stopIfTrue="1" operator="equal">
      <formula>-1</formula>
    </cfRule>
  </conditionalFormatting>
  <conditionalFormatting sqref="T74">
    <cfRule type="cellIs" dxfId="15047" priority="135538" stopIfTrue="1" operator="lessThan">
      <formula>0.5</formula>
    </cfRule>
  </conditionalFormatting>
  <conditionalFormatting sqref="T74">
    <cfRule type="cellIs" dxfId="15046" priority="135539" stopIfTrue="1" operator="greaterThanOrEqual">
      <formula>0.5</formula>
    </cfRule>
  </conditionalFormatting>
  <conditionalFormatting sqref="T75">
    <cfRule type="cellIs" dxfId="15045" priority="135540" stopIfTrue="1" operator="equal">
      <formula>-1</formula>
    </cfRule>
  </conditionalFormatting>
  <conditionalFormatting sqref="T75">
    <cfRule type="cellIs" dxfId="15044" priority="135541" stopIfTrue="1" operator="lessThan">
      <formula>0.5</formula>
    </cfRule>
  </conditionalFormatting>
  <conditionalFormatting sqref="T75">
    <cfRule type="cellIs" dxfId="15043" priority="135542" stopIfTrue="1" operator="greaterThanOrEqual">
      <formula>0.5</formula>
    </cfRule>
  </conditionalFormatting>
  <conditionalFormatting sqref="T76">
    <cfRule type="cellIs" dxfId="15042" priority="135543" stopIfTrue="1" operator="equal">
      <formula>-1</formula>
    </cfRule>
  </conditionalFormatting>
  <conditionalFormatting sqref="T76">
    <cfRule type="cellIs" dxfId="15041" priority="135544" stopIfTrue="1" operator="lessThan">
      <formula>0.5</formula>
    </cfRule>
  </conditionalFormatting>
  <conditionalFormatting sqref="T76">
    <cfRule type="cellIs" dxfId="15040" priority="135545" stopIfTrue="1" operator="greaterThanOrEqual">
      <formula>0.5</formula>
    </cfRule>
  </conditionalFormatting>
  <conditionalFormatting sqref="T77">
    <cfRule type="cellIs" dxfId="15039" priority="135546" stopIfTrue="1" operator="equal">
      <formula>-1</formula>
    </cfRule>
  </conditionalFormatting>
  <conditionalFormatting sqref="T77">
    <cfRule type="cellIs" dxfId="15038" priority="135547" stopIfTrue="1" operator="lessThan">
      <formula>0.5</formula>
    </cfRule>
  </conditionalFormatting>
  <conditionalFormatting sqref="T77">
    <cfRule type="cellIs" dxfId="15037" priority="135548" stopIfTrue="1" operator="greaterThanOrEqual">
      <formula>0.5</formula>
    </cfRule>
  </conditionalFormatting>
  <conditionalFormatting sqref="T78">
    <cfRule type="cellIs" dxfId="15036" priority="135549" stopIfTrue="1" operator="equal">
      <formula>-1</formula>
    </cfRule>
  </conditionalFormatting>
  <conditionalFormatting sqref="T78">
    <cfRule type="cellIs" dxfId="15035" priority="135550" stopIfTrue="1" operator="lessThan">
      <formula>0.5</formula>
    </cfRule>
  </conditionalFormatting>
  <conditionalFormatting sqref="T78">
    <cfRule type="cellIs" dxfId="15034" priority="135551" stopIfTrue="1" operator="greaterThanOrEqual">
      <formula>0.5</formula>
    </cfRule>
  </conditionalFormatting>
  <conditionalFormatting sqref="T79">
    <cfRule type="cellIs" dxfId="15033" priority="135552" stopIfTrue="1" operator="equal">
      <formula>-1</formula>
    </cfRule>
  </conditionalFormatting>
  <conditionalFormatting sqref="T79">
    <cfRule type="cellIs" dxfId="15032" priority="135553" stopIfTrue="1" operator="lessThan">
      <formula>0.5</formula>
    </cfRule>
  </conditionalFormatting>
  <conditionalFormatting sqref="T79">
    <cfRule type="cellIs" dxfId="15031" priority="135554" stopIfTrue="1" operator="greaterThanOrEqual">
      <formula>0.5</formula>
    </cfRule>
  </conditionalFormatting>
  <conditionalFormatting sqref="T80">
    <cfRule type="cellIs" dxfId="15030" priority="135555" stopIfTrue="1" operator="equal">
      <formula>-1</formula>
    </cfRule>
  </conditionalFormatting>
  <conditionalFormatting sqref="T80">
    <cfRule type="cellIs" dxfId="15029" priority="135556" stopIfTrue="1" operator="lessThan">
      <formula>0.5</formula>
    </cfRule>
  </conditionalFormatting>
  <conditionalFormatting sqref="T80">
    <cfRule type="cellIs" dxfId="15028" priority="135557" stopIfTrue="1" operator="greaterThanOrEqual">
      <formula>0.5</formula>
    </cfRule>
  </conditionalFormatting>
  <conditionalFormatting sqref="T81">
    <cfRule type="cellIs" dxfId="15027" priority="135558" stopIfTrue="1" operator="equal">
      <formula>-1</formula>
    </cfRule>
  </conditionalFormatting>
  <conditionalFormatting sqref="T81">
    <cfRule type="cellIs" dxfId="15026" priority="135559" stopIfTrue="1" operator="lessThan">
      <formula>0.5</formula>
    </cfRule>
  </conditionalFormatting>
  <conditionalFormatting sqref="T81">
    <cfRule type="cellIs" dxfId="15025" priority="135560" stopIfTrue="1" operator="greaterThanOrEqual">
      <formula>0.5</formula>
    </cfRule>
  </conditionalFormatting>
  <conditionalFormatting sqref="T82">
    <cfRule type="cellIs" dxfId="15024" priority="135561" stopIfTrue="1" operator="equal">
      <formula>-1</formula>
    </cfRule>
  </conditionalFormatting>
  <conditionalFormatting sqref="T82">
    <cfRule type="cellIs" dxfId="15023" priority="135562" stopIfTrue="1" operator="lessThan">
      <formula>0.5</formula>
    </cfRule>
  </conditionalFormatting>
  <conditionalFormatting sqref="T82">
    <cfRule type="cellIs" dxfId="15022" priority="135563" stopIfTrue="1" operator="greaterThanOrEqual">
      <formula>0.5</formula>
    </cfRule>
  </conditionalFormatting>
  <conditionalFormatting sqref="T83">
    <cfRule type="cellIs" dxfId="15021" priority="135564" stopIfTrue="1" operator="equal">
      <formula>-1</formula>
    </cfRule>
  </conditionalFormatting>
  <conditionalFormatting sqref="T83">
    <cfRule type="cellIs" dxfId="15020" priority="135565" stopIfTrue="1" operator="lessThan">
      <formula>0.5</formula>
    </cfRule>
  </conditionalFormatting>
  <conditionalFormatting sqref="T83">
    <cfRule type="cellIs" dxfId="15019" priority="135566" stopIfTrue="1" operator="greaterThanOrEqual">
      <formula>0.5</formula>
    </cfRule>
  </conditionalFormatting>
  <conditionalFormatting sqref="T84">
    <cfRule type="cellIs" dxfId="15018" priority="135567" stopIfTrue="1" operator="equal">
      <formula>-1</formula>
    </cfRule>
  </conditionalFormatting>
  <conditionalFormatting sqref="T84">
    <cfRule type="cellIs" dxfId="15017" priority="135568" stopIfTrue="1" operator="lessThan">
      <formula>0.5</formula>
    </cfRule>
  </conditionalFormatting>
  <conditionalFormatting sqref="T84">
    <cfRule type="cellIs" dxfId="15016" priority="135569" stopIfTrue="1" operator="greaterThanOrEqual">
      <formula>0.5</formula>
    </cfRule>
  </conditionalFormatting>
  <conditionalFormatting sqref="T85">
    <cfRule type="cellIs" dxfId="15015" priority="135570" stopIfTrue="1" operator="equal">
      <formula>-1</formula>
    </cfRule>
  </conditionalFormatting>
  <conditionalFormatting sqref="T85">
    <cfRule type="cellIs" dxfId="15014" priority="135571" stopIfTrue="1" operator="lessThan">
      <formula>0.5</formula>
    </cfRule>
  </conditionalFormatting>
  <conditionalFormatting sqref="T85">
    <cfRule type="cellIs" dxfId="15013" priority="135572" stopIfTrue="1" operator="greaterThanOrEqual">
      <formula>0.5</formula>
    </cfRule>
  </conditionalFormatting>
  <conditionalFormatting sqref="V65">
    <cfRule type="cellIs" dxfId="15012" priority="135573" stopIfTrue="1" operator="equal">
      <formula>-1</formula>
    </cfRule>
  </conditionalFormatting>
  <conditionalFormatting sqref="V65">
    <cfRule type="cellIs" dxfId="15011" priority="135574" stopIfTrue="1" operator="lessThan">
      <formula>0.5</formula>
    </cfRule>
  </conditionalFormatting>
  <conditionalFormatting sqref="V65">
    <cfRule type="cellIs" dxfId="15010" priority="135575" stopIfTrue="1" operator="greaterThanOrEqual">
      <formula>0.5</formula>
    </cfRule>
  </conditionalFormatting>
  <conditionalFormatting sqref="V66">
    <cfRule type="cellIs" dxfId="15009" priority="135576" stopIfTrue="1" operator="equal">
      <formula>-1</formula>
    </cfRule>
  </conditionalFormatting>
  <conditionalFormatting sqref="V66">
    <cfRule type="cellIs" dxfId="15008" priority="135577" stopIfTrue="1" operator="lessThan">
      <formula>0.5</formula>
    </cfRule>
  </conditionalFormatting>
  <conditionalFormatting sqref="V66">
    <cfRule type="cellIs" dxfId="15007" priority="135578" stopIfTrue="1" operator="greaterThanOrEqual">
      <formula>0.5</formula>
    </cfRule>
  </conditionalFormatting>
  <conditionalFormatting sqref="V67">
    <cfRule type="cellIs" dxfId="15006" priority="135579" stopIfTrue="1" operator="equal">
      <formula>-1</formula>
    </cfRule>
  </conditionalFormatting>
  <conditionalFormatting sqref="V67">
    <cfRule type="cellIs" dxfId="15005" priority="135580" stopIfTrue="1" operator="lessThan">
      <formula>0.5</formula>
    </cfRule>
  </conditionalFormatting>
  <conditionalFormatting sqref="V67">
    <cfRule type="cellIs" dxfId="15004" priority="135581" stopIfTrue="1" operator="greaterThanOrEqual">
      <formula>0.5</formula>
    </cfRule>
  </conditionalFormatting>
  <conditionalFormatting sqref="V68">
    <cfRule type="cellIs" dxfId="15003" priority="135582" stopIfTrue="1" operator="equal">
      <formula>-1</formula>
    </cfRule>
  </conditionalFormatting>
  <conditionalFormatting sqref="V68">
    <cfRule type="cellIs" dxfId="15002" priority="135583" stopIfTrue="1" operator="lessThan">
      <formula>0.5</formula>
    </cfRule>
  </conditionalFormatting>
  <conditionalFormatting sqref="V68">
    <cfRule type="cellIs" dxfId="15001" priority="135584" stopIfTrue="1" operator="greaterThanOrEqual">
      <formula>0.5</formula>
    </cfRule>
  </conditionalFormatting>
  <conditionalFormatting sqref="V69">
    <cfRule type="cellIs" dxfId="15000" priority="135585" stopIfTrue="1" operator="equal">
      <formula>-1</formula>
    </cfRule>
  </conditionalFormatting>
  <conditionalFormatting sqref="V69">
    <cfRule type="cellIs" dxfId="14999" priority="135586" stopIfTrue="1" operator="lessThan">
      <formula>0.5</formula>
    </cfRule>
  </conditionalFormatting>
  <conditionalFormatting sqref="V69">
    <cfRule type="cellIs" dxfId="14998" priority="135587" stopIfTrue="1" operator="greaterThanOrEqual">
      <formula>0.5</formula>
    </cfRule>
  </conditionalFormatting>
  <conditionalFormatting sqref="V70">
    <cfRule type="cellIs" dxfId="14997" priority="135588" stopIfTrue="1" operator="equal">
      <formula>-1</formula>
    </cfRule>
  </conditionalFormatting>
  <conditionalFormatting sqref="V70">
    <cfRule type="cellIs" dxfId="14996" priority="135589" stopIfTrue="1" operator="lessThan">
      <formula>0.5</formula>
    </cfRule>
  </conditionalFormatting>
  <conditionalFormatting sqref="V70">
    <cfRule type="cellIs" dxfId="14995" priority="135590" stopIfTrue="1" operator="greaterThanOrEqual">
      <formula>0.5</formula>
    </cfRule>
  </conditionalFormatting>
  <conditionalFormatting sqref="V71">
    <cfRule type="cellIs" dxfId="14994" priority="135591" stopIfTrue="1" operator="equal">
      <formula>-1</formula>
    </cfRule>
  </conditionalFormatting>
  <conditionalFormatting sqref="V71">
    <cfRule type="cellIs" dxfId="14993" priority="135592" stopIfTrue="1" operator="lessThan">
      <formula>0.5</formula>
    </cfRule>
  </conditionalFormatting>
  <conditionalFormatting sqref="V71">
    <cfRule type="cellIs" dxfId="14992" priority="135593" stopIfTrue="1" operator="greaterThanOrEqual">
      <formula>0.5</formula>
    </cfRule>
  </conditionalFormatting>
  <conditionalFormatting sqref="V72">
    <cfRule type="cellIs" dxfId="14991" priority="135594" stopIfTrue="1" operator="equal">
      <formula>-1</formula>
    </cfRule>
  </conditionalFormatting>
  <conditionalFormatting sqref="V72">
    <cfRule type="cellIs" dxfId="14990" priority="135595" stopIfTrue="1" operator="lessThan">
      <formula>0.5</formula>
    </cfRule>
  </conditionalFormatting>
  <conditionalFormatting sqref="V72">
    <cfRule type="cellIs" dxfId="14989" priority="135596" stopIfTrue="1" operator="greaterThanOrEqual">
      <formula>0.5</formula>
    </cfRule>
  </conditionalFormatting>
  <conditionalFormatting sqref="V73">
    <cfRule type="cellIs" dxfId="14988" priority="135597" stopIfTrue="1" operator="equal">
      <formula>-1</formula>
    </cfRule>
  </conditionalFormatting>
  <conditionalFormatting sqref="V73">
    <cfRule type="cellIs" dxfId="14987" priority="135598" stopIfTrue="1" operator="lessThan">
      <formula>0.5</formula>
    </cfRule>
  </conditionalFormatting>
  <conditionalFormatting sqref="V73">
    <cfRule type="cellIs" dxfId="14986" priority="135599" stopIfTrue="1" operator="greaterThanOrEqual">
      <formula>0.5</formula>
    </cfRule>
  </conditionalFormatting>
  <conditionalFormatting sqref="V74">
    <cfRule type="cellIs" dxfId="14985" priority="135600" stopIfTrue="1" operator="equal">
      <formula>-1</formula>
    </cfRule>
  </conditionalFormatting>
  <conditionalFormatting sqref="V74">
    <cfRule type="cellIs" dxfId="14984" priority="135601" stopIfTrue="1" operator="lessThan">
      <formula>0.5</formula>
    </cfRule>
  </conditionalFormatting>
  <conditionalFormatting sqref="V74">
    <cfRule type="cellIs" dxfId="14983" priority="135602" stopIfTrue="1" operator="greaterThanOrEqual">
      <formula>0.5</formula>
    </cfRule>
  </conditionalFormatting>
  <conditionalFormatting sqref="V75">
    <cfRule type="cellIs" dxfId="14982" priority="135603" stopIfTrue="1" operator="equal">
      <formula>-1</formula>
    </cfRule>
  </conditionalFormatting>
  <conditionalFormatting sqref="V75">
    <cfRule type="cellIs" dxfId="14981" priority="135604" stopIfTrue="1" operator="lessThan">
      <formula>0.5</formula>
    </cfRule>
  </conditionalFormatting>
  <conditionalFormatting sqref="V75">
    <cfRule type="cellIs" dxfId="14980" priority="135605" stopIfTrue="1" operator="greaterThanOrEqual">
      <formula>0.5</formula>
    </cfRule>
  </conditionalFormatting>
  <conditionalFormatting sqref="V76">
    <cfRule type="cellIs" dxfId="14979" priority="135606" stopIfTrue="1" operator="equal">
      <formula>-1</formula>
    </cfRule>
  </conditionalFormatting>
  <conditionalFormatting sqref="V76">
    <cfRule type="cellIs" dxfId="14978" priority="135607" stopIfTrue="1" operator="lessThan">
      <formula>0.5</formula>
    </cfRule>
  </conditionalFormatting>
  <conditionalFormatting sqref="V76">
    <cfRule type="cellIs" dxfId="14977" priority="135608" stopIfTrue="1" operator="greaterThanOrEqual">
      <formula>0.5</formula>
    </cfRule>
  </conditionalFormatting>
  <conditionalFormatting sqref="V77">
    <cfRule type="cellIs" dxfId="14976" priority="135609" stopIfTrue="1" operator="equal">
      <formula>-1</formula>
    </cfRule>
  </conditionalFormatting>
  <conditionalFormatting sqref="V77">
    <cfRule type="cellIs" dxfId="14975" priority="135610" stopIfTrue="1" operator="lessThan">
      <formula>0.5</formula>
    </cfRule>
  </conditionalFormatting>
  <conditionalFormatting sqref="V77">
    <cfRule type="cellIs" dxfId="14974" priority="135611" stopIfTrue="1" operator="greaterThanOrEqual">
      <formula>0.5</formula>
    </cfRule>
  </conditionalFormatting>
  <conditionalFormatting sqref="V78">
    <cfRule type="cellIs" dxfId="14973" priority="135612" stopIfTrue="1" operator="equal">
      <formula>-1</formula>
    </cfRule>
  </conditionalFormatting>
  <conditionalFormatting sqref="V78">
    <cfRule type="cellIs" dxfId="14972" priority="135613" stopIfTrue="1" operator="lessThan">
      <formula>0.5</formula>
    </cfRule>
  </conditionalFormatting>
  <conditionalFormatting sqref="V78">
    <cfRule type="cellIs" dxfId="14971" priority="135614" stopIfTrue="1" operator="greaterThanOrEqual">
      <formula>0.5</formula>
    </cfRule>
  </conditionalFormatting>
  <conditionalFormatting sqref="V79">
    <cfRule type="cellIs" dxfId="14970" priority="135615" stopIfTrue="1" operator="equal">
      <formula>-1</formula>
    </cfRule>
  </conditionalFormatting>
  <conditionalFormatting sqref="V79">
    <cfRule type="cellIs" dxfId="14969" priority="135616" stopIfTrue="1" operator="lessThan">
      <formula>0.5</formula>
    </cfRule>
  </conditionalFormatting>
  <conditionalFormatting sqref="V79">
    <cfRule type="cellIs" dxfId="14968" priority="135617" stopIfTrue="1" operator="greaterThanOrEqual">
      <formula>0.5</formula>
    </cfRule>
  </conditionalFormatting>
  <conditionalFormatting sqref="V80">
    <cfRule type="cellIs" dxfId="14967" priority="135618" stopIfTrue="1" operator="equal">
      <formula>-1</formula>
    </cfRule>
  </conditionalFormatting>
  <conditionalFormatting sqref="V80">
    <cfRule type="cellIs" dxfId="14966" priority="135619" stopIfTrue="1" operator="lessThan">
      <formula>0.5</formula>
    </cfRule>
  </conditionalFormatting>
  <conditionalFormatting sqref="V80">
    <cfRule type="cellIs" dxfId="14965" priority="135620" stopIfTrue="1" operator="greaterThanOrEqual">
      <formula>0.5</formula>
    </cfRule>
  </conditionalFormatting>
  <conditionalFormatting sqref="V81">
    <cfRule type="cellIs" dxfId="14964" priority="135621" stopIfTrue="1" operator="equal">
      <formula>-1</formula>
    </cfRule>
  </conditionalFormatting>
  <conditionalFormatting sqref="V81">
    <cfRule type="cellIs" dxfId="14963" priority="135622" stopIfTrue="1" operator="lessThan">
      <formula>0.5</formula>
    </cfRule>
  </conditionalFormatting>
  <conditionalFormatting sqref="V81">
    <cfRule type="cellIs" dxfId="14962" priority="135623" stopIfTrue="1" operator="greaterThanOrEqual">
      <formula>0.5</formula>
    </cfRule>
  </conditionalFormatting>
  <conditionalFormatting sqref="V82">
    <cfRule type="cellIs" dxfId="14961" priority="135624" stopIfTrue="1" operator="equal">
      <formula>-1</formula>
    </cfRule>
  </conditionalFormatting>
  <conditionalFormatting sqref="V82">
    <cfRule type="cellIs" dxfId="14960" priority="135625" stopIfTrue="1" operator="lessThan">
      <formula>0.5</formula>
    </cfRule>
  </conditionalFormatting>
  <conditionalFormatting sqref="V82">
    <cfRule type="cellIs" dxfId="14959" priority="135626" stopIfTrue="1" operator="greaterThanOrEqual">
      <formula>0.5</formula>
    </cfRule>
  </conditionalFormatting>
  <conditionalFormatting sqref="V83">
    <cfRule type="cellIs" dxfId="14958" priority="135627" stopIfTrue="1" operator="equal">
      <formula>-1</formula>
    </cfRule>
  </conditionalFormatting>
  <conditionalFormatting sqref="V83">
    <cfRule type="cellIs" dxfId="14957" priority="135628" stopIfTrue="1" operator="lessThan">
      <formula>0.5</formula>
    </cfRule>
  </conditionalFormatting>
  <conditionalFormatting sqref="V83">
    <cfRule type="cellIs" dxfId="14956" priority="135629" stopIfTrue="1" operator="greaterThanOrEqual">
      <formula>0.5</formula>
    </cfRule>
  </conditionalFormatting>
  <conditionalFormatting sqref="V84">
    <cfRule type="cellIs" dxfId="14955" priority="135630" stopIfTrue="1" operator="equal">
      <formula>-1</formula>
    </cfRule>
  </conditionalFormatting>
  <conditionalFormatting sqref="V84">
    <cfRule type="cellIs" dxfId="14954" priority="135631" stopIfTrue="1" operator="lessThan">
      <formula>0.5</formula>
    </cfRule>
  </conditionalFormatting>
  <conditionalFormatting sqref="V84">
    <cfRule type="cellIs" dxfId="14953" priority="135632" stopIfTrue="1" operator="greaterThanOrEqual">
      <formula>0.5</formula>
    </cfRule>
  </conditionalFormatting>
  <conditionalFormatting sqref="V85">
    <cfRule type="cellIs" dxfId="14952" priority="135633" stopIfTrue="1" operator="equal">
      <formula>-1</formula>
    </cfRule>
  </conditionalFormatting>
  <conditionalFormatting sqref="V85">
    <cfRule type="cellIs" dxfId="14951" priority="135634" stopIfTrue="1" operator="lessThan">
      <formula>0.5</formula>
    </cfRule>
  </conditionalFormatting>
  <conditionalFormatting sqref="V85">
    <cfRule type="cellIs" dxfId="14950" priority="135635" stopIfTrue="1" operator="greaterThanOrEqual">
      <formula>0.5</formula>
    </cfRule>
  </conditionalFormatting>
  <conditionalFormatting sqref="X65">
    <cfRule type="cellIs" dxfId="14949" priority="135636" stopIfTrue="1" operator="equal">
      <formula>-1</formula>
    </cfRule>
  </conditionalFormatting>
  <conditionalFormatting sqref="X65">
    <cfRule type="cellIs" dxfId="14948" priority="135637" stopIfTrue="1" operator="lessThan">
      <formula>0.5</formula>
    </cfRule>
  </conditionalFormatting>
  <conditionalFormatting sqref="X65">
    <cfRule type="cellIs" dxfId="14947" priority="135638" stopIfTrue="1" operator="greaterThanOrEqual">
      <formula>0.5</formula>
    </cfRule>
  </conditionalFormatting>
  <conditionalFormatting sqref="X66">
    <cfRule type="cellIs" dxfId="14946" priority="135639" stopIfTrue="1" operator="equal">
      <formula>-1</formula>
    </cfRule>
  </conditionalFormatting>
  <conditionalFormatting sqref="X66">
    <cfRule type="cellIs" dxfId="14945" priority="135640" stopIfTrue="1" operator="lessThan">
      <formula>0.5</formula>
    </cfRule>
  </conditionalFormatting>
  <conditionalFormatting sqref="X66">
    <cfRule type="cellIs" dxfId="14944" priority="135641" stopIfTrue="1" operator="greaterThanOrEqual">
      <formula>0.5</formula>
    </cfRule>
  </conditionalFormatting>
  <conditionalFormatting sqref="X67">
    <cfRule type="cellIs" dxfId="14943" priority="135642" stopIfTrue="1" operator="equal">
      <formula>-1</formula>
    </cfRule>
  </conditionalFormatting>
  <conditionalFormatting sqref="X67">
    <cfRule type="cellIs" dxfId="14942" priority="135643" stopIfTrue="1" operator="lessThan">
      <formula>0.5</formula>
    </cfRule>
  </conditionalFormatting>
  <conditionalFormatting sqref="X67">
    <cfRule type="cellIs" dxfId="14941" priority="135644" stopIfTrue="1" operator="greaterThanOrEqual">
      <formula>0.5</formula>
    </cfRule>
  </conditionalFormatting>
  <conditionalFormatting sqref="X68">
    <cfRule type="cellIs" dxfId="14940" priority="135645" stopIfTrue="1" operator="equal">
      <formula>-1</formula>
    </cfRule>
  </conditionalFormatting>
  <conditionalFormatting sqref="X68">
    <cfRule type="cellIs" dxfId="14939" priority="135646" stopIfTrue="1" operator="lessThan">
      <formula>0.5</formula>
    </cfRule>
  </conditionalFormatting>
  <conditionalFormatting sqref="X68">
    <cfRule type="cellIs" dxfId="14938" priority="135647" stopIfTrue="1" operator="greaterThanOrEqual">
      <formula>0.5</formula>
    </cfRule>
  </conditionalFormatting>
  <conditionalFormatting sqref="X69">
    <cfRule type="cellIs" dxfId="14937" priority="135648" stopIfTrue="1" operator="equal">
      <formula>-1</formula>
    </cfRule>
  </conditionalFormatting>
  <conditionalFormatting sqref="X69">
    <cfRule type="cellIs" dxfId="14936" priority="135649" stopIfTrue="1" operator="lessThan">
      <formula>0.5</formula>
    </cfRule>
  </conditionalFormatting>
  <conditionalFormatting sqref="X69">
    <cfRule type="cellIs" dxfId="14935" priority="135650" stopIfTrue="1" operator="greaterThanOrEqual">
      <formula>0.5</formula>
    </cfRule>
  </conditionalFormatting>
  <conditionalFormatting sqref="X70">
    <cfRule type="cellIs" dxfId="14934" priority="135651" stopIfTrue="1" operator="equal">
      <formula>-1</formula>
    </cfRule>
  </conditionalFormatting>
  <conditionalFormatting sqref="X70">
    <cfRule type="cellIs" dxfId="14933" priority="135652" stopIfTrue="1" operator="lessThan">
      <formula>0.5</formula>
    </cfRule>
  </conditionalFormatting>
  <conditionalFormatting sqref="X70">
    <cfRule type="cellIs" dxfId="14932" priority="135653" stopIfTrue="1" operator="greaterThanOrEqual">
      <formula>0.5</formula>
    </cfRule>
  </conditionalFormatting>
  <conditionalFormatting sqref="X71">
    <cfRule type="cellIs" dxfId="14931" priority="135654" stopIfTrue="1" operator="equal">
      <formula>-1</formula>
    </cfRule>
  </conditionalFormatting>
  <conditionalFormatting sqref="X71">
    <cfRule type="cellIs" dxfId="14930" priority="135655" stopIfTrue="1" operator="lessThan">
      <formula>0.5</formula>
    </cfRule>
  </conditionalFormatting>
  <conditionalFormatting sqref="X71">
    <cfRule type="cellIs" dxfId="14929" priority="135656" stopIfTrue="1" operator="greaterThanOrEqual">
      <formula>0.5</formula>
    </cfRule>
  </conditionalFormatting>
  <conditionalFormatting sqref="X72">
    <cfRule type="cellIs" dxfId="14928" priority="135657" stopIfTrue="1" operator="equal">
      <formula>-1</formula>
    </cfRule>
  </conditionalFormatting>
  <conditionalFormatting sqref="X72">
    <cfRule type="cellIs" dxfId="14927" priority="135658" stopIfTrue="1" operator="lessThan">
      <formula>0.5</formula>
    </cfRule>
  </conditionalFormatting>
  <conditionalFormatting sqref="X72">
    <cfRule type="cellIs" dxfId="14926" priority="135659" stopIfTrue="1" operator="greaterThanOrEqual">
      <formula>0.5</formula>
    </cfRule>
  </conditionalFormatting>
  <conditionalFormatting sqref="X73">
    <cfRule type="cellIs" dxfId="14925" priority="135660" stopIfTrue="1" operator="equal">
      <formula>-1</formula>
    </cfRule>
  </conditionalFormatting>
  <conditionalFormatting sqref="X73">
    <cfRule type="cellIs" dxfId="14924" priority="135661" stopIfTrue="1" operator="lessThan">
      <formula>0.5</formula>
    </cfRule>
  </conditionalFormatting>
  <conditionalFormatting sqref="X73">
    <cfRule type="cellIs" dxfId="14923" priority="135662" stopIfTrue="1" operator="greaterThanOrEqual">
      <formula>0.5</formula>
    </cfRule>
  </conditionalFormatting>
  <conditionalFormatting sqref="X74">
    <cfRule type="cellIs" dxfId="14922" priority="135663" stopIfTrue="1" operator="equal">
      <formula>-1</formula>
    </cfRule>
  </conditionalFormatting>
  <conditionalFormatting sqref="X74">
    <cfRule type="cellIs" dxfId="14921" priority="135664" stopIfTrue="1" operator="lessThan">
      <formula>0.5</formula>
    </cfRule>
  </conditionalFormatting>
  <conditionalFormatting sqref="X74">
    <cfRule type="cellIs" dxfId="14920" priority="135665" stopIfTrue="1" operator="greaterThanOrEqual">
      <formula>0.5</formula>
    </cfRule>
  </conditionalFormatting>
  <conditionalFormatting sqref="X75">
    <cfRule type="cellIs" dxfId="14919" priority="135666" stopIfTrue="1" operator="equal">
      <formula>-1</formula>
    </cfRule>
  </conditionalFormatting>
  <conditionalFormatting sqref="X75">
    <cfRule type="cellIs" dxfId="14918" priority="135667" stopIfTrue="1" operator="lessThan">
      <formula>0.5</formula>
    </cfRule>
  </conditionalFormatting>
  <conditionalFormatting sqref="X75">
    <cfRule type="cellIs" dxfId="14917" priority="135668" stopIfTrue="1" operator="greaterThanOrEqual">
      <formula>0.5</formula>
    </cfRule>
  </conditionalFormatting>
  <conditionalFormatting sqref="X76">
    <cfRule type="cellIs" dxfId="14916" priority="135669" stopIfTrue="1" operator="equal">
      <formula>-1</formula>
    </cfRule>
  </conditionalFormatting>
  <conditionalFormatting sqref="X76">
    <cfRule type="cellIs" dxfId="14915" priority="135670" stopIfTrue="1" operator="lessThan">
      <formula>0.5</formula>
    </cfRule>
  </conditionalFormatting>
  <conditionalFormatting sqref="X76">
    <cfRule type="cellIs" dxfId="14914" priority="135671" stopIfTrue="1" operator="greaterThanOrEqual">
      <formula>0.5</formula>
    </cfRule>
  </conditionalFormatting>
  <conditionalFormatting sqref="X77">
    <cfRule type="cellIs" dxfId="14913" priority="135672" stopIfTrue="1" operator="equal">
      <formula>-1</formula>
    </cfRule>
  </conditionalFormatting>
  <conditionalFormatting sqref="X77">
    <cfRule type="cellIs" dxfId="14912" priority="135673" stopIfTrue="1" operator="lessThan">
      <formula>0.5</formula>
    </cfRule>
  </conditionalFormatting>
  <conditionalFormatting sqref="X77">
    <cfRule type="cellIs" dxfId="14911" priority="135674" stopIfTrue="1" operator="greaterThanOrEqual">
      <formula>0.5</formula>
    </cfRule>
  </conditionalFormatting>
  <conditionalFormatting sqref="X78">
    <cfRule type="cellIs" dxfId="14910" priority="135675" stopIfTrue="1" operator="equal">
      <formula>-1</formula>
    </cfRule>
  </conditionalFormatting>
  <conditionalFormatting sqref="X78">
    <cfRule type="cellIs" dxfId="14909" priority="135676" stopIfTrue="1" operator="lessThan">
      <formula>0.5</formula>
    </cfRule>
  </conditionalFormatting>
  <conditionalFormatting sqref="X78">
    <cfRule type="cellIs" dxfId="14908" priority="135677" stopIfTrue="1" operator="greaterThanOrEqual">
      <formula>0.5</formula>
    </cfRule>
  </conditionalFormatting>
  <conditionalFormatting sqref="X79">
    <cfRule type="cellIs" dxfId="14907" priority="135678" stopIfTrue="1" operator="equal">
      <formula>-1</formula>
    </cfRule>
  </conditionalFormatting>
  <conditionalFormatting sqref="X79">
    <cfRule type="cellIs" dxfId="14906" priority="135679" stopIfTrue="1" operator="lessThan">
      <formula>0.5</formula>
    </cfRule>
  </conditionalFormatting>
  <conditionalFormatting sqref="X79">
    <cfRule type="cellIs" dxfId="14905" priority="135680" stopIfTrue="1" operator="greaterThanOrEqual">
      <formula>0.5</formula>
    </cfRule>
  </conditionalFormatting>
  <conditionalFormatting sqref="X80">
    <cfRule type="cellIs" dxfId="14904" priority="135681" stopIfTrue="1" operator="equal">
      <formula>-1</formula>
    </cfRule>
  </conditionalFormatting>
  <conditionalFormatting sqref="X80">
    <cfRule type="cellIs" dxfId="14903" priority="135682" stopIfTrue="1" operator="lessThan">
      <formula>0.5</formula>
    </cfRule>
  </conditionalFormatting>
  <conditionalFormatting sqref="X80">
    <cfRule type="cellIs" dxfId="14902" priority="135683" stopIfTrue="1" operator="greaterThanOrEqual">
      <formula>0.5</formula>
    </cfRule>
  </conditionalFormatting>
  <conditionalFormatting sqref="X81">
    <cfRule type="cellIs" dxfId="14901" priority="135684" stopIfTrue="1" operator="equal">
      <formula>-1</formula>
    </cfRule>
  </conditionalFormatting>
  <conditionalFormatting sqref="X81">
    <cfRule type="cellIs" dxfId="14900" priority="135685" stopIfTrue="1" operator="lessThan">
      <formula>0.5</formula>
    </cfRule>
  </conditionalFormatting>
  <conditionalFormatting sqref="X81">
    <cfRule type="cellIs" dxfId="14899" priority="135686" stopIfTrue="1" operator="greaterThanOrEqual">
      <formula>0.5</formula>
    </cfRule>
  </conditionalFormatting>
  <conditionalFormatting sqref="X82">
    <cfRule type="cellIs" dxfId="14898" priority="135687" stopIfTrue="1" operator="equal">
      <formula>-1</formula>
    </cfRule>
  </conditionalFormatting>
  <conditionalFormatting sqref="X82">
    <cfRule type="cellIs" dxfId="14897" priority="135688" stopIfTrue="1" operator="lessThan">
      <formula>0.5</formula>
    </cfRule>
  </conditionalFormatting>
  <conditionalFormatting sqref="X82">
    <cfRule type="cellIs" dxfId="14896" priority="135689" stopIfTrue="1" operator="greaterThanOrEqual">
      <formula>0.5</formula>
    </cfRule>
  </conditionalFormatting>
  <conditionalFormatting sqref="X83">
    <cfRule type="cellIs" dxfId="14895" priority="135690" stopIfTrue="1" operator="equal">
      <formula>-1</formula>
    </cfRule>
  </conditionalFormatting>
  <conditionalFormatting sqref="X83">
    <cfRule type="cellIs" dxfId="14894" priority="135691" stopIfTrue="1" operator="lessThan">
      <formula>0.5</formula>
    </cfRule>
  </conditionalFormatting>
  <conditionalFormatting sqref="X83">
    <cfRule type="cellIs" dxfId="14893" priority="135692" stopIfTrue="1" operator="greaterThanOrEqual">
      <formula>0.5</formula>
    </cfRule>
  </conditionalFormatting>
  <conditionalFormatting sqref="X84">
    <cfRule type="cellIs" dxfId="14892" priority="135693" stopIfTrue="1" operator="equal">
      <formula>-1</formula>
    </cfRule>
  </conditionalFormatting>
  <conditionalFormatting sqref="X84">
    <cfRule type="cellIs" dxfId="14891" priority="135694" stopIfTrue="1" operator="lessThan">
      <formula>0.5</formula>
    </cfRule>
  </conditionalFormatting>
  <conditionalFormatting sqref="X84">
    <cfRule type="cellIs" dxfId="14890" priority="135695" stopIfTrue="1" operator="greaterThanOrEqual">
      <formula>0.5</formula>
    </cfRule>
  </conditionalFormatting>
  <conditionalFormatting sqref="X85">
    <cfRule type="cellIs" dxfId="14889" priority="135696" stopIfTrue="1" operator="equal">
      <formula>-1</formula>
    </cfRule>
  </conditionalFormatting>
  <conditionalFormatting sqref="X85">
    <cfRule type="cellIs" dxfId="14888" priority="135697" stopIfTrue="1" operator="lessThan">
      <formula>0.5</formula>
    </cfRule>
  </conditionalFormatting>
  <conditionalFormatting sqref="X85">
    <cfRule type="cellIs" dxfId="14887" priority="135698" stopIfTrue="1" operator="greaterThanOrEqual">
      <formula>0.5</formula>
    </cfRule>
  </conditionalFormatting>
  <conditionalFormatting sqref="Z65">
    <cfRule type="cellIs" dxfId="14886" priority="135699" stopIfTrue="1" operator="equal">
      <formula>-1</formula>
    </cfRule>
  </conditionalFormatting>
  <conditionalFormatting sqref="Z65">
    <cfRule type="cellIs" dxfId="14885" priority="135700" stopIfTrue="1" operator="lessThan">
      <formula>0.5</formula>
    </cfRule>
  </conditionalFormatting>
  <conditionalFormatting sqref="Z65">
    <cfRule type="cellIs" dxfId="14884" priority="135701" stopIfTrue="1" operator="greaterThanOrEqual">
      <formula>0.5</formula>
    </cfRule>
  </conditionalFormatting>
  <conditionalFormatting sqref="Z66">
    <cfRule type="cellIs" dxfId="14883" priority="135702" stopIfTrue="1" operator="equal">
      <formula>-1</formula>
    </cfRule>
  </conditionalFormatting>
  <conditionalFormatting sqref="Z66">
    <cfRule type="cellIs" dxfId="14882" priority="135703" stopIfTrue="1" operator="lessThan">
      <formula>0.5</formula>
    </cfRule>
  </conditionalFormatting>
  <conditionalFormatting sqref="Z66">
    <cfRule type="cellIs" dxfId="14881" priority="135704" stopIfTrue="1" operator="greaterThanOrEqual">
      <formula>0.5</formula>
    </cfRule>
  </conditionalFormatting>
  <conditionalFormatting sqref="Z67">
    <cfRule type="cellIs" dxfId="14880" priority="135705" stopIfTrue="1" operator="equal">
      <formula>-1</formula>
    </cfRule>
  </conditionalFormatting>
  <conditionalFormatting sqref="Z67">
    <cfRule type="cellIs" dxfId="14879" priority="135706" stopIfTrue="1" operator="lessThan">
      <formula>0.5</formula>
    </cfRule>
  </conditionalFormatting>
  <conditionalFormatting sqref="Z67">
    <cfRule type="cellIs" dxfId="14878" priority="135707" stopIfTrue="1" operator="greaterThanOrEqual">
      <formula>0.5</formula>
    </cfRule>
  </conditionalFormatting>
  <conditionalFormatting sqref="Z68">
    <cfRule type="cellIs" dxfId="14877" priority="135708" stopIfTrue="1" operator="equal">
      <formula>-1</formula>
    </cfRule>
  </conditionalFormatting>
  <conditionalFormatting sqref="Z68">
    <cfRule type="cellIs" dxfId="14876" priority="135709" stopIfTrue="1" operator="lessThan">
      <formula>0.5</formula>
    </cfRule>
  </conditionalFormatting>
  <conditionalFormatting sqref="Z68">
    <cfRule type="cellIs" dxfId="14875" priority="135710" stopIfTrue="1" operator="greaterThanOrEqual">
      <formula>0.5</formula>
    </cfRule>
  </conditionalFormatting>
  <conditionalFormatting sqref="Z69">
    <cfRule type="cellIs" dxfId="14874" priority="135711" stopIfTrue="1" operator="equal">
      <formula>-1</formula>
    </cfRule>
  </conditionalFormatting>
  <conditionalFormatting sqref="Z69">
    <cfRule type="cellIs" dxfId="14873" priority="135712" stopIfTrue="1" operator="lessThan">
      <formula>0.5</formula>
    </cfRule>
  </conditionalFormatting>
  <conditionalFormatting sqref="Z69">
    <cfRule type="cellIs" dxfId="14872" priority="135713" stopIfTrue="1" operator="greaterThanOrEqual">
      <formula>0.5</formula>
    </cfRule>
  </conditionalFormatting>
  <conditionalFormatting sqref="Z70">
    <cfRule type="cellIs" dxfId="14871" priority="135714" stopIfTrue="1" operator="equal">
      <formula>-1</formula>
    </cfRule>
  </conditionalFormatting>
  <conditionalFormatting sqref="Z70">
    <cfRule type="cellIs" dxfId="14870" priority="135715" stopIfTrue="1" operator="lessThan">
      <formula>0.5</formula>
    </cfRule>
  </conditionalFormatting>
  <conditionalFormatting sqref="Z70">
    <cfRule type="cellIs" dxfId="14869" priority="135716" stopIfTrue="1" operator="greaterThanOrEqual">
      <formula>0.5</formula>
    </cfRule>
  </conditionalFormatting>
  <conditionalFormatting sqref="Z71">
    <cfRule type="cellIs" dxfId="14868" priority="135717" stopIfTrue="1" operator="equal">
      <formula>-1</formula>
    </cfRule>
  </conditionalFormatting>
  <conditionalFormatting sqref="Z71">
    <cfRule type="cellIs" dxfId="14867" priority="135718" stopIfTrue="1" operator="lessThan">
      <formula>0.5</formula>
    </cfRule>
  </conditionalFormatting>
  <conditionalFormatting sqref="Z71">
    <cfRule type="cellIs" dxfId="14866" priority="135719" stopIfTrue="1" operator="greaterThanOrEqual">
      <formula>0.5</formula>
    </cfRule>
  </conditionalFormatting>
  <conditionalFormatting sqref="Z72">
    <cfRule type="cellIs" dxfId="14865" priority="135720" stopIfTrue="1" operator="equal">
      <formula>-1</formula>
    </cfRule>
  </conditionalFormatting>
  <conditionalFormatting sqref="Z72">
    <cfRule type="cellIs" dxfId="14864" priority="135721" stopIfTrue="1" operator="lessThan">
      <formula>0.5</formula>
    </cfRule>
  </conditionalFormatting>
  <conditionalFormatting sqref="Z72">
    <cfRule type="cellIs" dxfId="14863" priority="135722" stopIfTrue="1" operator="greaterThanOrEqual">
      <formula>0.5</formula>
    </cfRule>
  </conditionalFormatting>
  <conditionalFormatting sqref="Z73">
    <cfRule type="cellIs" dxfId="14862" priority="135723" stopIfTrue="1" operator="equal">
      <formula>-1</formula>
    </cfRule>
  </conditionalFormatting>
  <conditionalFormatting sqref="Z73">
    <cfRule type="cellIs" dxfId="14861" priority="135724" stopIfTrue="1" operator="lessThan">
      <formula>0.5</formula>
    </cfRule>
  </conditionalFormatting>
  <conditionalFormatting sqref="Z73">
    <cfRule type="cellIs" dxfId="14860" priority="135725" stopIfTrue="1" operator="greaterThanOrEqual">
      <formula>0.5</formula>
    </cfRule>
  </conditionalFormatting>
  <conditionalFormatting sqref="Z74">
    <cfRule type="cellIs" dxfId="14859" priority="135726" stopIfTrue="1" operator="equal">
      <formula>-1</formula>
    </cfRule>
  </conditionalFormatting>
  <conditionalFormatting sqref="Z74">
    <cfRule type="cellIs" dxfId="14858" priority="135727" stopIfTrue="1" operator="lessThan">
      <formula>0.5</formula>
    </cfRule>
  </conditionalFormatting>
  <conditionalFormatting sqref="Z74">
    <cfRule type="cellIs" dxfId="14857" priority="135728" stopIfTrue="1" operator="greaterThanOrEqual">
      <formula>0.5</formula>
    </cfRule>
  </conditionalFormatting>
  <conditionalFormatting sqref="Z75">
    <cfRule type="cellIs" dxfId="14856" priority="135729" stopIfTrue="1" operator="equal">
      <formula>-1</formula>
    </cfRule>
  </conditionalFormatting>
  <conditionalFormatting sqref="Z75">
    <cfRule type="cellIs" dxfId="14855" priority="135730" stopIfTrue="1" operator="lessThan">
      <formula>0.5</formula>
    </cfRule>
  </conditionalFormatting>
  <conditionalFormatting sqref="Z75">
    <cfRule type="cellIs" dxfId="14854" priority="135731" stopIfTrue="1" operator="greaterThanOrEqual">
      <formula>0.5</formula>
    </cfRule>
  </conditionalFormatting>
  <conditionalFormatting sqref="Z76">
    <cfRule type="cellIs" dxfId="14853" priority="135732" stopIfTrue="1" operator="equal">
      <formula>-1</formula>
    </cfRule>
  </conditionalFormatting>
  <conditionalFormatting sqref="Z76">
    <cfRule type="cellIs" dxfId="14852" priority="135733" stopIfTrue="1" operator="lessThan">
      <formula>0.5</formula>
    </cfRule>
  </conditionalFormatting>
  <conditionalFormatting sqref="Z76">
    <cfRule type="cellIs" dxfId="14851" priority="135734" stopIfTrue="1" operator="greaterThanOrEqual">
      <formula>0.5</formula>
    </cfRule>
  </conditionalFormatting>
  <conditionalFormatting sqref="Z77">
    <cfRule type="cellIs" dxfId="14850" priority="135735" stopIfTrue="1" operator="equal">
      <formula>-1</formula>
    </cfRule>
  </conditionalFormatting>
  <conditionalFormatting sqref="Z77">
    <cfRule type="cellIs" dxfId="14849" priority="135736" stopIfTrue="1" operator="lessThan">
      <formula>0.5</formula>
    </cfRule>
  </conditionalFormatting>
  <conditionalFormatting sqref="Z77">
    <cfRule type="cellIs" dxfId="14848" priority="135737" stopIfTrue="1" operator="greaterThanOrEqual">
      <formula>0.5</formula>
    </cfRule>
  </conditionalFormatting>
  <conditionalFormatting sqref="Z78">
    <cfRule type="cellIs" dxfId="14847" priority="135738" stopIfTrue="1" operator="equal">
      <formula>-1</formula>
    </cfRule>
  </conditionalFormatting>
  <conditionalFormatting sqref="Z78">
    <cfRule type="cellIs" dxfId="14846" priority="135739" stopIfTrue="1" operator="lessThan">
      <formula>0.5</formula>
    </cfRule>
  </conditionalFormatting>
  <conditionalFormatting sqref="Z78">
    <cfRule type="cellIs" dxfId="14845" priority="135740" stopIfTrue="1" operator="greaterThanOrEqual">
      <formula>0.5</formula>
    </cfRule>
  </conditionalFormatting>
  <conditionalFormatting sqref="Z79">
    <cfRule type="cellIs" dxfId="14844" priority="135741" stopIfTrue="1" operator="equal">
      <formula>-1</formula>
    </cfRule>
  </conditionalFormatting>
  <conditionalFormatting sqref="Z79">
    <cfRule type="cellIs" dxfId="14843" priority="135742" stopIfTrue="1" operator="lessThan">
      <formula>0.5</formula>
    </cfRule>
  </conditionalFormatting>
  <conditionalFormatting sqref="Z79">
    <cfRule type="cellIs" dxfId="14842" priority="135743" stopIfTrue="1" operator="greaterThanOrEqual">
      <formula>0.5</formula>
    </cfRule>
  </conditionalFormatting>
  <conditionalFormatting sqref="Z80">
    <cfRule type="cellIs" dxfId="14841" priority="135744" stopIfTrue="1" operator="equal">
      <formula>-1</formula>
    </cfRule>
  </conditionalFormatting>
  <conditionalFormatting sqref="Z80">
    <cfRule type="cellIs" dxfId="14840" priority="135745" stopIfTrue="1" operator="lessThan">
      <formula>0.5</formula>
    </cfRule>
  </conditionalFormatting>
  <conditionalFormatting sqref="Z80">
    <cfRule type="cellIs" dxfId="14839" priority="135746" stopIfTrue="1" operator="greaterThanOrEqual">
      <formula>0.5</formula>
    </cfRule>
  </conditionalFormatting>
  <conditionalFormatting sqref="Z81">
    <cfRule type="cellIs" dxfId="14838" priority="135747" stopIfTrue="1" operator="equal">
      <formula>-1</formula>
    </cfRule>
  </conditionalFormatting>
  <conditionalFormatting sqref="Z81">
    <cfRule type="cellIs" dxfId="14837" priority="135748" stopIfTrue="1" operator="lessThan">
      <formula>0.5</formula>
    </cfRule>
  </conditionalFormatting>
  <conditionalFormatting sqref="Z81">
    <cfRule type="cellIs" dxfId="14836" priority="135749" stopIfTrue="1" operator="greaterThanOrEqual">
      <formula>0.5</formula>
    </cfRule>
  </conditionalFormatting>
  <conditionalFormatting sqref="Z82">
    <cfRule type="cellIs" dxfId="14835" priority="135750" stopIfTrue="1" operator="equal">
      <formula>-1</formula>
    </cfRule>
  </conditionalFormatting>
  <conditionalFormatting sqref="Z82">
    <cfRule type="cellIs" dxfId="14834" priority="135751" stopIfTrue="1" operator="lessThan">
      <formula>0.5</formula>
    </cfRule>
  </conditionalFormatting>
  <conditionalFormatting sqref="Z82">
    <cfRule type="cellIs" dxfId="14833" priority="135752" stopIfTrue="1" operator="greaterThanOrEqual">
      <formula>0.5</formula>
    </cfRule>
  </conditionalFormatting>
  <conditionalFormatting sqref="Z83">
    <cfRule type="cellIs" dxfId="14832" priority="135753" stopIfTrue="1" operator="equal">
      <formula>-1</formula>
    </cfRule>
  </conditionalFormatting>
  <conditionalFormatting sqref="Z83">
    <cfRule type="cellIs" dxfId="14831" priority="135754" stopIfTrue="1" operator="lessThan">
      <formula>0.5</formula>
    </cfRule>
  </conditionalFormatting>
  <conditionalFormatting sqref="Z83">
    <cfRule type="cellIs" dxfId="14830" priority="135755" stopIfTrue="1" operator="greaterThanOrEqual">
      <formula>0.5</formula>
    </cfRule>
  </conditionalFormatting>
  <conditionalFormatting sqref="Z84">
    <cfRule type="cellIs" dxfId="14829" priority="135756" stopIfTrue="1" operator="equal">
      <formula>-1</formula>
    </cfRule>
  </conditionalFormatting>
  <conditionalFormatting sqref="Z84">
    <cfRule type="cellIs" dxfId="14828" priority="135757" stopIfTrue="1" operator="lessThan">
      <formula>0.5</formula>
    </cfRule>
  </conditionalFormatting>
  <conditionalFormatting sqref="Z84">
    <cfRule type="cellIs" dxfId="14827" priority="135758" stopIfTrue="1" operator="greaterThanOrEqual">
      <formula>0.5</formula>
    </cfRule>
  </conditionalFormatting>
  <conditionalFormatting sqref="Z85">
    <cfRule type="cellIs" dxfId="14826" priority="135759" stopIfTrue="1" operator="equal">
      <formula>-1</formula>
    </cfRule>
  </conditionalFormatting>
  <conditionalFormatting sqref="Z85">
    <cfRule type="cellIs" dxfId="14825" priority="135760" stopIfTrue="1" operator="lessThan">
      <formula>0.5</formula>
    </cfRule>
  </conditionalFormatting>
  <conditionalFormatting sqref="Z85">
    <cfRule type="cellIs" dxfId="14824" priority="135761" stopIfTrue="1" operator="greaterThanOrEqual">
      <formula>0.5</formula>
    </cfRule>
  </conditionalFormatting>
  <conditionalFormatting sqref="AB65">
    <cfRule type="cellIs" dxfId="14823" priority="135762" stopIfTrue="1" operator="equal">
      <formula>-1</formula>
    </cfRule>
  </conditionalFormatting>
  <conditionalFormatting sqref="AB65">
    <cfRule type="cellIs" dxfId="14822" priority="135763" stopIfTrue="1" operator="lessThan">
      <formula>0.5</formula>
    </cfRule>
  </conditionalFormatting>
  <conditionalFormatting sqref="AB65">
    <cfRule type="cellIs" dxfId="14821" priority="135764" stopIfTrue="1" operator="greaterThanOrEqual">
      <formula>0.5</formula>
    </cfRule>
  </conditionalFormatting>
  <conditionalFormatting sqref="AB66">
    <cfRule type="cellIs" dxfId="14820" priority="135765" stopIfTrue="1" operator="equal">
      <formula>-1</formula>
    </cfRule>
  </conditionalFormatting>
  <conditionalFormatting sqref="AB66">
    <cfRule type="cellIs" dxfId="14819" priority="135766" stopIfTrue="1" operator="lessThan">
      <formula>0.5</formula>
    </cfRule>
  </conditionalFormatting>
  <conditionalFormatting sqref="AB66">
    <cfRule type="cellIs" dxfId="14818" priority="135767" stopIfTrue="1" operator="greaterThanOrEqual">
      <formula>0.5</formula>
    </cfRule>
  </conditionalFormatting>
  <conditionalFormatting sqref="AB67">
    <cfRule type="cellIs" dxfId="14817" priority="135768" stopIfTrue="1" operator="equal">
      <formula>-1</formula>
    </cfRule>
  </conditionalFormatting>
  <conditionalFormatting sqref="AB67">
    <cfRule type="cellIs" dxfId="14816" priority="135769" stopIfTrue="1" operator="lessThan">
      <formula>0.5</formula>
    </cfRule>
  </conditionalFormatting>
  <conditionalFormatting sqref="AB67">
    <cfRule type="cellIs" dxfId="14815" priority="135770" stopIfTrue="1" operator="greaterThanOrEqual">
      <formula>0.5</formula>
    </cfRule>
  </conditionalFormatting>
  <conditionalFormatting sqref="AB68">
    <cfRule type="cellIs" dxfId="14814" priority="135771" stopIfTrue="1" operator="equal">
      <formula>-1</formula>
    </cfRule>
  </conditionalFormatting>
  <conditionalFormatting sqref="AB68">
    <cfRule type="cellIs" dxfId="14813" priority="135772" stopIfTrue="1" operator="lessThan">
      <formula>0.5</formula>
    </cfRule>
  </conditionalFormatting>
  <conditionalFormatting sqref="AB68">
    <cfRule type="cellIs" dxfId="14812" priority="135773" stopIfTrue="1" operator="greaterThanOrEqual">
      <formula>0.5</formula>
    </cfRule>
  </conditionalFormatting>
  <conditionalFormatting sqref="AB69">
    <cfRule type="cellIs" dxfId="14811" priority="135774" stopIfTrue="1" operator="equal">
      <formula>-1</formula>
    </cfRule>
  </conditionalFormatting>
  <conditionalFormatting sqref="AB69">
    <cfRule type="cellIs" dxfId="14810" priority="135775" stopIfTrue="1" operator="lessThan">
      <formula>0.5</formula>
    </cfRule>
  </conditionalFormatting>
  <conditionalFormatting sqref="AB69">
    <cfRule type="cellIs" dxfId="14809" priority="135776" stopIfTrue="1" operator="greaterThanOrEqual">
      <formula>0.5</formula>
    </cfRule>
  </conditionalFormatting>
  <conditionalFormatting sqref="AB70">
    <cfRule type="cellIs" dxfId="14808" priority="135777" stopIfTrue="1" operator="equal">
      <formula>-1</formula>
    </cfRule>
  </conditionalFormatting>
  <conditionalFormatting sqref="AB70">
    <cfRule type="cellIs" dxfId="14807" priority="135778" stopIfTrue="1" operator="lessThan">
      <formula>0.5</formula>
    </cfRule>
  </conditionalFormatting>
  <conditionalFormatting sqref="AB70">
    <cfRule type="cellIs" dxfId="14806" priority="135779" stopIfTrue="1" operator="greaterThanOrEqual">
      <formula>0.5</formula>
    </cfRule>
  </conditionalFormatting>
  <conditionalFormatting sqref="AB71">
    <cfRule type="cellIs" dxfId="14805" priority="135780" stopIfTrue="1" operator="equal">
      <formula>-1</formula>
    </cfRule>
  </conditionalFormatting>
  <conditionalFormatting sqref="AB71">
    <cfRule type="cellIs" dxfId="14804" priority="135781" stopIfTrue="1" operator="lessThan">
      <formula>0.5</formula>
    </cfRule>
  </conditionalFormatting>
  <conditionalFormatting sqref="AB71">
    <cfRule type="cellIs" dxfId="14803" priority="135782" stopIfTrue="1" operator="greaterThanOrEqual">
      <formula>0.5</formula>
    </cfRule>
  </conditionalFormatting>
  <conditionalFormatting sqref="AB72">
    <cfRule type="cellIs" dxfId="14802" priority="135783" stopIfTrue="1" operator="equal">
      <formula>-1</formula>
    </cfRule>
  </conditionalFormatting>
  <conditionalFormatting sqref="AB72">
    <cfRule type="cellIs" dxfId="14801" priority="135784" stopIfTrue="1" operator="lessThan">
      <formula>0.5</formula>
    </cfRule>
  </conditionalFormatting>
  <conditionalFormatting sqref="AB72">
    <cfRule type="cellIs" dxfId="14800" priority="135785" stopIfTrue="1" operator="greaterThanOrEqual">
      <formula>0.5</formula>
    </cfRule>
  </conditionalFormatting>
  <conditionalFormatting sqref="AB73">
    <cfRule type="cellIs" dxfId="14799" priority="135786" stopIfTrue="1" operator="equal">
      <formula>-1</formula>
    </cfRule>
  </conditionalFormatting>
  <conditionalFormatting sqref="AB73">
    <cfRule type="cellIs" dxfId="14798" priority="135787" stopIfTrue="1" operator="lessThan">
      <formula>0.5</formula>
    </cfRule>
  </conditionalFormatting>
  <conditionalFormatting sqref="AB73">
    <cfRule type="cellIs" dxfId="14797" priority="135788" stopIfTrue="1" operator="greaterThanOrEqual">
      <formula>0.5</formula>
    </cfRule>
  </conditionalFormatting>
  <conditionalFormatting sqref="AB74">
    <cfRule type="cellIs" dxfId="14796" priority="135789" stopIfTrue="1" operator="equal">
      <formula>-1</formula>
    </cfRule>
  </conditionalFormatting>
  <conditionalFormatting sqref="AB74">
    <cfRule type="cellIs" dxfId="14795" priority="135790" stopIfTrue="1" operator="lessThan">
      <formula>0.5</formula>
    </cfRule>
  </conditionalFormatting>
  <conditionalFormatting sqref="AB74">
    <cfRule type="cellIs" dxfId="14794" priority="135791" stopIfTrue="1" operator="greaterThanOrEqual">
      <formula>0.5</formula>
    </cfRule>
  </conditionalFormatting>
  <conditionalFormatting sqref="AB75">
    <cfRule type="cellIs" dxfId="14793" priority="135792" stopIfTrue="1" operator="equal">
      <formula>-1</formula>
    </cfRule>
  </conditionalFormatting>
  <conditionalFormatting sqref="AB75">
    <cfRule type="cellIs" dxfId="14792" priority="135793" stopIfTrue="1" operator="lessThan">
      <formula>0.5</formula>
    </cfRule>
  </conditionalFormatting>
  <conditionalFormatting sqref="AB75">
    <cfRule type="cellIs" dxfId="14791" priority="135794" stopIfTrue="1" operator="greaterThanOrEqual">
      <formula>0.5</formula>
    </cfRule>
  </conditionalFormatting>
  <conditionalFormatting sqref="AB76">
    <cfRule type="cellIs" dxfId="14790" priority="135795" stopIfTrue="1" operator="equal">
      <formula>-1</formula>
    </cfRule>
  </conditionalFormatting>
  <conditionalFormatting sqref="AB76">
    <cfRule type="cellIs" dxfId="14789" priority="135796" stopIfTrue="1" operator="lessThan">
      <formula>0.5</formula>
    </cfRule>
  </conditionalFormatting>
  <conditionalFormatting sqref="AB76">
    <cfRule type="cellIs" dxfId="14788" priority="135797" stopIfTrue="1" operator="greaterThanOrEqual">
      <formula>0.5</formula>
    </cfRule>
  </conditionalFormatting>
  <conditionalFormatting sqref="AB77">
    <cfRule type="cellIs" dxfId="14787" priority="135798" stopIfTrue="1" operator="equal">
      <formula>-1</formula>
    </cfRule>
  </conditionalFormatting>
  <conditionalFormatting sqref="AB77">
    <cfRule type="cellIs" dxfId="14786" priority="135799" stopIfTrue="1" operator="lessThan">
      <formula>0.5</formula>
    </cfRule>
  </conditionalFormatting>
  <conditionalFormatting sqref="AB77">
    <cfRule type="cellIs" dxfId="14785" priority="135800" stopIfTrue="1" operator="greaterThanOrEqual">
      <formula>0.5</formula>
    </cfRule>
  </conditionalFormatting>
  <conditionalFormatting sqref="AB78">
    <cfRule type="cellIs" dxfId="14784" priority="135801" stopIfTrue="1" operator="equal">
      <formula>-1</formula>
    </cfRule>
  </conditionalFormatting>
  <conditionalFormatting sqref="AB78">
    <cfRule type="cellIs" dxfId="14783" priority="135802" stopIfTrue="1" operator="lessThan">
      <formula>0.5</formula>
    </cfRule>
  </conditionalFormatting>
  <conditionalFormatting sqref="AB78">
    <cfRule type="cellIs" dxfId="14782" priority="135803" stopIfTrue="1" operator="greaterThanOrEqual">
      <formula>0.5</formula>
    </cfRule>
  </conditionalFormatting>
  <conditionalFormatting sqref="AB79">
    <cfRule type="cellIs" dxfId="14781" priority="135804" stopIfTrue="1" operator="equal">
      <formula>-1</formula>
    </cfRule>
  </conditionalFormatting>
  <conditionalFormatting sqref="AB79">
    <cfRule type="cellIs" dxfId="14780" priority="135805" stopIfTrue="1" operator="lessThan">
      <formula>0.5</formula>
    </cfRule>
  </conditionalFormatting>
  <conditionalFormatting sqref="AB79">
    <cfRule type="cellIs" dxfId="14779" priority="135806" stopIfTrue="1" operator="greaterThanOrEqual">
      <formula>0.5</formula>
    </cfRule>
  </conditionalFormatting>
  <conditionalFormatting sqref="AB80">
    <cfRule type="cellIs" dxfId="14778" priority="135807" stopIfTrue="1" operator="equal">
      <formula>-1</formula>
    </cfRule>
  </conditionalFormatting>
  <conditionalFormatting sqref="AB80">
    <cfRule type="cellIs" dxfId="14777" priority="135808" stopIfTrue="1" operator="lessThan">
      <formula>0.5</formula>
    </cfRule>
  </conditionalFormatting>
  <conditionalFormatting sqref="AB80">
    <cfRule type="cellIs" dxfId="14776" priority="135809" stopIfTrue="1" operator="greaterThanOrEqual">
      <formula>0.5</formula>
    </cfRule>
  </conditionalFormatting>
  <conditionalFormatting sqref="AB81">
    <cfRule type="cellIs" dxfId="14775" priority="135810" stopIfTrue="1" operator="equal">
      <formula>-1</formula>
    </cfRule>
  </conditionalFormatting>
  <conditionalFormatting sqref="AB81">
    <cfRule type="cellIs" dxfId="14774" priority="135811" stopIfTrue="1" operator="lessThan">
      <formula>0.5</formula>
    </cfRule>
  </conditionalFormatting>
  <conditionalFormatting sqref="AB81">
    <cfRule type="cellIs" dxfId="14773" priority="135812" stopIfTrue="1" operator="greaterThanOrEqual">
      <formula>0.5</formula>
    </cfRule>
  </conditionalFormatting>
  <conditionalFormatting sqref="AB82">
    <cfRule type="cellIs" dxfId="14772" priority="135813" stopIfTrue="1" operator="equal">
      <formula>-1</formula>
    </cfRule>
  </conditionalFormatting>
  <conditionalFormatting sqref="AB82">
    <cfRule type="cellIs" dxfId="14771" priority="135814" stopIfTrue="1" operator="lessThan">
      <formula>0.5</formula>
    </cfRule>
  </conditionalFormatting>
  <conditionalFormatting sqref="AB82">
    <cfRule type="cellIs" dxfId="14770" priority="135815" stopIfTrue="1" operator="greaterThanOrEqual">
      <formula>0.5</formula>
    </cfRule>
  </conditionalFormatting>
  <conditionalFormatting sqref="AB83">
    <cfRule type="cellIs" dxfId="14769" priority="135816" stopIfTrue="1" operator="equal">
      <formula>-1</formula>
    </cfRule>
  </conditionalFormatting>
  <conditionalFormatting sqref="AB83">
    <cfRule type="cellIs" dxfId="14768" priority="135817" stopIfTrue="1" operator="lessThan">
      <formula>0.5</formula>
    </cfRule>
  </conditionalFormatting>
  <conditionalFormatting sqref="AB83">
    <cfRule type="cellIs" dxfId="14767" priority="135818" stopIfTrue="1" operator="greaterThanOrEqual">
      <formula>0.5</formula>
    </cfRule>
  </conditionalFormatting>
  <conditionalFormatting sqref="AB84">
    <cfRule type="cellIs" dxfId="14766" priority="135819" stopIfTrue="1" operator="equal">
      <formula>-1</formula>
    </cfRule>
  </conditionalFormatting>
  <conditionalFormatting sqref="AB84">
    <cfRule type="cellIs" dxfId="14765" priority="135820" stopIfTrue="1" operator="lessThan">
      <formula>0.5</formula>
    </cfRule>
  </conditionalFormatting>
  <conditionalFormatting sqref="AB84">
    <cfRule type="cellIs" dxfId="14764" priority="135821" stopIfTrue="1" operator="greaterThanOrEqual">
      <formula>0.5</formula>
    </cfRule>
  </conditionalFormatting>
  <conditionalFormatting sqref="AB85">
    <cfRule type="cellIs" dxfId="14763" priority="135822" stopIfTrue="1" operator="equal">
      <formula>-1</formula>
    </cfRule>
  </conditionalFormatting>
  <conditionalFormatting sqref="AB85">
    <cfRule type="cellIs" dxfId="14762" priority="135823" stopIfTrue="1" operator="lessThan">
      <formula>0.5</formula>
    </cfRule>
  </conditionalFormatting>
  <conditionalFormatting sqref="AB85">
    <cfRule type="cellIs" dxfId="14761" priority="135824" stopIfTrue="1" operator="greaterThanOrEqual">
      <formula>0.5</formula>
    </cfRule>
  </conditionalFormatting>
  <conditionalFormatting sqref="AD65">
    <cfRule type="cellIs" dxfId="14760" priority="135825" stopIfTrue="1" operator="equal">
      <formula>-1</formula>
    </cfRule>
  </conditionalFormatting>
  <conditionalFormatting sqref="AD65">
    <cfRule type="cellIs" dxfId="14759" priority="135826" stopIfTrue="1" operator="lessThan">
      <formula>0.5</formula>
    </cfRule>
  </conditionalFormatting>
  <conditionalFormatting sqref="AD65">
    <cfRule type="cellIs" dxfId="14758" priority="135827" stopIfTrue="1" operator="greaterThanOrEqual">
      <formula>0.5</formula>
    </cfRule>
  </conditionalFormatting>
  <conditionalFormatting sqref="AD66">
    <cfRule type="cellIs" dxfId="14757" priority="135828" stopIfTrue="1" operator="equal">
      <formula>-1</formula>
    </cfRule>
  </conditionalFormatting>
  <conditionalFormatting sqref="AD66">
    <cfRule type="cellIs" dxfId="14756" priority="135829" stopIfTrue="1" operator="lessThan">
      <formula>0.5</formula>
    </cfRule>
  </conditionalFormatting>
  <conditionalFormatting sqref="AD66">
    <cfRule type="cellIs" dxfId="14755" priority="135830" stopIfTrue="1" operator="greaterThanOrEqual">
      <formula>0.5</formula>
    </cfRule>
  </conditionalFormatting>
  <conditionalFormatting sqref="AD67">
    <cfRule type="cellIs" dxfId="14754" priority="135831" stopIfTrue="1" operator="equal">
      <formula>-1</formula>
    </cfRule>
  </conditionalFormatting>
  <conditionalFormatting sqref="AD67">
    <cfRule type="cellIs" dxfId="14753" priority="135832" stopIfTrue="1" operator="lessThan">
      <formula>0.5</formula>
    </cfRule>
  </conditionalFormatting>
  <conditionalFormatting sqref="AD67">
    <cfRule type="cellIs" dxfId="14752" priority="135833" stopIfTrue="1" operator="greaterThanOrEqual">
      <formula>0.5</formula>
    </cfRule>
  </conditionalFormatting>
  <conditionalFormatting sqref="AD68">
    <cfRule type="cellIs" dxfId="14751" priority="135834" stopIfTrue="1" operator="equal">
      <formula>-1</formula>
    </cfRule>
  </conditionalFormatting>
  <conditionalFormatting sqref="AD68">
    <cfRule type="cellIs" dxfId="14750" priority="135835" stopIfTrue="1" operator="lessThan">
      <formula>0.5</formula>
    </cfRule>
  </conditionalFormatting>
  <conditionalFormatting sqref="AD68">
    <cfRule type="cellIs" dxfId="14749" priority="135836" stopIfTrue="1" operator="greaterThanOrEqual">
      <formula>0.5</formula>
    </cfRule>
  </conditionalFormatting>
  <conditionalFormatting sqref="AD69">
    <cfRule type="cellIs" dxfId="14748" priority="135837" stopIfTrue="1" operator="equal">
      <formula>-1</formula>
    </cfRule>
  </conditionalFormatting>
  <conditionalFormatting sqref="AD69">
    <cfRule type="cellIs" dxfId="14747" priority="135838" stopIfTrue="1" operator="lessThan">
      <formula>0.5</formula>
    </cfRule>
  </conditionalFormatting>
  <conditionalFormatting sqref="AD69">
    <cfRule type="cellIs" dxfId="14746" priority="135839" stopIfTrue="1" operator="greaterThanOrEqual">
      <formula>0.5</formula>
    </cfRule>
  </conditionalFormatting>
  <conditionalFormatting sqref="AD70">
    <cfRule type="cellIs" dxfId="14745" priority="135840" stopIfTrue="1" operator="equal">
      <formula>-1</formula>
    </cfRule>
  </conditionalFormatting>
  <conditionalFormatting sqref="AD70">
    <cfRule type="cellIs" dxfId="14744" priority="135841" stopIfTrue="1" operator="lessThan">
      <formula>0.5</formula>
    </cfRule>
  </conditionalFormatting>
  <conditionalFormatting sqref="AD70">
    <cfRule type="cellIs" dxfId="14743" priority="135842" stopIfTrue="1" operator="greaterThanOrEqual">
      <formula>0.5</formula>
    </cfRule>
  </conditionalFormatting>
  <conditionalFormatting sqref="AD71">
    <cfRule type="cellIs" dxfId="14742" priority="135843" stopIfTrue="1" operator="equal">
      <formula>-1</formula>
    </cfRule>
  </conditionalFormatting>
  <conditionalFormatting sqref="AD71">
    <cfRule type="cellIs" dxfId="14741" priority="135844" stopIfTrue="1" operator="lessThan">
      <formula>0.5</formula>
    </cfRule>
  </conditionalFormatting>
  <conditionalFormatting sqref="AD71">
    <cfRule type="cellIs" dxfId="14740" priority="135845" stopIfTrue="1" operator="greaterThanOrEqual">
      <formula>0.5</formula>
    </cfRule>
  </conditionalFormatting>
  <conditionalFormatting sqref="AD72">
    <cfRule type="cellIs" dxfId="14739" priority="135846" stopIfTrue="1" operator="equal">
      <formula>-1</formula>
    </cfRule>
  </conditionalFormatting>
  <conditionalFormatting sqref="AD72">
    <cfRule type="cellIs" dxfId="14738" priority="135847" stopIfTrue="1" operator="lessThan">
      <formula>0.5</formula>
    </cfRule>
  </conditionalFormatting>
  <conditionalFormatting sqref="AD72">
    <cfRule type="cellIs" dxfId="14737" priority="135848" stopIfTrue="1" operator="greaterThanOrEqual">
      <formula>0.5</formula>
    </cfRule>
  </conditionalFormatting>
  <conditionalFormatting sqref="AD73">
    <cfRule type="cellIs" dxfId="14736" priority="135849" stopIfTrue="1" operator="equal">
      <formula>-1</formula>
    </cfRule>
  </conditionalFormatting>
  <conditionalFormatting sqref="AD73">
    <cfRule type="cellIs" dxfId="14735" priority="135850" stopIfTrue="1" operator="lessThan">
      <formula>0.5</formula>
    </cfRule>
  </conditionalFormatting>
  <conditionalFormatting sqref="AD73">
    <cfRule type="cellIs" dxfId="14734" priority="135851" stopIfTrue="1" operator="greaterThanOrEqual">
      <formula>0.5</formula>
    </cfRule>
  </conditionalFormatting>
  <conditionalFormatting sqref="AD74">
    <cfRule type="cellIs" dxfId="14733" priority="135852" stopIfTrue="1" operator="equal">
      <formula>-1</formula>
    </cfRule>
  </conditionalFormatting>
  <conditionalFormatting sqref="AD74">
    <cfRule type="cellIs" dxfId="14732" priority="135853" stopIfTrue="1" operator="lessThan">
      <formula>0.5</formula>
    </cfRule>
  </conditionalFormatting>
  <conditionalFormatting sqref="AD74">
    <cfRule type="cellIs" dxfId="14731" priority="135854" stopIfTrue="1" operator="greaterThanOrEqual">
      <formula>0.5</formula>
    </cfRule>
  </conditionalFormatting>
  <conditionalFormatting sqref="AD75">
    <cfRule type="cellIs" dxfId="14730" priority="135855" stopIfTrue="1" operator="equal">
      <formula>-1</formula>
    </cfRule>
  </conditionalFormatting>
  <conditionalFormatting sqref="AD75">
    <cfRule type="cellIs" dxfId="14729" priority="135856" stopIfTrue="1" operator="lessThan">
      <formula>0.5</formula>
    </cfRule>
  </conditionalFormatting>
  <conditionalFormatting sqref="AD75">
    <cfRule type="cellIs" dxfId="14728" priority="135857" stopIfTrue="1" operator="greaterThanOrEqual">
      <formula>0.5</formula>
    </cfRule>
  </conditionalFormatting>
  <conditionalFormatting sqref="AD76">
    <cfRule type="cellIs" dxfId="14727" priority="135858" stopIfTrue="1" operator="equal">
      <formula>-1</formula>
    </cfRule>
  </conditionalFormatting>
  <conditionalFormatting sqref="AD76">
    <cfRule type="cellIs" dxfId="14726" priority="135859" stopIfTrue="1" operator="lessThan">
      <formula>0.5</formula>
    </cfRule>
  </conditionalFormatting>
  <conditionalFormatting sqref="AD76">
    <cfRule type="cellIs" dxfId="14725" priority="135860" stopIfTrue="1" operator="greaterThanOrEqual">
      <formula>0.5</formula>
    </cfRule>
  </conditionalFormatting>
  <conditionalFormatting sqref="AD77">
    <cfRule type="cellIs" dxfId="14724" priority="135861" stopIfTrue="1" operator="equal">
      <formula>-1</formula>
    </cfRule>
  </conditionalFormatting>
  <conditionalFormatting sqref="AD77">
    <cfRule type="cellIs" dxfId="14723" priority="135862" stopIfTrue="1" operator="lessThan">
      <formula>0.5</formula>
    </cfRule>
  </conditionalFormatting>
  <conditionalFormatting sqref="AD77">
    <cfRule type="cellIs" dxfId="14722" priority="135863" stopIfTrue="1" operator="greaterThanOrEqual">
      <formula>0.5</formula>
    </cfRule>
  </conditionalFormatting>
  <conditionalFormatting sqref="AD78">
    <cfRule type="cellIs" dxfId="14721" priority="135864" stopIfTrue="1" operator="equal">
      <formula>-1</formula>
    </cfRule>
  </conditionalFormatting>
  <conditionalFormatting sqref="AD78">
    <cfRule type="cellIs" dxfId="14720" priority="135865" stopIfTrue="1" operator="lessThan">
      <formula>0.5</formula>
    </cfRule>
  </conditionalFormatting>
  <conditionalFormatting sqref="AD78">
    <cfRule type="cellIs" dxfId="14719" priority="135866" stopIfTrue="1" operator="greaterThanOrEqual">
      <formula>0.5</formula>
    </cfRule>
  </conditionalFormatting>
  <conditionalFormatting sqref="AD79">
    <cfRule type="cellIs" dxfId="14718" priority="135867" stopIfTrue="1" operator="equal">
      <formula>-1</formula>
    </cfRule>
  </conditionalFormatting>
  <conditionalFormatting sqref="AD79">
    <cfRule type="cellIs" dxfId="14717" priority="135868" stopIfTrue="1" operator="lessThan">
      <formula>0.5</formula>
    </cfRule>
  </conditionalFormatting>
  <conditionalFormatting sqref="AD79">
    <cfRule type="cellIs" dxfId="14716" priority="135869" stopIfTrue="1" operator="greaterThanOrEqual">
      <formula>0.5</formula>
    </cfRule>
  </conditionalFormatting>
  <conditionalFormatting sqref="AD80">
    <cfRule type="cellIs" dxfId="14715" priority="135870" stopIfTrue="1" operator="equal">
      <formula>-1</formula>
    </cfRule>
  </conditionalFormatting>
  <conditionalFormatting sqref="AD80">
    <cfRule type="cellIs" dxfId="14714" priority="135871" stopIfTrue="1" operator="lessThan">
      <formula>0.5</formula>
    </cfRule>
  </conditionalFormatting>
  <conditionalFormatting sqref="AD80">
    <cfRule type="cellIs" dxfId="14713" priority="135872" stopIfTrue="1" operator="greaterThanOrEqual">
      <formula>0.5</formula>
    </cfRule>
  </conditionalFormatting>
  <conditionalFormatting sqref="AD81">
    <cfRule type="cellIs" dxfId="14712" priority="135873" stopIfTrue="1" operator="equal">
      <formula>-1</formula>
    </cfRule>
  </conditionalFormatting>
  <conditionalFormatting sqref="AD81">
    <cfRule type="cellIs" dxfId="14711" priority="135874" stopIfTrue="1" operator="lessThan">
      <formula>0.5</formula>
    </cfRule>
  </conditionalFormatting>
  <conditionalFormatting sqref="AD81">
    <cfRule type="cellIs" dxfId="14710" priority="135875" stopIfTrue="1" operator="greaterThanOrEqual">
      <formula>0.5</formula>
    </cfRule>
  </conditionalFormatting>
  <conditionalFormatting sqref="AD82">
    <cfRule type="cellIs" dxfId="14709" priority="135876" stopIfTrue="1" operator="equal">
      <formula>-1</formula>
    </cfRule>
  </conditionalFormatting>
  <conditionalFormatting sqref="AD82">
    <cfRule type="cellIs" dxfId="14708" priority="135877" stopIfTrue="1" operator="lessThan">
      <formula>0.5</formula>
    </cfRule>
  </conditionalFormatting>
  <conditionalFormatting sqref="AD82">
    <cfRule type="cellIs" dxfId="14707" priority="135878" stopIfTrue="1" operator="greaterThanOrEqual">
      <formula>0.5</formula>
    </cfRule>
  </conditionalFormatting>
  <conditionalFormatting sqref="AD83">
    <cfRule type="cellIs" dxfId="14706" priority="135879" stopIfTrue="1" operator="equal">
      <formula>-1</formula>
    </cfRule>
  </conditionalFormatting>
  <conditionalFormatting sqref="AD83">
    <cfRule type="cellIs" dxfId="14705" priority="135880" stopIfTrue="1" operator="lessThan">
      <formula>0.5</formula>
    </cfRule>
  </conditionalFormatting>
  <conditionalFormatting sqref="AD83">
    <cfRule type="cellIs" dxfId="14704" priority="135881" stopIfTrue="1" operator="greaterThanOrEqual">
      <formula>0.5</formula>
    </cfRule>
  </conditionalFormatting>
  <conditionalFormatting sqref="AD84">
    <cfRule type="cellIs" dxfId="14703" priority="135882" stopIfTrue="1" operator="equal">
      <formula>-1</formula>
    </cfRule>
  </conditionalFormatting>
  <conditionalFormatting sqref="AD84">
    <cfRule type="cellIs" dxfId="14702" priority="135883" stopIfTrue="1" operator="lessThan">
      <formula>0.5</formula>
    </cfRule>
  </conditionalFormatting>
  <conditionalFormatting sqref="AD84">
    <cfRule type="cellIs" dxfId="14701" priority="135884" stopIfTrue="1" operator="greaterThanOrEqual">
      <formula>0.5</formula>
    </cfRule>
  </conditionalFormatting>
  <conditionalFormatting sqref="AD85">
    <cfRule type="cellIs" dxfId="14700" priority="135885" stopIfTrue="1" operator="equal">
      <formula>-1</formula>
    </cfRule>
  </conditionalFormatting>
  <conditionalFormatting sqref="AD85">
    <cfRule type="cellIs" dxfId="14699" priority="135886" stopIfTrue="1" operator="lessThan">
      <formula>0.5</formula>
    </cfRule>
  </conditionalFormatting>
  <conditionalFormatting sqref="AD85">
    <cfRule type="cellIs" dxfId="14698" priority="135887" stopIfTrue="1" operator="greaterThanOrEqual">
      <formula>0.5</formula>
    </cfRule>
  </conditionalFormatting>
  <conditionalFormatting sqref="AF65">
    <cfRule type="cellIs" dxfId="14697" priority="135888" stopIfTrue="1" operator="equal">
      <formula>-1</formula>
    </cfRule>
  </conditionalFormatting>
  <conditionalFormatting sqref="AF65">
    <cfRule type="cellIs" dxfId="14696" priority="135889" stopIfTrue="1" operator="lessThan">
      <formula>0.5</formula>
    </cfRule>
  </conditionalFormatting>
  <conditionalFormatting sqref="AF65">
    <cfRule type="cellIs" dxfId="14695" priority="135890" stopIfTrue="1" operator="greaterThanOrEqual">
      <formula>0.5</formula>
    </cfRule>
  </conditionalFormatting>
  <conditionalFormatting sqref="AF66">
    <cfRule type="cellIs" dxfId="14694" priority="135891" stopIfTrue="1" operator="equal">
      <formula>-1</formula>
    </cfRule>
  </conditionalFormatting>
  <conditionalFormatting sqref="AF66">
    <cfRule type="cellIs" dxfId="14693" priority="135892" stopIfTrue="1" operator="lessThan">
      <formula>0.5</formula>
    </cfRule>
  </conditionalFormatting>
  <conditionalFormatting sqref="AF66">
    <cfRule type="cellIs" dxfId="14692" priority="135893" stopIfTrue="1" operator="greaterThanOrEqual">
      <formula>0.5</formula>
    </cfRule>
  </conditionalFormatting>
  <conditionalFormatting sqref="AF67">
    <cfRule type="cellIs" dxfId="14691" priority="135894" stopIfTrue="1" operator="equal">
      <formula>-1</formula>
    </cfRule>
  </conditionalFormatting>
  <conditionalFormatting sqref="AF67">
    <cfRule type="cellIs" dxfId="14690" priority="135895" stopIfTrue="1" operator="lessThan">
      <formula>0.5</formula>
    </cfRule>
  </conditionalFormatting>
  <conditionalFormatting sqref="AF67">
    <cfRule type="cellIs" dxfId="14689" priority="135896" stopIfTrue="1" operator="greaterThanOrEqual">
      <formula>0.5</formula>
    </cfRule>
  </conditionalFormatting>
  <conditionalFormatting sqref="AF68">
    <cfRule type="cellIs" dxfId="14688" priority="135897" stopIfTrue="1" operator="equal">
      <formula>-1</formula>
    </cfRule>
  </conditionalFormatting>
  <conditionalFormatting sqref="AF68">
    <cfRule type="cellIs" dxfId="14687" priority="135898" stopIfTrue="1" operator="lessThan">
      <formula>0.5</formula>
    </cfRule>
  </conditionalFormatting>
  <conditionalFormatting sqref="AF68">
    <cfRule type="cellIs" dxfId="14686" priority="135899" stopIfTrue="1" operator="greaterThanOrEqual">
      <formula>0.5</formula>
    </cfRule>
  </conditionalFormatting>
  <conditionalFormatting sqref="AF69">
    <cfRule type="cellIs" dxfId="14685" priority="135900" stopIfTrue="1" operator="equal">
      <formula>-1</formula>
    </cfRule>
  </conditionalFormatting>
  <conditionalFormatting sqref="AF69">
    <cfRule type="cellIs" dxfId="14684" priority="135901" stopIfTrue="1" operator="lessThan">
      <formula>0.5</formula>
    </cfRule>
  </conditionalFormatting>
  <conditionalFormatting sqref="AF69">
    <cfRule type="cellIs" dxfId="14683" priority="135902" stopIfTrue="1" operator="greaterThanOrEqual">
      <formula>0.5</formula>
    </cfRule>
  </conditionalFormatting>
  <conditionalFormatting sqref="AF70">
    <cfRule type="cellIs" dxfId="14682" priority="135903" stopIfTrue="1" operator="equal">
      <formula>-1</formula>
    </cfRule>
  </conditionalFormatting>
  <conditionalFormatting sqref="AF70">
    <cfRule type="cellIs" dxfId="14681" priority="135904" stopIfTrue="1" operator="lessThan">
      <formula>0.5</formula>
    </cfRule>
  </conditionalFormatting>
  <conditionalFormatting sqref="AF70">
    <cfRule type="cellIs" dxfId="14680" priority="135905" stopIfTrue="1" operator="greaterThanOrEqual">
      <formula>0.5</formula>
    </cfRule>
  </conditionalFormatting>
  <conditionalFormatting sqref="AF71">
    <cfRule type="cellIs" dxfId="14679" priority="135906" stopIfTrue="1" operator="equal">
      <formula>-1</formula>
    </cfRule>
  </conditionalFormatting>
  <conditionalFormatting sqref="AF71">
    <cfRule type="cellIs" dxfId="14678" priority="135907" stopIfTrue="1" operator="lessThan">
      <formula>0.5</formula>
    </cfRule>
  </conditionalFormatting>
  <conditionalFormatting sqref="AF71">
    <cfRule type="cellIs" dxfId="14677" priority="135908" stopIfTrue="1" operator="greaterThanOrEqual">
      <formula>0.5</formula>
    </cfRule>
  </conditionalFormatting>
  <conditionalFormatting sqref="AF72">
    <cfRule type="cellIs" dxfId="14676" priority="135909" stopIfTrue="1" operator="equal">
      <formula>-1</formula>
    </cfRule>
  </conditionalFormatting>
  <conditionalFormatting sqref="AF72">
    <cfRule type="cellIs" dxfId="14675" priority="135910" stopIfTrue="1" operator="lessThan">
      <formula>0.5</formula>
    </cfRule>
  </conditionalFormatting>
  <conditionalFormatting sqref="AF72">
    <cfRule type="cellIs" dxfId="14674" priority="135911" stopIfTrue="1" operator="greaterThanOrEqual">
      <formula>0.5</formula>
    </cfRule>
  </conditionalFormatting>
  <conditionalFormatting sqref="AF73">
    <cfRule type="cellIs" dxfId="14673" priority="135912" stopIfTrue="1" operator="equal">
      <formula>-1</formula>
    </cfRule>
  </conditionalFormatting>
  <conditionalFormatting sqref="AF73">
    <cfRule type="cellIs" dxfId="14672" priority="135913" stopIfTrue="1" operator="lessThan">
      <formula>0.5</formula>
    </cfRule>
  </conditionalFormatting>
  <conditionalFormatting sqref="AF73">
    <cfRule type="cellIs" dxfId="14671" priority="135914" stopIfTrue="1" operator="greaterThanOrEqual">
      <formula>0.5</formula>
    </cfRule>
  </conditionalFormatting>
  <conditionalFormatting sqref="AF74">
    <cfRule type="cellIs" dxfId="14670" priority="135915" stopIfTrue="1" operator="equal">
      <formula>-1</formula>
    </cfRule>
  </conditionalFormatting>
  <conditionalFormatting sqref="AF74">
    <cfRule type="cellIs" dxfId="14669" priority="135916" stopIfTrue="1" operator="lessThan">
      <formula>0.5</formula>
    </cfRule>
  </conditionalFormatting>
  <conditionalFormatting sqref="AF74">
    <cfRule type="cellIs" dxfId="14668" priority="135917" stopIfTrue="1" operator="greaterThanOrEqual">
      <formula>0.5</formula>
    </cfRule>
  </conditionalFormatting>
  <conditionalFormatting sqref="AF75">
    <cfRule type="cellIs" dxfId="14667" priority="135918" stopIfTrue="1" operator="equal">
      <formula>-1</formula>
    </cfRule>
  </conditionalFormatting>
  <conditionalFormatting sqref="AF75">
    <cfRule type="cellIs" dxfId="14666" priority="135919" stopIfTrue="1" operator="lessThan">
      <formula>0.5</formula>
    </cfRule>
  </conditionalFormatting>
  <conditionalFormatting sqref="AF75">
    <cfRule type="cellIs" dxfId="14665" priority="135920" stopIfTrue="1" operator="greaterThanOrEqual">
      <formula>0.5</formula>
    </cfRule>
  </conditionalFormatting>
  <conditionalFormatting sqref="AF76">
    <cfRule type="cellIs" dxfId="14664" priority="135921" stopIfTrue="1" operator="equal">
      <formula>-1</formula>
    </cfRule>
  </conditionalFormatting>
  <conditionalFormatting sqref="AF76">
    <cfRule type="cellIs" dxfId="14663" priority="135922" stopIfTrue="1" operator="lessThan">
      <formula>0.5</formula>
    </cfRule>
  </conditionalFormatting>
  <conditionalFormatting sqref="AF76">
    <cfRule type="cellIs" dxfId="14662" priority="135923" stopIfTrue="1" operator="greaterThanOrEqual">
      <formula>0.5</formula>
    </cfRule>
  </conditionalFormatting>
  <conditionalFormatting sqref="AF77">
    <cfRule type="cellIs" dxfId="14661" priority="135924" stopIfTrue="1" operator="equal">
      <formula>-1</formula>
    </cfRule>
  </conditionalFormatting>
  <conditionalFormatting sqref="AF77">
    <cfRule type="cellIs" dxfId="14660" priority="135925" stopIfTrue="1" operator="lessThan">
      <formula>0.5</formula>
    </cfRule>
  </conditionalFormatting>
  <conditionalFormatting sqref="AF77">
    <cfRule type="cellIs" dxfId="14659" priority="135926" stopIfTrue="1" operator="greaterThanOrEqual">
      <formula>0.5</formula>
    </cfRule>
  </conditionalFormatting>
  <conditionalFormatting sqref="AF78">
    <cfRule type="cellIs" dxfId="14658" priority="135927" stopIfTrue="1" operator="equal">
      <formula>-1</formula>
    </cfRule>
  </conditionalFormatting>
  <conditionalFormatting sqref="AF78">
    <cfRule type="cellIs" dxfId="14657" priority="135928" stopIfTrue="1" operator="lessThan">
      <formula>0.5</formula>
    </cfRule>
  </conditionalFormatting>
  <conditionalFormatting sqref="AF78">
    <cfRule type="cellIs" dxfId="14656" priority="135929" stopIfTrue="1" operator="greaterThanOrEqual">
      <formula>0.5</formula>
    </cfRule>
  </conditionalFormatting>
  <conditionalFormatting sqref="AF79">
    <cfRule type="cellIs" dxfId="14655" priority="135930" stopIfTrue="1" operator="equal">
      <formula>-1</formula>
    </cfRule>
  </conditionalFormatting>
  <conditionalFormatting sqref="AF79">
    <cfRule type="cellIs" dxfId="14654" priority="135931" stopIfTrue="1" operator="lessThan">
      <formula>0.5</formula>
    </cfRule>
  </conditionalFormatting>
  <conditionalFormatting sqref="AF79">
    <cfRule type="cellIs" dxfId="14653" priority="135932" stopIfTrue="1" operator="greaterThanOrEqual">
      <formula>0.5</formula>
    </cfRule>
  </conditionalFormatting>
  <conditionalFormatting sqref="AF80">
    <cfRule type="cellIs" dxfId="14652" priority="135933" stopIfTrue="1" operator="equal">
      <formula>-1</formula>
    </cfRule>
  </conditionalFormatting>
  <conditionalFormatting sqref="AF80">
    <cfRule type="cellIs" dxfId="14651" priority="135934" stopIfTrue="1" operator="lessThan">
      <formula>0.5</formula>
    </cfRule>
  </conditionalFormatting>
  <conditionalFormatting sqref="AF80">
    <cfRule type="cellIs" dxfId="14650" priority="135935" stopIfTrue="1" operator="greaterThanOrEqual">
      <formula>0.5</formula>
    </cfRule>
  </conditionalFormatting>
  <conditionalFormatting sqref="AF81">
    <cfRule type="cellIs" dxfId="14649" priority="135936" stopIfTrue="1" operator="equal">
      <formula>-1</formula>
    </cfRule>
  </conditionalFormatting>
  <conditionalFormatting sqref="AF81">
    <cfRule type="cellIs" dxfId="14648" priority="135937" stopIfTrue="1" operator="lessThan">
      <formula>0.5</formula>
    </cfRule>
  </conditionalFormatting>
  <conditionalFormatting sqref="AF81">
    <cfRule type="cellIs" dxfId="14647" priority="135938" stopIfTrue="1" operator="greaterThanOrEqual">
      <formula>0.5</formula>
    </cfRule>
  </conditionalFormatting>
  <conditionalFormatting sqref="AF82">
    <cfRule type="cellIs" dxfId="14646" priority="135939" stopIfTrue="1" operator="equal">
      <formula>-1</formula>
    </cfRule>
  </conditionalFormatting>
  <conditionalFormatting sqref="AF82">
    <cfRule type="cellIs" dxfId="14645" priority="135940" stopIfTrue="1" operator="lessThan">
      <formula>0.5</formula>
    </cfRule>
  </conditionalFormatting>
  <conditionalFormatting sqref="AF82">
    <cfRule type="cellIs" dxfId="14644" priority="135941" stopIfTrue="1" operator="greaterThanOrEqual">
      <formula>0.5</formula>
    </cfRule>
  </conditionalFormatting>
  <conditionalFormatting sqref="AF83">
    <cfRule type="cellIs" dxfId="14643" priority="135942" stopIfTrue="1" operator="equal">
      <formula>-1</formula>
    </cfRule>
  </conditionalFormatting>
  <conditionalFormatting sqref="AF83">
    <cfRule type="cellIs" dxfId="14642" priority="135943" stopIfTrue="1" operator="lessThan">
      <formula>0.5</formula>
    </cfRule>
  </conditionalFormatting>
  <conditionalFormatting sqref="AF83">
    <cfRule type="cellIs" dxfId="14641" priority="135944" stopIfTrue="1" operator="greaterThanOrEqual">
      <formula>0.5</formula>
    </cfRule>
  </conditionalFormatting>
  <conditionalFormatting sqref="AF84">
    <cfRule type="cellIs" dxfId="14640" priority="135945" stopIfTrue="1" operator="equal">
      <formula>-1</formula>
    </cfRule>
  </conditionalFormatting>
  <conditionalFormatting sqref="AF84">
    <cfRule type="cellIs" dxfId="14639" priority="135946" stopIfTrue="1" operator="lessThan">
      <formula>0.5</formula>
    </cfRule>
  </conditionalFormatting>
  <conditionalFormatting sqref="AF84">
    <cfRule type="cellIs" dxfId="14638" priority="135947" stopIfTrue="1" operator="greaterThanOrEqual">
      <formula>0.5</formula>
    </cfRule>
  </conditionalFormatting>
  <conditionalFormatting sqref="AF85">
    <cfRule type="cellIs" dxfId="14637" priority="135948" stopIfTrue="1" operator="equal">
      <formula>-1</formula>
    </cfRule>
  </conditionalFormatting>
  <conditionalFormatting sqref="AF85">
    <cfRule type="cellIs" dxfId="14636" priority="135949" stopIfTrue="1" operator="lessThan">
      <formula>0.5</formula>
    </cfRule>
  </conditionalFormatting>
  <conditionalFormatting sqref="AF85">
    <cfRule type="cellIs" dxfId="14635" priority="135950" stopIfTrue="1" operator="greaterThanOrEqual">
      <formula>0.5</formula>
    </cfRule>
  </conditionalFormatting>
  <conditionalFormatting sqref="AH65">
    <cfRule type="cellIs" dxfId="14634" priority="135951" stopIfTrue="1" operator="equal">
      <formula>-1</formula>
    </cfRule>
  </conditionalFormatting>
  <conditionalFormatting sqref="AH65">
    <cfRule type="cellIs" dxfId="14633" priority="135952" stopIfTrue="1" operator="lessThan">
      <formula>0.5</formula>
    </cfRule>
  </conditionalFormatting>
  <conditionalFormatting sqref="AH65">
    <cfRule type="cellIs" dxfId="14632" priority="135953" stopIfTrue="1" operator="greaterThanOrEqual">
      <formula>0.5</formula>
    </cfRule>
  </conditionalFormatting>
  <conditionalFormatting sqref="AH66">
    <cfRule type="cellIs" dxfId="14631" priority="135954" stopIfTrue="1" operator="equal">
      <formula>-1</formula>
    </cfRule>
  </conditionalFormatting>
  <conditionalFormatting sqref="AH66">
    <cfRule type="cellIs" dxfId="14630" priority="135955" stopIfTrue="1" operator="lessThan">
      <formula>0.5</formula>
    </cfRule>
  </conditionalFormatting>
  <conditionalFormatting sqref="AH66">
    <cfRule type="cellIs" dxfId="14629" priority="135956" stopIfTrue="1" operator="greaterThanOrEqual">
      <formula>0.5</formula>
    </cfRule>
  </conditionalFormatting>
  <conditionalFormatting sqref="AH67">
    <cfRule type="cellIs" dxfId="14628" priority="135957" stopIfTrue="1" operator="equal">
      <formula>-1</formula>
    </cfRule>
  </conditionalFormatting>
  <conditionalFormatting sqref="AH67">
    <cfRule type="cellIs" dxfId="14627" priority="135958" stopIfTrue="1" operator="lessThan">
      <formula>0.5</formula>
    </cfRule>
  </conditionalFormatting>
  <conditionalFormatting sqref="AH67">
    <cfRule type="cellIs" dxfId="14626" priority="135959" stopIfTrue="1" operator="greaterThanOrEqual">
      <formula>0.5</formula>
    </cfRule>
  </conditionalFormatting>
  <conditionalFormatting sqref="AH68">
    <cfRule type="cellIs" dxfId="14625" priority="135960" stopIfTrue="1" operator="equal">
      <formula>-1</formula>
    </cfRule>
  </conditionalFormatting>
  <conditionalFormatting sqref="AH68">
    <cfRule type="cellIs" dxfId="14624" priority="135961" stopIfTrue="1" operator="lessThan">
      <formula>0.5</formula>
    </cfRule>
  </conditionalFormatting>
  <conditionalFormatting sqref="AH68">
    <cfRule type="cellIs" dxfId="14623" priority="135962" stopIfTrue="1" operator="greaterThanOrEqual">
      <formula>0.5</formula>
    </cfRule>
  </conditionalFormatting>
  <conditionalFormatting sqref="AH69">
    <cfRule type="cellIs" dxfId="14622" priority="135963" stopIfTrue="1" operator="equal">
      <formula>-1</formula>
    </cfRule>
  </conditionalFormatting>
  <conditionalFormatting sqref="AH69">
    <cfRule type="cellIs" dxfId="14621" priority="135964" stopIfTrue="1" operator="lessThan">
      <formula>0.5</formula>
    </cfRule>
  </conditionalFormatting>
  <conditionalFormatting sqref="AH69">
    <cfRule type="cellIs" dxfId="14620" priority="135965" stopIfTrue="1" operator="greaterThanOrEqual">
      <formula>0.5</formula>
    </cfRule>
  </conditionalFormatting>
  <conditionalFormatting sqref="AH70">
    <cfRule type="cellIs" dxfId="14619" priority="135966" stopIfTrue="1" operator="equal">
      <formula>-1</formula>
    </cfRule>
  </conditionalFormatting>
  <conditionalFormatting sqref="AH70">
    <cfRule type="cellIs" dxfId="14618" priority="135967" stopIfTrue="1" operator="lessThan">
      <formula>0.5</formula>
    </cfRule>
  </conditionalFormatting>
  <conditionalFormatting sqref="AH70">
    <cfRule type="cellIs" dxfId="14617" priority="135968" stopIfTrue="1" operator="greaterThanOrEqual">
      <formula>0.5</formula>
    </cfRule>
  </conditionalFormatting>
  <conditionalFormatting sqref="AH71">
    <cfRule type="cellIs" dxfId="14616" priority="135969" stopIfTrue="1" operator="equal">
      <formula>-1</formula>
    </cfRule>
  </conditionalFormatting>
  <conditionalFormatting sqref="AH71">
    <cfRule type="cellIs" dxfId="14615" priority="135970" stopIfTrue="1" operator="lessThan">
      <formula>0.5</formula>
    </cfRule>
  </conditionalFormatting>
  <conditionalFormatting sqref="AH71">
    <cfRule type="cellIs" dxfId="14614" priority="135971" stopIfTrue="1" operator="greaterThanOrEqual">
      <formula>0.5</formula>
    </cfRule>
  </conditionalFormatting>
  <conditionalFormatting sqref="AH72">
    <cfRule type="cellIs" dxfId="14613" priority="135972" stopIfTrue="1" operator="equal">
      <formula>-1</formula>
    </cfRule>
  </conditionalFormatting>
  <conditionalFormatting sqref="AH72">
    <cfRule type="cellIs" dxfId="14612" priority="135973" stopIfTrue="1" operator="lessThan">
      <formula>0.5</formula>
    </cfRule>
  </conditionalFormatting>
  <conditionalFormatting sqref="AH72">
    <cfRule type="cellIs" dxfId="14611" priority="135974" stopIfTrue="1" operator="greaterThanOrEqual">
      <formula>0.5</formula>
    </cfRule>
  </conditionalFormatting>
  <conditionalFormatting sqref="AH73">
    <cfRule type="cellIs" dxfId="14610" priority="135975" stopIfTrue="1" operator="equal">
      <formula>-1</formula>
    </cfRule>
  </conditionalFormatting>
  <conditionalFormatting sqref="AH73">
    <cfRule type="cellIs" dxfId="14609" priority="135976" stopIfTrue="1" operator="lessThan">
      <formula>0.5</formula>
    </cfRule>
  </conditionalFormatting>
  <conditionalFormatting sqref="AH73">
    <cfRule type="cellIs" dxfId="14608" priority="135977" stopIfTrue="1" operator="greaterThanOrEqual">
      <formula>0.5</formula>
    </cfRule>
  </conditionalFormatting>
  <conditionalFormatting sqref="AH74">
    <cfRule type="cellIs" dxfId="14607" priority="135978" stopIfTrue="1" operator="equal">
      <formula>-1</formula>
    </cfRule>
  </conditionalFormatting>
  <conditionalFormatting sqref="AH74">
    <cfRule type="cellIs" dxfId="14606" priority="135979" stopIfTrue="1" operator="lessThan">
      <formula>0.5</formula>
    </cfRule>
  </conditionalFormatting>
  <conditionalFormatting sqref="AH74">
    <cfRule type="cellIs" dxfId="14605" priority="135980" stopIfTrue="1" operator="greaterThanOrEqual">
      <formula>0.5</formula>
    </cfRule>
  </conditionalFormatting>
  <conditionalFormatting sqref="AH75">
    <cfRule type="cellIs" dxfId="14604" priority="135981" stopIfTrue="1" operator="equal">
      <formula>-1</formula>
    </cfRule>
  </conditionalFormatting>
  <conditionalFormatting sqref="AH75">
    <cfRule type="cellIs" dxfId="14603" priority="135982" stopIfTrue="1" operator="lessThan">
      <formula>0.5</formula>
    </cfRule>
  </conditionalFormatting>
  <conditionalFormatting sqref="AH75">
    <cfRule type="cellIs" dxfId="14602" priority="135983" stopIfTrue="1" operator="greaterThanOrEqual">
      <formula>0.5</formula>
    </cfRule>
  </conditionalFormatting>
  <conditionalFormatting sqref="AH76">
    <cfRule type="cellIs" dxfId="14601" priority="135984" stopIfTrue="1" operator="equal">
      <formula>-1</formula>
    </cfRule>
  </conditionalFormatting>
  <conditionalFormatting sqref="AH76">
    <cfRule type="cellIs" dxfId="14600" priority="135985" stopIfTrue="1" operator="lessThan">
      <formula>0.5</formula>
    </cfRule>
  </conditionalFormatting>
  <conditionalFormatting sqref="AH76">
    <cfRule type="cellIs" dxfId="14599" priority="135986" stopIfTrue="1" operator="greaterThanOrEqual">
      <formula>0.5</formula>
    </cfRule>
  </conditionalFormatting>
  <conditionalFormatting sqref="AH77">
    <cfRule type="cellIs" dxfId="14598" priority="135987" stopIfTrue="1" operator="equal">
      <formula>-1</formula>
    </cfRule>
  </conditionalFormatting>
  <conditionalFormatting sqref="AH77">
    <cfRule type="cellIs" dxfId="14597" priority="135988" stopIfTrue="1" operator="lessThan">
      <formula>0.5</formula>
    </cfRule>
  </conditionalFormatting>
  <conditionalFormatting sqref="AH77">
    <cfRule type="cellIs" dxfId="14596" priority="135989" stopIfTrue="1" operator="greaterThanOrEqual">
      <formula>0.5</formula>
    </cfRule>
  </conditionalFormatting>
  <conditionalFormatting sqref="AH78">
    <cfRule type="cellIs" dxfId="14595" priority="135990" stopIfTrue="1" operator="equal">
      <formula>-1</formula>
    </cfRule>
  </conditionalFormatting>
  <conditionalFormatting sqref="AH78">
    <cfRule type="cellIs" dxfId="14594" priority="135991" stopIfTrue="1" operator="lessThan">
      <formula>0.5</formula>
    </cfRule>
  </conditionalFormatting>
  <conditionalFormatting sqref="AH78">
    <cfRule type="cellIs" dxfId="14593" priority="135992" stopIfTrue="1" operator="greaterThanOrEqual">
      <formula>0.5</formula>
    </cfRule>
  </conditionalFormatting>
  <conditionalFormatting sqref="AH79">
    <cfRule type="cellIs" dxfId="14592" priority="135993" stopIfTrue="1" operator="equal">
      <formula>-1</formula>
    </cfRule>
  </conditionalFormatting>
  <conditionalFormatting sqref="AH79">
    <cfRule type="cellIs" dxfId="14591" priority="135994" stopIfTrue="1" operator="lessThan">
      <formula>0.5</formula>
    </cfRule>
  </conditionalFormatting>
  <conditionalFormatting sqref="AH79">
    <cfRule type="cellIs" dxfId="14590" priority="135995" stopIfTrue="1" operator="greaterThanOrEqual">
      <formula>0.5</formula>
    </cfRule>
  </conditionalFormatting>
  <conditionalFormatting sqref="AH80">
    <cfRule type="cellIs" dxfId="14589" priority="135996" stopIfTrue="1" operator="equal">
      <formula>-1</formula>
    </cfRule>
  </conditionalFormatting>
  <conditionalFormatting sqref="AH80">
    <cfRule type="cellIs" dxfId="14588" priority="135997" stopIfTrue="1" operator="lessThan">
      <formula>0.5</formula>
    </cfRule>
  </conditionalFormatting>
  <conditionalFormatting sqref="AH80">
    <cfRule type="cellIs" dxfId="14587" priority="135998" stopIfTrue="1" operator="greaterThanOrEqual">
      <formula>0.5</formula>
    </cfRule>
  </conditionalFormatting>
  <conditionalFormatting sqref="AH81">
    <cfRule type="cellIs" dxfId="14586" priority="135999" stopIfTrue="1" operator="equal">
      <formula>-1</formula>
    </cfRule>
  </conditionalFormatting>
  <conditionalFormatting sqref="AH81">
    <cfRule type="cellIs" dxfId="14585" priority="136000" stopIfTrue="1" operator="lessThan">
      <formula>0.5</formula>
    </cfRule>
  </conditionalFormatting>
  <conditionalFormatting sqref="AH81">
    <cfRule type="cellIs" dxfId="14584" priority="136001" stopIfTrue="1" operator="greaterThanOrEqual">
      <formula>0.5</formula>
    </cfRule>
  </conditionalFormatting>
  <conditionalFormatting sqref="AH82">
    <cfRule type="cellIs" dxfId="14583" priority="136002" stopIfTrue="1" operator="equal">
      <formula>-1</formula>
    </cfRule>
  </conditionalFormatting>
  <conditionalFormatting sqref="AH82">
    <cfRule type="cellIs" dxfId="14582" priority="136003" stopIfTrue="1" operator="lessThan">
      <formula>0.5</formula>
    </cfRule>
  </conditionalFormatting>
  <conditionalFormatting sqref="AH82">
    <cfRule type="cellIs" dxfId="14581" priority="136004" stopIfTrue="1" operator="greaterThanOrEqual">
      <formula>0.5</formula>
    </cfRule>
  </conditionalFormatting>
  <conditionalFormatting sqref="AH83">
    <cfRule type="cellIs" dxfId="14580" priority="136005" stopIfTrue="1" operator="equal">
      <formula>-1</formula>
    </cfRule>
  </conditionalFormatting>
  <conditionalFormatting sqref="AH83">
    <cfRule type="cellIs" dxfId="14579" priority="136006" stopIfTrue="1" operator="lessThan">
      <formula>0.5</formula>
    </cfRule>
  </conditionalFormatting>
  <conditionalFormatting sqref="AH83">
    <cfRule type="cellIs" dxfId="14578" priority="136007" stopIfTrue="1" operator="greaterThanOrEqual">
      <formula>0.5</formula>
    </cfRule>
  </conditionalFormatting>
  <conditionalFormatting sqref="AH84">
    <cfRule type="cellIs" dxfId="14577" priority="136008" stopIfTrue="1" operator="equal">
      <formula>-1</formula>
    </cfRule>
  </conditionalFormatting>
  <conditionalFormatting sqref="AH84">
    <cfRule type="cellIs" dxfId="14576" priority="136009" stopIfTrue="1" operator="lessThan">
      <formula>0.5</formula>
    </cfRule>
  </conditionalFormatting>
  <conditionalFormatting sqref="AH84">
    <cfRule type="cellIs" dxfId="14575" priority="136010" stopIfTrue="1" operator="greaterThanOrEqual">
      <formula>0.5</formula>
    </cfRule>
  </conditionalFormatting>
  <conditionalFormatting sqref="AH85">
    <cfRule type="cellIs" dxfId="14574" priority="136011" stopIfTrue="1" operator="equal">
      <formula>-1</formula>
    </cfRule>
  </conditionalFormatting>
  <conditionalFormatting sqref="AH85">
    <cfRule type="cellIs" dxfId="14573" priority="136012" stopIfTrue="1" operator="lessThan">
      <formula>0.5</formula>
    </cfRule>
  </conditionalFormatting>
  <conditionalFormatting sqref="AH85">
    <cfRule type="cellIs" dxfId="14572" priority="136013" stopIfTrue="1" operator="greaterThanOrEqual">
      <formula>0.5</formula>
    </cfRule>
  </conditionalFormatting>
  <conditionalFormatting sqref="AJ65">
    <cfRule type="cellIs" dxfId="14571" priority="136014" stopIfTrue="1" operator="equal">
      <formula>-1</formula>
    </cfRule>
  </conditionalFormatting>
  <conditionalFormatting sqref="AJ65">
    <cfRule type="cellIs" dxfId="14570" priority="136015" stopIfTrue="1" operator="lessThan">
      <formula>0.5</formula>
    </cfRule>
  </conditionalFormatting>
  <conditionalFormatting sqref="AJ65">
    <cfRule type="cellIs" dxfId="14569" priority="136016" stopIfTrue="1" operator="greaterThanOrEqual">
      <formula>0.5</formula>
    </cfRule>
  </conditionalFormatting>
  <conditionalFormatting sqref="AJ66">
    <cfRule type="cellIs" dxfId="14568" priority="136017" stopIfTrue="1" operator="equal">
      <formula>-1</formula>
    </cfRule>
  </conditionalFormatting>
  <conditionalFormatting sqref="AJ66">
    <cfRule type="cellIs" dxfId="14567" priority="136018" stopIfTrue="1" operator="lessThan">
      <formula>0.5</formula>
    </cfRule>
  </conditionalFormatting>
  <conditionalFormatting sqref="AJ66">
    <cfRule type="cellIs" dxfId="14566" priority="136019" stopIfTrue="1" operator="greaterThanOrEqual">
      <formula>0.5</formula>
    </cfRule>
  </conditionalFormatting>
  <conditionalFormatting sqref="AJ67">
    <cfRule type="cellIs" dxfId="14565" priority="136020" stopIfTrue="1" operator="equal">
      <formula>-1</formula>
    </cfRule>
  </conditionalFormatting>
  <conditionalFormatting sqref="AJ67">
    <cfRule type="cellIs" dxfId="14564" priority="136021" stopIfTrue="1" operator="lessThan">
      <formula>0.5</formula>
    </cfRule>
  </conditionalFormatting>
  <conditionalFormatting sqref="AJ67">
    <cfRule type="cellIs" dxfId="14563" priority="136022" stopIfTrue="1" operator="greaterThanOrEqual">
      <formula>0.5</formula>
    </cfRule>
  </conditionalFormatting>
  <conditionalFormatting sqref="AJ68">
    <cfRule type="cellIs" dxfId="14562" priority="136023" stopIfTrue="1" operator="equal">
      <formula>-1</formula>
    </cfRule>
  </conditionalFormatting>
  <conditionalFormatting sqref="AJ68">
    <cfRule type="cellIs" dxfId="14561" priority="136024" stopIfTrue="1" operator="lessThan">
      <formula>0.5</formula>
    </cfRule>
  </conditionalFormatting>
  <conditionalFormatting sqref="AJ68">
    <cfRule type="cellIs" dxfId="14560" priority="136025" stopIfTrue="1" operator="greaterThanOrEqual">
      <formula>0.5</formula>
    </cfRule>
  </conditionalFormatting>
  <conditionalFormatting sqref="AJ69">
    <cfRule type="cellIs" dxfId="14559" priority="136026" stopIfTrue="1" operator="equal">
      <formula>-1</formula>
    </cfRule>
  </conditionalFormatting>
  <conditionalFormatting sqref="AJ69">
    <cfRule type="cellIs" dxfId="14558" priority="136027" stopIfTrue="1" operator="lessThan">
      <formula>0.5</formula>
    </cfRule>
  </conditionalFormatting>
  <conditionalFormatting sqref="AJ69">
    <cfRule type="cellIs" dxfId="14557" priority="136028" stopIfTrue="1" operator="greaterThanOrEqual">
      <formula>0.5</formula>
    </cfRule>
  </conditionalFormatting>
  <conditionalFormatting sqref="AJ70">
    <cfRule type="cellIs" dxfId="14556" priority="136029" stopIfTrue="1" operator="equal">
      <formula>-1</formula>
    </cfRule>
  </conditionalFormatting>
  <conditionalFormatting sqref="AJ70">
    <cfRule type="cellIs" dxfId="14555" priority="136030" stopIfTrue="1" operator="lessThan">
      <formula>0.5</formula>
    </cfRule>
  </conditionalFormatting>
  <conditionalFormatting sqref="AJ70">
    <cfRule type="cellIs" dxfId="14554" priority="136031" stopIfTrue="1" operator="greaterThanOrEqual">
      <formula>0.5</formula>
    </cfRule>
  </conditionalFormatting>
  <conditionalFormatting sqref="AJ71">
    <cfRule type="cellIs" dxfId="14553" priority="136032" stopIfTrue="1" operator="equal">
      <formula>-1</formula>
    </cfRule>
  </conditionalFormatting>
  <conditionalFormatting sqref="AJ71">
    <cfRule type="cellIs" dxfId="14552" priority="136033" stopIfTrue="1" operator="lessThan">
      <formula>0.5</formula>
    </cfRule>
  </conditionalFormatting>
  <conditionalFormatting sqref="AJ71">
    <cfRule type="cellIs" dxfId="14551" priority="136034" stopIfTrue="1" operator="greaterThanOrEqual">
      <formula>0.5</formula>
    </cfRule>
  </conditionalFormatting>
  <conditionalFormatting sqref="AJ72">
    <cfRule type="cellIs" dxfId="14550" priority="136035" stopIfTrue="1" operator="equal">
      <formula>-1</formula>
    </cfRule>
  </conditionalFormatting>
  <conditionalFormatting sqref="AJ72">
    <cfRule type="cellIs" dxfId="14549" priority="136036" stopIfTrue="1" operator="lessThan">
      <formula>0.5</formula>
    </cfRule>
  </conditionalFormatting>
  <conditionalFormatting sqref="AJ72">
    <cfRule type="cellIs" dxfId="14548" priority="136037" stopIfTrue="1" operator="greaterThanOrEqual">
      <formula>0.5</formula>
    </cfRule>
  </conditionalFormatting>
  <conditionalFormatting sqref="AJ73">
    <cfRule type="cellIs" dxfId="14547" priority="136038" stopIfTrue="1" operator="equal">
      <formula>-1</formula>
    </cfRule>
  </conditionalFormatting>
  <conditionalFormatting sqref="AJ73">
    <cfRule type="cellIs" dxfId="14546" priority="136039" stopIfTrue="1" operator="lessThan">
      <formula>0.5</formula>
    </cfRule>
  </conditionalFormatting>
  <conditionalFormatting sqref="AJ73">
    <cfRule type="cellIs" dxfId="14545" priority="136040" stopIfTrue="1" operator="greaterThanOrEqual">
      <formula>0.5</formula>
    </cfRule>
  </conditionalFormatting>
  <conditionalFormatting sqref="AJ74">
    <cfRule type="cellIs" dxfId="14544" priority="136041" stopIfTrue="1" operator="equal">
      <formula>-1</formula>
    </cfRule>
  </conditionalFormatting>
  <conditionalFormatting sqref="AJ74">
    <cfRule type="cellIs" dxfId="14543" priority="136042" stopIfTrue="1" operator="lessThan">
      <formula>0.5</formula>
    </cfRule>
  </conditionalFormatting>
  <conditionalFormatting sqref="AJ74">
    <cfRule type="cellIs" dxfId="14542" priority="136043" stopIfTrue="1" operator="greaterThanOrEqual">
      <formula>0.5</formula>
    </cfRule>
  </conditionalFormatting>
  <conditionalFormatting sqref="AJ75">
    <cfRule type="cellIs" dxfId="14541" priority="136044" stopIfTrue="1" operator="equal">
      <formula>-1</formula>
    </cfRule>
  </conditionalFormatting>
  <conditionalFormatting sqref="AJ75">
    <cfRule type="cellIs" dxfId="14540" priority="136045" stopIfTrue="1" operator="lessThan">
      <formula>0.5</formula>
    </cfRule>
  </conditionalFormatting>
  <conditionalFormatting sqref="AJ75">
    <cfRule type="cellIs" dxfId="14539" priority="136046" stopIfTrue="1" operator="greaterThanOrEqual">
      <formula>0.5</formula>
    </cfRule>
  </conditionalFormatting>
  <conditionalFormatting sqref="AJ76">
    <cfRule type="cellIs" dxfId="14538" priority="136047" stopIfTrue="1" operator="equal">
      <formula>-1</formula>
    </cfRule>
  </conditionalFormatting>
  <conditionalFormatting sqref="AJ76">
    <cfRule type="cellIs" dxfId="14537" priority="136048" stopIfTrue="1" operator="lessThan">
      <formula>0.5</formula>
    </cfRule>
  </conditionalFormatting>
  <conditionalFormatting sqref="AJ76">
    <cfRule type="cellIs" dxfId="14536" priority="136049" stopIfTrue="1" operator="greaterThanOrEqual">
      <formula>0.5</formula>
    </cfRule>
  </conditionalFormatting>
  <conditionalFormatting sqref="AJ77">
    <cfRule type="cellIs" dxfId="14535" priority="136050" stopIfTrue="1" operator="equal">
      <formula>-1</formula>
    </cfRule>
  </conditionalFormatting>
  <conditionalFormatting sqref="AJ77">
    <cfRule type="cellIs" dxfId="14534" priority="136051" stopIfTrue="1" operator="lessThan">
      <formula>0.5</formula>
    </cfRule>
  </conditionalFormatting>
  <conditionalFormatting sqref="AJ77">
    <cfRule type="cellIs" dxfId="14533" priority="136052" stopIfTrue="1" operator="greaterThanOrEqual">
      <formula>0.5</formula>
    </cfRule>
  </conditionalFormatting>
  <conditionalFormatting sqref="AJ78">
    <cfRule type="cellIs" dxfId="14532" priority="136053" stopIfTrue="1" operator="equal">
      <formula>-1</formula>
    </cfRule>
  </conditionalFormatting>
  <conditionalFormatting sqref="AJ78">
    <cfRule type="cellIs" dxfId="14531" priority="136054" stopIfTrue="1" operator="lessThan">
      <formula>0.5</formula>
    </cfRule>
  </conditionalFormatting>
  <conditionalFormatting sqref="AJ78">
    <cfRule type="cellIs" dxfId="14530" priority="136055" stopIfTrue="1" operator="greaterThanOrEqual">
      <formula>0.5</formula>
    </cfRule>
  </conditionalFormatting>
  <conditionalFormatting sqref="AJ79">
    <cfRule type="cellIs" dxfId="14529" priority="136056" stopIfTrue="1" operator="equal">
      <formula>-1</formula>
    </cfRule>
  </conditionalFormatting>
  <conditionalFormatting sqref="AJ79">
    <cfRule type="cellIs" dxfId="14528" priority="136057" stopIfTrue="1" operator="lessThan">
      <formula>0.5</formula>
    </cfRule>
  </conditionalFormatting>
  <conditionalFormatting sqref="AJ79">
    <cfRule type="cellIs" dxfId="14527" priority="136058" stopIfTrue="1" operator="greaterThanOrEqual">
      <formula>0.5</formula>
    </cfRule>
  </conditionalFormatting>
  <conditionalFormatting sqref="AJ80">
    <cfRule type="cellIs" dxfId="14526" priority="136059" stopIfTrue="1" operator="equal">
      <formula>-1</formula>
    </cfRule>
  </conditionalFormatting>
  <conditionalFormatting sqref="AJ80">
    <cfRule type="cellIs" dxfId="14525" priority="136060" stopIfTrue="1" operator="lessThan">
      <formula>0.5</formula>
    </cfRule>
  </conditionalFormatting>
  <conditionalFormatting sqref="AJ80">
    <cfRule type="cellIs" dxfId="14524" priority="136061" stopIfTrue="1" operator="greaterThanOrEqual">
      <formula>0.5</formula>
    </cfRule>
  </conditionalFormatting>
  <conditionalFormatting sqref="AJ81">
    <cfRule type="cellIs" dxfId="14523" priority="136062" stopIfTrue="1" operator="equal">
      <formula>-1</formula>
    </cfRule>
  </conditionalFormatting>
  <conditionalFormatting sqref="AJ81">
    <cfRule type="cellIs" dxfId="14522" priority="136063" stopIfTrue="1" operator="lessThan">
      <formula>0.5</formula>
    </cfRule>
  </conditionalFormatting>
  <conditionalFormatting sqref="AJ81">
    <cfRule type="cellIs" dxfId="14521" priority="136064" stopIfTrue="1" operator="greaterThanOrEqual">
      <formula>0.5</formula>
    </cfRule>
  </conditionalFormatting>
  <conditionalFormatting sqref="AJ82">
    <cfRule type="cellIs" dxfId="14520" priority="136065" stopIfTrue="1" operator="equal">
      <formula>-1</formula>
    </cfRule>
  </conditionalFormatting>
  <conditionalFormatting sqref="AJ82">
    <cfRule type="cellIs" dxfId="14519" priority="136066" stopIfTrue="1" operator="lessThan">
      <formula>0.5</formula>
    </cfRule>
  </conditionalFormatting>
  <conditionalFormatting sqref="AJ82">
    <cfRule type="cellIs" dxfId="14518" priority="136067" stopIfTrue="1" operator="greaterThanOrEqual">
      <formula>0.5</formula>
    </cfRule>
  </conditionalFormatting>
  <conditionalFormatting sqref="AJ83">
    <cfRule type="cellIs" dxfId="14517" priority="136068" stopIfTrue="1" operator="equal">
      <formula>-1</formula>
    </cfRule>
  </conditionalFormatting>
  <conditionalFormatting sqref="AJ83">
    <cfRule type="cellIs" dxfId="14516" priority="136069" stopIfTrue="1" operator="lessThan">
      <formula>0.5</formula>
    </cfRule>
  </conditionalFormatting>
  <conditionalFormatting sqref="AJ83">
    <cfRule type="cellIs" dxfId="14515" priority="136070" stopIfTrue="1" operator="greaterThanOrEqual">
      <formula>0.5</formula>
    </cfRule>
  </conditionalFormatting>
  <conditionalFormatting sqref="AJ84">
    <cfRule type="cellIs" dxfId="14514" priority="136071" stopIfTrue="1" operator="equal">
      <formula>-1</formula>
    </cfRule>
  </conditionalFormatting>
  <conditionalFormatting sqref="AJ84">
    <cfRule type="cellIs" dxfId="14513" priority="136072" stopIfTrue="1" operator="lessThan">
      <formula>0.5</formula>
    </cfRule>
  </conditionalFormatting>
  <conditionalFormatting sqref="AJ84">
    <cfRule type="cellIs" dxfId="14512" priority="136073" stopIfTrue="1" operator="greaterThanOrEqual">
      <formula>0.5</formula>
    </cfRule>
  </conditionalFormatting>
  <conditionalFormatting sqref="AJ85">
    <cfRule type="cellIs" dxfId="14511" priority="136074" stopIfTrue="1" operator="equal">
      <formula>-1</formula>
    </cfRule>
  </conditionalFormatting>
  <conditionalFormatting sqref="AJ85">
    <cfRule type="cellIs" dxfId="14510" priority="136075" stopIfTrue="1" operator="lessThan">
      <formula>0.5</formula>
    </cfRule>
  </conditionalFormatting>
  <conditionalFormatting sqref="AJ85">
    <cfRule type="cellIs" dxfId="14509" priority="136076" stopIfTrue="1" operator="greaterThanOrEqual">
      <formula>0.5</formula>
    </cfRule>
  </conditionalFormatting>
  <conditionalFormatting sqref="AL65">
    <cfRule type="cellIs" dxfId="14508" priority="136077" stopIfTrue="1" operator="equal">
      <formula>-1</formula>
    </cfRule>
  </conditionalFormatting>
  <conditionalFormatting sqref="AL65">
    <cfRule type="cellIs" dxfId="14507" priority="136078" stopIfTrue="1" operator="lessThan">
      <formula>0.5</formula>
    </cfRule>
  </conditionalFormatting>
  <conditionalFormatting sqref="AL65">
    <cfRule type="cellIs" dxfId="14506" priority="136079" stopIfTrue="1" operator="greaterThanOrEqual">
      <formula>0.5</formula>
    </cfRule>
  </conditionalFormatting>
  <conditionalFormatting sqref="AL66">
    <cfRule type="cellIs" dxfId="14505" priority="136080" stopIfTrue="1" operator="equal">
      <formula>-1</formula>
    </cfRule>
  </conditionalFormatting>
  <conditionalFormatting sqref="AL66">
    <cfRule type="cellIs" dxfId="14504" priority="136081" stopIfTrue="1" operator="lessThan">
      <formula>0.5</formula>
    </cfRule>
  </conditionalFormatting>
  <conditionalFormatting sqref="AL66">
    <cfRule type="cellIs" dxfId="14503" priority="136082" stopIfTrue="1" operator="greaterThanOrEqual">
      <formula>0.5</formula>
    </cfRule>
  </conditionalFormatting>
  <conditionalFormatting sqref="AL67">
    <cfRule type="cellIs" dxfId="14502" priority="136083" stopIfTrue="1" operator="equal">
      <formula>-1</formula>
    </cfRule>
  </conditionalFormatting>
  <conditionalFormatting sqref="AL67">
    <cfRule type="cellIs" dxfId="14501" priority="136084" stopIfTrue="1" operator="lessThan">
      <formula>0.5</formula>
    </cfRule>
  </conditionalFormatting>
  <conditionalFormatting sqref="AL67">
    <cfRule type="cellIs" dxfId="14500" priority="136085" stopIfTrue="1" operator="greaterThanOrEqual">
      <formula>0.5</formula>
    </cfRule>
  </conditionalFormatting>
  <conditionalFormatting sqref="AL68">
    <cfRule type="cellIs" dxfId="14499" priority="136086" stopIfTrue="1" operator="equal">
      <formula>-1</formula>
    </cfRule>
  </conditionalFormatting>
  <conditionalFormatting sqref="AL68">
    <cfRule type="cellIs" dxfId="14498" priority="136087" stopIfTrue="1" operator="lessThan">
      <formula>0.5</formula>
    </cfRule>
  </conditionalFormatting>
  <conditionalFormatting sqref="AL68">
    <cfRule type="cellIs" dxfId="14497" priority="136088" stopIfTrue="1" operator="greaterThanOrEqual">
      <formula>0.5</formula>
    </cfRule>
  </conditionalFormatting>
  <conditionalFormatting sqref="AL69">
    <cfRule type="cellIs" dxfId="14496" priority="136089" stopIfTrue="1" operator="equal">
      <formula>-1</formula>
    </cfRule>
  </conditionalFormatting>
  <conditionalFormatting sqref="AL69">
    <cfRule type="cellIs" dxfId="14495" priority="136090" stopIfTrue="1" operator="lessThan">
      <formula>0.5</formula>
    </cfRule>
  </conditionalFormatting>
  <conditionalFormatting sqref="AL69">
    <cfRule type="cellIs" dxfId="14494" priority="136091" stopIfTrue="1" operator="greaterThanOrEqual">
      <formula>0.5</formula>
    </cfRule>
  </conditionalFormatting>
  <conditionalFormatting sqref="AL70">
    <cfRule type="cellIs" dxfId="14493" priority="136092" stopIfTrue="1" operator="equal">
      <formula>-1</formula>
    </cfRule>
  </conditionalFormatting>
  <conditionalFormatting sqref="AL70">
    <cfRule type="cellIs" dxfId="14492" priority="136093" stopIfTrue="1" operator="lessThan">
      <formula>0.5</formula>
    </cfRule>
  </conditionalFormatting>
  <conditionalFormatting sqref="AL70">
    <cfRule type="cellIs" dxfId="14491" priority="136094" stopIfTrue="1" operator="greaterThanOrEqual">
      <formula>0.5</formula>
    </cfRule>
  </conditionalFormatting>
  <conditionalFormatting sqref="AL71">
    <cfRule type="cellIs" dxfId="14490" priority="136095" stopIfTrue="1" operator="equal">
      <formula>-1</formula>
    </cfRule>
  </conditionalFormatting>
  <conditionalFormatting sqref="AL71">
    <cfRule type="cellIs" dxfId="14489" priority="136096" stopIfTrue="1" operator="lessThan">
      <formula>0.5</formula>
    </cfRule>
  </conditionalFormatting>
  <conditionalFormatting sqref="AL71">
    <cfRule type="cellIs" dxfId="14488" priority="136097" stopIfTrue="1" operator="greaterThanOrEqual">
      <formula>0.5</formula>
    </cfRule>
  </conditionalFormatting>
  <conditionalFormatting sqref="AL72">
    <cfRule type="cellIs" dxfId="14487" priority="136098" stopIfTrue="1" operator="equal">
      <formula>-1</formula>
    </cfRule>
  </conditionalFormatting>
  <conditionalFormatting sqref="AL72">
    <cfRule type="cellIs" dxfId="14486" priority="136099" stopIfTrue="1" operator="lessThan">
      <formula>0.5</formula>
    </cfRule>
  </conditionalFormatting>
  <conditionalFormatting sqref="AL72">
    <cfRule type="cellIs" dxfId="14485" priority="136100" stopIfTrue="1" operator="greaterThanOrEqual">
      <formula>0.5</formula>
    </cfRule>
  </conditionalFormatting>
  <conditionalFormatting sqref="AL73">
    <cfRule type="cellIs" dxfId="14484" priority="136101" stopIfTrue="1" operator="equal">
      <formula>-1</formula>
    </cfRule>
  </conditionalFormatting>
  <conditionalFormatting sqref="AL73">
    <cfRule type="cellIs" dxfId="14483" priority="136102" stopIfTrue="1" operator="lessThan">
      <formula>0.5</formula>
    </cfRule>
  </conditionalFormatting>
  <conditionalFormatting sqref="AL73">
    <cfRule type="cellIs" dxfId="14482" priority="136103" stopIfTrue="1" operator="greaterThanOrEqual">
      <formula>0.5</formula>
    </cfRule>
  </conditionalFormatting>
  <conditionalFormatting sqref="AL74">
    <cfRule type="cellIs" dxfId="14481" priority="136104" stopIfTrue="1" operator="equal">
      <formula>-1</formula>
    </cfRule>
  </conditionalFormatting>
  <conditionalFormatting sqref="AL74">
    <cfRule type="cellIs" dxfId="14480" priority="136105" stopIfTrue="1" operator="lessThan">
      <formula>0.5</formula>
    </cfRule>
  </conditionalFormatting>
  <conditionalFormatting sqref="AL74">
    <cfRule type="cellIs" dxfId="14479" priority="136106" stopIfTrue="1" operator="greaterThanOrEqual">
      <formula>0.5</formula>
    </cfRule>
  </conditionalFormatting>
  <conditionalFormatting sqref="AL75">
    <cfRule type="cellIs" dxfId="14478" priority="136107" stopIfTrue="1" operator="equal">
      <formula>-1</formula>
    </cfRule>
  </conditionalFormatting>
  <conditionalFormatting sqref="AL75">
    <cfRule type="cellIs" dxfId="14477" priority="136108" stopIfTrue="1" operator="lessThan">
      <formula>0.5</formula>
    </cfRule>
  </conditionalFormatting>
  <conditionalFormatting sqref="AL75">
    <cfRule type="cellIs" dxfId="14476" priority="136109" stopIfTrue="1" operator="greaterThanOrEqual">
      <formula>0.5</formula>
    </cfRule>
  </conditionalFormatting>
  <conditionalFormatting sqref="AL76">
    <cfRule type="cellIs" dxfId="14475" priority="136110" stopIfTrue="1" operator="equal">
      <formula>-1</formula>
    </cfRule>
  </conditionalFormatting>
  <conditionalFormatting sqref="AL76">
    <cfRule type="cellIs" dxfId="14474" priority="136111" stopIfTrue="1" operator="lessThan">
      <formula>0.5</formula>
    </cfRule>
  </conditionalFormatting>
  <conditionalFormatting sqref="AL76">
    <cfRule type="cellIs" dxfId="14473" priority="136112" stopIfTrue="1" operator="greaterThanOrEqual">
      <formula>0.5</formula>
    </cfRule>
  </conditionalFormatting>
  <conditionalFormatting sqref="AL77">
    <cfRule type="cellIs" dxfId="14472" priority="136113" stopIfTrue="1" operator="equal">
      <formula>-1</formula>
    </cfRule>
  </conditionalFormatting>
  <conditionalFormatting sqref="AL77">
    <cfRule type="cellIs" dxfId="14471" priority="136114" stopIfTrue="1" operator="lessThan">
      <formula>0.5</formula>
    </cfRule>
  </conditionalFormatting>
  <conditionalFormatting sqref="AL77">
    <cfRule type="cellIs" dxfId="14470" priority="136115" stopIfTrue="1" operator="greaterThanOrEqual">
      <formula>0.5</formula>
    </cfRule>
  </conditionalFormatting>
  <conditionalFormatting sqref="AL78">
    <cfRule type="cellIs" dxfId="14469" priority="136116" stopIfTrue="1" operator="equal">
      <formula>-1</formula>
    </cfRule>
  </conditionalFormatting>
  <conditionalFormatting sqref="AL78">
    <cfRule type="cellIs" dxfId="14468" priority="136117" stopIfTrue="1" operator="lessThan">
      <formula>0.5</formula>
    </cfRule>
  </conditionalFormatting>
  <conditionalFormatting sqref="AL78">
    <cfRule type="cellIs" dxfId="14467" priority="136118" stopIfTrue="1" operator="greaterThanOrEqual">
      <formula>0.5</formula>
    </cfRule>
  </conditionalFormatting>
  <conditionalFormatting sqref="AL79">
    <cfRule type="cellIs" dxfId="14466" priority="136119" stopIfTrue="1" operator="equal">
      <formula>-1</formula>
    </cfRule>
  </conditionalFormatting>
  <conditionalFormatting sqref="AL79">
    <cfRule type="cellIs" dxfId="14465" priority="136120" stopIfTrue="1" operator="lessThan">
      <formula>0.5</formula>
    </cfRule>
  </conditionalFormatting>
  <conditionalFormatting sqref="AL79">
    <cfRule type="cellIs" dxfId="14464" priority="136121" stopIfTrue="1" operator="greaterThanOrEqual">
      <formula>0.5</formula>
    </cfRule>
  </conditionalFormatting>
  <conditionalFormatting sqref="AL80">
    <cfRule type="cellIs" dxfId="14463" priority="136122" stopIfTrue="1" operator="equal">
      <formula>-1</formula>
    </cfRule>
  </conditionalFormatting>
  <conditionalFormatting sqref="AL80">
    <cfRule type="cellIs" dxfId="14462" priority="136123" stopIfTrue="1" operator="lessThan">
      <formula>0.5</formula>
    </cfRule>
  </conditionalFormatting>
  <conditionalFormatting sqref="AL80">
    <cfRule type="cellIs" dxfId="14461" priority="136124" stopIfTrue="1" operator="greaterThanOrEqual">
      <formula>0.5</formula>
    </cfRule>
  </conditionalFormatting>
  <conditionalFormatting sqref="AL81">
    <cfRule type="cellIs" dxfId="14460" priority="136125" stopIfTrue="1" operator="equal">
      <formula>-1</formula>
    </cfRule>
  </conditionalFormatting>
  <conditionalFormatting sqref="AL81">
    <cfRule type="cellIs" dxfId="14459" priority="136126" stopIfTrue="1" operator="lessThan">
      <formula>0.5</formula>
    </cfRule>
  </conditionalFormatting>
  <conditionalFormatting sqref="AL81">
    <cfRule type="cellIs" dxfId="14458" priority="136127" stopIfTrue="1" operator="greaterThanOrEqual">
      <formula>0.5</formula>
    </cfRule>
  </conditionalFormatting>
  <conditionalFormatting sqref="AL82">
    <cfRule type="cellIs" dxfId="14457" priority="136128" stopIfTrue="1" operator="equal">
      <formula>-1</formula>
    </cfRule>
  </conditionalFormatting>
  <conditionalFormatting sqref="AL82">
    <cfRule type="cellIs" dxfId="14456" priority="136129" stopIfTrue="1" operator="lessThan">
      <formula>0.5</formula>
    </cfRule>
  </conditionalFormatting>
  <conditionalFormatting sqref="AL82">
    <cfRule type="cellIs" dxfId="14455" priority="136130" stopIfTrue="1" operator="greaterThanOrEqual">
      <formula>0.5</formula>
    </cfRule>
  </conditionalFormatting>
  <conditionalFormatting sqref="AL83">
    <cfRule type="cellIs" dxfId="14454" priority="136131" stopIfTrue="1" operator="equal">
      <formula>-1</formula>
    </cfRule>
  </conditionalFormatting>
  <conditionalFormatting sqref="AL83">
    <cfRule type="cellIs" dxfId="14453" priority="136132" stopIfTrue="1" operator="lessThan">
      <formula>0.5</formula>
    </cfRule>
  </conditionalFormatting>
  <conditionalFormatting sqref="AL83">
    <cfRule type="cellIs" dxfId="14452" priority="136133" stopIfTrue="1" operator="greaterThanOrEqual">
      <formula>0.5</formula>
    </cfRule>
  </conditionalFormatting>
  <conditionalFormatting sqref="AL84">
    <cfRule type="cellIs" dxfId="14451" priority="136134" stopIfTrue="1" operator="equal">
      <formula>-1</formula>
    </cfRule>
  </conditionalFormatting>
  <conditionalFormatting sqref="AL84">
    <cfRule type="cellIs" dxfId="14450" priority="136135" stopIfTrue="1" operator="lessThan">
      <formula>0.5</formula>
    </cfRule>
  </conditionalFormatting>
  <conditionalFormatting sqref="AL84">
    <cfRule type="cellIs" dxfId="14449" priority="136136" stopIfTrue="1" operator="greaterThanOrEqual">
      <formula>0.5</formula>
    </cfRule>
  </conditionalFormatting>
  <conditionalFormatting sqref="AL85">
    <cfRule type="cellIs" dxfId="14448" priority="136137" stopIfTrue="1" operator="equal">
      <formula>-1</formula>
    </cfRule>
  </conditionalFormatting>
  <conditionalFormatting sqref="AL85">
    <cfRule type="cellIs" dxfId="14447" priority="136138" stopIfTrue="1" operator="lessThan">
      <formula>0.5</formula>
    </cfRule>
  </conditionalFormatting>
  <conditionalFormatting sqref="AL85">
    <cfRule type="cellIs" dxfId="14446" priority="136139" stopIfTrue="1" operator="greaterThanOrEqual">
      <formula>0.5</formula>
    </cfRule>
  </conditionalFormatting>
  <conditionalFormatting sqref="AN65">
    <cfRule type="cellIs" dxfId="14445" priority="136140" stopIfTrue="1" operator="equal">
      <formula>-1</formula>
    </cfRule>
  </conditionalFormatting>
  <conditionalFormatting sqref="AN65">
    <cfRule type="cellIs" dxfId="14444" priority="136141" stopIfTrue="1" operator="lessThan">
      <formula>0.5</formula>
    </cfRule>
  </conditionalFormatting>
  <conditionalFormatting sqref="AN65">
    <cfRule type="cellIs" dxfId="14443" priority="136142" stopIfTrue="1" operator="greaterThanOrEqual">
      <formula>0.5</formula>
    </cfRule>
  </conditionalFormatting>
  <conditionalFormatting sqref="AN66">
    <cfRule type="cellIs" dxfId="14442" priority="136143" stopIfTrue="1" operator="equal">
      <formula>-1</formula>
    </cfRule>
  </conditionalFormatting>
  <conditionalFormatting sqref="AN66">
    <cfRule type="cellIs" dxfId="14441" priority="136144" stopIfTrue="1" operator="lessThan">
      <formula>0.5</formula>
    </cfRule>
  </conditionalFormatting>
  <conditionalFormatting sqref="AN66">
    <cfRule type="cellIs" dxfId="14440" priority="136145" stopIfTrue="1" operator="greaterThanOrEqual">
      <formula>0.5</formula>
    </cfRule>
  </conditionalFormatting>
  <conditionalFormatting sqref="AN67">
    <cfRule type="cellIs" dxfId="14439" priority="136146" stopIfTrue="1" operator="equal">
      <formula>-1</formula>
    </cfRule>
  </conditionalFormatting>
  <conditionalFormatting sqref="AN67">
    <cfRule type="cellIs" dxfId="14438" priority="136147" stopIfTrue="1" operator="lessThan">
      <formula>0.5</formula>
    </cfRule>
  </conditionalFormatting>
  <conditionalFormatting sqref="AN67">
    <cfRule type="cellIs" dxfId="14437" priority="136148" stopIfTrue="1" operator="greaterThanOrEqual">
      <formula>0.5</formula>
    </cfRule>
  </conditionalFormatting>
  <conditionalFormatting sqref="AN68">
    <cfRule type="cellIs" dxfId="14436" priority="136149" stopIfTrue="1" operator="equal">
      <formula>-1</formula>
    </cfRule>
  </conditionalFormatting>
  <conditionalFormatting sqref="AN68">
    <cfRule type="cellIs" dxfId="14435" priority="136150" stopIfTrue="1" operator="lessThan">
      <formula>0.5</formula>
    </cfRule>
  </conditionalFormatting>
  <conditionalFormatting sqref="AN68">
    <cfRule type="cellIs" dxfId="14434" priority="136151" stopIfTrue="1" operator="greaterThanOrEqual">
      <formula>0.5</formula>
    </cfRule>
  </conditionalFormatting>
  <conditionalFormatting sqref="AN69">
    <cfRule type="cellIs" dxfId="14433" priority="136152" stopIfTrue="1" operator="equal">
      <formula>-1</formula>
    </cfRule>
  </conditionalFormatting>
  <conditionalFormatting sqref="AN69">
    <cfRule type="cellIs" dxfId="14432" priority="136153" stopIfTrue="1" operator="lessThan">
      <formula>0.5</formula>
    </cfRule>
  </conditionalFormatting>
  <conditionalFormatting sqref="AN69">
    <cfRule type="cellIs" dxfId="14431" priority="136154" stopIfTrue="1" operator="greaterThanOrEqual">
      <formula>0.5</formula>
    </cfRule>
  </conditionalFormatting>
  <conditionalFormatting sqref="AN70">
    <cfRule type="cellIs" dxfId="14430" priority="136155" stopIfTrue="1" operator="equal">
      <formula>-1</formula>
    </cfRule>
  </conditionalFormatting>
  <conditionalFormatting sqref="AN70">
    <cfRule type="cellIs" dxfId="14429" priority="136156" stopIfTrue="1" operator="lessThan">
      <formula>0.5</formula>
    </cfRule>
  </conditionalFormatting>
  <conditionalFormatting sqref="AN70">
    <cfRule type="cellIs" dxfId="14428" priority="136157" stopIfTrue="1" operator="greaterThanOrEqual">
      <formula>0.5</formula>
    </cfRule>
  </conditionalFormatting>
  <conditionalFormatting sqref="AN71">
    <cfRule type="cellIs" dxfId="14427" priority="136158" stopIfTrue="1" operator="equal">
      <formula>-1</formula>
    </cfRule>
  </conditionalFormatting>
  <conditionalFormatting sqref="AN71">
    <cfRule type="cellIs" dxfId="14426" priority="136159" stopIfTrue="1" operator="lessThan">
      <formula>0.5</formula>
    </cfRule>
  </conditionalFormatting>
  <conditionalFormatting sqref="AN71">
    <cfRule type="cellIs" dxfId="14425" priority="136160" stopIfTrue="1" operator="greaterThanOrEqual">
      <formula>0.5</formula>
    </cfRule>
  </conditionalFormatting>
  <conditionalFormatting sqref="AN72">
    <cfRule type="cellIs" dxfId="14424" priority="136161" stopIfTrue="1" operator="equal">
      <formula>-1</formula>
    </cfRule>
  </conditionalFormatting>
  <conditionalFormatting sqref="AN72">
    <cfRule type="cellIs" dxfId="14423" priority="136162" stopIfTrue="1" operator="lessThan">
      <formula>0.5</formula>
    </cfRule>
  </conditionalFormatting>
  <conditionalFormatting sqref="AN72">
    <cfRule type="cellIs" dxfId="14422" priority="136163" stopIfTrue="1" operator="greaterThanOrEqual">
      <formula>0.5</formula>
    </cfRule>
  </conditionalFormatting>
  <conditionalFormatting sqref="AN73">
    <cfRule type="cellIs" dxfId="14421" priority="136164" stopIfTrue="1" operator="equal">
      <formula>-1</formula>
    </cfRule>
  </conditionalFormatting>
  <conditionalFormatting sqref="AN73">
    <cfRule type="cellIs" dxfId="14420" priority="136165" stopIfTrue="1" operator="lessThan">
      <formula>0.5</formula>
    </cfRule>
  </conditionalFormatting>
  <conditionalFormatting sqref="AN73">
    <cfRule type="cellIs" dxfId="14419" priority="136166" stopIfTrue="1" operator="greaterThanOrEqual">
      <formula>0.5</formula>
    </cfRule>
  </conditionalFormatting>
  <conditionalFormatting sqref="AN74">
    <cfRule type="cellIs" dxfId="14418" priority="136167" stopIfTrue="1" operator="equal">
      <formula>-1</formula>
    </cfRule>
  </conditionalFormatting>
  <conditionalFormatting sqref="AN74">
    <cfRule type="cellIs" dxfId="14417" priority="136168" stopIfTrue="1" operator="lessThan">
      <formula>0.5</formula>
    </cfRule>
  </conditionalFormatting>
  <conditionalFormatting sqref="AN74">
    <cfRule type="cellIs" dxfId="14416" priority="136169" stopIfTrue="1" operator="greaterThanOrEqual">
      <formula>0.5</formula>
    </cfRule>
  </conditionalFormatting>
  <conditionalFormatting sqref="AN75">
    <cfRule type="cellIs" dxfId="14415" priority="136170" stopIfTrue="1" operator="equal">
      <formula>-1</formula>
    </cfRule>
  </conditionalFormatting>
  <conditionalFormatting sqref="AN75">
    <cfRule type="cellIs" dxfId="14414" priority="136171" stopIfTrue="1" operator="lessThan">
      <formula>0.5</formula>
    </cfRule>
  </conditionalFormatting>
  <conditionalFormatting sqref="AN75">
    <cfRule type="cellIs" dxfId="14413" priority="136172" stopIfTrue="1" operator="greaterThanOrEqual">
      <formula>0.5</formula>
    </cfRule>
  </conditionalFormatting>
  <conditionalFormatting sqref="AN76">
    <cfRule type="cellIs" dxfId="14412" priority="136173" stopIfTrue="1" operator="equal">
      <formula>-1</formula>
    </cfRule>
  </conditionalFormatting>
  <conditionalFormatting sqref="AN76">
    <cfRule type="cellIs" dxfId="14411" priority="136174" stopIfTrue="1" operator="lessThan">
      <formula>0.5</formula>
    </cfRule>
  </conditionalFormatting>
  <conditionalFormatting sqref="AN76">
    <cfRule type="cellIs" dxfId="14410" priority="136175" stopIfTrue="1" operator="greaterThanOrEqual">
      <formula>0.5</formula>
    </cfRule>
  </conditionalFormatting>
  <conditionalFormatting sqref="AN77">
    <cfRule type="cellIs" dxfId="14409" priority="136176" stopIfTrue="1" operator="equal">
      <formula>-1</formula>
    </cfRule>
  </conditionalFormatting>
  <conditionalFormatting sqref="AN77">
    <cfRule type="cellIs" dxfId="14408" priority="136177" stopIfTrue="1" operator="lessThan">
      <formula>0.5</formula>
    </cfRule>
  </conditionalFormatting>
  <conditionalFormatting sqref="AN77">
    <cfRule type="cellIs" dxfId="14407" priority="136178" stopIfTrue="1" operator="greaterThanOrEqual">
      <formula>0.5</formula>
    </cfRule>
  </conditionalFormatting>
  <conditionalFormatting sqref="AN78">
    <cfRule type="cellIs" dxfId="14406" priority="136179" stopIfTrue="1" operator="equal">
      <formula>-1</formula>
    </cfRule>
  </conditionalFormatting>
  <conditionalFormatting sqref="AN78">
    <cfRule type="cellIs" dxfId="14405" priority="136180" stopIfTrue="1" operator="lessThan">
      <formula>0.5</formula>
    </cfRule>
  </conditionalFormatting>
  <conditionalFormatting sqref="AN78">
    <cfRule type="cellIs" dxfId="14404" priority="136181" stopIfTrue="1" operator="greaterThanOrEqual">
      <formula>0.5</formula>
    </cfRule>
  </conditionalFormatting>
  <conditionalFormatting sqref="AN79">
    <cfRule type="cellIs" dxfId="14403" priority="136182" stopIfTrue="1" operator="equal">
      <formula>-1</formula>
    </cfRule>
  </conditionalFormatting>
  <conditionalFormatting sqref="AN79">
    <cfRule type="cellIs" dxfId="14402" priority="136183" stopIfTrue="1" operator="lessThan">
      <formula>0.5</formula>
    </cfRule>
  </conditionalFormatting>
  <conditionalFormatting sqref="AN79">
    <cfRule type="cellIs" dxfId="14401" priority="136184" stopIfTrue="1" operator="greaterThanOrEqual">
      <formula>0.5</formula>
    </cfRule>
  </conditionalFormatting>
  <conditionalFormatting sqref="AN80">
    <cfRule type="cellIs" dxfId="14400" priority="136185" stopIfTrue="1" operator="equal">
      <formula>-1</formula>
    </cfRule>
  </conditionalFormatting>
  <conditionalFormatting sqref="AN80">
    <cfRule type="cellIs" dxfId="14399" priority="136186" stopIfTrue="1" operator="lessThan">
      <formula>0.5</formula>
    </cfRule>
  </conditionalFormatting>
  <conditionalFormatting sqref="AN80">
    <cfRule type="cellIs" dxfId="14398" priority="136187" stopIfTrue="1" operator="greaterThanOrEqual">
      <formula>0.5</formula>
    </cfRule>
  </conditionalFormatting>
  <conditionalFormatting sqref="AN81">
    <cfRule type="cellIs" dxfId="14397" priority="136188" stopIfTrue="1" operator="equal">
      <formula>-1</formula>
    </cfRule>
  </conditionalFormatting>
  <conditionalFormatting sqref="AN81">
    <cfRule type="cellIs" dxfId="14396" priority="136189" stopIfTrue="1" operator="lessThan">
      <formula>0.5</formula>
    </cfRule>
  </conditionalFormatting>
  <conditionalFormatting sqref="AN81">
    <cfRule type="cellIs" dxfId="14395" priority="136190" stopIfTrue="1" operator="greaterThanOrEqual">
      <formula>0.5</formula>
    </cfRule>
  </conditionalFormatting>
  <conditionalFormatting sqref="AN82">
    <cfRule type="cellIs" dxfId="14394" priority="136191" stopIfTrue="1" operator="equal">
      <formula>-1</formula>
    </cfRule>
  </conditionalFormatting>
  <conditionalFormatting sqref="AN82">
    <cfRule type="cellIs" dxfId="14393" priority="136192" stopIfTrue="1" operator="lessThan">
      <formula>0.5</formula>
    </cfRule>
  </conditionalFormatting>
  <conditionalFormatting sqref="AN82">
    <cfRule type="cellIs" dxfId="14392" priority="136193" stopIfTrue="1" operator="greaterThanOrEqual">
      <formula>0.5</formula>
    </cfRule>
  </conditionalFormatting>
  <conditionalFormatting sqref="AN83">
    <cfRule type="cellIs" dxfId="14391" priority="136194" stopIfTrue="1" operator="equal">
      <formula>-1</formula>
    </cfRule>
  </conditionalFormatting>
  <conditionalFormatting sqref="AN83">
    <cfRule type="cellIs" dxfId="14390" priority="136195" stopIfTrue="1" operator="lessThan">
      <formula>0.5</formula>
    </cfRule>
  </conditionalFormatting>
  <conditionalFormatting sqref="AN83">
    <cfRule type="cellIs" dxfId="14389" priority="136196" stopIfTrue="1" operator="greaterThanOrEqual">
      <formula>0.5</formula>
    </cfRule>
  </conditionalFormatting>
  <conditionalFormatting sqref="AN84">
    <cfRule type="cellIs" dxfId="14388" priority="136197" stopIfTrue="1" operator="equal">
      <formula>-1</formula>
    </cfRule>
  </conditionalFormatting>
  <conditionalFormatting sqref="AN84">
    <cfRule type="cellIs" dxfId="14387" priority="136198" stopIfTrue="1" operator="lessThan">
      <formula>0.5</formula>
    </cfRule>
  </conditionalFormatting>
  <conditionalFormatting sqref="AN84">
    <cfRule type="cellIs" dxfId="14386" priority="136199" stopIfTrue="1" operator="greaterThanOrEqual">
      <formula>0.5</formula>
    </cfRule>
  </conditionalFormatting>
  <conditionalFormatting sqref="AN85">
    <cfRule type="cellIs" dxfId="14385" priority="136200" stopIfTrue="1" operator="equal">
      <formula>-1</formula>
    </cfRule>
  </conditionalFormatting>
  <conditionalFormatting sqref="AN85">
    <cfRule type="cellIs" dxfId="14384" priority="136201" stopIfTrue="1" operator="lessThan">
      <formula>0.5</formula>
    </cfRule>
  </conditionalFormatting>
  <conditionalFormatting sqref="AN85">
    <cfRule type="cellIs" dxfId="14383" priority="136202" stopIfTrue="1" operator="greaterThanOrEqual">
      <formula>0.5</formula>
    </cfRule>
  </conditionalFormatting>
  <conditionalFormatting sqref="AP65">
    <cfRule type="cellIs" dxfId="14382" priority="136203" stopIfTrue="1" operator="equal">
      <formula>-1</formula>
    </cfRule>
  </conditionalFormatting>
  <conditionalFormatting sqref="AP65">
    <cfRule type="cellIs" dxfId="14381" priority="136204" stopIfTrue="1" operator="lessThan">
      <formula>0.5</formula>
    </cfRule>
  </conditionalFormatting>
  <conditionalFormatting sqref="AP65">
    <cfRule type="cellIs" dxfId="14380" priority="136205" stopIfTrue="1" operator="greaterThanOrEqual">
      <formula>0.5</formula>
    </cfRule>
  </conditionalFormatting>
  <conditionalFormatting sqref="AP66">
    <cfRule type="cellIs" dxfId="14379" priority="136206" stopIfTrue="1" operator="equal">
      <formula>-1</formula>
    </cfRule>
  </conditionalFormatting>
  <conditionalFormatting sqref="AP66">
    <cfRule type="cellIs" dxfId="14378" priority="136207" stopIfTrue="1" operator="lessThan">
      <formula>0.5</formula>
    </cfRule>
  </conditionalFormatting>
  <conditionalFormatting sqref="AP66">
    <cfRule type="cellIs" dxfId="14377" priority="136208" stopIfTrue="1" operator="greaterThanOrEqual">
      <formula>0.5</formula>
    </cfRule>
  </conditionalFormatting>
  <conditionalFormatting sqref="AP67">
    <cfRule type="cellIs" dxfId="14376" priority="136209" stopIfTrue="1" operator="equal">
      <formula>-1</formula>
    </cfRule>
  </conditionalFormatting>
  <conditionalFormatting sqref="AP67">
    <cfRule type="cellIs" dxfId="14375" priority="136210" stopIfTrue="1" operator="lessThan">
      <formula>0.5</formula>
    </cfRule>
  </conditionalFormatting>
  <conditionalFormatting sqref="AP67">
    <cfRule type="cellIs" dxfId="14374" priority="136211" stopIfTrue="1" operator="greaterThanOrEqual">
      <formula>0.5</formula>
    </cfRule>
  </conditionalFormatting>
  <conditionalFormatting sqref="AP68">
    <cfRule type="cellIs" dxfId="14373" priority="136212" stopIfTrue="1" operator="equal">
      <formula>-1</formula>
    </cfRule>
  </conditionalFormatting>
  <conditionalFormatting sqref="AP68">
    <cfRule type="cellIs" dxfId="14372" priority="136213" stopIfTrue="1" operator="lessThan">
      <formula>0.5</formula>
    </cfRule>
  </conditionalFormatting>
  <conditionalFormatting sqref="AP68">
    <cfRule type="cellIs" dxfId="14371" priority="136214" stopIfTrue="1" operator="greaterThanOrEqual">
      <formula>0.5</formula>
    </cfRule>
  </conditionalFormatting>
  <conditionalFormatting sqref="AP69">
    <cfRule type="cellIs" dxfId="14370" priority="136215" stopIfTrue="1" operator="equal">
      <formula>-1</formula>
    </cfRule>
  </conditionalFormatting>
  <conditionalFormatting sqref="AP69">
    <cfRule type="cellIs" dxfId="14369" priority="136216" stopIfTrue="1" operator="lessThan">
      <formula>0.5</formula>
    </cfRule>
  </conditionalFormatting>
  <conditionalFormatting sqref="AP69">
    <cfRule type="cellIs" dxfId="14368" priority="136217" stopIfTrue="1" operator="greaterThanOrEqual">
      <formula>0.5</formula>
    </cfRule>
  </conditionalFormatting>
  <conditionalFormatting sqref="AP70">
    <cfRule type="cellIs" dxfId="14367" priority="136218" stopIfTrue="1" operator="equal">
      <formula>-1</formula>
    </cfRule>
  </conditionalFormatting>
  <conditionalFormatting sqref="AP70">
    <cfRule type="cellIs" dxfId="14366" priority="136219" stopIfTrue="1" operator="lessThan">
      <formula>0.5</formula>
    </cfRule>
  </conditionalFormatting>
  <conditionalFormatting sqref="AP70">
    <cfRule type="cellIs" dxfId="14365" priority="136220" stopIfTrue="1" operator="greaterThanOrEqual">
      <formula>0.5</formula>
    </cfRule>
  </conditionalFormatting>
  <conditionalFormatting sqref="AP71">
    <cfRule type="cellIs" dxfId="14364" priority="136221" stopIfTrue="1" operator="equal">
      <formula>-1</formula>
    </cfRule>
  </conditionalFormatting>
  <conditionalFormatting sqref="AP71">
    <cfRule type="cellIs" dxfId="14363" priority="136222" stopIfTrue="1" operator="lessThan">
      <formula>0.5</formula>
    </cfRule>
  </conditionalFormatting>
  <conditionalFormatting sqref="AP71">
    <cfRule type="cellIs" dxfId="14362" priority="136223" stopIfTrue="1" operator="greaterThanOrEqual">
      <formula>0.5</formula>
    </cfRule>
  </conditionalFormatting>
  <conditionalFormatting sqref="AP72">
    <cfRule type="cellIs" dxfId="14361" priority="136224" stopIfTrue="1" operator="equal">
      <formula>-1</formula>
    </cfRule>
  </conditionalFormatting>
  <conditionalFormatting sqref="AP72">
    <cfRule type="cellIs" dxfId="14360" priority="136225" stopIfTrue="1" operator="lessThan">
      <formula>0.5</formula>
    </cfRule>
  </conditionalFormatting>
  <conditionalFormatting sqref="AP72">
    <cfRule type="cellIs" dxfId="14359" priority="136226" stopIfTrue="1" operator="greaterThanOrEqual">
      <formula>0.5</formula>
    </cfRule>
  </conditionalFormatting>
  <conditionalFormatting sqref="AP73">
    <cfRule type="cellIs" dxfId="14358" priority="136227" stopIfTrue="1" operator="equal">
      <formula>-1</formula>
    </cfRule>
  </conditionalFormatting>
  <conditionalFormatting sqref="AP73">
    <cfRule type="cellIs" dxfId="14357" priority="136228" stopIfTrue="1" operator="lessThan">
      <formula>0.5</formula>
    </cfRule>
  </conditionalFormatting>
  <conditionalFormatting sqref="AP73">
    <cfRule type="cellIs" dxfId="14356" priority="136229" stopIfTrue="1" operator="greaterThanOrEqual">
      <formula>0.5</formula>
    </cfRule>
  </conditionalFormatting>
  <conditionalFormatting sqref="AP74">
    <cfRule type="cellIs" dxfId="14355" priority="136230" stopIfTrue="1" operator="equal">
      <formula>-1</formula>
    </cfRule>
  </conditionalFormatting>
  <conditionalFormatting sqref="AP74">
    <cfRule type="cellIs" dxfId="14354" priority="136231" stopIfTrue="1" operator="lessThan">
      <formula>0.5</formula>
    </cfRule>
  </conditionalFormatting>
  <conditionalFormatting sqref="AP74">
    <cfRule type="cellIs" dxfId="14353" priority="136232" stopIfTrue="1" operator="greaterThanOrEqual">
      <formula>0.5</formula>
    </cfRule>
  </conditionalFormatting>
  <conditionalFormatting sqref="AP75">
    <cfRule type="cellIs" dxfId="14352" priority="136233" stopIfTrue="1" operator="equal">
      <formula>-1</formula>
    </cfRule>
  </conditionalFormatting>
  <conditionalFormatting sqref="AP75">
    <cfRule type="cellIs" dxfId="14351" priority="136234" stopIfTrue="1" operator="lessThan">
      <formula>0.5</formula>
    </cfRule>
  </conditionalFormatting>
  <conditionalFormatting sqref="AP75">
    <cfRule type="cellIs" dxfId="14350" priority="136235" stopIfTrue="1" operator="greaterThanOrEqual">
      <formula>0.5</formula>
    </cfRule>
  </conditionalFormatting>
  <conditionalFormatting sqref="AP76">
    <cfRule type="cellIs" dxfId="14349" priority="136236" stopIfTrue="1" operator="equal">
      <formula>-1</formula>
    </cfRule>
  </conditionalFormatting>
  <conditionalFormatting sqref="AP76">
    <cfRule type="cellIs" dxfId="14348" priority="136237" stopIfTrue="1" operator="lessThan">
      <formula>0.5</formula>
    </cfRule>
  </conditionalFormatting>
  <conditionalFormatting sqref="AP76">
    <cfRule type="cellIs" dxfId="14347" priority="136238" stopIfTrue="1" operator="greaterThanOrEqual">
      <formula>0.5</formula>
    </cfRule>
  </conditionalFormatting>
  <conditionalFormatting sqref="AP77">
    <cfRule type="cellIs" dxfId="14346" priority="136239" stopIfTrue="1" operator="equal">
      <formula>-1</formula>
    </cfRule>
  </conditionalFormatting>
  <conditionalFormatting sqref="AP77">
    <cfRule type="cellIs" dxfId="14345" priority="136240" stopIfTrue="1" operator="lessThan">
      <formula>0.5</formula>
    </cfRule>
  </conditionalFormatting>
  <conditionalFormatting sqref="AP77">
    <cfRule type="cellIs" dxfId="14344" priority="136241" stopIfTrue="1" operator="greaterThanOrEqual">
      <formula>0.5</formula>
    </cfRule>
  </conditionalFormatting>
  <conditionalFormatting sqref="AP78">
    <cfRule type="cellIs" dxfId="14343" priority="136242" stopIfTrue="1" operator="equal">
      <formula>-1</formula>
    </cfRule>
  </conditionalFormatting>
  <conditionalFormatting sqref="AP78">
    <cfRule type="cellIs" dxfId="14342" priority="136243" stopIfTrue="1" operator="lessThan">
      <formula>0.5</formula>
    </cfRule>
  </conditionalFormatting>
  <conditionalFormatting sqref="AP78">
    <cfRule type="cellIs" dxfId="14341" priority="136244" stopIfTrue="1" operator="greaterThanOrEqual">
      <formula>0.5</formula>
    </cfRule>
  </conditionalFormatting>
  <conditionalFormatting sqref="AP79">
    <cfRule type="cellIs" dxfId="14340" priority="136245" stopIfTrue="1" operator="equal">
      <formula>-1</formula>
    </cfRule>
  </conditionalFormatting>
  <conditionalFormatting sqref="AP79">
    <cfRule type="cellIs" dxfId="14339" priority="136246" stopIfTrue="1" operator="lessThan">
      <formula>0.5</formula>
    </cfRule>
  </conditionalFormatting>
  <conditionalFormatting sqref="AP79">
    <cfRule type="cellIs" dxfId="14338" priority="136247" stopIfTrue="1" operator="greaterThanOrEqual">
      <formula>0.5</formula>
    </cfRule>
  </conditionalFormatting>
  <conditionalFormatting sqref="AP80">
    <cfRule type="cellIs" dxfId="14337" priority="136248" stopIfTrue="1" operator="equal">
      <formula>-1</formula>
    </cfRule>
  </conditionalFormatting>
  <conditionalFormatting sqref="AP80">
    <cfRule type="cellIs" dxfId="14336" priority="136249" stopIfTrue="1" operator="lessThan">
      <formula>0.5</formula>
    </cfRule>
  </conditionalFormatting>
  <conditionalFormatting sqref="AP80">
    <cfRule type="cellIs" dxfId="14335" priority="136250" stopIfTrue="1" operator="greaterThanOrEqual">
      <formula>0.5</formula>
    </cfRule>
  </conditionalFormatting>
  <conditionalFormatting sqref="AP81">
    <cfRule type="cellIs" dxfId="14334" priority="136251" stopIfTrue="1" operator="equal">
      <formula>-1</formula>
    </cfRule>
  </conditionalFormatting>
  <conditionalFormatting sqref="AP81">
    <cfRule type="cellIs" dxfId="14333" priority="136252" stopIfTrue="1" operator="lessThan">
      <formula>0.5</formula>
    </cfRule>
  </conditionalFormatting>
  <conditionalFormatting sqref="AP81">
    <cfRule type="cellIs" dxfId="14332" priority="136253" stopIfTrue="1" operator="greaterThanOrEqual">
      <formula>0.5</formula>
    </cfRule>
  </conditionalFormatting>
  <conditionalFormatting sqref="AP82">
    <cfRule type="cellIs" dxfId="14331" priority="136254" stopIfTrue="1" operator="equal">
      <formula>-1</formula>
    </cfRule>
  </conditionalFormatting>
  <conditionalFormatting sqref="AP82">
    <cfRule type="cellIs" dxfId="14330" priority="136255" stopIfTrue="1" operator="lessThan">
      <formula>0.5</formula>
    </cfRule>
  </conditionalFormatting>
  <conditionalFormatting sqref="AP82">
    <cfRule type="cellIs" dxfId="14329" priority="136256" stopIfTrue="1" operator="greaterThanOrEqual">
      <formula>0.5</formula>
    </cfRule>
  </conditionalFormatting>
  <conditionalFormatting sqref="AP83">
    <cfRule type="cellIs" dxfId="14328" priority="136257" stopIfTrue="1" operator="equal">
      <formula>-1</formula>
    </cfRule>
  </conditionalFormatting>
  <conditionalFormatting sqref="AP83">
    <cfRule type="cellIs" dxfId="14327" priority="136258" stopIfTrue="1" operator="lessThan">
      <formula>0.5</formula>
    </cfRule>
  </conditionalFormatting>
  <conditionalFormatting sqref="AP83">
    <cfRule type="cellIs" dxfId="14326" priority="136259" stopIfTrue="1" operator="greaterThanOrEqual">
      <formula>0.5</formula>
    </cfRule>
  </conditionalFormatting>
  <conditionalFormatting sqref="AP84">
    <cfRule type="cellIs" dxfId="14325" priority="136260" stopIfTrue="1" operator="equal">
      <formula>-1</formula>
    </cfRule>
  </conditionalFormatting>
  <conditionalFormatting sqref="AP84">
    <cfRule type="cellIs" dxfId="14324" priority="136261" stopIfTrue="1" operator="lessThan">
      <formula>0.5</formula>
    </cfRule>
  </conditionalFormatting>
  <conditionalFormatting sqref="AP84">
    <cfRule type="cellIs" dxfId="14323" priority="136262" stopIfTrue="1" operator="greaterThanOrEqual">
      <formula>0.5</formula>
    </cfRule>
  </conditionalFormatting>
  <conditionalFormatting sqref="AP85">
    <cfRule type="cellIs" dxfId="14322" priority="136263" stopIfTrue="1" operator="equal">
      <formula>-1</formula>
    </cfRule>
  </conditionalFormatting>
  <conditionalFormatting sqref="AP85">
    <cfRule type="cellIs" dxfId="14321" priority="136264" stopIfTrue="1" operator="lessThan">
      <formula>0.5</formula>
    </cfRule>
  </conditionalFormatting>
  <conditionalFormatting sqref="AP85">
    <cfRule type="cellIs" dxfId="14320" priority="136265" stopIfTrue="1" operator="greaterThanOrEqual">
      <formula>0.5</formula>
    </cfRule>
  </conditionalFormatting>
  <conditionalFormatting sqref="AR65">
    <cfRule type="cellIs" dxfId="14319" priority="136266" stopIfTrue="1" operator="equal">
      <formula>-1</formula>
    </cfRule>
  </conditionalFormatting>
  <conditionalFormatting sqref="AR65">
    <cfRule type="cellIs" dxfId="14318" priority="136267" stopIfTrue="1" operator="lessThan">
      <formula>0.5</formula>
    </cfRule>
  </conditionalFormatting>
  <conditionalFormatting sqref="AR65">
    <cfRule type="cellIs" dxfId="14317" priority="136268" stopIfTrue="1" operator="greaterThanOrEqual">
      <formula>0.5</formula>
    </cfRule>
  </conditionalFormatting>
  <conditionalFormatting sqref="AR66">
    <cfRule type="cellIs" dxfId="14316" priority="136269" stopIfTrue="1" operator="equal">
      <formula>-1</formula>
    </cfRule>
  </conditionalFormatting>
  <conditionalFormatting sqref="AR66">
    <cfRule type="cellIs" dxfId="14315" priority="136270" stopIfTrue="1" operator="lessThan">
      <formula>0.5</formula>
    </cfRule>
  </conditionalFormatting>
  <conditionalFormatting sqref="AR66">
    <cfRule type="cellIs" dxfId="14314" priority="136271" stopIfTrue="1" operator="greaterThanOrEqual">
      <formula>0.5</formula>
    </cfRule>
  </conditionalFormatting>
  <conditionalFormatting sqref="AR67">
    <cfRule type="cellIs" dxfId="14313" priority="136272" stopIfTrue="1" operator="equal">
      <formula>-1</formula>
    </cfRule>
  </conditionalFormatting>
  <conditionalFormatting sqref="AR67">
    <cfRule type="cellIs" dxfId="14312" priority="136273" stopIfTrue="1" operator="lessThan">
      <formula>0.5</formula>
    </cfRule>
  </conditionalFormatting>
  <conditionalFormatting sqref="AR67">
    <cfRule type="cellIs" dxfId="14311" priority="136274" stopIfTrue="1" operator="greaterThanOrEqual">
      <formula>0.5</formula>
    </cfRule>
  </conditionalFormatting>
  <conditionalFormatting sqref="AR68">
    <cfRule type="cellIs" dxfId="14310" priority="136275" stopIfTrue="1" operator="equal">
      <formula>-1</formula>
    </cfRule>
  </conditionalFormatting>
  <conditionalFormatting sqref="AR68">
    <cfRule type="cellIs" dxfId="14309" priority="136276" stopIfTrue="1" operator="lessThan">
      <formula>0.5</formula>
    </cfRule>
  </conditionalFormatting>
  <conditionalFormatting sqref="AR68">
    <cfRule type="cellIs" dxfId="14308" priority="136277" stopIfTrue="1" operator="greaterThanOrEqual">
      <formula>0.5</formula>
    </cfRule>
  </conditionalFormatting>
  <conditionalFormatting sqref="AR69">
    <cfRule type="cellIs" dxfId="14307" priority="136278" stopIfTrue="1" operator="equal">
      <formula>-1</formula>
    </cfRule>
  </conditionalFormatting>
  <conditionalFormatting sqref="AR69">
    <cfRule type="cellIs" dxfId="14306" priority="136279" stopIfTrue="1" operator="lessThan">
      <formula>0.5</formula>
    </cfRule>
  </conditionalFormatting>
  <conditionalFormatting sqref="AR69">
    <cfRule type="cellIs" dxfId="14305" priority="136280" stopIfTrue="1" operator="greaterThanOrEqual">
      <formula>0.5</formula>
    </cfRule>
  </conditionalFormatting>
  <conditionalFormatting sqref="AR70">
    <cfRule type="cellIs" dxfId="14304" priority="136281" stopIfTrue="1" operator="equal">
      <formula>-1</formula>
    </cfRule>
  </conditionalFormatting>
  <conditionalFormatting sqref="AR70">
    <cfRule type="cellIs" dxfId="14303" priority="136282" stopIfTrue="1" operator="lessThan">
      <formula>0.5</formula>
    </cfRule>
  </conditionalFormatting>
  <conditionalFormatting sqref="AR70">
    <cfRule type="cellIs" dxfId="14302" priority="136283" stopIfTrue="1" operator="greaterThanOrEqual">
      <formula>0.5</formula>
    </cfRule>
  </conditionalFormatting>
  <conditionalFormatting sqref="AR71">
    <cfRule type="cellIs" dxfId="14301" priority="136284" stopIfTrue="1" operator="equal">
      <formula>-1</formula>
    </cfRule>
  </conditionalFormatting>
  <conditionalFormatting sqref="AR71">
    <cfRule type="cellIs" dxfId="14300" priority="136285" stopIfTrue="1" operator="lessThan">
      <formula>0.5</formula>
    </cfRule>
  </conditionalFormatting>
  <conditionalFormatting sqref="AR71">
    <cfRule type="cellIs" dxfId="14299" priority="136286" stopIfTrue="1" operator="greaterThanOrEqual">
      <formula>0.5</formula>
    </cfRule>
  </conditionalFormatting>
  <conditionalFormatting sqref="AR72">
    <cfRule type="cellIs" dxfId="14298" priority="136287" stopIfTrue="1" operator="equal">
      <formula>-1</formula>
    </cfRule>
  </conditionalFormatting>
  <conditionalFormatting sqref="AR72">
    <cfRule type="cellIs" dxfId="14297" priority="136288" stopIfTrue="1" operator="lessThan">
      <formula>0.5</formula>
    </cfRule>
  </conditionalFormatting>
  <conditionalFormatting sqref="AR72">
    <cfRule type="cellIs" dxfId="14296" priority="136289" stopIfTrue="1" operator="greaterThanOrEqual">
      <formula>0.5</formula>
    </cfRule>
  </conditionalFormatting>
  <conditionalFormatting sqref="AR73">
    <cfRule type="cellIs" dxfId="14295" priority="136290" stopIfTrue="1" operator="equal">
      <formula>-1</formula>
    </cfRule>
  </conditionalFormatting>
  <conditionalFormatting sqref="AR73">
    <cfRule type="cellIs" dxfId="14294" priority="136291" stopIfTrue="1" operator="lessThan">
      <formula>0.5</formula>
    </cfRule>
  </conditionalFormatting>
  <conditionalFormatting sqref="AR73">
    <cfRule type="cellIs" dxfId="14293" priority="136292" stopIfTrue="1" operator="greaterThanOrEqual">
      <formula>0.5</formula>
    </cfRule>
  </conditionalFormatting>
  <conditionalFormatting sqref="AR74">
    <cfRule type="cellIs" dxfId="14292" priority="136293" stopIfTrue="1" operator="equal">
      <formula>-1</formula>
    </cfRule>
  </conditionalFormatting>
  <conditionalFormatting sqref="AR74">
    <cfRule type="cellIs" dxfId="14291" priority="136294" stopIfTrue="1" operator="lessThan">
      <formula>0.5</formula>
    </cfRule>
  </conditionalFormatting>
  <conditionalFormatting sqref="AR74">
    <cfRule type="cellIs" dxfId="14290" priority="136295" stopIfTrue="1" operator="greaterThanOrEqual">
      <formula>0.5</formula>
    </cfRule>
  </conditionalFormatting>
  <conditionalFormatting sqref="AR75">
    <cfRule type="cellIs" dxfId="14289" priority="136296" stopIfTrue="1" operator="equal">
      <formula>-1</formula>
    </cfRule>
  </conditionalFormatting>
  <conditionalFormatting sqref="AR75">
    <cfRule type="cellIs" dxfId="14288" priority="136297" stopIfTrue="1" operator="lessThan">
      <formula>0.5</formula>
    </cfRule>
  </conditionalFormatting>
  <conditionalFormatting sqref="AR75">
    <cfRule type="cellIs" dxfId="14287" priority="136298" stopIfTrue="1" operator="greaterThanOrEqual">
      <formula>0.5</formula>
    </cfRule>
  </conditionalFormatting>
  <conditionalFormatting sqref="AR76">
    <cfRule type="cellIs" dxfId="14286" priority="136299" stopIfTrue="1" operator="equal">
      <formula>-1</formula>
    </cfRule>
  </conditionalFormatting>
  <conditionalFormatting sqref="AR76">
    <cfRule type="cellIs" dxfId="14285" priority="136300" stopIfTrue="1" operator="lessThan">
      <formula>0.5</formula>
    </cfRule>
  </conditionalFormatting>
  <conditionalFormatting sqref="AR76">
    <cfRule type="cellIs" dxfId="14284" priority="136301" stopIfTrue="1" operator="greaterThanOrEqual">
      <formula>0.5</formula>
    </cfRule>
  </conditionalFormatting>
  <conditionalFormatting sqref="AR77">
    <cfRule type="cellIs" dxfId="14283" priority="136302" stopIfTrue="1" operator="equal">
      <formula>-1</formula>
    </cfRule>
  </conditionalFormatting>
  <conditionalFormatting sqref="AR77">
    <cfRule type="cellIs" dxfId="14282" priority="136303" stopIfTrue="1" operator="lessThan">
      <formula>0.5</formula>
    </cfRule>
  </conditionalFormatting>
  <conditionalFormatting sqref="AR77">
    <cfRule type="cellIs" dxfId="14281" priority="136304" stopIfTrue="1" operator="greaterThanOrEqual">
      <formula>0.5</formula>
    </cfRule>
  </conditionalFormatting>
  <conditionalFormatting sqref="AR78">
    <cfRule type="cellIs" dxfId="14280" priority="136305" stopIfTrue="1" operator="equal">
      <formula>-1</formula>
    </cfRule>
  </conditionalFormatting>
  <conditionalFormatting sqref="AR78">
    <cfRule type="cellIs" dxfId="14279" priority="136306" stopIfTrue="1" operator="lessThan">
      <formula>0.5</formula>
    </cfRule>
  </conditionalFormatting>
  <conditionalFormatting sqref="AR78">
    <cfRule type="cellIs" dxfId="14278" priority="136307" stopIfTrue="1" operator="greaterThanOrEqual">
      <formula>0.5</formula>
    </cfRule>
  </conditionalFormatting>
  <conditionalFormatting sqref="AR79">
    <cfRule type="cellIs" dxfId="14277" priority="136308" stopIfTrue="1" operator="equal">
      <formula>-1</formula>
    </cfRule>
  </conditionalFormatting>
  <conditionalFormatting sqref="AR79">
    <cfRule type="cellIs" dxfId="14276" priority="136309" stopIfTrue="1" operator="lessThan">
      <formula>0.5</formula>
    </cfRule>
  </conditionalFormatting>
  <conditionalFormatting sqref="AR79">
    <cfRule type="cellIs" dxfId="14275" priority="136310" stopIfTrue="1" operator="greaterThanOrEqual">
      <formula>0.5</formula>
    </cfRule>
  </conditionalFormatting>
  <conditionalFormatting sqref="AR80">
    <cfRule type="cellIs" dxfId="14274" priority="136311" stopIfTrue="1" operator="equal">
      <formula>-1</formula>
    </cfRule>
  </conditionalFormatting>
  <conditionalFormatting sqref="AR80">
    <cfRule type="cellIs" dxfId="14273" priority="136312" stopIfTrue="1" operator="lessThan">
      <formula>0.5</formula>
    </cfRule>
  </conditionalFormatting>
  <conditionalFormatting sqref="AR80">
    <cfRule type="cellIs" dxfId="14272" priority="136313" stopIfTrue="1" operator="greaterThanOrEqual">
      <formula>0.5</formula>
    </cfRule>
  </conditionalFormatting>
  <conditionalFormatting sqref="AR81">
    <cfRule type="cellIs" dxfId="14271" priority="136314" stopIfTrue="1" operator="equal">
      <formula>-1</formula>
    </cfRule>
  </conditionalFormatting>
  <conditionalFormatting sqref="AR81">
    <cfRule type="cellIs" dxfId="14270" priority="136315" stopIfTrue="1" operator="lessThan">
      <formula>0.5</formula>
    </cfRule>
  </conditionalFormatting>
  <conditionalFormatting sqref="AR81">
    <cfRule type="cellIs" dxfId="14269" priority="136316" stopIfTrue="1" operator="greaterThanOrEqual">
      <formula>0.5</formula>
    </cfRule>
  </conditionalFormatting>
  <conditionalFormatting sqref="AR82">
    <cfRule type="cellIs" dxfId="14268" priority="136317" stopIfTrue="1" operator="equal">
      <formula>-1</formula>
    </cfRule>
  </conditionalFormatting>
  <conditionalFormatting sqref="AR82">
    <cfRule type="cellIs" dxfId="14267" priority="136318" stopIfTrue="1" operator="lessThan">
      <formula>0.5</formula>
    </cfRule>
  </conditionalFormatting>
  <conditionalFormatting sqref="AR82">
    <cfRule type="cellIs" dxfId="14266" priority="136319" stopIfTrue="1" operator="greaterThanOrEqual">
      <formula>0.5</formula>
    </cfRule>
  </conditionalFormatting>
  <conditionalFormatting sqref="AR83">
    <cfRule type="cellIs" dxfId="14265" priority="136320" stopIfTrue="1" operator="equal">
      <formula>-1</formula>
    </cfRule>
  </conditionalFormatting>
  <conditionalFormatting sqref="AR83">
    <cfRule type="cellIs" dxfId="14264" priority="136321" stopIfTrue="1" operator="lessThan">
      <formula>0.5</formula>
    </cfRule>
  </conditionalFormatting>
  <conditionalFormatting sqref="AR83">
    <cfRule type="cellIs" dxfId="14263" priority="136322" stopIfTrue="1" operator="greaterThanOrEqual">
      <formula>0.5</formula>
    </cfRule>
  </conditionalFormatting>
  <conditionalFormatting sqref="AR84">
    <cfRule type="cellIs" dxfId="14262" priority="136323" stopIfTrue="1" operator="equal">
      <formula>-1</formula>
    </cfRule>
  </conditionalFormatting>
  <conditionalFormatting sqref="AR84">
    <cfRule type="cellIs" dxfId="14261" priority="136324" stopIfTrue="1" operator="lessThan">
      <formula>0.5</formula>
    </cfRule>
  </conditionalFormatting>
  <conditionalFormatting sqref="AR84">
    <cfRule type="cellIs" dxfId="14260" priority="136325" stopIfTrue="1" operator="greaterThanOrEqual">
      <formula>0.5</formula>
    </cfRule>
  </conditionalFormatting>
  <conditionalFormatting sqref="AR85">
    <cfRule type="cellIs" dxfId="14259" priority="136326" stopIfTrue="1" operator="equal">
      <formula>-1</formula>
    </cfRule>
  </conditionalFormatting>
  <conditionalFormatting sqref="AR85">
    <cfRule type="cellIs" dxfId="14258" priority="136327" stopIfTrue="1" operator="lessThan">
      <formula>0.5</formula>
    </cfRule>
  </conditionalFormatting>
  <conditionalFormatting sqref="AR85">
    <cfRule type="cellIs" dxfId="14257" priority="136328" stopIfTrue="1" operator="greaterThanOrEqual">
      <formula>0.5</formula>
    </cfRule>
  </conditionalFormatting>
  <conditionalFormatting sqref="AT65">
    <cfRule type="cellIs" dxfId="14256" priority="136329" stopIfTrue="1" operator="equal">
      <formula>-1</formula>
    </cfRule>
  </conditionalFormatting>
  <conditionalFormatting sqref="AT65">
    <cfRule type="cellIs" dxfId="14255" priority="136330" stopIfTrue="1" operator="lessThan">
      <formula>0.5</formula>
    </cfRule>
  </conditionalFormatting>
  <conditionalFormatting sqref="AT65">
    <cfRule type="cellIs" dxfId="14254" priority="136331" stopIfTrue="1" operator="greaterThanOrEqual">
      <formula>0.5</formula>
    </cfRule>
  </conditionalFormatting>
  <conditionalFormatting sqref="AT66">
    <cfRule type="cellIs" dxfId="14253" priority="136332" stopIfTrue="1" operator="equal">
      <formula>-1</formula>
    </cfRule>
  </conditionalFormatting>
  <conditionalFormatting sqref="AT66">
    <cfRule type="cellIs" dxfId="14252" priority="136333" stopIfTrue="1" operator="lessThan">
      <formula>0.5</formula>
    </cfRule>
  </conditionalFormatting>
  <conditionalFormatting sqref="AT66">
    <cfRule type="cellIs" dxfId="14251" priority="136334" stopIfTrue="1" operator="greaterThanOrEqual">
      <formula>0.5</formula>
    </cfRule>
  </conditionalFormatting>
  <conditionalFormatting sqref="AT67">
    <cfRule type="cellIs" dxfId="14250" priority="136335" stopIfTrue="1" operator="equal">
      <formula>-1</formula>
    </cfRule>
  </conditionalFormatting>
  <conditionalFormatting sqref="AT67">
    <cfRule type="cellIs" dxfId="14249" priority="136336" stopIfTrue="1" operator="lessThan">
      <formula>0.5</formula>
    </cfRule>
  </conditionalFormatting>
  <conditionalFormatting sqref="AT67">
    <cfRule type="cellIs" dxfId="14248" priority="136337" stopIfTrue="1" operator="greaterThanOrEqual">
      <formula>0.5</formula>
    </cfRule>
  </conditionalFormatting>
  <conditionalFormatting sqref="AT68">
    <cfRule type="cellIs" dxfId="14247" priority="136338" stopIfTrue="1" operator="equal">
      <formula>-1</formula>
    </cfRule>
  </conditionalFormatting>
  <conditionalFormatting sqref="AT68">
    <cfRule type="cellIs" dxfId="14246" priority="136339" stopIfTrue="1" operator="lessThan">
      <formula>0.5</formula>
    </cfRule>
  </conditionalFormatting>
  <conditionalFormatting sqref="AT68">
    <cfRule type="cellIs" dxfId="14245" priority="136340" stopIfTrue="1" operator="greaterThanOrEqual">
      <formula>0.5</formula>
    </cfRule>
  </conditionalFormatting>
  <conditionalFormatting sqref="AT69">
    <cfRule type="cellIs" dxfId="14244" priority="136341" stopIfTrue="1" operator="equal">
      <formula>-1</formula>
    </cfRule>
  </conditionalFormatting>
  <conditionalFormatting sqref="AT69">
    <cfRule type="cellIs" dxfId="14243" priority="136342" stopIfTrue="1" operator="lessThan">
      <formula>0.5</formula>
    </cfRule>
  </conditionalFormatting>
  <conditionalFormatting sqref="AT69">
    <cfRule type="cellIs" dxfId="14242" priority="136343" stopIfTrue="1" operator="greaterThanOrEqual">
      <formula>0.5</formula>
    </cfRule>
  </conditionalFormatting>
  <conditionalFormatting sqref="AT70">
    <cfRule type="cellIs" dxfId="14241" priority="136344" stopIfTrue="1" operator="equal">
      <formula>-1</formula>
    </cfRule>
  </conditionalFormatting>
  <conditionalFormatting sqref="AT70">
    <cfRule type="cellIs" dxfId="14240" priority="136345" stopIfTrue="1" operator="lessThan">
      <formula>0.5</formula>
    </cfRule>
  </conditionalFormatting>
  <conditionalFormatting sqref="AT70">
    <cfRule type="cellIs" dxfId="14239" priority="136346" stopIfTrue="1" operator="greaterThanOrEqual">
      <formula>0.5</formula>
    </cfRule>
  </conditionalFormatting>
  <conditionalFormatting sqref="AT71">
    <cfRule type="cellIs" dxfId="14238" priority="136347" stopIfTrue="1" operator="equal">
      <formula>-1</formula>
    </cfRule>
  </conditionalFormatting>
  <conditionalFormatting sqref="AT71">
    <cfRule type="cellIs" dxfId="14237" priority="136348" stopIfTrue="1" operator="lessThan">
      <formula>0.5</formula>
    </cfRule>
  </conditionalFormatting>
  <conditionalFormatting sqref="AT71">
    <cfRule type="cellIs" dxfId="14236" priority="136349" stopIfTrue="1" operator="greaterThanOrEqual">
      <formula>0.5</formula>
    </cfRule>
  </conditionalFormatting>
  <conditionalFormatting sqref="AT72">
    <cfRule type="cellIs" dxfId="14235" priority="136350" stopIfTrue="1" operator="equal">
      <formula>-1</formula>
    </cfRule>
  </conditionalFormatting>
  <conditionalFormatting sqref="AT72">
    <cfRule type="cellIs" dxfId="14234" priority="136351" stopIfTrue="1" operator="lessThan">
      <formula>0.5</formula>
    </cfRule>
  </conditionalFormatting>
  <conditionalFormatting sqref="AT72">
    <cfRule type="cellIs" dxfId="14233" priority="136352" stopIfTrue="1" operator="greaterThanOrEqual">
      <formula>0.5</formula>
    </cfRule>
  </conditionalFormatting>
  <conditionalFormatting sqref="AT73">
    <cfRule type="cellIs" dxfId="14232" priority="136353" stopIfTrue="1" operator="equal">
      <formula>-1</formula>
    </cfRule>
  </conditionalFormatting>
  <conditionalFormatting sqref="AT73">
    <cfRule type="cellIs" dxfId="14231" priority="136354" stopIfTrue="1" operator="lessThan">
      <formula>0.5</formula>
    </cfRule>
  </conditionalFormatting>
  <conditionalFormatting sqref="AT73">
    <cfRule type="cellIs" dxfId="14230" priority="136355" stopIfTrue="1" operator="greaterThanOrEqual">
      <formula>0.5</formula>
    </cfRule>
  </conditionalFormatting>
  <conditionalFormatting sqref="AT74">
    <cfRule type="cellIs" dxfId="14229" priority="136356" stopIfTrue="1" operator="equal">
      <formula>-1</formula>
    </cfRule>
  </conditionalFormatting>
  <conditionalFormatting sqref="AT74">
    <cfRule type="cellIs" dxfId="14228" priority="136357" stopIfTrue="1" operator="lessThan">
      <formula>0.5</formula>
    </cfRule>
  </conditionalFormatting>
  <conditionalFormatting sqref="AT74">
    <cfRule type="cellIs" dxfId="14227" priority="136358" stopIfTrue="1" operator="greaterThanOrEqual">
      <formula>0.5</formula>
    </cfRule>
  </conditionalFormatting>
  <conditionalFormatting sqref="AT75">
    <cfRule type="cellIs" dxfId="14226" priority="136359" stopIfTrue="1" operator="equal">
      <formula>-1</formula>
    </cfRule>
  </conditionalFormatting>
  <conditionalFormatting sqref="AT75">
    <cfRule type="cellIs" dxfId="14225" priority="136360" stopIfTrue="1" operator="lessThan">
      <formula>0.5</formula>
    </cfRule>
  </conditionalFormatting>
  <conditionalFormatting sqref="AT75">
    <cfRule type="cellIs" dxfId="14224" priority="136361" stopIfTrue="1" operator="greaterThanOrEqual">
      <formula>0.5</formula>
    </cfRule>
  </conditionalFormatting>
  <conditionalFormatting sqref="AT76">
    <cfRule type="cellIs" dxfId="14223" priority="136362" stopIfTrue="1" operator="equal">
      <formula>-1</formula>
    </cfRule>
  </conditionalFormatting>
  <conditionalFormatting sqref="AT76">
    <cfRule type="cellIs" dxfId="14222" priority="136363" stopIfTrue="1" operator="lessThan">
      <formula>0.5</formula>
    </cfRule>
  </conditionalFormatting>
  <conditionalFormatting sqref="AT76">
    <cfRule type="cellIs" dxfId="14221" priority="136364" stopIfTrue="1" operator="greaterThanOrEqual">
      <formula>0.5</formula>
    </cfRule>
  </conditionalFormatting>
  <conditionalFormatting sqref="AT77">
    <cfRule type="cellIs" dxfId="14220" priority="136365" stopIfTrue="1" operator="equal">
      <formula>-1</formula>
    </cfRule>
  </conditionalFormatting>
  <conditionalFormatting sqref="AT77">
    <cfRule type="cellIs" dxfId="14219" priority="136366" stopIfTrue="1" operator="lessThan">
      <formula>0.5</formula>
    </cfRule>
  </conditionalFormatting>
  <conditionalFormatting sqref="AT77">
    <cfRule type="cellIs" dxfId="14218" priority="136367" stopIfTrue="1" operator="greaterThanOrEqual">
      <formula>0.5</formula>
    </cfRule>
  </conditionalFormatting>
  <conditionalFormatting sqref="AT78">
    <cfRule type="cellIs" dxfId="14217" priority="136368" stopIfTrue="1" operator="equal">
      <formula>-1</formula>
    </cfRule>
  </conditionalFormatting>
  <conditionalFormatting sqref="AT78">
    <cfRule type="cellIs" dxfId="14216" priority="136369" stopIfTrue="1" operator="lessThan">
      <formula>0.5</formula>
    </cfRule>
  </conditionalFormatting>
  <conditionalFormatting sqref="AT78">
    <cfRule type="cellIs" dxfId="14215" priority="136370" stopIfTrue="1" operator="greaterThanOrEqual">
      <formula>0.5</formula>
    </cfRule>
  </conditionalFormatting>
  <conditionalFormatting sqref="AT79">
    <cfRule type="cellIs" dxfId="14214" priority="136371" stopIfTrue="1" operator="equal">
      <formula>-1</formula>
    </cfRule>
  </conditionalFormatting>
  <conditionalFormatting sqref="AT79">
    <cfRule type="cellIs" dxfId="14213" priority="136372" stopIfTrue="1" operator="lessThan">
      <formula>0.5</formula>
    </cfRule>
  </conditionalFormatting>
  <conditionalFormatting sqref="AT79">
    <cfRule type="cellIs" dxfId="14212" priority="136373" stopIfTrue="1" operator="greaterThanOrEqual">
      <formula>0.5</formula>
    </cfRule>
  </conditionalFormatting>
  <conditionalFormatting sqref="AT80">
    <cfRule type="cellIs" dxfId="14211" priority="136374" stopIfTrue="1" operator="equal">
      <formula>-1</formula>
    </cfRule>
  </conditionalFormatting>
  <conditionalFormatting sqref="AT80">
    <cfRule type="cellIs" dxfId="14210" priority="136375" stopIfTrue="1" operator="lessThan">
      <formula>0.5</formula>
    </cfRule>
  </conditionalFormatting>
  <conditionalFormatting sqref="AT80">
    <cfRule type="cellIs" dxfId="14209" priority="136376" stopIfTrue="1" operator="greaterThanOrEqual">
      <formula>0.5</formula>
    </cfRule>
  </conditionalFormatting>
  <conditionalFormatting sqref="AT81">
    <cfRule type="cellIs" dxfId="14208" priority="136377" stopIfTrue="1" operator="equal">
      <formula>-1</formula>
    </cfRule>
  </conditionalFormatting>
  <conditionalFormatting sqref="AT81">
    <cfRule type="cellIs" dxfId="14207" priority="136378" stopIfTrue="1" operator="lessThan">
      <formula>0.5</formula>
    </cfRule>
  </conditionalFormatting>
  <conditionalFormatting sqref="AT81">
    <cfRule type="cellIs" dxfId="14206" priority="136379" stopIfTrue="1" operator="greaterThanOrEqual">
      <formula>0.5</formula>
    </cfRule>
  </conditionalFormatting>
  <conditionalFormatting sqref="AT82">
    <cfRule type="cellIs" dxfId="14205" priority="136380" stopIfTrue="1" operator="equal">
      <formula>-1</formula>
    </cfRule>
  </conditionalFormatting>
  <conditionalFormatting sqref="AT82">
    <cfRule type="cellIs" dxfId="14204" priority="136381" stopIfTrue="1" operator="lessThan">
      <formula>0.5</formula>
    </cfRule>
  </conditionalFormatting>
  <conditionalFormatting sqref="AT82">
    <cfRule type="cellIs" dxfId="14203" priority="136382" stopIfTrue="1" operator="greaterThanOrEqual">
      <formula>0.5</formula>
    </cfRule>
  </conditionalFormatting>
  <conditionalFormatting sqref="AT83">
    <cfRule type="cellIs" dxfId="14202" priority="136383" stopIfTrue="1" operator="equal">
      <formula>-1</formula>
    </cfRule>
  </conditionalFormatting>
  <conditionalFormatting sqref="AT83">
    <cfRule type="cellIs" dxfId="14201" priority="136384" stopIfTrue="1" operator="lessThan">
      <formula>0.5</formula>
    </cfRule>
  </conditionalFormatting>
  <conditionalFormatting sqref="AT83">
    <cfRule type="cellIs" dxfId="14200" priority="136385" stopIfTrue="1" operator="greaterThanOrEqual">
      <formula>0.5</formula>
    </cfRule>
  </conditionalFormatting>
  <conditionalFormatting sqref="AT84">
    <cfRule type="cellIs" dxfId="14199" priority="136386" stopIfTrue="1" operator="equal">
      <formula>-1</formula>
    </cfRule>
  </conditionalFormatting>
  <conditionalFormatting sqref="AT84">
    <cfRule type="cellIs" dxfId="14198" priority="136387" stopIfTrue="1" operator="lessThan">
      <formula>0.5</formula>
    </cfRule>
  </conditionalFormatting>
  <conditionalFormatting sqref="AT84">
    <cfRule type="cellIs" dxfId="14197" priority="136388" stopIfTrue="1" operator="greaterThanOrEqual">
      <formula>0.5</formula>
    </cfRule>
  </conditionalFormatting>
  <conditionalFormatting sqref="AT85">
    <cfRule type="cellIs" dxfId="14196" priority="136389" stopIfTrue="1" operator="equal">
      <formula>-1</formula>
    </cfRule>
  </conditionalFormatting>
  <conditionalFormatting sqref="AT85">
    <cfRule type="cellIs" dxfId="14195" priority="136390" stopIfTrue="1" operator="lessThan">
      <formula>0.5</formula>
    </cfRule>
  </conditionalFormatting>
  <conditionalFormatting sqref="AT85">
    <cfRule type="cellIs" dxfId="14194" priority="136391" stopIfTrue="1" operator="greaterThanOrEqual">
      <formula>0.5</formula>
    </cfRule>
  </conditionalFormatting>
  <conditionalFormatting sqref="AV65">
    <cfRule type="cellIs" dxfId="14193" priority="136392" stopIfTrue="1" operator="equal">
      <formula>-1</formula>
    </cfRule>
  </conditionalFormatting>
  <conditionalFormatting sqref="AV65">
    <cfRule type="cellIs" dxfId="14192" priority="136393" stopIfTrue="1" operator="lessThan">
      <formula>0.5</formula>
    </cfRule>
  </conditionalFormatting>
  <conditionalFormatting sqref="AV65">
    <cfRule type="cellIs" dxfId="14191" priority="136394" stopIfTrue="1" operator="greaterThanOrEqual">
      <formula>0.5</formula>
    </cfRule>
  </conditionalFormatting>
  <conditionalFormatting sqref="AV66">
    <cfRule type="cellIs" dxfId="14190" priority="136395" stopIfTrue="1" operator="equal">
      <formula>-1</formula>
    </cfRule>
  </conditionalFormatting>
  <conditionalFormatting sqref="AV66">
    <cfRule type="cellIs" dxfId="14189" priority="136396" stopIfTrue="1" operator="lessThan">
      <formula>0.5</formula>
    </cfRule>
  </conditionalFormatting>
  <conditionalFormatting sqref="AV66">
    <cfRule type="cellIs" dxfId="14188" priority="136397" stopIfTrue="1" operator="greaterThanOrEqual">
      <formula>0.5</formula>
    </cfRule>
  </conditionalFormatting>
  <conditionalFormatting sqref="AV67">
    <cfRule type="cellIs" dxfId="14187" priority="136398" stopIfTrue="1" operator="equal">
      <formula>-1</formula>
    </cfRule>
  </conditionalFormatting>
  <conditionalFormatting sqref="AV67">
    <cfRule type="cellIs" dxfId="14186" priority="136399" stopIfTrue="1" operator="lessThan">
      <formula>0.5</formula>
    </cfRule>
  </conditionalFormatting>
  <conditionalFormatting sqref="AV67">
    <cfRule type="cellIs" dxfId="14185" priority="136400" stopIfTrue="1" operator="greaterThanOrEqual">
      <formula>0.5</formula>
    </cfRule>
  </conditionalFormatting>
  <conditionalFormatting sqref="AV68">
    <cfRule type="cellIs" dxfId="14184" priority="136401" stopIfTrue="1" operator="equal">
      <formula>-1</formula>
    </cfRule>
  </conditionalFormatting>
  <conditionalFormatting sqref="AV68">
    <cfRule type="cellIs" dxfId="14183" priority="136402" stopIfTrue="1" operator="lessThan">
      <formula>0.5</formula>
    </cfRule>
  </conditionalFormatting>
  <conditionalFormatting sqref="AV68">
    <cfRule type="cellIs" dxfId="14182" priority="136403" stopIfTrue="1" operator="greaterThanOrEqual">
      <formula>0.5</formula>
    </cfRule>
  </conditionalFormatting>
  <conditionalFormatting sqref="AV69">
    <cfRule type="cellIs" dxfId="14181" priority="136404" stopIfTrue="1" operator="equal">
      <formula>-1</formula>
    </cfRule>
  </conditionalFormatting>
  <conditionalFormatting sqref="AV69">
    <cfRule type="cellIs" dxfId="14180" priority="136405" stopIfTrue="1" operator="lessThan">
      <formula>0.5</formula>
    </cfRule>
  </conditionalFormatting>
  <conditionalFormatting sqref="AV69">
    <cfRule type="cellIs" dxfId="14179" priority="136406" stopIfTrue="1" operator="greaterThanOrEqual">
      <formula>0.5</formula>
    </cfRule>
  </conditionalFormatting>
  <conditionalFormatting sqref="AV70">
    <cfRule type="cellIs" dxfId="14178" priority="136407" stopIfTrue="1" operator="equal">
      <formula>-1</formula>
    </cfRule>
  </conditionalFormatting>
  <conditionalFormatting sqref="AV70">
    <cfRule type="cellIs" dxfId="14177" priority="136408" stopIfTrue="1" operator="lessThan">
      <formula>0.5</formula>
    </cfRule>
  </conditionalFormatting>
  <conditionalFormatting sqref="AV70">
    <cfRule type="cellIs" dxfId="14176" priority="136409" stopIfTrue="1" operator="greaterThanOrEqual">
      <formula>0.5</formula>
    </cfRule>
  </conditionalFormatting>
  <conditionalFormatting sqref="AV71">
    <cfRule type="cellIs" dxfId="14175" priority="136410" stopIfTrue="1" operator="equal">
      <formula>-1</formula>
    </cfRule>
  </conditionalFormatting>
  <conditionalFormatting sqref="AV71">
    <cfRule type="cellIs" dxfId="14174" priority="136411" stopIfTrue="1" operator="lessThan">
      <formula>0.5</formula>
    </cfRule>
  </conditionalFormatting>
  <conditionalFormatting sqref="AV71">
    <cfRule type="cellIs" dxfId="14173" priority="136412" stopIfTrue="1" operator="greaterThanOrEqual">
      <formula>0.5</formula>
    </cfRule>
  </conditionalFormatting>
  <conditionalFormatting sqref="AV72">
    <cfRule type="cellIs" dxfId="14172" priority="136413" stopIfTrue="1" operator="equal">
      <formula>-1</formula>
    </cfRule>
  </conditionalFormatting>
  <conditionalFormatting sqref="AV72">
    <cfRule type="cellIs" dxfId="14171" priority="136414" stopIfTrue="1" operator="lessThan">
      <formula>0.5</formula>
    </cfRule>
  </conditionalFormatting>
  <conditionalFormatting sqref="AV72">
    <cfRule type="cellIs" dxfId="14170" priority="136415" stopIfTrue="1" operator="greaterThanOrEqual">
      <formula>0.5</formula>
    </cfRule>
  </conditionalFormatting>
  <conditionalFormatting sqref="AV73">
    <cfRule type="cellIs" dxfId="14169" priority="136416" stopIfTrue="1" operator="equal">
      <formula>-1</formula>
    </cfRule>
  </conditionalFormatting>
  <conditionalFormatting sqref="AV73">
    <cfRule type="cellIs" dxfId="14168" priority="136417" stopIfTrue="1" operator="lessThan">
      <formula>0.5</formula>
    </cfRule>
  </conditionalFormatting>
  <conditionalFormatting sqref="AV73">
    <cfRule type="cellIs" dxfId="14167" priority="136418" stopIfTrue="1" operator="greaterThanOrEqual">
      <formula>0.5</formula>
    </cfRule>
  </conditionalFormatting>
  <conditionalFormatting sqref="AV74">
    <cfRule type="cellIs" dxfId="14166" priority="136419" stopIfTrue="1" operator="equal">
      <formula>-1</formula>
    </cfRule>
  </conditionalFormatting>
  <conditionalFormatting sqref="AV74">
    <cfRule type="cellIs" dxfId="14165" priority="136420" stopIfTrue="1" operator="lessThan">
      <formula>0.5</formula>
    </cfRule>
  </conditionalFormatting>
  <conditionalFormatting sqref="AV74">
    <cfRule type="cellIs" dxfId="14164" priority="136421" stopIfTrue="1" operator="greaterThanOrEqual">
      <formula>0.5</formula>
    </cfRule>
  </conditionalFormatting>
  <conditionalFormatting sqref="AV75">
    <cfRule type="cellIs" dxfId="14163" priority="136422" stopIfTrue="1" operator="equal">
      <formula>-1</formula>
    </cfRule>
  </conditionalFormatting>
  <conditionalFormatting sqref="AV75">
    <cfRule type="cellIs" dxfId="14162" priority="136423" stopIfTrue="1" operator="lessThan">
      <formula>0.5</formula>
    </cfRule>
  </conditionalFormatting>
  <conditionalFormatting sqref="AV75">
    <cfRule type="cellIs" dxfId="14161" priority="136424" stopIfTrue="1" operator="greaterThanOrEqual">
      <formula>0.5</formula>
    </cfRule>
  </conditionalFormatting>
  <conditionalFormatting sqref="AV76">
    <cfRule type="cellIs" dxfId="14160" priority="136425" stopIfTrue="1" operator="equal">
      <formula>-1</formula>
    </cfRule>
  </conditionalFormatting>
  <conditionalFormatting sqref="AV76">
    <cfRule type="cellIs" dxfId="14159" priority="136426" stopIfTrue="1" operator="lessThan">
      <formula>0.5</formula>
    </cfRule>
  </conditionalFormatting>
  <conditionalFormatting sqref="AV76">
    <cfRule type="cellIs" dxfId="14158" priority="136427" stopIfTrue="1" operator="greaterThanOrEqual">
      <formula>0.5</formula>
    </cfRule>
  </conditionalFormatting>
  <conditionalFormatting sqref="AV77">
    <cfRule type="cellIs" dxfId="14157" priority="136428" stopIfTrue="1" operator="equal">
      <formula>-1</formula>
    </cfRule>
  </conditionalFormatting>
  <conditionalFormatting sqref="AV77">
    <cfRule type="cellIs" dxfId="14156" priority="136429" stopIfTrue="1" operator="lessThan">
      <formula>0.5</formula>
    </cfRule>
  </conditionalFormatting>
  <conditionalFormatting sqref="AV77">
    <cfRule type="cellIs" dxfId="14155" priority="136430" stopIfTrue="1" operator="greaterThanOrEqual">
      <formula>0.5</formula>
    </cfRule>
  </conditionalFormatting>
  <conditionalFormatting sqref="AV78">
    <cfRule type="cellIs" dxfId="14154" priority="136431" stopIfTrue="1" operator="equal">
      <formula>-1</formula>
    </cfRule>
  </conditionalFormatting>
  <conditionalFormatting sqref="AV78">
    <cfRule type="cellIs" dxfId="14153" priority="136432" stopIfTrue="1" operator="lessThan">
      <formula>0.5</formula>
    </cfRule>
  </conditionalFormatting>
  <conditionalFormatting sqref="AV78">
    <cfRule type="cellIs" dxfId="14152" priority="136433" stopIfTrue="1" operator="greaterThanOrEqual">
      <formula>0.5</formula>
    </cfRule>
  </conditionalFormatting>
  <conditionalFormatting sqref="AV79">
    <cfRule type="cellIs" dxfId="14151" priority="136434" stopIfTrue="1" operator="equal">
      <formula>-1</formula>
    </cfRule>
  </conditionalFormatting>
  <conditionalFormatting sqref="AV79">
    <cfRule type="cellIs" dxfId="14150" priority="136435" stopIfTrue="1" operator="lessThan">
      <formula>0.5</formula>
    </cfRule>
  </conditionalFormatting>
  <conditionalFormatting sqref="AV79">
    <cfRule type="cellIs" dxfId="14149" priority="136436" stopIfTrue="1" operator="greaterThanOrEqual">
      <formula>0.5</formula>
    </cfRule>
  </conditionalFormatting>
  <conditionalFormatting sqref="AV80">
    <cfRule type="cellIs" dxfId="14148" priority="136437" stopIfTrue="1" operator="equal">
      <formula>-1</formula>
    </cfRule>
  </conditionalFormatting>
  <conditionalFormatting sqref="AV80">
    <cfRule type="cellIs" dxfId="14147" priority="136438" stopIfTrue="1" operator="lessThan">
      <formula>0.5</formula>
    </cfRule>
  </conditionalFormatting>
  <conditionalFormatting sqref="AV80">
    <cfRule type="cellIs" dxfId="14146" priority="136439" stopIfTrue="1" operator="greaterThanOrEqual">
      <formula>0.5</formula>
    </cfRule>
  </conditionalFormatting>
  <conditionalFormatting sqref="AV81">
    <cfRule type="cellIs" dxfId="14145" priority="136440" stopIfTrue="1" operator="equal">
      <formula>-1</formula>
    </cfRule>
  </conditionalFormatting>
  <conditionalFormatting sqref="AV81">
    <cfRule type="cellIs" dxfId="14144" priority="136441" stopIfTrue="1" operator="lessThan">
      <formula>0.5</formula>
    </cfRule>
  </conditionalFormatting>
  <conditionalFormatting sqref="AV81">
    <cfRule type="cellIs" dxfId="14143" priority="136442" stopIfTrue="1" operator="greaterThanOrEqual">
      <formula>0.5</formula>
    </cfRule>
  </conditionalFormatting>
  <conditionalFormatting sqref="AV82">
    <cfRule type="cellIs" dxfId="14142" priority="136443" stopIfTrue="1" operator="equal">
      <formula>-1</formula>
    </cfRule>
  </conditionalFormatting>
  <conditionalFormatting sqref="AV82">
    <cfRule type="cellIs" dxfId="14141" priority="136444" stopIfTrue="1" operator="lessThan">
      <formula>0.5</formula>
    </cfRule>
  </conditionalFormatting>
  <conditionalFormatting sqref="AV82">
    <cfRule type="cellIs" dxfId="14140" priority="136445" stopIfTrue="1" operator="greaterThanOrEqual">
      <formula>0.5</formula>
    </cfRule>
  </conditionalFormatting>
  <conditionalFormatting sqref="AV83">
    <cfRule type="cellIs" dxfId="14139" priority="136446" stopIfTrue="1" operator="equal">
      <formula>-1</formula>
    </cfRule>
  </conditionalFormatting>
  <conditionalFormatting sqref="AV83">
    <cfRule type="cellIs" dxfId="14138" priority="136447" stopIfTrue="1" operator="lessThan">
      <formula>0.5</formula>
    </cfRule>
  </conditionalFormatting>
  <conditionalFormatting sqref="AV83">
    <cfRule type="cellIs" dxfId="14137" priority="136448" stopIfTrue="1" operator="greaterThanOrEqual">
      <formula>0.5</formula>
    </cfRule>
  </conditionalFormatting>
  <conditionalFormatting sqref="AV84">
    <cfRule type="cellIs" dxfId="14136" priority="136449" stopIfTrue="1" operator="equal">
      <formula>-1</formula>
    </cfRule>
  </conditionalFormatting>
  <conditionalFormatting sqref="AV84">
    <cfRule type="cellIs" dxfId="14135" priority="136450" stopIfTrue="1" operator="lessThan">
      <formula>0.5</formula>
    </cfRule>
  </conditionalFormatting>
  <conditionalFormatting sqref="AV84">
    <cfRule type="cellIs" dxfId="14134" priority="136451" stopIfTrue="1" operator="greaterThanOrEqual">
      <formula>0.5</formula>
    </cfRule>
  </conditionalFormatting>
  <conditionalFormatting sqref="AV85">
    <cfRule type="cellIs" dxfId="14133" priority="136452" stopIfTrue="1" operator="equal">
      <formula>-1</formula>
    </cfRule>
  </conditionalFormatting>
  <conditionalFormatting sqref="AV85">
    <cfRule type="cellIs" dxfId="14132" priority="136453" stopIfTrue="1" operator="lessThan">
      <formula>0.5</formula>
    </cfRule>
  </conditionalFormatting>
  <conditionalFormatting sqref="AV85">
    <cfRule type="cellIs" dxfId="14131" priority="136454" stopIfTrue="1" operator="greaterThanOrEqual">
      <formula>0.5</formula>
    </cfRule>
  </conditionalFormatting>
  <conditionalFormatting sqref="AX65">
    <cfRule type="cellIs" dxfId="14130" priority="136455" stopIfTrue="1" operator="equal">
      <formula>-1</formula>
    </cfRule>
  </conditionalFormatting>
  <conditionalFormatting sqref="AX65">
    <cfRule type="cellIs" dxfId="14129" priority="136456" stopIfTrue="1" operator="lessThan">
      <formula>0.5</formula>
    </cfRule>
  </conditionalFormatting>
  <conditionalFormatting sqref="AX65">
    <cfRule type="cellIs" dxfId="14128" priority="136457" stopIfTrue="1" operator="greaterThanOrEqual">
      <formula>0.5</formula>
    </cfRule>
  </conditionalFormatting>
  <conditionalFormatting sqref="AX66">
    <cfRule type="cellIs" dxfId="14127" priority="136458" stopIfTrue="1" operator="equal">
      <formula>-1</formula>
    </cfRule>
  </conditionalFormatting>
  <conditionalFormatting sqref="AX66">
    <cfRule type="cellIs" dxfId="14126" priority="136459" stopIfTrue="1" operator="lessThan">
      <formula>0.5</formula>
    </cfRule>
  </conditionalFormatting>
  <conditionalFormatting sqref="AX66">
    <cfRule type="cellIs" dxfId="14125" priority="136460" stopIfTrue="1" operator="greaterThanOrEqual">
      <formula>0.5</formula>
    </cfRule>
  </conditionalFormatting>
  <conditionalFormatting sqref="AX67">
    <cfRule type="cellIs" dxfId="14124" priority="136461" stopIfTrue="1" operator="equal">
      <formula>-1</formula>
    </cfRule>
  </conditionalFormatting>
  <conditionalFormatting sqref="AX67">
    <cfRule type="cellIs" dxfId="14123" priority="136462" stopIfTrue="1" operator="lessThan">
      <formula>0.5</formula>
    </cfRule>
  </conditionalFormatting>
  <conditionalFormatting sqref="AX67">
    <cfRule type="cellIs" dxfId="14122" priority="136463" stopIfTrue="1" operator="greaterThanOrEqual">
      <formula>0.5</formula>
    </cfRule>
  </conditionalFormatting>
  <conditionalFormatting sqref="AX68">
    <cfRule type="cellIs" dxfId="14121" priority="136464" stopIfTrue="1" operator="equal">
      <formula>-1</formula>
    </cfRule>
  </conditionalFormatting>
  <conditionalFormatting sqref="AX68">
    <cfRule type="cellIs" dxfId="14120" priority="136465" stopIfTrue="1" operator="lessThan">
      <formula>0.5</formula>
    </cfRule>
  </conditionalFormatting>
  <conditionalFormatting sqref="AX68">
    <cfRule type="cellIs" dxfId="14119" priority="136466" stopIfTrue="1" operator="greaterThanOrEqual">
      <formula>0.5</formula>
    </cfRule>
  </conditionalFormatting>
  <conditionalFormatting sqref="AX69">
    <cfRule type="cellIs" dxfId="14118" priority="136467" stopIfTrue="1" operator="equal">
      <formula>-1</formula>
    </cfRule>
  </conditionalFormatting>
  <conditionalFormatting sqref="AX69">
    <cfRule type="cellIs" dxfId="14117" priority="136468" stopIfTrue="1" operator="lessThan">
      <formula>0.5</formula>
    </cfRule>
  </conditionalFormatting>
  <conditionalFormatting sqref="AX69">
    <cfRule type="cellIs" dxfId="14116" priority="136469" stopIfTrue="1" operator="greaterThanOrEqual">
      <formula>0.5</formula>
    </cfRule>
  </conditionalFormatting>
  <conditionalFormatting sqref="AX70">
    <cfRule type="cellIs" dxfId="14115" priority="136470" stopIfTrue="1" operator="equal">
      <formula>-1</formula>
    </cfRule>
  </conditionalFormatting>
  <conditionalFormatting sqref="AX70">
    <cfRule type="cellIs" dxfId="14114" priority="136471" stopIfTrue="1" operator="lessThan">
      <formula>0.5</formula>
    </cfRule>
  </conditionalFormatting>
  <conditionalFormatting sqref="AX70">
    <cfRule type="cellIs" dxfId="14113" priority="136472" stopIfTrue="1" operator="greaterThanOrEqual">
      <formula>0.5</formula>
    </cfRule>
  </conditionalFormatting>
  <conditionalFormatting sqref="AX71">
    <cfRule type="cellIs" dxfId="14112" priority="136473" stopIfTrue="1" operator="equal">
      <formula>-1</formula>
    </cfRule>
  </conditionalFormatting>
  <conditionalFormatting sqref="AX71">
    <cfRule type="cellIs" dxfId="14111" priority="136474" stopIfTrue="1" operator="lessThan">
      <formula>0.5</formula>
    </cfRule>
  </conditionalFormatting>
  <conditionalFormatting sqref="AX71">
    <cfRule type="cellIs" dxfId="14110" priority="136475" stopIfTrue="1" operator="greaterThanOrEqual">
      <formula>0.5</formula>
    </cfRule>
  </conditionalFormatting>
  <conditionalFormatting sqref="AX72">
    <cfRule type="cellIs" dxfId="14109" priority="136476" stopIfTrue="1" operator="equal">
      <formula>-1</formula>
    </cfRule>
  </conditionalFormatting>
  <conditionalFormatting sqref="AX72">
    <cfRule type="cellIs" dxfId="14108" priority="136477" stopIfTrue="1" operator="lessThan">
      <formula>0.5</formula>
    </cfRule>
  </conditionalFormatting>
  <conditionalFormatting sqref="AX72">
    <cfRule type="cellIs" dxfId="14107" priority="136478" stopIfTrue="1" operator="greaterThanOrEqual">
      <formula>0.5</formula>
    </cfRule>
  </conditionalFormatting>
  <conditionalFormatting sqref="AX73">
    <cfRule type="cellIs" dxfId="14106" priority="136479" stopIfTrue="1" operator="equal">
      <formula>-1</formula>
    </cfRule>
  </conditionalFormatting>
  <conditionalFormatting sqref="AX73">
    <cfRule type="cellIs" dxfId="14105" priority="136480" stopIfTrue="1" operator="lessThan">
      <formula>0.5</formula>
    </cfRule>
  </conditionalFormatting>
  <conditionalFormatting sqref="AX73">
    <cfRule type="cellIs" dxfId="14104" priority="136481" stopIfTrue="1" operator="greaterThanOrEqual">
      <formula>0.5</formula>
    </cfRule>
  </conditionalFormatting>
  <conditionalFormatting sqref="AX74">
    <cfRule type="cellIs" dxfId="14103" priority="136482" stopIfTrue="1" operator="equal">
      <formula>-1</formula>
    </cfRule>
  </conditionalFormatting>
  <conditionalFormatting sqref="AX74">
    <cfRule type="cellIs" dxfId="14102" priority="136483" stopIfTrue="1" operator="lessThan">
      <formula>0.5</formula>
    </cfRule>
  </conditionalFormatting>
  <conditionalFormatting sqref="AX74">
    <cfRule type="cellIs" dxfId="14101" priority="136484" stopIfTrue="1" operator="greaterThanOrEqual">
      <formula>0.5</formula>
    </cfRule>
  </conditionalFormatting>
  <conditionalFormatting sqref="AX75">
    <cfRule type="cellIs" dxfId="14100" priority="136485" stopIfTrue="1" operator="equal">
      <formula>-1</formula>
    </cfRule>
  </conditionalFormatting>
  <conditionalFormatting sqref="AX75">
    <cfRule type="cellIs" dxfId="14099" priority="136486" stopIfTrue="1" operator="lessThan">
      <formula>0.5</formula>
    </cfRule>
  </conditionalFormatting>
  <conditionalFormatting sqref="AX75">
    <cfRule type="cellIs" dxfId="14098" priority="136487" stopIfTrue="1" operator="greaterThanOrEqual">
      <formula>0.5</formula>
    </cfRule>
  </conditionalFormatting>
  <conditionalFormatting sqref="AX76">
    <cfRule type="cellIs" dxfId="14097" priority="136488" stopIfTrue="1" operator="equal">
      <formula>-1</formula>
    </cfRule>
  </conditionalFormatting>
  <conditionalFormatting sqref="AX76">
    <cfRule type="cellIs" dxfId="14096" priority="136489" stopIfTrue="1" operator="lessThan">
      <formula>0.5</formula>
    </cfRule>
  </conditionalFormatting>
  <conditionalFormatting sqref="AX76">
    <cfRule type="cellIs" dxfId="14095" priority="136490" stopIfTrue="1" operator="greaterThanOrEqual">
      <formula>0.5</formula>
    </cfRule>
  </conditionalFormatting>
  <conditionalFormatting sqref="AX77">
    <cfRule type="cellIs" dxfId="14094" priority="136491" stopIfTrue="1" operator="equal">
      <formula>-1</formula>
    </cfRule>
  </conditionalFormatting>
  <conditionalFormatting sqref="AX77">
    <cfRule type="cellIs" dxfId="14093" priority="136492" stopIfTrue="1" operator="lessThan">
      <formula>0.5</formula>
    </cfRule>
  </conditionalFormatting>
  <conditionalFormatting sqref="AX77">
    <cfRule type="cellIs" dxfId="14092" priority="136493" stopIfTrue="1" operator="greaterThanOrEqual">
      <formula>0.5</formula>
    </cfRule>
  </conditionalFormatting>
  <conditionalFormatting sqref="AX78">
    <cfRule type="cellIs" dxfId="14091" priority="136494" stopIfTrue="1" operator="equal">
      <formula>-1</formula>
    </cfRule>
  </conditionalFormatting>
  <conditionalFormatting sqref="AX78">
    <cfRule type="cellIs" dxfId="14090" priority="136495" stopIfTrue="1" operator="lessThan">
      <formula>0.5</formula>
    </cfRule>
  </conditionalFormatting>
  <conditionalFormatting sqref="AX78">
    <cfRule type="cellIs" dxfId="14089" priority="136496" stopIfTrue="1" operator="greaterThanOrEqual">
      <formula>0.5</formula>
    </cfRule>
  </conditionalFormatting>
  <conditionalFormatting sqref="AX79">
    <cfRule type="cellIs" dxfId="14088" priority="136497" stopIfTrue="1" operator="equal">
      <formula>-1</formula>
    </cfRule>
  </conditionalFormatting>
  <conditionalFormatting sqref="AX79">
    <cfRule type="cellIs" dxfId="14087" priority="136498" stopIfTrue="1" operator="lessThan">
      <formula>0.5</formula>
    </cfRule>
  </conditionalFormatting>
  <conditionalFormatting sqref="AX79">
    <cfRule type="cellIs" dxfId="14086" priority="136499" stopIfTrue="1" operator="greaterThanOrEqual">
      <formula>0.5</formula>
    </cfRule>
  </conditionalFormatting>
  <conditionalFormatting sqref="AX80">
    <cfRule type="cellIs" dxfId="14085" priority="136500" stopIfTrue="1" operator="equal">
      <formula>-1</formula>
    </cfRule>
  </conditionalFormatting>
  <conditionalFormatting sqref="AX80">
    <cfRule type="cellIs" dxfId="14084" priority="136501" stopIfTrue="1" operator="lessThan">
      <formula>0.5</formula>
    </cfRule>
  </conditionalFormatting>
  <conditionalFormatting sqref="AX80">
    <cfRule type="cellIs" dxfId="14083" priority="136502" stopIfTrue="1" operator="greaterThanOrEqual">
      <formula>0.5</formula>
    </cfRule>
  </conditionalFormatting>
  <conditionalFormatting sqref="AX81">
    <cfRule type="cellIs" dxfId="14082" priority="136503" stopIfTrue="1" operator="equal">
      <formula>-1</formula>
    </cfRule>
  </conditionalFormatting>
  <conditionalFormatting sqref="AX81">
    <cfRule type="cellIs" dxfId="14081" priority="136504" stopIfTrue="1" operator="lessThan">
      <formula>0.5</formula>
    </cfRule>
  </conditionalFormatting>
  <conditionalFormatting sqref="AX81">
    <cfRule type="cellIs" dxfId="14080" priority="136505" stopIfTrue="1" operator="greaterThanOrEqual">
      <formula>0.5</formula>
    </cfRule>
  </conditionalFormatting>
  <conditionalFormatting sqref="AX82">
    <cfRule type="cellIs" dxfId="14079" priority="136506" stopIfTrue="1" operator="equal">
      <formula>-1</formula>
    </cfRule>
  </conditionalFormatting>
  <conditionalFormatting sqref="AX82">
    <cfRule type="cellIs" dxfId="14078" priority="136507" stopIfTrue="1" operator="lessThan">
      <formula>0.5</formula>
    </cfRule>
  </conditionalFormatting>
  <conditionalFormatting sqref="AX82">
    <cfRule type="cellIs" dxfId="14077" priority="136508" stopIfTrue="1" operator="greaterThanOrEqual">
      <formula>0.5</formula>
    </cfRule>
  </conditionalFormatting>
  <conditionalFormatting sqref="AX83">
    <cfRule type="cellIs" dxfId="14076" priority="136509" stopIfTrue="1" operator="equal">
      <formula>-1</formula>
    </cfRule>
  </conditionalFormatting>
  <conditionalFormatting sqref="AX83">
    <cfRule type="cellIs" dxfId="14075" priority="136510" stopIfTrue="1" operator="lessThan">
      <formula>0.5</formula>
    </cfRule>
  </conditionalFormatting>
  <conditionalFormatting sqref="AX83">
    <cfRule type="cellIs" dxfId="14074" priority="136511" stopIfTrue="1" operator="greaterThanOrEqual">
      <formula>0.5</formula>
    </cfRule>
  </conditionalFormatting>
  <conditionalFormatting sqref="AX84">
    <cfRule type="cellIs" dxfId="14073" priority="136512" stopIfTrue="1" operator="equal">
      <formula>-1</formula>
    </cfRule>
  </conditionalFormatting>
  <conditionalFormatting sqref="AX84">
    <cfRule type="cellIs" dxfId="14072" priority="136513" stopIfTrue="1" operator="lessThan">
      <formula>0.5</formula>
    </cfRule>
  </conditionalFormatting>
  <conditionalFormatting sqref="AX84">
    <cfRule type="cellIs" dxfId="14071" priority="136514" stopIfTrue="1" operator="greaterThanOrEqual">
      <formula>0.5</formula>
    </cfRule>
  </conditionalFormatting>
  <conditionalFormatting sqref="AX85">
    <cfRule type="cellIs" dxfId="14070" priority="136515" stopIfTrue="1" operator="equal">
      <formula>-1</formula>
    </cfRule>
  </conditionalFormatting>
  <conditionalFormatting sqref="AX85">
    <cfRule type="cellIs" dxfId="14069" priority="136516" stopIfTrue="1" operator="lessThan">
      <formula>0.5</formula>
    </cfRule>
  </conditionalFormatting>
  <conditionalFormatting sqref="AX85">
    <cfRule type="cellIs" dxfId="14068" priority="136517" stopIfTrue="1" operator="greaterThanOrEqual">
      <formula>0.5</formula>
    </cfRule>
  </conditionalFormatting>
  <conditionalFormatting sqref="AZ65">
    <cfRule type="cellIs" dxfId="14067" priority="136518" stopIfTrue="1" operator="equal">
      <formula>-1</formula>
    </cfRule>
  </conditionalFormatting>
  <conditionalFormatting sqref="AZ65">
    <cfRule type="cellIs" dxfId="14066" priority="136519" stopIfTrue="1" operator="lessThan">
      <formula>0.5</formula>
    </cfRule>
  </conditionalFormatting>
  <conditionalFormatting sqref="AZ65">
    <cfRule type="cellIs" dxfId="14065" priority="136520" stopIfTrue="1" operator="greaterThanOrEqual">
      <formula>0.5</formula>
    </cfRule>
  </conditionalFormatting>
  <conditionalFormatting sqref="AZ66">
    <cfRule type="cellIs" dxfId="14064" priority="136521" stopIfTrue="1" operator="equal">
      <formula>-1</formula>
    </cfRule>
  </conditionalFormatting>
  <conditionalFormatting sqref="AZ66">
    <cfRule type="cellIs" dxfId="14063" priority="136522" stopIfTrue="1" operator="lessThan">
      <formula>0.5</formula>
    </cfRule>
  </conditionalFormatting>
  <conditionalFormatting sqref="AZ66">
    <cfRule type="cellIs" dxfId="14062" priority="136523" stopIfTrue="1" operator="greaterThanOrEqual">
      <formula>0.5</formula>
    </cfRule>
  </conditionalFormatting>
  <conditionalFormatting sqref="AZ67">
    <cfRule type="cellIs" dxfId="14061" priority="136524" stopIfTrue="1" operator="equal">
      <formula>-1</formula>
    </cfRule>
  </conditionalFormatting>
  <conditionalFormatting sqref="AZ67">
    <cfRule type="cellIs" dxfId="14060" priority="136525" stopIfTrue="1" operator="lessThan">
      <formula>0.5</formula>
    </cfRule>
  </conditionalFormatting>
  <conditionalFormatting sqref="AZ67">
    <cfRule type="cellIs" dxfId="14059" priority="136526" stopIfTrue="1" operator="greaterThanOrEqual">
      <formula>0.5</formula>
    </cfRule>
  </conditionalFormatting>
  <conditionalFormatting sqref="AZ68">
    <cfRule type="cellIs" dxfId="14058" priority="136527" stopIfTrue="1" operator="equal">
      <formula>-1</formula>
    </cfRule>
  </conditionalFormatting>
  <conditionalFormatting sqref="AZ68">
    <cfRule type="cellIs" dxfId="14057" priority="136528" stopIfTrue="1" operator="lessThan">
      <formula>0.5</formula>
    </cfRule>
  </conditionalFormatting>
  <conditionalFormatting sqref="AZ68">
    <cfRule type="cellIs" dxfId="14056" priority="136529" stopIfTrue="1" operator="greaterThanOrEqual">
      <formula>0.5</formula>
    </cfRule>
  </conditionalFormatting>
  <conditionalFormatting sqref="AZ69">
    <cfRule type="cellIs" dxfId="14055" priority="136530" stopIfTrue="1" operator="equal">
      <formula>-1</formula>
    </cfRule>
  </conditionalFormatting>
  <conditionalFormatting sqref="AZ69">
    <cfRule type="cellIs" dxfId="14054" priority="136531" stopIfTrue="1" operator="lessThan">
      <formula>0.5</formula>
    </cfRule>
  </conditionalFormatting>
  <conditionalFormatting sqref="AZ69">
    <cfRule type="cellIs" dxfId="14053" priority="136532" stopIfTrue="1" operator="greaterThanOrEqual">
      <formula>0.5</formula>
    </cfRule>
  </conditionalFormatting>
  <conditionalFormatting sqref="AZ70">
    <cfRule type="cellIs" dxfId="14052" priority="136533" stopIfTrue="1" operator="equal">
      <formula>-1</formula>
    </cfRule>
  </conditionalFormatting>
  <conditionalFormatting sqref="AZ70">
    <cfRule type="cellIs" dxfId="14051" priority="136534" stopIfTrue="1" operator="lessThan">
      <formula>0.5</formula>
    </cfRule>
  </conditionalFormatting>
  <conditionalFormatting sqref="AZ70">
    <cfRule type="cellIs" dxfId="14050" priority="136535" stopIfTrue="1" operator="greaterThanOrEqual">
      <formula>0.5</formula>
    </cfRule>
  </conditionalFormatting>
  <conditionalFormatting sqref="AZ71">
    <cfRule type="cellIs" dxfId="14049" priority="136536" stopIfTrue="1" operator="equal">
      <formula>-1</formula>
    </cfRule>
  </conditionalFormatting>
  <conditionalFormatting sqref="AZ71">
    <cfRule type="cellIs" dxfId="14048" priority="136537" stopIfTrue="1" operator="lessThan">
      <formula>0.5</formula>
    </cfRule>
  </conditionalFormatting>
  <conditionalFormatting sqref="AZ71">
    <cfRule type="cellIs" dxfId="14047" priority="136538" stopIfTrue="1" operator="greaterThanOrEqual">
      <formula>0.5</formula>
    </cfRule>
  </conditionalFormatting>
  <conditionalFormatting sqref="AZ72">
    <cfRule type="cellIs" dxfId="14046" priority="136539" stopIfTrue="1" operator="equal">
      <formula>-1</formula>
    </cfRule>
  </conditionalFormatting>
  <conditionalFormatting sqref="AZ72">
    <cfRule type="cellIs" dxfId="14045" priority="136540" stopIfTrue="1" operator="lessThan">
      <formula>0.5</formula>
    </cfRule>
  </conditionalFormatting>
  <conditionalFormatting sqref="AZ72">
    <cfRule type="cellIs" dxfId="14044" priority="136541" stopIfTrue="1" operator="greaterThanOrEqual">
      <formula>0.5</formula>
    </cfRule>
  </conditionalFormatting>
  <conditionalFormatting sqref="AZ73">
    <cfRule type="cellIs" dxfId="14043" priority="136542" stopIfTrue="1" operator="equal">
      <formula>-1</formula>
    </cfRule>
  </conditionalFormatting>
  <conditionalFormatting sqref="AZ73">
    <cfRule type="cellIs" dxfId="14042" priority="136543" stopIfTrue="1" operator="lessThan">
      <formula>0.5</formula>
    </cfRule>
  </conditionalFormatting>
  <conditionalFormatting sqref="AZ73">
    <cfRule type="cellIs" dxfId="14041" priority="136544" stopIfTrue="1" operator="greaterThanOrEqual">
      <formula>0.5</formula>
    </cfRule>
  </conditionalFormatting>
  <conditionalFormatting sqref="AZ74">
    <cfRule type="cellIs" dxfId="14040" priority="136545" stopIfTrue="1" operator="equal">
      <formula>-1</formula>
    </cfRule>
  </conditionalFormatting>
  <conditionalFormatting sqref="AZ74">
    <cfRule type="cellIs" dxfId="14039" priority="136546" stopIfTrue="1" operator="lessThan">
      <formula>0.5</formula>
    </cfRule>
  </conditionalFormatting>
  <conditionalFormatting sqref="AZ74">
    <cfRule type="cellIs" dxfId="14038" priority="136547" stopIfTrue="1" operator="greaterThanOrEqual">
      <formula>0.5</formula>
    </cfRule>
  </conditionalFormatting>
  <conditionalFormatting sqref="AZ75">
    <cfRule type="cellIs" dxfId="14037" priority="136548" stopIfTrue="1" operator="equal">
      <formula>-1</formula>
    </cfRule>
  </conditionalFormatting>
  <conditionalFormatting sqref="AZ75">
    <cfRule type="cellIs" dxfId="14036" priority="136549" stopIfTrue="1" operator="lessThan">
      <formula>0.5</formula>
    </cfRule>
  </conditionalFormatting>
  <conditionalFormatting sqref="AZ75">
    <cfRule type="cellIs" dxfId="14035" priority="136550" stopIfTrue="1" operator="greaterThanOrEqual">
      <formula>0.5</formula>
    </cfRule>
  </conditionalFormatting>
  <conditionalFormatting sqref="AZ76">
    <cfRule type="cellIs" dxfId="14034" priority="136551" stopIfTrue="1" operator="equal">
      <formula>-1</formula>
    </cfRule>
  </conditionalFormatting>
  <conditionalFormatting sqref="AZ76">
    <cfRule type="cellIs" dxfId="14033" priority="136552" stopIfTrue="1" operator="lessThan">
      <formula>0.5</formula>
    </cfRule>
  </conditionalFormatting>
  <conditionalFormatting sqref="AZ76">
    <cfRule type="cellIs" dxfId="14032" priority="136553" stopIfTrue="1" operator="greaterThanOrEqual">
      <formula>0.5</formula>
    </cfRule>
  </conditionalFormatting>
  <conditionalFormatting sqref="AZ77">
    <cfRule type="cellIs" dxfId="14031" priority="136554" stopIfTrue="1" operator="equal">
      <formula>-1</formula>
    </cfRule>
  </conditionalFormatting>
  <conditionalFormatting sqref="AZ77">
    <cfRule type="cellIs" dxfId="14030" priority="136555" stopIfTrue="1" operator="lessThan">
      <formula>0.5</formula>
    </cfRule>
  </conditionalFormatting>
  <conditionalFormatting sqref="AZ77">
    <cfRule type="cellIs" dxfId="14029" priority="136556" stopIfTrue="1" operator="greaterThanOrEqual">
      <formula>0.5</formula>
    </cfRule>
  </conditionalFormatting>
  <conditionalFormatting sqref="AZ78">
    <cfRule type="cellIs" dxfId="14028" priority="136557" stopIfTrue="1" operator="equal">
      <formula>-1</formula>
    </cfRule>
  </conditionalFormatting>
  <conditionalFormatting sqref="AZ78">
    <cfRule type="cellIs" dxfId="14027" priority="136558" stopIfTrue="1" operator="lessThan">
      <formula>0.5</formula>
    </cfRule>
  </conditionalFormatting>
  <conditionalFormatting sqref="AZ78">
    <cfRule type="cellIs" dxfId="14026" priority="136559" stopIfTrue="1" operator="greaterThanOrEqual">
      <formula>0.5</formula>
    </cfRule>
  </conditionalFormatting>
  <conditionalFormatting sqref="AZ79">
    <cfRule type="cellIs" dxfId="14025" priority="136560" stopIfTrue="1" operator="equal">
      <formula>-1</formula>
    </cfRule>
  </conditionalFormatting>
  <conditionalFormatting sqref="AZ79">
    <cfRule type="cellIs" dxfId="14024" priority="136561" stopIfTrue="1" operator="lessThan">
      <formula>0.5</formula>
    </cfRule>
  </conditionalFormatting>
  <conditionalFormatting sqref="AZ79">
    <cfRule type="cellIs" dxfId="14023" priority="136562" stopIfTrue="1" operator="greaterThanOrEqual">
      <formula>0.5</formula>
    </cfRule>
  </conditionalFormatting>
  <conditionalFormatting sqref="AZ80">
    <cfRule type="cellIs" dxfId="14022" priority="136563" stopIfTrue="1" operator="equal">
      <formula>-1</formula>
    </cfRule>
  </conditionalFormatting>
  <conditionalFormatting sqref="AZ80">
    <cfRule type="cellIs" dxfId="14021" priority="136564" stopIfTrue="1" operator="lessThan">
      <formula>0.5</formula>
    </cfRule>
  </conditionalFormatting>
  <conditionalFormatting sqref="AZ80">
    <cfRule type="cellIs" dxfId="14020" priority="136565" stopIfTrue="1" operator="greaterThanOrEqual">
      <formula>0.5</formula>
    </cfRule>
  </conditionalFormatting>
  <conditionalFormatting sqref="AZ81">
    <cfRule type="cellIs" dxfId="14019" priority="136566" stopIfTrue="1" operator="equal">
      <formula>-1</formula>
    </cfRule>
  </conditionalFormatting>
  <conditionalFormatting sqref="AZ81">
    <cfRule type="cellIs" dxfId="14018" priority="136567" stopIfTrue="1" operator="lessThan">
      <formula>0.5</formula>
    </cfRule>
  </conditionalFormatting>
  <conditionalFormatting sqref="AZ81">
    <cfRule type="cellIs" dxfId="14017" priority="136568" stopIfTrue="1" operator="greaterThanOrEqual">
      <formula>0.5</formula>
    </cfRule>
  </conditionalFormatting>
  <conditionalFormatting sqref="AZ82">
    <cfRule type="cellIs" dxfId="14016" priority="136569" stopIfTrue="1" operator="equal">
      <formula>-1</formula>
    </cfRule>
  </conditionalFormatting>
  <conditionalFormatting sqref="AZ82">
    <cfRule type="cellIs" dxfId="14015" priority="136570" stopIfTrue="1" operator="lessThan">
      <formula>0.5</formula>
    </cfRule>
  </conditionalFormatting>
  <conditionalFormatting sqref="AZ82">
    <cfRule type="cellIs" dxfId="14014" priority="136571" stopIfTrue="1" operator="greaterThanOrEqual">
      <formula>0.5</formula>
    </cfRule>
  </conditionalFormatting>
  <conditionalFormatting sqref="AZ83">
    <cfRule type="cellIs" dxfId="14013" priority="136572" stopIfTrue="1" operator="equal">
      <formula>-1</formula>
    </cfRule>
  </conditionalFormatting>
  <conditionalFormatting sqref="AZ83">
    <cfRule type="cellIs" dxfId="14012" priority="136573" stopIfTrue="1" operator="lessThan">
      <formula>0.5</formula>
    </cfRule>
  </conditionalFormatting>
  <conditionalFormatting sqref="AZ83">
    <cfRule type="cellIs" dxfId="14011" priority="136574" stopIfTrue="1" operator="greaterThanOrEqual">
      <formula>0.5</formula>
    </cfRule>
  </conditionalFormatting>
  <conditionalFormatting sqref="AZ84">
    <cfRule type="cellIs" dxfId="14010" priority="136575" stopIfTrue="1" operator="equal">
      <formula>-1</formula>
    </cfRule>
  </conditionalFormatting>
  <conditionalFormatting sqref="AZ84">
    <cfRule type="cellIs" dxfId="14009" priority="136576" stopIfTrue="1" operator="lessThan">
      <formula>0.5</formula>
    </cfRule>
  </conditionalFormatting>
  <conditionalFormatting sqref="AZ84">
    <cfRule type="cellIs" dxfId="14008" priority="136577" stopIfTrue="1" operator="greaterThanOrEqual">
      <formula>0.5</formula>
    </cfRule>
  </conditionalFormatting>
  <conditionalFormatting sqref="AZ85">
    <cfRule type="cellIs" dxfId="14007" priority="136578" stopIfTrue="1" operator="equal">
      <formula>-1</formula>
    </cfRule>
  </conditionalFormatting>
  <conditionalFormatting sqref="AZ85">
    <cfRule type="cellIs" dxfId="14006" priority="136579" stopIfTrue="1" operator="lessThan">
      <formula>0.5</formula>
    </cfRule>
  </conditionalFormatting>
  <conditionalFormatting sqref="AZ85">
    <cfRule type="cellIs" dxfId="14005" priority="136580" stopIfTrue="1" operator="greaterThanOrEqual">
      <formula>0.5</formula>
    </cfRule>
  </conditionalFormatting>
  <conditionalFormatting sqref="BB65">
    <cfRule type="cellIs" dxfId="14004" priority="136581" stopIfTrue="1" operator="equal">
      <formula>-1</formula>
    </cfRule>
  </conditionalFormatting>
  <conditionalFormatting sqref="BB65">
    <cfRule type="cellIs" dxfId="14003" priority="136582" stopIfTrue="1" operator="lessThan">
      <formula>0.5</formula>
    </cfRule>
  </conditionalFormatting>
  <conditionalFormatting sqref="BB65">
    <cfRule type="cellIs" dxfId="14002" priority="136583" stopIfTrue="1" operator="greaterThanOrEqual">
      <formula>0.5</formula>
    </cfRule>
  </conditionalFormatting>
  <conditionalFormatting sqref="BB66">
    <cfRule type="cellIs" dxfId="14001" priority="136584" stopIfTrue="1" operator="equal">
      <formula>-1</formula>
    </cfRule>
  </conditionalFormatting>
  <conditionalFormatting sqref="BB66">
    <cfRule type="cellIs" dxfId="14000" priority="136585" stopIfTrue="1" operator="lessThan">
      <formula>0.5</formula>
    </cfRule>
  </conditionalFormatting>
  <conditionalFormatting sqref="BB66">
    <cfRule type="cellIs" dxfId="13999" priority="136586" stopIfTrue="1" operator="greaterThanOrEqual">
      <formula>0.5</formula>
    </cfRule>
  </conditionalFormatting>
  <conditionalFormatting sqref="BB67">
    <cfRule type="cellIs" dxfId="13998" priority="136587" stopIfTrue="1" operator="equal">
      <formula>-1</formula>
    </cfRule>
  </conditionalFormatting>
  <conditionalFormatting sqref="BB67">
    <cfRule type="cellIs" dxfId="13997" priority="136588" stopIfTrue="1" operator="lessThan">
      <formula>0.5</formula>
    </cfRule>
  </conditionalFormatting>
  <conditionalFormatting sqref="BB67">
    <cfRule type="cellIs" dxfId="13996" priority="136589" stopIfTrue="1" operator="greaterThanOrEqual">
      <formula>0.5</formula>
    </cfRule>
  </conditionalFormatting>
  <conditionalFormatting sqref="BB68">
    <cfRule type="cellIs" dxfId="13995" priority="136590" stopIfTrue="1" operator="equal">
      <formula>-1</formula>
    </cfRule>
  </conditionalFormatting>
  <conditionalFormatting sqref="BB68">
    <cfRule type="cellIs" dxfId="13994" priority="136591" stopIfTrue="1" operator="lessThan">
      <formula>0.5</formula>
    </cfRule>
  </conditionalFormatting>
  <conditionalFormatting sqref="BB68">
    <cfRule type="cellIs" dxfId="13993" priority="136592" stopIfTrue="1" operator="greaterThanOrEqual">
      <formula>0.5</formula>
    </cfRule>
  </conditionalFormatting>
  <conditionalFormatting sqref="BB69">
    <cfRule type="cellIs" dxfId="13992" priority="136593" stopIfTrue="1" operator="equal">
      <formula>-1</formula>
    </cfRule>
  </conditionalFormatting>
  <conditionalFormatting sqref="BB69">
    <cfRule type="cellIs" dxfId="13991" priority="136594" stopIfTrue="1" operator="lessThan">
      <formula>0.5</formula>
    </cfRule>
  </conditionalFormatting>
  <conditionalFormatting sqref="BB69">
    <cfRule type="cellIs" dxfId="13990" priority="136595" stopIfTrue="1" operator="greaterThanOrEqual">
      <formula>0.5</formula>
    </cfRule>
  </conditionalFormatting>
  <conditionalFormatting sqref="BB70">
    <cfRule type="cellIs" dxfId="13989" priority="136596" stopIfTrue="1" operator="equal">
      <formula>-1</formula>
    </cfRule>
  </conditionalFormatting>
  <conditionalFormatting sqref="BB70">
    <cfRule type="cellIs" dxfId="13988" priority="136597" stopIfTrue="1" operator="lessThan">
      <formula>0.5</formula>
    </cfRule>
  </conditionalFormatting>
  <conditionalFormatting sqref="BB70">
    <cfRule type="cellIs" dxfId="13987" priority="136598" stopIfTrue="1" operator="greaterThanOrEqual">
      <formula>0.5</formula>
    </cfRule>
  </conditionalFormatting>
  <conditionalFormatting sqref="BB71">
    <cfRule type="cellIs" dxfId="13986" priority="136599" stopIfTrue="1" operator="equal">
      <formula>-1</formula>
    </cfRule>
  </conditionalFormatting>
  <conditionalFormatting sqref="BB71">
    <cfRule type="cellIs" dxfId="13985" priority="136600" stopIfTrue="1" operator="lessThan">
      <formula>0.5</formula>
    </cfRule>
  </conditionalFormatting>
  <conditionalFormatting sqref="BB71">
    <cfRule type="cellIs" dxfId="13984" priority="136601" stopIfTrue="1" operator="greaterThanOrEqual">
      <formula>0.5</formula>
    </cfRule>
  </conditionalFormatting>
  <conditionalFormatting sqref="BB72">
    <cfRule type="cellIs" dxfId="13983" priority="136602" stopIfTrue="1" operator="equal">
      <formula>-1</formula>
    </cfRule>
  </conditionalFormatting>
  <conditionalFormatting sqref="BB72">
    <cfRule type="cellIs" dxfId="13982" priority="136603" stopIfTrue="1" operator="lessThan">
      <formula>0.5</formula>
    </cfRule>
  </conditionalFormatting>
  <conditionalFormatting sqref="BB72">
    <cfRule type="cellIs" dxfId="13981" priority="136604" stopIfTrue="1" operator="greaterThanOrEqual">
      <formula>0.5</formula>
    </cfRule>
  </conditionalFormatting>
  <conditionalFormatting sqref="BB73">
    <cfRule type="cellIs" dxfId="13980" priority="136605" stopIfTrue="1" operator="equal">
      <formula>-1</formula>
    </cfRule>
  </conditionalFormatting>
  <conditionalFormatting sqref="BB73">
    <cfRule type="cellIs" dxfId="13979" priority="136606" stopIfTrue="1" operator="lessThan">
      <formula>0.5</formula>
    </cfRule>
  </conditionalFormatting>
  <conditionalFormatting sqref="BB73">
    <cfRule type="cellIs" dxfId="13978" priority="136607" stopIfTrue="1" operator="greaterThanOrEqual">
      <formula>0.5</formula>
    </cfRule>
  </conditionalFormatting>
  <conditionalFormatting sqref="BB74">
    <cfRule type="cellIs" dxfId="13977" priority="136608" stopIfTrue="1" operator="equal">
      <formula>-1</formula>
    </cfRule>
  </conditionalFormatting>
  <conditionalFormatting sqref="BB74">
    <cfRule type="cellIs" dxfId="13976" priority="136609" stopIfTrue="1" operator="lessThan">
      <formula>0.5</formula>
    </cfRule>
  </conditionalFormatting>
  <conditionalFormatting sqref="BB74">
    <cfRule type="cellIs" dxfId="13975" priority="136610" stopIfTrue="1" operator="greaterThanOrEqual">
      <formula>0.5</formula>
    </cfRule>
  </conditionalFormatting>
  <conditionalFormatting sqref="BB75">
    <cfRule type="cellIs" dxfId="13974" priority="136611" stopIfTrue="1" operator="equal">
      <formula>-1</formula>
    </cfRule>
  </conditionalFormatting>
  <conditionalFormatting sqref="BB75">
    <cfRule type="cellIs" dxfId="13973" priority="136612" stopIfTrue="1" operator="lessThan">
      <formula>0.5</formula>
    </cfRule>
  </conditionalFormatting>
  <conditionalFormatting sqref="BB75">
    <cfRule type="cellIs" dxfId="13972" priority="136613" stopIfTrue="1" operator="greaterThanOrEqual">
      <formula>0.5</formula>
    </cfRule>
  </conditionalFormatting>
  <conditionalFormatting sqref="BB76">
    <cfRule type="cellIs" dxfId="13971" priority="136614" stopIfTrue="1" operator="equal">
      <formula>-1</formula>
    </cfRule>
  </conditionalFormatting>
  <conditionalFormatting sqref="BB76">
    <cfRule type="cellIs" dxfId="13970" priority="136615" stopIfTrue="1" operator="lessThan">
      <formula>0.5</formula>
    </cfRule>
  </conditionalFormatting>
  <conditionalFormatting sqref="BB76">
    <cfRule type="cellIs" dxfId="13969" priority="136616" stopIfTrue="1" operator="greaterThanOrEqual">
      <formula>0.5</formula>
    </cfRule>
  </conditionalFormatting>
  <conditionalFormatting sqref="BB77">
    <cfRule type="cellIs" dxfId="13968" priority="136617" stopIfTrue="1" operator="equal">
      <formula>-1</formula>
    </cfRule>
  </conditionalFormatting>
  <conditionalFormatting sqref="BB77">
    <cfRule type="cellIs" dxfId="13967" priority="136618" stopIfTrue="1" operator="lessThan">
      <formula>0.5</formula>
    </cfRule>
  </conditionalFormatting>
  <conditionalFormatting sqref="BB77">
    <cfRule type="cellIs" dxfId="13966" priority="136619" stopIfTrue="1" operator="greaterThanOrEqual">
      <formula>0.5</formula>
    </cfRule>
  </conditionalFormatting>
  <conditionalFormatting sqref="BB78">
    <cfRule type="cellIs" dxfId="13965" priority="136620" stopIfTrue="1" operator="equal">
      <formula>-1</formula>
    </cfRule>
  </conditionalFormatting>
  <conditionalFormatting sqref="BB78">
    <cfRule type="cellIs" dxfId="13964" priority="136621" stopIfTrue="1" operator="lessThan">
      <formula>0.5</formula>
    </cfRule>
  </conditionalFormatting>
  <conditionalFormatting sqref="BB78">
    <cfRule type="cellIs" dxfId="13963" priority="136622" stopIfTrue="1" operator="greaterThanOrEqual">
      <formula>0.5</formula>
    </cfRule>
  </conditionalFormatting>
  <conditionalFormatting sqref="BB79">
    <cfRule type="cellIs" dxfId="13962" priority="136623" stopIfTrue="1" operator="equal">
      <formula>-1</formula>
    </cfRule>
  </conditionalFormatting>
  <conditionalFormatting sqref="BB79">
    <cfRule type="cellIs" dxfId="13961" priority="136624" stopIfTrue="1" operator="lessThan">
      <formula>0.5</formula>
    </cfRule>
  </conditionalFormatting>
  <conditionalFormatting sqref="BB79">
    <cfRule type="cellIs" dxfId="13960" priority="136625" stopIfTrue="1" operator="greaterThanOrEqual">
      <formula>0.5</formula>
    </cfRule>
  </conditionalFormatting>
  <conditionalFormatting sqref="BB80">
    <cfRule type="cellIs" dxfId="13959" priority="136626" stopIfTrue="1" operator="equal">
      <formula>-1</formula>
    </cfRule>
  </conditionalFormatting>
  <conditionalFormatting sqref="BB80">
    <cfRule type="cellIs" dxfId="13958" priority="136627" stopIfTrue="1" operator="lessThan">
      <formula>0.5</formula>
    </cfRule>
  </conditionalFormatting>
  <conditionalFormatting sqref="BB80">
    <cfRule type="cellIs" dxfId="13957" priority="136628" stopIfTrue="1" operator="greaterThanOrEqual">
      <formula>0.5</formula>
    </cfRule>
  </conditionalFormatting>
  <conditionalFormatting sqref="BB81">
    <cfRule type="cellIs" dxfId="13956" priority="136629" stopIfTrue="1" operator="equal">
      <formula>-1</formula>
    </cfRule>
  </conditionalFormatting>
  <conditionalFormatting sqref="BB81">
    <cfRule type="cellIs" dxfId="13955" priority="136630" stopIfTrue="1" operator="lessThan">
      <formula>0.5</formula>
    </cfRule>
  </conditionalFormatting>
  <conditionalFormatting sqref="BB81">
    <cfRule type="cellIs" dxfId="13954" priority="136631" stopIfTrue="1" operator="greaterThanOrEqual">
      <formula>0.5</formula>
    </cfRule>
  </conditionalFormatting>
  <conditionalFormatting sqref="BB82">
    <cfRule type="cellIs" dxfId="13953" priority="136632" stopIfTrue="1" operator="equal">
      <formula>-1</formula>
    </cfRule>
  </conditionalFormatting>
  <conditionalFormatting sqref="BB82">
    <cfRule type="cellIs" dxfId="13952" priority="136633" stopIfTrue="1" operator="lessThan">
      <formula>0.5</formula>
    </cfRule>
  </conditionalFormatting>
  <conditionalFormatting sqref="BB82">
    <cfRule type="cellIs" dxfId="13951" priority="136634" stopIfTrue="1" operator="greaterThanOrEqual">
      <formula>0.5</formula>
    </cfRule>
  </conditionalFormatting>
  <conditionalFormatting sqref="BB83">
    <cfRule type="cellIs" dxfId="13950" priority="136635" stopIfTrue="1" operator="equal">
      <formula>-1</formula>
    </cfRule>
  </conditionalFormatting>
  <conditionalFormatting sqref="BB83">
    <cfRule type="cellIs" dxfId="13949" priority="136636" stopIfTrue="1" operator="lessThan">
      <formula>0.5</formula>
    </cfRule>
  </conditionalFormatting>
  <conditionalFormatting sqref="BB83">
    <cfRule type="cellIs" dxfId="13948" priority="136637" stopIfTrue="1" operator="greaterThanOrEqual">
      <formula>0.5</formula>
    </cfRule>
  </conditionalFormatting>
  <conditionalFormatting sqref="BB84">
    <cfRule type="cellIs" dxfId="13947" priority="136638" stopIfTrue="1" operator="equal">
      <formula>-1</formula>
    </cfRule>
  </conditionalFormatting>
  <conditionalFormatting sqref="BB84">
    <cfRule type="cellIs" dxfId="13946" priority="136639" stopIfTrue="1" operator="lessThan">
      <formula>0.5</formula>
    </cfRule>
  </conditionalFormatting>
  <conditionalFormatting sqref="BB84">
    <cfRule type="cellIs" dxfId="13945" priority="136640" stopIfTrue="1" operator="greaterThanOrEqual">
      <formula>0.5</formula>
    </cfRule>
  </conditionalFormatting>
  <conditionalFormatting sqref="BB85">
    <cfRule type="cellIs" dxfId="13944" priority="136641" stopIfTrue="1" operator="equal">
      <formula>-1</formula>
    </cfRule>
  </conditionalFormatting>
  <conditionalFormatting sqref="BB85">
    <cfRule type="cellIs" dxfId="13943" priority="136642" stopIfTrue="1" operator="lessThan">
      <formula>0.5</formula>
    </cfRule>
  </conditionalFormatting>
  <conditionalFormatting sqref="BB85">
    <cfRule type="cellIs" dxfId="13942" priority="136643" stopIfTrue="1" operator="greaterThanOrEqual">
      <formula>0.5</formula>
    </cfRule>
  </conditionalFormatting>
  <conditionalFormatting sqref="BD65">
    <cfRule type="cellIs" dxfId="13941" priority="136644" stopIfTrue="1" operator="equal">
      <formula>-1</formula>
    </cfRule>
  </conditionalFormatting>
  <conditionalFormatting sqref="BD65">
    <cfRule type="cellIs" dxfId="13940" priority="136645" stopIfTrue="1" operator="lessThan">
      <formula>0.5</formula>
    </cfRule>
  </conditionalFormatting>
  <conditionalFormatting sqref="BD65">
    <cfRule type="cellIs" dxfId="13939" priority="136646" stopIfTrue="1" operator="greaterThanOrEqual">
      <formula>0.5</formula>
    </cfRule>
  </conditionalFormatting>
  <conditionalFormatting sqref="BD66">
    <cfRule type="cellIs" dxfId="13938" priority="136647" stopIfTrue="1" operator="equal">
      <formula>-1</formula>
    </cfRule>
  </conditionalFormatting>
  <conditionalFormatting sqref="BD66">
    <cfRule type="cellIs" dxfId="13937" priority="136648" stopIfTrue="1" operator="lessThan">
      <formula>0.5</formula>
    </cfRule>
  </conditionalFormatting>
  <conditionalFormatting sqref="BD66">
    <cfRule type="cellIs" dxfId="13936" priority="136649" stopIfTrue="1" operator="greaterThanOrEqual">
      <formula>0.5</formula>
    </cfRule>
  </conditionalFormatting>
  <conditionalFormatting sqref="BD67">
    <cfRule type="cellIs" dxfId="13935" priority="136650" stopIfTrue="1" operator="equal">
      <formula>-1</formula>
    </cfRule>
  </conditionalFormatting>
  <conditionalFormatting sqref="BD67">
    <cfRule type="cellIs" dxfId="13934" priority="136651" stopIfTrue="1" operator="lessThan">
      <formula>0.5</formula>
    </cfRule>
  </conditionalFormatting>
  <conditionalFormatting sqref="BD67">
    <cfRule type="cellIs" dxfId="13933" priority="136652" stopIfTrue="1" operator="greaterThanOrEqual">
      <formula>0.5</formula>
    </cfRule>
  </conditionalFormatting>
  <conditionalFormatting sqref="BD68">
    <cfRule type="cellIs" dxfId="13932" priority="136653" stopIfTrue="1" operator="equal">
      <formula>-1</formula>
    </cfRule>
  </conditionalFormatting>
  <conditionalFormatting sqref="BD68">
    <cfRule type="cellIs" dxfId="13931" priority="136654" stopIfTrue="1" operator="lessThan">
      <formula>0.5</formula>
    </cfRule>
  </conditionalFormatting>
  <conditionalFormatting sqref="BD68">
    <cfRule type="cellIs" dxfId="13930" priority="136655" stopIfTrue="1" operator="greaterThanOrEqual">
      <formula>0.5</formula>
    </cfRule>
  </conditionalFormatting>
  <conditionalFormatting sqref="BD69">
    <cfRule type="cellIs" dxfId="13929" priority="136656" stopIfTrue="1" operator="equal">
      <formula>-1</formula>
    </cfRule>
  </conditionalFormatting>
  <conditionalFormatting sqref="BD69">
    <cfRule type="cellIs" dxfId="13928" priority="136657" stopIfTrue="1" operator="lessThan">
      <formula>0.5</formula>
    </cfRule>
  </conditionalFormatting>
  <conditionalFormatting sqref="BD69">
    <cfRule type="cellIs" dxfId="13927" priority="136658" stopIfTrue="1" operator="greaterThanOrEqual">
      <formula>0.5</formula>
    </cfRule>
  </conditionalFormatting>
  <conditionalFormatting sqref="BD70">
    <cfRule type="cellIs" dxfId="13926" priority="136659" stopIfTrue="1" operator="equal">
      <formula>-1</formula>
    </cfRule>
  </conditionalFormatting>
  <conditionalFormatting sqref="BD70">
    <cfRule type="cellIs" dxfId="13925" priority="136660" stopIfTrue="1" operator="lessThan">
      <formula>0.5</formula>
    </cfRule>
  </conditionalFormatting>
  <conditionalFormatting sqref="BD70">
    <cfRule type="cellIs" dxfId="13924" priority="136661" stopIfTrue="1" operator="greaterThanOrEqual">
      <formula>0.5</formula>
    </cfRule>
  </conditionalFormatting>
  <conditionalFormatting sqref="BD71">
    <cfRule type="cellIs" dxfId="13923" priority="136662" stopIfTrue="1" operator="equal">
      <formula>-1</formula>
    </cfRule>
  </conditionalFormatting>
  <conditionalFormatting sqref="BD71">
    <cfRule type="cellIs" dxfId="13922" priority="136663" stopIfTrue="1" operator="lessThan">
      <formula>0.5</formula>
    </cfRule>
  </conditionalFormatting>
  <conditionalFormatting sqref="BD71">
    <cfRule type="cellIs" dxfId="13921" priority="136664" stopIfTrue="1" operator="greaterThanOrEqual">
      <formula>0.5</formula>
    </cfRule>
  </conditionalFormatting>
  <conditionalFormatting sqref="BD72">
    <cfRule type="cellIs" dxfId="13920" priority="136665" stopIfTrue="1" operator="equal">
      <formula>-1</formula>
    </cfRule>
  </conditionalFormatting>
  <conditionalFormatting sqref="BD72">
    <cfRule type="cellIs" dxfId="13919" priority="136666" stopIfTrue="1" operator="lessThan">
      <formula>0.5</formula>
    </cfRule>
  </conditionalFormatting>
  <conditionalFormatting sqref="BD72">
    <cfRule type="cellIs" dxfId="13918" priority="136667" stopIfTrue="1" operator="greaterThanOrEqual">
      <formula>0.5</formula>
    </cfRule>
  </conditionalFormatting>
  <conditionalFormatting sqref="BD73">
    <cfRule type="cellIs" dxfId="13917" priority="136668" stopIfTrue="1" operator="equal">
      <formula>-1</formula>
    </cfRule>
  </conditionalFormatting>
  <conditionalFormatting sqref="BD73">
    <cfRule type="cellIs" dxfId="13916" priority="136669" stopIfTrue="1" operator="lessThan">
      <formula>0.5</formula>
    </cfRule>
  </conditionalFormatting>
  <conditionalFormatting sqref="BD73">
    <cfRule type="cellIs" dxfId="13915" priority="136670" stopIfTrue="1" operator="greaterThanOrEqual">
      <formula>0.5</formula>
    </cfRule>
  </conditionalFormatting>
  <conditionalFormatting sqref="BD74">
    <cfRule type="cellIs" dxfId="13914" priority="136671" stopIfTrue="1" operator="equal">
      <formula>-1</formula>
    </cfRule>
  </conditionalFormatting>
  <conditionalFormatting sqref="BD74">
    <cfRule type="cellIs" dxfId="13913" priority="136672" stopIfTrue="1" operator="lessThan">
      <formula>0.5</formula>
    </cfRule>
  </conditionalFormatting>
  <conditionalFormatting sqref="BD74">
    <cfRule type="cellIs" dxfId="13912" priority="136673" stopIfTrue="1" operator="greaterThanOrEqual">
      <formula>0.5</formula>
    </cfRule>
  </conditionalFormatting>
  <conditionalFormatting sqref="BD75">
    <cfRule type="cellIs" dxfId="13911" priority="136674" stopIfTrue="1" operator="equal">
      <formula>-1</formula>
    </cfRule>
  </conditionalFormatting>
  <conditionalFormatting sqref="BD75">
    <cfRule type="cellIs" dxfId="13910" priority="136675" stopIfTrue="1" operator="lessThan">
      <formula>0.5</formula>
    </cfRule>
  </conditionalFormatting>
  <conditionalFormatting sqref="BD75">
    <cfRule type="cellIs" dxfId="13909" priority="136676" stopIfTrue="1" operator="greaterThanOrEqual">
      <formula>0.5</formula>
    </cfRule>
  </conditionalFormatting>
  <conditionalFormatting sqref="BD76">
    <cfRule type="cellIs" dxfId="13908" priority="136677" stopIfTrue="1" operator="equal">
      <formula>-1</formula>
    </cfRule>
  </conditionalFormatting>
  <conditionalFormatting sqref="BD76">
    <cfRule type="cellIs" dxfId="13907" priority="136678" stopIfTrue="1" operator="lessThan">
      <formula>0.5</formula>
    </cfRule>
  </conditionalFormatting>
  <conditionalFormatting sqref="BD76">
    <cfRule type="cellIs" dxfId="13906" priority="136679" stopIfTrue="1" operator="greaterThanOrEqual">
      <formula>0.5</formula>
    </cfRule>
  </conditionalFormatting>
  <conditionalFormatting sqref="BD77">
    <cfRule type="cellIs" dxfId="13905" priority="136680" stopIfTrue="1" operator="equal">
      <formula>-1</formula>
    </cfRule>
  </conditionalFormatting>
  <conditionalFormatting sqref="BD77">
    <cfRule type="cellIs" dxfId="13904" priority="136681" stopIfTrue="1" operator="lessThan">
      <formula>0.5</formula>
    </cfRule>
  </conditionalFormatting>
  <conditionalFormatting sqref="BD77">
    <cfRule type="cellIs" dxfId="13903" priority="136682" stopIfTrue="1" operator="greaterThanOrEqual">
      <formula>0.5</formula>
    </cfRule>
  </conditionalFormatting>
  <conditionalFormatting sqref="BD78">
    <cfRule type="cellIs" dxfId="13902" priority="136683" stopIfTrue="1" operator="equal">
      <formula>-1</formula>
    </cfRule>
  </conditionalFormatting>
  <conditionalFormatting sqref="BD78">
    <cfRule type="cellIs" dxfId="13901" priority="136684" stopIfTrue="1" operator="lessThan">
      <formula>0.5</formula>
    </cfRule>
  </conditionalFormatting>
  <conditionalFormatting sqref="BD78">
    <cfRule type="cellIs" dxfId="13900" priority="136685" stopIfTrue="1" operator="greaterThanOrEqual">
      <formula>0.5</formula>
    </cfRule>
  </conditionalFormatting>
  <conditionalFormatting sqref="BD79">
    <cfRule type="cellIs" dxfId="13899" priority="136686" stopIfTrue="1" operator="equal">
      <formula>-1</formula>
    </cfRule>
  </conditionalFormatting>
  <conditionalFormatting sqref="BD79">
    <cfRule type="cellIs" dxfId="13898" priority="136687" stopIfTrue="1" operator="lessThan">
      <formula>0.5</formula>
    </cfRule>
  </conditionalFormatting>
  <conditionalFormatting sqref="BD79">
    <cfRule type="cellIs" dxfId="13897" priority="136688" stopIfTrue="1" operator="greaterThanOrEqual">
      <formula>0.5</formula>
    </cfRule>
  </conditionalFormatting>
  <conditionalFormatting sqref="BD80">
    <cfRule type="cellIs" dxfId="13896" priority="136689" stopIfTrue="1" operator="equal">
      <formula>-1</formula>
    </cfRule>
  </conditionalFormatting>
  <conditionalFormatting sqref="BD80">
    <cfRule type="cellIs" dxfId="13895" priority="136690" stopIfTrue="1" operator="lessThan">
      <formula>0.5</formula>
    </cfRule>
  </conditionalFormatting>
  <conditionalFormatting sqref="BD80">
    <cfRule type="cellIs" dxfId="13894" priority="136691" stopIfTrue="1" operator="greaterThanOrEqual">
      <formula>0.5</formula>
    </cfRule>
  </conditionalFormatting>
  <conditionalFormatting sqref="BD81">
    <cfRule type="cellIs" dxfId="13893" priority="136692" stopIfTrue="1" operator="equal">
      <formula>-1</formula>
    </cfRule>
  </conditionalFormatting>
  <conditionalFormatting sqref="BD81">
    <cfRule type="cellIs" dxfId="13892" priority="136693" stopIfTrue="1" operator="lessThan">
      <formula>0.5</formula>
    </cfRule>
  </conditionalFormatting>
  <conditionalFormatting sqref="BD81">
    <cfRule type="cellIs" dxfId="13891" priority="136694" stopIfTrue="1" operator="greaterThanOrEqual">
      <formula>0.5</formula>
    </cfRule>
  </conditionalFormatting>
  <conditionalFormatting sqref="BD82">
    <cfRule type="cellIs" dxfId="13890" priority="136695" stopIfTrue="1" operator="equal">
      <formula>-1</formula>
    </cfRule>
  </conditionalFormatting>
  <conditionalFormatting sqref="BD82">
    <cfRule type="cellIs" dxfId="13889" priority="136696" stopIfTrue="1" operator="lessThan">
      <formula>0.5</formula>
    </cfRule>
  </conditionalFormatting>
  <conditionalFormatting sqref="BD82">
    <cfRule type="cellIs" dxfId="13888" priority="136697" stopIfTrue="1" operator="greaterThanOrEqual">
      <formula>0.5</formula>
    </cfRule>
  </conditionalFormatting>
  <conditionalFormatting sqref="BD83">
    <cfRule type="cellIs" dxfId="13887" priority="136698" stopIfTrue="1" operator="equal">
      <formula>-1</formula>
    </cfRule>
  </conditionalFormatting>
  <conditionalFormatting sqref="BD83">
    <cfRule type="cellIs" dxfId="13886" priority="136699" stopIfTrue="1" operator="lessThan">
      <formula>0.5</formula>
    </cfRule>
  </conditionalFormatting>
  <conditionalFormatting sqref="BD83">
    <cfRule type="cellIs" dxfId="13885" priority="136700" stopIfTrue="1" operator="greaterThanOrEqual">
      <formula>0.5</formula>
    </cfRule>
  </conditionalFormatting>
  <conditionalFormatting sqref="BD84">
    <cfRule type="cellIs" dxfId="13884" priority="136701" stopIfTrue="1" operator="equal">
      <formula>-1</formula>
    </cfRule>
  </conditionalFormatting>
  <conditionalFormatting sqref="BD84">
    <cfRule type="cellIs" dxfId="13883" priority="136702" stopIfTrue="1" operator="lessThan">
      <formula>0.5</formula>
    </cfRule>
  </conditionalFormatting>
  <conditionalFormatting sqref="BD84">
    <cfRule type="cellIs" dxfId="13882" priority="136703" stopIfTrue="1" operator="greaterThanOrEqual">
      <formula>0.5</formula>
    </cfRule>
  </conditionalFormatting>
  <conditionalFormatting sqref="BD85">
    <cfRule type="cellIs" dxfId="13881" priority="136704" stopIfTrue="1" operator="equal">
      <formula>-1</formula>
    </cfRule>
  </conditionalFormatting>
  <conditionalFormatting sqref="BD85">
    <cfRule type="cellIs" dxfId="13880" priority="136705" stopIfTrue="1" operator="lessThan">
      <formula>0.5</formula>
    </cfRule>
  </conditionalFormatting>
  <conditionalFormatting sqref="BD85">
    <cfRule type="cellIs" dxfId="13879" priority="136706" stopIfTrue="1" operator="greaterThanOrEqual">
      <formula>0.5</formula>
    </cfRule>
  </conditionalFormatting>
  <conditionalFormatting sqref="BF65">
    <cfRule type="cellIs" dxfId="13878" priority="136707" stopIfTrue="1" operator="equal">
      <formula>-1</formula>
    </cfRule>
  </conditionalFormatting>
  <conditionalFormatting sqref="BF65">
    <cfRule type="cellIs" dxfId="13877" priority="136708" stopIfTrue="1" operator="lessThan">
      <formula>0.5</formula>
    </cfRule>
  </conditionalFormatting>
  <conditionalFormatting sqref="BF65">
    <cfRule type="cellIs" dxfId="13876" priority="136709" stopIfTrue="1" operator="greaterThanOrEqual">
      <formula>0.5</formula>
    </cfRule>
  </conditionalFormatting>
  <conditionalFormatting sqref="BF66">
    <cfRule type="cellIs" dxfId="13875" priority="136710" stopIfTrue="1" operator="equal">
      <formula>-1</formula>
    </cfRule>
  </conditionalFormatting>
  <conditionalFormatting sqref="BF66">
    <cfRule type="cellIs" dxfId="13874" priority="136711" stopIfTrue="1" operator="lessThan">
      <formula>0.5</formula>
    </cfRule>
  </conditionalFormatting>
  <conditionalFormatting sqref="BF66">
    <cfRule type="cellIs" dxfId="13873" priority="136712" stopIfTrue="1" operator="greaterThanOrEqual">
      <formula>0.5</formula>
    </cfRule>
  </conditionalFormatting>
  <conditionalFormatting sqref="BF67">
    <cfRule type="cellIs" dxfId="13872" priority="136713" stopIfTrue="1" operator="equal">
      <formula>-1</formula>
    </cfRule>
  </conditionalFormatting>
  <conditionalFormatting sqref="BF67">
    <cfRule type="cellIs" dxfId="13871" priority="136714" stopIfTrue="1" operator="lessThan">
      <formula>0.5</formula>
    </cfRule>
  </conditionalFormatting>
  <conditionalFormatting sqref="BF67">
    <cfRule type="cellIs" dxfId="13870" priority="136715" stopIfTrue="1" operator="greaterThanOrEqual">
      <formula>0.5</formula>
    </cfRule>
  </conditionalFormatting>
  <conditionalFormatting sqref="BF68">
    <cfRule type="cellIs" dxfId="13869" priority="136716" stopIfTrue="1" operator="equal">
      <formula>-1</formula>
    </cfRule>
  </conditionalFormatting>
  <conditionalFormatting sqref="BF68">
    <cfRule type="cellIs" dxfId="13868" priority="136717" stopIfTrue="1" operator="lessThan">
      <formula>0.5</formula>
    </cfRule>
  </conditionalFormatting>
  <conditionalFormatting sqref="BF68">
    <cfRule type="cellIs" dxfId="13867" priority="136718" stopIfTrue="1" operator="greaterThanOrEqual">
      <formula>0.5</formula>
    </cfRule>
  </conditionalFormatting>
  <conditionalFormatting sqref="BF69">
    <cfRule type="cellIs" dxfId="13866" priority="136719" stopIfTrue="1" operator="equal">
      <formula>-1</formula>
    </cfRule>
  </conditionalFormatting>
  <conditionalFormatting sqref="BF69">
    <cfRule type="cellIs" dxfId="13865" priority="136720" stopIfTrue="1" operator="lessThan">
      <formula>0.5</formula>
    </cfRule>
  </conditionalFormatting>
  <conditionalFormatting sqref="BF69">
    <cfRule type="cellIs" dxfId="13864" priority="136721" stopIfTrue="1" operator="greaterThanOrEqual">
      <formula>0.5</formula>
    </cfRule>
  </conditionalFormatting>
  <conditionalFormatting sqref="BF70">
    <cfRule type="cellIs" dxfId="13863" priority="136722" stopIfTrue="1" operator="equal">
      <formula>-1</formula>
    </cfRule>
  </conditionalFormatting>
  <conditionalFormatting sqref="BF70">
    <cfRule type="cellIs" dxfId="13862" priority="136723" stopIfTrue="1" operator="lessThan">
      <formula>0.5</formula>
    </cfRule>
  </conditionalFormatting>
  <conditionalFormatting sqref="BF70">
    <cfRule type="cellIs" dxfId="13861" priority="136724" stopIfTrue="1" operator="greaterThanOrEqual">
      <formula>0.5</formula>
    </cfRule>
  </conditionalFormatting>
  <conditionalFormatting sqref="BF71">
    <cfRule type="cellIs" dxfId="13860" priority="136725" stopIfTrue="1" operator="equal">
      <formula>-1</formula>
    </cfRule>
  </conditionalFormatting>
  <conditionalFormatting sqref="BF71">
    <cfRule type="cellIs" dxfId="13859" priority="136726" stopIfTrue="1" operator="lessThan">
      <formula>0.5</formula>
    </cfRule>
  </conditionalFormatting>
  <conditionalFormatting sqref="BF71">
    <cfRule type="cellIs" dxfId="13858" priority="136727" stopIfTrue="1" operator="greaterThanOrEqual">
      <formula>0.5</formula>
    </cfRule>
  </conditionalFormatting>
  <conditionalFormatting sqref="BF72">
    <cfRule type="cellIs" dxfId="13857" priority="136728" stopIfTrue="1" operator="equal">
      <formula>-1</formula>
    </cfRule>
  </conditionalFormatting>
  <conditionalFormatting sqref="BF72">
    <cfRule type="cellIs" dxfId="13856" priority="136729" stopIfTrue="1" operator="lessThan">
      <formula>0.5</formula>
    </cfRule>
  </conditionalFormatting>
  <conditionalFormatting sqref="BF72">
    <cfRule type="cellIs" dxfId="13855" priority="136730" stopIfTrue="1" operator="greaterThanOrEqual">
      <formula>0.5</formula>
    </cfRule>
  </conditionalFormatting>
  <conditionalFormatting sqref="BF73">
    <cfRule type="cellIs" dxfId="13854" priority="136731" stopIfTrue="1" operator="equal">
      <formula>-1</formula>
    </cfRule>
  </conditionalFormatting>
  <conditionalFormatting sqref="BF73">
    <cfRule type="cellIs" dxfId="13853" priority="136732" stopIfTrue="1" operator="lessThan">
      <formula>0.5</formula>
    </cfRule>
  </conditionalFormatting>
  <conditionalFormatting sqref="BF73">
    <cfRule type="cellIs" dxfId="13852" priority="136733" stopIfTrue="1" operator="greaterThanOrEqual">
      <formula>0.5</formula>
    </cfRule>
  </conditionalFormatting>
  <conditionalFormatting sqref="BF74">
    <cfRule type="cellIs" dxfId="13851" priority="136734" stopIfTrue="1" operator="equal">
      <formula>-1</formula>
    </cfRule>
  </conditionalFormatting>
  <conditionalFormatting sqref="BF74">
    <cfRule type="cellIs" dxfId="13850" priority="136735" stopIfTrue="1" operator="lessThan">
      <formula>0.5</formula>
    </cfRule>
  </conditionalFormatting>
  <conditionalFormatting sqref="BF74">
    <cfRule type="cellIs" dxfId="13849" priority="136736" stopIfTrue="1" operator="greaterThanOrEqual">
      <formula>0.5</formula>
    </cfRule>
  </conditionalFormatting>
  <conditionalFormatting sqref="BF75">
    <cfRule type="cellIs" dxfId="13848" priority="136737" stopIfTrue="1" operator="equal">
      <formula>-1</formula>
    </cfRule>
  </conditionalFormatting>
  <conditionalFormatting sqref="BF75">
    <cfRule type="cellIs" dxfId="13847" priority="136738" stopIfTrue="1" operator="lessThan">
      <formula>0.5</formula>
    </cfRule>
  </conditionalFormatting>
  <conditionalFormatting sqref="BF75">
    <cfRule type="cellIs" dxfId="13846" priority="136739" stopIfTrue="1" operator="greaterThanOrEqual">
      <formula>0.5</formula>
    </cfRule>
  </conditionalFormatting>
  <conditionalFormatting sqref="BF76">
    <cfRule type="cellIs" dxfId="13845" priority="136740" stopIfTrue="1" operator="equal">
      <formula>-1</formula>
    </cfRule>
  </conditionalFormatting>
  <conditionalFormatting sqref="BF76">
    <cfRule type="cellIs" dxfId="13844" priority="136741" stopIfTrue="1" operator="lessThan">
      <formula>0.5</formula>
    </cfRule>
  </conditionalFormatting>
  <conditionalFormatting sqref="BF76">
    <cfRule type="cellIs" dxfId="13843" priority="136742" stopIfTrue="1" operator="greaterThanOrEqual">
      <formula>0.5</formula>
    </cfRule>
  </conditionalFormatting>
  <conditionalFormatting sqref="BF77">
    <cfRule type="cellIs" dxfId="13842" priority="136743" stopIfTrue="1" operator="equal">
      <formula>-1</formula>
    </cfRule>
  </conditionalFormatting>
  <conditionalFormatting sqref="BF77">
    <cfRule type="cellIs" dxfId="13841" priority="136744" stopIfTrue="1" operator="lessThan">
      <formula>0.5</formula>
    </cfRule>
  </conditionalFormatting>
  <conditionalFormatting sqref="BF77">
    <cfRule type="cellIs" dxfId="13840" priority="136745" stopIfTrue="1" operator="greaterThanOrEqual">
      <formula>0.5</formula>
    </cfRule>
  </conditionalFormatting>
  <conditionalFormatting sqref="BF78">
    <cfRule type="cellIs" dxfId="13839" priority="136746" stopIfTrue="1" operator="equal">
      <formula>-1</formula>
    </cfRule>
  </conditionalFormatting>
  <conditionalFormatting sqref="BF78">
    <cfRule type="cellIs" dxfId="13838" priority="136747" stopIfTrue="1" operator="lessThan">
      <formula>0.5</formula>
    </cfRule>
  </conditionalFormatting>
  <conditionalFormatting sqref="BF78">
    <cfRule type="cellIs" dxfId="13837" priority="136748" stopIfTrue="1" operator="greaterThanOrEqual">
      <formula>0.5</formula>
    </cfRule>
  </conditionalFormatting>
  <conditionalFormatting sqref="BF79">
    <cfRule type="cellIs" dxfId="13836" priority="136749" stopIfTrue="1" operator="equal">
      <formula>-1</formula>
    </cfRule>
  </conditionalFormatting>
  <conditionalFormatting sqref="BF79">
    <cfRule type="cellIs" dxfId="13835" priority="136750" stopIfTrue="1" operator="lessThan">
      <formula>0.5</formula>
    </cfRule>
  </conditionalFormatting>
  <conditionalFormatting sqref="BF79">
    <cfRule type="cellIs" dxfId="13834" priority="136751" stopIfTrue="1" operator="greaterThanOrEqual">
      <formula>0.5</formula>
    </cfRule>
  </conditionalFormatting>
  <conditionalFormatting sqref="BF80">
    <cfRule type="cellIs" dxfId="13833" priority="136752" stopIfTrue="1" operator="equal">
      <formula>-1</formula>
    </cfRule>
  </conditionalFormatting>
  <conditionalFormatting sqref="BF80">
    <cfRule type="cellIs" dxfId="13832" priority="136753" stopIfTrue="1" operator="lessThan">
      <formula>0.5</formula>
    </cfRule>
  </conditionalFormatting>
  <conditionalFormatting sqref="BF80">
    <cfRule type="cellIs" dxfId="13831" priority="136754" stopIfTrue="1" operator="greaterThanOrEqual">
      <formula>0.5</formula>
    </cfRule>
  </conditionalFormatting>
  <conditionalFormatting sqref="BF81">
    <cfRule type="cellIs" dxfId="13830" priority="136755" stopIfTrue="1" operator="equal">
      <formula>-1</formula>
    </cfRule>
  </conditionalFormatting>
  <conditionalFormatting sqref="BF81">
    <cfRule type="cellIs" dxfId="13829" priority="136756" stopIfTrue="1" operator="lessThan">
      <formula>0.5</formula>
    </cfRule>
  </conditionalFormatting>
  <conditionalFormatting sqref="BF81">
    <cfRule type="cellIs" dxfId="13828" priority="136757" stopIfTrue="1" operator="greaterThanOrEqual">
      <formula>0.5</formula>
    </cfRule>
  </conditionalFormatting>
  <conditionalFormatting sqref="BF82">
    <cfRule type="cellIs" dxfId="13827" priority="136758" stopIfTrue="1" operator="equal">
      <formula>-1</formula>
    </cfRule>
  </conditionalFormatting>
  <conditionalFormatting sqref="BF82">
    <cfRule type="cellIs" dxfId="13826" priority="136759" stopIfTrue="1" operator="lessThan">
      <formula>0.5</formula>
    </cfRule>
  </conditionalFormatting>
  <conditionalFormatting sqref="BF82">
    <cfRule type="cellIs" dxfId="13825" priority="136760" stopIfTrue="1" operator="greaterThanOrEqual">
      <formula>0.5</formula>
    </cfRule>
  </conditionalFormatting>
  <conditionalFormatting sqref="BF83">
    <cfRule type="cellIs" dxfId="13824" priority="136761" stopIfTrue="1" operator="equal">
      <formula>-1</formula>
    </cfRule>
  </conditionalFormatting>
  <conditionalFormatting sqref="BF83">
    <cfRule type="cellIs" dxfId="13823" priority="136762" stopIfTrue="1" operator="lessThan">
      <formula>0.5</formula>
    </cfRule>
  </conditionalFormatting>
  <conditionalFormatting sqref="BF83">
    <cfRule type="cellIs" dxfId="13822" priority="136763" stopIfTrue="1" operator="greaterThanOrEqual">
      <formula>0.5</formula>
    </cfRule>
  </conditionalFormatting>
  <conditionalFormatting sqref="BF84">
    <cfRule type="cellIs" dxfId="13821" priority="136764" stopIfTrue="1" operator="equal">
      <formula>-1</formula>
    </cfRule>
  </conditionalFormatting>
  <conditionalFormatting sqref="BF84">
    <cfRule type="cellIs" dxfId="13820" priority="136765" stopIfTrue="1" operator="lessThan">
      <formula>0.5</formula>
    </cfRule>
  </conditionalFormatting>
  <conditionalFormatting sqref="BF84">
    <cfRule type="cellIs" dxfId="13819" priority="136766" stopIfTrue="1" operator="greaterThanOrEqual">
      <formula>0.5</formula>
    </cfRule>
  </conditionalFormatting>
  <conditionalFormatting sqref="BF85">
    <cfRule type="cellIs" dxfId="13818" priority="136767" stopIfTrue="1" operator="equal">
      <formula>-1</formula>
    </cfRule>
  </conditionalFormatting>
  <conditionalFormatting sqref="BF85">
    <cfRule type="cellIs" dxfId="13817" priority="136768" stopIfTrue="1" operator="lessThan">
      <formula>0.5</formula>
    </cfRule>
  </conditionalFormatting>
  <conditionalFormatting sqref="BF85">
    <cfRule type="cellIs" dxfId="13816" priority="136769" stopIfTrue="1" operator="greaterThanOrEqual">
      <formula>0.5</formula>
    </cfRule>
  </conditionalFormatting>
  <conditionalFormatting sqref="BH65">
    <cfRule type="cellIs" dxfId="13815" priority="136770" stopIfTrue="1" operator="equal">
      <formula>-1</formula>
    </cfRule>
  </conditionalFormatting>
  <conditionalFormatting sqref="BH65">
    <cfRule type="cellIs" dxfId="13814" priority="136771" stopIfTrue="1" operator="lessThan">
      <formula>0.5</formula>
    </cfRule>
  </conditionalFormatting>
  <conditionalFormatting sqref="BH65">
    <cfRule type="cellIs" dxfId="13813" priority="136772" stopIfTrue="1" operator="greaterThanOrEqual">
      <formula>0.5</formula>
    </cfRule>
  </conditionalFormatting>
  <conditionalFormatting sqref="BH66">
    <cfRule type="cellIs" dxfId="13812" priority="136773" stopIfTrue="1" operator="equal">
      <formula>-1</formula>
    </cfRule>
  </conditionalFormatting>
  <conditionalFormatting sqref="BH66">
    <cfRule type="cellIs" dxfId="13811" priority="136774" stopIfTrue="1" operator="lessThan">
      <formula>0.5</formula>
    </cfRule>
  </conditionalFormatting>
  <conditionalFormatting sqref="BH66">
    <cfRule type="cellIs" dxfId="13810" priority="136775" stopIfTrue="1" operator="greaterThanOrEqual">
      <formula>0.5</formula>
    </cfRule>
  </conditionalFormatting>
  <conditionalFormatting sqref="BH67">
    <cfRule type="cellIs" dxfId="13809" priority="136776" stopIfTrue="1" operator="equal">
      <formula>-1</formula>
    </cfRule>
  </conditionalFormatting>
  <conditionalFormatting sqref="BH67">
    <cfRule type="cellIs" dxfId="13808" priority="136777" stopIfTrue="1" operator="lessThan">
      <formula>0.5</formula>
    </cfRule>
  </conditionalFormatting>
  <conditionalFormatting sqref="BH67">
    <cfRule type="cellIs" dxfId="13807" priority="136778" stopIfTrue="1" operator="greaterThanOrEqual">
      <formula>0.5</formula>
    </cfRule>
  </conditionalFormatting>
  <conditionalFormatting sqref="BH68">
    <cfRule type="cellIs" dxfId="13806" priority="136779" stopIfTrue="1" operator="equal">
      <formula>-1</formula>
    </cfRule>
  </conditionalFormatting>
  <conditionalFormatting sqref="BH68">
    <cfRule type="cellIs" dxfId="13805" priority="136780" stopIfTrue="1" operator="lessThan">
      <formula>0.5</formula>
    </cfRule>
  </conditionalFormatting>
  <conditionalFormatting sqref="BH68">
    <cfRule type="cellIs" dxfId="13804" priority="136781" stopIfTrue="1" operator="greaterThanOrEqual">
      <formula>0.5</formula>
    </cfRule>
  </conditionalFormatting>
  <conditionalFormatting sqref="BH69">
    <cfRule type="cellIs" dxfId="13803" priority="136782" stopIfTrue="1" operator="equal">
      <formula>-1</formula>
    </cfRule>
  </conditionalFormatting>
  <conditionalFormatting sqref="BH69">
    <cfRule type="cellIs" dxfId="13802" priority="136783" stopIfTrue="1" operator="lessThan">
      <formula>0.5</formula>
    </cfRule>
  </conditionalFormatting>
  <conditionalFormatting sqref="BH69">
    <cfRule type="cellIs" dxfId="13801" priority="136784" stopIfTrue="1" operator="greaterThanOrEqual">
      <formula>0.5</formula>
    </cfRule>
  </conditionalFormatting>
  <conditionalFormatting sqref="BH70">
    <cfRule type="cellIs" dxfId="13800" priority="136785" stopIfTrue="1" operator="equal">
      <formula>-1</formula>
    </cfRule>
  </conditionalFormatting>
  <conditionalFormatting sqref="BH70">
    <cfRule type="cellIs" dxfId="13799" priority="136786" stopIfTrue="1" operator="lessThan">
      <formula>0.5</formula>
    </cfRule>
  </conditionalFormatting>
  <conditionalFormatting sqref="BH70">
    <cfRule type="cellIs" dxfId="13798" priority="136787" stopIfTrue="1" operator="greaterThanOrEqual">
      <formula>0.5</formula>
    </cfRule>
  </conditionalFormatting>
  <conditionalFormatting sqref="BH71">
    <cfRule type="cellIs" dxfId="13797" priority="136788" stopIfTrue="1" operator="equal">
      <formula>-1</formula>
    </cfRule>
  </conditionalFormatting>
  <conditionalFormatting sqref="BH71">
    <cfRule type="cellIs" dxfId="13796" priority="136789" stopIfTrue="1" operator="lessThan">
      <formula>0.5</formula>
    </cfRule>
  </conditionalFormatting>
  <conditionalFormatting sqref="BH71">
    <cfRule type="cellIs" dxfId="13795" priority="136790" stopIfTrue="1" operator="greaterThanOrEqual">
      <formula>0.5</formula>
    </cfRule>
  </conditionalFormatting>
  <conditionalFormatting sqref="BH72">
    <cfRule type="cellIs" dxfId="13794" priority="136791" stopIfTrue="1" operator="equal">
      <formula>-1</formula>
    </cfRule>
  </conditionalFormatting>
  <conditionalFormatting sqref="BH72">
    <cfRule type="cellIs" dxfId="13793" priority="136792" stopIfTrue="1" operator="lessThan">
      <formula>0.5</formula>
    </cfRule>
  </conditionalFormatting>
  <conditionalFormatting sqref="BH72">
    <cfRule type="cellIs" dxfId="13792" priority="136793" stopIfTrue="1" operator="greaterThanOrEqual">
      <formula>0.5</formula>
    </cfRule>
  </conditionalFormatting>
  <conditionalFormatting sqref="BH73">
    <cfRule type="cellIs" dxfId="13791" priority="136794" stopIfTrue="1" operator="equal">
      <formula>-1</formula>
    </cfRule>
  </conditionalFormatting>
  <conditionalFormatting sqref="BH73">
    <cfRule type="cellIs" dxfId="13790" priority="136795" stopIfTrue="1" operator="lessThan">
      <formula>0.5</formula>
    </cfRule>
  </conditionalFormatting>
  <conditionalFormatting sqref="BH73">
    <cfRule type="cellIs" dxfId="13789" priority="136796" stopIfTrue="1" operator="greaterThanOrEqual">
      <formula>0.5</formula>
    </cfRule>
  </conditionalFormatting>
  <conditionalFormatting sqref="BH74">
    <cfRule type="cellIs" dxfId="13788" priority="136797" stopIfTrue="1" operator="equal">
      <formula>-1</formula>
    </cfRule>
  </conditionalFormatting>
  <conditionalFormatting sqref="BH74">
    <cfRule type="cellIs" dxfId="13787" priority="136798" stopIfTrue="1" operator="lessThan">
      <formula>0.5</formula>
    </cfRule>
  </conditionalFormatting>
  <conditionalFormatting sqref="BH74">
    <cfRule type="cellIs" dxfId="13786" priority="136799" stopIfTrue="1" operator="greaterThanOrEqual">
      <formula>0.5</formula>
    </cfRule>
  </conditionalFormatting>
  <conditionalFormatting sqref="BH75">
    <cfRule type="cellIs" dxfId="13785" priority="136800" stopIfTrue="1" operator="equal">
      <formula>-1</formula>
    </cfRule>
  </conditionalFormatting>
  <conditionalFormatting sqref="BH75">
    <cfRule type="cellIs" dxfId="13784" priority="136801" stopIfTrue="1" operator="lessThan">
      <formula>0.5</formula>
    </cfRule>
  </conditionalFormatting>
  <conditionalFormatting sqref="BH75">
    <cfRule type="cellIs" dxfId="13783" priority="136802" stopIfTrue="1" operator="greaterThanOrEqual">
      <formula>0.5</formula>
    </cfRule>
  </conditionalFormatting>
  <conditionalFormatting sqref="BH76">
    <cfRule type="cellIs" dxfId="13782" priority="136803" stopIfTrue="1" operator="equal">
      <formula>-1</formula>
    </cfRule>
  </conditionalFormatting>
  <conditionalFormatting sqref="BH76">
    <cfRule type="cellIs" dxfId="13781" priority="136804" stopIfTrue="1" operator="lessThan">
      <formula>0.5</formula>
    </cfRule>
  </conditionalFormatting>
  <conditionalFormatting sqref="BH76">
    <cfRule type="cellIs" dxfId="13780" priority="136805" stopIfTrue="1" operator="greaterThanOrEqual">
      <formula>0.5</formula>
    </cfRule>
  </conditionalFormatting>
  <conditionalFormatting sqref="BH77">
    <cfRule type="cellIs" dxfId="13779" priority="136806" stopIfTrue="1" operator="equal">
      <formula>-1</formula>
    </cfRule>
  </conditionalFormatting>
  <conditionalFormatting sqref="BH77">
    <cfRule type="cellIs" dxfId="13778" priority="136807" stopIfTrue="1" operator="lessThan">
      <formula>0.5</formula>
    </cfRule>
  </conditionalFormatting>
  <conditionalFormatting sqref="BH77">
    <cfRule type="cellIs" dxfId="13777" priority="136808" stopIfTrue="1" operator="greaterThanOrEqual">
      <formula>0.5</formula>
    </cfRule>
  </conditionalFormatting>
  <conditionalFormatting sqref="BH78">
    <cfRule type="cellIs" dxfId="13776" priority="136809" stopIfTrue="1" operator="equal">
      <formula>-1</formula>
    </cfRule>
  </conditionalFormatting>
  <conditionalFormatting sqref="BH78">
    <cfRule type="cellIs" dxfId="13775" priority="136810" stopIfTrue="1" operator="lessThan">
      <formula>0.5</formula>
    </cfRule>
  </conditionalFormatting>
  <conditionalFormatting sqref="BH78">
    <cfRule type="cellIs" dxfId="13774" priority="136811" stopIfTrue="1" operator="greaterThanOrEqual">
      <formula>0.5</formula>
    </cfRule>
  </conditionalFormatting>
  <conditionalFormatting sqref="BH79">
    <cfRule type="cellIs" dxfId="13773" priority="136812" stopIfTrue="1" operator="equal">
      <formula>-1</formula>
    </cfRule>
  </conditionalFormatting>
  <conditionalFormatting sqref="BH79">
    <cfRule type="cellIs" dxfId="13772" priority="136813" stopIfTrue="1" operator="lessThan">
      <formula>0.5</formula>
    </cfRule>
  </conditionalFormatting>
  <conditionalFormatting sqref="BH79">
    <cfRule type="cellIs" dxfId="13771" priority="136814" stopIfTrue="1" operator="greaterThanOrEqual">
      <formula>0.5</formula>
    </cfRule>
  </conditionalFormatting>
  <conditionalFormatting sqref="BH80">
    <cfRule type="cellIs" dxfId="13770" priority="136815" stopIfTrue="1" operator="equal">
      <formula>-1</formula>
    </cfRule>
  </conditionalFormatting>
  <conditionalFormatting sqref="BH80">
    <cfRule type="cellIs" dxfId="13769" priority="136816" stopIfTrue="1" operator="lessThan">
      <formula>0.5</formula>
    </cfRule>
  </conditionalFormatting>
  <conditionalFormatting sqref="BH80">
    <cfRule type="cellIs" dxfId="13768" priority="136817" stopIfTrue="1" operator="greaterThanOrEqual">
      <formula>0.5</formula>
    </cfRule>
  </conditionalFormatting>
  <conditionalFormatting sqref="BH81">
    <cfRule type="cellIs" dxfId="13767" priority="136818" stopIfTrue="1" operator="equal">
      <formula>-1</formula>
    </cfRule>
  </conditionalFormatting>
  <conditionalFormatting sqref="BH81">
    <cfRule type="cellIs" dxfId="13766" priority="136819" stopIfTrue="1" operator="lessThan">
      <formula>0.5</formula>
    </cfRule>
  </conditionalFormatting>
  <conditionalFormatting sqref="BH81">
    <cfRule type="cellIs" dxfId="13765" priority="136820" stopIfTrue="1" operator="greaterThanOrEqual">
      <formula>0.5</formula>
    </cfRule>
  </conditionalFormatting>
  <conditionalFormatting sqref="BH82">
    <cfRule type="cellIs" dxfId="13764" priority="136821" stopIfTrue="1" operator="equal">
      <formula>-1</formula>
    </cfRule>
  </conditionalFormatting>
  <conditionalFormatting sqref="BH82">
    <cfRule type="cellIs" dxfId="13763" priority="136822" stopIfTrue="1" operator="lessThan">
      <formula>0.5</formula>
    </cfRule>
  </conditionalFormatting>
  <conditionalFormatting sqref="BH82">
    <cfRule type="cellIs" dxfId="13762" priority="136823" stopIfTrue="1" operator="greaterThanOrEqual">
      <formula>0.5</formula>
    </cfRule>
  </conditionalFormatting>
  <conditionalFormatting sqref="BH83">
    <cfRule type="cellIs" dxfId="13761" priority="136824" stopIfTrue="1" operator="equal">
      <formula>-1</formula>
    </cfRule>
  </conditionalFormatting>
  <conditionalFormatting sqref="BH83">
    <cfRule type="cellIs" dxfId="13760" priority="136825" stopIfTrue="1" operator="lessThan">
      <formula>0.5</formula>
    </cfRule>
  </conditionalFormatting>
  <conditionalFormatting sqref="BH83">
    <cfRule type="cellIs" dxfId="13759" priority="136826" stopIfTrue="1" operator="greaterThanOrEqual">
      <formula>0.5</formula>
    </cfRule>
  </conditionalFormatting>
  <conditionalFormatting sqref="BH84">
    <cfRule type="cellIs" dxfId="13758" priority="136827" stopIfTrue="1" operator="equal">
      <formula>-1</formula>
    </cfRule>
  </conditionalFormatting>
  <conditionalFormatting sqref="BH84">
    <cfRule type="cellIs" dxfId="13757" priority="136828" stopIfTrue="1" operator="lessThan">
      <formula>0.5</formula>
    </cfRule>
  </conditionalFormatting>
  <conditionalFormatting sqref="BH84">
    <cfRule type="cellIs" dxfId="13756" priority="136829" stopIfTrue="1" operator="greaterThanOrEqual">
      <formula>0.5</formula>
    </cfRule>
  </conditionalFormatting>
  <conditionalFormatting sqref="BH85">
    <cfRule type="cellIs" dxfId="13755" priority="136830" stopIfTrue="1" operator="equal">
      <formula>-1</formula>
    </cfRule>
  </conditionalFormatting>
  <conditionalFormatting sqref="BH85">
    <cfRule type="cellIs" dxfId="13754" priority="136831" stopIfTrue="1" operator="lessThan">
      <formula>0.5</formula>
    </cfRule>
  </conditionalFormatting>
  <conditionalFormatting sqref="BH85">
    <cfRule type="cellIs" dxfId="13753" priority="136832" stopIfTrue="1" operator="greaterThanOrEqual">
      <formula>0.5</formula>
    </cfRule>
  </conditionalFormatting>
  <conditionalFormatting sqref="BJ65">
    <cfRule type="cellIs" dxfId="13752" priority="136833" stopIfTrue="1" operator="equal">
      <formula>-1</formula>
    </cfRule>
  </conditionalFormatting>
  <conditionalFormatting sqref="BJ65">
    <cfRule type="cellIs" dxfId="13751" priority="136834" stopIfTrue="1" operator="lessThan">
      <formula>0.5</formula>
    </cfRule>
  </conditionalFormatting>
  <conditionalFormatting sqref="BJ65">
    <cfRule type="cellIs" dxfId="13750" priority="136835" stopIfTrue="1" operator="greaterThanOrEqual">
      <formula>0.5</formula>
    </cfRule>
  </conditionalFormatting>
  <conditionalFormatting sqref="BJ66">
    <cfRule type="cellIs" dxfId="13749" priority="136836" stopIfTrue="1" operator="equal">
      <formula>-1</formula>
    </cfRule>
  </conditionalFormatting>
  <conditionalFormatting sqref="BJ66">
    <cfRule type="cellIs" dxfId="13748" priority="136837" stopIfTrue="1" operator="lessThan">
      <formula>0.5</formula>
    </cfRule>
  </conditionalFormatting>
  <conditionalFormatting sqref="BJ66">
    <cfRule type="cellIs" dxfId="13747" priority="136838" stopIfTrue="1" operator="greaterThanOrEqual">
      <formula>0.5</formula>
    </cfRule>
  </conditionalFormatting>
  <conditionalFormatting sqref="BJ67">
    <cfRule type="cellIs" dxfId="13746" priority="136839" stopIfTrue="1" operator="equal">
      <formula>-1</formula>
    </cfRule>
  </conditionalFormatting>
  <conditionalFormatting sqref="BJ67">
    <cfRule type="cellIs" dxfId="13745" priority="136840" stopIfTrue="1" operator="lessThan">
      <formula>0.5</formula>
    </cfRule>
  </conditionalFormatting>
  <conditionalFormatting sqref="BJ67">
    <cfRule type="cellIs" dxfId="13744" priority="136841" stopIfTrue="1" operator="greaterThanOrEqual">
      <formula>0.5</formula>
    </cfRule>
  </conditionalFormatting>
  <conditionalFormatting sqref="BJ68">
    <cfRule type="cellIs" dxfId="13743" priority="136842" stopIfTrue="1" operator="equal">
      <formula>-1</formula>
    </cfRule>
  </conditionalFormatting>
  <conditionalFormatting sqref="BJ68">
    <cfRule type="cellIs" dxfId="13742" priority="136843" stopIfTrue="1" operator="lessThan">
      <formula>0.5</formula>
    </cfRule>
  </conditionalFormatting>
  <conditionalFormatting sqref="BJ68">
    <cfRule type="cellIs" dxfId="13741" priority="136844" stopIfTrue="1" operator="greaterThanOrEqual">
      <formula>0.5</formula>
    </cfRule>
  </conditionalFormatting>
  <conditionalFormatting sqref="BJ69">
    <cfRule type="cellIs" dxfId="13740" priority="136845" stopIfTrue="1" operator="equal">
      <formula>-1</formula>
    </cfRule>
  </conditionalFormatting>
  <conditionalFormatting sqref="BJ69">
    <cfRule type="cellIs" dxfId="13739" priority="136846" stopIfTrue="1" operator="lessThan">
      <formula>0.5</formula>
    </cfRule>
  </conditionalFormatting>
  <conditionalFormatting sqref="BJ69">
    <cfRule type="cellIs" dxfId="13738" priority="136847" stopIfTrue="1" operator="greaterThanOrEqual">
      <formula>0.5</formula>
    </cfRule>
  </conditionalFormatting>
  <conditionalFormatting sqref="BJ70">
    <cfRule type="cellIs" dxfId="13737" priority="136848" stopIfTrue="1" operator="equal">
      <formula>-1</formula>
    </cfRule>
  </conditionalFormatting>
  <conditionalFormatting sqref="BJ70">
    <cfRule type="cellIs" dxfId="13736" priority="136849" stopIfTrue="1" operator="lessThan">
      <formula>0.5</formula>
    </cfRule>
  </conditionalFormatting>
  <conditionalFormatting sqref="BJ70">
    <cfRule type="cellIs" dxfId="13735" priority="136850" stopIfTrue="1" operator="greaterThanOrEqual">
      <formula>0.5</formula>
    </cfRule>
  </conditionalFormatting>
  <conditionalFormatting sqref="BJ71">
    <cfRule type="cellIs" dxfId="13734" priority="136851" stopIfTrue="1" operator="equal">
      <formula>-1</formula>
    </cfRule>
  </conditionalFormatting>
  <conditionalFormatting sqref="BJ71">
    <cfRule type="cellIs" dxfId="13733" priority="136852" stopIfTrue="1" operator="lessThan">
      <formula>0.5</formula>
    </cfRule>
  </conditionalFormatting>
  <conditionalFormatting sqref="BJ71">
    <cfRule type="cellIs" dxfId="13732" priority="136853" stopIfTrue="1" operator="greaterThanOrEqual">
      <formula>0.5</formula>
    </cfRule>
  </conditionalFormatting>
  <conditionalFormatting sqref="BJ72">
    <cfRule type="cellIs" dxfId="13731" priority="136854" stopIfTrue="1" operator="equal">
      <formula>-1</formula>
    </cfRule>
  </conditionalFormatting>
  <conditionalFormatting sqref="BJ72">
    <cfRule type="cellIs" dxfId="13730" priority="136855" stopIfTrue="1" operator="lessThan">
      <formula>0.5</formula>
    </cfRule>
  </conditionalFormatting>
  <conditionalFormatting sqref="BJ72">
    <cfRule type="cellIs" dxfId="13729" priority="136856" stopIfTrue="1" operator="greaterThanOrEqual">
      <formula>0.5</formula>
    </cfRule>
  </conditionalFormatting>
  <conditionalFormatting sqref="BJ73">
    <cfRule type="cellIs" dxfId="13728" priority="136857" stopIfTrue="1" operator="equal">
      <formula>-1</formula>
    </cfRule>
  </conditionalFormatting>
  <conditionalFormatting sqref="BJ73">
    <cfRule type="cellIs" dxfId="13727" priority="136858" stopIfTrue="1" operator="lessThan">
      <formula>0.5</formula>
    </cfRule>
  </conditionalFormatting>
  <conditionalFormatting sqref="BJ73">
    <cfRule type="cellIs" dxfId="13726" priority="136859" stopIfTrue="1" operator="greaterThanOrEqual">
      <formula>0.5</formula>
    </cfRule>
  </conditionalFormatting>
  <conditionalFormatting sqref="BJ74">
    <cfRule type="cellIs" dxfId="13725" priority="136860" stopIfTrue="1" operator="equal">
      <formula>-1</formula>
    </cfRule>
  </conditionalFormatting>
  <conditionalFormatting sqref="BJ74">
    <cfRule type="cellIs" dxfId="13724" priority="136861" stopIfTrue="1" operator="lessThan">
      <formula>0.5</formula>
    </cfRule>
  </conditionalFormatting>
  <conditionalFormatting sqref="BJ74">
    <cfRule type="cellIs" dxfId="13723" priority="136862" stopIfTrue="1" operator="greaterThanOrEqual">
      <formula>0.5</formula>
    </cfRule>
  </conditionalFormatting>
  <conditionalFormatting sqref="BJ75">
    <cfRule type="cellIs" dxfId="13722" priority="136863" stopIfTrue="1" operator="equal">
      <formula>-1</formula>
    </cfRule>
  </conditionalFormatting>
  <conditionalFormatting sqref="BJ75">
    <cfRule type="cellIs" dxfId="13721" priority="136864" stopIfTrue="1" operator="lessThan">
      <formula>0.5</formula>
    </cfRule>
  </conditionalFormatting>
  <conditionalFormatting sqref="BJ75">
    <cfRule type="cellIs" dxfId="13720" priority="136865" stopIfTrue="1" operator="greaterThanOrEqual">
      <formula>0.5</formula>
    </cfRule>
  </conditionalFormatting>
  <conditionalFormatting sqref="BJ76">
    <cfRule type="cellIs" dxfId="13719" priority="136866" stopIfTrue="1" operator="equal">
      <formula>-1</formula>
    </cfRule>
  </conditionalFormatting>
  <conditionalFormatting sqref="BJ76">
    <cfRule type="cellIs" dxfId="13718" priority="136867" stopIfTrue="1" operator="lessThan">
      <formula>0.5</formula>
    </cfRule>
  </conditionalFormatting>
  <conditionalFormatting sqref="BJ76">
    <cfRule type="cellIs" dxfId="13717" priority="136868" stopIfTrue="1" operator="greaterThanOrEqual">
      <formula>0.5</formula>
    </cfRule>
  </conditionalFormatting>
  <conditionalFormatting sqref="BJ77">
    <cfRule type="cellIs" dxfId="13716" priority="136869" stopIfTrue="1" operator="equal">
      <formula>-1</formula>
    </cfRule>
  </conditionalFormatting>
  <conditionalFormatting sqref="BJ77">
    <cfRule type="cellIs" dxfId="13715" priority="136870" stopIfTrue="1" operator="lessThan">
      <formula>0.5</formula>
    </cfRule>
  </conditionalFormatting>
  <conditionalFormatting sqref="BJ77">
    <cfRule type="cellIs" dxfId="13714" priority="136871" stopIfTrue="1" operator="greaterThanOrEqual">
      <formula>0.5</formula>
    </cfRule>
  </conditionalFormatting>
  <conditionalFormatting sqref="BJ78">
    <cfRule type="cellIs" dxfId="13713" priority="136872" stopIfTrue="1" operator="equal">
      <formula>-1</formula>
    </cfRule>
  </conditionalFormatting>
  <conditionalFormatting sqref="BJ78">
    <cfRule type="cellIs" dxfId="13712" priority="136873" stopIfTrue="1" operator="lessThan">
      <formula>0.5</formula>
    </cfRule>
  </conditionalFormatting>
  <conditionalFormatting sqref="BJ78">
    <cfRule type="cellIs" dxfId="13711" priority="136874" stopIfTrue="1" operator="greaterThanOrEqual">
      <formula>0.5</formula>
    </cfRule>
  </conditionalFormatting>
  <conditionalFormatting sqref="BJ79">
    <cfRule type="cellIs" dxfId="13710" priority="136875" stopIfTrue="1" operator="equal">
      <formula>-1</formula>
    </cfRule>
  </conditionalFormatting>
  <conditionalFormatting sqref="BJ79">
    <cfRule type="cellIs" dxfId="13709" priority="136876" stopIfTrue="1" operator="lessThan">
      <formula>0.5</formula>
    </cfRule>
  </conditionalFormatting>
  <conditionalFormatting sqref="BJ79">
    <cfRule type="cellIs" dxfId="13708" priority="136877" stopIfTrue="1" operator="greaterThanOrEqual">
      <formula>0.5</formula>
    </cfRule>
  </conditionalFormatting>
  <conditionalFormatting sqref="BJ80">
    <cfRule type="cellIs" dxfId="13707" priority="136878" stopIfTrue="1" operator="equal">
      <formula>-1</formula>
    </cfRule>
  </conditionalFormatting>
  <conditionalFormatting sqref="BJ80">
    <cfRule type="cellIs" dxfId="13706" priority="136879" stopIfTrue="1" operator="lessThan">
      <formula>0.5</formula>
    </cfRule>
  </conditionalFormatting>
  <conditionalFormatting sqref="BJ80">
    <cfRule type="cellIs" dxfId="13705" priority="136880" stopIfTrue="1" operator="greaterThanOrEqual">
      <formula>0.5</formula>
    </cfRule>
  </conditionalFormatting>
  <conditionalFormatting sqref="BJ81">
    <cfRule type="cellIs" dxfId="13704" priority="136881" stopIfTrue="1" operator="equal">
      <formula>-1</formula>
    </cfRule>
  </conditionalFormatting>
  <conditionalFormatting sqref="BJ81">
    <cfRule type="cellIs" dxfId="13703" priority="136882" stopIfTrue="1" operator="lessThan">
      <formula>0.5</formula>
    </cfRule>
  </conditionalFormatting>
  <conditionalFormatting sqref="BJ81">
    <cfRule type="cellIs" dxfId="13702" priority="136883" stopIfTrue="1" operator="greaterThanOrEqual">
      <formula>0.5</formula>
    </cfRule>
  </conditionalFormatting>
  <conditionalFormatting sqref="BJ82">
    <cfRule type="cellIs" dxfId="13701" priority="136884" stopIfTrue="1" operator="equal">
      <formula>-1</formula>
    </cfRule>
  </conditionalFormatting>
  <conditionalFormatting sqref="BJ82">
    <cfRule type="cellIs" dxfId="13700" priority="136885" stopIfTrue="1" operator="lessThan">
      <formula>0.5</formula>
    </cfRule>
  </conditionalFormatting>
  <conditionalFormatting sqref="BJ82">
    <cfRule type="cellIs" dxfId="13699" priority="136886" stopIfTrue="1" operator="greaterThanOrEqual">
      <formula>0.5</formula>
    </cfRule>
  </conditionalFormatting>
  <conditionalFormatting sqref="BJ83">
    <cfRule type="cellIs" dxfId="13698" priority="136887" stopIfTrue="1" operator="equal">
      <formula>-1</formula>
    </cfRule>
  </conditionalFormatting>
  <conditionalFormatting sqref="BJ83">
    <cfRule type="cellIs" dxfId="13697" priority="136888" stopIfTrue="1" operator="lessThan">
      <formula>0.5</formula>
    </cfRule>
  </conditionalFormatting>
  <conditionalFormatting sqref="BJ83">
    <cfRule type="cellIs" dxfId="13696" priority="136889" stopIfTrue="1" operator="greaterThanOrEqual">
      <formula>0.5</formula>
    </cfRule>
  </conditionalFormatting>
  <conditionalFormatting sqref="BJ84">
    <cfRule type="cellIs" dxfId="13695" priority="136890" stopIfTrue="1" operator="equal">
      <formula>-1</formula>
    </cfRule>
  </conditionalFormatting>
  <conditionalFormatting sqref="BJ84">
    <cfRule type="cellIs" dxfId="13694" priority="136891" stopIfTrue="1" operator="lessThan">
      <formula>0.5</formula>
    </cfRule>
  </conditionalFormatting>
  <conditionalFormatting sqref="BJ84">
    <cfRule type="cellIs" dxfId="13693" priority="136892" stopIfTrue="1" operator="greaterThanOrEqual">
      <formula>0.5</formula>
    </cfRule>
  </conditionalFormatting>
  <conditionalFormatting sqref="BJ85">
    <cfRule type="cellIs" dxfId="13692" priority="136893" stopIfTrue="1" operator="equal">
      <formula>-1</formula>
    </cfRule>
  </conditionalFormatting>
  <conditionalFormatting sqref="BJ85">
    <cfRule type="cellIs" dxfId="13691" priority="136894" stopIfTrue="1" operator="lessThan">
      <formula>0.5</formula>
    </cfRule>
  </conditionalFormatting>
  <conditionalFormatting sqref="BJ85">
    <cfRule type="cellIs" dxfId="13690" priority="13689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A-F6C8-3D4F-8C9A-CA780CB39CFF}">
  <sheetPr codeName="Sheet3">
    <tabColor rgb="FF7030A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3" t="str" cm="1">
        <f t="array" ref="A1">[1]!GRUPO</f>
        <v>2º Bach.</v>
      </c>
      <c r="B1" s="76" t="s">
        <v>87</v>
      </c>
      <c r="C1" s="75">
        <v>1</v>
      </c>
      <c r="D1" s="75"/>
      <c r="E1" s="75">
        <v>2</v>
      </c>
      <c r="F1" s="75" t="s">
        <v>0</v>
      </c>
      <c r="G1" s="75">
        <v>3</v>
      </c>
      <c r="H1" s="75" t="s">
        <v>0</v>
      </c>
      <c r="I1" s="75">
        <v>4</v>
      </c>
      <c r="J1" s="75" t="s">
        <v>0</v>
      </c>
      <c r="K1" s="75">
        <v>5</v>
      </c>
      <c r="L1" s="75" t="s">
        <v>0</v>
      </c>
      <c r="M1" s="75">
        <v>6</v>
      </c>
      <c r="N1" s="75" t="s">
        <v>0</v>
      </c>
      <c r="O1" s="75">
        <v>7</v>
      </c>
      <c r="P1" s="75" t="s">
        <v>0</v>
      </c>
      <c r="Q1" s="75">
        <v>8</v>
      </c>
      <c r="R1" s="75" t="s">
        <v>0</v>
      </c>
      <c r="S1" s="75">
        <v>9</v>
      </c>
      <c r="T1" s="75" t="s">
        <v>0</v>
      </c>
      <c r="U1" s="75">
        <v>10</v>
      </c>
      <c r="V1" s="75" t="s">
        <v>0</v>
      </c>
      <c r="W1" s="75">
        <v>11</v>
      </c>
      <c r="X1" s="75" t="s">
        <v>0</v>
      </c>
      <c r="Y1" s="75">
        <v>12</v>
      </c>
      <c r="Z1" s="75" t="s">
        <v>1</v>
      </c>
      <c r="AA1" s="75">
        <v>13</v>
      </c>
      <c r="AB1" s="75" t="s">
        <v>0</v>
      </c>
      <c r="AC1" s="75">
        <v>14</v>
      </c>
      <c r="AD1" s="75" t="s">
        <v>0</v>
      </c>
      <c r="AE1" s="75">
        <v>15</v>
      </c>
      <c r="AF1" s="75" t="s">
        <v>0</v>
      </c>
      <c r="AG1" s="75">
        <v>16</v>
      </c>
      <c r="AH1" s="75" t="s">
        <v>0</v>
      </c>
      <c r="AI1" s="75">
        <v>17</v>
      </c>
      <c r="AJ1" s="75"/>
      <c r="AK1" s="75">
        <v>18</v>
      </c>
      <c r="AL1" s="75"/>
      <c r="AM1" s="75">
        <v>19</v>
      </c>
      <c r="AN1" s="75"/>
      <c r="AO1" s="75">
        <v>20</v>
      </c>
      <c r="AP1" s="75" t="s">
        <v>0</v>
      </c>
      <c r="AQ1" s="75">
        <v>21</v>
      </c>
      <c r="AR1" s="75"/>
      <c r="AS1" s="75">
        <v>22</v>
      </c>
      <c r="AT1" s="75" t="s">
        <v>0</v>
      </c>
      <c r="AU1" s="75">
        <v>23</v>
      </c>
      <c r="AV1" s="75" t="s">
        <v>0</v>
      </c>
      <c r="AW1" s="75">
        <v>24</v>
      </c>
      <c r="AX1" s="75"/>
      <c r="AY1" s="75">
        <v>25</v>
      </c>
      <c r="AZ1" s="75"/>
      <c r="BA1" s="75">
        <v>26</v>
      </c>
      <c r="BB1" s="75"/>
      <c r="BC1" s="75">
        <v>27</v>
      </c>
      <c r="BD1" s="75"/>
      <c r="BE1" s="75">
        <v>28</v>
      </c>
      <c r="BF1" s="75"/>
      <c r="BG1" s="75">
        <v>29</v>
      </c>
      <c r="BH1" s="75"/>
      <c r="BI1" s="75">
        <v>30</v>
      </c>
      <c r="BJ1" s="75"/>
    </row>
    <row r="2" spans="1:62" ht="115" customHeight="1" x14ac:dyDescent="0.2">
      <c r="A2" s="73"/>
      <c r="B2" s="77"/>
      <c r="C2" s="74" t="str">
        <f>[1]Examen11!C$2</f>
        <v>Alma Casa, Mario</v>
      </c>
      <c r="D2" s="74"/>
      <c r="E2" s="74" t="str">
        <f>[1]Examen11!E$2</f>
        <v>Amado Luz, Martín</v>
      </c>
      <c r="F2" s="74"/>
      <c r="G2" s="74" t="str">
        <f>[1]Examen11!G$2</f>
        <v>Bonete Cune, Carla</v>
      </c>
      <c r="H2" s="74"/>
      <c r="I2" s="74" t="str">
        <f>[1]Examen11!I$2</f>
        <v>Casado Marín, María</v>
      </c>
      <c r="J2" s="74"/>
      <c r="K2" s="74" t="str">
        <f>[1]Examen11!K$2</f>
        <v>Concepción García, Elena</v>
      </c>
      <c r="L2" s="74"/>
      <c r="M2" s="74" t="str">
        <f>[1]Examen11!M$2</f>
        <v>Díaz Lucas, Ricardo</v>
      </c>
      <c r="N2" s="74"/>
      <c r="O2" s="74" t="str">
        <f>[1]Examen11!O$2</f>
        <v>Díaz Ríos, Lucía</v>
      </c>
      <c r="P2" s="74"/>
      <c r="Q2" s="74" t="str">
        <f>[1]Examen11!Q$2</f>
        <v>García López, Juan Ángel</v>
      </c>
      <c r="R2" s="74"/>
      <c r="S2" s="74" t="str">
        <f>[1]Examen11!S$2</f>
        <v>García Pérez, Luis</v>
      </c>
      <c r="T2" s="74"/>
      <c r="U2" s="74" t="str">
        <f>[1]Examen11!U$2</f>
        <v>Garijo Piqueras, María</v>
      </c>
      <c r="V2" s="74"/>
      <c r="W2" s="74" t="str">
        <f>[1]Examen11!W$2</f>
        <v>Gómez Luna, José</v>
      </c>
      <c r="X2" s="74"/>
      <c r="Y2" s="74" t="str">
        <f>[1]Examen11!Y$2</f>
        <v>González García, Juan</v>
      </c>
      <c r="Z2" s="74"/>
      <c r="AA2" s="74" t="str">
        <f>[1]Examen11!AA$2</f>
        <v>González Pérez, María</v>
      </c>
      <c r="AB2" s="74"/>
      <c r="AC2" s="74" t="str">
        <f>[1]Examen11!AC$2</f>
        <v>Laín Hernández, Luisa</v>
      </c>
      <c r="AD2" s="74"/>
      <c r="AE2" s="74" t="str">
        <f>[1]Examen11!AE$2</f>
        <v>Lirios Lara, Juan</v>
      </c>
      <c r="AF2" s="74"/>
      <c r="AG2" s="74" t="str">
        <f>[1]Examen11!AG$2</f>
        <v>López Picazo, Marta</v>
      </c>
      <c r="AH2" s="74"/>
      <c r="AI2" s="74" t="str">
        <f>[1]Examen11!AI$2</f>
        <v>Molina Pérez, Marina</v>
      </c>
      <c r="AJ2" s="74"/>
      <c r="AK2" s="74" t="str">
        <f>[1]Examen11!AK$2</f>
        <v>Molina Sánchez, Inmaculada</v>
      </c>
      <c r="AL2" s="74"/>
      <c r="AM2" s="74" t="str">
        <f>[1]Examen11!AM$2</f>
        <v>Montero Pacheco, Pablo</v>
      </c>
      <c r="AN2" s="74"/>
      <c r="AO2" s="74" t="str">
        <f>[1]Examen11!AO$2</f>
        <v>Mora García, Javier</v>
      </c>
      <c r="AP2" s="74"/>
      <c r="AQ2" s="74" t="str">
        <f>[1]Examen11!AQ$2</f>
        <v>Morcillo Pared, Luna</v>
      </c>
      <c r="AR2" s="74"/>
      <c r="AS2" s="74" t="str">
        <f>[1]Examen11!AS$2</f>
        <v>Moreno Hernández, Francisco</v>
      </c>
      <c r="AT2" s="74"/>
      <c r="AU2" s="74" t="str">
        <f>[1]Examen11!AU$2</f>
        <v>Muñoz Garijo, Pablo</v>
      </c>
      <c r="AV2" s="74"/>
      <c r="AW2" s="74" t="str">
        <f>[1]Examen11!AW$2</f>
        <v>Pérez Garrido, Francisco</v>
      </c>
      <c r="AX2" s="74"/>
      <c r="AY2" s="74" t="str">
        <f>[1]Examen11!AY$2</f>
        <v>Serna Serna, Susana</v>
      </c>
      <c r="AZ2" s="74"/>
      <c r="BA2" s="74" t="str">
        <f>[1]Examen11!BA$2</f>
        <v>Soriano Tornero, Manuel</v>
      </c>
      <c r="BB2" s="74"/>
      <c r="BC2" s="74" t="str">
        <f>[1]Examen11!BC$2</f>
        <v>Zarza Parrilla, Manuel</v>
      </c>
      <c r="BD2" s="74"/>
      <c r="BE2" s="74" t="str">
        <f>[1]Examen11!BE$2</f>
        <v/>
      </c>
      <c r="BF2" s="74"/>
      <c r="BG2" s="74" t="str">
        <f>[1]Examen11!BG$2</f>
        <v/>
      </c>
      <c r="BH2" s="74"/>
      <c r="BI2" s="74" t="str">
        <f>[1]Examen11!BI$2</f>
        <v/>
      </c>
      <c r="BJ2" s="74"/>
    </row>
    <row r="3" spans="1:62" ht="33" customHeight="1" x14ac:dyDescent="0.2">
      <c r="A3" s="37" t="str" cm="1">
        <f t="array" ref="A3">[1]!VERSION</f>
        <v>Versión 1.1</v>
      </c>
      <c r="B3" s="12" t="str">
        <f>IF((B4+B7+B16+B38+B59+B64)=1,"Ok","Error % Bloques")</f>
        <v>Ok</v>
      </c>
      <c r="C3" s="53">
        <f>SUM(C4,C7,C16,C38,C59,C64)</f>
        <v>0</v>
      </c>
      <c r="D3" s="54"/>
      <c r="E3" s="53">
        <f t="shared" ref="E3" si="0">SUM(E4,E7,E16,E38,E59,E64)</f>
        <v>0</v>
      </c>
      <c r="F3" s="54"/>
      <c r="G3" s="53">
        <f t="shared" ref="G3" si="1">SUM(G4,G7,G16,G38,G59,G64)</f>
        <v>0</v>
      </c>
      <c r="H3" s="54"/>
      <c r="I3" s="53">
        <f t="shared" ref="I3" si="2">SUM(I4,I7,I16,I38,I59,I64)</f>
        <v>0</v>
      </c>
      <c r="J3" s="54"/>
      <c r="K3" s="53">
        <f t="shared" ref="K3" si="3">SUM(K4,K7,K16,K38,K59,K64)</f>
        <v>0</v>
      </c>
      <c r="L3" s="54"/>
      <c r="M3" s="53">
        <f t="shared" ref="M3" si="4">SUM(M4,M7,M16,M38,M59,M64)</f>
        <v>0</v>
      </c>
      <c r="N3" s="54"/>
      <c r="O3" s="53">
        <f t="shared" ref="O3" si="5">SUM(O4,O7,O16,O38,O59,O64)</f>
        <v>0</v>
      </c>
      <c r="P3" s="54"/>
      <c r="Q3" s="53">
        <f t="shared" ref="Q3" si="6">SUM(Q4,Q7,Q16,Q38,Q59,Q64)</f>
        <v>0</v>
      </c>
      <c r="R3" s="54"/>
      <c r="S3" s="53">
        <f t="shared" ref="S3" si="7">SUM(S4,S7,S16,S38,S59,S64)</f>
        <v>0</v>
      </c>
      <c r="T3" s="54"/>
      <c r="U3" s="53">
        <f t="shared" ref="U3" si="8">SUM(U4,U7,U16,U38,U59,U64)</f>
        <v>0</v>
      </c>
      <c r="V3" s="54"/>
      <c r="W3" s="53">
        <f t="shared" ref="W3" si="9">SUM(W4,W7,W16,W38,W59,W64)</f>
        <v>0</v>
      </c>
      <c r="X3" s="54"/>
      <c r="Y3" s="53">
        <f t="shared" ref="Y3" si="10">SUM(Y4,Y7,Y16,Y38,Y59,Y64)</f>
        <v>0</v>
      </c>
      <c r="Z3" s="54"/>
      <c r="AA3" s="53">
        <f t="shared" ref="AA3" si="11">SUM(AA4,AA7,AA16,AA38,AA59,AA64)</f>
        <v>0</v>
      </c>
      <c r="AB3" s="54"/>
      <c r="AC3" s="53">
        <f t="shared" ref="AC3" si="12">SUM(AC4,AC7,AC16,AC38,AC59,AC64)</f>
        <v>0</v>
      </c>
      <c r="AD3" s="54"/>
      <c r="AE3" s="53">
        <f t="shared" ref="AE3" si="13">SUM(AE4,AE7,AE16,AE38,AE59,AE64)</f>
        <v>0</v>
      </c>
      <c r="AF3" s="54"/>
      <c r="AG3" s="53">
        <f t="shared" ref="AG3" si="14">SUM(AG4,AG7,AG16,AG38,AG59,AG64)</f>
        <v>0</v>
      </c>
      <c r="AH3" s="54"/>
      <c r="AI3" s="53">
        <f t="shared" ref="AI3" si="15">SUM(AI4,AI7,AI16,AI38,AI59,AI64)</f>
        <v>0</v>
      </c>
      <c r="AJ3" s="54"/>
      <c r="AK3" s="53">
        <f t="shared" ref="AK3" si="16">SUM(AK4,AK7,AK16,AK38,AK59,AK64)</f>
        <v>0</v>
      </c>
      <c r="AL3" s="54"/>
      <c r="AM3" s="53">
        <f t="shared" ref="AM3" si="17">SUM(AM4,AM7,AM16,AM38,AM59,AM64)</f>
        <v>0</v>
      </c>
      <c r="AN3" s="54"/>
      <c r="AO3" s="53">
        <f t="shared" ref="AO3" si="18">SUM(AO4,AO7,AO16,AO38,AO59,AO64)</f>
        <v>0</v>
      </c>
      <c r="AP3" s="54"/>
      <c r="AQ3" s="53">
        <f t="shared" ref="AQ3" si="19">SUM(AQ4,AQ7,AQ16,AQ38,AQ59,AQ64)</f>
        <v>0</v>
      </c>
      <c r="AR3" s="54"/>
      <c r="AS3" s="53">
        <f t="shared" ref="AS3" si="20">SUM(AS4,AS7,AS16,AS38,AS59,AS64)</f>
        <v>0</v>
      </c>
      <c r="AT3" s="54"/>
      <c r="AU3" s="53">
        <f t="shared" ref="AU3" si="21">SUM(AU4,AU7,AU16,AU38,AU59,AU64)</f>
        <v>0</v>
      </c>
      <c r="AV3" s="54"/>
      <c r="AW3" s="53">
        <f t="shared" ref="AW3" si="22">SUM(AW4,AW7,AW16,AW38,AW59,AW64)</f>
        <v>0</v>
      </c>
      <c r="AX3" s="54"/>
      <c r="AY3" s="53">
        <f t="shared" ref="AY3" si="23">SUM(AY4,AY7,AY16,AY38,AY59,AY64)</f>
        <v>0</v>
      </c>
      <c r="AZ3" s="54"/>
      <c r="BA3" s="53">
        <f t="shared" ref="BA3" si="24">SUM(BA4,BA7,BA16,BA38,BA59,BA64)</f>
        <v>0</v>
      </c>
      <c r="BB3" s="54"/>
      <c r="BC3" s="53">
        <f t="shared" ref="BC3" si="25">SUM(BC4,BC7,BC16,BC38,BC59,BC64)</f>
        <v>0</v>
      </c>
      <c r="BD3" s="54"/>
      <c r="BE3" s="53">
        <f t="shared" ref="BE3" si="26">SUM(BE4,BE7,BE16,BE38,BE59,BE64)</f>
        <v>0</v>
      </c>
      <c r="BF3" s="54"/>
      <c r="BG3" s="53">
        <f t="shared" ref="BG3" si="27">SUM(BG4,BG7,BG16,BG38,BG59,BG64)</f>
        <v>0</v>
      </c>
      <c r="BH3" s="54"/>
      <c r="BI3" s="53">
        <f t="shared" ref="BI3" si="28">SUM(BI4,BI7,BI16,BI38,BI59,BI64)</f>
        <v>0</v>
      </c>
      <c r="BJ3" s="54"/>
    </row>
    <row r="4" spans="1:62" ht="38" x14ac:dyDescent="0.2">
      <c r="A4" s="6" t="s">
        <v>2</v>
      </c>
      <c r="B4" s="7">
        <f>Estructura!D2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3">
        <f>Recu3!B5</f>
        <v>0</v>
      </c>
      <c r="C5" s="31">
        <f>Recu3!C5</f>
        <v>0</v>
      </c>
      <c r="D5" s="32">
        <f>IF($B5,C5/$B5,-1)</f>
        <v>-1</v>
      </c>
      <c r="E5" s="31">
        <f>Recu3!E5</f>
        <v>0</v>
      </c>
      <c r="F5" s="32">
        <f>IF($B5,E5/$B5,-1)</f>
        <v>-1</v>
      </c>
      <c r="G5" s="31">
        <f>Recu3!G5</f>
        <v>0</v>
      </c>
      <c r="H5" s="32">
        <f>IF($B5,G5/$B5,-1)</f>
        <v>-1</v>
      </c>
      <c r="I5" s="31">
        <f>Recu3!I5</f>
        <v>0</v>
      </c>
      <c r="J5" s="32">
        <f>IF($B5,I5/$B5,-1)</f>
        <v>-1</v>
      </c>
      <c r="K5" s="31">
        <f>Recu3!K5</f>
        <v>0</v>
      </c>
      <c r="L5" s="32">
        <f>IF($B5,K5/$B5,-1)</f>
        <v>-1</v>
      </c>
      <c r="M5" s="31">
        <f>Recu3!M5</f>
        <v>0</v>
      </c>
      <c r="N5" s="32">
        <f>IF($B5,M5/$B5,-1)</f>
        <v>-1</v>
      </c>
      <c r="O5" s="31">
        <f>Recu3!O5</f>
        <v>0</v>
      </c>
      <c r="P5" s="32">
        <f>IF($B5,O5/$B5,-1)</f>
        <v>-1</v>
      </c>
      <c r="Q5" s="31">
        <f>Recu3!Q5</f>
        <v>0</v>
      </c>
      <c r="R5" s="32">
        <f>IF($B5,Q5/$B5,-1)</f>
        <v>-1</v>
      </c>
      <c r="S5" s="31">
        <f>Recu3!S5</f>
        <v>0</v>
      </c>
      <c r="T5" s="32">
        <f>IF($B5,S5/$B5,-1)</f>
        <v>-1</v>
      </c>
      <c r="U5" s="31">
        <f>Recu3!U5</f>
        <v>0</v>
      </c>
      <c r="V5" s="32">
        <f>IF($B5,U5/$B5,-1)</f>
        <v>-1</v>
      </c>
      <c r="W5" s="31">
        <f>Recu3!W5</f>
        <v>0</v>
      </c>
      <c r="X5" s="32">
        <f>IF($B5,W5/$B5,-1)</f>
        <v>-1</v>
      </c>
      <c r="Y5" s="31">
        <f>Recu3!Y5</f>
        <v>0</v>
      </c>
      <c r="Z5" s="32">
        <f>IF($B5,Y5/$B5,-1)</f>
        <v>-1</v>
      </c>
      <c r="AA5" s="31">
        <f>Recu3!AA5</f>
        <v>0</v>
      </c>
      <c r="AB5" s="32">
        <f>IF($B5,AA5/$B5,-1)</f>
        <v>-1</v>
      </c>
      <c r="AC5" s="31">
        <f>Recu3!AC5</f>
        <v>0</v>
      </c>
      <c r="AD5" s="32">
        <f>IF($B5,AC5/$B5,-1)</f>
        <v>-1</v>
      </c>
      <c r="AE5" s="31">
        <f>Recu3!AE5</f>
        <v>0</v>
      </c>
      <c r="AF5" s="32">
        <f>IF($B5,AE5/$B5,-1)</f>
        <v>-1</v>
      </c>
      <c r="AG5" s="31">
        <f>Recu3!AG5</f>
        <v>0</v>
      </c>
      <c r="AH5" s="32">
        <f>IF($B5,AG5/$B5,-1)</f>
        <v>-1</v>
      </c>
      <c r="AI5" s="31">
        <f>Recu3!AI5</f>
        <v>0</v>
      </c>
      <c r="AJ5" s="32">
        <f>IF($B5,AI5/$B5,-1)</f>
        <v>-1</v>
      </c>
      <c r="AK5" s="31">
        <f>Recu3!AK5</f>
        <v>0</v>
      </c>
      <c r="AL5" s="32">
        <f>IF($B5,AK5/$B5,-1)</f>
        <v>-1</v>
      </c>
      <c r="AM5" s="31">
        <f>Recu3!AM5</f>
        <v>0</v>
      </c>
      <c r="AN5" s="32">
        <f>IF($B5,AM5/$B5,-1)</f>
        <v>-1</v>
      </c>
      <c r="AO5" s="31">
        <f>Recu3!AO5</f>
        <v>0</v>
      </c>
      <c r="AP5" s="32">
        <f>IF($B5,AO5/$B5,-1)</f>
        <v>-1</v>
      </c>
      <c r="AQ5" s="31">
        <f>Recu3!AQ5</f>
        <v>0</v>
      </c>
      <c r="AR5" s="32">
        <f>IF($B5,AQ5/$B5,-1)</f>
        <v>-1</v>
      </c>
      <c r="AS5" s="31">
        <f>Recu3!AS5</f>
        <v>0</v>
      </c>
      <c r="AT5" s="32">
        <f>IF($B5,AS5/$B5,-1)</f>
        <v>-1</v>
      </c>
      <c r="AU5" s="31">
        <f>Recu3!AU5</f>
        <v>0</v>
      </c>
      <c r="AV5" s="32">
        <f>IF($B5,AU5/$B5,-1)</f>
        <v>-1</v>
      </c>
      <c r="AW5" s="31">
        <f>Recu3!AW5</f>
        <v>0</v>
      </c>
      <c r="AX5" s="32">
        <f>IF($B5,AW5/$B5,-1)</f>
        <v>-1</v>
      </c>
      <c r="AY5" s="31">
        <f>Recu3!AY5</f>
        <v>0</v>
      </c>
      <c r="AZ5" s="32">
        <f>IF($B5,AY5/$B5,-1)</f>
        <v>-1</v>
      </c>
      <c r="BA5" s="31">
        <f>Recu3!BA5</f>
        <v>0</v>
      </c>
      <c r="BB5" s="32">
        <f>IF($B5,BA5/$B5,-1)</f>
        <v>-1</v>
      </c>
      <c r="BC5" s="31">
        <f>Recu3!BC5</f>
        <v>0</v>
      </c>
      <c r="BD5" s="32">
        <f>IF($B5,BC5/$B5,-1)</f>
        <v>-1</v>
      </c>
      <c r="BE5" s="31">
        <f>Recu3!BE5</f>
        <v>0</v>
      </c>
      <c r="BF5" s="32">
        <f>IF($B5,BE5/$B5,-1)</f>
        <v>-1</v>
      </c>
      <c r="BG5" s="31">
        <f>Recu3!BG5</f>
        <v>0</v>
      </c>
      <c r="BH5" s="32">
        <f>IF($B5,BG5/$B5,-1)</f>
        <v>-1</v>
      </c>
      <c r="BI5" s="31">
        <f>Recu3!BI5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Recu3!B6</f>
        <v>0</v>
      </c>
      <c r="C6" s="31">
        <f>Recu3!C6</f>
        <v>0</v>
      </c>
      <c r="D6" s="32">
        <f>IF($B6,C6/$B6,-1)</f>
        <v>-1</v>
      </c>
      <c r="E6" s="31">
        <f>Recu3!E6</f>
        <v>0</v>
      </c>
      <c r="F6" s="32">
        <f>IF($B6,E6/$B6,-1)</f>
        <v>-1</v>
      </c>
      <c r="G6" s="31">
        <f>Recu3!G6</f>
        <v>0</v>
      </c>
      <c r="H6" s="32">
        <f>IF($B6,G6/$B6,-1)</f>
        <v>-1</v>
      </c>
      <c r="I6" s="31">
        <f>Recu3!I6</f>
        <v>0</v>
      </c>
      <c r="J6" s="32">
        <f>IF($B6,I6/$B6,-1)</f>
        <v>-1</v>
      </c>
      <c r="K6" s="31">
        <f>Recu3!K6</f>
        <v>0</v>
      </c>
      <c r="L6" s="32">
        <f>IF($B6,K6/$B6,-1)</f>
        <v>-1</v>
      </c>
      <c r="M6" s="31">
        <f>Recu3!M6</f>
        <v>0</v>
      </c>
      <c r="N6" s="32">
        <f>IF($B6,M6/$B6,-1)</f>
        <v>-1</v>
      </c>
      <c r="O6" s="31">
        <f>Recu3!O6</f>
        <v>0</v>
      </c>
      <c r="P6" s="32">
        <f>IF($B6,O6/$B6,-1)</f>
        <v>-1</v>
      </c>
      <c r="Q6" s="31">
        <f>Recu3!Q6</f>
        <v>0</v>
      </c>
      <c r="R6" s="32">
        <f>IF($B6,Q6/$B6,-1)</f>
        <v>-1</v>
      </c>
      <c r="S6" s="31">
        <f>Recu3!S6</f>
        <v>0</v>
      </c>
      <c r="T6" s="32">
        <f>IF($B6,S6/$B6,-1)</f>
        <v>-1</v>
      </c>
      <c r="U6" s="31">
        <f>Recu3!U6</f>
        <v>0</v>
      </c>
      <c r="V6" s="32">
        <f>IF($B6,U6/$B6,-1)</f>
        <v>-1</v>
      </c>
      <c r="W6" s="31">
        <f>Recu3!W6</f>
        <v>0</v>
      </c>
      <c r="X6" s="32">
        <f>IF($B6,W6/$B6,-1)</f>
        <v>-1</v>
      </c>
      <c r="Y6" s="31">
        <f>Recu3!Y6</f>
        <v>0</v>
      </c>
      <c r="Z6" s="32">
        <f>IF($B6,Y6/$B6,-1)</f>
        <v>-1</v>
      </c>
      <c r="AA6" s="31">
        <f>Recu3!AA6</f>
        <v>0</v>
      </c>
      <c r="AB6" s="32">
        <f>IF($B6,AA6/$B6,-1)</f>
        <v>-1</v>
      </c>
      <c r="AC6" s="31">
        <f>Recu3!AC6</f>
        <v>0</v>
      </c>
      <c r="AD6" s="32">
        <f>IF($B6,AC6/$B6,-1)</f>
        <v>-1</v>
      </c>
      <c r="AE6" s="31">
        <f>Recu3!AE6</f>
        <v>0</v>
      </c>
      <c r="AF6" s="32">
        <f>IF($B6,AE6/$B6,-1)</f>
        <v>-1</v>
      </c>
      <c r="AG6" s="31">
        <f>Recu3!AG6</f>
        <v>0</v>
      </c>
      <c r="AH6" s="32">
        <f>IF($B6,AG6/$B6,-1)</f>
        <v>-1</v>
      </c>
      <c r="AI6" s="31">
        <f>Recu3!AI6</f>
        <v>0</v>
      </c>
      <c r="AJ6" s="32">
        <f>IF($B6,AI6/$B6,-1)</f>
        <v>-1</v>
      </c>
      <c r="AK6" s="31">
        <f>Recu3!AK6</f>
        <v>0</v>
      </c>
      <c r="AL6" s="32">
        <f>IF($B6,AK6/$B6,-1)</f>
        <v>-1</v>
      </c>
      <c r="AM6" s="31">
        <f>Recu3!AM6</f>
        <v>0</v>
      </c>
      <c r="AN6" s="32">
        <f>IF($B6,AM6/$B6,-1)</f>
        <v>-1</v>
      </c>
      <c r="AO6" s="31">
        <f>Recu3!AO6</f>
        <v>0</v>
      </c>
      <c r="AP6" s="32">
        <f>IF($B6,AO6/$B6,-1)</f>
        <v>-1</v>
      </c>
      <c r="AQ6" s="31">
        <f>Recu3!AQ6</f>
        <v>0</v>
      </c>
      <c r="AR6" s="32">
        <f>IF($B6,AQ6/$B6,-1)</f>
        <v>-1</v>
      </c>
      <c r="AS6" s="31">
        <f>Recu3!AS6</f>
        <v>0</v>
      </c>
      <c r="AT6" s="32">
        <f>IF($B6,AS6/$B6,-1)</f>
        <v>-1</v>
      </c>
      <c r="AU6" s="31">
        <f>Recu3!AU6</f>
        <v>0</v>
      </c>
      <c r="AV6" s="32">
        <f>IF($B6,AU6/$B6,-1)</f>
        <v>-1</v>
      </c>
      <c r="AW6" s="31">
        <f>Recu3!AW6</f>
        <v>0</v>
      </c>
      <c r="AX6" s="32">
        <f>IF($B6,AW6/$B6,-1)</f>
        <v>-1</v>
      </c>
      <c r="AY6" s="31">
        <f>Recu3!AY6</f>
        <v>0</v>
      </c>
      <c r="AZ6" s="32">
        <f>IF($B6,AY6/$B6,-1)</f>
        <v>-1</v>
      </c>
      <c r="BA6" s="31">
        <f>Recu3!BA6</f>
        <v>0</v>
      </c>
      <c r="BB6" s="32">
        <f>IF($B6,BA6/$B6,-1)</f>
        <v>-1</v>
      </c>
      <c r="BC6" s="31">
        <f>Recu3!BC6</f>
        <v>0</v>
      </c>
      <c r="BD6" s="32">
        <f>IF($B6,BC6/$B6,-1)</f>
        <v>-1</v>
      </c>
      <c r="BE6" s="31">
        <f>Recu3!BE6</f>
        <v>0</v>
      </c>
      <c r="BF6" s="32">
        <f>IF($B6,BE6/$B6,-1)</f>
        <v>-1</v>
      </c>
      <c r="BG6" s="31">
        <f>Recu3!BG6</f>
        <v>0</v>
      </c>
      <c r="BH6" s="32">
        <f>IF($B6,BG6/$B6,-1)</f>
        <v>-1</v>
      </c>
      <c r="BI6" s="31">
        <f>Recu3!BI6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Recu3!B8</f>
        <v>0</v>
      </c>
      <c r="C8" s="31">
        <f>Recu3!C8</f>
        <v>0</v>
      </c>
      <c r="D8" s="32">
        <f t="shared" ref="D8:D15" si="29">IF($B8,C8/$B8,-1)</f>
        <v>-1</v>
      </c>
      <c r="E8" s="31">
        <f>Recu3!E8</f>
        <v>0</v>
      </c>
      <c r="F8" s="32">
        <f t="shared" ref="F8:F15" si="30">IF($B8,E8/$B8,-1)</f>
        <v>-1</v>
      </c>
      <c r="G8" s="31">
        <f>Recu3!G8</f>
        <v>0</v>
      </c>
      <c r="H8" s="32">
        <f t="shared" ref="H8:H15" si="31">IF($B8,G8/$B8,-1)</f>
        <v>-1</v>
      </c>
      <c r="I8" s="31">
        <f>Recu3!I8</f>
        <v>0</v>
      </c>
      <c r="J8" s="32">
        <f t="shared" ref="J8:J15" si="32">IF($B8,I8/$B8,-1)</f>
        <v>-1</v>
      </c>
      <c r="K8" s="31">
        <f>Recu3!K8</f>
        <v>0</v>
      </c>
      <c r="L8" s="32">
        <f t="shared" ref="L8:L15" si="33">IF($B8,K8/$B8,-1)</f>
        <v>-1</v>
      </c>
      <c r="M8" s="31">
        <f>Recu3!M8</f>
        <v>0</v>
      </c>
      <c r="N8" s="32">
        <f t="shared" ref="N8:N15" si="34">IF($B8,M8/$B8,-1)</f>
        <v>-1</v>
      </c>
      <c r="O8" s="31">
        <f>Recu3!O8</f>
        <v>0</v>
      </c>
      <c r="P8" s="32">
        <f t="shared" ref="P8:P15" si="35">IF($B8,O8/$B8,-1)</f>
        <v>-1</v>
      </c>
      <c r="Q8" s="31">
        <f>Recu3!Q8</f>
        <v>0</v>
      </c>
      <c r="R8" s="32">
        <f t="shared" ref="R8:R15" si="36">IF($B8,Q8/$B8,-1)</f>
        <v>-1</v>
      </c>
      <c r="S8" s="31">
        <f>Recu3!S8</f>
        <v>0</v>
      </c>
      <c r="T8" s="32">
        <f t="shared" ref="T8:T15" si="37">IF($B8,S8/$B8,-1)</f>
        <v>-1</v>
      </c>
      <c r="U8" s="31">
        <f>Recu3!U8</f>
        <v>0</v>
      </c>
      <c r="V8" s="32">
        <f t="shared" ref="V8:V15" si="38">IF($B8,U8/$B8,-1)</f>
        <v>-1</v>
      </c>
      <c r="W8" s="31">
        <f>Recu3!W8</f>
        <v>0</v>
      </c>
      <c r="X8" s="32">
        <f t="shared" ref="X8:X15" si="39">IF($B8,W8/$B8,-1)</f>
        <v>-1</v>
      </c>
      <c r="Y8" s="31">
        <f>Recu3!Y8</f>
        <v>0</v>
      </c>
      <c r="Z8" s="32">
        <f t="shared" ref="Z8:Z15" si="40">IF($B8,Y8/$B8,-1)</f>
        <v>-1</v>
      </c>
      <c r="AA8" s="31">
        <f>Recu3!AA8</f>
        <v>0</v>
      </c>
      <c r="AB8" s="32">
        <f t="shared" ref="AB8:AB15" si="41">IF($B8,AA8/$B8,-1)</f>
        <v>-1</v>
      </c>
      <c r="AC8" s="31">
        <f>Recu3!AC8</f>
        <v>0</v>
      </c>
      <c r="AD8" s="32">
        <f t="shared" ref="AD8:AD15" si="42">IF($B8,AC8/$B8,-1)</f>
        <v>-1</v>
      </c>
      <c r="AE8" s="31">
        <f>Recu3!AE8</f>
        <v>0</v>
      </c>
      <c r="AF8" s="32">
        <f t="shared" ref="AF8:AF15" si="43">IF($B8,AE8/$B8,-1)</f>
        <v>-1</v>
      </c>
      <c r="AG8" s="31">
        <f>Recu3!AG8</f>
        <v>0</v>
      </c>
      <c r="AH8" s="32">
        <f t="shared" ref="AH8:AH15" si="44">IF($B8,AG8/$B8,-1)</f>
        <v>-1</v>
      </c>
      <c r="AI8" s="31">
        <f>Recu3!AI8</f>
        <v>0</v>
      </c>
      <c r="AJ8" s="32">
        <f t="shared" ref="AJ8:AJ15" si="45">IF($B8,AI8/$B8,-1)</f>
        <v>-1</v>
      </c>
      <c r="AK8" s="31">
        <f>Recu3!AK8</f>
        <v>0</v>
      </c>
      <c r="AL8" s="32">
        <f t="shared" ref="AL8:AL15" si="46">IF($B8,AK8/$B8,-1)</f>
        <v>-1</v>
      </c>
      <c r="AM8" s="31">
        <f>Recu3!AM8</f>
        <v>0</v>
      </c>
      <c r="AN8" s="32">
        <f t="shared" ref="AN8:AN15" si="47">IF($B8,AM8/$B8,-1)</f>
        <v>-1</v>
      </c>
      <c r="AO8" s="31">
        <f>Recu3!AO8</f>
        <v>0</v>
      </c>
      <c r="AP8" s="32">
        <f t="shared" ref="AP8:AP15" si="48">IF($B8,AO8/$B8,-1)</f>
        <v>-1</v>
      </c>
      <c r="AQ8" s="31">
        <f>Recu3!AQ8</f>
        <v>0</v>
      </c>
      <c r="AR8" s="32">
        <f t="shared" ref="AR8:AR15" si="49">IF($B8,AQ8/$B8,-1)</f>
        <v>-1</v>
      </c>
      <c r="AS8" s="31">
        <f>Recu3!AS8</f>
        <v>0</v>
      </c>
      <c r="AT8" s="32">
        <f t="shared" ref="AT8:AT15" si="50">IF($B8,AS8/$B8,-1)</f>
        <v>-1</v>
      </c>
      <c r="AU8" s="31">
        <f>Recu3!AU8</f>
        <v>0</v>
      </c>
      <c r="AV8" s="32">
        <f t="shared" ref="AV8:AV15" si="51">IF($B8,AU8/$B8,-1)</f>
        <v>-1</v>
      </c>
      <c r="AW8" s="31">
        <f>Recu3!AW8</f>
        <v>0</v>
      </c>
      <c r="AX8" s="32">
        <f t="shared" ref="AX8:AX15" si="52">IF($B8,AW8/$B8,-1)</f>
        <v>-1</v>
      </c>
      <c r="AY8" s="31">
        <f>Recu3!AY8</f>
        <v>0</v>
      </c>
      <c r="AZ8" s="32">
        <f t="shared" ref="AZ8:AZ15" si="53">IF($B8,AY8/$B8,-1)</f>
        <v>-1</v>
      </c>
      <c r="BA8" s="31">
        <f>Recu3!BA8</f>
        <v>0</v>
      </c>
      <c r="BB8" s="32">
        <f t="shared" ref="BB8:BB15" si="54">IF($B8,BA8/$B8,-1)</f>
        <v>-1</v>
      </c>
      <c r="BC8" s="31">
        <f>Recu3!BC8</f>
        <v>0</v>
      </c>
      <c r="BD8" s="32">
        <f t="shared" ref="BD8:BD15" si="55">IF($B8,BC8/$B8,-1)</f>
        <v>-1</v>
      </c>
      <c r="BE8" s="31">
        <f>Recu3!BE8</f>
        <v>0</v>
      </c>
      <c r="BF8" s="32">
        <f t="shared" ref="BF8:BF15" si="56">IF($B8,BE8/$B8,-1)</f>
        <v>-1</v>
      </c>
      <c r="BG8" s="31">
        <f>Recu3!BG8</f>
        <v>0</v>
      </c>
      <c r="BH8" s="32">
        <f t="shared" ref="BH8:BH15" si="57">IF($B8,BG8/$B8,-1)</f>
        <v>-1</v>
      </c>
      <c r="BI8" s="31">
        <f>Recu3!BI8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Recu3!B9</f>
        <v>0</v>
      </c>
      <c r="C9" s="31">
        <f>Recu3!C9</f>
        <v>0</v>
      </c>
      <c r="D9" s="32">
        <f t="shared" si="29"/>
        <v>-1</v>
      </c>
      <c r="E9" s="31">
        <f>Recu3!E9</f>
        <v>0</v>
      </c>
      <c r="F9" s="32">
        <f t="shared" si="30"/>
        <v>-1</v>
      </c>
      <c r="G9" s="31">
        <f>Recu3!G9</f>
        <v>0</v>
      </c>
      <c r="H9" s="32">
        <f t="shared" si="31"/>
        <v>-1</v>
      </c>
      <c r="I9" s="31">
        <f>Recu3!I9</f>
        <v>0</v>
      </c>
      <c r="J9" s="32">
        <f t="shared" si="32"/>
        <v>-1</v>
      </c>
      <c r="K9" s="31">
        <f>Recu3!K9</f>
        <v>0</v>
      </c>
      <c r="L9" s="32">
        <f t="shared" si="33"/>
        <v>-1</v>
      </c>
      <c r="M9" s="31">
        <f>Recu3!M9</f>
        <v>0</v>
      </c>
      <c r="N9" s="32">
        <f t="shared" si="34"/>
        <v>-1</v>
      </c>
      <c r="O9" s="31">
        <f>Recu3!O9</f>
        <v>0</v>
      </c>
      <c r="P9" s="32">
        <f t="shared" si="35"/>
        <v>-1</v>
      </c>
      <c r="Q9" s="31">
        <f>Recu3!Q9</f>
        <v>0</v>
      </c>
      <c r="R9" s="32">
        <f t="shared" si="36"/>
        <v>-1</v>
      </c>
      <c r="S9" s="31">
        <f>Recu3!S9</f>
        <v>0</v>
      </c>
      <c r="T9" s="32">
        <f t="shared" si="37"/>
        <v>-1</v>
      </c>
      <c r="U9" s="31">
        <f>Recu3!U9</f>
        <v>0</v>
      </c>
      <c r="V9" s="32">
        <f t="shared" si="38"/>
        <v>-1</v>
      </c>
      <c r="W9" s="31">
        <f>Recu3!W9</f>
        <v>0</v>
      </c>
      <c r="X9" s="32">
        <f t="shared" si="39"/>
        <v>-1</v>
      </c>
      <c r="Y9" s="31">
        <f>Recu3!Y9</f>
        <v>0</v>
      </c>
      <c r="Z9" s="32">
        <f t="shared" si="40"/>
        <v>-1</v>
      </c>
      <c r="AA9" s="31">
        <f>Recu3!AA9</f>
        <v>0</v>
      </c>
      <c r="AB9" s="32">
        <f t="shared" si="41"/>
        <v>-1</v>
      </c>
      <c r="AC9" s="31">
        <f>Recu3!AC9</f>
        <v>0</v>
      </c>
      <c r="AD9" s="32">
        <f t="shared" si="42"/>
        <v>-1</v>
      </c>
      <c r="AE9" s="31">
        <f>Recu3!AE9</f>
        <v>0</v>
      </c>
      <c r="AF9" s="32">
        <f t="shared" si="43"/>
        <v>-1</v>
      </c>
      <c r="AG9" s="31">
        <f>Recu3!AG9</f>
        <v>0</v>
      </c>
      <c r="AH9" s="32">
        <f t="shared" si="44"/>
        <v>-1</v>
      </c>
      <c r="AI9" s="31">
        <f>Recu3!AI9</f>
        <v>0</v>
      </c>
      <c r="AJ9" s="32">
        <f t="shared" si="45"/>
        <v>-1</v>
      </c>
      <c r="AK9" s="31">
        <f>Recu3!AK9</f>
        <v>0</v>
      </c>
      <c r="AL9" s="32">
        <f t="shared" si="46"/>
        <v>-1</v>
      </c>
      <c r="AM9" s="31">
        <f>Recu3!AM9</f>
        <v>0</v>
      </c>
      <c r="AN9" s="32">
        <f t="shared" si="47"/>
        <v>-1</v>
      </c>
      <c r="AO9" s="31">
        <f>Recu3!AO9</f>
        <v>0</v>
      </c>
      <c r="AP9" s="32">
        <f t="shared" si="48"/>
        <v>-1</v>
      </c>
      <c r="AQ9" s="31">
        <f>Recu3!AQ9</f>
        <v>0</v>
      </c>
      <c r="AR9" s="32">
        <f t="shared" si="49"/>
        <v>-1</v>
      </c>
      <c r="AS9" s="31">
        <f>Recu3!AS9</f>
        <v>0</v>
      </c>
      <c r="AT9" s="32">
        <f t="shared" si="50"/>
        <v>-1</v>
      </c>
      <c r="AU9" s="31">
        <f>Recu3!AU9</f>
        <v>0</v>
      </c>
      <c r="AV9" s="32">
        <f t="shared" si="51"/>
        <v>-1</v>
      </c>
      <c r="AW9" s="31">
        <f>Recu3!AW9</f>
        <v>0</v>
      </c>
      <c r="AX9" s="32">
        <f t="shared" si="52"/>
        <v>-1</v>
      </c>
      <c r="AY9" s="31">
        <f>Recu3!AY9</f>
        <v>0</v>
      </c>
      <c r="AZ9" s="32">
        <f t="shared" si="53"/>
        <v>-1</v>
      </c>
      <c r="BA9" s="31">
        <f>Recu3!BA9</f>
        <v>0</v>
      </c>
      <c r="BB9" s="32">
        <f t="shared" si="54"/>
        <v>-1</v>
      </c>
      <c r="BC9" s="31">
        <f>Recu3!BC9</f>
        <v>0</v>
      </c>
      <c r="BD9" s="32">
        <f t="shared" si="55"/>
        <v>-1</v>
      </c>
      <c r="BE9" s="31">
        <f>Recu3!BE9</f>
        <v>0</v>
      </c>
      <c r="BF9" s="32">
        <f t="shared" si="56"/>
        <v>-1</v>
      </c>
      <c r="BG9" s="31">
        <f>Recu3!BG9</f>
        <v>0</v>
      </c>
      <c r="BH9" s="32">
        <f t="shared" si="57"/>
        <v>-1</v>
      </c>
      <c r="BI9" s="31">
        <f>Recu3!BI9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Recu3!B10</f>
        <v>0</v>
      </c>
      <c r="C10" s="31">
        <f>Recu3!C10</f>
        <v>0</v>
      </c>
      <c r="D10" s="32">
        <f t="shared" si="29"/>
        <v>-1</v>
      </c>
      <c r="E10" s="31">
        <f>Recu3!E10</f>
        <v>0</v>
      </c>
      <c r="F10" s="32">
        <f t="shared" si="30"/>
        <v>-1</v>
      </c>
      <c r="G10" s="31">
        <f>Recu3!G10</f>
        <v>0</v>
      </c>
      <c r="H10" s="32">
        <f t="shared" si="31"/>
        <v>-1</v>
      </c>
      <c r="I10" s="31">
        <f>Recu3!I10</f>
        <v>0</v>
      </c>
      <c r="J10" s="32">
        <f t="shared" si="32"/>
        <v>-1</v>
      </c>
      <c r="K10" s="31">
        <f>Recu3!K10</f>
        <v>0</v>
      </c>
      <c r="L10" s="32">
        <f t="shared" si="33"/>
        <v>-1</v>
      </c>
      <c r="M10" s="31">
        <f>Recu3!M10</f>
        <v>0</v>
      </c>
      <c r="N10" s="32">
        <f t="shared" si="34"/>
        <v>-1</v>
      </c>
      <c r="O10" s="31">
        <f>Recu3!O10</f>
        <v>0</v>
      </c>
      <c r="P10" s="32">
        <f t="shared" si="35"/>
        <v>-1</v>
      </c>
      <c r="Q10" s="31">
        <f>Recu3!Q10</f>
        <v>0</v>
      </c>
      <c r="R10" s="32">
        <f t="shared" si="36"/>
        <v>-1</v>
      </c>
      <c r="S10" s="31">
        <f>Recu3!S10</f>
        <v>0</v>
      </c>
      <c r="T10" s="32">
        <f t="shared" si="37"/>
        <v>-1</v>
      </c>
      <c r="U10" s="31">
        <f>Recu3!U10</f>
        <v>0</v>
      </c>
      <c r="V10" s="32">
        <f t="shared" si="38"/>
        <v>-1</v>
      </c>
      <c r="W10" s="31">
        <f>Recu3!W10</f>
        <v>0</v>
      </c>
      <c r="X10" s="32">
        <f t="shared" si="39"/>
        <v>-1</v>
      </c>
      <c r="Y10" s="31">
        <f>Recu3!Y10</f>
        <v>0</v>
      </c>
      <c r="Z10" s="32">
        <f t="shared" si="40"/>
        <v>-1</v>
      </c>
      <c r="AA10" s="31">
        <f>Recu3!AA10</f>
        <v>0</v>
      </c>
      <c r="AB10" s="32">
        <f t="shared" si="41"/>
        <v>-1</v>
      </c>
      <c r="AC10" s="31">
        <f>Recu3!AC10</f>
        <v>0</v>
      </c>
      <c r="AD10" s="32">
        <f t="shared" si="42"/>
        <v>-1</v>
      </c>
      <c r="AE10" s="31">
        <f>Recu3!AE10</f>
        <v>0</v>
      </c>
      <c r="AF10" s="32">
        <f t="shared" si="43"/>
        <v>-1</v>
      </c>
      <c r="AG10" s="31">
        <f>Recu3!AG10</f>
        <v>0</v>
      </c>
      <c r="AH10" s="32">
        <f t="shared" si="44"/>
        <v>-1</v>
      </c>
      <c r="AI10" s="31">
        <f>Recu3!AI10</f>
        <v>0</v>
      </c>
      <c r="AJ10" s="32">
        <f t="shared" si="45"/>
        <v>-1</v>
      </c>
      <c r="AK10" s="31">
        <f>Recu3!AK10</f>
        <v>0</v>
      </c>
      <c r="AL10" s="32">
        <f t="shared" si="46"/>
        <v>-1</v>
      </c>
      <c r="AM10" s="31">
        <f>Recu3!AM10</f>
        <v>0</v>
      </c>
      <c r="AN10" s="32">
        <f t="shared" si="47"/>
        <v>-1</v>
      </c>
      <c r="AO10" s="31">
        <f>Recu3!AO10</f>
        <v>0</v>
      </c>
      <c r="AP10" s="32">
        <f t="shared" si="48"/>
        <v>-1</v>
      </c>
      <c r="AQ10" s="31">
        <f>Recu3!AQ10</f>
        <v>0</v>
      </c>
      <c r="AR10" s="32">
        <f t="shared" si="49"/>
        <v>-1</v>
      </c>
      <c r="AS10" s="31">
        <f>Recu3!AS10</f>
        <v>0</v>
      </c>
      <c r="AT10" s="32">
        <f t="shared" si="50"/>
        <v>-1</v>
      </c>
      <c r="AU10" s="31">
        <f>Recu3!AU10</f>
        <v>0</v>
      </c>
      <c r="AV10" s="32">
        <f t="shared" si="51"/>
        <v>-1</v>
      </c>
      <c r="AW10" s="31">
        <f>Recu3!AW10</f>
        <v>0</v>
      </c>
      <c r="AX10" s="32">
        <f t="shared" si="52"/>
        <v>-1</v>
      </c>
      <c r="AY10" s="31">
        <f>Recu3!AY10</f>
        <v>0</v>
      </c>
      <c r="AZ10" s="32">
        <f t="shared" si="53"/>
        <v>-1</v>
      </c>
      <c r="BA10" s="31">
        <f>Recu3!BA10</f>
        <v>0</v>
      </c>
      <c r="BB10" s="32">
        <f t="shared" si="54"/>
        <v>-1</v>
      </c>
      <c r="BC10" s="31">
        <f>Recu3!BC10</f>
        <v>0</v>
      </c>
      <c r="BD10" s="32">
        <f t="shared" si="55"/>
        <v>-1</v>
      </c>
      <c r="BE10" s="31">
        <f>Recu3!BE10</f>
        <v>0</v>
      </c>
      <c r="BF10" s="32">
        <f t="shared" si="56"/>
        <v>-1</v>
      </c>
      <c r="BG10" s="31">
        <f>Recu3!BG10</f>
        <v>0</v>
      </c>
      <c r="BH10" s="32">
        <f t="shared" si="57"/>
        <v>-1</v>
      </c>
      <c r="BI10" s="31">
        <f>Recu3!BI10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Recu3!B11</f>
        <v>0</v>
      </c>
      <c r="C11" s="31">
        <f>Recu3!C11</f>
        <v>0</v>
      </c>
      <c r="D11" s="32">
        <f t="shared" si="29"/>
        <v>-1</v>
      </c>
      <c r="E11" s="31">
        <f>Recu3!E11</f>
        <v>0</v>
      </c>
      <c r="F11" s="32">
        <f t="shared" si="30"/>
        <v>-1</v>
      </c>
      <c r="G11" s="31">
        <f>Recu3!G11</f>
        <v>0</v>
      </c>
      <c r="H11" s="32">
        <f t="shared" si="31"/>
        <v>-1</v>
      </c>
      <c r="I11" s="31">
        <f>Recu3!I11</f>
        <v>0</v>
      </c>
      <c r="J11" s="32">
        <f t="shared" si="32"/>
        <v>-1</v>
      </c>
      <c r="K11" s="31">
        <f>Recu3!K11</f>
        <v>0</v>
      </c>
      <c r="L11" s="32">
        <f t="shared" si="33"/>
        <v>-1</v>
      </c>
      <c r="M11" s="31">
        <f>Recu3!M11</f>
        <v>0</v>
      </c>
      <c r="N11" s="32">
        <f t="shared" si="34"/>
        <v>-1</v>
      </c>
      <c r="O11" s="31">
        <f>Recu3!O11</f>
        <v>0</v>
      </c>
      <c r="P11" s="32">
        <f t="shared" si="35"/>
        <v>-1</v>
      </c>
      <c r="Q11" s="31">
        <f>Recu3!Q11</f>
        <v>0</v>
      </c>
      <c r="R11" s="32">
        <f t="shared" si="36"/>
        <v>-1</v>
      </c>
      <c r="S11" s="31">
        <f>Recu3!S11</f>
        <v>0</v>
      </c>
      <c r="T11" s="32">
        <f t="shared" si="37"/>
        <v>-1</v>
      </c>
      <c r="U11" s="31">
        <f>Recu3!U11</f>
        <v>0</v>
      </c>
      <c r="V11" s="32">
        <f t="shared" si="38"/>
        <v>-1</v>
      </c>
      <c r="W11" s="31">
        <f>Recu3!W11</f>
        <v>0</v>
      </c>
      <c r="X11" s="32">
        <f t="shared" si="39"/>
        <v>-1</v>
      </c>
      <c r="Y11" s="31">
        <f>Recu3!Y11</f>
        <v>0</v>
      </c>
      <c r="Z11" s="32">
        <f t="shared" si="40"/>
        <v>-1</v>
      </c>
      <c r="AA11" s="31">
        <f>Recu3!AA11</f>
        <v>0</v>
      </c>
      <c r="AB11" s="32">
        <f t="shared" si="41"/>
        <v>-1</v>
      </c>
      <c r="AC11" s="31">
        <f>Recu3!AC11</f>
        <v>0</v>
      </c>
      <c r="AD11" s="32">
        <f t="shared" si="42"/>
        <v>-1</v>
      </c>
      <c r="AE11" s="31">
        <f>Recu3!AE11</f>
        <v>0</v>
      </c>
      <c r="AF11" s="32">
        <f t="shared" si="43"/>
        <v>-1</v>
      </c>
      <c r="AG11" s="31">
        <f>Recu3!AG11</f>
        <v>0</v>
      </c>
      <c r="AH11" s="32">
        <f t="shared" si="44"/>
        <v>-1</v>
      </c>
      <c r="AI11" s="31">
        <f>Recu3!AI11</f>
        <v>0</v>
      </c>
      <c r="AJ11" s="32">
        <f t="shared" si="45"/>
        <v>-1</v>
      </c>
      <c r="AK11" s="31">
        <f>Recu3!AK11</f>
        <v>0</v>
      </c>
      <c r="AL11" s="32">
        <f t="shared" si="46"/>
        <v>-1</v>
      </c>
      <c r="AM11" s="31">
        <f>Recu3!AM11</f>
        <v>0</v>
      </c>
      <c r="AN11" s="32">
        <f t="shared" si="47"/>
        <v>-1</v>
      </c>
      <c r="AO11" s="31">
        <f>Recu3!AO11</f>
        <v>0</v>
      </c>
      <c r="AP11" s="32">
        <f t="shared" si="48"/>
        <v>-1</v>
      </c>
      <c r="AQ11" s="31">
        <f>Recu3!AQ11</f>
        <v>0</v>
      </c>
      <c r="AR11" s="32">
        <f t="shared" si="49"/>
        <v>-1</v>
      </c>
      <c r="AS11" s="31">
        <f>Recu3!AS11</f>
        <v>0</v>
      </c>
      <c r="AT11" s="32">
        <f t="shared" si="50"/>
        <v>-1</v>
      </c>
      <c r="AU11" s="31">
        <f>Recu3!AU11</f>
        <v>0</v>
      </c>
      <c r="AV11" s="32">
        <f t="shared" si="51"/>
        <v>-1</v>
      </c>
      <c r="AW11" s="31">
        <f>Recu3!AW11</f>
        <v>0</v>
      </c>
      <c r="AX11" s="32">
        <f t="shared" si="52"/>
        <v>-1</v>
      </c>
      <c r="AY11" s="31">
        <f>Recu3!AY11</f>
        <v>0</v>
      </c>
      <c r="AZ11" s="32">
        <f t="shared" si="53"/>
        <v>-1</v>
      </c>
      <c r="BA11" s="31">
        <f>Recu3!BA11</f>
        <v>0</v>
      </c>
      <c r="BB11" s="32">
        <f t="shared" si="54"/>
        <v>-1</v>
      </c>
      <c r="BC11" s="31">
        <f>Recu3!BC11</f>
        <v>0</v>
      </c>
      <c r="BD11" s="32">
        <f t="shared" si="55"/>
        <v>-1</v>
      </c>
      <c r="BE11" s="31">
        <f>Recu3!BE11</f>
        <v>0</v>
      </c>
      <c r="BF11" s="32">
        <f t="shared" si="56"/>
        <v>-1</v>
      </c>
      <c r="BG11" s="31">
        <f>Recu3!BG11</f>
        <v>0</v>
      </c>
      <c r="BH11" s="32">
        <f t="shared" si="57"/>
        <v>-1</v>
      </c>
      <c r="BI11" s="31">
        <f>Recu3!BI11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Recu3!B12</f>
        <v>0</v>
      </c>
      <c r="C12" s="31">
        <f>Recu3!C12</f>
        <v>0</v>
      </c>
      <c r="D12" s="32">
        <f t="shared" si="29"/>
        <v>-1</v>
      </c>
      <c r="E12" s="31">
        <f>Recu3!E12</f>
        <v>0</v>
      </c>
      <c r="F12" s="32">
        <f t="shared" si="30"/>
        <v>-1</v>
      </c>
      <c r="G12" s="31">
        <f>Recu3!G12</f>
        <v>0</v>
      </c>
      <c r="H12" s="32">
        <f t="shared" si="31"/>
        <v>-1</v>
      </c>
      <c r="I12" s="31">
        <f>Recu3!I12</f>
        <v>0</v>
      </c>
      <c r="J12" s="32">
        <f t="shared" si="32"/>
        <v>-1</v>
      </c>
      <c r="K12" s="31">
        <f>Recu3!K12</f>
        <v>0</v>
      </c>
      <c r="L12" s="32">
        <f t="shared" si="33"/>
        <v>-1</v>
      </c>
      <c r="M12" s="31">
        <f>Recu3!M12</f>
        <v>0</v>
      </c>
      <c r="N12" s="32">
        <f t="shared" si="34"/>
        <v>-1</v>
      </c>
      <c r="O12" s="31">
        <f>Recu3!O12</f>
        <v>0</v>
      </c>
      <c r="P12" s="32">
        <f t="shared" si="35"/>
        <v>-1</v>
      </c>
      <c r="Q12" s="31">
        <f>Recu3!Q12</f>
        <v>0</v>
      </c>
      <c r="R12" s="32">
        <f t="shared" si="36"/>
        <v>-1</v>
      </c>
      <c r="S12" s="31">
        <f>Recu3!S12</f>
        <v>0</v>
      </c>
      <c r="T12" s="32">
        <f t="shared" si="37"/>
        <v>-1</v>
      </c>
      <c r="U12" s="31">
        <f>Recu3!U12</f>
        <v>0</v>
      </c>
      <c r="V12" s="32">
        <f t="shared" si="38"/>
        <v>-1</v>
      </c>
      <c r="W12" s="31">
        <f>Recu3!W12</f>
        <v>0</v>
      </c>
      <c r="X12" s="32">
        <f t="shared" si="39"/>
        <v>-1</v>
      </c>
      <c r="Y12" s="31">
        <f>Recu3!Y12</f>
        <v>0</v>
      </c>
      <c r="Z12" s="32">
        <f t="shared" si="40"/>
        <v>-1</v>
      </c>
      <c r="AA12" s="31">
        <f>Recu3!AA12</f>
        <v>0</v>
      </c>
      <c r="AB12" s="32">
        <f t="shared" si="41"/>
        <v>-1</v>
      </c>
      <c r="AC12" s="31">
        <f>Recu3!AC12</f>
        <v>0</v>
      </c>
      <c r="AD12" s="32">
        <f t="shared" si="42"/>
        <v>-1</v>
      </c>
      <c r="AE12" s="31">
        <f>Recu3!AE12</f>
        <v>0</v>
      </c>
      <c r="AF12" s="32">
        <f t="shared" si="43"/>
        <v>-1</v>
      </c>
      <c r="AG12" s="31">
        <f>Recu3!AG12</f>
        <v>0</v>
      </c>
      <c r="AH12" s="32">
        <f t="shared" si="44"/>
        <v>-1</v>
      </c>
      <c r="AI12" s="31">
        <f>Recu3!AI12</f>
        <v>0</v>
      </c>
      <c r="AJ12" s="32">
        <f t="shared" si="45"/>
        <v>-1</v>
      </c>
      <c r="AK12" s="31">
        <f>Recu3!AK12</f>
        <v>0</v>
      </c>
      <c r="AL12" s="32">
        <f t="shared" si="46"/>
        <v>-1</v>
      </c>
      <c r="AM12" s="31">
        <f>Recu3!AM12</f>
        <v>0</v>
      </c>
      <c r="AN12" s="32">
        <f t="shared" si="47"/>
        <v>-1</v>
      </c>
      <c r="AO12" s="31">
        <f>Recu3!AO12</f>
        <v>0</v>
      </c>
      <c r="AP12" s="32">
        <f t="shared" si="48"/>
        <v>-1</v>
      </c>
      <c r="AQ12" s="31">
        <f>Recu3!AQ12</f>
        <v>0</v>
      </c>
      <c r="AR12" s="32">
        <f t="shared" si="49"/>
        <v>-1</v>
      </c>
      <c r="AS12" s="31">
        <f>Recu3!AS12</f>
        <v>0</v>
      </c>
      <c r="AT12" s="32">
        <f t="shared" si="50"/>
        <v>-1</v>
      </c>
      <c r="AU12" s="31">
        <f>Recu3!AU12</f>
        <v>0</v>
      </c>
      <c r="AV12" s="32">
        <f t="shared" si="51"/>
        <v>-1</v>
      </c>
      <c r="AW12" s="31">
        <f>Recu3!AW12</f>
        <v>0</v>
      </c>
      <c r="AX12" s="32">
        <f t="shared" si="52"/>
        <v>-1</v>
      </c>
      <c r="AY12" s="31">
        <f>Recu3!AY12</f>
        <v>0</v>
      </c>
      <c r="AZ12" s="32">
        <f t="shared" si="53"/>
        <v>-1</v>
      </c>
      <c r="BA12" s="31">
        <f>Recu3!BA12</f>
        <v>0</v>
      </c>
      <c r="BB12" s="32">
        <f t="shared" si="54"/>
        <v>-1</v>
      </c>
      <c r="BC12" s="31">
        <f>Recu3!BC12</f>
        <v>0</v>
      </c>
      <c r="BD12" s="32">
        <f t="shared" si="55"/>
        <v>-1</v>
      </c>
      <c r="BE12" s="31">
        <f>Recu3!BE12</f>
        <v>0</v>
      </c>
      <c r="BF12" s="32">
        <f t="shared" si="56"/>
        <v>-1</v>
      </c>
      <c r="BG12" s="31">
        <f>Recu3!BG12</f>
        <v>0</v>
      </c>
      <c r="BH12" s="32">
        <f t="shared" si="57"/>
        <v>-1</v>
      </c>
      <c r="BI12" s="31">
        <f>Recu3!BI12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Recu3!B13</f>
        <v>0</v>
      </c>
      <c r="C13" s="31">
        <f>Recu3!C13</f>
        <v>0</v>
      </c>
      <c r="D13" s="32">
        <f t="shared" si="29"/>
        <v>-1</v>
      </c>
      <c r="E13" s="31">
        <f>Recu3!E13</f>
        <v>0</v>
      </c>
      <c r="F13" s="32">
        <f t="shared" si="30"/>
        <v>-1</v>
      </c>
      <c r="G13" s="31">
        <f>Recu3!G13</f>
        <v>0</v>
      </c>
      <c r="H13" s="32">
        <f t="shared" si="31"/>
        <v>-1</v>
      </c>
      <c r="I13" s="31">
        <f>Recu3!I13</f>
        <v>0</v>
      </c>
      <c r="J13" s="32">
        <f t="shared" si="32"/>
        <v>-1</v>
      </c>
      <c r="K13" s="31">
        <f>Recu3!K13</f>
        <v>0</v>
      </c>
      <c r="L13" s="32">
        <f t="shared" si="33"/>
        <v>-1</v>
      </c>
      <c r="M13" s="31">
        <f>Recu3!M13</f>
        <v>0</v>
      </c>
      <c r="N13" s="32">
        <f t="shared" si="34"/>
        <v>-1</v>
      </c>
      <c r="O13" s="31">
        <f>Recu3!O13</f>
        <v>0</v>
      </c>
      <c r="P13" s="32">
        <f t="shared" si="35"/>
        <v>-1</v>
      </c>
      <c r="Q13" s="31">
        <f>Recu3!Q13</f>
        <v>0</v>
      </c>
      <c r="R13" s="32">
        <f t="shared" si="36"/>
        <v>-1</v>
      </c>
      <c r="S13" s="31">
        <f>Recu3!S13</f>
        <v>0</v>
      </c>
      <c r="T13" s="32">
        <f t="shared" si="37"/>
        <v>-1</v>
      </c>
      <c r="U13" s="31">
        <f>Recu3!U13</f>
        <v>0</v>
      </c>
      <c r="V13" s="32">
        <f t="shared" si="38"/>
        <v>-1</v>
      </c>
      <c r="W13" s="31">
        <f>Recu3!W13</f>
        <v>0</v>
      </c>
      <c r="X13" s="32">
        <f t="shared" si="39"/>
        <v>-1</v>
      </c>
      <c r="Y13" s="31">
        <f>Recu3!Y13</f>
        <v>0</v>
      </c>
      <c r="Z13" s="32">
        <f t="shared" si="40"/>
        <v>-1</v>
      </c>
      <c r="AA13" s="31">
        <f>Recu3!AA13</f>
        <v>0</v>
      </c>
      <c r="AB13" s="32">
        <f t="shared" si="41"/>
        <v>-1</v>
      </c>
      <c r="AC13" s="31">
        <f>Recu3!AC13</f>
        <v>0</v>
      </c>
      <c r="AD13" s="32">
        <f t="shared" si="42"/>
        <v>-1</v>
      </c>
      <c r="AE13" s="31">
        <f>Recu3!AE13</f>
        <v>0</v>
      </c>
      <c r="AF13" s="32">
        <f t="shared" si="43"/>
        <v>-1</v>
      </c>
      <c r="AG13" s="31">
        <f>Recu3!AG13</f>
        <v>0</v>
      </c>
      <c r="AH13" s="32">
        <f t="shared" si="44"/>
        <v>-1</v>
      </c>
      <c r="AI13" s="31">
        <f>Recu3!AI13</f>
        <v>0</v>
      </c>
      <c r="AJ13" s="32">
        <f t="shared" si="45"/>
        <v>-1</v>
      </c>
      <c r="AK13" s="31">
        <f>Recu3!AK13</f>
        <v>0</v>
      </c>
      <c r="AL13" s="32">
        <f t="shared" si="46"/>
        <v>-1</v>
      </c>
      <c r="AM13" s="31">
        <f>Recu3!AM13</f>
        <v>0</v>
      </c>
      <c r="AN13" s="32">
        <f t="shared" si="47"/>
        <v>-1</v>
      </c>
      <c r="AO13" s="31">
        <f>Recu3!AO13</f>
        <v>0</v>
      </c>
      <c r="AP13" s="32">
        <f t="shared" si="48"/>
        <v>-1</v>
      </c>
      <c r="AQ13" s="31">
        <f>Recu3!AQ13</f>
        <v>0</v>
      </c>
      <c r="AR13" s="32">
        <f t="shared" si="49"/>
        <v>-1</v>
      </c>
      <c r="AS13" s="31">
        <f>Recu3!AS13</f>
        <v>0</v>
      </c>
      <c r="AT13" s="32">
        <f t="shared" si="50"/>
        <v>-1</v>
      </c>
      <c r="AU13" s="31">
        <f>Recu3!AU13</f>
        <v>0</v>
      </c>
      <c r="AV13" s="32">
        <f t="shared" si="51"/>
        <v>-1</v>
      </c>
      <c r="AW13" s="31">
        <f>Recu3!AW13</f>
        <v>0</v>
      </c>
      <c r="AX13" s="32">
        <f t="shared" si="52"/>
        <v>-1</v>
      </c>
      <c r="AY13" s="31">
        <f>Recu3!AY13</f>
        <v>0</v>
      </c>
      <c r="AZ13" s="32">
        <f t="shared" si="53"/>
        <v>-1</v>
      </c>
      <c r="BA13" s="31">
        <f>Recu3!BA13</f>
        <v>0</v>
      </c>
      <c r="BB13" s="32">
        <f t="shared" si="54"/>
        <v>-1</v>
      </c>
      <c r="BC13" s="31">
        <f>Recu3!BC13</f>
        <v>0</v>
      </c>
      <c r="BD13" s="32">
        <f t="shared" si="55"/>
        <v>-1</v>
      </c>
      <c r="BE13" s="31">
        <f>Recu3!BE13</f>
        <v>0</v>
      </c>
      <c r="BF13" s="32">
        <f t="shared" si="56"/>
        <v>-1</v>
      </c>
      <c r="BG13" s="31">
        <f>Recu3!BG13</f>
        <v>0</v>
      </c>
      <c r="BH13" s="32">
        <f t="shared" si="57"/>
        <v>-1</v>
      </c>
      <c r="BI13" s="31">
        <f>Recu3!BI13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Recu3!B14</f>
        <v>0</v>
      </c>
      <c r="C14" s="31">
        <f>Recu3!C14</f>
        <v>0</v>
      </c>
      <c r="D14" s="32">
        <f t="shared" si="29"/>
        <v>-1</v>
      </c>
      <c r="E14" s="31">
        <f>Recu3!E14</f>
        <v>0</v>
      </c>
      <c r="F14" s="32">
        <f t="shared" si="30"/>
        <v>-1</v>
      </c>
      <c r="G14" s="31">
        <f>Recu3!G14</f>
        <v>0</v>
      </c>
      <c r="H14" s="32">
        <f t="shared" si="31"/>
        <v>-1</v>
      </c>
      <c r="I14" s="31">
        <f>Recu3!I14</f>
        <v>0</v>
      </c>
      <c r="J14" s="32">
        <f t="shared" si="32"/>
        <v>-1</v>
      </c>
      <c r="K14" s="31">
        <f>Recu3!K14</f>
        <v>0</v>
      </c>
      <c r="L14" s="32">
        <f t="shared" si="33"/>
        <v>-1</v>
      </c>
      <c r="M14" s="31">
        <f>Recu3!M14</f>
        <v>0</v>
      </c>
      <c r="N14" s="32">
        <f t="shared" si="34"/>
        <v>-1</v>
      </c>
      <c r="O14" s="31">
        <f>Recu3!O14</f>
        <v>0</v>
      </c>
      <c r="P14" s="32">
        <f t="shared" si="35"/>
        <v>-1</v>
      </c>
      <c r="Q14" s="31">
        <f>Recu3!Q14</f>
        <v>0</v>
      </c>
      <c r="R14" s="32">
        <f t="shared" si="36"/>
        <v>-1</v>
      </c>
      <c r="S14" s="31">
        <f>Recu3!S14</f>
        <v>0</v>
      </c>
      <c r="T14" s="32">
        <f t="shared" si="37"/>
        <v>-1</v>
      </c>
      <c r="U14" s="31">
        <f>Recu3!U14</f>
        <v>0</v>
      </c>
      <c r="V14" s="32">
        <f t="shared" si="38"/>
        <v>-1</v>
      </c>
      <c r="W14" s="31">
        <f>Recu3!W14</f>
        <v>0</v>
      </c>
      <c r="X14" s="32">
        <f t="shared" si="39"/>
        <v>-1</v>
      </c>
      <c r="Y14" s="31">
        <f>Recu3!Y14</f>
        <v>0</v>
      </c>
      <c r="Z14" s="32">
        <f t="shared" si="40"/>
        <v>-1</v>
      </c>
      <c r="AA14" s="31">
        <f>Recu3!AA14</f>
        <v>0</v>
      </c>
      <c r="AB14" s="32">
        <f t="shared" si="41"/>
        <v>-1</v>
      </c>
      <c r="AC14" s="31">
        <f>Recu3!AC14</f>
        <v>0</v>
      </c>
      <c r="AD14" s="32">
        <f t="shared" si="42"/>
        <v>-1</v>
      </c>
      <c r="AE14" s="31">
        <f>Recu3!AE14</f>
        <v>0</v>
      </c>
      <c r="AF14" s="32">
        <f t="shared" si="43"/>
        <v>-1</v>
      </c>
      <c r="AG14" s="31">
        <f>Recu3!AG14</f>
        <v>0</v>
      </c>
      <c r="AH14" s="32">
        <f t="shared" si="44"/>
        <v>-1</v>
      </c>
      <c r="AI14" s="31">
        <f>Recu3!AI14</f>
        <v>0</v>
      </c>
      <c r="AJ14" s="32">
        <f t="shared" si="45"/>
        <v>-1</v>
      </c>
      <c r="AK14" s="31">
        <f>Recu3!AK14</f>
        <v>0</v>
      </c>
      <c r="AL14" s="32">
        <f t="shared" si="46"/>
        <v>-1</v>
      </c>
      <c r="AM14" s="31">
        <f>Recu3!AM14</f>
        <v>0</v>
      </c>
      <c r="AN14" s="32">
        <f t="shared" si="47"/>
        <v>-1</v>
      </c>
      <c r="AO14" s="31">
        <f>Recu3!AO14</f>
        <v>0</v>
      </c>
      <c r="AP14" s="32">
        <f t="shared" si="48"/>
        <v>-1</v>
      </c>
      <c r="AQ14" s="31">
        <f>Recu3!AQ14</f>
        <v>0</v>
      </c>
      <c r="AR14" s="32">
        <f t="shared" si="49"/>
        <v>-1</v>
      </c>
      <c r="AS14" s="31">
        <f>Recu3!AS14</f>
        <v>0</v>
      </c>
      <c r="AT14" s="32">
        <f t="shared" si="50"/>
        <v>-1</v>
      </c>
      <c r="AU14" s="31">
        <f>Recu3!AU14</f>
        <v>0</v>
      </c>
      <c r="AV14" s="32">
        <f t="shared" si="51"/>
        <v>-1</v>
      </c>
      <c r="AW14" s="31">
        <f>Recu3!AW14</f>
        <v>0</v>
      </c>
      <c r="AX14" s="32">
        <f t="shared" si="52"/>
        <v>-1</v>
      </c>
      <c r="AY14" s="31">
        <f>Recu3!AY14</f>
        <v>0</v>
      </c>
      <c r="AZ14" s="32">
        <f t="shared" si="53"/>
        <v>-1</v>
      </c>
      <c r="BA14" s="31">
        <f>Recu3!BA14</f>
        <v>0</v>
      </c>
      <c r="BB14" s="32">
        <f t="shared" si="54"/>
        <v>-1</v>
      </c>
      <c r="BC14" s="31">
        <f>Recu3!BC14</f>
        <v>0</v>
      </c>
      <c r="BD14" s="32">
        <f t="shared" si="55"/>
        <v>-1</v>
      </c>
      <c r="BE14" s="31">
        <f>Recu3!BE14</f>
        <v>0</v>
      </c>
      <c r="BF14" s="32">
        <f t="shared" si="56"/>
        <v>-1</v>
      </c>
      <c r="BG14" s="31">
        <f>Recu3!BG14</f>
        <v>0</v>
      </c>
      <c r="BH14" s="32">
        <f t="shared" si="57"/>
        <v>-1</v>
      </c>
      <c r="BI14" s="31">
        <f>Recu3!BI14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Recu3!B15</f>
        <v>0</v>
      </c>
      <c r="C15" s="31">
        <f>Recu3!C15</f>
        <v>0</v>
      </c>
      <c r="D15" s="32">
        <f t="shared" si="29"/>
        <v>-1</v>
      </c>
      <c r="E15" s="31">
        <f>Recu3!E15</f>
        <v>0</v>
      </c>
      <c r="F15" s="32">
        <f t="shared" si="30"/>
        <v>-1</v>
      </c>
      <c r="G15" s="31">
        <f>Recu3!G15</f>
        <v>0</v>
      </c>
      <c r="H15" s="32">
        <f t="shared" si="31"/>
        <v>-1</v>
      </c>
      <c r="I15" s="31">
        <f>Recu3!I15</f>
        <v>0</v>
      </c>
      <c r="J15" s="32">
        <f t="shared" si="32"/>
        <v>-1</v>
      </c>
      <c r="K15" s="31">
        <f>Recu3!K15</f>
        <v>0</v>
      </c>
      <c r="L15" s="32">
        <f t="shared" si="33"/>
        <v>-1</v>
      </c>
      <c r="M15" s="31">
        <f>Recu3!M15</f>
        <v>0</v>
      </c>
      <c r="N15" s="32">
        <f t="shared" si="34"/>
        <v>-1</v>
      </c>
      <c r="O15" s="31">
        <f>Recu3!O15</f>
        <v>0</v>
      </c>
      <c r="P15" s="32">
        <f t="shared" si="35"/>
        <v>-1</v>
      </c>
      <c r="Q15" s="31">
        <f>Recu3!Q15</f>
        <v>0</v>
      </c>
      <c r="R15" s="32">
        <f t="shared" si="36"/>
        <v>-1</v>
      </c>
      <c r="S15" s="31">
        <f>Recu3!S15</f>
        <v>0</v>
      </c>
      <c r="T15" s="32">
        <f t="shared" si="37"/>
        <v>-1</v>
      </c>
      <c r="U15" s="31">
        <f>Recu3!U15</f>
        <v>0</v>
      </c>
      <c r="V15" s="32">
        <f t="shared" si="38"/>
        <v>-1</v>
      </c>
      <c r="W15" s="31">
        <f>Recu3!W15</f>
        <v>0</v>
      </c>
      <c r="X15" s="32">
        <f t="shared" si="39"/>
        <v>-1</v>
      </c>
      <c r="Y15" s="31">
        <f>Recu3!Y15</f>
        <v>0</v>
      </c>
      <c r="Z15" s="32">
        <f t="shared" si="40"/>
        <v>-1</v>
      </c>
      <c r="AA15" s="31">
        <f>Recu3!AA15</f>
        <v>0</v>
      </c>
      <c r="AB15" s="32">
        <f t="shared" si="41"/>
        <v>-1</v>
      </c>
      <c r="AC15" s="31">
        <f>Recu3!AC15</f>
        <v>0</v>
      </c>
      <c r="AD15" s="32">
        <f t="shared" si="42"/>
        <v>-1</v>
      </c>
      <c r="AE15" s="31">
        <f>Recu3!AE15</f>
        <v>0</v>
      </c>
      <c r="AF15" s="32">
        <f t="shared" si="43"/>
        <v>-1</v>
      </c>
      <c r="AG15" s="31">
        <f>Recu3!AG15</f>
        <v>0</v>
      </c>
      <c r="AH15" s="32">
        <f t="shared" si="44"/>
        <v>-1</v>
      </c>
      <c r="AI15" s="31">
        <f>Recu3!AI15</f>
        <v>0</v>
      </c>
      <c r="AJ15" s="32">
        <f t="shared" si="45"/>
        <v>-1</v>
      </c>
      <c r="AK15" s="31">
        <f>Recu3!AK15</f>
        <v>0</v>
      </c>
      <c r="AL15" s="32">
        <f t="shared" si="46"/>
        <v>-1</v>
      </c>
      <c r="AM15" s="31">
        <f>Recu3!AM15</f>
        <v>0</v>
      </c>
      <c r="AN15" s="32">
        <f t="shared" si="47"/>
        <v>-1</v>
      </c>
      <c r="AO15" s="31">
        <f>Recu3!AO15</f>
        <v>0</v>
      </c>
      <c r="AP15" s="32">
        <f t="shared" si="48"/>
        <v>-1</v>
      </c>
      <c r="AQ15" s="31">
        <f>Recu3!AQ15</f>
        <v>0</v>
      </c>
      <c r="AR15" s="32">
        <f t="shared" si="49"/>
        <v>-1</v>
      </c>
      <c r="AS15" s="31">
        <f>Recu3!AS15</f>
        <v>0</v>
      </c>
      <c r="AT15" s="32">
        <f t="shared" si="50"/>
        <v>-1</v>
      </c>
      <c r="AU15" s="31">
        <f>Recu3!AU15</f>
        <v>0</v>
      </c>
      <c r="AV15" s="32">
        <f t="shared" si="51"/>
        <v>-1</v>
      </c>
      <c r="AW15" s="31">
        <f>Recu3!AW15</f>
        <v>0</v>
      </c>
      <c r="AX15" s="32">
        <f t="shared" si="52"/>
        <v>-1</v>
      </c>
      <c r="AY15" s="31">
        <f>Recu3!AY15</f>
        <v>0</v>
      </c>
      <c r="AZ15" s="32">
        <f t="shared" si="53"/>
        <v>-1</v>
      </c>
      <c r="BA15" s="31">
        <f>Recu3!BA15</f>
        <v>0</v>
      </c>
      <c r="BB15" s="32">
        <f t="shared" si="54"/>
        <v>-1</v>
      </c>
      <c r="BC15" s="31">
        <f>Recu3!BC15</f>
        <v>0</v>
      </c>
      <c r="BD15" s="32">
        <f t="shared" si="55"/>
        <v>-1</v>
      </c>
      <c r="BE15" s="31">
        <f>Recu3!BE15</f>
        <v>0</v>
      </c>
      <c r="BF15" s="32">
        <f t="shared" si="56"/>
        <v>-1</v>
      </c>
      <c r="BG15" s="31">
        <f>Recu3!BG15</f>
        <v>0</v>
      </c>
      <c r="BH15" s="32">
        <f t="shared" si="57"/>
        <v>-1</v>
      </c>
      <c r="BI15" s="31">
        <f>Recu3!BI15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Recu3!B17</f>
        <v>0</v>
      </c>
      <c r="C17" s="31">
        <f>Recu3!C17</f>
        <v>0</v>
      </c>
      <c r="D17" s="32">
        <f t="shared" ref="D17:D37" si="59">IF($B17,C17/$B17,-1)</f>
        <v>-1</v>
      </c>
      <c r="E17" s="31">
        <f>Recu3!E17</f>
        <v>0</v>
      </c>
      <c r="F17" s="32">
        <f t="shared" ref="F17:F37" si="60">IF($B17,E17/$B17,-1)</f>
        <v>-1</v>
      </c>
      <c r="G17" s="31">
        <f>Recu3!G17</f>
        <v>0</v>
      </c>
      <c r="H17" s="32">
        <f t="shared" ref="H17:H37" si="61">IF($B17,G17/$B17,-1)</f>
        <v>-1</v>
      </c>
      <c r="I17" s="31">
        <f>Recu3!I17</f>
        <v>0</v>
      </c>
      <c r="J17" s="32">
        <f t="shared" ref="J17:J37" si="62">IF($B17,I17/$B17,-1)</f>
        <v>-1</v>
      </c>
      <c r="K17" s="31">
        <f>Recu3!K17</f>
        <v>0</v>
      </c>
      <c r="L17" s="32">
        <f t="shared" ref="L17:L37" si="63">IF($B17,K17/$B17,-1)</f>
        <v>-1</v>
      </c>
      <c r="M17" s="31">
        <f>Recu3!M17</f>
        <v>0</v>
      </c>
      <c r="N17" s="32">
        <f t="shared" ref="N17:N37" si="64">IF($B17,M17/$B17,-1)</f>
        <v>-1</v>
      </c>
      <c r="O17" s="31">
        <f>Recu3!O17</f>
        <v>0</v>
      </c>
      <c r="P17" s="32">
        <f t="shared" ref="P17:P37" si="65">IF($B17,O17/$B17,-1)</f>
        <v>-1</v>
      </c>
      <c r="Q17" s="31">
        <f>Recu3!Q17</f>
        <v>0</v>
      </c>
      <c r="R17" s="32">
        <f t="shared" ref="R17:R37" si="66">IF($B17,Q17/$B17,-1)</f>
        <v>-1</v>
      </c>
      <c r="S17" s="31">
        <f>Recu3!S17</f>
        <v>0</v>
      </c>
      <c r="T17" s="32">
        <f t="shared" ref="T17:T37" si="67">IF($B17,S17/$B17,-1)</f>
        <v>-1</v>
      </c>
      <c r="U17" s="31">
        <f>Recu3!U17</f>
        <v>0</v>
      </c>
      <c r="V17" s="32">
        <f t="shared" ref="V17:V37" si="68">IF($B17,U17/$B17,-1)</f>
        <v>-1</v>
      </c>
      <c r="W17" s="31">
        <f>Recu3!W17</f>
        <v>0</v>
      </c>
      <c r="X17" s="32">
        <f t="shared" ref="X17:X37" si="69">IF($B17,W17/$B17,-1)</f>
        <v>-1</v>
      </c>
      <c r="Y17" s="31">
        <f>Recu3!Y17</f>
        <v>0</v>
      </c>
      <c r="Z17" s="32">
        <f t="shared" ref="Z17:Z37" si="70">IF($B17,Y17/$B17,-1)</f>
        <v>-1</v>
      </c>
      <c r="AA17" s="31">
        <f>Recu3!AA17</f>
        <v>0</v>
      </c>
      <c r="AB17" s="32">
        <f t="shared" ref="AB17:AB37" si="71">IF($B17,AA17/$B17,-1)</f>
        <v>-1</v>
      </c>
      <c r="AC17" s="31">
        <f>Recu3!AC17</f>
        <v>0</v>
      </c>
      <c r="AD17" s="32">
        <f t="shared" ref="AD17:AD37" si="72">IF($B17,AC17/$B17,-1)</f>
        <v>-1</v>
      </c>
      <c r="AE17" s="31">
        <f>Recu3!AE17</f>
        <v>0</v>
      </c>
      <c r="AF17" s="32">
        <f t="shared" ref="AF17:AF37" si="73">IF($B17,AE17/$B17,-1)</f>
        <v>-1</v>
      </c>
      <c r="AG17" s="31">
        <f>Recu3!AG17</f>
        <v>0</v>
      </c>
      <c r="AH17" s="32">
        <f t="shared" ref="AH17:AH37" si="74">IF($B17,AG17/$B17,-1)</f>
        <v>-1</v>
      </c>
      <c r="AI17" s="31">
        <f>Recu3!AI17</f>
        <v>0</v>
      </c>
      <c r="AJ17" s="32">
        <f t="shared" ref="AJ17:AJ37" si="75">IF($B17,AI17/$B17,-1)</f>
        <v>-1</v>
      </c>
      <c r="AK17" s="31">
        <f>Recu3!AK17</f>
        <v>0</v>
      </c>
      <c r="AL17" s="32">
        <f t="shared" ref="AL17:AL37" si="76">IF($B17,AK17/$B17,-1)</f>
        <v>-1</v>
      </c>
      <c r="AM17" s="31">
        <f>Recu3!AM17</f>
        <v>0</v>
      </c>
      <c r="AN17" s="32">
        <f t="shared" ref="AN17:AN37" si="77">IF($B17,AM17/$B17,-1)</f>
        <v>-1</v>
      </c>
      <c r="AO17" s="31">
        <f>Recu3!AO17</f>
        <v>0</v>
      </c>
      <c r="AP17" s="32">
        <f t="shared" ref="AP17:AP37" si="78">IF($B17,AO17/$B17,-1)</f>
        <v>-1</v>
      </c>
      <c r="AQ17" s="31">
        <f>Recu3!AQ17</f>
        <v>0</v>
      </c>
      <c r="AR17" s="32">
        <f t="shared" ref="AR17:AR37" si="79">IF($B17,AQ17/$B17,-1)</f>
        <v>-1</v>
      </c>
      <c r="AS17" s="31">
        <f>Recu3!AS17</f>
        <v>0</v>
      </c>
      <c r="AT17" s="32">
        <f t="shared" ref="AT17:AT37" si="80">IF($B17,AS17/$B17,-1)</f>
        <v>-1</v>
      </c>
      <c r="AU17" s="31">
        <f>Recu3!AU17</f>
        <v>0</v>
      </c>
      <c r="AV17" s="32">
        <f t="shared" ref="AV17:AV37" si="81">IF($B17,AU17/$B17,-1)</f>
        <v>-1</v>
      </c>
      <c r="AW17" s="31">
        <f>Recu3!AW17</f>
        <v>0</v>
      </c>
      <c r="AX17" s="32">
        <f t="shared" ref="AX17:AX37" si="82">IF($B17,AW17/$B17,-1)</f>
        <v>-1</v>
      </c>
      <c r="AY17" s="31">
        <f>Recu3!AY17</f>
        <v>0</v>
      </c>
      <c r="AZ17" s="32">
        <f t="shared" ref="AZ17:AZ37" si="83">IF($B17,AY17/$B17,-1)</f>
        <v>-1</v>
      </c>
      <c r="BA17" s="31">
        <f>Recu3!BA17</f>
        <v>0</v>
      </c>
      <c r="BB17" s="32">
        <f t="shared" ref="BB17:BB37" si="84">IF($B17,BA17/$B17,-1)</f>
        <v>-1</v>
      </c>
      <c r="BC17" s="31">
        <f>Recu3!BC17</f>
        <v>0</v>
      </c>
      <c r="BD17" s="32">
        <f t="shared" ref="BD17:BD37" si="85">IF($B17,BC17/$B17,-1)</f>
        <v>-1</v>
      </c>
      <c r="BE17" s="31">
        <f>Recu3!BE17</f>
        <v>0</v>
      </c>
      <c r="BF17" s="32">
        <f t="shared" ref="BF17:BF37" si="86">IF($B17,BE17/$B17,-1)</f>
        <v>-1</v>
      </c>
      <c r="BG17" s="31">
        <f>Recu3!BG17</f>
        <v>0</v>
      </c>
      <c r="BH17" s="32">
        <f t="shared" ref="BH17:BH37" si="87">IF($B17,BG17/$B17,-1)</f>
        <v>-1</v>
      </c>
      <c r="BI17" s="31">
        <f>Recu3!BI17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Recu3!B18</f>
        <v>0</v>
      </c>
      <c r="C18" s="31">
        <f>Recu3!C18</f>
        <v>0</v>
      </c>
      <c r="D18" s="32">
        <f t="shared" si="59"/>
        <v>-1</v>
      </c>
      <c r="E18" s="31">
        <f>Recu3!E18</f>
        <v>0</v>
      </c>
      <c r="F18" s="32">
        <f t="shared" si="60"/>
        <v>-1</v>
      </c>
      <c r="G18" s="31">
        <f>Recu3!G18</f>
        <v>0</v>
      </c>
      <c r="H18" s="32">
        <f t="shared" si="61"/>
        <v>-1</v>
      </c>
      <c r="I18" s="31">
        <f>Recu3!I18</f>
        <v>0</v>
      </c>
      <c r="J18" s="32">
        <f t="shared" si="62"/>
        <v>-1</v>
      </c>
      <c r="K18" s="31">
        <f>Recu3!K18</f>
        <v>0</v>
      </c>
      <c r="L18" s="32">
        <f t="shared" si="63"/>
        <v>-1</v>
      </c>
      <c r="M18" s="31">
        <f>Recu3!M18</f>
        <v>0</v>
      </c>
      <c r="N18" s="32">
        <f t="shared" si="64"/>
        <v>-1</v>
      </c>
      <c r="O18" s="31">
        <f>Recu3!O18</f>
        <v>0</v>
      </c>
      <c r="P18" s="32">
        <f t="shared" si="65"/>
        <v>-1</v>
      </c>
      <c r="Q18" s="31">
        <f>Recu3!Q18</f>
        <v>0</v>
      </c>
      <c r="R18" s="32">
        <f t="shared" si="66"/>
        <v>-1</v>
      </c>
      <c r="S18" s="31">
        <f>Recu3!S18</f>
        <v>0</v>
      </c>
      <c r="T18" s="32">
        <f t="shared" si="67"/>
        <v>-1</v>
      </c>
      <c r="U18" s="31">
        <f>Recu3!U18</f>
        <v>0</v>
      </c>
      <c r="V18" s="32">
        <f t="shared" si="68"/>
        <v>-1</v>
      </c>
      <c r="W18" s="31">
        <f>Recu3!W18</f>
        <v>0</v>
      </c>
      <c r="X18" s="32">
        <f t="shared" si="69"/>
        <v>-1</v>
      </c>
      <c r="Y18" s="31">
        <f>Recu3!Y18</f>
        <v>0</v>
      </c>
      <c r="Z18" s="32">
        <f t="shared" si="70"/>
        <v>-1</v>
      </c>
      <c r="AA18" s="31">
        <f>Recu3!AA18</f>
        <v>0</v>
      </c>
      <c r="AB18" s="32">
        <f t="shared" si="71"/>
        <v>-1</v>
      </c>
      <c r="AC18" s="31">
        <f>Recu3!AC18</f>
        <v>0</v>
      </c>
      <c r="AD18" s="32">
        <f t="shared" si="72"/>
        <v>-1</v>
      </c>
      <c r="AE18" s="31">
        <f>Recu3!AE18</f>
        <v>0</v>
      </c>
      <c r="AF18" s="32">
        <f t="shared" si="73"/>
        <v>-1</v>
      </c>
      <c r="AG18" s="31">
        <f>Recu3!AG18</f>
        <v>0</v>
      </c>
      <c r="AH18" s="32">
        <f t="shared" si="74"/>
        <v>-1</v>
      </c>
      <c r="AI18" s="31">
        <f>Recu3!AI18</f>
        <v>0</v>
      </c>
      <c r="AJ18" s="32">
        <f t="shared" si="75"/>
        <v>-1</v>
      </c>
      <c r="AK18" s="31">
        <f>Recu3!AK18</f>
        <v>0</v>
      </c>
      <c r="AL18" s="32">
        <f t="shared" si="76"/>
        <v>-1</v>
      </c>
      <c r="AM18" s="31">
        <f>Recu3!AM18</f>
        <v>0</v>
      </c>
      <c r="AN18" s="32">
        <f t="shared" si="77"/>
        <v>-1</v>
      </c>
      <c r="AO18" s="31">
        <f>Recu3!AO18</f>
        <v>0</v>
      </c>
      <c r="AP18" s="32">
        <f t="shared" si="78"/>
        <v>-1</v>
      </c>
      <c r="AQ18" s="31">
        <f>Recu3!AQ18</f>
        <v>0</v>
      </c>
      <c r="AR18" s="32">
        <f t="shared" si="79"/>
        <v>-1</v>
      </c>
      <c r="AS18" s="31">
        <f>Recu3!AS18</f>
        <v>0</v>
      </c>
      <c r="AT18" s="32">
        <f t="shared" si="80"/>
        <v>-1</v>
      </c>
      <c r="AU18" s="31">
        <f>Recu3!AU18</f>
        <v>0</v>
      </c>
      <c r="AV18" s="32">
        <f t="shared" si="81"/>
        <v>-1</v>
      </c>
      <c r="AW18" s="31">
        <f>Recu3!AW18</f>
        <v>0</v>
      </c>
      <c r="AX18" s="32">
        <f t="shared" si="82"/>
        <v>-1</v>
      </c>
      <c r="AY18" s="31">
        <f>Recu3!AY18</f>
        <v>0</v>
      </c>
      <c r="AZ18" s="32">
        <f t="shared" si="83"/>
        <v>-1</v>
      </c>
      <c r="BA18" s="31">
        <f>Recu3!BA18</f>
        <v>0</v>
      </c>
      <c r="BB18" s="32">
        <f t="shared" si="84"/>
        <v>-1</v>
      </c>
      <c r="BC18" s="31">
        <f>Recu3!BC18</f>
        <v>0</v>
      </c>
      <c r="BD18" s="32">
        <f t="shared" si="85"/>
        <v>-1</v>
      </c>
      <c r="BE18" s="31">
        <f>Recu3!BE18</f>
        <v>0</v>
      </c>
      <c r="BF18" s="32">
        <f t="shared" si="86"/>
        <v>-1</v>
      </c>
      <c r="BG18" s="31">
        <f>Recu3!BG18</f>
        <v>0</v>
      </c>
      <c r="BH18" s="32">
        <f t="shared" si="87"/>
        <v>-1</v>
      </c>
      <c r="BI18" s="31">
        <f>Recu3!BI18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Recu3!B19</f>
        <v>0</v>
      </c>
      <c r="C19" s="31">
        <f>Recu3!C19</f>
        <v>0</v>
      </c>
      <c r="D19" s="32">
        <f t="shared" si="59"/>
        <v>-1</v>
      </c>
      <c r="E19" s="31">
        <f>Recu3!E19</f>
        <v>0</v>
      </c>
      <c r="F19" s="32">
        <f t="shared" si="60"/>
        <v>-1</v>
      </c>
      <c r="G19" s="31">
        <f>Recu3!G19</f>
        <v>0</v>
      </c>
      <c r="H19" s="32">
        <f t="shared" si="61"/>
        <v>-1</v>
      </c>
      <c r="I19" s="31">
        <f>Recu3!I19</f>
        <v>0</v>
      </c>
      <c r="J19" s="32">
        <f t="shared" si="62"/>
        <v>-1</v>
      </c>
      <c r="K19" s="31">
        <f>Recu3!K19</f>
        <v>0</v>
      </c>
      <c r="L19" s="32">
        <f t="shared" si="63"/>
        <v>-1</v>
      </c>
      <c r="M19" s="31">
        <f>Recu3!M19</f>
        <v>0</v>
      </c>
      <c r="N19" s="32">
        <f t="shared" si="64"/>
        <v>-1</v>
      </c>
      <c r="O19" s="31">
        <f>Recu3!O19</f>
        <v>0</v>
      </c>
      <c r="P19" s="32">
        <f t="shared" si="65"/>
        <v>-1</v>
      </c>
      <c r="Q19" s="31">
        <f>Recu3!Q19</f>
        <v>0</v>
      </c>
      <c r="R19" s="32">
        <f t="shared" si="66"/>
        <v>-1</v>
      </c>
      <c r="S19" s="31">
        <f>Recu3!S19</f>
        <v>0</v>
      </c>
      <c r="T19" s="32">
        <f t="shared" si="67"/>
        <v>-1</v>
      </c>
      <c r="U19" s="31">
        <f>Recu3!U19</f>
        <v>0</v>
      </c>
      <c r="V19" s="32">
        <f t="shared" si="68"/>
        <v>-1</v>
      </c>
      <c r="W19" s="31">
        <f>Recu3!W19</f>
        <v>0</v>
      </c>
      <c r="X19" s="32">
        <f t="shared" si="69"/>
        <v>-1</v>
      </c>
      <c r="Y19" s="31">
        <f>Recu3!Y19</f>
        <v>0</v>
      </c>
      <c r="Z19" s="32">
        <f t="shared" si="70"/>
        <v>-1</v>
      </c>
      <c r="AA19" s="31">
        <f>Recu3!AA19</f>
        <v>0</v>
      </c>
      <c r="AB19" s="32">
        <f t="shared" si="71"/>
        <v>-1</v>
      </c>
      <c r="AC19" s="31">
        <f>Recu3!AC19</f>
        <v>0</v>
      </c>
      <c r="AD19" s="32">
        <f t="shared" si="72"/>
        <v>-1</v>
      </c>
      <c r="AE19" s="31">
        <f>Recu3!AE19</f>
        <v>0</v>
      </c>
      <c r="AF19" s="32">
        <f t="shared" si="73"/>
        <v>-1</v>
      </c>
      <c r="AG19" s="31">
        <f>Recu3!AG19</f>
        <v>0</v>
      </c>
      <c r="AH19" s="32">
        <f t="shared" si="74"/>
        <v>-1</v>
      </c>
      <c r="AI19" s="31">
        <f>Recu3!AI19</f>
        <v>0</v>
      </c>
      <c r="AJ19" s="32">
        <f t="shared" si="75"/>
        <v>-1</v>
      </c>
      <c r="AK19" s="31">
        <f>Recu3!AK19</f>
        <v>0</v>
      </c>
      <c r="AL19" s="32">
        <f t="shared" si="76"/>
        <v>-1</v>
      </c>
      <c r="AM19" s="31">
        <f>Recu3!AM19</f>
        <v>0</v>
      </c>
      <c r="AN19" s="32">
        <f t="shared" si="77"/>
        <v>-1</v>
      </c>
      <c r="AO19" s="31">
        <f>Recu3!AO19</f>
        <v>0</v>
      </c>
      <c r="AP19" s="32">
        <f t="shared" si="78"/>
        <v>-1</v>
      </c>
      <c r="AQ19" s="31">
        <f>Recu3!AQ19</f>
        <v>0</v>
      </c>
      <c r="AR19" s="32">
        <f t="shared" si="79"/>
        <v>-1</v>
      </c>
      <c r="AS19" s="31">
        <f>Recu3!AS19</f>
        <v>0</v>
      </c>
      <c r="AT19" s="32">
        <f t="shared" si="80"/>
        <v>-1</v>
      </c>
      <c r="AU19" s="31">
        <f>Recu3!AU19</f>
        <v>0</v>
      </c>
      <c r="AV19" s="32">
        <f t="shared" si="81"/>
        <v>-1</v>
      </c>
      <c r="AW19" s="31">
        <f>Recu3!AW19</f>
        <v>0</v>
      </c>
      <c r="AX19" s="32">
        <f t="shared" si="82"/>
        <v>-1</v>
      </c>
      <c r="AY19" s="31">
        <f>Recu3!AY19</f>
        <v>0</v>
      </c>
      <c r="AZ19" s="32">
        <f t="shared" si="83"/>
        <v>-1</v>
      </c>
      <c r="BA19" s="31">
        <f>Recu3!BA19</f>
        <v>0</v>
      </c>
      <c r="BB19" s="32">
        <f t="shared" si="84"/>
        <v>-1</v>
      </c>
      <c r="BC19" s="31">
        <f>Recu3!BC19</f>
        <v>0</v>
      </c>
      <c r="BD19" s="32">
        <f t="shared" si="85"/>
        <v>-1</v>
      </c>
      <c r="BE19" s="31">
        <f>Recu3!BE19</f>
        <v>0</v>
      </c>
      <c r="BF19" s="32">
        <f t="shared" si="86"/>
        <v>-1</v>
      </c>
      <c r="BG19" s="31">
        <f>Recu3!BG19</f>
        <v>0</v>
      </c>
      <c r="BH19" s="32">
        <f t="shared" si="87"/>
        <v>-1</v>
      </c>
      <c r="BI19" s="31">
        <f>Recu3!BI19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Recu3!B20</f>
        <v>0</v>
      </c>
      <c r="C20" s="31">
        <f>Recu3!C20</f>
        <v>0</v>
      </c>
      <c r="D20" s="32">
        <f t="shared" si="59"/>
        <v>-1</v>
      </c>
      <c r="E20" s="31">
        <f>Recu3!E20</f>
        <v>0</v>
      </c>
      <c r="F20" s="32">
        <f t="shared" si="60"/>
        <v>-1</v>
      </c>
      <c r="G20" s="31">
        <f>Recu3!G20</f>
        <v>0</v>
      </c>
      <c r="H20" s="32">
        <f t="shared" si="61"/>
        <v>-1</v>
      </c>
      <c r="I20" s="31">
        <f>Recu3!I20</f>
        <v>0</v>
      </c>
      <c r="J20" s="32">
        <f t="shared" si="62"/>
        <v>-1</v>
      </c>
      <c r="K20" s="31">
        <f>Recu3!K20</f>
        <v>0</v>
      </c>
      <c r="L20" s="32">
        <f t="shared" si="63"/>
        <v>-1</v>
      </c>
      <c r="M20" s="31">
        <f>Recu3!M20</f>
        <v>0</v>
      </c>
      <c r="N20" s="32">
        <f t="shared" si="64"/>
        <v>-1</v>
      </c>
      <c r="O20" s="31">
        <f>Recu3!O20</f>
        <v>0</v>
      </c>
      <c r="P20" s="32">
        <f t="shared" si="65"/>
        <v>-1</v>
      </c>
      <c r="Q20" s="31">
        <f>Recu3!Q20</f>
        <v>0</v>
      </c>
      <c r="R20" s="32">
        <f t="shared" si="66"/>
        <v>-1</v>
      </c>
      <c r="S20" s="31">
        <f>Recu3!S20</f>
        <v>0</v>
      </c>
      <c r="T20" s="32">
        <f t="shared" si="67"/>
        <v>-1</v>
      </c>
      <c r="U20" s="31">
        <f>Recu3!U20</f>
        <v>0</v>
      </c>
      <c r="V20" s="32">
        <f t="shared" si="68"/>
        <v>-1</v>
      </c>
      <c r="W20" s="31">
        <f>Recu3!W20</f>
        <v>0</v>
      </c>
      <c r="X20" s="32">
        <f t="shared" si="69"/>
        <v>-1</v>
      </c>
      <c r="Y20" s="31">
        <f>Recu3!Y20</f>
        <v>0</v>
      </c>
      <c r="Z20" s="32">
        <f t="shared" si="70"/>
        <v>-1</v>
      </c>
      <c r="AA20" s="31">
        <f>Recu3!AA20</f>
        <v>0</v>
      </c>
      <c r="AB20" s="32">
        <f t="shared" si="71"/>
        <v>-1</v>
      </c>
      <c r="AC20" s="31">
        <f>Recu3!AC20</f>
        <v>0</v>
      </c>
      <c r="AD20" s="32">
        <f t="shared" si="72"/>
        <v>-1</v>
      </c>
      <c r="AE20" s="31">
        <f>Recu3!AE20</f>
        <v>0</v>
      </c>
      <c r="AF20" s="32">
        <f t="shared" si="73"/>
        <v>-1</v>
      </c>
      <c r="AG20" s="31">
        <f>Recu3!AG20</f>
        <v>0</v>
      </c>
      <c r="AH20" s="32">
        <f t="shared" si="74"/>
        <v>-1</v>
      </c>
      <c r="AI20" s="31">
        <f>Recu3!AI20</f>
        <v>0</v>
      </c>
      <c r="AJ20" s="32">
        <f t="shared" si="75"/>
        <v>-1</v>
      </c>
      <c r="AK20" s="31">
        <f>Recu3!AK20</f>
        <v>0</v>
      </c>
      <c r="AL20" s="32">
        <f t="shared" si="76"/>
        <v>-1</v>
      </c>
      <c r="AM20" s="31">
        <f>Recu3!AM20</f>
        <v>0</v>
      </c>
      <c r="AN20" s="32">
        <f t="shared" si="77"/>
        <v>-1</v>
      </c>
      <c r="AO20" s="31">
        <f>Recu3!AO20</f>
        <v>0</v>
      </c>
      <c r="AP20" s="32">
        <f t="shared" si="78"/>
        <v>-1</v>
      </c>
      <c r="AQ20" s="31">
        <f>Recu3!AQ20</f>
        <v>0</v>
      </c>
      <c r="AR20" s="32">
        <f t="shared" si="79"/>
        <v>-1</v>
      </c>
      <c r="AS20" s="31">
        <f>Recu3!AS20</f>
        <v>0</v>
      </c>
      <c r="AT20" s="32">
        <f t="shared" si="80"/>
        <v>-1</v>
      </c>
      <c r="AU20" s="31">
        <f>Recu3!AU20</f>
        <v>0</v>
      </c>
      <c r="AV20" s="32">
        <f t="shared" si="81"/>
        <v>-1</v>
      </c>
      <c r="AW20" s="31">
        <f>Recu3!AW20</f>
        <v>0</v>
      </c>
      <c r="AX20" s="32">
        <f t="shared" si="82"/>
        <v>-1</v>
      </c>
      <c r="AY20" s="31">
        <f>Recu3!AY20</f>
        <v>0</v>
      </c>
      <c r="AZ20" s="32">
        <f t="shared" si="83"/>
        <v>-1</v>
      </c>
      <c r="BA20" s="31">
        <f>Recu3!BA20</f>
        <v>0</v>
      </c>
      <c r="BB20" s="32">
        <f t="shared" si="84"/>
        <v>-1</v>
      </c>
      <c r="BC20" s="31">
        <f>Recu3!BC20</f>
        <v>0</v>
      </c>
      <c r="BD20" s="32">
        <f t="shared" si="85"/>
        <v>-1</v>
      </c>
      <c r="BE20" s="31">
        <f>Recu3!BE20</f>
        <v>0</v>
      </c>
      <c r="BF20" s="32">
        <f t="shared" si="86"/>
        <v>-1</v>
      </c>
      <c r="BG20" s="31">
        <f>Recu3!BG20</f>
        <v>0</v>
      </c>
      <c r="BH20" s="32">
        <f t="shared" si="87"/>
        <v>-1</v>
      </c>
      <c r="BI20" s="31">
        <f>Recu3!BI20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Recu3!B21</f>
        <v>0</v>
      </c>
      <c r="C21" s="31">
        <f>Recu3!C21</f>
        <v>0</v>
      </c>
      <c r="D21" s="32">
        <f t="shared" si="59"/>
        <v>-1</v>
      </c>
      <c r="E21" s="31">
        <f>Recu3!E21</f>
        <v>0</v>
      </c>
      <c r="F21" s="32">
        <f t="shared" si="60"/>
        <v>-1</v>
      </c>
      <c r="G21" s="31">
        <f>Recu3!G21</f>
        <v>0</v>
      </c>
      <c r="H21" s="32">
        <f t="shared" si="61"/>
        <v>-1</v>
      </c>
      <c r="I21" s="31">
        <f>Recu3!I21</f>
        <v>0</v>
      </c>
      <c r="J21" s="32">
        <f t="shared" si="62"/>
        <v>-1</v>
      </c>
      <c r="K21" s="31">
        <f>Recu3!K21</f>
        <v>0</v>
      </c>
      <c r="L21" s="32">
        <f t="shared" si="63"/>
        <v>-1</v>
      </c>
      <c r="M21" s="31">
        <f>Recu3!M21</f>
        <v>0</v>
      </c>
      <c r="N21" s="32">
        <f t="shared" si="64"/>
        <v>-1</v>
      </c>
      <c r="O21" s="31">
        <f>Recu3!O21</f>
        <v>0</v>
      </c>
      <c r="P21" s="32">
        <f t="shared" si="65"/>
        <v>-1</v>
      </c>
      <c r="Q21" s="31">
        <f>Recu3!Q21</f>
        <v>0</v>
      </c>
      <c r="R21" s="32">
        <f t="shared" si="66"/>
        <v>-1</v>
      </c>
      <c r="S21" s="31">
        <f>Recu3!S21</f>
        <v>0</v>
      </c>
      <c r="T21" s="32">
        <f t="shared" si="67"/>
        <v>-1</v>
      </c>
      <c r="U21" s="31">
        <f>Recu3!U21</f>
        <v>0</v>
      </c>
      <c r="V21" s="32">
        <f t="shared" si="68"/>
        <v>-1</v>
      </c>
      <c r="W21" s="31">
        <f>Recu3!W21</f>
        <v>0</v>
      </c>
      <c r="X21" s="32">
        <f t="shared" si="69"/>
        <v>-1</v>
      </c>
      <c r="Y21" s="31">
        <f>Recu3!Y21</f>
        <v>0</v>
      </c>
      <c r="Z21" s="32">
        <f t="shared" si="70"/>
        <v>-1</v>
      </c>
      <c r="AA21" s="31">
        <f>Recu3!AA21</f>
        <v>0</v>
      </c>
      <c r="AB21" s="32">
        <f t="shared" si="71"/>
        <v>-1</v>
      </c>
      <c r="AC21" s="31">
        <f>Recu3!AC21</f>
        <v>0</v>
      </c>
      <c r="AD21" s="32">
        <f t="shared" si="72"/>
        <v>-1</v>
      </c>
      <c r="AE21" s="31">
        <f>Recu3!AE21</f>
        <v>0</v>
      </c>
      <c r="AF21" s="32">
        <f t="shared" si="73"/>
        <v>-1</v>
      </c>
      <c r="AG21" s="31">
        <f>Recu3!AG21</f>
        <v>0</v>
      </c>
      <c r="AH21" s="32">
        <f t="shared" si="74"/>
        <v>-1</v>
      </c>
      <c r="AI21" s="31">
        <f>Recu3!AI21</f>
        <v>0</v>
      </c>
      <c r="AJ21" s="32">
        <f t="shared" si="75"/>
        <v>-1</v>
      </c>
      <c r="AK21" s="31">
        <f>Recu3!AK21</f>
        <v>0</v>
      </c>
      <c r="AL21" s="32">
        <f t="shared" si="76"/>
        <v>-1</v>
      </c>
      <c r="AM21" s="31">
        <f>Recu3!AM21</f>
        <v>0</v>
      </c>
      <c r="AN21" s="32">
        <f t="shared" si="77"/>
        <v>-1</v>
      </c>
      <c r="AO21" s="31">
        <f>Recu3!AO21</f>
        <v>0</v>
      </c>
      <c r="AP21" s="32">
        <f t="shared" si="78"/>
        <v>-1</v>
      </c>
      <c r="AQ21" s="31">
        <f>Recu3!AQ21</f>
        <v>0</v>
      </c>
      <c r="AR21" s="32">
        <f t="shared" si="79"/>
        <v>-1</v>
      </c>
      <c r="AS21" s="31">
        <f>Recu3!AS21</f>
        <v>0</v>
      </c>
      <c r="AT21" s="32">
        <f t="shared" si="80"/>
        <v>-1</v>
      </c>
      <c r="AU21" s="31">
        <f>Recu3!AU21</f>
        <v>0</v>
      </c>
      <c r="AV21" s="32">
        <f t="shared" si="81"/>
        <v>-1</v>
      </c>
      <c r="AW21" s="31">
        <f>Recu3!AW21</f>
        <v>0</v>
      </c>
      <c r="AX21" s="32">
        <f t="shared" si="82"/>
        <v>-1</v>
      </c>
      <c r="AY21" s="31">
        <f>Recu3!AY21</f>
        <v>0</v>
      </c>
      <c r="AZ21" s="32">
        <f t="shared" si="83"/>
        <v>-1</v>
      </c>
      <c r="BA21" s="31">
        <f>Recu3!BA21</f>
        <v>0</v>
      </c>
      <c r="BB21" s="32">
        <f t="shared" si="84"/>
        <v>-1</v>
      </c>
      <c r="BC21" s="31">
        <f>Recu3!BC21</f>
        <v>0</v>
      </c>
      <c r="BD21" s="32">
        <f t="shared" si="85"/>
        <v>-1</v>
      </c>
      <c r="BE21" s="31">
        <f>Recu3!BE21</f>
        <v>0</v>
      </c>
      <c r="BF21" s="32">
        <f t="shared" si="86"/>
        <v>-1</v>
      </c>
      <c r="BG21" s="31">
        <f>Recu3!BG21</f>
        <v>0</v>
      </c>
      <c r="BH21" s="32">
        <f t="shared" si="87"/>
        <v>-1</v>
      </c>
      <c r="BI21" s="31">
        <f>Recu3!BI21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Recu3!B22</f>
        <v>0</v>
      </c>
      <c r="C22" s="31">
        <f>Recu3!C22</f>
        <v>0</v>
      </c>
      <c r="D22" s="32">
        <f t="shared" si="59"/>
        <v>-1</v>
      </c>
      <c r="E22" s="31">
        <f>Recu3!E22</f>
        <v>0</v>
      </c>
      <c r="F22" s="32">
        <f t="shared" si="60"/>
        <v>-1</v>
      </c>
      <c r="G22" s="31">
        <f>Recu3!G22</f>
        <v>0</v>
      </c>
      <c r="H22" s="32">
        <f t="shared" si="61"/>
        <v>-1</v>
      </c>
      <c r="I22" s="31">
        <f>Recu3!I22</f>
        <v>0</v>
      </c>
      <c r="J22" s="32">
        <f t="shared" si="62"/>
        <v>-1</v>
      </c>
      <c r="K22" s="31">
        <f>Recu3!K22</f>
        <v>0</v>
      </c>
      <c r="L22" s="32">
        <f t="shared" si="63"/>
        <v>-1</v>
      </c>
      <c r="M22" s="31">
        <f>Recu3!M22</f>
        <v>0</v>
      </c>
      <c r="N22" s="32">
        <f t="shared" si="64"/>
        <v>-1</v>
      </c>
      <c r="O22" s="31">
        <f>Recu3!O22</f>
        <v>0</v>
      </c>
      <c r="P22" s="32">
        <f t="shared" si="65"/>
        <v>-1</v>
      </c>
      <c r="Q22" s="31">
        <f>Recu3!Q22</f>
        <v>0</v>
      </c>
      <c r="R22" s="32">
        <f t="shared" si="66"/>
        <v>-1</v>
      </c>
      <c r="S22" s="31">
        <f>Recu3!S22</f>
        <v>0</v>
      </c>
      <c r="T22" s="32">
        <f t="shared" si="67"/>
        <v>-1</v>
      </c>
      <c r="U22" s="31">
        <f>Recu3!U22</f>
        <v>0</v>
      </c>
      <c r="V22" s="32">
        <f t="shared" si="68"/>
        <v>-1</v>
      </c>
      <c r="W22" s="31">
        <f>Recu3!W22</f>
        <v>0</v>
      </c>
      <c r="X22" s="32">
        <f t="shared" si="69"/>
        <v>-1</v>
      </c>
      <c r="Y22" s="31">
        <f>Recu3!Y22</f>
        <v>0</v>
      </c>
      <c r="Z22" s="32">
        <f t="shared" si="70"/>
        <v>-1</v>
      </c>
      <c r="AA22" s="31">
        <f>Recu3!AA22</f>
        <v>0</v>
      </c>
      <c r="AB22" s="32">
        <f t="shared" si="71"/>
        <v>-1</v>
      </c>
      <c r="AC22" s="31">
        <f>Recu3!AC22</f>
        <v>0</v>
      </c>
      <c r="AD22" s="32">
        <f t="shared" si="72"/>
        <v>-1</v>
      </c>
      <c r="AE22" s="31">
        <f>Recu3!AE22</f>
        <v>0</v>
      </c>
      <c r="AF22" s="32">
        <f t="shared" si="73"/>
        <v>-1</v>
      </c>
      <c r="AG22" s="31">
        <f>Recu3!AG22</f>
        <v>0</v>
      </c>
      <c r="AH22" s="32">
        <f t="shared" si="74"/>
        <v>-1</v>
      </c>
      <c r="AI22" s="31">
        <f>Recu3!AI22</f>
        <v>0</v>
      </c>
      <c r="AJ22" s="32">
        <f t="shared" si="75"/>
        <v>-1</v>
      </c>
      <c r="AK22" s="31">
        <f>Recu3!AK22</f>
        <v>0</v>
      </c>
      <c r="AL22" s="32">
        <f t="shared" si="76"/>
        <v>-1</v>
      </c>
      <c r="AM22" s="31">
        <f>Recu3!AM22</f>
        <v>0</v>
      </c>
      <c r="AN22" s="32">
        <f t="shared" si="77"/>
        <v>-1</v>
      </c>
      <c r="AO22" s="31">
        <f>Recu3!AO22</f>
        <v>0</v>
      </c>
      <c r="AP22" s="32">
        <f t="shared" si="78"/>
        <v>-1</v>
      </c>
      <c r="AQ22" s="31">
        <f>Recu3!AQ22</f>
        <v>0</v>
      </c>
      <c r="AR22" s="32">
        <f t="shared" si="79"/>
        <v>-1</v>
      </c>
      <c r="AS22" s="31">
        <f>Recu3!AS22</f>
        <v>0</v>
      </c>
      <c r="AT22" s="32">
        <f t="shared" si="80"/>
        <v>-1</v>
      </c>
      <c r="AU22" s="31">
        <f>Recu3!AU22</f>
        <v>0</v>
      </c>
      <c r="AV22" s="32">
        <f t="shared" si="81"/>
        <v>-1</v>
      </c>
      <c r="AW22" s="31">
        <f>Recu3!AW22</f>
        <v>0</v>
      </c>
      <c r="AX22" s="32">
        <f t="shared" si="82"/>
        <v>-1</v>
      </c>
      <c r="AY22" s="31">
        <f>Recu3!AY22</f>
        <v>0</v>
      </c>
      <c r="AZ22" s="32">
        <f t="shared" si="83"/>
        <v>-1</v>
      </c>
      <c r="BA22" s="31">
        <f>Recu3!BA22</f>
        <v>0</v>
      </c>
      <c r="BB22" s="32">
        <f t="shared" si="84"/>
        <v>-1</v>
      </c>
      <c r="BC22" s="31">
        <f>Recu3!BC22</f>
        <v>0</v>
      </c>
      <c r="BD22" s="32">
        <f t="shared" si="85"/>
        <v>-1</v>
      </c>
      <c r="BE22" s="31">
        <f>Recu3!BE22</f>
        <v>0</v>
      </c>
      <c r="BF22" s="32">
        <f t="shared" si="86"/>
        <v>-1</v>
      </c>
      <c r="BG22" s="31">
        <f>Recu3!BG22</f>
        <v>0</v>
      </c>
      <c r="BH22" s="32">
        <f t="shared" si="87"/>
        <v>-1</v>
      </c>
      <c r="BI22" s="31">
        <f>Recu3!BI22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Recu3!B23</f>
        <v>0</v>
      </c>
      <c r="C23" s="31">
        <f>Recu3!C23</f>
        <v>0</v>
      </c>
      <c r="D23" s="32">
        <f t="shared" si="59"/>
        <v>-1</v>
      </c>
      <c r="E23" s="31">
        <f>Recu3!E23</f>
        <v>0</v>
      </c>
      <c r="F23" s="32">
        <f t="shared" si="60"/>
        <v>-1</v>
      </c>
      <c r="G23" s="31">
        <f>Recu3!G23</f>
        <v>0</v>
      </c>
      <c r="H23" s="32">
        <f t="shared" si="61"/>
        <v>-1</v>
      </c>
      <c r="I23" s="31">
        <f>Recu3!I23</f>
        <v>0</v>
      </c>
      <c r="J23" s="32">
        <f t="shared" si="62"/>
        <v>-1</v>
      </c>
      <c r="K23" s="31">
        <f>Recu3!K23</f>
        <v>0</v>
      </c>
      <c r="L23" s="32">
        <f t="shared" si="63"/>
        <v>-1</v>
      </c>
      <c r="M23" s="31">
        <f>Recu3!M23</f>
        <v>0</v>
      </c>
      <c r="N23" s="32">
        <f t="shared" si="64"/>
        <v>-1</v>
      </c>
      <c r="O23" s="31">
        <f>Recu3!O23</f>
        <v>0</v>
      </c>
      <c r="P23" s="32">
        <f t="shared" si="65"/>
        <v>-1</v>
      </c>
      <c r="Q23" s="31">
        <f>Recu3!Q23</f>
        <v>0</v>
      </c>
      <c r="R23" s="32">
        <f t="shared" si="66"/>
        <v>-1</v>
      </c>
      <c r="S23" s="31">
        <f>Recu3!S23</f>
        <v>0</v>
      </c>
      <c r="T23" s="32">
        <f t="shared" si="67"/>
        <v>-1</v>
      </c>
      <c r="U23" s="31">
        <f>Recu3!U23</f>
        <v>0</v>
      </c>
      <c r="V23" s="32">
        <f t="shared" si="68"/>
        <v>-1</v>
      </c>
      <c r="W23" s="31">
        <f>Recu3!W23</f>
        <v>0</v>
      </c>
      <c r="X23" s="32">
        <f t="shared" si="69"/>
        <v>-1</v>
      </c>
      <c r="Y23" s="31">
        <f>Recu3!Y23</f>
        <v>0</v>
      </c>
      <c r="Z23" s="32">
        <f t="shared" si="70"/>
        <v>-1</v>
      </c>
      <c r="AA23" s="31">
        <f>Recu3!AA23</f>
        <v>0</v>
      </c>
      <c r="AB23" s="32">
        <f t="shared" si="71"/>
        <v>-1</v>
      </c>
      <c r="AC23" s="31">
        <f>Recu3!AC23</f>
        <v>0</v>
      </c>
      <c r="AD23" s="32">
        <f t="shared" si="72"/>
        <v>-1</v>
      </c>
      <c r="AE23" s="31">
        <f>Recu3!AE23</f>
        <v>0</v>
      </c>
      <c r="AF23" s="32">
        <f t="shared" si="73"/>
        <v>-1</v>
      </c>
      <c r="AG23" s="31">
        <f>Recu3!AG23</f>
        <v>0</v>
      </c>
      <c r="AH23" s="32">
        <f t="shared" si="74"/>
        <v>-1</v>
      </c>
      <c r="AI23" s="31">
        <f>Recu3!AI23</f>
        <v>0</v>
      </c>
      <c r="AJ23" s="32">
        <f t="shared" si="75"/>
        <v>-1</v>
      </c>
      <c r="AK23" s="31">
        <f>Recu3!AK23</f>
        <v>0</v>
      </c>
      <c r="AL23" s="32">
        <f t="shared" si="76"/>
        <v>-1</v>
      </c>
      <c r="AM23" s="31">
        <f>Recu3!AM23</f>
        <v>0</v>
      </c>
      <c r="AN23" s="32">
        <f t="shared" si="77"/>
        <v>-1</v>
      </c>
      <c r="AO23" s="31">
        <f>Recu3!AO23</f>
        <v>0</v>
      </c>
      <c r="AP23" s="32">
        <f t="shared" si="78"/>
        <v>-1</v>
      </c>
      <c r="AQ23" s="31">
        <f>Recu3!AQ23</f>
        <v>0</v>
      </c>
      <c r="AR23" s="32">
        <f t="shared" si="79"/>
        <v>-1</v>
      </c>
      <c r="AS23" s="31">
        <f>Recu3!AS23</f>
        <v>0</v>
      </c>
      <c r="AT23" s="32">
        <f t="shared" si="80"/>
        <v>-1</v>
      </c>
      <c r="AU23" s="31">
        <f>Recu3!AU23</f>
        <v>0</v>
      </c>
      <c r="AV23" s="32">
        <f t="shared" si="81"/>
        <v>-1</v>
      </c>
      <c r="AW23" s="31">
        <f>Recu3!AW23</f>
        <v>0</v>
      </c>
      <c r="AX23" s="32">
        <f t="shared" si="82"/>
        <v>-1</v>
      </c>
      <c r="AY23" s="31">
        <f>Recu3!AY23</f>
        <v>0</v>
      </c>
      <c r="AZ23" s="32">
        <f t="shared" si="83"/>
        <v>-1</v>
      </c>
      <c r="BA23" s="31">
        <f>Recu3!BA23</f>
        <v>0</v>
      </c>
      <c r="BB23" s="32">
        <f t="shared" si="84"/>
        <v>-1</v>
      </c>
      <c r="BC23" s="31">
        <f>Recu3!BC23</f>
        <v>0</v>
      </c>
      <c r="BD23" s="32">
        <f t="shared" si="85"/>
        <v>-1</v>
      </c>
      <c r="BE23" s="31">
        <f>Recu3!BE23</f>
        <v>0</v>
      </c>
      <c r="BF23" s="32">
        <f t="shared" si="86"/>
        <v>-1</v>
      </c>
      <c r="BG23" s="31">
        <f>Recu3!BG23</f>
        <v>0</v>
      </c>
      <c r="BH23" s="32">
        <f t="shared" si="87"/>
        <v>-1</v>
      </c>
      <c r="BI23" s="31">
        <f>Recu3!BI23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Recu3!B24</f>
        <v>0</v>
      </c>
      <c r="C24" s="31">
        <f>Recu3!C24</f>
        <v>0</v>
      </c>
      <c r="D24" s="32">
        <f t="shared" si="59"/>
        <v>-1</v>
      </c>
      <c r="E24" s="31">
        <f>Recu3!E24</f>
        <v>0</v>
      </c>
      <c r="F24" s="32">
        <f t="shared" si="60"/>
        <v>-1</v>
      </c>
      <c r="G24" s="31">
        <f>Recu3!G24</f>
        <v>0</v>
      </c>
      <c r="H24" s="32">
        <f t="shared" si="61"/>
        <v>-1</v>
      </c>
      <c r="I24" s="31">
        <f>Recu3!I24</f>
        <v>0</v>
      </c>
      <c r="J24" s="32">
        <f t="shared" si="62"/>
        <v>-1</v>
      </c>
      <c r="K24" s="31">
        <f>Recu3!K24</f>
        <v>0</v>
      </c>
      <c r="L24" s="32">
        <f t="shared" si="63"/>
        <v>-1</v>
      </c>
      <c r="M24" s="31">
        <f>Recu3!M24</f>
        <v>0</v>
      </c>
      <c r="N24" s="32">
        <f t="shared" si="64"/>
        <v>-1</v>
      </c>
      <c r="O24" s="31">
        <f>Recu3!O24</f>
        <v>0</v>
      </c>
      <c r="P24" s="32">
        <f t="shared" si="65"/>
        <v>-1</v>
      </c>
      <c r="Q24" s="31">
        <f>Recu3!Q24</f>
        <v>0</v>
      </c>
      <c r="R24" s="32">
        <f t="shared" si="66"/>
        <v>-1</v>
      </c>
      <c r="S24" s="31">
        <f>Recu3!S24</f>
        <v>0</v>
      </c>
      <c r="T24" s="32">
        <f t="shared" si="67"/>
        <v>-1</v>
      </c>
      <c r="U24" s="31">
        <f>Recu3!U24</f>
        <v>0</v>
      </c>
      <c r="V24" s="32">
        <f t="shared" si="68"/>
        <v>-1</v>
      </c>
      <c r="W24" s="31">
        <f>Recu3!W24</f>
        <v>0</v>
      </c>
      <c r="X24" s="32">
        <f t="shared" si="69"/>
        <v>-1</v>
      </c>
      <c r="Y24" s="31">
        <f>Recu3!Y24</f>
        <v>0</v>
      </c>
      <c r="Z24" s="32">
        <f t="shared" si="70"/>
        <v>-1</v>
      </c>
      <c r="AA24" s="31">
        <f>Recu3!AA24</f>
        <v>0</v>
      </c>
      <c r="AB24" s="32">
        <f t="shared" si="71"/>
        <v>-1</v>
      </c>
      <c r="AC24" s="31">
        <f>Recu3!AC24</f>
        <v>0</v>
      </c>
      <c r="AD24" s="32">
        <f t="shared" si="72"/>
        <v>-1</v>
      </c>
      <c r="AE24" s="31">
        <f>Recu3!AE24</f>
        <v>0</v>
      </c>
      <c r="AF24" s="32">
        <f t="shared" si="73"/>
        <v>-1</v>
      </c>
      <c r="AG24" s="31">
        <f>Recu3!AG24</f>
        <v>0</v>
      </c>
      <c r="AH24" s="32">
        <f t="shared" si="74"/>
        <v>-1</v>
      </c>
      <c r="AI24" s="31">
        <f>Recu3!AI24</f>
        <v>0</v>
      </c>
      <c r="AJ24" s="32">
        <f t="shared" si="75"/>
        <v>-1</v>
      </c>
      <c r="AK24" s="31">
        <f>Recu3!AK24</f>
        <v>0</v>
      </c>
      <c r="AL24" s="32">
        <f t="shared" si="76"/>
        <v>-1</v>
      </c>
      <c r="AM24" s="31">
        <f>Recu3!AM24</f>
        <v>0</v>
      </c>
      <c r="AN24" s="32">
        <f t="shared" si="77"/>
        <v>-1</v>
      </c>
      <c r="AO24" s="31">
        <f>Recu3!AO24</f>
        <v>0</v>
      </c>
      <c r="AP24" s="32">
        <f t="shared" si="78"/>
        <v>-1</v>
      </c>
      <c r="AQ24" s="31">
        <f>Recu3!AQ24</f>
        <v>0</v>
      </c>
      <c r="AR24" s="32">
        <f t="shared" si="79"/>
        <v>-1</v>
      </c>
      <c r="AS24" s="31">
        <f>Recu3!AS24</f>
        <v>0</v>
      </c>
      <c r="AT24" s="32">
        <f t="shared" si="80"/>
        <v>-1</v>
      </c>
      <c r="AU24" s="31">
        <f>Recu3!AU24</f>
        <v>0</v>
      </c>
      <c r="AV24" s="32">
        <f t="shared" si="81"/>
        <v>-1</v>
      </c>
      <c r="AW24" s="31">
        <f>Recu3!AW24</f>
        <v>0</v>
      </c>
      <c r="AX24" s="32">
        <f t="shared" si="82"/>
        <v>-1</v>
      </c>
      <c r="AY24" s="31">
        <f>Recu3!AY24</f>
        <v>0</v>
      </c>
      <c r="AZ24" s="32">
        <f t="shared" si="83"/>
        <v>-1</v>
      </c>
      <c r="BA24" s="31">
        <f>Recu3!BA24</f>
        <v>0</v>
      </c>
      <c r="BB24" s="32">
        <f t="shared" si="84"/>
        <v>-1</v>
      </c>
      <c r="BC24" s="31">
        <f>Recu3!BC24</f>
        <v>0</v>
      </c>
      <c r="BD24" s="32">
        <f t="shared" si="85"/>
        <v>-1</v>
      </c>
      <c r="BE24" s="31">
        <f>Recu3!BE24</f>
        <v>0</v>
      </c>
      <c r="BF24" s="32">
        <f t="shared" si="86"/>
        <v>-1</v>
      </c>
      <c r="BG24" s="31">
        <f>Recu3!BG24</f>
        <v>0</v>
      </c>
      <c r="BH24" s="32">
        <f t="shared" si="87"/>
        <v>-1</v>
      </c>
      <c r="BI24" s="31">
        <f>Recu3!BI24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Recu3!B25</f>
        <v>0</v>
      </c>
      <c r="C25" s="31">
        <f>Recu3!C25</f>
        <v>0</v>
      </c>
      <c r="D25" s="32">
        <f t="shared" si="59"/>
        <v>-1</v>
      </c>
      <c r="E25" s="31">
        <f>Recu3!E25</f>
        <v>0</v>
      </c>
      <c r="F25" s="32">
        <f t="shared" si="60"/>
        <v>-1</v>
      </c>
      <c r="G25" s="31">
        <f>Recu3!G25</f>
        <v>0</v>
      </c>
      <c r="H25" s="32">
        <f t="shared" si="61"/>
        <v>-1</v>
      </c>
      <c r="I25" s="31">
        <f>Recu3!I25</f>
        <v>0</v>
      </c>
      <c r="J25" s="32">
        <f t="shared" si="62"/>
        <v>-1</v>
      </c>
      <c r="K25" s="31">
        <f>Recu3!K25</f>
        <v>0</v>
      </c>
      <c r="L25" s="32">
        <f t="shared" si="63"/>
        <v>-1</v>
      </c>
      <c r="M25" s="31">
        <f>Recu3!M25</f>
        <v>0</v>
      </c>
      <c r="N25" s="32">
        <f t="shared" si="64"/>
        <v>-1</v>
      </c>
      <c r="O25" s="31">
        <f>Recu3!O25</f>
        <v>0</v>
      </c>
      <c r="P25" s="32">
        <f t="shared" si="65"/>
        <v>-1</v>
      </c>
      <c r="Q25" s="31">
        <f>Recu3!Q25</f>
        <v>0</v>
      </c>
      <c r="R25" s="32">
        <f t="shared" si="66"/>
        <v>-1</v>
      </c>
      <c r="S25" s="31">
        <f>Recu3!S25</f>
        <v>0</v>
      </c>
      <c r="T25" s="32">
        <f t="shared" si="67"/>
        <v>-1</v>
      </c>
      <c r="U25" s="31">
        <f>Recu3!U25</f>
        <v>0</v>
      </c>
      <c r="V25" s="32">
        <f t="shared" si="68"/>
        <v>-1</v>
      </c>
      <c r="W25" s="31">
        <f>Recu3!W25</f>
        <v>0</v>
      </c>
      <c r="X25" s="32">
        <f t="shared" si="69"/>
        <v>-1</v>
      </c>
      <c r="Y25" s="31">
        <f>Recu3!Y25</f>
        <v>0</v>
      </c>
      <c r="Z25" s="32">
        <f t="shared" si="70"/>
        <v>-1</v>
      </c>
      <c r="AA25" s="31">
        <f>Recu3!AA25</f>
        <v>0</v>
      </c>
      <c r="AB25" s="32">
        <f t="shared" si="71"/>
        <v>-1</v>
      </c>
      <c r="AC25" s="31">
        <f>Recu3!AC25</f>
        <v>0</v>
      </c>
      <c r="AD25" s="32">
        <f t="shared" si="72"/>
        <v>-1</v>
      </c>
      <c r="AE25" s="31">
        <f>Recu3!AE25</f>
        <v>0</v>
      </c>
      <c r="AF25" s="32">
        <f t="shared" si="73"/>
        <v>-1</v>
      </c>
      <c r="AG25" s="31">
        <f>Recu3!AG25</f>
        <v>0</v>
      </c>
      <c r="AH25" s="32">
        <f t="shared" si="74"/>
        <v>-1</v>
      </c>
      <c r="AI25" s="31">
        <f>Recu3!AI25</f>
        <v>0</v>
      </c>
      <c r="AJ25" s="32">
        <f t="shared" si="75"/>
        <v>-1</v>
      </c>
      <c r="AK25" s="31">
        <f>Recu3!AK25</f>
        <v>0</v>
      </c>
      <c r="AL25" s="32">
        <f t="shared" si="76"/>
        <v>-1</v>
      </c>
      <c r="AM25" s="31">
        <f>Recu3!AM25</f>
        <v>0</v>
      </c>
      <c r="AN25" s="32">
        <f t="shared" si="77"/>
        <v>-1</v>
      </c>
      <c r="AO25" s="31">
        <f>Recu3!AO25</f>
        <v>0</v>
      </c>
      <c r="AP25" s="32">
        <f t="shared" si="78"/>
        <v>-1</v>
      </c>
      <c r="AQ25" s="31">
        <f>Recu3!AQ25</f>
        <v>0</v>
      </c>
      <c r="AR25" s="32">
        <f t="shared" si="79"/>
        <v>-1</v>
      </c>
      <c r="AS25" s="31">
        <f>Recu3!AS25</f>
        <v>0</v>
      </c>
      <c r="AT25" s="32">
        <f t="shared" si="80"/>
        <v>-1</v>
      </c>
      <c r="AU25" s="31">
        <f>Recu3!AU25</f>
        <v>0</v>
      </c>
      <c r="AV25" s="32">
        <f t="shared" si="81"/>
        <v>-1</v>
      </c>
      <c r="AW25" s="31">
        <f>Recu3!AW25</f>
        <v>0</v>
      </c>
      <c r="AX25" s="32">
        <f t="shared" si="82"/>
        <v>-1</v>
      </c>
      <c r="AY25" s="31">
        <f>Recu3!AY25</f>
        <v>0</v>
      </c>
      <c r="AZ25" s="32">
        <f t="shared" si="83"/>
        <v>-1</v>
      </c>
      <c r="BA25" s="31">
        <f>Recu3!BA25</f>
        <v>0</v>
      </c>
      <c r="BB25" s="32">
        <f t="shared" si="84"/>
        <v>-1</v>
      </c>
      <c r="BC25" s="31">
        <f>Recu3!BC25</f>
        <v>0</v>
      </c>
      <c r="BD25" s="32">
        <f t="shared" si="85"/>
        <v>-1</v>
      </c>
      <c r="BE25" s="31">
        <f>Recu3!BE25</f>
        <v>0</v>
      </c>
      <c r="BF25" s="32">
        <f t="shared" si="86"/>
        <v>-1</v>
      </c>
      <c r="BG25" s="31">
        <f>Recu3!BG25</f>
        <v>0</v>
      </c>
      <c r="BH25" s="32">
        <f t="shared" si="87"/>
        <v>-1</v>
      </c>
      <c r="BI25" s="31">
        <f>Recu3!BI25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Recu3!B26</f>
        <v>0</v>
      </c>
      <c r="C26" s="31">
        <f>Recu3!C26</f>
        <v>0</v>
      </c>
      <c r="D26" s="32">
        <f t="shared" si="59"/>
        <v>-1</v>
      </c>
      <c r="E26" s="31">
        <f>Recu3!E26</f>
        <v>0</v>
      </c>
      <c r="F26" s="32">
        <f t="shared" si="60"/>
        <v>-1</v>
      </c>
      <c r="G26" s="31">
        <f>Recu3!G26</f>
        <v>0</v>
      </c>
      <c r="H26" s="32">
        <f t="shared" si="61"/>
        <v>-1</v>
      </c>
      <c r="I26" s="31">
        <f>Recu3!I26</f>
        <v>0</v>
      </c>
      <c r="J26" s="32">
        <f t="shared" si="62"/>
        <v>-1</v>
      </c>
      <c r="K26" s="31">
        <f>Recu3!K26</f>
        <v>0</v>
      </c>
      <c r="L26" s="32">
        <f t="shared" si="63"/>
        <v>-1</v>
      </c>
      <c r="M26" s="31">
        <f>Recu3!M26</f>
        <v>0</v>
      </c>
      <c r="N26" s="32">
        <f t="shared" si="64"/>
        <v>-1</v>
      </c>
      <c r="O26" s="31">
        <f>Recu3!O26</f>
        <v>0</v>
      </c>
      <c r="P26" s="32">
        <f t="shared" si="65"/>
        <v>-1</v>
      </c>
      <c r="Q26" s="31">
        <f>Recu3!Q26</f>
        <v>0</v>
      </c>
      <c r="R26" s="32">
        <f t="shared" si="66"/>
        <v>-1</v>
      </c>
      <c r="S26" s="31">
        <f>Recu3!S26</f>
        <v>0</v>
      </c>
      <c r="T26" s="32">
        <f t="shared" si="67"/>
        <v>-1</v>
      </c>
      <c r="U26" s="31">
        <f>Recu3!U26</f>
        <v>0</v>
      </c>
      <c r="V26" s="32">
        <f t="shared" si="68"/>
        <v>-1</v>
      </c>
      <c r="W26" s="31">
        <f>Recu3!W26</f>
        <v>0</v>
      </c>
      <c r="X26" s="32">
        <f t="shared" si="69"/>
        <v>-1</v>
      </c>
      <c r="Y26" s="31">
        <f>Recu3!Y26</f>
        <v>0</v>
      </c>
      <c r="Z26" s="32">
        <f t="shared" si="70"/>
        <v>-1</v>
      </c>
      <c r="AA26" s="31">
        <f>Recu3!AA26</f>
        <v>0</v>
      </c>
      <c r="AB26" s="32">
        <f t="shared" si="71"/>
        <v>-1</v>
      </c>
      <c r="AC26" s="31">
        <f>Recu3!AC26</f>
        <v>0</v>
      </c>
      <c r="AD26" s="32">
        <f t="shared" si="72"/>
        <v>-1</v>
      </c>
      <c r="AE26" s="31">
        <f>Recu3!AE26</f>
        <v>0</v>
      </c>
      <c r="AF26" s="32">
        <f t="shared" si="73"/>
        <v>-1</v>
      </c>
      <c r="AG26" s="31">
        <f>Recu3!AG26</f>
        <v>0</v>
      </c>
      <c r="AH26" s="32">
        <f t="shared" si="74"/>
        <v>-1</v>
      </c>
      <c r="AI26" s="31">
        <f>Recu3!AI26</f>
        <v>0</v>
      </c>
      <c r="AJ26" s="32">
        <f t="shared" si="75"/>
        <v>-1</v>
      </c>
      <c r="AK26" s="31">
        <f>Recu3!AK26</f>
        <v>0</v>
      </c>
      <c r="AL26" s="32">
        <f t="shared" si="76"/>
        <v>-1</v>
      </c>
      <c r="AM26" s="31">
        <f>Recu3!AM26</f>
        <v>0</v>
      </c>
      <c r="AN26" s="32">
        <f t="shared" si="77"/>
        <v>-1</v>
      </c>
      <c r="AO26" s="31">
        <f>Recu3!AO26</f>
        <v>0</v>
      </c>
      <c r="AP26" s="32">
        <f t="shared" si="78"/>
        <v>-1</v>
      </c>
      <c r="AQ26" s="31">
        <f>Recu3!AQ26</f>
        <v>0</v>
      </c>
      <c r="AR26" s="32">
        <f t="shared" si="79"/>
        <v>-1</v>
      </c>
      <c r="AS26" s="31">
        <f>Recu3!AS26</f>
        <v>0</v>
      </c>
      <c r="AT26" s="32">
        <f t="shared" si="80"/>
        <v>-1</v>
      </c>
      <c r="AU26" s="31">
        <f>Recu3!AU26</f>
        <v>0</v>
      </c>
      <c r="AV26" s="32">
        <f t="shared" si="81"/>
        <v>-1</v>
      </c>
      <c r="AW26" s="31">
        <f>Recu3!AW26</f>
        <v>0</v>
      </c>
      <c r="AX26" s="32">
        <f t="shared" si="82"/>
        <v>-1</v>
      </c>
      <c r="AY26" s="31">
        <f>Recu3!AY26</f>
        <v>0</v>
      </c>
      <c r="AZ26" s="32">
        <f t="shared" si="83"/>
        <v>-1</v>
      </c>
      <c r="BA26" s="31">
        <f>Recu3!BA26</f>
        <v>0</v>
      </c>
      <c r="BB26" s="32">
        <f t="shared" si="84"/>
        <v>-1</v>
      </c>
      <c r="BC26" s="31">
        <f>Recu3!BC26</f>
        <v>0</v>
      </c>
      <c r="BD26" s="32">
        <f t="shared" si="85"/>
        <v>-1</v>
      </c>
      <c r="BE26" s="31">
        <f>Recu3!BE26</f>
        <v>0</v>
      </c>
      <c r="BF26" s="32">
        <f t="shared" si="86"/>
        <v>-1</v>
      </c>
      <c r="BG26" s="31">
        <f>Recu3!BG26</f>
        <v>0</v>
      </c>
      <c r="BH26" s="32">
        <f t="shared" si="87"/>
        <v>-1</v>
      </c>
      <c r="BI26" s="31">
        <f>Recu3!BI26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Recu3!B27</f>
        <v>0</v>
      </c>
      <c r="C27" s="31">
        <f>Recu3!C27</f>
        <v>0</v>
      </c>
      <c r="D27" s="32">
        <f t="shared" si="59"/>
        <v>-1</v>
      </c>
      <c r="E27" s="31">
        <f>Recu3!E27</f>
        <v>0</v>
      </c>
      <c r="F27" s="32">
        <f t="shared" si="60"/>
        <v>-1</v>
      </c>
      <c r="G27" s="31">
        <f>Recu3!G27</f>
        <v>0</v>
      </c>
      <c r="H27" s="32">
        <f t="shared" si="61"/>
        <v>-1</v>
      </c>
      <c r="I27" s="31">
        <f>Recu3!I27</f>
        <v>0</v>
      </c>
      <c r="J27" s="32">
        <f t="shared" si="62"/>
        <v>-1</v>
      </c>
      <c r="K27" s="31">
        <f>Recu3!K27</f>
        <v>0</v>
      </c>
      <c r="L27" s="32">
        <f t="shared" si="63"/>
        <v>-1</v>
      </c>
      <c r="M27" s="31">
        <f>Recu3!M27</f>
        <v>0</v>
      </c>
      <c r="N27" s="32">
        <f t="shared" si="64"/>
        <v>-1</v>
      </c>
      <c r="O27" s="31">
        <f>Recu3!O27</f>
        <v>0</v>
      </c>
      <c r="P27" s="32">
        <f t="shared" si="65"/>
        <v>-1</v>
      </c>
      <c r="Q27" s="31">
        <f>Recu3!Q27</f>
        <v>0</v>
      </c>
      <c r="R27" s="32">
        <f t="shared" si="66"/>
        <v>-1</v>
      </c>
      <c r="S27" s="31">
        <f>Recu3!S27</f>
        <v>0</v>
      </c>
      <c r="T27" s="32">
        <f t="shared" si="67"/>
        <v>-1</v>
      </c>
      <c r="U27" s="31">
        <f>Recu3!U27</f>
        <v>0</v>
      </c>
      <c r="V27" s="32">
        <f t="shared" si="68"/>
        <v>-1</v>
      </c>
      <c r="W27" s="31">
        <f>Recu3!W27</f>
        <v>0</v>
      </c>
      <c r="X27" s="32">
        <f t="shared" si="69"/>
        <v>-1</v>
      </c>
      <c r="Y27" s="31">
        <f>Recu3!Y27</f>
        <v>0</v>
      </c>
      <c r="Z27" s="32">
        <f t="shared" si="70"/>
        <v>-1</v>
      </c>
      <c r="AA27" s="31">
        <f>Recu3!AA27</f>
        <v>0</v>
      </c>
      <c r="AB27" s="32">
        <f t="shared" si="71"/>
        <v>-1</v>
      </c>
      <c r="AC27" s="31">
        <f>Recu3!AC27</f>
        <v>0</v>
      </c>
      <c r="AD27" s="32">
        <f t="shared" si="72"/>
        <v>-1</v>
      </c>
      <c r="AE27" s="31">
        <f>Recu3!AE27</f>
        <v>0</v>
      </c>
      <c r="AF27" s="32">
        <f t="shared" si="73"/>
        <v>-1</v>
      </c>
      <c r="AG27" s="31">
        <f>Recu3!AG27</f>
        <v>0</v>
      </c>
      <c r="AH27" s="32">
        <f t="shared" si="74"/>
        <v>-1</v>
      </c>
      <c r="AI27" s="31">
        <f>Recu3!AI27</f>
        <v>0</v>
      </c>
      <c r="AJ27" s="32">
        <f t="shared" si="75"/>
        <v>-1</v>
      </c>
      <c r="AK27" s="31">
        <f>Recu3!AK27</f>
        <v>0</v>
      </c>
      <c r="AL27" s="32">
        <f t="shared" si="76"/>
        <v>-1</v>
      </c>
      <c r="AM27" s="31">
        <f>Recu3!AM27</f>
        <v>0</v>
      </c>
      <c r="AN27" s="32">
        <f t="shared" si="77"/>
        <v>-1</v>
      </c>
      <c r="AO27" s="31">
        <f>Recu3!AO27</f>
        <v>0</v>
      </c>
      <c r="AP27" s="32">
        <f t="shared" si="78"/>
        <v>-1</v>
      </c>
      <c r="AQ27" s="31">
        <f>Recu3!AQ27</f>
        <v>0</v>
      </c>
      <c r="AR27" s="32">
        <f t="shared" si="79"/>
        <v>-1</v>
      </c>
      <c r="AS27" s="31">
        <f>Recu3!AS27</f>
        <v>0</v>
      </c>
      <c r="AT27" s="32">
        <f t="shared" si="80"/>
        <v>-1</v>
      </c>
      <c r="AU27" s="31">
        <f>Recu3!AU27</f>
        <v>0</v>
      </c>
      <c r="AV27" s="32">
        <f t="shared" si="81"/>
        <v>-1</v>
      </c>
      <c r="AW27" s="31">
        <f>Recu3!AW27</f>
        <v>0</v>
      </c>
      <c r="AX27" s="32">
        <f t="shared" si="82"/>
        <v>-1</v>
      </c>
      <c r="AY27" s="31">
        <f>Recu3!AY27</f>
        <v>0</v>
      </c>
      <c r="AZ27" s="32">
        <f t="shared" si="83"/>
        <v>-1</v>
      </c>
      <c r="BA27" s="31">
        <f>Recu3!BA27</f>
        <v>0</v>
      </c>
      <c r="BB27" s="32">
        <f t="shared" si="84"/>
        <v>-1</v>
      </c>
      <c r="BC27" s="31">
        <f>Recu3!BC27</f>
        <v>0</v>
      </c>
      <c r="BD27" s="32">
        <f t="shared" si="85"/>
        <v>-1</v>
      </c>
      <c r="BE27" s="31">
        <f>Recu3!BE27</f>
        <v>0</v>
      </c>
      <c r="BF27" s="32">
        <f t="shared" si="86"/>
        <v>-1</v>
      </c>
      <c r="BG27" s="31">
        <f>Recu3!BG27</f>
        <v>0</v>
      </c>
      <c r="BH27" s="32">
        <f t="shared" si="87"/>
        <v>-1</v>
      </c>
      <c r="BI27" s="31">
        <f>Recu3!BI27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Recu3!B28</f>
        <v>0</v>
      </c>
      <c r="C28" s="31">
        <f>Recu3!C28</f>
        <v>0</v>
      </c>
      <c r="D28" s="32">
        <f t="shared" si="59"/>
        <v>-1</v>
      </c>
      <c r="E28" s="31">
        <f>Recu3!E28</f>
        <v>0</v>
      </c>
      <c r="F28" s="32">
        <f t="shared" si="60"/>
        <v>-1</v>
      </c>
      <c r="G28" s="31">
        <f>Recu3!G28</f>
        <v>0</v>
      </c>
      <c r="H28" s="32">
        <f t="shared" si="61"/>
        <v>-1</v>
      </c>
      <c r="I28" s="31">
        <f>Recu3!I28</f>
        <v>0</v>
      </c>
      <c r="J28" s="32">
        <f t="shared" si="62"/>
        <v>-1</v>
      </c>
      <c r="K28" s="31">
        <f>Recu3!K28</f>
        <v>0</v>
      </c>
      <c r="L28" s="32">
        <f t="shared" si="63"/>
        <v>-1</v>
      </c>
      <c r="M28" s="31">
        <f>Recu3!M28</f>
        <v>0</v>
      </c>
      <c r="N28" s="32">
        <f t="shared" si="64"/>
        <v>-1</v>
      </c>
      <c r="O28" s="31">
        <f>Recu3!O28</f>
        <v>0</v>
      </c>
      <c r="P28" s="32">
        <f t="shared" si="65"/>
        <v>-1</v>
      </c>
      <c r="Q28" s="31">
        <f>Recu3!Q28</f>
        <v>0</v>
      </c>
      <c r="R28" s="32">
        <f t="shared" si="66"/>
        <v>-1</v>
      </c>
      <c r="S28" s="31">
        <f>Recu3!S28</f>
        <v>0</v>
      </c>
      <c r="T28" s="32">
        <f t="shared" si="67"/>
        <v>-1</v>
      </c>
      <c r="U28" s="31">
        <f>Recu3!U28</f>
        <v>0</v>
      </c>
      <c r="V28" s="32">
        <f t="shared" si="68"/>
        <v>-1</v>
      </c>
      <c r="W28" s="31">
        <f>Recu3!W28</f>
        <v>0</v>
      </c>
      <c r="X28" s="32">
        <f t="shared" si="69"/>
        <v>-1</v>
      </c>
      <c r="Y28" s="31">
        <f>Recu3!Y28</f>
        <v>0</v>
      </c>
      <c r="Z28" s="32">
        <f t="shared" si="70"/>
        <v>-1</v>
      </c>
      <c r="AA28" s="31">
        <f>Recu3!AA28</f>
        <v>0</v>
      </c>
      <c r="AB28" s="32">
        <f t="shared" si="71"/>
        <v>-1</v>
      </c>
      <c r="AC28" s="31">
        <f>Recu3!AC28</f>
        <v>0</v>
      </c>
      <c r="AD28" s="32">
        <f t="shared" si="72"/>
        <v>-1</v>
      </c>
      <c r="AE28" s="31">
        <f>Recu3!AE28</f>
        <v>0</v>
      </c>
      <c r="AF28" s="32">
        <f t="shared" si="73"/>
        <v>-1</v>
      </c>
      <c r="AG28" s="31">
        <f>Recu3!AG28</f>
        <v>0</v>
      </c>
      <c r="AH28" s="32">
        <f t="shared" si="74"/>
        <v>-1</v>
      </c>
      <c r="AI28" s="31">
        <f>Recu3!AI28</f>
        <v>0</v>
      </c>
      <c r="AJ28" s="32">
        <f t="shared" si="75"/>
        <v>-1</v>
      </c>
      <c r="AK28" s="31">
        <f>Recu3!AK28</f>
        <v>0</v>
      </c>
      <c r="AL28" s="32">
        <f t="shared" si="76"/>
        <v>-1</v>
      </c>
      <c r="AM28" s="31">
        <f>Recu3!AM28</f>
        <v>0</v>
      </c>
      <c r="AN28" s="32">
        <f t="shared" si="77"/>
        <v>-1</v>
      </c>
      <c r="AO28" s="31">
        <f>Recu3!AO28</f>
        <v>0</v>
      </c>
      <c r="AP28" s="32">
        <f t="shared" si="78"/>
        <v>-1</v>
      </c>
      <c r="AQ28" s="31">
        <f>Recu3!AQ28</f>
        <v>0</v>
      </c>
      <c r="AR28" s="32">
        <f t="shared" si="79"/>
        <v>-1</v>
      </c>
      <c r="AS28" s="31">
        <f>Recu3!AS28</f>
        <v>0</v>
      </c>
      <c r="AT28" s="32">
        <f t="shared" si="80"/>
        <v>-1</v>
      </c>
      <c r="AU28" s="31">
        <f>Recu3!AU28</f>
        <v>0</v>
      </c>
      <c r="AV28" s="32">
        <f t="shared" si="81"/>
        <v>-1</v>
      </c>
      <c r="AW28" s="31">
        <f>Recu3!AW28</f>
        <v>0</v>
      </c>
      <c r="AX28" s="32">
        <f t="shared" si="82"/>
        <v>-1</v>
      </c>
      <c r="AY28" s="31">
        <f>Recu3!AY28</f>
        <v>0</v>
      </c>
      <c r="AZ28" s="32">
        <f t="shared" si="83"/>
        <v>-1</v>
      </c>
      <c r="BA28" s="31">
        <f>Recu3!BA28</f>
        <v>0</v>
      </c>
      <c r="BB28" s="32">
        <f t="shared" si="84"/>
        <v>-1</v>
      </c>
      <c r="BC28" s="31">
        <f>Recu3!BC28</f>
        <v>0</v>
      </c>
      <c r="BD28" s="32">
        <f t="shared" si="85"/>
        <v>-1</v>
      </c>
      <c r="BE28" s="31">
        <f>Recu3!BE28</f>
        <v>0</v>
      </c>
      <c r="BF28" s="32">
        <f t="shared" si="86"/>
        <v>-1</v>
      </c>
      <c r="BG28" s="31">
        <f>Recu3!BG28</f>
        <v>0</v>
      </c>
      <c r="BH28" s="32">
        <f t="shared" si="87"/>
        <v>-1</v>
      </c>
      <c r="BI28" s="31">
        <f>Recu3!BI28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Recu3!B29</f>
        <v>0</v>
      </c>
      <c r="C29" s="31">
        <f>Recu3!C29</f>
        <v>0</v>
      </c>
      <c r="D29" s="32">
        <f t="shared" si="59"/>
        <v>-1</v>
      </c>
      <c r="E29" s="31">
        <f>Recu3!E29</f>
        <v>0</v>
      </c>
      <c r="F29" s="32">
        <f t="shared" si="60"/>
        <v>-1</v>
      </c>
      <c r="G29" s="31">
        <f>Recu3!G29</f>
        <v>0</v>
      </c>
      <c r="H29" s="32">
        <f t="shared" si="61"/>
        <v>-1</v>
      </c>
      <c r="I29" s="31">
        <f>Recu3!I29</f>
        <v>0</v>
      </c>
      <c r="J29" s="32">
        <f t="shared" si="62"/>
        <v>-1</v>
      </c>
      <c r="K29" s="31">
        <f>Recu3!K29</f>
        <v>0</v>
      </c>
      <c r="L29" s="32">
        <f t="shared" si="63"/>
        <v>-1</v>
      </c>
      <c r="M29" s="31">
        <f>Recu3!M29</f>
        <v>0</v>
      </c>
      <c r="N29" s="32">
        <f t="shared" si="64"/>
        <v>-1</v>
      </c>
      <c r="O29" s="31">
        <f>Recu3!O29</f>
        <v>0</v>
      </c>
      <c r="P29" s="32">
        <f t="shared" si="65"/>
        <v>-1</v>
      </c>
      <c r="Q29" s="31">
        <f>Recu3!Q29</f>
        <v>0</v>
      </c>
      <c r="R29" s="32">
        <f t="shared" si="66"/>
        <v>-1</v>
      </c>
      <c r="S29" s="31">
        <f>Recu3!S29</f>
        <v>0</v>
      </c>
      <c r="T29" s="32">
        <f t="shared" si="67"/>
        <v>-1</v>
      </c>
      <c r="U29" s="31">
        <f>Recu3!U29</f>
        <v>0</v>
      </c>
      <c r="V29" s="32">
        <f t="shared" si="68"/>
        <v>-1</v>
      </c>
      <c r="W29" s="31">
        <f>Recu3!W29</f>
        <v>0</v>
      </c>
      <c r="X29" s="32">
        <f t="shared" si="69"/>
        <v>-1</v>
      </c>
      <c r="Y29" s="31">
        <f>Recu3!Y29</f>
        <v>0</v>
      </c>
      <c r="Z29" s="32">
        <f t="shared" si="70"/>
        <v>-1</v>
      </c>
      <c r="AA29" s="31">
        <f>Recu3!AA29</f>
        <v>0</v>
      </c>
      <c r="AB29" s="32">
        <f t="shared" si="71"/>
        <v>-1</v>
      </c>
      <c r="AC29" s="31">
        <f>Recu3!AC29</f>
        <v>0</v>
      </c>
      <c r="AD29" s="32">
        <f t="shared" si="72"/>
        <v>-1</v>
      </c>
      <c r="AE29" s="31">
        <f>Recu3!AE29</f>
        <v>0</v>
      </c>
      <c r="AF29" s="32">
        <f t="shared" si="73"/>
        <v>-1</v>
      </c>
      <c r="AG29" s="31">
        <f>Recu3!AG29</f>
        <v>0</v>
      </c>
      <c r="AH29" s="32">
        <f t="shared" si="74"/>
        <v>-1</v>
      </c>
      <c r="AI29" s="31">
        <f>Recu3!AI29</f>
        <v>0</v>
      </c>
      <c r="AJ29" s="32">
        <f t="shared" si="75"/>
        <v>-1</v>
      </c>
      <c r="AK29" s="31">
        <f>Recu3!AK29</f>
        <v>0</v>
      </c>
      <c r="AL29" s="32">
        <f t="shared" si="76"/>
        <v>-1</v>
      </c>
      <c r="AM29" s="31">
        <f>Recu3!AM29</f>
        <v>0</v>
      </c>
      <c r="AN29" s="32">
        <f t="shared" si="77"/>
        <v>-1</v>
      </c>
      <c r="AO29" s="31">
        <f>Recu3!AO29</f>
        <v>0</v>
      </c>
      <c r="AP29" s="32">
        <f t="shared" si="78"/>
        <v>-1</v>
      </c>
      <c r="AQ29" s="31">
        <f>Recu3!AQ29</f>
        <v>0</v>
      </c>
      <c r="AR29" s="32">
        <f t="shared" si="79"/>
        <v>-1</v>
      </c>
      <c r="AS29" s="31">
        <f>Recu3!AS29</f>
        <v>0</v>
      </c>
      <c r="AT29" s="32">
        <f t="shared" si="80"/>
        <v>-1</v>
      </c>
      <c r="AU29" s="31">
        <f>Recu3!AU29</f>
        <v>0</v>
      </c>
      <c r="AV29" s="32">
        <f t="shared" si="81"/>
        <v>-1</v>
      </c>
      <c r="AW29" s="31">
        <f>Recu3!AW29</f>
        <v>0</v>
      </c>
      <c r="AX29" s="32">
        <f t="shared" si="82"/>
        <v>-1</v>
      </c>
      <c r="AY29" s="31">
        <f>Recu3!AY29</f>
        <v>0</v>
      </c>
      <c r="AZ29" s="32">
        <f t="shared" si="83"/>
        <v>-1</v>
      </c>
      <c r="BA29" s="31">
        <f>Recu3!BA29</f>
        <v>0</v>
      </c>
      <c r="BB29" s="32">
        <f t="shared" si="84"/>
        <v>-1</v>
      </c>
      <c r="BC29" s="31">
        <f>Recu3!BC29</f>
        <v>0</v>
      </c>
      <c r="BD29" s="32">
        <f t="shared" si="85"/>
        <v>-1</v>
      </c>
      <c r="BE29" s="31">
        <f>Recu3!BE29</f>
        <v>0</v>
      </c>
      <c r="BF29" s="32">
        <f t="shared" si="86"/>
        <v>-1</v>
      </c>
      <c r="BG29" s="31">
        <f>Recu3!BG29</f>
        <v>0</v>
      </c>
      <c r="BH29" s="32">
        <f t="shared" si="87"/>
        <v>-1</v>
      </c>
      <c r="BI29" s="31">
        <f>Recu3!BI29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Recu3!B30</f>
        <v>0</v>
      </c>
      <c r="C30" s="31">
        <f>Recu3!C30</f>
        <v>0</v>
      </c>
      <c r="D30" s="32">
        <f t="shared" si="59"/>
        <v>-1</v>
      </c>
      <c r="E30" s="31">
        <f>Recu3!E30</f>
        <v>0</v>
      </c>
      <c r="F30" s="32">
        <f t="shared" si="60"/>
        <v>-1</v>
      </c>
      <c r="G30" s="31">
        <f>Recu3!G30</f>
        <v>0</v>
      </c>
      <c r="H30" s="32">
        <f t="shared" si="61"/>
        <v>-1</v>
      </c>
      <c r="I30" s="31">
        <f>Recu3!I30</f>
        <v>0</v>
      </c>
      <c r="J30" s="32">
        <f t="shared" si="62"/>
        <v>-1</v>
      </c>
      <c r="K30" s="31">
        <f>Recu3!K30</f>
        <v>0</v>
      </c>
      <c r="L30" s="32">
        <f t="shared" si="63"/>
        <v>-1</v>
      </c>
      <c r="M30" s="31">
        <f>Recu3!M30</f>
        <v>0</v>
      </c>
      <c r="N30" s="32">
        <f t="shared" si="64"/>
        <v>-1</v>
      </c>
      <c r="O30" s="31">
        <f>Recu3!O30</f>
        <v>0</v>
      </c>
      <c r="P30" s="32">
        <f t="shared" si="65"/>
        <v>-1</v>
      </c>
      <c r="Q30" s="31">
        <f>Recu3!Q30</f>
        <v>0</v>
      </c>
      <c r="R30" s="32">
        <f t="shared" si="66"/>
        <v>-1</v>
      </c>
      <c r="S30" s="31">
        <f>Recu3!S30</f>
        <v>0</v>
      </c>
      <c r="T30" s="32">
        <f t="shared" si="67"/>
        <v>-1</v>
      </c>
      <c r="U30" s="31">
        <f>Recu3!U30</f>
        <v>0</v>
      </c>
      <c r="V30" s="32">
        <f t="shared" si="68"/>
        <v>-1</v>
      </c>
      <c r="W30" s="31">
        <f>Recu3!W30</f>
        <v>0</v>
      </c>
      <c r="X30" s="32">
        <f t="shared" si="69"/>
        <v>-1</v>
      </c>
      <c r="Y30" s="31">
        <f>Recu3!Y30</f>
        <v>0</v>
      </c>
      <c r="Z30" s="32">
        <f t="shared" si="70"/>
        <v>-1</v>
      </c>
      <c r="AA30" s="31">
        <f>Recu3!AA30</f>
        <v>0</v>
      </c>
      <c r="AB30" s="32">
        <f t="shared" si="71"/>
        <v>-1</v>
      </c>
      <c r="AC30" s="31">
        <f>Recu3!AC30</f>
        <v>0</v>
      </c>
      <c r="AD30" s="32">
        <f t="shared" si="72"/>
        <v>-1</v>
      </c>
      <c r="AE30" s="31">
        <f>Recu3!AE30</f>
        <v>0</v>
      </c>
      <c r="AF30" s="32">
        <f t="shared" si="73"/>
        <v>-1</v>
      </c>
      <c r="AG30" s="31">
        <f>Recu3!AG30</f>
        <v>0</v>
      </c>
      <c r="AH30" s="32">
        <f t="shared" si="74"/>
        <v>-1</v>
      </c>
      <c r="AI30" s="31">
        <f>Recu3!AI30</f>
        <v>0</v>
      </c>
      <c r="AJ30" s="32">
        <f t="shared" si="75"/>
        <v>-1</v>
      </c>
      <c r="AK30" s="31">
        <f>Recu3!AK30</f>
        <v>0</v>
      </c>
      <c r="AL30" s="32">
        <f t="shared" si="76"/>
        <v>-1</v>
      </c>
      <c r="AM30" s="31">
        <f>Recu3!AM30</f>
        <v>0</v>
      </c>
      <c r="AN30" s="32">
        <f t="shared" si="77"/>
        <v>-1</v>
      </c>
      <c r="AO30" s="31">
        <f>Recu3!AO30</f>
        <v>0</v>
      </c>
      <c r="AP30" s="32">
        <f t="shared" si="78"/>
        <v>-1</v>
      </c>
      <c r="AQ30" s="31">
        <f>Recu3!AQ30</f>
        <v>0</v>
      </c>
      <c r="AR30" s="32">
        <f t="shared" si="79"/>
        <v>-1</v>
      </c>
      <c r="AS30" s="31">
        <f>Recu3!AS30</f>
        <v>0</v>
      </c>
      <c r="AT30" s="32">
        <f t="shared" si="80"/>
        <v>-1</v>
      </c>
      <c r="AU30" s="31">
        <f>Recu3!AU30</f>
        <v>0</v>
      </c>
      <c r="AV30" s="32">
        <f t="shared" si="81"/>
        <v>-1</v>
      </c>
      <c r="AW30" s="31">
        <f>Recu3!AW30</f>
        <v>0</v>
      </c>
      <c r="AX30" s="32">
        <f t="shared" si="82"/>
        <v>-1</v>
      </c>
      <c r="AY30" s="31">
        <f>Recu3!AY30</f>
        <v>0</v>
      </c>
      <c r="AZ30" s="32">
        <f t="shared" si="83"/>
        <v>-1</v>
      </c>
      <c r="BA30" s="31">
        <f>Recu3!BA30</f>
        <v>0</v>
      </c>
      <c r="BB30" s="32">
        <f t="shared" si="84"/>
        <v>-1</v>
      </c>
      <c r="BC30" s="31">
        <f>Recu3!BC30</f>
        <v>0</v>
      </c>
      <c r="BD30" s="32">
        <f t="shared" si="85"/>
        <v>-1</v>
      </c>
      <c r="BE30" s="31">
        <f>Recu3!BE30</f>
        <v>0</v>
      </c>
      <c r="BF30" s="32">
        <f t="shared" si="86"/>
        <v>-1</v>
      </c>
      <c r="BG30" s="31">
        <f>Recu3!BG30</f>
        <v>0</v>
      </c>
      <c r="BH30" s="32">
        <f t="shared" si="87"/>
        <v>-1</v>
      </c>
      <c r="BI30" s="31">
        <f>Recu3!BI30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Recu3!B31</f>
        <v>0</v>
      </c>
      <c r="C31" s="31">
        <f>Recu3!C31</f>
        <v>0</v>
      </c>
      <c r="D31" s="32">
        <f t="shared" si="59"/>
        <v>-1</v>
      </c>
      <c r="E31" s="31">
        <f>Recu3!E31</f>
        <v>0</v>
      </c>
      <c r="F31" s="32">
        <f t="shared" si="60"/>
        <v>-1</v>
      </c>
      <c r="G31" s="31">
        <f>Recu3!G31</f>
        <v>0</v>
      </c>
      <c r="H31" s="32">
        <f t="shared" si="61"/>
        <v>-1</v>
      </c>
      <c r="I31" s="31">
        <f>Recu3!I31</f>
        <v>0</v>
      </c>
      <c r="J31" s="32">
        <f t="shared" si="62"/>
        <v>-1</v>
      </c>
      <c r="K31" s="31">
        <f>Recu3!K31</f>
        <v>0</v>
      </c>
      <c r="L31" s="32">
        <f t="shared" si="63"/>
        <v>-1</v>
      </c>
      <c r="M31" s="31">
        <f>Recu3!M31</f>
        <v>0</v>
      </c>
      <c r="N31" s="32">
        <f t="shared" si="64"/>
        <v>-1</v>
      </c>
      <c r="O31" s="31">
        <f>Recu3!O31</f>
        <v>0</v>
      </c>
      <c r="P31" s="32">
        <f t="shared" si="65"/>
        <v>-1</v>
      </c>
      <c r="Q31" s="31">
        <f>Recu3!Q31</f>
        <v>0</v>
      </c>
      <c r="R31" s="32">
        <f t="shared" si="66"/>
        <v>-1</v>
      </c>
      <c r="S31" s="31">
        <f>Recu3!S31</f>
        <v>0</v>
      </c>
      <c r="T31" s="32">
        <f t="shared" si="67"/>
        <v>-1</v>
      </c>
      <c r="U31" s="31">
        <f>Recu3!U31</f>
        <v>0</v>
      </c>
      <c r="V31" s="32">
        <f t="shared" si="68"/>
        <v>-1</v>
      </c>
      <c r="W31" s="31">
        <f>Recu3!W31</f>
        <v>0</v>
      </c>
      <c r="X31" s="32">
        <f t="shared" si="69"/>
        <v>-1</v>
      </c>
      <c r="Y31" s="31">
        <f>Recu3!Y31</f>
        <v>0</v>
      </c>
      <c r="Z31" s="32">
        <f t="shared" si="70"/>
        <v>-1</v>
      </c>
      <c r="AA31" s="31">
        <f>Recu3!AA31</f>
        <v>0</v>
      </c>
      <c r="AB31" s="32">
        <f t="shared" si="71"/>
        <v>-1</v>
      </c>
      <c r="AC31" s="31">
        <f>Recu3!AC31</f>
        <v>0</v>
      </c>
      <c r="AD31" s="32">
        <f t="shared" si="72"/>
        <v>-1</v>
      </c>
      <c r="AE31" s="31">
        <f>Recu3!AE31</f>
        <v>0</v>
      </c>
      <c r="AF31" s="32">
        <f t="shared" si="73"/>
        <v>-1</v>
      </c>
      <c r="AG31" s="31">
        <f>Recu3!AG31</f>
        <v>0</v>
      </c>
      <c r="AH31" s="32">
        <f t="shared" si="74"/>
        <v>-1</v>
      </c>
      <c r="AI31" s="31">
        <f>Recu3!AI31</f>
        <v>0</v>
      </c>
      <c r="AJ31" s="32">
        <f t="shared" si="75"/>
        <v>-1</v>
      </c>
      <c r="AK31" s="31">
        <f>Recu3!AK31</f>
        <v>0</v>
      </c>
      <c r="AL31" s="32">
        <f t="shared" si="76"/>
        <v>-1</v>
      </c>
      <c r="AM31" s="31">
        <f>Recu3!AM31</f>
        <v>0</v>
      </c>
      <c r="AN31" s="32">
        <f t="shared" si="77"/>
        <v>-1</v>
      </c>
      <c r="AO31" s="31">
        <f>Recu3!AO31</f>
        <v>0</v>
      </c>
      <c r="AP31" s="32">
        <f t="shared" si="78"/>
        <v>-1</v>
      </c>
      <c r="AQ31" s="31">
        <f>Recu3!AQ31</f>
        <v>0</v>
      </c>
      <c r="AR31" s="32">
        <f t="shared" si="79"/>
        <v>-1</v>
      </c>
      <c r="AS31" s="31">
        <f>Recu3!AS31</f>
        <v>0</v>
      </c>
      <c r="AT31" s="32">
        <f t="shared" si="80"/>
        <v>-1</v>
      </c>
      <c r="AU31" s="31">
        <f>Recu3!AU31</f>
        <v>0</v>
      </c>
      <c r="AV31" s="32">
        <f t="shared" si="81"/>
        <v>-1</v>
      </c>
      <c r="AW31" s="31">
        <f>Recu3!AW31</f>
        <v>0</v>
      </c>
      <c r="AX31" s="32">
        <f t="shared" si="82"/>
        <v>-1</v>
      </c>
      <c r="AY31" s="31">
        <f>Recu3!AY31</f>
        <v>0</v>
      </c>
      <c r="AZ31" s="32">
        <f t="shared" si="83"/>
        <v>-1</v>
      </c>
      <c r="BA31" s="31">
        <f>Recu3!BA31</f>
        <v>0</v>
      </c>
      <c r="BB31" s="32">
        <f t="shared" si="84"/>
        <v>-1</v>
      </c>
      <c r="BC31" s="31">
        <f>Recu3!BC31</f>
        <v>0</v>
      </c>
      <c r="BD31" s="32">
        <f t="shared" si="85"/>
        <v>-1</v>
      </c>
      <c r="BE31" s="31">
        <f>Recu3!BE31</f>
        <v>0</v>
      </c>
      <c r="BF31" s="32">
        <f t="shared" si="86"/>
        <v>-1</v>
      </c>
      <c r="BG31" s="31">
        <f>Recu3!BG31</f>
        <v>0</v>
      </c>
      <c r="BH31" s="32">
        <f t="shared" si="87"/>
        <v>-1</v>
      </c>
      <c r="BI31" s="31">
        <f>Recu3!BI31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Recu3!B32</f>
        <v>0</v>
      </c>
      <c r="C32" s="31">
        <f>Recu3!C32</f>
        <v>0</v>
      </c>
      <c r="D32" s="32">
        <f t="shared" si="59"/>
        <v>-1</v>
      </c>
      <c r="E32" s="31">
        <f>Recu3!E32</f>
        <v>0</v>
      </c>
      <c r="F32" s="32">
        <f t="shared" si="60"/>
        <v>-1</v>
      </c>
      <c r="G32" s="31">
        <f>Recu3!G32</f>
        <v>0</v>
      </c>
      <c r="H32" s="32">
        <f t="shared" si="61"/>
        <v>-1</v>
      </c>
      <c r="I32" s="31">
        <f>Recu3!I32</f>
        <v>0</v>
      </c>
      <c r="J32" s="32">
        <f t="shared" si="62"/>
        <v>-1</v>
      </c>
      <c r="K32" s="31">
        <f>Recu3!K32</f>
        <v>0</v>
      </c>
      <c r="L32" s="32">
        <f t="shared" si="63"/>
        <v>-1</v>
      </c>
      <c r="M32" s="31">
        <f>Recu3!M32</f>
        <v>0</v>
      </c>
      <c r="N32" s="32">
        <f t="shared" si="64"/>
        <v>-1</v>
      </c>
      <c r="O32" s="31">
        <f>Recu3!O32</f>
        <v>0</v>
      </c>
      <c r="P32" s="32">
        <f t="shared" si="65"/>
        <v>-1</v>
      </c>
      <c r="Q32" s="31">
        <f>Recu3!Q32</f>
        <v>0</v>
      </c>
      <c r="R32" s="32">
        <f t="shared" si="66"/>
        <v>-1</v>
      </c>
      <c r="S32" s="31">
        <f>Recu3!S32</f>
        <v>0</v>
      </c>
      <c r="T32" s="32">
        <f t="shared" si="67"/>
        <v>-1</v>
      </c>
      <c r="U32" s="31">
        <f>Recu3!U32</f>
        <v>0</v>
      </c>
      <c r="V32" s="32">
        <f t="shared" si="68"/>
        <v>-1</v>
      </c>
      <c r="W32" s="31">
        <f>Recu3!W32</f>
        <v>0</v>
      </c>
      <c r="X32" s="32">
        <f t="shared" si="69"/>
        <v>-1</v>
      </c>
      <c r="Y32" s="31">
        <f>Recu3!Y32</f>
        <v>0</v>
      </c>
      <c r="Z32" s="32">
        <f t="shared" si="70"/>
        <v>-1</v>
      </c>
      <c r="AA32" s="31">
        <f>Recu3!AA32</f>
        <v>0</v>
      </c>
      <c r="AB32" s="32">
        <f t="shared" si="71"/>
        <v>-1</v>
      </c>
      <c r="AC32" s="31">
        <f>Recu3!AC32</f>
        <v>0</v>
      </c>
      <c r="AD32" s="32">
        <f t="shared" si="72"/>
        <v>-1</v>
      </c>
      <c r="AE32" s="31">
        <f>Recu3!AE32</f>
        <v>0</v>
      </c>
      <c r="AF32" s="32">
        <f t="shared" si="73"/>
        <v>-1</v>
      </c>
      <c r="AG32" s="31">
        <f>Recu3!AG32</f>
        <v>0</v>
      </c>
      <c r="AH32" s="32">
        <f t="shared" si="74"/>
        <v>-1</v>
      </c>
      <c r="AI32" s="31">
        <f>Recu3!AI32</f>
        <v>0</v>
      </c>
      <c r="AJ32" s="32">
        <f t="shared" si="75"/>
        <v>-1</v>
      </c>
      <c r="AK32" s="31">
        <f>Recu3!AK32</f>
        <v>0</v>
      </c>
      <c r="AL32" s="32">
        <f t="shared" si="76"/>
        <v>-1</v>
      </c>
      <c r="AM32" s="31">
        <f>Recu3!AM32</f>
        <v>0</v>
      </c>
      <c r="AN32" s="32">
        <f t="shared" si="77"/>
        <v>-1</v>
      </c>
      <c r="AO32" s="31">
        <f>Recu3!AO32</f>
        <v>0</v>
      </c>
      <c r="AP32" s="32">
        <f t="shared" si="78"/>
        <v>-1</v>
      </c>
      <c r="AQ32" s="31">
        <f>Recu3!AQ32</f>
        <v>0</v>
      </c>
      <c r="AR32" s="32">
        <f t="shared" si="79"/>
        <v>-1</v>
      </c>
      <c r="AS32" s="31">
        <f>Recu3!AS32</f>
        <v>0</v>
      </c>
      <c r="AT32" s="32">
        <f t="shared" si="80"/>
        <v>-1</v>
      </c>
      <c r="AU32" s="31">
        <f>Recu3!AU32</f>
        <v>0</v>
      </c>
      <c r="AV32" s="32">
        <f t="shared" si="81"/>
        <v>-1</v>
      </c>
      <c r="AW32" s="31">
        <f>Recu3!AW32</f>
        <v>0</v>
      </c>
      <c r="AX32" s="32">
        <f t="shared" si="82"/>
        <v>-1</v>
      </c>
      <c r="AY32" s="31">
        <f>Recu3!AY32</f>
        <v>0</v>
      </c>
      <c r="AZ32" s="32">
        <f t="shared" si="83"/>
        <v>-1</v>
      </c>
      <c r="BA32" s="31">
        <f>Recu3!BA32</f>
        <v>0</v>
      </c>
      <c r="BB32" s="32">
        <f t="shared" si="84"/>
        <v>-1</v>
      </c>
      <c r="BC32" s="31">
        <f>Recu3!BC32</f>
        <v>0</v>
      </c>
      <c r="BD32" s="32">
        <f t="shared" si="85"/>
        <v>-1</v>
      </c>
      <c r="BE32" s="31">
        <f>Recu3!BE32</f>
        <v>0</v>
      </c>
      <c r="BF32" s="32">
        <f t="shared" si="86"/>
        <v>-1</v>
      </c>
      <c r="BG32" s="31">
        <f>Recu3!BG32</f>
        <v>0</v>
      </c>
      <c r="BH32" s="32">
        <f t="shared" si="87"/>
        <v>-1</v>
      </c>
      <c r="BI32" s="31">
        <f>Recu3!BI32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Recu3!B33</f>
        <v>0</v>
      </c>
      <c r="C33" s="31">
        <f>Recu3!C33</f>
        <v>0</v>
      </c>
      <c r="D33" s="32">
        <f t="shared" si="59"/>
        <v>-1</v>
      </c>
      <c r="E33" s="31">
        <f>Recu3!E33</f>
        <v>0</v>
      </c>
      <c r="F33" s="32">
        <f t="shared" si="60"/>
        <v>-1</v>
      </c>
      <c r="G33" s="31">
        <f>Recu3!G33</f>
        <v>0</v>
      </c>
      <c r="H33" s="32">
        <f t="shared" si="61"/>
        <v>-1</v>
      </c>
      <c r="I33" s="31">
        <f>Recu3!I33</f>
        <v>0</v>
      </c>
      <c r="J33" s="32">
        <f t="shared" si="62"/>
        <v>-1</v>
      </c>
      <c r="K33" s="31">
        <f>Recu3!K33</f>
        <v>0</v>
      </c>
      <c r="L33" s="32">
        <f t="shared" si="63"/>
        <v>-1</v>
      </c>
      <c r="M33" s="31">
        <f>Recu3!M33</f>
        <v>0</v>
      </c>
      <c r="N33" s="32">
        <f t="shared" si="64"/>
        <v>-1</v>
      </c>
      <c r="O33" s="31">
        <f>Recu3!O33</f>
        <v>0</v>
      </c>
      <c r="P33" s="32">
        <f t="shared" si="65"/>
        <v>-1</v>
      </c>
      <c r="Q33" s="31">
        <f>Recu3!Q33</f>
        <v>0</v>
      </c>
      <c r="R33" s="32">
        <f t="shared" si="66"/>
        <v>-1</v>
      </c>
      <c r="S33" s="31">
        <f>Recu3!S33</f>
        <v>0</v>
      </c>
      <c r="T33" s="32">
        <f t="shared" si="67"/>
        <v>-1</v>
      </c>
      <c r="U33" s="31">
        <f>Recu3!U33</f>
        <v>0</v>
      </c>
      <c r="V33" s="32">
        <f t="shared" si="68"/>
        <v>-1</v>
      </c>
      <c r="W33" s="31">
        <f>Recu3!W33</f>
        <v>0</v>
      </c>
      <c r="X33" s="32">
        <f t="shared" si="69"/>
        <v>-1</v>
      </c>
      <c r="Y33" s="31">
        <f>Recu3!Y33</f>
        <v>0</v>
      </c>
      <c r="Z33" s="32">
        <f t="shared" si="70"/>
        <v>-1</v>
      </c>
      <c r="AA33" s="31">
        <f>Recu3!AA33</f>
        <v>0</v>
      </c>
      <c r="AB33" s="32">
        <f t="shared" si="71"/>
        <v>-1</v>
      </c>
      <c r="AC33" s="31">
        <f>Recu3!AC33</f>
        <v>0</v>
      </c>
      <c r="AD33" s="32">
        <f t="shared" si="72"/>
        <v>-1</v>
      </c>
      <c r="AE33" s="31">
        <f>Recu3!AE33</f>
        <v>0</v>
      </c>
      <c r="AF33" s="32">
        <f t="shared" si="73"/>
        <v>-1</v>
      </c>
      <c r="AG33" s="31">
        <f>Recu3!AG33</f>
        <v>0</v>
      </c>
      <c r="AH33" s="32">
        <f t="shared" si="74"/>
        <v>-1</v>
      </c>
      <c r="AI33" s="31">
        <f>Recu3!AI33</f>
        <v>0</v>
      </c>
      <c r="AJ33" s="32">
        <f t="shared" si="75"/>
        <v>-1</v>
      </c>
      <c r="AK33" s="31">
        <f>Recu3!AK33</f>
        <v>0</v>
      </c>
      <c r="AL33" s="32">
        <f t="shared" si="76"/>
        <v>-1</v>
      </c>
      <c r="AM33" s="31">
        <f>Recu3!AM33</f>
        <v>0</v>
      </c>
      <c r="AN33" s="32">
        <f t="shared" si="77"/>
        <v>-1</v>
      </c>
      <c r="AO33" s="31">
        <f>Recu3!AO33</f>
        <v>0</v>
      </c>
      <c r="AP33" s="32">
        <f t="shared" si="78"/>
        <v>-1</v>
      </c>
      <c r="AQ33" s="31">
        <f>Recu3!AQ33</f>
        <v>0</v>
      </c>
      <c r="AR33" s="32">
        <f t="shared" si="79"/>
        <v>-1</v>
      </c>
      <c r="AS33" s="31">
        <f>Recu3!AS33</f>
        <v>0</v>
      </c>
      <c r="AT33" s="32">
        <f t="shared" si="80"/>
        <v>-1</v>
      </c>
      <c r="AU33" s="31">
        <f>Recu3!AU33</f>
        <v>0</v>
      </c>
      <c r="AV33" s="32">
        <f t="shared" si="81"/>
        <v>-1</v>
      </c>
      <c r="AW33" s="31">
        <f>Recu3!AW33</f>
        <v>0</v>
      </c>
      <c r="AX33" s="32">
        <f t="shared" si="82"/>
        <v>-1</v>
      </c>
      <c r="AY33" s="31">
        <f>Recu3!AY33</f>
        <v>0</v>
      </c>
      <c r="AZ33" s="32">
        <f t="shared" si="83"/>
        <v>-1</v>
      </c>
      <c r="BA33" s="31">
        <f>Recu3!BA33</f>
        <v>0</v>
      </c>
      <c r="BB33" s="32">
        <f t="shared" si="84"/>
        <v>-1</v>
      </c>
      <c r="BC33" s="31">
        <f>Recu3!BC33</f>
        <v>0</v>
      </c>
      <c r="BD33" s="32">
        <f t="shared" si="85"/>
        <v>-1</v>
      </c>
      <c r="BE33" s="31">
        <f>Recu3!BE33</f>
        <v>0</v>
      </c>
      <c r="BF33" s="32">
        <f t="shared" si="86"/>
        <v>-1</v>
      </c>
      <c r="BG33" s="31">
        <f>Recu3!BG33</f>
        <v>0</v>
      </c>
      <c r="BH33" s="32">
        <f t="shared" si="87"/>
        <v>-1</v>
      </c>
      <c r="BI33" s="31">
        <f>Recu3!BI33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Recu3!B34</f>
        <v>0</v>
      </c>
      <c r="C34" s="31">
        <f>Recu3!C34</f>
        <v>0</v>
      </c>
      <c r="D34" s="32">
        <f t="shared" si="59"/>
        <v>-1</v>
      </c>
      <c r="E34" s="31">
        <f>Recu3!E34</f>
        <v>0</v>
      </c>
      <c r="F34" s="32">
        <f t="shared" si="60"/>
        <v>-1</v>
      </c>
      <c r="G34" s="31">
        <f>Recu3!G34</f>
        <v>0</v>
      </c>
      <c r="H34" s="32">
        <f t="shared" si="61"/>
        <v>-1</v>
      </c>
      <c r="I34" s="31">
        <f>Recu3!I34</f>
        <v>0</v>
      </c>
      <c r="J34" s="32">
        <f t="shared" si="62"/>
        <v>-1</v>
      </c>
      <c r="K34" s="31">
        <f>Recu3!K34</f>
        <v>0</v>
      </c>
      <c r="L34" s="32">
        <f t="shared" si="63"/>
        <v>-1</v>
      </c>
      <c r="M34" s="31">
        <f>Recu3!M34</f>
        <v>0</v>
      </c>
      <c r="N34" s="32">
        <f t="shared" si="64"/>
        <v>-1</v>
      </c>
      <c r="O34" s="31">
        <f>Recu3!O34</f>
        <v>0</v>
      </c>
      <c r="P34" s="32">
        <f t="shared" si="65"/>
        <v>-1</v>
      </c>
      <c r="Q34" s="31">
        <f>Recu3!Q34</f>
        <v>0</v>
      </c>
      <c r="R34" s="32">
        <f t="shared" si="66"/>
        <v>-1</v>
      </c>
      <c r="S34" s="31">
        <f>Recu3!S34</f>
        <v>0</v>
      </c>
      <c r="T34" s="32">
        <f t="shared" si="67"/>
        <v>-1</v>
      </c>
      <c r="U34" s="31">
        <f>Recu3!U34</f>
        <v>0</v>
      </c>
      <c r="V34" s="32">
        <f t="shared" si="68"/>
        <v>-1</v>
      </c>
      <c r="W34" s="31">
        <f>Recu3!W34</f>
        <v>0</v>
      </c>
      <c r="X34" s="32">
        <f t="shared" si="69"/>
        <v>-1</v>
      </c>
      <c r="Y34" s="31">
        <f>Recu3!Y34</f>
        <v>0</v>
      </c>
      <c r="Z34" s="32">
        <f t="shared" si="70"/>
        <v>-1</v>
      </c>
      <c r="AA34" s="31">
        <f>Recu3!AA34</f>
        <v>0</v>
      </c>
      <c r="AB34" s="32">
        <f t="shared" si="71"/>
        <v>-1</v>
      </c>
      <c r="AC34" s="31">
        <f>Recu3!AC34</f>
        <v>0</v>
      </c>
      <c r="AD34" s="32">
        <f t="shared" si="72"/>
        <v>-1</v>
      </c>
      <c r="AE34" s="31">
        <f>Recu3!AE34</f>
        <v>0</v>
      </c>
      <c r="AF34" s="32">
        <f t="shared" si="73"/>
        <v>-1</v>
      </c>
      <c r="AG34" s="31">
        <f>Recu3!AG34</f>
        <v>0</v>
      </c>
      <c r="AH34" s="32">
        <f t="shared" si="74"/>
        <v>-1</v>
      </c>
      <c r="AI34" s="31">
        <f>Recu3!AI34</f>
        <v>0</v>
      </c>
      <c r="AJ34" s="32">
        <f t="shared" si="75"/>
        <v>-1</v>
      </c>
      <c r="AK34" s="31">
        <f>Recu3!AK34</f>
        <v>0</v>
      </c>
      <c r="AL34" s="32">
        <f t="shared" si="76"/>
        <v>-1</v>
      </c>
      <c r="AM34" s="31">
        <f>Recu3!AM34</f>
        <v>0</v>
      </c>
      <c r="AN34" s="32">
        <f t="shared" si="77"/>
        <v>-1</v>
      </c>
      <c r="AO34" s="31">
        <f>Recu3!AO34</f>
        <v>0</v>
      </c>
      <c r="AP34" s="32">
        <f t="shared" si="78"/>
        <v>-1</v>
      </c>
      <c r="AQ34" s="31">
        <f>Recu3!AQ34</f>
        <v>0</v>
      </c>
      <c r="AR34" s="32">
        <f t="shared" si="79"/>
        <v>-1</v>
      </c>
      <c r="AS34" s="31">
        <f>Recu3!AS34</f>
        <v>0</v>
      </c>
      <c r="AT34" s="32">
        <f t="shared" si="80"/>
        <v>-1</v>
      </c>
      <c r="AU34" s="31">
        <f>Recu3!AU34</f>
        <v>0</v>
      </c>
      <c r="AV34" s="32">
        <f t="shared" si="81"/>
        <v>-1</v>
      </c>
      <c r="AW34" s="31">
        <f>Recu3!AW34</f>
        <v>0</v>
      </c>
      <c r="AX34" s="32">
        <f t="shared" si="82"/>
        <v>-1</v>
      </c>
      <c r="AY34" s="31">
        <f>Recu3!AY34</f>
        <v>0</v>
      </c>
      <c r="AZ34" s="32">
        <f t="shared" si="83"/>
        <v>-1</v>
      </c>
      <c r="BA34" s="31">
        <f>Recu3!BA34</f>
        <v>0</v>
      </c>
      <c r="BB34" s="32">
        <f t="shared" si="84"/>
        <v>-1</v>
      </c>
      <c r="BC34" s="31">
        <f>Recu3!BC34</f>
        <v>0</v>
      </c>
      <c r="BD34" s="32">
        <f t="shared" si="85"/>
        <v>-1</v>
      </c>
      <c r="BE34" s="31">
        <f>Recu3!BE34</f>
        <v>0</v>
      </c>
      <c r="BF34" s="32">
        <f t="shared" si="86"/>
        <v>-1</v>
      </c>
      <c r="BG34" s="31">
        <f>Recu3!BG34</f>
        <v>0</v>
      </c>
      <c r="BH34" s="32">
        <f t="shared" si="87"/>
        <v>-1</v>
      </c>
      <c r="BI34" s="31">
        <f>Recu3!BI34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Recu3!B35</f>
        <v>0</v>
      </c>
      <c r="C35" s="31">
        <f>Recu3!C35</f>
        <v>0</v>
      </c>
      <c r="D35" s="32">
        <f t="shared" si="59"/>
        <v>-1</v>
      </c>
      <c r="E35" s="31">
        <f>Recu3!E35</f>
        <v>0</v>
      </c>
      <c r="F35" s="32">
        <f t="shared" si="60"/>
        <v>-1</v>
      </c>
      <c r="G35" s="31">
        <f>Recu3!G35</f>
        <v>0</v>
      </c>
      <c r="H35" s="32">
        <f t="shared" si="61"/>
        <v>-1</v>
      </c>
      <c r="I35" s="31">
        <f>Recu3!I35</f>
        <v>0</v>
      </c>
      <c r="J35" s="32">
        <f t="shared" si="62"/>
        <v>-1</v>
      </c>
      <c r="K35" s="31">
        <f>Recu3!K35</f>
        <v>0</v>
      </c>
      <c r="L35" s="32">
        <f t="shared" si="63"/>
        <v>-1</v>
      </c>
      <c r="M35" s="31">
        <f>Recu3!M35</f>
        <v>0</v>
      </c>
      <c r="N35" s="32">
        <f t="shared" si="64"/>
        <v>-1</v>
      </c>
      <c r="O35" s="31">
        <f>Recu3!O35</f>
        <v>0</v>
      </c>
      <c r="P35" s="32">
        <f t="shared" si="65"/>
        <v>-1</v>
      </c>
      <c r="Q35" s="31">
        <f>Recu3!Q35</f>
        <v>0</v>
      </c>
      <c r="R35" s="32">
        <f t="shared" si="66"/>
        <v>-1</v>
      </c>
      <c r="S35" s="31">
        <f>Recu3!S35</f>
        <v>0</v>
      </c>
      <c r="T35" s="32">
        <f t="shared" si="67"/>
        <v>-1</v>
      </c>
      <c r="U35" s="31">
        <f>Recu3!U35</f>
        <v>0</v>
      </c>
      <c r="V35" s="32">
        <f t="shared" si="68"/>
        <v>-1</v>
      </c>
      <c r="W35" s="31">
        <f>Recu3!W35</f>
        <v>0</v>
      </c>
      <c r="X35" s="32">
        <f t="shared" si="69"/>
        <v>-1</v>
      </c>
      <c r="Y35" s="31">
        <f>Recu3!Y35</f>
        <v>0</v>
      </c>
      <c r="Z35" s="32">
        <f t="shared" si="70"/>
        <v>-1</v>
      </c>
      <c r="AA35" s="31">
        <f>Recu3!AA35</f>
        <v>0</v>
      </c>
      <c r="AB35" s="32">
        <f t="shared" si="71"/>
        <v>-1</v>
      </c>
      <c r="AC35" s="31">
        <f>Recu3!AC35</f>
        <v>0</v>
      </c>
      <c r="AD35" s="32">
        <f t="shared" si="72"/>
        <v>-1</v>
      </c>
      <c r="AE35" s="31">
        <f>Recu3!AE35</f>
        <v>0</v>
      </c>
      <c r="AF35" s="32">
        <f t="shared" si="73"/>
        <v>-1</v>
      </c>
      <c r="AG35" s="31">
        <f>Recu3!AG35</f>
        <v>0</v>
      </c>
      <c r="AH35" s="32">
        <f t="shared" si="74"/>
        <v>-1</v>
      </c>
      <c r="AI35" s="31">
        <f>Recu3!AI35</f>
        <v>0</v>
      </c>
      <c r="AJ35" s="32">
        <f t="shared" si="75"/>
        <v>-1</v>
      </c>
      <c r="AK35" s="31">
        <f>Recu3!AK35</f>
        <v>0</v>
      </c>
      <c r="AL35" s="32">
        <f t="shared" si="76"/>
        <v>-1</v>
      </c>
      <c r="AM35" s="31">
        <f>Recu3!AM35</f>
        <v>0</v>
      </c>
      <c r="AN35" s="32">
        <f t="shared" si="77"/>
        <v>-1</v>
      </c>
      <c r="AO35" s="31">
        <f>Recu3!AO35</f>
        <v>0</v>
      </c>
      <c r="AP35" s="32">
        <f t="shared" si="78"/>
        <v>-1</v>
      </c>
      <c r="AQ35" s="31">
        <f>Recu3!AQ35</f>
        <v>0</v>
      </c>
      <c r="AR35" s="32">
        <f t="shared" si="79"/>
        <v>-1</v>
      </c>
      <c r="AS35" s="31">
        <f>Recu3!AS35</f>
        <v>0</v>
      </c>
      <c r="AT35" s="32">
        <f t="shared" si="80"/>
        <v>-1</v>
      </c>
      <c r="AU35" s="31">
        <f>Recu3!AU35</f>
        <v>0</v>
      </c>
      <c r="AV35" s="32">
        <f t="shared" si="81"/>
        <v>-1</v>
      </c>
      <c r="AW35" s="31">
        <f>Recu3!AW35</f>
        <v>0</v>
      </c>
      <c r="AX35" s="32">
        <f t="shared" si="82"/>
        <v>-1</v>
      </c>
      <c r="AY35" s="31">
        <f>Recu3!AY35</f>
        <v>0</v>
      </c>
      <c r="AZ35" s="32">
        <f t="shared" si="83"/>
        <v>-1</v>
      </c>
      <c r="BA35" s="31">
        <f>Recu3!BA35</f>
        <v>0</v>
      </c>
      <c r="BB35" s="32">
        <f t="shared" si="84"/>
        <v>-1</v>
      </c>
      <c r="BC35" s="31">
        <f>Recu3!BC35</f>
        <v>0</v>
      </c>
      <c r="BD35" s="32">
        <f t="shared" si="85"/>
        <v>-1</v>
      </c>
      <c r="BE35" s="31">
        <f>Recu3!BE35</f>
        <v>0</v>
      </c>
      <c r="BF35" s="32">
        <f t="shared" si="86"/>
        <v>-1</v>
      </c>
      <c r="BG35" s="31">
        <f>Recu3!BG35</f>
        <v>0</v>
      </c>
      <c r="BH35" s="32">
        <f t="shared" si="87"/>
        <v>-1</v>
      </c>
      <c r="BI35" s="31">
        <f>Recu3!BI35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Recu3!B36</f>
        <v>0</v>
      </c>
      <c r="C36" s="31">
        <f>Recu3!C36</f>
        <v>0</v>
      </c>
      <c r="D36" s="32">
        <f t="shared" si="59"/>
        <v>-1</v>
      </c>
      <c r="E36" s="31">
        <f>Recu3!E36</f>
        <v>0</v>
      </c>
      <c r="F36" s="32">
        <f t="shared" si="60"/>
        <v>-1</v>
      </c>
      <c r="G36" s="31">
        <f>Recu3!G36</f>
        <v>0</v>
      </c>
      <c r="H36" s="32">
        <f t="shared" si="61"/>
        <v>-1</v>
      </c>
      <c r="I36" s="31">
        <f>Recu3!I36</f>
        <v>0</v>
      </c>
      <c r="J36" s="32">
        <f t="shared" si="62"/>
        <v>-1</v>
      </c>
      <c r="K36" s="31">
        <f>Recu3!K36</f>
        <v>0</v>
      </c>
      <c r="L36" s="32">
        <f t="shared" si="63"/>
        <v>-1</v>
      </c>
      <c r="M36" s="31">
        <f>Recu3!M36</f>
        <v>0</v>
      </c>
      <c r="N36" s="32">
        <f t="shared" si="64"/>
        <v>-1</v>
      </c>
      <c r="O36" s="31">
        <f>Recu3!O36</f>
        <v>0</v>
      </c>
      <c r="P36" s="32">
        <f t="shared" si="65"/>
        <v>-1</v>
      </c>
      <c r="Q36" s="31">
        <f>Recu3!Q36</f>
        <v>0</v>
      </c>
      <c r="R36" s="32">
        <f t="shared" si="66"/>
        <v>-1</v>
      </c>
      <c r="S36" s="31">
        <f>Recu3!S36</f>
        <v>0</v>
      </c>
      <c r="T36" s="32">
        <f t="shared" si="67"/>
        <v>-1</v>
      </c>
      <c r="U36" s="31">
        <f>Recu3!U36</f>
        <v>0</v>
      </c>
      <c r="V36" s="32">
        <f t="shared" si="68"/>
        <v>-1</v>
      </c>
      <c r="W36" s="31">
        <f>Recu3!W36</f>
        <v>0</v>
      </c>
      <c r="X36" s="32">
        <f t="shared" si="69"/>
        <v>-1</v>
      </c>
      <c r="Y36" s="31">
        <f>Recu3!Y36</f>
        <v>0</v>
      </c>
      <c r="Z36" s="32">
        <f t="shared" si="70"/>
        <v>-1</v>
      </c>
      <c r="AA36" s="31">
        <f>Recu3!AA36</f>
        <v>0</v>
      </c>
      <c r="AB36" s="32">
        <f t="shared" si="71"/>
        <v>-1</v>
      </c>
      <c r="AC36" s="31">
        <f>Recu3!AC36</f>
        <v>0</v>
      </c>
      <c r="AD36" s="32">
        <f t="shared" si="72"/>
        <v>-1</v>
      </c>
      <c r="AE36" s="31">
        <f>Recu3!AE36</f>
        <v>0</v>
      </c>
      <c r="AF36" s="32">
        <f t="shared" si="73"/>
        <v>-1</v>
      </c>
      <c r="AG36" s="31">
        <f>Recu3!AG36</f>
        <v>0</v>
      </c>
      <c r="AH36" s="32">
        <f t="shared" si="74"/>
        <v>-1</v>
      </c>
      <c r="AI36" s="31">
        <f>Recu3!AI36</f>
        <v>0</v>
      </c>
      <c r="AJ36" s="32">
        <f t="shared" si="75"/>
        <v>-1</v>
      </c>
      <c r="AK36" s="31">
        <f>Recu3!AK36</f>
        <v>0</v>
      </c>
      <c r="AL36" s="32">
        <f t="shared" si="76"/>
        <v>-1</v>
      </c>
      <c r="AM36" s="31">
        <f>Recu3!AM36</f>
        <v>0</v>
      </c>
      <c r="AN36" s="32">
        <f t="shared" si="77"/>
        <v>-1</v>
      </c>
      <c r="AO36" s="31">
        <f>Recu3!AO36</f>
        <v>0</v>
      </c>
      <c r="AP36" s="32">
        <f t="shared" si="78"/>
        <v>-1</v>
      </c>
      <c r="AQ36" s="31">
        <f>Recu3!AQ36</f>
        <v>0</v>
      </c>
      <c r="AR36" s="32">
        <f t="shared" si="79"/>
        <v>-1</v>
      </c>
      <c r="AS36" s="31">
        <f>Recu3!AS36</f>
        <v>0</v>
      </c>
      <c r="AT36" s="32">
        <f t="shared" si="80"/>
        <v>-1</v>
      </c>
      <c r="AU36" s="31">
        <f>Recu3!AU36</f>
        <v>0</v>
      </c>
      <c r="AV36" s="32">
        <f t="shared" si="81"/>
        <v>-1</v>
      </c>
      <c r="AW36" s="31">
        <f>Recu3!AW36</f>
        <v>0</v>
      </c>
      <c r="AX36" s="32">
        <f t="shared" si="82"/>
        <v>-1</v>
      </c>
      <c r="AY36" s="31">
        <f>Recu3!AY36</f>
        <v>0</v>
      </c>
      <c r="AZ36" s="32">
        <f t="shared" si="83"/>
        <v>-1</v>
      </c>
      <c r="BA36" s="31">
        <f>Recu3!BA36</f>
        <v>0</v>
      </c>
      <c r="BB36" s="32">
        <f t="shared" si="84"/>
        <v>-1</v>
      </c>
      <c r="BC36" s="31">
        <f>Recu3!BC36</f>
        <v>0</v>
      </c>
      <c r="BD36" s="32">
        <f t="shared" si="85"/>
        <v>-1</v>
      </c>
      <c r="BE36" s="31">
        <f>Recu3!BE36</f>
        <v>0</v>
      </c>
      <c r="BF36" s="32">
        <f t="shared" si="86"/>
        <v>-1</v>
      </c>
      <c r="BG36" s="31">
        <f>Recu3!BG36</f>
        <v>0</v>
      </c>
      <c r="BH36" s="32">
        <f t="shared" si="87"/>
        <v>-1</v>
      </c>
      <c r="BI36" s="31">
        <f>Recu3!BI36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Recu3!B37</f>
        <v>0</v>
      </c>
      <c r="C37" s="31">
        <f>Recu3!C37</f>
        <v>0</v>
      </c>
      <c r="D37" s="32">
        <f t="shared" si="59"/>
        <v>-1</v>
      </c>
      <c r="E37" s="31">
        <f>Recu3!E37</f>
        <v>0</v>
      </c>
      <c r="F37" s="32">
        <f t="shared" si="60"/>
        <v>-1</v>
      </c>
      <c r="G37" s="31">
        <f>Recu3!G37</f>
        <v>0</v>
      </c>
      <c r="H37" s="32">
        <f t="shared" si="61"/>
        <v>-1</v>
      </c>
      <c r="I37" s="31">
        <f>Recu3!I37</f>
        <v>0</v>
      </c>
      <c r="J37" s="32">
        <f t="shared" si="62"/>
        <v>-1</v>
      </c>
      <c r="K37" s="31">
        <f>Recu3!K37</f>
        <v>0</v>
      </c>
      <c r="L37" s="32">
        <f t="shared" si="63"/>
        <v>-1</v>
      </c>
      <c r="M37" s="31">
        <f>Recu3!M37</f>
        <v>0</v>
      </c>
      <c r="N37" s="32">
        <f t="shared" si="64"/>
        <v>-1</v>
      </c>
      <c r="O37" s="31">
        <f>Recu3!O37</f>
        <v>0</v>
      </c>
      <c r="P37" s="32">
        <f t="shared" si="65"/>
        <v>-1</v>
      </c>
      <c r="Q37" s="31">
        <f>Recu3!Q37</f>
        <v>0</v>
      </c>
      <c r="R37" s="32">
        <f t="shared" si="66"/>
        <v>-1</v>
      </c>
      <c r="S37" s="31">
        <f>Recu3!S37</f>
        <v>0</v>
      </c>
      <c r="T37" s="32">
        <f t="shared" si="67"/>
        <v>-1</v>
      </c>
      <c r="U37" s="31">
        <f>Recu3!U37</f>
        <v>0</v>
      </c>
      <c r="V37" s="32">
        <f t="shared" si="68"/>
        <v>-1</v>
      </c>
      <c r="W37" s="31">
        <f>Recu3!W37</f>
        <v>0</v>
      </c>
      <c r="X37" s="32">
        <f t="shared" si="69"/>
        <v>-1</v>
      </c>
      <c r="Y37" s="31">
        <f>Recu3!Y37</f>
        <v>0</v>
      </c>
      <c r="Z37" s="32">
        <f t="shared" si="70"/>
        <v>-1</v>
      </c>
      <c r="AA37" s="31">
        <f>Recu3!AA37</f>
        <v>0</v>
      </c>
      <c r="AB37" s="32">
        <f t="shared" si="71"/>
        <v>-1</v>
      </c>
      <c r="AC37" s="31">
        <f>Recu3!AC37</f>
        <v>0</v>
      </c>
      <c r="AD37" s="32">
        <f t="shared" si="72"/>
        <v>-1</v>
      </c>
      <c r="AE37" s="31">
        <f>Recu3!AE37</f>
        <v>0</v>
      </c>
      <c r="AF37" s="32">
        <f t="shared" si="73"/>
        <v>-1</v>
      </c>
      <c r="AG37" s="31">
        <f>Recu3!AG37</f>
        <v>0</v>
      </c>
      <c r="AH37" s="32">
        <f t="shared" si="74"/>
        <v>-1</v>
      </c>
      <c r="AI37" s="31">
        <f>Recu3!AI37</f>
        <v>0</v>
      </c>
      <c r="AJ37" s="32">
        <f t="shared" si="75"/>
        <v>-1</v>
      </c>
      <c r="AK37" s="31">
        <f>Recu3!AK37</f>
        <v>0</v>
      </c>
      <c r="AL37" s="32">
        <f t="shared" si="76"/>
        <v>-1</v>
      </c>
      <c r="AM37" s="31">
        <f>Recu3!AM37</f>
        <v>0</v>
      </c>
      <c r="AN37" s="32">
        <f t="shared" si="77"/>
        <v>-1</v>
      </c>
      <c r="AO37" s="31">
        <f>Recu3!AO37</f>
        <v>0</v>
      </c>
      <c r="AP37" s="32">
        <f t="shared" si="78"/>
        <v>-1</v>
      </c>
      <c r="AQ37" s="31">
        <f>Recu3!AQ37</f>
        <v>0</v>
      </c>
      <c r="AR37" s="32">
        <f t="shared" si="79"/>
        <v>-1</v>
      </c>
      <c r="AS37" s="31">
        <f>Recu3!AS37</f>
        <v>0</v>
      </c>
      <c r="AT37" s="32">
        <f t="shared" si="80"/>
        <v>-1</v>
      </c>
      <c r="AU37" s="31">
        <f>Recu3!AU37</f>
        <v>0</v>
      </c>
      <c r="AV37" s="32">
        <f t="shared" si="81"/>
        <v>-1</v>
      </c>
      <c r="AW37" s="31">
        <f>Recu3!AW37</f>
        <v>0</v>
      </c>
      <c r="AX37" s="32">
        <f t="shared" si="82"/>
        <v>-1</v>
      </c>
      <c r="AY37" s="31">
        <f>Recu3!AY37</f>
        <v>0</v>
      </c>
      <c r="AZ37" s="32">
        <f t="shared" si="83"/>
        <v>-1</v>
      </c>
      <c r="BA37" s="31">
        <f>Recu3!BA37</f>
        <v>0</v>
      </c>
      <c r="BB37" s="32">
        <f t="shared" si="84"/>
        <v>-1</v>
      </c>
      <c r="BC37" s="31">
        <f>Recu3!BC37</f>
        <v>0</v>
      </c>
      <c r="BD37" s="32">
        <f t="shared" si="85"/>
        <v>-1</v>
      </c>
      <c r="BE37" s="31">
        <f>Recu3!BE37</f>
        <v>0</v>
      </c>
      <c r="BF37" s="32">
        <f t="shared" si="86"/>
        <v>-1</v>
      </c>
      <c r="BG37" s="31">
        <f>Recu3!BG37</f>
        <v>0</v>
      </c>
      <c r="BH37" s="32">
        <f t="shared" si="87"/>
        <v>-1</v>
      </c>
      <c r="BI37" s="31">
        <f>Recu3!BI37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2" t="str">
        <f>IF(SUM($B39:$B58)&lt;&gt;0,SUM(C39:C58)/SUM($B39:$B58)*$B38*10, "")</f>
        <v/>
      </c>
      <c r="D38" s="52"/>
      <c r="E38" s="52" t="str">
        <f>IF(SUM($B39:$B58)&lt;&gt;0,SUM(E39:E58)/SUM($B39:$B58)*$B38*10, "")</f>
        <v/>
      </c>
      <c r="F38" s="52"/>
      <c r="G38" s="52" t="str">
        <f>IF(SUM($B39:$B58)&lt;&gt;0,SUM(G39:G58)/SUM($B39:$B58)*$B38*10, "")</f>
        <v/>
      </c>
      <c r="H38" s="52"/>
      <c r="I38" s="52" t="str">
        <f>IF(SUM($B39:$B58)&lt;&gt;0,SUM(I39:I58)/SUM($B39:$B58)*$B38*10, "")</f>
        <v/>
      </c>
      <c r="J38" s="52"/>
      <c r="K38" s="52" t="str">
        <f>IF(SUM($B39:$B58)&lt;&gt;0,SUM(K39:K58)/SUM($B39:$B58)*$B38*10, "")</f>
        <v/>
      </c>
      <c r="L38" s="52"/>
      <c r="M38" s="52" t="str">
        <f>IF(SUM($B39:$B58)&lt;&gt;0,SUM(M39:M58)/SUM($B39:$B58)*$B38*10, "")</f>
        <v/>
      </c>
      <c r="N38" s="52"/>
      <c r="O38" s="52" t="str">
        <f>IF(SUM($B39:$B58)&lt;&gt;0,SUM(O39:O58)/SUM($B39:$B58)*$B38*10, "")</f>
        <v/>
      </c>
      <c r="P38" s="52"/>
      <c r="Q38" s="52" t="str">
        <f>IF(SUM($B39:$B58)&lt;&gt;0,SUM(Q39:Q58)/SUM($B39:$B58)*$B38*10, "")</f>
        <v/>
      </c>
      <c r="R38" s="52"/>
      <c r="S38" s="52" t="str">
        <f>IF(SUM($B39:$B58)&lt;&gt;0,SUM(S39:S58)/SUM($B39:$B58)*$B38*10, "")</f>
        <v/>
      </c>
      <c r="T38" s="52"/>
      <c r="U38" s="52" t="str">
        <f>IF(SUM($B39:$B58)&lt;&gt;0,SUM(U39:U58)/SUM($B39:$B58)*$B38*10, "")</f>
        <v/>
      </c>
      <c r="V38" s="52"/>
      <c r="W38" s="52" t="str">
        <f>IF(SUM($B39:$B58)&lt;&gt;0,SUM(W39:W58)/SUM($B39:$B58)*$B38*10, "")</f>
        <v/>
      </c>
      <c r="X38" s="52"/>
      <c r="Y38" s="52" t="str">
        <f>IF(SUM($B39:$B58)&lt;&gt;0,SUM(Y39:Y58)/SUM($B39:$B58)*$B38*10, "")</f>
        <v/>
      </c>
      <c r="Z38" s="52"/>
      <c r="AA38" s="52" t="str">
        <f>IF(SUM($B39:$B58)&lt;&gt;0,SUM(AA39:AA58)/SUM($B39:$B58)*$B38*10, "")</f>
        <v/>
      </c>
      <c r="AB38" s="52"/>
      <c r="AC38" s="52" t="str">
        <f>IF(SUM($B39:$B58)&lt;&gt;0,SUM(AC39:AC58)/SUM($B39:$B58)*$B38*10, "")</f>
        <v/>
      </c>
      <c r="AD38" s="52"/>
      <c r="AE38" s="52" t="str">
        <f>IF(SUM($B39:$B58)&lt;&gt;0,SUM(AE39:AE58)/SUM($B39:$B58)*$B38*10, "")</f>
        <v/>
      </c>
      <c r="AF38" s="52"/>
      <c r="AG38" s="52" t="str">
        <f>IF(SUM($B39:$B58)&lt;&gt;0,SUM(AG39:AG58)/SUM($B39:$B58)*$B38*10, "")</f>
        <v/>
      </c>
      <c r="AH38" s="52"/>
      <c r="AI38" s="52" t="str">
        <f>IF(SUM($B39:$B58)&lt;&gt;0,SUM(AI39:AI58)/SUM($B39:$B58)*$B38*10, "")</f>
        <v/>
      </c>
      <c r="AJ38" s="52"/>
      <c r="AK38" s="52" t="str">
        <f>IF(SUM($B39:$B58)&lt;&gt;0,SUM(AK39:AK58)/SUM($B39:$B58)*$B38*10, "")</f>
        <v/>
      </c>
      <c r="AL38" s="52"/>
      <c r="AM38" s="52" t="str">
        <f>IF(SUM($B39:$B58)&lt;&gt;0,SUM(AM39:AM58)/SUM($B39:$B58)*$B38*10, "")</f>
        <v/>
      </c>
      <c r="AN38" s="52"/>
      <c r="AO38" s="52" t="str">
        <f>IF(SUM($B39:$B58)&lt;&gt;0,SUM(AO39:AO58)/SUM($B39:$B58)*$B38*10, "")</f>
        <v/>
      </c>
      <c r="AP38" s="52"/>
      <c r="AQ38" s="52" t="str">
        <f>IF(SUM($B39:$B58)&lt;&gt;0,SUM(AQ39:AQ58)/SUM($B39:$B58)*$B38*10, "")</f>
        <v/>
      </c>
      <c r="AR38" s="52"/>
      <c r="AS38" s="52" t="str">
        <f>IF(SUM($B39:$B58)&lt;&gt;0,SUM(AS39:AS58)/SUM($B39:$B58)*$B38*10, "")</f>
        <v/>
      </c>
      <c r="AT38" s="52"/>
      <c r="AU38" s="52" t="str">
        <f>IF(SUM($B39:$B58)&lt;&gt;0,SUM(AU39:AU58)/SUM($B39:$B58)*$B38*10, "")</f>
        <v/>
      </c>
      <c r="AV38" s="52"/>
      <c r="AW38" s="52" t="str">
        <f>IF(SUM($B39:$B58)&lt;&gt;0,SUM(AW39:AW58)/SUM($B39:$B58)*$B38*10, "")</f>
        <v/>
      </c>
      <c r="AX38" s="52"/>
      <c r="AY38" s="52" t="str">
        <f>IF(SUM($B39:$B58)&lt;&gt;0,SUM(AY39:AY58)/SUM($B39:$B58)*$B38*10, "")</f>
        <v/>
      </c>
      <c r="AZ38" s="52"/>
      <c r="BA38" s="52" t="str">
        <f>IF(SUM($B39:$B58)&lt;&gt;0,SUM(BA39:BA58)/SUM($B39:$B58)*$B38*10, "")</f>
        <v/>
      </c>
      <c r="BB38" s="52"/>
      <c r="BC38" s="52" t="str">
        <f>IF(SUM($B39:$B58)&lt;&gt;0,SUM(BC39:BC58)/SUM($B39:$B58)*$B38*10, "")</f>
        <v/>
      </c>
      <c r="BD38" s="52"/>
      <c r="BE38" s="52" t="str">
        <f>IF(SUM($B39:$B58)&lt;&gt;0,SUM(BE39:BE58)/SUM($B39:$B58)*$B38*10, "")</f>
        <v/>
      </c>
      <c r="BF38" s="52"/>
      <c r="BG38" s="52" t="str">
        <f>IF(SUM($B39:$B58)&lt;&gt;0,SUM(BG39:BG58)/SUM($B39:$B58)*$B38*10, "")</f>
        <v/>
      </c>
      <c r="BH38" s="52"/>
      <c r="BI38" s="52" t="str">
        <f>IF(SUM($B39:$B58)&lt;&gt;0,SUM(BI39:BI58)/SUM($B39:$B58)*$B38*10, "")</f>
        <v/>
      </c>
      <c r="BJ38" s="52"/>
    </row>
    <row r="39" spans="1:62" ht="28" x14ac:dyDescent="0.2">
      <c r="A39" s="2" t="s">
        <v>39</v>
      </c>
      <c r="B39" s="13">
        <f>Recu3!B39</f>
        <v>0</v>
      </c>
      <c r="C39" s="31">
        <f>Recu3!C39</f>
        <v>0</v>
      </c>
      <c r="D39" s="32">
        <f t="shared" ref="D39:D58" si="89">IF($B39,C39/$B39,-1)</f>
        <v>-1</v>
      </c>
      <c r="E39" s="31">
        <f>Recu3!E39</f>
        <v>0</v>
      </c>
      <c r="F39" s="32">
        <f t="shared" ref="F39:F58" si="90">IF($B39,E39/$B39,-1)</f>
        <v>-1</v>
      </c>
      <c r="G39" s="31">
        <f>Recu3!G39</f>
        <v>0</v>
      </c>
      <c r="H39" s="32">
        <f t="shared" ref="H39:H58" si="91">IF($B39,G39/$B39,-1)</f>
        <v>-1</v>
      </c>
      <c r="I39" s="31">
        <f>Recu3!I39</f>
        <v>0</v>
      </c>
      <c r="J39" s="32">
        <f t="shared" ref="J39:J58" si="92">IF($B39,I39/$B39,-1)</f>
        <v>-1</v>
      </c>
      <c r="K39" s="31">
        <f>Recu3!K39</f>
        <v>0</v>
      </c>
      <c r="L39" s="32">
        <f t="shared" ref="L39:L58" si="93">IF($B39,K39/$B39,-1)</f>
        <v>-1</v>
      </c>
      <c r="M39" s="31">
        <f>Recu3!M39</f>
        <v>0</v>
      </c>
      <c r="N39" s="32">
        <f t="shared" ref="N39:N58" si="94">IF($B39,M39/$B39,-1)</f>
        <v>-1</v>
      </c>
      <c r="O39" s="31">
        <f>Recu3!O39</f>
        <v>0</v>
      </c>
      <c r="P39" s="32">
        <f t="shared" ref="P39:P58" si="95">IF($B39,O39/$B39,-1)</f>
        <v>-1</v>
      </c>
      <c r="Q39" s="31">
        <f>Recu3!Q39</f>
        <v>0</v>
      </c>
      <c r="R39" s="32">
        <f t="shared" ref="R39:R58" si="96">IF($B39,Q39/$B39,-1)</f>
        <v>-1</v>
      </c>
      <c r="S39" s="31">
        <f>Recu3!S39</f>
        <v>0</v>
      </c>
      <c r="T39" s="32">
        <f t="shared" ref="T39:T58" si="97">IF($B39,S39/$B39,-1)</f>
        <v>-1</v>
      </c>
      <c r="U39" s="31">
        <f>Recu3!U39</f>
        <v>0</v>
      </c>
      <c r="V39" s="32">
        <f t="shared" ref="V39:V58" si="98">IF($B39,U39/$B39,-1)</f>
        <v>-1</v>
      </c>
      <c r="W39" s="31">
        <f>Recu3!W39</f>
        <v>0</v>
      </c>
      <c r="X39" s="32">
        <f t="shared" ref="X39:X58" si="99">IF($B39,W39/$B39,-1)</f>
        <v>-1</v>
      </c>
      <c r="Y39" s="31">
        <f>Recu3!Y39</f>
        <v>0</v>
      </c>
      <c r="Z39" s="32">
        <f t="shared" ref="Z39:Z58" si="100">IF($B39,Y39/$B39,-1)</f>
        <v>-1</v>
      </c>
      <c r="AA39" s="31">
        <f>Recu3!AA39</f>
        <v>0</v>
      </c>
      <c r="AB39" s="32">
        <f t="shared" ref="AB39:AB58" si="101">IF($B39,AA39/$B39,-1)</f>
        <v>-1</v>
      </c>
      <c r="AC39" s="31">
        <f>Recu3!AC39</f>
        <v>0</v>
      </c>
      <c r="AD39" s="32">
        <f t="shared" ref="AD39:AD58" si="102">IF($B39,AC39/$B39,-1)</f>
        <v>-1</v>
      </c>
      <c r="AE39" s="31">
        <f>Recu3!AE39</f>
        <v>0</v>
      </c>
      <c r="AF39" s="32">
        <f t="shared" ref="AF39:AF58" si="103">IF($B39,AE39/$B39,-1)</f>
        <v>-1</v>
      </c>
      <c r="AG39" s="31">
        <f>Recu3!AG39</f>
        <v>0</v>
      </c>
      <c r="AH39" s="32">
        <f t="shared" ref="AH39:AH58" si="104">IF($B39,AG39/$B39,-1)</f>
        <v>-1</v>
      </c>
      <c r="AI39" s="31">
        <f>Recu3!AI39</f>
        <v>0</v>
      </c>
      <c r="AJ39" s="32">
        <f t="shared" ref="AJ39:AJ58" si="105">IF($B39,AI39/$B39,-1)</f>
        <v>-1</v>
      </c>
      <c r="AK39" s="31">
        <f>Recu3!AK39</f>
        <v>0</v>
      </c>
      <c r="AL39" s="32">
        <f t="shared" ref="AL39:AL58" si="106">IF($B39,AK39/$B39,-1)</f>
        <v>-1</v>
      </c>
      <c r="AM39" s="31">
        <f>Recu3!AM39</f>
        <v>0</v>
      </c>
      <c r="AN39" s="32">
        <f t="shared" ref="AN39:AN58" si="107">IF($B39,AM39/$B39,-1)</f>
        <v>-1</v>
      </c>
      <c r="AO39" s="31">
        <f>Recu3!AO39</f>
        <v>0</v>
      </c>
      <c r="AP39" s="32">
        <f t="shared" ref="AP39:AP58" si="108">IF($B39,AO39/$B39,-1)</f>
        <v>-1</v>
      </c>
      <c r="AQ39" s="31">
        <f>Recu3!AQ39</f>
        <v>0</v>
      </c>
      <c r="AR39" s="32">
        <f t="shared" ref="AR39:AR58" si="109">IF($B39,AQ39/$B39,-1)</f>
        <v>-1</v>
      </c>
      <c r="AS39" s="31">
        <f>Recu3!AS39</f>
        <v>0</v>
      </c>
      <c r="AT39" s="32">
        <f t="shared" ref="AT39:AT58" si="110">IF($B39,AS39/$B39,-1)</f>
        <v>-1</v>
      </c>
      <c r="AU39" s="31">
        <f>Recu3!AU39</f>
        <v>0</v>
      </c>
      <c r="AV39" s="32">
        <f t="shared" ref="AV39:AV58" si="111">IF($B39,AU39/$B39,-1)</f>
        <v>-1</v>
      </c>
      <c r="AW39" s="31">
        <f>Recu3!AW39</f>
        <v>0</v>
      </c>
      <c r="AX39" s="32">
        <f t="shared" ref="AX39:AX58" si="112">IF($B39,AW39/$B39,-1)</f>
        <v>-1</v>
      </c>
      <c r="AY39" s="31">
        <f>Recu3!AY39</f>
        <v>0</v>
      </c>
      <c r="AZ39" s="32">
        <f t="shared" ref="AZ39:AZ58" si="113">IF($B39,AY39/$B39,-1)</f>
        <v>-1</v>
      </c>
      <c r="BA39" s="31">
        <f>Recu3!BA39</f>
        <v>0</v>
      </c>
      <c r="BB39" s="32">
        <f t="shared" ref="BB39:BB58" si="114">IF($B39,BA39/$B39,-1)</f>
        <v>-1</v>
      </c>
      <c r="BC39" s="31">
        <f>Recu3!BC39</f>
        <v>0</v>
      </c>
      <c r="BD39" s="32">
        <f t="shared" ref="BD39:BD58" si="115">IF($B39,BC39/$B39,-1)</f>
        <v>-1</v>
      </c>
      <c r="BE39" s="31">
        <f>Recu3!BE39</f>
        <v>0</v>
      </c>
      <c r="BF39" s="32">
        <f t="shared" ref="BF39:BF58" si="116">IF($B39,BE39/$B39,-1)</f>
        <v>-1</v>
      </c>
      <c r="BG39" s="31">
        <f>Recu3!BG39</f>
        <v>0</v>
      </c>
      <c r="BH39" s="32">
        <f t="shared" ref="BH39:BH58" si="117">IF($B39,BG39/$B39,-1)</f>
        <v>-1</v>
      </c>
      <c r="BI39" s="31">
        <f>Recu3!BI39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Recu3!B40</f>
        <v>0</v>
      </c>
      <c r="C40" s="31">
        <f>Recu3!C40</f>
        <v>0</v>
      </c>
      <c r="D40" s="32">
        <f t="shared" si="89"/>
        <v>-1</v>
      </c>
      <c r="E40" s="31">
        <f>Recu3!E40</f>
        <v>0</v>
      </c>
      <c r="F40" s="32">
        <f t="shared" si="90"/>
        <v>-1</v>
      </c>
      <c r="G40" s="31">
        <f>Recu3!G40</f>
        <v>0</v>
      </c>
      <c r="H40" s="32">
        <f t="shared" si="91"/>
        <v>-1</v>
      </c>
      <c r="I40" s="31">
        <f>Recu3!I40</f>
        <v>0</v>
      </c>
      <c r="J40" s="32">
        <f t="shared" si="92"/>
        <v>-1</v>
      </c>
      <c r="K40" s="31">
        <f>Recu3!K40</f>
        <v>0</v>
      </c>
      <c r="L40" s="32">
        <f t="shared" si="93"/>
        <v>-1</v>
      </c>
      <c r="M40" s="31">
        <f>Recu3!M40</f>
        <v>0</v>
      </c>
      <c r="N40" s="32">
        <f t="shared" si="94"/>
        <v>-1</v>
      </c>
      <c r="O40" s="31">
        <f>Recu3!O40</f>
        <v>0</v>
      </c>
      <c r="P40" s="32">
        <f t="shared" si="95"/>
        <v>-1</v>
      </c>
      <c r="Q40" s="31">
        <f>Recu3!Q40</f>
        <v>0</v>
      </c>
      <c r="R40" s="32">
        <f t="shared" si="96"/>
        <v>-1</v>
      </c>
      <c r="S40" s="31">
        <f>Recu3!S40</f>
        <v>0</v>
      </c>
      <c r="T40" s="32">
        <f t="shared" si="97"/>
        <v>-1</v>
      </c>
      <c r="U40" s="31">
        <f>Recu3!U40</f>
        <v>0</v>
      </c>
      <c r="V40" s="32">
        <f t="shared" si="98"/>
        <v>-1</v>
      </c>
      <c r="W40" s="31">
        <f>Recu3!W40</f>
        <v>0</v>
      </c>
      <c r="X40" s="32">
        <f t="shared" si="99"/>
        <v>-1</v>
      </c>
      <c r="Y40" s="31">
        <f>Recu3!Y40</f>
        <v>0</v>
      </c>
      <c r="Z40" s="32">
        <f t="shared" si="100"/>
        <v>-1</v>
      </c>
      <c r="AA40" s="31">
        <f>Recu3!AA40</f>
        <v>0</v>
      </c>
      <c r="AB40" s="32">
        <f t="shared" si="101"/>
        <v>-1</v>
      </c>
      <c r="AC40" s="31">
        <f>Recu3!AC40</f>
        <v>0</v>
      </c>
      <c r="AD40" s="32">
        <f t="shared" si="102"/>
        <v>-1</v>
      </c>
      <c r="AE40" s="31">
        <f>Recu3!AE40</f>
        <v>0</v>
      </c>
      <c r="AF40" s="32">
        <f t="shared" si="103"/>
        <v>-1</v>
      </c>
      <c r="AG40" s="31">
        <f>Recu3!AG40</f>
        <v>0</v>
      </c>
      <c r="AH40" s="32">
        <f t="shared" si="104"/>
        <v>-1</v>
      </c>
      <c r="AI40" s="31">
        <f>Recu3!AI40</f>
        <v>0</v>
      </c>
      <c r="AJ40" s="32">
        <f t="shared" si="105"/>
        <v>-1</v>
      </c>
      <c r="AK40" s="31">
        <f>Recu3!AK40</f>
        <v>0</v>
      </c>
      <c r="AL40" s="32">
        <f t="shared" si="106"/>
        <v>-1</v>
      </c>
      <c r="AM40" s="31">
        <f>Recu3!AM40</f>
        <v>0</v>
      </c>
      <c r="AN40" s="32">
        <f t="shared" si="107"/>
        <v>-1</v>
      </c>
      <c r="AO40" s="31">
        <f>Recu3!AO40</f>
        <v>0</v>
      </c>
      <c r="AP40" s="32">
        <f t="shared" si="108"/>
        <v>-1</v>
      </c>
      <c r="AQ40" s="31">
        <f>Recu3!AQ40</f>
        <v>0</v>
      </c>
      <c r="AR40" s="32">
        <f t="shared" si="109"/>
        <v>-1</v>
      </c>
      <c r="AS40" s="31">
        <f>Recu3!AS40</f>
        <v>0</v>
      </c>
      <c r="AT40" s="32">
        <f t="shared" si="110"/>
        <v>-1</v>
      </c>
      <c r="AU40" s="31">
        <f>Recu3!AU40</f>
        <v>0</v>
      </c>
      <c r="AV40" s="32">
        <f t="shared" si="111"/>
        <v>-1</v>
      </c>
      <c r="AW40" s="31">
        <f>Recu3!AW40</f>
        <v>0</v>
      </c>
      <c r="AX40" s="32">
        <f t="shared" si="112"/>
        <v>-1</v>
      </c>
      <c r="AY40" s="31">
        <f>Recu3!AY40</f>
        <v>0</v>
      </c>
      <c r="AZ40" s="32">
        <f t="shared" si="113"/>
        <v>-1</v>
      </c>
      <c r="BA40" s="31">
        <f>Recu3!BA40</f>
        <v>0</v>
      </c>
      <c r="BB40" s="32">
        <f t="shared" si="114"/>
        <v>-1</v>
      </c>
      <c r="BC40" s="31">
        <f>Recu3!BC40</f>
        <v>0</v>
      </c>
      <c r="BD40" s="32">
        <f t="shared" si="115"/>
        <v>-1</v>
      </c>
      <c r="BE40" s="31">
        <f>Recu3!BE40</f>
        <v>0</v>
      </c>
      <c r="BF40" s="32">
        <f t="shared" si="116"/>
        <v>-1</v>
      </c>
      <c r="BG40" s="31">
        <f>Recu3!BG40</f>
        <v>0</v>
      </c>
      <c r="BH40" s="32">
        <f t="shared" si="117"/>
        <v>-1</v>
      </c>
      <c r="BI40" s="31">
        <f>Recu3!BI40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Recu3!B41</f>
        <v>0</v>
      </c>
      <c r="C41" s="31">
        <f>Recu3!C41</f>
        <v>0</v>
      </c>
      <c r="D41" s="32">
        <f t="shared" si="89"/>
        <v>-1</v>
      </c>
      <c r="E41" s="31">
        <f>Recu3!E41</f>
        <v>0</v>
      </c>
      <c r="F41" s="32">
        <f t="shared" si="90"/>
        <v>-1</v>
      </c>
      <c r="G41" s="31">
        <f>Recu3!G41</f>
        <v>0</v>
      </c>
      <c r="H41" s="32">
        <f t="shared" si="91"/>
        <v>-1</v>
      </c>
      <c r="I41" s="31">
        <f>Recu3!I41</f>
        <v>0</v>
      </c>
      <c r="J41" s="32">
        <f t="shared" si="92"/>
        <v>-1</v>
      </c>
      <c r="K41" s="31">
        <f>Recu3!K41</f>
        <v>0</v>
      </c>
      <c r="L41" s="32">
        <f t="shared" si="93"/>
        <v>-1</v>
      </c>
      <c r="M41" s="31">
        <f>Recu3!M41</f>
        <v>0</v>
      </c>
      <c r="N41" s="32">
        <f t="shared" si="94"/>
        <v>-1</v>
      </c>
      <c r="O41" s="31">
        <f>Recu3!O41</f>
        <v>0</v>
      </c>
      <c r="P41" s="32">
        <f t="shared" si="95"/>
        <v>-1</v>
      </c>
      <c r="Q41" s="31">
        <f>Recu3!Q41</f>
        <v>0</v>
      </c>
      <c r="R41" s="32">
        <f t="shared" si="96"/>
        <v>-1</v>
      </c>
      <c r="S41" s="31">
        <f>Recu3!S41</f>
        <v>0</v>
      </c>
      <c r="T41" s="32">
        <f t="shared" si="97"/>
        <v>-1</v>
      </c>
      <c r="U41" s="31">
        <f>Recu3!U41</f>
        <v>0</v>
      </c>
      <c r="V41" s="32">
        <f t="shared" si="98"/>
        <v>-1</v>
      </c>
      <c r="W41" s="31">
        <f>Recu3!W41</f>
        <v>0</v>
      </c>
      <c r="X41" s="32">
        <f t="shared" si="99"/>
        <v>-1</v>
      </c>
      <c r="Y41" s="31">
        <f>Recu3!Y41</f>
        <v>0</v>
      </c>
      <c r="Z41" s="32">
        <f t="shared" si="100"/>
        <v>-1</v>
      </c>
      <c r="AA41" s="31">
        <f>Recu3!AA41</f>
        <v>0</v>
      </c>
      <c r="AB41" s="32">
        <f t="shared" si="101"/>
        <v>-1</v>
      </c>
      <c r="AC41" s="31">
        <f>Recu3!AC41</f>
        <v>0</v>
      </c>
      <c r="AD41" s="32">
        <f t="shared" si="102"/>
        <v>-1</v>
      </c>
      <c r="AE41" s="31">
        <f>Recu3!AE41</f>
        <v>0</v>
      </c>
      <c r="AF41" s="32">
        <f t="shared" si="103"/>
        <v>-1</v>
      </c>
      <c r="AG41" s="31">
        <f>Recu3!AG41</f>
        <v>0</v>
      </c>
      <c r="AH41" s="32">
        <f t="shared" si="104"/>
        <v>-1</v>
      </c>
      <c r="AI41" s="31">
        <f>Recu3!AI41</f>
        <v>0</v>
      </c>
      <c r="AJ41" s="32">
        <f t="shared" si="105"/>
        <v>-1</v>
      </c>
      <c r="AK41" s="31">
        <f>Recu3!AK41</f>
        <v>0</v>
      </c>
      <c r="AL41" s="32">
        <f t="shared" si="106"/>
        <v>-1</v>
      </c>
      <c r="AM41" s="31">
        <f>Recu3!AM41</f>
        <v>0</v>
      </c>
      <c r="AN41" s="32">
        <f t="shared" si="107"/>
        <v>-1</v>
      </c>
      <c r="AO41" s="31">
        <f>Recu3!AO41</f>
        <v>0</v>
      </c>
      <c r="AP41" s="32">
        <f t="shared" si="108"/>
        <v>-1</v>
      </c>
      <c r="AQ41" s="31">
        <f>Recu3!AQ41</f>
        <v>0</v>
      </c>
      <c r="AR41" s="32">
        <f t="shared" si="109"/>
        <v>-1</v>
      </c>
      <c r="AS41" s="31">
        <f>Recu3!AS41</f>
        <v>0</v>
      </c>
      <c r="AT41" s="32">
        <f t="shared" si="110"/>
        <v>-1</v>
      </c>
      <c r="AU41" s="31">
        <f>Recu3!AU41</f>
        <v>0</v>
      </c>
      <c r="AV41" s="32">
        <f t="shared" si="111"/>
        <v>-1</v>
      </c>
      <c r="AW41" s="31">
        <f>Recu3!AW41</f>
        <v>0</v>
      </c>
      <c r="AX41" s="32">
        <f t="shared" si="112"/>
        <v>-1</v>
      </c>
      <c r="AY41" s="31">
        <f>Recu3!AY41</f>
        <v>0</v>
      </c>
      <c r="AZ41" s="32">
        <f t="shared" si="113"/>
        <v>-1</v>
      </c>
      <c r="BA41" s="31">
        <f>Recu3!BA41</f>
        <v>0</v>
      </c>
      <c r="BB41" s="32">
        <f t="shared" si="114"/>
        <v>-1</v>
      </c>
      <c r="BC41" s="31">
        <f>Recu3!BC41</f>
        <v>0</v>
      </c>
      <c r="BD41" s="32">
        <f t="shared" si="115"/>
        <v>-1</v>
      </c>
      <c r="BE41" s="31">
        <f>Recu3!BE41</f>
        <v>0</v>
      </c>
      <c r="BF41" s="32">
        <f t="shared" si="116"/>
        <v>-1</v>
      </c>
      <c r="BG41" s="31">
        <f>Recu3!BG41</f>
        <v>0</v>
      </c>
      <c r="BH41" s="32">
        <f t="shared" si="117"/>
        <v>-1</v>
      </c>
      <c r="BI41" s="31">
        <f>Recu3!BI41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Recu3!B42</f>
        <v>0</v>
      </c>
      <c r="C42" s="31">
        <f>Recu3!C42</f>
        <v>0</v>
      </c>
      <c r="D42" s="32">
        <f t="shared" si="89"/>
        <v>-1</v>
      </c>
      <c r="E42" s="31">
        <f>Recu3!E42</f>
        <v>0</v>
      </c>
      <c r="F42" s="32">
        <f t="shared" si="90"/>
        <v>-1</v>
      </c>
      <c r="G42" s="31">
        <f>Recu3!G42</f>
        <v>0</v>
      </c>
      <c r="H42" s="32">
        <f t="shared" si="91"/>
        <v>-1</v>
      </c>
      <c r="I42" s="31">
        <f>Recu3!I42</f>
        <v>0</v>
      </c>
      <c r="J42" s="32">
        <f t="shared" si="92"/>
        <v>-1</v>
      </c>
      <c r="K42" s="31">
        <f>Recu3!K42</f>
        <v>0</v>
      </c>
      <c r="L42" s="32">
        <f t="shared" si="93"/>
        <v>-1</v>
      </c>
      <c r="M42" s="31">
        <f>Recu3!M42</f>
        <v>0</v>
      </c>
      <c r="N42" s="32">
        <f t="shared" si="94"/>
        <v>-1</v>
      </c>
      <c r="O42" s="31">
        <f>Recu3!O42</f>
        <v>0</v>
      </c>
      <c r="P42" s="32">
        <f t="shared" si="95"/>
        <v>-1</v>
      </c>
      <c r="Q42" s="31">
        <f>Recu3!Q42</f>
        <v>0</v>
      </c>
      <c r="R42" s="32">
        <f t="shared" si="96"/>
        <v>-1</v>
      </c>
      <c r="S42" s="31">
        <f>Recu3!S42</f>
        <v>0</v>
      </c>
      <c r="T42" s="32">
        <f t="shared" si="97"/>
        <v>-1</v>
      </c>
      <c r="U42" s="31">
        <f>Recu3!U42</f>
        <v>0</v>
      </c>
      <c r="V42" s="32">
        <f t="shared" si="98"/>
        <v>-1</v>
      </c>
      <c r="W42" s="31">
        <f>Recu3!W42</f>
        <v>0</v>
      </c>
      <c r="X42" s="32">
        <f t="shared" si="99"/>
        <v>-1</v>
      </c>
      <c r="Y42" s="31">
        <f>Recu3!Y42</f>
        <v>0</v>
      </c>
      <c r="Z42" s="32">
        <f t="shared" si="100"/>
        <v>-1</v>
      </c>
      <c r="AA42" s="31">
        <f>Recu3!AA42</f>
        <v>0</v>
      </c>
      <c r="AB42" s="32">
        <f t="shared" si="101"/>
        <v>-1</v>
      </c>
      <c r="AC42" s="31">
        <f>Recu3!AC42</f>
        <v>0</v>
      </c>
      <c r="AD42" s="32">
        <f t="shared" si="102"/>
        <v>-1</v>
      </c>
      <c r="AE42" s="31">
        <f>Recu3!AE42</f>
        <v>0</v>
      </c>
      <c r="AF42" s="32">
        <f t="shared" si="103"/>
        <v>-1</v>
      </c>
      <c r="AG42" s="31">
        <f>Recu3!AG42</f>
        <v>0</v>
      </c>
      <c r="AH42" s="32">
        <f t="shared" si="104"/>
        <v>-1</v>
      </c>
      <c r="AI42" s="31">
        <f>Recu3!AI42</f>
        <v>0</v>
      </c>
      <c r="AJ42" s="32">
        <f t="shared" si="105"/>
        <v>-1</v>
      </c>
      <c r="AK42" s="31">
        <f>Recu3!AK42</f>
        <v>0</v>
      </c>
      <c r="AL42" s="32">
        <f t="shared" si="106"/>
        <v>-1</v>
      </c>
      <c r="AM42" s="31">
        <f>Recu3!AM42</f>
        <v>0</v>
      </c>
      <c r="AN42" s="32">
        <f t="shared" si="107"/>
        <v>-1</v>
      </c>
      <c r="AO42" s="31">
        <f>Recu3!AO42</f>
        <v>0</v>
      </c>
      <c r="AP42" s="32">
        <f t="shared" si="108"/>
        <v>-1</v>
      </c>
      <c r="AQ42" s="31">
        <f>Recu3!AQ42</f>
        <v>0</v>
      </c>
      <c r="AR42" s="32">
        <f t="shared" si="109"/>
        <v>-1</v>
      </c>
      <c r="AS42" s="31">
        <f>Recu3!AS42</f>
        <v>0</v>
      </c>
      <c r="AT42" s="32">
        <f t="shared" si="110"/>
        <v>-1</v>
      </c>
      <c r="AU42" s="31">
        <f>Recu3!AU42</f>
        <v>0</v>
      </c>
      <c r="AV42" s="32">
        <f t="shared" si="111"/>
        <v>-1</v>
      </c>
      <c r="AW42" s="31">
        <f>Recu3!AW42</f>
        <v>0</v>
      </c>
      <c r="AX42" s="32">
        <f t="shared" si="112"/>
        <v>-1</v>
      </c>
      <c r="AY42" s="31">
        <f>Recu3!AY42</f>
        <v>0</v>
      </c>
      <c r="AZ42" s="32">
        <f t="shared" si="113"/>
        <v>-1</v>
      </c>
      <c r="BA42" s="31">
        <f>Recu3!BA42</f>
        <v>0</v>
      </c>
      <c r="BB42" s="32">
        <f t="shared" si="114"/>
        <v>-1</v>
      </c>
      <c r="BC42" s="31">
        <f>Recu3!BC42</f>
        <v>0</v>
      </c>
      <c r="BD42" s="32">
        <f t="shared" si="115"/>
        <v>-1</v>
      </c>
      <c r="BE42" s="31">
        <f>Recu3!BE42</f>
        <v>0</v>
      </c>
      <c r="BF42" s="32">
        <f t="shared" si="116"/>
        <v>-1</v>
      </c>
      <c r="BG42" s="31">
        <f>Recu3!BG42</f>
        <v>0</v>
      </c>
      <c r="BH42" s="32">
        <f t="shared" si="117"/>
        <v>-1</v>
      </c>
      <c r="BI42" s="31">
        <f>Recu3!BI42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Recu3!B43</f>
        <v>0</v>
      </c>
      <c r="C43" s="31">
        <f>Recu3!C43</f>
        <v>0</v>
      </c>
      <c r="D43" s="32">
        <f t="shared" si="89"/>
        <v>-1</v>
      </c>
      <c r="E43" s="31">
        <f>Recu3!E43</f>
        <v>0</v>
      </c>
      <c r="F43" s="32">
        <f t="shared" si="90"/>
        <v>-1</v>
      </c>
      <c r="G43" s="31">
        <f>Recu3!G43</f>
        <v>0</v>
      </c>
      <c r="H43" s="32">
        <f t="shared" si="91"/>
        <v>-1</v>
      </c>
      <c r="I43" s="31">
        <f>Recu3!I43</f>
        <v>0</v>
      </c>
      <c r="J43" s="32">
        <f t="shared" si="92"/>
        <v>-1</v>
      </c>
      <c r="K43" s="31">
        <f>Recu3!K43</f>
        <v>0</v>
      </c>
      <c r="L43" s="32">
        <f t="shared" si="93"/>
        <v>-1</v>
      </c>
      <c r="M43" s="31">
        <f>Recu3!M43</f>
        <v>0</v>
      </c>
      <c r="N43" s="32">
        <f t="shared" si="94"/>
        <v>-1</v>
      </c>
      <c r="O43" s="31">
        <f>Recu3!O43</f>
        <v>0</v>
      </c>
      <c r="P43" s="32">
        <f t="shared" si="95"/>
        <v>-1</v>
      </c>
      <c r="Q43" s="31">
        <f>Recu3!Q43</f>
        <v>0</v>
      </c>
      <c r="R43" s="32">
        <f t="shared" si="96"/>
        <v>-1</v>
      </c>
      <c r="S43" s="31">
        <f>Recu3!S43</f>
        <v>0</v>
      </c>
      <c r="T43" s="32">
        <f t="shared" si="97"/>
        <v>-1</v>
      </c>
      <c r="U43" s="31">
        <f>Recu3!U43</f>
        <v>0</v>
      </c>
      <c r="V43" s="32">
        <f t="shared" si="98"/>
        <v>-1</v>
      </c>
      <c r="W43" s="31">
        <f>Recu3!W43</f>
        <v>0</v>
      </c>
      <c r="X43" s="32">
        <f t="shared" si="99"/>
        <v>-1</v>
      </c>
      <c r="Y43" s="31">
        <f>Recu3!Y43</f>
        <v>0</v>
      </c>
      <c r="Z43" s="32">
        <f t="shared" si="100"/>
        <v>-1</v>
      </c>
      <c r="AA43" s="31">
        <f>Recu3!AA43</f>
        <v>0</v>
      </c>
      <c r="AB43" s="32">
        <f t="shared" si="101"/>
        <v>-1</v>
      </c>
      <c r="AC43" s="31">
        <f>Recu3!AC43</f>
        <v>0</v>
      </c>
      <c r="AD43" s="32">
        <f t="shared" si="102"/>
        <v>-1</v>
      </c>
      <c r="AE43" s="31">
        <f>Recu3!AE43</f>
        <v>0</v>
      </c>
      <c r="AF43" s="32">
        <f t="shared" si="103"/>
        <v>-1</v>
      </c>
      <c r="AG43" s="31">
        <f>Recu3!AG43</f>
        <v>0</v>
      </c>
      <c r="AH43" s="32">
        <f t="shared" si="104"/>
        <v>-1</v>
      </c>
      <c r="AI43" s="31">
        <f>Recu3!AI43</f>
        <v>0</v>
      </c>
      <c r="AJ43" s="32">
        <f t="shared" si="105"/>
        <v>-1</v>
      </c>
      <c r="AK43" s="31">
        <f>Recu3!AK43</f>
        <v>0</v>
      </c>
      <c r="AL43" s="32">
        <f t="shared" si="106"/>
        <v>-1</v>
      </c>
      <c r="AM43" s="31">
        <f>Recu3!AM43</f>
        <v>0</v>
      </c>
      <c r="AN43" s="32">
        <f t="shared" si="107"/>
        <v>-1</v>
      </c>
      <c r="AO43" s="31">
        <f>Recu3!AO43</f>
        <v>0</v>
      </c>
      <c r="AP43" s="32">
        <f t="shared" si="108"/>
        <v>-1</v>
      </c>
      <c r="AQ43" s="31">
        <f>Recu3!AQ43</f>
        <v>0</v>
      </c>
      <c r="AR43" s="32">
        <f t="shared" si="109"/>
        <v>-1</v>
      </c>
      <c r="AS43" s="31">
        <f>Recu3!AS43</f>
        <v>0</v>
      </c>
      <c r="AT43" s="32">
        <f t="shared" si="110"/>
        <v>-1</v>
      </c>
      <c r="AU43" s="31">
        <f>Recu3!AU43</f>
        <v>0</v>
      </c>
      <c r="AV43" s="32">
        <f t="shared" si="111"/>
        <v>-1</v>
      </c>
      <c r="AW43" s="31">
        <f>Recu3!AW43</f>
        <v>0</v>
      </c>
      <c r="AX43" s="32">
        <f t="shared" si="112"/>
        <v>-1</v>
      </c>
      <c r="AY43" s="31">
        <f>Recu3!AY43</f>
        <v>0</v>
      </c>
      <c r="AZ43" s="32">
        <f t="shared" si="113"/>
        <v>-1</v>
      </c>
      <c r="BA43" s="31">
        <f>Recu3!BA43</f>
        <v>0</v>
      </c>
      <c r="BB43" s="32">
        <f t="shared" si="114"/>
        <v>-1</v>
      </c>
      <c r="BC43" s="31">
        <f>Recu3!BC43</f>
        <v>0</v>
      </c>
      <c r="BD43" s="32">
        <f t="shared" si="115"/>
        <v>-1</v>
      </c>
      <c r="BE43" s="31">
        <f>Recu3!BE43</f>
        <v>0</v>
      </c>
      <c r="BF43" s="32">
        <f t="shared" si="116"/>
        <v>-1</v>
      </c>
      <c r="BG43" s="31">
        <f>Recu3!BG43</f>
        <v>0</v>
      </c>
      <c r="BH43" s="32">
        <f t="shared" si="117"/>
        <v>-1</v>
      </c>
      <c r="BI43" s="31">
        <f>Recu3!BI43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Recu3!B44</f>
        <v>0</v>
      </c>
      <c r="C44" s="31">
        <f>Recu3!C44</f>
        <v>0</v>
      </c>
      <c r="D44" s="32">
        <f t="shared" si="89"/>
        <v>-1</v>
      </c>
      <c r="E44" s="31">
        <f>Recu3!E44</f>
        <v>0</v>
      </c>
      <c r="F44" s="32">
        <f t="shared" si="90"/>
        <v>-1</v>
      </c>
      <c r="G44" s="31">
        <f>Recu3!G44</f>
        <v>0</v>
      </c>
      <c r="H44" s="32">
        <f t="shared" si="91"/>
        <v>-1</v>
      </c>
      <c r="I44" s="31">
        <f>Recu3!I44</f>
        <v>0</v>
      </c>
      <c r="J44" s="32">
        <f t="shared" si="92"/>
        <v>-1</v>
      </c>
      <c r="K44" s="31">
        <f>Recu3!K44</f>
        <v>0</v>
      </c>
      <c r="L44" s="32">
        <f t="shared" si="93"/>
        <v>-1</v>
      </c>
      <c r="M44" s="31">
        <f>Recu3!M44</f>
        <v>0</v>
      </c>
      <c r="N44" s="32">
        <f t="shared" si="94"/>
        <v>-1</v>
      </c>
      <c r="O44" s="31">
        <f>Recu3!O44</f>
        <v>0</v>
      </c>
      <c r="P44" s="32">
        <f t="shared" si="95"/>
        <v>-1</v>
      </c>
      <c r="Q44" s="31">
        <f>Recu3!Q44</f>
        <v>0</v>
      </c>
      <c r="R44" s="32">
        <f t="shared" si="96"/>
        <v>-1</v>
      </c>
      <c r="S44" s="31">
        <f>Recu3!S44</f>
        <v>0</v>
      </c>
      <c r="T44" s="32">
        <f t="shared" si="97"/>
        <v>-1</v>
      </c>
      <c r="U44" s="31">
        <f>Recu3!U44</f>
        <v>0</v>
      </c>
      <c r="V44" s="32">
        <f t="shared" si="98"/>
        <v>-1</v>
      </c>
      <c r="W44" s="31">
        <f>Recu3!W44</f>
        <v>0</v>
      </c>
      <c r="X44" s="32">
        <f t="shared" si="99"/>
        <v>-1</v>
      </c>
      <c r="Y44" s="31">
        <f>Recu3!Y44</f>
        <v>0</v>
      </c>
      <c r="Z44" s="32">
        <f t="shared" si="100"/>
        <v>-1</v>
      </c>
      <c r="AA44" s="31">
        <f>Recu3!AA44</f>
        <v>0</v>
      </c>
      <c r="AB44" s="32">
        <f t="shared" si="101"/>
        <v>-1</v>
      </c>
      <c r="AC44" s="31">
        <f>Recu3!AC44</f>
        <v>0</v>
      </c>
      <c r="AD44" s="32">
        <f t="shared" si="102"/>
        <v>-1</v>
      </c>
      <c r="AE44" s="31">
        <f>Recu3!AE44</f>
        <v>0</v>
      </c>
      <c r="AF44" s="32">
        <f t="shared" si="103"/>
        <v>-1</v>
      </c>
      <c r="AG44" s="31">
        <f>Recu3!AG44</f>
        <v>0</v>
      </c>
      <c r="AH44" s="32">
        <f t="shared" si="104"/>
        <v>-1</v>
      </c>
      <c r="AI44" s="31">
        <f>Recu3!AI44</f>
        <v>0</v>
      </c>
      <c r="AJ44" s="32">
        <f t="shared" si="105"/>
        <v>-1</v>
      </c>
      <c r="AK44" s="31">
        <f>Recu3!AK44</f>
        <v>0</v>
      </c>
      <c r="AL44" s="32">
        <f t="shared" si="106"/>
        <v>-1</v>
      </c>
      <c r="AM44" s="31">
        <f>Recu3!AM44</f>
        <v>0</v>
      </c>
      <c r="AN44" s="32">
        <f t="shared" si="107"/>
        <v>-1</v>
      </c>
      <c r="AO44" s="31">
        <f>Recu3!AO44</f>
        <v>0</v>
      </c>
      <c r="AP44" s="32">
        <f t="shared" si="108"/>
        <v>-1</v>
      </c>
      <c r="AQ44" s="31">
        <f>Recu3!AQ44</f>
        <v>0</v>
      </c>
      <c r="AR44" s="32">
        <f t="shared" si="109"/>
        <v>-1</v>
      </c>
      <c r="AS44" s="31">
        <f>Recu3!AS44</f>
        <v>0</v>
      </c>
      <c r="AT44" s="32">
        <f t="shared" si="110"/>
        <v>-1</v>
      </c>
      <c r="AU44" s="31">
        <f>Recu3!AU44</f>
        <v>0</v>
      </c>
      <c r="AV44" s="32">
        <f t="shared" si="111"/>
        <v>-1</v>
      </c>
      <c r="AW44" s="31">
        <f>Recu3!AW44</f>
        <v>0</v>
      </c>
      <c r="AX44" s="32">
        <f t="shared" si="112"/>
        <v>-1</v>
      </c>
      <c r="AY44" s="31">
        <f>Recu3!AY44</f>
        <v>0</v>
      </c>
      <c r="AZ44" s="32">
        <f t="shared" si="113"/>
        <v>-1</v>
      </c>
      <c r="BA44" s="31">
        <f>Recu3!BA44</f>
        <v>0</v>
      </c>
      <c r="BB44" s="32">
        <f t="shared" si="114"/>
        <v>-1</v>
      </c>
      <c r="BC44" s="31">
        <f>Recu3!BC44</f>
        <v>0</v>
      </c>
      <c r="BD44" s="32">
        <f t="shared" si="115"/>
        <v>-1</v>
      </c>
      <c r="BE44" s="31">
        <f>Recu3!BE44</f>
        <v>0</v>
      </c>
      <c r="BF44" s="32">
        <f t="shared" si="116"/>
        <v>-1</v>
      </c>
      <c r="BG44" s="31">
        <f>Recu3!BG44</f>
        <v>0</v>
      </c>
      <c r="BH44" s="32">
        <f t="shared" si="117"/>
        <v>-1</v>
      </c>
      <c r="BI44" s="31">
        <f>Recu3!BI44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Recu3!B45</f>
        <v>0</v>
      </c>
      <c r="C45" s="31">
        <f>Recu3!C45</f>
        <v>0</v>
      </c>
      <c r="D45" s="32">
        <f t="shared" si="89"/>
        <v>-1</v>
      </c>
      <c r="E45" s="31">
        <f>Recu3!E45</f>
        <v>0</v>
      </c>
      <c r="F45" s="32">
        <f t="shared" si="90"/>
        <v>-1</v>
      </c>
      <c r="G45" s="31">
        <f>Recu3!G45</f>
        <v>0</v>
      </c>
      <c r="H45" s="32">
        <f t="shared" si="91"/>
        <v>-1</v>
      </c>
      <c r="I45" s="31">
        <f>Recu3!I45</f>
        <v>0</v>
      </c>
      <c r="J45" s="32">
        <f t="shared" si="92"/>
        <v>-1</v>
      </c>
      <c r="K45" s="31">
        <f>Recu3!K45</f>
        <v>0</v>
      </c>
      <c r="L45" s="32">
        <f t="shared" si="93"/>
        <v>-1</v>
      </c>
      <c r="M45" s="31">
        <f>Recu3!M45</f>
        <v>0</v>
      </c>
      <c r="N45" s="32">
        <f t="shared" si="94"/>
        <v>-1</v>
      </c>
      <c r="O45" s="31">
        <f>Recu3!O45</f>
        <v>0</v>
      </c>
      <c r="P45" s="32">
        <f t="shared" si="95"/>
        <v>-1</v>
      </c>
      <c r="Q45" s="31">
        <f>Recu3!Q45</f>
        <v>0</v>
      </c>
      <c r="R45" s="32">
        <f t="shared" si="96"/>
        <v>-1</v>
      </c>
      <c r="S45" s="31">
        <f>Recu3!S45</f>
        <v>0</v>
      </c>
      <c r="T45" s="32">
        <f t="shared" si="97"/>
        <v>-1</v>
      </c>
      <c r="U45" s="31">
        <f>Recu3!U45</f>
        <v>0</v>
      </c>
      <c r="V45" s="32">
        <f t="shared" si="98"/>
        <v>-1</v>
      </c>
      <c r="W45" s="31">
        <f>Recu3!W45</f>
        <v>0</v>
      </c>
      <c r="X45" s="32">
        <f t="shared" si="99"/>
        <v>-1</v>
      </c>
      <c r="Y45" s="31">
        <f>Recu3!Y45</f>
        <v>0</v>
      </c>
      <c r="Z45" s="32">
        <f t="shared" si="100"/>
        <v>-1</v>
      </c>
      <c r="AA45" s="31">
        <f>Recu3!AA45</f>
        <v>0</v>
      </c>
      <c r="AB45" s="32">
        <f t="shared" si="101"/>
        <v>-1</v>
      </c>
      <c r="AC45" s="31">
        <f>Recu3!AC45</f>
        <v>0</v>
      </c>
      <c r="AD45" s="32">
        <f t="shared" si="102"/>
        <v>-1</v>
      </c>
      <c r="AE45" s="31">
        <f>Recu3!AE45</f>
        <v>0</v>
      </c>
      <c r="AF45" s="32">
        <f t="shared" si="103"/>
        <v>-1</v>
      </c>
      <c r="AG45" s="31">
        <f>Recu3!AG45</f>
        <v>0</v>
      </c>
      <c r="AH45" s="32">
        <f t="shared" si="104"/>
        <v>-1</v>
      </c>
      <c r="AI45" s="31">
        <f>Recu3!AI45</f>
        <v>0</v>
      </c>
      <c r="AJ45" s="32">
        <f t="shared" si="105"/>
        <v>-1</v>
      </c>
      <c r="AK45" s="31">
        <f>Recu3!AK45</f>
        <v>0</v>
      </c>
      <c r="AL45" s="32">
        <f t="shared" si="106"/>
        <v>-1</v>
      </c>
      <c r="AM45" s="31">
        <f>Recu3!AM45</f>
        <v>0</v>
      </c>
      <c r="AN45" s="32">
        <f t="shared" si="107"/>
        <v>-1</v>
      </c>
      <c r="AO45" s="31">
        <f>Recu3!AO45</f>
        <v>0</v>
      </c>
      <c r="AP45" s="32">
        <f t="shared" si="108"/>
        <v>-1</v>
      </c>
      <c r="AQ45" s="31">
        <f>Recu3!AQ45</f>
        <v>0</v>
      </c>
      <c r="AR45" s="32">
        <f t="shared" si="109"/>
        <v>-1</v>
      </c>
      <c r="AS45" s="31">
        <f>Recu3!AS45</f>
        <v>0</v>
      </c>
      <c r="AT45" s="32">
        <f t="shared" si="110"/>
        <v>-1</v>
      </c>
      <c r="AU45" s="31">
        <f>Recu3!AU45</f>
        <v>0</v>
      </c>
      <c r="AV45" s="32">
        <f t="shared" si="111"/>
        <v>-1</v>
      </c>
      <c r="AW45" s="31">
        <f>Recu3!AW45</f>
        <v>0</v>
      </c>
      <c r="AX45" s="32">
        <f t="shared" si="112"/>
        <v>-1</v>
      </c>
      <c r="AY45" s="31">
        <f>Recu3!AY45</f>
        <v>0</v>
      </c>
      <c r="AZ45" s="32">
        <f t="shared" si="113"/>
        <v>-1</v>
      </c>
      <c r="BA45" s="31">
        <f>Recu3!BA45</f>
        <v>0</v>
      </c>
      <c r="BB45" s="32">
        <f t="shared" si="114"/>
        <v>-1</v>
      </c>
      <c r="BC45" s="31">
        <f>Recu3!BC45</f>
        <v>0</v>
      </c>
      <c r="BD45" s="32">
        <f t="shared" si="115"/>
        <v>-1</v>
      </c>
      <c r="BE45" s="31">
        <f>Recu3!BE45</f>
        <v>0</v>
      </c>
      <c r="BF45" s="32">
        <f t="shared" si="116"/>
        <v>-1</v>
      </c>
      <c r="BG45" s="31">
        <f>Recu3!BG45</f>
        <v>0</v>
      </c>
      <c r="BH45" s="32">
        <f t="shared" si="117"/>
        <v>-1</v>
      </c>
      <c r="BI45" s="31">
        <f>Recu3!BI45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Recu3!B46</f>
        <v>0</v>
      </c>
      <c r="C46" s="31">
        <f>Recu3!C46</f>
        <v>0</v>
      </c>
      <c r="D46" s="32">
        <f t="shared" si="89"/>
        <v>-1</v>
      </c>
      <c r="E46" s="31">
        <f>Recu3!E46</f>
        <v>0</v>
      </c>
      <c r="F46" s="32">
        <f t="shared" si="90"/>
        <v>-1</v>
      </c>
      <c r="G46" s="31">
        <f>Recu3!G46</f>
        <v>0</v>
      </c>
      <c r="H46" s="32">
        <f t="shared" si="91"/>
        <v>-1</v>
      </c>
      <c r="I46" s="31">
        <f>Recu3!I46</f>
        <v>0</v>
      </c>
      <c r="J46" s="32">
        <f t="shared" si="92"/>
        <v>-1</v>
      </c>
      <c r="K46" s="31">
        <f>Recu3!K46</f>
        <v>0</v>
      </c>
      <c r="L46" s="32">
        <f t="shared" si="93"/>
        <v>-1</v>
      </c>
      <c r="M46" s="31">
        <f>Recu3!M46</f>
        <v>0</v>
      </c>
      <c r="N46" s="32">
        <f t="shared" si="94"/>
        <v>-1</v>
      </c>
      <c r="O46" s="31">
        <f>Recu3!O46</f>
        <v>0</v>
      </c>
      <c r="P46" s="32">
        <f t="shared" si="95"/>
        <v>-1</v>
      </c>
      <c r="Q46" s="31">
        <f>Recu3!Q46</f>
        <v>0</v>
      </c>
      <c r="R46" s="32">
        <f t="shared" si="96"/>
        <v>-1</v>
      </c>
      <c r="S46" s="31">
        <f>Recu3!S46</f>
        <v>0</v>
      </c>
      <c r="T46" s="32">
        <f t="shared" si="97"/>
        <v>-1</v>
      </c>
      <c r="U46" s="31">
        <f>Recu3!U46</f>
        <v>0</v>
      </c>
      <c r="V46" s="32">
        <f t="shared" si="98"/>
        <v>-1</v>
      </c>
      <c r="W46" s="31">
        <f>Recu3!W46</f>
        <v>0</v>
      </c>
      <c r="X46" s="32">
        <f t="shared" si="99"/>
        <v>-1</v>
      </c>
      <c r="Y46" s="31">
        <f>Recu3!Y46</f>
        <v>0</v>
      </c>
      <c r="Z46" s="32">
        <f t="shared" si="100"/>
        <v>-1</v>
      </c>
      <c r="AA46" s="31">
        <f>Recu3!AA46</f>
        <v>0</v>
      </c>
      <c r="AB46" s="32">
        <f t="shared" si="101"/>
        <v>-1</v>
      </c>
      <c r="AC46" s="31">
        <f>Recu3!AC46</f>
        <v>0</v>
      </c>
      <c r="AD46" s="32">
        <f t="shared" si="102"/>
        <v>-1</v>
      </c>
      <c r="AE46" s="31">
        <f>Recu3!AE46</f>
        <v>0</v>
      </c>
      <c r="AF46" s="32">
        <f t="shared" si="103"/>
        <v>-1</v>
      </c>
      <c r="AG46" s="31">
        <f>Recu3!AG46</f>
        <v>0</v>
      </c>
      <c r="AH46" s="32">
        <f t="shared" si="104"/>
        <v>-1</v>
      </c>
      <c r="AI46" s="31">
        <f>Recu3!AI46</f>
        <v>0</v>
      </c>
      <c r="AJ46" s="32">
        <f t="shared" si="105"/>
        <v>-1</v>
      </c>
      <c r="AK46" s="31">
        <f>Recu3!AK46</f>
        <v>0</v>
      </c>
      <c r="AL46" s="32">
        <f t="shared" si="106"/>
        <v>-1</v>
      </c>
      <c r="AM46" s="31">
        <f>Recu3!AM46</f>
        <v>0</v>
      </c>
      <c r="AN46" s="32">
        <f t="shared" si="107"/>
        <v>-1</v>
      </c>
      <c r="AO46" s="31">
        <f>Recu3!AO46</f>
        <v>0</v>
      </c>
      <c r="AP46" s="32">
        <f t="shared" si="108"/>
        <v>-1</v>
      </c>
      <c r="AQ46" s="31">
        <f>Recu3!AQ46</f>
        <v>0</v>
      </c>
      <c r="AR46" s="32">
        <f t="shared" si="109"/>
        <v>-1</v>
      </c>
      <c r="AS46" s="31">
        <f>Recu3!AS46</f>
        <v>0</v>
      </c>
      <c r="AT46" s="32">
        <f t="shared" si="110"/>
        <v>-1</v>
      </c>
      <c r="AU46" s="31">
        <f>Recu3!AU46</f>
        <v>0</v>
      </c>
      <c r="AV46" s="32">
        <f t="shared" si="111"/>
        <v>-1</v>
      </c>
      <c r="AW46" s="31">
        <f>Recu3!AW46</f>
        <v>0</v>
      </c>
      <c r="AX46" s="32">
        <f t="shared" si="112"/>
        <v>-1</v>
      </c>
      <c r="AY46" s="31">
        <f>Recu3!AY46</f>
        <v>0</v>
      </c>
      <c r="AZ46" s="32">
        <f t="shared" si="113"/>
        <v>-1</v>
      </c>
      <c r="BA46" s="31">
        <f>Recu3!BA46</f>
        <v>0</v>
      </c>
      <c r="BB46" s="32">
        <f t="shared" si="114"/>
        <v>-1</v>
      </c>
      <c r="BC46" s="31">
        <f>Recu3!BC46</f>
        <v>0</v>
      </c>
      <c r="BD46" s="32">
        <f t="shared" si="115"/>
        <v>-1</v>
      </c>
      <c r="BE46" s="31">
        <f>Recu3!BE46</f>
        <v>0</v>
      </c>
      <c r="BF46" s="32">
        <f t="shared" si="116"/>
        <v>-1</v>
      </c>
      <c r="BG46" s="31">
        <f>Recu3!BG46</f>
        <v>0</v>
      </c>
      <c r="BH46" s="32">
        <f t="shared" si="117"/>
        <v>-1</v>
      </c>
      <c r="BI46" s="31">
        <f>Recu3!BI46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Recu3!B47</f>
        <v>0</v>
      </c>
      <c r="C47" s="31">
        <f>Recu3!C47</f>
        <v>0</v>
      </c>
      <c r="D47" s="32">
        <f t="shared" si="89"/>
        <v>-1</v>
      </c>
      <c r="E47" s="31">
        <f>Recu3!E47</f>
        <v>0</v>
      </c>
      <c r="F47" s="32">
        <f t="shared" si="90"/>
        <v>-1</v>
      </c>
      <c r="G47" s="31">
        <f>Recu3!G47</f>
        <v>0</v>
      </c>
      <c r="H47" s="32">
        <f t="shared" si="91"/>
        <v>-1</v>
      </c>
      <c r="I47" s="31">
        <f>Recu3!I47</f>
        <v>0</v>
      </c>
      <c r="J47" s="32">
        <f t="shared" si="92"/>
        <v>-1</v>
      </c>
      <c r="K47" s="31">
        <f>Recu3!K47</f>
        <v>0</v>
      </c>
      <c r="L47" s="32">
        <f t="shared" si="93"/>
        <v>-1</v>
      </c>
      <c r="M47" s="31">
        <f>Recu3!M47</f>
        <v>0</v>
      </c>
      <c r="N47" s="32">
        <f t="shared" si="94"/>
        <v>-1</v>
      </c>
      <c r="O47" s="31">
        <f>Recu3!O47</f>
        <v>0</v>
      </c>
      <c r="P47" s="32">
        <f t="shared" si="95"/>
        <v>-1</v>
      </c>
      <c r="Q47" s="31">
        <f>Recu3!Q47</f>
        <v>0</v>
      </c>
      <c r="R47" s="32">
        <f t="shared" si="96"/>
        <v>-1</v>
      </c>
      <c r="S47" s="31">
        <f>Recu3!S47</f>
        <v>0</v>
      </c>
      <c r="T47" s="32">
        <f t="shared" si="97"/>
        <v>-1</v>
      </c>
      <c r="U47" s="31">
        <f>Recu3!U47</f>
        <v>0</v>
      </c>
      <c r="V47" s="32">
        <f t="shared" si="98"/>
        <v>-1</v>
      </c>
      <c r="W47" s="31">
        <f>Recu3!W47</f>
        <v>0</v>
      </c>
      <c r="X47" s="32">
        <f t="shared" si="99"/>
        <v>-1</v>
      </c>
      <c r="Y47" s="31">
        <f>Recu3!Y47</f>
        <v>0</v>
      </c>
      <c r="Z47" s="32">
        <f t="shared" si="100"/>
        <v>-1</v>
      </c>
      <c r="AA47" s="31">
        <f>Recu3!AA47</f>
        <v>0</v>
      </c>
      <c r="AB47" s="32">
        <f t="shared" si="101"/>
        <v>-1</v>
      </c>
      <c r="AC47" s="31">
        <f>Recu3!AC47</f>
        <v>0</v>
      </c>
      <c r="AD47" s="32">
        <f t="shared" si="102"/>
        <v>-1</v>
      </c>
      <c r="AE47" s="31">
        <f>Recu3!AE47</f>
        <v>0</v>
      </c>
      <c r="AF47" s="32">
        <f t="shared" si="103"/>
        <v>-1</v>
      </c>
      <c r="AG47" s="31">
        <f>Recu3!AG47</f>
        <v>0</v>
      </c>
      <c r="AH47" s="32">
        <f t="shared" si="104"/>
        <v>-1</v>
      </c>
      <c r="AI47" s="31">
        <f>Recu3!AI47</f>
        <v>0</v>
      </c>
      <c r="AJ47" s="32">
        <f t="shared" si="105"/>
        <v>-1</v>
      </c>
      <c r="AK47" s="31">
        <f>Recu3!AK47</f>
        <v>0</v>
      </c>
      <c r="AL47" s="32">
        <f t="shared" si="106"/>
        <v>-1</v>
      </c>
      <c r="AM47" s="31">
        <f>Recu3!AM47</f>
        <v>0</v>
      </c>
      <c r="AN47" s="32">
        <f t="shared" si="107"/>
        <v>-1</v>
      </c>
      <c r="AO47" s="31">
        <f>Recu3!AO47</f>
        <v>0</v>
      </c>
      <c r="AP47" s="32">
        <f t="shared" si="108"/>
        <v>-1</v>
      </c>
      <c r="AQ47" s="31">
        <f>Recu3!AQ47</f>
        <v>0</v>
      </c>
      <c r="AR47" s="32">
        <f t="shared" si="109"/>
        <v>-1</v>
      </c>
      <c r="AS47" s="31">
        <f>Recu3!AS47</f>
        <v>0</v>
      </c>
      <c r="AT47" s="32">
        <f t="shared" si="110"/>
        <v>-1</v>
      </c>
      <c r="AU47" s="31">
        <f>Recu3!AU47</f>
        <v>0</v>
      </c>
      <c r="AV47" s="32">
        <f t="shared" si="111"/>
        <v>-1</v>
      </c>
      <c r="AW47" s="31">
        <f>Recu3!AW47</f>
        <v>0</v>
      </c>
      <c r="AX47" s="32">
        <f t="shared" si="112"/>
        <v>-1</v>
      </c>
      <c r="AY47" s="31">
        <f>Recu3!AY47</f>
        <v>0</v>
      </c>
      <c r="AZ47" s="32">
        <f t="shared" si="113"/>
        <v>-1</v>
      </c>
      <c r="BA47" s="31">
        <f>Recu3!BA47</f>
        <v>0</v>
      </c>
      <c r="BB47" s="32">
        <f t="shared" si="114"/>
        <v>-1</v>
      </c>
      <c r="BC47" s="31">
        <f>Recu3!BC47</f>
        <v>0</v>
      </c>
      <c r="BD47" s="32">
        <f t="shared" si="115"/>
        <v>-1</v>
      </c>
      <c r="BE47" s="31">
        <f>Recu3!BE47</f>
        <v>0</v>
      </c>
      <c r="BF47" s="32">
        <f t="shared" si="116"/>
        <v>-1</v>
      </c>
      <c r="BG47" s="31">
        <f>Recu3!BG47</f>
        <v>0</v>
      </c>
      <c r="BH47" s="32">
        <f t="shared" si="117"/>
        <v>-1</v>
      </c>
      <c r="BI47" s="31">
        <f>Recu3!BI47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Recu3!B48</f>
        <v>0</v>
      </c>
      <c r="C48" s="31">
        <f>Recu3!C48</f>
        <v>0</v>
      </c>
      <c r="D48" s="32">
        <f t="shared" si="89"/>
        <v>-1</v>
      </c>
      <c r="E48" s="31">
        <f>Recu3!E48</f>
        <v>0</v>
      </c>
      <c r="F48" s="32">
        <f t="shared" si="90"/>
        <v>-1</v>
      </c>
      <c r="G48" s="31">
        <f>Recu3!G48</f>
        <v>0</v>
      </c>
      <c r="H48" s="32">
        <f t="shared" si="91"/>
        <v>-1</v>
      </c>
      <c r="I48" s="31">
        <f>Recu3!I48</f>
        <v>0</v>
      </c>
      <c r="J48" s="32">
        <f t="shared" si="92"/>
        <v>-1</v>
      </c>
      <c r="K48" s="31">
        <f>Recu3!K48</f>
        <v>0</v>
      </c>
      <c r="L48" s="32">
        <f t="shared" si="93"/>
        <v>-1</v>
      </c>
      <c r="M48" s="31">
        <f>Recu3!M48</f>
        <v>0</v>
      </c>
      <c r="N48" s="32">
        <f t="shared" si="94"/>
        <v>-1</v>
      </c>
      <c r="O48" s="31">
        <f>Recu3!O48</f>
        <v>0</v>
      </c>
      <c r="P48" s="32">
        <f t="shared" si="95"/>
        <v>-1</v>
      </c>
      <c r="Q48" s="31">
        <f>Recu3!Q48</f>
        <v>0</v>
      </c>
      <c r="R48" s="32">
        <f t="shared" si="96"/>
        <v>-1</v>
      </c>
      <c r="S48" s="31">
        <f>Recu3!S48</f>
        <v>0</v>
      </c>
      <c r="T48" s="32">
        <f t="shared" si="97"/>
        <v>-1</v>
      </c>
      <c r="U48" s="31">
        <f>Recu3!U48</f>
        <v>0</v>
      </c>
      <c r="V48" s="32">
        <f t="shared" si="98"/>
        <v>-1</v>
      </c>
      <c r="W48" s="31">
        <f>Recu3!W48</f>
        <v>0</v>
      </c>
      <c r="X48" s="32">
        <f t="shared" si="99"/>
        <v>-1</v>
      </c>
      <c r="Y48" s="31">
        <f>Recu3!Y48</f>
        <v>0</v>
      </c>
      <c r="Z48" s="32">
        <f t="shared" si="100"/>
        <v>-1</v>
      </c>
      <c r="AA48" s="31">
        <f>Recu3!AA48</f>
        <v>0</v>
      </c>
      <c r="AB48" s="32">
        <f t="shared" si="101"/>
        <v>-1</v>
      </c>
      <c r="AC48" s="31">
        <f>Recu3!AC48</f>
        <v>0</v>
      </c>
      <c r="AD48" s="32">
        <f t="shared" si="102"/>
        <v>-1</v>
      </c>
      <c r="AE48" s="31">
        <f>Recu3!AE48</f>
        <v>0</v>
      </c>
      <c r="AF48" s="32">
        <f t="shared" si="103"/>
        <v>-1</v>
      </c>
      <c r="AG48" s="31">
        <f>Recu3!AG48</f>
        <v>0</v>
      </c>
      <c r="AH48" s="32">
        <f t="shared" si="104"/>
        <v>-1</v>
      </c>
      <c r="AI48" s="31">
        <f>Recu3!AI48</f>
        <v>0</v>
      </c>
      <c r="AJ48" s="32">
        <f t="shared" si="105"/>
        <v>-1</v>
      </c>
      <c r="AK48" s="31">
        <f>Recu3!AK48</f>
        <v>0</v>
      </c>
      <c r="AL48" s="32">
        <f t="shared" si="106"/>
        <v>-1</v>
      </c>
      <c r="AM48" s="31">
        <f>Recu3!AM48</f>
        <v>0</v>
      </c>
      <c r="AN48" s="32">
        <f t="shared" si="107"/>
        <v>-1</v>
      </c>
      <c r="AO48" s="31">
        <f>Recu3!AO48</f>
        <v>0</v>
      </c>
      <c r="AP48" s="32">
        <f t="shared" si="108"/>
        <v>-1</v>
      </c>
      <c r="AQ48" s="31">
        <f>Recu3!AQ48</f>
        <v>0</v>
      </c>
      <c r="AR48" s="32">
        <f t="shared" si="109"/>
        <v>-1</v>
      </c>
      <c r="AS48" s="31">
        <f>Recu3!AS48</f>
        <v>0</v>
      </c>
      <c r="AT48" s="32">
        <f t="shared" si="110"/>
        <v>-1</v>
      </c>
      <c r="AU48" s="31">
        <f>Recu3!AU48</f>
        <v>0</v>
      </c>
      <c r="AV48" s="32">
        <f t="shared" si="111"/>
        <v>-1</v>
      </c>
      <c r="AW48" s="31">
        <f>Recu3!AW48</f>
        <v>0</v>
      </c>
      <c r="AX48" s="32">
        <f t="shared" si="112"/>
        <v>-1</v>
      </c>
      <c r="AY48" s="31">
        <f>Recu3!AY48</f>
        <v>0</v>
      </c>
      <c r="AZ48" s="32">
        <f t="shared" si="113"/>
        <v>-1</v>
      </c>
      <c r="BA48" s="31">
        <f>Recu3!BA48</f>
        <v>0</v>
      </c>
      <c r="BB48" s="32">
        <f t="shared" si="114"/>
        <v>-1</v>
      </c>
      <c r="BC48" s="31">
        <f>Recu3!BC48</f>
        <v>0</v>
      </c>
      <c r="BD48" s="32">
        <f t="shared" si="115"/>
        <v>-1</v>
      </c>
      <c r="BE48" s="31">
        <f>Recu3!BE48</f>
        <v>0</v>
      </c>
      <c r="BF48" s="32">
        <f t="shared" si="116"/>
        <v>-1</v>
      </c>
      <c r="BG48" s="31">
        <f>Recu3!BG48</f>
        <v>0</v>
      </c>
      <c r="BH48" s="32">
        <f t="shared" si="117"/>
        <v>-1</v>
      </c>
      <c r="BI48" s="31">
        <f>Recu3!BI48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Recu3!B49</f>
        <v>0</v>
      </c>
      <c r="C49" s="31">
        <f>Recu3!C49</f>
        <v>0</v>
      </c>
      <c r="D49" s="32">
        <f t="shared" si="89"/>
        <v>-1</v>
      </c>
      <c r="E49" s="31">
        <f>Recu3!E49</f>
        <v>0</v>
      </c>
      <c r="F49" s="32">
        <f t="shared" si="90"/>
        <v>-1</v>
      </c>
      <c r="G49" s="31">
        <f>Recu3!G49</f>
        <v>0</v>
      </c>
      <c r="H49" s="32">
        <f t="shared" si="91"/>
        <v>-1</v>
      </c>
      <c r="I49" s="31">
        <f>Recu3!I49</f>
        <v>0</v>
      </c>
      <c r="J49" s="32">
        <f t="shared" si="92"/>
        <v>-1</v>
      </c>
      <c r="K49" s="31">
        <f>Recu3!K49</f>
        <v>0</v>
      </c>
      <c r="L49" s="32">
        <f t="shared" si="93"/>
        <v>-1</v>
      </c>
      <c r="M49" s="31">
        <f>Recu3!M49</f>
        <v>0</v>
      </c>
      <c r="N49" s="32">
        <f t="shared" si="94"/>
        <v>-1</v>
      </c>
      <c r="O49" s="31">
        <f>Recu3!O49</f>
        <v>0</v>
      </c>
      <c r="P49" s="32">
        <f t="shared" si="95"/>
        <v>-1</v>
      </c>
      <c r="Q49" s="31">
        <f>Recu3!Q49</f>
        <v>0</v>
      </c>
      <c r="R49" s="32">
        <f t="shared" si="96"/>
        <v>-1</v>
      </c>
      <c r="S49" s="31">
        <f>Recu3!S49</f>
        <v>0</v>
      </c>
      <c r="T49" s="32">
        <f t="shared" si="97"/>
        <v>-1</v>
      </c>
      <c r="U49" s="31">
        <f>Recu3!U49</f>
        <v>0</v>
      </c>
      <c r="V49" s="32">
        <f t="shared" si="98"/>
        <v>-1</v>
      </c>
      <c r="W49" s="31">
        <f>Recu3!W49</f>
        <v>0</v>
      </c>
      <c r="X49" s="32">
        <f t="shared" si="99"/>
        <v>-1</v>
      </c>
      <c r="Y49" s="31">
        <f>Recu3!Y49</f>
        <v>0</v>
      </c>
      <c r="Z49" s="32">
        <f t="shared" si="100"/>
        <v>-1</v>
      </c>
      <c r="AA49" s="31">
        <f>Recu3!AA49</f>
        <v>0</v>
      </c>
      <c r="AB49" s="32">
        <f t="shared" si="101"/>
        <v>-1</v>
      </c>
      <c r="AC49" s="31">
        <f>Recu3!AC49</f>
        <v>0</v>
      </c>
      <c r="AD49" s="32">
        <f t="shared" si="102"/>
        <v>-1</v>
      </c>
      <c r="AE49" s="31">
        <f>Recu3!AE49</f>
        <v>0</v>
      </c>
      <c r="AF49" s="32">
        <f t="shared" si="103"/>
        <v>-1</v>
      </c>
      <c r="AG49" s="31">
        <f>Recu3!AG49</f>
        <v>0</v>
      </c>
      <c r="AH49" s="32">
        <f t="shared" si="104"/>
        <v>-1</v>
      </c>
      <c r="AI49" s="31">
        <f>Recu3!AI49</f>
        <v>0</v>
      </c>
      <c r="AJ49" s="32">
        <f t="shared" si="105"/>
        <v>-1</v>
      </c>
      <c r="AK49" s="31">
        <f>Recu3!AK49</f>
        <v>0</v>
      </c>
      <c r="AL49" s="32">
        <f t="shared" si="106"/>
        <v>-1</v>
      </c>
      <c r="AM49" s="31">
        <f>Recu3!AM49</f>
        <v>0</v>
      </c>
      <c r="AN49" s="32">
        <f t="shared" si="107"/>
        <v>-1</v>
      </c>
      <c r="AO49" s="31">
        <f>Recu3!AO49</f>
        <v>0</v>
      </c>
      <c r="AP49" s="32">
        <f t="shared" si="108"/>
        <v>-1</v>
      </c>
      <c r="AQ49" s="31">
        <f>Recu3!AQ49</f>
        <v>0</v>
      </c>
      <c r="AR49" s="32">
        <f t="shared" si="109"/>
        <v>-1</v>
      </c>
      <c r="AS49" s="31">
        <f>Recu3!AS49</f>
        <v>0</v>
      </c>
      <c r="AT49" s="32">
        <f t="shared" si="110"/>
        <v>-1</v>
      </c>
      <c r="AU49" s="31">
        <f>Recu3!AU49</f>
        <v>0</v>
      </c>
      <c r="AV49" s="32">
        <f t="shared" si="111"/>
        <v>-1</v>
      </c>
      <c r="AW49" s="31">
        <f>Recu3!AW49</f>
        <v>0</v>
      </c>
      <c r="AX49" s="32">
        <f t="shared" si="112"/>
        <v>-1</v>
      </c>
      <c r="AY49" s="31">
        <f>Recu3!AY49</f>
        <v>0</v>
      </c>
      <c r="AZ49" s="32">
        <f t="shared" si="113"/>
        <v>-1</v>
      </c>
      <c r="BA49" s="31">
        <f>Recu3!BA49</f>
        <v>0</v>
      </c>
      <c r="BB49" s="32">
        <f t="shared" si="114"/>
        <v>-1</v>
      </c>
      <c r="BC49" s="31">
        <f>Recu3!BC49</f>
        <v>0</v>
      </c>
      <c r="BD49" s="32">
        <f t="shared" si="115"/>
        <v>-1</v>
      </c>
      <c r="BE49" s="31">
        <f>Recu3!BE49</f>
        <v>0</v>
      </c>
      <c r="BF49" s="32">
        <f t="shared" si="116"/>
        <v>-1</v>
      </c>
      <c r="BG49" s="31">
        <f>Recu3!BG49</f>
        <v>0</v>
      </c>
      <c r="BH49" s="32">
        <f t="shared" si="117"/>
        <v>-1</v>
      </c>
      <c r="BI49" s="31">
        <f>Recu3!BI49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Recu3!B50</f>
        <v>0</v>
      </c>
      <c r="C50" s="31">
        <f>Recu3!C50</f>
        <v>0</v>
      </c>
      <c r="D50" s="32">
        <f t="shared" si="89"/>
        <v>-1</v>
      </c>
      <c r="E50" s="31">
        <f>Recu3!E50</f>
        <v>0</v>
      </c>
      <c r="F50" s="32">
        <f t="shared" si="90"/>
        <v>-1</v>
      </c>
      <c r="G50" s="31">
        <f>Recu3!G50</f>
        <v>0</v>
      </c>
      <c r="H50" s="32">
        <f t="shared" si="91"/>
        <v>-1</v>
      </c>
      <c r="I50" s="31">
        <f>Recu3!I50</f>
        <v>0</v>
      </c>
      <c r="J50" s="32">
        <f t="shared" si="92"/>
        <v>-1</v>
      </c>
      <c r="K50" s="31">
        <f>Recu3!K50</f>
        <v>0</v>
      </c>
      <c r="L50" s="32">
        <f t="shared" si="93"/>
        <v>-1</v>
      </c>
      <c r="M50" s="31">
        <f>Recu3!M50</f>
        <v>0</v>
      </c>
      <c r="N50" s="32">
        <f t="shared" si="94"/>
        <v>-1</v>
      </c>
      <c r="O50" s="31">
        <f>Recu3!O50</f>
        <v>0</v>
      </c>
      <c r="P50" s="32">
        <f t="shared" si="95"/>
        <v>-1</v>
      </c>
      <c r="Q50" s="31">
        <f>Recu3!Q50</f>
        <v>0</v>
      </c>
      <c r="R50" s="32">
        <f t="shared" si="96"/>
        <v>-1</v>
      </c>
      <c r="S50" s="31">
        <f>Recu3!S50</f>
        <v>0</v>
      </c>
      <c r="T50" s="32">
        <f t="shared" si="97"/>
        <v>-1</v>
      </c>
      <c r="U50" s="31">
        <f>Recu3!U50</f>
        <v>0</v>
      </c>
      <c r="V50" s="32">
        <f t="shared" si="98"/>
        <v>-1</v>
      </c>
      <c r="W50" s="31">
        <f>Recu3!W50</f>
        <v>0</v>
      </c>
      <c r="X50" s="32">
        <f t="shared" si="99"/>
        <v>-1</v>
      </c>
      <c r="Y50" s="31">
        <f>Recu3!Y50</f>
        <v>0</v>
      </c>
      <c r="Z50" s="32">
        <f t="shared" si="100"/>
        <v>-1</v>
      </c>
      <c r="AA50" s="31">
        <f>Recu3!AA50</f>
        <v>0</v>
      </c>
      <c r="AB50" s="32">
        <f t="shared" si="101"/>
        <v>-1</v>
      </c>
      <c r="AC50" s="31">
        <f>Recu3!AC50</f>
        <v>0</v>
      </c>
      <c r="AD50" s="32">
        <f t="shared" si="102"/>
        <v>-1</v>
      </c>
      <c r="AE50" s="31">
        <f>Recu3!AE50</f>
        <v>0</v>
      </c>
      <c r="AF50" s="32">
        <f t="shared" si="103"/>
        <v>-1</v>
      </c>
      <c r="AG50" s="31">
        <f>Recu3!AG50</f>
        <v>0</v>
      </c>
      <c r="AH50" s="32">
        <f t="shared" si="104"/>
        <v>-1</v>
      </c>
      <c r="AI50" s="31">
        <f>Recu3!AI50</f>
        <v>0</v>
      </c>
      <c r="AJ50" s="32">
        <f t="shared" si="105"/>
        <v>-1</v>
      </c>
      <c r="AK50" s="31">
        <f>Recu3!AK50</f>
        <v>0</v>
      </c>
      <c r="AL50" s="32">
        <f t="shared" si="106"/>
        <v>-1</v>
      </c>
      <c r="AM50" s="31">
        <f>Recu3!AM50</f>
        <v>0</v>
      </c>
      <c r="AN50" s="32">
        <f t="shared" si="107"/>
        <v>-1</v>
      </c>
      <c r="AO50" s="31">
        <f>Recu3!AO50</f>
        <v>0</v>
      </c>
      <c r="AP50" s="32">
        <f t="shared" si="108"/>
        <v>-1</v>
      </c>
      <c r="AQ50" s="31">
        <f>Recu3!AQ50</f>
        <v>0</v>
      </c>
      <c r="AR50" s="32">
        <f t="shared" si="109"/>
        <v>-1</v>
      </c>
      <c r="AS50" s="31">
        <f>Recu3!AS50</f>
        <v>0</v>
      </c>
      <c r="AT50" s="32">
        <f t="shared" si="110"/>
        <v>-1</v>
      </c>
      <c r="AU50" s="31">
        <f>Recu3!AU50</f>
        <v>0</v>
      </c>
      <c r="AV50" s="32">
        <f t="shared" si="111"/>
        <v>-1</v>
      </c>
      <c r="AW50" s="31">
        <f>Recu3!AW50</f>
        <v>0</v>
      </c>
      <c r="AX50" s="32">
        <f t="shared" si="112"/>
        <v>-1</v>
      </c>
      <c r="AY50" s="31">
        <f>Recu3!AY50</f>
        <v>0</v>
      </c>
      <c r="AZ50" s="32">
        <f t="shared" si="113"/>
        <v>-1</v>
      </c>
      <c r="BA50" s="31">
        <f>Recu3!BA50</f>
        <v>0</v>
      </c>
      <c r="BB50" s="32">
        <f t="shared" si="114"/>
        <v>-1</v>
      </c>
      <c r="BC50" s="31">
        <f>Recu3!BC50</f>
        <v>0</v>
      </c>
      <c r="BD50" s="32">
        <f t="shared" si="115"/>
        <v>-1</v>
      </c>
      <c r="BE50" s="31">
        <f>Recu3!BE50</f>
        <v>0</v>
      </c>
      <c r="BF50" s="32">
        <f t="shared" si="116"/>
        <v>-1</v>
      </c>
      <c r="BG50" s="31">
        <f>Recu3!BG50</f>
        <v>0</v>
      </c>
      <c r="BH50" s="32">
        <f t="shared" si="117"/>
        <v>-1</v>
      </c>
      <c r="BI50" s="31">
        <f>Recu3!BI50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Recu3!B51</f>
        <v>0</v>
      </c>
      <c r="C51" s="31">
        <f>Recu3!C51</f>
        <v>0</v>
      </c>
      <c r="D51" s="32">
        <f t="shared" si="89"/>
        <v>-1</v>
      </c>
      <c r="E51" s="31">
        <f>Recu3!E51</f>
        <v>0</v>
      </c>
      <c r="F51" s="32">
        <f t="shared" si="90"/>
        <v>-1</v>
      </c>
      <c r="G51" s="31">
        <f>Recu3!G51</f>
        <v>0</v>
      </c>
      <c r="H51" s="32">
        <f t="shared" si="91"/>
        <v>-1</v>
      </c>
      <c r="I51" s="31">
        <f>Recu3!I51</f>
        <v>0</v>
      </c>
      <c r="J51" s="32">
        <f t="shared" si="92"/>
        <v>-1</v>
      </c>
      <c r="K51" s="31">
        <f>Recu3!K51</f>
        <v>0</v>
      </c>
      <c r="L51" s="32">
        <f t="shared" si="93"/>
        <v>-1</v>
      </c>
      <c r="M51" s="31">
        <f>Recu3!M51</f>
        <v>0</v>
      </c>
      <c r="N51" s="32">
        <f t="shared" si="94"/>
        <v>-1</v>
      </c>
      <c r="O51" s="31">
        <f>Recu3!O51</f>
        <v>0</v>
      </c>
      <c r="P51" s="32">
        <f t="shared" si="95"/>
        <v>-1</v>
      </c>
      <c r="Q51" s="31">
        <f>Recu3!Q51</f>
        <v>0</v>
      </c>
      <c r="R51" s="32">
        <f t="shared" si="96"/>
        <v>-1</v>
      </c>
      <c r="S51" s="31">
        <f>Recu3!S51</f>
        <v>0</v>
      </c>
      <c r="T51" s="32">
        <f t="shared" si="97"/>
        <v>-1</v>
      </c>
      <c r="U51" s="31">
        <f>Recu3!U51</f>
        <v>0</v>
      </c>
      <c r="V51" s="32">
        <f t="shared" si="98"/>
        <v>-1</v>
      </c>
      <c r="W51" s="31">
        <f>Recu3!W51</f>
        <v>0</v>
      </c>
      <c r="X51" s="32">
        <f t="shared" si="99"/>
        <v>-1</v>
      </c>
      <c r="Y51" s="31">
        <f>Recu3!Y51</f>
        <v>0</v>
      </c>
      <c r="Z51" s="32">
        <f t="shared" si="100"/>
        <v>-1</v>
      </c>
      <c r="AA51" s="31">
        <f>Recu3!AA51</f>
        <v>0</v>
      </c>
      <c r="AB51" s="32">
        <f t="shared" si="101"/>
        <v>-1</v>
      </c>
      <c r="AC51" s="31">
        <f>Recu3!AC51</f>
        <v>0</v>
      </c>
      <c r="AD51" s="32">
        <f t="shared" si="102"/>
        <v>-1</v>
      </c>
      <c r="AE51" s="31">
        <f>Recu3!AE51</f>
        <v>0</v>
      </c>
      <c r="AF51" s="32">
        <f t="shared" si="103"/>
        <v>-1</v>
      </c>
      <c r="AG51" s="31">
        <f>Recu3!AG51</f>
        <v>0</v>
      </c>
      <c r="AH51" s="32">
        <f t="shared" si="104"/>
        <v>-1</v>
      </c>
      <c r="AI51" s="31">
        <f>Recu3!AI51</f>
        <v>0</v>
      </c>
      <c r="AJ51" s="32">
        <f t="shared" si="105"/>
        <v>-1</v>
      </c>
      <c r="AK51" s="31">
        <f>Recu3!AK51</f>
        <v>0</v>
      </c>
      <c r="AL51" s="32">
        <f t="shared" si="106"/>
        <v>-1</v>
      </c>
      <c r="AM51" s="31">
        <f>Recu3!AM51</f>
        <v>0</v>
      </c>
      <c r="AN51" s="32">
        <f t="shared" si="107"/>
        <v>-1</v>
      </c>
      <c r="AO51" s="31">
        <f>Recu3!AO51</f>
        <v>0</v>
      </c>
      <c r="AP51" s="32">
        <f t="shared" si="108"/>
        <v>-1</v>
      </c>
      <c r="AQ51" s="31">
        <f>Recu3!AQ51</f>
        <v>0</v>
      </c>
      <c r="AR51" s="32">
        <f t="shared" si="109"/>
        <v>-1</v>
      </c>
      <c r="AS51" s="31">
        <f>Recu3!AS51</f>
        <v>0</v>
      </c>
      <c r="AT51" s="32">
        <f t="shared" si="110"/>
        <v>-1</v>
      </c>
      <c r="AU51" s="31">
        <f>Recu3!AU51</f>
        <v>0</v>
      </c>
      <c r="AV51" s="32">
        <f t="shared" si="111"/>
        <v>-1</v>
      </c>
      <c r="AW51" s="31">
        <f>Recu3!AW51</f>
        <v>0</v>
      </c>
      <c r="AX51" s="32">
        <f t="shared" si="112"/>
        <v>-1</v>
      </c>
      <c r="AY51" s="31">
        <f>Recu3!AY51</f>
        <v>0</v>
      </c>
      <c r="AZ51" s="32">
        <f t="shared" si="113"/>
        <v>-1</v>
      </c>
      <c r="BA51" s="31">
        <f>Recu3!BA51</f>
        <v>0</v>
      </c>
      <c r="BB51" s="32">
        <f t="shared" si="114"/>
        <v>-1</v>
      </c>
      <c r="BC51" s="31">
        <f>Recu3!BC51</f>
        <v>0</v>
      </c>
      <c r="BD51" s="32">
        <f t="shared" si="115"/>
        <v>-1</v>
      </c>
      <c r="BE51" s="31">
        <f>Recu3!BE51</f>
        <v>0</v>
      </c>
      <c r="BF51" s="32">
        <f t="shared" si="116"/>
        <v>-1</v>
      </c>
      <c r="BG51" s="31">
        <f>Recu3!BG51</f>
        <v>0</v>
      </c>
      <c r="BH51" s="32">
        <f t="shared" si="117"/>
        <v>-1</v>
      </c>
      <c r="BI51" s="31">
        <f>Recu3!BI51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Recu3!B52</f>
        <v>0</v>
      </c>
      <c r="C52" s="31">
        <f>Recu3!C52</f>
        <v>0</v>
      </c>
      <c r="D52" s="32">
        <f t="shared" si="89"/>
        <v>-1</v>
      </c>
      <c r="E52" s="31">
        <f>Recu3!E52</f>
        <v>0</v>
      </c>
      <c r="F52" s="32">
        <f t="shared" si="90"/>
        <v>-1</v>
      </c>
      <c r="G52" s="31">
        <f>Recu3!G52</f>
        <v>0</v>
      </c>
      <c r="H52" s="32">
        <f t="shared" si="91"/>
        <v>-1</v>
      </c>
      <c r="I52" s="31">
        <f>Recu3!I52</f>
        <v>0</v>
      </c>
      <c r="J52" s="32">
        <f t="shared" si="92"/>
        <v>-1</v>
      </c>
      <c r="K52" s="31">
        <f>Recu3!K52</f>
        <v>0</v>
      </c>
      <c r="L52" s="32">
        <f t="shared" si="93"/>
        <v>-1</v>
      </c>
      <c r="M52" s="31">
        <f>Recu3!M52</f>
        <v>0</v>
      </c>
      <c r="N52" s="32">
        <f t="shared" si="94"/>
        <v>-1</v>
      </c>
      <c r="O52" s="31">
        <f>Recu3!O52</f>
        <v>0</v>
      </c>
      <c r="P52" s="32">
        <f t="shared" si="95"/>
        <v>-1</v>
      </c>
      <c r="Q52" s="31">
        <f>Recu3!Q52</f>
        <v>0</v>
      </c>
      <c r="R52" s="32">
        <f t="shared" si="96"/>
        <v>-1</v>
      </c>
      <c r="S52" s="31">
        <f>Recu3!S52</f>
        <v>0</v>
      </c>
      <c r="T52" s="32">
        <f t="shared" si="97"/>
        <v>-1</v>
      </c>
      <c r="U52" s="31">
        <f>Recu3!U52</f>
        <v>0</v>
      </c>
      <c r="V52" s="32">
        <f t="shared" si="98"/>
        <v>-1</v>
      </c>
      <c r="W52" s="31">
        <f>Recu3!W52</f>
        <v>0</v>
      </c>
      <c r="X52" s="32">
        <f t="shared" si="99"/>
        <v>-1</v>
      </c>
      <c r="Y52" s="31">
        <f>Recu3!Y52</f>
        <v>0</v>
      </c>
      <c r="Z52" s="32">
        <f t="shared" si="100"/>
        <v>-1</v>
      </c>
      <c r="AA52" s="31">
        <f>Recu3!AA52</f>
        <v>0</v>
      </c>
      <c r="AB52" s="32">
        <f t="shared" si="101"/>
        <v>-1</v>
      </c>
      <c r="AC52" s="31">
        <f>Recu3!AC52</f>
        <v>0</v>
      </c>
      <c r="AD52" s="32">
        <f t="shared" si="102"/>
        <v>-1</v>
      </c>
      <c r="AE52" s="31">
        <f>Recu3!AE52</f>
        <v>0</v>
      </c>
      <c r="AF52" s="32">
        <f t="shared" si="103"/>
        <v>-1</v>
      </c>
      <c r="AG52" s="31">
        <f>Recu3!AG52</f>
        <v>0</v>
      </c>
      <c r="AH52" s="32">
        <f t="shared" si="104"/>
        <v>-1</v>
      </c>
      <c r="AI52" s="31">
        <f>Recu3!AI52</f>
        <v>0</v>
      </c>
      <c r="AJ52" s="32">
        <f t="shared" si="105"/>
        <v>-1</v>
      </c>
      <c r="AK52" s="31">
        <f>Recu3!AK52</f>
        <v>0</v>
      </c>
      <c r="AL52" s="32">
        <f t="shared" si="106"/>
        <v>-1</v>
      </c>
      <c r="AM52" s="31">
        <f>Recu3!AM52</f>
        <v>0</v>
      </c>
      <c r="AN52" s="32">
        <f t="shared" si="107"/>
        <v>-1</v>
      </c>
      <c r="AO52" s="31">
        <f>Recu3!AO52</f>
        <v>0</v>
      </c>
      <c r="AP52" s="32">
        <f t="shared" si="108"/>
        <v>-1</v>
      </c>
      <c r="AQ52" s="31">
        <f>Recu3!AQ52</f>
        <v>0</v>
      </c>
      <c r="AR52" s="32">
        <f t="shared" si="109"/>
        <v>-1</v>
      </c>
      <c r="AS52" s="31">
        <f>Recu3!AS52</f>
        <v>0</v>
      </c>
      <c r="AT52" s="32">
        <f t="shared" si="110"/>
        <v>-1</v>
      </c>
      <c r="AU52" s="31">
        <f>Recu3!AU52</f>
        <v>0</v>
      </c>
      <c r="AV52" s="32">
        <f t="shared" si="111"/>
        <v>-1</v>
      </c>
      <c r="AW52" s="31">
        <f>Recu3!AW52</f>
        <v>0</v>
      </c>
      <c r="AX52" s="32">
        <f t="shared" si="112"/>
        <v>-1</v>
      </c>
      <c r="AY52" s="31">
        <f>Recu3!AY52</f>
        <v>0</v>
      </c>
      <c r="AZ52" s="32">
        <f t="shared" si="113"/>
        <v>-1</v>
      </c>
      <c r="BA52" s="31">
        <f>Recu3!BA52</f>
        <v>0</v>
      </c>
      <c r="BB52" s="32">
        <f t="shared" si="114"/>
        <v>-1</v>
      </c>
      <c r="BC52" s="31">
        <f>Recu3!BC52</f>
        <v>0</v>
      </c>
      <c r="BD52" s="32">
        <f t="shared" si="115"/>
        <v>-1</v>
      </c>
      <c r="BE52" s="31">
        <f>Recu3!BE52</f>
        <v>0</v>
      </c>
      <c r="BF52" s="32">
        <f t="shared" si="116"/>
        <v>-1</v>
      </c>
      <c r="BG52" s="31">
        <f>Recu3!BG52</f>
        <v>0</v>
      </c>
      <c r="BH52" s="32">
        <f t="shared" si="117"/>
        <v>-1</v>
      </c>
      <c r="BI52" s="31">
        <f>Recu3!BI52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Recu3!B53</f>
        <v>0</v>
      </c>
      <c r="C53" s="31">
        <f>Recu3!C53</f>
        <v>0</v>
      </c>
      <c r="D53" s="32">
        <f t="shared" si="89"/>
        <v>-1</v>
      </c>
      <c r="E53" s="31">
        <f>Recu3!E53</f>
        <v>0</v>
      </c>
      <c r="F53" s="32">
        <f t="shared" si="90"/>
        <v>-1</v>
      </c>
      <c r="G53" s="31">
        <f>Recu3!G53</f>
        <v>0</v>
      </c>
      <c r="H53" s="32">
        <f t="shared" si="91"/>
        <v>-1</v>
      </c>
      <c r="I53" s="31">
        <f>Recu3!I53</f>
        <v>0</v>
      </c>
      <c r="J53" s="32">
        <f t="shared" si="92"/>
        <v>-1</v>
      </c>
      <c r="K53" s="31">
        <f>Recu3!K53</f>
        <v>0</v>
      </c>
      <c r="L53" s="32">
        <f t="shared" si="93"/>
        <v>-1</v>
      </c>
      <c r="M53" s="31">
        <f>Recu3!M53</f>
        <v>0</v>
      </c>
      <c r="N53" s="32">
        <f t="shared" si="94"/>
        <v>-1</v>
      </c>
      <c r="O53" s="31">
        <f>Recu3!O53</f>
        <v>0</v>
      </c>
      <c r="P53" s="32">
        <f t="shared" si="95"/>
        <v>-1</v>
      </c>
      <c r="Q53" s="31">
        <f>Recu3!Q53</f>
        <v>0</v>
      </c>
      <c r="R53" s="32">
        <f t="shared" si="96"/>
        <v>-1</v>
      </c>
      <c r="S53" s="31">
        <f>Recu3!S53</f>
        <v>0</v>
      </c>
      <c r="T53" s="32">
        <f t="shared" si="97"/>
        <v>-1</v>
      </c>
      <c r="U53" s="31">
        <f>Recu3!U53</f>
        <v>0</v>
      </c>
      <c r="V53" s="32">
        <f t="shared" si="98"/>
        <v>-1</v>
      </c>
      <c r="W53" s="31">
        <f>Recu3!W53</f>
        <v>0</v>
      </c>
      <c r="X53" s="32">
        <f t="shared" si="99"/>
        <v>-1</v>
      </c>
      <c r="Y53" s="31">
        <f>Recu3!Y53</f>
        <v>0</v>
      </c>
      <c r="Z53" s="32">
        <f t="shared" si="100"/>
        <v>-1</v>
      </c>
      <c r="AA53" s="31">
        <f>Recu3!AA53</f>
        <v>0</v>
      </c>
      <c r="AB53" s="32">
        <f t="shared" si="101"/>
        <v>-1</v>
      </c>
      <c r="AC53" s="31">
        <f>Recu3!AC53</f>
        <v>0</v>
      </c>
      <c r="AD53" s="32">
        <f t="shared" si="102"/>
        <v>-1</v>
      </c>
      <c r="AE53" s="31">
        <f>Recu3!AE53</f>
        <v>0</v>
      </c>
      <c r="AF53" s="32">
        <f t="shared" si="103"/>
        <v>-1</v>
      </c>
      <c r="AG53" s="31">
        <f>Recu3!AG53</f>
        <v>0</v>
      </c>
      <c r="AH53" s="32">
        <f t="shared" si="104"/>
        <v>-1</v>
      </c>
      <c r="AI53" s="31">
        <f>Recu3!AI53</f>
        <v>0</v>
      </c>
      <c r="AJ53" s="32">
        <f t="shared" si="105"/>
        <v>-1</v>
      </c>
      <c r="AK53" s="31">
        <f>Recu3!AK53</f>
        <v>0</v>
      </c>
      <c r="AL53" s="32">
        <f t="shared" si="106"/>
        <v>-1</v>
      </c>
      <c r="AM53" s="31">
        <f>Recu3!AM53</f>
        <v>0</v>
      </c>
      <c r="AN53" s="32">
        <f t="shared" si="107"/>
        <v>-1</v>
      </c>
      <c r="AO53" s="31">
        <f>Recu3!AO53</f>
        <v>0</v>
      </c>
      <c r="AP53" s="32">
        <f t="shared" si="108"/>
        <v>-1</v>
      </c>
      <c r="AQ53" s="31">
        <f>Recu3!AQ53</f>
        <v>0</v>
      </c>
      <c r="AR53" s="32">
        <f t="shared" si="109"/>
        <v>-1</v>
      </c>
      <c r="AS53" s="31">
        <f>Recu3!AS53</f>
        <v>0</v>
      </c>
      <c r="AT53" s="32">
        <f t="shared" si="110"/>
        <v>-1</v>
      </c>
      <c r="AU53" s="31">
        <f>Recu3!AU53</f>
        <v>0</v>
      </c>
      <c r="AV53" s="32">
        <f t="shared" si="111"/>
        <v>-1</v>
      </c>
      <c r="AW53" s="31">
        <f>Recu3!AW53</f>
        <v>0</v>
      </c>
      <c r="AX53" s="32">
        <f t="shared" si="112"/>
        <v>-1</v>
      </c>
      <c r="AY53" s="31">
        <f>Recu3!AY53</f>
        <v>0</v>
      </c>
      <c r="AZ53" s="32">
        <f t="shared" si="113"/>
        <v>-1</v>
      </c>
      <c r="BA53" s="31">
        <f>Recu3!BA53</f>
        <v>0</v>
      </c>
      <c r="BB53" s="32">
        <f t="shared" si="114"/>
        <v>-1</v>
      </c>
      <c r="BC53" s="31">
        <f>Recu3!BC53</f>
        <v>0</v>
      </c>
      <c r="BD53" s="32">
        <f t="shared" si="115"/>
        <v>-1</v>
      </c>
      <c r="BE53" s="31">
        <f>Recu3!BE53</f>
        <v>0</v>
      </c>
      <c r="BF53" s="32">
        <f t="shared" si="116"/>
        <v>-1</v>
      </c>
      <c r="BG53" s="31">
        <f>Recu3!BG53</f>
        <v>0</v>
      </c>
      <c r="BH53" s="32">
        <f t="shared" si="117"/>
        <v>-1</v>
      </c>
      <c r="BI53" s="31">
        <f>Recu3!BI53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Recu3!B54</f>
        <v>0</v>
      </c>
      <c r="C54" s="31">
        <f>Recu3!C54</f>
        <v>0</v>
      </c>
      <c r="D54" s="32">
        <f t="shared" si="89"/>
        <v>-1</v>
      </c>
      <c r="E54" s="31">
        <f>Recu3!E54</f>
        <v>0</v>
      </c>
      <c r="F54" s="32">
        <f t="shared" si="90"/>
        <v>-1</v>
      </c>
      <c r="G54" s="31">
        <f>Recu3!G54</f>
        <v>0</v>
      </c>
      <c r="H54" s="32">
        <f t="shared" si="91"/>
        <v>-1</v>
      </c>
      <c r="I54" s="31">
        <f>Recu3!I54</f>
        <v>0</v>
      </c>
      <c r="J54" s="32">
        <f t="shared" si="92"/>
        <v>-1</v>
      </c>
      <c r="K54" s="31">
        <f>Recu3!K54</f>
        <v>0</v>
      </c>
      <c r="L54" s="32">
        <f t="shared" si="93"/>
        <v>-1</v>
      </c>
      <c r="M54" s="31">
        <f>Recu3!M54</f>
        <v>0</v>
      </c>
      <c r="N54" s="32">
        <f t="shared" si="94"/>
        <v>-1</v>
      </c>
      <c r="O54" s="31">
        <f>Recu3!O54</f>
        <v>0</v>
      </c>
      <c r="P54" s="32">
        <f t="shared" si="95"/>
        <v>-1</v>
      </c>
      <c r="Q54" s="31">
        <f>Recu3!Q54</f>
        <v>0</v>
      </c>
      <c r="R54" s="32">
        <f t="shared" si="96"/>
        <v>-1</v>
      </c>
      <c r="S54" s="31">
        <f>Recu3!S54</f>
        <v>0</v>
      </c>
      <c r="T54" s="32">
        <f t="shared" si="97"/>
        <v>-1</v>
      </c>
      <c r="U54" s="31">
        <f>Recu3!U54</f>
        <v>0</v>
      </c>
      <c r="V54" s="32">
        <f t="shared" si="98"/>
        <v>-1</v>
      </c>
      <c r="W54" s="31">
        <f>Recu3!W54</f>
        <v>0</v>
      </c>
      <c r="X54" s="32">
        <f t="shared" si="99"/>
        <v>-1</v>
      </c>
      <c r="Y54" s="31">
        <f>Recu3!Y54</f>
        <v>0</v>
      </c>
      <c r="Z54" s="32">
        <f t="shared" si="100"/>
        <v>-1</v>
      </c>
      <c r="AA54" s="31">
        <f>Recu3!AA54</f>
        <v>0</v>
      </c>
      <c r="AB54" s="32">
        <f t="shared" si="101"/>
        <v>-1</v>
      </c>
      <c r="AC54" s="31">
        <f>Recu3!AC54</f>
        <v>0</v>
      </c>
      <c r="AD54" s="32">
        <f t="shared" si="102"/>
        <v>-1</v>
      </c>
      <c r="AE54" s="31">
        <f>Recu3!AE54</f>
        <v>0</v>
      </c>
      <c r="AF54" s="32">
        <f t="shared" si="103"/>
        <v>-1</v>
      </c>
      <c r="AG54" s="31">
        <f>Recu3!AG54</f>
        <v>0</v>
      </c>
      <c r="AH54" s="32">
        <f t="shared" si="104"/>
        <v>-1</v>
      </c>
      <c r="AI54" s="31">
        <f>Recu3!AI54</f>
        <v>0</v>
      </c>
      <c r="AJ54" s="32">
        <f t="shared" si="105"/>
        <v>-1</v>
      </c>
      <c r="AK54" s="31">
        <f>Recu3!AK54</f>
        <v>0</v>
      </c>
      <c r="AL54" s="32">
        <f t="shared" si="106"/>
        <v>-1</v>
      </c>
      <c r="AM54" s="31">
        <f>Recu3!AM54</f>
        <v>0</v>
      </c>
      <c r="AN54" s="32">
        <f t="shared" si="107"/>
        <v>-1</v>
      </c>
      <c r="AO54" s="31">
        <f>Recu3!AO54</f>
        <v>0</v>
      </c>
      <c r="AP54" s="32">
        <f t="shared" si="108"/>
        <v>-1</v>
      </c>
      <c r="AQ54" s="31">
        <f>Recu3!AQ54</f>
        <v>0</v>
      </c>
      <c r="AR54" s="32">
        <f t="shared" si="109"/>
        <v>-1</v>
      </c>
      <c r="AS54" s="31">
        <f>Recu3!AS54</f>
        <v>0</v>
      </c>
      <c r="AT54" s="32">
        <f t="shared" si="110"/>
        <v>-1</v>
      </c>
      <c r="AU54" s="31">
        <f>Recu3!AU54</f>
        <v>0</v>
      </c>
      <c r="AV54" s="32">
        <f t="shared" si="111"/>
        <v>-1</v>
      </c>
      <c r="AW54" s="31">
        <f>Recu3!AW54</f>
        <v>0</v>
      </c>
      <c r="AX54" s="32">
        <f t="shared" si="112"/>
        <v>-1</v>
      </c>
      <c r="AY54" s="31">
        <f>Recu3!AY54</f>
        <v>0</v>
      </c>
      <c r="AZ54" s="32">
        <f t="shared" si="113"/>
        <v>-1</v>
      </c>
      <c r="BA54" s="31">
        <f>Recu3!BA54</f>
        <v>0</v>
      </c>
      <c r="BB54" s="32">
        <f t="shared" si="114"/>
        <v>-1</v>
      </c>
      <c r="BC54" s="31">
        <f>Recu3!BC54</f>
        <v>0</v>
      </c>
      <c r="BD54" s="32">
        <f t="shared" si="115"/>
        <v>-1</v>
      </c>
      <c r="BE54" s="31">
        <f>Recu3!BE54</f>
        <v>0</v>
      </c>
      <c r="BF54" s="32">
        <f t="shared" si="116"/>
        <v>-1</v>
      </c>
      <c r="BG54" s="31">
        <f>Recu3!BG54</f>
        <v>0</v>
      </c>
      <c r="BH54" s="32">
        <f t="shared" si="117"/>
        <v>-1</v>
      </c>
      <c r="BI54" s="31">
        <f>Recu3!BI54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Recu3!B55</f>
        <v>0</v>
      </c>
      <c r="C55" s="31">
        <f>Recu3!C55</f>
        <v>0</v>
      </c>
      <c r="D55" s="32">
        <f t="shared" si="89"/>
        <v>-1</v>
      </c>
      <c r="E55" s="31">
        <f>Recu3!E55</f>
        <v>0</v>
      </c>
      <c r="F55" s="32">
        <f t="shared" si="90"/>
        <v>-1</v>
      </c>
      <c r="G55" s="31">
        <f>Recu3!G55</f>
        <v>0</v>
      </c>
      <c r="H55" s="32">
        <f t="shared" si="91"/>
        <v>-1</v>
      </c>
      <c r="I55" s="31">
        <f>Recu3!I55</f>
        <v>0</v>
      </c>
      <c r="J55" s="32">
        <f t="shared" si="92"/>
        <v>-1</v>
      </c>
      <c r="K55" s="31">
        <f>Recu3!K55</f>
        <v>0</v>
      </c>
      <c r="L55" s="32">
        <f t="shared" si="93"/>
        <v>-1</v>
      </c>
      <c r="M55" s="31">
        <f>Recu3!M55</f>
        <v>0</v>
      </c>
      <c r="N55" s="32">
        <f t="shared" si="94"/>
        <v>-1</v>
      </c>
      <c r="O55" s="31">
        <f>Recu3!O55</f>
        <v>0</v>
      </c>
      <c r="P55" s="32">
        <f t="shared" si="95"/>
        <v>-1</v>
      </c>
      <c r="Q55" s="31">
        <f>Recu3!Q55</f>
        <v>0</v>
      </c>
      <c r="R55" s="32">
        <f t="shared" si="96"/>
        <v>-1</v>
      </c>
      <c r="S55" s="31">
        <f>Recu3!S55</f>
        <v>0</v>
      </c>
      <c r="T55" s="32">
        <f t="shared" si="97"/>
        <v>-1</v>
      </c>
      <c r="U55" s="31">
        <f>Recu3!U55</f>
        <v>0</v>
      </c>
      <c r="V55" s="32">
        <f t="shared" si="98"/>
        <v>-1</v>
      </c>
      <c r="W55" s="31">
        <f>Recu3!W55</f>
        <v>0</v>
      </c>
      <c r="X55" s="32">
        <f t="shared" si="99"/>
        <v>-1</v>
      </c>
      <c r="Y55" s="31">
        <f>Recu3!Y55</f>
        <v>0</v>
      </c>
      <c r="Z55" s="32">
        <f t="shared" si="100"/>
        <v>-1</v>
      </c>
      <c r="AA55" s="31">
        <f>Recu3!AA55</f>
        <v>0</v>
      </c>
      <c r="AB55" s="32">
        <f t="shared" si="101"/>
        <v>-1</v>
      </c>
      <c r="AC55" s="31">
        <f>Recu3!AC55</f>
        <v>0</v>
      </c>
      <c r="AD55" s="32">
        <f t="shared" si="102"/>
        <v>-1</v>
      </c>
      <c r="AE55" s="31">
        <f>Recu3!AE55</f>
        <v>0</v>
      </c>
      <c r="AF55" s="32">
        <f t="shared" si="103"/>
        <v>-1</v>
      </c>
      <c r="AG55" s="31">
        <f>Recu3!AG55</f>
        <v>0</v>
      </c>
      <c r="AH55" s="32">
        <f t="shared" si="104"/>
        <v>-1</v>
      </c>
      <c r="AI55" s="31">
        <f>Recu3!AI55</f>
        <v>0</v>
      </c>
      <c r="AJ55" s="32">
        <f t="shared" si="105"/>
        <v>-1</v>
      </c>
      <c r="AK55" s="31">
        <f>Recu3!AK55</f>
        <v>0</v>
      </c>
      <c r="AL55" s="32">
        <f t="shared" si="106"/>
        <v>-1</v>
      </c>
      <c r="AM55" s="31">
        <f>Recu3!AM55</f>
        <v>0</v>
      </c>
      <c r="AN55" s="32">
        <f t="shared" si="107"/>
        <v>-1</v>
      </c>
      <c r="AO55" s="31">
        <f>Recu3!AO55</f>
        <v>0</v>
      </c>
      <c r="AP55" s="32">
        <f t="shared" si="108"/>
        <v>-1</v>
      </c>
      <c r="AQ55" s="31">
        <f>Recu3!AQ55</f>
        <v>0</v>
      </c>
      <c r="AR55" s="32">
        <f t="shared" si="109"/>
        <v>-1</v>
      </c>
      <c r="AS55" s="31">
        <f>Recu3!AS55</f>
        <v>0</v>
      </c>
      <c r="AT55" s="32">
        <f t="shared" si="110"/>
        <v>-1</v>
      </c>
      <c r="AU55" s="31">
        <f>Recu3!AU55</f>
        <v>0</v>
      </c>
      <c r="AV55" s="32">
        <f t="shared" si="111"/>
        <v>-1</v>
      </c>
      <c r="AW55" s="31">
        <f>Recu3!AW55</f>
        <v>0</v>
      </c>
      <c r="AX55" s="32">
        <f t="shared" si="112"/>
        <v>-1</v>
      </c>
      <c r="AY55" s="31">
        <f>Recu3!AY55</f>
        <v>0</v>
      </c>
      <c r="AZ55" s="32">
        <f t="shared" si="113"/>
        <v>-1</v>
      </c>
      <c r="BA55" s="31">
        <f>Recu3!BA55</f>
        <v>0</v>
      </c>
      <c r="BB55" s="32">
        <f t="shared" si="114"/>
        <v>-1</v>
      </c>
      <c r="BC55" s="31">
        <f>Recu3!BC55</f>
        <v>0</v>
      </c>
      <c r="BD55" s="32">
        <f t="shared" si="115"/>
        <v>-1</v>
      </c>
      <c r="BE55" s="31">
        <f>Recu3!BE55</f>
        <v>0</v>
      </c>
      <c r="BF55" s="32">
        <f t="shared" si="116"/>
        <v>-1</v>
      </c>
      <c r="BG55" s="31">
        <f>Recu3!BG55</f>
        <v>0</v>
      </c>
      <c r="BH55" s="32">
        <f t="shared" si="117"/>
        <v>-1</v>
      </c>
      <c r="BI55" s="31">
        <f>Recu3!BI55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Recu3!B56</f>
        <v>0</v>
      </c>
      <c r="C56" s="31">
        <f>Recu3!C56</f>
        <v>0</v>
      </c>
      <c r="D56" s="32">
        <f t="shared" si="89"/>
        <v>-1</v>
      </c>
      <c r="E56" s="31">
        <f>Recu3!E56</f>
        <v>0</v>
      </c>
      <c r="F56" s="32">
        <f t="shared" si="90"/>
        <v>-1</v>
      </c>
      <c r="G56" s="31">
        <f>Recu3!G56</f>
        <v>0</v>
      </c>
      <c r="H56" s="32">
        <f t="shared" si="91"/>
        <v>-1</v>
      </c>
      <c r="I56" s="31">
        <f>Recu3!I56</f>
        <v>0</v>
      </c>
      <c r="J56" s="32">
        <f t="shared" si="92"/>
        <v>-1</v>
      </c>
      <c r="K56" s="31">
        <f>Recu3!K56</f>
        <v>0</v>
      </c>
      <c r="L56" s="32">
        <f t="shared" si="93"/>
        <v>-1</v>
      </c>
      <c r="M56" s="31">
        <f>Recu3!M56</f>
        <v>0</v>
      </c>
      <c r="N56" s="32">
        <f t="shared" si="94"/>
        <v>-1</v>
      </c>
      <c r="O56" s="31">
        <f>Recu3!O56</f>
        <v>0</v>
      </c>
      <c r="P56" s="32">
        <f t="shared" si="95"/>
        <v>-1</v>
      </c>
      <c r="Q56" s="31">
        <f>Recu3!Q56</f>
        <v>0</v>
      </c>
      <c r="R56" s="32">
        <f t="shared" si="96"/>
        <v>-1</v>
      </c>
      <c r="S56" s="31">
        <f>Recu3!S56</f>
        <v>0</v>
      </c>
      <c r="T56" s="32">
        <f t="shared" si="97"/>
        <v>-1</v>
      </c>
      <c r="U56" s="31">
        <f>Recu3!U56</f>
        <v>0</v>
      </c>
      <c r="V56" s="32">
        <f t="shared" si="98"/>
        <v>-1</v>
      </c>
      <c r="W56" s="31">
        <f>Recu3!W56</f>
        <v>0</v>
      </c>
      <c r="X56" s="32">
        <f t="shared" si="99"/>
        <v>-1</v>
      </c>
      <c r="Y56" s="31">
        <f>Recu3!Y56</f>
        <v>0</v>
      </c>
      <c r="Z56" s="32">
        <f t="shared" si="100"/>
        <v>-1</v>
      </c>
      <c r="AA56" s="31">
        <f>Recu3!AA56</f>
        <v>0</v>
      </c>
      <c r="AB56" s="32">
        <f t="shared" si="101"/>
        <v>-1</v>
      </c>
      <c r="AC56" s="31">
        <f>Recu3!AC56</f>
        <v>0</v>
      </c>
      <c r="AD56" s="32">
        <f t="shared" si="102"/>
        <v>-1</v>
      </c>
      <c r="AE56" s="31">
        <f>Recu3!AE56</f>
        <v>0</v>
      </c>
      <c r="AF56" s="32">
        <f t="shared" si="103"/>
        <v>-1</v>
      </c>
      <c r="AG56" s="31">
        <f>Recu3!AG56</f>
        <v>0</v>
      </c>
      <c r="AH56" s="32">
        <f t="shared" si="104"/>
        <v>-1</v>
      </c>
      <c r="AI56" s="31">
        <f>Recu3!AI56</f>
        <v>0</v>
      </c>
      <c r="AJ56" s="32">
        <f t="shared" si="105"/>
        <v>-1</v>
      </c>
      <c r="AK56" s="31">
        <f>Recu3!AK56</f>
        <v>0</v>
      </c>
      <c r="AL56" s="32">
        <f t="shared" si="106"/>
        <v>-1</v>
      </c>
      <c r="AM56" s="31">
        <f>Recu3!AM56</f>
        <v>0</v>
      </c>
      <c r="AN56" s="32">
        <f t="shared" si="107"/>
        <v>-1</v>
      </c>
      <c r="AO56" s="31">
        <f>Recu3!AO56</f>
        <v>0</v>
      </c>
      <c r="AP56" s="32">
        <f t="shared" si="108"/>
        <v>-1</v>
      </c>
      <c r="AQ56" s="31">
        <f>Recu3!AQ56</f>
        <v>0</v>
      </c>
      <c r="AR56" s="32">
        <f t="shared" si="109"/>
        <v>-1</v>
      </c>
      <c r="AS56" s="31">
        <f>Recu3!AS56</f>
        <v>0</v>
      </c>
      <c r="AT56" s="32">
        <f t="shared" si="110"/>
        <v>-1</v>
      </c>
      <c r="AU56" s="31">
        <f>Recu3!AU56</f>
        <v>0</v>
      </c>
      <c r="AV56" s="32">
        <f t="shared" si="111"/>
        <v>-1</v>
      </c>
      <c r="AW56" s="31">
        <f>Recu3!AW56</f>
        <v>0</v>
      </c>
      <c r="AX56" s="32">
        <f t="shared" si="112"/>
        <v>-1</v>
      </c>
      <c r="AY56" s="31">
        <f>Recu3!AY56</f>
        <v>0</v>
      </c>
      <c r="AZ56" s="32">
        <f t="shared" si="113"/>
        <v>-1</v>
      </c>
      <c r="BA56" s="31">
        <f>Recu3!BA56</f>
        <v>0</v>
      </c>
      <c r="BB56" s="32">
        <f t="shared" si="114"/>
        <v>-1</v>
      </c>
      <c r="BC56" s="31">
        <f>Recu3!BC56</f>
        <v>0</v>
      </c>
      <c r="BD56" s="32">
        <f t="shared" si="115"/>
        <v>-1</v>
      </c>
      <c r="BE56" s="31">
        <f>Recu3!BE56</f>
        <v>0</v>
      </c>
      <c r="BF56" s="32">
        <f t="shared" si="116"/>
        <v>-1</v>
      </c>
      <c r="BG56" s="31">
        <f>Recu3!BG56</f>
        <v>0</v>
      </c>
      <c r="BH56" s="32">
        <f t="shared" si="117"/>
        <v>-1</v>
      </c>
      <c r="BI56" s="31">
        <f>Recu3!BI56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Recu3!B57</f>
        <v>0</v>
      </c>
      <c r="C57" s="31">
        <f>Recu3!C57</f>
        <v>0</v>
      </c>
      <c r="D57" s="32">
        <f t="shared" si="89"/>
        <v>-1</v>
      </c>
      <c r="E57" s="31">
        <f>Recu3!E57</f>
        <v>0</v>
      </c>
      <c r="F57" s="32">
        <f t="shared" si="90"/>
        <v>-1</v>
      </c>
      <c r="G57" s="31">
        <f>Recu3!G57</f>
        <v>0</v>
      </c>
      <c r="H57" s="32">
        <f t="shared" si="91"/>
        <v>-1</v>
      </c>
      <c r="I57" s="31">
        <f>Recu3!I57</f>
        <v>0</v>
      </c>
      <c r="J57" s="32">
        <f t="shared" si="92"/>
        <v>-1</v>
      </c>
      <c r="K57" s="31">
        <f>Recu3!K57</f>
        <v>0</v>
      </c>
      <c r="L57" s="32">
        <f t="shared" si="93"/>
        <v>-1</v>
      </c>
      <c r="M57" s="31">
        <f>Recu3!M57</f>
        <v>0</v>
      </c>
      <c r="N57" s="32">
        <f t="shared" si="94"/>
        <v>-1</v>
      </c>
      <c r="O57" s="31">
        <f>Recu3!O57</f>
        <v>0</v>
      </c>
      <c r="P57" s="32">
        <f t="shared" si="95"/>
        <v>-1</v>
      </c>
      <c r="Q57" s="31">
        <f>Recu3!Q57</f>
        <v>0</v>
      </c>
      <c r="R57" s="32">
        <f t="shared" si="96"/>
        <v>-1</v>
      </c>
      <c r="S57" s="31">
        <f>Recu3!S57</f>
        <v>0</v>
      </c>
      <c r="T57" s="32">
        <f t="shared" si="97"/>
        <v>-1</v>
      </c>
      <c r="U57" s="31">
        <f>Recu3!U57</f>
        <v>0</v>
      </c>
      <c r="V57" s="32">
        <f t="shared" si="98"/>
        <v>-1</v>
      </c>
      <c r="W57" s="31">
        <f>Recu3!W57</f>
        <v>0</v>
      </c>
      <c r="X57" s="32">
        <f t="shared" si="99"/>
        <v>-1</v>
      </c>
      <c r="Y57" s="31">
        <f>Recu3!Y57</f>
        <v>0</v>
      </c>
      <c r="Z57" s="32">
        <f t="shared" si="100"/>
        <v>-1</v>
      </c>
      <c r="AA57" s="31">
        <f>Recu3!AA57</f>
        <v>0</v>
      </c>
      <c r="AB57" s="32">
        <f t="shared" si="101"/>
        <v>-1</v>
      </c>
      <c r="AC57" s="31">
        <f>Recu3!AC57</f>
        <v>0</v>
      </c>
      <c r="AD57" s="32">
        <f t="shared" si="102"/>
        <v>-1</v>
      </c>
      <c r="AE57" s="31">
        <f>Recu3!AE57</f>
        <v>0</v>
      </c>
      <c r="AF57" s="32">
        <f t="shared" si="103"/>
        <v>-1</v>
      </c>
      <c r="AG57" s="31">
        <f>Recu3!AG57</f>
        <v>0</v>
      </c>
      <c r="AH57" s="32">
        <f t="shared" si="104"/>
        <v>-1</v>
      </c>
      <c r="AI57" s="31">
        <f>Recu3!AI57</f>
        <v>0</v>
      </c>
      <c r="AJ57" s="32">
        <f t="shared" si="105"/>
        <v>-1</v>
      </c>
      <c r="AK57" s="31">
        <f>Recu3!AK57</f>
        <v>0</v>
      </c>
      <c r="AL57" s="32">
        <f t="shared" si="106"/>
        <v>-1</v>
      </c>
      <c r="AM57" s="31">
        <f>Recu3!AM57</f>
        <v>0</v>
      </c>
      <c r="AN57" s="32">
        <f t="shared" si="107"/>
        <v>-1</v>
      </c>
      <c r="AO57" s="31">
        <f>Recu3!AO57</f>
        <v>0</v>
      </c>
      <c r="AP57" s="32">
        <f t="shared" si="108"/>
        <v>-1</v>
      </c>
      <c r="AQ57" s="31">
        <f>Recu3!AQ57</f>
        <v>0</v>
      </c>
      <c r="AR57" s="32">
        <f t="shared" si="109"/>
        <v>-1</v>
      </c>
      <c r="AS57" s="31">
        <f>Recu3!AS57</f>
        <v>0</v>
      </c>
      <c r="AT57" s="32">
        <f t="shared" si="110"/>
        <v>-1</v>
      </c>
      <c r="AU57" s="31">
        <f>Recu3!AU57</f>
        <v>0</v>
      </c>
      <c r="AV57" s="32">
        <f t="shared" si="111"/>
        <v>-1</v>
      </c>
      <c r="AW57" s="31">
        <f>Recu3!AW57</f>
        <v>0</v>
      </c>
      <c r="AX57" s="32">
        <f t="shared" si="112"/>
        <v>-1</v>
      </c>
      <c r="AY57" s="31">
        <f>Recu3!AY57</f>
        <v>0</v>
      </c>
      <c r="AZ57" s="32">
        <f t="shared" si="113"/>
        <v>-1</v>
      </c>
      <c r="BA57" s="31">
        <f>Recu3!BA57</f>
        <v>0</v>
      </c>
      <c r="BB57" s="32">
        <f t="shared" si="114"/>
        <v>-1</v>
      </c>
      <c r="BC57" s="31">
        <f>Recu3!BC57</f>
        <v>0</v>
      </c>
      <c r="BD57" s="32">
        <f t="shared" si="115"/>
        <v>-1</v>
      </c>
      <c r="BE57" s="31">
        <f>Recu3!BE57</f>
        <v>0</v>
      </c>
      <c r="BF57" s="32">
        <f t="shared" si="116"/>
        <v>-1</v>
      </c>
      <c r="BG57" s="31">
        <f>Recu3!BG57</f>
        <v>0</v>
      </c>
      <c r="BH57" s="32">
        <f t="shared" si="117"/>
        <v>-1</v>
      </c>
      <c r="BI57" s="31">
        <f>Recu3!BI57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Recu3!B58</f>
        <v>0</v>
      </c>
      <c r="C58" s="31">
        <f>Recu3!C58</f>
        <v>0</v>
      </c>
      <c r="D58" s="32">
        <f t="shared" si="89"/>
        <v>-1</v>
      </c>
      <c r="E58" s="31">
        <f>Recu3!E58</f>
        <v>0</v>
      </c>
      <c r="F58" s="32">
        <f t="shared" si="90"/>
        <v>-1</v>
      </c>
      <c r="G58" s="31">
        <f>Recu3!G58</f>
        <v>0</v>
      </c>
      <c r="H58" s="32">
        <f t="shared" si="91"/>
        <v>-1</v>
      </c>
      <c r="I58" s="31">
        <f>Recu3!I58</f>
        <v>0</v>
      </c>
      <c r="J58" s="32">
        <f t="shared" si="92"/>
        <v>-1</v>
      </c>
      <c r="K58" s="31">
        <f>Recu3!K58</f>
        <v>0</v>
      </c>
      <c r="L58" s="32">
        <f t="shared" si="93"/>
        <v>-1</v>
      </c>
      <c r="M58" s="31">
        <f>Recu3!M58</f>
        <v>0</v>
      </c>
      <c r="N58" s="32">
        <f t="shared" si="94"/>
        <v>-1</v>
      </c>
      <c r="O58" s="31">
        <f>Recu3!O58</f>
        <v>0</v>
      </c>
      <c r="P58" s="32">
        <f t="shared" si="95"/>
        <v>-1</v>
      </c>
      <c r="Q58" s="31">
        <f>Recu3!Q58</f>
        <v>0</v>
      </c>
      <c r="R58" s="32">
        <f t="shared" si="96"/>
        <v>-1</v>
      </c>
      <c r="S58" s="31">
        <f>Recu3!S58</f>
        <v>0</v>
      </c>
      <c r="T58" s="32">
        <f t="shared" si="97"/>
        <v>-1</v>
      </c>
      <c r="U58" s="31">
        <f>Recu3!U58</f>
        <v>0</v>
      </c>
      <c r="V58" s="32">
        <f t="shared" si="98"/>
        <v>-1</v>
      </c>
      <c r="W58" s="31">
        <f>Recu3!W58</f>
        <v>0</v>
      </c>
      <c r="X58" s="32">
        <f t="shared" si="99"/>
        <v>-1</v>
      </c>
      <c r="Y58" s="31">
        <f>Recu3!Y58</f>
        <v>0</v>
      </c>
      <c r="Z58" s="32">
        <f t="shared" si="100"/>
        <v>-1</v>
      </c>
      <c r="AA58" s="31">
        <f>Recu3!AA58</f>
        <v>0</v>
      </c>
      <c r="AB58" s="32">
        <f t="shared" si="101"/>
        <v>-1</v>
      </c>
      <c r="AC58" s="31">
        <f>Recu3!AC58</f>
        <v>0</v>
      </c>
      <c r="AD58" s="32">
        <f t="shared" si="102"/>
        <v>-1</v>
      </c>
      <c r="AE58" s="31">
        <f>Recu3!AE58</f>
        <v>0</v>
      </c>
      <c r="AF58" s="32">
        <f t="shared" si="103"/>
        <v>-1</v>
      </c>
      <c r="AG58" s="31">
        <f>Recu3!AG58</f>
        <v>0</v>
      </c>
      <c r="AH58" s="32">
        <f t="shared" si="104"/>
        <v>-1</v>
      </c>
      <c r="AI58" s="31">
        <f>Recu3!AI58</f>
        <v>0</v>
      </c>
      <c r="AJ58" s="32">
        <f t="shared" si="105"/>
        <v>-1</v>
      </c>
      <c r="AK58" s="31">
        <f>Recu3!AK58</f>
        <v>0</v>
      </c>
      <c r="AL58" s="32">
        <f t="shared" si="106"/>
        <v>-1</v>
      </c>
      <c r="AM58" s="31">
        <f>Recu3!AM58</f>
        <v>0</v>
      </c>
      <c r="AN58" s="32">
        <f t="shared" si="107"/>
        <v>-1</v>
      </c>
      <c r="AO58" s="31">
        <f>Recu3!AO58</f>
        <v>0</v>
      </c>
      <c r="AP58" s="32">
        <f t="shared" si="108"/>
        <v>-1</v>
      </c>
      <c r="AQ58" s="31">
        <f>Recu3!AQ58</f>
        <v>0</v>
      </c>
      <c r="AR58" s="32">
        <f t="shared" si="109"/>
        <v>-1</v>
      </c>
      <c r="AS58" s="31">
        <f>Recu3!AS58</f>
        <v>0</v>
      </c>
      <c r="AT58" s="32">
        <f t="shared" si="110"/>
        <v>-1</v>
      </c>
      <c r="AU58" s="31">
        <f>Recu3!AU58</f>
        <v>0</v>
      </c>
      <c r="AV58" s="32">
        <f t="shared" si="111"/>
        <v>-1</v>
      </c>
      <c r="AW58" s="31">
        <f>Recu3!AW58</f>
        <v>0</v>
      </c>
      <c r="AX58" s="32">
        <f t="shared" si="112"/>
        <v>-1</v>
      </c>
      <c r="AY58" s="31">
        <f>Recu3!AY58</f>
        <v>0</v>
      </c>
      <c r="AZ58" s="32">
        <f t="shared" si="113"/>
        <v>-1</v>
      </c>
      <c r="BA58" s="31">
        <f>Recu3!BA58</f>
        <v>0</v>
      </c>
      <c r="BB58" s="32">
        <f t="shared" si="114"/>
        <v>-1</v>
      </c>
      <c r="BC58" s="31">
        <f>Recu3!BC58</f>
        <v>0</v>
      </c>
      <c r="BD58" s="32">
        <f t="shared" si="115"/>
        <v>-1</v>
      </c>
      <c r="BE58" s="31">
        <f>Recu3!BE58</f>
        <v>0</v>
      </c>
      <c r="BF58" s="32">
        <f t="shared" si="116"/>
        <v>-1</v>
      </c>
      <c r="BG58" s="31">
        <f>Recu3!BG58</f>
        <v>0</v>
      </c>
      <c r="BH58" s="32">
        <f t="shared" si="117"/>
        <v>-1</v>
      </c>
      <c r="BI58" s="31">
        <f>Recu3!BI58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2" t="str">
        <f>IF(SUM($B60:$B63)&lt;&gt;0,SUM(C60:C63)/SUM($B60:$B63)*$B59*10, "")</f>
        <v/>
      </c>
      <c r="D59" s="52"/>
      <c r="E59" s="52" t="str">
        <f>IF(SUM($B60:$B63)&lt;&gt;0,SUM(E60:E63)/SUM($B60:$B63)*$B59*10, "")</f>
        <v/>
      </c>
      <c r="F59" s="52"/>
      <c r="G59" s="52" t="str">
        <f>IF(SUM($B60:$B63)&lt;&gt;0,SUM(G60:G63)/SUM($B60:$B63)*$B59*10, "")</f>
        <v/>
      </c>
      <c r="H59" s="52"/>
      <c r="I59" s="52" t="str">
        <f>IF(SUM($B60:$B63)&lt;&gt;0,SUM(I60:I63)/SUM($B60:$B63)*$B59*10, "")</f>
        <v/>
      </c>
      <c r="J59" s="52"/>
      <c r="K59" s="52" t="str">
        <f>IF(SUM($B60:$B63)&lt;&gt;0,SUM(K60:K63)/SUM($B60:$B63)*$B59*10, "")</f>
        <v/>
      </c>
      <c r="L59" s="52"/>
      <c r="M59" s="52" t="str">
        <f>IF(SUM($B60:$B63)&lt;&gt;0,SUM(M60:M63)/SUM($B60:$B63)*$B59*10, "")</f>
        <v/>
      </c>
      <c r="N59" s="52"/>
      <c r="O59" s="52" t="str">
        <f>IF(SUM($B60:$B63)&lt;&gt;0,SUM(O60:O63)/SUM($B60:$B63)*$B59*10, "")</f>
        <v/>
      </c>
      <c r="P59" s="52"/>
      <c r="Q59" s="52" t="str">
        <f>IF(SUM($B60:$B63)&lt;&gt;0,SUM(Q60:Q63)/SUM($B60:$B63)*$B59*10, "")</f>
        <v/>
      </c>
      <c r="R59" s="52"/>
      <c r="S59" s="52" t="str">
        <f>IF(SUM($B60:$B63)&lt;&gt;0,SUM(S60:S63)/SUM($B60:$B63)*$B59*10, "")</f>
        <v/>
      </c>
      <c r="T59" s="52"/>
      <c r="U59" s="52" t="str">
        <f>IF(SUM($B60:$B63)&lt;&gt;0,SUM(U60:U63)/SUM($B60:$B63)*$B59*10, "")</f>
        <v/>
      </c>
      <c r="V59" s="52"/>
      <c r="W59" s="52" t="str">
        <f>IF(SUM($B60:$B63)&lt;&gt;0,SUM(W60:W63)/SUM($B60:$B63)*$B59*10, "")</f>
        <v/>
      </c>
      <c r="X59" s="52"/>
      <c r="Y59" s="52" t="str">
        <f>IF(SUM($B60:$B63)&lt;&gt;0,SUM(Y60:Y63)/SUM($B60:$B63)*$B59*10, "")</f>
        <v/>
      </c>
      <c r="Z59" s="52"/>
      <c r="AA59" s="52" t="str">
        <f>IF(SUM($B60:$B63)&lt;&gt;0,SUM(AA60:AA63)/SUM($B60:$B63)*$B59*10, "")</f>
        <v/>
      </c>
      <c r="AB59" s="52"/>
      <c r="AC59" s="52" t="str">
        <f>IF(SUM($B60:$B63)&lt;&gt;0,SUM(AC60:AC63)/SUM($B60:$B63)*$B59*10, "")</f>
        <v/>
      </c>
      <c r="AD59" s="52"/>
      <c r="AE59" s="52" t="str">
        <f>IF(SUM($B60:$B63)&lt;&gt;0,SUM(AE60:AE63)/SUM($B60:$B63)*$B59*10, "")</f>
        <v/>
      </c>
      <c r="AF59" s="52"/>
      <c r="AG59" s="52" t="str">
        <f>IF(SUM($B60:$B63)&lt;&gt;0,SUM(AG60:AG63)/SUM($B60:$B63)*$B59*10, "")</f>
        <v/>
      </c>
      <c r="AH59" s="52"/>
      <c r="AI59" s="52" t="str">
        <f>IF(SUM($B60:$B63)&lt;&gt;0,SUM(AI60:AI63)/SUM($B60:$B63)*$B59*10, "")</f>
        <v/>
      </c>
      <c r="AJ59" s="52"/>
      <c r="AK59" s="52" t="str">
        <f>IF(SUM($B60:$B63)&lt;&gt;0,SUM(AK60:AK63)/SUM($B60:$B63)*$B59*10, "")</f>
        <v/>
      </c>
      <c r="AL59" s="52"/>
      <c r="AM59" s="52" t="str">
        <f>IF(SUM($B60:$B63)&lt;&gt;0,SUM(AM60:AM63)/SUM($B60:$B63)*$B59*10, "")</f>
        <v/>
      </c>
      <c r="AN59" s="52"/>
      <c r="AO59" s="52" t="str">
        <f>IF(SUM($B60:$B63)&lt;&gt;0,SUM(AO60:AO63)/SUM($B60:$B63)*$B59*10, "")</f>
        <v/>
      </c>
      <c r="AP59" s="52"/>
      <c r="AQ59" s="52" t="str">
        <f>IF(SUM($B60:$B63)&lt;&gt;0,SUM(AQ60:AQ63)/SUM($B60:$B63)*$B59*10, "")</f>
        <v/>
      </c>
      <c r="AR59" s="52"/>
      <c r="AS59" s="52" t="str">
        <f>IF(SUM($B60:$B63)&lt;&gt;0,SUM(AS60:AS63)/SUM($B60:$B63)*$B59*10, "")</f>
        <v/>
      </c>
      <c r="AT59" s="52"/>
      <c r="AU59" s="52" t="str">
        <f>IF(SUM($B60:$B63)&lt;&gt;0,SUM(AU60:AU63)/SUM($B60:$B63)*$B59*10, "")</f>
        <v/>
      </c>
      <c r="AV59" s="52"/>
      <c r="AW59" s="52" t="str">
        <f>IF(SUM($B60:$B63)&lt;&gt;0,SUM(AW60:AW63)/SUM($B60:$B63)*$B59*10, "")</f>
        <v/>
      </c>
      <c r="AX59" s="52"/>
      <c r="AY59" s="52" t="str">
        <f>IF(SUM($B60:$B63)&lt;&gt;0,SUM(AY60:AY63)/SUM($B60:$B63)*$B59*10, "")</f>
        <v/>
      </c>
      <c r="AZ59" s="52"/>
      <c r="BA59" s="52" t="str">
        <f>IF(SUM($B60:$B63)&lt;&gt;0,SUM(BA60:BA63)/SUM($B60:$B63)*$B59*10, "")</f>
        <v/>
      </c>
      <c r="BB59" s="52"/>
      <c r="BC59" s="52" t="str">
        <f>IF(SUM($B60:$B63)&lt;&gt;0,SUM(BC60:BC63)/SUM($B60:$B63)*$B59*10, "")</f>
        <v/>
      </c>
      <c r="BD59" s="52"/>
      <c r="BE59" s="52" t="str">
        <f>IF(SUM($B60:$B63)&lt;&gt;0,SUM(BE60:BE63)/SUM($B60:$B63)*$B59*10, "")</f>
        <v/>
      </c>
      <c r="BF59" s="52"/>
      <c r="BG59" s="52" t="str">
        <f>IF(SUM($B60:$B63)&lt;&gt;0,SUM(BG60:BG63)/SUM($B60:$B63)*$B59*10, "")</f>
        <v/>
      </c>
      <c r="BH59" s="52"/>
      <c r="BI59" s="52" t="str">
        <f>IF(SUM($B60:$B63)&lt;&gt;0,SUM(BI60:BI63)/SUM($B60:$B63)*$B59*10, "")</f>
        <v/>
      </c>
      <c r="BJ59" s="52"/>
    </row>
    <row r="60" spans="1:62" ht="28" x14ac:dyDescent="0.2">
      <c r="A60" s="2" t="s">
        <v>59</v>
      </c>
      <c r="B60" s="13">
        <f>Recu3!B60</f>
        <v>0</v>
      </c>
      <c r="C60" s="31">
        <f>Recu3!C60</f>
        <v>0</v>
      </c>
      <c r="D60" s="32">
        <f>IF($B60,C60/$B60,-1)</f>
        <v>-1</v>
      </c>
      <c r="E60" s="31">
        <f>Recu3!E60</f>
        <v>0</v>
      </c>
      <c r="F60" s="32">
        <f>IF($B60,E60/$B60,-1)</f>
        <v>-1</v>
      </c>
      <c r="G60" s="31">
        <f>Recu3!G60</f>
        <v>0</v>
      </c>
      <c r="H60" s="32">
        <f>IF($B60,G60/$B60,-1)</f>
        <v>-1</v>
      </c>
      <c r="I60" s="31">
        <f>Recu3!I60</f>
        <v>0</v>
      </c>
      <c r="J60" s="32">
        <f>IF($B60,I60/$B60,-1)</f>
        <v>-1</v>
      </c>
      <c r="K60" s="31">
        <f>Recu3!K60</f>
        <v>0</v>
      </c>
      <c r="L60" s="32">
        <f>IF($B60,K60/$B60,-1)</f>
        <v>-1</v>
      </c>
      <c r="M60" s="31">
        <f>Recu3!M60</f>
        <v>0</v>
      </c>
      <c r="N60" s="32">
        <f>IF($B60,M60/$B60,-1)</f>
        <v>-1</v>
      </c>
      <c r="O60" s="31">
        <f>Recu3!O60</f>
        <v>0</v>
      </c>
      <c r="P60" s="32">
        <f>IF($B60,O60/$B60,-1)</f>
        <v>-1</v>
      </c>
      <c r="Q60" s="31">
        <f>Recu3!Q60</f>
        <v>0</v>
      </c>
      <c r="R60" s="32">
        <f>IF($B60,Q60/$B60,-1)</f>
        <v>-1</v>
      </c>
      <c r="S60" s="31">
        <f>Recu3!S60</f>
        <v>0</v>
      </c>
      <c r="T60" s="32">
        <f>IF($B60,S60/$B60,-1)</f>
        <v>-1</v>
      </c>
      <c r="U60" s="31">
        <f>Recu3!U60</f>
        <v>0</v>
      </c>
      <c r="V60" s="32">
        <f>IF($B60,U60/$B60,-1)</f>
        <v>-1</v>
      </c>
      <c r="W60" s="31">
        <f>Recu3!W60</f>
        <v>0</v>
      </c>
      <c r="X60" s="32">
        <f>IF($B60,W60/$B60,-1)</f>
        <v>-1</v>
      </c>
      <c r="Y60" s="31">
        <f>Recu3!Y60</f>
        <v>0</v>
      </c>
      <c r="Z60" s="32">
        <f>IF($B60,Y60/$B60,-1)</f>
        <v>-1</v>
      </c>
      <c r="AA60" s="31">
        <f>Recu3!AA60</f>
        <v>0</v>
      </c>
      <c r="AB60" s="32">
        <f>IF($B60,AA60/$B60,-1)</f>
        <v>-1</v>
      </c>
      <c r="AC60" s="31">
        <f>Recu3!AC60</f>
        <v>0</v>
      </c>
      <c r="AD60" s="32">
        <f>IF($B60,AC60/$B60,-1)</f>
        <v>-1</v>
      </c>
      <c r="AE60" s="31">
        <f>Recu3!AE60</f>
        <v>0</v>
      </c>
      <c r="AF60" s="32">
        <f>IF($B60,AE60/$B60,-1)</f>
        <v>-1</v>
      </c>
      <c r="AG60" s="31">
        <f>Recu3!AG60</f>
        <v>0</v>
      </c>
      <c r="AH60" s="32">
        <f>IF($B60,AG60/$B60,-1)</f>
        <v>-1</v>
      </c>
      <c r="AI60" s="31">
        <f>Recu3!AI60</f>
        <v>0</v>
      </c>
      <c r="AJ60" s="32">
        <f>IF($B60,AI60/$B60,-1)</f>
        <v>-1</v>
      </c>
      <c r="AK60" s="31">
        <f>Recu3!AK60</f>
        <v>0</v>
      </c>
      <c r="AL60" s="32">
        <f>IF($B60,AK60/$B60,-1)</f>
        <v>-1</v>
      </c>
      <c r="AM60" s="31">
        <f>Recu3!AM60</f>
        <v>0</v>
      </c>
      <c r="AN60" s="32">
        <f>IF($B60,AM60/$B60,-1)</f>
        <v>-1</v>
      </c>
      <c r="AO60" s="31">
        <f>Recu3!AO60</f>
        <v>0</v>
      </c>
      <c r="AP60" s="32">
        <f>IF($B60,AO60/$B60,-1)</f>
        <v>-1</v>
      </c>
      <c r="AQ60" s="31">
        <f>Recu3!AQ60</f>
        <v>0</v>
      </c>
      <c r="AR60" s="32">
        <f>IF($B60,AQ60/$B60,-1)</f>
        <v>-1</v>
      </c>
      <c r="AS60" s="31">
        <f>Recu3!AS60</f>
        <v>0</v>
      </c>
      <c r="AT60" s="32">
        <f>IF($B60,AS60/$B60,-1)</f>
        <v>-1</v>
      </c>
      <c r="AU60" s="31">
        <f>Recu3!AU60</f>
        <v>0</v>
      </c>
      <c r="AV60" s="32">
        <f>IF($B60,AU60/$B60,-1)</f>
        <v>-1</v>
      </c>
      <c r="AW60" s="31">
        <f>Recu3!AW60</f>
        <v>0</v>
      </c>
      <c r="AX60" s="32">
        <f>IF($B60,AW60/$B60,-1)</f>
        <v>-1</v>
      </c>
      <c r="AY60" s="31">
        <f>Recu3!AY60</f>
        <v>0</v>
      </c>
      <c r="AZ60" s="32">
        <f>IF($B60,AY60/$B60,-1)</f>
        <v>-1</v>
      </c>
      <c r="BA60" s="31">
        <f>Recu3!BA60</f>
        <v>0</v>
      </c>
      <c r="BB60" s="32">
        <f>IF($B60,BA60/$B60,-1)</f>
        <v>-1</v>
      </c>
      <c r="BC60" s="31">
        <f>Recu3!BC60</f>
        <v>0</v>
      </c>
      <c r="BD60" s="32">
        <f>IF($B60,BC60/$B60,-1)</f>
        <v>-1</v>
      </c>
      <c r="BE60" s="31">
        <f>Recu3!BE60</f>
        <v>0</v>
      </c>
      <c r="BF60" s="32">
        <f>IF($B60,BE60/$B60,-1)</f>
        <v>-1</v>
      </c>
      <c r="BG60" s="31">
        <f>Recu3!BG60</f>
        <v>0</v>
      </c>
      <c r="BH60" s="32">
        <f>IF($B60,BG60/$B60,-1)</f>
        <v>-1</v>
      </c>
      <c r="BI60" s="31">
        <f>Recu3!BI60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Recu3!B61</f>
        <v>0</v>
      </c>
      <c r="C61" s="31">
        <f>Recu3!C61</f>
        <v>0</v>
      </c>
      <c r="D61" s="32">
        <f>IF($B61,C61/$B61,-1)</f>
        <v>-1</v>
      </c>
      <c r="E61" s="31">
        <f>Recu3!E61</f>
        <v>0</v>
      </c>
      <c r="F61" s="32">
        <f>IF($B61,E61/$B61,-1)</f>
        <v>-1</v>
      </c>
      <c r="G61" s="31">
        <f>Recu3!G61</f>
        <v>0</v>
      </c>
      <c r="H61" s="32">
        <f>IF($B61,G61/$B61,-1)</f>
        <v>-1</v>
      </c>
      <c r="I61" s="31">
        <f>Recu3!I61</f>
        <v>0</v>
      </c>
      <c r="J61" s="32">
        <f>IF($B61,I61/$B61,-1)</f>
        <v>-1</v>
      </c>
      <c r="K61" s="31">
        <f>Recu3!K61</f>
        <v>0</v>
      </c>
      <c r="L61" s="32">
        <f>IF($B61,K61/$B61,-1)</f>
        <v>-1</v>
      </c>
      <c r="M61" s="31">
        <f>Recu3!M61</f>
        <v>0</v>
      </c>
      <c r="N61" s="32">
        <f>IF($B61,M61/$B61,-1)</f>
        <v>-1</v>
      </c>
      <c r="O61" s="31">
        <f>Recu3!O61</f>
        <v>0</v>
      </c>
      <c r="P61" s="32">
        <f>IF($B61,O61/$B61,-1)</f>
        <v>-1</v>
      </c>
      <c r="Q61" s="31">
        <f>Recu3!Q61</f>
        <v>0</v>
      </c>
      <c r="R61" s="32">
        <f>IF($B61,Q61/$B61,-1)</f>
        <v>-1</v>
      </c>
      <c r="S61" s="31">
        <f>Recu3!S61</f>
        <v>0</v>
      </c>
      <c r="T61" s="32">
        <f>IF($B61,S61/$B61,-1)</f>
        <v>-1</v>
      </c>
      <c r="U61" s="31">
        <f>Recu3!U61</f>
        <v>0</v>
      </c>
      <c r="V61" s="32">
        <f>IF($B61,U61/$B61,-1)</f>
        <v>-1</v>
      </c>
      <c r="W61" s="31">
        <f>Recu3!W61</f>
        <v>0</v>
      </c>
      <c r="X61" s="32">
        <f>IF($B61,W61/$B61,-1)</f>
        <v>-1</v>
      </c>
      <c r="Y61" s="31">
        <f>Recu3!Y61</f>
        <v>0</v>
      </c>
      <c r="Z61" s="32">
        <f>IF($B61,Y61/$B61,-1)</f>
        <v>-1</v>
      </c>
      <c r="AA61" s="31">
        <f>Recu3!AA61</f>
        <v>0</v>
      </c>
      <c r="AB61" s="32">
        <f>IF($B61,AA61/$B61,-1)</f>
        <v>-1</v>
      </c>
      <c r="AC61" s="31">
        <f>Recu3!AC61</f>
        <v>0</v>
      </c>
      <c r="AD61" s="32">
        <f>IF($B61,AC61/$B61,-1)</f>
        <v>-1</v>
      </c>
      <c r="AE61" s="31">
        <f>Recu3!AE61</f>
        <v>0</v>
      </c>
      <c r="AF61" s="32">
        <f>IF($B61,AE61/$B61,-1)</f>
        <v>-1</v>
      </c>
      <c r="AG61" s="31">
        <f>Recu3!AG61</f>
        <v>0</v>
      </c>
      <c r="AH61" s="32">
        <f>IF($B61,AG61/$B61,-1)</f>
        <v>-1</v>
      </c>
      <c r="AI61" s="31">
        <f>Recu3!AI61</f>
        <v>0</v>
      </c>
      <c r="AJ61" s="32">
        <f>IF($B61,AI61/$B61,-1)</f>
        <v>-1</v>
      </c>
      <c r="AK61" s="31">
        <f>Recu3!AK61</f>
        <v>0</v>
      </c>
      <c r="AL61" s="32">
        <f>IF($B61,AK61/$B61,-1)</f>
        <v>-1</v>
      </c>
      <c r="AM61" s="31">
        <f>Recu3!AM61</f>
        <v>0</v>
      </c>
      <c r="AN61" s="32">
        <f>IF($B61,AM61/$B61,-1)</f>
        <v>-1</v>
      </c>
      <c r="AO61" s="31">
        <f>Recu3!AO61</f>
        <v>0</v>
      </c>
      <c r="AP61" s="32">
        <f>IF($B61,AO61/$B61,-1)</f>
        <v>-1</v>
      </c>
      <c r="AQ61" s="31">
        <f>Recu3!AQ61</f>
        <v>0</v>
      </c>
      <c r="AR61" s="32">
        <f>IF($B61,AQ61/$B61,-1)</f>
        <v>-1</v>
      </c>
      <c r="AS61" s="31">
        <f>Recu3!AS61</f>
        <v>0</v>
      </c>
      <c r="AT61" s="32">
        <f>IF($B61,AS61/$B61,-1)</f>
        <v>-1</v>
      </c>
      <c r="AU61" s="31">
        <f>Recu3!AU61</f>
        <v>0</v>
      </c>
      <c r="AV61" s="32">
        <f>IF($B61,AU61/$B61,-1)</f>
        <v>-1</v>
      </c>
      <c r="AW61" s="31">
        <f>Recu3!AW61</f>
        <v>0</v>
      </c>
      <c r="AX61" s="32">
        <f>IF($B61,AW61/$B61,-1)</f>
        <v>-1</v>
      </c>
      <c r="AY61" s="31">
        <f>Recu3!AY61</f>
        <v>0</v>
      </c>
      <c r="AZ61" s="32">
        <f>IF($B61,AY61/$B61,-1)</f>
        <v>-1</v>
      </c>
      <c r="BA61" s="31">
        <f>Recu3!BA61</f>
        <v>0</v>
      </c>
      <c r="BB61" s="32">
        <f>IF($B61,BA61/$B61,-1)</f>
        <v>-1</v>
      </c>
      <c r="BC61" s="31">
        <f>Recu3!BC61</f>
        <v>0</v>
      </c>
      <c r="BD61" s="32">
        <f>IF($B61,BC61/$B61,-1)</f>
        <v>-1</v>
      </c>
      <c r="BE61" s="31">
        <f>Recu3!BE61</f>
        <v>0</v>
      </c>
      <c r="BF61" s="32">
        <f>IF($B61,BE61/$B61,-1)</f>
        <v>-1</v>
      </c>
      <c r="BG61" s="31">
        <f>Recu3!BG61</f>
        <v>0</v>
      </c>
      <c r="BH61" s="32">
        <f>IF($B61,BG61/$B61,-1)</f>
        <v>-1</v>
      </c>
      <c r="BI61" s="31">
        <f>Recu3!BI61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Recu3!B62</f>
        <v>0</v>
      </c>
      <c r="C62" s="31">
        <f>Recu3!C62</f>
        <v>0</v>
      </c>
      <c r="D62" s="32">
        <f>IF($B62,C62/$B62,-1)</f>
        <v>-1</v>
      </c>
      <c r="E62" s="31">
        <f>Recu3!E62</f>
        <v>0</v>
      </c>
      <c r="F62" s="32">
        <f>IF($B62,E62/$B62,-1)</f>
        <v>-1</v>
      </c>
      <c r="G62" s="31">
        <f>Recu3!G62</f>
        <v>0</v>
      </c>
      <c r="H62" s="32">
        <f>IF($B62,G62/$B62,-1)</f>
        <v>-1</v>
      </c>
      <c r="I62" s="31">
        <f>Recu3!I62</f>
        <v>0</v>
      </c>
      <c r="J62" s="32">
        <f>IF($B62,I62/$B62,-1)</f>
        <v>-1</v>
      </c>
      <c r="K62" s="31">
        <f>Recu3!K62</f>
        <v>0</v>
      </c>
      <c r="L62" s="32">
        <f>IF($B62,K62/$B62,-1)</f>
        <v>-1</v>
      </c>
      <c r="M62" s="31">
        <f>Recu3!M62</f>
        <v>0</v>
      </c>
      <c r="N62" s="32">
        <f>IF($B62,M62/$B62,-1)</f>
        <v>-1</v>
      </c>
      <c r="O62" s="31">
        <f>Recu3!O62</f>
        <v>0</v>
      </c>
      <c r="P62" s="32">
        <f>IF($B62,O62/$B62,-1)</f>
        <v>-1</v>
      </c>
      <c r="Q62" s="31">
        <f>Recu3!Q62</f>
        <v>0</v>
      </c>
      <c r="R62" s="32">
        <f>IF($B62,Q62/$B62,-1)</f>
        <v>-1</v>
      </c>
      <c r="S62" s="31">
        <f>Recu3!S62</f>
        <v>0</v>
      </c>
      <c r="T62" s="32">
        <f>IF($B62,S62/$B62,-1)</f>
        <v>-1</v>
      </c>
      <c r="U62" s="31">
        <f>Recu3!U62</f>
        <v>0</v>
      </c>
      <c r="V62" s="32">
        <f>IF($B62,U62/$B62,-1)</f>
        <v>-1</v>
      </c>
      <c r="W62" s="31">
        <f>Recu3!W62</f>
        <v>0</v>
      </c>
      <c r="X62" s="32">
        <f>IF($B62,W62/$B62,-1)</f>
        <v>-1</v>
      </c>
      <c r="Y62" s="31">
        <f>Recu3!Y62</f>
        <v>0</v>
      </c>
      <c r="Z62" s="32">
        <f>IF($B62,Y62/$B62,-1)</f>
        <v>-1</v>
      </c>
      <c r="AA62" s="31">
        <f>Recu3!AA62</f>
        <v>0</v>
      </c>
      <c r="AB62" s="32">
        <f>IF($B62,AA62/$B62,-1)</f>
        <v>-1</v>
      </c>
      <c r="AC62" s="31">
        <f>Recu3!AC62</f>
        <v>0</v>
      </c>
      <c r="AD62" s="32">
        <f>IF($B62,AC62/$B62,-1)</f>
        <v>-1</v>
      </c>
      <c r="AE62" s="31">
        <f>Recu3!AE62</f>
        <v>0</v>
      </c>
      <c r="AF62" s="32">
        <f>IF($B62,AE62/$B62,-1)</f>
        <v>-1</v>
      </c>
      <c r="AG62" s="31">
        <f>Recu3!AG62</f>
        <v>0</v>
      </c>
      <c r="AH62" s="32">
        <f>IF($B62,AG62/$B62,-1)</f>
        <v>-1</v>
      </c>
      <c r="AI62" s="31">
        <f>Recu3!AI62</f>
        <v>0</v>
      </c>
      <c r="AJ62" s="32">
        <f>IF($B62,AI62/$B62,-1)</f>
        <v>-1</v>
      </c>
      <c r="AK62" s="31">
        <f>Recu3!AK62</f>
        <v>0</v>
      </c>
      <c r="AL62" s="32">
        <f>IF($B62,AK62/$B62,-1)</f>
        <v>-1</v>
      </c>
      <c r="AM62" s="31">
        <f>Recu3!AM62</f>
        <v>0</v>
      </c>
      <c r="AN62" s="32">
        <f>IF($B62,AM62/$B62,-1)</f>
        <v>-1</v>
      </c>
      <c r="AO62" s="31">
        <f>Recu3!AO62</f>
        <v>0</v>
      </c>
      <c r="AP62" s="32">
        <f>IF($B62,AO62/$B62,-1)</f>
        <v>-1</v>
      </c>
      <c r="AQ62" s="31">
        <f>Recu3!AQ62</f>
        <v>0</v>
      </c>
      <c r="AR62" s="32">
        <f>IF($B62,AQ62/$B62,-1)</f>
        <v>-1</v>
      </c>
      <c r="AS62" s="31">
        <f>Recu3!AS62</f>
        <v>0</v>
      </c>
      <c r="AT62" s="32">
        <f>IF($B62,AS62/$B62,-1)</f>
        <v>-1</v>
      </c>
      <c r="AU62" s="31">
        <f>Recu3!AU62</f>
        <v>0</v>
      </c>
      <c r="AV62" s="32">
        <f>IF($B62,AU62/$B62,-1)</f>
        <v>-1</v>
      </c>
      <c r="AW62" s="31">
        <f>Recu3!AW62</f>
        <v>0</v>
      </c>
      <c r="AX62" s="32">
        <f>IF($B62,AW62/$B62,-1)</f>
        <v>-1</v>
      </c>
      <c r="AY62" s="31">
        <f>Recu3!AY62</f>
        <v>0</v>
      </c>
      <c r="AZ62" s="32">
        <f>IF($B62,AY62/$B62,-1)</f>
        <v>-1</v>
      </c>
      <c r="BA62" s="31">
        <f>Recu3!BA62</f>
        <v>0</v>
      </c>
      <c r="BB62" s="32">
        <f>IF($B62,BA62/$B62,-1)</f>
        <v>-1</v>
      </c>
      <c r="BC62" s="31">
        <f>Recu3!BC62</f>
        <v>0</v>
      </c>
      <c r="BD62" s="32">
        <f>IF($B62,BC62/$B62,-1)</f>
        <v>-1</v>
      </c>
      <c r="BE62" s="31">
        <f>Recu3!BE62</f>
        <v>0</v>
      </c>
      <c r="BF62" s="32">
        <f>IF($B62,BE62/$B62,-1)</f>
        <v>-1</v>
      </c>
      <c r="BG62" s="31">
        <f>Recu3!BG62</f>
        <v>0</v>
      </c>
      <c r="BH62" s="32">
        <f>IF($B62,BG62/$B62,-1)</f>
        <v>-1</v>
      </c>
      <c r="BI62" s="31">
        <f>Recu3!BI62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Recu3!B63</f>
        <v>0</v>
      </c>
      <c r="C63" s="31">
        <f>Recu3!C63</f>
        <v>0</v>
      </c>
      <c r="D63" s="32">
        <f>IF($B63,C63/$B63,-1)</f>
        <v>-1</v>
      </c>
      <c r="E63" s="31">
        <f>Recu3!E63</f>
        <v>0</v>
      </c>
      <c r="F63" s="32">
        <f>IF($B63,E63/$B63,-1)</f>
        <v>-1</v>
      </c>
      <c r="G63" s="31">
        <f>Recu3!G63</f>
        <v>0</v>
      </c>
      <c r="H63" s="32">
        <f>IF($B63,G63/$B63,-1)</f>
        <v>-1</v>
      </c>
      <c r="I63" s="31">
        <f>Recu3!I63</f>
        <v>0</v>
      </c>
      <c r="J63" s="32">
        <f>IF($B63,I63/$B63,-1)</f>
        <v>-1</v>
      </c>
      <c r="K63" s="31">
        <f>Recu3!K63</f>
        <v>0</v>
      </c>
      <c r="L63" s="32">
        <f>IF($B63,K63/$B63,-1)</f>
        <v>-1</v>
      </c>
      <c r="M63" s="31">
        <f>Recu3!M63</f>
        <v>0</v>
      </c>
      <c r="N63" s="32">
        <f>IF($B63,M63/$B63,-1)</f>
        <v>-1</v>
      </c>
      <c r="O63" s="31">
        <f>Recu3!O63</f>
        <v>0</v>
      </c>
      <c r="P63" s="32">
        <f>IF($B63,O63/$B63,-1)</f>
        <v>-1</v>
      </c>
      <c r="Q63" s="31">
        <f>Recu3!Q63</f>
        <v>0</v>
      </c>
      <c r="R63" s="32">
        <f>IF($B63,Q63/$B63,-1)</f>
        <v>-1</v>
      </c>
      <c r="S63" s="31">
        <f>Recu3!S63</f>
        <v>0</v>
      </c>
      <c r="T63" s="32">
        <f>IF($B63,S63/$B63,-1)</f>
        <v>-1</v>
      </c>
      <c r="U63" s="31">
        <f>Recu3!U63</f>
        <v>0</v>
      </c>
      <c r="V63" s="32">
        <f>IF($B63,U63/$B63,-1)</f>
        <v>-1</v>
      </c>
      <c r="W63" s="31">
        <f>Recu3!W63</f>
        <v>0</v>
      </c>
      <c r="X63" s="32">
        <f>IF($B63,W63/$B63,-1)</f>
        <v>-1</v>
      </c>
      <c r="Y63" s="31">
        <f>Recu3!Y63</f>
        <v>0</v>
      </c>
      <c r="Z63" s="32">
        <f>IF($B63,Y63/$B63,-1)</f>
        <v>-1</v>
      </c>
      <c r="AA63" s="31">
        <f>Recu3!AA63</f>
        <v>0</v>
      </c>
      <c r="AB63" s="32">
        <f>IF($B63,AA63/$B63,-1)</f>
        <v>-1</v>
      </c>
      <c r="AC63" s="31">
        <f>Recu3!AC63</f>
        <v>0</v>
      </c>
      <c r="AD63" s="32">
        <f>IF($B63,AC63/$B63,-1)</f>
        <v>-1</v>
      </c>
      <c r="AE63" s="31">
        <f>Recu3!AE63</f>
        <v>0</v>
      </c>
      <c r="AF63" s="32">
        <f>IF($B63,AE63/$B63,-1)</f>
        <v>-1</v>
      </c>
      <c r="AG63" s="31">
        <f>Recu3!AG63</f>
        <v>0</v>
      </c>
      <c r="AH63" s="32">
        <f>IF($B63,AG63/$B63,-1)</f>
        <v>-1</v>
      </c>
      <c r="AI63" s="31">
        <f>Recu3!AI63</f>
        <v>0</v>
      </c>
      <c r="AJ63" s="32">
        <f>IF($B63,AI63/$B63,-1)</f>
        <v>-1</v>
      </c>
      <c r="AK63" s="31">
        <f>Recu3!AK63</f>
        <v>0</v>
      </c>
      <c r="AL63" s="32">
        <f>IF($B63,AK63/$B63,-1)</f>
        <v>-1</v>
      </c>
      <c r="AM63" s="31">
        <f>Recu3!AM63</f>
        <v>0</v>
      </c>
      <c r="AN63" s="32">
        <f>IF($B63,AM63/$B63,-1)</f>
        <v>-1</v>
      </c>
      <c r="AO63" s="31">
        <f>Recu3!AO63</f>
        <v>0</v>
      </c>
      <c r="AP63" s="32">
        <f>IF($B63,AO63/$B63,-1)</f>
        <v>-1</v>
      </c>
      <c r="AQ63" s="31">
        <f>Recu3!AQ63</f>
        <v>0</v>
      </c>
      <c r="AR63" s="32">
        <f>IF($B63,AQ63/$B63,-1)</f>
        <v>-1</v>
      </c>
      <c r="AS63" s="31">
        <f>Recu3!AS63</f>
        <v>0</v>
      </c>
      <c r="AT63" s="32">
        <f>IF($B63,AS63/$B63,-1)</f>
        <v>-1</v>
      </c>
      <c r="AU63" s="31">
        <f>Recu3!AU63</f>
        <v>0</v>
      </c>
      <c r="AV63" s="32">
        <f>IF($B63,AU63/$B63,-1)</f>
        <v>-1</v>
      </c>
      <c r="AW63" s="31">
        <f>Recu3!AW63</f>
        <v>0</v>
      </c>
      <c r="AX63" s="32">
        <f>IF($B63,AW63/$B63,-1)</f>
        <v>-1</v>
      </c>
      <c r="AY63" s="31">
        <f>Recu3!AY63</f>
        <v>0</v>
      </c>
      <c r="AZ63" s="32">
        <f>IF($B63,AY63/$B63,-1)</f>
        <v>-1</v>
      </c>
      <c r="BA63" s="31">
        <f>Recu3!BA63</f>
        <v>0</v>
      </c>
      <c r="BB63" s="32">
        <f>IF($B63,BA63/$B63,-1)</f>
        <v>-1</v>
      </c>
      <c r="BC63" s="31">
        <f>Recu3!BC63</f>
        <v>0</v>
      </c>
      <c r="BD63" s="32">
        <f>IF($B63,BC63/$B63,-1)</f>
        <v>-1</v>
      </c>
      <c r="BE63" s="31">
        <f>Recu3!BE63</f>
        <v>0</v>
      </c>
      <c r="BF63" s="32">
        <f>IF($B63,BE63/$B63,-1)</f>
        <v>-1</v>
      </c>
      <c r="BG63" s="31">
        <f>Recu3!BG63</f>
        <v>0</v>
      </c>
      <c r="BH63" s="32">
        <f>IF($B63,BG63/$B63,-1)</f>
        <v>-1</v>
      </c>
      <c r="BI63" s="31">
        <f>Recu3!BI63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52" t="str">
        <f>IF(SUM($B65:$B85)&lt;&gt;0,SUM(C65:C85)/SUM($B65:$B85)*$B64*10, "")</f>
        <v/>
      </c>
      <c r="D64" s="52"/>
      <c r="E64" s="52" t="str">
        <f>IF(SUM($B65:$B85)&lt;&gt;0,SUM(E65:E85)/SUM($B65:$B85)*$B64*10, "")</f>
        <v/>
      </c>
      <c r="F64" s="52"/>
      <c r="G64" s="52" t="str">
        <f>IF(SUM($B65:$B85)&lt;&gt;0,SUM(G65:G85)/SUM($B65:$B85)*$B64*10, "")</f>
        <v/>
      </c>
      <c r="H64" s="52"/>
      <c r="I64" s="52" t="str">
        <f>IF(SUM($B65:$B85)&lt;&gt;0,SUM(I65:I85)/SUM($B65:$B85)*$B64*10, "")</f>
        <v/>
      </c>
      <c r="J64" s="52"/>
      <c r="K64" s="52" t="str">
        <f>IF(SUM($B65:$B85)&lt;&gt;0,SUM(K65:K85)/SUM($B65:$B85)*$B64*10, "")</f>
        <v/>
      </c>
      <c r="L64" s="52"/>
      <c r="M64" s="52" t="str">
        <f>IF(SUM($B65:$B85)&lt;&gt;0,SUM(M65:M85)/SUM($B65:$B85)*$B64*10, "")</f>
        <v/>
      </c>
      <c r="N64" s="52"/>
      <c r="O64" s="52" t="str">
        <f>IF(SUM($B65:$B85)&lt;&gt;0,SUM(O65:O85)/SUM($B65:$B85)*$B64*10, "")</f>
        <v/>
      </c>
      <c r="P64" s="52"/>
      <c r="Q64" s="52" t="str">
        <f>IF(SUM($B65:$B85)&lt;&gt;0,SUM(Q65:Q85)/SUM($B65:$B85)*$B64*10, "")</f>
        <v/>
      </c>
      <c r="R64" s="52"/>
      <c r="S64" s="52" t="str">
        <f>IF(SUM($B65:$B85)&lt;&gt;0,SUM(S65:S85)/SUM($B65:$B85)*$B64*10, "")</f>
        <v/>
      </c>
      <c r="T64" s="52"/>
      <c r="U64" s="52" t="str">
        <f>IF(SUM($B65:$B85)&lt;&gt;0,SUM(U65:U85)/SUM($B65:$B85)*$B64*10, "")</f>
        <v/>
      </c>
      <c r="V64" s="52"/>
      <c r="W64" s="52" t="str">
        <f>IF(SUM($B65:$B85)&lt;&gt;0,SUM(W65:W85)/SUM($B65:$B85)*$B64*10, "")</f>
        <v/>
      </c>
      <c r="X64" s="52"/>
      <c r="Y64" s="52" t="str">
        <f>IF(SUM($B65:$B85)&lt;&gt;0,SUM(Y65:Y85)/SUM($B65:$B85)*$B64*10, "")</f>
        <v/>
      </c>
      <c r="Z64" s="52"/>
      <c r="AA64" s="52" t="str">
        <f>IF(SUM($B65:$B85)&lt;&gt;0,SUM(AA65:AA85)/SUM($B65:$B85)*$B64*10, "")</f>
        <v/>
      </c>
      <c r="AB64" s="52"/>
      <c r="AC64" s="52" t="str">
        <f>IF(SUM($B65:$B85)&lt;&gt;0,SUM(AC65:AC85)/SUM($B65:$B85)*$B64*10, "")</f>
        <v/>
      </c>
      <c r="AD64" s="52"/>
      <c r="AE64" s="52" t="str">
        <f>IF(SUM($B65:$B85)&lt;&gt;0,SUM(AE65:AE85)/SUM($B65:$B85)*$B64*10, "")</f>
        <v/>
      </c>
      <c r="AF64" s="52"/>
      <c r="AG64" s="52" t="str">
        <f>IF(SUM($B65:$B85)&lt;&gt;0,SUM(AG65:AG85)/SUM($B65:$B85)*$B64*10, "")</f>
        <v/>
      </c>
      <c r="AH64" s="52"/>
      <c r="AI64" s="52" t="str">
        <f>IF(SUM($B65:$B85)&lt;&gt;0,SUM(AI65:AI85)/SUM($B65:$B85)*$B64*10, "")</f>
        <v/>
      </c>
      <c r="AJ64" s="52"/>
      <c r="AK64" s="52" t="str">
        <f>IF(SUM($B65:$B85)&lt;&gt;0,SUM(AK65:AK85)/SUM($B65:$B85)*$B64*10, "")</f>
        <v/>
      </c>
      <c r="AL64" s="52"/>
      <c r="AM64" s="52" t="str">
        <f>IF(SUM($B65:$B85)&lt;&gt;0,SUM(AM65:AM85)/SUM($B65:$B85)*$B64*10, "")</f>
        <v/>
      </c>
      <c r="AN64" s="52"/>
      <c r="AO64" s="52" t="str">
        <f>IF(SUM($B65:$B85)&lt;&gt;0,SUM(AO65:AO85)/SUM($B65:$B85)*$B64*10, "")</f>
        <v/>
      </c>
      <c r="AP64" s="52"/>
      <c r="AQ64" s="52" t="str">
        <f>IF(SUM($B65:$B85)&lt;&gt;0,SUM(AQ65:AQ85)/SUM($B65:$B85)*$B64*10, "")</f>
        <v/>
      </c>
      <c r="AR64" s="52"/>
      <c r="AS64" s="52" t="str">
        <f>IF(SUM($B65:$B85)&lt;&gt;0,SUM(AS65:AS85)/SUM($B65:$B85)*$B64*10, "")</f>
        <v/>
      </c>
      <c r="AT64" s="52"/>
      <c r="AU64" s="52" t="str">
        <f>IF(SUM($B65:$B85)&lt;&gt;0,SUM(AU65:AU85)/SUM($B65:$B85)*$B64*10, "")</f>
        <v/>
      </c>
      <c r="AV64" s="52"/>
      <c r="AW64" s="52" t="str">
        <f>IF(SUM($B65:$B85)&lt;&gt;0,SUM(AW65:AW85)/SUM($B65:$B85)*$B64*10, "")</f>
        <v/>
      </c>
      <c r="AX64" s="52"/>
      <c r="AY64" s="52" t="str">
        <f>IF(SUM($B65:$B85)&lt;&gt;0,SUM(AY65:AY85)/SUM($B65:$B85)*$B64*10, "")</f>
        <v/>
      </c>
      <c r="AZ64" s="52"/>
      <c r="BA64" s="52" t="str">
        <f>IF(SUM($B65:$B85)&lt;&gt;0,SUM(BA65:BA85)/SUM($B65:$B85)*$B64*10, "")</f>
        <v/>
      </c>
      <c r="BB64" s="52"/>
      <c r="BC64" s="52" t="str">
        <f>IF(SUM($B65:$B85)&lt;&gt;0,SUM(BC65:BC85)/SUM($B65:$B85)*$B64*10, "")</f>
        <v/>
      </c>
      <c r="BD64" s="52"/>
      <c r="BE64" s="52" t="str">
        <f>IF(SUM($B65:$B85)&lt;&gt;0,SUM(BE65:BE85)/SUM($B65:$B85)*$B64*10, "")</f>
        <v/>
      </c>
      <c r="BF64" s="52"/>
      <c r="BG64" s="52" t="str">
        <f>IF(SUM($B65:$B85)&lt;&gt;0,SUM(BG65:BG85)/SUM($B65:$B85)*$B64*10, "")</f>
        <v/>
      </c>
      <c r="BH64" s="52"/>
      <c r="BI64" s="52" t="str">
        <f>IF(SUM($B65:$B85)&lt;&gt;0,SUM(BI65:BI85)/SUM($B65:$B85)*$B64*10, "")</f>
        <v/>
      </c>
      <c r="BJ64" s="52"/>
    </row>
    <row r="65" spans="1:62" ht="56" x14ac:dyDescent="0.2">
      <c r="A65" s="2" t="s">
        <v>63</v>
      </c>
      <c r="B65" s="13">
        <f>Recu3!B65</f>
        <v>0</v>
      </c>
      <c r="C65" s="31">
        <f>Recu3!C65</f>
        <v>0</v>
      </c>
      <c r="D65" s="32">
        <f t="shared" ref="D65:D85" si="119">IF($B65,C65/$B65,-1)</f>
        <v>-1</v>
      </c>
      <c r="E65" s="31">
        <f>Recu3!E65</f>
        <v>0</v>
      </c>
      <c r="F65" s="32">
        <f t="shared" ref="F65:F85" si="120">IF($B65,E65/$B65,-1)</f>
        <v>-1</v>
      </c>
      <c r="G65" s="31">
        <f>Recu3!G65</f>
        <v>0</v>
      </c>
      <c r="H65" s="32">
        <f t="shared" ref="H65:H85" si="121">IF($B65,G65/$B65,-1)</f>
        <v>-1</v>
      </c>
      <c r="I65" s="31">
        <f>Recu3!I65</f>
        <v>0</v>
      </c>
      <c r="J65" s="32">
        <f t="shared" ref="J65:J85" si="122">IF($B65,I65/$B65,-1)</f>
        <v>-1</v>
      </c>
      <c r="K65" s="31">
        <f>Recu3!K65</f>
        <v>0</v>
      </c>
      <c r="L65" s="32">
        <f t="shared" ref="L65:L85" si="123">IF($B65,K65/$B65,-1)</f>
        <v>-1</v>
      </c>
      <c r="M65" s="31">
        <f>Recu3!M65</f>
        <v>0</v>
      </c>
      <c r="N65" s="32">
        <f t="shared" ref="N65:N85" si="124">IF($B65,M65/$B65,-1)</f>
        <v>-1</v>
      </c>
      <c r="O65" s="31">
        <f>Recu3!O65</f>
        <v>0</v>
      </c>
      <c r="P65" s="32">
        <f t="shared" ref="P65:P85" si="125">IF($B65,O65/$B65,-1)</f>
        <v>-1</v>
      </c>
      <c r="Q65" s="31">
        <f>Recu3!Q65</f>
        <v>0</v>
      </c>
      <c r="R65" s="32">
        <f t="shared" ref="R65:R85" si="126">IF($B65,Q65/$B65,-1)</f>
        <v>-1</v>
      </c>
      <c r="S65" s="31">
        <f>Recu3!S65</f>
        <v>0</v>
      </c>
      <c r="T65" s="32">
        <f t="shared" ref="T65:T85" si="127">IF($B65,S65/$B65,-1)</f>
        <v>-1</v>
      </c>
      <c r="U65" s="31">
        <f>Recu3!U65</f>
        <v>0</v>
      </c>
      <c r="V65" s="32">
        <f t="shared" ref="V65:V85" si="128">IF($B65,U65/$B65,-1)</f>
        <v>-1</v>
      </c>
      <c r="W65" s="31">
        <f>Recu3!W65</f>
        <v>0</v>
      </c>
      <c r="X65" s="32">
        <f t="shared" ref="X65:X85" si="129">IF($B65,W65/$B65,-1)</f>
        <v>-1</v>
      </c>
      <c r="Y65" s="31">
        <f>Recu3!Y65</f>
        <v>0</v>
      </c>
      <c r="Z65" s="32">
        <f t="shared" ref="Z65:Z85" si="130">IF($B65,Y65/$B65,-1)</f>
        <v>-1</v>
      </c>
      <c r="AA65" s="31">
        <f>Recu3!AA65</f>
        <v>0</v>
      </c>
      <c r="AB65" s="32">
        <f t="shared" ref="AB65:AB85" si="131">IF($B65,AA65/$B65,-1)</f>
        <v>-1</v>
      </c>
      <c r="AC65" s="31">
        <f>Recu3!AC65</f>
        <v>0</v>
      </c>
      <c r="AD65" s="32">
        <f t="shared" ref="AD65:AD85" si="132">IF($B65,AC65/$B65,-1)</f>
        <v>-1</v>
      </c>
      <c r="AE65" s="31">
        <f>Recu3!AE65</f>
        <v>0</v>
      </c>
      <c r="AF65" s="32">
        <f t="shared" ref="AF65:AF85" si="133">IF($B65,AE65/$B65,-1)</f>
        <v>-1</v>
      </c>
      <c r="AG65" s="31">
        <f>Recu3!AG65</f>
        <v>0</v>
      </c>
      <c r="AH65" s="32">
        <f t="shared" ref="AH65:AH85" si="134">IF($B65,AG65/$B65,-1)</f>
        <v>-1</v>
      </c>
      <c r="AI65" s="31">
        <f>Recu3!AI65</f>
        <v>0</v>
      </c>
      <c r="AJ65" s="32">
        <f t="shared" ref="AJ65:AJ85" si="135">IF($B65,AI65/$B65,-1)</f>
        <v>-1</v>
      </c>
      <c r="AK65" s="31">
        <f>Recu3!AK65</f>
        <v>0</v>
      </c>
      <c r="AL65" s="32">
        <f t="shared" ref="AL65:AL85" si="136">IF($B65,AK65/$B65,-1)</f>
        <v>-1</v>
      </c>
      <c r="AM65" s="31">
        <f>Recu3!AM65</f>
        <v>0</v>
      </c>
      <c r="AN65" s="32">
        <f t="shared" ref="AN65:AN85" si="137">IF($B65,AM65/$B65,-1)</f>
        <v>-1</v>
      </c>
      <c r="AO65" s="31">
        <f>Recu3!AO65</f>
        <v>0</v>
      </c>
      <c r="AP65" s="32">
        <f t="shared" ref="AP65:AP85" si="138">IF($B65,AO65/$B65,-1)</f>
        <v>-1</v>
      </c>
      <c r="AQ65" s="31">
        <f>Recu3!AQ65</f>
        <v>0</v>
      </c>
      <c r="AR65" s="32">
        <f t="shared" ref="AR65:AR85" si="139">IF($B65,AQ65/$B65,-1)</f>
        <v>-1</v>
      </c>
      <c r="AS65" s="31">
        <f>Recu3!AS65</f>
        <v>0</v>
      </c>
      <c r="AT65" s="32">
        <f t="shared" ref="AT65:AT85" si="140">IF($B65,AS65/$B65,-1)</f>
        <v>-1</v>
      </c>
      <c r="AU65" s="31">
        <f>Recu3!AU65</f>
        <v>0</v>
      </c>
      <c r="AV65" s="32">
        <f t="shared" ref="AV65:AV85" si="141">IF($B65,AU65/$B65,-1)</f>
        <v>-1</v>
      </c>
      <c r="AW65" s="31">
        <f>Recu3!AW65</f>
        <v>0</v>
      </c>
      <c r="AX65" s="32">
        <f t="shared" ref="AX65:AX85" si="142">IF($B65,AW65/$B65,-1)</f>
        <v>-1</v>
      </c>
      <c r="AY65" s="31">
        <f>Recu3!AY65</f>
        <v>0</v>
      </c>
      <c r="AZ65" s="32">
        <f t="shared" ref="AZ65:AZ85" si="143">IF($B65,AY65/$B65,-1)</f>
        <v>-1</v>
      </c>
      <c r="BA65" s="31">
        <f>Recu3!BA65</f>
        <v>0</v>
      </c>
      <c r="BB65" s="32">
        <f t="shared" ref="BB65:BB85" si="144">IF($B65,BA65/$B65,-1)</f>
        <v>-1</v>
      </c>
      <c r="BC65" s="31">
        <f>Recu3!BC65</f>
        <v>0</v>
      </c>
      <c r="BD65" s="32">
        <f t="shared" ref="BD65:BD85" si="145">IF($B65,BC65/$B65,-1)</f>
        <v>-1</v>
      </c>
      <c r="BE65" s="31">
        <f>Recu3!BE65</f>
        <v>0</v>
      </c>
      <c r="BF65" s="32">
        <f t="shared" ref="BF65:BF85" si="146">IF($B65,BE65/$B65,-1)</f>
        <v>-1</v>
      </c>
      <c r="BG65" s="31">
        <f>Recu3!BG65</f>
        <v>0</v>
      </c>
      <c r="BH65" s="32">
        <f t="shared" ref="BH65:BH85" si="147">IF($B65,BG65/$B65,-1)</f>
        <v>-1</v>
      </c>
      <c r="BI65" s="31">
        <f>Recu3!BI65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Recu3!B66</f>
        <v>0</v>
      </c>
      <c r="C66" s="31">
        <f>Recu3!C66</f>
        <v>0</v>
      </c>
      <c r="D66" s="32">
        <f t="shared" si="119"/>
        <v>-1</v>
      </c>
      <c r="E66" s="31">
        <f>Recu3!E66</f>
        <v>0</v>
      </c>
      <c r="F66" s="32">
        <f t="shared" si="120"/>
        <v>-1</v>
      </c>
      <c r="G66" s="31">
        <f>Recu3!G66</f>
        <v>0</v>
      </c>
      <c r="H66" s="32">
        <f t="shared" si="121"/>
        <v>-1</v>
      </c>
      <c r="I66" s="31">
        <f>Recu3!I66</f>
        <v>0</v>
      </c>
      <c r="J66" s="32">
        <f t="shared" si="122"/>
        <v>-1</v>
      </c>
      <c r="K66" s="31">
        <f>Recu3!K66</f>
        <v>0</v>
      </c>
      <c r="L66" s="32">
        <f t="shared" si="123"/>
        <v>-1</v>
      </c>
      <c r="M66" s="31">
        <f>Recu3!M66</f>
        <v>0</v>
      </c>
      <c r="N66" s="32">
        <f t="shared" si="124"/>
        <v>-1</v>
      </c>
      <c r="O66" s="31">
        <f>Recu3!O66</f>
        <v>0</v>
      </c>
      <c r="P66" s="32">
        <f t="shared" si="125"/>
        <v>-1</v>
      </c>
      <c r="Q66" s="31">
        <f>Recu3!Q66</f>
        <v>0</v>
      </c>
      <c r="R66" s="32">
        <f t="shared" si="126"/>
        <v>-1</v>
      </c>
      <c r="S66" s="31">
        <f>Recu3!S66</f>
        <v>0</v>
      </c>
      <c r="T66" s="32">
        <f t="shared" si="127"/>
        <v>-1</v>
      </c>
      <c r="U66" s="31">
        <f>Recu3!U66</f>
        <v>0</v>
      </c>
      <c r="V66" s="32">
        <f t="shared" si="128"/>
        <v>-1</v>
      </c>
      <c r="W66" s="31">
        <f>Recu3!W66</f>
        <v>0</v>
      </c>
      <c r="X66" s="32">
        <f t="shared" si="129"/>
        <v>-1</v>
      </c>
      <c r="Y66" s="31">
        <f>Recu3!Y66</f>
        <v>0</v>
      </c>
      <c r="Z66" s="32">
        <f t="shared" si="130"/>
        <v>-1</v>
      </c>
      <c r="AA66" s="31">
        <f>Recu3!AA66</f>
        <v>0</v>
      </c>
      <c r="AB66" s="32">
        <f t="shared" si="131"/>
        <v>-1</v>
      </c>
      <c r="AC66" s="31">
        <f>Recu3!AC66</f>
        <v>0</v>
      </c>
      <c r="AD66" s="32">
        <f t="shared" si="132"/>
        <v>-1</v>
      </c>
      <c r="AE66" s="31">
        <f>Recu3!AE66</f>
        <v>0</v>
      </c>
      <c r="AF66" s="32">
        <f t="shared" si="133"/>
        <v>-1</v>
      </c>
      <c r="AG66" s="31">
        <f>Recu3!AG66</f>
        <v>0</v>
      </c>
      <c r="AH66" s="32">
        <f t="shared" si="134"/>
        <v>-1</v>
      </c>
      <c r="AI66" s="31">
        <f>Recu3!AI66</f>
        <v>0</v>
      </c>
      <c r="AJ66" s="32">
        <f t="shared" si="135"/>
        <v>-1</v>
      </c>
      <c r="AK66" s="31">
        <f>Recu3!AK66</f>
        <v>0</v>
      </c>
      <c r="AL66" s="32">
        <f t="shared" si="136"/>
        <v>-1</v>
      </c>
      <c r="AM66" s="31">
        <f>Recu3!AM66</f>
        <v>0</v>
      </c>
      <c r="AN66" s="32">
        <f t="shared" si="137"/>
        <v>-1</v>
      </c>
      <c r="AO66" s="31">
        <f>Recu3!AO66</f>
        <v>0</v>
      </c>
      <c r="AP66" s="32">
        <f t="shared" si="138"/>
        <v>-1</v>
      </c>
      <c r="AQ66" s="31">
        <f>Recu3!AQ66</f>
        <v>0</v>
      </c>
      <c r="AR66" s="32">
        <f t="shared" si="139"/>
        <v>-1</v>
      </c>
      <c r="AS66" s="31">
        <f>Recu3!AS66</f>
        <v>0</v>
      </c>
      <c r="AT66" s="32">
        <f t="shared" si="140"/>
        <v>-1</v>
      </c>
      <c r="AU66" s="31">
        <f>Recu3!AU66</f>
        <v>0</v>
      </c>
      <c r="AV66" s="32">
        <f t="shared" si="141"/>
        <v>-1</v>
      </c>
      <c r="AW66" s="31">
        <f>Recu3!AW66</f>
        <v>0</v>
      </c>
      <c r="AX66" s="32">
        <f t="shared" si="142"/>
        <v>-1</v>
      </c>
      <c r="AY66" s="31">
        <f>Recu3!AY66</f>
        <v>0</v>
      </c>
      <c r="AZ66" s="32">
        <f t="shared" si="143"/>
        <v>-1</v>
      </c>
      <c r="BA66" s="31">
        <f>Recu3!BA66</f>
        <v>0</v>
      </c>
      <c r="BB66" s="32">
        <f t="shared" si="144"/>
        <v>-1</v>
      </c>
      <c r="BC66" s="31">
        <f>Recu3!BC66</f>
        <v>0</v>
      </c>
      <c r="BD66" s="32">
        <f t="shared" si="145"/>
        <v>-1</v>
      </c>
      <c r="BE66" s="31">
        <f>Recu3!BE66</f>
        <v>0</v>
      </c>
      <c r="BF66" s="32">
        <f t="shared" si="146"/>
        <v>-1</v>
      </c>
      <c r="BG66" s="31">
        <f>Recu3!BG66</f>
        <v>0</v>
      </c>
      <c r="BH66" s="32">
        <f t="shared" si="147"/>
        <v>-1</v>
      </c>
      <c r="BI66" s="31">
        <f>Recu3!BI66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Recu3!B67</f>
        <v>0</v>
      </c>
      <c r="C67" s="31">
        <f>Recu3!C67</f>
        <v>0</v>
      </c>
      <c r="D67" s="32">
        <f t="shared" si="119"/>
        <v>-1</v>
      </c>
      <c r="E67" s="31">
        <f>Recu3!E67</f>
        <v>0</v>
      </c>
      <c r="F67" s="32">
        <f t="shared" si="120"/>
        <v>-1</v>
      </c>
      <c r="G67" s="31">
        <f>Recu3!G67</f>
        <v>0</v>
      </c>
      <c r="H67" s="32">
        <f t="shared" si="121"/>
        <v>-1</v>
      </c>
      <c r="I67" s="31">
        <f>Recu3!I67</f>
        <v>0</v>
      </c>
      <c r="J67" s="32">
        <f t="shared" si="122"/>
        <v>-1</v>
      </c>
      <c r="K67" s="31">
        <f>Recu3!K67</f>
        <v>0</v>
      </c>
      <c r="L67" s="32">
        <f t="shared" si="123"/>
        <v>-1</v>
      </c>
      <c r="M67" s="31">
        <f>Recu3!M67</f>
        <v>0</v>
      </c>
      <c r="N67" s="32">
        <f t="shared" si="124"/>
        <v>-1</v>
      </c>
      <c r="O67" s="31">
        <f>Recu3!O67</f>
        <v>0</v>
      </c>
      <c r="P67" s="32">
        <f t="shared" si="125"/>
        <v>-1</v>
      </c>
      <c r="Q67" s="31">
        <f>Recu3!Q67</f>
        <v>0</v>
      </c>
      <c r="R67" s="32">
        <f t="shared" si="126"/>
        <v>-1</v>
      </c>
      <c r="S67" s="31">
        <f>Recu3!S67</f>
        <v>0</v>
      </c>
      <c r="T67" s="32">
        <f t="shared" si="127"/>
        <v>-1</v>
      </c>
      <c r="U67" s="31">
        <f>Recu3!U67</f>
        <v>0</v>
      </c>
      <c r="V67" s="32">
        <f t="shared" si="128"/>
        <v>-1</v>
      </c>
      <c r="W67" s="31">
        <f>Recu3!W67</f>
        <v>0</v>
      </c>
      <c r="X67" s="32">
        <f t="shared" si="129"/>
        <v>-1</v>
      </c>
      <c r="Y67" s="31">
        <f>Recu3!Y67</f>
        <v>0</v>
      </c>
      <c r="Z67" s="32">
        <f t="shared" si="130"/>
        <v>-1</v>
      </c>
      <c r="AA67" s="31">
        <f>Recu3!AA67</f>
        <v>0</v>
      </c>
      <c r="AB67" s="32">
        <f t="shared" si="131"/>
        <v>-1</v>
      </c>
      <c r="AC67" s="31">
        <f>Recu3!AC67</f>
        <v>0</v>
      </c>
      <c r="AD67" s="32">
        <f t="shared" si="132"/>
        <v>-1</v>
      </c>
      <c r="AE67" s="31">
        <f>Recu3!AE67</f>
        <v>0</v>
      </c>
      <c r="AF67" s="32">
        <f t="shared" si="133"/>
        <v>-1</v>
      </c>
      <c r="AG67" s="31">
        <f>Recu3!AG67</f>
        <v>0</v>
      </c>
      <c r="AH67" s="32">
        <f t="shared" si="134"/>
        <v>-1</v>
      </c>
      <c r="AI67" s="31">
        <f>Recu3!AI67</f>
        <v>0</v>
      </c>
      <c r="AJ67" s="32">
        <f t="shared" si="135"/>
        <v>-1</v>
      </c>
      <c r="AK67" s="31">
        <f>Recu3!AK67</f>
        <v>0</v>
      </c>
      <c r="AL67" s="32">
        <f t="shared" si="136"/>
        <v>-1</v>
      </c>
      <c r="AM67" s="31">
        <f>Recu3!AM67</f>
        <v>0</v>
      </c>
      <c r="AN67" s="32">
        <f t="shared" si="137"/>
        <v>-1</v>
      </c>
      <c r="AO67" s="31">
        <f>Recu3!AO67</f>
        <v>0</v>
      </c>
      <c r="AP67" s="32">
        <f t="shared" si="138"/>
        <v>-1</v>
      </c>
      <c r="AQ67" s="31">
        <f>Recu3!AQ67</f>
        <v>0</v>
      </c>
      <c r="AR67" s="32">
        <f t="shared" si="139"/>
        <v>-1</v>
      </c>
      <c r="AS67" s="31">
        <f>Recu3!AS67</f>
        <v>0</v>
      </c>
      <c r="AT67" s="32">
        <f t="shared" si="140"/>
        <v>-1</v>
      </c>
      <c r="AU67" s="31">
        <f>Recu3!AU67</f>
        <v>0</v>
      </c>
      <c r="AV67" s="32">
        <f t="shared" si="141"/>
        <v>-1</v>
      </c>
      <c r="AW67" s="31">
        <f>Recu3!AW67</f>
        <v>0</v>
      </c>
      <c r="AX67" s="32">
        <f t="shared" si="142"/>
        <v>-1</v>
      </c>
      <c r="AY67" s="31">
        <f>Recu3!AY67</f>
        <v>0</v>
      </c>
      <c r="AZ67" s="32">
        <f t="shared" si="143"/>
        <v>-1</v>
      </c>
      <c r="BA67" s="31">
        <f>Recu3!BA67</f>
        <v>0</v>
      </c>
      <c r="BB67" s="32">
        <f t="shared" si="144"/>
        <v>-1</v>
      </c>
      <c r="BC67" s="31">
        <f>Recu3!BC67</f>
        <v>0</v>
      </c>
      <c r="BD67" s="32">
        <f t="shared" si="145"/>
        <v>-1</v>
      </c>
      <c r="BE67" s="31">
        <f>Recu3!BE67</f>
        <v>0</v>
      </c>
      <c r="BF67" s="32">
        <f t="shared" si="146"/>
        <v>-1</v>
      </c>
      <c r="BG67" s="31">
        <f>Recu3!BG67</f>
        <v>0</v>
      </c>
      <c r="BH67" s="32">
        <f t="shared" si="147"/>
        <v>-1</v>
      </c>
      <c r="BI67" s="31">
        <f>Recu3!BI67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Recu3!B68</f>
        <v>0</v>
      </c>
      <c r="C68" s="31">
        <f>Recu3!C68</f>
        <v>0</v>
      </c>
      <c r="D68" s="32">
        <f t="shared" si="119"/>
        <v>-1</v>
      </c>
      <c r="E68" s="31">
        <f>Recu3!E68</f>
        <v>0</v>
      </c>
      <c r="F68" s="32">
        <f t="shared" si="120"/>
        <v>-1</v>
      </c>
      <c r="G68" s="31">
        <f>Recu3!G68</f>
        <v>0</v>
      </c>
      <c r="H68" s="32">
        <f t="shared" si="121"/>
        <v>-1</v>
      </c>
      <c r="I68" s="31">
        <f>Recu3!I68</f>
        <v>0</v>
      </c>
      <c r="J68" s="32">
        <f t="shared" si="122"/>
        <v>-1</v>
      </c>
      <c r="K68" s="31">
        <f>Recu3!K68</f>
        <v>0</v>
      </c>
      <c r="L68" s="32">
        <f t="shared" si="123"/>
        <v>-1</v>
      </c>
      <c r="M68" s="31">
        <f>Recu3!M68</f>
        <v>0</v>
      </c>
      <c r="N68" s="32">
        <f t="shared" si="124"/>
        <v>-1</v>
      </c>
      <c r="O68" s="31">
        <f>Recu3!O68</f>
        <v>0</v>
      </c>
      <c r="P68" s="32">
        <f t="shared" si="125"/>
        <v>-1</v>
      </c>
      <c r="Q68" s="31">
        <f>Recu3!Q68</f>
        <v>0</v>
      </c>
      <c r="R68" s="32">
        <f t="shared" si="126"/>
        <v>-1</v>
      </c>
      <c r="S68" s="31">
        <f>Recu3!S68</f>
        <v>0</v>
      </c>
      <c r="T68" s="32">
        <f t="shared" si="127"/>
        <v>-1</v>
      </c>
      <c r="U68" s="31">
        <f>Recu3!U68</f>
        <v>0</v>
      </c>
      <c r="V68" s="32">
        <f t="shared" si="128"/>
        <v>-1</v>
      </c>
      <c r="W68" s="31">
        <f>Recu3!W68</f>
        <v>0</v>
      </c>
      <c r="X68" s="32">
        <f t="shared" si="129"/>
        <v>-1</v>
      </c>
      <c r="Y68" s="31">
        <f>Recu3!Y68</f>
        <v>0</v>
      </c>
      <c r="Z68" s="32">
        <f t="shared" si="130"/>
        <v>-1</v>
      </c>
      <c r="AA68" s="31">
        <f>Recu3!AA68</f>
        <v>0</v>
      </c>
      <c r="AB68" s="32">
        <f t="shared" si="131"/>
        <v>-1</v>
      </c>
      <c r="AC68" s="31">
        <f>Recu3!AC68</f>
        <v>0</v>
      </c>
      <c r="AD68" s="32">
        <f t="shared" si="132"/>
        <v>-1</v>
      </c>
      <c r="AE68" s="31">
        <f>Recu3!AE68</f>
        <v>0</v>
      </c>
      <c r="AF68" s="32">
        <f t="shared" si="133"/>
        <v>-1</v>
      </c>
      <c r="AG68" s="31">
        <f>Recu3!AG68</f>
        <v>0</v>
      </c>
      <c r="AH68" s="32">
        <f t="shared" si="134"/>
        <v>-1</v>
      </c>
      <c r="AI68" s="31">
        <f>Recu3!AI68</f>
        <v>0</v>
      </c>
      <c r="AJ68" s="32">
        <f t="shared" si="135"/>
        <v>-1</v>
      </c>
      <c r="AK68" s="31">
        <f>Recu3!AK68</f>
        <v>0</v>
      </c>
      <c r="AL68" s="32">
        <f t="shared" si="136"/>
        <v>-1</v>
      </c>
      <c r="AM68" s="31">
        <f>Recu3!AM68</f>
        <v>0</v>
      </c>
      <c r="AN68" s="32">
        <f t="shared" si="137"/>
        <v>-1</v>
      </c>
      <c r="AO68" s="31">
        <f>Recu3!AO68</f>
        <v>0</v>
      </c>
      <c r="AP68" s="32">
        <f t="shared" si="138"/>
        <v>-1</v>
      </c>
      <c r="AQ68" s="31">
        <f>Recu3!AQ68</f>
        <v>0</v>
      </c>
      <c r="AR68" s="32">
        <f t="shared" si="139"/>
        <v>-1</v>
      </c>
      <c r="AS68" s="31">
        <f>Recu3!AS68</f>
        <v>0</v>
      </c>
      <c r="AT68" s="32">
        <f t="shared" si="140"/>
        <v>-1</v>
      </c>
      <c r="AU68" s="31">
        <f>Recu3!AU68</f>
        <v>0</v>
      </c>
      <c r="AV68" s="32">
        <f t="shared" si="141"/>
        <v>-1</v>
      </c>
      <c r="AW68" s="31">
        <f>Recu3!AW68</f>
        <v>0</v>
      </c>
      <c r="AX68" s="32">
        <f t="shared" si="142"/>
        <v>-1</v>
      </c>
      <c r="AY68" s="31">
        <f>Recu3!AY68</f>
        <v>0</v>
      </c>
      <c r="AZ68" s="32">
        <f t="shared" si="143"/>
        <v>-1</v>
      </c>
      <c r="BA68" s="31">
        <f>Recu3!BA68</f>
        <v>0</v>
      </c>
      <c r="BB68" s="32">
        <f t="shared" si="144"/>
        <v>-1</v>
      </c>
      <c r="BC68" s="31">
        <f>Recu3!BC68</f>
        <v>0</v>
      </c>
      <c r="BD68" s="32">
        <f t="shared" si="145"/>
        <v>-1</v>
      </c>
      <c r="BE68" s="31">
        <f>Recu3!BE68</f>
        <v>0</v>
      </c>
      <c r="BF68" s="32">
        <f t="shared" si="146"/>
        <v>-1</v>
      </c>
      <c r="BG68" s="31">
        <f>Recu3!BG68</f>
        <v>0</v>
      </c>
      <c r="BH68" s="32">
        <f t="shared" si="147"/>
        <v>-1</v>
      </c>
      <c r="BI68" s="31">
        <f>Recu3!BI68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Recu3!B69</f>
        <v>0</v>
      </c>
      <c r="C69" s="31">
        <f>Recu3!C69</f>
        <v>0</v>
      </c>
      <c r="D69" s="32">
        <f t="shared" si="119"/>
        <v>-1</v>
      </c>
      <c r="E69" s="31">
        <f>Recu3!E69</f>
        <v>0</v>
      </c>
      <c r="F69" s="32">
        <f t="shared" si="120"/>
        <v>-1</v>
      </c>
      <c r="G69" s="31">
        <f>Recu3!G69</f>
        <v>0</v>
      </c>
      <c r="H69" s="32">
        <f t="shared" si="121"/>
        <v>-1</v>
      </c>
      <c r="I69" s="31">
        <f>Recu3!I69</f>
        <v>0</v>
      </c>
      <c r="J69" s="32">
        <f t="shared" si="122"/>
        <v>-1</v>
      </c>
      <c r="K69" s="31">
        <f>Recu3!K69</f>
        <v>0</v>
      </c>
      <c r="L69" s="32">
        <f t="shared" si="123"/>
        <v>-1</v>
      </c>
      <c r="M69" s="31">
        <f>Recu3!M69</f>
        <v>0</v>
      </c>
      <c r="N69" s="32">
        <f t="shared" si="124"/>
        <v>-1</v>
      </c>
      <c r="O69" s="31">
        <f>Recu3!O69</f>
        <v>0</v>
      </c>
      <c r="P69" s="32">
        <f t="shared" si="125"/>
        <v>-1</v>
      </c>
      <c r="Q69" s="31">
        <f>Recu3!Q69</f>
        <v>0</v>
      </c>
      <c r="R69" s="32">
        <f t="shared" si="126"/>
        <v>-1</v>
      </c>
      <c r="S69" s="31">
        <f>Recu3!S69</f>
        <v>0</v>
      </c>
      <c r="T69" s="32">
        <f t="shared" si="127"/>
        <v>-1</v>
      </c>
      <c r="U69" s="31">
        <f>Recu3!U69</f>
        <v>0</v>
      </c>
      <c r="V69" s="32">
        <f t="shared" si="128"/>
        <v>-1</v>
      </c>
      <c r="W69" s="31">
        <f>Recu3!W69</f>
        <v>0</v>
      </c>
      <c r="X69" s="32">
        <f t="shared" si="129"/>
        <v>-1</v>
      </c>
      <c r="Y69" s="31">
        <f>Recu3!Y69</f>
        <v>0</v>
      </c>
      <c r="Z69" s="32">
        <f t="shared" si="130"/>
        <v>-1</v>
      </c>
      <c r="AA69" s="31">
        <f>Recu3!AA69</f>
        <v>0</v>
      </c>
      <c r="AB69" s="32">
        <f t="shared" si="131"/>
        <v>-1</v>
      </c>
      <c r="AC69" s="31">
        <f>Recu3!AC69</f>
        <v>0</v>
      </c>
      <c r="AD69" s="32">
        <f t="shared" si="132"/>
        <v>-1</v>
      </c>
      <c r="AE69" s="31">
        <f>Recu3!AE69</f>
        <v>0</v>
      </c>
      <c r="AF69" s="32">
        <f t="shared" si="133"/>
        <v>-1</v>
      </c>
      <c r="AG69" s="31">
        <f>Recu3!AG69</f>
        <v>0</v>
      </c>
      <c r="AH69" s="32">
        <f t="shared" si="134"/>
        <v>-1</v>
      </c>
      <c r="AI69" s="31">
        <f>Recu3!AI69</f>
        <v>0</v>
      </c>
      <c r="AJ69" s="32">
        <f t="shared" si="135"/>
        <v>-1</v>
      </c>
      <c r="AK69" s="31">
        <f>Recu3!AK69</f>
        <v>0</v>
      </c>
      <c r="AL69" s="32">
        <f t="shared" si="136"/>
        <v>-1</v>
      </c>
      <c r="AM69" s="31">
        <f>Recu3!AM69</f>
        <v>0</v>
      </c>
      <c r="AN69" s="32">
        <f t="shared" si="137"/>
        <v>-1</v>
      </c>
      <c r="AO69" s="31">
        <f>Recu3!AO69</f>
        <v>0</v>
      </c>
      <c r="AP69" s="32">
        <f t="shared" si="138"/>
        <v>-1</v>
      </c>
      <c r="AQ69" s="31">
        <f>Recu3!AQ69</f>
        <v>0</v>
      </c>
      <c r="AR69" s="32">
        <f t="shared" si="139"/>
        <v>-1</v>
      </c>
      <c r="AS69" s="31">
        <f>Recu3!AS69</f>
        <v>0</v>
      </c>
      <c r="AT69" s="32">
        <f t="shared" si="140"/>
        <v>-1</v>
      </c>
      <c r="AU69" s="31">
        <f>Recu3!AU69</f>
        <v>0</v>
      </c>
      <c r="AV69" s="32">
        <f t="shared" si="141"/>
        <v>-1</v>
      </c>
      <c r="AW69" s="31">
        <f>Recu3!AW69</f>
        <v>0</v>
      </c>
      <c r="AX69" s="32">
        <f t="shared" si="142"/>
        <v>-1</v>
      </c>
      <c r="AY69" s="31">
        <f>Recu3!AY69</f>
        <v>0</v>
      </c>
      <c r="AZ69" s="32">
        <f t="shared" si="143"/>
        <v>-1</v>
      </c>
      <c r="BA69" s="31">
        <f>Recu3!BA69</f>
        <v>0</v>
      </c>
      <c r="BB69" s="32">
        <f t="shared" si="144"/>
        <v>-1</v>
      </c>
      <c r="BC69" s="31">
        <f>Recu3!BC69</f>
        <v>0</v>
      </c>
      <c r="BD69" s="32">
        <f t="shared" si="145"/>
        <v>-1</v>
      </c>
      <c r="BE69" s="31">
        <f>Recu3!BE69</f>
        <v>0</v>
      </c>
      <c r="BF69" s="32">
        <f t="shared" si="146"/>
        <v>-1</v>
      </c>
      <c r="BG69" s="31">
        <f>Recu3!BG69</f>
        <v>0</v>
      </c>
      <c r="BH69" s="32">
        <f t="shared" si="147"/>
        <v>-1</v>
      </c>
      <c r="BI69" s="31">
        <f>Recu3!BI69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Recu3!B70</f>
        <v>0</v>
      </c>
      <c r="C70" s="31">
        <f>Recu3!C70</f>
        <v>0</v>
      </c>
      <c r="D70" s="32">
        <f t="shared" si="119"/>
        <v>-1</v>
      </c>
      <c r="E70" s="31">
        <f>Recu3!E70</f>
        <v>0</v>
      </c>
      <c r="F70" s="32">
        <f t="shared" si="120"/>
        <v>-1</v>
      </c>
      <c r="G70" s="31">
        <f>Recu3!G70</f>
        <v>0</v>
      </c>
      <c r="H70" s="32">
        <f t="shared" si="121"/>
        <v>-1</v>
      </c>
      <c r="I70" s="31">
        <f>Recu3!I70</f>
        <v>0</v>
      </c>
      <c r="J70" s="32">
        <f t="shared" si="122"/>
        <v>-1</v>
      </c>
      <c r="K70" s="31">
        <f>Recu3!K70</f>
        <v>0</v>
      </c>
      <c r="L70" s="32">
        <f t="shared" si="123"/>
        <v>-1</v>
      </c>
      <c r="M70" s="31">
        <f>Recu3!M70</f>
        <v>0</v>
      </c>
      <c r="N70" s="32">
        <f t="shared" si="124"/>
        <v>-1</v>
      </c>
      <c r="O70" s="31">
        <f>Recu3!O70</f>
        <v>0</v>
      </c>
      <c r="P70" s="32">
        <f t="shared" si="125"/>
        <v>-1</v>
      </c>
      <c r="Q70" s="31">
        <f>Recu3!Q70</f>
        <v>0</v>
      </c>
      <c r="R70" s="32">
        <f t="shared" si="126"/>
        <v>-1</v>
      </c>
      <c r="S70" s="31">
        <f>Recu3!S70</f>
        <v>0</v>
      </c>
      <c r="T70" s="32">
        <f t="shared" si="127"/>
        <v>-1</v>
      </c>
      <c r="U70" s="31">
        <f>Recu3!U70</f>
        <v>0</v>
      </c>
      <c r="V70" s="32">
        <f t="shared" si="128"/>
        <v>-1</v>
      </c>
      <c r="W70" s="31">
        <f>Recu3!W70</f>
        <v>0</v>
      </c>
      <c r="X70" s="32">
        <f t="shared" si="129"/>
        <v>-1</v>
      </c>
      <c r="Y70" s="31">
        <f>Recu3!Y70</f>
        <v>0</v>
      </c>
      <c r="Z70" s="32">
        <f t="shared" si="130"/>
        <v>-1</v>
      </c>
      <c r="AA70" s="31">
        <f>Recu3!AA70</f>
        <v>0</v>
      </c>
      <c r="AB70" s="32">
        <f t="shared" si="131"/>
        <v>-1</v>
      </c>
      <c r="AC70" s="31">
        <f>Recu3!AC70</f>
        <v>0</v>
      </c>
      <c r="AD70" s="32">
        <f t="shared" si="132"/>
        <v>-1</v>
      </c>
      <c r="AE70" s="31">
        <f>Recu3!AE70</f>
        <v>0</v>
      </c>
      <c r="AF70" s="32">
        <f t="shared" si="133"/>
        <v>-1</v>
      </c>
      <c r="AG70" s="31">
        <f>Recu3!AG70</f>
        <v>0</v>
      </c>
      <c r="AH70" s="32">
        <f t="shared" si="134"/>
        <v>-1</v>
      </c>
      <c r="AI70" s="31">
        <f>Recu3!AI70</f>
        <v>0</v>
      </c>
      <c r="AJ70" s="32">
        <f t="shared" si="135"/>
        <v>-1</v>
      </c>
      <c r="AK70" s="31">
        <f>Recu3!AK70</f>
        <v>0</v>
      </c>
      <c r="AL70" s="32">
        <f t="shared" si="136"/>
        <v>-1</v>
      </c>
      <c r="AM70" s="31">
        <f>Recu3!AM70</f>
        <v>0</v>
      </c>
      <c r="AN70" s="32">
        <f t="shared" si="137"/>
        <v>-1</v>
      </c>
      <c r="AO70" s="31">
        <f>Recu3!AO70</f>
        <v>0</v>
      </c>
      <c r="AP70" s="32">
        <f t="shared" si="138"/>
        <v>-1</v>
      </c>
      <c r="AQ70" s="31">
        <f>Recu3!AQ70</f>
        <v>0</v>
      </c>
      <c r="AR70" s="32">
        <f t="shared" si="139"/>
        <v>-1</v>
      </c>
      <c r="AS70" s="31">
        <f>Recu3!AS70</f>
        <v>0</v>
      </c>
      <c r="AT70" s="32">
        <f t="shared" si="140"/>
        <v>-1</v>
      </c>
      <c r="AU70" s="31">
        <f>Recu3!AU70</f>
        <v>0</v>
      </c>
      <c r="AV70" s="32">
        <f t="shared" si="141"/>
        <v>-1</v>
      </c>
      <c r="AW70" s="31">
        <f>Recu3!AW70</f>
        <v>0</v>
      </c>
      <c r="AX70" s="32">
        <f t="shared" si="142"/>
        <v>-1</v>
      </c>
      <c r="AY70" s="31">
        <f>Recu3!AY70</f>
        <v>0</v>
      </c>
      <c r="AZ70" s="32">
        <f t="shared" si="143"/>
        <v>-1</v>
      </c>
      <c r="BA70" s="31">
        <f>Recu3!BA70</f>
        <v>0</v>
      </c>
      <c r="BB70" s="32">
        <f t="shared" si="144"/>
        <v>-1</v>
      </c>
      <c r="BC70" s="31">
        <f>Recu3!BC70</f>
        <v>0</v>
      </c>
      <c r="BD70" s="32">
        <f t="shared" si="145"/>
        <v>-1</v>
      </c>
      <c r="BE70" s="31">
        <f>Recu3!BE70</f>
        <v>0</v>
      </c>
      <c r="BF70" s="32">
        <f t="shared" si="146"/>
        <v>-1</v>
      </c>
      <c r="BG70" s="31">
        <f>Recu3!BG70</f>
        <v>0</v>
      </c>
      <c r="BH70" s="32">
        <f t="shared" si="147"/>
        <v>-1</v>
      </c>
      <c r="BI70" s="31">
        <f>Recu3!BI70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Recu3!B71</f>
        <v>0</v>
      </c>
      <c r="C71" s="31">
        <f>Recu3!C71</f>
        <v>0</v>
      </c>
      <c r="D71" s="32">
        <f t="shared" si="119"/>
        <v>-1</v>
      </c>
      <c r="E71" s="31">
        <f>Recu3!E71</f>
        <v>0</v>
      </c>
      <c r="F71" s="32">
        <f t="shared" si="120"/>
        <v>-1</v>
      </c>
      <c r="G71" s="31">
        <f>Recu3!G71</f>
        <v>0</v>
      </c>
      <c r="H71" s="32">
        <f t="shared" si="121"/>
        <v>-1</v>
      </c>
      <c r="I71" s="31">
        <f>Recu3!I71</f>
        <v>0</v>
      </c>
      <c r="J71" s="32">
        <f t="shared" si="122"/>
        <v>-1</v>
      </c>
      <c r="K71" s="31">
        <f>Recu3!K71</f>
        <v>0</v>
      </c>
      <c r="L71" s="32">
        <f t="shared" si="123"/>
        <v>-1</v>
      </c>
      <c r="M71" s="31">
        <f>Recu3!M71</f>
        <v>0</v>
      </c>
      <c r="N71" s="32">
        <f t="shared" si="124"/>
        <v>-1</v>
      </c>
      <c r="O71" s="31">
        <f>Recu3!O71</f>
        <v>0</v>
      </c>
      <c r="P71" s="32">
        <f t="shared" si="125"/>
        <v>-1</v>
      </c>
      <c r="Q71" s="31">
        <f>Recu3!Q71</f>
        <v>0</v>
      </c>
      <c r="R71" s="32">
        <f t="shared" si="126"/>
        <v>-1</v>
      </c>
      <c r="S71" s="31">
        <f>Recu3!S71</f>
        <v>0</v>
      </c>
      <c r="T71" s="32">
        <f t="shared" si="127"/>
        <v>-1</v>
      </c>
      <c r="U71" s="31">
        <f>Recu3!U71</f>
        <v>0</v>
      </c>
      <c r="V71" s="32">
        <f t="shared" si="128"/>
        <v>-1</v>
      </c>
      <c r="W71" s="31">
        <f>Recu3!W71</f>
        <v>0</v>
      </c>
      <c r="X71" s="32">
        <f t="shared" si="129"/>
        <v>-1</v>
      </c>
      <c r="Y71" s="31">
        <f>Recu3!Y71</f>
        <v>0</v>
      </c>
      <c r="Z71" s="32">
        <f t="shared" si="130"/>
        <v>-1</v>
      </c>
      <c r="AA71" s="31">
        <f>Recu3!AA71</f>
        <v>0</v>
      </c>
      <c r="AB71" s="32">
        <f t="shared" si="131"/>
        <v>-1</v>
      </c>
      <c r="AC71" s="31">
        <f>Recu3!AC71</f>
        <v>0</v>
      </c>
      <c r="AD71" s="32">
        <f t="shared" si="132"/>
        <v>-1</v>
      </c>
      <c r="AE71" s="31">
        <f>Recu3!AE71</f>
        <v>0</v>
      </c>
      <c r="AF71" s="32">
        <f t="shared" si="133"/>
        <v>-1</v>
      </c>
      <c r="AG71" s="31">
        <f>Recu3!AG71</f>
        <v>0</v>
      </c>
      <c r="AH71" s="32">
        <f t="shared" si="134"/>
        <v>-1</v>
      </c>
      <c r="AI71" s="31">
        <f>Recu3!AI71</f>
        <v>0</v>
      </c>
      <c r="AJ71" s="32">
        <f t="shared" si="135"/>
        <v>-1</v>
      </c>
      <c r="AK71" s="31">
        <f>Recu3!AK71</f>
        <v>0</v>
      </c>
      <c r="AL71" s="32">
        <f t="shared" si="136"/>
        <v>-1</v>
      </c>
      <c r="AM71" s="31">
        <f>Recu3!AM71</f>
        <v>0</v>
      </c>
      <c r="AN71" s="32">
        <f t="shared" si="137"/>
        <v>-1</v>
      </c>
      <c r="AO71" s="31">
        <f>Recu3!AO71</f>
        <v>0</v>
      </c>
      <c r="AP71" s="32">
        <f t="shared" si="138"/>
        <v>-1</v>
      </c>
      <c r="AQ71" s="31">
        <f>Recu3!AQ71</f>
        <v>0</v>
      </c>
      <c r="AR71" s="32">
        <f t="shared" si="139"/>
        <v>-1</v>
      </c>
      <c r="AS71" s="31">
        <f>Recu3!AS71</f>
        <v>0</v>
      </c>
      <c r="AT71" s="32">
        <f t="shared" si="140"/>
        <v>-1</v>
      </c>
      <c r="AU71" s="31">
        <f>Recu3!AU71</f>
        <v>0</v>
      </c>
      <c r="AV71" s="32">
        <f t="shared" si="141"/>
        <v>-1</v>
      </c>
      <c r="AW71" s="31">
        <f>Recu3!AW71</f>
        <v>0</v>
      </c>
      <c r="AX71" s="32">
        <f t="shared" si="142"/>
        <v>-1</v>
      </c>
      <c r="AY71" s="31">
        <f>Recu3!AY71</f>
        <v>0</v>
      </c>
      <c r="AZ71" s="32">
        <f t="shared" si="143"/>
        <v>-1</v>
      </c>
      <c r="BA71" s="31">
        <f>Recu3!BA71</f>
        <v>0</v>
      </c>
      <c r="BB71" s="32">
        <f t="shared" si="144"/>
        <v>-1</v>
      </c>
      <c r="BC71" s="31">
        <f>Recu3!BC71</f>
        <v>0</v>
      </c>
      <c r="BD71" s="32">
        <f t="shared" si="145"/>
        <v>-1</v>
      </c>
      <c r="BE71" s="31">
        <f>Recu3!BE71</f>
        <v>0</v>
      </c>
      <c r="BF71" s="32">
        <f t="shared" si="146"/>
        <v>-1</v>
      </c>
      <c r="BG71" s="31">
        <f>Recu3!BG71</f>
        <v>0</v>
      </c>
      <c r="BH71" s="32">
        <f t="shared" si="147"/>
        <v>-1</v>
      </c>
      <c r="BI71" s="31">
        <f>Recu3!BI71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Recu3!B72</f>
        <v>0</v>
      </c>
      <c r="C72" s="31">
        <f>Recu3!C72</f>
        <v>0</v>
      </c>
      <c r="D72" s="32">
        <f t="shared" si="119"/>
        <v>-1</v>
      </c>
      <c r="E72" s="31">
        <f>Recu3!E72</f>
        <v>0</v>
      </c>
      <c r="F72" s="32">
        <f t="shared" si="120"/>
        <v>-1</v>
      </c>
      <c r="G72" s="31">
        <f>Recu3!G72</f>
        <v>0</v>
      </c>
      <c r="H72" s="32">
        <f t="shared" si="121"/>
        <v>-1</v>
      </c>
      <c r="I72" s="31">
        <f>Recu3!I72</f>
        <v>0</v>
      </c>
      <c r="J72" s="32">
        <f t="shared" si="122"/>
        <v>-1</v>
      </c>
      <c r="K72" s="31">
        <f>Recu3!K72</f>
        <v>0</v>
      </c>
      <c r="L72" s="32">
        <f t="shared" si="123"/>
        <v>-1</v>
      </c>
      <c r="M72" s="31">
        <f>Recu3!M72</f>
        <v>0</v>
      </c>
      <c r="N72" s="32">
        <f t="shared" si="124"/>
        <v>-1</v>
      </c>
      <c r="O72" s="31">
        <f>Recu3!O72</f>
        <v>0</v>
      </c>
      <c r="P72" s="32">
        <f t="shared" si="125"/>
        <v>-1</v>
      </c>
      <c r="Q72" s="31">
        <f>Recu3!Q72</f>
        <v>0</v>
      </c>
      <c r="R72" s="32">
        <f t="shared" si="126"/>
        <v>-1</v>
      </c>
      <c r="S72" s="31">
        <f>Recu3!S72</f>
        <v>0</v>
      </c>
      <c r="T72" s="32">
        <f t="shared" si="127"/>
        <v>-1</v>
      </c>
      <c r="U72" s="31">
        <f>Recu3!U72</f>
        <v>0</v>
      </c>
      <c r="V72" s="32">
        <f t="shared" si="128"/>
        <v>-1</v>
      </c>
      <c r="W72" s="31">
        <f>Recu3!W72</f>
        <v>0</v>
      </c>
      <c r="X72" s="32">
        <f t="shared" si="129"/>
        <v>-1</v>
      </c>
      <c r="Y72" s="31">
        <f>Recu3!Y72</f>
        <v>0</v>
      </c>
      <c r="Z72" s="32">
        <f t="shared" si="130"/>
        <v>-1</v>
      </c>
      <c r="AA72" s="31">
        <f>Recu3!AA72</f>
        <v>0</v>
      </c>
      <c r="AB72" s="32">
        <f t="shared" si="131"/>
        <v>-1</v>
      </c>
      <c r="AC72" s="31">
        <f>Recu3!AC72</f>
        <v>0</v>
      </c>
      <c r="AD72" s="32">
        <f t="shared" si="132"/>
        <v>-1</v>
      </c>
      <c r="AE72" s="31">
        <f>Recu3!AE72</f>
        <v>0</v>
      </c>
      <c r="AF72" s="32">
        <f t="shared" si="133"/>
        <v>-1</v>
      </c>
      <c r="AG72" s="31">
        <f>Recu3!AG72</f>
        <v>0</v>
      </c>
      <c r="AH72" s="32">
        <f t="shared" si="134"/>
        <v>-1</v>
      </c>
      <c r="AI72" s="31">
        <f>Recu3!AI72</f>
        <v>0</v>
      </c>
      <c r="AJ72" s="32">
        <f t="shared" si="135"/>
        <v>-1</v>
      </c>
      <c r="AK72" s="31">
        <f>Recu3!AK72</f>
        <v>0</v>
      </c>
      <c r="AL72" s="32">
        <f t="shared" si="136"/>
        <v>-1</v>
      </c>
      <c r="AM72" s="31">
        <f>Recu3!AM72</f>
        <v>0</v>
      </c>
      <c r="AN72" s="32">
        <f t="shared" si="137"/>
        <v>-1</v>
      </c>
      <c r="AO72" s="31">
        <f>Recu3!AO72</f>
        <v>0</v>
      </c>
      <c r="AP72" s="32">
        <f t="shared" si="138"/>
        <v>-1</v>
      </c>
      <c r="AQ72" s="31">
        <f>Recu3!AQ72</f>
        <v>0</v>
      </c>
      <c r="AR72" s="32">
        <f t="shared" si="139"/>
        <v>-1</v>
      </c>
      <c r="AS72" s="31">
        <f>Recu3!AS72</f>
        <v>0</v>
      </c>
      <c r="AT72" s="32">
        <f t="shared" si="140"/>
        <v>-1</v>
      </c>
      <c r="AU72" s="31">
        <f>Recu3!AU72</f>
        <v>0</v>
      </c>
      <c r="AV72" s="32">
        <f t="shared" si="141"/>
        <v>-1</v>
      </c>
      <c r="AW72" s="31">
        <f>Recu3!AW72</f>
        <v>0</v>
      </c>
      <c r="AX72" s="32">
        <f t="shared" si="142"/>
        <v>-1</v>
      </c>
      <c r="AY72" s="31">
        <f>Recu3!AY72</f>
        <v>0</v>
      </c>
      <c r="AZ72" s="32">
        <f t="shared" si="143"/>
        <v>-1</v>
      </c>
      <c r="BA72" s="31">
        <f>Recu3!BA72</f>
        <v>0</v>
      </c>
      <c r="BB72" s="32">
        <f t="shared" si="144"/>
        <v>-1</v>
      </c>
      <c r="BC72" s="31">
        <f>Recu3!BC72</f>
        <v>0</v>
      </c>
      <c r="BD72" s="32">
        <f t="shared" si="145"/>
        <v>-1</v>
      </c>
      <c r="BE72" s="31">
        <f>Recu3!BE72</f>
        <v>0</v>
      </c>
      <c r="BF72" s="32">
        <f t="shared" si="146"/>
        <v>-1</v>
      </c>
      <c r="BG72" s="31">
        <f>Recu3!BG72</f>
        <v>0</v>
      </c>
      <c r="BH72" s="32">
        <f t="shared" si="147"/>
        <v>-1</v>
      </c>
      <c r="BI72" s="31">
        <f>Recu3!BI72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Recu3!B73</f>
        <v>0</v>
      </c>
      <c r="C73" s="31">
        <f>Recu3!C73</f>
        <v>0</v>
      </c>
      <c r="D73" s="32">
        <f t="shared" si="119"/>
        <v>-1</v>
      </c>
      <c r="E73" s="31">
        <f>Recu3!E73</f>
        <v>0</v>
      </c>
      <c r="F73" s="32">
        <f t="shared" si="120"/>
        <v>-1</v>
      </c>
      <c r="G73" s="31">
        <f>Recu3!G73</f>
        <v>0</v>
      </c>
      <c r="H73" s="32">
        <f t="shared" si="121"/>
        <v>-1</v>
      </c>
      <c r="I73" s="31">
        <f>Recu3!I73</f>
        <v>0</v>
      </c>
      <c r="J73" s="32">
        <f t="shared" si="122"/>
        <v>-1</v>
      </c>
      <c r="K73" s="31">
        <f>Recu3!K73</f>
        <v>0</v>
      </c>
      <c r="L73" s="32">
        <f t="shared" si="123"/>
        <v>-1</v>
      </c>
      <c r="M73" s="31">
        <f>Recu3!M73</f>
        <v>0</v>
      </c>
      <c r="N73" s="32">
        <f t="shared" si="124"/>
        <v>-1</v>
      </c>
      <c r="O73" s="31">
        <f>Recu3!O73</f>
        <v>0</v>
      </c>
      <c r="P73" s="32">
        <f t="shared" si="125"/>
        <v>-1</v>
      </c>
      <c r="Q73" s="31">
        <f>Recu3!Q73</f>
        <v>0</v>
      </c>
      <c r="R73" s="32">
        <f t="shared" si="126"/>
        <v>-1</v>
      </c>
      <c r="S73" s="31">
        <f>Recu3!S73</f>
        <v>0</v>
      </c>
      <c r="T73" s="32">
        <f t="shared" si="127"/>
        <v>-1</v>
      </c>
      <c r="U73" s="31">
        <f>Recu3!U73</f>
        <v>0</v>
      </c>
      <c r="V73" s="32">
        <f t="shared" si="128"/>
        <v>-1</v>
      </c>
      <c r="W73" s="31">
        <f>Recu3!W73</f>
        <v>0</v>
      </c>
      <c r="X73" s="32">
        <f t="shared" si="129"/>
        <v>-1</v>
      </c>
      <c r="Y73" s="31">
        <f>Recu3!Y73</f>
        <v>0</v>
      </c>
      <c r="Z73" s="32">
        <f t="shared" si="130"/>
        <v>-1</v>
      </c>
      <c r="AA73" s="31">
        <f>Recu3!AA73</f>
        <v>0</v>
      </c>
      <c r="AB73" s="32">
        <f t="shared" si="131"/>
        <v>-1</v>
      </c>
      <c r="AC73" s="31">
        <f>Recu3!AC73</f>
        <v>0</v>
      </c>
      <c r="AD73" s="32">
        <f t="shared" si="132"/>
        <v>-1</v>
      </c>
      <c r="AE73" s="31">
        <f>Recu3!AE73</f>
        <v>0</v>
      </c>
      <c r="AF73" s="32">
        <f t="shared" si="133"/>
        <v>-1</v>
      </c>
      <c r="AG73" s="31">
        <f>Recu3!AG73</f>
        <v>0</v>
      </c>
      <c r="AH73" s="32">
        <f t="shared" si="134"/>
        <v>-1</v>
      </c>
      <c r="AI73" s="31">
        <f>Recu3!AI73</f>
        <v>0</v>
      </c>
      <c r="AJ73" s="32">
        <f t="shared" si="135"/>
        <v>-1</v>
      </c>
      <c r="AK73" s="31">
        <f>Recu3!AK73</f>
        <v>0</v>
      </c>
      <c r="AL73" s="32">
        <f t="shared" si="136"/>
        <v>-1</v>
      </c>
      <c r="AM73" s="31">
        <f>Recu3!AM73</f>
        <v>0</v>
      </c>
      <c r="AN73" s="32">
        <f t="shared" si="137"/>
        <v>-1</v>
      </c>
      <c r="AO73" s="31">
        <f>Recu3!AO73</f>
        <v>0</v>
      </c>
      <c r="AP73" s="32">
        <f t="shared" si="138"/>
        <v>-1</v>
      </c>
      <c r="AQ73" s="31">
        <f>Recu3!AQ73</f>
        <v>0</v>
      </c>
      <c r="AR73" s="32">
        <f t="shared" si="139"/>
        <v>-1</v>
      </c>
      <c r="AS73" s="31">
        <f>Recu3!AS73</f>
        <v>0</v>
      </c>
      <c r="AT73" s="32">
        <f t="shared" si="140"/>
        <v>-1</v>
      </c>
      <c r="AU73" s="31">
        <f>Recu3!AU73</f>
        <v>0</v>
      </c>
      <c r="AV73" s="32">
        <f t="shared" si="141"/>
        <v>-1</v>
      </c>
      <c r="AW73" s="31">
        <f>Recu3!AW73</f>
        <v>0</v>
      </c>
      <c r="AX73" s="32">
        <f t="shared" si="142"/>
        <v>-1</v>
      </c>
      <c r="AY73" s="31">
        <f>Recu3!AY73</f>
        <v>0</v>
      </c>
      <c r="AZ73" s="32">
        <f t="shared" si="143"/>
        <v>-1</v>
      </c>
      <c r="BA73" s="31">
        <f>Recu3!BA73</f>
        <v>0</v>
      </c>
      <c r="BB73" s="32">
        <f t="shared" si="144"/>
        <v>-1</v>
      </c>
      <c r="BC73" s="31">
        <f>Recu3!BC73</f>
        <v>0</v>
      </c>
      <c r="BD73" s="32">
        <f t="shared" si="145"/>
        <v>-1</v>
      </c>
      <c r="BE73" s="31">
        <f>Recu3!BE73</f>
        <v>0</v>
      </c>
      <c r="BF73" s="32">
        <f t="shared" si="146"/>
        <v>-1</v>
      </c>
      <c r="BG73" s="31">
        <f>Recu3!BG73</f>
        <v>0</v>
      </c>
      <c r="BH73" s="32">
        <f t="shared" si="147"/>
        <v>-1</v>
      </c>
      <c r="BI73" s="31">
        <f>Recu3!BI73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Recu3!B74</f>
        <v>0</v>
      </c>
      <c r="C74" s="31">
        <f>Recu3!C74</f>
        <v>0</v>
      </c>
      <c r="D74" s="32">
        <f t="shared" si="119"/>
        <v>-1</v>
      </c>
      <c r="E74" s="31">
        <f>Recu3!E74</f>
        <v>0</v>
      </c>
      <c r="F74" s="32">
        <f t="shared" si="120"/>
        <v>-1</v>
      </c>
      <c r="G74" s="31">
        <f>Recu3!G74</f>
        <v>0</v>
      </c>
      <c r="H74" s="32">
        <f t="shared" si="121"/>
        <v>-1</v>
      </c>
      <c r="I74" s="31">
        <f>Recu3!I74</f>
        <v>0</v>
      </c>
      <c r="J74" s="32">
        <f t="shared" si="122"/>
        <v>-1</v>
      </c>
      <c r="K74" s="31">
        <f>Recu3!K74</f>
        <v>0</v>
      </c>
      <c r="L74" s="32">
        <f t="shared" si="123"/>
        <v>-1</v>
      </c>
      <c r="M74" s="31">
        <f>Recu3!M74</f>
        <v>0</v>
      </c>
      <c r="N74" s="32">
        <f t="shared" si="124"/>
        <v>-1</v>
      </c>
      <c r="O74" s="31">
        <f>Recu3!O74</f>
        <v>0</v>
      </c>
      <c r="P74" s="32">
        <f t="shared" si="125"/>
        <v>-1</v>
      </c>
      <c r="Q74" s="31">
        <f>Recu3!Q74</f>
        <v>0</v>
      </c>
      <c r="R74" s="32">
        <f t="shared" si="126"/>
        <v>-1</v>
      </c>
      <c r="S74" s="31">
        <f>Recu3!S74</f>
        <v>0</v>
      </c>
      <c r="T74" s="32">
        <f t="shared" si="127"/>
        <v>-1</v>
      </c>
      <c r="U74" s="31">
        <f>Recu3!U74</f>
        <v>0</v>
      </c>
      <c r="V74" s="32">
        <f t="shared" si="128"/>
        <v>-1</v>
      </c>
      <c r="W74" s="31">
        <f>Recu3!W74</f>
        <v>0</v>
      </c>
      <c r="X74" s="32">
        <f t="shared" si="129"/>
        <v>-1</v>
      </c>
      <c r="Y74" s="31">
        <f>Recu3!Y74</f>
        <v>0</v>
      </c>
      <c r="Z74" s="32">
        <f t="shared" si="130"/>
        <v>-1</v>
      </c>
      <c r="AA74" s="31">
        <f>Recu3!AA74</f>
        <v>0</v>
      </c>
      <c r="AB74" s="32">
        <f t="shared" si="131"/>
        <v>-1</v>
      </c>
      <c r="AC74" s="31">
        <f>Recu3!AC74</f>
        <v>0</v>
      </c>
      <c r="AD74" s="32">
        <f t="shared" si="132"/>
        <v>-1</v>
      </c>
      <c r="AE74" s="31">
        <f>Recu3!AE74</f>
        <v>0</v>
      </c>
      <c r="AF74" s="32">
        <f t="shared" si="133"/>
        <v>-1</v>
      </c>
      <c r="AG74" s="31">
        <f>Recu3!AG74</f>
        <v>0</v>
      </c>
      <c r="AH74" s="32">
        <f t="shared" si="134"/>
        <v>-1</v>
      </c>
      <c r="AI74" s="31">
        <f>Recu3!AI74</f>
        <v>0</v>
      </c>
      <c r="AJ74" s="32">
        <f t="shared" si="135"/>
        <v>-1</v>
      </c>
      <c r="AK74" s="31">
        <f>Recu3!AK74</f>
        <v>0</v>
      </c>
      <c r="AL74" s="32">
        <f t="shared" si="136"/>
        <v>-1</v>
      </c>
      <c r="AM74" s="31">
        <f>Recu3!AM74</f>
        <v>0</v>
      </c>
      <c r="AN74" s="32">
        <f t="shared" si="137"/>
        <v>-1</v>
      </c>
      <c r="AO74" s="31">
        <f>Recu3!AO74</f>
        <v>0</v>
      </c>
      <c r="AP74" s="32">
        <f t="shared" si="138"/>
        <v>-1</v>
      </c>
      <c r="AQ74" s="31">
        <f>Recu3!AQ74</f>
        <v>0</v>
      </c>
      <c r="AR74" s="32">
        <f t="shared" si="139"/>
        <v>-1</v>
      </c>
      <c r="AS74" s="31">
        <f>Recu3!AS74</f>
        <v>0</v>
      </c>
      <c r="AT74" s="32">
        <f t="shared" si="140"/>
        <v>-1</v>
      </c>
      <c r="AU74" s="31">
        <f>Recu3!AU74</f>
        <v>0</v>
      </c>
      <c r="AV74" s="32">
        <f t="shared" si="141"/>
        <v>-1</v>
      </c>
      <c r="AW74" s="31">
        <f>Recu3!AW74</f>
        <v>0</v>
      </c>
      <c r="AX74" s="32">
        <f t="shared" si="142"/>
        <v>-1</v>
      </c>
      <c r="AY74" s="31">
        <f>Recu3!AY74</f>
        <v>0</v>
      </c>
      <c r="AZ74" s="32">
        <f t="shared" si="143"/>
        <v>-1</v>
      </c>
      <c r="BA74" s="31">
        <f>Recu3!BA74</f>
        <v>0</v>
      </c>
      <c r="BB74" s="32">
        <f t="shared" si="144"/>
        <v>-1</v>
      </c>
      <c r="BC74" s="31">
        <f>Recu3!BC74</f>
        <v>0</v>
      </c>
      <c r="BD74" s="32">
        <f t="shared" si="145"/>
        <v>-1</v>
      </c>
      <c r="BE74" s="31">
        <f>Recu3!BE74</f>
        <v>0</v>
      </c>
      <c r="BF74" s="32">
        <f t="shared" si="146"/>
        <v>-1</v>
      </c>
      <c r="BG74" s="31">
        <f>Recu3!BG74</f>
        <v>0</v>
      </c>
      <c r="BH74" s="32">
        <f t="shared" si="147"/>
        <v>-1</v>
      </c>
      <c r="BI74" s="31">
        <f>Recu3!BI74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Recu3!B75</f>
        <v>0</v>
      </c>
      <c r="C75" s="31">
        <f>Recu3!C75</f>
        <v>0</v>
      </c>
      <c r="D75" s="32">
        <f t="shared" si="119"/>
        <v>-1</v>
      </c>
      <c r="E75" s="31">
        <f>Recu3!E75</f>
        <v>0</v>
      </c>
      <c r="F75" s="32">
        <f t="shared" si="120"/>
        <v>-1</v>
      </c>
      <c r="G75" s="31">
        <f>Recu3!G75</f>
        <v>0</v>
      </c>
      <c r="H75" s="32">
        <f t="shared" si="121"/>
        <v>-1</v>
      </c>
      <c r="I75" s="31">
        <f>Recu3!I75</f>
        <v>0</v>
      </c>
      <c r="J75" s="32">
        <f t="shared" si="122"/>
        <v>-1</v>
      </c>
      <c r="K75" s="31">
        <f>Recu3!K75</f>
        <v>0</v>
      </c>
      <c r="L75" s="32">
        <f t="shared" si="123"/>
        <v>-1</v>
      </c>
      <c r="M75" s="31">
        <f>Recu3!M75</f>
        <v>0</v>
      </c>
      <c r="N75" s="32">
        <f t="shared" si="124"/>
        <v>-1</v>
      </c>
      <c r="O75" s="31">
        <f>Recu3!O75</f>
        <v>0</v>
      </c>
      <c r="P75" s="32">
        <f t="shared" si="125"/>
        <v>-1</v>
      </c>
      <c r="Q75" s="31">
        <f>Recu3!Q75</f>
        <v>0</v>
      </c>
      <c r="R75" s="32">
        <f t="shared" si="126"/>
        <v>-1</v>
      </c>
      <c r="S75" s="31">
        <f>Recu3!S75</f>
        <v>0</v>
      </c>
      <c r="T75" s="32">
        <f t="shared" si="127"/>
        <v>-1</v>
      </c>
      <c r="U75" s="31">
        <f>Recu3!U75</f>
        <v>0</v>
      </c>
      <c r="V75" s="32">
        <f t="shared" si="128"/>
        <v>-1</v>
      </c>
      <c r="W75" s="31">
        <f>Recu3!W75</f>
        <v>0</v>
      </c>
      <c r="X75" s="32">
        <f t="shared" si="129"/>
        <v>-1</v>
      </c>
      <c r="Y75" s="31">
        <f>Recu3!Y75</f>
        <v>0</v>
      </c>
      <c r="Z75" s="32">
        <f t="shared" si="130"/>
        <v>-1</v>
      </c>
      <c r="AA75" s="31">
        <f>Recu3!AA75</f>
        <v>0</v>
      </c>
      <c r="AB75" s="32">
        <f t="shared" si="131"/>
        <v>-1</v>
      </c>
      <c r="AC75" s="31">
        <f>Recu3!AC75</f>
        <v>0</v>
      </c>
      <c r="AD75" s="32">
        <f t="shared" si="132"/>
        <v>-1</v>
      </c>
      <c r="AE75" s="31">
        <f>Recu3!AE75</f>
        <v>0</v>
      </c>
      <c r="AF75" s="32">
        <f t="shared" si="133"/>
        <v>-1</v>
      </c>
      <c r="AG75" s="31">
        <f>Recu3!AG75</f>
        <v>0</v>
      </c>
      <c r="AH75" s="32">
        <f t="shared" si="134"/>
        <v>-1</v>
      </c>
      <c r="AI75" s="31">
        <f>Recu3!AI75</f>
        <v>0</v>
      </c>
      <c r="AJ75" s="32">
        <f t="shared" si="135"/>
        <v>-1</v>
      </c>
      <c r="AK75" s="31">
        <f>Recu3!AK75</f>
        <v>0</v>
      </c>
      <c r="AL75" s="32">
        <f t="shared" si="136"/>
        <v>-1</v>
      </c>
      <c r="AM75" s="31">
        <f>Recu3!AM75</f>
        <v>0</v>
      </c>
      <c r="AN75" s="32">
        <f t="shared" si="137"/>
        <v>-1</v>
      </c>
      <c r="AO75" s="31">
        <f>Recu3!AO75</f>
        <v>0</v>
      </c>
      <c r="AP75" s="32">
        <f t="shared" si="138"/>
        <v>-1</v>
      </c>
      <c r="AQ75" s="31">
        <f>Recu3!AQ75</f>
        <v>0</v>
      </c>
      <c r="AR75" s="32">
        <f t="shared" si="139"/>
        <v>-1</v>
      </c>
      <c r="AS75" s="31">
        <f>Recu3!AS75</f>
        <v>0</v>
      </c>
      <c r="AT75" s="32">
        <f t="shared" si="140"/>
        <v>-1</v>
      </c>
      <c r="AU75" s="31">
        <f>Recu3!AU75</f>
        <v>0</v>
      </c>
      <c r="AV75" s="32">
        <f t="shared" si="141"/>
        <v>-1</v>
      </c>
      <c r="AW75" s="31">
        <f>Recu3!AW75</f>
        <v>0</v>
      </c>
      <c r="AX75" s="32">
        <f t="shared" si="142"/>
        <v>-1</v>
      </c>
      <c r="AY75" s="31">
        <f>Recu3!AY75</f>
        <v>0</v>
      </c>
      <c r="AZ75" s="32">
        <f t="shared" si="143"/>
        <v>-1</v>
      </c>
      <c r="BA75" s="31">
        <f>Recu3!BA75</f>
        <v>0</v>
      </c>
      <c r="BB75" s="32">
        <f t="shared" si="144"/>
        <v>-1</v>
      </c>
      <c r="BC75" s="31">
        <f>Recu3!BC75</f>
        <v>0</v>
      </c>
      <c r="BD75" s="32">
        <f t="shared" si="145"/>
        <v>-1</v>
      </c>
      <c r="BE75" s="31">
        <f>Recu3!BE75</f>
        <v>0</v>
      </c>
      <c r="BF75" s="32">
        <f t="shared" si="146"/>
        <v>-1</v>
      </c>
      <c r="BG75" s="31">
        <f>Recu3!BG75</f>
        <v>0</v>
      </c>
      <c r="BH75" s="32">
        <f t="shared" si="147"/>
        <v>-1</v>
      </c>
      <c r="BI75" s="31">
        <f>Recu3!BI75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Recu3!B76</f>
        <v>0</v>
      </c>
      <c r="C76" s="31">
        <f>Recu3!C76</f>
        <v>0</v>
      </c>
      <c r="D76" s="32">
        <f t="shared" si="119"/>
        <v>-1</v>
      </c>
      <c r="E76" s="31">
        <f>Recu3!E76</f>
        <v>0</v>
      </c>
      <c r="F76" s="32">
        <f t="shared" si="120"/>
        <v>-1</v>
      </c>
      <c r="G76" s="31">
        <f>Recu3!G76</f>
        <v>0</v>
      </c>
      <c r="H76" s="32">
        <f t="shared" si="121"/>
        <v>-1</v>
      </c>
      <c r="I76" s="31">
        <f>Recu3!I76</f>
        <v>0</v>
      </c>
      <c r="J76" s="32">
        <f t="shared" si="122"/>
        <v>-1</v>
      </c>
      <c r="K76" s="31">
        <f>Recu3!K76</f>
        <v>0</v>
      </c>
      <c r="L76" s="32">
        <f t="shared" si="123"/>
        <v>-1</v>
      </c>
      <c r="M76" s="31">
        <f>Recu3!M76</f>
        <v>0</v>
      </c>
      <c r="N76" s="32">
        <f t="shared" si="124"/>
        <v>-1</v>
      </c>
      <c r="O76" s="31">
        <f>Recu3!O76</f>
        <v>0</v>
      </c>
      <c r="P76" s="32">
        <f t="shared" si="125"/>
        <v>-1</v>
      </c>
      <c r="Q76" s="31">
        <f>Recu3!Q76</f>
        <v>0</v>
      </c>
      <c r="R76" s="32">
        <f t="shared" si="126"/>
        <v>-1</v>
      </c>
      <c r="S76" s="31">
        <f>Recu3!S76</f>
        <v>0</v>
      </c>
      <c r="T76" s="32">
        <f t="shared" si="127"/>
        <v>-1</v>
      </c>
      <c r="U76" s="31">
        <f>Recu3!U76</f>
        <v>0</v>
      </c>
      <c r="V76" s="32">
        <f t="shared" si="128"/>
        <v>-1</v>
      </c>
      <c r="W76" s="31">
        <f>Recu3!W76</f>
        <v>0</v>
      </c>
      <c r="X76" s="32">
        <f t="shared" si="129"/>
        <v>-1</v>
      </c>
      <c r="Y76" s="31">
        <f>Recu3!Y76</f>
        <v>0</v>
      </c>
      <c r="Z76" s="32">
        <f t="shared" si="130"/>
        <v>-1</v>
      </c>
      <c r="AA76" s="31">
        <f>Recu3!AA76</f>
        <v>0</v>
      </c>
      <c r="AB76" s="32">
        <f t="shared" si="131"/>
        <v>-1</v>
      </c>
      <c r="AC76" s="31">
        <f>Recu3!AC76</f>
        <v>0</v>
      </c>
      <c r="AD76" s="32">
        <f t="shared" si="132"/>
        <v>-1</v>
      </c>
      <c r="AE76" s="31">
        <f>Recu3!AE76</f>
        <v>0</v>
      </c>
      <c r="AF76" s="32">
        <f t="shared" si="133"/>
        <v>-1</v>
      </c>
      <c r="AG76" s="31">
        <f>Recu3!AG76</f>
        <v>0</v>
      </c>
      <c r="AH76" s="32">
        <f t="shared" si="134"/>
        <v>-1</v>
      </c>
      <c r="AI76" s="31">
        <f>Recu3!AI76</f>
        <v>0</v>
      </c>
      <c r="AJ76" s="32">
        <f t="shared" si="135"/>
        <v>-1</v>
      </c>
      <c r="AK76" s="31">
        <f>Recu3!AK76</f>
        <v>0</v>
      </c>
      <c r="AL76" s="32">
        <f t="shared" si="136"/>
        <v>-1</v>
      </c>
      <c r="AM76" s="31">
        <f>Recu3!AM76</f>
        <v>0</v>
      </c>
      <c r="AN76" s="32">
        <f t="shared" si="137"/>
        <v>-1</v>
      </c>
      <c r="AO76" s="31">
        <f>Recu3!AO76</f>
        <v>0</v>
      </c>
      <c r="AP76" s="32">
        <f t="shared" si="138"/>
        <v>-1</v>
      </c>
      <c r="AQ76" s="31">
        <f>Recu3!AQ76</f>
        <v>0</v>
      </c>
      <c r="AR76" s="32">
        <f t="shared" si="139"/>
        <v>-1</v>
      </c>
      <c r="AS76" s="31">
        <f>Recu3!AS76</f>
        <v>0</v>
      </c>
      <c r="AT76" s="32">
        <f t="shared" si="140"/>
        <v>-1</v>
      </c>
      <c r="AU76" s="31">
        <f>Recu3!AU76</f>
        <v>0</v>
      </c>
      <c r="AV76" s="32">
        <f t="shared" si="141"/>
        <v>-1</v>
      </c>
      <c r="AW76" s="31">
        <f>Recu3!AW76</f>
        <v>0</v>
      </c>
      <c r="AX76" s="32">
        <f t="shared" si="142"/>
        <v>-1</v>
      </c>
      <c r="AY76" s="31">
        <f>Recu3!AY76</f>
        <v>0</v>
      </c>
      <c r="AZ76" s="32">
        <f t="shared" si="143"/>
        <v>-1</v>
      </c>
      <c r="BA76" s="31">
        <f>Recu3!BA76</f>
        <v>0</v>
      </c>
      <c r="BB76" s="32">
        <f t="shared" si="144"/>
        <v>-1</v>
      </c>
      <c r="BC76" s="31">
        <f>Recu3!BC76</f>
        <v>0</v>
      </c>
      <c r="BD76" s="32">
        <f t="shared" si="145"/>
        <v>-1</v>
      </c>
      <c r="BE76" s="31">
        <f>Recu3!BE76</f>
        <v>0</v>
      </c>
      <c r="BF76" s="32">
        <f t="shared" si="146"/>
        <v>-1</v>
      </c>
      <c r="BG76" s="31">
        <f>Recu3!BG76</f>
        <v>0</v>
      </c>
      <c r="BH76" s="32">
        <f t="shared" si="147"/>
        <v>-1</v>
      </c>
      <c r="BI76" s="31">
        <f>Recu3!BI76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Recu3!B77</f>
        <v>0</v>
      </c>
      <c r="C77" s="31">
        <f>Recu3!C77</f>
        <v>0</v>
      </c>
      <c r="D77" s="32">
        <f t="shared" si="119"/>
        <v>-1</v>
      </c>
      <c r="E77" s="31">
        <f>Recu3!E77</f>
        <v>0</v>
      </c>
      <c r="F77" s="32">
        <f t="shared" si="120"/>
        <v>-1</v>
      </c>
      <c r="G77" s="31">
        <f>Recu3!G77</f>
        <v>0</v>
      </c>
      <c r="H77" s="32">
        <f t="shared" si="121"/>
        <v>-1</v>
      </c>
      <c r="I77" s="31">
        <f>Recu3!I77</f>
        <v>0</v>
      </c>
      <c r="J77" s="32">
        <f t="shared" si="122"/>
        <v>-1</v>
      </c>
      <c r="K77" s="31">
        <f>Recu3!K77</f>
        <v>0</v>
      </c>
      <c r="L77" s="32">
        <f t="shared" si="123"/>
        <v>-1</v>
      </c>
      <c r="M77" s="31">
        <f>Recu3!M77</f>
        <v>0</v>
      </c>
      <c r="N77" s="32">
        <f t="shared" si="124"/>
        <v>-1</v>
      </c>
      <c r="O77" s="31">
        <f>Recu3!O77</f>
        <v>0</v>
      </c>
      <c r="P77" s="32">
        <f t="shared" si="125"/>
        <v>-1</v>
      </c>
      <c r="Q77" s="31">
        <f>Recu3!Q77</f>
        <v>0</v>
      </c>
      <c r="R77" s="32">
        <f t="shared" si="126"/>
        <v>-1</v>
      </c>
      <c r="S77" s="31">
        <f>Recu3!S77</f>
        <v>0</v>
      </c>
      <c r="T77" s="32">
        <f t="shared" si="127"/>
        <v>-1</v>
      </c>
      <c r="U77" s="31">
        <f>Recu3!U77</f>
        <v>0</v>
      </c>
      <c r="V77" s="32">
        <f t="shared" si="128"/>
        <v>-1</v>
      </c>
      <c r="W77" s="31">
        <f>Recu3!W77</f>
        <v>0</v>
      </c>
      <c r="X77" s="32">
        <f t="shared" si="129"/>
        <v>-1</v>
      </c>
      <c r="Y77" s="31">
        <f>Recu3!Y77</f>
        <v>0</v>
      </c>
      <c r="Z77" s="32">
        <f t="shared" si="130"/>
        <v>-1</v>
      </c>
      <c r="AA77" s="31">
        <f>Recu3!AA77</f>
        <v>0</v>
      </c>
      <c r="AB77" s="32">
        <f t="shared" si="131"/>
        <v>-1</v>
      </c>
      <c r="AC77" s="31">
        <f>Recu3!AC77</f>
        <v>0</v>
      </c>
      <c r="AD77" s="32">
        <f t="shared" si="132"/>
        <v>-1</v>
      </c>
      <c r="AE77" s="31">
        <f>Recu3!AE77</f>
        <v>0</v>
      </c>
      <c r="AF77" s="32">
        <f t="shared" si="133"/>
        <v>-1</v>
      </c>
      <c r="AG77" s="31">
        <f>Recu3!AG77</f>
        <v>0</v>
      </c>
      <c r="AH77" s="32">
        <f t="shared" si="134"/>
        <v>-1</v>
      </c>
      <c r="AI77" s="31">
        <f>Recu3!AI77</f>
        <v>0</v>
      </c>
      <c r="AJ77" s="32">
        <f t="shared" si="135"/>
        <v>-1</v>
      </c>
      <c r="AK77" s="31">
        <f>Recu3!AK77</f>
        <v>0</v>
      </c>
      <c r="AL77" s="32">
        <f t="shared" si="136"/>
        <v>-1</v>
      </c>
      <c r="AM77" s="31">
        <f>Recu3!AM77</f>
        <v>0</v>
      </c>
      <c r="AN77" s="32">
        <f t="shared" si="137"/>
        <v>-1</v>
      </c>
      <c r="AO77" s="31">
        <f>Recu3!AO77</f>
        <v>0</v>
      </c>
      <c r="AP77" s="32">
        <f t="shared" si="138"/>
        <v>-1</v>
      </c>
      <c r="AQ77" s="31">
        <f>Recu3!AQ77</f>
        <v>0</v>
      </c>
      <c r="AR77" s="32">
        <f t="shared" si="139"/>
        <v>-1</v>
      </c>
      <c r="AS77" s="31">
        <f>Recu3!AS77</f>
        <v>0</v>
      </c>
      <c r="AT77" s="32">
        <f t="shared" si="140"/>
        <v>-1</v>
      </c>
      <c r="AU77" s="31">
        <f>Recu3!AU77</f>
        <v>0</v>
      </c>
      <c r="AV77" s="32">
        <f t="shared" si="141"/>
        <v>-1</v>
      </c>
      <c r="AW77" s="31">
        <f>Recu3!AW77</f>
        <v>0</v>
      </c>
      <c r="AX77" s="32">
        <f t="shared" si="142"/>
        <v>-1</v>
      </c>
      <c r="AY77" s="31">
        <f>Recu3!AY77</f>
        <v>0</v>
      </c>
      <c r="AZ77" s="32">
        <f t="shared" si="143"/>
        <v>-1</v>
      </c>
      <c r="BA77" s="31">
        <f>Recu3!BA77</f>
        <v>0</v>
      </c>
      <c r="BB77" s="32">
        <f t="shared" si="144"/>
        <v>-1</v>
      </c>
      <c r="BC77" s="31">
        <f>Recu3!BC77</f>
        <v>0</v>
      </c>
      <c r="BD77" s="32">
        <f t="shared" si="145"/>
        <v>-1</v>
      </c>
      <c r="BE77" s="31">
        <f>Recu3!BE77</f>
        <v>0</v>
      </c>
      <c r="BF77" s="32">
        <f t="shared" si="146"/>
        <v>-1</v>
      </c>
      <c r="BG77" s="31">
        <f>Recu3!BG77</f>
        <v>0</v>
      </c>
      <c r="BH77" s="32">
        <f t="shared" si="147"/>
        <v>-1</v>
      </c>
      <c r="BI77" s="31">
        <f>Recu3!BI77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Recu3!B78</f>
        <v>0</v>
      </c>
      <c r="C78" s="31">
        <f>Recu3!C78</f>
        <v>0</v>
      </c>
      <c r="D78" s="32">
        <f t="shared" si="119"/>
        <v>-1</v>
      </c>
      <c r="E78" s="31">
        <f>Recu3!E78</f>
        <v>0</v>
      </c>
      <c r="F78" s="32">
        <f t="shared" si="120"/>
        <v>-1</v>
      </c>
      <c r="G78" s="31">
        <f>Recu3!G78</f>
        <v>0</v>
      </c>
      <c r="H78" s="32">
        <f t="shared" si="121"/>
        <v>-1</v>
      </c>
      <c r="I78" s="31">
        <f>Recu3!I78</f>
        <v>0</v>
      </c>
      <c r="J78" s="32">
        <f t="shared" si="122"/>
        <v>-1</v>
      </c>
      <c r="K78" s="31">
        <f>Recu3!K78</f>
        <v>0</v>
      </c>
      <c r="L78" s="32">
        <f t="shared" si="123"/>
        <v>-1</v>
      </c>
      <c r="M78" s="31">
        <f>Recu3!M78</f>
        <v>0</v>
      </c>
      <c r="N78" s="32">
        <f t="shared" si="124"/>
        <v>-1</v>
      </c>
      <c r="O78" s="31">
        <f>Recu3!O78</f>
        <v>0</v>
      </c>
      <c r="P78" s="32">
        <f t="shared" si="125"/>
        <v>-1</v>
      </c>
      <c r="Q78" s="31">
        <f>Recu3!Q78</f>
        <v>0</v>
      </c>
      <c r="R78" s="32">
        <f t="shared" si="126"/>
        <v>-1</v>
      </c>
      <c r="S78" s="31">
        <f>Recu3!S78</f>
        <v>0</v>
      </c>
      <c r="T78" s="32">
        <f t="shared" si="127"/>
        <v>-1</v>
      </c>
      <c r="U78" s="31">
        <f>Recu3!U78</f>
        <v>0</v>
      </c>
      <c r="V78" s="32">
        <f t="shared" si="128"/>
        <v>-1</v>
      </c>
      <c r="W78" s="31">
        <f>Recu3!W78</f>
        <v>0</v>
      </c>
      <c r="X78" s="32">
        <f t="shared" si="129"/>
        <v>-1</v>
      </c>
      <c r="Y78" s="31">
        <f>Recu3!Y78</f>
        <v>0</v>
      </c>
      <c r="Z78" s="32">
        <f t="shared" si="130"/>
        <v>-1</v>
      </c>
      <c r="AA78" s="31">
        <f>Recu3!AA78</f>
        <v>0</v>
      </c>
      <c r="AB78" s="32">
        <f t="shared" si="131"/>
        <v>-1</v>
      </c>
      <c r="AC78" s="31">
        <f>Recu3!AC78</f>
        <v>0</v>
      </c>
      <c r="AD78" s="32">
        <f t="shared" si="132"/>
        <v>-1</v>
      </c>
      <c r="AE78" s="31">
        <f>Recu3!AE78</f>
        <v>0</v>
      </c>
      <c r="AF78" s="32">
        <f t="shared" si="133"/>
        <v>-1</v>
      </c>
      <c r="AG78" s="31">
        <f>Recu3!AG78</f>
        <v>0</v>
      </c>
      <c r="AH78" s="32">
        <f t="shared" si="134"/>
        <v>-1</v>
      </c>
      <c r="AI78" s="31">
        <f>Recu3!AI78</f>
        <v>0</v>
      </c>
      <c r="AJ78" s="32">
        <f t="shared" si="135"/>
        <v>-1</v>
      </c>
      <c r="AK78" s="31">
        <f>Recu3!AK78</f>
        <v>0</v>
      </c>
      <c r="AL78" s="32">
        <f t="shared" si="136"/>
        <v>-1</v>
      </c>
      <c r="AM78" s="31">
        <f>Recu3!AM78</f>
        <v>0</v>
      </c>
      <c r="AN78" s="32">
        <f t="shared" si="137"/>
        <v>-1</v>
      </c>
      <c r="AO78" s="31">
        <f>Recu3!AO78</f>
        <v>0</v>
      </c>
      <c r="AP78" s="32">
        <f t="shared" si="138"/>
        <v>-1</v>
      </c>
      <c r="AQ78" s="31">
        <f>Recu3!AQ78</f>
        <v>0</v>
      </c>
      <c r="AR78" s="32">
        <f t="shared" si="139"/>
        <v>-1</v>
      </c>
      <c r="AS78" s="31">
        <f>Recu3!AS78</f>
        <v>0</v>
      </c>
      <c r="AT78" s="32">
        <f t="shared" si="140"/>
        <v>-1</v>
      </c>
      <c r="AU78" s="31">
        <f>Recu3!AU78</f>
        <v>0</v>
      </c>
      <c r="AV78" s="32">
        <f t="shared" si="141"/>
        <v>-1</v>
      </c>
      <c r="AW78" s="31">
        <f>Recu3!AW78</f>
        <v>0</v>
      </c>
      <c r="AX78" s="32">
        <f t="shared" si="142"/>
        <v>-1</v>
      </c>
      <c r="AY78" s="31">
        <f>Recu3!AY78</f>
        <v>0</v>
      </c>
      <c r="AZ78" s="32">
        <f t="shared" si="143"/>
        <v>-1</v>
      </c>
      <c r="BA78" s="31">
        <f>Recu3!BA78</f>
        <v>0</v>
      </c>
      <c r="BB78" s="32">
        <f t="shared" si="144"/>
        <v>-1</v>
      </c>
      <c r="BC78" s="31">
        <f>Recu3!BC78</f>
        <v>0</v>
      </c>
      <c r="BD78" s="32">
        <f t="shared" si="145"/>
        <v>-1</v>
      </c>
      <c r="BE78" s="31">
        <f>Recu3!BE78</f>
        <v>0</v>
      </c>
      <c r="BF78" s="32">
        <f t="shared" si="146"/>
        <v>-1</v>
      </c>
      <c r="BG78" s="31">
        <f>Recu3!BG78</f>
        <v>0</v>
      </c>
      <c r="BH78" s="32">
        <f t="shared" si="147"/>
        <v>-1</v>
      </c>
      <c r="BI78" s="31">
        <f>Recu3!BI78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Recu3!B79</f>
        <v>0</v>
      </c>
      <c r="C79" s="31">
        <f>Recu3!C79</f>
        <v>0</v>
      </c>
      <c r="D79" s="32">
        <f t="shared" si="119"/>
        <v>-1</v>
      </c>
      <c r="E79" s="31">
        <f>Recu3!E79</f>
        <v>0</v>
      </c>
      <c r="F79" s="32">
        <f t="shared" si="120"/>
        <v>-1</v>
      </c>
      <c r="G79" s="31">
        <f>Recu3!G79</f>
        <v>0</v>
      </c>
      <c r="H79" s="32">
        <f t="shared" si="121"/>
        <v>-1</v>
      </c>
      <c r="I79" s="31">
        <f>Recu3!I79</f>
        <v>0</v>
      </c>
      <c r="J79" s="32">
        <f t="shared" si="122"/>
        <v>-1</v>
      </c>
      <c r="K79" s="31">
        <f>Recu3!K79</f>
        <v>0</v>
      </c>
      <c r="L79" s="32">
        <f t="shared" si="123"/>
        <v>-1</v>
      </c>
      <c r="M79" s="31">
        <f>Recu3!M79</f>
        <v>0</v>
      </c>
      <c r="N79" s="32">
        <f t="shared" si="124"/>
        <v>-1</v>
      </c>
      <c r="O79" s="31">
        <f>Recu3!O79</f>
        <v>0</v>
      </c>
      <c r="P79" s="32">
        <f t="shared" si="125"/>
        <v>-1</v>
      </c>
      <c r="Q79" s="31">
        <f>Recu3!Q79</f>
        <v>0</v>
      </c>
      <c r="R79" s="32">
        <f t="shared" si="126"/>
        <v>-1</v>
      </c>
      <c r="S79" s="31">
        <f>Recu3!S79</f>
        <v>0</v>
      </c>
      <c r="T79" s="32">
        <f t="shared" si="127"/>
        <v>-1</v>
      </c>
      <c r="U79" s="31">
        <f>Recu3!U79</f>
        <v>0</v>
      </c>
      <c r="V79" s="32">
        <f t="shared" si="128"/>
        <v>-1</v>
      </c>
      <c r="W79" s="31">
        <f>Recu3!W79</f>
        <v>0</v>
      </c>
      <c r="X79" s="32">
        <f t="shared" si="129"/>
        <v>-1</v>
      </c>
      <c r="Y79" s="31">
        <f>Recu3!Y79</f>
        <v>0</v>
      </c>
      <c r="Z79" s="32">
        <f t="shared" si="130"/>
        <v>-1</v>
      </c>
      <c r="AA79" s="31">
        <f>Recu3!AA79</f>
        <v>0</v>
      </c>
      <c r="AB79" s="32">
        <f t="shared" si="131"/>
        <v>-1</v>
      </c>
      <c r="AC79" s="31">
        <f>Recu3!AC79</f>
        <v>0</v>
      </c>
      <c r="AD79" s="32">
        <f t="shared" si="132"/>
        <v>-1</v>
      </c>
      <c r="AE79" s="31">
        <f>Recu3!AE79</f>
        <v>0</v>
      </c>
      <c r="AF79" s="32">
        <f t="shared" si="133"/>
        <v>-1</v>
      </c>
      <c r="AG79" s="31">
        <f>Recu3!AG79</f>
        <v>0</v>
      </c>
      <c r="AH79" s="32">
        <f t="shared" si="134"/>
        <v>-1</v>
      </c>
      <c r="AI79" s="31">
        <f>Recu3!AI79</f>
        <v>0</v>
      </c>
      <c r="AJ79" s="32">
        <f t="shared" si="135"/>
        <v>-1</v>
      </c>
      <c r="AK79" s="31">
        <f>Recu3!AK79</f>
        <v>0</v>
      </c>
      <c r="AL79" s="32">
        <f t="shared" si="136"/>
        <v>-1</v>
      </c>
      <c r="AM79" s="31">
        <f>Recu3!AM79</f>
        <v>0</v>
      </c>
      <c r="AN79" s="32">
        <f t="shared" si="137"/>
        <v>-1</v>
      </c>
      <c r="AO79" s="31">
        <f>Recu3!AO79</f>
        <v>0</v>
      </c>
      <c r="AP79" s="32">
        <f t="shared" si="138"/>
        <v>-1</v>
      </c>
      <c r="AQ79" s="31">
        <f>Recu3!AQ79</f>
        <v>0</v>
      </c>
      <c r="AR79" s="32">
        <f t="shared" si="139"/>
        <v>-1</v>
      </c>
      <c r="AS79" s="31">
        <f>Recu3!AS79</f>
        <v>0</v>
      </c>
      <c r="AT79" s="32">
        <f t="shared" si="140"/>
        <v>-1</v>
      </c>
      <c r="AU79" s="31">
        <f>Recu3!AU79</f>
        <v>0</v>
      </c>
      <c r="AV79" s="32">
        <f t="shared" si="141"/>
        <v>-1</v>
      </c>
      <c r="AW79" s="31">
        <f>Recu3!AW79</f>
        <v>0</v>
      </c>
      <c r="AX79" s="32">
        <f t="shared" si="142"/>
        <v>-1</v>
      </c>
      <c r="AY79" s="31">
        <f>Recu3!AY79</f>
        <v>0</v>
      </c>
      <c r="AZ79" s="32">
        <f t="shared" si="143"/>
        <v>-1</v>
      </c>
      <c r="BA79" s="31">
        <f>Recu3!BA79</f>
        <v>0</v>
      </c>
      <c r="BB79" s="32">
        <f t="shared" si="144"/>
        <v>-1</v>
      </c>
      <c r="BC79" s="31">
        <f>Recu3!BC79</f>
        <v>0</v>
      </c>
      <c r="BD79" s="32">
        <f t="shared" si="145"/>
        <v>-1</v>
      </c>
      <c r="BE79" s="31">
        <f>Recu3!BE79</f>
        <v>0</v>
      </c>
      <c r="BF79" s="32">
        <f t="shared" si="146"/>
        <v>-1</v>
      </c>
      <c r="BG79" s="31">
        <f>Recu3!BG79</f>
        <v>0</v>
      </c>
      <c r="BH79" s="32">
        <f t="shared" si="147"/>
        <v>-1</v>
      </c>
      <c r="BI79" s="31">
        <f>Recu3!BI79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Recu3!B80</f>
        <v>0</v>
      </c>
      <c r="C80" s="31">
        <f>Recu3!C80</f>
        <v>0</v>
      </c>
      <c r="D80" s="32">
        <f t="shared" si="119"/>
        <v>-1</v>
      </c>
      <c r="E80" s="31">
        <f>Recu3!E80</f>
        <v>0</v>
      </c>
      <c r="F80" s="32">
        <f t="shared" si="120"/>
        <v>-1</v>
      </c>
      <c r="G80" s="31">
        <f>Recu3!G80</f>
        <v>0</v>
      </c>
      <c r="H80" s="32">
        <f t="shared" si="121"/>
        <v>-1</v>
      </c>
      <c r="I80" s="31">
        <f>Recu3!I80</f>
        <v>0</v>
      </c>
      <c r="J80" s="32">
        <f t="shared" si="122"/>
        <v>-1</v>
      </c>
      <c r="K80" s="31">
        <f>Recu3!K80</f>
        <v>0</v>
      </c>
      <c r="L80" s="32">
        <f t="shared" si="123"/>
        <v>-1</v>
      </c>
      <c r="M80" s="31">
        <f>Recu3!M80</f>
        <v>0</v>
      </c>
      <c r="N80" s="32">
        <f t="shared" si="124"/>
        <v>-1</v>
      </c>
      <c r="O80" s="31">
        <f>Recu3!O80</f>
        <v>0</v>
      </c>
      <c r="P80" s="32">
        <f t="shared" si="125"/>
        <v>-1</v>
      </c>
      <c r="Q80" s="31">
        <f>Recu3!Q80</f>
        <v>0</v>
      </c>
      <c r="R80" s="32">
        <f t="shared" si="126"/>
        <v>-1</v>
      </c>
      <c r="S80" s="31">
        <f>Recu3!S80</f>
        <v>0</v>
      </c>
      <c r="T80" s="32">
        <f t="shared" si="127"/>
        <v>-1</v>
      </c>
      <c r="U80" s="31">
        <f>Recu3!U80</f>
        <v>0</v>
      </c>
      <c r="V80" s="32">
        <f t="shared" si="128"/>
        <v>-1</v>
      </c>
      <c r="W80" s="31">
        <f>Recu3!W80</f>
        <v>0</v>
      </c>
      <c r="X80" s="32">
        <f t="shared" si="129"/>
        <v>-1</v>
      </c>
      <c r="Y80" s="31">
        <f>Recu3!Y80</f>
        <v>0</v>
      </c>
      <c r="Z80" s="32">
        <f t="shared" si="130"/>
        <v>-1</v>
      </c>
      <c r="AA80" s="31">
        <f>Recu3!AA80</f>
        <v>0</v>
      </c>
      <c r="AB80" s="32">
        <f t="shared" si="131"/>
        <v>-1</v>
      </c>
      <c r="AC80" s="31">
        <f>Recu3!AC80</f>
        <v>0</v>
      </c>
      <c r="AD80" s="32">
        <f t="shared" si="132"/>
        <v>-1</v>
      </c>
      <c r="AE80" s="31">
        <f>Recu3!AE80</f>
        <v>0</v>
      </c>
      <c r="AF80" s="32">
        <f t="shared" si="133"/>
        <v>-1</v>
      </c>
      <c r="AG80" s="31">
        <f>Recu3!AG80</f>
        <v>0</v>
      </c>
      <c r="AH80" s="32">
        <f t="shared" si="134"/>
        <v>-1</v>
      </c>
      <c r="AI80" s="31">
        <f>Recu3!AI80</f>
        <v>0</v>
      </c>
      <c r="AJ80" s="32">
        <f t="shared" si="135"/>
        <v>-1</v>
      </c>
      <c r="AK80" s="31">
        <f>Recu3!AK80</f>
        <v>0</v>
      </c>
      <c r="AL80" s="32">
        <f t="shared" si="136"/>
        <v>-1</v>
      </c>
      <c r="AM80" s="31">
        <f>Recu3!AM80</f>
        <v>0</v>
      </c>
      <c r="AN80" s="32">
        <f t="shared" si="137"/>
        <v>-1</v>
      </c>
      <c r="AO80" s="31">
        <f>Recu3!AO80</f>
        <v>0</v>
      </c>
      <c r="AP80" s="32">
        <f t="shared" si="138"/>
        <v>-1</v>
      </c>
      <c r="AQ80" s="31">
        <f>Recu3!AQ80</f>
        <v>0</v>
      </c>
      <c r="AR80" s="32">
        <f t="shared" si="139"/>
        <v>-1</v>
      </c>
      <c r="AS80" s="31">
        <f>Recu3!AS80</f>
        <v>0</v>
      </c>
      <c r="AT80" s="32">
        <f t="shared" si="140"/>
        <v>-1</v>
      </c>
      <c r="AU80" s="31">
        <f>Recu3!AU80</f>
        <v>0</v>
      </c>
      <c r="AV80" s="32">
        <f t="shared" si="141"/>
        <v>-1</v>
      </c>
      <c r="AW80" s="31">
        <f>Recu3!AW80</f>
        <v>0</v>
      </c>
      <c r="AX80" s="32">
        <f t="shared" si="142"/>
        <v>-1</v>
      </c>
      <c r="AY80" s="31">
        <f>Recu3!AY80</f>
        <v>0</v>
      </c>
      <c r="AZ80" s="32">
        <f t="shared" si="143"/>
        <v>-1</v>
      </c>
      <c r="BA80" s="31">
        <f>Recu3!BA80</f>
        <v>0</v>
      </c>
      <c r="BB80" s="32">
        <f t="shared" si="144"/>
        <v>-1</v>
      </c>
      <c r="BC80" s="31">
        <f>Recu3!BC80</f>
        <v>0</v>
      </c>
      <c r="BD80" s="32">
        <f t="shared" si="145"/>
        <v>-1</v>
      </c>
      <c r="BE80" s="31">
        <f>Recu3!BE80</f>
        <v>0</v>
      </c>
      <c r="BF80" s="32">
        <f t="shared" si="146"/>
        <v>-1</v>
      </c>
      <c r="BG80" s="31">
        <f>Recu3!BG80</f>
        <v>0</v>
      </c>
      <c r="BH80" s="32">
        <f t="shared" si="147"/>
        <v>-1</v>
      </c>
      <c r="BI80" s="31">
        <f>Recu3!BI80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Recu3!B81</f>
        <v>0</v>
      </c>
      <c r="C81" s="31">
        <f>Recu3!C81</f>
        <v>0</v>
      </c>
      <c r="D81" s="32">
        <f t="shared" si="119"/>
        <v>-1</v>
      </c>
      <c r="E81" s="31">
        <f>Recu3!E81</f>
        <v>0</v>
      </c>
      <c r="F81" s="32">
        <f t="shared" si="120"/>
        <v>-1</v>
      </c>
      <c r="G81" s="31">
        <f>Recu3!G81</f>
        <v>0</v>
      </c>
      <c r="H81" s="32">
        <f t="shared" si="121"/>
        <v>-1</v>
      </c>
      <c r="I81" s="31">
        <f>Recu3!I81</f>
        <v>0</v>
      </c>
      <c r="J81" s="32">
        <f t="shared" si="122"/>
        <v>-1</v>
      </c>
      <c r="K81" s="31">
        <f>Recu3!K81</f>
        <v>0</v>
      </c>
      <c r="L81" s="32">
        <f t="shared" si="123"/>
        <v>-1</v>
      </c>
      <c r="M81" s="31">
        <f>Recu3!M81</f>
        <v>0</v>
      </c>
      <c r="N81" s="32">
        <f t="shared" si="124"/>
        <v>-1</v>
      </c>
      <c r="O81" s="31">
        <f>Recu3!O81</f>
        <v>0</v>
      </c>
      <c r="P81" s="32">
        <f t="shared" si="125"/>
        <v>-1</v>
      </c>
      <c r="Q81" s="31">
        <f>Recu3!Q81</f>
        <v>0</v>
      </c>
      <c r="R81" s="32">
        <f t="shared" si="126"/>
        <v>-1</v>
      </c>
      <c r="S81" s="31">
        <f>Recu3!S81</f>
        <v>0</v>
      </c>
      <c r="T81" s="32">
        <f t="shared" si="127"/>
        <v>-1</v>
      </c>
      <c r="U81" s="31">
        <f>Recu3!U81</f>
        <v>0</v>
      </c>
      <c r="V81" s="32">
        <f t="shared" si="128"/>
        <v>-1</v>
      </c>
      <c r="W81" s="31">
        <f>Recu3!W81</f>
        <v>0</v>
      </c>
      <c r="X81" s="32">
        <f t="shared" si="129"/>
        <v>-1</v>
      </c>
      <c r="Y81" s="31">
        <f>Recu3!Y81</f>
        <v>0</v>
      </c>
      <c r="Z81" s="32">
        <f t="shared" si="130"/>
        <v>-1</v>
      </c>
      <c r="AA81" s="31">
        <f>Recu3!AA81</f>
        <v>0</v>
      </c>
      <c r="AB81" s="32">
        <f t="shared" si="131"/>
        <v>-1</v>
      </c>
      <c r="AC81" s="31">
        <f>Recu3!AC81</f>
        <v>0</v>
      </c>
      <c r="AD81" s="32">
        <f t="shared" si="132"/>
        <v>-1</v>
      </c>
      <c r="AE81" s="31">
        <f>Recu3!AE81</f>
        <v>0</v>
      </c>
      <c r="AF81" s="32">
        <f t="shared" si="133"/>
        <v>-1</v>
      </c>
      <c r="AG81" s="31">
        <f>Recu3!AG81</f>
        <v>0</v>
      </c>
      <c r="AH81" s="32">
        <f t="shared" si="134"/>
        <v>-1</v>
      </c>
      <c r="AI81" s="31">
        <f>Recu3!AI81</f>
        <v>0</v>
      </c>
      <c r="AJ81" s="32">
        <f t="shared" si="135"/>
        <v>-1</v>
      </c>
      <c r="AK81" s="31">
        <f>Recu3!AK81</f>
        <v>0</v>
      </c>
      <c r="AL81" s="32">
        <f t="shared" si="136"/>
        <v>-1</v>
      </c>
      <c r="AM81" s="31">
        <f>Recu3!AM81</f>
        <v>0</v>
      </c>
      <c r="AN81" s="32">
        <f t="shared" si="137"/>
        <v>-1</v>
      </c>
      <c r="AO81" s="31">
        <f>Recu3!AO81</f>
        <v>0</v>
      </c>
      <c r="AP81" s="32">
        <f t="shared" si="138"/>
        <v>-1</v>
      </c>
      <c r="AQ81" s="31">
        <f>Recu3!AQ81</f>
        <v>0</v>
      </c>
      <c r="AR81" s="32">
        <f t="shared" si="139"/>
        <v>-1</v>
      </c>
      <c r="AS81" s="31">
        <f>Recu3!AS81</f>
        <v>0</v>
      </c>
      <c r="AT81" s="32">
        <f t="shared" si="140"/>
        <v>-1</v>
      </c>
      <c r="AU81" s="31">
        <f>Recu3!AU81</f>
        <v>0</v>
      </c>
      <c r="AV81" s="32">
        <f t="shared" si="141"/>
        <v>-1</v>
      </c>
      <c r="AW81" s="31">
        <f>Recu3!AW81</f>
        <v>0</v>
      </c>
      <c r="AX81" s="32">
        <f t="shared" si="142"/>
        <v>-1</v>
      </c>
      <c r="AY81" s="31">
        <f>Recu3!AY81</f>
        <v>0</v>
      </c>
      <c r="AZ81" s="32">
        <f t="shared" si="143"/>
        <v>-1</v>
      </c>
      <c r="BA81" s="31">
        <f>Recu3!BA81</f>
        <v>0</v>
      </c>
      <c r="BB81" s="32">
        <f t="shared" si="144"/>
        <v>-1</v>
      </c>
      <c r="BC81" s="31">
        <f>Recu3!BC81</f>
        <v>0</v>
      </c>
      <c r="BD81" s="32">
        <f t="shared" si="145"/>
        <v>-1</v>
      </c>
      <c r="BE81" s="31">
        <f>Recu3!BE81</f>
        <v>0</v>
      </c>
      <c r="BF81" s="32">
        <f t="shared" si="146"/>
        <v>-1</v>
      </c>
      <c r="BG81" s="31">
        <f>Recu3!BG81</f>
        <v>0</v>
      </c>
      <c r="BH81" s="32">
        <f t="shared" si="147"/>
        <v>-1</v>
      </c>
      <c r="BI81" s="31">
        <f>Recu3!BI81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Recu3!B82</f>
        <v>0</v>
      </c>
      <c r="C82" s="31">
        <f>Recu3!C82</f>
        <v>0</v>
      </c>
      <c r="D82" s="32">
        <f t="shared" si="119"/>
        <v>-1</v>
      </c>
      <c r="E82" s="31">
        <f>Recu3!E82</f>
        <v>0</v>
      </c>
      <c r="F82" s="32">
        <f t="shared" si="120"/>
        <v>-1</v>
      </c>
      <c r="G82" s="31">
        <f>Recu3!G82</f>
        <v>0</v>
      </c>
      <c r="H82" s="32">
        <f t="shared" si="121"/>
        <v>-1</v>
      </c>
      <c r="I82" s="31">
        <f>Recu3!I82</f>
        <v>0</v>
      </c>
      <c r="J82" s="32">
        <f t="shared" si="122"/>
        <v>-1</v>
      </c>
      <c r="K82" s="31">
        <f>Recu3!K82</f>
        <v>0</v>
      </c>
      <c r="L82" s="32">
        <f t="shared" si="123"/>
        <v>-1</v>
      </c>
      <c r="M82" s="31">
        <f>Recu3!M82</f>
        <v>0</v>
      </c>
      <c r="N82" s="32">
        <f t="shared" si="124"/>
        <v>-1</v>
      </c>
      <c r="O82" s="31">
        <f>Recu3!O82</f>
        <v>0</v>
      </c>
      <c r="P82" s="32">
        <f t="shared" si="125"/>
        <v>-1</v>
      </c>
      <c r="Q82" s="31">
        <f>Recu3!Q82</f>
        <v>0</v>
      </c>
      <c r="R82" s="32">
        <f t="shared" si="126"/>
        <v>-1</v>
      </c>
      <c r="S82" s="31">
        <f>Recu3!S82</f>
        <v>0</v>
      </c>
      <c r="T82" s="32">
        <f t="shared" si="127"/>
        <v>-1</v>
      </c>
      <c r="U82" s="31">
        <f>Recu3!U82</f>
        <v>0</v>
      </c>
      <c r="V82" s="32">
        <f t="shared" si="128"/>
        <v>-1</v>
      </c>
      <c r="W82" s="31">
        <f>Recu3!W82</f>
        <v>0</v>
      </c>
      <c r="X82" s="32">
        <f t="shared" si="129"/>
        <v>-1</v>
      </c>
      <c r="Y82" s="31">
        <f>Recu3!Y82</f>
        <v>0</v>
      </c>
      <c r="Z82" s="32">
        <f t="shared" si="130"/>
        <v>-1</v>
      </c>
      <c r="AA82" s="31">
        <f>Recu3!AA82</f>
        <v>0</v>
      </c>
      <c r="AB82" s="32">
        <f t="shared" si="131"/>
        <v>-1</v>
      </c>
      <c r="AC82" s="31">
        <f>Recu3!AC82</f>
        <v>0</v>
      </c>
      <c r="AD82" s="32">
        <f t="shared" si="132"/>
        <v>-1</v>
      </c>
      <c r="AE82" s="31">
        <f>Recu3!AE82</f>
        <v>0</v>
      </c>
      <c r="AF82" s="32">
        <f t="shared" si="133"/>
        <v>-1</v>
      </c>
      <c r="AG82" s="31">
        <f>Recu3!AG82</f>
        <v>0</v>
      </c>
      <c r="AH82" s="32">
        <f t="shared" si="134"/>
        <v>-1</v>
      </c>
      <c r="AI82" s="31">
        <f>Recu3!AI82</f>
        <v>0</v>
      </c>
      <c r="AJ82" s="32">
        <f t="shared" si="135"/>
        <v>-1</v>
      </c>
      <c r="AK82" s="31">
        <f>Recu3!AK82</f>
        <v>0</v>
      </c>
      <c r="AL82" s="32">
        <f t="shared" si="136"/>
        <v>-1</v>
      </c>
      <c r="AM82" s="31">
        <f>Recu3!AM82</f>
        <v>0</v>
      </c>
      <c r="AN82" s="32">
        <f t="shared" si="137"/>
        <v>-1</v>
      </c>
      <c r="AO82" s="31">
        <f>Recu3!AO82</f>
        <v>0</v>
      </c>
      <c r="AP82" s="32">
        <f t="shared" si="138"/>
        <v>-1</v>
      </c>
      <c r="AQ82" s="31">
        <f>Recu3!AQ82</f>
        <v>0</v>
      </c>
      <c r="AR82" s="32">
        <f t="shared" si="139"/>
        <v>-1</v>
      </c>
      <c r="AS82" s="31">
        <f>Recu3!AS82</f>
        <v>0</v>
      </c>
      <c r="AT82" s="32">
        <f t="shared" si="140"/>
        <v>-1</v>
      </c>
      <c r="AU82" s="31">
        <f>Recu3!AU82</f>
        <v>0</v>
      </c>
      <c r="AV82" s="32">
        <f t="shared" si="141"/>
        <v>-1</v>
      </c>
      <c r="AW82" s="31">
        <f>Recu3!AW82</f>
        <v>0</v>
      </c>
      <c r="AX82" s="32">
        <f t="shared" si="142"/>
        <v>-1</v>
      </c>
      <c r="AY82" s="31">
        <f>Recu3!AY82</f>
        <v>0</v>
      </c>
      <c r="AZ82" s="32">
        <f t="shared" si="143"/>
        <v>-1</v>
      </c>
      <c r="BA82" s="31">
        <f>Recu3!BA82</f>
        <v>0</v>
      </c>
      <c r="BB82" s="32">
        <f t="shared" si="144"/>
        <v>-1</v>
      </c>
      <c r="BC82" s="31">
        <f>Recu3!BC82</f>
        <v>0</v>
      </c>
      <c r="BD82" s="32">
        <f t="shared" si="145"/>
        <v>-1</v>
      </c>
      <c r="BE82" s="31">
        <f>Recu3!BE82</f>
        <v>0</v>
      </c>
      <c r="BF82" s="32">
        <f t="shared" si="146"/>
        <v>-1</v>
      </c>
      <c r="BG82" s="31">
        <f>Recu3!BG82</f>
        <v>0</v>
      </c>
      <c r="BH82" s="32">
        <f t="shared" si="147"/>
        <v>-1</v>
      </c>
      <c r="BI82" s="31">
        <f>Recu3!BI82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Recu3!B83</f>
        <v>0</v>
      </c>
      <c r="C83" s="31">
        <f>Recu3!C83</f>
        <v>0</v>
      </c>
      <c r="D83" s="32">
        <f t="shared" si="119"/>
        <v>-1</v>
      </c>
      <c r="E83" s="31">
        <f>Recu3!E83</f>
        <v>0</v>
      </c>
      <c r="F83" s="32">
        <f t="shared" si="120"/>
        <v>-1</v>
      </c>
      <c r="G83" s="31">
        <f>Recu3!G83</f>
        <v>0</v>
      </c>
      <c r="H83" s="32">
        <f t="shared" si="121"/>
        <v>-1</v>
      </c>
      <c r="I83" s="31">
        <f>Recu3!I83</f>
        <v>0</v>
      </c>
      <c r="J83" s="32">
        <f t="shared" si="122"/>
        <v>-1</v>
      </c>
      <c r="K83" s="31">
        <f>Recu3!K83</f>
        <v>0</v>
      </c>
      <c r="L83" s="32">
        <f t="shared" si="123"/>
        <v>-1</v>
      </c>
      <c r="M83" s="31">
        <f>Recu3!M83</f>
        <v>0</v>
      </c>
      <c r="N83" s="32">
        <f t="shared" si="124"/>
        <v>-1</v>
      </c>
      <c r="O83" s="31">
        <f>Recu3!O83</f>
        <v>0</v>
      </c>
      <c r="P83" s="32">
        <f t="shared" si="125"/>
        <v>-1</v>
      </c>
      <c r="Q83" s="31">
        <f>Recu3!Q83</f>
        <v>0</v>
      </c>
      <c r="R83" s="32">
        <f t="shared" si="126"/>
        <v>-1</v>
      </c>
      <c r="S83" s="31">
        <f>Recu3!S83</f>
        <v>0</v>
      </c>
      <c r="T83" s="32">
        <f t="shared" si="127"/>
        <v>-1</v>
      </c>
      <c r="U83" s="31">
        <f>Recu3!U83</f>
        <v>0</v>
      </c>
      <c r="V83" s="32">
        <f t="shared" si="128"/>
        <v>-1</v>
      </c>
      <c r="W83" s="31">
        <f>Recu3!W83</f>
        <v>0</v>
      </c>
      <c r="X83" s="32">
        <f t="shared" si="129"/>
        <v>-1</v>
      </c>
      <c r="Y83" s="31">
        <f>Recu3!Y83</f>
        <v>0</v>
      </c>
      <c r="Z83" s="32">
        <f t="shared" si="130"/>
        <v>-1</v>
      </c>
      <c r="AA83" s="31">
        <f>Recu3!AA83</f>
        <v>0</v>
      </c>
      <c r="AB83" s="32">
        <f t="shared" si="131"/>
        <v>-1</v>
      </c>
      <c r="AC83" s="31">
        <f>Recu3!AC83</f>
        <v>0</v>
      </c>
      <c r="AD83" s="32">
        <f t="shared" si="132"/>
        <v>-1</v>
      </c>
      <c r="AE83" s="31">
        <f>Recu3!AE83</f>
        <v>0</v>
      </c>
      <c r="AF83" s="32">
        <f t="shared" si="133"/>
        <v>-1</v>
      </c>
      <c r="AG83" s="31">
        <f>Recu3!AG83</f>
        <v>0</v>
      </c>
      <c r="AH83" s="32">
        <f t="shared" si="134"/>
        <v>-1</v>
      </c>
      <c r="AI83" s="31">
        <f>Recu3!AI83</f>
        <v>0</v>
      </c>
      <c r="AJ83" s="32">
        <f t="shared" si="135"/>
        <v>-1</v>
      </c>
      <c r="AK83" s="31">
        <f>Recu3!AK83</f>
        <v>0</v>
      </c>
      <c r="AL83" s="32">
        <f t="shared" si="136"/>
        <v>-1</v>
      </c>
      <c r="AM83" s="31">
        <f>Recu3!AM83</f>
        <v>0</v>
      </c>
      <c r="AN83" s="32">
        <f t="shared" si="137"/>
        <v>-1</v>
      </c>
      <c r="AO83" s="31">
        <f>Recu3!AO83</f>
        <v>0</v>
      </c>
      <c r="AP83" s="32">
        <f t="shared" si="138"/>
        <v>-1</v>
      </c>
      <c r="AQ83" s="31">
        <f>Recu3!AQ83</f>
        <v>0</v>
      </c>
      <c r="AR83" s="32">
        <f t="shared" si="139"/>
        <v>-1</v>
      </c>
      <c r="AS83" s="31">
        <f>Recu3!AS83</f>
        <v>0</v>
      </c>
      <c r="AT83" s="32">
        <f t="shared" si="140"/>
        <v>-1</v>
      </c>
      <c r="AU83" s="31">
        <f>Recu3!AU83</f>
        <v>0</v>
      </c>
      <c r="AV83" s="32">
        <f t="shared" si="141"/>
        <v>-1</v>
      </c>
      <c r="AW83" s="31">
        <f>Recu3!AW83</f>
        <v>0</v>
      </c>
      <c r="AX83" s="32">
        <f t="shared" si="142"/>
        <v>-1</v>
      </c>
      <c r="AY83" s="31">
        <f>Recu3!AY83</f>
        <v>0</v>
      </c>
      <c r="AZ83" s="32">
        <f t="shared" si="143"/>
        <v>-1</v>
      </c>
      <c r="BA83" s="31">
        <f>Recu3!BA83</f>
        <v>0</v>
      </c>
      <c r="BB83" s="32">
        <f t="shared" si="144"/>
        <v>-1</v>
      </c>
      <c r="BC83" s="31">
        <f>Recu3!BC83</f>
        <v>0</v>
      </c>
      <c r="BD83" s="32">
        <f t="shared" si="145"/>
        <v>-1</v>
      </c>
      <c r="BE83" s="31">
        <f>Recu3!BE83</f>
        <v>0</v>
      </c>
      <c r="BF83" s="32">
        <f t="shared" si="146"/>
        <v>-1</v>
      </c>
      <c r="BG83" s="31">
        <f>Recu3!BG83</f>
        <v>0</v>
      </c>
      <c r="BH83" s="32">
        <f t="shared" si="147"/>
        <v>-1</v>
      </c>
      <c r="BI83" s="31">
        <f>Recu3!BI83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Recu3!B84</f>
        <v>0</v>
      </c>
      <c r="C84" s="31">
        <f>Recu3!C84</f>
        <v>0</v>
      </c>
      <c r="D84" s="32">
        <f t="shared" si="119"/>
        <v>-1</v>
      </c>
      <c r="E84" s="31">
        <f>Recu3!E84</f>
        <v>0</v>
      </c>
      <c r="F84" s="32">
        <f t="shared" si="120"/>
        <v>-1</v>
      </c>
      <c r="G84" s="31">
        <f>Recu3!G84</f>
        <v>0</v>
      </c>
      <c r="H84" s="32">
        <f t="shared" si="121"/>
        <v>-1</v>
      </c>
      <c r="I84" s="31">
        <f>Recu3!I84</f>
        <v>0</v>
      </c>
      <c r="J84" s="32">
        <f t="shared" si="122"/>
        <v>-1</v>
      </c>
      <c r="K84" s="31">
        <f>Recu3!K84</f>
        <v>0</v>
      </c>
      <c r="L84" s="32">
        <f t="shared" si="123"/>
        <v>-1</v>
      </c>
      <c r="M84" s="31">
        <f>Recu3!M84</f>
        <v>0</v>
      </c>
      <c r="N84" s="32">
        <f t="shared" si="124"/>
        <v>-1</v>
      </c>
      <c r="O84" s="31">
        <f>Recu3!O84</f>
        <v>0</v>
      </c>
      <c r="P84" s="32">
        <f t="shared" si="125"/>
        <v>-1</v>
      </c>
      <c r="Q84" s="31">
        <f>Recu3!Q84</f>
        <v>0</v>
      </c>
      <c r="R84" s="32">
        <f t="shared" si="126"/>
        <v>-1</v>
      </c>
      <c r="S84" s="31">
        <f>Recu3!S84</f>
        <v>0</v>
      </c>
      <c r="T84" s="32">
        <f t="shared" si="127"/>
        <v>-1</v>
      </c>
      <c r="U84" s="31">
        <f>Recu3!U84</f>
        <v>0</v>
      </c>
      <c r="V84" s="32">
        <f t="shared" si="128"/>
        <v>-1</v>
      </c>
      <c r="W84" s="31">
        <f>Recu3!W84</f>
        <v>0</v>
      </c>
      <c r="X84" s="32">
        <f t="shared" si="129"/>
        <v>-1</v>
      </c>
      <c r="Y84" s="31">
        <f>Recu3!Y84</f>
        <v>0</v>
      </c>
      <c r="Z84" s="32">
        <f t="shared" si="130"/>
        <v>-1</v>
      </c>
      <c r="AA84" s="31">
        <f>Recu3!AA84</f>
        <v>0</v>
      </c>
      <c r="AB84" s="32">
        <f t="shared" si="131"/>
        <v>-1</v>
      </c>
      <c r="AC84" s="31">
        <f>Recu3!AC84</f>
        <v>0</v>
      </c>
      <c r="AD84" s="32">
        <f t="shared" si="132"/>
        <v>-1</v>
      </c>
      <c r="AE84" s="31">
        <f>Recu3!AE84</f>
        <v>0</v>
      </c>
      <c r="AF84" s="32">
        <f t="shared" si="133"/>
        <v>-1</v>
      </c>
      <c r="AG84" s="31">
        <f>Recu3!AG84</f>
        <v>0</v>
      </c>
      <c r="AH84" s="32">
        <f t="shared" si="134"/>
        <v>-1</v>
      </c>
      <c r="AI84" s="31">
        <f>Recu3!AI84</f>
        <v>0</v>
      </c>
      <c r="AJ84" s="32">
        <f t="shared" si="135"/>
        <v>-1</v>
      </c>
      <c r="AK84" s="31">
        <f>Recu3!AK84</f>
        <v>0</v>
      </c>
      <c r="AL84" s="32">
        <f t="shared" si="136"/>
        <v>-1</v>
      </c>
      <c r="AM84" s="31">
        <f>Recu3!AM84</f>
        <v>0</v>
      </c>
      <c r="AN84" s="32">
        <f t="shared" si="137"/>
        <v>-1</v>
      </c>
      <c r="AO84" s="31">
        <f>Recu3!AO84</f>
        <v>0</v>
      </c>
      <c r="AP84" s="32">
        <f t="shared" si="138"/>
        <v>-1</v>
      </c>
      <c r="AQ84" s="31">
        <f>Recu3!AQ84</f>
        <v>0</v>
      </c>
      <c r="AR84" s="32">
        <f t="shared" si="139"/>
        <v>-1</v>
      </c>
      <c r="AS84" s="31">
        <f>Recu3!AS84</f>
        <v>0</v>
      </c>
      <c r="AT84" s="32">
        <f t="shared" si="140"/>
        <v>-1</v>
      </c>
      <c r="AU84" s="31">
        <f>Recu3!AU84</f>
        <v>0</v>
      </c>
      <c r="AV84" s="32">
        <f t="shared" si="141"/>
        <v>-1</v>
      </c>
      <c r="AW84" s="31">
        <f>Recu3!AW84</f>
        <v>0</v>
      </c>
      <c r="AX84" s="32">
        <f t="shared" si="142"/>
        <v>-1</v>
      </c>
      <c r="AY84" s="31">
        <f>Recu3!AY84</f>
        <v>0</v>
      </c>
      <c r="AZ84" s="32">
        <f t="shared" si="143"/>
        <v>-1</v>
      </c>
      <c r="BA84" s="31">
        <f>Recu3!BA84</f>
        <v>0</v>
      </c>
      <c r="BB84" s="32">
        <f t="shared" si="144"/>
        <v>-1</v>
      </c>
      <c r="BC84" s="31">
        <f>Recu3!BC84</f>
        <v>0</v>
      </c>
      <c r="BD84" s="32">
        <f t="shared" si="145"/>
        <v>-1</v>
      </c>
      <c r="BE84" s="31">
        <f>Recu3!BE84</f>
        <v>0</v>
      </c>
      <c r="BF84" s="32">
        <f t="shared" si="146"/>
        <v>-1</v>
      </c>
      <c r="BG84" s="31">
        <f>Recu3!BG84</f>
        <v>0</v>
      </c>
      <c r="BH84" s="32">
        <f t="shared" si="147"/>
        <v>-1</v>
      </c>
      <c r="BI84" s="31">
        <f>Recu3!BI84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Recu3!B85</f>
        <v>0</v>
      </c>
      <c r="C85" s="31">
        <f>Recu3!C85</f>
        <v>0</v>
      </c>
      <c r="D85" s="32">
        <f t="shared" si="119"/>
        <v>-1</v>
      </c>
      <c r="E85" s="31">
        <f>Recu3!E85</f>
        <v>0</v>
      </c>
      <c r="F85" s="32">
        <f t="shared" si="120"/>
        <v>-1</v>
      </c>
      <c r="G85" s="31">
        <f>Recu3!G85</f>
        <v>0</v>
      </c>
      <c r="H85" s="32">
        <f t="shared" si="121"/>
        <v>-1</v>
      </c>
      <c r="I85" s="31">
        <f>Recu3!I85</f>
        <v>0</v>
      </c>
      <c r="J85" s="32">
        <f t="shared" si="122"/>
        <v>-1</v>
      </c>
      <c r="K85" s="31">
        <f>Recu3!K85</f>
        <v>0</v>
      </c>
      <c r="L85" s="32">
        <f t="shared" si="123"/>
        <v>-1</v>
      </c>
      <c r="M85" s="31">
        <f>Recu3!M85</f>
        <v>0</v>
      </c>
      <c r="N85" s="32">
        <f t="shared" si="124"/>
        <v>-1</v>
      </c>
      <c r="O85" s="31">
        <f>Recu3!O85</f>
        <v>0</v>
      </c>
      <c r="P85" s="32">
        <f t="shared" si="125"/>
        <v>-1</v>
      </c>
      <c r="Q85" s="31">
        <f>Recu3!Q85</f>
        <v>0</v>
      </c>
      <c r="R85" s="32">
        <f t="shared" si="126"/>
        <v>-1</v>
      </c>
      <c r="S85" s="31">
        <f>Recu3!S85</f>
        <v>0</v>
      </c>
      <c r="T85" s="32">
        <f t="shared" si="127"/>
        <v>-1</v>
      </c>
      <c r="U85" s="31">
        <f>Recu3!U85</f>
        <v>0</v>
      </c>
      <c r="V85" s="32">
        <f t="shared" si="128"/>
        <v>-1</v>
      </c>
      <c r="W85" s="31">
        <f>Recu3!W85</f>
        <v>0</v>
      </c>
      <c r="X85" s="32">
        <f t="shared" si="129"/>
        <v>-1</v>
      </c>
      <c r="Y85" s="31">
        <f>Recu3!Y85</f>
        <v>0</v>
      </c>
      <c r="Z85" s="32">
        <f t="shared" si="130"/>
        <v>-1</v>
      </c>
      <c r="AA85" s="31">
        <f>Recu3!AA85</f>
        <v>0</v>
      </c>
      <c r="AB85" s="32">
        <f t="shared" si="131"/>
        <v>-1</v>
      </c>
      <c r="AC85" s="31">
        <f>Recu3!AC85</f>
        <v>0</v>
      </c>
      <c r="AD85" s="32">
        <f t="shared" si="132"/>
        <v>-1</v>
      </c>
      <c r="AE85" s="31">
        <f>Recu3!AE85</f>
        <v>0</v>
      </c>
      <c r="AF85" s="32">
        <f t="shared" si="133"/>
        <v>-1</v>
      </c>
      <c r="AG85" s="31">
        <f>Recu3!AG85</f>
        <v>0</v>
      </c>
      <c r="AH85" s="32">
        <f t="shared" si="134"/>
        <v>-1</v>
      </c>
      <c r="AI85" s="31">
        <f>Recu3!AI85</f>
        <v>0</v>
      </c>
      <c r="AJ85" s="32">
        <f t="shared" si="135"/>
        <v>-1</v>
      </c>
      <c r="AK85" s="31">
        <f>Recu3!AK85</f>
        <v>0</v>
      </c>
      <c r="AL85" s="32">
        <f t="shared" si="136"/>
        <v>-1</v>
      </c>
      <c r="AM85" s="31">
        <f>Recu3!AM85</f>
        <v>0</v>
      </c>
      <c r="AN85" s="32">
        <f t="shared" si="137"/>
        <v>-1</v>
      </c>
      <c r="AO85" s="31">
        <f>Recu3!AO85</f>
        <v>0</v>
      </c>
      <c r="AP85" s="32">
        <f t="shared" si="138"/>
        <v>-1</v>
      </c>
      <c r="AQ85" s="31">
        <f>Recu3!AQ85</f>
        <v>0</v>
      </c>
      <c r="AR85" s="32">
        <f t="shared" si="139"/>
        <v>-1</v>
      </c>
      <c r="AS85" s="31">
        <f>Recu3!AS85</f>
        <v>0</v>
      </c>
      <c r="AT85" s="32">
        <f t="shared" si="140"/>
        <v>-1</v>
      </c>
      <c r="AU85" s="31">
        <f>Recu3!AU85</f>
        <v>0</v>
      </c>
      <c r="AV85" s="32">
        <f t="shared" si="141"/>
        <v>-1</v>
      </c>
      <c r="AW85" s="31">
        <f>Recu3!AW85</f>
        <v>0</v>
      </c>
      <c r="AX85" s="32">
        <f t="shared" si="142"/>
        <v>-1</v>
      </c>
      <c r="AY85" s="31">
        <f>Recu3!AY85</f>
        <v>0</v>
      </c>
      <c r="AZ85" s="32">
        <f t="shared" si="143"/>
        <v>-1</v>
      </c>
      <c r="BA85" s="31">
        <f>Recu3!BA85</f>
        <v>0</v>
      </c>
      <c r="BB85" s="32">
        <f t="shared" si="144"/>
        <v>-1</v>
      </c>
      <c r="BC85" s="31">
        <f>Recu3!BC85</f>
        <v>0</v>
      </c>
      <c r="BD85" s="32">
        <f t="shared" si="145"/>
        <v>-1</v>
      </c>
      <c r="BE85" s="31">
        <f>Recu3!BE85</f>
        <v>0</v>
      </c>
      <c r="BF85" s="32">
        <f t="shared" si="146"/>
        <v>-1</v>
      </c>
      <c r="BG85" s="31">
        <f>Recu3!BG85</f>
        <v>0</v>
      </c>
      <c r="BH85" s="32">
        <f t="shared" si="147"/>
        <v>-1</v>
      </c>
      <c r="BI85" s="31">
        <f>Recu3!BI85</f>
        <v>0</v>
      </c>
      <c r="BJ85" s="32">
        <f t="shared" si="148"/>
        <v>-1</v>
      </c>
    </row>
    <row r="86" spans="1:62" ht="19" customHeight="1" x14ac:dyDescent="0.2">
      <c r="A86" s="48" t="s">
        <v>84</v>
      </c>
      <c r="B86" s="49"/>
      <c r="C86" s="53">
        <f>SUM(C4,C7,C16,C38,C59,C64)</f>
        <v>0</v>
      </c>
      <c r="D86" s="54"/>
      <c r="E86" s="53">
        <f t="shared" ref="E86" si="149">SUM(E4,E7,E16,E38,E59,E64)</f>
        <v>0</v>
      </c>
      <c r="F86" s="54"/>
      <c r="G86" s="53">
        <f t="shared" ref="G86" si="150">SUM(G4,G7,G16,G38,G59,G64)</f>
        <v>0</v>
      </c>
      <c r="H86" s="54"/>
      <c r="I86" s="53">
        <f t="shared" ref="I86" si="151">SUM(I4,I7,I16,I38,I59,I64)</f>
        <v>0</v>
      </c>
      <c r="J86" s="54"/>
      <c r="K86" s="53">
        <f t="shared" ref="K86" si="152">SUM(K4,K7,K16,K38,K59,K64)</f>
        <v>0</v>
      </c>
      <c r="L86" s="54"/>
      <c r="M86" s="53">
        <f t="shared" ref="M86" si="153">SUM(M4,M7,M16,M38,M59,M64)</f>
        <v>0</v>
      </c>
      <c r="N86" s="54"/>
      <c r="O86" s="53">
        <f t="shared" ref="O86" si="154">SUM(O4,O7,O16,O38,O59,O64)</f>
        <v>0</v>
      </c>
      <c r="P86" s="54"/>
      <c r="Q86" s="53">
        <f t="shared" ref="Q86" si="155">SUM(Q4,Q7,Q16,Q38,Q59,Q64)</f>
        <v>0</v>
      </c>
      <c r="R86" s="54"/>
      <c r="S86" s="53">
        <f t="shared" ref="S86" si="156">SUM(S4,S7,S16,S38,S59,S64)</f>
        <v>0</v>
      </c>
      <c r="T86" s="54"/>
      <c r="U86" s="53">
        <f t="shared" ref="U86" si="157">SUM(U4,U7,U16,U38,U59,U64)</f>
        <v>0</v>
      </c>
      <c r="V86" s="54"/>
      <c r="W86" s="53">
        <f t="shared" ref="W86" si="158">SUM(W4,W7,W16,W38,W59,W64)</f>
        <v>0</v>
      </c>
      <c r="X86" s="54"/>
      <c r="Y86" s="53">
        <f t="shared" ref="Y86" si="159">SUM(Y4,Y7,Y16,Y38,Y59,Y64)</f>
        <v>0</v>
      </c>
      <c r="Z86" s="54"/>
      <c r="AA86" s="53">
        <f t="shared" ref="AA86" si="160">SUM(AA4,AA7,AA16,AA38,AA59,AA64)</f>
        <v>0</v>
      </c>
      <c r="AB86" s="54"/>
      <c r="AC86" s="53">
        <f t="shared" ref="AC86" si="161">SUM(AC4,AC7,AC16,AC38,AC59,AC64)</f>
        <v>0</v>
      </c>
      <c r="AD86" s="54"/>
      <c r="AE86" s="53">
        <f t="shared" ref="AE86" si="162">SUM(AE4,AE7,AE16,AE38,AE59,AE64)</f>
        <v>0</v>
      </c>
      <c r="AF86" s="54"/>
      <c r="AG86" s="53">
        <f t="shared" ref="AG86" si="163">SUM(AG4,AG7,AG16,AG38,AG59,AG64)</f>
        <v>0</v>
      </c>
      <c r="AH86" s="54"/>
      <c r="AI86" s="53">
        <f t="shared" ref="AI86" si="164">SUM(AI4,AI7,AI16,AI38,AI59,AI64)</f>
        <v>0</v>
      </c>
      <c r="AJ86" s="54"/>
      <c r="AK86" s="53">
        <f t="shared" ref="AK86" si="165">SUM(AK4,AK7,AK16,AK38,AK59,AK64)</f>
        <v>0</v>
      </c>
      <c r="AL86" s="54"/>
      <c r="AM86" s="53">
        <f t="shared" ref="AM86" si="166">SUM(AM4,AM7,AM16,AM38,AM59,AM64)</f>
        <v>0</v>
      </c>
      <c r="AN86" s="54"/>
      <c r="AO86" s="53">
        <f t="shared" ref="AO86" si="167">SUM(AO4,AO7,AO16,AO38,AO59,AO64)</f>
        <v>0</v>
      </c>
      <c r="AP86" s="54"/>
      <c r="AQ86" s="53">
        <f t="shared" ref="AQ86" si="168">SUM(AQ4,AQ7,AQ16,AQ38,AQ59,AQ64)</f>
        <v>0</v>
      </c>
      <c r="AR86" s="54"/>
      <c r="AS86" s="53">
        <f t="shared" ref="AS86" si="169">SUM(AS4,AS7,AS16,AS38,AS59,AS64)</f>
        <v>0</v>
      </c>
      <c r="AT86" s="54"/>
      <c r="AU86" s="53">
        <f t="shared" ref="AU86" si="170">SUM(AU4,AU7,AU16,AU38,AU59,AU64)</f>
        <v>0</v>
      </c>
      <c r="AV86" s="54"/>
      <c r="AW86" s="53">
        <f t="shared" ref="AW86" si="171">SUM(AW4,AW7,AW16,AW38,AW59,AW64)</f>
        <v>0</v>
      </c>
      <c r="AX86" s="54"/>
      <c r="AY86" s="53">
        <f t="shared" ref="AY86" si="172">SUM(AY4,AY7,AY16,AY38,AY59,AY64)</f>
        <v>0</v>
      </c>
      <c r="AZ86" s="54"/>
      <c r="BA86" s="53">
        <f t="shared" ref="BA86" si="173">SUM(BA4,BA7,BA16,BA38,BA59,BA64)</f>
        <v>0</v>
      </c>
      <c r="BB86" s="54"/>
      <c r="BC86" s="53">
        <f t="shared" ref="BC86" si="174">SUM(BC4,BC7,BC16,BC38,BC59,BC64)</f>
        <v>0</v>
      </c>
      <c r="BD86" s="54"/>
      <c r="BE86" s="53">
        <f t="shared" ref="BE86" si="175">SUM(BE4,BE7,BE16,BE38,BE59,BE64)</f>
        <v>0</v>
      </c>
      <c r="BF86" s="54"/>
      <c r="BG86" s="53">
        <f t="shared" ref="BG86" si="176">SUM(BG4,BG7,BG16,BG38,BG59,BG64)</f>
        <v>0</v>
      </c>
      <c r="BH86" s="54"/>
      <c r="BI86" s="53">
        <f t="shared" ref="BI86" si="177">SUM(BI4,BI7,BI16,BI38,BI59,BI64)</f>
        <v>0</v>
      </c>
      <c r="BJ86" s="54"/>
    </row>
    <row r="87" spans="1:62" ht="19" customHeight="1" x14ac:dyDescent="0.2">
      <c r="A87" s="48"/>
      <c r="B87" s="49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</row>
    <row r="88" spans="1:62" ht="19" customHeight="1" x14ac:dyDescent="0.2">
      <c r="A88" s="48"/>
      <c r="B88" s="49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</row>
  </sheetData>
  <sheetProtection algorithmName="SHA-512" hashValue="IqjpoD1lyWH5/3spOHt/8aaadP6uPUxHfECbqUg7Z1+xuf/gjpxuchKesYI2U2E7MKNIOzYq/v9N/MVZ6jt+Gg==" saltValue="3rtt8fn1lJNYTi6XMEGstw==" spinCount="100000" sheet="1" objects="1" scenarios="1" formatCells="0" autoFilter="0"/>
  <mergeCells count="30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U64:V64"/>
    <mergeCell ref="W64:X64"/>
    <mergeCell ref="Y64:Z64"/>
    <mergeCell ref="BC64:BD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O86:P88"/>
    <mergeCell ref="Q86:R88"/>
    <mergeCell ref="S86:T88"/>
    <mergeCell ref="U86:V88"/>
    <mergeCell ref="C86:D88"/>
    <mergeCell ref="E86:F88"/>
    <mergeCell ref="G86:H88"/>
    <mergeCell ref="I86:J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A1:A2"/>
    <mergeCell ref="BG86:BH88"/>
    <mergeCell ref="BI86:BJ88"/>
    <mergeCell ref="A86:B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  <mergeCell ref="W86:X88"/>
    <mergeCell ref="Y86:Z88"/>
    <mergeCell ref="AA86:AB88"/>
    <mergeCell ref="AC86:AD88"/>
    <mergeCell ref="AE86:AF88"/>
    <mergeCell ref="AG86:AH88"/>
    <mergeCell ref="K86:L88"/>
    <mergeCell ref="M86:N88"/>
  </mergeCells>
  <conditionalFormatting sqref="C86 E86 G86 I86 K86 M86 O86 Q86 S86 U86 W86 Y86 AA86 AC86 AE86 AG86 AI86 AK86 AM86 AO86 AQ86 AS86 AU86 AW86 AY86 BA86 BC86 BE86 BG86 BI86">
    <cfRule type="cellIs" dxfId="13689" priority="92" stopIfTrue="1" operator="lessThan">
      <formula>5</formula>
    </cfRule>
    <cfRule type="cellIs" dxfId="13688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13687" priority="2" stopIfTrue="1" operator="lessThan">
      <formula>5</formula>
    </cfRule>
    <cfRule type="cellIs" dxfId="13686" priority="3" operator="greaterThanOrEqual">
      <formula>5</formula>
    </cfRule>
  </conditionalFormatting>
  <conditionalFormatting sqref="B3">
    <cfRule type="cellIs" dxfId="13685" priority="1" operator="notEqual">
      <formula>"Ok"</formula>
    </cfRule>
  </conditionalFormatting>
  <conditionalFormatting sqref="D5">
    <cfRule type="cellIs" dxfId="13684" priority="130598" stopIfTrue="1" operator="equal">
      <formula>-1</formula>
    </cfRule>
  </conditionalFormatting>
  <conditionalFormatting sqref="D5">
    <cfRule type="cellIs" dxfId="13683" priority="130599" stopIfTrue="1" operator="lessThan">
      <formula>0.5</formula>
    </cfRule>
  </conditionalFormatting>
  <conditionalFormatting sqref="D5">
    <cfRule type="cellIs" dxfId="13682" priority="130600" stopIfTrue="1" operator="greaterThanOrEqual">
      <formula>0.5</formula>
    </cfRule>
  </conditionalFormatting>
  <conditionalFormatting sqref="D6">
    <cfRule type="cellIs" dxfId="13681" priority="130601" stopIfTrue="1" operator="equal">
      <formula>-1</formula>
    </cfRule>
  </conditionalFormatting>
  <conditionalFormatting sqref="D6">
    <cfRule type="cellIs" dxfId="13680" priority="130602" stopIfTrue="1" operator="lessThan">
      <formula>0.5</formula>
    </cfRule>
  </conditionalFormatting>
  <conditionalFormatting sqref="D6">
    <cfRule type="cellIs" dxfId="13679" priority="130603" stopIfTrue="1" operator="greaterThanOrEqual">
      <formula>0.5</formula>
    </cfRule>
  </conditionalFormatting>
  <conditionalFormatting sqref="F5">
    <cfRule type="cellIs" dxfId="13678" priority="130604" stopIfTrue="1" operator="equal">
      <formula>-1</formula>
    </cfRule>
  </conditionalFormatting>
  <conditionalFormatting sqref="F5">
    <cfRule type="cellIs" dxfId="13677" priority="130605" stopIfTrue="1" operator="lessThan">
      <formula>0.5</formula>
    </cfRule>
  </conditionalFormatting>
  <conditionalFormatting sqref="F5">
    <cfRule type="cellIs" dxfId="13676" priority="130606" stopIfTrue="1" operator="greaterThanOrEqual">
      <formula>0.5</formula>
    </cfRule>
  </conditionalFormatting>
  <conditionalFormatting sqref="F6">
    <cfRule type="cellIs" dxfId="13675" priority="130607" stopIfTrue="1" operator="equal">
      <formula>-1</formula>
    </cfRule>
  </conditionalFormatting>
  <conditionalFormatting sqref="F6">
    <cfRule type="cellIs" dxfId="13674" priority="130608" stopIfTrue="1" operator="lessThan">
      <formula>0.5</formula>
    </cfRule>
  </conditionalFormatting>
  <conditionalFormatting sqref="F6">
    <cfRule type="cellIs" dxfId="13673" priority="130609" stopIfTrue="1" operator="greaterThanOrEqual">
      <formula>0.5</formula>
    </cfRule>
  </conditionalFormatting>
  <conditionalFormatting sqref="H5">
    <cfRule type="cellIs" dxfId="13672" priority="130610" stopIfTrue="1" operator="equal">
      <formula>-1</formula>
    </cfRule>
  </conditionalFormatting>
  <conditionalFormatting sqref="H5">
    <cfRule type="cellIs" dxfId="13671" priority="130611" stopIfTrue="1" operator="lessThan">
      <formula>0.5</formula>
    </cfRule>
  </conditionalFormatting>
  <conditionalFormatting sqref="H5">
    <cfRule type="cellIs" dxfId="13670" priority="130612" stopIfTrue="1" operator="greaterThanOrEqual">
      <formula>0.5</formula>
    </cfRule>
  </conditionalFormatting>
  <conditionalFormatting sqref="H6">
    <cfRule type="cellIs" dxfId="13669" priority="130613" stopIfTrue="1" operator="equal">
      <formula>-1</formula>
    </cfRule>
  </conditionalFormatting>
  <conditionalFormatting sqref="H6">
    <cfRule type="cellIs" dxfId="13668" priority="130614" stopIfTrue="1" operator="lessThan">
      <formula>0.5</formula>
    </cfRule>
  </conditionalFormatting>
  <conditionalFormatting sqref="H6">
    <cfRule type="cellIs" dxfId="13667" priority="130615" stopIfTrue="1" operator="greaterThanOrEqual">
      <formula>0.5</formula>
    </cfRule>
  </conditionalFormatting>
  <conditionalFormatting sqref="J5">
    <cfRule type="cellIs" dxfId="13666" priority="130616" stopIfTrue="1" operator="equal">
      <formula>-1</formula>
    </cfRule>
  </conditionalFormatting>
  <conditionalFormatting sqref="J5">
    <cfRule type="cellIs" dxfId="13665" priority="130617" stopIfTrue="1" operator="lessThan">
      <formula>0.5</formula>
    </cfRule>
  </conditionalFormatting>
  <conditionalFormatting sqref="J5">
    <cfRule type="cellIs" dxfId="13664" priority="130618" stopIfTrue="1" operator="greaterThanOrEqual">
      <formula>0.5</formula>
    </cfRule>
  </conditionalFormatting>
  <conditionalFormatting sqref="J6">
    <cfRule type="cellIs" dxfId="13663" priority="130619" stopIfTrue="1" operator="equal">
      <formula>-1</formula>
    </cfRule>
  </conditionalFormatting>
  <conditionalFormatting sqref="J6">
    <cfRule type="cellIs" dxfId="13662" priority="130620" stopIfTrue="1" operator="lessThan">
      <formula>0.5</formula>
    </cfRule>
  </conditionalFormatting>
  <conditionalFormatting sqref="J6">
    <cfRule type="cellIs" dxfId="13661" priority="130621" stopIfTrue="1" operator="greaterThanOrEqual">
      <formula>0.5</formula>
    </cfRule>
  </conditionalFormatting>
  <conditionalFormatting sqref="L5">
    <cfRule type="cellIs" dxfId="13660" priority="130622" stopIfTrue="1" operator="equal">
      <formula>-1</formula>
    </cfRule>
  </conditionalFormatting>
  <conditionalFormatting sqref="L5">
    <cfRule type="cellIs" dxfId="13659" priority="130623" stopIfTrue="1" operator="lessThan">
      <formula>0.5</formula>
    </cfRule>
  </conditionalFormatting>
  <conditionalFormatting sqref="L5">
    <cfRule type="cellIs" dxfId="13658" priority="130624" stopIfTrue="1" operator="greaterThanOrEqual">
      <formula>0.5</formula>
    </cfRule>
  </conditionalFormatting>
  <conditionalFormatting sqref="L6">
    <cfRule type="cellIs" dxfId="13657" priority="130625" stopIfTrue="1" operator="equal">
      <formula>-1</formula>
    </cfRule>
  </conditionalFormatting>
  <conditionalFormatting sqref="L6">
    <cfRule type="cellIs" dxfId="13656" priority="130626" stopIfTrue="1" operator="lessThan">
      <formula>0.5</formula>
    </cfRule>
  </conditionalFormatting>
  <conditionalFormatting sqref="L6">
    <cfRule type="cellIs" dxfId="13655" priority="130627" stopIfTrue="1" operator="greaterThanOrEqual">
      <formula>0.5</formula>
    </cfRule>
  </conditionalFormatting>
  <conditionalFormatting sqref="N5">
    <cfRule type="cellIs" dxfId="13654" priority="130628" stopIfTrue="1" operator="equal">
      <formula>-1</formula>
    </cfRule>
  </conditionalFormatting>
  <conditionalFormatting sqref="N5">
    <cfRule type="cellIs" dxfId="13653" priority="130629" stopIfTrue="1" operator="lessThan">
      <formula>0.5</formula>
    </cfRule>
  </conditionalFormatting>
  <conditionalFormatting sqref="N5">
    <cfRule type="cellIs" dxfId="13652" priority="130630" stopIfTrue="1" operator="greaterThanOrEqual">
      <formula>0.5</formula>
    </cfRule>
  </conditionalFormatting>
  <conditionalFormatting sqref="N6">
    <cfRule type="cellIs" dxfId="13651" priority="130631" stopIfTrue="1" operator="equal">
      <formula>-1</formula>
    </cfRule>
  </conditionalFormatting>
  <conditionalFormatting sqref="N6">
    <cfRule type="cellIs" dxfId="13650" priority="130632" stopIfTrue="1" operator="lessThan">
      <formula>0.5</formula>
    </cfRule>
  </conditionalFormatting>
  <conditionalFormatting sqref="N6">
    <cfRule type="cellIs" dxfId="13649" priority="130633" stopIfTrue="1" operator="greaterThanOrEqual">
      <formula>0.5</formula>
    </cfRule>
  </conditionalFormatting>
  <conditionalFormatting sqref="P5">
    <cfRule type="cellIs" dxfId="13648" priority="130634" stopIfTrue="1" operator="equal">
      <formula>-1</formula>
    </cfRule>
  </conditionalFormatting>
  <conditionalFormatting sqref="P5">
    <cfRule type="cellIs" dxfId="13647" priority="130635" stopIfTrue="1" operator="lessThan">
      <formula>0.5</formula>
    </cfRule>
  </conditionalFormatting>
  <conditionalFormatting sqref="P5">
    <cfRule type="cellIs" dxfId="13646" priority="130636" stopIfTrue="1" operator="greaterThanOrEqual">
      <formula>0.5</formula>
    </cfRule>
  </conditionalFormatting>
  <conditionalFormatting sqref="P6">
    <cfRule type="cellIs" dxfId="13645" priority="130637" stopIfTrue="1" operator="equal">
      <formula>-1</formula>
    </cfRule>
  </conditionalFormatting>
  <conditionalFormatting sqref="P6">
    <cfRule type="cellIs" dxfId="13644" priority="130638" stopIfTrue="1" operator="lessThan">
      <formula>0.5</formula>
    </cfRule>
  </conditionalFormatting>
  <conditionalFormatting sqref="P6">
    <cfRule type="cellIs" dxfId="13643" priority="130639" stopIfTrue="1" operator="greaterThanOrEqual">
      <formula>0.5</formula>
    </cfRule>
  </conditionalFormatting>
  <conditionalFormatting sqref="R5">
    <cfRule type="cellIs" dxfId="13642" priority="130640" stopIfTrue="1" operator="equal">
      <formula>-1</formula>
    </cfRule>
  </conditionalFormatting>
  <conditionalFormatting sqref="R5">
    <cfRule type="cellIs" dxfId="13641" priority="130641" stopIfTrue="1" operator="lessThan">
      <formula>0.5</formula>
    </cfRule>
  </conditionalFormatting>
  <conditionalFormatting sqref="R5">
    <cfRule type="cellIs" dxfId="13640" priority="130642" stopIfTrue="1" operator="greaterThanOrEqual">
      <formula>0.5</formula>
    </cfRule>
  </conditionalFormatting>
  <conditionalFormatting sqref="R6">
    <cfRule type="cellIs" dxfId="13639" priority="130643" stopIfTrue="1" operator="equal">
      <formula>-1</formula>
    </cfRule>
  </conditionalFormatting>
  <conditionalFormatting sqref="R6">
    <cfRule type="cellIs" dxfId="13638" priority="130644" stopIfTrue="1" operator="lessThan">
      <formula>0.5</formula>
    </cfRule>
  </conditionalFormatting>
  <conditionalFormatting sqref="R6">
    <cfRule type="cellIs" dxfId="13637" priority="130645" stopIfTrue="1" operator="greaterThanOrEqual">
      <formula>0.5</formula>
    </cfRule>
  </conditionalFormatting>
  <conditionalFormatting sqref="T5">
    <cfRule type="cellIs" dxfId="13636" priority="130646" stopIfTrue="1" operator="equal">
      <formula>-1</formula>
    </cfRule>
  </conditionalFormatting>
  <conditionalFormatting sqref="T5">
    <cfRule type="cellIs" dxfId="13635" priority="130647" stopIfTrue="1" operator="lessThan">
      <formula>0.5</formula>
    </cfRule>
  </conditionalFormatting>
  <conditionalFormatting sqref="T5">
    <cfRule type="cellIs" dxfId="13634" priority="130648" stopIfTrue="1" operator="greaterThanOrEqual">
      <formula>0.5</formula>
    </cfRule>
  </conditionalFormatting>
  <conditionalFormatting sqref="T6">
    <cfRule type="cellIs" dxfId="13633" priority="130649" stopIfTrue="1" operator="equal">
      <formula>-1</formula>
    </cfRule>
  </conditionalFormatting>
  <conditionalFormatting sqref="T6">
    <cfRule type="cellIs" dxfId="13632" priority="130650" stopIfTrue="1" operator="lessThan">
      <formula>0.5</formula>
    </cfRule>
  </conditionalFormatting>
  <conditionalFormatting sqref="T6">
    <cfRule type="cellIs" dxfId="13631" priority="130651" stopIfTrue="1" operator="greaterThanOrEqual">
      <formula>0.5</formula>
    </cfRule>
  </conditionalFormatting>
  <conditionalFormatting sqref="V5">
    <cfRule type="cellIs" dxfId="13630" priority="130652" stopIfTrue="1" operator="equal">
      <formula>-1</formula>
    </cfRule>
  </conditionalFormatting>
  <conditionalFormatting sqref="V5">
    <cfRule type="cellIs" dxfId="13629" priority="130653" stopIfTrue="1" operator="lessThan">
      <formula>0.5</formula>
    </cfRule>
  </conditionalFormatting>
  <conditionalFormatting sqref="V5">
    <cfRule type="cellIs" dxfId="13628" priority="130654" stopIfTrue="1" operator="greaterThanOrEqual">
      <formula>0.5</formula>
    </cfRule>
  </conditionalFormatting>
  <conditionalFormatting sqref="V6">
    <cfRule type="cellIs" dxfId="13627" priority="130655" stopIfTrue="1" operator="equal">
      <formula>-1</formula>
    </cfRule>
  </conditionalFormatting>
  <conditionalFormatting sqref="V6">
    <cfRule type="cellIs" dxfId="13626" priority="130656" stopIfTrue="1" operator="lessThan">
      <formula>0.5</formula>
    </cfRule>
  </conditionalFormatting>
  <conditionalFormatting sqref="V6">
    <cfRule type="cellIs" dxfId="13625" priority="130657" stopIfTrue="1" operator="greaterThanOrEqual">
      <formula>0.5</formula>
    </cfRule>
  </conditionalFormatting>
  <conditionalFormatting sqref="X5">
    <cfRule type="cellIs" dxfId="13624" priority="130658" stopIfTrue="1" operator="equal">
      <formula>-1</formula>
    </cfRule>
  </conditionalFormatting>
  <conditionalFormatting sqref="X5">
    <cfRule type="cellIs" dxfId="13623" priority="130659" stopIfTrue="1" operator="lessThan">
      <formula>0.5</formula>
    </cfRule>
  </conditionalFormatting>
  <conditionalFormatting sqref="X5">
    <cfRule type="cellIs" dxfId="13622" priority="130660" stopIfTrue="1" operator="greaterThanOrEqual">
      <formula>0.5</formula>
    </cfRule>
  </conditionalFormatting>
  <conditionalFormatting sqref="X6">
    <cfRule type="cellIs" dxfId="13621" priority="130661" stopIfTrue="1" operator="equal">
      <formula>-1</formula>
    </cfRule>
  </conditionalFormatting>
  <conditionalFormatting sqref="X6">
    <cfRule type="cellIs" dxfId="13620" priority="130662" stopIfTrue="1" operator="lessThan">
      <formula>0.5</formula>
    </cfRule>
  </conditionalFormatting>
  <conditionalFormatting sqref="X6">
    <cfRule type="cellIs" dxfId="13619" priority="130663" stopIfTrue="1" operator="greaterThanOrEqual">
      <formula>0.5</formula>
    </cfRule>
  </conditionalFormatting>
  <conditionalFormatting sqref="Z5">
    <cfRule type="cellIs" dxfId="13618" priority="130664" stopIfTrue="1" operator="equal">
      <formula>-1</formula>
    </cfRule>
  </conditionalFormatting>
  <conditionalFormatting sqref="Z5">
    <cfRule type="cellIs" dxfId="13617" priority="130665" stopIfTrue="1" operator="lessThan">
      <formula>0.5</formula>
    </cfRule>
  </conditionalFormatting>
  <conditionalFormatting sqref="Z5">
    <cfRule type="cellIs" dxfId="13616" priority="130666" stopIfTrue="1" operator="greaterThanOrEqual">
      <formula>0.5</formula>
    </cfRule>
  </conditionalFormatting>
  <conditionalFormatting sqref="Z6">
    <cfRule type="cellIs" dxfId="13615" priority="130667" stopIfTrue="1" operator="equal">
      <formula>-1</formula>
    </cfRule>
  </conditionalFormatting>
  <conditionalFormatting sqref="Z6">
    <cfRule type="cellIs" dxfId="13614" priority="130668" stopIfTrue="1" operator="lessThan">
      <formula>0.5</formula>
    </cfRule>
  </conditionalFormatting>
  <conditionalFormatting sqref="Z6">
    <cfRule type="cellIs" dxfId="13613" priority="130669" stopIfTrue="1" operator="greaterThanOrEqual">
      <formula>0.5</formula>
    </cfRule>
  </conditionalFormatting>
  <conditionalFormatting sqref="AB5">
    <cfRule type="cellIs" dxfId="13612" priority="130670" stopIfTrue="1" operator="equal">
      <formula>-1</formula>
    </cfRule>
  </conditionalFormatting>
  <conditionalFormatting sqref="AB5">
    <cfRule type="cellIs" dxfId="13611" priority="130671" stopIfTrue="1" operator="lessThan">
      <formula>0.5</formula>
    </cfRule>
  </conditionalFormatting>
  <conditionalFormatting sqref="AB5">
    <cfRule type="cellIs" dxfId="13610" priority="130672" stopIfTrue="1" operator="greaterThanOrEqual">
      <formula>0.5</formula>
    </cfRule>
  </conditionalFormatting>
  <conditionalFormatting sqref="AB6">
    <cfRule type="cellIs" dxfId="13609" priority="130673" stopIfTrue="1" operator="equal">
      <formula>-1</formula>
    </cfRule>
  </conditionalFormatting>
  <conditionalFormatting sqref="AB6">
    <cfRule type="cellIs" dxfId="13608" priority="130674" stopIfTrue="1" operator="lessThan">
      <formula>0.5</formula>
    </cfRule>
  </conditionalFormatting>
  <conditionalFormatting sqref="AB6">
    <cfRule type="cellIs" dxfId="13607" priority="130675" stopIfTrue="1" operator="greaterThanOrEqual">
      <formula>0.5</formula>
    </cfRule>
  </conditionalFormatting>
  <conditionalFormatting sqref="AD5">
    <cfRule type="cellIs" dxfId="13606" priority="130676" stopIfTrue="1" operator="equal">
      <formula>-1</formula>
    </cfRule>
  </conditionalFormatting>
  <conditionalFormatting sqref="AD5">
    <cfRule type="cellIs" dxfId="13605" priority="130677" stopIfTrue="1" operator="lessThan">
      <formula>0.5</formula>
    </cfRule>
  </conditionalFormatting>
  <conditionalFormatting sqref="AD5">
    <cfRule type="cellIs" dxfId="13604" priority="130678" stopIfTrue="1" operator="greaterThanOrEqual">
      <formula>0.5</formula>
    </cfRule>
  </conditionalFormatting>
  <conditionalFormatting sqref="AD6">
    <cfRule type="cellIs" dxfId="13603" priority="130679" stopIfTrue="1" operator="equal">
      <formula>-1</formula>
    </cfRule>
  </conditionalFormatting>
  <conditionalFormatting sqref="AD6">
    <cfRule type="cellIs" dxfId="13602" priority="130680" stopIfTrue="1" operator="lessThan">
      <formula>0.5</formula>
    </cfRule>
  </conditionalFormatting>
  <conditionalFormatting sqref="AD6">
    <cfRule type="cellIs" dxfId="13601" priority="130681" stopIfTrue="1" operator="greaterThanOrEqual">
      <formula>0.5</formula>
    </cfRule>
  </conditionalFormatting>
  <conditionalFormatting sqref="AF5">
    <cfRule type="cellIs" dxfId="13600" priority="130682" stopIfTrue="1" operator="equal">
      <formula>-1</formula>
    </cfRule>
  </conditionalFormatting>
  <conditionalFormatting sqref="AF5">
    <cfRule type="cellIs" dxfId="13599" priority="130683" stopIfTrue="1" operator="lessThan">
      <formula>0.5</formula>
    </cfRule>
  </conditionalFormatting>
  <conditionalFormatting sqref="AF5">
    <cfRule type="cellIs" dxfId="13598" priority="130684" stopIfTrue="1" operator="greaterThanOrEqual">
      <formula>0.5</formula>
    </cfRule>
  </conditionalFormatting>
  <conditionalFormatting sqref="AF6">
    <cfRule type="cellIs" dxfId="13597" priority="130685" stopIfTrue="1" operator="equal">
      <formula>-1</formula>
    </cfRule>
  </conditionalFormatting>
  <conditionalFormatting sqref="AF6">
    <cfRule type="cellIs" dxfId="13596" priority="130686" stopIfTrue="1" operator="lessThan">
      <formula>0.5</formula>
    </cfRule>
  </conditionalFormatting>
  <conditionalFormatting sqref="AF6">
    <cfRule type="cellIs" dxfId="13595" priority="130687" stopIfTrue="1" operator="greaterThanOrEqual">
      <formula>0.5</formula>
    </cfRule>
  </conditionalFormatting>
  <conditionalFormatting sqref="AH5">
    <cfRule type="cellIs" dxfId="13594" priority="130688" stopIfTrue="1" operator="equal">
      <formula>-1</formula>
    </cfRule>
  </conditionalFormatting>
  <conditionalFormatting sqref="AH5">
    <cfRule type="cellIs" dxfId="13593" priority="130689" stopIfTrue="1" operator="lessThan">
      <formula>0.5</formula>
    </cfRule>
  </conditionalFormatting>
  <conditionalFormatting sqref="AH5">
    <cfRule type="cellIs" dxfId="13592" priority="130690" stopIfTrue="1" operator="greaterThanOrEqual">
      <formula>0.5</formula>
    </cfRule>
  </conditionalFormatting>
  <conditionalFormatting sqref="AH6">
    <cfRule type="cellIs" dxfId="13591" priority="130691" stopIfTrue="1" operator="equal">
      <formula>-1</formula>
    </cfRule>
  </conditionalFormatting>
  <conditionalFormatting sqref="AH6">
    <cfRule type="cellIs" dxfId="13590" priority="130692" stopIfTrue="1" operator="lessThan">
      <formula>0.5</formula>
    </cfRule>
  </conditionalFormatting>
  <conditionalFormatting sqref="AH6">
    <cfRule type="cellIs" dxfId="13589" priority="130693" stopIfTrue="1" operator="greaterThanOrEqual">
      <formula>0.5</formula>
    </cfRule>
  </conditionalFormatting>
  <conditionalFormatting sqref="AJ5">
    <cfRule type="cellIs" dxfId="13588" priority="130694" stopIfTrue="1" operator="equal">
      <formula>-1</formula>
    </cfRule>
  </conditionalFormatting>
  <conditionalFormatting sqref="AJ5">
    <cfRule type="cellIs" dxfId="13587" priority="130695" stopIfTrue="1" operator="lessThan">
      <formula>0.5</formula>
    </cfRule>
  </conditionalFormatting>
  <conditionalFormatting sqref="AJ5">
    <cfRule type="cellIs" dxfId="13586" priority="130696" stopIfTrue="1" operator="greaterThanOrEqual">
      <formula>0.5</formula>
    </cfRule>
  </conditionalFormatting>
  <conditionalFormatting sqref="AJ6">
    <cfRule type="cellIs" dxfId="13585" priority="130697" stopIfTrue="1" operator="equal">
      <formula>-1</formula>
    </cfRule>
  </conditionalFormatting>
  <conditionalFormatting sqref="AJ6">
    <cfRule type="cellIs" dxfId="13584" priority="130698" stopIfTrue="1" operator="lessThan">
      <formula>0.5</formula>
    </cfRule>
  </conditionalFormatting>
  <conditionalFormatting sqref="AJ6">
    <cfRule type="cellIs" dxfId="13583" priority="130699" stopIfTrue="1" operator="greaterThanOrEqual">
      <formula>0.5</formula>
    </cfRule>
  </conditionalFormatting>
  <conditionalFormatting sqref="AL5">
    <cfRule type="cellIs" dxfId="13582" priority="130700" stopIfTrue="1" operator="equal">
      <formula>-1</formula>
    </cfRule>
  </conditionalFormatting>
  <conditionalFormatting sqref="AL5">
    <cfRule type="cellIs" dxfId="13581" priority="130701" stopIfTrue="1" operator="lessThan">
      <formula>0.5</formula>
    </cfRule>
  </conditionalFormatting>
  <conditionalFormatting sqref="AL5">
    <cfRule type="cellIs" dxfId="13580" priority="130702" stopIfTrue="1" operator="greaterThanOrEqual">
      <formula>0.5</formula>
    </cfRule>
  </conditionalFormatting>
  <conditionalFormatting sqref="AL6">
    <cfRule type="cellIs" dxfId="13579" priority="130703" stopIfTrue="1" operator="equal">
      <formula>-1</formula>
    </cfRule>
  </conditionalFormatting>
  <conditionalFormatting sqref="AL6">
    <cfRule type="cellIs" dxfId="13578" priority="130704" stopIfTrue="1" operator="lessThan">
      <formula>0.5</formula>
    </cfRule>
  </conditionalFormatting>
  <conditionalFormatting sqref="AL6">
    <cfRule type="cellIs" dxfId="13577" priority="130705" stopIfTrue="1" operator="greaterThanOrEqual">
      <formula>0.5</formula>
    </cfRule>
  </conditionalFormatting>
  <conditionalFormatting sqref="AN5">
    <cfRule type="cellIs" dxfId="13576" priority="130706" stopIfTrue="1" operator="equal">
      <formula>-1</formula>
    </cfRule>
  </conditionalFormatting>
  <conditionalFormatting sqref="AN5">
    <cfRule type="cellIs" dxfId="13575" priority="130707" stopIfTrue="1" operator="lessThan">
      <formula>0.5</formula>
    </cfRule>
  </conditionalFormatting>
  <conditionalFormatting sqref="AN5">
    <cfRule type="cellIs" dxfId="13574" priority="130708" stopIfTrue="1" operator="greaterThanOrEqual">
      <formula>0.5</formula>
    </cfRule>
  </conditionalFormatting>
  <conditionalFormatting sqref="AN6">
    <cfRule type="cellIs" dxfId="13573" priority="130709" stopIfTrue="1" operator="equal">
      <formula>-1</formula>
    </cfRule>
  </conditionalFormatting>
  <conditionalFormatting sqref="AN6">
    <cfRule type="cellIs" dxfId="13572" priority="130710" stopIfTrue="1" operator="lessThan">
      <formula>0.5</formula>
    </cfRule>
  </conditionalFormatting>
  <conditionalFormatting sqref="AN6">
    <cfRule type="cellIs" dxfId="13571" priority="130711" stopIfTrue="1" operator="greaterThanOrEqual">
      <formula>0.5</formula>
    </cfRule>
  </conditionalFormatting>
  <conditionalFormatting sqref="AP5">
    <cfRule type="cellIs" dxfId="13570" priority="130712" stopIfTrue="1" operator="equal">
      <formula>-1</formula>
    </cfRule>
  </conditionalFormatting>
  <conditionalFormatting sqref="AP5">
    <cfRule type="cellIs" dxfId="13569" priority="130713" stopIfTrue="1" operator="lessThan">
      <formula>0.5</formula>
    </cfRule>
  </conditionalFormatting>
  <conditionalFormatting sqref="AP5">
    <cfRule type="cellIs" dxfId="13568" priority="130714" stopIfTrue="1" operator="greaterThanOrEqual">
      <formula>0.5</formula>
    </cfRule>
  </conditionalFormatting>
  <conditionalFormatting sqref="AP6">
    <cfRule type="cellIs" dxfId="13567" priority="130715" stopIfTrue="1" operator="equal">
      <formula>-1</formula>
    </cfRule>
  </conditionalFormatting>
  <conditionalFormatting sqref="AP6">
    <cfRule type="cellIs" dxfId="13566" priority="130716" stopIfTrue="1" operator="lessThan">
      <formula>0.5</formula>
    </cfRule>
  </conditionalFormatting>
  <conditionalFormatting sqref="AP6">
    <cfRule type="cellIs" dxfId="13565" priority="130717" stopIfTrue="1" operator="greaterThanOrEqual">
      <formula>0.5</formula>
    </cfRule>
  </conditionalFormatting>
  <conditionalFormatting sqref="AR5">
    <cfRule type="cellIs" dxfId="13564" priority="130718" stopIfTrue="1" operator="equal">
      <formula>-1</formula>
    </cfRule>
  </conditionalFormatting>
  <conditionalFormatting sqref="AR5">
    <cfRule type="cellIs" dxfId="13563" priority="130719" stopIfTrue="1" operator="lessThan">
      <formula>0.5</formula>
    </cfRule>
  </conditionalFormatting>
  <conditionalFormatting sqref="AR5">
    <cfRule type="cellIs" dxfId="13562" priority="130720" stopIfTrue="1" operator="greaterThanOrEqual">
      <formula>0.5</formula>
    </cfRule>
  </conditionalFormatting>
  <conditionalFormatting sqref="AR6">
    <cfRule type="cellIs" dxfId="13561" priority="130721" stopIfTrue="1" operator="equal">
      <formula>-1</formula>
    </cfRule>
  </conditionalFormatting>
  <conditionalFormatting sqref="AR6">
    <cfRule type="cellIs" dxfId="13560" priority="130722" stopIfTrue="1" operator="lessThan">
      <formula>0.5</formula>
    </cfRule>
  </conditionalFormatting>
  <conditionalFormatting sqref="AR6">
    <cfRule type="cellIs" dxfId="13559" priority="130723" stopIfTrue="1" operator="greaterThanOrEqual">
      <formula>0.5</formula>
    </cfRule>
  </conditionalFormatting>
  <conditionalFormatting sqref="AT5">
    <cfRule type="cellIs" dxfId="13558" priority="130724" stopIfTrue="1" operator="equal">
      <formula>-1</formula>
    </cfRule>
  </conditionalFormatting>
  <conditionalFormatting sqref="AT5">
    <cfRule type="cellIs" dxfId="13557" priority="130725" stopIfTrue="1" operator="lessThan">
      <formula>0.5</formula>
    </cfRule>
  </conditionalFormatting>
  <conditionalFormatting sqref="AT5">
    <cfRule type="cellIs" dxfId="13556" priority="130726" stopIfTrue="1" operator="greaterThanOrEqual">
      <formula>0.5</formula>
    </cfRule>
  </conditionalFormatting>
  <conditionalFormatting sqref="AT6">
    <cfRule type="cellIs" dxfId="13555" priority="130727" stopIfTrue="1" operator="equal">
      <formula>-1</formula>
    </cfRule>
  </conditionalFormatting>
  <conditionalFormatting sqref="AT6">
    <cfRule type="cellIs" dxfId="13554" priority="130728" stopIfTrue="1" operator="lessThan">
      <formula>0.5</formula>
    </cfRule>
  </conditionalFormatting>
  <conditionalFormatting sqref="AT6">
    <cfRule type="cellIs" dxfId="13553" priority="130729" stopIfTrue="1" operator="greaterThanOrEqual">
      <formula>0.5</formula>
    </cfRule>
  </conditionalFormatting>
  <conditionalFormatting sqref="AV5">
    <cfRule type="cellIs" dxfId="13552" priority="130730" stopIfTrue="1" operator="equal">
      <formula>-1</formula>
    </cfRule>
  </conditionalFormatting>
  <conditionalFormatting sqref="AV5">
    <cfRule type="cellIs" dxfId="13551" priority="130731" stopIfTrue="1" operator="lessThan">
      <formula>0.5</formula>
    </cfRule>
  </conditionalFormatting>
  <conditionalFormatting sqref="AV5">
    <cfRule type="cellIs" dxfId="13550" priority="130732" stopIfTrue="1" operator="greaterThanOrEqual">
      <formula>0.5</formula>
    </cfRule>
  </conditionalFormatting>
  <conditionalFormatting sqref="AV6">
    <cfRule type="cellIs" dxfId="13549" priority="130733" stopIfTrue="1" operator="equal">
      <formula>-1</formula>
    </cfRule>
  </conditionalFormatting>
  <conditionalFormatting sqref="AV6">
    <cfRule type="cellIs" dxfId="13548" priority="130734" stopIfTrue="1" operator="lessThan">
      <formula>0.5</formula>
    </cfRule>
  </conditionalFormatting>
  <conditionalFormatting sqref="AV6">
    <cfRule type="cellIs" dxfId="13547" priority="130735" stopIfTrue="1" operator="greaterThanOrEqual">
      <formula>0.5</formula>
    </cfRule>
  </conditionalFormatting>
  <conditionalFormatting sqref="AX5">
    <cfRule type="cellIs" dxfId="13546" priority="130736" stopIfTrue="1" operator="equal">
      <formula>-1</formula>
    </cfRule>
  </conditionalFormatting>
  <conditionalFormatting sqref="AX5">
    <cfRule type="cellIs" dxfId="13545" priority="130737" stopIfTrue="1" operator="lessThan">
      <formula>0.5</formula>
    </cfRule>
  </conditionalFormatting>
  <conditionalFormatting sqref="AX5">
    <cfRule type="cellIs" dxfId="13544" priority="130738" stopIfTrue="1" operator="greaterThanOrEqual">
      <formula>0.5</formula>
    </cfRule>
  </conditionalFormatting>
  <conditionalFormatting sqref="AX6">
    <cfRule type="cellIs" dxfId="13543" priority="130739" stopIfTrue="1" operator="equal">
      <formula>-1</formula>
    </cfRule>
  </conditionalFormatting>
  <conditionalFormatting sqref="AX6">
    <cfRule type="cellIs" dxfId="13542" priority="130740" stopIfTrue="1" operator="lessThan">
      <formula>0.5</formula>
    </cfRule>
  </conditionalFormatting>
  <conditionalFormatting sqref="AX6">
    <cfRule type="cellIs" dxfId="13541" priority="130741" stopIfTrue="1" operator="greaterThanOrEqual">
      <formula>0.5</formula>
    </cfRule>
  </conditionalFormatting>
  <conditionalFormatting sqref="AZ5">
    <cfRule type="cellIs" dxfId="13540" priority="130742" stopIfTrue="1" operator="equal">
      <formula>-1</formula>
    </cfRule>
  </conditionalFormatting>
  <conditionalFormatting sqref="AZ5">
    <cfRule type="cellIs" dxfId="13539" priority="130743" stopIfTrue="1" operator="lessThan">
      <formula>0.5</formula>
    </cfRule>
  </conditionalFormatting>
  <conditionalFormatting sqref="AZ5">
    <cfRule type="cellIs" dxfId="13538" priority="130744" stopIfTrue="1" operator="greaterThanOrEqual">
      <formula>0.5</formula>
    </cfRule>
  </conditionalFormatting>
  <conditionalFormatting sqref="AZ6">
    <cfRule type="cellIs" dxfId="13537" priority="130745" stopIfTrue="1" operator="equal">
      <formula>-1</formula>
    </cfRule>
  </conditionalFormatting>
  <conditionalFormatting sqref="AZ6">
    <cfRule type="cellIs" dxfId="13536" priority="130746" stopIfTrue="1" operator="lessThan">
      <formula>0.5</formula>
    </cfRule>
  </conditionalFormatting>
  <conditionalFormatting sqref="AZ6">
    <cfRule type="cellIs" dxfId="13535" priority="130747" stopIfTrue="1" operator="greaterThanOrEqual">
      <formula>0.5</formula>
    </cfRule>
  </conditionalFormatting>
  <conditionalFormatting sqref="BB5">
    <cfRule type="cellIs" dxfId="13534" priority="130748" stopIfTrue="1" operator="equal">
      <formula>-1</formula>
    </cfRule>
  </conditionalFormatting>
  <conditionalFormatting sqref="BB5">
    <cfRule type="cellIs" dxfId="13533" priority="130749" stopIfTrue="1" operator="lessThan">
      <formula>0.5</formula>
    </cfRule>
  </conditionalFormatting>
  <conditionalFormatting sqref="BB5">
    <cfRule type="cellIs" dxfId="13532" priority="130750" stopIfTrue="1" operator="greaterThanOrEqual">
      <formula>0.5</formula>
    </cfRule>
  </conditionalFormatting>
  <conditionalFormatting sqref="BB6">
    <cfRule type="cellIs" dxfId="13531" priority="130751" stopIfTrue="1" operator="equal">
      <formula>-1</formula>
    </cfRule>
  </conditionalFormatting>
  <conditionalFormatting sqref="BB6">
    <cfRule type="cellIs" dxfId="13530" priority="130752" stopIfTrue="1" operator="lessThan">
      <formula>0.5</formula>
    </cfRule>
  </conditionalFormatting>
  <conditionalFormatting sqref="BB6">
    <cfRule type="cellIs" dxfId="13529" priority="130753" stopIfTrue="1" operator="greaterThanOrEqual">
      <formula>0.5</formula>
    </cfRule>
  </conditionalFormatting>
  <conditionalFormatting sqref="BD5">
    <cfRule type="cellIs" dxfId="13528" priority="130754" stopIfTrue="1" operator="equal">
      <formula>-1</formula>
    </cfRule>
  </conditionalFormatting>
  <conditionalFormatting sqref="BD5">
    <cfRule type="cellIs" dxfId="13527" priority="130755" stopIfTrue="1" operator="lessThan">
      <formula>0.5</formula>
    </cfRule>
  </conditionalFormatting>
  <conditionalFormatting sqref="BD5">
    <cfRule type="cellIs" dxfId="13526" priority="130756" stopIfTrue="1" operator="greaterThanOrEqual">
      <formula>0.5</formula>
    </cfRule>
  </conditionalFormatting>
  <conditionalFormatting sqref="BD6">
    <cfRule type="cellIs" dxfId="13525" priority="130757" stopIfTrue="1" operator="equal">
      <formula>-1</formula>
    </cfRule>
  </conditionalFormatting>
  <conditionalFormatting sqref="BD6">
    <cfRule type="cellIs" dxfId="13524" priority="130758" stopIfTrue="1" operator="lessThan">
      <formula>0.5</formula>
    </cfRule>
  </conditionalFormatting>
  <conditionalFormatting sqref="BD6">
    <cfRule type="cellIs" dxfId="13523" priority="130759" stopIfTrue="1" operator="greaterThanOrEqual">
      <formula>0.5</formula>
    </cfRule>
  </conditionalFormatting>
  <conditionalFormatting sqref="BF5">
    <cfRule type="cellIs" dxfId="13522" priority="130760" stopIfTrue="1" operator="equal">
      <formula>-1</formula>
    </cfRule>
  </conditionalFormatting>
  <conditionalFormatting sqref="BF5">
    <cfRule type="cellIs" dxfId="13521" priority="130761" stopIfTrue="1" operator="lessThan">
      <formula>0.5</formula>
    </cfRule>
  </conditionalFormatting>
  <conditionalFormatting sqref="BF5">
    <cfRule type="cellIs" dxfId="13520" priority="130762" stopIfTrue="1" operator="greaterThanOrEqual">
      <formula>0.5</formula>
    </cfRule>
  </conditionalFormatting>
  <conditionalFormatting sqref="BF6">
    <cfRule type="cellIs" dxfId="13519" priority="130763" stopIfTrue="1" operator="equal">
      <formula>-1</formula>
    </cfRule>
  </conditionalFormatting>
  <conditionalFormatting sqref="BF6">
    <cfRule type="cellIs" dxfId="13518" priority="130764" stopIfTrue="1" operator="lessThan">
      <formula>0.5</formula>
    </cfRule>
  </conditionalFormatting>
  <conditionalFormatting sqref="BF6">
    <cfRule type="cellIs" dxfId="13517" priority="130765" stopIfTrue="1" operator="greaterThanOrEqual">
      <formula>0.5</formula>
    </cfRule>
  </conditionalFormatting>
  <conditionalFormatting sqref="BH5">
    <cfRule type="cellIs" dxfId="13516" priority="130766" stopIfTrue="1" operator="equal">
      <formula>-1</formula>
    </cfRule>
  </conditionalFormatting>
  <conditionalFormatting sqref="BH5">
    <cfRule type="cellIs" dxfId="13515" priority="130767" stopIfTrue="1" operator="lessThan">
      <formula>0.5</formula>
    </cfRule>
  </conditionalFormatting>
  <conditionalFormatting sqref="BH5">
    <cfRule type="cellIs" dxfId="13514" priority="130768" stopIfTrue="1" operator="greaterThanOrEqual">
      <formula>0.5</formula>
    </cfRule>
  </conditionalFormatting>
  <conditionalFormatting sqref="BH6">
    <cfRule type="cellIs" dxfId="13513" priority="130769" stopIfTrue="1" operator="equal">
      <formula>-1</formula>
    </cfRule>
  </conditionalFormatting>
  <conditionalFormatting sqref="BH6">
    <cfRule type="cellIs" dxfId="13512" priority="130770" stopIfTrue="1" operator="lessThan">
      <formula>0.5</formula>
    </cfRule>
  </conditionalFormatting>
  <conditionalFormatting sqref="BH6">
    <cfRule type="cellIs" dxfId="13511" priority="130771" stopIfTrue="1" operator="greaterThanOrEqual">
      <formula>0.5</formula>
    </cfRule>
  </conditionalFormatting>
  <conditionalFormatting sqref="BJ5">
    <cfRule type="cellIs" dxfId="13510" priority="130772" stopIfTrue="1" operator="equal">
      <formula>-1</formula>
    </cfRule>
  </conditionalFormatting>
  <conditionalFormatting sqref="BJ5">
    <cfRule type="cellIs" dxfId="13509" priority="130773" stopIfTrue="1" operator="lessThan">
      <formula>0.5</formula>
    </cfRule>
  </conditionalFormatting>
  <conditionalFormatting sqref="BJ5">
    <cfRule type="cellIs" dxfId="13508" priority="130774" stopIfTrue="1" operator="greaterThanOrEqual">
      <formula>0.5</formula>
    </cfRule>
  </conditionalFormatting>
  <conditionalFormatting sqref="BJ6">
    <cfRule type="cellIs" dxfId="13507" priority="130775" stopIfTrue="1" operator="equal">
      <formula>-1</formula>
    </cfRule>
  </conditionalFormatting>
  <conditionalFormatting sqref="BJ6">
    <cfRule type="cellIs" dxfId="13506" priority="130776" stopIfTrue="1" operator="lessThan">
      <formula>0.5</formula>
    </cfRule>
  </conditionalFormatting>
  <conditionalFormatting sqref="BJ6">
    <cfRule type="cellIs" dxfId="13505" priority="130777" stopIfTrue="1" operator="greaterThanOrEqual">
      <formula>0.5</formula>
    </cfRule>
  </conditionalFormatting>
  <conditionalFormatting sqref="D8">
    <cfRule type="cellIs" dxfId="13504" priority="130778" stopIfTrue="1" operator="equal">
      <formula>-1</formula>
    </cfRule>
  </conditionalFormatting>
  <conditionalFormatting sqref="D8">
    <cfRule type="cellIs" dxfId="13503" priority="130779" stopIfTrue="1" operator="lessThan">
      <formula>0.5</formula>
    </cfRule>
  </conditionalFormatting>
  <conditionalFormatting sqref="D8">
    <cfRule type="cellIs" dxfId="13502" priority="130780" stopIfTrue="1" operator="greaterThanOrEqual">
      <formula>0.5</formula>
    </cfRule>
  </conditionalFormatting>
  <conditionalFormatting sqref="D9">
    <cfRule type="cellIs" dxfId="13501" priority="130781" stopIfTrue="1" operator="equal">
      <formula>-1</formula>
    </cfRule>
  </conditionalFormatting>
  <conditionalFormatting sqref="D9">
    <cfRule type="cellIs" dxfId="13500" priority="130782" stopIfTrue="1" operator="lessThan">
      <formula>0.5</formula>
    </cfRule>
  </conditionalFormatting>
  <conditionalFormatting sqref="D9">
    <cfRule type="cellIs" dxfId="13499" priority="130783" stopIfTrue="1" operator="greaterThanOrEqual">
      <formula>0.5</formula>
    </cfRule>
  </conditionalFormatting>
  <conditionalFormatting sqref="D10">
    <cfRule type="cellIs" dxfId="13498" priority="130784" stopIfTrue="1" operator="equal">
      <formula>-1</formula>
    </cfRule>
  </conditionalFormatting>
  <conditionalFormatting sqref="D10">
    <cfRule type="cellIs" dxfId="13497" priority="130785" stopIfTrue="1" operator="lessThan">
      <formula>0.5</formula>
    </cfRule>
  </conditionalFormatting>
  <conditionalFormatting sqref="D10">
    <cfRule type="cellIs" dxfId="13496" priority="130786" stopIfTrue="1" operator="greaterThanOrEqual">
      <formula>0.5</formula>
    </cfRule>
  </conditionalFormatting>
  <conditionalFormatting sqref="D11">
    <cfRule type="cellIs" dxfId="13495" priority="130787" stopIfTrue="1" operator="equal">
      <formula>-1</formula>
    </cfRule>
  </conditionalFormatting>
  <conditionalFormatting sqref="D11">
    <cfRule type="cellIs" dxfId="13494" priority="130788" stopIfTrue="1" operator="lessThan">
      <formula>0.5</formula>
    </cfRule>
  </conditionalFormatting>
  <conditionalFormatting sqref="D11">
    <cfRule type="cellIs" dxfId="13493" priority="130789" stopIfTrue="1" operator="greaterThanOrEqual">
      <formula>0.5</formula>
    </cfRule>
  </conditionalFormatting>
  <conditionalFormatting sqref="D12">
    <cfRule type="cellIs" dxfId="13492" priority="130790" stopIfTrue="1" operator="equal">
      <formula>-1</formula>
    </cfRule>
  </conditionalFormatting>
  <conditionalFormatting sqref="D12">
    <cfRule type="cellIs" dxfId="13491" priority="130791" stopIfTrue="1" operator="lessThan">
      <formula>0.5</formula>
    </cfRule>
  </conditionalFormatting>
  <conditionalFormatting sqref="D12">
    <cfRule type="cellIs" dxfId="13490" priority="130792" stopIfTrue="1" operator="greaterThanOrEqual">
      <formula>0.5</formula>
    </cfRule>
  </conditionalFormatting>
  <conditionalFormatting sqref="D13">
    <cfRule type="cellIs" dxfId="13489" priority="130793" stopIfTrue="1" operator="equal">
      <formula>-1</formula>
    </cfRule>
  </conditionalFormatting>
  <conditionalFormatting sqref="D13">
    <cfRule type="cellIs" dxfId="13488" priority="130794" stopIfTrue="1" operator="lessThan">
      <formula>0.5</formula>
    </cfRule>
  </conditionalFormatting>
  <conditionalFormatting sqref="D13">
    <cfRule type="cellIs" dxfId="13487" priority="130795" stopIfTrue="1" operator="greaterThanOrEqual">
      <formula>0.5</formula>
    </cfRule>
  </conditionalFormatting>
  <conditionalFormatting sqref="D14">
    <cfRule type="cellIs" dxfId="13486" priority="130796" stopIfTrue="1" operator="equal">
      <formula>-1</formula>
    </cfRule>
  </conditionalFormatting>
  <conditionalFormatting sqref="D14">
    <cfRule type="cellIs" dxfId="13485" priority="130797" stopIfTrue="1" operator="lessThan">
      <formula>0.5</formula>
    </cfRule>
  </conditionalFormatting>
  <conditionalFormatting sqref="D14">
    <cfRule type="cellIs" dxfId="13484" priority="130798" stopIfTrue="1" operator="greaterThanOrEqual">
      <formula>0.5</formula>
    </cfRule>
  </conditionalFormatting>
  <conditionalFormatting sqref="D15">
    <cfRule type="cellIs" dxfId="13483" priority="130799" stopIfTrue="1" operator="equal">
      <formula>-1</formula>
    </cfRule>
  </conditionalFormatting>
  <conditionalFormatting sqref="D15">
    <cfRule type="cellIs" dxfId="13482" priority="130800" stopIfTrue="1" operator="lessThan">
      <formula>0.5</formula>
    </cfRule>
  </conditionalFormatting>
  <conditionalFormatting sqref="D15">
    <cfRule type="cellIs" dxfId="13481" priority="130801" stopIfTrue="1" operator="greaterThanOrEqual">
      <formula>0.5</formula>
    </cfRule>
  </conditionalFormatting>
  <conditionalFormatting sqref="F8">
    <cfRule type="cellIs" dxfId="13480" priority="130802" stopIfTrue="1" operator="equal">
      <formula>-1</formula>
    </cfRule>
  </conditionalFormatting>
  <conditionalFormatting sqref="F8">
    <cfRule type="cellIs" dxfId="13479" priority="130803" stopIfTrue="1" operator="lessThan">
      <formula>0.5</formula>
    </cfRule>
  </conditionalFormatting>
  <conditionalFormatting sqref="F8">
    <cfRule type="cellIs" dxfId="13478" priority="130804" stopIfTrue="1" operator="greaterThanOrEqual">
      <formula>0.5</formula>
    </cfRule>
  </conditionalFormatting>
  <conditionalFormatting sqref="F9">
    <cfRule type="cellIs" dxfId="13477" priority="130805" stopIfTrue="1" operator="equal">
      <formula>-1</formula>
    </cfRule>
  </conditionalFormatting>
  <conditionalFormatting sqref="F9">
    <cfRule type="cellIs" dxfId="13476" priority="130806" stopIfTrue="1" operator="lessThan">
      <formula>0.5</formula>
    </cfRule>
  </conditionalFormatting>
  <conditionalFormatting sqref="F9">
    <cfRule type="cellIs" dxfId="13475" priority="130807" stopIfTrue="1" operator="greaterThanOrEqual">
      <formula>0.5</formula>
    </cfRule>
  </conditionalFormatting>
  <conditionalFormatting sqref="F10">
    <cfRule type="cellIs" dxfId="13474" priority="130808" stopIfTrue="1" operator="equal">
      <formula>-1</formula>
    </cfRule>
  </conditionalFormatting>
  <conditionalFormatting sqref="F10">
    <cfRule type="cellIs" dxfId="13473" priority="130809" stopIfTrue="1" operator="lessThan">
      <formula>0.5</formula>
    </cfRule>
  </conditionalFormatting>
  <conditionalFormatting sqref="F10">
    <cfRule type="cellIs" dxfId="13472" priority="130810" stopIfTrue="1" operator="greaterThanOrEqual">
      <formula>0.5</formula>
    </cfRule>
  </conditionalFormatting>
  <conditionalFormatting sqref="F11">
    <cfRule type="cellIs" dxfId="13471" priority="130811" stopIfTrue="1" operator="equal">
      <formula>-1</formula>
    </cfRule>
  </conditionalFormatting>
  <conditionalFormatting sqref="F11">
    <cfRule type="cellIs" dxfId="13470" priority="130812" stopIfTrue="1" operator="lessThan">
      <formula>0.5</formula>
    </cfRule>
  </conditionalFormatting>
  <conditionalFormatting sqref="F11">
    <cfRule type="cellIs" dxfId="13469" priority="130813" stopIfTrue="1" operator="greaterThanOrEqual">
      <formula>0.5</formula>
    </cfRule>
  </conditionalFormatting>
  <conditionalFormatting sqref="F12">
    <cfRule type="cellIs" dxfId="13468" priority="130814" stopIfTrue="1" operator="equal">
      <formula>-1</formula>
    </cfRule>
  </conditionalFormatting>
  <conditionalFormatting sqref="F12">
    <cfRule type="cellIs" dxfId="13467" priority="130815" stopIfTrue="1" operator="lessThan">
      <formula>0.5</formula>
    </cfRule>
  </conditionalFormatting>
  <conditionalFormatting sqref="F12">
    <cfRule type="cellIs" dxfId="13466" priority="130816" stopIfTrue="1" operator="greaterThanOrEqual">
      <formula>0.5</formula>
    </cfRule>
  </conditionalFormatting>
  <conditionalFormatting sqref="F13">
    <cfRule type="cellIs" dxfId="13465" priority="130817" stopIfTrue="1" operator="equal">
      <formula>-1</formula>
    </cfRule>
  </conditionalFormatting>
  <conditionalFormatting sqref="F13">
    <cfRule type="cellIs" dxfId="13464" priority="130818" stopIfTrue="1" operator="lessThan">
      <formula>0.5</formula>
    </cfRule>
  </conditionalFormatting>
  <conditionalFormatting sqref="F13">
    <cfRule type="cellIs" dxfId="13463" priority="130819" stopIfTrue="1" operator="greaterThanOrEqual">
      <formula>0.5</formula>
    </cfRule>
  </conditionalFormatting>
  <conditionalFormatting sqref="F14">
    <cfRule type="cellIs" dxfId="13462" priority="130820" stopIfTrue="1" operator="equal">
      <formula>-1</formula>
    </cfRule>
  </conditionalFormatting>
  <conditionalFormatting sqref="F14">
    <cfRule type="cellIs" dxfId="13461" priority="130821" stopIfTrue="1" operator="lessThan">
      <formula>0.5</formula>
    </cfRule>
  </conditionalFormatting>
  <conditionalFormatting sqref="F14">
    <cfRule type="cellIs" dxfId="13460" priority="130822" stopIfTrue="1" operator="greaterThanOrEqual">
      <formula>0.5</formula>
    </cfRule>
  </conditionalFormatting>
  <conditionalFormatting sqref="F15">
    <cfRule type="cellIs" dxfId="13459" priority="130823" stopIfTrue="1" operator="equal">
      <formula>-1</formula>
    </cfRule>
  </conditionalFormatting>
  <conditionalFormatting sqref="F15">
    <cfRule type="cellIs" dxfId="13458" priority="130824" stopIfTrue="1" operator="lessThan">
      <formula>0.5</formula>
    </cfRule>
  </conditionalFormatting>
  <conditionalFormatting sqref="F15">
    <cfRule type="cellIs" dxfId="13457" priority="130825" stopIfTrue="1" operator="greaterThanOrEqual">
      <formula>0.5</formula>
    </cfRule>
  </conditionalFormatting>
  <conditionalFormatting sqref="H8">
    <cfRule type="cellIs" dxfId="13456" priority="130826" stopIfTrue="1" operator="equal">
      <formula>-1</formula>
    </cfRule>
  </conditionalFormatting>
  <conditionalFormatting sqref="H8">
    <cfRule type="cellIs" dxfId="13455" priority="130827" stopIfTrue="1" operator="lessThan">
      <formula>0.5</formula>
    </cfRule>
  </conditionalFormatting>
  <conditionalFormatting sqref="H8">
    <cfRule type="cellIs" dxfId="13454" priority="130828" stopIfTrue="1" operator="greaterThanOrEqual">
      <formula>0.5</formula>
    </cfRule>
  </conditionalFormatting>
  <conditionalFormatting sqref="H9">
    <cfRule type="cellIs" dxfId="13453" priority="130829" stopIfTrue="1" operator="equal">
      <formula>-1</formula>
    </cfRule>
  </conditionalFormatting>
  <conditionalFormatting sqref="H9">
    <cfRule type="cellIs" dxfId="13452" priority="130830" stopIfTrue="1" operator="lessThan">
      <formula>0.5</formula>
    </cfRule>
  </conditionalFormatting>
  <conditionalFormatting sqref="H9">
    <cfRule type="cellIs" dxfId="13451" priority="130831" stopIfTrue="1" operator="greaterThanOrEqual">
      <formula>0.5</formula>
    </cfRule>
  </conditionalFormatting>
  <conditionalFormatting sqref="H10">
    <cfRule type="cellIs" dxfId="13450" priority="130832" stopIfTrue="1" operator="equal">
      <formula>-1</formula>
    </cfRule>
  </conditionalFormatting>
  <conditionalFormatting sqref="H10">
    <cfRule type="cellIs" dxfId="13449" priority="130833" stopIfTrue="1" operator="lessThan">
      <formula>0.5</formula>
    </cfRule>
  </conditionalFormatting>
  <conditionalFormatting sqref="H10">
    <cfRule type="cellIs" dxfId="13448" priority="130834" stopIfTrue="1" operator="greaterThanOrEqual">
      <formula>0.5</formula>
    </cfRule>
  </conditionalFormatting>
  <conditionalFormatting sqref="H11">
    <cfRule type="cellIs" dxfId="13447" priority="130835" stopIfTrue="1" operator="equal">
      <formula>-1</formula>
    </cfRule>
  </conditionalFormatting>
  <conditionalFormatting sqref="H11">
    <cfRule type="cellIs" dxfId="13446" priority="130836" stopIfTrue="1" operator="lessThan">
      <formula>0.5</formula>
    </cfRule>
  </conditionalFormatting>
  <conditionalFormatting sqref="H11">
    <cfRule type="cellIs" dxfId="13445" priority="130837" stopIfTrue="1" operator="greaterThanOrEqual">
      <formula>0.5</formula>
    </cfRule>
  </conditionalFormatting>
  <conditionalFormatting sqref="H12">
    <cfRule type="cellIs" dxfId="13444" priority="130838" stopIfTrue="1" operator="equal">
      <formula>-1</formula>
    </cfRule>
  </conditionalFormatting>
  <conditionalFormatting sqref="H12">
    <cfRule type="cellIs" dxfId="13443" priority="130839" stopIfTrue="1" operator="lessThan">
      <formula>0.5</formula>
    </cfRule>
  </conditionalFormatting>
  <conditionalFormatting sqref="H12">
    <cfRule type="cellIs" dxfId="13442" priority="130840" stopIfTrue="1" operator="greaterThanOrEqual">
      <formula>0.5</formula>
    </cfRule>
  </conditionalFormatting>
  <conditionalFormatting sqref="H13">
    <cfRule type="cellIs" dxfId="13441" priority="130841" stopIfTrue="1" operator="equal">
      <formula>-1</formula>
    </cfRule>
  </conditionalFormatting>
  <conditionalFormatting sqref="H13">
    <cfRule type="cellIs" dxfId="13440" priority="130842" stopIfTrue="1" operator="lessThan">
      <formula>0.5</formula>
    </cfRule>
  </conditionalFormatting>
  <conditionalFormatting sqref="H13">
    <cfRule type="cellIs" dxfId="13439" priority="130843" stopIfTrue="1" operator="greaterThanOrEqual">
      <formula>0.5</formula>
    </cfRule>
  </conditionalFormatting>
  <conditionalFormatting sqref="H14">
    <cfRule type="cellIs" dxfId="13438" priority="130844" stopIfTrue="1" operator="equal">
      <formula>-1</formula>
    </cfRule>
  </conditionalFormatting>
  <conditionalFormatting sqref="H14">
    <cfRule type="cellIs" dxfId="13437" priority="130845" stopIfTrue="1" operator="lessThan">
      <formula>0.5</formula>
    </cfRule>
  </conditionalFormatting>
  <conditionalFormatting sqref="H14">
    <cfRule type="cellIs" dxfId="13436" priority="130846" stopIfTrue="1" operator="greaterThanOrEqual">
      <formula>0.5</formula>
    </cfRule>
  </conditionalFormatting>
  <conditionalFormatting sqref="H15">
    <cfRule type="cellIs" dxfId="13435" priority="130847" stopIfTrue="1" operator="equal">
      <formula>-1</formula>
    </cfRule>
  </conditionalFormatting>
  <conditionalFormatting sqref="H15">
    <cfRule type="cellIs" dxfId="13434" priority="130848" stopIfTrue="1" operator="lessThan">
      <formula>0.5</formula>
    </cfRule>
  </conditionalFormatting>
  <conditionalFormatting sqref="H15">
    <cfRule type="cellIs" dxfId="13433" priority="130849" stopIfTrue="1" operator="greaterThanOrEqual">
      <formula>0.5</formula>
    </cfRule>
  </conditionalFormatting>
  <conditionalFormatting sqref="J8">
    <cfRule type="cellIs" dxfId="13432" priority="130850" stopIfTrue="1" operator="equal">
      <formula>-1</formula>
    </cfRule>
  </conditionalFormatting>
  <conditionalFormatting sqref="J8">
    <cfRule type="cellIs" dxfId="13431" priority="130851" stopIfTrue="1" operator="lessThan">
      <formula>0.5</formula>
    </cfRule>
  </conditionalFormatting>
  <conditionalFormatting sqref="J8">
    <cfRule type="cellIs" dxfId="13430" priority="130852" stopIfTrue="1" operator="greaterThanOrEqual">
      <formula>0.5</formula>
    </cfRule>
  </conditionalFormatting>
  <conditionalFormatting sqref="J9">
    <cfRule type="cellIs" dxfId="13429" priority="130853" stopIfTrue="1" operator="equal">
      <formula>-1</formula>
    </cfRule>
  </conditionalFormatting>
  <conditionalFormatting sqref="J9">
    <cfRule type="cellIs" dxfId="13428" priority="130854" stopIfTrue="1" operator="lessThan">
      <formula>0.5</formula>
    </cfRule>
  </conditionalFormatting>
  <conditionalFormatting sqref="J9">
    <cfRule type="cellIs" dxfId="13427" priority="130855" stopIfTrue="1" operator="greaterThanOrEqual">
      <formula>0.5</formula>
    </cfRule>
  </conditionalFormatting>
  <conditionalFormatting sqref="J10">
    <cfRule type="cellIs" dxfId="13426" priority="130856" stopIfTrue="1" operator="equal">
      <formula>-1</formula>
    </cfRule>
  </conditionalFormatting>
  <conditionalFormatting sqref="J10">
    <cfRule type="cellIs" dxfId="13425" priority="130857" stopIfTrue="1" operator="lessThan">
      <formula>0.5</formula>
    </cfRule>
  </conditionalFormatting>
  <conditionalFormatting sqref="J10">
    <cfRule type="cellIs" dxfId="13424" priority="130858" stopIfTrue="1" operator="greaterThanOrEqual">
      <formula>0.5</formula>
    </cfRule>
  </conditionalFormatting>
  <conditionalFormatting sqref="J11">
    <cfRule type="cellIs" dxfId="13423" priority="130859" stopIfTrue="1" operator="equal">
      <formula>-1</formula>
    </cfRule>
  </conditionalFormatting>
  <conditionalFormatting sqref="J11">
    <cfRule type="cellIs" dxfId="13422" priority="130860" stopIfTrue="1" operator="lessThan">
      <formula>0.5</formula>
    </cfRule>
  </conditionalFormatting>
  <conditionalFormatting sqref="J11">
    <cfRule type="cellIs" dxfId="13421" priority="130861" stopIfTrue="1" operator="greaterThanOrEqual">
      <formula>0.5</formula>
    </cfRule>
  </conditionalFormatting>
  <conditionalFormatting sqref="J12">
    <cfRule type="cellIs" dxfId="13420" priority="130862" stopIfTrue="1" operator="equal">
      <formula>-1</formula>
    </cfRule>
  </conditionalFormatting>
  <conditionalFormatting sqref="J12">
    <cfRule type="cellIs" dxfId="13419" priority="130863" stopIfTrue="1" operator="lessThan">
      <formula>0.5</formula>
    </cfRule>
  </conditionalFormatting>
  <conditionalFormatting sqref="J12">
    <cfRule type="cellIs" dxfId="13418" priority="130864" stopIfTrue="1" operator="greaterThanOrEqual">
      <formula>0.5</formula>
    </cfRule>
  </conditionalFormatting>
  <conditionalFormatting sqref="J13">
    <cfRule type="cellIs" dxfId="13417" priority="130865" stopIfTrue="1" operator="equal">
      <formula>-1</formula>
    </cfRule>
  </conditionalFormatting>
  <conditionalFormatting sqref="J13">
    <cfRule type="cellIs" dxfId="13416" priority="130866" stopIfTrue="1" operator="lessThan">
      <formula>0.5</formula>
    </cfRule>
  </conditionalFormatting>
  <conditionalFormatting sqref="J13">
    <cfRule type="cellIs" dxfId="13415" priority="130867" stopIfTrue="1" operator="greaterThanOrEqual">
      <formula>0.5</formula>
    </cfRule>
  </conditionalFormatting>
  <conditionalFormatting sqref="J14">
    <cfRule type="cellIs" dxfId="13414" priority="130868" stopIfTrue="1" operator="equal">
      <formula>-1</formula>
    </cfRule>
  </conditionalFormatting>
  <conditionalFormatting sqref="J14">
    <cfRule type="cellIs" dxfId="13413" priority="130869" stopIfTrue="1" operator="lessThan">
      <formula>0.5</formula>
    </cfRule>
  </conditionalFormatting>
  <conditionalFormatting sqref="J14">
    <cfRule type="cellIs" dxfId="13412" priority="130870" stopIfTrue="1" operator="greaterThanOrEqual">
      <formula>0.5</formula>
    </cfRule>
  </conditionalFormatting>
  <conditionalFormatting sqref="J15">
    <cfRule type="cellIs" dxfId="13411" priority="130871" stopIfTrue="1" operator="equal">
      <formula>-1</formula>
    </cfRule>
  </conditionalFormatting>
  <conditionalFormatting sqref="J15">
    <cfRule type="cellIs" dxfId="13410" priority="130872" stopIfTrue="1" operator="lessThan">
      <formula>0.5</formula>
    </cfRule>
  </conditionalFormatting>
  <conditionalFormatting sqref="J15">
    <cfRule type="cellIs" dxfId="13409" priority="130873" stopIfTrue="1" operator="greaterThanOrEqual">
      <formula>0.5</formula>
    </cfRule>
  </conditionalFormatting>
  <conditionalFormatting sqref="L8">
    <cfRule type="cellIs" dxfId="13408" priority="130874" stopIfTrue="1" operator="equal">
      <formula>-1</formula>
    </cfRule>
  </conditionalFormatting>
  <conditionalFormatting sqref="L8">
    <cfRule type="cellIs" dxfId="13407" priority="130875" stopIfTrue="1" operator="lessThan">
      <formula>0.5</formula>
    </cfRule>
  </conditionalFormatting>
  <conditionalFormatting sqref="L8">
    <cfRule type="cellIs" dxfId="13406" priority="130876" stopIfTrue="1" operator="greaterThanOrEqual">
      <formula>0.5</formula>
    </cfRule>
  </conditionalFormatting>
  <conditionalFormatting sqref="L9">
    <cfRule type="cellIs" dxfId="13405" priority="130877" stopIfTrue="1" operator="equal">
      <formula>-1</formula>
    </cfRule>
  </conditionalFormatting>
  <conditionalFormatting sqref="L9">
    <cfRule type="cellIs" dxfId="13404" priority="130878" stopIfTrue="1" operator="lessThan">
      <formula>0.5</formula>
    </cfRule>
  </conditionalFormatting>
  <conditionalFormatting sqref="L9">
    <cfRule type="cellIs" dxfId="13403" priority="130879" stopIfTrue="1" operator="greaterThanOrEqual">
      <formula>0.5</formula>
    </cfRule>
  </conditionalFormatting>
  <conditionalFormatting sqref="L10">
    <cfRule type="cellIs" dxfId="13402" priority="130880" stopIfTrue="1" operator="equal">
      <formula>-1</formula>
    </cfRule>
  </conditionalFormatting>
  <conditionalFormatting sqref="L10">
    <cfRule type="cellIs" dxfId="13401" priority="130881" stopIfTrue="1" operator="lessThan">
      <formula>0.5</formula>
    </cfRule>
  </conditionalFormatting>
  <conditionalFormatting sqref="L10">
    <cfRule type="cellIs" dxfId="13400" priority="130882" stopIfTrue="1" operator="greaterThanOrEqual">
      <formula>0.5</formula>
    </cfRule>
  </conditionalFormatting>
  <conditionalFormatting sqref="L11">
    <cfRule type="cellIs" dxfId="13399" priority="130883" stopIfTrue="1" operator="equal">
      <formula>-1</formula>
    </cfRule>
  </conditionalFormatting>
  <conditionalFormatting sqref="L11">
    <cfRule type="cellIs" dxfId="13398" priority="130884" stopIfTrue="1" operator="lessThan">
      <formula>0.5</formula>
    </cfRule>
  </conditionalFormatting>
  <conditionalFormatting sqref="L11">
    <cfRule type="cellIs" dxfId="13397" priority="130885" stopIfTrue="1" operator="greaterThanOrEqual">
      <formula>0.5</formula>
    </cfRule>
  </conditionalFormatting>
  <conditionalFormatting sqref="L12">
    <cfRule type="cellIs" dxfId="13396" priority="130886" stopIfTrue="1" operator="equal">
      <formula>-1</formula>
    </cfRule>
  </conditionalFormatting>
  <conditionalFormatting sqref="L12">
    <cfRule type="cellIs" dxfId="13395" priority="130887" stopIfTrue="1" operator="lessThan">
      <formula>0.5</formula>
    </cfRule>
  </conditionalFormatting>
  <conditionalFormatting sqref="L12">
    <cfRule type="cellIs" dxfId="13394" priority="130888" stopIfTrue="1" operator="greaterThanOrEqual">
      <formula>0.5</formula>
    </cfRule>
  </conditionalFormatting>
  <conditionalFormatting sqref="L13">
    <cfRule type="cellIs" dxfId="13393" priority="130889" stopIfTrue="1" operator="equal">
      <formula>-1</formula>
    </cfRule>
  </conditionalFormatting>
  <conditionalFormatting sqref="L13">
    <cfRule type="cellIs" dxfId="13392" priority="130890" stopIfTrue="1" operator="lessThan">
      <formula>0.5</formula>
    </cfRule>
  </conditionalFormatting>
  <conditionalFormatting sqref="L13">
    <cfRule type="cellIs" dxfId="13391" priority="130891" stopIfTrue="1" operator="greaterThanOrEqual">
      <formula>0.5</formula>
    </cfRule>
  </conditionalFormatting>
  <conditionalFormatting sqref="L14">
    <cfRule type="cellIs" dxfId="13390" priority="130892" stopIfTrue="1" operator="equal">
      <formula>-1</formula>
    </cfRule>
  </conditionalFormatting>
  <conditionalFormatting sqref="L14">
    <cfRule type="cellIs" dxfId="13389" priority="130893" stopIfTrue="1" operator="lessThan">
      <formula>0.5</formula>
    </cfRule>
  </conditionalFormatting>
  <conditionalFormatting sqref="L14">
    <cfRule type="cellIs" dxfId="13388" priority="130894" stopIfTrue="1" operator="greaterThanOrEqual">
      <formula>0.5</formula>
    </cfRule>
  </conditionalFormatting>
  <conditionalFormatting sqref="L15">
    <cfRule type="cellIs" dxfId="13387" priority="130895" stopIfTrue="1" operator="equal">
      <formula>-1</formula>
    </cfRule>
  </conditionalFormatting>
  <conditionalFormatting sqref="L15">
    <cfRule type="cellIs" dxfId="13386" priority="130896" stopIfTrue="1" operator="lessThan">
      <formula>0.5</formula>
    </cfRule>
  </conditionalFormatting>
  <conditionalFormatting sqref="L15">
    <cfRule type="cellIs" dxfId="13385" priority="130897" stopIfTrue="1" operator="greaterThanOrEqual">
      <formula>0.5</formula>
    </cfRule>
  </conditionalFormatting>
  <conditionalFormatting sqref="N8">
    <cfRule type="cellIs" dxfId="13384" priority="130898" stopIfTrue="1" operator="equal">
      <formula>-1</formula>
    </cfRule>
  </conditionalFormatting>
  <conditionalFormatting sqref="N8">
    <cfRule type="cellIs" dxfId="13383" priority="130899" stopIfTrue="1" operator="lessThan">
      <formula>0.5</formula>
    </cfRule>
  </conditionalFormatting>
  <conditionalFormatting sqref="N8">
    <cfRule type="cellIs" dxfId="13382" priority="130900" stopIfTrue="1" operator="greaterThanOrEqual">
      <formula>0.5</formula>
    </cfRule>
  </conditionalFormatting>
  <conditionalFormatting sqref="N9">
    <cfRule type="cellIs" dxfId="13381" priority="130901" stopIfTrue="1" operator="equal">
      <formula>-1</formula>
    </cfRule>
  </conditionalFormatting>
  <conditionalFormatting sqref="N9">
    <cfRule type="cellIs" dxfId="13380" priority="130902" stopIfTrue="1" operator="lessThan">
      <formula>0.5</formula>
    </cfRule>
  </conditionalFormatting>
  <conditionalFormatting sqref="N9">
    <cfRule type="cellIs" dxfId="13379" priority="130903" stopIfTrue="1" operator="greaterThanOrEqual">
      <formula>0.5</formula>
    </cfRule>
  </conditionalFormatting>
  <conditionalFormatting sqref="N10">
    <cfRule type="cellIs" dxfId="13378" priority="130904" stopIfTrue="1" operator="equal">
      <formula>-1</formula>
    </cfRule>
  </conditionalFormatting>
  <conditionalFormatting sqref="N10">
    <cfRule type="cellIs" dxfId="13377" priority="130905" stopIfTrue="1" operator="lessThan">
      <formula>0.5</formula>
    </cfRule>
  </conditionalFormatting>
  <conditionalFormatting sqref="N10">
    <cfRule type="cellIs" dxfId="13376" priority="130906" stopIfTrue="1" operator="greaterThanOrEqual">
      <formula>0.5</formula>
    </cfRule>
  </conditionalFormatting>
  <conditionalFormatting sqref="N11">
    <cfRule type="cellIs" dxfId="13375" priority="130907" stopIfTrue="1" operator="equal">
      <formula>-1</formula>
    </cfRule>
  </conditionalFormatting>
  <conditionalFormatting sqref="N11">
    <cfRule type="cellIs" dxfId="13374" priority="130908" stopIfTrue="1" operator="lessThan">
      <formula>0.5</formula>
    </cfRule>
  </conditionalFormatting>
  <conditionalFormatting sqref="N11">
    <cfRule type="cellIs" dxfId="13373" priority="130909" stopIfTrue="1" operator="greaterThanOrEqual">
      <formula>0.5</formula>
    </cfRule>
  </conditionalFormatting>
  <conditionalFormatting sqref="N12">
    <cfRule type="cellIs" dxfId="13372" priority="130910" stopIfTrue="1" operator="equal">
      <formula>-1</formula>
    </cfRule>
  </conditionalFormatting>
  <conditionalFormatting sqref="N12">
    <cfRule type="cellIs" dxfId="13371" priority="130911" stopIfTrue="1" operator="lessThan">
      <formula>0.5</formula>
    </cfRule>
  </conditionalFormatting>
  <conditionalFormatting sqref="N12">
    <cfRule type="cellIs" dxfId="13370" priority="130912" stopIfTrue="1" operator="greaterThanOrEqual">
      <formula>0.5</formula>
    </cfRule>
  </conditionalFormatting>
  <conditionalFormatting sqref="N13">
    <cfRule type="cellIs" dxfId="13369" priority="130913" stopIfTrue="1" operator="equal">
      <formula>-1</formula>
    </cfRule>
  </conditionalFormatting>
  <conditionalFormatting sqref="N13">
    <cfRule type="cellIs" dxfId="13368" priority="130914" stopIfTrue="1" operator="lessThan">
      <formula>0.5</formula>
    </cfRule>
  </conditionalFormatting>
  <conditionalFormatting sqref="N13">
    <cfRule type="cellIs" dxfId="13367" priority="130915" stopIfTrue="1" operator="greaterThanOrEqual">
      <formula>0.5</formula>
    </cfRule>
  </conditionalFormatting>
  <conditionalFormatting sqref="N14">
    <cfRule type="cellIs" dxfId="13366" priority="130916" stopIfTrue="1" operator="equal">
      <formula>-1</formula>
    </cfRule>
  </conditionalFormatting>
  <conditionalFormatting sqref="N14">
    <cfRule type="cellIs" dxfId="13365" priority="130917" stopIfTrue="1" operator="lessThan">
      <formula>0.5</formula>
    </cfRule>
  </conditionalFormatting>
  <conditionalFormatting sqref="N14">
    <cfRule type="cellIs" dxfId="13364" priority="130918" stopIfTrue="1" operator="greaterThanOrEqual">
      <formula>0.5</formula>
    </cfRule>
  </conditionalFormatting>
  <conditionalFormatting sqref="N15">
    <cfRule type="cellIs" dxfId="13363" priority="130919" stopIfTrue="1" operator="equal">
      <formula>-1</formula>
    </cfRule>
  </conditionalFormatting>
  <conditionalFormatting sqref="N15">
    <cfRule type="cellIs" dxfId="13362" priority="130920" stopIfTrue="1" operator="lessThan">
      <formula>0.5</formula>
    </cfRule>
  </conditionalFormatting>
  <conditionalFormatting sqref="N15">
    <cfRule type="cellIs" dxfId="13361" priority="130921" stopIfTrue="1" operator="greaterThanOrEqual">
      <formula>0.5</formula>
    </cfRule>
  </conditionalFormatting>
  <conditionalFormatting sqref="P8">
    <cfRule type="cellIs" dxfId="13360" priority="130922" stopIfTrue="1" operator="equal">
      <formula>-1</formula>
    </cfRule>
  </conditionalFormatting>
  <conditionalFormatting sqref="P8">
    <cfRule type="cellIs" dxfId="13359" priority="130923" stopIfTrue="1" operator="lessThan">
      <formula>0.5</formula>
    </cfRule>
  </conditionalFormatting>
  <conditionalFormatting sqref="P8">
    <cfRule type="cellIs" dxfId="13358" priority="130924" stopIfTrue="1" operator="greaterThanOrEqual">
      <formula>0.5</formula>
    </cfRule>
  </conditionalFormatting>
  <conditionalFormatting sqref="P9">
    <cfRule type="cellIs" dxfId="13357" priority="130925" stopIfTrue="1" operator="equal">
      <formula>-1</formula>
    </cfRule>
  </conditionalFormatting>
  <conditionalFormatting sqref="P9">
    <cfRule type="cellIs" dxfId="13356" priority="130926" stopIfTrue="1" operator="lessThan">
      <formula>0.5</formula>
    </cfRule>
  </conditionalFormatting>
  <conditionalFormatting sqref="P9">
    <cfRule type="cellIs" dxfId="13355" priority="130927" stopIfTrue="1" operator="greaterThanOrEqual">
      <formula>0.5</formula>
    </cfRule>
  </conditionalFormatting>
  <conditionalFormatting sqref="P10">
    <cfRule type="cellIs" dxfId="13354" priority="130928" stopIfTrue="1" operator="equal">
      <formula>-1</formula>
    </cfRule>
  </conditionalFormatting>
  <conditionalFormatting sqref="P10">
    <cfRule type="cellIs" dxfId="13353" priority="130929" stopIfTrue="1" operator="lessThan">
      <formula>0.5</formula>
    </cfRule>
  </conditionalFormatting>
  <conditionalFormatting sqref="P10">
    <cfRule type="cellIs" dxfId="13352" priority="130930" stopIfTrue="1" operator="greaterThanOrEqual">
      <formula>0.5</formula>
    </cfRule>
  </conditionalFormatting>
  <conditionalFormatting sqref="P11">
    <cfRule type="cellIs" dxfId="13351" priority="130931" stopIfTrue="1" operator="equal">
      <formula>-1</formula>
    </cfRule>
  </conditionalFormatting>
  <conditionalFormatting sqref="P11">
    <cfRule type="cellIs" dxfId="13350" priority="130932" stopIfTrue="1" operator="lessThan">
      <formula>0.5</formula>
    </cfRule>
  </conditionalFormatting>
  <conditionalFormatting sqref="P11">
    <cfRule type="cellIs" dxfId="13349" priority="130933" stopIfTrue="1" operator="greaterThanOrEqual">
      <formula>0.5</formula>
    </cfRule>
  </conditionalFormatting>
  <conditionalFormatting sqref="P12">
    <cfRule type="cellIs" dxfId="13348" priority="130934" stopIfTrue="1" operator="equal">
      <formula>-1</formula>
    </cfRule>
  </conditionalFormatting>
  <conditionalFormatting sqref="P12">
    <cfRule type="cellIs" dxfId="13347" priority="130935" stopIfTrue="1" operator="lessThan">
      <formula>0.5</formula>
    </cfRule>
  </conditionalFormatting>
  <conditionalFormatting sqref="P12">
    <cfRule type="cellIs" dxfId="13346" priority="130936" stopIfTrue="1" operator="greaterThanOrEqual">
      <formula>0.5</formula>
    </cfRule>
  </conditionalFormatting>
  <conditionalFormatting sqref="P13">
    <cfRule type="cellIs" dxfId="13345" priority="130937" stopIfTrue="1" operator="equal">
      <formula>-1</formula>
    </cfRule>
  </conditionalFormatting>
  <conditionalFormatting sqref="P13">
    <cfRule type="cellIs" dxfId="13344" priority="130938" stopIfTrue="1" operator="lessThan">
      <formula>0.5</formula>
    </cfRule>
  </conditionalFormatting>
  <conditionalFormatting sqref="P13">
    <cfRule type="cellIs" dxfId="13343" priority="130939" stopIfTrue="1" operator="greaterThanOrEqual">
      <formula>0.5</formula>
    </cfRule>
  </conditionalFormatting>
  <conditionalFormatting sqref="P14">
    <cfRule type="cellIs" dxfId="13342" priority="130940" stopIfTrue="1" operator="equal">
      <formula>-1</formula>
    </cfRule>
  </conditionalFormatting>
  <conditionalFormatting sqref="P14">
    <cfRule type="cellIs" dxfId="13341" priority="130941" stopIfTrue="1" operator="lessThan">
      <formula>0.5</formula>
    </cfRule>
  </conditionalFormatting>
  <conditionalFormatting sqref="P14">
    <cfRule type="cellIs" dxfId="13340" priority="130942" stopIfTrue="1" operator="greaterThanOrEqual">
      <formula>0.5</formula>
    </cfRule>
  </conditionalFormatting>
  <conditionalFormatting sqref="P15">
    <cfRule type="cellIs" dxfId="13339" priority="130943" stopIfTrue="1" operator="equal">
      <formula>-1</formula>
    </cfRule>
  </conditionalFormatting>
  <conditionalFormatting sqref="P15">
    <cfRule type="cellIs" dxfId="13338" priority="130944" stopIfTrue="1" operator="lessThan">
      <formula>0.5</formula>
    </cfRule>
  </conditionalFormatting>
  <conditionalFormatting sqref="P15">
    <cfRule type="cellIs" dxfId="13337" priority="130945" stopIfTrue="1" operator="greaterThanOrEqual">
      <formula>0.5</formula>
    </cfRule>
  </conditionalFormatting>
  <conditionalFormatting sqref="R8">
    <cfRule type="cellIs" dxfId="13336" priority="130946" stopIfTrue="1" operator="equal">
      <formula>-1</formula>
    </cfRule>
  </conditionalFormatting>
  <conditionalFormatting sqref="R8">
    <cfRule type="cellIs" dxfId="13335" priority="130947" stopIfTrue="1" operator="lessThan">
      <formula>0.5</formula>
    </cfRule>
  </conditionalFormatting>
  <conditionalFormatting sqref="R8">
    <cfRule type="cellIs" dxfId="13334" priority="130948" stopIfTrue="1" operator="greaterThanOrEqual">
      <formula>0.5</formula>
    </cfRule>
  </conditionalFormatting>
  <conditionalFormatting sqref="R9">
    <cfRule type="cellIs" dxfId="13333" priority="130949" stopIfTrue="1" operator="equal">
      <formula>-1</formula>
    </cfRule>
  </conditionalFormatting>
  <conditionalFormatting sqref="R9">
    <cfRule type="cellIs" dxfId="13332" priority="130950" stopIfTrue="1" operator="lessThan">
      <formula>0.5</formula>
    </cfRule>
  </conditionalFormatting>
  <conditionalFormatting sqref="R9">
    <cfRule type="cellIs" dxfId="13331" priority="130951" stopIfTrue="1" operator="greaterThanOrEqual">
      <formula>0.5</formula>
    </cfRule>
  </conditionalFormatting>
  <conditionalFormatting sqref="R10">
    <cfRule type="cellIs" dxfId="13330" priority="130952" stopIfTrue="1" operator="equal">
      <formula>-1</formula>
    </cfRule>
  </conditionalFormatting>
  <conditionalFormatting sqref="R10">
    <cfRule type="cellIs" dxfId="13329" priority="130953" stopIfTrue="1" operator="lessThan">
      <formula>0.5</formula>
    </cfRule>
  </conditionalFormatting>
  <conditionalFormatting sqref="R10">
    <cfRule type="cellIs" dxfId="13328" priority="130954" stopIfTrue="1" operator="greaterThanOrEqual">
      <formula>0.5</formula>
    </cfRule>
  </conditionalFormatting>
  <conditionalFormatting sqref="R11">
    <cfRule type="cellIs" dxfId="13327" priority="130955" stopIfTrue="1" operator="equal">
      <formula>-1</formula>
    </cfRule>
  </conditionalFormatting>
  <conditionalFormatting sqref="R11">
    <cfRule type="cellIs" dxfId="13326" priority="130956" stopIfTrue="1" operator="lessThan">
      <formula>0.5</formula>
    </cfRule>
  </conditionalFormatting>
  <conditionalFormatting sqref="R11">
    <cfRule type="cellIs" dxfId="13325" priority="130957" stopIfTrue="1" operator="greaterThanOrEqual">
      <formula>0.5</formula>
    </cfRule>
  </conditionalFormatting>
  <conditionalFormatting sqref="R12">
    <cfRule type="cellIs" dxfId="13324" priority="130958" stopIfTrue="1" operator="equal">
      <formula>-1</formula>
    </cfRule>
  </conditionalFormatting>
  <conditionalFormatting sqref="R12">
    <cfRule type="cellIs" dxfId="13323" priority="130959" stopIfTrue="1" operator="lessThan">
      <formula>0.5</formula>
    </cfRule>
  </conditionalFormatting>
  <conditionalFormatting sqref="R12">
    <cfRule type="cellIs" dxfId="13322" priority="130960" stopIfTrue="1" operator="greaterThanOrEqual">
      <formula>0.5</formula>
    </cfRule>
  </conditionalFormatting>
  <conditionalFormatting sqref="R13">
    <cfRule type="cellIs" dxfId="13321" priority="130961" stopIfTrue="1" operator="equal">
      <formula>-1</formula>
    </cfRule>
  </conditionalFormatting>
  <conditionalFormatting sqref="R13">
    <cfRule type="cellIs" dxfId="13320" priority="130962" stopIfTrue="1" operator="lessThan">
      <formula>0.5</formula>
    </cfRule>
  </conditionalFormatting>
  <conditionalFormatting sqref="R13">
    <cfRule type="cellIs" dxfId="13319" priority="130963" stopIfTrue="1" operator="greaterThanOrEqual">
      <formula>0.5</formula>
    </cfRule>
  </conditionalFormatting>
  <conditionalFormatting sqref="R14">
    <cfRule type="cellIs" dxfId="13318" priority="130964" stopIfTrue="1" operator="equal">
      <formula>-1</formula>
    </cfRule>
  </conditionalFormatting>
  <conditionalFormatting sqref="R14">
    <cfRule type="cellIs" dxfId="13317" priority="130965" stopIfTrue="1" operator="lessThan">
      <formula>0.5</formula>
    </cfRule>
  </conditionalFormatting>
  <conditionalFormatting sqref="R14">
    <cfRule type="cellIs" dxfId="13316" priority="130966" stopIfTrue="1" operator="greaterThanOrEqual">
      <formula>0.5</formula>
    </cfRule>
  </conditionalFormatting>
  <conditionalFormatting sqref="R15">
    <cfRule type="cellIs" dxfId="13315" priority="130967" stopIfTrue="1" operator="equal">
      <formula>-1</formula>
    </cfRule>
  </conditionalFormatting>
  <conditionalFormatting sqref="R15">
    <cfRule type="cellIs" dxfId="13314" priority="130968" stopIfTrue="1" operator="lessThan">
      <formula>0.5</formula>
    </cfRule>
  </conditionalFormatting>
  <conditionalFormatting sqref="R15">
    <cfRule type="cellIs" dxfId="13313" priority="130969" stopIfTrue="1" operator="greaterThanOrEqual">
      <formula>0.5</formula>
    </cfRule>
  </conditionalFormatting>
  <conditionalFormatting sqref="T8">
    <cfRule type="cellIs" dxfId="13312" priority="130970" stopIfTrue="1" operator="equal">
      <formula>-1</formula>
    </cfRule>
  </conditionalFormatting>
  <conditionalFormatting sqref="T8">
    <cfRule type="cellIs" dxfId="13311" priority="130971" stopIfTrue="1" operator="lessThan">
      <formula>0.5</formula>
    </cfRule>
  </conditionalFormatting>
  <conditionalFormatting sqref="T8">
    <cfRule type="cellIs" dxfId="13310" priority="130972" stopIfTrue="1" operator="greaterThanOrEqual">
      <formula>0.5</formula>
    </cfRule>
  </conditionalFormatting>
  <conditionalFormatting sqref="T9">
    <cfRule type="cellIs" dxfId="13309" priority="130973" stopIfTrue="1" operator="equal">
      <formula>-1</formula>
    </cfRule>
  </conditionalFormatting>
  <conditionalFormatting sqref="T9">
    <cfRule type="cellIs" dxfId="13308" priority="130974" stopIfTrue="1" operator="lessThan">
      <formula>0.5</formula>
    </cfRule>
  </conditionalFormatting>
  <conditionalFormatting sqref="T9">
    <cfRule type="cellIs" dxfId="13307" priority="130975" stopIfTrue="1" operator="greaterThanOrEqual">
      <formula>0.5</formula>
    </cfRule>
  </conditionalFormatting>
  <conditionalFormatting sqref="T10">
    <cfRule type="cellIs" dxfId="13306" priority="130976" stopIfTrue="1" operator="equal">
      <formula>-1</formula>
    </cfRule>
  </conditionalFormatting>
  <conditionalFormatting sqref="T10">
    <cfRule type="cellIs" dxfId="13305" priority="130977" stopIfTrue="1" operator="lessThan">
      <formula>0.5</formula>
    </cfRule>
  </conditionalFormatting>
  <conditionalFormatting sqref="T10">
    <cfRule type="cellIs" dxfId="13304" priority="130978" stopIfTrue="1" operator="greaterThanOrEqual">
      <formula>0.5</formula>
    </cfRule>
  </conditionalFormatting>
  <conditionalFormatting sqref="T11">
    <cfRule type="cellIs" dxfId="13303" priority="130979" stopIfTrue="1" operator="equal">
      <formula>-1</formula>
    </cfRule>
  </conditionalFormatting>
  <conditionalFormatting sqref="T11">
    <cfRule type="cellIs" dxfId="13302" priority="130980" stopIfTrue="1" operator="lessThan">
      <formula>0.5</formula>
    </cfRule>
  </conditionalFormatting>
  <conditionalFormatting sqref="T11">
    <cfRule type="cellIs" dxfId="13301" priority="130981" stopIfTrue="1" operator="greaterThanOrEqual">
      <formula>0.5</formula>
    </cfRule>
  </conditionalFormatting>
  <conditionalFormatting sqref="T12">
    <cfRule type="cellIs" dxfId="13300" priority="130982" stopIfTrue="1" operator="equal">
      <formula>-1</formula>
    </cfRule>
  </conditionalFormatting>
  <conditionalFormatting sqref="T12">
    <cfRule type="cellIs" dxfId="13299" priority="130983" stopIfTrue="1" operator="lessThan">
      <formula>0.5</formula>
    </cfRule>
  </conditionalFormatting>
  <conditionalFormatting sqref="T12">
    <cfRule type="cellIs" dxfId="13298" priority="130984" stopIfTrue="1" operator="greaterThanOrEqual">
      <formula>0.5</formula>
    </cfRule>
  </conditionalFormatting>
  <conditionalFormatting sqref="T13">
    <cfRule type="cellIs" dxfId="13297" priority="130985" stopIfTrue="1" operator="equal">
      <formula>-1</formula>
    </cfRule>
  </conditionalFormatting>
  <conditionalFormatting sqref="T13">
    <cfRule type="cellIs" dxfId="13296" priority="130986" stopIfTrue="1" operator="lessThan">
      <formula>0.5</formula>
    </cfRule>
  </conditionalFormatting>
  <conditionalFormatting sqref="T13">
    <cfRule type="cellIs" dxfId="13295" priority="130987" stopIfTrue="1" operator="greaterThanOrEqual">
      <formula>0.5</formula>
    </cfRule>
  </conditionalFormatting>
  <conditionalFormatting sqref="T14">
    <cfRule type="cellIs" dxfId="13294" priority="130988" stopIfTrue="1" operator="equal">
      <formula>-1</formula>
    </cfRule>
  </conditionalFormatting>
  <conditionalFormatting sqref="T14">
    <cfRule type="cellIs" dxfId="13293" priority="130989" stopIfTrue="1" operator="lessThan">
      <formula>0.5</formula>
    </cfRule>
  </conditionalFormatting>
  <conditionalFormatting sqref="T14">
    <cfRule type="cellIs" dxfId="13292" priority="130990" stopIfTrue="1" operator="greaterThanOrEqual">
      <formula>0.5</formula>
    </cfRule>
  </conditionalFormatting>
  <conditionalFormatting sqref="T15">
    <cfRule type="cellIs" dxfId="13291" priority="130991" stopIfTrue="1" operator="equal">
      <formula>-1</formula>
    </cfRule>
  </conditionalFormatting>
  <conditionalFormatting sqref="T15">
    <cfRule type="cellIs" dxfId="13290" priority="130992" stopIfTrue="1" operator="lessThan">
      <formula>0.5</formula>
    </cfRule>
  </conditionalFormatting>
  <conditionalFormatting sqref="T15">
    <cfRule type="cellIs" dxfId="13289" priority="130993" stopIfTrue="1" operator="greaterThanOrEqual">
      <formula>0.5</formula>
    </cfRule>
  </conditionalFormatting>
  <conditionalFormatting sqref="V8">
    <cfRule type="cellIs" dxfId="13288" priority="130994" stopIfTrue="1" operator="equal">
      <formula>-1</formula>
    </cfRule>
  </conditionalFormatting>
  <conditionalFormatting sqref="V8">
    <cfRule type="cellIs" dxfId="13287" priority="130995" stopIfTrue="1" operator="lessThan">
      <formula>0.5</formula>
    </cfRule>
  </conditionalFormatting>
  <conditionalFormatting sqref="V8">
    <cfRule type="cellIs" dxfId="13286" priority="130996" stopIfTrue="1" operator="greaterThanOrEqual">
      <formula>0.5</formula>
    </cfRule>
  </conditionalFormatting>
  <conditionalFormatting sqref="V9">
    <cfRule type="cellIs" dxfId="13285" priority="130997" stopIfTrue="1" operator="equal">
      <formula>-1</formula>
    </cfRule>
  </conditionalFormatting>
  <conditionalFormatting sqref="V9">
    <cfRule type="cellIs" dxfId="13284" priority="130998" stopIfTrue="1" operator="lessThan">
      <formula>0.5</formula>
    </cfRule>
  </conditionalFormatting>
  <conditionalFormatting sqref="V9">
    <cfRule type="cellIs" dxfId="13283" priority="130999" stopIfTrue="1" operator="greaterThanOrEqual">
      <formula>0.5</formula>
    </cfRule>
  </conditionalFormatting>
  <conditionalFormatting sqref="V10">
    <cfRule type="cellIs" dxfId="13282" priority="131000" stopIfTrue="1" operator="equal">
      <formula>-1</formula>
    </cfRule>
  </conditionalFormatting>
  <conditionalFormatting sqref="V10">
    <cfRule type="cellIs" dxfId="13281" priority="131001" stopIfTrue="1" operator="lessThan">
      <formula>0.5</formula>
    </cfRule>
  </conditionalFormatting>
  <conditionalFormatting sqref="V10">
    <cfRule type="cellIs" dxfId="13280" priority="131002" stopIfTrue="1" operator="greaterThanOrEqual">
      <formula>0.5</formula>
    </cfRule>
  </conditionalFormatting>
  <conditionalFormatting sqref="V11">
    <cfRule type="cellIs" dxfId="13279" priority="131003" stopIfTrue="1" operator="equal">
      <formula>-1</formula>
    </cfRule>
  </conditionalFormatting>
  <conditionalFormatting sqref="V11">
    <cfRule type="cellIs" dxfId="13278" priority="131004" stopIfTrue="1" operator="lessThan">
      <formula>0.5</formula>
    </cfRule>
  </conditionalFormatting>
  <conditionalFormatting sqref="V11">
    <cfRule type="cellIs" dxfId="13277" priority="131005" stopIfTrue="1" operator="greaterThanOrEqual">
      <formula>0.5</formula>
    </cfRule>
  </conditionalFormatting>
  <conditionalFormatting sqref="V12">
    <cfRule type="cellIs" dxfId="13276" priority="131006" stopIfTrue="1" operator="equal">
      <formula>-1</formula>
    </cfRule>
  </conditionalFormatting>
  <conditionalFormatting sqref="V12">
    <cfRule type="cellIs" dxfId="13275" priority="131007" stopIfTrue="1" operator="lessThan">
      <formula>0.5</formula>
    </cfRule>
  </conditionalFormatting>
  <conditionalFormatting sqref="V12">
    <cfRule type="cellIs" dxfId="13274" priority="131008" stopIfTrue="1" operator="greaterThanOrEqual">
      <formula>0.5</formula>
    </cfRule>
  </conditionalFormatting>
  <conditionalFormatting sqref="V13">
    <cfRule type="cellIs" dxfId="13273" priority="131009" stopIfTrue="1" operator="equal">
      <formula>-1</formula>
    </cfRule>
  </conditionalFormatting>
  <conditionalFormatting sqref="V13">
    <cfRule type="cellIs" dxfId="13272" priority="131010" stopIfTrue="1" operator="lessThan">
      <formula>0.5</formula>
    </cfRule>
  </conditionalFormatting>
  <conditionalFormatting sqref="V13">
    <cfRule type="cellIs" dxfId="13271" priority="131011" stopIfTrue="1" operator="greaterThanOrEqual">
      <formula>0.5</formula>
    </cfRule>
  </conditionalFormatting>
  <conditionalFormatting sqref="V14">
    <cfRule type="cellIs" dxfId="13270" priority="131012" stopIfTrue="1" operator="equal">
      <formula>-1</formula>
    </cfRule>
  </conditionalFormatting>
  <conditionalFormatting sqref="V14">
    <cfRule type="cellIs" dxfId="13269" priority="131013" stopIfTrue="1" operator="lessThan">
      <formula>0.5</formula>
    </cfRule>
  </conditionalFormatting>
  <conditionalFormatting sqref="V14">
    <cfRule type="cellIs" dxfId="13268" priority="131014" stopIfTrue="1" operator="greaterThanOrEqual">
      <formula>0.5</formula>
    </cfRule>
  </conditionalFormatting>
  <conditionalFormatting sqref="V15">
    <cfRule type="cellIs" dxfId="13267" priority="131015" stopIfTrue="1" operator="equal">
      <formula>-1</formula>
    </cfRule>
  </conditionalFormatting>
  <conditionalFormatting sqref="V15">
    <cfRule type="cellIs" dxfId="13266" priority="131016" stopIfTrue="1" operator="lessThan">
      <formula>0.5</formula>
    </cfRule>
  </conditionalFormatting>
  <conditionalFormatting sqref="V15">
    <cfRule type="cellIs" dxfId="13265" priority="131017" stopIfTrue="1" operator="greaterThanOrEqual">
      <formula>0.5</formula>
    </cfRule>
  </conditionalFormatting>
  <conditionalFormatting sqref="X8">
    <cfRule type="cellIs" dxfId="13264" priority="131018" stopIfTrue="1" operator="equal">
      <formula>-1</formula>
    </cfRule>
  </conditionalFormatting>
  <conditionalFormatting sqref="X8">
    <cfRule type="cellIs" dxfId="13263" priority="131019" stopIfTrue="1" operator="lessThan">
      <formula>0.5</formula>
    </cfRule>
  </conditionalFormatting>
  <conditionalFormatting sqref="X8">
    <cfRule type="cellIs" dxfId="13262" priority="131020" stopIfTrue="1" operator="greaterThanOrEqual">
      <formula>0.5</formula>
    </cfRule>
  </conditionalFormatting>
  <conditionalFormatting sqref="X9">
    <cfRule type="cellIs" dxfId="13261" priority="131021" stopIfTrue="1" operator="equal">
      <formula>-1</formula>
    </cfRule>
  </conditionalFormatting>
  <conditionalFormatting sqref="X9">
    <cfRule type="cellIs" dxfId="13260" priority="131022" stopIfTrue="1" operator="lessThan">
      <formula>0.5</formula>
    </cfRule>
  </conditionalFormatting>
  <conditionalFormatting sqref="X9">
    <cfRule type="cellIs" dxfId="13259" priority="131023" stopIfTrue="1" operator="greaterThanOrEqual">
      <formula>0.5</formula>
    </cfRule>
  </conditionalFormatting>
  <conditionalFormatting sqref="X10">
    <cfRule type="cellIs" dxfId="13258" priority="131024" stopIfTrue="1" operator="equal">
      <formula>-1</formula>
    </cfRule>
  </conditionalFormatting>
  <conditionalFormatting sqref="X10">
    <cfRule type="cellIs" dxfId="13257" priority="131025" stopIfTrue="1" operator="lessThan">
      <formula>0.5</formula>
    </cfRule>
  </conditionalFormatting>
  <conditionalFormatting sqref="X10">
    <cfRule type="cellIs" dxfId="13256" priority="131026" stopIfTrue="1" operator="greaterThanOrEqual">
      <formula>0.5</formula>
    </cfRule>
  </conditionalFormatting>
  <conditionalFormatting sqref="X11">
    <cfRule type="cellIs" dxfId="13255" priority="131027" stopIfTrue="1" operator="equal">
      <formula>-1</formula>
    </cfRule>
  </conditionalFormatting>
  <conditionalFormatting sqref="X11">
    <cfRule type="cellIs" dxfId="13254" priority="131028" stopIfTrue="1" operator="lessThan">
      <formula>0.5</formula>
    </cfRule>
  </conditionalFormatting>
  <conditionalFormatting sqref="X11">
    <cfRule type="cellIs" dxfId="13253" priority="131029" stopIfTrue="1" operator="greaterThanOrEqual">
      <formula>0.5</formula>
    </cfRule>
  </conditionalFormatting>
  <conditionalFormatting sqref="X12">
    <cfRule type="cellIs" dxfId="13252" priority="131030" stopIfTrue="1" operator="equal">
      <formula>-1</formula>
    </cfRule>
  </conditionalFormatting>
  <conditionalFormatting sqref="X12">
    <cfRule type="cellIs" dxfId="13251" priority="131031" stopIfTrue="1" operator="lessThan">
      <formula>0.5</formula>
    </cfRule>
  </conditionalFormatting>
  <conditionalFormatting sqref="X12">
    <cfRule type="cellIs" dxfId="13250" priority="131032" stopIfTrue="1" operator="greaterThanOrEqual">
      <formula>0.5</formula>
    </cfRule>
  </conditionalFormatting>
  <conditionalFormatting sqref="X13">
    <cfRule type="cellIs" dxfId="13249" priority="131033" stopIfTrue="1" operator="equal">
      <formula>-1</formula>
    </cfRule>
  </conditionalFormatting>
  <conditionalFormatting sqref="X13">
    <cfRule type="cellIs" dxfId="13248" priority="131034" stopIfTrue="1" operator="lessThan">
      <formula>0.5</formula>
    </cfRule>
  </conditionalFormatting>
  <conditionalFormatting sqref="X13">
    <cfRule type="cellIs" dxfId="13247" priority="131035" stopIfTrue="1" operator="greaterThanOrEqual">
      <formula>0.5</formula>
    </cfRule>
  </conditionalFormatting>
  <conditionalFormatting sqref="X14">
    <cfRule type="cellIs" dxfId="13246" priority="131036" stopIfTrue="1" operator="equal">
      <formula>-1</formula>
    </cfRule>
  </conditionalFormatting>
  <conditionalFormatting sqref="X14">
    <cfRule type="cellIs" dxfId="13245" priority="131037" stopIfTrue="1" operator="lessThan">
      <formula>0.5</formula>
    </cfRule>
  </conditionalFormatting>
  <conditionalFormatting sqref="X14">
    <cfRule type="cellIs" dxfId="13244" priority="131038" stopIfTrue="1" operator="greaterThanOrEqual">
      <formula>0.5</formula>
    </cfRule>
  </conditionalFormatting>
  <conditionalFormatting sqref="X15">
    <cfRule type="cellIs" dxfId="13243" priority="131039" stopIfTrue="1" operator="equal">
      <formula>-1</formula>
    </cfRule>
  </conditionalFormatting>
  <conditionalFormatting sqref="X15">
    <cfRule type="cellIs" dxfId="13242" priority="131040" stopIfTrue="1" operator="lessThan">
      <formula>0.5</formula>
    </cfRule>
  </conditionalFormatting>
  <conditionalFormatting sqref="X15">
    <cfRule type="cellIs" dxfId="13241" priority="131041" stopIfTrue="1" operator="greaterThanOrEqual">
      <formula>0.5</formula>
    </cfRule>
  </conditionalFormatting>
  <conditionalFormatting sqref="Z8">
    <cfRule type="cellIs" dxfId="13240" priority="131042" stopIfTrue="1" operator="equal">
      <formula>-1</formula>
    </cfRule>
  </conditionalFormatting>
  <conditionalFormatting sqref="Z8">
    <cfRule type="cellIs" dxfId="13239" priority="131043" stopIfTrue="1" operator="lessThan">
      <formula>0.5</formula>
    </cfRule>
  </conditionalFormatting>
  <conditionalFormatting sqref="Z8">
    <cfRule type="cellIs" dxfId="13238" priority="131044" stopIfTrue="1" operator="greaterThanOrEqual">
      <formula>0.5</formula>
    </cfRule>
  </conditionalFormatting>
  <conditionalFormatting sqref="Z9">
    <cfRule type="cellIs" dxfId="13237" priority="131045" stopIfTrue="1" operator="equal">
      <formula>-1</formula>
    </cfRule>
  </conditionalFormatting>
  <conditionalFormatting sqref="Z9">
    <cfRule type="cellIs" dxfId="13236" priority="131046" stopIfTrue="1" operator="lessThan">
      <formula>0.5</formula>
    </cfRule>
  </conditionalFormatting>
  <conditionalFormatting sqref="Z9">
    <cfRule type="cellIs" dxfId="13235" priority="131047" stopIfTrue="1" operator="greaterThanOrEqual">
      <formula>0.5</formula>
    </cfRule>
  </conditionalFormatting>
  <conditionalFormatting sqref="Z10">
    <cfRule type="cellIs" dxfId="13234" priority="131048" stopIfTrue="1" operator="equal">
      <formula>-1</formula>
    </cfRule>
  </conditionalFormatting>
  <conditionalFormatting sqref="Z10">
    <cfRule type="cellIs" dxfId="13233" priority="131049" stopIfTrue="1" operator="lessThan">
      <formula>0.5</formula>
    </cfRule>
  </conditionalFormatting>
  <conditionalFormatting sqref="Z10">
    <cfRule type="cellIs" dxfId="13232" priority="131050" stopIfTrue="1" operator="greaterThanOrEqual">
      <formula>0.5</formula>
    </cfRule>
  </conditionalFormatting>
  <conditionalFormatting sqref="Z11">
    <cfRule type="cellIs" dxfId="13231" priority="131051" stopIfTrue="1" operator="equal">
      <formula>-1</formula>
    </cfRule>
  </conditionalFormatting>
  <conditionalFormatting sqref="Z11">
    <cfRule type="cellIs" dxfId="13230" priority="131052" stopIfTrue="1" operator="lessThan">
      <formula>0.5</formula>
    </cfRule>
  </conditionalFormatting>
  <conditionalFormatting sqref="Z11">
    <cfRule type="cellIs" dxfId="13229" priority="131053" stopIfTrue="1" operator="greaterThanOrEqual">
      <formula>0.5</formula>
    </cfRule>
  </conditionalFormatting>
  <conditionalFormatting sqref="Z12">
    <cfRule type="cellIs" dxfId="13228" priority="131054" stopIfTrue="1" operator="equal">
      <formula>-1</formula>
    </cfRule>
  </conditionalFormatting>
  <conditionalFormatting sqref="Z12">
    <cfRule type="cellIs" dxfId="13227" priority="131055" stopIfTrue="1" operator="lessThan">
      <formula>0.5</formula>
    </cfRule>
  </conditionalFormatting>
  <conditionalFormatting sqref="Z12">
    <cfRule type="cellIs" dxfId="13226" priority="131056" stopIfTrue="1" operator="greaterThanOrEqual">
      <formula>0.5</formula>
    </cfRule>
  </conditionalFormatting>
  <conditionalFormatting sqref="Z13">
    <cfRule type="cellIs" dxfId="13225" priority="131057" stopIfTrue="1" operator="equal">
      <formula>-1</formula>
    </cfRule>
  </conditionalFormatting>
  <conditionalFormatting sqref="Z13">
    <cfRule type="cellIs" dxfId="13224" priority="131058" stopIfTrue="1" operator="lessThan">
      <formula>0.5</formula>
    </cfRule>
  </conditionalFormatting>
  <conditionalFormatting sqref="Z13">
    <cfRule type="cellIs" dxfId="13223" priority="131059" stopIfTrue="1" operator="greaterThanOrEqual">
      <formula>0.5</formula>
    </cfRule>
  </conditionalFormatting>
  <conditionalFormatting sqref="Z14">
    <cfRule type="cellIs" dxfId="13222" priority="131060" stopIfTrue="1" operator="equal">
      <formula>-1</formula>
    </cfRule>
  </conditionalFormatting>
  <conditionalFormatting sqref="Z14">
    <cfRule type="cellIs" dxfId="13221" priority="131061" stopIfTrue="1" operator="lessThan">
      <formula>0.5</formula>
    </cfRule>
  </conditionalFormatting>
  <conditionalFormatting sqref="Z14">
    <cfRule type="cellIs" dxfId="13220" priority="131062" stopIfTrue="1" operator="greaterThanOrEqual">
      <formula>0.5</formula>
    </cfRule>
  </conditionalFormatting>
  <conditionalFormatting sqref="Z15">
    <cfRule type="cellIs" dxfId="13219" priority="131063" stopIfTrue="1" operator="equal">
      <formula>-1</formula>
    </cfRule>
  </conditionalFormatting>
  <conditionalFormatting sqref="Z15">
    <cfRule type="cellIs" dxfId="13218" priority="131064" stopIfTrue="1" operator="lessThan">
      <formula>0.5</formula>
    </cfRule>
  </conditionalFormatting>
  <conditionalFormatting sqref="Z15">
    <cfRule type="cellIs" dxfId="13217" priority="131065" stopIfTrue="1" operator="greaterThanOrEqual">
      <formula>0.5</formula>
    </cfRule>
  </conditionalFormatting>
  <conditionalFormatting sqref="AB8">
    <cfRule type="cellIs" dxfId="13216" priority="131066" stopIfTrue="1" operator="equal">
      <formula>-1</formula>
    </cfRule>
  </conditionalFormatting>
  <conditionalFormatting sqref="AB8">
    <cfRule type="cellIs" dxfId="13215" priority="131067" stopIfTrue="1" operator="lessThan">
      <formula>0.5</formula>
    </cfRule>
  </conditionalFormatting>
  <conditionalFormatting sqref="AB8">
    <cfRule type="cellIs" dxfId="13214" priority="131068" stopIfTrue="1" operator="greaterThanOrEqual">
      <formula>0.5</formula>
    </cfRule>
  </conditionalFormatting>
  <conditionalFormatting sqref="AB9">
    <cfRule type="cellIs" dxfId="13213" priority="131069" stopIfTrue="1" operator="equal">
      <formula>-1</formula>
    </cfRule>
  </conditionalFormatting>
  <conditionalFormatting sqref="AB9">
    <cfRule type="cellIs" dxfId="13212" priority="131070" stopIfTrue="1" operator="lessThan">
      <formula>0.5</formula>
    </cfRule>
  </conditionalFormatting>
  <conditionalFormatting sqref="AB9">
    <cfRule type="cellIs" dxfId="13211" priority="131071" stopIfTrue="1" operator="greaterThanOrEqual">
      <formula>0.5</formula>
    </cfRule>
  </conditionalFormatting>
  <conditionalFormatting sqref="AB10">
    <cfRule type="cellIs" dxfId="13210" priority="131072" stopIfTrue="1" operator="equal">
      <formula>-1</formula>
    </cfRule>
  </conditionalFormatting>
  <conditionalFormatting sqref="AB10">
    <cfRule type="cellIs" dxfId="13209" priority="131073" stopIfTrue="1" operator="lessThan">
      <formula>0.5</formula>
    </cfRule>
  </conditionalFormatting>
  <conditionalFormatting sqref="AB10">
    <cfRule type="cellIs" dxfId="13208" priority="131074" stopIfTrue="1" operator="greaterThanOrEqual">
      <formula>0.5</formula>
    </cfRule>
  </conditionalFormatting>
  <conditionalFormatting sqref="AB11">
    <cfRule type="cellIs" dxfId="13207" priority="131075" stopIfTrue="1" operator="equal">
      <formula>-1</formula>
    </cfRule>
  </conditionalFormatting>
  <conditionalFormatting sqref="AB11">
    <cfRule type="cellIs" dxfId="13206" priority="131076" stopIfTrue="1" operator="lessThan">
      <formula>0.5</formula>
    </cfRule>
  </conditionalFormatting>
  <conditionalFormatting sqref="AB11">
    <cfRule type="cellIs" dxfId="13205" priority="131077" stopIfTrue="1" operator="greaterThanOrEqual">
      <formula>0.5</formula>
    </cfRule>
  </conditionalFormatting>
  <conditionalFormatting sqref="AB12">
    <cfRule type="cellIs" dxfId="13204" priority="131078" stopIfTrue="1" operator="equal">
      <formula>-1</formula>
    </cfRule>
  </conditionalFormatting>
  <conditionalFormatting sqref="AB12">
    <cfRule type="cellIs" dxfId="13203" priority="131079" stopIfTrue="1" operator="lessThan">
      <formula>0.5</formula>
    </cfRule>
  </conditionalFormatting>
  <conditionalFormatting sqref="AB12">
    <cfRule type="cellIs" dxfId="13202" priority="131080" stopIfTrue="1" operator="greaterThanOrEqual">
      <formula>0.5</formula>
    </cfRule>
  </conditionalFormatting>
  <conditionalFormatting sqref="AB13">
    <cfRule type="cellIs" dxfId="13201" priority="131081" stopIfTrue="1" operator="equal">
      <formula>-1</formula>
    </cfRule>
  </conditionalFormatting>
  <conditionalFormatting sqref="AB13">
    <cfRule type="cellIs" dxfId="13200" priority="131082" stopIfTrue="1" operator="lessThan">
      <formula>0.5</formula>
    </cfRule>
  </conditionalFormatting>
  <conditionalFormatting sqref="AB13">
    <cfRule type="cellIs" dxfId="13199" priority="131083" stopIfTrue="1" operator="greaterThanOrEqual">
      <formula>0.5</formula>
    </cfRule>
  </conditionalFormatting>
  <conditionalFormatting sqref="AB14">
    <cfRule type="cellIs" dxfId="13198" priority="131084" stopIfTrue="1" operator="equal">
      <formula>-1</formula>
    </cfRule>
  </conditionalFormatting>
  <conditionalFormatting sqref="AB14">
    <cfRule type="cellIs" dxfId="13197" priority="131085" stopIfTrue="1" operator="lessThan">
      <formula>0.5</formula>
    </cfRule>
  </conditionalFormatting>
  <conditionalFormatting sqref="AB14">
    <cfRule type="cellIs" dxfId="13196" priority="131086" stopIfTrue="1" operator="greaterThanOrEqual">
      <formula>0.5</formula>
    </cfRule>
  </conditionalFormatting>
  <conditionalFormatting sqref="AB15">
    <cfRule type="cellIs" dxfId="13195" priority="131087" stopIfTrue="1" operator="equal">
      <formula>-1</formula>
    </cfRule>
  </conditionalFormatting>
  <conditionalFormatting sqref="AB15">
    <cfRule type="cellIs" dxfId="13194" priority="131088" stopIfTrue="1" operator="lessThan">
      <formula>0.5</formula>
    </cfRule>
  </conditionalFormatting>
  <conditionalFormatting sqref="AB15">
    <cfRule type="cellIs" dxfId="13193" priority="131089" stopIfTrue="1" operator="greaterThanOrEqual">
      <formula>0.5</formula>
    </cfRule>
  </conditionalFormatting>
  <conditionalFormatting sqref="AD8">
    <cfRule type="cellIs" dxfId="13192" priority="131090" stopIfTrue="1" operator="equal">
      <formula>-1</formula>
    </cfRule>
  </conditionalFormatting>
  <conditionalFormatting sqref="AD8">
    <cfRule type="cellIs" dxfId="13191" priority="131091" stopIfTrue="1" operator="lessThan">
      <formula>0.5</formula>
    </cfRule>
  </conditionalFormatting>
  <conditionalFormatting sqref="AD8">
    <cfRule type="cellIs" dxfId="13190" priority="131092" stopIfTrue="1" operator="greaterThanOrEqual">
      <formula>0.5</formula>
    </cfRule>
  </conditionalFormatting>
  <conditionalFormatting sqref="AD9">
    <cfRule type="cellIs" dxfId="13189" priority="131093" stopIfTrue="1" operator="equal">
      <formula>-1</formula>
    </cfRule>
  </conditionalFormatting>
  <conditionalFormatting sqref="AD9">
    <cfRule type="cellIs" dxfId="13188" priority="131094" stopIfTrue="1" operator="lessThan">
      <formula>0.5</formula>
    </cfRule>
  </conditionalFormatting>
  <conditionalFormatting sqref="AD9">
    <cfRule type="cellIs" dxfId="13187" priority="131095" stopIfTrue="1" operator="greaterThanOrEqual">
      <formula>0.5</formula>
    </cfRule>
  </conditionalFormatting>
  <conditionalFormatting sqref="AD10">
    <cfRule type="cellIs" dxfId="13186" priority="131096" stopIfTrue="1" operator="equal">
      <formula>-1</formula>
    </cfRule>
  </conditionalFormatting>
  <conditionalFormatting sqref="AD10">
    <cfRule type="cellIs" dxfId="13185" priority="131097" stopIfTrue="1" operator="lessThan">
      <formula>0.5</formula>
    </cfRule>
  </conditionalFormatting>
  <conditionalFormatting sqref="AD10">
    <cfRule type="cellIs" dxfId="13184" priority="131098" stopIfTrue="1" operator="greaterThanOrEqual">
      <formula>0.5</formula>
    </cfRule>
  </conditionalFormatting>
  <conditionalFormatting sqref="AD11">
    <cfRule type="cellIs" dxfId="13183" priority="131099" stopIfTrue="1" operator="equal">
      <formula>-1</formula>
    </cfRule>
  </conditionalFormatting>
  <conditionalFormatting sqref="AD11">
    <cfRule type="cellIs" dxfId="13182" priority="131100" stopIfTrue="1" operator="lessThan">
      <formula>0.5</formula>
    </cfRule>
  </conditionalFormatting>
  <conditionalFormatting sqref="AD11">
    <cfRule type="cellIs" dxfId="13181" priority="131101" stopIfTrue="1" operator="greaterThanOrEqual">
      <formula>0.5</formula>
    </cfRule>
  </conditionalFormatting>
  <conditionalFormatting sqref="AD12">
    <cfRule type="cellIs" dxfId="13180" priority="131102" stopIfTrue="1" operator="equal">
      <formula>-1</formula>
    </cfRule>
  </conditionalFormatting>
  <conditionalFormatting sqref="AD12">
    <cfRule type="cellIs" dxfId="13179" priority="131103" stopIfTrue="1" operator="lessThan">
      <formula>0.5</formula>
    </cfRule>
  </conditionalFormatting>
  <conditionalFormatting sqref="AD12">
    <cfRule type="cellIs" dxfId="13178" priority="131104" stopIfTrue="1" operator="greaterThanOrEqual">
      <formula>0.5</formula>
    </cfRule>
  </conditionalFormatting>
  <conditionalFormatting sqref="AD13">
    <cfRule type="cellIs" dxfId="13177" priority="131105" stopIfTrue="1" operator="equal">
      <formula>-1</formula>
    </cfRule>
  </conditionalFormatting>
  <conditionalFormatting sqref="AD13">
    <cfRule type="cellIs" dxfId="13176" priority="131106" stopIfTrue="1" operator="lessThan">
      <formula>0.5</formula>
    </cfRule>
  </conditionalFormatting>
  <conditionalFormatting sqref="AD13">
    <cfRule type="cellIs" dxfId="13175" priority="131107" stopIfTrue="1" operator="greaterThanOrEqual">
      <formula>0.5</formula>
    </cfRule>
  </conditionalFormatting>
  <conditionalFormatting sqref="AD14">
    <cfRule type="cellIs" dxfId="13174" priority="131108" stopIfTrue="1" operator="equal">
      <formula>-1</formula>
    </cfRule>
  </conditionalFormatting>
  <conditionalFormatting sqref="AD14">
    <cfRule type="cellIs" dxfId="13173" priority="131109" stopIfTrue="1" operator="lessThan">
      <formula>0.5</formula>
    </cfRule>
  </conditionalFormatting>
  <conditionalFormatting sqref="AD14">
    <cfRule type="cellIs" dxfId="13172" priority="131110" stopIfTrue="1" operator="greaterThanOrEqual">
      <formula>0.5</formula>
    </cfRule>
  </conditionalFormatting>
  <conditionalFormatting sqref="AD15">
    <cfRule type="cellIs" dxfId="13171" priority="131111" stopIfTrue="1" operator="equal">
      <formula>-1</formula>
    </cfRule>
  </conditionalFormatting>
  <conditionalFormatting sqref="AD15">
    <cfRule type="cellIs" dxfId="13170" priority="131112" stopIfTrue="1" operator="lessThan">
      <formula>0.5</formula>
    </cfRule>
  </conditionalFormatting>
  <conditionalFormatting sqref="AD15">
    <cfRule type="cellIs" dxfId="13169" priority="131113" stopIfTrue="1" operator="greaterThanOrEqual">
      <formula>0.5</formula>
    </cfRule>
  </conditionalFormatting>
  <conditionalFormatting sqref="AF8">
    <cfRule type="cellIs" dxfId="13168" priority="131114" stopIfTrue="1" operator="equal">
      <formula>-1</formula>
    </cfRule>
  </conditionalFormatting>
  <conditionalFormatting sqref="AF8">
    <cfRule type="cellIs" dxfId="13167" priority="131115" stopIfTrue="1" operator="lessThan">
      <formula>0.5</formula>
    </cfRule>
  </conditionalFormatting>
  <conditionalFormatting sqref="AF8">
    <cfRule type="cellIs" dxfId="13166" priority="131116" stopIfTrue="1" operator="greaterThanOrEqual">
      <formula>0.5</formula>
    </cfRule>
  </conditionalFormatting>
  <conditionalFormatting sqref="AF9">
    <cfRule type="cellIs" dxfId="13165" priority="131117" stopIfTrue="1" operator="equal">
      <formula>-1</formula>
    </cfRule>
  </conditionalFormatting>
  <conditionalFormatting sqref="AF9">
    <cfRule type="cellIs" dxfId="13164" priority="131118" stopIfTrue="1" operator="lessThan">
      <formula>0.5</formula>
    </cfRule>
  </conditionalFormatting>
  <conditionalFormatting sqref="AF9">
    <cfRule type="cellIs" dxfId="13163" priority="131119" stopIfTrue="1" operator="greaterThanOrEqual">
      <formula>0.5</formula>
    </cfRule>
  </conditionalFormatting>
  <conditionalFormatting sqref="AF10">
    <cfRule type="cellIs" dxfId="13162" priority="131120" stopIfTrue="1" operator="equal">
      <formula>-1</formula>
    </cfRule>
  </conditionalFormatting>
  <conditionalFormatting sqref="AF10">
    <cfRule type="cellIs" dxfId="13161" priority="131121" stopIfTrue="1" operator="lessThan">
      <formula>0.5</formula>
    </cfRule>
  </conditionalFormatting>
  <conditionalFormatting sqref="AF10">
    <cfRule type="cellIs" dxfId="13160" priority="131122" stopIfTrue="1" operator="greaterThanOrEqual">
      <formula>0.5</formula>
    </cfRule>
  </conditionalFormatting>
  <conditionalFormatting sqref="AF11">
    <cfRule type="cellIs" dxfId="13159" priority="131123" stopIfTrue="1" operator="equal">
      <formula>-1</formula>
    </cfRule>
  </conditionalFormatting>
  <conditionalFormatting sqref="AF11">
    <cfRule type="cellIs" dxfId="13158" priority="131124" stopIfTrue="1" operator="lessThan">
      <formula>0.5</formula>
    </cfRule>
  </conditionalFormatting>
  <conditionalFormatting sqref="AF11">
    <cfRule type="cellIs" dxfId="13157" priority="131125" stopIfTrue="1" operator="greaterThanOrEqual">
      <formula>0.5</formula>
    </cfRule>
  </conditionalFormatting>
  <conditionalFormatting sqref="AF12">
    <cfRule type="cellIs" dxfId="13156" priority="131126" stopIfTrue="1" operator="equal">
      <formula>-1</formula>
    </cfRule>
  </conditionalFormatting>
  <conditionalFormatting sqref="AF12">
    <cfRule type="cellIs" dxfId="13155" priority="131127" stopIfTrue="1" operator="lessThan">
      <formula>0.5</formula>
    </cfRule>
  </conditionalFormatting>
  <conditionalFormatting sqref="AF12">
    <cfRule type="cellIs" dxfId="13154" priority="131128" stopIfTrue="1" operator="greaterThanOrEqual">
      <formula>0.5</formula>
    </cfRule>
  </conditionalFormatting>
  <conditionalFormatting sqref="AF13">
    <cfRule type="cellIs" dxfId="13153" priority="131129" stopIfTrue="1" operator="equal">
      <formula>-1</formula>
    </cfRule>
  </conditionalFormatting>
  <conditionalFormatting sqref="AF13">
    <cfRule type="cellIs" dxfId="13152" priority="131130" stopIfTrue="1" operator="lessThan">
      <formula>0.5</formula>
    </cfRule>
  </conditionalFormatting>
  <conditionalFormatting sqref="AF13">
    <cfRule type="cellIs" dxfId="13151" priority="131131" stopIfTrue="1" operator="greaterThanOrEqual">
      <formula>0.5</formula>
    </cfRule>
  </conditionalFormatting>
  <conditionalFormatting sqref="AF14">
    <cfRule type="cellIs" dxfId="13150" priority="131132" stopIfTrue="1" operator="equal">
      <formula>-1</formula>
    </cfRule>
  </conditionalFormatting>
  <conditionalFormatting sqref="AF14">
    <cfRule type="cellIs" dxfId="13149" priority="131133" stopIfTrue="1" operator="lessThan">
      <formula>0.5</formula>
    </cfRule>
  </conditionalFormatting>
  <conditionalFormatting sqref="AF14">
    <cfRule type="cellIs" dxfId="13148" priority="131134" stopIfTrue="1" operator="greaterThanOrEqual">
      <formula>0.5</formula>
    </cfRule>
  </conditionalFormatting>
  <conditionalFormatting sqref="AF15">
    <cfRule type="cellIs" dxfId="13147" priority="131135" stopIfTrue="1" operator="equal">
      <formula>-1</formula>
    </cfRule>
  </conditionalFormatting>
  <conditionalFormatting sqref="AF15">
    <cfRule type="cellIs" dxfId="13146" priority="131136" stopIfTrue="1" operator="lessThan">
      <formula>0.5</formula>
    </cfRule>
  </conditionalFormatting>
  <conditionalFormatting sqref="AF15">
    <cfRule type="cellIs" dxfId="13145" priority="131137" stopIfTrue="1" operator="greaterThanOrEqual">
      <formula>0.5</formula>
    </cfRule>
  </conditionalFormatting>
  <conditionalFormatting sqref="AH8">
    <cfRule type="cellIs" dxfId="13144" priority="131138" stopIfTrue="1" operator="equal">
      <formula>-1</formula>
    </cfRule>
  </conditionalFormatting>
  <conditionalFormatting sqref="AH8">
    <cfRule type="cellIs" dxfId="13143" priority="131139" stopIfTrue="1" operator="lessThan">
      <formula>0.5</formula>
    </cfRule>
  </conditionalFormatting>
  <conditionalFormatting sqref="AH8">
    <cfRule type="cellIs" dxfId="13142" priority="131140" stopIfTrue="1" operator="greaterThanOrEqual">
      <formula>0.5</formula>
    </cfRule>
  </conditionalFormatting>
  <conditionalFormatting sqref="AH9">
    <cfRule type="cellIs" dxfId="13141" priority="131141" stopIfTrue="1" operator="equal">
      <formula>-1</formula>
    </cfRule>
  </conditionalFormatting>
  <conditionalFormatting sqref="AH9">
    <cfRule type="cellIs" dxfId="13140" priority="131142" stopIfTrue="1" operator="lessThan">
      <formula>0.5</formula>
    </cfRule>
  </conditionalFormatting>
  <conditionalFormatting sqref="AH9">
    <cfRule type="cellIs" dxfId="13139" priority="131143" stopIfTrue="1" operator="greaterThanOrEqual">
      <formula>0.5</formula>
    </cfRule>
  </conditionalFormatting>
  <conditionalFormatting sqref="AH10">
    <cfRule type="cellIs" dxfId="13138" priority="131144" stopIfTrue="1" operator="equal">
      <formula>-1</formula>
    </cfRule>
  </conditionalFormatting>
  <conditionalFormatting sqref="AH10">
    <cfRule type="cellIs" dxfId="13137" priority="131145" stopIfTrue="1" operator="lessThan">
      <formula>0.5</formula>
    </cfRule>
  </conditionalFormatting>
  <conditionalFormatting sqref="AH10">
    <cfRule type="cellIs" dxfId="13136" priority="131146" stopIfTrue="1" operator="greaterThanOrEqual">
      <formula>0.5</formula>
    </cfRule>
  </conditionalFormatting>
  <conditionalFormatting sqref="AH11">
    <cfRule type="cellIs" dxfId="13135" priority="131147" stopIfTrue="1" operator="equal">
      <formula>-1</formula>
    </cfRule>
  </conditionalFormatting>
  <conditionalFormatting sqref="AH11">
    <cfRule type="cellIs" dxfId="13134" priority="131148" stopIfTrue="1" operator="lessThan">
      <formula>0.5</formula>
    </cfRule>
  </conditionalFormatting>
  <conditionalFormatting sqref="AH11">
    <cfRule type="cellIs" dxfId="13133" priority="131149" stopIfTrue="1" operator="greaterThanOrEqual">
      <formula>0.5</formula>
    </cfRule>
  </conditionalFormatting>
  <conditionalFormatting sqref="AH12">
    <cfRule type="cellIs" dxfId="13132" priority="131150" stopIfTrue="1" operator="equal">
      <formula>-1</formula>
    </cfRule>
  </conditionalFormatting>
  <conditionalFormatting sqref="AH12">
    <cfRule type="cellIs" dxfId="13131" priority="131151" stopIfTrue="1" operator="lessThan">
      <formula>0.5</formula>
    </cfRule>
  </conditionalFormatting>
  <conditionalFormatting sqref="AH12">
    <cfRule type="cellIs" dxfId="13130" priority="131152" stopIfTrue="1" operator="greaterThanOrEqual">
      <formula>0.5</formula>
    </cfRule>
  </conditionalFormatting>
  <conditionalFormatting sqref="AH13">
    <cfRule type="cellIs" dxfId="13129" priority="131153" stopIfTrue="1" operator="equal">
      <formula>-1</formula>
    </cfRule>
  </conditionalFormatting>
  <conditionalFormatting sqref="AH13">
    <cfRule type="cellIs" dxfId="13128" priority="131154" stopIfTrue="1" operator="lessThan">
      <formula>0.5</formula>
    </cfRule>
  </conditionalFormatting>
  <conditionalFormatting sqref="AH13">
    <cfRule type="cellIs" dxfId="13127" priority="131155" stopIfTrue="1" operator="greaterThanOrEqual">
      <formula>0.5</formula>
    </cfRule>
  </conditionalFormatting>
  <conditionalFormatting sqref="AH14">
    <cfRule type="cellIs" dxfId="13126" priority="131156" stopIfTrue="1" operator="equal">
      <formula>-1</formula>
    </cfRule>
  </conditionalFormatting>
  <conditionalFormatting sqref="AH14">
    <cfRule type="cellIs" dxfId="13125" priority="131157" stopIfTrue="1" operator="lessThan">
      <formula>0.5</formula>
    </cfRule>
  </conditionalFormatting>
  <conditionalFormatting sqref="AH14">
    <cfRule type="cellIs" dxfId="13124" priority="131158" stopIfTrue="1" operator="greaterThanOrEqual">
      <formula>0.5</formula>
    </cfRule>
  </conditionalFormatting>
  <conditionalFormatting sqref="AH15">
    <cfRule type="cellIs" dxfId="13123" priority="131159" stopIfTrue="1" operator="equal">
      <formula>-1</formula>
    </cfRule>
  </conditionalFormatting>
  <conditionalFormatting sqref="AH15">
    <cfRule type="cellIs" dxfId="13122" priority="131160" stopIfTrue="1" operator="lessThan">
      <formula>0.5</formula>
    </cfRule>
  </conditionalFormatting>
  <conditionalFormatting sqref="AH15">
    <cfRule type="cellIs" dxfId="13121" priority="131161" stopIfTrue="1" operator="greaterThanOrEqual">
      <formula>0.5</formula>
    </cfRule>
  </conditionalFormatting>
  <conditionalFormatting sqref="AJ8">
    <cfRule type="cellIs" dxfId="13120" priority="131162" stopIfTrue="1" operator="equal">
      <formula>-1</formula>
    </cfRule>
  </conditionalFormatting>
  <conditionalFormatting sqref="AJ8">
    <cfRule type="cellIs" dxfId="13119" priority="131163" stopIfTrue="1" operator="lessThan">
      <formula>0.5</formula>
    </cfRule>
  </conditionalFormatting>
  <conditionalFormatting sqref="AJ8">
    <cfRule type="cellIs" dxfId="13118" priority="131164" stopIfTrue="1" operator="greaterThanOrEqual">
      <formula>0.5</formula>
    </cfRule>
  </conditionalFormatting>
  <conditionalFormatting sqref="AJ9">
    <cfRule type="cellIs" dxfId="13117" priority="131165" stopIfTrue="1" operator="equal">
      <formula>-1</formula>
    </cfRule>
  </conditionalFormatting>
  <conditionalFormatting sqref="AJ9">
    <cfRule type="cellIs" dxfId="13116" priority="131166" stopIfTrue="1" operator="lessThan">
      <formula>0.5</formula>
    </cfRule>
  </conditionalFormatting>
  <conditionalFormatting sqref="AJ9">
    <cfRule type="cellIs" dxfId="13115" priority="131167" stopIfTrue="1" operator="greaterThanOrEqual">
      <formula>0.5</formula>
    </cfRule>
  </conditionalFormatting>
  <conditionalFormatting sqref="AJ10">
    <cfRule type="cellIs" dxfId="13114" priority="131168" stopIfTrue="1" operator="equal">
      <formula>-1</formula>
    </cfRule>
  </conditionalFormatting>
  <conditionalFormatting sqref="AJ10">
    <cfRule type="cellIs" dxfId="13113" priority="131169" stopIfTrue="1" operator="lessThan">
      <formula>0.5</formula>
    </cfRule>
  </conditionalFormatting>
  <conditionalFormatting sqref="AJ10">
    <cfRule type="cellIs" dxfId="13112" priority="131170" stopIfTrue="1" operator="greaterThanOrEqual">
      <formula>0.5</formula>
    </cfRule>
  </conditionalFormatting>
  <conditionalFormatting sqref="AJ11">
    <cfRule type="cellIs" dxfId="13111" priority="131171" stopIfTrue="1" operator="equal">
      <formula>-1</formula>
    </cfRule>
  </conditionalFormatting>
  <conditionalFormatting sqref="AJ11">
    <cfRule type="cellIs" dxfId="13110" priority="131172" stopIfTrue="1" operator="lessThan">
      <formula>0.5</formula>
    </cfRule>
  </conditionalFormatting>
  <conditionalFormatting sqref="AJ11">
    <cfRule type="cellIs" dxfId="13109" priority="131173" stopIfTrue="1" operator="greaterThanOrEqual">
      <formula>0.5</formula>
    </cfRule>
  </conditionalFormatting>
  <conditionalFormatting sqref="AJ12">
    <cfRule type="cellIs" dxfId="13108" priority="131174" stopIfTrue="1" operator="equal">
      <formula>-1</formula>
    </cfRule>
  </conditionalFormatting>
  <conditionalFormatting sqref="AJ12">
    <cfRule type="cellIs" dxfId="13107" priority="131175" stopIfTrue="1" operator="lessThan">
      <formula>0.5</formula>
    </cfRule>
  </conditionalFormatting>
  <conditionalFormatting sqref="AJ12">
    <cfRule type="cellIs" dxfId="13106" priority="131176" stopIfTrue="1" operator="greaterThanOrEqual">
      <formula>0.5</formula>
    </cfRule>
  </conditionalFormatting>
  <conditionalFormatting sqref="AJ13">
    <cfRule type="cellIs" dxfId="13105" priority="131177" stopIfTrue="1" operator="equal">
      <formula>-1</formula>
    </cfRule>
  </conditionalFormatting>
  <conditionalFormatting sqref="AJ13">
    <cfRule type="cellIs" dxfId="13104" priority="131178" stopIfTrue="1" operator="lessThan">
      <formula>0.5</formula>
    </cfRule>
  </conditionalFormatting>
  <conditionalFormatting sqref="AJ13">
    <cfRule type="cellIs" dxfId="13103" priority="131179" stopIfTrue="1" operator="greaterThanOrEqual">
      <formula>0.5</formula>
    </cfRule>
  </conditionalFormatting>
  <conditionalFormatting sqref="AJ14">
    <cfRule type="cellIs" dxfId="13102" priority="131180" stopIfTrue="1" operator="equal">
      <formula>-1</formula>
    </cfRule>
  </conditionalFormatting>
  <conditionalFormatting sqref="AJ14">
    <cfRule type="cellIs" dxfId="13101" priority="131181" stopIfTrue="1" operator="lessThan">
      <formula>0.5</formula>
    </cfRule>
  </conditionalFormatting>
  <conditionalFormatting sqref="AJ14">
    <cfRule type="cellIs" dxfId="13100" priority="131182" stopIfTrue="1" operator="greaterThanOrEqual">
      <formula>0.5</formula>
    </cfRule>
  </conditionalFormatting>
  <conditionalFormatting sqref="AJ15">
    <cfRule type="cellIs" dxfId="13099" priority="131183" stopIfTrue="1" operator="equal">
      <formula>-1</formula>
    </cfRule>
  </conditionalFormatting>
  <conditionalFormatting sqref="AJ15">
    <cfRule type="cellIs" dxfId="13098" priority="131184" stopIfTrue="1" operator="lessThan">
      <formula>0.5</formula>
    </cfRule>
  </conditionalFormatting>
  <conditionalFormatting sqref="AJ15">
    <cfRule type="cellIs" dxfId="13097" priority="131185" stopIfTrue="1" operator="greaterThanOrEqual">
      <formula>0.5</formula>
    </cfRule>
  </conditionalFormatting>
  <conditionalFormatting sqref="AL8">
    <cfRule type="cellIs" dxfId="13096" priority="131186" stopIfTrue="1" operator="equal">
      <formula>-1</formula>
    </cfRule>
  </conditionalFormatting>
  <conditionalFormatting sqref="AL8">
    <cfRule type="cellIs" dxfId="13095" priority="131187" stopIfTrue="1" operator="lessThan">
      <formula>0.5</formula>
    </cfRule>
  </conditionalFormatting>
  <conditionalFormatting sqref="AL8">
    <cfRule type="cellIs" dxfId="13094" priority="131188" stopIfTrue="1" operator="greaterThanOrEqual">
      <formula>0.5</formula>
    </cfRule>
  </conditionalFormatting>
  <conditionalFormatting sqref="AL9">
    <cfRule type="cellIs" dxfId="13093" priority="131189" stopIfTrue="1" operator="equal">
      <formula>-1</formula>
    </cfRule>
  </conditionalFormatting>
  <conditionalFormatting sqref="AL9">
    <cfRule type="cellIs" dxfId="13092" priority="131190" stopIfTrue="1" operator="lessThan">
      <formula>0.5</formula>
    </cfRule>
  </conditionalFormatting>
  <conditionalFormatting sqref="AL9">
    <cfRule type="cellIs" dxfId="13091" priority="131191" stopIfTrue="1" operator="greaterThanOrEqual">
      <formula>0.5</formula>
    </cfRule>
  </conditionalFormatting>
  <conditionalFormatting sqref="AL10">
    <cfRule type="cellIs" dxfId="13090" priority="131192" stopIfTrue="1" operator="equal">
      <formula>-1</formula>
    </cfRule>
  </conditionalFormatting>
  <conditionalFormatting sqref="AL10">
    <cfRule type="cellIs" dxfId="13089" priority="131193" stopIfTrue="1" operator="lessThan">
      <formula>0.5</formula>
    </cfRule>
  </conditionalFormatting>
  <conditionalFormatting sqref="AL10">
    <cfRule type="cellIs" dxfId="13088" priority="131194" stopIfTrue="1" operator="greaterThanOrEqual">
      <formula>0.5</formula>
    </cfRule>
  </conditionalFormatting>
  <conditionalFormatting sqref="AL11">
    <cfRule type="cellIs" dxfId="13087" priority="131195" stopIfTrue="1" operator="equal">
      <formula>-1</formula>
    </cfRule>
  </conditionalFormatting>
  <conditionalFormatting sqref="AL11">
    <cfRule type="cellIs" dxfId="13086" priority="131196" stopIfTrue="1" operator="lessThan">
      <formula>0.5</formula>
    </cfRule>
  </conditionalFormatting>
  <conditionalFormatting sqref="AL11">
    <cfRule type="cellIs" dxfId="13085" priority="131197" stopIfTrue="1" operator="greaterThanOrEqual">
      <formula>0.5</formula>
    </cfRule>
  </conditionalFormatting>
  <conditionalFormatting sqref="AL12">
    <cfRule type="cellIs" dxfId="13084" priority="131198" stopIfTrue="1" operator="equal">
      <formula>-1</formula>
    </cfRule>
  </conditionalFormatting>
  <conditionalFormatting sqref="AL12">
    <cfRule type="cellIs" dxfId="13083" priority="131199" stopIfTrue="1" operator="lessThan">
      <formula>0.5</formula>
    </cfRule>
  </conditionalFormatting>
  <conditionalFormatting sqref="AL12">
    <cfRule type="cellIs" dxfId="13082" priority="131200" stopIfTrue="1" operator="greaterThanOrEqual">
      <formula>0.5</formula>
    </cfRule>
  </conditionalFormatting>
  <conditionalFormatting sqref="AL13">
    <cfRule type="cellIs" dxfId="13081" priority="131201" stopIfTrue="1" operator="equal">
      <formula>-1</formula>
    </cfRule>
  </conditionalFormatting>
  <conditionalFormatting sqref="AL13">
    <cfRule type="cellIs" dxfId="13080" priority="131202" stopIfTrue="1" operator="lessThan">
      <formula>0.5</formula>
    </cfRule>
  </conditionalFormatting>
  <conditionalFormatting sqref="AL13">
    <cfRule type="cellIs" dxfId="13079" priority="131203" stopIfTrue="1" operator="greaterThanOrEqual">
      <formula>0.5</formula>
    </cfRule>
  </conditionalFormatting>
  <conditionalFormatting sqref="AL14">
    <cfRule type="cellIs" dxfId="13078" priority="131204" stopIfTrue="1" operator="equal">
      <formula>-1</formula>
    </cfRule>
  </conditionalFormatting>
  <conditionalFormatting sqref="AL14">
    <cfRule type="cellIs" dxfId="13077" priority="131205" stopIfTrue="1" operator="lessThan">
      <formula>0.5</formula>
    </cfRule>
  </conditionalFormatting>
  <conditionalFormatting sqref="AL14">
    <cfRule type="cellIs" dxfId="13076" priority="131206" stopIfTrue="1" operator="greaterThanOrEqual">
      <formula>0.5</formula>
    </cfRule>
  </conditionalFormatting>
  <conditionalFormatting sqref="AL15">
    <cfRule type="cellIs" dxfId="13075" priority="131207" stopIfTrue="1" operator="equal">
      <formula>-1</formula>
    </cfRule>
  </conditionalFormatting>
  <conditionalFormatting sqref="AL15">
    <cfRule type="cellIs" dxfId="13074" priority="131208" stopIfTrue="1" operator="lessThan">
      <formula>0.5</formula>
    </cfRule>
  </conditionalFormatting>
  <conditionalFormatting sqref="AL15">
    <cfRule type="cellIs" dxfId="13073" priority="131209" stopIfTrue="1" operator="greaterThanOrEqual">
      <formula>0.5</formula>
    </cfRule>
  </conditionalFormatting>
  <conditionalFormatting sqref="AN8">
    <cfRule type="cellIs" dxfId="13072" priority="131210" stopIfTrue="1" operator="equal">
      <formula>-1</formula>
    </cfRule>
  </conditionalFormatting>
  <conditionalFormatting sqref="AN8">
    <cfRule type="cellIs" dxfId="13071" priority="131211" stopIfTrue="1" operator="lessThan">
      <formula>0.5</formula>
    </cfRule>
  </conditionalFormatting>
  <conditionalFormatting sqref="AN8">
    <cfRule type="cellIs" dxfId="13070" priority="131212" stopIfTrue="1" operator="greaterThanOrEqual">
      <formula>0.5</formula>
    </cfRule>
  </conditionalFormatting>
  <conditionalFormatting sqref="AN9">
    <cfRule type="cellIs" dxfId="13069" priority="131213" stopIfTrue="1" operator="equal">
      <formula>-1</formula>
    </cfRule>
  </conditionalFormatting>
  <conditionalFormatting sqref="AN9">
    <cfRule type="cellIs" dxfId="13068" priority="131214" stopIfTrue="1" operator="lessThan">
      <formula>0.5</formula>
    </cfRule>
  </conditionalFormatting>
  <conditionalFormatting sqref="AN9">
    <cfRule type="cellIs" dxfId="13067" priority="131215" stopIfTrue="1" operator="greaterThanOrEqual">
      <formula>0.5</formula>
    </cfRule>
  </conditionalFormatting>
  <conditionalFormatting sqref="AN10">
    <cfRule type="cellIs" dxfId="13066" priority="131216" stopIfTrue="1" operator="equal">
      <formula>-1</formula>
    </cfRule>
  </conditionalFormatting>
  <conditionalFormatting sqref="AN10">
    <cfRule type="cellIs" dxfId="13065" priority="131217" stopIfTrue="1" operator="lessThan">
      <formula>0.5</formula>
    </cfRule>
  </conditionalFormatting>
  <conditionalFormatting sqref="AN10">
    <cfRule type="cellIs" dxfId="13064" priority="131218" stopIfTrue="1" operator="greaterThanOrEqual">
      <formula>0.5</formula>
    </cfRule>
  </conditionalFormatting>
  <conditionalFormatting sqref="AN11">
    <cfRule type="cellIs" dxfId="13063" priority="131219" stopIfTrue="1" operator="equal">
      <formula>-1</formula>
    </cfRule>
  </conditionalFormatting>
  <conditionalFormatting sqref="AN11">
    <cfRule type="cellIs" dxfId="13062" priority="131220" stopIfTrue="1" operator="lessThan">
      <formula>0.5</formula>
    </cfRule>
  </conditionalFormatting>
  <conditionalFormatting sqref="AN11">
    <cfRule type="cellIs" dxfId="13061" priority="131221" stopIfTrue="1" operator="greaterThanOrEqual">
      <formula>0.5</formula>
    </cfRule>
  </conditionalFormatting>
  <conditionalFormatting sqref="AN12">
    <cfRule type="cellIs" dxfId="13060" priority="131222" stopIfTrue="1" operator="equal">
      <formula>-1</formula>
    </cfRule>
  </conditionalFormatting>
  <conditionalFormatting sqref="AN12">
    <cfRule type="cellIs" dxfId="13059" priority="131223" stopIfTrue="1" operator="lessThan">
      <formula>0.5</formula>
    </cfRule>
  </conditionalFormatting>
  <conditionalFormatting sqref="AN12">
    <cfRule type="cellIs" dxfId="13058" priority="131224" stopIfTrue="1" operator="greaterThanOrEqual">
      <formula>0.5</formula>
    </cfRule>
  </conditionalFormatting>
  <conditionalFormatting sqref="AN13">
    <cfRule type="cellIs" dxfId="13057" priority="131225" stopIfTrue="1" operator="equal">
      <formula>-1</formula>
    </cfRule>
  </conditionalFormatting>
  <conditionalFormatting sqref="AN13">
    <cfRule type="cellIs" dxfId="13056" priority="131226" stopIfTrue="1" operator="lessThan">
      <formula>0.5</formula>
    </cfRule>
  </conditionalFormatting>
  <conditionalFormatting sqref="AN13">
    <cfRule type="cellIs" dxfId="13055" priority="131227" stopIfTrue="1" operator="greaterThanOrEqual">
      <formula>0.5</formula>
    </cfRule>
  </conditionalFormatting>
  <conditionalFormatting sqref="AN14">
    <cfRule type="cellIs" dxfId="13054" priority="131228" stopIfTrue="1" operator="equal">
      <formula>-1</formula>
    </cfRule>
  </conditionalFormatting>
  <conditionalFormatting sqref="AN14">
    <cfRule type="cellIs" dxfId="13053" priority="131229" stopIfTrue="1" operator="lessThan">
      <formula>0.5</formula>
    </cfRule>
  </conditionalFormatting>
  <conditionalFormatting sqref="AN14">
    <cfRule type="cellIs" dxfId="13052" priority="131230" stopIfTrue="1" operator="greaterThanOrEqual">
      <formula>0.5</formula>
    </cfRule>
  </conditionalFormatting>
  <conditionalFormatting sqref="AN15">
    <cfRule type="cellIs" dxfId="13051" priority="131231" stopIfTrue="1" operator="equal">
      <formula>-1</formula>
    </cfRule>
  </conditionalFormatting>
  <conditionalFormatting sqref="AN15">
    <cfRule type="cellIs" dxfId="13050" priority="131232" stopIfTrue="1" operator="lessThan">
      <formula>0.5</formula>
    </cfRule>
  </conditionalFormatting>
  <conditionalFormatting sqref="AN15">
    <cfRule type="cellIs" dxfId="13049" priority="131233" stopIfTrue="1" operator="greaterThanOrEqual">
      <formula>0.5</formula>
    </cfRule>
  </conditionalFormatting>
  <conditionalFormatting sqref="AP8">
    <cfRule type="cellIs" dxfId="13048" priority="131234" stopIfTrue="1" operator="equal">
      <formula>-1</formula>
    </cfRule>
  </conditionalFormatting>
  <conditionalFormatting sqref="AP8">
    <cfRule type="cellIs" dxfId="13047" priority="131235" stopIfTrue="1" operator="lessThan">
      <formula>0.5</formula>
    </cfRule>
  </conditionalFormatting>
  <conditionalFormatting sqref="AP8">
    <cfRule type="cellIs" dxfId="13046" priority="131236" stopIfTrue="1" operator="greaterThanOrEqual">
      <formula>0.5</formula>
    </cfRule>
  </conditionalFormatting>
  <conditionalFormatting sqref="AP9">
    <cfRule type="cellIs" dxfId="13045" priority="131237" stopIfTrue="1" operator="equal">
      <formula>-1</formula>
    </cfRule>
  </conditionalFormatting>
  <conditionalFormatting sqref="AP9">
    <cfRule type="cellIs" dxfId="13044" priority="131238" stopIfTrue="1" operator="lessThan">
      <formula>0.5</formula>
    </cfRule>
  </conditionalFormatting>
  <conditionalFormatting sqref="AP9">
    <cfRule type="cellIs" dxfId="13043" priority="131239" stopIfTrue="1" operator="greaterThanOrEqual">
      <formula>0.5</formula>
    </cfRule>
  </conditionalFormatting>
  <conditionalFormatting sqref="AP10">
    <cfRule type="cellIs" dxfId="13042" priority="131240" stopIfTrue="1" operator="equal">
      <formula>-1</formula>
    </cfRule>
  </conditionalFormatting>
  <conditionalFormatting sqref="AP10">
    <cfRule type="cellIs" dxfId="13041" priority="131241" stopIfTrue="1" operator="lessThan">
      <formula>0.5</formula>
    </cfRule>
  </conditionalFormatting>
  <conditionalFormatting sqref="AP10">
    <cfRule type="cellIs" dxfId="13040" priority="131242" stopIfTrue="1" operator="greaterThanOrEqual">
      <formula>0.5</formula>
    </cfRule>
  </conditionalFormatting>
  <conditionalFormatting sqref="AP11">
    <cfRule type="cellIs" dxfId="13039" priority="131243" stopIfTrue="1" operator="equal">
      <formula>-1</formula>
    </cfRule>
  </conditionalFormatting>
  <conditionalFormatting sqref="AP11">
    <cfRule type="cellIs" dxfId="13038" priority="131244" stopIfTrue="1" operator="lessThan">
      <formula>0.5</formula>
    </cfRule>
  </conditionalFormatting>
  <conditionalFormatting sqref="AP11">
    <cfRule type="cellIs" dxfId="13037" priority="131245" stopIfTrue="1" operator="greaterThanOrEqual">
      <formula>0.5</formula>
    </cfRule>
  </conditionalFormatting>
  <conditionalFormatting sqref="AP12">
    <cfRule type="cellIs" dxfId="13036" priority="131246" stopIfTrue="1" operator="equal">
      <formula>-1</formula>
    </cfRule>
  </conditionalFormatting>
  <conditionalFormatting sqref="AP12">
    <cfRule type="cellIs" dxfId="13035" priority="131247" stopIfTrue="1" operator="lessThan">
      <formula>0.5</formula>
    </cfRule>
  </conditionalFormatting>
  <conditionalFormatting sqref="AP12">
    <cfRule type="cellIs" dxfId="13034" priority="131248" stopIfTrue="1" operator="greaterThanOrEqual">
      <formula>0.5</formula>
    </cfRule>
  </conditionalFormatting>
  <conditionalFormatting sqref="AP13">
    <cfRule type="cellIs" dxfId="13033" priority="131249" stopIfTrue="1" operator="equal">
      <formula>-1</formula>
    </cfRule>
  </conditionalFormatting>
  <conditionalFormatting sqref="AP13">
    <cfRule type="cellIs" dxfId="13032" priority="131250" stopIfTrue="1" operator="lessThan">
      <formula>0.5</formula>
    </cfRule>
  </conditionalFormatting>
  <conditionalFormatting sqref="AP13">
    <cfRule type="cellIs" dxfId="13031" priority="131251" stopIfTrue="1" operator="greaterThanOrEqual">
      <formula>0.5</formula>
    </cfRule>
  </conditionalFormatting>
  <conditionalFormatting sqref="AP14">
    <cfRule type="cellIs" dxfId="13030" priority="131252" stopIfTrue="1" operator="equal">
      <formula>-1</formula>
    </cfRule>
  </conditionalFormatting>
  <conditionalFormatting sqref="AP14">
    <cfRule type="cellIs" dxfId="13029" priority="131253" stopIfTrue="1" operator="lessThan">
      <formula>0.5</formula>
    </cfRule>
  </conditionalFormatting>
  <conditionalFormatting sqref="AP14">
    <cfRule type="cellIs" dxfId="13028" priority="131254" stopIfTrue="1" operator="greaterThanOrEqual">
      <formula>0.5</formula>
    </cfRule>
  </conditionalFormatting>
  <conditionalFormatting sqref="AP15">
    <cfRule type="cellIs" dxfId="13027" priority="131255" stopIfTrue="1" operator="equal">
      <formula>-1</formula>
    </cfRule>
  </conditionalFormatting>
  <conditionalFormatting sqref="AP15">
    <cfRule type="cellIs" dxfId="13026" priority="131256" stopIfTrue="1" operator="lessThan">
      <formula>0.5</formula>
    </cfRule>
  </conditionalFormatting>
  <conditionalFormatting sqref="AP15">
    <cfRule type="cellIs" dxfId="13025" priority="131257" stopIfTrue="1" operator="greaterThanOrEqual">
      <formula>0.5</formula>
    </cfRule>
  </conditionalFormatting>
  <conditionalFormatting sqref="AR8">
    <cfRule type="cellIs" dxfId="13024" priority="131258" stopIfTrue="1" operator="equal">
      <formula>-1</formula>
    </cfRule>
  </conditionalFormatting>
  <conditionalFormatting sqref="AR8">
    <cfRule type="cellIs" dxfId="13023" priority="131259" stopIfTrue="1" operator="lessThan">
      <formula>0.5</formula>
    </cfRule>
  </conditionalFormatting>
  <conditionalFormatting sqref="AR8">
    <cfRule type="cellIs" dxfId="13022" priority="131260" stopIfTrue="1" operator="greaterThanOrEqual">
      <formula>0.5</formula>
    </cfRule>
  </conditionalFormatting>
  <conditionalFormatting sqref="AR9">
    <cfRule type="cellIs" dxfId="13021" priority="131261" stopIfTrue="1" operator="equal">
      <formula>-1</formula>
    </cfRule>
  </conditionalFormatting>
  <conditionalFormatting sqref="AR9">
    <cfRule type="cellIs" dxfId="13020" priority="131262" stopIfTrue="1" operator="lessThan">
      <formula>0.5</formula>
    </cfRule>
  </conditionalFormatting>
  <conditionalFormatting sqref="AR9">
    <cfRule type="cellIs" dxfId="13019" priority="131263" stopIfTrue="1" operator="greaterThanOrEqual">
      <formula>0.5</formula>
    </cfRule>
  </conditionalFormatting>
  <conditionalFormatting sqref="AR10">
    <cfRule type="cellIs" dxfId="13018" priority="131264" stopIfTrue="1" operator="equal">
      <formula>-1</formula>
    </cfRule>
  </conditionalFormatting>
  <conditionalFormatting sqref="AR10">
    <cfRule type="cellIs" dxfId="13017" priority="131265" stopIfTrue="1" operator="lessThan">
      <formula>0.5</formula>
    </cfRule>
  </conditionalFormatting>
  <conditionalFormatting sqref="AR10">
    <cfRule type="cellIs" dxfId="13016" priority="131266" stopIfTrue="1" operator="greaterThanOrEqual">
      <formula>0.5</formula>
    </cfRule>
  </conditionalFormatting>
  <conditionalFormatting sqref="AR11">
    <cfRule type="cellIs" dxfId="13015" priority="131267" stopIfTrue="1" operator="equal">
      <formula>-1</formula>
    </cfRule>
  </conditionalFormatting>
  <conditionalFormatting sqref="AR11">
    <cfRule type="cellIs" dxfId="13014" priority="131268" stopIfTrue="1" operator="lessThan">
      <formula>0.5</formula>
    </cfRule>
  </conditionalFormatting>
  <conditionalFormatting sqref="AR11">
    <cfRule type="cellIs" dxfId="13013" priority="131269" stopIfTrue="1" operator="greaterThanOrEqual">
      <formula>0.5</formula>
    </cfRule>
  </conditionalFormatting>
  <conditionalFormatting sqref="AR12">
    <cfRule type="cellIs" dxfId="13012" priority="131270" stopIfTrue="1" operator="equal">
      <formula>-1</formula>
    </cfRule>
  </conditionalFormatting>
  <conditionalFormatting sqref="AR12">
    <cfRule type="cellIs" dxfId="13011" priority="131271" stopIfTrue="1" operator="lessThan">
      <formula>0.5</formula>
    </cfRule>
  </conditionalFormatting>
  <conditionalFormatting sqref="AR12">
    <cfRule type="cellIs" dxfId="13010" priority="131272" stopIfTrue="1" operator="greaterThanOrEqual">
      <formula>0.5</formula>
    </cfRule>
  </conditionalFormatting>
  <conditionalFormatting sqref="AR13">
    <cfRule type="cellIs" dxfId="13009" priority="131273" stopIfTrue="1" operator="equal">
      <formula>-1</formula>
    </cfRule>
  </conditionalFormatting>
  <conditionalFormatting sqref="AR13">
    <cfRule type="cellIs" dxfId="13008" priority="131274" stopIfTrue="1" operator="lessThan">
      <formula>0.5</formula>
    </cfRule>
  </conditionalFormatting>
  <conditionalFormatting sqref="AR13">
    <cfRule type="cellIs" dxfId="13007" priority="131275" stopIfTrue="1" operator="greaterThanOrEqual">
      <formula>0.5</formula>
    </cfRule>
  </conditionalFormatting>
  <conditionalFormatting sqref="AR14">
    <cfRule type="cellIs" dxfId="13006" priority="131276" stopIfTrue="1" operator="equal">
      <formula>-1</formula>
    </cfRule>
  </conditionalFormatting>
  <conditionalFormatting sqref="AR14">
    <cfRule type="cellIs" dxfId="13005" priority="131277" stopIfTrue="1" operator="lessThan">
      <formula>0.5</formula>
    </cfRule>
  </conditionalFormatting>
  <conditionalFormatting sqref="AR14">
    <cfRule type="cellIs" dxfId="13004" priority="131278" stopIfTrue="1" operator="greaterThanOrEqual">
      <formula>0.5</formula>
    </cfRule>
  </conditionalFormatting>
  <conditionalFormatting sqref="AR15">
    <cfRule type="cellIs" dxfId="13003" priority="131279" stopIfTrue="1" operator="equal">
      <formula>-1</formula>
    </cfRule>
  </conditionalFormatting>
  <conditionalFormatting sqref="AR15">
    <cfRule type="cellIs" dxfId="13002" priority="131280" stopIfTrue="1" operator="lessThan">
      <formula>0.5</formula>
    </cfRule>
  </conditionalFormatting>
  <conditionalFormatting sqref="AR15">
    <cfRule type="cellIs" dxfId="13001" priority="131281" stopIfTrue="1" operator="greaterThanOrEqual">
      <formula>0.5</formula>
    </cfRule>
  </conditionalFormatting>
  <conditionalFormatting sqref="AT8">
    <cfRule type="cellIs" dxfId="13000" priority="131282" stopIfTrue="1" operator="equal">
      <formula>-1</formula>
    </cfRule>
  </conditionalFormatting>
  <conditionalFormatting sqref="AT8">
    <cfRule type="cellIs" dxfId="12999" priority="131283" stopIfTrue="1" operator="lessThan">
      <formula>0.5</formula>
    </cfRule>
  </conditionalFormatting>
  <conditionalFormatting sqref="AT8">
    <cfRule type="cellIs" dxfId="12998" priority="131284" stopIfTrue="1" operator="greaterThanOrEqual">
      <formula>0.5</formula>
    </cfRule>
  </conditionalFormatting>
  <conditionalFormatting sqref="AT9">
    <cfRule type="cellIs" dxfId="12997" priority="131285" stopIfTrue="1" operator="equal">
      <formula>-1</formula>
    </cfRule>
  </conditionalFormatting>
  <conditionalFormatting sqref="AT9">
    <cfRule type="cellIs" dxfId="12996" priority="131286" stopIfTrue="1" operator="lessThan">
      <formula>0.5</formula>
    </cfRule>
  </conditionalFormatting>
  <conditionalFormatting sqref="AT9">
    <cfRule type="cellIs" dxfId="12995" priority="131287" stopIfTrue="1" operator="greaterThanOrEqual">
      <formula>0.5</formula>
    </cfRule>
  </conditionalFormatting>
  <conditionalFormatting sqref="AT10">
    <cfRule type="cellIs" dxfId="12994" priority="131288" stopIfTrue="1" operator="equal">
      <formula>-1</formula>
    </cfRule>
  </conditionalFormatting>
  <conditionalFormatting sqref="AT10">
    <cfRule type="cellIs" dxfId="12993" priority="131289" stopIfTrue="1" operator="lessThan">
      <formula>0.5</formula>
    </cfRule>
  </conditionalFormatting>
  <conditionalFormatting sqref="AT10">
    <cfRule type="cellIs" dxfId="12992" priority="131290" stopIfTrue="1" operator="greaterThanOrEqual">
      <formula>0.5</formula>
    </cfRule>
  </conditionalFormatting>
  <conditionalFormatting sqref="AT11">
    <cfRule type="cellIs" dxfId="12991" priority="131291" stopIfTrue="1" operator="equal">
      <formula>-1</formula>
    </cfRule>
  </conditionalFormatting>
  <conditionalFormatting sqref="AT11">
    <cfRule type="cellIs" dxfId="12990" priority="131292" stopIfTrue="1" operator="lessThan">
      <formula>0.5</formula>
    </cfRule>
  </conditionalFormatting>
  <conditionalFormatting sqref="AT11">
    <cfRule type="cellIs" dxfId="12989" priority="131293" stopIfTrue="1" operator="greaterThanOrEqual">
      <formula>0.5</formula>
    </cfRule>
  </conditionalFormatting>
  <conditionalFormatting sqref="AT12">
    <cfRule type="cellIs" dxfId="12988" priority="131294" stopIfTrue="1" operator="equal">
      <formula>-1</formula>
    </cfRule>
  </conditionalFormatting>
  <conditionalFormatting sqref="AT12">
    <cfRule type="cellIs" dxfId="12987" priority="131295" stopIfTrue="1" operator="lessThan">
      <formula>0.5</formula>
    </cfRule>
  </conditionalFormatting>
  <conditionalFormatting sqref="AT12">
    <cfRule type="cellIs" dxfId="12986" priority="131296" stopIfTrue="1" operator="greaterThanOrEqual">
      <formula>0.5</formula>
    </cfRule>
  </conditionalFormatting>
  <conditionalFormatting sqref="AT13">
    <cfRule type="cellIs" dxfId="12985" priority="131297" stopIfTrue="1" operator="equal">
      <formula>-1</formula>
    </cfRule>
  </conditionalFormatting>
  <conditionalFormatting sqref="AT13">
    <cfRule type="cellIs" dxfId="12984" priority="131298" stopIfTrue="1" operator="lessThan">
      <formula>0.5</formula>
    </cfRule>
  </conditionalFormatting>
  <conditionalFormatting sqref="AT13">
    <cfRule type="cellIs" dxfId="12983" priority="131299" stopIfTrue="1" operator="greaterThanOrEqual">
      <formula>0.5</formula>
    </cfRule>
  </conditionalFormatting>
  <conditionalFormatting sqref="AT14">
    <cfRule type="cellIs" dxfId="12982" priority="131300" stopIfTrue="1" operator="equal">
      <formula>-1</formula>
    </cfRule>
  </conditionalFormatting>
  <conditionalFormatting sqref="AT14">
    <cfRule type="cellIs" dxfId="12981" priority="131301" stopIfTrue="1" operator="lessThan">
      <formula>0.5</formula>
    </cfRule>
  </conditionalFormatting>
  <conditionalFormatting sqref="AT14">
    <cfRule type="cellIs" dxfId="12980" priority="131302" stopIfTrue="1" operator="greaterThanOrEqual">
      <formula>0.5</formula>
    </cfRule>
  </conditionalFormatting>
  <conditionalFormatting sqref="AT15">
    <cfRule type="cellIs" dxfId="12979" priority="131303" stopIfTrue="1" operator="equal">
      <formula>-1</formula>
    </cfRule>
  </conditionalFormatting>
  <conditionalFormatting sqref="AT15">
    <cfRule type="cellIs" dxfId="12978" priority="131304" stopIfTrue="1" operator="lessThan">
      <formula>0.5</formula>
    </cfRule>
  </conditionalFormatting>
  <conditionalFormatting sqref="AT15">
    <cfRule type="cellIs" dxfId="12977" priority="131305" stopIfTrue="1" operator="greaterThanOrEqual">
      <formula>0.5</formula>
    </cfRule>
  </conditionalFormatting>
  <conditionalFormatting sqref="AV8">
    <cfRule type="cellIs" dxfId="12976" priority="131306" stopIfTrue="1" operator="equal">
      <formula>-1</formula>
    </cfRule>
  </conditionalFormatting>
  <conditionalFormatting sqref="AV8">
    <cfRule type="cellIs" dxfId="12975" priority="131307" stopIfTrue="1" operator="lessThan">
      <formula>0.5</formula>
    </cfRule>
  </conditionalFormatting>
  <conditionalFormatting sqref="AV8">
    <cfRule type="cellIs" dxfId="12974" priority="131308" stopIfTrue="1" operator="greaterThanOrEqual">
      <formula>0.5</formula>
    </cfRule>
  </conditionalFormatting>
  <conditionalFormatting sqref="AV9">
    <cfRule type="cellIs" dxfId="12973" priority="131309" stopIfTrue="1" operator="equal">
      <formula>-1</formula>
    </cfRule>
  </conditionalFormatting>
  <conditionalFormatting sqref="AV9">
    <cfRule type="cellIs" dxfId="12972" priority="131310" stopIfTrue="1" operator="lessThan">
      <formula>0.5</formula>
    </cfRule>
  </conditionalFormatting>
  <conditionalFormatting sqref="AV9">
    <cfRule type="cellIs" dxfId="12971" priority="131311" stopIfTrue="1" operator="greaterThanOrEqual">
      <formula>0.5</formula>
    </cfRule>
  </conditionalFormatting>
  <conditionalFormatting sqref="AV10">
    <cfRule type="cellIs" dxfId="12970" priority="131312" stopIfTrue="1" operator="equal">
      <formula>-1</formula>
    </cfRule>
  </conditionalFormatting>
  <conditionalFormatting sqref="AV10">
    <cfRule type="cellIs" dxfId="12969" priority="131313" stopIfTrue="1" operator="lessThan">
      <formula>0.5</formula>
    </cfRule>
  </conditionalFormatting>
  <conditionalFormatting sqref="AV10">
    <cfRule type="cellIs" dxfId="12968" priority="131314" stopIfTrue="1" operator="greaterThanOrEqual">
      <formula>0.5</formula>
    </cfRule>
  </conditionalFormatting>
  <conditionalFormatting sqref="AV11">
    <cfRule type="cellIs" dxfId="12967" priority="131315" stopIfTrue="1" operator="equal">
      <formula>-1</formula>
    </cfRule>
  </conditionalFormatting>
  <conditionalFormatting sqref="AV11">
    <cfRule type="cellIs" dxfId="12966" priority="131316" stopIfTrue="1" operator="lessThan">
      <formula>0.5</formula>
    </cfRule>
  </conditionalFormatting>
  <conditionalFormatting sqref="AV11">
    <cfRule type="cellIs" dxfId="12965" priority="131317" stopIfTrue="1" operator="greaterThanOrEqual">
      <formula>0.5</formula>
    </cfRule>
  </conditionalFormatting>
  <conditionalFormatting sqref="AV12">
    <cfRule type="cellIs" dxfId="12964" priority="131318" stopIfTrue="1" operator="equal">
      <formula>-1</formula>
    </cfRule>
  </conditionalFormatting>
  <conditionalFormatting sqref="AV12">
    <cfRule type="cellIs" dxfId="12963" priority="131319" stopIfTrue="1" operator="lessThan">
      <formula>0.5</formula>
    </cfRule>
  </conditionalFormatting>
  <conditionalFormatting sqref="AV12">
    <cfRule type="cellIs" dxfId="12962" priority="131320" stopIfTrue="1" operator="greaterThanOrEqual">
      <formula>0.5</formula>
    </cfRule>
  </conditionalFormatting>
  <conditionalFormatting sqref="AV13">
    <cfRule type="cellIs" dxfId="12961" priority="131321" stopIfTrue="1" operator="equal">
      <formula>-1</formula>
    </cfRule>
  </conditionalFormatting>
  <conditionalFormatting sqref="AV13">
    <cfRule type="cellIs" dxfId="12960" priority="131322" stopIfTrue="1" operator="lessThan">
      <formula>0.5</formula>
    </cfRule>
  </conditionalFormatting>
  <conditionalFormatting sqref="AV13">
    <cfRule type="cellIs" dxfId="12959" priority="131323" stopIfTrue="1" operator="greaterThanOrEqual">
      <formula>0.5</formula>
    </cfRule>
  </conditionalFormatting>
  <conditionalFormatting sqref="AV14">
    <cfRule type="cellIs" dxfId="12958" priority="131324" stopIfTrue="1" operator="equal">
      <formula>-1</formula>
    </cfRule>
  </conditionalFormatting>
  <conditionalFormatting sqref="AV14">
    <cfRule type="cellIs" dxfId="12957" priority="131325" stopIfTrue="1" operator="lessThan">
      <formula>0.5</formula>
    </cfRule>
  </conditionalFormatting>
  <conditionalFormatting sqref="AV14">
    <cfRule type="cellIs" dxfId="12956" priority="131326" stopIfTrue="1" operator="greaterThanOrEqual">
      <formula>0.5</formula>
    </cfRule>
  </conditionalFormatting>
  <conditionalFormatting sqref="AV15">
    <cfRule type="cellIs" dxfId="12955" priority="131327" stopIfTrue="1" operator="equal">
      <formula>-1</formula>
    </cfRule>
  </conditionalFormatting>
  <conditionalFormatting sqref="AV15">
    <cfRule type="cellIs" dxfId="12954" priority="131328" stopIfTrue="1" operator="lessThan">
      <formula>0.5</formula>
    </cfRule>
  </conditionalFormatting>
  <conditionalFormatting sqref="AV15">
    <cfRule type="cellIs" dxfId="12953" priority="131329" stopIfTrue="1" operator="greaterThanOrEqual">
      <formula>0.5</formula>
    </cfRule>
  </conditionalFormatting>
  <conditionalFormatting sqref="AX8">
    <cfRule type="cellIs" dxfId="12952" priority="131330" stopIfTrue="1" operator="equal">
      <formula>-1</formula>
    </cfRule>
  </conditionalFormatting>
  <conditionalFormatting sqref="AX8">
    <cfRule type="cellIs" dxfId="12951" priority="131331" stopIfTrue="1" operator="lessThan">
      <formula>0.5</formula>
    </cfRule>
  </conditionalFormatting>
  <conditionalFormatting sqref="AX8">
    <cfRule type="cellIs" dxfId="12950" priority="131332" stopIfTrue="1" operator="greaterThanOrEqual">
      <formula>0.5</formula>
    </cfRule>
  </conditionalFormatting>
  <conditionalFormatting sqref="AX9">
    <cfRule type="cellIs" dxfId="12949" priority="131333" stopIfTrue="1" operator="equal">
      <formula>-1</formula>
    </cfRule>
  </conditionalFormatting>
  <conditionalFormatting sqref="AX9">
    <cfRule type="cellIs" dxfId="12948" priority="131334" stopIfTrue="1" operator="lessThan">
      <formula>0.5</formula>
    </cfRule>
  </conditionalFormatting>
  <conditionalFormatting sqref="AX9">
    <cfRule type="cellIs" dxfId="12947" priority="131335" stopIfTrue="1" operator="greaterThanOrEqual">
      <formula>0.5</formula>
    </cfRule>
  </conditionalFormatting>
  <conditionalFormatting sqref="AX10">
    <cfRule type="cellIs" dxfId="12946" priority="131336" stopIfTrue="1" operator="equal">
      <formula>-1</formula>
    </cfRule>
  </conditionalFormatting>
  <conditionalFormatting sqref="AX10">
    <cfRule type="cellIs" dxfId="12945" priority="131337" stopIfTrue="1" operator="lessThan">
      <formula>0.5</formula>
    </cfRule>
  </conditionalFormatting>
  <conditionalFormatting sqref="AX10">
    <cfRule type="cellIs" dxfId="12944" priority="131338" stopIfTrue="1" operator="greaterThanOrEqual">
      <formula>0.5</formula>
    </cfRule>
  </conditionalFormatting>
  <conditionalFormatting sqref="AX11">
    <cfRule type="cellIs" dxfId="12943" priority="131339" stopIfTrue="1" operator="equal">
      <formula>-1</formula>
    </cfRule>
  </conditionalFormatting>
  <conditionalFormatting sqref="AX11">
    <cfRule type="cellIs" dxfId="12942" priority="131340" stopIfTrue="1" operator="lessThan">
      <formula>0.5</formula>
    </cfRule>
  </conditionalFormatting>
  <conditionalFormatting sqref="AX11">
    <cfRule type="cellIs" dxfId="12941" priority="131341" stopIfTrue="1" operator="greaterThanOrEqual">
      <formula>0.5</formula>
    </cfRule>
  </conditionalFormatting>
  <conditionalFormatting sqref="AX12">
    <cfRule type="cellIs" dxfId="12940" priority="131342" stopIfTrue="1" operator="equal">
      <formula>-1</formula>
    </cfRule>
  </conditionalFormatting>
  <conditionalFormatting sqref="AX12">
    <cfRule type="cellIs" dxfId="12939" priority="131343" stopIfTrue="1" operator="lessThan">
      <formula>0.5</formula>
    </cfRule>
  </conditionalFormatting>
  <conditionalFormatting sqref="AX12">
    <cfRule type="cellIs" dxfId="12938" priority="131344" stopIfTrue="1" operator="greaterThanOrEqual">
      <formula>0.5</formula>
    </cfRule>
  </conditionalFormatting>
  <conditionalFormatting sqref="AX13">
    <cfRule type="cellIs" dxfId="12937" priority="131345" stopIfTrue="1" operator="equal">
      <formula>-1</formula>
    </cfRule>
  </conditionalFormatting>
  <conditionalFormatting sqref="AX13">
    <cfRule type="cellIs" dxfId="12936" priority="131346" stopIfTrue="1" operator="lessThan">
      <formula>0.5</formula>
    </cfRule>
  </conditionalFormatting>
  <conditionalFormatting sqref="AX13">
    <cfRule type="cellIs" dxfId="12935" priority="131347" stopIfTrue="1" operator="greaterThanOrEqual">
      <formula>0.5</formula>
    </cfRule>
  </conditionalFormatting>
  <conditionalFormatting sqref="AX14">
    <cfRule type="cellIs" dxfId="12934" priority="131348" stopIfTrue="1" operator="equal">
      <formula>-1</formula>
    </cfRule>
  </conditionalFormatting>
  <conditionalFormatting sqref="AX14">
    <cfRule type="cellIs" dxfId="12933" priority="131349" stopIfTrue="1" operator="lessThan">
      <formula>0.5</formula>
    </cfRule>
  </conditionalFormatting>
  <conditionalFormatting sqref="AX14">
    <cfRule type="cellIs" dxfId="12932" priority="131350" stopIfTrue="1" operator="greaterThanOrEqual">
      <formula>0.5</formula>
    </cfRule>
  </conditionalFormatting>
  <conditionalFormatting sqref="AX15">
    <cfRule type="cellIs" dxfId="12931" priority="131351" stopIfTrue="1" operator="equal">
      <formula>-1</formula>
    </cfRule>
  </conditionalFormatting>
  <conditionalFormatting sqref="AX15">
    <cfRule type="cellIs" dxfId="12930" priority="131352" stopIfTrue="1" operator="lessThan">
      <formula>0.5</formula>
    </cfRule>
  </conditionalFormatting>
  <conditionalFormatting sqref="AX15">
    <cfRule type="cellIs" dxfId="12929" priority="131353" stopIfTrue="1" operator="greaterThanOrEqual">
      <formula>0.5</formula>
    </cfRule>
  </conditionalFormatting>
  <conditionalFormatting sqref="AZ8">
    <cfRule type="cellIs" dxfId="12928" priority="131354" stopIfTrue="1" operator="equal">
      <formula>-1</formula>
    </cfRule>
  </conditionalFormatting>
  <conditionalFormatting sqref="AZ8">
    <cfRule type="cellIs" dxfId="12927" priority="131355" stopIfTrue="1" operator="lessThan">
      <formula>0.5</formula>
    </cfRule>
  </conditionalFormatting>
  <conditionalFormatting sqref="AZ8">
    <cfRule type="cellIs" dxfId="12926" priority="131356" stopIfTrue="1" operator="greaterThanOrEqual">
      <formula>0.5</formula>
    </cfRule>
  </conditionalFormatting>
  <conditionalFormatting sqref="AZ9">
    <cfRule type="cellIs" dxfId="12925" priority="131357" stopIfTrue="1" operator="equal">
      <formula>-1</formula>
    </cfRule>
  </conditionalFormatting>
  <conditionalFormatting sqref="AZ9">
    <cfRule type="cellIs" dxfId="12924" priority="131358" stopIfTrue="1" operator="lessThan">
      <formula>0.5</formula>
    </cfRule>
  </conditionalFormatting>
  <conditionalFormatting sqref="AZ9">
    <cfRule type="cellIs" dxfId="12923" priority="131359" stopIfTrue="1" operator="greaterThanOrEqual">
      <formula>0.5</formula>
    </cfRule>
  </conditionalFormatting>
  <conditionalFormatting sqref="AZ10">
    <cfRule type="cellIs" dxfId="12922" priority="131360" stopIfTrue="1" operator="equal">
      <formula>-1</formula>
    </cfRule>
  </conditionalFormatting>
  <conditionalFormatting sqref="AZ10">
    <cfRule type="cellIs" dxfId="12921" priority="131361" stopIfTrue="1" operator="lessThan">
      <formula>0.5</formula>
    </cfRule>
  </conditionalFormatting>
  <conditionalFormatting sqref="AZ10">
    <cfRule type="cellIs" dxfId="12920" priority="131362" stopIfTrue="1" operator="greaterThanOrEqual">
      <formula>0.5</formula>
    </cfRule>
  </conditionalFormatting>
  <conditionalFormatting sqref="AZ11">
    <cfRule type="cellIs" dxfId="12919" priority="131363" stopIfTrue="1" operator="equal">
      <formula>-1</formula>
    </cfRule>
  </conditionalFormatting>
  <conditionalFormatting sqref="AZ11">
    <cfRule type="cellIs" dxfId="12918" priority="131364" stopIfTrue="1" operator="lessThan">
      <formula>0.5</formula>
    </cfRule>
  </conditionalFormatting>
  <conditionalFormatting sqref="AZ11">
    <cfRule type="cellIs" dxfId="12917" priority="131365" stopIfTrue="1" operator="greaterThanOrEqual">
      <formula>0.5</formula>
    </cfRule>
  </conditionalFormatting>
  <conditionalFormatting sqref="AZ12">
    <cfRule type="cellIs" dxfId="12916" priority="131366" stopIfTrue="1" operator="equal">
      <formula>-1</formula>
    </cfRule>
  </conditionalFormatting>
  <conditionalFormatting sqref="AZ12">
    <cfRule type="cellIs" dxfId="12915" priority="131367" stopIfTrue="1" operator="lessThan">
      <formula>0.5</formula>
    </cfRule>
  </conditionalFormatting>
  <conditionalFormatting sqref="AZ12">
    <cfRule type="cellIs" dxfId="12914" priority="131368" stopIfTrue="1" operator="greaterThanOrEqual">
      <formula>0.5</formula>
    </cfRule>
  </conditionalFormatting>
  <conditionalFormatting sqref="AZ13">
    <cfRule type="cellIs" dxfId="12913" priority="131369" stopIfTrue="1" operator="equal">
      <formula>-1</formula>
    </cfRule>
  </conditionalFormatting>
  <conditionalFormatting sqref="AZ13">
    <cfRule type="cellIs" dxfId="12912" priority="131370" stopIfTrue="1" operator="lessThan">
      <formula>0.5</formula>
    </cfRule>
  </conditionalFormatting>
  <conditionalFormatting sqref="AZ13">
    <cfRule type="cellIs" dxfId="12911" priority="131371" stopIfTrue="1" operator="greaterThanOrEqual">
      <formula>0.5</formula>
    </cfRule>
  </conditionalFormatting>
  <conditionalFormatting sqref="AZ14">
    <cfRule type="cellIs" dxfId="12910" priority="131372" stopIfTrue="1" operator="equal">
      <formula>-1</formula>
    </cfRule>
  </conditionalFormatting>
  <conditionalFormatting sqref="AZ14">
    <cfRule type="cellIs" dxfId="12909" priority="131373" stopIfTrue="1" operator="lessThan">
      <formula>0.5</formula>
    </cfRule>
  </conditionalFormatting>
  <conditionalFormatting sqref="AZ14">
    <cfRule type="cellIs" dxfId="12908" priority="131374" stopIfTrue="1" operator="greaterThanOrEqual">
      <formula>0.5</formula>
    </cfRule>
  </conditionalFormatting>
  <conditionalFormatting sqref="AZ15">
    <cfRule type="cellIs" dxfId="12907" priority="131375" stopIfTrue="1" operator="equal">
      <formula>-1</formula>
    </cfRule>
  </conditionalFormatting>
  <conditionalFormatting sqref="AZ15">
    <cfRule type="cellIs" dxfId="12906" priority="131376" stopIfTrue="1" operator="lessThan">
      <formula>0.5</formula>
    </cfRule>
  </conditionalFormatting>
  <conditionalFormatting sqref="AZ15">
    <cfRule type="cellIs" dxfId="12905" priority="131377" stopIfTrue="1" operator="greaterThanOrEqual">
      <formula>0.5</formula>
    </cfRule>
  </conditionalFormatting>
  <conditionalFormatting sqref="BB8">
    <cfRule type="cellIs" dxfId="12904" priority="131378" stopIfTrue="1" operator="equal">
      <formula>-1</formula>
    </cfRule>
  </conditionalFormatting>
  <conditionalFormatting sqref="BB8">
    <cfRule type="cellIs" dxfId="12903" priority="131379" stopIfTrue="1" operator="lessThan">
      <formula>0.5</formula>
    </cfRule>
  </conditionalFormatting>
  <conditionalFormatting sqref="BB8">
    <cfRule type="cellIs" dxfId="12902" priority="131380" stopIfTrue="1" operator="greaterThanOrEqual">
      <formula>0.5</formula>
    </cfRule>
  </conditionalFormatting>
  <conditionalFormatting sqref="BB9">
    <cfRule type="cellIs" dxfId="12901" priority="131381" stopIfTrue="1" operator="equal">
      <formula>-1</formula>
    </cfRule>
  </conditionalFormatting>
  <conditionalFormatting sqref="BB9">
    <cfRule type="cellIs" dxfId="12900" priority="131382" stopIfTrue="1" operator="lessThan">
      <formula>0.5</formula>
    </cfRule>
  </conditionalFormatting>
  <conditionalFormatting sqref="BB9">
    <cfRule type="cellIs" dxfId="12899" priority="131383" stopIfTrue="1" operator="greaterThanOrEqual">
      <formula>0.5</formula>
    </cfRule>
  </conditionalFormatting>
  <conditionalFormatting sqref="BB10">
    <cfRule type="cellIs" dxfId="12898" priority="131384" stopIfTrue="1" operator="equal">
      <formula>-1</formula>
    </cfRule>
  </conditionalFormatting>
  <conditionalFormatting sqref="BB10">
    <cfRule type="cellIs" dxfId="12897" priority="131385" stopIfTrue="1" operator="lessThan">
      <formula>0.5</formula>
    </cfRule>
  </conditionalFormatting>
  <conditionalFormatting sqref="BB10">
    <cfRule type="cellIs" dxfId="12896" priority="131386" stopIfTrue="1" operator="greaterThanOrEqual">
      <formula>0.5</formula>
    </cfRule>
  </conditionalFormatting>
  <conditionalFormatting sqref="BB11">
    <cfRule type="cellIs" dxfId="12895" priority="131387" stopIfTrue="1" operator="equal">
      <formula>-1</formula>
    </cfRule>
  </conditionalFormatting>
  <conditionalFormatting sqref="BB11">
    <cfRule type="cellIs" dxfId="12894" priority="131388" stopIfTrue="1" operator="lessThan">
      <formula>0.5</formula>
    </cfRule>
  </conditionalFormatting>
  <conditionalFormatting sqref="BB11">
    <cfRule type="cellIs" dxfId="12893" priority="131389" stopIfTrue="1" operator="greaterThanOrEqual">
      <formula>0.5</formula>
    </cfRule>
  </conditionalFormatting>
  <conditionalFormatting sqref="BB12">
    <cfRule type="cellIs" dxfId="12892" priority="131390" stopIfTrue="1" operator="equal">
      <formula>-1</formula>
    </cfRule>
  </conditionalFormatting>
  <conditionalFormatting sqref="BB12">
    <cfRule type="cellIs" dxfId="12891" priority="131391" stopIfTrue="1" operator="lessThan">
      <formula>0.5</formula>
    </cfRule>
  </conditionalFormatting>
  <conditionalFormatting sqref="BB12">
    <cfRule type="cellIs" dxfId="12890" priority="131392" stopIfTrue="1" operator="greaterThanOrEqual">
      <formula>0.5</formula>
    </cfRule>
  </conditionalFormatting>
  <conditionalFormatting sqref="BB13">
    <cfRule type="cellIs" dxfId="12889" priority="131393" stopIfTrue="1" operator="equal">
      <formula>-1</formula>
    </cfRule>
  </conditionalFormatting>
  <conditionalFormatting sqref="BB13">
    <cfRule type="cellIs" dxfId="12888" priority="131394" stopIfTrue="1" operator="lessThan">
      <formula>0.5</formula>
    </cfRule>
  </conditionalFormatting>
  <conditionalFormatting sqref="BB13">
    <cfRule type="cellIs" dxfId="12887" priority="131395" stopIfTrue="1" operator="greaterThanOrEqual">
      <formula>0.5</formula>
    </cfRule>
  </conditionalFormatting>
  <conditionalFormatting sqref="BB14">
    <cfRule type="cellIs" dxfId="12886" priority="131396" stopIfTrue="1" operator="equal">
      <formula>-1</formula>
    </cfRule>
  </conditionalFormatting>
  <conditionalFormatting sqref="BB14">
    <cfRule type="cellIs" dxfId="12885" priority="131397" stopIfTrue="1" operator="lessThan">
      <formula>0.5</formula>
    </cfRule>
  </conditionalFormatting>
  <conditionalFormatting sqref="BB14">
    <cfRule type="cellIs" dxfId="12884" priority="131398" stopIfTrue="1" operator="greaterThanOrEqual">
      <formula>0.5</formula>
    </cfRule>
  </conditionalFormatting>
  <conditionalFormatting sqref="BB15">
    <cfRule type="cellIs" dxfId="12883" priority="131399" stopIfTrue="1" operator="equal">
      <formula>-1</formula>
    </cfRule>
  </conditionalFormatting>
  <conditionalFormatting sqref="BB15">
    <cfRule type="cellIs" dxfId="12882" priority="131400" stopIfTrue="1" operator="lessThan">
      <formula>0.5</formula>
    </cfRule>
  </conditionalFormatting>
  <conditionalFormatting sqref="BB15">
    <cfRule type="cellIs" dxfId="12881" priority="131401" stopIfTrue="1" operator="greaterThanOrEqual">
      <formula>0.5</formula>
    </cfRule>
  </conditionalFormatting>
  <conditionalFormatting sqref="BD8">
    <cfRule type="cellIs" dxfId="12880" priority="131402" stopIfTrue="1" operator="equal">
      <formula>-1</formula>
    </cfRule>
  </conditionalFormatting>
  <conditionalFormatting sqref="BD8">
    <cfRule type="cellIs" dxfId="12879" priority="131403" stopIfTrue="1" operator="lessThan">
      <formula>0.5</formula>
    </cfRule>
  </conditionalFormatting>
  <conditionalFormatting sqref="BD8">
    <cfRule type="cellIs" dxfId="12878" priority="131404" stopIfTrue="1" operator="greaterThanOrEqual">
      <formula>0.5</formula>
    </cfRule>
  </conditionalFormatting>
  <conditionalFormatting sqref="BD9">
    <cfRule type="cellIs" dxfId="12877" priority="131405" stopIfTrue="1" operator="equal">
      <formula>-1</formula>
    </cfRule>
  </conditionalFormatting>
  <conditionalFormatting sqref="BD9">
    <cfRule type="cellIs" dxfId="12876" priority="131406" stopIfTrue="1" operator="lessThan">
      <formula>0.5</formula>
    </cfRule>
  </conditionalFormatting>
  <conditionalFormatting sqref="BD9">
    <cfRule type="cellIs" dxfId="12875" priority="131407" stopIfTrue="1" operator="greaterThanOrEqual">
      <formula>0.5</formula>
    </cfRule>
  </conditionalFormatting>
  <conditionalFormatting sqref="BD10">
    <cfRule type="cellIs" dxfId="12874" priority="131408" stopIfTrue="1" operator="equal">
      <formula>-1</formula>
    </cfRule>
  </conditionalFormatting>
  <conditionalFormatting sqref="BD10">
    <cfRule type="cellIs" dxfId="12873" priority="131409" stopIfTrue="1" operator="lessThan">
      <formula>0.5</formula>
    </cfRule>
  </conditionalFormatting>
  <conditionalFormatting sqref="BD10">
    <cfRule type="cellIs" dxfId="12872" priority="131410" stopIfTrue="1" operator="greaterThanOrEqual">
      <formula>0.5</formula>
    </cfRule>
  </conditionalFormatting>
  <conditionalFormatting sqref="BD11">
    <cfRule type="cellIs" dxfId="12871" priority="131411" stopIfTrue="1" operator="equal">
      <formula>-1</formula>
    </cfRule>
  </conditionalFormatting>
  <conditionalFormatting sqref="BD11">
    <cfRule type="cellIs" dxfId="12870" priority="131412" stopIfTrue="1" operator="lessThan">
      <formula>0.5</formula>
    </cfRule>
  </conditionalFormatting>
  <conditionalFormatting sqref="BD11">
    <cfRule type="cellIs" dxfId="12869" priority="131413" stopIfTrue="1" operator="greaterThanOrEqual">
      <formula>0.5</formula>
    </cfRule>
  </conditionalFormatting>
  <conditionalFormatting sqref="BD12">
    <cfRule type="cellIs" dxfId="12868" priority="131414" stopIfTrue="1" operator="equal">
      <formula>-1</formula>
    </cfRule>
  </conditionalFormatting>
  <conditionalFormatting sqref="BD12">
    <cfRule type="cellIs" dxfId="12867" priority="131415" stopIfTrue="1" operator="lessThan">
      <formula>0.5</formula>
    </cfRule>
  </conditionalFormatting>
  <conditionalFormatting sqref="BD12">
    <cfRule type="cellIs" dxfId="12866" priority="131416" stopIfTrue="1" operator="greaterThanOrEqual">
      <formula>0.5</formula>
    </cfRule>
  </conditionalFormatting>
  <conditionalFormatting sqref="BD13">
    <cfRule type="cellIs" dxfId="12865" priority="131417" stopIfTrue="1" operator="equal">
      <formula>-1</formula>
    </cfRule>
  </conditionalFormatting>
  <conditionalFormatting sqref="BD13">
    <cfRule type="cellIs" dxfId="12864" priority="131418" stopIfTrue="1" operator="lessThan">
      <formula>0.5</formula>
    </cfRule>
  </conditionalFormatting>
  <conditionalFormatting sqref="BD13">
    <cfRule type="cellIs" dxfId="12863" priority="131419" stopIfTrue="1" operator="greaterThanOrEqual">
      <formula>0.5</formula>
    </cfRule>
  </conditionalFormatting>
  <conditionalFormatting sqref="BD14">
    <cfRule type="cellIs" dxfId="12862" priority="131420" stopIfTrue="1" operator="equal">
      <formula>-1</formula>
    </cfRule>
  </conditionalFormatting>
  <conditionalFormatting sqref="BD14">
    <cfRule type="cellIs" dxfId="12861" priority="131421" stopIfTrue="1" operator="lessThan">
      <formula>0.5</formula>
    </cfRule>
  </conditionalFormatting>
  <conditionalFormatting sqref="BD14">
    <cfRule type="cellIs" dxfId="12860" priority="131422" stopIfTrue="1" operator="greaterThanOrEqual">
      <formula>0.5</formula>
    </cfRule>
  </conditionalFormatting>
  <conditionalFormatting sqref="BD15">
    <cfRule type="cellIs" dxfId="12859" priority="131423" stopIfTrue="1" operator="equal">
      <formula>-1</formula>
    </cfRule>
  </conditionalFormatting>
  <conditionalFormatting sqref="BD15">
    <cfRule type="cellIs" dxfId="12858" priority="131424" stopIfTrue="1" operator="lessThan">
      <formula>0.5</formula>
    </cfRule>
  </conditionalFormatting>
  <conditionalFormatting sqref="BD15">
    <cfRule type="cellIs" dxfId="12857" priority="131425" stopIfTrue="1" operator="greaterThanOrEqual">
      <formula>0.5</formula>
    </cfRule>
  </conditionalFormatting>
  <conditionalFormatting sqref="BF8">
    <cfRule type="cellIs" dxfId="12856" priority="131426" stopIfTrue="1" operator="equal">
      <formula>-1</formula>
    </cfRule>
  </conditionalFormatting>
  <conditionalFormatting sqref="BF8">
    <cfRule type="cellIs" dxfId="12855" priority="131427" stopIfTrue="1" operator="lessThan">
      <formula>0.5</formula>
    </cfRule>
  </conditionalFormatting>
  <conditionalFormatting sqref="BF8">
    <cfRule type="cellIs" dxfId="12854" priority="131428" stopIfTrue="1" operator="greaterThanOrEqual">
      <formula>0.5</formula>
    </cfRule>
  </conditionalFormatting>
  <conditionalFormatting sqref="BF9">
    <cfRule type="cellIs" dxfId="12853" priority="131429" stopIfTrue="1" operator="equal">
      <formula>-1</formula>
    </cfRule>
  </conditionalFormatting>
  <conditionalFormatting sqref="BF9">
    <cfRule type="cellIs" dxfId="12852" priority="131430" stopIfTrue="1" operator="lessThan">
      <formula>0.5</formula>
    </cfRule>
  </conditionalFormatting>
  <conditionalFormatting sqref="BF9">
    <cfRule type="cellIs" dxfId="12851" priority="131431" stopIfTrue="1" operator="greaterThanOrEqual">
      <formula>0.5</formula>
    </cfRule>
  </conditionalFormatting>
  <conditionalFormatting sqref="BF10">
    <cfRule type="cellIs" dxfId="12850" priority="131432" stopIfTrue="1" operator="equal">
      <formula>-1</formula>
    </cfRule>
  </conditionalFormatting>
  <conditionalFormatting sqref="BF10">
    <cfRule type="cellIs" dxfId="12849" priority="131433" stopIfTrue="1" operator="lessThan">
      <formula>0.5</formula>
    </cfRule>
  </conditionalFormatting>
  <conditionalFormatting sqref="BF10">
    <cfRule type="cellIs" dxfId="12848" priority="131434" stopIfTrue="1" operator="greaterThanOrEqual">
      <formula>0.5</formula>
    </cfRule>
  </conditionalFormatting>
  <conditionalFormatting sqref="BF11">
    <cfRule type="cellIs" dxfId="12847" priority="131435" stopIfTrue="1" operator="equal">
      <formula>-1</formula>
    </cfRule>
  </conditionalFormatting>
  <conditionalFormatting sqref="BF11">
    <cfRule type="cellIs" dxfId="12846" priority="131436" stopIfTrue="1" operator="lessThan">
      <formula>0.5</formula>
    </cfRule>
  </conditionalFormatting>
  <conditionalFormatting sqref="BF11">
    <cfRule type="cellIs" dxfId="12845" priority="131437" stopIfTrue="1" operator="greaterThanOrEqual">
      <formula>0.5</formula>
    </cfRule>
  </conditionalFormatting>
  <conditionalFormatting sqref="BF12">
    <cfRule type="cellIs" dxfId="12844" priority="131438" stopIfTrue="1" operator="equal">
      <formula>-1</formula>
    </cfRule>
  </conditionalFormatting>
  <conditionalFormatting sqref="BF12">
    <cfRule type="cellIs" dxfId="12843" priority="131439" stopIfTrue="1" operator="lessThan">
      <formula>0.5</formula>
    </cfRule>
  </conditionalFormatting>
  <conditionalFormatting sqref="BF12">
    <cfRule type="cellIs" dxfId="12842" priority="131440" stopIfTrue="1" operator="greaterThanOrEqual">
      <formula>0.5</formula>
    </cfRule>
  </conditionalFormatting>
  <conditionalFormatting sqref="BF13">
    <cfRule type="cellIs" dxfId="12841" priority="131441" stopIfTrue="1" operator="equal">
      <formula>-1</formula>
    </cfRule>
  </conditionalFormatting>
  <conditionalFormatting sqref="BF13">
    <cfRule type="cellIs" dxfId="12840" priority="131442" stopIfTrue="1" operator="lessThan">
      <formula>0.5</formula>
    </cfRule>
  </conditionalFormatting>
  <conditionalFormatting sqref="BF13">
    <cfRule type="cellIs" dxfId="12839" priority="131443" stopIfTrue="1" operator="greaterThanOrEqual">
      <formula>0.5</formula>
    </cfRule>
  </conditionalFormatting>
  <conditionalFormatting sqref="BF14">
    <cfRule type="cellIs" dxfId="12838" priority="131444" stopIfTrue="1" operator="equal">
      <formula>-1</formula>
    </cfRule>
  </conditionalFormatting>
  <conditionalFormatting sqref="BF14">
    <cfRule type="cellIs" dxfId="12837" priority="131445" stopIfTrue="1" operator="lessThan">
      <formula>0.5</formula>
    </cfRule>
  </conditionalFormatting>
  <conditionalFormatting sqref="BF14">
    <cfRule type="cellIs" dxfId="12836" priority="131446" stopIfTrue="1" operator="greaterThanOrEqual">
      <formula>0.5</formula>
    </cfRule>
  </conditionalFormatting>
  <conditionalFormatting sqref="BF15">
    <cfRule type="cellIs" dxfId="12835" priority="131447" stopIfTrue="1" operator="equal">
      <formula>-1</formula>
    </cfRule>
  </conditionalFormatting>
  <conditionalFormatting sqref="BF15">
    <cfRule type="cellIs" dxfId="12834" priority="131448" stopIfTrue="1" operator="lessThan">
      <formula>0.5</formula>
    </cfRule>
  </conditionalFormatting>
  <conditionalFormatting sqref="BF15">
    <cfRule type="cellIs" dxfId="12833" priority="131449" stopIfTrue="1" operator="greaterThanOrEqual">
      <formula>0.5</formula>
    </cfRule>
  </conditionalFormatting>
  <conditionalFormatting sqref="BH8">
    <cfRule type="cellIs" dxfId="12832" priority="131450" stopIfTrue="1" operator="equal">
      <formula>-1</formula>
    </cfRule>
  </conditionalFormatting>
  <conditionalFormatting sqref="BH8">
    <cfRule type="cellIs" dxfId="12831" priority="131451" stopIfTrue="1" operator="lessThan">
      <formula>0.5</formula>
    </cfRule>
  </conditionalFormatting>
  <conditionalFormatting sqref="BH8">
    <cfRule type="cellIs" dxfId="12830" priority="131452" stopIfTrue="1" operator="greaterThanOrEqual">
      <formula>0.5</formula>
    </cfRule>
  </conditionalFormatting>
  <conditionalFormatting sqref="BH9">
    <cfRule type="cellIs" dxfId="12829" priority="131453" stopIfTrue="1" operator="equal">
      <formula>-1</formula>
    </cfRule>
  </conditionalFormatting>
  <conditionalFormatting sqref="BH9">
    <cfRule type="cellIs" dxfId="12828" priority="131454" stopIfTrue="1" operator="lessThan">
      <formula>0.5</formula>
    </cfRule>
  </conditionalFormatting>
  <conditionalFormatting sqref="BH9">
    <cfRule type="cellIs" dxfId="12827" priority="131455" stopIfTrue="1" operator="greaterThanOrEqual">
      <formula>0.5</formula>
    </cfRule>
  </conditionalFormatting>
  <conditionalFormatting sqref="BH10">
    <cfRule type="cellIs" dxfId="12826" priority="131456" stopIfTrue="1" operator="equal">
      <formula>-1</formula>
    </cfRule>
  </conditionalFormatting>
  <conditionalFormatting sqref="BH10">
    <cfRule type="cellIs" dxfId="12825" priority="131457" stopIfTrue="1" operator="lessThan">
      <formula>0.5</formula>
    </cfRule>
  </conditionalFormatting>
  <conditionalFormatting sqref="BH10">
    <cfRule type="cellIs" dxfId="12824" priority="131458" stopIfTrue="1" operator="greaterThanOrEqual">
      <formula>0.5</formula>
    </cfRule>
  </conditionalFormatting>
  <conditionalFormatting sqref="BH11">
    <cfRule type="cellIs" dxfId="12823" priority="131459" stopIfTrue="1" operator="equal">
      <formula>-1</formula>
    </cfRule>
  </conditionalFormatting>
  <conditionalFormatting sqref="BH11">
    <cfRule type="cellIs" dxfId="12822" priority="131460" stopIfTrue="1" operator="lessThan">
      <formula>0.5</formula>
    </cfRule>
  </conditionalFormatting>
  <conditionalFormatting sqref="BH11">
    <cfRule type="cellIs" dxfId="12821" priority="131461" stopIfTrue="1" operator="greaterThanOrEqual">
      <formula>0.5</formula>
    </cfRule>
  </conditionalFormatting>
  <conditionalFormatting sqref="BH12">
    <cfRule type="cellIs" dxfId="12820" priority="131462" stopIfTrue="1" operator="equal">
      <formula>-1</formula>
    </cfRule>
  </conditionalFormatting>
  <conditionalFormatting sqref="BH12">
    <cfRule type="cellIs" dxfId="12819" priority="131463" stopIfTrue="1" operator="lessThan">
      <formula>0.5</formula>
    </cfRule>
  </conditionalFormatting>
  <conditionalFormatting sqref="BH12">
    <cfRule type="cellIs" dxfId="12818" priority="131464" stopIfTrue="1" operator="greaterThanOrEqual">
      <formula>0.5</formula>
    </cfRule>
  </conditionalFormatting>
  <conditionalFormatting sqref="BH13">
    <cfRule type="cellIs" dxfId="12817" priority="131465" stopIfTrue="1" operator="equal">
      <formula>-1</formula>
    </cfRule>
  </conditionalFormatting>
  <conditionalFormatting sqref="BH13">
    <cfRule type="cellIs" dxfId="12816" priority="131466" stopIfTrue="1" operator="lessThan">
      <formula>0.5</formula>
    </cfRule>
  </conditionalFormatting>
  <conditionalFormatting sqref="BH13">
    <cfRule type="cellIs" dxfId="12815" priority="131467" stopIfTrue="1" operator="greaterThanOrEqual">
      <formula>0.5</formula>
    </cfRule>
  </conditionalFormatting>
  <conditionalFormatting sqref="BH14">
    <cfRule type="cellIs" dxfId="12814" priority="131468" stopIfTrue="1" operator="equal">
      <formula>-1</formula>
    </cfRule>
  </conditionalFormatting>
  <conditionalFormatting sqref="BH14">
    <cfRule type="cellIs" dxfId="12813" priority="131469" stopIfTrue="1" operator="lessThan">
      <formula>0.5</formula>
    </cfRule>
  </conditionalFormatting>
  <conditionalFormatting sqref="BH14">
    <cfRule type="cellIs" dxfId="12812" priority="131470" stopIfTrue="1" operator="greaterThanOrEqual">
      <formula>0.5</formula>
    </cfRule>
  </conditionalFormatting>
  <conditionalFormatting sqref="BH15">
    <cfRule type="cellIs" dxfId="12811" priority="131471" stopIfTrue="1" operator="equal">
      <formula>-1</formula>
    </cfRule>
  </conditionalFormatting>
  <conditionalFormatting sqref="BH15">
    <cfRule type="cellIs" dxfId="12810" priority="131472" stopIfTrue="1" operator="lessThan">
      <formula>0.5</formula>
    </cfRule>
  </conditionalFormatting>
  <conditionalFormatting sqref="BH15">
    <cfRule type="cellIs" dxfId="12809" priority="131473" stopIfTrue="1" operator="greaterThanOrEqual">
      <formula>0.5</formula>
    </cfRule>
  </conditionalFormatting>
  <conditionalFormatting sqref="BJ8">
    <cfRule type="cellIs" dxfId="12808" priority="131474" stopIfTrue="1" operator="equal">
      <formula>-1</formula>
    </cfRule>
  </conditionalFormatting>
  <conditionalFormatting sqref="BJ8">
    <cfRule type="cellIs" dxfId="12807" priority="131475" stopIfTrue="1" operator="lessThan">
      <formula>0.5</formula>
    </cfRule>
  </conditionalFormatting>
  <conditionalFormatting sqref="BJ8">
    <cfRule type="cellIs" dxfId="12806" priority="131476" stopIfTrue="1" operator="greaterThanOrEqual">
      <formula>0.5</formula>
    </cfRule>
  </conditionalFormatting>
  <conditionalFormatting sqref="BJ9">
    <cfRule type="cellIs" dxfId="12805" priority="131477" stopIfTrue="1" operator="equal">
      <formula>-1</formula>
    </cfRule>
  </conditionalFormatting>
  <conditionalFormatting sqref="BJ9">
    <cfRule type="cellIs" dxfId="12804" priority="131478" stopIfTrue="1" operator="lessThan">
      <formula>0.5</formula>
    </cfRule>
  </conditionalFormatting>
  <conditionalFormatting sqref="BJ9">
    <cfRule type="cellIs" dxfId="12803" priority="131479" stopIfTrue="1" operator="greaterThanOrEqual">
      <formula>0.5</formula>
    </cfRule>
  </conditionalFormatting>
  <conditionalFormatting sqref="BJ10">
    <cfRule type="cellIs" dxfId="12802" priority="131480" stopIfTrue="1" operator="equal">
      <formula>-1</formula>
    </cfRule>
  </conditionalFormatting>
  <conditionalFormatting sqref="BJ10">
    <cfRule type="cellIs" dxfId="12801" priority="131481" stopIfTrue="1" operator="lessThan">
      <formula>0.5</formula>
    </cfRule>
  </conditionalFormatting>
  <conditionalFormatting sqref="BJ10">
    <cfRule type="cellIs" dxfId="12800" priority="131482" stopIfTrue="1" operator="greaterThanOrEqual">
      <formula>0.5</formula>
    </cfRule>
  </conditionalFormatting>
  <conditionalFormatting sqref="BJ11">
    <cfRule type="cellIs" dxfId="12799" priority="131483" stopIfTrue="1" operator="equal">
      <formula>-1</formula>
    </cfRule>
  </conditionalFormatting>
  <conditionalFormatting sqref="BJ11">
    <cfRule type="cellIs" dxfId="12798" priority="131484" stopIfTrue="1" operator="lessThan">
      <formula>0.5</formula>
    </cfRule>
  </conditionalFormatting>
  <conditionalFormatting sqref="BJ11">
    <cfRule type="cellIs" dxfId="12797" priority="131485" stopIfTrue="1" operator="greaterThanOrEqual">
      <formula>0.5</formula>
    </cfRule>
  </conditionalFormatting>
  <conditionalFormatting sqref="BJ12">
    <cfRule type="cellIs" dxfId="12796" priority="131486" stopIfTrue="1" operator="equal">
      <formula>-1</formula>
    </cfRule>
  </conditionalFormatting>
  <conditionalFormatting sqref="BJ12">
    <cfRule type="cellIs" dxfId="12795" priority="131487" stopIfTrue="1" operator="lessThan">
      <formula>0.5</formula>
    </cfRule>
  </conditionalFormatting>
  <conditionalFormatting sqref="BJ12">
    <cfRule type="cellIs" dxfId="12794" priority="131488" stopIfTrue="1" operator="greaterThanOrEqual">
      <formula>0.5</formula>
    </cfRule>
  </conditionalFormatting>
  <conditionalFormatting sqref="BJ13">
    <cfRule type="cellIs" dxfId="12793" priority="131489" stopIfTrue="1" operator="equal">
      <formula>-1</formula>
    </cfRule>
  </conditionalFormatting>
  <conditionalFormatting sqref="BJ13">
    <cfRule type="cellIs" dxfId="12792" priority="131490" stopIfTrue="1" operator="lessThan">
      <formula>0.5</formula>
    </cfRule>
  </conditionalFormatting>
  <conditionalFormatting sqref="BJ13">
    <cfRule type="cellIs" dxfId="12791" priority="131491" stopIfTrue="1" operator="greaterThanOrEqual">
      <formula>0.5</formula>
    </cfRule>
  </conditionalFormatting>
  <conditionalFormatting sqref="BJ14">
    <cfRule type="cellIs" dxfId="12790" priority="131492" stopIfTrue="1" operator="equal">
      <formula>-1</formula>
    </cfRule>
  </conditionalFormatting>
  <conditionalFormatting sqref="BJ14">
    <cfRule type="cellIs" dxfId="12789" priority="131493" stopIfTrue="1" operator="lessThan">
      <formula>0.5</formula>
    </cfRule>
  </conditionalFormatting>
  <conditionalFormatting sqref="BJ14">
    <cfRule type="cellIs" dxfId="12788" priority="131494" stopIfTrue="1" operator="greaterThanOrEqual">
      <formula>0.5</formula>
    </cfRule>
  </conditionalFormatting>
  <conditionalFormatting sqref="BJ15">
    <cfRule type="cellIs" dxfId="12787" priority="131495" stopIfTrue="1" operator="equal">
      <formula>-1</formula>
    </cfRule>
  </conditionalFormatting>
  <conditionalFormatting sqref="BJ15">
    <cfRule type="cellIs" dxfId="12786" priority="131496" stopIfTrue="1" operator="lessThan">
      <formula>0.5</formula>
    </cfRule>
  </conditionalFormatting>
  <conditionalFormatting sqref="BJ15">
    <cfRule type="cellIs" dxfId="12785" priority="131497" stopIfTrue="1" operator="greaterThanOrEqual">
      <formula>0.5</formula>
    </cfRule>
  </conditionalFormatting>
  <conditionalFormatting sqref="D17">
    <cfRule type="cellIs" dxfId="12784" priority="131498" stopIfTrue="1" operator="equal">
      <formula>-1</formula>
    </cfRule>
  </conditionalFormatting>
  <conditionalFormatting sqref="D17">
    <cfRule type="cellIs" dxfId="12783" priority="131499" stopIfTrue="1" operator="lessThan">
      <formula>0.5</formula>
    </cfRule>
  </conditionalFormatting>
  <conditionalFormatting sqref="D17">
    <cfRule type="cellIs" dxfId="12782" priority="131500" stopIfTrue="1" operator="greaterThanOrEqual">
      <formula>0.5</formula>
    </cfRule>
  </conditionalFormatting>
  <conditionalFormatting sqref="D18">
    <cfRule type="cellIs" dxfId="12781" priority="131501" stopIfTrue="1" operator="equal">
      <formula>-1</formula>
    </cfRule>
  </conditionalFormatting>
  <conditionalFormatting sqref="D18">
    <cfRule type="cellIs" dxfId="12780" priority="131502" stopIfTrue="1" operator="lessThan">
      <formula>0.5</formula>
    </cfRule>
  </conditionalFormatting>
  <conditionalFormatting sqref="D18">
    <cfRule type="cellIs" dxfId="12779" priority="131503" stopIfTrue="1" operator="greaterThanOrEqual">
      <formula>0.5</formula>
    </cfRule>
  </conditionalFormatting>
  <conditionalFormatting sqref="D19">
    <cfRule type="cellIs" dxfId="12778" priority="131504" stopIfTrue="1" operator="equal">
      <formula>-1</formula>
    </cfRule>
  </conditionalFormatting>
  <conditionalFormatting sqref="D19">
    <cfRule type="cellIs" dxfId="12777" priority="131505" stopIfTrue="1" operator="lessThan">
      <formula>0.5</formula>
    </cfRule>
  </conditionalFormatting>
  <conditionalFormatting sqref="D19">
    <cfRule type="cellIs" dxfId="12776" priority="131506" stopIfTrue="1" operator="greaterThanOrEqual">
      <formula>0.5</formula>
    </cfRule>
  </conditionalFormatting>
  <conditionalFormatting sqref="D20">
    <cfRule type="cellIs" dxfId="12775" priority="131507" stopIfTrue="1" operator="equal">
      <formula>-1</formula>
    </cfRule>
  </conditionalFormatting>
  <conditionalFormatting sqref="D20">
    <cfRule type="cellIs" dxfId="12774" priority="131508" stopIfTrue="1" operator="lessThan">
      <formula>0.5</formula>
    </cfRule>
  </conditionalFormatting>
  <conditionalFormatting sqref="D20">
    <cfRule type="cellIs" dxfId="12773" priority="131509" stopIfTrue="1" operator="greaterThanOrEqual">
      <formula>0.5</formula>
    </cfRule>
  </conditionalFormatting>
  <conditionalFormatting sqref="D21">
    <cfRule type="cellIs" dxfId="12772" priority="131510" stopIfTrue="1" operator="equal">
      <formula>-1</formula>
    </cfRule>
  </conditionalFormatting>
  <conditionalFormatting sqref="D21">
    <cfRule type="cellIs" dxfId="12771" priority="131511" stopIfTrue="1" operator="lessThan">
      <formula>0.5</formula>
    </cfRule>
  </conditionalFormatting>
  <conditionalFormatting sqref="D21">
    <cfRule type="cellIs" dxfId="12770" priority="131512" stopIfTrue="1" operator="greaterThanOrEqual">
      <formula>0.5</formula>
    </cfRule>
  </conditionalFormatting>
  <conditionalFormatting sqref="D22">
    <cfRule type="cellIs" dxfId="12769" priority="131513" stopIfTrue="1" operator="equal">
      <formula>-1</formula>
    </cfRule>
  </conditionalFormatting>
  <conditionalFormatting sqref="D22">
    <cfRule type="cellIs" dxfId="12768" priority="131514" stopIfTrue="1" operator="lessThan">
      <formula>0.5</formula>
    </cfRule>
  </conditionalFormatting>
  <conditionalFormatting sqref="D22">
    <cfRule type="cellIs" dxfId="12767" priority="131515" stopIfTrue="1" operator="greaterThanOrEqual">
      <formula>0.5</formula>
    </cfRule>
  </conditionalFormatting>
  <conditionalFormatting sqref="D23">
    <cfRule type="cellIs" dxfId="12766" priority="131516" stopIfTrue="1" operator="equal">
      <formula>-1</formula>
    </cfRule>
  </conditionalFormatting>
  <conditionalFormatting sqref="D23">
    <cfRule type="cellIs" dxfId="12765" priority="131517" stopIfTrue="1" operator="lessThan">
      <formula>0.5</formula>
    </cfRule>
  </conditionalFormatting>
  <conditionalFormatting sqref="D23">
    <cfRule type="cellIs" dxfId="12764" priority="131518" stopIfTrue="1" operator="greaterThanOrEqual">
      <formula>0.5</formula>
    </cfRule>
  </conditionalFormatting>
  <conditionalFormatting sqref="D24">
    <cfRule type="cellIs" dxfId="12763" priority="131519" stopIfTrue="1" operator="equal">
      <formula>-1</formula>
    </cfRule>
  </conditionalFormatting>
  <conditionalFormatting sqref="D24">
    <cfRule type="cellIs" dxfId="12762" priority="131520" stopIfTrue="1" operator="lessThan">
      <formula>0.5</formula>
    </cfRule>
  </conditionalFormatting>
  <conditionalFormatting sqref="D24">
    <cfRule type="cellIs" dxfId="12761" priority="131521" stopIfTrue="1" operator="greaterThanOrEqual">
      <formula>0.5</formula>
    </cfRule>
  </conditionalFormatting>
  <conditionalFormatting sqref="D25">
    <cfRule type="cellIs" dxfId="12760" priority="131522" stopIfTrue="1" operator="equal">
      <formula>-1</formula>
    </cfRule>
  </conditionalFormatting>
  <conditionalFormatting sqref="D25">
    <cfRule type="cellIs" dxfId="12759" priority="131523" stopIfTrue="1" operator="lessThan">
      <formula>0.5</formula>
    </cfRule>
  </conditionalFormatting>
  <conditionalFormatting sqref="D25">
    <cfRule type="cellIs" dxfId="12758" priority="131524" stopIfTrue="1" operator="greaterThanOrEqual">
      <formula>0.5</formula>
    </cfRule>
  </conditionalFormatting>
  <conditionalFormatting sqref="D26">
    <cfRule type="cellIs" dxfId="12757" priority="131525" stopIfTrue="1" operator="equal">
      <formula>-1</formula>
    </cfRule>
  </conditionalFormatting>
  <conditionalFormatting sqref="D26">
    <cfRule type="cellIs" dxfId="12756" priority="131526" stopIfTrue="1" operator="lessThan">
      <formula>0.5</formula>
    </cfRule>
  </conditionalFormatting>
  <conditionalFormatting sqref="D26">
    <cfRule type="cellIs" dxfId="12755" priority="131527" stopIfTrue="1" operator="greaterThanOrEqual">
      <formula>0.5</formula>
    </cfRule>
  </conditionalFormatting>
  <conditionalFormatting sqref="D27">
    <cfRule type="cellIs" dxfId="12754" priority="131528" stopIfTrue="1" operator="equal">
      <formula>-1</formula>
    </cfRule>
  </conditionalFormatting>
  <conditionalFormatting sqref="D27">
    <cfRule type="cellIs" dxfId="12753" priority="131529" stopIfTrue="1" operator="lessThan">
      <formula>0.5</formula>
    </cfRule>
  </conditionalFormatting>
  <conditionalFormatting sqref="D27">
    <cfRule type="cellIs" dxfId="12752" priority="131530" stopIfTrue="1" operator="greaterThanOrEqual">
      <formula>0.5</formula>
    </cfRule>
  </conditionalFormatting>
  <conditionalFormatting sqref="D28">
    <cfRule type="cellIs" dxfId="12751" priority="131531" stopIfTrue="1" operator="equal">
      <formula>-1</formula>
    </cfRule>
  </conditionalFormatting>
  <conditionalFormatting sqref="D28">
    <cfRule type="cellIs" dxfId="12750" priority="131532" stopIfTrue="1" operator="lessThan">
      <formula>0.5</formula>
    </cfRule>
  </conditionalFormatting>
  <conditionalFormatting sqref="D28">
    <cfRule type="cellIs" dxfId="12749" priority="131533" stopIfTrue="1" operator="greaterThanOrEqual">
      <formula>0.5</formula>
    </cfRule>
  </conditionalFormatting>
  <conditionalFormatting sqref="D29">
    <cfRule type="cellIs" dxfId="12748" priority="131534" stopIfTrue="1" operator="equal">
      <formula>-1</formula>
    </cfRule>
  </conditionalFormatting>
  <conditionalFormatting sqref="D29">
    <cfRule type="cellIs" dxfId="12747" priority="131535" stopIfTrue="1" operator="lessThan">
      <formula>0.5</formula>
    </cfRule>
  </conditionalFormatting>
  <conditionalFormatting sqref="D29">
    <cfRule type="cellIs" dxfId="12746" priority="131536" stopIfTrue="1" operator="greaterThanOrEqual">
      <formula>0.5</formula>
    </cfRule>
  </conditionalFormatting>
  <conditionalFormatting sqref="D30">
    <cfRule type="cellIs" dxfId="12745" priority="131537" stopIfTrue="1" operator="equal">
      <formula>-1</formula>
    </cfRule>
  </conditionalFormatting>
  <conditionalFormatting sqref="D30">
    <cfRule type="cellIs" dxfId="12744" priority="131538" stopIfTrue="1" operator="lessThan">
      <formula>0.5</formula>
    </cfRule>
  </conditionalFormatting>
  <conditionalFormatting sqref="D30">
    <cfRule type="cellIs" dxfId="12743" priority="131539" stopIfTrue="1" operator="greaterThanOrEqual">
      <formula>0.5</formula>
    </cfRule>
  </conditionalFormatting>
  <conditionalFormatting sqref="D31">
    <cfRule type="cellIs" dxfId="12742" priority="131540" stopIfTrue="1" operator="equal">
      <formula>-1</formula>
    </cfRule>
  </conditionalFormatting>
  <conditionalFormatting sqref="D31">
    <cfRule type="cellIs" dxfId="12741" priority="131541" stopIfTrue="1" operator="lessThan">
      <formula>0.5</formula>
    </cfRule>
  </conditionalFormatting>
  <conditionalFormatting sqref="D31">
    <cfRule type="cellIs" dxfId="12740" priority="131542" stopIfTrue="1" operator="greaterThanOrEqual">
      <formula>0.5</formula>
    </cfRule>
  </conditionalFormatting>
  <conditionalFormatting sqref="D32">
    <cfRule type="cellIs" dxfId="12739" priority="131543" stopIfTrue="1" operator="equal">
      <formula>-1</formula>
    </cfRule>
  </conditionalFormatting>
  <conditionalFormatting sqref="D32">
    <cfRule type="cellIs" dxfId="12738" priority="131544" stopIfTrue="1" operator="lessThan">
      <formula>0.5</formula>
    </cfRule>
  </conditionalFormatting>
  <conditionalFormatting sqref="D32">
    <cfRule type="cellIs" dxfId="12737" priority="131545" stopIfTrue="1" operator="greaterThanOrEqual">
      <formula>0.5</formula>
    </cfRule>
  </conditionalFormatting>
  <conditionalFormatting sqref="D33">
    <cfRule type="cellIs" dxfId="12736" priority="131546" stopIfTrue="1" operator="equal">
      <formula>-1</formula>
    </cfRule>
  </conditionalFormatting>
  <conditionalFormatting sqref="D33">
    <cfRule type="cellIs" dxfId="12735" priority="131547" stopIfTrue="1" operator="lessThan">
      <formula>0.5</formula>
    </cfRule>
  </conditionalFormatting>
  <conditionalFormatting sqref="D33">
    <cfRule type="cellIs" dxfId="12734" priority="131548" stopIfTrue="1" operator="greaterThanOrEqual">
      <formula>0.5</formula>
    </cfRule>
  </conditionalFormatting>
  <conditionalFormatting sqref="D34">
    <cfRule type="cellIs" dxfId="12733" priority="131549" stopIfTrue="1" operator="equal">
      <formula>-1</formula>
    </cfRule>
  </conditionalFormatting>
  <conditionalFormatting sqref="D34">
    <cfRule type="cellIs" dxfId="12732" priority="131550" stopIfTrue="1" operator="lessThan">
      <formula>0.5</formula>
    </cfRule>
  </conditionalFormatting>
  <conditionalFormatting sqref="D34">
    <cfRule type="cellIs" dxfId="12731" priority="131551" stopIfTrue="1" operator="greaterThanOrEqual">
      <formula>0.5</formula>
    </cfRule>
  </conditionalFormatting>
  <conditionalFormatting sqref="D35">
    <cfRule type="cellIs" dxfId="12730" priority="131552" stopIfTrue="1" operator="equal">
      <formula>-1</formula>
    </cfRule>
  </conditionalFormatting>
  <conditionalFormatting sqref="D35">
    <cfRule type="cellIs" dxfId="12729" priority="131553" stopIfTrue="1" operator="lessThan">
      <formula>0.5</formula>
    </cfRule>
  </conditionalFormatting>
  <conditionalFormatting sqref="D35">
    <cfRule type="cellIs" dxfId="12728" priority="131554" stopIfTrue="1" operator="greaterThanOrEqual">
      <formula>0.5</formula>
    </cfRule>
  </conditionalFormatting>
  <conditionalFormatting sqref="D36">
    <cfRule type="cellIs" dxfId="12727" priority="131555" stopIfTrue="1" operator="equal">
      <formula>-1</formula>
    </cfRule>
  </conditionalFormatting>
  <conditionalFormatting sqref="D36">
    <cfRule type="cellIs" dxfId="12726" priority="131556" stopIfTrue="1" operator="lessThan">
      <formula>0.5</formula>
    </cfRule>
  </conditionalFormatting>
  <conditionalFormatting sqref="D36">
    <cfRule type="cellIs" dxfId="12725" priority="131557" stopIfTrue="1" operator="greaterThanOrEqual">
      <formula>0.5</formula>
    </cfRule>
  </conditionalFormatting>
  <conditionalFormatting sqref="D37">
    <cfRule type="cellIs" dxfId="12724" priority="131558" stopIfTrue="1" operator="equal">
      <formula>-1</formula>
    </cfRule>
  </conditionalFormatting>
  <conditionalFormatting sqref="D37">
    <cfRule type="cellIs" dxfId="12723" priority="131559" stopIfTrue="1" operator="lessThan">
      <formula>0.5</formula>
    </cfRule>
  </conditionalFormatting>
  <conditionalFormatting sqref="D37">
    <cfRule type="cellIs" dxfId="12722" priority="131560" stopIfTrue="1" operator="greaterThanOrEqual">
      <formula>0.5</formula>
    </cfRule>
  </conditionalFormatting>
  <conditionalFormatting sqref="F17">
    <cfRule type="cellIs" dxfId="12721" priority="131561" stopIfTrue="1" operator="equal">
      <formula>-1</formula>
    </cfRule>
  </conditionalFormatting>
  <conditionalFormatting sqref="F17">
    <cfRule type="cellIs" dxfId="12720" priority="131562" stopIfTrue="1" operator="lessThan">
      <formula>0.5</formula>
    </cfRule>
  </conditionalFormatting>
  <conditionalFormatting sqref="F17">
    <cfRule type="cellIs" dxfId="12719" priority="131563" stopIfTrue="1" operator="greaterThanOrEqual">
      <formula>0.5</formula>
    </cfRule>
  </conditionalFormatting>
  <conditionalFormatting sqref="F18">
    <cfRule type="cellIs" dxfId="12718" priority="131564" stopIfTrue="1" operator="equal">
      <formula>-1</formula>
    </cfRule>
  </conditionalFormatting>
  <conditionalFormatting sqref="F18">
    <cfRule type="cellIs" dxfId="12717" priority="131565" stopIfTrue="1" operator="lessThan">
      <formula>0.5</formula>
    </cfRule>
  </conditionalFormatting>
  <conditionalFormatting sqref="F18">
    <cfRule type="cellIs" dxfId="12716" priority="131566" stopIfTrue="1" operator="greaterThanOrEqual">
      <formula>0.5</formula>
    </cfRule>
  </conditionalFormatting>
  <conditionalFormatting sqref="F19">
    <cfRule type="cellIs" dxfId="12715" priority="131567" stopIfTrue="1" operator="equal">
      <formula>-1</formula>
    </cfRule>
  </conditionalFormatting>
  <conditionalFormatting sqref="F19">
    <cfRule type="cellIs" dxfId="12714" priority="131568" stopIfTrue="1" operator="lessThan">
      <formula>0.5</formula>
    </cfRule>
  </conditionalFormatting>
  <conditionalFormatting sqref="F19">
    <cfRule type="cellIs" dxfId="12713" priority="131569" stopIfTrue="1" operator="greaterThanOrEqual">
      <formula>0.5</formula>
    </cfRule>
  </conditionalFormatting>
  <conditionalFormatting sqref="F20">
    <cfRule type="cellIs" dxfId="12712" priority="131570" stopIfTrue="1" operator="equal">
      <formula>-1</formula>
    </cfRule>
  </conditionalFormatting>
  <conditionalFormatting sqref="F20">
    <cfRule type="cellIs" dxfId="12711" priority="131571" stopIfTrue="1" operator="lessThan">
      <formula>0.5</formula>
    </cfRule>
  </conditionalFormatting>
  <conditionalFormatting sqref="F20">
    <cfRule type="cellIs" dxfId="12710" priority="131572" stopIfTrue="1" operator="greaterThanOrEqual">
      <formula>0.5</formula>
    </cfRule>
  </conditionalFormatting>
  <conditionalFormatting sqref="F21">
    <cfRule type="cellIs" dxfId="12709" priority="131573" stopIfTrue="1" operator="equal">
      <formula>-1</formula>
    </cfRule>
  </conditionalFormatting>
  <conditionalFormatting sqref="F21">
    <cfRule type="cellIs" dxfId="12708" priority="131574" stopIfTrue="1" operator="lessThan">
      <formula>0.5</formula>
    </cfRule>
  </conditionalFormatting>
  <conditionalFormatting sqref="F21">
    <cfRule type="cellIs" dxfId="12707" priority="131575" stopIfTrue="1" operator="greaterThanOrEqual">
      <formula>0.5</formula>
    </cfRule>
  </conditionalFormatting>
  <conditionalFormatting sqref="F22">
    <cfRule type="cellIs" dxfId="12706" priority="131576" stopIfTrue="1" operator="equal">
      <formula>-1</formula>
    </cfRule>
  </conditionalFormatting>
  <conditionalFormatting sqref="F22">
    <cfRule type="cellIs" dxfId="12705" priority="131577" stopIfTrue="1" operator="lessThan">
      <formula>0.5</formula>
    </cfRule>
  </conditionalFormatting>
  <conditionalFormatting sqref="F22">
    <cfRule type="cellIs" dxfId="12704" priority="131578" stopIfTrue="1" operator="greaterThanOrEqual">
      <formula>0.5</formula>
    </cfRule>
  </conditionalFormatting>
  <conditionalFormatting sqref="F23">
    <cfRule type="cellIs" dxfId="12703" priority="131579" stopIfTrue="1" operator="equal">
      <formula>-1</formula>
    </cfRule>
  </conditionalFormatting>
  <conditionalFormatting sqref="F23">
    <cfRule type="cellIs" dxfId="12702" priority="131580" stopIfTrue="1" operator="lessThan">
      <formula>0.5</formula>
    </cfRule>
  </conditionalFormatting>
  <conditionalFormatting sqref="F23">
    <cfRule type="cellIs" dxfId="12701" priority="131581" stopIfTrue="1" operator="greaterThanOrEqual">
      <formula>0.5</formula>
    </cfRule>
  </conditionalFormatting>
  <conditionalFormatting sqref="F24">
    <cfRule type="cellIs" dxfId="12700" priority="131582" stopIfTrue="1" operator="equal">
      <formula>-1</formula>
    </cfRule>
  </conditionalFormatting>
  <conditionalFormatting sqref="F24">
    <cfRule type="cellIs" dxfId="12699" priority="131583" stopIfTrue="1" operator="lessThan">
      <formula>0.5</formula>
    </cfRule>
  </conditionalFormatting>
  <conditionalFormatting sqref="F24">
    <cfRule type="cellIs" dxfId="12698" priority="131584" stopIfTrue="1" operator="greaterThanOrEqual">
      <formula>0.5</formula>
    </cfRule>
  </conditionalFormatting>
  <conditionalFormatting sqref="F25">
    <cfRule type="cellIs" dxfId="12697" priority="131585" stopIfTrue="1" operator="equal">
      <formula>-1</formula>
    </cfRule>
  </conditionalFormatting>
  <conditionalFormatting sqref="F25">
    <cfRule type="cellIs" dxfId="12696" priority="131586" stopIfTrue="1" operator="lessThan">
      <formula>0.5</formula>
    </cfRule>
  </conditionalFormatting>
  <conditionalFormatting sqref="F25">
    <cfRule type="cellIs" dxfId="12695" priority="131587" stopIfTrue="1" operator="greaterThanOrEqual">
      <formula>0.5</formula>
    </cfRule>
  </conditionalFormatting>
  <conditionalFormatting sqref="F26">
    <cfRule type="cellIs" dxfId="12694" priority="131588" stopIfTrue="1" operator="equal">
      <formula>-1</formula>
    </cfRule>
  </conditionalFormatting>
  <conditionalFormatting sqref="F26">
    <cfRule type="cellIs" dxfId="12693" priority="131589" stopIfTrue="1" operator="lessThan">
      <formula>0.5</formula>
    </cfRule>
  </conditionalFormatting>
  <conditionalFormatting sqref="F26">
    <cfRule type="cellIs" dxfId="12692" priority="131590" stopIfTrue="1" operator="greaterThanOrEqual">
      <formula>0.5</formula>
    </cfRule>
  </conditionalFormatting>
  <conditionalFormatting sqref="F27">
    <cfRule type="cellIs" dxfId="12691" priority="131591" stopIfTrue="1" operator="equal">
      <formula>-1</formula>
    </cfRule>
  </conditionalFormatting>
  <conditionalFormatting sqref="F27">
    <cfRule type="cellIs" dxfId="12690" priority="131592" stopIfTrue="1" operator="lessThan">
      <formula>0.5</formula>
    </cfRule>
  </conditionalFormatting>
  <conditionalFormatting sqref="F27">
    <cfRule type="cellIs" dxfId="12689" priority="131593" stopIfTrue="1" operator="greaterThanOrEqual">
      <formula>0.5</formula>
    </cfRule>
  </conditionalFormatting>
  <conditionalFormatting sqref="F28">
    <cfRule type="cellIs" dxfId="12688" priority="131594" stopIfTrue="1" operator="equal">
      <formula>-1</formula>
    </cfRule>
  </conditionalFormatting>
  <conditionalFormatting sqref="F28">
    <cfRule type="cellIs" dxfId="12687" priority="131595" stopIfTrue="1" operator="lessThan">
      <formula>0.5</formula>
    </cfRule>
  </conditionalFormatting>
  <conditionalFormatting sqref="F28">
    <cfRule type="cellIs" dxfId="12686" priority="131596" stopIfTrue="1" operator="greaterThanOrEqual">
      <formula>0.5</formula>
    </cfRule>
  </conditionalFormatting>
  <conditionalFormatting sqref="F29">
    <cfRule type="cellIs" dxfId="12685" priority="131597" stopIfTrue="1" operator="equal">
      <formula>-1</formula>
    </cfRule>
  </conditionalFormatting>
  <conditionalFormatting sqref="F29">
    <cfRule type="cellIs" dxfId="12684" priority="131598" stopIfTrue="1" operator="lessThan">
      <formula>0.5</formula>
    </cfRule>
  </conditionalFormatting>
  <conditionalFormatting sqref="F29">
    <cfRule type="cellIs" dxfId="12683" priority="131599" stopIfTrue="1" operator="greaterThanOrEqual">
      <formula>0.5</formula>
    </cfRule>
  </conditionalFormatting>
  <conditionalFormatting sqref="F30">
    <cfRule type="cellIs" dxfId="12682" priority="131600" stopIfTrue="1" operator="equal">
      <formula>-1</formula>
    </cfRule>
  </conditionalFormatting>
  <conditionalFormatting sqref="F30">
    <cfRule type="cellIs" dxfId="12681" priority="131601" stopIfTrue="1" operator="lessThan">
      <formula>0.5</formula>
    </cfRule>
  </conditionalFormatting>
  <conditionalFormatting sqref="F30">
    <cfRule type="cellIs" dxfId="12680" priority="131602" stopIfTrue="1" operator="greaterThanOrEqual">
      <formula>0.5</formula>
    </cfRule>
  </conditionalFormatting>
  <conditionalFormatting sqref="F31">
    <cfRule type="cellIs" dxfId="12679" priority="131603" stopIfTrue="1" operator="equal">
      <formula>-1</formula>
    </cfRule>
  </conditionalFormatting>
  <conditionalFormatting sqref="F31">
    <cfRule type="cellIs" dxfId="12678" priority="131604" stopIfTrue="1" operator="lessThan">
      <formula>0.5</formula>
    </cfRule>
  </conditionalFormatting>
  <conditionalFormatting sqref="F31">
    <cfRule type="cellIs" dxfId="12677" priority="131605" stopIfTrue="1" operator="greaterThanOrEqual">
      <formula>0.5</formula>
    </cfRule>
  </conditionalFormatting>
  <conditionalFormatting sqref="F32">
    <cfRule type="cellIs" dxfId="12676" priority="131606" stopIfTrue="1" operator="equal">
      <formula>-1</formula>
    </cfRule>
  </conditionalFormatting>
  <conditionalFormatting sqref="F32">
    <cfRule type="cellIs" dxfId="12675" priority="131607" stopIfTrue="1" operator="lessThan">
      <formula>0.5</formula>
    </cfRule>
  </conditionalFormatting>
  <conditionalFormatting sqref="F32">
    <cfRule type="cellIs" dxfId="12674" priority="131608" stopIfTrue="1" operator="greaterThanOrEqual">
      <formula>0.5</formula>
    </cfRule>
  </conditionalFormatting>
  <conditionalFormatting sqref="F33">
    <cfRule type="cellIs" dxfId="12673" priority="131609" stopIfTrue="1" operator="equal">
      <formula>-1</formula>
    </cfRule>
  </conditionalFormatting>
  <conditionalFormatting sqref="F33">
    <cfRule type="cellIs" dxfId="12672" priority="131610" stopIfTrue="1" operator="lessThan">
      <formula>0.5</formula>
    </cfRule>
  </conditionalFormatting>
  <conditionalFormatting sqref="F33">
    <cfRule type="cellIs" dxfId="12671" priority="131611" stopIfTrue="1" operator="greaterThanOrEqual">
      <formula>0.5</formula>
    </cfRule>
  </conditionalFormatting>
  <conditionalFormatting sqref="F34">
    <cfRule type="cellIs" dxfId="12670" priority="131612" stopIfTrue="1" operator="equal">
      <formula>-1</formula>
    </cfRule>
  </conditionalFormatting>
  <conditionalFormatting sqref="F34">
    <cfRule type="cellIs" dxfId="12669" priority="131613" stopIfTrue="1" operator="lessThan">
      <formula>0.5</formula>
    </cfRule>
  </conditionalFormatting>
  <conditionalFormatting sqref="F34">
    <cfRule type="cellIs" dxfId="12668" priority="131614" stopIfTrue="1" operator="greaterThanOrEqual">
      <formula>0.5</formula>
    </cfRule>
  </conditionalFormatting>
  <conditionalFormatting sqref="F35">
    <cfRule type="cellIs" dxfId="12667" priority="131615" stopIfTrue="1" operator="equal">
      <formula>-1</formula>
    </cfRule>
  </conditionalFormatting>
  <conditionalFormatting sqref="F35">
    <cfRule type="cellIs" dxfId="12666" priority="131616" stopIfTrue="1" operator="lessThan">
      <formula>0.5</formula>
    </cfRule>
  </conditionalFormatting>
  <conditionalFormatting sqref="F35">
    <cfRule type="cellIs" dxfId="12665" priority="131617" stopIfTrue="1" operator="greaterThanOrEqual">
      <formula>0.5</formula>
    </cfRule>
  </conditionalFormatting>
  <conditionalFormatting sqref="F36">
    <cfRule type="cellIs" dxfId="12664" priority="131618" stopIfTrue="1" operator="equal">
      <formula>-1</formula>
    </cfRule>
  </conditionalFormatting>
  <conditionalFormatting sqref="F36">
    <cfRule type="cellIs" dxfId="12663" priority="131619" stopIfTrue="1" operator="lessThan">
      <formula>0.5</formula>
    </cfRule>
  </conditionalFormatting>
  <conditionalFormatting sqref="F36">
    <cfRule type="cellIs" dxfId="12662" priority="131620" stopIfTrue="1" operator="greaterThanOrEqual">
      <formula>0.5</formula>
    </cfRule>
  </conditionalFormatting>
  <conditionalFormatting sqref="F37">
    <cfRule type="cellIs" dxfId="12661" priority="131621" stopIfTrue="1" operator="equal">
      <formula>-1</formula>
    </cfRule>
  </conditionalFormatting>
  <conditionalFormatting sqref="F37">
    <cfRule type="cellIs" dxfId="12660" priority="131622" stopIfTrue="1" operator="lessThan">
      <formula>0.5</formula>
    </cfRule>
  </conditionalFormatting>
  <conditionalFormatting sqref="F37">
    <cfRule type="cellIs" dxfId="12659" priority="131623" stopIfTrue="1" operator="greaterThanOrEqual">
      <formula>0.5</formula>
    </cfRule>
  </conditionalFormatting>
  <conditionalFormatting sqref="H17">
    <cfRule type="cellIs" dxfId="12658" priority="131624" stopIfTrue="1" operator="equal">
      <formula>-1</formula>
    </cfRule>
  </conditionalFormatting>
  <conditionalFormatting sqref="H17">
    <cfRule type="cellIs" dxfId="12657" priority="131625" stopIfTrue="1" operator="lessThan">
      <formula>0.5</formula>
    </cfRule>
  </conditionalFormatting>
  <conditionalFormatting sqref="H17">
    <cfRule type="cellIs" dxfId="12656" priority="131626" stopIfTrue="1" operator="greaterThanOrEqual">
      <formula>0.5</formula>
    </cfRule>
  </conditionalFormatting>
  <conditionalFormatting sqref="H18">
    <cfRule type="cellIs" dxfId="12655" priority="131627" stopIfTrue="1" operator="equal">
      <formula>-1</formula>
    </cfRule>
  </conditionalFormatting>
  <conditionalFormatting sqref="H18">
    <cfRule type="cellIs" dxfId="12654" priority="131628" stopIfTrue="1" operator="lessThan">
      <formula>0.5</formula>
    </cfRule>
  </conditionalFormatting>
  <conditionalFormatting sqref="H18">
    <cfRule type="cellIs" dxfId="12653" priority="131629" stopIfTrue="1" operator="greaterThanOrEqual">
      <formula>0.5</formula>
    </cfRule>
  </conditionalFormatting>
  <conditionalFormatting sqref="H19">
    <cfRule type="cellIs" dxfId="12652" priority="131630" stopIfTrue="1" operator="equal">
      <formula>-1</formula>
    </cfRule>
  </conditionalFormatting>
  <conditionalFormatting sqref="H19">
    <cfRule type="cellIs" dxfId="12651" priority="131631" stopIfTrue="1" operator="lessThan">
      <formula>0.5</formula>
    </cfRule>
  </conditionalFormatting>
  <conditionalFormatting sqref="H19">
    <cfRule type="cellIs" dxfId="12650" priority="131632" stopIfTrue="1" operator="greaterThanOrEqual">
      <formula>0.5</formula>
    </cfRule>
  </conditionalFormatting>
  <conditionalFormatting sqref="H20">
    <cfRule type="cellIs" dxfId="12649" priority="131633" stopIfTrue="1" operator="equal">
      <formula>-1</formula>
    </cfRule>
  </conditionalFormatting>
  <conditionalFormatting sqref="H20">
    <cfRule type="cellIs" dxfId="12648" priority="131634" stopIfTrue="1" operator="lessThan">
      <formula>0.5</formula>
    </cfRule>
  </conditionalFormatting>
  <conditionalFormatting sqref="H20">
    <cfRule type="cellIs" dxfId="12647" priority="131635" stopIfTrue="1" operator="greaterThanOrEqual">
      <formula>0.5</formula>
    </cfRule>
  </conditionalFormatting>
  <conditionalFormatting sqref="H21">
    <cfRule type="cellIs" dxfId="12646" priority="131636" stopIfTrue="1" operator="equal">
      <formula>-1</formula>
    </cfRule>
  </conditionalFormatting>
  <conditionalFormatting sqref="H21">
    <cfRule type="cellIs" dxfId="12645" priority="131637" stopIfTrue="1" operator="lessThan">
      <formula>0.5</formula>
    </cfRule>
  </conditionalFormatting>
  <conditionalFormatting sqref="H21">
    <cfRule type="cellIs" dxfId="12644" priority="131638" stopIfTrue="1" operator="greaterThanOrEqual">
      <formula>0.5</formula>
    </cfRule>
  </conditionalFormatting>
  <conditionalFormatting sqref="H22">
    <cfRule type="cellIs" dxfId="12643" priority="131639" stopIfTrue="1" operator="equal">
      <formula>-1</formula>
    </cfRule>
  </conditionalFormatting>
  <conditionalFormatting sqref="H22">
    <cfRule type="cellIs" dxfId="12642" priority="131640" stopIfTrue="1" operator="lessThan">
      <formula>0.5</formula>
    </cfRule>
  </conditionalFormatting>
  <conditionalFormatting sqref="H22">
    <cfRule type="cellIs" dxfId="12641" priority="131641" stopIfTrue="1" operator="greaterThanOrEqual">
      <formula>0.5</formula>
    </cfRule>
  </conditionalFormatting>
  <conditionalFormatting sqref="H23">
    <cfRule type="cellIs" dxfId="12640" priority="131642" stopIfTrue="1" operator="equal">
      <formula>-1</formula>
    </cfRule>
  </conditionalFormatting>
  <conditionalFormatting sqref="H23">
    <cfRule type="cellIs" dxfId="12639" priority="131643" stopIfTrue="1" operator="lessThan">
      <formula>0.5</formula>
    </cfRule>
  </conditionalFormatting>
  <conditionalFormatting sqref="H23">
    <cfRule type="cellIs" dxfId="12638" priority="131644" stopIfTrue="1" operator="greaterThanOrEqual">
      <formula>0.5</formula>
    </cfRule>
  </conditionalFormatting>
  <conditionalFormatting sqref="H24">
    <cfRule type="cellIs" dxfId="12637" priority="131645" stopIfTrue="1" operator="equal">
      <formula>-1</formula>
    </cfRule>
  </conditionalFormatting>
  <conditionalFormatting sqref="H24">
    <cfRule type="cellIs" dxfId="12636" priority="131646" stopIfTrue="1" operator="lessThan">
      <formula>0.5</formula>
    </cfRule>
  </conditionalFormatting>
  <conditionalFormatting sqref="H24">
    <cfRule type="cellIs" dxfId="12635" priority="131647" stopIfTrue="1" operator="greaterThanOrEqual">
      <formula>0.5</formula>
    </cfRule>
  </conditionalFormatting>
  <conditionalFormatting sqref="H25">
    <cfRule type="cellIs" dxfId="12634" priority="131648" stopIfTrue="1" operator="equal">
      <formula>-1</formula>
    </cfRule>
  </conditionalFormatting>
  <conditionalFormatting sqref="H25">
    <cfRule type="cellIs" dxfId="12633" priority="131649" stopIfTrue="1" operator="lessThan">
      <formula>0.5</formula>
    </cfRule>
  </conditionalFormatting>
  <conditionalFormatting sqref="H25">
    <cfRule type="cellIs" dxfId="12632" priority="131650" stopIfTrue="1" operator="greaterThanOrEqual">
      <formula>0.5</formula>
    </cfRule>
  </conditionalFormatting>
  <conditionalFormatting sqref="H26">
    <cfRule type="cellIs" dxfId="12631" priority="131651" stopIfTrue="1" operator="equal">
      <formula>-1</formula>
    </cfRule>
  </conditionalFormatting>
  <conditionalFormatting sqref="H26">
    <cfRule type="cellIs" dxfId="12630" priority="131652" stopIfTrue="1" operator="lessThan">
      <formula>0.5</formula>
    </cfRule>
  </conditionalFormatting>
  <conditionalFormatting sqref="H26">
    <cfRule type="cellIs" dxfId="12629" priority="131653" stopIfTrue="1" operator="greaterThanOrEqual">
      <formula>0.5</formula>
    </cfRule>
  </conditionalFormatting>
  <conditionalFormatting sqref="H27">
    <cfRule type="cellIs" dxfId="12628" priority="131654" stopIfTrue="1" operator="equal">
      <formula>-1</formula>
    </cfRule>
  </conditionalFormatting>
  <conditionalFormatting sqref="H27">
    <cfRule type="cellIs" dxfId="12627" priority="131655" stopIfTrue="1" operator="lessThan">
      <formula>0.5</formula>
    </cfRule>
  </conditionalFormatting>
  <conditionalFormatting sqref="H27">
    <cfRule type="cellIs" dxfId="12626" priority="131656" stopIfTrue="1" operator="greaterThanOrEqual">
      <formula>0.5</formula>
    </cfRule>
  </conditionalFormatting>
  <conditionalFormatting sqref="H28">
    <cfRule type="cellIs" dxfId="12625" priority="131657" stopIfTrue="1" operator="equal">
      <formula>-1</formula>
    </cfRule>
  </conditionalFormatting>
  <conditionalFormatting sqref="H28">
    <cfRule type="cellIs" dxfId="12624" priority="131658" stopIfTrue="1" operator="lessThan">
      <formula>0.5</formula>
    </cfRule>
  </conditionalFormatting>
  <conditionalFormatting sqref="H28">
    <cfRule type="cellIs" dxfId="12623" priority="131659" stopIfTrue="1" operator="greaterThanOrEqual">
      <formula>0.5</formula>
    </cfRule>
  </conditionalFormatting>
  <conditionalFormatting sqref="H29">
    <cfRule type="cellIs" dxfId="12622" priority="131660" stopIfTrue="1" operator="equal">
      <formula>-1</formula>
    </cfRule>
  </conditionalFormatting>
  <conditionalFormatting sqref="H29">
    <cfRule type="cellIs" dxfId="12621" priority="131661" stopIfTrue="1" operator="lessThan">
      <formula>0.5</formula>
    </cfRule>
  </conditionalFormatting>
  <conditionalFormatting sqref="H29">
    <cfRule type="cellIs" dxfId="12620" priority="131662" stopIfTrue="1" operator="greaterThanOrEqual">
      <formula>0.5</formula>
    </cfRule>
  </conditionalFormatting>
  <conditionalFormatting sqref="H30">
    <cfRule type="cellIs" dxfId="12619" priority="131663" stopIfTrue="1" operator="equal">
      <formula>-1</formula>
    </cfRule>
  </conditionalFormatting>
  <conditionalFormatting sqref="H30">
    <cfRule type="cellIs" dxfId="12618" priority="131664" stopIfTrue="1" operator="lessThan">
      <formula>0.5</formula>
    </cfRule>
  </conditionalFormatting>
  <conditionalFormatting sqref="H30">
    <cfRule type="cellIs" dxfId="12617" priority="131665" stopIfTrue="1" operator="greaterThanOrEqual">
      <formula>0.5</formula>
    </cfRule>
  </conditionalFormatting>
  <conditionalFormatting sqref="H31">
    <cfRule type="cellIs" dxfId="12616" priority="131666" stopIfTrue="1" operator="equal">
      <formula>-1</formula>
    </cfRule>
  </conditionalFormatting>
  <conditionalFormatting sqref="H31">
    <cfRule type="cellIs" dxfId="12615" priority="131667" stopIfTrue="1" operator="lessThan">
      <formula>0.5</formula>
    </cfRule>
  </conditionalFormatting>
  <conditionalFormatting sqref="H31">
    <cfRule type="cellIs" dxfId="12614" priority="131668" stopIfTrue="1" operator="greaterThanOrEqual">
      <formula>0.5</formula>
    </cfRule>
  </conditionalFormatting>
  <conditionalFormatting sqref="H32">
    <cfRule type="cellIs" dxfId="12613" priority="131669" stopIfTrue="1" operator="equal">
      <formula>-1</formula>
    </cfRule>
  </conditionalFormatting>
  <conditionalFormatting sqref="H32">
    <cfRule type="cellIs" dxfId="12612" priority="131670" stopIfTrue="1" operator="lessThan">
      <formula>0.5</formula>
    </cfRule>
  </conditionalFormatting>
  <conditionalFormatting sqref="H32">
    <cfRule type="cellIs" dxfId="12611" priority="131671" stopIfTrue="1" operator="greaterThanOrEqual">
      <formula>0.5</formula>
    </cfRule>
  </conditionalFormatting>
  <conditionalFormatting sqref="H33">
    <cfRule type="cellIs" dxfId="12610" priority="131672" stopIfTrue="1" operator="equal">
      <formula>-1</formula>
    </cfRule>
  </conditionalFormatting>
  <conditionalFormatting sqref="H33">
    <cfRule type="cellIs" dxfId="12609" priority="131673" stopIfTrue="1" operator="lessThan">
      <formula>0.5</formula>
    </cfRule>
  </conditionalFormatting>
  <conditionalFormatting sqref="H33">
    <cfRule type="cellIs" dxfId="12608" priority="131674" stopIfTrue="1" operator="greaterThanOrEqual">
      <formula>0.5</formula>
    </cfRule>
  </conditionalFormatting>
  <conditionalFormatting sqref="H34">
    <cfRule type="cellIs" dxfId="12607" priority="131675" stopIfTrue="1" operator="equal">
      <formula>-1</formula>
    </cfRule>
  </conditionalFormatting>
  <conditionalFormatting sqref="H34">
    <cfRule type="cellIs" dxfId="12606" priority="131676" stopIfTrue="1" operator="lessThan">
      <formula>0.5</formula>
    </cfRule>
  </conditionalFormatting>
  <conditionalFormatting sqref="H34">
    <cfRule type="cellIs" dxfId="12605" priority="131677" stopIfTrue="1" operator="greaterThanOrEqual">
      <formula>0.5</formula>
    </cfRule>
  </conditionalFormatting>
  <conditionalFormatting sqref="H35">
    <cfRule type="cellIs" dxfId="12604" priority="131678" stopIfTrue="1" operator="equal">
      <formula>-1</formula>
    </cfRule>
  </conditionalFormatting>
  <conditionalFormatting sqref="H35">
    <cfRule type="cellIs" dxfId="12603" priority="131679" stopIfTrue="1" operator="lessThan">
      <formula>0.5</formula>
    </cfRule>
  </conditionalFormatting>
  <conditionalFormatting sqref="H35">
    <cfRule type="cellIs" dxfId="12602" priority="131680" stopIfTrue="1" operator="greaterThanOrEqual">
      <formula>0.5</formula>
    </cfRule>
  </conditionalFormatting>
  <conditionalFormatting sqref="H36">
    <cfRule type="cellIs" dxfId="12601" priority="131681" stopIfTrue="1" operator="equal">
      <formula>-1</formula>
    </cfRule>
  </conditionalFormatting>
  <conditionalFormatting sqref="H36">
    <cfRule type="cellIs" dxfId="12600" priority="131682" stopIfTrue="1" operator="lessThan">
      <formula>0.5</formula>
    </cfRule>
  </conditionalFormatting>
  <conditionalFormatting sqref="H36">
    <cfRule type="cellIs" dxfId="12599" priority="131683" stopIfTrue="1" operator="greaterThanOrEqual">
      <formula>0.5</formula>
    </cfRule>
  </conditionalFormatting>
  <conditionalFormatting sqref="H37">
    <cfRule type="cellIs" dxfId="12598" priority="131684" stopIfTrue="1" operator="equal">
      <formula>-1</formula>
    </cfRule>
  </conditionalFormatting>
  <conditionalFormatting sqref="H37">
    <cfRule type="cellIs" dxfId="12597" priority="131685" stopIfTrue="1" operator="lessThan">
      <formula>0.5</formula>
    </cfRule>
  </conditionalFormatting>
  <conditionalFormatting sqref="H37">
    <cfRule type="cellIs" dxfId="12596" priority="131686" stopIfTrue="1" operator="greaterThanOrEqual">
      <formula>0.5</formula>
    </cfRule>
  </conditionalFormatting>
  <conditionalFormatting sqref="J17">
    <cfRule type="cellIs" dxfId="12595" priority="131687" stopIfTrue="1" operator="equal">
      <formula>-1</formula>
    </cfRule>
  </conditionalFormatting>
  <conditionalFormatting sqref="J17">
    <cfRule type="cellIs" dxfId="12594" priority="131688" stopIfTrue="1" operator="lessThan">
      <formula>0.5</formula>
    </cfRule>
  </conditionalFormatting>
  <conditionalFormatting sqref="J17">
    <cfRule type="cellIs" dxfId="12593" priority="131689" stopIfTrue="1" operator="greaterThanOrEqual">
      <formula>0.5</formula>
    </cfRule>
  </conditionalFormatting>
  <conditionalFormatting sqref="J18">
    <cfRule type="cellIs" dxfId="12592" priority="131690" stopIfTrue="1" operator="equal">
      <formula>-1</formula>
    </cfRule>
  </conditionalFormatting>
  <conditionalFormatting sqref="J18">
    <cfRule type="cellIs" dxfId="12591" priority="131691" stopIfTrue="1" operator="lessThan">
      <formula>0.5</formula>
    </cfRule>
  </conditionalFormatting>
  <conditionalFormatting sqref="J18">
    <cfRule type="cellIs" dxfId="12590" priority="131692" stopIfTrue="1" operator="greaterThanOrEqual">
      <formula>0.5</formula>
    </cfRule>
  </conditionalFormatting>
  <conditionalFormatting sqref="J19">
    <cfRule type="cellIs" dxfId="12589" priority="131693" stopIfTrue="1" operator="equal">
      <formula>-1</formula>
    </cfRule>
  </conditionalFormatting>
  <conditionalFormatting sqref="J19">
    <cfRule type="cellIs" dxfId="12588" priority="131694" stopIfTrue="1" operator="lessThan">
      <formula>0.5</formula>
    </cfRule>
  </conditionalFormatting>
  <conditionalFormatting sqref="J19">
    <cfRule type="cellIs" dxfId="12587" priority="131695" stopIfTrue="1" operator="greaterThanOrEqual">
      <formula>0.5</formula>
    </cfRule>
  </conditionalFormatting>
  <conditionalFormatting sqref="J20">
    <cfRule type="cellIs" dxfId="12586" priority="131696" stopIfTrue="1" operator="equal">
      <formula>-1</formula>
    </cfRule>
  </conditionalFormatting>
  <conditionalFormatting sqref="J20">
    <cfRule type="cellIs" dxfId="12585" priority="131697" stopIfTrue="1" operator="lessThan">
      <formula>0.5</formula>
    </cfRule>
  </conditionalFormatting>
  <conditionalFormatting sqref="J20">
    <cfRule type="cellIs" dxfId="12584" priority="131698" stopIfTrue="1" operator="greaterThanOrEqual">
      <formula>0.5</formula>
    </cfRule>
  </conditionalFormatting>
  <conditionalFormatting sqref="J21">
    <cfRule type="cellIs" dxfId="12583" priority="131699" stopIfTrue="1" operator="equal">
      <formula>-1</formula>
    </cfRule>
  </conditionalFormatting>
  <conditionalFormatting sqref="J21">
    <cfRule type="cellIs" dxfId="12582" priority="131700" stopIfTrue="1" operator="lessThan">
      <formula>0.5</formula>
    </cfRule>
  </conditionalFormatting>
  <conditionalFormatting sqref="J21">
    <cfRule type="cellIs" dxfId="12581" priority="131701" stopIfTrue="1" operator="greaterThanOrEqual">
      <formula>0.5</formula>
    </cfRule>
  </conditionalFormatting>
  <conditionalFormatting sqref="J22">
    <cfRule type="cellIs" dxfId="12580" priority="131702" stopIfTrue="1" operator="equal">
      <formula>-1</formula>
    </cfRule>
  </conditionalFormatting>
  <conditionalFormatting sqref="J22">
    <cfRule type="cellIs" dxfId="12579" priority="131703" stopIfTrue="1" operator="lessThan">
      <formula>0.5</formula>
    </cfRule>
  </conditionalFormatting>
  <conditionalFormatting sqref="J22">
    <cfRule type="cellIs" dxfId="12578" priority="131704" stopIfTrue="1" operator="greaterThanOrEqual">
      <formula>0.5</formula>
    </cfRule>
  </conditionalFormatting>
  <conditionalFormatting sqref="J23">
    <cfRule type="cellIs" dxfId="12577" priority="131705" stopIfTrue="1" operator="equal">
      <formula>-1</formula>
    </cfRule>
  </conditionalFormatting>
  <conditionalFormatting sqref="J23">
    <cfRule type="cellIs" dxfId="12576" priority="131706" stopIfTrue="1" operator="lessThan">
      <formula>0.5</formula>
    </cfRule>
  </conditionalFormatting>
  <conditionalFormatting sqref="J23">
    <cfRule type="cellIs" dxfId="12575" priority="131707" stopIfTrue="1" operator="greaterThanOrEqual">
      <formula>0.5</formula>
    </cfRule>
  </conditionalFormatting>
  <conditionalFormatting sqref="J24">
    <cfRule type="cellIs" dxfId="12574" priority="131708" stopIfTrue="1" operator="equal">
      <formula>-1</formula>
    </cfRule>
  </conditionalFormatting>
  <conditionalFormatting sqref="J24">
    <cfRule type="cellIs" dxfId="12573" priority="131709" stopIfTrue="1" operator="lessThan">
      <formula>0.5</formula>
    </cfRule>
  </conditionalFormatting>
  <conditionalFormatting sqref="J24">
    <cfRule type="cellIs" dxfId="12572" priority="131710" stopIfTrue="1" operator="greaterThanOrEqual">
      <formula>0.5</formula>
    </cfRule>
  </conditionalFormatting>
  <conditionalFormatting sqref="J25">
    <cfRule type="cellIs" dxfId="12571" priority="131711" stopIfTrue="1" operator="equal">
      <formula>-1</formula>
    </cfRule>
  </conditionalFormatting>
  <conditionalFormatting sqref="J25">
    <cfRule type="cellIs" dxfId="12570" priority="131712" stopIfTrue="1" operator="lessThan">
      <formula>0.5</formula>
    </cfRule>
  </conditionalFormatting>
  <conditionalFormatting sqref="J25">
    <cfRule type="cellIs" dxfId="12569" priority="131713" stopIfTrue="1" operator="greaterThanOrEqual">
      <formula>0.5</formula>
    </cfRule>
  </conditionalFormatting>
  <conditionalFormatting sqref="J26">
    <cfRule type="cellIs" dxfId="12568" priority="131714" stopIfTrue="1" operator="equal">
      <formula>-1</formula>
    </cfRule>
  </conditionalFormatting>
  <conditionalFormatting sqref="J26">
    <cfRule type="cellIs" dxfId="12567" priority="131715" stopIfTrue="1" operator="lessThan">
      <formula>0.5</formula>
    </cfRule>
  </conditionalFormatting>
  <conditionalFormatting sqref="J26">
    <cfRule type="cellIs" dxfId="12566" priority="131716" stopIfTrue="1" operator="greaterThanOrEqual">
      <formula>0.5</formula>
    </cfRule>
  </conditionalFormatting>
  <conditionalFormatting sqref="J27">
    <cfRule type="cellIs" dxfId="12565" priority="131717" stopIfTrue="1" operator="equal">
      <formula>-1</formula>
    </cfRule>
  </conditionalFormatting>
  <conditionalFormatting sqref="J27">
    <cfRule type="cellIs" dxfId="12564" priority="131718" stopIfTrue="1" operator="lessThan">
      <formula>0.5</formula>
    </cfRule>
  </conditionalFormatting>
  <conditionalFormatting sqref="J27">
    <cfRule type="cellIs" dxfId="12563" priority="131719" stopIfTrue="1" operator="greaterThanOrEqual">
      <formula>0.5</formula>
    </cfRule>
  </conditionalFormatting>
  <conditionalFormatting sqref="J28">
    <cfRule type="cellIs" dxfId="12562" priority="131720" stopIfTrue="1" operator="equal">
      <formula>-1</formula>
    </cfRule>
  </conditionalFormatting>
  <conditionalFormatting sqref="J28">
    <cfRule type="cellIs" dxfId="12561" priority="131721" stopIfTrue="1" operator="lessThan">
      <formula>0.5</formula>
    </cfRule>
  </conditionalFormatting>
  <conditionalFormatting sqref="J28">
    <cfRule type="cellIs" dxfId="12560" priority="131722" stopIfTrue="1" operator="greaterThanOrEqual">
      <formula>0.5</formula>
    </cfRule>
  </conditionalFormatting>
  <conditionalFormatting sqref="J29">
    <cfRule type="cellIs" dxfId="12559" priority="131723" stopIfTrue="1" operator="equal">
      <formula>-1</formula>
    </cfRule>
  </conditionalFormatting>
  <conditionalFormatting sqref="J29">
    <cfRule type="cellIs" dxfId="12558" priority="131724" stopIfTrue="1" operator="lessThan">
      <formula>0.5</formula>
    </cfRule>
  </conditionalFormatting>
  <conditionalFormatting sqref="J29">
    <cfRule type="cellIs" dxfId="12557" priority="131725" stopIfTrue="1" operator="greaterThanOrEqual">
      <formula>0.5</formula>
    </cfRule>
  </conditionalFormatting>
  <conditionalFormatting sqref="J30">
    <cfRule type="cellIs" dxfId="12556" priority="131726" stopIfTrue="1" operator="equal">
      <formula>-1</formula>
    </cfRule>
  </conditionalFormatting>
  <conditionalFormatting sqref="J30">
    <cfRule type="cellIs" dxfId="12555" priority="131727" stopIfTrue="1" operator="lessThan">
      <formula>0.5</formula>
    </cfRule>
  </conditionalFormatting>
  <conditionalFormatting sqref="J30">
    <cfRule type="cellIs" dxfId="12554" priority="131728" stopIfTrue="1" operator="greaterThanOrEqual">
      <formula>0.5</formula>
    </cfRule>
  </conditionalFormatting>
  <conditionalFormatting sqref="J31">
    <cfRule type="cellIs" dxfId="12553" priority="131729" stopIfTrue="1" operator="equal">
      <formula>-1</formula>
    </cfRule>
  </conditionalFormatting>
  <conditionalFormatting sqref="J31">
    <cfRule type="cellIs" dxfId="12552" priority="131730" stopIfTrue="1" operator="lessThan">
      <formula>0.5</formula>
    </cfRule>
  </conditionalFormatting>
  <conditionalFormatting sqref="J31">
    <cfRule type="cellIs" dxfId="12551" priority="131731" stopIfTrue="1" operator="greaterThanOrEqual">
      <formula>0.5</formula>
    </cfRule>
  </conditionalFormatting>
  <conditionalFormatting sqref="J32">
    <cfRule type="cellIs" dxfId="12550" priority="131732" stopIfTrue="1" operator="equal">
      <formula>-1</formula>
    </cfRule>
  </conditionalFormatting>
  <conditionalFormatting sqref="J32">
    <cfRule type="cellIs" dxfId="12549" priority="131733" stopIfTrue="1" operator="lessThan">
      <formula>0.5</formula>
    </cfRule>
  </conditionalFormatting>
  <conditionalFormatting sqref="J32">
    <cfRule type="cellIs" dxfId="12548" priority="131734" stopIfTrue="1" operator="greaterThanOrEqual">
      <formula>0.5</formula>
    </cfRule>
  </conditionalFormatting>
  <conditionalFormatting sqref="J33">
    <cfRule type="cellIs" dxfId="12547" priority="131735" stopIfTrue="1" operator="equal">
      <formula>-1</formula>
    </cfRule>
  </conditionalFormatting>
  <conditionalFormatting sqref="J33">
    <cfRule type="cellIs" dxfId="12546" priority="131736" stopIfTrue="1" operator="lessThan">
      <formula>0.5</formula>
    </cfRule>
  </conditionalFormatting>
  <conditionalFormatting sqref="J33">
    <cfRule type="cellIs" dxfId="12545" priority="131737" stopIfTrue="1" operator="greaterThanOrEqual">
      <formula>0.5</formula>
    </cfRule>
  </conditionalFormatting>
  <conditionalFormatting sqref="J34">
    <cfRule type="cellIs" dxfId="12544" priority="131738" stopIfTrue="1" operator="equal">
      <formula>-1</formula>
    </cfRule>
  </conditionalFormatting>
  <conditionalFormatting sqref="J34">
    <cfRule type="cellIs" dxfId="12543" priority="131739" stopIfTrue="1" operator="lessThan">
      <formula>0.5</formula>
    </cfRule>
  </conditionalFormatting>
  <conditionalFormatting sqref="J34">
    <cfRule type="cellIs" dxfId="12542" priority="131740" stopIfTrue="1" operator="greaterThanOrEqual">
      <formula>0.5</formula>
    </cfRule>
  </conditionalFormatting>
  <conditionalFormatting sqref="J35">
    <cfRule type="cellIs" dxfId="12541" priority="131741" stopIfTrue="1" operator="equal">
      <formula>-1</formula>
    </cfRule>
  </conditionalFormatting>
  <conditionalFormatting sqref="J35">
    <cfRule type="cellIs" dxfId="12540" priority="131742" stopIfTrue="1" operator="lessThan">
      <formula>0.5</formula>
    </cfRule>
  </conditionalFormatting>
  <conditionalFormatting sqref="J35">
    <cfRule type="cellIs" dxfId="12539" priority="131743" stopIfTrue="1" operator="greaterThanOrEqual">
      <formula>0.5</formula>
    </cfRule>
  </conditionalFormatting>
  <conditionalFormatting sqref="J36">
    <cfRule type="cellIs" dxfId="12538" priority="131744" stopIfTrue="1" operator="equal">
      <formula>-1</formula>
    </cfRule>
  </conditionalFormatting>
  <conditionalFormatting sqref="J36">
    <cfRule type="cellIs" dxfId="12537" priority="131745" stopIfTrue="1" operator="lessThan">
      <formula>0.5</formula>
    </cfRule>
  </conditionalFormatting>
  <conditionalFormatting sqref="J36">
    <cfRule type="cellIs" dxfId="12536" priority="131746" stopIfTrue="1" operator="greaterThanOrEqual">
      <formula>0.5</formula>
    </cfRule>
  </conditionalFormatting>
  <conditionalFormatting sqref="J37">
    <cfRule type="cellIs" dxfId="12535" priority="131747" stopIfTrue="1" operator="equal">
      <formula>-1</formula>
    </cfRule>
  </conditionalFormatting>
  <conditionalFormatting sqref="J37">
    <cfRule type="cellIs" dxfId="12534" priority="131748" stopIfTrue="1" operator="lessThan">
      <formula>0.5</formula>
    </cfRule>
  </conditionalFormatting>
  <conditionalFormatting sqref="J37">
    <cfRule type="cellIs" dxfId="12533" priority="131749" stopIfTrue="1" operator="greaterThanOrEqual">
      <formula>0.5</formula>
    </cfRule>
  </conditionalFormatting>
  <conditionalFormatting sqref="L17">
    <cfRule type="cellIs" dxfId="12532" priority="131750" stopIfTrue="1" operator="equal">
      <formula>-1</formula>
    </cfRule>
  </conditionalFormatting>
  <conditionalFormatting sqref="L17">
    <cfRule type="cellIs" dxfId="12531" priority="131751" stopIfTrue="1" operator="lessThan">
      <formula>0.5</formula>
    </cfRule>
  </conditionalFormatting>
  <conditionalFormatting sqref="L17">
    <cfRule type="cellIs" dxfId="12530" priority="131752" stopIfTrue="1" operator="greaterThanOrEqual">
      <formula>0.5</formula>
    </cfRule>
  </conditionalFormatting>
  <conditionalFormatting sqref="L18">
    <cfRule type="cellIs" dxfId="12529" priority="131753" stopIfTrue="1" operator="equal">
      <formula>-1</formula>
    </cfRule>
  </conditionalFormatting>
  <conditionalFormatting sqref="L18">
    <cfRule type="cellIs" dxfId="12528" priority="131754" stopIfTrue="1" operator="lessThan">
      <formula>0.5</formula>
    </cfRule>
  </conditionalFormatting>
  <conditionalFormatting sqref="L18">
    <cfRule type="cellIs" dxfId="12527" priority="131755" stopIfTrue="1" operator="greaterThanOrEqual">
      <formula>0.5</formula>
    </cfRule>
  </conditionalFormatting>
  <conditionalFormatting sqref="L19">
    <cfRule type="cellIs" dxfId="12526" priority="131756" stopIfTrue="1" operator="equal">
      <formula>-1</formula>
    </cfRule>
  </conditionalFormatting>
  <conditionalFormatting sqref="L19">
    <cfRule type="cellIs" dxfId="12525" priority="131757" stopIfTrue="1" operator="lessThan">
      <formula>0.5</formula>
    </cfRule>
  </conditionalFormatting>
  <conditionalFormatting sqref="L19">
    <cfRule type="cellIs" dxfId="12524" priority="131758" stopIfTrue="1" operator="greaterThanOrEqual">
      <formula>0.5</formula>
    </cfRule>
  </conditionalFormatting>
  <conditionalFormatting sqref="L20">
    <cfRule type="cellIs" dxfId="12523" priority="131759" stopIfTrue="1" operator="equal">
      <formula>-1</formula>
    </cfRule>
  </conditionalFormatting>
  <conditionalFormatting sqref="L20">
    <cfRule type="cellIs" dxfId="12522" priority="131760" stopIfTrue="1" operator="lessThan">
      <formula>0.5</formula>
    </cfRule>
  </conditionalFormatting>
  <conditionalFormatting sqref="L20">
    <cfRule type="cellIs" dxfId="12521" priority="131761" stopIfTrue="1" operator="greaterThanOrEqual">
      <formula>0.5</formula>
    </cfRule>
  </conditionalFormatting>
  <conditionalFormatting sqref="L21">
    <cfRule type="cellIs" dxfId="12520" priority="131762" stopIfTrue="1" operator="equal">
      <formula>-1</formula>
    </cfRule>
  </conditionalFormatting>
  <conditionalFormatting sqref="L21">
    <cfRule type="cellIs" dxfId="12519" priority="131763" stopIfTrue="1" operator="lessThan">
      <formula>0.5</formula>
    </cfRule>
  </conditionalFormatting>
  <conditionalFormatting sqref="L21">
    <cfRule type="cellIs" dxfId="12518" priority="131764" stopIfTrue="1" operator="greaterThanOrEqual">
      <formula>0.5</formula>
    </cfRule>
  </conditionalFormatting>
  <conditionalFormatting sqref="L22">
    <cfRule type="cellIs" dxfId="12517" priority="131765" stopIfTrue="1" operator="equal">
      <formula>-1</formula>
    </cfRule>
  </conditionalFormatting>
  <conditionalFormatting sqref="L22">
    <cfRule type="cellIs" dxfId="12516" priority="131766" stopIfTrue="1" operator="lessThan">
      <formula>0.5</formula>
    </cfRule>
  </conditionalFormatting>
  <conditionalFormatting sqref="L22">
    <cfRule type="cellIs" dxfId="12515" priority="131767" stopIfTrue="1" operator="greaterThanOrEqual">
      <formula>0.5</formula>
    </cfRule>
  </conditionalFormatting>
  <conditionalFormatting sqref="L23">
    <cfRule type="cellIs" dxfId="12514" priority="131768" stopIfTrue="1" operator="equal">
      <formula>-1</formula>
    </cfRule>
  </conditionalFormatting>
  <conditionalFormatting sqref="L23">
    <cfRule type="cellIs" dxfId="12513" priority="131769" stopIfTrue="1" operator="lessThan">
      <formula>0.5</formula>
    </cfRule>
  </conditionalFormatting>
  <conditionalFormatting sqref="L23">
    <cfRule type="cellIs" dxfId="12512" priority="131770" stopIfTrue="1" operator="greaterThanOrEqual">
      <formula>0.5</formula>
    </cfRule>
  </conditionalFormatting>
  <conditionalFormatting sqref="L24">
    <cfRule type="cellIs" dxfId="12511" priority="131771" stopIfTrue="1" operator="equal">
      <formula>-1</formula>
    </cfRule>
  </conditionalFormatting>
  <conditionalFormatting sqref="L24">
    <cfRule type="cellIs" dxfId="12510" priority="131772" stopIfTrue="1" operator="lessThan">
      <formula>0.5</formula>
    </cfRule>
  </conditionalFormatting>
  <conditionalFormatting sqref="L24">
    <cfRule type="cellIs" dxfId="12509" priority="131773" stopIfTrue="1" operator="greaterThanOrEqual">
      <formula>0.5</formula>
    </cfRule>
  </conditionalFormatting>
  <conditionalFormatting sqref="L25">
    <cfRule type="cellIs" dxfId="12508" priority="131774" stopIfTrue="1" operator="equal">
      <formula>-1</formula>
    </cfRule>
  </conditionalFormatting>
  <conditionalFormatting sqref="L25">
    <cfRule type="cellIs" dxfId="12507" priority="131775" stopIfTrue="1" operator="lessThan">
      <formula>0.5</formula>
    </cfRule>
  </conditionalFormatting>
  <conditionalFormatting sqref="L25">
    <cfRule type="cellIs" dxfId="12506" priority="131776" stopIfTrue="1" operator="greaterThanOrEqual">
      <formula>0.5</formula>
    </cfRule>
  </conditionalFormatting>
  <conditionalFormatting sqref="L26">
    <cfRule type="cellIs" dxfId="12505" priority="131777" stopIfTrue="1" operator="equal">
      <formula>-1</formula>
    </cfRule>
  </conditionalFormatting>
  <conditionalFormatting sqref="L26">
    <cfRule type="cellIs" dxfId="12504" priority="131778" stopIfTrue="1" operator="lessThan">
      <formula>0.5</formula>
    </cfRule>
  </conditionalFormatting>
  <conditionalFormatting sqref="L26">
    <cfRule type="cellIs" dxfId="12503" priority="131779" stopIfTrue="1" operator="greaterThanOrEqual">
      <formula>0.5</formula>
    </cfRule>
  </conditionalFormatting>
  <conditionalFormatting sqref="L27">
    <cfRule type="cellIs" dxfId="12502" priority="131780" stopIfTrue="1" operator="equal">
      <formula>-1</formula>
    </cfRule>
  </conditionalFormatting>
  <conditionalFormatting sqref="L27">
    <cfRule type="cellIs" dxfId="12501" priority="131781" stopIfTrue="1" operator="lessThan">
      <formula>0.5</formula>
    </cfRule>
  </conditionalFormatting>
  <conditionalFormatting sqref="L27">
    <cfRule type="cellIs" dxfId="12500" priority="131782" stopIfTrue="1" operator="greaterThanOrEqual">
      <formula>0.5</formula>
    </cfRule>
  </conditionalFormatting>
  <conditionalFormatting sqref="L28">
    <cfRule type="cellIs" dxfId="12499" priority="131783" stopIfTrue="1" operator="equal">
      <formula>-1</formula>
    </cfRule>
  </conditionalFormatting>
  <conditionalFormatting sqref="L28">
    <cfRule type="cellIs" dxfId="12498" priority="131784" stopIfTrue="1" operator="lessThan">
      <formula>0.5</formula>
    </cfRule>
  </conditionalFormatting>
  <conditionalFormatting sqref="L28">
    <cfRule type="cellIs" dxfId="12497" priority="131785" stopIfTrue="1" operator="greaterThanOrEqual">
      <formula>0.5</formula>
    </cfRule>
  </conditionalFormatting>
  <conditionalFormatting sqref="L29">
    <cfRule type="cellIs" dxfId="12496" priority="131786" stopIfTrue="1" operator="equal">
      <formula>-1</formula>
    </cfRule>
  </conditionalFormatting>
  <conditionalFormatting sqref="L29">
    <cfRule type="cellIs" dxfId="12495" priority="131787" stopIfTrue="1" operator="lessThan">
      <formula>0.5</formula>
    </cfRule>
  </conditionalFormatting>
  <conditionalFormatting sqref="L29">
    <cfRule type="cellIs" dxfId="12494" priority="131788" stopIfTrue="1" operator="greaterThanOrEqual">
      <formula>0.5</formula>
    </cfRule>
  </conditionalFormatting>
  <conditionalFormatting sqref="L30">
    <cfRule type="cellIs" dxfId="12493" priority="131789" stopIfTrue="1" operator="equal">
      <formula>-1</formula>
    </cfRule>
  </conditionalFormatting>
  <conditionalFormatting sqref="L30">
    <cfRule type="cellIs" dxfId="12492" priority="131790" stopIfTrue="1" operator="lessThan">
      <formula>0.5</formula>
    </cfRule>
  </conditionalFormatting>
  <conditionalFormatting sqref="L30">
    <cfRule type="cellIs" dxfId="12491" priority="131791" stopIfTrue="1" operator="greaterThanOrEqual">
      <formula>0.5</formula>
    </cfRule>
  </conditionalFormatting>
  <conditionalFormatting sqref="L31">
    <cfRule type="cellIs" dxfId="12490" priority="131792" stopIfTrue="1" operator="equal">
      <formula>-1</formula>
    </cfRule>
  </conditionalFormatting>
  <conditionalFormatting sqref="L31">
    <cfRule type="cellIs" dxfId="12489" priority="131793" stopIfTrue="1" operator="lessThan">
      <formula>0.5</formula>
    </cfRule>
  </conditionalFormatting>
  <conditionalFormatting sqref="L31">
    <cfRule type="cellIs" dxfId="12488" priority="131794" stopIfTrue="1" operator="greaterThanOrEqual">
      <formula>0.5</formula>
    </cfRule>
  </conditionalFormatting>
  <conditionalFormatting sqref="L32">
    <cfRule type="cellIs" dxfId="12487" priority="131795" stopIfTrue="1" operator="equal">
      <formula>-1</formula>
    </cfRule>
  </conditionalFormatting>
  <conditionalFormatting sqref="L32">
    <cfRule type="cellIs" dxfId="12486" priority="131796" stopIfTrue="1" operator="lessThan">
      <formula>0.5</formula>
    </cfRule>
  </conditionalFormatting>
  <conditionalFormatting sqref="L32">
    <cfRule type="cellIs" dxfId="12485" priority="131797" stopIfTrue="1" operator="greaterThanOrEqual">
      <formula>0.5</formula>
    </cfRule>
  </conditionalFormatting>
  <conditionalFormatting sqref="L33">
    <cfRule type="cellIs" dxfId="12484" priority="131798" stopIfTrue="1" operator="equal">
      <formula>-1</formula>
    </cfRule>
  </conditionalFormatting>
  <conditionalFormatting sqref="L33">
    <cfRule type="cellIs" dxfId="12483" priority="131799" stopIfTrue="1" operator="lessThan">
      <formula>0.5</formula>
    </cfRule>
  </conditionalFormatting>
  <conditionalFormatting sqref="L33">
    <cfRule type="cellIs" dxfId="12482" priority="131800" stopIfTrue="1" operator="greaterThanOrEqual">
      <formula>0.5</formula>
    </cfRule>
  </conditionalFormatting>
  <conditionalFormatting sqref="L34">
    <cfRule type="cellIs" dxfId="12481" priority="131801" stopIfTrue="1" operator="equal">
      <formula>-1</formula>
    </cfRule>
  </conditionalFormatting>
  <conditionalFormatting sqref="L34">
    <cfRule type="cellIs" dxfId="12480" priority="131802" stopIfTrue="1" operator="lessThan">
      <formula>0.5</formula>
    </cfRule>
  </conditionalFormatting>
  <conditionalFormatting sqref="L34">
    <cfRule type="cellIs" dxfId="12479" priority="131803" stopIfTrue="1" operator="greaterThanOrEqual">
      <formula>0.5</formula>
    </cfRule>
  </conditionalFormatting>
  <conditionalFormatting sqref="L35">
    <cfRule type="cellIs" dxfId="12478" priority="131804" stopIfTrue="1" operator="equal">
      <formula>-1</formula>
    </cfRule>
  </conditionalFormatting>
  <conditionalFormatting sqref="L35">
    <cfRule type="cellIs" dxfId="12477" priority="131805" stopIfTrue="1" operator="lessThan">
      <formula>0.5</formula>
    </cfRule>
  </conditionalFormatting>
  <conditionalFormatting sqref="L35">
    <cfRule type="cellIs" dxfId="12476" priority="131806" stopIfTrue="1" operator="greaterThanOrEqual">
      <formula>0.5</formula>
    </cfRule>
  </conditionalFormatting>
  <conditionalFormatting sqref="L36">
    <cfRule type="cellIs" dxfId="12475" priority="131807" stopIfTrue="1" operator="equal">
      <formula>-1</formula>
    </cfRule>
  </conditionalFormatting>
  <conditionalFormatting sqref="L36">
    <cfRule type="cellIs" dxfId="12474" priority="131808" stopIfTrue="1" operator="lessThan">
      <formula>0.5</formula>
    </cfRule>
  </conditionalFormatting>
  <conditionalFormatting sqref="L36">
    <cfRule type="cellIs" dxfId="12473" priority="131809" stopIfTrue="1" operator="greaterThanOrEqual">
      <formula>0.5</formula>
    </cfRule>
  </conditionalFormatting>
  <conditionalFormatting sqref="L37">
    <cfRule type="cellIs" dxfId="12472" priority="131810" stopIfTrue="1" operator="equal">
      <formula>-1</formula>
    </cfRule>
  </conditionalFormatting>
  <conditionalFormatting sqref="L37">
    <cfRule type="cellIs" dxfId="12471" priority="131811" stopIfTrue="1" operator="lessThan">
      <formula>0.5</formula>
    </cfRule>
  </conditionalFormatting>
  <conditionalFormatting sqref="L37">
    <cfRule type="cellIs" dxfId="12470" priority="131812" stopIfTrue="1" operator="greaterThanOrEqual">
      <formula>0.5</formula>
    </cfRule>
  </conditionalFormatting>
  <conditionalFormatting sqref="N17">
    <cfRule type="cellIs" dxfId="12469" priority="131813" stopIfTrue="1" operator="equal">
      <formula>-1</formula>
    </cfRule>
  </conditionalFormatting>
  <conditionalFormatting sqref="N17">
    <cfRule type="cellIs" dxfId="12468" priority="131814" stopIfTrue="1" operator="lessThan">
      <formula>0.5</formula>
    </cfRule>
  </conditionalFormatting>
  <conditionalFormatting sqref="N17">
    <cfRule type="cellIs" dxfId="12467" priority="131815" stopIfTrue="1" operator="greaterThanOrEqual">
      <formula>0.5</formula>
    </cfRule>
  </conditionalFormatting>
  <conditionalFormatting sqref="N18">
    <cfRule type="cellIs" dxfId="12466" priority="131816" stopIfTrue="1" operator="equal">
      <formula>-1</formula>
    </cfRule>
  </conditionalFormatting>
  <conditionalFormatting sqref="N18">
    <cfRule type="cellIs" dxfId="12465" priority="131817" stopIfTrue="1" operator="lessThan">
      <formula>0.5</formula>
    </cfRule>
  </conditionalFormatting>
  <conditionalFormatting sqref="N18">
    <cfRule type="cellIs" dxfId="12464" priority="131818" stopIfTrue="1" operator="greaterThanOrEqual">
      <formula>0.5</formula>
    </cfRule>
  </conditionalFormatting>
  <conditionalFormatting sqref="N19">
    <cfRule type="cellIs" dxfId="12463" priority="131819" stopIfTrue="1" operator="equal">
      <formula>-1</formula>
    </cfRule>
  </conditionalFormatting>
  <conditionalFormatting sqref="N19">
    <cfRule type="cellIs" dxfId="12462" priority="131820" stopIfTrue="1" operator="lessThan">
      <formula>0.5</formula>
    </cfRule>
  </conditionalFormatting>
  <conditionalFormatting sqref="N19">
    <cfRule type="cellIs" dxfId="12461" priority="131821" stopIfTrue="1" operator="greaterThanOrEqual">
      <formula>0.5</formula>
    </cfRule>
  </conditionalFormatting>
  <conditionalFormatting sqref="N20">
    <cfRule type="cellIs" dxfId="12460" priority="131822" stopIfTrue="1" operator="equal">
      <formula>-1</formula>
    </cfRule>
  </conditionalFormatting>
  <conditionalFormatting sqref="N20">
    <cfRule type="cellIs" dxfId="12459" priority="131823" stopIfTrue="1" operator="lessThan">
      <formula>0.5</formula>
    </cfRule>
  </conditionalFormatting>
  <conditionalFormatting sqref="N20">
    <cfRule type="cellIs" dxfId="12458" priority="131824" stopIfTrue="1" operator="greaterThanOrEqual">
      <formula>0.5</formula>
    </cfRule>
  </conditionalFormatting>
  <conditionalFormatting sqref="N21">
    <cfRule type="cellIs" dxfId="12457" priority="131825" stopIfTrue="1" operator="equal">
      <formula>-1</formula>
    </cfRule>
  </conditionalFormatting>
  <conditionalFormatting sqref="N21">
    <cfRule type="cellIs" dxfId="12456" priority="131826" stopIfTrue="1" operator="lessThan">
      <formula>0.5</formula>
    </cfRule>
  </conditionalFormatting>
  <conditionalFormatting sqref="N21">
    <cfRule type="cellIs" dxfId="12455" priority="131827" stopIfTrue="1" operator="greaterThanOrEqual">
      <formula>0.5</formula>
    </cfRule>
  </conditionalFormatting>
  <conditionalFormatting sqref="N22">
    <cfRule type="cellIs" dxfId="12454" priority="131828" stopIfTrue="1" operator="equal">
      <formula>-1</formula>
    </cfRule>
  </conditionalFormatting>
  <conditionalFormatting sqref="N22">
    <cfRule type="cellIs" dxfId="12453" priority="131829" stopIfTrue="1" operator="lessThan">
      <formula>0.5</formula>
    </cfRule>
  </conditionalFormatting>
  <conditionalFormatting sqref="N22">
    <cfRule type="cellIs" dxfId="12452" priority="131830" stopIfTrue="1" operator="greaterThanOrEqual">
      <formula>0.5</formula>
    </cfRule>
  </conditionalFormatting>
  <conditionalFormatting sqref="N23">
    <cfRule type="cellIs" dxfId="12451" priority="131831" stopIfTrue="1" operator="equal">
      <formula>-1</formula>
    </cfRule>
  </conditionalFormatting>
  <conditionalFormatting sqref="N23">
    <cfRule type="cellIs" dxfId="12450" priority="131832" stopIfTrue="1" operator="lessThan">
      <formula>0.5</formula>
    </cfRule>
  </conditionalFormatting>
  <conditionalFormatting sqref="N23">
    <cfRule type="cellIs" dxfId="12449" priority="131833" stopIfTrue="1" operator="greaterThanOrEqual">
      <formula>0.5</formula>
    </cfRule>
  </conditionalFormatting>
  <conditionalFormatting sqref="N24">
    <cfRule type="cellIs" dxfId="12448" priority="131834" stopIfTrue="1" operator="equal">
      <formula>-1</formula>
    </cfRule>
  </conditionalFormatting>
  <conditionalFormatting sqref="N24">
    <cfRule type="cellIs" dxfId="12447" priority="131835" stopIfTrue="1" operator="lessThan">
      <formula>0.5</formula>
    </cfRule>
  </conditionalFormatting>
  <conditionalFormatting sqref="N24">
    <cfRule type="cellIs" dxfId="12446" priority="131836" stopIfTrue="1" operator="greaterThanOrEqual">
      <formula>0.5</formula>
    </cfRule>
  </conditionalFormatting>
  <conditionalFormatting sqref="N25">
    <cfRule type="cellIs" dxfId="12445" priority="131837" stopIfTrue="1" operator="equal">
      <formula>-1</formula>
    </cfRule>
  </conditionalFormatting>
  <conditionalFormatting sqref="N25">
    <cfRule type="cellIs" dxfId="12444" priority="131838" stopIfTrue="1" operator="lessThan">
      <formula>0.5</formula>
    </cfRule>
  </conditionalFormatting>
  <conditionalFormatting sqref="N25">
    <cfRule type="cellIs" dxfId="12443" priority="131839" stopIfTrue="1" operator="greaterThanOrEqual">
      <formula>0.5</formula>
    </cfRule>
  </conditionalFormatting>
  <conditionalFormatting sqref="N26">
    <cfRule type="cellIs" dxfId="12442" priority="131840" stopIfTrue="1" operator="equal">
      <formula>-1</formula>
    </cfRule>
  </conditionalFormatting>
  <conditionalFormatting sqref="N26">
    <cfRule type="cellIs" dxfId="12441" priority="131841" stopIfTrue="1" operator="lessThan">
      <formula>0.5</formula>
    </cfRule>
  </conditionalFormatting>
  <conditionalFormatting sqref="N26">
    <cfRule type="cellIs" dxfId="12440" priority="131842" stopIfTrue="1" operator="greaterThanOrEqual">
      <formula>0.5</formula>
    </cfRule>
  </conditionalFormatting>
  <conditionalFormatting sqref="N27">
    <cfRule type="cellIs" dxfId="12439" priority="131843" stopIfTrue="1" operator="equal">
      <formula>-1</formula>
    </cfRule>
  </conditionalFormatting>
  <conditionalFormatting sqref="N27">
    <cfRule type="cellIs" dxfId="12438" priority="131844" stopIfTrue="1" operator="lessThan">
      <formula>0.5</formula>
    </cfRule>
  </conditionalFormatting>
  <conditionalFormatting sqref="N27">
    <cfRule type="cellIs" dxfId="12437" priority="131845" stopIfTrue="1" operator="greaterThanOrEqual">
      <formula>0.5</formula>
    </cfRule>
  </conditionalFormatting>
  <conditionalFormatting sqref="N28">
    <cfRule type="cellIs" dxfId="12436" priority="131846" stopIfTrue="1" operator="equal">
      <formula>-1</formula>
    </cfRule>
  </conditionalFormatting>
  <conditionalFormatting sqref="N28">
    <cfRule type="cellIs" dxfId="12435" priority="131847" stopIfTrue="1" operator="lessThan">
      <formula>0.5</formula>
    </cfRule>
  </conditionalFormatting>
  <conditionalFormatting sqref="N28">
    <cfRule type="cellIs" dxfId="12434" priority="131848" stopIfTrue="1" operator="greaterThanOrEqual">
      <formula>0.5</formula>
    </cfRule>
  </conditionalFormatting>
  <conditionalFormatting sqref="N29">
    <cfRule type="cellIs" dxfId="12433" priority="131849" stopIfTrue="1" operator="equal">
      <formula>-1</formula>
    </cfRule>
  </conditionalFormatting>
  <conditionalFormatting sqref="N29">
    <cfRule type="cellIs" dxfId="12432" priority="131850" stopIfTrue="1" operator="lessThan">
      <formula>0.5</formula>
    </cfRule>
  </conditionalFormatting>
  <conditionalFormatting sqref="N29">
    <cfRule type="cellIs" dxfId="12431" priority="131851" stopIfTrue="1" operator="greaterThanOrEqual">
      <formula>0.5</formula>
    </cfRule>
  </conditionalFormatting>
  <conditionalFormatting sqref="N30">
    <cfRule type="cellIs" dxfId="12430" priority="131852" stopIfTrue="1" operator="equal">
      <formula>-1</formula>
    </cfRule>
  </conditionalFormatting>
  <conditionalFormatting sqref="N30">
    <cfRule type="cellIs" dxfId="12429" priority="131853" stopIfTrue="1" operator="lessThan">
      <formula>0.5</formula>
    </cfRule>
  </conditionalFormatting>
  <conditionalFormatting sqref="N30">
    <cfRule type="cellIs" dxfId="12428" priority="131854" stopIfTrue="1" operator="greaterThanOrEqual">
      <formula>0.5</formula>
    </cfRule>
  </conditionalFormatting>
  <conditionalFormatting sqref="N31">
    <cfRule type="cellIs" dxfId="12427" priority="131855" stopIfTrue="1" operator="equal">
      <formula>-1</formula>
    </cfRule>
  </conditionalFormatting>
  <conditionalFormatting sqref="N31">
    <cfRule type="cellIs" dxfId="12426" priority="131856" stopIfTrue="1" operator="lessThan">
      <formula>0.5</formula>
    </cfRule>
  </conditionalFormatting>
  <conditionalFormatting sqref="N31">
    <cfRule type="cellIs" dxfId="12425" priority="131857" stopIfTrue="1" operator="greaterThanOrEqual">
      <formula>0.5</formula>
    </cfRule>
  </conditionalFormatting>
  <conditionalFormatting sqref="N32">
    <cfRule type="cellIs" dxfId="12424" priority="131858" stopIfTrue="1" operator="equal">
      <formula>-1</formula>
    </cfRule>
  </conditionalFormatting>
  <conditionalFormatting sqref="N32">
    <cfRule type="cellIs" dxfId="12423" priority="131859" stopIfTrue="1" operator="lessThan">
      <formula>0.5</formula>
    </cfRule>
  </conditionalFormatting>
  <conditionalFormatting sqref="N32">
    <cfRule type="cellIs" dxfId="12422" priority="131860" stopIfTrue="1" operator="greaterThanOrEqual">
      <formula>0.5</formula>
    </cfRule>
  </conditionalFormatting>
  <conditionalFormatting sqref="N33">
    <cfRule type="cellIs" dxfId="12421" priority="131861" stopIfTrue="1" operator="equal">
      <formula>-1</formula>
    </cfRule>
  </conditionalFormatting>
  <conditionalFormatting sqref="N33">
    <cfRule type="cellIs" dxfId="12420" priority="131862" stopIfTrue="1" operator="lessThan">
      <formula>0.5</formula>
    </cfRule>
  </conditionalFormatting>
  <conditionalFormatting sqref="N33">
    <cfRule type="cellIs" dxfId="12419" priority="131863" stopIfTrue="1" operator="greaterThanOrEqual">
      <formula>0.5</formula>
    </cfRule>
  </conditionalFormatting>
  <conditionalFormatting sqref="N34">
    <cfRule type="cellIs" dxfId="12418" priority="131864" stopIfTrue="1" operator="equal">
      <formula>-1</formula>
    </cfRule>
  </conditionalFormatting>
  <conditionalFormatting sqref="N34">
    <cfRule type="cellIs" dxfId="12417" priority="131865" stopIfTrue="1" operator="lessThan">
      <formula>0.5</formula>
    </cfRule>
  </conditionalFormatting>
  <conditionalFormatting sqref="N34">
    <cfRule type="cellIs" dxfId="12416" priority="131866" stopIfTrue="1" operator="greaterThanOrEqual">
      <formula>0.5</formula>
    </cfRule>
  </conditionalFormatting>
  <conditionalFormatting sqref="N35">
    <cfRule type="cellIs" dxfId="12415" priority="131867" stopIfTrue="1" operator="equal">
      <formula>-1</formula>
    </cfRule>
  </conditionalFormatting>
  <conditionalFormatting sqref="N35">
    <cfRule type="cellIs" dxfId="12414" priority="131868" stopIfTrue="1" operator="lessThan">
      <formula>0.5</formula>
    </cfRule>
  </conditionalFormatting>
  <conditionalFormatting sqref="N35">
    <cfRule type="cellIs" dxfId="12413" priority="131869" stopIfTrue="1" operator="greaterThanOrEqual">
      <formula>0.5</formula>
    </cfRule>
  </conditionalFormatting>
  <conditionalFormatting sqref="N36">
    <cfRule type="cellIs" dxfId="12412" priority="131870" stopIfTrue="1" operator="equal">
      <formula>-1</formula>
    </cfRule>
  </conditionalFormatting>
  <conditionalFormatting sqref="N36">
    <cfRule type="cellIs" dxfId="12411" priority="131871" stopIfTrue="1" operator="lessThan">
      <formula>0.5</formula>
    </cfRule>
  </conditionalFormatting>
  <conditionalFormatting sqref="N36">
    <cfRule type="cellIs" dxfId="12410" priority="131872" stopIfTrue="1" operator="greaterThanOrEqual">
      <formula>0.5</formula>
    </cfRule>
  </conditionalFormatting>
  <conditionalFormatting sqref="N37">
    <cfRule type="cellIs" dxfId="12409" priority="131873" stopIfTrue="1" operator="equal">
      <formula>-1</formula>
    </cfRule>
  </conditionalFormatting>
  <conditionalFormatting sqref="N37">
    <cfRule type="cellIs" dxfId="12408" priority="131874" stopIfTrue="1" operator="lessThan">
      <formula>0.5</formula>
    </cfRule>
  </conditionalFormatting>
  <conditionalFormatting sqref="N37">
    <cfRule type="cellIs" dxfId="12407" priority="131875" stopIfTrue="1" operator="greaterThanOrEqual">
      <formula>0.5</formula>
    </cfRule>
  </conditionalFormatting>
  <conditionalFormatting sqref="P17">
    <cfRule type="cellIs" dxfId="12406" priority="131876" stopIfTrue="1" operator="equal">
      <formula>-1</formula>
    </cfRule>
  </conditionalFormatting>
  <conditionalFormatting sqref="P17">
    <cfRule type="cellIs" dxfId="12405" priority="131877" stopIfTrue="1" operator="lessThan">
      <formula>0.5</formula>
    </cfRule>
  </conditionalFormatting>
  <conditionalFormatting sqref="P17">
    <cfRule type="cellIs" dxfId="12404" priority="131878" stopIfTrue="1" operator="greaterThanOrEqual">
      <formula>0.5</formula>
    </cfRule>
  </conditionalFormatting>
  <conditionalFormatting sqref="P18">
    <cfRule type="cellIs" dxfId="12403" priority="131879" stopIfTrue="1" operator="equal">
      <formula>-1</formula>
    </cfRule>
  </conditionalFormatting>
  <conditionalFormatting sqref="P18">
    <cfRule type="cellIs" dxfId="12402" priority="131880" stopIfTrue="1" operator="lessThan">
      <formula>0.5</formula>
    </cfRule>
  </conditionalFormatting>
  <conditionalFormatting sqref="P18">
    <cfRule type="cellIs" dxfId="12401" priority="131881" stopIfTrue="1" operator="greaterThanOrEqual">
      <formula>0.5</formula>
    </cfRule>
  </conditionalFormatting>
  <conditionalFormatting sqref="P19">
    <cfRule type="cellIs" dxfId="12400" priority="131882" stopIfTrue="1" operator="equal">
      <formula>-1</formula>
    </cfRule>
  </conditionalFormatting>
  <conditionalFormatting sqref="P19">
    <cfRule type="cellIs" dxfId="12399" priority="131883" stopIfTrue="1" operator="lessThan">
      <formula>0.5</formula>
    </cfRule>
  </conditionalFormatting>
  <conditionalFormatting sqref="P19">
    <cfRule type="cellIs" dxfId="12398" priority="131884" stopIfTrue="1" operator="greaterThanOrEqual">
      <formula>0.5</formula>
    </cfRule>
  </conditionalFormatting>
  <conditionalFormatting sqref="P20">
    <cfRule type="cellIs" dxfId="12397" priority="131885" stopIfTrue="1" operator="equal">
      <formula>-1</formula>
    </cfRule>
  </conditionalFormatting>
  <conditionalFormatting sqref="P20">
    <cfRule type="cellIs" dxfId="12396" priority="131886" stopIfTrue="1" operator="lessThan">
      <formula>0.5</formula>
    </cfRule>
  </conditionalFormatting>
  <conditionalFormatting sqref="P20">
    <cfRule type="cellIs" dxfId="12395" priority="131887" stopIfTrue="1" operator="greaterThanOrEqual">
      <formula>0.5</formula>
    </cfRule>
  </conditionalFormatting>
  <conditionalFormatting sqref="P21">
    <cfRule type="cellIs" dxfId="12394" priority="131888" stopIfTrue="1" operator="equal">
      <formula>-1</formula>
    </cfRule>
  </conditionalFormatting>
  <conditionalFormatting sqref="P21">
    <cfRule type="cellIs" dxfId="12393" priority="131889" stopIfTrue="1" operator="lessThan">
      <formula>0.5</formula>
    </cfRule>
  </conditionalFormatting>
  <conditionalFormatting sqref="P21">
    <cfRule type="cellIs" dxfId="12392" priority="131890" stopIfTrue="1" operator="greaterThanOrEqual">
      <formula>0.5</formula>
    </cfRule>
  </conditionalFormatting>
  <conditionalFormatting sqref="P22">
    <cfRule type="cellIs" dxfId="12391" priority="131891" stopIfTrue="1" operator="equal">
      <formula>-1</formula>
    </cfRule>
  </conditionalFormatting>
  <conditionalFormatting sqref="P22">
    <cfRule type="cellIs" dxfId="12390" priority="131892" stopIfTrue="1" operator="lessThan">
      <formula>0.5</formula>
    </cfRule>
  </conditionalFormatting>
  <conditionalFormatting sqref="P22">
    <cfRule type="cellIs" dxfId="12389" priority="131893" stopIfTrue="1" operator="greaterThanOrEqual">
      <formula>0.5</formula>
    </cfRule>
  </conditionalFormatting>
  <conditionalFormatting sqref="P23">
    <cfRule type="cellIs" dxfId="12388" priority="131894" stopIfTrue="1" operator="equal">
      <formula>-1</formula>
    </cfRule>
  </conditionalFormatting>
  <conditionalFormatting sqref="P23">
    <cfRule type="cellIs" dxfId="12387" priority="131895" stopIfTrue="1" operator="lessThan">
      <formula>0.5</formula>
    </cfRule>
  </conditionalFormatting>
  <conditionalFormatting sqref="P23">
    <cfRule type="cellIs" dxfId="12386" priority="131896" stopIfTrue="1" operator="greaterThanOrEqual">
      <formula>0.5</formula>
    </cfRule>
  </conditionalFormatting>
  <conditionalFormatting sqref="P24">
    <cfRule type="cellIs" dxfId="12385" priority="131897" stopIfTrue="1" operator="equal">
      <formula>-1</formula>
    </cfRule>
  </conditionalFormatting>
  <conditionalFormatting sqref="P24">
    <cfRule type="cellIs" dxfId="12384" priority="131898" stopIfTrue="1" operator="lessThan">
      <formula>0.5</formula>
    </cfRule>
  </conditionalFormatting>
  <conditionalFormatting sqref="P24">
    <cfRule type="cellIs" dxfId="12383" priority="131899" stopIfTrue="1" operator="greaterThanOrEqual">
      <formula>0.5</formula>
    </cfRule>
  </conditionalFormatting>
  <conditionalFormatting sqref="P25">
    <cfRule type="cellIs" dxfId="12382" priority="131900" stopIfTrue="1" operator="equal">
      <formula>-1</formula>
    </cfRule>
  </conditionalFormatting>
  <conditionalFormatting sqref="P25">
    <cfRule type="cellIs" dxfId="12381" priority="131901" stopIfTrue="1" operator="lessThan">
      <formula>0.5</formula>
    </cfRule>
  </conditionalFormatting>
  <conditionalFormatting sqref="P25">
    <cfRule type="cellIs" dxfId="12380" priority="131902" stopIfTrue="1" operator="greaterThanOrEqual">
      <formula>0.5</formula>
    </cfRule>
  </conditionalFormatting>
  <conditionalFormatting sqref="P26">
    <cfRule type="cellIs" dxfId="12379" priority="131903" stopIfTrue="1" operator="equal">
      <formula>-1</formula>
    </cfRule>
  </conditionalFormatting>
  <conditionalFormatting sqref="P26">
    <cfRule type="cellIs" dxfId="12378" priority="131904" stopIfTrue="1" operator="lessThan">
      <formula>0.5</formula>
    </cfRule>
  </conditionalFormatting>
  <conditionalFormatting sqref="P26">
    <cfRule type="cellIs" dxfId="12377" priority="131905" stopIfTrue="1" operator="greaterThanOrEqual">
      <formula>0.5</formula>
    </cfRule>
  </conditionalFormatting>
  <conditionalFormatting sqref="P27">
    <cfRule type="cellIs" dxfId="12376" priority="131906" stopIfTrue="1" operator="equal">
      <formula>-1</formula>
    </cfRule>
  </conditionalFormatting>
  <conditionalFormatting sqref="P27">
    <cfRule type="cellIs" dxfId="12375" priority="131907" stopIfTrue="1" operator="lessThan">
      <formula>0.5</formula>
    </cfRule>
  </conditionalFormatting>
  <conditionalFormatting sqref="P27">
    <cfRule type="cellIs" dxfId="12374" priority="131908" stopIfTrue="1" operator="greaterThanOrEqual">
      <formula>0.5</formula>
    </cfRule>
  </conditionalFormatting>
  <conditionalFormatting sqref="P28">
    <cfRule type="cellIs" dxfId="12373" priority="131909" stopIfTrue="1" operator="equal">
      <formula>-1</formula>
    </cfRule>
  </conditionalFormatting>
  <conditionalFormatting sqref="P28">
    <cfRule type="cellIs" dxfId="12372" priority="131910" stopIfTrue="1" operator="lessThan">
      <formula>0.5</formula>
    </cfRule>
  </conditionalFormatting>
  <conditionalFormatting sqref="P28">
    <cfRule type="cellIs" dxfId="12371" priority="131911" stopIfTrue="1" operator="greaterThanOrEqual">
      <formula>0.5</formula>
    </cfRule>
  </conditionalFormatting>
  <conditionalFormatting sqref="P29">
    <cfRule type="cellIs" dxfId="12370" priority="131912" stopIfTrue="1" operator="equal">
      <formula>-1</formula>
    </cfRule>
  </conditionalFormatting>
  <conditionalFormatting sqref="P29">
    <cfRule type="cellIs" dxfId="12369" priority="131913" stopIfTrue="1" operator="lessThan">
      <formula>0.5</formula>
    </cfRule>
  </conditionalFormatting>
  <conditionalFormatting sqref="P29">
    <cfRule type="cellIs" dxfId="12368" priority="131914" stopIfTrue="1" operator="greaterThanOrEqual">
      <formula>0.5</formula>
    </cfRule>
  </conditionalFormatting>
  <conditionalFormatting sqref="P30">
    <cfRule type="cellIs" dxfId="12367" priority="131915" stopIfTrue="1" operator="equal">
      <formula>-1</formula>
    </cfRule>
  </conditionalFormatting>
  <conditionalFormatting sqref="P30">
    <cfRule type="cellIs" dxfId="12366" priority="131916" stopIfTrue="1" operator="lessThan">
      <formula>0.5</formula>
    </cfRule>
  </conditionalFormatting>
  <conditionalFormatting sqref="P30">
    <cfRule type="cellIs" dxfId="12365" priority="131917" stopIfTrue="1" operator="greaterThanOrEqual">
      <formula>0.5</formula>
    </cfRule>
  </conditionalFormatting>
  <conditionalFormatting sqref="P31">
    <cfRule type="cellIs" dxfId="12364" priority="131918" stopIfTrue="1" operator="equal">
      <formula>-1</formula>
    </cfRule>
  </conditionalFormatting>
  <conditionalFormatting sqref="P31">
    <cfRule type="cellIs" dxfId="12363" priority="131919" stopIfTrue="1" operator="lessThan">
      <formula>0.5</formula>
    </cfRule>
  </conditionalFormatting>
  <conditionalFormatting sqref="P31">
    <cfRule type="cellIs" dxfId="12362" priority="131920" stopIfTrue="1" operator="greaterThanOrEqual">
      <formula>0.5</formula>
    </cfRule>
  </conditionalFormatting>
  <conditionalFormatting sqref="P32">
    <cfRule type="cellIs" dxfId="12361" priority="131921" stopIfTrue="1" operator="equal">
      <formula>-1</formula>
    </cfRule>
  </conditionalFormatting>
  <conditionalFormatting sqref="P32">
    <cfRule type="cellIs" dxfId="12360" priority="131922" stopIfTrue="1" operator="lessThan">
      <formula>0.5</formula>
    </cfRule>
  </conditionalFormatting>
  <conditionalFormatting sqref="P32">
    <cfRule type="cellIs" dxfId="12359" priority="131923" stopIfTrue="1" operator="greaterThanOrEqual">
      <formula>0.5</formula>
    </cfRule>
  </conditionalFormatting>
  <conditionalFormatting sqref="P33">
    <cfRule type="cellIs" dxfId="12358" priority="131924" stopIfTrue="1" operator="equal">
      <formula>-1</formula>
    </cfRule>
  </conditionalFormatting>
  <conditionalFormatting sqref="P33">
    <cfRule type="cellIs" dxfId="12357" priority="131925" stopIfTrue="1" operator="lessThan">
      <formula>0.5</formula>
    </cfRule>
  </conditionalFormatting>
  <conditionalFormatting sqref="P33">
    <cfRule type="cellIs" dxfId="12356" priority="131926" stopIfTrue="1" operator="greaterThanOrEqual">
      <formula>0.5</formula>
    </cfRule>
  </conditionalFormatting>
  <conditionalFormatting sqref="P34">
    <cfRule type="cellIs" dxfId="12355" priority="131927" stopIfTrue="1" operator="equal">
      <formula>-1</formula>
    </cfRule>
  </conditionalFormatting>
  <conditionalFormatting sqref="P34">
    <cfRule type="cellIs" dxfId="12354" priority="131928" stopIfTrue="1" operator="lessThan">
      <formula>0.5</formula>
    </cfRule>
  </conditionalFormatting>
  <conditionalFormatting sqref="P34">
    <cfRule type="cellIs" dxfId="12353" priority="131929" stopIfTrue="1" operator="greaterThanOrEqual">
      <formula>0.5</formula>
    </cfRule>
  </conditionalFormatting>
  <conditionalFormatting sqref="P35">
    <cfRule type="cellIs" dxfId="12352" priority="131930" stopIfTrue="1" operator="equal">
      <formula>-1</formula>
    </cfRule>
  </conditionalFormatting>
  <conditionalFormatting sqref="P35">
    <cfRule type="cellIs" dxfId="12351" priority="131931" stopIfTrue="1" operator="lessThan">
      <formula>0.5</formula>
    </cfRule>
  </conditionalFormatting>
  <conditionalFormatting sqref="P35">
    <cfRule type="cellIs" dxfId="12350" priority="131932" stopIfTrue="1" operator="greaterThanOrEqual">
      <formula>0.5</formula>
    </cfRule>
  </conditionalFormatting>
  <conditionalFormatting sqref="P36">
    <cfRule type="cellIs" dxfId="12349" priority="131933" stopIfTrue="1" operator="equal">
      <formula>-1</formula>
    </cfRule>
  </conditionalFormatting>
  <conditionalFormatting sqref="P36">
    <cfRule type="cellIs" dxfId="12348" priority="131934" stopIfTrue="1" operator="lessThan">
      <formula>0.5</formula>
    </cfRule>
  </conditionalFormatting>
  <conditionalFormatting sqref="P36">
    <cfRule type="cellIs" dxfId="12347" priority="131935" stopIfTrue="1" operator="greaterThanOrEqual">
      <formula>0.5</formula>
    </cfRule>
  </conditionalFormatting>
  <conditionalFormatting sqref="P37">
    <cfRule type="cellIs" dxfId="12346" priority="131936" stopIfTrue="1" operator="equal">
      <formula>-1</formula>
    </cfRule>
  </conditionalFormatting>
  <conditionalFormatting sqref="P37">
    <cfRule type="cellIs" dxfId="12345" priority="131937" stopIfTrue="1" operator="lessThan">
      <formula>0.5</formula>
    </cfRule>
  </conditionalFormatting>
  <conditionalFormatting sqref="P37">
    <cfRule type="cellIs" dxfId="12344" priority="131938" stopIfTrue="1" operator="greaterThanOrEqual">
      <formula>0.5</formula>
    </cfRule>
  </conditionalFormatting>
  <conditionalFormatting sqref="R17">
    <cfRule type="cellIs" dxfId="12343" priority="131939" stopIfTrue="1" operator="equal">
      <formula>-1</formula>
    </cfRule>
  </conditionalFormatting>
  <conditionalFormatting sqref="R17">
    <cfRule type="cellIs" dxfId="12342" priority="131940" stopIfTrue="1" operator="lessThan">
      <formula>0.5</formula>
    </cfRule>
  </conditionalFormatting>
  <conditionalFormatting sqref="R17">
    <cfRule type="cellIs" dxfId="12341" priority="131941" stopIfTrue="1" operator="greaterThanOrEqual">
      <formula>0.5</formula>
    </cfRule>
  </conditionalFormatting>
  <conditionalFormatting sqref="R18">
    <cfRule type="cellIs" dxfId="12340" priority="131942" stopIfTrue="1" operator="equal">
      <formula>-1</formula>
    </cfRule>
  </conditionalFormatting>
  <conditionalFormatting sqref="R18">
    <cfRule type="cellIs" dxfId="12339" priority="131943" stopIfTrue="1" operator="lessThan">
      <formula>0.5</formula>
    </cfRule>
  </conditionalFormatting>
  <conditionalFormatting sqref="R18">
    <cfRule type="cellIs" dxfId="12338" priority="131944" stopIfTrue="1" operator="greaterThanOrEqual">
      <formula>0.5</formula>
    </cfRule>
  </conditionalFormatting>
  <conditionalFormatting sqref="R19">
    <cfRule type="cellIs" dxfId="12337" priority="131945" stopIfTrue="1" operator="equal">
      <formula>-1</formula>
    </cfRule>
  </conditionalFormatting>
  <conditionalFormatting sqref="R19">
    <cfRule type="cellIs" dxfId="12336" priority="131946" stopIfTrue="1" operator="lessThan">
      <formula>0.5</formula>
    </cfRule>
  </conditionalFormatting>
  <conditionalFormatting sqref="R19">
    <cfRule type="cellIs" dxfId="12335" priority="131947" stopIfTrue="1" operator="greaterThanOrEqual">
      <formula>0.5</formula>
    </cfRule>
  </conditionalFormatting>
  <conditionalFormatting sqref="R20">
    <cfRule type="cellIs" dxfId="12334" priority="131948" stopIfTrue="1" operator="equal">
      <formula>-1</formula>
    </cfRule>
  </conditionalFormatting>
  <conditionalFormatting sqref="R20">
    <cfRule type="cellIs" dxfId="12333" priority="131949" stopIfTrue="1" operator="lessThan">
      <formula>0.5</formula>
    </cfRule>
  </conditionalFormatting>
  <conditionalFormatting sqref="R20">
    <cfRule type="cellIs" dxfId="12332" priority="131950" stopIfTrue="1" operator="greaterThanOrEqual">
      <formula>0.5</formula>
    </cfRule>
  </conditionalFormatting>
  <conditionalFormatting sqref="R21">
    <cfRule type="cellIs" dxfId="12331" priority="131951" stopIfTrue="1" operator="equal">
      <formula>-1</formula>
    </cfRule>
  </conditionalFormatting>
  <conditionalFormatting sqref="R21">
    <cfRule type="cellIs" dxfId="12330" priority="131952" stopIfTrue="1" operator="lessThan">
      <formula>0.5</formula>
    </cfRule>
  </conditionalFormatting>
  <conditionalFormatting sqref="R21">
    <cfRule type="cellIs" dxfId="12329" priority="131953" stopIfTrue="1" operator="greaterThanOrEqual">
      <formula>0.5</formula>
    </cfRule>
  </conditionalFormatting>
  <conditionalFormatting sqref="R22">
    <cfRule type="cellIs" dxfId="12328" priority="131954" stopIfTrue="1" operator="equal">
      <formula>-1</formula>
    </cfRule>
  </conditionalFormatting>
  <conditionalFormatting sqref="R22">
    <cfRule type="cellIs" dxfId="12327" priority="131955" stopIfTrue="1" operator="lessThan">
      <formula>0.5</formula>
    </cfRule>
  </conditionalFormatting>
  <conditionalFormatting sqref="R22">
    <cfRule type="cellIs" dxfId="12326" priority="131956" stopIfTrue="1" operator="greaterThanOrEqual">
      <formula>0.5</formula>
    </cfRule>
  </conditionalFormatting>
  <conditionalFormatting sqref="R23">
    <cfRule type="cellIs" dxfId="12325" priority="131957" stopIfTrue="1" operator="equal">
      <formula>-1</formula>
    </cfRule>
  </conditionalFormatting>
  <conditionalFormatting sqref="R23">
    <cfRule type="cellIs" dxfId="12324" priority="131958" stopIfTrue="1" operator="lessThan">
      <formula>0.5</formula>
    </cfRule>
  </conditionalFormatting>
  <conditionalFormatting sqref="R23">
    <cfRule type="cellIs" dxfId="12323" priority="131959" stopIfTrue="1" operator="greaterThanOrEqual">
      <formula>0.5</formula>
    </cfRule>
  </conditionalFormatting>
  <conditionalFormatting sqref="R24">
    <cfRule type="cellIs" dxfId="12322" priority="131960" stopIfTrue="1" operator="equal">
      <formula>-1</formula>
    </cfRule>
  </conditionalFormatting>
  <conditionalFormatting sqref="R24">
    <cfRule type="cellIs" dxfId="12321" priority="131961" stopIfTrue="1" operator="lessThan">
      <formula>0.5</formula>
    </cfRule>
  </conditionalFormatting>
  <conditionalFormatting sqref="R24">
    <cfRule type="cellIs" dxfId="12320" priority="131962" stopIfTrue="1" operator="greaterThanOrEqual">
      <formula>0.5</formula>
    </cfRule>
  </conditionalFormatting>
  <conditionalFormatting sqref="R25">
    <cfRule type="cellIs" dxfId="12319" priority="131963" stopIfTrue="1" operator="equal">
      <formula>-1</formula>
    </cfRule>
  </conditionalFormatting>
  <conditionalFormatting sqref="R25">
    <cfRule type="cellIs" dxfId="12318" priority="131964" stopIfTrue="1" operator="lessThan">
      <formula>0.5</formula>
    </cfRule>
  </conditionalFormatting>
  <conditionalFormatting sqref="R25">
    <cfRule type="cellIs" dxfId="12317" priority="131965" stopIfTrue="1" operator="greaterThanOrEqual">
      <formula>0.5</formula>
    </cfRule>
  </conditionalFormatting>
  <conditionalFormatting sqref="R26">
    <cfRule type="cellIs" dxfId="12316" priority="131966" stopIfTrue="1" operator="equal">
      <formula>-1</formula>
    </cfRule>
  </conditionalFormatting>
  <conditionalFormatting sqref="R26">
    <cfRule type="cellIs" dxfId="12315" priority="131967" stopIfTrue="1" operator="lessThan">
      <formula>0.5</formula>
    </cfRule>
  </conditionalFormatting>
  <conditionalFormatting sqref="R26">
    <cfRule type="cellIs" dxfId="12314" priority="131968" stopIfTrue="1" operator="greaterThanOrEqual">
      <formula>0.5</formula>
    </cfRule>
  </conditionalFormatting>
  <conditionalFormatting sqref="R27">
    <cfRule type="cellIs" dxfId="12313" priority="131969" stopIfTrue="1" operator="equal">
      <formula>-1</formula>
    </cfRule>
  </conditionalFormatting>
  <conditionalFormatting sqref="R27">
    <cfRule type="cellIs" dxfId="12312" priority="131970" stopIfTrue="1" operator="lessThan">
      <formula>0.5</formula>
    </cfRule>
  </conditionalFormatting>
  <conditionalFormatting sqref="R27">
    <cfRule type="cellIs" dxfId="12311" priority="131971" stopIfTrue="1" operator="greaterThanOrEqual">
      <formula>0.5</formula>
    </cfRule>
  </conditionalFormatting>
  <conditionalFormatting sqref="R28">
    <cfRule type="cellIs" dxfId="12310" priority="131972" stopIfTrue="1" operator="equal">
      <formula>-1</formula>
    </cfRule>
  </conditionalFormatting>
  <conditionalFormatting sqref="R28">
    <cfRule type="cellIs" dxfId="12309" priority="131973" stopIfTrue="1" operator="lessThan">
      <formula>0.5</formula>
    </cfRule>
  </conditionalFormatting>
  <conditionalFormatting sqref="R28">
    <cfRule type="cellIs" dxfId="12308" priority="131974" stopIfTrue="1" operator="greaterThanOrEqual">
      <formula>0.5</formula>
    </cfRule>
  </conditionalFormatting>
  <conditionalFormatting sqref="R29">
    <cfRule type="cellIs" dxfId="12307" priority="131975" stopIfTrue="1" operator="equal">
      <formula>-1</formula>
    </cfRule>
  </conditionalFormatting>
  <conditionalFormatting sqref="R29">
    <cfRule type="cellIs" dxfId="12306" priority="131976" stopIfTrue="1" operator="lessThan">
      <formula>0.5</formula>
    </cfRule>
  </conditionalFormatting>
  <conditionalFormatting sqref="R29">
    <cfRule type="cellIs" dxfId="12305" priority="131977" stopIfTrue="1" operator="greaterThanOrEqual">
      <formula>0.5</formula>
    </cfRule>
  </conditionalFormatting>
  <conditionalFormatting sqref="R30">
    <cfRule type="cellIs" dxfId="12304" priority="131978" stopIfTrue="1" operator="equal">
      <formula>-1</formula>
    </cfRule>
  </conditionalFormatting>
  <conditionalFormatting sqref="R30">
    <cfRule type="cellIs" dxfId="12303" priority="131979" stopIfTrue="1" operator="lessThan">
      <formula>0.5</formula>
    </cfRule>
  </conditionalFormatting>
  <conditionalFormatting sqref="R30">
    <cfRule type="cellIs" dxfId="12302" priority="131980" stopIfTrue="1" operator="greaterThanOrEqual">
      <formula>0.5</formula>
    </cfRule>
  </conditionalFormatting>
  <conditionalFormatting sqref="R31">
    <cfRule type="cellIs" dxfId="12301" priority="131981" stopIfTrue="1" operator="equal">
      <formula>-1</formula>
    </cfRule>
  </conditionalFormatting>
  <conditionalFormatting sqref="R31">
    <cfRule type="cellIs" dxfId="12300" priority="131982" stopIfTrue="1" operator="lessThan">
      <formula>0.5</formula>
    </cfRule>
  </conditionalFormatting>
  <conditionalFormatting sqref="R31">
    <cfRule type="cellIs" dxfId="12299" priority="131983" stopIfTrue="1" operator="greaterThanOrEqual">
      <formula>0.5</formula>
    </cfRule>
  </conditionalFormatting>
  <conditionalFormatting sqref="R32">
    <cfRule type="cellIs" dxfId="12298" priority="131984" stopIfTrue="1" operator="equal">
      <formula>-1</formula>
    </cfRule>
  </conditionalFormatting>
  <conditionalFormatting sqref="R32">
    <cfRule type="cellIs" dxfId="12297" priority="131985" stopIfTrue="1" operator="lessThan">
      <formula>0.5</formula>
    </cfRule>
  </conditionalFormatting>
  <conditionalFormatting sqref="R32">
    <cfRule type="cellIs" dxfId="12296" priority="131986" stopIfTrue="1" operator="greaterThanOrEqual">
      <formula>0.5</formula>
    </cfRule>
  </conditionalFormatting>
  <conditionalFormatting sqref="R33">
    <cfRule type="cellIs" dxfId="12295" priority="131987" stopIfTrue="1" operator="equal">
      <formula>-1</formula>
    </cfRule>
  </conditionalFormatting>
  <conditionalFormatting sqref="R33">
    <cfRule type="cellIs" dxfId="12294" priority="131988" stopIfTrue="1" operator="lessThan">
      <formula>0.5</formula>
    </cfRule>
  </conditionalFormatting>
  <conditionalFormatting sqref="R33">
    <cfRule type="cellIs" dxfId="12293" priority="131989" stopIfTrue="1" operator="greaterThanOrEqual">
      <formula>0.5</formula>
    </cfRule>
  </conditionalFormatting>
  <conditionalFormatting sqref="R34">
    <cfRule type="cellIs" dxfId="12292" priority="131990" stopIfTrue="1" operator="equal">
      <formula>-1</formula>
    </cfRule>
  </conditionalFormatting>
  <conditionalFormatting sqref="R34">
    <cfRule type="cellIs" dxfId="12291" priority="131991" stopIfTrue="1" operator="lessThan">
      <formula>0.5</formula>
    </cfRule>
  </conditionalFormatting>
  <conditionalFormatting sqref="R34">
    <cfRule type="cellIs" dxfId="12290" priority="131992" stopIfTrue="1" operator="greaterThanOrEqual">
      <formula>0.5</formula>
    </cfRule>
  </conditionalFormatting>
  <conditionalFormatting sqref="R35">
    <cfRule type="cellIs" dxfId="12289" priority="131993" stopIfTrue="1" operator="equal">
      <formula>-1</formula>
    </cfRule>
  </conditionalFormatting>
  <conditionalFormatting sqref="R35">
    <cfRule type="cellIs" dxfId="12288" priority="131994" stopIfTrue="1" operator="lessThan">
      <formula>0.5</formula>
    </cfRule>
  </conditionalFormatting>
  <conditionalFormatting sqref="R35">
    <cfRule type="cellIs" dxfId="12287" priority="131995" stopIfTrue="1" operator="greaterThanOrEqual">
      <formula>0.5</formula>
    </cfRule>
  </conditionalFormatting>
  <conditionalFormatting sqref="R36">
    <cfRule type="cellIs" dxfId="12286" priority="131996" stopIfTrue="1" operator="equal">
      <formula>-1</formula>
    </cfRule>
  </conditionalFormatting>
  <conditionalFormatting sqref="R36">
    <cfRule type="cellIs" dxfId="12285" priority="131997" stopIfTrue="1" operator="lessThan">
      <formula>0.5</formula>
    </cfRule>
  </conditionalFormatting>
  <conditionalFormatting sqref="R36">
    <cfRule type="cellIs" dxfId="12284" priority="131998" stopIfTrue="1" operator="greaterThanOrEqual">
      <formula>0.5</formula>
    </cfRule>
  </conditionalFormatting>
  <conditionalFormatting sqref="R37">
    <cfRule type="cellIs" dxfId="12283" priority="131999" stopIfTrue="1" operator="equal">
      <formula>-1</formula>
    </cfRule>
  </conditionalFormatting>
  <conditionalFormatting sqref="R37">
    <cfRule type="cellIs" dxfId="12282" priority="132000" stopIfTrue="1" operator="lessThan">
      <formula>0.5</formula>
    </cfRule>
  </conditionalFormatting>
  <conditionalFormatting sqref="R37">
    <cfRule type="cellIs" dxfId="12281" priority="132001" stopIfTrue="1" operator="greaterThanOrEqual">
      <formula>0.5</formula>
    </cfRule>
  </conditionalFormatting>
  <conditionalFormatting sqref="T17">
    <cfRule type="cellIs" dxfId="12280" priority="132002" stopIfTrue="1" operator="equal">
      <formula>-1</formula>
    </cfRule>
  </conditionalFormatting>
  <conditionalFormatting sqref="T17">
    <cfRule type="cellIs" dxfId="12279" priority="132003" stopIfTrue="1" operator="lessThan">
      <formula>0.5</formula>
    </cfRule>
  </conditionalFormatting>
  <conditionalFormatting sqref="T17">
    <cfRule type="cellIs" dxfId="12278" priority="132004" stopIfTrue="1" operator="greaterThanOrEqual">
      <formula>0.5</formula>
    </cfRule>
  </conditionalFormatting>
  <conditionalFormatting sqref="T18">
    <cfRule type="cellIs" dxfId="12277" priority="132005" stopIfTrue="1" operator="equal">
      <formula>-1</formula>
    </cfRule>
  </conditionalFormatting>
  <conditionalFormatting sqref="T18">
    <cfRule type="cellIs" dxfId="12276" priority="132006" stopIfTrue="1" operator="lessThan">
      <formula>0.5</formula>
    </cfRule>
  </conditionalFormatting>
  <conditionalFormatting sqref="T18">
    <cfRule type="cellIs" dxfId="12275" priority="132007" stopIfTrue="1" operator="greaterThanOrEqual">
      <formula>0.5</formula>
    </cfRule>
  </conditionalFormatting>
  <conditionalFormatting sqref="T19">
    <cfRule type="cellIs" dxfId="12274" priority="132008" stopIfTrue="1" operator="equal">
      <formula>-1</formula>
    </cfRule>
  </conditionalFormatting>
  <conditionalFormatting sqref="T19">
    <cfRule type="cellIs" dxfId="12273" priority="132009" stopIfTrue="1" operator="lessThan">
      <formula>0.5</formula>
    </cfRule>
  </conditionalFormatting>
  <conditionalFormatting sqref="T19">
    <cfRule type="cellIs" dxfId="12272" priority="132010" stopIfTrue="1" operator="greaterThanOrEqual">
      <formula>0.5</formula>
    </cfRule>
  </conditionalFormatting>
  <conditionalFormatting sqref="T20">
    <cfRule type="cellIs" dxfId="12271" priority="132011" stopIfTrue="1" operator="equal">
      <formula>-1</formula>
    </cfRule>
  </conditionalFormatting>
  <conditionalFormatting sqref="T20">
    <cfRule type="cellIs" dxfId="12270" priority="132012" stopIfTrue="1" operator="lessThan">
      <formula>0.5</formula>
    </cfRule>
  </conditionalFormatting>
  <conditionalFormatting sqref="T20">
    <cfRule type="cellIs" dxfId="12269" priority="132013" stopIfTrue="1" operator="greaterThanOrEqual">
      <formula>0.5</formula>
    </cfRule>
  </conditionalFormatting>
  <conditionalFormatting sqref="T21">
    <cfRule type="cellIs" dxfId="12268" priority="132014" stopIfTrue="1" operator="equal">
      <formula>-1</formula>
    </cfRule>
  </conditionalFormatting>
  <conditionalFormatting sqref="T21">
    <cfRule type="cellIs" dxfId="12267" priority="132015" stopIfTrue="1" operator="lessThan">
      <formula>0.5</formula>
    </cfRule>
  </conditionalFormatting>
  <conditionalFormatting sqref="T21">
    <cfRule type="cellIs" dxfId="12266" priority="132016" stopIfTrue="1" operator="greaterThanOrEqual">
      <formula>0.5</formula>
    </cfRule>
  </conditionalFormatting>
  <conditionalFormatting sqref="T22">
    <cfRule type="cellIs" dxfId="12265" priority="132017" stopIfTrue="1" operator="equal">
      <formula>-1</formula>
    </cfRule>
  </conditionalFormatting>
  <conditionalFormatting sqref="T22">
    <cfRule type="cellIs" dxfId="12264" priority="132018" stopIfTrue="1" operator="lessThan">
      <formula>0.5</formula>
    </cfRule>
  </conditionalFormatting>
  <conditionalFormatting sqref="T22">
    <cfRule type="cellIs" dxfId="12263" priority="132019" stopIfTrue="1" operator="greaterThanOrEqual">
      <formula>0.5</formula>
    </cfRule>
  </conditionalFormatting>
  <conditionalFormatting sqref="T23">
    <cfRule type="cellIs" dxfId="12262" priority="132020" stopIfTrue="1" operator="equal">
      <formula>-1</formula>
    </cfRule>
  </conditionalFormatting>
  <conditionalFormatting sqref="T23">
    <cfRule type="cellIs" dxfId="12261" priority="132021" stopIfTrue="1" operator="lessThan">
      <formula>0.5</formula>
    </cfRule>
  </conditionalFormatting>
  <conditionalFormatting sqref="T23">
    <cfRule type="cellIs" dxfId="12260" priority="132022" stopIfTrue="1" operator="greaterThanOrEqual">
      <formula>0.5</formula>
    </cfRule>
  </conditionalFormatting>
  <conditionalFormatting sqref="T24">
    <cfRule type="cellIs" dxfId="12259" priority="132023" stopIfTrue="1" operator="equal">
      <formula>-1</formula>
    </cfRule>
  </conditionalFormatting>
  <conditionalFormatting sqref="T24">
    <cfRule type="cellIs" dxfId="12258" priority="132024" stopIfTrue="1" operator="lessThan">
      <formula>0.5</formula>
    </cfRule>
  </conditionalFormatting>
  <conditionalFormatting sqref="T24">
    <cfRule type="cellIs" dxfId="12257" priority="132025" stopIfTrue="1" operator="greaterThanOrEqual">
      <formula>0.5</formula>
    </cfRule>
  </conditionalFormatting>
  <conditionalFormatting sqref="T25">
    <cfRule type="cellIs" dxfId="12256" priority="132026" stopIfTrue="1" operator="equal">
      <formula>-1</formula>
    </cfRule>
  </conditionalFormatting>
  <conditionalFormatting sqref="T25">
    <cfRule type="cellIs" dxfId="12255" priority="132027" stopIfTrue="1" operator="lessThan">
      <formula>0.5</formula>
    </cfRule>
  </conditionalFormatting>
  <conditionalFormatting sqref="T25">
    <cfRule type="cellIs" dxfId="12254" priority="132028" stopIfTrue="1" operator="greaterThanOrEqual">
      <formula>0.5</formula>
    </cfRule>
  </conditionalFormatting>
  <conditionalFormatting sqref="T26">
    <cfRule type="cellIs" dxfId="12253" priority="132029" stopIfTrue="1" operator="equal">
      <formula>-1</formula>
    </cfRule>
  </conditionalFormatting>
  <conditionalFormatting sqref="T26">
    <cfRule type="cellIs" dxfId="12252" priority="132030" stopIfTrue="1" operator="lessThan">
      <formula>0.5</formula>
    </cfRule>
  </conditionalFormatting>
  <conditionalFormatting sqref="T26">
    <cfRule type="cellIs" dxfId="12251" priority="132031" stopIfTrue="1" operator="greaterThanOrEqual">
      <formula>0.5</formula>
    </cfRule>
  </conditionalFormatting>
  <conditionalFormatting sqref="T27">
    <cfRule type="cellIs" dxfId="12250" priority="132032" stopIfTrue="1" operator="equal">
      <formula>-1</formula>
    </cfRule>
  </conditionalFormatting>
  <conditionalFormatting sqref="T27">
    <cfRule type="cellIs" dxfId="12249" priority="132033" stopIfTrue="1" operator="lessThan">
      <formula>0.5</formula>
    </cfRule>
  </conditionalFormatting>
  <conditionalFormatting sqref="T27">
    <cfRule type="cellIs" dxfId="12248" priority="132034" stopIfTrue="1" operator="greaterThanOrEqual">
      <formula>0.5</formula>
    </cfRule>
  </conditionalFormatting>
  <conditionalFormatting sqref="T28">
    <cfRule type="cellIs" dxfId="12247" priority="132035" stopIfTrue="1" operator="equal">
      <formula>-1</formula>
    </cfRule>
  </conditionalFormatting>
  <conditionalFormatting sqref="T28">
    <cfRule type="cellIs" dxfId="12246" priority="132036" stopIfTrue="1" operator="lessThan">
      <formula>0.5</formula>
    </cfRule>
  </conditionalFormatting>
  <conditionalFormatting sqref="T28">
    <cfRule type="cellIs" dxfId="12245" priority="132037" stopIfTrue="1" operator="greaterThanOrEqual">
      <formula>0.5</formula>
    </cfRule>
  </conditionalFormatting>
  <conditionalFormatting sqref="T29">
    <cfRule type="cellIs" dxfId="12244" priority="132038" stopIfTrue="1" operator="equal">
      <formula>-1</formula>
    </cfRule>
  </conditionalFormatting>
  <conditionalFormatting sqref="T29">
    <cfRule type="cellIs" dxfId="12243" priority="132039" stopIfTrue="1" operator="lessThan">
      <formula>0.5</formula>
    </cfRule>
  </conditionalFormatting>
  <conditionalFormatting sqref="T29">
    <cfRule type="cellIs" dxfId="12242" priority="132040" stopIfTrue="1" operator="greaterThanOrEqual">
      <formula>0.5</formula>
    </cfRule>
  </conditionalFormatting>
  <conditionalFormatting sqref="T30">
    <cfRule type="cellIs" dxfId="12241" priority="132041" stopIfTrue="1" operator="equal">
      <formula>-1</formula>
    </cfRule>
  </conditionalFormatting>
  <conditionalFormatting sqref="T30">
    <cfRule type="cellIs" dxfId="12240" priority="132042" stopIfTrue="1" operator="lessThan">
      <formula>0.5</formula>
    </cfRule>
  </conditionalFormatting>
  <conditionalFormatting sqref="T30">
    <cfRule type="cellIs" dxfId="12239" priority="132043" stopIfTrue="1" operator="greaterThanOrEqual">
      <formula>0.5</formula>
    </cfRule>
  </conditionalFormatting>
  <conditionalFormatting sqref="T31">
    <cfRule type="cellIs" dxfId="12238" priority="132044" stopIfTrue="1" operator="equal">
      <formula>-1</formula>
    </cfRule>
  </conditionalFormatting>
  <conditionalFormatting sqref="T31">
    <cfRule type="cellIs" dxfId="12237" priority="132045" stopIfTrue="1" operator="lessThan">
      <formula>0.5</formula>
    </cfRule>
  </conditionalFormatting>
  <conditionalFormatting sqref="T31">
    <cfRule type="cellIs" dxfId="12236" priority="132046" stopIfTrue="1" operator="greaterThanOrEqual">
      <formula>0.5</formula>
    </cfRule>
  </conditionalFormatting>
  <conditionalFormatting sqref="T32">
    <cfRule type="cellIs" dxfId="12235" priority="132047" stopIfTrue="1" operator="equal">
      <formula>-1</formula>
    </cfRule>
  </conditionalFormatting>
  <conditionalFormatting sqref="T32">
    <cfRule type="cellIs" dxfId="12234" priority="132048" stopIfTrue="1" operator="lessThan">
      <formula>0.5</formula>
    </cfRule>
  </conditionalFormatting>
  <conditionalFormatting sqref="T32">
    <cfRule type="cellIs" dxfId="12233" priority="132049" stopIfTrue="1" operator="greaterThanOrEqual">
      <formula>0.5</formula>
    </cfRule>
  </conditionalFormatting>
  <conditionalFormatting sqref="T33">
    <cfRule type="cellIs" dxfId="12232" priority="132050" stopIfTrue="1" operator="equal">
      <formula>-1</formula>
    </cfRule>
  </conditionalFormatting>
  <conditionalFormatting sqref="T33">
    <cfRule type="cellIs" dxfId="12231" priority="132051" stopIfTrue="1" operator="lessThan">
      <formula>0.5</formula>
    </cfRule>
  </conditionalFormatting>
  <conditionalFormatting sqref="T33">
    <cfRule type="cellIs" dxfId="12230" priority="132052" stopIfTrue="1" operator="greaterThanOrEqual">
      <formula>0.5</formula>
    </cfRule>
  </conditionalFormatting>
  <conditionalFormatting sqref="T34">
    <cfRule type="cellIs" dxfId="12229" priority="132053" stopIfTrue="1" operator="equal">
      <formula>-1</formula>
    </cfRule>
  </conditionalFormatting>
  <conditionalFormatting sqref="T34">
    <cfRule type="cellIs" dxfId="12228" priority="132054" stopIfTrue="1" operator="lessThan">
      <formula>0.5</formula>
    </cfRule>
  </conditionalFormatting>
  <conditionalFormatting sqref="T34">
    <cfRule type="cellIs" dxfId="12227" priority="132055" stopIfTrue="1" operator="greaterThanOrEqual">
      <formula>0.5</formula>
    </cfRule>
  </conditionalFormatting>
  <conditionalFormatting sqref="T35">
    <cfRule type="cellIs" dxfId="12226" priority="132056" stopIfTrue="1" operator="equal">
      <formula>-1</formula>
    </cfRule>
  </conditionalFormatting>
  <conditionalFormatting sqref="T35">
    <cfRule type="cellIs" dxfId="12225" priority="132057" stopIfTrue="1" operator="lessThan">
      <formula>0.5</formula>
    </cfRule>
  </conditionalFormatting>
  <conditionalFormatting sqref="T35">
    <cfRule type="cellIs" dxfId="12224" priority="132058" stopIfTrue="1" operator="greaterThanOrEqual">
      <formula>0.5</formula>
    </cfRule>
  </conditionalFormatting>
  <conditionalFormatting sqref="T36">
    <cfRule type="cellIs" dxfId="12223" priority="132059" stopIfTrue="1" operator="equal">
      <formula>-1</formula>
    </cfRule>
  </conditionalFormatting>
  <conditionalFormatting sqref="T36">
    <cfRule type="cellIs" dxfId="12222" priority="132060" stopIfTrue="1" operator="lessThan">
      <formula>0.5</formula>
    </cfRule>
  </conditionalFormatting>
  <conditionalFormatting sqref="T36">
    <cfRule type="cellIs" dxfId="12221" priority="132061" stopIfTrue="1" operator="greaterThanOrEqual">
      <formula>0.5</formula>
    </cfRule>
  </conditionalFormatting>
  <conditionalFormatting sqref="T37">
    <cfRule type="cellIs" dxfId="12220" priority="132062" stopIfTrue="1" operator="equal">
      <formula>-1</formula>
    </cfRule>
  </conditionalFormatting>
  <conditionalFormatting sqref="T37">
    <cfRule type="cellIs" dxfId="12219" priority="132063" stopIfTrue="1" operator="lessThan">
      <formula>0.5</formula>
    </cfRule>
  </conditionalFormatting>
  <conditionalFormatting sqref="T37">
    <cfRule type="cellIs" dxfId="12218" priority="132064" stopIfTrue="1" operator="greaterThanOrEqual">
      <formula>0.5</formula>
    </cfRule>
  </conditionalFormatting>
  <conditionalFormatting sqref="V17">
    <cfRule type="cellIs" dxfId="12217" priority="132065" stopIfTrue="1" operator="equal">
      <formula>-1</formula>
    </cfRule>
  </conditionalFormatting>
  <conditionalFormatting sqref="V17">
    <cfRule type="cellIs" dxfId="12216" priority="132066" stopIfTrue="1" operator="lessThan">
      <formula>0.5</formula>
    </cfRule>
  </conditionalFormatting>
  <conditionalFormatting sqref="V17">
    <cfRule type="cellIs" dxfId="12215" priority="132067" stopIfTrue="1" operator="greaterThanOrEqual">
      <formula>0.5</formula>
    </cfRule>
  </conditionalFormatting>
  <conditionalFormatting sqref="V18">
    <cfRule type="cellIs" dxfId="12214" priority="132068" stopIfTrue="1" operator="equal">
      <formula>-1</formula>
    </cfRule>
  </conditionalFormatting>
  <conditionalFormatting sqref="V18">
    <cfRule type="cellIs" dxfId="12213" priority="132069" stopIfTrue="1" operator="lessThan">
      <formula>0.5</formula>
    </cfRule>
  </conditionalFormatting>
  <conditionalFormatting sqref="V18">
    <cfRule type="cellIs" dxfId="12212" priority="132070" stopIfTrue="1" operator="greaterThanOrEqual">
      <formula>0.5</formula>
    </cfRule>
  </conditionalFormatting>
  <conditionalFormatting sqref="V19">
    <cfRule type="cellIs" dxfId="12211" priority="132071" stopIfTrue="1" operator="equal">
      <formula>-1</formula>
    </cfRule>
  </conditionalFormatting>
  <conditionalFormatting sqref="V19">
    <cfRule type="cellIs" dxfId="12210" priority="132072" stopIfTrue="1" operator="lessThan">
      <formula>0.5</formula>
    </cfRule>
  </conditionalFormatting>
  <conditionalFormatting sqref="V19">
    <cfRule type="cellIs" dxfId="12209" priority="132073" stopIfTrue="1" operator="greaterThanOrEqual">
      <formula>0.5</formula>
    </cfRule>
  </conditionalFormatting>
  <conditionalFormatting sqref="V20">
    <cfRule type="cellIs" dxfId="12208" priority="132074" stopIfTrue="1" operator="equal">
      <formula>-1</formula>
    </cfRule>
  </conditionalFormatting>
  <conditionalFormatting sqref="V20">
    <cfRule type="cellIs" dxfId="12207" priority="132075" stopIfTrue="1" operator="lessThan">
      <formula>0.5</formula>
    </cfRule>
  </conditionalFormatting>
  <conditionalFormatting sqref="V20">
    <cfRule type="cellIs" dxfId="12206" priority="132076" stopIfTrue="1" operator="greaterThanOrEqual">
      <formula>0.5</formula>
    </cfRule>
  </conditionalFormatting>
  <conditionalFormatting sqref="V21">
    <cfRule type="cellIs" dxfId="12205" priority="132077" stopIfTrue="1" operator="equal">
      <formula>-1</formula>
    </cfRule>
  </conditionalFormatting>
  <conditionalFormatting sqref="V21">
    <cfRule type="cellIs" dxfId="12204" priority="132078" stopIfTrue="1" operator="lessThan">
      <formula>0.5</formula>
    </cfRule>
  </conditionalFormatting>
  <conditionalFormatting sqref="V21">
    <cfRule type="cellIs" dxfId="12203" priority="132079" stopIfTrue="1" operator="greaterThanOrEqual">
      <formula>0.5</formula>
    </cfRule>
  </conditionalFormatting>
  <conditionalFormatting sqref="V22">
    <cfRule type="cellIs" dxfId="12202" priority="132080" stopIfTrue="1" operator="equal">
      <formula>-1</formula>
    </cfRule>
  </conditionalFormatting>
  <conditionalFormatting sqref="V22">
    <cfRule type="cellIs" dxfId="12201" priority="132081" stopIfTrue="1" operator="lessThan">
      <formula>0.5</formula>
    </cfRule>
  </conditionalFormatting>
  <conditionalFormatting sqref="V22">
    <cfRule type="cellIs" dxfId="12200" priority="132082" stopIfTrue="1" operator="greaterThanOrEqual">
      <formula>0.5</formula>
    </cfRule>
  </conditionalFormatting>
  <conditionalFormatting sqref="V23">
    <cfRule type="cellIs" dxfId="12199" priority="132083" stopIfTrue="1" operator="equal">
      <formula>-1</formula>
    </cfRule>
  </conditionalFormatting>
  <conditionalFormatting sqref="V23">
    <cfRule type="cellIs" dxfId="12198" priority="132084" stopIfTrue="1" operator="lessThan">
      <formula>0.5</formula>
    </cfRule>
  </conditionalFormatting>
  <conditionalFormatting sqref="V23">
    <cfRule type="cellIs" dxfId="12197" priority="132085" stopIfTrue="1" operator="greaterThanOrEqual">
      <formula>0.5</formula>
    </cfRule>
  </conditionalFormatting>
  <conditionalFormatting sqref="V24">
    <cfRule type="cellIs" dxfId="12196" priority="132086" stopIfTrue="1" operator="equal">
      <formula>-1</formula>
    </cfRule>
  </conditionalFormatting>
  <conditionalFormatting sqref="V24">
    <cfRule type="cellIs" dxfId="12195" priority="132087" stopIfTrue="1" operator="lessThan">
      <formula>0.5</formula>
    </cfRule>
  </conditionalFormatting>
  <conditionalFormatting sqref="V24">
    <cfRule type="cellIs" dxfId="12194" priority="132088" stopIfTrue="1" operator="greaterThanOrEqual">
      <formula>0.5</formula>
    </cfRule>
  </conditionalFormatting>
  <conditionalFormatting sqref="V25">
    <cfRule type="cellIs" dxfId="12193" priority="132089" stopIfTrue="1" operator="equal">
      <formula>-1</formula>
    </cfRule>
  </conditionalFormatting>
  <conditionalFormatting sqref="V25">
    <cfRule type="cellIs" dxfId="12192" priority="132090" stopIfTrue="1" operator="lessThan">
      <formula>0.5</formula>
    </cfRule>
  </conditionalFormatting>
  <conditionalFormatting sqref="V25">
    <cfRule type="cellIs" dxfId="12191" priority="132091" stopIfTrue="1" operator="greaterThanOrEqual">
      <formula>0.5</formula>
    </cfRule>
  </conditionalFormatting>
  <conditionalFormatting sqref="V26">
    <cfRule type="cellIs" dxfId="12190" priority="132092" stopIfTrue="1" operator="equal">
      <formula>-1</formula>
    </cfRule>
  </conditionalFormatting>
  <conditionalFormatting sqref="V26">
    <cfRule type="cellIs" dxfId="12189" priority="132093" stopIfTrue="1" operator="lessThan">
      <formula>0.5</formula>
    </cfRule>
  </conditionalFormatting>
  <conditionalFormatting sqref="V26">
    <cfRule type="cellIs" dxfId="12188" priority="132094" stopIfTrue="1" operator="greaterThanOrEqual">
      <formula>0.5</formula>
    </cfRule>
  </conditionalFormatting>
  <conditionalFormatting sqref="V27">
    <cfRule type="cellIs" dxfId="12187" priority="132095" stopIfTrue="1" operator="equal">
      <formula>-1</formula>
    </cfRule>
  </conditionalFormatting>
  <conditionalFormatting sqref="V27">
    <cfRule type="cellIs" dxfId="12186" priority="132096" stopIfTrue="1" operator="lessThan">
      <formula>0.5</formula>
    </cfRule>
  </conditionalFormatting>
  <conditionalFormatting sqref="V27">
    <cfRule type="cellIs" dxfId="12185" priority="132097" stopIfTrue="1" operator="greaterThanOrEqual">
      <formula>0.5</formula>
    </cfRule>
  </conditionalFormatting>
  <conditionalFormatting sqref="V28">
    <cfRule type="cellIs" dxfId="12184" priority="132098" stopIfTrue="1" operator="equal">
      <formula>-1</formula>
    </cfRule>
  </conditionalFormatting>
  <conditionalFormatting sqref="V28">
    <cfRule type="cellIs" dxfId="12183" priority="132099" stopIfTrue="1" operator="lessThan">
      <formula>0.5</formula>
    </cfRule>
  </conditionalFormatting>
  <conditionalFormatting sqref="V28">
    <cfRule type="cellIs" dxfId="12182" priority="132100" stopIfTrue="1" operator="greaterThanOrEqual">
      <formula>0.5</formula>
    </cfRule>
  </conditionalFormatting>
  <conditionalFormatting sqref="V29">
    <cfRule type="cellIs" dxfId="12181" priority="132101" stopIfTrue="1" operator="equal">
      <formula>-1</formula>
    </cfRule>
  </conditionalFormatting>
  <conditionalFormatting sqref="V29">
    <cfRule type="cellIs" dxfId="12180" priority="132102" stopIfTrue="1" operator="lessThan">
      <formula>0.5</formula>
    </cfRule>
  </conditionalFormatting>
  <conditionalFormatting sqref="V29">
    <cfRule type="cellIs" dxfId="12179" priority="132103" stopIfTrue="1" operator="greaterThanOrEqual">
      <formula>0.5</formula>
    </cfRule>
  </conditionalFormatting>
  <conditionalFormatting sqref="V30">
    <cfRule type="cellIs" dxfId="12178" priority="132104" stopIfTrue="1" operator="equal">
      <formula>-1</formula>
    </cfRule>
  </conditionalFormatting>
  <conditionalFormatting sqref="V30">
    <cfRule type="cellIs" dxfId="12177" priority="132105" stopIfTrue="1" operator="lessThan">
      <formula>0.5</formula>
    </cfRule>
  </conditionalFormatting>
  <conditionalFormatting sqref="V30">
    <cfRule type="cellIs" dxfId="12176" priority="132106" stopIfTrue="1" operator="greaterThanOrEqual">
      <formula>0.5</formula>
    </cfRule>
  </conditionalFormatting>
  <conditionalFormatting sqref="V31">
    <cfRule type="cellIs" dxfId="12175" priority="132107" stopIfTrue="1" operator="equal">
      <formula>-1</formula>
    </cfRule>
  </conditionalFormatting>
  <conditionalFormatting sqref="V31">
    <cfRule type="cellIs" dxfId="12174" priority="132108" stopIfTrue="1" operator="lessThan">
      <formula>0.5</formula>
    </cfRule>
  </conditionalFormatting>
  <conditionalFormatting sqref="V31">
    <cfRule type="cellIs" dxfId="12173" priority="132109" stopIfTrue="1" operator="greaterThanOrEqual">
      <formula>0.5</formula>
    </cfRule>
  </conditionalFormatting>
  <conditionalFormatting sqref="V32">
    <cfRule type="cellIs" dxfId="12172" priority="132110" stopIfTrue="1" operator="equal">
      <formula>-1</formula>
    </cfRule>
  </conditionalFormatting>
  <conditionalFormatting sqref="V32">
    <cfRule type="cellIs" dxfId="12171" priority="132111" stopIfTrue="1" operator="lessThan">
      <formula>0.5</formula>
    </cfRule>
  </conditionalFormatting>
  <conditionalFormatting sqref="V32">
    <cfRule type="cellIs" dxfId="12170" priority="132112" stopIfTrue="1" operator="greaterThanOrEqual">
      <formula>0.5</formula>
    </cfRule>
  </conditionalFormatting>
  <conditionalFormatting sqref="V33">
    <cfRule type="cellIs" dxfId="12169" priority="132113" stopIfTrue="1" operator="equal">
      <formula>-1</formula>
    </cfRule>
  </conditionalFormatting>
  <conditionalFormatting sqref="V33">
    <cfRule type="cellIs" dxfId="12168" priority="132114" stopIfTrue="1" operator="lessThan">
      <formula>0.5</formula>
    </cfRule>
  </conditionalFormatting>
  <conditionalFormatting sqref="V33">
    <cfRule type="cellIs" dxfId="12167" priority="132115" stopIfTrue="1" operator="greaterThanOrEqual">
      <formula>0.5</formula>
    </cfRule>
  </conditionalFormatting>
  <conditionalFormatting sqref="V34">
    <cfRule type="cellIs" dxfId="12166" priority="132116" stopIfTrue="1" operator="equal">
      <formula>-1</formula>
    </cfRule>
  </conditionalFormatting>
  <conditionalFormatting sqref="V34">
    <cfRule type="cellIs" dxfId="12165" priority="132117" stopIfTrue="1" operator="lessThan">
      <formula>0.5</formula>
    </cfRule>
  </conditionalFormatting>
  <conditionalFormatting sqref="V34">
    <cfRule type="cellIs" dxfId="12164" priority="132118" stopIfTrue="1" operator="greaterThanOrEqual">
      <formula>0.5</formula>
    </cfRule>
  </conditionalFormatting>
  <conditionalFormatting sqref="V35">
    <cfRule type="cellIs" dxfId="12163" priority="132119" stopIfTrue="1" operator="equal">
      <formula>-1</formula>
    </cfRule>
  </conditionalFormatting>
  <conditionalFormatting sqref="V35">
    <cfRule type="cellIs" dxfId="12162" priority="132120" stopIfTrue="1" operator="lessThan">
      <formula>0.5</formula>
    </cfRule>
  </conditionalFormatting>
  <conditionalFormatting sqref="V35">
    <cfRule type="cellIs" dxfId="12161" priority="132121" stopIfTrue="1" operator="greaterThanOrEqual">
      <formula>0.5</formula>
    </cfRule>
  </conditionalFormatting>
  <conditionalFormatting sqref="V36">
    <cfRule type="cellIs" dxfId="12160" priority="132122" stopIfTrue="1" operator="equal">
      <formula>-1</formula>
    </cfRule>
  </conditionalFormatting>
  <conditionalFormatting sqref="V36">
    <cfRule type="cellIs" dxfId="12159" priority="132123" stopIfTrue="1" operator="lessThan">
      <formula>0.5</formula>
    </cfRule>
  </conditionalFormatting>
  <conditionalFormatting sqref="V36">
    <cfRule type="cellIs" dxfId="12158" priority="132124" stopIfTrue="1" operator="greaterThanOrEqual">
      <formula>0.5</formula>
    </cfRule>
  </conditionalFormatting>
  <conditionalFormatting sqref="V37">
    <cfRule type="cellIs" dxfId="12157" priority="132125" stopIfTrue="1" operator="equal">
      <formula>-1</formula>
    </cfRule>
  </conditionalFormatting>
  <conditionalFormatting sqref="V37">
    <cfRule type="cellIs" dxfId="12156" priority="132126" stopIfTrue="1" operator="lessThan">
      <formula>0.5</formula>
    </cfRule>
  </conditionalFormatting>
  <conditionalFormatting sqref="V37">
    <cfRule type="cellIs" dxfId="12155" priority="132127" stopIfTrue="1" operator="greaterThanOrEqual">
      <formula>0.5</formula>
    </cfRule>
  </conditionalFormatting>
  <conditionalFormatting sqref="X17">
    <cfRule type="cellIs" dxfId="12154" priority="132128" stopIfTrue="1" operator="equal">
      <formula>-1</formula>
    </cfRule>
  </conditionalFormatting>
  <conditionalFormatting sqref="X17">
    <cfRule type="cellIs" dxfId="12153" priority="132129" stopIfTrue="1" operator="lessThan">
      <formula>0.5</formula>
    </cfRule>
  </conditionalFormatting>
  <conditionalFormatting sqref="X17">
    <cfRule type="cellIs" dxfId="12152" priority="132130" stopIfTrue="1" operator="greaterThanOrEqual">
      <formula>0.5</formula>
    </cfRule>
  </conditionalFormatting>
  <conditionalFormatting sqref="X18">
    <cfRule type="cellIs" dxfId="12151" priority="132131" stopIfTrue="1" operator="equal">
      <formula>-1</formula>
    </cfRule>
  </conditionalFormatting>
  <conditionalFormatting sqref="X18">
    <cfRule type="cellIs" dxfId="12150" priority="132132" stopIfTrue="1" operator="lessThan">
      <formula>0.5</formula>
    </cfRule>
  </conditionalFormatting>
  <conditionalFormatting sqref="X18">
    <cfRule type="cellIs" dxfId="12149" priority="132133" stopIfTrue="1" operator="greaterThanOrEqual">
      <formula>0.5</formula>
    </cfRule>
  </conditionalFormatting>
  <conditionalFormatting sqref="X19">
    <cfRule type="cellIs" dxfId="12148" priority="132134" stopIfTrue="1" operator="equal">
      <formula>-1</formula>
    </cfRule>
  </conditionalFormatting>
  <conditionalFormatting sqref="X19">
    <cfRule type="cellIs" dxfId="12147" priority="132135" stopIfTrue="1" operator="lessThan">
      <formula>0.5</formula>
    </cfRule>
  </conditionalFormatting>
  <conditionalFormatting sqref="X19">
    <cfRule type="cellIs" dxfId="12146" priority="132136" stopIfTrue="1" operator="greaterThanOrEqual">
      <formula>0.5</formula>
    </cfRule>
  </conditionalFormatting>
  <conditionalFormatting sqref="X20">
    <cfRule type="cellIs" dxfId="12145" priority="132137" stopIfTrue="1" operator="equal">
      <formula>-1</formula>
    </cfRule>
  </conditionalFormatting>
  <conditionalFormatting sqref="X20">
    <cfRule type="cellIs" dxfId="12144" priority="132138" stopIfTrue="1" operator="lessThan">
      <formula>0.5</formula>
    </cfRule>
  </conditionalFormatting>
  <conditionalFormatting sqref="X20">
    <cfRule type="cellIs" dxfId="12143" priority="132139" stopIfTrue="1" operator="greaterThanOrEqual">
      <formula>0.5</formula>
    </cfRule>
  </conditionalFormatting>
  <conditionalFormatting sqref="X21">
    <cfRule type="cellIs" dxfId="12142" priority="132140" stopIfTrue="1" operator="equal">
      <formula>-1</formula>
    </cfRule>
  </conditionalFormatting>
  <conditionalFormatting sqref="X21">
    <cfRule type="cellIs" dxfId="12141" priority="132141" stopIfTrue="1" operator="lessThan">
      <formula>0.5</formula>
    </cfRule>
  </conditionalFormatting>
  <conditionalFormatting sqref="X21">
    <cfRule type="cellIs" dxfId="12140" priority="132142" stopIfTrue="1" operator="greaterThanOrEqual">
      <formula>0.5</formula>
    </cfRule>
  </conditionalFormatting>
  <conditionalFormatting sqref="X22">
    <cfRule type="cellIs" dxfId="12139" priority="132143" stopIfTrue="1" operator="equal">
      <formula>-1</formula>
    </cfRule>
  </conditionalFormatting>
  <conditionalFormatting sqref="X22">
    <cfRule type="cellIs" dxfId="12138" priority="132144" stopIfTrue="1" operator="lessThan">
      <formula>0.5</formula>
    </cfRule>
  </conditionalFormatting>
  <conditionalFormatting sqref="X22">
    <cfRule type="cellIs" dxfId="12137" priority="132145" stopIfTrue="1" operator="greaterThanOrEqual">
      <formula>0.5</formula>
    </cfRule>
  </conditionalFormatting>
  <conditionalFormatting sqref="X23">
    <cfRule type="cellIs" dxfId="12136" priority="132146" stopIfTrue="1" operator="equal">
      <formula>-1</formula>
    </cfRule>
  </conditionalFormatting>
  <conditionalFormatting sqref="X23">
    <cfRule type="cellIs" dxfId="12135" priority="132147" stopIfTrue="1" operator="lessThan">
      <formula>0.5</formula>
    </cfRule>
  </conditionalFormatting>
  <conditionalFormatting sqref="X23">
    <cfRule type="cellIs" dxfId="12134" priority="132148" stopIfTrue="1" operator="greaterThanOrEqual">
      <formula>0.5</formula>
    </cfRule>
  </conditionalFormatting>
  <conditionalFormatting sqref="X24">
    <cfRule type="cellIs" dxfId="12133" priority="132149" stopIfTrue="1" operator="equal">
      <formula>-1</formula>
    </cfRule>
  </conditionalFormatting>
  <conditionalFormatting sqref="X24">
    <cfRule type="cellIs" dxfId="12132" priority="132150" stopIfTrue="1" operator="lessThan">
      <formula>0.5</formula>
    </cfRule>
  </conditionalFormatting>
  <conditionalFormatting sqref="X24">
    <cfRule type="cellIs" dxfId="12131" priority="132151" stopIfTrue="1" operator="greaterThanOrEqual">
      <formula>0.5</formula>
    </cfRule>
  </conditionalFormatting>
  <conditionalFormatting sqref="X25">
    <cfRule type="cellIs" dxfId="12130" priority="132152" stopIfTrue="1" operator="equal">
      <formula>-1</formula>
    </cfRule>
  </conditionalFormatting>
  <conditionalFormatting sqref="X25">
    <cfRule type="cellIs" dxfId="12129" priority="132153" stopIfTrue="1" operator="lessThan">
      <formula>0.5</formula>
    </cfRule>
  </conditionalFormatting>
  <conditionalFormatting sqref="X25">
    <cfRule type="cellIs" dxfId="12128" priority="132154" stopIfTrue="1" operator="greaterThanOrEqual">
      <formula>0.5</formula>
    </cfRule>
  </conditionalFormatting>
  <conditionalFormatting sqref="X26">
    <cfRule type="cellIs" dxfId="12127" priority="132155" stopIfTrue="1" operator="equal">
      <formula>-1</formula>
    </cfRule>
  </conditionalFormatting>
  <conditionalFormatting sqref="X26">
    <cfRule type="cellIs" dxfId="12126" priority="132156" stopIfTrue="1" operator="lessThan">
      <formula>0.5</formula>
    </cfRule>
  </conditionalFormatting>
  <conditionalFormatting sqref="X26">
    <cfRule type="cellIs" dxfId="12125" priority="132157" stopIfTrue="1" operator="greaterThanOrEqual">
      <formula>0.5</formula>
    </cfRule>
  </conditionalFormatting>
  <conditionalFormatting sqref="X27">
    <cfRule type="cellIs" dxfId="12124" priority="132158" stopIfTrue="1" operator="equal">
      <formula>-1</formula>
    </cfRule>
  </conditionalFormatting>
  <conditionalFormatting sqref="X27">
    <cfRule type="cellIs" dxfId="12123" priority="132159" stopIfTrue="1" operator="lessThan">
      <formula>0.5</formula>
    </cfRule>
  </conditionalFormatting>
  <conditionalFormatting sqref="X27">
    <cfRule type="cellIs" dxfId="12122" priority="132160" stopIfTrue="1" operator="greaterThanOrEqual">
      <formula>0.5</formula>
    </cfRule>
  </conditionalFormatting>
  <conditionalFormatting sqref="X28">
    <cfRule type="cellIs" dxfId="12121" priority="132161" stopIfTrue="1" operator="equal">
      <formula>-1</formula>
    </cfRule>
  </conditionalFormatting>
  <conditionalFormatting sqref="X28">
    <cfRule type="cellIs" dxfId="12120" priority="132162" stopIfTrue="1" operator="lessThan">
      <formula>0.5</formula>
    </cfRule>
  </conditionalFormatting>
  <conditionalFormatting sqref="X28">
    <cfRule type="cellIs" dxfId="12119" priority="132163" stopIfTrue="1" operator="greaterThanOrEqual">
      <formula>0.5</formula>
    </cfRule>
  </conditionalFormatting>
  <conditionalFormatting sqref="X29">
    <cfRule type="cellIs" dxfId="12118" priority="132164" stopIfTrue="1" operator="equal">
      <formula>-1</formula>
    </cfRule>
  </conditionalFormatting>
  <conditionalFormatting sqref="X29">
    <cfRule type="cellIs" dxfId="12117" priority="132165" stopIfTrue="1" operator="lessThan">
      <formula>0.5</formula>
    </cfRule>
  </conditionalFormatting>
  <conditionalFormatting sqref="X29">
    <cfRule type="cellIs" dxfId="12116" priority="132166" stopIfTrue="1" operator="greaterThanOrEqual">
      <formula>0.5</formula>
    </cfRule>
  </conditionalFormatting>
  <conditionalFormatting sqref="X30">
    <cfRule type="cellIs" dxfId="12115" priority="132167" stopIfTrue="1" operator="equal">
      <formula>-1</formula>
    </cfRule>
  </conditionalFormatting>
  <conditionalFormatting sqref="X30">
    <cfRule type="cellIs" dxfId="12114" priority="132168" stopIfTrue="1" operator="lessThan">
      <formula>0.5</formula>
    </cfRule>
  </conditionalFormatting>
  <conditionalFormatting sqref="X30">
    <cfRule type="cellIs" dxfId="12113" priority="132169" stopIfTrue="1" operator="greaterThanOrEqual">
      <formula>0.5</formula>
    </cfRule>
  </conditionalFormatting>
  <conditionalFormatting sqref="X31">
    <cfRule type="cellIs" dxfId="12112" priority="132170" stopIfTrue="1" operator="equal">
      <formula>-1</formula>
    </cfRule>
  </conditionalFormatting>
  <conditionalFormatting sqref="X31">
    <cfRule type="cellIs" dxfId="12111" priority="132171" stopIfTrue="1" operator="lessThan">
      <formula>0.5</formula>
    </cfRule>
  </conditionalFormatting>
  <conditionalFormatting sqref="X31">
    <cfRule type="cellIs" dxfId="12110" priority="132172" stopIfTrue="1" operator="greaterThanOrEqual">
      <formula>0.5</formula>
    </cfRule>
  </conditionalFormatting>
  <conditionalFormatting sqref="X32">
    <cfRule type="cellIs" dxfId="12109" priority="132173" stopIfTrue="1" operator="equal">
      <formula>-1</formula>
    </cfRule>
  </conditionalFormatting>
  <conditionalFormatting sqref="X32">
    <cfRule type="cellIs" dxfId="12108" priority="132174" stopIfTrue="1" operator="lessThan">
      <formula>0.5</formula>
    </cfRule>
  </conditionalFormatting>
  <conditionalFormatting sqref="X32">
    <cfRule type="cellIs" dxfId="12107" priority="132175" stopIfTrue="1" operator="greaterThanOrEqual">
      <formula>0.5</formula>
    </cfRule>
  </conditionalFormatting>
  <conditionalFormatting sqref="X33">
    <cfRule type="cellIs" dxfId="12106" priority="132176" stopIfTrue="1" operator="equal">
      <formula>-1</formula>
    </cfRule>
  </conditionalFormatting>
  <conditionalFormatting sqref="X33">
    <cfRule type="cellIs" dxfId="12105" priority="132177" stopIfTrue="1" operator="lessThan">
      <formula>0.5</formula>
    </cfRule>
  </conditionalFormatting>
  <conditionalFormatting sqref="X33">
    <cfRule type="cellIs" dxfId="12104" priority="132178" stopIfTrue="1" operator="greaterThanOrEqual">
      <formula>0.5</formula>
    </cfRule>
  </conditionalFormatting>
  <conditionalFormatting sqref="X34">
    <cfRule type="cellIs" dxfId="12103" priority="132179" stopIfTrue="1" operator="equal">
      <formula>-1</formula>
    </cfRule>
  </conditionalFormatting>
  <conditionalFormatting sqref="X34">
    <cfRule type="cellIs" dxfId="12102" priority="132180" stopIfTrue="1" operator="lessThan">
      <formula>0.5</formula>
    </cfRule>
  </conditionalFormatting>
  <conditionalFormatting sqref="X34">
    <cfRule type="cellIs" dxfId="12101" priority="132181" stopIfTrue="1" operator="greaterThanOrEqual">
      <formula>0.5</formula>
    </cfRule>
  </conditionalFormatting>
  <conditionalFormatting sqref="X35">
    <cfRule type="cellIs" dxfId="12100" priority="132182" stopIfTrue="1" operator="equal">
      <formula>-1</formula>
    </cfRule>
  </conditionalFormatting>
  <conditionalFormatting sqref="X35">
    <cfRule type="cellIs" dxfId="12099" priority="132183" stopIfTrue="1" operator="lessThan">
      <formula>0.5</formula>
    </cfRule>
  </conditionalFormatting>
  <conditionalFormatting sqref="X35">
    <cfRule type="cellIs" dxfId="12098" priority="132184" stopIfTrue="1" operator="greaterThanOrEqual">
      <formula>0.5</formula>
    </cfRule>
  </conditionalFormatting>
  <conditionalFormatting sqref="X36">
    <cfRule type="cellIs" dxfId="12097" priority="132185" stopIfTrue="1" operator="equal">
      <formula>-1</formula>
    </cfRule>
  </conditionalFormatting>
  <conditionalFormatting sqref="X36">
    <cfRule type="cellIs" dxfId="12096" priority="132186" stopIfTrue="1" operator="lessThan">
      <formula>0.5</formula>
    </cfRule>
  </conditionalFormatting>
  <conditionalFormatting sqref="X36">
    <cfRule type="cellIs" dxfId="12095" priority="132187" stopIfTrue="1" operator="greaterThanOrEqual">
      <formula>0.5</formula>
    </cfRule>
  </conditionalFormatting>
  <conditionalFormatting sqref="X37">
    <cfRule type="cellIs" dxfId="12094" priority="132188" stopIfTrue="1" operator="equal">
      <formula>-1</formula>
    </cfRule>
  </conditionalFormatting>
  <conditionalFormatting sqref="X37">
    <cfRule type="cellIs" dxfId="12093" priority="132189" stopIfTrue="1" operator="lessThan">
      <formula>0.5</formula>
    </cfRule>
  </conditionalFormatting>
  <conditionalFormatting sqref="X37">
    <cfRule type="cellIs" dxfId="12092" priority="132190" stopIfTrue="1" operator="greaterThanOrEqual">
      <formula>0.5</formula>
    </cfRule>
  </conditionalFormatting>
  <conditionalFormatting sqref="Z17">
    <cfRule type="cellIs" dxfId="12091" priority="132191" stopIfTrue="1" operator="equal">
      <formula>-1</formula>
    </cfRule>
  </conditionalFormatting>
  <conditionalFormatting sqref="Z17">
    <cfRule type="cellIs" dxfId="12090" priority="132192" stopIfTrue="1" operator="lessThan">
      <formula>0.5</formula>
    </cfRule>
  </conditionalFormatting>
  <conditionalFormatting sqref="Z17">
    <cfRule type="cellIs" dxfId="12089" priority="132193" stopIfTrue="1" operator="greaterThanOrEqual">
      <formula>0.5</formula>
    </cfRule>
  </conditionalFormatting>
  <conditionalFormatting sqref="Z18">
    <cfRule type="cellIs" dxfId="12088" priority="132194" stopIfTrue="1" operator="equal">
      <formula>-1</formula>
    </cfRule>
  </conditionalFormatting>
  <conditionalFormatting sqref="Z18">
    <cfRule type="cellIs" dxfId="12087" priority="132195" stopIfTrue="1" operator="lessThan">
      <formula>0.5</formula>
    </cfRule>
  </conditionalFormatting>
  <conditionalFormatting sqref="Z18">
    <cfRule type="cellIs" dxfId="12086" priority="132196" stopIfTrue="1" operator="greaterThanOrEqual">
      <formula>0.5</formula>
    </cfRule>
  </conditionalFormatting>
  <conditionalFormatting sqref="Z19">
    <cfRule type="cellIs" dxfId="12085" priority="132197" stopIfTrue="1" operator="equal">
      <formula>-1</formula>
    </cfRule>
  </conditionalFormatting>
  <conditionalFormatting sqref="Z19">
    <cfRule type="cellIs" dxfId="12084" priority="132198" stopIfTrue="1" operator="lessThan">
      <formula>0.5</formula>
    </cfRule>
  </conditionalFormatting>
  <conditionalFormatting sqref="Z19">
    <cfRule type="cellIs" dxfId="12083" priority="132199" stopIfTrue="1" operator="greaterThanOrEqual">
      <formula>0.5</formula>
    </cfRule>
  </conditionalFormatting>
  <conditionalFormatting sqref="Z20">
    <cfRule type="cellIs" dxfId="12082" priority="132200" stopIfTrue="1" operator="equal">
      <formula>-1</formula>
    </cfRule>
  </conditionalFormatting>
  <conditionalFormatting sqref="Z20">
    <cfRule type="cellIs" dxfId="12081" priority="132201" stopIfTrue="1" operator="lessThan">
      <formula>0.5</formula>
    </cfRule>
  </conditionalFormatting>
  <conditionalFormatting sqref="Z20">
    <cfRule type="cellIs" dxfId="12080" priority="132202" stopIfTrue="1" operator="greaterThanOrEqual">
      <formula>0.5</formula>
    </cfRule>
  </conditionalFormatting>
  <conditionalFormatting sqref="Z21">
    <cfRule type="cellIs" dxfId="12079" priority="132203" stopIfTrue="1" operator="equal">
      <formula>-1</formula>
    </cfRule>
  </conditionalFormatting>
  <conditionalFormatting sqref="Z21">
    <cfRule type="cellIs" dxfId="12078" priority="132204" stopIfTrue="1" operator="lessThan">
      <formula>0.5</formula>
    </cfRule>
  </conditionalFormatting>
  <conditionalFormatting sqref="Z21">
    <cfRule type="cellIs" dxfId="12077" priority="132205" stopIfTrue="1" operator="greaterThanOrEqual">
      <formula>0.5</formula>
    </cfRule>
  </conditionalFormatting>
  <conditionalFormatting sqref="Z22">
    <cfRule type="cellIs" dxfId="12076" priority="132206" stopIfTrue="1" operator="equal">
      <formula>-1</formula>
    </cfRule>
  </conditionalFormatting>
  <conditionalFormatting sqref="Z22">
    <cfRule type="cellIs" dxfId="12075" priority="132207" stopIfTrue="1" operator="lessThan">
      <formula>0.5</formula>
    </cfRule>
  </conditionalFormatting>
  <conditionalFormatting sqref="Z22">
    <cfRule type="cellIs" dxfId="12074" priority="132208" stopIfTrue="1" operator="greaterThanOrEqual">
      <formula>0.5</formula>
    </cfRule>
  </conditionalFormatting>
  <conditionalFormatting sqref="Z23">
    <cfRule type="cellIs" dxfId="12073" priority="132209" stopIfTrue="1" operator="equal">
      <formula>-1</formula>
    </cfRule>
  </conditionalFormatting>
  <conditionalFormatting sqref="Z23">
    <cfRule type="cellIs" dxfId="12072" priority="132210" stopIfTrue="1" operator="lessThan">
      <formula>0.5</formula>
    </cfRule>
  </conditionalFormatting>
  <conditionalFormatting sqref="Z23">
    <cfRule type="cellIs" dxfId="12071" priority="132211" stopIfTrue="1" operator="greaterThanOrEqual">
      <formula>0.5</formula>
    </cfRule>
  </conditionalFormatting>
  <conditionalFormatting sqref="Z24">
    <cfRule type="cellIs" dxfId="12070" priority="132212" stopIfTrue="1" operator="equal">
      <formula>-1</formula>
    </cfRule>
  </conditionalFormatting>
  <conditionalFormatting sqref="Z24">
    <cfRule type="cellIs" dxfId="12069" priority="132213" stopIfTrue="1" operator="lessThan">
      <formula>0.5</formula>
    </cfRule>
  </conditionalFormatting>
  <conditionalFormatting sqref="Z24">
    <cfRule type="cellIs" dxfId="12068" priority="132214" stopIfTrue="1" operator="greaterThanOrEqual">
      <formula>0.5</formula>
    </cfRule>
  </conditionalFormatting>
  <conditionalFormatting sqref="Z25">
    <cfRule type="cellIs" dxfId="12067" priority="132215" stopIfTrue="1" operator="equal">
      <formula>-1</formula>
    </cfRule>
  </conditionalFormatting>
  <conditionalFormatting sqref="Z25">
    <cfRule type="cellIs" dxfId="12066" priority="132216" stopIfTrue="1" operator="lessThan">
      <formula>0.5</formula>
    </cfRule>
  </conditionalFormatting>
  <conditionalFormatting sqref="Z25">
    <cfRule type="cellIs" dxfId="12065" priority="132217" stopIfTrue="1" operator="greaterThanOrEqual">
      <formula>0.5</formula>
    </cfRule>
  </conditionalFormatting>
  <conditionalFormatting sqref="Z26">
    <cfRule type="cellIs" dxfId="12064" priority="132218" stopIfTrue="1" operator="equal">
      <formula>-1</formula>
    </cfRule>
  </conditionalFormatting>
  <conditionalFormatting sqref="Z26">
    <cfRule type="cellIs" dxfId="12063" priority="132219" stopIfTrue="1" operator="lessThan">
      <formula>0.5</formula>
    </cfRule>
  </conditionalFormatting>
  <conditionalFormatting sqref="Z26">
    <cfRule type="cellIs" dxfId="12062" priority="132220" stopIfTrue="1" operator="greaterThanOrEqual">
      <formula>0.5</formula>
    </cfRule>
  </conditionalFormatting>
  <conditionalFormatting sqref="Z27">
    <cfRule type="cellIs" dxfId="12061" priority="132221" stopIfTrue="1" operator="equal">
      <formula>-1</formula>
    </cfRule>
  </conditionalFormatting>
  <conditionalFormatting sqref="Z27">
    <cfRule type="cellIs" dxfId="12060" priority="132222" stopIfTrue="1" operator="lessThan">
      <formula>0.5</formula>
    </cfRule>
  </conditionalFormatting>
  <conditionalFormatting sqref="Z27">
    <cfRule type="cellIs" dxfId="12059" priority="132223" stopIfTrue="1" operator="greaterThanOrEqual">
      <formula>0.5</formula>
    </cfRule>
  </conditionalFormatting>
  <conditionalFormatting sqref="Z28">
    <cfRule type="cellIs" dxfId="12058" priority="132224" stopIfTrue="1" operator="equal">
      <formula>-1</formula>
    </cfRule>
  </conditionalFormatting>
  <conditionalFormatting sqref="Z28">
    <cfRule type="cellIs" dxfId="12057" priority="132225" stopIfTrue="1" operator="lessThan">
      <formula>0.5</formula>
    </cfRule>
  </conditionalFormatting>
  <conditionalFormatting sqref="Z28">
    <cfRule type="cellIs" dxfId="12056" priority="132226" stopIfTrue="1" operator="greaterThanOrEqual">
      <formula>0.5</formula>
    </cfRule>
  </conditionalFormatting>
  <conditionalFormatting sqref="Z29">
    <cfRule type="cellIs" dxfId="12055" priority="132227" stopIfTrue="1" operator="equal">
      <formula>-1</formula>
    </cfRule>
  </conditionalFormatting>
  <conditionalFormatting sqref="Z29">
    <cfRule type="cellIs" dxfId="12054" priority="132228" stopIfTrue="1" operator="lessThan">
      <formula>0.5</formula>
    </cfRule>
  </conditionalFormatting>
  <conditionalFormatting sqref="Z29">
    <cfRule type="cellIs" dxfId="12053" priority="132229" stopIfTrue="1" operator="greaterThanOrEqual">
      <formula>0.5</formula>
    </cfRule>
  </conditionalFormatting>
  <conditionalFormatting sqref="Z30">
    <cfRule type="cellIs" dxfId="12052" priority="132230" stopIfTrue="1" operator="equal">
      <formula>-1</formula>
    </cfRule>
  </conditionalFormatting>
  <conditionalFormatting sqref="Z30">
    <cfRule type="cellIs" dxfId="12051" priority="132231" stopIfTrue="1" operator="lessThan">
      <formula>0.5</formula>
    </cfRule>
  </conditionalFormatting>
  <conditionalFormatting sqref="Z30">
    <cfRule type="cellIs" dxfId="12050" priority="132232" stopIfTrue="1" operator="greaterThanOrEqual">
      <formula>0.5</formula>
    </cfRule>
  </conditionalFormatting>
  <conditionalFormatting sqref="Z31">
    <cfRule type="cellIs" dxfId="12049" priority="132233" stopIfTrue="1" operator="equal">
      <formula>-1</formula>
    </cfRule>
  </conditionalFormatting>
  <conditionalFormatting sqref="Z31">
    <cfRule type="cellIs" dxfId="12048" priority="132234" stopIfTrue="1" operator="lessThan">
      <formula>0.5</formula>
    </cfRule>
  </conditionalFormatting>
  <conditionalFormatting sqref="Z31">
    <cfRule type="cellIs" dxfId="12047" priority="132235" stopIfTrue="1" operator="greaterThanOrEqual">
      <formula>0.5</formula>
    </cfRule>
  </conditionalFormatting>
  <conditionalFormatting sqref="Z32">
    <cfRule type="cellIs" dxfId="12046" priority="132236" stopIfTrue="1" operator="equal">
      <formula>-1</formula>
    </cfRule>
  </conditionalFormatting>
  <conditionalFormatting sqref="Z32">
    <cfRule type="cellIs" dxfId="12045" priority="132237" stopIfTrue="1" operator="lessThan">
      <formula>0.5</formula>
    </cfRule>
  </conditionalFormatting>
  <conditionalFormatting sqref="Z32">
    <cfRule type="cellIs" dxfId="12044" priority="132238" stopIfTrue="1" operator="greaterThanOrEqual">
      <formula>0.5</formula>
    </cfRule>
  </conditionalFormatting>
  <conditionalFormatting sqref="Z33">
    <cfRule type="cellIs" dxfId="12043" priority="132239" stopIfTrue="1" operator="equal">
      <formula>-1</formula>
    </cfRule>
  </conditionalFormatting>
  <conditionalFormatting sqref="Z33">
    <cfRule type="cellIs" dxfId="12042" priority="132240" stopIfTrue="1" operator="lessThan">
      <formula>0.5</formula>
    </cfRule>
  </conditionalFormatting>
  <conditionalFormatting sqref="Z33">
    <cfRule type="cellIs" dxfId="12041" priority="132241" stopIfTrue="1" operator="greaterThanOrEqual">
      <formula>0.5</formula>
    </cfRule>
  </conditionalFormatting>
  <conditionalFormatting sqref="Z34">
    <cfRule type="cellIs" dxfId="12040" priority="132242" stopIfTrue="1" operator="equal">
      <formula>-1</formula>
    </cfRule>
  </conditionalFormatting>
  <conditionalFormatting sqref="Z34">
    <cfRule type="cellIs" dxfId="12039" priority="132243" stopIfTrue="1" operator="lessThan">
      <formula>0.5</formula>
    </cfRule>
  </conditionalFormatting>
  <conditionalFormatting sqref="Z34">
    <cfRule type="cellIs" dxfId="12038" priority="132244" stopIfTrue="1" operator="greaterThanOrEqual">
      <formula>0.5</formula>
    </cfRule>
  </conditionalFormatting>
  <conditionalFormatting sqref="Z35">
    <cfRule type="cellIs" dxfId="12037" priority="132245" stopIfTrue="1" operator="equal">
      <formula>-1</formula>
    </cfRule>
  </conditionalFormatting>
  <conditionalFormatting sqref="Z35">
    <cfRule type="cellIs" dxfId="12036" priority="132246" stopIfTrue="1" operator="lessThan">
      <formula>0.5</formula>
    </cfRule>
  </conditionalFormatting>
  <conditionalFormatting sqref="Z35">
    <cfRule type="cellIs" dxfId="12035" priority="132247" stopIfTrue="1" operator="greaterThanOrEqual">
      <formula>0.5</formula>
    </cfRule>
  </conditionalFormatting>
  <conditionalFormatting sqref="Z36">
    <cfRule type="cellIs" dxfId="12034" priority="132248" stopIfTrue="1" operator="equal">
      <formula>-1</formula>
    </cfRule>
  </conditionalFormatting>
  <conditionalFormatting sqref="Z36">
    <cfRule type="cellIs" dxfId="12033" priority="132249" stopIfTrue="1" operator="lessThan">
      <formula>0.5</formula>
    </cfRule>
  </conditionalFormatting>
  <conditionalFormatting sqref="Z36">
    <cfRule type="cellIs" dxfId="12032" priority="132250" stopIfTrue="1" operator="greaterThanOrEqual">
      <formula>0.5</formula>
    </cfRule>
  </conditionalFormatting>
  <conditionalFormatting sqref="Z37">
    <cfRule type="cellIs" dxfId="12031" priority="132251" stopIfTrue="1" operator="equal">
      <formula>-1</formula>
    </cfRule>
  </conditionalFormatting>
  <conditionalFormatting sqref="Z37">
    <cfRule type="cellIs" dxfId="12030" priority="132252" stopIfTrue="1" operator="lessThan">
      <formula>0.5</formula>
    </cfRule>
  </conditionalFormatting>
  <conditionalFormatting sqref="Z37">
    <cfRule type="cellIs" dxfId="12029" priority="132253" stopIfTrue="1" operator="greaterThanOrEqual">
      <formula>0.5</formula>
    </cfRule>
  </conditionalFormatting>
  <conditionalFormatting sqref="AB17">
    <cfRule type="cellIs" dxfId="12028" priority="132254" stopIfTrue="1" operator="equal">
      <formula>-1</formula>
    </cfRule>
  </conditionalFormatting>
  <conditionalFormatting sqref="AB17">
    <cfRule type="cellIs" dxfId="12027" priority="132255" stopIfTrue="1" operator="lessThan">
      <formula>0.5</formula>
    </cfRule>
  </conditionalFormatting>
  <conditionalFormatting sqref="AB17">
    <cfRule type="cellIs" dxfId="12026" priority="132256" stopIfTrue="1" operator="greaterThanOrEqual">
      <formula>0.5</formula>
    </cfRule>
  </conditionalFormatting>
  <conditionalFormatting sqref="AB18">
    <cfRule type="cellIs" dxfId="12025" priority="132257" stopIfTrue="1" operator="equal">
      <formula>-1</formula>
    </cfRule>
  </conditionalFormatting>
  <conditionalFormatting sqref="AB18">
    <cfRule type="cellIs" dxfId="12024" priority="132258" stopIfTrue="1" operator="lessThan">
      <formula>0.5</formula>
    </cfRule>
  </conditionalFormatting>
  <conditionalFormatting sqref="AB18">
    <cfRule type="cellIs" dxfId="12023" priority="132259" stopIfTrue="1" operator="greaterThanOrEqual">
      <formula>0.5</formula>
    </cfRule>
  </conditionalFormatting>
  <conditionalFormatting sqref="AB19">
    <cfRule type="cellIs" dxfId="12022" priority="132260" stopIfTrue="1" operator="equal">
      <formula>-1</formula>
    </cfRule>
  </conditionalFormatting>
  <conditionalFormatting sqref="AB19">
    <cfRule type="cellIs" dxfId="12021" priority="132261" stopIfTrue="1" operator="lessThan">
      <formula>0.5</formula>
    </cfRule>
  </conditionalFormatting>
  <conditionalFormatting sqref="AB19">
    <cfRule type="cellIs" dxfId="12020" priority="132262" stopIfTrue="1" operator="greaterThanOrEqual">
      <formula>0.5</formula>
    </cfRule>
  </conditionalFormatting>
  <conditionalFormatting sqref="AB20">
    <cfRule type="cellIs" dxfId="12019" priority="132263" stopIfTrue="1" operator="equal">
      <formula>-1</formula>
    </cfRule>
  </conditionalFormatting>
  <conditionalFormatting sqref="AB20">
    <cfRule type="cellIs" dxfId="12018" priority="132264" stopIfTrue="1" operator="lessThan">
      <formula>0.5</formula>
    </cfRule>
  </conditionalFormatting>
  <conditionalFormatting sqref="AB20">
    <cfRule type="cellIs" dxfId="12017" priority="132265" stopIfTrue="1" operator="greaterThanOrEqual">
      <formula>0.5</formula>
    </cfRule>
  </conditionalFormatting>
  <conditionalFormatting sqref="AB21">
    <cfRule type="cellIs" dxfId="12016" priority="132266" stopIfTrue="1" operator="equal">
      <formula>-1</formula>
    </cfRule>
  </conditionalFormatting>
  <conditionalFormatting sqref="AB21">
    <cfRule type="cellIs" dxfId="12015" priority="132267" stopIfTrue="1" operator="lessThan">
      <formula>0.5</formula>
    </cfRule>
  </conditionalFormatting>
  <conditionalFormatting sqref="AB21">
    <cfRule type="cellIs" dxfId="12014" priority="132268" stopIfTrue="1" operator="greaterThanOrEqual">
      <formula>0.5</formula>
    </cfRule>
  </conditionalFormatting>
  <conditionalFormatting sqref="AB22">
    <cfRule type="cellIs" dxfId="12013" priority="132269" stopIfTrue="1" operator="equal">
      <formula>-1</formula>
    </cfRule>
  </conditionalFormatting>
  <conditionalFormatting sqref="AB22">
    <cfRule type="cellIs" dxfId="12012" priority="132270" stopIfTrue="1" operator="lessThan">
      <formula>0.5</formula>
    </cfRule>
  </conditionalFormatting>
  <conditionalFormatting sqref="AB22">
    <cfRule type="cellIs" dxfId="12011" priority="132271" stopIfTrue="1" operator="greaterThanOrEqual">
      <formula>0.5</formula>
    </cfRule>
  </conditionalFormatting>
  <conditionalFormatting sqref="AB23">
    <cfRule type="cellIs" dxfId="12010" priority="132272" stopIfTrue="1" operator="equal">
      <formula>-1</formula>
    </cfRule>
  </conditionalFormatting>
  <conditionalFormatting sqref="AB23">
    <cfRule type="cellIs" dxfId="12009" priority="132273" stopIfTrue="1" operator="lessThan">
      <formula>0.5</formula>
    </cfRule>
  </conditionalFormatting>
  <conditionalFormatting sqref="AB23">
    <cfRule type="cellIs" dxfId="12008" priority="132274" stopIfTrue="1" operator="greaterThanOrEqual">
      <formula>0.5</formula>
    </cfRule>
  </conditionalFormatting>
  <conditionalFormatting sqref="AB24">
    <cfRule type="cellIs" dxfId="12007" priority="132275" stopIfTrue="1" operator="equal">
      <formula>-1</formula>
    </cfRule>
  </conditionalFormatting>
  <conditionalFormatting sqref="AB24">
    <cfRule type="cellIs" dxfId="12006" priority="132276" stopIfTrue="1" operator="lessThan">
      <formula>0.5</formula>
    </cfRule>
  </conditionalFormatting>
  <conditionalFormatting sqref="AB24">
    <cfRule type="cellIs" dxfId="12005" priority="132277" stopIfTrue="1" operator="greaterThanOrEqual">
      <formula>0.5</formula>
    </cfRule>
  </conditionalFormatting>
  <conditionalFormatting sqref="AB25">
    <cfRule type="cellIs" dxfId="12004" priority="132278" stopIfTrue="1" operator="equal">
      <formula>-1</formula>
    </cfRule>
  </conditionalFormatting>
  <conditionalFormatting sqref="AB25">
    <cfRule type="cellIs" dxfId="12003" priority="132279" stopIfTrue="1" operator="lessThan">
      <formula>0.5</formula>
    </cfRule>
  </conditionalFormatting>
  <conditionalFormatting sqref="AB25">
    <cfRule type="cellIs" dxfId="12002" priority="132280" stopIfTrue="1" operator="greaterThanOrEqual">
      <formula>0.5</formula>
    </cfRule>
  </conditionalFormatting>
  <conditionalFormatting sqref="AB26">
    <cfRule type="cellIs" dxfId="12001" priority="132281" stopIfTrue="1" operator="equal">
      <formula>-1</formula>
    </cfRule>
  </conditionalFormatting>
  <conditionalFormatting sqref="AB26">
    <cfRule type="cellIs" dxfId="12000" priority="132282" stopIfTrue="1" operator="lessThan">
      <formula>0.5</formula>
    </cfRule>
  </conditionalFormatting>
  <conditionalFormatting sqref="AB26">
    <cfRule type="cellIs" dxfId="11999" priority="132283" stopIfTrue="1" operator="greaterThanOrEqual">
      <formula>0.5</formula>
    </cfRule>
  </conditionalFormatting>
  <conditionalFormatting sqref="AB27">
    <cfRule type="cellIs" dxfId="11998" priority="132284" stopIfTrue="1" operator="equal">
      <formula>-1</formula>
    </cfRule>
  </conditionalFormatting>
  <conditionalFormatting sqref="AB27">
    <cfRule type="cellIs" dxfId="11997" priority="132285" stopIfTrue="1" operator="lessThan">
      <formula>0.5</formula>
    </cfRule>
  </conditionalFormatting>
  <conditionalFormatting sqref="AB27">
    <cfRule type="cellIs" dxfId="11996" priority="132286" stopIfTrue="1" operator="greaterThanOrEqual">
      <formula>0.5</formula>
    </cfRule>
  </conditionalFormatting>
  <conditionalFormatting sqref="AB28">
    <cfRule type="cellIs" dxfId="11995" priority="132287" stopIfTrue="1" operator="equal">
      <formula>-1</formula>
    </cfRule>
  </conditionalFormatting>
  <conditionalFormatting sqref="AB28">
    <cfRule type="cellIs" dxfId="11994" priority="132288" stopIfTrue="1" operator="lessThan">
      <formula>0.5</formula>
    </cfRule>
  </conditionalFormatting>
  <conditionalFormatting sqref="AB28">
    <cfRule type="cellIs" dxfId="11993" priority="132289" stopIfTrue="1" operator="greaterThanOrEqual">
      <formula>0.5</formula>
    </cfRule>
  </conditionalFormatting>
  <conditionalFormatting sqref="AB29">
    <cfRule type="cellIs" dxfId="11992" priority="132290" stopIfTrue="1" operator="equal">
      <formula>-1</formula>
    </cfRule>
  </conditionalFormatting>
  <conditionalFormatting sqref="AB29">
    <cfRule type="cellIs" dxfId="11991" priority="132291" stopIfTrue="1" operator="lessThan">
      <formula>0.5</formula>
    </cfRule>
  </conditionalFormatting>
  <conditionalFormatting sqref="AB29">
    <cfRule type="cellIs" dxfId="11990" priority="132292" stopIfTrue="1" operator="greaterThanOrEqual">
      <formula>0.5</formula>
    </cfRule>
  </conditionalFormatting>
  <conditionalFormatting sqref="AB30">
    <cfRule type="cellIs" dxfId="11989" priority="132293" stopIfTrue="1" operator="equal">
      <formula>-1</formula>
    </cfRule>
  </conditionalFormatting>
  <conditionalFormatting sqref="AB30">
    <cfRule type="cellIs" dxfId="11988" priority="132294" stopIfTrue="1" operator="lessThan">
      <formula>0.5</formula>
    </cfRule>
  </conditionalFormatting>
  <conditionalFormatting sqref="AB30">
    <cfRule type="cellIs" dxfId="11987" priority="132295" stopIfTrue="1" operator="greaterThanOrEqual">
      <formula>0.5</formula>
    </cfRule>
  </conditionalFormatting>
  <conditionalFormatting sqref="AB31">
    <cfRule type="cellIs" dxfId="11986" priority="132296" stopIfTrue="1" operator="equal">
      <formula>-1</formula>
    </cfRule>
  </conditionalFormatting>
  <conditionalFormatting sqref="AB31">
    <cfRule type="cellIs" dxfId="11985" priority="132297" stopIfTrue="1" operator="lessThan">
      <formula>0.5</formula>
    </cfRule>
  </conditionalFormatting>
  <conditionalFormatting sqref="AB31">
    <cfRule type="cellIs" dxfId="11984" priority="132298" stopIfTrue="1" operator="greaterThanOrEqual">
      <formula>0.5</formula>
    </cfRule>
  </conditionalFormatting>
  <conditionalFormatting sqref="AB32">
    <cfRule type="cellIs" dxfId="11983" priority="132299" stopIfTrue="1" operator="equal">
      <formula>-1</formula>
    </cfRule>
  </conditionalFormatting>
  <conditionalFormatting sqref="AB32">
    <cfRule type="cellIs" dxfId="11982" priority="132300" stopIfTrue="1" operator="lessThan">
      <formula>0.5</formula>
    </cfRule>
  </conditionalFormatting>
  <conditionalFormatting sqref="AB32">
    <cfRule type="cellIs" dxfId="11981" priority="132301" stopIfTrue="1" operator="greaterThanOrEqual">
      <formula>0.5</formula>
    </cfRule>
  </conditionalFormatting>
  <conditionalFormatting sqref="AB33">
    <cfRule type="cellIs" dxfId="11980" priority="132302" stopIfTrue="1" operator="equal">
      <formula>-1</formula>
    </cfRule>
  </conditionalFormatting>
  <conditionalFormatting sqref="AB33">
    <cfRule type="cellIs" dxfId="11979" priority="132303" stopIfTrue="1" operator="lessThan">
      <formula>0.5</formula>
    </cfRule>
  </conditionalFormatting>
  <conditionalFormatting sqref="AB33">
    <cfRule type="cellIs" dxfId="11978" priority="132304" stopIfTrue="1" operator="greaterThanOrEqual">
      <formula>0.5</formula>
    </cfRule>
  </conditionalFormatting>
  <conditionalFormatting sqref="AB34">
    <cfRule type="cellIs" dxfId="11977" priority="132305" stopIfTrue="1" operator="equal">
      <formula>-1</formula>
    </cfRule>
  </conditionalFormatting>
  <conditionalFormatting sqref="AB34">
    <cfRule type="cellIs" dxfId="11976" priority="132306" stopIfTrue="1" operator="lessThan">
      <formula>0.5</formula>
    </cfRule>
  </conditionalFormatting>
  <conditionalFormatting sqref="AB34">
    <cfRule type="cellIs" dxfId="11975" priority="132307" stopIfTrue="1" operator="greaterThanOrEqual">
      <formula>0.5</formula>
    </cfRule>
  </conditionalFormatting>
  <conditionalFormatting sqref="AB35">
    <cfRule type="cellIs" dxfId="11974" priority="132308" stopIfTrue="1" operator="equal">
      <formula>-1</formula>
    </cfRule>
  </conditionalFormatting>
  <conditionalFormatting sqref="AB35">
    <cfRule type="cellIs" dxfId="11973" priority="132309" stopIfTrue="1" operator="lessThan">
      <formula>0.5</formula>
    </cfRule>
  </conditionalFormatting>
  <conditionalFormatting sqref="AB35">
    <cfRule type="cellIs" dxfId="11972" priority="132310" stopIfTrue="1" operator="greaterThanOrEqual">
      <formula>0.5</formula>
    </cfRule>
  </conditionalFormatting>
  <conditionalFormatting sqref="AB36">
    <cfRule type="cellIs" dxfId="11971" priority="132311" stopIfTrue="1" operator="equal">
      <formula>-1</formula>
    </cfRule>
  </conditionalFormatting>
  <conditionalFormatting sqref="AB36">
    <cfRule type="cellIs" dxfId="11970" priority="132312" stopIfTrue="1" operator="lessThan">
      <formula>0.5</formula>
    </cfRule>
  </conditionalFormatting>
  <conditionalFormatting sqref="AB36">
    <cfRule type="cellIs" dxfId="11969" priority="132313" stopIfTrue="1" operator="greaterThanOrEqual">
      <formula>0.5</formula>
    </cfRule>
  </conditionalFormatting>
  <conditionalFormatting sqref="AB37">
    <cfRule type="cellIs" dxfId="11968" priority="132314" stopIfTrue="1" operator="equal">
      <formula>-1</formula>
    </cfRule>
  </conditionalFormatting>
  <conditionalFormatting sqref="AB37">
    <cfRule type="cellIs" dxfId="11967" priority="132315" stopIfTrue="1" operator="lessThan">
      <formula>0.5</formula>
    </cfRule>
  </conditionalFormatting>
  <conditionalFormatting sqref="AB37">
    <cfRule type="cellIs" dxfId="11966" priority="132316" stopIfTrue="1" operator="greaterThanOrEqual">
      <formula>0.5</formula>
    </cfRule>
  </conditionalFormatting>
  <conditionalFormatting sqref="AD17">
    <cfRule type="cellIs" dxfId="11965" priority="132317" stopIfTrue="1" operator="equal">
      <formula>-1</formula>
    </cfRule>
  </conditionalFormatting>
  <conditionalFormatting sqref="AD17">
    <cfRule type="cellIs" dxfId="11964" priority="132318" stopIfTrue="1" operator="lessThan">
      <formula>0.5</formula>
    </cfRule>
  </conditionalFormatting>
  <conditionalFormatting sqref="AD17">
    <cfRule type="cellIs" dxfId="11963" priority="132319" stopIfTrue="1" operator="greaterThanOrEqual">
      <formula>0.5</formula>
    </cfRule>
  </conditionalFormatting>
  <conditionalFormatting sqref="AD18">
    <cfRule type="cellIs" dxfId="11962" priority="132320" stopIfTrue="1" operator="equal">
      <formula>-1</formula>
    </cfRule>
  </conditionalFormatting>
  <conditionalFormatting sqref="AD18">
    <cfRule type="cellIs" dxfId="11961" priority="132321" stopIfTrue="1" operator="lessThan">
      <formula>0.5</formula>
    </cfRule>
  </conditionalFormatting>
  <conditionalFormatting sqref="AD18">
    <cfRule type="cellIs" dxfId="11960" priority="132322" stopIfTrue="1" operator="greaterThanOrEqual">
      <formula>0.5</formula>
    </cfRule>
  </conditionalFormatting>
  <conditionalFormatting sqref="AD19">
    <cfRule type="cellIs" dxfId="11959" priority="132323" stopIfTrue="1" operator="equal">
      <formula>-1</formula>
    </cfRule>
  </conditionalFormatting>
  <conditionalFormatting sqref="AD19">
    <cfRule type="cellIs" dxfId="11958" priority="132324" stopIfTrue="1" operator="lessThan">
      <formula>0.5</formula>
    </cfRule>
  </conditionalFormatting>
  <conditionalFormatting sqref="AD19">
    <cfRule type="cellIs" dxfId="11957" priority="132325" stopIfTrue="1" operator="greaterThanOrEqual">
      <formula>0.5</formula>
    </cfRule>
  </conditionalFormatting>
  <conditionalFormatting sqref="AD20">
    <cfRule type="cellIs" dxfId="11956" priority="132326" stopIfTrue="1" operator="equal">
      <formula>-1</formula>
    </cfRule>
  </conditionalFormatting>
  <conditionalFormatting sqref="AD20">
    <cfRule type="cellIs" dxfId="11955" priority="132327" stopIfTrue="1" operator="lessThan">
      <formula>0.5</formula>
    </cfRule>
  </conditionalFormatting>
  <conditionalFormatting sqref="AD20">
    <cfRule type="cellIs" dxfId="11954" priority="132328" stopIfTrue="1" operator="greaterThanOrEqual">
      <formula>0.5</formula>
    </cfRule>
  </conditionalFormatting>
  <conditionalFormatting sqref="AD21">
    <cfRule type="cellIs" dxfId="11953" priority="132329" stopIfTrue="1" operator="equal">
      <formula>-1</formula>
    </cfRule>
  </conditionalFormatting>
  <conditionalFormatting sqref="AD21">
    <cfRule type="cellIs" dxfId="11952" priority="132330" stopIfTrue="1" operator="lessThan">
      <formula>0.5</formula>
    </cfRule>
  </conditionalFormatting>
  <conditionalFormatting sqref="AD21">
    <cfRule type="cellIs" dxfId="11951" priority="132331" stopIfTrue="1" operator="greaterThanOrEqual">
      <formula>0.5</formula>
    </cfRule>
  </conditionalFormatting>
  <conditionalFormatting sqref="AD22">
    <cfRule type="cellIs" dxfId="11950" priority="132332" stopIfTrue="1" operator="equal">
      <formula>-1</formula>
    </cfRule>
  </conditionalFormatting>
  <conditionalFormatting sqref="AD22">
    <cfRule type="cellIs" dxfId="11949" priority="132333" stopIfTrue="1" operator="lessThan">
      <formula>0.5</formula>
    </cfRule>
  </conditionalFormatting>
  <conditionalFormatting sqref="AD22">
    <cfRule type="cellIs" dxfId="11948" priority="132334" stopIfTrue="1" operator="greaterThanOrEqual">
      <formula>0.5</formula>
    </cfRule>
  </conditionalFormatting>
  <conditionalFormatting sqref="AD23">
    <cfRule type="cellIs" dxfId="11947" priority="132335" stopIfTrue="1" operator="equal">
      <formula>-1</formula>
    </cfRule>
  </conditionalFormatting>
  <conditionalFormatting sqref="AD23">
    <cfRule type="cellIs" dxfId="11946" priority="132336" stopIfTrue="1" operator="lessThan">
      <formula>0.5</formula>
    </cfRule>
  </conditionalFormatting>
  <conditionalFormatting sqref="AD23">
    <cfRule type="cellIs" dxfId="11945" priority="132337" stopIfTrue="1" operator="greaterThanOrEqual">
      <formula>0.5</formula>
    </cfRule>
  </conditionalFormatting>
  <conditionalFormatting sqref="AD24">
    <cfRule type="cellIs" dxfId="11944" priority="132338" stopIfTrue="1" operator="equal">
      <formula>-1</formula>
    </cfRule>
  </conditionalFormatting>
  <conditionalFormatting sqref="AD24">
    <cfRule type="cellIs" dxfId="11943" priority="132339" stopIfTrue="1" operator="lessThan">
      <formula>0.5</formula>
    </cfRule>
  </conditionalFormatting>
  <conditionalFormatting sqref="AD24">
    <cfRule type="cellIs" dxfId="11942" priority="132340" stopIfTrue="1" operator="greaterThanOrEqual">
      <formula>0.5</formula>
    </cfRule>
  </conditionalFormatting>
  <conditionalFormatting sqref="AD25">
    <cfRule type="cellIs" dxfId="11941" priority="132341" stopIfTrue="1" operator="equal">
      <formula>-1</formula>
    </cfRule>
  </conditionalFormatting>
  <conditionalFormatting sqref="AD25">
    <cfRule type="cellIs" dxfId="11940" priority="132342" stopIfTrue="1" operator="lessThan">
      <formula>0.5</formula>
    </cfRule>
  </conditionalFormatting>
  <conditionalFormatting sqref="AD25">
    <cfRule type="cellIs" dxfId="11939" priority="132343" stopIfTrue="1" operator="greaterThanOrEqual">
      <formula>0.5</formula>
    </cfRule>
  </conditionalFormatting>
  <conditionalFormatting sqref="AD26">
    <cfRule type="cellIs" dxfId="11938" priority="132344" stopIfTrue="1" operator="equal">
      <formula>-1</formula>
    </cfRule>
  </conditionalFormatting>
  <conditionalFormatting sqref="AD26">
    <cfRule type="cellIs" dxfId="11937" priority="132345" stopIfTrue="1" operator="lessThan">
      <formula>0.5</formula>
    </cfRule>
  </conditionalFormatting>
  <conditionalFormatting sqref="AD26">
    <cfRule type="cellIs" dxfId="11936" priority="132346" stopIfTrue="1" operator="greaterThanOrEqual">
      <formula>0.5</formula>
    </cfRule>
  </conditionalFormatting>
  <conditionalFormatting sqref="AD27">
    <cfRule type="cellIs" dxfId="11935" priority="132347" stopIfTrue="1" operator="equal">
      <formula>-1</formula>
    </cfRule>
  </conditionalFormatting>
  <conditionalFormatting sqref="AD27">
    <cfRule type="cellIs" dxfId="11934" priority="132348" stopIfTrue="1" operator="lessThan">
      <formula>0.5</formula>
    </cfRule>
  </conditionalFormatting>
  <conditionalFormatting sqref="AD27">
    <cfRule type="cellIs" dxfId="11933" priority="132349" stopIfTrue="1" operator="greaterThanOrEqual">
      <formula>0.5</formula>
    </cfRule>
  </conditionalFormatting>
  <conditionalFormatting sqref="AD28">
    <cfRule type="cellIs" dxfId="11932" priority="132350" stopIfTrue="1" operator="equal">
      <formula>-1</formula>
    </cfRule>
  </conditionalFormatting>
  <conditionalFormatting sqref="AD28">
    <cfRule type="cellIs" dxfId="11931" priority="132351" stopIfTrue="1" operator="lessThan">
      <formula>0.5</formula>
    </cfRule>
  </conditionalFormatting>
  <conditionalFormatting sqref="AD28">
    <cfRule type="cellIs" dxfId="11930" priority="132352" stopIfTrue="1" operator="greaterThanOrEqual">
      <formula>0.5</formula>
    </cfRule>
  </conditionalFormatting>
  <conditionalFormatting sqref="AD29">
    <cfRule type="cellIs" dxfId="11929" priority="132353" stopIfTrue="1" operator="equal">
      <formula>-1</formula>
    </cfRule>
  </conditionalFormatting>
  <conditionalFormatting sqref="AD29">
    <cfRule type="cellIs" dxfId="11928" priority="132354" stopIfTrue="1" operator="lessThan">
      <formula>0.5</formula>
    </cfRule>
  </conditionalFormatting>
  <conditionalFormatting sqref="AD29">
    <cfRule type="cellIs" dxfId="11927" priority="132355" stopIfTrue="1" operator="greaterThanOrEqual">
      <formula>0.5</formula>
    </cfRule>
  </conditionalFormatting>
  <conditionalFormatting sqref="AD30">
    <cfRule type="cellIs" dxfId="11926" priority="132356" stopIfTrue="1" operator="equal">
      <formula>-1</formula>
    </cfRule>
  </conditionalFormatting>
  <conditionalFormatting sqref="AD30">
    <cfRule type="cellIs" dxfId="11925" priority="132357" stopIfTrue="1" operator="lessThan">
      <formula>0.5</formula>
    </cfRule>
  </conditionalFormatting>
  <conditionalFormatting sqref="AD30">
    <cfRule type="cellIs" dxfId="11924" priority="132358" stopIfTrue="1" operator="greaterThanOrEqual">
      <formula>0.5</formula>
    </cfRule>
  </conditionalFormatting>
  <conditionalFormatting sqref="AD31">
    <cfRule type="cellIs" dxfId="11923" priority="132359" stopIfTrue="1" operator="equal">
      <formula>-1</formula>
    </cfRule>
  </conditionalFormatting>
  <conditionalFormatting sqref="AD31">
    <cfRule type="cellIs" dxfId="11922" priority="132360" stopIfTrue="1" operator="lessThan">
      <formula>0.5</formula>
    </cfRule>
  </conditionalFormatting>
  <conditionalFormatting sqref="AD31">
    <cfRule type="cellIs" dxfId="11921" priority="132361" stopIfTrue="1" operator="greaterThanOrEqual">
      <formula>0.5</formula>
    </cfRule>
  </conditionalFormatting>
  <conditionalFormatting sqref="AD32">
    <cfRule type="cellIs" dxfId="11920" priority="132362" stopIfTrue="1" operator="equal">
      <formula>-1</formula>
    </cfRule>
  </conditionalFormatting>
  <conditionalFormatting sqref="AD32">
    <cfRule type="cellIs" dxfId="11919" priority="132363" stopIfTrue="1" operator="lessThan">
      <formula>0.5</formula>
    </cfRule>
  </conditionalFormatting>
  <conditionalFormatting sqref="AD32">
    <cfRule type="cellIs" dxfId="11918" priority="132364" stopIfTrue="1" operator="greaterThanOrEqual">
      <formula>0.5</formula>
    </cfRule>
  </conditionalFormatting>
  <conditionalFormatting sqref="AD33">
    <cfRule type="cellIs" dxfId="11917" priority="132365" stopIfTrue="1" operator="equal">
      <formula>-1</formula>
    </cfRule>
  </conditionalFormatting>
  <conditionalFormatting sqref="AD33">
    <cfRule type="cellIs" dxfId="11916" priority="132366" stopIfTrue="1" operator="lessThan">
      <formula>0.5</formula>
    </cfRule>
  </conditionalFormatting>
  <conditionalFormatting sqref="AD33">
    <cfRule type="cellIs" dxfId="11915" priority="132367" stopIfTrue="1" operator="greaterThanOrEqual">
      <formula>0.5</formula>
    </cfRule>
  </conditionalFormatting>
  <conditionalFormatting sqref="AD34">
    <cfRule type="cellIs" dxfId="11914" priority="132368" stopIfTrue="1" operator="equal">
      <formula>-1</formula>
    </cfRule>
  </conditionalFormatting>
  <conditionalFormatting sqref="AD34">
    <cfRule type="cellIs" dxfId="11913" priority="132369" stopIfTrue="1" operator="lessThan">
      <formula>0.5</formula>
    </cfRule>
  </conditionalFormatting>
  <conditionalFormatting sqref="AD34">
    <cfRule type="cellIs" dxfId="11912" priority="132370" stopIfTrue="1" operator="greaterThanOrEqual">
      <formula>0.5</formula>
    </cfRule>
  </conditionalFormatting>
  <conditionalFormatting sqref="AD35">
    <cfRule type="cellIs" dxfId="11911" priority="132371" stopIfTrue="1" operator="equal">
      <formula>-1</formula>
    </cfRule>
  </conditionalFormatting>
  <conditionalFormatting sqref="AD35">
    <cfRule type="cellIs" dxfId="11910" priority="132372" stopIfTrue="1" operator="lessThan">
      <formula>0.5</formula>
    </cfRule>
  </conditionalFormatting>
  <conditionalFormatting sqref="AD35">
    <cfRule type="cellIs" dxfId="11909" priority="132373" stopIfTrue="1" operator="greaterThanOrEqual">
      <formula>0.5</formula>
    </cfRule>
  </conditionalFormatting>
  <conditionalFormatting sqref="AD36">
    <cfRule type="cellIs" dxfId="11908" priority="132374" stopIfTrue="1" operator="equal">
      <formula>-1</formula>
    </cfRule>
  </conditionalFormatting>
  <conditionalFormatting sqref="AD36">
    <cfRule type="cellIs" dxfId="11907" priority="132375" stopIfTrue="1" operator="lessThan">
      <formula>0.5</formula>
    </cfRule>
  </conditionalFormatting>
  <conditionalFormatting sqref="AD36">
    <cfRule type="cellIs" dxfId="11906" priority="132376" stopIfTrue="1" operator="greaterThanOrEqual">
      <formula>0.5</formula>
    </cfRule>
  </conditionalFormatting>
  <conditionalFormatting sqref="AD37">
    <cfRule type="cellIs" dxfId="11905" priority="132377" stopIfTrue="1" operator="equal">
      <formula>-1</formula>
    </cfRule>
  </conditionalFormatting>
  <conditionalFormatting sqref="AD37">
    <cfRule type="cellIs" dxfId="11904" priority="132378" stopIfTrue="1" operator="lessThan">
      <formula>0.5</formula>
    </cfRule>
  </conditionalFormatting>
  <conditionalFormatting sqref="AD37">
    <cfRule type="cellIs" dxfId="11903" priority="132379" stopIfTrue="1" operator="greaterThanOrEqual">
      <formula>0.5</formula>
    </cfRule>
  </conditionalFormatting>
  <conditionalFormatting sqref="AF17">
    <cfRule type="cellIs" dxfId="11902" priority="132380" stopIfTrue="1" operator="equal">
      <formula>-1</formula>
    </cfRule>
  </conditionalFormatting>
  <conditionalFormatting sqref="AF17">
    <cfRule type="cellIs" dxfId="11901" priority="132381" stopIfTrue="1" operator="lessThan">
      <formula>0.5</formula>
    </cfRule>
  </conditionalFormatting>
  <conditionalFormatting sqref="AF17">
    <cfRule type="cellIs" dxfId="11900" priority="132382" stopIfTrue="1" operator="greaterThanOrEqual">
      <formula>0.5</formula>
    </cfRule>
  </conditionalFormatting>
  <conditionalFormatting sqref="AF18">
    <cfRule type="cellIs" dxfId="11899" priority="132383" stopIfTrue="1" operator="equal">
      <formula>-1</formula>
    </cfRule>
  </conditionalFormatting>
  <conditionalFormatting sqref="AF18">
    <cfRule type="cellIs" dxfId="11898" priority="132384" stopIfTrue="1" operator="lessThan">
      <formula>0.5</formula>
    </cfRule>
  </conditionalFormatting>
  <conditionalFormatting sqref="AF18">
    <cfRule type="cellIs" dxfId="11897" priority="132385" stopIfTrue="1" operator="greaterThanOrEqual">
      <formula>0.5</formula>
    </cfRule>
  </conditionalFormatting>
  <conditionalFormatting sqref="AF19">
    <cfRule type="cellIs" dxfId="11896" priority="132386" stopIfTrue="1" operator="equal">
      <formula>-1</formula>
    </cfRule>
  </conditionalFormatting>
  <conditionalFormatting sqref="AF19">
    <cfRule type="cellIs" dxfId="11895" priority="132387" stopIfTrue="1" operator="lessThan">
      <formula>0.5</formula>
    </cfRule>
  </conditionalFormatting>
  <conditionalFormatting sqref="AF19">
    <cfRule type="cellIs" dxfId="11894" priority="132388" stopIfTrue="1" operator="greaterThanOrEqual">
      <formula>0.5</formula>
    </cfRule>
  </conditionalFormatting>
  <conditionalFormatting sqref="AF20">
    <cfRule type="cellIs" dxfId="11893" priority="132389" stopIfTrue="1" operator="equal">
      <formula>-1</formula>
    </cfRule>
  </conditionalFormatting>
  <conditionalFormatting sqref="AF20">
    <cfRule type="cellIs" dxfId="11892" priority="132390" stopIfTrue="1" operator="lessThan">
      <formula>0.5</formula>
    </cfRule>
  </conditionalFormatting>
  <conditionalFormatting sqref="AF20">
    <cfRule type="cellIs" dxfId="11891" priority="132391" stopIfTrue="1" operator="greaterThanOrEqual">
      <formula>0.5</formula>
    </cfRule>
  </conditionalFormatting>
  <conditionalFormatting sqref="AF21">
    <cfRule type="cellIs" dxfId="11890" priority="132392" stopIfTrue="1" operator="equal">
      <formula>-1</formula>
    </cfRule>
  </conditionalFormatting>
  <conditionalFormatting sqref="AF21">
    <cfRule type="cellIs" dxfId="11889" priority="132393" stopIfTrue="1" operator="lessThan">
      <formula>0.5</formula>
    </cfRule>
  </conditionalFormatting>
  <conditionalFormatting sqref="AF21">
    <cfRule type="cellIs" dxfId="11888" priority="132394" stopIfTrue="1" operator="greaterThanOrEqual">
      <formula>0.5</formula>
    </cfRule>
  </conditionalFormatting>
  <conditionalFormatting sqref="AF22">
    <cfRule type="cellIs" dxfId="11887" priority="132395" stopIfTrue="1" operator="equal">
      <formula>-1</formula>
    </cfRule>
  </conditionalFormatting>
  <conditionalFormatting sqref="AF22">
    <cfRule type="cellIs" dxfId="11886" priority="132396" stopIfTrue="1" operator="lessThan">
      <formula>0.5</formula>
    </cfRule>
  </conditionalFormatting>
  <conditionalFormatting sqref="AF22">
    <cfRule type="cellIs" dxfId="11885" priority="132397" stopIfTrue="1" operator="greaterThanOrEqual">
      <formula>0.5</formula>
    </cfRule>
  </conditionalFormatting>
  <conditionalFormatting sqref="AF23">
    <cfRule type="cellIs" dxfId="11884" priority="132398" stopIfTrue="1" operator="equal">
      <formula>-1</formula>
    </cfRule>
  </conditionalFormatting>
  <conditionalFormatting sqref="AF23">
    <cfRule type="cellIs" dxfId="11883" priority="132399" stopIfTrue="1" operator="lessThan">
      <formula>0.5</formula>
    </cfRule>
  </conditionalFormatting>
  <conditionalFormatting sqref="AF23">
    <cfRule type="cellIs" dxfId="11882" priority="132400" stopIfTrue="1" operator="greaterThanOrEqual">
      <formula>0.5</formula>
    </cfRule>
  </conditionalFormatting>
  <conditionalFormatting sqref="AF24">
    <cfRule type="cellIs" dxfId="11881" priority="132401" stopIfTrue="1" operator="equal">
      <formula>-1</formula>
    </cfRule>
  </conditionalFormatting>
  <conditionalFormatting sqref="AF24">
    <cfRule type="cellIs" dxfId="11880" priority="132402" stopIfTrue="1" operator="lessThan">
      <formula>0.5</formula>
    </cfRule>
  </conditionalFormatting>
  <conditionalFormatting sqref="AF24">
    <cfRule type="cellIs" dxfId="11879" priority="132403" stopIfTrue="1" operator="greaterThanOrEqual">
      <formula>0.5</formula>
    </cfRule>
  </conditionalFormatting>
  <conditionalFormatting sqref="AF25">
    <cfRule type="cellIs" dxfId="11878" priority="132404" stopIfTrue="1" operator="equal">
      <formula>-1</formula>
    </cfRule>
  </conditionalFormatting>
  <conditionalFormatting sqref="AF25">
    <cfRule type="cellIs" dxfId="11877" priority="132405" stopIfTrue="1" operator="lessThan">
      <formula>0.5</formula>
    </cfRule>
  </conditionalFormatting>
  <conditionalFormatting sqref="AF25">
    <cfRule type="cellIs" dxfId="11876" priority="132406" stopIfTrue="1" operator="greaterThanOrEqual">
      <formula>0.5</formula>
    </cfRule>
  </conditionalFormatting>
  <conditionalFormatting sqref="AF26">
    <cfRule type="cellIs" dxfId="11875" priority="132407" stopIfTrue="1" operator="equal">
      <formula>-1</formula>
    </cfRule>
  </conditionalFormatting>
  <conditionalFormatting sqref="AF26">
    <cfRule type="cellIs" dxfId="11874" priority="132408" stopIfTrue="1" operator="lessThan">
      <formula>0.5</formula>
    </cfRule>
  </conditionalFormatting>
  <conditionalFormatting sqref="AF26">
    <cfRule type="cellIs" dxfId="11873" priority="132409" stopIfTrue="1" operator="greaterThanOrEqual">
      <formula>0.5</formula>
    </cfRule>
  </conditionalFormatting>
  <conditionalFormatting sqref="AF27">
    <cfRule type="cellIs" dxfId="11872" priority="132410" stopIfTrue="1" operator="equal">
      <formula>-1</formula>
    </cfRule>
  </conditionalFormatting>
  <conditionalFormatting sqref="AF27">
    <cfRule type="cellIs" dxfId="11871" priority="132411" stopIfTrue="1" operator="lessThan">
      <formula>0.5</formula>
    </cfRule>
  </conditionalFormatting>
  <conditionalFormatting sqref="AF27">
    <cfRule type="cellIs" dxfId="11870" priority="132412" stopIfTrue="1" operator="greaterThanOrEqual">
      <formula>0.5</formula>
    </cfRule>
  </conditionalFormatting>
  <conditionalFormatting sqref="AF28">
    <cfRule type="cellIs" dxfId="11869" priority="132413" stopIfTrue="1" operator="equal">
      <formula>-1</formula>
    </cfRule>
  </conditionalFormatting>
  <conditionalFormatting sqref="AF28">
    <cfRule type="cellIs" dxfId="11868" priority="132414" stopIfTrue="1" operator="lessThan">
      <formula>0.5</formula>
    </cfRule>
  </conditionalFormatting>
  <conditionalFormatting sqref="AF28">
    <cfRule type="cellIs" dxfId="11867" priority="132415" stopIfTrue="1" operator="greaterThanOrEqual">
      <formula>0.5</formula>
    </cfRule>
  </conditionalFormatting>
  <conditionalFormatting sqref="AF29">
    <cfRule type="cellIs" dxfId="11866" priority="132416" stopIfTrue="1" operator="equal">
      <formula>-1</formula>
    </cfRule>
  </conditionalFormatting>
  <conditionalFormatting sqref="AF29">
    <cfRule type="cellIs" dxfId="11865" priority="132417" stopIfTrue="1" operator="lessThan">
      <formula>0.5</formula>
    </cfRule>
  </conditionalFormatting>
  <conditionalFormatting sqref="AF29">
    <cfRule type="cellIs" dxfId="11864" priority="132418" stopIfTrue="1" operator="greaterThanOrEqual">
      <formula>0.5</formula>
    </cfRule>
  </conditionalFormatting>
  <conditionalFormatting sqref="AF30">
    <cfRule type="cellIs" dxfId="11863" priority="132419" stopIfTrue="1" operator="equal">
      <formula>-1</formula>
    </cfRule>
  </conditionalFormatting>
  <conditionalFormatting sqref="AF30">
    <cfRule type="cellIs" dxfId="11862" priority="132420" stopIfTrue="1" operator="lessThan">
      <formula>0.5</formula>
    </cfRule>
  </conditionalFormatting>
  <conditionalFormatting sqref="AF30">
    <cfRule type="cellIs" dxfId="11861" priority="132421" stopIfTrue="1" operator="greaterThanOrEqual">
      <formula>0.5</formula>
    </cfRule>
  </conditionalFormatting>
  <conditionalFormatting sqref="AF31">
    <cfRule type="cellIs" dxfId="11860" priority="132422" stopIfTrue="1" operator="equal">
      <formula>-1</formula>
    </cfRule>
  </conditionalFormatting>
  <conditionalFormatting sqref="AF31">
    <cfRule type="cellIs" dxfId="11859" priority="132423" stopIfTrue="1" operator="lessThan">
      <formula>0.5</formula>
    </cfRule>
  </conditionalFormatting>
  <conditionalFormatting sqref="AF31">
    <cfRule type="cellIs" dxfId="11858" priority="132424" stopIfTrue="1" operator="greaterThanOrEqual">
      <formula>0.5</formula>
    </cfRule>
  </conditionalFormatting>
  <conditionalFormatting sqref="AF32">
    <cfRule type="cellIs" dxfId="11857" priority="132425" stopIfTrue="1" operator="equal">
      <formula>-1</formula>
    </cfRule>
  </conditionalFormatting>
  <conditionalFormatting sqref="AF32">
    <cfRule type="cellIs" dxfId="11856" priority="132426" stopIfTrue="1" operator="lessThan">
      <formula>0.5</formula>
    </cfRule>
  </conditionalFormatting>
  <conditionalFormatting sqref="AF32">
    <cfRule type="cellIs" dxfId="11855" priority="132427" stopIfTrue="1" operator="greaterThanOrEqual">
      <formula>0.5</formula>
    </cfRule>
  </conditionalFormatting>
  <conditionalFormatting sqref="AF33">
    <cfRule type="cellIs" dxfId="11854" priority="132428" stopIfTrue="1" operator="equal">
      <formula>-1</formula>
    </cfRule>
  </conditionalFormatting>
  <conditionalFormatting sqref="AF33">
    <cfRule type="cellIs" dxfId="11853" priority="132429" stopIfTrue="1" operator="lessThan">
      <formula>0.5</formula>
    </cfRule>
  </conditionalFormatting>
  <conditionalFormatting sqref="AF33">
    <cfRule type="cellIs" dxfId="11852" priority="132430" stopIfTrue="1" operator="greaterThanOrEqual">
      <formula>0.5</formula>
    </cfRule>
  </conditionalFormatting>
  <conditionalFormatting sqref="AF34">
    <cfRule type="cellIs" dxfId="11851" priority="132431" stopIfTrue="1" operator="equal">
      <formula>-1</formula>
    </cfRule>
  </conditionalFormatting>
  <conditionalFormatting sqref="AF34">
    <cfRule type="cellIs" dxfId="11850" priority="132432" stopIfTrue="1" operator="lessThan">
      <formula>0.5</formula>
    </cfRule>
  </conditionalFormatting>
  <conditionalFormatting sqref="AF34">
    <cfRule type="cellIs" dxfId="11849" priority="132433" stopIfTrue="1" operator="greaterThanOrEqual">
      <formula>0.5</formula>
    </cfRule>
  </conditionalFormatting>
  <conditionalFormatting sqref="AF35">
    <cfRule type="cellIs" dxfId="11848" priority="132434" stopIfTrue="1" operator="equal">
      <formula>-1</formula>
    </cfRule>
  </conditionalFormatting>
  <conditionalFormatting sqref="AF35">
    <cfRule type="cellIs" dxfId="11847" priority="132435" stopIfTrue="1" operator="lessThan">
      <formula>0.5</formula>
    </cfRule>
  </conditionalFormatting>
  <conditionalFormatting sqref="AF35">
    <cfRule type="cellIs" dxfId="11846" priority="132436" stopIfTrue="1" operator="greaterThanOrEqual">
      <formula>0.5</formula>
    </cfRule>
  </conditionalFormatting>
  <conditionalFormatting sqref="AF36">
    <cfRule type="cellIs" dxfId="11845" priority="132437" stopIfTrue="1" operator="equal">
      <formula>-1</formula>
    </cfRule>
  </conditionalFormatting>
  <conditionalFormatting sqref="AF36">
    <cfRule type="cellIs" dxfId="11844" priority="132438" stopIfTrue="1" operator="lessThan">
      <formula>0.5</formula>
    </cfRule>
  </conditionalFormatting>
  <conditionalFormatting sqref="AF36">
    <cfRule type="cellIs" dxfId="11843" priority="132439" stopIfTrue="1" operator="greaterThanOrEqual">
      <formula>0.5</formula>
    </cfRule>
  </conditionalFormatting>
  <conditionalFormatting sqref="AF37">
    <cfRule type="cellIs" dxfId="11842" priority="132440" stopIfTrue="1" operator="equal">
      <formula>-1</formula>
    </cfRule>
  </conditionalFormatting>
  <conditionalFormatting sqref="AF37">
    <cfRule type="cellIs" dxfId="11841" priority="132441" stopIfTrue="1" operator="lessThan">
      <formula>0.5</formula>
    </cfRule>
  </conditionalFormatting>
  <conditionalFormatting sqref="AF37">
    <cfRule type="cellIs" dxfId="11840" priority="132442" stopIfTrue="1" operator="greaterThanOrEqual">
      <formula>0.5</formula>
    </cfRule>
  </conditionalFormatting>
  <conditionalFormatting sqref="AH17">
    <cfRule type="cellIs" dxfId="11839" priority="132443" stopIfTrue="1" operator="equal">
      <formula>-1</formula>
    </cfRule>
  </conditionalFormatting>
  <conditionalFormatting sqref="AH17">
    <cfRule type="cellIs" dxfId="11838" priority="132444" stopIfTrue="1" operator="lessThan">
      <formula>0.5</formula>
    </cfRule>
  </conditionalFormatting>
  <conditionalFormatting sqref="AH17">
    <cfRule type="cellIs" dxfId="11837" priority="132445" stopIfTrue="1" operator="greaterThanOrEqual">
      <formula>0.5</formula>
    </cfRule>
  </conditionalFormatting>
  <conditionalFormatting sqref="AH18">
    <cfRule type="cellIs" dxfId="11836" priority="132446" stopIfTrue="1" operator="equal">
      <formula>-1</formula>
    </cfRule>
  </conditionalFormatting>
  <conditionalFormatting sqref="AH18">
    <cfRule type="cellIs" dxfId="11835" priority="132447" stopIfTrue="1" operator="lessThan">
      <formula>0.5</formula>
    </cfRule>
  </conditionalFormatting>
  <conditionalFormatting sqref="AH18">
    <cfRule type="cellIs" dxfId="11834" priority="132448" stopIfTrue="1" operator="greaterThanOrEqual">
      <formula>0.5</formula>
    </cfRule>
  </conditionalFormatting>
  <conditionalFormatting sqref="AH19">
    <cfRule type="cellIs" dxfId="11833" priority="132449" stopIfTrue="1" operator="equal">
      <formula>-1</formula>
    </cfRule>
  </conditionalFormatting>
  <conditionalFormatting sqref="AH19">
    <cfRule type="cellIs" dxfId="11832" priority="132450" stopIfTrue="1" operator="lessThan">
      <formula>0.5</formula>
    </cfRule>
  </conditionalFormatting>
  <conditionalFormatting sqref="AH19">
    <cfRule type="cellIs" dxfId="11831" priority="132451" stopIfTrue="1" operator="greaterThanOrEqual">
      <formula>0.5</formula>
    </cfRule>
  </conditionalFormatting>
  <conditionalFormatting sqref="AH20">
    <cfRule type="cellIs" dxfId="11830" priority="132452" stopIfTrue="1" operator="equal">
      <formula>-1</formula>
    </cfRule>
  </conditionalFormatting>
  <conditionalFormatting sqref="AH20">
    <cfRule type="cellIs" dxfId="11829" priority="132453" stopIfTrue="1" operator="lessThan">
      <formula>0.5</formula>
    </cfRule>
  </conditionalFormatting>
  <conditionalFormatting sqref="AH20">
    <cfRule type="cellIs" dxfId="11828" priority="132454" stopIfTrue="1" operator="greaterThanOrEqual">
      <formula>0.5</formula>
    </cfRule>
  </conditionalFormatting>
  <conditionalFormatting sqref="AH21">
    <cfRule type="cellIs" dxfId="11827" priority="132455" stopIfTrue="1" operator="equal">
      <formula>-1</formula>
    </cfRule>
  </conditionalFormatting>
  <conditionalFormatting sqref="AH21">
    <cfRule type="cellIs" dxfId="11826" priority="132456" stopIfTrue="1" operator="lessThan">
      <formula>0.5</formula>
    </cfRule>
  </conditionalFormatting>
  <conditionalFormatting sqref="AH21">
    <cfRule type="cellIs" dxfId="11825" priority="132457" stopIfTrue="1" operator="greaterThanOrEqual">
      <formula>0.5</formula>
    </cfRule>
  </conditionalFormatting>
  <conditionalFormatting sqref="AH22">
    <cfRule type="cellIs" dxfId="11824" priority="132458" stopIfTrue="1" operator="equal">
      <formula>-1</formula>
    </cfRule>
  </conditionalFormatting>
  <conditionalFormatting sqref="AH22">
    <cfRule type="cellIs" dxfId="11823" priority="132459" stopIfTrue="1" operator="lessThan">
      <formula>0.5</formula>
    </cfRule>
  </conditionalFormatting>
  <conditionalFormatting sqref="AH22">
    <cfRule type="cellIs" dxfId="11822" priority="132460" stopIfTrue="1" operator="greaterThanOrEqual">
      <formula>0.5</formula>
    </cfRule>
  </conditionalFormatting>
  <conditionalFormatting sqref="AH23">
    <cfRule type="cellIs" dxfId="11821" priority="132461" stopIfTrue="1" operator="equal">
      <formula>-1</formula>
    </cfRule>
  </conditionalFormatting>
  <conditionalFormatting sqref="AH23">
    <cfRule type="cellIs" dxfId="11820" priority="132462" stopIfTrue="1" operator="lessThan">
      <formula>0.5</formula>
    </cfRule>
  </conditionalFormatting>
  <conditionalFormatting sqref="AH23">
    <cfRule type="cellIs" dxfId="11819" priority="132463" stopIfTrue="1" operator="greaterThanOrEqual">
      <formula>0.5</formula>
    </cfRule>
  </conditionalFormatting>
  <conditionalFormatting sqref="AH24">
    <cfRule type="cellIs" dxfId="11818" priority="132464" stopIfTrue="1" operator="equal">
      <formula>-1</formula>
    </cfRule>
  </conditionalFormatting>
  <conditionalFormatting sqref="AH24">
    <cfRule type="cellIs" dxfId="11817" priority="132465" stopIfTrue="1" operator="lessThan">
      <formula>0.5</formula>
    </cfRule>
  </conditionalFormatting>
  <conditionalFormatting sqref="AH24">
    <cfRule type="cellIs" dxfId="11816" priority="132466" stopIfTrue="1" operator="greaterThanOrEqual">
      <formula>0.5</formula>
    </cfRule>
  </conditionalFormatting>
  <conditionalFormatting sqref="AH25">
    <cfRule type="cellIs" dxfId="11815" priority="132467" stopIfTrue="1" operator="equal">
      <formula>-1</formula>
    </cfRule>
  </conditionalFormatting>
  <conditionalFormatting sqref="AH25">
    <cfRule type="cellIs" dxfId="11814" priority="132468" stopIfTrue="1" operator="lessThan">
      <formula>0.5</formula>
    </cfRule>
  </conditionalFormatting>
  <conditionalFormatting sqref="AH25">
    <cfRule type="cellIs" dxfId="11813" priority="132469" stopIfTrue="1" operator="greaterThanOrEqual">
      <formula>0.5</formula>
    </cfRule>
  </conditionalFormatting>
  <conditionalFormatting sqref="AH26">
    <cfRule type="cellIs" dxfId="11812" priority="132470" stopIfTrue="1" operator="equal">
      <formula>-1</formula>
    </cfRule>
  </conditionalFormatting>
  <conditionalFormatting sqref="AH26">
    <cfRule type="cellIs" dxfId="11811" priority="132471" stopIfTrue="1" operator="lessThan">
      <formula>0.5</formula>
    </cfRule>
  </conditionalFormatting>
  <conditionalFormatting sqref="AH26">
    <cfRule type="cellIs" dxfId="11810" priority="132472" stopIfTrue="1" operator="greaterThanOrEqual">
      <formula>0.5</formula>
    </cfRule>
  </conditionalFormatting>
  <conditionalFormatting sqref="AH27">
    <cfRule type="cellIs" dxfId="11809" priority="132473" stopIfTrue="1" operator="equal">
      <formula>-1</formula>
    </cfRule>
  </conditionalFormatting>
  <conditionalFormatting sqref="AH27">
    <cfRule type="cellIs" dxfId="11808" priority="132474" stopIfTrue="1" operator="lessThan">
      <formula>0.5</formula>
    </cfRule>
  </conditionalFormatting>
  <conditionalFormatting sqref="AH27">
    <cfRule type="cellIs" dxfId="11807" priority="132475" stopIfTrue="1" operator="greaterThanOrEqual">
      <formula>0.5</formula>
    </cfRule>
  </conditionalFormatting>
  <conditionalFormatting sqref="AH28">
    <cfRule type="cellIs" dxfId="11806" priority="132476" stopIfTrue="1" operator="equal">
      <formula>-1</formula>
    </cfRule>
  </conditionalFormatting>
  <conditionalFormatting sqref="AH28">
    <cfRule type="cellIs" dxfId="11805" priority="132477" stopIfTrue="1" operator="lessThan">
      <formula>0.5</formula>
    </cfRule>
  </conditionalFormatting>
  <conditionalFormatting sqref="AH28">
    <cfRule type="cellIs" dxfId="11804" priority="132478" stopIfTrue="1" operator="greaterThanOrEqual">
      <formula>0.5</formula>
    </cfRule>
  </conditionalFormatting>
  <conditionalFormatting sqref="AH29">
    <cfRule type="cellIs" dxfId="11803" priority="132479" stopIfTrue="1" operator="equal">
      <formula>-1</formula>
    </cfRule>
  </conditionalFormatting>
  <conditionalFormatting sqref="AH29">
    <cfRule type="cellIs" dxfId="11802" priority="132480" stopIfTrue="1" operator="lessThan">
      <formula>0.5</formula>
    </cfRule>
  </conditionalFormatting>
  <conditionalFormatting sqref="AH29">
    <cfRule type="cellIs" dxfId="11801" priority="132481" stopIfTrue="1" operator="greaterThanOrEqual">
      <formula>0.5</formula>
    </cfRule>
  </conditionalFormatting>
  <conditionalFormatting sqref="AH30">
    <cfRule type="cellIs" dxfId="11800" priority="132482" stopIfTrue="1" operator="equal">
      <formula>-1</formula>
    </cfRule>
  </conditionalFormatting>
  <conditionalFormatting sqref="AH30">
    <cfRule type="cellIs" dxfId="11799" priority="132483" stopIfTrue="1" operator="lessThan">
      <formula>0.5</formula>
    </cfRule>
  </conditionalFormatting>
  <conditionalFormatting sqref="AH30">
    <cfRule type="cellIs" dxfId="11798" priority="132484" stopIfTrue="1" operator="greaterThanOrEqual">
      <formula>0.5</formula>
    </cfRule>
  </conditionalFormatting>
  <conditionalFormatting sqref="AH31">
    <cfRule type="cellIs" dxfId="11797" priority="132485" stopIfTrue="1" operator="equal">
      <formula>-1</formula>
    </cfRule>
  </conditionalFormatting>
  <conditionalFormatting sqref="AH31">
    <cfRule type="cellIs" dxfId="11796" priority="132486" stopIfTrue="1" operator="lessThan">
      <formula>0.5</formula>
    </cfRule>
  </conditionalFormatting>
  <conditionalFormatting sqref="AH31">
    <cfRule type="cellIs" dxfId="11795" priority="132487" stopIfTrue="1" operator="greaterThanOrEqual">
      <formula>0.5</formula>
    </cfRule>
  </conditionalFormatting>
  <conditionalFormatting sqref="AH32">
    <cfRule type="cellIs" dxfId="11794" priority="132488" stopIfTrue="1" operator="equal">
      <formula>-1</formula>
    </cfRule>
  </conditionalFormatting>
  <conditionalFormatting sqref="AH32">
    <cfRule type="cellIs" dxfId="11793" priority="132489" stopIfTrue="1" operator="lessThan">
      <formula>0.5</formula>
    </cfRule>
  </conditionalFormatting>
  <conditionalFormatting sqref="AH32">
    <cfRule type="cellIs" dxfId="11792" priority="132490" stopIfTrue="1" operator="greaterThanOrEqual">
      <formula>0.5</formula>
    </cfRule>
  </conditionalFormatting>
  <conditionalFormatting sqref="AH33">
    <cfRule type="cellIs" dxfId="11791" priority="132491" stopIfTrue="1" operator="equal">
      <formula>-1</formula>
    </cfRule>
  </conditionalFormatting>
  <conditionalFormatting sqref="AH33">
    <cfRule type="cellIs" dxfId="11790" priority="132492" stopIfTrue="1" operator="lessThan">
      <formula>0.5</formula>
    </cfRule>
  </conditionalFormatting>
  <conditionalFormatting sqref="AH33">
    <cfRule type="cellIs" dxfId="11789" priority="132493" stopIfTrue="1" operator="greaterThanOrEqual">
      <formula>0.5</formula>
    </cfRule>
  </conditionalFormatting>
  <conditionalFormatting sqref="AH34">
    <cfRule type="cellIs" dxfId="11788" priority="132494" stopIfTrue="1" operator="equal">
      <formula>-1</formula>
    </cfRule>
  </conditionalFormatting>
  <conditionalFormatting sqref="AH34">
    <cfRule type="cellIs" dxfId="11787" priority="132495" stopIfTrue="1" operator="lessThan">
      <formula>0.5</formula>
    </cfRule>
  </conditionalFormatting>
  <conditionalFormatting sqref="AH34">
    <cfRule type="cellIs" dxfId="11786" priority="132496" stopIfTrue="1" operator="greaterThanOrEqual">
      <formula>0.5</formula>
    </cfRule>
  </conditionalFormatting>
  <conditionalFormatting sqref="AH35">
    <cfRule type="cellIs" dxfId="11785" priority="132497" stopIfTrue="1" operator="equal">
      <formula>-1</formula>
    </cfRule>
  </conditionalFormatting>
  <conditionalFormatting sqref="AH35">
    <cfRule type="cellIs" dxfId="11784" priority="132498" stopIfTrue="1" operator="lessThan">
      <formula>0.5</formula>
    </cfRule>
  </conditionalFormatting>
  <conditionalFormatting sqref="AH35">
    <cfRule type="cellIs" dxfId="11783" priority="132499" stopIfTrue="1" operator="greaterThanOrEqual">
      <formula>0.5</formula>
    </cfRule>
  </conditionalFormatting>
  <conditionalFormatting sqref="AH36">
    <cfRule type="cellIs" dxfId="11782" priority="132500" stopIfTrue="1" operator="equal">
      <formula>-1</formula>
    </cfRule>
  </conditionalFormatting>
  <conditionalFormatting sqref="AH36">
    <cfRule type="cellIs" dxfId="11781" priority="132501" stopIfTrue="1" operator="lessThan">
      <formula>0.5</formula>
    </cfRule>
  </conditionalFormatting>
  <conditionalFormatting sqref="AH36">
    <cfRule type="cellIs" dxfId="11780" priority="132502" stopIfTrue="1" operator="greaterThanOrEqual">
      <formula>0.5</formula>
    </cfRule>
  </conditionalFormatting>
  <conditionalFormatting sqref="AH37">
    <cfRule type="cellIs" dxfId="11779" priority="132503" stopIfTrue="1" operator="equal">
      <formula>-1</formula>
    </cfRule>
  </conditionalFormatting>
  <conditionalFormatting sqref="AH37">
    <cfRule type="cellIs" dxfId="11778" priority="132504" stopIfTrue="1" operator="lessThan">
      <formula>0.5</formula>
    </cfRule>
  </conditionalFormatting>
  <conditionalFormatting sqref="AH37">
    <cfRule type="cellIs" dxfId="11777" priority="132505" stopIfTrue="1" operator="greaterThanOrEqual">
      <formula>0.5</formula>
    </cfRule>
  </conditionalFormatting>
  <conditionalFormatting sqref="AJ17">
    <cfRule type="cellIs" dxfId="11776" priority="132506" stopIfTrue="1" operator="equal">
      <formula>-1</formula>
    </cfRule>
  </conditionalFormatting>
  <conditionalFormatting sqref="AJ17">
    <cfRule type="cellIs" dxfId="11775" priority="132507" stopIfTrue="1" operator="lessThan">
      <formula>0.5</formula>
    </cfRule>
  </conditionalFormatting>
  <conditionalFormatting sqref="AJ17">
    <cfRule type="cellIs" dxfId="11774" priority="132508" stopIfTrue="1" operator="greaterThanOrEqual">
      <formula>0.5</formula>
    </cfRule>
  </conditionalFormatting>
  <conditionalFormatting sqref="AJ18">
    <cfRule type="cellIs" dxfId="11773" priority="132509" stopIfTrue="1" operator="equal">
      <formula>-1</formula>
    </cfRule>
  </conditionalFormatting>
  <conditionalFormatting sqref="AJ18">
    <cfRule type="cellIs" dxfId="11772" priority="132510" stopIfTrue="1" operator="lessThan">
      <formula>0.5</formula>
    </cfRule>
  </conditionalFormatting>
  <conditionalFormatting sqref="AJ18">
    <cfRule type="cellIs" dxfId="11771" priority="132511" stopIfTrue="1" operator="greaterThanOrEqual">
      <formula>0.5</formula>
    </cfRule>
  </conditionalFormatting>
  <conditionalFormatting sqref="AJ19">
    <cfRule type="cellIs" dxfId="11770" priority="132512" stopIfTrue="1" operator="equal">
      <formula>-1</formula>
    </cfRule>
  </conditionalFormatting>
  <conditionalFormatting sqref="AJ19">
    <cfRule type="cellIs" dxfId="11769" priority="132513" stopIfTrue="1" operator="lessThan">
      <formula>0.5</formula>
    </cfRule>
  </conditionalFormatting>
  <conditionalFormatting sqref="AJ19">
    <cfRule type="cellIs" dxfId="11768" priority="132514" stopIfTrue="1" operator="greaterThanOrEqual">
      <formula>0.5</formula>
    </cfRule>
  </conditionalFormatting>
  <conditionalFormatting sqref="AJ20">
    <cfRule type="cellIs" dxfId="11767" priority="132515" stopIfTrue="1" operator="equal">
      <formula>-1</formula>
    </cfRule>
  </conditionalFormatting>
  <conditionalFormatting sqref="AJ20">
    <cfRule type="cellIs" dxfId="11766" priority="132516" stopIfTrue="1" operator="lessThan">
      <formula>0.5</formula>
    </cfRule>
  </conditionalFormatting>
  <conditionalFormatting sqref="AJ20">
    <cfRule type="cellIs" dxfId="11765" priority="132517" stopIfTrue="1" operator="greaterThanOrEqual">
      <formula>0.5</formula>
    </cfRule>
  </conditionalFormatting>
  <conditionalFormatting sqref="AJ21">
    <cfRule type="cellIs" dxfId="11764" priority="132518" stopIfTrue="1" operator="equal">
      <formula>-1</formula>
    </cfRule>
  </conditionalFormatting>
  <conditionalFormatting sqref="AJ21">
    <cfRule type="cellIs" dxfId="11763" priority="132519" stopIfTrue="1" operator="lessThan">
      <formula>0.5</formula>
    </cfRule>
  </conditionalFormatting>
  <conditionalFormatting sqref="AJ21">
    <cfRule type="cellIs" dxfId="11762" priority="132520" stopIfTrue="1" operator="greaterThanOrEqual">
      <formula>0.5</formula>
    </cfRule>
  </conditionalFormatting>
  <conditionalFormatting sqref="AJ22">
    <cfRule type="cellIs" dxfId="11761" priority="132521" stopIfTrue="1" operator="equal">
      <formula>-1</formula>
    </cfRule>
  </conditionalFormatting>
  <conditionalFormatting sqref="AJ22">
    <cfRule type="cellIs" dxfId="11760" priority="132522" stopIfTrue="1" operator="lessThan">
      <formula>0.5</formula>
    </cfRule>
  </conditionalFormatting>
  <conditionalFormatting sqref="AJ22">
    <cfRule type="cellIs" dxfId="11759" priority="132523" stopIfTrue="1" operator="greaterThanOrEqual">
      <formula>0.5</formula>
    </cfRule>
  </conditionalFormatting>
  <conditionalFormatting sqref="AJ23">
    <cfRule type="cellIs" dxfId="11758" priority="132524" stopIfTrue="1" operator="equal">
      <formula>-1</formula>
    </cfRule>
  </conditionalFormatting>
  <conditionalFormatting sqref="AJ23">
    <cfRule type="cellIs" dxfId="11757" priority="132525" stopIfTrue="1" operator="lessThan">
      <formula>0.5</formula>
    </cfRule>
  </conditionalFormatting>
  <conditionalFormatting sqref="AJ23">
    <cfRule type="cellIs" dxfId="11756" priority="132526" stopIfTrue="1" operator="greaterThanOrEqual">
      <formula>0.5</formula>
    </cfRule>
  </conditionalFormatting>
  <conditionalFormatting sqref="AJ24">
    <cfRule type="cellIs" dxfId="11755" priority="132527" stopIfTrue="1" operator="equal">
      <formula>-1</formula>
    </cfRule>
  </conditionalFormatting>
  <conditionalFormatting sqref="AJ24">
    <cfRule type="cellIs" dxfId="11754" priority="132528" stopIfTrue="1" operator="lessThan">
      <formula>0.5</formula>
    </cfRule>
  </conditionalFormatting>
  <conditionalFormatting sqref="AJ24">
    <cfRule type="cellIs" dxfId="11753" priority="132529" stopIfTrue="1" operator="greaterThanOrEqual">
      <formula>0.5</formula>
    </cfRule>
  </conditionalFormatting>
  <conditionalFormatting sqref="AJ25">
    <cfRule type="cellIs" dxfId="11752" priority="132530" stopIfTrue="1" operator="equal">
      <formula>-1</formula>
    </cfRule>
  </conditionalFormatting>
  <conditionalFormatting sqref="AJ25">
    <cfRule type="cellIs" dxfId="11751" priority="132531" stopIfTrue="1" operator="lessThan">
      <formula>0.5</formula>
    </cfRule>
  </conditionalFormatting>
  <conditionalFormatting sqref="AJ25">
    <cfRule type="cellIs" dxfId="11750" priority="132532" stopIfTrue="1" operator="greaterThanOrEqual">
      <formula>0.5</formula>
    </cfRule>
  </conditionalFormatting>
  <conditionalFormatting sqref="AJ26">
    <cfRule type="cellIs" dxfId="11749" priority="132533" stopIfTrue="1" operator="equal">
      <formula>-1</formula>
    </cfRule>
  </conditionalFormatting>
  <conditionalFormatting sqref="AJ26">
    <cfRule type="cellIs" dxfId="11748" priority="132534" stopIfTrue="1" operator="lessThan">
      <formula>0.5</formula>
    </cfRule>
  </conditionalFormatting>
  <conditionalFormatting sqref="AJ26">
    <cfRule type="cellIs" dxfId="11747" priority="132535" stopIfTrue="1" operator="greaterThanOrEqual">
      <formula>0.5</formula>
    </cfRule>
  </conditionalFormatting>
  <conditionalFormatting sqref="AJ27">
    <cfRule type="cellIs" dxfId="11746" priority="132536" stopIfTrue="1" operator="equal">
      <formula>-1</formula>
    </cfRule>
  </conditionalFormatting>
  <conditionalFormatting sqref="AJ27">
    <cfRule type="cellIs" dxfId="11745" priority="132537" stopIfTrue="1" operator="lessThan">
      <formula>0.5</formula>
    </cfRule>
  </conditionalFormatting>
  <conditionalFormatting sqref="AJ27">
    <cfRule type="cellIs" dxfId="11744" priority="132538" stopIfTrue="1" operator="greaterThanOrEqual">
      <formula>0.5</formula>
    </cfRule>
  </conditionalFormatting>
  <conditionalFormatting sqref="AJ28">
    <cfRule type="cellIs" dxfId="11743" priority="132539" stopIfTrue="1" operator="equal">
      <formula>-1</formula>
    </cfRule>
  </conditionalFormatting>
  <conditionalFormatting sqref="AJ28">
    <cfRule type="cellIs" dxfId="11742" priority="132540" stopIfTrue="1" operator="lessThan">
      <formula>0.5</formula>
    </cfRule>
  </conditionalFormatting>
  <conditionalFormatting sqref="AJ28">
    <cfRule type="cellIs" dxfId="11741" priority="132541" stopIfTrue="1" operator="greaterThanOrEqual">
      <formula>0.5</formula>
    </cfRule>
  </conditionalFormatting>
  <conditionalFormatting sqref="AJ29">
    <cfRule type="cellIs" dxfId="11740" priority="132542" stopIfTrue="1" operator="equal">
      <formula>-1</formula>
    </cfRule>
  </conditionalFormatting>
  <conditionalFormatting sqref="AJ29">
    <cfRule type="cellIs" dxfId="11739" priority="132543" stopIfTrue="1" operator="lessThan">
      <formula>0.5</formula>
    </cfRule>
  </conditionalFormatting>
  <conditionalFormatting sqref="AJ29">
    <cfRule type="cellIs" dxfId="11738" priority="132544" stopIfTrue="1" operator="greaterThanOrEqual">
      <formula>0.5</formula>
    </cfRule>
  </conditionalFormatting>
  <conditionalFormatting sqref="AJ30">
    <cfRule type="cellIs" dxfId="11737" priority="132545" stopIfTrue="1" operator="equal">
      <formula>-1</formula>
    </cfRule>
  </conditionalFormatting>
  <conditionalFormatting sqref="AJ30">
    <cfRule type="cellIs" dxfId="11736" priority="132546" stopIfTrue="1" operator="lessThan">
      <formula>0.5</formula>
    </cfRule>
  </conditionalFormatting>
  <conditionalFormatting sqref="AJ30">
    <cfRule type="cellIs" dxfId="11735" priority="132547" stopIfTrue="1" operator="greaterThanOrEqual">
      <formula>0.5</formula>
    </cfRule>
  </conditionalFormatting>
  <conditionalFormatting sqref="AJ31">
    <cfRule type="cellIs" dxfId="11734" priority="132548" stopIfTrue="1" operator="equal">
      <formula>-1</formula>
    </cfRule>
  </conditionalFormatting>
  <conditionalFormatting sqref="AJ31">
    <cfRule type="cellIs" dxfId="11733" priority="132549" stopIfTrue="1" operator="lessThan">
      <formula>0.5</formula>
    </cfRule>
  </conditionalFormatting>
  <conditionalFormatting sqref="AJ31">
    <cfRule type="cellIs" dxfId="11732" priority="132550" stopIfTrue="1" operator="greaterThanOrEqual">
      <formula>0.5</formula>
    </cfRule>
  </conditionalFormatting>
  <conditionalFormatting sqref="AJ32">
    <cfRule type="cellIs" dxfId="11731" priority="132551" stopIfTrue="1" operator="equal">
      <formula>-1</formula>
    </cfRule>
  </conditionalFormatting>
  <conditionalFormatting sqref="AJ32">
    <cfRule type="cellIs" dxfId="11730" priority="132552" stopIfTrue="1" operator="lessThan">
      <formula>0.5</formula>
    </cfRule>
  </conditionalFormatting>
  <conditionalFormatting sqref="AJ32">
    <cfRule type="cellIs" dxfId="11729" priority="132553" stopIfTrue="1" operator="greaterThanOrEqual">
      <formula>0.5</formula>
    </cfRule>
  </conditionalFormatting>
  <conditionalFormatting sqref="AJ33">
    <cfRule type="cellIs" dxfId="11728" priority="132554" stopIfTrue="1" operator="equal">
      <formula>-1</formula>
    </cfRule>
  </conditionalFormatting>
  <conditionalFormatting sqref="AJ33">
    <cfRule type="cellIs" dxfId="11727" priority="132555" stopIfTrue="1" operator="lessThan">
      <formula>0.5</formula>
    </cfRule>
  </conditionalFormatting>
  <conditionalFormatting sqref="AJ33">
    <cfRule type="cellIs" dxfId="11726" priority="132556" stopIfTrue="1" operator="greaterThanOrEqual">
      <formula>0.5</formula>
    </cfRule>
  </conditionalFormatting>
  <conditionalFormatting sqref="AJ34">
    <cfRule type="cellIs" dxfId="11725" priority="132557" stopIfTrue="1" operator="equal">
      <formula>-1</formula>
    </cfRule>
  </conditionalFormatting>
  <conditionalFormatting sqref="AJ34">
    <cfRule type="cellIs" dxfId="11724" priority="132558" stopIfTrue="1" operator="lessThan">
      <formula>0.5</formula>
    </cfRule>
  </conditionalFormatting>
  <conditionalFormatting sqref="AJ34">
    <cfRule type="cellIs" dxfId="11723" priority="132559" stopIfTrue="1" operator="greaterThanOrEqual">
      <formula>0.5</formula>
    </cfRule>
  </conditionalFormatting>
  <conditionalFormatting sqref="AJ35">
    <cfRule type="cellIs" dxfId="11722" priority="132560" stopIfTrue="1" operator="equal">
      <formula>-1</formula>
    </cfRule>
  </conditionalFormatting>
  <conditionalFormatting sqref="AJ35">
    <cfRule type="cellIs" dxfId="11721" priority="132561" stopIfTrue="1" operator="lessThan">
      <formula>0.5</formula>
    </cfRule>
  </conditionalFormatting>
  <conditionalFormatting sqref="AJ35">
    <cfRule type="cellIs" dxfId="11720" priority="132562" stopIfTrue="1" operator="greaterThanOrEqual">
      <formula>0.5</formula>
    </cfRule>
  </conditionalFormatting>
  <conditionalFormatting sqref="AJ36">
    <cfRule type="cellIs" dxfId="11719" priority="132563" stopIfTrue="1" operator="equal">
      <formula>-1</formula>
    </cfRule>
  </conditionalFormatting>
  <conditionalFormatting sqref="AJ36">
    <cfRule type="cellIs" dxfId="11718" priority="132564" stopIfTrue="1" operator="lessThan">
      <formula>0.5</formula>
    </cfRule>
  </conditionalFormatting>
  <conditionalFormatting sqref="AJ36">
    <cfRule type="cellIs" dxfId="11717" priority="132565" stopIfTrue="1" operator="greaterThanOrEqual">
      <formula>0.5</formula>
    </cfRule>
  </conditionalFormatting>
  <conditionalFormatting sqref="AJ37">
    <cfRule type="cellIs" dxfId="11716" priority="132566" stopIfTrue="1" operator="equal">
      <formula>-1</formula>
    </cfRule>
  </conditionalFormatting>
  <conditionalFormatting sqref="AJ37">
    <cfRule type="cellIs" dxfId="11715" priority="132567" stopIfTrue="1" operator="lessThan">
      <formula>0.5</formula>
    </cfRule>
  </conditionalFormatting>
  <conditionalFormatting sqref="AJ37">
    <cfRule type="cellIs" dxfId="11714" priority="132568" stopIfTrue="1" operator="greaterThanOrEqual">
      <formula>0.5</formula>
    </cfRule>
  </conditionalFormatting>
  <conditionalFormatting sqref="AL17">
    <cfRule type="cellIs" dxfId="11713" priority="132569" stopIfTrue="1" operator="equal">
      <formula>-1</formula>
    </cfRule>
  </conditionalFormatting>
  <conditionalFormatting sqref="AL17">
    <cfRule type="cellIs" dxfId="11712" priority="132570" stopIfTrue="1" operator="lessThan">
      <formula>0.5</formula>
    </cfRule>
  </conditionalFormatting>
  <conditionalFormatting sqref="AL17">
    <cfRule type="cellIs" dxfId="11711" priority="132571" stopIfTrue="1" operator="greaterThanOrEqual">
      <formula>0.5</formula>
    </cfRule>
  </conditionalFormatting>
  <conditionalFormatting sqref="AL18">
    <cfRule type="cellIs" dxfId="11710" priority="132572" stopIfTrue="1" operator="equal">
      <formula>-1</formula>
    </cfRule>
  </conditionalFormatting>
  <conditionalFormatting sqref="AL18">
    <cfRule type="cellIs" dxfId="11709" priority="132573" stopIfTrue="1" operator="lessThan">
      <formula>0.5</formula>
    </cfRule>
  </conditionalFormatting>
  <conditionalFormatting sqref="AL18">
    <cfRule type="cellIs" dxfId="11708" priority="132574" stopIfTrue="1" operator="greaterThanOrEqual">
      <formula>0.5</formula>
    </cfRule>
  </conditionalFormatting>
  <conditionalFormatting sqref="AL19">
    <cfRule type="cellIs" dxfId="11707" priority="132575" stopIfTrue="1" operator="equal">
      <formula>-1</formula>
    </cfRule>
  </conditionalFormatting>
  <conditionalFormatting sqref="AL19">
    <cfRule type="cellIs" dxfId="11706" priority="132576" stopIfTrue="1" operator="lessThan">
      <formula>0.5</formula>
    </cfRule>
  </conditionalFormatting>
  <conditionalFormatting sqref="AL19">
    <cfRule type="cellIs" dxfId="11705" priority="132577" stopIfTrue="1" operator="greaterThanOrEqual">
      <formula>0.5</formula>
    </cfRule>
  </conditionalFormatting>
  <conditionalFormatting sqref="AL20">
    <cfRule type="cellIs" dxfId="11704" priority="132578" stopIfTrue="1" operator="equal">
      <formula>-1</formula>
    </cfRule>
  </conditionalFormatting>
  <conditionalFormatting sqref="AL20">
    <cfRule type="cellIs" dxfId="11703" priority="132579" stopIfTrue="1" operator="lessThan">
      <formula>0.5</formula>
    </cfRule>
  </conditionalFormatting>
  <conditionalFormatting sqref="AL20">
    <cfRule type="cellIs" dxfId="11702" priority="132580" stopIfTrue="1" operator="greaterThanOrEqual">
      <formula>0.5</formula>
    </cfRule>
  </conditionalFormatting>
  <conditionalFormatting sqref="AL21">
    <cfRule type="cellIs" dxfId="11701" priority="132581" stopIfTrue="1" operator="equal">
      <formula>-1</formula>
    </cfRule>
  </conditionalFormatting>
  <conditionalFormatting sqref="AL21">
    <cfRule type="cellIs" dxfId="11700" priority="132582" stopIfTrue="1" operator="lessThan">
      <formula>0.5</formula>
    </cfRule>
  </conditionalFormatting>
  <conditionalFormatting sqref="AL21">
    <cfRule type="cellIs" dxfId="11699" priority="132583" stopIfTrue="1" operator="greaterThanOrEqual">
      <formula>0.5</formula>
    </cfRule>
  </conditionalFormatting>
  <conditionalFormatting sqref="AL22">
    <cfRule type="cellIs" dxfId="11698" priority="132584" stopIfTrue="1" operator="equal">
      <formula>-1</formula>
    </cfRule>
  </conditionalFormatting>
  <conditionalFormatting sqref="AL22">
    <cfRule type="cellIs" dxfId="11697" priority="132585" stopIfTrue="1" operator="lessThan">
      <formula>0.5</formula>
    </cfRule>
  </conditionalFormatting>
  <conditionalFormatting sqref="AL22">
    <cfRule type="cellIs" dxfId="11696" priority="132586" stopIfTrue="1" operator="greaterThanOrEqual">
      <formula>0.5</formula>
    </cfRule>
  </conditionalFormatting>
  <conditionalFormatting sqref="AL23">
    <cfRule type="cellIs" dxfId="11695" priority="132587" stopIfTrue="1" operator="equal">
      <formula>-1</formula>
    </cfRule>
  </conditionalFormatting>
  <conditionalFormatting sqref="AL23">
    <cfRule type="cellIs" dxfId="11694" priority="132588" stopIfTrue="1" operator="lessThan">
      <formula>0.5</formula>
    </cfRule>
  </conditionalFormatting>
  <conditionalFormatting sqref="AL23">
    <cfRule type="cellIs" dxfId="11693" priority="132589" stopIfTrue="1" operator="greaterThanOrEqual">
      <formula>0.5</formula>
    </cfRule>
  </conditionalFormatting>
  <conditionalFormatting sqref="AL24">
    <cfRule type="cellIs" dxfId="11692" priority="132590" stopIfTrue="1" operator="equal">
      <formula>-1</formula>
    </cfRule>
  </conditionalFormatting>
  <conditionalFormatting sqref="AL24">
    <cfRule type="cellIs" dxfId="11691" priority="132591" stopIfTrue="1" operator="lessThan">
      <formula>0.5</formula>
    </cfRule>
  </conditionalFormatting>
  <conditionalFormatting sqref="AL24">
    <cfRule type="cellIs" dxfId="11690" priority="132592" stopIfTrue="1" operator="greaterThanOrEqual">
      <formula>0.5</formula>
    </cfRule>
  </conditionalFormatting>
  <conditionalFormatting sqref="AL25">
    <cfRule type="cellIs" dxfId="11689" priority="132593" stopIfTrue="1" operator="equal">
      <formula>-1</formula>
    </cfRule>
  </conditionalFormatting>
  <conditionalFormatting sqref="AL25">
    <cfRule type="cellIs" dxfId="11688" priority="132594" stopIfTrue="1" operator="lessThan">
      <formula>0.5</formula>
    </cfRule>
  </conditionalFormatting>
  <conditionalFormatting sqref="AL25">
    <cfRule type="cellIs" dxfId="11687" priority="132595" stopIfTrue="1" operator="greaterThanOrEqual">
      <formula>0.5</formula>
    </cfRule>
  </conditionalFormatting>
  <conditionalFormatting sqref="AL26">
    <cfRule type="cellIs" dxfId="11686" priority="132596" stopIfTrue="1" operator="equal">
      <formula>-1</formula>
    </cfRule>
  </conditionalFormatting>
  <conditionalFormatting sqref="AL26">
    <cfRule type="cellIs" dxfId="11685" priority="132597" stopIfTrue="1" operator="lessThan">
      <formula>0.5</formula>
    </cfRule>
  </conditionalFormatting>
  <conditionalFormatting sqref="AL26">
    <cfRule type="cellIs" dxfId="11684" priority="132598" stopIfTrue="1" operator="greaterThanOrEqual">
      <formula>0.5</formula>
    </cfRule>
  </conditionalFormatting>
  <conditionalFormatting sqref="AL27">
    <cfRule type="cellIs" dxfId="11683" priority="132599" stopIfTrue="1" operator="equal">
      <formula>-1</formula>
    </cfRule>
  </conditionalFormatting>
  <conditionalFormatting sqref="AL27">
    <cfRule type="cellIs" dxfId="11682" priority="132600" stopIfTrue="1" operator="lessThan">
      <formula>0.5</formula>
    </cfRule>
  </conditionalFormatting>
  <conditionalFormatting sqref="AL27">
    <cfRule type="cellIs" dxfId="11681" priority="132601" stopIfTrue="1" operator="greaterThanOrEqual">
      <formula>0.5</formula>
    </cfRule>
  </conditionalFormatting>
  <conditionalFormatting sqref="AL28">
    <cfRule type="cellIs" dxfId="11680" priority="132602" stopIfTrue="1" operator="equal">
      <formula>-1</formula>
    </cfRule>
  </conditionalFormatting>
  <conditionalFormatting sqref="AL28">
    <cfRule type="cellIs" dxfId="11679" priority="132603" stopIfTrue="1" operator="lessThan">
      <formula>0.5</formula>
    </cfRule>
  </conditionalFormatting>
  <conditionalFormatting sqref="AL28">
    <cfRule type="cellIs" dxfId="11678" priority="132604" stopIfTrue="1" operator="greaterThanOrEqual">
      <formula>0.5</formula>
    </cfRule>
  </conditionalFormatting>
  <conditionalFormatting sqref="AL29">
    <cfRule type="cellIs" dxfId="11677" priority="132605" stopIfTrue="1" operator="equal">
      <formula>-1</formula>
    </cfRule>
  </conditionalFormatting>
  <conditionalFormatting sqref="AL29">
    <cfRule type="cellIs" dxfId="11676" priority="132606" stopIfTrue="1" operator="lessThan">
      <formula>0.5</formula>
    </cfRule>
  </conditionalFormatting>
  <conditionalFormatting sqref="AL29">
    <cfRule type="cellIs" dxfId="11675" priority="132607" stopIfTrue="1" operator="greaterThanOrEqual">
      <formula>0.5</formula>
    </cfRule>
  </conditionalFormatting>
  <conditionalFormatting sqref="AL30">
    <cfRule type="cellIs" dxfId="11674" priority="132608" stopIfTrue="1" operator="equal">
      <formula>-1</formula>
    </cfRule>
  </conditionalFormatting>
  <conditionalFormatting sqref="AL30">
    <cfRule type="cellIs" dxfId="11673" priority="132609" stopIfTrue="1" operator="lessThan">
      <formula>0.5</formula>
    </cfRule>
  </conditionalFormatting>
  <conditionalFormatting sqref="AL30">
    <cfRule type="cellIs" dxfId="11672" priority="132610" stopIfTrue="1" operator="greaterThanOrEqual">
      <formula>0.5</formula>
    </cfRule>
  </conditionalFormatting>
  <conditionalFormatting sqref="AL31">
    <cfRule type="cellIs" dxfId="11671" priority="132611" stopIfTrue="1" operator="equal">
      <formula>-1</formula>
    </cfRule>
  </conditionalFormatting>
  <conditionalFormatting sqref="AL31">
    <cfRule type="cellIs" dxfId="11670" priority="132612" stopIfTrue="1" operator="lessThan">
      <formula>0.5</formula>
    </cfRule>
  </conditionalFormatting>
  <conditionalFormatting sqref="AL31">
    <cfRule type="cellIs" dxfId="11669" priority="132613" stopIfTrue="1" operator="greaterThanOrEqual">
      <formula>0.5</formula>
    </cfRule>
  </conditionalFormatting>
  <conditionalFormatting sqref="AL32">
    <cfRule type="cellIs" dxfId="11668" priority="132614" stopIfTrue="1" operator="equal">
      <formula>-1</formula>
    </cfRule>
  </conditionalFormatting>
  <conditionalFormatting sqref="AL32">
    <cfRule type="cellIs" dxfId="11667" priority="132615" stopIfTrue="1" operator="lessThan">
      <formula>0.5</formula>
    </cfRule>
  </conditionalFormatting>
  <conditionalFormatting sqref="AL32">
    <cfRule type="cellIs" dxfId="11666" priority="132616" stopIfTrue="1" operator="greaterThanOrEqual">
      <formula>0.5</formula>
    </cfRule>
  </conditionalFormatting>
  <conditionalFormatting sqref="AL33">
    <cfRule type="cellIs" dxfId="11665" priority="132617" stopIfTrue="1" operator="equal">
      <formula>-1</formula>
    </cfRule>
  </conditionalFormatting>
  <conditionalFormatting sqref="AL33">
    <cfRule type="cellIs" dxfId="11664" priority="132618" stopIfTrue="1" operator="lessThan">
      <formula>0.5</formula>
    </cfRule>
  </conditionalFormatting>
  <conditionalFormatting sqref="AL33">
    <cfRule type="cellIs" dxfId="11663" priority="132619" stopIfTrue="1" operator="greaterThanOrEqual">
      <formula>0.5</formula>
    </cfRule>
  </conditionalFormatting>
  <conditionalFormatting sqref="AL34">
    <cfRule type="cellIs" dxfId="11662" priority="132620" stopIfTrue="1" operator="equal">
      <formula>-1</formula>
    </cfRule>
  </conditionalFormatting>
  <conditionalFormatting sqref="AL34">
    <cfRule type="cellIs" dxfId="11661" priority="132621" stopIfTrue="1" operator="lessThan">
      <formula>0.5</formula>
    </cfRule>
  </conditionalFormatting>
  <conditionalFormatting sqref="AL34">
    <cfRule type="cellIs" dxfId="11660" priority="132622" stopIfTrue="1" operator="greaterThanOrEqual">
      <formula>0.5</formula>
    </cfRule>
  </conditionalFormatting>
  <conditionalFormatting sqref="AL35">
    <cfRule type="cellIs" dxfId="11659" priority="132623" stopIfTrue="1" operator="equal">
      <formula>-1</formula>
    </cfRule>
  </conditionalFormatting>
  <conditionalFormatting sqref="AL35">
    <cfRule type="cellIs" dxfId="11658" priority="132624" stopIfTrue="1" operator="lessThan">
      <formula>0.5</formula>
    </cfRule>
  </conditionalFormatting>
  <conditionalFormatting sqref="AL35">
    <cfRule type="cellIs" dxfId="11657" priority="132625" stopIfTrue="1" operator="greaterThanOrEqual">
      <formula>0.5</formula>
    </cfRule>
  </conditionalFormatting>
  <conditionalFormatting sqref="AL36">
    <cfRule type="cellIs" dxfId="11656" priority="132626" stopIfTrue="1" operator="equal">
      <formula>-1</formula>
    </cfRule>
  </conditionalFormatting>
  <conditionalFormatting sqref="AL36">
    <cfRule type="cellIs" dxfId="11655" priority="132627" stopIfTrue="1" operator="lessThan">
      <formula>0.5</formula>
    </cfRule>
  </conditionalFormatting>
  <conditionalFormatting sqref="AL36">
    <cfRule type="cellIs" dxfId="11654" priority="132628" stopIfTrue="1" operator="greaterThanOrEqual">
      <formula>0.5</formula>
    </cfRule>
  </conditionalFormatting>
  <conditionalFormatting sqref="AL37">
    <cfRule type="cellIs" dxfId="11653" priority="132629" stopIfTrue="1" operator="equal">
      <formula>-1</formula>
    </cfRule>
  </conditionalFormatting>
  <conditionalFormatting sqref="AL37">
    <cfRule type="cellIs" dxfId="11652" priority="132630" stopIfTrue="1" operator="lessThan">
      <formula>0.5</formula>
    </cfRule>
  </conditionalFormatting>
  <conditionalFormatting sqref="AL37">
    <cfRule type="cellIs" dxfId="11651" priority="132631" stopIfTrue="1" operator="greaterThanOrEqual">
      <formula>0.5</formula>
    </cfRule>
  </conditionalFormatting>
  <conditionalFormatting sqref="AN17">
    <cfRule type="cellIs" dxfId="11650" priority="132632" stopIfTrue="1" operator="equal">
      <formula>-1</formula>
    </cfRule>
  </conditionalFormatting>
  <conditionalFormatting sqref="AN17">
    <cfRule type="cellIs" dxfId="11649" priority="132633" stopIfTrue="1" operator="lessThan">
      <formula>0.5</formula>
    </cfRule>
  </conditionalFormatting>
  <conditionalFormatting sqref="AN17">
    <cfRule type="cellIs" dxfId="11648" priority="132634" stopIfTrue="1" operator="greaterThanOrEqual">
      <formula>0.5</formula>
    </cfRule>
  </conditionalFormatting>
  <conditionalFormatting sqref="AN18">
    <cfRule type="cellIs" dxfId="11647" priority="132635" stopIfTrue="1" operator="equal">
      <formula>-1</formula>
    </cfRule>
  </conditionalFormatting>
  <conditionalFormatting sqref="AN18">
    <cfRule type="cellIs" dxfId="11646" priority="132636" stopIfTrue="1" operator="lessThan">
      <formula>0.5</formula>
    </cfRule>
  </conditionalFormatting>
  <conditionalFormatting sqref="AN18">
    <cfRule type="cellIs" dxfId="11645" priority="132637" stopIfTrue="1" operator="greaterThanOrEqual">
      <formula>0.5</formula>
    </cfRule>
  </conditionalFormatting>
  <conditionalFormatting sqref="AN19">
    <cfRule type="cellIs" dxfId="11644" priority="132638" stopIfTrue="1" operator="equal">
      <formula>-1</formula>
    </cfRule>
  </conditionalFormatting>
  <conditionalFormatting sqref="AN19">
    <cfRule type="cellIs" dxfId="11643" priority="132639" stopIfTrue="1" operator="lessThan">
      <formula>0.5</formula>
    </cfRule>
  </conditionalFormatting>
  <conditionalFormatting sqref="AN19">
    <cfRule type="cellIs" dxfId="11642" priority="132640" stopIfTrue="1" operator="greaterThanOrEqual">
      <formula>0.5</formula>
    </cfRule>
  </conditionalFormatting>
  <conditionalFormatting sqref="AN20">
    <cfRule type="cellIs" dxfId="11641" priority="132641" stopIfTrue="1" operator="equal">
      <formula>-1</formula>
    </cfRule>
  </conditionalFormatting>
  <conditionalFormatting sqref="AN20">
    <cfRule type="cellIs" dxfId="11640" priority="132642" stopIfTrue="1" operator="lessThan">
      <formula>0.5</formula>
    </cfRule>
  </conditionalFormatting>
  <conditionalFormatting sqref="AN20">
    <cfRule type="cellIs" dxfId="11639" priority="132643" stopIfTrue="1" operator="greaterThanOrEqual">
      <formula>0.5</formula>
    </cfRule>
  </conditionalFormatting>
  <conditionalFormatting sqref="AN21">
    <cfRule type="cellIs" dxfId="11638" priority="132644" stopIfTrue="1" operator="equal">
      <formula>-1</formula>
    </cfRule>
  </conditionalFormatting>
  <conditionalFormatting sqref="AN21">
    <cfRule type="cellIs" dxfId="11637" priority="132645" stopIfTrue="1" operator="lessThan">
      <formula>0.5</formula>
    </cfRule>
  </conditionalFormatting>
  <conditionalFormatting sqref="AN21">
    <cfRule type="cellIs" dxfId="11636" priority="132646" stopIfTrue="1" operator="greaterThanOrEqual">
      <formula>0.5</formula>
    </cfRule>
  </conditionalFormatting>
  <conditionalFormatting sqref="AN22">
    <cfRule type="cellIs" dxfId="11635" priority="132647" stopIfTrue="1" operator="equal">
      <formula>-1</formula>
    </cfRule>
  </conditionalFormatting>
  <conditionalFormatting sqref="AN22">
    <cfRule type="cellIs" dxfId="11634" priority="132648" stopIfTrue="1" operator="lessThan">
      <formula>0.5</formula>
    </cfRule>
  </conditionalFormatting>
  <conditionalFormatting sqref="AN22">
    <cfRule type="cellIs" dxfId="11633" priority="132649" stopIfTrue="1" operator="greaterThanOrEqual">
      <formula>0.5</formula>
    </cfRule>
  </conditionalFormatting>
  <conditionalFormatting sqref="AN23">
    <cfRule type="cellIs" dxfId="11632" priority="132650" stopIfTrue="1" operator="equal">
      <formula>-1</formula>
    </cfRule>
  </conditionalFormatting>
  <conditionalFormatting sqref="AN23">
    <cfRule type="cellIs" dxfId="11631" priority="132651" stopIfTrue="1" operator="lessThan">
      <formula>0.5</formula>
    </cfRule>
  </conditionalFormatting>
  <conditionalFormatting sqref="AN23">
    <cfRule type="cellIs" dxfId="11630" priority="132652" stopIfTrue="1" operator="greaterThanOrEqual">
      <formula>0.5</formula>
    </cfRule>
  </conditionalFormatting>
  <conditionalFormatting sqref="AN24">
    <cfRule type="cellIs" dxfId="11629" priority="132653" stopIfTrue="1" operator="equal">
      <formula>-1</formula>
    </cfRule>
  </conditionalFormatting>
  <conditionalFormatting sqref="AN24">
    <cfRule type="cellIs" dxfId="11628" priority="132654" stopIfTrue="1" operator="lessThan">
      <formula>0.5</formula>
    </cfRule>
  </conditionalFormatting>
  <conditionalFormatting sqref="AN24">
    <cfRule type="cellIs" dxfId="11627" priority="132655" stopIfTrue="1" operator="greaterThanOrEqual">
      <formula>0.5</formula>
    </cfRule>
  </conditionalFormatting>
  <conditionalFormatting sqref="AN25">
    <cfRule type="cellIs" dxfId="11626" priority="132656" stopIfTrue="1" operator="equal">
      <formula>-1</formula>
    </cfRule>
  </conditionalFormatting>
  <conditionalFormatting sqref="AN25">
    <cfRule type="cellIs" dxfId="11625" priority="132657" stopIfTrue="1" operator="lessThan">
      <formula>0.5</formula>
    </cfRule>
  </conditionalFormatting>
  <conditionalFormatting sqref="AN25">
    <cfRule type="cellIs" dxfId="11624" priority="132658" stopIfTrue="1" operator="greaterThanOrEqual">
      <formula>0.5</formula>
    </cfRule>
  </conditionalFormatting>
  <conditionalFormatting sqref="AN26">
    <cfRule type="cellIs" dxfId="11623" priority="132659" stopIfTrue="1" operator="equal">
      <formula>-1</formula>
    </cfRule>
  </conditionalFormatting>
  <conditionalFormatting sqref="AN26">
    <cfRule type="cellIs" dxfId="11622" priority="132660" stopIfTrue="1" operator="lessThan">
      <formula>0.5</formula>
    </cfRule>
  </conditionalFormatting>
  <conditionalFormatting sqref="AN26">
    <cfRule type="cellIs" dxfId="11621" priority="132661" stopIfTrue="1" operator="greaterThanOrEqual">
      <formula>0.5</formula>
    </cfRule>
  </conditionalFormatting>
  <conditionalFormatting sqref="AN27">
    <cfRule type="cellIs" dxfId="11620" priority="132662" stopIfTrue="1" operator="equal">
      <formula>-1</formula>
    </cfRule>
  </conditionalFormatting>
  <conditionalFormatting sqref="AN27">
    <cfRule type="cellIs" dxfId="11619" priority="132663" stopIfTrue="1" operator="lessThan">
      <formula>0.5</formula>
    </cfRule>
  </conditionalFormatting>
  <conditionalFormatting sqref="AN27">
    <cfRule type="cellIs" dxfId="11618" priority="132664" stopIfTrue="1" operator="greaterThanOrEqual">
      <formula>0.5</formula>
    </cfRule>
  </conditionalFormatting>
  <conditionalFormatting sqref="AN28">
    <cfRule type="cellIs" dxfId="11617" priority="132665" stopIfTrue="1" operator="equal">
      <formula>-1</formula>
    </cfRule>
  </conditionalFormatting>
  <conditionalFormatting sqref="AN28">
    <cfRule type="cellIs" dxfId="11616" priority="132666" stopIfTrue="1" operator="lessThan">
      <formula>0.5</formula>
    </cfRule>
  </conditionalFormatting>
  <conditionalFormatting sqref="AN28">
    <cfRule type="cellIs" dxfId="11615" priority="132667" stopIfTrue="1" operator="greaterThanOrEqual">
      <formula>0.5</formula>
    </cfRule>
  </conditionalFormatting>
  <conditionalFormatting sqref="AN29">
    <cfRule type="cellIs" dxfId="11614" priority="132668" stopIfTrue="1" operator="equal">
      <formula>-1</formula>
    </cfRule>
  </conditionalFormatting>
  <conditionalFormatting sqref="AN29">
    <cfRule type="cellIs" dxfId="11613" priority="132669" stopIfTrue="1" operator="lessThan">
      <formula>0.5</formula>
    </cfRule>
  </conditionalFormatting>
  <conditionalFormatting sqref="AN29">
    <cfRule type="cellIs" dxfId="11612" priority="132670" stopIfTrue="1" operator="greaterThanOrEqual">
      <formula>0.5</formula>
    </cfRule>
  </conditionalFormatting>
  <conditionalFormatting sqref="AN30">
    <cfRule type="cellIs" dxfId="11611" priority="132671" stopIfTrue="1" operator="equal">
      <formula>-1</formula>
    </cfRule>
  </conditionalFormatting>
  <conditionalFormatting sqref="AN30">
    <cfRule type="cellIs" dxfId="11610" priority="132672" stopIfTrue="1" operator="lessThan">
      <formula>0.5</formula>
    </cfRule>
  </conditionalFormatting>
  <conditionalFormatting sqref="AN30">
    <cfRule type="cellIs" dxfId="11609" priority="132673" stopIfTrue="1" operator="greaterThanOrEqual">
      <formula>0.5</formula>
    </cfRule>
  </conditionalFormatting>
  <conditionalFormatting sqref="AN31">
    <cfRule type="cellIs" dxfId="11608" priority="132674" stopIfTrue="1" operator="equal">
      <formula>-1</formula>
    </cfRule>
  </conditionalFormatting>
  <conditionalFormatting sqref="AN31">
    <cfRule type="cellIs" dxfId="11607" priority="132675" stopIfTrue="1" operator="lessThan">
      <formula>0.5</formula>
    </cfRule>
  </conditionalFormatting>
  <conditionalFormatting sqref="AN31">
    <cfRule type="cellIs" dxfId="11606" priority="132676" stopIfTrue="1" operator="greaterThanOrEqual">
      <formula>0.5</formula>
    </cfRule>
  </conditionalFormatting>
  <conditionalFormatting sqref="AN32">
    <cfRule type="cellIs" dxfId="11605" priority="132677" stopIfTrue="1" operator="equal">
      <formula>-1</formula>
    </cfRule>
  </conditionalFormatting>
  <conditionalFormatting sqref="AN32">
    <cfRule type="cellIs" dxfId="11604" priority="132678" stopIfTrue="1" operator="lessThan">
      <formula>0.5</formula>
    </cfRule>
  </conditionalFormatting>
  <conditionalFormatting sqref="AN32">
    <cfRule type="cellIs" dxfId="11603" priority="132679" stopIfTrue="1" operator="greaterThanOrEqual">
      <formula>0.5</formula>
    </cfRule>
  </conditionalFormatting>
  <conditionalFormatting sqref="AN33">
    <cfRule type="cellIs" dxfId="11602" priority="132680" stopIfTrue="1" operator="equal">
      <formula>-1</formula>
    </cfRule>
  </conditionalFormatting>
  <conditionalFormatting sqref="AN33">
    <cfRule type="cellIs" dxfId="11601" priority="132681" stopIfTrue="1" operator="lessThan">
      <formula>0.5</formula>
    </cfRule>
  </conditionalFormatting>
  <conditionalFormatting sqref="AN33">
    <cfRule type="cellIs" dxfId="11600" priority="132682" stopIfTrue="1" operator="greaterThanOrEqual">
      <formula>0.5</formula>
    </cfRule>
  </conditionalFormatting>
  <conditionalFormatting sqref="AN34">
    <cfRule type="cellIs" dxfId="11599" priority="132683" stopIfTrue="1" operator="equal">
      <formula>-1</formula>
    </cfRule>
  </conditionalFormatting>
  <conditionalFormatting sqref="AN34">
    <cfRule type="cellIs" dxfId="11598" priority="132684" stopIfTrue="1" operator="lessThan">
      <formula>0.5</formula>
    </cfRule>
  </conditionalFormatting>
  <conditionalFormatting sqref="AN34">
    <cfRule type="cellIs" dxfId="11597" priority="132685" stopIfTrue="1" operator="greaterThanOrEqual">
      <formula>0.5</formula>
    </cfRule>
  </conditionalFormatting>
  <conditionalFormatting sqref="AN35">
    <cfRule type="cellIs" dxfId="11596" priority="132686" stopIfTrue="1" operator="equal">
      <formula>-1</formula>
    </cfRule>
  </conditionalFormatting>
  <conditionalFormatting sqref="AN35">
    <cfRule type="cellIs" dxfId="11595" priority="132687" stopIfTrue="1" operator="lessThan">
      <formula>0.5</formula>
    </cfRule>
  </conditionalFormatting>
  <conditionalFormatting sqref="AN35">
    <cfRule type="cellIs" dxfId="11594" priority="132688" stopIfTrue="1" operator="greaterThanOrEqual">
      <formula>0.5</formula>
    </cfRule>
  </conditionalFormatting>
  <conditionalFormatting sqref="AN36">
    <cfRule type="cellIs" dxfId="11593" priority="132689" stopIfTrue="1" operator="equal">
      <formula>-1</formula>
    </cfRule>
  </conditionalFormatting>
  <conditionalFormatting sqref="AN36">
    <cfRule type="cellIs" dxfId="11592" priority="132690" stopIfTrue="1" operator="lessThan">
      <formula>0.5</formula>
    </cfRule>
  </conditionalFormatting>
  <conditionalFormatting sqref="AN36">
    <cfRule type="cellIs" dxfId="11591" priority="132691" stopIfTrue="1" operator="greaterThanOrEqual">
      <formula>0.5</formula>
    </cfRule>
  </conditionalFormatting>
  <conditionalFormatting sqref="AN37">
    <cfRule type="cellIs" dxfId="11590" priority="132692" stopIfTrue="1" operator="equal">
      <formula>-1</formula>
    </cfRule>
  </conditionalFormatting>
  <conditionalFormatting sqref="AN37">
    <cfRule type="cellIs" dxfId="11589" priority="132693" stopIfTrue="1" operator="lessThan">
      <formula>0.5</formula>
    </cfRule>
  </conditionalFormatting>
  <conditionalFormatting sqref="AN37">
    <cfRule type="cellIs" dxfId="11588" priority="132694" stopIfTrue="1" operator="greaterThanOrEqual">
      <formula>0.5</formula>
    </cfRule>
  </conditionalFormatting>
  <conditionalFormatting sqref="AP17">
    <cfRule type="cellIs" dxfId="11587" priority="132695" stopIfTrue="1" operator="equal">
      <formula>-1</formula>
    </cfRule>
  </conditionalFormatting>
  <conditionalFormatting sqref="AP17">
    <cfRule type="cellIs" dxfId="11586" priority="132696" stopIfTrue="1" operator="lessThan">
      <formula>0.5</formula>
    </cfRule>
  </conditionalFormatting>
  <conditionalFormatting sqref="AP17">
    <cfRule type="cellIs" dxfId="11585" priority="132697" stopIfTrue="1" operator="greaterThanOrEqual">
      <formula>0.5</formula>
    </cfRule>
  </conditionalFormatting>
  <conditionalFormatting sqref="AP18">
    <cfRule type="cellIs" dxfId="11584" priority="132698" stopIfTrue="1" operator="equal">
      <formula>-1</formula>
    </cfRule>
  </conditionalFormatting>
  <conditionalFormatting sqref="AP18">
    <cfRule type="cellIs" dxfId="11583" priority="132699" stopIfTrue="1" operator="lessThan">
      <formula>0.5</formula>
    </cfRule>
  </conditionalFormatting>
  <conditionalFormatting sqref="AP18">
    <cfRule type="cellIs" dxfId="11582" priority="132700" stopIfTrue="1" operator="greaterThanOrEqual">
      <formula>0.5</formula>
    </cfRule>
  </conditionalFormatting>
  <conditionalFormatting sqref="AP19">
    <cfRule type="cellIs" dxfId="11581" priority="132701" stopIfTrue="1" operator="equal">
      <formula>-1</formula>
    </cfRule>
  </conditionalFormatting>
  <conditionalFormatting sqref="AP19">
    <cfRule type="cellIs" dxfId="11580" priority="132702" stopIfTrue="1" operator="lessThan">
      <formula>0.5</formula>
    </cfRule>
  </conditionalFormatting>
  <conditionalFormatting sqref="AP19">
    <cfRule type="cellIs" dxfId="11579" priority="132703" stopIfTrue="1" operator="greaterThanOrEqual">
      <formula>0.5</formula>
    </cfRule>
  </conditionalFormatting>
  <conditionalFormatting sqref="AP20">
    <cfRule type="cellIs" dxfId="11578" priority="132704" stopIfTrue="1" operator="equal">
      <formula>-1</formula>
    </cfRule>
  </conditionalFormatting>
  <conditionalFormatting sqref="AP20">
    <cfRule type="cellIs" dxfId="11577" priority="132705" stopIfTrue="1" operator="lessThan">
      <formula>0.5</formula>
    </cfRule>
  </conditionalFormatting>
  <conditionalFormatting sqref="AP20">
    <cfRule type="cellIs" dxfId="11576" priority="132706" stopIfTrue="1" operator="greaterThanOrEqual">
      <formula>0.5</formula>
    </cfRule>
  </conditionalFormatting>
  <conditionalFormatting sqref="AP21">
    <cfRule type="cellIs" dxfId="11575" priority="132707" stopIfTrue="1" operator="equal">
      <formula>-1</formula>
    </cfRule>
  </conditionalFormatting>
  <conditionalFormatting sqref="AP21">
    <cfRule type="cellIs" dxfId="11574" priority="132708" stopIfTrue="1" operator="lessThan">
      <formula>0.5</formula>
    </cfRule>
  </conditionalFormatting>
  <conditionalFormatting sqref="AP21">
    <cfRule type="cellIs" dxfId="11573" priority="132709" stopIfTrue="1" operator="greaterThanOrEqual">
      <formula>0.5</formula>
    </cfRule>
  </conditionalFormatting>
  <conditionalFormatting sqref="AP22">
    <cfRule type="cellIs" dxfId="11572" priority="132710" stopIfTrue="1" operator="equal">
      <formula>-1</formula>
    </cfRule>
  </conditionalFormatting>
  <conditionalFormatting sqref="AP22">
    <cfRule type="cellIs" dxfId="11571" priority="132711" stopIfTrue="1" operator="lessThan">
      <formula>0.5</formula>
    </cfRule>
  </conditionalFormatting>
  <conditionalFormatting sqref="AP22">
    <cfRule type="cellIs" dxfId="11570" priority="132712" stopIfTrue="1" operator="greaterThanOrEqual">
      <formula>0.5</formula>
    </cfRule>
  </conditionalFormatting>
  <conditionalFormatting sqref="AP23">
    <cfRule type="cellIs" dxfId="11569" priority="132713" stopIfTrue="1" operator="equal">
      <formula>-1</formula>
    </cfRule>
  </conditionalFormatting>
  <conditionalFormatting sqref="AP23">
    <cfRule type="cellIs" dxfId="11568" priority="132714" stopIfTrue="1" operator="lessThan">
      <formula>0.5</formula>
    </cfRule>
  </conditionalFormatting>
  <conditionalFormatting sqref="AP23">
    <cfRule type="cellIs" dxfId="11567" priority="132715" stopIfTrue="1" operator="greaterThanOrEqual">
      <formula>0.5</formula>
    </cfRule>
  </conditionalFormatting>
  <conditionalFormatting sqref="AP24">
    <cfRule type="cellIs" dxfId="11566" priority="132716" stopIfTrue="1" operator="equal">
      <formula>-1</formula>
    </cfRule>
  </conditionalFormatting>
  <conditionalFormatting sqref="AP24">
    <cfRule type="cellIs" dxfId="11565" priority="132717" stopIfTrue="1" operator="lessThan">
      <formula>0.5</formula>
    </cfRule>
  </conditionalFormatting>
  <conditionalFormatting sqref="AP24">
    <cfRule type="cellIs" dxfId="11564" priority="132718" stopIfTrue="1" operator="greaterThanOrEqual">
      <formula>0.5</formula>
    </cfRule>
  </conditionalFormatting>
  <conditionalFormatting sqref="AP25">
    <cfRule type="cellIs" dxfId="11563" priority="132719" stopIfTrue="1" operator="equal">
      <formula>-1</formula>
    </cfRule>
  </conditionalFormatting>
  <conditionalFormatting sqref="AP25">
    <cfRule type="cellIs" dxfId="11562" priority="132720" stopIfTrue="1" operator="lessThan">
      <formula>0.5</formula>
    </cfRule>
  </conditionalFormatting>
  <conditionalFormatting sqref="AP25">
    <cfRule type="cellIs" dxfId="11561" priority="132721" stopIfTrue="1" operator="greaterThanOrEqual">
      <formula>0.5</formula>
    </cfRule>
  </conditionalFormatting>
  <conditionalFormatting sqref="AP26">
    <cfRule type="cellIs" dxfId="11560" priority="132722" stopIfTrue="1" operator="equal">
      <formula>-1</formula>
    </cfRule>
  </conditionalFormatting>
  <conditionalFormatting sqref="AP26">
    <cfRule type="cellIs" dxfId="11559" priority="132723" stopIfTrue="1" operator="lessThan">
      <formula>0.5</formula>
    </cfRule>
  </conditionalFormatting>
  <conditionalFormatting sqref="AP26">
    <cfRule type="cellIs" dxfId="11558" priority="132724" stopIfTrue="1" operator="greaterThanOrEqual">
      <formula>0.5</formula>
    </cfRule>
  </conditionalFormatting>
  <conditionalFormatting sqref="AP27">
    <cfRule type="cellIs" dxfId="11557" priority="132725" stopIfTrue="1" operator="equal">
      <formula>-1</formula>
    </cfRule>
  </conditionalFormatting>
  <conditionalFormatting sqref="AP27">
    <cfRule type="cellIs" dxfId="11556" priority="132726" stopIfTrue="1" operator="lessThan">
      <formula>0.5</formula>
    </cfRule>
  </conditionalFormatting>
  <conditionalFormatting sqref="AP27">
    <cfRule type="cellIs" dxfId="11555" priority="132727" stopIfTrue="1" operator="greaterThanOrEqual">
      <formula>0.5</formula>
    </cfRule>
  </conditionalFormatting>
  <conditionalFormatting sqref="AP28">
    <cfRule type="cellIs" dxfId="11554" priority="132728" stopIfTrue="1" operator="equal">
      <formula>-1</formula>
    </cfRule>
  </conditionalFormatting>
  <conditionalFormatting sqref="AP28">
    <cfRule type="cellIs" dxfId="11553" priority="132729" stopIfTrue="1" operator="lessThan">
      <formula>0.5</formula>
    </cfRule>
  </conditionalFormatting>
  <conditionalFormatting sqref="AP28">
    <cfRule type="cellIs" dxfId="11552" priority="132730" stopIfTrue="1" operator="greaterThanOrEqual">
      <formula>0.5</formula>
    </cfRule>
  </conditionalFormatting>
  <conditionalFormatting sqref="AP29">
    <cfRule type="cellIs" dxfId="11551" priority="132731" stopIfTrue="1" operator="equal">
      <formula>-1</formula>
    </cfRule>
  </conditionalFormatting>
  <conditionalFormatting sqref="AP29">
    <cfRule type="cellIs" dxfId="11550" priority="132732" stopIfTrue="1" operator="lessThan">
      <formula>0.5</formula>
    </cfRule>
  </conditionalFormatting>
  <conditionalFormatting sqref="AP29">
    <cfRule type="cellIs" dxfId="11549" priority="132733" stopIfTrue="1" operator="greaterThanOrEqual">
      <formula>0.5</formula>
    </cfRule>
  </conditionalFormatting>
  <conditionalFormatting sqref="AP30">
    <cfRule type="cellIs" dxfId="11548" priority="132734" stopIfTrue="1" operator="equal">
      <formula>-1</formula>
    </cfRule>
  </conditionalFormatting>
  <conditionalFormatting sqref="AP30">
    <cfRule type="cellIs" dxfId="11547" priority="132735" stopIfTrue="1" operator="lessThan">
      <formula>0.5</formula>
    </cfRule>
  </conditionalFormatting>
  <conditionalFormatting sqref="AP30">
    <cfRule type="cellIs" dxfId="11546" priority="132736" stopIfTrue="1" operator="greaterThanOrEqual">
      <formula>0.5</formula>
    </cfRule>
  </conditionalFormatting>
  <conditionalFormatting sqref="AP31">
    <cfRule type="cellIs" dxfId="11545" priority="132737" stopIfTrue="1" operator="equal">
      <formula>-1</formula>
    </cfRule>
  </conditionalFormatting>
  <conditionalFormatting sqref="AP31">
    <cfRule type="cellIs" dxfId="11544" priority="132738" stopIfTrue="1" operator="lessThan">
      <formula>0.5</formula>
    </cfRule>
  </conditionalFormatting>
  <conditionalFormatting sqref="AP31">
    <cfRule type="cellIs" dxfId="11543" priority="132739" stopIfTrue="1" operator="greaterThanOrEqual">
      <formula>0.5</formula>
    </cfRule>
  </conditionalFormatting>
  <conditionalFormatting sqref="AP32">
    <cfRule type="cellIs" dxfId="11542" priority="132740" stopIfTrue="1" operator="equal">
      <formula>-1</formula>
    </cfRule>
  </conditionalFormatting>
  <conditionalFormatting sqref="AP32">
    <cfRule type="cellIs" dxfId="11541" priority="132741" stopIfTrue="1" operator="lessThan">
      <formula>0.5</formula>
    </cfRule>
  </conditionalFormatting>
  <conditionalFormatting sqref="AP32">
    <cfRule type="cellIs" dxfId="11540" priority="132742" stopIfTrue="1" operator="greaterThanOrEqual">
      <formula>0.5</formula>
    </cfRule>
  </conditionalFormatting>
  <conditionalFormatting sqref="AP33">
    <cfRule type="cellIs" dxfId="11539" priority="132743" stopIfTrue="1" operator="equal">
      <formula>-1</formula>
    </cfRule>
  </conditionalFormatting>
  <conditionalFormatting sqref="AP33">
    <cfRule type="cellIs" dxfId="11538" priority="132744" stopIfTrue="1" operator="lessThan">
      <formula>0.5</formula>
    </cfRule>
  </conditionalFormatting>
  <conditionalFormatting sqref="AP33">
    <cfRule type="cellIs" dxfId="11537" priority="132745" stopIfTrue="1" operator="greaterThanOrEqual">
      <formula>0.5</formula>
    </cfRule>
  </conditionalFormatting>
  <conditionalFormatting sqref="AP34">
    <cfRule type="cellIs" dxfId="11536" priority="132746" stopIfTrue="1" operator="equal">
      <formula>-1</formula>
    </cfRule>
  </conditionalFormatting>
  <conditionalFormatting sqref="AP34">
    <cfRule type="cellIs" dxfId="11535" priority="132747" stopIfTrue="1" operator="lessThan">
      <formula>0.5</formula>
    </cfRule>
  </conditionalFormatting>
  <conditionalFormatting sqref="AP34">
    <cfRule type="cellIs" dxfId="11534" priority="132748" stopIfTrue="1" operator="greaterThanOrEqual">
      <formula>0.5</formula>
    </cfRule>
  </conditionalFormatting>
  <conditionalFormatting sqref="AP35">
    <cfRule type="cellIs" dxfId="11533" priority="132749" stopIfTrue="1" operator="equal">
      <formula>-1</formula>
    </cfRule>
  </conditionalFormatting>
  <conditionalFormatting sqref="AP35">
    <cfRule type="cellIs" dxfId="11532" priority="132750" stopIfTrue="1" operator="lessThan">
      <formula>0.5</formula>
    </cfRule>
  </conditionalFormatting>
  <conditionalFormatting sqref="AP35">
    <cfRule type="cellIs" dxfId="11531" priority="132751" stopIfTrue="1" operator="greaterThanOrEqual">
      <formula>0.5</formula>
    </cfRule>
  </conditionalFormatting>
  <conditionalFormatting sqref="AP36">
    <cfRule type="cellIs" dxfId="11530" priority="132752" stopIfTrue="1" operator="equal">
      <formula>-1</formula>
    </cfRule>
  </conditionalFormatting>
  <conditionalFormatting sqref="AP36">
    <cfRule type="cellIs" dxfId="11529" priority="132753" stopIfTrue="1" operator="lessThan">
      <formula>0.5</formula>
    </cfRule>
  </conditionalFormatting>
  <conditionalFormatting sqref="AP36">
    <cfRule type="cellIs" dxfId="11528" priority="132754" stopIfTrue="1" operator="greaterThanOrEqual">
      <formula>0.5</formula>
    </cfRule>
  </conditionalFormatting>
  <conditionalFormatting sqref="AP37">
    <cfRule type="cellIs" dxfId="11527" priority="132755" stopIfTrue="1" operator="equal">
      <formula>-1</formula>
    </cfRule>
  </conditionalFormatting>
  <conditionalFormatting sqref="AP37">
    <cfRule type="cellIs" dxfId="11526" priority="132756" stopIfTrue="1" operator="lessThan">
      <formula>0.5</formula>
    </cfRule>
  </conditionalFormatting>
  <conditionalFormatting sqref="AP37">
    <cfRule type="cellIs" dxfId="11525" priority="132757" stopIfTrue="1" operator="greaterThanOrEqual">
      <formula>0.5</formula>
    </cfRule>
  </conditionalFormatting>
  <conditionalFormatting sqref="AR17">
    <cfRule type="cellIs" dxfId="11524" priority="132758" stopIfTrue="1" operator="equal">
      <formula>-1</formula>
    </cfRule>
  </conditionalFormatting>
  <conditionalFormatting sqref="AR17">
    <cfRule type="cellIs" dxfId="11523" priority="132759" stopIfTrue="1" operator="lessThan">
      <formula>0.5</formula>
    </cfRule>
  </conditionalFormatting>
  <conditionalFormatting sqref="AR17">
    <cfRule type="cellIs" dxfId="11522" priority="132760" stopIfTrue="1" operator="greaterThanOrEqual">
      <formula>0.5</formula>
    </cfRule>
  </conditionalFormatting>
  <conditionalFormatting sqref="AR18">
    <cfRule type="cellIs" dxfId="11521" priority="132761" stopIfTrue="1" operator="equal">
      <formula>-1</formula>
    </cfRule>
  </conditionalFormatting>
  <conditionalFormatting sqref="AR18">
    <cfRule type="cellIs" dxfId="11520" priority="132762" stopIfTrue="1" operator="lessThan">
      <formula>0.5</formula>
    </cfRule>
  </conditionalFormatting>
  <conditionalFormatting sqref="AR18">
    <cfRule type="cellIs" dxfId="11519" priority="132763" stopIfTrue="1" operator="greaterThanOrEqual">
      <formula>0.5</formula>
    </cfRule>
  </conditionalFormatting>
  <conditionalFormatting sqref="AR19">
    <cfRule type="cellIs" dxfId="11518" priority="132764" stopIfTrue="1" operator="equal">
      <formula>-1</formula>
    </cfRule>
  </conditionalFormatting>
  <conditionalFormatting sqref="AR19">
    <cfRule type="cellIs" dxfId="11517" priority="132765" stopIfTrue="1" operator="lessThan">
      <formula>0.5</formula>
    </cfRule>
  </conditionalFormatting>
  <conditionalFormatting sqref="AR19">
    <cfRule type="cellIs" dxfId="11516" priority="132766" stopIfTrue="1" operator="greaterThanOrEqual">
      <formula>0.5</formula>
    </cfRule>
  </conditionalFormatting>
  <conditionalFormatting sqref="AR20">
    <cfRule type="cellIs" dxfId="11515" priority="132767" stopIfTrue="1" operator="equal">
      <formula>-1</formula>
    </cfRule>
  </conditionalFormatting>
  <conditionalFormatting sqref="AR20">
    <cfRule type="cellIs" dxfId="11514" priority="132768" stopIfTrue="1" operator="lessThan">
      <formula>0.5</formula>
    </cfRule>
  </conditionalFormatting>
  <conditionalFormatting sqref="AR20">
    <cfRule type="cellIs" dxfId="11513" priority="132769" stopIfTrue="1" operator="greaterThanOrEqual">
      <formula>0.5</formula>
    </cfRule>
  </conditionalFormatting>
  <conditionalFormatting sqref="AR21">
    <cfRule type="cellIs" dxfId="11512" priority="132770" stopIfTrue="1" operator="equal">
      <formula>-1</formula>
    </cfRule>
  </conditionalFormatting>
  <conditionalFormatting sqref="AR21">
    <cfRule type="cellIs" dxfId="11511" priority="132771" stopIfTrue="1" operator="lessThan">
      <formula>0.5</formula>
    </cfRule>
  </conditionalFormatting>
  <conditionalFormatting sqref="AR21">
    <cfRule type="cellIs" dxfId="11510" priority="132772" stopIfTrue="1" operator="greaterThanOrEqual">
      <formula>0.5</formula>
    </cfRule>
  </conditionalFormatting>
  <conditionalFormatting sqref="AR22">
    <cfRule type="cellIs" dxfId="11509" priority="132773" stopIfTrue="1" operator="equal">
      <formula>-1</formula>
    </cfRule>
  </conditionalFormatting>
  <conditionalFormatting sqref="AR22">
    <cfRule type="cellIs" dxfId="11508" priority="132774" stopIfTrue="1" operator="lessThan">
      <formula>0.5</formula>
    </cfRule>
  </conditionalFormatting>
  <conditionalFormatting sqref="AR22">
    <cfRule type="cellIs" dxfId="11507" priority="132775" stopIfTrue="1" operator="greaterThanOrEqual">
      <formula>0.5</formula>
    </cfRule>
  </conditionalFormatting>
  <conditionalFormatting sqref="AR23">
    <cfRule type="cellIs" dxfId="11506" priority="132776" stopIfTrue="1" operator="equal">
      <formula>-1</formula>
    </cfRule>
  </conditionalFormatting>
  <conditionalFormatting sqref="AR23">
    <cfRule type="cellIs" dxfId="11505" priority="132777" stopIfTrue="1" operator="lessThan">
      <formula>0.5</formula>
    </cfRule>
  </conditionalFormatting>
  <conditionalFormatting sqref="AR23">
    <cfRule type="cellIs" dxfId="11504" priority="132778" stopIfTrue="1" operator="greaterThanOrEqual">
      <formula>0.5</formula>
    </cfRule>
  </conditionalFormatting>
  <conditionalFormatting sqref="AR24">
    <cfRule type="cellIs" dxfId="11503" priority="132779" stopIfTrue="1" operator="equal">
      <formula>-1</formula>
    </cfRule>
  </conditionalFormatting>
  <conditionalFormatting sqref="AR24">
    <cfRule type="cellIs" dxfId="11502" priority="132780" stopIfTrue="1" operator="lessThan">
      <formula>0.5</formula>
    </cfRule>
  </conditionalFormatting>
  <conditionalFormatting sqref="AR24">
    <cfRule type="cellIs" dxfId="11501" priority="132781" stopIfTrue="1" operator="greaterThanOrEqual">
      <formula>0.5</formula>
    </cfRule>
  </conditionalFormatting>
  <conditionalFormatting sqref="AR25">
    <cfRule type="cellIs" dxfId="11500" priority="132782" stopIfTrue="1" operator="equal">
      <formula>-1</formula>
    </cfRule>
  </conditionalFormatting>
  <conditionalFormatting sqref="AR25">
    <cfRule type="cellIs" dxfId="11499" priority="132783" stopIfTrue="1" operator="lessThan">
      <formula>0.5</formula>
    </cfRule>
  </conditionalFormatting>
  <conditionalFormatting sqref="AR25">
    <cfRule type="cellIs" dxfId="11498" priority="132784" stopIfTrue="1" operator="greaterThanOrEqual">
      <formula>0.5</formula>
    </cfRule>
  </conditionalFormatting>
  <conditionalFormatting sqref="AR26">
    <cfRule type="cellIs" dxfId="11497" priority="132785" stopIfTrue="1" operator="equal">
      <formula>-1</formula>
    </cfRule>
  </conditionalFormatting>
  <conditionalFormatting sqref="AR26">
    <cfRule type="cellIs" dxfId="11496" priority="132786" stopIfTrue="1" operator="lessThan">
      <formula>0.5</formula>
    </cfRule>
  </conditionalFormatting>
  <conditionalFormatting sqref="AR26">
    <cfRule type="cellIs" dxfId="11495" priority="132787" stopIfTrue="1" operator="greaterThanOrEqual">
      <formula>0.5</formula>
    </cfRule>
  </conditionalFormatting>
  <conditionalFormatting sqref="AR27">
    <cfRule type="cellIs" dxfId="11494" priority="132788" stopIfTrue="1" operator="equal">
      <formula>-1</formula>
    </cfRule>
  </conditionalFormatting>
  <conditionalFormatting sqref="AR27">
    <cfRule type="cellIs" dxfId="11493" priority="132789" stopIfTrue="1" operator="lessThan">
      <formula>0.5</formula>
    </cfRule>
  </conditionalFormatting>
  <conditionalFormatting sqref="AR27">
    <cfRule type="cellIs" dxfId="11492" priority="132790" stopIfTrue="1" operator="greaterThanOrEqual">
      <formula>0.5</formula>
    </cfRule>
  </conditionalFormatting>
  <conditionalFormatting sqref="AR28">
    <cfRule type="cellIs" dxfId="11491" priority="132791" stopIfTrue="1" operator="equal">
      <formula>-1</formula>
    </cfRule>
  </conditionalFormatting>
  <conditionalFormatting sqref="AR28">
    <cfRule type="cellIs" dxfId="11490" priority="132792" stopIfTrue="1" operator="lessThan">
      <formula>0.5</formula>
    </cfRule>
  </conditionalFormatting>
  <conditionalFormatting sqref="AR28">
    <cfRule type="cellIs" dxfId="11489" priority="132793" stopIfTrue="1" operator="greaterThanOrEqual">
      <formula>0.5</formula>
    </cfRule>
  </conditionalFormatting>
  <conditionalFormatting sqref="AR29">
    <cfRule type="cellIs" dxfId="11488" priority="132794" stopIfTrue="1" operator="equal">
      <formula>-1</formula>
    </cfRule>
  </conditionalFormatting>
  <conditionalFormatting sqref="AR29">
    <cfRule type="cellIs" dxfId="11487" priority="132795" stopIfTrue="1" operator="lessThan">
      <formula>0.5</formula>
    </cfRule>
  </conditionalFormatting>
  <conditionalFormatting sqref="AR29">
    <cfRule type="cellIs" dxfId="11486" priority="132796" stopIfTrue="1" operator="greaterThanOrEqual">
      <formula>0.5</formula>
    </cfRule>
  </conditionalFormatting>
  <conditionalFormatting sqref="AR30">
    <cfRule type="cellIs" dxfId="11485" priority="132797" stopIfTrue="1" operator="equal">
      <formula>-1</formula>
    </cfRule>
  </conditionalFormatting>
  <conditionalFormatting sqref="AR30">
    <cfRule type="cellIs" dxfId="11484" priority="132798" stopIfTrue="1" operator="lessThan">
      <formula>0.5</formula>
    </cfRule>
  </conditionalFormatting>
  <conditionalFormatting sqref="AR30">
    <cfRule type="cellIs" dxfId="11483" priority="132799" stopIfTrue="1" operator="greaterThanOrEqual">
      <formula>0.5</formula>
    </cfRule>
  </conditionalFormatting>
  <conditionalFormatting sqref="AR31">
    <cfRule type="cellIs" dxfId="11482" priority="132800" stopIfTrue="1" operator="equal">
      <formula>-1</formula>
    </cfRule>
  </conditionalFormatting>
  <conditionalFormatting sqref="AR31">
    <cfRule type="cellIs" dxfId="11481" priority="132801" stopIfTrue="1" operator="lessThan">
      <formula>0.5</formula>
    </cfRule>
  </conditionalFormatting>
  <conditionalFormatting sqref="AR31">
    <cfRule type="cellIs" dxfId="11480" priority="132802" stopIfTrue="1" operator="greaterThanOrEqual">
      <formula>0.5</formula>
    </cfRule>
  </conditionalFormatting>
  <conditionalFormatting sqref="AR32">
    <cfRule type="cellIs" dxfId="11479" priority="132803" stopIfTrue="1" operator="equal">
      <formula>-1</formula>
    </cfRule>
  </conditionalFormatting>
  <conditionalFormatting sqref="AR32">
    <cfRule type="cellIs" dxfId="11478" priority="132804" stopIfTrue="1" operator="lessThan">
      <formula>0.5</formula>
    </cfRule>
  </conditionalFormatting>
  <conditionalFormatting sqref="AR32">
    <cfRule type="cellIs" dxfId="11477" priority="132805" stopIfTrue="1" operator="greaterThanOrEqual">
      <formula>0.5</formula>
    </cfRule>
  </conditionalFormatting>
  <conditionalFormatting sqref="AR33">
    <cfRule type="cellIs" dxfId="11476" priority="132806" stopIfTrue="1" operator="equal">
      <formula>-1</formula>
    </cfRule>
  </conditionalFormatting>
  <conditionalFormatting sqref="AR33">
    <cfRule type="cellIs" dxfId="11475" priority="132807" stopIfTrue="1" operator="lessThan">
      <formula>0.5</formula>
    </cfRule>
  </conditionalFormatting>
  <conditionalFormatting sqref="AR33">
    <cfRule type="cellIs" dxfId="11474" priority="132808" stopIfTrue="1" operator="greaterThanOrEqual">
      <formula>0.5</formula>
    </cfRule>
  </conditionalFormatting>
  <conditionalFormatting sqref="AR34">
    <cfRule type="cellIs" dxfId="11473" priority="132809" stopIfTrue="1" operator="equal">
      <formula>-1</formula>
    </cfRule>
  </conditionalFormatting>
  <conditionalFormatting sqref="AR34">
    <cfRule type="cellIs" dxfId="11472" priority="132810" stopIfTrue="1" operator="lessThan">
      <formula>0.5</formula>
    </cfRule>
  </conditionalFormatting>
  <conditionalFormatting sqref="AR34">
    <cfRule type="cellIs" dxfId="11471" priority="132811" stopIfTrue="1" operator="greaterThanOrEqual">
      <formula>0.5</formula>
    </cfRule>
  </conditionalFormatting>
  <conditionalFormatting sqref="AR35">
    <cfRule type="cellIs" dxfId="11470" priority="132812" stopIfTrue="1" operator="equal">
      <formula>-1</formula>
    </cfRule>
  </conditionalFormatting>
  <conditionalFormatting sqref="AR35">
    <cfRule type="cellIs" dxfId="11469" priority="132813" stopIfTrue="1" operator="lessThan">
      <formula>0.5</formula>
    </cfRule>
  </conditionalFormatting>
  <conditionalFormatting sqref="AR35">
    <cfRule type="cellIs" dxfId="11468" priority="132814" stopIfTrue="1" operator="greaterThanOrEqual">
      <formula>0.5</formula>
    </cfRule>
  </conditionalFormatting>
  <conditionalFormatting sqref="AR36">
    <cfRule type="cellIs" dxfId="11467" priority="132815" stopIfTrue="1" operator="equal">
      <formula>-1</formula>
    </cfRule>
  </conditionalFormatting>
  <conditionalFormatting sqref="AR36">
    <cfRule type="cellIs" dxfId="11466" priority="132816" stopIfTrue="1" operator="lessThan">
      <formula>0.5</formula>
    </cfRule>
  </conditionalFormatting>
  <conditionalFormatting sqref="AR36">
    <cfRule type="cellIs" dxfId="11465" priority="132817" stopIfTrue="1" operator="greaterThanOrEqual">
      <formula>0.5</formula>
    </cfRule>
  </conditionalFormatting>
  <conditionalFormatting sqref="AR37">
    <cfRule type="cellIs" dxfId="11464" priority="132818" stopIfTrue="1" operator="equal">
      <formula>-1</formula>
    </cfRule>
  </conditionalFormatting>
  <conditionalFormatting sqref="AR37">
    <cfRule type="cellIs" dxfId="11463" priority="132819" stopIfTrue="1" operator="lessThan">
      <formula>0.5</formula>
    </cfRule>
  </conditionalFormatting>
  <conditionalFormatting sqref="AR37">
    <cfRule type="cellIs" dxfId="11462" priority="132820" stopIfTrue="1" operator="greaterThanOrEqual">
      <formula>0.5</formula>
    </cfRule>
  </conditionalFormatting>
  <conditionalFormatting sqref="AT17">
    <cfRule type="cellIs" dxfId="11461" priority="132821" stopIfTrue="1" operator="equal">
      <formula>-1</formula>
    </cfRule>
  </conditionalFormatting>
  <conditionalFormatting sqref="AT17">
    <cfRule type="cellIs" dxfId="11460" priority="132822" stopIfTrue="1" operator="lessThan">
      <formula>0.5</formula>
    </cfRule>
  </conditionalFormatting>
  <conditionalFormatting sqref="AT17">
    <cfRule type="cellIs" dxfId="11459" priority="132823" stopIfTrue="1" operator="greaterThanOrEqual">
      <formula>0.5</formula>
    </cfRule>
  </conditionalFormatting>
  <conditionalFormatting sqref="AT18">
    <cfRule type="cellIs" dxfId="11458" priority="132824" stopIfTrue="1" operator="equal">
      <formula>-1</formula>
    </cfRule>
  </conditionalFormatting>
  <conditionalFormatting sqref="AT18">
    <cfRule type="cellIs" dxfId="11457" priority="132825" stopIfTrue="1" operator="lessThan">
      <formula>0.5</formula>
    </cfRule>
  </conditionalFormatting>
  <conditionalFormatting sqref="AT18">
    <cfRule type="cellIs" dxfId="11456" priority="132826" stopIfTrue="1" operator="greaterThanOrEqual">
      <formula>0.5</formula>
    </cfRule>
  </conditionalFormatting>
  <conditionalFormatting sqref="AT19">
    <cfRule type="cellIs" dxfId="11455" priority="132827" stopIfTrue="1" operator="equal">
      <formula>-1</formula>
    </cfRule>
  </conditionalFormatting>
  <conditionalFormatting sqref="AT19">
    <cfRule type="cellIs" dxfId="11454" priority="132828" stopIfTrue="1" operator="lessThan">
      <formula>0.5</formula>
    </cfRule>
  </conditionalFormatting>
  <conditionalFormatting sqref="AT19">
    <cfRule type="cellIs" dxfId="11453" priority="132829" stopIfTrue="1" operator="greaterThanOrEqual">
      <formula>0.5</formula>
    </cfRule>
  </conditionalFormatting>
  <conditionalFormatting sqref="AT20">
    <cfRule type="cellIs" dxfId="11452" priority="132830" stopIfTrue="1" operator="equal">
      <formula>-1</formula>
    </cfRule>
  </conditionalFormatting>
  <conditionalFormatting sqref="AT20">
    <cfRule type="cellIs" dxfId="11451" priority="132831" stopIfTrue="1" operator="lessThan">
      <formula>0.5</formula>
    </cfRule>
  </conditionalFormatting>
  <conditionalFormatting sqref="AT20">
    <cfRule type="cellIs" dxfId="11450" priority="132832" stopIfTrue="1" operator="greaterThanOrEqual">
      <formula>0.5</formula>
    </cfRule>
  </conditionalFormatting>
  <conditionalFormatting sqref="AT21">
    <cfRule type="cellIs" dxfId="11449" priority="132833" stopIfTrue="1" operator="equal">
      <formula>-1</formula>
    </cfRule>
  </conditionalFormatting>
  <conditionalFormatting sqref="AT21">
    <cfRule type="cellIs" dxfId="11448" priority="132834" stopIfTrue="1" operator="lessThan">
      <formula>0.5</formula>
    </cfRule>
  </conditionalFormatting>
  <conditionalFormatting sqref="AT21">
    <cfRule type="cellIs" dxfId="11447" priority="132835" stopIfTrue="1" operator="greaterThanOrEqual">
      <formula>0.5</formula>
    </cfRule>
  </conditionalFormatting>
  <conditionalFormatting sqref="AT22">
    <cfRule type="cellIs" dxfId="11446" priority="132836" stopIfTrue="1" operator="equal">
      <formula>-1</formula>
    </cfRule>
  </conditionalFormatting>
  <conditionalFormatting sqref="AT22">
    <cfRule type="cellIs" dxfId="11445" priority="132837" stopIfTrue="1" operator="lessThan">
      <formula>0.5</formula>
    </cfRule>
  </conditionalFormatting>
  <conditionalFormatting sqref="AT22">
    <cfRule type="cellIs" dxfId="11444" priority="132838" stopIfTrue="1" operator="greaterThanOrEqual">
      <formula>0.5</formula>
    </cfRule>
  </conditionalFormatting>
  <conditionalFormatting sqref="AT23">
    <cfRule type="cellIs" dxfId="11443" priority="132839" stopIfTrue="1" operator="equal">
      <formula>-1</formula>
    </cfRule>
  </conditionalFormatting>
  <conditionalFormatting sqref="AT23">
    <cfRule type="cellIs" dxfId="11442" priority="132840" stopIfTrue="1" operator="lessThan">
      <formula>0.5</formula>
    </cfRule>
  </conditionalFormatting>
  <conditionalFormatting sqref="AT23">
    <cfRule type="cellIs" dxfId="11441" priority="132841" stopIfTrue="1" operator="greaterThanOrEqual">
      <formula>0.5</formula>
    </cfRule>
  </conditionalFormatting>
  <conditionalFormatting sqref="AT24">
    <cfRule type="cellIs" dxfId="11440" priority="132842" stopIfTrue="1" operator="equal">
      <formula>-1</formula>
    </cfRule>
  </conditionalFormatting>
  <conditionalFormatting sqref="AT24">
    <cfRule type="cellIs" dxfId="11439" priority="132843" stopIfTrue="1" operator="lessThan">
      <formula>0.5</formula>
    </cfRule>
  </conditionalFormatting>
  <conditionalFormatting sqref="AT24">
    <cfRule type="cellIs" dxfId="11438" priority="132844" stopIfTrue="1" operator="greaterThanOrEqual">
      <formula>0.5</formula>
    </cfRule>
  </conditionalFormatting>
  <conditionalFormatting sqref="AT25">
    <cfRule type="cellIs" dxfId="11437" priority="132845" stopIfTrue="1" operator="equal">
      <formula>-1</formula>
    </cfRule>
  </conditionalFormatting>
  <conditionalFormatting sqref="AT25">
    <cfRule type="cellIs" dxfId="11436" priority="132846" stopIfTrue="1" operator="lessThan">
      <formula>0.5</formula>
    </cfRule>
  </conditionalFormatting>
  <conditionalFormatting sqref="AT25">
    <cfRule type="cellIs" dxfId="11435" priority="132847" stopIfTrue="1" operator="greaterThanOrEqual">
      <formula>0.5</formula>
    </cfRule>
  </conditionalFormatting>
  <conditionalFormatting sqref="AT26">
    <cfRule type="cellIs" dxfId="11434" priority="132848" stopIfTrue="1" operator="equal">
      <formula>-1</formula>
    </cfRule>
  </conditionalFormatting>
  <conditionalFormatting sqref="AT26">
    <cfRule type="cellIs" dxfId="11433" priority="132849" stopIfTrue="1" operator="lessThan">
      <formula>0.5</formula>
    </cfRule>
  </conditionalFormatting>
  <conditionalFormatting sqref="AT26">
    <cfRule type="cellIs" dxfId="11432" priority="132850" stopIfTrue="1" operator="greaterThanOrEqual">
      <formula>0.5</formula>
    </cfRule>
  </conditionalFormatting>
  <conditionalFormatting sqref="AT27">
    <cfRule type="cellIs" dxfId="11431" priority="132851" stopIfTrue="1" operator="equal">
      <formula>-1</formula>
    </cfRule>
  </conditionalFormatting>
  <conditionalFormatting sqref="AT27">
    <cfRule type="cellIs" dxfId="11430" priority="132852" stopIfTrue="1" operator="lessThan">
      <formula>0.5</formula>
    </cfRule>
  </conditionalFormatting>
  <conditionalFormatting sqref="AT27">
    <cfRule type="cellIs" dxfId="11429" priority="132853" stopIfTrue="1" operator="greaterThanOrEqual">
      <formula>0.5</formula>
    </cfRule>
  </conditionalFormatting>
  <conditionalFormatting sqref="AT28">
    <cfRule type="cellIs" dxfId="11428" priority="132854" stopIfTrue="1" operator="equal">
      <formula>-1</formula>
    </cfRule>
  </conditionalFormatting>
  <conditionalFormatting sqref="AT28">
    <cfRule type="cellIs" dxfId="11427" priority="132855" stopIfTrue="1" operator="lessThan">
      <formula>0.5</formula>
    </cfRule>
  </conditionalFormatting>
  <conditionalFormatting sqref="AT28">
    <cfRule type="cellIs" dxfId="11426" priority="132856" stopIfTrue="1" operator="greaterThanOrEqual">
      <formula>0.5</formula>
    </cfRule>
  </conditionalFormatting>
  <conditionalFormatting sqref="AT29">
    <cfRule type="cellIs" dxfId="11425" priority="132857" stopIfTrue="1" operator="equal">
      <formula>-1</formula>
    </cfRule>
  </conditionalFormatting>
  <conditionalFormatting sqref="AT29">
    <cfRule type="cellIs" dxfId="11424" priority="132858" stopIfTrue="1" operator="lessThan">
      <formula>0.5</formula>
    </cfRule>
  </conditionalFormatting>
  <conditionalFormatting sqref="AT29">
    <cfRule type="cellIs" dxfId="11423" priority="132859" stopIfTrue="1" operator="greaterThanOrEqual">
      <formula>0.5</formula>
    </cfRule>
  </conditionalFormatting>
  <conditionalFormatting sqref="AT30">
    <cfRule type="cellIs" dxfId="11422" priority="132860" stopIfTrue="1" operator="equal">
      <formula>-1</formula>
    </cfRule>
  </conditionalFormatting>
  <conditionalFormatting sqref="AT30">
    <cfRule type="cellIs" dxfId="11421" priority="132861" stopIfTrue="1" operator="lessThan">
      <formula>0.5</formula>
    </cfRule>
  </conditionalFormatting>
  <conditionalFormatting sqref="AT30">
    <cfRule type="cellIs" dxfId="11420" priority="132862" stopIfTrue="1" operator="greaterThanOrEqual">
      <formula>0.5</formula>
    </cfRule>
  </conditionalFormatting>
  <conditionalFormatting sqref="AT31">
    <cfRule type="cellIs" dxfId="11419" priority="132863" stopIfTrue="1" operator="equal">
      <formula>-1</formula>
    </cfRule>
  </conditionalFormatting>
  <conditionalFormatting sqref="AT31">
    <cfRule type="cellIs" dxfId="11418" priority="132864" stopIfTrue="1" operator="lessThan">
      <formula>0.5</formula>
    </cfRule>
  </conditionalFormatting>
  <conditionalFormatting sqref="AT31">
    <cfRule type="cellIs" dxfId="11417" priority="132865" stopIfTrue="1" operator="greaterThanOrEqual">
      <formula>0.5</formula>
    </cfRule>
  </conditionalFormatting>
  <conditionalFormatting sqref="AT32">
    <cfRule type="cellIs" dxfId="11416" priority="132866" stopIfTrue="1" operator="equal">
      <formula>-1</formula>
    </cfRule>
  </conditionalFormatting>
  <conditionalFormatting sqref="AT32">
    <cfRule type="cellIs" dxfId="11415" priority="132867" stopIfTrue="1" operator="lessThan">
      <formula>0.5</formula>
    </cfRule>
  </conditionalFormatting>
  <conditionalFormatting sqref="AT32">
    <cfRule type="cellIs" dxfId="11414" priority="132868" stopIfTrue="1" operator="greaterThanOrEqual">
      <formula>0.5</formula>
    </cfRule>
  </conditionalFormatting>
  <conditionalFormatting sqref="AT33">
    <cfRule type="cellIs" dxfId="11413" priority="132869" stopIfTrue="1" operator="equal">
      <formula>-1</formula>
    </cfRule>
  </conditionalFormatting>
  <conditionalFormatting sqref="AT33">
    <cfRule type="cellIs" dxfId="11412" priority="132870" stopIfTrue="1" operator="lessThan">
      <formula>0.5</formula>
    </cfRule>
  </conditionalFormatting>
  <conditionalFormatting sqref="AT33">
    <cfRule type="cellIs" dxfId="11411" priority="132871" stopIfTrue="1" operator="greaterThanOrEqual">
      <formula>0.5</formula>
    </cfRule>
  </conditionalFormatting>
  <conditionalFormatting sqref="AT34">
    <cfRule type="cellIs" dxfId="11410" priority="132872" stopIfTrue="1" operator="equal">
      <formula>-1</formula>
    </cfRule>
  </conditionalFormatting>
  <conditionalFormatting sqref="AT34">
    <cfRule type="cellIs" dxfId="11409" priority="132873" stopIfTrue="1" operator="lessThan">
      <formula>0.5</formula>
    </cfRule>
  </conditionalFormatting>
  <conditionalFormatting sqref="AT34">
    <cfRule type="cellIs" dxfId="11408" priority="132874" stopIfTrue="1" operator="greaterThanOrEqual">
      <formula>0.5</formula>
    </cfRule>
  </conditionalFormatting>
  <conditionalFormatting sqref="AT35">
    <cfRule type="cellIs" dxfId="11407" priority="132875" stopIfTrue="1" operator="equal">
      <formula>-1</formula>
    </cfRule>
  </conditionalFormatting>
  <conditionalFormatting sqref="AT35">
    <cfRule type="cellIs" dxfId="11406" priority="132876" stopIfTrue="1" operator="lessThan">
      <formula>0.5</formula>
    </cfRule>
  </conditionalFormatting>
  <conditionalFormatting sqref="AT35">
    <cfRule type="cellIs" dxfId="11405" priority="132877" stopIfTrue="1" operator="greaterThanOrEqual">
      <formula>0.5</formula>
    </cfRule>
  </conditionalFormatting>
  <conditionalFormatting sqref="AT36">
    <cfRule type="cellIs" dxfId="11404" priority="132878" stopIfTrue="1" operator="equal">
      <formula>-1</formula>
    </cfRule>
  </conditionalFormatting>
  <conditionalFormatting sqref="AT36">
    <cfRule type="cellIs" dxfId="11403" priority="132879" stopIfTrue="1" operator="lessThan">
      <formula>0.5</formula>
    </cfRule>
  </conditionalFormatting>
  <conditionalFormatting sqref="AT36">
    <cfRule type="cellIs" dxfId="11402" priority="132880" stopIfTrue="1" operator="greaterThanOrEqual">
      <formula>0.5</formula>
    </cfRule>
  </conditionalFormatting>
  <conditionalFormatting sqref="AT37">
    <cfRule type="cellIs" dxfId="11401" priority="132881" stopIfTrue="1" operator="equal">
      <formula>-1</formula>
    </cfRule>
  </conditionalFormatting>
  <conditionalFormatting sqref="AT37">
    <cfRule type="cellIs" dxfId="11400" priority="132882" stopIfTrue="1" operator="lessThan">
      <formula>0.5</formula>
    </cfRule>
  </conditionalFormatting>
  <conditionalFormatting sqref="AT37">
    <cfRule type="cellIs" dxfId="11399" priority="132883" stopIfTrue="1" operator="greaterThanOrEqual">
      <formula>0.5</formula>
    </cfRule>
  </conditionalFormatting>
  <conditionalFormatting sqref="AV17">
    <cfRule type="cellIs" dxfId="11398" priority="132884" stopIfTrue="1" operator="equal">
      <formula>-1</formula>
    </cfRule>
  </conditionalFormatting>
  <conditionalFormatting sqref="AV17">
    <cfRule type="cellIs" dxfId="11397" priority="132885" stopIfTrue="1" operator="lessThan">
      <formula>0.5</formula>
    </cfRule>
  </conditionalFormatting>
  <conditionalFormatting sqref="AV17">
    <cfRule type="cellIs" dxfId="11396" priority="132886" stopIfTrue="1" operator="greaterThanOrEqual">
      <formula>0.5</formula>
    </cfRule>
  </conditionalFormatting>
  <conditionalFormatting sqref="AV18">
    <cfRule type="cellIs" dxfId="11395" priority="132887" stopIfTrue="1" operator="equal">
      <formula>-1</formula>
    </cfRule>
  </conditionalFormatting>
  <conditionalFormatting sqref="AV18">
    <cfRule type="cellIs" dxfId="11394" priority="132888" stopIfTrue="1" operator="lessThan">
      <formula>0.5</formula>
    </cfRule>
  </conditionalFormatting>
  <conditionalFormatting sqref="AV18">
    <cfRule type="cellIs" dxfId="11393" priority="132889" stopIfTrue="1" operator="greaterThanOrEqual">
      <formula>0.5</formula>
    </cfRule>
  </conditionalFormatting>
  <conditionalFormatting sqref="AV19">
    <cfRule type="cellIs" dxfId="11392" priority="132890" stopIfTrue="1" operator="equal">
      <formula>-1</formula>
    </cfRule>
  </conditionalFormatting>
  <conditionalFormatting sqref="AV19">
    <cfRule type="cellIs" dxfId="11391" priority="132891" stopIfTrue="1" operator="lessThan">
      <formula>0.5</formula>
    </cfRule>
  </conditionalFormatting>
  <conditionalFormatting sqref="AV19">
    <cfRule type="cellIs" dxfId="11390" priority="132892" stopIfTrue="1" operator="greaterThanOrEqual">
      <formula>0.5</formula>
    </cfRule>
  </conditionalFormatting>
  <conditionalFormatting sqref="AV20">
    <cfRule type="cellIs" dxfId="11389" priority="132893" stopIfTrue="1" operator="equal">
      <formula>-1</formula>
    </cfRule>
  </conditionalFormatting>
  <conditionalFormatting sqref="AV20">
    <cfRule type="cellIs" dxfId="11388" priority="132894" stopIfTrue="1" operator="lessThan">
      <formula>0.5</formula>
    </cfRule>
  </conditionalFormatting>
  <conditionalFormatting sqref="AV20">
    <cfRule type="cellIs" dxfId="11387" priority="132895" stopIfTrue="1" operator="greaterThanOrEqual">
      <formula>0.5</formula>
    </cfRule>
  </conditionalFormatting>
  <conditionalFormatting sqref="AV21">
    <cfRule type="cellIs" dxfId="11386" priority="132896" stopIfTrue="1" operator="equal">
      <formula>-1</formula>
    </cfRule>
  </conditionalFormatting>
  <conditionalFormatting sqref="AV21">
    <cfRule type="cellIs" dxfId="11385" priority="132897" stopIfTrue="1" operator="lessThan">
      <formula>0.5</formula>
    </cfRule>
  </conditionalFormatting>
  <conditionalFormatting sqref="AV21">
    <cfRule type="cellIs" dxfId="11384" priority="132898" stopIfTrue="1" operator="greaterThanOrEqual">
      <formula>0.5</formula>
    </cfRule>
  </conditionalFormatting>
  <conditionalFormatting sqref="AV22">
    <cfRule type="cellIs" dxfId="11383" priority="132899" stopIfTrue="1" operator="equal">
      <formula>-1</formula>
    </cfRule>
  </conditionalFormatting>
  <conditionalFormatting sqref="AV22">
    <cfRule type="cellIs" dxfId="11382" priority="132900" stopIfTrue="1" operator="lessThan">
      <formula>0.5</formula>
    </cfRule>
  </conditionalFormatting>
  <conditionalFormatting sqref="AV22">
    <cfRule type="cellIs" dxfId="11381" priority="132901" stopIfTrue="1" operator="greaterThanOrEqual">
      <formula>0.5</formula>
    </cfRule>
  </conditionalFormatting>
  <conditionalFormatting sqref="AV23">
    <cfRule type="cellIs" dxfId="11380" priority="132902" stopIfTrue="1" operator="equal">
      <formula>-1</formula>
    </cfRule>
  </conditionalFormatting>
  <conditionalFormatting sqref="AV23">
    <cfRule type="cellIs" dxfId="11379" priority="132903" stopIfTrue="1" operator="lessThan">
      <formula>0.5</formula>
    </cfRule>
  </conditionalFormatting>
  <conditionalFormatting sqref="AV23">
    <cfRule type="cellIs" dxfId="11378" priority="132904" stopIfTrue="1" operator="greaterThanOrEqual">
      <formula>0.5</formula>
    </cfRule>
  </conditionalFormatting>
  <conditionalFormatting sqref="AV24">
    <cfRule type="cellIs" dxfId="11377" priority="132905" stopIfTrue="1" operator="equal">
      <formula>-1</formula>
    </cfRule>
  </conditionalFormatting>
  <conditionalFormatting sqref="AV24">
    <cfRule type="cellIs" dxfId="11376" priority="132906" stopIfTrue="1" operator="lessThan">
      <formula>0.5</formula>
    </cfRule>
  </conditionalFormatting>
  <conditionalFormatting sqref="AV24">
    <cfRule type="cellIs" dxfId="11375" priority="132907" stopIfTrue="1" operator="greaterThanOrEqual">
      <formula>0.5</formula>
    </cfRule>
  </conditionalFormatting>
  <conditionalFormatting sqref="AV25">
    <cfRule type="cellIs" dxfId="11374" priority="132908" stopIfTrue="1" operator="equal">
      <formula>-1</formula>
    </cfRule>
  </conditionalFormatting>
  <conditionalFormatting sqref="AV25">
    <cfRule type="cellIs" dxfId="11373" priority="132909" stopIfTrue="1" operator="lessThan">
      <formula>0.5</formula>
    </cfRule>
  </conditionalFormatting>
  <conditionalFormatting sqref="AV25">
    <cfRule type="cellIs" dxfId="11372" priority="132910" stopIfTrue="1" operator="greaterThanOrEqual">
      <formula>0.5</formula>
    </cfRule>
  </conditionalFormatting>
  <conditionalFormatting sqref="AV26">
    <cfRule type="cellIs" dxfId="11371" priority="132911" stopIfTrue="1" operator="equal">
      <formula>-1</formula>
    </cfRule>
  </conditionalFormatting>
  <conditionalFormatting sqref="AV26">
    <cfRule type="cellIs" dxfId="11370" priority="132912" stopIfTrue="1" operator="lessThan">
      <formula>0.5</formula>
    </cfRule>
  </conditionalFormatting>
  <conditionalFormatting sqref="AV26">
    <cfRule type="cellIs" dxfId="11369" priority="132913" stopIfTrue="1" operator="greaterThanOrEqual">
      <formula>0.5</formula>
    </cfRule>
  </conditionalFormatting>
  <conditionalFormatting sqref="AV27">
    <cfRule type="cellIs" dxfId="11368" priority="132914" stopIfTrue="1" operator="equal">
      <formula>-1</formula>
    </cfRule>
  </conditionalFormatting>
  <conditionalFormatting sqref="AV27">
    <cfRule type="cellIs" dxfId="11367" priority="132915" stopIfTrue="1" operator="lessThan">
      <formula>0.5</formula>
    </cfRule>
  </conditionalFormatting>
  <conditionalFormatting sqref="AV27">
    <cfRule type="cellIs" dxfId="11366" priority="132916" stopIfTrue="1" operator="greaterThanOrEqual">
      <formula>0.5</formula>
    </cfRule>
  </conditionalFormatting>
  <conditionalFormatting sqref="AV28">
    <cfRule type="cellIs" dxfId="11365" priority="132917" stopIfTrue="1" operator="equal">
      <formula>-1</formula>
    </cfRule>
  </conditionalFormatting>
  <conditionalFormatting sqref="AV28">
    <cfRule type="cellIs" dxfId="11364" priority="132918" stopIfTrue="1" operator="lessThan">
      <formula>0.5</formula>
    </cfRule>
  </conditionalFormatting>
  <conditionalFormatting sqref="AV28">
    <cfRule type="cellIs" dxfId="11363" priority="132919" stopIfTrue="1" operator="greaterThanOrEqual">
      <formula>0.5</formula>
    </cfRule>
  </conditionalFormatting>
  <conditionalFormatting sqref="AV29">
    <cfRule type="cellIs" dxfId="11362" priority="132920" stopIfTrue="1" operator="equal">
      <formula>-1</formula>
    </cfRule>
  </conditionalFormatting>
  <conditionalFormatting sqref="AV29">
    <cfRule type="cellIs" dxfId="11361" priority="132921" stopIfTrue="1" operator="lessThan">
      <formula>0.5</formula>
    </cfRule>
  </conditionalFormatting>
  <conditionalFormatting sqref="AV29">
    <cfRule type="cellIs" dxfId="11360" priority="132922" stopIfTrue="1" operator="greaterThanOrEqual">
      <formula>0.5</formula>
    </cfRule>
  </conditionalFormatting>
  <conditionalFormatting sqref="AV30">
    <cfRule type="cellIs" dxfId="11359" priority="132923" stopIfTrue="1" operator="equal">
      <formula>-1</formula>
    </cfRule>
  </conditionalFormatting>
  <conditionalFormatting sqref="AV30">
    <cfRule type="cellIs" dxfId="11358" priority="132924" stopIfTrue="1" operator="lessThan">
      <formula>0.5</formula>
    </cfRule>
  </conditionalFormatting>
  <conditionalFormatting sqref="AV30">
    <cfRule type="cellIs" dxfId="11357" priority="132925" stopIfTrue="1" operator="greaterThanOrEqual">
      <formula>0.5</formula>
    </cfRule>
  </conditionalFormatting>
  <conditionalFormatting sqref="AV31">
    <cfRule type="cellIs" dxfId="11356" priority="132926" stopIfTrue="1" operator="equal">
      <formula>-1</formula>
    </cfRule>
  </conditionalFormatting>
  <conditionalFormatting sqref="AV31">
    <cfRule type="cellIs" dxfId="11355" priority="132927" stopIfTrue="1" operator="lessThan">
      <formula>0.5</formula>
    </cfRule>
  </conditionalFormatting>
  <conditionalFormatting sqref="AV31">
    <cfRule type="cellIs" dxfId="11354" priority="132928" stopIfTrue="1" operator="greaterThanOrEqual">
      <formula>0.5</formula>
    </cfRule>
  </conditionalFormatting>
  <conditionalFormatting sqref="AV32">
    <cfRule type="cellIs" dxfId="11353" priority="132929" stopIfTrue="1" operator="equal">
      <formula>-1</formula>
    </cfRule>
  </conditionalFormatting>
  <conditionalFormatting sqref="AV32">
    <cfRule type="cellIs" dxfId="11352" priority="132930" stopIfTrue="1" operator="lessThan">
      <formula>0.5</formula>
    </cfRule>
  </conditionalFormatting>
  <conditionalFormatting sqref="AV32">
    <cfRule type="cellIs" dxfId="11351" priority="132931" stopIfTrue="1" operator="greaterThanOrEqual">
      <formula>0.5</formula>
    </cfRule>
  </conditionalFormatting>
  <conditionalFormatting sqref="AV33">
    <cfRule type="cellIs" dxfId="11350" priority="132932" stopIfTrue="1" operator="equal">
      <formula>-1</formula>
    </cfRule>
  </conditionalFormatting>
  <conditionalFormatting sqref="AV33">
    <cfRule type="cellIs" dxfId="11349" priority="132933" stopIfTrue="1" operator="lessThan">
      <formula>0.5</formula>
    </cfRule>
  </conditionalFormatting>
  <conditionalFormatting sqref="AV33">
    <cfRule type="cellIs" dxfId="11348" priority="132934" stopIfTrue="1" operator="greaterThanOrEqual">
      <formula>0.5</formula>
    </cfRule>
  </conditionalFormatting>
  <conditionalFormatting sqref="AV34">
    <cfRule type="cellIs" dxfId="11347" priority="132935" stopIfTrue="1" operator="equal">
      <formula>-1</formula>
    </cfRule>
  </conditionalFormatting>
  <conditionalFormatting sqref="AV34">
    <cfRule type="cellIs" dxfId="11346" priority="132936" stopIfTrue="1" operator="lessThan">
      <formula>0.5</formula>
    </cfRule>
  </conditionalFormatting>
  <conditionalFormatting sqref="AV34">
    <cfRule type="cellIs" dxfId="11345" priority="132937" stopIfTrue="1" operator="greaterThanOrEqual">
      <formula>0.5</formula>
    </cfRule>
  </conditionalFormatting>
  <conditionalFormatting sqref="AV35">
    <cfRule type="cellIs" dxfId="11344" priority="132938" stopIfTrue="1" operator="equal">
      <formula>-1</formula>
    </cfRule>
  </conditionalFormatting>
  <conditionalFormatting sqref="AV35">
    <cfRule type="cellIs" dxfId="11343" priority="132939" stopIfTrue="1" operator="lessThan">
      <formula>0.5</formula>
    </cfRule>
  </conditionalFormatting>
  <conditionalFormatting sqref="AV35">
    <cfRule type="cellIs" dxfId="11342" priority="132940" stopIfTrue="1" operator="greaterThanOrEqual">
      <formula>0.5</formula>
    </cfRule>
  </conditionalFormatting>
  <conditionalFormatting sqref="AV36">
    <cfRule type="cellIs" dxfId="11341" priority="132941" stopIfTrue="1" operator="equal">
      <formula>-1</formula>
    </cfRule>
  </conditionalFormatting>
  <conditionalFormatting sqref="AV36">
    <cfRule type="cellIs" dxfId="11340" priority="132942" stopIfTrue="1" operator="lessThan">
      <formula>0.5</formula>
    </cfRule>
  </conditionalFormatting>
  <conditionalFormatting sqref="AV36">
    <cfRule type="cellIs" dxfId="11339" priority="132943" stopIfTrue="1" operator="greaterThanOrEqual">
      <formula>0.5</formula>
    </cfRule>
  </conditionalFormatting>
  <conditionalFormatting sqref="AV37">
    <cfRule type="cellIs" dxfId="11338" priority="132944" stopIfTrue="1" operator="equal">
      <formula>-1</formula>
    </cfRule>
  </conditionalFormatting>
  <conditionalFormatting sqref="AV37">
    <cfRule type="cellIs" dxfId="11337" priority="132945" stopIfTrue="1" operator="lessThan">
      <formula>0.5</formula>
    </cfRule>
  </conditionalFormatting>
  <conditionalFormatting sqref="AV37">
    <cfRule type="cellIs" dxfId="11336" priority="132946" stopIfTrue="1" operator="greaterThanOrEqual">
      <formula>0.5</formula>
    </cfRule>
  </conditionalFormatting>
  <conditionalFormatting sqref="AX17">
    <cfRule type="cellIs" dxfId="11335" priority="132947" stopIfTrue="1" operator="equal">
      <formula>-1</formula>
    </cfRule>
  </conditionalFormatting>
  <conditionalFormatting sqref="AX17">
    <cfRule type="cellIs" dxfId="11334" priority="132948" stopIfTrue="1" operator="lessThan">
      <formula>0.5</formula>
    </cfRule>
  </conditionalFormatting>
  <conditionalFormatting sqref="AX17">
    <cfRule type="cellIs" dxfId="11333" priority="132949" stopIfTrue="1" operator="greaterThanOrEqual">
      <formula>0.5</formula>
    </cfRule>
  </conditionalFormatting>
  <conditionalFormatting sqref="AX18">
    <cfRule type="cellIs" dxfId="11332" priority="132950" stopIfTrue="1" operator="equal">
      <formula>-1</formula>
    </cfRule>
  </conditionalFormatting>
  <conditionalFormatting sqref="AX18">
    <cfRule type="cellIs" dxfId="11331" priority="132951" stopIfTrue="1" operator="lessThan">
      <formula>0.5</formula>
    </cfRule>
  </conditionalFormatting>
  <conditionalFormatting sqref="AX18">
    <cfRule type="cellIs" dxfId="11330" priority="132952" stopIfTrue="1" operator="greaterThanOrEqual">
      <formula>0.5</formula>
    </cfRule>
  </conditionalFormatting>
  <conditionalFormatting sqref="AX19">
    <cfRule type="cellIs" dxfId="11329" priority="132953" stopIfTrue="1" operator="equal">
      <formula>-1</formula>
    </cfRule>
  </conditionalFormatting>
  <conditionalFormatting sqref="AX19">
    <cfRule type="cellIs" dxfId="11328" priority="132954" stopIfTrue="1" operator="lessThan">
      <formula>0.5</formula>
    </cfRule>
  </conditionalFormatting>
  <conditionalFormatting sqref="AX19">
    <cfRule type="cellIs" dxfId="11327" priority="132955" stopIfTrue="1" operator="greaterThanOrEqual">
      <formula>0.5</formula>
    </cfRule>
  </conditionalFormatting>
  <conditionalFormatting sqref="AX20">
    <cfRule type="cellIs" dxfId="11326" priority="132956" stopIfTrue="1" operator="equal">
      <formula>-1</formula>
    </cfRule>
  </conditionalFormatting>
  <conditionalFormatting sqref="AX20">
    <cfRule type="cellIs" dxfId="11325" priority="132957" stopIfTrue="1" operator="lessThan">
      <formula>0.5</formula>
    </cfRule>
  </conditionalFormatting>
  <conditionalFormatting sqref="AX20">
    <cfRule type="cellIs" dxfId="11324" priority="132958" stopIfTrue="1" operator="greaterThanOrEqual">
      <formula>0.5</formula>
    </cfRule>
  </conditionalFormatting>
  <conditionalFormatting sqref="AX21">
    <cfRule type="cellIs" dxfId="11323" priority="132959" stopIfTrue="1" operator="equal">
      <formula>-1</formula>
    </cfRule>
  </conditionalFormatting>
  <conditionalFormatting sqref="AX21">
    <cfRule type="cellIs" dxfId="11322" priority="132960" stopIfTrue="1" operator="lessThan">
      <formula>0.5</formula>
    </cfRule>
  </conditionalFormatting>
  <conditionalFormatting sqref="AX21">
    <cfRule type="cellIs" dxfId="11321" priority="132961" stopIfTrue="1" operator="greaterThanOrEqual">
      <formula>0.5</formula>
    </cfRule>
  </conditionalFormatting>
  <conditionalFormatting sqref="AX22">
    <cfRule type="cellIs" dxfId="11320" priority="132962" stopIfTrue="1" operator="equal">
      <formula>-1</formula>
    </cfRule>
  </conditionalFormatting>
  <conditionalFormatting sqref="AX22">
    <cfRule type="cellIs" dxfId="11319" priority="132963" stopIfTrue="1" operator="lessThan">
      <formula>0.5</formula>
    </cfRule>
  </conditionalFormatting>
  <conditionalFormatting sqref="AX22">
    <cfRule type="cellIs" dxfId="11318" priority="132964" stopIfTrue="1" operator="greaterThanOrEqual">
      <formula>0.5</formula>
    </cfRule>
  </conditionalFormatting>
  <conditionalFormatting sqref="AX23">
    <cfRule type="cellIs" dxfId="11317" priority="132965" stopIfTrue="1" operator="equal">
      <formula>-1</formula>
    </cfRule>
  </conditionalFormatting>
  <conditionalFormatting sqref="AX23">
    <cfRule type="cellIs" dxfId="11316" priority="132966" stopIfTrue="1" operator="lessThan">
      <formula>0.5</formula>
    </cfRule>
  </conditionalFormatting>
  <conditionalFormatting sqref="AX23">
    <cfRule type="cellIs" dxfId="11315" priority="132967" stopIfTrue="1" operator="greaterThanOrEqual">
      <formula>0.5</formula>
    </cfRule>
  </conditionalFormatting>
  <conditionalFormatting sqref="AX24">
    <cfRule type="cellIs" dxfId="11314" priority="132968" stopIfTrue="1" operator="equal">
      <formula>-1</formula>
    </cfRule>
  </conditionalFormatting>
  <conditionalFormatting sqref="AX24">
    <cfRule type="cellIs" dxfId="11313" priority="132969" stopIfTrue="1" operator="lessThan">
      <formula>0.5</formula>
    </cfRule>
  </conditionalFormatting>
  <conditionalFormatting sqref="AX24">
    <cfRule type="cellIs" dxfId="11312" priority="132970" stopIfTrue="1" operator="greaterThanOrEqual">
      <formula>0.5</formula>
    </cfRule>
  </conditionalFormatting>
  <conditionalFormatting sqref="AX25">
    <cfRule type="cellIs" dxfId="11311" priority="132971" stopIfTrue="1" operator="equal">
      <formula>-1</formula>
    </cfRule>
  </conditionalFormatting>
  <conditionalFormatting sqref="AX25">
    <cfRule type="cellIs" dxfId="11310" priority="132972" stopIfTrue="1" operator="lessThan">
      <formula>0.5</formula>
    </cfRule>
  </conditionalFormatting>
  <conditionalFormatting sqref="AX25">
    <cfRule type="cellIs" dxfId="11309" priority="132973" stopIfTrue="1" operator="greaterThanOrEqual">
      <formula>0.5</formula>
    </cfRule>
  </conditionalFormatting>
  <conditionalFormatting sqref="AX26">
    <cfRule type="cellIs" dxfId="11308" priority="132974" stopIfTrue="1" operator="equal">
      <formula>-1</formula>
    </cfRule>
  </conditionalFormatting>
  <conditionalFormatting sqref="AX26">
    <cfRule type="cellIs" dxfId="11307" priority="132975" stopIfTrue="1" operator="lessThan">
      <formula>0.5</formula>
    </cfRule>
  </conditionalFormatting>
  <conditionalFormatting sqref="AX26">
    <cfRule type="cellIs" dxfId="11306" priority="132976" stopIfTrue="1" operator="greaterThanOrEqual">
      <formula>0.5</formula>
    </cfRule>
  </conditionalFormatting>
  <conditionalFormatting sqref="AX27">
    <cfRule type="cellIs" dxfId="11305" priority="132977" stopIfTrue="1" operator="equal">
      <formula>-1</formula>
    </cfRule>
  </conditionalFormatting>
  <conditionalFormatting sqref="AX27">
    <cfRule type="cellIs" dxfId="11304" priority="132978" stopIfTrue="1" operator="lessThan">
      <formula>0.5</formula>
    </cfRule>
  </conditionalFormatting>
  <conditionalFormatting sqref="AX27">
    <cfRule type="cellIs" dxfId="11303" priority="132979" stopIfTrue="1" operator="greaterThanOrEqual">
      <formula>0.5</formula>
    </cfRule>
  </conditionalFormatting>
  <conditionalFormatting sqref="AX28">
    <cfRule type="cellIs" dxfId="11302" priority="132980" stopIfTrue="1" operator="equal">
      <formula>-1</formula>
    </cfRule>
  </conditionalFormatting>
  <conditionalFormatting sqref="AX28">
    <cfRule type="cellIs" dxfId="11301" priority="132981" stopIfTrue="1" operator="lessThan">
      <formula>0.5</formula>
    </cfRule>
  </conditionalFormatting>
  <conditionalFormatting sqref="AX28">
    <cfRule type="cellIs" dxfId="11300" priority="132982" stopIfTrue="1" operator="greaterThanOrEqual">
      <formula>0.5</formula>
    </cfRule>
  </conditionalFormatting>
  <conditionalFormatting sqref="AX29">
    <cfRule type="cellIs" dxfId="11299" priority="132983" stopIfTrue="1" operator="equal">
      <formula>-1</formula>
    </cfRule>
  </conditionalFormatting>
  <conditionalFormatting sqref="AX29">
    <cfRule type="cellIs" dxfId="11298" priority="132984" stopIfTrue="1" operator="lessThan">
      <formula>0.5</formula>
    </cfRule>
  </conditionalFormatting>
  <conditionalFormatting sqref="AX29">
    <cfRule type="cellIs" dxfId="11297" priority="132985" stopIfTrue="1" operator="greaterThanOrEqual">
      <formula>0.5</formula>
    </cfRule>
  </conditionalFormatting>
  <conditionalFormatting sqref="AX30">
    <cfRule type="cellIs" dxfId="11296" priority="132986" stopIfTrue="1" operator="equal">
      <formula>-1</formula>
    </cfRule>
  </conditionalFormatting>
  <conditionalFormatting sqref="AX30">
    <cfRule type="cellIs" dxfId="11295" priority="132987" stopIfTrue="1" operator="lessThan">
      <formula>0.5</formula>
    </cfRule>
  </conditionalFormatting>
  <conditionalFormatting sqref="AX30">
    <cfRule type="cellIs" dxfId="11294" priority="132988" stopIfTrue="1" operator="greaterThanOrEqual">
      <formula>0.5</formula>
    </cfRule>
  </conditionalFormatting>
  <conditionalFormatting sqref="AX31">
    <cfRule type="cellIs" dxfId="11293" priority="132989" stopIfTrue="1" operator="equal">
      <formula>-1</formula>
    </cfRule>
  </conditionalFormatting>
  <conditionalFormatting sqref="AX31">
    <cfRule type="cellIs" dxfId="11292" priority="132990" stopIfTrue="1" operator="lessThan">
      <formula>0.5</formula>
    </cfRule>
  </conditionalFormatting>
  <conditionalFormatting sqref="AX31">
    <cfRule type="cellIs" dxfId="11291" priority="132991" stopIfTrue="1" operator="greaterThanOrEqual">
      <formula>0.5</formula>
    </cfRule>
  </conditionalFormatting>
  <conditionalFormatting sqref="AX32">
    <cfRule type="cellIs" dxfId="11290" priority="132992" stopIfTrue="1" operator="equal">
      <formula>-1</formula>
    </cfRule>
  </conditionalFormatting>
  <conditionalFormatting sqref="AX32">
    <cfRule type="cellIs" dxfId="11289" priority="132993" stopIfTrue="1" operator="lessThan">
      <formula>0.5</formula>
    </cfRule>
  </conditionalFormatting>
  <conditionalFormatting sqref="AX32">
    <cfRule type="cellIs" dxfId="11288" priority="132994" stopIfTrue="1" operator="greaterThanOrEqual">
      <formula>0.5</formula>
    </cfRule>
  </conditionalFormatting>
  <conditionalFormatting sqref="AX33">
    <cfRule type="cellIs" dxfId="11287" priority="132995" stopIfTrue="1" operator="equal">
      <formula>-1</formula>
    </cfRule>
  </conditionalFormatting>
  <conditionalFormatting sqref="AX33">
    <cfRule type="cellIs" dxfId="11286" priority="132996" stopIfTrue="1" operator="lessThan">
      <formula>0.5</formula>
    </cfRule>
  </conditionalFormatting>
  <conditionalFormatting sqref="AX33">
    <cfRule type="cellIs" dxfId="11285" priority="132997" stopIfTrue="1" operator="greaterThanOrEqual">
      <formula>0.5</formula>
    </cfRule>
  </conditionalFormatting>
  <conditionalFormatting sqref="AX34">
    <cfRule type="cellIs" dxfId="11284" priority="132998" stopIfTrue="1" operator="equal">
      <formula>-1</formula>
    </cfRule>
  </conditionalFormatting>
  <conditionalFormatting sqref="AX34">
    <cfRule type="cellIs" dxfId="11283" priority="132999" stopIfTrue="1" operator="lessThan">
      <formula>0.5</formula>
    </cfRule>
  </conditionalFormatting>
  <conditionalFormatting sqref="AX34">
    <cfRule type="cellIs" dxfId="11282" priority="133000" stopIfTrue="1" operator="greaterThanOrEqual">
      <formula>0.5</formula>
    </cfRule>
  </conditionalFormatting>
  <conditionalFormatting sqref="AX35">
    <cfRule type="cellIs" dxfId="11281" priority="133001" stopIfTrue="1" operator="equal">
      <formula>-1</formula>
    </cfRule>
  </conditionalFormatting>
  <conditionalFormatting sqref="AX35">
    <cfRule type="cellIs" dxfId="11280" priority="133002" stopIfTrue="1" operator="lessThan">
      <formula>0.5</formula>
    </cfRule>
  </conditionalFormatting>
  <conditionalFormatting sqref="AX35">
    <cfRule type="cellIs" dxfId="11279" priority="133003" stopIfTrue="1" operator="greaterThanOrEqual">
      <formula>0.5</formula>
    </cfRule>
  </conditionalFormatting>
  <conditionalFormatting sqref="AX36">
    <cfRule type="cellIs" dxfId="11278" priority="133004" stopIfTrue="1" operator="equal">
      <formula>-1</formula>
    </cfRule>
  </conditionalFormatting>
  <conditionalFormatting sqref="AX36">
    <cfRule type="cellIs" dxfId="11277" priority="133005" stopIfTrue="1" operator="lessThan">
      <formula>0.5</formula>
    </cfRule>
  </conditionalFormatting>
  <conditionalFormatting sqref="AX36">
    <cfRule type="cellIs" dxfId="11276" priority="133006" stopIfTrue="1" operator="greaterThanOrEqual">
      <formula>0.5</formula>
    </cfRule>
  </conditionalFormatting>
  <conditionalFormatting sqref="AX37">
    <cfRule type="cellIs" dxfId="11275" priority="133007" stopIfTrue="1" operator="equal">
      <formula>-1</formula>
    </cfRule>
  </conditionalFormatting>
  <conditionalFormatting sqref="AX37">
    <cfRule type="cellIs" dxfId="11274" priority="133008" stopIfTrue="1" operator="lessThan">
      <formula>0.5</formula>
    </cfRule>
  </conditionalFormatting>
  <conditionalFormatting sqref="AX37">
    <cfRule type="cellIs" dxfId="11273" priority="133009" stopIfTrue="1" operator="greaterThanOrEqual">
      <formula>0.5</formula>
    </cfRule>
  </conditionalFormatting>
  <conditionalFormatting sqref="AZ17">
    <cfRule type="cellIs" dxfId="11272" priority="133010" stopIfTrue="1" operator="equal">
      <formula>-1</formula>
    </cfRule>
  </conditionalFormatting>
  <conditionalFormatting sqref="AZ17">
    <cfRule type="cellIs" dxfId="11271" priority="133011" stopIfTrue="1" operator="lessThan">
      <formula>0.5</formula>
    </cfRule>
  </conditionalFormatting>
  <conditionalFormatting sqref="AZ17">
    <cfRule type="cellIs" dxfId="11270" priority="133012" stopIfTrue="1" operator="greaterThanOrEqual">
      <formula>0.5</formula>
    </cfRule>
  </conditionalFormatting>
  <conditionalFormatting sqref="AZ18">
    <cfRule type="cellIs" dxfId="11269" priority="133013" stopIfTrue="1" operator="equal">
      <formula>-1</formula>
    </cfRule>
  </conditionalFormatting>
  <conditionalFormatting sqref="AZ18">
    <cfRule type="cellIs" dxfId="11268" priority="133014" stopIfTrue="1" operator="lessThan">
      <formula>0.5</formula>
    </cfRule>
  </conditionalFormatting>
  <conditionalFormatting sqref="AZ18">
    <cfRule type="cellIs" dxfId="11267" priority="133015" stopIfTrue="1" operator="greaterThanOrEqual">
      <formula>0.5</formula>
    </cfRule>
  </conditionalFormatting>
  <conditionalFormatting sqref="AZ19">
    <cfRule type="cellIs" dxfId="11266" priority="133016" stopIfTrue="1" operator="equal">
      <formula>-1</formula>
    </cfRule>
  </conditionalFormatting>
  <conditionalFormatting sqref="AZ19">
    <cfRule type="cellIs" dxfId="11265" priority="133017" stopIfTrue="1" operator="lessThan">
      <formula>0.5</formula>
    </cfRule>
  </conditionalFormatting>
  <conditionalFormatting sqref="AZ19">
    <cfRule type="cellIs" dxfId="11264" priority="133018" stopIfTrue="1" operator="greaterThanOrEqual">
      <formula>0.5</formula>
    </cfRule>
  </conditionalFormatting>
  <conditionalFormatting sqref="AZ20">
    <cfRule type="cellIs" dxfId="11263" priority="133019" stopIfTrue="1" operator="equal">
      <formula>-1</formula>
    </cfRule>
  </conditionalFormatting>
  <conditionalFormatting sqref="AZ20">
    <cfRule type="cellIs" dxfId="11262" priority="133020" stopIfTrue="1" operator="lessThan">
      <formula>0.5</formula>
    </cfRule>
  </conditionalFormatting>
  <conditionalFormatting sqref="AZ20">
    <cfRule type="cellIs" dxfId="11261" priority="133021" stopIfTrue="1" operator="greaterThanOrEqual">
      <formula>0.5</formula>
    </cfRule>
  </conditionalFormatting>
  <conditionalFormatting sqref="AZ21">
    <cfRule type="cellIs" dxfId="11260" priority="133022" stopIfTrue="1" operator="equal">
      <formula>-1</formula>
    </cfRule>
  </conditionalFormatting>
  <conditionalFormatting sqref="AZ21">
    <cfRule type="cellIs" dxfId="11259" priority="133023" stopIfTrue="1" operator="lessThan">
      <formula>0.5</formula>
    </cfRule>
  </conditionalFormatting>
  <conditionalFormatting sqref="AZ21">
    <cfRule type="cellIs" dxfId="11258" priority="133024" stopIfTrue="1" operator="greaterThanOrEqual">
      <formula>0.5</formula>
    </cfRule>
  </conditionalFormatting>
  <conditionalFormatting sqref="AZ22">
    <cfRule type="cellIs" dxfId="11257" priority="133025" stopIfTrue="1" operator="equal">
      <formula>-1</formula>
    </cfRule>
  </conditionalFormatting>
  <conditionalFormatting sqref="AZ22">
    <cfRule type="cellIs" dxfId="11256" priority="133026" stopIfTrue="1" operator="lessThan">
      <formula>0.5</formula>
    </cfRule>
  </conditionalFormatting>
  <conditionalFormatting sqref="AZ22">
    <cfRule type="cellIs" dxfId="11255" priority="133027" stopIfTrue="1" operator="greaterThanOrEqual">
      <formula>0.5</formula>
    </cfRule>
  </conditionalFormatting>
  <conditionalFormatting sqref="AZ23">
    <cfRule type="cellIs" dxfId="11254" priority="133028" stopIfTrue="1" operator="equal">
      <formula>-1</formula>
    </cfRule>
  </conditionalFormatting>
  <conditionalFormatting sqref="AZ23">
    <cfRule type="cellIs" dxfId="11253" priority="133029" stopIfTrue="1" operator="lessThan">
      <formula>0.5</formula>
    </cfRule>
  </conditionalFormatting>
  <conditionalFormatting sqref="AZ23">
    <cfRule type="cellIs" dxfId="11252" priority="133030" stopIfTrue="1" operator="greaterThanOrEqual">
      <formula>0.5</formula>
    </cfRule>
  </conditionalFormatting>
  <conditionalFormatting sqref="AZ24">
    <cfRule type="cellIs" dxfId="11251" priority="133031" stopIfTrue="1" operator="equal">
      <formula>-1</formula>
    </cfRule>
  </conditionalFormatting>
  <conditionalFormatting sqref="AZ24">
    <cfRule type="cellIs" dxfId="11250" priority="133032" stopIfTrue="1" operator="lessThan">
      <formula>0.5</formula>
    </cfRule>
  </conditionalFormatting>
  <conditionalFormatting sqref="AZ24">
    <cfRule type="cellIs" dxfId="11249" priority="133033" stopIfTrue="1" operator="greaterThanOrEqual">
      <formula>0.5</formula>
    </cfRule>
  </conditionalFormatting>
  <conditionalFormatting sqref="AZ25">
    <cfRule type="cellIs" dxfId="11248" priority="133034" stopIfTrue="1" operator="equal">
      <formula>-1</formula>
    </cfRule>
  </conditionalFormatting>
  <conditionalFormatting sqref="AZ25">
    <cfRule type="cellIs" dxfId="11247" priority="133035" stopIfTrue="1" operator="lessThan">
      <formula>0.5</formula>
    </cfRule>
  </conditionalFormatting>
  <conditionalFormatting sqref="AZ25">
    <cfRule type="cellIs" dxfId="11246" priority="133036" stopIfTrue="1" operator="greaterThanOrEqual">
      <formula>0.5</formula>
    </cfRule>
  </conditionalFormatting>
  <conditionalFormatting sqref="AZ26">
    <cfRule type="cellIs" dxfId="11245" priority="133037" stopIfTrue="1" operator="equal">
      <formula>-1</formula>
    </cfRule>
  </conditionalFormatting>
  <conditionalFormatting sqref="AZ26">
    <cfRule type="cellIs" dxfId="11244" priority="133038" stopIfTrue="1" operator="lessThan">
      <formula>0.5</formula>
    </cfRule>
  </conditionalFormatting>
  <conditionalFormatting sqref="AZ26">
    <cfRule type="cellIs" dxfId="11243" priority="133039" stopIfTrue="1" operator="greaterThanOrEqual">
      <formula>0.5</formula>
    </cfRule>
  </conditionalFormatting>
  <conditionalFormatting sqref="AZ27">
    <cfRule type="cellIs" dxfId="11242" priority="133040" stopIfTrue="1" operator="equal">
      <formula>-1</formula>
    </cfRule>
  </conditionalFormatting>
  <conditionalFormatting sqref="AZ27">
    <cfRule type="cellIs" dxfId="11241" priority="133041" stopIfTrue="1" operator="lessThan">
      <formula>0.5</formula>
    </cfRule>
  </conditionalFormatting>
  <conditionalFormatting sqref="AZ27">
    <cfRule type="cellIs" dxfId="11240" priority="133042" stopIfTrue="1" operator="greaterThanOrEqual">
      <formula>0.5</formula>
    </cfRule>
  </conditionalFormatting>
  <conditionalFormatting sqref="AZ28">
    <cfRule type="cellIs" dxfId="11239" priority="133043" stopIfTrue="1" operator="equal">
      <formula>-1</formula>
    </cfRule>
  </conditionalFormatting>
  <conditionalFormatting sqref="AZ28">
    <cfRule type="cellIs" dxfId="11238" priority="133044" stopIfTrue="1" operator="lessThan">
      <formula>0.5</formula>
    </cfRule>
  </conditionalFormatting>
  <conditionalFormatting sqref="AZ28">
    <cfRule type="cellIs" dxfId="11237" priority="133045" stopIfTrue="1" operator="greaterThanOrEqual">
      <formula>0.5</formula>
    </cfRule>
  </conditionalFormatting>
  <conditionalFormatting sqref="AZ29">
    <cfRule type="cellIs" dxfId="11236" priority="133046" stopIfTrue="1" operator="equal">
      <formula>-1</formula>
    </cfRule>
  </conditionalFormatting>
  <conditionalFormatting sqref="AZ29">
    <cfRule type="cellIs" dxfId="11235" priority="133047" stopIfTrue="1" operator="lessThan">
      <formula>0.5</formula>
    </cfRule>
  </conditionalFormatting>
  <conditionalFormatting sqref="AZ29">
    <cfRule type="cellIs" dxfId="11234" priority="133048" stopIfTrue="1" operator="greaterThanOrEqual">
      <formula>0.5</formula>
    </cfRule>
  </conditionalFormatting>
  <conditionalFormatting sqref="AZ30">
    <cfRule type="cellIs" dxfId="11233" priority="133049" stopIfTrue="1" operator="equal">
      <formula>-1</formula>
    </cfRule>
  </conditionalFormatting>
  <conditionalFormatting sqref="AZ30">
    <cfRule type="cellIs" dxfId="11232" priority="133050" stopIfTrue="1" operator="lessThan">
      <formula>0.5</formula>
    </cfRule>
  </conditionalFormatting>
  <conditionalFormatting sqref="AZ30">
    <cfRule type="cellIs" dxfId="11231" priority="133051" stopIfTrue="1" operator="greaterThanOrEqual">
      <formula>0.5</formula>
    </cfRule>
  </conditionalFormatting>
  <conditionalFormatting sqref="AZ31">
    <cfRule type="cellIs" dxfId="11230" priority="133052" stopIfTrue="1" operator="equal">
      <formula>-1</formula>
    </cfRule>
  </conditionalFormatting>
  <conditionalFormatting sqref="AZ31">
    <cfRule type="cellIs" dxfId="11229" priority="133053" stopIfTrue="1" operator="lessThan">
      <formula>0.5</formula>
    </cfRule>
  </conditionalFormatting>
  <conditionalFormatting sqref="AZ31">
    <cfRule type="cellIs" dxfId="11228" priority="133054" stopIfTrue="1" operator="greaterThanOrEqual">
      <formula>0.5</formula>
    </cfRule>
  </conditionalFormatting>
  <conditionalFormatting sqref="AZ32">
    <cfRule type="cellIs" dxfId="11227" priority="133055" stopIfTrue="1" operator="equal">
      <formula>-1</formula>
    </cfRule>
  </conditionalFormatting>
  <conditionalFormatting sqref="AZ32">
    <cfRule type="cellIs" dxfId="11226" priority="133056" stopIfTrue="1" operator="lessThan">
      <formula>0.5</formula>
    </cfRule>
  </conditionalFormatting>
  <conditionalFormatting sqref="AZ32">
    <cfRule type="cellIs" dxfId="11225" priority="133057" stopIfTrue="1" operator="greaterThanOrEqual">
      <formula>0.5</formula>
    </cfRule>
  </conditionalFormatting>
  <conditionalFormatting sqref="AZ33">
    <cfRule type="cellIs" dxfId="11224" priority="133058" stopIfTrue="1" operator="equal">
      <formula>-1</formula>
    </cfRule>
  </conditionalFormatting>
  <conditionalFormatting sqref="AZ33">
    <cfRule type="cellIs" dxfId="11223" priority="133059" stopIfTrue="1" operator="lessThan">
      <formula>0.5</formula>
    </cfRule>
  </conditionalFormatting>
  <conditionalFormatting sqref="AZ33">
    <cfRule type="cellIs" dxfId="11222" priority="133060" stopIfTrue="1" operator="greaterThanOrEqual">
      <formula>0.5</formula>
    </cfRule>
  </conditionalFormatting>
  <conditionalFormatting sqref="AZ34">
    <cfRule type="cellIs" dxfId="11221" priority="133061" stopIfTrue="1" operator="equal">
      <formula>-1</formula>
    </cfRule>
  </conditionalFormatting>
  <conditionalFormatting sqref="AZ34">
    <cfRule type="cellIs" dxfId="11220" priority="133062" stopIfTrue="1" operator="lessThan">
      <formula>0.5</formula>
    </cfRule>
  </conditionalFormatting>
  <conditionalFormatting sqref="AZ34">
    <cfRule type="cellIs" dxfId="11219" priority="133063" stopIfTrue="1" operator="greaterThanOrEqual">
      <formula>0.5</formula>
    </cfRule>
  </conditionalFormatting>
  <conditionalFormatting sqref="AZ35">
    <cfRule type="cellIs" dxfId="11218" priority="133064" stopIfTrue="1" operator="equal">
      <formula>-1</formula>
    </cfRule>
  </conditionalFormatting>
  <conditionalFormatting sqref="AZ35">
    <cfRule type="cellIs" dxfId="11217" priority="133065" stopIfTrue="1" operator="lessThan">
      <formula>0.5</formula>
    </cfRule>
  </conditionalFormatting>
  <conditionalFormatting sqref="AZ35">
    <cfRule type="cellIs" dxfId="11216" priority="133066" stopIfTrue="1" operator="greaterThanOrEqual">
      <formula>0.5</formula>
    </cfRule>
  </conditionalFormatting>
  <conditionalFormatting sqref="AZ36">
    <cfRule type="cellIs" dxfId="11215" priority="133067" stopIfTrue="1" operator="equal">
      <formula>-1</formula>
    </cfRule>
  </conditionalFormatting>
  <conditionalFormatting sqref="AZ36">
    <cfRule type="cellIs" dxfId="11214" priority="133068" stopIfTrue="1" operator="lessThan">
      <formula>0.5</formula>
    </cfRule>
  </conditionalFormatting>
  <conditionalFormatting sqref="AZ36">
    <cfRule type="cellIs" dxfId="11213" priority="133069" stopIfTrue="1" operator="greaterThanOrEqual">
      <formula>0.5</formula>
    </cfRule>
  </conditionalFormatting>
  <conditionalFormatting sqref="AZ37">
    <cfRule type="cellIs" dxfId="11212" priority="133070" stopIfTrue="1" operator="equal">
      <formula>-1</formula>
    </cfRule>
  </conditionalFormatting>
  <conditionalFormatting sqref="AZ37">
    <cfRule type="cellIs" dxfId="11211" priority="133071" stopIfTrue="1" operator="lessThan">
      <formula>0.5</formula>
    </cfRule>
  </conditionalFormatting>
  <conditionalFormatting sqref="AZ37">
    <cfRule type="cellIs" dxfId="11210" priority="133072" stopIfTrue="1" operator="greaterThanOrEqual">
      <formula>0.5</formula>
    </cfRule>
  </conditionalFormatting>
  <conditionalFormatting sqref="BB17">
    <cfRule type="cellIs" dxfId="11209" priority="133073" stopIfTrue="1" operator="equal">
      <formula>-1</formula>
    </cfRule>
  </conditionalFormatting>
  <conditionalFormatting sqref="BB17">
    <cfRule type="cellIs" dxfId="11208" priority="133074" stopIfTrue="1" operator="lessThan">
      <formula>0.5</formula>
    </cfRule>
  </conditionalFormatting>
  <conditionalFormatting sqref="BB17">
    <cfRule type="cellIs" dxfId="11207" priority="133075" stopIfTrue="1" operator="greaterThanOrEqual">
      <formula>0.5</formula>
    </cfRule>
  </conditionalFormatting>
  <conditionalFormatting sqref="BB18">
    <cfRule type="cellIs" dxfId="11206" priority="133076" stopIfTrue="1" operator="equal">
      <formula>-1</formula>
    </cfRule>
  </conditionalFormatting>
  <conditionalFormatting sqref="BB18">
    <cfRule type="cellIs" dxfId="11205" priority="133077" stopIfTrue="1" operator="lessThan">
      <formula>0.5</formula>
    </cfRule>
  </conditionalFormatting>
  <conditionalFormatting sqref="BB18">
    <cfRule type="cellIs" dxfId="11204" priority="133078" stopIfTrue="1" operator="greaterThanOrEqual">
      <formula>0.5</formula>
    </cfRule>
  </conditionalFormatting>
  <conditionalFormatting sqref="BB19">
    <cfRule type="cellIs" dxfId="11203" priority="133079" stopIfTrue="1" operator="equal">
      <formula>-1</formula>
    </cfRule>
  </conditionalFormatting>
  <conditionalFormatting sqref="BB19">
    <cfRule type="cellIs" dxfId="11202" priority="133080" stopIfTrue="1" operator="lessThan">
      <formula>0.5</formula>
    </cfRule>
  </conditionalFormatting>
  <conditionalFormatting sqref="BB19">
    <cfRule type="cellIs" dxfId="11201" priority="133081" stopIfTrue="1" operator="greaterThanOrEqual">
      <formula>0.5</formula>
    </cfRule>
  </conditionalFormatting>
  <conditionalFormatting sqref="BB20">
    <cfRule type="cellIs" dxfId="11200" priority="133082" stopIfTrue="1" operator="equal">
      <formula>-1</formula>
    </cfRule>
  </conditionalFormatting>
  <conditionalFormatting sqref="BB20">
    <cfRule type="cellIs" dxfId="11199" priority="133083" stopIfTrue="1" operator="lessThan">
      <formula>0.5</formula>
    </cfRule>
  </conditionalFormatting>
  <conditionalFormatting sqref="BB20">
    <cfRule type="cellIs" dxfId="11198" priority="133084" stopIfTrue="1" operator="greaterThanOrEqual">
      <formula>0.5</formula>
    </cfRule>
  </conditionalFormatting>
  <conditionalFormatting sqref="BB21">
    <cfRule type="cellIs" dxfId="11197" priority="133085" stopIfTrue="1" operator="equal">
      <formula>-1</formula>
    </cfRule>
  </conditionalFormatting>
  <conditionalFormatting sqref="BB21">
    <cfRule type="cellIs" dxfId="11196" priority="133086" stopIfTrue="1" operator="lessThan">
      <formula>0.5</formula>
    </cfRule>
  </conditionalFormatting>
  <conditionalFormatting sqref="BB21">
    <cfRule type="cellIs" dxfId="11195" priority="133087" stopIfTrue="1" operator="greaterThanOrEqual">
      <formula>0.5</formula>
    </cfRule>
  </conditionalFormatting>
  <conditionalFormatting sqref="BB22">
    <cfRule type="cellIs" dxfId="11194" priority="133088" stopIfTrue="1" operator="equal">
      <formula>-1</formula>
    </cfRule>
  </conditionalFormatting>
  <conditionalFormatting sqref="BB22">
    <cfRule type="cellIs" dxfId="11193" priority="133089" stopIfTrue="1" operator="lessThan">
      <formula>0.5</formula>
    </cfRule>
  </conditionalFormatting>
  <conditionalFormatting sqref="BB22">
    <cfRule type="cellIs" dxfId="11192" priority="133090" stopIfTrue="1" operator="greaterThanOrEqual">
      <formula>0.5</formula>
    </cfRule>
  </conditionalFormatting>
  <conditionalFormatting sqref="BB23">
    <cfRule type="cellIs" dxfId="11191" priority="133091" stopIfTrue="1" operator="equal">
      <formula>-1</formula>
    </cfRule>
  </conditionalFormatting>
  <conditionalFormatting sqref="BB23">
    <cfRule type="cellIs" dxfId="11190" priority="133092" stopIfTrue="1" operator="lessThan">
      <formula>0.5</formula>
    </cfRule>
  </conditionalFormatting>
  <conditionalFormatting sqref="BB23">
    <cfRule type="cellIs" dxfId="11189" priority="133093" stopIfTrue="1" operator="greaterThanOrEqual">
      <formula>0.5</formula>
    </cfRule>
  </conditionalFormatting>
  <conditionalFormatting sqref="BB24">
    <cfRule type="cellIs" dxfId="11188" priority="133094" stopIfTrue="1" operator="equal">
      <formula>-1</formula>
    </cfRule>
  </conditionalFormatting>
  <conditionalFormatting sqref="BB24">
    <cfRule type="cellIs" dxfId="11187" priority="133095" stopIfTrue="1" operator="lessThan">
      <formula>0.5</formula>
    </cfRule>
  </conditionalFormatting>
  <conditionalFormatting sqref="BB24">
    <cfRule type="cellIs" dxfId="11186" priority="133096" stopIfTrue="1" operator="greaterThanOrEqual">
      <formula>0.5</formula>
    </cfRule>
  </conditionalFormatting>
  <conditionalFormatting sqref="BB25">
    <cfRule type="cellIs" dxfId="11185" priority="133097" stopIfTrue="1" operator="equal">
      <formula>-1</formula>
    </cfRule>
  </conditionalFormatting>
  <conditionalFormatting sqref="BB25">
    <cfRule type="cellIs" dxfId="11184" priority="133098" stopIfTrue="1" operator="lessThan">
      <formula>0.5</formula>
    </cfRule>
  </conditionalFormatting>
  <conditionalFormatting sqref="BB25">
    <cfRule type="cellIs" dxfId="11183" priority="133099" stopIfTrue="1" operator="greaterThanOrEqual">
      <formula>0.5</formula>
    </cfRule>
  </conditionalFormatting>
  <conditionalFormatting sqref="BB26">
    <cfRule type="cellIs" dxfId="11182" priority="133100" stopIfTrue="1" operator="equal">
      <formula>-1</formula>
    </cfRule>
  </conditionalFormatting>
  <conditionalFormatting sqref="BB26">
    <cfRule type="cellIs" dxfId="11181" priority="133101" stopIfTrue="1" operator="lessThan">
      <formula>0.5</formula>
    </cfRule>
  </conditionalFormatting>
  <conditionalFormatting sqref="BB26">
    <cfRule type="cellIs" dxfId="11180" priority="133102" stopIfTrue="1" operator="greaterThanOrEqual">
      <formula>0.5</formula>
    </cfRule>
  </conditionalFormatting>
  <conditionalFormatting sqref="BB27">
    <cfRule type="cellIs" dxfId="11179" priority="133103" stopIfTrue="1" operator="equal">
      <formula>-1</formula>
    </cfRule>
  </conditionalFormatting>
  <conditionalFormatting sqref="BB27">
    <cfRule type="cellIs" dxfId="11178" priority="133104" stopIfTrue="1" operator="lessThan">
      <formula>0.5</formula>
    </cfRule>
  </conditionalFormatting>
  <conditionalFormatting sqref="BB27">
    <cfRule type="cellIs" dxfId="11177" priority="133105" stopIfTrue="1" operator="greaterThanOrEqual">
      <formula>0.5</formula>
    </cfRule>
  </conditionalFormatting>
  <conditionalFormatting sqref="BB28">
    <cfRule type="cellIs" dxfId="11176" priority="133106" stopIfTrue="1" operator="equal">
      <formula>-1</formula>
    </cfRule>
  </conditionalFormatting>
  <conditionalFormatting sqref="BB28">
    <cfRule type="cellIs" dxfId="11175" priority="133107" stopIfTrue="1" operator="lessThan">
      <formula>0.5</formula>
    </cfRule>
  </conditionalFormatting>
  <conditionalFormatting sqref="BB28">
    <cfRule type="cellIs" dxfId="11174" priority="133108" stopIfTrue="1" operator="greaterThanOrEqual">
      <formula>0.5</formula>
    </cfRule>
  </conditionalFormatting>
  <conditionalFormatting sqref="BB29">
    <cfRule type="cellIs" dxfId="11173" priority="133109" stopIfTrue="1" operator="equal">
      <formula>-1</formula>
    </cfRule>
  </conditionalFormatting>
  <conditionalFormatting sqref="BB29">
    <cfRule type="cellIs" dxfId="11172" priority="133110" stopIfTrue="1" operator="lessThan">
      <formula>0.5</formula>
    </cfRule>
  </conditionalFormatting>
  <conditionalFormatting sqref="BB29">
    <cfRule type="cellIs" dxfId="11171" priority="133111" stopIfTrue="1" operator="greaterThanOrEqual">
      <formula>0.5</formula>
    </cfRule>
  </conditionalFormatting>
  <conditionalFormatting sqref="BB30">
    <cfRule type="cellIs" dxfId="11170" priority="133112" stopIfTrue="1" operator="equal">
      <formula>-1</formula>
    </cfRule>
  </conditionalFormatting>
  <conditionalFormatting sqref="BB30">
    <cfRule type="cellIs" dxfId="11169" priority="133113" stopIfTrue="1" operator="lessThan">
      <formula>0.5</formula>
    </cfRule>
  </conditionalFormatting>
  <conditionalFormatting sqref="BB30">
    <cfRule type="cellIs" dxfId="11168" priority="133114" stopIfTrue="1" operator="greaterThanOrEqual">
      <formula>0.5</formula>
    </cfRule>
  </conditionalFormatting>
  <conditionalFormatting sqref="BB31">
    <cfRule type="cellIs" dxfId="11167" priority="133115" stopIfTrue="1" operator="equal">
      <formula>-1</formula>
    </cfRule>
  </conditionalFormatting>
  <conditionalFormatting sqref="BB31">
    <cfRule type="cellIs" dxfId="11166" priority="133116" stopIfTrue="1" operator="lessThan">
      <formula>0.5</formula>
    </cfRule>
  </conditionalFormatting>
  <conditionalFormatting sqref="BB31">
    <cfRule type="cellIs" dxfId="11165" priority="133117" stopIfTrue="1" operator="greaterThanOrEqual">
      <formula>0.5</formula>
    </cfRule>
  </conditionalFormatting>
  <conditionalFormatting sqref="BB32">
    <cfRule type="cellIs" dxfId="11164" priority="133118" stopIfTrue="1" operator="equal">
      <formula>-1</formula>
    </cfRule>
  </conditionalFormatting>
  <conditionalFormatting sqref="BB32">
    <cfRule type="cellIs" dxfId="11163" priority="133119" stopIfTrue="1" operator="lessThan">
      <formula>0.5</formula>
    </cfRule>
  </conditionalFormatting>
  <conditionalFormatting sqref="BB32">
    <cfRule type="cellIs" dxfId="11162" priority="133120" stopIfTrue="1" operator="greaterThanOrEqual">
      <formula>0.5</formula>
    </cfRule>
  </conditionalFormatting>
  <conditionalFormatting sqref="BB33">
    <cfRule type="cellIs" dxfId="11161" priority="133121" stopIfTrue="1" operator="equal">
      <formula>-1</formula>
    </cfRule>
  </conditionalFormatting>
  <conditionalFormatting sqref="BB33">
    <cfRule type="cellIs" dxfId="11160" priority="133122" stopIfTrue="1" operator="lessThan">
      <formula>0.5</formula>
    </cfRule>
  </conditionalFormatting>
  <conditionalFormatting sqref="BB33">
    <cfRule type="cellIs" dxfId="11159" priority="133123" stopIfTrue="1" operator="greaterThanOrEqual">
      <formula>0.5</formula>
    </cfRule>
  </conditionalFormatting>
  <conditionalFormatting sqref="BB34">
    <cfRule type="cellIs" dxfId="11158" priority="133124" stopIfTrue="1" operator="equal">
      <formula>-1</formula>
    </cfRule>
  </conditionalFormatting>
  <conditionalFormatting sqref="BB34">
    <cfRule type="cellIs" dxfId="11157" priority="133125" stopIfTrue="1" operator="lessThan">
      <formula>0.5</formula>
    </cfRule>
  </conditionalFormatting>
  <conditionalFormatting sqref="BB34">
    <cfRule type="cellIs" dxfId="11156" priority="133126" stopIfTrue="1" operator="greaterThanOrEqual">
      <formula>0.5</formula>
    </cfRule>
  </conditionalFormatting>
  <conditionalFormatting sqref="BB35">
    <cfRule type="cellIs" dxfId="11155" priority="133127" stopIfTrue="1" operator="equal">
      <formula>-1</formula>
    </cfRule>
  </conditionalFormatting>
  <conditionalFormatting sqref="BB35">
    <cfRule type="cellIs" dxfId="11154" priority="133128" stopIfTrue="1" operator="lessThan">
      <formula>0.5</formula>
    </cfRule>
  </conditionalFormatting>
  <conditionalFormatting sqref="BB35">
    <cfRule type="cellIs" dxfId="11153" priority="133129" stopIfTrue="1" operator="greaterThanOrEqual">
      <formula>0.5</formula>
    </cfRule>
  </conditionalFormatting>
  <conditionalFormatting sqref="BB36">
    <cfRule type="cellIs" dxfId="11152" priority="133130" stopIfTrue="1" operator="equal">
      <formula>-1</formula>
    </cfRule>
  </conditionalFormatting>
  <conditionalFormatting sqref="BB36">
    <cfRule type="cellIs" dxfId="11151" priority="133131" stopIfTrue="1" operator="lessThan">
      <formula>0.5</formula>
    </cfRule>
  </conditionalFormatting>
  <conditionalFormatting sqref="BB36">
    <cfRule type="cellIs" dxfId="11150" priority="133132" stopIfTrue="1" operator="greaterThanOrEqual">
      <formula>0.5</formula>
    </cfRule>
  </conditionalFormatting>
  <conditionalFormatting sqref="BB37">
    <cfRule type="cellIs" dxfId="11149" priority="133133" stopIfTrue="1" operator="equal">
      <formula>-1</formula>
    </cfRule>
  </conditionalFormatting>
  <conditionalFormatting sqref="BB37">
    <cfRule type="cellIs" dxfId="11148" priority="133134" stopIfTrue="1" operator="lessThan">
      <formula>0.5</formula>
    </cfRule>
  </conditionalFormatting>
  <conditionalFormatting sqref="BB37">
    <cfRule type="cellIs" dxfId="11147" priority="133135" stopIfTrue="1" operator="greaterThanOrEqual">
      <formula>0.5</formula>
    </cfRule>
  </conditionalFormatting>
  <conditionalFormatting sqref="BD17">
    <cfRule type="cellIs" dxfId="11146" priority="133136" stopIfTrue="1" operator="equal">
      <formula>-1</formula>
    </cfRule>
  </conditionalFormatting>
  <conditionalFormatting sqref="BD17">
    <cfRule type="cellIs" dxfId="11145" priority="133137" stopIfTrue="1" operator="lessThan">
      <formula>0.5</formula>
    </cfRule>
  </conditionalFormatting>
  <conditionalFormatting sqref="BD17">
    <cfRule type="cellIs" dxfId="11144" priority="133138" stopIfTrue="1" operator="greaterThanOrEqual">
      <formula>0.5</formula>
    </cfRule>
  </conditionalFormatting>
  <conditionalFormatting sqref="BD18">
    <cfRule type="cellIs" dxfId="11143" priority="133139" stopIfTrue="1" operator="equal">
      <formula>-1</formula>
    </cfRule>
  </conditionalFormatting>
  <conditionalFormatting sqref="BD18">
    <cfRule type="cellIs" dxfId="11142" priority="133140" stopIfTrue="1" operator="lessThan">
      <formula>0.5</formula>
    </cfRule>
  </conditionalFormatting>
  <conditionalFormatting sqref="BD18">
    <cfRule type="cellIs" dxfId="11141" priority="133141" stopIfTrue="1" operator="greaterThanOrEqual">
      <formula>0.5</formula>
    </cfRule>
  </conditionalFormatting>
  <conditionalFormatting sqref="BD19">
    <cfRule type="cellIs" dxfId="11140" priority="133142" stopIfTrue="1" operator="equal">
      <formula>-1</formula>
    </cfRule>
  </conditionalFormatting>
  <conditionalFormatting sqref="BD19">
    <cfRule type="cellIs" dxfId="11139" priority="133143" stopIfTrue="1" operator="lessThan">
      <formula>0.5</formula>
    </cfRule>
  </conditionalFormatting>
  <conditionalFormatting sqref="BD19">
    <cfRule type="cellIs" dxfId="11138" priority="133144" stopIfTrue="1" operator="greaterThanOrEqual">
      <formula>0.5</formula>
    </cfRule>
  </conditionalFormatting>
  <conditionalFormatting sqref="BD20">
    <cfRule type="cellIs" dxfId="11137" priority="133145" stopIfTrue="1" operator="equal">
      <formula>-1</formula>
    </cfRule>
  </conditionalFormatting>
  <conditionalFormatting sqref="BD20">
    <cfRule type="cellIs" dxfId="11136" priority="133146" stopIfTrue="1" operator="lessThan">
      <formula>0.5</formula>
    </cfRule>
  </conditionalFormatting>
  <conditionalFormatting sqref="BD20">
    <cfRule type="cellIs" dxfId="11135" priority="133147" stopIfTrue="1" operator="greaterThanOrEqual">
      <formula>0.5</formula>
    </cfRule>
  </conditionalFormatting>
  <conditionalFormatting sqref="BD21">
    <cfRule type="cellIs" dxfId="11134" priority="133148" stopIfTrue="1" operator="equal">
      <formula>-1</formula>
    </cfRule>
  </conditionalFormatting>
  <conditionalFormatting sqref="BD21">
    <cfRule type="cellIs" dxfId="11133" priority="133149" stopIfTrue="1" operator="lessThan">
      <formula>0.5</formula>
    </cfRule>
  </conditionalFormatting>
  <conditionalFormatting sqref="BD21">
    <cfRule type="cellIs" dxfId="11132" priority="133150" stopIfTrue="1" operator="greaterThanOrEqual">
      <formula>0.5</formula>
    </cfRule>
  </conditionalFormatting>
  <conditionalFormatting sqref="BD22">
    <cfRule type="cellIs" dxfId="11131" priority="133151" stopIfTrue="1" operator="equal">
      <formula>-1</formula>
    </cfRule>
  </conditionalFormatting>
  <conditionalFormatting sqref="BD22">
    <cfRule type="cellIs" dxfId="11130" priority="133152" stopIfTrue="1" operator="lessThan">
      <formula>0.5</formula>
    </cfRule>
  </conditionalFormatting>
  <conditionalFormatting sqref="BD22">
    <cfRule type="cellIs" dxfId="11129" priority="133153" stopIfTrue="1" operator="greaterThanOrEqual">
      <formula>0.5</formula>
    </cfRule>
  </conditionalFormatting>
  <conditionalFormatting sqref="BD23">
    <cfRule type="cellIs" dxfId="11128" priority="133154" stopIfTrue="1" operator="equal">
      <formula>-1</formula>
    </cfRule>
  </conditionalFormatting>
  <conditionalFormatting sqref="BD23">
    <cfRule type="cellIs" dxfId="11127" priority="133155" stopIfTrue="1" operator="lessThan">
      <formula>0.5</formula>
    </cfRule>
  </conditionalFormatting>
  <conditionalFormatting sqref="BD23">
    <cfRule type="cellIs" dxfId="11126" priority="133156" stopIfTrue="1" operator="greaterThanOrEqual">
      <formula>0.5</formula>
    </cfRule>
  </conditionalFormatting>
  <conditionalFormatting sqref="BD24">
    <cfRule type="cellIs" dxfId="11125" priority="133157" stopIfTrue="1" operator="equal">
      <formula>-1</formula>
    </cfRule>
  </conditionalFormatting>
  <conditionalFormatting sqref="BD24">
    <cfRule type="cellIs" dxfId="11124" priority="133158" stopIfTrue="1" operator="lessThan">
      <formula>0.5</formula>
    </cfRule>
  </conditionalFormatting>
  <conditionalFormatting sqref="BD24">
    <cfRule type="cellIs" dxfId="11123" priority="133159" stopIfTrue="1" operator="greaterThanOrEqual">
      <formula>0.5</formula>
    </cfRule>
  </conditionalFormatting>
  <conditionalFormatting sqref="BD25">
    <cfRule type="cellIs" dxfId="11122" priority="133160" stopIfTrue="1" operator="equal">
      <formula>-1</formula>
    </cfRule>
  </conditionalFormatting>
  <conditionalFormatting sqref="BD25">
    <cfRule type="cellIs" dxfId="11121" priority="133161" stopIfTrue="1" operator="lessThan">
      <formula>0.5</formula>
    </cfRule>
  </conditionalFormatting>
  <conditionalFormatting sqref="BD25">
    <cfRule type="cellIs" dxfId="11120" priority="133162" stopIfTrue="1" operator="greaterThanOrEqual">
      <formula>0.5</formula>
    </cfRule>
  </conditionalFormatting>
  <conditionalFormatting sqref="BD26">
    <cfRule type="cellIs" dxfId="11119" priority="133163" stopIfTrue="1" operator="equal">
      <formula>-1</formula>
    </cfRule>
  </conditionalFormatting>
  <conditionalFormatting sqref="BD26">
    <cfRule type="cellIs" dxfId="11118" priority="133164" stopIfTrue="1" operator="lessThan">
      <formula>0.5</formula>
    </cfRule>
  </conditionalFormatting>
  <conditionalFormatting sqref="BD26">
    <cfRule type="cellIs" dxfId="11117" priority="133165" stopIfTrue="1" operator="greaterThanOrEqual">
      <formula>0.5</formula>
    </cfRule>
  </conditionalFormatting>
  <conditionalFormatting sqref="BD27">
    <cfRule type="cellIs" dxfId="11116" priority="133166" stopIfTrue="1" operator="equal">
      <formula>-1</formula>
    </cfRule>
  </conditionalFormatting>
  <conditionalFormatting sqref="BD27">
    <cfRule type="cellIs" dxfId="11115" priority="133167" stopIfTrue="1" operator="lessThan">
      <formula>0.5</formula>
    </cfRule>
  </conditionalFormatting>
  <conditionalFormatting sqref="BD27">
    <cfRule type="cellIs" dxfId="11114" priority="133168" stopIfTrue="1" operator="greaterThanOrEqual">
      <formula>0.5</formula>
    </cfRule>
  </conditionalFormatting>
  <conditionalFormatting sqref="BD28">
    <cfRule type="cellIs" dxfId="11113" priority="133169" stopIfTrue="1" operator="equal">
      <formula>-1</formula>
    </cfRule>
  </conditionalFormatting>
  <conditionalFormatting sqref="BD28">
    <cfRule type="cellIs" dxfId="11112" priority="133170" stopIfTrue="1" operator="lessThan">
      <formula>0.5</formula>
    </cfRule>
  </conditionalFormatting>
  <conditionalFormatting sqref="BD28">
    <cfRule type="cellIs" dxfId="11111" priority="133171" stopIfTrue="1" operator="greaterThanOrEqual">
      <formula>0.5</formula>
    </cfRule>
  </conditionalFormatting>
  <conditionalFormatting sqref="BD29">
    <cfRule type="cellIs" dxfId="11110" priority="133172" stopIfTrue="1" operator="equal">
      <formula>-1</formula>
    </cfRule>
  </conditionalFormatting>
  <conditionalFormatting sqref="BD29">
    <cfRule type="cellIs" dxfId="11109" priority="133173" stopIfTrue="1" operator="lessThan">
      <formula>0.5</formula>
    </cfRule>
  </conditionalFormatting>
  <conditionalFormatting sqref="BD29">
    <cfRule type="cellIs" dxfId="11108" priority="133174" stopIfTrue="1" operator="greaterThanOrEqual">
      <formula>0.5</formula>
    </cfRule>
  </conditionalFormatting>
  <conditionalFormatting sqref="BD30">
    <cfRule type="cellIs" dxfId="11107" priority="133175" stopIfTrue="1" operator="equal">
      <formula>-1</formula>
    </cfRule>
  </conditionalFormatting>
  <conditionalFormatting sqref="BD30">
    <cfRule type="cellIs" dxfId="11106" priority="133176" stopIfTrue="1" operator="lessThan">
      <formula>0.5</formula>
    </cfRule>
  </conditionalFormatting>
  <conditionalFormatting sqref="BD30">
    <cfRule type="cellIs" dxfId="11105" priority="133177" stopIfTrue="1" operator="greaterThanOrEqual">
      <formula>0.5</formula>
    </cfRule>
  </conditionalFormatting>
  <conditionalFormatting sqref="BD31">
    <cfRule type="cellIs" dxfId="11104" priority="133178" stopIfTrue="1" operator="equal">
      <formula>-1</formula>
    </cfRule>
  </conditionalFormatting>
  <conditionalFormatting sqref="BD31">
    <cfRule type="cellIs" dxfId="11103" priority="133179" stopIfTrue="1" operator="lessThan">
      <formula>0.5</formula>
    </cfRule>
  </conditionalFormatting>
  <conditionalFormatting sqref="BD31">
    <cfRule type="cellIs" dxfId="11102" priority="133180" stopIfTrue="1" operator="greaterThanOrEqual">
      <formula>0.5</formula>
    </cfRule>
  </conditionalFormatting>
  <conditionalFormatting sqref="BD32">
    <cfRule type="cellIs" dxfId="11101" priority="133181" stopIfTrue="1" operator="equal">
      <formula>-1</formula>
    </cfRule>
  </conditionalFormatting>
  <conditionalFormatting sqref="BD32">
    <cfRule type="cellIs" dxfId="11100" priority="133182" stopIfTrue="1" operator="lessThan">
      <formula>0.5</formula>
    </cfRule>
  </conditionalFormatting>
  <conditionalFormatting sqref="BD32">
    <cfRule type="cellIs" dxfId="11099" priority="133183" stopIfTrue="1" operator="greaterThanOrEqual">
      <formula>0.5</formula>
    </cfRule>
  </conditionalFormatting>
  <conditionalFormatting sqref="BD33">
    <cfRule type="cellIs" dxfId="11098" priority="133184" stopIfTrue="1" operator="equal">
      <formula>-1</formula>
    </cfRule>
  </conditionalFormatting>
  <conditionalFormatting sqref="BD33">
    <cfRule type="cellIs" dxfId="11097" priority="133185" stopIfTrue="1" operator="lessThan">
      <formula>0.5</formula>
    </cfRule>
  </conditionalFormatting>
  <conditionalFormatting sqref="BD33">
    <cfRule type="cellIs" dxfId="11096" priority="133186" stopIfTrue="1" operator="greaterThanOrEqual">
      <formula>0.5</formula>
    </cfRule>
  </conditionalFormatting>
  <conditionalFormatting sqref="BD34">
    <cfRule type="cellIs" dxfId="11095" priority="133187" stopIfTrue="1" operator="equal">
      <formula>-1</formula>
    </cfRule>
  </conditionalFormatting>
  <conditionalFormatting sqref="BD34">
    <cfRule type="cellIs" dxfId="11094" priority="133188" stopIfTrue="1" operator="lessThan">
      <formula>0.5</formula>
    </cfRule>
  </conditionalFormatting>
  <conditionalFormatting sqref="BD34">
    <cfRule type="cellIs" dxfId="11093" priority="133189" stopIfTrue="1" operator="greaterThanOrEqual">
      <formula>0.5</formula>
    </cfRule>
  </conditionalFormatting>
  <conditionalFormatting sqref="BD35">
    <cfRule type="cellIs" dxfId="11092" priority="133190" stopIfTrue="1" operator="equal">
      <formula>-1</formula>
    </cfRule>
  </conditionalFormatting>
  <conditionalFormatting sqref="BD35">
    <cfRule type="cellIs" dxfId="11091" priority="133191" stopIfTrue="1" operator="lessThan">
      <formula>0.5</formula>
    </cfRule>
  </conditionalFormatting>
  <conditionalFormatting sqref="BD35">
    <cfRule type="cellIs" dxfId="11090" priority="133192" stopIfTrue="1" operator="greaterThanOrEqual">
      <formula>0.5</formula>
    </cfRule>
  </conditionalFormatting>
  <conditionalFormatting sqref="BD36">
    <cfRule type="cellIs" dxfId="11089" priority="133193" stopIfTrue="1" operator="equal">
      <formula>-1</formula>
    </cfRule>
  </conditionalFormatting>
  <conditionalFormatting sqref="BD36">
    <cfRule type="cellIs" dxfId="11088" priority="133194" stopIfTrue="1" operator="lessThan">
      <formula>0.5</formula>
    </cfRule>
  </conditionalFormatting>
  <conditionalFormatting sqref="BD36">
    <cfRule type="cellIs" dxfId="11087" priority="133195" stopIfTrue="1" operator="greaterThanOrEqual">
      <formula>0.5</formula>
    </cfRule>
  </conditionalFormatting>
  <conditionalFormatting sqref="BD37">
    <cfRule type="cellIs" dxfId="11086" priority="133196" stopIfTrue="1" operator="equal">
      <formula>-1</formula>
    </cfRule>
  </conditionalFormatting>
  <conditionalFormatting sqref="BD37">
    <cfRule type="cellIs" dxfId="11085" priority="133197" stopIfTrue="1" operator="lessThan">
      <formula>0.5</formula>
    </cfRule>
  </conditionalFormatting>
  <conditionalFormatting sqref="BD37">
    <cfRule type="cellIs" dxfId="11084" priority="133198" stopIfTrue="1" operator="greaterThanOrEqual">
      <formula>0.5</formula>
    </cfRule>
  </conditionalFormatting>
  <conditionalFormatting sqref="BF17">
    <cfRule type="cellIs" dxfId="11083" priority="133199" stopIfTrue="1" operator="equal">
      <formula>-1</formula>
    </cfRule>
  </conditionalFormatting>
  <conditionalFormatting sqref="BF17">
    <cfRule type="cellIs" dxfId="11082" priority="133200" stopIfTrue="1" operator="lessThan">
      <formula>0.5</formula>
    </cfRule>
  </conditionalFormatting>
  <conditionalFormatting sqref="BF17">
    <cfRule type="cellIs" dxfId="11081" priority="133201" stopIfTrue="1" operator="greaterThanOrEqual">
      <formula>0.5</formula>
    </cfRule>
  </conditionalFormatting>
  <conditionalFormatting sqref="BF18">
    <cfRule type="cellIs" dxfId="11080" priority="133202" stopIfTrue="1" operator="equal">
      <formula>-1</formula>
    </cfRule>
  </conditionalFormatting>
  <conditionalFormatting sqref="BF18">
    <cfRule type="cellIs" dxfId="11079" priority="133203" stopIfTrue="1" operator="lessThan">
      <formula>0.5</formula>
    </cfRule>
  </conditionalFormatting>
  <conditionalFormatting sqref="BF18">
    <cfRule type="cellIs" dxfId="11078" priority="133204" stopIfTrue="1" operator="greaterThanOrEqual">
      <formula>0.5</formula>
    </cfRule>
  </conditionalFormatting>
  <conditionalFormatting sqref="BF19">
    <cfRule type="cellIs" dxfId="11077" priority="133205" stopIfTrue="1" operator="equal">
      <formula>-1</formula>
    </cfRule>
  </conditionalFormatting>
  <conditionalFormatting sqref="BF19">
    <cfRule type="cellIs" dxfId="11076" priority="133206" stopIfTrue="1" operator="lessThan">
      <formula>0.5</formula>
    </cfRule>
  </conditionalFormatting>
  <conditionalFormatting sqref="BF19">
    <cfRule type="cellIs" dxfId="11075" priority="133207" stopIfTrue="1" operator="greaterThanOrEqual">
      <formula>0.5</formula>
    </cfRule>
  </conditionalFormatting>
  <conditionalFormatting sqref="BF20">
    <cfRule type="cellIs" dxfId="11074" priority="133208" stopIfTrue="1" operator="equal">
      <formula>-1</formula>
    </cfRule>
  </conditionalFormatting>
  <conditionalFormatting sqref="BF20">
    <cfRule type="cellIs" dxfId="11073" priority="133209" stopIfTrue="1" operator="lessThan">
      <formula>0.5</formula>
    </cfRule>
  </conditionalFormatting>
  <conditionalFormatting sqref="BF20">
    <cfRule type="cellIs" dxfId="11072" priority="133210" stopIfTrue="1" operator="greaterThanOrEqual">
      <formula>0.5</formula>
    </cfRule>
  </conditionalFormatting>
  <conditionalFormatting sqref="BF21">
    <cfRule type="cellIs" dxfId="11071" priority="133211" stopIfTrue="1" operator="equal">
      <formula>-1</formula>
    </cfRule>
  </conditionalFormatting>
  <conditionalFormatting sqref="BF21">
    <cfRule type="cellIs" dxfId="11070" priority="133212" stopIfTrue="1" operator="lessThan">
      <formula>0.5</formula>
    </cfRule>
  </conditionalFormatting>
  <conditionalFormatting sqref="BF21">
    <cfRule type="cellIs" dxfId="11069" priority="133213" stopIfTrue="1" operator="greaterThanOrEqual">
      <formula>0.5</formula>
    </cfRule>
  </conditionalFormatting>
  <conditionalFormatting sqref="BF22">
    <cfRule type="cellIs" dxfId="11068" priority="133214" stopIfTrue="1" operator="equal">
      <formula>-1</formula>
    </cfRule>
  </conditionalFormatting>
  <conditionalFormatting sqref="BF22">
    <cfRule type="cellIs" dxfId="11067" priority="133215" stopIfTrue="1" operator="lessThan">
      <formula>0.5</formula>
    </cfRule>
  </conditionalFormatting>
  <conditionalFormatting sqref="BF22">
    <cfRule type="cellIs" dxfId="11066" priority="133216" stopIfTrue="1" operator="greaterThanOrEqual">
      <formula>0.5</formula>
    </cfRule>
  </conditionalFormatting>
  <conditionalFormatting sqref="BF23">
    <cfRule type="cellIs" dxfId="11065" priority="133217" stopIfTrue="1" operator="equal">
      <formula>-1</formula>
    </cfRule>
  </conditionalFormatting>
  <conditionalFormatting sqref="BF23">
    <cfRule type="cellIs" dxfId="11064" priority="133218" stopIfTrue="1" operator="lessThan">
      <formula>0.5</formula>
    </cfRule>
  </conditionalFormatting>
  <conditionalFormatting sqref="BF23">
    <cfRule type="cellIs" dxfId="11063" priority="133219" stopIfTrue="1" operator="greaterThanOrEqual">
      <formula>0.5</formula>
    </cfRule>
  </conditionalFormatting>
  <conditionalFormatting sqref="BF24">
    <cfRule type="cellIs" dxfId="11062" priority="133220" stopIfTrue="1" operator="equal">
      <formula>-1</formula>
    </cfRule>
  </conditionalFormatting>
  <conditionalFormatting sqref="BF24">
    <cfRule type="cellIs" dxfId="11061" priority="133221" stopIfTrue="1" operator="lessThan">
      <formula>0.5</formula>
    </cfRule>
  </conditionalFormatting>
  <conditionalFormatting sqref="BF24">
    <cfRule type="cellIs" dxfId="11060" priority="133222" stopIfTrue="1" operator="greaterThanOrEqual">
      <formula>0.5</formula>
    </cfRule>
  </conditionalFormatting>
  <conditionalFormatting sqref="BF25">
    <cfRule type="cellIs" dxfId="11059" priority="133223" stopIfTrue="1" operator="equal">
      <formula>-1</formula>
    </cfRule>
  </conditionalFormatting>
  <conditionalFormatting sqref="BF25">
    <cfRule type="cellIs" dxfId="11058" priority="133224" stopIfTrue="1" operator="lessThan">
      <formula>0.5</formula>
    </cfRule>
  </conditionalFormatting>
  <conditionalFormatting sqref="BF25">
    <cfRule type="cellIs" dxfId="11057" priority="133225" stopIfTrue="1" operator="greaterThanOrEqual">
      <formula>0.5</formula>
    </cfRule>
  </conditionalFormatting>
  <conditionalFormatting sqref="BF26">
    <cfRule type="cellIs" dxfId="11056" priority="133226" stopIfTrue="1" operator="equal">
      <formula>-1</formula>
    </cfRule>
  </conditionalFormatting>
  <conditionalFormatting sqref="BF26">
    <cfRule type="cellIs" dxfId="11055" priority="133227" stopIfTrue="1" operator="lessThan">
      <formula>0.5</formula>
    </cfRule>
  </conditionalFormatting>
  <conditionalFormatting sqref="BF26">
    <cfRule type="cellIs" dxfId="11054" priority="133228" stopIfTrue="1" operator="greaterThanOrEqual">
      <formula>0.5</formula>
    </cfRule>
  </conditionalFormatting>
  <conditionalFormatting sqref="BF27">
    <cfRule type="cellIs" dxfId="11053" priority="133229" stopIfTrue="1" operator="equal">
      <formula>-1</formula>
    </cfRule>
  </conditionalFormatting>
  <conditionalFormatting sqref="BF27">
    <cfRule type="cellIs" dxfId="11052" priority="133230" stopIfTrue="1" operator="lessThan">
      <formula>0.5</formula>
    </cfRule>
  </conditionalFormatting>
  <conditionalFormatting sqref="BF27">
    <cfRule type="cellIs" dxfId="11051" priority="133231" stopIfTrue="1" operator="greaterThanOrEqual">
      <formula>0.5</formula>
    </cfRule>
  </conditionalFormatting>
  <conditionalFormatting sqref="BF28">
    <cfRule type="cellIs" dxfId="11050" priority="133232" stopIfTrue="1" operator="equal">
      <formula>-1</formula>
    </cfRule>
  </conditionalFormatting>
  <conditionalFormatting sqref="BF28">
    <cfRule type="cellIs" dxfId="11049" priority="133233" stopIfTrue="1" operator="lessThan">
      <formula>0.5</formula>
    </cfRule>
  </conditionalFormatting>
  <conditionalFormatting sqref="BF28">
    <cfRule type="cellIs" dxfId="11048" priority="133234" stopIfTrue="1" operator="greaterThanOrEqual">
      <formula>0.5</formula>
    </cfRule>
  </conditionalFormatting>
  <conditionalFormatting sqref="BF29">
    <cfRule type="cellIs" dxfId="11047" priority="133235" stopIfTrue="1" operator="equal">
      <formula>-1</formula>
    </cfRule>
  </conditionalFormatting>
  <conditionalFormatting sqref="BF29">
    <cfRule type="cellIs" dxfId="11046" priority="133236" stopIfTrue="1" operator="lessThan">
      <formula>0.5</formula>
    </cfRule>
  </conditionalFormatting>
  <conditionalFormatting sqref="BF29">
    <cfRule type="cellIs" dxfId="11045" priority="133237" stopIfTrue="1" operator="greaterThanOrEqual">
      <formula>0.5</formula>
    </cfRule>
  </conditionalFormatting>
  <conditionalFormatting sqref="BF30">
    <cfRule type="cellIs" dxfId="11044" priority="133238" stopIfTrue="1" operator="equal">
      <formula>-1</formula>
    </cfRule>
  </conditionalFormatting>
  <conditionalFormatting sqref="BF30">
    <cfRule type="cellIs" dxfId="11043" priority="133239" stopIfTrue="1" operator="lessThan">
      <formula>0.5</formula>
    </cfRule>
  </conditionalFormatting>
  <conditionalFormatting sqref="BF30">
    <cfRule type="cellIs" dxfId="11042" priority="133240" stopIfTrue="1" operator="greaterThanOrEqual">
      <formula>0.5</formula>
    </cfRule>
  </conditionalFormatting>
  <conditionalFormatting sqref="BF31">
    <cfRule type="cellIs" dxfId="11041" priority="133241" stopIfTrue="1" operator="equal">
      <formula>-1</formula>
    </cfRule>
  </conditionalFormatting>
  <conditionalFormatting sqref="BF31">
    <cfRule type="cellIs" dxfId="11040" priority="133242" stopIfTrue="1" operator="lessThan">
      <formula>0.5</formula>
    </cfRule>
  </conditionalFormatting>
  <conditionalFormatting sqref="BF31">
    <cfRule type="cellIs" dxfId="11039" priority="133243" stopIfTrue="1" operator="greaterThanOrEqual">
      <formula>0.5</formula>
    </cfRule>
  </conditionalFormatting>
  <conditionalFormatting sqref="BF32">
    <cfRule type="cellIs" dxfId="11038" priority="133244" stopIfTrue="1" operator="equal">
      <formula>-1</formula>
    </cfRule>
  </conditionalFormatting>
  <conditionalFormatting sqref="BF32">
    <cfRule type="cellIs" dxfId="11037" priority="133245" stopIfTrue="1" operator="lessThan">
      <formula>0.5</formula>
    </cfRule>
  </conditionalFormatting>
  <conditionalFormatting sqref="BF32">
    <cfRule type="cellIs" dxfId="11036" priority="133246" stopIfTrue="1" operator="greaterThanOrEqual">
      <formula>0.5</formula>
    </cfRule>
  </conditionalFormatting>
  <conditionalFormatting sqref="BF33">
    <cfRule type="cellIs" dxfId="11035" priority="133247" stopIfTrue="1" operator="equal">
      <formula>-1</formula>
    </cfRule>
  </conditionalFormatting>
  <conditionalFormatting sqref="BF33">
    <cfRule type="cellIs" dxfId="11034" priority="133248" stopIfTrue="1" operator="lessThan">
      <formula>0.5</formula>
    </cfRule>
  </conditionalFormatting>
  <conditionalFormatting sqref="BF33">
    <cfRule type="cellIs" dxfId="11033" priority="133249" stopIfTrue="1" operator="greaterThanOrEqual">
      <formula>0.5</formula>
    </cfRule>
  </conditionalFormatting>
  <conditionalFormatting sqref="BF34">
    <cfRule type="cellIs" dxfId="11032" priority="133250" stopIfTrue="1" operator="equal">
      <formula>-1</formula>
    </cfRule>
  </conditionalFormatting>
  <conditionalFormatting sqref="BF34">
    <cfRule type="cellIs" dxfId="11031" priority="133251" stopIfTrue="1" operator="lessThan">
      <formula>0.5</formula>
    </cfRule>
  </conditionalFormatting>
  <conditionalFormatting sqref="BF34">
    <cfRule type="cellIs" dxfId="11030" priority="133252" stopIfTrue="1" operator="greaterThanOrEqual">
      <formula>0.5</formula>
    </cfRule>
  </conditionalFormatting>
  <conditionalFormatting sqref="BF35">
    <cfRule type="cellIs" dxfId="11029" priority="133253" stopIfTrue="1" operator="equal">
      <formula>-1</formula>
    </cfRule>
  </conditionalFormatting>
  <conditionalFormatting sqref="BF35">
    <cfRule type="cellIs" dxfId="11028" priority="133254" stopIfTrue="1" operator="lessThan">
      <formula>0.5</formula>
    </cfRule>
  </conditionalFormatting>
  <conditionalFormatting sqref="BF35">
    <cfRule type="cellIs" dxfId="11027" priority="133255" stopIfTrue="1" operator="greaterThanOrEqual">
      <formula>0.5</formula>
    </cfRule>
  </conditionalFormatting>
  <conditionalFormatting sqref="BF36">
    <cfRule type="cellIs" dxfId="11026" priority="133256" stopIfTrue="1" operator="equal">
      <formula>-1</formula>
    </cfRule>
  </conditionalFormatting>
  <conditionalFormatting sqref="BF36">
    <cfRule type="cellIs" dxfId="11025" priority="133257" stopIfTrue="1" operator="lessThan">
      <formula>0.5</formula>
    </cfRule>
  </conditionalFormatting>
  <conditionalFormatting sqref="BF36">
    <cfRule type="cellIs" dxfId="11024" priority="133258" stopIfTrue="1" operator="greaterThanOrEqual">
      <formula>0.5</formula>
    </cfRule>
  </conditionalFormatting>
  <conditionalFormatting sqref="BF37">
    <cfRule type="cellIs" dxfId="11023" priority="133259" stopIfTrue="1" operator="equal">
      <formula>-1</formula>
    </cfRule>
  </conditionalFormatting>
  <conditionalFormatting sqref="BF37">
    <cfRule type="cellIs" dxfId="11022" priority="133260" stopIfTrue="1" operator="lessThan">
      <formula>0.5</formula>
    </cfRule>
  </conditionalFormatting>
  <conditionalFormatting sqref="BF37">
    <cfRule type="cellIs" dxfId="11021" priority="133261" stopIfTrue="1" operator="greaterThanOrEqual">
      <formula>0.5</formula>
    </cfRule>
  </conditionalFormatting>
  <conditionalFormatting sqref="BH17">
    <cfRule type="cellIs" dxfId="11020" priority="133262" stopIfTrue="1" operator="equal">
      <formula>-1</formula>
    </cfRule>
  </conditionalFormatting>
  <conditionalFormatting sqref="BH17">
    <cfRule type="cellIs" dxfId="11019" priority="133263" stopIfTrue="1" operator="lessThan">
      <formula>0.5</formula>
    </cfRule>
  </conditionalFormatting>
  <conditionalFormatting sqref="BH17">
    <cfRule type="cellIs" dxfId="11018" priority="133264" stopIfTrue="1" operator="greaterThanOrEqual">
      <formula>0.5</formula>
    </cfRule>
  </conditionalFormatting>
  <conditionalFormatting sqref="BH18">
    <cfRule type="cellIs" dxfId="11017" priority="133265" stopIfTrue="1" operator="equal">
      <formula>-1</formula>
    </cfRule>
  </conditionalFormatting>
  <conditionalFormatting sqref="BH18">
    <cfRule type="cellIs" dxfId="11016" priority="133266" stopIfTrue="1" operator="lessThan">
      <formula>0.5</formula>
    </cfRule>
  </conditionalFormatting>
  <conditionalFormatting sqref="BH18">
    <cfRule type="cellIs" dxfId="11015" priority="133267" stopIfTrue="1" operator="greaterThanOrEqual">
      <formula>0.5</formula>
    </cfRule>
  </conditionalFormatting>
  <conditionalFormatting sqref="BH19">
    <cfRule type="cellIs" dxfId="11014" priority="133268" stopIfTrue="1" operator="equal">
      <formula>-1</formula>
    </cfRule>
  </conditionalFormatting>
  <conditionalFormatting sqref="BH19">
    <cfRule type="cellIs" dxfId="11013" priority="133269" stopIfTrue="1" operator="lessThan">
      <formula>0.5</formula>
    </cfRule>
  </conditionalFormatting>
  <conditionalFormatting sqref="BH19">
    <cfRule type="cellIs" dxfId="11012" priority="133270" stopIfTrue="1" operator="greaterThanOrEqual">
      <formula>0.5</formula>
    </cfRule>
  </conditionalFormatting>
  <conditionalFormatting sqref="BH20">
    <cfRule type="cellIs" dxfId="11011" priority="133271" stopIfTrue="1" operator="equal">
      <formula>-1</formula>
    </cfRule>
  </conditionalFormatting>
  <conditionalFormatting sqref="BH20">
    <cfRule type="cellIs" dxfId="11010" priority="133272" stopIfTrue="1" operator="lessThan">
      <formula>0.5</formula>
    </cfRule>
  </conditionalFormatting>
  <conditionalFormatting sqref="BH20">
    <cfRule type="cellIs" dxfId="11009" priority="133273" stopIfTrue="1" operator="greaterThanOrEqual">
      <formula>0.5</formula>
    </cfRule>
  </conditionalFormatting>
  <conditionalFormatting sqref="BH21">
    <cfRule type="cellIs" dxfId="11008" priority="133274" stopIfTrue="1" operator="equal">
      <formula>-1</formula>
    </cfRule>
  </conditionalFormatting>
  <conditionalFormatting sqref="BH21">
    <cfRule type="cellIs" dxfId="11007" priority="133275" stopIfTrue="1" operator="lessThan">
      <formula>0.5</formula>
    </cfRule>
  </conditionalFormatting>
  <conditionalFormatting sqref="BH21">
    <cfRule type="cellIs" dxfId="11006" priority="133276" stopIfTrue="1" operator="greaterThanOrEqual">
      <formula>0.5</formula>
    </cfRule>
  </conditionalFormatting>
  <conditionalFormatting sqref="BH22">
    <cfRule type="cellIs" dxfId="11005" priority="133277" stopIfTrue="1" operator="equal">
      <formula>-1</formula>
    </cfRule>
  </conditionalFormatting>
  <conditionalFormatting sqref="BH22">
    <cfRule type="cellIs" dxfId="11004" priority="133278" stopIfTrue="1" operator="lessThan">
      <formula>0.5</formula>
    </cfRule>
  </conditionalFormatting>
  <conditionalFormatting sqref="BH22">
    <cfRule type="cellIs" dxfId="11003" priority="133279" stopIfTrue="1" operator="greaterThanOrEqual">
      <formula>0.5</formula>
    </cfRule>
  </conditionalFormatting>
  <conditionalFormatting sqref="BH23">
    <cfRule type="cellIs" dxfId="11002" priority="133280" stopIfTrue="1" operator="equal">
      <formula>-1</formula>
    </cfRule>
  </conditionalFormatting>
  <conditionalFormatting sqref="BH23">
    <cfRule type="cellIs" dxfId="11001" priority="133281" stopIfTrue="1" operator="lessThan">
      <formula>0.5</formula>
    </cfRule>
  </conditionalFormatting>
  <conditionalFormatting sqref="BH23">
    <cfRule type="cellIs" dxfId="11000" priority="133282" stopIfTrue="1" operator="greaterThanOrEqual">
      <formula>0.5</formula>
    </cfRule>
  </conditionalFormatting>
  <conditionalFormatting sqref="BH24">
    <cfRule type="cellIs" dxfId="10999" priority="133283" stopIfTrue="1" operator="equal">
      <formula>-1</formula>
    </cfRule>
  </conditionalFormatting>
  <conditionalFormatting sqref="BH24">
    <cfRule type="cellIs" dxfId="10998" priority="133284" stopIfTrue="1" operator="lessThan">
      <formula>0.5</formula>
    </cfRule>
  </conditionalFormatting>
  <conditionalFormatting sqref="BH24">
    <cfRule type="cellIs" dxfId="10997" priority="133285" stopIfTrue="1" operator="greaterThanOrEqual">
      <formula>0.5</formula>
    </cfRule>
  </conditionalFormatting>
  <conditionalFormatting sqref="BH25">
    <cfRule type="cellIs" dxfId="10996" priority="133286" stopIfTrue="1" operator="equal">
      <formula>-1</formula>
    </cfRule>
  </conditionalFormatting>
  <conditionalFormatting sqref="BH25">
    <cfRule type="cellIs" dxfId="10995" priority="133287" stopIfTrue="1" operator="lessThan">
      <formula>0.5</formula>
    </cfRule>
  </conditionalFormatting>
  <conditionalFormatting sqref="BH25">
    <cfRule type="cellIs" dxfId="10994" priority="133288" stopIfTrue="1" operator="greaterThanOrEqual">
      <formula>0.5</formula>
    </cfRule>
  </conditionalFormatting>
  <conditionalFormatting sqref="BH26">
    <cfRule type="cellIs" dxfId="10993" priority="133289" stopIfTrue="1" operator="equal">
      <formula>-1</formula>
    </cfRule>
  </conditionalFormatting>
  <conditionalFormatting sqref="BH26">
    <cfRule type="cellIs" dxfId="10992" priority="133290" stopIfTrue="1" operator="lessThan">
      <formula>0.5</formula>
    </cfRule>
  </conditionalFormatting>
  <conditionalFormatting sqref="BH26">
    <cfRule type="cellIs" dxfId="10991" priority="133291" stopIfTrue="1" operator="greaterThanOrEqual">
      <formula>0.5</formula>
    </cfRule>
  </conditionalFormatting>
  <conditionalFormatting sqref="BH27">
    <cfRule type="cellIs" dxfId="10990" priority="133292" stopIfTrue="1" operator="equal">
      <formula>-1</formula>
    </cfRule>
  </conditionalFormatting>
  <conditionalFormatting sqref="BH27">
    <cfRule type="cellIs" dxfId="10989" priority="133293" stopIfTrue="1" operator="lessThan">
      <formula>0.5</formula>
    </cfRule>
  </conditionalFormatting>
  <conditionalFormatting sqref="BH27">
    <cfRule type="cellIs" dxfId="10988" priority="133294" stopIfTrue="1" operator="greaterThanOrEqual">
      <formula>0.5</formula>
    </cfRule>
  </conditionalFormatting>
  <conditionalFormatting sqref="BH28">
    <cfRule type="cellIs" dxfId="10987" priority="133295" stopIfTrue="1" operator="equal">
      <formula>-1</formula>
    </cfRule>
  </conditionalFormatting>
  <conditionalFormatting sqref="BH28">
    <cfRule type="cellIs" dxfId="10986" priority="133296" stopIfTrue="1" operator="lessThan">
      <formula>0.5</formula>
    </cfRule>
  </conditionalFormatting>
  <conditionalFormatting sqref="BH28">
    <cfRule type="cellIs" dxfId="10985" priority="133297" stopIfTrue="1" operator="greaterThanOrEqual">
      <formula>0.5</formula>
    </cfRule>
  </conditionalFormatting>
  <conditionalFormatting sqref="BH29">
    <cfRule type="cellIs" dxfId="10984" priority="133298" stopIfTrue="1" operator="equal">
      <formula>-1</formula>
    </cfRule>
  </conditionalFormatting>
  <conditionalFormatting sqref="BH29">
    <cfRule type="cellIs" dxfId="10983" priority="133299" stopIfTrue="1" operator="lessThan">
      <formula>0.5</formula>
    </cfRule>
  </conditionalFormatting>
  <conditionalFormatting sqref="BH29">
    <cfRule type="cellIs" dxfId="10982" priority="133300" stopIfTrue="1" operator="greaterThanOrEqual">
      <formula>0.5</formula>
    </cfRule>
  </conditionalFormatting>
  <conditionalFormatting sqref="BH30">
    <cfRule type="cellIs" dxfId="10981" priority="133301" stopIfTrue="1" operator="equal">
      <formula>-1</formula>
    </cfRule>
  </conditionalFormatting>
  <conditionalFormatting sqref="BH30">
    <cfRule type="cellIs" dxfId="10980" priority="133302" stopIfTrue="1" operator="lessThan">
      <formula>0.5</formula>
    </cfRule>
  </conditionalFormatting>
  <conditionalFormatting sqref="BH30">
    <cfRule type="cellIs" dxfId="10979" priority="133303" stopIfTrue="1" operator="greaterThanOrEqual">
      <formula>0.5</formula>
    </cfRule>
  </conditionalFormatting>
  <conditionalFormatting sqref="BH31">
    <cfRule type="cellIs" dxfId="10978" priority="133304" stopIfTrue="1" operator="equal">
      <formula>-1</formula>
    </cfRule>
  </conditionalFormatting>
  <conditionalFormatting sqref="BH31">
    <cfRule type="cellIs" dxfId="10977" priority="133305" stopIfTrue="1" operator="lessThan">
      <formula>0.5</formula>
    </cfRule>
  </conditionalFormatting>
  <conditionalFormatting sqref="BH31">
    <cfRule type="cellIs" dxfId="10976" priority="133306" stopIfTrue="1" operator="greaterThanOrEqual">
      <formula>0.5</formula>
    </cfRule>
  </conditionalFormatting>
  <conditionalFormatting sqref="BH32">
    <cfRule type="cellIs" dxfId="10975" priority="133307" stopIfTrue="1" operator="equal">
      <formula>-1</formula>
    </cfRule>
  </conditionalFormatting>
  <conditionalFormatting sqref="BH32">
    <cfRule type="cellIs" dxfId="10974" priority="133308" stopIfTrue="1" operator="lessThan">
      <formula>0.5</formula>
    </cfRule>
  </conditionalFormatting>
  <conditionalFormatting sqref="BH32">
    <cfRule type="cellIs" dxfId="10973" priority="133309" stopIfTrue="1" operator="greaterThanOrEqual">
      <formula>0.5</formula>
    </cfRule>
  </conditionalFormatting>
  <conditionalFormatting sqref="BH33">
    <cfRule type="cellIs" dxfId="10972" priority="133310" stopIfTrue="1" operator="equal">
      <formula>-1</formula>
    </cfRule>
  </conditionalFormatting>
  <conditionalFormatting sqref="BH33">
    <cfRule type="cellIs" dxfId="10971" priority="133311" stopIfTrue="1" operator="lessThan">
      <formula>0.5</formula>
    </cfRule>
  </conditionalFormatting>
  <conditionalFormatting sqref="BH33">
    <cfRule type="cellIs" dxfId="10970" priority="133312" stopIfTrue="1" operator="greaterThanOrEqual">
      <formula>0.5</formula>
    </cfRule>
  </conditionalFormatting>
  <conditionalFormatting sqref="BH34">
    <cfRule type="cellIs" dxfId="10969" priority="133313" stopIfTrue="1" operator="equal">
      <formula>-1</formula>
    </cfRule>
  </conditionalFormatting>
  <conditionalFormatting sqref="BH34">
    <cfRule type="cellIs" dxfId="10968" priority="133314" stopIfTrue="1" operator="lessThan">
      <formula>0.5</formula>
    </cfRule>
  </conditionalFormatting>
  <conditionalFormatting sqref="BH34">
    <cfRule type="cellIs" dxfId="10967" priority="133315" stopIfTrue="1" operator="greaterThanOrEqual">
      <formula>0.5</formula>
    </cfRule>
  </conditionalFormatting>
  <conditionalFormatting sqref="BH35">
    <cfRule type="cellIs" dxfId="10966" priority="133316" stopIfTrue="1" operator="equal">
      <formula>-1</formula>
    </cfRule>
  </conditionalFormatting>
  <conditionalFormatting sqref="BH35">
    <cfRule type="cellIs" dxfId="10965" priority="133317" stopIfTrue="1" operator="lessThan">
      <formula>0.5</formula>
    </cfRule>
  </conditionalFormatting>
  <conditionalFormatting sqref="BH35">
    <cfRule type="cellIs" dxfId="10964" priority="133318" stopIfTrue="1" operator="greaterThanOrEqual">
      <formula>0.5</formula>
    </cfRule>
  </conditionalFormatting>
  <conditionalFormatting sqref="BH36">
    <cfRule type="cellIs" dxfId="10963" priority="133319" stopIfTrue="1" operator="equal">
      <formula>-1</formula>
    </cfRule>
  </conditionalFormatting>
  <conditionalFormatting sqref="BH36">
    <cfRule type="cellIs" dxfId="10962" priority="133320" stopIfTrue="1" operator="lessThan">
      <formula>0.5</formula>
    </cfRule>
  </conditionalFormatting>
  <conditionalFormatting sqref="BH36">
    <cfRule type="cellIs" dxfId="10961" priority="133321" stopIfTrue="1" operator="greaterThanOrEqual">
      <formula>0.5</formula>
    </cfRule>
  </conditionalFormatting>
  <conditionalFormatting sqref="BH37">
    <cfRule type="cellIs" dxfId="10960" priority="133322" stopIfTrue="1" operator="equal">
      <formula>-1</formula>
    </cfRule>
  </conditionalFormatting>
  <conditionalFormatting sqref="BH37">
    <cfRule type="cellIs" dxfId="10959" priority="133323" stopIfTrue="1" operator="lessThan">
      <formula>0.5</formula>
    </cfRule>
  </conditionalFormatting>
  <conditionalFormatting sqref="BH37">
    <cfRule type="cellIs" dxfId="10958" priority="133324" stopIfTrue="1" operator="greaterThanOrEqual">
      <formula>0.5</formula>
    </cfRule>
  </conditionalFormatting>
  <conditionalFormatting sqref="BJ17">
    <cfRule type="cellIs" dxfId="10957" priority="133325" stopIfTrue="1" operator="equal">
      <formula>-1</formula>
    </cfRule>
  </conditionalFormatting>
  <conditionalFormatting sqref="BJ17">
    <cfRule type="cellIs" dxfId="10956" priority="133326" stopIfTrue="1" operator="lessThan">
      <formula>0.5</formula>
    </cfRule>
  </conditionalFormatting>
  <conditionalFormatting sqref="BJ17">
    <cfRule type="cellIs" dxfId="10955" priority="133327" stopIfTrue="1" operator="greaterThanOrEqual">
      <formula>0.5</formula>
    </cfRule>
  </conditionalFormatting>
  <conditionalFormatting sqref="BJ18">
    <cfRule type="cellIs" dxfId="10954" priority="133328" stopIfTrue="1" operator="equal">
      <formula>-1</formula>
    </cfRule>
  </conditionalFormatting>
  <conditionalFormatting sqref="BJ18">
    <cfRule type="cellIs" dxfId="10953" priority="133329" stopIfTrue="1" operator="lessThan">
      <formula>0.5</formula>
    </cfRule>
  </conditionalFormatting>
  <conditionalFormatting sqref="BJ18">
    <cfRule type="cellIs" dxfId="10952" priority="133330" stopIfTrue="1" operator="greaterThanOrEqual">
      <formula>0.5</formula>
    </cfRule>
  </conditionalFormatting>
  <conditionalFormatting sqref="BJ19">
    <cfRule type="cellIs" dxfId="10951" priority="133331" stopIfTrue="1" operator="equal">
      <formula>-1</formula>
    </cfRule>
  </conditionalFormatting>
  <conditionalFormatting sqref="BJ19">
    <cfRule type="cellIs" dxfId="10950" priority="133332" stopIfTrue="1" operator="lessThan">
      <formula>0.5</formula>
    </cfRule>
  </conditionalFormatting>
  <conditionalFormatting sqref="BJ19">
    <cfRule type="cellIs" dxfId="10949" priority="133333" stopIfTrue="1" operator="greaterThanOrEqual">
      <formula>0.5</formula>
    </cfRule>
  </conditionalFormatting>
  <conditionalFormatting sqref="BJ20">
    <cfRule type="cellIs" dxfId="10948" priority="133334" stopIfTrue="1" operator="equal">
      <formula>-1</formula>
    </cfRule>
  </conditionalFormatting>
  <conditionalFormatting sqref="BJ20">
    <cfRule type="cellIs" dxfId="10947" priority="133335" stopIfTrue="1" operator="lessThan">
      <formula>0.5</formula>
    </cfRule>
  </conditionalFormatting>
  <conditionalFormatting sqref="BJ20">
    <cfRule type="cellIs" dxfId="10946" priority="133336" stopIfTrue="1" operator="greaterThanOrEqual">
      <formula>0.5</formula>
    </cfRule>
  </conditionalFormatting>
  <conditionalFormatting sqref="BJ21">
    <cfRule type="cellIs" dxfId="10945" priority="133337" stopIfTrue="1" operator="equal">
      <formula>-1</formula>
    </cfRule>
  </conditionalFormatting>
  <conditionalFormatting sqref="BJ21">
    <cfRule type="cellIs" dxfId="10944" priority="133338" stopIfTrue="1" operator="lessThan">
      <formula>0.5</formula>
    </cfRule>
  </conditionalFormatting>
  <conditionalFormatting sqref="BJ21">
    <cfRule type="cellIs" dxfId="10943" priority="133339" stopIfTrue="1" operator="greaterThanOrEqual">
      <formula>0.5</formula>
    </cfRule>
  </conditionalFormatting>
  <conditionalFormatting sqref="BJ22">
    <cfRule type="cellIs" dxfId="10942" priority="133340" stopIfTrue="1" operator="equal">
      <formula>-1</formula>
    </cfRule>
  </conditionalFormatting>
  <conditionalFormatting sqref="BJ22">
    <cfRule type="cellIs" dxfId="10941" priority="133341" stopIfTrue="1" operator="lessThan">
      <formula>0.5</formula>
    </cfRule>
  </conditionalFormatting>
  <conditionalFormatting sqref="BJ22">
    <cfRule type="cellIs" dxfId="10940" priority="133342" stopIfTrue="1" operator="greaterThanOrEqual">
      <formula>0.5</formula>
    </cfRule>
  </conditionalFormatting>
  <conditionalFormatting sqref="BJ23">
    <cfRule type="cellIs" dxfId="10939" priority="133343" stopIfTrue="1" operator="equal">
      <formula>-1</formula>
    </cfRule>
  </conditionalFormatting>
  <conditionalFormatting sqref="BJ23">
    <cfRule type="cellIs" dxfId="10938" priority="133344" stopIfTrue="1" operator="lessThan">
      <formula>0.5</formula>
    </cfRule>
  </conditionalFormatting>
  <conditionalFormatting sqref="BJ23">
    <cfRule type="cellIs" dxfId="10937" priority="133345" stopIfTrue="1" operator="greaterThanOrEqual">
      <formula>0.5</formula>
    </cfRule>
  </conditionalFormatting>
  <conditionalFormatting sqref="BJ24">
    <cfRule type="cellIs" dxfId="10936" priority="133346" stopIfTrue="1" operator="equal">
      <formula>-1</formula>
    </cfRule>
  </conditionalFormatting>
  <conditionalFormatting sqref="BJ24">
    <cfRule type="cellIs" dxfId="10935" priority="133347" stopIfTrue="1" operator="lessThan">
      <formula>0.5</formula>
    </cfRule>
  </conditionalFormatting>
  <conditionalFormatting sqref="BJ24">
    <cfRule type="cellIs" dxfId="10934" priority="133348" stopIfTrue="1" operator="greaterThanOrEqual">
      <formula>0.5</formula>
    </cfRule>
  </conditionalFormatting>
  <conditionalFormatting sqref="BJ25">
    <cfRule type="cellIs" dxfId="10933" priority="133349" stopIfTrue="1" operator="equal">
      <formula>-1</formula>
    </cfRule>
  </conditionalFormatting>
  <conditionalFormatting sqref="BJ25">
    <cfRule type="cellIs" dxfId="10932" priority="133350" stopIfTrue="1" operator="lessThan">
      <formula>0.5</formula>
    </cfRule>
  </conditionalFormatting>
  <conditionalFormatting sqref="BJ25">
    <cfRule type="cellIs" dxfId="10931" priority="133351" stopIfTrue="1" operator="greaterThanOrEqual">
      <formula>0.5</formula>
    </cfRule>
  </conditionalFormatting>
  <conditionalFormatting sqref="BJ26">
    <cfRule type="cellIs" dxfId="10930" priority="133352" stopIfTrue="1" operator="equal">
      <formula>-1</formula>
    </cfRule>
  </conditionalFormatting>
  <conditionalFormatting sqref="BJ26">
    <cfRule type="cellIs" dxfId="10929" priority="133353" stopIfTrue="1" operator="lessThan">
      <formula>0.5</formula>
    </cfRule>
  </conditionalFormatting>
  <conditionalFormatting sqref="BJ26">
    <cfRule type="cellIs" dxfId="10928" priority="133354" stopIfTrue="1" operator="greaterThanOrEqual">
      <formula>0.5</formula>
    </cfRule>
  </conditionalFormatting>
  <conditionalFormatting sqref="BJ27">
    <cfRule type="cellIs" dxfId="10927" priority="133355" stopIfTrue="1" operator="equal">
      <formula>-1</formula>
    </cfRule>
  </conditionalFormatting>
  <conditionalFormatting sqref="BJ27">
    <cfRule type="cellIs" dxfId="10926" priority="133356" stopIfTrue="1" operator="lessThan">
      <formula>0.5</formula>
    </cfRule>
  </conditionalFormatting>
  <conditionalFormatting sqref="BJ27">
    <cfRule type="cellIs" dxfId="10925" priority="133357" stopIfTrue="1" operator="greaterThanOrEqual">
      <formula>0.5</formula>
    </cfRule>
  </conditionalFormatting>
  <conditionalFormatting sqref="BJ28">
    <cfRule type="cellIs" dxfId="10924" priority="133358" stopIfTrue="1" operator="equal">
      <formula>-1</formula>
    </cfRule>
  </conditionalFormatting>
  <conditionalFormatting sqref="BJ28">
    <cfRule type="cellIs" dxfId="10923" priority="133359" stopIfTrue="1" operator="lessThan">
      <formula>0.5</formula>
    </cfRule>
  </conditionalFormatting>
  <conditionalFormatting sqref="BJ28">
    <cfRule type="cellIs" dxfId="10922" priority="133360" stopIfTrue="1" operator="greaterThanOrEqual">
      <formula>0.5</formula>
    </cfRule>
  </conditionalFormatting>
  <conditionalFormatting sqref="BJ29">
    <cfRule type="cellIs" dxfId="10921" priority="133361" stopIfTrue="1" operator="equal">
      <formula>-1</formula>
    </cfRule>
  </conditionalFormatting>
  <conditionalFormatting sqref="BJ29">
    <cfRule type="cellIs" dxfId="10920" priority="133362" stopIfTrue="1" operator="lessThan">
      <formula>0.5</formula>
    </cfRule>
  </conditionalFormatting>
  <conditionalFormatting sqref="BJ29">
    <cfRule type="cellIs" dxfId="10919" priority="133363" stopIfTrue="1" operator="greaterThanOrEqual">
      <formula>0.5</formula>
    </cfRule>
  </conditionalFormatting>
  <conditionalFormatting sqref="BJ30">
    <cfRule type="cellIs" dxfId="10918" priority="133364" stopIfTrue="1" operator="equal">
      <formula>-1</formula>
    </cfRule>
  </conditionalFormatting>
  <conditionalFormatting sqref="BJ30">
    <cfRule type="cellIs" dxfId="10917" priority="133365" stopIfTrue="1" operator="lessThan">
      <formula>0.5</formula>
    </cfRule>
  </conditionalFormatting>
  <conditionalFormatting sqref="BJ30">
    <cfRule type="cellIs" dxfId="10916" priority="133366" stopIfTrue="1" operator="greaterThanOrEqual">
      <formula>0.5</formula>
    </cfRule>
  </conditionalFormatting>
  <conditionalFormatting sqref="BJ31">
    <cfRule type="cellIs" dxfId="10915" priority="133367" stopIfTrue="1" operator="equal">
      <formula>-1</formula>
    </cfRule>
  </conditionalFormatting>
  <conditionalFormatting sqref="BJ31">
    <cfRule type="cellIs" dxfId="10914" priority="133368" stopIfTrue="1" operator="lessThan">
      <formula>0.5</formula>
    </cfRule>
  </conditionalFormatting>
  <conditionalFormatting sqref="BJ31">
    <cfRule type="cellIs" dxfId="10913" priority="133369" stopIfTrue="1" operator="greaterThanOrEqual">
      <formula>0.5</formula>
    </cfRule>
  </conditionalFormatting>
  <conditionalFormatting sqref="BJ32">
    <cfRule type="cellIs" dxfId="10912" priority="133370" stopIfTrue="1" operator="equal">
      <formula>-1</formula>
    </cfRule>
  </conditionalFormatting>
  <conditionalFormatting sqref="BJ32">
    <cfRule type="cellIs" dxfId="10911" priority="133371" stopIfTrue="1" operator="lessThan">
      <formula>0.5</formula>
    </cfRule>
  </conditionalFormatting>
  <conditionalFormatting sqref="BJ32">
    <cfRule type="cellIs" dxfId="10910" priority="133372" stopIfTrue="1" operator="greaterThanOrEqual">
      <formula>0.5</formula>
    </cfRule>
  </conditionalFormatting>
  <conditionalFormatting sqref="BJ33">
    <cfRule type="cellIs" dxfId="10909" priority="133373" stopIfTrue="1" operator="equal">
      <formula>-1</formula>
    </cfRule>
  </conditionalFormatting>
  <conditionalFormatting sqref="BJ33">
    <cfRule type="cellIs" dxfId="10908" priority="133374" stopIfTrue="1" operator="lessThan">
      <formula>0.5</formula>
    </cfRule>
  </conditionalFormatting>
  <conditionalFormatting sqref="BJ33">
    <cfRule type="cellIs" dxfId="10907" priority="133375" stopIfTrue="1" operator="greaterThanOrEqual">
      <formula>0.5</formula>
    </cfRule>
  </conditionalFormatting>
  <conditionalFormatting sqref="BJ34">
    <cfRule type="cellIs" dxfId="10906" priority="133376" stopIfTrue="1" operator="equal">
      <formula>-1</formula>
    </cfRule>
  </conditionalFormatting>
  <conditionalFormatting sqref="BJ34">
    <cfRule type="cellIs" dxfId="10905" priority="133377" stopIfTrue="1" operator="lessThan">
      <formula>0.5</formula>
    </cfRule>
  </conditionalFormatting>
  <conditionalFormatting sqref="BJ34">
    <cfRule type="cellIs" dxfId="10904" priority="133378" stopIfTrue="1" operator="greaterThanOrEqual">
      <formula>0.5</formula>
    </cfRule>
  </conditionalFormatting>
  <conditionalFormatting sqref="BJ35">
    <cfRule type="cellIs" dxfId="10903" priority="133379" stopIfTrue="1" operator="equal">
      <formula>-1</formula>
    </cfRule>
  </conditionalFormatting>
  <conditionalFormatting sqref="BJ35">
    <cfRule type="cellIs" dxfId="10902" priority="133380" stopIfTrue="1" operator="lessThan">
      <formula>0.5</formula>
    </cfRule>
  </conditionalFormatting>
  <conditionalFormatting sqref="BJ35">
    <cfRule type="cellIs" dxfId="10901" priority="133381" stopIfTrue="1" operator="greaterThanOrEqual">
      <formula>0.5</formula>
    </cfRule>
  </conditionalFormatting>
  <conditionalFormatting sqref="BJ36">
    <cfRule type="cellIs" dxfId="10900" priority="133382" stopIfTrue="1" operator="equal">
      <formula>-1</formula>
    </cfRule>
  </conditionalFormatting>
  <conditionalFormatting sqref="BJ36">
    <cfRule type="cellIs" dxfId="10899" priority="133383" stopIfTrue="1" operator="lessThan">
      <formula>0.5</formula>
    </cfRule>
  </conditionalFormatting>
  <conditionalFormatting sqref="BJ36">
    <cfRule type="cellIs" dxfId="10898" priority="133384" stopIfTrue="1" operator="greaterThanOrEqual">
      <formula>0.5</formula>
    </cfRule>
  </conditionalFormatting>
  <conditionalFormatting sqref="BJ37">
    <cfRule type="cellIs" dxfId="10897" priority="133385" stopIfTrue="1" operator="equal">
      <formula>-1</formula>
    </cfRule>
  </conditionalFormatting>
  <conditionalFormatting sqref="BJ37">
    <cfRule type="cellIs" dxfId="10896" priority="133386" stopIfTrue="1" operator="lessThan">
      <formula>0.5</formula>
    </cfRule>
  </conditionalFormatting>
  <conditionalFormatting sqref="BJ37">
    <cfRule type="cellIs" dxfId="10895" priority="133387" stopIfTrue="1" operator="greaterThanOrEqual">
      <formula>0.5</formula>
    </cfRule>
  </conditionalFormatting>
  <conditionalFormatting sqref="D39">
    <cfRule type="cellIs" dxfId="10894" priority="133388" stopIfTrue="1" operator="equal">
      <formula>-1</formula>
    </cfRule>
  </conditionalFormatting>
  <conditionalFormatting sqref="D39">
    <cfRule type="cellIs" dxfId="10893" priority="133389" stopIfTrue="1" operator="lessThan">
      <formula>0.5</formula>
    </cfRule>
  </conditionalFormatting>
  <conditionalFormatting sqref="D39">
    <cfRule type="cellIs" dxfId="10892" priority="133390" stopIfTrue="1" operator="greaterThanOrEqual">
      <formula>0.5</formula>
    </cfRule>
  </conditionalFormatting>
  <conditionalFormatting sqref="D40">
    <cfRule type="cellIs" dxfId="10891" priority="133391" stopIfTrue="1" operator="equal">
      <formula>-1</formula>
    </cfRule>
  </conditionalFormatting>
  <conditionalFormatting sqref="D40">
    <cfRule type="cellIs" dxfId="10890" priority="133392" stopIfTrue="1" operator="lessThan">
      <formula>0.5</formula>
    </cfRule>
  </conditionalFormatting>
  <conditionalFormatting sqref="D40">
    <cfRule type="cellIs" dxfId="10889" priority="133393" stopIfTrue="1" operator="greaterThanOrEqual">
      <formula>0.5</formula>
    </cfRule>
  </conditionalFormatting>
  <conditionalFormatting sqref="D41">
    <cfRule type="cellIs" dxfId="10888" priority="133394" stopIfTrue="1" operator="equal">
      <formula>-1</formula>
    </cfRule>
  </conditionalFormatting>
  <conditionalFormatting sqref="D41">
    <cfRule type="cellIs" dxfId="10887" priority="133395" stopIfTrue="1" operator="lessThan">
      <formula>0.5</formula>
    </cfRule>
  </conditionalFormatting>
  <conditionalFormatting sqref="D41">
    <cfRule type="cellIs" dxfId="10886" priority="133396" stopIfTrue="1" operator="greaterThanOrEqual">
      <formula>0.5</formula>
    </cfRule>
  </conditionalFormatting>
  <conditionalFormatting sqref="D42">
    <cfRule type="cellIs" dxfId="10885" priority="133397" stopIfTrue="1" operator="equal">
      <formula>-1</formula>
    </cfRule>
  </conditionalFormatting>
  <conditionalFormatting sqref="D42">
    <cfRule type="cellIs" dxfId="10884" priority="133398" stopIfTrue="1" operator="lessThan">
      <formula>0.5</formula>
    </cfRule>
  </conditionalFormatting>
  <conditionalFormatting sqref="D42">
    <cfRule type="cellIs" dxfId="10883" priority="133399" stopIfTrue="1" operator="greaterThanOrEqual">
      <formula>0.5</formula>
    </cfRule>
  </conditionalFormatting>
  <conditionalFormatting sqref="D43">
    <cfRule type="cellIs" dxfId="10882" priority="133400" stopIfTrue="1" operator="equal">
      <formula>-1</formula>
    </cfRule>
  </conditionalFormatting>
  <conditionalFormatting sqref="D43">
    <cfRule type="cellIs" dxfId="10881" priority="133401" stopIfTrue="1" operator="lessThan">
      <formula>0.5</formula>
    </cfRule>
  </conditionalFormatting>
  <conditionalFormatting sqref="D43">
    <cfRule type="cellIs" dxfId="10880" priority="133402" stopIfTrue="1" operator="greaterThanOrEqual">
      <formula>0.5</formula>
    </cfRule>
  </conditionalFormatting>
  <conditionalFormatting sqref="D44">
    <cfRule type="cellIs" dxfId="10879" priority="133403" stopIfTrue="1" operator="equal">
      <formula>-1</formula>
    </cfRule>
  </conditionalFormatting>
  <conditionalFormatting sqref="D44">
    <cfRule type="cellIs" dxfId="10878" priority="133404" stopIfTrue="1" operator="lessThan">
      <formula>0.5</formula>
    </cfRule>
  </conditionalFormatting>
  <conditionalFormatting sqref="D44">
    <cfRule type="cellIs" dxfId="10877" priority="133405" stopIfTrue="1" operator="greaterThanOrEqual">
      <formula>0.5</formula>
    </cfRule>
  </conditionalFormatting>
  <conditionalFormatting sqref="D45">
    <cfRule type="cellIs" dxfId="10876" priority="133406" stopIfTrue="1" operator="equal">
      <formula>-1</formula>
    </cfRule>
  </conditionalFormatting>
  <conditionalFormatting sqref="D45">
    <cfRule type="cellIs" dxfId="10875" priority="133407" stopIfTrue="1" operator="lessThan">
      <formula>0.5</formula>
    </cfRule>
  </conditionalFormatting>
  <conditionalFormatting sqref="D45">
    <cfRule type="cellIs" dxfId="10874" priority="133408" stopIfTrue="1" operator="greaterThanOrEqual">
      <formula>0.5</formula>
    </cfRule>
  </conditionalFormatting>
  <conditionalFormatting sqref="D46">
    <cfRule type="cellIs" dxfId="10873" priority="133409" stopIfTrue="1" operator="equal">
      <formula>-1</formula>
    </cfRule>
  </conditionalFormatting>
  <conditionalFormatting sqref="D46">
    <cfRule type="cellIs" dxfId="10872" priority="133410" stopIfTrue="1" operator="lessThan">
      <formula>0.5</formula>
    </cfRule>
  </conditionalFormatting>
  <conditionalFormatting sqref="D46">
    <cfRule type="cellIs" dxfId="10871" priority="133411" stopIfTrue="1" operator="greaterThanOrEqual">
      <formula>0.5</formula>
    </cfRule>
  </conditionalFormatting>
  <conditionalFormatting sqref="D47">
    <cfRule type="cellIs" dxfId="10870" priority="133412" stopIfTrue="1" operator="equal">
      <formula>-1</formula>
    </cfRule>
  </conditionalFormatting>
  <conditionalFormatting sqref="D47">
    <cfRule type="cellIs" dxfId="10869" priority="133413" stopIfTrue="1" operator="lessThan">
      <formula>0.5</formula>
    </cfRule>
  </conditionalFormatting>
  <conditionalFormatting sqref="D47">
    <cfRule type="cellIs" dxfId="10868" priority="133414" stopIfTrue="1" operator="greaterThanOrEqual">
      <formula>0.5</formula>
    </cfRule>
  </conditionalFormatting>
  <conditionalFormatting sqref="D48">
    <cfRule type="cellIs" dxfId="10867" priority="133415" stopIfTrue="1" operator="equal">
      <formula>-1</formula>
    </cfRule>
  </conditionalFormatting>
  <conditionalFormatting sqref="D48">
    <cfRule type="cellIs" dxfId="10866" priority="133416" stopIfTrue="1" operator="lessThan">
      <formula>0.5</formula>
    </cfRule>
  </conditionalFormatting>
  <conditionalFormatting sqref="D48">
    <cfRule type="cellIs" dxfId="10865" priority="133417" stopIfTrue="1" operator="greaterThanOrEqual">
      <formula>0.5</formula>
    </cfRule>
  </conditionalFormatting>
  <conditionalFormatting sqref="D49">
    <cfRule type="cellIs" dxfId="10864" priority="133418" stopIfTrue="1" operator="equal">
      <formula>-1</formula>
    </cfRule>
  </conditionalFormatting>
  <conditionalFormatting sqref="D49">
    <cfRule type="cellIs" dxfId="10863" priority="133419" stopIfTrue="1" operator="lessThan">
      <formula>0.5</formula>
    </cfRule>
  </conditionalFormatting>
  <conditionalFormatting sqref="D49">
    <cfRule type="cellIs" dxfId="10862" priority="133420" stopIfTrue="1" operator="greaterThanOrEqual">
      <formula>0.5</formula>
    </cfRule>
  </conditionalFormatting>
  <conditionalFormatting sqref="D50">
    <cfRule type="cellIs" dxfId="10861" priority="133421" stopIfTrue="1" operator="equal">
      <formula>-1</formula>
    </cfRule>
  </conditionalFormatting>
  <conditionalFormatting sqref="D50">
    <cfRule type="cellIs" dxfId="10860" priority="133422" stopIfTrue="1" operator="lessThan">
      <formula>0.5</formula>
    </cfRule>
  </conditionalFormatting>
  <conditionalFormatting sqref="D50">
    <cfRule type="cellIs" dxfId="10859" priority="133423" stopIfTrue="1" operator="greaterThanOrEqual">
      <formula>0.5</formula>
    </cfRule>
  </conditionalFormatting>
  <conditionalFormatting sqref="D51">
    <cfRule type="cellIs" dxfId="10858" priority="133424" stopIfTrue="1" operator="equal">
      <formula>-1</formula>
    </cfRule>
  </conditionalFormatting>
  <conditionalFormatting sqref="D51">
    <cfRule type="cellIs" dxfId="10857" priority="133425" stopIfTrue="1" operator="lessThan">
      <formula>0.5</formula>
    </cfRule>
  </conditionalFormatting>
  <conditionalFormatting sqref="D51">
    <cfRule type="cellIs" dxfId="10856" priority="133426" stopIfTrue="1" operator="greaterThanOrEqual">
      <formula>0.5</formula>
    </cfRule>
  </conditionalFormatting>
  <conditionalFormatting sqref="D52">
    <cfRule type="cellIs" dxfId="10855" priority="133427" stopIfTrue="1" operator="equal">
      <formula>-1</formula>
    </cfRule>
  </conditionalFormatting>
  <conditionalFormatting sqref="D52">
    <cfRule type="cellIs" dxfId="10854" priority="133428" stopIfTrue="1" operator="lessThan">
      <formula>0.5</formula>
    </cfRule>
  </conditionalFormatting>
  <conditionalFormatting sqref="D52">
    <cfRule type="cellIs" dxfId="10853" priority="133429" stopIfTrue="1" operator="greaterThanOrEqual">
      <formula>0.5</formula>
    </cfRule>
  </conditionalFormatting>
  <conditionalFormatting sqref="D53">
    <cfRule type="cellIs" dxfId="10852" priority="133430" stopIfTrue="1" operator="equal">
      <formula>-1</formula>
    </cfRule>
  </conditionalFormatting>
  <conditionalFormatting sqref="D53">
    <cfRule type="cellIs" dxfId="10851" priority="133431" stopIfTrue="1" operator="lessThan">
      <formula>0.5</formula>
    </cfRule>
  </conditionalFormatting>
  <conditionalFormatting sqref="D53">
    <cfRule type="cellIs" dxfId="10850" priority="133432" stopIfTrue="1" operator="greaterThanOrEqual">
      <formula>0.5</formula>
    </cfRule>
  </conditionalFormatting>
  <conditionalFormatting sqref="D54">
    <cfRule type="cellIs" dxfId="10849" priority="133433" stopIfTrue="1" operator="equal">
      <formula>-1</formula>
    </cfRule>
  </conditionalFormatting>
  <conditionalFormatting sqref="D54">
    <cfRule type="cellIs" dxfId="10848" priority="133434" stopIfTrue="1" operator="lessThan">
      <formula>0.5</formula>
    </cfRule>
  </conditionalFormatting>
  <conditionalFormatting sqref="D54">
    <cfRule type="cellIs" dxfId="10847" priority="133435" stopIfTrue="1" operator="greaterThanOrEqual">
      <formula>0.5</formula>
    </cfRule>
  </conditionalFormatting>
  <conditionalFormatting sqref="D55">
    <cfRule type="cellIs" dxfId="10846" priority="133436" stopIfTrue="1" operator="equal">
      <formula>-1</formula>
    </cfRule>
  </conditionalFormatting>
  <conditionalFormatting sqref="D55">
    <cfRule type="cellIs" dxfId="10845" priority="133437" stopIfTrue="1" operator="lessThan">
      <formula>0.5</formula>
    </cfRule>
  </conditionalFormatting>
  <conditionalFormatting sqref="D55">
    <cfRule type="cellIs" dxfId="10844" priority="133438" stopIfTrue="1" operator="greaterThanOrEqual">
      <formula>0.5</formula>
    </cfRule>
  </conditionalFormatting>
  <conditionalFormatting sqref="D56">
    <cfRule type="cellIs" dxfId="10843" priority="133439" stopIfTrue="1" operator="equal">
      <formula>-1</formula>
    </cfRule>
  </conditionalFormatting>
  <conditionalFormatting sqref="D56">
    <cfRule type="cellIs" dxfId="10842" priority="133440" stopIfTrue="1" operator="lessThan">
      <formula>0.5</formula>
    </cfRule>
  </conditionalFormatting>
  <conditionalFormatting sqref="D56">
    <cfRule type="cellIs" dxfId="10841" priority="133441" stopIfTrue="1" operator="greaterThanOrEqual">
      <formula>0.5</formula>
    </cfRule>
  </conditionalFormatting>
  <conditionalFormatting sqref="D57">
    <cfRule type="cellIs" dxfId="10840" priority="133442" stopIfTrue="1" operator="equal">
      <formula>-1</formula>
    </cfRule>
  </conditionalFormatting>
  <conditionalFormatting sqref="D57">
    <cfRule type="cellIs" dxfId="10839" priority="133443" stopIfTrue="1" operator="lessThan">
      <formula>0.5</formula>
    </cfRule>
  </conditionalFormatting>
  <conditionalFormatting sqref="D57">
    <cfRule type="cellIs" dxfId="10838" priority="133444" stopIfTrue="1" operator="greaterThanOrEqual">
      <formula>0.5</formula>
    </cfRule>
  </conditionalFormatting>
  <conditionalFormatting sqref="D58">
    <cfRule type="cellIs" dxfId="10837" priority="133445" stopIfTrue="1" operator="equal">
      <formula>-1</formula>
    </cfRule>
  </conditionalFormatting>
  <conditionalFormatting sqref="D58">
    <cfRule type="cellIs" dxfId="10836" priority="133446" stopIfTrue="1" operator="lessThan">
      <formula>0.5</formula>
    </cfRule>
  </conditionalFormatting>
  <conditionalFormatting sqref="D58">
    <cfRule type="cellIs" dxfId="10835" priority="133447" stopIfTrue="1" operator="greaterThanOrEqual">
      <formula>0.5</formula>
    </cfRule>
  </conditionalFormatting>
  <conditionalFormatting sqref="F39">
    <cfRule type="cellIs" dxfId="10834" priority="133448" stopIfTrue="1" operator="equal">
      <formula>-1</formula>
    </cfRule>
  </conditionalFormatting>
  <conditionalFormatting sqref="F39">
    <cfRule type="cellIs" dxfId="10833" priority="133449" stopIfTrue="1" operator="lessThan">
      <formula>0.5</formula>
    </cfRule>
  </conditionalFormatting>
  <conditionalFormatting sqref="F39">
    <cfRule type="cellIs" dxfId="10832" priority="133450" stopIfTrue="1" operator="greaterThanOrEqual">
      <formula>0.5</formula>
    </cfRule>
  </conditionalFormatting>
  <conditionalFormatting sqref="F40">
    <cfRule type="cellIs" dxfId="10831" priority="133451" stopIfTrue="1" operator="equal">
      <formula>-1</formula>
    </cfRule>
  </conditionalFormatting>
  <conditionalFormatting sqref="F40">
    <cfRule type="cellIs" dxfId="10830" priority="133452" stopIfTrue="1" operator="lessThan">
      <formula>0.5</formula>
    </cfRule>
  </conditionalFormatting>
  <conditionalFormatting sqref="F40">
    <cfRule type="cellIs" dxfId="10829" priority="133453" stopIfTrue="1" operator="greaterThanOrEqual">
      <formula>0.5</formula>
    </cfRule>
  </conditionalFormatting>
  <conditionalFormatting sqref="F41">
    <cfRule type="cellIs" dxfId="10828" priority="133454" stopIfTrue="1" operator="equal">
      <formula>-1</formula>
    </cfRule>
  </conditionalFormatting>
  <conditionalFormatting sqref="F41">
    <cfRule type="cellIs" dxfId="10827" priority="133455" stopIfTrue="1" operator="lessThan">
      <formula>0.5</formula>
    </cfRule>
  </conditionalFormatting>
  <conditionalFormatting sqref="F41">
    <cfRule type="cellIs" dxfId="10826" priority="133456" stopIfTrue="1" operator="greaterThanOrEqual">
      <formula>0.5</formula>
    </cfRule>
  </conditionalFormatting>
  <conditionalFormatting sqref="F42">
    <cfRule type="cellIs" dxfId="10825" priority="133457" stopIfTrue="1" operator="equal">
      <formula>-1</formula>
    </cfRule>
  </conditionalFormatting>
  <conditionalFormatting sqref="F42">
    <cfRule type="cellIs" dxfId="10824" priority="133458" stopIfTrue="1" operator="lessThan">
      <formula>0.5</formula>
    </cfRule>
  </conditionalFormatting>
  <conditionalFormatting sqref="F42">
    <cfRule type="cellIs" dxfId="10823" priority="133459" stopIfTrue="1" operator="greaterThanOrEqual">
      <formula>0.5</formula>
    </cfRule>
  </conditionalFormatting>
  <conditionalFormatting sqref="F43">
    <cfRule type="cellIs" dxfId="10822" priority="133460" stopIfTrue="1" operator="equal">
      <formula>-1</formula>
    </cfRule>
  </conditionalFormatting>
  <conditionalFormatting sqref="F43">
    <cfRule type="cellIs" dxfId="10821" priority="133461" stopIfTrue="1" operator="lessThan">
      <formula>0.5</formula>
    </cfRule>
  </conditionalFormatting>
  <conditionalFormatting sqref="F43">
    <cfRule type="cellIs" dxfId="10820" priority="133462" stopIfTrue="1" operator="greaterThanOrEqual">
      <formula>0.5</formula>
    </cfRule>
  </conditionalFormatting>
  <conditionalFormatting sqref="F44">
    <cfRule type="cellIs" dxfId="10819" priority="133463" stopIfTrue="1" operator="equal">
      <formula>-1</formula>
    </cfRule>
  </conditionalFormatting>
  <conditionalFormatting sqref="F44">
    <cfRule type="cellIs" dxfId="10818" priority="133464" stopIfTrue="1" operator="lessThan">
      <formula>0.5</formula>
    </cfRule>
  </conditionalFormatting>
  <conditionalFormatting sqref="F44">
    <cfRule type="cellIs" dxfId="10817" priority="133465" stopIfTrue="1" operator="greaterThanOrEqual">
      <formula>0.5</formula>
    </cfRule>
  </conditionalFormatting>
  <conditionalFormatting sqref="F45">
    <cfRule type="cellIs" dxfId="10816" priority="133466" stopIfTrue="1" operator="equal">
      <formula>-1</formula>
    </cfRule>
  </conditionalFormatting>
  <conditionalFormatting sqref="F45">
    <cfRule type="cellIs" dxfId="10815" priority="133467" stopIfTrue="1" operator="lessThan">
      <formula>0.5</formula>
    </cfRule>
  </conditionalFormatting>
  <conditionalFormatting sqref="F45">
    <cfRule type="cellIs" dxfId="10814" priority="133468" stopIfTrue="1" operator="greaterThanOrEqual">
      <formula>0.5</formula>
    </cfRule>
  </conditionalFormatting>
  <conditionalFormatting sqref="F46">
    <cfRule type="cellIs" dxfId="10813" priority="133469" stopIfTrue="1" operator="equal">
      <formula>-1</formula>
    </cfRule>
  </conditionalFormatting>
  <conditionalFormatting sqref="F46">
    <cfRule type="cellIs" dxfId="10812" priority="133470" stopIfTrue="1" operator="lessThan">
      <formula>0.5</formula>
    </cfRule>
  </conditionalFormatting>
  <conditionalFormatting sqref="F46">
    <cfRule type="cellIs" dxfId="10811" priority="133471" stopIfTrue="1" operator="greaterThanOrEqual">
      <formula>0.5</formula>
    </cfRule>
  </conditionalFormatting>
  <conditionalFormatting sqref="F47">
    <cfRule type="cellIs" dxfId="10810" priority="133472" stopIfTrue="1" operator="equal">
      <formula>-1</formula>
    </cfRule>
  </conditionalFormatting>
  <conditionalFormatting sqref="F47">
    <cfRule type="cellIs" dxfId="10809" priority="133473" stopIfTrue="1" operator="lessThan">
      <formula>0.5</formula>
    </cfRule>
  </conditionalFormatting>
  <conditionalFormatting sqref="F47">
    <cfRule type="cellIs" dxfId="10808" priority="133474" stopIfTrue="1" operator="greaterThanOrEqual">
      <formula>0.5</formula>
    </cfRule>
  </conditionalFormatting>
  <conditionalFormatting sqref="F48">
    <cfRule type="cellIs" dxfId="10807" priority="133475" stopIfTrue="1" operator="equal">
      <formula>-1</formula>
    </cfRule>
  </conditionalFormatting>
  <conditionalFormatting sqref="F48">
    <cfRule type="cellIs" dxfId="10806" priority="133476" stopIfTrue="1" operator="lessThan">
      <formula>0.5</formula>
    </cfRule>
  </conditionalFormatting>
  <conditionalFormatting sqref="F48">
    <cfRule type="cellIs" dxfId="10805" priority="133477" stopIfTrue="1" operator="greaterThanOrEqual">
      <formula>0.5</formula>
    </cfRule>
  </conditionalFormatting>
  <conditionalFormatting sqref="F49">
    <cfRule type="cellIs" dxfId="10804" priority="133478" stopIfTrue="1" operator="equal">
      <formula>-1</formula>
    </cfRule>
  </conditionalFormatting>
  <conditionalFormatting sqref="F49">
    <cfRule type="cellIs" dxfId="10803" priority="133479" stopIfTrue="1" operator="lessThan">
      <formula>0.5</formula>
    </cfRule>
  </conditionalFormatting>
  <conditionalFormatting sqref="F49">
    <cfRule type="cellIs" dxfId="10802" priority="133480" stopIfTrue="1" operator="greaterThanOrEqual">
      <formula>0.5</formula>
    </cfRule>
  </conditionalFormatting>
  <conditionalFormatting sqref="F50">
    <cfRule type="cellIs" dxfId="10801" priority="133481" stopIfTrue="1" operator="equal">
      <formula>-1</formula>
    </cfRule>
  </conditionalFormatting>
  <conditionalFormatting sqref="F50">
    <cfRule type="cellIs" dxfId="10800" priority="133482" stopIfTrue="1" operator="lessThan">
      <formula>0.5</formula>
    </cfRule>
  </conditionalFormatting>
  <conditionalFormatting sqref="F50">
    <cfRule type="cellIs" dxfId="10799" priority="133483" stopIfTrue="1" operator="greaterThanOrEqual">
      <formula>0.5</formula>
    </cfRule>
  </conditionalFormatting>
  <conditionalFormatting sqref="F51">
    <cfRule type="cellIs" dxfId="10798" priority="133484" stopIfTrue="1" operator="equal">
      <formula>-1</formula>
    </cfRule>
  </conditionalFormatting>
  <conditionalFormatting sqref="F51">
    <cfRule type="cellIs" dxfId="10797" priority="133485" stopIfTrue="1" operator="lessThan">
      <formula>0.5</formula>
    </cfRule>
  </conditionalFormatting>
  <conditionalFormatting sqref="F51">
    <cfRule type="cellIs" dxfId="10796" priority="133486" stopIfTrue="1" operator="greaterThanOrEqual">
      <formula>0.5</formula>
    </cfRule>
  </conditionalFormatting>
  <conditionalFormatting sqref="F52">
    <cfRule type="cellIs" dxfId="10795" priority="133487" stopIfTrue="1" operator="equal">
      <formula>-1</formula>
    </cfRule>
  </conditionalFormatting>
  <conditionalFormatting sqref="F52">
    <cfRule type="cellIs" dxfId="10794" priority="133488" stopIfTrue="1" operator="lessThan">
      <formula>0.5</formula>
    </cfRule>
  </conditionalFormatting>
  <conditionalFormatting sqref="F52">
    <cfRule type="cellIs" dxfId="10793" priority="133489" stopIfTrue="1" operator="greaterThanOrEqual">
      <formula>0.5</formula>
    </cfRule>
  </conditionalFormatting>
  <conditionalFormatting sqref="F53">
    <cfRule type="cellIs" dxfId="10792" priority="133490" stopIfTrue="1" operator="equal">
      <formula>-1</formula>
    </cfRule>
  </conditionalFormatting>
  <conditionalFormatting sqref="F53">
    <cfRule type="cellIs" dxfId="10791" priority="133491" stopIfTrue="1" operator="lessThan">
      <formula>0.5</formula>
    </cfRule>
  </conditionalFormatting>
  <conditionalFormatting sqref="F53">
    <cfRule type="cellIs" dxfId="10790" priority="133492" stopIfTrue="1" operator="greaterThanOrEqual">
      <formula>0.5</formula>
    </cfRule>
  </conditionalFormatting>
  <conditionalFormatting sqref="F54">
    <cfRule type="cellIs" dxfId="10789" priority="133493" stopIfTrue="1" operator="equal">
      <formula>-1</formula>
    </cfRule>
  </conditionalFormatting>
  <conditionalFormatting sqref="F54">
    <cfRule type="cellIs" dxfId="10788" priority="133494" stopIfTrue="1" operator="lessThan">
      <formula>0.5</formula>
    </cfRule>
  </conditionalFormatting>
  <conditionalFormatting sqref="F54">
    <cfRule type="cellIs" dxfId="10787" priority="133495" stopIfTrue="1" operator="greaterThanOrEqual">
      <formula>0.5</formula>
    </cfRule>
  </conditionalFormatting>
  <conditionalFormatting sqref="F55">
    <cfRule type="cellIs" dxfId="10786" priority="133496" stopIfTrue="1" operator="equal">
      <formula>-1</formula>
    </cfRule>
  </conditionalFormatting>
  <conditionalFormatting sqref="F55">
    <cfRule type="cellIs" dxfId="10785" priority="133497" stopIfTrue="1" operator="lessThan">
      <formula>0.5</formula>
    </cfRule>
  </conditionalFormatting>
  <conditionalFormatting sqref="F55">
    <cfRule type="cellIs" dxfId="10784" priority="133498" stopIfTrue="1" operator="greaterThanOrEqual">
      <formula>0.5</formula>
    </cfRule>
  </conditionalFormatting>
  <conditionalFormatting sqref="F56">
    <cfRule type="cellIs" dxfId="10783" priority="133499" stopIfTrue="1" operator="equal">
      <formula>-1</formula>
    </cfRule>
  </conditionalFormatting>
  <conditionalFormatting sqref="F56">
    <cfRule type="cellIs" dxfId="10782" priority="133500" stopIfTrue="1" operator="lessThan">
      <formula>0.5</formula>
    </cfRule>
  </conditionalFormatting>
  <conditionalFormatting sqref="F56">
    <cfRule type="cellIs" dxfId="10781" priority="133501" stopIfTrue="1" operator="greaterThanOrEqual">
      <formula>0.5</formula>
    </cfRule>
  </conditionalFormatting>
  <conditionalFormatting sqref="F57">
    <cfRule type="cellIs" dxfId="10780" priority="133502" stopIfTrue="1" operator="equal">
      <formula>-1</formula>
    </cfRule>
  </conditionalFormatting>
  <conditionalFormatting sqref="F57">
    <cfRule type="cellIs" dxfId="10779" priority="133503" stopIfTrue="1" operator="lessThan">
      <formula>0.5</formula>
    </cfRule>
  </conditionalFormatting>
  <conditionalFormatting sqref="F57">
    <cfRule type="cellIs" dxfId="10778" priority="133504" stopIfTrue="1" operator="greaterThanOrEqual">
      <formula>0.5</formula>
    </cfRule>
  </conditionalFormatting>
  <conditionalFormatting sqref="F58">
    <cfRule type="cellIs" dxfId="10777" priority="133505" stopIfTrue="1" operator="equal">
      <formula>-1</formula>
    </cfRule>
  </conditionalFormatting>
  <conditionalFormatting sqref="F58">
    <cfRule type="cellIs" dxfId="10776" priority="133506" stopIfTrue="1" operator="lessThan">
      <formula>0.5</formula>
    </cfRule>
  </conditionalFormatting>
  <conditionalFormatting sqref="F58">
    <cfRule type="cellIs" dxfId="10775" priority="133507" stopIfTrue="1" operator="greaterThanOrEqual">
      <formula>0.5</formula>
    </cfRule>
  </conditionalFormatting>
  <conditionalFormatting sqref="H39">
    <cfRule type="cellIs" dxfId="10774" priority="133508" stopIfTrue="1" operator="equal">
      <formula>-1</formula>
    </cfRule>
  </conditionalFormatting>
  <conditionalFormatting sqref="H39">
    <cfRule type="cellIs" dxfId="10773" priority="133509" stopIfTrue="1" operator="lessThan">
      <formula>0.5</formula>
    </cfRule>
  </conditionalFormatting>
  <conditionalFormatting sqref="H39">
    <cfRule type="cellIs" dxfId="10772" priority="133510" stopIfTrue="1" operator="greaterThanOrEqual">
      <formula>0.5</formula>
    </cfRule>
  </conditionalFormatting>
  <conditionalFormatting sqref="H40">
    <cfRule type="cellIs" dxfId="10771" priority="133511" stopIfTrue="1" operator="equal">
      <formula>-1</formula>
    </cfRule>
  </conditionalFormatting>
  <conditionalFormatting sqref="H40">
    <cfRule type="cellIs" dxfId="10770" priority="133512" stopIfTrue="1" operator="lessThan">
      <formula>0.5</formula>
    </cfRule>
  </conditionalFormatting>
  <conditionalFormatting sqref="H40">
    <cfRule type="cellIs" dxfId="10769" priority="133513" stopIfTrue="1" operator="greaterThanOrEqual">
      <formula>0.5</formula>
    </cfRule>
  </conditionalFormatting>
  <conditionalFormatting sqref="H41">
    <cfRule type="cellIs" dxfId="10768" priority="133514" stopIfTrue="1" operator="equal">
      <formula>-1</formula>
    </cfRule>
  </conditionalFormatting>
  <conditionalFormatting sqref="H41">
    <cfRule type="cellIs" dxfId="10767" priority="133515" stopIfTrue="1" operator="lessThan">
      <formula>0.5</formula>
    </cfRule>
  </conditionalFormatting>
  <conditionalFormatting sqref="H41">
    <cfRule type="cellIs" dxfId="10766" priority="133516" stopIfTrue="1" operator="greaterThanOrEqual">
      <formula>0.5</formula>
    </cfRule>
  </conditionalFormatting>
  <conditionalFormatting sqref="H42">
    <cfRule type="cellIs" dxfId="10765" priority="133517" stopIfTrue="1" operator="equal">
      <formula>-1</formula>
    </cfRule>
  </conditionalFormatting>
  <conditionalFormatting sqref="H42">
    <cfRule type="cellIs" dxfId="10764" priority="133518" stopIfTrue="1" operator="lessThan">
      <formula>0.5</formula>
    </cfRule>
  </conditionalFormatting>
  <conditionalFormatting sqref="H42">
    <cfRule type="cellIs" dxfId="10763" priority="133519" stopIfTrue="1" operator="greaterThanOrEqual">
      <formula>0.5</formula>
    </cfRule>
  </conditionalFormatting>
  <conditionalFormatting sqref="H43">
    <cfRule type="cellIs" dxfId="10762" priority="133520" stopIfTrue="1" operator="equal">
      <formula>-1</formula>
    </cfRule>
  </conditionalFormatting>
  <conditionalFormatting sqref="H43">
    <cfRule type="cellIs" dxfId="10761" priority="133521" stopIfTrue="1" operator="lessThan">
      <formula>0.5</formula>
    </cfRule>
  </conditionalFormatting>
  <conditionalFormatting sqref="H43">
    <cfRule type="cellIs" dxfId="10760" priority="133522" stopIfTrue="1" operator="greaterThanOrEqual">
      <formula>0.5</formula>
    </cfRule>
  </conditionalFormatting>
  <conditionalFormatting sqref="H44">
    <cfRule type="cellIs" dxfId="10759" priority="133523" stopIfTrue="1" operator="equal">
      <formula>-1</formula>
    </cfRule>
  </conditionalFormatting>
  <conditionalFormatting sqref="H44">
    <cfRule type="cellIs" dxfId="10758" priority="133524" stopIfTrue="1" operator="lessThan">
      <formula>0.5</formula>
    </cfRule>
  </conditionalFormatting>
  <conditionalFormatting sqref="H44">
    <cfRule type="cellIs" dxfId="10757" priority="133525" stopIfTrue="1" operator="greaterThanOrEqual">
      <formula>0.5</formula>
    </cfRule>
  </conditionalFormatting>
  <conditionalFormatting sqref="H45">
    <cfRule type="cellIs" dxfId="10756" priority="133526" stopIfTrue="1" operator="equal">
      <formula>-1</formula>
    </cfRule>
  </conditionalFormatting>
  <conditionalFormatting sqref="H45">
    <cfRule type="cellIs" dxfId="10755" priority="133527" stopIfTrue="1" operator="lessThan">
      <formula>0.5</formula>
    </cfRule>
  </conditionalFormatting>
  <conditionalFormatting sqref="H45">
    <cfRule type="cellIs" dxfId="10754" priority="133528" stopIfTrue="1" operator="greaterThanOrEqual">
      <formula>0.5</formula>
    </cfRule>
  </conditionalFormatting>
  <conditionalFormatting sqref="H46">
    <cfRule type="cellIs" dxfId="10753" priority="133529" stopIfTrue="1" operator="equal">
      <formula>-1</formula>
    </cfRule>
  </conditionalFormatting>
  <conditionalFormatting sqref="H46">
    <cfRule type="cellIs" dxfId="10752" priority="133530" stopIfTrue="1" operator="lessThan">
      <formula>0.5</formula>
    </cfRule>
  </conditionalFormatting>
  <conditionalFormatting sqref="H46">
    <cfRule type="cellIs" dxfId="10751" priority="133531" stopIfTrue="1" operator="greaterThanOrEqual">
      <formula>0.5</formula>
    </cfRule>
  </conditionalFormatting>
  <conditionalFormatting sqref="H47">
    <cfRule type="cellIs" dxfId="10750" priority="133532" stopIfTrue="1" operator="equal">
      <formula>-1</formula>
    </cfRule>
  </conditionalFormatting>
  <conditionalFormatting sqref="H47">
    <cfRule type="cellIs" dxfId="10749" priority="133533" stopIfTrue="1" operator="lessThan">
      <formula>0.5</formula>
    </cfRule>
  </conditionalFormatting>
  <conditionalFormatting sqref="H47">
    <cfRule type="cellIs" dxfId="10748" priority="133534" stopIfTrue="1" operator="greaterThanOrEqual">
      <formula>0.5</formula>
    </cfRule>
  </conditionalFormatting>
  <conditionalFormatting sqref="H48">
    <cfRule type="cellIs" dxfId="10747" priority="133535" stopIfTrue="1" operator="equal">
      <formula>-1</formula>
    </cfRule>
  </conditionalFormatting>
  <conditionalFormatting sqref="H48">
    <cfRule type="cellIs" dxfId="10746" priority="133536" stopIfTrue="1" operator="lessThan">
      <formula>0.5</formula>
    </cfRule>
  </conditionalFormatting>
  <conditionalFormatting sqref="H48">
    <cfRule type="cellIs" dxfId="10745" priority="133537" stopIfTrue="1" operator="greaterThanOrEqual">
      <formula>0.5</formula>
    </cfRule>
  </conditionalFormatting>
  <conditionalFormatting sqref="H49">
    <cfRule type="cellIs" dxfId="10744" priority="133538" stopIfTrue="1" operator="equal">
      <formula>-1</formula>
    </cfRule>
  </conditionalFormatting>
  <conditionalFormatting sqref="H49">
    <cfRule type="cellIs" dxfId="10743" priority="133539" stopIfTrue="1" operator="lessThan">
      <formula>0.5</formula>
    </cfRule>
  </conditionalFormatting>
  <conditionalFormatting sqref="H49">
    <cfRule type="cellIs" dxfId="10742" priority="133540" stopIfTrue="1" operator="greaterThanOrEqual">
      <formula>0.5</formula>
    </cfRule>
  </conditionalFormatting>
  <conditionalFormatting sqref="H50">
    <cfRule type="cellIs" dxfId="10741" priority="133541" stopIfTrue="1" operator="equal">
      <formula>-1</formula>
    </cfRule>
  </conditionalFormatting>
  <conditionalFormatting sqref="H50">
    <cfRule type="cellIs" dxfId="10740" priority="133542" stopIfTrue="1" operator="lessThan">
      <formula>0.5</formula>
    </cfRule>
  </conditionalFormatting>
  <conditionalFormatting sqref="H50">
    <cfRule type="cellIs" dxfId="10739" priority="133543" stopIfTrue="1" operator="greaterThanOrEqual">
      <formula>0.5</formula>
    </cfRule>
  </conditionalFormatting>
  <conditionalFormatting sqref="H51">
    <cfRule type="cellIs" dxfId="10738" priority="133544" stopIfTrue="1" operator="equal">
      <formula>-1</formula>
    </cfRule>
  </conditionalFormatting>
  <conditionalFormatting sqref="H51">
    <cfRule type="cellIs" dxfId="10737" priority="133545" stopIfTrue="1" operator="lessThan">
      <formula>0.5</formula>
    </cfRule>
  </conditionalFormatting>
  <conditionalFormatting sqref="H51">
    <cfRule type="cellIs" dxfId="10736" priority="133546" stopIfTrue="1" operator="greaterThanOrEqual">
      <formula>0.5</formula>
    </cfRule>
  </conditionalFormatting>
  <conditionalFormatting sqref="H52">
    <cfRule type="cellIs" dxfId="10735" priority="133547" stopIfTrue="1" operator="equal">
      <formula>-1</formula>
    </cfRule>
  </conditionalFormatting>
  <conditionalFormatting sqref="H52">
    <cfRule type="cellIs" dxfId="10734" priority="133548" stopIfTrue="1" operator="lessThan">
      <formula>0.5</formula>
    </cfRule>
  </conditionalFormatting>
  <conditionalFormatting sqref="H52">
    <cfRule type="cellIs" dxfId="10733" priority="133549" stopIfTrue="1" operator="greaterThanOrEqual">
      <formula>0.5</formula>
    </cfRule>
  </conditionalFormatting>
  <conditionalFormatting sqref="H53">
    <cfRule type="cellIs" dxfId="10732" priority="133550" stopIfTrue="1" operator="equal">
      <formula>-1</formula>
    </cfRule>
  </conditionalFormatting>
  <conditionalFormatting sqref="H53">
    <cfRule type="cellIs" dxfId="10731" priority="133551" stopIfTrue="1" operator="lessThan">
      <formula>0.5</formula>
    </cfRule>
  </conditionalFormatting>
  <conditionalFormatting sqref="H53">
    <cfRule type="cellIs" dxfId="10730" priority="133552" stopIfTrue="1" operator="greaterThanOrEqual">
      <formula>0.5</formula>
    </cfRule>
  </conditionalFormatting>
  <conditionalFormatting sqref="H54">
    <cfRule type="cellIs" dxfId="10729" priority="133553" stopIfTrue="1" operator="equal">
      <formula>-1</formula>
    </cfRule>
  </conditionalFormatting>
  <conditionalFormatting sqref="H54">
    <cfRule type="cellIs" dxfId="10728" priority="133554" stopIfTrue="1" operator="lessThan">
      <formula>0.5</formula>
    </cfRule>
  </conditionalFormatting>
  <conditionalFormatting sqref="H54">
    <cfRule type="cellIs" dxfId="10727" priority="133555" stopIfTrue="1" operator="greaterThanOrEqual">
      <formula>0.5</formula>
    </cfRule>
  </conditionalFormatting>
  <conditionalFormatting sqref="H55">
    <cfRule type="cellIs" dxfId="10726" priority="133556" stopIfTrue="1" operator="equal">
      <formula>-1</formula>
    </cfRule>
  </conditionalFormatting>
  <conditionalFormatting sqref="H55">
    <cfRule type="cellIs" dxfId="10725" priority="133557" stopIfTrue="1" operator="lessThan">
      <formula>0.5</formula>
    </cfRule>
  </conditionalFormatting>
  <conditionalFormatting sqref="H55">
    <cfRule type="cellIs" dxfId="10724" priority="133558" stopIfTrue="1" operator="greaterThanOrEqual">
      <formula>0.5</formula>
    </cfRule>
  </conditionalFormatting>
  <conditionalFormatting sqref="H56">
    <cfRule type="cellIs" dxfId="10723" priority="133559" stopIfTrue="1" operator="equal">
      <formula>-1</formula>
    </cfRule>
  </conditionalFormatting>
  <conditionalFormatting sqref="H56">
    <cfRule type="cellIs" dxfId="10722" priority="133560" stopIfTrue="1" operator="lessThan">
      <formula>0.5</formula>
    </cfRule>
  </conditionalFormatting>
  <conditionalFormatting sqref="H56">
    <cfRule type="cellIs" dxfId="10721" priority="133561" stopIfTrue="1" operator="greaterThanOrEqual">
      <formula>0.5</formula>
    </cfRule>
  </conditionalFormatting>
  <conditionalFormatting sqref="H57">
    <cfRule type="cellIs" dxfId="10720" priority="133562" stopIfTrue="1" operator="equal">
      <formula>-1</formula>
    </cfRule>
  </conditionalFormatting>
  <conditionalFormatting sqref="H57">
    <cfRule type="cellIs" dxfId="10719" priority="133563" stopIfTrue="1" operator="lessThan">
      <formula>0.5</formula>
    </cfRule>
  </conditionalFormatting>
  <conditionalFormatting sqref="H57">
    <cfRule type="cellIs" dxfId="10718" priority="133564" stopIfTrue="1" operator="greaterThanOrEqual">
      <formula>0.5</formula>
    </cfRule>
  </conditionalFormatting>
  <conditionalFormatting sqref="H58">
    <cfRule type="cellIs" dxfId="10717" priority="133565" stopIfTrue="1" operator="equal">
      <formula>-1</formula>
    </cfRule>
  </conditionalFormatting>
  <conditionalFormatting sqref="H58">
    <cfRule type="cellIs" dxfId="10716" priority="133566" stopIfTrue="1" operator="lessThan">
      <formula>0.5</formula>
    </cfRule>
  </conditionalFormatting>
  <conditionalFormatting sqref="H58">
    <cfRule type="cellIs" dxfId="10715" priority="133567" stopIfTrue="1" operator="greaterThanOrEqual">
      <formula>0.5</formula>
    </cfRule>
  </conditionalFormatting>
  <conditionalFormatting sqref="J39">
    <cfRule type="cellIs" dxfId="10714" priority="133568" stopIfTrue="1" operator="equal">
      <formula>-1</formula>
    </cfRule>
  </conditionalFormatting>
  <conditionalFormatting sqref="J39">
    <cfRule type="cellIs" dxfId="10713" priority="133569" stopIfTrue="1" operator="lessThan">
      <formula>0.5</formula>
    </cfRule>
  </conditionalFormatting>
  <conditionalFormatting sqref="J39">
    <cfRule type="cellIs" dxfId="10712" priority="133570" stopIfTrue="1" operator="greaterThanOrEqual">
      <formula>0.5</formula>
    </cfRule>
  </conditionalFormatting>
  <conditionalFormatting sqref="J40">
    <cfRule type="cellIs" dxfId="10711" priority="133571" stopIfTrue="1" operator="equal">
      <formula>-1</formula>
    </cfRule>
  </conditionalFormatting>
  <conditionalFormatting sqref="J40">
    <cfRule type="cellIs" dxfId="10710" priority="133572" stopIfTrue="1" operator="lessThan">
      <formula>0.5</formula>
    </cfRule>
  </conditionalFormatting>
  <conditionalFormatting sqref="J40">
    <cfRule type="cellIs" dxfId="10709" priority="133573" stopIfTrue="1" operator="greaterThanOrEqual">
      <formula>0.5</formula>
    </cfRule>
  </conditionalFormatting>
  <conditionalFormatting sqref="J41">
    <cfRule type="cellIs" dxfId="10708" priority="133574" stopIfTrue="1" operator="equal">
      <formula>-1</formula>
    </cfRule>
  </conditionalFormatting>
  <conditionalFormatting sqref="J41">
    <cfRule type="cellIs" dxfId="10707" priority="133575" stopIfTrue="1" operator="lessThan">
      <formula>0.5</formula>
    </cfRule>
  </conditionalFormatting>
  <conditionalFormatting sqref="J41">
    <cfRule type="cellIs" dxfId="10706" priority="133576" stopIfTrue="1" operator="greaterThanOrEqual">
      <formula>0.5</formula>
    </cfRule>
  </conditionalFormatting>
  <conditionalFormatting sqref="J42">
    <cfRule type="cellIs" dxfId="10705" priority="133577" stopIfTrue="1" operator="equal">
      <formula>-1</formula>
    </cfRule>
  </conditionalFormatting>
  <conditionalFormatting sqref="J42">
    <cfRule type="cellIs" dxfId="10704" priority="133578" stopIfTrue="1" operator="lessThan">
      <formula>0.5</formula>
    </cfRule>
  </conditionalFormatting>
  <conditionalFormatting sqref="J42">
    <cfRule type="cellIs" dxfId="10703" priority="133579" stopIfTrue="1" operator="greaterThanOrEqual">
      <formula>0.5</formula>
    </cfRule>
  </conditionalFormatting>
  <conditionalFormatting sqref="J43">
    <cfRule type="cellIs" dxfId="10702" priority="133580" stopIfTrue="1" operator="equal">
      <formula>-1</formula>
    </cfRule>
  </conditionalFormatting>
  <conditionalFormatting sqref="J43">
    <cfRule type="cellIs" dxfId="10701" priority="133581" stopIfTrue="1" operator="lessThan">
      <formula>0.5</formula>
    </cfRule>
  </conditionalFormatting>
  <conditionalFormatting sqref="J43">
    <cfRule type="cellIs" dxfId="10700" priority="133582" stopIfTrue="1" operator="greaterThanOrEqual">
      <formula>0.5</formula>
    </cfRule>
  </conditionalFormatting>
  <conditionalFormatting sqref="J44">
    <cfRule type="cellIs" dxfId="10699" priority="133583" stopIfTrue="1" operator="equal">
      <formula>-1</formula>
    </cfRule>
  </conditionalFormatting>
  <conditionalFormatting sqref="J44">
    <cfRule type="cellIs" dxfId="10698" priority="133584" stopIfTrue="1" operator="lessThan">
      <formula>0.5</formula>
    </cfRule>
  </conditionalFormatting>
  <conditionalFormatting sqref="J44">
    <cfRule type="cellIs" dxfId="10697" priority="133585" stopIfTrue="1" operator="greaterThanOrEqual">
      <formula>0.5</formula>
    </cfRule>
  </conditionalFormatting>
  <conditionalFormatting sqref="J45">
    <cfRule type="cellIs" dxfId="10696" priority="133586" stopIfTrue="1" operator="equal">
      <formula>-1</formula>
    </cfRule>
  </conditionalFormatting>
  <conditionalFormatting sqref="J45">
    <cfRule type="cellIs" dxfId="10695" priority="133587" stopIfTrue="1" operator="lessThan">
      <formula>0.5</formula>
    </cfRule>
  </conditionalFormatting>
  <conditionalFormatting sqref="J45">
    <cfRule type="cellIs" dxfId="10694" priority="133588" stopIfTrue="1" operator="greaterThanOrEqual">
      <formula>0.5</formula>
    </cfRule>
  </conditionalFormatting>
  <conditionalFormatting sqref="J46">
    <cfRule type="cellIs" dxfId="10693" priority="133589" stopIfTrue="1" operator="equal">
      <formula>-1</formula>
    </cfRule>
  </conditionalFormatting>
  <conditionalFormatting sqref="J46">
    <cfRule type="cellIs" dxfId="10692" priority="133590" stopIfTrue="1" operator="lessThan">
      <formula>0.5</formula>
    </cfRule>
  </conditionalFormatting>
  <conditionalFormatting sqref="J46">
    <cfRule type="cellIs" dxfId="10691" priority="133591" stopIfTrue="1" operator="greaterThanOrEqual">
      <formula>0.5</formula>
    </cfRule>
  </conditionalFormatting>
  <conditionalFormatting sqref="J47">
    <cfRule type="cellIs" dxfId="10690" priority="133592" stopIfTrue="1" operator="equal">
      <formula>-1</formula>
    </cfRule>
  </conditionalFormatting>
  <conditionalFormatting sqref="J47">
    <cfRule type="cellIs" dxfId="10689" priority="133593" stopIfTrue="1" operator="lessThan">
      <formula>0.5</formula>
    </cfRule>
  </conditionalFormatting>
  <conditionalFormatting sqref="J47">
    <cfRule type="cellIs" dxfId="10688" priority="133594" stopIfTrue="1" operator="greaterThanOrEqual">
      <formula>0.5</formula>
    </cfRule>
  </conditionalFormatting>
  <conditionalFormatting sqref="J48">
    <cfRule type="cellIs" dxfId="10687" priority="133595" stopIfTrue="1" operator="equal">
      <formula>-1</formula>
    </cfRule>
  </conditionalFormatting>
  <conditionalFormatting sqref="J48">
    <cfRule type="cellIs" dxfId="10686" priority="133596" stopIfTrue="1" operator="lessThan">
      <formula>0.5</formula>
    </cfRule>
  </conditionalFormatting>
  <conditionalFormatting sqref="J48">
    <cfRule type="cellIs" dxfId="10685" priority="133597" stopIfTrue="1" operator="greaterThanOrEqual">
      <formula>0.5</formula>
    </cfRule>
  </conditionalFormatting>
  <conditionalFormatting sqref="J49">
    <cfRule type="cellIs" dxfId="10684" priority="133598" stopIfTrue="1" operator="equal">
      <formula>-1</formula>
    </cfRule>
  </conditionalFormatting>
  <conditionalFormatting sqref="J49">
    <cfRule type="cellIs" dxfId="10683" priority="133599" stopIfTrue="1" operator="lessThan">
      <formula>0.5</formula>
    </cfRule>
  </conditionalFormatting>
  <conditionalFormatting sqref="J49">
    <cfRule type="cellIs" dxfId="10682" priority="133600" stopIfTrue="1" operator="greaterThanOrEqual">
      <formula>0.5</formula>
    </cfRule>
  </conditionalFormatting>
  <conditionalFormatting sqref="J50">
    <cfRule type="cellIs" dxfId="10681" priority="133601" stopIfTrue="1" operator="equal">
      <formula>-1</formula>
    </cfRule>
  </conditionalFormatting>
  <conditionalFormatting sqref="J50">
    <cfRule type="cellIs" dxfId="10680" priority="133602" stopIfTrue="1" operator="lessThan">
      <formula>0.5</formula>
    </cfRule>
  </conditionalFormatting>
  <conditionalFormatting sqref="J50">
    <cfRule type="cellIs" dxfId="10679" priority="133603" stopIfTrue="1" operator="greaterThanOrEqual">
      <formula>0.5</formula>
    </cfRule>
  </conditionalFormatting>
  <conditionalFormatting sqref="J51">
    <cfRule type="cellIs" dxfId="10678" priority="133604" stopIfTrue="1" operator="equal">
      <formula>-1</formula>
    </cfRule>
  </conditionalFormatting>
  <conditionalFormatting sqref="J51">
    <cfRule type="cellIs" dxfId="10677" priority="133605" stopIfTrue="1" operator="lessThan">
      <formula>0.5</formula>
    </cfRule>
  </conditionalFormatting>
  <conditionalFormatting sqref="J51">
    <cfRule type="cellIs" dxfId="10676" priority="133606" stopIfTrue="1" operator="greaterThanOrEqual">
      <formula>0.5</formula>
    </cfRule>
  </conditionalFormatting>
  <conditionalFormatting sqref="J52">
    <cfRule type="cellIs" dxfId="10675" priority="133607" stopIfTrue="1" operator="equal">
      <formula>-1</formula>
    </cfRule>
  </conditionalFormatting>
  <conditionalFormatting sqref="J52">
    <cfRule type="cellIs" dxfId="10674" priority="133608" stopIfTrue="1" operator="lessThan">
      <formula>0.5</formula>
    </cfRule>
  </conditionalFormatting>
  <conditionalFormatting sqref="J52">
    <cfRule type="cellIs" dxfId="10673" priority="133609" stopIfTrue="1" operator="greaterThanOrEqual">
      <formula>0.5</formula>
    </cfRule>
  </conditionalFormatting>
  <conditionalFormatting sqref="J53">
    <cfRule type="cellIs" dxfId="10672" priority="133610" stopIfTrue="1" operator="equal">
      <formula>-1</formula>
    </cfRule>
  </conditionalFormatting>
  <conditionalFormatting sqref="J53">
    <cfRule type="cellIs" dxfId="10671" priority="133611" stopIfTrue="1" operator="lessThan">
      <formula>0.5</formula>
    </cfRule>
  </conditionalFormatting>
  <conditionalFormatting sqref="J53">
    <cfRule type="cellIs" dxfId="10670" priority="133612" stopIfTrue="1" operator="greaterThanOrEqual">
      <formula>0.5</formula>
    </cfRule>
  </conditionalFormatting>
  <conditionalFormatting sqref="J54">
    <cfRule type="cellIs" dxfId="10669" priority="133613" stopIfTrue="1" operator="equal">
      <formula>-1</formula>
    </cfRule>
  </conditionalFormatting>
  <conditionalFormatting sqref="J54">
    <cfRule type="cellIs" dxfId="10668" priority="133614" stopIfTrue="1" operator="lessThan">
      <formula>0.5</formula>
    </cfRule>
  </conditionalFormatting>
  <conditionalFormatting sqref="J54">
    <cfRule type="cellIs" dxfId="10667" priority="133615" stopIfTrue="1" operator="greaterThanOrEqual">
      <formula>0.5</formula>
    </cfRule>
  </conditionalFormatting>
  <conditionalFormatting sqref="J55">
    <cfRule type="cellIs" dxfId="10666" priority="133616" stopIfTrue="1" operator="equal">
      <formula>-1</formula>
    </cfRule>
  </conditionalFormatting>
  <conditionalFormatting sqref="J55">
    <cfRule type="cellIs" dxfId="10665" priority="133617" stopIfTrue="1" operator="lessThan">
      <formula>0.5</formula>
    </cfRule>
  </conditionalFormatting>
  <conditionalFormatting sqref="J55">
    <cfRule type="cellIs" dxfId="10664" priority="133618" stopIfTrue="1" operator="greaterThanOrEqual">
      <formula>0.5</formula>
    </cfRule>
  </conditionalFormatting>
  <conditionalFormatting sqref="J56">
    <cfRule type="cellIs" dxfId="10663" priority="133619" stopIfTrue="1" operator="equal">
      <formula>-1</formula>
    </cfRule>
  </conditionalFormatting>
  <conditionalFormatting sqref="J56">
    <cfRule type="cellIs" dxfId="10662" priority="133620" stopIfTrue="1" operator="lessThan">
      <formula>0.5</formula>
    </cfRule>
  </conditionalFormatting>
  <conditionalFormatting sqref="J56">
    <cfRule type="cellIs" dxfId="10661" priority="133621" stopIfTrue="1" operator="greaterThanOrEqual">
      <formula>0.5</formula>
    </cfRule>
  </conditionalFormatting>
  <conditionalFormatting sqref="J57">
    <cfRule type="cellIs" dxfId="10660" priority="133622" stopIfTrue="1" operator="equal">
      <formula>-1</formula>
    </cfRule>
  </conditionalFormatting>
  <conditionalFormatting sqref="J57">
    <cfRule type="cellIs" dxfId="10659" priority="133623" stopIfTrue="1" operator="lessThan">
      <formula>0.5</formula>
    </cfRule>
  </conditionalFormatting>
  <conditionalFormatting sqref="J57">
    <cfRule type="cellIs" dxfId="10658" priority="133624" stopIfTrue="1" operator="greaterThanOrEqual">
      <formula>0.5</formula>
    </cfRule>
  </conditionalFormatting>
  <conditionalFormatting sqref="J58">
    <cfRule type="cellIs" dxfId="10657" priority="133625" stopIfTrue="1" operator="equal">
      <formula>-1</formula>
    </cfRule>
  </conditionalFormatting>
  <conditionalFormatting sqref="J58">
    <cfRule type="cellIs" dxfId="10656" priority="133626" stopIfTrue="1" operator="lessThan">
      <formula>0.5</formula>
    </cfRule>
  </conditionalFormatting>
  <conditionalFormatting sqref="J58">
    <cfRule type="cellIs" dxfId="10655" priority="133627" stopIfTrue="1" operator="greaterThanOrEqual">
      <formula>0.5</formula>
    </cfRule>
  </conditionalFormatting>
  <conditionalFormatting sqref="L39">
    <cfRule type="cellIs" dxfId="10654" priority="133628" stopIfTrue="1" operator="equal">
      <formula>-1</formula>
    </cfRule>
  </conditionalFormatting>
  <conditionalFormatting sqref="L39">
    <cfRule type="cellIs" dxfId="10653" priority="133629" stopIfTrue="1" operator="lessThan">
      <formula>0.5</formula>
    </cfRule>
  </conditionalFormatting>
  <conditionalFormatting sqref="L39">
    <cfRule type="cellIs" dxfId="10652" priority="133630" stopIfTrue="1" operator="greaterThanOrEqual">
      <formula>0.5</formula>
    </cfRule>
  </conditionalFormatting>
  <conditionalFormatting sqref="L40">
    <cfRule type="cellIs" dxfId="10651" priority="133631" stopIfTrue="1" operator="equal">
      <formula>-1</formula>
    </cfRule>
  </conditionalFormatting>
  <conditionalFormatting sqref="L40">
    <cfRule type="cellIs" dxfId="10650" priority="133632" stopIfTrue="1" operator="lessThan">
      <formula>0.5</formula>
    </cfRule>
  </conditionalFormatting>
  <conditionalFormatting sqref="L40">
    <cfRule type="cellIs" dxfId="10649" priority="133633" stopIfTrue="1" operator="greaterThanOrEqual">
      <formula>0.5</formula>
    </cfRule>
  </conditionalFormatting>
  <conditionalFormatting sqref="L41">
    <cfRule type="cellIs" dxfId="10648" priority="133634" stopIfTrue="1" operator="equal">
      <formula>-1</formula>
    </cfRule>
  </conditionalFormatting>
  <conditionalFormatting sqref="L41">
    <cfRule type="cellIs" dxfId="10647" priority="133635" stopIfTrue="1" operator="lessThan">
      <formula>0.5</formula>
    </cfRule>
  </conditionalFormatting>
  <conditionalFormatting sqref="L41">
    <cfRule type="cellIs" dxfId="10646" priority="133636" stopIfTrue="1" operator="greaterThanOrEqual">
      <formula>0.5</formula>
    </cfRule>
  </conditionalFormatting>
  <conditionalFormatting sqref="L42">
    <cfRule type="cellIs" dxfId="10645" priority="133637" stopIfTrue="1" operator="equal">
      <formula>-1</formula>
    </cfRule>
  </conditionalFormatting>
  <conditionalFormatting sqref="L42">
    <cfRule type="cellIs" dxfId="10644" priority="133638" stopIfTrue="1" operator="lessThan">
      <formula>0.5</formula>
    </cfRule>
  </conditionalFormatting>
  <conditionalFormatting sqref="L42">
    <cfRule type="cellIs" dxfId="10643" priority="133639" stopIfTrue="1" operator="greaterThanOrEqual">
      <formula>0.5</formula>
    </cfRule>
  </conditionalFormatting>
  <conditionalFormatting sqref="L43">
    <cfRule type="cellIs" dxfId="10642" priority="133640" stopIfTrue="1" operator="equal">
      <formula>-1</formula>
    </cfRule>
  </conditionalFormatting>
  <conditionalFormatting sqref="L43">
    <cfRule type="cellIs" dxfId="10641" priority="133641" stopIfTrue="1" operator="lessThan">
      <formula>0.5</formula>
    </cfRule>
  </conditionalFormatting>
  <conditionalFormatting sqref="L43">
    <cfRule type="cellIs" dxfId="10640" priority="133642" stopIfTrue="1" operator="greaterThanOrEqual">
      <formula>0.5</formula>
    </cfRule>
  </conditionalFormatting>
  <conditionalFormatting sqref="L44">
    <cfRule type="cellIs" dxfId="10639" priority="133643" stopIfTrue="1" operator="equal">
      <formula>-1</formula>
    </cfRule>
  </conditionalFormatting>
  <conditionalFormatting sqref="L44">
    <cfRule type="cellIs" dxfId="10638" priority="133644" stopIfTrue="1" operator="lessThan">
      <formula>0.5</formula>
    </cfRule>
  </conditionalFormatting>
  <conditionalFormatting sqref="L44">
    <cfRule type="cellIs" dxfId="10637" priority="133645" stopIfTrue="1" operator="greaterThanOrEqual">
      <formula>0.5</formula>
    </cfRule>
  </conditionalFormatting>
  <conditionalFormatting sqref="L45">
    <cfRule type="cellIs" dxfId="10636" priority="133646" stopIfTrue="1" operator="equal">
      <formula>-1</formula>
    </cfRule>
  </conditionalFormatting>
  <conditionalFormatting sqref="L45">
    <cfRule type="cellIs" dxfId="10635" priority="133647" stopIfTrue="1" operator="lessThan">
      <formula>0.5</formula>
    </cfRule>
  </conditionalFormatting>
  <conditionalFormatting sqref="L45">
    <cfRule type="cellIs" dxfId="10634" priority="133648" stopIfTrue="1" operator="greaterThanOrEqual">
      <formula>0.5</formula>
    </cfRule>
  </conditionalFormatting>
  <conditionalFormatting sqref="L46">
    <cfRule type="cellIs" dxfId="10633" priority="133649" stopIfTrue="1" operator="equal">
      <formula>-1</formula>
    </cfRule>
  </conditionalFormatting>
  <conditionalFormatting sqref="L46">
    <cfRule type="cellIs" dxfId="10632" priority="133650" stopIfTrue="1" operator="lessThan">
      <formula>0.5</formula>
    </cfRule>
  </conditionalFormatting>
  <conditionalFormatting sqref="L46">
    <cfRule type="cellIs" dxfId="10631" priority="133651" stopIfTrue="1" operator="greaterThanOrEqual">
      <formula>0.5</formula>
    </cfRule>
  </conditionalFormatting>
  <conditionalFormatting sqref="L47">
    <cfRule type="cellIs" dxfId="10630" priority="133652" stopIfTrue="1" operator="equal">
      <formula>-1</formula>
    </cfRule>
  </conditionalFormatting>
  <conditionalFormatting sqref="L47">
    <cfRule type="cellIs" dxfId="10629" priority="133653" stopIfTrue="1" operator="lessThan">
      <formula>0.5</formula>
    </cfRule>
  </conditionalFormatting>
  <conditionalFormatting sqref="L47">
    <cfRule type="cellIs" dxfId="10628" priority="133654" stopIfTrue="1" operator="greaterThanOrEqual">
      <formula>0.5</formula>
    </cfRule>
  </conditionalFormatting>
  <conditionalFormatting sqref="L48">
    <cfRule type="cellIs" dxfId="10627" priority="133655" stopIfTrue="1" operator="equal">
      <formula>-1</formula>
    </cfRule>
  </conditionalFormatting>
  <conditionalFormatting sqref="L48">
    <cfRule type="cellIs" dxfId="10626" priority="133656" stopIfTrue="1" operator="lessThan">
      <formula>0.5</formula>
    </cfRule>
  </conditionalFormatting>
  <conditionalFormatting sqref="L48">
    <cfRule type="cellIs" dxfId="10625" priority="133657" stopIfTrue="1" operator="greaterThanOrEqual">
      <formula>0.5</formula>
    </cfRule>
  </conditionalFormatting>
  <conditionalFormatting sqref="L49">
    <cfRule type="cellIs" dxfId="10624" priority="133658" stopIfTrue="1" operator="equal">
      <formula>-1</formula>
    </cfRule>
  </conditionalFormatting>
  <conditionalFormatting sqref="L49">
    <cfRule type="cellIs" dxfId="10623" priority="133659" stopIfTrue="1" operator="lessThan">
      <formula>0.5</formula>
    </cfRule>
  </conditionalFormatting>
  <conditionalFormatting sqref="L49">
    <cfRule type="cellIs" dxfId="10622" priority="133660" stopIfTrue="1" operator="greaterThanOrEqual">
      <formula>0.5</formula>
    </cfRule>
  </conditionalFormatting>
  <conditionalFormatting sqref="L50">
    <cfRule type="cellIs" dxfId="10621" priority="133661" stopIfTrue="1" operator="equal">
      <formula>-1</formula>
    </cfRule>
  </conditionalFormatting>
  <conditionalFormatting sqref="L50">
    <cfRule type="cellIs" dxfId="10620" priority="133662" stopIfTrue="1" operator="lessThan">
      <formula>0.5</formula>
    </cfRule>
  </conditionalFormatting>
  <conditionalFormatting sqref="L50">
    <cfRule type="cellIs" dxfId="10619" priority="133663" stopIfTrue="1" operator="greaterThanOrEqual">
      <formula>0.5</formula>
    </cfRule>
  </conditionalFormatting>
  <conditionalFormatting sqref="L51">
    <cfRule type="cellIs" dxfId="10618" priority="133664" stopIfTrue="1" operator="equal">
      <formula>-1</formula>
    </cfRule>
  </conditionalFormatting>
  <conditionalFormatting sqref="L51">
    <cfRule type="cellIs" dxfId="10617" priority="133665" stopIfTrue="1" operator="lessThan">
      <formula>0.5</formula>
    </cfRule>
  </conditionalFormatting>
  <conditionalFormatting sqref="L51">
    <cfRule type="cellIs" dxfId="10616" priority="133666" stopIfTrue="1" operator="greaterThanOrEqual">
      <formula>0.5</formula>
    </cfRule>
  </conditionalFormatting>
  <conditionalFormatting sqref="L52">
    <cfRule type="cellIs" dxfId="10615" priority="133667" stopIfTrue="1" operator="equal">
      <formula>-1</formula>
    </cfRule>
  </conditionalFormatting>
  <conditionalFormatting sqref="L52">
    <cfRule type="cellIs" dxfId="10614" priority="133668" stopIfTrue="1" operator="lessThan">
      <formula>0.5</formula>
    </cfRule>
  </conditionalFormatting>
  <conditionalFormatting sqref="L52">
    <cfRule type="cellIs" dxfId="10613" priority="133669" stopIfTrue="1" operator="greaterThanOrEqual">
      <formula>0.5</formula>
    </cfRule>
  </conditionalFormatting>
  <conditionalFormatting sqref="L53">
    <cfRule type="cellIs" dxfId="10612" priority="133670" stopIfTrue="1" operator="equal">
      <formula>-1</formula>
    </cfRule>
  </conditionalFormatting>
  <conditionalFormatting sqref="L53">
    <cfRule type="cellIs" dxfId="10611" priority="133671" stopIfTrue="1" operator="lessThan">
      <formula>0.5</formula>
    </cfRule>
  </conditionalFormatting>
  <conditionalFormatting sqref="L53">
    <cfRule type="cellIs" dxfId="10610" priority="133672" stopIfTrue="1" operator="greaterThanOrEqual">
      <formula>0.5</formula>
    </cfRule>
  </conditionalFormatting>
  <conditionalFormatting sqref="L54">
    <cfRule type="cellIs" dxfId="10609" priority="133673" stopIfTrue="1" operator="equal">
      <formula>-1</formula>
    </cfRule>
  </conditionalFormatting>
  <conditionalFormatting sqref="L54">
    <cfRule type="cellIs" dxfId="10608" priority="133674" stopIfTrue="1" operator="lessThan">
      <formula>0.5</formula>
    </cfRule>
  </conditionalFormatting>
  <conditionalFormatting sqref="L54">
    <cfRule type="cellIs" dxfId="10607" priority="133675" stopIfTrue="1" operator="greaterThanOrEqual">
      <formula>0.5</formula>
    </cfRule>
  </conditionalFormatting>
  <conditionalFormatting sqref="L55">
    <cfRule type="cellIs" dxfId="10606" priority="133676" stopIfTrue="1" operator="equal">
      <formula>-1</formula>
    </cfRule>
  </conditionalFormatting>
  <conditionalFormatting sqref="L55">
    <cfRule type="cellIs" dxfId="10605" priority="133677" stopIfTrue="1" operator="lessThan">
      <formula>0.5</formula>
    </cfRule>
  </conditionalFormatting>
  <conditionalFormatting sqref="L55">
    <cfRule type="cellIs" dxfId="10604" priority="133678" stopIfTrue="1" operator="greaterThanOrEqual">
      <formula>0.5</formula>
    </cfRule>
  </conditionalFormatting>
  <conditionalFormatting sqref="L56">
    <cfRule type="cellIs" dxfId="10603" priority="133679" stopIfTrue="1" operator="equal">
      <formula>-1</formula>
    </cfRule>
  </conditionalFormatting>
  <conditionalFormatting sqref="L56">
    <cfRule type="cellIs" dxfId="10602" priority="133680" stopIfTrue="1" operator="lessThan">
      <formula>0.5</formula>
    </cfRule>
  </conditionalFormatting>
  <conditionalFormatting sqref="L56">
    <cfRule type="cellIs" dxfId="10601" priority="133681" stopIfTrue="1" operator="greaterThanOrEqual">
      <formula>0.5</formula>
    </cfRule>
  </conditionalFormatting>
  <conditionalFormatting sqref="L57">
    <cfRule type="cellIs" dxfId="10600" priority="133682" stopIfTrue="1" operator="equal">
      <formula>-1</formula>
    </cfRule>
  </conditionalFormatting>
  <conditionalFormatting sqref="L57">
    <cfRule type="cellIs" dxfId="10599" priority="133683" stopIfTrue="1" operator="lessThan">
      <formula>0.5</formula>
    </cfRule>
  </conditionalFormatting>
  <conditionalFormatting sqref="L57">
    <cfRule type="cellIs" dxfId="10598" priority="133684" stopIfTrue="1" operator="greaterThanOrEqual">
      <formula>0.5</formula>
    </cfRule>
  </conditionalFormatting>
  <conditionalFormatting sqref="L58">
    <cfRule type="cellIs" dxfId="10597" priority="133685" stopIfTrue="1" operator="equal">
      <formula>-1</formula>
    </cfRule>
  </conditionalFormatting>
  <conditionalFormatting sqref="L58">
    <cfRule type="cellIs" dxfId="10596" priority="133686" stopIfTrue="1" operator="lessThan">
      <formula>0.5</formula>
    </cfRule>
  </conditionalFormatting>
  <conditionalFormatting sqref="L58">
    <cfRule type="cellIs" dxfId="10595" priority="133687" stopIfTrue="1" operator="greaterThanOrEqual">
      <formula>0.5</formula>
    </cfRule>
  </conditionalFormatting>
  <conditionalFormatting sqref="N39">
    <cfRule type="cellIs" dxfId="10594" priority="133688" stopIfTrue="1" operator="equal">
      <formula>-1</formula>
    </cfRule>
  </conditionalFormatting>
  <conditionalFormatting sqref="N39">
    <cfRule type="cellIs" dxfId="10593" priority="133689" stopIfTrue="1" operator="lessThan">
      <formula>0.5</formula>
    </cfRule>
  </conditionalFormatting>
  <conditionalFormatting sqref="N39">
    <cfRule type="cellIs" dxfId="10592" priority="133690" stopIfTrue="1" operator="greaterThanOrEqual">
      <formula>0.5</formula>
    </cfRule>
  </conditionalFormatting>
  <conditionalFormatting sqref="N40">
    <cfRule type="cellIs" dxfId="10591" priority="133691" stopIfTrue="1" operator="equal">
      <formula>-1</formula>
    </cfRule>
  </conditionalFormatting>
  <conditionalFormatting sqref="N40">
    <cfRule type="cellIs" dxfId="10590" priority="133692" stopIfTrue="1" operator="lessThan">
      <formula>0.5</formula>
    </cfRule>
  </conditionalFormatting>
  <conditionalFormatting sqref="N40">
    <cfRule type="cellIs" dxfId="10589" priority="133693" stopIfTrue="1" operator="greaterThanOrEqual">
      <formula>0.5</formula>
    </cfRule>
  </conditionalFormatting>
  <conditionalFormatting sqref="N41">
    <cfRule type="cellIs" dxfId="10588" priority="133694" stopIfTrue="1" operator="equal">
      <formula>-1</formula>
    </cfRule>
  </conditionalFormatting>
  <conditionalFormatting sqref="N41">
    <cfRule type="cellIs" dxfId="10587" priority="133695" stopIfTrue="1" operator="lessThan">
      <formula>0.5</formula>
    </cfRule>
  </conditionalFormatting>
  <conditionalFormatting sqref="N41">
    <cfRule type="cellIs" dxfId="10586" priority="133696" stopIfTrue="1" operator="greaterThanOrEqual">
      <formula>0.5</formula>
    </cfRule>
  </conditionalFormatting>
  <conditionalFormatting sqref="N42">
    <cfRule type="cellIs" dxfId="10585" priority="133697" stopIfTrue="1" operator="equal">
      <formula>-1</formula>
    </cfRule>
  </conditionalFormatting>
  <conditionalFormatting sqref="N42">
    <cfRule type="cellIs" dxfId="10584" priority="133698" stopIfTrue="1" operator="lessThan">
      <formula>0.5</formula>
    </cfRule>
  </conditionalFormatting>
  <conditionalFormatting sqref="N42">
    <cfRule type="cellIs" dxfId="10583" priority="133699" stopIfTrue="1" operator="greaterThanOrEqual">
      <formula>0.5</formula>
    </cfRule>
  </conditionalFormatting>
  <conditionalFormatting sqref="N43">
    <cfRule type="cellIs" dxfId="10582" priority="133700" stopIfTrue="1" operator="equal">
      <formula>-1</formula>
    </cfRule>
  </conditionalFormatting>
  <conditionalFormatting sqref="N43">
    <cfRule type="cellIs" dxfId="10581" priority="133701" stopIfTrue="1" operator="lessThan">
      <formula>0.5</formula>
    </cfRule>
  </conditionalFormatting>
  <conditionalFormatting sqref="N43">
    <cfRule type="cellIs" dxfId="10580" priority="133702" stopIfTrue="1" operator="greaterThanOrEqual">
      <formula>0.5</formula>
    </cfRule>
  </conditionalFormatting>
  <conditionalFormatting sqref="N44">
    <cfRule type="cellIs" dxfId="10579" priority="133703" stopIfTrue="1" operator="equal">
      <formula>-1</formula>
    </cfRule>
  </conditionalFormatting>
  <conditionalFormatting sqref="N44">
    <cfRule type="cellIs" dxfId="10578" priority="133704" stopIfTrue="1" operator="lessThan">
      <formula>0.5</formula>
    </cfRule>
  </conditionalFormatting>
  <conditionalFormatting sqref="N44">
    <cfRule type="cellIs" dxfId="10577" priority="133705" stopIfTrue="1" operator="greaterThanOrEqual">
      <formula>0.5</formula>
    </cfRule>
  </conditionalFormatting>
  <conditionalFormatting sqref="N45">
    <cfRule type="cellIs" dxfId="10576" priority="133706" stopIfTrue="1" operator="equal">
      <formula>-1</formula>
    </cfRule>
  </conditionalFormatting>
  <conditionalFormatting sqref="N45">
    <cfRule type="cellIs" dxfId="10575" priority="133707" stopIfTrue="1" operator="lessThan">
      <formula>0.5</formula>
    </cfRule>
  </conditionalFormatting>
  <conditionalFormatting sqref="N45">
    <cfRule type="cellIs" dxfId="10574" priority="133708" stopIfTrue="1" operator="greaterThanOrEqual">
      <formula>0.5</formula>
    </cfRule>
  </conditionalFormatting>
  <conditionalFormatting sqref="N46">
    <cfRule type="cellIs" dxfId="10573" priority="133709" stopIfTrue="1" operator="equal">
      <formula>-1</formula>
    </cfRule>
  </conditionalFormatting>
  <conditionalFormatting sqref="N46">
    <cfRule type="cellIs" dxfId="10572" priority="133710" stopIfTrue="1" operator="lessThan">
      <formula>0.5</formula>
    </cfRule>
  </conditionalFormatting>
  <conditionalFormatting sqref="N46">
    <cfRule type="cellIs" dxfId="10571" priority="133711" stopIfTrue="1" operator="greaterThanOrEqual">
      <formula>0.5</formula>
    </cfRule>
  </conditionalFormatting>
  <conditionalFormatting sqref="N47">
    <cfRule type="cellIs" dxfId="10570" priority="133712" stopIfTrue="1" operator="equal">
      <formula>-1</formula>
    </cfRule>
  </conditionalFormatting>
  <conditionalFormatting sqref="N47">
    <cfRule type="cellIs" dxfId="10569" priority="133713" stopIfTrue="1" operator="lessThan">
      <formula>0.5</formula>
    </cfRule>
  </conditionalFormatting>
  <conditionalFormatting sqref="N47">
    <cfRule type="cellIs" dxfId="10568" priority="133714" stopIfTrue="1" operator="greaterThanOrEqual">
      <formula>0.5</formula>
    </cfRule>
  </conditionalFormatting>
  <conditionalFormatting sqref="N48">
    <cfRule type="cellIs" dxfId="10567" priority="133715" stopIfTrue="1" operator="equal">
      <formula>-1</formula>
    </cfRule>
  </conditionalFormatting>
  <conditionalFormatting sqref="N48">
    <cfRule type="cellIs" dxfId="10566" priority="133716" stopIfTrue="1" operator="lessThan">
      <formula>0.5</formula>
    </cfRule>
  </conditionalFormatting>
  <conditionalFormatting sqref="N48">
    <cfRule type="cellIs" dxfId="10565" priority="133717" stopIfTrue="1" operator="greaterThanOrEqual">
      <formula>0.5</formula>
    </cfRule>
  </conditionalFormatting>
  <conditionalFormatting sqref="N49">
    <cfRule type="cellIs" dxfId="10564" priority="133718" stopIfTrue="1" operator="equal">
      <formula>-1</formula>
    </cfRule>
  </conditionalFormatting>
  <conditionalFormatting sqref="N49">
    <cfRule type="cellIs" dxfId="10563" priority="133719" stopIfTrue="1" operator="lessThan">
      <formula>0.5</formula>
    </cfRule>
  </conditionalFormatting>
  <conditionalFormatting sqref="N49">
    <cfRule type="cellIs" dxfId="10562" priority="133720" stopIfTrue="1" operator="greaterThanOrEqual">
      <formula>0.5</formula>
    </cfRule>
  </conditionalFormatting>
  <conditionalFormatting sqref="N50">
    <cfRule type="cellIs" dxfId="10561" priority="133721" stopIfTrue="1" operator="equal">
      <formula>-1</formula>
    </cfRule>
  </conditionalFormatting>
  <conditionalFormatting sqref="N50">
    <cfRule type="cellIs" dxfId="10560" priority="133722" stopIfTrue="1" operator="lessThan">
      <formula>0.5</formula>
    </cfRule>
  </conditionalFormatting>
  <conditionalFormatting sqref="N50">
    <cfRule type="cellIs" dxfId="10559" priority="133723" stopIfTrue="1" operator="greaterThanOrEqual">
      <formula>0.5</formula>
    </cfRule>
  </conditionalFormatting>
  <conditionalFormatting sqref="N51">
    <cfRule type="cellIs" dxfId="10558" priority="133724" stopIfTrue="1" operator="equal">
      <formula>-1</formula>
    </cfRule>
  </conditionalFormatting>
  <conditionalFormatting sqref="N51">
    <cfRule type="cellIs" dxfId="10557" priority="133725" stopIfTrue="1" operator="lessThan">
      <formula>0.5</formula>
    </cfRule>
  </conditionalFormatting>
  <conditionalFormatting sqref="N51">
    <cfRule type="cellIs" dxfId="10556" priority="133726" stopIfTrue="1" operator="greaterThanOrEqual">
      <formula>0.5</formula>
    </cfRule>
  </conditionalFormatting>
  <conditionalFormatting sqref="N52">
    <cfRule type="cellIs" dxfId="10555" priority="133727" stopIfTrue="1" operator="equal">
      <formula>-1</formula>
    </cfRule>
  </conditionalFormatting>
  <conditionalFormatting sqref="N52">
    <cfRule type="cellIs" dxfId="10554" priority="133728" stopIfTrue="1" operator="lessThan">
      <formula>0.5</formula>
    </cfRule>
  </conditionalFormatting>
  <conditionalFormatting sqref="N52">
    <cfRule type="cellIs" dxfId="10553" priority="133729" stopIfTrue="1" operator="greaterThanOrEqual">
      <formula>0.5</formula>
    </cfRule>
  </conditionalFormatting>
  <conditionalFormatting sqref="N53">
    <cfRule type="cellIs" dxfId="10552" priority="133730" stopIfTrue="1" operator="equal">
      <formula>-1</formula>
    </cfRule>
  </conditionalFormatting>
  <conditionalFormatting sqref="N53">
    <cfRule type="cellIs" dxfId="10551" priority="133731" stopIfTrue="1" operator="lessThan">
      <formula>0.5</formula>
    </cfRule>
  </conditionalFormatting>
  <conditionalFormatting sqref="N53">
    <cfRule type="cellIs" dxfId="10550" priority="133732" stopIfTrue="1" operator="greaterThanOrEqual">
      <formula>0.5</formula>
    </cfRule>
  </conditionalFormatting>
  <conditionalFormatting sqref="N54">
    <cfRule type="cellIs" dxfId="10549" priority="133733" stopIfTrue="1" operator="equal">
      <formula>-1</formula>
    </cfRule>
  </conditionalFormatting>
  <conditionalFormatting sqref="N54">
    <cfRule type="cellIs" dxfId="10548" priority="133734" stopIfTrue="1" operator="lessThan">
      <formula>0.5</formula>
    </cfRule>
  </conditionalFormatting>
  <conditionalFormatting sqref="N54">
    <cfRule type="cellIs" dxfId="10547" priority="133735" stopIfTrue="1" operator="greaterThanOrEqual">
      <formula>0.5</formula>
    </cfRule>
  </conditionalFormatting>
  <conditionalFormatting sqref="N55">
    <cfRule type="cellIs" dxfId="10546" priority="133736" stopIfTrue="1" operator="equal">
      <formula>-1</formula>
    </cfRule>
  </conditionalFormatting>
  <conditionalFormatting sqref="N55">
    <cfRule type="cellIs" dxfId="10545" priority="133737" stopIfTrue="1" operator="lessThan">
      <formula>0.5</formula>
    </cfRule>
  </conditionalFormatting>
  <conditionalFormatting sqref="N55">
    <cfRule type="cellIs" dxfId="10544" priority="133738" stopIfTrue="1" operator="greaterThanOrEqual">
      <formula>0.5</formula>
    </cfRule>
  </conditionalFormatting>
  <conditionalFormatting sqref="N56">
    <cfRule type="cellIs" dxfId="10543" priority="133739" stopIfTrue="1" operator="equal">
      <formula>-1</formula>
    </cfRule>
  </conditionalFormatting>
  <conditionalFormatting sqref="N56">
    <cfRule type="cellIs" dxfId="10542" priority="133740" stopIfTrue="1" operator="lessThan">
      <formula>0.5</formula>
    </cfRule>
  </conditionalFormatting>
  <conditionalFormatting sqref="N56">
    <cfRule type="cellIs" dxfId="10541" priority="133741" stopIfTrue="1" operator="greaterThanOrEqual">
      <formula>0.5</formula>
    </cfRule>
  </conditionalFormatting>
  <conditionalFormatting sqref="N57">
    <cfRule type="cellIs" dxfId="10540" priority="133742" stopIfTrue="1" operator="equal">
      <formula>-1</formula>
    </cfRule>
  </conditionalFormatting>
  <conditionalFormatting sqref="N57">
    <cfRule type="cellIs" dxfId="10539" priority="133743" stopIfTrue="1" operator="lessThan">
      <formula>0.5</formula>
    </cfRule>
  </conditionalFormatting>
  <conditionalFormatting sqref="N57">
    <cfRule type="cellIs" dxfId="10538" priority="133744" stopIfTrue="1" operator="greaterThanOrEqual">
      <formula>0.5</formula>
    </cfRule>
  </conditionalFormatting>
  <conditionalFormatting sqref="N58">
    <cfRule type="cellIs" dxfId="10537" priority="133745" stopIfTrue="1" operator="equal">
      <formula>-1</formula>
    </cfRule>
  </conditionalFormatting>
  <conditionalFormatting sqref="N58">
    <cfRule type="cellIs" dxfId="10536" priority="133746" stopIfTrue="1" operator="lessThan">
      <formula>0.5</formula>
    </cfRule>
  </conditionalFormatting>
  <conditionalFormatting sqref="N58">
    <cfRule type="cellIs" dxfId="10535" priority="133747" stopIfTrue="1" operator="greaterThanOrEqual">
      <formula>0.5</formula>
    </cfRule>
  </conditionalFormatting>
  <conditionalFormatting sqref="P39">
    <cfRule type="cellIs" dxfId="10534" priority="133748" stopIfTrue="1" operator="equal">
      <formula>-1</formula>
    </cfRule>
  </conditionalFormatting>
  <conditionalFormatting sqref="P39">
    <cfRule type="cellIs" dxfId="10533" priority="133749" stopIfTrue="1" operator="lessThan">
      <formula>0.5</formula>
    </cfRule>
  </conditionalFormatting>
  <conditionalFormatting sqref="P39">
    <cfRule type="cellIs" dxfId="10532" priority="133750" stopIfTrue="1" operator="greaterThanOrEqual">
      <formula>0.5</formula>
    </cfRule>
  </conditionalFormatting>
  <conditionalFormatting sqref="P40">
    <cfRule type="cellIs" dxfId="10531" priority="133751" stopIfTrue="1" operator="equal">
      <formula>-1</formula>
    </cfRule>
  </conditionalFormatting>
  <conditionalFormatting sqref="P40">
    <cfRule type="cellIs" dxfId="10530" priority="133752" stopIfTrue="1" operator="lessThan">
      <formula>0.5</formula>
    </cfRule>
  </conditionalFormatting>
  <conditionalFormatting sqref="P40">
    <cfRule type="cellIs" dxfId="10529" priority="133753" stopIfTrue="1" operator="greaterThanOrEqual">
      <formula>0.5</formula>
    </cfRule>
  </conditionalFormatting>
  <conditionalFormatting sqref="P41">
    <cfRule type="cellIs" dxfId="10528" priority="133754" stopIfTrue="1" operator="equal">
      <formula>-1</formula>
    </cfRule>
  </conditionalFormatting>
  <conditionalFormatting sqref="P41">
    <cfRule type="cellIs" dxfId="10527" priority="133755" stopIfTrue="1" operator="lessThan">
      <formula>0.5</formula>
    </cfRule>
  </conditionalFormatting>
  <conditionalFormatting sqref="P41">
    <cfRule type="cellIs" dxfId="10526" priority="133756" stopIfTrue="1" operator="greaterThanOrEqual">
      <formula>0.5</formula>
    </cfRule>
  </conditionalFormatting>
  <conditionalFormatting sqref="P42">
    <cfRule type="cellIs" dxfId="10525" priority="133757" stopIfTrue="1" operator="equal">
      <formula>-1</formula>
    </cfRule>
  </conditionalFormatting>
  <conditionalFormatting sqref="P42">
    <cfRule type="cellIs" dxfId="10524" priority="133758" stopIfTrue="1" operator="lessThan">
      <formula>0.5</formula>
    </cfRule>
  </conditionalFormatting>
  <conditionalFormatting sqref="P42">
    <cfRule type="cellIs" dxfId="10523" priority="133759" stopIfTrue="1" operator="greaterThanOrEqual">
      <formula>0.5</formula>
    </cfRule>
  </conditionalFormatting>
  <conditionalFormatting sqref="P43">
    <cfRule type="cellIs" dxfId="10522" priority="133760" stopIfTrue="1" operator="equal">
      <formula>-1</formula>
    </cfRule>
  </conditionalFormatting>
  <conditionalFormatting sqref="P43">
    <cfRule type="cellIs" dxfId="10521" priority="133761" stopIfTrue="1" operator="lessThan">
      <formula>0.5</formula>
    </cfRule>
  </conditionalFormatting>
  <conditionalFormatting sqref="P43">
    <cfRule type="cellIs" dxfId="10520" priority="133762" stopIfTrue="1" operator="greaterThanOrEqual">
      <formula>0.5</formula>
    </cfRule>
  </conditionalFormatting>
  <conditionalFormatting sqref="P44">
    <cfRule type="cellIs" dxfId="10519" priority="133763" stopIfTrue="1" operator="equal">
      <formula>-1</formula>
    </cfRule>
  </conditionalFormatting>
  <conditionalFormatting sqref="P44">
    <cfRule type="cellIs" dxfId="10518" priority="133764" stopIfTrue="1" operator="lessThan">
      <formula>0.5</formula>
    </cfRule>
  </conditionalFormatting>
  <conditionalFormatting sqref="P44">
    <cfRule type="cellIs" dxfId="10517" priority="133765" stopIfTrue="1" operator="greaterThanOrEqual">
      <formula>0.5</formula>
    </cfRule>
  </conditionalFormatting>
  <conditionalFormatting sqref="P45">
    <cfRule type="cellIs" dxfId="10516" priority="133766" stopIfTrue="1" operator="equal">
      <formula>-1</formula>
    </cfRule>
  </conditionalFormatting>
  <conditionalFormatting sqref="P45">
    <cfRule type="cellIs" dxfId="10515" priority="133767" stopIfTrue="1" operator="lessThan">
      <formula>0.5</formula>
    </cfRule>
  </conditionalFormatting>
  <conditionalFormatting sqref="P45">
    <cfRule type="cellIs" dxfId="10514" priority="133768" stopIfTrue="1" operator="greaterThanOrEqual">
      <formula>0.5</formula>
    </cfRule>
  </conditionalFormatting>
  <conditionalFormatting sqref="P46">
    <cfRule type="cellIs" dxfId="10513" priority="133769" stopIfTrue="1" operator="equal">
      <formula>-1</formula>
    </cfRule>
  </conditionalFormatting>
  <conditionalFormatting sqref="P46">
    <cfRule type="cellIs" dxfId="10512" priority="133770" stopIfTrue="1" operator="lessThan">
      <formula>0.5</formula>
    </cfRule>
  </conditionalFormatting>
  <conditionalFormatting sqref="P46">
    <cfRule type="cellIs" dxfId="10511" priority="133771" stopIfTrue="1" operator="greaterThanOrEqual">
      <formula>0.5</formula>
    </cfRule>
  </conditionalFormatting>
  <conditionalFormatting sqref="P47">
    <cfRule type="cellIs" dxfId="10510" priority="133772" stopIfTrue="1" operator="equal">
      <formula>-1</formula>
    </cfRule>
  </conditionalFormatting>
  <conditionalFormatting sqref="P47">
    <cfRule type="cellIs" dxfId="10509" priority="133773" stopIfTrue="1" operator="lessThan">
      <formula>0.5</formula>
    </cfRule>
  </conditionalFormatting>
  <conditionalFormatting sqref="P47">
    <cfRule type="cellIs" dxfId="10508" priority="133774" stopIfTrue="1" operator="greaterThanOrEqual">
      <formula>0.5</formula>
    </cfRule>
  </conditionalFormatting>
  <conditionalFormatting sqref="P48">
    <cfRule type="cellIs" dxfId="10507" priority="133775" stopIfTrue="1" operator="equal">
      <formula>-1</formula>
    </cfRule>
  </conditionalFormatting>
  <conditionalFormatting sqref="P48">
    <cfRule type="cellIs" dxfId="10506" priority="133776" stopIfTrue="1" operator="lessThan">
      <formula>0.5</formula>
    </cfRule>
  </conditionalFormatting>
  <conditionalFormatting sqref="P48">
    <cfRule type="cellIs" dxfId="10505" priority="133777" stopIfTrue="1" operator="greaterThanOrEqual">
      <formula>0.5</formula>
    </cfRule>
  </conditionalFormatting>
  <conditionalFormatting sqref="P49">
    <cfRule type="cellIs" dxfId="10504" priority="133778" stopIfTrue="1" operator="equal">
      <formula>-1</formula>
    </cfRule>
  </conditionalFormatting>
  <conditionalFormatting sqref="P49">
    <cfRule type="cellIs" dxfId="10503" priority="133779" stopIfTrue="1" operator="lessThan">
      <formula>0.5</formula>
    </cfRule>
  </conditionalFormatting>
  <conditionalFormatting sqref="P49">
    <cfRule type="cellIs" dxfId="10502" priority="133780" stopIfTrue="1" operator="greaterThanOrEqual">
      <formula>0.5</formula>
    </cfRule>
  </conditionalFormatting>
  <conditionalFormatting sqref="P50">
    <cfRule type="cellIs" dxfId="10501" priority="133781" stopIfTrue="1" operator="equal">
      <formula>-1</formula>
    </cfRule>
  </conditionalFormatting>
  <conditionalFormatting sqref="P50">
    <cfRule type="cellIs" dxfId="10500" priority="133782" stopIfTrue="1" operator="lessThan">
      <formula>0.5</formula>
    </cfRule>
  </conditionalFormatting>
  <conditionalFormatting sqref="P50">
    <cfRule type="cellIs" dxfId="10499" priority="133783" stopIfTrue="1" operator="greaterThanOrEqual">
      <formula>0.5</formula>
    </cfRule>
  </conditionalFormatting>
  <conditionalFormatting sqref="P51">
    <cfRule type="cellIs" dxfId="10498" priority="133784" stopIfTrue="1" operator="equal">
      <formula>-1</formula>
    </cfRule>
  </conditionalFormatting>
  <conditionalFormatting sqref="P51">
    <cfRule type="cellIs" dxfId="10497" priority="133785" stopIfTrue="1" operator="lessThan">
      <formula>0.5</formula>
    </cfRule>
  </conditionalFormatting>
  <conditionalFormatting sqref="P51">
    <cfRule type="cellIs" dxfId="10496" priority="133786" stopIfTrue="1" operator="greaterThanOrEqual">
      <formula>0.5</formula>
    </cfRule>
  </conditionalFormatting>
  <conditionalFormatting sqref="P52">
    <cfRule type="cellIs" dxfId="10495" priority="133787" stopIfTrue="1" operator="equal">
      <formula>-1</formula>
    </cfRule>
  </conditionalFormatting>
  <conditionalFormatting sqref="P52">
    <cfRule type="cellIs" dxfId="10494" priority="133788" stopIfTrue="1" operator="lessThan">
      <formula>0.5</formula>
    </cfRule>
  </conditionalFormatting>
  <conditionalFormatting sqref="P52">
    <cfRule type="cellIs" dxfId="10493" priority="133789" stopIfTrue="1" operator="greaterThanOrEqual">
      <formula>0.5</formula>
    </cfRule>
  </conditionalFormatting>
  <conditionalFormatting sqref="P53">
    <cfRule type="cellIs" dxfId="10492" priority="133790" stopIfTrue="1" operator="equal">
      <formula>-1</formula>
    </cfRule>
  </conditionalFormatting>
  <conditionalFormatting sqref="P53">
    <cfRule type="cellIs" dxfId="10491" priority="133791" stopIfTrue="1" operator="lessThan">
      <formula>0.5</formula>
    </cfRule>
  </conditionalFormatting>
  <conditionalFormatting sqref="P53">
    <cfRule type="cellIs" dxfId="10490" priority="133792" stopIfTrue="1" operator="greaterThanOrEqual">
      <formula>0.5</formula>
    </cfRule>
  </conditionalFormatting>
  <conditionalFormatting sqref="P54">
    <cfRule type="cellIs" dxfId="10489" priority="133793" stopIfTrue="1" operator="equal">
      <formula>-1</formula>
    </cfRule>
  </conditionalFormatting>
  <conditionalFormatting sqref="P54">
    <cfRule type="cellIs" dxfId="10488" priority="133794" stopIfTrue="1" operator="lessThan">
      <formula>0.5</formula>
    </cfRule>
  </conditionalFormatting>
  <conditionalFormatting sqref="P54">
    <cfRule type="cellIs" dxfId="10487" priority="133795" stopIfTrue="1" operator="greaterThanOrEqual">
      <formula>0.5</formula>
    </cfRule>
  </conditionalFormatting>
  <conditionalFormatting sqref="P55">
    <cfRule type="cellIs" dxfId="10486" priority="133796" stopIfTrue="1" operator="equal">
      <formula>-1</formula>
    </cfRule>
  </conditionalFormatting>
  <conditionalFormatting sqref="P55">
    <cfRule type="cellIs" dxfId="10485" priority="133797" stopIfTrue="1" operator="lessThan">
      <formula>0.5</formula>
    </cfRule>
  </conditionalFormatting>
  <conditionalFormatting sqref="P55">
    <cfRule type="cellIs" dxfId="10484" priority="133798" stopIfTrue="1" operator="greaterThanOrEqual">
      <formula>0.5</formula>
    </cfRule>
  </conditionalFormatting>
  <conditionalFormatting sqref="P56">
    <cfRule type="cellIs" dxfId="10483" priority="133799" stopIfTrue="1" operator="equal">
      <formula>-1</formula>
    </cfRule>
  </conditionalFormatting>
  <conditionalFormatting sqref="P56">
    <cfRule type="cellIs" dxfId="10482" priority="133800" stopIfTrue="1" operator="lessThan">
      <formula>0.5</formula>
    </cfRule>
  </conditionalFormatting>
  <conditionalFormatting sqref="P56">
    <cfRule type="cellIs" dxfId="10481" priority="133801" stopIfTrue="1" operator="greaterThanOrEqual">
      <formula>0.5</formula>
    </cfRule>
  </conditionalFormatting>
  <conditionalFormatting sqref="P57">
    <cfRule type="cellIs" dxfId="10480" priority="133802" stopIfTrue="1" operator="equal">
      <formula>-1</formula>
    </cfRule>
  </conditionalFormatting>
  <conditionalFormatting sqref="P57">
    <cfRule type="cellIs" dxfId="10479" priority="133803" stopIfTrue="1" operator="lessThan">
      <formula>0.5</formula>
    </cfRule>
  </conditionalFormatting>
  <conditionalFormatting sqref="P57">
    <cfRule type="cellIs" dxfId="10478" priority="133804" stopIfTrue="1" operator="greaterThanOrEqual">
      <formula>0.5</formula>
    </cfRule>
  </conditionalFormatting>
  <conditionalFormatting sqref="P58">
    <cfRule type="cellIs" dxfId="10477" priority="133805" stopIfTrue="1" operator="equal">
      <formula>-1</formula>
    </cfRule>
  </conditionalFormatting>
  <conditionalFormatting sqref="P58">
    <cfRule type="cellIs" dxfId="10476" priority="133806" stopIfTrue="1" operator="lessThan">
      <formula>0.5</formula>
    </cfRule>
  </conditionalFormatting>
  <conditionalFormatting sqref="P58">
    <cfRule type="cellIs" dxfId="10475" priority="133807" stopIfTrue="1" operator="greaterThanOrEqual">
      <formula>0.5</formula>
    </cfRule>
  </conditionalFormatting>
  <conditionalFormatting sqref="R39">
    <cfRule type="cellIs" dxfId="10474" priority="133808" stopIfTrue="1" operator="equal">
      <formula>-1</formula>
    </cfRule>
  </conditionalFormatting>
  <conditionalFormatting sqref="R39">
    <cfRule type="cellIs" dxfId="10473" priority="133809" stopIfTrue="1" operator="lessThan">
      <formula>0.5</formula>
    </cfRule>
  </conditionalFormatting>
  <conditionalFormatting sqref="R39">
    <cfRule type="cellIs" dxfId="10472" priority="133810" stopIfTrue="1" operator="greaterThanOrEqual">
      <formula>0.5</formula>
    </cfRule>
  </conditionalFormatting>
  <conditionalFormatting sqref="R40">
    <cfRule type="cellIs" dxfId="10471" priority="133811" stopIfTrue="1" operator="equal">
      <formula>-1</formula>
    </cfRule>
  </conditionalFormatting>
  <conditionalFormatting sqref="R40">
    <cfRule type="cellIs" dxfId="10470" priority="133812" stopIfTrue="1" operator="lessThan">
      <formula>0.5</formula>
    </cfRule>
  </conditionalFormatting>
  <conditionalFormatting sqref="R40">
    <cfRule type="cellIs" dxfId="10469" priority="133813" stopIfTrue="1" operator="greaterThanOrEqual">
      <formula>0.5</formula>
    </cfRule>
  </conditionalFormatting>
  <conditionalFormatting sqref="R41">
    <cfRule type="cellIs" dxfId="10468" priority="133814" stopIfTrue="1" operator="equal">
      <formula>-1</formula>
    </cfRule>
  </conditionalFormatting>
  <conditionalFormatting sqref="R41">
    <cfRule type="cellIs" dxfId="10467" priority="133815" stopIfTrue="1" operator="lessThan">
      <formula>0.5</formula>
    </cfRule>
  </conditionalFormatting>
  <conditionalFormatting sqref="R41">
    <cfRule type="cellIs" dxfId="10466" priority="133816" stopIfTrue="1" operator="greaterThanOrEqual">
      <formula>0.5</formula>
    </cfRule>
  </conditionalFormatting>
  <conditionalFormatting sqref="R42">
    <cfRule type="cellIs" dxfId="10465" priority="133817" stopIfTrue="1" operator="equal">
      <formula>-1</formula>
    </cfRule>
  </conditionalFormatting>
  <conditionalFormatting sqref="R42">
    <cfRule type="cellIs" dxfId="10464" priority="133818" stopIfTrue="1" operator="lessThan">
      <formula>0.5</formula>
    </cfRule>
  </conditionalFormatting>
  <conditionalFormatting sqref="R42">
    <cfRule type="cellIs" dxfId="10463" priority="133819" stopIfTrue="1" operator="greaterThanOrEqual">
      <formula>0.5</formula>
    </cfRule>
  </conditionalFormatting>
  <conditionalFormatting sqref="R43">
    <cfRule type="cellIs" dxfId="10462" priority="133820" stopIfTrue="1" operator="equal">
      <formula>-1</formula>
    </cfRule>
  </conditionalFormatting>
  <conditionalFormatting sqref="R43">
    <cfRule type="cellIs" dxfId="10461" priority="133821" stopIfTrue="1" operator="lessThan">
      <formula>0.5</formula>
    </cfRule>
  </conditionalFormatting>
  <conditionalFormatting sqref="R43">
    <cfRule type="cellIs" dxfId="10460" priority="133822" stopIfTrue="1" operator="greaterThanOrEqual">
      <formula>0.5</formula>
    </cfRule>
  </conditionalFormatting>
  <conditionalFormatting sqref="R44">
    <cfRule type="cellIs" dxfId="10459" priority="133823" stopIfTrue="1" operator="equal">
      <formula>-1</formula>
    </cfRule>
  </conditionalFormatting>
  <conditionalFormatting sqref="R44">
    <cfRule type="cellIs" dxfId="10458" priority="133824" stopIfTrue="1" operator="lessThan">
      <formula>0.5</formula>
    </cfRule>
  </conditionalFormatting>
  <conditionalFormatting sqref="R44">
    <cfRule type="cellIs" dxfId="10457" priority="133825" stopIfTrue="1" operator="greaterThanOrEqual">
      <formula>0.5</formula>
    </cfRule>
  </conditionalFormatting>
  <conditionalFormatting sqref="R45">
    <cfRule type="cellIs" dxfId="10456" priority="133826" stopIfTrue="1" operator="equal">
      <formula>-1</formula>
    </cfRule>
  </conditionalFormatting>
  <conditionalFormatting sqref="R45">
    <cfRule type="cellIs" dxfId="10455" priority="133827" stopIfTrue="1" operator="lessThan">
      <formula>0.5</formula>
    </cfRule>
  </conditionalFormatting>
  <conditionalFormatting sqref="R45">
    <cfRule type="cellIs" dxfId="10454" priority="133828" stopIfTrue="1" operator="greaterThanOrEqual">
      <formula>0.5</formula>
    </cfRule>
  </conditionalFormatting>
  <conditionalFormatting sqref="R46">
    <cfRule type="cellIs" dxfId="10453" priority="133829" stopIfTrue="1" operator="equal">
      <formula>-1</formula>
    </cfRule>
  </conditionalFormatting>
  <conditionalFormatting sqref="R46">
    <cfRule type="cellIs" dxfId="10452" priority="133830" stopIfTrue="1" operator="lessThan">
      <formula>0.5</formula>
    </cfRule>
  </conditionalFormatting>
  <conditionalFormatting sqref="R46">
    <cfRule type="cellIs" dxfId="10451" priority="133831" stopIfTrue="1" operator="greaterThanOrEqual">
      <formula>0.5</formula>
    </cfRule>
  </conditionalFormatting>
  <conditionalFormatting sqref="R47">
    <cfRule type="cellIs" dxfId="10450" priority="133832" stopIfTrue="1" operator="equal">
      <formula>-1</formula>
    </cfRule>
  </conditionalFormatting>
  <conditionalFormatting sqref="R47">
    <cfRule type="cellIs" dxfId="10449" priority="133833" stopIfTrue="1" operator="lessThan">
      <formula>0.5</formula>
    </cfRule>
  </conditionalFormatting>
  <conditionalFormatting sqref="R47">
    <cfRule type="cellIs" dxfId="10448" priority="133834" stopIfTrue="1" operator="greaterThanOrEqual">
      <formula>0.5</formula>
    </cfRule>
  </conditionalFormatting>
  <conditionalFormatting sqref="R48">
    <cfRule type="cellIs" dxfId="10447" priority="133835" stopIfTrue="1" operator="equal">
      <formula>-1</formula>
    </cfRule>
  </conditionalFormatting>
  <conditionalFormatting sqref="R48">
    <cfRule type="cellIs" dxfId="10446" priority="133836" stopIfTrue="1" operator="lessThan">
      <formula>0.5</formula>
    </cfRule>
  </conditionalFormatting>
  <conditionalFormatting sqref="R48">
    <cfRule type="cellIs" dxfId="10445" priority="133837" stopIfTrue="1" operator="greaterThanOrEqual">
      <formula>0.5</formula>
    </cfRule>
  </conditionalFormatting>
  <conditionalFormatting sqref="R49">
    <cfRule type="cellIs" dxfId="10444" priority="133838" stopIfTrue="1" operator="equal">
      <formula>-1</formula>
    </cfRule>
  </conditionalFormatting>
  <conditionalFormatting sqref="R49">
    <cfRule type="cellIs" dxfId="10443" priority="133839" stopIfTrue="1" operator="lessThan">
      <formula>0.5</formula>
    </cfRule>
  </conditionalFormatting>
  <conditionalFormatting sqref="R49">
    <cfRule type="cellIs" dxfId="10442" priority="133840" stopIfTrue="1" operator="greaterThanOrEqual">
      <formula>0.5</formula>
    </cfRule>
  </conditionalFormatting>
  <conditionalFormatting sqref="R50">
    <cfRule type="cellIs" dxfId="10441" priority="133841" stopIfTrue="1" operator="equal">
      <formula>-1</formula>
    </cfRule>
  </conditionalFormatting>
  <conditionalFormatting sqref="R50">
    <cfRule type="cellIs" dxfId="10440" priority="133842" stopIfTrue="1" operator="lessThan">
      <formula>0.5</formula>
    </cfRule>
  </conditionalFormatting>
  <conditionalFormatting sqref="R50">
    <cfRule type="cellIs" dxfId="10439" priority="133843" stopIfTrue="1" operator="greaterThanOrEqual">
      <formula>0.5</formula>
    </cfRule>
  </conditionalFormatting>
  <conditionalFormatting sqref="R51">
    <cfRule type="cellIs" dxfId="10438" priority="133844" stopIfTrue="1" operator="equal">
      <formula>-1</formula>
    </cfRule>
  </conditionalFormatting>
  <conditionalFormatting sqref="R51">
    <cfRule type="cellIs" dxfId="10437" priority="133845" stopIfTrue="1" operator="lessThan">
      <formula>0.5</formula>
    </cfRule>
  </conditionalFormatting>
  <conditionalFormatting sqref="R51">
    <cfRule type="cellIs" dxfId="10436" priority="133846" stopIfTrue="1" operator="greaterThanOrEqual">
      <formula>0.5</formula>
    </cfRule>
  </conditionalFormatting>
  <conditionalFormatting sqref="R52">
    <cfRule type="cellIs" dxfId="10435" priority="133847" stopIfTrue="1" operator="equal">
      <formula>-1</formula>
    </cfRule>
  </conditionalFormatting>
  <conditionalFormatting sqref="R52">
    <cfRule type="cellIs" dxfId="10434" priority="133848" stopIfTrue="1" operator="lessThan">
      <formula>0.5</formula>
    </cfRule>
  </conditionalFormatting>
  <conditionalFormatting sqref="R52">
    <cfRule type="cellIs" dxfId="10433" priority="133849" stopIfTrue="1" operator="greaterThanOrEqual">
      <formula>0.5</formula>
    </cfRule>
  </conditionalFormatting>
  <conditionalFormatting sqref="R53">
    <cfRule type="cellIs" dxfId="10432" priority="133850" stopIfTrue="1" operator="equal">
      <formula>-1</formula>
    </cfRule>
  </conditionalFormatting>
  <conditionalFormatting sqref="R53">
    <cfRule type="cellIs" dxfId="10431" priority="133851" stopIfTrue="1" operator="lessThan">
      <formula>0.5</formula>
    </cfRule>
  </conditionalFormatting>
  <conditionalFormatting sqref="R53">
    <cfRule type="cellIs" dxfId="10430" priority="133852" stopIfTrue="1" operator="greaterThanOrEqual">
      <formula>0.5</formula>
    </cfRule>
  </conditionalFormatting>
  <conditionalFormatting sqref="R54">
    <cfRule type="cellIs" dxfId="10429" priority="133853" stopIfTrue="1" operator="equal">
      <formula>-1</formula>
    </cfRule>
  </conditionalFormatting>
  <conditionalFormatting sqref="R54">
    <cfRule type="cellIs" dxfId="10428" priority="133854" stopIfTrue="1" operator="lessThan">
      <formula>0.5</formula>
    </cfRule>
  </conditionalFormatting>
  <conditionalFormatting sqref="R54">
    <cfRule type="cellIs" dxfId="10427" priority="133855" stopIfTrue="1" operator="greaterThanOrEqual">
      <formula>0.5</formula>
    </cfRule>
  </conditionalFormatting>
  <conditionalFormatting sqref="R55">
    <cfRule type="cellIs" dxfId="10426" priority="133856" stopIfTrue="1" operator="equal">
      <formula>-1</formula>
    </cfRule>
  </conditionalFormatting>
  <conditionalFormatting sqref="R55">
    <cfRule type="cellIs" dxfId="10425" priority="133857" stopIfTrue="1" operator="lessThan">
      <formula>0.5</formula>
    </cfRule>
  </conditionalFormatting>
  <conditionalFormatting sqref="R55">
    <cfRule type="cellIs" dxfId="10424" priority="133858" stopIfTrue="1" operator="greaterThanOrEqual">
      <formula>0.5</formula>
    </cfRule>
  </conditionalFormatting>
  <conditionalFormatting sqref="R56">
    <cfRule type="cellIs" dxfId="10423" priority="133859" stopIfTrue="1" operator="equal">
      <formula>-1</formula>
    </cfRule>
  </conditionalFormatting>
  <conditionalFormatting sqref="R56">
    <cfRule type="cellIs" dxfId="10422" priority="133860" stopIfTrue="1" operator="lessThan">
      <formula>0.5</formula>
    </cfRule>
  </conditionalFormatting>
  <conditionalFormatting sqref="R56">
    <cfRule type="cellIs" dxfId="10421" priority="133861" stopIfTrue="1" operator="greaterThanOrEqual">
      <formula>0.5</formula>
    </cfRule>
  </conditionalFormatting>
  <conditionalFormatting sqref="R57">
    <cfRule type="cellIs" dxfId="10420" priority="133862" stopIfTrue="1" operator="equal">
      <formula>-1</formula>
    </cfRule>
  </conditionalFormatting>
  <conditionalFormatting sqref="R57">
    <cfRule type="cellIs" dxfId="10419" priority="133863" stopIfTrue="1" operator="lessThan">
      <formula>0.5</formula>
    </cfRule>
  </conditionalFormatting>
  <conditionalFormatting sqref="R57">
    <cfRule type="cellIs" dxfId="10418" priority="133864" stopIfTrue="1" operator="greaterThanOrEqual">
      <formula>0.5</formula>
    </cfRule>
  </conditionalFormatting>
  <conditionalFormatting sqref="R58">
    <cfRule type="cellIs" dxfId="10417" priority="133865" stopIfTrue="1" operator="equal">
      <formula>-1</formula>
    </cfRule>
  </conditionalFormatting>
  <conditionalFormatting sqref="R58">
    <cfRule type="cellIs" dxfId="10416" priority="133866" stopIfTrue="1" operator="lessThan">
      <formula>0.5</formula>
    </cfRule>
  </conditionalFormatting>
  <conditionalFormatting sqref="R58">
    <cfRule type="cellIs" dxfId="10415" priority="133867" stopIfTrue="1" operator="greaterThanOrEqual">
      <formula>0.5</formula>
    </cfRule>
  </conditionalFormatting>
  <conditionalFormatting sqref="T39">
    <cfRule type="cellIs" dxfId="10414" priority="133868" stopIfTrue="1" operator="equal">
      <formula>-1</formula>
    </cfRule>
  </conditionalFormatting>
  <conditionalFormatting sqref="T39">
    <cfRule type="cellIs" dxfId="10413" priority="133869" stopIfTrue="1" operator="lessThan">
      <formula>0.5</formula>
    </cfRule>
  </conditionalFormatting>
  <conditionalFormatting sqref="T39">
    <cfRule type="cellIs" dxfId="10412" priority="133870" stopIfTrue="1" operator="greaterThanOrEqual">
      <formula>0.5</formula>
    </cfRule>
  </conditionalFormatting>
  <conditionalFormatting sqref="T40">
    <cfRule type="cellIs" dxfId="10411" priority="133871" stopIfTrue="1" operator="equal">
      <formula>-1</formula>
    </cfRule>
  </conditionalFormatting>
  <conditionalFormatting sqref="T40">
    <cfRule type="cellIs" dxfId="10410" priority="133872" stopIfTrue="1" operator="lessThan">
      <formula>0.5</formula>
    </cfRule>
  </conditionalFormatting>
  <conditionalFormatting sqref="T40">
    <cfRule type="cellIs" dxfId="10409" priority="133873" stopIfTrue="1" operator="greaterThanOrEqual">
      <formula>0.5</formula>
    </cfRule>
  </conditionalFormatting>
  <conditionalFormatting sqref="T41">
    <cfRule type="cellIs" dxfId="10408" priority="133874" stopIfTrue="1" operator="equal">
      <formula>-1</formula>
    </cfRule>
  </conditionalFormatting>
  <conditionalFormatting sqref="T41">
    <cfRule type="cellIs" dxfId="10407" priority="133875" stopIfTrue="1" operator="lessThan">
      <formula>0.5</formula>
    </cfRule>
  </conditionalFormatting>
  <conditionalFormatting sqref="T41">
    <cfRule type="cellIs" dxfId="10406" priority="133876" stopIfTrue="1" operator="greaterThanOrEqual">
      <formula>0.5</formula>
    </cfRule>
  </conditionalFormatting>
  <conditionalFormatting sqref="T42">
    <cfRule type="cellIs" dxfId="10405" priority="133877" stopIfTrue="1" operator="equal">
      <formula>-1</formula>
    </cfRule>
  </conditionalFormatting>
  <conditionalFormatting sqref="T42">
    <cfRule type="cellIs" dxfId="10404" priority="133878" stopIfTrue="1" operator="lessThan">
      <formula>0.5</formula>
    </cfRule>
  </conditionalFormatting>
  <conditionalFormatting sqref="T42">
    <cfRule type="cellIs" dxfId="10403" priority="133879" stopIfTrue="1" operator="greaterThanOrEqual">
      <formula>0.5</formula>
    </cfRule>
  </conditionalFormatting>
  <conditionalFormatting sqref="T43">
    <cfRule type="cellIs" dxfId="10402" priority="133880" stopIfTrue="1" operator="equal">
      <formula>-1</formula>
    </cfRule>
  </conditionalFormatting>
  <conditionalFormatting sqref="T43">
    <cfRule type="cellIs" dxfId="10401" priority="133881" stopIfTrue="1" operator="lessThan">
      <formula>0.5</formula>
    </cfRule>
  </conditionalFormatting>
  <conditionalFormatting sqref="T43">
    <cfRule type="cellIs" dxfId="10400" priority="133882" stopIfTrue="1" operator="greaterThanOrEqual">
      <formula>0.5</formula>
    </cfRule>
  </conditionalFormatting>
  <conditionalFormatting sqref="T44">
    <cfRule type="cellIs" dxfId="10399" priority="133883" stopIfTrue="1" operator="equal">
      <formula>-1</formula>
    </cfRule>
  </conditionalFormatting>
  <conditionalFormatting sqref="T44">
    <cfRule type="cellIs" dxfId="10398" priority="133884" stopIfTrue="1" operator="lessThan">
      <formula>0.5</formula>
    </cfRule>
  </conditionalFormatting>
  <conditionalFormatting sqref="T44">
    <cfRule type="cellIs" dxfId="10397" priority="133885" stopIfTrue="1" operator="greaterThanOrEqual">
      <formula>0.5</formula>
    </cfRule>
  </conditionalFormatting>
  <conditionalFormatting sqref="T45">
    <cfRule type="cellIs" dxfId="10396" priority="133886" stopIfTrue="1" operator="equal">
      <formula>-1</formula>
    </cfRule>
  </conditionalFormatting>
  <conditionalFormatting sqref="T45">
    <cfRule type="cellIs" dxfId="10395" priority="133887" stopIfTrue="1" operator="lessThan">
      <formula>0.5</formula>
    </cfRule>
  </conditionalFormatting>
  <conditionalFormatting sqref="T45">
    <cfRule type="cellIs" dxfId="10394" priority="133888" stopIfTrue="1" operator="greaterThanOrEqual">
      <formula>0.5</formula>
    </cfRule>
  </conditionalFormatting>
  <conditionalFormatting sqref="T46">
    <cfRule type="cellIs" dxfId="10393" priority="133889" stopIfTrue="1" operator="equal">
      <formula>-1</formula>
    </cfRule>
  </conditionalFormatting>
  <conditionalFormatting sqref="T46">
    <cfRule type="cellIs" dxfId="10392" priority="133890" stopIfTrue="1" operator="lessThan">
      <formula>0.5</formula>
    </cfRule>
  </conditionalFormatting>
  <conditionalFormatting sqref="T46">
    <cfRule type="cellIs" dxfId="10391" priority="133891" stopIfTrue="1" operator="greaterThanOrEqual">
      <formula>0.5</formula>
    </cfRule>
  </conditionalFormatting>
  <conditionalFormatting sqref="T47">
    <cfRule type="cellIs" dxfId="10390" priority="133892" stopIfTrue="1" operator="equal">
      <formula>-1</formula>
    </cfRule>
  </conditionalFormatting>
  <conditionalFormatting sqref="T47">
    <cfRule type="cellIs" dxfId="10389" priority="133893" stopIfTrue="1" operator="lessThan">
      <formula>0.5</formula>
    </cfRule>
  </conditionalFormatting>
  <conditionalFormatting sqref="T47">
    <cfRule type="cellIs" dxfId="10388" priority="133894" stopIfTrue="1" operator="greaterThanOrEqual">
      <formula>0.5</formula>
    </cfRule>
  </conditionalFormatting>
  <conditionalFormatting sqref="T48">
    <cfRule type="cellIs" dxfId="10387" priority="133895" stopIfTrue="1" operator="equal">
      <formula>-1</formula>
    </cfRule>
  </conditionalFormatting>
  <conditionalFormatting sqref="T48">
    <cfRule type="cellIs" dxfId="10386" priority="133896" stopIfTrue="1" operator="lessThan">
      <formula>0.5</formula>
    </cfRule>
  </conditionalFormatting>
  <conditionalFormatting sqref="T48">
    <cfRule type="cellIs" dxfId="10385" priority="133897" stopIfTrue="1" operator="greaterThanOrEqual">
      <formula>0.5</formula>
    </cfRule>
  </conditionalFormatting>
  <conditionalFormatting sqref="T49">
    <cfRule type="cellIs" dxfId="10384" priority="133898" stopIfTrue="1" operator="equal">
      <formula>-1</formula>
    </cfRule>
  </conditionalFormatting>
  <conditionalFormatting sqref="T49">
    <cfRule type="cellIs" dxfId="10383" priority="133899" stopIfTrue="1" operator="lessThan">
      <formula>0.5</formula>
    </cfRule>
  </conditionalFormatting>
  <conditionalFormatting sqref="T49">
    <cfRule type="cellIs" dxfId="10382" priority="133900" stopIfTrue="1" operator="greaterThanOrEqual">
      <formula>0.5</formula>
    </cfRule>
  </conditionalFormatting>
  <conditionalFormatting sqref="T50">
    <cfRule type="cellIs" dxfId="10381" priority="133901" stopIfTrue="1" operator="equal">
      <formula>-1</formula>
    </cfRule>
  </conditionalFormatting>
  <conditionalFormatting sqref="T50">
    <cfRule type="cellIs" dxfId="10380" priority="133902" stopIfTrue="1" operator="lessThan">
      <formula>0.5</formula>
    </cfRule>
  </conditionalFormatting>
  <conditionalFormatting sqref="T50">
    <cfRule type="cellIs" dxfId="10379" priority="133903" stopIfTrue="1" operator="greaterThanOrEqual">
      <formula>0.5</formula>
    </cfRule>
  </conditionalFormatting>
  <conditionalFormatting sqref="T51">
    <cfRule type="cellIs" dxfId="10378" priority="133904" stopIfTrue="1" operator="equal">
      <formula>-1</formula>
    </cfRule>
  </conditionalFormatting>
  <conditionalFormatting sqref="T51">
    <cfRule type="cellIs" dxfId="10377" priority="133905" stopIfTrue="1" operator="lessThan">
      <formula>0.5</formula>
    </cfRule>
  </conditionalFormatting>
  <conditionalFormatting sqref="T51">
    <cfRule type="cellIs" dxfId="10376" priority="133906" stopIfTrue="1" operator="greaterThanOrEqual">
      <formula>0.5</formula>
    </cfRule>
  </conditionalFormatting>
  <conditionalFormatting sqref="T52">
    <cfRule type="cellIs" dxfId="10375" priority="133907" stopIfTrue="1" operator="equal">
      <formula>-1</formula>
    </cfRule>
  </conditionalFormatting>
  <conditionalFormatting sqref="T52">
    <cfRule type="cellIs" dxfId="10374" priority="133908" stopIfTrue="1" operator="lessThan">
      <formula>0.5</formula>
    </cfRule>
  </conditionalFormatting>
  <conditionalFormatting sqref="T52">
    <cfRule type="cellIs" dxfId="10373" priority="133909" stopIfTrue="1" operator="greaterThanOrEqual">
      <formula>0.5</formula>
    </cfRule>
  </conditionalFormatting>
  <conditionalFormatting sqref="T53">
    <cfRule type="cellIs" dxfId="10372" priority="133910" stopIfTrue="1" operator="equal">
      <formula>-1</formula>
    </cfRule>
  </conditionalFormatting>
  <conditionalFormatting sqref="T53">
    <cfRule type="cellIs" dxfId="10371" priority="133911" stopIfTrue="1" operator="lessThan">
      <formula>0.5</formula>
    </cfRule>
  </conditionalFormatting>
  <conditionalFormatting sqref="T53">
    <cfRule type="cellIs" dxfId="10370" priority="133912" stopIfTrue="1" operator="greaterThanOrEqual">
      <formula>0.5</formula>
    </cfRule>
  </conditionalFormatting>
  <conditionalFormatting sqref="T54">
    <cfRule type="cellIs" dxfId="10369" priority="133913" stopIfTrue="1" operator="equal">
      <formula>-1</formula>
    </cfRule>
  </conditionalFormatting>
  <conditionalFormatting sqref="T54">
    <cfRule type="cellIs" dxfId="10368" priority="133914" stopIfTrue="1" operator="lessThan">
      <formula>0.5</formula>
    </cfRule>
  </conditionalFormatting>
  <conditionalFormatting sqref="T54">
    <cfRule type="cellIs" dxfId="10367" priority="133915" stopIfTrue="1" operator="greaterThanOrEqual">
      <formula>0.5</formula>
    </cfRule>
  </conditionalFormatting>
  <conditionalFormatting sqref="T55">
    <cfRule type="cellIs" dxfId="10366" priority="133916" stopIfTrue="1" operator="equal">
      <formula>-1</formula>
    </cfRule>
  </conditionalFormatting>
  <conditionalFormatting sqref="T55">
    <cfRule type="cellIs" dxfId="10365" priority="133917" stopIfTrue="1" operator="lessThan">
      <formula>0.5</formula>
    </cfRule>
  </conditionalFormatting>
  <conditionalFormatting sqref="T55">
    <cfRule type="cellIs" dxfId="10364" priority="133918" stopIfTrue="1" operator="greaterThanOrEqual">
      <formula>0.5</formula>
    </cfRule>
  </conditionalFormatting>
  <conditionalFormatting sqref="T56">
    <cfRule type="cellIs" dxfId="10363" priority="133919" stopIfTrue="1" operator="equal">
      <formula>-1</formula>
    </cfRule>
  </conditionalFormatting>
  <conditionalFormatting sqref="T56">
    <cfRule type="cellIs" dxfId="10362" priority="133920" stopIfTrue="1" operator="lessThan">
      <formula>0.5</formula>
    </cfRule>
  </conditionalFormatting>
  <conditionalFormatting sqref="T56">
    <cfRule type="cellIs" dxfId="10361" priority="133921" stopIfTrue="1" operator="greaterThanOrEqual">
      <formula>0.5</formula>
    </cfRule>
  </conditionalFormatting>
  <conditionalFormatting sqref="T57">
    <cfRule type="cellIs" dxfId="10360" priority="133922" stopIfTrue="1" operator="equal">
      <formula>-1</formula>
    </cfRule>
  </conditionalFormatting>
  <conditionalFormatting sqref="T57">
    <cfRule type="cellIs" dxfId="10359" priority="133923" stopIfTrue="1" operator="lessThan">
      <formula>0.5</formula>
    </cfRule>
  </conditionalFormatting>
  <conditionalFormatting sqref="T57">
    <cfRule type="cellIs" dxfId="10358" priority="133924" stopIfTrue="1" operator="greaterThanOrEqual">
      <formula>0.5</formula>
    </cfRule>
  </conditionalFormatting>
  <conditionalFormatting sqref="T58">
    <cfRule type="cellIs" dxfId="10357" priority="133925" stopIfTrue="1" operator="equal">
      <formula>-1</formula>
    </cfRule>
  </conditionalFormatting>
  <conditionalFormatting sqref="T58">
    <cfRule type="cellIs" dxfId="10356" priority="133926" stopIfTrue="1" operator="lessThan">
      <formula>0.5</formula>
    </cfRule>
  </conditionalFormatting>
  <conditionalFormatting sqref="T58">
    <cfRule type="cellIs" dxfId="10355" priority="133927" stopIfTrue="1" operator="greaterThanOrEqual">
      <formula>0.5</formula>
    </cfRule>
  </conditionalFormatting>
  <conditionalFormatting sqref="V39">
    <cfRule type="cellIs" dxfId="10354" priority="133928" stopIfTrue="1" operator="equal">
      <formula>-1</formula>
    </cfRule>
  </conditionalFormatting>
  <conditionalFormatting sqref="V39">
    <cfRule type="cellIs" dxfId="10353" priority="133929" stopIfTrue="1" operator="lessThan">
      <formula>0.5</formula>
    </cfRule>
  </conditionalFormatting>
  <conditionalFormatting sqref="V39">
    <cfRule type="cellIs" dxfId="10352" priority="133930" stopIfTrue="1" operator="greaterThanOrEqual">
      <formula>0.5</formula>
    </cfRule>
  </conditionalFormatting>
  <conditionalFormatting sqref="V40">
    <cfRule type="cellIs" dxfId="10351" priority="133931" stopIfTrue="1" operator="equal">
      <formula>-1</formula>
    </cfRule>
  </conditionalFormatting>
  <conditionalFormatting sqref="V40">
    <cfRule type="cellIs" dxfId="10350" priority="133932" stopIfTrue="1" operator="lessThan">
      <formula>0.5</formula>
    </cfRule>
  </conditionalFormatting>
  <conditionalFormatting sqref="V40">
    <cfRule type="cellIs" dxfId="10349" priority="133933" stopIfTrue="1" operator="greaterThanOrEqual">
      <formula>0.5</formula>
    </cfRule>
  </conditionalFormatting>
  <conditionalFormatting sqref="V41">
    <cfRule type="cellIs" dxfId="10348" priority="133934" stopIfTrue="1" operator="equal">
      <formula>-1</formula>
    </cfRule>
  </conditionalFormatting>
  <conditionalFormatting sqref="V41">
    <cfRule type="cellIs" dxfId="10347" priority="133935" stopIfTrue="1" operator="lessThan">
      <formula>0.5</formula>
    </cfRule>
  </conditionalFormatting>
  <conditionalFormatting sqref="V41">
    <cfRule type="cellIs" dxfId="10346" priority="133936" stopIfTrue="1" operator="greaterThanOrEqual">
      <formula>0.5</formula>
    </cfRule>
  </conditionalFormatting>
  <conditionalFormatting sqref="V42">
    <cfRule type="cellIs" dxfId="10345" priority="133937" stopIfTrue="1" operator="equal">
      <formula>-1</formula>
    </cfRule>
  </conditionalFormatting>
  <conditionalFormatting sqref="V42">
    <cfRule type="cellIs" dxfId="10344" priority="133938" stopIfTrue="1" operator="lessThan">
      <formula>0.5</formula>
    </cfRule>
  </conditionalFormatting>
  <conditionalFormatting sqref="V42">
    <cfRule type="cellIs" dxfId="10343" priority="133939" stopIfTrue="1" operator="greaterThanOrEqual">
      <formula>0.5</formula>
    </cfRule>
  </conditionalFormatting>
  <conditionalFormatting sqref="V43">
    <cfRule type="cellIs" dxfId="10342" priority="133940" stopIfTrue="1" operator="equal">
      <formula>-1</formula>
    </cfRule>
  </conditionalFormatting>
  <conditionalFormatting sqref="V43">
    <cfRule type="cellIs" dxfId="10341" priority="133941" stopIfTrue="1" operator="lessThan">
      <formula>0.5</formula>
    </cfRule>
  </conditionalFormatting>
  <conditionalFormatting sqref="V43">
    <cfRule type="cellIs" dxfId="10340" priority="133942" stopIfTrue="1" operator="greaterThanOrEqual">
      <formula>0.5</formula>
    </cfRule>
  </conditionalFormatting>
  <conditionalFormatting sqref="V44">
    <cfRule type="cellIs" dxfId="10339" priority="133943" stopIfTrue="1" operator="equal">
      <formula>-1</formula>
    </cfRule>
  </conditionalFormatting>
  <conditionalFormatting sqref="V44">
    <cfRule type="cellIs" dxfId="10338" priority="133944" stopIfTrue="1" operator="lessThan">
      <formula>0.5</formula>
    </cfRule>
  </conditionalFormatting>
  <conditionalFormatting sqref="V44">
    <cfRule type="cellIs" dxfId="10337" priority="133945" stopIfTrue="1" operator="greaterThanOrEqual">
      <formula>0.5</formula>
    </cfRule>
  </conditionalFormatting>
  <conditionalFormatting sqref="V45">
    <cfRule type="cellIs" dxfId="10336" priority="133946" stopIfTrue="1" operator="equal">
      <formula>-1</formula>
    </cfRule>
  </conditionalFormatting>
  <conditionalFormatting sqref="V45">
    <cfRule type="cellIs" dxfId="10335" priority="133947" stopIfTrue="1" operator="lessThan">
      <formula>0.5</formula>
    </cfRule>
  </conditionalFormatting>
  <conditionalFormatting sqref="V45">
    <cfRule type="cellIs" dxfId="10334" priority="133948" stopIfTrue="1" operator="greaterThanOrEqual">
      <formula>0.5</formula>
    </cfRule>
  </conditionalFormatting>
  <conditionalFormatting sqref="V46">
    <cfRule type="cellIs" dxfId="10333" priority="133949" stopIfTrue="1" operator="equal">
      <formula>-1</formula>
    </cfRule>
  </conditionalFormatting>
  <conditionalFormatting sqref="V46">
    <cfRule type="cellIs" dxfId="10332" priority="133950" stopIfTrue="1" operator="lessThan">
      <formula>0.5</formula>
    </cfRule>
  </conditionalFormatting>
  <conditionalFormatting sqref="V46">
    <cfRule type="cellIs" dxfId="10331" priority="133951" stopIfTrue="1" operator="greaterThanOrEqual">
      <formula>0.5</formula>
    </cfRule>
  </conditionalFormatting>
  <conditionalFormatting sqref="V47">
    <cfRule type="cellIs" dxfId="10330" priority="133952" stopIfTrue="1" operator="equal">
      <formula>-1</formula>
    </cfRule>
  </conditionalFormatting>
  <conditionalFormatting sqref="V47">
    <cfRule type="cellIs" dxfId="10329" priority="133953" stopIfTrue="1" operator="lessThan">
      <formula>0.5</formula>
    </cfRule>
  </conditionalFormatting>
  <conditionalFormatting sqref="V47">
    <cfRule type="cellIs" dxfId="10328" priority="133954" stopIfTrue="1" operator="greaterThanOrEqual">
      <formula>0.5</formula>
    </cfRule>
  </conditionalFormatting>
  <conditionalFormatting sqref="V48">
    <cfRule type="cellIs" dxfId="10327" priority="133955" stopIfTrue="1" operator="equal">
      <formula>-1</formula>
    </cfRule>
  </conditionalFormatting>
  <conditionalFormatting sqref="V48">
    <cfRule type="cellIs" dxfId="10326" priority="133956" stopIfTrue="1" operator="lessThan">
      <formula>0.5</formula>
    </cfRule>
  </conditionalFormatting>
  <conditionalFormatting sqref="V48">
    <cfRule type="cellIs" dxfId="10325" priority="133957" stopIfTrue="1" operator="greaterThanOrEqual">
      <formula>0.5</formula>
    </cfRule>
  </conditionalFormatting>
  <conditionalFormatting sqref="V49">
    <cfRule type="cellIs" dxfId="10324" priority="133958" stopIfTrue="1" operator="equal">
      <formula>-1</formula>
    </cfRule>
  </conditionalFormatting>
  <conditionalFormatting sqref="V49">
    <cfRule type="cellIs" dxfId="10323" priority="133959" stopIfTrue="1" operator="lessThan">
      <formula>0.5</formula>
    </cfRule>
  </conditionalFormatting>
  <conditionalFormatting sqref="V49">
    <cfRule type="cellIs" dxfId="10322" priority="133960" stopIfTrue="1" operator="greaterThanOrEqual">
      <formula>0.5</formula>
    </cfRule>
  </conditionalFormatting>
  <conditionalFormatting sqref="V50">
    <cfRule type="cellIs" dxfId="10321" priority="133961" stopIfTrue="1" operator="equal">
      <formula>-1</formula>
    </cfRule>
  </conditionalFormatting>
  <conditionalFormatting sqref="V50">
    <cfRule type="cellIs" dxfId="10320" priority="133962" stopIfTrue="1" operator="lessThan">
      <formula>0.5</formula>
    </cfRule>
  </conditionalFormatting>
  <conditionalFormatting sqref="V50">
    <cfRule type="cellIs" dxfId="10319" priority="133963" stopIfTrue="1" operator="greaterThanOrEqual">
      <formula>0.5</formula>
    </cfRule>
  </conditionalFormatting>
  <conditionalFormatting sqref="V51">
    <cfRule type="cellIs" dxfId="10318" priority="133964" stopIfTrue="1" operator="equal">
      <formula>-1</formula>
    </cfRule>
  </conditionalFormatting>
  <conditionalFormatting sqref="V51">
    <cfRule type="cellIs" dxfId="10317" priority="133965" stopIfTrue="1" operator="lessThan">
      <formula>0.5</formula>
    </cfRule>
  </conditionalFormatting>
  <conditionalFormatting sqref="V51">
    <cfRule type="cellIs" dxfId="10316" priority="133966" stopIfTrue="1" operator="greaterThanOrEqual">
      <formula>0.5</formula>
    </cfRule>
  </conditionalFormatting>
  <conditionalFormatting sqref="V52">
    <cfRule type="cellIs" dxfId="10315" priority="133967" stopIfTrue="1" operator="equal">
      <formula>-1</formula>
    </cfRule>
  </conditionalFormatting>
  <conditionalFormatting sqref="V52">
    <cfRule type="cellIs" dxfId="10314" priority="133968" stopIfTrue="1" operator="lessThan">
      <formula>0.5</formula>
    </cfRule>
  </conditionalFormatting>
  <conditionalFormatting sqref="V52">
    <cfRule type="cellIs" dxfId="10313" priority="133969" stopIfTrue="1" operator="greaterThanOrEqual">
      <formula>0.5</formula>
    </cfRule>
  </conditionalFormatting>
  <conditionalFormatting sqref="V53">
    <cfRule type="cellIs" dxfId="10312" priority="133970" stopIfTrue="1" operator="equal">
      <formula>-1</formula>
    </cfRule>
  </conditionalFormatting>
  <conditionalFormatting sqref="V53">
    <cfRule type="cellIs" dxfId="10311" priority="133971" stopIfTrue="1" operator="lessThan">
      <formula>0.5</formula>
    </cfRule>
  </conditionalFormatting>
  <conditionalFormatting sqref="V53">
    <cfRule type="cellIs" dxfId="10310" priority="133972" stopIfTrue="1" operator="greaterThanOrEqual">
      <formula>0.5</formula>
    </cfRule>
  </conditionalFormatting>
  <conditionalFormatting sqref="V54">
    <cfRule type="cellIs" dxfId="10309" priority="133973" stopIfTrue="1" operator="equal">
      <formula>-1</formula>
    </cfRule>
  </conditionalFormatting>
  <conditionalFormatting sqref="V54">
    <cfRule type="cellIs" dxfId="10308" priority="133974" stopIfTrue="1" operator="lessThan">
      <formula>0.5</formula>
    </cfRule>
  </conditionalFormatting>
  <conditionalFormatting sqref="V54">
    <cfRule type="cellIs" dxfId="10307" priority="133975" stopIfTrue="1" operator="greaterThanOrEqual">
      <formula>0.5</formula>
    </cfRule>
  </conditionalFormatting>
  <conditionalFormatting sqref="V55">
    <cfRule type="cellIs" dxfId="10306" priority="133976" stopIfTrue="1" operator="equal">
      <formula>-1</formula>
    </cfRule>
  </conditionalFormatting>
  <conditionalFormatting sqref="V55">
    <cfRule type="cellIs" dxfId="10305" priority="133977" stopIfTrue="1" operator="lessThan">
      <formula>0.5</formula>
    </cfRule>
  </conditionalFormatting>
  <conditionalFormatting sqref="V55">
    <cfRule type="cellIs" dxfId="10304" priority="133978" stopIfTrue="1" operator="greaterThanOrEqual">
      <formula>0.5</formula>
    </cfRule>
  </conditionalFormatting>
  <conditionalFormatting sqref="V56">
    <cfRule type="cellIs" dxfId="10303" priority="133979" stopIfTrue="1" operator="equal">
      <formula>-1</formula>
    </cfRule>
  </conditionalFormatting>
  <conditionalFormatting sqref="V56">
    <cfRule type="cellIs" dxfId="10302" priority="133980" stopIfTrue="1" operator="lessThan">
      <formula>0.5</formula>
    </cfRule>
  </conditionalFormatting>
  <conditionalFormatting sqref="V56">
    <cfRule type="cellIs" dxfId="10301" priority="133981" stopIfTrue="1" operator="greaterThanOrEqual">
      <formula>0.5</formula>
    </cfRule>
  </conditionalFormatting>
  <conditionalFormatting sqref="V57">
    <cfRule type="cellIs" dxfId="10300" priority="133982" stopIfTrue="1" operator="equal">
      <formula>-1</formula>
    </cfRule>
  </conditionalFormatting>
  <conditionalFormatting sqref="V57">
    <cfRule type="cellIs" dxfId="10299" priority="133983" stopIfTrue="1" operator="lessThan">
      <formula>0.5</formula>
    </cfRule>
  </conditionalFormatting>
  <conditionalFormatting sqref="V57">
    <cfRule type="cellIs" dxfId="10298" priority="133984" stopIfTrue="1" operator="greaterThanOrEqual">
      <formula>0.5</formula>
    </cfRule>
  </conditionalFormatting>
  <conditionalFormatting sqref="V58">
    <cfRule type="cellIs" dxfId="10297" priority="133985" stopIfTrue="1" operator="equal">
      <formula>-1</formula>
    </cfRule>
  </conditionalFormatting>
  <conditionalFormatting sqref="V58">
    <cfRule type="cellIs" dxfId="10296" priority="133986" stopIfTrue="1" operator="lessThan">
      <formula>0.5</formula>
    </cfRule>
  </conditionalFormatting>
  <conditionalFormatting sqref="V58">
    <cfRule type="cellIs" dxfId="10295" priority="133987" stopIfTrue="1" operator="greaterThanOrEqual">
      <formula>0.5</formula>
    </cfRule>
  </conditionalFormatting>
  <conditionalFormatting sqref="X39">
    <cfRule type="cellIs" dxfId="10294" priority="133988" stopIfTrue="1" operator="equal">
      <formula>-1</formula>
    </cfRule>
  </conditionalFormatting>
  <conditionalFormatting sqref="X39">
    <cfRule type="cellIs" dxfId="10293" priority="133989" stopIfTrue="1" operator="lessThan">
      <formula>0.5</formula>
    </cfRule>
  </conditionalFormatting>
  <conditionalFormatting sqref="X39">
    <cfRule type="cellIs" dxfId="10292" priority="133990" stopIfTrue="1" operator="greaterThanOrEqual">
      <formula>0.5</formula>
    </cfRule>
  </conditionalFormatting>
  <conditionalFormatting sqref="X40">
    <cfRule type="cellIs" dxfId="10291" priority="133991" stopIfTrue="1" operator="equal">
      <formula>-1</formula>
    </cfRule>
  </conditionalFormatting>
  <conditionalFormatting sqref="X40">
    <cfRule type="cellIs" dxfId="10290" priority="133992" stopIfTrue="1" operator="lessThan">
      <formula>0.5</formula>
    </cfRule>
  </conditionalFormatting>
  <conditionalFormatting sqref="X40">
    <cfRule type="cellIs" dxfId="10289" priority="133993" stopIfTrue="1" operator="greaterThanOrEqual">
      <formula>0.5</formula>
    </cfRule>
  </conditionalFormatting>
  <conditionalFormatting sqref="X41">
    <cfRule type="cellIs" dxfId="10288" priority="133994" stopIfTrue="1" operator="equal">
      <formula>-1</formula>
    </cfRule>
  </conditionalFormatting>
  <conditionalFormatting sqref="X41">
    <cfRule type="cellIs" dxfId="10287" priority="133995" stopIfTrue="1" operator="lessThan">
      <formula>0.5</formula>
    </cfRule>
  </conditionalFormatting>
  <conditionalFormatting sqref="X41">
    <cfRule type="cellIs" dxfId="10286" priority="133996" stopIfTrue="1" operator="greaterThanOrEqual">
      <formula>0.5</formula>
    </cfRule>
  </conditionalFormatting>
  <conditionalFormatting sqref="X42">
    <cfRule type="cellIs" dxfId="10285" priority="133997" stopIfTrue="1" operator="equal">
      <formula>-1</formula>
    </cfRule>
  </conditionalFormatting>
  <conditionalFormatting sqref="X42">
    <cfRule type="cellIs" dxfId="10284" priority="133998" stopIfTrue="1" operator="lessThan">
      <formula>0.5</formula>
    </cfRule>
  </conditionalFormatting>
  <conditionalFormatting sqref="X42">
    <cfRule type="cellIs" dxfId="10283" priority="133999" stopIfTrue="1" operator="greaterThanOrEqual">
      <formula>0.5</formula>
    </cfRule>
  </conditionalFormatting>
  <conditionalFormatting sqref="X43">
    <cfRule type="cellIs" dxfId="10282" priority="134000" stopIfTrue="1" operator="equal">
      <formula>-1</formula>
    </cfRule>
  </conditionalFormatting>
  <conditionalFormatting sqref="X43">
    <cfRule type="cellIs" dxfId="10281" priority="134001" stopIfTrue="1" operator="lessThan">
      <formula>0.5</formula>
    </cfRule>
  </conditionalFormatting>
  <conditionalFormatting sqref="X43">
    <cfRule type="cellIs" dxfId="10280" priority="134002" stopIfTrue="1" operator="greaterThanOrEqual">
      <formula>0.5</formula>
    </cfRule>
  </conditionalFormatting>
  <conditionalFormatting sqref="X44">
    <cfRule type="cellIs" dxfId="10279" priority="134003" stopIfTrue="1" operator="equal">
      <formula>-1</formula>
    </cfRule>
  </conditionalFormatting>
  <conditionalFormatting sqref="X44">
    <cfRule type="cellIs" dxfId="10278" priority="134004" stopIfTrue="1" operator="lessThan">
      <formula>0.5</formula>
    </cfRule>
  </conditionalFormatting>
  <conditionalFormatting sqref="X44">
    <cfRule type="cellIs" dxfId="10277" priority="134005" stopIfTrue="1" operator="greaterThanOrEqual">
      <formula>0.5</formula>
    </cfRule>
  </conditionalFormatting>
  <conditionalFormatting sqref="X45">
    <cfRule type="cellIs" dxfId="10276" priority="134006" stopIfTrue="1" operator="equal">
      <formula>-1</formula>
    </cfRule>
  </conditionalFormatting>
  <conditionalFormatting sqref="X45">
    <cfRule type="cellIs" dxfId="10275" priority="134007" stopIfTrue="1" operator="lessThan">
      <formula>0.5</formula>
    </cfRule>
  </conditionalFormatting>
  <conditionalFormatting sqref="X45">
    <cfRule type="cellIs" dxfId="10274" priority="134008" stopIfTrue="1" operator="greaterThanOrEqual">
      <formula>0.5</formula>
    </cfRule>
  </conditionalFormatting>
  <conditionalFormatting sqref="X46">
    <cfRule type="cellIs" dxfId="10273" priority="134009" stopIfTrue="1" operator="equal">
      <formula>-1</formula>
    </cfRule>
  </conditionalFormatting>
  <conditionalFormatting sqref="X46">
    <cfRule type="cellIs" dxfId="10272" priority="134010" stopIfTrue="1" operator="lessThan">
      <formula>0.5</formula>
    </cfRule>
  </conditionalFormatting>
  <conditionalFormatting sqref="X46">
    <cfRule type="cellIs" dxfId="10271" priority="134011" stopIfTrue="1" operator="greaterThanOrEqual">
      <formula>0.5</formula>
    </cfRule>
  </conditionalFormatting>
  <conditionalFormatting sqref="X47">
    <cfRule type="cellIs" dxfId="10270" priority="134012" stopIfTrue="1" operator="equal">
      <formula>-1</formula>
    </cfRule>
  </conditionalFormatting>
  <conditionalFormatting sqref="X47">
    <cfRule type="cellIs" dxfId="10269" priority="134013" stopIfTrue="1" operator="lessThan">
      <formula>0.5</formula>
    </cfRule>
  </conditionalFormatting>
  <conditionalFormatting sqref="X47">
    <cfRule type="cellIs" dxfId="10268" priority="134014" stopIfTrue="1" operator="greaterThanOrEqual">
      <formula>0.5</formula>
    </cfRule>
  </conditionalFormatting>
  <conditionalFormatting sqref="X48">
    <cfRule type="cellIs" dxfId="10267" priority="134015" stopIfTrue="1" operator="equal">
      <formula>-1</formula>
    </cfRule>
  </conditionalFormatting>
  <conditionalFormatting sqref="X48">
    <cfRule type="cellIs" dxfId="10266" priority="134016" stopIfTrue="1" operator="lessThan">
      <formula>0.5</formula>
    </cfRule>
  </conditionalFormatting>
  <conditionalFormatting sqref="X48">
    <cfRule type="cellIs" dxfId="10265" priority="134017" stopIfTrue="1" operator="greaterThanOrEqual">
      <formula>0.5</formula>
    </cfRule>
  </conditionalFormatting>
  <conditionalFormatting sqref="X49">
    <cfRule type="cellIs" dxfId="10264" priority="134018" stopIfTrue="1" operator="equal">
      <formula>-1</formula>
    </cfRule>
  </conditionalFormatting>
  <conditionalFormatting sqref="X49">
    <cfRule type="cellIs" dxfId="10263" priority="134019" stopIfTrue="1" operator="lessThan">
      <formula>0.5</formula>
    </cfRule>
  </conditionalFormatting>
  <conditionalFormatting sqref="X49">
    <cfRule type="cellIs" dxfId="10262" priority="134020" stopIfTrue="1" operator="greaterThanOrEqual">
      <formula>0.5</formula>
    </cfRule>
  </conditionalFormatting>
  <conditionalFormatting sqref="X50">
    <cfRule type="cellIs" dxfId="10261" priority="134021" stopIfTrue="1" operator="equal">
      <formula>-1</formula>
    </cfRule>
  </conditionalFormatting>
  <conditionalFormatting sqref="X50">
    <cfRule type="cellIs" dxfId="10260" priority="134022" stopIfTrue="1" operator="lessThan">
      <formula>0.5</formula>
    </cfRule>
  </conditionalFormatting>
  <conditionalFormatting sqref="X50">
    <cfRule type="cellIs" dxfId="10259" priority="134023" stopIfTrue="1" operator="greaterThanOrEqual">
      <formula>0.5</formula>
    </cfRule>
  </conditionalFormatting>
  <conditionalFormatting sqref="X51">
    <cfRule type="cellIs" dxfId="10258" priority="134024" stopIfTrue="1" operator="equal">
      <formula>-1</formula>
    </cfRule>
  </conditionalFormatting>
  <conditionalFormatting sqref="X51">
    <cfRule type="cellIs" dxfId="10257" priority="134025" stopIfTrue="1" operator="lessThan">
      <formula>0.5</formula>
    </cfRule>
  </conditionalFormatting>
  <conditionalFormatting sqref="X51">
    <cfRule type="cellIs" dxfId="10256" priority="134026" stopIfTrue="1" operator="greaterThanOrEqual">
      <formula>0.5</formula>
    </cfRule>
  </conditionalFormatting>
  <conditionalFormatting sqref="X52">
    <cfRule type="cellIs" dxfId="10255" priority="134027" stopIfTrue="1" operator="equal">
      <formula>-1</formula>
    </cfRule>
  </conditionalFormatting>
  <conditionalFormatting sqref="X52">
    <cfRule type="cellIs" dxfId="10254" priority="134028" stopIfTrue="1" operator="lessThan">
      <formula>0.5</formula>
    </cfRule>
  </conditionalFormatting>
  <conditionalFormatting sqref="X52">
    <cfRule type="cellIs" dxfId="10253" priority="134029" stopIfTrue="1" operator="greaterThanOrEqual">
      <formula>0.5</formula>
    </cfRule>
  </conditionalFormatting>
  <conditionalFormatting sqref="X53">
    <cfRule type="cellIs" dxfId="10252" priority="134030" stopIfTrue="1" operator="equal">
      <formula>-1</formula>
    </cfRule>
  </conditionalFormatting>
  <conditionalFormatting sqref="X53">
    <cfRule type="cellIs" dxfId="10251" priority="134031" stopIfTrue="1" operator="lessThan">
      <formula>0.5</formula>
    </cfRule>
  </conditionalFormatting>
  <conditionalFormatting sqref="X53">
    <cfRule type="cellIs" dxfId="10250" priority="134032" stopIfTrue="1" operator="greaterThanOrEqual">
      <formula>0.5</formula>
    </cfRule>
  </conditionalFormatting>
  <conditionalFormatting sqref="X54">
    <cfRule type="cellIs" dxfId="10249" priority="134033" stopIfTrue="1" operator="equal">
      <formula>-1</formula>
    </cfRule>
  </conditionalFormatting>
  <conditionalFormatting sqref="X54">
    <cfRule type="cellIs" dxfId="10248" priority="134034" stopIfTrue="1" operator="lessThan">
      <formula>0.5</formula>
    </cfRule>
  </conditionalFormatting>
  <conditionalFormatting sqref="X54">
    <cfRule type="cellIs" dxfId="10247" priority="134035" stopIfTrue="1" operator="greaterThanOrEqual">
      <formula>0.5</formula>
    </cfRule>
  </conditionalFormatting>
  <conditionalFormatting sqref="X55">
    <cfRule type="cellIs" dxfId="10246" priority="134036" stopIfTrue="1" operator="equal">
      <formula>-1</formula>
    </cfRule>
  </conditionalFormatting>
  <conditionalFormatting sqref="X55">
    <cfRule type="cellIs" dxfId="10245" priority="134037" stopIfTrue="1" operator="lessThan">
      <formula>0.5</formula>
    </cfRule>
  </conditionalFormatting>
  <conditionalFormatting sqref="X55">
    <cfRule type="cellIs" dxfId="10244" priority="134038" stopIfTrue="1" operator="greaterThanOrEqual">
      <formula>0.5</formula>
    </cfRule>
  </conditionalFormatting>
  <conditionalFormatting sqref="X56">
    <cfRule type="cellIs" dxfId="10243" priority="134039" stopIfTrue="1" operator="equal">
      <formula>-1</formula>
    </cfRule>
  </conditionalFormatting>
  <conditionalFormatting sqref="X56">
    <cfRule type="cellIs" dxfId="10242" priority="134040" stopIfTrue="1" operator="lessThan">
      <formula>0.5</formula>
    </cfRule>
  </conditionalFormatting>
  <conditionalFormatting sqref="X56">
    <cfRule type="cellIs" dxfId="10241" priority="134041" stopIfTrue="1" operator="greaterThanOrEqual">
      <formula>0.5</formula>
    </cfRule>
  </conditionalFormatting>
  <conditionalFormatting sqref="X57">
    <cfRule type="cellIs" dxfId="10240" priority="134042" stopIfTrue="1" operator="equal">
      <formula>-1</formula>
    </cfRule>
  </conditionalFormatting>
  <conditionalFormatting sqref="X57">
    <cfRule type="cellIs" dxfId="10239" priority="134043" stopIfTrue="1" operator="lessThan">
      <formula>0.5</formula>
    </cfRule>
  </conditionalFormatting>
  <conditionalFormatting sqref="X57">
    <cfRule type="cellIs" dxfId="10238" priority="134044" stopIfTrue="1" operator="greaterThanOrEqual">
      <formula>0.5</formula>
    </cfRule>
  </conditionalFormatting>
  <conditionalFormatting sqref="X58">
    <cfRule type="cellIs" dxfId="10237" priority="134045" stopIfTrue="1" operator="equal">
      <formula>-1</formula>
    </cfRule>
  </conditionalFormatting>
  <conditionalFormatting sqref="X58">
    <cfRule type="cellIs" dxfId="10236" priority="134046" stopIfTrue="1" operator="lessThan">
      <formula>0.5</formula>
    </cfRule>
  </conditionalFormatting>
  <conditionalFormatting sqref="X58">
    <cfRule type="cellIs" dxfId="10235" priority="134047" stopIfTrue="1" operator="greaterThanOrEqual">
      <formula>0.5</formula>
    </cfRule>
  </conditionalFormatting>
  <conditionalFormatting sqref="Z39">
    <cfRule type="cellIs" dxfId="10234" priority="134048" stopIfTrue="1" operator="equal">
      <formula>-1</formula>
    </cfRule>
  </conditionalFormatting>
  <conditionalFormatting sqref="Z39">
    <cfRule type="cellIs" dxfId="10233" priority="134049" stopIfTrue="1" operator="lessThan">
      <formula>0.5</formula>
    </cfRule>
  </conditionalFormatting>
  <conditionalFormatting sqref="Z39">
    <cfRule type="cellIs" dxfId="10232" priority="134050" stopIfTrue="1" operator="greaterThanOrEqual">
      <formula>0.5</formula>
    </cfRule>
  </conditionalFormatting>
  <conditionalFormatting sqref="Z40">
    <cfRule type="cellIs" dxfId="10231" priority="134051" stopIfTrue="1" operator="equal">
      <formula>-1</formula>
    </cfRule>
  </conditionalFormatting>
  <conditionalFormatting sqref="Z40">
    <cfRule type="cellIs" dxfId="10230" priority="134052" stopIfTrue="1" operator="lessThan">
      <formula>0.5</formula>
    </cfRule>
  </conditionalFormatting>
  <conditionalFormatting sqref="Z40">
    <cfRule type="cellIs" dxfId="10229" priority="134053" stopIfTrue="1" operator="greaterThanOrEqual">
      <formula>0.5</formula>
    </cfRule>
  </conditionalFormatting>
  <conditionalFormatting sqref="Z41">
    <cfRule type="cellIs" dxfId="10228" priority="134054" stopIfTrue="1" operator="equal">
      <formula>-1</formula>
    </cfRule>
  </conditionalFormatting>
  <conditionalFormatting sqref="Z41">
    <cfRule type="cellIs" dxfId="10227" priority="134055" stopIfTrue="1" operator="lessThan">
      <formula>0.5</formula>
    </cfRule>
  </conditionalFormatting>
  <conditionalFormatting sqref="Z41">
    <cfRule type="cellIs" dxfId="10226" priority="134056" stopIfTrue="1" operator="greaterThanOrEqual">
      <formula>0.5</formula>
    </cfRule>
  </conditionalFormatting>
  <conditionalFormatting sqref="Z42">
    <cfRule type="cellIs" dxfId="10225" priority="134057" stopIfTrue="1" operator="equal">
      <formula>-1</formula>
    </cfRule>
  </conditionalFormatting>
  <conditionalFormatting sqref="Z42">
    <cfRule type="cellIs" dxfId="10224" priority="134058" stopIfTrue="1" operator="lessThan">
      <formula>0.5</formula>
    </cfRule>
  </conditionalFormatting>
  <conditionalFormatting sqref="Z42">
    <cfRule type="cellIs" dxfId="10223" priority="134059" stopIfTrue="1" operator="greaterThanOrEqual">
      <formula>0.5</formula>
    </cfRule>
  </conditionalFormatting>
  <conditionalFormatting sqref="Z43">
    <cfRule type="cellIs" dxfId="10222" priority="134060" stopIfTrue="1" operator="equal">
      <formula>-1</formula>
    </cfRule>
  </conditionalFormatting>
  <conditionalFormatting sqref="Z43">
    <cfRule type="cellIs" dxfId="10221" priority="134061" stopIfTrue="1" operator="lessThan">
      <formula>0.5</formula>
    </cfRule>
  </conditionalFormatting>
  <conditionalFormatting sqref="Z43">
    <cfRule type="cellIs" dxfId="10220" priority="134062" stopIfTrue="1" operator="greaterThanOrEqual">
      <formula>0.5</formula>
    </cfRule>
  </conditionalFormatting>
  <conditionalFormatting sqref="Z44">
    <cfRule type="cellIs" dxfId="10219" priority="134063" stopIfTrue="1" operator="equal">
      <formula>-1</formula>
    </cfRule>
  </conditionalFormatting>
  <conditionalFormatting sqref="Z44">
    <cfRule type="cellIs" dxfId="10218" priority="134064" stopIfTrue="1" operator="lessThan">
      <formula>0.5</formula>
    </cfRule>
  </conditionalFormatting>
  <conditionalFormatting sqref="Z44">
    <cfRule type="cellIs" dxfId="10217" priority="134065" stopIfTrue="1" operator="greaterThanOrEqual">
      <formula>0.5</formula>
    </cfRule>
  </conditionalFormatting>
  <conditionalFormatting sqref="Z45">
    <cfRule type="cellIs" dxfId="10216" priority="134066" stopIfTrue="1" operator="equal">
      <formula>-1</formula>
    </cfRule>
  </conditionalFormatting>
  <conditionalFormatting sqref="Z45">
    <cfRule type="cellIs" dxfId="10215" priority="134067" stopIfTrue="1" operator="lessThan">
      <formula>0.5</formula>
    </cfRule>
  </conditionalFormatting>
  <conditionalFormatting sqref="Z45">
    <cfRule type="cellIs" dxfId="10214" priority="134068" stopIfTrue="1" operator="greaterThanOrEqual">
      <formula>0.5</formula>
    </cfRule>
  </conditionalFormatting>
  <conditionalFormatting sqref="Z46">
    <cfRule type="cellIs" dxfId="10213" priority="134069" stopIfTrue="1" operator="equal">
      <formula>-1</formula>
    </cfRule>
  </conditionalFormatting>
  <conditionalFormatting sqref="Z46">
    <cfRule type="cellIs" dxfId="10212" priority="134070" stopIfTrue="1" operator="lessThan">
      <formula>0.5</formula>
    </cfRule>
  </conditionalFormatting>
  <conditionalFormatting sqref="Z46">
    <cfRule type="cellIs" dxfId="10211" priority="134071" stopIfTrue="1" operator="greaterThanOrEqual">
      <formula>0.5</formula>
    </cfRule>
  </conditionalFormatting>
  <conditionalFormatting sqref="Z47">
    <cfRule type="cellIs" dxfId="10210" priority="134072" stopIfTrue="1" operator="equal">
      <formula>-1</formula>
    </cfRule>
  </conditionalFormatting>
  <conditionalFormatting sqref="Z47">
    <cfRule type="cellIs" dxfId="10209" priority="134073" stopIfTrue="1" operator="lessThan">
      <formula>0.5</formula>
    </cfRule>
  </conditionalFormatting>
  <conditionalFormatting sqref="Z47">
    <cfRule type="cellIs" dxfId="10208" priority="134074" stopIfTrue="1" operator="greaterThanOrEqual">
      <formula>0.5</formula>
    </cfRule>
  </conditionalFormatting>
  <conditionalFormatting sqref="Z48">
    <cfRule type="cellIs" dxfId="10207" priority="134075" stopIfTrue="1" operator="equal">
      <formula>-1</formula>
    </cfRule>
  </conditionalFormatting>
  <conditionalFormatting sqref="Z48">
    <cfRule type="cellIs" dxfId="10206" priority="134076" stopIfTrue="1" operator="lessThan">
      <formula>0.5</formula>
    </cfRule>
  </conditionalFormatting>
  <conditionalFormatting sqref="Z48">
    <cfRule type="cellIs" dxfId="10205" priority="134077" stopIfTrue="1" operator="greaterThanOrEqual">
      <formula>0.5</formula>
    </cfRule>
  </conditionalFormatting>
  <conditionalFormatting sqref="Z49">
    <cfRule type="cellIs" dxfId="10204" priority="134078" stopIfTrue="1" operator="equal">
      <formula>-1</formula>
    </cfRule>
  </conditionalFormatting>
  <conditionalFormatting sqref="Z49">
    <cfRule type="cellIs" dxfId="10203" priority="134079" stopIfTrue="1" operator="lessThan">
      <formula>0.5</formula>
    </cfRule>
  </conditionalFormatting>
  <conditionalFormatting sqref="Z49">
    <cfRule type="cellIs" dxfId="10202" priority="134080" stopIfTrue="1" operator="greaterThanOrEqual">
      <formula>0.5</formula>
    </cfRule>
  </conditionalFormatting>
  <conditionalFormatting sqref="Z50">
    <cfRule type="cellIs" dxfId="10201" priority="134081" stopIfTrue="1" operator="equal">
      <formula>-1</formula>
    </cfRule>
  </conditionalFormatting>
  <conditionalFormatting sqref="Z50">
    <cfRule type="cellIs" dxfId="10200" priority="134082" stopIfTrue="1" operator="lessThan">
      <formula>0.5</formula>
    </cfRule>
  </conditionalFormatting>
  <conditionalFormatting sqref="Z50">
    <cfRule type="cellIs" dxfId="10199" priority="134083" stopIfTrue="1" operator="greaterThanOrEqual">
      <formula>0.5</formula>
    </cfRule>
  </conditionalFormatting>
  <conditionalFormatting sqref="Z51">
    <cfRule type="cellIs" dxfId="10198" priority="134084" stopIfTrue="1" operator="equal">
      <formula>-1</formula>
    </cfRule>
  </conditionalFormatting>
  <conditionalFormatting sqref="Z51">
    <cfRule type="cellIs" dxfId="10197" priority="134085" stopIfTrue="1" operator="lessThan">
      <formula>0.5</formula>
    </cfRule>
  </conditionalFormatting>
  <conditionalFormatting sqref="Z51">
    <cfRule type="cellIs" dxfId="10196" priority="134086" stopIfTrue="1" operator="greaterThanOrEqual">
      <formula>0.5</formula>
    </cfRule>
  </conditionalFormatting>
  <conditionalFormatting sqref="Z52">
    <cfRule type="cellIs" dxfId="10195" priority="134087" stopIfTrue="1" operator="equal">
      <formula>-1</formula>
    </cfRule>
  </conditionalFormatting>
  <conditionalFormatting sqref="Z52">
    <cfRule type="cellIs" dxfId="10194" priority="134088" stopIfTrue="1" operator="lessThan">
      <formula>0.5</formula>
    </cfRule>
  </conditionalFormatting>
  <conditionalFormatting sqref="Z52">
    <cfRule type="cellIs" dxfId="10193" priority="134089" stopIfTrue="1" operator="greaterThanOrEqual">
      <formula>0.5</formula>
    </cfRule>
  </conditionalFormatting>
  <conditionalFormatting sqref="Z53">
    <cfRule type="cellIs" dxfId="10192" priority="134090" stopIfTrue="1" operator="equal">
      <formula>-1</formula>
    </cfRule>
  </conditionalFormatting>
  <conditionalFormatting sqref="Z53">
    <cfRule type="cellIs" dxfId="10191" priority="134091" stopIfTrue="1" operator="lessThan">
      <formula>0.5</formula>
    </cfRule>
  </conditionalFormatting>
  <conditionalFormatting sqref="Z53">
    <cfRule type="cellIs" dxfId="10190" priority="134092" stopIfTrue="1" operator="greaterThanOrEqual">
      <formula>0.5</formula>
    </cfRule>
  </conditionalFormatting>
  <conditionalFormatting sqref="Z54">
    <cfRule type="cellIs" dxfId="10189" priority="134093" stopIfTrue="1" operator="equal">
      <formula>-1</formula>
    </cfRule>
  </conditionalFormatting>
  <conditionalFormatting sqref="Z54">
    <cfRule type="cellIs" dxfId="10188" priority="134094" stopIfTrue="1" operator="lessThan">
      <formula>0.5</formula>
    </cfRule>
  </conditionalFormatting>
  <conditionalFormatting sqref="Z54">
    <cfRule type="cellIs" dxfId="10187" priority="134095" stopIfTrue="1" operator="greaterThanOrEqual">
      <formula>0.5</formula>
    </cfRule>
  </conditionalFormatting>
  <conditionalFormatting sqref="Z55">
    <cfRule type="cellIs" dxfId="10186" priority="134096" stopIfTrue="1" operator="equal">
      <formula>-1</formula>
    </cfRule>
  </conditionalFormatting>
  <conditionalFormatting sqref="Z55">
    <cfRule type="cellIs" dxfId="10185" priority="134097" stopIfTrue="1" operator="lessThan">
      <formula>0.5</formula>
    </cfRule>
  </conditionalFormatting>
  <conditionalFormatting sqref="Z55">
    <cfRule type="cellIs" dxfId="10184" priority="134098" stopIfTrue="1" operator="greaterThanOrEqual">
      <formula>0.5</formula>
    </cfRule>
  </conditionalFormatting>
  <conditionalFormatting sqref="Z56">
    <cfRule type="cellIs" dxfId="10183" priority="134099" stopIfTrue="1" operator="equal">
      <formula>-1</formula>
    </cfRule>
  </conditionalFormatting>
  <conditionalFormatting sqref="Z56">
    <cfRule type="cellIs" dxfId="10182" priority="134100" stopIfTrue="1" operator="lessThan">
      <formula>0.5</formula>
    </cfRule>
  </conditionalFormatting>
  <conditionalFormatting sqref="Z56">
    <cfRule type="cellIs" dxfId="10181" priority="134101" stopIfTrue="1" operator="greaterThanOrEqual">
      <formula>0.5</formula>
    </cfRule>
  </conditionalFormatting>
  <conditionalFormatting sqref="Z57">
    <cfRule type="cellIs" dxfId="10180" priority="134102" stopIfTrue="1" operator="equal">
      <formula>-1</formula>
    </cfRule>
  </conditionalFormatting>
  <conditionalFormatting sqref="Z57">
    <cfRule type="cellIs" dxfId="10179" priority="134103" stopIfTrue="1" operator="lessThan">
      <formula>0.5</formula>
    </cfRule>
  </conditionalFormatting>
  <conditionalFormatting sqref="Z57">
    <cfRule type="cellIs" dxfId="10178" priority="134104" stopIfTrue="1" operator="greaterThanOrEqual">
      <formula>0.5</formula>
    </cfRule>
  </conditionalFormatting>
  <conditionalFormatting sqref="Z58">
    <cfRule type="cellIs" dxfId="10177" priority="134105" stopIfTrue="1" operator="equal">
      <formula>-1</formula>
    </cfRule>
  </conditionalFormatting>
  <conditionalFormatting sqref="Z58">
    <cfRule type="cellIs" dxfId="10176" priority="134106" stopIfTrue="1" operator="lessThan">
      <formula>0.5</formula>
    </cfRule>
  </conditionalFormatting>
  <conditionalFormatting sqref="Z58">
    <cfRule type="cellIs" dxfId="10175" priority="134107" stopIfTrue="1" operator="greaterThanOrEqual">
      <formula>0.5</formula>
    </cfRule>
  </conditionalFormatting>
  <conditionalFormatting sqref="AB39">
    <cfRule type="cellIs" dxfId="10174" priority="134108" stopIfTrue="1" operator="equal">
      <formula>-1</formula>
    </cfRule>
  </conditionalFormatting>
  <conditionalFormatting sqref="AB39">
    <cfRule type="cellIs" dxfId="10173" priority="134109" stopIfTrue="1" operator="lessThan">
      <formula>0.5</formula>
    </cfRule>
  </conditionalFormatting>
  <conditionalFormatting sqref="AB39">
    <cfRule type="cellIs" dxfId="10172" priority="134110" stopIfTrue="1" operator="greaterThanOrEqual">
      <formula>0.5</formula>
    </cfRule>
  </conditionalFormatting>
  <conditionalFormatting sqref="AB40">
    <cfRule type="cellIs" dxfId="10171" priority="134111" stopIfTrue="1" operator="equal">
      <formula>-1</formula>
    </cfRule>
  </conditionalFormatting>
  <conditionalFormatting sqref="AB40">
    <cfRule type="cellIs" dxfId="10170" priority="134112" stopIfTrue="1" operator="lessThan">
      <formula>0.5</formula>
    </cfRule>
  </conditionalFormatting>
  <conditionalFormatting sqref="AB40">
    <cfRule type="cellIs" dxfId="10169" priority="134113" stopIfTrue="1" operator="greaterThanOrEqual">
      <formula>0.5</formula>
    </cfRule>
  </conditionalFormatting>
  <conditionalFormatting sqref="AB41">
    <cfRule type="cellIs" dxfId="10168" priority="134114" stopIfTrue="1" operator="equal">
      <formula>-1</formula>
    </cfRule>
  </conditionalFormatting>
  <conditionalFormatting sqref="AB41">
    <cfRule type="cellIs" dxfId="10167" priority="134115" stopIfTrue="1" operator="lessThan">
      <formula>0.5</formula>
    </cfRule>
  </conditionalFormatting>
  <conditionalFormatting sqref="AB41">
    <cfRule type="cellIs" dxfId="10166" priority="134116" stopIfTrue="1" operator="greaterThanOrEqual">
      <formula>0.5</formula>
    </cfRule>
  </conditionalFormatting>
  <conditionalFormatting sqref="AB42">
    <cfRule type="cellIs" dxfId="10165" priority="134117" stopIfTrue="1" operator="equal">
      <formula>-1</formula>
    </cfRule>
  </conditionalFormatting>
  <conditionalFormatting sqref="AB42">
    <cfRule type="cellIs" dxfId="10164" priority="134118" stopIfTrue="1" operator="lessThan">
      <formula>0.5</formula>
    </cfRule>
  </conditionalFormatting>
  <conditionalFormatting sqref="AB42">
    <cfRule type="cellIs" dxfId="10163" priority="134119" stopIfTrue="1" operator="greaterThanOrEqual">
      <formula>0.5</formula>
    </cfRule>
  </conditionalFormatting>
  <conditionalFormatting sqref="AB43">
    <cfRule type="cellIs" dxfId="10162" priority="134120" stopIfTrue="1" operator="equal">
      <formula>-1</formula>
    </cfRule>
  </conditionalFormatting>
  <conditionalFormatting sqref="AB43">
    <cfRule type="cellIs" dxfId="10161" priority="134121" stopIfTrue="1" operator="lessThan">
      <formula>0.5</formula>
    </cfRule>
  </conditionalFormatting>
  <conditionalFormatting sqref="AB43">
    <cfRule type="cellIs" dxfId="10160" priority="134122" stopIfTrue="1" operator="greaterThanOrEqual">
      <formula>0.5</formula>
    </cfRule>
  </conditionalFormatting>
  <conditionalFormatting sqref="AB44">
    <cfRule type="cellIs" dxfId="10159" priority="134123" stopIfTrue="1" operator="equal">
      <formula>-1</formula>
    </cfRule>
  </conditionalFormatting>
  <conditionalFormatting sqref="AB44">
    <cfRule type="cellIs" dxfId="10158" priority="134124" stopIfTrue="1" operator="lessThan">
      <formula>0.5</formula>
    </cfRule>
  </conditionalFormatting>
  <conditionalFormatting sqref="AB44">
    <cfRule type="cellIs" dxfId="10157" priority="134125" stopIfTrue="1" operator="greaterThanOrEqual">
      <formula>0.5</formula>
    </cfRule>
  </conditionalFormatting>
  <conditionalFormatting sqref="AB45">
    <cfRule type="cellIs" dxfId="10156" priority="134126" stopIfTrue="1" operator="equal">
      <formula>-1</formula>
    </cfRule>
  </conditionalFormatting>
  <conditionalFormatting sqref="AB45">
    <cfRule type="cellIs" dxfId="10155" priority="134127" stopIfTrue="1" operator="lessThan">
      <formula>0.5</formula>
    </cfRule>
  </conditionalFormatting>
  <conditionalFormatting sqref="AB45">
    <cfRule type="cellIs" dxfId="10154" priority="134128" stopIfTrue="1" operator="greaterThanOrEqual">
      <formula>0.5</formula>
    </cfRule>
  </conditionalFormatting>
  <conditionalFormatting sqref="AB46">
    <cfRule type="cellIs" dxfId="10153" priority="134129" stopIfTrue="1" operator="equal">
      <formula>-1</formula>
    </cfRule>
  </conditionalFormatting>
  <conditionalFormatting sqref="AB46">
    <cfRule type="cellIs" dxfId="10152" priority="134130" stopIfTrue="1" operator="lessThan">
      <formula>0.5</formula>
    </cfRule>
  </conditionalFormatting>
  <conditionalFormatting sqref="AB46">
    <cfRule type="cellIs" dxfId="10151" priority="134131" stopIfTrue="1" operator="greaterThanOrEqual">
      <formula>0.5</formula>
    </cfRule>
  </conditionalFormatting>
  <conditionalFormatting sqref="AB47">
    <cfRule type="cellIs" dxfId="10150" priority="134132" stopIfTrue="1" operator="equal">
      <formula>-1</formula>
    </cfRule>
  </conditionalFormatting>
  <conditionalFormatting sqref="AB47">
    <cfRule type="cellIs" dxfId="10149" priority="134133" stopIfTrue="1" operator="lessThan">
      <formula>0.5</formula>
    </cfRule>
  </conditionalFormatting>
  <conditionalFormatting sqref="AB47">
    <cfRule type="cellIs" dxfId="10148" priority="134134" stopIfTrue="1" operator="greaterThanOrEqual">
      <formula>0.5</formula>
    </cfRule>
  </conditionalFormatting>
  <conditionalFormatting sqref="AB48">
    <cfRule type="cellIs" dxfId="10147" priority="134135" stopIfTrue="1" operator="equal">
      <formula>-1</formula>
    </cfRule>
  </conditionalFormatting>
  <conditionalFormatting sqref="AB48">
    <cfRule type="cellIs" dxfId="10146" priority="134136" stopIfTrue="1" operator="lessThan">
      <formula>0.5</formula>
    </cfRule>
  </conditionalFormatting>
  <conditionalFormatting sqref="AB48">
    <cfRule type="cellIs" dxfId="10145" priority="134137" stopIfTrue="1" operator="greaterThanOrEqual">
      <formula>0.5</formula>
    </cfRule>
  </conditionalFormatting>
  <conditionalFormatting sqref="AB49">
    <cfRule type="cellIs" dxfId="10144" priority="134138" stopIfTrue="1" operator="equal">
      <formula>-1</formula>
    </cfRule>
  </conditionalFormatting>
  <conditionalFormatting sqref="AB49">
    <cfRule type="cellIs" dxfId="10143" priority="134139" stopIfTrue="1" operator="lessThan">
      <formula>0.5</formula>
    </cfRule>
  </conditionalFormatting>
  <conditionalFormatting sqref="AB49">
    <cfRule type="cellIs" dxfId="10142" priority="134140" stopIfTrue="1" operator="greaterThanOrEqual">
      <formula>0.5</formula>
    </cfRule>
  </conditionalFormatting>
  <conditionalFormatting sqref="AB50">
    <cfRule type="cellIs" dxfId="10141" priority="134141" stopIfTrue="1" operator="equal">
      <formula>-1</formula>
    </cfRule>
  </conditionalFormatting>
  <conditionalFormatting sqref="AB50">
    <cfRule type="cellIs" dxfId="10140" priority="134142" stopIfTrue="1" operator="lessThan">
      <formula>0.5</formula>
    </cfRule>
  </conditionalFormatting>
  <conditionalFormatting sqref="AB50">
    <cfRule type="cellIs" dxfId="10139" priority="134143" stopIfTrue="1" operator="greaterThanOrEqual">
      <formula>0.5</formula>
    </cfRule>
  </conditionalFormatting>
  <conditionalFormatting sqref="AB51">
    <cfRule type="cellIs" dxfId="10138" priority="134144" stopIfTrue="1" operator="equal">
      <formula>-1</formula>
    </cfRule>
  </conditionalFormatting>
  <conditionalFormatting sqref="AB51">
    <cfRule type="cellIs" dxfId="10137" priority="134145" stopIfTrue="1" operator="lessThan">
      <formula>0.5</formula>
    </cfRule>
  </conditionalFormatting>
  <conditionalFormatting sqref="AB51">
    <cfRule type="cellIs" dxfId="10136" priority="134146" stopIfTrue="1" operator="greaterThanOrEqual">
      <formula>0.5</formula>
    </cfRule>
  </conditionalFormatting>
  <conditionalFormatting sqref="AB52">
    <cfRule type="cellIs" dxfId="10135" priority="134147" stopIfTrue="1" operator="equal">
      <formula>-1</formula>
    </cfRule>
  </conditionalFormatting>
  <conditionalFormatting sqref="AB52">
    <cfRule type="cellIs" dxfId="10134" priority="134148" stopIfTrue="1" operator="lessThan">
      <formula>0.5</formula>
    </cfRule>
  </conditionalFormatting>
  <conditionalFormatting sqref="AB52">
    <cfRule type="cellIs" dxfId="10133" priority="134149" stopIfTrue="1" operator="greaterThanOrEqual">
      <formula>0.5</formula>
    </cfRule>
  </conditionalFormatting>
  <conditionalFormatting sqref="AB53">
    <cfRule type="cellIs" dxfId="10132" priority="134150" stopIfTrue="1" operator="equal">
      <formula>-1</formula>
    </cfRule>
  </conditionalFormatting>
  <conditionalFormatting sqref="AB53">
    <cfRule type="cellIs" dxfId="10131" priority="134151" stopIfTrue="1" operator="lessThan">
      <formula>0.5</formula>
    </cfRule>
  </conditionalFormatting>
  <conditionalFormatting sqref="AB53">
    <cfRule type="cellIs" dxfId="10130" priority="134152" stopIfTrue="1" operator="greaterThanOrEqual">
      <formula>0.5</formula>
    </cfRule>
  </conditionalFormatting>
  <conditionalFormatting sqref="AB54">
    <cfRule type="cellIs" dxfId="10129" priority="134153" stopIfTrue="1" operator="equal">
      <formula>-1</formula>
    </cfRule>
  </conditionalFormatting>
  <conditionalFormatting sqref="AB54">
    <cfRule type="cellIs" dxfId="10128" priority="134154" stopIfTrue="1" operator="lessThan">
      <formula>0.5</formula>
    </cfRule>
  </conditionalFormatting>
  <conditionalFormatting sqref="AB54">
    <cfRule type="cellIs" dxfId="10127" priority="134155" stopIfTrue="1" operator="greaterThanOrEqual">
      <formula>0.5</formula>
    </cfRule>
  </conditionalFormatting>
  <conditionalFormatting sqref="AB55">
    <cfRule type="cellIs" dxfId="10126" priority="134156" stopIfTrue="1" operator="equal">
      <formula>-1</formula>
    </cfRule>
  </conditionalFormatting>
  <conditionalFormatting sqref="AB55">
    <cfRule type="cellIs" dxfId="10125" priority="134157" stopIfTrue="1" operator="lessThan">
      <formula>0.5</formula>
    </cfRule>
  </conditionalFormatting>
  <conditionalFormatting sqref="AB55">
    <cfRule type="cellIs" dxfId="10124" priority="134158" stopIfTrue="1" operator="greaterThanOrEqual">
      <formula>0.5</formula>
    </cfRule>
  </conditionalFormatting>
  <conditionalFormatting sqref="AB56">
    <cfRule type="cellIs" dxfId="10123" priority="134159" stopIfTrue="1" operator="equal">
      <formula>-1</formula>
    </cfRule>
  </conditionalFormatting>
  <conditionalFormatting sqref="AB56">
    <cfRule type="cellIs" dxfId="10122" priority="134160" stopIfTrue="1" operator="lessThan">
      <formula>0.5</formula>
    </cfRule>
  </conditionalFormatting>
  <conditionalFormatting sqref="AB56">
    <cfRule type="cellIs" dxfId="10121" priority="134161" stopIfTrue="1" operator="greaterThanOrEqual">
      <formula>0.5</formula>
    </cfRule>
  </conditionalFormatting>
  <conditionalFormatting sqref="AB57">
    <cfRule type="cellIs" dxfId="10120" priority="134162" stopIfTrue="1" operator="equal">
      <formula>-1</formula>
    </cfRule>
  </conditionalFormatting>
  <conditionalFormatting sqref="AB57">
    <cfRule type="cellIs" dxfId="10119" priority="134163" stopIfTrue="1" operator="lessThan">
      <formula>0.5</formula>
    </cfRule>
  </conditionalFormatting>
  <conditionalFormatting sqref="AB57">
    <cfRule type="cellIs" dxfId="10118" priority="134164" stopIfTrue="1" operator="greaterThanOrEqual">
      <formula>0.5</formula>
    </cfRule>
  </conditionalFormatting>
  <conditionalFormatting sqref="AB58">
    <cfRule type="cellIs" dxfId="10117" priority="134165" stopIfTrue="1" operator="equal">
      <formula>-1</formula>
    </cfRule>
  </conditionalFormatting>
  <conditionalFormatting sqref="AB58">
    <cfRule type="cellIs" dxfId="10116" priority="134166" stopIfTrue="1" operator="lessThan">
      <formula>0.5</formula>
    </cfRule>
  </conditionalFormatting>
  <conditionalFormatting sqref="AB58">
    <cfRule type="cellIs" dxfId="10115" priority="134167" stopIfTrue="1" operator="greaterThanOrEqual">
      <formula>0.5</formula>
    </cfRule>
  </conditionalFormatting>
  <conditionalFormatting sqref="AD39">
    <cfRule type="cellIs" dxfId="10114" priority="134168" stopIfTrue="1" operator="equal">
      <formula>-1</formula>
    </cfRule>
  </conditionalFormatting>
  <conditionalFormatting sqref="AD39">
    <cfRule type="cellIs" dxfId="10113" priority="134169" stopIfTrue="1" operator="lessThan">
      <formula>0.5</formula>
    </cfRule>
  </conditionalFormatting>
  <conditionalFormatting sqref="AD39">
    <cfRule type="cellIs" dxfId="10112" priority="134170" stopIfTrue="1" operator="greaterThanOrEqual">
      <formula>0.5</formula>
    </cfRule>
  </conditionalFormatting>
  <conditionalFormatting sqref="AD40">
    <cfRule type="cellIs" dxfId="10111" priority="134171" stopIfTrue="1" operator="equal">
      <formula>-1</formula>
    </cfRule>
  </conditionalFormatting>
  <conditionalFormatting sqref="AD40">
    <cfRule type="cellIs" dxfId="10110" priority="134172" stopIfTrue="1" operator="lessThan">
      <formula>0.5</formula>
    </cfRule>
  </conditionalFormatting>
  <conditionalFormatting sqref="AD40">
    <cfRule type="cellIs" dxfId="10109" priority="134173" stopIfTrue="1" operator="greaterThanOrEqual">
      <formula>0.5</formula>
    </cfRule>
  </conditionalFormatting>
  <conditionalFormatting sqref="AD41">
    <cfRule type="cellIs" dxfId="10108" priority="134174" stopIfTrue="1" operator="equal">
      <formula>-1</formula>
    </cfRule>
  </conditionalFormatting>
  <conditionalFormatting sqref="AD41">
    <cfRule type="cellIs" dxfId="10107" priority="134175" stopIfTrue="1" operator="lessThan">
      <formula>0.5</formula>
    </cfRule>
  </conditionalFormatting>
  <conditionalFormatting sqref="AD41">
    <cfRule type="cellIs" dxfId="10106" priority="134176" stopIfTrue="1" operator="greaterThanOrEqual">
      <formula>0.5</formula>
    </cfRule>
  </conditionalFormatting>
  <conditionalFormatting sqref="AD42">
    <cfRule type="cellIs" dxfId="10105" priority="134177" stopIfTrue="1" operator="equal">
      <formula>-1</formula>
    </cfRule>
  </conditionalFormatting>
  <conditionalFormatting sqref="AD42">
    <cfRule type="cellIs" dxfId="10104" priority="134178" stopIfTrue="1" operator="lessThan">
      <formula>0.5</formula>
    </cfRule>
  </conditionalFormatting>
  <conditionalFormatting sqref="AD42">
    <cfRule type="cellIs" dxfId="10103" priority="134179" stopIfTrue="1" operator="greaterThanOrEqual">
      <formula>0.5</formula>
    </cfRule>
  </conditionalFormatting>
  <conditionalFormatting sqref="AD43">
    <cfRule type="cellIs" dxfId="10102" priority="134180" stopIfTrue="1" operator="equal">
      <formula>-1</formula>
    </cfRule>
  </conditionalFormatting>
  <conditionalFormatting sqref="AD43">
    <cfRule type="cellIs" dxfId="10101" priority="134181" stopIfTrue="1" operator="lessThan">
      <formula>0.5</formula>
    </cfRule>
  </conditionalFormatting>
  <conditionalFormatting sqref="AD43">
    <cfRule type="cellIs" dxfId="10100" priority="134182" stopIfTrue="1" operator="greaterThanOrEqual">
      <formula>0.5</formula>
    </cfRule>
  </conditionalFormatting>
  <conditionalFormatting sqref="AD44">
    <cfRule type="cellIs" dxfId="10099" priority="134183" stopIfTrue="1" operator="equal">
      <formula>-1</formula>
    </cfRule>
  </conditionalFormatting>
  <conditionalFormatting sqref="AD44">
    <cfRule type="cellIs" dxfId="10098" priority="134184" stopIfTrue="1" operator="lessThan">
      <formula>0.5</formula>
    </cfRule>
  </conditionalFormatting>
  <conditionalFormatting sqref="AD44">
    <cfRule type="cellIs" dxfId="10097" priority="134185" stopIfTrue="1" operator="greaterThanOrEqual">
      <formula>0.5</formula>
    </cfRule>
  </conditionalFormatting>
  <conditionalFormatting sqref="AD45">
    <cfRule type="cellIs" dxfId="10096" priority="134186" stopIfTrue="1" operator="equal">
      <formula>-1</formula>
    </cfRule>
  </conditionalFormatting>
  <conditionalFormatting sqref="AD45">
    <cfRule type="cellIs" dxfId="10095" priority="134187" stopIfTrue="1" operator="lessThan">
      <formula>0.5</formula>
    </cfRule>
  </conditionalFormatting>
  <conditionalFormatting sqref="AD45">
    <cfRule type="cellIs" dxfId="10094" priority="134188" stopIfTrue="1" operator="greaterThanOrEqual">
      <formula>0.5</formula>
    </cfRule>
  </conditionalFormatting>
  <conditionalFormatting sqref="AD46">
    <cfRule type="cellIs" dxfId="10093" priority="134189" stopIfTrue="1" operator="equal">
      <formula>-1</formula>
    </cfRule>
  </conditionalFormatting>
  <conditionalFormatting sqref="AD46">
    <cfRule type="cellIs" dxfId="10092" priority="134190" stopIfTrue="1" operator="lessThan">
      <formula>0.5</formula>
    </cfRule>
  </conditionalFormatting>
  <conditionalFormatting sqref="AD46">
    <cfRule type="cellIs" dxfId="10091" priority="134191" stopIfTrue="1" operator="greaterThanOrEqual">
      <formula>0.5</formula>
    </cfRule>
  </conditionalFormatting>
  <conditionalFormatting sqref="AD47">
    <cfRule type="cellIs" dxfId="10090" priority="134192" stopIfTrue="1" operator="equal">
      <formula>-1</formula>
    </cfRule>
  </conditionalFormatting>
  <conditionalFormatting sqref="AD47">
    <cfRule type="cellIs" dxfId="10089" priority="134193" stopIfTrue="1" operator="lessThan">
      <formula>0.5</formula>
    </cfRule>
  </conditionalFormatting>
  <conditionalFormatting sqref="AD47">
    <cfRule type="cellIs" dxfId="10088" priority="134194" stopIfTrue="1" operator="greaterThanOrEqual">
      <formula>0.5</formula>
    </cfRule>
  </conditionalFormatting>
  <conditionalFormatting sqref="AD48">
    <cfRule type="cellIs" dxfId="10087" priority="134195" stopIfTrue="1" operator="equal">
      <formula>-1</formula>
    </cfRule>
  </conditionalFormatting>
  <conditionalFormatting sqref="AD48">
    <cfRule type="cellIs" dxfId="10086" priority="134196" stopIfTrue="1" operator="lessThan">
      <formula>0.5</formula>
    </cfRule>
  </conditionalFormatting>
  <conditionalFormatting sqref="AD48">
    <cfRule type="cellIs" dxfId="10085" priority="134197" stopIfTrue="1" operator="greaterThanOrEqual">
      <formula>0.5</formula>
    </cfRule>
  </conditionalFormatting>
  <conditionalFormatting sqref="AD49">
    <cfRule type="cellIs" dxfId="10084" priority="134198" stopIfTrue="1" operator="equal">
      <formula>-1</formula>
    </cfRule>
  </conditionalFormatting>
  <conditionalFormatting sqref="AD49">
    <cfRule type="cellIs" dxfId="10083" priority="134199" stopIfTrue="1" operator="lessThan">
      <formula>0.5</formula>
    </cfRule>
  </conditionalFormatting>
  <conditionalFormatting sqref="AD49">
    <cfRule type="cellIs" dxfId="10082" priority="134200" stopIfTrue="1" operator="greaterThanOrEqual">
      <formula>0.5</formula>
    </cfRule>
  </conditionalFormatting>
  <conditionalFormatting sqref="AD50">
    <cfRule type="cellIs" dxfId="10081" priority="134201" stopIfTrue="1" operator="equal">
      <formula>-1</formula>
    </cfRule>
  </conditionalFormatting>
  <conditionalFormatting sqref="AD50">
    <cfRule type="cellIs" dxfId="10080" priority="134202" stopIfTrue="1" operator="lessThan">
      <formula>0.5</formula>
    </cfRule>
  </conditionalFormatting>
  <conditionalFormatting sqref="AD50">
    <cfRule type="cellIs" dxfId="10079" priority="134203" stopIfTrue="1" operator="greaterThanOrEqual">
      <formula>0.5</formula>
    </cfRule>
  </conditionalFormatting>
  <conditionalFormatting sqref="AD51">
    <cfRule type="cellIs" dxfId="10078" priority="134204" stopIfTrue="1" operator="equal">
      <formula>-1</formula>
    </cfRule>
  </conditionalFormatting>
  <conditionalFormatting sqref="AD51">
    <cfRule type="cellIs" dxfId="10077" priority="134205" stopIfTrue="1" operator="lessThan">
      <formula>0.5</formula>
    </cfRule>
  </conditionalFormatting>
  <conditionalFormatting sqref="AD51">
    <cfRule type="cellIs" dxfId="10076" priority="134206" stopIfTrue="1" operator="greaterThanOrEqual">
      <formula>0.5</formula>
    </cfRule>
  </conditionalFormatting>
  <conditionalFormatting sqref="AD52">
    <cfRule type="cellIs" dxfId="10075" priority="134207" stopIfTrue="1" operator="equal">
      <formula>-1</formula>
    </cfRule>
  </conditionalFormatting>
  <conditionalFormatting sqref="AD52">
    <cfRule type="cellIs" dxfId="10074" priority="134208" stopIfTrue="1" operator="lessThan">
      <formula>0.5</formula>
    </cfRule>
  </conditionalFormatting>
  <conditionalFormatting sqref="AD52">
    <cfRule type="cellIs" dxfId="10073" priority="134209" stopIfTrue="1" operator="greaterThanOrEqual">
      <formula>0.5</formula>
    </cfRule>
  </conditionalFormatting>
  <conditionalFormatting sqref="AD53">
    <cfRule type="cellIs" dxfId="10072" priority="134210" stopIfTrue="1" operator="equal">
      <formula>-1</formula>
    </cfRule>
  </conditionalFormatting>
  <conditionalFormatting sqref="AD53">
    <cfRule type="cellIs" dxfId="10071" priority="134211" stopIfTrue="1" operator="lessThan">
      <formula>0.5</formula>
    </cfRule>
  </conditionalFormatting>
  <conditionalFormatting sqref="AD53">
    <cfRule type="cellIs" dxfId="10070" priority="134212" stopIfTrue="1" operator="greaterThanOrEqual">
      <formula>0.5</formula>
    </cfRule>
  </conditionalFormatting>
  <conditionalFormatting sqref="AD54">
    <cfRule type="cellIs" dxfId="10069" priority="134213" stopIfTrue="1" operator="equal">
      <formula>-1</formula>
    </cfRule>
  </conditionalFormatting>
  <conditionalFormatting sqref="AD54">
    <cfRule type="cellIs" dxfId="10068" priority="134214" stopIfTrue="1" operator="lessThan">
      <formula>0.5</formula>
    </cfRule>
  </conditionalFormatting>
  <conditionalFormatting sqref="AD54">
    <cfRule type="cellIs" dxfId="10067" priority="134215" stopIfTrue="1" operator="greaterThanOrEqual">
      <formula>0.5</formula>
    </cfRule>
  </conditionalFormatting>
  <conditionalFormatting sqref="AD55">
    <cfRule type="cellIs" dxfId="10066" priority="134216" stopIfTrue="1" operator="equal">
      <formula>-1</formula>
    </cfRule>
  </conditionalFormatting>
  <conditionalFormatting sqref="AD55">
    <cfRule type="cellIs" dxfId="10065" priority="134217" stopIfTrue="1" operator="lessThan">
      <formula>0.5</formula>
    </cfRule>
  </conditionalFormatting>
  <conditionalFormatting sqref="AD55">
    <cfRule type="cellIs" dxfId="10064" priority="134218" stopIfTrue="1" operator="greaterThanOrEqual">
      <formula>0.5</formula>
    </cfRule>
  </conditionalFormatting>
  <conditionalFormatting sqref="AD56">
    <cfRule type="cellIs" dxfId="10063" priority="134219" stopIfTrue="1" operator="equal">
      <formula>-1</formula>
    </cfRule>
  </conditionalFormatting>
  <conditionalFormatting sqref="AD56">
    <cfRule type="cellIs" dxfId="10062" priority="134220" stopIfTrue="1" operator="lessThan">
      <formula>0.5</formula>
    </cfRule>
  </conditionalFormatting>
  <conditionalFormatting sqref="AD56">
    <cfRule type="cellIs" dxfId="10061" priority="134221" stopIfTrue="1" operator="greaterThanOrEqual">
      <formula>0.5</formula>
    </cfRule>
  </conditionalFormatting>
  <conditionalFormatting sqref="AD57">
    <cfRule type="cellIs" dxfId="10060" priority="134222" stopIfTrue="1" operator="equal">
      <formula>-1</formula>
    </cfRule>
  </conditionalFormatting>
  <conditionalFormatting sqref="AD57">
    <cfRule type="cellIs" dxfId="10059" priority="134223" stopIfTrue="1" operator="lessThan">
      <formula>0.5</formula>
    </cfRule>
  </conditionalFormatting>
  <conditionalFormatting sqref="AD57">
    <cfRule type="cellIs" dxfId="10058" priority="134224" stopIfTrue="1" operator="greaterThanOrEqual">
      <formula>0.5</formula>
    </cfRule>
  </conditionalFormatting>
  <conditionalFormatting sqref="AD58">
    <cfRule type="cellIs" dxfId="10057" priority="134225" stopIfTrue="1" operator="equal">
      <formula>-1</formula>
    </cfRule>
  </conditionalFormatting>
  <conditionalFormatting sqref="AD58">
    <cfRule type="cellIs" dxfId="10056" priority="134226" stopIfTrue="1" operator="lessThan">
      <formula>0.5</formula>
    </cfRule>
  </conditionalFormatting>
  <conditionalFormatting sqref="AD58">
    <cfRule type="cellIs" dxfId="10055" priority="134227" stopIfTrue="1" operator="greaterThanOrEqual">
      <formula>0.5</formula>
    </cfRule>
  </conditionalFormatting>
  <conditionalFormatting sqref="AF39">
    <cfRule type="cellIs" dxfId="10054" priority="134228" stopIfTrue="1" operator="equal">
      <formula>-1</formula>
    </cfRule>
  </conditionalFormatting>
  <conditionalFormatting sqref="AF39">
    <cfRule type="cellIs" dxfId="10053" priority="134229" stopIfTrue="1" operator="lessThan">
      <formula>0.5</formula>
    </cfRule>
  </conditionalFormatting>
  <conditionalFormatting sqref="AF39">
    <cfRule type="cellIs" dxfId="10052" priority="134230" stopIfTrue="1" operator="greaterThanOrEqual">
      <formula>0.5</formula>
    </cfRule>
  </conditionalFormatting>
  <conditionalFormatting sqref="AF40">
    <cfRule type="cellIs" dxfId="10051" priority="134231" stopIfTrue="1" operator="equal">
      <formula>-1</formula>
    </cfRule>
  </conditionalFormatting>
  <conditionalFormatting sqref="AF40">
    <cfRule type="cellIs" dxfId="10050" priority="134232" stopIfTrue="1" operator="lessThan">
      <formula>0.5</formula>
    </cfRule>
  </conditionalFormatting>
  <conditionalFormatting sqref="AF40">
    <cfRule type="cellIs" dxfId="10049" priority="134233" stopIfTrue="1" operator="greaterThanOrEqual">
      <formula>0.5</formula>
    </cfRule>
  </conditionalFormatting>
  <conditionalFormatting sqref="AF41">
    <cfRule type="cellIs" dxfId="10048" priority="134234" stopIfTrue="1" operator="equal">
      <formula>-1</formula>
    </cfRule>
  </conditionalFormatting>
  <conditionalFormatting sqref="AF41">
    <cfRule type="cellIs" dxfId="10047" priority="134235" stopIfTrue="1" operator="lessThan">
      <formula>0.5</formula>
    </cfRule>
  </conditionalFormatting>
  <conditionalFormatting sqref="AF41">
    <cfRule type="cellIs" dxfId="10046" priority="134236" stopIfTrue="1" operator="greaterThanOrEqual">
      <formula>0.5</formula>
    </cfRule>
  </conditionalFormatting>
  <conditionalFormatting sqref="AF42">
    <cfRule type="cellIs" dxfId="10045" priority="134237" stopIfTrue="1" operator="equal">
      <formula>-1</formula>
    </cfRule>
  </conditionalFormatting>
  <conditionalFormatting sqref="AF42">
    <cfRule type="cellIs" dxfId="10044" priority="134238" stopIfTrue="1" operator="lessThan">
      <formula>0.5</formula>
    </cfRule>
  </conditionalFormatting>
  <conditionalFormatting sqref="AF42">
    <cfRule type="cellIs" dxfId="10043" priority="134239" stopIfTrue="1" operator="greaterThanOrEqual">
      <formula>0.5</formula>
    </cfRule>
  </conditionalFormatting>
  <conditionalFormatting sqref="AF43">
    <cfRule type="cellIs" dxfId="10042" priority="134240" stopIfTrue="1" operator="equal">
      <formula>-1</formula>
    </cfRule>
  </conditionalFormatting>
  <conditionalFormatting sqref="AF43">
    <cfRule type="cellIs" dxfId="10041" priority="134241" stopIfTrue="1" operator="lessThan">
      <formula>0.5</formula>
    </cfRule>
  </conditionalFormatting>
  <conditionalFormatting sqref="AF43">
    <cfRule type="cellIs" dxfId="10040" priority="134242" stopIfTrue="1" operator="greaterThanOrEqual">
      <formula>0.5</formula>
    </cfRule>
  </conditionalFormatting>
  <conditionalFormatting sqref="AF44">
    <cfRule type="cellIs" dxfId="10039" priority="134243" stopIfTrue="1" operator="equal">
      <formula>-1</formula>
    </cfRule>
  </conditionalFormatting>
  <conditionalFormatting sqref="AF44">
    <cfRule type="cellIs" dxfId="10038" priority="134244" stopIfTrue="1" operator="lessThan">
      <formula>0.5</formula>
    </cfRule>
  </conditionalFormatting>
  <conditionalFormatting sqref="AF44">
    <cfRule type="cellIs" dxfId="10037" priority="134245" stopIfTrue="1" operator="greaterThanOrEqual">
      <formula>0.5</formula>
    </cfRule>
  </conditionalFormatting>
  <conditionalFormatting sqref="AF45">
    <cfRule type="cellIs" dxfId="10036" priority="134246" stopIfTrue="1" operator="equal">
      <formula>-1</formula>
    </cfRule>
  </conditionalFormatting>
  <conditionalFormatting sqref="AF45">
    <cfRule type="cellIs" dxfId="10035" priority="134247" stopIfTrue="1" operator="lessThan">
      <formula>0.5</formula>
    </cfRule>
  </conditionalFormatting>
  <conditionalFormatting sqref="AF45">
    <cfRule type="cellIs" dxfId="10034" priority="134248" stopIfTrue="1" operator="greaterThanOrEqual">
      <formula>0.5</formula>
    </cfRule>
  </conditionalFormatting>
  <conditionalFormatting sqref="AF46">
    <cfRule type="cellIs" dxfId="10033" priority="134249" stopIfTrue="1" operator="equal">
      <formula>-1</formula>
    </cfRule>
  </conditionalFormatting>
  <conditionalFormatting sqref="AF46">
    <cfRule type="cellIs" dxfId="10032" priority="134250" stopIfTrue="1" operator="lessThan">
      <formula>0.5</formula>
    </cfRule>
  </conditionalFormatting>
  <conditionalFormatting sqref="AF46">
    <cfRule type="cellIs" dxfId="10031" priority="134251" stopIfTrue="1" operator="greaterThanOrEqual">
      <formula>0.5</formula>
    </cfRule>
  </conditionalFormatting>
  <conditionalFormatting sqref="AF47">
    <cfRule type="cellIs" dxfId="10030" priority="134252" stopIfTrue="1" operator="equal">
      <formula>-1</formula>
    </cfRule>
  </conditionalFormatting>
  <conditionalFormatting sqref="AF47">
    <cfRule type="cellIs" dxfId="10029" priority="134253" stopIfTrue="1" operator="lessThan">
      <formula>0.5</formula>
    </cfRule>
  </conditionalFormatting>
  <conditionalFormatting sqref="AF47">
    <cfRule type="cellIs" dxfId="10028" priority="134254" stopIfTrue="1" operator="greaterThanOrEqual">
      <formula>0.5</formula>
    </cfRule>
  </conditionalFormatting>
  <conditionalFormatting sqref="AF48">
    <cfRule type="cellIs" dxfId="10027" priority="134255" stopIfTrue="1" operator="equal">
      <formula>-1</formula>
    </cfRule>
  </conditionalFormatting>
  <conditionalFormatting sqref="AF48">
    <cfRule type="cellIs" dxfId="10026" priority="134256" stopIfTrue="1" operator="lessThan">
      <formula>0.5</formula>
    </cfRule>
  </conditionalFormatting>
  <conditionalFormatting sqref="AF48">
    <cfRule type="cellIs" dxfId="10025" priority="134257" stopIfTrue="1" operator="greaterThanOrEqual">
      <formula>0.5</formula>
    </cfRule>
  </conditionalFormatting>
  <conditionalFormatting sqref="AF49">
    <cfRule type="cellIs" dxfId="10024" priority="134258" stopIfTrue="1" operator="equal">
      <formula>-1</formula>
    </cfRule>
  </conditionalFormatting>
  <conditionalFormatting sqref="AF49">
    <cfRule type="cellIs" dxfId="10023" priority="134259" stopIfTrue="1" operator="lessThan">
      <formula>0.5</formula>
    </cfRule>
  </conditionalFormatting>
  <conditionalFormatting sqref="AF49">
    <cfRule type="cellIs" dxfId="10022" priority="134260" stopIfTrue="1" operator="greaterThanOrEqual">
      <formula>0.5</formula>
    </cfRule>
  </conditionalFormatting>
  <conditionalFormatting sqref="AF50">
    <cfRule type="cellIs" dxfId="10021" priority="134261" stopIfTrue="1" operator="equal">
      <formula>-1</formula>
    </cfRule>
  </conditionalFormatting>
  <conditionalFormatting sqref="AF50">
    <cfRule type="cellIs" dxfId="10020" priority="134262" stopIfTrue="1" operator="lessThan">
      <formula>0.5</formula>
    </cfRule>
  </conditionalFormatting>
  <conditionalFormatting sqref="AF50">
    <cfRule type="cellIs" dxfId="10019" priority="134263" stopIfTrue="1" operator="greaterThanOrEqual">
      <formula>0.5</formula>
    </cfRule>
  </conditionalFormatting>
  <conditionalFormatting sqref="AF51">
    <cfRule type="cellIs" dxfId="10018" priority="134264" stopIfTrue="1" operator="equal">
      <formula>-1</formula>
    </cfRule>
  </conditionalFormatting>
  <conditionalFormatting sqref="AF51">
    <cfRule type="cellIs" dxfId="10017" priority="134265" stopIfTrue="1" operator="lessThan">
      <formula>0.5</formula>
    </cfRule>
  </conditionalFormatting>
  <conditionalFormatting sqref="AF51">
    <cfRule type="cellIs" dxfId="10016" priority="134266" stopIfTrue="1" operator="greaterThanOrEqual">
      <formula>0.5</formula>
    </cfRule>
  </conditionalFormatting>
  <conditionalFormatting sqref="AF52">
    <cfRule type="cellIs" dxfId="10015" priority="134267" stopIfTrue="1" operator="equal">
      <formula>-1</formula>
    </cfRule>
  </conditionalFormatting>
  <conditionalFormatting sqref="AF52">
    <cfRule type="cellIs" dxfId="10014" priority="134268" stopIfTrue="1" operator="lessThan">
      <formula>0.5</formula>
    </cfRule>
  </conditionalFormatting>
  <conditionalFormatting sqref="AF52">
    <cfRule type="cellIs" dxfId="10013" priority="134269" stopIfTrue="1" operator="greaterThanOrEqual">
      <formula>0.5</formula>
    </cfRule>
  </conditionalFormatting>
  <conditionalFormatting sqref="AF53">
    <cfRule type="cellIs" dxfId="10012" priority="134270" stopIfTrue="1" operator="equal">
      <formula>-1</formula>
    </cfRule>
  </conditionalFormatting>
  <conditionalFormatting sqref="AF53">
    <cfRule type="cellIs" dxfId="10011" priority="134271" stopIfTrue="1" operator="lessThan">
      <formula>0.5</formula>
    </cfRule>
  </conditionalFormatting>
  <conditionalFormatting sqref="AF53">
    <cfRule type="cellIs" dxfId="10010" priority="134272" stopIfTrue="1" operator="greaterThanOrEqual">
      <formula>0.5</formula>
    </cfRule>
  </conditionalFormatting>
  <conditionalFormatting sqref="AF54">
    <cfRule type="cellIs" dxfId="10009" priority="134273" stopIfTrue="1" operator="equal">
      <formula>-1</formula>
    </cfRule>
  </conditionalFormatting>
  <conditionalFormatting sqref="AF54">
    <cfRule type="cellIs" dxfId="10008" priority="134274" stopIfTrue="1" operator="lessThan">
      <formula>0.5</formula>
    </cfRule>
  </conditionalFormatting>
  <conditionalFormatting sqref="AF54">
    <cfRule type="cellIs" dxfId="10007" priority="134275" stopIfTrue="1" operator="greaterThanOrEqual">
      <formula>0.5</formula>
    </cfRule>
  </conditionalFormatting>
  <conditionalFormatting sqref="AF55">
    <cfRule type="cellIs" dxfId="10006" priority="134276" stopIfTrue="1" operator="equal">
      <formula>-1</formula>
    </cfRule>
  </conditionalFormatting>
  <conditionalFormatting sqref="AF55">
    <cfRule type="cellIs" dxfId="10005" priority="134277" stopIfTrue="1" operator="lessThan">
      <formula>0.5</formula>
    </cfRule>
  </conditionalFormatting>
  <conditionalFormatting sqref="AF55">
    <cfRule type="cellIs" dxfId="10004" priority="134278" stopIfTrue="1" operator="greaterThanOrEqual">
      <formula>0.5</formula>
    </cfRule>
  </conditionalFormatting>
  <conditionalFormatting sqref="AF56">
    <cfRule type="cellIs" dxfId="10003" priority="134279" stopIfTrue="1" operator="equal">
      <formula>-1</formula>
    </cfRule>
  </conditionalFormatting>
  <conditionalFormatting sqref="AF56">
    <cfRule type="cellIs" dxfId="10002" priority="134280" stopIfTrue="1" operator="lessThan">
      <formula>0.5</formula>
    </cfRule>
  </conditionalFormatting>
  <conditionalFormatting sqref="AF56">
    <cfRule type="cellIs" dxfId="10001" priority="134281" stopIfTrue="1" operator="greaterThanOrEqual">
      <formula>0.5</formula>
    </cfRule>
  </conditionalFormatting>
  <conditionalFormatting sqref="AF57">
    <cfRule type="cellIs" dxfId="10000" priority="134282" stopIfTrue="1" operator="equal">
      <formula>-1</formula>
    </cfRule>
  </conditionalFormatting>
  <conditionalFormatting sqref="AF57">
    <cfRule type="cellIs" dxfId="9999" priority="134283" stopIfTrue="1" operator="lessThan">
      <formula>0.5</formula>
    </cfRule>
  </conditionalFormatting>
  <conditionalFormatting sqref="AF57">
    <cfRule type="cellIs" dxfId="9998" priority="134284" stopIfTrue="1" operator="greaterThanOrEqual">
      <formula>0.5</formula>
    </cfRule>
  </conditionalFormatting>
  <conditionalFormatting sqref="AF58">
    <cfRule type="cellIs" dxfId="9997" priority="134285" stopIfTrue="1" operator="equal">
      <formula>-1</formula>
    </cfRule>
  </conditionalFormatting>
  <conditionalFormatting sqref="AF58">
    <cfRule type="cellIs" dxfId="9996" priority="134286" stopIfTrue="1" operator="lessThan">
      <formula>0.5</formula>
    </cfRule>
  </conditionalFormatting>
  <conditionalFormatting sqref="AF58">
    <cfRule type="cellIs" dxfId="9995" priority="134287" stopIfTrue="1" operator="greaterThanOrEqual">
      <formula>0.5</formula>
    </cfRule>
  </conditionalFormatting>
  <conditionalFormatting sqref="AH39">
    <cfRule type="cellIs" dxfId="9994" priority="134288" stopIfTrue="1" operator="equal">
      <formula>-1</formula>
    </cfRule>
  </conditionalFormatting>
  <conditionalFormatting sqref="AH39">
    <cfRule type="cellIs" dxfId="9993" priority="134289" stopIfTrue="1" operator="lessThan">
      <formula>0.5</formula>
    </cfRule>
  </conditionalFormatting>
  <conditionalFormatting sqref="AH39">
    <cfRule type="cellIs" dxfId="9992" priority="134290" stopIfTrue="1" operator="greaterThanOrEqual">
      <formula>0.5</formula>
    </cfRule>
  </conditionalFormatting>
  <conditionalFormatting sqref="AH40">
    <cfRule type="cellIs" dxfId="9991" priority="134291" stopIfTrue="1" operator="equal">
      <formula>-1</formula>
    </cfRule>
  </conditionalFormatting>
  <conditionalFormatting sqref="AH40">
    <cfRule type="cellIs" dxfId="9990" priority="134292" stopIfTrue="1" operator="lessThan">
      <formula>0.5</formula>
    </cfRule>
  </conditionalFormatting>
  <conditionalFormatting sqref="AH40">
    <cfRule type="cellIs" dxfId="9989" priority="134293" stopIfTrue="1" operator="greaterThanOrEqual">
      <formula>0.5</formula>
    </cfRule>
  </conditionalFormatting>
  <conditionalFormatting sqref="AH41">
    <cfRule type="cellIs" dxfId="9988" priority="134294" stopIfTrue="1" operator="equal">
      <formula>-1</formula>
    </cfRule>
  </conditionalFormatting>
  <conditionalFormatting sqref="AH41">
    <cfRule type="cellIs" dxfId="9987" priority="134295" stopIfTrue="1" operator="lessThan">
      <formula>0.5</formula>
    </cfRule>
  </conditionalFormatting>
  <conditionalFormatting sqref="AH41">
    <cfRule type="cellIs" dxfId="9986" priority="134296" stopIfTrue="1" operator="greaterThanOrEqual">
      <formula>0.5</formula>
    </cfRule>
  </conditionalFormatting>
  <conditionalFormatting sqref="AH42">
    <cfRule type="cellIs" dxfId="9985" priority="134297" stopIfTrue="1" operator="equal">
      <formula>-1</formula>
    </cfRule>
  </conditionalFormatting>
  <conditionalFormatting sqref="AH42">
    <cfRule type="cellIs" dxfId="9984" priority="134298" stopIfTrue="1" operator="lessThan">
      <formula>0.5</formula>
    </cfRule>
  </conditionalFormatting>
  <conditionalFormatting sqref="AH42">
    <cfRule type="cellIs" dxfId="9983" priority="134299" stopIfTrue="1" operator="greaterThanOrEqual">
      <formula>0.5</formula>
    </cfRule>
  </conditionalFormatting>
  <conditionalFormatting sqref="AH43">
    <cfRule type="cellIs" dxfId="9982" priority="134300" stopIfTrue="1" operator="equal">
      <formula>-1</formula>
    </cfRule>
  </conditionalFormatting>
  <conditionalFormatting sqref="AH43">
    <cfRule type="cellIs" dxfId="9981" priority="134301" stopIfTrue="1" operator="lessThan">
      <formula>0.5</formula>
    </cfRule>
  </conditionalFormatting>
  <conditionalFormatting sqref="AH43">
    <cfRule type="cellIs" dxfId="9980" priority="134302" stopIfTrue="1" operator="greaterThanOrEqual">
      <formula>0.5</formula>
    </cfRule>
  </conditionalFormatting>
  <conditionalFormatting sqref="AH44">
    <cfRule type="cellIs" dxfId="9979" priority="134303" stopIfTrue="1" operator="equal">
      <formula>-1</formula>
    </cfRule>
  </conditionalFormatting>
  <conditionalFormatting sqref="AH44">
    <cfRule type="cellIs" dxfId="9978" priority="134304" stopIfTrue="1" operator="lessThan">
      <formula>0.5</formula>
    </cfRule>
  </conditionalFormatting>
  <conditionalFormatting sqref="AH44">
    <cfRule type="cellIs" dxfId="9977" priority="134305" stopIfTrue="1" operator="greaterThanOrEqual">
      <formula>0.5</formula>
    </cfRule>
  </conditionalFormatting>
  <conditionalFormatting sqref="AH45">
    <cfRule type="cellIs" dxfId="9976" priority="134306" stopIfTrue="1" operator="equal">
      <formula>-1</formula>
    </cfRule>
  </conditionalFormatting>
  <conditionalFormatting sqref="AH45">
    <cfRule type="cellIs" dxfId="9975" priority="134307" stopIfTrue="1" operator="lessThan">
      <formula>0.5</formula>
    </cfRule>
  </conditionalFormatting>
  <conditionalFormatting sqref="AH45">
    <cfRule type="cellIs" dxfId="9974" priority="134308" stopIfTrue="1" operator="greaterThanOrEqual">
      <formula>0.5</formula>
    </cfRule>
  </conditionalFormatting>
  <conditionalFormatting sqref="AH46">
    <cfRule type="cellIs" dxfId="9973" priority="134309" stopIfTrue="1" operator="equal">
      <formula>-1</formula>
    </cfRule>
  </conditionalFormatting>
  <conditionalFormatting sqref="AH46">
    <cfRule type="cellIs" dxfId="9972" priority="134310" stopIfTrue="1" operator="lessThan">
      <formula>0.5</formula>
    </cfRule>
  </conditionalFormatting>
  <conditionalFormatting sqref="AH46">
    <cfRule type="cellIs" dxfId="9971" priority="134311" stopIfTrue="1" operator="greaterThanOrEqual">
      <formula>0.5</formula>
    </cfRule>
  </conditionalFormatting>
  <conditionalFormatting sqref="AH47">
    <cfRule type="cellIs" dxfId="9970" priority="134312" stopIfTrue="1" operator="equal">
      <formula>-1</formula>
    </cfRule>
  </conditionalFormatting>
  <conditionalFormatting sqref="AH47">
    <cfRule type="cellIs" dxfId="9969" priority="134313" stopIfTrue="1" operator="lessThan">
      <formula>0.5</formula>
    </cfRule>
  </conditionalFormatting>
  <conditionalFormatting sqref="AH47">
    <cfRule type="cellIs" dxfId="9968" priority="134314" stopIfTrue="1" operator="greaterThanOrEqual">
      <formula>0.5</formula>
    </cfRule>
  </conditionalFormatting>
  <conditionalFormatting sqref="AH48">
    <cfRule type="cellIs" dxfId="9967" priority="134315" stopIfTrue="1" operator="equal">
      <formula>-1</formula>
    </cfRule>
  </conditionalFormatting>
  <conditionalFormatting sqref="AH48">
    <cfRule type="cellIs" dxfId="9966" priority="134316" stopIfTrue="1" operator="lessThan">
      <formula>0.5</formula>
    </cfRule>
  </conditionalFormatting>
  <conditionalFormatting sqref="AH48">
    <cfRule type="cellIs" dxfId="9965" priority="134317" stopIfTrue="1" operator="greaterThanOrEqual">
      <formula>0.5</formula>
    </cfRule>
  </conditionalFormatting>
  <conditionalFormatting sqref="AH49">
    <cfRule type="cellIs" dxfId="9964" priority="134318" stopIfTrue="1" operator="equal">
      <formula>-1</formula>
    </cfRule>
  </conditionalFormatting>
  <conditionalFormatting sqref="AH49">
    <cfRule type="cellIs" dxfId="9963" priority="134319" stopIfTrue="1" operator="lessThan">
      <formula>0.5</formula>
    </cfRule>
  </conditionalFormatting>
  <conditionalFormatting sqref="AH49">
    <cfRule type="cellIs" dxfId="9962" priority="134320" stopIfTrue="1" operator="greaterThanOrEqual">
      <formula>0.5</formula>
    </cfRule>
  </conditionalFormatting>
  <conditionalFormatting sqref="AH50">
    <cfRule type="cellIs" dxfId="9961" priority="134321" stopIfTrue="1" operator="equal">
      <formula>-1</formula>
    </cfRule>
  </conditionalFormatting>
  <conditionalFormatting sqref="AH50">
    <cfRule type="cellIs" dxfId="9960" priority="134322" stopIfTrue="1" operator="lessThan">
      <formula>0.5</formula>
    </cfRule>
  </conditionalFormatting>
  <conditionalFormatting sqref="AH50">
    <cfRule type="cellIs" dxfId="9959" priority="134323" stopIfTrue="1" operator="greaterThanOrEqual">
      <formula>0.5</formula>
    </cfRule>
  </conditionalFormatting>
  <conditionalFormatting sqref="AH51">
    <cfRule type="cellIs" dxfId="9958" priority="134324" stopIfTrue="1" operator="equal">
      <formula>-1</formula>
    </cfRule>
  </conditionalFormatting>
  <conditionalFormatting sqref="AH51">
    <cfRule type="cellIs" dxfId="9957" priority="134325" stopIfTrue="1" operator="lessThan">
      <formula>0.5</formula>
    </cfRule>
  </conditionalFormatting>
  <conditionalFormatting sqref="AH51">
    <cfRule type="cellIs" dxfId="9956" priority="134326" stopIfTrue="1" operator="greaterThanOrEqual">
      <formula>0.5</formula>
    </cfRule>
  </conditionalFormatting>
  <conditionalFormatting sqref="AH52">
    <cfRule type="cellIs" dxfId="9955" priority="134327" stopIfTrue="1" operator="equal">
      <formula>-1</formula>
    </cfRule>
  </conditionalFormatting>
  <conditionalFormatting sqref="AH52">
    <cfRule type="cellIs" dxfId="9954" priority="134328" stopIfTrue="1" operator="lessThan">
      <formula>0.5</formula>
    </cfRule>
  </conditionalFormatting>
  <conditionalFormatting sqref="AH52">
    <cfRule type="cellIs" dxfId="9953" priority="134329" stopIfTrue="1" operator="greaterThanOrEqual">
      <formula>0.5</formula>
    </cfRule>
  </conditionalFormatting>
  <conditionalFormatting sqref="AH53">
    <cfRule type="cellIs" dxfId="9952" priority="134330" stopIfTrue="1" operator="equal">
      <formula>-1</formula>
    </cfRule>
  </conditionalFormatting>
  <conditionalFormatting sqref="AH53">
    <cfRule type="cellIs" dxfId="9951" priority="134331" stopIfTrue="1" operator="lessThan">
      <formula>0.5</formula>
    </cfRule>
  </conditionalFormatting>
  <conditionalFormatting sqref="AH53">
    <cfRule type="cellIs" dxfId="9950" priority="134332" stopIfTrue="1" operator="greaterThanOrEqual">
      <formula>0.5</formula>
    </cfRule>
  </conditionalFormatting>
  <conditionalFormatting sqref="AH54">
    <cfRule type="cellIs" dxfId="9949" priority="134333" stopIfTrue="1" operator="equal">
      <formula>-1</formula>
    </cfRule>
  </conditionalFormatting>
  <conditionalFormatting sqref="AH54">
    <cfRule type="cellIs" dxfId="9948" priority="134334" stopIfTrue="1" operator="lessThan">
      <formula>0.5</formula>
    </cfRule>
  </conditionalFormatting>
  <conditionalFormatting sqref="AH54">
    <cfRule type="cellIs" dxfId="9947" priority="134335" stopIfTrue="1" operator="greaterThanOrEqual">
      <formula>0.5</formula>
    </cfRule>
  </conditionalFormatting>
  <conditionalFormatting sqref="AH55">
    <cfRule type="cellIs" dxfId="9946" priority="134336" stopIfTrue="1" operator="equal">
      <formula>-1</formula>
    </cfRule>
  </conditionalFormatting>
  <conditionalFormatting sqref="AH55">
    <cfRule type="cellIs" dxfId="9945" priority="134337" stopIfTrue="1" operator="lessThan">
      <formula>0.5</formula>
    </cfRule>
  </conditionalFormatting>
  <conditionalFormatting sqref="AH55">
    <cfRule type="cellIs" dxfId="9944" priority="134338" stopIfTrue="1" operator="greaterThanOrEqual">
      <formula>0.5</formula>
    </cfRule>
  </conditionalFormatting>
  <conditionalFormatting sqref="AH56">
    <cfRule type="cellIs" dxfId="9943" priority="134339" stopIfTrue="1" operator="equal">
      <formula>-1</formula>
    </cfRule>
  </conditionalFormatting>
  <conditionalFormatting sqref="AH56">
    <cfRule type="cellIs" dxfId="9942" priority="134340" stopIfTrue="1" operator="lessThan">
      <formula>0.5</formula>
    </cfRule>
  </conditionalFormatting>
  <conditionalFormatting sqref="AH56">
    <cfRule type="cellIs" dxfId="9941" priority="134341" stopIfTrue="1" operator="greaterThanOrEqual">
      <formula>0.5</formula>
    </cfRule>
  </conditionalFormatting>
  <conditionalFormatting sqref="AH57">
    <cfRule type="cellIs" dxfId="9940" priority="134342" stopIfTrue="1" operator="equal">
      <formula>-1</formula>
    </cfRule>
  </conditionalFormatting>
  <conditionalFormatting sqref="AH57">
    <cfRule type="cellIs" dxfId="9939" priority="134343" stopIfTrue="1" operator="lessThan">
      <formula>0.5</formula>
    </cfRule>
  </conditionalFormatting>
  <conditionalFormatting sqref="AH57">
    <cfRule type="cellIs" dxfId="9938" priority="134344" stopIfTrue="1" operator="greaterThanOrEqual">
      <formula>0.5</formula>
    </cfRule>
  </conditionalFormatting>
  <conditionalFormatting sqref="AH58">
    <cfRule type="cellIs" dxfId="9937" priority="134345" stopIfTrue="1" operator="equal">
      <formula>-1</formula>
    </cfRule>
  </conditionalFormatting>
  <conditionalFormatting sqref="AH58">
    <cfRule type="cellIs" dxfId="9936" priority="134346" stopIfTrue="1" operator="lessThan">
      <formula>0.5</formula>
    </cfRule>
  </conditionalFormatting>
  <conditionalFormatting sqref="AH58">
    <cfRule type="cellIs" dxfId="9935" priority="134347" stopIfTrue="1" operator="greaterThanOrEqual">
      <formula>0.5</formula>
    </cfRule>
  </conditionalFormatting>
  <conditionalFormatting sqref="AJ39">
    <cfRule type="cellIs" dxfId="9934" priority="134348" stopIfTrue="1" operator="equal">
      <formula>-1</formula>
    </cfRule>
  </conditionalFormatting>
  <conditionalFormatting sqref="AJ39">
    <cfRule type="cellIs" dxfId="9933" priority="134349" stopIfTrue="1" operator="lessThan">
      <formula>0.5</formula>
    </cfRule>
  </conditionalFormatting>
  <conditionalFormatting sqref="AJ39">
    <cfRule type="cellIs" dxfId="9932" priority="134350" stopIfTrue="1" operator="greaterThanOrEqual">
      <formula>0.5</formula>
    </cfRule>
  </conditionalFormatting>
  <conditionalFormatting sqref="AJ40">
    <cfRule type="cellIs" dxfId="9931" priority="134351" stopIfTrue="1" operator="equal">
      <formula>-1</formula>
    </cfRule>
  </conditionalFormatting>
  <conditionalFormatting sqref="AJ40">
    <cfRule type="cellIs" dxfId="9930" priority="134352" stopIfTrue="1" operator="lessThan">
      <formula>0.5</formula>
    </cfRule>
  </conditionalFormatting>
  <conditionalFormatting sqref="AJ40">
    <cfRule type="cellIs" dxfId="9929" priority="134353" stopIfTrue="1" operator="greaterThanOrEqual">
      <formula>0.5</formula>
    </cfRule>
  </conditionalFormatting>
  <conditionalFormatting sqref="AJ41">
    <cfRule type="cellIs" dxfId="9928" priority="134354" stopIfTrue="1" operator="equal">
      <formula>-1</formula>
    </cfRule>
  </conditionalFormatting>
  <conditionalFormatting sqref="AJ41">
    <cfRule type="cellIs" dxfId="9927" priority="134355" stopIfTrue="1" operator="lessThan">
      <formula>0.5</formula>
    </cfRule>
  </conditionalFormatting>
  <conditionalFormatting sqref="AJ41">
    <cfRule type="cellIs" dxfId="9926" priority="134356" stopIfTrue="1" operator="greaterThanOrEqual">
      <formula>0.5</formula>
    </cfRule>
  </conditionalFormatting>
  <conditionalFormatting sqref="AJ42">
    <cfRule type="cellIs" dxfId="9925" priority="134357" stopIfTrue="1" operator="equal">
      <formula>-1</formula>
    </cfRule>
  </conditionalFormatting>
  <conditionalFormatting sqref="AJ42">
    <cfRule type="cellIs" dxfId="9924" priority="134358" stopIfTrue="1" operator="lessThan">
      <formula>0.5</formula>
    </cfRule>
  </conditionalFormatting>
  <conditionalFormatting sqref="AJ42">
    <cfRule type="cellIs" dxfId="9923" priority="134359" stopIfTrue="1" operator="greaterThanOrEqual">
      <formula>0.5</formula>
    </cfRule>
  </conditionalFormatting>
  <conditionalFormatting sqref="AJ43">
    <cfRule type="cellIs" dxfId="9922" priority="134360" stopIfTrue="1" operator="equal">
      <formula>-1</formula>
    </cfRule>
  </conditionalFormatting>
  <conditionalFormatting sqref="AJ43">
    <cfRule type="cellIs" dxfId="9921" priority="134361" stopIfTrue="1" operator="lessThan">
      <formula>0.5</formula>
    </cfRule>
  </conditionalFormatting>
  <conditionalFormatting sqref="AJ43">
    <cfRule type="cellIs" dxfId="9920" priority="134362" stopIfTrue="1" operator="greaterThanOrEqual">
      <formula>0.5</formula>
    </cfRule>
  </conditionalFormatting>
  <conditionalFormatting sqref="AJ44">
    <cfRule type="cellIs" dxfId="9919" priority="134363" stopIfTrue="1" operator="equal">
      <formula>-1</formula>
    </cfRule>
  </conditionalFormatting>
  <conditionalFormatting sqref="AJ44">
    <cfRule type="cellIs" dxfId="9918" priority="134364" stopIfTrue="1" operator="lessThan">
      <formula>0.5</formula>
    </cfRule>
  </conditionalFormatting>
  <conditionalFormatting sqref="AJ44">
    <cfRule type="cellIs" dxfId="9917" priority="134365" stopIfTrue="1" operator="greaterThanOrEqual">
      <formula>0.5</formula>
    </cfRule>
  </conditionalFormatting>
  <conditionalFormatting sqref="AJ45">
    <cfRule type="cellIs" dxfId="9916" priority="134366" stopIfTrue="1" operator="equal">
      <formula>-1</formula>
    </cfRule>
  </conditionalFormatting>
  <conditionalFormatting sqref="AJ45">
    <cfRule type="cellIs" dxfId="9915" priority="134367" stopIfTrue="1" operator="lessThan">
      <formula>0.5</formula>
    </cfRule>
  </conditionalFormatting>
  <conditionalFormatting sqref="AJ45">
    <cfRule type="cellIs" dxfId="9914" priority="134368" stopIfTrue="1" operator="greaterThanOrEqual">
      <formula>0.5</formula>
    </cfRule>
  </conditionalFormatting>
  <conditionalFormatting sqref="AJ46">
    <cfRule type="cellIs" dxfId="9913" priority="134369" stopIfTrue="1" operator="equal">
      <formula>-1</formula>
    </cfRule>
  </conditionalFormatting>
  <conditionalFormatting sqref="AJ46">
    <cfRule type="cellIs" dxfId="9912" priority="134370" stopIfTrue="1" operator="lessThan">
      <formula>0.5</formula>
    </cfRule>
  </conditionalFormatting>
  <conditionalFormatting sqref="AJ46">
    <cfRule type="cellIs" dxfId="9911" priority="134371" stopIfTrue="1" operator="greaterThanOrEqual">
      <formula>0.5</formula>
    </cfRule>
  </conditionalFormatting>
  <conditionalFormatting sqref="AJ47">
    <cfRule type="cellIs" dxfId="9910" priority="134372" stopIfTrue="1" operator="equal">
      <formula>-1</formula>
    </cfRule>
  </conditionalFormatting>
  <conditionalFormatting sqref="AJ47">
    <cfRule type="cellIs" dxfId="9909" priority="134373" stopIfTrue="1" operator="lessThan">
      <formula>0.5</formula>
    </cfRule>
  </conditionalFormatting>
  <conditionalFormatting sqref="AJ47">
    <cfRule type="cellIs" dxfId="9908" priority="134374" stopIfTrue="1" operator="greaterThanOrEqual">
      <formula>0.5</formula>
    </cfRule>
  </conditionalFormatting>
  <conditionalFormatting sqref="AJ48">
    <cfRule type="cellIs" dxfId="9907" priority="134375" stopIfTrue="1" operator="equal">
      <formula>-1</formula>
    </cfRule>
  </conditionalFormatting>
  <conditionalFormatting sqref="AJ48">
    <cfRule type="cellIs" dxfId="9906" priority="134376" stopIfTrue="1" operator="lessThan">
      <formula>0.5</formula>
    </cfRule>
  </conditionalFormatting>
  <conditionalFormatting sqref="AJ48">
    <cfRule type="cellIs" dxfId="9905" priority="134377" stopIfTrue="1" operator="greaterThanOrEqual">
      <formula>0.5</formula>
    </cfRule>
  </conditionalFormatting>
  <conditionalFormatting sqref="AJ49">
    <cfRule type="cellIs" dxfId="9904" priority="134378" stopIfTrue="1" operator="equal">
      <formula>-1</formula>
    </cfRule>
  </conditionalFormatting>
  <conditionalFormatting sqref="AJ49">
    <cfRule type="cellIs" dxfId="9903" priority="134379" stopIfTrue="1" operator="lessThan">
      <formula>0.5</formula>
    </cfRule>
  </conditionalFormatting>
  <conditionalFormatting sqref="AJ49">
    <cfRule type="cellIs" dxfId="9902" priority="134380" stopIfTrue="1" operator="greaterThanOrEqual">
      <formula>0.5</formula>
    </cfRule>
  </conditionalFormatting>
  <conditionalFormatting sqref="AJ50">
    <cfRule type="cellIs" dxfId="9901" priority="134381" stopIfTrue="1" operator="equal">
      <formula>-1</formula>
    </cfRule>
  </conditionalFormatting>
  <conditionalFormatting sqref="AJ50">
    <cfRule type="cellIs" dxfId="9900" priority="134382" stopIfTrue="1" operator="lessThan">
      <formula>0.5</formula>
    </cfRule>
  </conditionalFormatting>
  <conditionalFormatting sqref="AJ50">
    <cfRule type="cellIs" dxfId="9899" priority="134383" stopIfTrue="1" operator="greaterThanOrEqual">
      <formula>0.5</formula>
    </cfRule>
  </conditionalFormatting>
  <conditionalFormatting sqref="AJ51">
    <cfRule type="cellIs" dxfId="9898" priority="134384" stopIfTrue="1" operator="equal">
      <formula>-1</formula>
    </cfRule>
  </conditionalFormatting>
  <conditionalFormatting sqref="AJ51">
    <cfRule type="cellIs" dxfId="9897" priority="134385" stopIfTrue="1" operator="lessThan">
      <formula>0.5</formula>
    </cfRule>
  </conditionalFormatting>
  <conditionalFormatting sqref="AJ51">
    <cfRule type="cellIs" dxfId="9896" priority="134386" stopIfTrue="1" operator="greaterThanOrEqual">
      <formula>0.5</formula>
    </cfRule>
  </conditionalFormatting>
  <conditionalFormatting sqref="AJ52">
    <cfRule type="cellIs" dxfId="9895" priority="134387" stopIfTrue="1" operator="equal">
      <formula>-1</formula>
    </cfRule>
  </conditionalFormatting>
  <conditionalFormatting sqref="AJ52">
    <cfRule type="cellIs" dxfId="9894" priority="134388" stopIfTrue="1" operator="lessThan">
      <formula>0.5</formula>
    </cfRule>
  </conditionalFormatting>
  <conditionalFormatting sqref="AJ52">
    <cfRule type="cellIs" dxfId="9893" priority="134389" stopIfTrue="1" operator="greaterThanOrEqual">
      <formula>0.5</formula>
    </cfRule>
  </conditionalFormatting>
  <conditionalFormatting sqref="AJ53">
    <cfRule type="cellIs" dxfId="9892" priority="134390" stopIfTrue="1" operator="equal">
      <formula>-1</formula>
    </cfRule>
  </conditionalFormatting>
  <conditionalFormatting sqref="AJ53">
    <cfRule type="cellIs" dxfId="9891" priority="134391" stopIfTrue="1" operator="lessThan">
      <formula>0.5</formula>
    </cfRule>
  </conditionalFormatting>
  <conditionalFormatting sqref="AJ53">
    <cfRule type="cellIs" dxfId="9890" priority="134392" stopIfTrue="1" operator="greaterThanOrEqual">
      <formula>0.5</formula>
    </cfRule>
  </conditionalFormatting>
  <conditionalFormatting sqref="AJ54">
    <cfRule type="cellIs" dxfId="9889" priority="134393" stopIfTrue="1" operator="equal">
      <formula>-1</formula>
    </cfRule>
  </conditionalFormatting>
  <conditionalFormatting sqref="AJ54">
    <cfRule type="cellIs" dxfId="9888" priority="134394" stopIfTrue="1" operator="lessThan">
      <formula>0.5</formula>
    </cfRule>
  </conditionalFormatting>
  <conditionalFormatting sqref="AJ54">
    <cfRule type="cellIs" dxfId="9887" priority="134395" stopIfTrue="1" operator="greaterThanOrEqual">
      <formula>0.5</formula>
    </cfRule>
  </conditionalFormatting>
  <conditionalFormatting sqref="AJ55">
    <cfRule type="cellIs" dxfId="9886" priority="134396" stopIfTrue="1" operator="equal">
      <formula>-1</formula>
    </cfRule>
  </conditionalFormatting>
  <conditionalFormatting sqref="AJ55">
    <cfRule type="cellIs" dxfId="9885" priority="134397" stopIfTrue="1" operator="lessThan">
      <formula>0.5</formula>
    </cfRule>
  </conditionalFormatting>
  <conditionalFormatting sqref="AJ55">
    <cfRule type="cellIs" dxfId="9884" priority="134398" stopIfTrue="1" operator="greaterThanOrEqual">
      <formula>0.5</formula>
    </cfRule>
  </conditionalFormatting>
  <conditionalFormatting sqref="AJ56">
    <cfRule type="cellIs" dxfId="9883" priority="134399" stopIfTrue="1" operator="equal">
      <formula>-1</formula>
    </cfRule>
  </conditionalFormatting>
  <conditionalFormatting sqref="AJ56">
    <cfRule type="cellIs" dxfId="9882" priority="134400" stopIfTrue="1" operator="lessThan">
      <formula>0.5</formula>
    </cfRule>
  </conditionalFormatting>
  <conditionalFormatting sqref="AJ56">
    <cfRule type="cellIs" dxfId="9881" priority="134401" stopIfTrue="1" operator="greaterThanOrEqual">
      <formula>0.5</formula>
    </cfRule>
  </conditionalFormatting>
  <conditionalFormatting sqref="AJ57">
    <cfRule type="cellIs" dxfId="9880" priority="134402" stopIfTrue="1" operator="equal">
      <formula>-1</formula>
    </cfRule>
  </conditionalFormatting>
  <conditionalFormatting sqref="AJ57">
    <cfRule type="cellIs" dxfId="9879" priority="134403" stopIfTrue="1" operator="lessThan">
      <formula>0.5</formula>
    </cfRule>
  </conditionalFormatting>
  <conditionalFormatting sqref="AJ57">
    <cfRule type="cellIs" dxfId="9878" priority="134404" stopIfTrue="1" operator="greaterThanOrEqual">
      <formula>0.5</formula>
    </cfRule>
  </conditionalFormatting>
  <conditionalFormatting sqref="AJ58">
    <cfRule type="cellIs" dxfId="9877" priority="134405" stopIfTrue="1" operator="equal">
      <formula>-1</formula>
    </cfRule>
  </conditionalFormatting>
  <conditionalFormatting sqref="AJ58">
    <cfRule type="cellIs" dxfId="9876" priority="134406" stopIfTrue="1" operator="lessThan">
      <formula>0.5</formula>
    </cfRule>
  </conditionalFormatting>
  <conditionalFormatting sqref="AJ58">
    <cfRule type="cellIs" dxfId="9875" priority="134407" stopIfTrue="1" operator="greaterThanOrEqual">
      <formula>0.5</formula>
    </cfRule>
  </conditionalFormatting>
  <conditionalFormatting sqref="AL39">
    <cfRule type="cellIs" dxfId="9874" priority="134408" stopIfTrue="1" operator="equal">
      <formula>-1</formula>
    </cfRule>
  </conditionalFormatting>
  <conditionalFormatting sqref="AL39">
    <cfRule type="cellIs" dxfId="9873" priority="134409" stopIfTrue="1" operator="lessThan">
      <formula>0.5</formula>
    </cfRule>
  </conditionalFormatting>
  <conditionalFormatting sqref="AL39">
    <cfRule type="cellIs" dxfId="9872" priority="134410" stopIfTrue="1" operator="greaterThanOrEqual">
      <formula>0.5</formula>
    </cfRule>
  </conditionalFormatting>
  <conditionalFormatting sqref="AL40">
    <cfRule type="cellIs" dxfId="9871" priority="134411" stopIfTrue="1" operator="equal">
      <formula>-1</formula>
    </cfRule>
  </conditionalFormatting>
  <conditionalFormatting sqref="AL40">
    <cfRule type="cellIs" dxfId="9870" priority="134412" stopIfTrue="1" operator="lessThan">
      <formula>0.5</formula>
    </cfRule>
  </conditionalFormatting>
  <conditionalFormatting sqref="AL40">
    <cfRule type="cellIs" dxfId="9869" priority="134413" stopIfTrue="1" operator="greaterThanOrEqual">
      <formula>0.5</formula>
    </cfRule>
  </conditionalFormatting>
  <conditionalFormatting sqref="AL41">
    <cfRule type="cellIs" dxfId="9868" priority="134414" stopIfTrue="1" operator="equal">
      <formula>-1</formula>
    </cfRule>
  </conditionalFormatting>
  <conditionalFormatting sqref="AL41">
    <cfRule type="cellIs" dxfId="9867" priority="134415" stopIfTrue="1" operator="lessThan">
      <formula>0.5</formula>
    </cfRule>
  </conditionalFormatting>
  <conditionalFormatting sqref="AL41">
    <cfRule type="cellIs" dxfId="9866" priority="134416" stopIfTrue="1" operator="greaterThanOrEqual">
      <formula>0.5</formula>
    </cfRule>
  </conditionalFormatting>
  <conditionalFormatting sqref="AL42">
    <cfRule type="cellIs" dxfId="9865" priority="134417" stopIfTrue="1" operator="equal">
      <formula>-1</formula>
    </cfRule>
  </conditionalFormatting>
  <conditionalFormatting sqref="AL42">
    <cfRule type="cellIs" dxfId="9864" priority="134418" stopIfTrue="1" operator="lessThan">
      <formula>0.5</formula>
    </cfRule>
  </conditionalFormatting>
  <conditionalFormatting sqref="AL42">
    <cfRule type="cellIs" dxfId="9863" priority="134419" stopIfTrue="1" operator="greaterThanOrEqual">
      <formula>0.5</formula>
    </cfRule>
  </conditionalFormatting>
  <conditionalFormatting sqref="AL43">
    <cfRule type="cellIs" dxfId="9862" priority="134420" stopIfTrue="1" operator="equal">
      <formula>-1</formula>
    </cfRule>
  </conditionalFormatting>
  <conditionalFormatting sqref="AL43">
    <cfRule type="cellIs" dxfId="9861" priority="134421" stopIfTrue="1" operator="lessThan">
      <formula>0.5</formula>
    </cfRule>
  </conditionalFormatting>
  <conditionalFormatting sqref="AL43">
    <cfRule type="cellIs" dxfId="9860" priority="134422" stopIfTrue="1" operator="greaterThanOrEqual">
      <formula>0.5</formula>
    </cfRule>
  </conditionalFormatting>
  <conditionalFormatting sqref="AL44">
    <cfRule type="cellIs" dxfId="9859" priority="134423" stopIfTrue="1" operator="equal">
      <formula>-1</formula>
    </cfRule>
  </conditionalFormatting>
  <conditionalFormatting sqref="AL44">
    <cfRule type="cellIs" dxfId="9858" priority="134424" stopIfTrue="1" operator="lessThan">
      <formula>0.5</formula>
    </cfRule>
  </conditionalFormatting>
  <conditionalFormatting sqref="AL44">
    <cfRule type="cellIs" dxfId="9857" priority="134425" stopIfTrue="1" operator="greaterThanOrEqual">
      <formula>0.5</formula>
    </cfRule>
  </conditionalFormatting>
  <conditionalFormatting sqref="AL45">
    <cfRule type="cellIs" dxfId="9856" priority="134426" stopIfTrue="1" operator="equal">
      <formula>-1</formula>
    </cfRule>
  </conditionalFormatting>
  <conditionalFormatting sqref="AL45">
    <cfRule type="cellIs" dxfId="9855" priority="134427" stopIfTrue="1" operator="lessThan">
      <formula>0.5</formula>
    </cfRule>
  </conditionalFormatting>
  <conditionalFormatting sqref="AL45">
    <cfRule type="cellIs" dxfId="9854" priority="134428" stopIfTrue="1" operator="greaterThanOrEqual">
      <formula>0.5</formula>
    </cfRule>
  </conditionalFormatting>
  <conditionalFormatting sqref="AL46">
    <cfRule type="cellIs" dxfId="9853" priority="134429" stopIfTrue="1" operator="equal">
      <formula>-1</formula>
    </cfRule>
  </conditionalFormatting>
  <conditionalFormatting sqref="AL46">
    <cfRule type="cellIs" dxfId="9852" priority="134430" stopIfTrue="1" operator="lessThan">
      <formula>0.5</formula>
    </cfRule>
  </conditionalFormatting>
  <conditionalFormatting sqref="AL46">
    <cfRule type="cellIs" dxfId="9851" priority="134431" stopIfTrue="1" operator="greaterThanOrEqual">
      <formula>0.5</formula>
    </cfRule>
  </conditionalFormatting>
  <conditionalFormatting sqref="AL47">
    <cfRule type="cellIs" dxfId="9850" priority="134432" stopIfTrue="1" operator="equal">
      <formula>-1</formula>
    </cfRule>
  </conditionalFormatting>
  <conditionalFormatting sqref="AL47">
    <cfRule type="cellIs" dxfId="9849" priority="134433" stopIfTrue="1" operator="lessThan">
      <formula>0.5</formula>
    </cfRule>
  </conditionalFormatting>
  <conditionalFormatting sqref="AL47">
    <cfRule type="cellIs" dxfId="9848" priority="134434" stopIfTrue="1" operator="greaterThanOrEqual">
      <formula>0.5</formula>
    </cfRule>
  </conditionalFormatting>
  <conditionalFormatting sqref="AL48">
    <cfRule type="cellIs" dxfId="9847" priority="134435" stopIfTrue="1" operator="equal">
      <formula>-1</formula>
    </cfRule>
  </conditionalFormatting>
  <conditionalFormatting sqref="AL48">
    <cfRule type="cellIs" dxfId="9846" priority="134436" stopIfTrue="1" operator="lessThan">
      <formula>0.5</formula>
    </cfRule>
  </conditionalFormatting>
  <conditionalFormatting sqref="AL48">
    <cfRule type="cellIs" dxfId="9845" priority="134437" stopIfTrue="1" operator="greaterThanOrEqual">
      <formula>0.5</formula>
    </cfRule>
  </conditionalFormatting>
  <conditionalFormatting sqref="AL49">
    <cfRule type="cellIs" dxfId="9844" priority="134438" stopIfTrue="1" operator="equal">
      <formula>-1</formula>
    </cfRule>
  </conditionalFormatting>
  <conditionalFormatting sqref="AL49">
    <cfRule type="cellIs" dxfId="9843" priority="134439" stopIfTrue="1" operator="lessThan">
      <formula>0.5</formula>
    </cfRule>
  </conditionalFormatting>
  <conditionalFormatting sqref="AL49">
    <cfRule type="cellIs" dxfId="9842" priority="134440" stopIfTrue="1" operator="greaterThanOrEqual">
      <formula>0.5</formula>
    </cfRule>
  </conditionalFormatting>
  <conditionalFormatting sqref="AL50">
    <cfRule type="cellIs" dxfId="9841" priority="134441" stopIfTrue="1" operator="equal">
      <formula>-1</formula>
    </cfRule>
  </conditionalFormatting>
  <conditionalFormatting sqref="AL50">
    <cfRule type="cellIs" dxfId="9840" priority="134442" stopIfTrue="1" operator="lessThan">
      <formula>0.5</formula>
    </cfRule>
  </conditionalFormatting>
  <conditionalFormatting sqref="AL50">
    <cfRule type="cellIs" dxfId="9839" priority="134443" stopIfTrue="1" operator="greaterThanOrEqual">
      <formula>0.5</formula>
    </cfRule>
  </conditionalFormatting>
  <conditionalFormatting sqref="AL51">
    <cfRule type="cellIs" dxfId="9838" priority="134444" stopIfTrue="1" operator="equal">
      <formula>-1</formula>
    </cfRule>
  </conditionalFormatting>
  <conditionalFormatting sqref="AL51">
    <cfRule type="cellIs" dxfId="9837" priority="134445" stopIfTrue="1" operator="lessThan">
      <formula>0.5</formula>
    </cfRule>
  </conditionalFormatting>
  <conditionalFormatting sqref="AL51">
    <cfRule type="cellIs" dxfId="9836" priority="134446" stopIfTrue="1" operator="greaterThanOrEqual">
      <formula>0.5</formula>
    </cfRule>
  </conditionalFormatting>
  <conditionalFormatting sqref="AL52">
    <cfRule type="cellIs" dxfId="9835" priority="134447" stopIfTrue="1" operator="equal">
      <formula>-1</formula>
    </cfRule>
  </conditionalFormatting>
  <conditionalFormatting sqref="AL52">
    <cfRule type="cellIs" dxfId="9834" priority="134448" stopIfTrue="1" operator="lessThan">
      <formula>0.5</formula>
    </cfRule>
  </conditionalFormatting>
  <conditionalFormatting sqref="AL52">
    <cfRule type="cellIs" dxfId="9833" priority="134449" stopIfTrue="1" operator="greaterThanOrEqual">
      <formula>0.5</formula>
    </cfRule>
  </conditionalFormatting>
  <conditionalFormatting sqref="AL53">
    <cfRule type="cellIs" dxfId="9832" priority="134450" stopIfTrue="1" operator="equal">
      <formula>-1</formula>
    </cfRule>
  </conditionalFormatting>
  <conditionalFormatting sqref="AL53">
    <cfRule type="cellIs" dxfId="9831" priority="134451" stopIfTrue="1" operator="lessThan">
      <formula>0.5</formula>
    </cfRule>
  </conditionalFormatting>
  <conditionalFormatting sqref="AL53">
    <cfRule type="cellIs" dxfId="9830" priority="134452" stopIfTrue="1" operator="greaterThanOrEqual">
      <formula>0.5</formula>
    </cfRule>
  </conditionalFormatting>
  <conditionalFormatting sqref="AL54">
    <cfRule type="cellIs" dxfId="9829" priority="134453" stopIfTrue="1" operator="equal">
      <formula>-1</formula>
    </cfRule>
  </conditionalFormatting>
  <conditionalFormatting sqref="AL54">
    <cfRule type="cellIs" dxfId="9828" priority="134454" stopIfTrue="1" operator="lessThan">
      <formula>0.5</formula>
    </cfRule>
  </conditionalFormatting>
  <conditionalFormatting sqref="AL54">
    <cfRule type="cellIs" dxfId="9827" priority="134455" stopIfTrue="1" operator="greaterThanOrEqual">
      <formula>0.5</formula>
    </cfRule>
  </conditionalFormatting>
  <conditionalFormatting sqref="AL55">
    <cfRule type="cellIs" dxfId="9826" priority="134456" stopIfTrue="1" operator="equal">
      <formula>-1</formula>
    </cfRule>
  </conditionalFormatting>
  <conditionalFormatting sqref="AL55">
    <cfRule type="cellIs" dxfId="9825" priority="134457" stopIfTrue="1" operator="lessThan">
      <formula>0.5</formula>
    </cfRule>
  </conditionalFormatting>
  <conditionalFormatting sqref="AL55">
    <cfRule type="cellIs" dxfId="9824" priority="134458" stopIfTrue="1" operator="greaterThanOrEqual">
      <formula>0.5</formula>
    </cfRule>
  </conditionalFormatting>
  <conditionalFormatting sqref="AL56">
    <cfRule type="cellIs" dxfId="9823" priority="134459" stopIfTrue="1" operator="equal">
      <formula>-1</formula>
    </cfRule>
  </conditionalFormatting>
  <conditionalFormatting sqref="AL56">
    <cfRule type="cellIs" dxfId="9822" priority="134460" stopIfTrue="1" operator="lessThan">
      <formula>0.5</formula>
    </cfRule>
  </conditionalFormatting>
  <conditionalFormatting sqref="AL56">
    <cfRule type="cellIs" dxfId="9821" priority="134461" stopIfTrue="1" operator="greaterThanOrEqual">
      <formula>0.5</formula>
    </cfRule>
  </conditionalFormatting>
  <conditionalFormatting sqref="AL57">
    <cfRule type="cellIs" dxfId="9820" priority="134462" stopIfTrue="1" operator="equal">
      <formula>-1</formula>
    </cfRule>
  </conditionalFormatting>
  <conditionalFormatting sqref="AL57">
    <cfRule type="cellIs" dxfId="9819" priority="134463" stopIfTrue="1" operator="lessThan">
      <formula>0.5</formula>
    </cfRule>
  </conditionalFormatting>
  <conditionalFormatting sqref="AL57">
    <cfRule type="cellIs" dxfId="9818" priority="134464" stopIfTrue="1" operator="greaterThanOrEqual">
      <formula>0.5</formula>
    </cfRule>
  </conditionalFormatting>
  <conditionalFormatting sqref="AL58">
    <cfRule type="cellIs" dxfId="9817" priority="134465" stopIfTrue="1" operator="equal">
      <formula>-1</formula>
    </cfRule>
  </conditionalFormatting>
  <conditionalFormatting sqref="AL58">
    <cfRule type="cellIs" dxfId="9816" priority="134466" stopIfTrue="1" operator="lessThan">
      <formula>0.5</formula>
    </cfRule>
  </conditionalFormatting>
  <conditionalFormatting sqref="AL58">
    <cfRule type="cellIs" dxfId="9815" priority="134467" stopIfTrue="1" operator="greaterThanOrEqual">
      <formula>0.5</formula>
    </cfRule>
  </conditionalFormatting>
  <conditionalFormatting sqref="AN39">
    <cfRule type="cellIs" dxfId="9814" priority="134468" stopIfTrue="1" operator="equal">
      <formula>-1</formula>
    </cfRule>
  </conditionalFormatting>
  <conditionalFormatting sqref="AN39">
    <cfRule type="cellIs" dxfId="9813" priority="134469" stopIfTrue="1" operator="lessThan">
      <formula>0.5</formula>
    </cfRule>
  </conditionalFormatting>
  <conditionalFormatting sqref="AN39">
    <cfRule type="cellIs" dxfId="9812" priority="134470" stopIfTrue="1" operator="greaterThanOrEqual">
      <formula>0.5</formula>
    </cfRule>
  </conditionalFormatting>
  <conditionalFormatting sqref="AN40">
    <cfRule type="cellIs" dxfId="9811" priority="134471" stopIfTrue="1" operator="equal">
      <formula>-1</formula>
    </cfRule>
  </conditionalFormatting>
  <conditionalFormatting sqref="AN40">
    <cfRule type="cellIs" dxfId="9810" priority="134472" stopIfTrue="1" operator="lessThan">
      <formula>0.5</formula>
    </cfRule>
  </conditionalFormatting>
  <conditionalFormatting sqref="AN40">
    <cfRule type="cellIs" dxfId="9809" priority="134473" stopIfTrue="1" operator="greaterThanOrEqual">
      <formula>0.5</formula>
    </cfRule>
  </conditionalFormatting>
  <conditionalFormatting sqref="AN41">
    <cfRule type="cellIs" dxfId="9808" priority="134474" stopIfTrue="1" operator="equal">
      <formula>-1</formula>
    </cfRule>
  </conditionalFormatting>
  <conditionalFormatting sqref="AN41">
    <cfRule type="cellIs" dxfId="9807" priority="134475" stopIfTrue="1" operator="lessThan">
      <formula>0.5</formula>
    </cfRule>
  </conditionalFormatting>
  <conditionalFormatting sqref="AN41">
    <cfRule type="cellIs" dxfId="9806" priority="134476" stopIfTrue="1" operator="greaterThanOrEqual">
      <formula>0.5</formula>
    </cfRule>
  </conditionalFormatting>
  <conditionalFormatting sqref="AN42">
    <cfRule type="cellIs" dxfId="9805" priority="134477" stopIfTrue="1" operator="equal">
      <formula>-1</formula>
    </cfRule>
  </conditionalFormatting>
  <conditionalFormatting sqref="AN42">
    <cfRule type="cellIs" dxfId="9804" priority="134478" stopIfTrue="1" operator="lessThan">
      <formula>0.5</formula>
    </cfRule>
  </conditionalFormatting>
  <conditionalFormatting sqref="AN42">
    <cfRule type="cellIs" dxfId="9803" priority="134479" stopIfTrue="1" operator="greaterThanOrEqual">
      <formula>0.5</formula>
    </cfRule>
  </conditionalFormatting>
  <conditionalFormatting sqref="AN43">
    <cfRule type="cellIs" dxfId="9802" priority="134480" stopIfTrue="1" operator="equal">
      <formula>-1</formula>
    </cfRule>
  </conditionalFormatting>
  <conditionalFormatting sqref="AN43">
    <cfRule type="cellIs" dxfId="9801" priority="134481" stopIfTrue="1" operator="lessThan">
      <formula>0.5</formula>
    </cfRule>
  </conditionalFormatting>
  <conditionalFormatting sqref="AN43">
    <cfRule type="cellIs" dxfId="9800" priority="134482" stopIfTrue="1" operator="greaterThanOrEqual">
      <formula>0.5</formula>
    </cfRule>
  </conditionalFormatting>
  <conditionalFormatting sqref="AN44">
    <cfRule type="cellIs" dxfId="9799" priority="134483" stopIfTrue="1" operator="equal">
      <formula>-1</formula>
    </cfRule>
  </conditionalFormatting>
  <conditionalFormatting sqref="AN44">
    <cfRule type="cellIs" dxfId="9798" priority="134484" stopIfTrue="1" operator="lessThan">
      <formula>0.5</formula>
    </cfRule>
  </conditionalFormatting>
  <conditionalFormatting sqref="AN44">
    <cfRule type="cellIs" dxfId="9797" priority="134485" stopIfTrue="1" operator="greaterThanOrEqual">
      <formula>0.5</formula>
    </cfRule>
  </conditionalFormatting>
  <conditionalFormatting sqref="AN45">
    <cfRule type="cellIs" dxfId="9796" priority="134486" stopIfTrue="1" operator="equal">
      <formula>-1</formula>
    </cfRule>
  </conditionalFormatting>
  <conditionalFormatting sqref="AN45">
    <cfRule type="cellIs" dxfId="9795" priority="134487" stopIfTrue="1" operator="lessThan">
      <formula>0.5</formula>
    </cfRule>
  </conditionalFormatting>
  <conditionalFormatting sqref="AN45">
    <cfRule type="cellIs" dxfId="9794" priority="134488" stopIfTrue="1" operator="greaterThanOrEqual">
      <formula>0.5</formula>
    </cfRule>
  </conditionalFormatting>
  <conditionalFormatting sqref="AN46">
    <cfRule type="cellIs" dxfId="9793" priority="134489" stopIfTrue="1" operator="equal">
      <formula>-1</formula>
    </cfRule>
  </conditionalFormatting>
  <conditionalFormatting sqref="AN46">
    <cfRule type="cellIs" dxfId="9792" priority="134490" stopIfTrue="1" operator="lessThan">
      <formula>0.5</formula>
    </cfRule>
  </conditionalFormatting>
  <conditionalFormatting sqref="AN46">
    <cfRule type="cellIs" dxfId="9791" priority="134491" stopIfTrue="1" operator="greaterThanOrEqual">
      <formula>0.5</formula>
    </cfRule>
  </conditionalFormatting>
  <conditionalFormatting sqref="AN47">
    <cfRule type="cellIs" dxfId="9790" priority="134492" stopIfTrue="1" operator="equal">
      <formula>-1</formula>
    </cfRule>
  </conditionalFormatting>
  <conditionalFormatting sqref="AN47">
    <cfRule type="cellIs" dxfId="9789" priority="134493" stopIfTrue="1" operator="lessThan">
      <formula>0.5</formula>
    </cfRule>
  </conditionalFormatting>
  <conditionalFormatting sqref="AN47">
    <cfRule type="cellIs" dxfId="9788" priority="134494" stopIfTrue="1" operator="greaterThanOrEqual">
      <formula>0.5</formula>
    </cfRule>
  </conditionalFormatting>
  <conditionalFormatting sqref="AN48">
    <cfRule type="cellIs" dxfId="9787" priority="134495" stopIfTrue="1" operator="equal">
      <formula>-1</formula>
    </cfRule>
  </conditionalFormatting>
  <conditionalFormatting sqref="AN48">
    <cfRule type="cellIs" dxfId="9786" priority="134496" stopIfTrue="1" operator="lessThan">
      <formula>0.5</formula>
    </cfRule>
  </conditionalFormatting>
  <conditionalFormatting sqref="AN48">
    <cfRule type="cellIs" dxfId="9785" priority="134497" stopIfTrue="1" operator="greaterThanOrEqual">
      <formula>0.5</formula>
    </cfRule>
  </conditionalFormatting>
  <conditionalFormatting sqref="AN49">
    <cfRule type="cellIs" dxfId="9784" priority="134498" stopIfTrue="1" operator="equal">
      <formula>-1</formula>
    </cfRule>
  </conditionalFormatting>
  <conditionalFormatting sqref="AN49">
    <cfRule type="cellIs" dxfId="9783" priority="134499" stopIfTrue="1" operator="lessThan">
      <formula>0.5</formula>
    </cfRule>
  </conditionalFormatting>
  <conditionalFormatting sqref="AN49">
    <cfRule type="cellIs" dxfId="9782" priority="134500" stopIfTrue="1" operator="greaterThanOrEqual">
      <formula>0.5</formula>
    </cfRule>
  </conditionalFormatting>
  <conditionalFormatting sqref="AN50">
    <cfRule type="cellIs" dxfId="9781" priority="134501" stopIfTrue="1" operator="equal">
      <formula>-1</formula>
    </cfRule>
  </conditionalFormatting>
  <conditionalFormatting sqref="AN50">
    <cfRule type="cellIs" dxfId="9780" priority="134502" stopIfTrue="1" operator="lessThan">
      <formula>0.5</formula>
    </cfRule>
  </conditionalFormatting>
  <conditionalFormatting sqref="AN50">
    <cfRule type="cellIs" dxfId="9779" priority="134503" stopIfTrue="1" operator="greaterThanOrEqual">
      <formula>0.5</formula>
    </cfRule>
  </conditionalFormatting>
  <conditionalFormatting sqref="AN51">
    <cfRule type="cellIs" dxfId="9778" priority="134504" stopIfTrue="1" operator="equal">
      <formula>-1</formula>
    </cfRule>
  </conditionalFormatting>
  <conditionalFormatting sqref="AN51">
    <cfRule type="cellIs" dxfId="9777" priority="134505" stopIfTrue="1" operator="lessThan">
      <formula>0.5</formula>
    </cfRule>
  </conditionalFormatting>
  <conditionalFormatting sqref="AN51">
    <cfRule type="cellIs" dxfId="9776" priority="134506" stopIfTrue="1" operator="greaterThanOrEqual">
      <formula>0.5</formula>
    </cfRule>
  </conditionalFormatting>
  <conditionalFormatting sqref="AN52">
    <cfRule type="cellIs" dxfId="9775" priority="134507" stopIfTrue="1" operator="equal">
      <formula>-1</formula>
    </cfRule>
  </conditionalFormatting>
  <conditionalFormatting sqref="AN52">
    <cfRule type="cellIs" dxfId="9774" priority="134508" stopIfTrue="1" operator="lessThan">
      <formula>0.5</formula>
    </cfRule>
  </conditionalFormatting>
  <conditionalFormatting sqref="AN52">
    <cfRule type="cellIs" dxfId="9773" priority="134509" stopIfTrue="1" operator="greaterThanOrEqual">
      <formula>0.5</formula>
    </cfRule>
  </conditionalFormatting>
  <conditionalFormatting sqref="AN53">
    <cfRule type="cellIs" dxfId="9772" priority="134510" stopIfTrue="1" operator="equal">
      <formula>-1</formula>
    </cfRule>
  </conditionalFormatting>
  <conditionalFormatting sqref="AN53">
    <cfRule type="cellIs" dxfId="9771" priority="134511" stopIfTrue="1" operator="lessThan">
      <formula>0.5</formula>
    </cfRule>
  </conditionalFormatting>
  <conditionalFormatting sqref="AN53">
    <cfRule type="cellIs" dxfId="9770" priority="134512" stopIfTrue="1" operator="greaterThanOrEqual">
      <formula>0.5</formula>
    </cfRule>
  </conditionalFormatting>
  <conditionalFormatting sqref="AN54">
    <cfRule type="cellIs" dxfId="9769" priority="134513" stopIfTrue="1" operator="equal">
      <formula>-1</formula>
    </cfRule>
  </conditionalFormatting>
  <conditionalFormatting sqref="AN54">
    <cfRule type="cellIs" dxfId="9768" priority="134514" stopIfTrue="1" operator="lessThan">
      <formula>0.5</formula>
    </cfRule>
  </conditionalFormatting>
  <conditionalFormatting sqref="AN54">
    <cfRule type="cellIs" dxfId="9767" priority="134515" stopIfTrue="1" operator="greaterThanOrEqual">
      <formula>0.5</formula>
    </cfRule>
  </conditionalFormatting>
  <conditionalFormatting sqref="AN55">
    <cfRule type="cellIs" dxfId="9766" priority="134516" stopIfTrue="1" operator="equal">
      <formula>-1</formula>
    </cfRule>
  </conditionalFormatting>
  <conditionalFormatting sqref="AN55">
    <cfRule type="cellIs" dxfId="9765" priority="134517" stopIfTrue="1" operator="lessThan">
      <formula>0.5</formula>
    </cfRule>
  </conditionalFormatting>
  <conditionalFormatting sqref="AN55">
    <cfRule type="cellIs" dxfId="9764" priority="134518" stopIfTrue="1" operator="greaterThanOrEqual">
      <formula>0.5</formula>
    </cfRule>
  </conditionalFormatting>
  <conditionalFormatting sqref="AN56">
    <cfRule type="cellIs" dxfId="9763" priority="134519" stopIfTrue="1" operator="equal">
      <formula>-1</formula>
    </cfRule>
  </conditionalFormatting>
  <conditionalFormatting sqref="AN56">
    <cfRule type="cellIs" dxfId="9762" priority="134520" stopIfTrue="1" operator="lessThan">
      <formula>0.5</formula>
    </cfRule>
  </conditionalFormatting>
  <conditionalFormatting sqref="AN56">
    <cfRule type="cellIs" dxfId="9761" priority="134521" stopIfTrue="1" operator="greaterThanOrEqual">
      <formula>0.5</formula>
    </cfRule>
  </conditionalFormatting>
  <conditionalFormatting sqref="AN57">
    <cfRule type="cellIs" dxfId="9760" priority="134522" stopIfTrue="1" operator="equal">
      <formula>-1</formula>
    </cfRule>
  </conditionalFormatting>
  <conditionalFormatting sqref="AN57">
    <cfRule type="cellIs" dxfId="9759" priority="134523" stopIfTrue="1" operator="lessThan">
      <formula>0.5</formula>
    </cfRule>
  </conditionalFormatting>
  <conditionalFormatting sqref="AN57">
    <cfRule type="cellIs" dxfId="9758" priority="134524" stopIfTrue="1" operator="greaterThanOrEqual">
      <formula>0.5</formula>
    </cfRule>
  </conditionalFormatting>
  <conditionalFormatting sqref="AN58">
    <cfRule type="cellIs" dxfId="9757" priority="134525" stopIfTrue="1" operator="equal">
      <formula>-1</formula>
    </cfRule>
  </conditionalFormatting>
  <conditionalFormatting sqref="AN58">
    <cfRule type="cellIs" dxfId="9756" priority="134526" stopIfTrue="1" operator="lessThan">
      <formula>0.5</formula>
    </cfRule>
  </conditionalFormatting>
  <conditionalFormatting sqref="AN58">
    <cfRule type="cellIs" dxfId="9755" priority="134527" stopIfTrue="1" operator="greaterThanOrEqual">
      <formula>0.5</formula>
    </cfRule>
  </conditionalFormatting>
  <conditionalFormatting sqref="AP39">
    <cfRule type="cellIs" dxfId="9754" priority="134528" stopIfTrue="1" operator="equal">
      <formula>-1</formula>
    </cfRule>
  </conditionalFormatting>
  <conditionalFormatting sqref="AP39">
    <cfRule type="cellIs" dxfId="9753" priority="134529" stopIfTrue="1" operator="lessThan">
      <formula>0.5</formula>
    </cfRule>
  </conditionalFormatting>
  <conditionalFormatting sqref="AP39">
    <cfRule type="cellIs" dxfId="9752" priority="134530" stopIfTrue="1" operator="greaterThanOrEqual">
      <formula>0.5</formula>
    </cfRule>
  </conditionalFormatting>
  <conditionalFormatting sqref="AP40">
    <cfRule type="cellIs" dxfId="9751" priority="134531" stopIfTrue="1" operator="equal">
      <formula>-1</formula>
    </cfRule>
  </conditionalFormatting>
  <conditionalFormatting sqref="AP40">
    <cfRule type="cellIs" dxfId="9750" priority="134532" stopIfTrue="1" operator="lessThan">
      <formula>0.5</formula>
    </cfRule>
  </conditionalFormatting>
  <conditionalFormatting sqref="AP40">
    <cfRule type="cellIs" dxfId="9749" priority="134533" stopIfTrue="1" operator="greaterThanOrEqual">
      <formula>0.5</formula>
    </cfRule>
  </conditionalFormatting>
  <conditionalFormatting sqref="AP41">
    <cfRule type="cellIs" dxfId="9748" priority="134534" stopIfTrue="1" operator="equal">
      <formula>-1</formula>
    </cfRule>
  </conditionalFormatting>
  <conditionalFormatting sqref="AP41">
    <cfRule type="cellIs" dxfId="9747" priority="134535" stopIfTrue="1" operator="lessThan">
      <formula>0.5</formula>
    </cfRule>
  </conditionalFormatting>
  <conditionalFormatting sqref="AP41">
    <cfRule type="cellIs" dxfId="9746" priority="134536" stopIfTrue="1" operator="greaterThanOrEqual">
      <formula>0.5</formula>
    </cfRule>
  </conditionalFormatting>
  <conditionalFormatting sqref="AP42">
    <cfRule type="cellIs" dxfId="9745" priority="134537" stopIfTrue="1" operator="equal">
      <formula>-1</formula>
    </cfRule>
  </conditionalFormatting>
  <conditionalFormatting sqref="AP42">
    <cfRule type="cellIs" dxfId="9744" priority="134538" stopIfTrue="1" operator="lessThan">
      <formula>0.5</formula>
    </cfRule>
  </conditionalFormatting>
  <conditionalFormatting sqref="AP42">
    <cfRule type="cellIs" dxfId="9743" priority="134539" stopIfTrue="1" operator="greaterThanOrEqual">
      <formula>0.5</formula>
    </cfRule>
  </conditionalFormatting>
  <conditionalFormatting sqref="AP43">
    <cfRule type="cellIs" dxfId="9742" priority="134540" stopIfTrue="1" operator="equal">
      <formula>-1</formula>
    </cfRule>
  </conditionalFormatting>
  <conditionalFormatting sqref="AP43">
    <cfRule type="cellIs" dxfId="9741" priority="134541" stopIfTrue="1" operator="lessThan">
      <formula>0.5</formula>
    </cfRule>
  </conditionalFormatting>
  <conditionalFormatting sqref="AP43">
    <cfRule type="cellIs" dxfId="9740" priority="134542" stopIfTrue="1" operator="greaterThanOrEqual">
      <formula>0.5</formula>
    </cfRule>
  </conditionalFormatting>
  <conditionalFormatting sqref="AP44">
    <cfRule type="cellIs" dxfId="9739" priority="134543" stopIfTrue="1" operator="equal">
      <formula>-1</formula>
    </cfRule>
  </conditionalFormatting>
  <conditionalFormatting sqref="AP44">
    <cfRule type="cellIs" dxfId="9738" priority="134544" stopIfTrue="1" operator="lessThan">
      <formula>0.5</formula>
    </cfRule>
  </conditionalFormatting>
  <conditionalFormatting sqref="AP44">
    <cfRule type="cellIs" dxfId="9737" priority="134545" stopIfTrue="1" operator="greaterThanOrEqual">
      <formula>0.5</formula>
    </cfRule>
  </conditionalFormatting>
  <conditionalFormatting sqref="AP45">
    <cfRule type="cellIs" dxfId="9736" priority="134546" stopIfTrue="1" operator="equal">
      <formula>-1</formula>
    </cfRule>
  </conditionalFormatting>
  <conditionalFormatting sqref="AP45">
    <cfRule type="cellIs" dxfId="9735" priority="134547" stopIfTrue="1" operator="lessThan">
      <formula>0.5</formula>
    </cfRule>
  </conditionalFormatting>
  <conditionalFormatting sqref="AP45">
    <cfRule type="cellIs" dxfId="9734" priority="134548" stopIfTrue="1" operator="greaterThanOrEqual">
      <formula>0.5</formula>
    </cfRule>
  </conditionalFormatting>
  <conditionalFormatting sqref="AP46">
    <cfRule type="cellIs" dxfId="9733" priority="134549" stopIfTrue="1" operator="equal">
      <formula>-1</formula>
    </cfRule>
  </conditionalFormatting>
  <conditionalFormatting sqref="AP46">
    <cfRule type="cellIs" dxfId="9732" priority="134550" stopIfTrue="1" operator="lessThan">
      <formula>0.5</formula>
    </cfRule>
  </conditionalFormatting>
  <conditionalFormatting sqref="AP46">
    <cfRule type="cellIs" dxfId="9731" priority="134551" stopIfTrue="1" operator="greaterThanOrEqual">
      <formula>0.5</formula>
    </cfRule>
  </conditionalFormatting>
  <conditionalFormatting sqref="AP47">
    <cfRule type="cellIs" dxfId="9730" priority="134552" stopIfTrue="1" operator="equal">
      <formula>-1</formula>
    </cfRule>
  </conditionalFormatting>
  <conditionalFormatting sqref="AP47">
    <cfRule type="cellIs" dxfId="9729" priority="134553" stopIfTrue="1" operator="lessThan">
      <formula>0.5</formula>
    </cfRule>
  </conditionalFormatting>
  <conditionalFormatting sqref="AP47">
    <cfRule type="cellIs" dxfId="9728" priority="134554" stopIfTrue="1" operator="greaterThanOrEqual">
      <formula>0.5</formula>
    </cfRule>
  </conditionalFormatting>
  <conditionalFormatting sqref="AP48">
    <cfRule type="cellIs" dxfId="9727" priority="134555" stopIfTrue="1" operator="equal">
      <formula>-1</formula>
    </cfRule>
  </conditionalFormatting>
  <conditionalFormatting sqref="AP48">
    <cfRule type="cellIs" dxfId="9726" priority="134556" stopIfTrue="1" operator="lessThan">
      <formula>0.5</formula>
    </cfRule>
  </conditionalFormatting>
  <conditionalFormatting sqref="AP48">
    <cfRule type="cellIs" dxfId="9725" priority="134557" stopIfTrue="1" operator="greaterThanOrEqual">
      <formula>0.5</formula>
    </cfRule>
  </conditionalFormatting>
  <conditionalFormatting sqref="AP49">
    <cfRule type="cellIs" dxfId="9724" priority="134558" stopIfTrue="1" operator="equal">
      <formula>-1</formula>
    </cfRule>
  </conditionalFormatting>
  <conditionalFormatting sqref="AP49">
    <cfRule type="cellIs" dxfId="9723" priority="134559" stopIfTrue="1" operator="lessThan">
      <formula>0.5</formula>
    </cfRule>
  </conditionalFormatting>
  <conditionalFormatting sqref="AP49">
    <cfRule type="cellIs" dxfId="9722" priority="134560" stopIfTrue="1" operator="greaterThanOrEqual">
      <formula>0.5</formula>
    </cfRule>
  </conditionalFormatting>
  <conditionalFormatting sqref="AP50">
    <cfRule type="cellIs" dxfId="9721" priority="134561" stopIfTrue="1" operator="equal">
      <formula>-1</formula>
    </cfRule>
  </conditionalFormatting>
  <conditionalFormatting sqref="AP50">
    <cfRule type="cellIs" dxfId="9720" priority="134562" stopIfTrue="1" operator="lessThan">
      <formula>0.5</formula>
    </cfRule>
  </conditionalFormatting>
  <conditionalFormatting sqref="AP50">
    <cfRule type="cellIs" dxfId="9719" priority="134563" stopIfTrue="1" operator="greaterThanOrEqual">
      <formula>0.5</formula>
    </cfRule>
  </conditionalFormatting>
  <conditionalFormatting sqref="AP51">
    <cfRule type="cellIs" dxfId="9718" priority="134564" stopIfTrue="1" operator="equal">
      <formula>-1</formula>
    </cfRule>
  </conditionalFormatting>
  <conditionalFormatting sqref="AP51">
    <cfRule type="cellIs" dxfId="9717" priority="134565" stopIfTrue="1" operator="lessThan">
      <formula>0.5</formula>
    </cfRule>
  </conditionalFormatting>
  <conditionalFormatting sqref="AP51">
    <cfRule type="cellIs" dxfId="9716" priority="134566" stopIfTrue="1" operator="greaterThanOrEqual">
      <formula>0.5</formula>
    </cfRule>
  </conditionalFormatting>
  <conditionalFormatting sqref="AP52">
    <cfRule type="cellIs" dxfId="9715" priority="134567" stopIfTrue="1" operator="equal">
      <formula>-1</formula>
    </cfRule>
  </conditionalFormatting>
  <conditionalFormatting sqref="AP52">
    <cfRule type="cellIs" dxfId="9714" priority="134568" stopIfTrue="1" operator="lessThan">
      <formula>0.5</formula>
    </cfRule>
  </conditionalFormatting>
  <conditionalFormatting sqref="AP52">
    <cfRule type="cellIs" dxfId="9713" priority="134569" stopIfTrue="1" operator="greaterThanOrEqual">
      <formula>0.5</formula>
    </cfRule>
  </conditionalFormatting>
  <conditionalFormatting sqref="AP53">
    <cfRule type="cellIs" dxfId="9712" priority="134570" stopIfTrue="1" operator="equal">
      <formula>-1</formula>
    </cfRule>
  </conditionalFormatting>
  <conditionalFormatting sqref="AP53">
    <cfRule type="cellIs" dxfId="9711" priority="134571" stopIfTrue="1" operator="lessThan">
      <formula>0.5</formula>
    </cfRule>
  </conditionalFormatting>
  <conditionalFormatting sqref="AP53">
    <cfRule type="cellIs" dxfId="9710" priority="134572" stopIfTrue="1" operator="greaterThanOrEqual">
      <formula>0.5</formula>
    </cfRule>
  </conditionalFormatting>
  <conditionalFormatting sqref="AP54">
    <cfRule type="cellIs" dxfId="9709" priority="134573" stopIfTrue="1" operator="equal">
      <formula>-1</formula>
    </cfRule>
  </conditionalFormatting>
  <conditionalFormatting sqref="AP54">
    <cfRule type="cellIs" dxfId="9708" priority="134574" stopIfTrue="1" operator="lessThan">
      <formula>0.5</formula>
    </cfRule>
  </conditionalFormatting>
  <conditionalFormatting sqref="AP54">
    <cfRule type="cellIs" dxfId="9707" priority="134575" stopIfTrue="1" operator="greaterThanOrEqual">
      <formula>0.5</formula>
    </cfRule>
  </conditionalFormatting>
  <conditionalFormatting sqref="AP55">
    <cfRule type="cellIs" dxfId="9706" priority="134576" stopIfTrue="1" operator="equal">
      <formula>-1</formula>
    </cfRule>
  </conditionalFormatting>
  <conditionalFormatting sqref="AP55">
    <cfRule type="cellIs" dxfId="9705" priority="134577" stopIfTrue="1" operator="lessThan">
      <formula>0.5</formula>
    </cfRule>
  </conditionalFormatting>
  <conditionalFormatting sqref="AP55">
    <cfRule type="cellIs" dxfId="9704" priority="134578" stopIfTrue="1" operator="greaterThanOrEqual">
      <formula>0.5</formula>
    </cfRule>
  </conditionalFormatting>
  <conditionalFormatting sqref="AP56">
    <cfRule type="cellIs" dxfId="9703" priority="134579" stopIfTrue="1" operator="equal">
      <formula>-1</formula>
    </cfRule>
  </conditionalFormatting>
  <conditionalFormatting sqref="AP56">
    <cfRule type="cellIs" dxfId="9702" priority="134580" stopIfTrue="1" operator="lessThan">
      <formula>0.5</formula>
    </cfRule>
  </conditionalFormatting>
  <conditionalFormatting sqref="AP56">
    <cfRule type="cellIs" dxfId="9701" priority="134581" stopIfTrue="1" operator="greaterThanOrEqual">
      <formula>0.5</formula>
    </cfRule>
  </conditionalFormatting>
  <conditionalFormatting sqref="AP57">
    <cfRule type="cellIs" dxfId="9700" priority="134582" stopIfTrue="1" operator="equal">
      <formula>-1</formula>
    </cfRule>
  </conditionalFormatting>
  <conditionalFormatting sqref="AP57">
    <cfRule type="cellIs" dxfId="9699" priority="134583" stopIfTrue="1" operator="lessThan">
      <formula>0.5</formula>
    </cfRule>
  </conditionalFormatting>
  <conditionalFormatting sqref="AP57">
    <cfRule type="cellIs" dxfId="9698" priority="134584" stopIfTrue="1" operator="greaterThanOrEqual">
      <formula>0.5</formula>
    </cfRule>
  </conditionalFormatting>
  <conditionalFormatting sqref="AP58">
    <cfRule type="cellIs" dxfId="9697" priority="134585" stopIfTrue="1" operator="equal">
      <formula>-1</formula>
    </cfRule>
  </conditionalFormatting>
  <conditionalFormatting sqref="AP58">
    <cfRule type="cellIs" dxfId="9696" priority="134586" stopIfTrue="1" operator="lessThan">
      <formula>0.5</formula>
    </cfRule>
  </conditionalFormatting>
  <conditionalFormatting sqref="AP58">
    <cfRule type="cellIs" dxfId="9695" priority="134587" stopIfTrue="1" operator="greaterThanOrEqual">
      <formula>0.5</formula>
    </cfRule>
  </conditionalFormatting>
  <conditionalFormatting sqref="AR39">
    <cfRule type="cellIs" dxfId="9694" priority="134588" stopIfTrue="1" operator="equal">
      <formula>-1</formula>
    </cfRule>
  </conditionalFormatting>
  <conditionalFormatting sqref="AR39">
    <cfRule type="cellIs" dxfId="9693" priority="134589" stopIfTrue="1" operator="lessThan">
      <formula>0.5</formula>
    </cfRule>
  </conditionalFormatting>
  <conditionalFormatting sqref="AR39">
    <cfRule type="cellIs" dxfId="9692" priority="134590" stopIfTrue="1" operator="greaterThanOrEqual">
      <formula>0.5</formula>
    </cfRule>
  </conditionalFormatting>
  <conditionalFormatting sqref="AR40">
    <cfRule type="cellIs" dxfId="9691" priority="134591" stopIfTrue="1" operator="equal">
      <formula>-1</formula>
    </cfRule>
  </conditionalFormatting>
  <conditionalFormatting sqref="AR40">
    <cfRule type="cellIs" dxfId="9690" priority="134592" stopIfTrue="1" operator="lessThan">
      <formula>0.5</formula>
    </cfRule>
  </conditionalFormatting>
  <conditionalFormatting sqref="AR40">
    <cfRule type="cellIs" dxfId="9689" priority="134593" stopIfTrue="1" operator="greaterThanOrEqual">
      <formula>0.5</formula>
    </cfRule>
  </conditionalFormatting>
  <conditionalFormatting sqref="AR41">
    <cfRule type="cellIs" dxfId="9688" priority="134594" stopIfTrue="1" operator="equal">
      <formula>-1</formula>
    </cfRule>
  </conditionalFormatting>
  <conditionalFormatting sqref="AR41">
    <cfRule type="cellIs" dxfId="9687" priority="134595" stopIfTrue="1" operator="lessThan">
      <formula>0.5</formula>
    </cfRule>
  </conditionalFormatting>
  <conditionalFormatting sqref="AR41">
    <cfRule type="cellIs" dxfId="9686" priority="134596" stopIfTrue="1" operator="greaterThanOrEqual">
      <formula>0.5</formula>
    </cfRule>
  </conditionalFormatting>
  <conditionalFormatting sqref="AR42">
    <cfRule type="cellIs" dxfId="9685" priority="134597" stopIfTrue="1" operator="equal">
      <formula>-1</formula>
    </cfRule>
  </conditionalFormatting>
  <conditionalFormatting sqref="AR42">
    <cfRule type="cellIs" dxfId="9684" priority="134598" stopIfTrue="1" operator="lessThan">
      <formula>0.5</formula>
    </cfRule>
  </conditionalFormatting>
  <conditionalFormatting sqref="AR42">
    <cfRule type="cellIs" dxfId="9683" priority="134599" stopIfTrue="1" operator="greaterThanOrEqual">
      <formula>0.5</formula>
    </cfRule>
  </conditionalFormatting>
  <conditionalFormatting sqref="AR43">
    <cfRule type="cellIs" dxfId="9682" priority="134600" stopIfTrue="1" operator="equal">
      <formula>-1</formula>
    </cfRule>
  </conditionalFormatting>
  <conditionalFormatting sqref="AR43">
    <cfRule type="cellIs" dxfId="9681" priority="134601" stopIfTrue="1" operator="lessThan">
      <formula>0.5</formula>
    </cfRule>
  </conditionalFormatting>
  <conditionalFormatting sqref="AR43">
    <cfRule type="cellIs" dxfId="9680" priority="134602" stopIfTrue="1" operator="greaterThanOrEqual">
      <formula>0.5</formula>
    </cfRule>
  </conditionalFormatting>
  <conditionalFormatting sqref="AR44">
    <cfRule type="cellIs" dxfId="9679" priority="134603" stopIfTrue="1" operator="equal">
      <formula>-1</formula>
    </cfRule>
  </conditionalFormatting>
  <conditionalFormatting sqref="AR44">
    <cfRule type="cellIs" dxfId="9678" priority="134604" stopIfTrue="1" operator="lessThan">
      <formula>0.5</formula>
    </cfRule>
  </conditionalFormatting>
  <conditionalFormatting sqref="AR44">
    <cfRule type="cellIs" dxfId="9677" priority="134605" stopIfTrue="1" operator="greaterThanOrEqual">
      <formula>0.5</formula>
    </cfRule>
  </conditionalFormatting>
  <conditionalFormatting sqref="AR45">
    <cfRule type="cellIs" dxfId="9676" priority="134606" stopIfTrue="1" operator="equal">
      <formula>-1</formula>
    </cfRule>
  </conditionalFormatting>
  <conditionalFormatting sqref="AR45">
    <cfRule type="cellIs" dxfId="9675" priority="134607" stopIfTrue="1" operator="lessThan">
      <formula>0.5</formula>
    </cfRule>
  </conditionalFormatting>
  <conditionalFormatting sqref="AR45">
    <cfRule type="cellIs" dxfId="9674" priority="134608" stopIfTrue="1" operator="greaterThanOrEqual">
      <formula>0.5</formula>
    </cfRule>
  </conditionalFormatting>
  <conditionalFormatting sqref="AR46">
    <cfRule type="cellIs" dxfId="9673" priority="134609" stopIfTrue="1" operator="equal">
      <formula>-1</formula>
    </cfRule>
  </conditionalFormatting>
  <conditionalFormatting sqref="AR46">
    <cfRule type="cellIs" dxfId="9672" priority="134610" stopIfTrue="1" operator="lessThan">
      <formula>0.5</formula>
    </cfRule>
  </conditionalFormatting>
  <conditionalFormatting sqref="AR46">
    <cfRule type="cellIs" dxfId="9671" priority="134611" stopIfTrue="1" operator="greaterThanOrEqual">
      <formula>0.5</formula>
    </cfRule>
  </conditionalFormatting>
  <conditionalFormatting sqref="AR47">
    <cfRule type="cellIs" dxfId="9670" priority="134612" stopIfTrue="1" operator="equal">
      <formula>-1</formula>
    </cfRule>
  </conditionalFormatting>
  <conditionalFormatting sqref="AR47">
    <cfRule type="cellIs" dxfId="9669" priority="134613" stopIfTrue="1" operator="lessThan">
      <formula>0.5</formula>
    </cfRule>
  </conditionalFormatting>
  <conditionalFormatting sqref="AR47">
    <cfRule type="cellIs" dxfId="9668" priority="134614" stopIfTrue="1" operator="greaterThanOrEqual">
      <formula>0.5</formula>
    </cfRule>
  </conditionalFormatting>
  <conditionalFormatting sqref="AR48">
    <cfRule type="cellIs" dxfId="9667" priority="134615" stopIfTrue="1" operator="equal">
      <formula>-1</formula>
    </cfRule>
  </conditionalFormatting>
  <conditionalFormatting sqref="AR48">
    <cfRule type="cellIs" dxfId="9666" priority="134616" stopIfTrue="1" operator="lessThan">
      <formula>0.5</formula>
    </cfRule>
  </conditionalFormatting>
  <conditionalFormatting sqref="AR48">
    <cfRule type="cellIs" dxfId="9665" priority="134617" stopIfTrue="1" operator="greaterThanOrEqual">
      <formula>0.5</formula>
    </cfRule>
  </conditionalFormatting>
  <conditionalFormatting sqref="AR49">
    <cfRule type="cellIs" dxfId="9664" priority="134618" stopIfTrue="1" operator="equal">
      <formula>-1</formula>
    </cfRule>
  </conditionalFormatting>
  <conditionalFormatting sqref="AR49">
    <cfRule type="cellIs" dxfId="9663" priority="134619" stopIfTrue="1" operator="lessThan">
      <formula>0.5</formula>
    </cfRule>
  </conditionalFormatting>
  <conditionalFormatting sqref="AR49">
    <cfRule type="cellIs" dxfId="9662" priority="134620" stopIfTrue="1" operator="greaterThanOrEqual">
      <formula>0.5</formula>
    </cfRule>
  </conditionalFormatting>
  <conditionalFormatting sqref="AR50">
    <cfRule type="cellIs" dxfId="9661" priority="134621" stopIfTrue="1" operator="equal">
      <formula>-1</formula>
    </cfRule>
  </conditionalFormatting>
  <conditionalFormatting sqref="AR50">
    <cfRule type="cellIs" dxfId="9660" priority="134622" stopIfTrue="1" operator="lessThan">
      <formula>0.5</formula>
    </cfRule>
  </conditionalFormatting>
  <conditionalFormatting sqref="AR50">
    <cfRule type="cellIs" dxfId="9659" priority="134623" stopIfTrue="1" operator="greaterThanOrEqual">
      <formula>0.5</formula>
    </cfRule>
  </conditionalFormatting>
  <conditionalFormatting sqref="AR51">
    <cfRule type="cellIs" dxfId="9658" priority="134624" stopIfTrue="1" operator="equal">
      <formula>-1</formula>
    </cfRule>
  </conditionalFormatting>
  <conditionalFormatting sqref="AR51">
    <cfRule type="cellIs" dxfId="9657" priority="134625" stopIfTrue="1" operator="lessThan">
      <formula>0.5</formula>
    </cfRule>
  </conditionalFormatting>
  <conditionalFormatting sqref="AR51">
    <cfRule type="cellIs" dxfId="9656" priority="134626" stopIfTrue="1" operator="greaterThanOrEqual">
      <formula>0.5</formula>
    </cfRule>
  </conditionalFormatting>
  <conditionalFormatting sqref="AR52">
    <cfRule type="cellIs" dxfId="9655" priority="134627" stopIfTrue="1" operator="equal">
      <formula>-1</formula>
    </cfRule>
  </conditionalFormatting>
  <conditionalFormatting sqref="AR52">
    <cfRule type="cellIs" dxfId="9654" priority="134628" stopIfTrue="1" operator="lessThan">
      <formula>0.5</formula>
    </cfRule>
  </conditionalFormatting>
  <conditionalFormatting sqref="AR52">
    <cfRule type="cellIs" dxfId="9653" priority="134629" stopIfTrue="1" operator="greaterThanOrEqual">
      <formula>0.5</formula>
    </cfRule>
  </conditionalFormatting>
  <conditionalFormatting sqref="AR53">
    <cfRule type="cellIs" dxfId="9652" priority="134630" stopIfTrue="1" operator="equal">
      <formula>-1</formula>
    </cfRule>
  </conditionalFormatting>
  <conditionalFormatting sqref="AR53">
    <cfRule type="cellIs" dxfId="9651" priority="134631" stopIfTrue="1" operator="lessThan">
      <formula>0.5</formula>
    </cfRule>
  </conditionalFormatting>
  <conditionalFormatting sqref="AR53">
    <cfRule type="cellIs" dxfId="9650" priority="134632" stopIfTrue="1" operator="greaterThanOrEqual">
      <formula>0.5</formula>
    </cfRule>
  </conditionalFormatting>
  <conditionalFormatting sqref="AR54">
    <cfRule type="cellIs" dxfId="9649" priority="134633" stopIfTrue="1" operator="equal">
      <formula>-1</formula>
    </cfRule>
  </conditionalFormatting>
  <conditionalFormatting sqref="AR54">
    <cfRule type="cellIs" dxfId="9648" priority="134634" stopIfTrue="1" operator="lessThan">
      <formula>0.5</formula>
    </cfRule>
  </conditionalFormatting>
  <conditionalFormatting sqref="AR54">
    <cfRule type="cellIs" dxfId="9647" priority="134635" stopIfTrue="1" operator="greaterThanOrEqual">
      <formula>0.5</formula>
    </cfRule>
  </conditionalFormatting>
  <conditionalFormatting sqref="AR55">
    <cfRule type="cellIs" dxfId="9646" priority="134636" stopIfTrue="1" operator="equal">
      <formula>-1</formula>
    </cfRule>
  </conditionalFormatting>
  <conditionalFormatting sqref="AR55">
    <cfRule type="cellIs" dxfId="9645" priority="134637" stopIfTrue="1" operator="lessThan">
      <formula>0.5</formula>
    </cfRule>
  </conditionalFormatting>
  <conditionalFormatting sqref="AR55">
    <cfRule type="cellIs" dxfId="9644" priority="134638" stopIfTrue="1" operator="greaterThanOrEqual">
      <formula>0.5</formula>
    </cfRule>
  </conditionalFormatting>
  <conditionalFormatting sqref="AR56">
    <cfRule type="cellIs" dxfId="9643" priority="134639" stopIfTrue="1" operator="equal">
      <formula>-1</formula>
    </cfRule>
  </conditionalFormatting>
  <conditionalFormatting sqref="AR56">
    <cfRule type="cellIs" dxfId="9642" priority="134640" stopIfTrue="1" operator="lessThan">
      <formula>0.5</formula>
    </cfRule>
  </conditionalFormatting>
  <conditionalFormatting sqref="AR56">
    <cfRule type="cellIs" dxfId="9641" priority="134641" stopIfTrue="1" operator="greaterThanOrEqual">
      <formula>0.5</formula>
    </cfRule>
  </conditionalFormatting>
  <conditionalFormatting sqref="AR57">
    <cfRule type="cellIs" dxfId="9640" priority="134642" stopIfTrue="1" operator="equal">
      <formula>-1</formula>
    </cfRule>
  </conditionalFormatting>
  <conditionalFormatting sqref="AR57">
    <cfRule type="cellIs" dxfId="9639" priority="134643" stopIfTrue="1" operator="lessThan">
      <formula>0.5</formula>
    </cfRule>
  </conditionalFormatting>
  <conditionalFormatting sqref="AR57">
    <cfRule type="cellIs" dxfId="9638" priority="134644" stopIfTrue="1" operator="greaterThanOrEqual">
      <formula>0.5</formula>
    </cfRule>
  </conditionalFormatting>
  <conditionalFormatting sqref="AR58">
    <cfRule type="cellIs" dxfId="9637" priority="134645" stopIfTrue="1" operator="equal">
      <formula>-1</formula>
    </cfRule>
  </conditionalFormatting>
  <conditionalFormatting sqref="AR58">
    <cfRule type="cellIs" dxfId="9636" priority="134646" stopIfTrue="1" operator="lessThan">
      <formula>0.5</formula>
    </cfRule>
  </conditionalFormatting>
  <conditionalFormatting sqref="AR58">
    <cfRule type="cellIs" dxfId="9635" priority="134647" stopIfTrue="1" operator="greaterThanOrEqual">
      <formula>0.5</formula>
    </cfRule>
  </conditionalFormatting>
  <conditionalFormatting sqref="AT39">
    <cfRule type="cellIs" dxfId="9634" priority="134648" stopIfTrue="1" operator="equal">
      <formula>-1</formula>
    </cfRule>
  </conditionalFormatting>
  <conditionalFormatting sqref="AT39">
    <cfRule type="cellIs" dxfId="9633" priority="134649" stopIfTrue="1" operator="lessThan">
      <formula>0.5</formula>
    </cfRule>
  </conditionalFormatting>
  <conditionalFormatting sqref="AT39">
    <cfRule type="cellIs" dxfId="9632" priority="134650" stopIfTrue="1" operator="greaterThanOrEqual">
      <formula>0.5</formula>
    </cfRule>
  </conditionalFormatting>
  <conditionalFormatting sqref="AT40">
    <cfRule type="cellIs" dxfId="9631" priority="134651" stopIfTrue="1" operator="equal">
      <formula>-1</formula>
    </cfRule>
  </conditionalFormatting>
  <conditionalFormatting sqref="AT40">
    <cfRule type="cellIs" dxfId="9630" priority="134652" stopIfTrue="1" operator="lessThan">
      <formula>0.5</formula>
    </cfRule>
  </conditionalFormatting>
  <conditionalFormatting sqref="AT40">
    <cfRule type="cellIs" dxfId="9629" priority="134653" stopIfTrue="1" operator="greaterThanOrEqual">
      <formula>0.5</formula>
    </cfRule>
  </conditionalFormatting>
  <conditionalFormatting sqref="AT41">
    <cfRule type="cellIs" dxfId="9628" priority="134654" stopIfTrue="1" operator="equal">
      <formula>-1</formula>
    </cfRule>
  </conditionalFormatting>
  <conditionalFormatting sqref="AT41">
    <cfRule type="cellIs" dxfId="9627" priority="134655" stopIfTrue="1" operator="lessThan">
      <formula>0.5</formula>
    </cfRule>
  </conditionalFormatting>
  <conditionalFormatting sqref="AT41">
    <cfRule type="cellIs" dxfId="9626" priority="134656" stopIfTrue="1" operator="greaterThanOrEqual">
      <formula>0.5</formula>
    </cfRule>
  </conditionalFormatting>
  <conditionalFormatting sqref="AT42">
    <cfRule type="cellIs" dxfId="9625" priority="134657" stopIfTrue="1" operator="equal">
      <formula>-1</formula>
    </cfRule>
  </conditionalFormatting>
  <conditionalFormatting sqref="AT42">
    <cfRule type="cellIs" dxfId="9624" priority="134658" stopIfTrue="1" operator="lessThan">
      <formula>0.5</formula>
    </cfRule>
  </conditionalFormatting>
  <conditionalFormatting sqref="AT42">
    <cfRule type="cellIs" dxfId="9623" priority="134659" stopIfTrue="1" operator="greaterThanOrEqual">
      <formula>0.5</formula>
    </cfRule>
  </conditionalFormatting>
  <conditionalFormatting sqref="AT43">
    <cfRule type="cellIs" dxfId="9622" priority="134660" stopIfTrue="1" operator="equal">
      <formula>-1</formula>
    </cfRule>
  </conditionalFormatting>
  <conditionalFormatting sqref="AT43">
    <cfRule type="cellIs" dxfId="9621" priority="134661" stopIfTrue="1" operator="lessThan">
      <formula>0.5</formula>
    </cfRule>
  </conditionalFormatting>
  <conditionalFormatting sqref="AT43">
    <cfRule type="cellIs" dxfId="9620" priority="134662" stopIfTrue="1" operator="greaterThanOrEqual">
      <formula>0.5</formula>
    </cfRule>
  </conditionalFormatting>
  <conditionalFormatting sqref="AT44">
    <cfRule type="cellIs" dxfId="9619" priority="134663" stopIfTrue="1" operator="equal">
      <formula>-1</formula>
    </cfRule>
  </conditionalFormatting>
  <conditionalFormatting sqref="AT44">
    <cfRule type="cellIs" dxfId="9618" priority="134664" stopIfTrue="1" operator="lessThan">
      <formula>0.5</formula>
    </cfRule>
  </conditionalFormatting>
  <conditionalFormatting sqref="AT44">
    <cfRule type="cellIs" dxfId="9617" priority="134665" stopIfTrue="1" operator="greaterThanOrEqual">
      <formula>0.5</formula>
    </cfRule>
  </conditionalFormatting>
  <conditionalFormatting sqref="AT45">
    <cfRule type="cellIs" dxfId="9616" priority="134666" stopIfTrue="1" operator="equal">
      <formula>-1</formula>
    </cfRule>
  </conditionalFormatting>
  <conditionalFormatting sqref="AT45">
    <cfRule type="cellIs" dxfId="9615" priority="134667" stopIfTrue="1" operator="lessThan">
      <formula>0.5</formula>
    </cfRule>
  </conditionalFormatting>
  <conditionalFormatting sqref="AT45">
    <cfRule type="cellIs" dxfId="9614" priority="134668" stopIfTrue="1" operator="greaterThanOrEqual">
      <formula>0.5</formula>
    </cfRule>
  </conditionalFormatting>
  <conditionalFormatting sqref="AT46">
    <cfRule type="cellIs" dxfId="9613" priority="134669" stopIfTrue="1" operator="equal">
      <formula>-1</formula>
    </cfRule>
  </conditionalFormatting>
  <conditionalFormatting sqref="AT46">
    <cfRule type="cellIs" dxfId="9612" priority="134670" stopIfTrue="1" operator="lessThan">
      <formula>0.5</formula>
    </cfRule>
  </conditionalFormatting>
  <conditionalFormatting sqref="AT46">
    <cfRule type="cellIs" dxfId="9611" priority="134671" stopIfTrue="1" operator="greaterThanOrEqual">
      <formula>0.5</formula>
    </cfRule>
  </conditionalFormatting>
  <conditionalFormatting sqref="AT47">
    <cfRule type="cellIs" dxfId="9610" priority="134672" stopIfTrue="1" operator="equal">
      <formula>-1</formula>
    </cfRule>
  </conditionalFormatting>
  <conditionalFormatting sqref="AT47">
    <cfRule type="cellIs" dxfId="9609" priority="134673" stopIfTrue="1" operator="lessThan">
      <formula>0.5</formula>
    </cfRule>
  </conditionalFormatting>
  <conditionalFormatting sqref="AT47">
    <cfRule type="cellIs" dxfId="9608" priority="134674" stopIfTrue="1" operator="greaterThanOrEqual">
      <formula>0.5</formula>
    </cfRule>
  </conditionalFormatting>
  <conditionalFormatting sqref="AT48">
    <cfRule type="cellIs" dxfId="9607" priority="134675" stopIfTrue="1" operator="equal">
      <formula>-1</formula>
    </cfRule>
  </conditionalFormatting>
  <conditionalFormatting sqref="AT48">
    <cfRule type="cellIs" dxfId="9606" priority="134676" stopIfTrue="1" operator="lessThan">
      <formula>0.5</formula>
    </cfRule>
  </conditionalFormatting>
  <conditionalFormatting sqref="AT48">
    <cfRule type="cellIs" dxfId="9605" priority="134677" stopIfTrue="1" operator="greaterThanOrEqual">
      <formula>0.5</formula>
    </cfRule>
  </conditionalFormatting>
  <conditionalFormatting sqref="AT49">
    <cfRule type="cellIs" dxfId="9604" priority="134678" stopIfTrue="1" operator="equal">
      <formula>-1</formula>
    </cfRule>
  </conditionalFormatting>
  <conditionalFormatting sqref="AT49">
    <cfRule type="cellIs" dxfId="9603" priority="134679" stopIfTrue="1" operator="lessThan">
      <formula>0.5</formula>
    </cfRule>
  </conditionalFormatting>
  <conditionalFormatting sqref="AT49">
    <cfRule type="cellIs" dxfId="9602" priority="134680" stopIfTrue="1" operator="greaterThanOrEqual">
      <formula>0.5</formula>
    </cfRule>
  </conditionalFormatting>
  <conditionalFormatting sqref="AT50">
    <cfRule type="cellIs" dxfId="9601" priority="134681" stopIfTrue="1" operator="equal">
      <formula>-1</formula>
    </cfRule>
  </conditionalFormatting>
  <conditionalFormatting sqref="AT50">
    <cfRule type="cellIs" dxfId="9600" priority="134682" stopIfTrue="1" operator="lessThan">
      <formula>0.5</formula>
    </cfRule>
  </conditionalFormatting>
  <conditionalFormatting sqref="AT50">
    <cfRule type="cellIs" dxfId="9599" priority="134683" stopIfTrue="1" operator="greaterThanOrEqual">
      <formula>0.5</formula>
    </cfRule>
  </conditionalFormatting>
  <conditionalFormatting sqref="AT51">
    <cfRule type="cellIs" dxfId="9598" priority="134684" stopIfTrue="1" operator="equal">
      <formula>-1</formula>
    </cfRule>
  </conditionalFormatting>
  <conditionalFormatting sqref="AT51">
    <cfRule type="cellIs" dxfId="9597" priority="134685" stopIfTrue="1" operator="lessThan">
      <formula>0.5</formula>
    </cfRule>
  </conditionalFormatting>
  <conditionalFormatting sqref="AT51">
    <cfRule type="cellIs" dxfId="9596" priority="134686" stopIfTrue="1" operator="greaterThanOrEqual">
      <formula>0.5</formula>
    </cfRule>
  </conditionalFormatting>
  <conditionalFormatting sqref="AT52">
    <cfRule type="cellIs" dxfId="9595" priority="134687" stopIfTrue="1" operator="equal">
      <formula>-1</formula>
    </cfRule>
  </conditionalFormatting>
  <conditionalFormatting sqref="AT52">
    <cfRule type="cellIs" dxfId="9594" priority="134688" stopIfTrue="1" operator="lessThan">
      <formula>0.5</formula>
    </cfRule>
  </conditionalFormatting>
  <conditionalFormatting sqref="AT52">
    <cfRule type="cellIs" dxfId="9593" priority="134689" stopIfTrue="1" operator="greaterThanOrEqual">
      <formula>0.5</formula>
    </cfRule>
  </conditionalFormatting>
  <conditionalFormatting sqref="AT53">
    <cfRule type="cellIs" dxfId="9592" priority="134690" stopIfTrue="1" operator="equal">
      <formula>-1</formula>
    </cfRule>
  </conditionalFormatting>
  <conditionalFormatting sqref="AT53">
    <cfRule type="cellIs" dxfId="9591" priority="134691" stopIfTrue="1" operator="lessThan">
      <formula>0.5</formula>
    </cfRule>
  </conditionalFormatting>
  <conditionalFormatting sqref="AT53">
    <cfRule type="cellIs" dxfId="9590" priority="134692" stopIfTrue="1" operator="greaterThanOrEqual">
      <formula>0.5</formula>
    </cfRule>
  </conditionalFormatting>
  <conditionalFormatting sqref="AT54">
    <cfRule type="cellIs" dxfId="9589" priority="134693" stopIfTrue="1" operator="equal">
      <formula>-1</formula>
    </cfRule>
  </conditionalFormatting>
  <conditionalFormatting sqref="AT54">
    <cfRule type="cellIs" dxfId="9588" priority="134694" stopIfTrue="1" operator="lessThan">
      <formula>0.5</formula>
    </cfRule>
  </conditionalFormatting>
  <conditionalFormatting sqref="AT54">
    <cfRule type="cellIs" dxfId="9587" priority="134695" stopIfTrue="1" operator="greaterThanOrEqual">
      <formula>0.5</formula>
    </cfRule>
  </conditionalFormatting>
  <conditionalFormatting sqref="AT55">
    <cfRule type="cellIs" dxfId="9586" priority="134696" stopIfTrue="1" operator="equal">
      <formula>-1</formula>
    </cfRule>
  </conditionalFormatting>
  <conditionalFormatting sqref="AT55">
    <cfRule type="cellIs" dxfId="9585" priority="134697" stopIfTrue="1" operator="lessThan">
      <formula>0.5</formula>
    </cfRule>
  </conditionalFormatting>
  <conditionalFormatting sqref="AT55">
    <cfRule type="cellIs" dxfId="9584" priority="134698" stopIfTrue="1" operator="greaterThanOrEqual">
      <formula>0.5</formula>
    </cfRule>
  </conditionalFormatting>
  <conditionalFormatting sqref="AT56">
    <cfRule type="cellIs" dxfId="9583" priority="134699" stopIfTrue="1" operator="equal">
      <formula>-1</formula>
    </cfRule>
  </conditionalFormatting>
  <conditionalFormatting sqref="AT56">
    <cfRule type="cellIs" dxfId="9582" priority="134700" stopIfTrue="1" operator="lessThan">
      <formula>0.5</formula>
    </cfRule>
  </conditionalFormatting>
  <conditionalFormatting sqref="AT56">
    <cfRule type="cellIs" dxfId="9581" priority="134701" stopIfTrue="1" operator="greaterThanOrEqual">
      <formula>0.5</formula>
    </cfRule>
  </conditionalFormatting>
  <conditionalFormatting sqref="AT57">
    <cfRule type="cellIs" dxfId="9580" priority="134702" stopIfTrue="1" operator="equal">
      <formula>-1</formula>
    </cfRule>
  </conditionalFormatting>
  <conditionalFormatting sqref="AT57">
    <cfRule type="cellIs" dxfId="9579" priority="134703" stopIfTrue="1" operator="lessThan">
      <formula>0.5</formula>
    </cfRule>
  </conditionalFormatting>
  <conditionalFormatting sqref="AT57">
    <cfRule type="cellIs" dxfId="9578" priority="134704" stopIfTrue="1" operator="greaterThanOrEqual">
      <formula>0.5</formula>
    </cfRule>
  </conditionalFormatting>
  <conditionalFormatting sqref="AT58">
    <cfRule type="cellIs" dxfId="9577" priority="134705" stopIfTrue="1" operator="equal">
      <formula>-1</formula>
    </cfRule>
  </conditionalFormatting>
  <conditionalFormatting sqref="AT58">
    <cfRule type="cellIs" dxfId="9576" priority="134706" stopIfTrue="1" operator="lessThan">
      <formula>0.5</formula>
    </cfRule>
  </conditionalFormatting>
  <conditionalFormatting sqref="AT58">
    <cfRule type="cellIs" dxfId="9575" priority="134707" stopIfTrue="1" operator="greaterThanOrEqual">
      <formula>0.5</formula>
    </cfRule>
  </conditionalFormatting>
  <conditionalFormatting sqref="AV39">
    <cfRule type="cellIs" dxfId="9574" priority="134708" stopIfTrue="1" operator="equal">
      <formula>-1</formula>
    </cfRule>
  </conditionalFormatting>
  <conditionalFormatting sqref="AV39">
    <cfRule type="cellIs" dxfId="9573" priority="134709" stopIfTrue="1" operator="lessThan">
      <formula>0.5</formula>
    </cfRule>
  </conditionalFormatting>
  <conditionalFormatting sqref="AV39">
    <cfRule type="cellIs" dxfId="9572" priority="134710" stopIfTrue="1" operator="greaterThanOrEqual">
      <formula>0.5</formula>
    </cfRule>
  </conditionalFormatting>
  <conditionalFormatting sqref="AV40">
    <cfRule type="cellIs" dxfId="9571" priority="134711" stopIfTrue="1" operator="equal">
      <formula>-1</formula>
    </cfRule>
  </conditionalFormatting>
  <conditionalFormatting sqref="AV40">
    <cfRule type="cellIs" dxfId="9570" priority="134712" stopIfTrue="1" operator="lessThan">
      <formula>0.5</formula>
    </cfRule>
  </conditionalFormatting>
  <conditionalFormatting sqref="AV40">
    <cfRule type="cellIs" dxfId="9569" priority="134713" stopIfTrue="1" operator="greaterThanOrEqual">
      <formula>0.5</formula>
    </cfRule>
  </conditionalFormatting>
  <conditionalFormatting sqref="AV41">
    <cfRule type="cellIs" dxfId="9568" priority="134714" stopIfTrue="1" operator="equal">
      <formula>-1</formula>
    </cfRule>
  </conditionalFormatting>
  <conditionalFormatting sqref="AV41">
    <cfRule type="cellIs" dxfId="9567" priority="134715" stopIfTrue="1" operator="lessThan">
      <formula>0.5</formula>
    </cfRule>
  </conditionalFormatting>
  <conditionalFormatting sqref="AV41">
    <cfRule type="cellIs" dxfId="9566" priority="134716" stopIfTrue="1" operator="greaterThanOrEqual">
      <formula>0.5</formula>
    </cfRule>
  </conditionalFormatting>
  <conditionalFormatting sqref="AV42">
    <cfRule type="cellIs" dxfId="9565" priority="134717" stopIfTrue="1" operator="equal">
      <formula>-1</formula>
    </cfRule>
  </conditionalFormatting>
  <conditionalFormatting sqref="AV42">
    <cfRule type="cellIs" dxfId="9564" priority="134718" stopIfTrue="1" operator="lessThan">
      <formula>0.5</formula>
    </cfRule>
  </conditionalFormatting>
  <conditionalFormatting sqref="AV42">
    <cfRule type="cellIs" dxfId="9563" priority="134719" stopIfTrue="1" operator="greaterThanOrEqual">
      <formula>0.5</formula>
    </cfRule>
  </conditionalFormatting>
  <conditionalFormatting sqref="AV43">
    <cfRule type="cellIs" dxfId="9562" priority="134720" stopIfTrue="1" operator="equal">
      <formula>-1</formula>
    </cfRule>
  </conditionalFormatting>
  <conditionalFormatting sqref="AV43">
    <cfRule type="cellIs" dxfId="9561" priority="134721" stopIfTrue="1" operator="lessThan">
      <formula>0.5</formula>
    </cfRule>
  </conditionalFormatting>
  <conditionalFormatting sqref="AV43">
    <cfRule type="cellIs" dxfId="9560" priority="134722" stopIfTrue="1" operator="greaterThanOrEqual">
      <formula>0.5</formula>
    </cfRule>
  </conditionalFormatting>
  <conditionalFormatting sqref="AV44">
    <cfRule type="cellIs" dxfId="9559" priority="134723" stopIfTrue="1" operator="equal">
      <formula>-1</formula>
    </cfRule>
  </conditionalFormatting>
  <conditionalFormatting sqref="AV44">
    <cfRule type="cellIs" dxfId="9558" priority="134724" stopIfTrue="1" operator="lessThan">
      <formula>0.5</formula>
    </cfRule>
  </conditionalFormatting>
  <conditionalFormatting sqref="AV44">
    <cfRule type="cellIs" dxfId="9557" priority="134725" stopIfTrue="1" operator="greaterThanOrEqual">
      <formula>0.5</formula>
    </cfRule>
  </conditionalFormatting>
  <conditionalFormatting sqref="AV45">
    <cfRule type="cellIs" dxfId="9556" priority="134726" stopIfTrue="1" operator="equal">
      <formula>-1</formula>
    </cfRule>
  </conditionalFormatting>
  <conditionalFormatting sqref="AV45">
    <cfRule type="cellIs" dxfId="9555" priority="134727" stopIfTrue="1" operator="lessThan">
      <formula>0.5</formula>
    </cfRule>
  </conditionalFormatting>
  <conditionalFormatting sqref="AV45">
    <cfRule type="cellIs" dxfId="9554" priority="134728" stopIfTrue="1" operator="greaterThanOrEqual">
      <formula>0.5</formula>
    </cfRule>
  </conditionalFormatting>
  <conditionalFormatting sqref="AV46">
    <cfRule type="cellIs" dxfId="9553" priority="134729" stopIfTrue="1" operator="equal">
      <formula>-1</formula>
    </cfRule>
  </conditionalFormatting>
  <conditionalFormatting sqref="AV46">
    <cfRule type="cellIs" dxfId="9552" priority="134730" stopIfTrue="1" operator="lessThan">
      <formula>0.5</formula>
    </cfRule>
  </conditionalFormatting>
  <conditionalFormatting sqref="AV46">
    <cfRule type="cellIs" dxfId="9551" priority="134731" stopIfTrue="1" operator="greaterThanOrEqual">
      <formula>0.5</formula>
    </cfRule>
  </conditionalFormatting>
  <conditionalFormatting sqref="AV47">
    <cfRule type="cellIs" dxfId="9550" priority="134732" stopIfTrue="1" operator="equal">
      <formula>-1</formula>
    </cfRule>
  </conditionalFormatting>
  <conditionalFormatting sqref="AV47">
    <cfRule type="cellIs" dxfId="9549" priority="134733" stopIfTrue="1" operator="lessThan">
      <formula>0.5</formula>
    </cfRule>
  </conditionalFormatting>
  <conditionalFormatting sqref="AV47">
    <cfRule type="cellIs" dxfId="9548" priority="134734" stopIfTrue="1" operator="greaterThanOrEqual">
      <formula>0.5</formula>
    </cfRule>
  </conditionalFormatting>
  <conditionalFormatting sqref="AV48">
    <cfRule type="cellIs" dxfId="9547" priority="134735" stopIfTrue="1" operator="equal">
      <formula>-1</formula>
    </cfRule>
  </conditionalFormatting>
  <conditionalFormatting sqref="AV48">
    <cfRule type="cellIs" dxfId="9546" priority="134736" stopIfTrue="1" operator="lessThan">
      <formula>0.5</formula>
    </cfRule>
  </conditionalFormatting>
  <conditionalFormatting sqref="AV48">
    <cfRule type="cellIs" dxfId="9545" priority="134737" stopIfTrue="1" operator="greaterThanOrEqual">
      <formula>0.5</formula>
    </cfRule>
  </conditionalFormatting>
  <conditionalFormatting sqref="AV49">
    <cfRule type="cellIs" dxfId="9544" priority="134738" stopIfTrue="1" operator="equal">
      <formula>-1</formula>
    </cfRule>
  </conditionalFormatting>
  <conditionalFormatting sqref="AV49">
    <cfRule type="cellIs" dxfId="9543" priority="134739" stopIfTrue="1" operator="lessThan">
      <formula>0.5</formula>
    </cfRule>
  </conditionalFormatting>
  <conditionalFormatting sqref="AV49">
    <cfRule type="cellIs" dxfId="9542" priority="134740" stopIfTrue="1" operator="greaterThanOrEqual">
      <formula>0.5</formula>
    </cfRule>
  </conditionalFormatting>
  <conditionalFormatting sqref="AV50">
    <cfRule type="cellIs" dxfId="9541" priority="134741" stopIfTrue="1" operator="equal">
      <formula>-1</formula>
    </cfRule>
  </conditionalFormatting>
  <conditionalFormatting sqref="AV50">
    <cfRule type="cellIs" dxfId="9540" priority="134742" stopIfTrue="1" operator="lessThan">
      <formula>0.5</formula>
    </cfRule>
  </conditionalFormatting>
  <conditionalFormatting sqref="AV50">
    <cfRule type="cellIs" dxfId="9539" priority="134743" stopIfTrue="1" operator="greaterThanOrEqual">
      <formula>0.5</formula>
    </cfRule>
  </conditionalFormatting>
  <conditionalFormatting sqref="AV51">
    <cfRule type="cellIs" dxfId="9538" priority="134744" stopIfTrue="1" operator="equal">
      <formula>-1</formula>
    </cfRule>
  </conditionalFormatting>
  <conditionalFormatting sqref="AV51">
    <cfRule type="cellIs" dxfId="9537" priority="134745" stopIfTrue="1" operator="lessThan">
      <formula>0.5</formula>
    </cfRule>
  </conditionalFormatting>
  <conditionalFormatting sqref="AV51">
    <cfRule type="cellIs" dxfId="9536" priority="134746" stopIfTrue="1" operator="greaterThanOrEqual">
      <formula>0.5</formula>
    </cfRule>
  </conditionalFormatting>
  <conditionalFormatting sqref="AV52">
    <cfRule type="cellIs" dxfId="9535" priority="134747" stopIfTrue="1" operator="equal">
      <formula>-1</formula>
    </cfRule>
  </conditionalFormatting>
  <conditionalFormatting sqref="AV52">
    <cfRule type="cellIs" dxfId="9534" priority="134748" stopIfTrue="1" operator="lessThan">
      <formula>0.5</formula>
    </cfRule>
  </conditionalFormatting>
  <conditionalFormatting sqref="AV52">
    <cfRule type="cellIs" dxfId="9533" priority="134749" stopIfTrue="1" operator="greaterThanOrEqual">
      <formula>0.5</formula>
    </cfRule>
  </conditionalFormatting>
  <conditionalFormatting sqref="AV53">
    <cfRule type="cellIs" dxfId="9532" priority="134750" stopIfTrue="1" operator="equal">
      <formula>-1</formula>
    </cfRule>
  </conditionalFormatting>
  <conditionalFormatting sqref="AV53">
    <cfRule type="cellIs" dxfId="9531" priority="134751" stopIfTrue="1" operator="lessThan">
      <formula>0.5</formula>
    </cfRule>
  </conditionalFormatting>
  <conditionalFormatting sqref="AV53">
    <cfRule type="cellIs" dxfId="9530" priority="134752" stopIfTrue="1" operator="greaterThanOrEqual">
      <formula>0.5</formula>
    </cfRule>
  </conditionalFormatting>
  <conditionalFormatting sqref="AV54">
    <cfRule type="cellIs" dxfId="9529" priority="134753" stopIfTrue="1" operator="equal">
      <formula>-1</formula>
    </cfRule>
  </conditionalFormatting>
  <conditionalFormatting sqref="AV54">
    <cfRule type="cellIs" dxfId="9528" priority="134754" stopIfTrue="1" operator="lessThan">
      <formula>0.5</formula>
    </cfRule>
  </conditionalFormatting>
  <conditionalFormatting sqref="AV54">
    <cfRule type="cellIs" dxfId="9527" priority="134755" stopIfTrue="1" operator="greaterThanOrEqual">
      <formula>0.5</formula>
    </cfRule>
  </conditionalFormatting>
  <conditionalFormatting sqref="AV55">
    <cfRule type="cellIs" dxfId="9526" priority="134756" stopIfTrue="1" operator="equal">
      <formula>-1</formula>
    </cfRule>
  </conditionalFormatting>
  <conditionalFormatting sqref="AV55">
    <cfRule type="cellIs" dxfId="9525" priority="134757" stopIfTrue="1" operator="lessThan">
      <formula>0.5</formula>
    </cfRule>
  </conditionalFormatting>
  <conditionalFormatting sqref="AV55">
    <cfRule type="cellIs" dxfId="9524" priority="134758" stopIfTrue="1" operator="greaterThanOrEqual">
      <formula>0.5</formula>
    </cfRule>
  </conditionalFormatting>
  <conditionalFormatting sqref="AV56">
    <cfRule type="cellIs" dxfId="9523" priority="134759" stopIfTrue="1" operator="equal">
      <formula>-1</formula>
    </cfRule>
  </conditionalFormatting>
  <conditionalFormatting sqref="AV56">
    <cfRule type="cellIs" dxfId="9522" priority="134760" stopIfTrue="1" operator="lessThan">
      <formula>0.5</formula>
    </cfRule>
  </conditionalFormatting>
  <conditionalFormatting sqref="AV56">
    <cfRule type="cellIs" dxfId="9521" priority="134761" stopIfTrue="1" operator="greaterThanOrEqual">
      <formula>0.5</formula>
    </cfRule>
  </conditionalFormatting>
  <conditionalFormatting sqref="AV57">
    <cfRule type="cellIs" dxfId="9520" priority="134762" stopIfTrue="1" operator="equal">
      <formula>-1</formula>
    </cfRule>
  </conditionalFormatting>
  <conditionalFormatting sqref="AV57">
    <cfRule type="cellIs" dxfId="9519" priority="134763" stopIfTrue="1" operator="lessThan">
      <formula>0.5</formula>
    </cfRule>
  </conditionalFormatting>
  <conditionalFormatting sqref="AV57">
    <cfRule type="cellIs" dxfId="9518" priority="134764" stopIfTrue="1" operator="greaterThanOrEqual">
      <formula>0.5</formula>
    </cfRule>
  </conditionalFormatting>
  <conditionalFormatting sqref="AV58">
    <cfRule type="cellIs" dxfId="9517" priority="134765" stopIfTrue="1" operator="equal">
      <formula>-1</formula>
    </cfRule>
  </conditionalFormatting>
  <conditionalFormatting sqref="AV58">
    <cfRule type="cellIs" dxfId="9516" priority="134766" stopIfTrue="1" operator="lessThan">
      <formula>0.5</formula>
    </cfRule>
  </conditionalFormatting>
  <conditionalFormatting sqref="AV58">
    <cfRule type="cellIs" dxfId="9515" priority="134767" stopIfTrue="1" operator="greaterThanOrEqual">
      <formula>0.5</formula>
    </cfRule>
  </conditionalFormatting>
  <conditionalFormatting sqref="AX39">
    <cfRule type="cellIs" dxfId="9514" priority="134768" stopIfTrue="1" operator="equal">
      <formula>-1</formula>
    </cfRule>
  </conditionalFormatting>
  <conditionalFormatting sqref="AX39">
    <cfRule type="cellIs" dxfId="9513" priority="134769" stopIfTrue="1" operator="lessThan">
      <formula>0.5</formula>
    </cfRule>
  </conditionalFormatting>
  <conditionalFormatting sqref="AX39">
    <cfRule type="cellIs" dxfId="9512" priority="134770" stopIfTrue="1" operator="greaterThanOrEqual">
      <formula>0.5</formula>
    </cfRule>
  </conditionalFormatting>
  <conditionalFormatting sqref="AX40">
    <cfRule type="cellIs" dxfId="9511" priority="134771" stopIfTrue="1" operator="equal">
      <formula>-1</formula>
    </cfRule>
  </conditionalFormatting>
  <conditionalFormatting sqref="AX40">
    <cfRule type="cellIs" dxfId="9510" priority="134772" stopIfTrue="1" operator="lessThan">
      <formula>0.5</formula>
    </cfRule>
  </conditionalFormatting>
  <conditionalFormatting sqref="AX40">
    <cfRule type="cellIs" dxfId="9509" priority="134773" stopIfTrue="1" operator="greaterThanOrEqual">
      <formula>0.5</formula>
    </cfRule>
  </conditionalFormatting>
  <conditionalFormatting sqref="AX41">
    <cfRule type="cellIs" dxfId="9508" priority="134774" stopIfTrue="1" operator="equal">
      <formula>-1</formula>
    </cfRule>
  </conditionalFormatting>
  <conditionalFormatting sqref="AX41">
    <cfRule type="cellIs" dxfId="9507" priority="134775" stopIfTrue="1" operator="lessThan">
      <formula>0.5</formula>
    </cfRule>
  </conditionalFormatting>
  <conditionalFormatting sqref="AX41">
    <cfRule type="cellIs" dxfId="9506" priority="134776" stopIfTrue="1" operator="greaterThanOrEqual">
      <formula>0.5</formula>
    </cfRule>
  </conditionalFormatting>
  <conditionalFormatting sqref="AX42">
    <cfRule type="cellIs" dxfId="9505" priority="134777" stopIfTrue="1" operator="equal">
      <formula>-1</formula>
    </cfRule>
  </conditionalFormatting>
  <conditionalFormatting sqref="AX42">
    <cfRule type="cellIs" dxfId="9504" priority="134778" stopIfTrue="1" operator="lessThan">
      <formula>0.5</formula>
    </cfRule>
  </conditionalFormatting>
  <conditionalFormatting sqref="AX42">
    <cfRule type="cellIs" dxfId="9503" priority="134779" stopIfTrue="1" operator="greaterThanOrEqual">
      <formula>0.5</formula>
    </cfRule>
  </conditionalFormatting>
  <conditionalFormatting sqref="AX43">
    <cfRule type="cellIs" dxfId="9502" priority="134780" stopIfTrue="1" operator="equal">
      <formula>-1</formula>
    </cfRule>
  </conditionalFormatting>
  <conditionalFormatting sqref="AX43">
    <cfRule type="cellIs" dxfId="9501" priority="134781" stopIfTrue="1" operator="lessThan">
      <formula>0.5</formula>
    </cfRule>
  </conditionalFormatting>
  <conditionalFormatting sqref="AX43">
    <cfRule type="cellIs" dxfId="9500" priority="134782" stopIfTrue="1" operator="greaterThanOrEqual">
      <formula>0.5</formula>
    </cfRule>
  </conditionalFormatting>
  <conditionalFormatting sqref="AX44">
    <cfRule type="cellIs" dxfId="9499" priority="134783" stopIfTrue="1" operator="equal">
      <formula>-1</formula>
    </cfRule>
  </conditionalFormatting>
  <conditionalFormatting sqref="AX44">
    <cfRule type="cellIs" dxfId="9498" priority="134784" stopIfTrue="1" operator="lessThan">
      <formula>0.5</formula>
    </cfRule>
  </conditionalFormatting>
  <conditionalFormatting sqref="AX44">
    <cfRule type="cellIs" dxfId="9497" priority="134785" stopIfTrue="1" operator="greaterThanOrEqual">
      <formula>0.5</formula>
    </cfRule>
  </conditionalFormatting>
  <conditionalFormatting sqref="AX45">
    <cfRule type="cellIs" dxfId="9496" priority="134786" stopIfTrue="1" operator="equal">
      <formula>-1</formula>
    </cfRule>
  </conditionalFormatting>
  <conditionalFormatting sqref="AX45">
    <cfRule type="cellIs" dxfId="9495" priority="134787" stopIfTrue="1" operator="lessThan">
      <formula>0.5</formula>
    </cfRule>
  </conditionalFormatting>
  <conditionalFormatting sqref="AX45">
    <cfRule type="cellIs" dxfId="9494" priority="134788" stopIfTrue="1" operator="greaterThanOrEqual">
      <formula>0.5</formula>
    </cfRule>
  </conditionalFormatting>
  <conditionalFormatting sqref="AX46">
    <cfRule type="cellIs" dxfId="9493" priority="134789" stopIfTrue="1" operator="equal">
      <formula>-1</formula>
    </cfRule>
  </conditionalFormatting>
  <conditionalFormatting sqref="AX46">
    <cfRule type="cellIs" dxfId="9492" priority="134790" stopIfTrue="1" operator="lessThan">
      <formula>0.5</formula>
    </cfRule>
  </conditionalFormatting>
  <conditionalFormatting sqref="AX46">
    <cfRule type="cellIs" dxfId="9491" priority="134791" stopIfTrue="1" operator="greaterThanOrEqual">
      <formula>0.5</formula>
    </cfRule>
  </conditionalFormatting>
  <conditionalFormatting sqref="AX47">
    <cfRule type="cellIs" dxfId="9490" priority="134792" stopIfTrue="1" operator="equal">
      <formula>-1</formula>
    </cfRule>
  </conditionalFormatting>
  <conditionalFormatting sqref="AX47">
    <cfRule type="cellIs" dxfId="9489" priority="134793" stopIfTrue="1" operator="lessThan">
      <formula>0.5</formula>
    </cfRule>
  </conditionalFormatting>
  <conditionalFormatting sqref="AX47">
    <cfRule type="cellIs" dxfId="9488" priority="134794" stopIfTrue="1" operator="greaterThanOrEqual">
      <formula>0.5</formula>
    </cfRule>
  </conditionalFormatting>
  <conditionalFormatting sqref="AX48">
    <cfRule type="cellIs" dxfId="9487" priority="134795" stopIfTrue="1" operator="equal">
      <formula>-1</formula>
    </cfRule>
  </conditionalFormatting>
  <conditionalFormatting sqref="AX48">
    <cfRule type="cellIs" dxfId="9486" priority="134796" stopIfTrue="1" operator="lessThan">
      <formula>0.5</formula>
    </cfRule>
  </conditionalFormatting>
  <conditionalFormatting sqref="AX48">
    <cfRule type="cellIs" dxfId="9485" priority="134797" stopIfTrue="1" operator="greaterThanOrEqual">
      <formula>0.5</formula>
    </cfRule>
  </conditionalFormatting>
  <conditionalFormatting sqref="AX49">
    <cfRule type="cellIs" dxfId="9484" priority="134798" stopIfTrue="1" operator="equal">
      <formula>-1</formula>
    </cfRule>
  </conditionalFormatting>
  <conditionalFormatting sqref="AX49">
    <cfRule type="cellIs" dxfId="9483" priority="134799" stopIfTrue="1" operator="lessThan">
      <formula>0.5</formula>
    </cfRule>
  </conditionalFormatting>
  <conditionalFormatting sqref="AX49">
    <cfRule type="cellIs" dxfId="9482" priority="134800" stopIfTrue="1" operator="greaterThanOrEqual">
      <formula>0.5</formula>
    </cfRule>
  </conditionalFormatting>
  <conditionalFormatting sqref="AX50">
    <cfRule type="cellIs" dxfId="9481" priority="134801" stopIfTrue="1" operator="equal">
      <formula>-1</formula>
    </cfRule>
  </conditionalFormatting>
  <conditionalFormatting sqref="AX50">
    <cfRule type="cellIs" dxfId="9480" priority="134802" stopIfTrue="1" operator="lessThan">
      <formula>0.5</formula>
    </cfRule>
  </conditionalFormatting>
  <conditionalFormatting sqref="AX50">
    <cfRule type="cellIs" dxfId="9479" priority="134803" stopIfTrue="1" operator="greaterThanOrEqual">
      <formula>0.5</formula>
    </cfRule>
  </conditionalFormatting>
  <conditionalFormatting sqref="AX51">
    <cfRule type="cellIs" dxfId="9478" priority="134804" stopIfTrue="1" operator="equal">
      <formula>-1</formula>
    </cfRule>
  </conditionalFormatting>
  <conditionalFormatting sqref="AX51">
    <cfRule type="cellIs" dxfId="9477" priority="134805" stopIfTrue="1" operator="lessThan">
      <formula>0.5</formula>
    </cfRule>
  </conditionalFormatting>
  <conditionalFormatting sqref="AX51">
    <cfRule type="cellIs" dxfId="9476" priority="134806" stopIfTrue="1" operator="greaterThanOrEqual">
      <formula>0.5</formula>
    </cfRule>
  </conditionalFormatting>
  <conditionalFormatting sqref="AX52">
    <cfRule type="cellIs" dxfId="9475" priority="134807" stopIfTrue="1" operator="equal">
      <formula>-1</formula>
    </cfRule>
  </conditionalFormatting>
  <conditionalFormatting sqref="AX52">
    <cfRule type="cellIs" dxfId="9474" priority="134808" stopIfTrue="1" operator="lessThan">
      <formula>0.5</formula>
    </cfRule>
  </conditionalFormatting>
  <conditionalFormatting sqref="AX52">
    <cfRule type="cellIs" dxfId="9473" priority="134809" stopIfTrue="1" operator="greaterThanOrEqual">
      <formula>0.5</formula>
    </cfRule>
  </conditionalFormatting>
  <conditionalFormatting sqref="AX53">
    <cfRule type="cellIs" dxfId="9472" priority="134810" stopIfTrue="1" operator="equal">
      <formula>-1</formula>
    </cfRule>
  </conditionalFormatting>
  <conditionalFormatting sqref="AX53">
    <cfRule type="cellIs" dxfId="9471" priority="134811" stopIfTrue="1" operator="lessThan">
      <formula>0.5</formula>
    </cfRule>
  </conditionalFormatting>
  <conditionalFormatting sqref="AX53">
    <cfRule type="cellIs" dxfId="9470" priority="134812" stopIfTrue="1" operator="greaterThanOrEqual">
      <formula>0.5</formula>
    </cfRule>
  </conditionalFormatting>
  <conditionalFormatting sqref="AX54">
    <cfRule type="cellIs" dxfId="9469" priority="134813" stopIfTrue="1" operator="equal">
      <formula>-1</formula>
    </cfRule>
  </conditionalFormatting>
  <conditionalFormatting sqref="AX54">
    <cfRule type="cellIs" dxfId="9468" priority="134814" stopIfTrue="1" operator="lessThan">
      <formula>0.5</formula>
    </cfRule>
  </conditionalFormatting>
  <conditionalFormatting sqref="AX54">
    <cfRule type="cellIs" dxfId="9467" priority="134815" stopIfTrue="1" operator="greaterThanOrEqual">
      <formula>0.5</formula>
    </cfRule>
  </conditionalFormatting>
  <conditionalFormatting sqref="AX55">
    <cfRule type="cellIs" dxfId="9466" priority="134816" stopIfTrue="1" operator="equal">
      <formula>-1</formula>
    </cfRule>
  </conditionalFormatting>
  <conditionalFormatting sqref="AX55">
    <cfRule type="cellIs" dxfId="9465" priority="134817" stopIfTrue="1" operator="lessThan">
      <formula>0.5</formula>
    </cfRule>
  </conditionalFormatting>
  <conditionalFormatting sqref="AX55">
    <cfRule type="cellIs" dxfId="9464" priority="134818" stopIfTrue="1" operator="greaterThanOrEqual">
      <formula>0.5</formula>
    </cfRule>
  </conditionalFormatting>
  <conditionalFormatting sqref="AX56">
    <cfRule type="cellIs" dxfId="9463" priority="134819" stopIfTrue="1" operator="equal">
      <formula>-1</formula>
    </cfRule>
  </conditionalFormatting>
  <conditionalFormatting sqref="AX56">
    <cfRule type="cellIs" dxfId="9462" priority="134820" stopIfTrue="1" operator="lessThan">
      <formula>0.5</formula>
    </cfRule>
  </conditionalFormatting>
  <conditionalFormatting sqref="AX56">
    <cfRule type="cellIs" dxfId="9461" priority="134821" stopIfTrue="1" operator="greaterThanOrEqual">
      <formula>0.5</formula>
    </cfRule>
  </conditionalFormatting>
  <conditionalFormatting sqref="AX57">
    <cfRule type="cellIs" dxfId="9460" priority="134822" stopIfTrue="1" operator="equal">
      <formula>-1</formula>
    </cfRule>
  </conditionalFormatting>
  <conditionalFormatting sqref="AX57">
    <cfRule type="cellIs" dxfId="9459" priority="134823" stopIfTrue="1" operator="lessThan">
      <formula>0.5</formula>
    </cfRule>
  </conditionalFormatting>
  <conditionalFormatting sqref="AX57">
    <cfRule type="cellIs" dxfId="9458" priority="134824" stopIfTrue="1" operator="greaterThanOrEqual">
      <formula>0.5</formula>
    </cfRule>
  </conditionalFormatting>
  <conditionalFormatting sqref="AX58">
    <cfRule type="cellIs" dxfId="9457" priority="134825" stopIfTrue="1" operator="equal">
      <formula>-1</formula>
    </cfRule>
  </conditionalFormatting>
  <conditionalFormatting sqref="AX58">
    <cfRule type="cellIs" dxfId="9456" priority="134826" stopIfTrue="1" operator="lessThan">
      <formula>0.5</formula>
    </cfRule>
  </conditionalFormatting>
  <conditionalFormatting sqref="AX58">
    <cfRule type="cellIs" dxfId="9455" priority="134827" stopIfTrue="1" operator="greaterThanOrEqual">
      <formula>0.5</formula>
    </cfRule>
  </conditionalFormatting>
  <conditionalFormatting sqref="AZ39">
    <cfRule type="cellIs" dxfId="9454" priority="134828" stopIfTrue="1" operator="equal">
      <formula>-1</formula>
    </cfRule>
  </conditionalFormatting>
  <conditionalFormatting sqref="AZ39">
    <cfRule type="cellIs" dxfId="9453" priority="134829" stopIfTrue="1" operator="lessThan">
      <formula>0.5</formula>
    </cfRule>
  </conditionalFormatting>
  <conditionalFormatting sqref="AZ39">
    <cfRule type="cellIs" dxfId="9452" priority="134830" stopIfTrue="1" operator="greaterThanOrEqual">
      <formula>0.5</formula>
    </cfRule>
  </conditionalFormatting>
  <conditionalFormatting sqref="AZ40">
    <cfRule type="cellIs" dxfId="9451" priority="134831" stopIfTrue="1" operator="equal">
      <formula>-1</formula>
    </cfRule>
  </conditionalFormatting>
  <conditionalFormatting sqref="AZ40">
    <cfRule type="cellIs" dxfId="9450" priority="134832" stopIfTrue="1" operator="lessThan">
      <formula>0.5</formula>
    </cfRule>
  </conditionalFormatting>
  <conditionalFormatting sqref="AZ40">
    <cfRule type="cellIs" dxfId="9449" priority="134833" stopIfTrue="1" operator="greaterThanOrEqual">
      <formula>0.5</formula>
    </cfRule>
  </conditionalFormatting>
  <conditionalFormatting sqref="AZ41">
    <cfRule type="cellIs" dxfId="9448" priority="134834" stopIfTrue="1" operator="equal">
      <formula>-1</formula>
    </cfRule>
  </conditionalFormatting>
  <conditionalFormatting sqref="AZ41">
    <cfRule type="cellIs" dxfId="9447" priority="134835" stopIfTrue="1" operator="lessThan">
      <formula>0.5</formula>
    </cfRule>
  </conditionalFormatting>
  <conditionalFormatting sqref="AZ41">
    <cfRule type="cellIs" dxfId="9446" priority="134836" stopIfTrue="1" operator="greaterThanOrEqual">
      <formula>0.5</formula>
    </cfRule>
  </conditionalFormatting>
  <conditionalFormatting sqref="AZ42">
    <cfRule type="cellIs" dxfId="9445" priority="134837" stopIfTrue="1" operator="equal">
      <formula>-1</formula>
    </cfRule>
  </conditionalFormatting>
  <conditionalFormatting sqref="AZ42">
    <cfRule type="cellIs" dxfId="9444" priority="134838" stopIfTrue="1" operator="lessThan">
      <formula>0.5</formula>
    </cfRule>
  </conditionalFormatting>
  <conditionalFormatting sqref="AZ42">
    <cfRule type="cellIs" dxfId="9443" priority="134839" stopIfTrue="1" operator="greaterThanOrEqual">
      <formula>0.5</formula>
    </cfRule>
  </conditionalFormatting>
  <conditionalFormatting sqref="AZ43">
    <cfRule type="cellIs" dxfId="9442" priority="134840" stopIfTrue="1" operator="equal">
      <formula>-1</formula>
    </cfRule>
  </conditionalFormatting>
  <conditionalFormatting sqref="AZ43">
    <cfRule type="cellIs" dxfId="9441" priority="134841" stopIfTrue="1" operator="lessThan">
      <formula>0.5</formula>
    </cfRule>
  </conditionalFormatting>
  <conditionalFormatting sqref="AZ43">
    <cfRule type="cellIs" dxfId="9440" priority="134842" stopIfTrue="1" operator="greaterThanOrEqual">
      <formula>0.5</formula>
    </cfRule>
  </conditionalFormatting>
  <conditionalFormatting sqref="AZ44">
    <cfRule type="cellIs" dxfId="9439" priority="134843" stopIfTrue="1" operator="equal">
      <formula>-1</formula>
    </cfRule>
  </conditionalFormatting>
  <conditionalFormatting sqref="AZ44">
    <cfRule type="cellIs" dxfId="9438" priority="134844" stopIfTrue="1" operator="lessThan">
      <formula>0.5</formula>
    </cfRule>
  </conditionalFormatting>
  <conditionalFormatting sqref="AZ44">
    <cfRule type="cellIs" dxfId="9437" priority="134845" stopIfTrue="1" operator="greaterThanOrEqual">
      <formula>0.5</formula>
    </cfRule>
  </conditionalFormatting>
  <conditionalFormatting sqref="AZ45">
    <cfRule type="cellIs" dxfId="9436" priority="134846" stopIfTrue="1" operator="equal">
      <formula>-1</formula>
    </cfRule>
  </conditionalFormatting>
  <conditionalFormatting sqref="AZ45">
    <cfRule type="cellIs" dxfId="9435" priority="134847" stopIfTrue="1" operator="lessThan">
      <formula>0.5</formula>
    </cfRule>
  </conditionalFormatting>
  <conditionalFormatting sqref="AZ45">
    <cfRule type="cellIs" dxfId="9434" priority="134848" stopIfTrue="1" operator="greaterThanOrEqual">
      <formula>0.5</formula>
    </cfRule>
  </conditionalFormatting>
  <conditionalFormatting sqref="AZ46">
    <cfRule type="cellIs" dxfId="9433" priority="134849" stopIfTrue="1" operator="equal">
      <formula>-1</formula>
    </cfRule>
  </conditionalFormatting>
  <conditionalFormatting sqref="AZ46">
    <cfRule type="cellIs" dxfId="9432" priority="134850" stopIfTrue="1" operator="lessThan">
      <formula>0.5</formula>
    </cfRule>
  </conditionalFormatting>
  <conditionalFormatting sqref="AZ46">
    <cfRule type="cellIs" dxfId="9431" priority="134851" stopIfTrue="1" operator="greaterThanOrEqual">
      <formula>0.5</formula>
    </cfRule>
  </conditionalFormatting>
  <conditionalFormatting sqref="AZ47">
    <cfRule type="cellIs" dxfId="9430" priority="134852" stopIfTrue="1" operator="equal">
      <formula>-1</formula>
    </cfRule>
  </conditionalFormatting>
  <conditionalFormatting sqref="AZ47">
    <cfRule type="cellIs" dxfId="9429" priority="134853" stopIfTrue="1" operator="lessThan">
      <formula>0.5</formula>
    </cfRule>
  </conditionalFormatting>
  <conditionalFormatting sqref="AZ47">
    <cfRule type="cellIs" dxfId="9428" priority="134854" stopIfTrue="1" operator="greaterThanOrEqual">
      <formula>0.5</formula>
    </cfRule>
  </conditionalFormatting>
  <conditionalFormatting sqref="AZ48">
    <cfRule type="cellIs" dxfId="9427" priority="134855" stopIfTrue="1" operator="equal">
      <formula>-1</formula>
    </cfRule>
  </conditionalFormatting>
  <conditionalFormatting sqref="AZ48">
    <cfRule type="cellIs" dxfId="9426" priority="134856" stopIfTrue="1" operator="lessThan">
      <formula>0.5</formula>
    </cfRule>
  </conditionalFormatting>
  <conditionalFormatting sqref="AZ48">
    <cfRule type="cellIs" dxfId="9425" priority="134857" stopIfTrue="1" operator="greaterThanOrEqual">
      <formula>0.5</formula>
    </cfRule>
  </conditionalFormatting>
  <conditionalFormatting sqref="AZ49">
    <cfRule type="cellIs" dxfId="9424" priority="134858" stopIfTrue="1" operator="equal">
      <formula>-1</formula>
    </cfRule>
  </conditionalFormatting>
  <conditionalFormatting sqref="AZ49">
    <cfRule type="cellIs" dxfId="9423" priority="134859" stopIfTrue="1" operator="lessThan">
      <formula>0.5</formula>
    </cfRule>
  </conditionalFormatting>
  <conditionalFormatting sqref="AZ49">
    <cfRule type="cellIs" dxfId="9422" priority="134860" stopIfTrue="1" operator="greaterThanOrEqual">
      <formula>0.5</formula>
    </cfRule>
  </conditionalFormatting>
  <conditionalFormatting sqref="AZ50">
    <cfRule type="cellIs" dxfId="9421" priority="134861" stopIfTrue="1" operator="equal">
      <formula>-1</formula>
    </cfRule>
  </conditionalFormatting>
  <conditionalFormatting sqref="AZ50">
    <cfRule type="cellIs" dxfId="9420" priority="134862" stopIfTrue="1" operator="lessThan">
      <formula>0.5</formula>
    </cfRule>
  </conditionalFormatting>
  <conditionalFormatting sqref="AZ50">
    <cfRule type="cellIs" dxfId="9419" priority="134863" stopIfTrue="1" operator="greaterThanOrEqual">
      <formula>0.5</formula>
    </cfRule>
  </conditionalFormatting>
  <conditionalFormatting sqref="AZ51">
    <cfRule type="cellIs" dxfId="9418" priority="134864" stopIfTrue="1" operator="equal">
      <formula>-1</formula>
    </cfRule>
  </conditionalFormatting>
  <conditionalFormatting sqref="AZ51">
    <cfRule type="cellIs" dxfId="9417" priority="134865" stopIfTrue="1" operator="lessThan">
      <formula>0.5</formula>
    </cfRule>
  </conditionalFormatting>
  <conditionalFormatting sqref="AZ51">
    <cfRule type="cellIs" dxfId="9416" priority="134866" stopIfTrue="1" operator="greaterThanOrEqual">
      <formula>0.5</formula>
    </cfRule>
  </conditionalFormatting>
  <conditionalFormatting sqref="AZ52">
    <cfRule type="cellIs" dxfId="9415" priority="134867" stopIfTrue="1" operator="equal">
      <formula>-1</formula>
    </cfRule>
  </conditionalFormatting>
  <conditionalFormatting sqref="AZ52">
    <cfRule type="cellIs" dxfId="9414" priority="134868" stopIfTrue="1" operator="lessThan">
      <formula>0.5</formula>
    </cfRule>
  </conditionalFormatting>
  <conditionalFormatting sqref="AZ52">
    <cfRule type="cellIs" dxfId="9413" priority="134869" stopIfTrue="1" operator="greaterThanOrEqual">
      <formula>0.5</formula>
    </cfRule>
  </conditionalFormatting>
  <conditionalFormatting sqref="AZ53">
    <cfRule type="cellIs" dxfId="9412" priority="134870" stopIfTrue="1" operator="equal">
      <formula>-1</formula>
    </cfRule>
  </conditionalFormatting>
  <conditionalFormatting sqref="AZ53">
    <cfRule type="cellIs" dxfId="9411" priority="134871" stopIfTrue="1" operator="lessThan">
      <formula>0.5</formula>
    </cfRule>
  </conditionalFormatting>
  <conditionalFormatting sqref="AZ53">
    <cfRule type="cellIs" dxfId="9410" priority="134872" stopIfTrue="1" operator="greaterThanOrEqual">
      <formula>0.5</formula>
    </cfRule>
  </conditionalFormatting>
  <conditionalFormatting sqref="AZ54">
    <cfRule type="cellIs" dxfId="9409" priority="134873" stopIfTrue="1" operator="equal">
      <formula>-1</formula>
    </cfRule>
  </conditionalFormatting>
  <conditionalFormatting sqref="AZ54">
    <cfRule type="cellIs" dxfId="9408" priority="134874" stopIfTrue="1" operator="lessThan">
      <formula>0.5</formula>
    </cfRule>
  </conditionalFormatting>
  <conditionalFormatting sqref="AZ54">
    <cfRule type="cellIs" dxfId="9407" priority="134875" stopIfTrue="1" operator="greaterThanOrEqual">
      <formula>0.5</formula>
    </cfRule>
  </conditionalFormatting>
  <conditionalFormatting sqref="AZ55">
    <cfRule type="cellIs" dxfId="9406" priority="134876" stopIfTrue="1" operator="equal">
      <formula>-1</formula>
    </cfRule>
  </conditionalFormatting>
  <conditionalFormatting sqref="AZ55">
    <cfRule type="cellIs" dxfId="9405" priority="134877" stopIfTrue="1" operator="lessThan">
      <formula>0.5</formula>
    </cfRule>
  </conditionalFormatting>
  <conditionalFormatting sqref="AZ55">
    <cfRule type="cellIs" dxfId="9404" priority="134878" stopIfTrue="1" operator="greaterThanOrEqual">
      <formula>0.5</formula>
    </cfRule>
  </conditionalFormatting>
  <conditionalFormatting sqref="AZ56">
    <cfRule type="cellIs" dxfId="9403" priority="134879" stopIfTrue="1" operator="equal">
      <formula>-1</formula>
    </cfRule>
  </conditionalFormatting>
  <conditionalFormatting sqref="AZ56">
    <cfRule type="cellIs" dxfId="9402" priority="134880" stopIfTrue="1" operator="lessThan">
      <formula>0.5</formula>
    </cfRule>
  </conditionalFormatting>
  <conditionalFormatting sqref="AZ56">
    <cfRule type="cellIs" dxfId="9401" priority="134881" stopIfTrue="1" operator="greaterThanOrEqual">
      <formula>0.5</formula>
    </cfRule>
  </conditionalFormatting>
  <conditionalFormatting sqref="AZ57">
    <cfRule type="cellIs" dxfId="9400" priority="134882" stopIfTrue="1" operator="equal">
      <formula>-1</formula>
    </cfRule>
  </conditionalFormatting>
  <conditionalFormatting sqref="AZ57">
    <cfRule type="cellIs" dxfId="9399" priority="134883" stopIfTrue="1" operator="lessThan">
      <formula>0.5</formula>
    </cfRule>
  </conditionalFormatting>
  <conditionalFormatting sqref="AZ57">
    <cfRule type="cellIs" dxfId="9398" priority="134884" stopIfTrue="1" operator="greaterThanOrEqual">
      <formula>0.5</formula>
    </cfRule>
  </conditionalFormatting>
  <conditionalFormatting sqref="AZ58">
    <cfRule type="cellIs" dxfId="9397" priority="134885" stopIfTrue="1" operator="equal">
      <formula>-1</formula>
    </cfRule>
  </conditionalFormatting>
  <conditionalFormatting sqref="AZ58">
    <cfRule type="cellIs" dxfId="9396" priority="134886" stopIfTrue="1" operator="lessThan">
      <formula>0.5</formula>
    </cfRule>
  </conditionalFormatting>
  <conditionalFormatting sqref="AZ58">
    <cfRule type="cellIs" dxfId="9395" priority="134887" stopIfTrue="1" operator="greaterThanOrEqual">
      <formula>0.5</formula>
    </cfRule>
  </conditionalFormatting>
  <conditionalFormatting sqref="BB39">
    <cfRule type="cellIs" dxfId="9394" priority="134888" stopIfTrue="1" operator="equal">
      <formula>-1</formula>
    </cfRule>
  </conditionalFormatting>
  <conditionalFormatting sqref="BB39">
    <cfRule type="cellIs" dxfId="9393" priority="134889" stopIfTrue="1" operator="lessThan">
      <formula>0.5</formula>
    </cfRule>
  </conditionalFormatting>
  <conditionalFormatting sqref="BB39">
    <cfRule type="cellIs" dxfId="9392" priority="134890" stopIfTrue="1" operator="greaterThanOrEqual">
      <formula>0.5</formula>
    </cfRule>
  </conditionalFormatting>
  <conditionalFormatting sqref="BB40">
    <cfRule type="cellIs" dxfId="9391" priority="134891" stopIfTrue="1" operator="equal">
      <formula>-1</formula>
    </cfRule>
  </conditionalFormatting>
  <conditionalFormatting sqref="BB40">
    <cfRule type="cellIs" dxfId="9390" priority="134892" stopIfTrue="1" operator="lessThan">
      <formula>0.5</formula>
    </cfRule>
  </conditionalFormatting>
  <conditionalFormatting sqref="BB40">
    <cfRule type="cellIs" dxfId="9389" priority="134893" stopIfTrue="1" operator="greaterThanOrEqual">
      <formula>0.5</formula>
    </cfRule>
  </conditionalFormatting>
  <conditionalFormatting sqref="BB41">
    <cfRule type="cellIs" dxfId="9388" priority="134894" stopIfTrue="1" operator="equal">
      <formula>-1</formula>
    </cfRule>
  </conditionalFormatting>
  <conditionalFormatting sqref="BB41">
    <cfRule type="cellIs" dxfId="9387" priority="134895" stopIfTrue="1" operator="lessThan">
      <formula>0.5</formula>
    </cfRule>
  </conditionalFormatting>
  <conditionalFormatting sqref="BB41">
    <cfRule type="cellIs" dxfId="9386" priority="134896" stopIfTrue="1" operator="greaterThanOrEqual">
      <formula>0.5</formula>
    </cfRule>
  </conditionalFormatting>
  <conditionalFormatting sqref="BB42">
    <cfRule type="cellIs" dxfId="9385" priority="134897" stopIfTrue="1" operator="equal">
      <formula>-1</formula>
    </cfRule>
  </conditionalFormatting>
  <conditionalFormatting sqref="BB42">
    <cfRule type="cellIs" dxfId="9384" priority="134898" stopIfTrue="1" operator="lessThan">
      <formula>0.5</formula>
    </cfRule>
  </conditionalFormatting>
  <conditionalFormatting sqref="BB42">
    <cfRule type="cellIs" dxfId="9383" priority="134899" stopIfTrue="1" operator="greaterThanOrEqual">
      <formula>0.5</formula>
    </cfRule>
  </conditionalFormatting>
  <conditionalFormatting sqref="BB43">
    <cfRule type="cellIs" dxfId="9382" priority="134900" stopIfTrue="1" operator="equal">
      <formula>-1</formula>
    </cfRule>
  </conditionalFormatting>
  <conditionalFormatting sqref="BB43">
    <cfRule type="cellIs" dxfId="9381" priority="134901" stopIfTrue="1" operator="lessThan">
      <formula>0.5</formula>
    </cfRule>
  </conditionalFormatting>
  <conditionalFormatting sqref="BB43">
    <cfRule type="cellIs" dxfId="9380" priority="134902" stopIfTrue="1" operator="greaterThanOrEqual">
      <formula>0.5</formula>
    </cfRule>
  </conditionalFormatting>
  <conditionalFormatting sqref="BB44">
    <cfRule type="cellIs" dxfId="9379" priority="134903" stopIfTrue="1" operator="equal">
      <formula>-1</formula>
    </cfRule>
  </conditionalFormatting>
  <conditionalFormatting sqref="BB44">
    <cfRule type="cellIs" dxfId="9378" priority="134904" stopIfTrue="1" operator="lessThan">
      <formula>0.5</formula>
    </cfRule>
  </conditionalFormatting>
  <conditionalFormatting sqref="BB44">
    <cfRule type="cellIs" dxfId="9377" priority="134905" stopIfTrue="1" operator="greaterThanOrEqual">
      <formula>0.5</formula>
    </cfRule>
  </conditionalFormatting>
  <conditionalFormatting sqref="BB45">
    <cfRule type="cellIs" dxfId="9376" priority="134906" stopIfTrue="1" operator="equal">
      <formula>-1</formula>
    </cfRule>
  </conditionalFormatting>
  <conditionalFormatting sqref="BB45">
    <cfRule type="cellIs" dxfId="9375" priority="134907" stopIfTrue="1" operator="lessThan">
      <formula>0.5</formula>
    </cfRule>
  </conditionalFormatting>
  <conditionalFormatting sqref="BB45">
    <cfRule type="cellIs" dxfId="9374" priority="134908" stopIfTrue="1" operator="greaterThanOrEqual">
      <formula>0.5</formula>
    </cfRule>
  </conditionalFormatting>
  <conditionalFormatting sqref="BB46">
    <cfRule type="cellIs" dxfId="9373" priority="134909" stopIfTrue="1" operator="equal">
      <formula>-1</formula>
    </cfRule>
  </conditionalFormatting>
  <conditionalFormatting sqref="BB46">
    <cfRule type="cellIs" dxfId="9372" priority="134910" stopIfTrue="1" operator="lessThan">
      <formula>0.5</formula>
    </cfRule>
  </conditionalFormatting>
  <conditionalFormatting sqref="BB46">
    <cfRule type="cellIs" dxfId="9371" priority="134911" stopIfTrue="1" operator="greaterThanOrEqual">
      <formula>0.5</formula>
    </cfRule>
  </conditionalFormatting>
  <conditionalFormatting sqref="BB47">
    <cfRule type="cellIs" dxfId="9370" priority="134912" stopIfTrue="1" operator="equal">
      <formula>-1</formula>
    </cfRule>
  </conditionalFormatting>
  <conditionalFormatting sqref="BB47">
    <cfRule type="cellIs" dxfId="9369" priority="134913" stopIfTrue="1" operator="lessThan">
      <formula>0.5</formula>
    </cfRule>
  </conditionalFormatting>
  <conditionalFormatting sqref="BB47">
    <cfRule type="cellIs" dxfId="9368" priority="134914" stopIfTrue="1" operator="greaterThanOrEqual">
      <formula>0.5</formula>
    </cfRule>
  </conditionalFormatting>
  <conditionalFormatting sqref="BB48">
    <cfRule type="cellIs" dxfId="9367" priority="134915" stopIfTrue="1" operator="equal">
      <formula>-1</formula>
    </cfRule>
  </conditionalFormatting>
  <conditionalFormatting sqref="BB48">
    <cfRule type="cellIs" dxfId="9366" priority="134916" stopIfTrue="1" operator="lessThan">
      <formula>0.5</formula>
    </cfRule>
  </conditionalFormatting>
  <conditionalFormatting sqref="BB48">
    <cfRule type="cellIs" dxfId="9365" priority="134917" stopIfTrue="1" operator="greaterThanOrEqual">
      <formula>0.5</formula>
    </cfRule>
  </conditionalFormatting>
  <conditionalFormatting sqref="BB49">
    <cfRule type="cellIs" dxfId="9364" priority="134918" stopIfTrue="1" operator="equal">
      <formula>-1</formula>
    </cfRule>
  </conditionalFormatting>
  <conditionalFormatting sqref="BB49">
    <cfRule type="cellIs" dxfId="9363" priority="134919" stopIfTrue="1" operator="lessThan">
      <formula>0.5</formula>
    </cfRule>
  </conditionalFormatting>
  <conditionalFormatting sqref="BB49">
    <cfRule type="cellIs" dxfId="9362" priority="134920" stopIfTrue="1" operator="greaterThanOrEqual">
      <formula>0.5</formula>
    </cfRule>
  </conditionalFormatting>
  <conditionalFormatting sqref="BB50">
    <cfRule type="cellIs" dxfId="9361" priority="134921" stopIfTrue="1" operator="equal">
      <formula>-1</formula>
    </cfRule>
  </conditionalFormatting>
  <conditionalFormatting sqref="BB50">
    <cfRule type="cellIs" dxfId="9360" priority="134922" stopIfTrue="1" operator="lessThan">
      <formula>0.5</formula>
    </cfRule>
  </conditionalFormatting>
  <conditionalFormatting sqref="BB50">
    <cfRule type="cellIs" dxfId="9359" priority="134923" stopIfTrue="1" operator="greaterThanOrEqual">
      <formula>0.5</formula>
    </cfRule>
  </conditionalFormatting>
  <conditionalFormatting sqref="BB51">
    <cfRule type="cellIs" dxfId="9358" priority="134924" stopIfTrue="1" operator="equal">
      <formula>-1</formula>
    </cfRule>
  </conditionalFormatting>
  <conditionalFormatting sqref="BB51">
    <cfRule type="cellIs" dxfId="9357" priority="134925" stopIfTrue="1" operator="lessThan">
      <formula>0.5</formula>
    </cfRule>
  </conditionalFormatting>
  <conditionalFormatting sqref="BB51">
    <cfRule type="cellIs" dxfId="9356" priority="134926" stopIfTrue="1" operator="greaterThanOrEqual">
      <formula>0.5</formula>
    </cfRule>
  </conditionalFormatting>
  <conditionalFormatting sqref="BB52">
    <cfRule type="cellIs" dxfId="9355" priority="134927" stopIfTrue="1" operator="equal">
      <formula>-1</formula>
    </cfRule>
  </conditionalFormatting>
  <conditionalFormatting sqref="BB52">
    <cfRule type="cellIs" dxfId="9354" priority="134928" stopIfTrue="1" operator="lessThan">
      <formula>0.5</formula>
    </cfRule>
  </conditionalFormatting>
  <conditionalFormatting sqref="BB52">
    <cfRule type="cellIs" dxfId="9353" priority="134929" stopIfTrue="1" operator="greaterThanOrEqual">
      <formula>0.5</formula>
    </cfRule>
  </conditionalFormatting>
  <conditionalFormatting sqref="BB53">
    <cfRule type="cellIs" dxfId="9352" priority="134930" stopIfTrue="1" operator="equal">
      <formula>-1</formula>
    </cfRule>
  </conditionalFormatting>
  <conditionalFormatting sqref="BB53">
    <cfRule type="cellIs" dxfId="9351" priority="134931" stopIfTrue="1" operator="lessThan">
      <formula>0.5</formula>
    </cfRule>
  </conditionalFormatting>
  <conditionalFormatting sqref="BB53">
    <cfRule type="cellIs" dxfId="9350" priority="134932" stopIfTrue="1" operator="greaterThanOrEqual">
      <formula>0.5</formula>
    </cfRule>
  </conditionalFormatting>
  <conditionalFormatting sqref="BB54">
    <cfRule type="cellIs" dxfId="9349" priority="134933" stopIfTrue="1" operator="equal">
      <formula>-1</formula>
    </cfRule>
  </conditionalFormatting>
  <conditionalFormatting sqref="BB54">
    <cfRule type="cellIs" dxfId="9348" priority="134934" stopIfTrue="1" operator="lessThan">
      <formula>0.5</formula>
    </cfRule>
  </conditionalFormatting>
  <conditionalFormatting sqref="BB54">
    <cfRule type="cellIs" dxfId="9347" priority="134935" stopIfTrue="1" operator="greaterThanOrEqual">
      <formula>0.5</formula>
    </cfRule>
  </conditionalFormatting>
  <conditionalFormatting sqref="BB55">
    <cfRule type="cellIs" dxfId="9346" priority="134936" stopIfTrue="1" operator="equal">
      <formula>-1</formula>
    </cfRule>
  </conditionalFormatting>
  <conditionalFormatting sqref="BB55">
    <cfRule type="cellIs" dxfId="9345" priority="134937" stopIfTrue="1" operator="lessThan">
      <formula>0.5</formula>
    </cfRule>
  </conditionalFormatting>
  <conditionalFormatting sqref="BB55">
    <cfRule type="cellIs" dxfId="9344" priority="134938" stopIfTrue="1" operator="greaterThanOrEqual">
      <formula>0.5</formula>
    </cfRule>
  </conditionalFormatting>
  <conditionalFormatting sqref="BB56">
    <cfRule type="cellIs" dxfId="9343" priority="134939" stopIfTrue="1" operator="equal">
      <formula>-1</formula>
    </cfRule>
  </conditionalFormatting>
  <conditionalFormatting sqref="BB56">
    <cfRule type="cellIs" dxfId="9342" priority="134940" stopIfTrue="1" operator="lessThan">
      <formula>0.5</formula>
    </cfRule>
  </conditionalFormatting>
  <conditionalFormatting sqref="BB56">
    <cfRule type="cellIs" dxfId="9341" priority="134941" stopIfTrue="1" operator="greaterThanOrEqual">
      <formula>0.5</formula>
    </cfRule>
  </conditionalFormatting>
  <conditionalFormatting sqref="BB57">
    <cfRule type="cellIs" dxfId="9340" priority="134942" stopIfTrue="1" operator="equal">
      <formula>-1</formula>
    </cfRule>
  </conditionalFormatting>
  <conditionalFormatting sqref="BB57">
    <cfRule type="cellIs" dxfId="9339" priority="134943" stopIfTrue="1" operator="lessThan">
      <formula>0.5</formula>
    </cfRule>
  </conditionalFormatting>
  <conditionalFormatting sqref="BB57">
    <cfRule type="cellIs" dxfId="9338" priority="134944" stopIfTrue="1" operator="greaterThanOrEqual">
      <formula>0.5</formula>
    </cfRule>
  </conditionalFormatting>
  <conditionalFormatting sqref="BB58">
    <cfRule type="cellIs" dxfId="9337" priority="134945" stopIfTrue="1" operator="equal">
      <formula>-1</formula>
    </cfRule>
  </conditionalFormatting>
  <conditionalFormatting sqref="BB58">
    <cfRule type="cellIs" dxfId="9336" priority="134946" stopIfTrue="1" operator="lessThan">
      <formula>0.5</formula>
    </cfRule>
  </conditionalFormatting>
  <conditionalFormatting sqref="BB58">
    <cfRule type="cellIs" dxfId="9335" priority="134947" stopIfTrue="1" operator="greaterThanOrEqual">
      <formula>0.5</formula>
    </cfRule>
  </conditionalFormatting>
  <conditionalFormatting sqref="BD39">
    <cfRule type="cellIs" dxfId="9334" priority="134948" stopIfTrue="1" operator="equal">
      <formula>-1</formula>
    </cfRule>
  </conditionalFormatting>
  <conditionalFormatting sqref="BD39">
    <cfRule type="cellIs" dxfId="9333" priority="134949" stopIfTrue="1" operator="lessThan">
      <formula>0.5</formula>
    </cfRule>
  </conditionalFormatting>
  <conditionalFormatting sqref="BD39">
    <cfRule type="cellIs" dxfId="9332" priority="134950" stopIfTrue="1" operator="greaterThanOrEqual">
      <formula>0.5</formula>
    </cfRule>
  </conditionalFormatting>
  <conditionalFormatting sqref="BD40">
    <cfRule type="cellIs" dxfId="9331" priority="134951" stopIfTrue="1" operator="equal">
      <formula>-1</formula>
    </cfRule>
  </conditionalFormatting>
  <conditionalFormatting sqref="BD40">
    <cfRule type="cellIs" dxfId="9330" priority="134952" stopIfTrue="1" operator="lessThan">
      <formula>0.5</formula>
    </cfRule>
  </conditionalFormatting>
  <conditionalFormatting sqref="BD40">
    <cfRule type="cellIs" dxfId="9329" priority="134953" stopIfTrue="1" operator="greaterThanOrEqual">
      <formula>0.5</formula>
    </cfRule>
  </conditionalFormatting>
  <conditionalFormatting sqref="BD41">
    <cfRule type="cellIs" dxfId="9328" priority="134954" stopIfTrue="1" operator="equal">
      <formula>-1</formula>
    </cfRule>
  </conditionalFormatting>
  <conditionalFormatting sqref="BD41">
    <cfRule type="cellIs" dxfId="9327" priority="134955" stopIfTrue="1" operator="lessThan">
      <formula>0.5</formula>
    </cfRule>
  </conditionalFormatting>
  <conditionalFormatting sqref="BD41">
    <cfRule type="cellIs" dxfId="9326" priority="134956" stopIfTrue="1" operator="greaterThanOrEqual">
      <formula>0.5</formula>
    </cfRule>
  </conditionalFormatting>
  <conditionalFormatting sqref="BD42">
    <cfRule type="cellIs" dxfId="9325" priority="134957" stopIfTrue="1" operator="equal">
      <formula>-1</formula>
    </cfRule>
  </conditionalFormatting>
  <conditionalFormatting sqref="BD42">
    <cfRule type="cellIs" dxfId="9324" priority="134958" stopIfTrue="1" operator="lessThan">
      <formula>0.5</formula>
    </cfRule>
  </conditionalFormatting>
  <conditionalFormatting sqref="BD42">
    <cfRule type="cellIs" dxfId="9323" priority="134959" stopIfTrue="1" operator="greaterThanOrEqual">
      <formula>0.5</formula>
    </cfRule>
  </conditionalFormatting>
  <conditionalFormatting sqref="BD43">
    <cfRule type="cellIs" dxfId="9322" priority="134960" stopIfTrue="1" operator="equal">
      <formula>-1</formula>
    </cfRule>
  </conditionalFormatting>
  <conditionalFormatting sqref="BD43">
    <cfRule type="cellIs" dxfId="9321" priority="134961" stopIfTrue="1" operator="lessThan">
      <formula>0.5</formula>
    </cfRule>
  </conditionalFormatting>
  <conditionalFormatting sqref="BD43">
    <cfRule type="cellIs" dxfId="9320" priority="134962" stopIfTrue="1" operator="greaterThanOrEqual">
      <formula>0.5</formula>
    </cfRule>
  </conditionalFormatting>
  <conditionalFormatting sqref="BD44">
    <cfRule type="cellIs" dxfId="9319" priority="134963" stopIfTrue="1" operator="equal">
      <formula>-1</formula>
    </cfRule>
  </conditionalFormatting>
  <conditionalFormatting sqref="BD44">
    <cfRule type="cellIs" dxfId="9318" priority="134964" stopIfTrue="1" operator="lessThan">
      <formula>0.5</formula>
    </cfRule>
  </conditionalFormatting>
  <conditionalFormatting sqref="BD44">
    <cfRule type="cellIs" dxfId="9317" priority="134965" stopIfTrue="1" operator="greaterThanOrEqual">
      <formula>0.5</formula>
    </cfRule>
  </conditionalFormatting>
  <conditionalFormatting sqref="BD45">
    <cfRule type="cellIs" dxfId="9316" priority="134966" stopIfTrue="1" operator="equal">
      <formula>-1</formula>
    </cfRule>
  </conditionalFormatting>
  <conditionalFormatting sqref="BD45">
    <cfRule type="cellIs" dxfId="9315" priority="134967" stopIfTrue="1" operator="lessThan">
      <formula>0.5</formula>
    </cfRule>
  </conditionalFormatting>
  <conditionalFormatting sqref="BD45">
    <cfRule type="cellIs" dxfId="9314" priority="134968" stopIfTrue="1" operator="greaterThanOrEqual">
      <formula>0.5</formula>
    </cfRule>
  </conditionalFormatting>
  <conditionalFormatting sqref="BD46">
    <cfRule type="cellIs" dxfId="9313" priority="134969" stopIfTrue="1" operator="equal">
      <formula>-1</formula>
    </cfRule>
  </conditionalFormatting>
  <conditionalFormatting sqref="BD46">
    <cfRule type="cellIs" dxfId="9312" priority="134970" stopIfTrue="1" operator="lessThan">
      <formula>0.5</formula>
    </cfRule>
  </conditionalFormatting>
  <conditionalFormatting sqref="BD46">
    <cfRule type="cellIs" dxfId="9311" priority="134971" stopIfTrue="1" operator="greaterThanOrEqual">
      <formula>0.5</formula>
    </cfRule>
  </conditionalFormatting>
  <conditionalFormatting sqref="BD47">
    <cfRule type="cellIs" dxfId="9310" priority="134972" stopIfTrue="1" operator="equal">
      <formula>-1</formula>
    </cfRule>
  </conditionalFormatting>
  <conditionalFormatting sqref="BD47">
    <cfRule type="cellIs" dxfId="9309" priority="134973" stopIfTrue="1" operator="lessThan">
      <formula>0.5</formula>
    </cfRule>
  </conditionalFormatting>
  <conditionalFormatting sqref="BD47">
    <cfRule type="cellIs" dxfId="9308" priority="134974" stopIfTrue="1" operator="greaterThanOrEqual">
      <formula>0.5</formula>
    </cfRule>
  </conditionalFormatting>
  <conditionalFormatting sqref="BD48">
    <cfRule type="cellIs" dxfId="9307" priority="134975" stopIfTrue="1" operator="equal">
      <formula>-1</formula>
    </cfRule>
  </conditionalFormatting>
  <conditionalFormatting sqref="BD48">
    <cfRule type="cellIs" dxfId="9306" priority="134976" stopIfTrue="1" operator="lessThan">
      <formula>0.5</formula>
    </cfRule>
  </conditionalFormatting>
  <conditionalFormatting sqref="BD48">
    <cfRule type="cellIs" dxfId="9305" priority="134977" stopIfTrue="1" operator="greaterThanOrEqual">
      <formula>0.5</formula>
    </cfRule>
  </conditionalFormatting>
  <conditionalFormatting sqref="BD49">
    <cfRule type="cellIs" dxfId="9304" priority="134978" stopIfTrue="1" operator="equal">
      <formula>-1</formula>
    </cfRule>
  </conditionalFormatting>
  <conditionalFormatting sqref="BD49">
    <cfRule type="cellIs" dxfId="9303" priority="134979" stopIfTrue="1" operator="lessThan">
      <formula>0.5</formula>
    </cfRule>
  </conditionalFormatting>
  <conditionalFormatting sqref="BD49">
    <cfRule type="cellIs" dxfId="9302" priority="134980" stopIfTrue="1" operator="greaterThanOrEqual">
      <formula>0.5</formula>
    </cfRule>
  </conditionalFormatting>
  <conditionalFormatting sqref="BD50">
    <cfRule type="cellIs" dxfId="9301" priority="134981" stopIfTrue="1" operator="equal">
      <formula>-1</formula>
    </cfRule>
  </conditionalFormatting>
  <conditionalFormatting sqref="BD50">
    <cfRule type="cellIs" dxfId="9300" priority="134982" stopIfTrue="1" operator="lessThan">
      <formula>0.5</formula>
    </cfRule>
  </conditionalFormatting>
  <conditionalFormatting sqref="BD50">
    <cfRule type="cellIs" dxfId="9299" priority="134983" stopIfTrue="1" operator="greaterThanOrEqual">
      <formula>0.5</formula>
    </cfRule>
  </conditionalFormatting>
  <conditionalFormatting sqref="BD51">
    <cfRule type="cellIs" dxfId="9298" priority="134984" stopIfTrue="1" operator="equal">
      <formula>-1</formula>
    </cfRule>
  </conditionalFormatting>
  <conditionalFormatting sqref="BD51">
    <cfRule type="cellIs" dxfId="9297" priority="134985" stopIfTrue="1" operator="lessThan">
      <formula>0.5</formula>
    </cfRule>
  </conditionalFormatting>
  <conditionalFormatting sqref="BD51">
    <cfRule type="cellIs" dxfId="9296" priority="134986" stopIfTrue="1" operator="greaterThanOrEqual">
      <formula>0.5</formula>
    </cfRule>
  </conditionalFormatting>
  <conditionalFormatting sqref="BD52">
    <cfRule type="cellIs" dxfId="9295" priority="134987" stopIfTrue="1" operator="equal">
      <formula>-1</formula>
    </cfRule>
  </conditionalFormatting>
  <conditionalFormatting sqref="BD52">
    <cfRule type="cellIs" dxfId="9294" priority="134988" stopIfTrue="1" operator="lessThan">
      <formula>0.5</formula>
    </cfRule>
  </conditionalFormatting>
  <conditionalFormatting sqref="BD52">
    <cfRule type="cellIs" dxfId="9293" priority="134989" stopIfTrue="1" operator="greaterThanOrEqual">
      <formula>0.5</formula>
    </cfRule>
  </conditionalFormatting>
  <conditionalFormatting sqref="BD53">
    <cfRule type="cellIs" dxfId="9292" priority="134990" stopIfTrue="1" operator="equal">
      <formula>-1</formula>
    </cfRule>
  </conditionalFormatting>
  <conditionalFormatting sqref="BD53">
    <cfRule type="cellIs" dxfId="9291" priority="134991" stopIfTrue="1" operator="lessThan">
      <formula>0.5</formula>
    </cfRule>
  </conditionalFormatting>
  <conditionalFormatting sqref="BD53">
    <cfRule type="cellIs" dxfId="9290" priority="134992" stopIfTrue="1" operator="greaterThanOrEqual">
      <formula>0.5</formula>
    </cfRule>
  </conditionalFormatting>
  <conditionalFormatting sqref="BD54">
    <cfRule type="cellIs" dxfId="9289" priority="134993" stopIfTrue="1" operator="equal">
      <formula>-1</formula>
    </cfRule>
  </conditionalFormatting>
  <conditionalFormatting sqref="BD54">
    <cfRule type="cellIs" dxfId="9288" priority="134994" stopIfTrue="1" operator="lessThan">
      <formula>0.5</formula>
    </cfRule>
  </conditionalFormatting>
  <conditionalFormatting sqref="BD54">
    <cfRule type="cellIs" dxfId="9287" priority="134995" stopIfTrue="1" operator="greaterThanOrEqual">
      <formula>0.5</formula>
    </cfRule>
  </conditionalFormatting>
  <conditionalFormatting sqref="BD55">
    <cfRule type="cellIs" dxfId="9286" priority="134996" stopIfTrue="1" operator="equal">
      <formula>-1</formula>
    </cfRule>
  </conditionalFormatting>
  <conditionalFormatting sqref="BD55">
    <cfRule type="cellIs" dxfId="9285" priority="134997" stopIfTrue="1" operator="lessThan">
      <formula>0.5</formula>
    </cfRule>
  </conditionalFormatting>
  <conditionalFormatting sqref="BD55">
    <cfRule type="cellIs" dxfId="9284" priority="134998" stopIfTrue="1" operator="greaterThanOrEqual">
      <formula>0.5</formula>
    </cfRule>
  </conditionalFormatting>
  <conditionalFormatting sqref="BD56">
    <cfRule type="cellIs" dxfId="9283" priority="134999" stopIfTrue="1" operator="equal">
      <formula>-1</formula>
    </cfRule>
  </conditionalFormatting>
  <conditionalFormatting sqref="BD56">
    <cfRule type="cellIs" dxfId="9282" priority="135000" stopIfTrue="1" operator="lessThan">
      <formula>0.5</formula>
    </cfRule>
  </conditionalFormatting>
  <conditionalFormatting sqref="BD56">
    <cfRule type="cellIs" dxfId="9281" priority="135001" stopIfTrue="1" operator="greaterThanOrEqual">
      <formula>0.5</formula>
    </cfRule>
  </conditionalFormatting>
  <conditionalFormatting sqref="BD57">
    <cfRule type="cellIs" dxfId="9280" priority="135002" stopIfTrue="1" operator="equal">
      <formula>-1</formula>
    </cfRule>
  </conditionalFormatting>
  <conditionalFormatting sqref="BD57">
    <cfRule type="cellIs" dxfId="9279" priority="135003" stopIfTrue="1" operator="lessThan">
      <formula>0.5</formula>
    </cfRule>
  </conditionalFormatting>
  <conditionalFormatting sqref="BD57">
    <cfRule type="cellIs" dxfId="9278" priority="135004" stopIfTrue="1" operator="greaterThanOrEqual">
      <formula>0.5</formula>
    </cfRule>
  </conditionalFormatting>
  <conditionalFormatting sqref="BD58">
    <cfRule type="cellIs" dxfId="9277" priority="135005" stopIfTrue="1" operator="equal">
      <formula>-1</formula>
    </cfRule>
  </conditionalFormatting>
  <conditionalFormatting sqref="BD58">
    <cfRule type="cellIs" dxfId="9276" priority="135006" stopIfTrue="1" operator="lessThan">
      <formula>0.5</formula>
    </cfRule>
  </conditionalFormatting>
  <conditionalFormatting sqref="BD58">
    <cfRule type="cellIs" dxfId="9275" priority="135007" stopIfTrue="1" operator="greaterThanOrEqual">
      <formula>0.5</formula>
    </cfRule>
  </conditionalFormatting>
  <conditionalFormatting sqref="BF39">
    <cfRule type="cellIs" dxfId="9274" priority="135008" stopIfTrue="1" operator="equal">
      <formula>-1</formula>
    </cfRule>
  </conditionalFormatting>
  <conditionalFormatting sqref="BF39">
    <cfRule type="cellIs" dxfId="9273" priority="135009" stopIfTrue="1" operator="lessThan">
      <formula>0.5</formula>
    </cfRule>
  </conditionalFormatting>
  <conditionalFormatting sqref="BF39">
    <cfRule type="cellIs" dxfId="9272" priority="135010" stopIfTrue="1" operator="greaterThanOrEqual">
      <formula>0.5</formula>
    </cfRule>
  </conditionalFormatting>
  <conditionalFormatting sqref="BF40">
    <cfRule type="cellIs" dxfId="9271" priority="135011" stopIfTrue="1" operator="equal">
      <formula>-1</formula>
    </cfRule>
  </conditionalFormatting>
  <conditionalFormatting sqref="BF40">
    <cfRule type="cellIs" dxfId="9270" priority="135012" stopIfTrue="1" operator="lessThan">
      <formula>0.5</formula>
    </cfRule>
  </conditionalFormatting>
  <conditionalFormatting sqref="BF40">
    <cfRule type="cellIs" dxfId="9269" priority="135013" stopIfTrue="1" operator="greaterThanOrEqual">
      <formula>0.5</formula>
    </cfRule>
  </conditionalFormatting>
  <conditionalFormatting sqref="BF41">
    <cfRule type="cellIs" dxfId="9268" priority="135014" stopIfTrue="1" operator="equal">
      <formula>-1</formula>
    </cfRule>
  </conditionalFormatting>
  <conditionalFormatting sqref="BF41">
    <cfRule type="cellIs" dxfId="9267" priority="135015" stopIfTrue="1" operator="lessThan">
      <formula>0.5</formula>
    </cfRule>
  </conditionalFormatting>
  <conditionalFormatting sqref="BF41">
    <cfRule type="cellIs" dxfId="9266" priority="135016" stopIfTrue="1" operator="greaterThanOrEqual">
      <formula>0.5</formula>
    </cfRule>
  </conditionalFormatting>
  <conditionalFormatting sqref="BF42">
    <cfRule type="cellIs" dxfId="9265" priority="135017" stopIfTrue="1" operator="equal">
      <formula>-1</formula>
    </cfRule>
  </conditionalFormatting>
  <conditionalFormatting sqref="BF42">
    <cfRule type="cellIs" dxfId="9264" priority="135018" stopIfTrue="1" operator="lessThan">
      <formula>0.5</formula>
    </cfRule>
  </conditionalFormatting>
  <conditionalFormatting sqref="BF42">
    <cfRule type="cellIs" dxfId="9263" priority="135019" stopIfTrue="1" operator="greaterThanOrEqual">
      <formula>0.5</formula>
    </cfRule>
  </conditionalFormatting>
  <conditionalFormatting sqref="BF43">
    <cfRule type="cellIs" dxfId="9262" priority="135020" stopIfTrue="1" operator="equal">
      <formula>-1</formula>
    </cfRule>
  </conditionalFormatting>
  <conditionalFormatting sqref="BF43">
    <cfRule type="cellIs" dxfId="9261" priority="135021" stopIfTrue="1" operator="lessThan">
      <formula>0.5</formula>
    </cfRule>
  </conditionalFormatting>
  <conditionalFormatting sqref="BF43">
    <cfRule type="cellIs" dxfId="9260" priority="135022" stopIfTrue="1" operator="greaterThanOrEqual">
      <formula>0.5</formula>
    </cfRule>
  </conditionalFormatting>
  <conditionalFormatting sqref="BF44">
    <cfRule type="cellIs" dxfId="9259" priority="135023" stopIfTrue="1" operator="equal">
      <formula>-1</formula>
    </cfRule>
  </conditionalFormatting>
  <conditionalFormatting sqref="BF44">
    <cfRule type="cellIs" dxfId="9258" priority="135024" stopIfTrue="1" operator="lessThan">
      <formula>0.5</formula>
    </cfRule>
  </conditionalFormatting>
  <conditionalFormatting sqref="BF44">
    <cfRule type="cellIs" dxfId="9257" priority="135025" stopIfTrue="1" operator="greaterThanOrEqual">
      <formula>0.5</formula>
    </cfRule>
  </conditionalFormatting>
  <conditionalFormatting sqref="BF45">
    <cfRule type="cellIs" dxfId="9256" priority="135026" stopIfTrue="1" operator="equal">
      <formula>-1</formula>
    </cfRule>
  </conditionalFormatting>
  <conditionalFormatting sqref="BF45">
    <cfRule type="cellIs" dxfId="9255" priority="135027" stopIfTrue="1" operator="lessThan">
      <formula>0.5</formula>
    </cfRule>
  </conditionalFormatting>
  <conditionalFormatting sqref="BF45">
    <cfRule type="cellIs" dxfId="9254" priority="135028" stopIfTrue="1" operator="greaterThanOrEqual">
      <formula>0.5</formula>
    </cfRule>
  </conditionalFormatting>
  <conditionalFormatting sqref="BF46">
    <cfRule type="cellIs" dxfId="9253" priority="135029" stopIfTrue="1" operator="equal">
      <formula>-1</formula>
    </cfRule>
  </conditionalFormatting>
  <conditionalFormatting sqref="BF46">
    <cfRule type="cellIs" dxfId="9252" priority="135030" stopIfTrue="1" operator="lessThan">
      <formula>0.5</formula>
    </cfRule>
  </conditionalFormatting>
  <conditionalFormatting sqref="BF46">
    <cfRule type="cellIs" dxfId="9251" priority="135031" stopIfTrue="1" operator="greaterThanOrEqual">
      <formula>0.5</formula>
    </cfRule>
  </conditionalFormatting>
  <conditionalFormatting sqref="BF47">
    <cfRule type="cellIs" dxfId="9250" priority="135032" stopIfTrue="1" operator="equal">
      <formula>-1</formula>
    </cfRule>
  </conditionalFormatting>
  <conditionalFormatting sqref="BF47">
    <cfRule type="cellIs" dxfId="9249" priority="135033" stopIfTrue="1" operator="lessThan">
      <formula>0.5</formula>
    </cfRule>
  </conditionalFormatting>
  <conditionalFormatting sqref="BF47">
    <cfRule type="cellIs" dxfId="9248" priority="135034" stopIfTrue="1" operator="greaterThanOrEqual">
      <formula>0.5</formula>
    </cfRule>
  </conditionalFormatting>
  <conditionalFormatting sqref="BF48">
    <cfRule type="cellIs" dxfId="9247" priority="135035" stopIfTrue="1" operator="equal">
      <formula>-1</formula>
    </cfRule>
  </conditionalFormatting>
  <conditionalFormatting sqref="BF48">
    <cfRule type="cellIs" dxfId="9246" priority="135036" stopIfTrue="1" operator="lessThan">
      <formula>0.5</formula>
    </cfRule>
  </conditionalFormatting>
  <conditionalFormatting sqref="BF48">
    <cfRule type="cellIs" dxfId="9245" priority="135037" stopIfTrue="1" operator="greaterThanOrEqual">
      <formula>0.5</formula>
    </cfRule>
  </conditionalFormatting>
  <conditionalFormatting sqref="BF49">
    <cfRule type="cellIs" dxfId="9244" priority="135038" stopIfTrue="1" operator="equal">
      <formula>-1</formula>
    </cfRule>
  </conditionalFormatting>
  <conditionalFormatting sqref="BF49">
    <cfRule type="cellIs" dxfId="9243" priority="135039" stopIfTrue="1" operator="lessThan">
      <formula>0.5</formula>
    </cfRule>
  </conditionalFormatting>
  <conditionalFormatting sqref="BF49">
    <cfRule type="cellIs" dxfId="9242" priority="135040" stopIfTrue="1" operator="greaterThanOrEqual">
      <formula>0.5</formula>
    </cfRule>
  </conditionalFormatting>
  <conditionalFormatting sqref="BF50">
    <cfRule type="cellIs" dxfId="9241" priority="135041" stopIfTrue="1" operator="equal">
      <formula>-1</formula>
    </cfRule>
  </conditionalFormatting>
  <conditionalFormatting sqref="BF50">
    <cfRule type="cellIs" dxfId="9240" priority="135042" stopIfTrue="1" operator="lessThan">
      <formula>0.5</formula>
    </cfRule>
  </conditionalFormatting>
  <conditionalFormatting sqref="BF50">
    <cfRule type="cellIs" dxfId="9239" priority="135043" stopIfTrue="1" operator="greaterThanOrEqual">
      <formula>0.5</formula>
    </cfRule>
  </conditionalFormatting>
  <conditionalFormatting sqref="BF51">
    <cfRule type="cellIs" dxfId="9238" priority="135044" stopIfTrue="1" operator="equal">
      <formula>-1</formula>
    </cfRule>
  </conditionalFormatting>
  <conditionalFormatting sqref="BF51">
    <cfRule type="cellIs" dxfId="9237" priority="135045" stopIfTrue="1" operator="lessThan">
      <formula>0.5</formula>
    </cfRule>
  </conditionalFormatting>
  <conditionalFormatting sqref="BF51">
    <cfRule type="cellIs" dxfId="9236" priority="135046" stopIfTrue="1" operator="greaterThanOrEqual">
      <formula>0.5</formula>
    </cfRule>
  </conditionalFormatting>
  <conditionalFormatting sqref="BF52">
    <cfRule type="cellIs" dxfId="9235" priority="135047" stopIfTrue="1" operator="equal">
      <formula>-1</formula>
    </cfRule>
  </conditionalFormatting>
  <conditionalFormatting sqref="BF52">
    <cfRule type="cellIs" dxfId="9234" priority="135048" stopIfTrue="1" operator="lessThan">
      <formula>0.5</formula>
    </cfRule>
  </conditionalFormatting>
  <conditionalFormatting sqref="BF52">
    <cfRule type="cellIs" dxfId="9233" priority="135049" stopIfTrue="1" operator="greaterThanOrEqual">
      <formula>0.5</formula>
    </cfRule>
  </conditionalFormatting>
  <conditionalFormatting sqref="BF53">
    <cfRule type="cellIs" dxfId="9232" priority="135050" stopIfTrue="1" operator="equal">
      <formula>-1</formula>
    </cfRule>
  </conditionalFormatting>
  <conditionalFormatting sqref="BF53">
    <cfRule type="cellIs" dxfId="9231" priority="135051" stopIfTrue="1" operator="lessThan">
      <formula>0.5</formula>
    </cfRule>
  </conditionalFormatting>
  <conditionalFormatting sqref="BF53">
    <cfRule type="cellIs" dxfId="9230" priority="135052" stopIfTrue="1" operator="greaterThanOrEqual">
      <formula>0.5</formula>
    </cfRule>
  </conditionalFormatting>
  <conditionalFormatting sqref="BF54">
    <cfRule type="cellIs" dxfId="9229" priority="135053" stopIfTrue="1" operator="equal">
      <formula>-1</formula>
    </cfRule>
  </conditionalFormatting>
  <conditionalFormatting sqref="BF54">
    <cfRule type="cellIs" dxfId="9228" priority="135054" stopIfTrue="1" operator="lessThan">
      <formula>0.5</formula>
    </cfRule>
  </conditionalFormatting>
  <conditionalFormatting sqref="BF54">
    <cfRule type="cellIs" dxfId="9227" priority="135055" stopIfTrue="1" operator="greaterThanOrEqual">
      <formula>0.5</formula>
    </cfRule>
  </conditionalFormatting>
  <conditionalFormatting sqref="BF55">
    <cfRule type="cellIs" dxfId="9226" priority="135056" stopIfTrue="1" operator="equal">
      <formula>-1</formula>
    </cfRule>
  </conditionalFormatting>
  <conditionalFormatting sqref="BF55">
    <cfRule type="cellIs" dxfId="9225" priority="135057" stopIfTrue="1" operator="lessThan">
      <formula>0.5</formula>
    </cfRule>
  </conditionalFormatting>
  <conditionalFormatting sqref="BF55">
    <cfRule type="cellIs" dxfId="9224" priority="135058" stopIfTrue="1" operator="greaterThanOrEqual">
      <formula>0.5</formula>
    </cfRule>
  </conditionalFormatting>
  <conditionalFormatting sqref="BF56">
    <cfRule type="cellIs" dxfId="9223" priority="135059" stopIfTrue="1" operator="equal">
      <formula>-1</formula>
    </cfRule>
  </conditionalFormatting>
  <conditionalFormatting sqref="BF56">
    <cfRule type="cellIs" dxfId="9222" priority="135060" stopIfTrue="1" operator="lessThan">
      <formula>0.5</formula>
    </cfRule>
  </conditionalFormatting>
  <conditionalFormatting sqref="BF56">
    <cfRule type="cellIs" dxfId="9221" priority="135061" stopIfTrue="1" operator="greaterThanOrEqual">
      <formula>0.5</formula>
    </cfRule>
  </conditionalFormatting>
  <conditionalFormatting sqref="BF57">
    <cfRule type="cellIs" dxfId="9220" priority="135062" stopIfTrue="1" operator="equal">
      <formula>-1</formula>
    </cfRule>
  </conditionalFormatting>
  <conditionalFormatting sqref="BF57">
    <cfRule type="cellIs" dxfId="9219" priority="135063" stopIfTrue="1" operator="lessThan">
      <formula>0.5</formula>
    </cfRule>
  </conditionalFormatting>
  <conditionalFormatting sqref="BF57">
    <cfRule type="cellIs" dxfId="9218" priority="135064" stopIfTrue="1" operator="greaterThanOrEqual">
      <formula>0.5</formula>
    </cfRule>
  </conditionalFormatting>
  <conditionalFormatting sqref="BF58">
    <cfRule type="cellIs" dxfId="9217" priority="135065" stopIfTrue="1" operator="equal">
      <formula>-1</formula>
    </cfRule>
  </conditionalFormatting>
  <conditionalFormatting sqref="BF58">
    <cfRule type="cellIs" dxfId="9216" priority="135066" stopIfTrue="1" operator="lessThan">
      <formula>0.5</formula>
    </cfRule>
  </conditionalFormatting>
  <conditionalFormatting sqref="BF58">
    <cfRule type="cellIs" dxfId="9215" priority="135067" stopIfTrue="1" operator="greaterThanOrEqual">
      <formula>0.5</formula>
    </cfRule>
  </conditionalFormatting>
  <conditionalFormatting sqref="BH39">
    <cfRule type="cellIs" dxfId="9214" priority="135068" stopIfTrue="1" operator="equal">
      <formula>-1</formula>
    </cfRule>
  </conditionalFormatting>
  <conditionalFormatting sqref="BH39">
    <cfRule type="cellIs" dxfId="9213" priority="135069" stopIfTrue="1" operator="lessThan">
      <formula>0.5</formula>
    </cfRule>
  </conditionalFormatting>
  <conditionalFormatting sqref="BH39">
    <cfRule type="cellIs" dxfId="9212" priority="135070" stopIfTrue="1" operator="greaterThanOrEqual">
      <formula>0.5</formula>
    </cfRule>
  </conditionalFormatting>
  <conditionalFormatting sqref="BH40">
    <cfRule type="cellIs" dxfId="9211" priority="135071" stopIfTrue="1" operator="equal">
      <formula>-1</formula>
    </cfRule>
  </conditionalFormatting>
  <conditionalFormatting sqref="BH40">
    <cfRule type="cellIs" dxfId="9210" priority="135072" stopIfTrue="1" operator="lessThan">
      <formula>0.5</formula>
    </cfRule>
  </conditionalFormatting>
  <conditionalFormatting sqref="BH40">
    <cfRule type="cellIs" dxfId="9209" priority="135073" stopIfTrue="1" operator="greaterThanOrEqual">
      <formula>0.5</formula>
    </cfRule>
  </conditionalFormatting>
  <conditionalFormatting sqref="BH41">
    <cfRule type="cellIs" dxfId="9208" priority="135074" stopIfTrue="1" operator="equal">
      <formula>-1</formula>
    </cfRule>
  </conditionalFormatting>
  <conditionalFormatting sqref="BH41">
    <cfRule type="cellIs" dxfId="9207" priority="135075" stopIfTrue="1" operator="lessThan">
      <formula>0.5</formula>
    </cfRule>
  </conditionalFormatting>
  <conditionalFormatting sqref="BH41">
    <cfRule type="cellIs" dxfId="9206" priority="135076" stopIfTrue="1" operator="greaterThanOrEqual">
      <formula>0.5</formula>
    </cfRule>
  </conditionalFormatting>
  <conditionalFormatting sqref="BH42">
    <cfRule type="cellIs" dxfId="9205" priority="135077" stopIfTrue="1" operator="equal">
      <formula>-1</formula>
    </cfRule>
  </conditionalFormatting>
  <conditionalFormatting sqref="BH42">
    <cfRule type="cellIs" dxfId="9204" priority="135078" stopIfTrue="1" operator="lessThan">
      <formula>0.5</formula>
    </cfRule>
  </conditionalFormatting>
  <conditionalFormatting sqref="BH42">
    <cfRule type="cellIs" dxfId="9203" priority="135079" stopIfTrue="1" operator="greaterThanOrEqual">
      <formula>0.5</formula>
    </cfRule>
  </conditionalFormatting>
  <conditionalFormatting sqref="BH43">
    <cfRule type="cellIs" dxfId="9202" priority="135080" stopIfTrue="1" operator="equal">
      <formula>-1</formula>
    </cfRule>
  </conditionalFormatting>
  <conditionalFormatting sqref="BH43">
    <cfRule type="cellIs" dxfId="9201" priority="135081" stopIfTrue="1" operator="lessThan">
      <formula>0.5</formula>
    </cfRule>
  </conditionalFormatting>
  <conditionalFormatting sqref="BH43">
    <cfRule type="cellIs" dxfId="9200" priority="135082" stopIfTrue="1" operator="greaterThanOrEqual">
      <formula>0.5</formula>
    </cfRule>
  </conditionalFormatting>
  <conditionalFormatting sqref="BH44">
    <cfRule type="cellIs" dxfId="9199" priority="135083" stopIfTrue="1" operator="equal">
      <formula>-1</formula>
    </cfRule>
  </conditionalFormatting>
  <conditionalFormatting sqref="BH44">
    <cfRule type="cellIs" dxfId="9198" priority="135084" stopIfTrue="1" operator="lessThan">
      <formula>0.5</formula>
    </cfRule>
  </conditionalFormatting>
  <conditionalFormatting sqref="BH44">
    <cfRule type="cellIs" dxfId="9197" priority="135085" stopIfTrue="1" operator="greaterThanOrEqual">
      <formula>0.5</formula>
    </cfRule>
  </conditionalFormatting>
  <conditionalFormatting sqref="BH45">
    <cfRule type="cellIs" dxfId="9196" priority="135086" stopIfTrue="1" operator="equal">
      <formula>-1</formula>
    </cfRule>
  </conditionalFormatting>
  <conditionalFormatting sqref="BH45">
    <cfRule type="cellIs" dxfId="9195" priority="135087" stopIfTrue="1" operator="lessThan">
      <formula>0.5</formula>
    </cfRule>
  </conditionalFormatting>
  <conditionalFormatting sqref="BH45">
    <cfRule type="cellIs" dxfId="9194" priority="135088" stopIfTrue="1" operator="greaterThanOrEqual">
      <formula>0.5</formula>
    </cfRule>
  </conditionalFormatting>
  <conditionalFormatting sqref="BH46">
    <cfRule type="cellIs" dxfId="9193" priority="135089" stopIfTrue="1" operator="equal">
      <formula>-1</formula>
    </cfRule>
  </conditionalFormatting>
  <conditionalFormatting sqref="BH46">
    <cfRule type="cellIs" dxfId="9192" priority="135090" stopIfTrue="1" operator="lessThan">
      <formula>0.5</formula>
    </cfRule>
  </conditionalFormatting>
  <conditionalFormatting sqref="BH46">
    <cfRule type="cellIs" dxfId="9191" priority="135091" stopIfTrue="1" operator="greaterThanOrEqual">
      <formula>0.5</formula>
    </cfRule>
  </conditionalFormatting>
  <conditionalFormatting sqref="BH47">
    <cfRule type="cellIs" dxfId="9190" priority="135092" stopIfTrue="1" operator="equal">
      <formula>-1</formula>
    </cfRule>
  </conditionalFormatting>
  <conditionalFormatting sqref="BH47">
    <cfRule type="cellIs" dxfId="9189" priority="135093" stopIfTrue="1" operator="lessThan">
      <formula>0.5</formula>
    </cfRule>
  </conditionalFormatting>
  <conditionalFormatting sqref="BH47">
    <cfRule type="cellIs" dxfId="9188" priority="135094" stopIfTrue="1" operator="greaterThanOrEqual">
      <formula>0.5</formula>
    </cfRule>
  </conditionalFormatting>
  <conditionalFormatting sqref="BH48">
    <cfRule type="cellIs" dxfId="9187" priority="135095" stopIfTrue="1" operator="equal">
      <formula>-1</formula>
    </cfRule>
  </conditionalFormatting>
  <conditionalFormatting sqref="BH48">
    <cfRule type="cellIs" dxfId="9186" priority="135096" stopIfTrue="1" operator="lessThan">
      <formula>0.5</formula>
    </cfRule>
  </conditionalFormatting>
  <conditionalFormatting sqref="BH48">
    <cfRule type="cellIs" dxfId="9185" priority="135097" stopIfTrue="1" operator="greaterThanOrEqual">
      <formula>0.5</formula>
    </cfRule>
  </conditionalFormatting>
  <conditionalFormatting sqref="BH49">
    <cfRule type="cellIs" dxfId="9184" priority="135098" stopIfTrue="1" operator="equal">
      <formula>-1</formula>
    </cfRule>
  </conditionalFormatting>
  <conditionalFormatting sqref="BH49">
    <cfRule type="cellIs" dxfId="9183" priority="135099" stopIfTrue="1" operator="lessThan">
      <formula>0.5</formula>
    </cfRule>
  </conditionalFormatting>
  <conditionalFormatting sqref="BH49">
    <cfRule type="cellIs" dxfId="9182" priority="135100" stopIfTrue="1" operator="greaterThanOrEqual">
      <formula>0.5</formula>
    </cfRule>
  </conditionalFormatting>
  <conditionalFormatting sqref="BH50">
    <cfRule type="cellIs" dxfId="9181" priority="135101" stopIfTrue="1" operator="equal">
      <formula>-1</formula>
    </cfRule>
  </conditionalFormatting>
  <conditionalFormatting sqref="BH50">
    <cfRule type="cellIs" dxfId="9180" priority="135102" stopIfTrue="1" operator="lessThan">
      <formula>0.5</formula>
    </cfRule>
  </conditionalFormatting>
  <conditionalFormatting sqref="BH50">
    <cfRule type="cellIs" dxfId="9179" priority="135103" stopIfTrue="1" operator="greaterThanOrEqual">
      <formula>0.5</formula>
    </cfRule>
  </conditionalFormatting>
  <conditionalFormatting sqref="BH51">
    <cfRule type="cellIs" dxfId="9178" priority="135104" stopIfTrue="1" operator="equal">
      <formula>-1</formula>
    </cfRule>
  </conditionalFormatting>
  <conditionalFormatting sqref="BH51">
    <cfRule type="cellIs" dxfId="9177" priority="135105" stopIfTrue="1" operator="lessThan">
      <formula>0.5</formula>
    </cfRule>
  </conditionalFormatting>
  <conditionalFormatting sqref="BH51">
    <cfRule type="cellIs" dxfId="9176" priority="135106" stopIfTrue="1" operator="greaterThanOrEqual">
      <formula>0.5</formula>
    </cfRule>
  </conditionalFormatting>
  <conditionalFormatting sqref="BH52">
    <cfRule type="cellIs" dxfId="9175" priority="135107" stopIfTrue="1" operator="equal">
      <formula>-1</formula>
    </cfRule>
  </conditionalFormatting>
  <conditionalFormatting sqref="BH52">
    <cfRule type="cellIs" dxfId="9174" priority="135108" stopIfTrue="1" operator="lessThan">
      <formula>0.5</formula>
    </cfRule>
  </conditionalFormatting>
  <conditionalFormatting sqref="BH52">
    <cfRule type="cellIs" dxfId="9173" priority="135109" stopIfTrue="1" operator="greaterThanOrEqual">
      <formula>0.5</formula>
    </cfRule>
  </conditionalFormatting>
  <conditionalFormatting sqref="BH53">
    <cfRule type="cellIs" dxfId="9172" priority="135110" stopIfTrue="1" operator="equal">
      <formula>-1</formula>
    </cfRule>
  </conditionalFormatting>
  <conditionalFormatting sqref="BH53">
    <cfRule type="cellIs" dxfId="9171" priority="135111" stopIfTrue="1" operator="lessThan">
      <formula>0.5</formula>
    </cfRule>
  </conditionalFormatting>
  <conditionalFormatting sqref="BH53">
    <cfRule type="cellIs" dxfId="9170" priority="135112" stopIfTrue="1" operator="greaterThanOrEqual">
      <formula>0.5</formula>
    </cfRule>
  </conditionalFormatting>
  <conditionalFormatting sqref="BH54">
    <cfRule type="cellIs" dxfId="9169" priority="135113" stopIfTrue="1" operator="equal">
      <formula>-1</formula>
    </cfRule>
  </conditionalFormatting>
  <conditionalFormatting sqref="BH54">
    <cfRule type="cellIs" dxfId="9168" priority="135114" stopIfTrue="1" operator="lessThan">
      <formula>0.5</formula>
    </cfRule>
  </conditionalFormatting>
  <conditionalFormatting sqref="BH54">
    <cfRule type="cellIs" dxfId="9167" priority="135115" stopIfTrue="1" operator="greaterThanOrEqual">
      <formula>0.5</formula>
    </cfRule>
  </conditionalFormatting>
  <conditionalFormatting sqref="BH55">
    <cfRule type="cellIs" dxfId="9166" priority="135116" stopIfTrue="1" operator="equal">
      <formula>-1</formula>
    </cfRule>
  </conditionalFormatting>
  <conditionalFormatting sqref="BH55">
    <cfRule type="cellIs" dxfId="9165" priority="135117" stopIfTrue="1" operator="lessThan">
      <formula>0.5</formula>
    </cfRule>
  </conditionalFormatting>
  <conditionalFormatting sqref="BH55">
    <cfRule type="cellIs" dxfId="9164" priority="135118" stopIfTrue="1" operator="greaterThanOrEqual">
      <formula>0.5</formula>
    </cfRule>
  </conditionalFormatting>
  <conditionalFormatting sqref="BH56">
    <cfRule type="cellIs" dxfId="9163" priority="135119" stopIfTrue="1" operator="equal">
      <formula>-1</formula>
    </cfRule>
  </conditionalFormatting>
  <conditionalFormatting sqref="BH56">
    <cfRule type="cellIs" dxfId="9162" priority="135120" stopIfTrue="1" operator="lessThan">
      <formula>0.5</formula>
    </cfRule>
  </conditionalFormatting>
  <conditionalFormatting sqref="BH56">
    <cfRule type="cellIs" dxfId="9161" priority="135121" stopIfTrue="1" operator="greaterThanOrEqual">
      <formula>0.5</formula>
    </cfRule>
  </conditionalFormatting>
  <conditionalFormatting sqref="BH57">
    <cfRule type="cellIs" dxfId="9160" priority="135122" stopIfTrue="1" operator="equal">
      <formula>-1</formula>
    </cfRule>
  </conditionalFormatting>
  <conditionalFormatting sqref="BH57">
    <cfRule type="cellIs" dxfId="9159" priority="135123" stopIfTrue="1" operator="lessThan">
      <formula>0.5</formula>
    </cfRule>
  </conditionalFormatting>
  <conditionalFormatting sqref="BH57">
    <cfRule type="cellIs" dxfId="9158" priority="135124" stopIfTrue="1" operator="greaterThanOrEqual">
      <formula>0.5</formula>
    </cfRule>
  </conditionalFormatting>
  <conditionalFormatting sqref="BH58">
    <cfRule type="cellIs" dxfId="9157" priority="135125" stopIfTrue="1" operator="equal">
      <formula>-1</formula>
    </cfRule>
  </conditionalFormatting>
  <conditionalFormatting sqref="BH58">
    <cfRule type="cellIs" dxfId="9156" priority="135126" stopIfTrue="1" operator="lessThan">
      <formula>0.5</formula>
    </cfRule>
  </conditionalFormatting>
  <conditionalFormatting sqref="BH58">
    <cfRule type="cellIs" dxfId="9155" priority="135127" stopIfTrue="1" operator="greaterThanOrEqual">
      <formula>0.5</formula>
    </cfRule>
  </conditionalFormatting>
  <conditionalFormatting sqref="BJ39">
    <cfRule type="cellIs" dxfId="9154" priority="135128" stopIfTrue="1" operator="equal">
      <formula>-1</formula>
    </cfRule>
  </conditionalFormatting>
  <conditionalFormatting sqref="BJ39">
    <cfRule type="cellIs" dxfId="9153" priority="135129" stopIfTrue="1" operator="lessThan">
      <formula>0.5</formula>
    </cfRule>
  </conditionalFormatting>
  <conditionalFormatting sqref="BJ39">
    <cfRule type="cellIs" dxfId="9152" priority="135130" stopIfTrue="1" operator="greaterThanOrEqual">
      <formula>0.5</formula>
    </cfRule>
  </conditionalFormatting>
  <conditionalFormatting sqref="BJ40">
    <cfRule type="cellIs" dxfId="9151" priority="135131" stopIfTrue="1" operator="equal">
      <formula>-1</formula>
    </cfRule>
  </conditionalFormatting>
  <conditionalFormatting sqref="BJ40">
    <cfRule type="cellIs" dxfId="9150" priority="135132" stopIfTrue="1" operator="lessThan">
      <formula>0.5</formula>
    </cfRule>
  </conditionalFormatting>
  <conditionalFormatting sqref="BJ40">
    <cfRule type="cellIs" dxfId="9149" priority="135133" stopIfTrue="1" operator="greaterThanOrEqual">
      <formula>0.5</formula>
    </cfRule>
  </conditionalFormatting>
  <conditionalFormatting sqref="BJ41">
    <cfRule type="cellIs" dxfId="9148" priority="135134" stopIfTrue="1" operator="equal">
      <formula>-1</formula>
    </cfRule>
  </conditionalFormatting>
  <conditionalFormatting sqref="BJ41">
    <cfRule type="cellIs" dxfId="9147" priority="135135" stopIfTrue="1" operator="lessThan">
      <formula>0.5</formula>
    </cfRule>
  </conditionalFormatting>
  <conditionalFormatting sqref="BJ41">
    <cfRule type="cellIs" dxfId="9146" priority="135136" stopIfTrue="1" operator="greaterThanOrEqual">
      <formula>0.5</formula>
    </cfRule>
  </conditionalFormatting>
  <conditionalFormatting sqref="BJ42">
    <cfRule type="cellIs" dxfId="9145" priority="135137" stopIfTrue="1" operator="equal">
      <formula>-1</formula>
    </cfRule>
  </conditionalFormatting>
  <conditionalFormatting sqref="BJ42">
    <cfRule type="cellIs" dxfId="9144" priority="135138" stopIfTrue="1" operator="lessThan">
      <formula>0.5</formula>
    </cfRule>
  </conditionalFormatting>
  <conditionalFormatting sqref="BJ42">
    <cfRule type="cellIs" dxfId="9143" priority="135139" stopIfTrue="1" operator="greaterThanOrEqual">
      <formula>0.5</formula>
    </cfRule>
  </conditionalFormatting>
  <conditionalFormatting sqref="BJ43">
    <cfRule type="cellIs" dxfId="9142" priority="135140" stopIfTrue="1" operator="equal">
      <formula>-1</formula>
    </cfRule>
  </conditionalFormatting>
  <conditionalFormatting sqref="BJ43">
    <cfRule type="cellIs" dxfId="9141" priority="135141" stopIfTrue="1" operator="lessThan">
      <formula>0.5</formula>
    </cfRule>
  </conditionalFormatting>
  <conditionalFormatting sqref="BJ43">
    <cfRule type="cellIs" dxfId="9140" priority="135142" stopIfTrue="1" operator="greaterThanOrEqual">
      <formula>0.5</formula>
    </cfRule>
  </conditionalFormatting>
  <conditionalFormatting sqref="BJ44">
    <cfRule type="cellIs" dxfId="9139" priority="135143" stopIfTrue="1" operator="equal">
      <formula>-1</formula>
    </cfRule>
  </conditionalFormatting>
  <conditionalFormatting sqref="BJ44">
    <cfRule type="cellIs" dxfId="9138" priority="135144" stopIfTrue="1" operator="lessThan">
      <formula>0.5</formula>
    </cfRule>
  </conditionalFormatting>
  <conditionalFormatting sqref="BJ44">
    <cfRule type="cellIs" dxfId="9137" priority="135145" stopIfTrue="1" operator="greaterThanOrEqual">
      <formula>0.5</formula>
    </cfRule>
  </conditionalFormatting>
  <conditionalFormatting sqref="BJ45">
    <cfRule type="cellIs" dxfId="9136" priority="135146" stopIfTrue="1" operator="equal">
      <formula>-1</formula>
    </cfRule>
  </conditionalFormatting>
  <conditionalFormatting sqref="BJ45">
    <cfRule type="cellIs" dxfId="9135" priority="135147" stopIfTrue="1" operator="lessThan">
      <formula>0.5</formula>
    </cfRule>
  </conditionalFormatting>
  <conditionalFormatting sqref="BJ45">
    <cfRule type="cellIs" dxfId="9134" priority="135148" stopIfTrue="1" operator="greaterThanOrEqual">
      <formula>0.5</formula>
    </cfRule>
  </conditionalFormatting>
  <conditionalFormatting sqref="BJ46">
    <cfRule type="cellIs" dxfId="9133" priority="135149" stopIfTrue="1" operator="equal">
      <formula>-1</formula>
    </cfRule>
  </conditionalFormatting>
  <conditionalFormatting sqref="BJ46">
    <cfRule type="cellIs" dxfId="9132" priority="135150" stopIfTrue="1" operator="lessThan">
      <formula>0.5</formula>
    </cfRule>
  </conditionalFormatting>
  <conditionalFormatting sqref="BJ46">
    <cfRule type="cellIs" dxfId="9131" priority="135151" stopIfTrue="1" operator="greaterThanOrEqual">
      <formula>0.5</formula>
    </cfRule>
  </conditionalFormatting>
  <conditionalFormatting sqref="BJ47">
    <cfRule type="cellIs" dxfId="9130" priority="135152" stopIfTrue="1" operator="equal">
      <formula>-1</formula>
    </cfRule>
  </conditionalFormatting>
  <conditionalFormatting sqref="BJ47">
    <cfRule type="cellIs" dxfId="9129" priority="135153" stopIfTrue="1" operator="lessThan">
      <formula>0.5</formula>
    </cfRule>
  </conditionalFormatting>
  <conditionalFormatting sqref="BJ47">
    <cfRule type="cellIs" dxfId="9128" priority="135154" stopIfTrue="1" operator="greaterThanOrEqual">
      <formula>0.5</formula>
    </cfRule>
  </conditionalFormatting>
  <conditionalFormatting sqref="BJ48">
    <cfRule type="cellIs" dxfId="9127" priority="135155" stopIfTrue="1" operator="equal">
      <formula>-1</formula>
    </cfRule>
  </conditionalFormatting>
  <conditionalFormatting sqref="BJ48">
    <cfRule type="cellIs" dxfId="9126" priority="135156" stopIfTrue="1" operator="lessThan">
      <formula>0.5</formula>
    </cfRule>
  </conditionalFormatting>
  <conditionalFormatting sqref="BJ48">
    <cfRule type="cellIs" dxfId="9125" priority="135157" stopIfTrue="1" operator="greaterThanOrEqual">
      <formula>0.5</formula>
    </cfRule>
  </conditionalFormatting>
  <conditionalFormatting sqref="BJ49">
    <cfRule type="cellIs" dxfId="9124" priority="135158" stopIfTrue="1" operator="equal">
      <formula>-1</formula>
    </cfRule>
  </conditionalFormatting>
  <conditionalFormatting sqref="BJ49">
    <cfRule type="cellIs" dxfId="9123" priority="135159" stopIfTrue="1" operator="lessThan">
      <formula>0.5</formula>
    </cfRule>
  </conditionalFormatting>
  <conditionalFormatting sqref="BJ49">
    <cfRule type="cellIs" dxfId="9122" priority="135160" stopIfTrue="1" operator="greaterThanOrEqual">
      <formula>0.5</formula>
    </cfRule>
  </conditionalFormatting>
  <conditionalFormatting sqref="BJ50">
    <cfRule type="cellIs" dxfId="9121" priority="135161" stopIfTrue="1" operator="equal">
      <formula>-1</formula>
    </cfRule>
  </conditionalFormatting>
  <conditionalFormatting sqref="BJ50">
    <cfRule type="cellIs" dxfId="9120" priority="135162" stopIfTrue="1" operator="lessThan">
      <formula>0.5</formula>
    </cfRule>
  </conditionalFormatting>
  <conditionalFormatting sqref="BJ50">
    <cfRule type="cellIs" dxfId="9119" priority="135163" stopIfTrue="1" operator="greaterThanOrEqual">
      <formula>0.5</formula>
    </cfRule>
  </conditionalFormatting>
  <conditionalFormatting sqref="BJ51">
    <cfRule type="cellIs" dxfId="9118" priority="135164" stopIfTrue="1" operator="equal">
      <formula>-1</formula>
    </cfRule>
  </conditionalFormatting>
  <conditionalFormatting sqref="BJ51">
    <cfRule type="cellIs" dxfId="9117" priority="135165" stopIfTrue="1" operator="lessThan">
      <formula>0.5</formula>
    </cfRule>
  </conditionalFormatting>
  <conditionalFormatting sqref="BJ51">
    <cfRule type="cellIs" dxfId="9116" priority="135166" stopIfTrue="1" operator="greaterThanOrEqual">
      <formula>0.5</formula>
    </cfRule>
  </conditionalFormatting>
  <conditionalFormatting sqref="BJ52">
    <cfRule type="cellIs" dxfId="9115" priority="135167" stopIfTrue="1" operator="equal">
      <formula>-1</formula>
    </cfRule>
  </conditionalFormatting>
  <conditionalFormatting sqref="BJ52">
    <cfRule type="cellIs" dxfId="9114" priority="135168" stopIfTrue="1" operator="lessThan">
      <formula>0.5</formula>
    </cfRule>
  </conditionalFormatting>
  <conditionalFormatting sqref="BJ52">
    <cfRule type="cellIs" dxfId="9113" priority="135169" stopIfTrue="1" operator="greaterThanOrEqual">
      <formula>0.5</formula>
    </cfRule>
  </conditionalFormatting>
  <conditionalFormatting sqref="BJ53">
    <cfRule type="cellIs" dxfId="9112" priority="135170" stopIfTrue="1" operator="equal">
      <formula>-1</formula>
    </cfRule>
  </conditionalFormatting>
  <conditionalFormatting sqref="BJ53">
    <cfRule type="cellIs" dxfId="9111" priority="135171" stopIfTrue="1" operator="lessThan">
      <formula>0.5</formula>
    </cfRule>
  </conditionalFormatting>
  <conditionalFormatting sqref="BJ53">
    <cfRule type="cellIs" dxfId="9110" priority="135172" stopIfTrue="1" operator="greaterThanOrEqual">
      <formula>0.5</formula>
    </cfRule>
  </conditionalFormatting>
  <conditionalFormatting sqref="BJ54">
    <cfRule type="cellIs" dxfId="9109" priority="135173" stopIfTrue="1" operator="equal">
      <formula>-1</formula>
    </cfRule>
  </conditionalFormatting>
  <conditionalFormatting sqref="BJ54">
    <cfRule type="cellIs" dxfId="9108" priority="135174" stopIfTrue="1" operator="lessThan">
      <formula>0.5</formula>
    </cfRule>
  </conditionalFormatting>
  <conditionalFormatting sqref="BJ54">
    <cfRule type="cellIs" dxfId="9107" priority="135175" stopIfTrue="1" operator="greaterThanOrEqual">
      <formula>0.5</formula>
    </cfRule>
  </conditionalFormatting>
  <conditionalFormatting sqref="BJ55">
    <cfRule type="cellIs" dxfId="9106" priority="135176" stopIfTrue="1" operator="equal">
      <formula>-1</formula>
    </cfRule>
  </conditionalFormatting>
  <conditionalFormatting sqref="BJ55">
    <cfRule type="cellIs" dxfId="9105" priority="135177" stopIfTrue="1" operator="lessThan">
      <formula>0.5</formula>
    </cfRule>
  </conditionalFormatting>
  <conditionalFormatting sqref="BJ55">
    <cfRule type="cellIs" dxfId="9104" priority="135178" stopIfTrue="1" operator="greaterThanOrEqual">
      <formula>0.5</formula>
    </cfRule>
  </conditionalFormatting>
  <conditionalFormatting sqref="BJ56">
    <cfRule type="cellIs" dxfId="9103" priority="135179" stopIfTrue="1" operator="equal">
      <formula>-1</formula>
    </cfRule>
  </conditionalFormatting>
  <conditionalFormatting sqref="BJ56">
    <cfRule type="cellIs" dxfId="9102" priority="135180" stopIfTrue="1" operator="lessThan">
      <formula>0.5</formula>
    </cfRule>
  </conditionalFormatting>
  <conditionalFormatting sqref="BJ56">
    <cfRule type="cellIs" dxfId="9101" priority="135181" stopIfTrue="1" operator="greaterThanOrEqual">
      <formula>0.5</formula>
    </cfRule>
  </conditionalFormatting>
  <conditionalFormatting sqref="BJ57">
    <cfRule type="cellIs" dxfId="9100" priority="135182" stopIfTrue="1" operator="equal">
      <formula>-1</formula>
    </cfRule>
  </conditionalFormatting>
  <conditionalFormatting sqref="BJ57">
    <cfRule type="cellIs" dxfId="9099" priority="135183" stopIfTrue="1" operator="lessThan">
      <formula>0.5</formula>
    </cfRule>
  </conditionalFormatting>
  <conditionalFormatting sqref="BJ57">
    <cfRule type="cellIs" dxfId="9098" priority="135184" stopIfTrue="1" operator="greaterThanOrEqual">
      <formula>0.5</formula>
    </cfRule>
  </conditionalFormatting>
  <conditionalFormatting sqref="BJ58">
    <cfRule type="cellIs" dxfId="9097" priority="135185" stopIfTrue="1" operator="equal">
      <formula>-1</formula>
    </cfRule>
  </conditionalFormatting>
  <conditionalFormatting sqref="BJ58">
    <cfRule type="cellIs" dxfId="9096" priority="135186" stopIfTrue="1" operator="lessThan">
      <formula>0.5</formula>
    </cfRule>
  </conditionalFormatting>
  <conditionalFormatting sqref="BJ58">
    <cfRule type="cellIs" dxfId="9095" priority="135187" stopIfTrue="1" operator="greaterThanOrEqual">
      <formula>0.5</formula>
    </cfRule>
  </conditionalFormatting>
  <conditionalFormatting sqref="D60">
    <cfRule type="cellIs" dxfId="9094" priority="135188" stopIfTrue="1" operator="equal">
      <formula>-1</formula>
    </cfRule>
  </conditionalFormatting>
  <conditionalFormatting sqref="D60">
    <cfRule type="cellIs" dxfId="9093" priority="135189" stopIfTrue="1" operator="lessThan">
      <formula>0.5</formula>
    </cfRule>
  </conditionalFormatting>
  <conditionalFormatting sqref="D60">
    <cfRule type="cellIs" dxfId="9092" priority="135190" stopIfTrue="1" operator="greaterThanOrEqual">
      <formula>0.5</formula>
    </cfRule>
  </conditionalFormatting>
  <conditionalFormatting sqref="D61">
    <cfRule type="cellIs" dxfId="9091" priority="135191" stopIfTrue="1" operator="equal">
      <formula>-1</formula>
    </cfRule>
  </conditionalFormatting>
  <conditionalFormatting sqref="D61">
    <cfRule type="cellIs" dxfId="9090" priority="135192" stopIfTrue="1" operator="lessThan">
      <formula>0.5</formula>
    </cfRule>
  </conditionalFormatting>
  <conditionalFormatting sqref="D61">
    <cfRule type="cellIs" dxfId="9089" priority="135193" stopIfTrue="1" operator="greaterThanOrEqual">
      <formula>0.5</formula>
    </cfRule>
  </conditionalFormatting>
  <conditionalFormatting sqref="D62">
    <cfRule type="cellIs" dxfId="9088" priority="135194" stopIfTrue="1" operator="equal">
      <formula>-1</formula>
    </cfRule>
  </conditionalFormatting>
  <conditionalFormatting sqref="D62">
    <cfRule type="cellIs" dxfId="9087" priority="135195" stopIfTrue="1" operator="lessThan">
      <formula>0.5</formula>
    </cfRule>
  </conditionalFormatting>
  <conditionalFormatting sqref="D62">
    <cfRule type="cellIs" dxfId="9086" priority="135196" stopIfTrue="1" operator="greaterThanOrEqual">
      <formula>0.5</formula>
    </cfRule>
  </conditionalFormatting>
  <conditionalFormatting sqref="D63">
    <cfRule type="cellIs" dxfId="9085" priority="135197" stopIfTrue="1" operator="equal">
      <formula>-1</formula>
    </cfRule>
  </conditionalFormatting>
  <conditionalFormatting sqref="D63">
    <cfRule type="cellIs" dxfId="9084" priority="135198" stopIfTrue="1" operator="lessThan">
      <formula>0.5</formula>
    </cfRule>
  </conditionalFormatting>
  <conditionalFormatting sqref="D63">
    <cfRule type="cellIs" dxfId="9083" priority="135199" stopIfTrue="1" operator="greaterThanOrEqual">
      <formula>0.5</formula>
    </cfRule>
  </conditionalFormatting>
  <conditionalFormatting sqref="F60">
    <cfRule type="cellIs" dxfId="9082" priority="135200" stopIfTrue="1" operator="equal">
      <formula>-1</formula>
    </cfRule>
  </conditionalFormatting>
  <conditionalFormatting sqref="F60">
    <cfRule type="cellIs" dxfId="9081" priority="135201" stopIfTrue="1" operator="lessThan">
      <formula>0.5</formula>
    </cfRule>
  </conditionalFormatting>
  <conditionalFormatting sqref="F60">
    <cfRule type="cellIs" dxfId="9080" priority="135202" stopIfTrue="1" operator="greaterThanOrEqual">
      <formula>0.5</formula>
    </cfRule>
  </conditionalFormatting>
  <conditionalFormatting sqref="F61">
    <cfRule type="cellIs" dxfId="9079" priority="135203" stopIfTrue="1" operator="equal">
      <formula>-1</formula>
    </cfRule>
  </conditionalFormatting>
  <conditionalFormatting sqref="F61">
    <cfRule type="cellIs" dxfId="9078" priority="135204" stopIfTrue="1" operator="lessThan">
      <formula>0.5</formula>
    </cfRule>
  </conditionalFormatting>
  <conditionalFormatting sqref="F61">
    <cfRule type="cellIs" dxfId="9077" priority="135205" stopIfTrue="1" operator="greaterThanOrEqual">
      <formula>0.5</formula>
    </cfRule>
  </conditionalFormatting>
  <conditionalFormatting sqref="F62">
    <cfRule type="cellIs" dxfId="9076" priority="135206" stopIfTrue="1" operator="equal">
      <formula>-1</formula>
    </cfRule>
  </conditionalFormatting>
  <conditionalFormatting sqref="F62">
    <cfRule type="cellIs" dxfId="9075" priority="135207" stopIfTrue="1" operator="lessThan">
      <formula>0.5</formula>
    </cfRule>
  </conditionalFormatting>
  <conditionalFormatting sqref="F62">
    <cfRule type="cellIs" dxfId="9074" priority="135208" stopIfTrue="1" operator="greaterThanOrEqual">
      <formula>0.5</formula>
    </cfRule>
  </conditionalFormatting>
  <conditionalFormatting sqref="F63">
    <cfRule type="cellIs" dxfId="9073" priority="135209" stopIfTrue="1" operator="equal">
      <formula>-1</formula>
    </cfRule>
  </conditionalFormatting>
  <conditionalFormatting sqref="F63">
    <cfRule type="cellIs" dxfId="9072" priority="135210" stopIfTrue="1" operator="lessThan">
      <formula>0.5</formula>
    </cfRule>
  </conditionalFormatting>
  <conditionalFormatting sqref="F63">
    <cfRule type="cellIs" dxfId="9071" priority="135211" stopIfTrue="1" operator="greaterThanOrEqual">
      <formula>0.5</formula>
    </cfRule>
  </conditionalFormatting>
  <conditionalFormatting sqref="H60">
    <cfRule type="cellIs" dxfId="9070" priority="135212" stopIfTrue="1" operator="equal">
      <formula>-1</formula>
    </cfRule>
  </conditionalFormatting>
  <conditionalFormatting sqref="H60">
    <cfRule type="cellIs" dxfId="9069" priority="135213" stopIfTrue="1" operator="lessThan">
      <formula>0.5</formula>
    </cfRule>
  </conditionalFormatting>
  <conditionalFormatting sqref="H60">
    <cfRule type="cellIs" dxfId="9068" priority="135214" stopIfTrue="1" operator="greaterThanOrEqual">
      <formula>0.5</formula>
    </cfRule>
  </conditionalFormatting>
  <conditionalFormatting sqref="H61">
    <cfRule type="cellIs" dxfId="9067" priority="135215" stopIfTrue="1" operator="equal">
      <formula>-1</formula>
    </cfRule>
  </conditionalFormatting>
  <conditionalFormatting sqref="H61">
    <cfRule type="cellIs" dxfId="9066" priority="135216" stopIfTrue="1" operator="lessThan">
      <formula>0.5</formula>
    </cfRule>
  </conditionalFormatting>
  <conditionalFormatting sqref="H61">
    <cfRule type="cellIs" dxfId="9065" priority="135217" stopIfTrue="1" operator="greaterThanOrEqual">
      <formula>0.5</formula>
    </cfRule>
  </conditionalFormatting>
  <conditionalFormatting sqref="H62">
    <cfRule type="cellIs" dxfId="9064" priority="135218" stopIfTrue="1" operator="equal">
      <formula>-1</formula>
    </cfRule>
  </conditionalFormatting>
  <conditionalFormatting sqref="H62">
    <cfRule type="cellIs" dxfId="9063" priority="135219" stopIfTrue="1" operator="lessThan">
      <formula>0.5</formula>
    </cfRule>
  </conditionalFormatting>
  <conditionalFormatting sqref="H62">
    <cfRule type="cellIs" dxfId="9062" priority="135220" stopIfTrue="1" operator="greaterThanOrEqual">
      <formula>0.5</formula>
    </cfRule>
  </conditionalFormatting>
  <conditionalFormatting sqref="H63">
    <cfRule type="cellIs" dxfId="9061" priority="135221" stopIfTrue="1" operator="equal">
      <formula>-1</formula>
    </cfRule>
  </conditionalFormatting>
  <conditionalFormatting sqref="H63">
    <cfRule type="cellIs" dxfId="9060" priority="135222" stopIfTrue="1" operator="lessThan">
      <formula>0.5</formula>
    </cfRule>
  </conditionalFormatting>
  <conditionalFormatting sqref="H63">
    <cfRule type="cellIs" dxfId="9059" priority="135223" stopIfTrue="1" operator="greaterThanOrEqual">
      <formula>0.5</formula>
    </cfRule>
  </conditionalFormatting>
  <conditionalFormatting sqref="J60">
    <cfRule type="cellIs" dxfId="9058" priority="135224" stopIfTrue="1" operator="equal">
      <formula>-1</formula>
    </cfRule>
  </conditionalFormatting>
  <conditionalFormatting sqref="J60">
    <cfRule type="cellIs" dxfId="9057" priority="135225" stopIfTrue="1" operator="lessThan">
      <formula>0.5</formula>
    </cfRule>
  </conditionalFormatting>
  <conditionalFormatting sqref="J60">
    <cfRule type="cellIs" dxfId="9056" priority="135226" stopIfTrue="1" operator="greaterThanOrEqual">
      <formula>0.5</formula>
    </cfRule>
  </conditionalFormatting>
  <conditionalFormatting sqref="J61">
    <cfRule type="cellIs" dxfId="9055" priority="135227" stopIfTrue="1" operator="equal">
      <formula>-1</formula>
    </cfRule>
  </conditionalFormatting>
  <conditionalFormatting sqref="J61">
    <cfRule type="cellIs" dxfId="9054" priority="135228" stopIfTrue="1" operator="lessThan">
      <formula>0.5</formula>
    </cfRule>
  </conditionalFormatting>
  <conditionalFormatting sqref="J61">
    <cfRule type="cellIs" dxfId="9053" priority="135229" stopIfTrue="1" operator="greaterThanOrEqual">
      <formula>0.5</formula>
    </cfRule>
  </conditionalFormatting>
  <conditionalFormatting sqref="J62">
    <cfRule type="cellIs" dxfId="9052" priority="135230" stopIfTrue="1" operator="equal">
      <formula>-1</formula>
    </cfRule>
  </conditionalFormatting>
  <conditionalFormatting sqref="J62">
    <cfRule type="cellIs" dxfId="9051" priority="135231" stopIfTrue="1" operator="lessThan">
      <formula>0.5</formula>
    </cfRule>
  </conditionalFormatting>
  <conditionalFormatting sqref="J62">
    <cfRule type="cellIs" dxfId="9050" priority="135232" stopIfTrue="1" operator="greaterThanOrEqual">
      <formula>0.5</formula>
    </cfRule>
  </conditionalFormatting>
  <conditionalFormatting sqref="J63">
    <cfRule type="cellIs" dxfId="9049" priority="135233" stopIfTrue="1" operator="equal">
      <formula>-1</formula>
    </cfRule>
  </conditionalFormatting>
  <conditionalFormatting sqref="J63">
    <cfRule type="cellIs" dxfId="9048" priority="135234" stopIfTrue="1" operator="lessThan">
      <formula>0.5</formula>
    </cfRule>
  </conditionalFormatting>
  <conditionalFormatting sqref="J63">
    <cfRule type="cellIs" dxfId="9047" priority="135235" stopIfTrue="1" operator="greaterThanOrEqual">
      <formula>0.5</formula>
    </cfRule>
  </conditionalFormatting>
  <conditionalFormatting sqref="L60">
    <cfRule type="cellIs" dxfId="9046" priority="135236" stopIfTrue="1" operator="equal">
      <formula>-1</formula>
    </cfRule>
  </conditionalFormatting>
  <conditionalFormatting sqref="L60">
    <cfRule type="cellIs" dxfId="9045" priority="135237" stopIfTrue="1" operator="lessThan">
      <formula>0.5</formula>
    </cfRule>
  </conditionalFormatting>
  <conditionalFormatting sqref="L60">
    <cfRule type="cellIs" dxfId="9044" priority="135238" stopIfTrue="1" operator="greaterThanOrEqual">
      <formula>0.5</formula>
    </cfRule>
  </conditionalFormatting>
  <conditionalFormatting sqref="L61">
    <cfRule type="cellIs" dxfId="9043" priority="135239" stopIfTrue="1" operator="equal">
      <formula>-1</formula>
    </cfRule>
  </conditionalFormatting>
  <conditionalFormatting sqref="L61">
    <cfRule type="cellIs" dxfId="9042" priority="135240" stopIfTrue="1" operator="lessThan">
      <formula>0.5</formula>
    </cfRule>
  </conditionalFormatting>
  <conditionalFormatting sqref="L61">
    <cfRule type="cellIs" dxfId="9041" priority="135241" stopIfTrue="1" operator="greaterThanOrEqual">
      <formula>0.5</formula>
    </cfRule>
  </conditionalFormatting>
  <conditionalFormatting sqref="L62">
    <cfRule type="cellIs" dxfId="9040" priority="135242" stopIfTrue="1" operator="equal">
      <formula>-1</formula>
    </cfRule>
  </conditionalFormatting>
  <conditionalFormatting sqref="L62">
    <cfRule type="cellIs" dxfId="9039" priority="135243" stopIfTrue="1" operator="lessThan">
      <formula>0.5</formula>
    </cfRule>
  </conditionalFormatting>
  <conditionalFormatting sqref="L62">
    <cfRule type="cellIs" dxfId="9038" priority="135244" stopIfTrue="1" operator="greaterThanOrEqual">
      <formula>0.5</formula>
    </cfRule>
  </conditionalFormatting>
  <conditionalFormatting sqref="L63">
    <cfRule type="cellIs" dxfId="9037" priority="135245" stopIfTrue="1" operator="equal">
      <formula>-1</formula>
    </cfRule>
  </conditionalFormatting>
  <conditionalFormatting sqref="L63">
    <cfRule type="cellIs" dxfId="9036" priority="135246" stopIfTrue="1" operator="lessThan">
      <formula>0.5</formula>
    </cfRule>
  </conditionalFormatting>
  <conditionalFormatting sqref="L63">
    <cfRule type="cellIs" dxfId="9035" priority="135247" stopIfTrue="1" operator="greaterThanOrEqual">
      <formula>0.5</formula>
    </cfRule>
  </conditionalFormatting>
  <conditionalFormatting sqref="N60">
    <cfRule type="cellIs" dxfId="9034" priority="135248" stopIfTrue="1" operator="equal">
      <formula>-1</formula>
    </cfRule>
  </conditionalFormatting>
  <conditionalFormatting sqref="N60">
    <cfRule type="cellIs" dxfId="9033" priority="135249" stopIfTrue="1" operator="lessThan">
      <formula>0.5</formula>
    </cfRule>
  </conditionalFormatting>
  <conditionalFormatting sqref="N60">
    <cfRule type="cellIs" dxfId="9032" priority="135250" stopIfTrue="1" operator="greaterThanOrEqual">
      <formula>0.5</formula>
    </cfRule>
  </conditionalFormatting>
  <conditionalFormatting sqref="N61">
    <cfRule type="cellIs" dxfId="9031" priority="135251" stopIfTrue="1" operator="equal">
      <formula>-1</formula>
    </cfRule>
  </conditionalFormatting>
  <conditionalFormatting sqref="N61">
    <cfRule type="cellIs" dxfId="9030" priority="135252" stopIfTrue="1" operator="lessThan">
      <formula>0.5</formula>
    </cfRule>
  </conditionalFormatting>
  <conditionalFormatting sqref="N61">
    <cfRule type="cellIs" dxfId="9029" priority="135253" stopIfTrue="1" operator="greaterThanOrEqual">
      <formula>0.5</formula>
    </cfRule>
  </conditionalFormatting>
  <conditionalFormatting sqref="N62">
    <cfRule type="cellIs" dxfId="9028" priority="135254" stopIfTrue="1" operator="equal">
      <formula>-1</formula>
    </cfRule>
  </conditionalFormatting>
  <conditionalFormatting sqref="N62">
    <cfRule type="cellIs" dxfId="9027" priority="135255" stopIfTrue="1" operator="lessThan">
      <formula>0.5</formula>
    </cfRule>
  </conditionalFormatting>
  <conditionalFormatting sqref="N62">
    <cfRule type="cellIs" dxfId="9026" priority="135256" stopIfTrue="1" operator="greaterThanOrEqual">
      <formula>0.5</formula>
    </cfRule>
  </conditionalFormatting>
  <conditionalFormatting sqref="N63">
    <cfRule type="cellIs" dxfId="9025" priority="135257" stopIfTrue="1" operator="equal">
      <formula>-1</formula>
    </cfRule>
  </conditionalFormatting>
  <conditionalFormatting sqref="N63">
    <cfRule type="cellIs" dxfId="9024" priority="135258" stopIfTrue="1" operator="lessThan">
      <formula>0.5</formula>
    </cfRule>
  </conditionalFormatting>
  <conditionalFormatting sqref="N63">
    <cfRule type="cellIs" dxfId="9023" priority="135259" stopIfTrue="1" operator="greaterThanOrEqual">
      <formula>0.5</formula>
    </cfRule>
  </conditionalFormatting>
  <conditionalFormatting sqref="P60">
    <cfRule type="cellIs" dxfId="9022" priority="135260" stopIfTrue="1" operator="equal">
      <formula>-1</formula>
    </cfRule>
  </conditionalFormatting>
  <conditionalFormatting sqref="P60">
    <cfRule type="cellIs" dxfId="9021" priority="135261" stopIfTrue="1" operator="lessThan">
      <formula>0.5</formula>
    </cfRule>
  </conditionalFormatting>
  <conditionalFormatting sqref="P60">
    <cfRule type="cellIs" dxfId="9020" priority="135262" stopIfTrue="1" operator="greaterThanOrEqual">
      <formula>0.5</formula>
    </cfRule>
  </conditionalFormatting>
  <conditionalFormatting sqref="P61">
    <cfRule type="cellIs" dxfId="9019" priority="135263" stopIfTrue="1" operator="equal">
      <formula>-1</formula>
    </cfRule>
  </conditionalFormatting>
  <conditionalFormatting sqref="P61">
    <cfRule type="cellIs" dxfId="9018" priority="135264" stopIfTrue="1" operator="lessThan">
      <formula>0.5</formula>
    </cfRule>
  </conditionalFormatting>
  <conditionalFormatting sqref="P61">
    <cfRule type="cellIs" dxfId="9017" priority="135265" stopIfTrue="1" operator="greaterThanOrEqual">
      <formula>0.5</formula>
    </cfRule>
  </conditionalFormatting>
  <conditionalFormatting sqref="P62">
    <cfRule type="cellIs" dxfId="9016" priority="135266" stopIfTrue="1" operator="equal">
      <formula>-1</formula>
    </cfRule>
  </conditionalFormatting>
  <conditionalFormatting sqref="P62">
    <cfRule type="cellIs" dxfId="9015" priority="135267" stopIfTrue="1" operator="lessThan">
      <formula>0.5</formula>
    </cfRule>
  </conditionalFormatting>
  <conditionalFormatting sqref="P62">
    <cfRule type="cellIs" dxfId="9014" priority="135268" stopIfTrue="1" operator="greaterThanOrEqual">
      <formula>0.5</formula>
    </cfRule>
  </conditionalFormatting>
  <conditionalFormatting sqref="P63">
    <cfRule type="cellIs" dxfId="9013" priority="135269" stopIfTrue="1" operator="equal">
      <formula>-1</formula>
    </cfRule>
  </conditionalFormatting>
  <conditionalFormatting sqref="P63">
    <cfRule type="cellIs" dxfId="9012" priority="135270" stopIfTrue="1" operator="lessThan">
      <formula>0.5</formula>
    </cfRule>
  </conditionalFormatting>
  <conditionalFormatting sqref="P63">
    <cfRule type="cellIs" dxfId="9011" priority="135271" stopIfTrue="1" operator="greaterThanOrEqual">
      <formula>0.5</formula>
    </cfRule>
  </conditionalFormatting>
  <conditionalFormatting sqref="R60">
    <cfRule type="cellIs" dxfId="9010" priority="135272" stopIfTrue="1" operator="equal">
      <formula>-1</formula>
    </cfRule>
  </conditionalFormatting>
  <conditionalFormatting sqref="R60">
    <cfRule type="cellIs" dxfId="9009" priority="135273" stopIfTrue="1" operator="lessThan">
      <formula>0.5</formula>
    </cfRule>
  </conditionalFormatting>
  <conditionalFormatting sqref="R60">
    <cfRule type="cellIs" dxfId="9008" priority="135274" stopIfTrue="1" operator="greaterThanOrEqual">
      <formula>0.5</formula>
    </cfRule>
  </conditionalFormatting>
  <conditionalFormatting sqref="R61">
    <cfRule type="cellIs" dxfId="9007" priority="135275" stopIfTrue="1" operator="equal">
      <formula>-1</formula>
    </cfRule>
  </conditionalFormatting>
  <conditionalFormatting sqref="R61">
    <cfRule type="cellIs" dxfId="9006" priority="135276" stopIfTrue="1" operator="lessThan">
      <formula>0.5</formula>
    </cfRule>
  </conditionalFormatting>
  <conditionalFormatting sqref="R61">
    <cfRule type="cellIs" dxfId="9005" priority="135277" stopIfTrue="1" operator="greaterThanOrEqual">
      <formula>0.5</formula>
    </cfRule>
  </conditionalFormatting>
  <conditionalFormatting sqref="R62">
    <cfRule type="cellIs" dxfId="9004" priority="135278" stopIfTrue="1" operator="equal">
      <formula>-1</formula>
    </cfRule>
  </conditionalFormatting>
  <conditionalFormatting sqref="R62">
    <cfRule type="cellIs" dxfId="9003" priority="135279" stopIfTrue="1" operator="lessThan">
      <formula>0.5</formula>
    </cfRule>
  </conditionalFormatting>
  <conditionalFormatting sqref="R62">
    <cfRule type="cellIs" dxfId="9002" priority="135280" stopIfTrue="1" operator="greaterThanOrEqual">
      <formula>0.5</formula>
    </cfRule>
  </conditionalFormatting>
  <conditionalFormatting sqref="R63">
    <cfRule type="cellIs" dxfId="9001" priority="135281" stopIfTrue="1" operator="equal">
      <formula>-1</formula>
    </cfRule>
  </conditionalFormatting>
  <conditionalFormatting sqref="R63">
    <cfRule type="cellIs" dxfId="9000" priority="135282" stopIfTrue="1" operator="lessThan">
      <formula>0.5</formula>
    </cfRule>
  </conditionalFormatting>
  <conditionalFormatting sqref="R63">
    <cfRule type="cellIs" dxfId="8999" priority="135283" stopIfTrue="1" operator="greaterThanOrEqual">
      <formula>0.5</formula>
    </cfRule>
  </conditionalFormatting>
  <conditionalFormatting sqref="T60">
    <cfRule type="cellIs" dxfId="8998" priority="135284" stopIfTrue="1" operator="equal">
      <formula>-1</formula>
    </cfRule>
  </conditionalFormatting>
  <conditionalFormatting sqref="T60">
    <cfRule type="cellIs" dxfId="8997" priority="135285" stopIfTrue="1" operator="lessThan">
      <formula>0.5</formula>
    </cfRule>
  </conditionalFormatting>
  <conditionalFormatting sqref="T60">
    <cfRule type="cellIs" dxfId="8996" priority="135286" stopIfTrue="1" operator="greaterThanOrEqual">
      <formula>0.5</formula>
    </cfRule>
  </conditionalFormatting>
  <conditionalFormatting sqref="T61">
    <cfRule type="cellIs" dxfId="8995" priority="135287" stopIfTrue="1" operator="equal">
      <formula>-1</formula>
    </cfRule>
  </conditionalFormatting>
  <conditionalFormatting sqref="T61">
    <cfRule type="cellIs" dxfId="8994" priority="135288" stopIfTrue="1" operator="lessThan">
      <formula>0.5</formula>
    </cfRule>
  </conditionalFormatting>
  <conditionalFormatting sqref="T61">
    <cfRule type="cellIs" dxfId="8993" priority="135289" stopIfTrue="1" operator="greaterThanOrEqual">
      <formula>0.5</formula>
    </cfRule>
  </conditionalFormatting>
  <conditionalFormatting sqref="T62">
    <cfRule type="cellIs" dxfId="8992" priority="135290" stopIfTrue="1" operator="equal">
      <formula>-1</formula>
    </cfRule>
  </conditionalFormatting>
  <conditionalFormatting sqref="T62">
    <cfRule type="cellIs" dxfId="8991" priority="135291" stopIfTrue="1" operator="lessThan">
      <formula>0.5</formula>
    </cfRule>
  </conditionalFormatting>
  <conditionalFormatting sqref="T62">
    <cfRule type="cellIs" dxfId="8990" priority="135292" stopIfTrue="1" operator="greaterThanOrEqual">
      <formula>0.5</formula>
    </cfRule>
  </conditionalFormatting>
  <conditionalFormatting sqref="T63">
    <cfRule type="cellIs" dxfId="8989" priority="135293" stopIfTrue="1" operator="equal">
      <formula>-1</formula>
    </cfRule>
  </conditionalFormatting>
  <conditionalFormatting sqref="T63">
    <cfRule type="cellIs" dxfId="8988" priority="135294" stopIfTrue="1" operator="lessThan">
      <formula>0.5</formula>
    </cfRule>
  </conditionalFormatting>
  <conditionalFormatting sqref="T63">
    <cfRule type="cellIs" dxfId="8987" priority="135295" stopIfTrue="1" operator="greaterThanOrEqual">
      <formula>0.5</formula>
    </cfRule>
  </conditionalFormatting>
  <conditionalFormatting sqref="V60">
    <cfRule type="cellIs" dxfId="8986" priority="135296" stopIfTrue="1" operator="equal">
      <formula>-1</formula>
    </cfRule>
  </conditionalFormatting>
  <conditionalFormatting sqref="V60">
    <cfRule type="cellIs" dxfId="8985" priority="135297" stopIfTrue="1" operator="lessThan">
      <formula>0.5</formula>
    </cfRule>
  </conditionalFormatting>
  <conditionalFormatting sqref="V60">
    <cfRule type="cellIs" dxfId="8984" priority="135298" stopIfTrue="1" operator="greaterThanOrEqual">
      <formula>0.5</formula>
    </cfRule>
  </conditionalFormatting>
  <conditionalFormatting sqref="V61">
    <cfRule type="cellIs" dxfId="8983" priority="135299" stopIfTrue="1" operator="equal">
      <formula>-1</formula>
    </cfRule>
  </conditionalFormatting>
  <conditionalFormatting sqref="V61">
    <cfRule type="cellIs" dxfId="8982" priority="135300" stopIfTrue="1" operator="lessThan">
      <formula>0.5</formula>
    </cfRule>
  </conditionalFormatting>
  <conditionalFormatting sqref="V61">
    <cfRule type="cellIs" dxfId="8981" priority="135301" stopIfTrue="1" operator="greaterThanOrEqual">
      <formula>0.5</formula>
    </cfRule>
  </conditionalFormatting>
  <conditionalFormatting sqref="V62">
    <cfRule type="cellIs" dxfId="8980" priority="135302" stopIfTrue="1" operator="equal">
      <formula>-1</formula>
    </cfRule>
  </conditionalFormatting>
  <conditionalFormatting sqref="V62">
    <cfRule type="cellIs" dxfId="8979" priority="135303" stopIfTrue="1" operator="lessThan">
      <formula>0.5</formula>
    </cfRule>
  </conditionalFormatting>
  <conditionalFormatting sqref="V62">
    <cfRule type="cellIs" dxfId="8978" priority="135304" stopIfTrue="1" operator="greaterThanOrEqual">
      <formula>0.5</formula>
    </cfRule>
  </conditionalFormatting>
  <conditionalFormatting sqref="V63">
    <cfRule type="cellIs" dxfId="8977" priority="135305" stopIfTrue="1" operator="equal">
      <formula>-1</formula>
    </cfRule>
  </conditionalFormatting>
  <conditionalFormatting sqref="V63">
    <cfRule type="cellIs" dxfId="8976" priority="135306" stopIfTrue="1" operator="lessThan">
      <formula>0.5</formula>
    </cfRule>
  </conditionalFormatting>
  <conditionalFormatting sqref="V63">
    <cfRule type="cellIs" dxfId="8975" priority="135307" stopIfTrue="1" operator="greaterThanOrEqual">
      <formula>0.5</formula>
    </cfRule>
  </conditionalFormatting>
  <conditionalFormatting sqref="X60">
    <cfRule type="cellIs" dxfId="8974" priority="135308" stopIfTrue="1" operator="equal">
      <formula>-1</formula>
    </cfRule>
  </conditionalFormatting>
  <conditionalFormatting sqref="X60">
    <cfRule type="cellIs" dxfId="8973" priority="135309" stopIfTrue="1" operator="lessThan">
      <formula>0.5</formula>
    </cfRule>
  </conditionalFormatting>
  <conditionalFormatting sqref="X60">
    <cfRule type="cellIs" dxfId="8972" priority="135310" stopIfTrue="1" operator="greaterThanOrEqual">
      <formula>0.5</formula>
    </cfRule>
  </conditionalFormatting>
  <conditionalFormatting sqref="X61">
    <cfRule type="cellIs" dxfId="8971" priority="135311" stopIfTrue="1" operator="equal">
      <formula>-1</formula>
    </cfRule>
  </conditionalFormatting>
  <conditionalFormatting sqref="X61">
    <cfRule type="cellIs" dxfId="8970" priority="135312" stopIfTrue="1" operator="lessThan">
      <formula>0.5</formula>
    </cfRule>
  </conditionalFormatting>
  <conditionalFormatting sqref="X61">
    <cfRule type="cellIs" dxfId="8969" priority="135313" stopIfTrue="1" operator="greaterThanOrEqual">
      <formula>0.5</formula>
    </cfRule>
  </conditionalFormatting>
  <conditionalFormatting sqref="X62">
    <cfRule type="cellIs" dxfId="8968" priority="135314" stopIfTrue="1" operator="equal">
      <formula>-1</formula>
    </cfRule>
  </conditionalFormatting>
  <conditionalFormatting sqref="X62">
    <cfRule type="cellIs" dxfId="8967" priority="135315" stopIfTrue="1" operator="lessThan">
      <formula>0.5</formula>
    </cfRule>
  </conditionalFormatting>
  <conditionalFormatting sqref="X62">
    <cfRule type="cellIs" dxfId="8966" priority="135316" stopIfTrue="1" operator="greaterThanOrEqual">
      <formula>0.5</formula>
    </cfRule>
  </conditionalFormatting>
  <conditionalFormatting sqref="X63">
    <cfRule type="cellIs" dxfId="8965" priority="135317" stopIfTrue="1" operator="equal">
      <formula>-1</formula>
    </cfRule>
  </conditionalFormatting>
  <conditionalFormatting sqref="X63">
    <cfRule type="cellIs" dxfId="8964" priority="135318" stopIfTrue="1" operator="lessThan">
      <formula>0.5</formula>
    </cfRule>
  </conditionalFormatting>
  <conditionalFormatting sqref="X63">
    <cfRule type="cellIs" dxfId="8963" priority="135319" stopIfTrue="1" operator="greaterThanOrEqual">
      <formula>0.5</formula>
    </cfRule>
  </conditionalFormatting>
  <conditionalFormatting sqref="Z60">
    <cfRule type="cellIs" dxfId="8962" priority="135320" stopIfTrue="1" operator="equal">
      <formula>-1</formula>
    </cfRule>
  </conditionalFormatting>
  <conditionalFormatting sqref="Z60">
    <cfRule type="cellIs" dxfId="8961" priority="135321" stopIfTrue="1" operator="lessThan">
      <formula>0.5</formula>
    </cfRule>
  </conditionalFormatting>
  <conditionalFormatting sqref="Z60">
    <cfRule type="cellIs" dxfId="8960" priority="135322" stopIfTrue="1" operator="greaterThanOrEqual">
      <formula>0.5</formula>
    </cfRule>
  </conditionalFormatting>
  <conditionalFormatting sqref="Z61">
    <cfRule type="cellIs" dxfId="8959" priority="135323" stopIfTrue="1" operator="equal">
      <formula>-1</formula>
    </cfRule>
  </conditionalFormatting>
  <conditionalFormatting sqref="Z61">
    <cfRule type="cellIs" dxfId="8958" priority="135324" stopIfTrue="1" operator="lessThan">
      <formula>0.5</formula>
    </cfRule>
  </conditionalFormatting>
  <conditionalFormatting sqref="Z61">
    <cfRule type="cellIs" dxfId="8957" priority="135325" stopIfTrue="1" operator="greaterThanOrEqual">
      <formula>0.5</formula>
    </cfRule>
  </conditionalFormatting>
  <conditionalFormatting sqref="Z62">
    <cfRule type="cellIs" dxfId="8956" priority="135326" stopIfTrue="1" operator="equal">
      <formula>-1</formula>
    </cfRule>
  </conditionalFormatting>
  <conditionalFormatting sqref="Z62">
    <cfRule type="cellIs" dxfId="8955" priority="135327" stopIfTrue="1" operator="lessThan">
      <formula>0.5</formula>
    </cfRule>
  </conditionalFormatting>
  <conditionalFormatting sqref="Z62">
    <cfRule type="cellIs" dxfId="8954" priority="135328" stopIfTrue="1" operator="greaterThanOrEqual">
      <formula>0.5</formula>
    </cfRule>
  </conditionalFormatting>
  <conditionalFormatting sqref="Z63">
    <cfRule type="cellIs" dxfId="8953" priority="135329" stopIfTrue="1" operator="equal">
      <formula>-1</formula>
    </cfRule>
  </conditionalFormatting>
  <conditionalFormatting sqref="Z63">
    <cfRule type="cellIs" dxfId="8952" priority="135330" stopIfTrue="1" operator="lessThan">
      <formula>0.5</formula>
    </cfRule>
  </conditionalFormatting>
  <conditionalFormatting sqref="Z63">
    <cfRule type="cellIs" dxfId="8951" priority="135331" stopIfTrue="1" operator="greaterThanOrEqual">
      <formula>0.5</formula>
    </cfRule>
  </conditionalFormatting>
  <conditionalFormatting sqref="AB60">
    <cfRule type="cellIs" dxfId="8950" priority="135332" stopIfTrue="1" operator="equal">
      <formula>-1</formula>
    </cfRule>
  </conditionalFormatting>
  <conditionalFormatting sqref="AB60">
    <cfRule type="cellIs" dxfId="8949" priority="135333" stopIfTrue="1" operator="lessThan">
      <formula>0.5</formula>
    </cfRule>
  </conditionalFormatting>
  <conditionalFormatting sqref="AB60">
    <cfRule type="cellIs" dxfId="8948" priority="135334" stopIfTrue="1" operator="greaterThanOrEqual">
      <formula>0.5</formula>
    </cfRule>
  </conditionalFormatting>
  <conditionalFormatting sqref="AB61">
    <cfRule type="cellIs" dxfId="8947" priority="135335" stopIfTrue="1" operator="equal">
      <formula>-1</formula>
    </cfRule>
  </conditionalFormatting>
  <conditionalFormatting sqref="AB61">
    <cfRule type="cellIs" dxfId="8946" priority="135336" stopIfTrue="1" operator="lessThan">
      <formula>0.5</formula>
    </cfRule>
  </conditionalFormatting>
  <conditionalFormatting sqref="AB61">
    <cfRule type="cellIs" dxfId="8945" priority="135337" stopIfTrue="1" operator="greaterThanOrEqual">
      <formula>0.5</formula>
    </cfRule>
  </conditionalFormatting>
  <conditionalFormatting sqref="AB62">
    <cfRule type="cellIs" dxfId="8944" priority="135338" stopIfTrue="1" operator="equal">
      <formula>-1</formula>
    </cfRule>
  </conditionalFormatting>
  <conditionalFormatting sqref="AB62">
    <cfRule type="cellIs" dxfId="8943" priority="135339" stopIfTrue="1" operator="lessThan">
      <formula>0.5</formula>
    </cfRule>
  </conditionalFormatting>
  <conditionalFormatting sqref="AB62">
    <cfRule type="cellIs" dxfId="8942" priority="135340" stopIfTrue="1" operator="greaterThanOrEqual">
      <formula>0.5</formula>
    </cfRule>
  </conditionalFormatting>
  <conditionalFormatting sqref="AB63">
    <cfRule type="cellIs" dxfId="8941" priority="135341" stopIfTrue="1" operator="equal">
      <formula>-1</formula>
    </cfRule>
  </conditionalFormatting>
  <conditionalFormatting sqref="AB63">
    <cfRule type="cellIs" dxfId="8940" priority="135342" stopIfTrue="1" operator="lessThan">
      <formula>0.5</formula>
    </cfRule>
  </conditionalFormatting>
  <conditionalFormatting sqref="AB63">
    <cfRule type="cellIs" dxfId="8939" priority="135343" stopIfTrue="1" operator="greaterThanOrEqual">
      <formula>0.5</formula>
    </cfRule>
  </conditionalFormatting>
  <conditionalFormatting sqref="AD60">
    <cfRule type="cellIs" dxfId="8938" priority="135344" stopIfTrue="1" operator="equal">
      <formula>-1</formula>
    </cfRule>
  </conditionalFormatting>
  <conditionalFormatting sqref="AD60">
    <cfRule type="cellIs" dxfId="8937" priority="135345" stopIfTrue="1" operator="lessThan">
      <formula>0.5</formula>
    </cfRule>
  </conditionalFormatting>
  <conditionalFormatting sqref="AD60">
    <cfRule type="cellIs" dxfId="8936" priority="135346" stopIfTrue="1" operator="greaterThanOrEqual">
      <formula>0.5</formula>
    </cfRule>
  </conditionalFormatting>
  <conditionalFormatting sqref="AD61">
    <cfRule type="cellIs" dxfId="8935" priority="135347" stopIfTrue="1" operator="equal">
      <formula>-1</formula>
    </cfRule>
  </conditionalFormatting>
  <conditionalFormatting sqref="AD61">
    <cfRule type="cellIs" dxfId="8934" priority="135348" stopIfTrue="1" operator="lessThan">
      <formula>0.5</formula>
    </cfRule>
  </conditionalFormatting>
  <conditionalFormatting sqref="AD61">
    <cfRule type="cellIs" dxfId="8933" priority="135349" stopIfTrue="1" operator="greaterThanOrEqual">
      <formula>0.5</formula>
    </cfRule>
  </conditionalFormatting>
  <conditionalFormatting sqref="AD62">
    <cfRule type="cellIs" dxfId="8932" priority="135350" stopIfTrue="1" operator="equal">
      <formula>-1</formula>
    </cfRule>
  </conditionalFormatting>
  <conditionalFormatting sqref="AD62">
    <cfRule type="cellIs" dxfId="8931" priority="135351" stopIfTrue="1" operator="lessThan">
      <formula>0.5</formula>
    </cfRule>
  </conditionalFormatting>
  <conditionalFormatting sqref="AD62">
    <cfRule type="cellIs" dxfId="8930" priority="135352" stopIfTrue="1" operator="greaterThanOrEqual">
      <formula>0.5</formula>
    </cfRule>
  </conditionalFormatting>
  <conditionalFormatting sqref="AD63">
    <cfRule type="cellIs" dxfId="8929" priority="135353" stopIfTrue="1" operator="equal">
      <formula>-1</formula>
    </cfRule>
  </conditionalFormatting>
  <conditionalFormatting sqref="AD63">
    <cfRule type="cellIs" dxfId="8928" priority="135354" stopIfTrue="1" operator="lessThan">
      <formula>0.5</formula>
    </cfRule>
  </conditionalFormatting>
  <conditionalFormatting sqref="AD63">
    <cfRule type="cellIs" dxfId="8927" priority="135355" stopIfTrue="1" operator="greaterThanOrEqual">
      <formula>0.5</formula>
    </cfRule>
  </conditionalFormatting>
  <conditionalFormatting sqref="AF60">
    <cfRule type="cellIs" dxfId="8926" priority="135356" stopIfTrue="1" operator="equal">
      <formula>-1</formula>
    </cfRule>
  </conditionalFormatting>
  <conditionalFormatting sqref="AF60">
    <cfRule type="cellIs" dxfId="8925" priority="135357" stopIfTrue="1" operator="lessThan">
      <formula>0.5</formula>
    </cfRule>
  </conditionalFormatting>
  <conditionalFormatting sqref="AF60">
    <cfRule type="cellIs" dxfId="8924" priority="135358" stopIfTrue="1" operator="greaterThanOrEqual">
      <formula>0.5</formula>
    </cfRule>
  </conditionalFormatting>
  <conditionalFormatting sqref="AF61">
    <cfRule type="cellIs" dxfId="8923" priority="135359" stopIfTrue="1" operator="equal">
      <formula>-1</formula>
    </cfRule>
  </conditionalFormatting>
  <conditionalFormatting sqref="AF61">
    <cfRule type="cellIs" dxfId="8922" priority="135360" stopIfTrue="1" operator="lessThan">
      <formula>0.5</formula>
    </cfRule>
  </conditionalFormatting>
  <conditionalFormatting sqref="AF61">
    <cfRule type="cellIs" dxfId="8921" priority="135361" stopIfTrue="1" operator="greaterThanOrEqual">
      <formula>0.5</formula>
    </cfRule>
  </conditionalFormatting>
  <conditionalFormatting sqref="AF62">
    <cfRule type="cellIs" dxfId="8920" priority="135362" stopIfTrue="1" operator="equal">
      <formula>-1</formula>
    </cfRule>
  </conditionalFormatting>
  <conditionalFormatting sqref="AF62">
    <cfRule type="cellIs" dxfId="8919" priority="135363" stopIfTrue="1" operator="lessThan">
      <formula>0.5</formula>
    </cfRule>
  </conditionalFormatting>
  <conditionalFormatting sqref="AF62">
    <cfRule type="cellIs" dxfId="8918" priority="135364" stopIfTrue="1" operator="greaterThanOrEqual">
      <formula>0.5</formula>
    </cfRule>
  </conditionalFormatting>
  <conditionalFormatting sqref="AF63">
    <cfRule type="cellIs" dxfId="8917" priority="135365" stopIfTrue="1" operator="equal">
      <formula>-1</formula>
    </cfRule>
  </conditionalFormatting>
  <conditionalFormatting sqref="AF63">
    <cfRule type="cellIs" dxfId="8916" priority="135366" stopIfTrue="1" operator="lessThan">
      <formula>0.5</formula>
    </cfRule>
  </conditionalFormatting>
  <conditionalFormatting sqref="AF63">
    <cfRule type="cellIs" dxfId="8915" priority="135367" stopIfTrue="1" operator="greaterThanOrEqual">
      <formula>0.5</formula>
    </cfRule>
  </conditionalFormatting>
  <conditionalFormatting sqref="AH60">
    <cfRule type="cellIs" dxfId="8914" priority="135368" stopIfTrue="1" operator="equal">
      <formula>-1</formula>
    </cfRule>
  </conditionalFormatting>
  <conditionalFormatting sqref="AH60">
    <cfRule type="cellIs" dxfId="8913" priority="135369" stopIfTrue="1" operator="lessThan">
      <formula>0.5</formula>
    </cfRule>
  </conditionalFormatting>
  <conditionalFormatting sqref="AH60">
    <cfRule type="cellIs" dxfId="8912" priority="135370" stopIfTrue="1" operator="greaterThanOrEqual">
      <formula>0.5</formula>
    </cfRule>
  </conditionalFormatting>
  <conditionalFormatting sqref="AH61">
    <cfRule type="cellIs" dxfId="8911" priority="135371" stopIfTrue="1" operator="equal">
      <formula>-1</formula>
    </cfRule>
  </conditionalFormatting>
  <conditionalFormatting sqref="AH61">
    <cfRule type="cellIs" dxfId="8910" priority="135372" stopIfTrue="1" operator="lessThan">
      <formula>0.5</formula>
    </cfRule>
  </conditionalFormatting>
  <conditionalFormatting sqref="AH61">
    <cfRule type="cellIs" dxfId="8909" priority="135373" stopIfTrue="1" operator="greaterThanOrEqual">
      <formula>0.5</formula>
    </cfRule>
  </conditionalFormatting>
  <conditionalFormatting sqref="AH62">
    <cfRule type="cellIs" dxfId="8908" priority="135374" stopIfTrue="1" operator="equal">
      <formula>-1</formula>
    </cfRule>
  </conditionalFormatting>
  <conditionalFormatting sqref="AH62">
    <cfRule type="cellIs" dxfId="8907" priority="135375" stopIfTrue="1" operator="lessThan">
      <formula>0.5</formula>
    </cfRule>
  </conditionalFormatting>
  <conditionalFormatting sqref="AH62">
    <cfRule type="cellIs" dxfId="8906" priority="135376" stopIfTrue="1" operator="greaterThanOrEqual">
      <formula>0.5</formula>
    </cfRule>
  </conditionalFormatting>
  <conditionalFormatting sqref="AH63">
    <cfRule type="cellIs" dxfId="8905" priority="135377" stopIfTrue="1" operator="equal">
      <formula>-1</formula>
    </cfRule>
  </conditionalFormatting>
  <conditionalFormatting sqref="AH63">
    <cfRule type="cellIs" dxfId="8904" priority="135378" stopIfTrue="1" operator="lessThan">
      <formula>0.5</formula>
    </cfRule>
  </conditionalFormatting>
  <conditionalFormatting sqref="AH63">
    <cfRule type="cellIs" dxfId="8903" priority="135379" stopIfTrue="1" operator="greaterThanOrEqual">
      <formula>0.5</formula>
    </cfRule>
  </conditionalFormatting>
  <conditionalFormatting sqref="AJ60">
    <cfRule type="cellIs" dxfId="8902" priority="135380" stopIfTrue="1" operator="equal">
      <formula>-1</formula>
    </cfRule>
  </conditionalFormatting>
  <conditionalFormatting sqref="AJ60">
    <cfRule type="cellIs" dxfId="8901" priority="135381" stopIfTrue="1" operator="lessThan">
      <formula>0.5</formula>
    </cfRule>
  </conditionalFormatting>
  <conditionalFormatting sqref="AJ60">
    <cfRule type="cellIs" dxfId="8900" priority="135382" stopIfTrue="1" operator="greaterThanOrEqual">
      <formula>0.5</formula>
    </cfRule>
  </conditionalFormatting>
  <conditionalFormatting sqref="AJ61">
    <cfRule type="cellIs" dxfId="8899" priority="135383" stopIfTrue="1" operator="equal">
      <formula>-1</formula>
    </cfRule>
  </conditionalFormatting>
  <conditionalFormatting sqref="AJ61">
    <cfRule type="cellIs" dxfId="8898" priority="135384" stopIfTrue="1" operator="lessThan">
      <formula>0.5</formula>
    </cfRule>
  </conditionalFormatting>
  <conditionalFormatting sqref="AJ61">
    <cfRule type="cellIs" dxfId="8897" priority="135385" stopIfTrue="1" operator="greaterThanOrEqual">
      <formula>0.5</formula>
    </cfRule>
  </conditionalFormatting>
  <conditionalFormatting sqref="AJ62">
    <cfRule type="cellIs" dxfId="8896" priority="135386" stopIfTrue="1" operator="equal">
      <formula>-1</formula>
    </cfRule>
  </conditionalFormatting>
  <conditionalFormatting sqref="AJ62">
    <cfRule type="cellIs" dxfId="8895" priority="135387" stopIfTrue="1" operator="lessThan">
      <formula>0.5</formula>
    </cfRule>
  </conditionalFormatting>
  <conditionalFormatting sqref="AJ62">
    <cfRule type="cellIs" dxfId="8894" priority="135388" stopIfTrue="1" operator="greaterThanOrEqual">
      <formula>0.5</formula>
    </cfRule>
  </conditionalFormatting>
  <conditionalFormatting sqref="AJ63">
    <cfRule type="cellIs" dxfId="8893" priority="135389" stopIfTrue="1" operator="equal">
      <formula>-1</formula>
    </cfRule>
  </conditionalFormatting>
  <conditionalFormatting sqref="AJ63">
    <cfRule type="cellIs" dxfId="8892" priority="135390" stopIfTrue="1" operator="lessThan">
      <formula>0.5</formula>
    </cfRule>
  </conditionalFormatting>
  <conditionalFormatting sqref="AJ63">
    <cfRule type="cellIs" dxfId="8891" priority="135391" stopIfTrue="1" operator="greaterThanOrEqual">
      <formula>0.5</formula>
    </cfRule>
  </conditionalFormatting>
  <conditionalFormatting sqref="AL60">
    <cfRule type="cellIs" dxfId="8890" priority="135392" stopIfTrue="1" operator="equal">
      <formula>-1</formula>
    </cfRule>
  </conditionalFormatting>
  <conditionalFormatting sqref="AL60">
    <cfRule type="cellIs" dxfId="8889" priority="135393" stopIfTrue="1" operator="lessThan">
      <formula>0.5</formula>
    </cfRule>
  </conditionalFormatting>
  <conditionalFormatting sqref="AL60">
    <cfRule type="cellIs" dxfId="8888" priority="135394" stopIfTrue="1" operator="greaterThanOrEqual">
      <formula>0.5</formula>
    </cfRule>
  </conditionalFormatting>
  <conditionalFormatting sqref="AL61">
    <cfRule type="cellIs" dxfId="8887" priority="135395" stopIfTrue="1" operator="equal">
      <formula>-1</formula>
    </cfRule>
  </conditionalFormatting>
  <conditionalFormatting sqref="AL61">
    <cfRule type="cellIs" dxfId="8886" priority="135396" stopIfTrue="1" operator="lessThan">
      <formula>0.5</formula>
    </cfRule>
  </conditionalFormatting>
  <conditionalFormatting sqref="AL61">
    <cfRule type="cellIs" dxfId="8885" priority="135397" stopIfTrue="1" operator="greaterThanOrEqual">
      <formula>0.5</formula>
    </cfRule>
  </conditionalFormatting>
  <conditionalFormatting sqref="AL62">
    <cfRule type="cellIs" dxfId="8884" priority="135398" stopIfTrue="1" operator="equal">
      <formula>-1</formula>
    </cfRule>
  </conditionalFormatting>
  <conditionalFormatting sqref="AL62">
    <cfRule type="cellIs" dxfId="8883" priority="135399" stopIfTrue="1" operator="lessThan">
      <formula>0.5</formula>
    </cfRule>
  </conditionalFormatting>
  <conditionalFormatting sqref="AL62">
    <cfRule type="cellIs" dxfId="8882" priority="135400" stopIfTrue="1" operator="greaterThanOrEqual">
      <formula>0.5</formula>
    </cfRule>
  </conditionalFormatting>
  <conditionalFormatting sqref="AL63">
    <cfRule type="cellIs" dxfId="8881" priority="135401" stopIfTrue="1" operator="equal">
      <formula>-1</formula>
    </cfRule>
  </conditionalFormatting>
  <conditionalFormatting sqref="AL63">
    <cfRule type="cellIs" dxfId="8880" priority="135402" stopIfTrue="1" operator="lessThan">
      <formula>0.5</formula>
    </cfRule>
  </conditionalFormatting>
  <conditionalFormatting sqref="AL63">
    <cfRule type="cellIs" dxfId="8879" priority="135403" stopIfTrue="1" operator="greaterThanOrEqual">
      <formula>0.5</formula>
    </cfRule>
  </conditionalFormatting>
  <conditionalFormatting sqref="AN60">
    <cfRule type="cellIs" dxfId="8878" priority="135404" stopIfTrue="1" operator="equal">
      <formula>-1</formula>
    </cfRule>
  </conditionalFormatting>
  <conditionalFormatting sqref="AN60">
    <cfRule type="cellIs" dxfId="8877" priority="135405" stopIfTrue="1" operator="lessThan">
      <formula>0.5</formula>
    </cfRule>
  </conditionalFormatting>
  <conditionalFormatting sqref="AN60">
    <cfRule type="cellIs" dxfId="8876" priority="135406" stopIfTrue="1" operator="greaterThanOrEqual">
      <formula>0.5</formula>
    </cfRule>
  </conditionalFormatting>
  <conditionalFormatting sqref="AN61">
    <cfRule type="cellIs" dxfId="8875" priority="135407" stopIfTrue="1" operator="equal">
      <formula>-1</formula>
    </cfRule>
  </conditionalFormatting>
  <conditionalFormatting sqref="AN61">
    <cfRule type="cellIs" dxfId="8874" priority="135408" stopIfTrue="1" operator="lessThan">
      <formula>0.5</formula>
    </cfRule>
  </conditionalFormatting>
  <conditionalFormatting sqref="AN61">
    <cfRule type="cellIs" dxfId="8873" priority="135409" stopIfTrue="1" operator="greaterThanOrEqual">
      <formula>0.5</formula>
    </cfRule>
  </conditionalFormatting>
  <conditionalFormatting sqref="AN62">
    <cfRule type="cellIs" dxfId="8872" priority="135410" stopIfTrue="1" operator="equal">
      <formula>-1</formula>
    </cfRule>
  </conditionalFormatting>
  <conditionalFormatting sqref="AN62">
    <cfRule type="cellIs" dxfId="8871" priority="135411" stopIfTrue="1" operator="lessThan">
      <formula>0.5</formula>
    </cfRule>
  </conditionalFormatting>
  <conditionalFormatting sqref="AN62">
    <cfRule type="cellIs" dxfId="8870" priority="135412" stopIfTrue="1" operator="greaterThanOrEqual">
      <formula>0.5</formula>
    </cfRule>
  </conditionalFormatting>
  <conditionalFormatting sqref="AN63">
    <cfRule type="cellIs" dxfId="8869" priority="135413" stopIfTrue="1" operator="equal">
      <formula>-1</formula>
    </cfRule>
  </conditionalFormatting>
  <conditionalFormatting sqref="AN63">
    <cfRule type="cellIs" dxfId="8868" priority="135414" stopIfTrue="1" operator="lessThan">
      <formula>0.5</formula>
    </cfRule>
  </conditionalFormatting>
  <conditionalFormatting sqref="AN63">
    <cfRule type="cellIs" dxfId="8867" priority="135415" stopIfTrue="1" operator="greaterThanOrEqual">
      <formula>0.5</formula>
    </cfRule>
  </conditionalFormatting>
  <conditionalFormatting sqref="AP60">
    <cfRule type="cellIs" dxfId="8866" priority="135416" stopIfTrue="1" operator="equal">
      <formula>-1</formula>
    </cfRule>
  </conditionalFormatting>
  <conditionalFormatting sqref="AP60">
    <cfRule type="cellIs" dxfId="8865" priority="135417" stopIfTrue="1" operator="lessThan">
      <formula>0.5</formula>
    </cfRule>
  </conditionalFormatting>
  <conditionalFormatting sqref="AP60">
    <cfRule type="cellIs" dxfId="8864" priority="135418" stopIfTrue="1" operator="greaterThanOrEqual">
      <formula>0.5</formula>
    </cfRule>
  </conditionalFormatting>
  <conditionalFormatting sqref="AP61">
    <cfRule type="cellIs" dxfId="8863" priority="135419" stopIfTrue="1" operator="equal">
      <formula>-1</formula>
    </cfRule>
  </conditionalFormatting>
  <conditionalFormatting sqref="AP61">
    <cfRule type="cellIs" dxfId="8862" priority="135420" stopIfTrue="1" operator="lessThan">
      <formula>0.5</formula>
    </cfRule>
  </conditionalFormatting>
  <conditionalFormatting sqref="AP61">
    <cfRule type="cellIs" dxfId="8861" priority="135421" stopIfTrue="1" operator="greaterThanOrEqual">
      <formula>0.5</formula>
    </cfRule>
  </conditionalFormatting>
  <conditionalFormatting sqref="AP62">
    <cfRule type="cellIs" dxfId="8860" priority="135422" stopIfTrue="1" operator="equal">
      <formula>-1</formula>
    </cfRule>
  </conditionalFormatting>
  <conditionalFormatting sqref="AP62">
    <cfRule type="cellIs" dxfId="8859" priority="135423" stopIfTrue="1" operator="lessThan">
      <formula>0.5</formula>
    </cfRule>
  </conditionalFormatting>
  <conditionalFormatting sqref="AP62">
    <cfRule type="cellIs" dxfId="8858" priority="135424" stopIfTrue="1" operator="greaterThanOrEqual">
      <formula>0.5</formula>
    </cfRule>
  </conditionalFormatting>
  <conditionalFormatting sqref="AP63">
    <cfRule type="cellIs" dxfId="8857" priority="135425" stopIfTrue="1" operator="equal">
      <formula>-1</formula>
    </cfRule>
  </conditionalFormatting>
  <conditionalFormatting sqref="AP63">
    <cfRule type="cellIs" dxfId="8856" priority="135426" stopIfTrue="1" operator="lessThan">
      <formula>0.5</formula>
    </cfRule>
  </conditionalFormatting>
  <conditionalFormatting sqref="AP63">
    <cfRule type="cellIs" dxfId="8855" priority="135427" stopIfTrue="1" operator="greaterThanOrEqual">
      <formula>0.5</formula>
    </cfRule>
  </conditionalFormatting>
  <conditionalFormatting sqref="AR60">
    <cfRule type="cellIs" dxfId="8854" priority="135428" stopIfTrue="1" operator="equal">
      <formula>-1</formula>
    </cfRule>
  </conditionalFormatting>
  <conditionalFormatting sqref="AR60">
    <cfRule type="cellIs" dxfId="8853" priority="135429" stopIfTrue="1" operator="lessThan">
      <formula>0.5</formula>
    </cfRule>
  </conditionalFormatting>
  <conditionalFormatting sqref="AR60">
    <cfRule type="cellIs" dxfId="8852" priority="135430" stopIfTrue="1" operator="greaterThanOrEqual">
      <formula>0.5</formula>
    </cfRule>
  </conditionalFormatting>
  <conditionalFormatting sqref="AR61">
    <cfRule type="cellIs" dxfId="8851" priority="135431" stopIfTrue="1" operator="equal">
      <formula>-1</formula>
    </cfRule>
  </conditionalFormatting>
  <conditionalFormatting sqref="AR61">
    <cfRule type="cellIs" dxfId="8850" priority="135432" stopIfTrue="1" operator="lessThan">
      <formula>0.5</formula>
    </cfRule>
  </conditionalFormatting>
  <conditionalFormatting sqref="AR61">
    <cfRule type="cellIs" dxfId="8849" priority="135433" stopIfTrue="1" operator="greaterThanOrEqual">
      <formula>0.5</formula>
    </cfRule>
  </conditionalFormatting>
  <conditionalFormatting sqref="AR62">
    <cfRule type="cellIs" dxfId="8848" priority="135434" stopIfTrue="1" operator="equal">
      <formula>-1</formula>
    </cfRule>
  </conditionalFormatting>
  <conditionalFormatting sqref="AR62">
    <cfRule type="cellIs" dxfId="8847" priority="135435" stopIfTrue="1" operator="lessThan">
      <formula>0.5</formula>
    </cfRule>
  </conditionalFormatting>
  <conditionalFormatting sqref="AR62">
    <cfRule type="cellIs" dxfId="8846" priority="135436" stopIfTrue="1" operator="greaterThanOrEqual">
      <formula>0.5</formula>
    </cfRule>
  </conditionalFormatting>
  <conditionalFormatting sqref="AR63">
    <cfRule type="cellIs" dxfId="8845" priority="135437" stopIfTrue="1" operator="equal">
      <formula>-1</formula>
    </cfRule>
  </conditionalFormatting>
  <conditionalFormatting sqref="AR63">
    <cfRule type="cellIs" dxfId="8844" priority="135438" stopIfTrue="1" operator="lessThan">
      <formula>0.5</formula>
    </cfRule>
  </conditionalFormatting>
  <conditionalFormatting sqref="AR63">
    <cfRule type="cellIs" dxfId="8843" priority="135439" stopIfTrue="1" operator="greaterThanOrEqual">
      <formula>0.5</formula>
    </cfRule>
  </conditionalFormatting>
  <conditionalFormatting sqref="AT60">
    <cfRule type="cellIs" dxfId="8842" priority="135440" stopIfTrue="1" operator="equal">
      <formula>-1</formula>
    </cfRule>
  </conditionalFormatting>
  <conditionalFormatting sqref="AT60">
    <cfRule type="cellIs" dxfId="8841" priority="135441" stopIfTrue="1" operator="lessThan">
      <formula>0.5</formula>
    </cfRule>
  </conditionalFormatting>
  <conditionalFormatting sqref="AT60">
    <cfRule type="cellIs" dxfId="8840" priority="135442" stopIfTrue="1" operator="greaterThanOrEqual">
      <formula>0.5</formula>
    </cfRule>
  </conditionalFormatting>
  <conditionalFormatting sqref="AT61">
    <cfRule type="cellIs" dxfId="8839" priority="135443" stopIfTrue="1" operator="equal">
      <formula>-1</formula>
    </cfRule>
  </conditionalFormatting>
  <conditionalFormatting sqref="AT61">
    <cfRule type="cellIs" dxfId="8838" priority="135444" stopIfTrue="1" operator="lessThan">
      <formula>0.5</formula>
    </cfRule>
  </conditionalFormatting>
  <conditionalFormatting sqref="AT61">
    <cfRule type="cellIs" dxfId="8837" priority="135445" stopIfTrue="1" operator="greaterThanOrEqual">
      <formula>0.5</formula>
    </cfRule>
  </conditionalFormatting>
  <conditionalFormatting sqref="AT62">
    <cfRule type="cellIs" dxfId="8836" priority="135446" stopIfTrue="1" operator="equal">
      <formula>-1</formula>
    </cfRule>
  </conditionalFormatting>
  <conditionalFormatting sqref="AT62">
    <cfRule type="cellIs" dxfId="8835" priority="135447" stopIfTrue="1" operator="lessThan">
      <formula>0.5</formula>
    </cfRule>
  </conditionalFormatting>
  <conditionalFormatting sqref="AT62">
    <cfRule type="cellIs" dxfId="8834" priority="135448" stopIfTrue="1" operator="greaterThanOrEqual">
      <formula>0.5</formula>
    </cfRule>
  </conditionalFormatting>
  <conditionalFormatting sqref="AT63">
    <cfRule type="cellIs" dxfId="8833" priority="135449" stopIfTrue="1" operator="equal">
      <formula>-1</formula>
    </cfRule>
  </conditionalFormatting>
  <conditionalFormatting sqref="AT63">
    <cfRule type="cellIs" dxfId="8832" priority="135450" stopIfTrue="1" operator="lessThan">
      <formula>0.5</formula>
    </cfRule>
  </conditionalFormatting>
  <conditionalFormatting sqref="AT63">
    <cfRule type="cellIs" dxfId="8831" priority="135451" stopIfTrue="1" operator="greaterThanOrEqual">
      <formula>0.5</formula>
    </cfRule>
  </conditionalFormatting>
  <conditionalFormatting sqref="AV60">
    <cfRule type="cellIs" dxfId="8830" priority="135452" stopIfTrue="1" operator="equal">
      <formula>-1</formula>
    </cfRule>
  </conditionalFormatting>
  <conditionalFormatting sqref="AV60">
    <cfRule type="cellIs" dxfId="8829" priority="135453" stopIfTrue="1" operator="lessThan">
      <formula>0.5</formula>
    </cfRule>
  </conditionalFormatting>
  <conditionalFormatting sqref="AV60">
    <cfRule type="cellIs" dxfId="8828" priority="135454" stopIfTrue="1" operator="greaterThanOrEqual">
      <formula>0.5</formula>
    </cfRule>
  </conditionalFormatting>
  <conditionalFormatting sqref="AV61">
    <cfRule type="cellIs" dxfId="8827" priority="135455" stopIfTrue="1" operator="equal">
      <formula>-1</formula>
    </cfRule>
  </conditionalFormatting>
  <conditionalFormatting sqref="AV61">
    <cfRule type="cellIs" dxfId="8826" priority="135456" stopIfTrue="1" operator="lessThan">
      <formula>0.5</formula>
    </cfRule>
  </conditionalFormatting>
  <conditionalFormatting sqref="AV61">
    <cfRule type="cellIs" dxfId="8825" priority="135457" stopIfTrue="1" operator="greaterThanOrEqual">
      <formula>0.5</formula>
    </cfRule>
  </conditionalFormatting>
  <conditionalFormatting sqref="AV62">
    <cfRule type="cellIs" dxfId="8824" priority="135458" stopIfTrue="1" operator="equal">
      <formula>-1</formula>
    </cfRule>
  </conditionalFormatting>
  <conditionalFormatting sqref="AV62">
    <cfRule type="cellIs" dxfId="8823" priority="135459" stopIfTrue="1" operator="lessThan">
      <formula>0.5</formula>
    </cfRule>
  </conditionalFormatting>
  <conditionalFormatting sqref="AV62">
    <cfRule type="cellIs" dxfId="8822" priority="135460" stopIfTrue="1" operator="greaterThanOrEqual">
      <formula>0.5</formula>
    </cfRule>
  </conditionalFormatting>
  <conditionalFormatting sqref="AV63">
    <cfRule type="cellIs" dxfId="8821" priority="135461" stopIfTrue="1" operator="equal">
      <formula>-1</formula>
    </cfRule>
  </conditionalFormatting>
  <conditionalFormatting sqref="AV63">
    <cfRule type="cellIs" dxfId="8820" priority="135462" stopIfTrue="1" operator="lessThan">
      <formula>0.5</formula>
    </cfRule>
  </conditionalFormatting>
  <conditionalFormatting sqref="AV63">
    <cfRule type="cellIs" dxfId="8819" priority="135463" stopIfTrue="1" operator="greaterThanOrEqual">
      <formula>0.5</formula>
    </cfRule>
  </conditionalFormatting>
  <conditionalFormatting sqref="AX60">
    <cfRule type="cellIs" dxfId="8818" priority="135464" stopIfTrue="1" operator="equal">
      <formula>-1</formula>
    </cfRule>
  </conditionalFormatting>
  <conditionalFormatting sqref="AX60">
    <cfRule type="cellIs" dxfId="8817" priority="135465" stopIfTrue="1" operator="lessThan">
      <formula>0.5</formula>
    </cfRule>
  </conditionalFormatting>
  <conditionalFormatting sqref="AX60">
    <cfRule type="cellIs" dxfId="8816" priority="135466" stopIfTrue="1" operator="greaterThanOrEqual">
      <formula>0.5</formula>
    </cfRule>
  </conditionalFormatting>
  <conditionalFormatting sqref="AX61">
    <cfRule type="cellIs" dxfId="8815" priority="135467" stopIfTrue="1" operator="equal">
      <formula>-1</formula>
    </cfRule>
  </conditionalFormatting>
  <conditionalFormatting sqref="AX61">
    <cfRule type="cellIs" dxfId="8814" priority="135468" stopIfTrue="1" operator="lessThan">
      <formula>0.5</formula>
    </cfRule>
  </conditionalFormatting>
  <conditionalFormatting sqref="AX61">
    <cfRule type="cellIs" dxfId="8813" priority="135469" stopIfTrue="1" operator="greaterThanOrEqual">
      <formula>0.5</formula>
    </cfRule>
  </conditionalFormatting>
  <conditionalFormatting sqref="AX62">
    <cfRule type="cellIs" dxfId="8812" priority="135470" stopIfTrue="1" operator="equal">
      <formula>-1</formula>
    </cfRule>
  </conditionalFormatting>
  <conditionalFormatting sqref="AX62">
    <cfRule type="cellIs" dxfId="8811" priority="135471" stopIfTrue="1" operator="lessThan">
      <formula>0.5</formula>
    </cfRule>
  </conditionalFormatting>
  <conditionalFormatting sqref="AX62">
    <cfRule type="cellIs" dxfId="8810" priority="135472" stopIfTrue="1" operator="greaterThanOrEqual">
      <formula>0.5</formula>
    </cfRule>
  </conditionalFormatting>
  <conditionalFormatting sqref="AX63">
    <cfRule type="cellIs" dxfId="8809" priority="135473" stopIfTrue="1" operator="equal">
      <formula>-1</formula>
    </cfRule>
  </conditionalFormatting>
  <conditionalFormatting sqref="AX63">
    <cfRule type="cellIs" dxfId="8808" priority="135474" stopIfTrue="1" operator="lessThan">
      <formula>0.5</formula>
    </cfRule>
  </conditionalFormatting>
  <conditionalFormatting sqref="AX63">
    <cfRule type="cellIs" dxfId="8807" priority="135475" stopIfTrue="1" operator="greaterThanOrEqual">
      <formula>0.5</formula>
    </cfRule>
  </conditionalFormatting>
  <conditionalFormatting sqref="AZ60">
    <cfRule type="cellIs" dxfId="8806" priority="135476" stopIfTrue="1" operator="equal">
      <formula>-1</formula>
    </cfRule>
  </conditionalFormatting>
  <conditionalFormatting sqref="AZ60">
    <cfRule type="cellIs" dxfId="8805" priority="135477" stopIfTrue="1" operator="lessThan">
      <formula>0.5</formula>
    </cfRule>
  </conditionalFormatting>
  <conditionalFormatting sqref="AZ60">
    <cfRule type="cellIs" dxfId="8804" priority="135478" stopIfTrue="1" operator="greaterThanOrEqual">
      <formula>0.5</formula>
    </cfRule>
  </conditionalFormatting>
  <conditionalFormatting sqref="AZ61">
    <cfRule type="cellIs" dxfId="8803" priority="135479" stopIfTrue="1" operator="equal">
      <formula>-1</formula>
    </cfRule>
  </conditionalFormatting>
  <conditionalFormatting sqref="AZ61">
    <cfRule type="cellIs" dxfId="8802" priority="135480" stopIfTrue="1" operator="lessThan">
      <formula>0.5</formula>
    </cfRule>
  </conditionalFormatting>
  <conditionalFormatting sqref="AZ61">
    <cfRule type="cellIs" dxfId="8801" priority="135481" stopIfTrue="1" operator="greaterThanOrEqual">
      <formula>0.5</formula>
    </cfRule>
  </conditionalFormatting>
  <conditionalFormatting sqref="AZ62">
    <cfRule type="cellIs" dxfId="8800" priority="135482" stopIfTrue="1" operator="equal">
      <formula>-1</formula>
    </cfRule>
  </conditionalFormatting>
  <conditionalFormatting sqref="AZ62">
    <cfRule type="cellIs" dxfId="8799" priority="135483" stopIfTrue="1" operator="lessThan">
      <formula>0.5</formula>
    </cfRule>
  </conditionalFormatting>
  <conditionalFormatting sqref="AZ62">
    <cfRule type="cellIs" dxfId="8798" priority="135484" stopIfTrue="1" operator="greaterThanOrEqual">
      <formula>0.5</formula>
    </cfRule>
  </conditionalFormatting>
  <conditionalFormatting sqref="AZ63">
    <cfRule type="cellIs" dxfId="8797" priority="135485" stopIfTrue="1" operator="equal">
      <formula>-1</formula>
    </cfRule>
  </conditionalFormatting>
  <conditionalFormatting sqref="AZ63">
    <cfRule type="cellIs" dxfId="8796" priority="135486" stopIfTrue="1" operator="lessThan">
      <formula>0.5</formula>
    </cfRule>
  </conditionalFormatting>
  <conditionalFormatting sqref="AZ63">
    <cfRule type="cellIs" dxfId="8795" priority="135487" stopIfTrue="1" operator="greaterThanOrEqual">
      <formula>0.5</formula>
    </cfRule>
  </conditionalFormatting>
  <conditionalFormatting sqref="BB60">
    <cfRule type="cellIs" dxfId="8794" priority="135488" stopIfTrue="1" operator="equal">
      <formula>-1</formula>
    </cfRule>
  </conditionalFormatting>
  <conditionalFormatting sqref="BB60">
    <cfRule type="cellIs" dxfId="8793" priority="135489" stopIfTrue="1" operator="lessThan">
      <formula>0.5</formula>
    </cfRule>
  </conditionalFormatting>
  <conditionalFormatting sqref="BB60">
    <cfRule type="cellIs" dxfId="8792" priority="135490" stopIfTrue="1" operator="greaterThanOrEqual">
      <formula>0.5</formula>
    </cfRule>
  </conditionalFormatting>
  <conditionalFormatting sqref="BB61">
    <cfRule type="cellIs" dxfId="8791" priority="135491" stopIfTrue="1" operator="equal">
      <formula>-1</formula>
    </cfRule>
  </conditionalFormatting>
  <conditionalFormatting sqref="BB61">
    <cfRule type="cellIs" dxfId="8790" priority="135492" stopIfTrue="1" operator="lessThan">
      <formula>0.5</formula>
    </cfRule>
  </conditionalFormatting>
  <conditionalFormatting sqref="BB61">
    <cfRule type="cellIs" dxfId="8789" priority="135493" stopIfTrue="1" operator="greaterThanOrEqual">
      <formula>0.5</formula>
    </cfRule>
  </conditionalFormatting>
  <conditionalFormatting sqref="BB62">
    <cfRule type="cellIs" dxfId="8788" priority="135494" stopIfTrue="1" operator="equal">
      <formula>-1</formula>
    </cfRule>
  </conditionalFormatting>
  <conditionalFormatting sqref="BB62">
    <cfRule type="cellIs" dxfId="8787" priority="135495" stopIfTrue="1" operator="lessThan">
      <formula>0.5</formula>
    </cfRule>
  </conditionalFormatting>
  <conditionalFormatting sqref="BB62">
    <cfRule type="cellIs" dxfId="8786" priority="135496" stopIfTrue="1" operator="greaterThanOrEqual">
      <formula>0.5</formula>
    </cfRule>
  </conditionalFormatting>
  <conditionalFormatting sqref="BB63">
    <cfRule type="cellIs" dxfId="8785" priority="135497" stopIfTrue="1" operator="equal">
      <formula>-1</formula>
    </cfRule>
  </conditionalFormatting>
  <conditionalFormatting sqref="BB63">
    <cfRule type="cellIs" dxfId="8784" priority="135498" stopIfTrue="1" operator="lessThan">
      <formula>0.5</formula>
    </cfRule>
  </conditionalFormatting>
  <conditionalFormatting sqref="BB63">
    <cfRule type="cellIs" dxfId="8783" priority="135499" stopIfTrue="1" operator="greaterThanOrEqual">
      <formula>0.5</formula>
    </cfRule>
  </conditionalFormatting>
  <conditionalFormatting sqref="BD60">
    <cfRule type="cellIs" dxfId="8782" priority="135500" stopIfTrue="1" operator="equal">
      <formula>-1</formula>
    </cfRule>
  </conditionalFormatting>
  <conditionalFormatting sqref="BD60">
    <cfRule type="cellIs" dxfId="8781" priority="135501" stopIfTrue="1" operator="lessThan">
      <formula>0.5</formula>
    </cfRule>
  </conditionalFormatting>
  <conditionalFormatting sqref="BD60">
    <cfRule type="cellIs" dxfId="8780" priority="135502" stopIfTrue="1" operator="greaterThanOrEqual">
      <formula>0.5</formula>
    </cfRule>
  </conditionalFormatting>
  <conditionalFormatting sqref="BD61">
    <cfRule type="cellIs" dxfId="8779" priority="135503" stopIfTrue="1" operator="equal">
      <formula>-1</formula>
    </cfRule>
  </conditionalFormatting>
  <conditionalFormatting sqref="BD61">
    <cfRule type="cellIs" dxfId="8778" priority="135504" stopIfTrue="1" operator="lessThan">
      <formula>0.5</formula>
    </cfRule>
  </conditionalFormatting>
  <conditionalFormatting sqref="BD61">
    <cfRule type="cellIs" dxfId="8777" priority="135505" stopIfTrue="1" operator="greaterThanOrEqual">
      <formula>0.5</formula>
    </cfRule>
  </conditionalFormatting>
  <conditionalFormatting sqref="BD62">
    <cfRule type="cellIs" dxfId="8776" priority="135506" stopIfTrue="1" operator="equal">
      <formula>-1</formula>
    </cfRule>
  </conditionalFormatting>
  <conditionalFormatting sqref="BD62">
    <cfRule type="cellIs" dxfId="8775" priority="135507" stopIfTrue="1" operator="lessThan">
      <formula>0.5</formula>
    </cfRule>
  </conditionalFormatting>
  <conditionalFormatting sqref="BD62">
    <cfRule type="cellIs" dxfId="8774" priority="135508" stopIfTrue="1" operator="greaterThanOrEqual">
      <formula>0.5</formula>
    </cfRule>
  </conditionalFormatting>
  <conditionalFormatting sqref="BD63">
    <cfRule type="cellIs" dxfId="8773" priority="135509" stopIfTrue="1" operator="equal">
      <formula>-1</formula>
    </cfRule>
  </conditionalFormatting>
  <conditionalFormatting sqref="BD63">
    <cfRule type="cellIs" dxfId="8772" priority="135510" stopIfTrue="1" operator="lessThan">
      <formula>0.5</formula>
    </cfRule>
  </conditionalFormatting>
  <conditionalFormatting sqref="BD63">
    <cfRule type="cellIs" dxfId="8771" priority="135511" stopIfTrue="1" operator="greaterThanOrEqual">
      <formula>0.5</formula>
    </cfRule>
  </conditionalFormatting>
  <conditionalFormatting sqref="BF60">
    <cfRule type="cellIs" dxfId="8770" priority="135512" stopIfTrue="1" operator="equal">
      <formula>-1</formula>
    </cfRule>
  </conditionalFormatting>
  <conditionalFormatting sqref="BF60">
    <cfRule type="cellIs" dxfId="8769" priority="135513" stopIfTrue="1" operator="lessThan">
      <formula>0.5</formula>
    </cfRule>
  </conditionalFormatting>
  <conditionalFormatting sqref="BF60">
    <cfRule type="cellIs" dxfId="8768" priority="135514" stopIfTrue="1" operator="greaterThanOrEqual">
      <formula>0.5</formula>
    </cfRule>
  </conditionalFormatting>
  <conditionalFormatting sqref="BF61">
    <cfRule type="cellIs" dxfId="8767" priority="135515" stopIfTrue="1" operator="equal">
      <formula>-1</formula>
    </cfRule>
  </conditionalFormatting>
  <conditionalFormatting sqref="BF61">
    <cfRule type="cellIs" dxfId="8766" priority="135516" stopIfTrue="1" operator="lessThan">
      <formula>0.5</formula>
    </cfRule>
  </conditionalFormatting>
  <conditionalFormatting sqref="BF61">
    <cfRule type="cellIs" dxfId="8765" priority="135517" stopIfTrue="1" operator="greaterThanOrEqual">
      <formula>0.5</formula>
    </cfRule>
  </conditionalFormatting>
  <conditionalFormatting sqref="BF62">
    <cfRule type="cellIs" dxfId="8764" priority="135518" stopIfTrue="1" operator="equal">
      <formula>-1</formula>
    </cfRule>
  </conditionalFormatting>
  <conditionalFormatting sqref="BF62">
    <cfRule type="cellIs" dxfId="8763" priority="135519" stopIfTrue="1" operator="lessThan">
      <formula>0.5</formula>
    </cfRule>
  </conditionalFormatting>
  <conditionalFormatting sqref="BF62">
    <cfRule type="cellIs" dxfId="8762" priority="135520" stopIfTrue="1" operator="greaterThanOrEqual">
      <formula>0.5</formula>
    </cfRule>
  </conditionalFormatting>
  <conditionalFormatting sqref="BF63">
    <cfRule type="cellIs" dxfId="8761" priority="135521" stopIfTrue="1" operator="equal">
      <formula>-1</formula>
    </cfRule>
  </conditionalFormatting>
  <conditionalFormatting sqref="BF63">
    <cfRule type="cellIs" dxfId="8760" priority="135522" stopIfTrue="1" operator="lessThan">
      <formula>0.5</formula>
    </cfRule>
  </conditionalFormatting>
  <conditionalFormatting sqref="BF63">
    <cfRule type="cellIs" dxfId="8759" priority="135523" stopIfTrue="1" operator="greaterThanOrEqual">
      <formula>0.5</formula>
    </cfRule>
  </conditionalFormatting>
  <conditionalFormatting sqref="BH60">
    <cfRule type="cellIs" dxfId="8758" priority="135524" stopIfTrue="1" operator="equal">
      <formula>-1</formula>
    </cfRule>
  </conditionalFormatting>
  <conditionalFormatting sqref="BH60">
    <cfRule type="cellIs" dxfId="8757" priority="135525" stopIfTrue="1" operator="lessThan">
      <formula>0.5</formula>
    </cfRule>
  </conditionalFormatting>
  <conditionalFormatting sqref="BH60">
    <cfRule type="cellIs" dxfId="8756" priority="135526" stopIfTrue="1" operator="greaterThanOrEqual">
      <formula>0.5</formula>
    </cfRule>
  </conditionalFormatting>
  <conditionalFormatting sqref="BH61">
    <cfRule type="cellIs" dxfId="8755" priority="135527" stopIfTrue="1" operator="equal">
      <formula>-1</formula>
    </cfRule>
  </conditionalFormatting>
  <conditionalFormatting sqref="BH61">
    <cfRule type="cellIs" dxfId="8754" priority="135528" stopIfTrue="1" operator="lessThan">
      <formula>0.5</formula>
    </cfRule>
  </conditionalFormatting>
  <conditionalFormatting sqref="BH61">
    <cfRule type="cellIs" dxfId="8753" priority="135529" stopIfTrue="1" operator="greaterThanOrEqual">
      <formula>0.5</formula>
    </cfRule>
  </conditionalFormatting>
  <conditionalFormatting sqref="BH62">
    <cfRule type="cellIs" dxfId="8752" priority="135530" stopIfTrue="1" operator="equal">
      <formula>-1</formula>
    </cfRule>
  </conditionalFormatting>
  <conditionalFormatting sqref="BH62">
    <cfRule type="cellIs" dxfId="8751" priority="135531" stopIfTrue="1" operator="lessThan">
      <formula>0.5</formula>
    </cfRule>
  </conditionalFormatting>
  <conditionalFormatting sqref="BH62">
    <cfRule type="cellIs" dxfId="8750" priority="135532" stopIfTrue="1" operator="greaterThanOrEqual">
      <formula>0.5</formula>
    </cfRule>
  </conditionalFormatting>
  <conditionalFormatting sqref="BH63">
    <cfRule type="cellIs" dxfId="8749" priority="135533" stopIfTrue="1" operator="equal">
      <formula>-1</formula>
    </cfRule>
  </conditionalFormatting>
  <conditionalFormatting sqref="BH63">
    <cfRule type="cellIs" dxfId="8748" priority="135534" stopIfTrue="1" operator="lessThan">
      <formula>0.5</formula>
    </cfRule>
  </conditionalFormatting>
  <conditionalFormatting sqref="BH63">
    <cfRule type="cellIs" dxfId="8747" priority="135535" stopIfTrue="1" operator="greaterThanOrEqual">
      <formula>0.5</formula>
    </cfRule>
  </conditionalFormatting>
  <conditionalFormatting sqref="BJ60">
    <cfRule type="cellIs" dxfId="8746" priority="135536" stopIfTrue="1" operator="equal">
      <formula>-1</formula>
    </cfRule>
  </conditionalFormatting>
  <conditionalFormatting sqref="BJ60">
    <cfRule type="cellIs" dxfId="8745" priority="135537" stopIfTrue="1" operator="lessThan">
      <formula>0.5</formula>
    </cfRule>
  </conditionalFormatting>
  <conditionalFormatting sqref="BJ60">
    <cfRule type="cellIs" dxfId="8744" priority="135538" stopIfTrue="1" operator="greaterThanOrEqual">
      <formula>0.5</formula>
    </cfRule>
  </conditionalFormatting>
  <conditionalFormatting sqref="BJ61">
    <cfRule type="cellIs" dxfId="8743" priority="135539" stopIfTrue="1" operator="equal">
      <formula>-1</formula>
    </cfRule>
  </conditionalFormatting>
  <conditionalFormatting sqref="BJ61">
    <cfRule type="cellIs" dxfId="8742" priority="135540" stopIfTrue="1" operator="lessThan">
      <formula>0.5</formula>
    </cfRule>
  </conditionalFormatting>
  <conditionalFormatting sqref="BJ61">
    <cfRule type="cellIs" dxfId="8741" priority="135541" stopIfTrue="1" operator="greaterThanOrEqual">
      <formula>0.5</formula>
    </cfRule>
  </conditionalFormatting>
  <conditionalFormatting sqref="BJ62">
    <cfRule type="cellIs" dxfId="8740" priority="135542" stopIfTrue="1" operator="equal">
      <formula>-1</formula>
    </cfRule>
  </conditionalFormatting>
  <conditionalFormatting sqref="BJ62">
    <cfRule type="cellIs" dxfId="8739" priority="135543" stopIfTrue="1" operator="lessThan">
      <formula>0.5</formula>
    </cfRule>
  </conditionalFormatting>
  <conditionalFormatting sqref="BJ62">
    <cfRule type="cellIs" dxfId="8738" priority="135544" stopIfTrue="1" operator="greaterThanOrEqual">
      <formula>0.5</formula>
    </cfRule>
  </conditionalFormatting>
  <conditionalFormatting sqref="BJ63">
    <cfRule type="cellIs" dxfId="8737" priority="135545" stopIfTrue="1" operator="equal">
      <formula>-1</formula>
    </cfRule>
  </conditionalFormatting>
  <conditionalFormatting sqref="BJ63">
    <cfRule type="cellIs" dxfId="8736" priority="135546" stopIfTrue="1" operator="lessThan">
      <formula>0.5</formula>
    </cfRule>
  </conditionalFormatting>
  <conditionalFormatting sqref="BJ63">
    <cfRule type="cellIs" dxfId="8735" priority="135547" stopIfTrue="1" operator="greaterThanOrEqual">
      <formula>0.5</formula>
    </cfRule>
  </conditionalFormatting>
  <conditionalFormatting sqref="D65">
    <cfRule type="cellIs" dxfId="8734" priority="135548" stopIfTrue="1" operator="equal">
      <formula>-1</formula>
    </cfRule>
  </conditionalFormatting>
  <conditionalFormatting sqref="D65">
    <cfRule type="cellIs" dxfId="8733" priority="135549" stopIfTrue="1" operator="lessThan">
      <formula>0.5</formula>
    </cfRule>
  </conditionalFormatting>
  <conditionalFormatting sqref="D65">
    <cfRule type="cellIs" dxfId="8732" priority="135550" stopIfTrue="1" operator="greaterThanOrEqual">
      <formula>0.5</formula>
    </cfRule>
  </conditionalFormatting>
  <conditionalFormatting sqref="D66">
    <cfRule type="cellIs" dxfId="8731" priority="135551" stopIfTrue="1" operator="equal">
      <formula>-1</formula>
    </cfRule>
  </conditionalFormatting>
  <conditionalFormatting sqref="D66">
    <cfRule type="cellIs" dxfId="8730" priority="135552" stopIfTrue="1" operator="lessThan">
      <formula>0.5</formula>
    </cfRule>
  </conditionalFormatting>
  <conditionalFormatting sqref="D66">
    <cfRule type="cellIs" dxfId="8729" priority="135553" stopIfTrue="1" operator="greaterThanOrEqual">
      <formula>0.5</formula>
    </cfRule>
  </conditionalFormatting>
  <conditionalFormatting sqref="D67">
    <cfRule type="cellIs" dxfId="8728" priority="135554" stopIfTrue="1" operator="equal">
      <formula>-1</formula>
    </cfRule>
  </conditionalFormatting>
  <conditionalFormatting sqref="D67">
    <cfRule type="cellIs" dxfId="8727" priority="135555" stopIfTrue="1" operator="lessThan">
      <formula>0.5</formula>
    </cfRule>
  </conditionalFormatting>
  <conditionalFormatting sqref="D67">
    <cfRule type="cellIs" dxfId="8726" priority="135556" stopIfTrue="1" operator="greaterThanOrEqual">
      <formula>0.5</formula>
    </cfRule>
  </conditionalFormatting>
  <conditionalFormatting sqref="D68">
    <cfRule type="cellIs" dxfId="8725" priority="135557" stopIfTrue="1" operator="equal">
      <formula>-1</formula>
    </cfRule>
  </conditionalFormatting>
  <conditionalFormatting sqref="D68">
    <cfRule type="cellIs" dxfId="8724" priority="135558" stopIfTrue="1" operator="lessThan">
      <formula>0.5</formula>
    </cfRule>
  </conditionalFormatting>
  <conditionalFormatting sqref="D68">
    <cfRule type="cellIs" dxfId="8723" priority="135559" stopIfTrue="1" operator="greaterThanOrEqual">
      <formula>0.5</formula>
    </cfRule>
  </conditionalFormatting>
  <conditionalFormatting sqref="D69">
    <cfRule type="cellIs" dxfId="8722" priority="135560" stopIfTrue="1" operator="equal">
      <formula>-1</formula>
    </cfRule>
  </conditionalFormatting>
  <conditionalFormatting sqref="D69">
    <cfRule type="cellIs" dxfId="8721" priority="135561" stopIfTrue="1" operator="lessThan">
      <formula>0.5</formula>
    </cfRule>
  </conditionalFormatting>
  <conditionalFormatting sqref="D69">
    <cfRule type="cellIs" dxfId="8720" priority="135562" stopIfTrue="1" operator="greaterThanOrEqual">
      <formula>0.5</formula>
    </cfRule>
  </conditionalFormatting>
  <conditionalFormatting sqref="D70">
    <cfRule type="cellIs" dxfId="8719" priority="135563" stopIfTrue="1" operator="equal">
      <formula>-1</formula>
    </cfRule>
  </conditionalFormatting>
  <conditionalFormatting sqref="D70">
    <cfRule type="cellIs" dxfId="8718" priority="135564" stopIfTrue="1" operator="lessThan">
      <formula>0.5</formula>
    </cfRule>
  </conditionalFormatting>
  <conditionalFormatting sqref="D70">
    <cfRule type="cellIs" dxfId="8717" priority="135565" stopIfTrue="1" operator="greaterThanOrEqual">
      <formula>0.5</formula>
    </cfRule>
  </conditionalFormatting>
  <conditionalFormatting sqref="D71">
    <cfRule type="cellIs" dxfId="8716" priority="135566" stopIfTrue="1" operator="equal">
      <formula>-1</formula>
    </cfRule>
  </conditionalFormatting>
  <conditionalFormatting sqref="D71">
    <cfRule type="cellIs" dxfId="8715" priority="135567" stopIfTrue="1" operator="lessThan">
      <formula>0.5</formula>
    </cfRule>
  </conditionalFormatting>
  <conditionalFormatting sqref="D71">
    <cfRule type="cellIs" dxfId="8714" priority="135568" stopIfTrue="1" operator="greaterThanOrEqual">
      <formula>0.5</formula>
    </cfRule>
  </conditionalFormatting>
  <conditionalFormatting sqref="D72">
    <cfRule type="cellIs" dxfId="8713" priority="135569" stopIfTrue="1" operator="equal">
      <formula>-1</formula>
    </cfRule>
  </conditionalFormatting>
  <conditionalFormatting sqref="D72">
    <cfRule type="cellIs" dxfId="8712" priority="135570" stopIfTrue="1" operator="lessThan">
      <formula>0.5</formula>
    </cfRule>
  </conditionalFormatting>
  <conditionalFormatting sqref="D72">
    <cfRule type="cellIs" dxfId="8711" priority="135571" stopIfTrue="1" operator="greaterThanOrEqual">
      <formula>0.5</formula>
    </cfRule>
  </conditionalFormatting>
  <conditionalFormatting sqref="D73">
    <cfRule type="cellIs" dxfId="8710" priority="135572" stopIfTrue="1" operator="equal">
      <formula>-1</formula>
    </cfRule>
  </conditionalFormatting>
  <conditionalFormatting sqref="D73">
    <cfRule type="cellIs" dxfId="8709" priority="135573" stopIfTrue="1" operator="lessThan">
      <formula>0.5</formula>
    </cfRule>
  </conditionalFormatting>
  <conditionalFormatting sqref="D73">
    <cfRule type="cellIs" dxfId="8708" priority="135574" stopIfTrue="1" operator="greaterThanOrEqual">
      <formula>0.5</formula>
    </cfRule>
  </conditionalFormatting>
  <conditionalFormatting sqref="D74">
    <cfRule type="cellIs" dxfId="8707" priority="135575" stopIfTrue="1" operator="equal">
      <formula>-1</formula>
    </cfRule>
  </conditionalFormatting>
  <conditionalFormatting sqref="D74">
    <cfRule type="cellIs" dxfId="8706" priority="135576" stopIfTrue="1" operator="lessThan">
      <formula>0.5</formula>
    </cfRule>
  </conditionalFormatting>
  <conditionalFormatting sqref="D74">
    <cfRule type="cellIs" dxfId="8705" priority="135577" stopIfTrue="1" operator="greaterThanOrEqual">
      <formula>0.5</formula>
    </cfRule>
  </conditionalFormatting>
  <conditionalFormatting sqref="D75">
    <cfRule type="cellIs" dxfId="8704" priority="135578" stopIfTrue="1" operator="equal">
      <formula>-1</formula>
    </cfRule>
  </conditionalFormatting>
  <conditionalFormatting sqref="D75">
    <cfRule type="cellIs" dxfId="8703" priority="135579" stopIfTrue="1" operator="lessThan">
      <formula>0.5</formula>
    </cfRule>
  </conditionalFormatting>
  <conditionalFormatting sqref="D75">
    <cfRule type="cellIs" dxfId="8702" priority="135580" stopIfTrue="1" operator="greaterThanOrEqual">
      <formula>0.5</formula>
    </cfRule>
  </conditionalFormatting>
  <conditionalFormatting sqref="D76">
    <cfRule type="cellIs" dxfId="8701" priority="135581" stopIfTrue="1" operator="equal">
      <formula>-1</formula>
    </cfRule>
  </conditionalFormatting>
  <conditionalFormatting sqref="D76">
    <cfRule type="cellIs" dxfId="8700" priority="135582" stopIfTrue="1" operator="lessThan">
      <formula>0.5</formula>
    </cfRule>
  </conditionalFormatting>
  <conditionalFormatting sqref="D76">
    <cfRule type="cellIs" dxfId="8699" priority="135583" stopIfTrue="1" operator="greaterThanOrEqual">
      <formula>0.5</formula>
    </cfRule>
  </conditionalFormatting>
  <conditionalFormatting sqref="D77">
    <cfRule type="cellIs" dxfId="8698" priority="135584" stopIfTrue="1" operator="equal">
      <formula>-1</formula>
    </cfRule>
  </conditionalFormatting>
  <conditionalFormatting sqref="D77">
    <cfRule type="cellIs" dxfId="8697" priority="135585" stopIfTrue="1" operator="lessThan">
      <formula>0.5</formula>
    </cfRule>
  </conditionalFormatting>
  <conditionalFormatting sqref="D77">
    <cfRule type="cellIs" dxfId="8696" priority="135586" stopIfTrue="1" operator="greaterThanOrEqual">
      <formula>0.5</formula>
    </cfRule>
  </conditionalFormatting>
  <conditionalFormatting sqref="D78">
    <cfRule type="cellIs" dxfId="8695" priority="135587" stopIfTrue="1" operator="equal">
      <formula>-1</formula>
    </cfRule>
  </conditionalFormatting>
  <conditionalFormatting sqref="D78">
    <cfRule type="cellIs" dxfId="8694" priority="135588" stopIfTrue="1" operator="lessThan">
      <formula>0.5</formula>
    </cfRule>
  </conditionalFormatting>
  <conditionalFormatting sqref="D78">
    <cfRule type="cellIs" dxfId="8693" priority="135589" stopIfTrue="1" operator="greaterThanOrEqual">
      <formula>0.5</formula>
    </cfRule>
  </conditionalFormatting>
  <conditionalFormatting sqref="D79">
    <cfRule type="cellIs" dxfId="8692" priority="135590" stopIfTrue="1" operator="equal">
      <formula>-1</formula>
    </cfRule>
  </conditionalFormatting>
  <conditionalFormatting sqref="D79">
    <cfRule type="cellIs" dxfId="8691" priority="135591" stopIfTrue="1" operator="lessThan">
      <formula>0.5</formula>
    </cfRule>
  </conditionalFormatting>
  <conditionalFormatting sqref="D79">
    <cfRule type="cellIs" dxfId="8690" priority="135592" stopIfTrue="1" operator="greaterThanOrEqual">
      <formula>0.5</formula>
    </cfRule>
  </conditionalFormatting>
  <conditionalFormatting sqref="D80">
    <cfRule type="cellIs" dxfId="8689" priority="135593" stopIfTrue="1" operator="equal">
      <formula>-1</formula>
    </cfRule>
  </conditionalFormatting>
  <conditionalFormatting sqref="D80">
    <cfRule type="cellIs" dxfId="8688" priority="135594" stopIfTrue="1" operator="lessThan">
      <formula>0.5</formula>
    </cfRule>
  </conditionalFormatting>
  <conditionalFormatting sqref="D80">
    <cfRule type="cellIs" dxfId="8687" priority="135595" stopIfTrue="1" operator="greaterThanOrEqual">
      <formula>0.5</formula>
    </cfRule>
  </conditionalFormatting>
  <conditionalFormatting sqref="D81">
    <cfRule type="cellIs" dxfId="8686" priority="135596" stopIfTrue="1" operator="equal">
      <formula>-1</formula>
    </cfRule>
  </conditionalFormatting>
  <conditionalFormatting sqref="D81">
    <cfRule type="cellIs" dxfId="8685" priority="135597" stopIfTrue="1" operator="lessThan">
      <formula>0.5</formula>
    </cfRule>
  </conditionalFormatting>
  <conditionalFormatting sqref="D81">
    <cfRule type="cellIs" dxfId="8684" priority="135598" stopIfTrue="1" operator="greaterThanOrEqual">
      <formula>0.5</formula>
    </cfRule>
  </conditionalFormatting>
  <conditionalFormatting sqref="D82">
    <cfRule type="cellIs" dxfId="8683" priority="135599" stopIfTrue="1" operator="equal">
      <formula>-1</formula>
    </cfRule>
  </conditionalFormatting>
  <conditionalFormatting sqref="D82">
    <cfRule type="cellIs" dxfId="8682" priority="135600" stopIfTrue="1" operator="lessThan">
      <formula>0.5</formula>
    </cfRule>
  </conditionalFormatting>
  <conditionalFormatting sqref="D82">
    <cfRule type="cellIs" dxfId="8681" priority="135601" stopIfTrue="1" operator="greaterThanOrEqual">
      <formula>0.5</formula>
    </cfRule>
  </conditionalFormatting>
  <conditionalFormatting sqref="D83">
    <cfRule type="cellIs" dxfId="8680" priority="135602" stopIfTrue="1" operator="equal">
      <formula>-1</formula>
    </cfRule>
  </conditionalFormatting>
  <conditionalFormatting sqref="D83">
    <cfRule type="cellIs" dxfId="8679" priority="135603" stopIfTrue="1" operator="lessThan">
      <formula>0.5</formula>
    </cfRule>
  </conditionalFormatting>
  <conditionalFormatting sqref="D83">
    <cfRule type="cellIs" dxfId="8678" priority="135604" stopIfTrue="1" operator="greaterThanOrEqual">
      <formula>0.5</formula>
    </cfRule>
  </conditionalFormatting>
  <conditionalFormatting sqref="D84">
    <cfRule type="cellIs" dxfId="8677" priority="135605" stopIfTrue="1" operator="equal">
      <formula>-1</formula>
    </cfRule>
  </conditionalFormatting>
  <conditionalFormatting sqref="D84">
    <cfRule type="cellIs" dxfId="8676" priority="135606" stopIfTrue="1" operator="lessThan">
      <formula>0.5</formula>
    </cfRule>
  </conditionalFormatting>
  <conditionalFormatting sqref="D84">
    <cfRule type="cellIs" dxfId="8675" priority="135607" stopIfTrue="1" operator="greaterThanOrEqual">
      <formula>0.5</formula>
    </cfRule>
  </conditionalFormatting>
  <conditionalFormatting sqref="D85">
    <cfRule type="cellIs" dxfId="8674" priority="135608" stopIfTrue="1" operator="equal">
      <formula>-1</formula>
    </cfRule>
  </conditionalFormatting>
  <conditionalFormatting sqref="D85">
    <cfRule type="cellIs" dxfId="8673" priority="135609" stopIfTrue="1" operator="lessThan">
      <formula>0.5</formula>
    </cfRule>
  </conditionalFormatting>
  <conditionalFormatting sqref="D85">
    <cfRule type="cellIs" dxfId="8672" priority="135610" stopIfTrue="1" operator="greaterThanOrEqual">
      <formula>0.5</formula>
    </cfRule>
  </conditionalFormatting>
  <conditionalFormatting sqref="F65">
    <cfRule type="cellIs" dxfId="8671" priority="135611" stopIfTrue="1" operator="equal">
      <formula>-1</formula>
    </cfRule>
  </conditionalFormatting>
  <conditionalFormatting sqref="F65">
    <cfRule type="cellIs" dxfId="8670" priority="135612" stopIfTrue="1" operator="lessThan">
      <formula>0.5</formula>
    </cfRule>
  </conditionalFormatting>
  <conditionalFormatting sqref="F65">
    <cfRule type="cellIs" dxfId="8669" priority="135613" stopIfTrue="1" operator="greaterThanOrEqual">
      <formula>0.5</formula>
    </cfRule>
  </conditionalFormatting>
  <conditionalFormatting sqref="F66">
    <cfRule type="cellIs" dxfId="8668" priority="135614" stopIfTrue="1" operator="equal">
      <formula>-1</formula>
    </cfRule>
  </conditionalFormatting>
  <conditionalFormatting sqref="F66">
    <cfRule type="cellIs" dxfId="8667" priority="135615" stopIfTrue="1" operator="lessThan">
      <formula>0.5</formula>
    </cfRule>
  </conditionalFormatting>
  <conditionalFormatting sqref="F66">
    <cfRule type="cellIs" dxfId="8666" priority="135616" stopIfTrue="1" operator="greaterThanOrEqual">
      <formula>0.5</formula>
    </cfRule>
  </conditionalFormatting>
  <conditionalFormatting sqref="F67">
    <cfRule type="cellIs" dxfId="8665" priority="135617" stopIfTrue="1" operator="equal">
      <formula>-1</formula>
    </cfRule>
  </conditionalFormatting>
  <conditionalFormatting sqref="F67">
    <cfRule type="cellIs" dxfId="8664" priority="135618" stopIfTrue="1" operator="lessThan">
      <formula>0.5</formula>
    </cfRule>
  </conditionalFormatting>
  <conditionalFormatting sqref="F67">
    <cfRule type="cellIs" dxfId="8663" priority="135619" stopIfTrue="1" operator="greaterThanOrEqual">
      <formula>0.5</formula>
    </cfRule>
  </conditionalFormatting>
  <conditionalFormatting sqref="F68">
    <cfRule type="cellIs" dxfId="8662" priority="135620" stopIfTrue="1" operator="equal">
      <formula>-1</formula>
    </cfRule>
  </conditionalFormatting>
  <conditionalFormatting sqref="F68">
    <cfRule type="cellIs" dxfId="8661" priority="135621" stopIfTrue="1" operator="lessThan">
      <formula>0.5</formula>
    </cfRule>
  </conditionalFormatting>
  <conditionalFormatting sqref="F68">
    <cfRule type="cellIs" dxfId="8660" priority="135622" stopIfTrue="1" operator="greaterThanOrEqual">
      <formula>0.5</formula>
    </cfRule>
  </conditionalFormatting>
  <conditionalFormatting sqref="F69">
    <cfRule type="cellIs" dxfId="8659" priority="135623" stopIfTrue="1" operator="equal">
      <formula>-1</formula>
    </cfRule>
  </conditionalFormatting>
  <conditionalFormatting sqref="F69">
    <cfRule type="cellIs" dxfId="8658" priority="135624" stopIfTrue="1" operator="lessThan">
      <formula>0.5</formula>
    </cfRule>
  </conditionalFormatting>
  <conditionalFormatting sqref="F69">
    <cfRule type="cellIs" dxfId="8657" priority="135625" stopIfTrue="1" operator="greaterThanOrEqual">
      <formula>0.5</formula>
    </cfRule>
  </conditionalFormatting>
  <conditionalFormatting sqref="F70">
    <cfRule type="cellIs" dxfId="8656" priority="135626" stopIfTrue="1" operator="equal">
      <formula>-1</formula>
    </cfRule>
  </conditionalFormatting>
  <conditionalFormatting sqref="F70">
    <cfRule type="cellIs" dxfId="8655" priority="135627" stopIfTrue="1" operator="lessThan">
      <formula>0.5</formula>
    </cfRule>
  </conditionalFormatting>
  <conditionalFormatting sqref="F70">
    <cfRule type="cellIs" dxfId="8654" priority="135628" stopIfTrue="1" operator="greaterThanOrEqual">
      <formula>0.5</formula>
    </cfRule>
  </conditionalFormatting>
  <conditionalFormatting sqref="F71">
    <cfRule type="cellIs" dxfId="8653" priority="135629" stopIfTrue="1" operator="equal">
      <formula>-1</formula>
    </cfRule>
  </conditionalFormatting>
  <conditionalFormatting sqref="F71">
    <cfRule type="cellIs" dxfId="8652" priority="135630" stopIfTrue="1" operator="lessThan">
      <formula>0.5</formula>
    </cfRule>
  </conditionalFormatting>
  <conditionalFormatting sqref="F71">
    <cfRule type="cellIs" dxfId="8651" priority="135631" stopIfTrue="1" operator="greaterThanOrEqual">
      <formula>0.5</formula>
    </cfRule>
  </conditionalFormatting>
  <conditionalFormatting sqref="F72">
    <cfRule type="cellIs" dxfId="8650" priority="135632" stopIfTrue="1" operator="equal">
      <formula>-1</formula>
    </cfRule>
  </conditionalFormatting>
  <conditionalFormatting sqref="F72">
    <cfRule type="cellIs" dxfId="8649" priority="135633" stopIfTrue="1" operator="lessThan">
      <formula>0.5</formula>
    </cfRule>
  </conditionalFormatting>
  <conditionalFormatting sqref="F72">
    <cfRule type="cellIs" dxfId="8648" priority="135634" stopIfTrue="1" operator="greaterThanOrEqual">
      <formula>0.5</formula>
    </cfRule>
  </conditionalFormatting>
  <conditionalFormatting sqref="F73">
    <cfRule type="cellIs" dxfId="8647" priority="135635" stopIfTrue="1" operator="equal">
      <formula>-1</formula>
    </cfRule>
  </conditionalFormatting>
  <conditionalFormatting sqref="F73">
    <cfRule type="cellIs" dxfId="8646" priority="135636" stopIfTrue="1" operator="lessThan">
      <formula>0.5</formula>
    </cfRule>
  </conditionalFormatting>
  <conditionalFormatting sqref="F73">
    <cfRule type="cellIs" dxfId="8645" priority="135637" stopIfTrue="1" operator="greaterThanOrEqual">
      <formula>0.5</formula>
    </cfRule>
  </conditionalFormatting>
  <conditionalFormatting sqref="F74">
    <cfRule type="cellIs" dxfId="8644" priority="135638" stopIfTrue="1" operator="equal">
      <formula>-1</formula>
    </cfRule>
  </conditionalFormatting>
  <conditionalFormatting sqref="F74">
    <cfRule type="cellIs" dxfId="8643" priority="135639" stopIfTrue="1" operator="lessThan">
      <formula>0.5</formula>
    </cfRule>
  </conditionalFormatting>
  <conditionalFormatting sqref="F74">
    <cfRule type="cellIs" dxfId="8642" priority="135640" stopIfTrue="1" operator="greaterThanOrEqual">
      <formula>0.5</formula>
    </cfRule>
  </conditionalFormatting>
  <conditionalFormatting sqref="F75">
    <cfRule type="cellIs" dxfId="8641" priority="135641" stopIfTrue="1" operator="equal">
      <formula>-1</formula>
    </cfRule>
  </conditionalFormatting>
  <conditionalFormatting sqref="F75">
    <cfRule type="cellIs" dxfId="8640" priority="135642" stopIfTrue="1" operator="lessThan">
      <formula>0.5</formula>
    </cfRule>
  </conditionalFormatting>
  <conditionalFormatting sqref="F75">
    <cfRule type="cellIs" dxfId="8639" priority="135643" stopIfTrue="1" operator="greaterThanOrEqual">
      <formula>0.5</formula>
    </cfRule>
  </conditionalFormatting>
  <conditionalFormatting sqref="F76">
    <cfRule type="cellIs" dxfId="8638" priority="135644" stopIfTrue="1" operator="equal">
      <formula>-1</formula>
    </cfRule>
  </conditionalFormatting>
  <conditionalFormatting sqref="F76">
    <cfRule type="cellIs" dxfId="8637" priority="135645" stopIfTrue="1" operator="lessThan">
      <formula>0.5</formula>
    </cfRule>
  </conditionalFormatting>
  <conditionalFormatting sqref="F76">
    <cfRule type="cellIs" dxfId="8636" priority="135646" stopIfTrue="1" operator="greaterThanOrEqual">
      <formula>0.5</formula>
    </cfRule>
  </conditionalFormatting>
  <conditionalFormatting sqref="F77">
    <cfRule type="cellIs" dxfId="8635" priority="135647" stopIfTrue="1" operator="equal">
      <formula>-1</formula>
    </cfRule>
  </conditionalFormatting>
  <conditionalFormatting sqref="F77">
    <cfRule type="cellIs" dxfId="8634" priority="135648" stopIfTrue="1" operator="lessThan">
      <formula>0.5</formula>
    </cfRule>
  </conditionalFormatting>
  <conditionalFormatting sqref="F77">
    <cfRule type="cellIs" dxfId="8633" priority="135649" stopIfTrue="1" operator="greaterThanOrEqual">
      <formula>0.5</formula>
    </cfRule>
  </conditionalFormatting>
  <conditionalFormatting sqref="F78">
    <cfRule type="cellIs" dxfId="8632" priority="135650" stopIfTrue="1" operator="equal">
      <formula>-1</formula>
    </cfRule>
  </conditionalFormatting>
  <conditionalFormatting sqref="F78">
    <cfRule type="cellIs" dxfId="8631" priority="135651" stopIfTrue="1" operator="lessThan">
      <formula>0.5</formula>
    </cfRule>
  </conditionalFormatting>
  <conditionalFormatting sqref="F78">
    <cfRule type="cellIs" dxfId="8630" priority="135652" stopIfTrue="1" operator="greaterThanOrEqual">
      <formula>0.5</formula>
    </cfRule>
  </conditionalFormatting>
  <conditionalFormatting sqref="F79">
    <cfRule type="cellIs" dxfId="8629" priority="135653" stopIfTrue="1" operator="equal">
      <formula>-1</formula>
    </cfRule>
  </conditionalFormatting>
  <conditionalFormatting sqref="F79">
    <cfRule type="cellIs" dxfId="8628" priority="135654" stopIfTrue="1" operator="lessThan">
      <formula>0.5</formula>
    </cfRule>
  </conditionalFormatting>
  <conditionalFormatting sqref="F79">
    <cfRule type="cellIs" dxfId="8627" priority="135655" stopIfTrue="1" operator="greaterThanOrEqual">
      <formula>0.5</formula>
    </cfRule>
  </conditionalFormatting>
  <conditionalFormatting sqref="F80">
    <cfRule type="cellIs" dxfId="8626" priority="135656" stopIfTrue="1" operator="equal">
      <formula>-1</formula>
    </cfRule>
  </conditionalFormatting>
  <conditionalFormatting sqref="F80">
    <cfRule type="cellIs" dxfId="8625" priority="135657" stopIfTrue="1" operator="lessThan">
      <formula>0.5</formula>
    </cfRule>
  </conditionalFormatting>
  <conditionalFormatting sqref="F80">
    <cfRule type="cellIs" dxfId="8624" priority="135658" stopIfTrue="1" operator="greaterThanOrEqual">
      <formula>0.5</formula>
    </cfRule>
  </conditionalFormatting>
  <conditionalFormatting sqref="F81">
    <cfRule type="cellIs" dxfId="8623" priority="135659" stopIfTrue="1" operator="equal">
      <formula>-1</formula>
    </cfRule>
  </conditionalFormatting>
  <conditionalFormatting sqref="F81">
    <cfRule type="cellIs" dxfId="8622" priority="135660" stopIfTrue="1" operator="lessThan">
      <formula>0.5</formula>
    </cfRule>
  </conditionalFormatting>
  <conditionalFormatting sqref="F81">
    <cfRule type="cellIs" dxfId="8621" priority="135661" stopIfTrue="1" operator="greaterThanOrEqual">
      <formula>0.5</formula>
    </cfRule>
  </conditionalFormatting>
  <conditionalFormatting sqref="F82">
    <cfRule type="cellIs" dxfId="8620" priority="135662" stopIfTrue="1" operator="equal">
      <formula>-1</formula>
    </cfRule>
  </conditionalFormatting>
  <conditionalFormatting sqref="F82">
    <cfRule type="cellIs" dxfId="8619" priority="135663" stopIfTrue="1" operator="lessThan">
      <formula>0.5</formula>
    </cfRule>
  </conditionalFormatting>
  <conditionalFormatting sqref="F82">
    <cfRule type="cellIs" dxfId="8618" priority="135664" stopIfTrue="1" operator="greaterThanOrEqual">
      <formula>0.5</formula>
    </cfRule>
  </conditionalFormatting>
  <conditionalFormatting sqref="F83">
    <cfRule type="cellIs" dxfId="8617" priority="135665" stopIfTrue="1" operator="equal">
      <formula>-1</formula>
    </cfRule>
  </conditionalFormatting>
  <conditionalFormatting sqref="F83">
    <cfRule type="cellIs" dxfId="8616" priority="135666" stopIfTrue="1" operator="lessThan">
      <formula>0.5</formula>
    </cfRule>
  </conditionalFormatting>
  <conditionalFormatting sqref="F83">
    <cfRule type="cellIs" dxfId="8615" priority="135667" stopIfTrue="1" operator="greaterThanOrEqual">
      <formula>0.5</formula>
    </cfRule>
  </conditionalFormatting>
  <conditionalFormatting sqref="F84">
    <cfRule type="cellIs" dxfId="8614" priority="135668" stopIfTrue="1" operator="equal">
      <formula>-1</formula>
    </cfRule>
  </conditionalFormatting>
  <conditionalFormatting sqref="F84">
    <cfRule type="cellIs" dxfId="8613" priority="135669" stopIfTrue="1" operator="lessThan">
      <formula>0.5</formula>
    </cfRule>
  </conditionalFormatting>
  <conditionalFormatting sqref="F84">
    <cfRule type="cellIs" dxfId="8612" priority="135670" stopIfTrue="1" operator="greaterThanOrEqual">
      <formula>0.5</formula>
    </cfRule>
  </conditionalFormatting>
  <conditionalFormatting sqref="F85">
    <cfRule type="cellIs" dxfId="8611" priority="135671" stopIfTrue="1" operator="equal">
      <formula>-1</formula>
    </cfRule>
  </conditionalFormatting>
  <conditionalFormatting sqref="F85">
    <cfRule type="cellIs" dxfId="8610" priority="135672" stopIfTrue="1" operator="lessThan">
      <formula>0.5</formula>
    </cfRule>
  </conditionalFormatting>
  <conditionalFormatting sqref="F85">
    <cfRule type="cellIs" dxfId="8609" priority="135673" stopIfTrue="1" operator="greaterThanOrEqual">
      <formula>0.5</formula>
    </cfRule>
  </conditionalFormatting>
  <conditionalFormatting sqref="H65">
    <cfRule type="cellIs" dxfId="8608" priority="135674" stopIfTrue="1" operator="equal">
      <formula>-1</formula>
    </cfRule>
  </conditionalFormatting>
  <conditionalFormatting sqref="H65">
    <cfRule type="cellIs" dxfId="8607" priority="135675" stopIfTrue="1" operator="lessThan">
      <formula>0.5</formula>
    </cfRule>
  </conditionalFormatting>
  <conditionalFormatting sqref="H65">
    <cfRule type="cellIs" dxfId="8606" priority="135676" stopIfTrue="1" operator="greaterThanOrEqual">
      <formula>0.5</formula>
    </cfRule>
  </conditionalFormatting>
  <conditionalFormatting sqref="H66">
    <cfRule type="cellIs" dxfId="8605" priority="135677" stopIfTrue="1" operator="equal">
      <formula>-1</formula>
    </cfRule>
  </conditionalFormatting>
  <conditionalFormatting sqref="H66">
    <cfRule type="cellIs" dxfId="8604" priority="135678" stopIfTrue="1" operator="lessThan">
      <formula>0.5</formula>
    </cfRule>
  </conditionalFormatting>
  <conditionalFormatting sqref="H66">
    <cfRule type="cellIs" dxfId="8603" priority="135679" stopIfTrue="1" operator="greaterThanOrEqual">
      <formula>0.5</formula>
    </cfRule>
  </conditionalFormatting>
  <conditionalFormatting sqref="H67">
    <cfRule type="cellIs" dxfId="8602" priority="135680" stopIfTrue="1" operator="equal">
      <formula>-1</formula>
    </cfRule>
  </conditionalFormatting>
  <conditionalFormatting sqref="H67">
    <cfRule type="cellIs" dxfId="8601" priority="135681" stopIfTrue="1" operator="lessThan">
      <formula>0.5</formula>
    </cfRule>
  </conditionalFormatting>
  <conditionalFormatting sqref="H67">
    <cfRule type="cellIs" dxfId="8600" priority="135682" stopIfTrue="1" operator="greaterThanOrEqual">
      <formula>0.5</formula>
    </cfRule>
  </conditionalFormatting>
  <conditionalFormatting sqref="H68">
    <cfRule type="cellIs" dxfId="8599" priority="135683" stopIfTrue="1" operator="equal">
      <formula>-1</formula>
    </cfRule>
  </conditionalFormatting>
  <conditionalFormatting sqref="H68">
    <cfRule type="cellIs" dxfId="8598" priority="135684" stopIfTrue="1" operator="lessThan">
      <formula>0.5</formula>
    </cfRule>
  </conditionalFormatting>
  <conditionalFormatting sqref="H68">
    <cfRule type="cellIs" dxfId="8597" priority="135685" stopIfTrue="1" operator="greaterThanOrEqual">
      <formula>0.5</formula>
    </cfRule>
  </conditionalFormatting>
  <conditionalFormatting sqref="H69">
    <cfRule type="cellIs" dxfId="8596" priority="135686" stopIfTrue="1" operator="equal">
      <formula>-1</formula>
    </cfRule>
  </conditionalFormatting>
  <conditionalFormatting sqref="H69">
    <cfRule type="cellIs" dxfId="8595" priority="135687" stopIfTrue="1" operator="lessThan">
      <formula>0.5</formula>
    </cfRule>
  </conditionalFormatting>
  <conditionalFormatting sqref="H69">
    <cfRule type="cellIs" dxfId="8594" priority="135688" stopIfTrue="1" operator="greaterThanOrEqual">
      <formula>0.5</formula>
    </cfRule>
  </conditionalFormatting>
  <conditionalFormatting sqref="H70">
    <cfRule type="cellIs" dxfId="8593" priority="135689" stopIfTrue="1" operator="equal">
      <formula>-1</formula>
    </cfRule>
  </conditionalFormatting>
  <conditionalFormatting sqref="H70">
    <cfRule type="cellIs" dxfId="8592" priority="135690" stopIfTrue="1" operator="lessThan">
      <formula>0.5</formula>
    </cfRule>
  </conditionalFormatting>
  <conditionalFormatting sqref="H70">
    <cfRule type="cellIs" dxfId="8591" priority="135691" stopIfTrue="1" operator="greaterThanOrEqual">
      <formula>0.5</formula>
    </cfRule>
  </conditionalFormatting>
  <conditionalFormatting sqref="H71">
    <cfRule type="cellIs" dxfId="8590" priority="135692" stopIfTrue="1" operator="equal">
      <formula>-1</formula>
    </cfRule>
  </conditionalFormatting>
  <conditionalFormatting sqref="H71">
    <cfRule type="cellIs" dxfId="8589" priority="135693" stopIfTrue="1" operator="lessThan">
      <formula>0.5</formula>
    </cfRule>
  </conditionalFormatting>
  <conditionalFormatting sqref="H71">
    <cfRule type="cellIs" dxfId="8588" priority="135694" stopIfTrue="1" operator="greaterThanOrEqual">
      <formula>0.5</formula>
    </cfRule>
  </conditionalFormatting>
  <conditionalFormatting sqref="H72">
    <cfRule type="cellIs" dxfId="8587" priority="135695" stopIfTrue="1" operator="equal">
      <formula>-1</formula>
    </cfRule>
  </conditionalFormatting>
  <conditionalFormatting sqref="H72">
    <cfRule type="cellIs" dxfId="8586" priority="135696" stopIfTrue="1" operator="lessThan">
      <formula>0.5</formula>
    </cfRule>
  </conditionalFormatting>
  <conditionalFormatting sqref="H72">
    <cfRule type="cellIs" dxfId="8585" priority="135697" stopIfTrue="1" operator="greaterThanOrEqual">
      <formula>0.5</formula>
    </cfRule>
  </conditionalFormatting>
  <conditionalFormatting sqref="H73">
    <cfRule type="cellIs" dxfId="8584" priority="135698" stopIfTrue="1" operator="equal">
      <formula>-1</formula>
    </cfRule>
  </conditionalFormatting>
  <conditionalFormatting sqref="H73">
    <cfRule type="cellIs" dxfId="8583" priority="135699" stopIfTrue="1" operator="lessThan">
      <formula>0.5</formula>
    </cfRule>
  </conditionalFormatting>
  <conditionalFormatting sqref="H73">
    <cfRule type="cellIs" dxfId="8582" priority="135700" stopIfTrue="1" operator="greaterThanOrEqual">
      <formula>0.5</formula>
    </cfRule>
  </conditionalFormatting>
  <conditionalFormatting sqref="H74">
    <cfRule type="cellIs" dxfId="8581" priority="135701" stopIfTrue="1" operator="equal">
      <formula>-1</formula>
    </cfRule>
  </conditionalFormatting>
  <conditionalFormatting sqref="H74">
    <cfRule type="cellIs" dxfId="8580" priority="135702" stopIfTrue="1" operator="lessThan">
      <formula>0.5</formula>
    </cfRule>
  </conditionalFormatting>
  <conditionalFormatting sqref="H74">
    <cfRule type="cellIs" dxfId="8579" priority="135703" stopIfTrue="1" operator="greaterThanOrEqual">
      <formula>0.5</formula>
    </cfRule>
  </conditionalFormatting>
  <conditionalFormatting sqref="H75">
    <cfRule type="cellIs" dxfId="8578" priority="135704" stopIfTrue="1" operator="equal">
      <formula>-1</formula>
    </cfRule>
  </conditionalFormatting>
  <conditionalFormatting sqref="H75">
    <cfRule type="cellIs" dxfId="8577" priority="135705" stopIfTrue="1" operator="lessThan">
      <formula>0.5</formula>
    </cfRule>
  </conditionalFormatting>
  <conditionalFormatting sqref="H75">
    <cfRule type="cellIs" dxfId="8576" priority="135706" stopIfTrue="1" operator="greaterThanOrEqual">
      <formula>0.5</formula>
    </cfRule>
  </conditionalFormatting>
  <conditionalFormatting sqref="H76">
    <cfRule type="cellIs" dxfId="8575" priority="135707" stopIfTrue="1" operator="equal">
      <formula>-1</formula>
    </cfRule>
  </conditionalFormatting>
  <conditionalFormatting sqref="H76">
    <cfRule type="cellIs" dxfId="8574" priority="135708" stopIfTrue="1" operator="lessThan">
      <formula>0.5</formula>
    </cfRule>
  </conditionalFormatting>
  <conditionalFormatting sqref="H76">
    <cfRule type="cellIs" dxfId="8573" priority="135709" stopIfTrue="1" operator="greaterThanOrEqual">
      <formula>0.5</formula>
    </cfRule>
  </conditionalFormatting>
  <conditionalFormatting sqref="H77">
    <cfRule type="cellIs" dxfId="8572" priority="135710" stopIfTrue="1" operator="equal">
      <formula>-1</formula>
    </cfRule>
  </conditionalFormatting>
  <conditionalFormatting sqref="H77">
    <cfRule type="cellIs" dxfId="8571" priority="135711" stopIfTrue="1" operator="lessThan">
      <formula>0.5</formula>
    </cfRule>
  </conditionalFormatting>
  <conditionalFormatting sqref="H77">
    <cfRule type="cellIs" dxfId="8570" priority="135712" stopIfTrue="1" operator="greaterThanOrEqual">
      <formula>0.5</formula>
    </cfRule>
  </conditionalFormatting>
  <conditionalFormatting sqref="H78">
    <cfRule type="cellIs" dxfId="8569" priority="135713" stopIfTrue="1" operator="equal">
      <formula>-1</formula>
    </cfRule>
  </conditionalFormatting>
  <conditionalFormatting sqref="H78">
    <cfRule type="cellIs" dxfId="8568" priority="135714" stopIfTrue="1" operator="lessThan">
      <formula>0.5</formula>
    </cfRule>
  </conditionalFormatting>
  <conditionalFormatting sqref="H78">
    <cfRule type="cellIs" dxfId="8567" priority="135715" stopIfTrue="1" operator="greaterThanOrEqual">
      <formula>0.5</formula>
    </cfRule>
  </conditionalFormatting>
  <conditionalFormatting sqref="H79">
    <cfRule type="cellIs" dxfId="8566" priority="135716" stopIfTrue="1" operator="equal">
      <formula>-1</formula>
    </cfRule>
  </conditionalFormatting>
  <conditionalFormatting sqref="H79">
    <cfRule type="cellIs" dxfId="8565" priority="135717" stopIfTrue="1" operator="lessThan">
      <formula>0.5</formula>
    </cfRule>
  </conditionalFormatting>
  <conditionalFormatting sqref="H79">
    <cfRule type="cellIs" dxfId="8564" priority="135718" stopIfTrue="1" operator="greaterThanOrEqual">
      <formula>0.5</formula>
    </cfRule>
  </conditionalFormatting>
  <conditionalFormatting sqref="H80">
    <cfRule type="cellIs" dxfId="8563" priority="135719" stopIfTrue="1" operator="equal">
      <formula>-1</formula>
    </cfRule>
  </conditionalFormatting>
  <conditionalFormatting sqref="H80">
    <cfRule type="cellIs" dxfId="8562" priority="135720" stopIfTrue="1" operator="lessThan">
      <formula>0.5</formula>
    </cfRule>
  </conditionalFormatting>
  <conditionalFormatting sqref="H80">
    <cfRule type="cellIs" dxfId="8561" priority="135721" stopIfTrue="1" operator="greaterThanOrEqual">
      <formula>0.5</formula>
    </cfRule>
  </conditionalFormatting>
  <conditionalFormatting sqref="H81">
    <cfRule type="cellIs" dxfId="8560" priority="135722" stopIfTrue="1" operator="equal">
      <formula>-1</formula>
    </cfRule>
  </conditionalFormatting>
  <conditionalFormatting sqref="H81">
    <cfRule type="cellIs" dxfId="8559" priority="135723" stopIfTrue="1" operator="lessThan">
      <formula>0.5</formula>
    </cfRule>
  </conditionalFormatting>
  <conditionalFormatting sqref="H81">
    <cfRule type="cellIs" dxfId="8558" priority="135724" stopIfTrue="1" operator="greaterThanOrEqual">
      <formula>0.5</formula>
    </cfRule>
  </conditionalFormatting>
  <conditionalFormatting sqref="H82">
    <cfRule type="cellIs" dxfId="8557" priority="135725" stopIfTrue="1" operator="equal">
      <formula>-1</formula>
    </cfRule>
  </conditionalFormatting>
  <conditionalFormatting sqref="H82">
    <cfRule type="cellIs" dxfId="8556" priority="135726" stopIfTrue="1" operator="lessThan">
      <formula>0.5</formula>
    </cfRule>
  </conditionalFormatting>
  <conditionalFormatting sqref="H82">
    <cfRule type="cellIs" dxfId="8555" priority="135727" stopIfTrue="1" operator="greaterThanOrEqual">
      <formula>0.5</formula>
    </cfRule>
  </conditionalFormatting>
  <conditionalFormatting sqref="H83">
    <cfRule type="cellIs" dxfId="8554" priority="135728" stopIfTrue="1" operator="equal">
      <formula>-1</formula>
    </cfRule>
  </conditionalFormatting>
  <conditionalFormatting sqref="H83">
    <cfRule type="cellIs" dxfId="8553" priority="135729" stopIfTrue="1" operator="lessThan">
      <formula>0.5</formula>
    </cfRule>
  </conditionalFormatting>
  <conditionalFormatting sqref="H83">
    <cfRule type="cellIs" dxfId="8552" priority="135730" stopIfTrue="1" operator="greaterThanOrEqual">
      <formula>0.5</formula>
    </cfRule>
  </conditionalFormatting>
  <conditionalFormatting sqref="H84">
    <cfRule type="cellIs" dxfId="8551" priority="135731" stopIfTrue="1" operator="equal">
      <formula>-1</formula>
    </cfRule>
  </conditionalFormatting>
  <conditionalFormatting sqref="H84">
    <cfRule type="cellIs" dxfId="8550" priority="135732" stopIfTrue="1" operator="lessThan">
      <formula>0.5</formula>
    </cfRule>
  </conditionalFormatting>
  <conditionalFormatting sqref="H84">
    <cfRule type="cellIs" dxfId="8549" priority="135733" stopIfTrue="1" operator="greaterThanOrEqual">
      <formula>0.5</formula>
    </cfRule>
  </conditionalFormatting>
  <conditionalFormatting sqref="H85">
    <cfRule type="cellIs" dxfId="8548" priority="135734" stopIfTrue="1" operator="equal">
      <formula>-1</formula>
    </cfRule>
  </conditionalFormatting>
  <conditionalFormatting sqref="H85">
    <cfRule type="cellIs" dxfId="8547" priority="135735" stopIfTrue="1" operator="lessThan">
      <formula>0.5</formula>
    </cfRule>
  </conditionalFormatting>
  <conditionalFormatting sqref="H85">
    <cfRule type="cellIs" dxfId="8546" priority="135736" stopIfTrue="1" operator="greaterThanOrEqual">
      <formula>0.5</formula>
    </cfRule>
  </conditionalFormatting>
  <conditionalFormatting sqref="J65">
    <cfRule type="cellIs" dxfId="8545" priority="135737" stopIfTrue="1" operator="equal">
      <formula>-1</formula>
    </cfRule>
  </conditionalFormatting>
  <conditionalFormatting sqref="J65">
    <cfRule type="cellIs" dxfId="8544" priority="135738" stopIfTrue="1" operator="lessThan">
      <formula>0.5</formula>
    </cfRule>
  </conditionalFormatting>
  <conditionalFormatting sqref="J65">
    <cfRule type="cellIs" dxfId="8543" priority="135739" stopIfTrue="1" operator="greaterThanOrEqual">
      <formula>0.5</formula>
    </cfRule>
  </conditionalFormatting>
  <conditionalFormatting sqref="J66">
    <cfRule type="cellIs" dxfId="8542" priority="135740" stopIfTrue="1" operator="equal">
      <formula>-1</formula>
    </cfRule>
  </conditionalFormatting>
  <conditionalFormatting sqref="J66">
    <cfRule type="cellIs" dxfId="8541" priority="135741" stopIfTrue="1" operator="lessThan">
      <formula>0.5</formula>
    </cfRule>
  </conditionalFormatting>
  <conditionalFormatting sqref="J66">
    <cfRule type="cellIs" dxfId="8540" priority="135742" stopIfTrue="1" operator="greaterThanOrEqual">
      <formula>0.5</formula>
    </cfRule>
  </conditionalFormatting>
  <conditionalFormatting sqref="J67">
    <cfRule type="cellIs" dxfId="8539" priority="135743" stopIfTrue="1" operator="equal">
      <formula>-1</formula>
    </cfRule>
  </conditionalFormatting>
  <conditionalFormatting sqref="J67">
    <cfRule type="cellIs" dxfId="8538" priority="135744" stopIfTrue="1" operator="lessThan">
      <formula>0.5</formula>
    </cfRule>
  </conditionalFormatting>
  <conditionalFormatting sqref="J67">
    <cfRule type="cellIs" dxfId="8537" priority="135745" stopIfTrue="1" operator="greaterThanOrEqual">
      <formula>0.5</formula>
    </cfRule>
  </conditionalFormatting>
  <conditionalFormatting sqref="J68">
    <cfRule type="cellIs" dxfId="8536" priority="135746" stopIfTrue="1" operator="equal">
      <formula>-1</formula>
    </cfRule>
  </conditionalFormatting>
  <conditionalFormatting sqref="J68">
    <cfRule type="cellIs" dxfId="8535" priority="135747" stopIfTrue="1" operator="lessThan">
      <formula>0.5</formula>
    </cfRule>
  </conditionalFormatting>
  <conditionalFormatting sqref="J68">
    <cfRule type="cellIs" dxfId="8534" priority="135748" stopIfTrue="1" operator="greaterThanOrEqual">
      <formula>0.5</formula>
    </cfRule>
  </conditionalFormatting>
  <conditionalFormatting sqref="J69">
    <cfRule type="cellIs" dxfId="8533" priority="135749" stopIfTrue="1" operator="equal">
      <formula>-1</formula>
    </cfRule>
  </conditionalFormatting>
  <conditionalFormatting sqref="J69">
    <cfRule type="cellIs" dxfId="8532" priority="135750" stopIfTrue="1" operator="lessThan">
      <formula>0.5</formula>
    </cfRule>
  </conditionalFormatting>
  <conditionalFormatting sqref="J69">
    <cfRule type="cellIs" dxfId="8531" priority="135751" stopIfTrue="1" operator="greaterThanOrEqual">
      <formula>0.5</formula>
    </cfRule>
  </conditionalFormatting>
  <conditionalFormatting sqref="J70">
    <cfRule type="cellIs" dxfId="8530" priority="135752" stopIfTrue="1" operator="equal">
      <formula>-1</formula>
    </cfRule>
  </conditionalFormatting>
  <conditionalFormatting sqref="J70">
    <cfRule type="cellIs" dxfId="8529" priority="135753" stopIfTrue="1" operator="lessThan">
      <formula>0.5</formula>
    </cfRule>
  </conditionalFormatting>
  <conditionalFormatting sqref="J70">
    <cfRule type="cellIs" dxfId="8528" priority="135754" stopIfTrue="1" operator="greaterThanOrEqual">
      <formula>0.5</formula>
    </cfRule>
  </conditionalFormatting>
  <conditionalFormatting sqref="J71">
    <cfRule type="cellIs" dxfId="8527" priority="135755" stopIfTrue="1" operator="equal">
      <formula>-1</formula>
    </cfRule>
  </conditionalFormatting>
  <conditionalFormatting sqref="J71">
    <cfRule type="cellIs" dxfId="8526" priority="135756" stopIfTrue="1" operator="lessThan">
      <formula>0.5</formula>
    </cfRule>
  </conditionalFormatting>
  <conditionalFormatting sqref="J71">
    <cfRule type="cellIs" dxfId="8525" priority="135757" stopIfTrue="1" operator="greaterThanOrEqual">
      <formula>0.5</formula>
    </cfRule>
  </conditionalFormatting>
  <conditionalFormatting sqref="J72">
    <cfRule type="cellIs" dxfId="8524" priority="135758" stopIfTrue="1" operator="equal">
      <formula>-1</formula>
    </cfRule>
  </conditionalFormatting>
  <conditionalFormatting sqref="J72">
    <cfRule type="cellIs" dxfId="8523" priority="135759" stopIfTrue="1" operator="lessThan">
      <formula>0.5</formula>
    </cfRule>
  </conditionalFormatting>
  <conditionalFormatting sqref="J72">
    <cfRule type="cellIs" dxfId="8522" priority="135760" stopIfTrue="1" operator="greaterThanOrEqual">
      <formula>0.5</formula>
    </cfRule>
  </conditionalFormatting>
  <conditionalFormatting sqref="J73">
    <cfRule type="cellIs" dxfId="8521" priority="135761" stopIfTrue="1" operator="equal">
      <formula>-1</formula>
    </cfRule>
  </conditionalFormatting>
  <conditionalFormatting sqref="J73">
    <cfRule type="cellIs" dxfId="8520" priority="135762" stopIfTrue="1" operator="lessThan">
      <formula>0.5</formula>
    </cfRule>
  </conditionalFormatting>
  <conditionalFormatting sqref="J73">
    <cfRule type="cellIs" dxfId="8519" priority="135763" stopIfTrue="1" operator="greaterThanOrEqual">
      <formula>0.5</formula>
    </cfRule>
  </conditionalFormatting>
  <conditionalFormatting sqref="J74">
    <cfRule type="cellIs" dxfId="8518" priority="135764" stopIfTrue="1" operator="equal">
      <formula>-1</formula>
    </cfRule>
  </conditionalFormatting>
  <conditionalFormatting sqref="J74">
    <cfRule type="cellIs" dxfId="8517" priority="135765" stopIfTrue="1" operator="lessThan">
      <formula>0.5</formula>
    </cfRule>
  </conditionalFormatting>
  <conditionalFormatting sqref="J74">
    <cfRule type="cellIs" dxfId="8516" priority="135766" stopIfTrue="1" operator="greaterThanOrEqual">
      <formula>0.5</formula>
    </cfRule>
  </conditionalFormatting>
  <conditionalFormatting sqref="J75">
    <cfRule type="cellIs" dxfId="8515" priority="135767" stopIfTrue="1" operator="equal">
      <formula>-1</formula>
    </cfRule>
  </conditionalFormatting>
  <conditionalFormatting sqref="J75">
    <cfRule type="cellIs" dxfId="8514" priority="135768" stopIfTrue="1" operator="lessThan">
      <formula>0.5</formula>
    </cfRule>
  </conditionalFormatting>
  <conditionalFormatting sqref="J75">
    <cfRule type="cellIs" dxfId="8513" priority="135769" stopIfTrue="1" operator="greaterThanOrEqual">
      <formula>0.5</formula>
    </cfRule>
  </conditionalFormatting>
  <conditionalFormatting sqref="J76">
    <cfRule type="cellIs" dxfId="8512" priority="135770" stopIfTrue="1" operator="equal">
      <formula>-1</formula>
    </cfRule>
  </conditionalFormatting>
  <conditionalFormatting sqref="J76">
    <cfRule type="cellIs" dxfId="8511" priority="135771" stopIfTrue="1" operator="lessThan">
      <formula>0.5</formula>
    </cfRule>
  </conditionalFormatting>
  <conditionalFormatting sqref="J76">
    <cfRule type="cellIs" dxfId="8510" priority="135772" stopIfTrue="1" operator="greaterThanOrEqual">
      <formula>0.5</formula>
    </cfRule>
  </conditionalFormatting>
  <conditionalFormatting sqref="J77">
    <cfRule type="cellIs" dxfId="8509" priority="135773" stopIfTrue="1" operator="equal">
      <formula>-1</formula>
    </cfRule>
  </conditionalFormatting>
  <conditionalFormatting sqref="J77">
    <cfRule type="cellIs" dxfId="8508" priority="135774" stopIfTrue="1" operator="lessThan">
      <formula>0.5</formula>
    </cfRule>
  </conditionalFormatting>
  <conditionalFormatting sqref="J77">
    <cfRule type="cellIs" dxfId="8507" priority="135775" stopIfTrue="1" operator="greaterThanOrEqual">
      <formula>0.5</formula>
    </cfRule>
  </conditionalFormatting>
  <conditionalFormatting sqref="J78">
    <cfRule type="cellIs" dxfId="8506" priority="135776" stopIfTrue="1" operator="equal">
      <formula>-1</formula>
    </cfRule>
  </conditionalFormatting>
  <conditionalFormatting sqref="J78">
    <cfRule type="cellIs" dxfId="8505" priority="135777" stopIfTrue="1" operator="lessThan">
      <formula>0.5</formula>
    </cfRule>
  </conditionalFormatting>
  <conditionalFormatting sqref="J78">
    <cfRule type="cellIs" dxfId="8504" priority="135778" stopIfTrue="1" operator="greaterThanOrEqual">
      <formula>0.5</formula>
    </cfRule>
  </conditionalFormatting>
  <conditionalFormatting sqref="J79">
    <cfRule type="cellIs" dxfId="8503" priority="135779" stopIfTrue="1" operator="equal">
      <formula>-1</formula>
    </cfRule>
  </conditionalFormatting>
  <conditionalFormatting sqref="J79">
    <cfRule type="cellIs" dxfId="8502" priority="135780" stopIfTrue="1" operator="lessThan">
      <formula>0.5</formula>
    </cfRule>
  </conditionalFormatting>
  <conditionalFormatting sqref="J79">
    <cfRule type="cellIs" dxfId="8501" priority="135781" stopIfTrue="1" operator="greaterThanOrEqual">
      <formula>0.5</formula>
    </cfRule>
  </conditionalFormatting>
  <conditionalFormatting sqref="J80">
    <cfRule type="cellIs" dxfId="8500" priority="135782" stopIfTrue="1" operator="equal">
      <formula>-1</formula>
    </cfRule>
  </conditionalFormatting>
  <conditionalFormatting sqref="J80">
    <cfRule type="cellIs" dxfId="8499" priority="135783" stopIfTrue="1" operator="lessThan">
      <formula>0.5</formula>
    </cfRule>
  </conditionalFormatting>
  <conditionalFormatting sqref="J80">
    <cfRule type="cellIs" dxfId="8498" priority="135784" stopIfTrue="1" operator="greaterThanOrEqual">
      <formula>0.5</formula>
    </cfRule>
  </conditionalFormatting>
  <conditionalFormatting sqref="J81">
    <cfRule type="cellIs" dxfId="8497" priority="135785" stopIfTrue="1" operator="equal">
      <formula>-1</formula>
    </cfRule>
  </conditionalFormatting>
  <conditionalFormatting sqref="J81">
    <cfRule type="cellIs" dxfId="8496" priority="135786" stopIfTrue="1" operator="lessThan">
      <formula>0.5</formula>
    </cfRule>
  </conditionalFormatting>
  <conditionalFormatting sqref="J81">
    <cfRule type="cellIs" dxfId="8495" priority="135787" stopIfTrue="1" operator="greaterThanOrEqual">
      <formula>0.5</formula>
    </cfRule>
  </conditionalFormatting>
  <conditionalFormatting sqref="J82">
    <cfRule type="cellIs" dxfId="8494" priority="135788" stopIfTrue="1" operator="equal">
      <formula>-1</formula>
    </cfRule>
  </conditionalFormatting>
  <conditionalFormatting sqref="J82">
    <cfRule type="cellIs" dxfId="8493" priority="135789" stopIfTrue="1" operator="lessThan">
      <formula>0.5</formula>
    </cfRule>
  </conditionalFormatting>
  <conditionalFormatting sqref="J82">
    <cfRule type="cellIs" dxfId="8492" priority="135790" stopIfTrue="1" operator="greaterThanOrEqual">
      <formula>0.5</formula>
    </cfRule>
  </conditionalFormatting>
  <conditionalFormatting sqref="J83">
    <cfRule type="cellIs" dxfId="8491" priority="135791" stopIfTrue="1" operator="equal">
      <formula>-1</formula>
    </cfRule>
  </conditionalFormatting>
  <conditionalFormatting sqref="J83">
    <cfRule type="cellIs" dxfId="8490" priority="135792" stopIfTrue="1" operator="lessThan">
      <formula>0.5</formula>
    </cfRule>
  </conditionalFormatting>
  <conditionalFormatting sqref="J83">
    <cfRule type="cellIs" dxfId="8489" priority="135793" stopIfTrue="1" operator="greaterThanOrEqual">
      <formula>0.5</formula>
    </cfRule>
  </conditionalFormatting>
  <conditionalFormatting sqref="J84">
    <cfRule type="cellIs" dxfId="8488" priority="135794" stopIfTrue="1" operator="equal">
      <formula>-1</formula>
    </cfRule>
  </conditionalFormatting>
  <conditionalFormatting sqref="J84">
    <cfRule type="cellIs" dxfId="8487" priority="135795" stopIfTrue="1" operator="lessThan">
      <formula>0.5</formula>
    </cfRule>
  </conditionalFormatting>
  <conditionalFormatting sqref="J84">
    <cfRule type="cellIs" dxfId="8486" priority="135796" stopIfTrue="1" operator="greaterThanOrEqual">
      <formula>0.5</formula>
    </cfRule>
  </conditionalFormatting>
  <conditionalFormatting sqref="J85">
    <cfRule type="cellIs" dxfId="8485" priority="135797" stopIfTrue="1" operator="equal">
      <formula>-1</formula>
    </cfRule>
  </conditionalFormatting>
  <conditionalFormatting sqref="J85">
    <cfRule type="cellIs" dxfId="8484" priority="135798" stopIfTrue="1" operator="lessThan">
      <formula>0.5</formula>
    </cfRule>
  </conditionalFormatting>
  <conditionalFormatting sqref="J85">
    <cfRule type="cellIs" dxfId="8483" priority="135799" stopIfTrue="1" operator="greaterThanOrEqual">
      <formula>0.5</formula>
    </cfRule>
  </conditionalFormatting>
  <conditionalFormatting sqref="L65">
    <cfRule type="cellIs" dxfId="8482" priority="135800" stopIfTrue="1" operator="equal">
      <formula>-1</formula>
    </cfRule>
  </conditionalFormatting>
  <conditionalFormatting sqref="L65">
    <cfRule type="cellIs" dxfId="8481" priority="135801" stopIfTrue="1" operator="lessThan">
      <formula>0.5</formula>
    </cfRule>
  </conditionalFormatting>
  <conditionalFormatting sqref="L65">
    <cfRule type="cellIs" dxfId="8480" priority="135802" stopIfTrue="1" operator="greaterThanOrEqual">
      <formula>0.5</formula>
    </cfRule>
  </conditionalFormatting>
  <conditionalFormatting sqref="L66">
    <cfRule type="cellIs" dxfId="8479" priority="135803" stopIfTrue="1" operator="equal">
      <formula>-1</formula>
    </cfRule>
  </conditionalFormatting>
  <conditionalFormatting sqref="L66">
    <cfRule type="cellIs" dxfId="8478" priority="135804" stopIfTrue="1" operator="lessThan">
      <formula>0.5</formula>
    </cfRule>
  </conditionalFormatting>
  <conditionalFormatting sqref="L66">
    <cfRule type="cellIs" dxfId="8477" priority="135805" stopIfTrue="1" operator="greaterThanOrEqual">
      <formula>0.5</formula>
    </cfRule>
  </conditionalFormatting>
  <conditionalFormatting sqref="L67">
    <cfRule type="cellIs" dxfId="8476" priority="135806" stopIfTrue="1" operator="equal">
      <formula>-1</formula>
    </cfRule>
  </conditionalFormatting>
  <conditionalFormatting sqref="L67">
    <cfRule type="cellIs" dxfId="8475" priority="135807" stopIfTrue="1" operator="lessThan">
      <formula>0.5</formula>
    </cfRule>
  </conditionalFormatting>
  <conditionalFormatting sqref="L67">
    <cfRule type="cellIs" dxfId="8474" priority="135808" stopIfTrue="1" operator="greaterThanOrEqual">
      <formula>0.5</formula>
    </cfRule>
  </conditionalFormatting>
  <conditionalFormatting sqref="L68">
    <cfRule type="cellIs" dxfId="8473" priority="135809" stopIfTrue="1" operator="equal">
      <formula>-1</formula>
    </cfRule>
  </conditionalFormatting>
  <conditionalFormatting sqref="L68">
    <cfRule type="cellIs" dxfId="8472" priority="135810" stopIfTrue="1" operator="lessThan">
      <formula>0.5</formula>
    </cfRule>
  </conditionalFormatting>
  <conditionalFormatting sqref="L68">
    <cfRule type="cellIs" dxfId="8471" priority="135811" stopIfTrue="1" operator="greaterThanOrEqual">
      <formula>0.5</formula>
    </cfRule>
  </conditionalFormatting>
  <conditionalFormatting sqref="L69">
    <cfRule type="cellIs" dxfId="8470" priority="135812" stopIfTrue="1" operator="equal">
      <formula>-1</formula>
    </cfRule>
  </conditionalFormatting>
  <conditionalFormatting sqref="L69">
    <cfRule type="cellIs" dxfId="8469" priority="135813" stopIfTrue="1" operator="lessThan">
      <formula>0.5</formula>
    </cfRule>
  </conditionalFormatting>
  <conditionalFormatting sqref="L69">
    <cfRule type="cellIs" dxfId="8468" priority="135814" stopIfTrue="1" operator="greaterThanOrEqual">
      <formula>0.5</formula>
    </cfRule>
  </conditionalFormatting>
  <conditionalFormatting sqref="L70">
    <cfRule type="cellIs" dxfId="8467" priority="135815" stopIfTrue="1" operator="equal">
      <formula>-1</formula>
    </cfRule>
  </conditionalFormatting>
  <conditionalFormatting sqref="L70">
    <cfRule type="cellIs" dxfId="8466" priority="135816" stopIfTrue="1" operator="lessThan">
      <formula>0.5</formula>
    </cfRule>
  </conditionalFormatting>
  <conditionalFormatting sqref="L70">
    <cfRule type="cellIs" dxfId="8465" priority="135817" stopIfTrue="1" operator="greaterThanOrEqual">
      <formula>0.5</formula>
    </cfRule>
  </conditionalFormatting>
  <conditionalFormatting sqref="L71">
    <cfRule type="cellIs" dxfId="8464" priority="135818" stopIfTrue="1" operator="equal">
      <formula>-1</formula>
    </cfRule>
  </conditionalFormatting>
  <conditionalFormatting sqref="L71">
    <cfRule type="cellIs" dxfId="8463" priority="135819" stopIfTrue="1" operator="lessThan">
      <formula>0.5</formula>
    </cfRule>
  </conditionalFormatting>
  <conditionalFormatting sqref="L71">
    <cfRule type="cellIs" dxfId="8462" priority="135820" stopIfTrue="1" operator="greaterThanOrEqual">
      <formula>0.5</formula>
    </cfRule>
  </conditionalFormatting>
  <conditionalFormatting sqref="L72">
    <cfRule type="cellIs" dxfId="8461" priority="135821" stopIfTrue="1" operator="equal">
      <formula>-1</formula>
    </cfRule>
  </conditionalFormatting>
  <conditionalFormatting sqref="L72">
    <cfRule type="cellIs" dxfId="8460" priority="135822" stopIfTrue="1" operator="lessThan">
      <formula>0.5</formula>
    </cfRule>
  </conditionalFormatting>
  <conditionalFormatting sqref="L72">
    <cfRule type="cellIs" dxfId="8459" priority="135823" stopIfTrue="1" operator="greaterThanOrEqual">
      <formula>0.5</formula>
    </cfRule>
  </conditionalFormatting>
  <conditionalFormatting sqref="L73">
    <cfRule type="cellIs" dxfId="8458" priority="135824" stopIfTrue="1" operator="equal">
      <formula>-1</formula>
    </cfRule>
  </conditionalFormatting>
  <conditionalFormatting sqref="L73">
    <cfRule type="cellIs" dxfId="8457" priority="135825" stopIfTrue="1" operator="lessThan">
      <formula>0.5</formula>
    </cfRule>
  </conditionalFormatting>
  <conditionalFormatting sqref="L73">
    <cfRule type="cellIs" dxfId="8456" priority="135826" stopIfTrue="1" operator="greaterThanOrEqual">
      <formula>0.5</formula>
    </cfRule>
  </conditionalFormatting>
  <conditionalFormatting sqref="L74">
    <cfRule type="cellIs" dxfId="8455" priority="135827" stopIfTrue="1" operator="equal">
      <formula>-1</formula>
    </cfRule>
  </conditionalFormatting>
  <conditionalFormatting sqref="L74">
    <cfRule type="cellIs" dxfId="8454" priority="135828" stopIfTrue="1" operator="lessThan">
      <formula>0.5</formula>
    </cfRule>
  </conditionalFormatting>
  <conditionalFormatting sqref="L74">
    <cfRule type="cellIs" dxfId="8453" priority="135829" stopIfTrue="1" operator="greaterThanOrEqual">
      <formula>0.5</formula>
    </cfRule>
  </conditionalFormatting>
  <conditionalFormatting sqref="L75">
    <cfRule type="cellIs" dxfId="8452" priority="135830" stopIfTrue="1" operator="equal">
      <formula>-1</formula>
    </cfRule>
  </conditionalFormatting>
  <conditionalFormatting sqref="L75">
    <cfRule type="cellIs" dxfId="8451" priority="135831" stopIfTrue="1" operator="lessThan">
      <formula>0.5</formula>
    </cfRule>
  </conditionalFormatting>
  <conditionalFormatting sqref="L75">
    <cfRule type="cellIs" dxfId="8450" priority="135832" stopIfTrue="1" operator="greaterThanOrEqual">
      <formula>0.5</formula>
    </cfRule>
  </conditionalFormatting>
  <conditionalFormatting sqref="L76">
    <cfRule type="cellIs" dxfId="8449" priority="135833" stopIfTrue="1" operator="equal">
      <formula>-1</formula>
    </cfRule>
  </conditionalFormatting>
  <conditionalFormatting sqref="L76">
    <cfRule type="cellIs" dxfId="8448" priority="135834" stopIfTrue="1" operator="lessThan">
      <formula>0.5</formula>
    </cfRule>
  </conditionalFormatting>
  <conditionalFormatting sqref="L76">
    <cfRule type="cellIs" dxfId="8447" priority="135835" stopIfTrue="1" operator="greaterThanOrEqual">
      <formula>0.5</formula>
    </cfRule>
  </conditionalFormatting>
  <conditionalFormatting sqref="L77">
    <cfRule type="cellIs" dxfId="8446" priority="135836" stopIfTrue="1" operator="equal">
      <formula>-1</formula>
    </cfRule>
  </conditionalFormatting>
  <conditionalFormatting sqref="L77">
    <cfRule type="cellIs" dxfId="8445" priority="135837" stopIfTrue="1" operator="lessThan">
      <formula>0.5</formula>
    </cfRule>
  </conditionalFormatting>
  <conditionalFormatting sqref="L77">
    <cfRule type="cellIs" dxfId="8444" priority="135838" stopIfTrue="1" operator="greaterThanOrEqual">
      <formula>0.5</formula>
    </cfRule>
  </conditionalFormatting>
  <conditionalFormatting sqref="L78">
    <cfRule type="cellIs" dxfId="8443" priority="135839" stopIfTrue="1" operator="equal">
      <formula>-1</formula>
    </cfRule>
  </conditionalFormatting>
  <conditionalFormatting sqref="L78">
    <cfRule type="cellIs" dxfId="8442" priority="135840" stopIfTrue="1" operator="lessThan">
      <formula>0.5</formula>
    </cfRule>
  </conditionalFormatting>
  <conditionalFormatting sqref="L78">
    <cfRule type="cellIs" dxfId="8441" priority="135841" stopIfTrue="1" operator="greaterThanOrEqual">
      <formula>0.5</formula>
    </cfRule>
  </conditionalFormatting>
  <conditionalFormatting sqref="L79">
    <cfRule type="cellIs" dxfId="8440" priority="135842" stopIfTrue="1" operator="equal">
      <formula>-1</formula>
    </cfRule>
  </conditionalFormatting>
  <conditionalFormatting sqref="L79">
    <cfRule type="cellIs" dxfId="8439" priority="135843" stopIfTrue="1" operator="lessThan">
      <formula>0.5</formula>
    </cfRule>
  </conditionalFormatting>
  <conditionalFormatting sqref="L79">
    <cfRule type="cellIs" dxfId="8438" priority="135844" stopIfTrue="1" operator="greaterThanOrEqual">
      <formula>0.5</formula>
    </cfRule>
  </conditionalFormatting>
  <conditionalFormatting sqref="L80">
    <cfRule type="cellIs" dxfId="8437" priority="135845" stopIfTrue="1" operator="equal">
      <formula>-1</formula>
    </cfRule>
  </conditionalFormatting>
  <conditionalFormatting sqref="L80">
    <cfRule type="cellIs" dxfId="8436" priority="135846" stopIfTrue="1" operator="lessThan">
      <formula>0.5</formula>
    </cfRule>
  </conditionalFormatting>
  <conditionalFormatting sqref="L80">
    <cfRule type="cellIs" dxfId="8435" priority="135847" stopIfTrue="1" operator="greaterThanOrEqual">
      <formula>0.5</formula>
    </cfRule>
  </conditionalFormatting>
  <conditionalFormatting sqref="L81">
    <cfRule type="cellIs" dxfId="8434" priority="135848" stopIfTrue="1" operator="equal">
      <formula>-1</formula>
    </cfRule>
  </conditionalFormatting>
  <conditionalFormatting sqref="L81">
    <cfRule type="cellIs" dxfId="8433" priority="135849" stopIfTrue="1" operator="lessThan">
      <formula>0.5</formula>
    </cfRule>
  </conditionalFormatting>
  <conditionalFormatting sqref="L81">
    <cfRule type="cellIs" dxfId="8432" priority="135850" stopIfTrue="1" operator="greaterThanOrEqual">
      <formula>0.5</formula>
    </cfRule>
  </conditionalFormatting>
  <conditionalFormatting sqref="L82">
    <cfRule type="cellIs" dxfId="8431" priority="135851" stopIfTrue="1" operator="equal">
      <formula>-1</formula>
    </cfRule>
  </conditionalFormatting>
  <conditionalFormatting sqref="L82">
    <cfRule type="cellIs" dxfId="8430" priority="135852" stopIfTrue="1" operator="lessThan">
      <formula>0.5</formula>
    </cfRule>
  </conditionalFormatting>
  <conditionalFormatting sqref="L82">
    <cfRule type="cellIs" dxfId="8429" priority="135853" stopIfTrue="1" operator="greaterThanOrEqual">
      <formula>0.5</formula>
    </cfRule>
  </conditionalFormatting>
  <conditionalFormatting sqref="L83">
    <cfRule type="cellIs" dxfId="8428" priority="135854" stopIfTrue="1" operator="equal">
      <formula>-1</formula>
    </cfRule>
  </conditionalFormatting>
  <conditionalFormatting sqref="L83">
    <cfRule type="cellIs" dxfId="8427" priority="135855" stopIfTrue="1" operator="lessThan">
      <formula>0.5</formula>
    </cfRule>
  </conditionalFormatting>
  <conditionalFormatting sqref="L83">
    <cfRule type="cellIs" dxfId="8426" priority="135856" stopIfTrue="1" operator="greaterThanOrEqual">
      <formula>0.5</formula>
    </cfRule>
  </conditionalFormatting>
  <conditionalFormatting sqref="L84">
    <cfRule type="cellIs" dxfId="8425" priority="135857" stopIfTrue="1" operator="equal">
      <formula>-1</formula>
    </cfRule>
  </conditionalFormatting>
  <conditionalFormatting sqref="L84">
    <cfRule type="cellIs" dxfId="8424" priority="135858" stopIfTrue="1" operator="lessThan">
      <formula>0.5</formula>
    </cfRule>
  </conditionalFormatting>
  <conditionalFormatting sqref="L84">
    <cfRule type="cellIs" dxfId="8423" priority="135859" stopIfTrue="1" operator="greaterThanOrEqual">
      <formula>0.5</formula>
    </cfRule>
  </conditionalFormatting>
  <conditionalFormatting sqref="L85">
    <cfRule type="cellIs" dxfId="8422" priority="135860" stopIfTrue="1" operator="equal">
      <formula>-1</formula>
    </cfRule>
  </conditionalFormatting>
  <conditionalFormatting sqref="L85">
    <cfRule type="cellIs" dxfId="8421" priority="135861" stopIfTrue="1" operator="lessThan">
      <formula>0.5</formula>
    </cfRule>
  </conditionalFormatting>
  <conditionalFormatting sqref="L85">
    <cfRule type="cellIs" dxfId="8420" priority="135862" stopIfTrue="1" operator="greaterThanOrEqual">
      <formula>0.5</formula>
    </cfRule>
  </conditionalFormatting>
  <conditionalFormatting sqref="N65">
    <cfRule type="cellIs" dxfId="8419" priority="135863" stopIfTrue="1" operator="equal">
      <formula>-1</formula>
    </cfRule>
  </conditionalFormatting>
  <conditionalFormatting sqref="N65">
    <cfRule type="cellIs" dxfId="8418" priority="135864" stopIfTrue="1" operator="lessThan">
      <formula>0.5</formula>
    </cfRule>
  </conditionalFormatting>
  <conditionalFormatting sqref="N65">
    <cfRule type="cellIs" dxfId="8417" priority="135865" stopIfTrue="1" operator="greaterThanOrEqual">
      <formula>0.5</formula>
    </cfRule>
  </conditionalFormatting>
  <conditionalFormatting sqref="N66">
    <cfRule type="cellIs" dxfId="8416" priority="135866" stopIfTrue="1" operator="equal">
      <formula>-1</formula>
    </cfRule>
  </conditionalFormatting>
  <conditionalFormatting sqref="N66">
    <cfRule type="cellIs" dxfId="8415" priority="135867" stopIfTrue="1" operator="lessThan">
      <formula>0.5</formula>
    </cfRule>
  </conditionalFormatting>
  <conditionalFormatting sqref="N66">
    <cfRule type="cellIs" dxfId="8414" priority="135868" stopIfTrue="1" operator="greaterThanOrEqual">
      <formula>0.5</formula>
    </cfRule>
  </conditionalFormatting>
  <conditionalFormatting sqref="N67">
    <cfRule type="cellIs" dxfId="8413" priority="135869" stopIfTrue="1" operator="equal">
      <formula>-1</formula>
    </cfRule>
  </conditionalFormatting>
  <conditionalFormatting sqref="N67">
    <cfRule type="cellIs" dxfId="8412" priority="135870" stopIfTrue="1" operator="lessThan">
      <formula>0.5</formula>
    </cfRule>
  </conditionalFormatting>
  <conditionalFormatting sqref="N67">
    <cfRule type="cellIs" dxfId="8411" priority="135871" stopIfTrue="1" operator="greaterThanOrEqual">
      <formula>0.5</formula>
    </cfRule>
  </conditionalFormatting>
  <conditionalFormatting sqref="N68">
    <cfRule type="cellIs" dxfId="8410" priority="135872" stopIfTrue="1" operator="equal">
      <formula>-1</formula>
    </cfRule>
  </conditionalFormatting>
  <conditionalFormatting sqref="N68">
    <cfRule type="cellIs" dxfId="8409" priority="135873" stopIfTrue="1" operator="lessThan">
      <formula>0.5</formula>
    </cfRule>
  </conditionalFormatting>
  <conditionalFormatting sqref="N68">
    <cfRule type="cellIs" dxfId="8408" priority="135874" stopIfTrue="1" operator="greaterThanOrEqual">
      <formula>0.5</formula>
    </cfRule>
  </conditionalFormatting>
  <conditionalFormatting sqref="N69">
    <cfRule type="cellIs" dxfId="8407" priority="135875" stopIfTrue="1" operator="equal">
      <formula>-1</formula>
    </cfRule>
  </conditionalFormatting>
  <conditionalFormatting sqref="N69">
    <cfRule type="cellIs" dxfId="8406" priority="135876" stopIfTrue="1" operator="lessThan">
      <formula>0.5</formula>
    </cfRule>
  </conditionalFormatting>
  <conditionalFormatting sqref="N69">
    <cfRule type="cellIs" dxfId="8405" priority="135877" stopIfTrue="1" operator="greaterThanOrEqual">
      <formula>0.5</formula>
    </cfRule>
  </conditionalFormatting>
  <conditionalFormatting sqref="N70">
    <cfRule type="cellIs" dxfId="8404" priority="135878" stopIfTrue="1" operator="equal">
      <formula>-1</formula>
    </cfRule>
  </conditionalFormatting>
  <conditionalFormatting sqref="N70">
    <cfRule type="cellIs" dxfId="8403" priority="135879" stopIfTrue="1" operator="lessThan">
      <formula>0.5</formula>
    </cfRule>
  </conditionalFormatting>
  <conditionalFormatting sqref="N70">
    <cfRule type="cellIs" dxfId="8402" priority="135880" stopIfTrue="1" operator="greaterThanOrEqual">
      <formula>0.5</formula>
    </cfRule>
  </conditionalFormatting>
  <conditionalFormatting sqref="N71">
    <cfRule type="cellIs" dxfId="8401" priority="135881" stopIfTrue="1" operator="equal">
      <formula>-1</formula>
    </cfRule>
  </conditionalFormatting>
  <conditionalFormatting sqref="N71">
    <cfRule type="cellIs" dxfId="8400" priority="135882" stopIfTrue="1" operator="lessThan">
      <formula>0.5</formula>
    </cfRule>
  </conditionalFormatting>
  <conditionalFormatting sqref="N71">
    <cfRule type="cellIs" dxfId="8399" priority="135883" stopIfTrue="1" operator="greaterThanOrEqual">
      <formula>0.5</formula>
    </cfRule>
  </conditionalFormatting>
  <conditionalFormatting sqref="N72">
    <cfRule type="cellIs" dxfId="8398" priority="135884" stopIfTrue="1" operator="equal">
      <formula>-1</formula>
    </cfRule>
  </conditionalFormatting>
  <conditionalFormatting sqref="N72">
    <cfRule type="cellIs" dxfId="8397" priority="135885" stopIfTrue="1" operator="lessThan">
      <formula>0.5</formula>
    </cfRule>
  </conditionalFormatting>
  <conditionalFormatting sqref="N72">
    <cfRule type="cellIs" dxfId="8396" priority="135886" stopIfTrue="1" operator="greaterThanOrEqual">
      <formula>0.5</formula>
    </cfRule>
  </conditionalFormatting>
  <conditionalFormatting sqref="N73">
    <cfRule type="cellIs" dxfId="8395" priority="135887" stopIfTrue="1" operator="equal">
      <formula>-1</formula>
    </cfRule>
  </conditionalFormatting>
  <conditionalFormatting sqref="N73">
    <cfRule type="cellIs" dxfId="8394" priority="135888" stopIfTrue="1" operator="lessThan">
      <formula>0.5</formula>
    </cfRule>
  </conditionalFormatting>
  <conditionalFormatting sqref="N73">
    <cfRule type="cellIs" dxfId="8393" priority="135889" stopIfTrue="1" operator="greaterThanOrEqual">
      <formula>0.5</formula>
    </cfRule>
  </conditionalFormatting>
  <conditionalFormatting sqref="N74">
    <cfRule type="cellIs" dxfId="8392" priority="135890" stopIfTrue="1" operator="equal">
      <formula>-1</formula>
    </cfRule>
  </conditionalFormatting>
  <conditionalFormatting sqref="N74">
    <cfRule type="cellIs" dxfId="8391" priority="135891" stopIfTrue="1" operator="lessThan">
      <formula>0.5</formula>
    </cfRule>
  </conditionalFormatting>
  <conditionalFormatting sqref="N74">
    <cfRule type="cellIs" dxfId="8390" priority="135892" stopIfTrue="1" operator="greaterThanOrEqual">
      <formula>0.5</formula>
    </cfRule>
  </conditionalFormatting>
  <conditionalFormatting sqref="N75">
    <cfRule type="cellIs" dxfId="8389" priority="135893" stopIfTrue="1" operator="equal">
      <formula>-1</formula>
    </cfRule>
  </conditionalFormatting>
  <conditionalFormatting sqref="N75">
    <cfRule type="cellIs" dxfId="8388" priority="135894" stopIfTrue="1" operator="lessThan">
      <formula>0.5</formula>
    </cfRule>
  </conditionalFormatting>
  <conditionalFormatting sqref="N75">
    <cfRule type="cellIs" dxfId="8387" priority="135895" stopIfTrue="1" operator="greaterThanOrEqual">
      <formula>0.5</formula>
    </cfRule>
  </conditionalFormatting>
  <conditionalFormatting sqref="N76">
    <cfRule type="cellIs" dxfId="8386" priority="135896" stopIfTrue="1" operator="equal">
      <formula>-1</formula>
    </cfRule>
  </conditionalFormatting>
  <conditionalFormatting sqref="N76">
    <cfRule type="cellIs" dxfId="8385" priority="135897" stopIfTrue="1" operator="lessThan">
      <formula>0.5</formula>
    </cfRule>
  </conditionalFormatting>
  <conditionalFormatting sqref="N76">
    <cfRule type="cellIs" dxfId="8384" priority="135898" stopIfTrue="1" operator="greaterThanOrEqual">
      <formula>0.5</formula>
    </cfRule>
  </conditionalFormatting>
  <conditionalFormatting sqref="N77">
    <cfRule type="cellIs" dxfId="8383" priority="135899" stopIfTrue="1" operator="equal">
      <formula>-1</formula>
    </cfRule>
  </conditionalFormatting>
  <conditionalFormatting sqref="N77">
    <cfRule type="cellIs" dxfId="8382" priority="135900" stopIfTrue="1" operator="lessThan">
      <formula>0.5</formula>
    </cfRule>
  </conditionalFormatting>
  <conditionalFormatting sqref="N77">
    <cfRule type="cellIs" dxfId="8381" priority="135901" stopIfTrue="1" operator="greaterThanOrEqual">
      <formula>0.5</formula>
    </cfRule>
  </conditionalFormatting>
  <conditionalFormatting sqref="N78">
    <cfRule type="cellIs" dxfId="8380" priority="135902" stopIfTrue="1" operator="equal">
      <formula>-1</formula>
    </cfRule>
  </conditionalFormatting>
  <conditionalFormatting sqref="N78">
    <cfRule type="cellIs" dxfId="8379" priority="135903" stopIfTrue="1" operator="lessThan">
      <formula>0.5</formula>
    </cfRule>
  </conditionalFormatting>
  <conditionalFormatting sqref="N78">
    <cfRule type="cellIs" dxfId="8378" priority="135904" stopIfTrue="1" operator="greaterThanOrEqual">
      <formula>0.5</formula>
    </cfRule>
  </conditionalFormatting>
  <conditionalFormatting sqref="N79">
    <cfRule type="cellIs" dxfId="8377" priority="135905" stopIfTrue="1" operator="equal">
      <formula>-1</formula>
    </cfRule>
  </conditionalFormatting>
  <conditionalFormatting sqref="N79">
    <cfRule type="cellIs" dxfId="8376" priority="135906" stopIfTrue="1" operator="lessThan">
      <formula>0.5</formula>
    </cfRule>
  </conditionalFormatting>
  <conditionalFormatting sqref="N79">
    <cfRule type="cellIs" dxfId="8375" priority="135907" stopIfTrue="1" operator="greaterThanOrEqual">
      <formula>0.5</formula>
    </cfRule>
  </conditionalFormatting>
  <conditionalFormatting sqref="N80">
    <cfRule type="cellIs" dxfId="8374" priority="135908" stopIfTrue="1" operator="equal">
      <formula>-1</formula>
    </cfRule>
  </conditionalFormatting>
  <conditionalFormatting sqref="N80">
    <cfRule type="cellIs" dxfId="8373" priority="135909" stopIfTrue="1" operator="lessThan">
      <formula>0.5</formula>
    </cfRule>
  </conditionalFormatting>
  <conditionalFormatting sqref="N80">
    <cfRule type="cellIs" dxfId="8372" priority="135910" stopIfTrue="1" operator="greaterThanOrEqual">
      <formula>0.5</formula>
    </cfRule>
  </conditionalFormatting>
  <conditionalFormatting sqref="N81">
    <cfRule type="cellIs" dxfId="8371" priority="135911" stopIfTrue="1" operator="equal">
      <formula>-1</formula>
    </cfRule>
  </conditionalFormatting>
  <conditionalFormatting sqref="N81">
    <cfRule type="cellIs" dxfId="8370" priority="135912" stopIfTrue="1" operator="lessThan">
      <formula>0.5</formula>
    </cfRule>
  </conditionalFormatting>
  <conditionalFormatting sqref="N81">
    <cfRule type="cellIs" dxfId="8369" priority="135913" stopIfTrue="1" operator="greaterThanOrEqual">
      <formula>0.5</formula>
    </cfRule>
  </conditionalFormatting>
  <conditionalFormatting sqref="N82">
    <cfRule type="cellIs" dxfId="8368" priority="135914" stopIfTrue="1" operator="equal">
      <formula>-1</formula>
    </cfRule>
  </conditionalFormatting>
  <conditionalFormatting sqref="N82">
    <cfRule type="cellIs" dxfId="8367" priority="135915" stopIfTrue="1" operator="lessThan">
      <formula>0.5</formula>
    </cfRule>
  </conditionalFormatting>
  <conditionalFormatting sqref="N82">
    <cfRule type="cellIs" dxfId="8366" priority="135916" stopIfTrue="1" operator="greaterThanOrEqual">
      <formula>0.5</formula>
    </cfRule>
  </conditionalFormatting>
  <conditionalFormatting sqref="N83">
    <cfRule type="cellIs" dxfId="8365" priority="135917" stopIfTrue="1" operator="equal">
      <formula>-1</formula>
    </cfRule>
  </conditionalFormatting>
  <conditionalFormatting sqref="N83">
    <cfRule type="cellIs" dxfId="8364" priority="135918" stopIfTrue="1" operator="lessThan">
      <formula>0.5</formula>
    </cfRule>
  </conditionalFormatting>
  <conditionalFormatting sqref="N83">
    <cfRule type="cellIs" dxfId="8363" priority="135919" stopIfTrue="1" operator="greaterThanOrEqual">
      <formula>0.5</formula>
    </cfRule>
  </conditionalFormatting>
  <conditionalFormatting sqref="N84">
    <cfRule type="cellIs" dxfId="8362" priority="135920" stopIfTrue="1" operator="equal">
      <formula>-1</formula>
    </cfRule>
  </conditionalFormatting>
  <conditionalFormatting sqref="N84">
    <cfRule type="cellIs" dxfId="8361" priority="135921" stopIfTrue="1" operator="lessThan">
      <formula>0.5</formula>
    </cfRule>
  </conditionalFormatting>
  <conditionalFormatting sqref="N84">
    <cfRule type="cellIs" dxfId="8360" priority="135922" stopIfTrue="1" operator="greaterThanOrEqual">
      <formula>0.5</formula>
    </cfRule>
  </conditionalFormatting>
  <conditionalFormatting sqref="N85">
    <cfRule type="cellIs" dxfId="8359" priority="135923" stopIfTrue="1" operator="equal">
      <formula>-1</formula>
    </cfRule>
  </conditionalFormatting>
  <conditionalFormatting sqref="N85">
    <cfRule type="cellIs" dxfId="8358" priority="135924" stopIfTrue="1" operator="lessThan">
      <formula>0.5</formula>
    </cfRule>
  </conditionalFormatting>
  <conditionalFormatting sqref="N85">
    <cfRule type="cellIs" dxfId="8357" priority="135925" stopIfTrue="1" operator="greaterThanOrEqual">
      <formula>0.5</formula>
    </cfRule>
  </conditionalFormatting>
  <conditionalFormatting sqref="P65">
    <cfRule type="cellIs" dxfId="8356" priority="135926" stopIfTrue="1" operator="equal">
      <formula>-1</formula>
    </cfRule>
  </conditionalFormatting>
  <conditionalFormatting sqref="P65">
    <cfRule type="cellIs" dxfId="8355" priority="135927" stopIfTrue="1" operator="lessThan">
      <formula>0.5</formula>
    </cfRule>
  </conditionalFormatting>
  <conditionalFormatting sqref="P65">
    <cfRule type="cellIs" dxfId="8354" priority="135928" stopIfTrue="1" operator="greaterThanOrEqual">
      <formula>0.5</formula>
    </cfRule>
  </conditionalFormatting>
  <conditionalFormatting sqref="P66">
    <cfRule type="cellIs" dxfId="8353" priority="135929" stopIfTrue="1" operator="equal">
      <formula>-1</formula>
    </cfRule>
  </conditionalFormatting>
  <conditionalFormatting sqref="P66">
    <cfRule type="cellIs" dxfId="8352" priority="135930" stopIfTrue="1" operator="lessThan">
      <formula>0.5</formula>
    </cfRule>
  </conditionalFormatting>
  <conditionalFormatting sqref="P66">
    <cfRule type="cellIs" dxfId="8351" priority="135931" stopIfTrue="1" operator="greaterThanOrEqual">
      <formula>0.5</formula>
    </cfRule>
  </conditionalFormatting>
  <conditionalFormatting sqref="P67">
    <cfRule type="cellIs" dxfId="8350" priority="135932" stopIfTrue="1" operator="equal">
      <formula>-1</formula>
    </cfRule>
  </conditionalFormatting>
  <conditionalFormatting sqref="P67">
    <cfRule type="cellIs" dxfId="8349" priority="135933" stopIfTrue="1" operator="lessThan">
      <formula>0.5</formula>
    </cfRule>
  </conditionalFormatting>
  <conditionalFormatting sqref="P67">
    <cfRule type="cellIs" dxfId="8348" priority="135934" stopIfTrue="1" operator="greaterThanOrEqual">
      <formula>0.5</formula>
    </cfRule>
  </conditionalFormatting>
  <conditionalFormatting sqref="P68">
    <cfRule type="cellIs" dxfId="8347" priority="135935" stopIfTrue="1" operator="equal">
      <formula>-1</formula>
    </cfRule>
  </conditionalFormatting>
  <conditionalFormatting sqref="P68">
    <cfRule type="cellIs" dxfId="8346" priority="135936" stopIfTrue="1" operator="lessThan">
      <formula>0.5</formula>
    </cfRule>
  </conditionalFormatting>
  <conditionalFormatting sqref="P68">
    <cfRule type="cellIs" dxfId="8345" priority="135937" stopIfTrue="1" operator="greaterThanOrEqual">
      <formula>0.5</formula>
    </cfRule>
  </conditionalFormatting>
  <conditionalFormatting sqref="P69">
    <cfRule type="cellIs" dxfId="8344" priority="135938" stopIfTrue="1" operator="equal">
      <formula>-1</formula>
    </cfRule>
  </conditionalFormatting>
  <conditionalFormatting sqref="P69">
    <cfRule type="cellIs" dxfId="8343" priority="135939" stopIfTrue="1" operator="lessThan">
      <formula>0.5</formula>
    </cfRule>
  </conditionalFormatting>
  <conditionalFormatting sqref="P69">
    <cfRule type="cellIs" dxfId="8342" priority="135940" stopIfTrue="1" operator="greaterThanOrEqual">
      <formula>0.5</formula>
    </cfRule>
  </conditionalFormatting>
  <conditionalFormatting sqref="P70">
    <cfRule type="cellIs" dxfId="8341" priority="135941" stopIfTrue="1" operator="equal">
      <formula>-1</formula>
    </cfRule>
  </conditionalFormatting>
  <conditionalFormatting sqref="P70">
    <cfRule type="cellIs" dxfId="8340" priority="135942" stopIfTrue="1" operator="lessThan">
      <formula>0.5</formula>
    </cfRule>
  </conditionalFormatting>
  <conditionalFormatting sqref="P70">
    <cfRule type="cellIs" dxfId="8339" priority="135943" stopIfTrue="1" operator="greaterThanOrEqual">
      <formula>0.5</formula>
    </cfRule>
  </conditionalFormatting>
  <conditionalFormatting sqref="P71">
    <cfRule type="cellIs" dxfId="8338" priority="135944" stopIfTrue="1" operator="equal">
      <formula>-1</formula>
    </cfRule>
  </conditionalFormatting>
  <conditionalFormatting sqref="P71">
    <cfRule type="cellIs" dxfId="8337" priority="135945" stopIfTrue="1" operator="lessThan">
      <formula>0.5</formula>
    </cfRule>
  </conditionalFormatting>
  <conditionalFormatting sqref="P71">
    <cfRule type="cellIs" dxfId="8336" priority="135946" stopIfTrue="1" operator="greaterThanOrEqual">
      <formula>0.5</formula>
    </cfRule>
  </conditionalFormatting>
  <conditionalFormatting sqref="P72">
    <cfRule type="cellIs" dxfId="8335" priority="135947" stopIfTrue="1" operator="equal">
      <formula>-1</formula>
    </cfRule>
  </conditionalFormatting>
  <conditionalFormatting sqref="P72">
    <cfRule type="cellIs" dxfId="8334" priority="135948" stopIfTrue="1" operator="lessThan">
      <formula>0.5</formula>
    </cfRule>
  </conditionalFormatting>
  <conditionalFormatting sqref="P72">
    <cfRule type="cellIs" dxfId="8333" priority="135949" stopIfTrue="1" operator="greaterThanOrEqual">
      <formula>0.5</formula>
    </cfRule>
  </conditionalFormatting>
  <conditionalFormatting sqref="P73">
    <cfRule type="cellIs" dxfId="8332" priority="135950" stopIfTrue="1" operator="equal">
      <formula>-1</formula>
    </cfRule>
  </conditionalFormatting>
  <conditionalFormatting sqref="P73">
    <cfRule type="cellIs" dxfId="8331" priority="135951" stopIfTrue="1" operator="lessThan">
      <formula>0.5</formula>
    </cfRule>
  </conditionalFormatting>
  <conditionalFormatting sqref="P73">
    <cfRule type="cellIs" dxfId="8330" priority="135952" stopIfTrue="1" operator="greaterThanOrEqual">
      <formula>0.5</formula>
    </cfRule>
  </conditionalFormatting>
  <conditionalFormatting sqref="P74">
    <cfRule type="cellIs" dxfId="8329" priority="135953" stopIfTrue="1" operator="equal">
      <formula>-1</formula>
    </cfRule>
  </conditionalFormatting>
  <conditionalFormatting sqref="P74">
    <cfRule type="cellIs" dxfId="8328" priority="135954" stopIfTrue="1" operator="lessThan">
      <formula>0.5</formula>
    </cfRule>
  </conditionalFormatting>
  <conditionalFormatting sqref="P74">
    <cfRule type="cellIs" dxfId="8327" priority="135955" stopIfTrue="1" operator="greaterThanOrEqual">
      <formula>0.5</formula>
    </cfRule>
  </conditionalFormatting>
  <conditionalFormatting sqref="P75">
    <cfRule type="cellIs" dxfId="8326" priority="135956" stopIfTrue="1" operator="equal">
      <formula>-1</formula>
    </cfRule>
  </conditionalFormatting>
  <conditionalFormatting sqref="P75">
    <cfRule type="cellIs" dxfId="8325" priority="135957" stopIfTrue="1" operator="lessThan">
      <formula>0.5</formula>
    </cfRule>
  </conditionalFormatting>
  <conditionalFormatting sqref="P75">
    <cfRule type="cellIs" dxfId="8324" priority="135958" stopIfTrue="1" operator="greaterThanOrEqual">
      <formula>0.5</formula>
    </cfRule>
  </conditionalFormatting>
  <conditionalFormatting sqref="P76">
    <cfRule type="cellIs" dxfId="8323" priority="135959" stopIfTrue="1" operator="equal">
      <formula>-1</formula>
    </cfRule>
  </conditionalFormatting>
  <conditionalFormatting sqref="P76">
    <cfRule type="cellIs" dxfId="8322" priority="135960" stopIfTrue="1" operator="lessThan">
      <formula>0.5</formula>
    </cfRule>
  </conditionalFormatting>
  <conditionalFormatting sqref="P76">
    <cfRule type="cellIs" dxfId="8321" priority="135961" stopIfTrue="1" operator="greaterThanOrEqual">
      <formula>0.5</formula>
    </cfRule>
  </conditionalFormatting>
  <conditionalFormatting sqref="P77">
    <cfRule type="cellIs" dxfId="8320" priority="135962" stopIfTrue="1" operator="equal">
      <formula>-1</formula>
    </cfRule>
  </conditionalFormatting>
  <conditionalFormatting sqref="P77">
    <cfRule type="cellIs" dxfId="8319" priority="135963" stopIfTrue="1" operator="lessThan">
      <formula>0.5</formula>
    </cfRule>
  </conditionalFormatting>
  <conditionalFormatting sqref="P77">
    <cfRule type="cellIs" dxfId="8318" priority="135964" stopIfTrue="1" operator="greaterThanOrEqual">
      <formula>0.5</formula>
    </cfRule>
  </conditionalFormatting>
  <conditionalFormatting sqref="P78">
    <cfRule type="cellIs" dxfId="8317" priority="135965" stopIfTrue="1" operator="equal">
      <formula>-1</formula>
    </cfRule>
  </conditionalFormatting>
  <conditionalFormatting sqref="P78">
    <cfRule type="cellIs" dxfId="8316" priority="135966" stopIfTrue="1" operator="lessThan">
      <formula>0.5</formula>
    </cfRule>
  </conditionalFormatting>
  <conditionalFormatting sqref="P78">
    <cfRule type="cellIs" dxfId="8315" priority="135967" stopIfTrue="1" operator="greaterThanOrEqual">
      <formula>0.5</formula>
    </cfRule>
  </conditionalFormatting>
  <conditionalFormatting sqref="P79">
    <cfRule type="cellIs" dxfId="8314" priority="135968" stopIfTrue="1" operator="equal">
      <formula>-1</formula>
    </cfRule>
  </conditionalFormatting>
  <conditionalFormatting sqref="P79">
    <cfRule type="cellIs" dxfId="8313" priority="135969" stopIfTrue="1" operator="lessThan">
      <formula>0.5</formula>
    </cfRule>
  </conditionalFormatting>
  <conditionalFormatting sqref="P79">
    <cfRule type="cellIs" dxfId="8312" priority="135970" stopIfTrue="1" operator="greaterThanOrEqual">
      <formula>0.5</formula>
    </cfRule>
  </conditionalFormatting>
  <conditionalFormatting sqref="P80">
    <cfRule type="cellIs" dxfId="8311" priority="135971" stopIfTrue="1" operator="equal">
      <formula>-1</formula>
    </cfRule>
  </conditionalFormatting>
  <conditionalFormatting sqref="P80">
    <cfRule type="cellIs" dxfId="8310" priority="135972" stopIfTrue="1" operator="lessThan">
      <formula>0.5</formula>
    </cfRule>
  </conditionalFormatting>
  <conditionalFormatting sqref="P80">
    <cfRule type="cellIs" dxfId="8309" priority="135973" stopIfTrue="1" operator="greaterThanOrEqual">
      <formula>0.5</formula>
    </cfRule>
  </conditionalFormatting>
  <conditionalFormatting sqref="P81">
    <cfRule type="cellIs" dxfId="8308" priority="135974" stopIfTrue="1" operator="equal">
      <formula>-1</formula>
    </cfRule>
  </conditionalFormatting>
  <conditionalFormatting sqref="P81">
    <cfRule type="cellIs" dxfId="8307" priority="135975" stopIfTrue="1" operator="lessThan">
      <formula>0.5</formula>
    </cfRule>
  </conditionalFormatting>
  <conditionalFormatting sqref="P81">
    <cfRule type="cellIs" dxfId="8306" priority="135976" stopIfTrue="1" operator="greaterThanOrEqual">
      <formula>0.5</formula>
    </cfRule>
  </conditionalFormatting>
  <conditionalFormatting sqref="P82">
    <cfRule type="cellIs" dxfId="8305" priority="135977" stopIfTrue="1" operator="equal">
      <formula>-1</formula>
    </cfRule>
  </conditionalFormatting>
  <conditionalFormatting sqref="P82">
    <cfRule type="cellIs" dxfId="8304" priority="135978" stopIfTrue="1" operator="lessThan">
      <formula>0.5</formula>
    </cfRule>
  </conditionalFormatting>
  <conditionalFormatting sqref="P82">
    <cfRule type="cellIs" dxfId="8303" priority="135979" stopIfTrue="1" operator="greaterThanOrEqual">
      <formula>0.5</formula>
    </cfRule>
  </conditionalFormatting>
  <conditionalFormatting sqref="P83">
    <cfRule type="cellIs" dxfId="8302" priority="135980" stopIfTrue="1" operator="equal">
      <formula>-1</formula>
    </cfRule>
  </conditionalFormatting>
  <conditionalFormatting sqref="P83">
    <cfRule type="cellIs" dxfId="8301" priority="135981" stopIfTrue="1" operator="lessThan">
      <formula>0.5</formula>
    </cfRule>
  </conditionalFormatting>
  <conditionalFormatting sqref="P83">
    <cfRule type="cellIs" dxfId="8300" priority="135982" stopIfTrue="1" operator="greaterThanOrEqual">
      <formula>0.5</formula>
    </cfRule>
  </conditionalFormatting>
  <conditionalFormatting sqref="P84">
    <cfRule type="cellIs" dxfId="8299" priority="135983" stopIfTrue="1" operator="equal">
      <formula>-1</formula>
    </cfRule>
  </conditionalFormatting>
  <conditionalFormatting sqref="P84">
    <cfRule type="cellIs" dxfId="8298" priority="135984" stopIfTrue="1" operator="lessThan">
      <formula>0.5</formula>
    </cfRule>
  </conditionalFormatting>
  <conditionalFormatting sqref="P84">
    <cfRule type="cellIs" dxfId="8297" priority="135985" stopIfTrue="1" operator="greaterThanOrEqual">
      <formula>0.5</formula>
    </cfRule>
  </conditionalFormatting>
  <conditionalFormatting sqref="P85">
    <cfRule type="cellIs" dxfId="8296" priority="135986" stopIfTrue="1" operator="equal">
      <formula>-1</formula>
    </cfRule>
  </conditionalFormatting>
  <conditionalFormatting sqref="P85">
    <cfRule type="cellIs" dxfId="8295" priority="135987" stopIfTrue="1" operator="lessThan">
      <formula>0.5</formula>
    </cfRule>
  </conditionalFormatting>
  <conditionalFormatting sqref="P85">
    <cfRule type="cellIs" dxfId="8294" priority="135988" stopIfTrue="1" operator="greaterThanOrEqual">
      <formula>0.5</formula>
    </cfRule>
  </conditionalFormatting>
  <conditionalFormatting sqref="R65">
    <cfRule type="cellIs" dxfId="8293" priority="135989" stopIfTrue="1" operator="equal">
      <formula>-1</formula>
    </cfRule>
  </conditionalFormatting>
  <conditionalFormatting sqref="R65">
    <cfRule type="cellIs" dxfId="8292" priority="135990" stopIfTrue="1" operator="lessThan">
      <formula>0.5</formula>
    </cfRule>
  </conditionalFormatting>
  <conditionalFormatting sqref="R65">
    <cfRule type="cellIs" dxfId="8291" priority="135991" stopIfTrue="1" operator="greaterThanOrEqual">
      <formula>0.5</formula>
    </cfRule>
  </conditionalFormatting>
  <conditionalFormatting sqref="R66">
    <cfRule type="cellIs" dxfId="8290" priority="135992" stopIfTrue="1" operator="equal">
      <formula>-1</formula>
    </cfRule>
  </conditionalFormatting>
  <conditionalFormatting sqref="R66">
    <cfRule type="cellIs" dxfId="8289" priority="135993" stopIfTrue="1" operator="lessThan">
      <formula>0.5</formula>
    </cfRule>
  </conditionalFormatting>
  <conditionalFormatting sqref="R66">
    <cfRule type="cellIs" dxfId="8288" priority="135994" stopIfTrue="1" operator="greaterThanOrEqual">
      <formula>0.5</formula>
    </cfRule>
  </conditionalFormatting>
  <conditionalFormatting sqref="R67">
    <cfRule type="cellIs" dxfId="8287" priority="135995" stopIfTrue="1" operator="equal">
      <formula>-1</formula>
    </cfRule>
  </conditionalFormatting>
  <conditionalFormatting sqref="R67">
    <cfRule type="cellIs" dxfId="8286" priority="135996" stopIfTrue="1" operator="lessThan">
      <formula>0.5</formula>
    </cfRule>
  </conditionalFormatting>
  <conditionalFormatting sqref="R67">
    <cfRule type="cellIs" dxfId="8285" priority="135997" stopIfTrue="1" operator="greaterThanOrEqual">
      <formula>0.5</formula>
    </cfRule>
  </conditionalFormatting>
  <conditionalFormatting sqref="R68">
    <cfRule type="cellIs" dxfId="8284" priority="135998" stopIfTrue="1" operator="equal">
      <formula>-1</formula>
    </cfRule>
  </conditionalFormatting>
  <conditionalFormatting sqref="R68">
    <cfRule type="cellIs" dxfId="8283" priority="135999" stopIfTrue="1" operator="lessThan">
      <formula>0.5</formula>
    </cfRule>
  </conditionalFormatting>
  <conditionalFormatting sqref="R68">
    <cfRule type="cellIs" dxfId="8282" priority="136000" stopIfTrue="1" operator="greaterThanOrEqual">
      <formula>0.5</formula>
    </cfRule>
  </conditionalFormatting>
  <conditionalFormatting sqref="R69">
    <cfRule type="cellIs" dxfId="8281" priority="136001" stopIfTrue="1" operator="equal">
      <formula>-1</formula>
    </cfRule>
  </conditionalFormatting>
  <conditionalFormatting sqref="R69">
    <cfRule type="cellIs" dxfId="8280" priority="136002" stopIfTrue="1" operator="lessThan">
      <formula>0.5</formula>
    </cfRule>
  </conditionalFormatting>
  <conditionalFormatting sqref="R69">
    <cfRule type="cellIs" dxfId="8279" priority="136003" stopIfTrue="1" operator="greaterThanOrEqual">
      <formula>0.5</formula>
    </cfRule>
  </conditionalFormatting>
  <conditionalFormatting sqref="R70">
    <cfRule type="cellIs" dxfId="8278" priority="136004" stopIfTrue="1" operator="equal">
      <formula>-1</formula>
    </cfRule>
  </conditionalFormatting>
  <conditionalFormatting sqref="R70">
    <cfRule type="cellIs" dxfId="8277" priority="136005" stopIfTrue="1" operator="lessThan">
      <formula>0.5</formula>
    </cfRule>
  </conditionalFormatting>
  <conditionalFormatting sqref="R70">
    <cfRule type="cellIs" dxfId="8276" priority="136006" stopIfTrue="1" operator="greaterThanOrEqual">
      <formula>0.5</formula>
    </cfRule>
  </conditionalFormatting>
  <conditionalFormatting sqref="R71">
    <cfRule type="cellIs" dxfId="8275" priority="136007" stopIfTrue="1" operator="equal">
      <formula>-1</formula>
    </cfRule>
  </conditionalFormatting>
  <conditionalFormatting sqref="R71">
    <cfRule type="cellIs" dxfId="8274" priority="136008" stopIfTrue="1" operator="lessThan">
      <formula>0.5</formula>
    </cfRule>
  </conditionalFormatting>
  <conditionalFormatting sqref="R71">
    <cfRule type="cellIs" dxfId="8273" priority="136009" stopIfTrue="1" operator="greaterThanOrEqual">
      <formula>0.5</formula>
    </cfRule>
  </conditionalFormatting>
  <conditionalFormatting sqref="R72">
    <cfRule type="cellIs" dxfId="8272" priority="136010" stopIfTrue="1" operator="equal">
      <formula>-1</formula>
    </cfRule>
  </conditionalFormatting>
  <conditionalFormatting sqref="R72">
    <cfRule type="cellIs" dxfId="8271" priority="136011" stopIfTrue="1" operator="lessThan">
      <formula>0.5</formula>
    </cfRule>
  </conditionalFormatting>
  <conditionalFormatting sqref="R72">
    <cfRule type="cellIs" dxfId="8270" priority="136012" stopIfTrue="1" operator="greaterThanOrEqual">
      <formula>0.5</formula>
    </cfRule>
  </conditionalFormatting>
  <conditionalFormatting sqref="R73">
    <cfRule type="cellIs" dxfId="8269" priority="136013" stopIfTrue="1" operator="equal">
      <formula>-1</formula>
    </cfRule>
  </conditionalFormatting>
  <conditionalFormatting sqref="R73">
    <cfRule type="cellIs" dxfId="8268" priority="136014" stopIfTrue="1" operator="lessThan">
      <formula>0.5</formula>
    </cfRule>
  </conditionalFormatting>
  <conditionalFormatting sqref="R73">
    <cfRule type="cellIs" dxfId="8267" priority="136015" stopIfTrue="1" operator="greaterThanOrEqual">
      <formula>0.5</formula>
    </cfRule>
  </conditionalFormatting>
  <conditionalFormatting sqref="R74">
    <cfRule type="cellIs" dxfId="8266" priority="136016" stopIfTrue="1" operator="equal">
      <formula>-1</formula>
    </cfRule>
  </conditionalFormatting>
  <conditionalFormatting sqref="R74">
    <cfRule type="cellIs" dxfId="8265" priority="136017" stopIfTrue="1" operator="lessThan">
      <formula>0.5</formula>
    </cfRule>
  </conditionalFormatting>
  <conditionalFormatting sqref="R74">
    <cfRule type="cellIs" dxfId="8264" priority="136018" stopIfTrue="1" operator="greaterThanOrEqual">
      <formula>0.5</formula>
    </cfRule>
  </conditionalFormatting>
  <conditionalFormatting sqref="R75">
    <cfRule type="cellIs" dxfId="8263" priority="136019" stopIfTrue="1" operator="equal">
      <formula>-1</formula>
    </cfRule>
  </conditionalFormatting>
  <conditionalFormatting sqref="R75">
    <cfRule type="cellIs" dxfId="8262" priority="136020" stopIfTrue="1" operator="lessThan">
      <formula>0.5</formula>
    </cfRule>
  </conditionalFormatting>
  <conditionalFormatting sqref="R75">
    <cfRule type="cellIs" dxfId="8261" priority="136021" stopIfTrue="1" operator="greaterThanOrEqual">
      <formula>0.5</formula>
    </cfRule>
  </conditionalFormatting>
  <conditionalFormatting sqref="R76">
    <cfRule type="cellIs" dxfId="8260" priority="136022" stopIfTrue="1" operator="equal">
      <formula>-1</formula>
    </cfRule>
  </conditionalFormatting>
  <conditionalFormatting sqref="R76">
    <cfRule type="cellIs" dxfId="8259" priority="136023" stopIfTrue="1" operator="lessThan">
      <formula>0.5</formula>
    </cfRule>
  </conditionalFormatting>
  <conditionalFormatting sqref="R76">
    <cfRule type="cellIs" dxfId="8258" priority="136024" stopIfTrue="1" operator="greaterThanOrEqual">
      <formula>0.5</formula>
    </cfRule>
  </conditionalFormatting>
  <conditionalFormatting sqref="R77">
    <cfRule type="cellIs" dxfId="8257" priority="136025" stopIfTrue="1" operator="equal">
      <formula>-1</formula>
    </cfRule>
  </conditionalFormatting>
  <conditionalFormatting sqref="R77">
    <cfRule type="cellIs" dxfId="8256" priority="136026" stopIfTrue="1" operator="lessThan">
      <formula>0.5</formula>
    </cfRule>
  </conditionalFormatting>
  <conditionalFormatting sqref="R77">
    <cfRule type="cellIs" dxfId="8255" priority="136027" stopIfTrue="1" operator="greaterThanOrEqual">
      <formula>0.5</formula>
    </cfRule>
  </conditionalFormatting>
  <conditionalFormatting sqref="R78">
    <cfRule type="cellIs" dxfId="8254" priority="136028" stopIfTrue="1" operator="equal">
      <formula>-1</formula>
    </cfRule>
  </conditionalFormatting>
  <conditionalFormatting sqref="R78">
    <cfRule type="cellIs" dxfId="8253" priority="136029" stopIfTrue="1" operator="lessThan">
      <formula>0.5</formula>
    </cfRule>
  </conditionalFormatting>
  <conditionalFormatting sqref="R78">
    <cfRule type="cellIs" dxfId="8252" priority="136030" stopIfTrue="1" operator="greaterThanOrEqual">
      <formula>0.5</formula>
    </cfRule>
  </conditionalFormatting>
  <conditionalFormatting sqref="R79">
    <cfRule type="cellIs" dxfId="8251" priority="136031" stopIfTrue="1" operator="equal">
      <formula>-1</formula>
    </cfRule>
  </conditionalFormatting>
  <conditionalFormatting sqref="R79">
    <cfRule type="cellIs" dxfId="8250" priority="136032" stopIfTrue="1" operator="lessThan">
      <formula>0.5</formula>
    </cfRule>
  </conditionalFormatting>
  <conditionalFormatting sqref="R79">
    <cfRule type="cellIs" dxfId="8249" priority="136033" stopIfTrue="1" operator="greaterThanOrEqual">
      <formula>0.5</formula>
    </cfRule>
  </conditionalFormatting>
  <conditionalFormatting sqref="R80">
    <cfRule type="cellIs" dxfId="8248" priority="136034" stopIfTrue="1" operator="equal">
      <formula>-1</formula>
    </cfRule>
  </conditionalFormatting>
  <conditionalFormatting sqref="R80">
    <cfRule type="cellIs" dxfId="8247" priority="136035" stopIfTrue="1" operator="lessThan">
      <formula>0.5</formula>
    </cfRule>
  </conditionalFormatting>
  <conditionalFormatting sqref="R80">
    <cfRule type="cellIs" dxfId="8246" priority="136036" stopIfTrue="1" operator="greaterThanOrEqual">
      <formula>0.5</formula>
    </cfRule>
  </conditionalFormatting>
  <conditionalFormatting sqref="R81">
    <cfRule type="cellIs" dxfId="8245" priority="136037" stopIfTrue="1" operator="equal">
      <formula>-1</formula>
    </cfRule>
  </conditionalFormatting>
  <conditionalFormatting sqref="R81">
    <cfRule type="cellIs" dxfId="8244" priority="136038" stopIfTrue="1" operator="lessThan">
      <formula>0.5</formula>
    </cfRule>
  </conditionalFormatting>
  <conditionalFormatting sqref="R81">
    <cfRule type="cellIs" dxfId="8243" priority="136039" stopIfTrue="1" operator="greaterThanOrEqual">
      <formula>0.5</formula>
    </cfRule>
  </conditionalFormatting>
  <conditionalFormatting sqref="R82">
    <cfRule type="cellIs" dxfId="8242" priority="136040" stopIfTrue="1" operator="equal">
      <formula>-1</formula>
    </cfRule>
  </conditionalFormatting>
  <conditionalFormatting sqref="R82">
    <cfRule type="cellIs" dxfId="8241" priority="136041" stopIfTrue="1" operator="lessThan">
      <formula>0.5</formula>
    </cfRule>
  </conditionalFormatting>
  <conditionalFormatting sqref="R82">
    <cfRule type="cellIs" dxfId="8240" priority="136042" stopIfTrue="1" operator="greaterThanOrEqual">
      <formula>0.5</formula>
    </cfRule>
  </conditionalFormatting>
  <conditionalFormatting sqref="R83">
    <cfRule type="cellIs" dxfId="8239" priority="136043" stopIfTrue="1" operator="equal">
      <formula>-1</formula>
    </cfRule>
  </conditionalFormatting>
  <conditionalFormatting sqref="R83">
    <cfRule type="cellIs" dxfId="8238" priority="136044" stopIfTrue="1" operator="lessThan">
      <formula>0.5</formula>
    </cfRule>
  </conditionalFormatting>
  <conditionalFormatting sqref="R83">
    <cfRule type="cellIs" dxfId="8237" priority="136045" stopIfTrue="1" operator="greaterThanOrEqual">
      <formula>0.5</formula>
    </cfRule>
  </conditionalFormatting>
  <conditionalFormatting sqref="R84">
    <cfRule type="cellIs" dxfId="8236" priority="136046" stopIfTrue="1" operator="equal">
      <formula>-1</formula>
    </cfRule>
  </conditionalFormatting>
  <conditionalFormatting sqref="R84">
    <cfRule type="cellIs" dxfId="8235" priority="136047" stopIfTrue="1" operator="lessThan">
      <formula>0.5</formula>
    </cfRule>
  </conditionalFormatting>
  <conditionalFormatting sqref="R84">
    <cfRule type="cellIs" dxfId="8234" priority="136048" stopIfTrue="1" operator="greaterThanOrEqual">
      <formula>0.5</formula>
    </cfRule>
  </conditionalFormatting>
  <conditionalFormatting sqref="R85">
    <cfRule type="cellIs" dxfId="8233" priority="136049" stopIfTrue="1" operator="equal">
      <formula>-1</formula>
    </cfRule>
  </conditionalFormatting>
  <conditionalFormatting sqref="R85">
    <cfRule type="cellIs" dxfId="8232" priority="136050" stopIfTrue="1" operator="lessThan">
      <formula>0.5</formula>
    </cfRule>
  </conditionalFormatting>
  <conditionalFormatting sqref="R85">
    <cfRule type="cellIs" dxfId="8231" priority="136051" stopIfTrue="1" operator="greaterThanOrEqual">
      <formula>0.5</formula>
    </cfRule>
  </conditionalFormatting>
  <conditionalFormatting sqref="T65">
    <cfRule type="cellIs" dxfId="8230" priority="136052" stopIfTrue="1" operator="equal">
      <formula>-1</formula>
    </cfRule>
  </conditionalFormatting>
  <conditionalFormatting sqref="T65">
    <cfRule type="cellIs" dxfId="8229" priority="136053" stopIfTrue="1" operator="lessThan">
      <formula>0.5</formula>
    </cfRule>
  </conditionalFormatting>
  <conditionalFormatting sqref="T65">
    <cfRule type="cellIs" dxfId="8228" priority="136054" stopIfTrue="1" operator="greaterThanOrEqual">
      <formula>0.5</formula>
    </cfRule>
  </conditionalFormatting>
  <conditionalFormatting sqref="T66">
    <cfRule type="cellIs" dxfId="8227" priority="136055" stopIfTrue="1" operator="equal">
      <formula>-1</formula>
    </cfRule>
  </conditionalFormatting>
  <conditionalFormatting sqref="T66">
    <cfRule type="cellIs" dxfId="8226" priority="136056" stopIfTrue="1" operator="lessThan">
      <formula>0.5</formula>
    </cfRule>
  </conditionalFormatting>
  <conditionalFormatting sqref="T66">
    <cfRule type="cellIs" dxfId="8225" priority="136057" stopIfTrue="1" operator="greaterThanOrEqual">
      <formula>0.5</formula>
    </cfRule>
  </conditionalFormatting>
  <conditionalFormatting sqref="T67">
    <cfRule type="cellIs" dxfId="8224" priority="136058" stopIfTrue="1" operator="equal">
      <formula>-1</formula>
    </cfRule>
  </conditionalFormatting>
  <conditionalFormatting sqref="T67">
    <cfRule type="cellIs" dxfId="8223" priority="136059" stopIfTrue="1" operator="lessThan">
      <formula>0.5</formula>
    </cfRule>
  </conditionalFormatting>
  <conditionalFormatting sqref="T67">
    <cfRule type="cellIs" dxfId="8222" priority="136060" stopIfTrue="1" operator="greaterThanOrEqual">
      <formula>0.5</formula>
    </cfRule>
  </conditionalFormatting>
  <conditionalFormatting sqref="T68">
    <cfRule type="cellIs" dxfId="8221" priority="136061" stopIfTrue="1" operator="equal">
      <formula>-1</formula>
    </cfRule>
  </conditionalFormatting>
  <conditionalFormatting sqref="T68">
    <cfRule type="cellIs" dxfId="8220" priority="136062" stopIfTrue="1" operator="lessThan">
      <formula>0.5</formula>
    </cfRule>
  </conditionalFormatting>
  <conditionalFormatting sqref="T68">
    <cfRule type="cellIs" dxfId="8219" priority="136063" stopIfTrue="1" operator="greaterThanOrEqual">
      <formula>0.5</formula>
    </cfRule>
  </conditionalFormatting>
  <conditionalFormatting sqref="T69">
    <cfRule type="cellIs" dxfId="8218" priority="136064" stopIfTrue="1" operator="equal">
      <formula>-1</formula>
    </cfRule>
  </conditionalFormatting>
  <conditionalFormatting sqref="T69">
    <cfRule type="cellIs" dxfId="8217" priority="136065" stopIfTrue="1" operator="lessThan">
      <formula>0.5</formula>
    </cfRule>
  </conditionalFormatting>
  <conditionalFormatting sqref="T69">
    <cfRule type="cellIs" dxfId="8216" priority="136066" stopIfTrue="1" operator="greaterThanOrEqual">
      <formula>0.5</formula>
    </cfRule>
  </conditionalFormatting>
  <conditionalFormatting sqref="T70">
    <cfRule type="cellIs" dxfId="8215" priority="136067" stopIfTrue="1" operator="equal">
      <formula>-1</formula>
    </cfRule>
  </conditionalFormatting>
  <conditionalFormatting sqref="T70">
    <cfRule type="cellIs" dxfId="8214" priority="136068" stopIfTrue="1" operator="lessThan">
      <formula>0.5</formula>
    </cfRule>
  </conditionalFormatting>
  <conditionalFormatting sqref="T70">
    <cfRule type="cellIs" dxfId="8213" priority="136069" stopIfTrue="1" operator="greaterThanOrEqual">
      <formula>0.5</formula>
    </cfRule>
  </conditionalFormatting>
  <conditionalFormatting sqref="T71">
    <cfRule type="cellIs" dxfId="8212" priority="136070" stopIfTrue="1" operator="equal">
      <formula>-1</formula>
    </cfRule>
  </conditionalFormatting>
  <conditionalFormatting sqref="T71">
    <cfRule type="cellIs" dxfId="8211" priority="136071" stopIfTrue="1" operator="lessThan">
      <formula>0.5</formula>
    </cfRule>
  </conditionalFormatting>
  <conditionalFormatting sqref="T71">
    <cfRule type="cellIs" dxfId="8210" priority="136072" stopIfTrue="1" operator="greaterThanOrEqual">
      <formula>0.5</formula>
    </cfRule>
  </conditionalFormatting>
  <conditionalFormatting sqref="T72">
    <cfRule type="cellIs" dxfId="8209" priority="136073" stopIfTrue="1" operator="equal">
      <formula>-1</formula>
    </cfRule>
  </conditionalFormatting>
  <conditionalFormatting sqref="T72">
    <cfRule type="cellIs" dxfId="8208" priority="136074" stopIfTrue="1" operator="lessThan">
      <formula>0.5</formula>
    </cfRule>
  </conditionalFormatting>
  <conditionalFormatting sqref="T72">
    <cfRule type="cellIs" dxfId="8207" priority="136075" stopIfTrue="1" operator="greaterThanOrEqual">
      <formula>0.5</formula>
    </cfRule>
  </conditionalFormatting>
  <conditionalFormatting sqref="T73">
    <cfRule type="cellIs" dxfId="8206" priority="136076" stopIfTrue="1" operator="equal">
      <formula>-1</formula>
    </cfRule>
  </conditionalFormatting>
  <conditionalFormatting sqref="T73">
    <cfRule type="cellIs" dxfId="8205" priority="136077" stopIfTrue="1" operator="lessThan">
      <formula>0.5</formula>
    </cfRule>
  </conditionalFormatting>
  <conditionalFormatting sqref="T73">
    <cfRule type="cellIs" dxfId="8204" priority="136078" stopIfTrue="1" operator="greaterThanOrEqual">
      <formula>0.5</formula>
    </cfRule>
  </conditionalFormatting>
  <conditionalFormatting sqref="T74">
    <cfRule type="cellIs" dxfId="8203" priority="136079" stopIfTrue="1" operator="equal">
      <formula>-1</formula>
    </cfRule>
  </conditionalFormatting>
  <conditionalFormatting sqref="T74">
    <cfRule type="cellIs" dxfId="8202" priority="136080" stopIfTrue="1" operator="lessThan">
      <formula>0.5</formula>
    </cfRule>
  </conditionalFormatting>
  <conditionalFormatting sqref="T74">
    <cfRule type="cellIs" dxfId="8201" priority="136081" stopIfTrue="1" operator="greaterThanOrEqual">
      <formula>0.5</formula>
    </cfRule>
  </conditionalFormatting>
  <conditionalFormatting sqref="T75">
    <cfRule type="cellIs" dxfId="8200" priority="136082" stopIfTrue="1" operator="equal">
      <formula>-1</formula>
    </cfRule>
  </conditionalFormatting>
  <conditionalFormatting sqref="T75">
    <cfRule type="cellIs" dxfId="8199" priority="136083" stopIfTrue="1" operator="lessThan">
      <formula>0.5</formula>
    </cfRule>
  </conditionalFormatting>
  <conditionalFormatting sqref="T75">
    <cfRule type="cellIs" dxfId="8198" priority="136084" stopIfTrue="1" operator="greaterThanOrEqual">
      <formula>0.5</formula>
    </cfRule>
  </conditionalFormatting>
  <conditionalFormatting sqref="T76">
    <cfRule type="cellIs" dxfId="8197" priority="136085" stopIfTrue="1" operator="equal">
      <formula>-1</formula>
    </cfRule>
  </conditionalFormatting>
  <conditionalFormatting sqref="T76">
    <cfRule type="cellIs" dxfId="8196" priority="136086" stopIfTrue="1" operator="lessThan">
      <formula>0.5</formula>
    </cfRule>
  </conditionalFormatting>
  <conditionalFormatting sqref="T76">
    <cfRule type="cellIs" dxfId="8195" priority="136087" stopIfTrue="1" operator="greaterThanOrEqual">
      <formula>0.5</formula>
    </cfRule>
  </conditionalFormatting>
  <conditionalFormatting sqref="T77">
    <cfRule type="cellIs" dxfId="8194" priority="136088" stopIfTrue="1" operator="equal">
      <formula>-1</formula>
    </cfRule>
  </conditionalFormatting>
  <conditionalFormatting sqref="T77">
    <cfRule type="cellIs" dxfId="8193" priority="136089" stopIfTrue="1" operator="lessThan">
      <formula>0.5</formula>
    </cfRule>
  </conditionalFormatting>
  <conditionalFormatting sqref="T77">
    <cfRule type="cellIs" dxfId="8192" priority="136090" stopIfTrue="1" operator="greaterThanOrEqual">
      <formula>0.5</formula>
    </cfRule>
  </conditionalFormatting>
  <conditionalFormatting sqref="T78">
    <cfRule type="cellIs" dxfId="8191" priority="136091" stopIfTrue="1" operator="equal">
      <formula>-1</formula>
    </cfRule>
  </conditionalFormatting>
  <conditionalFormatting sqref="T78">
    <cfRule type="cellIs" dxfId="8190" priority="136092" stopIfTrue="1" operator="lessThan">
      <formula>0.5</formula>
    </cfRule>
  </conditionalFormatting>
  <conditionalFormatting sqref="T78">
    <cfRule type="cellIs" dxfId="8189" priority="136093" stopIfTrue="1" operator="greaterThanOrEqual">
      <formula>0.5</formula>
    </cfRule>
  </conditionalFormatting>
  <conditionalFormatting sqref="T79">
    <cfRule type="cellIs" dxfId="8188" priority="136094" stopIfTrue="1" operator="equal">
      <formula>-1</formula>
    </cfRule>
  </conditionalFormatting>
  <conditionalFormatting sqref="T79">
    <cfRule type="cellIs" dxfId="8187" priority="136095" stopIfTrue="1" operator="lessThan">
      <formula>0.5</formula>
    </cfRule>
  </conditionalFormatting>
  <conditionalFormatting sqref="T79">
    <cfRule type="cellIs" dxfId="8186" priority="136096" stopIfTrue="1" operator="greaterThanOrEqual">
      <formula>0.5</formula>
    </cfRule>
  </conditionalFormatting>
  <conditionalFormatting sqref="T80">
    <cfRule type="cellIs" dxfId="8185" priority="136097" stopIfTrue="1" operator="equal">
      <formula>-1</formula>
    </cfRule>
  </conditionalFormatting>
  <conditionalFormatting sqref="T80">
    <cfRule type="cellIs" dxfId="8184" priority="136098" stopIfTrue="1" operator="lessThan">
      <formula>0.5</formula>
    </cfRule>
  </conditionalFormatting>
  <conditionalFormatting sqref="T80">
    <cfRule type="cellIs" dxfId="8183" priority="136099" stopIfTrue="1" operator="greaterThanOrEqual">
      <formula>0.5</formula>
    </cfRule>
  </conditionalFormatting>
  <conditionalFormatting sqref="T81">
    <cfRule type="cellIs" dxfId="8182" priority="136100" stopIfTrue="1" operator="equal">
      <formula>-1</formula>
    </cfRule>
  </conditionalFormatting>
  <conditionalFormatting sqref="T81">
    <cfRule type="cellIs" dxfId="8181" priority="136101" stopIfTrue="1" operator="lessThan">
      <formula>0.5</formula>
    </cfRule>
  </conditionalFormatting>
  <conditionalFormatting sqref="T81">
    <cfRule type="cellIs" dxfId="8180" priority="136102" stopIfTrue="1" operator="greaterThanOrEqual">
      <formula>0.5</formula>
    </cfRule>
  </conditionalFormatting>
  <conditionalFormatting sqref="T82">
    <cfRule type="cellIs" dxfId="8179" priority="136103" stopIfTrue="1" operator="equal">
      <formula>-1</formula>
    </cfRule>
  </conditionalFormatting>
  <conditionalFormatting sqref="T82">
    <cfRule type="cellIs" dxfId="8178" priority="136104" stopIfTrue="1" operator="lessThan">
      <formula>0.5</formula>
    </cfRule>
  </conditionalFormatting>
  <conditionalFormatting sqref="T82">
    <cfRule type="cellIs" dxfId="8177" priority="136105" stopIfTrue="1" operator="greaterThanOrEqual">
      <formula>0.5</formula>
    </cfRule>
  </conditionalFormatting>
  <conditionalFormatting sqref="T83">
    <cfRule type="cellIs" dxfId="8176" priority="136106" stopIfTrue="1" operator="equal">
      <formula>-1</formula>
    </cfRule>
  </conditionalFormatting>
  <conditionalFormatting sqref="T83">
    <cfRule type="cellIs" dxfId="8175" priority="136107" stopIfTrue="1" operator="lessThan">
      <formula>0.5</formula>
    </cfRule>
  </conditionalFormatting>
  <conditionalFormatting sqref="T83">
    <cfRule type="cellIs" dxfId="8174" priority="136108" stopIfTrue="1" operator="greaterThanOrEqual">
      <formula>0.5</formula>
    </cfRule>
  </conditionalFormatting>
  <conditionalFormatting sqref="T84">
    <cfRule type="cellIs" dxfId="8173" priority="136109" stopIfTrue="1" operator="equal">
      <formula>-1</formula>
    </cfRule>
  </conditionalFormatting>
  <conditionalFormatting sqref="T84">
    <cfRule type="cellIs" dxfId="8172" priority="136110" stopIfTrue="1" operator="lessThan">
      <formula>0.5</formula>
    </cfRule>
  </conditionalFormatting>
  <conditionalFormatting sqref="T84">
    <cfRule type="cellIs" dxfId="8171" priority="136111" stopIfTrue="1" operator="greaterThanOrEqual">
      <formula>0.5</formula>
    </cfRule>
  </conditionalFormatting>
  <conditionalFormatting sqref="T85">
    <cfRule type="cellIs" dxfId="8170" priority="136112" stopIfTrue="1" operator="equal">
      <formula>-1</formula>
    </cfRule>
  </conditionalFormatting>
  <conditionalFormatting sqref="T85">
    <cfRule type="cellIs" dxfId="8169" priority="136113" stopIfTrue="1" operator="lessThan">
      <formula>0.5</formula>
    </cfRule>
  </conditionalFormatting>
  <conditionalFormatting sqref="T85">
    <cfRule type="cellIs" dxfId="8168" priority="136114" stopIfTrue="1" operator="greaterThanOrEqual">
      <formula>0.5</formula>
    </cfRule>
  </conditionalFormatting>
  <conditionalFormatting sqref="V65">
    <cfRule type="cellIs" dxfId="8167" priority="136115" stopIfTrue="1" operator="equal">
      <formula>-1</formula>
    </cfRule>
  </conditionalFormatting>
  <conditionalFormatting sqref="V65">
    <cfRule type="cellIs" dxfId="8166" priority="136116" stopIfTrue="1" operator="lessThan">
      <formula>0.5</formula>
    </cfRule>
  </conditionalFormatting>
  <conditionalFormatting sqref="V65">
    <cfRule type="cellIs" dxfId="8165" priority="136117" stopIfTrue="1" operator="greaterThanOrEqual">
      <formula>0.5</formula>
    </cfRule>
  </conditionalFormatting>
  <conditionalFormatting sqref="V66">
    <cfRule type="cellIs" dxfId="8164" priority="136118" stopIfTrue="1" operator="equal">
      <formula>-1</formula>
    </cfRule>
  </conditionalFormatting>
  <conditionalFormatting sqref="V66">
    <cfRule type="cellIs" dxfId="8163" priority="136119" stopIfTrue="1" operator="lessThan">
      <formula>0.5</formula>
    </cfRule>
  </conditionalFormatting>
  <conditionalFormatting sqref="V66">
    <cfRule type="cellIs" dxfId="8162" priority="136120" stopIfTrue="1" operator="greaterThanOrEqual">
      <formula>0.5</formula>
    </cfRule>
  </conditionalFormatting>
  <conditionalFormatting sqref="V67">
    <cfRule type="cellIs" dxfId="8161" priority="136121" stopIfTrue="1" operator="equal">
      <formula>-1</formula>
    </cfRule>
  </conditionalFormatting>
  <conditionalFormatting sqref="V67">
    <cfRule type="cellIs" dxfId="8160" priority="136122" stopIfTrue="1" operator="lessThan">
      <formula>0.5</formula>
    </cfRule>
  </conditionalFormatting>
  <conditionalFormatting sqref="V67">
    <cfRule type="cellIs" dxfId="8159" priority="136123" stopIfTrue="1" operator="greaterThanOrEqual">
      <formula>0.5</formula>
    </cfRule>
  </conditionalFormatting>
  <conditionalFormatting sqref="V68">
    <cfRule type="cellIs" dxfId="8158" priority="136124" stopIfTrue="1" operator="equal">
      <formula>-1</formula>
    </cfRule>
  </conditionalFormatting>
  <conditionalFormatting sqref="V68">
    <cfRule type="cellIs" dxfId="8157" priority="136125" stopIfTrue="1" operator="lessThan">
      <formula>0.5</formula>
    </cfRule>
  </conditionalFormatting>
  <conditionalFormatting sqref="V68">
    <cfRule type="cellIs" dxfId="8156" priority="136126" stopIfTrue="1" operator="greaterThanOrEqual">
      <formula>0.5</formula>
    </cfRule>
  </conditionalFormatting>
  <conditionalFormatting sqref="V69">
    <cfRule type="cellIs" dxfId="8155" priority="136127" stopIfTrue="1" operator="equal">
      <formula>-1</formula>
    </cfRule>
  </conditionalFormatting>
  <conditionalFormatting sqref="V69">
    <cfRule type="cellIs" dxfId="8154" priority="136128" stopIfTrue="1" operator="lessThan">
      <formula>0.5</formula>
    </cfRule>
  </conditionalFormatting>
  <conditionalFormatting sqref="V69">
    <cfRule type="cellIs" dxfId="8153" priority="136129" stopIfTrue="1" operator="greaterThanOrEqual">
      <formula>0.5</formula>
    </cfRule>
  </conditionalFormatting>
  <conditionalFormatting sqref="V70">
    <cfRule type="cellIs" dxfId="8152" priority="136130" stopIfTrue="1" operator="equal">
      <formula>-1</formula>
    </cfRule>
  </conditionalFormatting>
  <conditionalFormatting sqref="V70">
    <cfRule type="cellIs" dxfId="8151" priority="136131" stopIfTrue="1" operator="lessThan">
      <formula>0.5</formula>
    </cfRule>
  </conditionalFormatting>
  <conditionalFormatting sqref="V70">
    <cfRule type="cellIs" dxfId="8150" priority="136132" stopIfTrue="1" operator="greaterThanOrEqual">
      <formula>0.5</formula>
    </cfRule>
  </conditionalFormatting>
  <conditionalFormatting sqref="V71">
    <cfRule type="cellIs" dxfId="8149" priority="136133" stopIfTrue="1" operator="equal">
      <formula>-1</formula>
    </cfRule>
  </conditionalFormatting>
  <conditionalFormatting sqref="V71">
    <cfRule type="cellIs" dxfId="8148" priority="136134" stopIfTrue="1" operator="lessThan">
      <formula>0.5</formula>
    </cfRule>
  </conditionalFormatting>
  <conditionalFormatting sqref="V71">
    <cfRule type="cellIs" dxfId="8147" priority="136135" stopIfTrue="1" operator="greaterThanOrEqual">
      <formula>0.5</formula>
    </cfRule>
  </conditionalFormatting>
  <conditionalFormatting sqref="V72">
    <cfRule type="cellIs" dxfId="8146" priority="136136" stopIfTrue="1" operator="equal">
      <formula>-1</formula>
    </cfRule>
  </conditionalFormatting>
  <conditionalFormatting sqref="V72">
    <cfRule type="cellIs" dxfId="8145" priority="136137" stopIfTrue="1" operator="lessThan">
      <formula>0.5</formula>
    </cfRule>
  </conditionalFormatting>
  <conditionalFormatting sqref="V72">
    <cfRule type="cellIs" dxfId="8144" priority="136138" stopIfTrue="1" operator="greaterThanOrEqual">
      <formula>0.5</formula>
    </cfRule>
  </conditionalFormatting>
  <conditionalFormatting sqref="V73">
    <cfRule type="cellIs" dxfId="8143" priority="136139" stopIfTrue="1" operator="equal">
      <formula>-1</formula>
    </cfRule>
  </conditionalFormatting>
  <conditionalFormatting sqref="V73">
    <cfRule type="cellIs" dxfId="8142" priority="136140" stopIfTrue="1" operator="lessThan">
      <formula>0.5</formula>
    </cfRule>
  </conditionalFormatting>
  <conditionalFormatting sqref="V73">
    <cfRule type="cellIs" dxfId="8141" priority="136141" stopIfTrue="1" operator="greaterThanOrEqual">
      <formula>0.5</formula>
    </cfRule>
  </conditionalFormatting>
  <conditionalFormatting sqref="V74">
    <cfRule type="cellIs" dxfId="8140" priority="136142" stopIfTrue="1" operator="equal">
      <formula>-1</formula>
    </cfRule>
  </conditionalFormatting>
  <conditionalFormatting sqref="V74">
    <cfRule type="cellIs" dxfId="8139" priority="136143" stopIfTrue="1" operator="lessThan">
      <formula>0.5</formula>
    </cfRule>
  </conditionalFormatting>
  <conditionalFormatting sqref="V74">
    <cfRule type="cellIs" dxfId="8138" priority="136144" stopIfTrue="1" operator="greaterThanOrEqual">
      <formula>0.5</formula>
    </cfRule>
  </conditionalFormatting>
  <conditionalFormatting sqref="V75">
    <cfRule type="cellIs" dxfId="8137" priority="136145" stopIfTrue="1" operator="equal">
      <formula>-1</formula>
    </cfRule>
  </conditionalFormatting>
  <conditionalFormatting sqref="V75">
    <cfRule type="cellIs" dxfId="8136" priority="136146" stopIfTrue="1" operator="lessThan">
      <formula>0.5</formula>
    </cfRule>
  </conditionalFormatting>
  <conditionalFormatting sqref="V75">
    <cfRule type="cellIs" dxfId="8135" priority="136147" stopIfTrue="1" operator="greaterThanOrEqual">
      <formula>0.5</formula>
    </cfRule>
  </conditionalFormatting>
  <conditionalFormatting sqref="V76">
    <cfRule type="cellIs" dxfId="8134" priority="136148" stopIfTrue="1" operator="equal">
      <formula>-1</formula>
    </cfRule>
  </conditionalFormatting>
  <conditionalFormatting sqref="V76">
    <cfRule type="cellIs" dxfId="8133" priority="136149" stopIfTrue="1" operator="lessThan">
      <formula>0.5</formula>
    </cfRule>
  </conditionalFormatting>
  <conditionalFormatting sqref="V76">
    <cfRule type="cellIs" dxfId="8132" priority="136150" stopIfTrue="1" operator="greaterThanOrEqual">
      <formula>0.5</formula>
    </cfRule>
  </conditionalFormatting>
  <conditionalFormatting sqref="V77">
    <cfRule type="cellIs" dxfId="8131" priority="136151" stopIfTrue="1" operator="equal">
      <formula>-1</formula>
    </cfRule>
  </conditionalFormatting>
  <conditionalFormatting sqref="V77">
    <cfRule type="cellIs" dxfId="8130" priority="136152" stopIfTrue="1" operator="lessThan">
      <formula>0.5</formula>
    </cfRule>
  </conditionalFormatting>
  <conditionalFormatting sqref="V77">
    <cfRule type="cellIs" dxfId="8129" priority="136153" stopIfTrue="1" operator="greaterThanOrEqual">
      <formula>0.5</formula>
    </cfRule>
  </conditionalFormatting>
  <conditionalFormatting sqref="V78">
    <cfRule type="cellIs" dxfId="8128" priority="136154" stopIfTrue="1" operator="equal">
      <formula>-1</formula>
    </cfRule>
  </conditionalFormatting>
  <conditionalFormatting sqref="V78">
    <cfRule type="cellIs" dxfId="8127" priority="136155" stopIfTrue="1" operator="lessThan">
      <formula>0.5</formula>
    </cfRule>
  </conditionalFormatting>
  <conditionalFormatting sqref="V78">
    <cfRule type="cellIs" dxfId="8126" priority="136156" stopIfTrue="1" operator="greaterThanOrEqual">
      <formula>0.5</formula>
    </cfRule>
  </conditionalFormatting>
  <conditionalFormatting sqref="V79">
    <cfRule type="cellIs" dxfId="8125" priority="136157" stopIfTrue="1" operator="equal">
      <formula>-1</formula>
    </cfRule>
  </conditionalFormatting>
  <conditionalFormatting sqref="V79">
    <cfRule type="cellIs" dxfId="8124" priority="136158" stopIfTrue="1" operator="lessThan">
      <formula>0.5</formula>
    </cfRule>
  </conditionalFormatting>
  <conditionalFormatting sqref="V79">
    <cfRule type="cellIs" dxfId="8123" priority="136159" stopIfTrue="1" operator="greaterThanOrEqual">
      <formula>0.5</formula>
    </cfRule>
  </conditionalFormatting>
  <conditionalFormatting sqref="V80">
    <cfRule type="cellIs" dxfId="8122" priority="136160" stopIfTrue="1" operator="equal">
      <formula>-1</formula>
    </cfRule>
  </conditionalFormatting>
  <conditionalFormatting sqref="V80">
    <cfRule type="cellIs" dxfId="8121" priority="136161" stopIfTrue="1" operator="lessThan">
      <formula>0.5</formula>
    </cfRule>
  </conditionalFormatting>
  <conditionalFormatting sqref="V80">
    <cfRule type="cellIs" dxfId="8120" priority="136162" stopIfTrue="1" operator="greaterThanOrEqual">
      <formula>0.5</formula>
    </cfRule>
  </conditionalFormatting>
  <conditionalFormatting sqref="V81">
    <cfRule type="cellIs" dxfId="8119" priority="136163" stopIfTrue="1" operator="equal">
      <formula>-1</formula>
    </cfRule>
  </conditionalFormatting>
  <conditionalFormatting sqref="V81">
    <cfRule type="cellIs" dxfId="8118" priority="136164" stopIfTrue="1" operator="lessThan">
      <formula>0.5</formula>
    </cfRule>
  </conditionalFormatting>
  <conditionalFormatting sqref="V81">
    <cfRule type="cellIs" dxfId="8117" priority="136165" stopIfTrue="1" operator="greaterThanOrEqual">
      <formula>0.5</formula>
    </cfRule>
  </conditionalFormatting>
  <conditionalFormatting sqref="V82">
    <cfRule type="cellIs" dxfId="8116" priority="136166" stopIfTrue="1" operator="equal">
      <formula>-1</formula>
    </cfRule>
  </conditionalFormatting>
  <conditionalFormatting sqref="V82">
    <cfRule type="cellIs" dxfId="8115" priority="136167" stopIfTrue="1" operator="lessThan">
      <formula>0.5</formula>
    </cfRule>
  </conditionalFormatting>
  <conditionalFormatting sqref="V82">
    <cfRule type="cellIs" dxfId="8114" priority="136168" stopIfTrue="1" operator="greaterThanOrEqual">
      <formula>0.5</formula>
    </cfRule>
  </conditionalFormatting>
  <conditionalFormatting sqref="V83">
    <cfRule type="cellIs" dxfId="8113" priority="136169" stopIfTrue="1" operator="equal">
      <formula>-1</formula>
    </cfRule>
  </conditionalFormatting>
  <conditionalFormatting sqref="V83">
    <cfRule type="cellIs" dxfId="8112" priority="136170" stopIfTrue="1" operator="lessThan">
      <formula>0.5</formula>
    </cfRule>
  </conditionalFormatting>
  <conditionalFormatting sqref="V83">
    <cfRule type="cellIs" dxfId="8111" priority="136171" stopIfTrue="1" operator="greaterThanOrEqual">
      <formula>0.5</formula>
    </cfRule>
  </conditionalFormatting>
  <conditionalFormatting sqref="V84">
    <cfRule type="cellIs" dxfId="8110" priority="136172" stopIfTrue="1" operator="equal">
      <formula>-1</formula>
    </cfRule>
  </conditionalFormatting>
  <conditionalFormatting sqref="V84">
    <cfRule type="cellIs" dxfId="8109" priority="136173" stopIfTrue="1" operator="lessThan">
      <formula>0.5</formula>
    </cfRule>
  </conditionalFormatting>
  <conditionalFormatting sqref="V84">
    <cfRule type="cellIs" dxfId="8108" priority="136174" stopIfTrue="1" operator="greaterThanOrEqual">
      <formula>0.5</formula>
    </cfRule>
  </conditionalFormatting>
  <conditionalFormatting sqref="V85">
    <cfRule type="cellIs" dxfId="8107" priority="136175" stopIfTrue="1" operator="equal">
      <formula>-1</formula>
    </cfRule>
  </conditionalFormatting>
  <conditionalFormatting sqref="V85">
    <cfRule type="cellIs" dxfId="8106" priority="136176" stopIfTrue="1" operator="lessThan">
      <formula>0.5</formula>
    </cfRule>
  </conditionalFormatting>
  <conditionalFormatting sqref="V85">
    <cfRule type="cellIs" dxfId="8105" priority="136177" stopIfTrue="1" operator="greaterThanOrEqual">
      <formula>0.5</formula>
    </cfRule>
  </conditionalFormatting>
  <conditionalFormatting sqref="X65">
    <cfRule type="cellIs" dxfId="8104" priority="136178" stopIfTrue="1" operator="equal">
      <formula>-1</formula>
    </cfRule>
  </conditionalFormatting>
  <conditionalFormatting sqref="X65">
    <cfRule type="cellIs" dxfId="8103" priority="136179" stopIfTrue="1" operator="lessThan">
      <formula>0.5</formula>
    </cfRule>
  </conditionalFormatting>
  <conditionalFormatting sqref="X65">
    <cfRule type="cellIs" dxfId="8102" priority="136180" stopIfTrue="1" operator="greaterThanOrEqual">
      <formula>0.5</formula>
    </cfRule>
  </conditionalFormatting>
  <conditionalFormatting sqref="X66">
    <cfRule type="cellIs" dxfId="8101" priority="136181" stopIfTrue="1" operator="equal">
      <formula>-1</formula>
    </cfRule>
  </conditionalFormatting>
  <conditionalFormatting sqref="X66">
    <cfRule type="cellIs" dxfId="8100" priority="136182" stopIfTrue="1" operator="lessThan">
      <formula>0.5</formula>
    </cfRule>
  </conditionalFormatting>
  <conditionalFormatting sqref="X66">
    <cfRule type="cellIs" dxfId="8099" priority="136183" stopIfTrue="1" operator="greaterThanOrEqual">
      <formula>0.5</formula>
    </cfRule>
  </conditionalFormatting>
  <conditionalFormatting sqref="X67">
    <cfRule type="cellIs" dxfId="8098" priority="136184" stopIfTrue="1" operator="equal">
      <formula>-1</formula>
    </cfRule>
  </conditionalFormatting>
  <conditionalFormatting sqref="X67">
    <cfRule type="cellIs" dxfId="8097" priority="136185" stopIfTrue="1" operator="lessThan">
      <formula>0.5</formula>
    </cfRule>
  </conditionalFormatting>
  <conditionalFormatting sqref="X67">
    <cfRule type="cellIs" dxfId="8096" priority="136186" stopIfTrue="1" operator="greaterThanOrEqual">
      <formula>0.5</formula>
    </cfRule>
  </conditionalFormatting>
  <conditionalFormatting sqref="X68">
    <cfRule type="cellIs" dxfId="8095" priority="136187" stopIfTrue="1" operator="equal">
      <formula>-1</formula>
    </cfRule>
  </conditionalFormatting>
  <conditionalFormatting sqref="X68">
    <cfRule type="cellIs" dxfId="8094" priority="136188" stopIfTrue="1" operator="lessThan">
      <formula>0.5</formula>
    </cfRule>
  </conditionalFormatting>
  <conditionalFormatting sqref="X68">
    <cfRule type="cellIs" dxfId="8093" priority="136189" stopIfTrue="1" operator="greaterThanOrEqual">
      <formula>0.5</formula>
    </cfRule>
  </conditionalFormatting>
  <conditionalFormatting sqref="X69">
    <cfRule type="cellIs" dxfId="8092" priority="136190" stopIfTrue="1" operator="equal">
      <formula>-1</formula>
    </cfRule>
  </conditionalFormatting>
  <conditionalFormatting sqref="X69">
    <cfRule type="cellIs" dxfId="8091" priority="136191" stopIfTrue="1" operator="lessThan">
      <formula>0.5</formula>
    </cfRule>
  </conditionalFormatting>
  <conditionalFormatting sqref="X69">
    <cfRule type="cellIs" dxfId="8090" priority="136192" stopIfTrue="1" operator="greaterThanOrEqual">
      <formula>0.5</formula>
    </cfRule>
  </conditionalFormatting>
  <conditionalFormatting sqref="X70">
    <cfRule type="cellIs" dxfId="8089" priority="136193" stopIfTrue="1" operator="equal">
      <formula>-1</formula>
    </cfRule>
  </conditionalFormatting>
  <conditionalFormatting sqref="X70">
    <cfRule type="cellIs" dxfId="8088" priority="136194" stopIfTrue="1" operator="lessThan">
      <formula>0.5</formula>
    </cfRule>
  </conditionalFormatting>
  <conditionalFormatting sqref="X70">
    <cfRule type="cellIs" dxfId="8087" priority="136195" stopIfTrue="1" operator="greaterThanOrEqual">
      <formula>0.5</formula>
    </cfRule>
  </conditionalFormatting>
  <conditionalFormatting sqref="X71">
    <cfRule type="cellIs" dxfId="8086" priority="136196" stopIfTrue="1" operator="equal">
      <formula>-1</formula>
    </cfRule>
  </conditionalFormatting>
  <conditionalFormatting sqref="X71">
    <cfRule type="cellIs" dxfId="8085" priority="136197" stopIfTrue="1" operator="lessThan">
      <formula>0.5</formula>
    </cfRule>
  </conditionalFormatting>
  <conditionalFormatting sqref="X71">
    <cfRule type="cellIs" dxfId="8084" priority="136198" stopIfTrue="1" operator="greaterThanOrEqual">
      <formula>0.5</formula>
    </cfRule>
  </conditionalFormatting>
  <conditionalFormatting sqref="X72">
    <cfRule type="cellIs" dxfId="8083" priority="136199" stopIfTrue="1" operator="equal">
      <formula>-1</formula>
    </cfRule>
  </conditionalFormatting>
  <conditionalFormatting sqref="X72">
    <cfRule type="cellIs" dxfId="8082" priority="136200" stopIfTrue="1" operator="lessThan">
      <formula>0.5</formula>
    </cfRule>
  </conditionalFormatting>
  <conditionalFormatting sqref="X72">
    <cfRule type="cellIs" dxfId="8081" priority="136201" stopIfTrue="1" operator="greaterThanOrEqual">
      <formula>0.5</formula>
    </cfRule>
  </conditionalFormatting>
  <conditionalFormatting sqref="X73">
    <cfRule type="cellIs" dxfId="8080" priority="136202" stopIfTrue="1" operator="equal">
      <formula>-1</formula>
    </cfRule>
  </conditionalFormatting>
  <conditionalFormatting sqref="X73">
    <cfRule type="cellIs" dxfId="8079" priority="136203" stopIfTrue="1" operator="lessThan">
      <formula>0.5</formula>
    </cfRule>
  </conditionalFormatting>
  <conditionalFormatting sqref="X73">
    <cfRule type="cellIs" dxfId="8078" priority="136204" stopIfTrue="1" operator="greaterThanOrEqual">
      <formula>0.5</formula>
    </cfRule>
  </conditionalFormatting>
  <conditionalFormatting sqref="X74">
    <cfRule type="cellIs" dxfId="8077" priority="136205" stopIfTrue="1" operator="equal">
      <formula>-1</formula>
    </cfRule>
  </conditionalFormatting>
  <conditionalFormatting sqref="X74">
    <cfRule type="cellIs" dxfId="8076" priority="136206" stopIfTrue="1" operator="lessThan">
      <formula>0.5</formula>
    </cfRule>
  </conditionalFormatting>
  <conditionalFormatting sqref="X74">
    <cfRule type="cellIs" dxfId="8075" priority="136207" stopIfTrue="1" operator="greaterThanOrEqual">
      <formula>0.5</formula>
    </cfRule>
  </conditionalFormatting>
  <conditionalFormatting sqref="X75">
    <cfRule type="cellIs" dxfId="8074" priority="136208" stopIfTrue="1" operator="equal">
      <formula>-1</formula>
    </cfRule>
  </conditionalFormatting>
  <conditionalFormatting sqref="X75">
    <cfRule type="cellIs" dxfId="8073" priority="136209" stopIfTrue="1" operator="lessThan">
      <formula>0.5</formula>
    </cfRule>
  </conditionalFormatting>
  <conditionalFormatting sqref="X75">
    <cfRule type="cellIs" dxfId="8072" priority="136210" stopIfTrue="1" operator="greaterThanOrEqual">
      <formula>0.5</formula>
    </cfRule>
  </conditionalFormatting>
  <conditionalFormatting sqref="X76">
    <cfRule type="cellIs" dxfId="8071" priority="136211" stopIfTrue="1" operator="equal">
      <formula>-1</formula>
    </cfRule>
  </conditionalFormatting>
  <conditionalFormatting sqref="X76">
    <cfRule type="cellIs" dxfId="8070" priority="136212" stopIfTrue="1" operator="lessThan">
      <formula>0.5</formula>
    </cfRule>
  </conditionalFormatting>
  <conditionalFormatting sqref="X76">
    <cfRule type="cellIs" dxfId="8069" priority="136213" stopIfTrue="1" operator="greaterThanOrEqual">
      <formula>0.5</formula>
    </cfRule>
  </conditionalFormatting>
  <conditionalFormatting sqref="X77">
    <cfRule type="cellIs" dxfId="8068" priority="136214" stopIfTrue="1" operator="equal">
      <formula>-1</formula>
    </cfRule>
  </conditionalFormatting>
  <conditionalFormatting sqref="X77">
    <cfRule type="cellIs" dxfId="8067" priority="136215" stopIfTrue="1" operator="lessThan">
      <formula>0.5</formula>
    </cfRule>
  </conditionalFormatting>
  <conditionalFormatting sqref="X77">
    <cfRule type="cellIs" dxfId="8066" priority="136216" stopIfTrue="1" operator="greaterThanOrEqual">
      <formula>0.5</formula>
    </cfRule>
  </conditionalFormatting>
  <conditionalFormatting sqref="X78">
    <cfRule type="cellIs" dxfId="8065" priority="136217" stopIfTrue="1" operator="equal">
      <formula>-1</formula>
    </cfRule>
  </conditionalFormatting>
  <conditionalFormatting sqref="X78">
    <cfRule type="cellIs" dxfId="8064" priority="136218" stopIfTrue="1" operator="lessThan">
      <formula>0.5</formula>
    </cfRule>
  </conditionalFormatting>
  <conditionalFormatting sqref="X78">
    <cfRule type="cellIs" dxfId="8063" priority="136219" stopIfTrue="1" operator="greaterThanOrEqual">
      <formula>0.5</formula>
    </cfRule>
  </conditionalFormatting>
  <conditionalFormatting sqref="X79">
    <cfRule type="cellIs" dxfId="8062" priority="136220" stopIfTrue="1" operator="equal">
      <formula>-1</formula>
    </cfRule>
  </conditionalFormatting>
  <conditionalFormatting sqref="X79">
    <cfRule type="cellIs" dxfId="8061" priority="136221" stopIfTrue="1" operator="lessThan">
      <formula>0.5</formula>
    </cfRule>
  </conditionalFormatting>
  <conditionalFormatting sqref="X79">
    <cfRule type="cellIs" dxfId="8060" priority="136222" stopIfTrue="1" operator="greaterThanOrEqual">
      <formula>0.5</formula>
    </cfRule>
  </conditionalFormatting>
  <conditionalFormatting sqref="X80">
    <cfRule type="cellIs" dxfId="8059" priority="136223" stopIfTrue="1" operator="equal">
      <formula>-1</formula>
    </cfRule>
  </conditionalFormatting>
  <conditionalFormatting sqref="X80">
    <cfRule type="cellIs" dxfId="8058" priority="136224" stopIfTrue="1" operator="lessThan">
      <formula>0.5</formula>
    </cfRule>
  </conditionalFormatting>
  <conditionalFormatting sqref="X80">
    <cfRule type="cellIs" dxfId="8057" priority="136225" stopIfTrue="1" operator="greaterThanOrEqual">
      <formula>0.5</formula>
    </cfRule>
  </conditionalFormatting>
  <conditionalFormatting sqref="X81">
    <cfRule type="cellIs" dxfId="8056" priority="136226" stopIfTrue="1" operator="equal">
      <formula>-1</formula>
    </cfRule>
  </conditionalFormatting>
  <conditionalFormatting sqref="X81">
    <cfRule type="cellIs" dxfId="8055" priority="136227" stopIfTrue="1" operator="lessThan">
      <formula>0.5</formula>
    </cfRule>
  </conditionalFormatting>
  <conditionalFormatting sqref="X81">
    <cfRule type="cellIs" dxfId="8054" priority="136228" stopIfTrue="1" operator="greaterThanOrEqual">
      <formula>0.5</formula>
    </cfRule>
  </conditionalFormatting>
  <conditionalFormatting sqref="X82">
    <cfRule type="cellIs" dxfId="8053" priority="136229" stopIfTrue="1" operator="equal">
      <formula>-1</formula>
    </cfRule>
  </conditionalFormatting>
  <conditionalFormatting sqref="X82">
    <cfRule type="cellIs" dxfId="8052" priority="136230" stopIfTrue="1" operator="lessThan">
      <formula>0.5</formula>
    </cfRule>
  </conditionalFormatting>
  <conditionalFormatting sqref="X82">
    <cfRule type="cellIs" dxfId="8051" priority="136231" stopIfTrue="1" operator="greaterThanOrEqual">
      <formula>0.5</formula>
    </cfRule>
  </conditionalFormatting>
  <conditionalFormatting sqref="X83">
    <cfRule type="cellIs" dxfId="8050" priority="136232" stopIfTrue="1" operator="equal">
      <formula>-1</formula>
    </cfRule>
  </conditionalFormatting>
  <conditionalFormatting sqref="X83">
    <cfRule type="cellIs" dxfId="8049" priority="136233" stopIfTrue="1" operator="lessThan">
      <formula>0.5</formula>
    </cfRule>
  </conditionalFormatting>
  <conditionalFormatting sqref="X83">
    <cfRule type="cellIs" dxfId="8048" priority="136234" stopIfTrue="1" operator="greaterThanOrEqual">
      <formula>0.5</formula>
    </cfRule>
  </conditionalFormatting>
  <conditionalFormatting sqref="X84">
    <cfRule type="cellIs" dxfId="8047" priority="136235" stopIfTrue="1" operator="equal">
      <formula>-1</formula>
    </cfRule>
  </conditionalFormatting>
  <conditionalFormatting sqref="X84">
    <cfRule type="cellIs" dxfId="8046" priority="136236" stopIfTrue="1" operator="lessThan">
      <formula>0.5</formula>
    </cfRule>
  </conditionalFormatting>
  <conditionalFormatting sqref="X84">
    <cfRule type="cellIs" dxfId="8045" priority="136237" stopIfTrue="1" operator="greaterThanOrEqual">
      <formula>0.5</formula>
    </cfRule>
  </conditionalFormatting>
  <conditionalFormatting sqref="X85">
    <cfRule type="cellIs" dxfId="8044" priority="136238" stopIfTrue="1" operator="equal">
      <formula>-1</formula>
    </cfRule>
  </conditionalFormatting>
  <conditionalFormatting sqref="X85">
    <cfRule type="cellIs" dxfId="8043" priority="136239" stopIfTrue="1" operator="lessThan">
      <formula>0.5</formula>
    </cfRule>
  </conditionalFormatting>
  <conditionalFormatting sqref="X85">
    <cfRule type="cellIs" dxfId="8042" priority="136240" stopIfTrue="1" operator="greaterThanOrEqual">
      <formula>0.5</formula>
    </cfRule>
  </conditionalFormatting>
  <conditionalFormatting sqref="Z65">
    <cfRule type="cellIs" dxfId="8041" priority="136241" stopIfTrue="1" operator="equal">
      <formula>-1</formula>
    </cfRule>
  </conditionalFormatting>
  <conditionalFormatting sqref="Z65">
    <cfRule type="cellIs" dxfId="8040" priority="136242" stopIfTrue="1" operator="lessThan">
      <formula>0.5</formula>
    </cfRule>
  </conditionalFormatting>
  <conditionalFormatting sqref="Z65">
    <cfRule type="cellIs" dxfId="8039" priority="136243" stopIfTrue="1" operator="greaterThanOrEqual">
      <formula>0.5</formula>
    </cfRule>
  </conditionalFormatting>
  <conditionalFormatting sqref="Z66">
    <cfRule type="cellIs" dxfId="8038" priority="136244" stopIfTrue="1" operator="equal">
      <formula>-1</formula>
    </cfRule>
  </conditionalFormatting>
  <conditionalFormatting sqref="Z66">
    <cfRule type="cellIs" dxfId="8037" priority="136245" stopIfTrue="1" operator="lessThan">
      <formula>0.5</formula>
    </cfRule>
  </conditionalFormatting>
  <conditionalFormatting sqref="Z66">
    <cfRule type="cellIs" dxfId="8036" priority="136246" stopIfTrue="1" operator="greaterThanOrEqual">
      <formula>0.5</formula>
    </cfRule>
  </conditionalFormatting>
  <conditionalFormatting sqref="Z67">
    <cfRule type="cellIs" dxfId="8035" priority="136247" stopIfTrue="1" operator="equal">
      <formula>-1</formula>
    </cfRule>
  </conditionalFormatting>
  <conditionalFormatting sqref="Z67">
    <cfRule type="cellIs" dxfId="8034" priority="136248" stopIfTrue="1" operator="lessThan">
      <formula>0.5</formula>
    </cfRule>
  </conditionalFormatting>
  <conditionalFormatting sqref="Z67">
    <cfRule type="cellIs" dxfId="8033" priority="136249" stopIfTrue="1" operator="greaterThanOrEqual">
      <formula>0.5</formula>
    </cfRule>
  </conditionalFormatting>
  <conditionalFormatting sqref="Z68">
    <cfRule type="cellIs" dxfId="8032" priority="136250" stopIfTrue="1" operator="equal">
      <formula>-1</formula>
    </cfRule>
  </conditionalFormatting>
  <conditionalFormatting sqref="Z68">
    <cfRule type="cellIs" dxfId="8031" priority="136251" stopIfTrue="1" operator="lessThan">
      <formula>0.5</formula>
    </cfRule>
  </conditionalFormatting>
  <conditionalFormatting sqref="Z68">
    <cfRule type="cellIs" dxfId="8030" priority="136252" stopIfTrue="1" operator="greaterThanOrEqual">
      <formula>0.5</formula>
    </cfRule>
  </conditionalFormatting>
  <conditionalFormatting sqref="Z69">
    <cfRule type="cellIs" dxfId="8029" priority="136253" stopIfTrue="1" operator="equal">
      <formula>-1</formula>
    </cfRule>
  </conditionalFormatting>
  <conditionalFormatting sqref="Z69">
    <cfRule type="cellIs" dxfId="8028" priority="136254" stopIfTrue="1" operator="lessThan">
      <formula>0.5</formula>
    </cfRule>
  </conditionalFormatting>
  <conditionalFormatting sqref="Z69">
    <cfRule type="cellIs" dxfId="8027" priority="136255" stopIfTrue="1" operator="greaterThanOrEqual">
      <formula>0.5</formula>
    </cfRule>
  </conditionalFormatting>
  <conditionalFormatting sqref="Z70">
    <cfRule type="cellIs" dxfId="8026" priority="136256" stopIfTrue="1" operator="equal">
      <formula>-1</formula>
    </cfRule>
  </conditionalFormatting>
  <conditionalFormatting sqref="Z70">
    <cfRule type="cellIs" dxfId="8025" priority="136257" stopIfTrue="1" operator="lessThan">
      <formula>0.5</formula>
    </cfRule>
  </conditionalFormatting>
  <conditionalFormatting sqref="Z70">
    <cfRule type="cellIs" dxfId="8024" priority="136258" stopIfTrue="1" operator="greaterThanOrEqual">
      <formula>0.5</formula>
    </cfRule>
  </conditionalFormatting>
  <conditionalFormatting sqref="Z71">
    <cfRule type="cellIs" dxfId="8023" priority="136259" stopIfTrue="1" operator="equal">
      <formula>-1</formula>
    </cfRule>
  </conditionalFormatting>
  <conditionalFormatting sqref="Z71">
    <cfRule type="cellIs" dxfId="8022" priority="136260" stopIfTrue="1" operator="lessThan">
      <formula>0.5</formula>
    </cfRule>
  </conditionalFormatting>
  <conditionalFormatting sqref="Z71">
    <cfRule type="cellIs" dxfId="8021" priority="136261" stopIfTrue="1" operator="greaterThanOrEqual">
      <formula>0.5</formula>
    </cfRule>
  </conditionalFormatting>
  <conditionalFormatting sqref="Z72">
    <cfRule type="cellIs" dxfId="8020" priority="136262" stopIfTrue="1" operator="equal">
      <formula>-1</formula>
    </cfRule>
  </conditionalFormatting>
  <conditionalFormatting sqref="Z72">
    <cfRule type="cellIs" dxfId="8019" priority="136263" stopIfTrue="1" operator="lessThan">
      <formula>0.5</formula>
    </cfRule>
  </conditionalFormatting>
  <conditionalFormatting sqref="Z72">
    <cfRule type="cellIs" dxfId="8018" priority="136264" stopIfTrue="1" operator="greaterThanOrEqual">
      <formula>0.5</formula>
    </cfRule>
  </conditionalFormatting>
  <conditionalFormatting sqref="Z73">
    <cfRule type="cellIs" dxfId="8017" priority="136265" stopIfTrue="1" operator="equal">
      <formula>-1</formula>
    </cfRule>
  </conditionalFormatting>
  <conditionalFormatting sqref="Z73">
    <cfRule type="cellIs" dxfId="8016" priority="136266" stopIfTrue="1" operator="lessThan">
      <formula>0.5</formula>
    </cfRule>
  </conditionalFormatting>
  <conditionalFormatting sqref="Z73">
    <cfRule type="cellIs" dxfId="8015" priority="136267" stopIfTrue="1" operator="greaterThanOrEqual">
      <formula>0.5</formula>
    </cfRule>
  </conditionalFormatting>
  <conditionalFormatting sqref="Z74">
    <cfRule type="cellIs" dxfId="8014" priority="136268" stopIfTrue="1" operator="equal">
      <formula>-1</formula>
    </cfRule>
  </conditionalFormatting>
  <conditionalFormatting sqref="Z74">
    <cfRule type="cellIs" dxfId="8013" priority="136269" stopIfTrue="1" operator="lessThan">
      <formula>0.5</formula>
    </cfRule>
  </conditionalFormatting>
  <conditionalFormatting sqref="Z74">
    <cfRule type="cellIs" dxfId="8012" priority="136270" stopIfTrue="1" operator="greaterThanOrEqual">
      <formula>0.5</formula>
    </cfRule>
  </conditionalFormatting>
  <conditionalFormatting sqref="Z75">
    <cfRule type="cellIs" dxfId="8011" priority="136271" stopIfTrue="1" operator="equal">
      <formula>-1</formula>
    </cfRule>
  </conditionalFormatting>
  <conditionalFormatting sqref="Z75">
    <cfRule type="cellIs" dxfId="8010" priority="136272" stopIfTrue="1" operator="lessThan">
      <formula>0.5</formula>
    </cfRule>
  </conditionalFormatting>
  <conditionalFormatting sqref="Z75">
    <cfRule type="cellIs" dxfId="8009" priority="136273" stopIfTrue="1" operator="greaterThanOrEqual">
      <formula>0.5</formula>
    </cfRule>
  </conditionalFormatting>
  <conditionalFormatting sqref="Z76">
    <cfRule type="cellIs" dxfId="8008" priority="136274" stopIfTrue="1" operator="equal">
      <formula>-1</formula>
    </cfRule>
  </conditionalFormatting>
  <conditionalFormatting sqref="Z76">
    <cfRule type="cellIs" dxfId="8007" priority="136275" stopIfTrue="1" operator="lessThan">
      <formula>0.5</formula>
    </cfRule>
  </conditionalFormatting>
  <conditionalFormatting sqref="Z76">
    <cfRule type="cellIs" dxfId="8006" priority="136276" stopIfTrue="1" operator="greaterThanOrEqual">
      <formula>0.5</formula>
    </cfRule>
  </conditionalFormatting>
  <conditionalFormatting sqref="Z77">
    <cfRule type="cellIs" dxfId="8005" priority="136277" stopIfTrue="1" operator="equal">
      <formula>-1</formula>
    </cfRule>
  </conditionalFormatting>
  <conditionalFormatting sqref="Z77">
    <cfRule type="cellIs" dxfId="8004" priority="136278" stopIfTrue="1" operator="lessThan">
      <formula>0.5</formula>
    </cfRule>
  </conditionalFormatting>
  <conditionalFormatting sqref="Z77">
    <cfRule type="cellIs" dxfId="8003" priority="136279" stopIfTrue="1" operator="greaterThanOrEqual">
      <formula>0.5</formula>
    </cfRule>
  </conditionalFormatting>
  <conditionalFormatting sqref="Z78">
    <cfRule type="cellIs" dxfId="8002" priority="136280" stopIfTrue="1" operator="equal">
      <formula>-1</formula>
    </cfRule>
  </conditionalFormatting>
  <conditionalFormatting sqref="Z78">
    <cfRule type="cellIs" dxfId="8001" priority="136281" stopIfTrue="1" operator="lessThan">
      <formula>0.5</formula>
    </cfRule>
  </conditionalFormatting>
  <conditionalFormatting sqref="Z78">
    <cfRule type="cellIs" dxfId="8000" priority="136282" stopIfTrue="1" operator="greaterThanOrEqual">
      <formula>0.5</formula>
    </cfRule>
  </conditionalFormatting>
  <conditionalFormatting sqref="Z79">
    <cfRule type="cellIs" dxfId="7999" priority="136283" stopIfTrue="1" operator="equal">
      <formula>-1</formula>
    </cfRule>
  </conditionalFormatting>
  <conditionalFormatting sqref="Z79">
    <cfRule type="cellIs" dxfId="7998" priority="136284" stopIfTrue="1" operator="lessThan">
      <formula>0.5</formula>
    </cfRule>
  </conditionalFormatting>
  <conditionalFormatting sqref="Z79">
    <cfRule type="cellIs" dxfId="7997" priority="136285" stopIfTrue="1" operator="greaterThanOrEqual">
      <formula>0.5</formula>
    </cfRule>
  </conditionalFormatting>
  <conditionalFormatting sqref="Z80">
    <cfRule type="cellIs" dxfId="7996" priority="136286" stopIfTrue="1" operator="equal">
      <formula>-1</formula>
    </cfRule>
  </conditionalFormatting>
  <conditionalFormatting sqref="Z80">
    <cfRule type="cellIs" dxfId="7995" priority="136287" stopIfTrue="1" operator="lessThan">
      <formula>0.5</formula>
    </cfRule>
  </conditionalFormatting>
  <conditionalFormatting sqref="Z80">
    <cfRule type="cellIs" dxfId="7994" priority="136288" stopIfTrue="1" operator="greaterThanOrEqual">
      <formula>0.5</formula>
    </cfRule>
  </conditionalFormatting>
  <conditionalFormatting sqref="Z81">
    <cfRule type="cellIs" dxfId="7993" priority="136289" stopIfTrue="1" operator="equal">
      <formula>-1</formula>
    </cfRule>
  </conditionalFormatting>
  <conditionalFormatting sqref="Z81">
    <cfRule type="cellIs" dxfId="7992" priority="136290" stopIfTrue="1" operator="lessThan">
      <formula>0.5</formula>
    </cfRule>
  </conditionalFormatting>
  <conditionalFormatting sqref="Z81">
    <cfRule type="cellIs" dxfId="7991" priority="136291" stopIfTrue="1" operator="greaterThanOrEqual">
      <formula>0.5</formula>
    </cfRule>
  </conditionalFormatting>
  <conditionalFormatting sqref="Z82">
    <cfRule type="cellIs" dxfId="7990" priority="136292" stopIfTrue="1" operator="equal">
      <formula>-1</formula>
    </cfRule>
  </conditionalFormatting>
  <conditionalFormatting sqref="Z82">
    <cfRule type="cellIs" dxfId="7989" priority="136293" stopIfTrue="1" operator="lessThan">
      <formula>0.5</formula>
    </cfRule>
  </conditionalFormatting>
  <conditionalFormatting sqref="Z82">
    <cfRule type="cellIs" dxfId="7988" priority="136294" stopIfTrue="1" operator="greaterThanOrEqual">
      <formula>0.5</formula>
    </cfRule>
  </conditionalFormatting>
  <conditionalFormatting sqref="Z83">
    <cfRule type="cellIs" dxfId="7987" priority="136295" stopIfTrue="1" operator="equal">
      <formula>-1</formula>
    </cfRule>
  </conditionalFormatting>
  <conditionalFormatting sqref="Z83">
    <cfRule type="cellIs" dxfId="7986" priority="136296" stopIfTrue="1" operator="lessThan">
      <formula>0.5</formula>
    </cfRule>
  </conditionalFormatting>
  <conditionalFormatting sqref="Z83">
    <cfRule type="cellIs" dxfId="7985" priority="136297" stopIfTrue="1" operator="greaterThanOrEqual">
      <formula>0.5</formula>
    </cfRule>
  </conditionalFormatting>
  <conditionalFormatting sqref="Z84">
    <cfRule type="cellIs" dxfId="7984" priority="136298" stopIfTrue="1" operator="equal">
      <formula>-1</formula>
    </cfRule>
  </conditionalFormatting>
  <conditionalFormatting sqref="Z84">
    <cfRule type="cellIs" dxfId="7983" priority="136299" stopIfTrue="1" operator="lessThan">
      <formula>0.5</formula>
    </cfRule>
  </conditionalFormatting>
  <conditionalFormatting sqref="Z84">
    <cfRule type="cellIs" dxfId="7982" priority="136300" stopIfTrue="1" operator="greaterThanOrEqual">
      <formula>0.5</formula>
    </cfRule>
  </conditionalFormatting>
  <conditionalFormatting sqref="Z85">
    <cfRule type="cellIs" dxfId="7981" priority="136301" stopIfTrue="1" operator="equal">
      <formula>-1</formula>
    </cfRule>
  </conditionalFormatting>
  <conditionalFormatting sqref="Z85">
    <cfRule type="cellIs" dxfId="7980" priority="136302" stopIfTrue="1" operator="lessThan">
      <formula>0.5</formula>
    </cfRule>
  </conditionalFormatting>
  <conditionalFormatting sqref="Z85">
    <cfRule type="cellIs" dxfId="7979" priority="136303" stopIfTrue="1" operator="greaterThanOrEqual">
      <formula>0.5</formula>
    </cfRule>
  </conditionalFormatting>
  <conditionalFormatting sqref="AB65">
    <cfRule type="cellIs" dxfId="7978" priority="136304" stopIfTrue="1" operator="equal">
      <formula>-1</formula>
    </cfRule>
  </conditionalFormatting>
  <conditionalFormatting sqref="AB65">
    <cfRule type="cellIs" dxfId="7977" priority="136305" stopIfTrue="1" operator="lessThan">
      <formula>0.5</formula>
    </cfRule>
  </conditionalFormatting>
  <conditionalFormatting sqref="AB65">
    <cfRule type="cellIs" dxfId="7976" priority="136306" stopIfTrue="1" operator="greaterThanOrEqual">
      <formula>0.5</formula>
    </cfRule>
  </conditionalFormatting>
  <conditionalFormatting sqref="AB66">
    <cfRule type="cellIs" dxfId="7975" priority="136307" stopIfTrue="1" operator="equal">
      <formula>-1</formula>
    </cfRule>
  </conditionalFormatting>
  <conditionalFormatting sqref="AB66">
    <cfRule type="cellIs" dxfId="7974" priority="136308" stopIfTrue="1" operator="lessThan">
      <formula>0.5</formula>
    </cfRule>
  </conditionalFormatting>
  <conditionalFormatting sqref="AB66">
    <cfRule type="cellIs" dxfId="7973" priority="136309" stopIfTrue="1" operator="greaterThanOrEqual">
      <formula>0.5</formula>
    </cfRule>
  </conditionalFormatting>
  <conditionalFormatting sqref="AB67">
    <cfRule type="cellIs" dxfId="7972" priority="136310" stopIfTrue="1" operator="equal">
      <formula>-1</formula>
    </cfRule>
  </conditionalFormatting>
  <conditionalFormatting sqref="AB67">
    <cfRule type="cellIs" dxfId="7971" priority="136311" stopIfTrue="1" operator="lessThan">
      <formula>0.5</formula>
    </cfRule>
  </conditionalFormatting>
  <conditionalFormatting sqref="AB67">
    <cfRule type="cellIs" dxfId="7970" priority="136312" stopIfTrue="1" operator="greaterThanOrEqual">
      <formula>0.5</formula>
    </cfRule>
  </conditionalFormatting>
  <conditionalFormatting sqref="AB68">
    <cfRule type="cellIs" dxfId="7969" priority="136313" stopIfTrue="1" operator="equal">
      <formula>-1</formula>
    </cfRule>
  </conditionalFormatting>
  <conditionalFormatting sqref="AB68">
    <cfRule type="cellIs" dxfId="7968" priority="136314" stopIfTrue="1" operator="lessThan">
      <formula>0.5</formula>
    </cfRule>
  </conditionalFormatting>
  <conditionalFormatting sqref="AB68">
    <cfRule type="cellIs" dxfId="7967" priority="136315" stopIfTrue="1" operator="greaterThanOrEqual">
      <formula>0.5</formula>
    </cfRule>
  </conditionalFormatting>
  <conditionalFormatting sqref="AB69">
    <cfRule type="cellIs" dxfId="7966" priority="136316" stopIfTrue="1" operator="equal">
      <formula>-1</formula>
    </cfRule>
  </conditionalFormatting>
  <conditionalFormatting sqref="AB69">
    <cfRule type="cellIs" dxfId="7965" priority="136317" stopIfTrue="1" operator="lessThan">
      <formula>0.5</formula>
    </cfRule>
  </conditionalFormatting>
  <conditionalFormatting sqref="AB69">
    <cfRule type="cellIs" dxfId="7964" priority="136318" stopIfTrue="1" operator="greaterThanOrEqual">
      <formula>0.5</formula>
    </cfRule>
  </conditionalFormatting>
  <conditionalFormatting sqref="AB70">
    <cfRule type="cellIs" dxfId="7963" priority="136319" stopIfTrue="1" operator="equal">
      <formula>-1</formula>
    </cfRule>
  </conditionalFormatting>
  <conditionalFormatting sqref="AB70">
    <cfRule type="cellIs" dxfId="7962" priority="136320" stopIfTrue="1" operator="lessThan">
      <formula>0.5</formula>
    </cfRule>
  </conditionalFormatting>
  <conditionalFormatting sqref="AB70">
    <cfRule type="cellIs" dxfId="7961" priority="136321" stopIfTrue="1" operator="greaterThanOrEqual">
      <formula>0.5</formula>
    </cfRule>
  </conditionalFormatting>
  <conditionalFormatting sqref="AB71">
    <cfRule type="cellIs" dxfId="7960" priority="136322" stopIfTrue="1" operator="equal">
      <formula>-1</formula>
    </cfRule>
  </conditionalFormatting>
  <conditionalFormatting sqref="AB71">
    <cfRule type="cellIs" dxfId="7959" priority="136323" stopIfTrue="1" operator="lessThan">
      <formula>0.5</formula>
    </cfRule>
  </conditionalFormatting>
  <conditionalFormatting sqref="AB71">
    <cfRule type="cellIs" dxfId="7958" priority="136324" stopIfTrue="1" operator="greaterThanOrEqual">
      <formula>0.5</formula>
    </cfRule>
  </conditionalFormatting>
  <conditionalFormatting sqref="AB72">
    <cfRule type="cellIs" dxfId="7957" priority="136325" stopIfTrue="1" operator="equal">
      <formula>-1</formula>
    </cfRule>
  </conditionalFormatting>
  <conditionalFormatting sqref="AB72">
    <cfRule type="cellIs" dxfId="7956" priority="136326" stopIfTrue="1" operator="lessThan">
      <formula>0.5</formula>
    </cfRule>
  </conditionalFormatting>
  <conditionalFormatting sqref="AB72">
    <cfRule type="cellIs" dxfId="7955" priority="136327" stopIfTrue="1" operator="greaterThanOrEqual">
      <formula>0.5</formula>
    </cfRule>
  </conditionalFormatting>
  <conditionalFormatting sqref="AB73">
    <cfRule type="cellIs" dxfId="7954" priority="136328" stopIfTrue="1" operator="equal">
      <formula>-1</formula>
    </cfRule>
  </conditionalFormatting>
  <conditionalFormatting sqref="AB73">
    <cfRule type="cellIs" dxfId="7953" priority="136329" stopIfTrue="1" operator="lessThan">
      <formula>0.5</formula>
    </cfRule>
  </conditionalFormatting>
  <conditionalFormatting sqref="AB73">
    <cfRule type="cellIs" dxfId="7952" priority="136330" stopIfTrue="1" operator="greaterThanOrEqual">
      <formula>0.5</formula>
    </cfRule>
  </conditionalFormatting>
  <conditionalFormatting sqref="AB74">
    <cfRule type="cellIs" dxfId="7951" priority="136331" stopIfTrue="1" operator="equal">
      <formula>-1</formula>
    </cfRule>
  </conditionalFormatting>
  <conditionalFormatting sqref="AB74">
    <cfRule type="cellIs" dxfId="7950" priority="136332" stopIfTrue="1" operator="lessThan">
      <formula>0.5</formula>
    </cfRule>
  </conditionalFormatting>
  <conditionalFormatting sqref="AB74">
    <cfRule type="cellIs" dxfId="7949" priority="136333" stopIfTrue="1" operator="greaterThanOrEqual">
      <formula>0.5</formula>
    </cfRule>
  </conditionalFormatting>
  <conditionalFormatting sqref="AB75">
    <cfRule type="cellIs" dxfId="7948" priority="136334" stopIfTrue="1" operator="equal">
      <formula>-1</formula>
    </cfRule>
  </conditionalFormatting>
  <conditionalFormatting sqref="AB75">
    <cfRule type="cellIs" dxfId="7947" priority="136335" stopIfTrue="1" operator="lessThan">
      <formula>0.5</formula>
    </cfRule>
  </conditionalFormatting>
  <conditionalFormatting sqref="AB75">
    <cfRule type="cellIs" dxfId="7946" priority="136336" stopIfTrue="1" operator="greaterThanOrEqual">
      <formula>0.5</formula>
    </cfRule>
  </conditionalFormatting>
  <conditionalFormatting sqref="AB76">
    <cfRule type="cellIs" dxfId="7945" priority="136337" stopIfTrue="1" operator="equal">
      <formula>-1</formula>
    </cfRule>
  </conditionalFormatting>
  <conditionalFormatting sqref="AB76">
    <cfRule type="cellIs" dxfId="7944" priority="136338" stopIfTrue="1" operator="lessThan">
      <formula>0.5</formula>
    </cfRule>
  </conditionalFormatting>
  <conditionalFormatting sqref="AB76">
    <cfRule type="cellIs" dxfId="7943" priority="136339" stopIfTrue="1" operator="greaterThanOrEqual">
      <formula>0.5</formula>
    </cfRule>
  </conditionalFormatting>
  <conditionalFormatting sqref="AB77">
    <cfRule type="cellIs" dxfId="7942" priority="136340" stopIfTrue="1" operator="equal">
      <formula>-1</formula>
    </cfRule>
  </conditionalFormatting>
  <conditionalFormatting sqref="AB77">
    <cfRule type="cellIs" dxfId="7941" priority="136341" stopIfTrue="1" operator="lessThan">
      <formula>0.5</formula>
    </cfRule>
  </conditionalFormatting>
  <conditionalFormatting sqref="AB77">
    <cfRule type="cellIs" dxfId="7940" priority="136342" stopIfTrue="1" operator="greaterThanOrEqual">
      <formula>0.5</formula>
    </cfRule>
  </conditionalFormatting>
  <conditionalFormatting sqref="AB78">
    <cfRule type="cellIs" dxfId="7939" priority="136343" stopIfTrue="1" operator="equal">
      <formula>-1</formula>
    </cfRule>
  </conditionalFormatting>
  <conditionalFormatting sqref="AB78">
    <cfRule type="cellIs" dxfId="7938" priority="136344" stopIfTrue="1" operator="lessThan">
      <formula>0.5</formula>
    </cfRule>
  </conditionalFormatting>
  <conditionalFormatting sqref="AB78">
    <cfRule type="cellIs" dxfId="7937" priority="136345" stopIfTrue="1" operator="greaterThanOrEqual">
      <formula>0.5</formula>
    </cfRule>
  </conditionalFormatting>
  <conditionalFormatting sqref="AB79">
    <cfRule type="cellIs" dxfId="7936" priority="136346" stopIfTrue="1" operator="equal">
      <formula>-1</formula>
    </cfRule>
  </conditionalFormatting>
  <conditionalFormatting sqref="AB79">
    <cfRule type="cellIs" dxfId="7935" priority="136347" stopIfTrue="1" operator="lessThan">
      <formula>0.5</formula>
    </cfRule>
  </conditionalFormatting>
  <conditionalFormatting sqref="AB79">
    <cfRule type="cellIs" dxfId="7934" priority="136348" stopIfTrue="1" operator="greaterThanOrEqual">
      <formula>0.5</formula>
    </cfRule>
  </conditionalFormatting>
  <conditionalFormatting sqref="AB80">
    <cfRule type="cellIs" dxfId="7933" priority="136349" stopIfTrue="1" operator="equal">
      <formula>-1</formula>
    </cfRule>
  </conditionalFormatting>
  <conditionalFormatting sqref="AB80">
    <cfRule type="cellIs" dxfId="7932" priority="136350" stopIfTrue="1" operator="lessThan">
      <formula>0.5</formula>
    </cfRule>
  </conditionalFormatting>
  <conditionalFormatting sqref="AB80">
    <cfRule type="cellIs" dxfId="7931" priority="136351" stopIfTrue="1" operator="greaterThanOrEqual">
      <formula>0.5</formula>
    </cfRule>
  </conditionalFormatting>
  <conditionalFormatting sqref="AB81">
    <cfRule type="cellIs" dxfId="7930" priority="136352" stopIfTrue="1" operator="equal">
      <formula>-1</formula>
    </cfRule>
  </conditionalFormatting>
  <conditionalFormatting sqref="AB81">
    <cfRule type="cellIs" dxfId="7929" priority="136353" stopIfTrue="1" operator="lessThan">
      <formula>0.5</formula>
    </cfRule>
  </conditionalFormatting>
  <conditionalFormatting sqref="AB81">
    <cfRule type="cellIs" dxfId="7928" priority="136354" stopIfTrue="1" operator="greaterThanOrEqual">
      <formula>0.5</formula>
    </cfRule>
  </conditionalFormatting>
  <conditionalFormatting sqref="AB82">
    <cfRule type="cellIs" dxfId="7927" priority="136355" stopIfTrue="1" operator="equal">
      <formula>-1</formula>
    </cfRule>
  </conditionalFormatting>
  <conditionalFormatting sqref="AB82">
    <cfRule type="cellIs" dxfId="7926" priority="136356" stopIfTrue="1" operator="lessThan">
      <formula>0.5</formula>
    </cfRule>
  </conditionalFormatting>
  <conditionalFormatting sqref="AB82">
    <cfRule type="cellIs" dxfId="7925" priority="136357" stopIfTrue="1" operator="greaterThanOrEqual">
      <formula>0.5</formula>
    </cfRule>
  </conditionalFormatting>
  <conditionalFormatting sqref="AB83">
    <cfRule type="cellIs" dxfId="7924" priority="136358" stopIfTrue="1" operator="equal">
      <formula>-1</formula>
    </cfRule>
  </conditionalFormatting>
  <conditionalFormatting sqref="AB83">
    <cfRule type="cellIs" dxfId="7923" priority="136359" stopIfTrue="1" operator="lessThan">
      <formula>0.5</formula>
    </cfRule>
  </conditionalFormatting>
  <conditionalFormatting sqref="AB83">
    <cfRule type="cellIs" dxfId="7922" priority="136360" stopIfTrue="1" operator="greaterThanOrEqual">
      <formula>0.5</formula>
    </cfRule>
  </conditionalFormatting>
  <conditionalFormatting sqref="AB84">
    <cfRule type="cellIs" dxfId="7921" priority="136361" stopIfTrue="1" operator="equal">
      <formula>-1</formula>
    </cfRule>
  </conditionalFormatting>
  <conditionalFormatting sqref="AB84">
    <cfRule type="cellIs" dxfId="7920" priority="136362" stopIfTrue="1" operator="lessThan">
      <formula>0.5</formula>
    </cfRule>
  </conditionalFormatting>
  <conditionalFormatting sqref="AB84">
    <cfRule type="cellIs" dxfId="7919" priority="136363" stopIfTrue="1" operator="greaterThanOrEqual">
      <formula>0.5</formula>
    </cfRule>
  </conditionalFormatting>
  <conditionalFormatting sqref="AB85">
    <cfRule type="cellIs" dxfId="7918" priority="136364" stopIfTrue="1" operator="equal">
      <formula>-1</formula>
    </cfRule>
  </conditionalFormatting>
  <conditionalFormatting sqref="AB85">
    <cfRule type="cellIs" dxfId="7917" priority="136365" stopIfTrue="1" operator="lessThan">
      <formula>0.5</formula>
    </cfRule>
  </conditionalFormatting>
  <conditionalFormatting sqref="AB85">
    <cfRule type="cellIs" dxfId="7916" priority="136366" stopIfTrue="1" operator="greaterThanOrEqual">
      <formula>0.5</formula>
    </cfRule>
  </conditionalFormatting>
  <conditionalFormatting sqref="AD65">
    <cfRule type="cellIs" dxfId="7915" priority="136367" stopIfTrue="1" operator="equal">
      <formula>-1</formula>
    </cfRule>
  </conditionalFormatting>
  <conditionalFormatting sqref="AD65">
    <cfRule type="cellIs" dxfId="7914" priority="136368" stopIfTrue="1" operator="lessThan">
      <formula>0.5</formula>
    </cfRule>
  </conditionalFormatting>
  <conditionalFormatting sqref="AD65">
    <cfRule type="cellIs" dxfId="7913" priority="136369" stopIfTrue="1" operator="greaterThanOrEqual">
      <formula>0.5</formula>
    </cfRule>
  </conditionalFormatting>
  <conditionalFormatting sqref="AD66">
    <cfRule type="cellIs" dxfId="7912" priority="136370" stopIfTrue="1" operator="equal">
      <formula>-1</formula>
    </cfRule>
  </conditionalFormatting>
  <conditionalFormatting sqref="AD66">
    <cfRule type="cellIs" dxfId="7911" priority="136371" stopIfTrue="1" operator="lessThan">
      <formula>0.5</formula>
    </cfRule>
  </conditionalFormatting>
  <conditionalFormatting sqref="AD66">
    <cfRule type="cellIs" dxfId="7910" priority="136372" stopIfTrue="1" operator="greaterThanOrEqual">
      <formula>0.5</formula>
    </cfRule>
  </conditionalFormatting>
  <conditionalFormatting sqref="AD67">
    <cfRule type="cellIs" dxfId="7909" priority="136373" stopIfTrue="1" operator="equal">
      <formula>-1</formula>
    </cfRule>
  </conditionalFormatting>
  <conditionalFormatting sqref="AD67">
    <cfRule type="cellIs" dxfId="7908" priority="136374" stopIfTrue="1" operator="lessThan">
      <formula>0.5</formula>
    </cfRule>
  </conditionalFormatting>
  <conditionalFormatting sqref="AD67">
    <cfRule type="cellIs" dxfId="7907" priority="136375" stopIfTrue="1" operator="greaterThanOrEqual">
      <formula>0.5</formula>
    </cfRule>
  </conditionalFormatting>
  <conditionalFormatting sqref="AD68">
    <cfRule type="cellIs" dxfId="7906" priority="136376" stopIfTrue="1" operator="equal">
      <formula>-1</formula>
    </cfRule>
  </conditionalFormatting>
  <conditionalFormatting sqref="AD68">
    <cfRule type="cellIs" dxfId="7905" priority="136377" stopIfTrue="1" operator="lessThan">
      <formula>0.5</formula>
    </cfRule>
  </conditionalFormatting>
  <conditionalFormatting sqref="AD68">
    <cfRule type="cellIs" dxfId="7904" priority="136378" stopIfTrue="1" operator="greaterThanOrEqual">
      <formula>0.5</formula>
    </cfRule>
  </conditionalFormatting>
  <conditionalFormatting sqref="AD69">
    <cfRule type="cellIs" dxfId="7903" priority="136379" stopIfTrue="1" operator="equal">
      <formula>-1</formula>
    </cfRule>
  </conditionalFormatting>
  <conditionalFormatting sqref="AD69">
    <cfRule type="cellIs" dxfId="7902" priority="136380" stopIfTrue="1" operator="lessThan">
      <formula>0.5</formula>
    </cfRule>
  </conditionalFormatting>
  <conditionalFormatting sqref="AD69">
    <cfRule type="cellIs" dxfId="7901" priority="136381" stopIfTrue="1" operator="greaterThanOrEqual">
      <formula>0.5</formula>
    </cfRule>
  </conditionalFormatting>
  <conditionalFormatting sqref="AD70">
    <cfRule type="cellIs" dxfId="7900" priority="136382" stopIfTrue="1" operator="equal">
      <formula>-1</formula>
    </cfRule>
  </conditionalFormatting>
  <conditionalFormatting sqref="AD70">
    <cfRule type="cellIs" dxfId="7899" priority="136383" stopIfTrue="1" operator="lessThan">
      <formula>0.5</formula>
    </cfRule>
  </conditionalFormatting>
  <conditionalFormatting sqref="AD70">
    <cfRule type="cellIs" dxfId="7898" priority="136384" stopIfTrue="1" operator="greaterThanOrEqual">
      <formula>0.5</formula>
    </cfRule>
  </conditionalFormatting>
  <conditionalFormatting sqref="AD71">
    <cfRule type="cellIs" dxfId="7897" priority="136385" stopIfTrue="1" operator="equal">
      <formula>-1</formula>
    </cfRule>
  </conditionalFormatting>
  <conditionalFormatting sqref="AD71">
    <cfRule type="cellIs" dxfId="7896" priority="136386" stopIfTrue="1" operator="lessThan">
      <formula>0.5</formula>
    </cfRule>
  </conditionalFormatting>
  <conditionalFormatting sqref="AD71">
    <cfRule type="cellIs" dxfId="7895" priority="136387" stopIfTrue="1" operator="greaterThanOrEqual">
      <formula>0.5</formula>
    </cfRule>
  </conditionalFormatting>
  <conditionalFormatting sqref="AD72">
    <cfRule type="cellIs" dxfId="7894" priority="136388" stopIfTrue="1" operator="equal">
      <formula>-1</formula>
    </cfRule>
  </conditionalFormatting>
  <conditionalFormatting sqref="AD72">
    <cfRule type="cellIs" dxfId="7893" priority="136389" stopIfTrue="1" operator="lessThan">
      <formula>0.5</formula>
    </cfRule>
  </conditionalFormatting>
  <conditionalFormatting sqref="AD72">
    <cfRule type="cellIs" dxfId="7892" priority="136390" stopIfTrue="1" operator="greaterThanOrEqual">
      <formula>0.5</formula>
    </cfRule>
  </conditionalFormatting>
  <conditionalFormatting sqref="AD73">
    <cfRule type="cellIs" dxfId="7891" priority="136391" stopIfTrue="1" operator="equal">
      <formula>-1</formula>
    </cfRule>
  </conditionalFormatting>
  <conditionalFormatting sqref="AD73">
    <cfRule type="cellIs" dxfId="7890" priority="136392" stopIfTrue="1" operator="lessThan">
      <formula>0.5</formula>
    </cfRule>
  </conditionalFormatting>
  <conditionalFormatting sqref="AD73">
    <cfRule type="cellIs" dxfId="7889" priority="136393" stopIfTrue="1" operator="greaterThanOrEqual">
      <formula>0.5</formula>
    </cfRule>
  </conditionalFormatting>
  <conditionalFormatting sqref="AD74">
    <cfRule type="cellIs" dxfId="7888" priority="136394" stopIfTrue="1" operator="equal">
      <formula>-1</formula>
    </cfRule>
  </conditionalFormatting>
  <conditionalFormatting sqref="AD74">
    <cfRule type="cellIs" dxfId="7887" priority="136395" stopIfTrue="1" operator="lessThan">
      <formula>0.5</formula>
    </cfRule>
  </conditionalFormatting>
  <conditionalFormatting sqref="AD74">
    <cfRule type="cellIs" dxfId="7886" priority="136396" stopIfTrue="1" operator="greaterThanOrEqual">
      <formula>0.5</formula>
    </cfRule>
  </conditionalFormatting>
  <conditionalFormatting sqref="AD75">
    <cfRule type="cellIs" dxfId="7885" priority="136397" stopIfTrue="1" operator="equal">
      <formula>-1</formula>
    </cfRule>
  </conditionalFormatting>
  <conditionalFormatting sqref="AD75">
    <cfRule type="cellIs" dxfId="7884" priority="136398" stopIfTrue="1" operator="lessThan">
      <formula>0.5</formula>
    </cfRule>
  </conditionalFormatting>
  <conditionalFormatting sqref="AD75">
    <cfRule type="cellIs" dxfId="7883" priority="136399" stopIfTrue="1" operator="greaterThanOrEqual">
      <formula>0.5</formula>
    </cfRule>
  </conditionalFormatting>
  <conditionalFormatting sqref="AD76">
    <cfRule type="cellIs" dxfId="7882" priority="136400" stopIfTrue="1" operator="equal">
      <formula>-1</formula>
    </cfRule>
  </conditionalFormatting>
  <conditionalFormatting sqref="AD76">
    <cfRule type="cellIs" dxfId="7881" priority="136401" stopIfTrue="1" operator="lessThan">
      <formula>0.5</formula>
    </cfRule>
  </conditionalFormatting>
  <conditionalFormatting sqref="AD76">
    <cfRule type="cellIs" dxfId="7880" priority="136402" stopIfTrue="1" operator="greaterThanOrEqual">
      <formula>0.5</formula>
    </cfRule>
  </conditionalFormatting>
  <conditionalFormatting sqref="AD77">
    <cfRule type="cellIs" dxfId="7879" priority="136403" stopIfTrue="1" operator="equal">
      <formula>-1</formula>
    </cfRule>
  </conditionalFormatting>
  <conditionalFormatting sqref="AD77">
    <cfRule type="cellIs" dxfId="7878" priority="136404" stopIfTrue="1" operator="lessThan">
      <formula>0.5</formula>
    </cfRule>
  </conditionalFormatting>
  <conditionalFormatting sqref="AD77">
    <cfRule type="cellIs" dxfId="7877" priority="136405" stopIfTrue="1" operator="greaterThanOrEqual">
      <formula>0.5</formula>
    </cfRule>
  </conditionalFormatting>
  <conditionalFormatting sqref="AD78">
    <cfRule type="cellIs" dxfId="7876" priority="136406" stopIfTrue="1" operator="equal">
      <formula>-1</formula>
    </cfRule>
  </conditionalFormatting>
  <conditionalFormatting sqref="AD78">
    <cfRule type="cellIs" dxfId="7875" priority="136407" stopIfTrue="1" operator="lessThan">
      <formula>0.5</formula>
    </cfRule>
  </conditionalFormatting>
  <conditionalFormatting sqref="AD78">
    <cfRule type="cellIs" dxfId="7874" priority="136408" stopIfTrue="1" operator="greaterThanOrEqual">
      <formula>0.5</formula>
    </cfRule>
  </conditionalFormatting>
  <conditionalFormatting sqref="AD79">
    <cfRule type="cellIs" dxfId="7873" priority="136409" stopIfTrue="1" operator="equal">
      <formula>-1</formula>
    </cfRule>
  </conditionalFormatting>
  <conditionalFormatting sqref="AD79">
    <cfRule type="cellIs" dxfId="7872" priority="136410" stopIfTrue="1" operator="lessThan">
      <formula>0.5</formula>
    </cfRule>
  </conditionalFormatting>
  <conditionalFormatting sqref="AD79">
    <cfRule type="cellIs" dxfId="7871" priority="136411" stopIfTrue="1" operator="greaterThanOrEqual">
      <formula>0.5</formula>
    </cfRule>
  </conditionalFormatting>
  <conditionalFormatting sqref="AD80">
    <cfRule type="cellIs" dxfId="7870" priority="136412" stopIfTrue="1" operator="equal">
      <formula>-1</formula>
    </cfRule>
  </conditionalFormatting>
  <conditionalFormatting sqref="AD80">
    <cfRule type="cellIs" dxfId="7869" priority="136413" stopIfTrue="1" operator="lessThan">
      <formula>0.5</formula>
    </cfRule>
  </conditionalFormatting>
  <conditionalFormatting sqref="AD80">
    <cfRule type="cellIs" dxfId="7868" priority="136414" stopIfTrue="1" operator="greaterThanOrEqual">
      <formula>0.5</formula>
    </cfRule>
  </conditionalFormatting>
  <conditionalFormatting sqref="AD81">
    <cfRule type="cellIs" dxfId="7867" priority="136415" stopIfTrue="1" operator="equal">
      <formula>-1</formula>
    </cfRule>
  </conditionalFormatting>
  <conditionalFormatting sqref="AD81">
    <cfRule type="cellIs" dxfId="7866" priority="136416" stopIfTrue="1" operator="lessThan">
      <formula>0.5</formula>
    </cfRule>
  </conditionalFormatting>
  <conditionalFormatting sqref="AD81">
    <cfRule type="cellIs" dxfId="7865" priority="136417" stopIfTrue="1" operator="greaterThanOrEqual">
      <formula>0.5</formula>
    </cfRule>
  </conditionalFormatting>
  <conditionalFormatting sqref="AD82">
    <cfRule type="cellIs" dxfId="7864" priority="136418" stopIfTrue="1" operator="equal">
      <formula>-1</formula>
    </cfRule>
  </conditionalFormatting>
  <conditionalFormatting sqref="AD82">
    <cfRule type="cellIs" dxfId="7863" priority="136419" stopIfTrue="1" operator="lessThan">
      <formula>0.5</formula>
    </cfRule>
  </conditionalFormatting>
  <conditionalFormatting sqref="AD82">
    <cfRule type="cellIs" dxfId="7862" priority="136420" stopIfTrue="1" operator="greaterThanOrEqual">
      <formula>0.5</formula>
    </cfRule>
  </conditionalFormatting>
  <conditionalFormatting sqref="AD83">
    <cfRule type="cellIs" dxfId="7861" priority="136421" stopIfTrue="1" operator="equal">
      <formula>-1</formula>
    </cfRule>
  </conditionalFormatting>
  <conditionalFormatting sqref="AD83">
    <cfRule type="cellIs" dxfId="7860" priority="136422" stopIfTrue="1" operator="lessThan">
      <formula>0.5</formula>
    </cfRule>
  </conditionalFormatting>
  <conditionalFormatting sqref="AD83">
    <cfRule type="cellIs" dxfId="7859" priority="136423" stopIfTrue="1" operator="greaterThanOrEqual">
      <formula>0.5</formula>
    </cfRule>
  </conditionalFormatting>
  <conditionalFormatting sqref="AD84">
    <cfRule type="cellIs" dxfId="7858" priority="136424" stopIfTrue="1" operator="equal">
      <formula>-1</formula>
    </cfRule>
  </conditionalFormatting>
  <conditionalFormatting sqref="AD84">
    <cfRule type="cellIs" dxfId="7857" priority="136425" stopIfTrue="1" operator="lessThan">
      <formula>0.5</formula>
    </cfRule>
  </conditionalFormatting>
  <conditionalFormatting sqref="AD84">
    <cfRule type="cellIs" dxfId="7856" priority="136426" stopIfTrue="1" operator="greaterThanOrEqual">
      <formula>0.5</formula>
    </cfRule>
  </conditionalFormatting>
  <conditionalFormatting sqref="AD85">
    <cfRule type="cellIs" dxfId="7855" priority="136427" stopIfTrue="1" operator="equal">
      <formula>-1</formula>
    </cfRule>
  </conditionalFormatting>
  <conditionalFormatting sqref="AD85">
    <cfRule type="cellIs" dxfId="7854" priority="136428" stopIfTrue="1" operator="lessThan">
      <formula>0.5</formula>
    </cfRule>
  </conditionalFormatting>
  <conditionalFormatting sqref="AD85">
    <cfRule type="cellIs" dxfId="7853" priority="136429" stopIfTrue="1" operator="greaterThanOrEqual">
      <formula>0.5</formula>
    </cfRule>
  </conditionalFormatting>
  <conditionalFormatting sqref="AF65">
    <cfRule type="cellIs" dxfId="7852" priority="136430" stopIfTrue="1" operator="equal">
      <formula>-1</formula>
    </cfRule>
  </conditionalFormatting>
  <conditionalFormatting sqref="AF65">
    <cfRule type="cellIs" dxfId="7851" priority="136431" stopIfTrue="1" operator="lessThan">
      <formula>0.5</formula>
    </cfRule>
  </conditionalFormatting>
  <conditionalFormatting sqref="AF65">
    <cfRule type="cellIs" dxfId="7850" priority="136432" stopIfTrue="1" operator="greaterThanOrEqual">
      <formula>0.5</formula>
    </cfRule>
  </conditionalFormatting>
  <conditionalFormatting sqref="AF66">
    <cfRule type="cellIs" dxfId="7849" priority="136433" stopIfTrue="1" operator="equal">
      <formula>-1</formula>
    </cfRule>
  </conditionalFormatting>
  <conditionalFormatting sqref="AF66">
    <cfRule type="cellIs" dxfId="7848" priority="136434" stopIfTrue="1" operator="lessThan">
      <formula>0.5</formula>
    </cfRule>
  </conditionalFormatting>
  <conditionalFormatting sqref="AF66">
    <cfRule type="cellIs" dxfId="7847" priority="136435" stopIfTrue="1" operator="greaterThanOrEqual">
      <formula>0.5</formula>
    </cfRule>
  </conditionalFormatting>
  <conditionalFormatting sqref="AF67">
    <cfRule type="cellIs" dxfId="7846" priority="136436" stopIfTrue="1" operator="equal">
      <formula>-1</formula>
    </cfRule>
  </conditionalFormatting>
  <conditionalFormatting sqref="AF67">
    <cfRule type="cellIs" dxfId="7845" priority="136437" stopIfTrue="1" operator="lessThan">
      <formula>0.5</formula>
    </cfRule>
  </conditionalFormatting>
  <conditionalFormatting sqref="AF67">
    <cfRule type="cellIs" dxfId="7844" priority="136438" stopIfTrue="1" operator="greaterThanOrEqual">
      <formula>0.5</formula>
    </cfRule>
  </conditionalFormatting>
  <conditionalFormatting sqref="AF68">
    <cfRule type="cellIs" dxfId="7843" priority="136439" stopIfTrue="1" operator="equal">
      <formula>-1</formula>
    </cfRule>
  </conditionalFormatting>
  <conditionalFormatting sqref="AF68">
    <cfRule type="cellIs" dxfId="7842" priority="136440" stopIfTrue="1" operator="lessThan">
      <formula>0.5</formula>
    </cfRule>
  </conditionalFormatting>
  <conditionalFormatting sqref="AF68">
    <cfRule type="cellIs" dxfId="7841" priority="136441" stopIfTrue="1" operator="greaterThanOrEqual">
      <formula>0.5</formula>
    </cfRule>
  </conditionalFormatting>
  <conditionalFormatting sqref="AF69">
    <cfRule type="cellIs" dxfId="7840" priority="136442" stopIfTrue="1" operator="equal">
      <formula>-1</formula>
    </cfRule>
  </conditionalFormatting>
  <conditionalFormatting sqref="AF69">
    <cfRule type="cellIs" dxfId="7839" priority="136443" stopIfTrue="1" operator="lessThan">
      <formula>0.5</formula>
    </cfRule>
  </conditionalFormatting>
  <conditionalFormatting sqref="AF69">
    <cfRule type="cellIs" dxfId="7838" priority="136444" stopIfTrue="1" operator="greaterThanOrEqual">
      <formula>0.5</formula>
    </cfRule>
  </conditionalFormatting>
  <conditionalFormatting sqref="AF70">
    <cfRule type="cellIs" dxfId="7837" priority="136445" stopIfTrue="1" operator="equal">
      <formula>-1</formula>
    </cfRule>
  </conditionalFormatting>
  <conditionalFormatting sqref="AF70">
    <cfRule type="cellIs" dxfId="7836" priority="136446" stopIfTrue="1" operator="lessThan">
      <formula>0.5</formula>
    </cfRule>
  </conditionalFormatting>
  <conditionalFormatting sqref="AF70">
    <cfRule type="cellIs" dxfId="7835" priority="136447" stopIfTrue="1" operator="greaterThanOrEqual">
      <formula>0.5</formula>
    </cfRule>
  </conditionalFormatting>
  <conditionalFormatting sqref="AF71">
    <cfRule type="cellIs" dxfId="7834" priority="136448" stopIfTrue="1" operator="equal">
      <formula>-1</formula>
    </cfRule>
  </conditionalFormatting>
  <conditionalFormatting sqref="AF71">
    <cfRule type="cellIs" dxfId="7833" priority="136449" stopIfTrue="1" operator="lessThan">
      <formula>0.5</formula>
    </cfRule>
  </conditionalFormatting>
  <conditionalFormatting sqref="AF71">
    <cfRule type="cellIs" dxfId="7832" priority="136450" stopIfTrue="1" operator="greaterThanOrEqual">
      <formula>0.5</formula>
    </cfRule>
  </conditionalFormatting>
  <conditionalFormatting sqref="AF72">
    <cfRule type="cellIs" dxfId="7831" priority="136451" stopIfTrue="1" operator="equal">
      <formula>-1</formula>
    </cfRule>
  </conditionalFormatting>
  <conditionalFormatting sqref="AF72">
    <cfRule type="cellIs" dxfId="7830" priority="136452" stopIfTrue="1" operator="lessThan">
      <formula>0.5</formula>
    </cfRule>
  </conditionalFormatting>
  <conditionalFormatting sqref="AF72">
    <cfRule type="cellIs" dxfId="7829" priority="136453" stopIfTrue="1" operator="greaterThanOrEqual">
      <formula>0.5</formula>
    </cfRule>
  </conditionalFormatting>
  <conditionalFormatting sqref="AF73">
    <cfRule type="cellIs" dxfId="7828" priority="136454" stopIfTrue="1" operator="equal">
      <formula>-1</formula>
    </cfRule>
  </conditionalFormatting>
  <conditionalFormatting sqref="AF73">
    <cfRule type="cellIs" dxfId="7827" priority="136455" stopIfTrue="1" operator="lessThan">
      <formula>0.5</formula>
    </cfRule>
  </conditionalFormatting>
  <conditionalFormatting sqref="AF73">
    <cfRule type="cellIs" dxfId="7826" priority="136456" stopIfTrue="1" operator="greaterThanOrEqual">
      <formula>0.5</formula>
    </cfRule>
  </conditionalFormatting>
  <conditionalFormatting sqref="AF74">
    <cfRule type="cellIs" dxfId="7825" priority="136457" stopIfTrue="1" operator="equal">
      <formula>-1</formula>
    </cfRule>
  </conditionalFormatting>
  <conditionalFormatting sqref="AF74">
    <cfRule type="cellIs" dxfId="7824" priority="136458" stopIfTrue="1" operator="lessThan">
      <formula>0.5</formula>
    </cfRule>
  </conditionalFormatting>
  <conditionalFormatting sqref="AF74">
    <cfRule type="cellIs" dxfId="7823" priority="136459" stopIfTrue="1" operator="greaterThanOrEqual">
      <formula>0.5</formula>
    </cfRule>
  </conditionalFormatting>
  <conditionalFormatting sqref="AF75">
    <cfRule type="cellIs" dxfId="7822" priority="136460" stopIfTrue="1" operator="equal">
      <formula>-1</formula>
    </cfRule>
  </conditionalFormatting>
  <conditionalFormatting sqref="AF75">
    <cfRule type="cellIs" dxfId="7821" priority="136461" stopIfTrue="1" operator="lessThan">
      <formula>0.5</formula>
    </cfRule>
  </conditionalFormatting>
  <conditionalFormatting sqref="AF75">
    <cfRule type="cellIs" dxfId="7820" priority="136462" stopIfTrue="1" operator="greaterThanOrEqual">
      <formula>0.5</formula>
    </cfRule>
  </conditionalFormatting>
  <conditionalFormatting sqref="AF76">
    <cfRule type="cellIs" dxfId="7819" priority="136463" stopIfTrue="1" operator="equal">
      <formula>-1</formula>
    </cfRule>
  </conditionalFormatting>
  <conditionalFormatting sqref="AF76">
    <cfRule type="cellIs" dxfId="7818" priority="136464" stopIfTrue="1" operator="lessThan">
      <formula>0.5</formula>
    </cfRule>
  </conditionalFormatting>
  <conditionalFormatting sqref="AF76">
    <cfRule type="cellIs" dxfId="7817" priority="136465" stopIfTrue="1" operator="greaterThanOrEqual">
      <formula>0.5</formula>
    </cfRule>
  </conditionalFormatting>
  <conditionalFormatting sqref="AF77">
    <cfRule type="cellIs" dxfId="7816" priority="136466" stopIfTrue="1" operator="equal">
      <formula>-1</formula>
    </cfRule>
  </conditionalFormatting>
  <conditionalFormatting sqref="AF77">
    <cfRule type="cellIs" dxfId="7815" priority="136467" stopIfTrue="1" operator="lessThan">
      <formula>0.5</formula>
    </cfRule>
  </conditionalFormatting>
  <conditionalFormatting sqref="AF77">
    <cfRule type="cellIs" dxfId="7814" priority="136468" stopIfTrue="1" operator="greaterThanOrEqual">
      <formula>0.5</formula>
    </cfRule>
  </conditionalFormatting>
  <conditionalFormatting sqref="AF78">
    <cfRule type="cellIs" dxfId="7813" priority="136469" stopIfTrue="1" operator="equal">
      <formula>-1</formula>
    </cfRule>
  </conditionalFormatting>
  <conditionalFormatting sqref="AF78">
    <cfRule type="cellIs" dxfId="7812" priority="136470" stopIfTrue="1" operator="lessThan">
      <formula>0.5</formula>
    </cfRule>
  </conditionalFormatting>
  <conditionalFormatting sqref="AF78">
    <cfRule type="cellIs" dxfId="7811" priority="136471" stopIfTrue="1" operator="greaterThanOrEqual">
      <formula>0.5</formula>
    </cfRule>
  </conditionalFormatting>
  <conditionalFormatting sqref="AF79">
    <cfRule type="cellIs" dxfId="7810" priority="136472" stopIfTrue="1" operator="equal">
      <formula>-1</formula>
    </cfRule>
  </conditionalFormatting>
  <conditionalFormatting sqref="AF79">
    <cfRule type="cellIs" dxfId="7809" priority="136473" stopIfTrue="1" operator="lessThan">
      <formula>0.5</formula>
    </cfRule>
  </conditionalFormatting>
  <conditionalFormatting sqref="AF79">
    <cfRule type="cellIs" dxfId="7808" priority="136474" stopIfTrue="1" operator="greaterThanOrEqual">
      <formula>0.5</formula>
    </cfRule>
  </conditionalFormatting>
  <conditionalFormatting sqref="AF80">
    <cfRule type="cellIs" dxfId="7807" priority="136475" stopIfTrue="1" operator="equal">
      <formula>-1</formula>
    </cfRule>
  </conditionalFormatting>
  <conditionalFormatting sqref="AF80">
    <cfRule type="cellIs" dxfId="7806" priority="136476" stopIfTrue="1" operator="lessThan">
      <formula>0.5</formula>
    </cfRule>
  </conditionalFormatting>
  <conditionalFormatting sqref="AF80">
    <cfRule type="cellIs" dxfId="7805" priority="136477" stopIfTrue="1" operator="greaterThanOrEqual">
      <formula>0.5</formula>
    </cfRule>
  </conditionalFormatting>
  <conditionalFormatting sqref="AF81">
    <cfRule type="cellIs" dxfId="7804" priority="136478" stopIfTrue="1" operator="equal">
      <formula>-1</formula>
    </cfRule>
  </conditionalFormatting>
  <conditionalFormatting sqref="AF81">
    <cfRule type="cellIs" dxfId="7803" priority="136479" stopIfTrue="1" operator="lessThan">
      <formula>0.5</formula>
    </cfRule>
  </conditionalFormatting>
  <conditionalFormatting sqref="AF81">
    <cfRule type="cellIs" dxfId="7802" priority="136480" stopIfTrue="1" operator="greaterThanOrEqual">
      <formula>0.5</formula>
    </cfRule>
  </conditionalFormatting>
  <conditionalFormatting sqref="AF82">
    <cfRule type="cellIs" dxfId="7801" priority="136481" stopIfTrue="1" operator="equal">
      <formula>-1</formula>
    </cfRule>
  </conditionalFormatting>
  <conditionalFormatting sqref="AF82">
    <cfRule type="cellIs" dxfId="7800" priority="136482" stopIfTrue="1" operator="lessThan">
      <formula>0.5</formula>
    </cfRule>
  </conditionalFormatting>
  <conditionalFormatting sqref="AF82">
    <cfRule type="cellIs" dxfId="7799" priority="136483" stopIfTrue="1" operator="greaterThanOrEqual">
      <formula>0.5</formula>
    </cfRule>
  </conditionalFormatting>
  <conditionalFormatting sqref="AF83">
    <cfRule type="cellIs" dxfId="7798" priority="136484" stopIfTrue="1" operator="equal">
      <formula>-1</formula>
    </cfRule>
  </conditionalFormatting>
  <conditionalFormatting sqref="AF83">
    <cfRule type="cellIs" dxfId="7797" priority="136485" stopIfTrue="1" operator="lessThan">
      <formula>0.5</formula>
    </cfRule>
  </conditionalFormatting>
  <conditionalFormatting sqref="AF83">
    <cfRule type="cellIs" dxfId="7796" priority="136486" stopIfTrue="1" operator="greaterThanOrEqual">
      <formula>0.5</formula>
    </cfRule>
  </conditionalFormatting>
  <conditionalFormatting sqref="AF84">
    <cfRule type="cellIs" dxfId="7795" priority="136487" stopIfTrue="1" operator="equal">
      <formula>-1</formula>
    </cfRule>
  </conditionalFormatting>
  <conditionalFormatting sqref="AF84">
    <cfRule type="cellIs" dxfId="7794" priority="136488" stopIfTrue="1" operator="lessThan">
      <formula>0.5</formula>
    </cfRule>
  </conditionalFormatting>
  <conditionalFormatting sqref="AF84">
    <cfRule type="cellIs" dxfId="7793" priority="136489" stopIfTrue="1" operator="greaterThanOrEqual">
      <formula>0.5</formula>
    </cfRule>
  </conditionalFormatting>
  <conditionalFormatting sqref="AF85">
    <cfRule type="cellIs" dxfId="7792" priority="136490" stopIfTrue="1" operator="equal">
      <formula>-1</formula>
    </cfRule>
  </conditionalFormatting>
  <conditionalFormatting sqref="AF85">
    <cfRule type="cellIs" dxfId="7791" priority="136491" stopIfTrue="1" operator="lessThan">
      <formula>0.5</formula>
    </cfRule>
  </conditionalFormatting>
  <conditionalFormatting sqref="AF85">
    <cfRule type="cellIs" dxfId="7790" priority="136492" stopIfTrue="1" operator="greaterThanOrEqual">
      <formula>0.5</formula>
    </cfRule>
  </conditionalFormatting>
  <conditionalFormatting sqref="AH65">
    <cfRule type="cellIs" dxfId="7789" priority="136493" stopIfTrue="1" operator="equal">
      <formula>-1</formula>
    </cfRule>
  </conditionalFormatting>
  <conditionalFormatting sqref="AH65">
    <cfRule type="cellIs" dxfId="7788" priority="136494" stopIfTrue="1" operator="lessThan">
      <formula>0.5</formula>
    </cfRule>
  </conditionalFormatting>
  <conditionalFormatting sqref="AH65">
    <cfRule type="cellIs" dxfId="7787" priority="136495" stopIfTrue="1" operator="greaterThanOrEqual">
      <formula>0.5</formula>
    </cfRule>
  </conditionalFormatting>
  <conditionalFormatting sqref="AH66">
    <cfRule type="cellIs" dxfId="7786" priority="136496" stopIfTrue="1" operator="equal">
      <formula>-1</formula>
    </cfRule>
  </conditionalFormatting>
  <conditionalFormatting sqref="AH66">
    <cfRule type="cellIs" dxfId="7785" priority="136497" stopIfTrue="1" operator="lessThan">
      <formula>0.5</formula>
    </cfRule>
  </conditionalFormatting>
  <conditionalFormatting sqref="AH66">
    <cfRule type="cellIs" dxfId="7784" priority="136498" stopIfTrue="1" operator="greaterThanOrEqual">
      <formula>0.5</formula>
    </cfRule>
  </conditionalFormatting>
  <conditionalFormatting sqref="AH67">
    <cfRule type="cellIs" dxfId="7783" priority="136499" stopIfTrue="1" operator="equal">
      <formula>-1</formula>
    </cfRule>
  </conditionalFormatting>
  <conditionalFormatting sqref="AH67">
    <cfRule type="cellIs" dxfId="7782" priority="136500" stopIfTrue="1" operator="lessThan">
      <formula>0.5</formula>
    </cfRule>
  </conditionalFormatting>
  <conditionalFormatting sqref="AH67">
    <cfRule type="cellIs" dxfId="7781" priority="136501" stopIfTrue="1" operator="greaterThanOrEqual">
      <formula>0.5</formula>
    </cfRule>
  </conditionalFormatting>
  <conditionalFormatting sqref="AH68">
    <cfRule type="cellIs" dxfId="7780" priority="136502" stopIfTrue="1" operator="equal">
      <formula>-1</formula>
    </cfRule>
  </conditionalFormatting>
  <conditionalFormatting sqref="AH68">
    <cfRule type="cellIs" dxfId="7779" priority="136503" stopIfTrue="1" operator="lessThan">
      <formula>0.5</formula>
    </cfRule>
  </conditionalFormatting>
  <conditionalFormatting sqref="AH68">
    <cfRule type="cellIs" dxfId="7778" priority="136504" stopIfTrue="1" operator="greaterThanOrEqual">
      <formula>0.5</formula>
    </cfRule>
  </conditionalFormatting>
  <conditionalFormatting sqref="AH69">
    <cfRule type="cellIs" dxfId="7777" priority="136505" stopIfTrue="1" operator="equal">
      <formula>-1</formula>
    </cfRule>
  </conditionalFormatting>
  <conditionalFormatting sqref="AH69">
    <cfRule type="cellIs" dxfId="7776" priority="136506" stopIfTrue="1" operator="lessThan">
      <formula>0.5</formula>
    </cfRule>
  </conditionalFormatting>
  <conditionalFormatting sqref="AH69">
    <cfRule type="cellIs" dxfId="7775" priority="136507" stopIfTrue="1" operator="greaterThanOrEqual">
      <formula>0.5</formula>
    </cfRule>
  </conditionalFormatting>
  <conditionalFormatting sqref="AH70">
    <cfRule type="cellIs" dxfId="7774" priority="136508" stopIfTrue="1" operator="equal">
      <formula>-1</formula>
    </cfRule>
  </conditionalFormatting>
  <conditionalFormatting sqref="AH70">
    <cfRule type="cellIs" dxfId="7773" priority="136509" stopIfTrue="1" operator="lessThan">
      <formula>0.5</formula>
    </cfRule>
  </conditionalFormatting>
  <conditionalFormatting sqref="AH70">
    <cfRule type="cellIs" dxfId="7772" priority="136510" stopIfTrue="1" operator="greaterThanOrEqual">
      <formula>0.5</formula>
    </cfRule>
  </conditionalFormatting>
  <conditionalFormatting sqref="AH71">
    <cfRule type="cellIs" dxfId="7771" priority="136511" stopIfTrue="1" operator="equal">
      <formula>-1</formula>
    </cfRule>
  </conditionalFormatting>
  <conditionalFormatting sqref="AH71">
    <cfRule type="cellIs" dxfId="7770" priority="136512" stopIfTrue="1" operator="lessThan">
      <formula>0.5</formula>
    </cfRule>
  </conditionalFormatting>
  <conditionalFormatting sqref="AH71">
    <cfRule type="cellIs" dxfId="7769" priority="136513" stopIfTrue="1" operator="greaterThanOrEqual">
      <formula>0.5</formula>
    </cfRule>
  </conditionalFormatting>
  <conditionalFormatting sqref="AH72">
    <cfRule type="cellIs" dxfId="7768" priority="136514" stopIfTrue="1" operator="equal">
      <formula>-1</formula>
    </cfRule>
  </conditionalFormatting>
  <conditionalFormatting sqref="AH72">
    <cfRule type="cellIs" dxfId="7767" priority="136515" stopIfTrue="1" operator="lessThan">
      <formula>0.5</formula>
    </cfRule>
  </conditionalFormatting>
  <conditionalFormatting sqref="AH72">
    <cfRule type="cellIs" dxfId="7766" priority="136516" stopIfTrue="1" operator="greaterThanOrEqual">
      <formula>0.5</formula>
    </cfRule>
  </conditionalFormatting>
  <conditionalFormatting sqref="AH73">
    <cfRule type="cellIs" dxfId="7765" priority="136517" stopIfTrue="1" operator="equal">
      <formula>-1</formula>
    </cfRule>
  </conditionalFormatting>
  <conditionalFormatting sqref="AH73">
    <cfRule type="cellIs" dxfId="7764" priority="136518" stopIfTrue="1" operator="lessThan">
      <formula>0.5</formula>
    </cfRule>
  </conditionalFormatting>
  <conditionalFormatting sqref="AH73">
    <cfRule type="cellIs" dxfId="7763" priority="136519" stopIfTrue="1" operator="greaterThanOrEqual">
      <formula>0.5</formula>
    </cfRule>
  </conditionalFormatting>
  <conditionalFormatting sqref="AH74">
    <cfRule type="cellIs" dxfId="7762" priority="136520" stopIfTrue="1" operator="equal">
      <formula>-1</formula>
    </cfRule>
  </conditionalFormatting>
  <conditionalFormatting sqref="AH74">
    <cfRule type="cellIs" dxfId="7761" priority="136521" stopIfTrue="1" operator="lessThan">
      <formula>0.5</formula>
    </cfRule>
  </conditionalFormatting>
  <conditionalFormatting sqref="AH74">
    <cfRule type="cellIs" dxfId="7760" priority="136522" stopIfTrue="1" operator="greaterThanOrEqual">
      <formula>0.5</formula>
    </cfRule>
  </conditionalFormatting>
  <conditionalFormatting sqref="AH75">
    <cfRule type="cellIs" dxfId="7759" priority="136523" stopIfTrue="1" operator="equal">
      <formula>-1</formula>
    </cfRule>
  </conditionalFormatting>
  <conditionalFormatting sqref="AH75">
    <cfRule type="cellIs" dxfId="7758" priority="136524" stopIfTrue="1" operator="lessThan">
      <formula>0.5</formula>
    </cfRule>
  </conditionalFormatting>
  <conditionalFormatting sqref="AH75">
    <cfRule type="cellIs" dxfId="7757" priority="136525" stopIfTrue="1" operator="greaterThanOrEqual">
      <formula>0.5</formula>
    </cfRule>
  </conditionalFormatting>
  <conditionalFormatting sqref="AH76">
    <cfRule type="cellIs" dxfId="7756" priority="136526" stopIfTrue="1" operator="equal">
      <formula>-1</formula>
    </cfRule>
  </conditionalFormatting>
  <conditionalFormatting sqref="AH76">
    <cfRule type="cellIs" dxfId="7755" priority="136527" stopIfTrue="1" operator="lessThan">
      <formula>0.5</formula>
    </cfRule>
  </conditionalFormatting>
  <conditionalFormatting sqref="AH76">
    <cfRule type="cellIs" dxfId="7754" priority="136528" stopIfTrue="1" operator="greaterThanOrEqual">
      <formula>0.5</formula>
    </cfRule>
  </conditionalFormatting>
  <conditionalFormatting sqref="AH77">
    <cfRule type="cellIs" dxfId="7753" priority="136529" stopIfTrue="1" operator="equal">
      <formula>-1</formula>
    </cfRule>
  </conditionalFormatting>
  <conditionalFormatting sqref="AH77">
    <cfRule type="cellIs" dxfId="7752" priority="136530" stopIfTrue="1" operator="lessThan">
      <formula>0.5</formula>
    </cfRule>
  </conditionalFormatting>
  <conditionalFormatting sqref="AH77">
    <cfRule type="cellIs" dxfId="7751" priority="136531" stopIfTrue="1" operator="greaterThanOrEqual">
      <formula>0.5</formula>
    </cfRule>
  </conditionalFormatting>
  <conditionalFormatting sqref="AH78">
    <cfRule type="cellIs" dxfId="7750" priority="136532" stopIfTrue="1" operator="equal">
      <formula>-1</formula>
    </cfRule>
  </conditionalFormatting>
  <conditionalFormatting sqref="AH78">
    <cfRule type="cellIs" dxfId="7749" priority="136533" stopIfTrue="1" operator="lessThan">
      <formula>0.5</formula>
    </cfRule>
  </conditionalFormatting>
  <conditionalFormatting sqref="AH78">
    <cfRule type="cellIs" dxfId="7748" priority="136534" stopIfTrue="1" operator="greaterThanOrEqual">
      <formula>0.5</formula>
    </cfRule>
  </conditionalFormatting>
  <conditionalFormatting sqref="AH79">
    <cfRule type="cellIs" dxfId="7747" priority="136535" stopIfTrue="1" operator="equal">
      <formula>-1</formula>
    </cfRule>
  </conditionalFormatting>
  <conditionalFormatting sqref="AH79">
    <cfRule type="cellIs" dxfId="7746" priority="136536" stopIfTrue="1" operator="lessThan">
      <formula>0.5</formula>
    </cfRule>
  </conditionalFormatting>
  <conditionalFormatting sqref="AH79">
    <cfRule type="cellIs" dxfId="7745" priority="136537" stopIfTrue="1" operator="greaterThanOrEqual">
      <formula>0.5</formula>
    </cfRule>
  </conditionalFormatting>
  <conditionalFormatting sqref="AH80">
    <cfRule type="cellIs" dxfId="7744" priority="136538" stopIfTrue="1" operator="equal">
      <formula>-1</formula>
    </cfRule>
  </conditionalFormatting>
  <conditionalFormatting sqref="AH80">
    <cfRule type="cellIs" dxfId="7743" priority="136539" stopIfTrue="1" operator="lessThan">
      <formula>0.5</formula>
    </cfRule>
  </conditionalFormatting>
  <conditionalFormatting sqref="AH80">
    <cfRule type="cellIs" dxfId="7742" priority="136540" stopIfTrue="1" operator="greaterThanOrEqual">
      <formula>0.5</formula>
    </cfRule>
  </conditionalFormatting>
  <conditionalFormatting sqref="AH81">
    <cfRule type="cellIs" dxfId="7741" priority="136541" stopIfTrue="1" operator="equal">
      <formula>-1</formula>
    </cfRule>
  </conditionalFormatting>
  <conditionalFormatting sqref="AH81">
    <cfRule type="cellIs" dxfId="7740" priority="136542" stopIfTrue="1" operator="lessThan">
      <formula>0.5</formula>
    </cfRule>
  </conditionalFormatting>
  <conditionalFormatting sqref="AH81">
    <cfRule type="cellIs" dxfId="7739" priority="136543" stopIfTrue="1" operator="greaterThanOrEqual">
      <formula>0.5</formula>
    </cfRule>
  </conditionalFormatting>
  <conditionalFormatting sqref="AH82">
    <cfRule type="cellIs" dxfId="7738" priority="136544" stopIfTrue="1" operator="equal">
      <formula>-1</formula>
    </cfRule>
  </conditionalFormatting>
  <conditionalFormatting sqref="AH82">
    <cfRule type="cellIs" dxfId="7737" priority="136545" stopIfTrue="1" operator="lessThan">
      <formula>0.5</formula>
    </cfRule>
  </conditionalFormatting>
  <conditionalFormatting sqref="AH82">
    <cfRule type="cellIs" dxfId="7736" priority="136546" stopIfTrue="1" operator="greaterThanOrEqual">
      <formula>0.5</formula>
    </cfRule>
  </conditionalFormatting>
  <conditionalFormatting sqref="AH83">
    <cfRule type="cellIs" dxfId="7735" priority="136547" stopIfTrue="1" operator="equal">
      <formula>-1</formula>
    </cfRule>
  </conditionalFormatting>
  <conditionalFormatting sqref="AH83">
    <cfRule type="cellIs" dxfId="7734" priority="136548" stopIfTrue="1" operator="lessThan">
      <formula>0.5</formula>
    </cfRule>
  </conditionalFormatting>
  <conditionalFormatting sqref="AH83">
    <cfRule type="cellIs" dxfId="7733" priority="136549" stopIfTrue="1" operator="greaterThanOrEqual">
      <formula>0.5</formula>
    </cfRule>
  </conditionalFormatting>
  <conditionalFormatting sqref="AH84">
    <cfRule type="cellIs" dxfId="7732" priority="136550" stopIfTrue="1" operator="equal">
      <formula>-1</formula>
    </cfRule>
  </conditionalFormatting>
  <conditionalFormatting sqref="AH84">
    <cfRule type="cellIs" dxfId="7731" priority="136551" stopIfTrue="1" operator="lessThan">
      <formula>0.5</formula>
    </cfRule>
  </conditionalFormatting>
  <conditionalFormatting sqref="AH84">
    <cfRule type="cellIs" dxfId="7730" priority="136552" stopIfTrue="1" operator="greaterThanOrEqual">
      <formula>0.5</formula>
    </cfRule>
  </conditionalFormatting>
  <conditionalFormatting sqref="AH85">
    <cfRule type="cellIs" dxfId="7729" priority="136553" stopIfTrue="1" operator="equal">
      <formula>-1</formula>
    </cfRule>
  </conditionalFormatting>
  <conditionalFormatting sqref="AH85">
    <cfRule type="cellIs" dxfId="7728" priority="136554" stopIfTrue="1" operator="lessThan">
      <formula>0.5</formula>
    </cfRule>
  </conditionalFormatting>
  <conditionalFormatting sqref="AH85">
    <cfRule type="cellIs" dxfId="7727" priority="136555" stopIfTrue="1" operator="greaterThanOrEqual">
      <formula>0.5</formula>
    </cfRule>
  </conditionalFormatting>
  <conditionalFormatting sqref="AJ65">
    <cfRule type="cellIs" dxfId="7726" priority="136556" stopIfTrue="1" operator="equal">
      <formula>-1</formula>
    </cfRule>
  </conditionalFormatting>
  <conditionalFormatting sqref="AJ65">
    <cfRule type="cellIs" dxfId="7725" priority="136557" stopIfTrue="1" operator="lessThan">
      <formula>0.5</formula>
    </cfRule>
  </conditionalFormatting>
  <conditionalFormatting sqref="AJ65">
    <cfRule type="cellIs" dxfId="7724" priority="136558" stopIfTrue="1" operator="greaterThanOrEqual">
      <formula>0.5</formula>
    </cfRule>
  </conditionalFormatting>
  <conditionalFormatting sqref="AJ66">
    <cfRule type="cellIs" dxfId="7723" priority="136559" stopIfTrue="1" operator="equal">
      <formula>-1</formula>
    </cfRule>
  </conditionalFormatting>
  <conditionalFormatting sqref="AJ66">
    <cfRule type="cellIs" dxfId="7722" priority="136560" stopIfTrue="1" operator="lessThan">
      <formula>0.5</formula>
    </cfRule>
  </conditionalFormatting>
  <conditionalFormatting sqref="AJ66">
    <cfRule type="cellIs" dxfId="7721" priority="136561" stopIfTrue="1" operator="greaterThanOrEqual">
      <formula>0.5</formula>
    </cfRule>
  </conditionalFormatting>
  <conditionalFormatting sqref="AJ67">
    <cfRule type="cellIs" dxfId="7720" priority="136562" stopIfTrue="1" operator="equal">
      <formula>-1</formula>
    </cfRule>
  </conditionalFormatting>
  <conditionalFormatting sqref="AJ67">
    <cfRule type="cellIs" dxfId="7719" priority="136563" stopIfTrue="1" operator="lessThan">
      <formula>0.5</formula>
    </cfRule>
  </conditionalFormatting>
  <conditionalFormatting sqref="AJ67">
    <cfRule type="cellIs" dxfId="7718" priority="136564" stopIfTrue="1" operator="greaterThanOrEqual">
      <formula>0.5</formula>
    </cfRule>
  </conditionalFormatting>
  <conditionalFormatting sqref="AJ68">
    <cfRule type="cellIs" dxfId="7717" priority="136565" stopIfTrue="1" operator="equal">
      <formula>-1</formula>
    </cfRule>
  </conditionalFormatting>
  <conditionalFormatting sqref="AJ68">
    <cfRule type="cellIs" dxfId="7716" priority="136566" stopIfTrue="1" operator="lessThan">
      <formula>0.5</formula>
    </cfRule>
  </conditionalFormatting>
  <conditionalFormatting sqref="AJ68">
    <cfRule type="cellIs" dxfId="7715" priority="136567" stopIfTrue="1" operator="greaterThanOrEqual">
      <formula>0.5</formula>
    </cfRule>
  </conditionalFormatting>
  <conditionalFormatting sqref="AJ69">
    <cfRule type="cellIs" dxfId="7714" priority="136568" stopIfTrue="1" operator="equal">
      <formula>-1</formula>
    </cfRule>
  </conditionalFormatting>
  <conditionalFormatting sqref="AJ69">
    <cfRule type="cellIs" dxfId="7713" priority="136569" stopIfTrue="1" operator="lessThan">
      <formula>0.5</formula>
    </cfRule>
  </conditionalFormatting>
  <conditionalFormatting sqref="AJ69">
    <cfRule type="cellIs" dxfId="7712" priority="136570" stopIfTrue="1" operator="greaterThanOrEqual">
      <formula>0.5</formula>
    </cfRule>
  </conditionalFormatting>
  <conditionalFormatting sqref="AJ70">
    <cfRule type="cellIs" dxfId="7711" priority="136571" stopIfTrue="1" operator="equal">
      <formula>-1</formula>
    </cfRule>
  </conditionalFormatting>
  <conditionalFormatting sqref="AJ70">
    <cfRule type="cellIs" dxfId="7710" priority="136572" stopIfTrue="1" operator="lessThan">
      <formula>0.5</formula>
    </cfRule>
  </conditionalFormatting>
  <conditionalFormatting sqref="AJ70">
    <cfRule type="cellIs" dxfId="7709" priority="136573" stopIfTrue="1" operator="greaterThanOrEqual">
      <formula>0.5</formula>
    </cfRule>
  </conditionalFormatting>
  <conditionalFormatting sqref="AJ71">
    <cfRule type="cellIs" dxfId="7708" priority="136574" stopIfTrue="1" operator="equal">
      <formula>-1</formula>
    </cfRule>
  </conditionalFormatting>
  <conditionalFormatting sqref="AJ71">
    <cfRule type="cellIs" dxfId="7707" priority="136575" stopIfTrue="1" operator="lessThan">
      <formula>0.5</formula>
    </cfRule>
  </conditionalFormatting>
  <conditionalFormatting sqref="AJ71">
    <cfRule type="cellIs" dxfId="7706" priority="136576" stopIfTrue="1" operator="greaterThanOrEqual">
      <formula>0.5</formula>
    </cfRule>
  </conditionalFormatting>
  <conditionalFormatting sqref="AJ72">
    <cfRule type="cellIs" dxfId="7705" priority="136577" stopIfTrue="1" operator="equal">
      <formula>-1</formula>
    </cfRule>
  </conditionalFormatting>
  <conditionalFormatting sqref="AJ72">
    <cfRule type="cellIs" dxfId="7704" priority="136578" stopIfTrue="1" operator="lessThan">
      <formula>0.5</formula>
    </cfRule>
  </conditionalFormatting>
  <conditionalFormatting sqref="AJ72">
    <cfRule type="cellIs" dxfId="7703" priority="136579" stopIfTrue="1" operator="greaterThanOrEqual">
      <formula>0.5</formula>
    </cfRule>
  </conditionalFormatting>
  <conditionalFormatting sqref="AJ73">
    <cfRule type="cellIs" dxfId="7702" priority="136580" stopIfTrue="1" operator="equal">
      <formula>-1</formula>
    </cfRule>
  </conditionalFormatting>
  <conditionalFormatting sqref="AJ73">
    <cfRule type="cellIs" dxfId="7701" priority="136581" stopIfTrue="1" operator="lessThan">
      <formula>0.5</formula>
    </cfRule>
  </conditionalFormatting>
  <conditionalFormatting sqref="AJ73">
    <cfRule type="cellIs" dxfId="7700" priority="136582" stopIfTrue="1" operator="greaterThanOrEqual">
      <formula>0.5</formula>
    </cfRule>
  </conditionalFormatting>
  <conditionalFormatting sqref="AJ74">
    <cfRule type="cellIs" dxfId="7699" priority="136583" stopIfTrue="1" operator="equal">
      <formula>-1</formula>
    </cfRule>
  </conditionalFormatting>
  <conditionalFormatting sqref="AJ74">
    <cfRule type="cellIs" dxfId="7698" priority="136584" stopIfTrue="1" operator="lessThan">
      <formula>0.5</formula>
    </cfRule>
  </conditionalFormatting>
  <conditionalFormatting sqref="AJ74">
    <cfRule type="cellIs" dxfId="7697" priority="136585" stopIfTrue="1" operator="greaterThanOrEqual">
      <formula>0.5</formula>
    </cfRule>
  </conditionalFormatting>
  <conditionalFormatting sqref="AJ75">
    <cfRule type="cellIs" dxfId="7696" priority="136586" stopIfTrue="1" operator="equal">
      <formula>-1</formula>
    </cfRule>
  </conditionalFormatting>
  <conditionalFormatting sqref="AJ75">
    <cfRule type="cellIs" dxfId="7695" priority="136587" stopIfTrue="1" operator="lessThan">
      <formula>0.5</formula>
    </cfRule>
  </conditionalFormatting>
  <conditionalFormatting sqref="AJ75">
    <cfRule type="cellIs" dxfId="7694" priority="136588" stopIfTrue="1" operator="greaterThanOrEqual">
      <formula>0.5</formula>
    </cfRule>
  </conditionalFormatting>
  <conditionalFormatting sqref="AJ76">
    <cfRule type="cellIs" dxfId="7693" priority="136589" stopIfTrue="1" operator="equal">
      <formula>-1</formula>
    </cfRule>
  </conditionalFormatting>
  <conditionalFormatting sqref="AJ76">
    <cfRule type="cellIs" dxfId="7692" priority="136590" stopIfTrue="1" operator="lessThan">
      <formula>0.5</formula>
    </cfRule>
  </conditionalFormatting>
  <conditionalFormatting sqref="AJ76">
    <cfRule type="cellIs" dxfId="7691" priority="136591" stopIfTrue="1" operator="greaterThanOrEqual">
      <formula>0.5</formula>
    </cfRule>
  </conditionalFormatting>
  <conditionalFormatting sqref="AJ77">
    <cfRule type="cellIs" dxfId="7690" priority="136592" stopIfTrue="1" operator="equal">
      <formula>-1</formula>
    </cfRule>
  </conditionalFormatting>
  <conditionalFormatting sqref="AJ77">
    <cfRule type="cellIs" dxfId="7689" priority="136593" stopIfTrue="1" operator="lessThan">
      <formula>0.5</formula>
    </cfRule>
  </conditionalFormatting>
  <conditionalFormatting sqref="AJ77">
    <cfRule type="cellIs" dxfId="7688" priority="136594" stopIfTrue="1" operator="greaterThanOrEqual">
      <formula>0.5</formula>
    </cfRule>
  </conditionalFormatting>
  <conditionalFormatting sqref="AJ78">
    <cfRule type="cellIs" dxfId="7687" priority="136595" stopIfTrue="1" operator="equal">
      <formula>-1</formula>
    </cfRule>
  </conditionalFormatting>
  <conditionalFormatting sqref="AJ78">
    <cfRule type="cellIs" dxfId="7686" priority="136596" stopIfTrue="1" operator="lessThan">
      <formula>0.5</formula>
    </cfRule>
  </conditionalFormatting>
  <conditionalFormatting sqref="AJ78">
    <cfRule type="cellIs" dxfId="7685" priority="136597" stopIfTrue="1" operator="greaterThanOrEqual">
      <formula>0.5</formula>
    </cfRule>
  </conditionalFormatting>
  <conditionalFormatting sqref="AJ79">
    <cfRule type="cellIs" dxfId="7684" priority="136598" stopIfTrue="1" operator="equal">
      <formula>-1</formula>
    </cfRule>
  </conditionalFormatting>
  <conditionalFormatting sqref="AJ79">
    <cfRule type="cellIs" dxfId="7683" priority="136599" stopIfTrue="1" operator="lessThan">
      <formula>0.5</formula>
    </cfRule>
  </conditionalFormatting>
  <conditionalFormatting sqref="AJ79">
    <cfRule type="cellIs" dxfId="7682" priority="136600" stopIfTrue="1" operator="greaterThanOrEqual">
      <formula>0.5</formula>
    </cfRule>
  </conditionalFormatting>
  <conditionalFormatting sqref="AJ80">
    <cfRule type="cellIs" dxfId="7681" priority="136601" stopIfTrue="1" operator="equal">
      <formula>-1</formula>
    </cfRule>
  </conditionalFormatting>
  <conditionalFormatting sqref="AJ80">
    <cfRule type="cellIs" dxfId="7680" priority="136602" stopIfTrue="1" operator="lessThan">
      <formula>0.5</formula>
    </cfRule>
  </conditionalFormatting>
  <conditionalFormatting sqref="AJ80">
    <cfRule type="cellIs" dxfId="7679" priority="136603" stopIfTrue="1" operator="greaterThanOrEqual">
      <formula>0.5</formula>
    </cfRule>
  </conditionalFormatting>
  <conditionalFormatting sqref="AJ81">
    <cfRule type="cellIs" dxfId="7678" priority="136604" stopIfTrue="1" operator="equal">
      <formula>-1</formula>
    </cfRule>
  </conditionalFormatting>
  <conditionalFormatting sqref="AJ81">
    <cfRule type="cellIs" dxfId="7677" priority="136605" stopIfTrue="1" operator="lessThan">
      <formula>0.5</formula>
    </cfRule>
  </conditionalFormatting>
  <conditionalFormatting sqref="AJ81">
    <cfRule type="cellIs" dxfId="7676" priority="136606" stopIfTrue="1" operator="greaterThanOrEqual">
      <formula>0.5</formula>
    </cfRule>
  </conditionalFormatting>
  <conditionalFormatting sqref="AJ82">
    <cfRule type="cellIs" dxfId="7675" priority="136607" stopIfTrue="1" operator="equal">
      <formula>-1</formula>
    </cfRule>
  </conditionalFormatting>
  <conditionalFormatting sqref="AJ82">
    <cfRule type="cellIs" dxfId="7674" priority="136608" stopIfTrue="1" operator="lessThan">
      <formula>0.5</formula>
    </cfRule>
  </conditionalFormatting>
  <conditionalFormatting sqref="AJ82">
    <cfRule type="cellIs" dxfId="7673" priority="136609" stopIfTrue="1" operator="greaterThanOrEqual">
      <formula>0.5</formula>
    </cfRule>
  </conditionalFormatting>
  <conditionalFormatting sqref="AJ83">
    <cfRule type="cellIs" dxfId="7672" priority="136610" stopIfTrue="1" operator="equal">
      <formula>-1</formula>
    </cfRule>
  </conditionalFormatting>
  <conditionalFormatting sqref="AJ83">
    <cfRule type="cellIs" dxfId="7671" priority="136611" stopIfTrue="1" operator="lessThan">
      <formula>0.5</formula>
    </cfRule>
  </conditionalFormatting>
  <conditionalFormatting sqref="AJ83">
    <cfRule type="cellIs" dxfId="7670" priority="136612" stopIfTrue="1" operator="greaterThanOrEqual">
      <formula>0.5</formula>
    </cfRule>
  </conditionalFormatting>
  <conditionalFormatting sqref="AJ84">
    <cfRule type="cellIs" dxfId="7669" priority="136613" stopIfTrue="1" operator="equal">
      <formula>-1</formula>
    </cfRule>
  </conditionalFormatting>
  <conditionalFormatting sqref="AJ84">
    <cfRule type="cellIs" dxfId="7668" priority="136614" stopIfTrue="1" operator="lessThan">
      <formula>0.5</formula>
    </cfRule>
  </conditionalFormatting>
  <conditionalFormatting sqref="AJ84">
    <cfRule type="cellIs" dxfId="7667" priority="136615" stopIfTrue="1" operator="greaterThanOrEqual">
      <formula>0.5</formula>
    </cfRule>
  </conditionalFormatting>
  <conditionalFormatting sqref="AJ85">
    <cfRule type="cellIs" dxfId="7666" priority="136616" stopIfTrue="1" operator="equal">
      <formula>-1</formula>
    </cfRule>
  </conditionalFormatting>
  <conditionalFormatting sqref="AJ85">
    <cfRule type="cellIs" dxfId="7665" priority="136617" stopIfTrue="1" operator="lessThan">
      <formula>0.5</formula>
    </cfRule>
  </conditionalFormatting>
  <conditionalFormatting sqref="AJ85">
    <cfRule type="cellIs" dxfId="7664" priority="136618" stopIfTrue="1" operator="greaterThanOrEqual">
      <formula>0.5</formula>
    </cfRule>
  </conditionalFormatting>
  <conditionalFormatting sqref="AL65">
    <cfRule type="cellIs" dxfId="7663" priority="136619" stopIfTrue="1" operator="equal">
      <formula>-1</formula>
    </cfRule>
  </conditionalFormatting>
  <conditionalFormatting sqref="AL65">
    <cfRule type="cellIs" dxfId="7662" priority="136620" stopIfTrue="1" operator="lessThan">
      <formula>0.5</formula>
    </cfRule>
  </conditionalFormatting>
  <conditionalFormatting sqref="AL65">
    <cfRule type="cellIs" dxfId="7661" priority="136621" stopIfTrue="1" operator="greaterThanOrEqual">
      <formula>0.5</formula>
    </cfRule>
  </conditionalFormatting>
  <conditionalFormatting sqref="AL66">
    <cfRule type="cellIs" dxfId="7660" priority="136622" stopIfTrue="1" operator="equal">
      <formula>-1</formula>
    </cfRule>
  </conditionalFormatting>
  <conditionalFormatting sqref="AL66">
    <cfRule type="cellIs" dxfId="7659" priority="136623" stopIfTrue="1" operator="lessThan">
      <formula>0.5</formula>
    </cfRule>
  </conditionalFormatting>
  <conditionalFormatting sqref="AL66">
    <cfRule type="cellIs" dxfId="7658" priority="136624" stopIfTrue="1" operator="greaterThanOrEqual">
      <formula>0.5</formula>
    </cfRule>
  </conditionalFormatting>
  <conditionalFormatting sqref="AL67">
    <cfRule type="cellIs" dxfId="7657" priority="136625" stopIfTrue="1" operator="equal">
      <formula>-1</formula>
    </cfRule>
  </conditionalFormatting>
  <conditionalFormatting sqref="AL67">
    <cfRule type="cellIs" dxfId="7656" priority="136626" stopIfTrue="1" operator="lessThan">
      <formula>0.5</formula>
    </cfRule>
  </conditionalFormatting>
  <conditionalFormatting sqref="AL67">
    <cfRule type="cellIs" dxfId="7655" priority="136627" stopIfTrue="1" operator="greaterThanOrEqual">
      <formula>0.5</formula>
    </cfRule>
  </conditionalFormatting>
  <conditionalFormatting sqref="AL68">
    <cfRule type="cellIs" dxfId="7654" priority="136628" stopIfTrue="1" operator="equal">
      <formula>-1</formula>
    </cfRule>
  </conditionalFormatting>
  <conditionalFormatting sqref="AL68">
    <cfRule type="cellIs" dxfId="7653" priority="136629" stopIfTrue="1" operator="lessThan">
      <formula>0.5</formula>
    </cfRule>
  </conditionalFormatting>
  <conditionalFormatting sqref="AL68">
    <cfRule type="cellIs" dxfId="7652" priority="136630" stopIfTrue="1" operator="greaterThanOrEqual">
      <formula>0.5</formula>
    </cfRule>
  </conditionalFormatting>
  <conditionalFormatting sqref="AL69">
    <cfRule type="cellIs" dxfId="7651" priority="136631" stopIfTrue="1" operator="equal">
      <formula>-1</formula>
    </cfRule>
  </conditionalFormatting>
  <conditionalFormatting sqref="AL69">
    <cfRule type="cellIs" dxfId="7650" priority="136632" stopIfTrue="1" operator="lessThan">
      <formula>0.5</formula>
    </cfRule>
  </conditionalFormatting>
  <conditionalFormatting sqref="AL69">
    <cfRule type="cellIs" dxfId="7649" priority="136633" stopIfTrue="1" operator="greaterThanOrEqual">
      <formula>0.5</formula>
    </cfRule>
  </conditionalFormatting>
  <conditionalFormatting sqref="AL70">
    <cfRule type="cellIs" dxfId="7648" priority="136634" stopIfTrue="1" operator="equal">
      <formula>-1</formula>
    </cfRule>
  </conditionalFormatting>
  <conditionalFormatting sqref="AL70">
    <cfRule type="cellIs" dxfId="7647" priority="136635" stopIfTrue="1" operator="lessThan">
      <formula>0.5</formula>
    </cfRule>
  </conditionalFormatting>
  <conditionalFormatting sqref="AL70">
    <cfRule type="cellIs" dxfId="7646" priority="136636" stopIfTrue="1" operator="greaterThanOrEqual">
      <formula>0.5</formula>
    </cfRule>
  </conditionalFormatting>
  <conditionalFormatting sqref="AL71">
    <cfRule type="cellIs" dxfId="7645" priority="136637" stopIfTrue="1" operator="equal">
      <formula>-1</formula>
    </cfRule>
  </conditionalFormatting>
  <conditionalFormatting sqref="AL71">
    <cfRule type="cellIs" dxfId="7644" priority="136638" stopIfTrue="1" operator="lessThan">
      <formula>0.5</formula>
    </cfRule>
  </conditionalFormatting>
  <conditionalFormatting sqref="AL71">
    <cfRule type="cellIs" dxfId="7643" priority="136639" stopIfTrue="1" operator="greaterThanOrEqual">
      <formula>0.5</formula>
    </cfRule>
  </conditionalFormatting>
  <conditionalFormatting sqref="AL72">
    <cfRule type="cellIs" dxfId="7642" priority="136640" stopIfTrue="1" operator="equal">
      <formula>-1</formula>
    </cfRule>
  </conditionalFormatting>
  <conditionalFormatting sqref="AL72">
    <cfRule type="cellIs" dxfId="7641" priority="136641" stopIfTrue="1" operator="lessThan">
      <formula>0.5</formula>
    </cfRule>
  </conditionalFormatting>
  <conditionalFormatting sqref="AL72">
    <cfRule type="cellIs" dxfId="7640" priority="136642" stopIfTrue="1" operator="greaterThanOrEqual">
      <formula>0.5</formula>
    </cfRule>
  </conditionalFormatting>
  <conditionalFormatting sqref="AL73">
    <cfRule type="cellIs" dxfId="7639" priority="136643" stopIfTrue="1" operator="equal">
      <formula>-1</formula>
    </cfRule>
  </conditionalFormatting>
  <conditionalFormatting sqref="AL73">
    <cfRule type="cellIs" dxfId="7638" priority="136644" stopIfTrue="1" operator="lessThan">
      <formula>0.5</formula>
    </cfRule>
  </conditionalFormatting>
  <conditionalFormatting sqref="AL73">
    <cfRule type="cellIs" dxfId="7637" priority="136645" stopIfTrue="1" operator="greaterThanOrEqual">
      <formula>0.5</formula>
    </cfRule>
  </conditionalFormatting>
  <conditionalFormatting sqref="AL74">
    <cfRule type="cellIs" dxfId="7636" priority="136646" stopIfTrue="1" operator="equal">
      <formula>-1</formula>
    </cfRule>
  </conditionalFormatting>
  <conditionalFormatting sqref="AL74">
    <cfRule type="cellIs" dxfId="7635" priority="136647" stopIfTrue="1" operator="lessThan">
      <formula>0.5</formula>
    </cfRule>
  </conditionalFormatting>
  <conditionalFormatting sqref="AL74">
    <cfRule type="cellIs" dxfId="7634" priority="136648" stopIfTrue="1" operator="greaterThanOrEqual">
      <formula>0.5</formula>
    </cfRule>
  </conditionalFormatting>
  <conditionalFormatting sqref="AL75">
    <cfRule type="cellIs" dxfId="7633" priority="136649" stopIfTrue="1" operator="equal">
      <formula>-1</formula>
    </cfRule>
  </conditionalFormatting>
  <conditionalFormatting sqref="AL75">
    <cfRule type="cellIs" dxfId="7632" priority="136650" stopIfTrue="1" operator="lessThan">
      <formula>0.5</formula>
    </cfRule>
  </conditionalFormatting>
  <conditionalFormatting sqref="AL75">
    <cfRule type="cellIs" dxfId="7631" priority="136651" stopIfTrue="1" operator="greaterThanOrEqual">
      <formula>0.5</formula>
    </cfRule>
  </conditionalFormatting>
  <conditionalFormatting sqref="AL76">
    <cfRule type="cellIs" dxfId="7630" priority="136652" stopIfTrue="1" operator="equal">
      <formula>-1</formula>
    </cfRule>
  </conditionalFormatting>
  <conditionalFormatting sqref="AL76">
    <cfRule type="cellIs" dxfId="7629" priority="136653" stopIfTrue="1" operator="lessThan">
      <formula>0.5</formula>
    </cfRule>
  </conditionalFormatting>
  <conditionalFormatting sqref="AL76">
    <cfRule type="cellIs" dxfId="7628" priority="136654" stopIfTrue="1" operator="greaterThanOrEqual">
      <formula>0.5</formula>
    </cfRule>
  </conditionalFormatting>
  <conditionalFormatting sqref="AL77">
    <cfRule type="cellIs" dxfId="7627" priority="136655" stopIfTrue="1" operator="equal">
      <formula>-1</formula>
    </cfRule>
  </conditionalFormatting>
  <conditionalFormatting sqref="AL77">
    <cfRule type="cellIs" dxfId="7626" priority="136656" stopIfTrue="1" operator="lessThan">
      <formula>0.5</formula>
    </cfRule>
  </conditionalFormatting>
  <conditionalFormatting sqref="AL77">
    <cfRule type="cellIs" dxfId="7625" priority="136657" stopIfTrue="1" operator="greaterThanOrEqual">
      <formula>0.5</formula>
    </cfRule>
  </conditionalFormatting>
  <conditionalFormatting sqref="AL78">
    <cfRule type="cellIs" dxfId="7624" priority="136658" stopIfTrue="1" operator="equal">
      <formula>-1</formula>
    </cfRule>
  </conditionalFormatting>
  <conditionalFormatting sqref="AL78">
    <cfRule type="cellIs" dxfId="7623" priority="136659" stopIfTrue="1" operator="lessThan">
      <formula>0.5</formula>
    </cfRule>
  </conditionalFormatting>
  <conditionalFormatting sqref="AL78">
    <cfRule type="cellIs" dxfId="7622" priority="136660" stopIfTrue="1" operator="greaterThanOrEqual">
      <formula>0.5</formula>
    </cfRule>
  </conditionalFormatting>
  <conditionalFormatting sqref="AL79">
    <cfRule type="cellIs" dxfId="7621" priority="136661" stopIfTrue="1" operator="equal">
      <formula>-1</formula>
    </cfRule>
  </conditionalFormatting>
  <conditionalFormatting sqref="AL79">
    <cfRule type="cellIs" dxfId="7620" priority="136662" stopIfTrue="1" operator="lessThan">
      <formula>0.5</formula>
    </cfRule>
  </conditionalFormatting>
  <conditionalFormatting sqref="AL79">
    <cfRule type="cellIs" dxfId="7619" priority="136663" stopIfTrue="1" operator="greaterThanOrEqual">
      <formula>0.5</formula>
    </cfRule>
  </conditionalFormatting>
  <conditionalFormatting sqref="AL80">
    <cfRule type="cellIs" dxfId="7618" priority="136664" stopIfTrue="1" operator="equal">
      <formula>-1</formula>
    </cfRule>
  </conditionalFormatting>
  <conditionalFormatting sqref="AL80">
    <cfRule type="cellIs" dxfId="7617" priority="136665" stopIfTrue="1" operator="lessThan">
      <formula>0.5</formula>
    </cfRule>
  </conditionalFormatting>
  <conditionalFormatting sqref="AL80">
    <cfRule type="cellIs" dxfId="7616" priority="136666" stopIfTrue="1" operator="greaterThanOrEqual">
      <formula>0.5</formula>
    </cfRule>
  </conditionalFormatting>
  <conditionalFormatting sqref="AL81">
    <cfRule type="cellIs" dxfId="7615" priority="136667" stopIfTrue="1" operator="equal">
      <formula>-1</formula>
    </cfRule>
  </conditionalFormatting>
  <conditionalFormatting sqref="AL81">
    <cfRule type="cellIs" dxfId="7614" priority="136668" stopIfTrue="1" operator="lessThan">
      <formula>0.5</formula>
    </cfRule>
  </conditionalFormatting>
  <conditionalFormatting sqref="AL81">
    <cfRule type="cellIs" dxfId="7613" priority="136669" stopIfTrue="1" operator="greaterThanOrEqual">
      <formula>0.5</formula>
    </cfRule>
  </conditionalFormatting>
  <conditionalFormatting sqref="AL82">
    <cfRule type="cellIs" dxfId="7612" priority="136670" stopIfTrue="1" operator="equal">
      <formula>-1</formula>
    </cfRule>
  </conditionalFormatting>
  <conditionalFormatting sqref="AL82">
    <cfRule type="cellIs" dxfId="7611" priority="136671" stopIfTrue="1" operator="lessThan">
      <formula>0.5</formula>
    </cfRule>
  </conditionalFormatting>
  <conditionalFormatting sqref="AL82">
    <cfRule type="cellIs" dxfId="7610" priority="136672" stopIfTrue="1" operator="greaterThanOrEqual">
      <formula>0.5</formula>
    </cfRule>
  </conditionalFormatting>
  <conditionalFormatting sqref="AL83">
    <cfRule type="cellIs" dxfId="7609" priority="136673" stopIfTrue="1" operator="equal">
      <formula>-1</formula>
    </cfRule>
  </conditionalFormatting>
  <conditionalFormatting sqref="AL83">
    <cfRule type="cellIs" dxfId="7608" priority="136674" stopIfTrue="1" operator="lessThan">
      <formula>0.5</formula>
    </cfRule>
  </conditionalFormatting>
  <conditionalFormatting sqref="AL83">
    <cfRule type="cellIs" dxfId="7607" priority="136675" stopIfTrue="1" operator="greaterThanOrEqual">
      <formula>0.5</formula>
    </cfRule>
  </conditionalFormatting>
  <conditionalFormatting sqref="AL84">
    <cfRule type="cellIs" dxfId="7606" priority="136676" stopIfTrue="1" operator="equal">
      <formula>-1</formula>
    </cfRule>
  </conditionalFormatting>
  <conditionalFormatting sqref="AL84">
    <cfRule type="cellIs" dxfId="7605" priority="136677" stopIfTrue="1" operator="lessThan">
      <formula>0.5</formula>
    </cfRule>
  </conditionalFormatting>
  <conditionalFormatting sqref="AL84">
    <cfRule type="cellIs" dxfId="7604" priority="136678" stopIfTrue="1" operator="greaterThanOrEqual">
      <formula>0.5</formula>
    </cfRule>
  </conditionalFormatting>
  <conditionalFormatting sqref="AL85">
    <cfRule type="cellIs" dxfId="7603" priority="136679" stopIfTrue="1" operator="equal">
      <formula>-1</formula>
    </cfRule>
  </conditionalFormatting>
  <conditionalFormatting sqref="AL85">
    <cfRule type="cellIs" dxfId="7602" priority="136680" stopIfTrue="1" operator="lessThan">
      <formula>0.5</formula>
    </cfRule>
  </conditionalFormatting>
  <conditionalFormatting sqref="AL85">
    <cfRule type="cellIs" dxfId="7601" priority="136681" stopIfTrue="1" operator="greaterThanOrEqual">
      <formula>0.5</formula>
    </cfRule>
  </conditionalFormatting>
  <conditionalFormatting sqref="AN65">
    <cfRule type="cellIs" dxfId="7600" priority="136682" stopIfTrue="1" operator="equal">
      <formula>-1</formula>
    </cfRule>
  </conditionalFormatting>
  <conditionalFormatting sqref="AN65">
    <cfRule type="cellIs" dxfId="7599" priority="136683" stopIfTrue="1" operator="lessThan">
      <formula>0.5</formula>
    </cfRule>
  </conditionalFormatting>
  <conditionalFormatting sqref="AN65">
    <cfRule type="cellIs" dxfId="7598" priority="136684" stopIfTrue="1" operator="greaterThanOrEqual">
      <formula>0.5</formula>
    </cfRule>
  </conditionalFormatting>
  <conditionalFormatting sqref="AN66">
    <cfRule type="cellIs" dxfId="7597" priority="136685" stopIfTrue="1" operator="equal">
      <formula>-1</formula>
    </cfRule>
  </conditionalFormatting>
  <conditionalFormatting sqref="AN66">
    <cfRule type="cellIs" dxfId="7596" priority="136686" stopIfTrue="1" operator="lessThan">
      <formula>0.5</formula>
    </cfRule>
  </conditionalFormatting>
  <conditionalFormatting sqref="AN66">
    <cfRule type="cellIs" dxfId="7595" priority="136687" stopIfTrue="1" operator="greaterThanOrEqual">
      <formula>0.5</formula>
    </cfRule>
  </conditionalFormatting>
  <conditionalFormatting sqref="AN67">
    <cfRule type="cellIs" dxfId="7594" priority="136688" stopIfTrue="1" operator="equal">
      <formula>-1</formula>
    </cfRule>
  </conditionalFormatting>
  <conditionalFormatting sqref="AN67">
    <cfRule type="cellIs" dxfId="7593" priority="136689" stopIfTrue="1" operator="lessThan">
      <formula>0.5</formula>
    </cfRule>
  </conditionalFormatting>
  <conditionalFormatting sqref="AN67">
    <cfRule type="cellIs" dxfId="7592" priority="136690" stopIfTrue="1" operator="greaterThanOrEqual">
      <formula>0.5</formula>
    </cfRule>
  </conditionalFormatting>
  <conditionalFormatting sqref="AN68">
    <cfRule type="cellIs" dxfId="7591" priority="136691" stopIfTrue="1" operator="equal">
      <formula>-1</formula>
    </cfRule>
  </conditionalFormatting>
  <conditionalFormatting sqref="AN68">
    <cfRule type="cellIs" dxfId="7590" priority="136692" stopIfTrue="1" operator="lessThan">
      <formula>0.5</formula>
    </cfRule>
  </conditionalFormatting>
  <conditionalFormatting sqref="AN68">
    <cfRule type="cellIs" dxfId="7589" priority="136693" stopIfTrue="1" operator="greaterThanOrEqual">
      <formula>0.5</formula>
    </cfRule>
  </conditionalFormatting>
  <conditionalFormatting sqref="AN69">
    <cfRule type="cellIs" dxfId="7588" priority="136694" stopIfTrue="1" operator="equal">
      <formula>-1</formula>
    </cfRule>
  </conditionalFormatting>
  <conditionalFormatting sqref="AN69">
    <cfRule type="cellIs" dxfId="7587" priority="136695" stopIfTrue="1" operator="lessThan">
      <formula>0.5</formula>
    </cfRule>
  </conditionalFormatting>
  <conditionalFormatting sqref="AN69">
    <cfRule type="cellIs" dxfId="7586" priority="136696" stopIfTrue="1" operator="greaterThanOrEqual">
      <formula>0.5</formula>
    </cfRule>
  </conditionalFormatting>
  <conditionalFormatting sqref="AN70">
    <cfRule type="cellIs" dxfId="7585" priority="136697" stopIfTrue="1" operator="equal">
      <formula>-1</formula>
    </cfRule>
  </conditionalFormatting>
  <conditionalFormatting sqref="AN70">
    <cfRule type="cellIs" dxfId="7584" priority="136698" stopIfTrue="1" operator="lessThan">
      <formula>0.5</formula>
    </cfRule>
  </conditionalFormatting>
  <conditionalFormatting sqref="AN70">
    <cfRule type="cellIs" dxfId="7583" priority="136699" stopIfTrue="1" operator="greaterThanOrEqual">
      <formula>0.5</formula>
    </cfRule>
  </conditionalFormatting>
  <conditionalFormatting sqref="AN71">
    <cfRule type="cellIs" dxfId="7582" priority="136700" stopIfTrue="1" operator="equal">
      <formula>-1</formula>
    </cfRule>
  </conditionalFormatting>
  <conditionalFormatting sqref="AN71">
    <cfRule type="cellIs" dxfId="7581" priority="136701" stopIfTrue="1" operator="lessThan">
      <formula>0.5</formula>
    </cfRule>
  </conditionalFormatting>
  <conditionalFormatting sqref="AN71">
    <cfRule type="cellIs" dxfId="7580" priority="136702" stopIfTrue="1" operator="greaterThanOrEqual">
      <formula>0.5</formula>
    </cfRule>
  </conditionalFormatting>
  <conditionalFormatting sqref="AN72">
    <cfRule type="cellIs" dxfId="7579" priority="136703" stopIfTrue="1" operator="equal">
      <formula>-1</formula>
    </cfRule>
  </conditionalFormatting>
  <conditionalFormatting sqref="AN72">
    <cfRule type="cellIs" dxfId="7578" priority="136704" stopIfTrue="1" operator="lessThan">
      <formula>0.5</formula>
    </cfRule>
  </conditionalFormatting>
  <conditionalFormatting sqref="AN72">
    <cfRule type="cellIs" dxfId="7577" priority="136705" stopIfTrue="1" operator="greaterThanOrEqual">
      <formula>0.5</formula>
    </cfRule>
  </conditionalFormatting>
  <conditionalFormatting sqref="AN73">
    <cfRule type="cellIs" dxfId="7576" priority="136706" stopIfTrue="1" operator="equal">
      <formula>-1</formula>
    </cfRule>
  </conditionalFormatting>
  <conditionalFormatting sqref="AN73">
    <cfRule type="cellIs" dxfId="7575" priority="136707" stopIfTrue="1" operator="lessThan">
      <formula>0.5</formula>
    </cfRule>
  </conditionalFormatting>
  <conditionalFormatting sqref="AN73">
    <cfRule type="cellIs" dxfId="7574" priority="136708" stopIfTrue="1" operator="greaterThanOrEqual">
      <formula>0.5</formula>
    </cfRule>
  </conditionalFormatting>
  <conditionalFormatting sqref="AN74">
    <cfRule type="cellIs" dxfId="7573" priority="136709" stopIfTrue="1" operator="equal">
      <formula>-1</formula>
    </cfRule>
  </conditionalFormatting>
  <conditionalFormatting sqref="AN74">
    <cfRule type="cellIs" dxfId="7572" priority="136710" stopIfTrue="1" operator="lessThan">
      <formula>0.5</formula>
    </cfRule>
  </conditionalFormatting>
  <conditionalFormatting sqref="AN74">
    <cfRule type="cellIs" dxfId="7571" priority="136711" stopIfTrue="1" operator="greaterThanOrEqual">
      <formula>0.5</formula>
    </cfRule>
  </conditionalFormatting>
  <conditionalFormatting sqref="AN75">
    <cfRule type="cellIs" dxfId="7570" priority="136712" stopIfTrue="1" operator="equal">
      <formula>-1</formula>
    </cfRule>
  </conditionalFormatting>
  <conditionalFormatting sqref="AN75">
    <cfRule type="cellIs" dxfId="7569" priority="136713" stopIfTrue="1" operator="lessThan">
      <formula>0.5</formula>
    </cfRule>
  </conditionalFormatting>
  <conditionalFormatting sqref="AN75">
    <cfRule type="cellIs" dxfId="7568" priority="136714" stopIfTrue="1" operator="greaterThanOrEqual">
      <formula>0.5</formula>
    </cfRule>
  </conditionalFormatting>
  <conditionalFormatting sqref="AN76">
    <cfRule type="cellIs" dxfId="7567" priority="136715" stopIfTrue="1" operator="equal">
      <formula>-1</formula>
    </cfRule>
  </conditionalFormatting>
  <conditionalFormatting sqref="AN76">
    <cfRule type="cellIs" dxfId="7566" priority="136716" stopIfTrue="1" operator="lessThan">
      <formula>0.5</formula>
    </cfRule>
  </conditionalFormatting>
  <conditionalFormatting sqref="AN76">
    <cfRule type="cellIs" dxfId="7565" priority="136717" stopIfTrue="1" operator="greaterThanOrEqual">
      <formula>0.5</formula>
    </cfRule>
  </conditionalFormatting>
  <conditionalFormatting sqref="AN77">
    <cfRule type="cellIs" dxfId="7564" priority="136718" stopIfTrue="1" operator="equal">
      <formula>-1</formula>
    </cfRule>
  </conditionalFormatting>
  <conditionalFormatting sqref="AN77">
    <cfRule type="cellIs" dxfId="7563" priority="136719" stopIfTrue="1" operator="lessThan">
      <formula>0.5</formula>
    </cfRule>
  </conditionalFormatting>
  <conditionalFormatting sqref="AN77">
    <cfRule type="cellIs" dxfId="7562" priority="136720" stopIfTrue="1" operator="greaterThanOrEqual">
      <formula>0.5</formula>
    </cfRule>
  </conditionalFormatting>
  <conditionalFormatting sqref="AN78">
    <cfRule type="cellIs" dxfId="7561" priority="136721" stopIfTrue="1" operator="equal">
      <formula>-1</formula>
    </cfRule>
  </conditionalFormatting>
  <conditionalFormatting sqref="AN78">
    <cfRule type="cellIs" dxfId="7560" priority="136722" stopIfTrue="1" operator="lessThan">
      <formula>0.5</formula>
    </cfRule>
  </conditionalFormatting>
  <conditionalFormatting sqref="AN78">
    <cfRule type="cellIs" dxfId="7559" priority="136723" stopIfTrue="1" operator="greaterThanOrEqual">
      <formula>0.5</formula>
    </cfRule>
  </conditionalFormatting>
  <conditionalFormatting sqref="AN79">
    <cfRule type="cellIs" dxfId="7558" priority="136724" stopIfTrue="1" operator="equal">
      <formula>-1</formula>
    </cfRule>
  </conditionalFormatting>
  <conditionalFormatting sqref="AN79">
    <cfRule type="cellIs" dxfId="7557" priority="136725" stopIfTrue="1" operator="lessThan">
      <formula>0.5</formula>
    </cfRule>
  </conditionalFormatting>
  <conditionalFormatting sqref="AN79">
    <cfRule type="cellIs" dxfId="7556" priority="136726" stopIfTrue="1" operator="greaterThanOrEqual">
      <formula>0.5</formula>
    </cfRule>
  </conditionalFormatting>
  <conditionalFormatting sqref="AN80">
    <cfRule type="cellIs" dxfId="7555" priority="136727" stopIfTrue="1" operator="equal">
      <formula>-1</formula>
    </cfRule>
  </conditionalFormatting>
  <conditionalFormatting sqref="AN80">
    <cfRule type="cellIs" dxfId="7554" priority="136728" stopIfTrue="1" operator="lessThan">
      <formula>0.5</formula>
    </cfRule>
  </conditionalFormatting>
  <conditionalFormatting sqref="AN80">
    <cfRule type="cellIs" dxfId="7553" priority="136729" stopIfTrue="1" operator="greaterThanOrEqual">
      <formula>0.5</formula>
    </cfRule>
  </conditionalFormatting>
  <conditionalFormatting sqref="AN81">
    <cfRule type="cellIs" dxfId="7552" priority="136730" stopIfTrue="1" operator="equal">
      <formula>-1</formula>
    </cfRule>
  </conditionalFormatting>
  <conditionalFormatting sqref="AN81">
    <cfRule type="cellIs" dxfId="7551" priority="136731" stopIfTrue="1" operator="lessThan">
      <formula>0.5</formula>
    </cfRule>
  </conditionalFormatting>
  <conditionalFormatting sqref="AN81">
    <cfRule type="cellIs" dxfId="7550" priority="136732" stopIfTrue="1" operator="greaterThanOrEqual">
      <formula>0.5</formula>
    </cfRule>
  </conditionalFormatting>
  <conditionalFormatting sqref="AN82">
    <cfRule type="cellIs" dxfId="7549" priority="136733" stopIfTrue="1" operator="equal">
      <formula>-1</formula>
    </cfRule>
  </conditionalFormatting>
  <conditionalFormatting sqref="AN82">
    <cfRule type="cellIs" dxfId="7548" priority="136734" stopIfTrue="1" operator="lessThan">
      <formula>0.5</formula>
    </cfRule>
  </conditionalFormatting>
  <conditionalFormatting sqref="AN82">
    <cfRule type="cellIs" dxfId="7547" priority="136735" stopIfTrue="1" operator="greaterThanOrEqual">
      <formula>0.5</formula>
    </cfRule>
  </conditionalFormatting>
  <conditionalFormatting sqref="AN83">
    <cfRule type="cellIs" dxfId="7546" priority="136736" stopIfTrue="1" operator="equal">
      <formula>-1</formula>
    </cfRule>
  </conditionalFormatting>
  <conditionalFormatting sqref="AN83">
    <cfRule type="cellIs" dxfId="7545" priority="136737" stopIfTrue="1" operator="lessThan">
      <formula>0.5</formula>
    </cfRule>
  </conditionalFormatting>
  <conditionalFormatting sqref="AN83">
    <cfRule type="cellIs" dxfId="7544" priority="136738" stopIfTrue="1" operator="greaterThanOrEqual">
      <formula>0.5</formula>
    </cfRule>
  </conditionalFormatting>
  <conditionalFormatting sqref="AN84">
    <cfRule type="cellIs" dxfId="7543" priority="136739" stopIfTrue="1" operator="equal">
      <formula>-1</formula>
    </cfRule>
  </conditionalFormatting>
  <conditionalFormatting sqref="AN84">
    <cfRule type="cellIs" dxfId="7542" priority="136740" stopIfTrue="1" operator="lessThan">
      <formula>0.5</formula>
    </cfRule>
  </conditionalFormatting>
  <conditionalFormatting sqref="AN84">
    <cfRule type="cellIs" dxfId="7541" priority="136741" stopIfTrue="1" operator="greaterThanOrEqual">
      <formula>0.5</formula>
    </cfRule>
  </conditionalFormatting>
  <conditionalFormatting sqref="AN85">
    <cfRule type="cellIs" dxfId="7540" priority="136742" stopIfTrue="1" operator="equal">
      <formula>-1</formula>
    </cfRule>
  </conditionalFormatting>
  <conditionalFormatting sqref="AN85">
    <cfRule type="cellIs" dxfId="7539" priority="136743" stopIfTrue="1" operator="lessThan">
      <formula>0.5</formula>
    </cfRule>
  </conditionalFormatting>
  <conditionalFormatting sqref="AN85">
    <cfRule type="cellIs" dxfId="7538" priority="136744" stopIfTrue="1" operator="greaterThanOrEqual">
      <formula>0.5</formula>
    </cfRule>
  </conditionalFormatting>
  <conditionalFormatting sqref="AP65">
    <cfRule type="cellIs" dxfId="7537" priority="136745" stopIfTrue="1" operator="equal">
      <formula>-1</formula>
    </cfRule>
  </conditionalFormatting>
  <conditionalFormatting sqref="AP65">
    <cfRule type="cellIs" dxfId="7536" priority="136746" stopIfTrue="1" operator="lessThan">
      <formula>0.5</formula>
    </cfRule>
  </conditionalFormatting>
  <conditionalFormatting sqref="AP65">
    <cfRule type="cellIs" dxfId="7535" priority="136747" stopIfTrue="1" operator="greaterThanOrEqual">
      <formula>0.5</formula>
    </cfRule>
  </conditionalFormatting>
  <conditionalFormatting sqref="AP66">
    <cfRule type="cellIs" dxfId="7534" priority="136748" stopIfTrue="1" operator="equal">
      <formula>-1</formula>
    </cfRule>
  </conditionalFormatting>
  <conditionalFormatting sqref="AP66">
    <cfRule type="cellIs" dxfId="7533" priority="136749" stopIfTrue="1" operator="lessThan">
      <formula>0.5</formula>
    </cfRule>
  </conditionalFormatting>
  <conditionalFormatting sqref="AP66">
    <cfRule type="cellIs" dxfId="7532" priority="136750" stopIfTrue="1" operator="greaterThanOrEqual">
      <formula>0.5</formula>
    </cfRule>
  </conditionalFormatting>
  <conditionalFormatting sqref="AP67">
    <cfRule type="cellIs" dxfId="7531" priority="136751" stopIfTrue="1" operator="equal">
      <formula>-1</formula>
    </cfRule>
  </conditionalFormatting>
  <conditionalFormatting sqref="AP67">
    <cfRule type="cellIs" dxfId="7530" priority="136752" stopIfTrue="1" operator="lessThan">
      <formula>0.5</formula>
    </cfRule>
  </conditionalFormatting>
  <conditionalFormatting sqref="AP67">
    <cfRule type="cellIs" dxfId="7529" priority="136753" stopIfTrue="1" operator="greaterThanOrEqual">
      <formula>0.5</formula>
    </cfRule>
  </conditionalFormatting>
  <conditionalFormatting sqref="AP68">
    <cfRule type="cellIs" dxfId="7528" priority="136754" stopIfTrue="1" operator="equal">
      <formula>-1</formula>
    </cfRule>
  </conditionalFormatting>
  <conditionalFormatting sqref="AP68">
    <cfRule type="cellIs" dxfId="7527" priority="136755" stopIfTrue="1" operator="lessThan">
      <formula>0.5</formula>
    </cfRule>
  </conditionalFormatting>
  <conditionalFormatting sqref="AP68">
    <cfRule type="cellIs" dxfId="7526" priority="136756" stopIfTrue="1" operator="greaterThanOrEqual">
      <formula>0.5</formula>
    </cfRule>
  </conditionalFormatting>
  <conditionalFormatting sqref="AP69">
    <cfRule type="cellIs" dxfId="7525" priority="136757" stopIfTrue="1" operator="equal">
      <formula>-1</formula>
    </cfRule>
  </conditionalFormatting>
  <conditionalFormatting sqref="AP69">
    <cfRule type="cellIs" dxfId="7524" priority="136758" stopIfTrue="1" operator="lessThan">
      <formula>0.5</formula>
    </cfRule>
  </conditionalFormatting>
  <conditionalFormatting sqref="AP69">
    <cfRule type="cellIs" dxfId="7523" priority="136759" stopIfTrue="1" operator="greaterThanOrEqual">
      <formula>0.5</formula>
    </cfRule>
  </conditionalFormatting>
  <conditionalFormatting sqref="AP70">
    <cfRule type="cellIs" dxfId="7522" priority="136760" stopIfTrue="1" operator="equal">
      <formula>-1</formula>
    </cfRule>
  </conditionalFormatting>
  <conditionalFormatting sqref="AP70">
    <cfRule type="cellIs" dxfId="7521" priority="136761" stopIfTrue="1" operator="lessThan">
      <formula>0.5</formula>
    </cfRule>
  </conditionalFormatting>
  <conditionalFormatting sqref="AP70">
    <cfRule type="cellIs" dxfId="7520" priority="136762" stopIfTrue="1" operator="greaterThanOrEqual">
      <formula>0.5</formula>
    </cfRule>
  </conditionalFormatting>
  <conditionalFormatting sqref="AP71">
    <cfRule type="cellIs" dxfId="7519" priority="136763" stopIfTrue="1" operator="equal">
      <formula>-1</formula>
    </cfRule>
  </conditionalFormatting>
  <conditionalFormatting sqref="AP71">
    <cfRule type="cellIs" dxfId="7518" priority="136764" stopIfTrue="1" operator="lessThan">
      <formula>0.5</formula>
    </cfRule>
  </conditionalFormatting>
  <conditionalFormatting sqref="AP71">
    <cfRule type="cellIs" dxfId="7517" priority="136765" stopIfTrue="1" operator="greaterThanOrEqual">
      <formula>0.5</formula>
    </cfRule>
  </conditionalFormatting>
  <conditionalFormatting sqref="AP72">
    <cfRule type="cellIs" dxfId="7516" priority="136766" stopIfTrue="1" operator="equal">
      <formula>-1</formula>
    </cfRule>
  </conditionalFormatting>
  <conditionalFormatting sqref="AP72">
    <cfRule type="cellIs" dxfId="7515" priority="136767" stopIfTrue="1" operator="lessThan">
      <formula>0.5</formula>
    </cfRule>
  </conditionalFormatting>
  <conditionalFormatting sqref="AP72">
    <cfRule type="cellIs" dxfId="7514" priority="136768" stopIfTrue="1" operator="greaterThanOrEqual">
      <formula>0.5</formula>
    </cfRule>
  </conditionalFormatting>
  <conditionalFormatting sqref="AP73">
    <cfRule type="cellIs" dxfId="7513" priority="136769" stopIfTrue="1" operator="equal">
      <formula>-1</formula>
    </cfRule>
  </conditionalFormatting>
  <conditionalFormatting sqref="AP73">
    <cfRule type="cellIs" dxfId="7512" priority="136770" stopIfTrue="1" operator="lessThan">
      <formula>0.5</formula>
    </cfRule>
  </conditionalFormatting>
  <conditionalFormatting sqref="AP73">
    <cfRule type="cellIs" dxfId="7511" priority="136771" stopIfTrue="1" operator="greaterThanOrEqual">
      <formula>0.5</formula>
    </cfRule>
  </conditionalFormatting>
  <conditionalFormatting sqref="AP74">
    <cfRule type="cellIs" dxfId="7510" priority="136772" stopIfTrue="1" operator="equal">
      <formula>-1</formula>
    </cfRule>
  </conditionalFormatting>
  <conditionalFormatting sqref="AP74">
    <cfRule type="cellIs" dxfId="7509" priority="136773" stopIfTrue="1" operator="lessThan">
      <formula>0.5</formula>
    </cfRule>
  </conditionalFormatting>
  <conditionalFormatting sqref="AP74">
    <cfRule type="cellIs" dxfId="7508" priority="136774" stopIfTrue="1" operator="greaterThanOrEqual">
      <formula>0.5</formula>
    </cfRule>
  </conditionalFormatting>
  <conditionalFormatting sqref="AP75">
    <cfRule type="cellIs" dxfId="7507" priority="136775" stopIfTrue="1" operator="equal">
      <formula>-1</formula>
    </cfRule>
  </conditionalFormatting>
  <conditionalFormatting sqref="AP75">
    <cfRule type="cellIs" dxfId="7506" priority="136776" stopIfTrue="1" operator="lessThan">
      <formula>0.5</formula>
    </cfRule>
  </conditionalFormatting>
  <conditionalFormatting sqref="AP75">
    <cfRule type="cellIs" dxfId="7505" priority="136777" stopIfTrue="1" operator="greaterThanOrEqual">
      <formula>0.5</formula>
    </cfRule>
  </conditionalFormatting>
  <conditionalFormatting sqref="AP76">
    <cfRule type="cellIs" dxfId="7504" priority="136778" stopIfTrue="1" operator="equal">
      <formula>-1</formula>
    </cfRule>
  </conditionalFormatting>
  <conditionalFormatting sqref="AP76">
    <cfRule type="cellIs" dxfId="7503" priority="136779" stopIfTrue="1" operator="lessThan">
      <formula>0.5</formula>
    </cfRule>
  </conditionalFormatting>
  <conditionalFormatting sqref="AP76">
    <cfRule type="cellIs" dxfId="7502" priority="136780" stopIfTrue="1" operator="greaterThanOrEqual">
      <formula>0.5</formula>
    </cfRule>
  </conditionalFormatting>
  <conditionalFormatting sqref="AP77">
    <cfRule type="cellIs" dxfId="7501" priority="136781" stopIfTrue="1" operator="equal">
      <formula>-1</formula>
    </cfRule>
  </conditionalFormatting>
  <conditionalFormatting sqref="AP77">
    <cfRule type="cellIs" dxfId="7500" priority="136782" stopIfTrue="1" operator="lessThan">
      <formula>0.5</formula>
    </cfRule>
  </conditionalFormatting>
  <conditionalFormatting sqref="AP77">
    <cfRule type="cellIs" dxfId="7499" priority="136783" stopIfTrue="1" operator="greaterThanOrEqual">
      <formula>0.5</formula>
    </cfRule>
  </conditionalFormatting>
  <conditionalFormatting sqref="AP78">
    <cfRule type="cellIs" dxfId="7498" priority="136784" stopIfTrue="1" operator="equal">
      <formula>-1</formula>
    </cfRule>
  </conditionalFormatting>
  <conditionalFormatting sqref="AP78">
    <cfRule type="cellIs" dxfId="7497" priority="136785" stopIfTrue="1" operator="lessThan">
      <formula>0.5</formula>
    </cfRule>
  </conditionalFormatting>
  <conditionalFormatting sqref="AP78">
    <cfRule type="cellIs" dxfId="7496" priority="136786" stopIfTrue="1" operator="greaterThanOrEqual">
      <formula>0.5</formula>
    </cfRule>
  </conditionalFormatting>
  <conditionalFormatting sqref="AP79">
    <cfRule type="cellIs" dxfId="7495" priority="136787" stopIfTrue="1" operator="equal">
      <formula>-1</formula>
    </cfRule>
  </conditionalFormatting>
  <conditionalFormatting sqref="AP79">
    <cfRule type="cellIs" dxfId="7494" priority="136788" stopIfTrue="1" operator="lessThan">
      <formula>0.5</formula>
    </cfRule>
  </conditionalFormatting>
  <conditionalFormatting sqref="AP79">
    <cfRule type="cellIs" dxfId="7493" priority="136789" stopIfTrue="1" operator="greaterThanOrEqual">
      <formula>0.5</formula>
    </cfRule>
  </conditionalFormatting>
  <conditionalFormatting sqref="AP80">
    <cfRule type="cellIs" dxfId="7492" priority="136790" stopIfTrue="1" operator="equal">
      <formula>-1</formula>
    </cfRule>
  </conditionalFormatting>
  <conditionalFormatting sqref="AP80">
    <cfRule type="cellIs" dxfId="7491" priority="136791" stopIfTrue="1" operator="lessThan">
      <formula>0.5</formula>
    </cfRule>
  </conditionalFormatting>
  <conditionalFormatting sqref="AP80">
    <cfRule type="cellIs" dxfId="7490" priority="136792" stopIfTrue="1" operator="greaterThanOrEqual">
      <formula>0.5</formula>
    </cfRule>
  </conditionalFormatting>
  <conditionalFormatting sqref="AP81">
    <cfRule type="cellIs" dxfId="7489" priority="136793" stopIfTrue="1" operator="equal">
      <formula>-1</formula>
    </cfRule>
  </conditionalFormatting>
  <conditionalFormatting sqref="AP81">
    <cfRule type="cellIs" dxfId="7488" priority="136794" stopIfTrue="1" operator="lessThan">
      <formula>0.5</formula>
    </cfRule>
  </conditionalFormatting>
  <conditionalFormatting sqref="AP81">
    <cfRule type="cellIs" dxfId="7487" priority="136795" stopIfTrue="1" operator="greaterThanOrEqual">
      <formula>0.5</formula>
    </cfRule>
  </conditionalFormatting>
  <conditionalFormatting sqref="AP82">
    <cfRule type="cellIs" dxfId="7486" priority="136796" stopIfTrue="1" operator="equal">
      <formula>-1</formula>
    </cfRule>
  </conditionalFormatting>
  <conditionalFormatting sqref="AP82">
    <cfRule type="cellIs" dxfId="7485" priority="136797" stopIfTrue="1" operator="lessThan">
      <formula>0.5</formula>
    </cfRule>
  </conditionalFormatting>
  <conditionalFormatting sqref="AP82">
    <cfRule type="cellIs" dxfId="7484" priority="136798" stopIfTrue="1" operator="greaterThanOrEqual">
      <formula>0.5</formula>
    </cfRule>
  </conditionalFormatting>
  <conditionalFormatting sqref="AP83">
    <cfRule type="cellIs" dxfId="7483" priority="136799" stopIfTrue="1" operator="equal">
      <formula>-1</formula>
    </cfRule>
  </conditionalFormatting>
  <conditionalFormatting sqref="AP83">
    <cfRule type="cellIs" dxfId="7482" priority="136800" stopIfTrue="1" operator="lessThan">
      <formula>0.5</formula>
    </cfRule>
  </conditionalFormatting>
  <conditionalFormatting sqref="AP83">
    <cfRule type="cellIs" dxfId="7481" priority="136801" stopIfTrue="1" operator="greaterThanOrEqual">
      <formula>0.5</formula>
    </cfRule>
  </conditionalFormatting>
  <conditionalFormatting sqref="AP84">
    <cfRule type="cellIs" dxfId="7480" priority="136802" stopIfTrue="1" operator="equal">
      <formula>-1</formula>
    </cfRule>
  </conditionalFormatting>
  <conditionalFormatting sqref="AP84">
    <cfRule type="cellIs" dxfId="7479" priority="136803" stopIfTrue="1" operator="lessThan">
      <formula>0.5</formula>
    </cfRule>
  </conditionalFormatting>
  <conditionalFormatting sqref="AP84">
    <cfRule type="cellIs" dxfId="7478" priority="136804" stopIfTrue="1" operator="greaterThanOrEqual">
      <formula>0.5</formula>
    </cfRule>
  </conditionalFormatting>
  <conditionalFormatting sqref="AP85">
    <cfRule type="cellIs" dxfId="7477" priority="136805" stopIfTrue="1" operator="equal">
      <formula>-1</formula>
    </cfRule>
  </conditionalFormatting>
  <conditionalFormatting sqref="AP85">
    <cfRule type="cellIs" dxfId="7476" priority="136806" stopIfTrue="1" operator="lessThan">
      <formula>0.5</formula>
    </cfRule>
  </conditionalFormatting>
  <conditionalFormatting sqref="AP85">
    <cfRule type="cellIs" dxfId="7475" priority="136807" stopIfTrue="1" operator="greaterThanOrEqual">
      <formula>0.5</formula>
    </cfRule>
  </conditionalFormatting>
  <conditionalFormatting sqref="AR65">
    <cfRule type="cellIs" dxfId="7474" priority="136808" stopIfTrue="1" operator="equal">
      <formula>-1</formula>
    </cfRule>
  </conditionalFormatting>
  <conditionalFormatting sqref="AR65">
    <cfRule type="cellIs" dxfId="7473" priority="136809" stopIfTrue="1" operator="lessThan">
      <formula>0.5</formula>
    </cfRule>
  </conditionalFormatting>
  <conditionalFormatting sqref="AR65">
    <cfRule type="cellIs" dxfId="7472" priority="136810" stopIfTrue="1" operator="greaterThanOrEqual">
      <formula>0.5</formula>
    </cfRule>
  </conditionalFormatting>
  <conditionalFormatting sqref="AR66">
    <cfRule type="cellIs" dxfId="7471" priority="136811" stopIfTrue="1" operator="equal">
      <formula>-1</formula>
    </cfRule>
  </conditionalFormatting>
  <conditionalFormatting sqref="AR66">
    <cfRule type="cellIs" dxfId="7470" priority="136812" stopIfTrue="1" operator="lessThan">
      <formula>0.5</formula>
    </cfRule>
  </conditionalFormatting>
  <conditionalFormatting sqref="AR66">
    <cfRule type="cellIs" dxfId="7469" priority="136813" stopIfTrue="1" operator="greaterThanOrEqual">
      <formula>0.5</formula>
    </cfRule>
  </conditionalFormatting>
  <conditionalFormatting sqref="AR67">
    <cfRule type="cellIs" dxfId="7468" priority="136814" stopIfTrue="1" operator="equal">
      <formula>-1</formula>
    </cfRule>
  </conditionalFormatting>
  <conditionalFormatting sqref="AR67">
    <cfRule type="cellIs" dxfId="7467" priority="136815" stopIfTrue="1" operator="lessThan">
      <formula>0.5</formula>
    </cfRule>
  </conditionalFormatting>
  <conditionalFormatting sqref="AR67">
    <cfRule type="cellIs" dxfId="7466" priority="136816" stopIfTrue="1" operator="greaterThanOrEqual">
      <formula>0.5</formula>
    </cfRule>
  </conditionalFormatting>
  <conditionalFormatting sqref="AR68">
    <cfRule type="cellIs" dxfId="7465" priority="136817" stopIfTrue="1" operator="equal">
      <formula>-1</formula>
    </cfRule>
  </conditionalFormatting>
  <conditionalFormatting sqref="AR68">
    <cfRule type="cellIs" dxfId="7464" priority="136818" stopIfTrue="1" operator="lessThan">
      <formula>0.5</formula>
    </cfRule>
  </conditionalFormatting>
  <conditionalFormatting sqref="AR68">
    <cfRule type="cellIs" dxfId="7463" priority="136819" stopIfTrue="1" operator="greaterThanOrEqual">
      <formula>0.5</formula>
    </cfRule>
  </conditionalFormatting>
  <conditionalFormatting sqref="AR69">
    <cfRule type="cellIs" dxfId="7462" priority="136820" stopIfTrue="1" operator="equal">
      <formula>-1</formula>
    </cfRule>
  </conditionalFormatting>
  <conditionalFormatting sqref="AR69">
    <cfRule type="cellIs" dxfId="7461" priority="136821" stopIfTrue="1" operator="lessThan">
      <formula>0.5</formula>
    </cfRule>
  </conditionalFormatting>
  <conditionalFormatting sqref="AR69">
    <cfRule type="cellIs" dxfId="7460" priority="136822" stopIfTrue="1" operator="greaterThanOrEqual">
      <formula>0.5</formula>
    </cfRule>
  </conditionalFormatting>
  <conditionalFormatting sqref="AR70">
    <cfRule type="cellIs" dxfId="7459" priority="136823" stopIfTrue="1" operator="equal">
      <formula>-1</formula>
    </cfRule>
  </conditionalFormatting>
  <conditionalFormatting sqref="AR70">
    <cfRule type="cellIs" dxfId="7458" priority="136824" stopIfTrue="1" operator="lessThan">
      <formula>0.5</formula>
    </cfRule>
  </conditionalFormatting>
  <conditionalFormatting sqref="AR70">
    <cfRule type="cellIs" dxfId="7457" priority="136825" stopIfTrue="1" operator="greaterThanOrEqual">
      <formula>0.5</formula>
    </cfRule>
  </conditionalFormatting>
  <conditionalFormatting sqref="AR71">
    <cfRule type="cellIs" dxfId="7456" priority="136826" stopIfTrue="1" operator="equal">
      <formula>-1</formula>
    </cfRule>
  </conditionalFormatting>
  <conditionalFormatting sqref="AR71">
    <cfRule type="cellIs" dxfId="7455" priority="136827" stopIfTrue="1" operator="lessThan">
      <formula>0.5</formula>
    </cfRule>
  </conditionalFormatting>
  <conditionalFormatting sqref="AR71">
    <cfRule type="cellIs" dxfId="7454" priority="136828" stopIfTrue="1" operator="greaterThanOrEqual">
      <formula>0.5</formula>
    </cfRule>
  </conditionalFormatting>
  <conditionalFormatting sqref="AR72">
    <cfRule type="cellIs" dxfId="7453" priority="136829" stopIfTrue="1" operator="equal">
      <formula>-1</formula>
    </cfRule>
  </conditionalFormatting>
  <conditionalFormatting sqref="AR72">
    <cfRule type="cellIs" dxfId="7452" priority="136830" stopIfTrue="1" operator="lessThan">
      <formula>0.5</formula>
    </cfRule>
  </conditionalFormatting>
  <conditionalFormatting sqref="AR72">
    <cfRule type="cellIs" dxfId="7451" priority="136831" stopIfTrue="1" operator="greaterThanOrEqual">
      <formula>0.5</formula>
    </cfRule>
  </conditionalFormatting>
  <conditionalFormatting sqref="AR73">
    <cfRule type="cellIs" dxfId="7450" priority="136832" stopIfTrue="1" operator="equal">
      <formula>-1</formula>
    </cfRule>
  </conditionalFormatting>
  <conditionalFormatting sqref="AR73">
    <cfRule type="cellIs" dxfId="7449" priority="136833" stopIfTrue="1" operator="lessThan">
      <formula>0.5</formula>
    </cfRule>
  </conditionalFormatting>
  <conditionalFormatting sqref="AR73">
    <cfRule type="cellIs" dxfId="7448" priority="136834" stopIfTrue="1" operator="greaterThanOrEqual">
      <formula>0.5</formula>
    </cfRule>
  </conditionalFormatting>
  <conditionalFormatting sqref="AR74">
    <cfRule type="cellIs" dxfId="7447" priority="136835" stopIfTrue="1" operator="equal">
      <formula>-1</formula>
    </cfRule>
  </conditionalFormatting>
  <conditionalFormatting sqref="AR74">
    <cfRule type="cellIs" dxfId="7446" priority="136836" stopIfTrue="1" operator="lessThan">
      <formula>0.5</formula>
    </cfRule>
  </conditionalFormatting>
  <conditionalFormatting sqref="AR74">
    <cfRule type="cellIs" dxfId="7445" priority="136837" stopIfTrue="1" operator="greaterThanOrEqual">
      <formula>0.5</formula>
    </cfRule>
  </conditionalFormatting>
  <conditionalFormatting sqref="AR75">
    <cfRule type="cellIs" dxfId="7444" priority="136838" stopIfTrue="1" operator="equal">
      <formula>-1</formula>
    </cfRule>
  </conditionalFormatting>
  <conditionalFormatting sqref="AR75">
    <cfRule type="cellIs" dxfId="7443" priority="136839" stopIfTrue="1" operator="lessThan">
      <formula>0.5</formula>
    </cfRule>
  </conditionalFormatting>
  <conditionalFormatting sqref="AR75">
    <cfRule type="cellIs" dxfId="7442" priority="136840" stopIfTrue="1" operator="greaterThanOrEqual">
      <formula>0.5</formula>
    </cfRule>
  </conditionalFormatting>
  <conditionalFormatting sqref="AR76">
    <cfRule type="cellIs" dxfId="7441" priority="136841" stopIfTrue="1" operator="equal">
      <formula>-1</formula>
    </cfRule>
  </conditionalFormatting>
  <conditionalFormatting sqref="AR76">
    <cfRule type="cellIs" dxfId="7440" priority="136842" stopIfTrue="1" operator="lessThan">
      <formula>0.5</formula>
    </cfRule>
  </conditionalFormatting>
  <conditionalFormatting sqref="AR76">
    <cfRule type="cellIs" dxfId="7439" priority="136843" stopIfTrue="1" operator="greaterThanOrEqual">
      <formula>0.5</formula>
    </cfRule>
  </conditionalFormatting>
  <conditionalFormatting sqref="AR77">
    <cfRule type="cellIs" dxfId="7438" priority="136844" stopIfTrue="1" operator="equal">
      <formula>-1</formula>
    </cfRule>
  </conditionalFormatting>
  <conditionalFormatting sqref="AR77">
    <cfRule type="cellIs" dxfId="7437" priority="136845" stopIfTrue="1" operator="lessThan">
      <formula>0.5</formula>
    </cfRule>
  </conditionalFormatting>
  <conditionalFormatting sqref="AR77">
    <cfRule type="cellIs" dxfId="7436" priority="136846" stopIfTrue="1" operator="greaterThanOrEqual">
      <formula>0.5</formula>
    </cfRule>
  </conditionalFormatting>
  <conditionalFormatting sqref="AR78">
    <cfRule type="cellIs" dxfId="7435" priority="136847" stopIfTrue="1" operator="equal">
      <formula>-1</formula>
    </cfRule>
  </conditionalFormatting>
  <conditionalFormatting sqref="AR78">
    <cfRule type="cellIs" dxfId="7434" priority="136848" stopIfTrue="1" operator="lessThan">
      <formula>0.5</formula>
    </cfRule>
  </conditionalFormatting>
  <conditionalFormatting sqref="AR78">
    <cfRule type="cellIs" dxfId="7433" priority="136849" stopIfTrue="1" operator="greaterThanOrEqual">
      <formula>0.5</formula>
    </cfRule>
  </conditionalFormatting>
  <conditionalFormatting sqref="AR79">
    <cfRule type="cellIs" dxfId="7432" priority="136850" stopIfTrue="1" operator="equal">
      <formula>-1</formula>
    </cfRule>
  </conditionalFormatting>
  <conditionalFormatting sqref="AR79">
    <cfRule type="cellIs" dxfId="7431" priority="136851" stopIfTrue="1" operator="lessThan">
      <formula>0.5</formula>
    </cfRule>
  </conditionalFormatting>
  <conditionalFormatting sqref="AR79">
    <cfRule type="cellIs" dxfId="7430" priority="136852" stopIfTrue="1" operator="greaterThanOrEqual">
      <formula>0.5</formula>
    </cfRule>
  </conditionalFormatting>
  <conditionalFormatting sqref="AR80">
    <cfRule type="cellIs" dxfId="7429" priority="136853" stopIfTrue="1" operator="equal">
      <formula>-1</formula>
    </cfRule>
  </conditionalFormatting>
  <conditionalFormatting sqref="AR80">
    <cfRule type="cellIs" dxfId="7428" priority="136854" stopIfTrue="1" operator="lessThan">
      <formula>0.5</formula>
    </cfRule>
  </conditionalFormatting>
  <conditionalFormatting sqref="AR80">
    <cfRule type="cellIs" dxfId="7427" priority="136855" stopIfTrue="1" operator="greaterThanOrEqual">
      <formula>0.5</formula>
    </cfRule>
  </conditionalFormatting>
  <conditionalFormatting sqref="AR81">
    <cfRule type="cellIs" dxfId="7426" priority="136856" stopIfTrue="1" operator="equal">
      <formula>-1</formula>
    </cfRule>
  </conditionalFormatting>
  <conditionalFormatting sqref="AR81">
    <cfRule type="cellIs" dxfId="7425" priority="136857" stopIfTrue="1" operator="lessThan">
      <formula>0.5</formula>
    </cfRule>
  </conditionalFormatting>
  <conditionalFormatting sqref="AR81">
    <cfRule type="cellIs" dxfId="7424" priority="136858" stopIfTrue="1" operator="greaterThanOrEqual">
      <formula>0.5</formula>
    </cfRule>
  </conditionalFormatting>
  <conditionalFormatting sqref="AR82">
    <cfRule type="cellIs" dxfId="7423" priority="136859" stopIfTrue="1" operator="equal">
      <formula>-1</formula>
    </cfRule>
  </conditionalFormatting>
  <conditionalFormatting sqref="AR82">
    <cfRule type="cellIs" dxfId="7422" priority="136860" stopIfTrue="1" operator="lessThan">
      <formula>0.5</formula>
    </cfRule>
  </conditionalFormatting>
  <conditionalFormatting sqref="AR82">
    <cfRule type="cellIs" dxfId="7421" priority="136861" stopIfTrue="1" operator="greaterThanOrEqual">
      <formula>0.5</formula>
    </cfRule>
  </conditionalFormatting>
  <conditionalFormatting sqref="AR83">
    <cfRule type="cellIs" dxfId="7420" priority="136862" stopIfTrue="1" operator="equal">
      <formula>-1</formula>
    </cfRule>
  </conditionalFormatting>
  <conditionalFormatting sqref="AR83">
    <cfRule type="cellIs" dxfId="7419" priority="136863" stopIfTrue="1" operator="lessThan">
      <formula>0.5</formula>
    </cfRule>
  </conditionalFormatting>
  <conditionalFormatting sqref="AR83">
    <cfRule type="cellIs" dxfId="7418" priority="136864" stopIfTrue="1" operator="greaterThanOrEqual">
      <formula>0.5</formula>
    </cfRule>
  </conditionalFormatting>
  <conditionalFormatting sqref="AR84">
    <cfRule type="cellIs" dxfId="7417" priority="136865" stopIfTrue="1" operator="equal">
      <formula>-1</formula>
    </cfRule>
  </conditionalFormatting>
  <conditionalFormatting sqref="AR84">
    <cfRule type="cellIs" dxfId="7416" priority="136866" stopIfTrue="1" operator="lessThan">
      <formula>0.5</formula>
    </cfRule>
  </conditionalFormatting>
  <conditionalFormatting sqref="AR84">
    <cfRule type="cellIs" dxfId="7415" priority="136867" stopIfTrue="1" operator="greaterThanOrEqual">
      <formula>0.5</formula>
    </cfRule>
  </conditionalFormatting>
  <conditionalFormatting sqref="AR85">
    <cfRule type="cellIs" dxfId="7414" priority="136868" stopIfTrue="1" operator="equal">
      <formula>-1</formula>
    </cfRule>
  </conditionalFormatting>
  <conditionalFormatting sqref="AR85">
    <cfRule type="cellIs" dxfId="7413" priority="136869" stopIfTrue="1" operator="lessThan">
      <formula>0.5</formula>
    </cfRule>
  </conditionalFormatting>
  <conditionalFormatting sqref="AR85">
    <cfRule type="cellIs" dxfId="7412" priority="136870" stopIfTrue="1" operator="greaterThanOrEqual">
      <formula>0.5</formula>
    </cfRule>
  </conditionalFormatting>
  <conditionalFormatting sqref="AT65">
    <cfRule type="cellIs" dxfId="7411" priority="136871" stopIfTrue="1" operator="equal">
      <formula>-1</formula>
    </cfRule>
  </conditionalFormatting>
  <conditionalFormatting sqref="AT65">
    <cfRule type="cellIs" dxfId="7410" priority="136872" stopIfTrue="1" operator="lessThan">
      <formula>0.5</formula>
    </cfRule>
  </conditionalFormatting>
  <conditionalFormatting sqref="AT65">
    <cfRule type="cellIs" dxfId="7409" priority="136873" stopIfTrue="1" operator="greaterThanOrEqual">
      <formula>0.5</formula>
    </cfRule>
  </conditionalFormatting>
  <conditionalFormatting sqref="AT66">
    <cfRule type="cellIs" dxfId="7408" priority="136874" stopIfTrue="1" operator="equal">
      <formula>-1</formula>
    </cfRule>
  </conditionalFormatting>
  <conditionalFormatting sqref="AT66">
    <cfRule type="cellIs" dxfId="7407" priority="136875" stopIfTrue="1" operator="lessThan">
      <formula>0.5</formula>
    </cfRule>
  </conditionalFormatting>
  <conditionalFormatting sqref="AT66">
    <cfRule type="cellIs" dxfId="7406" priority="136876" stopIfTrue="1" operator="greaterThanOrEqual">
      <formula>0.5</formula>
    </cfRule>
  </conditionalFormatting>
  <conditionalFormatting sqref="AT67">
    <cfRule type="cellIs" dxfId="7405" priority="136877" stopIfTrue="1" operator="equal">
      <formula>-1</formula>
    </cfRule>
  </conditionalFormatting>
  <conditionalFormatting sqref="AT67">
    <cfRule type="cellIs" dxfId="7404" priority="136878" stopIfTrue="1" operator="lessThan">
      <formula>0.5</formula>
    </cfRule>
  </conditionalFormatting>
  <conditionalFormatting sqref="AT67">
    <cfRule type="cellIs" dxfId="7403" priority="136879" stopIfTrue="1" operator="greaterThanOrEqual">
      <formula>0.5</formula>
    </cfRule>
  </conditionalFormatting>
  <conditionalFormatting sqref="AT68">
    <cfRule type="cellIs" dxfId="7402" priority="136880" stopIfTrue="1" operator="equal">
      <formula>-1</formula>
    </cfRule>
  </conditionalFormatting>
  <conditionalFormatting sqref="AT68">
    <cfRule type="cellIs" dxfId="7401" priority="136881" stopIfTrue="1" operator="lessThan">
      <formula>0.5</formula>
    </cfRule>
  </conditionalFormatting>
  <conditionalFormatting sqref="AT68">
    <cfRule type="cellIs" dxfId="7400" priority="136882" stopIfTrue="1" operator="greaterThanOrEqual">
      <formula>0.5</formula>
    </cfRule>
  </conditionalFormatting>
  <conditionalFormatting sqref="AT69">
    <cfRule type="cellIs" dxfId="7399" priority="136883" stopIfTrue="1" operator="equal">
      <formula>-1</formula>
    </cfRule>
  </conditionalFormatting>
  <conditionalFormatting sqref="AT69">
    <cfRule type="cellIs" dxfId="7398" priority="136884" stopIfTrue="1" operator="lessThan">
      <formula>0.5</formula>
    </cfRule>
  </conditionalFormatting>
  <conditionalFormatting sqref="AT69">
    <cfRule type="cellIs" dxfId="7397" priority="136885" stopIfTrue="1" operator="greaterThanOrEqual">
      <formula>0.5</formula>
    </cfRule>
  </conditionalFormatting>
  <conditionalFormatting sqref="AT70">
    <cfRule type="cellIs" dxfId="7396" priority="136886" stopIfTrue="1" operator="equal">
      <formula>-1</formula>
    </cfRule>
  </conditionalFormatting>
  <conditionalFormatting sqref="AT70">
    <cfRule type="cellIs" dxfId="7395" priority="136887" stopIfTrue="1" operator="lessThan">
      <formula>0.5</formula>
    </cfRule>
  </conditionalFormatting>
  <conditionalFormatting sqref="AT70">
    <cfRule type="cellIs" dxfId="7394" priority="136888" stopIfTrue="1" operator="greaterThanOrEqual">
      <formula>0.5</formula>
    </cfRule>
  </conditionalFormatting>
  <conditionalFormatting sqref="AT71">
    <cfRule type="cellIs" dxfId="7393" priority="136889" stopIfTrue="1" operator="equal">
      <formula>-1</formula>
    </cfRule>
  </conditionalFormatting>
  <conditionalFormatting sqref="AT71">
    <cfRule type="cellIs" dxfId="7392" priority="136890" stopIfTrue="1" operator="lessThan">
      <formula>0.5</formula>
    </cfRule>
  </conditionalFormatting>
  <conditionalFormatting sqref="AT71">
    <cfRule type="cellIs" dxfId="7391" priority="136891" stopIfTrue="1" operator="greaterThanOrEqual">
      <formula>0.5</formula>
    </cfRule>
  </conditionalFormatting>
  <conditionalFormatting sqref="AT72">
    <cfRule type="cellIs" dxfId="7390" priority="136892" stopIfTrue="1" operator="equal">
      <formula>-1</formula>
    </cfRule>
  </conditionalFormatting>
  <conditionalFormatting sqref="AT72">
    <cfRule type="cellIs" dxfId="7389" priority="136893" stopIfTrue="1" operator="lessThan">
      <formula>0.5</formula>
    </cfRule>
  </conditionalFormatting>
  <conditionalFormatting sqref="AT72">
    <cfRule type="cellIs" dxfId="7388" priority="136894" stopIfTrue="1" operator="greaterThanOrEqual">
      <formula>0.5</formula>
    </cfRule>
  </conditionalFormatting>
  <conditionalFormatting sqref="AT73">
    <cfRule type="cellIs" dxfId="7387" priority="136895" stopIfTrue="1" operator="equal">
      <formula>-1</formula>
    </cfRule>
  </conditionalFormatting>
  <conditionalFormatting sqref="AT73">
    <cfRule type="cellIs" dxfId="7386" priority="136896" stopIfTrue="1" operator="lessThan">
      <formula>0.5</formula>
    </cfRule>
  </conditionalFormatting>
  <conditionalFormatting sqref="AT73">
    <cfRule type="cellIs" dxfId="7385" priority="136897" stopIfTrue="1" operator="greaterThanOrEqual">
      <formula>0.5</formula>
    </cfRule>
  </conditionalFormatting>
  <conditionalFormatting sqref="AT74">
    <cfRule type="cellIs" dxfId="7384" priority="136898" stopIfTrue="1" operator="equal">
      <formula>-1</formula>
    </cfRule>
  </conditionalFormatting>
  <conditionalFormatting sqref="AT74">
    <cfRule type="cellIs" dxfId="7383" priority="136899" stopIfTrue="1" operator="lessThan">
      <formula>0.5</formula>
    </cfRule>
  </conditionalFormatting>
  <conditionalFormatting sqref="AT74">
    <cfRule type="cellIs" dxfId="7382" priority="136900" stopIfTrue="1" operator="greaterThanOrEqual">
      <formula>0.5</formula>
    </cfRule>
  </conditionalFormatting>
  <conditionalFormatting sqref="AT75">
    <cfRule type="cellIs" dxfId="7381" priority="136901" stopIfTrue="1" operator="equal">
      <formula>-1</formula>
    </cfRule>
  </conditionalFormatting>
  <conditionalFormatting sqref="AT75">
    <cfRule type="cellIs" dxfId="7380" priority="136902" stopIfTrue="1" operator="lessThan">
      <formula>0.5</formula>
    </cfRule>
  </conditionalFormatting>
  <conditionalFormatting sqref="AT75">
    <cfRule type="cellIs" dxfId="7379" priority="136903" stopIfTrue="1" operator="greaterThanOrEqual">
      <formula>0.5</formula>
    </cfRule>
  </conditionalFormatting>
  <conditionalFormatting sqref="AT76">
    <cfRule type="cellIs" dxfId="7378" priority="136904" stopIfTrue="1" operator="equal">
      <formula>-1</formula>
    </cfRule>
  </conditionalFormatting>
  <conditionalFormatting sqref="AT76">
    <cfRule type="cellIs" dxfId="7377" priority="136905" stopIfTrue="1" operator="lessThan">
      <formula>0.5</formula>
    </cfRule>
  </conditionalFormatting>
  <conditionalFormatting sqref="AT76">
    <cfRule type="cellIs" dxfId="7376" priority="136906" stopIfTrue="1" operator="greaterThanOrEqual">
      <formula>0.5</formula>
    </cfRule>
  </conditionalFormatting>
  <conditionalFormatting sqref="AT77">
    <cfRule type="cellIs" dxfId="7375" priority="136907" stopIfTrue="1" operator="equal">
      <formula>-1</formula>
    </cfRule>
  </conditionalFormatting>
  <conditionalFormatting sqref="AT77">
    <cfRule type="cellIs" dxfId="7374" priority="136908" stopIfTrue="1" operator="lessThan">
      <formula>0.5</formula>
    </cfRule>
  </conditionalFormatting>
  <conditionalFormatting sqref="AT77">
    <cfRule type="cellIs" dxfId="7373" priority="136909" stopIfTrue="1" operator="greaterThanOrEqual">
      <formula>0.5</formula>
    </cfRule>
  </conditionalFormatting>
  <conditionalFormatting sqref="AT78">
    <cfRule type="cellIs" dxfId="7372" priority="136910" stopIfTrue="1" operator="equal">
      <formula>-1</formula>
    </cfRule>
  </conditionalFormatting>
  <conditionalFormatting sqref="AT78">
    <cfRule type="cellIs" dxfId="7371" priority="136911" stopIfTrue="1" operator="lessThan">
      <formula>0.5</formula>
    </cfRule>
  </conditionalFormatting>
  <conditionalFormatting sqref="AT78">
    <cfRule type="cellIs" dxfId="7370" priority="136912" stopIfTrue="1" operator="greaterThanOrEqual">
      <formula>0.5</formula>
    </cfRule>
  </conditionalFormatting>
  <conditionalFormatting sqref="AT79">
    <cfRule type="cellIs" dxfId="7369" priority="136913" stopIfTrue="1" operator="equal">
      <formula>-1</formula>
    </cfRule>
  </conditionalFormatting>
  <conditionalFormatting sqref="AT79">
    <cfRule type="cellIs" dxfId="7368" priority="136914" stopIfTrue="1" operator="lessThan">
      <formula>0.5</formula>
    </cfRule>
  </conditionalFormatting>
  <conditionalFormatting sqref="AT79">
    <cfRule type="cellIs" dxfId="7367" priority="136915" stopIfTrue="1" operator="greaterThanOrEqual">
      <formula>0.5</formula>
    </cfRule>
  </conditionalFormatting>
  <conditionalFormatting sqref="AT80">
    <cfRule type="cellIs" dxfId="7366" priority="136916" stopIfTrue="1" operator="equal">
      <formula>-1</formula>
    </cfRule>
  </conditionalFormatting>
  <conditionalFormatting sqref="AT80">
    <cfRule type="cellIs" dxfId="7365" priority="136917" stopIfTrue="1" operator="lessThan">
      <formula>0.5</formula>
    </cfRule>
  </conditionalFormatting>
  <conditionalFormatting sqref="AT80">
    <cfRule type="cellIs" dxfId="7364" priority="136918" stopIfTrue="1" operator="greaterThanOrEqual">
      <formula>0.5</formula>
    </cfRule>
  </conditionalFormatting>
  <conditionalFormatting sqref="AT81">
    <cfRule type="cellIs" dxfId="7363" priority="136919" stopIfTrue="1" operator="equal">
      <formula>-1</formula>
    </cfRule>
  </conditionalFormatting>
  <conditionalFormatting sqref="AT81">
    <cfRule type="cellIs" dxfId="7362" priority="136920" stopIfTrue="1" operator="lessThan">
      <formula>0.5</formula>
    </cfRule>
  </conditionalFormatting>
  <conditionalFormatting sqref="AT81">
    <cfRule type="cellIs" dxfId="7361" priority="136921" stopIfTrue="1" operator="greaterThanOrEqual">
      <formula>0.5</formula>
    </cfRule>
  </conditionalFormatting>
  <conditionalFormatting sqref="AT82">
    <cfRule type="cellIs" dxfId="7360" priority="136922" stopIfTrue="1" operator="equal">
      <formula>-1</formula>
    </cfRule>
  </conditionalFormatting>
  <conditionalFormatting sqref="AT82">
    <cfRule type="cellIs" dxfId="7359" priority="136923" stopIfTrue="1" operator="lessThan">
      <formula>0.5</formula>
    </cfRule>
  </conditionalFormatting>
  <conditionalFormatting sqref="AT82">
    <cfRule type="cellIs" dxfId="7358" priority="136924" stopIfTrue="1" operator="greaterThanOrEqual">
      <formula>0.5</formula>
    </cfRule>
  </conditionalFormatting>
  <conditionalFormatting sqref="AT83">
    <cfRule type="cellIs" dxfId="7357" priority="136925" stopIfTrue="1" operator="equal">
      <formula>-1</formula>
    </cfRule>
  </conditionalFormatting>
  <conditionalFormatting sqref="AT83">
    <cfRule type="cellIs" dxfId="7356" priority="136926" stopIfTrue="1" operator="lessThan">
      <formula>0.5</formula>
    </cfRule>
  </conditionalFormatting>
  <conditionalFormatting sqref="AT83">
    <cfRule type="cellIs" dxfId="7355" priority="136927" stopIfTrue="1" operator="greaterThanOrEqual">
      <formula>0.5</formula>
    </cfRule>
  </conditionalFormatting>
  <conditionalFormatting sqref="AT84">
    <cfRule type="cellIs" dxfId="7354" priority="136928" stopIfTrue="1" operator="equal">
      <formula>-1</formula>
    </cfRule>
  </conditionalFormatting>
  <conditionalFormatting sqref="AT84">
    <cfRule type="cellIs" dxfId="7353" priority="136929" stopIfTrue="1" operator="lessThan">
      <formula>0.5</formula>
    </cfRule>
  </conditionalFormatting>
  <conditionalFormatting sqref="AT84">
    <cfRule type="cellIs" dxfId="7352" priority="136930" stopIfTrue="1" operator="greaterThanOrEqual">
      <formula>0.5</formula>
    </cfRule>
  </conditionalFormatting>
  <conditionalFormatting sqref="AT85">
    <cfRule type="cellIs" dxfId="7351" priority="136931" stopIfTrue="1" operator="equal">
      <formula>-1</formula>
    </cfRule>
  </conditionalFormatting>
  <conditionalFormatting sqref="AT85">
    <cfRule type="cellIs" dxfId="7350" priority="136932" stopIfTrue="1" operator="lessThan">
      <formula>0.5</formula>
    </cfRule>
  </conditionalFormatting>
  <conditionalFormatting sqref="AT85">
    <cfRule type="cellIs" dxfId="7349" priority="136933" stopIfTrue="1" operator="greaterThanOrEqual">
      <formula>0.5</formula>
    </cfRule>
  </conditionalFormatting>
  <conditionalFormatting sqref="AV65">
    <cfRule type="cellIs" dxfId="7348" priority="136934" stopIfTrue="1" operator="equal">
      <formula>-1</formula>
    </cfRule>
  </conditionalFormatting>
  <conditionalFormatting sqref="AV65">
    <cfRule type="cellIs" dxfId="7347" priority="136935" stopIfTrue="1" operator="lessThan">
      <formula>0.5</formula>
    </cfRule>
  </conditionalFormatting>
  <conditionalFormatting sqref="AV65">
    <cfRule type="cellIs" dxfId="7346" priority="136936" stopIfTrue="1" operator="greaterThanOrEqual">
      <formula>0.5</formula>
    </cfRule>
  </conditionalFormatting>
  <conditionalFormatting sqref="AV66">
    <cfRule type="cellIs" dxfId="7345" priority="136937" stopIfTrue="1" operator="equal">
      <formula>-1</formula>
    </cfRule>
  </conditionalFormatting>
  <conditionalFormatting sqref="AV66">
    <cfRule type="cellIs" dxfId="7344" priority="136938" stopIfTrue="1" operator="lessThan">
      <formula>0.5</formula>
    </cfRule>
  </conditionalFormatting>
  <conditionalFormatting sqref="AV66">
    <cfRule type="cellIs" dxfId="7343" priority="136939" stopIfTrue="1" operator="greaterThanOrEqual">
      <formula>0.5</formula>
    </cfRule>
  </conditionalFormatting>
  <conditionalFormatting sqref="AV67">
    <cfRule type="cellIs" dxfId="7342" priority="136940" stopIfTrue="1" operator="equal">
      <formula>-1</formula>
    </cfRule>
  </conditionalFormatting>
  <conditionalFormatting sqref="AV67">
    <cfRule type="cellIs" dxfId="7341" priority="136941" stopIfTrue="1" operator="lessThan">
      <formula>0.5</formula>
    </cfRule>
  </conditionalFormatting>
  <conditionalFormatting sqref="AV67">
    <cfRule type="cellIs" dxfId="7340" priority="136942" stopIfTrue="1" operator="greaterThanOrEqual">
      <formula>0.5</formula>
    </cfRule>
  </conditionalFormatting>
  <conditionalFormatting sqref="AV68">
    <cfRule type="cellIs" dxfId="7339" priority="136943" stopIfTrue="1" operator="equal">
      <formula>-1</formula>
    </cfRule>
  </conditionalFormatting>
  <conditionalFormatting sqref="AV68">
    <cfRule type="cellIs" dxfId="7338" priority="136944" stopIfTrue="1" operator="lessThan">
      <formula>0.5</formula>
    </cfRule>
  </conditionalFormatting>
  <conditionalFormatting sqref="AV68">
    <cfRule type="cellIs" dxfId="7337" priority="136945" stopIfTrue="1" operator="greaterThanOrEqual">
      <formula>0.5</formula>
    </cfRule>
  </conditionalFormatting>
  <conditionalFormatting sqref="AV69">
    <cfRule type="cellIs" dxfId="7336" priority="136946" stopIfTrue="1" operator="equal">
      <formula>-1</formula>
    </cfRule>
  </conditionalFormatting>
  <conditionalFormatting sqref="AV69">
    <cfRule type="cellIs" dxfId="7335" priority="136947" stopIfTrue="1" operator="lessThan">
      <formula>0.5</formula>
    </cfRule>
  </conditionalFormatting>
  <conditionalFormatting sqref="AV69">
    <cfRule type="cellIs" dxfId="7334" priority="136948" stopIfTrue="1" operator="greaterThanOrEqual">
      <formula>0.5</formula>
    </cfRule>
  </conditionalFormatting>
  <conditionalFormatting sqref="AV70">
    <cfRule type="cellIs" dxfId="7333" priority="136949" stopIfTrue="1" operator="equal">
      <formula>-1</formula>
    </cfRule>
  </conditionalFormatting>
  <conditionalFormatting sqref="AV70">
    <cfRule type="cellIs" dxfId="7332" priority="136950" stopIfTrue="1" operator="lessThan">
      <formula>0.5</formula>
    </cfRule>
  </conditionalFormatting>
  <conditionalFormatting sqref="AV70">
    <cfRule type="cellIs" dxfId="7331" priority="136951" stopIfTrue="1" operator="greaterThanOrEqual">
      <formula>0.5</formula>
    </cfRule>
  </conditionalFormatting>
  <conditionalFormatting sqref="AV71">
    <cfRule type="cellIs" dxfId="7330" priority="136952" stopIfTrue="1" operator="equal">
      <formula>-1</formula>
    </cfRule>
  </conditionalFormatting>
  <conditionalFormatting sqref="AV71">
    <cfRule type="cellIs" dxfId="7329" priority="136953" stopIfTrue="1" operator="lessThan">
      <formula>0.5</formula>
    </cfRule>
  </conditionalFormatting>
  <conditionalFormatting sqref="AV71">
    <cfRule type="cellIs" dxfId="7328" priority="136954" stopIfTrue="1" operator="greaterThanOrEqual">
      <formula>0.5</formula>
    </cfRule>
  </conditionalFormatting>
  <conditionalFormatting sqref="AV72">
    <cfRule type="cellIs" dxfId="7327" priority="136955" stopIfTrue="1" operator="equal">
      <formula>-1</formula>
    </cfRule>
  </conditionalFormatting>
  <conditionalFormatting sqref="AV72">
    <cfRule type="cellIs" dxfId="7326" priority="136956" stopIfTrue="1" operator="lessThan">
      <formula>0.5</formula>
    </cfRule>
  </conditionalFormatting>
  <conditionalFormatting sqref="AV72">
    <cfRule type="cellIs" dxfId="7325" priority="136957" stopIfTrue="1" operator="greaterThanOrEqual">
      <formula>0.5</formula>
    </cfRule>
  </conditionalFormatting>
  <conditionalFormatting sqref="AV73">
    <cfRule type="cellIs" dxfId="7324" priority="136958" stopIfTrue="1" operator="equal">
      <formula>-1</formula>
    </cfRule>
  </conditionalFormatting>
  <conditionalFormatting sqref="AV73">
    <cfRule type="cellIs" dxfId="7323" priority="136959" stopIfTrue="1" operator="lessThan">
      <formula>0.5</formula>
    </cfRule>
  </conditionalFormatting>
  <conditionalFormatting sqref="AV73">
    <cfRule type="cellIs" dxfId="7322" priority="136960" stopIfTrue="1" operator="greaterThanOrEqual">
      <formula>0.5</formula>
    </cfRule>
  </conditionalFormatting>
  <conditionalFormatting sqref="AV74">
    <cfRule type="cellIs" dxfId="7321" priority="136961" stopIfTrue="1" operator="equal">
      <formula>-1</formula>
    </cfRule>
  </conditionalFormatting>
  <conditionalFormatting sqref="AV74">
    <cfRule type="cellIs" dxfId="7320" priority="136962" stopIfTrue="1" operator="lessThan">
      <formula>0.5</formula>
    </cfRule>
  </conditionalFormatting>
  <conditionalFormatting sqref="AV74">
    <cfRule type="cellIs" dxfId="7319" priority="136963" stopIfTrue="1" operator="greaterThanOrEqual">
      <formula>0.5</formula>
    </cfRule>
  </conditionalFormatting>
  <conditionalFormatting sqref="AV75">
    <cfRule type="cellIs" dxfId="7318" priority="136964" stopIfTrue="1" operator="equal">
      <formula>-1</formula>
    </cfRule>
  </conditionalFormatting>
  <conditionalFormatting sqref="AV75">
    <cfRule type="cellIs" dxfId="7317" priority="136965" stopIfTrue="1" operator="lessThan">
      <formula>0.5</formula>
    </cfRule>
  </conditionalFormatting>
  <conditionalFormatting sqref="AV75">
    <cfRule type="cellIs" dxfId="7316" priority="136966" stopIfTrue="1" operator="greaterThanOrEqual">
      <formula>0.5</formula>
    </cfRule>
  </conditionalFormatting>
  <conditionalFormatting sqref="AV76">
    <cfRule type="cellIs" dxfId="7315" priority="136967" stopIfTrue="1" operator="equal">
      <formula>-1</formula>
    </cfRule>
  </conditionalFormatting>
  <conditionalFormatting sqref="AV76">
    <cfRule type="cellIs" dxfId="7314" priority="136968" stopIfTrue="1" operator="lessThan">
      <formula>0.5</formula>
    </cfRule>
  </conditionalFormatting>
  <conditionalFormatting sqref="AV76">
    <cfRule type="cellIs" dxfId="7313" priority="136969" stopIfTrue="1" operator="greaterThanOrEqual">
      <formula>0.5</formula>
    </cfRule>
  </conditionalFormatting>
  <conditionalFormatting sqref="AV77">
    <cfRule type="cellIs" dxfId="7312" priority="136970" stopIfTrue="1" operator="equal">
      <formula>-1</formula>
    </cfRule>
  </conditionalFormatting>
  <conditionalFormatting sqref="AV77">
    <cfRule type="cellIs" dxfId="7311" priority="136971" stopIfTrue="1" operator="lessThan">
      <formula>0.5</formula>
    </cfRule>
  </conditionalFormatting>
  <conditionalFormatting sqref="AV77">
    <cfRule type="cellIs" dxfId="7310" priority="136972" stopIfTrue="1" operator="greaterThanOrEqual">
      <formula>0.5</formula>
    </cfRule>
  </conditionalFormatting>
  <conditionalFormatting sqref="AV78">
    <cfRule type="cellIs" dxfId="7309" priority="136973" stopIfTrue="1" operator="equal">
      <formula>-1</formula>
    </cfRule>
  </conditionalFormatting>
  <conditionalFormatting sqref="AV78">
    <cfRule type="cellIs" dxfId="7308" priority="136974" stopIfTrue="1" operator="lessThan">
      <formula>0.5</formula>
    </cfRule>
  </conditionalFormatting>
  <conditionalFormatting sqref="AV78">
    <cfRule type="cellIs" dxfId="7307" priority="136975" stopIfTrue="1" operator="greaterThanOrEqual">
      <formula>0.5</formula>
    </cfRule>
  </conditionalFormatting>
  <conditionalFormatting sqref="AV79">
    <cfRule type="cellIs" dxfId="7306" priority="136976" stopIfTrue="1" operator="equal">
      <formula>-1</formula>
    </cfRule>
  </conditionalFormatting>
  <conditionalFormatting sqref="AV79">
    <cfRule type="cellIs" dxfId="7305" priority="136977" stopIfTrue="1" operator="lessThan">
      <formula>0.5</formula>
    </cfRule>
  </conditionalFormatting>
  <conditionalFormatting sqref="AV79">
    <cfRule type="cellIs" dxfId="7304" priority="136978" stopIfTrue="1" operator="greaterThanOrEqual">
      <formula>0.5</formula>
    </cfRule>
  </conditionalFormatting>
  <conditionalFormatting sqref="AV80">
    <cfRule type="cellIs" dxfId="7303" priority="136979" stopIfTrue="1" operator="equal">
      <formula>-1</formula>
    </cfRule>
  </conditionalFormatting>
  <conditionalFormatting sqref="AV80">
    <cfRule type="cellIs" dxfId="7302" priority="136980" stopIfTrue="1" operator="lessThan">
      <formula>0.5</formula>
    </cfRule>
  </conditionalFormatting>
  <conditionalFormatting sqref="AV80">
    <cfRule type="cellIs" dxfId="7301" priority="136981" stopIfTrue="1" operator="greaterThanOrEqual">
      <formula>0.5</formula>
    </cfRule>
  </conditionalFormatting>
  <conditionalFormatting sqref="AV81">
    <cfRule type="cellIs" dxfId="7300" priority="136982" stopIfTrue="1" operator="equal">
      <formula>-1</formula>
    </cfRule>
  </conditionalFormatting>
  <conditionalFormatting sqref="AV81">
    <cfRule type="cellIs" dxfId="7299" priority="136983" stopIfTrue="1" operator="lessThan">
      <formula>0.5</formula>
    </cfRule>
  </conditionalFormatting>
  <conditionalFormatting sqref="AV81">
    <cfRule type="cellIs" dxfId="7298" priority="136984" stopIfTrue="1" operator="greaterThanOrEqual">
      <formula>0.5</formula>
    </cfRule>
  </conditionalFormatting>
  <conditionalFormatting sqref="AV82">
    <cfRule type="cellIs" dxfId="7297" priority="136985" stopIfTrue="1" operator="equal">
      <formula>-1</formula>
    </cfRule>
  </conditionalFormatting>
  <conditionalFormatting sqref="AV82">
    <cfRule type="cellIs" dxfId="7296" priority="136986" stopIfTrue="1" operator="lessThan">
      <formula>0.5</formula>
    </cfRule>
  </conditionalFormatting>
  <conditionalFormatting sqref="AV82">
    <cfRule type="cellIs" dxfId="7295" priority="136987" stopIfTrue="1" operator="greaterThanOrEqual">
      <formula>0.5</formula>
    </cfRule>
  </conditionalFormatting>
  <conditionalFormatting sqref="AV83">
    <cfRule type="cellIs" dxfId="7294" priority="136988" stopIfTrue="1" operator="equal">
      <formula>-1</formula>
    </cfRule>
  </conditionalFormatting>
  <conditionalFormatting sqref="AV83">
    <cfRule type="cellIs" dxfId="7293" priority="136989" stopIfTrue="1" operator="lessThan">
      <formula>0.5</formula>
    </cfRule>
  </conditionalFormatting>
  <conditionalFormatting sqref="AV83">
    <cfRule type="cellIs" dxfId="7292" priority="136990" stopIfTrue="1" operator="greaterThanOrEqual">
      <formula>0.5</formula>
    </cfRule>
  </conditionalFormatting>
  <conditionalFormatting sqref="AV84">
    <cfRule type="cellIs" dxfId="7291" priority="136991" stopIfTrue="1" operator="equal">
      <formula>-1</formula>
    </cfRule>
  </conditionalFormatting>
  <conditionalFormatting sqref="AV84">
    <cfRule type="cellIs" dxfId="7290" priority="136992" stopIfTrue="1" operator="lessThan">
      <formula>0.5</formula>
    </cfRule>
  </conditionalFormatting>
  <conditionalFormatting sqref="AV84">
    <cfRule type="cellIs" dxfId="7289" priority="136993" stopIfTrue="1" operator="greaterThanOrEqual">
      <formula>0.5</formula>
    </cfRule>
  </conditionalFormatting>
  <conditionalFormatting sqref="AV85">
    <cfRule type="cellIs" dxfId="7288" priority="136994" stopIfTrue="1" operator="equal">
      <formula>-1</formula>
    </cfRule>
  </conditionalFormatting>
  <conditionalFormatting sqref="AV85">
    <cfRule type="cellIs" dxfId="7287" priority="136995" stopIfTrue="1" operator="lessThan">
      <formula>0.5</formula>
    </cfRule>
  </conditionalFormatting>
  <conditionalFormatting sqref="AV85">
    <cfRule type="cellIs" dxfId="7286" priority="136996" stopIfTrue="1" operator="greaterThanOrEqual">
      <formula>0.5</formula>
    </cfRule>
  </conditionalFormatting>
  <conditionalFormatting sqref="AX65">
    <cfRule type="cellIs" dxfId="7285" priority="136997" stopIfTrue="1" operator="equal">
      <formula>-1</formula>
    </cfRule>
  </conditionalFormatting>
  <conditionalFormatting sqref="AX65">
    <cfRule type="cellIs" dxfId="7284" priority="136998" stopIfTrue="1" operator="lessThan">
      <formula>0.5</formula>
    </cfRule>
  </conditionalFormatting>
  <conditionalFormatting sqref="AX65">
    <cfRule type="cellIs" dxfId="7283" priority="136999" stopIfTrue="1" operator="greaterThanOrEqual">
      <formula>0.5</formula>
    </cfRule>
  </conditionalFormatting>
  <conditionalFormatting sqref="AX66">
    <cfRule type="cellIs" dxfId="7282" priority="137000" stopIfTrue="1" operator="equal">
      <formula>-1</formula>
    </cfRule>
  </conditionalFormatting>
  <conditionalFormatting sqref="AX66">
    <cfRule type="cellIs" dxfId="7281" priority="137001" stopIfTrue="1" operator="lessThan">
      <formula>0.5</formula>
    </cfRule>
  </conditionalFormatting>
  <conditionalFormatting sqref="AX66">
    <cfRule type="cellIs" dxfId="7280" priority="137002" stopIfTrue="1" operator="greaterThanOrEqual">
      <formula>0.5</formula>
    </cfRule>
  </conditionalFormatting>
  <conditionalFormatting sqref="AX67">
    <cfRule type="cellIs" dxfId="7279" priority="137003" stopIfTrue="1" operator="equal">
      <formula>-1</formula>
    </cfRule>
  </conditionalFormatting>
  <conditionalFormatting sqref="AX67">
    <cfRule type="cellIs" dxfId="7278" priority="137004" stopIfTrue="1" operator="lessThan">
      <formula>0.5</formula>
    </cfRule>
  </conditionalFormatting>
  <conditionalFormatting sqref="AX67">
    <cfRule type="cellIs" dxfId="7277" priority="137005" stopIfTrue="1" operator="greaterThanOrEqual">
      <formula>0.5</formula>
    </cfRule>
  </conditionalFormatting>
  <conditionalFormatting sqref="AX68">
    <cfRule type="cellIs" dxfId="7276" priority="137006" stopIfTrue="1" operator="equal">
      <formula>-1</formula>
    </cfRule>
  </conditionalFormatting>
  <conditionalFormatting sqref="AX68">
    <cfRule type="cellIs" dxfId="7275" priority="137007" stopIfTrue="1" operator="lessThan">
      <formula>0.5</formula>
    </cfRule>
  </conditionalFormatting>
  <conditionalFormatting sqref="AX68">
    <cfRule type="cellIs" dxfId="7274" priority="137008" stopIfTrue="1" operator="greaterThanOrEqual">
      <formula>0.5</formula>
    </cfRule>
  </conditionalFormatting>
  <conditionalFormatting sqref="AX69">
    <cfRule type="cellIs" dxfId="7273" priority="137009" stopIfTrue="1" operator="equal">
      <formula>-1</formula>
    </cfRule>
  </conditionalFormatting>
  <conditionalFormatting sqref="AX69">
    <cfRule type="cellIs" dxfId="7272" priority="137010" stopIfTrue="1" operator="lessThan">
      <formula>0.5</formula>
    </cfRule>
  </conditionalFormatting>
  <conditionalFormatting sqref="AX69">
    <cfRule type="cellIs" dxfId="7271" priority="137011" stopIfTrue="1" operator="greaterThanOrEqual">
      <formula>0.5</formula>
    </cfRule>
  </conditionalFormatting>
  <conditionalFormatting sqref="AX70">
    <cfRule type="cellIs" dxfId="7270" priority="137012" stopIfTrue="1" operator="equal">
      <formula>-1</formula>
    </cfRule>
  </conditionalFormatting>
  <conditionalFormatting sqref="AX70">
    <cfRule type="cellIs" dxfId="7269" priority="137013" stopIfTrue="1" operator="lessThan">
      <formula>0.5</formula>
    </cfRule>
  </conditionalFormatting>
  <conditionalFormatting sqref="AX70">
    <cfRule type="cellIs" dxfId="7268" priority="137014" stopIfTrue="1" operator="greaterThanOrEqual">
      <formula>0.5</formula>
    </cfRule>
  </conditionalFormatting>
  <conditionalFormatting sqref="AX71">
    <cfRule type="cellIs" dxfId="7267" priority="137015" stopIfTrue="1" operator="equal">
      <formula>-1</formula>
    </cfRule>
  </conditionalFormatting>
  <conditionalFormatting sqref="AX71">
    <cfRule type="cellIs" dxfId="7266" priority="137016" stopIfTrue="1" operator="lessThan">
      <formula>0.5</formula>
    </cfRule>
  </conditionalFormatting>
  <conditionalFormatting sqref="AX71">
    <cfRule type="cellIs" dxfId="7265" priority="137017" stopIfTrue="1" operator="greaterThanOrEqual">
      <formula>0.5</formula>
    </cfRule>
  </conditionalFormatting>
  <conditionalFormatting sqref="AX72">
    <cfRule type="cellIs" dxfId="7264" priority="137018" stopIfTrue="1" operator="equal">
      <formula>-1</formula>
    </cfRule>
  </conditionalFormatting>
  <conditionalFormatting sqref="AX72">
    <cfRule type="cellIs" dxfId="7263" priority="137019" stopIfTrue="1" operator="lessThan">
      <formula>0.5</formula>
    </cfRule>
  </conditionalFormatting>
  <conditionalFormatting sqref="AX72">
    <cfRule type="cellIs" dxfId="7262" priority="137020" stopIfTrue="1" operator="greaterThanOrEqual">
      <formula>0.5</formula>
    </cfRule>
  </conditionalFormatting>
  <conditionalFormatting sqref="AX73">
    <cfRule type="cellIs" dxfId="7261" priority="137021" stopIfTrue="1" operator="equal">
      <formula>-1</formula>
    </cfRule>
  </conditionalFormatting>
  <conditionalFormatting sqref="AX73">
    <cfRule type="cellIs" dxfId="7260" priority="137022" stopIfTrue="1" operator="lessThan">
      <formula>0.5</formula>
    </cfRule>
  </conditionalFormatting>
  <conditionalFormatting sqref="AX73">
    <cfRule type="cellIs" dxfId="7259" priority="137023" stopIfTrue="1" operator="greaterThanOrEqual">
      <formula>0.5</formula>
    </cfRule>
  </conditionalFormatting>
  <conditionalFormatting sqref="AX74">
    <cfRule type="cellIs" dxfId="7258" priority="137024" stopIfTrue="1" operator="equal">
      <formula>-1</formula>
    </cfRule>
  </conditionalFormatting>
  <conditionalFormatting sqref="AX74">
    <cfRule type="cellIs" dxfId="7257" priority="137025" stopIfTrue="1" operator="lessThan">
      <formula>0.5</formula>
    </cfRule>
  </conditionalFormatting>
  <conditionalFormatting sqref="AX74">
    <cfRule type="cellIs" dxfId="7256" priority="137026" stopIfTrue="1" operator="greaterThanOrEqual">
      <formula>0.5</formula>
    </cfRule>
  </conditionalFormatting>
  <conditionalFormatting sqref="AX75">
    <cfRule type="cellIs" dxfId="7255" priority="137027" stopIfTrue="1" operator="equal">
      <formula>-1</formula>
    </cfRule>
  </conditionalFormatting>
  <conditionalFormatting sqref="AX75">
    <cfRule type="cellIs" dxfId="7254" priority="137028" stopIfTrue="1" operator="lessThan">
      <formula>0.5</formula>
    </cfRule>
  </conditionalFormatting>
  <conditionalFormatting sqref="AX75">
    <cfRule type="cellIs" dxfId="7253" priority="137029" stopIfTrue="1" operator="greaterThanOrEqual">
      <formula>0.5</formula>
    </cfRule>
  </conditionalFormatting>
  <conditionalFormatting sqref="AX76">
    <cfRule type="cellIs" dxfId="7252" priority="137030" stopIfTrue="1" operator="equal">
      <formula>-1</formula>
    </cfRule>
  </conditionalFormatting>
  <conditionalFormatting sqref="AX76">
    <cfRule type="cellIs" dxfId="7251" priority="137031" stopIfTrue="1" operator="lessThan">
      <formula>0.5</formula>
    </cfRule>
  </conditionalFormatting>
  <conditionalFormatting sqref="AX76">
    <cfRule type="cellIs" dxfId="7250" priority="137032" stopIfTrue="1" operator="greaterThanOrEqual">
      <formula>0.5</formula>
    </cfRule>
  </conditionalFormatting>
  <conditionalFormatting sqref="AX77">
    <cfRule type="cellIs" dxfId="7249" priority="137033" stopIfTrue="1" operator="equal">
      <formula>-1</formula>
    </cfRule>
  </conditionalFormatting>
  <conditionalFormatting sqref="AX77">
    <cfRule type="cellIs" dxfId="7248" priority="137034" stopIfTrue="1" operator="lessThan">
      <formula>0.5</formula>
    </cfRule>
  </conditionalFormatting>
  <conditionalFormatting sqref="AX77">
    <cfRule type="cellIs" dxfId="7247" priority="137035" stopIfTrue="1" operator="greaterThanOrEqual">
      <formula>0.5</formula>
    </cfRule>
  </conditionalFormatting>
  <conditionalFormatting sqref="AX78">
    <cfRule type="cellIs" dxfId="7246" priority="137036" stopIfTrue="1" operator="equal">
      <formula>-1</formula>
    </cfRule>
  </conditionalFormatting>
  <conditionalFormatting sqref="AX78">
    <cfRule type="cellIs" dxfId="7245" priority="137037" stopIfTrue="1" operator="lessThan">
      <formula>0.5</formula>
    </cfRule>
  </conditionalFormatting>
  <conditionalFormatting sqref="AX78">
    <cfRule type="cellIs" dxfId="7244" priority="137038" stopIfTrue="1" operator="greaterThanOrEqual">
      <formula>0.5</formula>
    </cfRule>
  </conditionalFormatting>
  <conditionalFormatting sqref="AX79">
    <cfRule type="cellIs" dxfId="7243" priority="137039" stopIfTrue="1" operator="equal">
      <formula>-1</formula>
    </cfRule>
  </conditionalFormatting>
  <conditionalFormatting sqref="AX79">
    <cfRule type="cellIs" dxfId="7242" priority="137040" stopIfTrue="1" operator="lessThan">
      <formula>0.5</formula>
    </cfRule>
  </conditionalFormatting>
  <conditionalFormatting sqref="AX79">
    <cfRule type="cellIs" dxfId="7241" priority="137041" stopIfTrue="1" operator="greaterThanOrEqual">
      <formula>0.5</formula>
    </cfRule>
  </conditionalFormatting>
  <conditionalFormatting sqref="AX80">
    <cfRule type="cellIs" dxfId="7240" priority="137042" stopIfTrue="1" operator="equal">
      <formula>-1</formula>
    </cfRule>
  </conditionalFormatting>
  <conditionalFormatting sqref="AX80">
    <cfRule type="cellIs" dxfId="7239" priority="137043" stopIfTrue="1" operator="lessThan">
      <formula>0.5</formula>
    </cfRule>
  </conditionalFormatting>
  <conditionalFormatting sqref="AX80">
    <cfRule type="cellIs" dxfId="7238" priority="137044" stopIfTrue="1" operator="greaterThanOrEqual">
      <formula>0.5</formula>
    </cfRule>
  </conditionalFormatting>
  <conditionalFormatting sqref="AX81">
    <cfRule type="cellIs" dxfId="7237" priority="137045" stopIfTrue="1" operator="equal">
      <formula>-1</formula>
    </cfRule>
  </conditionalFormatting>
  <conditionalFormatting sqref="AX81">
    <cfRule type="cellIs" dxfId="7236" priority="137046" stopIfTrue="1" operator="lessThan">
      <formula>0.5</formula>
    </cfRule>
  </conditionalFormatting>
  <conditionalFormatting sqref="AX81">
    <cfRule type="cellIs" dxfId="7235" priority="137047" stopIfTrue="1" operator="greaterThanOrEqual">
      <formula>0.5</formula>
    </cfRule>
  </conditionalFormatting>
  <conditionalFormatting sqref="AX82">
    <cfRule type="cellIs" dxfId="7234" priority="137048" stopIfTrue="1" operator="equal">
      <formula>-1</formula>
    </cfRule>
  </conditionalFormatting>
  <conditionalFormatting sqref="AX82">
    <cfRule type="cellIs" dxfId="7233" priority="137049" stopIfTrue="1" operator="lessThan">
      <formula>0.5</formula>
    </cfRule>
  </conditionalFormatting>
  <conditionalFormatting sqref="AX82">
    <cfRule type="cellIs" dxfId="7232" priority="137050" stopIfTrue="1" operator="greaterThanOrEqual">
      <formula>0.5</formula>
    </cfRule>
  </conditionalFormatting>
  <conditionalFormatting sqref="AX83">
    <cfRule type="cellIs" dxfId="7231" priority="137051" stopIfTrue="1" operator="equal">
      <formula>-1</formula>
    </cfRule>
  </conditionalFormatting>
  <conditionalFormatting sqref="AX83">
    <cfRule type="cellIs" dxfId="7230" priority="137052" stopIfTrue="1" operator="lessThan">
      <formula>0.5</formula>
    </cfRule>
  </conditionalFormatting>
  <conditionalFormatting sqref="AX83">
    <cfRule type="cellIs" dxfId="7229" priority="137053" stopIfTrue="1" operator="greaterThanOrEqual">
      <formula>0.5</formula>
    </cfRule>
  </conditionalFormatting>
  <conditionalFormatting sqref="AX84">
    <cfRule type="cellIs" dxfId="7228" priority="137054" stopIfTrue="1" operator="equal">
      <formula>-1</formula>
    </cfRule>
  </conditionalFormatting>
  <conditionalFormatting sqref="AX84">
    <cfRule type="cellIs" dxfId="7227" priority="137055" stopIfTrue="1" operator="lessThan">
      <formula>0.5</formula>
    </cfRule>
  </conditionalFormatting>
  <conditionalFormatting sqref="AX84">
    <cfRule type="cellIs" dxfId="7226" priority="137056" stopIfTrue="1" operator="greaterThanOrEqual">
      <formula>0.5</formula>
    </cfRule>
  </conditionalFormatting>
  <conditionalFormatting sqref="AX85">
    <cfRule type="cellIs" dxfId="7225" priority="137057" stopIfTrue="1" operator="equal">
      <formula>-1</formula>
    </cfRule>
  </conditionalFormatting>
  <conditionalFormatting sqref="AX85">
    <cfRule type="cellIs" dxfId="7224" priority="137058" stopIfTrue="1" operator="lessThan">
      <formula>0.5</formula>
    </cfRule>
  </conditionalFormatting>
  <conditionalFormatting sqref="AX85">
    <cfRule type="cellIs" dxfId="7223" priority="137059" stopIfTrue="1" operator="greaterThanOrEqual">
      <formula>0.5</formula>
    </cfRule>
  </conditionalFormatting>
  <conditionalFormatting sqref="AZ65">
    <cfRule type="cellIs" dxfId="7222" priority="137060" stopIfTrue="1" operator="equal">
      <formula>-1</formula>
    </cfRule>
  </conditionalFormatting>
  <conditionalFormatting sqref="AZ65">
    <cfRule type="cellIs" dxfId="7221" priority="137061" stopIfTrue="1" operator="lessThan">
      <formula>0.5</formula>
    </cfRule>
  </conditionalFormatting>
  <conditionalFormatting sqref="AZ65">
    <cfRule type="cellIs" dxfId="7220" priority="137062" stopIfTrue="1" operator="greaterThanOrEqual">
      <formula>0.5</formula>
    </cfRule>
  </conditionalFormatting>
  <conditionalFormatting sqref="AZ66">
    <cfRule type="cellIs" dxfId="7219" priority="137063" stopIfTrue="1" operator="equal">
      <formula>-1</formula>
    </cfRule>
  </conditionalFormatting>
  <conditionalFormatting sqref="AZ66">
    <cfRule type="cellIs" dxfId="7218" priority="137064" stopIfTrue="1" operator="lessThan">
      <formula>0.5</formula>
    </cfRule>
  </conditionalFormatting>
  <conditionalFormatting sqref="AZ66">
    <cfRule type="cellIs" dxfId="7217" priority="137065" stopIfTrue="1" operator="greaterThanOrEqual">
      <formula>0.5</formula>
    </cfRule>
  </conditionalFormatting>
  <conditionalFormatting sqref="AZ67">
    <cfRule type="cellIs" dxfId="7216" priority="137066" stopIfTrue="1" operator="equal">
      <formula>-1</formula>
    </cfRule>
  </conditionalFormatting>
  <conditionalFormatting sqref="AZ67">
    <cfRule type="cellIs" dxfId="7215" priority="137067" stopIfTrue="1" operator="lessThan">
      <formula>0.5</formula>
    </cfRule>
  </conditionalFormatting>
  <conditionalFormatting sqref="AZ67">
    <cfRule type="cellIs" dxfId="7214" priority="137068" stopIfTrue="1" operator="greaterThanOrEqual">
      <formula>0.5</formula>
    </cfRule>
  </conditionalFormatting>
  <conditionalFormatting sqref="AZ68">
    <cfRule type="cellIs" dxfId="7213" priority="137069" stopIfTrue="1" operator="equal">
      <formula>-1</formula>
    </cfRule>
  </conditionalFormatting>
  <conditionalFormatting sqref="AZ68">
    <cfRule type="cellIs" dxfId="7212" priority="137070" stopIfTrue="1" operator="lessThan">
      <formula>0.5</formula>
    </cfRule>
  </conditionalFormatting>
  <conditionalFormatting sqref="AZ68">
    <cfRule type="cellIs" dxfId="7211" priority="137071" stopIfTrue="1" operator="greaterThanOrEqual">
      <formula>0.5</formula>
    </cfRule>
  </conditionalFormatting>
  <conditionalFormatting sqref="AZ69">
    <cfRule type="cellIs" dxfId="7210" priority="137072" stopIfTrue="1" operator="equal">
      <formula>-1</formula>
    </cfRule>
  </conditionalFormatting>
  <conditionalFormatting sqref="AZ69">
    <cfRule type="cellIs" dxfId="7209" priority="137073" stopIfTrue="1" operator="lessThan">
      <formula>0.5</formula>
    </cfRule>
  </conditionalFormatting>
  <conditionalFormatting sqref="AZ69">
    <cfRule type="cellIs" dxfId="7208" priority="137074" stopIfTrue="1" operator="greaterThanOrEqual">
      <formula>0.5</formula>
    </cfRule>
  </conditionalFormatting>
  <conditionalFormatting sqref="AZ70">
    <cfRule type="cellIs" dxfId="7207" priority="137075" stopIfTrue="1" operator="equal">
      <formula>-1</formula>
    </cfRule>
  </conditionalFormatting>
  <conditionalFormatting sqref="AZ70">
    <cfRule type="cellIs" dxfId="7206" priority="137076" stopIfTrue="1" operator="lessThan">
      <formula>0.5</formula>
    </cfRule>
  </conditionalFormatting>
  <conditionalFormatting sqref="AZ70">
    <cfRule type="cellIs" dxfId="7205" priority="137077" stopIfTrue="1" operator="greaterThanOrEqual">
      <formula>0.5</formula>
    </cfRule>
  </conditionalFormatting>
  <conditionalFormatting sqref="AZ71">
    <cfRule type="cellIs" dxfId="7204" priority="137078" stopIfTrue="1" operator="equal">
      <formula>-1</formula>
    </cfRule>
  </conditionalFormatting>
  <conditionalFormatting sqref="AZ71">
    <cfRule type="cellIs" dxfId="7203" priority="137079" stopIfTrue="1" operator="lessThan">
      <formula>0.5</formula>
    </cfRule>
  </conditionalFormatting>
  <conditionalFormatting sqref="AZ71">
    <cfRule type="cellIs" dxfId="7202" priority="137080" stopIfTrue="1" operator="greaterThanOrEqual">
      <formula>0.5</formula>
    </cfRule>
  </conditionalFormatting>
  <conditionalFormatting sqref="AZ72">
    <cfRule type="cellIs" dxfId="7201" priority="137081" stopIfTrue="1" operator="equal">
      <formula>-1</formula>
    </cfRule>
  </conditionalFormatting>
  <conditionalFormatting sqref="AZ72">
    <cfRule type="cellIs" dxfId="7200" priority="137082" stopIfTrue="1" operator="lessThan">
      <formula>0.5</formula>
    </cfRule>
  </conditionalFormatting>
  <conditionalFormatting sqref="AZ72">
    <cfRule type="cellIs" dxfId="7199" priority="137083" stopIfTrue="1" operator="greaterThanOrEqual">
      <formula>0.5</formula>
    </cfRule>
  </conditionalFormatting>
  <conditionalFormatting sqref="AZ73">
    <cfRule type="cellIs" dxfId="7198" priority="137084" stopIfTrue="1" operator="equal">
      <formula>-1</formula>
    </cfRule>
  </conditionalFormatting>
  <conditionalFormatting sqref="AZ73">
    <cfRule type="cellIs" dxfId="7197" priority="137085" stopIfTrue="1" operator="lessThan">
      <formula>0.5</formula>
    </cfRule>
  </conditionalFormatting>
  <conditionalFormatting sqref="AZ73">
    <cfRule type="cellIs" dxfId="7196" priority="137086" stopIfTrue="1" operator="greaterThanOrEqual">
      <formula>0.5</formula>
    </cfRule>
  </conditionalFormatting>
  <conditionalFormatting sqref="AZ74">
    <cfRule type="cellIs" dxfId="7195" priority="137087" stopIfTrue="1" operator="equal">
      <formula>-1</formula>
    </cfRule>
  </conditionalFormatting>
  <conditionalFormatting sqref="AZ74">
    <cfRule type="cellIs" dxfId="7194" priority="137088" stopIfTrue="1" operator="lessThan">
      <formula>0.5</formula>
    </cfRule>
  </conditionalFormatting>
  <conditionalFormatting sqref="AZ74">
    <cfRule type="cellIs" dxfId="7193" priority="137089" stopIfTrue="1" operator="greaterThanOrEqual">
      <formula>0.5</formula>
    </cfRule>
  </conditionalFormatting>
  <conditionalFormatting sqref="AZ75">
    <cfRule type="cellIs" dxfId="7192" priority="137090" stopIfTrue="1" operator="equal">
      <formula>-1</formula>
    </cfRule>
  </conditionalFormatting>
  <conditionalFormatting sqref="AZ75">
    <cfRule type="cellIs" dxfId="7191" priority="137091" stopIfTrue="1" operator="lessThan">
      <formula>0.5</formula>
    </cfRule>
  </conditionalFormatting>
  <conditionalFormatting sqref="AZ75">
    <cfRule type="cellIs" dxfId="7190" priority="137092" stopIfTrue="1" operator="greaterThanOrEqual">
      <formula>0.5</formula>
    </cfRule>
  </conditionalFormatting>
  <conditionalFormatting sqref="AZ76">
    <cfRule type="cellIs" dxfId="7189" priority="137093" stopIfTrue="1" operator="equal">
      <formula>-1</formula>
    </cfRule>
  </conditionalFormatting>
  <conditionalFormatting sqref="AZ76">
    <cfRule type="cellIs" dxfId="7188" priority="137094" stopIfTrue="1" operator="lessThan">
      <formula>0.5</formula>
    </cfRule>
  </conditionalFormatting>
  <conditionalFormatting sqref="AZ76">
    <cfRule type="cellIs" dxfId="7187" priority="137095" stopIfTrue="1" operator="greaterThanOrEqual">
      <formula>0.5</formula>
    </cfRule>
  </conditionalFormatting>
  <conditionalFormatting sqref="AZ77">
    <cfRule type="cellIs" dxfId="7186" priority="137096" stopIfTrue="1" operator="equal">
      <formula>-1</formula>
    </cfRule>
  </conditionalFormatting>
  <conditionalFormatting sqref="AZ77">
    <cfRule type="cellIs" dxfId="7185" priority="137097" stopIfTrue="1" operator="lessThan">
      <formula>0.5</formula>
    </cfRule>
  </conditionalFormatting>
  <conditionalFormatting sqref="AZ77">
    <cfRule type="cellIs" dxfId="7184" priority="137098" stopIfTrue="1" operator="greaterThanOrEqual">
      <formula>0.5</formula>
    </cfRule>
  </conditionalFormatting>
  <conditionalFormatting sqref="AZ78">
    <cfRule type="cellIs" dxfId="7183" priority="137099" stopIfTrue="1" operator="equal">
      <formula>-1</formula>
    </cfRule>
  </conditionalFormatting>
  <conditionalFormatting sqref="AZ78">
    <cfRule type="cellIs" dxfId="7182" priority="137100" stopIfTrue="1" operator="lessThan">
      <formula>0.5</formula>
    </cfRule>
  </conditionalFormatting>
  <conditionalFormatting sqref="AZ78">
    <cfRule type="cellIs" dxfId="7181" priority="137101" stopIfTrue="1" operator="greaterThanOrEqual">
      <formula>0.5</formula>
    </cfRule>
  </conditionalFormatting>
  <conditionalFormatting sqref="AZ79">
    <cfRule type="cellIs" dxfId="7180" priority="137102" stopIfTrue="1" operator="equal">
      <formula>-1</formula>
    </cfRule>
  </conditionalFormatting>
  <conditionalFormatting sqref="AZ79">
    <cfRule type="cellIs" dxfId="7179" priority="137103" stopIfTrue="1" operator="lessThan">
      <formula>0.5</formula>
    </cfRule>
  </conditionalFormatting>
  <conditionalFormatting sqref="AZ79">
    <cfRule type="cellIs" dxfId="7178" priority="137104" stopIfTrue="1" operator="greaterThanOrEqual">
      <formula>0.5</formula>
    </cfRule>
  </conditionalFormatting>
  <conditionalFormatting sqref="AZ80">
    <cfRule type="cellIs" dxfId="7177" priority="137105" stopIfTrue="1" operator="equal">
      <formula>-1</formula>
    </cfRule>
  </conditionalFormatting>
  <conditionalFormatting sqref="AZ80">
    <cfRule type="cellIs" dxfId="7176" priority="137106" stopIfTrue="1" operator="lessThan">
      <formula>0.5</formula>
    </cfRule>
  </conditionalFormatting>
  <conditionalFormatting sqref="AZ80">
    <cfRule type="cellIs" dxfId="7175" priority="137107" stopIfTrue="1" operator="greaterThanOrEqual">
      <formula>0.5</formula>
    </cfRule>
  </conditionalFormatting>
  <conditionalFormatting sqref="AZ81">
    <cfRule type="cellIs" dxfId="7174" priority="137108" stopIfTrue="1" operator="equal">
      <formula>-1</formula>
    </cfRule>
  </conditionalFormatting>
  <conditionalFormatting sqref="AZ81">
    <cfRule type="cellIs" dxfId="7173" priority="137109" stopIfTrue="1" operator="lessThan">
      <formula>0.5</formula>
    </cfRule>
  </conditionalFormatting>
  <conditionalFormatting sqref="AZ81">
    <cfRule type="cellIs" dxfId="7172" priority="137110" stopIfTrue="1" operator="greaterThanOrEqual">
      <formula>0.5</formula>
    </cfRule>
  </conditionalFormatting>
  <conditionalFormatting sqref="AZ82">
    <cfRule type="cellIs" dxfId="7171" priority="137111" stopIfTrue="1" operator="equal">
      <formula>-1</formula>
    </cfRule>
  </conditionalFormatting>
  <conditionalFormatting sqref="AZ82">
    <cfRule type="cellIs" dxfId="7170" priority="137112" stopIfTrue="1" operator="lessThan">
      <formula>0.5</formula>
    </cfRule>
  </conditionalFormatting>
  <conditionalFormatting sqref="AZ82">
    <cfRule type="cellIs" dxfId="7169" priority="137113" stopIfTrue="1" operator="greaterThanOrEqual">
      <formula>0.5</formula>
    </cfRule>
  </conditionalFormatting>
  <conditionalFormatting sqref="AZ83">
    <cfRule type="cellIs" dxfId="7168" priority="137114" stopIfTrue="1" operator="equal">
      <formula>-1</formula>
    </cfRule>
  </conditionalFormatting>
  <conditionalFormatting sqref="AZ83">
    <cfRule type="cellIs" dxfId="7167" priority="137115" stopIfTrue="1" operator="lessThan">
      <formula>0.5</formula>
    </cfRule>
  </conditionalFormatting>
  <conditionalFormatting sqref="AZ83">
    <cfRule type="cellIs" dxfId="7166" priority="137116" stopIfTrue="1" operator="greaterThanOrEqual">
      <formula>0.5</formula>
    </cfRule>
  </conditionalFormatting>
  <conditionalFormatting sqref="AZ84">
    <cfRule type="cellIs" dxfId="7165" priority="137117" stopIfTrue="1" operator="equal">
      <formula>-1</formula>
    </cfRule>
  </conditionalFormatting>
  <conditionalFormatting sqref="AZ84">
    <cfRule type="cellIs" dxfId="7164" priority="137118" stopIfTrue="1" operator="lessThan">
      <formula>0.5</formula>
    </cfRule>
  </conditionalFormatting>
  <conditionalFormatting sqref="AZ84">
    <cfRule type="cellIs" dxfId="7163" priority="137119" stopIfTrue="1" operator="greaterThanOrEqual">
      <formula>0.5</formula>
    </cfRule>
  </conditionalFormatting>
  <conditionalFormatting sqref="AZ85">
    <cfRule type="cellIs" dxfId="7162" priority="137120" stopIfTrue="1" operator="equal">
      <formula>-1</formula>
    </cfRule>
  </conditionalFormatting>
  <conditionalFormatting sqref="AZ85">
    <cfRule type="cellIs" dxfId="7161" priority="137121" stopIfTrue="1" operator="lessThan">
      <formula>0.5</formula>
    </cfRule>
  </conditionalFormatting>
  <conditionalFormatting sqref="AZ85">
    <cfRule type="cellIs" dxfId="7160" priority="137122" stopIfTrue="1" operator="greaterThanOrEqual">
      <formula>0.5</formula>
    </cfRule>
  </conditionalFormatting>
  <conditionalFormatting sqref="BB65">
    <cfRule type="cellIs" dxfId="7159" priority="137123" stopIfTrue="1" operator="equal">
      <formula>-1</formula>
    </cfRule>
  </conditionalFormatting>
  <conditionalFormatting sqref="BB65">
    <cfRule type="cellIs" dxfId="7158" priority="137124" stopIfTrue="1" operator="lessThan">
      <formula>0.5</formula>
    </cfRule>
  </conditionalFormatting>
  <conditionalFormatting sqref="BB65">
    <cfRule type="cellIs" dxfId="7157" priority="137125" stopIfTrue="1" operator="greaterThanOrEqual">
      <formula>0.5</formula>
    </cfRule>
  </conditionalFormatting>
  <conditionalFormatting sqref="BB66">
    <cfRule type="cellIs" dxfId="7156" priority="137126" stopIfTrue="1" operator="equal">
      <formula>-1</formula>
    </cfRule>
  </conditionalFormatting>
  <conditionalFormatting sqref="BB66">
    <cfRule type="cellIs" dxfId="7155" priority="137127" stopIfTrue="1" operator="lessThan">
      <formula>0.5</formula>
    </cfRule>
  </conditionalFormatting>
  <conditionalFormatting sqref="BB66">
    <cfRule type="cellIs" dxfId="7154" priority="137128" stopIfTrue="1" operator="greaterThanOrEqual">
      <formula>0.5</formula>
    </cfRule>
  </conditionalFormatting>
  <conditionalFormatting sqref="BB67">
    <cfRule type="cellIs" dxfId="7153" priority="137129" stopIfTrue="1" operator="equal">
      <formula>-1</formula>
    </cfRule>
  </conditionalFormatting>
  <conditionalFormatting sqref="BB67">
    <cfRule type="cellIs" dxfId="7152" priority="137130" stopIfTrue="1" operator="lessThan">
      <formula>0.5</formula>
    </cfRule>
  </conditionalFormatting>
  <conditionalFormatting sqref="BB67">
    <cfRule type="cellIs" dxfId="7151" priority="137131" stopIfTrue="1" operator="greaterThanOrEqual">
      <formula>0.5</formula>
    </cfRule>
  </conditionalFormatting>
  <conditionalFormatting sqref="BB68">
    <cfRule type="cellIs" dxfId="7150" priority="137132" stopIfTrue="1" operator="equal">
      <formula>-1</formula>
    </cfRule>
  </conditionalFormatting>
  <conditionalFormatting sqref="BB68">
    <cfRule type="cellIs" dxfId="7149" priority="137133" stopIfTrue="1" operator="lessThan">
      <formula>0.5</formula>
    </cfRule>
  </conditionalFormatting>
  <conditionalFormatting sqref="BB68">
    <cfRule type="cellIs" dxfId="7148" priority="137134" stopIfTrue="1" operator="greaterThanOrEqual">
      <formula>0.5</formula>
    </cfRule>
  </conditionalFormatting>
  <conditionalFormatting sqref="BB69">
    <cfRule type="cellIs" dxfId="7147" priority="137135" stopIfTrue="1" operator="equal">
      <formula>-1</formula>
    </cfRule>
  </conditionalFormatting>
  <conditionalFormatting sqref="BB69">
    <cfRule type="cellIs" dxfId="7146" priority="137136" stopIfTrue="1" operator="lessThan">
      <formula>0.5</formula>
    </cfRule>
  </conditionalFormatting>
  <conditionalFormatting sqref="BB69">
    <cfRule type="cellIs" dxfId="7145" priority="137137" stopIfTrue="1" operator="greaterThanOrEqual">
      <formula>0.5</formula>
    </cfRule>
  </conditionalFormatting>
  <conditionalFormatting sqref="BB70">
    <cfRule type="cellIs" dxfId="7144" priority="137138" stopIfTrue="1" operator="equal">
      <formula>-1</formula>
    </cfRule>
  </conditionalFormatting>
  <conditionalFormatting sqref="BB70">
    <cfRule type="cellIs" dxfId="7143" priority="137139" stopIfTrue="1" operator="lessThan">
      <formula>0.5</formula>
    </cfRule>
  </conditionalFormatting>
  <conditionalFormatting sqref="BB70">
    <cfRule type="cellIs" dxfId="7142" priority="137140" stopIfTrue="1" operator="greaterThanOrEqual">
      <formula>0.5</formula>
    </cfRule>
  </conditionalFormatting>
  <conditionalFormatting sqref="BB71">
    <cfRule type="cellIs" dxfId="7141" priority="137141" stopIfTrue="1" operator="equal">
      <formula>-1</formula>
    </cfRule>
  </conditionalFormatting>
  <conditionalFormatting sqref="BB71">
    <cfRule type="cellIs" dxfId="7140" priority="137142" stopIfTrue="1" operator="lessThan">
      <formula>0.5</formula>
    </cfRule>
  </conditionalFormatting>
  <conditionalFormatting sqref="BB71">
    <cfRule type="cellIs" dxfId="7139" priority="137143" stopIfTrue="1" operator="greaterThanOrEqual">
      <formula>0.5</formula>
    </cfRule>
  </conditionalFormatting>
  <conditionalFormatting sqref="BB72">
    <cfRule type="cellIs" dxfId="7138" priority="137144" stopIfTrue="1" operator="equal">
      <formula>-1</formula>
    </cfRule>
  </conditionalFormatting>
  <conditionalFormatting sqref="BB72">
    <cfRule type="cellIs" dxfId="7137" priority="137145" stopIfTrue="1" operator="lessThan">
      <formula>0.5</formula>
    </cfRule>
  </conditionalFormatting>
  <conditionalFormatting sqref="BB72">
    <cfRule type="cellIs" dxfId="7136" priority="137146" stopIfTrue="1" operator="greaterThanOrEqual">
      <formula>0.5</formula>
    </cfRule>
  </conditionalFormatting>
  <conditionalFormatting sqref="BB73">
    <cfRule type="cellIs" dxfId="7135" priority="137147" stopIfTrue="1" operator="equal">
      <formula>-1</formula>
    </cfRule>
  </conditionalFormatting>
  <conditionalFormatting sqref="BB73">
    <cfRule type="cellIs" dxfId="7134" priority="137148" stopIfTrue="1" operator="lessThan">
      <formula>0.5</formula>
    </cfRule>
  </conditionalFormatting>
  <conditionalFormatting sqref="BB73">
    <cfRule type="cellIs" dxfId="7133" priority="137149" stopIfTrue="1" operator="greaterThanOrEqual">
      <formula>0.5</formula>
    </cfRule>
  </conditionalFormatting>
  <conditionalFormatting sqref="BB74">
    <cfRule type="cellIs" dxfId="7132" priority="137150" stopIfTrue="1" operator="equal">
      <formula>-1</formula>
    </cfRule>
  </conditionalFormatting>
  <conditionalFormatting sqref="BB74">
    <cfRule type="cellIs" dxfId="7131" priority="137151" stopIfTrue="1" operator="lessThan">
      <formula>0.5</formula>
    </cfRule>
  </conditionalFormatting>
  <conditionalFormatting sqref="BB74">
    <cfRule type="cellIs" dxfId="7130" priority="137152" stopIfTrue="1" operator="greaterThanOrEqual">
      <formula>0.5</formula>
    </cfRule>
  </conditionalFormatting>
  <conditionalFormatting sqref="BB75">
    <cfRule type="cellIs" dxfId="7129" priority="137153" stopIfTrue="1" operator="equal">
      <formula>-1</formula>
    </cfRule>
  </conditionalFormatting>
  <conditionalFormatting sqref="BB75">
    <cfRule type="cellIs" dxfId="7128" priority="137154" stopIfTrue="1" operator="lessThan">
      <formula>0.5</formula>
    </cfRule>
  </conditionalFormatting>
  <conditionalFormatting sqref="BB75">
    <cfRule type="cellIs" dxfId="7127" priority="137155" stopIfTrue="1" operator="greaterThanOrEqual">
      <formula>0.5</formula>
    </cfRule>
  </conditionalFormatting>
  <conditionalFormatting sqref="BB76">
    <cfRule type="cellIs" dxfId="7126" priority="137156" stopIfTrue="1" operator="equal">
      <formula>-1</formula>
    </cfRule>
  </conditionalFormatting>
  <conditionalFormatting sqref="BB76">
    <cfRule type="cellIs" dxfId="7125" priority="137157" stopIfTrue="1" operator="lessThan">
      <formula>0.5</formula>
    </cfRule>
  </conditionalFormatting>
  <conditionalFormatting sqref="BB76">
    <cfRule type="cellIs" dxfId="7124" priority="137158" stopIfTrue="1" operator="greaterThanOrEqual">
      <formula>0.5</formula>
    </cfRule>
  </conditionalFormatting>
  <conditionalFormatting sqref="BB77">
    <cfRule type="cellIs" dxfId="7123" priority="137159" stopIfTrue="1" operator="equal">
      <formula>-1</formula>
    </cfRule>
  </conditionalFormatting>
  <conditionalFormatting sqref="BB77">
    <cfRule type="cellIs" dxfId="7122" priority="137160" stopIfTrue="1" operator="lessThan">
      <formula>0.5</formula>
    </cfRule>
  </conditionalFormatting>
  <conditionalFormatting sqref="BB77">
    <cfRule type="cellIs" dxfId="7121" priority="137161" stopIfTrue="1" operator="greaterThanOrEqual">
      <formula>0.5</formula>
    </cfRule>
  </conditionalFormatting>
  <conditionalFormatting sqref="BB78">
    <cfRule type="cellIs" dxfId="7120" priority="137162" stopIfTrue="1" operator="equal">
      <formula>-1</formula>
    </cfRule>
  </conditionalFormatting>
  <conditionalFormatting sqref="BB78">
    <cfRule type="cellIs" dxfId="7119" priority="137163" stopIfTrue="1" operator="lessThan">
      <formula>0.5</formula>
    </cfRule>
  </conditionalFormatting>
  <conditionalFormatting sqref="BB78">
    <cfRule type="cellIs" dxfId="7118" priority="137164" stopIfTrue="1" operator="greaterThanOrEqual">
      <formula>0.5</formula>
    </cfRule>
  </conditionalFormatting>
  <conditionalFormatting sqref="BB79">
    <cfRule type="cellIs" dxfId="7117" priority="137165" stopIfTrue="1" operator="equal">
      <formula>-1</formula>
    </cfRule>
  </conditionalFormatting>
  <conditionalFormatting sqref="BB79">
    <cfRule type="cellIs" dxfId="7116" priority="137166" stopIfTrue="1" operator="lessThan">
      <formula>0.5</formula>
    </cfRule>
  </conditionalFormatting>
  <conditionalFormatting sqref="BB79">
    <cfRule type="cellIs" dxfId="7115" priority="137167" stopIfTrue="1" operator="greaterThanOrEqual">
      <formula>0.5</formula>
    </cfRule>
  </conditionalFormatting>
  <conditionalFormatting sqref="BB80">
    <cfRule type="cellIs" dxfId="7114" priority="137168" stopIfTrue="1" operator="equal">
      <formula>-1</formula>
    </cfRule>
  </conditionalFormatting>
  <conditionalFormatting sqref="BB80">
    <cfRule type="cellIs" dxfId="7113" priority="137169" stopIfTrue="1" operator="lessThan">
      <formula>0.5</formula>
    </cfRule>
  </conditionalFormatting>
  <conditionalFormatting sqref="BB80">
    <cfRule type="cellIs" dxfId="7112" priority="137170" stopIfTrue="1" operator="greaterThanOrEqual">
      <formula>0.5</formula>
    </cfRule>
  </conditionalFormatting>
  <conditionalFormatting sqref="BB81">
    <cfRule type="cellIs" dxfId="7111" priority="137171" stopIfTrue="1" operator="equal">
      <formula>-1</formula>
    </cfRule>
  </conditionalFormatting>
  <conditionalFormatting sqref="BB81">
    <cfRule type="cellIs" dxfId="7110" priority="137172" stopIfTrue="1" operator="lessThan">
      <formula>0.5</formula>
    </cfRule>
  </conditionalFormatting>
  <conditionalFormatting sqref="BB81">
    <cfRule type="cellIs" dxfId="7109" priority="137173" stopIfTrue="1" operator="greaterThanOrEqual">
      <formula>0.5</formula>
    </cfRule>
  </conditionalFormatting>
  <conditionalFormatting sqref="BB82">
    <cfRule type="cellIs" dxfId="7108" priority="137174" stopIfTrue="1" operator="equal">
      <formula>-1</formula>
    </cfRule>
  </conditionalFormatting>
  <conditionalFormatting sqref="BB82">
    <cfRule type="cellIs" dxfId="7107" priority="137175" stopIfTrue="1" operator="lessThan">
      <formula>0.5</formula>
    </cfRule>
  </conditionalFormatting>
  <conditionalFormatting sqref="BB82">
    <cfRule type="cellIs" dxfId="7106" priority="137176" stopIfTrue="1" operator="greaterThanOrEqual">
      <formula>0.5</formula>
    </cfRule>
  </conditionalFormatting>
  <conditionalFormatting sqref="BB83">
    <cfRule type="cellIs" dxfId="7105" priority="137177" stopIfTrue="1" operator="equal">
      <formula>-1</formula>
    </cfRule>
  </conditionalFormatting>
  <conditionalFormatting sqref="BB83">
    <cfRule type="cellIs" dxfId="7104" priority="137178" stopIfTrue="1" operator="lessThan">
      <formula>0.5</formula>
    </cfRule>
  </conditionalFormatting>
  <conditionalFormatting sqref="BB83">
    <cfRule type="cellIs" dxfId="7103" priority="137179" stopIfTrue="1" operator="greaterThanOrEqual">
      <formula>0.5</formula>
    </cfRule>
  </conditionalFormatting>
  <conditionalFormatting sqref="BB84">
    <cfRule type="cellIs" dxfId="7102" priority="137180" stopIfTrue="1" operator="equal">
      <formula>-1</formula>
    </cfRule>
  </conditionalFormatting>
  <conditionalFormatting sqref="BB84">
    <cfRule type="cellIs" dxfId="7101" priority="137181" stopIfTrue="1" operator="lessThan">
      <formula>0.5</formula>
    </cfRule>
  </conditionalFormatting>
  <conditionalFormatting sqref="BB84">
    <cfRule type="cellIs" dxfId="7100" priority="137182" stopIfTrue="1" operator="greaterThanOrEqual">
      <formula>0.5</formula>
    </cfRule>
  </conditionalFormatting>
  <conditionalFormatting sqref="BB85">
    <cfRule type="cellIs" dxfId="7099" priority="137183" stopIfTrue="1" operator="equal">
      <formula>-1</formula>
    </cfRule>
  </conditionalFormatting>
  <conditionalFormatting sqref="BB85">
    <cfRule type="cellIs" dxfId="7098" priority="137184" stopIfTrue="1" operator="lessThan">
      <formula>0.5</formula>
    </cfRule>
  </conditionalFormatting>
  <conditionalFormatting sqref="BB85">
    <cfRule type="cellIs" dxfId="7097" priority="137185" stopIfTrue="1" operator="greaterThanOrEqual">
      <formula>0.5</formula>
    </cfRule>
  </conditionalFormatting>
  <conditionalFormatting sqref="BD65">
    <cfRule type="cellIs" dxfId="7096" priority="137186" stopIfTrue="1" operator="equal">
      <formula>-1</formula>
    </cfRule>
  </conditionalFormatting>
  <conditionalFormatting sqref="BD65">
    <cfRule type="cellIs" dxfId="7095" priority="137187" stopIfTrue="1" operator="lessThan">
      <formula>0.5</formula>
    </cfRule>
  </conditionalFormatting>
  <conditionalFormatting sqref="BD65">
    <cfRule type="cellIs" dxfId="7094" priority="137188" stopIfTrue="1" operator="greaterThanOrEqual">
      <formula>0.5</formula>
    </cfRule>
  </conditionalFormatting>
  <conditionalFormatting sqref="BD66">
    <cfRule type="cellIs" dxfId="7093" priority="137189" stopIfTrue="1" operator="equal">
      <formula>-1</formula>
    </cfRule>
  </conditionalFormatting>
  <conditionalFormatting sqref="BD66">
    <cfRule type="cellIs" dxfId="7092" priority="137190" stopIfTrue="1" operator="lessThan">
      <formula>0.5</formula>
    </cfRule>
  </conditionalFormatting>
  <conditionalFormatting sqref="BD66">
    <cfRule type="cellIs" dxfId="7091" priority="137191" stopIfTrue="1" operator="greaterThanOrEqual">
      <formula>0.5</formula>
    </cfRule>
  </conditionalFormatting>
  <conditionalFormatting sqref="BD67">
    <cfRule type="cellIs" dxfId="7090" priority="137192" stopIfTrue="1" operator="equal">
      <formula>-1</formula>
    </cfRule>
  </conditionalFormatting>
  <conditionalFormatting sqref="BD67">
    <cfRule type="cellIs" dxfId="7089" priority="137193" stopIfTrue="1" operator="lessThan">
      <formula>0.5</formula>
    </cfRule>
  </conditionalFormatting>
  <conditionalFormatting sqref="BD67">
    <cfRule type="cellIs" dxfId="7088" priority="137194" stopIfTrue="1" operator="greaterThanOrEqual">
      <formula>0.5</formula>
    </cfRule>
  </conditionalFormatting>
  <conditionalFormatting sqref="BD68">
    <cfRule type="cellIs" dxfId="7087" priority="137195" stopIfTrue="1" operator="equal">
      <formula>-1</formula>
    </cfRule>
  </conditionalFormatting>
  <conditionalFormatting sqref="BD68">
    <cfRule type="cellIs" dxfId="7086" priority="137196" stopIfTrue="1" operator="lessThan">
      <formula>0.5</formula>
    </cfRule>
  </conditionalFormatting>
  <conditionalFormatting sqref="BD68">
    <cfRule type="cellIs" dxfId="7085" priority="137197" stopIfTrue="1" operator="greaterThanOrEqual">
      <formula>0.5</formula>
    </cfRule>
  </conditionalFormatting>
  <conditionalFormatting sqref="BD69">
    <cfRule type="cellIs" dxfId="7084" priority="137198" stopIfTrue="1" operator="equal">
      <formula>-1</formula>
    </cfRule>
  </conditionalFormatting>
  <conditionalFormatting sqref="BD69">
    <cfRule type="cellIs" dxfId="7083" priority="137199" stopIfTrue="1" operator="lessThan">
      <formula>0.5</formula>
    </cfRule>
  </conditionalFormatting>
  <conditionalFormatting sqref="BD69">
    <cfRule type="cellIs" dxfId="7082" priority="137200" stopIfTrue="1" operator="greaterThanOrEqual">
      <formula>0.5</formula>
    </cfRule>
  </conditionalFormatting>
  <conditionalFormatting sqref="BD70">
    <cfRule type="cellIs" dxfId="7081" priority="137201" stopIfTrue="1" operator="equal">
      <formula>-1</formula>
    </cfRule>
  </conditionalFormatting>
  <conditionalFormatting sqref="BD70">
    <cfRule type="cellIs" dxfId="7080" priority="137202" stopIfTrue="1" operator="lessThan">
      <formula>0.5</formula>
    </cfRule>
  </conditionalFormatting>
  <conditionalFormatting sqref="BD70">
    <cfRule type="cellIs" dxfId="7079" priority="137203" stopIfTrue="1" operator="greaterThanOrEqual">
      <formula>0.5</formula>
    </cfRule>
  </conditionalFormatting>
  <conditionalFormatting sqref="BD71">
    <cfRule type="cellIs" dxfId="7078" priority="137204" stopIfTrue="1" operator="equal">
      <formula>-1</formula>
    </cfRule>
  </conditionalFormatting>
  <conditionalFormatting sqref="BD71">
    <cfRule type="cellIs" dxfId="7077" priority="137205" stopIfTrue="1" operator="lessThan">
      <formula>0.5</formula>
    </cfRule>
  </conditionalFormatting>
  <conditionalFormatting sqref="BD71">
    <cfRule type="cellIs" dxfId="7076" priority="137206" stopIfTrue="1" operator="greaterThanOrEqual">
      <formula>0.5</formula>
    </cfRule>
  </conditionalFormatting>
  <conditionalFormatting sqref="BD72">
    <cfRule type="cellIs" dxfId="7075" priority="137207" stopIfTrue="1" operator="equal">
      <formula>-1</formula>
    </cfRule>
  </conditionalFormatting>
  <conditionalFormatting sqref="BD72">
    <cfRule type="cellIs" dxfId="7074" priority="137208" stopIfTrue="1" operator="lessThan">
      <formula>0.5</formula>
    </cfRule>
  </conditionalFormatting>
  <conditionalFormatting sqref="BD72">
    <cfRule type="cellIs" dxfId="7073" priority="137209" stopIfTrue="1" operator="greaterThanOrEqual">
      <formula>0.5</formula>
    </cfRule>
  </conditionalFormatting>
  <conditionalFormatting sqref="BD73">
    <cfRule type="cellIs" dxfId="7072" priority="137210" stopIfTrue="1" operator="equal">
      <formula>-1</formula>
    </cfRule>
  </conditionalFormatting>
  <conditionalFormatting sqref="BD73">
    <cfRule type="cellIs" dxfId="7071" priority="137211" stopIfTrue="1" operator="lessThan">
      <formula>0.5</formula>
    </cfRule>
  </conditionalFormatting>
  <conditionalFormatting sqref="BD73">
    <cfRule type="cellIs" dxfId="7070" priority="137212" stopIfTrue="1" operator="greaterThanOrEqual">
      <formula>0.5</formula>
    </cfRule>
  </conditionalFormatting>
  <conditionalFormatting sqref="BD74">
    <cfRule type="cellIs" dxfId="7069" priority="137213" stopIfTrue="1" operator="equal">
      <formula>-1</formula>
    </cfRule>
  </conditionalFormatting>
  <conditionalFormatting sqref="BD74">
    <cfRule type="cellIs" dxfId="7068" priority="137214" stopIfTrue="1" operator="lessThan">
      <formula>0.5</formula>
    </cfRule>
  </conditionalFormatting>
  <conditionalFormatting sqref="BD74">
    <cfRule type="cellIs" dxfId="7067" priority="137215" stopIfTrue="1" operator="greaterThanOrEqual">
      <formula>0.5</formula>
    </cfRule>
  </conditionalFormatting>
  <conditionalFormatting sqref="BD75">
    <cfRule type="cellIs" dxfId="7066" priority="137216" stopIfTrue="1" operator="equal">
      <formula>-1</formula>
    </cfRule>
  </conditionalFormatting>
  <conditionalFormatting sqref="BD75">
    <cfRule type="cellIs" dxfId="7065" priority="137217" stopIfTrue="1" operator="lessThan">
      <formula>0.5</formula>
    </cfRule>
  </conditionalFormatting>
  <conditionalFormatting sqref="BD75">
    <cfRule type="cellIs" dxfId="7064" priority="137218" stopIfTrue="1" operator="greaterThanOrEqual">
      <formula>0.5</formula>
    </cfRule>
  </conditionalFormatting>
  <conditionalFormatting sqref="BD76">
    <cfRule type="cellIs" dxfId="7063" priority="137219" stopIfTrue="1" operator="equal">
      <formula>-1</formula>
    </cfRule>
  </conditionalFormatting>
  <conditionalFormatting sqref="BD76">
    <cfRule type="cellIs" dxfId="7062" priority="137220" stopIfTrue="1" operator="lessThan">
      <formula>0.5</formula>
    </cfRule>
  </conditionalFormatting>
  <conditionalFormatting sqref="BD76">
    <cfRule type="cellIs" dxfId="7061" priority="137221" stopIfTrue="1" operator="greaterThanOrEqual">
      <formula>0.5</formula>
    </cfRule>
  </conditionalFormatting>
  <conditionalFormatting sqref="BD77">
    <cfRule type="cellIs" dxfId="7060" priority="137222" stopIfTrue="1" operator="equal">
      <formula>-1</formula>
    </cfRule>
  </conditionalFormatting>
  <conditionalFormatting sqref="BD77">
    <cfRule type="cellIs" dxfId="7059" priority="137223" stopIfTrue="1" operator="lessThan">
      <formula>0.5</formula>
    </cfRule>
  </conditionalFormatting>
  <conditionalFormatting sqref="BD77">
    <cfRule type="cellIs" dxfId="7058" priority="137224" stopIfTrue="1" operator="greaterThanOrEqual">
      <formula>0.5</formula>
    </cfRule>
  </conditionalFormatting>
  <conditionalFormatting sqref="BD78">
    <cfRule type="cellIs" dxfId="7057" priority="137225" stopIfTrue="1" operator="equal">
      <formula>-1</formula>
    </cfRule>
  </conditionalFormatting>
  <conditionalFormatting sqref="BD78">
    <cfRule type="cellIs" dxfId="7056" priority="137226" stopIfTrue="1" operator="lessThan">
      <formula>0.5</formula>
    </cfRule>
  </conditionalFormatting>
  <conditionalFormatting sqref="BD78">
    <cfRule type="cellIs" dxfId="7055" priority="137227" stopIfTrue="1" operator="greaterThanOrEqual">
      <formula>0.5</formula>
    </cfRule>
  </conditionalFormatting>
  <conditionalFormatting sqref="BD79">
    <cfRule type="cellIs" dxfId="7054" priority="137228" stopIfTrue="1" operator="equal">
      <formula>-1</formula>
    </cfRule>
  </conditionalFormatting>
  <conditionalFormatting sqref="BD79">
    <cfRule type="cellIs" dxfId="7053" priority="137229" stopIfTrue="1" operator="lessThan">
      <formula>0.5</formula>
    </cfRule>
  </conditionalFormatting>
  <conditionalFormatting sqref="BD79">
    <cfRule type="cellIs" dxfId="7052" priority="137230" stopIfTrue="1" operator="greaterThanOrEqual">
      <formula>0.5</formula>
    </cfRule>
  </conditionalFormatting>
  <conditionalFormatting sqref="BD80">
    <cfRule type="cellIs" dxfId="7051" priority="137231" stopIfTrue="1" operator="equal">
      <formula>-1</formula>
    </cfRule>
  </conditionalFormatting>
  <conditionalFormatting sqref="BD80">
    <cfRule type="cellIs" dxfId="7050" priority="137232" stopIfTrue="1" operator="lessThan">
      <formula>0.5</formula>
    </cfRule>
  </conditionalFormatting>
  <conditionalFormatting sqref="BD80">
    <cfRule type="cellIs" dxfId="7049" priority="137233" stopIfTrue="1" operator="greaterThanOrEqual">
      <formula>0.5</formula>
    </cfRule>
  </conditionalFormatting>
  <conditionalFormatting sqref="BD81">
    <cfRule type="cellIs" dxfId="7048" priority="137234" stopIfTrue="1" operator="equal">
      <formula>-1</formula>
    </cfRule>
  </conditionalFormatting>
  <conditionalFormatting sqref="BD81">
    <cfRule type="cellIs" dxfId="7047" priority="137235" stopIfTrue="1" operator="lessThan">
      <formula>0.5</formula>
    </cfRule>
  </conditionalFormatting>
  <conditionalFormatting sqref="BD81">
    <cfRule type="cellIs" dxfId="7046" priority="137236" stopIfTrue="1" operator="greaterThanOrEqual">
      <formula>0.5</formula>
    </cfRule>
  </conditionalFormatting>
  <conditionalFormatting sqref="BD82">
    <cfRule type="cellIs" dxfId="7045" priority="137237" stopIfTrue="1" operator="equal">
      <formula>-1</formula>
    </cfRule>
  </conditionalFormatting>
  <conditionalFormatting sqref="BD82">
    <cfRule type="cellIs" dxfId="7044" priority="137238" stopIfTrue="1" operator="lessThan">
      <formula>0.5</formula>
    </cfRule>
  </conditionalFormatting>
  <conditionalFormatting sqref="BD82">
    <cfRule type="cellIs" dxfId="7043" priority="137239" stopIfTrue="1" operator="greaterThanOrEqual">
      <formula>0.5</formula>
    </cfRule>
  </conditionalFormatting>
  <conditionalFormatting sqref="BD83">
    <cfRule type="cellIs" dxfId="7042" priority="137240" stopIfTrue="1" operator="equal">
      <formula>-1</formula>
    </cfRule>
  </conditionalFormatting>
  <conditionalFormatting sqref="BD83">
    <cfRule type="cellIs" dxfId="7041" priority="137241" stopIfTrue="1" operator="lessThan">
      <formula>0.5</formula>
    </cfRule>
  </conditionalFormatting>
  <conditionalFormatting sqref="BD83">
    <cfRule type="cellIs" dxfId="7040" priority="137242" stopIfTrue="1" operator="greaterThanOrEqual">
      <formula>0.5</formula>
    </cfRule>
  </conditionalFormatting>
  <conditionalFormatting sqref="BD84">
    <cfRule type="cellIs" dxfId="7039" priority="137243" stopIfTrue="1" operator="equal">
      <formula>-1</formula>
    </cfRule>
  </conditionalFormatting>
  <conditionalFormatting sqref="BD84">
    <cfRule type="cellIs" dxfId="7038" priority="137244" stopIfTrue="1" operator="lessThan">
      <formula>0.5</formula>
    </cfRule>
  </conditionalFormatting>
  <conditionalFormatting sqref="BD84">
    <cfRule type="cellIs" dxfId="7037" priority="137245" stopIfTrue="1" operator="greaterThanOrEqual">
      <formula>0.5</formula>
    </cfRule>
  </conditionalFormatting>
  <conditionalFormatting sqref="BD85">
    <cfRule type="cellIs" dxfId="7036" priority="137246" stopIfTrue="1" operator="equal">
      <formula>-1</formula>
    </cfRule>
  </conditionalFormatting>
  <conditionalFormatting sqref="BD85">
    <cfRule type="cellIs" dxfId="7035" priority="137247" stopIfTrue="1" operator="lessThan">
      <formula>0.5</formula>
    </cfRule>
  </conditionalFormatting>
  <conditionalFormatting sqref="BD85">
    <cfRule type="cellIs" dxfId="7034" priority="137248" stopIfTrue="1" operator="greaterThanOrEqual">
      <formula>0.5</formula>
    </cfRule>
  </conditionalFormatting>
  <conditionalFormatting sqref="BF65">
    <cfRule type="cellIs" dxfId="7033" priority="137249" stopIfTrue="1" operator="equal">
      <formula>-1</formula>
    </cfRule>
  </conditionalFormatting>
  <conditionalFormatting sqref="BF65">
    <cfRule type="cellIs" dxfId="7032" priority="137250" stopIfTrue="1" operator="lessThan">
      <formula>0.5</formula>
    </cfRule>
  </conditionalFormatting>
  <conditionalFormatting sqref="BF65">
    <cfRule type="cellIs" dxfId="7031" priority="137251" stopIfTrue="1" operator="greaterThanOrEqual">
      <formula>0.5</formula>
    </cfRule>
  </conditionalFormatting>
  <conditionalFormatting sqref="BF66">
    <cfRule type="cellIs" dxfId="7030" priority="137252" stopIfTrue="1" operator="equal">
      <formula>-1</formula>
    </cfRule>
  </conditionalFormatting>
  <conditionalFormatting sqref="BF66">
    <cfRule type="cellIs" dxfId="7029" priority="137253" stopIfTrue="1" operator="lessThan">
      <formula>0.5</formula>
    </cfRule>
  </conditionalFormatting>
  <conditionalFormatting sqref="BF66">
    <cfRule type="cellIs" dxfId="7028" priority="137254" stopIfTrue="1" operator="greaterThanOrEqual">
      <formula>0.5</formula>
    </cfRule>
  </conditionalFormatting>
  <conditionalFormatting sqref="BF67">
    <cfRule type="cellIs" dxfId="7027" priority="137255" stopIfTrue="1" operator="equal">
      <formula>-1</formula>
    </cfRule>
  </conditionalFormatting>
  <conditionalFormatting sqref="BF67">
    <cfRule type="cellIs" dxfId="7026" priority="137256" stopIfTrue="1" operator="lessThan">
      <formula>0.5</formula>
    </cfRule>
  </conditionalFormatting>
  <conditionalFormatting sqref="BF67">
    <cfRule type="cellIs" dxfId="7025" priority="137257" stopIfTrue="1" operator="greaterThanOrEqual">
      <formula>0.5</formula>
    </cfRule>
  </conditionalFormatting>
  <conditionalFormatting sqref="BF68">
    <cfRule type="cellIs" dxfId="7024" priority="137258" stopIfTrue="1" operator="equal">
      <formula>-1</formula>
    </cfRule>
  </conditionalFormatting>
  <conditionalFormatting sqref="BF68">
    <cfRule type="cellIs" dxfId="7023" priority="137259" stopIfTrue="1" operator="lessThan">
      <formula>0.5</formula>
    </cfRule>
  </conditionalFormatting>
  <conditionalFormatting sqref="BF68">
    <cfRule type="cellIs" dxfId="7022" priority="137260" stopIfTrue="1" operator="greaterThanOrEqual">
      <formula>0.5</formula>
    </cfRule>
  </conditionalFormatting>
  <conditionalFormatting sqref="BF69">
    <cfRule type="cellIs" dxfId="7021" priority="137261" stopIfTrue="1" operator="equal">
      <formula>-1</formula>
    </cfRule>
  </conditionalFormatting>
  <conditionalFormatting sqref="BF69">
    <cfRule type="cellIs" dxfId="7020" priority="137262" stopIfTrue="1" operator="lessThan">
      <formula>0.5</formula>
    </cfRule>
  </conditionalFormatting>
  <conditionalFormatting sqref="BF69">
    <cfRule type="cellIs" dxfId="7019" priority="137263" stopIfTrue="1" operator="greaterThanOrEqual">
      <formula>0.5</formula>
    </cfRule>
  </conditionalFormatting>
  <conditionalFormatting sqref="BF70">
    <cfRule type="cellIs" dxfId="7018" priority="137264" stopIfTrue="1" operator="equal">
      <formula>-1</formula>
    </cfRule>
  </conditionalFormatting>
  <conditionalFormatting sqref="BF70">
    <cfRule type="cellIs" dxfId="7017" priority="137265" stopIfTrue="1" operator="lessThan">
      <formula>0.5</formula>
    </cfRule>
  </conditionalFormatting>
  <conditionalFormatting sqref="BF70">
    <cfRule type="cellIs" dxfId="7016" priority="137266" stopIfTrue="1" operator="greaterThanOrEqual">
      <formula>0.5</formula>
    </cfRule>
  </conditionalFormatting>
  <conditionalFormatting sqref="BF71">
    <cfRule type="cellIs" dxfId="7015" priority="137267" stopIfTrue="1" operator="equal">
      <formula>-1</formula>
    </cfRule>
  </conditionalFormatting>
  <conditionalFormatting sqref="BF71">
    <cfRule type="cellIs" dxfId="7014" priority="137268" stopIfTrue="1" operator="lessThan">
      <formula>0.5</formula>
    </cfRule>
  </conditionalFormatting>
  <conditionalFormatting sqref="BF71">
    <cfRule type="cellIs" dxfId="7013" priority="137269" stopIfTrue="1" operator="greaterThanOrEqual">
      <formula>0.5</formula>
    </cfRule>
  </conditionalFormatting>
  <conditionalFormatting sqref="BF72">
    <cfRule type="cellIs" dxfId="7012" priority="137270" stopIfTrue="1" operator="equal">
      <formula>-1</formula>
    </cfRule>
  </conditionalFormatting>
  <conditionalFormatting sqref="BF72">
    <cfRule type="cellIs" dxfId="7011" priority="137271" stopIfTrue="1" operator="lessThan">
      <formula>0.5</formula>
    </cfRule>
  </conditionalFormatting>
  <conditionalFormatting sqref="BF72">
    <cfRule type="cellIs" dxfId="7010" priority="137272" stopIfTrue="1" operator="greaterThanOrEqual">
      <formula>0.5</formula>
    </cfRule>
  </conditionalFormatting>
  <conditionalFormatting sqref="BF73">
    <cfRule type="cellIs" dxfId="7009" priority="137273" stopIfTrue="1" operator="equal">
      <formula>-1</formula>
    </cfRule>
  </conditionalFormatting>
  <conditionalFormatting sqref="BF73">
    <cfRule type="cellIs" dxfId="7008" priority="137274" stopIfTrue="1" operator="lessThan">
      <formula>0.5</formula>
    </cfRule>
  </conditionalFormatting>
  <conditionalFormatting sqref="BF73">
    <cfRule type="cellIs" dxfId="7007" priority="137275" stopIfTrue="1" operator="greaterThanOrEqual">
      <formula>0.5</formula>
    </cfRule>
  </conditionalFormatting>
  <conditionalFormatting sqref="BF74">
    <cfRule type="cellIs" dxfId="7006" priority="137276" stopIfTrue="1" operator="equal">
      <formula>-1</formula>
    </cfRule>
  </conditionalFormatting>
  <conditionalFormatting sqref="BF74">
    <cfRule type="cellIs" dxfId="7005" priority="137277" stopIfTrue="1" operator="lessThan">
      <formula>0.5</formula>
    </cfRule>
  </conditionalFormatting>
  <conditionalFormatting sqref="BF74">
    <cfRule type="cellIs" dxfId="7004" priority="137278" stopIfTrue="1" operator="greaterThanOrEqual">
      <formula>0.5</formula>
    </cfRule>
  </conditionalFormatting>
  <conditionalFormatting sqref="BF75">
    <cfRule type="cellIs" dxfId="7003" priority="137279" stopIfTrue="1" operator="equal">
      <formula>-1</formula>
    </cfRule>
  </conditionalFormatting>
  <conditionalFormatting sqref="BF75">
    <cfRule type="cellIs" dxfId="7002" priority="137280" stopIfTrue="1" operator="lessThan">
      <formula>0.5</formula>
    </cfRule>
  </conditionalFormatting>
  <conditionalFormatting sqref="BF75">
    <cfRule type="cellIs" dxfId="7001" priority="137281" stopIfTrue="1" operator="greaterThanOrEqual">
      <formula>0.5</formula>
    </cfRule>
  </conditionalFormatting>
  <conditionalFormatting sqref="BF76">
    <cfRule type="cellIs" dxfId="7000" priority="137282" stopIfTrue="1" operator="equal">
      <formula>-1</formula>
    </cfRule>
  </conditionalFormatting>
  <conditionalFormatting sqref="BF76">
    <cfRule type="cellIs" dxfId="6999" priority="137283" stopIfTrue="1" operator="lessThan">
      <formula>0.5</formula>
    </cfRule>
  </conditionalFormatting>
  <conditionalFormatting sqref="BF76">
    <cfRule type="cellIs" dxfId="6998" priority="137284" stopIfTrue="1" operator="greaterThanOrEqual">
      <formula>0.5</formula>
    </cfRule>
  </conditionalFormatting>
  <conditionalFormatting sqref="BF77">
    <cfRule type="cellIs" dxfId="6997" priority="137285" stopIfTrue="1" operator="equal">
      <formula>-1</formula>
    </cfRule>
  </conditionalFormatting>
  <conditionalFormatting sqref="BF77">
    <cfRule type="cellIs" dxfId="6996" priority="137286" stopIfTrue="1" operator="lessThan">
      <formula>0.5</formula>
    </cfRule>
  </conditionalFormatting>
  <conditionalFormatting sqref="BF77">
    <cfRule type="cellIs" dxfId="6995" priority="137287" stopIfTrue="1" operator="greaterThanOrEqual">
      <formula>0.5</formula>
    </cfRule>
  </conditionalFormatting>
  <conditionalFormatting sqref="BF78">
    <cfRule type="cellIs" dxfId="6994" priority="137288" stopIfTrue="1" operator="equal">
      <formula>-1</formula>
    </cfRule>
  </conditionalFormatting>
  <conditionalFormatting sqref="BF78">
    <cfRule type="cellIs" dxfId="6993" priority="137289" stopIfTrue="1" operator="lessThan">
      <formula>0.5</formula>
    </cfRule>
  </conditionalFormatting>
  <conditionalFormatting sqref="BF78">
    <cfRule type="cellIs" dxfId="6992" priority="137290" stopIfTrue="1" operator="greaterThanOrEqual">
      <formula>0.5</formula>
    </cfRule>
  </conditionalFormatting>
  <conditionalFormatting sqref="BF79">
    <cfRule type="cellIs" dxfId="6991" priority="137291" stopIfTrue="1" operator="equal">
      <formula>-1</formula>
    </cfRule>
  </conditionalFormatting>
  <conditionalFormatting sqref="BF79">
    <cfRule type="cellIs" dxfId="6990" priority="137292" stopIfTrue="1" operator="lessThan">
      <formula>0.5</formula>
    </cfRule>
  </conditionalFormatting>
  <conditionalFormatting sqref="BF79">
    <cfRule type="cellIs" dxfId="6989" priority="137293" stopIfTrue="1" operator="greaterThanOrEqual">
      <formula>0.5</formula>
    </cfRule>
  </conditionalFormatting>
  <conditionalFormatting sqref="BF80">
    <cfRule type="cellIs" dxfId="6988" priority="137294" stopIfTrue="1" operator="equal">
      <formula>-1</formula>
    </cfRule>
  </conditionalFormatting>
  <conditionalFormatting sqref="BF80">
    <cfRule type="cellIs" dxfId="6987" priority="137295" stopIfTrue="1" operator="lessThan">
      <formula>0.5</formula>
    </cfRule>
  </conditionalFormatting>
  <conditionalFormatting sqref="BF80">
    <cfRule type="cellIs" dxfId="6986" priority="137296" stopIfTrue="1" operator="greaterThanOrEqual">
      <formula>0.5</formula>
    </cfRule>
  </conditionalFormatting>
  <conditionalFormatting sqref="BF81">
    <cfRule type="cellIs" dxfId="6985" priority="137297" stopIfTrue="1" operator="equal">
      <formula>-1</formula>
    </cfRule>
  </conditionalFormatting>
  <conditionalFormatting sqref="BF81">
    <cfRule type="cellIs" dxfId="6984" priority="137298" stopIfTrue="1" operator="lessThan">
      <formula>0.5</formula>
    </cfRule>
  </conditionalFormatting>
  <conditionalFormatting sqref="BF81">
    <cfRule type="cellIs" dxfId="6983" priority="137299" stopIfTrue="1" operator="greaterThanOrEqual">
      <formula>0.5</formula>
    </cfRule>
  </conditionalFormatting>
  <conditionalFormatting sqref="BF82">
    <cfRule type="cellIs" dxfId="6982" priority="137300" stopIfTrue="1" operator="equal">
      <formula>-1</formula>
    </cfRule>
  </conditionalFormatting>
  <conditionalFormatting sqref="BF82">
    <cfRule type="cellIs" dxfId="6981" priority="137301" stopIfTrue="1" operator="lessThan">
      <formula>0.5</formula>
    </cfRule>
  </conditionalFormatting>
  <conditionalFormatting sqref="BF82">
    <cfRule type="cellIs" dxfId="6980" priority="137302" stopIfTrue="1" operator="greaterThanOrEqual">
      <formula>0.5</formula>
    </cfRule>
  </conditionalFormatting>
  <conditionalFormatting sqref="BF83">
    <cfRule type="cellIs" dxfId="6979" priority="137303" stopIfTrue="1" operator="equal">
      <formula>-1</formula>
    </cfRule>
  </conditionalFormatting>
  <conditionalFormatting sqref="BF83">
    <cfRule type="cellIs" dxfId="6978" priority="137304" stopIfTrue="1" operator="lessThan">
      <formula>0.5</formula>
    </cfRule>
  </conditionalFormatting>
  <conditionalFormatting sqref="BF83">
    <cfRule type="cellIs" dxfId="6977" priority="137305" stopIfTrue="1" operator="greaterThanOrEqual">
      <formula>0.5</formula>
    </cfRule>
  </conditionalFormatting>
  <conditionalFormatting sqref="BF84">
    <cfRule type="cellIs" dxfId="6976" priority="137306" stopIfTrue="1" operator="equal">
      <formula>-1</formula>
    </cfRule>
  </conditionalFormatting>
  <conditionalFormatting sqref="BF84">
    <cfRule type="cellIs" dxfId="6975" priority="137307" stopIfTrue="1" operator="lessThan">
      <formula>0.5</formula>
    </cfRule>
  </conditionalFormatting>
  <conditionalFormatting sqref="BF84">
    <cfRule type="cellIs" dxfId="6974" priority="137308" stopIfTrue="1" operator="greaterThanOrEqual">
      <formula>0.5</formula>
    </cfRule>
  </conditionalFormatting>
  <conditionalFormatting sqref="BF85">
    <cfRule type="cellIs" dxfId="6973" priority="137309" stopIfTrue="1" operator="equal">
      <formula>-1</formula>
    </cfRule>
  </conditionalFormatting>
  <conditionalFormatting sqref="BF85">
    <cfRule type="cellIs" dxfId="6972" priority="137310" stopIfTrue="1" operator="lessThan">
      <formula>0.5</formula>
    </cfRule>
  </conditionalFormatting>
  <conditionalFormatting sqref="BF85">
    <cfRule type="cellIs" dxfId="6971" priority="137311" stopIfTrue="1" operator="greaterThanOrEqual">
      <formula>0.5</formula>
    </cfRule>
  </conditionalFormatting>
  <conditionalFormatting sqref="BH65">
    <cfRule type="cellIs" dxfId="6970" priority="137312" stopIfTrue="1" operator="equal">
      <formula>-1</formula>
    </cfRule>
  </conditionalFormatting>
  <conditionalFormatting sqref="BH65">
    <cfRule type="cellIs" dxfId="6969" priority="137313" stopIfTrue="1" operator="lessThan">
      <formula>0.5</formula>
    </cfRule>
  </conditionalFormatting>
  <conditionalFormatting sqref="BH65">
    <cfRule type="cellIs" dxfId="6968" priority="137314" stopIfTrue="1" operator="greaterThanOrEqual">
      <formula>0.5</formula>
    </cfRule>
  </conditionalFormatting>
  <conditionalFormatting sqref="BH66">
    <cfRule type="cellIs" dxfId="6967" priority="137315" stopIfTrue="1" operator="equal">
      <formula>-1</formula>
    </cfRule>
  </conditionalFormatting>
  <conditionalFormatting sqref="BH66">
    <cfRule type="cellIs" dxfId="6966" priority="137316" stopIfTrue="1" operator="lessThan">
      <formula>0.5</formula>
    </cfRule>
  </conditionalFormatting>
  <conditionalFormatting sqref="BH66">
    <cfRule type="cellIs" dxfId="6965" priority="137317" stopIfTrue="1" operator="greaterThanOrEqual">
      <formula>0.5</formula>
    </cfRule>
  </conditionalFormatting>
  <conditionalFormatting sqref="BH67">
    <cfRule type="cellIs" dxfId="6964" priority="137318" stopIfTrue="1" operator="equal">
      <formula>-1</formula>
    </cfRule>
  </conditionalFormatting>
  <conditionalFormatting sqref="BH67">
    <cfRule type="cellIs" dxfId="6963" priority="137319" stopIfTrue="1" operator="lessThan">
      <formula>0.5</formula>
    </cfRule>
  </conditionalFormatting>
  <conditionalFormatting sqref="BH67">
    <cfRule type="cellIs" dxfId="6962" priority="137320" stopIfTrue="1" operator="greaterThanOrEqual">
      <formula>0.5</formula>
    </cfRule>
  </conditionalFormatting>
  <conditionalFormatting sqref="BH68">
    <cfRule type="cellIs" dxfId="6961" priority="137321" stopIfTrue="1" operator="equal">
      <formula>-1</formula>
    </cfRule>
  </conditionalFormatting>
  <conditionalFormatting sqref="BH68">
    <cfRule type="cellIs" dxfId="6960" priority="137322" stopIfTrue="1" operator="lessThan">
      <formula>0.5</formula>
    </cfRule>
  </conditionalFormatting>
  <conditionalFormatting sqref="BH68">
    <cfRule type="cellIs" dxfId="6959" priority="137323" stopIfTrue="1" operator="greaterThanOrEqual">
      <formula>0.5</formula>
    </cfRule>
  </conditionalFormatting>
  <conditionalFormatting sqref="BH69">
    <cfRule type="cellIs" dxfId="6958" priority="137324" stopIfTrue="1" operator="equal">
      <formula>-1</formula>
    </cfRule>
  </conditionalFormatting>
  <conditionalFormatting sqref="BH69">
    <cfRule type="cellIs" dxfId="6957" priority="137325" stopIfTrue="1" operator="lessThan">
      <formula>0.5</formula>
    </cfRule>
  </conditionalFormatting>
  <conditionalFormatting sqref="BH69">
    <cfRule type="cellIs" dxfId="6956" priority="137326" stopIfTrue="1" operator="greaterThanOrEqual">
      <formula>0.5</formula>
    </cfRule>
  </conditionalFormatting>
  <conditionalFormatting sqref="BH70">
    <cfRule type="cellIs" dxfId="6955" priority="137327" stopIfTrue="1" operator="equal">
      <formula>-1</formula>
    </cfRule>
  </conditionalFormatting>
  <conditionalFormatting sqref="BH70">
    <cfRule type="cellIs" dxfId="6954" priority="137328" stopIfTrue="1" operator="lessThan">
      <formula>0.5</formula>
    </cfRule>
  </conditionalFormatting>
  <conditionalFormatting sqref="BH70">
    <cfRule type="cellIs" dxfId="6953" priority="137329" stopIfTrue="1" operator="greaterThanOrEqual">
      <formula>0.5</formula>
    </cfRule>
  </conditionalFormatting>
  <conditionalFormatting sqref="BH71">
    <cfRule type="cellIs" dxfId="6952" priority="137330" stopIfTrue="1" operator="equal">
      <formula>-1</formula>
    </cfRule>
  </conditionalFormatting>
  <conditionalFormatting sqref="BH71">
    <cfRule type="cellIs" dxfId="6951" priority="137331" stopIfTrue="1" operator="lessThan">
      <formula>0.5</formula>
    </cfRule>
  </conditionalFormatting>
  <conditionalFormatting sqref="BH71">
    <cfRule type="cellIs" dxfId="6950" priority="137332" stopIfTrue="1" operator="greaterThanOrEqual">
      <formula>0.5</formula>
    </cfRule>
  </conditionalFormatting>
  <conditionalFormatting sqref="BH72">
    <cfRule type="cellIs" dxfId="6949" priority="137333" stopIfTrue="1" operator="equal">
      <formula>-1</formula>
    </cfRule>
  </conditionalFormatting>
  <conditionalFormatting sqref="BH72">
    <cfRule type="cellIs" dxfId="6948" priority="137334" stopIfTrue="1" operator="lessThan">
      <formula>0.5</formula>
    </cfRule>
  </conditionalFormatting>
  <conditionalFormatting sqref="BH72">
    <cfRule type="cellIs" dxfId="6947" priority="137335" stopIfTrue="1" operator="greaterThanOrEqual">
      <formula>0.5</formula>
    </cfRule>
  </conditionalFormatting>
  <conditionalFormatting sqref="BH73">
    <cfRule type="cellIs" dxfId="6946" priority="137336" stopIfTrue="1" operator="equal">
      <formula>-1</formula>
    </cfRule>
  </conditionalFormatting>
  <conditionalFormatting sqref="BH73">
    <cfRule type="cellIs" dxfId="6945" priority="137337" stopIfTrue="1" operator="lessThan">
      <formula>0.5</formula>
    </cfRule>
  </conditionalFormatting>
  <conditionalFormatting sqref="BH73">
    <cfRule type="cellIs" dxfId="6944" priority="137338" stopIfTrue="1" operator="greaterThanOrEqual">
      <formula>0.5</formula>
    </cfRule>
  </conditionalFormatting>
  <conditionalFormatting sqref="BH74">
    <cfRule type="cellIs" dxfId="6943" priority="137339" stopIfTrue="1" operator="equal">
      <formula>-1</formula>
    </cfRule>
  </conditionalFormatting>
  <conditionalFormatting sqref="BH74">
    <cfRule type="cellIs" dxfId="6942" priority="137340" stopIfTrue="1" operator="lessThan">
      <formula>0.5</formula>
    </cfRule>
  </conditionalFormatting>
  <conditionalFormatting sqref="BH74">
    <cfRule type="cellIs" dxfId="6941" priority="137341" stopIfTrue="1" operator="greaterThanOrEqual">
      <formula>0.5</formula>
    </cfRule>
  </conditionalFormatting>
  <conditionalFormatting sqref="BH75">
    <cfRule type="cellIs" dxfId="6940" priority="137342" stopIfTrue="1" operator="equal">
      <formula>-1</formula>
    </cfRule>
  </conditionalFormatting>
  <conditionalFormatting sqref="BH75">
    <cfRule type="cellIs" dxfId="6939" priority="137343" stopIfTrue="1" operator="lessThan">
      <formula>0.5</formula>
    </cfRule>
  </conditionalFormatting>
  <conditionalFormatting sqref="BH75">
    <cfRule type="cellIs" dxfId="6938" priority="137344" stopIfTrue="1" operator="greaterThanOrEqual">
      <formula>0.5</formula>
    </cfRule>
  </conditionalFormatting>
  <conditionalFormatting sqref="BH76">
    <cfRule type="cellIs" dxfId="6937" priority="137345" stopIfTrue="1" operator="equal">
      <formula>-1</formula>
    </cfRule>
  </conditionalFormatting>
  <conditionalFormatting sqref="BH76">
    <cfRule type="cellIs" dxfId="6936" priority="137346" stopIfTrue="1" operator="lessThan">
      <formula>0.5</formula>
    </cfRule>
  </conditionalFormatting>
  <conditionalFormatting sqref="BH76">
    <cfRule type="cellIs" dxfId="6935" priority="137347" stopIfTrue="1" operator="greaterThanOrEqual">
      <formula>0.5</formula>
    </cfRule>
  </conditionalFormatting>
  <conditionalFormatting sqref="BH77">
    <cfRule type="cellIs" dxfId="6934" priority="137348" stopIfTrue="1" operator="equal">
      <formula>-1</formula>
    </cfRule>
  </conditionalFormatting>
  <conditionalFormatting sqref="BH77">
    <cfRule type="cellIs" dxfId="6933" priority="137349" stopIfTrue="1" operator="lessThan">
      <formula>0.5</formula>
    </cfRule>
  </conditionalFormatting>
  <conditionalFormatting sqref="BH77">
    <cfRule type="cellIs" dxfId="6932" priority="137350" stopIfTrue="1" operator="greaterThanOrEqual">
      <formula>0.5</formula>
    </cfRule>
  </conditionalFormatting>
  <conditionalFormatting sqref="BH78">
    <cfRule type="cellIs" dxfId="6931" priority="137351" stopIfTrue="1" operator="equal">
      <formula>-1</formula>
    </cfRule>
  </conditionalFormatting>
  <conditionalFormatting sqref="BH78">
    <cfRule type="cellIs" dxfId="6930" priority="137352" stopIfTrue="1" operator="lessThan">
      <formula>0.5</formula>
    </cfRule>
  </conditionalFormatting>
  <conditionalFormatting sqref="BH78">
    <cfRule type="cellIs" dxfId="6929" priority="137353" stopIfTrue="1" operator="greaterThanOrEqual">
      <formula>0.5</formula>
    </cfRule>
  </conditionalFormatting>
  <conditionalFormatting sqref="BH79">
    <cfRule type="cellIs" dxfId="6928" priority="137354" stopIfTrue="1" operator="equal">
      <formula>-1</formula>
    </cfRule>
  </conditionalFormatting>
  <conditionalFormatting sqref="BH79">
    <cfRule type="cellIs" dxfId="6927" priority="137355" stopIfTrue="1" operator="lessThan">
      <formula>0.5</formula>
    </cfRule>
  </conditionalFormatting>
  <conditionalFormatting sqref="BH79">
    <cfRule type="cellIs" dxfId="6926" priority="137356" stopIfTrue="1" operator="greaterThanOrEqual">
      <formula>0.5</formula>
    </cfRule>
  </conditionalFormatting>
  <conditionalFormatting sqref="BH80">
    <cfRule type="cellIs" dxfId="6925" priority="137357" stopIfTrue="1" operator="equal">
      <formula>-1</formula>
    </cfRule>
  </conditionalFormatting>
  <conditionalFormatting sqref="BH80">
    <cfRule type="cellIs" dxfId="6924" priority="137358" stopIfTrue="1" operator="lessThan">
      <formula>0.5</formula>
    </cfRule>
  </conditionalFormatting>
  <conditionalFormatting sqref="BH80">
    <cfRule type="cellIs" dxfId="6923" priority="137359" stopIfTrue="1" operator="greaterThanOrEqual">
      <formula>0.5</formula>
    </cfRule>
  </conditionalFormatting>
  <conditionalFormatting sqref="BH81">
    <cfRule type="cellIs" dxfId="6922" priority="137360" stopIfTrue="1" operator="equal">
      <formula>-1</formula>
    </cfRule>
  </conditionalFormatting>
  <conditionalFormatting sqref="BH81">
    <cfRule type="cellIs" dxfId="6921" priority="137361" stopIfTrue="1" operator="lessThan">
      <formula>0.5</formula>
    </cfRule>
  </conditionalFormatting>
  <conditionalFormatting sqref="BH81">
    <cfRule type="cellIs" dxfId="6920" priority="137362" stopIfTrue="1" operator="greaterThanOrEqual">
      <formula>0.5</formula>
    </cfRule>
  </conditionalFormatting>
  <conditionalFormatting sqref="BH82">
    <cfRule type="cellIs" dxfId="6919" priority="137363" stopIfTrue="1" operator="equal">
      <formula>-1</formula>
    </cfRule>
  </conditionalFormatting>
  <conditionalFormatting sqref="BH82">
    <cfRule type="cellIs" dxfId="6918" priority="137364" stopIfTrue="1" operator="lessThan">
      <formula>0.5</formula>
    </cfRule>
  </conditionalFormatting>
  <conditionalFormatting sqref="BH82">
    <cfRule type="cellIs" dxfId="6917" priority="137365" stopIfTrue="1" operator="greaterThanOrEqual">
      <formula>0.5</formula>
    </cfRule>
  </conditionalFormatting>
  <conditionalFormatting sqref="BH83">
    <cfRule type="cellIs" dxfId="6916" priority="137366" stopIfTrue="1" operator="equal">
      <formula>-1</formula>
    </cfRule>
  </conditionalFormatting>
  <conditionalFormatting sqref="BH83">
    <cfRule type="cellIs" dxfId="6915" priority="137367" stopIfTrue="1" operator="lessThan">
      <formula>0.5</formula>
    </cfRule>
  </conditionalFormatting>
  <conditionalFormatting sqref="BH83">
    <cfRule type="cellIs" dxfId="6914" priority="137368" stopIfTrue="1" operator="greaterThanOrEqual">
      <formula>0.5</formula>
    </cfRule>
  </conditionalFormatting>
  <conditionalFormatting sqref="BH84">
    <cfRule type="cellIs" dxfId="6913" priority="137369" stopIfTrue="1" operator="equal">
      <formula>-1</formula>
    </cfRule>
  </conditionalFormatting>
  <conditionalFormatting sqref="BH84">
    <cfRule type="cellIs" dxfId="6912" priority="137370" stopIfTrue="1" operator="lessThan">
      <formula>0.5</formula>
    </cfRule>
  </conditionalFormatting>
  <conditionalFormatting sqref="BH84">
    <cfRule type="cellIs" dxfId="6911" priority="137371" stopIfTrue="1" operator="greaterThanOrEqual">
      <formula>0.5</formula>
    </cfRule>
  </conditionalFormatting>
  <conditionalFormatting sqref="BH85">
    <cfRule type="cellIs" dxfId="6910" priority="137372" stopIfTrue="1" operator="equal">
      <formula>-1</formula>
    </cfRule>
  </conditionalFormatting>
  <conditionalFormatting sqref="BH85">
    <cfRule type="cellIs" dxfId="6909" priority="137373" stopIfTrue="1" operator="lessThan">
      <formula>0.5</formula>
    </cfRule>
  </conditionalFormatting>
  <conditionalFormatting sqref="BH85">
    <cfRule type="cellIs" dxfId="6908" priority="137374" stopIfTrue="1" operator="greaterThanOrEqual">
      <formula>0.5</formula>
    </cfRule>
  </conditionalFormatting>
  <conditionalFormatting sqref="BJ65">
    <cfRule type="cellIs" dxfId="6907" priority="137375" stopIfTrue="1" operator="equal">
      <formula>-1</formula>
    </cfRule>
  </conditionalFormatting>
  <conditionalFormatting sqref="BJ65">
    <cfRule type="cellIs" dxfId="6906" priority="137376" stopIfTrue="1" operator="lessThan">
      <formula>0.5</formula>
    </cfRule>
  </conditionalFormatting>
  <conditionalFormatting sqref="BJ65">
    <cfRule type="cellIs" dxfId="6905" priority="137377" stopIfTrue="1" operator="greaterThanOrEqual">
      <formula>0.5</formula>
    </cfRule>
  </conditionalFormatting>
  <conditionalFormatting sqref="BJ66">
    <cfRule type="cellIs" dxfId="6904" priority="137378" stopIfTrue="1" operator="equal">
      <formula>-1</formula>
    </cfRule>
  </conditionalFormatting>
  <conditionalFormatting sqref="BJ66">
    <cfRule type="cellIs" dxfId="6903" priority="137379" stopIfTrue="1" operator="lessThan">
      <formula>0.5</formula>
    </cfRule>
  </conditionalFormatting>
  <conditionalFormatting sqref="BJ66">
    <cfRule type="cellIs" dxfId="6902" priority="137380" stopIfTrue="1" operator="greaterThanOrEqual">
      <formula>0.5</formula>
    </cfRule>
  </conditionalFormatting>
  <conditionalFormatting sqref="BJ67">
    <cfRule type="cellIs" dxfId="6901" priority="137381" stopIfTrue="1" operator="equal">
      <formula>-1</formula>
    </cfRule>
  </conditionalFormatting>
  <conditionalFormatting sqref="BJ67">
    <cfRule type="cellIs" dxfId="6900" priority="137382" stopIfTrue="1" operator="lessThan">
      <formula>0.5</formula>
    </cfRule>
  </conditionalFormatting>
  <conditionalFormatting sqref="BJ67">
    <cfRule type="cellIs" dxfId="6899" priority="137383" stopIfTrue="1" operator="greaterThanOrEqual">
      <formula>0.5</formula>
    </cfRule>
  </conditionalFormatting>
  <conditionalFormatting sqref="BJ68">
    <cfRule type="cellIs" dxfId="6898" priority="137384" stopIfTrue="1" operator="equal">
      <formula>-1</formula>
    </cfRule>
  </conditionalFormatting>
  <conditionalFormatting sqref="BJ68">
    <cfRule type="cellIs" dxfId="6897" priority="137385" stopIfTrue="1" operator="lessThan">
      <formula>0.5</formula>
    </cfRule>
  </conditionalFormatting>
  <conditionalFormatting sqref="BJ68">
    <cfRule type="cellIs" dxfId="6896" priority="137386" stopIfTrue="1" operator="greaterThanOrEqual">
      <formula>0.5</formula>
    </cfRule>
  </conditionalFormatting>
  <conditionalFormatting sqref="BJ69">
    <cfRule type="cellIs" dxfId="6895" priority="137387" stopIfTrue="1" operator="equal">
      <formula>-1</formula>
    </cfRule>
  </conditionalFormatting>
  <conditionalFormatting sqref="BJ69">
    <cfRule type="cellIs" dxfId="6894" priority="137388" stopIfTrue="1" operator="lessThan">
      <formula>0.5</formula>
    </cfRule>
  </conditionalFormatting>
  <conditionalFormatting sqref="BJ69">
    <cfRule type="cellIs" dxfId="6893" priority="137389" stopIfTrue="1" operator="greaterThanOrEqual">
      <formula>0.5</formula>
    </cfRule>
  </conditionalFormatting>
  <conditionalFormatting sqref="BJ70">
    <cfRule type="cellIs" dxfId="6892" priority="137390" stopIfTrue="1" operator="equal">
      <formula>-1</formula>
    </cfRule>
  </conditionalFormatting>
  <conditionalFormatting sqref="BJ70">
    <cfRule type="cellIs" dxfId="6891" priority="137391" stopIfTrue="1" operator="lessThan">
      <formula>0.5</formula>
    </cfRule>
  </conditionalFormatting>
  <conditionalFormatting sqref="BJ70">
    <cfRule type="cellIs" dxfId="6890" priority="137392" stopIfTrue="1" operator="greaterThanOrEqual">
      <formula>0.5</formula>
    </cfRule>
  </conditionalFormatting>
  <conditionalFormatting sqref="BJ71">
    <cfRule type="cellIs" dxfId="6889" priority="137393" stopIfTrue="1" operator="equal">
      <formula>-1</formula>
    </cfRule>
  </conditionalFormatting>
  <conditionalFormatting sqref="BJ71">
    <cfRule type="cellIs" dxfId="6888" priority="137394" stopIfTrue="1" operator="lessThan">
      <formula>0.5</formula>
    </cfRule>
  </conditionalFormatting>
  <conditionalFormatting sqref="BJ71">
    <cfRule type="cellIs" dxfId="6887" priority="137395" stopIfTrue="1" operator="greaterThanOrEqual">
      <formula>0.5</formula>
    </cfRule>
  </conditionalFormatting>
  <conditionalFormatting sqref="BJ72">
    <cfRule type="cellIs" dxfId="6886" priority="137396" stopIfTrue="1" operator="equal">
      <formula>-1</formula>
    </cfRule>
  </conditionalFormatting>
  <conditionalFormatting sqref="BJ72">
    <cfRule type="cellIs" dxfId="6885" priority="137397" stopIfTrue="1" operator="lessThan">
      <formula>0.5</formula>
    </cfRule>
  </conditionalFormatting>
  <conditionalFormatting sqref="BJ72">
    <cfRule type="cellIs" dxfId="6884" priority="137398" stopIfTrue="1" operator="greaterThanOrEqual">
      <formula>0.5</formula>
    </cfRule>
  </conditionalFormatting>
  <conditionalFormatting sqref="BJ73">
    <cfRule type="cellIs" dxfId="6883" priority="137399" stopIfTrue="1" operator="equal">
      <formula>-1</formula>
    </cfRule>
  </conditionalFormatting>
  <conditionalFormatting sqref="BJ73">
    <cfRule type="cellIs" dxfId="6882" priority="137400" stopIfTrue="1" operator="lessThan">
      <formula>0.5</formula>
    </cfRule>
  </conditionalFormatting>
  <conditionalFormatting sqref="BJ73">
    <cfRule type="cellIs" dxfId="6881" priority="137401" stopIfTrue="1" operator="greaterThanOrEqual">
      <formula>0.5</formula>
    </cfRule>
  </conditionalFormatting>
  <conditionalFormatting sqref="BJ74">
    <cfRule type="cellIs" dxfId="6880" priority="137402" stopIfTrue="1" operator="equal">
      <formula>-1</formula>
    </cfRule>
  </conditionalFormatting>
  <conditionalFormatting sqref="BJ74">
    <cfRule type="cellIs" dxfId="6879" priority="137403" stopIfTrue="1" operator="lessThan">
      <formula>0.5</formula>
    </cfRule>
  </conditionalFormatting>
  <conditionalFormatting sqref="BJ74">
    <cfRule type="cellIs" dxfId="6878" priority="137404" stopIfTrue="1" operator="greaterThanOrEqual">
      <formula>0.5</formula>
    </cfRule>
  </conditionalFormatting>
  <conditionalFormatting sqref="BJ75">
    <cfRule type="cellIs" dxfId="6877" priority="137405" stopIfTrue="1" operator="equal">
      <formula>-1</formula>
    </cfRule>
  </conditionalFormatting>
  <conditionalFormatting sqref="BJ75">
    <cfRule type="cellIs" dxfId="6876" priority="137406" stopIfTrue="1" operator="lessThan">
      <formula>0.5</formula>
    </cfRule>
  </conditionalFormatting>
  <conditionalFormatting sqref="BJ75">
    <cfRule type="cellIs" dxfId="6875" priority="137407" stopIfTrue="1" operator="greaterThanOrEqual">
      <formula>0.5</formula>
    </cfRule>
  </conditionalFormatting>
  <conditionalFormatting sqref="BJ76">
    <cfRule type="cellIs" dxfId="6874" priority="137408" stopIfTrue="1" operator="equal">
      <formula>-1</formula>
    </cfRule>
  </conditionalFormatting>
  <conditionalFormatting sqref="BJ76">
    <cfRule type="cellIs" dxfId="6873" priority="137409" stopIfTrue="1" operator="lessThan">
      <formula>0.5</formula>
    </cfRule>
  </conditionalFormatting>
  <conditionalFormatting sqref="BJ76">
    <cfRule type="cellIs" dxfId="6872" priority="137410" stopIfTrue="1" operator="greaterThanOrEqual">
      <formula>0.5</formula>
    </cfRule>
  </conditionalFormatting>
  <conditionalFormatting sqref="BJ77">
    <cfRule type="cellIs" dxfId="6871" priority="137411" stopIfTrue="1" operator="equal">
      <formula>-1</formula>
    </cfRule>
  </conditionalFormatting>
  <conditionalFormatting sqref="BJ77">
    <cfRule type="cellIs" dxfId="6870" priority="137412" stopIfTrue="1" operator="lessThan">
      <formula>0.5</formula>
    </cfRule>
  </conditionalFormatting>
  <conditionalFormatting sqref="BJ77">
    <cfRule type="cellIs" dxfId="6869" priority="137413" stopIfTrue="1" operator="greaterThanOrEqual">
      <formula>0.5</formula>
    </cfRule>
  </conditionalFormatting>
  <conditionalFormatting sqref="BJ78">
    <cfRule type="cellIs" dxfId="6868" priority="137414" stopIfTrue="1" operator="equal">
      <formula>-1</formula>
    </cfRule>
  </conditionalFormatting>
  <conditionalFormatting sqref="BJ78">
    <cfRule type="cellIs" dxfId="6867" priority="137415" stopIfTrue="1" operator="lessThan">
      <formula>0.5</formula>
    </cfRule>
  </conditionalFormatting>
  <conditionalFormatting sqref="BJ78">
    <cfRule type="cellIs" dxfId="6866" priority="137416" stopIfTrue="1" operator="greaterThanOrEqual">
      <formula>0.5</formula>
    </cfRule>
  </conditionalFormatting>
  <conditionalFormatting sqref="BJ79">
    <cfRule type="cellIs" dxfId="6865" priority="137417" stopIfTrue="1" operator="equal">
      <formula>-1</formula>
    </cfRule>
  </conditionalFormatting>
  <conditionalFormatting sqref="BJ79">
    <cfRule type="cellIs" dxfId="6864" priority="137418" stopIfTrue="1" operator="lessThan">
      <formula>0.5</formula>
    </cfRule>
  </conditionalFormatting>
  <conditionalFormatting sqref="BJ79">
    <cfRule type="cellIs" dxfId="6863" priority="137419" stopIfTrue="1" operator="greaterThanOrEqual">
      <formula>0.5</formula>
    </cfRule>
  </conditionalFormatting>
  <conditionalFormatting sqref="BJ80">
    <cfRule type="cellIs" dxfId="6862" priority="137420" stopIfTrue="1" operator="equal">
      <formula>-1</formula>
    </cfRule>
  </conditionalFormatting>
  <conditionalFormatting sqref="BJ80">
    <cfRule type="cellIs" dxfId="6861" priority="137421" stopIfTrue="1" operator="lessThan">
      <formula>0.5</formula>
    </cfRule>
  </conditionalFormatting>
  <conditionalFormatting sqref="BJ80">
    <cfRule type="cellIs" dxfId="6860" priority="137422" stopIfTrue="1" operator="greaterThanOrEqual">
      <formula>0.5</formula>
    </cfRule>
  </conditionalFormatting>
  <conditionalFormatting sqref="BJ81">
    <cfRule type="cellIs" dxfId="6859" priority="137423" stopIfTrue="1" operator="equal">
      <formula>-1</formula>
    </cfRule>
  </conditionalFormatting>
  <conditionalFormatting sqref="BJ81">
    <cfRule type="cellIs" dxfId="6858" priority="137424" stopIfTrue="1" operator="lessThan">
      <formula>0.5</formula>
    </cfRule>
  </conditionalFormatting>
  <conditionalFormatting sqref="BJ81">
    <cfRule type="cellIs" dxfId="6857" priority="137425" stopIfTrue="1" operator="greaterThanOrEqual">
      <formula>0.5</formula>
    </cfRule>
  </conditionalFormatting>
  <conditionalFormatting sqref="BJ82">
    <cfRule type="cellIs" dxfId="6856" priority="137426" stopIfTrue="1" operator="equal">
      <formula>-1</formula>
    </cfRule>
  </conditionalFormatting>
  <conditionalFormatting sqref="BJ82">
    <cfRule type="cellIs" dxfId="6855" priority="137427" stopIfTrue="1" operator="lessThan">
      <formula>0.5</formula>
    </cfRule>
  </conditionalFormatting>
  <conditionalFormatting sqref="BJ82">
    <cfRule type="cellIs" dxfId="6854" priority="137428" stopIfTrue="1" operator="greaterThanOrEqual">
      <formula>0.5</formula>
    </cfRule>
  </conditionalFormatting>
  <conditionalFormatting sqref="BJ83">
    <cfRule type="cellIs" dxfId="6853" priority="137429" stopIfTrue="1" operator="equal">
      <formula>-1</formula>
    </cfRule>
  </conditionalFormatting>
  <conditionalFormatting sqref="BJ83">
    <cfRule type="cellIs" dxfId="6852" priority="137430" stopIfTrue="1" operator="lessThan">
      <formula>0.5</formula>
    </cfRule>
  </conditionalFormatting>
  <conditionalFormatting sqref="BJ83">
    <cfRule type="cellIs" dxfId="6851" priority="137431" stopIfTrue="1" operator="greaterThanOrEqual">
      <formula>0.5</formula>
    </cfRule>
  </conditionalFormatting>
  <conditionalFormatting sqref="BJ84">
    <cfRule type="cellIs" dxfId="6850" priority="137432" stopIfTrue="1" operator="equal">
      <formula>-1</formula>
    </cfRule>
  </conditionalFormatting>
  <conditionalFormatting sqref="BJ84">
    <cfRule type="cellIs" dxfId="6849" priority="137433" stopIfTrue="1" operator="lessThan">
      <formula>0.5</formula>
    </cfRule>
  </conditionalFormatting>
  <conditionalFormatting sqref="BJ84">
    <cfRule type="cellIs" dxfId="6848" priority="137434" stopIfTrue="1" operator="greaterThanOrEqual">
      <formula>0.5</formula>
    </cfRule>
  </conditionalFormatting>
  <conditionalFormatting sqref="BJ85">
    <cfRule type="cellIs" dxfId="6847" priority="137435" stopIfTrue="1" operator="equal">
      <formula>-1</formula>
    </cfRule>
  </conditionalFormatting>
  <conditionalFormatting sqref="BJ85">
    <cfRule type="cellIs" dxfId="6846" priority="137436" stopIfTrue="1" operator="lessThan">
      <formula>0.5</formula>
    </cfRule>
  </conditionalFormatting>
  <conditionalFormatting sqref="BJ85">
    <cfRule type="cellIs" dxfId="6845" priority="137437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F21CD-F954-0043-9CFC-0C8FC2A30565}">
  <sheetPr codeName="Sheet4">
    <tabColor rgb="FFFF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8" t="str" cm="1">
        <f t="array" ref="A1">[1]!GRUPO</f>
        <v>2º Bach.</v>
      </c>
      <c r="B1" s="79" t="s">
        <v>88</v>
      </c>
      <c r="C1" s="50">
        <v>1</v>
      </c>
      <c r="D1" s="50"/>
      <c r="E1" s="50">
        <v>2</v>
      </c>
      <c r="F1" s="50" t="s">
        <v>0</v>
      </c>
      <c r="G1" s="50">
        <v>3</v>
      </c>
      <c r="H1" s="50" t="s">
        <v>0</v>
      </c>
      <c r="I1" s="50">
        <v>4</v>
      </c>
      <c r="J1" s="50" t="s">
        <v>0</v>
      </c>
      <c r="K1" s="50">
        <v>5</v>
      </c>
      <c r="L1" s="50" t="s">
        <v>0</v>
      </c>
      <c r="M1" s="50">
        <v>6</v>
      </c>
      <c r="N1" s="50" t="s">
        <v>0</v>
      </c>
      <c r="O1" s="50">
        <v>7</v>
      </c>
      <c r="P1" s="50" t="s">
        <v>0</v>
      </c>
      <c r="Q1" s="50">
        <v>8</v>
      </c>
      <c r="R1" s="50" t="s">
        <v>0</v>
      </c>
      <c r="S1" s="50">
        <v>9</v>
      </c>
      <c r="T1" s="50" t="s">
        <v>0</v>
      </c>
      <c r="U1" s="50">
        <v>10</v>
      </c>
      <c r="V1" s="50" t="s">
        <v>0</v>
      </c>
      <c r="W1" s="50">
        <v>11</v>
      </c>
      <c r="X1" s="50" t="s">
        <v>0</v>
      </c>
      <c r="Y1" s="50">
        <v>12</v>
      </c>
      <c r="Z1" s="50" t="s">
        <v>1</v>
      </c>
      <c r="AA1" s="50">
        <v>13</v>
      </c>
      <c r="AB1" s="50" t="s">
        <v>0</v>
      </c>
      <c r="AC1" s="50">
        <v>14</v>
      </c>
      <c r="AD1" s="50" t="s">
        <v>0</v>
      </c>
      <c r="AE1" s="50">
        <v>15</v>
      </c>
      <c r="AF1" s="50" t="s">
        <v>0</v>
      </c>
      <c r="AG1" s="50">
        <v>16</v>
      </c>
      <c r="AH1" s="50" t="s">
        <v>0</v>
      </c>
      <c r="AI1" s="50">
        <v>17</v>
      </c>
      <c r="AJ1" s="50"/>
      <c r="AK1" s="50">
        <v>18</v>
      </c>
      <c r="AL1" s="50"/>
      <c r="AM1" s="50">
        <v>19</v>
      </c>
      <c r="AN1" s="50"/>
      <c r="AO1" s="50">
        <v>20</v>
      </c>
      <c r="AP1" s="50" t="s">
        <v>0</v>
      </c>
      <c r="AQ1" s="50">
        <v>21</v>
      </c>
      <c r="AR1" s="50"/>
      <c r="AS1" s="50">
        <v>22</v>
      </c>
      <c r="AT1" s="50" t="s">
        <v>0</v>
      </c>
      <c r="AU1" s="50">
        <v>23</v>
      </c>
      <c r="AV1" s="50" t="s">
        <v>0</v>
      </c>
      <c r="AW1" s="50">
        <v>24</v>
      </c>
      <c r="AX1" s="50"/>
      <c r="AY1" s="50">
        <v>25</v>
      </c>
      <c r="AZ1" s="50"/>
      <c r="BA1" s="50">
        <v>26</v>
      </c>
      <c r="BB1" s="50"/>
      <c r="BC1" s="50">
        <v>27</v>
      </c>
      <c r="BD1" s="50"/>
      <c r="BE1" s="50">
        <v>28</v>
      </c>
      <c r="BF1" s="50"/>
      <c r="BG1" s="50">
        <v>29</v>
      </c>
      <c r="BH1" s="50"/>
      <c r="BI1" s="50">
        <v>30</v>
      </c>
      <c r="BJ1" s="50"/>
    </row>
    <row r="2" spans="1:62" ht="115" customHeight="1" x14ac:dyDescent="0.2">
      <c r="A2" s="78"/>
      <c r="B2" s="80"/>
      <c r="C2" s="51" t="str">
        <f>[1]Examen11!C$2</f>
        <v>Alma Casa, Mario</v>
      </c>
      <c r="D2" s="51"/>
      <c r="E2" s="51" t="str">
        <f>[1]Examen11!E$2</f>
        <v>Amado Luz, Martín</v>
      </c>
      <c r="F2" s="51"/>
      <c r="G2" s="51" t="str">
        <f>[1]Examen11!G$2</f>
        <v>Bonete Cune, Carla</v>
      </c>
      <c r="H2" s="51"/>
      <c r="I2" s="51" t="str">
        <f>[1]Examen11!I$2</f>
        <v>Casado Marín, María</v>
      </c>
      <c r="J2" s="51"/>
      <c r="K2" s="51" t="str">
        <f>[1]Examen11!K$2</f>
        <v>Concepción García, Elena</v>
      </c>
      <c r="L2" s="51"/>
      <c r="M2" s="51" t="str">
        <f>[1]Examen11!M$2</f>
        <v>Díaz Lucas, Ricardo</v>
      </c>
      <c r="N2" s="51"/>
      <c r="O2" s="51" t="str">
        <f>[1]Examen11!O$2</f>
        <v>Díaz Ríos, Lucía</v>
      </c>
      <c r="P2" s="51"/>
      <c r="Q2" s="51" t="str">
        <f>[1]Examen11!Q$2</f>
        <v>García López, Juan Ángel</v>
      </c>
      <c r="R2" s="51"/>
      <c r="S2" s="51" t="str">
        <f>[1]Examen11!S$2</f>
        <v>García Pérez, Luis</v>
      </c>
      <c r="T2" s="51"/>
      <c r="U2" s="51" t="str">
        <f>[1]Examen11!U$2</f>
        <v>Garijo Piqueras, María</v>
      </c>
      <c r="V2" s="51"/>
      <c r="W2" s="51" t="str">
        <f>[1]Examen11!W$2</f>
        <v>Gómez Luna, José</v>
      </c>
      <c r="X2" s="51"/>
      <c r="Y2" s="51" t="str">
        <f>[1]Examen11!Y$2</f>
        <v>González García, Juan</v>
      </c>
      <c r="Z2" s="51"/>
      <c r="AA2" s="51" t="str">
        <f>[1]Examen11!AA$2</f>
        <v>González Pérez, María</v>
      </c>
      <c r="AB2" s="51"/>
      <c r="AC2" s="51" t="str">
        <f>[1]Examen11!AC$2</f>
        <v>Laín Hernández, Luisa</v>
      </c>
      <c r="AD2" s="51"/>
      <c r="AE2" s="51" t="str">
        <f>[1]Examen11!AE$2</f>
        <v>Lirios Lara, Juan</v>
      </c>
      <c r="AF2" s="51"/>
      <c r="AG2" s="51" t="str">
        <f>[1]Examen11!AG$2</f>
        <v>López Picazo, Marta</v>
      </c>
      <c r="AH2" s="51"/>
      <c r="AI2" s="51" t="str">
        <f>[1]Examen11!AI$2</f>
        <v>Molina Pérez, Marina</v>
      </c>
      <c r="AJ2" s="51"/>
      <c r="AK2" s="51" t="str">
        <f>[1]Examen11!AK$2</f>
        <v>Molina Sánchez, Inmaculada</v>
      </c>
      <c r="AL2" s="51"/>
      <c r="AM2" s="51" t="str">
        <f>[1]Examen11!AM$2</f>
        <v>Montero Pacheco, Pablo</v>
      </c>
      <c r="AN2" s="51"/>
      <c r="AO2" s="51" t="str">
        <f>[1]Examen11!AO$2</f>
        <v>Mora García, Javier</v>
      </c>
      <c r="AP2" s="51"/>
      <c r="AQ2" s="51" t="str">
        <f>[1]Examen11!AQ$2</f>
        <v>Morcillo Pared, Luna</v>
      </c>
      <c r="AR2" s="51"/>
      <c r="AS2" s="51" t="str">
        <f>[1]Examen11!AS$2</f>
        <v>Moreno Hernández, Francisco</v>
      </c>
      <c r="AT2" s="51"/>
      <c r="AU2" s="51" t="str">
        <f>[1]Examen11!AU$2</f>
        <v>Muñoz Garijo, Pablo</v>
      </c>
      <c r="AV2" s="51"/>
      <c r="AW2" s="51" t="str">
        <f>[1]Examen11!AW$2</f>
        <v>Pérez Garrido, Francisco</v>
      </c>
      <c r="AX2" s="51"/>
      <c r="AY2" s="51" t="str">
        <f>[1]Examen11!AY$2</f>
        <v>Serna Serna, Susana</v>
      </c>
      <c r="AZ2" s="51"/>
      <c r="BA2" s="51" t="str">
        <f>[1]Examen11!BA$2</f>
        <v>Soriano Tornero, Manuel</v>
      </c>
      <c r="BB2" s="51"/>
      <c r="BC2" s="51" t="str">
        <f>[1]Examen11!BC$2</f>
        <v>Zarza Parrilla, Manuel</v>
      </c>
      <c r="BD2" s="51"/>
      <c r="BE2" s="51" t="str">
        <f>[1]Examen11!BE$2</f>
        <v/>
      </c>
      <c r="BF2" s="51"/>
      <c r="BG2" s="51" t="str">
        <f>[1]Examen11!BG$2</f>
        <v/>
      </c>
      <c r="BH2" s="51"/>
      <c r="BI2" s="51" t="str">
        <f>[1]Examen11!BI$2</f>
        <v/>
      </c>
      <c r="BJ2" s="51"/>
    </row>
    <row r="3" spans="1:62" ht="33" customHeight="1" x14ac:dyDescent="0.2">
      <c r="A3" s="38" t="str" cm="1">
        <f t="array" ref="A3">[1]!VERSION</f>
        <v>Versión 1.1</v>
      </c>
      <c r="B3" s="11" t="str">
        <f>IF((B4+B7+B16+B38+B59+B64)=1,"Ok","Error % Bloques")</f>
        <v>Ok</v>
      </c>
      <c r="C3" s="53">
        <f>SUM(C4,C7,C16,C38,C59,C64)</f>
        <v>0</v>
      </c>
      <c r="D3" s="54"/>
      <c r="E3" s="53">
        <f t="shared" ref="E3" si="0">SUM(E4,E7,E16,E38,E59,E64)</f>
        <v>0</v>
      </c>
      <c r="F3" s="54"/>
      <c r="G3" s="53">
        <f t="shared" ref="G3" si="1">SUM(G4,G7,G16,G38,G59,G64)</f>
        <v>0</v>
      </c>
      <c r="H3" s="54"/>
      <c r="I3" s="53">
        <f t="shared" ref="I3" si="2">SUM(I4,I7,I16,I38,I59,I64)</f>
        <v>0</v>
      </c>
      <c r="J3" s="54"/>
      <c r="K3" s="53">
        <f t="shared" ref="K3" si="3">SUM(K4,K7,K16,K38,K59,K64)</f>
        <v>0</v>
      </c>
      <c r="L3" s="54"/>
      <c r="M3" s="53">
        <f t="shared" ref="M3" si="4">SUM(M4,M7,M16,M38,M59,M64)</f>
        <v>0</v>
      </c>
      <c r="N3" s="54"/>
      <c r="O3" s="53">
        <f t="shared" ref="O3" si="5">SUM(O4,O7,O16,O38,O59,O64)</f>
        <v>0</v>
      </c>
      <c r="P3" s="54"/>
      <c r="Q3" s="53">
        <f t="shared" ref="Q3" si="6">SUM(Q4,Q7,Q16,Q38,Q59,Q64)</f>
        <v>0</v>
      </c>
      <c r="R3" s="54"/>
      <c r="S3" s="53">
        <f t="shared" ref="S3" si="7">SUM(S4,S7,S16,S38,S59,S64)</f>
        <v>0</v>
      </c>
      <c r="T3" s="54"/>
      <c r="U3" s="53">
        <f t="shared" ref="U3" si="8">SUM(U4,U7,U16,U38,U59,U64)</f>
        <v>0</v>
      </c>
      <c r="V3" s="54"/>
      <c r="W3" s="53">
        <f t="shared" ref="W3" si="9">SUM(W4,W7,W16,W38,W59,W64)</f>
        <v>0</v>
      </c>
      <c r="X3" s="54"/>
      <c r="Y3" s="53">
        <f t="shared" ref="Y3" si="10">SUM(Y4,Y7,Y16,Y38,Y59,Y64)</f>
        <v>0</v>
      </c>
      <c r="Z3" s="54"/>
      <c r="AA3" s="53">
        <f t="shared" ref="AA3" si="11">SUM(AA4,AA7,AA16,AA38,AA59,AA64)</f>
        <v>0</v>
      </c>
      <c r="AB3" s="54"/>
      <c r="AC3" s="53">
        <f t="shared" ref="AC3" si="12">SUM(AC4,AC7,AC16,AC38,AC59,AC64)</f>
        <v>0</v>
      </c>
      <c r="AD3" s="54"/>
      <c r="AE3" s="53">
        <f t="shared" ref="AE3" si="13">SUM(AE4,AE7,AE16,AE38,AE59,AE64)</f>
        <v>0</v>
      </c>
      <c r="AF3" s="54"/>
      <c r="AG3" s="53">
        <f t="shared" ref="AG3" si="14">SUM(AG4,AG7,AG16,AG38,AG59,AG64)</f>
        <v>0</v>
      </c>
      <c r="AH3" s="54"/>
      <c r="AI3" s="53">
        <f t="shared" ref="AI3" si="15">SUM(AI4,AI7,AI16,AI38,AI59,AI64)</f>
        <v>0</v>
      </c>
      <c r="AJ3" s="54"/>
      <c r="AK3" s="53">
        <f t="shared" ref="AK3" si="16">SUM(AK4,AK7,AK16,AK38,AK59,AK64)</f>
        <v>0</v>
      </c>
      <c r="AL3" s="54"/>
      <c r="AM3" s="53">
        <f t="shared" ref="AM3" si="17">SUM(AM4,AM7,AM16,AM38,AM59,AM64)</f>
        <v>0</v>
      </c>
      <c r="AN3" s="54"/>
      <c r="AO3" s="53">
        <f t="shared" ref="AO3" si="18">SUM(AO4,AO7,AO16,AO38,AO59,AO64)</f>
        <v>0</v>
      </c>
      <c r="AP3" s="54"/>
      <c r="AQ3" s="53">
        <f t="shared" ref="AQ3" si="19">SUM(AQ4,AQ7,AQ16,AQ38,AQ59,AQ64)</f>
        <v>0</v>
      </c>
      <c r="AR3" s="54"/>
      <c r="AS3" s="53">
        <f t="shared" ref="AS3" si="20">SUM(AS4,AS7,AS16,AS38,AS59,AS64)</f>
        <v>0</v>
      </c>
      <c r="AT3" s="54"/>
      <c r="AU3" s="53">
        <f t="shared" ref="AU3" si="21">SUM(AU4,AU7,AU16,AU38,AU59,AU64)</f>
        <v>0</v>
      </c>
      <c r="AV3" s="54"/>
      <c r="AW3" s="53">
        <f t="shared" ref="AW3" si="22">SUM(AW4,AW7,AW16,AW38,AW59,AW64)</f>
        <v>0</v>
      </c>
      <c r="AX3" s="54"/>
      <c r="AY3" s="53">
        <f t="shared" ref="AY3" si="23">SUM(AY4,AY7,AY16,AY38,AY59,AY64)</f>
        <v>0</v>
      </c>
      <c r="AZ3" s="54"/>
      <c r="BA3" s="53">
        <f t="shared" ref="BA3" si="24">SUM(BA4,BA7,BA16,BA38,BA59,BA64)</f>
        <v>0</v>
      </c>
      <c r="BB3" s="54"/>
      <c r="BC3" s="53">
        <f t="shared" ref="BC3" si="25">SUM(BC4,BC7,BC16,BC38,BC59,BC64)</f>
        <v>0</v>
      </c>
      <c r="BD3" s="54"/>
      <c r="BE3" s="53">
        <f t="shared" ref="BE3" si="26">SUM(BE4,BE7,BE16,BE38,BE59,BE64)</f>
        <v>0</v>
      </c>
      <c r="BF3" s="54"/>
      <c r="BG3" s="53">
        <f t="shared" ref="BG3" si="27">SUM(BG4,BG7,BG16,BG38,BG59,BG64)</f>
        <v>0</v>
      </c>
      <c r="BH3" s="54"/>
      <c r="BI3" s="53">
        <f t="shared" ref="BI3" si="28">SUM(BI4,BI7,BI16,BI38,BI59,BI64)</f>
        <v>0</v>
      </c>
      <c r="BJ3" s="54"/>
    </row>
    <row r="4" spans="1:62" ht="38" x14ac:dyDescent="0.2">
      <c r="A4" s="6" t="s">
        <v>2</v>
      </c>
      <c r="B4" s="7">
        <f>Estructura!D2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3">
        <f>Ordinaria!B5</f>
        <v>0</v>
      </c>
      <c r="C5" s="31">
        <f>Ordinaria!C5</f>
        <v>0</v>
      </c>
      <c r="D5" s="32">
        <f>IF($B5,C5/$B5,-1)</f>
        <v>-1</v>
      </c>
      <c r="E5" s="31">
        <f>Ordinaria!E5</f>
        <v>0</v>
      </c>
      <c r="F5" s="32">
        <f>IF($B5,E5/$B5,-1)</f>
        <v>-1</v>
      </c>
      <c r="G5" s="31">
        <f>Ordinaria!G5</f>
        <v>0</v>
      </c>
      <c r="H5" s="32">
        <f>IF($B5,G5/$B5,-1)</f>
        <v>-1</v>
      </c>
      <c r="I5" s="31">
        <f>Ordinaria!I5</f>
        <v>0</v>
      </c>
      <c r="J5" s="32">
        <f>IF($B5,I5/$B5,-1)</f>
        <v>-1</v>
      </c>
      <c r="K5" s="31">
        <f>Ordinaria!K5</f>
        <v>0</v>
      </c>
      <c r="L5" s="32">
        <f>IF($B5,K5/$B5,-1)</f>
        <v>-1</v>
      </c>
      <c r="M5" s="31">
        <f>Ordinaria!M5</f>
        <v>0</v>
      </c>
      <c r="N5" s="32">
        <f>IF($B5,M5/$B5,-1)</f>
        <v>-1</v>
      </c>
      <c r="O5" s="31">
        <f>Ordinaria!O5</f>
        <v>0</v>
      </c>
      <c r="P5" s="32">
        <f>IF($B5,O5/$B5,-1)</f>
        <v>-1</v>
      </c>
      <c r="Q5" s="31">
        <f>Ordinaria!Q5</f>
        <v>0</v>
      </c>
      <c r="R5" s="32">
        <f>IF($B5,Q5/$B5,-1)</f>
        <v>-1</v>
      </c>
      <c r="S5" s="31">
        <f>Ordinaria!S5</f>
        <v>0</v>
      </c>
      <c r="T5" s="32">
        <f>IF($B5,S5/$B5,-1)</f>
        <v>-1</v>
      </c>
      <c r="U5" s="31">
        <f>Ordinaria!U5</f>
        <v>0</v>
      </c>
      <c r="V5" s="32">
        <f>IF($B5,U5/$B5,-1)</f>
        <v>-1</v>
      </c>
      <c r="W5" s="31">
        <f>Ordinaria!W5</f>
        <v>0</v>
      </c>
      <c r="X5" s="32">
        <f>IF($B5,W5/$B5,-1)</f>
        <v>-1</v>
      </c>
      <c r="Y5" s="31">
        <f>Ordinaria!Y5</f>
        <v>0</v>
      </c>
      <c r="Z5" s="32">
        <f>IF($B5,Y5/$B5,-1)</f>
        <v>-1</v>
      </c>
      <c r="AA5" s="31">
        <f>Ordinaria!AA5</f>
        <v>0</v>
      </c>
      <c r="AB5" s="32">
        <f>IF($B5,AA5/$B5,-1)</f>
        <v>-1</v>
      </c>
      <c r="AC5" s="31">
        <f>Ordinaria!AC5</f>
        <v>0</v>
      </c>
      <c r="AD5" s="32">
        <f>IF($B5,AC5/$B5,-1)</f>
        <v>-1</v>
      </c>
      <c r="AE5" s="31">
        <f>Ordinaria!AE5</f>
        <v>0</v>
      </c>
      <c r="AF5" s="32">
        <f>IF($B5,AE5/$B5,-1)</f>
        <v>-1</v>
      </c>
      <c r="AG5" s="31">
        <f>Ordinaria!AG5</f>
        <v>0</v>
      </c>
      <c r="AH5" s="32">
        <f>IF($B5,AG5/$B5,-1)</f>
        <v>-1</v>
      </c>
      <c r="AI5" s="31">
        <f>Ordinaria!AI5</f>
        <v>0</v>
      </c>
      <c r="AJ5" s="32">
        <f>IF($B5,AI5/$B5,-1)</f>
        <v>-1</v>
      </c>
      <c r="AK5" s="31">
        <f>Ordinaria!AK5</f>
        <v>0</v>
      </c>
      <c r="AL5" s="32">
        <f>IF($B5,AK5/$B5,-1)</f>
        <v>-1</v>
      </c>
      <c r="AM5" s="31">
        <f>Ordinaria!AM5</f>
        <v>0</v>
      </c>
      <c r="AN5" s="32">
        <f>IF($B5,AM5/$B5,-1)</f>
        <v>-1</v>
      </c>
      <c r="AO5" s="31">
        <f>Ordinaria!AO5</f>
        <v>0</v>
      </c>
      <c r="AP5" s="32">
        <f>IF($B5,AO5/$B5,-1)</f>
        <v>-1</v>
      </c>
      <c r="AQ5" s="31">
        <f>Ordinaria!AQ5</f>
        <v>0</v>
      </c>
      <c r="AR5" s="32">
        <f>IF($B5,AQ5/$B5,-1)</f>
        <v>-1</v>
      </c>
      <c r="AS5" s="31">
        <f>Ordinaria!AS5</f>
        <v>0</v>
      </c>
      <c r="AT5" s="32">
        <f>IF($B5,AS5/$B5,-1)</f>
        <v>-1</v>
      </c>
      <c r="AU5" s="31">
        <f>Ordinaria!AU5</f>
        <v>0</v>
      </c>
      <c r="AV5" s="32">
        <f>IF($B5,AU5/$B5,-1)</f>
        <v>-1</v>
      </c>
      <c r="AW5" s="31">
        <f>Ordinaria!AW5</f>
        <v>0</v>
      </c>
      <c r="AX5" s="32">
        <f>IF($B5,AW5/$B5,-1)</f>
        <v>-1</v>
      </c>
      <c r="AY5" s="31">
        <f>Ordinaria!AY5</f>
        <v>0</v>
      </c>
      <c r="AZ5" s="32">
        <f>IF($B5,AY5/$B5,-1)</f>
        <v>-1</v>
      </c>
      <c r="BA5" s="31">
        <f>Ordinaria!BA5</f>
        <v>0</v>
      </c>
      <c r="BB5" s="32">
        <f>IF($B5,BA5/$B5,-1)</f>
        <v>-1</v>
      </c>
      <c r="BC5" s="31">
        <f>Ordinaria!BC5</f>
        <v>0</v>
      </c>
      <c r="BD5" s="32">
        <f>IF($B5,BC5/$B5,-1)</f>
        <v>-1</v>
      </c>
      <c r="BE5" s="31">
        <f>Ordinaria!BE5</f>
        <v>0</v>
      </c>
      <c r="BF5" s="32">
        <f>IF($B5,BE5/$B5,-1)</f>
        <v>-1</v>
      </c>
      <c r="BG5" s="31">
        <f>Ordinaria!BG5</f>
        <v>0</v>
      </c>
      <c r="BH5" s="32">
        <f>IF($B5,BG5/$B5,-1)</f>
        <v>-1</v>
      </c>
      <c r="BI5" s="31">
        <f>Ordinaria!BI5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Ordinaria!B6</f>
        <v>0</v>
      </c>
      <c r="C6" s="31">
        <f>Ordinaria!C6</f>
        <v>0</v>
      </c>
      <c r="D6" s="32">
        <f>IF($B6,C6/$B6,-1)</f>
        <v>-1</v>
      </c>
      <c r="E6" s="31">
        <f>Ordinaria!E6</f>
        <v>0</v>
      </c>
      <c r="F6" s="32">
        <f>IF($B6,E6/$B6,-1)</f>
        <v>-1</v>
      </c>
      <c r="G6" s="31">
        <f>Ordinaria!G6</f>
        <v>0</v>
      </c>
      <c r="H6" s="32">
        <f>IF($B6,G6/$B6,-1)</f>
        <v>-1</v>
      </c>
      <c r="I6" s="31">
        <f>Ordinaria!I6</f>
        <v>0</v>
      </c>
      <c r="J6" s="32">
        <f>IF($B6,I6/$B6,-1)</f>
        <v>-1</v>
      </c>
      <c r="K6" s="31">
        <f>Ordinaria!K6</f>
        <v>0</v>
      </c>
      <c r="L6" s="32">
        <f>IF($B6,K6/$B6,-1)</f>
        <v>-1</v>
      </c>
      <c r="M6" s="31">
        <f>Ordinaria!M6</f>
        <v>0</v>
      </c>
      <c r="N6" s="32">
        <f>IF($B6,M6/$B6,-1)</f>
        <v>-1</v>
      </c>
      <c r="O6" s="31">
        <f>Ordinaria!O6</f>
        <v>0</v>
      </c>
      <c r="P6" s="32">
        <f>IF($B6,O6/$B6,-1)</f>
        <v>-1</v>
      </c>
      <c r="Q6" s="31">
        <f>Ordinaria!Q6</f>
        <v>0</v>
      </c>
      <c r="R6" s="32">
        <f>IF($B6,Q6/$B6,-1)</f>
        <v>-1</v>
      </c>
      <c r="S6" s="31">
        <f>Ordinaria!S6</f>
        <v>0</v>
      </c>
      <c r="T6" s="32">
        <f>IF($B6,S6/$B6,-1)</f>
        <v>-1</v>
      </c>
      <c r="U6" s="31">
        <f>Ordinaria!U6</f>
        <v>0</v>
      </c>
      <c r="V6" s="32">
        <f>IF($B6,U6/$B6,-1)</f>
        <v>-1</v>
      </c>
      <c r="W6" s="31">
        <f>Ordinaria!W6</f>
        <v>0</v>
      </c>
      <c r="X6" s="32">
        <f>IF($B6,W6/$B6,-1)</f>
        <v>-1</v>
      </c>
      <c r="Y6" s="31">
        <f>Ordinaria!Y6</f>
        <v>0</v>
      </c>
      <c r="Z6" s="32">
        <f>IF($B6,Y6/$B6,-1)</f>
        <v>-1</v>
      </c>
      <c r="AA6" s="31">
        <f>Ordinaria!AA6</f>
        <v>0</v>
      </c>
      <c r="AB6" s="32">
        <f>IF($B6,AA6/$B6,-1)</f>
        <v>-1</v>
      </c>
      <c r="AC6" s="31">
        <f>Ordinaria!AC6</f>
        <v>0</v>
      </c>
      <c r="AD6" s="32">
        <f>IF($B6,AC6/$B6,-1)</f>
        <v>-1</v>
      </c>
      <c r="AE6" s="31">
        <f>Ordinaria!AE6</f>
        <v>0</v>
      </c>
      <c r="AF6" s="32">
        <f>IF($B6,AE6/$B6,-1)</f>
        <v>-1</v>
      </c>
      <c r="AG6" s="31">
        <f>Ordinaria!AG6</f>
        <v>0</v>
      </c>
      <c r="AH6" s="32">
        <f>IF($B6,AG6/$B6,-1)</f>
        <v>-1</v>
      </c>
      <c r="AI6" s="31">
        <f>Ordinaria!AI6</f>
        <v>0</v>
      </c>
      <c r="AJ6" s="32">
        <f>IF($B6,AI6/$B6,-1)</f>
        <v>-1</v>
      </c>
      <c r="AK6" s="31">
        <f>Ordinaria!AK6</f>
        <v>0</v>
      </c>
      <c r="AL6" s="32">
        <f>IF($B6,AK6/$B6,-1)</f>
        <v>-1</v>
      </c>
      <c r="AM6" s="31">
        <f>Ordinaria!AM6</f>
        <v>0</v>
      </c>
      <c r="AN6" s="32">
        <f>IF($B6,AM6/$B6,-1)</f>
        <v>-1</v>
      </c>
      <c r="AO6" s="31">
        <f>Ordinaria!AO6</f>
        <v>0</v>
      </c>
      <c r="AP6" s="32">
        <f>IF($B6,AO6/$B6,-1)</f>
        <v>-1</v>
      </c>
      <c r="AQ6" s="31">
        <f>Ordinaria!AQ6</f>
        <v>0</v>
      </c>
      <c r="AR6" s="32">
        <f>IF($B6,AQ6/$B6,-1)</f>
        <v>-1</v>
      </c>
      <c r="AS6" s="31">
        <f>Ordinaria!AS6</f>
        <v>0</v>
      </c>
      <c r="AT6" s="32">
        <f>IF($B6,AS6/$B6,-1)</f>
        <v>-1</v>
      </c>
      <c r="AU6" s="31">
        <f>Ordinaria!AU6</f>
        <v>0</v>
      </c>
      <c r="AV6" s="32">
        <f>IF($B6,AU6/$B6,-1)</f>
        <v>-1</v>
      </c>
      <c r="AW6" s="31">
        <f>Ordinaria!AW6</f>
        <v>0</v>
      </c>
      <c r="AX6" s="32">
        <f>IF($B6,AW6/$B6,-1)</f>
        <v>-1</v>
      </c>
      <c r="AY6" s="31">
        <f>Ordinaria!AY6</f>
        <v>0</v>
      </c>
      <c r="AZ6" s="32">
        <f>IF($B6,AY6/$B6,-1)</f>
        <v>-1</v>
      </c>
      <c r="BA6" s="31">
        <f>Ordinaria!BA6</f>
        <v>0</v>
      </c>
      <c r="BB6" s="32">
        <f>IF($B6,BA6/$B6,-1)</f>
        <v>-1</v>
      </c>
      <c r="BC6" s="31">
        <f>Ordinaria!BC6</f>
        <v>0</v>
      </c>
      <c r="BD6" s="32">
        <f>IF($B6,BC6/$B6,-1)</f>
        <v>-1</v>
      </c>
      <c r="BE6" s="31">
        <f>Ordinaria!BE6</f>
        <v>0</v>
      </c>
      <c r="BF6" s="32">
        <f>IF($B6,BE6/$B6,-1)</f>
        <v>-1</v>
      </c>
      <c r="BG6" s="31">
        <f>Ordinaria!BG6</f>
        <v>0</v>
      </c>
      <c r="BH6" s="32">
        <f>IF($B6,BG6/$B6,-1)</f>
        <v>-1</v>
      </c>
      <c r="BI6" s="31">
        <f>Ordinaria!BI6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Ordinaria!B8</f>
        <v>0</v>
      </c>
      <c r="C8" s="31">
        <f>Ordinaria!C8</f>
        <v>0</v>
      </c>
      <c r="D8" s="32">
        <f t="shared" ref="D8:D15" si="29">IF($B8,C8/$B8,-1)</f>
        <v>-1</v>
      </c>
      <c r="E8" s="31">
        <f>Ordinaria!E8</f>
        <v>0</v>
      </c>
      <c r="F8" s="32">
        <f t="shared" ref="F8:F15" si="30">IF($B8,E8/$B8,-1)</f>
        <v>-1</v>
      </c>
      <c r="G8" s="31">
        <f>Ordinaria!G8</f>
        <v>0</v>
      </c>
      <c r="H8" s="32">
        <f t="shared" ref="H8:H15" si="31">IF($B8,G8/$B8,-1)</f>
        <v>-1</v>
      </c>
      <c r="I8" s="31">
        <f>Ordinaria!I8</f>
        <v>0</v>
      </c>
      <c r="J8" s="32">
        <f t="shared" ref="J8:J15" si="32">IF($B8,I8/$B8,-1)</f>
        <v>-1</v>
      </c>
      <c r="K8" s="31">
        <f>Ordinaria!K8</f>
        <v>0</v>
      </c>
      <c r="L8" s="32">
        <f t="shared" ref="L8:L15" si="33">IF($B8,K8/$B8,-1)</f>
        <v>-1</v>
      </c>
      <c r="M8" s="31">
        <f>Ordinaria!M8</f>
        <v>0</v>
      </c>
      <c r="N8" s="32">
        <f t="shared" ref="N8:N15" si="34">IF($B8,M8/$B8,-1)</f>
        <v>-1</v>
      </c>
      <c r="O8" s="31">
        <f>Ordinaria!O8</f>
        <v>0</v>
      </c>
      <c r="P8" s="32">
        <f t="shared" ref="P8:P15" si="35">IF($B8,O8/$B8,-1)</f>
        <v>-1</v>
      </c>
      <c r="Q8" s="31">
        <f>Ordinaria!Q8</f>
        <v>0</v>
      </c>
      <c r="R8" s="32">
        <f t="shared" ref="R8:R15" si="36">IF($B8,Q8/$B8,-1)</f>
        <v>-1</v>
      </c>
      <c r="S8" s="31">
        <f>Ordinaria!S8</f>
        <v>0</v>
      </c>
      <c r="T8" s="32">
        <f t="shared" ref="T8:T15" si="37">IF($B8,S8/$B8,-1)</f>
        <v>-1</v>
      </c>
      <c r="U8" s="31">
        <f>Ordinaria!U8</f>
        <v>0</v>
      </c>
      <c r="V8" s="32">
        <f t="shared" ref="V8:V15" si="38">IF($B8,U8/$B8,-1)</f>
        <v>-1</v>
      </c>
      <c r="W8" s="31">
        <f>Ordinaria!W8</f>
        <v>0</v>
      </c>
      <c r="X8" s="32">
        <f t="shared" ref="X8:X15" si="39">IF($B8,W8/$B8,-1)</f>
        <v>-1</v>
      </c>
      <c r="Y8" s="31">
        <f>Ordinaria!Y8</f>
        <v>0</v>
      </c>
      <c r="Z8" s="32">
        <f t="shared" ref="Z8:Z15" si="40">IF($B8,Y8/$B8,-1)</f>
        <v>-1</v>
      </c>
      <c r="AA8" s="31">
        <f>Ordinaria!AA8</f>
        <v>0</v>
      </c>
      <c r="AB8" s="32">
        <f t="shared" ref="AB8:AB15" si="41">IF($B8,AA8/$B8,-1)</f>
        <v>-1</v>
      </c>
      <c r="AC8" s="31">
        <f>Ordinaria!AC8</f>
        <v>0</v>
      </c>
      <c r="AD8" s="32">
        <f t="shared" ref="AD8:AD15" si="42">IF($B8,AC8/$B8,-1)</f>
        <v>-1</v>
      </c>
      <c r="AE8" s="31">
        <f>Ordinaria!AE8</f>
        <v>0</v>
      </c>
      <c r="AF8" s="32">
        <f t="shared" ref="AF8:AF15" si="43">IF($B8,AE8/$B8,-1)</f>
        <v>-1</v>
      </c>
      <c r="AG8" s="31">
        <f>Ordinaria!AG8</f>
        <v>0</v>
      </c>
      <c r="AH8" s="32">
        <f t="shared" ref="AH8:AH15" si="44">IF($B8,AG8/$B8,-1)</f>
        <v>-1</v>
      </c>
      <c r="AI8" s="31">
        <f>Ordinaria!AI8</f>
        <v>0</v>
      </c>
      <c r="AJ8" s="32">
        <f t="shared" ref="AJ8:AJ15" si="45">IF($B8,AI8/$B8,-1)</f>
        <v>-1</v>
      </c>
      <c r="AK8" s="31">
        <f>Ordinaria!AK8</f>
        <v>0</v>
      </c>
      <c r="AL8" s="32">
        <f t="shared" ref="AL8:AL15" si="46">IF($B8,AK8/$B8,-1)</f>
        <v>-1</v>
      </c>
      <c r="AM8" s="31">
        <f>Ordinaria!AM8</f>
        <v>0</v>
      </c>
      <c r="AN8" s="32">
        <f t="shared" ref="AN8:AN15" si="47">IF($B8,AM8/$B8,-1)</f>
        <v>-1</v>
      </c>
      <c r="AO8" s="31">
        <f>Ordinaria!AO8</f>
        <v>0</v>
      </c>
      <c r="AP8" s="32">
        <f t="shared" ref="AP8:AP15" si="48">IF($B8,AO8/$B8,-1)</f>
        <v>-1</v>
      </c>
      <c r="AQ8" s="31">
        <f>Ordinaria!AQ8</f>
        <v>0</v>
      </c>
      <c r="AR8" s="32">
        <f t="shared" ref="AR8:AR15" si="49">IF($B8,AQ8/$B8,-1)</f>
        <v>-1</v>
      </c>
      <c r="AS8" s="31">
        <f>Ordinaria!AS8</f>
        <v>0</v>
      </c>
      <c r="AT8" s="32">
        <f t="shared" ref="AT8:AT15" si="50">IF($B8,AS8/$B8,-1)</f>
        <v>-1</v>
      </c>
      <c r="AU8" s="31">
        <f>Ordinaria!AU8</f>
        <v>0</v>
      </c>
      <c r="AV8" s="32">
        <f t="shared" ref="AV8:AV15" si="51">IF($B8,AU8/$B8,-1)</f>
        <v>-1</v>
      </c>
      <c r="AW8" s="31">
        <f>Ordinaria!AW8</f>
        <v>0</v>
      </c>
      <c r="AX8" s="32">
        <f t="shared" ref="AX8:AX15" si="52">IF($B8,AW8/$B8,-1)</f>
        <v>-1</v>
      </c>
      <c r="AY8" s="31">
        <f>Ordinaria!AY8</f>
        <v>0</v>
      </c>
      <c r="AZ8" s="32">
        <f t="shared" ref="AZ8:AZ15" si="53">IF($B8,AY8/$B8,-1)</f>
        <v>-1</v>
      </c>
      <c r="BA8" s="31">
        <f>Ordinaria!BA8</f>
        <v>0</v>
      </c>
      <c r="BB8" s="32">
        <f t="shared" ref="BB8:BB15" si="54">IF($B8,BA8/$B8,-1)</f>
        <v>-1</v>
      </c>
      <c r="BC8" s="31">
        <f>Ordinaria!BC8</f>
        <v>0</v>
      </c>
      <c r="BD8" s="32">
        <f t="shared" ref="BD8:BD15" si="55">IF($B8,BC8/$B8,-1)</f>
        <v>-1</v>
      </c>
      <c r="BE8" s="31">
        <f>Ordinaria!BE8</f>
        <v>0</v>
      </c>
      <c r="BF8" s="32">
        <f t="shared" ref="BF8:BF15" si="56">IF($B8,BE8/$B8,-1)</f>
        <v>-1</v>
      </c>
      <c r="BG8" s="31">
        <f>Ordinaria!BG8</f>
        <v>0</v>
      </c>
      <c r="BH8" s="32">
        <f t="shared" ref="BH8:BH15" si="57">IF($B8,BG8/$B8,-1)</f>
        <v>-1</v>
      </c>
      <c r="BI8" s="31">
        <f>Ordinaria!BI8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Ordinaria!B9</f>
        <v>0</v>
      </c>
      <c r="C9" s="31">
        <f>Ordinaria!C9</f>
        <v>0</v>
      </c>
      <c r="D9" s="32">
        <f t="shared" si="29"/>
        <v>-1</v>
      </c>
      <c r="E9" s="31">
        <f>Ordinaria!E9</f>
        <v>0</v>
      </c>
      <c r="F9" s="32">
        <f t="shared" si="30"/>
        <v>-1</v>
      </c>
      <c r="G9" s="31">
        <f>Ordinaria!G9</f>
        <v>0</v>
      </c>
      <c r="H9" s="32">
        <f t="shared" si="31"/>
        <v>-1</v>
      </c>
      <c r="I9" s="31">
        <f>Ordinaria!I9</f>
        <v>0</v>
      </c>
      <c r="J9" s="32">
        <f t="shared" si="32"/>
        <v>-1</v>
      </c>
      <c r="K9" s="31">
        <f>Ordinaria!K9</f>
        <v>0</v>
      </c>
      <c r="L9" s="32">
        <f t="shared" si="33"/>
        <v>-1</v>
      </c>
      <c r="M9" s="31">
        <f>Ordinaria!M9</f>
        <v>0</v>
      </c>
      <c r="N9" s="32">
        <f t="shared" si="34"/>
        <v>-1</v>
      </c>
      <c r="O9" s="31">
        <f>Ordinaria!O9</f>
        <v>0</v>
      </c>
      <c r="P9" s="32">
        <f t="shared" si="35"/>
        <v>-1</v>
      </c>
      <c r="Q9" s="31">
        <f>Ordinaria!Q9</f>
        <v>0</v>
      </c>
      <c r="R9" s="32">
        <f t="shared" si="36"/>
        <v>-1</v>
      </c>
      <c r="S9" s="31">
        <f>Ordinaria!S9</f>
        <v>0</v>
      </c>
      <c r="T9" s="32">
        <f t="shared" si="37"/>
        <v>-1</v>
      </c>
      <c r="U9" s="31">
        <f>Ordinaria!U9</f>
        <v>0</v>
      </c>
      <c r="V9" s="32">
        <f t="shared" si="38"/>
        <v>-1</v>
      </c>
      <c r="W9" s="31">
        <f>Ordinaria!W9</f>
        <v>0</v>
      </c>
      <c r="X9" s="32">
        <f t="shared" si="39"/>
        <v>-1</v>
      </c>
      <c r="Y9" s="31">
        <f>Ordinaria!Y9</f>
        <v>0</v>
      </c>
      <c r="Z9" s="32">
        <f t="shared" si="40"/>
        <v>-1</v>
      </c>
      <c r="AA9" s="31">
        <f>Ordinaria!AA9</f>
        <v>0</v>
      </c>
      <c r="AB9" s="32">
        <f t="shared" si="41"/>
        <v>-1</v>
      </c>
      <c r="AC9" s="31">
        <f>Ordinaria!AC9</f>
        <v>0</v>
      </c>
      <c r="AD9" s="32">
        <f t="shared" si="42"/>
        <v>-1</v>
      </c>
      <c r="AE9" s="31">
        <f>Ordinaria!AE9</f>
        <v>0</v>
      </c>
      <c r="AF9" s="32">
        <f t="shared" si="43"/>
        <v>-1</v>
      </c>
      <c r="AG9" s="31">
        <f>Ordinaria!AG9</f>
        <v>0</v>
      </c>
      <c r="AH9" s="32">
        <f t="shared" si="44"/>
        <v>-1</v>
      </c>
      <c r="AI9" s="31">
        <f>Ordinaria!AI9</f>
        <v>0</v>
      </c>
      <c r="AJ9" s="32">
        <f t="shared" si="45"/>
        <v>-1</v>
      </c>
      <c r="AK9" s="31">
        <f>Ordinaria!AK9</f>
        <v>0</v>
      </c>
      <c r="AL9" s="32">
        <f t="shared" si="46"/>
        <v>-1</v>
      </c>
      <c r="AM9" s="31">
        <f>Ordinaria!AM9</f>
        <v>0</v>
      </c>
      <c r="AN9" s="32">
        <f t="shared" si="47"/>
        <v>-1</v>
      </c>
      <c r="AO9" s="31">
        <f>Ordinaria!AO9</f>
        <v>0</v>
      </c>
      <c r="AP9" s="32">
        <f t="shared" si="48"/>
        <v>-1</v>
      </c>
      <c r="AQ9" s="31">
        <f>Ordinaria!AQ9</f>
        <v>0</v>
      </c>
      <c r="AR9" s="32">
        <f t="shared" si="49"/>
        <v>-1</v>
      </c>
      <c r="AS9" s="31">
        <f>Ordinaria!AS9</f>
        <v>0</v>
      </c>
      <c r="AT9" s="32">
        <f t="shared" si="50"/>
        <v>-1</v>
      </c>
      <c r="AU9" s="31">
        <f>Ordinaria!AU9</f>
        <v>0</v>
      </c>
      <c r="AV9" s="32">
        <f t="shared" si="51"/>
        <v>-1</v>
      </c>
      <c r="AW9" s="31">
        <f>Ordinaria!AW9</f>
        <v>0</v>
      </c>
      <c r="AX9" s="32">
        <f t="shared" si="52"/>
        <v>-1</v>
      </c>
      <c r="AY9" s="31">
        <f>Ordinaria!AY9</f>
        <v>0</v>
      </c>
      <c r="AZ9" s="32">
        <f t="shared" si="53"/>
        <v>-1</v>
      </c>
      <c r="BA9" s="31">
        <f>Ordinaria!BA9</f>
        <v>0</v>
      </c>
      <c r="BB9" s="32">
        <f t="shared" si="54"/>
        <v>-1</v>
      </c>
      <c r="BC9" s="31">
        <f>Ordinaria!BC9</f>
        <v>0</v>
      </c>
      <c r="BD9" s="32">
        <f t="shared" si="55"/>
        <v>-1</v>
      </c>
      <c r="BE9" s="31">
        <f>Ordinaria!BE9</f>
        <v>0</v>
      </c>
      <c r="BF9" s="32">
        <f t="shared" si="56"/>
        <v>-1</v>
      </c>
      <c r="BG9" s="31">
        <f>Ordinaria!BG9</f>
        <v>0</v>
      </c>
      <c r="BH9" s="32">
        <f t="shared" si="57"/>
        <v>-1</v>
      </c>
      <c r="BI9" s="31">
        <f>Ordinaria!BI9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Ordinaria!B10</f>
        <v>0</v>
      </c>
      <c r="C10" s="31">
        <f>Ordinaria!C10</f>
        <v>0</v>
      </c>
      <c r="D10" s="32">
        <f t="shared" si="29"/>
        <v>-1</v>
      </c>
      <c r="E10" s="31">
        <f>Ordinaria!E10</f>
        <v>0</v>
      </c>
      <c r="F10" s="32">
        <f t="shared" si="30"/>
        <v>-1</v>
      </c>
      <c r="G10" s="31">
        <f>Ordinaria!G10</f>
        <v>0</v>
      </c>
      <c r="H10" s="32">
        <f t="shared" si="31"/>
        <v>-1</v>
      </c>
      <c r="I10" s="31">
        <f>Ordinaria!I10</f>
        <v>0</v>
      </c>
      <c r="J10" s="32">
        <f t="shared" si="32"/>
        <v>-1</v>
      </c>
      <c r="K10" s="31">
        <f>Ordinaria!K10</f>
        <v>0</v>
      </c>
      <c r="L10" s="32">
        <f t="shared" si="33"/>
        <v>-1</v>
      </c>
      <c r="M10" s="31">
        <f>Ordinaria!M10</f>
        <v>0</v>
      </c>
      <c r="N10" s="32">
        <f t="shared" si="34"/>
        <v>-1</v>
      </c>
      <c r="O10" s="31">
        <f>Ordinaria!O10</f>
        <v>0</v>
      </c>
      <c r="P10" s="32">
        <f t="shared" si="35"/>
        <v>-1</v>
      </c>
      <c r="Q10" s="31">
        <f>Ordinaria!Q10</f>
        <v>0</v>
      </c>
      <c r="R10" s="32">
        <f t="shared" si="36"/>
        <v>-1</v>
      </c>
      <c r="S10" s="31">
        <f>Ordinaria!S10</f>
        <v>0</v>
      </c>
      <c r="T10" s="32">
        <f t="shared" si="37"/>
        <v>-1</v>
      </c>
      <c r="U10" s="31">
        <f>Ordinaria!U10</f>
        <v>0</v>
      </c>
      <c r="V10" s="32">
        <f t="shared" si="38"/>
        <v>-1</v>
      </c>
      <c r="W10" s="31">
        <f>Ordinaria!W10</f>
        <v>0</v>
      </c>
      <c r="X10" s="32">
        <f t="shared" si="39"/>
        <v>-1</v>
      </c>
      <c r="Y10" s="31">
        <f>Ordinaria!Y10</f>
        <v>0</v>
      </c>
      <c r="Z10" s="32">
        <f t="shared" si="40"/>
        <v>-1</v>
      </c>
      <c r="AA10" s="31">
        <f>Ordinaria!AA10</f>
        <v>0</v>
      </c>
      <c r="AB10" s="32">
        <f t="shared" si="41"/>
        <v>-1</v>
      </c>
      <c r="AC10" s="31">
        <f>Ordinaria!AC10</f>
        <v>0</v>
      </c>
      <c r="AD10" s="32">
        <f t="shared" si="42"/>
        <v>-1</v>
      </c>
      <c r="AE10" s="31">
        <f>Ordinaria!AE10</f>
        <v>0</v>
      </c>
      <c r="AF10" s="32">
        <f t="shared" si="43"/>
        <v>-1</v>
      </c>
      <c r="AG10" s="31">
        <f>Ordinaria!AG10</f>
        <v>0</v>
      </c>
      <c r="AH10" s="32">
        <f t="shared" si="44"/>
        <v>-1</v>
      </c>
      <c r="AI10" s="31">
        <f>Ordinaria!AI10</f>
        <v>0</v>
      </c>
      <c r="AJ10" s="32">
        <f t="shared" si="45"/>
        <v>-1</v>
      </c>
      <c r="AK10" s="31">
        <f>Ordinaria!AK10</f>
        <v>0</v>
      </c>
      <c r="AL10" s="32">
        <f t="shared" si="46"/>
        <v>-1</v>
      </c>
      <c r="AM10" s="31">
        <f>Ordinaria!AM10</f>
        <v>0</v>
      </c>
      <c r="AN10" s="32">
        <f t="shared" si="47"/>
        <v>-1</v>
      </c>
      <c r="AO10" s="31">
        <f>Ordinaria!AO10</f>
        <v>0</v>
      </c>
      <c r="AP10" s="32">
        <f t="shared" si="48"/>
        <v>-1</v>
      </c>
      <c r="AQ10" s="31">
        <f>Ordinaria!AQ10</f>
        <v>0</v>
      </c>
      <c r="AR10" s="32">
        <f t="shared" si="49"/>
        <v>-1</v>
      </c>
      <c r="AS10" s="31">
        <f>Ordinaria!AS10</f>
        <v>0</v>
      </c>
      <c r="AT10" s="32">
        <f t="shared" si="50"/>
        <v>-1</v>
      </c>
      <c r="AU10" s="31">
        <f>Ordinaria!AU10</f>
        <v>0</v>
      </c>
      <c r="AV10" s="32">
        <f t="shared" si="51"/>
        <v>-1</v>
      </c>
      <c r="AW10" s="31">
        <f>Ordinaria!AW10</f>
        <v>0</v>
      </c>
      <c r="AX10" s="32">
        <f t="shared" si="52"/>
        <v>-1</v>
      </c>
      <c r="AY10" s="31">
        <f>Ordinaria!AY10</f>
        <v>0</v>
      </c>
      <c r="AZ10" s="32">
        <f t="shared" si="53"/>
        <v>-1</v>
      </c>
      <c r="BA10" s="31">
        <f>Ordinaria!BA10</f>
        <v>0</v>
      </c>
      <c r="BB10" s="32">
        <f t="shared" si="54"/>
        <v>-1</v>
      </c>
      <c r="BC10" s="31">
        <f>Ordinaria!BC10</f>
        <v>0</v>
      </c>
      <c r="BD10" s="32">
        <f t="shared" si="55"/>
        <v>-1</v>
      </c>
      <c r="BE10" s="31">
        <f>Ordinaria!BE10</f>
        <v>0</v>
      </c>
      <c r="BF10" s="32">
        <f t="shared" si="56"/>
        <v>-1</v>
      </c>
      <c r="BG10" s="31">
        <f>Ordinaria!BG10</f>
        <v>0</v>
      </c>
      <c r="BH10" s="32">
        <f t="shared" si="57"/>
        <v>-1</v>
      </c>
      <c r="BI10" s="31">
        <f>Ordinaria!BI10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Ordinaria!B11</f>
        <v>0</v>
      </c>
      <c r="C11" s="31">
        <f>Ordinaria!C11</f>
        <v>0</v>
      </c>
      <c r="D11" s="32">
        <f t="shared" si="29"/>
        <v>-1</v>
      </c>
      <c r="E11" s="31">
        <f>Ordinaria!E11</f>
        <v>0</v>
      </c>
      <c r="F11" s="32">
        <f t="shared" si="30"/>
        <v>-1</v>
      </c>
      <c r="G11" s="31">
        <f>Ordinaria!G11</f>
        <v>0</v>
      </c>
      <c r="H11" s="32">
        <f t="shared" si="31"/>
        <v>-1</v>
      </c>
      <c r="I11" s="31">
        <f>Ordinaria!I11</f>
        <v>0</v>
      </c>
      <c r="J11" s="32">
        <f t="shared" si="32"/>
        <v>-1</v>
      </c>
      <c r="K11" s="31">
        <f>Ordinaria!K11</f>
        <v>0</v>
      </c>
      <c r="L11" s="32">
        <f t="shared" si="33"/>
        <v>-1</v>
      </c>
      <c r="M11" s="31">
        <f>Ordinaria!M11</f>
        <v>0</v>
      </c>
      <c r="N11" s="32">
        <f t="shared" si="34"/>
        <v>-1</v>
      </c>
      <c r="O11" s="31">
        <f>Ordinaria!O11</f>
        <v>0</v>
      </c>
      <c r="P11" s="32">
        <f t="shared" si="35"/>
        <v>-1</v>
      </c>
      <c r="Q11" s="31">
        <f>Ordinaria!Q11</f>
        <v>0</v>
      </c>
      <c r="R11" s="32">
        <f t="shared" si="36"/>
        <v>-1</v>
      </c>
      <c r="S11" s="31">
        <f>Ordinaria!S11</f>
        <v>0</v>
      </c>
      <c r="T11" s="32">
        <f t="shared" si="37"/>
        <v>-1</v>
      </c>
      <c r="U11" s="31">
        <f>Ordinaria!U11</f>
        <v>0</v>
      </c>
      <c r="V11" s="32">
        <f t="shared" si="38"/>
        <v>-1</v>
      </c>
      <c r="W11" s="31">
        <f>Ordinaria!W11</f>
        <v>0</v>
      </c>
      <c r="X11" s="32">
        <f t="shared" si="39"/>
        <v>-1</v>
      </c>
      <c r="Y11" s="31">
        <f>Ordinaria!Y11</f>
        <v>0</v>
      </c>
      <c r="Z11" s="32">
        <f t="shared" si="40"/>
        <v>-1</v>
      </c>
      <c r="AA11" s="31">
        <f>Ordinaria!AA11</f>
        <v>0</v>
      </c>
      <c r="AB11" s="32">
        <f t="shared" si="41"/>
        <v>-1</v>
      </c>
      <c r="AC11" s="31">
        <f>Ordinaria!AC11</f>
        <v>0</v>
      </c>
      <c r="AD11" s="32">
        <f t="shared" si="42"/>
        <v>-1</v>
      </c>
      <c r="AE11" s="31">
        <f>Ordinaria!AE11</f>
        <v>0</v>
      </c>
      <c r="AF11" s="32">
        <f t="shared" si="43"/>
        <v>-1</v>
      </c>
      <c r="AG11" s="31">
        <f>Ordinaria!AG11</f>
        <v>0</v>
      </c>
      <c r="AH11" s="32">
        <f t="shared" si="44"/>
        <v>-1</v>
      </c>
      <c r="AI11" s="31">
        <f>Ordinaria!AI11</f>
        <v>0</v>
      </c>
      <c r="AJ11" s="32">
        <f t="shared" si="45"/>
        <v>-1</v>
      </c>
      <c r="AK11" s="31">
        <f>Ordinaria!AK11</f>
        <v>0</v>
      </c>
      <c r="AL11" s="32">
        <f t="shared" si="46"/>
        <v>-1</v>
      </c>
      <c r="AM11" s="31">
        <f>Ordinaria!AM11</f>
        <v>0</v>
      </c>
      <c r="AN11" s="32">
        <f t="shared" si="47"/>
        <v>-1</v>
      </c>
      <c r="AO11" s="31">
        <f>Ordinaria!AO11</f>
        <v>0</v>
      </c>
      <c r="AP11" s="32">
        <f t="shared" si="48"/>
        <v>-1</v>
      </c>
      <c r="AQ11" s="31">
        <f>Ordinaria!AQ11</f>
        <v>0</v>
      </c>
      <c r="AR11" s="32">
        <f t="shared" si="49"/>
        <v>-1</v>
      </c>
      <c r="AS11" s="31">
        <f>Ordinaria!AS11</f>
        <v>0</v>
      </c>
      <c r="AT11" s="32">
        <f t="shared" si="50"/>
        <v>-1</v>
      </c>
      <c r="AU11" s="31">
        <f>Ordinaria!AU11</f>
        <v>0</v>
      </c>
      <c r="AV11" s="32">
        <f t="shared" si="51"/>
        <v>-1</v>
      </c>
      <c r="AW11" s="31">
        <f>Ordinaria!AW11</f>
        <v>0</v>
      </c>
      <c r="AX11" s="32">
        <f t="shared" si="52"/>
        <v>-1</v>
      </c>
      <c r="AY11" s="31">
        <f>Ordinaria!AY11</f>
        <v>0</v>
      </c>
      <c r="AZ11" s="32">
        <f t="shared" si="53"/>
        <v>-1</v>
      </c>
      <c r="BA11" s="31">
        <f>Ordinaria!BA11</f>
        <v>0</v>
      </c>
      <c r="BB11" s="32">
        <f t="shared" si="54"/>
        <v>-1</v>
      </c>
      <c r="BC11" s="31">
        <f>Ordinaria!BC11</f>
        <v>0</v>
      </c>
      <c r="BD11" s="32">
        <f t="shared" si="55"/>
        <v>-1</v>
      </c>
      <c r="BE11" s="31">
        <f>Ordinaria!BE11</f>
        <v>0</v>
      </c>
      <c r="BF11" s="32">
        <f t="shared" si="56"/>
        <v>-1</v>
      </c>
      <c r="BG11" s="31">
        <f>Ordinaria!BG11</f>
        <v>0</v>
      </c>
      <c r="BH11" s="32">
        <f t="shared" si="57"/>
        <v>-1</v>
      </c>
      <c r="BI11" s="31">
        <f>Ordinaria!BI11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Ordinaria!B12</f>
        <v>0</v>
      </c>
      <c r="C12" s="31">
        <f>Ordinaria!C12</f>
        <v>0</v>
      </c>
      <c r="D12" s="32">
        <f t="shared" si="29"/>
        <v>-1</v>
      </c>
      <c r="E12" s="31">
        <f>Ordinaria!E12</f>
        <v>0</v>
      </c>
      <c r="F12" s="32">
        <f t="shared" si="30"/>
        <v>-1</v>
      </c>
      <c r="G12" s="31">
        <f>Ordinaria!G12</f>
        <v>0</v>
      </c>
      <c r="H12" s="32">
        <f t="shared" si="31"/>
        <v>-1</v>
      </c>
      <c r="I12" s="31">
        <f>Ordinaria!I12</f>
        <v>0</v>
      </c>
      <c r="J12" s="32">
        <f t="shared" si="32"/>
        <v>-1</v>
      </c>
      <c r="K12" s="31">
        <f>Ordinaria!K12</f>
        <v>0</v>
      </c>
      <c r="L12" s="32">
        <f t="shared" si="33"/>
        <v>-1</v>
      </c>
      <c r="M12" s="31">
        <f>Ordinaria!M12</f>
        <v>0</v>
      </c>
      <c r="N12" s="32">
        <f t="shared" si="34"/>
        <v>-1</v>
      </c>
      <c r="O12" s="31">
        <f>Ordinaria!O12</f>
        <v>0</v>
      </c>
      <c r="P12" s="32">
        <f t="shared" si="35"/>
        <v>-1</v>
      </c>
      <c r="Q12" s="31">
        <f>Ordinaria!Q12</f>
        <v>0</v>
      </c>
      <c r="R12" s="32">
        <f t="shared" si="36"/>
        <v>-1</v>
      </c>
      <c r="S12" s="31">
        <f>Ordinaria!S12</f>
        <v>0</v>
      </c>
      <c r="T12" s="32">
        <f t="shared" si="37"/>
        <v>-1</v>
      </c>
      <c r="U12" s="31">
        <f>Ordinaria!U12</f>
        <v>0</v>
      </c>
      <c r="V12" s="32">
        <f t="shared" si="38"/>
        <v>-1</v>
      </c>
      <c r="W12" s="31">
        <f>Ordinaria!W12</f>
        <v>0</v>
      </c>
      <c r="X12" s="32">
        <f t="shared" si="39"/>
        <v>-1</v>
      </c>
      <c r="Y12" s="31">
        <f>Ordinaria!Y12</f>
        <v>0</v>
      </c>
      <c r="Z12" s="32">
        <f t="shared" si="40"/>
        <v>-1</v>
      </c>
      <c r="AA12" s="31">
        <f>Ordinaria!AA12</f>
        <v>0</v>
      </c>
      <c r="AB12" s="32">
        <f t="shared" si="41"/>
        <v>-1</v>
      </c>
      <c r="AC12" s="31">
        <f>Ordinaria!AC12</f>
        <v>0</v>
      </c>
      <c r="AD12" s="32">
        <f t="shared" si="42"/>
        <v>-1</v>
      </c>
      <c r="AE12" s="31">
        <f>Ordinaria!AE12</f>
        <v>0</v>
      </c>
      <c r="AF12" s="32">
        <f t="shared" si="43"/>
        <v>-1</v>
      </c>
      <c r="AG12" s="31">
        <f>Ordinaria!AG12</f>
        <v>0</v>
      </c>
      <c r="AH12" s="32">
        <f t="shared" si="44"/>
        <v>-1</v>
      </c>
      <c r="AI12" s="31">
        <f>Ordinaria!AI12</f>
        <v>0</v>
      </c>
      <c r="AJ12" s="32">
        <f t="shared" si="45"/>
        <v>-1</v>
      </c>
      <c r="AK12" s="31">
        <f>Ordinaria!AK12</f>
        <v>0</v>
      </c>
      <c r="AL12" s="32">
        <f t="shared" si="46"/>
        <v>-1</v>
      </c>
      <c r="AM12" s="31">
        <f>Ordinaria!AM12</f>
        <v>0</v>
      </c>
      <c r="AN12" s="32">
        <f t="shared" si="47"/>
        <v>-1</v>
      </c>
      <c r="AO12" s="31">
        <f>Ordinaria!AO12</f>
        <v>0</v>
      </c>
      <c r="AP12" s="32">
        <f t="shared" si="48"/>
        <v>-1</v>
      </c>
      <c r="AQ12" s="31">
        <f>Ordinaria!AQ12</f>
        <v>0</v>
      </c>
      <c r="AR12" s="32">
        <f t="shared" si="49"/>
        <v>-1</v>
      </c>
      <c r="AS12" s="31">
        <f>Ordinaria!AS12</f>
        <v>0</v>
      </c>
      <c r="AT12" s="32">
        <f t="shared" si="50"/>
        <v>-1</v>
      </c>
      <c r="AU12" s="31">
        <f>Ordinaria!AU12</f>
        <v>0</v>
      </c>
      <c r="AV12" s="32">
        <f t="shared" si="51"/>
        <v>-1</v>
      </c>
      <c r="AW12" s="31">
        <f>Ordinaria!AW12</f>
        <v>0</v>
      </c>
      <c r="AX12" s="32">
        <f t="shared" si="52"/>
        <v>-1</v>
      </c>
      <c r="AY12" s="31">
        <f>Ordinaria!AY12</f>
        <v>0</v>
      </c>
      <c r="AZ12" s="32">
        <f t="shared" si="53"/>
        <v>-1</v>
      </c>
      <c r="BA12" s="31">
        <f>Ordinaria!BA12</f>
        <v>0</v>
      </c>
      <c r="BB12" s="32">
        <f t="shared" si="54"/>
        <v>-1</v>
      </c>
      <c r="BC12" s="31">
        <f>Ordinaria!BC12</f>
        <v>0</v>
      </c>
      <c r="BD12" s="32">
        <f t="shared" si="55"/>
        <v>-1</v>
      </c>
      <c r="BE12" s="31">
        <f>Ordinaria!BE12</f>
        <v>0</v>
      </c>
      <c r="BF12" s="32">
        <f t="shared" si="56"/>
        <v>-1</v>
      </c>
      <c r="BG12" s="31">
        <f>Ordinaria!BG12</f>
        <v>0</v>
      </c>
      <c r="BH12" s="32">
        <f t="shared" si="57"/>
        <v>-1</v>
      </c>
      <c r="BI12" s="31">
        <f>Ordinaria!BI12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Ordinaria!B13</f>
        <v>0</v>
      </c>
      <c r="C13" s="31">
        <f>Ordinaria!C13</f>
        <v>0</v>
      </c>
      <c r="D13" s="32">
        <f t="shared" si="29"/>
        <v>-1</v>
      </c>
      <c r="E13" s="31">
        <f>Ordinaria!E13</f>
        <v>0</v>
      </c>
      <c r="F13" s="32">
        <f t="shared" si="30"/>
        <v>-1</v>
      </c>
      <c r="G13" s="31">
        <f>Ordinaria!G13</f>
        <v>0</v>
      </c>
      <c r="H13" s="32">
        <f t="shared" si="31"/>
        <v>-1</v>
      </c>
      <c r="I13" s="31">
        <f>Ordinaria!I13</f>
        <v>0</v>
      </c>
      <c r="J13" s="32">
        <f t="shared" si="32"/>
        <v>-1</v>
      </c>
      <c r="K13" s="31">
        <f>Ordinaria!K13</f>
        <v>0</v>
      </c>
      <c r="L13" s="32">
        <f t="shared" si="33"/>
        <v>-1</v>
      </c>
      <c r="M13" s="31">
        <f>Ordinaria!M13</f>
        <v>0</v>
      </c>
      <c r="N13" s="32">
        <f t="shared" si="34"/>
        <v>-1</v>
      </c>
      <c r="O13" s="31">
        <f>Ordinaria!O13</f>
        <v>0</v>
      </c>
      <c r="P13" s="32">
        <f t="shared" si="35"/>
        <v>-1</v>
      </c>
      <c r="Q13" s="31">
        <f>Ordinaria!Q13</f>
        <v>0</v>
      </c>
      <c r="R13" s="32">
        <f t="shared" si="36"/>
        <v>-1</v>
      </c>
      <c r="S13" s="31">
        <f>Ordinaria!S13</f>
        <v>0</v>
      </c>
      <c r="T13" s="32">
        <f t="shared" si="37"/>
        <v>-1</v>
      </c>
      <c r="U13" s="31">
        <f>Ordinaria!U13</f>
        <v>0</v>
      </c>
      <c r="V13" s="32">
        <f t="shared" si="38"/>
        <v>-1</v>
      </c>
      <c r="W13" s="31">
        <f>Ordinaria!W13</f>
        <v>0</v>
      </c>
      <c r="X13" s="32">
        <f t="shared" si="39"/>
        <v>-1</v>
      </c>
      <c r="Y13" s="31">
        <f>Ordinaria!Y13</f>
        <v>0</v>
      </c>
      <c r="Z13" s="32">
        <f t="shared" si="40"/>
        <v>-1</v>
      </c>
      <c r="AA13" s="31">
        <f>Ordinaria!AA13</f>
        <v>0</v>
      </c>
      <c r="AB13" s="32">
        <f t="shared" si="41"/>
        <v>-1</v>
      </c>
      <c r="AC13" s="31">
        <f>Ordinaria!AC13</f>
        <v>0</v>
      </c>
      <c r="AD13" s="32">
        <f t="shared" si="42"/>
        <v>-1</v>
      </c>
      <c r="AE13" s="31">
        <f>Ordinaria!AE13</f>
        <v>0</v>
      </c>
      <c r="AF13" s="32">
        <f t="shared" si="43"/>
        <v>-1</v>
      </c>
      <c r="AG13" s="31">
        <f>Ordinaria!AG13</f>
        <v>0</v>
      </c>
      <c r="AH13" s="32">
        <f t="shared" si="44"/>
        <v>-1</v>
      </c>
      <c r="AI13" s="31">
        <f>Ordinaria!AI13</f>
        <v>0</v>
      </c>
      <c r="AJ13" s="32">
        <f t="shared" si="45"/>
        <v>-1</v>
      </c>
      <c r="AK13" s="31">
        <f>Ordinaria!AK13</f>
        <v>0</v>
      </c>
      <c r="AL13" s="32">
        <f t="shared" si="46"/>
        <v>-1</v>
      </c>
      <c r="AM13" s="31">
        <f>Ordinaria!AM13</f>
        <v>0</v>
      </c>
      <c r="AN13" s="32">
        <f t="shared" si="47"/>
        <v>-1</v>
      </c>
      <c r="AO13" s="31">
        <f>Ordinaria!AO13</f>
        <v>0</v>
      </c>
      <c r="AP13" s="32">
        <f t="shared" si="48"/>
        <v>-1</v>
      </c>
      <c r="AQ13" s="31">
        <f>Ordinaria!AQ13</f>
        <v>0</v>
      </c>
      <c r="AR13" s="32">
        <f t="shared" si="49"/>
        <v>-1</v>
      </c>
      <c r="AS13" s="31">
        <f>Ordinaria!AS13</f>
        <v>0</v>
      </c>
      <c r="AT13" s="32">
        <f t="shared" si="50"/>
        <v>-1</v>
      </c>
      <c r="AU13" s="31">
        <f>Ordinaria!AU13</f>
        <v>0</v>
      </c>
      <c r="AV13" s="32">
        <f t="shared" si="51"/>
        <v>-1</v>
      </c>
      <c r="AW13" s="31">
        <f>Ordinaria!AW13</f>
        <v>0</v>
      </c>
      <c r="AX13" s="32">
        <f t="shared" si="52"/>
        <v>-1</v>
      </c>
      <c r="AY13" s="31">
        <f>Ordinaria!AY13</f>
        <v>0</v>
      </c>
      <c r="AZ13" s="32">
        <f t="shared" si="53"/>
        <v>-1</v>
      </c>
      <c r="BA13" s="31">
        <f>Ordinaria!BA13</f>
        <v>0</v>
      </c>
      <c r="BB13" s="32">
        <f t="shared" si="54"/>
        <v>-1</v>
      </c>
      <c r="BC13" s="31">
        <f>Ordinaria!BC13</f>
        <v>0</v>
      </c>
      <c r="BD13" s="32">
        <f t="shared" si="55"/>
        <v>-1</v>
      </c>
      <c r="BE13" s="31">
        <f>Ordinaria!BE13</f>
        <v>0</v>
      </c>
      <c r="BF13" s="32">
        <f t="shared" si="56"/>
        <v>-1</v>
      </c>
      <c r="BG13" s="31">
        <f>Ordinaria!BG13</f>
        <v>0</v>
      </c>
      <c r="BH13" s="32">
        <f t="shared" si="57"/>
        <v>-1</v>
      </c>
      <c r="BI13" s="31">
        <f>Ordinaria!BI13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Ordinaria!B14</f>
        <v>0</v>
      </c>
      <c r="C14" s="31">
        <f>Ordinaria!C14</f>
        <v>0</v>
      </c>
      <c r="D14" s="32">
        <f t="shared" si="29"/>
        <v>-1</v>
      </c>
      <c r="E14" s="31">
        <f>Ordinaria!E14</f>
        <v>0</v>
      </c>
      <c r="F14" s="32">
        <f t="shared" si="30"/>
        <v>-1</v>
      </c>
      <c r="G14" s="31">
        <f>Ordinaria!G14</f>
        <v>0</v>
      </c>
      <c r="H14" s="32">
        <f t="shared" si="31"/>
        <v>-1</v>
      </c>
      <c r="I14" s="31">
        <f>Ordinaria!I14</f>
        <v>0</v>
      </c>
      <c r="J14" s="32">
        <f t="shared" si="32"/>
        <v>-1</v>
      </c>
      <c r="K14" s="31">
        <f>Ordinaria!K14</f>
        <v>0</v>
      </c>
      <c r="L14" s="32">
        <f t="shared" si="33"/>
        <v>-1</v>
      </c>
      <c r="M14" s="31">
        <f>Ordinaria!M14</f>
        <v>0</v>
      </c>
      <c r="N14" s="32">
        <f t="shared" si="34"/>
        <v>-1</v>
      </c>
      <c r="O14" s="31">
        <f>Ordinaria!O14</f>
        <v>0</v>
      </c>
      <c r="P14" s="32">
        <f t="shared" si="35"/>
        <v>-1</v>
      </c>
      <c r="Q14" s="31">
        <f>Ordinaria!Q14</f>
        <v>0</v>
      </c>
      <c r="R14" s="32">
        <f t="shared" si="36"/>
        <v>-1</v>
      </c>
      <c r="S14" s="31">
        <f>Ordinaria!S14</f>
        <v>0</v>
      </c>
      <c r="T14" s="32">
        <f t="shared" si="37"/>
        <v>-1</v>
      </c>
      <c r="U14" s="31">
        <f>Ordinaria!U14</f>
        <v>0</v>
      </c>
      <c r="V14" s="32">
        <f t="shared" si="38"/>
        <v>-1</v>
      </c>
      <c r="W14" s="31">
        <f>Ordinaria!W14</f>
        <v>0</v>
      </c>
      <c r="X14" s="32">
        <f t="shared" si="39"/>
        <v>-1</v>
      </c>
      <c r="Y14" s="31">
        <f>Ordinaria!Y14</f>
        <v>0</v>
      </c>
      <c r="Z14" s="32">
        <f t="shared" si="40"/>
        <v>-1</v>
      </c>
      <c r="AA14" s="31">
        <f>Ordinaria!AA14</f>
        <v>0</v>
      </c>
      <c r="AB14" s="32">
        <f t="shared" si="41"/>
        <v>-1</v>
      </c>
      <c r="AC14" s="31">
        <f>Ordinaria!AC14</f>
        <v>0</v>
      </c>
      <c r="AD14" s="32">
        <f t="shared" si="42"/>
        <v>-1</v>
      </c>
      <c r="AE14" s="31">
        <f>Ordinaria!AE14</f>
        <v>0</v>
      </c>
      <c r="AF14" s="32">
        <f t="shared" si="43"/>
        <v>-1</v>
      </c>
      <c r="AG14" s="31">
        <f>Ordinaria!AG14</f>
        <v>0</v>
      </c>
      <c r="AH14" s="32">
        <f t="shared" si="44"/>
        <v>-1</v>
      </c>
      <c r="AI14" s="31">
        <f>Ordinaria!AI14</f>
        <v>0</v>
      </c>
      <c r="AJ14" s="32">
        <f t="shared" si="45"/>
        <v>-1</v>
      </c>
      <c r="AK14" s="31">
        <f>Ordinaria!AK14</f>
        <v>0</v>
      </c>
      <c r="AL14" s="32">
        <f t="shared" si="46"/>
        <v>-1</v>
      </c>
      <c r="AM14" s="31">
        <f>Ordinaria!AM14</f>
        <v>0</v>
      </c>
      <c r="AN14" s="32">
        <f t="shared" si="47"/>
        <v>-1</v>
      </c>
      <c r="AO14" s="31">
        <f>Ordinaria!AO14</f>
        <v>0</v>
      </c>
      <c r="AP14" s="32">
        <f t="shared" si="48"/>
        <v>-1</v>
      </c>
      <c r="AQ14" s="31">
        <f>Ordinaria!AQ14</f>
        <v>0</v>
      </c>
      <c r="AR14" s="32">
        <f t="shared" si="49"/>
        <v>-1</v>
      </c>
      <c r="AS14" s="31">
        <f>Ordinaria!AS14</f>
        <v>0</v>
      </c>
      <c r="AT14" s="32">
        <f t="shared" si="50"/>
        <v>-1</v>
      </c>
      <c r="AU14" s="31">
        <f>Ordinaria!AU14</f>
        <v>0</v>
      </c>
      <c r="AV14" s="32">
        <f t="shared" si="51"/>
        <v>-1</v>
      </c>
      <c r="AW14" s="31">
        <f>Ordinaria!AW14</f>
        <v>0</v>
      </c>
      <c r="AX14" s="32">
        <f t="shared" si="52"/>
        <v>-1</v>
      </c>
      <c r="AY14" s="31">
        <f>Ordinaria!AY14</f>
        <v>0</v>
      </c>
      <c r="AZ14" s="32">
        <f t="shared" si="53"/>
        <v>-1</v>
      </c>
      <c r="BA14" s="31">
        <f>Ordinaria!BA14</f>
        <v>0</v>
      </c>
      <c r="BB14" s="32">
        <f t="shared" si="54"/>
        <v>-1</v>
      </c>
      <c r="BC14" s="31">
        <f>Ordinaria!BC14</f>
        <v>0</v>
      </c>
      <c r="BD14" s="32">
        <f t="shared" si="55"/>
        <v>-1</v>
      </c>
      <c r="BE14" s="31">
        <f>Ordinaria!BE14</f>
        <v>0</v>
      </c>
      <c r="BF14" s="32">
        <f t="shared" si="56"/>
        <v>-1</v>
      </c>
      <c r="BG14" s="31">
        <f>Ordinaria!BG14</f>
        <v>0</v>
      </c>
      <c r="BH14" s="32">
        <f t="shared" si="57"/>
        <v>-1</v>
      </c>
      <c r="BI14" s="31">
        <f>Ordinaria!BI14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Ordinaria!B15</f>
        <v>0</v>
      </c>
      <c r="C15" s="31">
        <f>Ordinaria!C15</f>
        <v>0</v>
      </c>
      <c r="D15" s="32">
        <f t="shared" si="29"/>
        <v>-1</v>
      </c>
      <c r="E15" s="31">
        <f>Ordinaria!E15</f>
        <v>0</v>
      </c>
      <c r="F15" s="32">
        <f t="shared" si="30"/>
        <v>-1</v>
      </c>
      <c r="G15" s="31">
        <f>Ordinaria!G15</f>
        <v>0</v>
      </c>
      <c r="H15" s="32">
        <f t="shared" si="31"/>
        <v>-1</v>
      </c>
      <c r="I15" s="31">
        <f>Ordinaria!I15</f>
        <v>0</v>
      </c>
      <c r="J15" s="32">
        <f t="shared" si="32"/>
        <v>-1</v>
      </c>
      <c r="K15" s="31">
        <f>Ordinaria!K15</f>
        <v>0</v>
      </c>
      <c r="L15" s="32">
        <f t="shared" si="33"/>
        <v>-1</v>
      </c>
      <c r="M15" s="31">
        <f>Ordinaria!M15</f>
        <v>0</v>
      </c>
      <c r="N15" s="32">
        <f t="shared" si="34"/>
        <v>-1</v>
      </c>
      <c r="O15" s="31">
        <f>Ordinaria!O15</f>
        <v>0</v>
      </c>
      <c r="P15" s="32">
        <f t="shared" si="35"/>
        <v>-1</v>
      </c>
      <c r="Q15" s="31">
        <f>Ordinaria!Q15</f>
        <v>0</v>
      </c>
      <c r="R15" s="32">
        <f t="shared" si="36"/>
        <v>-1</v>
      </c>
      <c r="S15" s="31">
        <f>Ordinaria!S15</f>
        <v>0</v>
      </c>
      <c r="T15" s="32">
        <f t="shared" si="37"/>
        <v>-1</v>
      </c>
      <c r="U15" s="31">
        <f>Ordinaria!U15</f>
        <v>0</v>
      </c>
      <c r="V15" s="32">
        <f t="shared" si="38"/>
        <v>-1</v>
      </c>
      <c r="W15" s="31">
        <f>Ordinaria!W15</f>
        <v>0</v>
      </c>
      <c r="X15" s="32">
        <f t="shared" si="39"/>
        <v>-1</v>
      </c>
      <c r="Y15" s="31">
        <f>Ordinaria!Y15</f>
        <v>0</v>
      </c>
      <c r="Z15" s="32">
        <f t="shared" si="40"/>
        <v>-1</v>
      </c>
      <c r="AA15" s="31">
        <f>Ordinaria!AA15</f>
        <v>0</v>
      </c>
      <c r="AB15" s="32">
        <f t="shared" si="41"/>
        <v>-1</v>
      </c>
      <c r="AC15" s="31">
        <f>Ordinaria!AC15</f>
        <v>0</v>
      </c>
      <c r="AD15" s="32">
        <f t="shared" si="42"/>
        <v>-1</v>
      </c>
      <c r="AE15" s="31">
        <f>Ordinaria!AE15</f>
        <v>0</v>
      </c>
      <c r="AF15" s="32">
        <f t="shared" si="43"/>
        <v>-1</v>
      </c>
      <c r="AG15" s="31">
        <f>Ordinaria!AG15</f>
        <v>0</v>
      </c>
      <c r="AH15" s="32">
        <f t="shared" si="44"/>
        <v>-1</v>
      </c>
      <c r="AI15" s="31">
        <f>Ordinaria!AI15</f>
        <v>0</v>
      </c>
      <c r="AJ15" s="32">
        <f t="shared" si="45"/>
        <v>-1</v>
      </c>
      <c r="AK15" s="31">
        <f>Ordinaria!AK15</f>
        <v>0</v>
      </c>
      <c r="AL15" s="32">
        <f t="shared" si="46"/>
        <v>-1</v>
      </c>
      <c r="AM15" s="31">
        <f>Ordinaria!AM15</f>
        <v>0</v>
      </c>
      <c r="AN15" s="32">
        <f t="shared" si="47"/>
        <v>-1</v>
      </c>
      <c r="AO15" s="31">
        <f>Ordinaria!AO15</f>
        <v>0</v>
      </c>
      <c r="AP15" s="32">
        <f t="shared" si="48"/>
        <v>-1</v>
      </c>
      <c r="AQ15" s="31">
        <f>Ordinaria!AQ15</f>
        <v>0</v>
      </c>
      <c r="AR15" s="32">
        <f t="shared" si="49"/>
        <v>-1</v>
      </c>
      <c r="AS15" s="31">
        <f>Ordinaria!AS15</f>
        <v>0</v>
      </c>
      <c r="AT15" s="32">
        <f t="shared" si="50"/>
        <v>-1</v>
      </c>
      <c r="AU15" s="31">
        <f>Ordinaria!AU15</f>
        <v>0</v>
      </c>
      <c r="AV15" s="32">
        <f t="shared" si="51"/>
        <v>-1</v>
      </c>
      <c r="AW15" s="31">
        <f>Ordinaria!AW15</f>
        <v>0</v>
      </c>
      <c r="AX15" s="32">
        <f t="shared" si="52"/>
        <v>-1</v>
      </c>
      <c r="AY15" s="31">
        <f>Ordinaria!AY15</f>
        <v>0</v>
      </c>
      <c r="AZ15" s="32">
        <f t="shared" si="53"/>
        <v>-1</v>
      </c>
      <c r="BA15" s="31">
        <f>Ordinaria!BA15</f>
        <v>0</v>
      </c>
      <c r="BB15" s="32">
        <f t="shared" si="54"/>
        <v>-1</v>
      </c>
      <c r="BC15" s="31">
        <f>Ordinaria!BC15</f>
        <v>0</v>
      </c>
      <c r="BD15" s="32">
        <f t="shared" si="55"/>
        <v>-1</v>
      </c>
      <c r="BE15" s="31">
        <f>Ordinaria!BE15</f>
        <v>0</v>
      </c>
      <c r="BF15" s="32">
        <f t="shared" si="56"/>
        <v>-1</v>
      </c>
      <c r="BG15" s="31">
        <f>Ordinaria!BG15</f>
        <v>0</v>
      </c>
      <c r="BH15" s="32">
        <f t="shared" si="57"/>
        <v>-1</v>
      </c>
      <c r="BI15" s="31">
        <f>Ordinaria!BI15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Ordinaria!B17</f>
        <v>0</v>
      </c>
      <c r="C17" s="31">
        <f>Ordinaria!C17</f>
        <v>0</v>
      </c>
      <c r="D17" s="32">
        <f t="shared" ref="D17:D37" si="59">IF($B17,C17/$B17,-1)</f>
        <v>-1</v>
      </c>
      <c r="E17" s="31">
        <f>Ordinaria!E17</f>
        <v>0</v>
      </c>
      <c r="F17" s="32">
        <f t="shared" ref="F17:F37" si="60">IF($B17,E17/$B17,-1)</f>
        <v>-1</v>
      </c>
      <c r="G17" s="31">
        <f>Ordinaria!G17</f>
        <v>0</v>
      </c>
      <c r="H17" s="32">
        <f t="shared" ref="H17:H37" si="61">IF($B17,G17/$B17,-1)</f>
        <v>-1</v>
      </c>
      <c r="I17" s="31">
        <f>Ordinaria!I17</f>
        <v>0</v>
      </c>
      <c r="J17" s="32">
        <f t="shared" ref="J17:J37" si="62">IF($B17,I17/$B17,-1)</f>
        <v>-1</v>
      </c>
      <c r="K17" s="31">
        <f>Ordinaria!K17</f>
        <v>0</v>
      </c>
      <c r="L17" s="32">
        <f t="shared" ref="L17:L37" si="63">IF($B17,K17/$B17,-1)</f>
        <v>-1</v>
      </c>
      <c r="M17" s="31">
        <f>Ordinaria!M17</f>
        <v>0</v>
      </c>
      <c r="N17" s="32">
        <f t="shared" ref="N17:N37" si="64">IF($B17,M17/$B17,-1)</f>
        <v>-1</v>
      </c>
      <c r="O17" s="31">
        <f>Ordinaria!O17</f>
        <v>0</v>
      </c>
      <c r="P17" s="32">
        <f t="shared" ref="P17:P37" si="65">IF($B17,O17/$B17,-1)</f>
        <v>-1</v>
      </c>
      <c r="Q17" s="31">
        <f>Ordinaria!Q17</f>
        <v>0</v>
      </c>
      <c r="R17" s="32">
        <f t="shared" ref="R17:R37" si="66">IF($B17,Q17/$B17,-1)</f>
        <v>-1</v>
      </c>
      <c r="S17" s="31">
        <f>Ordinaria!S17</f>
        <v>0</v>
      </c>
      <c r="T17" s="32">
        <f t="shared" ref="T17:T37" si="67">IF($B17,S17/$B17,-1)</f>
        <v>-1</v>
      </c>
      <c r="U17" s="31">
        <f>Ordinaria!U17</f>
        <v>0</v>
      </c>
      <c r="V17" s="32">
        <f t="shared" ref="V17:V37" si="68">IF($B17,U17/$B17,-1)</f>
        <v>-1</v>
      </c>
      <c r="W17" s="31">
        <f>Ordinaria!W17</f>
        <v>0</v>
      </c>
      <c r="X17" s="32">
        <f t="shared" ref="X17:X37" si="69">IF($B17,W17/$B17,-1)</f>
        <v>-1</v>
      </c>
      <c r="Y17" s="31">
        <f>Ordinaria!Y17</f>
        <v>0</v>
      </c>
      <c r="Z17" s="32">
        <f t="shared" ref="Z17:Z37" si="70">IF($B17,Y17/$B17,-1)</f>
        <v>-1</v>
      </c>
      <c r="AA17" s="31">
        <f>Ordinaria!AA17</f>
        <v>0</v>
      </c>
      <c r="AB17" s="32">
        <f t="shared" ref="AB17:AB37" si="71">IF($B17,AA17/$B17,-1)</f>
        <v>-1</v>
      </c>
      <c r="AC17" s="31">
        <f>Ordinaria!AC17</f>
        <v>0</v>
      </c>
      <c r="AD17" s="32">
        <f t="shared" ref="AD17:AD37" si="72">IF($B17,AC17/$B17,-1)</f>
        <v>-1</v>
      </c>
      <c r="AE17" s="31">
        <f>Ordinaria!AE17</f>
        <v>0</v>
      </c>
      <c r="AF17" s="32">
        <f t="shared" ref="AF17:AF37" si="73">IF($B17,AE17/$B17,-1)</f>
        <v>-1</v>
      </c>
      <c r="AG17" s="31">
        <f>Ordinaria!AG17</f>
        <v>0</v>
      </c>
      <c r="AH17" s="32">
        <f t="shared" ref="AH17:AH37" si="74">IF($B17,AG17/$B17,-1)</f>
        <v>-1</v>
      </c>
      <c r="AI17" s="31">
        <f>Ordinaria!AI17</f>
        <v>0</v>
      </c>
      <c r="AJ17" s="32">
        <f t="shared" ref="AJ17:AJ37" si="75">IF($B17,AI17/$B17,-1)</f>
        <v>-1</v>
      </c>
      <c r="AK17" s="31">
        <f>Ordinaria!AK17</f>
        <v>0</v>
      </c>
      <c r="AL17" s="32">
        <f t="shared" ref="AL17:AL37" si="76">IF($B17,AK17/$B17,-1)</f>
        <v>-1</v>
      </c>
      <c r="AM17" s="31">
        <f>Ordinaria!AM17</f>
        <v>0</v>
      </c>
      <c r="AN17" s="32">
        <f t="shared" ref="AN17:AN37" si="77">IF($B17,AM17/$B17,-1)</f>
        <v>-1</v>
      </c>
      <c r="AO17" s="31">
        <f>Ordinaria!AO17</f>
        <v>0</v>
      </c>
      <c r="AP17" s="32">
        <f t="shared" ref="AP17:AP37" si="78">IF($B17,AO17/$B17,-1)</f>
        <v>-1</v>
      </c>
      <c r="AQ17" s="31">
        <f>Ordinaria!AQ17</f>
        <v>0</v>
      </c>
      <c r="AR17" s="32">
        <f t="shared" ref="AR17:AR37" si="79">IF($B17,AQ17/$B17,-1)</f>
        <v>-1</v>
      </c>
      <c r="AS17" s="31">
        <f>Ordinaria!AS17</f>
        <v>0</v>
      </c>
      <c r="AT17" s="32">
        <f t="shared" ref="AT17:AT37" si="80">IF($B17,AS17/$B17,-1)</f>
        <v>-1</v>
      </c>
      <c r="AU17" s="31">
        <f>Ordinaria!AU17</f>
        <v>0</v>
      </c>
      <c r="AV17" s="32">
        <f t="shared" ref="AV17:AV37" si="81">IF($B17,AU17/$B17,-1)</f>
        <v>-1</v>
      </c>
      <c r="AW17" s="31">
        <f>Ordinaria!AW17</f>
        <v>0</v>
      </c>
      <c r="AX17" s="32">
        <f t="shared" ref="AX17:AX37" si="82">IF($B17,AW17/$B17,-1)</f>
        <v>-1</v>
      </c>
      <c r="AY17" s="31">
        <f>Ordinaria!AY17</f>
        <v>0</v>
      </c>
      <c r="AZ17" s="32">
        <f t="shared" ref="AZ17:AZ37" si="83">IF($B17,AY17/$B17,-1)</f>
        <v>-1</v>
      </c>
      <c r="BA17" s="31">
        <f>Ordinaria!BA17</f>
        <v>0</v>
      </c>
      <c r="BB17" s="32">
        <f t="shared" ref="BB17:BB37" si="84">IF($B17,BA17/$B17,-1)</f>
        <v>-1</v>
      </c>
      <c r="BC17" s="31">
        <f>Ordinaria!BC17</f>
        <v>0</v>
      </c>
      <c r="BD17" s="32">
        <f t="shared" ref="BD17:BD37" si="85">IF($B17,BC17/$B17,-1)</f>
        <v>-1</v>
      </c>
      <c r="BE17" s="31">
        <f>Ordinaria!BE17</f>
        <v>0</v>
      </c>
      <c r="BF17" s="32">
        <f t="shared" ref="BF17:BF37" si="86">IF($B17,BE17/$B17,-1)</f>
        <v>-1</v>
      </c>
      <c r="BG17" s="31">
        <f>Ordinaria!BG17</f>
        <v>0</v>
      </c>
      <c r="BH17" s="32">
        <f t="shared" ref="BH17:BH37" si="87">IF($B17,BG17/$B17,-1)</f>
        <v>-1</v>
      </c>
      <c r="BI17" s="31">
        <f>Ordinaria!BI17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Ordinaria!B18</f>
        <v>0</v>
      </c>
      <c r="C18" s="31">
        <f>Ordinaria!C18</f>
        <v>0</v>
      </c>
      <c r="D18" s="32">
        <f t="shared" si="59"/>
        <v>-1</v>
      </c>
      <c r="E18" s="31">
        <f>Ordinaria!E18</f>
        <v>0</v>
      </c>
      <c r="F18" s="32">
        <f t="shared" si="60"/>
        <v>-1</v>
      </c>
      <c r="G18" s="31">
        <f>Ordinaria!G18</f>
        <v>0</v>
      </c>
      <c r="H18" s="32">
        <f t="shared" si="61"/>
        <v>-1</v>
      </c>
      <c r="I18" s="31">
        <f>Ordinaria!I18</f>
        <v>0</v>
      </c>
      <c r="J18" s="32">
        <f t="shared" si="62"/>
        <v>-1</v>
      </c>
      <c r="K18" s="31">
        <f>Ordinaria!K18</f>
        <v>0</v>
      </c>
      <c r="L18" s="32">
        <f t="shared" si="63"/>
        <v>-1</v>
      </c>
      <c r="M18" s="31">
        <f>Ordinaria!M18</f>
        <v>0</v>
      </c>
      <c r="N18" s="32">
        <f t="shared" si="64"/>
        <v>-1</v>
      </c>
      <c r="O18" s="31">
        <f>Ordinaria!O18</f>
        <v>0</v>
      </c>
      <c r="P18" s="32">
        <f t="shared" si="65"/>
        <v>-1</v>
      </c>
      <c r="Q18" s="31">
        <f>Ordinaria!Q18</f>
        <v>0</v>
      </c>
      <c r="R18" s="32">
        <f t="shared" si="66"/>
        <v>-1</v>
      </c>
      <c r="S18" s="31">
        <f>Ordinaria!S18</f>
        <v>0</v>
      </c>
      <c r="T18" s="32">
        <f t="shared" si="67"/>
        <v>-1</v>
      </c>
      <c r="U18" s="31">
        <f>Ordinaria!U18</f>
        <v>0</v>
      </c>
      <c r="V18" s="32">
        <f t="shared" si="68"/>
        <v>-1</v>
      </c>
      <c r="W18" s="31">
        <f>Ordinaria!W18</f>
        <v>0</v>
      </c>
      <c r="X18" s="32">
        <f t="shared" si="69"/>
        <v>-1</v>
      </c>
      <c r="Y18" s="31">
        <f>Ordinaria!Y18</f>
        <v>0</v>
      </c>
      <c r="Z18" s="32">
        <f t="shared" si="70"/>
        <v>-1</v>
      </c>
      <c r="AA18" s="31">
        <f>Ordinaria!AA18</f>
        <v>0</v>
      </c>
      <c r="AB18" s="32">
        <f t="shared" si="71"/>
        <v>-1</v>
      </c>
      <c r="AC18" s="31">
        <f>Ordinaria!AC18</f>
        <v>0</v>
      </c>
      <c r="AD18" s="32">
        <f t="shared" si="72"/>
        <v>-1</v>
      </c>
      <c r="AE18" s="31">
        <f>Ordinaria!AE18</f>
        <v>0</v>
      </c>
      <c r="AF18" s="32">
        <f t="shared" si="73"/>
        <v>-1</v>
      </c>
      <c r="AG18" s="31">
        <f>Ordinaria!AG18</f>
        <v>0</v>
      </c>
      <c r="AH18" s="32">
        <f t="shared" si="74"/>
        <v>-1</v>
      </c>
      <c r="AI18" s="31">
        <f>Ordinaria!AI18</f>
        <v>0</v>
      </c>
      <c r="AJ18" s="32">
        <f t="shared" si="75"/>
        <v>-1</v>
      </c>
      <c r="AK18" s="31">
        <f>Ordinaria!AK18</f>
        <v>0</v>
      </c>
      <c r="AL18" s="32">
        <f t="shared" si="76"/>
        <v>-1</v>
      </c>
      <c r="AM18" s="31">
        <f>Ordinaria!AM18</f>
        <v>0</v>
      </c>
      <c r="AN18" s="32">
        <f t="shared" si="77"/>
        <v>-1</v>
      </c>
      <c r="AO18" s="31">
        <f>Ordinaria!AO18</f>
        <v>0</v>
      </c>
      <c r="AP18" s="32">
        <f t="shared" si="78"/>
        <v>-1</v>
      </c>
      <c r="AQ18" s="31">
        <f>Ordinaria!AQ18</f>
        <v>0</v>
      </c>
      <c r="AR18" s="32">
        <f t="shared" si="79"/>
        <v>-1</v>
      </c>
      <c r="AS18" s="31">
        <f>Ordinaria!AS18</f>
        <v>0</v>
      </c>
      <c r="AT18" s="32">
        <f t="shared" si="80"/>
        <v>-1</v>
      </c>
      <c r="AU18" s="31">
        <f>Ordinaria!AU18</f>
        <v>0</v>
      </c>
      <c r="AV18" s="32">
        <f t="shared" si="81"/>
        <v>-1</v>
      </c>
      <c r="AW18" s="31">
        <f>Ordinaria!AW18</f>
        <v>0</v>
      </c>
      <c r="AX18" s="32">
        <f t="shared" si="82"/>
        <v>-1</v>
      </c>
      <c r="AY18" s="31">
        <f>Ordinaria!AY18</f>
        <v>0</v>
      </c>
      <c r="AZ18" s="32">
        <f t="shared" si="83"/>
        <v>-1</v>
      </c>
      <c r="BA18" s="31">
        <f>Ordinaria!BA18</f>
        <v>0</v>
      </c>
      <c r="BB18" s="32">
        <f t="shared" si="84"/>
        <v>-1</v>
      </c>
      <c r="BC18" s="31">
        <f>Ordinaria!BC18</f>
        <v>0</v>
      </c>
      <c r="BD18" s="32">
        <f t="shared" si="85"/>
        <v>-1</v>
      </c>
      <c r="BE18" s="31">
        <f>Ordinaria!BE18</f>
        <v>0</v>
      </c>
      <c r="BF18" s="32">
        <f t="shared" si="86"/>
        <v>-1</v>
      </c>
      <c r="BG18" s="31">
        <f>Ordinaria!BG18</f>
        <v>0</v>
      </c>
      <c r="BH18" s="32">
        <f t="shared" si="87"/>
        <v>-1</v>
      </c>
      <c r="BI18" s="31">
        <f>Ordinaria!BI18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Ordinaria!B19</f>
        <v>0</v>
      </c>
      <c r="C19" s="31">
        <f>Ordinaria!C19</f>
        <v>0</v>
      </c>
      <c r="D19" s="32">
        <f t="shared" si="59"/>
        <v>-1</v>
      </c>
      <c r="E19" s="31">
        <f>Ordinaria!E19</f>
        <v>0</v>
      </c>
      <c r="F19" s="32">
        <f t="shared" si="60"/>
        <v>-1</v>
      </c>
      <c r="G19" s="31">
        <f>Ordinaria!G19</f>
        <v>0</v>
      </c>
      <c r="H19" s="32">
        <f t="shared" si="61"/>
        <v>-1</v>
      </c>
      <c r="I19" s="31">
        <f>Ordinaria!I19</f>
        <v>0</v>
      </c>
      <c r="J19" s="32">
        <f t="shared" si="62"/>
        <v>-1</v>
      </c>
      <c r="K19" s="31">
        <f>Ordinaria!K19</f>
        <v>0</v>
      </c>
      <c r="L19" s="32">
        <f t="shared" si="63"/>
        <v>-1</v>
      </c>
      <c r="M19" s="31">
        <f>Ordinaria!M19</f>
        <v>0</v>
      </c>
      <c r="N19" s="32">
        <f t="shared" si="64"/>
        <v>-1</v>
      </c>
      <c r="O19" s="31">
        <f>Ordinaria!O19</f>
        <v>0</v>
      </c>
      <c r="P19" s="32">
        <f t="shared" si="65"/>
        <v>-1</v>
      </c>
      <c r="Q19" s="31">
        <f>Ordinaria!Q19</f>
        <v>0</v>
      </c>
      <c r="R19" s="32">
        <f t="shared" si="66"/>
        <v>-1</v>
      </c>
      <c r="S19" s="31">
        <f>Ordinaria!S19</f>
        <v>0</v>
      </c>
      <c r="T19" s="32">
        <f t="shared" si="67"/>
        <v>-1</v>
      </c>
      <c r="U19" s="31">
        <f>Ordinaria!U19</f>
        <v>0</v>
      </c>
      <c r="V19" s="32">
        <f t="shared" si="68"/>
        <v>-1</v>
      </c>
      <c r="W19" s="31">
        <f>Ordinaria!W19</f>
        <v>0</v>
      </c>
      <c r="X19" s="32">
        <f t="shared" si="69"/>
        <v>-1</v>
      </c>
      <c r="Y19" s="31">
        <f>Ordinaria!Y19</f>
        <v>0</v>
      </c>
      <c r="Z19" s="32">
        <f t="shared" si="70"/>
        <v>-1</v>
      </c>
      <c r="AA19" s="31">
        <f>Ordinaria!AA19</f>
        <v>0</v>
      </c>
      <c r="AB19" s="32">
        <f t="shared" si="71"/>
        <v>-1</v>
      </c>
      <c r="AC19" s="31">
        <f>Ordinaria!AC19</f>
        <v>0</v>
      </c>
      <c r="AD19" s="32">
        <f t="shared" si="72"/>
        <v>-1</v>
      </c>
      <c r="AE19" s="31">
        <f>Ordinaria!AE19</f>
        <v>0</v>
      </c>
      <c r="AF19" s="32">
        <f t="shared" si="73"/>
        <v>-1</v>
      </c>
      <c r="AG19" s="31">
        <f>Ordinaria!AG19</f>
        <v>0</v>
      </c>
      <c r="AH19" s="32">
        <f t="shared" si="74"/>
        <v>-1</v>
      </c>
      <c r="AI19" s="31">
        <f>Ordinaria!AI19</f>
        <v>0</v>
      </c>
      <c r="AJ19" s="32">
        <f t="shared" si="75"/>
        <v>-1</v>
      </c>
      <c r="AK19" s="31">
        <f>Ordinaria!AK19</f>
        <v>0</v>
      </c>
      <c r="AL19" s="32">
        <f t="shared" si="76"/>
        <v>-1</v>
      </c>
      <c r="AM19" s="31">
        <f>Ordinaria!AM19</f>
        <v>0</v>
      </c>
      <c r="AN19" s="32">
        <f t="shared" si="77"/>
        <v>-1</v>
      </c>
      <c r="AO19" s="31">
        <f>Ordinaria!AO19</f>
        <v>0</v>
      </c>
      <c r="AP19" s="32">
        <f t="shared" si="78"/>
        <v>-1</v>
      </c>
      <c r="AQ19" s="31">
        <f>Ordinaria!AQ19</f>
        <v>0</v>
      </c>
      <c r="AR19" s="32">
        <f t="shared" si="79"/>
        <v>-1</v>
      </c>
      <c r="AS19" s="31">
        <f>Ordinaria!AS19</f>
        <v>0</v>
      </c>
      <c r="AT19" s="32">
        <f t="shared" si="80"/>
        <v>-1</v>
      </c>
      <c r="AU19" s="31">
        <f>Ordinaria!AU19</f>
        <v>0</v>
      </c>
      <c r="AV19" s="32">
        <f t="shared" si="81"/>
        <v>-1</v>
      </c>
      <c r="AW19" s="31">
        <f>Ordinaria!AW19</f>
        <v>0</v>
      </c>
      <c r="AX19" s="32">
        <f t="shared" si="82"/>
        <v>-1</v>
      </c>
      <c r="AY19" s="31">
        <f>Ordinaria!AY19</f>
        <v>0</v>
      </c>
      <c r="AZ19" s="32">
        <f t="shared" si="83"/>
        <v>-1</v>
      </c>
      <c r="BA19" s="31">
        <f>Ordinaria!BA19</f>
        <v>0</v>
      </c>
      <c r="BB19" s="32">
        <f t="shared" si="84"/>
        <v>-1</v>
      </c>
      <c r="BC19" s="31">
        <f>Ordinaria!BC19</f>
        <v>0</v>
      </c>
      <c r="BD19" s="32">
        <f t="shared" si="85"/>
        <v>-1</v>
      </c>
      <c r="BE19" s="31">
        <f>Ordinaria!BE19</f>
        <v>0</v>
      </c>
      <c r="BF19" s="32">
        <f t="shared" si="86"/>
        <v>-1</v>
      </c>
      <c r="BG19" s="31">
        <f>Ordinaria!BG19</f>
        <v>0</v>
      </c>
      <c r="BH19" s="32">
        <f t="shared" si="87"/>
        <v>-1</v>
      </c>
      <c r="BI19" s="31">
        <f>Ordinaria!BI19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Ordinaria!B20</f>
        <v>0</v>
      </c>
      <c r="C20" s="31">
        <f>Ordinaria!C20</f>
        <v>0</v>
      </c>
      <c r="D20" s="32">
        <f t="shared" si="59"/>
        <v>-1</v>
      </c>
      <c r="E20" s="31">
        <f>Ordinaria!E20</f>
        <v>0</v>
      </c>
      <c r="F20" s="32">
        <f t="shared" si="60"/>
        <v>-1</v>
      </c>
      <c r="G20" s="31">
        <f>Ordinaria!G20</f>
        <v>0</v>
      </c>
      <c r="H20" s="32">
        <f t="shared" si="61"/>
        <v>-1</v>
      </c>
      <c r="I20" s="31">
        <f>Ordinaria!I20</f>
        <v>0</v>
      </c>
      <c r="J20" s="32">
        <f t="shared" si="62"/>
        <v>-1</v>
      </c>
      <c r="K20" s="31">
        <f>Ordinaria!K20</f>
        <v>0</v>
      </c>
      <c r="L20" s="32">
        <f t="shared" si="63"/>
        <v>-1</v>
      </c>
      <c r="M20" s="31">
        <f>Ordinaria!M20</f>
        <v>0</v>
      </c>
      <c r="N20" s="32">
        <f t="shared" si="64"/>
        <v>-1</v>
      </c>
      <c r="O20" s="31">
        <f>Ordinaria!O20</f>
        <v>0</v>
      </c>
      <c r="P20" s="32">
        <f t="shared" si="65"/>
        <v>-1</v>
      </c>
      <c r="Q20" s="31">
        <f>Ordinaria!Q20</f>
        <v>0</v>
      </c>
      <c r="R20" s="32">
        <f t="shared" si="66"/>
        <v>-1</v>
      </c>
      <c r="S20" s="31">
        <f>Ordinaria!S20</f>
        <v>0</v>
      </c>
      <c r="T20" s="32">
        <f t="shared" si="67"/>
        <v>-1</v>
      </c>
      <c r="U20" s="31">
        <f>Ordinaria!U20</f>
        <v>0</v>
      </c>
      <c r="V20" s="32">
        <f t="shared" si="68"/>
        <v>-1</v>
      </c>
      <c r="W20" s="31">
        <f>Ordinaria!W20</f>
        <v>0</v>
      </c>
      <c r="X20" s="32">
        <f t="shared" si="69"/>
        <v>-1</v>
      </c>
      <c r="Y20" s="31">
        <f>Ordinaria!Y20</f>
        <v>0</v>
      </c>
      <c r="Z20" s="32">
        <f t="shared" si="70"/>
        <v>-1</v>
      </c>
      <c r="AA20" s="31">
        <f>Ordinaria!AA20</f>
        <v>0</v>
      </c>
      <c r="AB20" s="32">
        <f t="shared" si="71"/>
        <v>-1</v>
      </c>
      <c r="AC20" s="31">
        <f>Ordinaria!AC20</f>
        <v>0</v>
      </c>
      <c r="AD20" s="32">
        <f t="shared" si="72"/>
        <v>-1</v>
      </c>
      <c r="AE20" s="31">
        <f>Ordinaria!AE20</f>
        <v>0</v>
      </c>
      <c r="AF20" s="32">
        <f t="shared" si="73"/>
        <v>-1</v>
      </c>
      <c r="AG20" s="31">
        <f>Ordinaria!AG20</f>
        <v>0</v>
      </c>
      <c r="AH20" s="32">
        <f t="shared" si="74"/>
        <v>-1</v>
      </c>
      <c r="AI20" s="31">
        <f>Ordinaria!AI20</f>
        <v>0</v>
      </c>
      <c r="AJ20" s="32">
        <f t="shared" si="75"/>
        <v>-1</v>
      </c>
      <c r="AK20" s="31">
        <f>Ordinaria!AK20</f>
        <v>0</v>
      </c>
      <c r="AL20" s="32">
        <f t="shared" si="76"/>
        <v>-1</v>
      </c>
      <c r="AM20" s="31">
        <f>Ordinaria!AM20</f>
        <v>0</v>
      </c>
      <c r="AN20" s="32">
        <f t="shared" si="77"/>
        <v>-1</v>
      </c>
      <c r="AO20" s="31">
        <f>Ordinaria!AO20</f>
        <v>0</v>
      </c>
      <c r="AP20" s="32">
        <f t="shared" si="78"/>
        <v>-1</v>
      </c>
      <c r="AQ20" s="31">
        <f>Ordinaria!AQ20</f>
        <v>0</v>
      </c>
      <c r="AR20" s="32">
        <f t="shared" si="79"/>
        <v>-1</v>
      </c>
      <c r="AS20" s="31">
        <f>Ordinaria!AS20</f>
        <v>0</v>
      </c>
      <c r="AT20" s="32">
        <f t="shared" si="80"/>
        <v>-1</v>
      </c>
      <c r="AU20" s="31">
        <f>Ordinaria!AU20</f>
        <v>0</v>
      </c>
      <c r="AV20" s="32">
        <f t="shared" si="81"/>
        <v>-1</v>
      </c>
      <c r="AW20" s="31">
        <f>Ordinaria!AW20</f>
        <v>0</v>
      </c>
      <c r="AX20" s="32">
        <f t="shared" si="82"/>
        <v>-1</v>
      </c>
      <c r="AY20" s="31">
        <f>Ordinaria!AY20</f>
        <v>0</v>
      </c>
      <c r="AZ20" s="32">
        <f t="shared" si="83"/>
        <v>-1</v>
      </c>
      <c r="BA20" s="31">
        <f>Ordinaria!BA20</f>
        <v>0</v>
      </c>
      <c r="BB20" s="32">
        <f t="shared" si="84"/>
        <v>-1</v>
      </c>
      <c r="BC20" s="31">
        <f>Ordinaria!BC20</f>
        <v>0</v>
      </c>
      <c r="BD20" s="32">
        <f t="shared" si="85"/>
        <v>-1</v>
      </c>
      <c r="BE20" s="31">
        <f>Ordinaria!BE20</f>
        <v>0</v>
      </c>
      <c r="BF20" s="32">
        <f t="shared" si="86"/>
        <v>-1</v>
      </c>
      <c r="BG20" s="31">
        <f>Ordinaria!BG20</f>
        <v>0</v>
      </c>
      <c r="BH20" s="32">
        <f t="shared" si="87"/>
        <v>-1</v>
      </c>
      <c r="BI20" s="31">
        <f>Ordinaria!BI20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Ordinaria!B21</f>
        <v>0</v>
      </c>
      <c r="C21" s="31">
        <f>Ordinaria!C21</f>
        <v>0</v>
      </c>
      <c r="D21" s="32">
        <f t="shared" si="59"/>
        <v>-1</v>
      </c>
      <c r="E21" s="31">
        <f>Ordinaria!E21</f>
        <v>0</v>
      </c>
      <c r="F21" s="32">
        <f t="shared" si="60"/>
        <v>-1</v>
      </c>
      <c r="G21" s="31">
        <f>Ordinaria!G21</f>
        <v>0</v>
      </c>
      <c r="H21" s="32">
        <f t="shared" si="61"/>
        <v>-1</v>
      </c>
      <c r="I21" s="31">
        <f>Ordinaria!I21</f>
        <v>0</v>
      </c>
      <c r="J21" s="32">
        <f t="shared" si="62"/>
        <v>-1</v>
      </c>
      <c r="K21" s="31">
        <f>Ordinaria!K21</f>
        <v>0</v>
      </c>
      <c r="L21" s="32">
        <f t="shared" si="63"/>
        <v>-1</v>
      </c>
      <c r="M21" s="31">
        <f>Ordinaria!M21</f>
        <v>0</v>
      </c>
      <c r="N21" s="32">
        <f t="shared" si="64"/>
        <v>-1</v>
      </c>
      <c r="O21" s="31">
        <f>Ordinaria!O21</f>
        <v>0</v>
      </c>
      <c r="P21" s="32">
        <f t="shared" si="65"/>
        <v>-1</v>
      </c>
      <c r="Q21" s="31">
        <f>Ordinaria!Q21</f>
        <v>0</v>
      </c>
      <c r="R21" s="32">
        <f t="shared" si="66"/>
        <v>-1</v>
      </c>
      <c r="S21" s="31">
        <f>Ordinaria!S21</f>
        <v>0</v>
      </c>
      <c r="T21" s="32">
        <f t="shared" si="67"/>
        <v>-1</v>
      </c>
      <c r="U21" s="31">
        <f>Ordinaria!U21</f>
        <v>0</v>
      </c>
      <c r="V21" s="32">
        <f t="shared" si="68"/>
        <v>-1</v>
      </c>
      <c r="W21" s="31">
        <f>Ordinaria!W21</f>
        <v>0</v>
      </c>
      <c r="X21" s="32">
        <f t="shared" si="69"/>
        <v>-1</v>
      </c>
      <c r="Y21" s="31">
        <f>Ordinaria!Y21</f>
        <v>0</v>
      </c>
      <c r="Z21" s="32">
        <f t="shared" si="70"/>
        <v>-1</v>
      </c>
      <c r="AA21" s="31">
        <f>Ordinaria!AA21</f>
        <v>0</v>
      </c>
      <c r="AB21" s="32">
        <f t="shared" si="71"/>
        <v>-1</v>
      </c>
      <c r="AC21" s="31">
        <f>Ordinaria!AC21</f>
        <v>0</v>
      </c>
      <c r="AD21" s="32">
        <f t="shared" si="72"/>
        <v>-1</v>
      </c>
      <c r="AE21" s="31">
        <f>Ordinaria!AE21</f>
        <v>0</v>
      </c>
      <c r="AF21" s="32">
        <f t="shared" si="73"/>
        <v>-1</v>
      </c>
      <c r="AG21" s="31">
        <f>Ordinaria!AG21</f>
        <v>0</v>
      </c>
      <c r="AH21" s="32">
        <f t="shared" si="74"/>
        <v>-1</v>
      </c>
      <c r="AI21" s="31">
        <f>Ordinaria!AI21</f>
        <v>0</v>
      </c>
      <c r="AJ21" s="32">
        <f t="shared" si="75"/>
        <v>-1</v>
      </c>
      <c r="AK21" s="31">
        <f>Ordinaria!AK21</f>
        <v>0</v>
      </c>
      <c r="AL21" s="32">
        <f t="shared" si="76"/>
        <v>-1</v>
      </c>
      <c r="AM21" s="31">
        <f>Ordinaria!AM21</f>
        <v>0</v>
      </c>
      <c r="AN21" s="32">
        <f t="shared" si="77"/>
        <v>-1</v>
      </c>
      <c r="AO21" s="31">
        <f>Ordinaria!AO21</f>
        <v>0</v>
      </c>
      <c r="AP21" s="32">
        <f t="shared" si="78"/>
        <v>-1</v>
      </c>
      <c r="AQ21" s="31">
        <f>Ordinaria!AQ21</f>
        <v>0</v>
      </c>
      <c r="AR21" s="32">
        <f t="shared" si="79"/>
        <v>-1</v>
      </c>
      <c r="AS21" s="31">
        <f>Ordinaria!AS21</f>
        <v>0</v>
      </c>
      <c r="AT21" s="32">
        <f t="shared" si="80"/>
        <v>-1</v>
      </c>
      <c r="AU21" s="31">
        <f>Ordinaria!AU21</f>
        <v>0</v>
      </c>
      <c r="AV21" s="32">
        <f t="shared" si="81"/>
        <v>-1</v>
      </c>
      <c r="AW21" s="31">
        <f>Ordinaria!AW21</f>
        <v>0</v>
      </c>
      <c r="AX21" s="32">
        <f t="shared" si="82"/>
        <v>-1</v>
      </c>
      <c r="AY21" s="31">
        <f>Ordinaria!AY21</f>
        <v>0</v>
      </c>
      <c r="AZ21" s="32">
        <f t="shared" si="83"/>
        <v>-1</v>
      </c>
      <c r="BA21" s="31">
        <f>Ordinaria!BA21</f>
        <v>0</v>
      </c>
      <c r="BB21" s="32">
        <f t="shared" si="84"/>
        <v>-1</v>
      </c>
      <c r="BC21" s="31">
        <f>Ordinaria!BC21</f>
        <v>0</v>
      </c>
      <c r="BD21" s="32">
        <f t="shared" si="85"/>
        <v>-1</v>
      </c>
      <c r="BE21" s="31">
        <f>Ordinaria!BE21</f>
        <v>0</v>
      </c>
      <c r="BF21" s="32">
        <f t="shared" si="86"/>
        <v>-1</v>
      </c>
      <c r="BG21" s="31">
        <f>Ordinaria!BG21</f>
        <v>0</v>
      </c>
      <c r="BH21" s="32">
        <f t="shared" si="87"/>
        <v>-1</v>
      </c>
      <c r="BI21" s="31">
        <f>Ordinaria!BI21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Ordinaria!B22</f>
        <v>0</v>
      </c>
      <c r="C22" s="31">
        <f>Ordinaria!C22</f>
        <v>0</v>
      </c>
      <c r="D22" s="32">
        <f t="shared" si="59"/>
        <v>-1</v>
      </c>
      <c r="E22" s="31">
        <f>Ordinaria!E22</f>
        <v>0</v>
      </c>
      <c r="F22" s="32">
        <f t="shared" si="60"/>
        <v>-1</v>
      </c>
      <c r="G22" s="31">
        <f>Ordinaria!G22</f>
        <v>0</v>
      </c>
      <c r="H22" s="32">
        <f t="shared" si="61"/>
        <v>-1</v>
      </c>
      <c r="I22" s="31">
        <f>Ordinaria!I22</f>
        <v>0</v>
      </c>
      <c r="J22" s="32">
        <f t="shared" si="62"/>
        <v>-1</v>
      </c>
      <c r="K22" s="31">
        <f>Ordinaria!K22</f>
        <v>0</v>
      </c>
      <c r="L22" s="32">
        <f t="shared" si="63"/>
        <v>-1</v>
      </c>
      <c r="M22" s="31">
        <f>Ordinaria!M22</f>
        <v>0</v>
      </c>
      <c r="N22" s="32">
        <f t="shared" si="64"/>
        <v>-1</v>
      </c>
      <c r="O22" s="31">
        <f>Ordinaria!O22</f>
        <v>0</v>
      </c>
      <c r="P22" s="32">
        <f t="shared" si="65"/>
        <v>-1</v>
      </c>
      <c r="Q22" s="31">
        <f>Ordinaria!Q22</f>
        <v>0</v>
      </c>
      <c r="R22" s="32">
        <f t="shared" si="66"/>
        <v>-1</v>
      </c>
      <c r="S22" s="31">
        <f>Ordinaria!S22</f>
        <v>0</v>
      </c>
      <c r="T22" s="32">
        <f t="shared" si="67"/>
        <v>-1</v>
      </c>
      <c r="U22" s="31">
        <f>Ordinaria!U22</f>
        <v>0</v>
      </c>
      <c r="V22" s="32">
        <f t="shared" si="68"/>
        <v>-1</v>
      </c>
      <c r="W22" s="31">
        <f>Ordinaria!W22</f>
        <v>0</v>
      </c>
      <c r="X22" s="32">
        <f t="shared" si="69"/>
        <v>-1</v>
      </c>
      <c r="Y22" s="31">
        <f>Ordinaria!Y22</f>
        <v>0</v>
      </c>
      <c r="Z22" s="32">
        <f t="shared" si="70"/>
        <v>-1</v>
      </c>
      <c r="AA22" s="31">
        <f>Ordinaria!AA22</f>
        <v>0</v>
      </c>
      <c r="AB22" s="32">
        <f t="shared" si="71"/>
        <v>-1</v>
      </c>
      <c r="AC22" s="31">
        <f>Ordinaria!AC22</f>
        <v>0</v>
      </c>
      <c r="AD22" s="32">
        <f t="shared" si="72"/>
        <v>-1</v>
      </c>
      <c r="AE22" s="31">
        <f>Ordinaria!AE22</f>
        <v>0</v>
      </c>
      <c r="AF22" s="32">
        <f t="shared" si="73"/>
        <v>-1</v>
      </c>
      <c r="AG22" s="31">
        <f>Ordinaria!AG22</f>
        <v>0</v>
      </c>
      <c r="AH22" s="32">
        <f t="shared" si="74"/>
        <v>-1</v>
      </c>
      <c r="AI22" s="31">
        <f>Ordinaria!AI22</f>
        <v>0</v>
      </c>
      <c r="AJ22" s="32">
        <f t="shared" si="75"/>
        <v>-1</v>
      </c>
      <c r="AK22" s="31">
        <f>Ordinaria!AK22</f>
        <v>0</v>
      </c>
      <c r="AL22" s="32">
        <f t="shared" si="76"/>
        <v>-1</v>
      </c>
      <c r="AM22" s="31">
        <f>Ordinaria!AM22</f>
        <v>0</v>
      </c>
      <c r="AN22" s="32">
        <f t="shared" si="77"/>
        <v>-1</v>
      </c>
      <c r="AO22" s="31">
        <f>Ordinaria!AO22</f>
        <v>0</v>
      </c>
      <c r="AP22" s="32">
        <f t="shared" si="78"/>
        <v>-1</v>
      </c>
      <c r="AQ22" s="31">
        <f>Ordinaria!AQ22</f>
        <v>0</v>
      </c>
      <c r="AR22" s="32">
        <f t="shared" si="79"/>
        <v>-1</v>
      </c>
      <c r="AS22" s="31">
        <f>Ordinaria!AS22</f>
        <v>0</v>
      </c>
      <c r="AT22" s="32">
        <f t="shared" si="80"/>
        <v>-1</v>
      </c>
      <c r="AU22" s="31">
        <f>Ordinaria!AU22</f>
        <v>0</v>
      </c>
      <c r="AV22" s="32">
        <f t="shared" si="81"/>
        <v>-1</v>
      </c>
      <c r="AW22" s="31">
        <f>Ordinaria!AW22</f>
        <v>0</v>
      </c>
      <c r="AX22" s="32">
        <f t="shared" si="82"/>
        <v>-1</v>
      </c>
      <c r="AY22" s="31">
        <f>Ordinaria!AY22</f>
        <v>0</v>
      </c>
      <c r="AZ22" s="32">
        <f t="shared" si="83"/>
        <v>-1</v>
      </c>
      <c r="BA22" s="31">
        <f>Ordinaria!BA22</f>
        <v>0</v>
      </c>
      <c r="BB22" s="32">
        <f t="shared" si="84"/>
        <v>-1</v>
      </c>
      <c r="BC22" s="31">
        <f>Ordinaria!BC22</f>
        <v>0</v>
      </c>
      <c r="BD22" s="32">
        <f t="shared" si="85"/>
        <v>-1</v>
      </c>
      <c r="BE22" s="31">
        <f>Ordinaria!BE22</f>
        <v>0</v>
      </c>
      <c r="BF22" s="32">
        <f t="shared" si="86"/>
        <v>-1</v>
      </c>
      <c r="BG22" s="31">
        <f>Ordinaria!BG22</f>
        <v>0</v>
      </c>
      <c r="BH22" s="32">
        <f t="shared" si="87"/>
        <v>-1</v>
      </c>
      <c r="BI22" s="31">
        <f>Ordinaria!BI22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Ordinaria!B23</f>
        <v>0</v>
      </c>
      <c r="C23" s="31">
        <f>Ordinaria!C23</f>
        <v>0</v>
      </c>
      <c r="D23" s="32">
        <f t="shared" si="59"/>
        <v>-1</v>
      </c>
      <c r="E23" s="31">
        <f>Ordinaria!E23</f>
        <v>0</v>
      </c>
      <c r="F23" s="32">
        <f t="shared" si="60"/>
        <v>-1</v>
      </c>
      <c r="G23" s="31">
        <f>Ordinaria!G23</f>
        <v>0</v>
      </c>
      <c r="H23" s="32">
        <f t="shared" si="61"/>
        <v>-1</v>
      </c>
      <c r="I23" s="31">
        <f>Ordinaria!I23</f>
        <v>0</v>
      </c>
      <c r="J23" s="32">
        <f t="shared" si="62"/>
        <v>-1</v>
      </c>
      <c r="K23" s="31">
        <f>Ordinaria!K23</f>
        <v>0</v>
      </c>
      <c r="L23" s="32">
        <f t="shared" si="63"/>
        <v>-1</v>
      </c>
      <c r="M23" s="31">
        <f>Ordinaria!M23</f>
        <v>0</v>
      </c>
      <c r="N23" s="32">
        <f t="shared" si="64"/>
        <v>-1</v>
      </c>
      <c r="O23" s="31">
        <f>Ordinaria!O23</f>
        <v>0</v>
      </c>
      <c r="P23" s="32">
        <f t="shared" si="65"/>
        <v>-1</v>
      </c>
      <c r="Q23" s="31">
        <f>Ordinaria!Q23</f>
        <v>0</v>
      </c>
      <c r="R23" s="32">
        <f t="shared" si="66"/>
        <v>-1</v>
      </c>
      <c r="S23" s="31">
        <f>Ordinaria!S23</f>
        <v>0</v>
      </c>
      <c r="T23" s="32">
        <f t="shared" si="67"/>
        <v>-1</v>
      </c>
      <c r="U23" s="31">
        <f>Ordinaria!U23</f>
        <v>0</v>
      </c>
      <c r="V23" s="32">
        <f t="shared" si="68"/>
        <v>-1</v>
      </c>
      <c r="W23" s="31">
        <f>Ordinaria!W23</f>
        <v>0</v>
      </c>
      <c r="X23" s="32">
        <f t="shared" si="69"/>
        <v>-1</v>
      </c>
      <c r="Y23" s="31">
        <f>Ordinaria!Y23</f>
        <v>0</v>
      </c>
      <c r="Z23" s="32">
        <f t="shared" si="70"/>
        <v>-1</v>
      </c>
      <c r="AA23" s="31">
        <f>Ordinaria!AA23</f>
        <v>0</v>
      </c>
      <c r="AB23" s="32">
        <f t="shared" si="71"/>
        <v>-1</v>
      </c>
      <c r="AC23" s="31">
        <f>Ordinaria!AC23</f>
        <v>0</v>
      </c>
      <c r="AD23" s="32">
        <f t="shared" si="72"/>
        <v>-1</v>
      </c>
      <c r="AE23" s="31">
        <f>Ordinaria!AE23</f>
        <v>0</v>
      </c>
      <c r="AF23" s="32">
        <f t="shared" si="73"/>
        <v>-1</v>
      </c>
      <c r="AG23" s="31">
        <f>Ordinaria!AG23</f>
        <v>0</v>
      </c>
      <c r="AH23" s="32">
        <f t="shared" si="74"/>
        <v>-1</v>
      </c>
      <c r="AI23" s="31">
        <f>Ordinaria!AI23</f>
        <v>0</v>
      </c>
      <c r="AJ23" s="32">
        <f t="shared" si="75"/>
        <v>-1</v>
      </c>
      <c r="AK23" s="31">
        <f>Ordinaria!AK23</f>
        <v>0</v>
      </c>
      <c r="AL23" s="32">
        <f t="shared" si="76"/>
        <v>-1</v>
      </c>
      <c r="AM23" s="31">
        <f>Ordinaria!AM23</f>
        <v>0</v>
      </c>
      <c r="AN23" s="32">
        <f t="shared" si="77"/>
        <v>-1</v>
      </c>
      <c r="AO23" s="31">
        <f>Ordinaria!AO23</f>
        <v>0</v>
      </c>
      <c r="AP23" s="32">
        <f t="shared" si="78"/>
        <v>-1</v>
      </c>
      <c r="AQ23" s="31">
        <f>Ordinaria!AQ23</f>
        <v>0</v>
      </c>
      <c r="AR23" s="32">
        <f t="shared" si="79"/>
        <v>-1</v>
      </c>
      <c r="AS23" s="31">
        <f>Ordinaria!AS23</f>
        <v>0</v>
      </c>
      <c r="AT23" s="32">
        <f t="shared" si="80"/>
        <v>-1</v>
      </c>
      <c r="AU23" s="31">
        <f>Ordinaria!AU23</f>
        <v>0</v>
      </c>
      <c r="AV23" s="32">
        <f t="shared" si="81"/>
        <v>-1</v>
      </c>
      <c r="AW23" s="31">
        <f>Ordinaria!AW23</f>
        <v>0</v>
      </c>
      <c r="AX23" s="32">
        <f t="shared" si="82"/>
        <v>-1</v>
      </c>
      <c r="AY23" s="31">
        <f>Ordinaria!AY23</f>
        <v>0</v>
      </c>
      <c r="AZ23" s="32">
        <f t="shared" si="83"/>
        <v>-1</v>
      </c>
      <c r="BA23" s="31">
        <f>Ordinaria!BA23</f>
        <v>0</v>
      </c>
      <c r="BB23" s="32">
        <f t="shared" si="84"/>
        <v>-1</v>
      </c>
      <c r="BC23" s="31">
        <f>Ordinaria!BC23</f>
        <v>0</v>
      </c>
      <c r="BD23" s="32">
        <f t="shared" si="85"/>
        <v>-1</v>
      </c>
      <c r="BE23" s="31">
        <f>Ordinaria!BE23</f>
        <v>0</v>
      </c>
      <c r="BF23" s="32">
        <f t="shared" si="86"/>
        <v>-1</v>
      </c>
      <c r="BG23" s="31">
        <f>Ordinaria!BG23</f>
        <v>0</v>
      </c>
      <c r="BH23" s="32">
        <f t="shared" si="87"/>
        <v>-1</v>
      </c>
      <c r="BI23" s="31">
        <f>Ordinaria!BI23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Ordinaria!B24</f>
        <v>0</v>
      </c>
      <c r="C24" s="31">
        <f>Ordinaria!C24</f>
        <v>0</v>
      </c>
      <c r="D24" s="32">
        <f t="shared" si="59"/>
        <v>-1</v>
      </c>
      <c r="E24" s="31">
        <f>Ordinaria!E24</f>
        <v>0</v>
      </c>
      <c r="F24" s="32">
        <f t="shared" si="60"/>
        <v>-1</v>
      </c>
      <c r="G24" s="31">
        <f>Ordinaria!G24</f>
        <v>0</v>
      </c>
      <c r="H24" s="32">
        <f t="shared" si="61"/>
        <v>-1</v>
      </c>
      <c r="I24" s="31">
        <f>Ordinaria!I24</f>
        <v>0</v>
      </c>
      <c r="J24" s="32">
        <f t="shared" si="62"/>
        <v>-1</v>
      </c>
      <c r="K24" s="31">
        <f>Ordinaria!K24</f>
        <v>0</v>
      </c>
      <c r="L24" s="32">
        <f t="shared" si="63"/>
        <v>-1</v>
      </c>
      <c r="M24" s="31">
        <f>Ordinaria!M24</f>
        <v>0</v>
      </c>
      <c r="N24" s="32">
        <f t="shared" si="64"/>
        <v>-1</v>
      </c>
      <c r="O24" s="31">
        <f>Ordinaria!O24</f>
        <v>0</v>
      </c>
      <c r="P24" s="32">
        <f t="shared" si="65"/>
        <v>-1</v>
      </c>
      <c r="Q24" s="31">
        <f>Ordinaria!Q24</f>
        <v>0</v>
      </c>
      <c r="R24" s="32">
        <f t="shared" si="66"/>
        <v>-1</v>
      </c>
      <c r="S24" s="31">
        <f>Ordinaria!S24</f>
        <v>0</v>
      </c>
      <c r="T24" s="32">
        <f t="shared" si="67"/>
        <v>-1</v>
      </c>
      <c r="U24" s="31">
        <f>Ordinaria!U24</f>
        <v>0</v>
      </c>
      <c r="V24" s="32">
        <f t="shared" si="68"/>
        <v>-1</v>
      </c>
      <c r="W24" s="31">
        <f>Ordinaria!W24</f>
        <v>0</v>
      </c>
      <c r="X24" s="32">
        <f t="shared" si="69"/>
        <v>-1</v>
      </c>
      <c r="Y24" s="31">
        <f>Ordinaria!Y24</f>
        <v>0</v>
      </c>
      <c r="Z24" s="32">
        <f t="shared" si="70"/>
        <v>-1</v>
      </c>
      <c r="AA24" s="31">
        <f>Ordinaria!AA24</f>
        <v>0</v>
      </c>
      <c r="AB24" s="32">
        <f t="shared" si="71"/>
        <v>-1</v>
      </c>
      <c r="AC24" s="31">
        <f>Ordinaria!AC24</f>
        <v>0</v>
      </c>
      <c r="AD24" s="32">
        <f t="shared" si="72"/>
        <v>-1</v>
      </c>
      <c r="AE24" s="31">
        <f>Ordinaria!AE24</f>
        <v>0</v>
      </c>
      <c r="AF24" s="32">
        <f t="shared" si="73"/>
        <v>-1</v>
      </c>
      <c r="AG24" s="31">
        <f>Ordinaria!AG24</f>
        <v>0</v>
      </c>
      <c r="AH24" s="32">
        <f t="shared" si="74"/>
        <v>-1</v>
      </c>
      <c r="AI24" s="31">
        <f>Ordinaria!AI24</f>
        <v>0</v>
      </c>
      <c r="AJ24" s="32">
        <f t="shared" si="75"/>
        <v>-1</v>
      </c>
      <c r="AK24" s="31">
        <f>Ordinaria!AK24</f>
        <v>0</v>
      </c>
      <c r="AL24" s="32">
        <f t="shared" si="76"/>
        <v>-1</v>
      </c>
      <c r="AM24" s="31">
        <f>Ordinaria!AM24</f>
        <v>0</v>
      </c>
      <c r="AN24" s="32">
        <f t="shared" si="77"/>
        <v>-1</v>
      </c>
      <c r="AO24" s="31">
        <f>Ordinaria!AO24</f>
        <v>0</v>
      </c>
      <c r="AP24" s="32">
        <f t="shared" si="78"/>
        <v>-1</v>
      </c>
      <c r="AQ24" s="31">
        <f>Ordinaria!AQ24</f>
        <v>0</v>
      </c>
      <c r="AR24" s="32">
        <f t="shared" si="79"/>
        <v>-1</v>
      </c>
      <c r="AS24" s="31">
        <f>Ordinaria!AS24</f>
        <v>0</v>
      </c>
      <c r="AT24" s="32">
        <f t="shared" si="80"/>
        <v>-1</v>
      </c>
      <c r="AU24" s="31">
        <f>Ordinaria!AU24</f>
        <v>0</v>
      </c>
      <c r="AV24" s="32">
        <f t="shared" si="81"/>
        <v>-1</v>
      </c>
      <c r="AW24" s="31">
        <f>Ordinaria!AW24</f>
        <v>0</v>
      </c>
      <c r="AX24" s="32">
        <f t="shared" si="82"/>
        <v>-1</v>
      </c>
      <c r="AY24" s="31">
        <f>Ordinaria!AY24</f>
        <v>0</v>
      </c>
      <c r="AZ24" s="32">
        <f t="shared" si="83"/>
        <v>-1</v>
      </c>
      <c r="BA24" s="31">
        <f>Ordinaria!BA24</f>
        <v>0</v>
      </c>
      <c r="BB24" s="32">
        <f t="shared" si="84"/>
        <v>-1</v>
      </c>
      <c r="BC24" s="31">
        <f>Ordinaria!BC24</f>
        <v>0</v>
      </c>
      <c r="BD24" s="32">
        <f t="shared" si="85"/>
        <v>-1</v>
      </c>
      <c r="BE24" s="31">
        <f>Ordinaria!BE24</f>
        <v>0</v>
      </c>
      <c r="BF24" s="32">
        <f t="shared" si="86"/>
        <v>-1</v>
      </c>
      <c r="BG24" s="31">
        <f>Ordinaria!BG24</f>
        <v>0</v>
      </c>
      <c r="BH24" s="32">
        <f t="shared" si="87"/>
        <v>-1</v>
      </c>
      <c r="BI24" s="31">
        <f>Ordinaria!BI24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Ordinaria!B25</f>
        <v>0</v>
      </c>
      <c r="C25" s="31">
        <f>Ordinaria!C25</f>
        <v>0</v>
      </c>
      <c r="D25" s="32">
        <f t="shared" si="59"/>
        <v>-1</v>
      </c>
      <c r="E25" s="31">
        <f>Ordinaria!E25</f>
        <v>0</v>
      </c>
      <c r="F25" s="32">
        <f t="shared" si="60"/>
        <v>-1</v>
      </c>
      <c r="G25" s="31">
        <f>Ordinaria!G25</f>
        <v>0</v>
      </c>
      <c r="H25" s="32">
        <f t="shared" si="61"/>
        <v>-1</v>
      </c>
      <c r="I25" s="31">
        <f>Ordinaria!I25</f>
        <v>0</v>
      </c>
      <c r="J25" s="32">
        <f t="shared" si="62"/>
        <v>-1</v>
      </c>
      <c r="K25" s="31">
        <f>Ordinaria!K25</f>
        <v>0</v>
      </c>
      <c r="L25" s="32">
        <f t="shared" si="63"/>
        <v>-1</v>
      </c>
      <c r="M25" s="31">
        <f>Ordinaria!M25</f>
        <v>0</v>
      </c>
      <c r="N25" s="32">
        <f t="shared" si="64"/>
        <v>-1</v>
      </c>
      <c r="O25" s="31">
        <f>Ordinaria!O25</f>
        <v>0</v>
      </c>
      <c r="P25" s="32">
        <f t="shared" si="65"/>
        <v>-1</v>
      </c>
      <c r="Q25" s="31">
        <f>Ordinaria!Q25</f>
        <v>0</v>
      </c>
      <c r="R25" s="32">
        <f t="shared" si="66"/>
        <v>-1</v>
      </c>
      <c r="S25" s="31">
        <f>Ordinaria!S25</f>
        <v>0</v>
      </c>
      <c r="T25" s="32">
        <f t="shared" si="67"/>
        <v>-1</v>
      </c>
      <c r="U25" s="31">
        <f>Ordinaria!U25</f>
        <v>0</v>
      </c>
      <c r="V25" s="32">
        <f t="shared" si="68"/>
        <v>-1</v>
      </c>
      <c r="W25" s="31">
        <f>Ordinaria!W25</f>
        <v>0</v>
      </c>
      <c r="X25" s="32">
        <f t="shared" si="69"/>
        <v>-1</v>
      </c>
      <c r="Y25" s="31">
        <f>Ordinaria!Y25</f>
        <v>0</v>
      </c>
      <c r="Z25" s="32">
        <f t="shared" si="70"/>
        <v>-1</v>
      </c>
      <c r="AA25" s="31">
        <f>Ordinaria!AA25</f>
        <v>0</v>
      </c>
      <c r="AB25" s="32">
        <f t="shared" si="71"/>
        <v>-1</v>
      </c>
      <c r="AC25" s="31">
        <f>Ordinaria!AC25</f>
        <v>0</v>
      </c>
      <c r="AD25" s="32">
        <f t="shared" si="72"/>
        <v>-1</v>
      </c>
      <c r="AE25" s="31">
        <f>Ordinaria!AE25</f>
        <v>0</v>
      </c>
      <c r="AF25" s="32">
        <f t="shared" si="73"/>
        <v>-1</v>
      </c>
      <c r="AG25" s="31">
        <f>Ordinaria!AG25</f>
        <v>0</v>
      </c>
      <c r="AH25" s="32">
        <f t="shared" si="74"/>
        <v>-1</v>
      </c>
      <c r="AI25" s="31">
        <f>Ordinaria!AI25</f>
        <v>0</v>
      </c>
      <c r="AJ25" s="32">
        <f t="shared" si="75"/>
        <v>-1</v>
      </c>
      <c r="AK25" s="31">
        <f>Ordinaria!AK25</f>
        <v>0</v>
      </c>
      <c r="AL25" s="32">
        <f t="shared" si="76"/>
        <v>-1</v>
      </c>
      <c r="AM25" s="31">
        <f>Ordinaria!AM25</f>
        <v>0</v>
      </c>
      <c r="AN25" s="32">
        <f t="shared" si="77"/>
        <v>-1</v>
      </c>
      <c r="AO25" s="31">
        <f>Ordinaria!AO25</f>
        <v>0</v>
      </c>
      <c r="AP25" s="32">
        <f t="shared" si="78"/>
        <v>-1</v>
      </c>
      <c r="AQ25" s="31">
        <f>Ordinaria!AQ25</f>
        <v>0</v>
      </c>
      <c r="AR25" s="32">
        <f t="shared" si="79"/>
        <v>-1</v>
      </c>
      <c r="AS25" s="31">
        <f>Ordinaria!AS25</f>
        <v>0</v>
      </c>
      <c r="AT25" s="32">
        <f t="shared" si="80"/>
        <v>-1</v>
      </c>
      <c r="AU25" s="31">
        <f>Ordinaria!AU25</f>
        <v>0</v>
      </c>
      <c r="AV25" s="32">
        <f t="shared" si="81"/>
        <v>-1</v>
      </c>
      <c r="AW25" s="31">
        <f>Ordinaria!AW25</f>
        <v>0</v>
      </c>
      <c r="AX25" s="32">
        <f t="shared" si="82"/>
        <v>-1</v>
      </c>
      <c r="AY25" s="31">
        <f>Ordinaria!AY25</f>
        <v>0</v>
      </c>
      <c r="AZ25" s="32">
        <f t="shared" si="83"/>
        <v>-1</v>
      </c>
      <c r="BA25" s="31">
        <f>Ordinaria!BA25</f>
        <v>0</v>
      </c>
      <c r="BB25" s="32">
        <f t="shared" si="84"/>
        <v>-1</v>
      </c>
      <c r="BC25" s="31">
        <f>Ordinaria!BC25</f>
        <v>0</v>
      </c>
      <c r="BD25" s="32">
        <f t="shared" si="85"/>
        <v>-1</v>
      </c>
      <c r="BE25" s="31">
        <f>Ordinaria!BE25</f>
        <v>0</v>
      </c>
      <c r="BF25" s="32">
        <f t="shared" si="86"/>
        <v>-1</v>
      </c>
      <c r="BG25" s="31">
        <f>Ordinaria!BG25</f>
        <v>0</v>
      </c>
      <c r="BH25" s="32">
        <f t="shared" si="87"/>
        <v>-1</v>
      </c>
      <c r="BI25" s="31">
        <f>Ordinaria!BI25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Ordinaria!B26</f>
        <v>0</v>
      </c>
      <c r="C26" s="31">
        <f>Ordinaria!C26</f>
        <v>0</v>
      </c>
      <c r="D26" s="32">
        <f t="shared" si="59"/>
        <v>-1</v>
      </c>
      <c r="E26" s="31">
        <f>Ordinaria!E26</f>
        <v>0</v>
      </c>
      <c r="F26" s="32">
        <f t="shared" si="60"/>
        <v>-1</v>
      </c>
      <c r="G26" s="31">
        <f>Ordinaria!G26</f>
        <v>0</v>
      </c>
      <c r="H26" s="32">
        <f t="shared" si="61"/>
        <v>-1</v>
      </c>
      <c r="I26" s="31">
        <f>Ordinaria!I26</f>
        <v>0</v>
      </c>
      <c r="J26" s="32">
        <f t="shared" si="62"/>
        <v>-1</v>
      </c>
      <c r="K26" s="31">
        <f>Ordinaria!K26</f>
        <v>0</v>
      </c>
      <c r="L26" s="32">
        <f t="shared" si="63"/>
        <v>-1</v>
      </c>
      <c r="M26" s="31">
        <f>Ordinaria!M26</f>
        <v>0</v>
      </c>
      <c r="N26" s="32">
        <f t="shared" si="64"/>
        <v>-1</v>
      </c>
      <c r="O26" s="31">
        <f>Ordinaria!O26</f>
        <v>0</v>
      </c>
      <c r="P26" s="32">
        <f t="shared" si="65"/>
        <v>-1</v>
      </c>
      <c r="Q26" s="31">
        <f>Ordinaria!Q26</f>
        <v>0</v>
      </c>
      <c r="R26" s="32">
        <f t="shared" si="66"/>
        <v>-1</v>
      </c>
      <c r="S26" s="31">
        <f>Ordinaria!S26</f>
        <v>0</v>
      </c>
      <c r="T26" s="32">
        <f t="shared" si="67"/>
        <v>-1</v>
      </c>
      <c r="U26" s="31">
        <f>Ordinaria!U26</f>
        <v>0</v>
      </c>
      <c r="V26" s="32">
        <f t="shared" si="68"/>
        <v>-1</v>
      </c>
      <c r="W26" s="31">
        <f>Ordinaria!W26</f>
        <v>0</v>
      </c>
      <c r="X26" s="32">
        <f t="shared" si="69"/>
        <v>-1</v>
      </c>
      <c r="Y26" s="31">
        <f>Ordinaria!Y26</f>
        <v>0</v>
      </c>
      <c r="Z26" s="32">
        <f t="shared" si="70"/>
        <v>-1</v>
      </c>
      <c r="AA26" s="31">
        <f>Ordinaria!AA26</f>
        <v>0</v>
      </c>
      <c r="AB26" s="32">
        <f t="shared" si="71"/>
        <v>-1</v>
      </c>
      <c r="AC26" s="31">
        <f>Ordinaria!AC26</f>
        <v>0</v>
      </c>
      <c r="AD26" s="32">
        <f t="shared" si="72"/>
        <v>-1</v>
      </c>
      <c r="AE26" s="31">
        <f>Ordinaria!AE26</f>
        <v>0</v>
      </c>
      <c r="AF26" s="32">
        <f t="shared" si="73"/>
        <v>-1</v>
      </c>
      <c r="AG26" s="31">
        <f>Ordinaria!AG26</f>
        <v>0</v>
      </c>
      <c r="AH26" s="32">
        <f t="shared" si="74"/>
        <v>-1</v>
      </c>
      <c r="AI26" s="31">
        <f>Ordinaria!AI26</f>
        <v>0</v>
      </c>
      <c r="AJ26" s="32">
        <f t="shared" si="75"/>
        <v>-1</v>
      </c>
      <c r="AK26" s="31">
        <f>Ordinaria!AK26</f>
        <v>0</v>
      </c>
      <c r="AL26" s="32">
        <f t="shared" si="76"/>
        <v>-1</v>
      </c>
      <c r="AM26" s="31">
        <f>Ordinaria!AM26</f>
        <v>0</v>
      </c>
      <c r="AN26" s="32">
        <f t="shared" si="77"/>
        <v>-1</v>
      </c>
      <c r="AO26" s="31">
        <f>Ordinaria!AO26</f>
        <v>0</v>
      </c>
      <c r="AP26" s="32">
        <f t="shared" si="78"/>
        <v>-1</v>
      </c>
      <c r="AQ26" s="31">
        <f>Ordinaria!AQ26</f>
        <v>0</v>
      </c>
      <c r="AR26" s="32">
        <f t="shared" si="79"/>
        <v>-1</v>
      </c>
      <c r="AS26" s="31">
        <f>Ordinaria!AS26</f>
        <v>0</v>
      </c>
      <c r="AT26" s="32">
        <f t="shared" si="80"/>
        <v>-1</v>
      </c>
      <c r="AU26" s="31">
        <f>Ordinaria!AU26</f>
        <v>0</v>
      </c>
      <c r="AV26" s="32">
        <f t="shared" si="81"/>
        <v>-1</v>
      </c>
      <c r="AW26" s="31">
        <f>Ordinaria!AW26</f>
        <v>0</v>
      </c>
      <c r="AX26" s="32">
        <f t="shared" si="82"/>
        <v>-1</v>
      </c>
      <c r="AY26" s="31">
        <f>Ordinaria!AY26</f>
        <v>0</v>
      </c>
      <c r="AZ26" s="32">
        <f t="shared" si="83"/>
        <v>-1</v>
      </c>
      <c r="BA26" s="31">
        <f>Ordinaria!BA26</f>
        <v>0</v>
      </c>
      <c r="BB26" s="32">
        <f t="shared" si="84"/>
        <v>-1</v>
      </c>
      <c r="BC26" s="31">
        <f>Ordinaria!BC26</f>
        <v>0</v>
      </c>
      <c r="BD26" s="32">
        <f t="shared" si="85"/>
        <v>-1</v>
      </c>
      <c r="BE26" s="31">
        <f>Ordinaria!BE26</f>
        <v>0</v>
      </c>
      <c r="BF26" s="32">
        <f t="shared" si="86"/>
        <v>-1</v>
      </c>
      <c r="BG26" s="31">
        <f>Ordinaria!BG26</f>
        <v>0</v>
      </c>
      <c r="BH26" s="32">
        <f t="shared" si="87"/>
        <v>-1</v>
      </c>
      <c r="BI26" s="31">
        <f>Ordinaria!BI26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Ordinaria!B27</f>
        <v>0</v>
      </c>
      <c r="C27" s="31">
        <f>Ordinaria!C27</f>
        <v>0</v>
      </c>
      <c r="D27" s="32">
        <f t="shared" si="59"/>
        <v>-1</v>
      </c>
      <c r="E27" s="31">
        <f>Ordinaria!E27</f>
        <v>0</v>
      </c>
      <c r="F27" s="32">
        <f t="shared" si="60"/>
        <v>-1</v>
      </c>
      <c r="G27" s="31">
        <f>Ordinaria!G27</f>
        <v>0</v>
      </c>
      <c r="H27" s="32">
        <f t="shared" si="61"/>
        <v>-1</v>
      </c>
      <c r="I27" s="31">
        <f>Ordinaria!I27</f>
        <v>0</v>
      </c>
      <c r="J27" s="32">
        <f t="shared" si="62"/>
        <v>-1</v>
      </c>
      <c r="K27" s="31">
        <f>Ordinaria!K27</f>
        <v>0</v>
      </c>
      <c r="L27" s="32">
        <f t="shared" si="63"/>
        <v>-1</v>
      </c>
      <c r="M27" s="31">
        <f>Ordinaria!M27</f>
        <v>0</v>
      </c>
      <c r="N27" s="32">
        <f t="shared" si="64"/>
        <v>-1</v>
      </c>
      <c r="O27" s="31">
        <f>Ordinaria!O27</f>
        <v>0</v>
      </c>
      <c r="P27" s="32">
        <f t="shared" si="65"/>
        <v>-1</v>
      </c>
      <c r="Q27" s="31">
        <f>Ordinaria!Q27</f>
        <v>0</v>
      </c>
      <c r="R27" s="32">
        <f t="shared" si="66"/>
        <v>-1</v>
      </c>
      <c r="S27" s="31">
        <f>Ordinaria!S27</f>
        <v>0</v>
      </c>
      <c r="T27" s="32">
        <f t="shared" si="67"/>
        <v>-1</v>
      </c>
      <c r="U27" s="31">
        <f>Ordinaria!U27</f>
        <v>0</v>
      </c>
      <c r="V27" s="32">
        <f t="shared" si="68"/>
        <v>-1</v>
      </c>
      <c r="W27" s="31">
        <f>Ordinaria!W27</f>
        <v>0</v>
      </c>
      <c r="X27" s="32">
        <f t="shared" si="69"/>
        <v>-1</v>
      </c>
      <c r="Y27" s="31">
        <f>Ordinaria!Y27</f>
        <v>0</v>
      </c>
      <c r="Z27" s="32">
        <f t="shared" si="70"/>
        <v>-1</v>
      </c>
      <c r="AA27" s="31">
        <f>Ordinaria!AA27</f>
        <v>0</v>
      </c>
      <c r="AB27" s="32">
        <f t="shared" si="71"/>
        <v>-1</v>
      </c>
      <c r="AC27" s="31">
        <f>Ordinaria!AC27</f>
        <v>0</v>
      </c>
      <c r="AD27" s="32">
        <f t="shared" si="72"/>
        <v>-1</v>
      </c>
      <c r="AE27" s="31">
        <f>Ordinaria!AE27</f>
        <v>0</v>
      </c>
      <c r="AF27" s="32">
        <f t="shared" si="73"/>
        <v>-1</v>
      </c>
      <c r="AG27" s="31">
        <f>Ordinaria!AG27</f>
        <v>0</v>
      </c>
      <c r="AH27" s="32">
        <f t="shared" si="74"/>
        <v>-1</v>
      </c>
      <c r="AI27" s="31">
        <f>Ordinaria!AI27</f>
        <v>0</v>
      </c>
      <c r="AJ27" s="32">
        <f t="shared" si="75"/>
        <v>-1</v>
      </c>
      <c r="AK27" s="31">
        <f>Ordinaria!AK27</f>
        <v>0</v>
      </c>
      <c r="AL27" s="32">
        <f t="shared" si="76"/>
        <v>-1</v>
      </c>
      <c r="AM27" s="31">
        <f>Ordinaria!AM27</f>
        <v>0</v>
      </c>
      <c r="AN27" s="32">
        <f t="shared" si="77"/>
        <v>-1</v>
      </c>
      <c r="AO27" s="31">
        <f>Ordinaria!AO27</f>
        <v>0</v>
      </c>
      <c r="AP27" s="32">
        <f t="shared" si="78"/>
        <v>-1</v>
      </c>
      <c r="AQ27" s="31">
        <f>Ordinaria!AQ27</f>
        <v>0</v>
      </c>
      <c r="AR27" s="32">
        <f t="shared" si="79"/>
        <v>-1</v>
      </c>
      <c r="AS27" s="31">
        <f>Ordinaria!AS27</f>
        <v>0</v>
      </c>
      <c r="AT27" s="32">
        <f t="shared" si="80"/>
        <v>-1</v>
      </c>
      <c r="AU27" s="31">
        <f>Ordinaria!AU27</f>
        <v>0</v>
      </c>
      <c r="AV27" s="32">
        <f t="shared" si="81"/>
        <v>-1</v>
      </c>
      <c r="AW27" s="31">
        <f>Ordinaria!AW27</f>
        <v>0</v>
      </c>
      <c r="AX27" s="32">
        <f t="shared" si="82"/>
        <v>-1</v>
      </c>
      <c r="AY27" s="31">
        <f>Ordinaria!AY27</f>
        <v>0</v>
      </c>
      <c r="AZ27" s="32">
        <f t="shared" si="83"/>
        <v>-1</v>
      </c>
      <c r="BA27" s="31">
        <f>Ordinaria!BA27</f>
        <v>0</v>
      </c>
      <c r="BB27" s="32">
        <f t="shared" si="84"/>
        <v>-1</v>
      </c>
      <c r="BC27" s="31">
        <f>Ordinaria!BC27</f>
        <v>0</v>
      </c>
      <c r="BD27" s="32">
        <f t="shared" si="85"/>
        <v>-1</v>
      </c>
      <c r="BE27" s="31">
        <f>Ordinaria!BE27</f>
        <v>0</v>
      </c>
      <c r="BF27" s="32">
        <f t="shared" si="86"/>
        <v>-1</v>
      </c>
      <c r="BG27" s="31">
        <f>Ordinaria!BG27</f>
        <v>0</v>
      </c>
      <c r="BH27" s="32">
        <f t="shared" si="87"/>
        <v>-1</v>
      </c>
      <c r="BI27" s="31">
        <f>Ordinaria!BI27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Ordinaria!B28</f>
        <v>0</v>
      </c>
      <c r="C28" s="31">
        <f>Ordinaria!C28</f>
        <v>0</v>
      </c>
      <c r="D28" s="32">
        <f t="shared" si="59"/>
        <v>-1</v>
      </c>
      <c r="E28" s="31">
        <f>Ordinaria!E28</f>
        <v>0</v>
      </c>
      <c r="F28" s="32">
        <f t="shared" si="60"/>
        <v>-1</v>
      </c>
      <c r="G28" s="31">
        <f>Ordinaria!G28</f>
        <v>0</v>
      </c>
      <c r="H28" s="32">
        <f t="shared" si="61"/>
        <v>-1</v>
      </c>
      <c r="I28" s="31">
        <f>Ordinaria!I28</f>
        <v>0</v>
      </c>
      <c r="J28" s="32">
        <f t="shared" si="62"/>
        <v>-1</v>
      </c>
      <c r="K28" s="31">
        <f>Ordinaria!K28</f>
        <v>0</v>
      </c>
      <c r="L28" s="32">
        <f t="shared" si="63"/>
        <v>-1</v>
      </c>
      <c r="M28" s="31">
        <f>Ordinaria!M28</f>
        <v>0</v>
      </c>
      <c r="N28" s="32">
        <f t="shared" si="64"/>
        <v>-1</v>
      </c>
      <c r="O28" s="31">
        <f>Ordinaria!O28</f>
        <v>0</v>
      </c>
      <c r="P28" s="32">
        <f t="shared" si="65"/>
        <v>-1</v>
      </c>
      <c r="Q28" s="31">
        <f>Ordinaria!Q28</f>
        <v>0</v>
      </c>
      <c r="R28" s="32">
        <f t="shared" si="66"/>
        <v>-1</v>
      </c>
      <c r="S28" s="31">
        <f>Ordinaria!S28</f>
        <v>0</v>
      </c>
      <c r="T28" s="32">
        <f t="shared" si="67"/>
        <v>-1</v>
      </c>
      <c r="U28" s="31">
        <f>Ordinaria!U28</f>
        <v>0</v>
      </c>
      <c r="V28" s="32">
        <f t="shared" si="68"/>
        <v>-1</v>
      </c>
      <c r="W28" s="31">
        <f>Ordinaria!W28</f>
        <v>0</v>
      </c>
      <c r="X28" s="32">
        <f t="shared" si="69"/>
        <v>-1</v>
      </c>
      <c r="Y28" s="31">
        <f>Ordinaria!Y28</f>
        <v>0</v>
      </c>
      <c r="Z28" s="32">
        <f t="shared" si="70"/>
        <v>-1</v>
      </c>
      <c r="AA28" s="31">
        <f>Ordinaria!AA28</f>
        <v>0</v>
      </c>
      <c r="AB28" s="32">
        <f t="shared" si="71"/>
        <v>-1</v>
      </c>
      <c r="AC28" s="31">
        <f>Ordinaria!AC28</f>
        <v>0</v>
      </c>
      <c r="AD28" s="32">
        <f t="shared" si="72"/>
        <v>-1</v>
      </c>
      <c r="AE28" s="31">
        <f>Ordinaria!AE28</f>
        <v>0</v>
      </c>
      <c r="AF28" s="32">
        <f t="shared" si="73"/>
        <v>-1</v>
      </c>
      <c r="AG28" s="31">
        <f>Ordinaria!AG28</f>
        <v>0</v>
      </c>
      <c r="AH28" s="32">
        <f t="shared" si="74"/>
        <v>-1</v>
      </c>
      <c r="AI28" s="31">
        <f>Ordinaria!AI28</f>
        <v>0</v>
      </c>
      <c r="AJ28" s="32">
        <f t="shared" si="75"/>
        <v>-1</v>
      </c>
      <c r="AK28" s="31">
        <f>Ordinaria!AK28</f>
        <v>0</v>
      </c>
      <c r="AL28" s="32">
        <f t="shared" si="76"/>
        <v>-1</v>
      </c>
      <c r="AM28" s="31">
        <f>Ordinaria!AM28</f>
        <v>0</v>
      </c>
      <c r="AN28" s="32">
        <f t="shared" si="77"/>
        <v>-1</v>
      </c>
      <c r="AO28" s="31">
        <f>Ordinaria!AO28</f>
        <v>0</v>
      </c>
      <c r="AP28" s="32">
        <f t="shared" si="78"/>
        <v>-1</v>
      </c>
      <c r="AQ28" s="31">
        <f>Ordinaria!AQ28</f>
        <v>0</v>
      </c>
      <c r="AR28" s="32">
        <f t="shared" si="79"/>
        <v>-1</v>
      </c>
      <c r="AS28" s="31">
        <f>Ordinaria!AS28</f>
        <v>0</v>
      </c>
      <c r="AT28" s="32">
        <f t="shared" si="80"/>
        <v>-1</v>
      </c>
      <c r="AU28" s="31">
        <f>Ordinaria!AU28</f>
        <v>0</v>
      </c>
      <c r="AV28" s="32">
        <f t="shared" si="81"/>
        <v>-1</v>
      </c>
      <c r="AW28" s="31">
        <f>Ordinaria!AW28</f>
        <v>0</v>
      </c>
      <c r="AX28" s="32">
        <f t="shared" si="82"/>
        <v>-1</v>
      </c>
      <c r="AY28" s="31">
        <f>Ordinaria!AY28</f>
        <v>0</v>
      </c>
      <c r="AZ28" s="32">
        <f t="shared" si="83"/>
        <v>-1</v>
      </c>
      <c r="BA28" s="31">
        <f>Ordinaria!BA28</f>
        <v>0</v>
      </c>
      <c r="BB28" s="32">
        <f t="shared" si="84"/>
        <v>-1</v>
      </c>
      <c r="BC28" s="31">
        <f>Ordinaria!BC28</f>
        <v>0</v>
      </c>
      <c r="BD28" s="32">
        <f t="shared" si="85"/>
        <v>-1</v>
      </c>
      <c r="BE28" s="31">
        <f>Ordinaria!BE28</f>
        <v>0</v>
      </c>
      <c r="BF28" s="32">
        <f t="shared" si="86"/>
        <v>-1</v>
      </c>
      <c r="BG28" s="31">
        <f>Ordinaria!BG28</f>
        <v>0</v>
      </c>
      <c r="BH28" s="32">
        <f t="shared" si="87"/>
        <v>-1</v>
      </c>
      <c r="BI28" s="31">
        <f>Ordinaria!BI28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Ordinaria!B29</f>
        <v>0</v>
      </c>
      <c r="C29" s="31">
        <f>Ordinaria!C29</f>
        <v>0</v>
      </c>
      <c r="D29" s="32">
        <f t="shared" si="59"/>
        <v>-1</v>
      </c>
      <c r="E29" s="31">
        <f>Ordinaria!E29</f>
        <v>0</v>
      </c>
      <c r="F29" s="32">
        <f t="shared" si="60"/>
        <v>-1</v>
      </c>
      <c r="G29" s="31">
        <f>Ordinaria!G29</f>
        <v>0</v>
      </c>
      <c r="H29" s="32">
        <f t="shared" si="61"/>
        <v>-1</v>
      </c>
      <c r="I29" s="31">
        <f>Ordinaria!I29</f>
        <v>0</v>
      </c>
      <c r="J29" s="32">
        <f t="shared" si="62"/>
        <v>-1</v>
      </c>
      <c r="K29" s="31">
        <f>Ordinaria!K29</f>
        <v>0</v>
      </c>
      <c r="L29" s="32">
        <f t="shared" si="63"/>
        <v>-1</v>
      </c>
      <c r="M29" s="31">
        <f>Ordinaria!M29</f>
        <v>0</v>
      </c>
      <c r="N29" s="32">
        <f t="shared" si="64"/>
        <v>-1</v>
      </c>
      <c r="O29" s="31">
        <f>Ordinaria!O29</f>
        <v>0</v>
      </c>
      <c r="P29" s="32">
        <f t="shared" si="65"/>
        <v>-1</v>
      </c>
      <c r="Q29" s="31">
        <f>Ordinaria!Q29</f>
        <v>0</v>
      </c>
      <c r="R29" s="32">
        <f t="shared" si="66"/>
        <v>-1</v>
      </c>
      <c r="S29" s="31">
        <f>Ordinaria!S29</f>
        <v>0</v>
      </c>
      <c r="T29" s="32">
        <f t="shared" si="67"/>
        <v>-1</v>
      </c>
      <c r="U29" s="31">
        <f>Ordinaria!U29</f>
        <v>0</v>
      </c>
      <c r="V29" s="32">
        <f t="shared" si="68"/>
        <v>-1</v>
      </c>
      <c r="W29" s="31">
        <f>Ordinaria!W29</f>
        <v>0</v>
      </c>
      <c r="X29" s="32">
        <f t="shared" si="69"/>
        <v>-1</v>
      </c>
      <c r="Y29" s="31">
        <f>Ordinaria!Y29</f>
        <v>0</v>
      </c>
      <c r="Z29" s="32">
        <f t="shared" si="70"/>
        <v>-1</v>
      </c>
      <c r="AA29" s="31">
        <f>Ordinaria!AA29</f>
        <v>0</v>
      </c>
      <c r="AB29" s="32">
        <f t="shared" si="71"/>
        <v>-1</v>
      </c>
      <c r="AC29" s="31">
        <f>Ordinaria!AC29</f>
        <v>0</v>
      </c>
      <c r="AD29" s="32">
        <f t="shared" si="72"/>
        <v>-1</v>
      </c>
      <c r="AE29" s="31">
        <f>Ordinaria!AE29</f>
        <v>0</v>
      </c>
      <c r="AF29" s="32">
        <f t="shared" si="73"/>
        <v>-1</v>
      </c>
      <c r="AG29" s="31">
        <f>Ordinaria!AG29</f>
        <v>0</v>
      </c>
      <c r="AH29" s="32">
        <f t="shared" si="74"/>
        <v>-1</v>
      </c>
      <c r="AI29" s="31">
        <f>Ordinaria!AI29</f>
        <v>0</v>
      </c>
      <c r="AJ29" s="32">
        <f t="shared" si="75"/>
        <v>-1</v>
      </c>
      <c r="AK29" s="31">
        <f>Ordinaria!AK29</f>
        <v>0</v>
      </c>
      <c r="AL29" s="32">
        <f t="shared" si="76"/>
        <v>-1</v>
      </c>
      <c r="AM29" s="31">
        <f>Ordinaria!AM29</f>
        <v>0</v>
      </c>
      <c r="AN29" s="32">
        <f t="shared" si="77"/>
        <v>-1</v>
      </c>
      <c r="AO29" s="31">
        <f>Ordinaria!AO29</f>
        <v>0</v>
      </c>
      <c r="AP29" s="32">
        <f t="shared" si="78"/>
        <v>-1</v>
      </c>
      <c r="AQ29" s="31">
        <f>Ordinaria!AQ29</f>
        <v>0</v>
      </c>
      <c r="AR29" s="32">
        <f t="shared" si="79"/>
        <v>-1</v>
      </c>
      <c r="AS29" s="31">
        <f>Ordinaria!AS29</f>
        <v>0</v>
      </c>
      <c r="AT29" s="32">
        <f t="shared" si="80"/>
        <v>-1</v>
      </c>
      <c r="AU29" s="31">
        <f>Ordinaria!AU29</f>
        <v>0</v>
      </c>
      <c r="AV29" s="32">
        <f t="shared" si="81"/>
        <v>-1</v>
      </c>
      <c r="AW29" s="31">
        <f>Ordinaria!AW29</f>
        <v>0</v>
      </c>
      <c r="AX29" s="32">
        <f t="shared" si="82"/>
        <v>-1</v>
      </c>
      <c r="AY29" s="31">
        <f>Ordinaria!AY29</f>
        <v>0</v>
      </c>
      <c r="AZ29" s="32">
        <f t="shared" si="83"/>
        <v>-1</v>
      </c>
      <c r="BA29" s="31">
        <f>Ordinaria!BA29</f>
        <v>0</v>
      </c>
      <c r="BB29" s="32">
        <f t="shared" si="84"/>
        <v>-1</v>
      </c>
      <c r="BC29" s="31">
        <f>Ordinaria!BC29</f>
        <v>0</v>
      </c>
      <c r="BD29" s="32">
        <f t="shared" si="85"/>
        <v>-1</v>
      </c>
      <c r="BE29" s="31">
        <f>Ordinaria!BE29</f>
        <v>0</v>
      </c>
      <c r="BF29" s="32">
        <f t="shared" si="86"/>
        <v>-1</v>
      </c>
      <c r="BG29" s="31">
        <f>Ordinaria!BG29</f>
        <v>0</v>
      </c>
      <c r="BH29" s="32">
        <f t="shared" si="87"/>
        <v>-1</v>
      </c>
      <c r="BI29" s="31">
        <f>Ordinaria!BI29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Ordinaria!B30</f>
        <v>0</v>
      </c>
      <c r="C30" s="31">
        <f>Ordinaria!C30</f>
        <v>0</v>
      </c>
      <c r="D30" s="32">
        <f t="shared" si="59"/>
        <v>-1</v>
      </c>
      <c r="E30" s="31">
        <f>Ordinaria!E30</f>
        <v>0</v>
      </c>
      <c r="F30" s="32">
        <f t="shared" si="60"/>
        <v>-1</v>
      </c>
      <c r="G30" s="31">
        <f>Ordinaria!G30</f>
        <v>0</v>
      </c>
      <c r="H30" s="32">
        <f t="shared" si="61"/>
        <v>-1</v>
      </c>
      <c r="I30" s="31">
        <f>Ordinaria!I30</f>
        <v>0</v>
      </c>
      <c r="J30" s="32">
        <f t="shared" si="62"/>
        <v>-1</v>
      </c>
      <c r="K30" s="31">
        <f>Ordinaria!K30</f>
        <v>0</v>
      </c>
      <c r="L30" s="32">
        <f t="shared" si="63"/>
        <v>-1</v>
      </c>
      <c r="M30" s="31">
        <f>Ordinaria!M30</f>
        <v>0</v>
      </c>
      <c r="N30" s="32">
        <f t="shared" si="64"/>
        <v>-1</v>
      </c>
      <c r="O30" s="31">
        <f>Ordinaria!O30</f>
        <v>0</v>
      </c>
      <c r="P30" s="32">
        <f t="shared" si="65"/>
        <v>-1</v>
      </c>
      <c r="Q30" s="31">
        <f>Ordinaria!Q30</f>
        <v>0</v>
      </c>
      <c r="R30" s="32">
        <f t="shared" si="66"/>
        <v>-1</v>
      </c>
      <c r="S30" s="31">
        <f>Ordinaria!S30</f>
        <v>0</v>
      </c>
      <c r="T30" s="32">
        <f t="shared" si="67"/>
        <v>-1</v>
      </c>
      <c r="U30" s="31">
        <f>Ordinaria!U30</f>
        <v>0</v>
      </c>
      <c r="V30" s="32">
        <f t="shared" si="68"/>
        <v>-1</v>
      </c>
      <c r="W30" s="31">
        <f>Ordinaria!W30</f>
        <v>0</v>
      </c>
      <c r="X30" s="32">
        <f t="shared" si="69"/>
        <v>-1</v>
      </c>
      <c r="Y30" s="31">
        <f>Ordinaria!Y30</f>
        <v>0</v>
      </c>
      <c r="Z30" s="32">
        <f t="shared" si="70"/>
        <v>-1</v>
      </c>
      <c r="AA30" s="31">
        <f>Ordinaria!AA30</f>
        <v>0</v>
      </c>
      <c r="AB30" s="32">
        <f t="shared" si="71"/>
        <v>-1</v>
      </c>
      <c r="AC30" s="31">
        <f>Ordinaria!AC30</f>
        <v>0</v>
      </c>
      <c r="AD30" s="32">
        <f t="shared" si="72"/>
        <v>-1</v>
      </c>
      <c r="AE30" s="31">
        <f>Ordinaria!AE30</f>
        <v>0</v>
      </c>
      <c r="AF30" s="32">
        <f t="shared" si="73"/>
        <v>-1</v>
      </c>
      <c r="AG30" s="31">
        <f>Ordinaria!AG30</f>
        <v>0</v>
      </c>
      <c r="AH30" s="32">
        <f t="shared" si="74"/>
        <v>-1</v>
      </c>
      <c r="AI30" s="31">
        <f>Ordinaria!AI30</f>
        <v>0</v>
      </c>
      <c r="AJ30" s="32">
        <f t="shared" si="75"/>
        <v>-1</v>
      </c>
      <c r="AK30" s="31">
        <f>Ordinaria!AK30</f>
        <v>0</v>
      </c>
      <c r="AL30" s="32">
        <f t="shared" si="76"/>
        <v>-1</v>
      </c>
      <c r="AM30" s="31">
        <f>Ordinaria!AM30</f>
        <v>0</v>
      </c>
      <c r="AN30" s="32">
        <f t="shared" si="77"/>
        <v>-1</v>
      </c>
      <c r="AO30" s="31">
        <f>Ordinaria!AO30</f>
        <v>0</v>
      </c>
      <c r="AP30" s="32">
        <f t="shared" si="78"/>
        <v>-1</v>
      </c>
      <c r="AQ30" s="31">
        <f>Ordinaria!AQ30</f>
        <v>0</v>
      </c>
      <c r="AR30" s="32">
        <f t="shared" si="79"/>
        <v>-1</v>
      </c>
      <c r="AS30" s="31">
        <f>Ordinaria!AS30</f>
        <v>0</v>
      </c>
      <c r="AT30" s="32">
        <f t="shared" si="80"/>
        <v>-1</v>
      </c>
      <c r="AU30" s="31">
        <f>Ordinaria!AU30</f>
        <v>0</v>
      </c>
      <c r="AV30" s="32">
        <f t="shared" si="81"/>
        <v>-1</v>
      </c>
      <c r="AW30" s="31">
        <f>Ordinaria!AW30</f>
        <v>0</v>
      </c>
      <c r="AX30" s="32">
        <f t="shared" si="82"/>
        <v>-1</v>
      </c>
      <c r="AY30" s="31">
        <f>Ordinaria!AY30</f>
        <v>0</v>
      </c>
      <c r="AZ30" s="32">
        <f t="shared" si="83"/>
        <v>-1</v>
      </c>
      <c r="BA30" s="31">
        <f>Ordinaria!BA30</f>
        <v>0</v>
      </c>
      <c r="BB30" s="32">
        <f t="shared" si="84"/>
        <v>-1</v>
      </c>
      <c r="BC30" s="31">
        <f>Ordinaria!BC30</f>
        <v>0</v>
      </c>
      <c r="BD30" s="32">
        <f t="shared" si="85"/>
        <v>-1</v>
      </c>
      <c r="BE30" s="31">
        <f>Ordinaria!BE30</f>
        <v>0</v>
      </c>
      <c r="BF30" s="32">
        <f t="shared" si="86"/>
        <v>-1</v>
      </c>
      <c r="BG30" s="31">
        <f>Ordinaria!BG30</f>
        <v>0</v>
      </c>
      <c r="BH30" s="32">
        <f t="shared" si="87"/>
        <v>-1</v>
      </c>
      <c r="BI30" s="31">
        <f>Ordinaria!BI30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Ordinaria!B31</f>
        <v>0</v>
      </c>
      <c r="C31" s="31">
        <f>Ordinaria!C31</f>
        <v>0</v>
      </c>
      <c r="D31" s="32">
        <f t="shared" si="59"/>
        <v>-1</v>
      </c>
      <c r="E31" s="31">
        <f>Ordinaria!E31</f>
        <v>0</v>
      </c>
      <c r="F31" s="32">
        <f t="shared" si="60"/>
        <v>-1</v>
      </c>
      <c r="G31" s="31">
        <f>Ordinaria!G31</f>
        <v>0</v>
      </c>
      <c r="H31" s="32">
        <f t="shared" si="61"/>
        <v>-1</v>
      </c>
      <c r="I31" s="31">
        <f>Ordinaria!I31</f>
        <v>0</v>
      </c>
      <c r="J31" s="32">
        <f t="shared" si="62"/>
        <v>-1</v>
      </c>
      <c r="K31" s="31">
        <f>Ordinaria!K31</f>
        <v>0</v>
      </c>
      <c r="L31" s="32">
        <f t="shared" si="63"/>
        <v>-1</v>
      </c>
      <c r="M31" s="31">
        <f>Ordinaria!M31</f>
        <v>0</v>
      </c>
      <c r="N31" s="32">
        <f t="shared" si="64"/>
        <v>-1</v>
      </c>
      <c r="O31" s="31">
        <f>Ordinaria!O31</f>
        <v>0</v>
      </c>
      <c r="P31" s="32">
        <f t="shared" si="65"/>
        <v>-1</v>
      </c>
      <c r="Q31" s="31">
        <f>Ordinaria!Q31</f>
        <v>0</v>
      </c>
      <c r="R31" s="32">
        <f t="shared" si="66"/>
        <v>-1</v>
      </c>
      <c r="S31" s="31">
        <f>Ordinaria!S31</f>
        <v>0</v>
      </c>
      <c r="T31" s="32">
        <f t="shared" si="67"/>
        <v>-1</v>
      </c>
      <c r="U31" s="31">
        <f>Ordinaria!U31</f>
        <v>0</v>
      </c>
      <c r="V31" s="32">
        <f t="shared" si="68"/>
        <v>-1</v>
      </c>
      <c r="W31" s="31">
        <f>Ordinaria!W31</f>
        <v>0</v>
      </c>
      <c r="X31" s="32">
        <f t="shared" si="69"/>
        <v>-1</v>
      </c>
      <c r="Y31" s="31">
        <f>Ordinaria!Y31</f>
        <v>0</v>
      </c>
      <c r="Z31" s="32">
        <f t="shared" si="70"/>
        <v>-1</v>
      </c>
      <c r="AA31" s="31">
        <f>Ordinaria!AA31</f>
        <v>0</v>
      </c>
      <c r="AB31" s="32">
        <f t="shared" si="71"/>
        <v>-1</v>
      </c>
      <c r="AC31" s="31">
        <f>Ordinaria!AC31</f>
        <v>0</v>
      </c>
      <c r="AD31" s="32">
        <f t="shared" si="72"/>
        <v>-1</v>
      </c>
      <c r="AE31" s="31">
        <f>Ordinaria!AE31</f>
        <v>0</v>
      </c>
      <c r="AF31" s="32">
        <f t="shared" si="73"/>
        <v>-1</v>
      </c>
      <c r="AG31" s="31">
        <f>Ordinaria!AG31</f>
        <v>0</v>
      </c>
      <c r="AH31" s="32">
        <f t="shared" si="74"/>
        <v>-1</v>
      </c>
      <c r="AI31" s="31">
        <f>Ordinaria!AI31</f>
        <v>0</v>
      </c>
      <c r="AJ31" s="32">
        <f t="shared" si="75"/>
        <v>-1</v>
      </c>
      <c r="AK31" s="31">
        <f>Ordinaria!AK31</f>
        <v>0</v>
      </c>
      <c r="AL31" s="32">
        <f t="shared" si="76"/>
        <v>-1</v>
      </c>
      <c r="AM31" s="31">
        <f>Ordinaria!AM31</f>
        <v>0</v>
      </c>
      <c r="AN31" s="32">
        <f t="shared" si="77"/>
        <v>-1</v>
      </c>
      <c r="AO31" s="31">
        <f>Ordinaria!AO31</f>
        <v>0</v>
      </c>
      <c r="AP31" s="32">
        <f t="shared" si="78"/>
        <v>-1</v>
      </c>
      <c r="AQ31" s="31">
        <f>Ordinaria!AQ31</f>
        <v>0</v>
      </c>
      <c r="AR31" s="32">
        <f t="shared" si="79"/>
        <v>-1</v>
      </c>
      <c r="AS31" s="31">
        <f>Ordinaria!AS31</f>
        <v>0</v>
      </c>
      <c r="AT31" s="32">
        <f t="shared" si="80"/>
        <v>-1</v>
      </c>
      <c r="AU31" s="31">
        <f>Ordinaria!AU31</f>
        <v>0</v>
      </c>
      <c r="AV31" s="32">
        <f t="shared" si="81"/>
        <v>-1</v>
      </c>
      <c r="AW31" s="31">
        <f>Ordinaria!AW31</f>
        <v>0</v>
      </c>
      <c r="AX31" s="32">
        <f t="shared" si="82"/>
        <v>-1</v>
      </c>
      <c r="AY31" s="31">
        <f>Ordinaria!AY31</f>
        <v>0</v>
      </c>
      <c r="AZ31" s="32">
        <f t="shared" si="83"/>
        <v>-1</v>
      </c>
      <c r="BA31" s="31">
        <f>Ordinaria!BA31</f>
        <v>0</v>
      </c>
      <c r="BB31" s="32">
        <f t="shared" si="84"/>
        <v>-1</v>
      </c>
      <c r="BC31" s="31">
        <f>Ordinaria!BC31</f>
        <v>0</v>
      </c>
      <c r="BD31" s="32">
        <f t="shared" si="85"/>
        <v>-1</v>
      </c>
      <c r="BE31" s="31">
        <f>Ordinaria!BE31</f>
        <v>0</v>
      </c>
      <c r="BF31" s="32">
        <f t="shared" si="86"/>
        <v>-1</v>
      </c>
      <c r="BG31" s="31">
        <f>Ordinaria!BG31</f>
        <v>0</v>
      </c>
      <c r="BH31" s="32">
        <f t="shared" si="87"/>
        <v>-1</v>
      </c>
      <c r="BI31" s="31">
        <f>Ordinaria!BI31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Ordinaria!B32</f>
        <v>0</v>
      </c>
      <c r="C32" s="31">
        <f>Ordinaria!C32</f>
        <v>0</v>
      </c>
      <c r="D32" s="32">
        <f t="shared" si="59"/>
        <v>-1</v>
      </c>
      <c r="E32" s="31">
        <f>Ordinaria!E32</f>
        <v>0</v>
      </c>
      <c r="F32" s="32">
        <f t="shared" si="60"/>
        <v>-1</v>
      </c>
      <c r="G32" s="31">
        <f>Ordinaria!G32</f>
        <v>0</v>
      </c>
      <c r="H32" s="32">
        <f t="shared" si="61"/>
        <v>-1</v>
      </c>
      <c r="I32" s="31">
        <f>Ordinaria!I32</f>
        <v>0</v>
      </c>
      <c r="J32" s="32">
        <f t="shared" si="62"/>
        <v>-1</v>
      </c>
      <c r="K32" s="31">
        <f>Ordinaria!K32</f>
        <v>0</v>
      </c>
      <c r="L32" s="32">
        <f t="shared" si="63"/>
        <v>-1</v>
      </c>
      <c r="M32" s="31">
        <f>Ordinaria!M32</f>
        <v>0</v>
      </c>
      <c r="N32" s="32">
        <f t="shared" si="64"/>
        <v>-1</v>
      </c>
      <c r="O32" s="31">
        <f>Ordinaria!O32</f>
        <v>0</v>
      </c>
      <c r="P32" s="32">
        <f t="shared" si="65"/>
        <v>-1</v>
      </c>
      <c r="Q32" s="31">
        <f>Ordinaria!Q32</f>
        <v>0</v>
      </c>
      <c r="R32" s="32">
        <f t="shared" si="66"/>
        <v>-1</v>
      </c>
      <c r="S32" s="31">
        <f>Ordinaria!S32</f>
        <v>0</v>
      </c>
      <c r="T32" s="32">
        <f t="shared" si="67"/>
        <v>-1</v>
      </c>
      <c r="U32" s="31">
        <f>Ordinaria!U32</f>
        <v>0</v>
      </c>
      <c r="V32" s="32">
        <f t="shared" si="68"/>
        <v>-1</v>
      </c>
      <c r="W32" s="31">
        <f>Ordinaria!W32</f>
        <v>0</v>
      </c>
      <c r="X32" s="32">
        <f t="shared" si="69"/>
        <v>-1</v>
      </c>
      <c r="Y32" s="31">
        <f>Ordinaria!Y32</f>
        <v>0</v>
      </c>
      <c r="Z32" s="32">
        <f t="shared" si="70"/>
        <v>-1</v>
      </c>
      <c r="AA32" s="31">
        <f>Ordinaria!AA32</f>
        <v>0</v>
      </c>
      <c r="AB32" s="32">
        <f t="shared" si="71"/>
        <v>-1</v>
      </c>
      <c r="AC32" s="31">
        <f>Ordinaria!AC32</f>
        <v>0</v>
      </c>
      <c r="AD32" s="32">
        <f t="shared" si="72"/>
        <v>-1</v>
      </c>
      <c r="AE32" s="31">
        <f>Ordinaria!AE32</f>
        <v>0</v>
      </c>
      <c r="AF32" s="32">
        <f t="shared" si="73"/>
        <v>-1</v>
      </c>
      <c r="AG32" s="31">
        <f>Ordinaria!AG32</f>
        <v>0</v>
      </c>
      <c r="AH32" s="32">
        <f t="shared" si="74"/>
        <v>-1</v>
      </c>
      <c r="AI32" s="31">
        <f>Ordinaria!AI32</f>
        <v>0</v>
      </c>
      <c r="AJ32" s="32">
        <f t="shared" si="75"/>
        <v>-1</v>
      </c>
      <c r="AK32" s="31">
        <f>Ordinaria!AK32</f>
        <v>0</v>
      </c>
      <c r="AL32" s="32">
        <f t="shared" si="76"/>
        <v>-1</v>
      </c>
      <c r="AM32" s="31">
        <f>Ordinaria!AM32</f>
        <v>0</v>
      </c>
      <c r="AN32" s="32">
        <f t="shared" si="77"/>
        <v>-1</v>
      </c>
      <c r="AO32" s="31">
        <f>Ordinaria!AO32</f>
        <v>0</v>
      </c>
      <c r="AP32" s="32">
        <f t="shared" si="78"/>
        <v>-1</v>
      </c>
      <c r="AQ32" s="31">
        <f>Ordinaria!AQ32</f>
        <v>0</v>
      </c>
      <c r="AR32" s="32">
        <f t="shared" si="79"/>
        <v>-1</v>
      </c>
      <c r="AS32" s="31">
        <f>Ordinaria!AS32</f>
        <v>0</v>
      </c>
      <c r="AT32" s="32">
        <f t="shared" si="80"/>
        <v>-1</v>
      </c>
      <c r="AU32" s="31">
        <f>Ordinaria!AU32</f>
        <v>0</v>
      </c>
      <c r="AV32" s="32">
        <f t="shared" si="81"/>
        <v>-1</v>
      </c>
      <c r="AW32" s="31">
        <f>Ordinaria!AW32</f>
        <v>0</v>
      </c>
      <c r="AX32" s="32">
        <f t="shared" si="82"/>
        <v>-1</v>
      </c>
      <c r="AY32" s="31">
        <f>Ordinaria!AY32</f>
        <v>0</v>
      </c>
      <c r="AZ32" s="32">
        <f t="shared" si="83"/>
        <v>-1</v>
      </c>
      <c r="BA32" s="31">
        <f>Ordinaria!BA32</f>
        <v>0</v>
      </c>
      <c r="BB32" s="32">
        <f t="shared" si="84"/>
        <v>-1</v>
      </c>
      <c r="BC32" s="31">
        <f>Ordinaria!BC32</f>
        <v>0</v>
      </c>
      <c r="BD32" s="32">
        <f t="shared" si="85"/>
        <v>-1</v>
      </c>
      <c r="BE32" s="31">
        <f>Ordinaria!BE32</f>
        <v>0</v>
      </c>
      <c r="BF32" s="32">
        <f t="shared" si="86"/>
        <v>-1</v>
      </c>
      <c r="BG32" s="31">
        <f>Ordinaria!BG32</f>
        <v>0</v>
      </c>
      <c r="BH32" s="32">
        <f t="shared" si="87"/>
        <v>-1</v>
      </c>
      <c r="BI32" s="31">
        <f>Ordinaria!BI32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Ordinaria!B33</f>
        <v>0</v>
      </c>
      <c r="C33" s="31">
        <f>Ordinaria!C33</f>
        <v>0</v>
      </c>
      <c r="D33" s="32">
        <f t="shared" si="59"/>
        <v>-1</v>
      </c>
      <c r="E33" s="31">
        <f>Ordinaria!E33</f>
        <v>0</v>
      </c>
      <c r="F33" s="32">
        <f t="shared" si="60"/>
        <v>-1</v>
      </c>
      <c r="G33" s="31">
        <f>Ordinaria!G33</f>
        <v>0</v>
      </c>
      <c r="H33" s="32">
        <f t="shared" si="61"/>
        <v>-1</v>
      </c>
      <c r="I33" s="31">
        <f>Ordinaria!I33</f>
        <v>0</v>
      </c>
      <c r="J33" s="32">
        <f t="shared" si="62"/>
        <v>-1</v>
      </c>
      <c r="K33" s="31">
        <f>Ordinaria!K33</f>
        <v>0</v>
      </c>
      <c r="L33" s="32">
        <f t="shared" si="63"/>
        <v>-1</v>
      </c>
      <c r="M33" s="31">
        <f>Ordinaria!M33</f>
        <v>0</v>
      </c>
      <c r="N33" s="32">
        <f t="shared" si="64"/>
        <v>-1</v>
      </c>
      <c r="O33" s="31">
        <f>Ordinaria!O33</f>
        <v>0</v>
      </c>
      <c r="P33" s="32">
        <f t="shared" si="65"/>
        <v>-1</v>
      </c>
      <c r="Q33" s="31">
        <f>Ordinaria!Q33</f>
        <v>0</v>
      </c>
      <c r="R33" s="32">
        <f t="shared" si="66"/>
        <v>-1</v>
      </c>
      <c r="S33" s="31">
        <f>Ordinaria!S33</f>
        <v>0</v>
      </c>
      <c r="T33" s="32">
        <f t="shared" si="67"/>
        <v>-1</v>
      </c>
      <c r="U33" s="31">
        <f>Ordinaria!U33</f>
        <v>0</v>
      </c>
      <c r="V33" s="32">
        <f t="shared" si="68"/>
        <v>-1</v>
      </c>
      <c r="W33" s="31">
        <f>Ordinaria!W33</f>
        <v>0</v>
      </c>
      <c r="X33" s="32">
        <f t="shared" si="69"/>
        <v>-1</v>
      </c>
      <c r="Y33" s="31">
        <f>Ordinaria!Y33</f>
        <v>0</v>
      </c>
      <c r="Z33" s="32">
        <f t="shared" si="70"/>
        <v>-1</v>
      </c>
      <c r="AA33" s="31">
        <f>Ordinaria!AA33</f>
        <v>0</v>
      </c>
      <c r="AB33" s="32">
        <f t="shared" si="71"/>
        <v>-1</v>
      </c>
      <c r="AC33" s="31">
        <f>Ordinaria!AC33</f>
        <v>0</v>
      </c>
      <c r="AD33" s="32">
        <f t="shared" si="72"/>
        <v>-1</v>
      </c>
      <c r="AE33" s="31">
        <f>Ordinaria!AE33</f>
        <v>0</v>
      </c>
      <c r="AF33" s="32">
        <f t="shared" si="73"/>
        <v>-1</v>
      </c>
      <c r="AG33" s="31">
        <f>Ordinaria!AG33</f>
        <v>0</v>
      </c>
      <c r="AH33" s="32">
        <f t="shared" si="74"/>
        <v>-1</v>
      </c>
      <c r="AI33" s="31">
        <f>Ordinaria!AI33</f>
        <v>0</v>
      </c>
      <c r="AJ33" s="32">
        <f t="shared" si="75"/>
        <v>-1</v>
      </c>
      <c r="AK33" s="31">
        <f>Ordinaria!AK33</f>
        <v>0</v>
      </c>
      <c r="AL33" s="32">
        <f t="shared" si="76"/>
        <v>-1</v>
      </c>
      <c r="AM33" s="31">
        <f>Ordinaria!AM33</f>
        <v>0</v>
      </c>
      <c r="AN33" s="32">
        <f t="shared" si="77"/>
        <v>-1</v>
      </c>
      <c r="AO33" s="31">
        <f>Ordinaria!AO33</f>
        <v>0</v>
      </c>
      <c r="AP33" s="32">
        <f t="shared" si="78"/>
        <v>-1</v>
      </c>
      <c r="AQ33" s="31">
        <f>Ordinaria!AQ33</f>
        <v>0</v>
      </c>
      <c r="AR33" s="32">
        <f t="shared" si="79"/>
        <v>-1</v>
      </c>
      <c r="AS33" s="31">
        <f>Ordinaria!AS33</f>
        <v>0</v>
      </c>
      <c r="AT33" s="32">
        <f t="shared" si="80"/>
        <v>-1</v>
      </c>
      <c r="AU33" s="31">
        <f>Ordinaria!AU33</f>
        <v>0</v>
      </c>
      <c r="AV33" s="32">
        <f t="shared" si="81"/>
        <v>-1</v>
      </c>
      <c r="AW33" s="31">
        <f>Ordinaria!AW33</f>
        <v>0</v>
      </c>
      <c r="AX33" s="32">
        <f t="shared" si="82"/>
        <v>-1</v>
      </c>
      <c r="AY33" s="31">
        <f>Ordinaria!AY33</f>
        <v>0</v>
      </c>
      <c r="AZ33" s="32">
        <f t="shared" si="83"/>
        <v>-1</v>
      </c>
      <c r="BA33" s="31">
        <f>Ordinaria!BA33</f>
        <v>0</v>
      </c>
      <c r="BB33" s="32">
        <f t="shared" si="84"/>
        <v>-1</v>
      </c>
      <c r="BC33" s="31">
        <f>Ordinaria!BC33</f>
        <v>0</v>
      </c>
      <c r="BD33" s="32">
        <f t="shared" si="85"/>
        <v>-1</v>
      </c>
      <c r="BE33" s="31">
        <f>Ordinaria!BE33</f>
        <v>0</v>
      </c>
      <c r="BF33" s="32">
        <f t="shared" si="86"/>
        <v>-1</v>
      </c>
      <c r="BG33" s="31">
        <f>Ordinaria!BG33</f>
        <v>0</v>
      </c>
      <c r="BH33" s="32">
        <f t="shared" si="87"/>
        <v>-1</v>
      </c>
      <c r="BI33" s="31">
        <f>Ordinaria!BI33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Ordinaria!B34</f>
        <v>0</v>
      </c>
      <c r="C34" s="31">
        <f>Ordinaria!C34</f>
        <v>0</v>
      </c>
      <c r="D34" s="32">
        <f t="shared" si="59"/>
        <v>-1</v>
      </c>
      <c r="E34" s="31">
        <f>Ordinaria!E34</f>
        <v>0</v>
      </c>
      <c r="F34" s="32">
        <f t="shared" si="60"/>
        <v>-1</v>
      </c>
      <c r="G34" s="31">
        <f>Ordinaria!G34</f>
        <v>0</v>
      </c>
      <c r="H34" s="32">
        <f t="shared" si="61"/>
        <v>-1</v>
      </c>
      <c r="I34" s="31">
        <f>Ordinaria!I34</f>
        <v>0</v>
      </c>
      <c r="J34" s="32">
        <f t="shared" si="62"/>
        <v>-1</v>
      </c>
      <c r="K34" s="31">
        <f>Ordinaria!K34</f>
        <v>0</v>
      </c>
      <c r="L34" s="32">
        <f t="shared" si="63"/>
        <v>-1</v>
      </c>
      <c r="M34" s="31">
        <f>Ordinaria!M34</f>
        <v>0</v>
      </c>
      <c r="N34" s="32">
        <f t="shared" si="64"/>
        <v>-1</v>
      </c>
      <c r="O34" s="31">
        <f>Ordinaria!O34</f>
        <v>0</v>
      </c>
      <c r="P34" s="32">
        <f t="shared" si="65"/>
        <v>-1</v>
      </c>
      <c r="Q34" s="31">
        <f>Ordinaria!Q34</f>
        <v>0</v>
      </c>
      <c r="R34" s="32">
        <f t="shared" si="66"/>
        <v>-1</v>
      </c>
      <c r="S34" s="31">
        <f>Ordinaria!S34</f>
        <v>0</v>
      </c>
      <c r="T34" s="32">
        <f t="shared" si="67"/>
        <v>-1</v>
      </c>
      <c r="U34" s="31">
        <f>Ordinaria!U34</f>
        <v>0</v>
      </c>
      <c r="V34" s="32">
        <f t="shared" si="68"/>
        <v>-1</v>
      </c>
      <c r="W34" s="31">
        <f>Ordinaria!W34</f>
        <v>0</v>
      </c>
      <c r="X34" s="32">
        <f t="shared" si="69"/>
        <v>-1</v>
      </c>
      <c r="Y34" s="31">
        <f>Ordinaria!Y34</f>
        <v>0</v>
      </c>
      <c r="Z34" s="32">
        <f t="shared" si="70"/>
        <v>-1</v>
      </c>
      <c r="AA34" s="31">
        <f>Ordinaria!AA34</f>
        <v>0</v>
      </c>
      <c r="AB34" s="32">
        <f t="shared" si="71"/>
        <v>-1</v>
      </c>
      <c r="AC34" s="31">
        <f>Ordinaria!AC34</f>
        <v>0</v>
      </c>
      <c r="AD34" s="32">
        <f t="shared" si="72"/>
        <v>-1</v>
      </c>
      <c r="AE34" s="31">
        <f>Ordinaria!AE34</f>
        <v>0</v>
      </c>
      <c r="AF34" s="32">
        <f t="shared" si="73"/>
        <v>-1</v>
      </c>
      <c r="AG34" s="31">
        <f>Ordinaria!AG34</f>
        <v>0</v>
      </c>
      <c r="AH34" s="32">
        <f t="shared" si="74"/>
        <v>-1</v>
      </c>
      <c r="AI34" s="31">
        <f>Ordinaria!AI34</f>
        <v>0</v>
      </c>
      <c r="AJ34" s="32">
        <f t="shared" si="75"/>
        <v>-1</v>
      </c>
      <c r="AK34" s="31">
        <f>Ordinaria!AK34</f>
        <v>0</v>
      </c>
      <c r="AL34" s="32">
        <f t="shared" si="76"/>
        <v>-1</v>
      </c>
      <c r="AM34" s="31">
        <f>Ordinaria!AM34</f>
        <v>0</v>
      </c>
      <c r="AN34" s="32">
        <f t="shared" si="77"/>
        <v>-1</v>
      </c>
      <c r="AO34" s="31">
        <f>Ordinaria!AO34</f>
        <v>0</v>
      </c>
      <c r="AP34" s="32">
        <f t="shared" si="78"/>
        <v>-1</v>
      </c>
      <c r="AQ34" s="31">
        <f>Ordinaria!AQ34</f>
        <v>0</v>
      </c>
      <c r="AR34" s="32">
        <f t="shared" si="79"/>
        <v>-1</v>
      </c>
      <c r="AS34" s="31">
        <f>Ordinaria!AS34</f>
        <v>0</v>
      </c>
      <c r="AT34" s="32">
        <f t="shared" si="80"/>
        <v>-1</v>
      </c>
      <c r="AU34" s="31">
        <f>Ordinaria!AU34</f>
        <v>0</v>
      </c>
      <c r="AV34" s="32">
        <f t="shared" si="81"/>
        <v>-1</v>
      </c>
      <c r="AW34" s="31">
        <f>Ordinaria!AW34</f>
        <v>0</v>
      </c>
      <c r="AX34" s="32">
        <f t="shared" si="82"/>
        <v>-1</v>
      </c>
      <c r="AY34" s="31">
        <f>Ordinaria!AY34</f>
        <v>0</v>
      </c>
      <c r="AZ34" s="32">
        <f t="shared" si="83"/>
        <v>-1</v>
      </c>
      <c r="BA34" s="31">
        <f>Ordinaria!BA34</f>
        <v>0</v>
      </c>
      <c r="BB34" s="32">
        <f t="shared" si="84"/>
        <v>-1</v>
      </c>
      <c r="BC34" s="31">
        <f>Ordinaria!BC34</f>
        <v>0</v>
      </c>
      <c r="BD34" s="32">
        <f t="shared" si="85"/>
        <v>-1</v>
      </c>
      <c r="BE34" s="31">
        <f>Ordinaria!BE34</f>
        <v>0</v>
      </c>
      <c r="BF34" s="32">
        <f t="shared" si="86"/>
        <v>-1</v>
      </c>
      <c r="BG34" s="31">
        <f>Ordinaria!BG34</f>
        <v>0</v>
      </c>
      <c r="BH34" s="32">
        <f t="shared" si="87"/>
        <v>-1</v>
      </c>
      <c r="BI34" s="31">
        <f>Ordinaria!BI34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Ordinaria!B35</f>
        <v>0</v>
      </c>
      <c r="C35" s="31">
        <f>Ordinaria!C35</f>
        <v>0</v>
      </c>
      <c r="D35" s="32">
        <f t="shared" si="59"/>
        <v>-1</v>
      </c>
      <c r="E35" s="31">
        <f>Ordinaria!E35</f>
        <v>0</v>
      </c>
      <c r="F35" s="32">
        <f t="shared" si="60"/>
        <v>-1</v>
      </c>
      <c r="G35" s="31">
        <f>Ordinaria!G35</f>
        <v>0</v>
      </c>
      <c r="H35" s="32">
        <f t="shared" si="61"/>
        <v>-1</v>
      </c>
      <c r="I35" s="31">
        <f>Ordinaria!I35</f>
        <v>0</v>
      </c>
      <c r="J35" s="32">
        <f t="shared" si="62"/>
        <v>-1</v>
      </c>
      <c r="K35" s="31">
        <f>Ordinaria!K35</f>
        <v>0</v>
      </c>
      <c r="L35" s="32">
        <f t="shared" si="63"/>
        <v>-1</v>
      </c>
      <c r="M35" s="31">
        <f>Ordinaria!M35</f>
        <v>0</v>
      </c>
      <c r="N35" s="32">
        <f t="shared" si="64"/>
        <v>-1</v>
      </c>
      <c r="O35" s="31">
        <f>Ordinaria!O35</f>
        <v>0</v>
      </c>
      <c r="P35" s="32">
        <f t="shared" si="65"/>
        <v>-1</v>
      </c>
      <c r="Q35" s="31">
        <f>Ordinaria!Q35</f>
        <v>0</v>
      </c>
      <c r="R35" s="32">
        <f t="shared" si="66"/>
        <v>-1</v>
      </c>
      <c r="S35" s="31">
        <f>Ordinaria!S35</f>
        <v>0</v>
      </c>
      <c r="T35" s="32">
        <f t="shared" si="67"/>
        <v>-1</v>
      </c>
      <c r="U35" s="31">
        <f>Ordinaria!U35</f>
        <v>0</v>
      </c>
      <c r="V35" s="32">
        <f t="shared" si="68"/>
        <v>-1</v>
      </c>
      <c r="W35" s="31">
        <f>Ordinaria!W35</f>
        <v>0</v>
      </c>
      <c r="X35" s="32">
        <f t="shared" si="69"/>
        <v>-1</v>
      </c>
      <c r="Y35" s="31">
        <f>Ordinaria!Y35</f>
        <v>0</v>
      </c>
      <c r="Z35" s="32">
        <f t="shared" si="70"/>
        <v>-1</v>
      </c>
      <c r="AA35" s="31">
        <f>Ordinaria!AA35</f>
        <v>0</v>
      </c>
      <c r="AB35" s="32">
        <f t="shared" si="71"/>
        <v>-1</v>
      </c>
      <c r="AC35" s="31">
        <f>Ordinaria!AC35</f>
        <v>0</v>
      </c>
      <c r="AD35" s="32">
        <f t="shared" si="72"/>
        <v>-1</v>
      </c>
      <c r="AE35" s="31">
        <f>Ordinaria!AE35</f>
        <v>0</v>
      </c>
      <c r="AF35" s="32">
        <f t="shared" si="73"/>
        <v>-1</v>
      </c>
      <c r="AG35" s="31">
        <f>Ordinaria!AG35</f>
        <v>0</v>
      </c>
      <c r="AH35" s="32">
        <f t="shared" si="74"/>
        <v>-1</v>
      </c>
      <c r="AI35" s="31">
        <f>Ordinaria!AI35</f>
        <v>0</v>
      </c>
      <c r="AJ35" s="32">
        <f t="shared" si="75"/>
        <v>-1</v>
      </c>
      <c r="AK35" s="31">
        <f>Ordinaria!AK35</f>
        <v>0</v>
      </c>
      <c r="AL35" s="32">
        <f t="shared" si="76"/>
        <v>-1</v>
      </c>
      <c r="AM35" s="31">
        <f>Ordinaria!AM35</f>
        <v>0</v>
      </c>
      <c r="AN35" s="32">
        <f t="shared" si="77"/>
        <v>-1</v>
      </c>
      <c r="AO35" s="31">
        <f>Ordinaria!AO35</f>
        <v>0</v>
      </c>
      <c r="AP35" s="32">
        <f t="shared" si="78"/>
        <v>-1</v>
      </c>
      <c r="AQ35" s="31">
        <f>Ordinaria!AQ35</f>
        <v>0</v>
      </c>
      <c r="AR35" s="32">
        <f t="shared" si="79"/>
        <v>-1</v>
      </c>
      <c r="AS35" s="31">
        <f>Ordinaria!AS35</f>
        <v>0</v>
      </c>
      <c r="AT35" s="32">
        <f t="shared" si="80"/>
        <v>-1</v>
      </c>
      <c r="AU35" s="31">
        <f>Ordinaria!AU35</f>
        <v>0</v>
      </c>
      <c r="AV35" s="32">
        <f t="shared" si="81"/>
        <v>-1</v>
      </c>
      <c r="AW35" s="31">
        <f>Ordinaria!AW35</f>
        <v>0</v>
      </c>
      <c r="AX35" s="32">
        <f t="shared" si="82"/>
        <v>-1</v>
      </c>
      <c r="AY35" s="31">
        <f>Ordinaria!AY35</f>
        <v>0</v>
      </c>
      <c r="AZ35" s="32">
        <f t="shared" si="83"/>
        <v>-1</v>
      </c>
      <c r="BA35" s="31">
        <f>Ordinaria!BA35</f>
        <v>0</v>
      </c>
      <c r="BB35" s="32">
        <f t="shared" si="84"/>
        <v>-1</v>
      </c>
      <c r="BC35" s="31">
        <f>Ordinaria!BC35</f>
        <v>0</v>
      </c>
      <c r="BD35" s="32">
        <f t="shared" si="85"/>
        <v>-1</v>
      </c>
      <c r="BE35" s="31">
        <f>Ordinaria!BE35</f>
        <v>0</v>
      </c>
      <c r="BF35" s="32">
        <f t="shared" si="86"/>
        <v>-1</v>
      </c>
      <c r="BG35" s="31">
        <f>Ordinaria!BG35</f>
        <v>0</v>
      </c>
      <c r="BH35" s="32">
        <f t="shared" si="87"/>
        <v>-1</v>
      </c>
      <c r="BI35" s="31">
        <f>Ordinaria!BI35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Ordinaria!B36</f>
        <v>0</v>
      </c>
      <c r="C36" s="31">
        <f>Ordinaria!C36</f>
        <v>0</v>
      </c>
      <c r="D36" s="32">
        <f t="shared" si="59"/>
        <v>-1</v>
      </c>
      <c r="E36" s="31">
        <f>Ordinaria!E36</f>
        <v>0</v>
      </c>
      <c r="F36" s="32">
        <f t="shared" si="60"/>
        <v>-1</v>
      </c>
      <c r="G36" s="31">
        <f>Ordinaria!G36</f>
        <v>0</v>
      </c>
      <c r="H36" s="32">
        <f t="shared" si="61"/>
        <v>-1</v>
      </c>
      <c r="I36" s="31">
        <f>Ordinaria!I36</f>
        <v>0</v>
      </c>
      <c r="J36" s="32">
        <f t="shared" si="62"/>
        <v>-1</v>
      </c>
      <c r="K36" s="31">
        <f>Ordinaria!K36</f>
        <v>0</v>
      </c>
      <c r="L36" s="32">
        <f t="shared" si="63"/>
        <v>-1</v>
      </c>
      <c r="M36" s="31">
        <f>Ordinaria!M36</f>
        <v>0</v>
      </c>
      <c r="N36" s="32">
        <f t="shared" si="64"/>
        <v>-1</v>
      </c>
      <c r="O36" s="31">
        <f>Ordinaria!O36</f>
        <v>0</v>
      </c>
      <c r="P36" s="32">
        <f t="shared" si="65"/>
        <v>-1</v>
      </c>
      <c r="Q36" s="31">
        <f>Ordinaria!Q36</f>
        <v>0</v>
      </c>
      <c r="R36" s="32">
        <f t="shared" si="66"/>
        <v>-1</v>
      </c>
      <c r="S36" s="31">
        <f>Ordinaria!S36</f>
        <v>0</v>
      </c>
      <c r="T36" s="32">
        <f t="shared" si="67"/>
        <v>-1</v>
      </c>
      <c r="U36" s="31">
        <f>Ordinaria!U36</f>
        <v>0</v>
      </c>
      <c r="V36" s="32">
        <f t="shared" si="68"/>
        <v>-1</v>
      </c>
      <c r="W36" s="31">
        <f>Ordinaria!W36</f>
        <v>0</v>
      </c>
      <c r="X36" s="32">
        <f t="shared" si="69"/>
        <v>-1</v>
      </c>
      <c r="Y36" s="31">
        <f>Ordinaria!Y36</f>
        <v>0</v>
      </c>
      <c r="Z36" s="32">
        <f t="shared" si="70"/>
        <v>-1</v>
      </c>
      <c r="AA36" s="31">
        <f>Ordinaria!AA36</f>
        <v>0</v>
      </c>
      <c r="AB36" s="32">
        <f t="shared" si="71"/>
        <v>-1</v>
      </c>
      <c r="AC36" s="31">
        <f>Ordinaria!AC36</f>
        <v>0</v>
      </c>
      <c r="AD36" s="32">
        <f t="shared" si="72"/>
        <v>-1</v>
      </c>
      <c r="AE36" s="31">
        <f>Ordinaria!AE36</f>
        <v>0</v>
      </c>
      <c r="AF36" s="32">
        <f t="shared" si="73"/>
        <v>-1</v>
      </c>
      <c r="AG36" s="31">
        <f>Ordinaria!AG36</f>
        <v>0</v>
      </c>
      <c r="AH36" s="32">
        <f t="shared" si="74"/>
        <v>-1</v>
      </c>
      <c r="AI36" s="31">
        <f>Ordinaria!AI36</f>
        <v>0</v>
      </c>
      <c r="AJ36" s="32">
        <f t="shared" si="75"/>
        <v>-1</v>
      </c>
      <c r="AK36" s="31">
        <f>Ordinaria!AK36</f>
        <v>0</v>
      </c>
      <c r="AL36" s="32">
        <f t="shared" si="76"/>
        <v>-1</v>
      </c>
      <c r="AM36" s="31">
        <f>Ordinaria!AM36</f>
        <v>0</v>
      </c>
      <c r="AN36" s="32">
        <f t="shared" si="77"/>
        <v>-1</v>
      </c>
      <c r="AO36" s="31">
        <f>Ordinaria!AO36</f>
        <v>0</v>
      </c>
      <c r="AP36" s="32">
        <f t="shared" si="78"/>
        <v>-1</v>
      </c>
      <c r="AQ36" s="31">
        <f>Ordinaria!AQ36</f>
        <v>0</v>
      </c>
      <c r="AR36" s="32">
        <f t="shared" si="79"/>
        <v>-1</v>
      </c>
      <c r="AS36" s="31">
        <f>Ordinaria!AS36</f>
        <v>0</v>
      </c>
      <c r="AT36" s="32">
        <f t="shared" si="80"/>
        <v>-1</v>
      </c>
      <c r="AU36" s="31">
        <f>Ordinaria!AU36</f>
        <v>0</v>
      </c>
      <c r="AV36" s="32">
        <f t="shared" si="81"/>
        <v>-1</v>
      </c>
      <c r="AW36" s="31">
        <f>Ordinaria!AW36</f>
        <v>0</v>
      </c>
      <c r="AX36" s="32">
        <f t="shared" si="82"/>
        <v>-1</v>
      </c>
      <c r="AY36" s="31">
        <f>Ordinaria!AY36</f>
        <v>0</v>
      </c>
      <c r="AZ36" s="32">
        <f t="shared" si="83"/>
        <v>-1</v>
      </c>
      <c r="BA36" s="31">
        <f>Ordinaria!BA36</f>
        <v>0</v>
      </c>
      <c r="BB36" s="32">
        <f t="shared" si="84"/>
        <v>-1</v>
      </c>
      <c r="BC36" s="31">
        <f>Ordinaria!BC36</f>
        <v>0</v>
      </c>
      <c r="BD36" s="32">
        <f t="shared" si="85"/>
        <v>-1</v>
      </c>
      <c r="BE36" s="31">
        <f>Ordinaria!BE36</f>
        <v>0</v>
      </c>
      <c r="BF36" s="32">
        <f t="shared" si="86"/>
        <v>-1</v>
      </c>
      <c r="BG36" s="31">
        <f>Ordinaria!BG36</f>
        <v>0</v>
      </c>
      <c r="BH36" s="32">
        <f t="shared" si="87"/>
        <v>-1</v>
      </c>
      <c r="BI36" s="31">
        <f>Ordinaria!BI36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Ordinaria!B37</f>
        <v>0</v>
      </c>
      <c r="C37" s="31">
        <f>Ordinaria!C37</f>
        <v>0</v>
      </c>
      <c r="D37" s="32">
        <f t="shared" si="59"/>
        <v>-1</v>
      </c>
      <c r="E37" s="31">
        <f>Ordinaria!E37</f>
        <v>0</v>
      </c>
      <c r="F37" s="32">
        <f t="shared" si="60"/>
        <v>-1</v>
      </c>
      <c r="G37" s="31">
        <f>Ordinaria!G37</f>
        <v>0</v>
      </c>
      <c r="H37" s="32">
        <f t="shared" si="61"/>
        <v>-1</v>
      </c>
      <c r="I37" s="31">
        <f>Ordinaria!I37</f>
        <v>0</v>
      </c>
      <c r="J37" s="32">
        <f t="shared" si="62"/>
        <v>-1</v>
      </c>
      <c r="K37" s="31">
        <f>Ordinaria!K37</f>
        <v>0</v>
      </c>
      <c r="L37" s="32">
        <f t="shared" si="63"/>
        <v>-1</v>
      </c>
      <c r="M37" s="31">
        <f>Ordinaria!M37</f>
        <v>0</v>
      </c>
      <c r="N37" s="32">
        <f t="shared" si="64"/>
        <v>-1</v>
      </c>
      <c r="O37" s="31">
        <f>Ordinaria!O37</f>
        <v>0</v>
      </c>
      <c r="P37" s="32">
        <f t="shared" si="65"/>
        <v>-1</v>
      </c>
      <c r="Q37" s="31">
        <f>Ordinaria!Q37</f>
        <v>0</v>
      </c>
      <c r="R37" s="32">
        <f t="shared" si="66"/>
        <v>-1</v>
      </c>
      <c r="S37" s="31">
        <f>Ordinaria!S37</f>
        <v>0</v>
      </c>
      <c r="T37" s="32">
        <f t="shared" si="67"/>
        <v>-1</v>
      </c>
      <c r="U37" s="31">
        <f>Ordinaria!U37</f>
        <v>0</v>
      </c>
      <c r="V37" s="32">
        <f t="shared" si="68"/>
        <v>-1</v>
      </c>
      <c r="W37" s="31">
        <f>Ordinaria!W37</f>
        <v>0</v>
      </c>
      <c r="X37" s="32">
        <f t="shared" si="69"/>
        <v>-1</v>
      </c>
      <c r="Y37" s="31">
        <f>Ordinaria!Y37</f>
        <v>0</v>
      </c>
      <c r="Z37" s="32">
        <f t="shared" si="70"/>
        <v>-1</v>
      </c>
      <c r="AA37" s="31">
        <f>Ordinaria!AA37</f>
        <v>0</v>
      </c>
      <c r="AB37" s="32">
        <f t="shared" si="71"/>
        <v>-1</v>
      </c>
      <c r="AC37" s="31">
        <f>Ordinaria!AC37</f>
        <v>0</v>
      </c>
      <c r="AD37" s="32">
        <f t="shared" si="72"/>
        <v>-1</v>
      </c>
      <c r="AE37" s="31">
        <f>Ordinaria!AE37</f>
        <v>0</v>
      </c>
      <c r="AF37" s="32">
        <f t="shared" si="73"/>
        <v>-1</v>
      </c>
      <c r="AG37" s="31">
        <f>Ordinaria!AG37</f>
        <v>0</v>
      </c>
      <c r="AH37" s="32">
        <f t="shared" si="74"/>
        <v>-1</v>
      </c>
      <c r="AI37" s="31">
        <f>Ordinaria!AI37</f>
        <v>0</v>
      </c>
      <c r="AJ37" s="32">
        <f t="shared" si="75"/>
        <v>-1</v>
      </c>
      <c r="AK37" s="31">
        <f>Ordinaria!AK37</f>
        <v>0</v>
      </c>
      <c r="AL37" s="32">
        <f t="shared" si="76"/>
        <v>-1</v>
      </c>
      <c r="AM37" s="31">
        <f>Ordinaria!AM37</f>
        <v>0</v>
      </c>
      <c r="AN37" s="32">
        <f t="shared" si="77"/>
        <v>-1</v>
      </c>
      <c r="AO37" s="31">
        <f>Ordinaria!AO37</f>
        <v>0</v>
      </c>
      <c r="AP37" s="32">
        <f t="shared" si="78"/>
        <v>-1</v>
      </c>
      <c r="AQ37" s="31">
        <f>Ordinaria!AQ37</f>
        <v>0</v>
      </c>
      <c r="AR37" s="32">
        <f t="shared" si="79"/>
        <v>-1</v>
      </c>
      <c r="AS37" s="31">
        <f>Ordinaria!AS37</f>
        <v>0</v>
      </c>
      <c r="AT37" s="32">
        <f t="shared" si="80"/>
        <v>-1</v>
      </c>
      <c r="AU37" s="31">
        <f>Ordinaria!AU37</f>
        <v>0</v>
      </c>
      <c r="AV37" s="32">
        <f t="shared" si="81"/>
        <v>-1</v>
      </c>
      <c r="AW37" s="31">
        <f>Ordinaria!AW37</f>
        <v>0</v>
      </c>
      <c r="AX37" s="32">
        <f t="shared" si="82"/>
        <v>-1</v>
      </c>
      <c r="AY37" s="31">
        <f>Ordinaria!AY37</f>
        <v>0</v>
      </c>
      <c r="AZ37" s="32">
        <f t="shared" si="83"/>
        <v>-1</v>
      </c>
      <c r="BA37" s="31">
        <f>Ordinaria!BA37</f>
        <v>0</v>
      </c>
      <c r="BB37" s="32">
        <f t="shared" si="84"/>
        <v>-1</v>
      </c>
      <c r="BC37" s="31">
        <f>Ordinaria!BC37</f>
        <v>0</v>
      </c>
      <c r="BD37" s="32">
        <f t="shared" si="85"/>
        <v>-1</v>
      </c>
      <c r="BE37" s="31">
        <f>Ordinaria!BE37</f>
        <v>0</v>
      </c>
      <c r="BF37" s="32">
        <f t="shared" si="86"/>
        <v>-1</v>
      </c>
      <c r="BG37" s="31">
        <f>Ordinaria!BG37</f>
        <v>0</v>
      </c>
      <c r="BH37" s="32">
        <f t="shared" si="87"/>
        <v>-1</v>
      </c>
      <c r="BI37" s="31">
        <f>Ordinaria!BI37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2" t="str">
        <f>IF(SUM($B39:$B58)&lt;&gt;0,SUM(C39:C58)/SUM($B39:$B58)*$B38*10, "")</f>
        <v/>
      </c>
      <c r="D38" s="52"/>
      <c r="E38" s="52" t="str">
        <f>IF(SUM($B39:$B58)&lt;&gt;0,SUM(E39:E58)/SUM($B39:$B58)*$B38*10, "")</f>
        <v/>
      </c>
      <c r="F38" s="52"/>
      <c r="G38" s="52" t="str">
        <f>IF(SUM($B39:$B58)&lt;&gt;0,SUM(G39:G58)/SUM($B39:$B58)*$B38*10, "")</f>
        <v/>
      </c>
      <c r="H38" s="52"/>
      <c r="I38" s="52" t="str">
        <f>IF(SUM($B39:$B58)&lt;&gt;0,SUM(I39:I58)/SUM($B39:$B58)*$B38*10, "")</f>
        <v/>
      </c>
      <c r="J38" s="52"/>
      <c r="K38" s="52" t="str">
        <f>IF(SUM($B39:$B58)&lt;&gt;0,SUM(K39:K58)/SUM($B39:$B58)*$B38*10, "")</f>
        <v/>
      </c>
      <c r="L38" s="52"/>
      <c r="M38" s="52" t="str">
        <f>IF(SUM($B39:$B58)&lt;&gt;0,SUM(M39:M58)/SUM($B39:$B58)*$B38*10, "")</f>
        <v/>
      </c>
      <c r="N38" s="52"/>
      <c r="O38" s="52" t="str">
        <f>IF(SUM($B39:$B58)&lt;&gt;0,SUM(O39:O58)/SUM($B39:$B58)*$B38*10, "")</f>
        <v/>
      </c>
      <c r="P38" s="52"/>
      <c r="Q38" s="52" t="str">
        <f>IF(SUM($B39:$B58)&lt;&gt;0,SUM(Q39:Q58)/SUM($B39:$B58)*$B38*10, "")</f>
        <v/>
      </c>
      <c r="R38" s="52"/>
      <c r="S38" s="52" t="str">
        <f>IF(SUM($B39:$B58)&lt;&gt;0,SUM(S39:S58)/SUM($B39:$B58)*$B38*10, "")</f>
        <v/>
      </c>
      <c r="T38" s="52"/>
      <c r="U38" s="52" t="str">
        <f>IF(SUM($B39:$B58)&lt;&gt;0,SUM(U39:U58)/SUM($B39:$B58)*$B38*10, "")</f>
        <v/>
      </c>
      <c r="V38" s="52"/>
      <c r="W38" s="52" t="str">
        <f>IF(SUM($B39:$B58)&lt;&gt;0,SUM(W39:W58)/SUM($B39:$B58)*$B38*10, "")</f>
        <v/>
      </c>
      <c r="X38" s="52"/>
      <c r="Y38" s="52" t="str">
        <f>IF(SUM($B39:$B58)&lt;&gt;0,SUM(Y39:Y58)/SUM($B39:$B58)*$B38*10, "")</f>
        <v/>
      </c>
      <c r="Z38" s="52"/>
      <c r="AA38" s="52" t="str">
        <f>IF(SUM($B39:$B58)&lt;&gt;0,SUM(AA39:AA58)/SUM($B39:$B58)*$B38*10, "")</f>
        <v/>
      </c>
      <c r="AB38" s="52"/>
      <c r="AC38" s="52" t="str">
        <f>IF(SUM($B39:$B58)&lt;&gt;0,SUM(AC39:AC58)/SUM($B39:$B58)*$B38*10, "")</f>
        <v/>
      </c>
      <c r="AD38" s="52"/>
      <c r="AE38" s="52" t="str">
        <f>IF(SUM($B39:$B58)&lt;&gt;0,SUM(AE39:AE58)/SUM($B39:$B58)*$B38*10, "")</f>
        <v/>
      </c>
      <c r="AF38" s="52"/>
      <c r="AG38" s="52" t="str">
        <f>IF(SUM($B39:$B58)&lt;&gt;0,SUM(AG39:AG58)/SUM($B39:$B58)*$B38*10, "")</f>
        <v/>
      </c>
      <c r="AH38" s="52"/>
      <c r="AI38" s="52" t="str">
        <f>IF(SUM($B39:$B58)&lt;&gt;0,SUM(AI39:AI58)/SUM($B39:$B58)*$B38*10, "")</f>
        <v/>
      </c>
      <c r="AJ38" s="52"/>
      <c r="AK38" s="52" t="str">
        <f>IF(SUM($B39:$B58)&lt;&gt;0,SUM(AK39:AK58)/SUM($B39:$B58)*$B38*10, "")</f>
        <v/>
      </c>
      <c r="AL38" s="52"/>
      <c r="AM38" s="52" t="str">
        <f>IF(SUM($B39:$B58)&lt;&gt;0,SUM(AM39:AM58)/SUM($B39:$B58)*$B38*10, "")</f>
        <v/>
      </c>
      <c r="AN38" s="52"/>
      <c r="AO38" s="52" t="str">
        <f>IF(SUM($B39:$B58)&lt;&gt;0,SUM(AO39:AO58)/SUM($B39:$B58)*$B38*10, "")</f>
        <v/>
      </c>
      <c r="AP38" s="52"/>
      <c r="AQ38" s="52" t="str">
        <f>IF(SUM($B39:$B58)&lt;&gt;0,SUM(AQ39:AQ58)/SUM($B39:$B58)*$B38*10, "")</f>
        <v/>
      </c>
      <c r="AR38" s="52"/>
      <c r="AS38" s="52" t="str">
        <f>IF(SUM($B39:$B58)&lt;&gt;0,SUM(AS39:AS58)/SUM($B39:$B58)*$B38*10, "")</f>
        <v/>
      </c>
      <c r="AT38" s="52"/>
      <c r="AU38" s="52" t="str">
        <f>IF(SUM($B39:$B58)&lt;&gt;0,SUM(AU39:AU58)/SUM($B39:$B58)*$B38*10, "")</f>
        <v/>
      </c>
      <c r="AV38" s="52"/>
      <c r="AW38" s="52" t="str">
        <f>IF(SUM($B39:$B58)&lt;&gt;0,SUM(AW39:AW58)/SUM($B39:$B58)*$B38*10, "")</f>
        <v/>
      </c>
      <c r="AX38" s="52"/>
      <c r="AY38" s="52" t="str">
        <f>IF(SUM($B39:$B58)&lt;&gt;0,SUM(AY39:AY58)/SUM($B39:$B58)*$B38*10, "")</f>
        <v/>
      </c>
      <c r="AZ38" s="52"/>
      <c r="BA38" s="52" t="str">
        <f>IF(SUM($B39:$B58)&lt;&gt;0,SUM(BA39:BA58)/SUM($B39:$B58)*$B38*10, "")</f>
        <v/>
      </c>
      <c r="BB38" s="52"/>
      <c r="BC38" s="52" t="str">
        <f>IF(SUM($B39:$B58)&lt;&gt;0,SUM(BC39:BC58)/SUM($B39:$B58)*$B38*10, "")</f>
        <v/>
      </c>
      <c r="BD38" s="52"/>
      <c r="BE38" s="52" t="str">
        <f>IF(SUM($B39:$B58)&lt;&gt;0,SUM(BE39:BE58)/SUM($B39:$B58)*$B38*10, "")</f>
        <v/>
      </c>
      <c r="BF38" s="52"/>
      <c r="BG38" s="52" t="str">
        <f>IF(SUM($B39:$B58)&lt;&gt;0,SUM(BG39:BG58)/SUM($B39:$B58)*$B38*10, "")</f>
        <v/>
      </c>
      <c r="BH38" s="52"/>
      <c r="BI38" s="52" t="str">
        <f>IF(SUM($B39:$B58)&lt;&gt;0,SUM(BI39:BI58)/SUM($B39:$B58)*$B38*10, "")</f>
        <v/>
      </c>
      <c r="BJ38" s="52"/>
    </row>
    <row r="39" spans="1:62" ht="28" x14ac:dyDescent="0.2">
      <c r="A39" s="2" t="s">
        <v>39</v>
      </c>
      <c r="B39" s="13">
        <f>Ordinaria!B39</f>
        <v>0</v>
      </c>
      <c r="C39" s="31">
        <f>Ordinaria!C39</f>
        <v>0</v>
      </c>
      <c r="D39" s="32">
        <f t="shared" ref="D39:D58" si="89">IF($B39,C39/$B39,-1)</f>
        <v>-1</v>
      </c>
      <c r="E39" s="31">
        <f>Ordinaria!E39</f>
        <v>0</v>
      </c>
      <c r="F39" s="32">
        <f t="shared" ref="F39:F58" si="90">IF($B39,E39/$B39,-1)</f>
        <v>-1</v>
      </c>
      <c r="G39" s="31">
        <f>Ordinaria!G39</f>
        <v>0</v>
      </c>
      <c r="H39" s="32">
        <f t="shared" ref="H39:H58" si="91">IF($B39,G39/$B39,-1)</f>
        <v>-1</v>
      </c>
      <c r="I39" s="31">
        <f>Ordinaria!I39</f>
        <v>0</v>
      </c>
      <c r="J39" s="32">
        <f t="shared" ref="J39:J58" si="92">IF($B39,I39/$B39,-1)</f>
        <v>-1</v>
      </c>
      <c r="K39" s="31">
        <f>Ordinaria!K39</f>
        <v>0</v>
      </c>
      <c r="L39" s="32">
        <f t="shared" ref="L39:L58" si="93">IF($B39,K39/$B39,-1)</f>
        <v>-1</v>
      </c>
      <c r="M39" s="31">
        <f>Ordinaria!M39</f>
        <v>0</v>
      </c>
      <c r="N39" s="32">
        <f t="shared" ref="N39:N58" si="94">IF($B39,M39/$B39,-1)</f>
        <v>-1</v>
      </c>
      <c r="O39" s="31">
        <f>Ordinaria!O39</f>
        <v>0</v>
      </c>
      <c r="P39" s="32">
        <f t="shared" ref="P39:P58" si="95">IF($B39,O39/$B39,-1)</f>
        <v>-1</v>
      </c>
      <c r="Q39" s="31">
        <f>Ordinaria!Q39</f>
        <v>0</v>
      </c>
      <c r="R39" s="32">
        <f t="shared" ref="R39:R58" si="96">IF($B39,Q39/$B39,-1)</f>
        <v>-1</v>
      </c>
      <c r="S39" s="31">
        <f>Ordinaria!S39</f>
        <v>0</v>
      </c>
      <c r="T39" s="32">
        <f t="shared" ref="T39:T58" si="97">IF($B39,S39/$B39,-1)</f>
        <v>-1</v>
      </c>
      <c r="U39" s="31">
        <f>Ordinaria!U39</f>
        <v>0</v>
      </c>
      <c r="V39" s="32">
        <f t="shared" ref="V39:V58" si="98">IF($B39,U39/$B39,-1)</f>
        <v>-1</v>
      </c>
      <c r="W39" s="31">
        <f>Ordinaria!W39</f>
        <v>0</v>
      </c>
      <c r="X39" s="32">
        <f t="shared" ref="X39:X58" si="99">IF($B39,W39/$B39,-1)</f>
        <v>-1</v>
      </c>
      <c r="Y39" s="31">
        <f>Ordinaria!Y39</f>
        <v>0</v>
      </c>
      <c r="Z39" s="32">
        <f t="shared" ref="Z39:Z58" si="100">IF($B39,Y39/$B39,-1)</f>
        <v>-1</v>
      </c>
      <c r="AA39" s="31">
        <f>Ordinaria!AA39</f>
        <v>0</v>
      </c>
      <c r="AB39" s="32">
        <f t="shared" ref="AB39:AB58" si="101">IF($B39,AA39/$B39,-1)</f>
        <v>-1</v>
      </c>
      <c r="AC39" s="31">
        <f>Ordinaria!AC39</f>
        <v>0</v>
      </c>
      <c r="AD39" s="32">
        <f t="shared" ref="AD39:AD58" si="102">IF($B39,AC39/$B39,-1)</f>
        <v>-1</v>
      </c>
      <c r="AE39" s="31">
        <f>Ordinaria!AE39</f>
        <v>0</v>
      </c>
      <c r="AF39" s="32">
        <f t="shared" ref="AF39:AF58" si="103">IF($B39,AE39/$B39,-1)</f>
        <v>-1</v>
      </c>
      <c r="AG39" s="31">
        <f>Ordinaria!AG39</f>
        <v>0</v>
      </c>
      <c r="AH39" s="32">
        <f t="shared" ref="AH39:AH58" si="104">IF($B39,AG39/$B39,-1)</f>
        <v>-1</v>
      </c>
      <c r="AI39" s="31">
        <f>Ordinaria!AI39</f>
        <v>0</v>
      </c>
      <c r="AJ39" s="32">
        <f t="shared" ref="AJ39:AJ58" si="105">IF($B39,AI39/$B39,-1)</f>
        <v>-1</v>
      </c>
      <c r="AK39" s="31">
        <f>Ordinaria!AK39</f>
        <v>0</v>
      </c>
      <c r="AL39" s="32">
        <f t="shared" ref="AL39:AL58" si="106">IF($B39,AK39/$B39,-1)</f>
        <v>-1</v>
      </c>
      <c r="AM39" s="31">
        <f>Ordinaria!AM39</f>
        <v>0</v>
      </c>
      <c r="AN39" s="32">
        <f t="shared" ref="AN39:AN58" si="107">IF($B39,AM39/$B39,-1)</f>
        <v>-1</v>
      </c>
      <c r="AO39" s="31">
        <f>Ordinaria!AO39</f>
        <v>0</v>
      </c>
      <c r="AP39" s="32">
        <f t="shared" ref="AP39:AP58" si="108">IF($B39,AO39/$B39,-1)</f>
        <v>-1</v>
      </c>
      <c r="AQ39" s="31">
        <f>Ordinaria!AQ39</f>
        <v>0</v>
      </c>
      <c r="AR39" s="32">
        <f t="shared" ref="AR39:AR58" si="109">IF($B39,AQ39/$B39,-1)</f>
        <v>-1</v>
      </c>
      <c r="AS39" s="31">
        <f>Ordinaria!AS39</f>
        <v>0</v>
      </c>
      <c r="AT39" s="32">
        <f t="shared" ref="AT39:AT58" si="110">IF($B39,AS39/$B39,-1)</f>
        <v>-1</v>
      </c>
      <c r="AU39" s="31">
        <f>Ordinaria!AU39</f>
        <v>0</v>
      </c>
      <c r="AV39" s="32">
        <f t="shared" ref="AV39:AV58" si="111">IF($B39,AU39/$B39,-1)</f>
        <v>-1</v>
      </c>
      <c r="AW39" s="31">
        <f>Ordinaria!AW39</f>
        <v>0</v>
      </c>
      <c r="AX39" s="32">
        <f t="shared" ref="AX39:AX58" si="112">IF($B39,AW39/$B39,-1)</f>
        <v>-1</v>
      </c>
      <c r="AY39" s="31">
        <f>Ordinaria!AY39</f>
        <v>0</v>
      </c>
      <c r="AZ39" s="32">
        <f t="shared" ref="AZ39:AZ58" si="113">IF($B39,AY39/$B39,-1)</f>
        <v>-1</v>
      </c>
      <c r="BA39" s="31">
        <f>Ordinaria!BA39</f>
        <v>0</v>
      </c>
      <c r="BB39" s="32">
        <f t="shared" ref="BB39:BB58" si="114">IF($B39,BA39/$B39,-1)</f>
        <v>-1</v>
      </c>
      <c r="BC39" s="31">
        <f>Ordinaria!BC39</f>
        <v>0</v>
      </c>
      <c r="BD39" s="32">
        <f t="shared" ref="BD39:BD58" si="115">IF($B39,BC39/$B39,-1)</f>
        <v>-1</v>
      </c>
      <c r="BE39" s="31">
        <f>Ordinaria!BE39</f>
        <v>0</v>
      </c>
      <c r="BF39" s="32">
        <f t="shared" ref="BF39:BF58" si="116">IF($B39,BE39/$B39,-1)</f>
        <v>-1</v>
      </c>
      <c r="BG39" s="31">
        <f>Ordinaria!BG39</f>
        <v>0</v>
      </c>
      <c r="BH39" s="32">
        <f t="shared" ref="BH39:BH58" si="117">IF($B39,BG39/$B39,-1)</f>
        <v>-1</v>
      </c>
      <c r="BI39" s="31">
        <f>Ordinaria!BI39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Ordinaria!B40</f>
        <v>0</v>
      </c>
      <c r="C40" s="31">
        <f>Ordinaria!C40</f>
        <v>0</v>
      </c>
      <c r="D40" s="32">
        <f t="shared" si="89"/>
        <v>-1</v>
      </c>
      <c r="E40" s="31">
        <f>Ordinaria!E40</f>
        <v>0</v>
      </c>
      <c r="F40" s="32">
        <f t="shared" si="90"/>
        <v>-1</v>
      </c>
      <c r="G40" s="31">
        <f>Ordinaria!G40</f>
        <v>0</v>
      </c>
      <c r="H40" s="32">
        <f t="shared" si="91"/>
        <v>-1</v>
      </c>
      <c r="I40" s="31">
        <f>Ordinaria!I40</f>
        <v>0</v>
      </c>
      <c r="J40" s="32">
        <f t="shared" si="92"/>
        <v>-1</v>
      </c>
      <c r="K40" s="31">
        <f>Ordinaria!K40</f>
        <v>0</v>
      </c>
      <c r="L40" s="32">
        <f t="shared" si="93"/>
        <v>-1</v>
      </c>
      <c r="M40" s="31">
        <f>Ordinaria!M40</f>
        <v>0</v>
      </c>
      <c r="N40" s="32">
        <f t="shared" si="94"/>
        <v>-1</v>
      </c>
      <c r="O40" s="31">
        <f>Ordinaria!O40</f>
        <v>0</v>
      </c>
      <c r="P40" s="32">
        <f t="shared" si="95"/>
        <v>-1</v>
      </c>
      <c r="Q40" s="31">
        <f>Ordinaria!Q40</f>
        <v>0</v>
      </c>
      <c r="R40" s="32">
        <f t="shared" si="96"/>
        <v>-1</v>
      </c>
      <c r="S40" s="31">
        <f>Ordinaria!S40</f>
        <v>0</v>
      </c>
      <c r="T40" s="32">
        <f t="shared" si="97"/>
        <v>-1</v>
      </c>
      <c r="U40" s="31">
        <f>Ordinaria!U40</f>
        <v>0</v>
      </c>
      <c r="V40" s="32">
        <f t="shared" si="98"/>
        <v>-1</v>
      </c>
      <c r="W40" s="31">
        <f>Ordinaria!W40</f>
        <v>0</v>
      </c>
      <c r="X40" s="32">
        <f t="shared" si="99"/>
        <v>-1</v>
      </c>
      <c r="Y40" s="31">
        <f>Ordinaria!Y40</f>
        <v>0</v>
      </c>
      <c r="Z40" s="32">
        <f t="shared" si="100"/>
        <v>-1</v>
      </c>
      <c r="AA40" s="31">
        <f>Ordinaria!AA40</f>
        <v>0</v>
      </c>
      <c r="AB40" s="32">
        <f t="shared" si="101"/>
        <v>-1</v>
      </c>
      <c r="AC40" s="31">
        <f>Ordinaria!AC40</f>
        <v>0</v>
      </c>
      <c r="AD40" s="32">
        <f t="shared" si="102"/>
        <v>-1</v>
      </c>
      <c r="AE40" s="31">
        <f>Ordinaria!AE40</f>
        <v>0</v>
      </c>
      <c r="AF40" s="32">
        <f t="shared" si="103"/>
        <v>-1</v>
      </c>
      <c r="AG40" s="31">
        <f>Ordinaria!AG40</f>
        <v>0</v>
      </c>
      <c r="AH40" s="32">
        <f t="shared" si="104"/>
        <v>-1</v>
      </c>
      <c r="AI40" s="31">
        <f>Ordinaria!AI40</f>
        <v>0</v>
      </c>
      <c r="AJ40" s="32">
        <f t="shared" si="105"/>
        <v>-1</v>
      </c>
      <c r="AK40" s="31">
        <f>Ordinaria!AK40</f>
        <v>0</v>
      </c>
      <c r="AL40" s="32">
        <f t="shared" si="106"/>
        <v>-1</v>
      </c>
      <c r="AM40" s="31">
        <f>Ordinaria!AM40</f>
        <v>0</v>
      </c>
      <c r="AN40" s="32">
        <f t="shared" si="107"/>
        <v>-1</v>
      </c>
      <c r="AO40" s="31">
        <f>Ordinaria!AO40</f>
        <v>0</v>
      </c>
      <c r="AP40" s="32">
        <f t="shared" si="108"/>
        <v>-1</v>
      </c>
      <c r="AQ40" s="31">
        <f>Ordinaria!AQ40</f>
        <v>0</v>
      </c>
      <c r="AR40" s="32">
        <f t="shared" si="109"/>
        <v>-1</v>
      </c>
      <c r="AS40" s="31">
        <f>Ordinaria!AS40</f>
        <v>0</v>
      </c>
      <c r="AT40" s="32">
        <f t="shared" si="110"/>
        <v>-1</v>
      </c>
      <c r="AU40" s="31">
        <f>Ordinaria!AU40</f>
        <v>0</v>
      </c>
      <c r="AV40" s="32">
        <f t="shared" si="111"/>
        <v>-1</v>
      </c>
      <c r="AW40" s="31">
        <f>Ordinaria!AW40</f>
        <v>0</v>
      </c>
      <c r="AX40" s="32">
        <f t="shared" si="112"/>
        <v>-1</v>
      </c>
      <c r="AY40" s="31">
        <f>Ordinaria!AY40</f>
        <v>0</v>
      </c>
      <c r="AZ40" s="32">
        <f t="shared" si="113"/>
        <v>-1</v>
      </c>
      <c r="BA40" s="31">
        <f>Ordinaria!BA40</f>
        <v>0</v>
      </c>
      <c r="BB40" s="32">
        <f t="shared" si="114"/>
        <v>-1</v>
      </c>
      <c r="BC40" s="31">
        <f>Ordinaria!BC40</f>
        <v>0</v>
      </c>
      <c r="BD40" s="32">
        <f t="shared" si="115"/>
        <v>-1</v>
      </c>
      <c r="BE40" s="31">
        <f>Ordinaria!BE40</f>
        <v>0</v>
      </c>
      <c r="BF40" s="32">
        <f t="shared" si="116"/>
        <v>-1</v>
      </c>
      <c r="BG40" s="31">
        <f>Ordinaria!BG40</f>
        <v>0</v>
      </c>
      <c r="BH40" s="32">
        <f t="shared" si="117"/>
        <v>-1</v>
      </c>
      <c r="BI40" s="31">
        <f>Ordinaria!BI40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Ordinaria!B41</f>
        <v>0</v>
      </c>
      <c r="C41" s="31">
        <f>Ordinaria!C41</f>
        <v>0</v>
      </c>
      <c r="D41" s="32">
        <f t="shared" si="89"/>
        <v>-1</v>
      </c>
      <c r="E41" s="31">
        <f>Ordinaria!E41</f>
        <v>0</v>
      </c>
      <c r="F41" s="32">
        <f t="shared" si="90"/>
        <v>-1</v>
      </c>
      <c r="G41" s="31">
        <f>Ordinaria!G41</f>
        <v>0</v>
      </c>
      <c r="H41" s="32">
        <f t="shared" si="91"/>
        <v>-1</v>
      </c>
      <c r="I41" s="31">
        <f>Ordinaria!I41</f>
        <v>0</v>
      </c>
      <c r="J41" s="32">
        <f t="shared" si="92"/>
        <v>-1</v>
      </c>
      <c r="K41" s="31">
        <f>Ordinaria!K41</f>
        <v>0</v>
      </c>
      <c r="L41" s="32">
        <f t="shared" si="93"/>
        <v>-1</v>
      </c>
      <c r="M41" s="31">
        <f>Ordinaria!M41</f>
        <v>0</v>
      </c>
      <c r="N41" s="32">
        <f t="shared" si="94"/>
        <v>-1</v>
      </c>
      <c r="O41" s="31">
        <f>Ordinaria!O41</f>
        <v>0</v>
      </c>
      <c r="P41" s="32">
        <f t="shared" si="95"/>
        <v>-1</v>
      </c>
      <c r="Q41" s="31">
        <f>Ordinaria!Q41</f>
        <v>0</v>
      </c>
      <c r="R41" s="32">
        <f t="shared" si="96"/>
        <v>-1</v>
      </c>
      <c r="S41" s="31">
        <f>Ordinaria!S41</f>
        <v>0</v>
      </c>
      <c r="T41" s="32">
        <f t="shared" si="97"/>
        <v>-1</v>
      </c>
      <c r="U41" s="31">
        <f>Ordinaria!U41</f>
        <v>0</v>
      </c>
      <c r="V41" s="32">
        <f t="shared" si="98"/>
        <v>-1</v>
      </c>
      <c r="W41" s="31">
        <f>Ordinaria!W41</f>
        <v>0</v>
      </c>
      <c r="X41" s="32">
        <f t="shared" si="99"/>
        <v>-1</v>
      </c>
      <c r="Y41" s="31">
        <f>Ordinaria!Y41</f>
        <v>0</v>
      </c>
      <c r="Z41" s="32">
        <f t="shared" si="100"/>
        <v>-1</v>
      </c>
      <c r="AA41" s="31">
        <f>Ordinaria!AA41</f>
        <v>0</v>
      </c>
      <c r="AB41" s="32">
        <f t="shared" si="101"/>
        <v>-1</v>
      </c>
      <c r="AC41" s="31">
        <f>Ordinaria!AC41</f>
        <v>0</v>
      </c>
      <c r="AD41" s="32">
        <f t="shared" si="102"/>
        <v>-1</v>
      </c>
      <c r="AE41" s="31">
        <f>Ordinaria!AE41</f>
        <v>0</v>
      </c>
      <c r="AF41" s="32">
        <f t="shared" si="103"/>
        <v>-1</v>
      </c>
      <c r="AG41" s="31">
        <f>Ordinaria!AG41</f>
        <v>0</v>
      </c>
      <c r="AH41" s="32">
        <f t="shared" si="104"/>
        <v>-1</v>
      </c>
      <c r="AI41" s="31">
        <f>Ordinaria!AI41</f>
        <v>0</v>
      </c>
      <c r="AJ41" s="32">
        <f t="shared" si="105"/>
        <v>-1</v>
      </c>
      <c r="AK41" s="31">
        <f>Ordinaria!AK41</f>
        <v>0</v>
      </c>
      <c r="AL41" s="32">
        <f t="shared" si="106"/>
        <v>-1</v>
      </c>
      <c r="AM41" s="31">
        <f>Ordinaria!AM41</f>
        <v>0</v>
      </c>
      <c r="AN41" s="32">
        <f t="shared" si="107"/>
        <v>-1</v>
      </c>
      <c r="AO41" s="31">
        <f>Ordinaria!AO41</f>
        <v>0</v>
      </c>
      <c r="AP41" s="32">
        <f t="shared" si="108"/>
        <v>-1</v>
      </c>
      <c r="AQ41" s="31">
        <f>Ordinaria!AQ41</f>
        <v>0</v>
      </c>
      <c r="AR41" s="32">
        <f t="shared" si="109"/>
        <v>-1</v>
      </c>
      <c r="AS41" s="31">
        <f>Ordinaria!AS41</f>
        <v>0</v>
      </c>
      <c r="AT41" s="32">
        <f t="shared" si="110"/>
        <v>-1</v>
      </c>
      <c r="AU41" s="31">
        <f>Ordinaria!AU41</f>
        <v>0</v>
      </c>
      <c r="AV41" s="32">
        <f t="shared" si="111"/>
        <v>-1</v>
      </c>
      <c r="AW41" s="31">
        <f>Ordinaria!AW41</f>
        <v>0</v>
      </c>
      <c r="AX41" s="32">
        <f t="shared" si="112"/>
        <v>-1</v>
      </c>
      <c r="AY41" s="31">
        <f>Ordinaria!AY41</f>
        <v>0</v>
      </c>
      <c r="AZ41" s="32">
        <f t="shared" si="113"/>
        <v>-1</v>
      </c>
      <c r="BA41" s="31">
        <f>Ordinaria!BA41</f>
        <v>0</v>
      </c>
      <c r="BB41" s="32">
        <f t="shared" si="114"/>
        <v>-1</v>
      </c>
      <c r="BC41" s="31">
        <f>Ordinaria!BC41</f>
        <v>0</v>
      </c>
      <c r="BD41" s="32">
        <f t="shared" si="115"/>
        <v>-1</v>
      </c>
      <c r="BE41" s="31">
        <f>Ordinaria!BE41</f>
        <v>0</v>
      </c>
      <c r="BF41" s="32">
        <f t="shared" si="116"/>
        <v>-1</v>
      </c>
      <c r="BG41" s="31">
        <f>Ordinaria!BG41</f>
        <v>0</v>
      </c>
      <c r="BH41" s="32">
        <f t="shared" si="117"/>
        <v>-1</v>
      </c>
      <c r="BI41" s="31">
        <f>Ordinaria!BI41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Ordinaria!B42</f>
        <v>0</v>
      </c>
      <c r="C42" s="31">
        <f>Ordinaria!C42</f>
        <v>0</v>
      </c>
      <c r="D42" s="32">
        <f t="shared" si="89"/>
        <v>-1</v>
      </c>
      <c r="E42" s="31">
        <f>Ordinaria!E42</f>
        <v>0</v>
      </c>
      <c r="F42" s="32">
        <f t="shared" si="90"/>
        <v>-1</v>
      </c>
      <c r="G42" s="31">
        <f>Ordinaria!G42</f>
        <v>0</v>
      </c>
      <c r="H42" s="32">
        <f t="shared" si="91"/>
        <v>-1</v>
      </c>
      <c r="I42" s="31">
        <f>Ordinaria!I42</f>
        <v>0</v>
      </c>
      <c r="J42" s="32">
        <f t="shared" si="92"/>
        <v>-1</v>
      </c>
      <c r="K42" s="31">
        <f>Ordinaria!K42</f>
        <v>0</v>
      </c>
      <c r="L42" s="32">
        <f t="shared" si="93"/>
        <v>-1</v>
      </c>
      <c r="M42" s="31">
        <f>Ordinaria!M42</f>
        <v>0</v>
      </c>
      <c r="N42" s="32">
        <f t="shared" si="94"/>
        <v>-1</v>
      </c>
      <c r="O42" s="31">
        <f>Ordinaria!O42</f>
        <v>0</v>
      </c>
      <c r="P42" s="32">
        <f t="shared" si="95"/>
        <v>-1</v>
      </c>
      <c r="Q42" s="31">
        <f>Ordinaria!Q42</f>
        <v>0</v>
      </c>
      <c r="R42" s="32">
        <f t="shared" si="96"/>
        <v>-1</v>
      </c>
      <c r="S42" s="31">
        <f>Ordinaria!S42</f>
        <v>0</v>
      </c>
      <c r="T42" s="32">
        <f t="shared" si="97"/>
        <v>-1</v>
      </c>
      <c r="U42" s="31">
        <f>Ordinaria!U42</f>
        <v>0</v>
      </c>
      <c r="V42" s="32">
        <f t="shared" si="98"/>
        <v>-1</v>
      </c>
      <c r="W42" s="31">
        <f>Ordinaria!W42</f>
        <v>0</v>
      </c>
      <c r="X42" s="32">
        <f t="shared" si="99"/>
        <v>-1</v>
      </c>
      <c r="Y42" s="31">
        <f>Ordinaria!Y42</f>
        <v>0</v>
      </c>
      <c r="Z42" s="32">
        <f t="shared" si="100"/>
        <v>-1</v>
      </c>
      <c r="AA42" s="31">
        <f>Ordinaria!AA42</f>
        <v>0</v>
      </c>
      <c r="AB42" s="32">
        <f t="shared" si="101"/>
        <v>-1</v>
      </c>
      <c r="AC42" s="31">
        <f>Ordinaria!AC42</f>
        <v>0</v>
      </c>
      <c r="AD42" s="32">
        <f t="shared" si="102"/>
        <v>-1</v>
      </c>
      <c r="AE42" s="31">
        <f>Ordinaria!AE42</f>
        <v>0</v>
      </c>
      <c r="AF42" s="32">
        <f t="shared" si="103"/>
        <v>-1</v>
      </c>
      <c r="AG42" s="31">
        <f>Ordinaria!AG42</f>
        <v>0</v>
      </c>
      <c r="AH42" s="32">
        <f t="shared" si="104"/>
        <v>-1</v>
      </c>
      <c r="AI42" s="31">
        <f>Ordinaria!AI42</f>
        <v>0</v>
      </c>
      <c r="AJ42" s="32">
        <f t="shared" si="105"/>
        <v>-1</v>
      </c>
      <c r="AK42" s="31">
        <f>Ordinaria!AK42</f>
        <v>0</v>
      </c>
      <c r="AL42" s="32">
        <f t="shared" si="106"/>
        <v>-1</v>
      </c>
      <c r="AM42" s="31">
        <f>Ordinaria!AM42</f>
        <v>0</v>
      </c>
      <c r="AN42" s="32">
        <f t="shared" si="107"/>
        <v>-1</v>
      </c>
      <c r="AO42" s="31">
        <f>Ordinaria!AO42</f>
        <v>0</v>
      </c>
      <c r="AP42" s="32">
        <f t="shared" si="108"/>
        <v>-1</v>
      </c>
      <c r="AQ42" s="31">
        <f>Ordinaria!AQ42</f>
        <v>0</v>
      </c>
      <c r="AR42" s="32">
        <f t="shared" si="109"/>
        <v>-1</v>
      </c>
      <c r="AS42" s="31">
        <f>Ordinaria!AS42</f>
        <v>0</v>
      </c>
      <c r="AT42" s="32">
        <f t="shared" si="110"/>
        <v>-1</v>
      </c>
      <c r="AU42" s="31">
        <f>Ordinaria!AU42</f>
        <v>0</v>
      </c>
      <c r="AV42" s="32">
        <f t="shared" si="111"/>
        <v>-1</v>
      </c>
      <c r="AW42" s="31">
        <f>Ordinaria!AW42</f>
        <v>0</v>
      </c>
      <c r="AX42" s="32">
        <f t="shared" si="112"/>
        <v>-1</v>
      </c>
      <c r="AY42" s="31">
        <f>Ordinaria!AY42</f>
        <v>0</v>
      </c>
      <c r="AZ42" s="32">
        <f t="shared" si="113"/>
        <v>-1</v>
      </c>
      <c r="BA42" s="31">
        <f>Ordinaria!BA42</f>
        <v>0</v>
      </c>
      <c r="BB42" s="32">
        <f t="shared" si="114"/>
        <v>-1</v>
      </c>
      <c r="BC42" s="31">
        <f>Ordinaria!BC42</f>
        <v>0</v>
      </c>
      <c r="BD42" s="32">
        <f t="shared" si="115"/>
        <v>-1</v>
      </c>
      <c r="BE42" s="31">
        <f>Ordinaria!BE42</f>
        <v>0</v>
      </c>
      <c r="BF42" s="32">
        <f t="shared" si="116"/>
        <v>-1</v>
      </c>
      <c r="BG42" s="31">
        <f>Ordinaria!BG42</f>
        <v>0</v>
      </c>
      <c r="BH42" s="32">
        <f t="shared" si="117"/>
        <v>-1</v>
      </c>
      <c r="BI42" s="31">
        <f>Ordinaria!BI42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Ordinaria!B43</f>
        <v>0</v>
      </c>
      <c r="C43" s="31">
        <f>Ordinaria!C43</f>
        <v>0</v>
      </c>
      <c r="D43" s="32">
        <f t="shared" si="89"/>
        <v>-1</v>
      </c>
      <c r="E43" s="31">
        <f>Ordinaria!E43</f>
        <v>0</v>
      </c>
      <c r="F43" s="32">
        <f t="shared" si="90"/>
        <v>-1</v>
      </c>
      <c r="G43" s="31">
        <f>Ordinaria!G43</f>
        <v>0</v>
      </c>
      <c r="H43" s="32">
        <f t="shared" si="91"/>
        <v>-1</v>
      </c>
      <c r="I43" s="31">
        <f>Ordinaria!I43</f>
        <v>0</v>
      </c>
      <c r="J43" s="32">
        <f t="shared" si="92"/>
        <v>-1</v>
      </c>
      <c r="K43" s="31">
        <f>Ordinaria!K43</f>
        <v>0</v>
      </c>
      <c r="L43" s="32">
        <f t="shared" si="93"/>
        <v>-1</v>
      </c>
      <c r="M43" s="31">
        <f>Ordinaria!M43</f>
        <v>0</v>
      </c>
      <c r="N43" s="32">
        <f t="shared" si="94"/>
        <v>-1</v>
      </c>
      <c r="O43" s="31">
        <f>Ordinaria!O43</f>
        <v>0</v>
      </c>
      <c r="P43" s="32">
        <f t="shared" si="95"/>
        <v>-1</v>
      </c>
      <c r="Q43" s="31">
        <f>Ordinaria!Q43</f>
        <v>0</v>
      </c>
      <c r="R43" s="32">
        <f t="shared" si="96"/>
        <v>-1</v>
      </c>
      <c r="S43" s="31">
        <f>Ordinaria!S43</f>
        <v>0</v>
      </c>
      <c r="T43" s="32">
        <f t="shared" si="97"/>
        <v>-1</v>
      </c>
      <c r="U43" s="31">
        <f>Ordinaria!U43</f>
        <v>0</v>
      </c>
      <c r="V43" s="32">
        <f t="shared" si="98"/>
        <v>-1</v>
      </c>
      <c r="W43" s="31">
        <f>Ordinaria!W43</f>
        <v>0</v>
      </c>
      <c r="X43" s="32">
        <f t="shared" si="99"/>
        <v>-1</v>
      </c>
      <c r="Y43" s="31">
        <f>Ordinaria!Y43</f>
        <v>0</v>
      </c>
      <c r="Z43" s="32">
        <f t="shared" si="100"/>
        <v>-1</v>
      </c>
      <c r="AA43" s="31">
        <f>Ordinaria!AA43</f>
        <v>0</v>
      </c>
      <c r="AB43" s="32">
        <f t="shared" si="101"/>
        <v>-1</v>
      </c>
      <c r="AC43" s="31">
        <f>Ordinaria!AC43</f>
        <v>0</v>
      </c>
      <c r="AD43" s="32">
        <f t="shared" si="102"/>
        <v>-1</v>
      </c>
      <c r="AE43" s="31">
        <f>Ordinaria!AE43</f>
        <v>0</v>
      </c>
      <c r="AF43" s="32">
        <f t="shared" si="103"/>
        <v>-1</v>
      </c>
      <c r="AG43" s="31">
        <f>Ordinaria!AG43</f>
        <v>0</v>
      </c>
      <c r="AH43" s="32">
        <f t="shared" si="104"/>
        <v>-1</v>
      </c>
      <c r="AI43" s="31">
        <f>Ordinaria!AI43</f>
        <v>0</v>
      </c>
      <c r="AJ43" s="32">
        <f t="shared" si="105"/>
        <v>-1</v>
      </c>
      <c r="AK43" s="31">
        <f>Ordinaria!AK43</f>
        <v>0</v>
      </c>
      <c r="AL43" s="32">
        <f t="shared" si="106"/>
        <v>-1</v>
      </c>
      <c r="AM43" s="31">
        <f>Ordinaria!AM43</f>
        <v>0</v>
      </c>
      <c r="AN43" s="32">
        <f t="shared" si="107"/>
        <v>-1</v>
      </c>
      <c r="AO43" s="31">
        <f>Ordinaria!AO43</f>
        <v>0</v>
      </c>
      <c r="AP43" s="32">
        <f t="shared" si="108"/>
        <v>-1</v>
      </c>
      <c r="AQ43" s="31">
        <f>Ordinaria!AQ43</f>
        <v>0</v>
      </c>
      <c r="AR43" s="32">
        <f t="shared" si="109"/>
        <v>-1</v>
      </c>
      <c r="AS43" s="31">
        <f>Ordinaria!AS43</f>
        <v>0</v>
      </c>
      <c r="AT43" s="32">
        <f t="shared" si="110"/>
        <v>-1</v>
      </c>
      <c r="AU43" s="31">
        <f>Ordinaria!AU43</f>
        <v>0</v>
      </c>
      <c r="AV43" s="32">
        <f t="shared" si="111"/>
        <v>-1</v>
      </c>
      <c r="AW43" s="31">
        <f>Ordinaria!AW43</f>
        <v>0</v>
      </c>
      <c r="AX43" s="32">
        <f t="shared" si="112"/>
        <v>-1</v>
      </c>
      <c r="AY43" s="31">
        <f>Ordinaria!AY43</f>
        <v>0</v>
      </c>
      <c r="AZ43" s="32">
        <f t="shared" si="113"/>
        <v>-1</v>
      </c>
      <c r="BA43" s="31">
        <f>Ordinaria!BA43</f>
        <v>0</v>
      </c>
      <c r="BB43" s="32">
        <f t="shared" si="114"/>
        <v>-1</v>
      </c>
      <c r="BC43" s="31">
        <f>Ordinaria!BC43</f>
        <v>0</v>
      </c>
      <c r="BD43" s="32">
        <f t="shared" si="115"/>
        <v>-1</v>
      </c>
      <c r="BE43" s="31">
        <f>Ordinaria!BE43</f>
        <v>0</v>
      </c>
      <c r="BF43" s="32">
        <f t="shared" si="116"/>
        <v>-1</v>
      </c>
      <c r="BG43" s="31">
        <f>Ordinaria!BG43</f>
        <v>0</v>
      </c>
      <c r="BH43" s="32">
        <f t="shared" si="117"/>
        <v>-1</v>
      </c>
      <c r="BI43" s="31">
        <f>Ordinaria!BI43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Ordinaria!B44</f>
        <v>0</v>
      </c>
      <c r="C44" s="31">
        <f>Ordinaria!C44</f>
        <v>0</v>
      </c>
      <c r="D44" s="32">
        <f t="shared" si="89"/>
        <v>-1</v>
      </c>
      <c r="E44" s="31">
        <f>Ordinaria!E44</f>
        <v>0</v>
      </c>
      <c r="F44" s="32">
        <f t="shared" si="90"/>
        <v>-1</v>
      </c>
      <c r="G44" s="31">
        <f>Ordinaria!G44</f>
        <v>0</v>
      </c>
      <c r="H44" s="32">
        <f t="shared" si="91"/>
        <v>-1</v>
      </c>
      <c r="I44" s="31">
        <f>Ordinaria!I44</f>
        <v>0</v>
      </c>
      <c r="J44" s="32">
        <f t="shared" si="92"/>
        <v>-1</v>
      </c>
      <c r="K44" s="31">
        <f>Ordinaria!K44</f>
        <v>0</v>
      </c>
      <c r="L44" s="32">
        <f t="shared" si="93"/>
        <v>-1</v>
      </c>
      <c r="M44" s="31">
        <f>Ordinaria!M44</f>
        <v>0</v>
      </c>
      <c r="N44" s="32">
        <f t="shared" si="94"/>
        <v>-1</v>
      </c>
      <c r="O44" s="31">
        <f>Ordinaria!O44</f>
        <v>0</v>
      </c>
      <c r="P44" s="32">
        <f t="shared" si="95"/>
        <v>-1</v>
      </c>
      <c r="Q44" s="31">
        <f>Ordinaria!Q44</f>
        <v>0</v>
      </c>
      <c r="R44" s="32">
        <f t="shared" si="96"/>
        <v>-1</v>
      </c>
      <c r="S44" s="31">
        <f>Ordinaria!S44</f>
        <v>0</v>
      </c>
      <c r="T44" s="32">
        <f t="shared" si="97"/>
        <v>-1</v>
      </c>
      <c r="U44" s="31">
        <f>Ordinaria!U44</f>
        <v>0</v>
      </c>
      <c r="V44" s="32">
        <f t="shared" si="98"/>
        <v>-1</v>
      </c>
      <c r="W44" s="31">
        <f>Ordinaria!W44</f>
        <v>0</v>
      </c>
      <c r="X44" s="32">
        <f t="shared" si="99"/>
        <v>-1</v>
      </c>
      <c r="Y44" s="31">
        <f>Ordinaria!Y44</f>
        <v>0</v>
      </c>
      <c r="Z44" s="32">
        <f t="shared" si="100"/>
        <v>-1</v>
      </c>
      <c r="AA44" s="31">
        <f>Ordinaria!AA44</f>
        <v>0</v>
      </c>
      <c r="AB44" s="32">
        <f t="shared" si="101"/>
        <v>-1</v>
      </c>
      <c r="AC44" s="31">
        <f>Ordinaria!AC44</f>
        <v>0</v>
      </c>
      <c r="AD44" s="32">
        <f t="shared" si="102"/>
        <v>-1</v>
      </c>
      <c r="AE44" s="31">
        <f>Ordinaria!AE44</f>
        <v>0</v>
      </c>
      <c r="AF44" s="32">
        <f t="shared" si="103"/>
        <v>-1</v>
      </c>
      <c r="AG44" s="31">
        <f>Ordinaria!AG44</f>
        <v>0</v>
      </c>
      <c r="AH44" s="32">
        <f t="shared" si="104"/>
        <v>-1</v>
      </c>
      <c r="AI44" s="31">
        <f>Ordinaria!AI44</f>
        <v>0</v>
      </c>
      <c r="AJ44" s="32">
        <f t="shared" si="105"/>
        <v>-1</v>
      </c>
      <c r="AK44" s="31">
        <f>Ordinaria!AK44</f>
        <v>0</v>
      </c>
      <c r="AL44" s="32">
        <f t="shared" si="106"/>
        <v>-1</v>
      </c>
      <c r="AM44" s="31">
        <f>Ordinaria!AM44</f>
        <v>0</v>
      </c>
      <c r="AN44" s="32">
        <f t="shared" si="107"/>
        <v>-1</v>
      </c>
      <c r="AO44" s="31">
        <f>Ordinaria!AO44</f>
        <v>0</v>
      </c>
      <c r="AP44" s="32">
        <f t="shared" si="108"/>
        <v>-1</v>
      </c>
      <c r="AQ44" s="31">
        <f>Ordinaria!AQ44</f>
        <v>0</v>
      </c>
      <c r="AR44" s="32">
        <f t="shared" si="109"/>
        <v>-1</v>
      </c>
      <c r="AS44" s="31">
        <f>Ordinaria!AS44</f>
        <v>0</v>
      </c>
      <c r="AT44" s="32">
        <f t="shared" si="110"/>
        <v>-1</v>
      </c>
      <c r="AU44" s="31">
        <f>Ordinaria!AU44</f>
        <v>0</v>
      </c>
      <c r="AV44" s="32">
        <f t="shared" si="111"/>
        <v>-1</v>
      </c>
      <c r="AW44" s="31">
        <f>Ordinaria!AW44</f>
        <v>0</v>
      </c>
      <c r="AX44" s="32">
        <f t="shared" si="112"/>
        <v>-1</v>
      </c>
      <c r="AY44" s="31">
        <f>Ordinaria!AY44</f>
        <v>0</v>
      </c>
      <c r="AZ44" s="32">
        <f t="shared" si="113"/>
        <v>-1</v>
      </c>
      <c r="BA44" s="31">
        <f>Ordinaria!BA44</f>
        <v>0</v>
      </c>
      <c r="BB44" s="32">
        <f t="shared" si="114"/>
        <v>-1</v>
      </c>
      <c r="BC44" s="31">
        <f>Ordinaria!BC44</f>
        <v>0</v>
      </c>
      <c r="BD44" s="32">
        <f t="shared" si="115"/>
        <v>-1</v>
      </c>
      <c r="BE44" s="31">
        <f>Ordinaria!BE44</f>
        <v>0</v>
      </c>
      <c r="BF44" s="32">
        <f t="shared" si="116"/>
        <v>-1</v>
      </c>
      <c r="BG44" s="31">
        <f>Ordinaria!BG44</f>
        <v>0</v>
      </c>
      <c r="BH44" s="32">
        <f t="shared" si="117"/>
        <v>-1</v>
      </c>
      <c r="BI44" s="31">
        <f>Ordinaria!BI44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Ordinaria!B45</f>
        <v>0</v>
      </c>
      <c r="C45" s="31">
        <f>Ordinaria!C45</f>
        <v>0</v>
      </c>
      <c r="D45" s="32">
        <f t="shared" si="89"/>
        <v>-1</v>
      </c>
      <c r="E45" s="31">
        <f>Ordinaria!E45</f>
        <v>0</v>
      </c>
      <c r="F45" s="32">
        <f t="shared" si="90"/>
        <v>-1</v>
      </c>
      <c r="G45" s="31">
        <f>Ordinaria!G45</f>
        <v>0</v>
      </c>
      <c r="H45" s="32">
        <f t="shared" si="91"/>
        <v>-1</v>
      </c>
      <c r="I45" s="31">
        <f>Ordinaria!I45</f>
        <v>0</v>
      </c>
      <c r="J45" s="32">
        <f t="shared" si="92"/>
        <v>-1</v>
      </c>
      <c r="K45" s="31">
        <f>Ordinaria!K45</f>
        <v>0</v>
      </c>
      <c r="L45" s="32">
        <f t="shared" si="93"/>
        <v>-1</v>
      </c>
      <c r="M45" s="31">
        <f>Ordinaria!M45</f>
        <v>0</v>
      </c>
      <c r="N45" s="32">
        <f t="shared" si="94"/>
        <v>-1</v>
      </c>
      <c r="O45" s="31">
        <f>Ordinaria!O45</f>
        <v>0</v>
      </c>
      <c r="P45" s="32">
        <f t="shared" si="95"/>
        <v>-1</v>
      </c>
      <c r="Q45" s="31">
        <f>Ordinaria!Q45</f>
        <v>0</v>
      </c>
      <c r="R45" s="32">
        <f t="shared" si="96"/>
        <v>-1</v>
      </c>
      <c r="S45" s="31">
        <f>Ordinaria!S45</f>
        <v>0</v>
      </c>
      <c r="T45" s="32">
        <f t="shared" si="97"/>
        <v>-1</v>
      </c>
      <c r="U45" s="31">
        <f>Ordinaria!U45</f>
        <v>0</v>
      </c>
      <c r="V45" s="32">
        <f t="shared" si="98"/>
        <v>-1</v>
      </c>
      <c r="W45" s="31">
        <f>Ordinaria!W45</f>
        <v>0</v>
      </c>
      <c r="X45" s="32">
        <f t="shared" si="99"/>
        <v>-1</v>
      </c>
      <c r="Y45" s="31">
        <f>Ordinaria!Y45</f>
        <v>0</v>
      </c>
      <c r="Z45" s="32">
        <f t="shared" si="100"/>
        <v>-1</v>
      </c>
      <c r="AA45" s="31">
        <f>Ordinaria!AA45</f>
        <v>0</v>
      </c>
      <c r="AB45" s="32">
        <f t="shared" si="101"/>
        <v>-1</v>
      </c>
      <c r="AC45" s="31">
        <f>Ordinaria!AC45</f>
        <v>0</v>
      </c>
      <c r="AD45" s="32">
        <f t="shared" si="102"/>
        <v>-1</v>
      </c>
      <c r="AE45" s="31">
        <f>Ordinaria!AE45</f>
        <v>0</v>
      </c>
      <c r="AF45" s="32">
        <f t="shared" si="103"/>
        <v>-1</v>
      </c>
      <c r="AG45" s="31">
        <f>Ordinaria!AG45</f>
        <v>0</v>
      </c>
      <c r="AH45" s="32">
        <f t="shared" si="104"/>
        <v>-1</v>
      </c>
      <c r="AI45" s="31">
        <f>Ordinaria!AI45</f>
        <v>0</v>
      </c>
      <c r="AJ45" s="32">
        <f t="shared" si="105"/>
        <v>-1</v>
      </c>
      <c r="AK45" s="31">
        <f>Ordinaria!AK45</f>
        <v>0</v>
      </c>
      <c r="AL45" s="32">
        <f t="shared" si="106"/>
        <v>-1</v>
      </c>
      <c r="AM45" s="31">
        <f>Ordinaria!AM45</f>
        <v>0</v>
      </c>
      <c r="AN45" s="32">
        <f t="shared" si="107"/>
        <v>-1</v>
      </c>
      <c r="AO45" s="31">
        <f>Ordinaria!AO45</f>
        <v>0</v>
      </c>
      <c r="AP45" s="32">
        <f t="shared" si="108"/>
        <v>-1</v>
      </c>
      <c r="AQ45" s="31">
        <f>Ordinaria!AQ45</f>
        <v>0</v>
      </c>
      <c r="AR45" s="32">
        <f t="shared" si="109"/>
        <v>-1</v>
      </c>
      <c r="AS45" s="31">
        <f>Ordinaria!AS45</f>
        <v>0</v>
      </c>
      <c r="AT45" s="32">
        <f t="shared" si="110"/>
        <v>-1</v>
      </c>
      <c r="AU45" s="31">
        <f>Ordinaria!AU45</f>
        <v>0</v>
      </c>
      <c r="AV45" s="32">
        <f t="shared" si="111"/>
        <v>-1</v>
      </c>
      <c r="AW45" s="31">
        <f>Ordinaria!AW45</f>
        <v>0</v>
      </c>
      <c r="AX45" s="32">
        <f t="shared" si="112"/>
        <v>-1</v>
      </c>
      <c r="AY45" s="31">
        <f>Ordinaria!AY45</f>
        <v>0</v>
      </c>
      <c r="AZ45" s="32">
        <f t="shared" si="113"/>
        <v>-1</v>
      </c>
      <c r="BA45" s="31">
        <f>Ordinaria!BA45</f>
        <v>0</v>
      </c>
      <c r="BB45" s="32">
        <f t="shared" si="114"/>
        <v>-1</v>
      </c>
      <c r="BC45" s="31">
        <f>Ordinaria!BC45</f>
        <v>0</v>
      </c>
      <c r="BD45" s="32">
        <f t="shared" si="115"/>
        <v>-1</v>
      </c>
      <c r="BE45" s="31">
        <f>Ordinaria!BE45</f>
        <v>0</v>
      </c>
      <c r="BF45" s="32">
        <f t="shared" si="116"/>
        <v>-1</v>
      </c>
      <c r="BG45" s="31">
        <f>Ordinaria!BG45</f>
        <v>0</v>
      </c>
      <c r="BH45" s="32">
        <f t="shared" si="117"/>
        <v>-1</v>
      </c>
      <c r="BI45" s="31">
        <f>Ordinaria!BI45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Ordinaria!B46</f>
        <v>0</v>
      </c>
      <c r="C46" s="31">
        <f>Ordinaria!C46</f>
        <v>0</v>
      </c>
      <c r="D46" s="32">
        <f t="shared" si="89"/>
        <v>-1</v>
      </c>
      <c r="E46" s="31">
        <f>Ordinaria!E46</f>
        <v>0</v>
      </c>
      <c r="F46" s="32">
        <f t="shared" si="90"/>
        <v>-1</v>
      </c>
      <c r="G46" s="31">
        <f>Ordinaria!G46</f>
        <v>0</v>
      </c>
      <c r="H46" s="32">
        <f t="shared" si="91"/>
        <v>-1</v>
      </c>
      <c r="I46" s="31">
        <f>Ordinaria!I46</f>
        <v>0</v>
      </c>
      <c r="J46" s="32">
        <f t="shared" si="92"/>
        <v>-1</v>
      </c>
      <c r="K46" s="31">
        <f>Ordinaria!K46</f>
        <v>0</v>
      </c>
      <c r="L46" s="32">
        <f t="shared" si="93"/>
        <v>-1</v>
      </c>
      <c r="M46" s="31">
        <f>Ordinaria!M46</f>
        <v>0</v>
      </c>
      <c r="N46" s="32">
        <f t="shared" si="94"/>
        <v>-1</v>
      </c>
      <c r="O46" s="31">
        <f>Ordinaria!O46</f>
        <v>0</v>
      </c>
      <c r="P46" s="32">
        <f t="shared" si="95"/>
        <v>-1</v>
      </c>
      <c r="Q46" s="31">
        <f>Ordinaria!Q46</f>
        <v>0</v>
      </c>
      <c r="R46" s="32">
        <f t="shared" si="96"/>
        <v>-1</v>
      </c>
      <c r="S46" s="31">
        <f>Ordinaria!S46</f>
        <v>0</v>
      </c>
      <c r="T46" s="32">
        <f t="shared" si="97"/>
        <v>-1</v>
      </c>
      <c r="U46" s="31">
        <f>Ordinaria!U46</f>
        <v>0</v>
      </c>
      <c r="V46" s="32">
        <f t="shared" si="98"/>
        <v>-1</v>
      </c>
      <c r="W46" s="31">
        <f>Ordinaria!W46</f>
        <v>0</v>
      </c>
      <c r="X46" s="32">
        <f t="shared" si="99"/>
        <v>-1</v>
      </c>
      <c r="Y46" s="31">
        <f>Ordinaria!Y46</f>
        <v>0</v>
      </c>
      <c r="Z46" s="32">
        <f t="shared" si="100"/>
        <v>-1</v>
      </c>
      <c r="AA46" s="31">
        <f>Ordinaria!AA46</f>
        <v>0</v>
      </c>
      <c r="AB46" s="32">
        <f t="shared" si="101"/>
        <v>-1</v>
      </c>
      <c r="AC46" s="31">
        <f>Ordinaria!AC46</f>
        <v>0</v>
      </c>
      <c r="AD46" s="32">
        <f t="shared" si="102"/>
        <v>-1</v>
      </c>
      <c r="AE46" s="31">
        <f>Ordinaria!AE46</f>
        <v>0</v>
      </c>
      <c r="AF46" s="32">
        <f t="shared" si="103"/>
        <v>-1</v>
      </c>
      <c r="AG46" s="31">
        <f>Ordinaria!AG46</f>
        <v>0</v>
      </c>
      <c r="AH46" s="32">
        <f t="shared" si="104"/>
        <v>-1</v>
      </c>
      <c r="AI46" s="31">
        <f>Ordinaria!AI46</f>
        <v>0</v>
      </c>
      <c r="AJ46" s="32">
        <f t="shared" si="105"/>
        <v>-1</v>
      </c>
      <c r="AK46" s="31">
        <f>Ordinaria!AK46</f>
        <v>0</v>
      </c>
      <c r="AL46" s="32">
        <f t="shared" si="106"/>
        <v>-1</v>
      </c>
      <c r="AM46" s="31">
        <f>Ordinaria!AM46</f>
        <v>0</v>
      </c>
      <c r="AN46" s="32">
        <f t="shared" si="107"/>
        <v>-1</v>
      </c>
      <c r="AO46" s="31">
        <f>Ordinaria!AO46</f>
        <v>0</v>
      </c>
      <c r="AP46" s="32">
        <f t="shared" si="108"/>
        <v>-1</v>
      </c>
      <c r="AQ46" s="31">
        <f>Ordinaria!AQ46</f>
        <v>0</v>
      </c>
      <c r="AR46" s="32">
        <f t="shared" si="109"/>
        <v>-1</v>
      </c>
      <c r="AS46" s="31">
        <f>Ordinaria!AS46</f>
        <v>0</v>
      </c>
      <c r="AT46" s="32">
        <f t="shared" si="110"/>
        <v>-1</v>
      </c>
      <c r="AU46" s="31">
        <f>Ordinaria!AU46</f>
        <v>0</v>
      </c>
      <c r="AV46" s="32">
        <f t="shared" si="111"/>
        <v>-1</v>
      </c>
      <c r="AW46" s="31">
        <f>Ordinaria!AW46</f>
        <v>0</v>
      </c>
      <c r="AX46" s="32">
        <f t="shared" si="112"/>
        <v>-1</v>
      </c>
      <c r="AY46" s="31">
        <f>Ordinaria!AY46</f>
        <v>0</v>
      </c>
      <c r="AZ46" s="32">
        <f t="shared" si="113"/>
        <v>-1</v>
      </c>
      <c r="BA46" s="31">
        <f>Ordinaria!BA46</f>
        <v>0</v>
      </c>
      <c r="BB46" s="32">
        <f t="shared" si="114"/>
        <v>-1</v>
      </c>
      <c r="BC46" s="31">
        <f>Ordinaria!BC46</f>
        <v>0</v>
      </c>
      <c r="BD46" s="32">
        <f t="shared" si="115"/>
        <v>-1</v>
      </c>
      <c r="BE46" s="31">
        <f>Ordinaria!BE46</f>
        <v>0</v>
      </c>
      <c r="BF46" s="32">
        <f t="shared" si="116"/>
        <v>-1</v>
      </c>
      <c r="BG46" s="31">
        <f>Ordinaria!BG46</f>
        <v>0</v>
      </c>
      <c r="BH46" s="32">
        <f t="shared" si="117"/>
        <v>-1</v>
      </c>
      <c r="BI46" s="31">
        <f>Ordinaria!BI46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Ordinaria!B47</f>
        <v>0</v>
      </c>
      <c r="C47" s="31">
        <f>Ordinaria!C47</f>
        <v>0</v>
      </c>
      <c r="D47" s="32">
        <f t="shared" si="89"/>
        <v>-1</v>
      </c>
      <c r="E47" s="31">
        <f>Ordinaria!E47</f>
        <v>0</v>
      </c>
      <c r="F47" s="32">
        <f t="shared" si="90"/>
        <v>-1</v>
      </c>
      <c r="G47" s="31">
        <f>Ordinaria!G47</f>
        <v>0</v>
      </c>
      <c r="H47" s="32">
        <f t="shared" si="91"/>
        <v>-1</v>
      </c>
      <c r="I47" s="31">
        <f>Ordinaria!I47</f>
        <v>0</v>
      </c>
      <c r="J47" s="32">
        <f t="shared" si="92"/>
        <v>-1</v>
      </c>
      <c r="K47" s="31">
        <f>Ordinaria!K47</f>
        <v>0</v>
      </c>
      <c r="L47" s="32">
        <f t="shared" si="93"/>
        <v>-1</v>
      </c>
      <c r="M47" s="31">
        <f>Ordinaria!M47</f>
        <v>0</v>
      </c>
      <c r="N47" s="32">
        <f t="shared" si="94"/>
        <v>-1</v>
      </c>
      <c r="O47" s="31">
        <f>Ordinaria!O47</f>
        <v>0</v>
      </c>
      <c r="P47" s="32">
        <f t="shared" si="95"/>
        <v>-1</v>
      </c>
      <c r="Q47" s="31">
        <f>Ordinaria!Q47</f>
        <v>0</v>
      </c>
      <c r="R47" s="32">
        <f t="shared" si="96"/>
        <v>-1</v>
      </c>
      <c r="S47" s="31">
        <f>Ordinaria!S47</f>
        <v>0</v>
      </c>
      <c r="T47" s="32">
        <f t="shared" si="97"/>
        <v>-1</v>
      </c>
      <c r="U47" s="31">
        <f>Ordinaria!U47</f>
        <v>0</v>
      </c>
      <c r="V47" s="32">
        <f t="shared" si="98"/>
        <v>-1</v>
      </c>
      <c r="W47" s="31">
        <f>Ordinaria!W47</f>
        <v>0</v>
      </c>
      <c r="X47" s="32">
        <f t="shared" si="99"/>
        <v>-1</v>
      </c>
      <c r="Y47" s="31">
        <f>Ordinaria!Y47</f>
        <v>0</v>
      </c>
      <c r="Z47" s="32">
        <f t="shared" si="100"/>
        <v>-1</v>
      </c>
      <c r="AA47" s="31">
        <f>Ordinaria!AA47</f>
        <v>0</v>
      </c>
      <c r="AB47" s="32">
        <f t="shared" si="101"/>
        <v>-1</v>
      </c>
      <c r="AC47" s="31">
        <f>Ordinaria!AC47</f>
        <v>0</v>
      </c>
      <c r="AD47" s="32">
        <f t="shared" si="102"/>
        <v>-1</v>
      </c>
      <c r="AE47" s="31">
        <f>Ordinaria!AE47</f>
        <v>0</v>
      </c>
      <c r="AF47" s="32">
        <f t="shared" si="103"/>
        <v>-1</v>
      </c>
      <c r="AG47" s="31">
        <f>Ordinaria!AG47</f>
        <v>0</v>
      </c>
      <c r="AH47" s="32">
        <f t="shared" si="104"/>
        <v>-1</v>
      </c>
      <c r="AI47" s="31">
        <f>Ordinaria!AI47</f>
        <v>0</v>
      </c>
      <c r="AJ47" s="32">
        <f t="shared" si="105"/>
        <v>-1</v>
      </c>
      <c r="AK47" s="31">
        <f>Ordinaria!AK47</f>
        <v>0</v>
      </c>
      <c r="AL47" s="32">
        <f t="shared" si="106"/>
        <v>-1</v>
      </c>
      <c r="AM47" s="31">
        <f>Ordinaria!AM47</f>
        <v>0</v>
      </c>
      <c r="AN47" s="32">
        <f t="shared" si="107"/>
        <v>-1</v>
      </c>
      <c r="AO47" s="31">
        <f>Ordinaria!AO47</f>
        <v>0</v>
      </c>
      <c r="AP47" s="32">
        <f t="shared" si="108"/>
        <v>-1</v>
      </c>
      <c r="AQ47" s="31">
        <f>Ordinaria!AQ47</f>
        <v>0</v>
      </c>
      <c r="AR47" s="32">
        <f t="shared" si="109"/>
        <v>-1</v>
      </c>
      <c r="AS47" s="31">
        <f>Ordinaria!AS47</f>
        <v>0</v>
      </c>
      <c r="AT47" s="32">
        <f t="shared" si="110"/>
        <v>-1</v>
      </c>
      <c r="AU47" s="31">
        <f>Ordinaria!AU47</f>
        <v>0</v>
      </c>
      <c r="AV47" s="32">
        <f t="shared" si="111"/>
        <v>-1</v>
      </c>
      <c r="AW47" s="31">
        <f>Ordinaria!AW47</f>
        <v>0</v>
      </c>
      <c r="AX47" s="32">
        <f t="shared" si="112"/>
        <v>-1</v>
      </c>
      <c r="AY47" s="31">
        <f>Ordinaria!AY47</f>
        <v>0</v>
      </c>
      <c r="AZ47" s="32">
        <f t="shared" si="113"/>
        <v>-1</v>
      </c>
      <c r="BA47" s="31">
        <f>Ordinaria!BA47</f>
        <v>0</v>
      </c>
      <c r="BB47" s="32">
        <f t="shared" si="114"/>
        <v>-1</v>
      </c>
      <c r="BC47" s="31">
        <f>Ordinaria!BC47</f>
        <v>0</v>
      </c>
      <c r="BD47" s="32">
        <f t="shared" si="115"/>
        <v>-1</v>
      </c>
      <c r="BE47" s="31">
        <f>Ordinaria!BE47</f>
        <v>0</v>
      </c>
      <c r="BF47" s="32">
        <f t="shared" si="116"/>
        <v>-1</v>
      </c>
      <c r="BG47" s="31">
        <f>Ordinaria!BG47</f>
        <v>0</v>
      </c>
      <c r="BH47" s="32">
        <f t="shared" si="117"/>
        <v>-1</v>
      </c>
      <c r="BI47" s="31">
        <f>Ordinaria!BI47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Ordinaria!B48</f>
        <v>0</v>
      </c>
      <c r="C48" s="31">
        <f>Ordinaria!C48</f>
        <v>0</v>
      </c>
      <c r="D48" s="32">
        <f t="shared" si="89"/>
        <v>-1</v>
      </c>
      <c r="E48" s="31">
        <f>Ordinaria!E48</f>
        <v>0</v>
      </c>
      <c r="F48" s="32">
        <f t="shared" si="90"/>
        <v>-1</v>
      </c>
      <c r="G48" s="31">
        <f>Ordinaria!G48</f>
        <v>0</v>
      </c>
      <c r="H48" s="32">
        <f t="shared" si="91"/>
        <v>-1</v>
      </c>
      <c r="I48" s="31">
        <f>Ordinaria!I48</f>
        <v>0</v>
      </c>
      <c r="J48" s="32">
        <f t="shared" si="92"/>
        <v>-1</v>
      </c>
      <c r="K48" s="31">
        <f>Ordinaria!K48</f>
        <v>0</v>
      </c>
      <c r="L48" s="32">
        <f t="shared" si="93"/>
        <v>-1</v>
      </c>
      <c r="M48" s="31">
        <f>Ordinaria!M48</f>
        <v>0</v>
      </c>
      <c r="N48" s="32">
        <f t="shared" si="94"/>
        <v>-1</v>
      </c>
      <c r="O48" s="31">
        <f>Ordinaria!O48</f>
        <v>0</v>
      </c>
      <c r="P48" s="32">
        <f t="shared" si="95"/>
        <v>-1</v>
      </c>
      <c r="Q48" s="31">
        <f>Ordinaria!Q48</f>
        <v>0</v>
      </c>
      <c r="R48" s="32">
        <f t="shared" si="96"/>
        <v>-1</v>
      </c>
      <c r="S48" s="31">
        <f>Ordinaria!S48</f>
        <v>0</v>
      </c>
      <c r="T48" s="32">
        <f t="shared" si="97"/>
        <v>-1</v>
      </c>
      <c r="U48" s="31">
        <f>Ordinaria!U48</f>
        <v>0</v>
      </c>
      <c r="V48" s="32">
        <f t="shared" si="98"/>
        <v>-1</v>
      </c>
      <c r="W48" s="31">
        <f>Ordinaria!W48</f>
        <v>0</v>
      </c>
      <c r="X48" s="32">
        <f t="shared" si="99"/>
        <v>-1</v>
      </c>
      <c r="Y48" s="31">
        <f>Ordinaria!Y48</f>
        <v>0</v>
      </c>
      <c r="Z48" s="32">
        <f t="shared" si="100"/>
        <v>-1</v>
      </c>
      <c r="AA48" s="31">
        <f>Ordinaria!AA48</f>
        <v>0</v>
      </c>
      <c r="AB48" s="32">
        <f t="shared" si="101"/>
        <v>-1</v>
      </c>
      <c r="AC48" s="31">
        <f>Ordinaria!AC48</f>
        <v>0</v>
      </c>
      <c r="AD48" s="32">
        <f t="shared" si="102"/>
        <v>-1</v>
      </c>
      <c r="AE48" s="31">
        <f>Ordinaria!AE48</f>
        <v>0</v>
      </c>
      <c r="AF48" s="32">
        <f t="shared" si="103"/>
        <v>-1</v>
      </c>
      <c r="AG48" s="31">
        <f>Ordinaria!AG48</f>
        <v>0</v>
      </c>
      <c r="AH48" s="32">
        <f t="shared" si="104"/>
        <v>-1</v>
      </c>
      <c r="AI48" s="31">
        <f>Ordinaria!AI48</f>
        <v>0</v>
      </c>
      <c r="AJ48" s="32">
        <f t="shared" si="105"/>
        <v>-1</v>
      </c>
      <c r="AK48" s="31">
        <f>Ordinaria!AK48</f>
        <v>0</v>
      </c>
      <c r="AL48" s="32">
        <f t="shared" si="106"/>
        <v>-1</v>
      </c>
      <c r="AM48" s="31">
        <f>Ordinaria!AM48</f>
        <v>0</v>
      </c>
      <c r="AN48" s="32">
        <f t="shared" si="107"/>
        <v>-1</v>
      </c>
      <c r="AO48" s="31">
        <f>Ordinaria!AO48</f>
        <v>0</v>
      </c>
      <c r="AP48" s="32">
        <f t="shared" si="108"/>
        <v>-1</v>
      </c>
      <c r="AQ48" s="31">
        <f>Ordinaria!AQ48</f>
        <v>0</v>
      </c>
      <c r="AR48" s="32">
        <f t="shared" si="109"/>
        <v>-1</v>
      </c>
      <c r="AS48" s="31">
        <f>Ordinaria!AS48</f>
        <v>0</v>
      </c>
      <c r="AT48" s="32">
        <f t="shared" si="110"/>
        <v>-1</v>
      </c>
      <c r="AU48" s="31">
        <f>Ordinaria!AU48</f>
        <v>0</v>
      </c>
      <c r="AV48" s="32">
        <f t="shared" si="111"/>
        <v>-1</v>
      </c>
      <c r="AW48" s="31">
        <f>Ordinaria!AW48</f>
        <v>0</v>
      </c>
      <c r="AX48" s="32">
        <f t="shared" si="112"/>
        <v>-1</v>
      </c>
      <c r="AY48" s="31">
        <f>Ordinaria!AY48</f>
        <v>0</v>
      </c>
      <c r="AZ48" s="32">
        <f t="shared" si="113"/>
        <v>-1</v>
      </c>
      <c r="BA48" s="31">
        <f>Ordinaria!BA48</f>
        <v>0</v>
      </c>
      <c r="BB48" s="32">
        <f t="shared" si="114"/>
        <v>-1</v>
      </c>
      <c r="BC48" s="31">
        <f>Ordinaria!BC48</f>
        <v>0</v>
      </c>
      <c r="BD48" s="32">
        <f t="shared" si="115"/>
        <v>-1</v>
      </c>
      <c r="BE48" s="31">
        <f>Ordinaria!BE48</f>
        <v>0</v>
      </c>
      <c r="BF48" s="32">
        <f t="shared" si="116"/>
        <v>-1</v>
      </c>
      <c r="BG48" s="31">
        <f>Ordinaria!BG48</f>
        <v>0</v>
      </c>
      <c r="BH48" s="32">
        <f t="shared" si="117"/>
        <v>-1</v>
      </c>
      <c r="BI48" s="31">
        <f>Ordinaria!BI48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Ordinaria!B49</f>
        <v>0</v>
      </c>
      <c r="C49" s="31">
        <f>Ordinaria!C49</f>
        <v>0</v>
      </c>
      <c r="D49" s="32">
        <f t="shared" si="89"/>
        <v>-1</v>
      </c>
      <c r="E49" s="31">
        <f>Ordinaria!E49</f>
        <v>0</v>
      </c>
      <c r="F49" s="32">
        <f t="shared" si="90"/>
        <v>-1</v>
      </c>
      <c r="G49" s="31">
        <f>Ordinaria!G49</f>
        <v>0</v>
      </c>
      <c r="H49" s="32">
        <f t="shared" si="91"/>
        <v>-1</v>
      </c>
      <c r="I49" s="31">
        <f>Ordinaria!I49</f>
        <v>0</v>
      </c>
      <c r="J49" s="32">
        <f t="shared" si="92"/>
        <v>-1</v>
      </c>
      <c r="K49" s="31">
        <f>Ordinaria!K49</f>
        <v>0</v>
      </c>
      <c r="L49" s="32">
        <f t="shared" si="93"/>
        <v>-1</v>
      </c>
      <c r="M49" s="31">
        <f>Ordinaria!M49</f>
        <v>0</v>
      </c>
      <c r="N49" s="32">
        <f t="shared" si="94"/>
        <v>-1</v>
      </c>
      <c r="O49" s="31">
        <f>Ordinaria!O49</f>
        <v>0</v>
      </c>
      <c r="P49" s="32">
        <f t="shared" si="95"/>
        <v>-1</v>
      </c>
      <c r="Q49" s="31">
        <f>Ordinaria!Q49</f>
        <v>0</v>
      </c>
      <c r="R49" s="32">
        <f t="shared" si="96"/>
        <v>-1</v>
      </c>
      <c r="S49" s="31">
        <f>Ordinaria!S49</f>
        <v>0</v>
      </c>
      <c r="T49" s="32">
        <f t="shared" si="97"/>
        <v>-1</v>
      </c>
      <c r="U49" s="31">
        <f>Ordinaria!U49</f>
        <v>0</v>
      </c>
      <c r="V49" s="32">
        <f t="shared" si="98"/>
        <v>-1</v>
      </c>
      <c r="W49" s="31">
        <f>Ordinaria!W49</f>
        <v>0</v>
      </c>
      <c r="X49" s="32">
        <f t="shared" si="99"/>
        <v>-1</v>
      </c>
      <c r="Y49" s="31">
        <f>Ordinaria!Y49</f>
        <v>0</v>
      </c>
      <c r="Z49" s="32">
        <f t="shared" si="100"/>
        <v>-1</v>
      </c>
      <c r="AA49" s="31">
        <f>Ordinaria!AA49</f>
        <v>0</v>
      </c>
      <c r="AB49" s="32">
        <f t="shared" si="101"/>
        <v>-1</v>
      </c>
      <c r="AC49" s="31">
        <f>Ordinaria!AC49</f>
        <v>0</v>
      </c>
      <c r="AD49" s="32">
        <f t="shared" si="102"/>
        <v>-1</v>
      </c>
      <c r="AE49" s="31">
        <f>Ordinaria!AE49</f>
        <v>0</v>
      </c>
      <c r="AF49" s="32">
        <f t="shared" si="103"/>
        <v>-1</v>
      </c>
      <c r="AG49" s="31">
        <f>Ordinaria!AG49</f>
        <v>0</v>
      </c>
      <c r="AH49" s="32">
        <f t="shared" si="104"/>
        <v>-1</v>
      </c>
      <c r="AI49" s="31">
        <f>Ordinaria!AI49</f>
        <v>0</v>
      </c>
      <c r="AJ49" s="32">
        <f t="shared" si="105"/>
        <v>-1</v>
      </c>
      <c r="AK49" s="31">
        <f>Ordinaria!AK49</f>
        <v>0</v>
      </c>
      <c r="AL49" s="32">
        <f t="shared" si="106"/>
        <v>-1</v>
      </c>
      <c r="AM49" s="31">
        <f>Ordinaria!AM49</f>
        <v>0</v>
      </c>
      <c r="AN49" s="32">
        <f t="shared" si="107"/>
        <v>-1</v>
      </c>
      <c r="AO49" s="31">
        <f>Ordinaria!AO49</f>
        <v>0</v>
      </c>
      <c r="AP49" s="32">
        <f t="shared" si="108"/>
        <v>-1</v>
      </c>
      <c r="AQ49" s="31">
        <f>Ordinaria!AQ49</f>
        <v>0</v>
      </c>
      <c r="AR49" s="32">
        <f t="shared" si="109"/>
        <v>-1</v>
      </c>
      <c r="AS49" s="31">
        <f>Ordinaria!AS49</f>
        <v>0</v>
      </c>
      <c r="AT49" s="32">
        <f t="shared" si="110"/>
        <v>-1</v>
      </c>
      <c r="AU49" s="31">
        <f>Ordinaria!AU49</f>
        <v>0</v>
      </c>
      <c r="AV49" s="32">
        <f t="shared" si="111"/>
        <v>-1</v>
      </c>
      <c r="AW49" s="31">
        <f>Ordinaria!AW49</f>
        <v>0</v>
      </c>
      <c r="AX49" s="32">
        <f t="shared" si="112"/>
        <v>-1</v>
      </c>
      <c r="AY49" s="31">
        <f>Ordinaria!AY49</f>
        <v>0</v>
      </c>
      <c r="AZ49" s="32">
        <f t="shared" si="113"/>
        <v>-1</v>
      </c>
      <c r="BA49" s="31">
        <f>Ordinaria!BA49</f>
        <v>0</v>
      </c>
      <c r="BB49" s="32">
        <f t="shared" si="114"/>
        <v>-1</v>
      </c>
      <c r="BC49" s="31">
        <f>Ordinaria!BC49</f>
        <v>0</v>
      </c>
      <c r="BD49" s="32">
        <f t="shared" si="115"/>
        <v>-1</v>
      </c>
      <c r="BE49" s="31">
        <f>Ordinaria!BE49</f>
        <v>0</v>
      </c>
      <c r="BF49" s="32">
        <f t="shared" si="116"/>
        <v>-1</v>
      </c>
      <c r="BG49" s="31">
        <f>Ordinaria!BG49</f>
        <v>0</v>
      </c>
      <c r="BH49" s="32">
        <f t="shared" si="117"/>
        <v>-1</v>
      </c>
      <c r="BI49" s="31">
        <f>Ordinaria!BI49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Ordinaria!B50</f>
        <v>0</v>
      </c>
      <c r="C50" s="31">
        <f>Ordinaria!C50</f>
        <v>0</v>
      </c>
      <c r="D50" s="32">
        <f t="shared" si="89"/>
        <v>-1</v>
      </c>
      <c r="E50" s="31">
        <f>Ordinaria!E50</f>
        <v>0</v>
      </c>
      <c r="F50" s="32">
        <f t="shared" si="90"/>
        <v>-1</v>
      </c>
      <c r="G50" s="31">
        <f>Ordinaria!G50</f>
        <v>0</v>
      </c>
      <c r="H50" s="32">
        <f t="shared" si="91"/>
        <v>-1</v>
      </c>
      <c r="I50" s="31">
        <f>Ordinaria!I50</f>
        <v>0</v>
      </c>
      <c r="J50" s="32">
        <f t="shared" si="92"/>
        <v>-1</v>
      </c>
      <c r="K50" s="31">
        <f>Ordinaria!K50</f>
        <v>0</v>
      </c>
      <c r="L50" s="32">
        <f t="shared" si="93"/>
        <v>-1</v>
      </c>
      <c r="M50" s="31">
        <f>Ordinaria!M50</f>
        <v>0</v>
      </c>
      <c r="N50" s="32">
        <f t="shared" si="94"/>
        <v>-1</v>
      </c>
      <c r="O50" s="31">
        <f>Ordinaria!O50</f>
        <v>0</v>
      </c>
      <c r="P50" s="32">
        <f t="shared" si="95"/>
        <v>-1</v>
      </c>
      <c r="Q50" s="31">
        <f>Ordinaria!Q50</f>
        <v>0</v>
      </c>
      <c r="R50" s="32">
        <f t="shared" si="96"/>
        <v>-1</v>
      </c>
      <c r="S50" s="31">
        <f>Ordinaria!S50</f>
        <v>0</v>
      </c>
      <c r="T50" s="32">
        <f t="shared" si="97"/>
        <v>-1</v>
      </c>
      <c r="U50" s="31">
        <f>Ordinaria!U50</f>
        <v>0</v>
      </c>
      <c r="V50" s="32">
        <f t="shared" si="98"/>
        <v>-1</v>
      </c>
      <c r="W50" s="31">
        <f>Ordinaria!W50</f>
        <v>0</v>
      </c>
      <c r="X50" s="32">
        <f t="shared" si="99"/>
        <v>-1</v>
      </c>
      <c r="Y50" s="31">
        <f>Ordinaria!Y50</f>
        <v>0</v>
      </c>
      <c r="Z50" s="32">
        <f t="shared" si="100"/>
        <v>-1</v>
      </c>
      <c r="AA50" s="31">
        <f>Ordinaria!AA50</f>
        <v>0</v>
      </c>
      <c r="AB50" s="32">
        <f t="shared" si="101"/>
        <v>-1</v>
      </c>
      <c r="AC50" s="31">
        <f>Ordinaria!AC50</f>
        <v>0</v>
      </c>
      <c r="AD50" s="32">
        <f t="shared" si="102"/>
        <v>-1</v>
      </c>
      <c r="AE50" s="31">
        <f>Ordinaria!AE50</f>
        <v>0</v>
      </c>
      <c r="AF50" s="32">
        <f t="shared" si="103"/>
        <v>-1</v>
      </c>
      <c r="AG50" s="31">
        <f>Ordinaria!AG50</f>
        <v>0</v>
      </c>
      <c r="AH50" s="32">
        <f t="shared" si="104"/>
        <v>-1</v>
      </c>
      <c r="AI50" s="31">
        <f>Ordinaria!AI50</f>
        <v>0</v>
      </c>
      <c r="AJ50" s="32">
        <f t="shared" si="105"/>
        <v>-1</v>
      </c>
      <c r="AK50" s="31">
        <f>Ordinaria!AK50</f>
        <v>0</v>
      </c>
      <c r="AL50" s="32">
        <f t="shared" si="106"/>
        <v>-1</v>
      </c>
      <c r="AM50" s="31">
        <f>Ordinaria!AM50</f>
        <v>0</v>
      </c>
      <c r="AN50" s="32">
        <f t="shared" si="107"/>
        <v>-1</v>
      </c>
      <c r="AO50" s="31">
        <f>Ordinaria!AO50</f>
        <v>0</v>
      </c>
      <c r="AP50" s="32">
        <f t="shared" si="108"/>
        <v>-1</v>
      </c>
      <c r="AQ50" s="31">
        <f>Ordinaria!AQ50</f>
        <v>0</v>
      </c>
      <c r="AR50" s="32">
        <f t="shared" si="109"/>
        <v>-1</v>
      </c>
      <c r="AS50" s="31">
        <f>Ordinaria!AS50</f>
        <v>0</v>
      </c>
      <c r="AT50" s="32">
        <f t="shared" si="110"/>
        <v>-1</v>
      </c>
      <c r="AU50" s="31">
        <f>Ordinaria!AU50</f>
        <v>0</v>
      </c>
      <c r="AV50" s="32">
        <f t="shared" si="111"/>
        <v>-1</v>
      </c>
      <c r="AW50" s="31">
        <f>Ordinaria!AW50</f>
        <v>0</v>
      </c>
      <c r="AX50" s="32">
        <f t="shared" si="112"/>
        <v>-1</v>
      </c>
      <c r="AY50" s="31">
        <f>Ordinaria!AY50</f>
        <v>0</v>
      </c>
      <c r="AZ50" s="32">
        <f t="shared" si="113"/>
        <v>-1</v>
      </c>
      <c r="BA50" s="31">
        <f>Ordinaria!BA50</f>
        <v>0</v>
      </c>
      <c r="BB50" s="32">
        <f t="shared" si="114"/>
        <v>-1</v>
      </c>
      <c r="BC50" s="31">
        <f>Ordinaria!BC50</f>
        <v>0</v>
      </c>
      <c r="BD50" s="32">
        <f t="shared" si="115"/>
        <v>-1</v>
      </c>
      <c r="BE50" s="31">
        <f>Ordinaria!BE50</f>
        <v>0</v>
      </c>
      <c r="BF50" s="32">
        <f t="shared" si="116"/>
        <v>-1</v>
      </c>
      <c r="BG50" s="31">
        <f>Ordinaria!BG50</f>
        <v>0</v>
      </c>
      <c r="BH50" s="32">
        <f t="shared" si="117"/>
        <v>-1</v>
      </c>
      <c r="BI50" s="31">
        <f>Ordinaria!BI50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Ordinaria!B51</f>
        <v>0</v>
      </c>
      <c r="C51" s="31">
        <f>Ordinaria!C51</f>
        <v>0</v>
      </c>
      <c r="D51" s="32">
        <f t="shared" si="89"/>
        <v>-1</v>
      </c>
      <c r="E51" s="31">
        <f>Ordinaria!E51</f>
        <v>0</v>
      </c>
      <c r="F51" s="32">
        <f t="shared" si="90"/>
        <v>-1</v>
      </c>
      <c r="G51" s="31">
        <f>Ordinaria!G51</f>
        <v>0</v>
      </c>
      <c r="H51" s="32">
        <f t="shared" si="91"/>
        <v>-1</v>
      </c>
      <c r="I51" s="31">
        <f>Ordinaria!I51</f>
        <v>0</v>
      </c>
      <c r="J51" s="32">
        <f t="shared" si="92"/>
        <v>-1</v>
      </c>
      <c r="K51" s="31">
        <f>Ordinaria!K51</f>
        <v>0</v>
      </c>
      <c r="L51" s="32">
        <f t="shared" si="93"/>
        <v>-1</v>
      </c>
      <c r="M51" s="31">
        <f>Ordinaria!M51</f>
        <v>0</v>
      </c>
      <c r="N51" s="32">
        <f t="shared" si="94"/>
        <v>-1</v>
      </c>
      <c r="O51" s="31">
        <f>Ordinaria!O51</f>
        <v>0</v>
      </c>
      <c r="P51" s="32">
        <f t="shared" si="95"/>
        <v>-1</v>
      </c>
      <c r="Q51" s="31">
        <f>Ordinaria!Q51</f>
        <v>0</v>
      </c>
      <c r="R51" s="32">
        <f t="shared" si="96"/>
        <v>-1</v>
      </c>
      <c r="S51" s="31">
        <f>Ordinaria!S51</f>
        <v>0</v>
      </c>
      <c r="T51" s="32">
        <f t="shared" si="97"/>
        <v>-1</v>
      </c>
      <c r="U51" s="31">
        <f>Ordinaria!U51</f>
        <v>0</v>
      </c>
      <c r="V51" s="32">
        <f t="shared" si="98"/>
        <v>-1</v>
      </c>
      <c r="W51" s="31">
        <f>Ordinaria!W51</f>
        <v>0</v>
      </c>
      <c r="X51" s="32">
        <f t="shared" si="99"/>
        <v>-1</v>
      </c>
      <c r="Y51" s="31">
        <f>Ordinaria!Y51</f>
        <v>0</v>
      </c>
      <c r="Z51" s="32">
        <f t="shared" si="100"/>
        <v>-1</v>
      </c>
      <c r="AA51" s="31">
        <f>Ordinaria!AA51</f>
        <v>0</v>
      </c>
      <c r="AB51" s="32">
        <f t="shared" si="101"/>
        <v>-1</v>
      </c>
      <c r="AC51" s="31">
        <f>Ordinaria!AC51</f>
        <v>0</v>
      </c>
      <c r="AD51" s="32">
        <f t="shared" si="102"/>
        <v>-1</v>
      </c>
      <c r="AE51" s="31">
        <f>Ordinaria!AE51</f>
        <v>0</v>
      </c>
      <c r="AF51" s="32">
        <f t="shared" si="103"/>
        <v>-1</v>
      </c>
      <c r="AG51" s="31">
        <f>Ordinaria!AG51</f>
        <v>0</v>
      </c>
      <c r="AH51" s="32">
        <f t="shared" si="104"/>
        <v>-1</v>
      </c>
      <c r="AI51" s="31">
        <f>Ordinaria!AI51</f>
        <v>0</v>
      </c>
      <c r="AJ51" s="32">
        <f t="shared" si="105"/>
        <v>-1</v>
      </c>
      <c r="AK51" s="31">
        <f>Ordinaria!AK51</f>
        <v>0</v>
      </c>
      <c r="AL51" s="32">
        <f t="shared" si="106"/>
        <v>-1</v>
      </c>
      <c r="AM51" s="31">
        <f>Ordinaria!AM51</f>
        <v>0</v>
      </c>
      <c r="AN51" s="32">
        <f t="shared" si="107"/>
        <v>-1</v>
      </c>
      <c r="AO51" s="31">
        <f>Ordinaria!AO51</f>
        <v>0</v>
      </c>
      <c r="AP51" s="32">
        <f t="shared" si="108"/>
        <v>-1</v>
      </c>
      <c r="AQ51" s="31">
        <f>Ordinaria!AQ51</f>
        <v>0</v>
      </c>
      <c r="AR51" s="32">
        <f t="shared" si="109"/>
        <v>-1</v>
      </c>
      <c r="AS51" s="31">
        <f>Ordinaria!AS51</f>
        <v>0</v>
      </c>
      <c r="AT51" s="32">
        <f t="shared" si="110"/>
        <v>-1</v>
      </c>
      <c r="AU51" s="31">
        <f>Ordinaria!AU51</f>
        <v>0</v>
      </c>
      <c r="AV51" s="32">
        <f t="shared" si="111"/>
        <v>-1</v>
      </c>
      <c r="AW51" s="31">
        <f>Ordinaria!AW51</f>
        <v>0</v>
      </c>
      <c r="AX51" s="32">
        <f t="shared" si="112"/>
        <v>-1</v>
      </c>
      <c r="AY51" s="31">
        <f>Ordinaria!AY51</f>
        <v>0</v>
      </c>
      <c r="AZ51" s="32">
        <f t="shared" si="113"/>
        <v>-1</v>
      </c>
      <c r="BA51" s="31">
        <f>Ordinaria!BA51</f>
        <v>0</v>
      </c>
      <c r="BB51" s="32">
        <f t="shared" si="114"/>
        <v>-1</v>
      </c>
      <c r="BC51" s="31">
        <f>Ordinaria!BC51</f>
        <v>0</v>
      </c>
      <c r="BD51" s="32">
        <f t="shared" si="115"/>
        <v>-1</v>
      </c>
      <c r="BE51" s="31">
        <f>Ordinaria!BE51</f>
        <v>0</v>
      </c>
      <c r="BF51" s="32">
        <f t="shared" si="116"/>
        <v>-1</v>
      </c>
      <c r="BG51" s="31">
        <f>Ordinaria!BG51</f>
        <v>0</v>
      </c>
      <c r="BH51" s="32">
        <f t="shared" si="117"/>
        <v>-1</v>
      </c>
      <c r="BI51" s="31">
        <f>Ordinaria!BI51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Ordinaria!B52</f>
        <v>0</v>
      </c>
      <c r="C52" s="31">
        <f>Ordinaria!C52</f>
        <v>0</v>
      </c>
      <c r="D52" s="32">
        <f t="shared" si="89"/>
        <v>-1</v>
      </c>
      <c r="E52" s="31">
        <f>Ordinaria!E52</f>
        <v>0</v>
      </c>
      <c r="F52" s="32">
        <f t="shared" si="90"/>
        <v>-1</v>
      </c>
      <c r="G52" s="31">
        <f>Ordinaria!G52</f>
        <v>0</v>
      </c>
      <c r="H52" s="32">
        <f t="shared" si="91"/>
        <v>-1</v>
      </c>
      <c r="I52" s="31">
        <f>Ordinaria!I52</f>
        <v>0</v>
      </c>
      <c r="J52" s="32">
        <f t="shared" si="92"/>
        <v>-1</v>
      </c>
      <c r="K52" s="31">
        <f>Ordinaria!K52</f>
        <v>0</v>
      </c>
      <c r="L52" s="32">
        <f t="shared" si="93"/>
        <v>-1</v>
      </c>
      <c r="M52" s="31">
        <f>Ordinaria!M52</f>
        <v>0</v>
      </c>
      <c r="N52" s="32">
        <f t="shared" si="94"/>
        <v>-1</v>
      </c>
      <c r="O52" s="31">
        <f>Ordinaria!O52</f>
        <v>0</v>
      </c>
      <c r="P52" s="32">
        <f t="shared" si="95"/>
        <v>-1</v>
      </c>
      <c r="Q52" s="31">
        <f>Ordinaria!Q52</f>
        <v>0</v>
      </c>
      <c r="R52" s="32">
        <f t="shared" si="96"/>
        <v>-1</v>
      </c>
      <c r="S52" s="31">
        <f>Ordinaria!S52</f>
        <v>0</v>
      </c>
      <c r="T52" s="32">
        <f t="shared" si="97"/>
        <v>-1</v>
      </c>
      <c r="U52" s="31">
        <f>Ordinaria!U52</f>
        <v>0</v>
      </c>
      <c r="V52" s="32">
        <f t="shared" si="98"/>
        <v>-1</v>
      </c>
      <c r="W52" s="31">
        <f>Ordinaria!W52</f>
        <v>0</v>
      </c>
      <c r="X52" s="32">
        <f t="shared" si="99"/>
        <v>-1</v>
      </c>
      <c r="Y52" s="31">
        <f>Ordinaria!Y52</f>
        <v>0</v>
      </c>
      <c r="Z52" s="32">
        <f t="shared" si="100"/>
        <v>-1</v>
      </c>
      <c r="AA52" s="31">
        <f>Ordinaria!AA52</f>
        <v>0</v>
      </c>
      <c r="AB52" s="32">
        <f t="shared" si="101"/>
        <v>-1</v>
      </c>
      <c r="AC52" s="31">
        <f>Ordinaria!AC52</f>
        <v>0</v>
      </c>
      <c r="AD52" s="32">
        <f t="shared" si="102"/>
        <v>-1</v>
      </c>
      <c r="AE52" s="31">
        <f>Ordinaria!AE52</f>
        <v>0</v>
      </c>
      <c r="AF52" s="32">
        <f t="shared" si="103"/>
        <v>-1</v>
      </c>
      <c r="AG52" s="31">
        <f>Ordinaria!AG52</f>
        <v>0</v>
      </c>
      <c r="AH52" s="32">
        <f t="shared" si="104"/>
        <v>-1</v>
      </c>
      <c r="AI52" s="31">
        <f>Ordinaria!AI52</f>
        <v>0</v>
      </c>
      <c r="AJ52" s="32">
        <f t="shared" si="105"/>
        <v>-1</v>
      </c>
      <c r="AK52" s="31">
        <f>Ordinaria!AK52</f>
        <v>0</v>
      </c>
      <c r="AL52" s="32">
        <f t="shared" si="106"/>
        <v>-1</v>
      </c>
      <c r="AM52" s="31">
        <f>Ordinaria!AM52</f>
        <v>0</v>
      </c>
      <c r="AN52" s="32">
        <f t="shared" si="107"/>
        <v>-1</v>
      </c>
      <c r="AO52" s="31">
        <f>Ordinaria!AO52</f>
        <v>0</v>
      </c>
      <c r="AP52" s="32">
        <f t="shared" si="108"/>
        <v>-1</v>
      </c>
      <c r="AQ52" s="31">
        <f>Ordinaria!AQ52</f>
        <v>0</v>
      </c>
      <c r="AR52" s="32">
        <f t="shared" si="109"/>
        <v>-1</v>
      </c>
      <c r="AS52" s="31">
        <f>Ordinaria!AS52</f>
        <v>0</v>
      </c>
      <c r="AT52" s="32">
        <f t="shared" si="110"/>
        <v>-1</v>
      </c>
      <c r="AU52" s="31">
        <f>Ordinaria!AU52</f>
        <v>0</v>
      </c>
      <c r="AV52" s="32">
        <f t="shared" si="111"/>
        <v>-1</v>
      </c>
      <c r="AW52" s="31">
        <f>Ordinaria!AW52</f>
        <v>0</v>
      </c>
      <c r="AX52" s="32">
        <f t="shared" si="112"/>
        <v>-1</v>
      </c>
      <c r="AY52" s="31">
        <f>Ordinaria!AY52</f>
        <v>0</v>
      </c>
      <c r="AZ52" s="32">
        <f t="shared" si="113"/>
        <v>-1</v>
      </c>
      <c r="BA52" s="31">
        <f>Ordinaria!BA52</f>
        <v>0</v>
      </c>
      <c r="BB52" s="32">
        <f t="shared" si="114"/>
        <v>-1</v>
      </c>
      <c r="BC52" s="31">
        <f>Ordinaria!BC52</f>
        <v>0</v>
      </c>
      <c r="BD52" s="32">
        <f t="shared" si="115"/>
        <v>-1</v>
      </c>
      <c r="BE52" s="31">
        <f>Ordinaria!BE52</f>
        <v>0</v>
      </c>
      <c r="BF52" s="32">
        <f t="shared" si="116"/>
        <v>-1</v>
      </c>
      <c r="BG52" s="31">
        <f>Ordinaria!BG52</f>
        <v>0</v>
      </c>
      <c r="BH52" s="32">
        <f t="shared" si="117"/>
        <v>-1</v>
      </c>
      <c r="BI52" s="31">
        <f>Ordinaria!BI52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Ordinaria!B53</f>
        <v>0</v>
      </c>
      <c r="C53" s="31">
        <f>Ordinaria!C53</f>
        <v>0</v>
      </c>
      <c r="D53" s="32">
        <f t="shared" si="89"/>
        <v>-1</v>
      </c>
      <c r="E53" s="31">
        <f>Ordinaria!E53</f>
        <v>0</v>
      </c>
      <c r="F53" s="32">
        <f t="shared" si="90"/>
        <v>-1</v>
      </c>
      <c r="G53" s="31">
        <f>Ordinaria!G53</f>
        <v>0</v>
      </c>
      <c r="H53" s="32">
        <f t="shared" si="91"/>
        <v>-1</v>
      </c>
      <c r="I53" s="31">
        <f>Ordinaria!I53</f>
        <v>0</v>
      </c>
      <c r="J53" s="32">
        <f t="shared" si="92"/>
        <v>-1</v>
      </c>
      <c r="K53" s="31">
        <f>Ordinaria!K53</f>
        <v>0</v>
      </c>
      <c r="L53" s="32">
        <f t="shared" si="93"/>
        <v>-1</v>
      </c>
      <c r="M53" s="31">
        <f>Ordinaria!M53</f>
        <v>0</v>
      </c>
      <c r="N53" s="32">
        <f t="shared" si="94"/>
        <v>-1</v>
      </c>
      <c r="O53" s="31">
        <f>Ordinaria!O53</f>
        <v>0</v>
      </c>
      <c r="P53" s="32">
        <f t="shared" si="95"/>
        <v>-1</v>
      </c>
      <c r="Q53" s="31">
        <f>Ordinaria!Q53</f>
        <v>0</v>
      </c>
      <c r="R53" s="32">
        <f t="shared" si="96"/>
        <v>-1</v>
      </c>
      <c r="S53" s="31">
        <f>Ordinaria!S53</f>
        <v>0</v>
      </c>
      <c r="T53" s="32">
        <f t="shared" si="97"/>
        <v>-1</v>
      </c>
      <c r="U53" s="31">
        <f>Ordinaria!U53</f>
        <v>0</v>
      </c>
      <c r="V53" s="32">
        <f t="shared" si="98"/>
        <v>-1</v>
      </c>
      <c r="W53" s="31">
        <f>Ordinaria!W53</f>
        <v>0</v>
      </c>
      <c r="X53" s="32">
        <f t="shared" si="99"/>
        <v>-1</v>
      </c>
      <c r="Y53" s="31">
        <f>Ordinaria!Y53</f>
        <v>0</v>
      </c>
      <c r="Z53" s="32">
        <f t="shared" si="100"/>
        <v>-1</v>
      </c>
      <c r="AA53" s="31">
        <f>Ordinaria!AA53</f>
        <v>0</v>
      </c>
      <c r="AB53" s="32">
        <f t="shared" si="101"/>
        <v>-1</v>
      </c>
      <c r="AC53" s="31">
        <f>Ordinaria!AC53</f>
        <v>0</v>
      </c>
      <c r="AD53" s="32">
        <f t="shared" si="102"/>
        <v>-1</v>
      </c>
      <c r="AE53" s="31">
        <f>Ordinaria!AE53</f>
        <v>0</v>
      </c>
      <c r="AF53" s="32">
        <f t="shared" si="103"/>
        <v>-1</v>
      </c>
      <c r="AG53" s="31">
        <f>Ordinaria!AG53</f>
        <v>0</v>
      </c>
      <c r="AH53" s="32">
        <f t="shared" si="104"/>
        <v>-1</v>
      </c>
      <c r="AI53" s="31">
        <f>Ordinaria!AI53</f>
        <v>0</v>
      </c>
      <c r="AJ53" s="32">
        <f t="shared" si="105"/>
        <v>-1</v>
      </c>
      <c r="AK53" s="31">
        <f>Ordinaria!AK53</f>
        <v>0</v>
      </c>
      <c r="AL53" s="32">
        <f t="shared" si="106"/>
        <v>-1</v>
      </c>
      <c r="AM53" s="31">
        <f>Ordinaria!AM53</f>
        <v>0</v>
      </c>
      <c r="AN53" s="32">
        <f t="shared" si="107"/>
        <v>-1</v>
      </c>
      <c r="AO53" s="31">
        <f>Ordinaria!AO53</f>
        <v>0</v>
      </c>
      <c r="AP53" s="32">
        <f t="shared" si="108"/>
        <v>-1</v>
      </c>
      <c r="AQ53" s="31">
        <f>Ordinaria!AQ53</f>
        <v>0</v>
      </c>
      <c r="AR53" s="32">
        <f t="shared" si="109"/>
        <v>-1</v>
      </c>
      <c r="AS53" s="31">
        <f>Ordinaria!AS53</f>
        <v>0</v>
      </c>
      <c r="AT53" s="32">
        <f t="shared" si="110"/>
        <v>-1</v>
      </c>
      <c r="AU53" s="31">
        <f>Ordinaria!AU53</f>
        <v>0</v>
      </c>
      <c r="AV53" s="32">
        <f t="shared" si="111"/>
        <v>-1</v>
      </c>
      <c r="AW53" s="31">
        <f>Ordinaria!AW53</f>
        <v>0</v>
      </c>
      <c r="AX53" s="32">
        <f t="shared" si="112"/>
        <v>-1</v>
      </c>
      <c r="AY53" s="31">
        <f>Ordinaria!AY53</f>
        <v>0</v>
      </c>
      <c r="AZ53" s="32">
        <f t="shared" si="113"/>
        <v>-1</v>
      </c>
      <c r="BA53" s="31">
        <f>Ordinaria!BA53</f>
        <v>0</v>
      </c>
      <c r="BB53" s="32">
        <f t="shared" si="114"/>
        <v>-1</v>
      </c>
      <c r="BC53" s="31">
        <f>Ordinaria!BC53</f>
        <v>0</v>
      </c>
      <c r="BD53" s="32">
        <f t="shared" si="115"/>
        <v>-1</v>
      </c>
      <c r="BE53" s="31">
        <f>Ordinaria!BE53</f>
        <v>0</v>
      </c>
      <c r="BF53" s="32">
        <f t="shared" si="116"/>
        <v>-1</v>
      </c>
      <c r="BG53" s="31">
        <f>Ordinaria!BG53</f>
        <v>0</v>
      </c>
      <c r="BH53" s="32">
        <f t="shared" si="117"/>
        <v>-1</v>
      </c>
      <c r="BI53" s="31">
        <f>Ordinaria!BI53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Ordinaria!B54</f>
        <v>0</v>
      </c>
      <c r="C54" s="31">
        <f>Ordinaria!C54</f>
        <v>0</v>
      </c>
      <c r="D54" s="32">
        <f t="shared" si="89"/>
        <v>-1</v>
      </c>
      <c r="E54" s="31">
        <f>Ordinaria!E54</f>
        <v>0</v>
      </c>
      <c r="F54" s="32">
        <f t="shared" si="90"/>
        <v>-1</v>
      </c>
      <c r="G54" s="31">
        <f>Ordinaria!G54</f>
        <v>0</v>
      </c>
      <c r="H54" s="32">
        <f t="shared" si="91"/>
        <v>-1</v>
      </c>
      <c r="I54" s="31">
        <f>Ordinaria!I54</f>
        <v>0</v>
      </c>
      <c r="J54" s="32">
        <f t="shared" si="92"/>
        <v>-1</v>
      </c>
      <c r="K54" s="31">
        <f>Ordinaria!K54</f>
        <v>0</v>
      </c>
      <c r="L54" s="32">
        <f t="shared" si="93"/>
        <v>-1</v>
      </c>
      <c r="M54" s="31">
        <f>Ordinaria!M54</f>
        <v>0</v>
      </c>
      <c r="N54" s="32">
        <f t="shared" si="94"/>
        <v>-1</v>
      </c>
      <c r="O54" s="31">
        <f>Ordinaria!O54</f>
        <v>0</v>
      </c>
      <c r="P54" s="32">
        <f t="shared" si="95"/>
        <v>-1</v>
      </c>
      <c r="Q54" s="31">
        <f>Ordinaria!Q54</f>
        <v>0</v>
      </c>
      <c r="R54" s="32">
        <f t="shared" si="96"/>
        <v>-1</v>
      </c>
      <c r="S54" s="31">
        <f>Ordinaria!S54</f>
        <v>0</v>
      </c>
      <c r="T54" s="32">
        <f t="shared" si="97"/>
        <v>-1</v>
      </c>
      <c r="U54" s="31">
        <f>Ordinaria!U54</f>
        <v>0</v>
      </c>
      <c r="V54" s="32">
        <f t="shared" si="98"/>
        <v>-1</v>
      </c>
      <c r="W54" s="31">
        <f>Ordinaria!W54</f>
        <v>0</v>
      </c>
      <c r="X54" s="32">
        <f t="shared" si="99"/>
        <v>-1</v>
      </c>
      <c r="Y54" s="31">
        <f>Ordinaria!Y54</f>
        <v>0</v>
      </c>
      <c r="Z54" s="32">
        <f t="shared" si="100"/>
        <v>-1</v>
      </c>
      <c r="AA54" s="31">
        <f>Ordinaria!AA54</f>
        <v>0</v>
      </c>
      <c r="AB54" s="32">
        <f t="shared" si="101"/>
        <v>-1</v>
      </c>
      <c r="AC54" s="31">
        <f>Ordinaria!AC54</f>
        <v>0</v>
      </c>
      <c r="AD54" s="32">
        <f t="shared" si="102"/>
        <v>-1</v>
      </c>
      <c r="AE54" s="31">
        <f>Ordinaria!AE54</f>
        <v>0</v>
      </c>
      <c r="AF54" s="32">
        <f t="shared" si="103"/>
        <v>-1</v>
      </c>
      <c r="AG54" s="31">
        <f>Ordinaria!AG54</f>
        <v>0</v>
      </c>
      <c r="AH54" s="32">
        <f t="shared" si="104"/>
        <v>-1</v>
      </c>
      <c r="AI54" s="31">
        <f>Ordinaria!AI54</f>
        <v>0</v>
      </c>
      <c r="AJ54" s="32">
        <f t="shared" si="105"/>
        <v>-1</v>
      </c>
      <c r="AK54" s="31">
        <f>Ordinaria!AK54</f>
        <v>0</v>
      </c>
      <c r="AL54" s="32">
        <f t="shared" si="106"/>
        <v>-1</v>
      </c>
      <c r="AM54" s="31">
        <f>Ordinaria!AM54</f>
        <v>0</v>
      </c>
      <c r="AN54" s="32">
        <f t="shared" si="107"/>
        <v>-1</v>
      </c>
      <c r="AO54" s="31">
        <f>Ordinaria!AO54</f>
        <v>0</v>
      </c>
      <c r="AP54" s="32">
        <f t="shared" si="108"/>
        <v>-1</v>
      </c>
      <c r="AQ54" s="31">
        <f>Ordinaria!AQ54</f>
        <v>0</v>
      </c>
      <c r="AR54" s="32">
        <f t="shared" si="109"/>
        <v>-1</v>
      </c>
      <c r="AS54" s="31">
        <f>Ordinaria!AS54</f>
        <v>0</v>
      </c>
      <c r="AT54" s="32">
        <f t="shared" si="110"/>
        <v>-1</v>
      </c>
      <c r="AU54" s="31">
        <f>Ordinaria!AU54</f>
        <v>0</v>
      </c>
      <c r="AV54" s="32">
        <f t="shared" si="111"/>
        <v>-1</v>
      </c>
      <c r="AW54" s="31">
        <f>Ordinaria!AW54</f>
        <v>0</v>
      </c>
      <c r="AX54" s="32">
        <f t="shared" si="112"/>
        <v>-1</v>
      </c>
      <c r="AY54" s="31">
        <f>Ordinaria!AY54</f>
        <v>0</v>
      </c>
      <c r="AZ54" s="32">
        <f t="shared" si="113"/>
        <v>-1</v>
      </c>
      <c r="BA54" s="31">
        <f>Ordinaria!BA54</f>
        <v>0</v>
      </c>
      <c r="BB54" s="32">
        <f t="shared" si="114"/>
        <v>-1</v>
      </c>
      <c r="BC54" s="31">
        <f>Ordinaria!BC54</f>
        <v>0</v>
      </c>
      <c r="BD54" s="32">
        <f t="shared" si="115"/>
        <v>-1</v>
      </c>
      <c r="BE54" s="31">
        <f>Ordinaria!BE54</f>
        <v>0</v>
      </c>
      <c r="BF54" s="32">
        <f t="shared" si="116"/>
        <v>-1</v>
      </c>
      <c r="BG54" s="31">
        <f>Ordinaria!BG54</f>
        <v>0</v>
      </c>
      <c r="BH54" s="32">
        <f t="shared" si="117"/>
        <v>-1</v>
      </c>
      <c r="BI54" s="31">
        <f>Ordinaria!BI54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Ordinaria!B55</f>
        <v>0</v>
      </c>
      <c r="C55" s="31">
        <f>Ordinaria!C55</f>
        <v>0</v>
      </c>
      <c r="D55" s="32">
        <f t="shared" si="89"/>
        <v>-1</v>
      </c>
      <c r="E55" s="31">
        <f>Ordinaria!E55</f>
        <v>0</v>
      </c>
      <c r="F55" s="32">
        <f t="shared" si="90"/>
        <v>-1</v>
      </c>
      <c r="G55" s="31">
        <f>Ordinaria!G55</f>
        <v>0</v>
      </c>
      <c r="H55" s="32">
        <f t="shared" si="91"/>
        <v>-1</v>
      </c>
      <c r="I55" s="31">
        <f>Ordinaria!I55</f>
        <v>0</v>
      </c>
      <c r="J55" s="32">
        <f t="shared" si="92"/>
        <v>-1</v>
      </c>
      <c r="K55" s="31">
        <f>Ordinaria!K55</f>
        <v>0</v>
      </c>
      <c r="L55" s="32">
        <f t="shared" si="93"/>
        <v>-1</v>
      </c>
      <c r="M55" s="31">
        <f>Ordinaria!M55</f>
        <v>0</v>
      </c>
      <c r="N55" s="32">
        <f t="shared" si="94"/>
        <v>-1</v>
      </c>
      <c r="O55" s="31">
        <f>Ordinaria!O55</f>
        <v>0</v>
      </c>
      <c r="P55" s="32">
        <f t="shared" si="95"/>
        <v>-1</v>
      </c>
      <c r="Q55" s="31">
        <f>Ordinaria!Q55</f>
        <v>0</v>
      </c>
      <c r="R55" s="32">
        <f t="shared" si="96"/>
        <v>-1</v>
      </c>
      <c r="S55" s="31">
        <f>Ordinaria!S55</f>
        <v>0</v>
      </c>
      <c r="T55" s="32">
        <f t="shared" si="97"/>
        <v>-1</v>
      </c>
      <c r="U55" s="31">
        <f>Ordinaria!U55</f>
        <v>0</v>
      </c>
      <c r="V55" s="32">
        <f t="shared" si="98"/>
        <v>-1</v>
      </c>
      <c r="W55" s="31">
        <f>Ordinaria!W55</f>
        <v>0</v>
      </c>
      <c r="X55" s="32">
        <f t="shared" si="99"/>
        <v>-1</v>
      </c>
      <c r="Y55" s="31">
        <f>Ordinaria!Y55</f>
        <v>0</v>
      </c>
      <c r="Z55" s="32">
        <f t="shared" si="100"/>
        <v>-1</v>
      </c>
      <c r="AA55" s="31">
        <f>Ordinaria!AA55</f>
        <v>0</v>
      </c>
      <c r="AB55" s="32">
        <f t="shared" si="101"/>
        <v>-1</v>
      </c>
      <c r="AC55" s="31">
        <f>Ordinaria!AC55</f>
        <v>0</v>
      </c>
      <c r="AD55" s="32">
        <f t="shared" si="102"/>
        <v>-1</v>
      </c>
      <c r="AE55" s="31">
        <f>Ordinaria!AE55</f>
        <v>0</v>
      </c>
      <c r="AF55" s="32">
        <f t="shared" si="103"/>
        <v>-1</v>
      </c>
      <c r="AG55" s="31">
        <f>Ordinaria!AG55</f>
        <v>0</v>
      </c>
      <c r="AH55" s="32">
        <f t="shared" si="104"/>
        <v>-1</v>
      </c>
      <c r="AI55" s="31">
        <f>Ordinaria!AI55</f>
        <v>0</v>
      </c>
      <c r="AJ55" s="32">
        <f t="shared" si="105"/>
        <v>-1</v>
      </c>
      <c r="AK55" s="31">
        <f>Ordinaria!AK55</f>
        <v>0</v>
      </c>
      <c r="AL55" s="32">
        <f t="shared" si="106"/>
        <v>-1</v>
      </c>
      <c r="AM55" s="31">
        <f>Ordinaria!AM55</f>
        <v>0</v>
      </c>
      <c r="AN55" s="32">
        <f t="shared" si="107"/>
        <v>-1</v>
      </c>
      <c r="AO55" s="31">
        <f>Ordinaria!AO55</f>
        <v>0</v>
      </c>
      <c r="AP55" s="32">
        <f t="shared" si="108"/>
        <v>-1</v>
      </c>
      <c r="AQ55" s="31">
        <f>Ordinaria!AQ55</f>
        <v>0</v>
      </c>
      <c r="AR55" s="32">
        <f t="shared" si="109"/>
        <v>-1</v>
      </c>
      <c r="AS55" s="31">
        <f>Ordinaria!AS55</f>
        <v>0</v>
      </c>
      <c r="AT55" s="32">
        <f t="shared" si="110"/>
        <v>-1</v>
      </c>
      <c r="AU55" s="31">
        <f>Ordinaria!AU55</f>
        <v>0</v>
      </c>
      <c r="AV55" s="32">
        <f t="shared" si="111"/>
        <v>-1</v>
      </c>
      <c r="AW55" s="31">
        <f>Ordinaria!AW55</f>
        <v>0</v>
      </c>
      <c r="AX55" s="32">
        <f t="shared" si="112"/>
        <v>-1</v>
      </c>
      <c r="AY55" s="31">
        <f>Ordinaria!AY55</f>
        <v>0</v>
      </c>
      <c r="AZ55" s="32">
        <f t="shared" si="113"/>
        <v>-1</v>
      </c>
      <c r="BA55" s="31">
        <f>Ordinaria!BA55</f>
        <v>0</v>
      </c>
      <c r="BB55" s="32">
        <f t="shared" si="114"/>
        <v>-1</v>
      </c>
      <c r="BC55" s="31">
        <f>Ordinaria!BC55</f>
        <v>0</v>
      </c>
      <c r="BD55" s="32">
        <f t="shared" si="115"/>
        <v>-1</v>
      </c>
      <c r="BE55" s="31">
        <f>Ordinaria!BE55</f>
        <v>0</v>
      </c>
      <c r="BF55" s="32">
        <f t="shared" si="116"/>
        <v>-1</v>
      </c>
      <c r="BG55" s="31">
        <f>Ordinaria!BG55</f>
        <v>0</v>
      </c>
      <c r="BH55" s="32">
        <f t="shared" si="117"/>
        <v>-1</v>
      </c>
      <c r="BI55" s="31">
        <f>Ordinaria!BI55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Ordinaria!B56</f>
        <v>0</v>
      </c>
      <c r="C56" s="31">
        <f>Ordinaria!C56</f>
        <v>0</v>
      </c>
      <c r="D56" s="32">
        <f t="shared" si="89"/>
        <v>-1</v>
      </c>
      <c r="E56" s="31">
        <f>Ordinaria!E56</f>
        <v>0</v>
      </c>
      <c r="F56" s="32">
        <f t="shared" si="90"/>
        <v>-1</v>
      </c>
      <c r="G56" s="31">
        <f>Ordinaria!G56</f>
        <v>0</v>
      </c>
      <c r="H56" s="32">
        <f t="shared" si="91"/>
        <v>-1</v>
      </c>
      <c r="I56" s="31">
        <f>Ordinaria!I56</f>
        <v>0</v>
      </c>
      <c r="J56" s="32">
        <f t="shared" si="92"/>
        <v>-1</v>
      </c>
      <c r="K56" s="31">
        <f>Ordinaria!K56</f>
        <v>0</v>
      </c>
      <c r="L56" s="32">
        <f t="shared" si="93"/>
        <v>-1</v>
      </c>
      <c r="M56" s="31">
        <f>Ordinaria!M56</f>
        <v>0</v>
      </c>
      <c r="N56" s="32">
        <f t="shared" si="94"/>
        <v>-1</v>
      </c>
      <c r="O56" s="31">
        <f>Ordinaria!O56</f>
        <v>0</v>
      </c>
      <c r="P56" s="32">
        <f t="shared" si="95"/>
        <v>-1</v>
      </c>
      <c r="Q56" s="31">
        <f>Ordinaria!Q56</f>
        <v>0</v>
      </c>
      <c r="R56" s="32">
        <f t="shared" si="96"/>
        <v>-1</v>
      </c>
      <c r="S56" s="31">
        <f>Ordinaria!S56</f>
        <v>0</v>
      </c>
      <c r="T56" s="32">
        <f t="shared" si="97"/>
        <v>-1</v>
      </c>
      <c r="U56" s="31">
        <f>Ordinaria!U56</f>
        <v>0</v>
      </c>
      <c r="V56" s="32">
        <f t="shared" si="98"/>
        <v>-1</v>
      </c>
      <c r="W56" s="31">
        <f>Ordinaria!W56</f>
        <v>0</v>
      </c>
      <c r="X56" s="32">
        <f t="shared" si="99"/>
        <v>-1</v>
      </c>
      <c r="Y56" s="31">
        <f>Ordinaria!Y56</f>
        <v>0</v>
      </c>
      <c r="Z56" s="32">
        <f t="shared" si="100"/>
        <v>-1</v>
      </c>
      <c r="AA56" s="31">
        <f>Ordinaria!AA56</f>
        <v>0</v>
      </c>
      <c r="AB56" s="32">
        <f t="shared" si="101"/>
        <v>-1</v>
      </c>
      <c r="AC56" s="31">
        <f>Ordinaria!AC56</f>
        <v>0</v>
      </c>
      <c r="AD56" s="32">
        <f t="shared" si="102"/>
        <v>-1</v>
      </c>
      <c r="AE56" s="31">
        <f>Ordinaria!AE56</f>
        <v>0</v>
      </c>
      <c r="AF56" s="32">
        <f t="shared" si="103"/>
        <v>-1</v>
      </c>
      <c r="AG56" s="31">
        <f>Ordinaria!AG56</f>
        <v>0</v>
      </c>
      <c r="AH56" s="32">
        <f t="shared" si="104"/>
        <v>-1</v>
      </c>
      <c r="AI56" s="31">
        <f>Ordinaria!AI56</f>
        <v>0</v>
      </c>
      <c r="AJ56" s="32">
        <f t="shared" si="105"/>
        <v>-1</v>
      </c>
      <c r="AK56" s="31">
        <f>Ordinaria!AK56</f>
        <v>0</v>
      </c>
      <c r="AL56" s="32">
        <f t="shared" si="106"/>
        <v>-1</v>
      </c>
      <c r="AM56" s="31">
        <f>Ordinaria!AM56</f>
        <v>0</v>
      </c>
      <c r="AN56" s="32">
        <f t="shared" si="107"/>
        <v>-1</v>
      </c>
      <c r="AO56" s="31">
        <f>Ordinaria!AO56</f>
        <v>0</v>
      </c>
      <c r="AP56" s="32">
        <f t="shared" si="108"/>
        <v>-1</v>
      </c>
      <c r="AQ56" s="31">
        <f>Ordinaria!AQ56</f>
        <v>0</v>
      </c>
      <c r="AR56" s="32">
        <f t="shared" si="109"/>
        <v>-1</v>
      </c>
      <c r="AS56" s="31">
        <f>Ordinaria!AS56</f>
        <v>0</v>
      </c>
      <c r="AT56" s="32">
        <f t="shared" si="110"/>
        <v>-1</v>
      </c>
      <c r="AU56" s="31">
        <f>Ordinaria!AU56</f>
        <v>0</v>
      </c>
      <c r="AV56" s="32">
        <f t="shared" si="111"/>
        <v>-1</v>
      </c>
      <c r="AW56" s="31">
        <f>Ordinaria!AW56</f>
        <v>0</v>
      </c>
      <c r="AX56" s="32">
        <f t="shared" si="112"/>
        <v>-1</v>
      </c>
      <c r="AY56" s="31">
        <f>Ordinaria!AY56</f>
        <v>0</v>
      </c>
      <c r="AZ56" s="32">
        <f t="shared" si="113"/>
        <v>-1</v>
      </c>
      <c r="BA56" s="31">
        <f>Ordinaria!BA56</f>
        <v>0</v>
      </c>
      <c r="BB56" s="32">
        <f t="shared" si="114"/>
        <v>-1</v>
      </c>
      <c r="BC56" s="31">
        <f>Ordinaria!BC56</f>
        <v>0</v>
      </c>
      <c r="BD56" s="32">
        <f t="shared" si="115"/>
        <v>-1</v>
      </c>
      <c r="BE56" s="31">
        <f>Ordinaria!BE56</f>
        <v>0</v>
      </c>
      <c r="BF56" s="32">
        <f t="shared" si="116"/>
        <v>-1</v>
      </c>
      <c r="BG56" s="31">
        <f>Ordinaria!BG56</f>
        <v>0</v>
      </c>
      <c r="BH56" s="32">
        <f t="shared" si="117"/>
        <v>-1</v>
      </c>
      <c r="BI56" s="31">
        <f>Ordinaria!BI56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Ordinaria!B57</f>
        <v>0</v>
      </c>
      <c r="C57" s="31">
        <f>Ordinaria!C57</f>
        <v>0</v>
      </c>
      <c r="D57" s="32">
        <f t="shared" si="89"/>
        <v>-1</v>
      </c>
      <c r="E57" s="31">
        <f>Ordinaria!E57</f>
        <v>0</v>
      </c>
      <c r="F57" s="32">
        <f t="shared" si="90"/>
        <v>-1</v>
      </c>
      <c r="G57" s="31">
        <f>Ordinaria!G57</f>
        <v>0</v>
      </c>
      <c r="H57" s="32">
        <f t="shared" si="91"/>
        <v>-1</v>
      </c>
      <c r="I57" s="31">
        <f>Ordinaria!I57</f>
        <v>0</v>
      </c>
      <c r="J57" s="32">
        <f t="shared" si="92"/>
        <v>-1</v>
      </c>
      <c r="K57" s="31">
        <f>Ordinaria!K57</f>
        <v>0</v>
      </c>
      <c r="L57" s="32">
        <f t="shared" si="93"/>
        <v>-1</v>
      </c>
      <c r="M57" s="31">
        <f>Ordinaria!M57</f>
        <v>0</v>
      </c>
      <c r="N57" s="32">
        <f t="shared" si="94"/>
        <v>-1</v>
      </c>
      <c r="O57" s="31">
        <f>Ordinaria!O57</f>
        <v>0</v>
      </c>
      <c r="P57" s="32">
        <f t="shared" si="95"/>
        <v>-1</v>
      </c>
      <c r="Q57" s="31">
        <f>Ordinaria!Q57</f>
        <v>0</v>
      </c>
      <c r="R57" s="32">
        <f t="shared" si="96"/>
        <v>-1</v>
      </c>
      <c r="S57" s="31">
        <f>Ordinaria!S57</f>
        <v>0</v>
      </c>
      <c r="T57" s="32">
        <f t="shared" si="97"/>
        <v>-1</v>
      </c>
      <c r="U57" s="31">
        <f>Ordinaria!U57</f>
        <v>0</v>
      </c>
      <c r="V57" s="32">
        <f t="shared" si="98"/>
        <v>-1</v>
      </c>
      <c r="W57" s="31">
        <f>Ordinaria!W57</f>
        <v>0</v>
      </c>
      <c r="X57" s="32">
        <f t="shared" si="99"/>
        <v>-1</v>
      </c>
      <c r="Y57" s="31">
        <f>Ordinaria!Y57</f>
        <v>0</v>
      </c>
      <c r="Z57" s="32">
        <f t="shared" si="100"/>
        <v>-1</v>
      </c>
      <c r="AA57" s="31">
        <f>Ordinaria!AA57</f>
        <v>0</v>
      </c>
      <c r="AB57" s="32">
        <f t="shared" si="101"/>
        <v>-1</v>
      </c>
      <c r="AC57" s="31">
        <f>Ordinaria!AC57</f>
        <v>0</v>
      </c>
      <c r="AD57" s="32">
        <f t="shared" si="102"/>
        <v>-1</v>
      </c>
      <c r="AE57" s="31">
        <f>Ordinaria!AE57</f>
        <v>0</v>
      </c>
      <c r="AF57" s="32">
        <f t="shared" si="103"/>
        <v>-1</v>
      </c>
      <c r="AG57" s="31">
        <f>Ordinaria!AG57</f>
        <v>0</v>
      </c>
      <c r="AH57" s="32">
        <f t="shared" si="104"/>
        <v>-1</v>
      </c>
      <c r="AI57" s="31">
        <f>Ordinaria!AI57</f>
        <v>0</v>
      </c>
      <c r="AJ57" s="32">
        <f t="shared" si="105"/>
        <v>-1</v>
      </c>
      <c r="AK57" s="31">
        <f>Ordinaria!AK57</f>
        <v>0</v>
      </c>
      <c r="AL57" s="32">
        <f t="shared" si="106"/>
        <v>-1</v>
      </c>
      <c r="AM57" s="31">
        <f>Ordinaria!AM57</f>
        <v>0</v>
      </c>
      <c r="AN57" s="32">
        <f t="shared" si="107"/>
        <v>-1</v>
      </c>
      <c r="AO57" s="31">
        <f>Ordinaria!AO57</f>
        <v>0</v>
      </c>
      <c r="AP57" s="32">
        <f t="shared" si="108"/>
        <v>-1</v>
      </c>
      <c r="AQ57" s="31">
        <f>Ordinaria!AQ57</f>
        <v>0</v>
      </c>
      <c r="AR57" s="32">
        <f t="shared" si="109"/>
        <v>-1</v>
      </c>
      <c r="AS57" s="31">
        <f>Ordinaria!AS57</f>
        <v>0</v>
      </c>
      <c r="AT57" s="32">
        <f t="shared" si="110"/>
        <v>-1</v>
      </c>
      <c r="AU57" s="31">
        <f>Ordinaria!AU57</f>
        <v>0</v>
      </c>
      <c r="AV57" s="32">
        <f t="shared" si="111"/>
        <v>-1</v>
      </c>
      <c r="AW57" s="31">
        <f>Ordinaria!AW57</f>
        <v>0</v>
      </c>
      <c r="AX57" s="32">
        <f t="shared" si="112"/>
        <v>-1</v>
      </c>
      <c r="AY57" s="31">
        <f>Ordinaria!AY57</f>
        <v>0</v>
      </c>
      <c r="AZ57" s="32">
        <f t="shared" si="113"/>
        <v>-1</v>
      </c>
      <c r="BA57" s="31">
        <f>Ordinaria!BA57</f>
        <v>0</v>
      </c>
      <c r="BB57" s="32">
        <f t="shared" si="114"/>
        <v>-1</v>
      </c>
      <c r="BC57" s="31">
        <f>Ordinaria!BC57</f>
        <v>0</v>
      </c>
      <c r="BD57" s="32">
        <f t="shared" si="115"/>
        <v>-1</v>
      </c>
      <c r="BE57" s="31">
        <f>Ordinaria!BE57</f>
        <v>0</v>
      </c>
      <c r="BF57" s="32">
        <f t="shared" si="116"/>
        <v>-1</v>
      </c>
      <c r="BG57" s="31">
        <f>Ordinaria!BG57</f>
        <v>0</v>
      </c>
      <c r="BH57" s="32">
        <f t="shared" si="117"/>
        <v>-1</v>
      </c>
      <c r="BI57" s="31">
        <f>Ordinaria!BI57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Ordinaria!B58</f>
        <v>0</v>
      </c>
      <c r="C58" s="31">
        <f>Ordinaria!C58</f>
        <v>0</v>
      </c>
      <c r="D58" s="32">
        <f t="shared" si="89"/>
        <v>-1</v>
      </c>
      <c r="E58" s="31">
        <f>Ordinaria!E58</f>
        <v>0</v>
      </c>
      <c r="F58" s="32">
        <f t="shared" si="90"/>
        <v>-1</v>
      </c>
      <c r="G58" s="31">
        <f>Ordinaria!G58</f>
        <v>0</v>
      </c>
      <c r="H58" s="32">
        <f t="shared" si="91"/>
        <v>-1</v>
      </c>
      <c r="I58" s="31">
        <f>Ordinaria!I58</f>
        <v>0</v>
      </c>
      <c r="J58" s="32">
        <f t="shared" si="92"/>
        <v>-1</v>
      </c>
      <c r="K58" s="31">
        <f>Ordinaria!K58</f>
        <v>0</v>
      </c>
      <c r="L58" s="32">
        <f t="shared" si="93"/>
        <v>-1</v>
      </c>
      <c r="M58" s="31">
        <f>Ordinaria!M58</f>
        <v>0</v>
      </c>
      <c r="N58" s="32">
        <f t="shared" si="94"/>
        <v>-1</v>
      </c>
      <c r="O58" s="31">
        <f>Ordinaria!O58</f>
        <v>0</v>
      </c>
      <c r="P58" s="32">
        <f t="shared" si="95"/>
        <v>-1</v>
      </c>
      <c r="Q58" s="31">
        <f>Ordinaria!Q58</f>
        <v>0</v>
      </c>
      <c r="R58" s="32">
        <f t="shared" si="96"/>
        <v>-1</v>
      </c>
      <c r="S58" s="31">
        <f>Ordinaria!S58</f>
        <v>0</v>
      </c>
      <c r="T58" s="32">
        <f t="shared" si="97"/>
        <v>-1</v>
      </c>
      <c r="U58" s="31">
        <f>Ordinaria!U58</f>
        <v>0</v>
      </c>
      <c r="V58" s="32">
        <f t="shared" si="98"/>
        <v>-1</v>
      </c>
      <c r="W58" s="31">
        <f>Ordinaria!W58</f>
        <v>0</v>
      </c>
      <c r="X58" s="32">
        <f t="shared" si="99"/>
        <v>-1</v>
      </c>
      <c r="Y58" s="31">
        <f>Ordinaria!Y58</f>
        <v>0</v>
      </c>
      <c r="Z58" s="32">
        <f t="shared" si="100"/>
        <v>-1</v>
      </c>
      <c r="AA58" s="31">
        <f>Ordinaria!AA58</f>
        <v>0</v>
      </c>
      <c r="AB58" s="32">
        <f t="shared" si="101"/>
        <v>-1</v>
      </c>
      <c r="AC58" s="31">
        <f>Ordinaria!AC58</f>
        <v>0</v>
      </c>
      <c r="AD58" s="32">
        <f t="shared" si="102"/>
        <v>-1</v>
      </c>
      <c r="AE58" s="31">
        <f>Ordinaria!AE58</f>
        <v>0</v>
      </c>
      <c r="AF58" s="32">
        <f t="shared" si="103"/>
        <v>-1</v>
      </c>
      <c r="AG58" s="31">
        <f>Ordinaria!AG58</f>
        <v>0</v>
      </c>
      <c r="AH58" s="32">
        <f t="shared" si="104"/>
        <v>-1</v>
      </c>
      <c r="AI58" s="31">
        <f>Ordinaria!AI58</f>
        <v>0</v>
      </c>
      <c r="AJ58" s="32">
        <f t="shared" si="105"/>
        <v>-1</v>
      </c>
      <c r="AK58" s="31">
        <f>Ordinaria!AK58</f>
        <v>0</v>
      </c>
      <c r="AL58" s="32">
        <f t="shared" si="106"/>
        <v>-1</v>
      </c>
      <c r="AM58" s="31">
        <f>Ordinaria!AM58</f>
        <v>0</v>
      </c>
      <c r="AN58" s="32">
        <f t="shared" si="107"/>
        <v>-1</v>
      </c>
      <c r="AO58" s="31">
        <f>Ordinaria!AO58</f>
        <v>0</v>
      </c>
      <c r="AP58" s="32">
        <f t="shared" si="108"/>
        <v>-1</v>
      </c>
      <c r="AQ58" s="31">
        <f>Ordinaria!AQ58</f>
        <v>0</v>
      </c>
      <c r="AR58" s="32">
        <f t="shared" si="109"/>
        <v>-1</v>
      </c>
      <c r="AS58" s="31">
        <f>Ordinaria!AS58</f>
        <v>0</v>
      </c>
      <c r="AT58" s="32">
        <f t="shared" si="110"/>
        <v>-1</v>
      </c>
      <c r="AU58" s="31">
        <f>Ordinaria!AU58</f>
        <v>0</v>
      </c>
      <c r="AV58" s="32">
        <f t="shared" si="111"/>
        <v>-1</v>
      </c>
      <c r="AW58" s="31">
        <f>Ordinaria!AW58</f>
        <v>0</v>
      </c>
      <c r="AX58" s="32">
        <f t="shared" si="112"/>
        <v>-1</v>
      </c>
      <c r="AY58" s="31">
        <f>Ordinaria!AY58</f>
        <v>0</v>
      </c>
      <c r="AZ58" s="32">
        <f t="shared" si="113"/>
        <v>-1</v>
      </c>
      <c r="BA58" s="31">
        <f>Ordinaria!BA58</f>
        <v>0</v>
      </c>
      <c r="BB58" s="32">
        <f t="shared" si="114"/>
        <v>-1</v>
      </c>
      <c r="BC58" s="31">
        <f>Ordinaria!BC58</f>
        <v>0</v>
      </c>
      <c r="BD58" s="32">
        <f t="shared" si="115"/>
        <v>-1</v>
      </c>
      <c r="BE58" s="31">
        <f>Ordinaria!BE58</f>
        <v>0</v>
      </c>
      <c r="BF58" s="32">
        <f t="shared" si="116"/>
        <v>-1</v>
      </c>
      <c r="BG58" s="31">
        <f>Ordinaria!BG58</f>
        <v>0</v>
      </c>
      <c r="BH58" s="32">
        <f t="shared" si="117"/>
        <v>-1</v>
      </c>
      <c r="BI58" s="31">
        <f>Ordinaria!BI58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2" t="str">
        <f>IF(SUM($B60:$B63)&lt;&gt;0,SUM(C60:C63)/SUM($B60:$B63)*$B59*10, "")</f>
        <v/>
      </c>
      <c r="D59" s="52"/>
      <c r="E59" s="52" t="str">
        <f>IF(SUM($B60:$B63)&lt;&gt;0,SUM(E60:E63)/SUM($B60:$B63)*$B59*10, "")</f>
        <v/>
      </c>
      <c r="F59" s="52"/>
      <c r="G59" s="52" t="str">
        <f>IF(SUM($B60:$B63)&lt;&gt;0,SUM(G60:G63)/SUM($B60:$B63)*$B59*10, "")</f>
        <v/>
      </c>
      <c r="H59" s="52"/>
      <c r="I59" s="52" t="str">
        <f>IF(SUM($B60:$B63)&lt;&gt;0,SUM(I60:I63)/SUM($B60:$B63)*$B59*10, "")</f>
        <v/>
      </c>
      <c r="J59" s="52"/>
      <c r="K59" s="52" t="str">
        <f>IF(SUM($B60:$B63)&lt;&gt;0,SUM(K60:K63)/SUM($B60:$B63)*$B59*10, "")</f>
        <v/>
      </c>
      <c r="L59" s="52"/>
      <c r="M59" s="52" t="str">
        <f>IF(SUM($B60:$B63)&lt;&gt;0,SUM(M60:M63)/SUM($B60:$B63)*$B59*10, "")</f>
        <v/>
      </c>
      <c r="N59" s="52"/>
      <c r="O59" s="52" t="str">
        <f>IF(SUM($B60:$B63)&lt;&gt;0,SUM(O60:O63)/SUM($B60:$B63)*$B59*10, "")</f>
        <v/>
      </c>
      <c r="P59" s="52"/>
      <c r="Q59" s="52" t="str">
        <f>IF(SUM($B60:$B63)&lt;&gt;0,SUM(Q60:Q63)/SUM($B60:$B63)*$B59*10, "")</f>
        <v/>
      </c>
      <c r="R59" s="52"/>
      <c r="S59" s="52" t="str">
        <f>IF(SUM($B60:$B63)&lt;&gt;0,SUM(S60:S63)/SUM($B60:$B63)*$B59*10, "")</f>
        <v/>
      </c>
      <c r="T59" s="52"/>
      <c r="U59" s="52" t="str">
        <f>IF(SUM($B60:$B63)&lt;&gt;0,SUM(U60:U63)/SUM($B60:$B63)*$B59*10, "")</f>
        <v/>
      </c>
      <c r="V59" s="52"/>
      <c r="W59" s="52" t="str">
        <f>IF(SUM($B60:$B63)&lt;&gt;0,SUM(W60:W63)/SUM($B60:$B63)*$B59*10, "")</f>
        <v/>
      </c>
      <c r="X59" s="52"/>
      <c r="Y59" s="52" t="str">
        <f>IF(SUM($B60:$B63)&lt;&gt;0,SUM(Y60:Y63)/SUM($B60:$B63)*$B59*10, "")</f>
        <v/>
      </c>
      <c r="Z59" s="52"/>
      <c r="AA59" s="52" t="str">
        <f>IF(SUM($B60:$B63)&lt;&gt;0,SUM(AA60:AA63)/SUM($B60:$B63)*$B59*10, "")</f>
        <v/>
      </c>
      <c r="AB59" s="52"/>
      <c r="AC59" s="52" t="str">
        <f>IF(SUM($B60:$B63)&lt;&gt;0,SUM(AC60:AC63)/SUM($B60:$B63)*$B59*10, "")</f>
        <v/>
      </c>
      <c r="AD59" s="52"/>
      <c r="AE59" s="52" t="str">
        <f>IF(SUM($B60:$B63)&lt;&gt;0,SUM(AE60:AE63)/SUM($B60:$B63)*$B59*10, "")</f>
        <v/>
      </c>
      <c r="AF59" s="52"/>
      <c r="AG59" s="52" t="str">
        <f>IF(SUM($B60:$B63)&lt;&gt;0,SUM(AG60:AG63)/SUM($B60:$B63)*$B59*10, "")</f>
        <v/>
      </c>
      <c r="AH59" s="52"/>
      <c r="AI59" s="52" t="str">
        <f>IF(SUM($B60:$B63)&lt;&gt;0,SUM(AI60:AI63)/SUM($B60:$B63)*$B59*10, "")</f>
        <v/>
      </c>
      <c r="AJ59" s="52"/>
      <c r="AK59" s="52" t="str">
        <f>IF(SUM($B60:$B63)&lt;&gt;0,SUM(AK60:AK63)/SUM($B60:$B63)*$B59*10, "")</f>
        <v/>
      </c>
      <c r="AL59" s="52"/>
      <c r="AM59" s="52" t="str">
        <f>IF(SUM($B60:$B63)&lt;&gt;0,SUM(AM60:AM63)/SUM($B60:$B63)*$B59*10, "")</f>
        <v/>
      </c>
      <c r="AN59" s="52"/>
      <c r="AO59" s="52" t="str">
        <f>IF(SUM($B60:$B63)&lt;&gt;0,SUM(AO60:AO63)/SUM($B60:$B63)*$B59*10, "")</f>
        <v/>
      </c>
      <c r="AP59" s="52"/>
      <c r="AQ59" s="52" t="str">
        <f>IF(SUM($B60:$B63)&lt;&gt;0,SUM(AQ60:AQ63)/SUM($B60:$B63)*$B59*10, "")</f>
        <v/>
      </c>
      <c r="AR59" s="52"/>
      <c r="AS59" s="52" t="str">
        <f>IF(SUM($B60:$B63)&lt;&gt;0,SUM(AS60:AS63)/SUM($B60:$B63)*$B59*10, "")</f>
        <v/>
      </c>
      <c r="AT59" s="52"/>
      <c r="AU59" s="52" t="str">
        <f>IF(SUM($B60:$B63)&lt;&gt;0,SUM(AU60:AU63)/SUM($B60:$B63)*$B59*10, "")</f>
        <v/>
      </c>
      <c r="AV59" s="52"/>
      <c r="AW59" s="52" t="str">
        <f>IF(SUM($B60:$B63)&lt;&gt;0,SUM(AW60:AW63)/SUM($B60:$B63)*$B59*10, "")</f>
        <v/>
      </c>
      <c r="AX59" s="52"/>
      <c r="AY59" s="52" t="str">
        <f>IF(SUM($B60:$B63)&lt;&gt;0,SUM(AY60:AY63)/SUM($B60:$B63)*$B59*10, "")</f>
        <v/>
      </c>
      <c r="AZ59" s="52"/>
      <c r="BA59" s="52" t="str">
        <f>IF(SUM($B60:$B63)&lt;&gt;0,SUM(BA60:BA63)/SUM($B60:$B63)*$B59*10, "")</f>
        <v/>
      </c>
      <c r="BB59" s="52"/>
      <c r="BC59" s="52" t="str">
        <f>IF(SUM($B60:$B63)&lt;&gt;0,SUM(BC60:BC63)/SUM($B60:$B63)*$B59*10, "")</f>
        <v/>
      </c>
      <c r="BD59" s="52"/>
      <c r="BE59" s="52" t="str">
        <f>IF(SUM($B60:$B63)&lt;&gt;0,SUM(BE60:BE63)/SUM($B60:$B63)*$B59*10, "")</f>
        <v/>
      </c>
      <c r="BF59" s="52"/>
      <c r="BG59" s="52" t="str">
        <f>IF(SUM($B60:$B63)&lt;&gt;0,SUM(BG60:BG63)/SUM($B60:$B63)*$B59*10, "")</f>
        <v/>
      </c>
      <c r="BH59" s="52"/>
      <c r="BI59" s="52" t="str">
        <f>IF(SUM($B60:$B63)&lt;&gt;0,SUM(BI60:BI63)/SUM($B60:$B63)*$B59*10, "")</f>
        <v/>
      </c>
      <c r="BJ59" s="52"/>
    </row>
    <row r="60" spans="1:62" ht="28" x14ac:dyDescent="0.2">
      <c r="A60" s="2" t="s">
        <v>59</v>
      </c>
      <c r="B60" s="13">
        <f>Ordinaria!B60</f>
        <v>0</v>
      </c>
      <c r="C60" s="31">
        <f>Ordinaria!C60</f>
        <v>0</v>
      </c>
      <c r="D60" s="32">
        <f>IF($B60,C60/$B60,-1)</f>
        <v>-1</v>
      </c>
      <c r="E60" s="31">
        <f>Ordinaria!E60</f>
        <v>0</v>
      </c>
      <c r="F60" s="32">
        <f>IF($B60,E60/$B60,-1)</f>
        <v>-1</v>
      </c>
      <c r="G60" s="31">
        <f>Ordinaria!G60</f>
        <v>0</v>
      </c>
      <c r="H60" s="32">
        <f>IF($B60,G60/$B60,-1)</f>
        <v>-1</v>
      </c>
      <c r="I60" s="31">
        <f>Ordinaria!I60</f>
        <v>0</v>
      </c>
      <c r="J60" s="32">
        <f>IF($B60,I60/$B60,-1)</f>
        <v>-1</v>
      </c>
      <c r="K60" s="31">
        <f>Ordinaria!K60</f>
        <v>0</v>
      </c>
      <c r="L60" s="32">
        <f>IF($B60,K60/$B60,-1)</f>
        <v>-1</v>
      </c>
      <c r="M60" s="31">
        <f>Ordinaria!M60</f>
        <v>0</v>
      </c>
      <c r="N60" s="32">
        <f>IF($B60,M60/$B60,-1)</f>
        <v>-1</v>
      </c>
      <c r="O60" s="31">
        <f>Ordinaria!O60</f>
        <v>0</v>
      </c>
      <c r="P60" s="32">
        <f>IF($B60,O60/$B60,-1)</f>
        <v>-1</v>
      </c>
      <c r="Q60" s="31">
        <f>Ordinaria!Q60</f>
        <v>0</v>
      </c>
      <c r="R60" s="32">
        <f>IF($B60,Q60/$B60,-1)</f>
        <v>-1</v>
      </c>
      <c r="S60" s="31">
        <f>Ordinaria!S60</f>
        <v>0</v>
      </c>
      <c r="T60" s="32">
        <f>IF($B60,S60/$B60,-1)</f>
        <v>-1</v>
      </c>
      <c r="U60" s="31">
        <f>Ordinaria!U60</f>
        <v>0</v>
      </c>
      <c r="V60" s="32">
        <f>IF($B60,U60/$B60,-1)</f>
        <v>-1</v>
      </c>
      <c r="W60" s="31">
        <f>Ordinaria!W60</f>
        <v>0</v>
      </c>
      <c r="X60" s="32">
        <f>IF($B60,W60/$B60,-1)</f>
        <v>-1</v>
      </c>
      <c r="Y60" s="31">
        <f>Ordinaria!Y60</f>
        <v>0</v>
      </c>
      <c r="Z60" s="32">
        <f>IF($B60,Y60/$B60,-1)</f>
        <v>-1</v>
      </c>
      <c r="AA60" s="31">
        <f>Ordinaria!AA60</f>
        <v>0</v>
      </c>
      <c r="AB60" s="32">
        <f>IF($B60,AA60/$B60,-1)</f>
        <v>-1</v>
      </c>
      <c r="AC60" s="31">
        <f>Ordinaria!AC60</f>
        <v>0</v>
      </c>
      <c r="AD60" s="32">
        <f>IF($B60,AC60/$B60,-1)</f>
        <v>-1</v>
      </c>
      <c r="AE60" s="31">
        <f>Ordinaria!AE60</f>
        <v>0</v>
      </c>
      <c r="AF60" s="32">
        <f>IF($B60,AE60/$B60,-1)</f>
        <v>-1</v>
      </c>
      <c r="AG60" s="31">
        <f>Ordinaria!AG60</f>
        <v>0</v>
      </c>
      <c r="AH60" s="32">
        <f>IF($B60,AG60/$B60,-1)</f>
        <v>-1</v>
      </c>
      <c r="AI60" s="31">
        <f>Ordinaria!AI60</f>
        <v>0</v>
      </c>
      <c r="AJ60" s="32">
        <f>IF($B60,AI60/$B60,-1)</f>
        <v>-1</v>
      </c>
      <c r="AK60" s="31">
        <f>Ordinaria!AK60</f>
        <v>0</v>
      </c>
      <c r="AL60" s="32">
        <f>IF($B60,AK60/$B60,-1)</f>
        <v>-1</v>
      </c>
      <c r="AM60" s="31">
        <f>Ordinaria!AM60</f>
        <v>0</v>
      </c>
      <c r="AN60" s="32">
        <f>IF($B60,AM60/$B60,-1)</f>
        <v>-1</v>
      </c>
      <c r="AO60" s="31">
        <f>Ordinaria!AO60</f>
        <v>0</v>
      </c>
      <c r="AP60" s="32">
        <f>IF($B60,AO60/$B60,-1)</f>
        <v>-1</v>
      </c>
      <c r="AQ60" s="31">
        <f>Ordinaria!AQ60</f>
        <v>0</v>
      </c>
      <c r="AR60" s="32">
        <f>IF($B60,AQ60/$B60,-1)</f>
        <v>-1</v>
      </c>
      <c r="AS60" s="31">
        <f>Ordinaria!AS60</f>
        <v>0</v>
      </c>
      <c r="AT60" s="32">
        <f>IF($B60,AS60/$B60,-1)</f>
        <v>-1</v>
      </c>
      <c r="AU60" s="31">
        <f>Ordinaria!AU60</f>
        <v>0</v>
      </c>
      <c r="AV60" s="32">
        <f>IF($B60,AU60/$B60,-1)</f>
        <v>-1</v>
      </c>
      <c r="AW60" s="31">
        <f>Ordinaria!AW60</f>
        <v>0</v>
      </c>
      <c r="AX60" s="32">
        <f>IF($B60,AW60/$B60,-1)</f>
        <v>-1</v>
      </c>
      <c r="AY60" s="31">
        <f>Ordinaria!AY60</f>
        <v>0</v>
      </c>
      <c r="AZ60" s="32">
        <f>IF($B60,AY60/$B60,-1)</f>
        <v>-1</v>
      </c>
      <c r="BA60" s="31">
        <f>Ordinaria!BA60</f>
        <v>0</v>
      </c>
      <c r="BB60" s="32">
        <f>IF($B60,BA60/$B60,-1)</f>
        <v>-1</v>
      </c>
      <c r="BC60" s="31">
        <f>Ordinaria!BC60</f>
        <v>0</v>
      </c>
      <c r="BD60" s="32">
        <f>IF($B60,BC60/$B60,-1)</f>
        <v>-1</v>
      </c>
      <c r="BE60" s="31">
        <f>Ordinaria!BE60</f>
        <v>0</v>
      </c>
      <c r="BF60" s="32">
        <f>IF($B60,BE60/$B60,-1)</f>
        <v>-1</v>
      </c>
      <c r="BG60" s="31">
        <f>Ordinaria!BG60</f>
        <v>0</v>
      </c>
      <c r="BH60" s="32">
        <f>IF($B60,BG60/$B60,-1)</f>
        <v>-1</v>
      </c>
      <c r="BI60" s="31">
        <f>Ordinaria!BI60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Ordinaria!B61</f>
        <v>0</v>
      </c>
      <c r="C61" s="31">
        <f>Ordinaria!C61</f>
        <v>0</v>
      </c>
      <c r="D61" s="32">
        <f>IF($B61,C61/$B61,-1)</f>
        <v>-1</v>
      </c>
      <c r="E61" s="31">
        <f>Ordinaria!E61</f>
        <v>0</v>
      </c>
      <c r="F61" s="32">
        <f>IF($B61,E61/$B61,-1)</f>
        <v>-1</v>
      </c>
      <c r="G61" s="31">
        <f>Ordinaria!G61</f>
        <v>0</v>
      </c>
      <c r="H61" s="32">
        <f>IF($B61,G61/$B61,-1)</f>
        <v>-1</v>
      </c>
      <c r="I61" s="31">
        <f>Ordinaria!I61</f>
        <v>0</v>
      </c>
      <c r="J61" s="32">
        <f>IF($B61,I61/$B61,-1)</f>
        <v>-1</v>
      </c>
      <c r="K61" s="31">
        <f>Ordinaria!K61</f>
        <v>0</v>
      </c>
      <c r="L61" s="32">
        <f>IF($B61,K61/$B61,-1)</f>
        <v>-1</v>
      </c>
      <c r="M61" s="31">
        <f>Ordinaria!M61</f>
        <v>0</v>
      </c>
      <c r="N61" s="32">
        <f>IF($B61,M61/$B61,-1)</f>
        <v>-1</v>
      </c>
      <c r="O61" s="31">
        <f>Ordinaria!O61</f>
        <v>0</v>
      </c>
      <c r="P61" s="32">
        <f>IF($B61,O61/$B61,-1)</f>
        <v>-1</v>
      </c>
      <c r="Q61" s="31">
        <f>Ordinaria!Q61</f>
        <v>0</v>
      </c>
      <c r="R61" s="32">
        <f>IF($B61,Q61/$B61,-1)</f>
        <v>-1</v>
      </c>
      <c r="S61" s="31">
        <f>Ordinaria!S61</f>
        <v>0</v>
      </c>
      <c r="T61" s="32">
        <f>IF($B61,S61/$B61,-1)</f>
        <v>-1</v>
      </c>
      <c r="U61" s="31">
        <f>Ordinaria!U61</f>
        <v>0</v>
      </c>
      <c r="V61" s="32">
        <f>IF($B61,U61/$B61,-1)</f>
        <v>-1</v>
      </c>
      <c r="W61" s="31">
        <f>Ordinaria!W61</f>
        <v>0</v>
      </c>
      <c r="X61" s="32">
        <f>IF($B61,W61/$B61,-1)</f>
        <v>-1</v>
      </c>
      <c r="Y61" s="31">
        <f>Ordinaria!Y61</f>
        <v>0</v>
      </c>
      <c r="Z61" s="32">
        <f>IF($B61,Y61/$B61,-1)</f>
        <v>-1</v>
      </c>
      <c r="AA61" s="31">
        <f>Ordinaria!AA61</f>
        <v>0</v>
      </c>
      <c r="AB61" s="32">
        <f>IF($B61,AA61/$B61,-1)</f>
        <v>-1</v>
      </c>
      <c r="AC61" s="31">
        <f>Ordinaria!AC61</f>
        <v>0</v>
      </c>
      <c r="AD61" s="32">
        <f>IF($B61,AC61/$B61,-1)</f>
        <v>-1</v>
      </c>
      <c r="AE61" s="31">
        <f>Ordinaria!AE61</f>
        <v>0</v>
      </c>
      <c r="AF61" s="32">
        <f>IF($B61,AE61/$B61,-1)</f>
        <v>-1</v>
      </c>
      <c r="AG61" s="31">
        <f>Ordinaria!AG61</f>
        <v>0</v>
      </c>
      <c r="AH61" s="32">
        <f>IF($B61,AG61/$B61,-1)</f>
        <v>-1</v>
      </c>
      <c r="AI61" s="31">
        <f>Ordinaria!AI61</f>
        <v>0</v>
      </c>
      <c r="AJ61" s="32">
        <f>IF($B61,AI61/$B61,-1)</f>
        <v>-1</v>
      </c>
      <c r="AK61" s="31">
        <f>Ordinaria!AK61</f>
        <v>0</v>
      </c>
      <c r="AL61" s="32">
        <f>IF($B61,AK61/$B61,-1)</f>
        <v>-1</v>
      </c>
      <c r="AM61" s="31">
        <f>Ordinaria!AM61</f>
        <v>0</v>
      </c>
      <c r="AN61" s="32">
        <f>IF($B61,AM61/$B61,-1)</f>
        <v>-1</v>
      </c>
      <c r="AO61" s="31">
        <f>Ordinaria!AO61</f>
        <v>0</v>
      </c>
      <c r="AP61" s="32">
        <f>IF($B61,AO61/$B61,-1)</f>
        <v>-1</v>
      </c>
      <c r="AQ61" s="31">
        <f>Ordinaria!AQ61</f>
        <v>0</v>
      </c>
      <c r="AR61" s="32">
        <f>IF($B61,AQ61/$B61,-1)</f>
        <v>-1</v>
      </c>
      <c r="AS61" s="31">
        <f>Ordinaria!AS61</f>
        <v>0</v>
      </c>
      <c r="AT61" s="32">
        <f>IF($B61,AS61/$B61,-1)</f>
        <v>-1</v>
      </c>
      <c r="AU61" s="31">
        <f>Ordinaria!AU61</f>
        <v>0</v>
      </c>
      <c r="AV61" s="32">
        <f>IF($B61,AU61/$B61,-1)</f>
        <v>-1</v>
      </c>
      <c r="AW61" s="31">
        <f>Ordinaria!AW61</f>
        <v>0</v>
      </c>
      <c r="AX61" s="32">
        <f>IF($B61,AW61/$B61,-1)</f>
        <v>-1</v>
      </c>
      <c r="AY61" s="31">
        <f>Ordinaria!AY61</f>
        <v>0</v>
      </c>
      <c r="AZ61" s="32">
        <f>IF($B61,AY61/$B61,-1)</f>
        <v>-1</v>
      </c>
      <c r="BA61" s="31">
        <f>Ordinaria!BA61</f>
        <v>0</v>
      </c>
      <c r="BB61" s="32">
        <f>IF($B61,BA61/$B61,-1)</f>
        <v>-1</v>
      </c>
      <c r="BC61" s="31">
        <f>Ordinaria!BC61</f>
        <v>0</v>
      </c>
      <c r="BD61" s="32">
        <f>IF($B61,BC61/$B61,-1)</f>
        <v>-1</v>
      </c>
      <c r="BE61" s="31">
        <f>Ordinaria!BE61</f>
        <v>0</v>
      </c>
      <c r="BF61" s="32">
        <f>IF($B61,BE61/$B61,-1)</f>
        <v>-1</v>
      </c>
      <c r="BG61" s="31">
        <f>Ordinaria!BG61</f>
        <v>0</v>
      </c>
      <c r="BH61" s="32">
        <f>IF($B61,BG61/$B61,-1)</f>
        <v>-1</v>
      </c>
      <c r="BI61" s="31">
        <f>Ordinaria!BI61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Ordinaria!B62</f>
        <v>0</v>
      </c>
      <c r="C62" s="31">
        <f>Ordinaria!C62</f>
        <v>0</v>
      </c>
      <c r="D62" s="32">
        <f>IF($B62,C62/$B62,-1)</f>
        <v>-1</v>
      </c>
      <c r="E62" s="31">
        <f>Ordinaria!E62</f>
        <v>0</v>
      </c>
      <c r="F62" s="32">
        <f>IF($B62,E62/$B62,-1)</f>
        <v>-1</v>
      </c>
      <c r="G62" s="31">
        <f>Ordinaria!G62</f>
        <v>0</v>
      </c>
      <c r="H62" s="32">
        <f>IF($B62,G62/$B62,-1)</f>
        <v>-1</v>
      </c>
      <c r="I62" s="31">
        <f>Ordinaria!I62</f>
        <v>0</v>
      </c>
      <c r="J62" s="32">
        <f>IF($B62,I62/$B62,-1)</f>
        <v>-1</v>
      </c>
      <c r="K62" s="31">
        <f>Ordinaria!K62</f>
        <v>0</v>
      </c>
      <c r="L62" s="32">
        <f>IF($B62,K62/$B62,-1)</f>
        <v>-1</v>
      </c>
      <c r="M62" s="31">
        <f>Ordinaria!M62</f>
        <v>0</v>
      </c>
      <c r="N62" s="32">
        <f>IF($B62,M62/$B62,-1)</f>
        <v>-1</v>
      </c>
      <c r="O62" s="31">
        <f>Ordinaria!O62</f>
        <v>0</v>
      </c>
      <c r="P62" s="32">
        <f>IF($B62,O62/$B62,-1)</f>
        <v>-1</v>
      </c>
      <c r="Q62" s="31">
        <f>Ordinaria!Q62</f>
        <v>0</v>
      </c>
      <c r="R62" s="32">
        <f>IF($B62,Q62/$B62,-1)</f>
        <v>-1</v>
      </c>
      <c r="S62" s="31">
        <f>Ordinaria!S62</f>
        <v>0</v>
      </c>
      <c r="T62" s="32">
        <f>IF($B62,S62/$B62,-1)</f>
        <v>-1</v>
      </c>
      <c r="U62" s="31">
        <f>Ordinaria!U62</f>
        <v>0</v>
      </c>
      <c r="V62" s="32">
        <f>IF($B62,U62/$B62,-1)</f>
        <v>-1</v>
      </c>
      <c r="W62" s="31">
        <f>Ordinaria!W62</f>
        <v>0</v>
      </c>
      <c r="X62" s="32">
        <f>IF($B62,W62/$B62,-1)</f>
        <v>-1</v>
      </c>
      <c r="Y62" s="31">
        <f>Ordinaria!Y62</f>
        <v>0</v>
      </c>
      <c r="Z62" s="32">
        <f>IF($B62,Y62/$B62,-1)</f>
        <v>-1</v>
      </c>
      <c r="AA62" s="31">
        <f>Ordinaria!AA62</f>
        <v>0</v>
      </c>
      <c r="AB62" s="32">
        <f>IF($B62,AA62/$B62,-1)</f>
        <v>-1</v>
      </c>
      <c r="AC62" s="31">
        <f>Ordinaria!AC62</f>
        <v>0</v>
      </c>
      <c r="AD62" s="32">
        <f>IF($B62,AC62/$B62,-1)</f>
        <v>-1</v>
      </c>
      <c r="AE62" s="31">
        <f>Ordinaria!AE62</f>
        <v>0</v>
      </c>
      <c r="AF62" s="32">
        <f>IF($B62,AE62/$B62,-1)</f>
        <v>-1</v>
      </c>
      <c r="AG62" s="31">
        <f>Ordinaria!AG62</f>
        <v>0</v>
      </c>
      <c r="AH62" s="32">
        <f>IF($B62,AG62/$B62,-1)</f>
        <v>-1</v>
      </c>
      <c r="AI62" s="31">
        <f>Ordinaria!AI62</f>
        <v>0</v>
      </c>
      <c r="AJ62" s="32">
        <f>IF($B62,AI62/$B62,-1)</f>
        <v>-1</v>
      </c>
      <c r="AK62" s="31">
        <f>Ordinaria!AK62</f>
        <v>0</v>
      </c>
      <c r="AL62" s="32">
        <f>IF($B62,AK62/$B62,-1)</f>
        <v>-1</v>
      </c>
      <c r="AM62" s="31">
        <f>Ordinaria!AM62</f>
        <v>0</v>
      </c>
      <c r="AN62" s="32">
        <f>IF($B62,AM62/$B62,-1)</f>
        <v>-1</v>
      </c>
      <c r="AO62" s="31">
        <f>Ordinaria!AO62</f>
        <v>0</v>
      </c>
      <c r="AP62" s="32">
        <f>IF($B62,AO62/$B62,-1)</f>
        <v>-1</v>
      </c>
      <c r="AQ62" s="31">
        <f>Ordinaria!AQ62</f>
        <v>0</v>
      </c>
      <c r="AR62" s="32">
        <f>IF($B62,AQ62/$B62,-1)</f>
        <v>-1</v>
      </c>
      <c r="AS62" s="31">
        <f>Ordinaria!AS62</f>
        <v>0</v>
      </c>
      <c r="AT62" s="32">
        <f>IF($B62,AS62/$B62,-1)</f>
        <v>-1</v>
      </c>
      <c r="AU62" s="31">
        <f>Ordinaria!AU62</f>
        <v>0</v>
      </c>
      <c r="AV62" s="32">
        <f>IF($B62,AU62/$B62,-1)</f>
        <v>-1</v>
      </c>
      <c r="AW62" s="31">
        <f>Ordinaria!AW62</f>
        <v>0</v>
      </c>
      <c r="AX62" s="32">
        <f>IF($B62,AW62/$B62,-1)</f>
        <v>-1</v>
      </c>
      <c r="AY62" s="31">
        <f>Ordinaria!AY62</f>
        <v>0</v>
      </c>
      <c r="AZ62" s="32">
        <f>IF($B62,AY62/$B62,-1)</f>
        <v>-1</v>
      </c>
      <c r="BA62" s="31">
        <f>Ordinaria!BA62</f>
        <v>0</v>
      </c>
      <c r="BB62" s="32">
        <f>IF($B62,BA62/$B62,-1)</f>
        <v>-1</v>
      </c>
      <c r="BC62" s="31">
        <f>Ordinaria!BC62</f>
        <v>0</v>
      </c>
      <c r="BD62" s="32">
        <f>IF($B62,BC62/$B62,-1)</f>
        <v>-1</v>
      </c>
      <c r="BE62" s="31">
        <f>Ordinaria!BE62</f>
        <v>0</v>
      </c>
      <c r="BF62" s="32">
        <f>IF($B62,BE62/$B62,-1)</f>
        <v>-1</v>
      </c>
      <c r="BG62" s="31">
        <f>Ordinaria!BG62</f>
        <v>0</v>
      </c>
      <c r="BH62" s="32">
        <f>IF($B62,BG62/$B62,-1)</f>
        <v>-1</v>
      </c>
      <c r="BI62" s="31">
        <f>Ordinaria!BI62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Ordinaria!B63</f>
        <v>0</v>
      </c>
      <c r="C63" s="31">
        <f>Ordinaria!C63</f>
        <v>0</v>
      </c>
      <c r="D63" s="32">
        <f>IF($B63,C63/$B63,-1)</f>
        <v>-1</v>
      </c>
      <c r="E63" s="31">
        <f>Ordinaria!E63</f>
        <v>0</v>
      </c>
      <c r="F63" s="32">
        <f>IF($B63,E63/$B63,-1)</f>
        <v>-1</v>
      </c>
      <c r="G63" s="31">
        <f>Ordinaria!G63</f>
        <v>0</v>
      </c>
      <c r="H63" s="32">
        <f>IF($B63,G63/$B63,-1)</f>
        <v>-1</v>
      </c>
      <c r="I63" s="31">
        <f>Ordinaria!I63</f>
        <v>0</v>
      </c>
      <c r="J63" s="32">
        <f>IF($B63,I63/$B63,-1)</f>
        <v>-1</v>
      </c>
      <c r="K63" s="31">
        <f>Ordinaria!K63</f>
        <v>0</v>
      </c>
      <c r="L63" s="32">
        <f>IF($B63,K63/$B63,-1)</f>
        <v>-1</v>
      </c>
      <c r="M63" s="31">
        <f>Ordinaria!M63</f>
        <v>0</v>
      </c>
      <c r="N63" s="32">
        <f>IF($B63,M63/$B63,-1)</f>
        <v>-1</v>
      </c>
      <c r="O63" s="31">
        <f>Ordinaria!O63</f>
        <v>0</v>
      </c>
      <c r="P63" s="32">
        <f>IF($B63,O63/$B63,-1)</f>
        <v>-1</v>
      </c>
      <c r="Q63" s="31">
        <f>Ordinaria!Q63</f>
        <v>0</v>
      </c>
      <c r="R63" s="32">
        <f>IF($B63,Q63/$B63,-1)</f>
        <v>-1</v>
      </c>
      <c r="S63" s="31">
        <f>Ordinaria!S63</f>
        <v>0</v>
      </c>
      <c r="T63" s="32">
        <f>IF($B63,S63/$B63,-1)</f>
        <v>-1</v>
      </c>
      <c r="U63" s="31">
        <f>Ordinaria!U63</f>
        <v>0</v>
      </c>
      <c r="V63" s="32">
        <f>IF($B63,U63/$B63,-1)</f>
        <v>-1</v>
      </c>
      <c r="W63" s="31">
        <f>Ordinaria!W63</f>
        <v>0</v>
      </c>
      <c r="X63" s="32">
        <f>IF($B63,W63/$B63,-1)</f>
        <v>-1</v>
      </c>
      <c r="Y63" s="31">
        <f>Ordinaria!Y63</f>
        <v>0</v>
      </c>
      <c r="Z63" s="32">
        <f>IF($B63,Y63/$B63,-1)</f>
        <v>-1</v>
      </c>
      <c r="AA63" s="31">
        <f>Ordinaria!AA63</f>
        <v>0</v>
      </c>
      <c r="AB63" s="32">
        <f>IF($B63,AA63/$B63,-1)</f>
        <v>-1</v>
      </c>
      <c r="AC63" s="31">
        <f>Ordinaria!AC63</f>
        <v>0</v>
      </c>
      <c r="AD63" s="32">
        <f>IF($B63,AC63/$B63,-1)</f>
        <v>-1</v>
      </c>
      <c r="AE63" s="31">
        <f>Ordinaria!AE63</f>
        <v>0</v>
      </c>
      <c r="AF63" s="32">
        <f>IF($B63,AE63/$B63,-1)</f>
        <v>-1</v>
      </c>
      <c r="AG63" s="31">
        <f>Ordinaria!AG63</f>
        <v>0</v>
      </c>
      <c r="AH63" s="32">
        <f>IF($B63,AG63/$B63,-1)</f>
        <v>-1</v>
      </c>
      <c r="AI63" s="31">
        <f>Ordinaria!AI63</f>
        <v>0</v>
      </c>
      <c r="AJ63" s="32">
        <f>IF($B63,AI63/$B63,-1)</f>
        <v>-1</v>
      </c>
      <c r="AK63" s="31">
        <f>Ordinaria!AK63</f>
        <v>0</v>
      </c>
      <c r="AL63" s="32">
        <f>IF($B63,AK63/$B63,-1)</f>
        <v>-1</v>
      </c>
      <c r="AM63" s="31">
        <f>Ordinaria!AM63</f>
        <v>0</v>
      </c>
      <c r="AN63" s="32">
        <f>IF($B63,AM63/$B63,-1)</f>
        <v>-1</v>
      </c>
      <c r="AO63" s="31">
        <f>Ordinaria!AO63</f>
        <v>0</v>
      </c>
      <c r="AP63" s="32">
        <f>IF($B63,AO63/$B63,-1)</f>
        <v>-1</v>
      </c>
      <c r="AQ63" s="31">
        <f>Ordinaria!AQ63</f>
        <v>0</v>
      </c>
      <c r="AR63" s="32">
        <f>IF($B63,AQ63/$B63,-1)</f>
        <v>-1</v>
      </c>
      <c r="AS63" s="31">
        <f>Ordinaria!AS63</f>
        <v>0</v>
      </c>
      <c r="AT63" s="32">
        <f>IF($B63,AS63/$B63,-1)</f>
        <v>-1</v>
      </c>
      <c r="AU63" s="31">
        <f>Ordinaria!AU63</f>
        <v>0</v>
      </c>
      <c r="AV63" s="32">
        <f>IF($B63,AU63/$B63,-1)</f>
        <v>-1</v>
      </c>
      <c r="AW63" s="31">
        <f>Ordinaria!AW63</f>
        <v>0</v>
      </c>
      <c r="AX63" s="32">
        <f>IF($B63,AW63/$B63,-1)</f>
        <v>-1</v>
      </c>
      <c r="AY63" s="31">
        <f>Ordinaria!AY63</f>
        <v>0</v>
      </c>
      <c r="AZ63" s="32">
        <f>IF($B63,AY63/$B63,-1)</f>
        <v>-1</v>
      </c>
      <c r="BA63" s="31">
        <f>Ordinaria!BA63</f>
        <v>0</v>
      </c>
      <c r="BB63" s="32">
        <f>IF($B63,BA63/$B63,-1)</f>
        <v>-1</v>
      </c>
      <c r="BC63" s="31">
        <f>Ordinaria!BC63</f>
        <v>0</v>
      </c>
      <c r="BD63" s="32">
        <f>IF($B63,BC63/$B63,-1)</f>
        <v>-1</v>
      </c>
      <c r="BE63" s="31">
        <f>Ordinaria!BE63</f>
        <v>0</v>
      </c>
      <c r="BF63" s="32">
        <f>IF($B63,BE63/$B63,-1)</f>
        <v>-1</v>
      </c>
      <c r="BG63" s="31">
        <f>Ordinaria!BG63</f>
        <v>0</v>
      </c>
      <c r="BH63" s="32">
        <f>IF($B63,BG63/$B63,-1)</f>
        <v>-1</v>
      </c>
      <c r="BI63" s="31">
        <f>Ordinaria!BI63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52" t="str">
        <f>IF(SUM($B65:$B85)&lt;&gt;0,SUM(C65:C85)/SUM($B65:$B85)*$B64*10, "")</f>
        <v/>
      </c>
      <c r="D64" s="52"/>
      <c r="E64" s="52" t="str">
        <f>IF(SUM($B65:$B85)&lt;&gt;0,SUM(E65:E85)/SUM($B65:$B85)*$B64*10, "")</f>
        <v/>
      </c>
      <c r="F64" s="52"/>
      <c r="G64" s="52" t="str">
        <f>IF(SUM($B65:$B85)&lt;&gt;0,SUM(G65:G85)/SUM($B65:$B85)*$B64*10, "")</f>
        <v/>
      </c>
      <c r="H64" s="52"/>
      <c r="I64" s="52" t="str">
        <f>IF(SUM($B65:$B85)&lt;&gt;0,SUM(I65:I85)/SUM($B65:$B85)*$B64*10, "")</f>
        <v/>
      </c>
      <c r="J64" s="52"/>
      <c r="K64" s="52" t="str">
        <f>IF(SUM($B65:$B85)&lt;&gt;0,SUM(K65:K85)/SUM($B65:$B85)*$B64*10, "")</f>
        <v/>
      </c>
      <c r="L64" s="52"/>
      <c r="M64" s="52" t="str">
        <f>IF(SUM($B65:$B85)&lt;&gt;0,SUM(M65:M85)/SUM($B65:$B85)*$B64*10, "")</f>
        <v/>
      </c>
      <c r="N64" s="52"/>
      <c r="O64" s="52" t="str">
        <f>IF(SUM($B65:$B85)&lt;&gt;0,SUM(O65:O85)/SUM($B65:$B85)*$B64*10, "")</f>
        <v/>
      </c>
      <c r="P64" s="52"/>
      <c r="Q64" s="52" t="str">
        <f>IF(SUM($B65:$B85)&lt;&gt;0,SUM(Q65:Q85)/SUM($B65:$B85)*$B64*10, "")</f>
        <v/>
      </c>
      <c r="R64" s="52"/>
      <c r="S64" s="52" t="str">
        <f>IF(SUM($B65:$B85)&lt;&gt;0,SUM(S65:S85)/SUM($B65:$B85)*$B64*10, "")</f>
        <v/>
      </c>
      <c r="T64" s="52"/>
      <c r="U64" s="52" t="str">
        <f>IF(SUM($B65:$B85)&lt;&gt;0,SUM(U65:U85)/SUM($B65:$B85)*$B64*10, "")</f>
        <v/>
      </c>
      <c r="V64" s="52"/>
      <c r="W64" s="52" t="str">
        <f>IF(SUM($B65:$B85)&lt;&gt;0,SUM(W65:W85)/SUM($B65:$B85)*$B64*10, "")</f>
        <v/>
      </c>
      <c r="X64" s="52"/>
      <c r="Y64" s="52" t="str">
        <f>IF(SUM($B65:$B85)&lt;&gt;0,SUM(Y65:Y85)/SUM($B65:$B85)*$B64*10, "")</f>
        <v/>
      </c>
      <c r="Z64" s="52"/>
      <c r="AA64" s="52" t="str">
        <f>IF(SUM($B65:$B85)&lt;&gt;0,SUM(AA65:AA85)/SUM($B65:$B85)*$B64*10, "")</f>
        <v/>
      </c>
      <c r="AB64" s="52"/>
      <c r="AC64" s="52" t="str">
        <f>IF(SUM($B65:$B85)&lt;&gt;0,SUM(AC65:AC85)/SUM($B65:$B85)*$B64*10, "")</f>
        <v/>
      </c>
      <c r="AD64" s="52"/>
      <c r="AE64" s="52" t="str">
        <f>IF(SUM($B65:$B85)&lt;&gt;0,SUM(AE65:AE85)/SUM($B65:$B85)*$B64*10, "")</f>
        <v/>
      </c>
      <c r="AF64" s="52"/>
      <c r="AG64" s="52" t="str">
        <f>IF(SUM($B65:$B85)&lt;&gt;0,SUM(AG65:AG85)/SUM($B65:$B85)*$B64*10, "")</f>
        <v/>
      </c>
      <c r="AH64" s="52"/>
      <c r="AI64" s="52" t="str">
        <f>IF(SUM($B65:$B85)&lt;&gt;0,SUM(AI65:AI85)/SUM($B65:$B85)*$B64*10, "")</f>
        <v/>
      </c>
      <c r="AJ64" s="52"/>
      <c r="AK64" s="52" t="str">
        <f>IF(SUM($B65:$B85)&lt;&gt;0,SUM(AK65:AK85)/SUM($B65:$B85)*$B64*10, "")</f>
        <v/>
      </c>
      <c r="AL64" s="52"/>
      <c r="AM64" s="52" t="str">
        <f>IF(SUM($B65:$B85)&lt;&gt;0,SUM(AM65:AM85)/SUM($B65:$B85)*$B64*10, "")</f>
        <v/>
      </c>
      <c r="AN64" s="52"/>
      <c r="AO64" s="52" t="str">
        <f>IF(SUM($B65:$B85)&lt;&gt;0,SUM(AO65:AO85)/SUM($B65:$B85)*$B64*10, "")</f>
        <v/>
      </c>
      <c r="AP64" s="52"/>
      <c r="AQ64" s="52" t="str">
        <f>IF(SUM($B65:$B85)&lt;&gt;0,SUM(AQ65:AQ85)/SUM($B65:$B85)*$B64*10, "")</f>
        <v/>
      </c>
      <c r="AR64" s="52"/>
      <c r="AS64" s="52" t="str">
        <f>IF(SUM($B65:$B85)&lt;&gt;0,SUM(AS65:AS85)/SUM($B65:$B85)*$B64*10, "")</f>
        <v/>
      </c>
      <c r="AT64" s="52"/>
      <c r="AU64" s="52" t="str">
        <f>IF(SUM($B65:$B85)&lt;&gt;0,SUM(AU65:AU85)/SUM($B65:$B85)*$B64*10, "")</f>
        <v/>
      </c>
      <c r="AV64" s="52"/>
      <c r="AW64" s="52" t="str">
        <f>IF(SUM($B65:$B85)&lt;&gt;0,SUM(AW65:AW85)/SUM($B65:$B85)*$B64*10, "")</f>
        <v/>
      </c>
      <c r="AX64" s="52"/>
      <c r="AY64" s="52" t="str">
        <f>IF(SUM($B65:$B85)&lt;&gt;0,SUM(AY65:AY85)/SUM($B65:$B85)*$B64*10, "")</f>
        <v/>
      </c>
      <c r="AZ64" s="52"/>
      <c r="BA64" s="52" t="str">
        <f>IF(SUM($B65:$B85)&lt;&gt;0,SUM(BA65:BA85)/SUM($B65:$B85)*$B64*10, "")</f>
        <v/>
      </c>
      <c r="BB64" s="52"/>
      <c r="BC64" s="52" t="str">
        <f>IF(SUM($B65:$B85)&lt;&gt;0,SUM(BC65:BC85)/SUM($B65:$B85)*$B64*10, "")</f>
        <v/>
      </c>
      <c r="BD64" s="52"/>
      <c r="BE64" s="52" t="str">
        <f>IF(SUM($B65:$B85)&lt;&gt;0,SUM(BE65:BE85)/SUM($B65:$B85)*$B64*10, "")</f>
        <v/>
      </c>
      <c r="BF64" s="52"/>
      <c r="BG64" s="52" t="str">
        <f>IF(SUM($B65:$B85)&lt;&gt;0,SUM(BG65:BG85)/SUM($B65:$B85)*$B64*10, "")</f>
        <v/>
      </c>
      <c r="BH64" s="52"/>
      <c r="BI64" s="52" t="str">
        <f>IF(SUM($B65:$B85)&lt;&gt;0,SUM(BI65:BI85)/SUM($B65:$B85)*$B64*10, "")</f>
        <v/>
      </c>
      <c r="BJ64" s="52"/>
    </row>
    <row r="65" spans="1:62" ht="56" x14ac:dyDescent="0.2">
      <c r="A65" s="2" t="s">
        <v>63</v>
      </c>
      <c r="B65" s="13">
        <f>Ordinaria!B65</f>
        <v>0</v>
      </c>
      <c r="C65" s="31">
        <f>Ordinaria!C65</f>
        <v>0</v>
      </c>
      <c r="D65" s="32">
        <f t="shared" ref="D65:D85" si="119">IF($B65,C65/$B65,-1)</f>
        <v>-1</v>
      </c>
      <c r="E65" s="31">
        <f>Ordinaria!E65</f>
        <v>0</v>
      </c>
      <c r="F65" s="32">
        <f t="shared" ref="F65:F85" si="120">IF($B65,E65/$B65,-1)</f>
        <v>-1</v>
      </c>
      <c r="G65" s="31">
        <f>Ordinaria!G65</f>
        <v>0</v>
      </c>
      <c r="H65" s="32">
        <f t="shared" ref="H65:H85" si="121">IF($B65,G65/$B65,-1)</f>
        <v>-1</v>
      </c>
      <c r="I65" s="31">
        <f>Ordinaria!I65</f>
        <v>0</v>
      </c>
      <c r="J65" s="32">
        <f t="shared" ref="J65:J85" si="122">IF($B65,I65/$B65,-1)</f>
        <v>-1</v>
      </c>
      <c r="K65" s="31">
        <f>Ordinaria!K65</f>
        <v>0</v>
      </c>
      <c r="L65" s="32">
        <f t="shared" ref="L65:L85" si="123">IF($B65,K65/$B65,-1)</f>
        <v>-1</v>
      </c>
      <c r="M65" s="31">
        <f>Ordinaria!M65</f>
        <v>0</v>
      </c>
      <c r="N65" s="32">
        <f t="shared" ref="N65:N85" si="124">IF($B65,M65/$B65,-1)</f>
        <v>-1</v>
      </c>
      <c r="O65" s="31">
        <f>Ordinaria!O65</f>
        <v>0</v>
      </c>
      <c r="P65" s="32">
        <f t="shared" ref="P65:P85" si="125">IF($B65,O65/$B65,-1)</f>
        <v>-1</v>
      </c>
      <c r="Q65" s="31">
        <f>Ordinaria!Q65</f>
        <v>0</v>
      </c>
      <c r="R65" s="32">
        <f t="shared" ref="R65:R85" si="126">IF($B65,Q65/$B65,-1)</f>
        <v>-1</v>
      </c>
      <c r="S65" s="31">
        <f>Ordinaria!S65</f>
        <v>0</v>
      </c>
      <c r="T65" s="32">
        <f t="shared" ref="T65:T85" si="127">IF($B65,S65/$B65,-1)</f>
        <v>-1</v>
      </c>
      <c r="U65" s="31">
        <f>Ordinaria!U65</f>
        <v>0</v>
      </c>
      <c r="V65" s="32">
        <f t="shared" ref="V65:V85" si="128">IF($B65,U65/$B65,-1)</f>
        <v>-1</v>
      </c>
      <c r="W65" s="31">
        <f>Ordinaria!W65</f>
        <v>0</v>
      </c>
      <c r="X65" s="32">
        <f t="shared" ref="X65:X85" si="129">IF($B65,W65/$B65,-1)</f>
        <v>-1</v>
      </c>
      <c r="Y65" s="31">
        <f>Ordinaria!Y65</f>
        <v>0</v>
      </c>
      <c r="Z65" s="32">
        <f t="shared" ref="Z65:Z85" si="130">IF($B65,Y65/$B65,-1)</f>
        <v>-1</v>
      </c>
      <c r="AA65" s="31">
        <f>Ordinaria!AA65</f>
        <v>0</v>
      </c>
      <c r="AB65" s="32">
        <f t="shared" ref="AB65:AB85" si="131">IF($B65,AA65/$B65,-1)</f>
        <v>-1</v>
      </c>
      <c r="AC65" s="31">
        <f>Ordinaria!AC65</f>
        <v>0</v>
      </c>
      <c r="AD65" s="32">
        <f t="shared" ref="AD65:AD85" si="132">IF($B65,AC65/$B65,-1)</f>
        <v>-1</v>
      </c>
      <c r="AE65" s="31">
        <f>Ordinaria!AE65</f>
        <v>0</v>
      </c>
      <c r="AF65" s="32">
        <f t="shared" ref="AF65:AF85" si="133">IF($B65,AE65/$B65,-1)</f>
        <v>-1</v>
      </c>
      <c r="AG65" s="31">
        <f>Ordinaria!AG65</f>
        <v>0</v>
      </c>
      <c r="AH65" s="32">
        <f t="shared" ref="AH65:AH85" si="134">IF($B65,AG65/$B65,-1)</f>
        <v>-1</v>
      </c>
      <c r="AI65" s="31">
        <f>Ordinaria!AI65</f>
        <v>0</v>
      </c>
      <c r="AJ65" s="32">
        <f t="shared" ref="AJ65:AJ85" si="135">IF($B65,AI65/$B65,-1)</f>
        <v>-1</v>
      </c>
      <c r="AK65" s="31">
        <f>Ordinaria!AK65</f>
        <v>0</v>
      </c>
      <c r="AL65" s="32">
        <f t="shared" ref="AL65:AL85" si="136">IF($B65,AK65/$B65,-1)</f>
        <v>-1</v>
      </c>
      <c r="AM65" s="31">
        <f>Ordinaria!AM65</f>
        <v>0</v>
      </c>
      <c r="AN65" s="32">
        <f t="shared" ref="AN65:AN85" si="137">IF($B65,AM65/$B65,-1)</f>
        <v>-1</v>
      </c>
      <c r="AO65" s="31">
        <f>Ordinaria!AO65</f>
        <v>0</v>
      </c>
      <c r="AP65" s="32">
        <f t="shared" ref="AP65:AP85" si="138">IF($B65,AO65/$B65,-1)</f>
        <v>-1</v>
      </c>
      <c r="AQ65" s="31">
        <f>Ordinaria!AQ65</f>
        <v>0</v>
      </c>
      <c r="AR65" s="32">
        <f t="shared" ref="AR65:AR85" si="139">IF($B65,AQ65/$B65,-1)</f>
        <v>-1</v>
      </c>
      <c r="AS65" s="31">
        <f>Ordinaria!AS65</f>
        <v>0</v>
      </c>
      <c r="AT65" s="32">
        <f t="shared" ref="AT65:AT85" si="140">IF($B65,AS65/$B65,-1)</f>
        <v>-1</v>
      </c>
      <c r="AU65" s="31">
        <f>Ordinaria!AU65</f>
        <v>0</v>
      </c>
      <c r="AV65" s="32">
        <f t="shared" ref="AV65:AV85" si="141">IF($B65,AU65/$B65,-1)</f>
        <v>-1</v>
      </c>
      <c r="AW65" s="31">
        <f>Ordinaria!AW65</f>
        <v>0</v>
      </c>
      <c r="AX65" s="32">
        <f t="shared" ref="AX65:AX85" si="142">IF($B65,AW65/$B65,-1)</f>
        <v>-1</v>
      </c>
      <c r="AY65" s="31">
        <f>Ordinaria!AY65</f>
        <v>0</v>
      </c>
      <c r="AZ65" s="32">
        <f t="shared" ref="AZ65:AZ85" si="143">IF($B65,AY65/$B65,-1)</f>
        <v>-1</v>
      </c>
      <c r="BA65" s="31">
        <f>Ordinaria!BA65</f>
        <v>0</v>
      </c>
      <c r="BB65" s="32">
        <f t="shared" ref="BB65:BB85" si="144">IF($B65,BA65/$B65,-1)</f>
        <v>-1</v>
      </c>
      <c r="BC65" s="31">
        <f>Ordinaria!BC65</f>
        <v>0</v>
      </c>
      <c r="BD65" s="32">
        <f t="shared" ref="BD65:BD85" si="145">IF($B65,BC65/$B65,-1)</f>
        <v>-1</v>
      </c>
      <c r="BE65" s="31">
        <f>Ordinaria!BE65</f>
        <v>0</v>
      </c>
      <c r="BF65" s="32">
        <f t="shared" ref="BF65:BF85" si="146">IF($B65,BE65/$B65,-1)</f>
        <v>-1</v>
      </c>
      <c r="BG65" s="31">
        <f>Ordinaria!BG65</f>
        <v>0</v>
      </c>
      <c r="BH65" s="32">
        <f t="shared" ref="BH65:BH85" si="147">IF($B65,BG65/$B65,-1)</f>
        <v>-1</v>
      </c>
      <c r="BI65" s="31">
        <f>Ordinaria!BI65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Ordinaria!B66</f>
        <v>0</v>
      </c>
      <c r="C66" s="31">
        <f>Ordinaria!C66</f>
        <v>0</v>
      </c>
      <c r="D66" s="32">
        <f t="shared" si="119"/>
        <v>-1</v>
      </c>
      <c r="E66" s="31">
        <f>Ordinaria!E66</f>
        <v>0</v>
      </c>
      <c r="F66" s="32">
        <f t="shared" si="120"/>
        <v>-1</v>
      </c>
      <c r="G66" s="31">
        <f>Ordinaria!G66</f>
        <v>0</v>
      </c>
      <c r="H66" s="32">
        <f t="shared" si="121"/>
        <v>-1</v>
      </c>
      <c r="I66" s="31">
        <f>Ordinaria!I66</f>
        <v>0</v>
      </c>
      <c r="J66" s="32">
        <f t="shared" si="122"/>
        <v>-1</v>
      </c>
      <c r="K66" s="31">
        <f>Ordinaria!K66</f>
        <v>0</v>
      </c>
      <c r="L66" s="32">
        <f t="shared" si="123"/>
        <v>-1</v>
      </c>
      <c r="M66" s="31">
        <f>Ordinaria!M66</f>
        <v>0</v>
      </c>
      <c r="N66" s="32">
        <f t="shared" si="124"/>
        <v>-1</v>
      </c>
      <c r="O66" s="31">
        <f>Ordinaria!O66</f>
        <v>0</v>
      </c>
      <c r="P66" s="32">
        <f t="shared" si="125"/>
        <v>-1</v>
      </c>
      <c r="Q66" s="31">
        <f>Ordinaria!Q66</f>
        <v>0</v>
      </c>
      <c r="R66" s="32">
        <f t="shared" si="126"/>
        <v>-1</v>
      </c>
      <c r="S66" s="31">
        <f>Ordinaria!S66</f>
        <v>0</v>
      </c>
      <c r="T66" s="32">
        <f t="shared" si="127"/>
        <v>-1</v>
      </c>
      <c r="U66" s="31">
        <f>Ordinaria!U66</f>
        <v>0</v>
      </c>
      <c r="V66" s="32">
        <f t="shared" si="128"/>
        <v>-1</v>
      </c>
      <c r="W66" s="31">
        <f>Ordinaria!W66</f>
        <v>0</v>
      </c>
      <c r="X66" s="32">
        <f t="shared" si="129"/>
        <v>-1</v>
      </c>
      <c r="Y66" s="31">
        <f>Ordinaria!Y66</f>
        <v>0</v>
      </c>
      <c r="Z66" s="32">
        <f t="shared" si="130"/>
        <v>-1</v>
      </c>
      <c r="AA66" s="31">
        <f>Ordinaria!AA66</f>
        <v>0</v>
      </c>
      <c r="AB66" s="32">
        <f t="shared" si="131"/>
        <v>-1</v>
      </c>
      <c r="AC66" s="31">
        <f>Ordinaria!AC66</f>
        <v>0</v>
      </c>
      <c r="AD66" s="32">
        <f t="shared" si="132"/>
        <v>-1</v>
      </c>
      <c r="AE66" s="31">
        <f>Ordinaria!AE66</f>
        <v>0</v>
      </c>
      <c r="AF66" s="32">
        <f t="shared" si="133"/>
        <v>-1</v>
      </c>
      <c r="AG66" s="31">
        <f>Ordinaria!AG66</f>
        <v>0</v>
      </c>
      <c r="AH66" s="32">
        <f t="shared" si="134"/>
        <v>-1</v>
      </c>
      <c r="AI66" s="31">
        <f>Ordinaria!AI66</f>
        <v>0</v>
      </c>
      <c r="AJ66" s="32">
        <f t="shared" si="135"/>
        <v>-1</v>
      </c>
      <c r="AK66" s="31">
        <f>Ordinaria!AK66</f>
        <v>0</v>
      </c>
      <c r="AL66" s="32">
        <f t="shared" si="136"/>
        <v>-1</v>
      </c>
      <c r="AM66" s="31">
        <f>Ordinaria!AM66</f>
        <v>0</v>
      </c>
      <c r="AN66" s="32">
        <f t="shared" si="137"/>
        <v>-1</v>
      </c>
      <c r="AO66" s="31">
        <f>Ordinaria!AO66</f>
        <v>0</v>
      </c>
      <c r="AP66" s="32">
        <f t="shared" si="138"/>
        <v>-1</v>
      </c>
      <c r="AQ66" s="31">
        <f>Ordinaria!AQ66</f>
        <v>0</v>
      </c>
      <c r="AR66" s="32">
        <f t="shared" si="139"/>
        <v>-1</v>
      </c>
      <c r="AS66" s="31">
        <f>Ordinaria!AS66</f>
        <v>0</v>
      </c>
      <c r="AT66" s="32">
        <f t="shared" si="140"/>
        <v>-1</v>
      </c>
      <c r="AU66" s="31">
        <f>Ordinaria!AU66</f>
        <v>0</v>
      </c>
      <c r="AV66" s="32">
        <f t="shared" si="141"/>
        <v>-1</v>
      </c>
      <c r="AW66" s="31">
        <f>Ordinaria!AW66</f>
        <v>0</v>
      </c>
      <c r="AX66" s="32">
        <f t="shared" si="142"/>
        <v>-1</v>
      </c>
      <c r="AY66" s="31">
        <f>Ordinaria!AY66</f>
        <v>0</v>
      </c>
      <c r="AZ66" s="32">
        <f t="shared" si="143"/>
        <v>-1</v>
      </c>
      <c r="BA66" s="31">
        <f>Ordinaria!BA66</f>
        <v>0</v>
      </c>
      <c r="BB66" s="32">
        <f t="shared" si="144"/>
        <v>-1</v>
      </c>
      <c r="BC66" s="31">
        <f>Ordinaria!BC66</f>
        <v>0</v>
      </c>
      <c r="BD66" s="32">
        <f t="shared" si="145"/>
        <v>-1</v>
      </c>
      <c r="BE66" s="31">
        <f>Ordinaria!BE66</f>
        <v>0</v>
      </c>
      <c r="BF66" s="32">
        <f t="shared" si="146"/>
        <v>-1</v>
      </c>
      <c r="BG66" s="31">
        <f>Ordinaria!BG66</f>
        <v>0</v>
      </c>
      <c r="BH66" s="32">
        <f t="shared" si="147"/>
        <v>-1</v>
      </c>
      <c r="BI66" s="31">
        <f>Ordinaria!BI66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Ordinaria!B67</f>
        <v>0</v>
      </c>
      <c r="C67" s="31">
        <f>Ordinaria!C67</f>
        <v>0</v>
      </c>
      <c r="D67" s="32">
        <f t="shared" si="119"/>
        <v>-1</v>
      </c>
      <c r="E67" s="31">
        <f>Ordinaria!E67</f>
        <v>0</v>
      </c>
      <c r="F67" s="32">
        <f t="shared" si="120"/>
        <v>-1</v>
      </c>
      <c r="G67" s="31">
        <f>Ordinaria!G67</f>
        <v>0</v>
      </c>
      <c r="H67" s="32">
        <f t="shared" si="121"/>
        <v>-1</v>
      </c>
      <c r="I67" s="31">
        <f>Ordinaria!I67</f>
        <v>0</v>
      </c>
      <c r="J67" s="32">
        <f t="shared" si="122"/>
        <v>-1</v>
      </c>
      <c r="K67" s="31">
        <f>Ordinaria!K67</f>
        <v>0</v>
      </c>
      <c r="L67" s="32">
        <f t="shared" si="123"/>
        <v>-1</v>
      </c>
      <c r="M67" s="31">
        <f>Ordinaria!M67</f>
        <v>0</v>
      </c>
      <c r="N67" s="32">
        <f t="shared" si="124"/>
        <v>-1</v>
      </c>
      <c r="O67" s="31">
        <f>Ordinaria!O67</f>
        <v>0</v>
      </c>
      <c r="P67" s="32">
        <f t="shared" si="125"/>
        <v>-1</v>
      </c>
      <c r="Q67" s="31">
        <f>Ordinaria!Q67</f>
        <v>0</v>
      </c>
      <c r="R67" s="32">
        <f t="shared" si="126"/>
        <v>-1</v>
      </c>
      <c r="S67" s="31">
        <f>Ordinaria!S67</f>
        <v>0</v>
      </c>
      <c r="T67" s="32">
        <f t="shared" si="127"/>
        <v>-1</v>
      </c>
      <c r="U67" s="31">
        <f>Ordinaria!U67</f>
        <v>0</v>
      </c>
      <c r="V67" s="32">
        <f t="shared" si="128"/>
        <v>-1</v>
      </c>
      <c r="W67" s="31">
        <f>Ordinaria!W67</f>
        <v>0</v>
      </c>
      <c r="X67" s="32">
        <f t="shared" si="129"/>
        <v>-1</v>
      </c>
      <c r="Y67" s="31">
        <f>Ordinaria!Y67</f>
        <v>0</v>
      </c>
      <c r="Z67" s="32">
        <f t="shared" si="130"/>
        <v>-1</v>
      </c>
      <c r="AA67" s="31">
        <f>Ordinaria!AA67</f>
        <v>0</v>
      </c>
      <c r="AB67" s="32">
        <f t="shared" si="131"/>
        <v>-1</v>
      </c>
      <c r="AC67" s="31">
        <f>Ordinaria!AC67</f>
        <v>0</v>
      </c>
      <c r="AD67" s="32">
        <f t="shared" si="132"/>
        <v>-1</v>
      </c>
      <c r="AE67" s="31">
        <f>Ordinaria!AE67</f>
        <v>0</v>
      </c>
      <c r="AF67" s="32">
        <f t="shared" si="133"/>
        <v>-1</v>
      </c>
      <c r="AG67" s="31">
        <f>Ordinaria!AG67</f>
        <v>0</v>
      </c>
      <c r="AH67" s="32">
        <f t="shared" si="134"/>
        <v>-1</v>
      </c>
      <c r="AI67" s="31">
        <f>Ordinaria!AI67</f>
        <v>0</v>
      </c>
      <c r="AJ67" s="32">
        <f t="shared" si="135"/>
        <v>-1</v>
      </c>
      <c r="AK67" s="31">
        <f>Ordinaria!AK67</f>
        <v>0</v>
      </c>
      <c r="AL67" s="32">
        <f t="shared" si="136"/>
        <v>-1</v>
      </c>
      <c r="AM67" s="31">
        <f>Ordinaria!AM67</f>
        <v>0</v>
      </c>
      <c r="AN67" s="32">
        <f t="shared" si="137"/>
        <v>-1</v>
      </c>
      <c r="AO67" s="31">
        <f>Ordinaria!AO67</f>
        <v>0</v>
      </c>
      <c r="AP67" s="32">
        <f t="shared" si="138"/>
        <v>-1</v>
      </c>
      <c r="AQ67" s="31">
        <f>Ordinaria!AQ67</f>
        <v>0</v>
      </c>
      <c r="AR67" s="32">
        <f t="shared" si="139"/>
        <v>-1</v>
      </c>
      <c r="AS67" s="31">
        <f>Ordinaria!AS67</f>
        <v>0</v>
      </c>
      <c r="AT67" s="32">
        <f t="shared" si="140"/>
        <v>-1</v>
      </c>
      <c r="AU67" s="31">
        <f>Ordinaria!AU67</f>
        <v>0</v>
      </c>
      <c r="AV67" s="32">
        <f t="shared" si="141"/>
        <v>-1</v>
      </c>
      <c r="AW67" s="31">
        <f>Ordinaria!AW67</f>
        <v>0</v>
      </c>
      <c r="AX67" s="32">
        <f t="shared" si="142"/>
        <v>-1</v>
      </c>
      <c r="AY67" s="31">
        <f>Ordinaria!AY67</f>
        <v>0</v>
      </c>
      <c r="AZ67" s="32">
        <f t="shared" si="143"/>
        <v>-1</v>
      </c>
      <c r="BA67" s="31">
        <f>Ordinaria!BA67</f>
        <v>0</v>
      </c>
      <c r="BB67" s="32">
        <f t="shared" si="144"/>
        <v>-1</v>
      </c>
      <c r="BC67" s="31">
        <f>Ordinaria!BC67</f>
        <v>0</v>
      </c>
      <c r="BD67" s="32">
        <f t="shared" si="145"/>
        <v>-1</v>
      </c>
      <c r="BE67" s="31">
        <f>Ordinaria!BE67</f>
        <v>0</v>
      </c>
      <c r="BF67" s="32">
        <f t="shared" si="146"/>
        <v>-1</v>
      </c>
      <c r="BG67" s="31">
        <f>Ordinaria!BG67</f>
        <v>0</v>
      </c>
      <c r="BH67" s="32">
        <f t="shared" si="147"/>
        <v>-1</v>
      </c>
      <c r="BI67" s="31">
        <f>Ordinaria!BI67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Ordinaria!B68</f>
        <v>0</v>
      </c>
      <c r="C68" s="31">
        <f>Ordinaria!C68</f>
        <v>0</v>
      </c>
      <c r="D68" s="32">
        <f t="shared" si="119"/>
        <v>-1</v>
      </c>
      <c r="E68" s="31">
        <f>Ordinaria!E68</f>
        <v>0</v>
      </c>
      <c r="F68" s="32">
        <f t="shared" si="120"/>
        <v>-1</v>
      </c>
      <c r="G68" s="31">
        <f>Ordinaria!G68</f>
        <v>0</v>
      </c>
      <c r="H68" s="32">
        <f t="shared" si="121"/>
        <v>-1</v>
      </c>
      <c r="I68" s="31">
        <f>Ordinaria!I68</f>
        <v>0</v>
      </c>
      <c r="J68" s="32">
        <f t="shared" si="122"/>
        <v>-1</v>
      </c>
      <c r="K68" s="31">
        <f>Ordinaria!K68</f>
        <v>0</v>
      </c>
      <c r="L68" s="32">
        <f t="shared" si="123"/>
        <v>-1</v>
      </c>
      <c r="M68" s="31">
        <f>Ordinaria!M68</f>
        <v>0</v>
      </c>
      <c r="N68" s="32">
        <f t="shared" si="124"/>
        <v>-1</v>
      </c>
      <c r="O68" s="31">
        <f>Ordinaria!O68</f>
        <v>0</v>
      </c>
      <c r="P68" s="32">
        <f t="shared" si="125"/>
        <v>-1</v>
      </c>
      <c r="Q68" s="31">
        <f>Ordinaria!Q68</f>
        <v>0</v>
      </c>
      <c r="R68" s="32">
        <f t="shared" si="126"/>
        <v>-1</v>
      </c>
      <c r="S68" s="31">
        <f>Ordinaria!S68</f>
        <v>0</v>
      </c>
      <c r="T68" s="32">
        <f t="shared" si="127"/>
        <v>-1</v>
      </c>
      <c r="U68" s="31">
        <f>Ordinaria!U68</f>
        <v>0</v>
      </c>
      <c r="V68" s="32">
        <f t="shared" si="128"/>
        <v>-1</v>
      </c>
      <c r="W68" s="31">
        <f>Ordinaria!W68</f>
        <v>0</v>
      </c>
      <c r="X68" s="32">
        <f t="shared" si="129"/>
        <v>-1</v>
      </c>
      <c r="Y68" s="31">
        <f>Ordinaria!Y68</f>
        <v>0</v>
      </c>
      <c r="Z68" s="32">
        <f t="shared" si="130"/>
        <v>-1</v>
      </c>
      <c r="AA68" s="31">
        <f>Ordinaria!AA68</f>
        <v>0</v>
      </c>
      <c r="AB68" s="32">
        <f t="shared" si="131"/>
        <v>-1</v>
      </c>
      <c r="AC68" s="31">
        <f>Ordinaria!AC68</f>
        <v>0</v>
      </c>
      <c r="AD68" s="32">
        <f t="shared" si="132"/>
        <v>-1</v>
      </c>
      <c r="AE68" s="31">
        <f>Ordinaria!AE68</f>
        <v>0</v>
      </c>
      <c r="AF68" s="32">
        <f t="shared" si="133"/>
        <v>-1</v>
      </c>
      <c r="AG68" s="31">
        <f>Ordinaria!AG68</f>
        <v>0</v>
      </c>
      <c r="AH68" s="32">
        <f t="shared" si="134"/>
        <v>-1</v>
      </c>
      <c r="AI68" s="31">
        <f>Ordinaria!AI68</f>
        <v>0</v>
      </c>
      <c r="AJ68" s="32">
        <f t="shared" si="135"/>
        <v>-1</v>
      </c>
      <c r="AK68" s="31">
        <f>Ordinaria!AK68</f>
        <v>0</v>
      </c>
      <c r="AL68" s="32">
        <f t="shared" si="136"/>
        <v>-1</v>
      </c>
      <c r="AM68" s="31">
        <f>Ordinaria!AM68</f>
        <v>0</v>
      </c>
      <c r="AN68" s="32">
        <f t="shared" si="137"/>
        <v>-1</v>
      </c>
      <c r="AO68" s="31">
        <f>Ordinaria!AO68</f>
        <v>0</v>
      </c>
      <c r="AP68" s="32">
        <f t="shared" si="138"/>
        <v>-1</v>
      </c>
      <c r="AQ68" s="31">
        <f>Ordinaria!AQ68</f>
        <v>0</v>
      </c>
      <c r="AR68" s="32">
        <f t="shared" si="139"/>
        <v>-1</v>
      </c>
      <c r="AS68" s="31">
        <f>Ordinaria!AS68</f>
        <v>0</v>
      </c>
      <c r="AT68" s="32">
        <f t="shared" si="140"/>
        <v>-1</v>
      </c>
      <c r="AU68" s="31">
        <f>Ordinaria!AU68</f>
        <v>0</v>
      </c>
      <c r="AV68" s="32">
        <f t="shared" si="141"/>
        <v>-1</v>
      </c>
      <c r="AW68" s="31">
        <f>Ordinaria!AW68</f>
        <v>0</v>
      </c>
      <c r="AX68" s="32">
        <f t="shared" si="142"/>
        <v>-1</v>
      </c>
      <c r="AY68" s="31">
        <f>Ordinaria!AY68</f>
        <v>0</v>
      </c>
      <c r="AZ68" s="32">
        <f t="shared" si="143"/>
        <v>-1</v>
      </c>
      <c r="BA68" s="31">
        <f>Ordinaria!BA68</f>
        <v>0</v>
      </c>
      <c r="BB68" s="32">
        <f t="shared" si="144"/>
        <v>-1</v>
      </c>
      <c r="BC68" s="31">
        <f>Ordinaria!BC68</f>
        <v>0</v>
      </c>
      <c r="BD68" s="32">
        <f t="shared" si="145"/>
        <v>-1</v>
      </c>
      <c r="BE68" s="31">
        <f>Ordinaria!BE68</f>
        <v>0</v>
      </c>
      <c r="BF68" s="32">
        <f t="shared" si="146"/>
        <v>-1</v>
      </c>
      <c r="BG68" s="31">
        <f>Ordinaria!BG68</f>
        <v>0</v>
      </c>
      <c r="BH68" s="32">
        <f t="shared" si="147"/>
        <v>-1</v>
      </c>
      <c r="BI68" s="31">
        <f>Ordinaria!BI68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Ordinaria!B69</f>
        <v>0</v>
      </c>
      <c r="C69" s="31">
        <f>Ordinaria!C69</f>
        <v>0</v>
      </c>
      <c r="D69" s="32">
        <f t="shared" si="119"/>
        <v>-1</v>
      </c>
      <c r="E69" s="31">
        <f>Ordinaria!E69</f>
        <v>0</v>
      </c>
      <c r="F69" s="32">
        <f t="shared" si="120"/>
        <v>-1</v>
      </c>
      <c r="G69" s="31">
        <f>Ordinaria!G69</f>
        <v>0</v>
      </c>
      <c r="H69" s="32">
        <f t="shared" si="121"/>
        <v>-1</v>
      </c>
      <c r="I69" s="31">
        <f>Ordinaria!I69</f>
        <v>0</v>
      </c>
      <c r="J69" s="32">
        <f t="shared" si="122"/>
        <v>-1</v>
      </c>
      <c r="K69" s="31">
        <f>Ordinaria!K69</f>
        <v>0</v>
      </c>
      <c r="L69" s="32">
        <f t="shared" si="123"/>
        <v>-1</v>
      </c>
      <c r="M69" s="31">
        <f>Ordinaria!M69</f>
        <v>0</v>
      </c>
      <c r="N69" s="32">
        <f t="shared" si="124"/>
        <v>-1</v>
      </c>
      <c r="O69" s="31">
        <f>Ordinaria!O69</f>
        <v>0</v>
      </c>
      <c r="P69" s="32">
        <f t="shared" si="125"/>
        <v>-1</v>
      </c>
      <c r="Q69" s="31">
        <f>Ordinaria!Q69</f>
        <v>0</v>
      </c>
      <c r="R69" s="32">
        <f t="shared" si="126"/>
        <v>-1</v>
      </c>
      <c r="S69" s="31">
        <f>Ordinaria!S69</f>
        <v>0</v>
      </c>
      <c r="T69" s="32">
        <f t="shared" si="127"/>
        <v>-1</v>
      </c>
      <c r="U69" s="31">
        <f>Ordinaria!U69</f>
        <v>0</v>
      </c>
      <c r="V69" s="32">
        <f t="shared" si="128"/>
        <v>-1</v>
      </c>
      <c r="W69" s="31">
        <f>Ordinaria!W69</f>
        <v>0</v>
      </c>
      <c r="X69" s="32">
        <f t="shared" si="129"/>
        <v>-1</v>
      </c>
      <c r="Y69" s="31">
        <f>Ordinaria!Y69</f>
        <v>0</v>
      </c>
      <c r="Z69" s="32">
        <f t="shared" si="130"/>
        <v>-1</v>
      </c>
      <c r="AA69" s="31">
        <f>Ordinaria!AA69</f>
        <v>0</v>
      </c>
      <c r="AB69" s="32">
        <f t="shared" si="131"/>
        <v>-1</v>
      </c>
      <c r="AC69" s="31">
        <f>Ordinaria!AC69</f>
        <v>0</v>
      </c>
      <c r="AD69" s="32">
        <f t="shared" si="132"/>
        <v>-1</v>
      </c>
      <c r="AE69" s="31">
        <f>Ordinaria!AE69</f>
        <v>0</v>
      </c>
      <c r="AF69" s="32">
        <f t="shared" si="133"/>
        <v>-1</v>
      </c>
      <c r="AG69" s="31">
        <f>Ordinaria!AG69</f>
        <v>0</v>
      </c>
      <c r="AH69" s="32">
        <f t="shared" si="134"/>
        <v>-1</v>
      </c>
      <c r="AI69" s="31">
        <f>Ordinaria!AI69</f>
        <v>0</v>
      </c>
      <c r="AJ69" s="32">
        <f t="shared" si="135"/>
        <v>-1</v>
      </c>
      <c r="AK69" s="31">
        <f>Ordinaria!AK69</f>
        <v>0</v>
      </c>
      <c r="AL69" s="32">
        <f t="shared" si="136"/>
        <v>-1</v>
      </c>
      <c r="AM69" s="31">
        <f>Ordinaria!AM69</f>
        <v>0</v>
      </c>
      <c r="AN69" s="32">
        <f t="shared" si="137"/>
        <v>-1</v>
      </c>
      <c r="AO69" s="31">
        <f>Ordinaria!AO69</f>
        <v>0</v>
      </c>
      <c r="AP69" s="32">
        <f t="shared" si="138"/>
        <v>-1</v>
      </c>
      <c r="AQ69" s="31">
        <f>Ordinaria!AQ69</f>
        <v>0</v>
      </c>
      <c r="AR69" s="32">
        <f t="shared" si="139"/>
        <v>-1</v>
      </c>
      <c r="AS69" s="31">
        <f>Ordinaria!AS69</f>
        <v>0</v>
      </c>
      <c r="AT69" s="32">
        <f t="shared" si="140"/>
        <v>-1</v>
      </c>
      <c r="AU69" s="31">
        <f>Ordinaria!AU69</f>
        <v>0</v>
      </c>
      <c r="AV69" s="32">
        <f t="shared" si="141"/>
        <v>-1</v>
      </c>
      <c r="AW69" s="31">
        <f>Ordinaria!AW69</f>
        <v>0</v>
      </c>
      <c r="AX69" s="32">
        <f t="shared" si="142"/>
        <v>-1</v>
      </c>
      <c r="AY69" s="31">
        <f>Ordinaria!AY69</f>
        <v>0</v>
      </c>
      <c r="AZ69" s="32">
        <f t="shared" si="143"/>
        <v>-1</v>
      </c>
      <c r="BA69" s="31">
        <f>Ordinaria!BA69</f>
        <v>0</v>
      </c>
      <c r="BB69" s="32">
        <f t="shared" si="144"/>
        <v>-1</v>
      </c>
      <c r="BC69" s="31">
        <f>Ordinaria!BC69</f>
        <v>0</v>
      </c>
      <c r="BD69" s="32">
        <f t="shared" si="145"/>
        <v>-1</v>
      </c>
      <c r="BE69" s="31">
        <f>Ordinaria!BE69</f>
        <v>0</v>
      </c>
      <c r="BF69" s="32">
        <f t="shared" si="146"/>
        <v>-1</v>
      </c>
      <c r="BG69" s="31">
        <f>Ordinaria!BG69</f>
        <v>0</v>
      </c>
      <c r="BH69" s="32">
        <f t="shared" si="147"/>
        <v>-1</v>
      </c>
      <c r="BI69" s="31">
        <f>Ordinaria!BI69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Ordinaria!B70</f>
        <v>0</v>
      </c>
      <c r="C70" s="31">
        <f>Ordinaria!C70</f>
        <v>0</v>
      </c>
      <c r="D70" s="32">
        <f t="shared" si="119"/>
        <v>-1</v>
      </c>
      <c r="E70" s="31">
        <f>Ordinaria!E70</f>
        <v>0</v>
      </c>
      <c r="F70" s="32">
        <f t="shared" si="120"/>
        <v>-1</v>
      </c>
      <c r="G70" s="31">
        <f>Ordinaria!G70</f>
        <v>0</v>
      </c>
      <c r="H70" s="32">
        <f t="shared" si="121"/>
        <v>-1</v>
      </c>
      <c r="I70" s="31">
        <f>Ordinaria!I70</f>
        <v>0</v>
      </c>
      <c r="J70" s="32">
        <f t="shared" si="122"/>
        <v>-1</v>
      </c>
      <c r="K70" s="31">
        <f>Ordinaria!K70</f>
        <v>0</v>
      </c>
      <c r="L70" s="32">
        <f t="shared" si="123"/>
        <v>-1</v>
      </c>
      <c r="M70" s="31">
        <f>Ordinaria!M70</f>
        <v>0</v>
      </c>
      <c r="N70" s="32">
        <f t="shared" si="124"/>
        <v>-1</v>
      </c>
      <c r="O70" s="31">
        <f>Ordinaria!O70</f>
        <v>0</v>
      </c>
      <c r="P70" s="32">
        <f t="shared" si="125"/>
        <v>-1</v>
      </c>
      <c r="Q70" s="31">
        <f>Ordinaria!Q70</f>
        <v>0</v>
      </c>
      <c r="R70" s="32">
        <f t="shared" si="126"/>
        <v>-1</v>
      </c>
      <c r="S70" s="31">
        <f>Ordinaria!S70</f>
        <v>0</v>
      </c>
      <c r="T70" s="32">
        <f t="shared" si="127"/>
        <v>-1</v>
      </c>
      <c r="U70" s="31">
        <f>Ordinaria!U70</f>
        <v>0</v>
      </c>
      <c r="V70" s="32">
        <f t="shared" si="128"/>
        <v>-1</v>
      </c>
      <c r="W70" s="31">
        <f>Ordinaria!W70</f>
        <v>0</v>
      </c>
      <c r="X70" s="32">
        <f t="shared" si="129"/>
        <v>-1</v>
      </c>
      <c r="Y70" s="31">
        <f>Ordinaria!Y70</f>
        <v>0</v>
      </c>
      <c r="Z70" s="32">
        <f t="shared" si="130"/>
        <v>-1</v>
      </c>
      <c r="AA70" s="31">
        <f>Ordinaria!AA70</f>
        <v>0</v>
      </c>
      <c r="AB70" s="32">
        <f t="shared" si="131"/>
        <v>-1</v>
      </c>
      <c r="AC70" s="31">
        <f>Ordinaria!AC70</f>
        <v>0</v>
      </c>
      <c r="AD70" s="32">
        <f t="shared" si="132"/>
        <v>-1</v>
      </c>
      <c r="AE70" s="31">
        <f>Ordinaria!AE70</f>
        <v>0</v>
      </c>
      <c r="AF70" s="32">
        <f t="shared" si="133"/>
        <v>-1</v>
      </c>
      <c r="AG70" s="31">
        <f>Ordinaria!AG70</f>
        <v>0</v>
      </c>
      <c r="AH70" s="32">
        <f t="shared" si="134"/>
        <v>-1</v>
      </c>
      <c r="AI70" s="31">
        <f>Ordinaria!AI70</f>
        <v>0</v>
      </c>
      <c r="AJ70" s="32">
        <f t="shared" si="135"/>
        <v>-1</v>
      </c>
      <c r="AK70" s="31">
        <f>Ordinaria!AK70</f>
        <v>0</v>
      </c>
      <c r="AL70" s="32">
        <f t="shared" si="136"/>
        <v>-1</v>
      </c>
      <c r="AM70" s="31">
        <f>Ordinaria!AM70</f>
        <v>0</v>
      </c>
      <c r="AN70" s="32">
        <f t="shared" si="137"/>
        <v>-1</v>
      </c>
      <c r="AO70" s="31">
        <f>Ordinaria!AO70</f>
        <v>0</v>
      </c>
      <c r="AP70" s="32">
        <f t="shared" si="138"/>
        <v>-1</v>
      </c>
      <c r="AQ70" s="31">
        <f>Ordinaria!AQ70</f>
        <v>0</v>
      </c>
      <c r="AR70" s="32">
        <f t="shared" si="139"/>
        <v>-1</v>
      </c>
      <c r="AS70" s="31">
        <f>Ordinaria!AS70</f>
        <v>0</v>
      </c>
      <c r="AT70" s="32">
        <f t="shared" si="140"/>
        <v>-1</v>
      </c>
      <c r="AU70" s="31">
        <f>Ordinaria!AU70</f>
        <v>0</v>
      </c>
      <c r="AV70" s="32">
        <f t="shared" si="141"/>
        <v>-1</v>
      </c>
      <c r="AW70" s="31">
        <f>Ordinaria!AW70</f>
        <v>0</v>
      </c>
      <c r="AX70" s="32">
        <f t="shared" si="142"/>
        <v>-1</v>
      </c>
      <c r="AY70" s="31">
        <f>Ordinaria!AY70</f>
        <v>0</v>
      </c>
      <c r="AZ70" s="32">
        <f t="shared" si="143"/>
        <v>-1</v>
      </c>
      <c r="BA70" s="31">
        <f>Ordinaria!BA70</f>
        <v>0</v>
      </c>
      <c r="BB70" s="32">
        <f t="shared" si="144"/>
        <v>-1</v>
      </c>
      <c r="BC70" s="31">
        <f>Ordinaria!BC70</f>
        <v>0</v>
      </c>
      <c r="BD70" s="32">
        <f t="shared" si="145"/>
        <v>-1</v>
      </c>
      <c r="BE70" s="31">
        <f>Ordinaria!BE70</f>
        <v>0</v>
      </c>
      <c r="BF70" s="32">
        <f t="shared" si="146"/>
        <v>-1</v>
      </c>
      <c r="BG70" s="31">
        <f>Ordinaria!BG70</f>
        <v>0</v>
      </c>
      <c r="BH70" s="32">
        <f t="shared" si="147"/>
        <v>-1</v>
      </c>
      <c r="BI70" s="31">
        <f>Ordinaria!BI70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Ordinaria!B71</f>
        <v>0</v>
      </c>
      <c r="C71" s="31">
        <f>Ordinaria!C71</f>
        <v>0</v>
      </c>
      <c r="D71" s="32">
        <f t="shared" si="119"/>
        <v>-1</v>
      </c>
      <c r="E71" s="31">
        <f>Ordinaria!E71</f>
        <v>0</v>
      </c>
      <c r="F71" s="32">
        <f t="shared" si="120"/>
        <v>-1</v>
      </c>
      <c r="G71" s="31">
        <f>Ordinaria!G71</f>
        <v>0</v>
      </c>
      <c r="H71" s="32">
        <f t="shared" si="121"/>
        <v>-1</v>
      </c>
      <c r="I71" s="31">
        <f>Ordinaria!I71</f>
        <v>0</v>
      </c>
      <c r="J71" s="32">
        <f t="shared" si="122"/>
        <v>-1</v>
      </c>
      <c r="K71" s="31">
        <f>Ordinaria!K71</f>
        <v>0</v>
      </c>
      <c r="L71" s="32">
        <f t="shared" si="123"/>
        <v>-1</v>
      </c>
      <c r="M71" s="31">
        <f>Ordinaria!M71</f>
        <v>0</v>
      </c>
      <c r="N71" s="32">
        <f t="shared" si="124"/>
        <v>-1</v>
      </c>
      <c r="O71" s="31">
        <f>Ordinaria!O71</f>
        <v>0</v>
      </c>
      <c r="P71" s="32">
        <f t="shared" si="125"/>
        <v>-1</v>
      </c>
      <c r="Q71" s="31">
        <f>Ordinaria!Q71</f>
        <v>0</v>
      </c>
      <c r="R71" s="32">
        <f t="shared" si="126"/>
        <v>-1</v>
      </c>
      <c r="S71" s="31">
        <f>Ordinaria!S71</f>
        <v>0</v>
      </c>
      <c r="T71" s="32">
        <f t="shared" si="127"/>
        <v>-1</v>
      </c>
      <c r="U71" s="31">
        <f>Ordinaria!U71</f>
        <v>0</v>
      </c>
      <c r="V71" s="32">
        <f t="shared" si="128"/>
        <v>-1</v>
      </c>
      <c r="W71" s="31">
        <f>Ordinaria!W71</f>
        <v>0</v>
      </c>
      <c r="X71" s="32">
        <f t="shared" si="129"/>
        <v>-1</v>
      </c>
      <c r="Y71" s="31">
        <f>Ordinaria!Y71</f>
        <v>0</v>
      </c>
      <c r="Z71" s="32">
        <f t="shared" si="130"/>
        <v>-1</v>
      </c>
      <c r="AA71" s="31">
        <f>Ordinaria!AA71</f>
        <v>0</v>
      </c>
      <c r="AB71" s="32">
        <f t="shared" si="131"/>
        <v>-1</v>
      </c>
      <c r="AC71" s="31">
        <f>Ordinaria!AC71</f>
        <v>0</v>
      </c>
      <c r="AD71" s="32">
        <f t="shared" si="132"/>
        <v>-1</v>
      </c>
      <c r="AE71" s="31">
        <f>Ordinaria!AE71</f>
        <v>0</v>
      </c>
      <c r="AF71" s="32">
        <f t="shared" si="133"/>
        <v>-1</v>
      </c>
      <c r="AG71" s="31">
        <f>Ordinaria!AG71</f>
        <v>0</v>
      </c>
      <c r="AH71" s="32">
        <f t="shared" si="134"/>
        <v>-1</v>
      </c>
      <c r="AI71" s="31">
        <f>Ordinaria!AI71</f>
        <v>0</v>
      </c>
      <c r="AJ71" s="32">
        <f t="shared" si="135"/>
        <v>-1</v>
      </c>
      <c r="AK71" s="31">
        <f>Ordinaria!AK71</f>
        <v>0</v>
      </c>
      <c r="AL71" s="32">
        <f t="shared" si="136"/>
        <v>-1</v>
      </c>
      <c r="AM71" s="31">
        <f>Ordinaria!AM71</f>
        <v>0</v>
      </c>
      <c r="AN71" s="32">
        <f t="shared" si="137"/>
        <v>-1</v>
      </c>
      <c r="AO71" s="31">
        <f>Ordinaria!AO71</f>
        <v>0</v>
      </c>
      <c r="AP71" s="32">
        <f t="shared" si="138"/>
        <v>-1</v>
      </c>
      <c r="AQ71" s="31">
        <f>Ordinaria!AQ71</f>
        <v>0</v>
      </c>
      <c r="AR71" s="32">
        <f t="shared" si="139"/>
        <v>-1</v>
      </c>
      <c r="AS71" s="31">
        <f>Ordinaria!AS71</f>
        <v>0</v>
      </c>
      <c r="AT71" s="32">
        <f t="shared" si="140"/>
        <v>-1</v>
      </c>
      <c r="AU71" s="31">
        <f>Ordinaria!AU71</f>
        <v>0</v>
      </c>
      <c r="AV71" s="32">
        <f t="shared" si="141"/>
        <v>-1</v>
      </c>
      <c r="AW71" s="31">
        <f>Ordinaria!AW71</f>
        <v>0</v>
      </c>
      <c r="AX71" s="32">
        <f t="shared" si="142"/>
        <v>-1</v>
      </c>
      <c r="AY71" s="31">
        <f>Ordinaria!AY71</f>
        <v>0</v>
      </c>
      <c r="AZ71" s="32">
        <f t="shared" si="143"/>
        <v>-1</v>
      </c>
      <c r="BA71" s="31">
        <f>Ordinaria!BA71</f>
        <v>0</v>
      </c>
      <c r="BB71" s="32">
        <f t="shared" si="144"/>
        <v>-1</v>
      </c>
      <c r="BC71" s="31">
        <f>Ordinaria!BC71</f>
        <v>0</v>
      </c>
      <c r="BD71" s="32">
        <f t="shared" si="145"/>
        <v>-1</v>
      </c>
      <c r="BE71" s="31">
        <f>Ordinaria!BE71</f>
        <v>0</v>
      </c>
      <c r="BF71" s="32">
        <f t="shared" si="146"/>
        <v>-1</v>
      </c>
      <c r="BG71" s="31">
        <f>Ordinaria!BG71</f>
        <v>0</v>
      </c>
      <c r="BH71" s="32">
        <f t="shared" si="147"/>
        <v>-1</v>
      </c>
      <c r="BI71" s="31">
        <f>Ordinaria!BI71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Ordinaria!B72</f>
        <v>0</v>
      </c>
      <c r="C72" s="31">
        <f>Ordinaria!C72</f>
        <v>0</v>
      </c>
      <c r="D72" s="32">
        <f t="shared" si="119"/>
        <v>-1</v>
      </c>
      <c r="E72" s="31">
        <f>Ordinaria!E72</f>
        <v>0</v>
      </c>
      <c r="F72" s="32">
        <f t="shared" si="120"/>
        <v>-1</v>
      </c>
      <c r="G72" s="31">
        <f>Ordinaria!G72</f>
        <v>0</v>
      </c>
      <c r="H72" s="32">
        <f t="shared" si="121"/>
        <v>-1</v>
      </c>
      <c r="I72" s="31">
        <f>Ordinaria!I72</f>
        <v>0</v>
      </c>
      <c r="J72" s="32">
        <f t="shared" si="122"/>
        <v>-1</v>
      </c>
      <c r="K72" s="31">
        <f>Ordinaria!K72</f>
        <v>0</v>
      </c>
      <c r="L72" s="32">
        <f t="shared" si="123"/>
        <v>-1</v>
      </c>
      <c r="M72" s="31">
        <f>Ordinaria!M72</f>
        <v>0</v>
      </c>
      <c r="N72" s="32">
        <f t="shared" si="124"/>
        <v>-1</v>
      </c>
      <c r="O72" s="31">
        <f>Ordinaria!O72</f>
        <v>0</v>
      </c>
      <c r="P72" s="32">
        <f t="shared" si="125"/>
        <v>-1</v>
      </c>
      <c r="Q72" s="31">
        <f>Ordinaria!Q72</f>
        <v>0</v>
      </c>
      <c r="R72" s="32">
        <f t="shared" si="126"/>
        <v>-1</v>
      </c>
      <c r="S72" s="31">
        <f>Ordinaria!S72</f>
        <v>0</v>
      </c>
      <c r="T72" s="32">
        <f t="shared" si="127"/>
        <v>-1</v>
      </c>
      <c r="U72" s="31">
        <f>Ordinaria!U72</f>
        <v>0</v>
      </c>
      <c r="V72" s="32">
        <f t="shared" si="128"/>
        <v>-1</v>
      </c>
      <c r="W72" s="31">
        <f>Ordinaria!W72</f>
        <v>0</v>
      </c>
      <c r="X72" s="32">
        <f t="shared" si="129"/>
        <v>-1</v>
      </c>
      <c r="Y72" s="31">
        <f>Ordinaria!Y72</f>
        <v>0</v>
      </c>
      <c r="Z72" s="32">
        <f t="shared" si="130"/>
        <v>-1</v>
      </c>
      <c r="AA72" s="31">
        <f>Ordinaria!AA72</f>
        <v>0</v>
      </c>
      <c r="AB72" s="32">
        <f t="shared" si="131"/>
        <v>-1</v>
      </c>
      <c r="AC72" s="31">
        <f>Ordinaria!AC72</f>
        <v>0</v>
      </c>
      <c r="AD72" s="32">
        <f t="shared" si="132"/>
        <v>-1</v>
      </c>
      <c r="AE72" s="31">
        <f>Ordinaria!AE72</f>
        <v>0</v>
      </c>
      <c r="AF72" s="32">
        <f t="shared" si="133"/>
        <v>-1</v>
      </c>
      <c r="AG72" s="31">
        <f>Ordinaria!AG72</f>
        <v>0</v>
      </c>
      <c r="AH72" s="32">
        <f t="shared" si="134"/>
        <v>-1</v>
      </c>
      <c r="AI72" s="31">
        <f>Ordinaria!AI72</f>
        <v>0</v>
      </c>
      <c r="AJ72" s="32">
        <f t="shared" si="135"/>
        <v>-1</v>
      </c>
      <c r="AK72" s="31">
        <f>Ordinaria!AK72</f>
        <v>0</v>
      </c>
      <c r="AL72" s="32">
        <f t="shared" si="136"/>
        <v>-1</v>
      </c>
      <c r="AM72" s="31">
        <f>Ordinaria!AM72</f>
        <v>0</v>
      </c>
      <c r="AN72" s="32">
        <f t="shared" si="137"/>
        <v>-1</v>
      </c>
      <c r="AO72" s="31">
        <f>Ordinaria!AO72</f>
        <v>0</v>
      </c>
      <c r="AP72" s="32">
        <f t="shared" si="138"/>
        <v>-1</v>
      </c>
      <c r="AQ72" s="31">
        <f>Ordinaria!AQ72</f>
        <v>0</v>
      </c>
      <c r="AR72" s="32">
        <f t="shared" si="139"/>
        <v>-1</v>
      </c>
      <c r="AS72" s="31">
        <f>Ordinaria!AS72</f>
        <v>0</v>
      </c>
      <c r="AT72" s="32">
        <f t="shared" si="140"/>
        <v>-1</v>
      </c>
      <c r="AU72" s="31">
        <f>Ordinaria!AU72</f>
        <v>0</v>
      </c>
      <c r="AV72" s="32">
        <f t="shared" si="141"/>
        <v>-1</v>
      </c>
      <c r="AW72" s="31">
        <f>Ordinaria!AW72</f>
        <v>0</v>
      </c>
      <c r="AX72" s="32">
        <f t="shared" si="142"/>
        <v>-1</v>
      </c>
      <c r="AY72" s="31">
        <f>Ordinaria!AY72</f>
        <v>0</v>
      </c>
      <c r="AZ72" s="32">
        <f t="shared" si="143"/>
        <v>-1</v>
      </c>
      <c r="BA72" s="31">
        <f>Ordinaria!BA72</f>
        <v>0</v>
      </c>
      <c r="BB72" s="32">
        <f t="shared" si="144"/>
        <v>-1</v>
      </c>
      <c r="BC72" s="31">
        <f>Ordinaria!BC72</f>
        <v>0</v>
      </c>
      <c r="BD72" s="32">
        <f t="shared" si="145"/>
        <v>-1</v>
      </c>
      <c r="BE72" s="31">
        <f>Ordinaria!BE72</f>
        <v>0</v>
      </c>
      <c r="BF72" s="32">
        <f t="shared" si="146"/>
        <v>-1</v>
      </c>
      <c r="BG72" s="31">
        <f>Ordinaria!BG72</f>
        <v>0</v>
      </c>
      <c r="BH72" s="32">
        <f t="shared" si="147"/>
        <v>-1</v>
      </c>
      <c r="BI72" s="31">
        <f>Ordinaria!BI72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Ordinaria!B73</f>
        <v>0</v>
      </c>
      <c r="C73" s="31">
        <f>Ordinaria!C73</f>
        <v>0</v>
      </c>
      <c r="D73" s="32">
        <f t="shared" si="119"/>
        <v>-1</v>
      </c>
      <c r="E73" s="31">
        <f>Ordinaria!E73</f>
        <v>0</v>
      </c>
      <c r="F73" s="32">
        <f t="shared" si="120"/>
        <v>-1</v>
      </c>
      <c r="G73" s="31">
        <f>Ordinaria!G73</f>
        <v>0</v>
      </c>
      <c r="H73" s="32">
        <f t="shared" si="121"/>
        <v>-1</v>
      </c>
      <c r="I73" s="31">
        <f>Ordinaria!I73</f>
        <v>0</v>
      </c>
      <c r="J73" s="32">
        <f t="shared" si="122"/>
        <v>-1</v>
      </c>
      <c r="K73" s="31">
        <f>Ordinaria!K73</f>
        <v>0</v>
      </c>
      <c r="L73" s="32">
        <f t="shared" si="123"/>
        <v>-1</v>
      </c>
      <c r="M73" s="31">
        <f>Ordinaria!M73</f>
        <v>0</v>
      </c>
      <c r="N73" s="32">
        <f t="shared" si="124"/>
        <v>-1</v>
      </c>
      <c r="O73" s="31">
        <f>Ordinaria!O73</f>
        <v>0</v>
      </c>
      <c r="P73" s="32">
        <f t="shared" si="125"/>
        <v>-1</v>
      </c>
      <c r="Q73" s="31">
        <f>Ordinaria!Q73</f>
        <v>0</v>
      </c>
      <c r="R73" s="32">
        <f t="shared" si="126"/>
        <v>-1</v>
      </c>
      <c r="S73" s="31">
        <f>Ordinaria!S73</f>
        <v>0</v>
      </c>
      <c r="T73" s="32">
        <f t="shared" si="127"/>
        <v>-1</v>
      </c>
      <c r="U73" s="31">
        <f>Ordinaria!U73</f>
        <v>0</v>
      </c>
      <c r="V73" s="32">
        <f t="shared" si="128"/>
        <v>-1</v>
      </c>
      <c r="W73" s="31">
        <f>Ordinaria!W73</f>
        <v>0</v>
      </c>
      <c r="X73" s="32">
        <f t="shared" si="129"/>
        <v>-1</v>
      </c>
      <c r="Y73" s="31">
        <f>Ordinaria!Y73</f>
        <v>0</v>
      </c>
      <c r="Z73" s="32">
        <f t="shared" si="130"/>
        <v>-1</v>
      </c>
      <c r="AA73" s="31">
        <f>Ordinaria!AA73</f>
        <v>0</v>
      </c>
      <c r="AB73" s="32">
        <f t="shared" si="131"/>
        <v>-1</v>
      </c>
      <c r="AC73" s="31">
        <f>Ordinaria!AC73</f>
        <v>0</v>
      </c>
      <c r="AD73" s="32">
        <f t="shared" si="132"/>
        <v>-1</v>
      </c>
      <c r="AE73" s="31">
        <f>Ordinaria!AE73</f>
        <v>0</v>
      </c>
      <c r="AF73" s="32">
        <f t="shared" si="133"/>
        <v>-1</v>
      </c>
      <c r="AG73" s="31">
        <f>Ordinaria!AG73</f>
        <v>0</v>
      </c>
      <c r="AH73" s="32">
        <f t="shared" si="134"/>
        <v>-1</v>
      </c>
      <c r="AI73" s="31">
        <f>Ordinaria!AI73</f>
        <v>0</v>
      </c>
      <c r="AJ73" s="32">
        <f t="shared" si="135"/>
        <v>-1</v>
      </c>
      <c r="AK73" s="31">
        <f>Ordinaria!AK73</f>
        <v>0</v>
      </c>
      <c r="AL73" s="32">
        <f t="shared" si="136"/>
        <v>-1</v>
      </c>
      <c r="AM73" s="31">
        <f>Ordinaria!AM73</f>
        <v>0</v>
      </c>
      <c r="AN73" s="32">
        <f t="shared" si="137"/>
        <v>-1</v>
      </c>
      <c r="AO73" s="31">
        <f>Ordinaria!AO73</f>
        <v>0</v>
      </c>
      <c r="AP73" s="32">
        <f t="shared" si="138"/>
        <v>-1</v>
      </c>
      <c r="AQ73" s="31">
        <f>Ordinaria!AQ73</f>
        <v>0</v>
      </c>
      <c r="AR73" s="32">
        <f t="shared" si="139"/>
        <v>-1</v>
      </c>
      <c r="AS73" s="31">
        <f>Ordinaria!AS73</f>
        <v>0</v>
      </c>
      <c r="AT73" s="32">
        <f t="shared" si="140"/>
        <v>-1</v>
      </c>
      <c r="AU73" s="31">
        <f>Ordinaria!AU73</f>
        <v>0</v>
      </c>
      <c r="AV73" s="32">
        <f t="shared" si="141"/>
        <v>-1</v>
      </c>
      <c r="AW73" s="31">
        <f>Ordinaria!AW73</f>
        <v>0</v>
      </c>
      <c r="AX73" s="32">
        <f t="shared" si="142"/>
        <v>-1</v>
      </c>
      <c r="AY73" s="31">
        <f>Ordinaria!AY73</f>
        <v>0</v>
      </c>
      <c r="AZ73" s="32">
        <f t="shared" si="143"/>
        <v>-1</v>
      </c>
      <c r="BA73" s="31">
        <f>Ordinaria!BA73</f>
        <v>0</v>
      </c>
      <c r="BB73" s="32">
        <f t="shared" si="144"/>
        <v>-1</v>
      </c>
      <c r="BC73" s="31">
        <f>Ordinaria!BC73</f>
        <v>0</v>
      </c>
      <c r="BD73" s="32">
        <f t="shared" si="145"/>
        <v>-1</v>
      </c>
      <c r="BE73" s="31">
        <f>Ordinaria!BE73</f>
        <v>0</v>
      </c>
      <c r="BF73" s="32">
        <f t="shared" si="146"/>
        <v>-1</v>
      </c>
      <c r="BG73" s="31">
        <f>Ordinaria!BG73</f>
        <v>0</v>
      </c>
      <c r="BH73" s="32">
        <f t="shared" si="147"/>
        <v>-1</v>
      </c>
      <c r="BI73" s="31">
        <f>Ordinaria!BI73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Ordinaria!B74</f>
        <v>0</v>
      </c>
      <c r="C74" s="31">
        <f>Ordinaria!C74</f>
        <v>0</v>
      </c>
      <c r="D74" s="32">
        <f t="shared" si="119"/>
        <v>-1</v>
      </c>
      <c r="E74" s="31">
        <f>Ordinaria!E74</f>
        <v>0</v>
      </c>
      <c r="F74" s="32">
        <f t="shared" si="120"/>
        <v>-1</v>
      </c>
      <c r="G74" s="31">
        <f>Ordinaria!G74</f>
        <v>0</v>
      </c>
      <c r="H74" s="32">
        <f t="shared" si="121"/>
        <v>-1</v>
      </c>
      <c r="I74" s="31">
        <f>Ordinaria!I74</f>
        <v>0</v>
      </c>
      <c r="J74" s="32">
        <f t="shared" si="122"/>
        <v>-1</v>
      </c>
      <c r="K74" s="31">
        <f>Ordinaria!K74</f>
        <v>0</v>
      </c>
      <c r="L74" s="32">
        <f t="shared" si="123"/>
        <v>-1</v>
      </c>
      <c r="M74" s="31">
        <f>Ordinaria!M74</f>
        <v>0</v>
      </c>
      <c r="N74" s="32">
        <f t="shared" si="124"/>
        <v>-1</v>
      </c>
      <c r="O74" s="31">
        <f>Ordinaria!O74</f>
        <v>0</v>
      </c>
      <c r="P74" s="32">
        <f t="shared" si="125"/>
        <v>-1</v>
      </c>
      <c r="Q74" s="31">
        <f>Ordinaria!Q74</f>
        <v>0</v>
      </c>
      <c r="R74" s="32">
        <f t="shared" si="126"/>
        <v>-1</v>
      </c>
      <c r="S74" s="31">
        <f>Ordinaria!S74</f>
        <v>0</v>
      </c>
      <c r="T74" s="32">
        <f t="shared" si="127"/>
        <v>-1</v>
      </c>
      <c r="U74" s="31">
        <f>Ordinaria!U74</f>
        <v>0</v>
      </c>
      <c r="V74" s="32">
        <f t="shared" si="128"/>
        <v>-1</v>
      </c>
      <c r="W74" s="31">
        <f>Ordinaria!W74</f>
        <v>0</v>
      </c>
      <c r="X74" s="32">
        <f t="shared" si="129"/>
        <v>-1</v>
      </c>
      <c r="Y74" s="31">
        <f>Ordinaria!Y74</f>
        <v>0</v>
      </c>
      <c r="Z74" s="32">
        <f t="shared" si="130"/>
        <v>-1</v>
      </c>
      <c r="AA74" s="31">
        <f>Ordinaria!AA74</f>
        <v>0</v>
      </c>
      <c r="AB74" s="32">
        <f t="shared" si="131"/>
        <v>-1</v>
      </c>
      <c r="AC74" s="31">
        <f>Ordinaria!AC74</f>
        <v>0</v>
      </c>
      <c r="AD74" s="32">
        <f t="shared" si="132"/>
        <v>-1</v>
      </c>
      <c r="AE74" s="31">
        <f>Ordinaria!AE74</f>
        <v>0</v>
      </c>
      <c r="AF74" s="32">
        <f t="shared" si="133"/>
        <v>-1</v>
      </c>
      <c r="AG74" s="31">
        <f>Ordinaria!AG74</f>
        <v>0</v>
      </c>
      <c r="AH74" s="32">
        <f t="shared" si="134"/>
        <v>-1</v>
      </c>
      <c r="AI74" s="31">
        <f>Ordinaria!AI74</f>
        <v>0</v>
      </c>
      <c r="AJ74" s="32">
        <f t="shared" si="135"/>
        <v>-1</v>
      </c>
      <c r="AK74" s="31">
        <f>Ordinaria!AK74</f>
        <v>0</v>
      </c>
      <c r="AL74" s="32">
        <f t="shared" si="136"/>
        <v>-1</v>
      </c>
      <c r="AM74" s="31">
        <f>Ordinaria!AM74</f>
        <v>0</v>
      </c>
      <c r="AN74" s="32">
        <f t="shared" si="137"/>
        <v>-1</v>
      </c>
      <c r="AO74" s="31">
        <f>Ordinaria!AO74</f>
        <v>0</v>
      </c>
      <c r="AP74" s="32">
        <f t="shared" si="138"/>
        <v>-1</v>
      </c>
      <c r="AQ74" s="31">
        <f>Ordinaria!AQ74</f>
        <v>0</v>
      </c>
      <c r="AR74" s="32">
        <f t="shared" si="139"/>
        <v>-1</v>
      </c>
      <c r="AS74" s="31">
        <f>Ordinaria!AS74</f>
        <v>0</v>
      </c>
      <c r="AT74" s="32">
        <f t="shared" si="140"/>
        <v>-1</v>
      </c>
      <c r="AU74" s="31">
        <f>Ordinaria!AU74</f>
        <v>0</v>
      </c>
      <c r="AV74" s="32">
        <f t="shared" si="141"/>
        <v>-1</v>
      </c>
      <c r="AW74" s="31">
        <f>Ordinaria!AW74</f>
        <v>0</v>
      </c>
      <c r="AX74" s="32">
        <f t="shared" si="142"/>
        <v>-1</v>
      </c>
      <c r="AY74" s="31">
        <f>Ordinaria!AY74</f>
        <v>0</v>
      </c>
      <c r="AZ74" s="32">
        <f t="shared" si="143"/>
        <v>-1</v>
      </c>
      <c r="BA74" s="31">
        <f>Ordinaria!BA74</f>
        <v>0</v>
      </c>
      <c r="BB74" s="32">
        <f t="shared" si="144"/>
        <v>-1</v>
      </c>
      <c r="BC74" s="31">
        <f>Ordinaria!BC74</f>
        <v>0</v>
      </c>
      <c r="BD74" s="32">
        <f t="shared" si="145"/>
        <v>-1</v>
      </c>
      <c r="BE74" s="31">
        <f>Ordinaria!BE74</f>
        <v>0</v>
      </c>
      <c r="BF74" s="32">
        <f t="shared" si="146"/>
        <v>-1</v>
      </c>
      <c r="BG74" s="31">
        <f>Ordinaria!BG74</f>
        <v>0</v>
      </c>
      <c r="BH74" s="32">
        <f t="shared" si="147"/>
        <v>-1</v>
      </c>
      <c r="BI74" s="31">
        <f>Ordinaria!BI74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Ordinaria!B75</f>
        <v>0</v>
      </c>
      <c r="C75" s="31">
        <f>Ordinaria!C75</f>
        <v>0</v>
      </c>
      <c r="D75" s="32">
        <f t="shared" si="119"/>
        <v>-1</v>
      </c>
      <c r="E75" s="31">
        <f>Ordinaria!E75</f>
        <v>0</v>
      </c>
      <c r="F75" s="32">
        <f t="shared" si="120"/>
        <v>-1</v>
      </c>
      <c r="G75" s="31">
        <f>Ordinaria!G75</f>
        <v>0</v>
      </c>
      <c r="H75" s="32">
        <f t="shared" si="121"/>
        <v>-1</v>
      </c>
      <c r="I75" s="31">
        <f>Ordinaria!I75</f>
        <v>0</v>
      </c>
      <c r="J75" s="32">
        <f t="shared" si="122"/>
        <v>-1</v>
      </c>
      <c r="K75" s="31">
        <f>Ordinaria!K75</f>
        <v>0</v>
      </c>
      <c r="L75" s="32">
        <f t="shared" si="123"/>
        <v>-1</v>
      </c>
      <c r="M75" s="31">
        <f>Ordinaria!M75</f>
        <v>0</v>
      </c>
      <c r="N75" s="32">
        <f t="shared" si="124"/>
        <v>-1</v>
      </c>
      <c r="O75" s="31">
        <f>Ordinaria!O75</f>
        <v>0</v>
      </c>
      <c r="P75" s="32">
        <f t="shared" si="125"/>
        <v>-1</v>
      </c>
      <c r="Q75" s="31">
        <f>Ordinaria!Q75</f>
        <v>0</v>
      </c>
      <c r="R75" s="32">
        <f t="shared" si="126"/>
        <v>-1</v>
      </c>
      <c r="S75" s="31">
        <f>Ordinaria!S75</f>
        <v>0</v>
      </c>
      <c r="T75" s="32">
        <f t="shared" si="127"/>
        <v>-1</v>
      </c>
      <c r="U75" s="31">
        <f>Ordinaria!U75</f>
        <v>0</v>
      </c>
      <c r="V75" s="32">
        <f t="shared" si="128"/>
        <v>-1</v>
      </c>
      <c r="W75" s="31">
        <f>Ordinaria!W75</f>
        <v>0</v>
      </c>
      <c r="X75" s="32">
        <f t="shared" si="129"/>
        <v>-1</v>
      </c>
      <c r="Y75" s="31">
        <f>Ordinaria!Y75</f>
        <v>0</v>
      </c>
      <c r="Z75" s="32">
        <f t="shared" si="130"/>
        <v>-1</v>
      </c>
      <c r="AA75" s="31">
        <f>Ordinaria!AA75</f>
        <v>0</v>
      </c>
      <c r="AB75" s="32">
        <f t="shared" si="131"/>
        <v>-1</v>
      </c>
      <c r="AC75" s="31">
        <f>Ordinaria!AC75</f>
        <v>0</v>
      </c>
      <c r="AD75" s="32">
        <f t="shared" si="132"/>
        <v>-1</v>
      </c>
      <c r="AE75" s="31">
        <f>Ordinaria!AE75</f>
        <v>0</v>
      </c>
      <c r="AF75" s="32">
        <f t="shared" si="133"/>
        <v>-1</v>
      </c>
      <c r="AG75" s="31">
        <f>Ordinaria!AG75</f>
        <v>0</v>
      </c>
      <c r="AH75" s="32">
        <f t="shared" si="134"/>
        <v>-1</v>
      </c>
      <c r="AI75" s="31">
        <f>Ordinaria!AI75</f>
        <v>0</v>
      </c>
      <c r="AJ75" s="32">
        <f t="shared" si="135"/>
        <v>-1</v>
      </c>
      <c r="AK75" s="31">
        <f>Ordinaria!AK75</f>
        <v>0</v>
      </c>
      <c r="AL75" s="32">
        <f t="shared" si="136"/>
        <v>-1</v>
      </c>
      <c r="AM75" s="31">
        <f>Ordinaria!AM75</f>
        <v>0</v>
      </c>
      <c r="AN75" s="32">
        <f t="shared" si="137"/>
        <v>-1</v>
      </c>
      <c r="AO75" s="31">
        <f>Ordinaria!AO75</f>
        <v>0</v>
      </c>
      <c r="AP75" s="32">
        <f t="shared" si="138"/>
        <v>-1</v>
      </c>
      <c r="AQ75" s="31">
        <f>Ordinaria!AQ75</f>
        <v>0</v>
      </c>
      <c r="AR75" s="32">
        <f t="shared" si="139"/>
        <v>-1</v>
      </c>
      <c r="AS75" s="31">
        <f>Ordinaria!AS75</f>
        <v>0</v>
      </c>
      <c r="AT75" s="32">
        <f t="shared" si="140"/>
        <v>-1</v>
      </c>
      <c r="AU75" s="31">
        <f>Ordinaria!AU75</f>
        <v>0</v>
      </c>
      <c r="AV75" s="32">
        <f t="shared" si="141"/>
        <v>-1</v>
      </c>
      <c r="AW75" s="31">
        <f>Ordinaria!AW75</f>
        <v>0</v>
      </c>
      <c r="AX75" s="32">
        <f t="shared" si="142"/>
        <v>-1</v>
      </c>
      <c r="AY75" s="31">
        <f>Ordinaria!AY75</f>
        <v>0</v>
      </c>
      <c r="AZ75" s="32">
        <f t="shared" si="143"/>
        <v>-1</v>
      </c>
      <c r="BA75" s="31">
        <f>Ordinaria!BA75</f>
        <v>0</v>
      </c>
      <c r="BB75" s="32">
        <f t="shared" si="144"/>
        <v>-1</v>
      </c>
      <c r="BC75" s="31">
        <f>Ordinaria!BC75</f>
        <v>0</v>
      </c>
      <c r="BD75" s="32">
        <f t="shared" si="145"/>
        <v>-1</v>
      </c>
      <c r="BE75" s="31">
        <f>Ordinaria!BE75</f>
        <v>0</v>
      </c>
      <c r="BF75" s="32">
        <f t="shared" si="146"/>
        <v>-1</v>
      </c>
      <c r="BG75" s="31">
        <f>Ordinaria!BG75</f>
        <v>0</v>
      </c>
      <c r="BH75" s="32">
        <f t="shared" si="147"/>
        <v>-1</v>
      </c>
      <c r="BI75" s="31">
        <f>Ordinaria!BI75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Ordinaria!B76</f>
        <v>0</v>
      </c>
      <c r="C76" s="31">
        <f>Ordinaria!C76</f>
        <v>0</v>
      </c>
      <c r="D76" s="32">
        <f t="shared" si="119"/>
        <v>-1</v>
      </c>
      <c r="E76" s="31">
        <f>Ordinaria!E76</f>
        <v>0</v>
      </c>
      <c r="F76" s="32">
        <f t="shared" si="120"/>
        <v>-1</v>
      </c>
      <c r="G76" s="31">
        <f>Ordinaria!G76</f>
        <v>0</v>
      </c>
      <c r="H76" s="32">
        <f t="shared" si="121"/>
        <v>-1</v>
      </c>
      <c r="I76" s="31">
        <f>Ordinaria!I76</f>
        <v>0</v>
      </c>
      <c r="J76" s="32">
        <f t="shared" si="122"/>
        <v>-1</v>
      </c>
      <c r="K76" s="31">
        <f>Ordinaria!K76</f>
        <v>0</v>
      </c>
      <c r="L76" s="32">
        <f t="shared" si="123"/>
        <v>-1</v>
      </c>
      <c r="M76" s="31">
        <f>Ordinaria!M76</f>
        <v>0</v>
      </c>
      <c r="N76" s="32">
        <f t="shared" si="124"/>
        <v>-1</v>
      </c>
      <c r="O76" s="31">
        <f>Ordinaria!O76</f>
        <v>0</v>
      </c>
      <c r="P76" s="32">
        <f t="shared" si="125"/>
        <v>-1</v>
      </c>
      <c r="Q76" s="31">
        <f>Ordinaria!Q76</f>
        <v>0</v>
      </c>
      <c r="R76" s="32">
        <f t="shared" si="126"/>
        <v>-1</v>
      </c>
      <c r="S76" s="31">
        <f>Ordinaria!S76</f>
        <v>0</v>
      </c>
      <c r="T76" s="32">
        <f t="shared" si="127"/>
        <v>-1</v>
      </c>
      <c r="U76" s="31">
        <f>Ordinaria!U76</f>
        <v>0</v>
      </c>
      <c r="V76" s="32">
        <f t="shared" si="128"/>
        <v>-1</v>
      </c>
      <c r="W76" s="31">
        <f>Ordinaria!W76</f>
        <v>0</v>
      </c>
      <c r="X76" s="32">
        <f t="shared" si="129"/>
        <v>-1</v>
      </c>
      <c r="Y76" s="31">
        <f>Ordinaria!Y76</f>
        <v>0</v>
      </c>
      <c r="Z76" s="32">
        <f t="shared" si="130"/>
        <v>-1</v>
      </c>
      <c r="AA76" s="31">
        <f>Ordinaria!AA76</f>
        <v>0</v>
      </c>
      <c r="AB76" s="32">
        <f t="shared" si="131"/>
        <v>-1</v>
      </c>
      <c r="AC76" s="31">
        <f>Ordinaria!AC76</f>
        <v>0</v>
      </c>
      <c r="AD76" s="32">
        <f t="shared" si="132"/>
        <v>-1</v>
      </c>
      <c r="AE76" s="31">
        <f>Ordinaria!AE76</f>
        <v>0</v>
      </c>
      <c r="AF76" s="32">
        <f t="shared" si="133"/>
        <v>-1</v>
      </c>
      <c r="AG76" s="31">
        <f>Ordinaria!AG76</f>
        <v>0</v>
      </c>
      <c r="AH76" s="32">
        <f t="shared" si="134"/>
        <v>-1</v>
      </c>
      <c r="AI76" s="31">
        <f>Ordinaria!AI76</f>
        <v>0</v>
      </c>
      <c r="AJ76" s="32">
        <f t="shared" si="135"/>
        <v>-1</v>
      </c>
      <c r="AK76" s="31">
        <f>Ordinaria!AK76</f>
        <v>0</v>
      </c>
      <c r="AL76" s="32">
        <f t="shared" si="136"/>
        <v>-1</v>
      </c>
      <c r="AM76" s="31">
        <f>Ordinaria!AM76</f>
        <v>0</v>
      </c>
      <c r="AN76" s="32">
        <f t="shared" si="137"/>
        <v>-1</v>
      </c>
      <c r="AO76" s="31">
        <f>Ordinaria!AO76</f>
        <v>0</v>
      </c>
      <c r="AP76" s="32">
        <f t="shared" si="138"/>
        <v>-1</v>
      </c>
      <c r="AQ76" s="31">
        <f>Ordinaria!AQ76</f>
        <v>0</v>
      </c>
      <c r="AR76" s="32">
        <f t="shared" si="139"/>
        <v>-1</v>
      </c>
      <c r="AS76" s="31">
        <f>Ordinaria!AS76</f>
        <v>0</v>
      </c>
      <c r="AT76" s="32">
        <f t="shared" si="140"/>
        <v>-1</v>
      </c>
      <c r="AU76" s="31">
        <f>Ordinaria!AU76</f>
        <v>0</v>
      </c>
      <c r="AV76" s="32">
        <f t="shared" si="141"/>
        <v>-1</v>
      </c>
      <c r="AW76" s="31">
        <f>Ordinaria!AW76</f>
        <v>0</v>
      </c>
      <c r="AX76" s="32">
        <f t="shared" si="142"/>
        <v>-1</v>
      </c>
      <c r="AY76" s="31">
        <f>Ordinaria!AY76</f>
        <v>0</v>
      </c>
      <c r="AZ76" s="32">
        <f t="shared" si="143"/>
        <v>-1</v>
      </c>
      <c r="BA76" s="31">
        <f>Ordinaria!BA76</f>
        <v>0</v>
      </c>
      <c r="BB76" s="32">
        <f t="shared" si="144"/>
        <v>-1</v>
      </c>
      <c r="BC76" s="31">
        <f>Ordinaria!BC76</f>
        <v>0</v>
      </c>
      <c r="BD76" s="32">
        <f t="shared" si="145"/>
        <v>-1</v>
      </c>
      <c r="BE76" s="31">
        <f>Ordinaria!BE76</f>
        <v>0</v>
      </c>
      <c r="BF76" s="32">
        <f t="shared" si="146"/>
        <v>-1</v>
      </c>
      <c r="BG76" s="31">
        <f>Ordinaria!BG76</f>
        <v>0</v>
      </c>
      <c r="BH76" s="32">
        <f t="shared" si="147"/>
        <v>-1</v>
      </c>
      <c r="BI76" s="31">
        <f>Ordinaria!BI76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Ordinaria!B77</f>
        <v>0</v>
      </c>
      <c r="C77" s="31">
        <f>Ordinaria!C77</f>
        <v>0</v>
      </c>
      <c r="D77" s="32">
        <f t="shared" si="119"/>
        <v>-1</v>
      </c>
      <c r="E77" s="31">
        <f>Ordinaria!E77</f>
        <v>0</v>
      </c>
      <c r="F77" s="32">
        <f t="shared" si="120"/>
        <v>-1</v>
      </c>
      <c r="G77" s="31">
        <f>Ordinaria!G77</f>
        <v>0</v>
      </c>
      <c r="H77" s="32">
        <f t="shared" si="121"/>
        <v>-1</v>
      </c>
      <c r="I77" s="31">
        <f>Ordinaria!I77</f>
        <v>0</v>
      </c>
      <c r="J77" s="32">
        <f t="shared" si="122"/>
        <v>-1</v>
      </c>
      <c r="K77" s="31">
        <f>Ordinaria!K77</f>
        <v>0</v>
      </c>
      <c r="L77" s="32">
        <f t="shared" si="123"/>
        <v>-1</v>
      </c>
      <c r="M77" s="31">
        <f>Ordinaria!M77</f>
        <v>0</v>
      </c>
      <c r="N77" s="32">
        <f t="shared" si="124"/>
        <v>-1</v>
      </c>
      <c r="O77" s="31">
        <f>Ordinaria!O77</f>
        <v>0</v>
      </c>
      <c r="P77" s="32">
        <f t="shared" si="125"/>
        <v>-1</v>
      </c>
      <c r="Q77" s="31">
        <f>Ordinaria!Q77</f>
        <v>0</v>
      </c>
      <c r="R77" s="32">
        <f t="shared" si="126"/>
        <v>-1</v>
      </c>
      <c r="S77" s="31">
        <f>Ordinaria!S77</f>
        <v>0</v>
      </c>
      <c r="T77" s="32">
        <f t="shared" si="127"/>
        <v>-1</v>
      </c>
      <c r="U77" s="31">
        <f>Ordinaria!U77</f>
        <v>0</v>
      </c>
      <c r="V77" s="32">
        <f t="shared" si="128"/>
        <v>-1</v>
      </c>
      <c r="W77" s="31">
        <f>Ordinaria!W77</f>
        <v>0</v>
      </c>
      <c r="X77" s="32">
        <f t="shared" si="129"/>
        <v>-1</v>
      </c>
      <c r="Y77" s="31">
        <f>Ordinaria!Y77</f>
        <v>0</v>
      </c>
      <c r="Z77" s="32">
        <f t="shared" si="130"/>
        <v>-1</v>
      </c>
      <c r="AA77" s="31">
        <f>Ordinaria!AA77</f>
        <v>0</v>
      </c>
      <c r="AB77" s="32">
        <f t="shared" si="131"/>
        <v>-1</v>
      </c>
      <c r="AC77" s="31">
        <f>Ordinaria!AC77</f>
        <v>0</v>
      </c>
      <c r="AD77" s="32">
        <f t="shared" si="132"/>
        <v>-1</v>
      </c>
      <c r="AE77" s="31">
        <f>Ordinaria!AE77</f>
        <v>0</v>
      </c>
      <c r="AF77" s="32">
        <f t="shared" si="133"/>
        <v>-1</v>
      </c>
      <c r="AG77" s="31">
        <f>Ordinaria!AG77</f>
        <v>0</v>
      </c>
      <c r="AH77" s="32">
        <f t="shared" si="134"/>
        <v>-1</v>
      </c>
      <c r="AI77" s="31">
        <f>Ordinaria!AI77</f>
        <v>0</v>
      </c>
      <c r="AJ77" s="32">
        <f t="shared" si="135"/>
        <v>-1</v>
      </c>
      <c r="AK77" s="31">
        <f>Ordinaria!AK77</f>
        <v>0</v>
      </c>
      <c r="AL77" s="32">
        <f t="shared" si="136"/>
        <v>-1</v>
      </c>
      <c r="AM77" s="31">
        <f>Ordinaria!AM77</f>
        <v>0</v>
      </c>
      <c r="AN77" s="32">
        <f t="shared" si="137"/>
        <v>-1</v>
      </c>
      <c r="AO77" s="31">
        <f>Ordinaria!AO77</f>
        <v>0</v>
      </c>
      <c r="AP77" s="32">
        <f t="shared" si="138"/>
        <v>-1</v>
      </c>
      <c r="AQ77" s="31">
        <f>Ordinaria!AQ77</f>
        <v>0</v>
      </c>
      <c r="AR77" s="32">
        <f t="shared" si="139"/>
        <v>-1</v>
      </c>
      <c r="AS77" s="31">
        <f>Ordinaria!AS77</f>
        <v>0</v>
      </c>
      <c r="AT77" s="32">
        <f t="shared" si="140"/>
        <v>-1</v>
      </c>
      <c r="AU77" s="31">
        <f>Ordinaria!AU77</f>
        <v>0</v>
      </c>
      <c r="AV77" s="32">
        <f t="shared" si="141"/>
        <v>-1</v>
      </c>
      <c r="AW77" s="31">
        <f>Ordinaria!AW77</f>
        <v>0</v>
      </c>
      <c r="AX77" s="32">
        <f t="shared" si="142"/>
        <v>-1</v>
      </c>
      <c r="AY77" s="31">
        <f>Ordinaria!AY77</f>
        <v>0</v>
      </c>
      <c r="AZ77" s="32">
        <f t="shared" si="143"/>
        <v>-1</v>
      </c>
      <c r="BA77" s="31">
        <f>Ordinaria!BA77</f>
        <v>0</v>
      </c>
      <c r="BB77" s="32">
        <f t="shared" si="144"/>
        <v>-1</v>
      </c>
      <c r="BC77" s="31">
        <f>Ordinaria!BC77</f>
        <v>0</v>
      </c>
      <c r="BD77" s="32">
        <f t="shared" si="145"/>
        <v>-1</v>
      </c>
      <c r="BE77" s="31">
        <f>Ordinaria!BE77</f>
        <v>0</v>
      </c>
      <c r="BF77" s="32">
        <f t="shared" si="146"/>
        <v>-1</v>
      </c>
      <c r="BG77" s="31">
        <f>Ordinaria!BG77</f>
        <v>0</v>
      </c>
      <c r="BH77" s="32">
        <f t="shared" si="147"/>
        <v>-1</v>
      </c>
      <c r="BI77" s="31">
        <f>Ordinaria!BI77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Ordinaria!B78</f>
        <v>0</v>
      </c>
      <c r="C78" s="31">
        <f>Ordinaria!C78</f>
        <v>0</v>
      </c>
      <c r="D78" s="32">
        <f t="shared" si="119"/>
        <v>-1</v>
      </c>
      <c r="E78" s="31">
        <f>Ordinaria!E78</f>
        <v>0</v>
      </c>
      <c r="F78" s="32">
        <f t="shared" si="120"/>
        <v>-1</v>
      </c>
      <c r="G78" s="31">
        <f>Ordinaria!G78</f>
        <v>0</v>
      </c>
      <c r="H78" s="32">
        <f t="shared" si="121"/>
        <v>-1</v>
      </c>
      <c r="I78" s="31">
        <f>Ordinaria!I78</f>
        <v>0</v>
      </c>
      <c r="J78" s="32">
        <f t="shared" si="122"/>
        <v>-1</v>
      </c>
      <c r="K78" s="31">
        <f>Ordinaria!K78</f>
        <v>0</v>
      </c>
      <c r="L78" s="32">
        <f t="shared" si="123"/>
        <v>-1</v>
      </c>
      <c r="M78" s="31">
        <f>Ordinaria!M78</f>
        <v>0</v>
      </c>
      <c r="N78" s="32">
        <f t="shared" si="124"/>
        <v>-1</v>
      </c>
      <c r="O78" s="31">
        <f>Ordinaria!O78</f>
        <v>0</v>
      </c>
      <c r="P78" s="32">
        <f t="shared" si="125"/>
        <v>-1</v>
      </c>
      <c r="Q78" s="31">
        <f>Ordinaria!Q78</f>
        <v>0</v>
      </c>
      <c r="R78" s="32">
        <f t="shared" si="126"/>
        <v>-1</v>
      </c>
      <c r="S78" s="31">
        <f>Ordinaria!S78</f>
        <v>0</v>
      </c>
      <c r="T78" s="32">
        <f t="shared" si="127"/>
        <v>-1</v>
      </c>
      <c r="U78" s="31">
        <f>Ordinaria!U78</f>
        <v>0</v>
      </c>
      <c r="V78" s="32">
        <f t="shared" si="128"/>
        <v>-1</v>
      </c>
      <c r="W78" s="31">
        <f>Ordinaria!W78</f>
        <v>0</v>
      </c>
      <c r="X78" s="32">
        <f t="shared" si="129"/>
        <v>-1</v>
      </c>
      <c r="Y78" s="31">
        <f>Ordinaria!Y78</f>
        <v>0</v>
      </c>
      <c r="Z78" s="32">
        <f t="shared" si="130"/>
        <v>-1</v>
      </c>
      <c r="AA78" s="31">
        <f>Ordinaria!AA78</f>
        <v>0</v>
      </c>
      <c r="AB78" s="32">
        <f t="shared" si="131"/>
        <v>-1</v>
      </c>
      <c r="AC78" s="31">
        <f>Ordinaria!AC78</f>
        <v>0</v>
      </c>
      <c r="AD78" s="32">
        <f t="shared" si="132"/>
        <v>-1</v>
      </c>
      <c r="AE78" s="31">
        <f>Ordinaria!AE78</f>
        <v>0</v>
      </c>
      <c r="AF78" s="32">
        <f t="shared" si="133"/>
        <v>-1</v>
      </c>
      <c r="AG78" s="31">
        <f>Ordinaria!AG78</f>
        <v>0</v>
      </c>
      <c r="AH78" s="32">
        <f t="shared" si="134"/>
        <v>-1</v>
      </c>
      <c r="AI78" s="31">
        <f>Ordinaria!AI78</f>
        <v>0</v>
      </c>
      <c r="AJ78" s="32">
        <f t="shared" si="135"/>
        <v>-1</v>
      </c>
      <c r="AK78" s="31">
        <f>Ordinaria!AK78</f>
        <v>0</v>
      </c>
      <c r="AL78" s="32">
        <f t="shared" si="136"/>
        <v>-1</v>
      </c>
      <c r="AM78" s="31">
        <f>Ordinaria!AM78</f>
        <v>0</v>
      </c>
      <c r="AN78" s="32">
        <f t="shared" si="137"/>
        <v>-1</v>
      </c>
      <c r="AO78" s="31">
        <f>Ordinaria!AO78</f>
        <v>0</v>
      </c>
      <c r="AP78" s="32">
        <f t="shared" si="138"/>
        <v>-1</v>
      </c>
      <c r="AQ78" s="31">
        <f>Ordinaria!AQ78</f>
        <v>0</v>
      </c>
      <c r="AR78" s="32">
        <f t="shared" si="139"/>
        <v>-1</v>
      </c>
      <c r="AS78" s="31">
        <f>Ordinaria!AS78</f>
        <v>0</v>
      </c>
      <c r="AT78" s="32">
        <f t="shared" si="140"/>
        <v>-1</v>
      </c>
      <c r="AU78" s="31">
        <f>Ordinaria!AU78</f>
        <v>0</v>
      </c>
      <c r="AV78" s="32">
        <f t="shared" si="141"/>
        <v>-1</v>
      </c>
      <c r="AW78" s="31">
        <f>Ordinaria!AW78</f>
        <v>0</v>
      </c>
      <c r="AX78" s="32">
        <f t="shared" si="142"/>
        <v>-1</v>
      </c>
      <c r="AY78" s="31">
        <f>Ordinaria!AY78</f>
        <v>0</v>
      </c>
      <c r="AZ78" s="32">
        <f t="shared" si="143"/>
        <v>-1</v>
      </c>
      <c r="BA78" s="31">
        <f>Ordinaria!BA78</f>
        <v>0</v>
      </c>
      <c r="BB78" s="32">
        <f t="shared" si="144"/>
        <v>-1</v>
      </c>
      <c r="BC78" s="31">
        <f>Ordinaria!BC78</f>
        <v>0</v>
      </c>
      <c r="BD78" s="32">
        <f t="shared" si="145"/>
        <v>-1</v>
      </c>
      <c r="BE78" s="31">
        <f>Ordinaria!BE78</f>
        <v>0</v>
      </c>
      <c r="BF78" s="32">
        <f t="shared" si="146"/>
        <v>-1</v>
      </c>
      <c r="BG78" s="31">
        <f>Ordinaria!BG78</f>
        <v>0</v>
      </c>
      <c r="BH78" s="32">
        <f t="shared" si="147"/>
        <v>-1</v>
      </c>
      <c r="BI78" s="31">
        <f>Ordinaria!BI78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Ordinaria!B79</f>
        <v>0</v>
      </c>
      <c r="C79" s="31">
        <f>Ordinaria!C79</f>
        <v>0</v>
      </c>
      <c r="D79" s="32">
        <f t="shared" si="119"/>
        <v>-1</v>
      </c>
      <c r="E79" s="31">
        <f>Ordinaria!E79</f>
        <v>0</v>
      </c>
      <c r="F79" s="32">
        <f t="shared" si="120"/>
        <v>-1</v>
      </c>
      <c r="G79" s="31">
        <f>Ordinaria!G79</f>
        <v>0</v>
      </c>
      <c r="H79" s="32">
        <f t="shared" si="121"/>
        <v>-1</v>
      </c>
      <c r="I79" s="31">
        <f>Ordinaria!I79</f>
        <v>0</v>
      </c>
      <c r="J79" s="32">
        <f t="shared" si="122"/>
        <v>-1</v>
      </c>
      <c r="K79" s="31">
        <f>Ordinaria!K79</f>
        <v>0</v>
      </c>
      <c r="L79" s="32">
        <f t="shared" si="123"/>
        <v>-1</v>
      </c>
      <c r="M79" s="31">
        <f>Ordinaria!M79</f>
        <v>0</v>
      </c>
      <c r="N79" s="32">
        <f t="shared" si="124"/>
        <v>-1</v>
      </c>
      <c r="O79" s="31">
        <f>Ordinaria!O79</f>
        <v>0</v>
      </c>
      <c r="P79" s="32">
        <f t="shared" si="125"/>
        <v>-1</v>
      </c>
      <c r="Q79" s="31">
        <f>Ordinaria!Q79</f>
        <v>0</v>
      </c>
      <c r="R79" s="32">
        <f t="shared" si="126"/>
        <v>-1</v>
      </c>
      <c r="S79" s="31">
        <f>Ordinaria!S79</f>
        <v>0</v>
      </c>
      <c r="T79" s="32">
        <f t="shared" si="127"/>
        <v>-1</v>
      </c>
      <c r="U79" s="31">
        <f>Ordinaria!U79</f>
        <v>0</v>
      </c>
      <c r="V79" s="32">
        <f t="shared" si="128"/>
        <v>-1</v>
      </c>
      <c r="W79" s="31">
        <f>Ordinaria!W79</f>
        <v>0</v>
      </c>
      <c r="X79" s="32">
        <f t="shared" si="129"/>
        <v>-1</v>
      </c>
      <c r="Y79" s="31">
        <f>Ordinaria!Y79</f>
        <v>0</v>
      </c>
      <c r="Z79" s="32">
        <f t="shared" si="130"/>
        <v>-1</v>
      </c>
      <c r="AA79" s="31">
        <f>Ordinaria!AA79</f>
        <v>0</v>
      </c>
      <c r="AB79" s="32">
        <f t="shared" si="131"/>
        <v>-1</v>
      </c>
      <c r="AC79" s="31">
        <f>Ordinaria!AC79</f>
        <v>0</v>
      </c>
      <c r="AD79" s="32">
        <f t="shared" si="132"/>
        <v>-1</v>
      </c>
      <c r="AE79" s="31">
        <f>Ordinaria!AE79</f>
        <v>0</v>
      </c>
      <c r="AF79" s="32">
        <f t="shared" si="133"/>
        <v>-1</v>
      </c>
      <c r="AG79" s="31">
        <f>Ordinaria!AG79</f>
        <v>0</v>
      </c>
      <c r="AH79" s="32">
        <f t="shared" si="134"/>
        <v>-1</v>
      </c>
      <c r="AI79" s="31">
        <f>Ordinaria!AI79</f>
        <v>0</v>
      </c>
      <c r="AJ79" s="32">
        <f t="shared" si="135"/>
        <v>-1</v>
      </c>
      <c r="AK79" s="31">
        <f>Ordinaria!AK79</f>
        <v>0</v>
      </c>
      <c r="AL79" s="32">
        <f t="shared" si="136"/>
        <v>-1</v>
      </c>
      <c r="AM79" s="31">
        <f>Ordinaria!AM79</f>
        <v>0</v>
      </c>
      <c r="AN79" s="32">
        <f t="shared" si="137"/>
        <v>-1</v>
      </c>
      <c r="AO79" s="31">
        <f>Ordinaria!AO79</f>
        <v>0</v>
      </c>
      <c r="AP79" s="32">
        <f t="shared" si="138"/>
        <v>-1</v>
      </c>
      <c r="AQ79" s="31">
        <f>Ordinaria!AQ79</f>
        <v>0</v>
      </c>
      <c r="AR79" s="32">
        <f t="shared" si="139"/>
        <v>-1</v>
      </c>
      <c r="AS79" s="31">
        <f>Ordinaria!AS79</f>
        <v>0</v>
      </c>
      <c r="AT79" s="32">
        <f t="shared" si="140"/>
        <v>-1</v>
      </c>
      <c r="AU79" s="31">
        <f>Ordinaria!AU79</f>
        <v>0</v>
      </c>
      <c r="AV79" s="32">
        <f t="shared" si="141"/>
        <v>-1</v>
      </c>
      <c r="AW79" s="31">
        <f>Ordinaria!AW79</f>
        <v>0</v>
      </c>
      <c r="AX79" s="32">
        <f t="shared" si="142"/>
        <v>-1</v>
      </c>
      <c r="AY79" s="31">
        <f>Ordinaria!AY79</f>
        <v>0</v>
      </c>
      <c r="AZ79" s="32">
        <f t="shared" si="143"/>
        <v>-1</v>
      </c>
      <c r="BA79" s="31">
        <f>Ordinaria!BA79</f>
        <v>0</v>
      </c>
      <c r="BB79" s="32">
        <f t="shared" si="144"/>
        <v>-1</v>
      </c>
      <c r="BC79" s="31">
        <f>Ordinaria!BC79</f>
        <v>0</v>
      </c>
      <c r="BD79" s="32">
        <f t="shared" si="145"/>
        <v>-1</v>
      </c>
      <c r="BE79" s="31">
        <f>Ordinaria!BE79</f>
        <v>0</v>
      </c>
      <c r="BF79" s="32">
        <f t="shared" si="146"/>
        <v>-1</v>
      </c>
      <c r="BG79" s="31">
        <f>Ordinaria!BG79</f>
        <v>0</v>
      </c>
      <c r="BH79" s="32">
        <f t="shared" si="147"/>
        <v>-1</v>
      </c>
      <c r="BI79" s="31">
        <f>Ordinaria!BI79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Ordinaria!B80</f>
        <v>0</v>
      </c>
      <c r="C80" s="31">
        <f>Ordinaria!C80</f>
        <v>0</v>
      </c>
      <c r="D80" s="32">
        <f t="shared" si="119"/>
        <v>-1</v>
      </c>
      <c r="E80" s="31">
        <f>Ordinaria!E80</f>
        <v>0</v>
      </c>
      <c r="F80" s="32">
        <f t="shared" si="120"/>
        <v>-1</v>
      </c>
      <c r="G80" s="31">
        <f>Ordinaria!G80</f>
        <v>0</v>
      </c>
      <c r="H80" s="32">
        <f t="shared" si="121"/>
        <v>-1</v>
      </c>
      <c r="I80" s="31">
        <f>Ordinaria!I80</f>
        <v>0</v>
      </c>
      <c r="J80" s="32">
        <f t="shared" si="122"/>
        <v>-1</v>
      </c>
      <c r="K80" s="31">
        <f>Ordinaria!K80</f>
        <v>0</v>
      </c>
      <c r="L80" s="32">
        <f t="shared" si="123"/>
        <v>-1</v>
      </c>
      <c r="M80" s="31">
        <f>Ordinaria!M80</f>
        <v>0</v>
      </c>
      <c r="N80" s="32">
        <f t="shared" si="124"/>
        <v>-1</v>
      </c>
      <c r="O80" s="31">
        <f>Ordinaria!O80</f>
        <v>0</v>
      </c>
      <c r="P80" s="32">
        <f t="shared" si="125"/>
        <v>-1</v>
      </c>
      <c r="Q80" s="31">
        <f>Ordinaria!Q80</f>
        <v>0</v>
      </c>
      <c r="R80" s="32">
        <f t="shared" si="126"/>
        <v>-1</v>
      </c>
      <c r="S80" s="31">
        <f>Ordinaria!S80</f>
        <v>0</v>
      </c>
      <c r="T80" s="32">
        <f t="shared" si="127"/>
        <v>-1</v>
      </c>
      <c r="U80" s="31">
        <f>Ordinaria!U80</f>
        <v>0</v>
      </c>
      <c r="V80" s="32">
        <f t="shared" si="128"/>
        <v>-1</v>
      </c>
      <c r="W80" s="31">
        <f>Ordinaria!W80</f>
        <v>0</v>
      </c>
      <c r="X80" s="32">
        <f t="shared" si="129"/>
        <v>-1</v>
      </c>
      <c r="Y80" s="31">
        <f>Ordinaria!Y80</f>
        <v>0</v>
      </c>
      <c r="Z80" s="32">
        <f t="shared" si="130"/>
        <v>-1</v>
      </c>
      <c r="AA80" s="31">
        <f>Ordinaria!AA80</f>
        <v>0</v>
      </c>
      <c r="AB80" s="32">
        <f t="shared" si="131"/>
        <v>-1</v>
      </c>
      <c r="AC80" s="31">
        <f>Ordinaria!AC80</f>
        <v>0</v>
      </c>
      <c r="AD80" s="32">
        <f t="shared" si="132"/>
        <v>-1</v>
      </c>
      <c r="AE80" s="31">
        <f>Ordinaria!AE80</f>
        <v>0</v>
      </c>
      <c r="AF80" s="32">
        <f t="shared" si="133"/>
        <v>-1</v>
      </c>
      <c r="AG80" s="31">
        <f>Ordinaria!AG80</f>
        <v>0</v>
      </c>
      <c r="AH80" s="32">
        <f t="shared" si="134"/>
        <v>-1</v>
      </c>
      <c r="AI80" s="31">
        <f>Ordinaria!AI80</f>
        <v>0</v>
      </c>
      <c r="AJ80" s="32">
        <f t="shared" si="135"/>
        <v>-1</v>
      </c>
      <c r="AK80" s="31">
        <f>Ordinaria!AK80</f>
        <v>0</v>
      </c>
      <c r="AL80" s="32">
        <f t="shared" si="136"/>
        <v>-1</v>
      </c>
      <c r="AM80" s="31">
        <f>Ordinaria!AM80</f>
        <v>0</v>
      </c>
      <c r="AN80" s="32">
        <f t="shared" si="137"/>
        <v>-1</v>
      </c>
      <c r="AO80" s="31">
        <f>Ordinaria!AO80</f>
        <v>0</v>
      </c>
      <c r="AP80" s="32">
        <f t="shared" si="138"/>
        <v>-1</v>
      </c>
      <c r="AQ80" s="31">
        <f>Ordinaria!AQ80</f>
        <v>0</v>
      </c>
      <c r="AR80" s="32">
        <f t="shared" si="139"/>
        <v>-1</v>
      </c>
      <c r="AS80" s="31">
        <f>Ordinaria!AS80</f>
        <v>0</v>
      </c>
      <c r="AT80" s="32">
        <f t="shared" si="140"/>
        <v>-1</v>
      </c>
      <c r="AU80" s="31">
        <f>Ordinaria!AU80</f>
        <v>0</v>
      </c>
      <c r="AV80" s="32">
        <f t="shared" si="141"/>
        <v>-1</v>
      </c>
      <c r="AW80" s="31">
        <f>Ordinaria!AW80</f>
        <v>0</v>
      </c>
      <c r="AX80" s="32">
        <f t="shared" si="142"/>
        <v>-1</v>
      </c>
      <c r="AY80" s="31">
        <f>Ordinaria!AY80</f>
        <v>0</v>
      </c>
      <c r="AZ80" s="32">
        <f t="shared" si="143"/>
        <v>-1</v>
      </c>
      <c r="BA80" s="31">
        <f>Ordinaria!BA80</f>
        <v>0</v>
      </c>
      <c r="BB80" s="32">
        <f t="shared" si="144"/>
        <v>-1</v>
      </c>
      <c r="BC80" s="31">
        <f>Ordinaria!BC80</f>
        <v>0</v>
      </c>
      <c r="BD80" s="32">
        <f t="shared" si="145"/>
        <v>-1</v>
      </c>
      <c r="BE80" s="31">
        <f>Ordinaria!BE80</f>
        <v>0</v>
      </c>
      <c r="BF80" s="32">
        <f t="shared" si="146"/>
        <v>-1</v>
      </c>
      <c r="BG80" s="31">
        <f>Ordinaria!BG80</f>
        <v>0</v>
      </c>
      <c r="BH80" s="32">
        <f t="shared" si="147"/>
        <v>-1</v>
      </c>
      <c r="BI80" s="31">
        <f>Ordinaria!BI80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Ordinaria!B81</f>
        <v>0</v>
      </c>
      <c r="C81" s="31">
        <f>Ordinaria!C81</f>
        <v>0</v>
      </c>
      <c r="D81" s="32">
        <f t="shared" si="119"/>
        <v>-1</v>
      </c>
      <c r="E81" s="31">
        <f>Ordinaria!E81</f>
        <v>0</v>
      </c>
      <c r="F81" s="32">
        <f t="shared" si="120"/>
        <v>-1</v>
      </c>
      <c r="G81" s="31">
        <f>Ordinaria!G81</f>
        <v>0</v>
      </c>
      <c r="H81" s="32">
        <f t="shared" si="121"/>
        <v>-1</v>
      </c>
      <c r="I81" s="31">
        <f>Ordinaria!I81</f>
        <v>0</v>
      </c>
      <c r="J81" s="32">
        <f t="shared" si="122"/>
        <v>-1</v>
      </c>
      <c r="K81" s="31">
        <f>Ordinaria!K81</f>
        <v>0</v>
      </c>
      <c r="L81" s="32">
        <f t="shared" si="123"/>
        <v>-1</v>
      </c>
      <c r="M81" s="31">
        <f>Ordinaria!M81</f>
        <v>0</v>
      </c>
      <c r="N81" s="32">
        <f t="shared" si="124"/>
        <v>-1</v>
      </c>
      <c r="O81" s="31">
        <f>Ordinaria!O81</f>
        <v>0</v>
      </c>
      <c r="P81" s="32">
        <f t="shared" si="125"/>
        <v>-1</v>
      </c>
      <c r="Q81" s="31">
        <f>Ordinaria!Q81</f>
        <v>0</v>
      </c>
      <c r="R81" s="32">
        <f t="shared" si="126"/>
        <v>-1</v>
      </c>
      <c r="S81" s="31">
        <f>Ordinaria!S81</f>
        <v>0</v>
      </c>
      <c r="T81" s="32">
        <f t="shared" si="127"/>
        <v>-1</v>
      </c>
      <c r="U81" s="31">
        <f>Ordinaria!U81</f>
        <v>0</v>
      </c>
      <c r="V81" s="32">
        <f t="shared" si="128"/>
        <v>-1</v>
      </c>
      <c r="W81" s="31">
        <f>Ordinaria!W81</f>
        <v>0</v>
      </c>
      <c r="X81" s="32">
        <f t="shared" si="129"/>
        <v>-1</v>
      </c>
      <c r="Y81" s="31">
        <f>Ordinaria!Y81</f>
        <v>0</v>
      </c>
      <c r="Z81" s="32">
        <f t="shared" si="130"/>
        <v>-1</v>
      </c>
      <c r="AA81" s="31">
        <f>Ordinaria!AA81</f>
        <v>0</v>
      </c>
      <c r="AB81" s="32">
        <f t="shared" si="131"/>
        <v>-1</v>
      </c>
      <c r="AC81" s="31">
        <f>Ordinaria!AC81</f>
        <v>0</v>
      </c>
      <c r="AD81" s="32">
        <f t="shared" si="132"/>
        <v>-1</v>
      </c>
      <c r="AE81" s="31">
        <f>Ordinaria!AE81</f>
        <v>0</v>
      </c>
      <c r="AF81" s="32">
        <f t="shared" si="133"/>
        <v>-1</v>
      </c>
      <c r="AG81" s="31">
        <f>Ordinaria!AG81</f>
        <v>0</v>
      </c>
      <c r="AH81" s="32">
        <f t="shared" si="134"/>
        <v>-1</v>
      </c>
      <c r="AI81" s="31">
        <f>Ordinaria!AI81</f>
        <v>0</v>
      </c>
      <c r="AJ81" s="32">
        <f t="shared" si="135"/>
        <v>-1</v>
      </c>
      <c r="AK81" s="31">
        <f>Ordinaria!AK81</f>
        <v>0</v>
      </c>
      <c r="AL81" s="32">
        <f t="shared" si="136"/>
        <v>-1</v>
      </c>
      <c r="AM81" s="31">
        <f>Ordinaria!AM81</f>
        <v>0</v>
      </c>
      <c r="AN81" s="32">
        <f t="shared" si="137"/>
        <v>-1</v>
      </c>
      <c r="AO81" s="31">
        <f>Ordinaria!AO81</f>
        <v>0</v>
      </c>
      <c r="AP81" s="32">
        <f t="shared" si="138"/>
        <v>-1</v>
      </c>
      <c r="AQ81" s="31">
        <f>Ordinaria!AQ81</f>
        <v>0</v>
      </c>
      <c r="AR81" s="32">
        <f t="shared" si="139"/>
        <v>-1</v>
      </c>
      <c r="AS81" s="31">
        <f>Ordinaria!AS81</f>
        <v>0</v>
      </c>
      <c r="AT81" s="32">
        <f t="shared" si="140"/>
        <v>-1</v>
      </c>
      <c r="AU81" s="31">
        <f>Ordinaria!AU81</f>
        <v>0</v>
      </c>
      <c r="AV81" s="32">
        <f t="shared" si="141"/>
        <v>-1</v>
      </c>
      <c r="AW81" s="31">
        <f>Ordinaria!AW81</f>
        <v>0</v>
      </c>
      <c r="AX81" s="32">
        <f t="shared" si="142"/>
        <v>-1</v>
      </c>
      <c r="AY81" s="31">
        <f>Ordinaria!AY81</f>
        <v>0</v>
      </c>
      <c r="AZ81" s="32">
        <f t="shared" si="143"/>
        <v>-1</v>
      </c>
      <c r="BA81" s="31">
        <f>Ordinaria!BA81</f>
        <v>0</v>
      </c>
      <c r="BB81" s="32">
        <f t="shared" si="144"/>
        <v>-1</v>
      </c>
      <c r="BC81" s="31">
        <f>Ordinaria!BC81</f>
        <v>0</v>
      </c>
      <c r="BD81" s="32">
        <f t="shared" si="145"/>
        <v>-1</v>
      </c>
      <c r="BE81" s="31">
        <f>Ordinaria!BE81</f>
        <v>0</v>
      </c>
      <c r="BF81" s="32">
        <f t="shared" si="146"/>
        <v>-1</v>
      </c>
      <c r="BG81" s="31">
        <f>Ordinaria!BG81</f>
        <v>0</v>
      </c>
      <c r="BH81" s="32">
        <f t="shared" si="147"/>
        <v>-1</v>
      </c>
      <c r="BI81" s="31">
        <f>Ordinaria!BI81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Ordinaria!B82</f>
        <v>0</v>
      </c>
      <c r="C82" s="31">
        <f>Ordinaria!C82</f>
        <v>0</v>
      </c>
      <c r="D82" s="32">
        <f t="shared" si="119"/>
        <v>-1</v>
      </c>
      <c r="E82" s="31">
        <f>Ordinaria!E82</f>
        <v>0</v>
      </c>
      <c r="F82" s="32">
        <f t="shared" si="120"/>
        <v>-1</v>
      </c>
      <c r="G82" s="31">
        <f>Ordinaria!G82</f>
        <v>0</v>
      </c>
      <c r="H82" s="32">
        <f t="shared" si="121"/>
        <v>-1</v>
      </c>
      <c r="I82" s="31">
        <f>Ordinaria!I82</f>
        <v>0</v>
      </c>
      <c r="J82" s="32">
        <f t="shared" si="122"/>
        <v>-1</v>
      </c>
      <c r="K82" s="31">
        <f>Ordinaria!K82</f>
        <v>0</v>
      </c>
      <c r="L82" s="32">
        <f t="shared" si="123"/>
        <v>-1</v>
      </c>
      <c r="M82" s="31">
        <f>Ordinaria!M82</f>
        <v>0</v>
      </c>
      <c r="N82" s="32">
        <f t="shared" si="124"/>
        <v>-1</v>
      </c>
      <c r="O82" s="31">
        <f>Ordinaria!O82</f>
        <v>0</v>
      </c>
      <c r="P82" s="32">
        <f t="shared" si="125"/>
        <v>-1</v>
      </c>
      <c r="Q82" s="31">
        <f>Ordinaria!Q82</f>
        <v>0</v>
      </c>
      <c r="R82" s="32">
        <f t="shared" si="126"/>
        <v>-1</v>
      </c>
      <c r="S82" s="31">
        <f>Ordinaria!S82</f>
        <v>0</v>
      </c>
      <c r="T82" s="32">
        <f t="shared" si="127"/>
        <v>-1</v>
      </c>
      <c r="U82" s="31">
        <f>Ordinaria!U82</f>
        <v>0</v>
      </c>
      <c r="V82" s="32">
        <f t="shared" si="128"/>
        <v>-1</v>
      </c>
      <c r="W82" s="31">
        <f>Ordinaria!W82</f>
        <v>0</v>
      </c>
      <c r="X82" s="32">
        <f t="shared" si="129"/>
        <v>-1</v>
      </c>
      <c r="Y82" s="31">
        <f>Ordinaria!Y82</f>
        <v>0</v>
      </c>
      <c r="Z82" s="32">
        <f t="shared" si="130"/>
        <v>-1</v>
      </c>
      <c r="AA82" s="31">
        <f>Ordinaria!AA82</f>
        <v>0</v>
      </c>
      <c r="AB82" s="32">
        <f t="shared" si="131"/>
        <v>-1</v>
      </c>
      <c r="AC82" s="31">
        <f>Ordinaria!AC82</f>
        <v>0</v>
      </c>
      <c r="AD82" s="32">
        <f t="shared" si="132"/>
        <v>-1</v>
      </c>
      <c r="AE82" s="31">
        <f>Ordinaria!AE82</f>
        <v>0</v>
      </c>
      <c r="AF82" s="32">
        <f t="shared" si="133"/>
        <v>-1</v>
      </c>
      <c r="AG82" s="31">
        <f>Ordinaria!AG82</f>
        <v>0</v>
      </c>
      <c r="AH82" s="32">
        <f t="shared" si="134"/>
        <v>-1</v>
      </c>
      <c r="AI82" s="31">
        <f>Ordinaria!AI82</f>
        <v>0</v>
      </c>
      <c r="AJ82" s="32">
        <f t="shared" si="135"/>
        <v>-1</v>
      </c>
      <c r="AK82" s="31">
        <f>Ordinaria!AK82</f>
        <v>0</v>
      </c>
      <c r="AL82" s="32">
        <f t="shared" si="136"/>
        <v>-1</v>
      </c>
      <c r="AM82" s="31">
        <f>Ordinaria!AM82</f>
        <v>0</v>
      </c>
      <c r="AN82" s="32">
        <f t="shared" si="137"/>
        <v>-1</v>
      </c>
      <c r="AO82" s="31">
        <f>Ordinaria!AO82</f>
        <v>0</v>
      </c>
      <c r="AP82" s="32">
        <f t="shared" si="138"/>
        <v>-1</v>
      </c>
      <c r="AQ82" s="31">
        <f>Ordinaria!AQ82</f>
        <v>0</v>
      </c>
      <c r="AR82" s="32">
        <f t="shared" si="139"/>
        <v>-1</v>
      </c>
      <c r="AS82" s="31">
        <f>Ordinaria!AS82</f>
        <v>0</v>
      </c>
      <c r="AT82" s="32">
        <f t="shared" si="140"/>
        <v>-1</v>
      </c>
      <c r="AU82" s="31">
        <f>Ordinaria!AU82</f>
        <v>0</v>
      </c>
      <c r="AV82" s="32">
        <f t="shared" si="141"/>
        <v>-1</v>
      </c>
      <c r="AW82" s="31">
        <f>Ordinaria!AW82</f>
        <v>0</v>
      </c>
      <c r="AX82" s="32">
        <f t="shared" si="142"/>
        <v>-1</v>
      </c>
      <c r="AY82" s="31">
        <f>Ordinaria!AY82</f>
        <v>0</v>
      </c>
      <c r="AZ82" s="32">
        <f t="shared" si="143"/>
        <v>-1</v>
      </c>
      <c r="BA82" s="31">
        <f>Ordinaria!BA82</f>
        <v>0</v>
      </c>
      <c r="BB82" s="32">
        <f t="shared" si="144"/>
        <v>-1</v>
      </c>
      <c r="BC82" s="31">
        <f>Ordinaria!BC82</f>
        <v>0</v>
      </c>
      <c r="BD82" s="32">
        <f t="shared" si="145"/>
        <v>-1</v>
      </c>
      <c r="BE82" s="31">
        <f>Ordinaria!BE82</f>
        <v>0</v>
      </c>
      <c r="BF82" s="32">
        <f t="shared" si="146"/>
        <v>-1</v>
      </c>
      <c r="BG82" s="31">
        <f>Ordinaria!BG82</f>
        <v>0</v>
      </c>
      <c r="BH82" s="32">
        <f t="shared" si="147"/>
        <v>-1</v>
      </c>
      <c r="BI82" s="31">
        <f>Ordinaria!BI82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Ordinaria!B83</f>
        <v>0</v>
      </c>
      <c r="C83" s="31">
        <f>Ordinaria!C83</f>
        <v>0</v>
      </c>
      <c r="D83" s="32">
        <f t="shared" si="119"/>
        <v>-1</v>
      </c>
      <c r="E83" s="31">
        <f>Ordinaria!E83</f>
        <v>0</v>
      </c>
      <c r="F83" s="32">
        <f t="shared" si="120"/>
        <v>-1</v>
      </c>
      <c r="G83" s="31">
        <f>Ordinaria!G83</f>
        <v>0</v>
      </c>
      <c r="H83" s="32">
        <f t="shared" si="121"/>
        <v>-1</v>
      </c>
      <c r="I83" s="31">
        <f>Ordinaria!I83</f>
        <v>0</v>
      </c>
      <c r="J83" s="32">
        <f t="shared" si="122"/>
        <v>-1</v>
      </c>
      <c r="K83" s="31">
        <f>Ordinaria!K83</f>
        <v>0</v>
      </c>
      <c r="L83" s="32">
        <f t="shared" si="123"/>
        <v>-1</v>
      </c>
      <c r="M83" s="31">
        <f>Ordinaria!M83</f>
        <v>0</v>
      </c>
      <c r="N83" s="32">
        <f t="shared" si="124"/>
        <v>-1</v>
      </c>
      <c r="O83" s="31">
        <f>Ordinaria!O83</f>
        <v>0</v>
      </c>
      <c r="P83" s="32">
        <f t="shared" si="125"/>
        <v>-1</v>
      </c>
      <c r="Q83" s="31">
        <f>Ordinaria!Q83</f>
        <v>0</v>
      </c>
      <c r="R83" s="32">
        <f t="shared" si="126"/>
        <v>-1</v>
      </c>
      <c r="S83" s="31">
        <f>Ordinaria!S83</f>
        <v>0</v>
      </c>
      <c r="T83" s="32">
        <f t="shared" si="127"/>
        <v>-1</v>
      </c>
      <c r="U83" s="31">
        <f>Ordinaria!U83</f>
        <v>0</v>
      </c>
      <c r="V83" s="32">
        <f t="shared" si="128"/>
        <v>-1</v>
      </c>
      <c r="W83" s="31">
        <f>Ordinaria!W83</f>
        <v>0</v>
      </c>
      <c r="X83" s="32">
        <f t="shared" si="129"/>
        <v>-1</v>
      </c>
      <c r="Y83" s="31">
        <f>Ordinaria!Y83</f>
        <v>0</v>
      </c>
      <c r="Z83" s="32">
        <f t="shared" si="130"/>
        <v>-1</v>
      </c>
      <c r="AA83" s="31">
        <f>Ordinaria!AA83</f>
        <v>0</v>
      </c>
      <c r="AB83" s="32">
        <f t="shared" si="131"/>
        <v>-1</v>
      </c>
      <c r="AC83" s="31">
        <f>Ordinaria!AC83</f>
        <v>0</v>
      </c>
      <c r="AD83" s="32">
        <f t="shared" si="132"/>
        <v>-1</v>
      </c>
      <c r="AE83" s="31">
        <f>Ordinaria!AE83</f>
        <v>0</v>
      </c>
      <c r="AF83" s="32">
        <f t="shared" si="133"/>
        <v>-1</v>
      </c>
      <c r="AG83" s="31">
        <f>Ordinaria!AG83</f>
        <v>0</v>
      </c>
      <c r="AH83" s="32">
        <f t="shared" si="134"/>
        <v>-1</v>
      </c>
      <c r="AI83" s="31">
        <f>Ordinaria!AI83</f>
        <v>0</v>
      </c>
      <c r="AJ83" s="32">
        <f t="shared" si="135"/>
        <v>-1</v>
      </c>
      <c r="AK83" s="31">
        <f>Ordinaria!AK83</f>
        <v>0</v>
      </c>
      <c r="AL83" s="32">
        <f t="shared" si="136"/>
        <v>-1</v>
      </c>
      <c r="AM83" s="31">
        <f>Ordinaria!AM83</f>
        <v>0</v>
      </c>
      <c r="AN83" s="32">
        <f t="shared" si="137"/>
        <v>-1</v>
      </c>
      <c r="AO83" s="31">
        <f>Ordinaria!AO83</f>
        <v>0</v>
      </c>
      <c r="AP83" s="32">
        <f t="shared" si="138"/>
        <v>-1</v>
      </c>
      <c r="AQ83" s="31">
        <f>Ordinaria!AQ83</f>
        <v>0</v>
      </c>
      <c r="AR83" s="32">
        <f t="shared" si="139"/>
        <v>-1</v>
      </c>
      <c r="AS83" s="31">
        <f>Ordinaria!AS83</f>
        <v>0</v>
      </c>
      <c r="AT83" s="32">
        <f t="shared" si="140"/>
        <v>-1</v>
      </c>
      <c r="AU83" s="31">
        <f>Ordinaria!AU83</f>
        <v>0</v>
      </c>
      <c r="AV83" s="32">
        <f t="shared" si="141"/>
        <v>-1</v>
      </c>
      <c r="AW83" s="31">
        <f>Ordinaria!AW83</f>
        <v>0</v>
      </c>
      <c r="AX83" s="32">
        <f t="shared" si="142"/>
        <v>-1</v>
      </c>
      <c r="AY83" s="31">
        <f>Ordinaria!AY83</f>
        <v>0</v>
      </c>
      <c r="AZ83" s="32">
        <f t="shared" si="143"/>
        <v>-1</v>
      </c>
      <c r="BA83" s="31">
        <f>Ordinaria!BA83</f>
        <v>0</v>
      </c>
      <c r="BB83" s="32">
        <f t="shared" si="144"/>
        <v>-1</v>
      </c>
      <c r="BC83" s="31">
        <f>Ordinaria!BC83</f>
        <v>0</v>
      </c>
      <c r="BD83" s="32">
        <f t="shared" si="145"/>
        <v>-1</v>
      </c>
      <c r="BE83" s="31">
        <f>Ordinaria!BE83</f>
        <v>0</v>
      </c>
      <c r="BF83" s="32">
        <f t="shared" si="146"/>
        <v>-1</v>
      </c>
      <c r="BG83" s="31">
        <f>Ordinaria!BG83</f>
        <v>0</v>
      </c>
      <c r="BH83" s="32">
        <f t="shared" si="147"/>
        <v>-1</v>
      </c>
      <c r="BI83" s="31">
        <f>Ordinaria!BI83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Ordinaria!B84</f>
        <v>0</v>
      </c>
      <c r="C84" s="31">
        <f>Ordinaria!C84</f>
        <v>0</v>
      </c>
      <c r="D84" s="32">
        <f t="shared" si="119"/>
        <v>-1</v>
      </c>
      <c r="E84" s="31">
        <f>Ordinaria!E84</f>
        <v>0</v>
      </c>
      <c r="F84" s="32">
        <f t="shared" si="120"/>
        <v>-1</v>
      </c>
      <c r="G84" s="31">
        <f>Ordinaria!G84</f>
        <v>0</v>
      </c>
      <c r="H84" s="32">
        <f t="shared" si="121"/>
        <v>-1</v>
      </c>
      <c r="I84" s="31">
        <f>Ordinaria!I84</f>
        <v>0</v>
      </c>
      <c r="J84" s="32">
        <f t="shared" si="122"/>
        <v>-1</v>
      </c>
      <c r="K84" s="31">
        <f>Ordinaria!K84</f>
        <v>0</v>
      </c>
      <c r="L84" s="32">
        <f t="shared" si="123"/>
        <v>-1</v>
      </c>
      <c r="M84" s="31">
        <f>Ordinaria!M84</f>
        <v>0</v>
      </c>
      <c r="N84" s="32">
        <f t="shared" si="124"/>
        <v>-1</v>
      </c>
      <c r="O84" s="31">
        <f>Ordinaria!O84</f>
        <v>0</v>
      </c>
      <c r="P84" s="32">
        <f t="shared" si="125"/>
        <v>-1</v>
      </c>
      <c r="Q84" s="31">
        <f>Ordinaria!Q84</f>
        <v>0</v>
      </c>
      <c r="R84" s="32">
        <f t="shared" si="126"/>
        <v>-1</v>
      </c>
      <c r="S84" s="31">
        <f>Ordinaria!S84</f>
        <v>0</v>
      </c>
      <c r="T84" s="32">
        <f t="shared" si="127"/>
        <v>-1</v>
      </c>
      <c r="U84" s="31">
        <f>Ordinaria!U84</f>
        <v>0</v>
      </c>
      <c r="V84" s="32">
        <f t="shared" si="128"/>
        <v>-1</v>
      </c>
      <c r="W84" s="31">
        <f>Ordinaria!W84</f>
        <v>0</v>
      </c>
      <c r="X84" s="32">
        <f t="shared" si="129"/>
        <v>-1</v>
      </c>
      <c r="Y84" s="31">
        <f>Ordinaria!Y84</f>
        <v>0</v>
      </c>
      <c r="Z84" s="32">
        <f t="shared" si="130"/>
        <v>-1</v>
      </c>
      <c r="AA84" s="31">
        <f>Ordinaria!AA84</f>
        <v>0</v>
      </c>
      <c r="AB84" s="32">
        <f t="shared" si="131"/>
        <v>-1</v>
      </c>
      <c r="AC84" s="31">
        <f>Ordinaria!AC84</f>
        <v>0</v>
      </c>
      <c r="AD84" s="32">
        <f t="shared" si="132"/>
        <v>-1</v>
      </c>
      <c r="AE84" s="31">
        <f>Ordinaria!AE84</f>
        <v>0</v>
      </c>
      <c r="AF84" s="32">
        <f t="shared" si="133"/>
        <v>-1</v>
      </c>
      <c r="AG84" s="31">
        <f>Ordinaria!AG84</f>
        <v>0</v>
      </c>
      <c r="AH84" s="32">
        <f t="shared" si="134"/>
        <v>-1</v>
      </c>
      <c r="AI84" s="31">
        <f>Ordinaria!AI84</f>
        <v>0</v>
      </c>
      <c r="AJ84" s="32">
        <f t="shared" si="135"/>
        <v>-1</v>
      </c>
      <c r="AK84" s="31">
        <f>Ordinaria!AK84</f>
        <v>0</v>
      </c>
      <c r="AL84" s="32">
        <f t="shared" si="136"/>
        <v>-1</v>
      </c>
      <c r="AM84" s="31">
        <f>Ordinaria!AM84</f>
        <v>0</v>
      </c>
      <c r="AN84" s="32">
        <f t="shared" si="137"/>
        <v>-1</v>
      </c>
      <c r="AO84" s="31">
        <f>Ordinaria!AO84</f>
        <v>0</v>
      </c>
      <c r="AP84" s="32">
        <f t="shared" si="138"/>
        <v>-1</v>
      </c>
      <c r="AQ84" s="31">
        <f>Ordinaria!AQ84</f>
        <v>0</v>
      </c>
      <c r="AR84" s="32">
        <f t="shared" si="139"/>
        <v>-1</v>
      </c>
      <c r="AS84" s="31">
        <f>Ordinaria!AS84</f>
        <v>0</v>
      </c>
      <c r="AT84" s="32">
        <f t="shared" si="140"/>
        <v>-1</v>
      </c>
      <c r="AU84" s="31">
        <f>Ordinaria!AU84</f>
        <v>0</v>
      </c>
      <c r="AV84" s="32">
        <f t="shared" si="141"/>
        <v>-1</v>
      </c>
      <c r="AW84" s="31">
        <f>Ordinaria!AW84</f>
        <v>0</v>
      </c>
      <c r="AX84" s="32">
        <f t="shared" si="142"/>
        <v>-1</v>
      </c>
      <c r="AY84" s="31">
        <f>Ordinaria!AY84</f>
        <v>0</v>
      </c>
      <c r="AZ84" s="32">
        <f t="shared" si="143"/>
        <v>-1</v>
      </c>
      <c r="BA84" s="31">
        <f>Ordinaria!BA84</f>
        <v>0</v>
      </c>
      <c r="BB84" s="32">
        <f t="shared" si="144"/>
        <v>-1</v>
      </c>
      <c r="BC84" s="31">
        <f>Ordinaria!BC84</f>
        <v>0</v>
      </c>
      <c r="BD84" s="32">
        <f t="shared" si="145"/>
        <v>-1</v>
      </c>
      <c r="BE84" s="31">
        <f>Ordinaria!BE84</f>
        <v>0</v>
      </c>
      <c r="BF84" s="32">
        <f t="shared" si="146"/>
        <v>-1</v>
      </c>
      <c r="BG84" s="31">
        <f>Ordinaria!BG84</f>
        <v>0</v>
      </c>
      <c r="BH84" s="32">
        <f t="shared" si="147"/>
        <v>-1</v>
      </c>
      <c r="BI84" s="31">
        <f>Ordinaria!BI84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Ordinaria!B85</f>
        <v>0</v>
      </c>
      <c r="C85" s="31">
        <f>Ordinaria!C85</f>
        <v>0</v>
      </c>
      <c r="D85" s="32">
        <f t="shared" si="119"/>
        <v>-1</v>
      </c>
      <c r="E85" s="31">
        <f>Ordinaria!E85</f>
        <v>0</v>
      </c>
      <c r="F85" s="32">
        <f t="shared" si="120"/>
        <v>-1</v>
      </c>
      <c r="G85" s="31">
        <f>Ordinaria!G85</f>
        <v>0</v>
      </c>
      <c r="H85" s="32">
        <f t="shared" si="121"/>
        <v>-1</v>
      </c>
      <c r="I85" s="31">
        <f>Ordinaria!I85</f>
        <v>0</v>
      </c>
      <c r="J85" s="32">
        <f t="shared" si="122"/>
        <v>-1</v>
      </c>
      <c r="K85" s="31">
        <f>Ordinaria!K85</f>
        <v>0</v>
      </c>
      <c r="L85" s="32">
        <f t="shared" si="123"/>
        <v>-1</v>
      </c>
      <c r="M85" s="31">
        <f>Ordinaria!M85</f>
        <v>0</v>
      </c>
      <c r="N85" s="32">
        <f t="shared" si="124"/>
        <v>-1</v>
      </c>
      <c r="O85" s="31">
        <f>Ordinaria!O85</f>
        <v>0</v>
      </c>
      <c r="P85" s="32">
        <f t="shared" si="125"/>
        <v>-1</v>
      </c>
      <c r="Q85" s="31">
        <f>Ordinaria!Q85</f>
        <v>0</v>
      </c>
      <c r="R85" s="32">
        <f t="shared" si="126"/>
        <v>-1</v>
      </c>
      <c r="S85" s="31">
        <f>Ordinaria!S85</f>
        <v>0</v>
      </c>
      <c r="T85" s="32">
        <f t="shared" si="127"/>
        <v>-1</v>
      </c>
      <c r="U85" s="31">
        <f>Ordinaria!U85</f>
        <v>0</v>
      </c>
      <c r="V85" s="32">
        <f t="shared" si="128"/>
        <v>-1</v>
      </c>
      <c r="W85" s="31">
        <f>Ordinaria!W85</f>
        <v>0</v>
      </c>
      <c r="X85" s="32">
        <f t="shared" si="129"/>
        <v>-1</v>
      </c>
      <c r="Y85" s="31">
        <f>Ordinaria!Y85</f>
        <v>0</v>
      </c>
      <c r="Z85" s="32">
        <f t="shared" si="130"/>
        <v>-1</v>
      </c>
      <c r="AA85" s="31">
        <f>Ordinaria!AA85</f>
        <v>0</v>
      </c>
      <c r="AB85" s="32">
        <f t="shared" si="131"/>
        <v>-1</v>
      </c>
      <c r="AC85" s="31">
        <f>Ordinaria!AC85</f>
        <v>0</v>
      </c>
      <c r="AD85" s="32">
        <f t="shared" si="132"/>
        <v>-1</v>
      </c>
      <c r="AE85" s="31">
        <f>Ordinaria!AE85</f>
        <v>0</v>
      </c>
      <c r="AF85" s="32">
        <f t="shared" si="133"/>
        <v>-1</v>
      </c>
      <c r="AG85" s="31">
        <f>Ordinaria!AG85</f>
        <v>0</v>
      </c>
      <c r="AH85" s="32">
        <f t="shared" si="134"/>
        <v>-1</v>
      </c>
      <c r="AI85" s="31">
        <f>Ordinaria!AI85</f>
        <v>0</v>
      </c>
      <c r="AJ85" s="32">
        <f t="shared" si="135"/>
        <v>-1</v>
      </c>
      <c r="AK85" s="31">
        <f>Ordinaria!AK85</f>
        <v>0</v>
      </c>
      <c r="AL85" s="32">
        <f t="shared" si="136"/>
        <v>-1</v>
      </c>
      <c r="AM85" s="31">
        <f>Ordinaria!AM85</f>
        <v>0</v>
      </c>
      <c r="AN85" s="32">
        <f t="shared" si="137"/>
        <v>-1</v>
      </c>
      <c r="AO85" s="31">
        <f>Ordinaria!AO85</f>
        <v>0</v>
      </c>
      <c r="AP85" s="32">
        <f t="shared" si="138"/>
        <v>-1</v>
      </c>
      <c r="AQ85" s="31">
        <f>Ordinaria!AQ85</f>
        <v>0</v>
      </c>
      <c r="AR85" s="32">
        <f t="shared" si="139"/>
        <v>-1</v>
      </c>
      <c r="AS85" s="31">
        <f>Ordinaria!AS85</f>
        <v>0</v>
      </c>
      <c r="AT85" s="32">
        <f t="shared" si="140"/>
        <v>-1</v>
      </c>
      <c r="AU85" s="31">
        <f>Ordinaria!AU85</f>
        <v>0</v>
      </c>
      <c r="AV85" s="32">
        <f t="shared" si="141"/>
        <v>-1</v>
      </c>
      <c r="AW85" s="31">
        <f>Ordinaria!AW85</f>
        <v>0</v>
      </c>
      <c r="AX85" s="32">
        <f t="shared" si="142"/>
        <v>-1</v>
      </c>
      <c r="AY85" s="31">
        <f>Ordinaria!AY85</f>
        <v>0</v>
      </c>
      <c r="AZ85" s="32">
        <f t="shared" si="143"/>
        <v>-1</v>
      </c>
      <c r="BA85" s="31">
        <f>Ordinaria!BA85</f>
        <v>0</v>
      </c>
      <c r="BB85" s="32">
        <f t="shared" si="144"/>
        <v>-1</v>
      </c>
      <c r="BC85" s="31">
        <f>Ordinaria!BC85</f>
        <v>0</v>
      </c>
      <c r="BD85" s="32">
        <f t="shared" si="145"/>
        <v>-1</v>
      </c>
      <c r="BE85" s="31">
        <f>Ordinaria!BE85</f>
        <v>0</v>
      </c>
      <c r="BF85" s="32">
        <f t="shared" si="146"/>
        <v>-1</v>
      </c>
      <c r="BG85" s="31">
        <f>Ordinaria!BG85</f>
        <v>0</v>
      </c>
      <c r="BH85" s="32">
        <f t="shared" si="147"/>
        <v>-1</v>
      </c>
      <c r="BI85" s="31">
        <f>Ordinaria!BI85</f>
        <v>0</v>
      </c>
      <c r="BJ85" s="32">
        <f t="shared" si="148"/>
        <v>-1</v>
      </c>
    </row>
    <row r="86" spans="1:62" ht="19" customHeight="1" x14ac:dyDescent="0.2">
      <c r="A86" s="48" t="s">
        <v>84</v>
      </c>
      <c r="B86" s="49"/>
      <c r="C86" s="53">
        <f>SUM(C4,C7,C16,C38,C59,C64)</f>
        <v>0</v>
      </c>
      <c r="D86" s="54"/>
      <c r="E86" s="53">
        <f t="shared" ref="E86" si="149">SUM(E4,E7,E16,E38,E59,E64)</f>
        <v>0</v>
      </c>
      <c r="F86" s="54"/>
      <c r="G86" s="53">
        <f t="shared" ref="G86" si="150">SUM(G4,G7,G16,G38,G59,G64)</f>
        <v>0</v>
      </c>
      <c r="H86" s="54"/>
      <c r="I86" s="53">
        <f t="shared" ref="I86" si="151">SUM(I4,I7,I16,I38,I59,I64)</f>
        <v>0</v>
      </c>
      <c r="J86" s="54"/>
      <c r="K86" s="53">
        <f t="shared" ref="K86" si="152">SUM(K4,K7,K16,K38,K59,K64)</f>
        <v>0</v>
      </c>
      <c r="L86" s="54"/>
      <c r="M86" s="53">
        <f t="shared" ref="M86" si="153">SUM(M4,M7,M16,M38,M59,M64)</f>
        <v>0</v>
      </c>
      <c r="N86" s="54"/>
      <c r="O86" s="53">
        <f t="shared" ref="O86" si="154">SUM(O4,O7,O16,O38,O59,O64)</f>
        <v>0</v>
      </c>
      <c r="P86" s="54"/>
      <c r="Q86" s="53">
        <f t="shared" ref="Q86" si="155">SUM(Q4,Q7,Q16,Q38,Q59,Q64)</f>
        <v>0</v>
      </c>
      <c r="R86" s="54"/>
      <c r="S86" s="53">
        <f t="shared" ref="S86" si="156">SUM(S4,S7,S16,S38,S59,S64)</f>
        <v>0</v>
      </c>
      <c r="T86" s="54"/>
      <c r="U86" s="53">
        <f t="shared" ref="U86" si="157">SUM(U4,U7,U16,U38,U59,U64)</f>
        <v>0</v>
      </c>
      <c r="V86" s="54"/>
      <c r="W86" s="53">
        <f t="shared" ref="W86" si="158">SUM(W4,W7,W16,W38,W59,W64)</f>
        <v>0</v>
      </c>
      <c r="X86" s="54"/>
      <c r="Y86" s="53">
        <f t="shared" ref="Y86" si="159">SUM(Y4,Y7,Y16,Y38,Y59,Y64)</f>
        <v>0</v>
      </c>
      <c r="Z86" s="54"/>
      <c r="AA86" s="53">
        <f t="shared" ref="AA86" si="160">SUM(AA4,AA7,AA16,AA38,AA59,AA64)</f>
        <v>0</v>
      </c>
      <c r="AB86" s="54"/>
      <c r="AC86" s="53">
        <f t="shared" ref="AC86" si="161">SUM(AC4,AC7,AC16,AC38,AC59,AC64)</f>
        <v>0</v>
      </c>
      <c r="AD86" s="54"/>
      <c r="AE86" s="53">
        <f t="shared" ref="AE86" si="162">SUM(AE4,AE7,AE16,AE38,AE59,AE64)</f>
        <v>0</v>
      </c>
      <c r="AF86" s="54"/>
      <c r="AG86" s="53">
        <f t="shared" ref="AG86" si="163">SUM(AG4,AG7,AG16,AG38,AG59,AG64)</f>
        <v>0</v>
      </c>
      <c r="AH86" s="54"/>
      <c r="AI86" s="53">
        <f t="shared" ref="AI86" si="164">SUM(AI4,AI7,AI16,AI38,AI59,AI64)</f>
        <v>0</v>
      </c>
      <c r="AJ86" s="54"/>
      <c r="AK86" s="53">
        <f t="shared" ref="AK86" si="165">SUM(AK4,AK7,AK16,AK38,AK59,AK64)</f>
        <v>0</v>
      </c>
      <c r="AL86" s="54"/>
      <c r="AM86" s="53">
        <f t="shared" ref="AM86" si="166">SUM(AM4,AM7,AM16,AM38,AM59,AM64)</f>
        <v>0</v>
      </c>
      <c r="AN86" s="54"/>
      <c r="AO86" s="53">
        <f t="shared" ref="AO86" si="167">SUM(AO4,AO7,AO16,AO38,AO59,AO64)</f>
        <v>0</v>
      </c>
      <c r="AP86" s="54"/>
      <c r="AQ86" s="53">
        <f t="shared" ref="AQ86" si="168">SUM(AQ4,AQ7,AQ16,AQ38,AQ59,AQ64)</f>
        <v>0</v>
      </c>
      <c r="AR86" s="54"/>
      <c r="AS86" s="53">
        <f t="shared" ref="AS86" si="169">SUM(AS4,AS7,AS16,AS38,AS59,AS64)</f>
        <v>0</v>
      </c>
      <c r="AT86" s="54"/>
      <c r="AU86" s="53">
        <f t="shared" ref="AU86" si="170">SUM(AU4,AU7,AU16,AU38,AU59,AU64)</f>
        <v>0</v>
      </c>
      <c r="AV86" s="54"/>
      <c r="AW86" s="53">
        <f t="shared" ref="AW86" si="171">SUM(AW4,AW7,AW16,AW38,AW59,AW64)</f>
        <v>0</v>
      </c>
      <c r="AX86" s="54"/>
      <c r="AY86" s="53">
        <f t="shared" ref="AY86" si="172">SUM(AY4,AY7,AY16,AY38,AY59,AY64)</f>
        <v>0</v>
      </c>
      <c r="AZ86" s="54"/>
      <c r="BA86" s="53">
        <f t="shared" ref="BA86" si="173">SUM(BA4,BA7,BA16,BA38,BA59,BA64)</f>
        <v>0</v>
      </c>
      <c r="BB86" s="54"/>
      <c r="BC86" s="53">
        <f t="shared" ref="BC86" si="174">SUM(BC4,BC7,BC16,BC38,BC59,BC64)</f>
        <v>0</v>
      </c>
      <c r="BD86" s="54"/>
      <c r="BE86" s="53">
        <f t="shared" ref="BE86" si="175">SUM(BE4,BE7,BE16,BE38,BE59,BE64)</f>
        <v>0</v>
      </c>
      <c r="BF86" s="54"/>
      <c r="BG86" s="53">
        <f t="shared" ref="BG86" si="176">SUM(BG4,BG7,BG16,BG38,BG59,BG64)</f>
        <v>0</v>
      </c>
      <c r="BH86" s="54"/>
      <c r="BI86" s="53">
        <f t="shared" ref="BI86" si="177">SUM(BI4,BI7,BI16,BI38,BI59,BI64)</f>
        <v>0</v>
      </c>
      <c r="BJ86" s="54"/>
    </row>
    <row r="87" spans="1:62" ht="19" customHeight="1" x14ac:dyDescent="0.2">
      <c r="A87" s="48"/>
      <c r="B87" s="49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</row>
    <row r="88" spans="1:62" ht="19" customHeight="1" x14ac:dyDescent="0.2">
      <c r="A88" s="48"/>
      <c r="B88" s="49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</row>
  </sheetData>
  <sheetProtection algorithmName="SHA-512" hashValue="fqcGegVy0yj3NbTMGvYI5m/yOQjFgD9CpzqQVfXjr2EGg0tB0Na6HxzGTqGuep0AqB51tc6YhuWdhFg5+FZueA==" saltValue="8CdOZ5oDMH80fQfO0+OL9Q==" spinCount="100000" sheet="1" objects="1" scenarios="1" formatCells="0" autoFilter="0"/>
  <mergeCells count="303">
    <mergeCell ref="A1:A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A86:B88"/>
    <mergeCell ref="C86:D88"/>
    <mergeCell ref="E86:F88"/>
    <mergeCell ref="G86:H88"/>
    <mergeCell ref="I86:J88"/>
    <mergeCell ref="K86:L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</mergeCells>
  <conditionalFormatting sqref="C86 E86 G86 I86 K86 M86 O86 Q86 S86 U86 W86 Y86 AA86 AC86 AE86 AG86 AI86 AK86 AM86 AO86 AQ86 AS86 AU86 AW86 AY86 BA86 BC86 BE86 BG86 BI86">
    <cfRule type="cellIs" dxfId="6844" priority="92" stopIfTrue="1" operator="lessThan">
      <formula>5</formula>
    </cfRule>
    <cfRule type="cellIs" dxfId="684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6842" priority="2" stopIfTrue="1" operator="lessThan">
      <formula>5</formula>
    </cfRule>
    <cfRule type="cellIs" dxfId="6841" priority="3" operator="greaterThanOrEqual">
      <formula>5</formula>
    </cfRule>
  </conditionalFormatting>
  <conditionalFormatting sqref="B3">
    <cfRule type="cellIs" dxfId="6840" priority="1" operator="notEqual">
      <formula>"Ok"</formula>
    </cfRule>
  </conditionalFormatting>
  <conditionalFormatting sqref="D5">
    <cfRule type="cellIs" dxfId="6839" priority="135096" stopIfTrue="1" operator="equal">
      <formula>-1</formula>
    </cfRule>
  </conditionalFormatting>
  <conditionalFormatting sqref="D5">
    <cfRule type="cellIs" dxfId="6838" priority="135097" stopIfTrue="1" operator="lessThan">
      <formula>0.5</formula>
    </cfRule>
  </conditionalFormatting>
  <conditionalFormatting sqref="D5">
    <cfRule type="cellIs" dxfId="6837" priority="135098" stopIfTrue="1" operator="greaterThanOrEqual">
      <formula>0.5</formula>
    </cfRule>
  </conditionalFormatting>
  <conditionalFormatting sqref="D6">
    <cfRule type="cellIs" dxfId="6836" priority="135099" stopIfTrue="1" operator="equal">
      <formula>-1</formula>
    </cfRule>
  </conditionalFormatting>
  <conditionalFormatting sqref="D6">
    <cfRule type="cellIs" dxfId="6835" priority="135100" stopIfTrue="1" operator="lessThan">
      <formula>0.5</formula>
    </cfRule>
  </conditionalFormatting>
  <conditionalFormatting sqref="D6">
    <cfRule type="cellIs" dxfId="6834" priority="135101" stopIfTrue="1" operator="greaterThanOrEqual">
      <formula>0.5</formula>
    </cfRule>
  </conditionalFormatting>
  <conditionalFormatting sqref="F5">
    <cfRule type="cellIs" dxfId="6833" priority="135102" stopIfTrue="1" operator="equal">
      <formula>-1</formula>
    </cfRule>
  </conditionalFormatting>
  <conditionalFormatting sqref="F5">
    <cfRule type="cellIs" dxfId="6832" priority="135103" stopIfTrue="1" operator="lessThan">
      <formula>0.5</formula>
    </cfRule>
  </conditionalFormatting>
  <conditionalFormatting sqref="F5">
    <cfRule type="cellIs" dxfId="6831" priority="135104" stopIfTrue="1" operator="greaterThanOrEqual">
      <formula>0.5</formula>
    </cfRule>
  </conditionalFormatting>
  <conditionalFormatting sqref="F6">
    <cfRule type="cellIs" dxfId="6830" priority="135105" stopIfTrue="1" operator="equal">
      <formula>-1</formula>
    </cfRule>
  </conditionalFormatting>
  <conditionalFormatting sqref="F6">
    <cfRule type="cellIs" dxfId="6829" priority="135106" stopIfTrue="1" operator="lessThan">
      <formula>0.5</formula>
    </cfRule>
  </conditionalFormatting>
  <conditionalFormatting sqref="F6">
    <cfRule type="cellIs" dxfId="6828" priority="135107" stopIfTrue="1" operator="greaterThanOrEqual">
      <formula>0.5</formula>
    </cfRule>
  </conditionalFormatting>
  <conditionalFormatting sqref="H5">
    <cfRule type="cellIs" dxfId="6827" priority="135108" stopIfTrue="1" operator="equal">
      <formula>-1</formula>
    </cfRule>
  </conditionalFormatting>
  <conditionalFormatting sqref="H5">
    <cfRule type="cellIs" dxfId="6826" priority="135109" stopIfTrue="1" operator="lessThan">
      <formula>0.5</formula>
    </cfRule>
  </conditionalFormatting>
  <conditionalFormatting sqref="H5">
    <cfRule type="cellIs" dxfId="6825" priority="135110" stopIfTrue="1" operator="greaterThanOrEqual">
      <formula>0.5</formula>
    </cfRule>
  </conditionalFormatting>
  <conditionalFormatting sqref="H6">
    <cfRule type="cellIs" dxfId="6824" priority="135111" stopIfTrue="1" operator="equal">
      <formula>-1</formula>
    </cfRule>
  </conditionalFormatting>
  <conditionalFormatting sqref="H6">
    <cfRule type="cellIs" dxfId="6823" priority="135112" stopIfTrue="1" operator="lessThan">
      <formula>0.5</formula>
    </cfRule>
  </conditionalFormatting>
  <conditionalFormatting sqref="H6">
    <cfRule type="cellIs" dxfId="6822" priority="135113" stopIfTrue="1" operator="greaterThanOrEqual">
      <formula>0.5</formula>
    </cfRule>
  </conditionalFormatting>
  <conditionalFormatting sqref="J5">
    <cfRule type="cellIs" dxfId="6821" priority="135114" stopIfTrue="1" operator="equal">
      <formula>-1</formula>
    </cfRule>
  </conditionalFormatting>
  <conditionalFormatting sqref="J5">
    <cfRule type="cellIs" dxfId="6820" priority="135115" stopIfTrue="1" operator="lessThan">
      <formula>0.5</formula>
    </cfRule>
  </conditionalFormatting>
  <conditionalFormatting sqref="J5">
    <cfRule type="cellIs" dxfId="6819" priority="135116" stopIfTrue="1" operator="greaterThanOrEqual">
      <formula>0.5</formula>
    </cfRule>
  </conditionalFormatting>
  <conditionalFormatting sqref="J6">
    <cfRule type="cellIs" dxfId="6818" priority="135117" stopIfTrue="1" operator="equal">
      <formula>-1</formula>
    </cfRule>
  </conditionalFormatting>
  <conditionalFormatting sqref="J6">
    <cfRule type="cellIs" dxfId="6817" priority="135118" stopIfTrue="1" operator="lessThan">
      <formula>0.5</formula>
    </cfRule>
  </conditionalFormatting>
  <conditionalFormatting sqref="J6">
    <cfRule type="cellIs" dxfId="6816" priority="135119" stopIfTrue="1" operator="greaterThanOrEqual">
      <formula>0.5</formula>
    </cfRule>
  </conditionalFormatting>
  <conditionalFormatting sqref="L5">
    <cfRule type="cellIs" dxfId="6815" priority="135120" stopIfTrue="1" operator="equal">
      <formula>-1</formula>
    </cfRule>
  </conditionalFormatting>
  <conditionalFormatting sqref="L5">
    <cfRule type="cellIs" dxfId="6814" priority="135121" stopIfTrue="1" operator="lessThan">
      <formula>0.5</formula>
    </cfRule>
  </conditionalFormatting>
  <conditionalFormatting sqref="L5">
    <cfRule type="cellIs" dxfId="6813" priority="135122" stopIfTrue="1" operator="greaterThanOrEqual">
      <formula>0.5</formula>
    </cfRule>
  </conditionalFormatting>
  <conditionalFormatting sqref="L6">
    <cfRule type="cellIs" dxfId="6812" priority="135123" stopIfTrue="1" operator="equal">
      <formula>-1</formula>
    </cfRule>
  </conditionalFormatting>
  <conditionalFormatting sqref="L6">
    <cfRule type="cellIs" dxfId="6811" priority="135124" stopIfTrue="1" operator="lessThan">
      <formula>0.5</formula>
    </cfRule>
  </conditionalFormatting>
  <conditionalFormatting sqref="L6">
    <cfRule type="cellIs" dxfId="6810" priority="135125" stopIfTrue="1" operator="greaterThanOrEqual">
      <formula>0.5</formula>
    </cfRule>
  </conditionalFormatting>
  <conditionalFormatting sqref="N5">
    <cfRule type="cellIs" dxfId="6809" priority="135126" stopIfTrue="1" operator="equal">
      <formula>-1</formula>
    </cfRule>
  </conditionalFormatting>
  <conditionalFormatting sqref="N5">
    <cfRule type="cellIs" dxfId="6808" priority="135127" stopIfTrue="1" operator="lessThan">
      <formula>0.5</formula>
    </cfRule>
  </conditionalFormatting>
  <conditionalFormatting sqref="N5">
    <cfRule type="cellIs" dxfId="6807" priority="135128" stopIfTrue="1" operator="greaterThanOrEqual">
      <formula>0.5</formula>
    </cfRule>
  </conditionalFormatting>
  <conditionalFormatting sqref="N6">
    <cfRule type="cellIs" dxfId="6806" priority="135129" stopIfTrue="1" operator="equal">
      <formula>-1</formula>
    </cfRule>
  </conditionalFormatting>
  <conditionalFormatting sqref="N6">
    <cfRule type="cellIs" dxfId="6805" priority="135130" stopIfTrue="1" operator="lessThan">
      <formula>0.5</formula>
    </cfRule>
  </conditionalFormatting>
  <conditionalFormatting sqref="N6">
    <cfRule type="cellIs" dxfId="6804" priority="135131" stopIfTrue="1" operator="greaterThanOrEqual">
      <formula>0.5</formula>
    </cfRule>
  </conditionalFormatting>
  <conditionalFormatting sqref="P5">
    <cfRule type="cellIs" dxfId="6803" priority="135132" stopIfTrue="1" operator="equal">
      <formula>-1</formula>
    </cfRule>
  </conditionalFormatting>
  <conditionalFormatting sqref="P5">
    <cfRule type="cellIs" dxfId="6802" priority="135133" stopIfTrue="1" operator="lessThan">
      <formula>0.5</formula>
    </cfRule>
  </conditionalFormatting>
  <conditionalFormatting sqref="P5">
    <cfRule type="cellIs" dxfId="6801" priority="135134" stopIfTrue="1" operator="greaterThanOrEqual">
      <formula>0.5</formula>
    </cfRule>
  </conditionalFormatting>
  <conditionalFormatting sqref="P6">
    <cfRule type="cellIs" dxfId="6800" priority="135135" stopIfTrue="1" operator="equal">
      <formula>-1</formula>
    </cfRule>
  </conditionalFormatting>
  <conditionalFormatting sqref="P6">
    <cfRule type="cellIs" dxfId="6799" priority="135136" stopIfTrue="1" operator="lessThan">
      <formula>0.5</formula>
    </cfRule>
  </conditionalFormatting>
  <conditionalFormatting sqref="P6">
    <cfRule type="cellIs" dxfId="6798" priority="135137" stopIfTrue="1" operator="greaterThanOrEqual">
      <formula>0.5</formula>
    </cfRule>
  </conditionalFormatting>
  <conditionalFormatting sqref="R5">
    <cfRule type="cellIs" dxfId="6797" priority="135138" stopIfTrue="1" operator="equal">
      <formula>-1</formula>
    </cfRule>
  </conditionalFormatting>
  <conditionalFormatting sqref="R5">
    <cfRule type="cellIs" dxfId="6796" priority="135139" stopIfTrue="1" operator="lessThan">
      <formula>0.5</formula>
    </cfRule>
  </conditionalFormatting>
  <conditionalFormatting sqref="R5">
    <cfRule type="cellIs" dxfId="6795" priority="135140" stopIfTrue="1" operator="greaterThanOrEqual">
      <formula>0.5</formula>
    </cfRule>
  </conditionalFormatting>
  <conditionalFormatting sqref="R6">
    <cfRule type="cellIs" dxfId="6794" priority="135141" stopIfTrue="1" operator="equal">
      <formula>-1</formula>
    </cfRule>
  </conditionalFormatting>
  <conditionalFormatting sqref="R6">
    <cfRule type="cellIs" dxfId="6793" priority="135142" stopIfTrue="1" operator="lessThan">
      <formula>0.5</formula>
    </cfRule>
  </conditionalFormatting>
  <conditionalFormatting sqref="R6">
    <cfRule type="cellIs" dxfId="6792" priority="135143" stopIfTrue="1" operator="greaterThanOrEqual">
      <formula>0.5</formula>
    </cfRule>
  </conditionalFormatting>
  <conditionalFormatting sqref="T5">
    <cfRule type="cellIs" dxfId="6791" priority="135144" stopIfTrue="1" operator="equal">
      <formula>-1</formula>
    </cfRule>
  </conditionalFormatting>
  <conditionalFormatting sqref="T5">
    <cfRule type="cellIs" dxfId="6790" priority="135145" stopIfTrue="1" operator="lessThan">
      <formula>0.5</formula>
    </cfRule>
  </conditionalFormatting>
  <conditionalFormatting sqref="T5">
    <cfRule type="cellIs" dxfId="6789" priority="135146" stopIfTrue="1" operator="greaterThanOrEqual">
      <formula>0.5</formula>
    </cfRule>
  </conditionalFormatting>
  <conditionalFormatting sqref="T6">
    <cfRule type="cellIs" dxfId="6788" priority="135147" stopIfTrue="1" operator="equal">
      <formula>-1</formula>
    </cfRule>
  </conditionalFormatting>
  <conditionalFormatting sqref="T6">
    <cfRule type="cellIs" dxfId="6787" priority="135148" stopIfTrue="1" operator="lessThan">
      <formula>0.5</formula>
    </cfRule>
  </conditionalFormatting>
  <conditionalFormatting sqref="T6">
    <cfRule type="cellIs" dxfId="6786" priority="135149" stopIfTrue="1" operator="greaterThanOrEqual">
      <formula>0.5</formula>
    </cfRule>
  </conditionalFormatting>
  <conditionalFormatting sqref="V5">
    <cfRule type="cellIs" dxfId="6785" priority="135150" stopIfTrue="1" operator="equal">
      <formula>-1</formula>
    </cfRule>
  </conditionalFormatting>
  <conditionalFormatting sqref="V5">
    <cfRule type="cellIs" dxfId="6784" priority="135151" stopIfTrue="1" operator="lessThan">
      <formula>0.5</formula>
    </cfRule>
  </conditionalFormatting>
  <conditionalFormatting sqref="V5">
    <cfRule type="cellIs" dxfId="6783" priority="135152" stopIfTrue="1" operator="greaterThanOrEqual">
      <formula>0.5</formula>
    </cfRule>
  </conditionalFormatting>
  <conditionalFormatting sqref="V6">
    <cfRule type="cellIs" dxfId="6782" priority="135153" stopIfTrue="1" operator="equal">
      <formula>-1</formula>
    </cfRule>
  </conditionalFormatting>
  <conditionalFormatting sqref="V6">
    <cfRule type="cellIs" dxfId="6781" priority="135154" stopIfTrue="1" operator="lessThan">
      <formula>0.5</formula>
    </cfRule>
  </conditionalFormatting>
  <conditionalFormatting sqref="V6">
    <cfRule type="cellIs" dxfId="6780" priority="135155" stopIfTrue="1" operator="greaterThanOrEqual">
      <formula>0.5</formula>
    </cfRule>
  </conditionalFormatting>
  <conditionalFormatting sqref="X5">
    <cfRule type="cellIs" dxfId="6779" priority="135156" stopIfTrue="1" operator="equal">
      <formula>-1</formula>
    </cfRule>
  </conditionalFormatting>
  <conditionalFormatting sqref="X5">
    <cfRule type="cellIs" dxfId="6778" priority="135157" stopIfTrue="1" operator="lessThan">
      <formula>0.5</formula>
    </cfRule>
  </conditionalFormatting>
  <conditionalFormatting sqref="X5">
    <cfRule type="cellIs" dxfId="6777" priority="135158" stopIfTrue="1" operator="greaterThanOrEqual">
      <formula>0.5</formula>
    </cfRule>
  </conditionalFormatting>
  <conditionalFormatting sqref="X6">
    <cfRule type="cellIs" dxfId="6776" priority="135159" stopIfTrue="1" operator="equal">
      <formula>-1</formula>
    </cfRule>
  </conditionalFormatting>
  <conditionalFormatting sqref="X6">
    <cfRule type="cellIs" dxfId="6775" priority="135160" stopIfTrue="1" operator="lessThan">
      <formula>0.5</formula>
    </cfRule>
  </conditionalFormatting>
  <conditionalFormatting sqref="X6">
    <cfRule type="cellIs" dxfId="6774" priority="135161" stopIfTrue="1" operator="greaterThanOrEqual">
      <formula>0.5</formula>
    </cfRule>
  </conditionalFormatting>
  <conditionalFormatting sqref="Z5">
    <cfRule type="cellIs" dxfId="6773" priority="135162" stopIfTrue="1" operator="equal">
      <formula>-1</formula>
    </cfRule>
  </conditionalFormatting>
  <conditionalFormatting sqref="Z5">
    <cfRule type="cellIs" dxfId="6772" priority="135163" stopIfTrue="1" operator="lessThan">
      <formula>0.5</formula>
    </cfRule>
  </conditionalFormatting>
  <conditionalFormatting sqref="Z5">
    <cfRule type="cellIs" dxfId="6771" priority="135164" stopIfTrue="1" operator="greaterThanOrEqual">
      <formula>0.5</formula>
    </cfRule>
  </conditionalFormatting>
  <conditionalFormatting sqref="Z6">
    <cfRule type="cellIs" dxfId="6770" priority="135165" stopIfTrue="1" operator="equal">
      <formula>-1</formula>
    </cfRule>
  </conditionalFormatting>
  <conditionalFormatting sqref="Z6">
    <cfRule type="cellIs" dxfId="6769" priority="135166" stopIfTrue="1" operator="lessThan">
      <formula>0.5</formula>
    </cfRule>
  </conditionalFormatting>
  <conditionalFormatting sqref="Z6">
    <cfRule type="cellIs" dxfId="6768" priority="135167" stopIfTrue="1" operator="greaterThanOrEqual">
      <formula>0.5</formula>
    </cfRule>
  </conditionalFormatting>
  <conditionalFormatting sqref="AB5">
    <cfRule type="cellIs" dxfId="6767" priority="135168" stopIfTrue="1" operator="equal">
      <formula>-1</formula>
    </cfRule>
  </conditionalFormatting>
  <conditionalFormatting sqref="AB5">
    <cfRule type="cellIs" dxfId="6766" priority="135169" stopIfTrue="1" operator="lessThan">
      <formula>0.5</formula>
    </cfRule>
  </conditionalFormatting>
  <conditionalFormatting sqref="AB5">
    <cfRule type="cellIs" dxfId="6765" priority="135170" stopIfTrue="1" operator="greaterThanOrEqual">
      <formula>0.5</formula>
    </cfRule>
  </conditionalFormatting>
  <conditionalFormatting sqref="AB6">
    <cfRule type="cellIs" dxfId="6764" priority="135171" stopIfTrue="1" operator="equal">
      <formula>-1</formula>
    </cfRule>
  </conditionalFormatting>
  <conditionalFormatting sqref="AB6">
    <cfRule type="cellIs" dxfId="6763" priority="135172" stopIfTrue="1" operator="lessThan">
      <formula>0.5</formula>
    </cfRule>
  </conditionalFormatting>
  <conditionalFormatting sqref="AB6">
    <cfRule type="cellIs" dxfId="6762" priority="135173" stopIfTrue="1" operator="greaterThanOrEqual">
      <formula>0.5</formula>
    </cfRule>
  </conditionalFormatting>
  <conditionalFormatting sqref="AD5">
    <cfRule type="cellIs" dxfId="6761" priority="135174" stopIfTrue="1" operator="equal">
      <formula>-1</formula>
    </cfRule>
  </conditionalFormatting>
  <conditionalFormatting sqref="AD5">
    <cfRule type="cellIs" dxfId="6760" priority="135175" stopIfTrue="1" operator="lessThan">
      <formula>0.5</formula>
    </cfRule>
  </conditionalFormatting>
  <conditionalFormatting sqref="AD5">
    <cfRule type="cellIs" dxfId="6759" priority="135176" stopIfTrue="1" operator="greaterThanOrEqual">
      <formula>0.5</formula>
    </cfRule>
  </conditionalFormatting>
  <conditionalFormatting sqref="AD6">
    <cfRule type="cellIs" dxfId="6758" priority="135177" stopIfTrue="1" operator="equal">
      <formula>-1</formula>
    </cfRule>
  </conditionalFormatting>
  <conditionalFormatting sqref="AD6">
    <cfRule type="cellIs" dxfId="6757" priority="135178" stopIfTrue="1" operator="lessThan">
      <formula>0.5</formula>
    </cfRule>
  </conditionalFormatting>
  <conditionalFormatting sqref="AD6">
    <cfRule type="cellIs" dxfId="6756" priority="135179" stopIfTrue="1" operator="greaterThanOrEqual">
      <formula>0.5</formula>
    </cfRule>
  </conditionalFormatting>
  <conditionalFormatting sqref="AF5">
    <cfRule type="cellIs" dxfId="6755" priority="135180" stopIfTrue="1" operator="equal">
      <formula>-1</formula>
    </cfRule>
  </conditionalFormatting>
  <conditionalFormatting sqref="AF5">
    <cfRule type="cellIs" dxfId="6754" priority="135181" stopIfTrue="1" operator="lessThan">
      <formula>0.5</formula>
    </cfRule>
  </conditionalFormatting>
  <conditionalFormatting sqref="AF5">
    <cfRule type="cellIs" dxfId="6753" priority="135182" stopIfTrue="1" operator="greaterThanOrEqual">
      <formula>0.5</formula>
    </cfRule>
  </conditionalFormatting>
  <conditionalFormatting sqref="AF6">
    <cfRule type="cellIs" dxfId="6752" priority="135183" stopIfTrue="1" operator="equal">
      <formula>-1</formula>
    </cfRule>
  </conditionalFormatting>
  <conditionalFormatting sqref="AF6">
    <cfRule type="cellIs" dxfId="6751" priority="135184" stopIfTrue="1" operator="lessThan">
      <formula>0.5</formula>
    </cfRule>
  </conditionalFormatting>
  <conditionalFormatting sqref="AF6">
    <cfRule type="cellIs" dxfId="6750" priority="135185" stopIfTrue="1" operator="greaterThanOrEqual">
      <formula>0.5</formula>
    </cfRule>
  </conditionalFormatting>
  <conditionalFormatting sqref="AH5">
    <cfRule type="cellIs" dxfId="6749" priority="135186" stopIfTrue="1" operator="equal">
      <formula>-1</formula>
    </cfRule>
  </conditionalFormatting>
  <conditionalFormatting sqref="AH5">
    <cfRule type="cellIs" dxfId="6748" priority="135187" stopIfTrue="1" operator="lessThan">
      <formula>0.5</formula>
    </cfRule>
  </conditionalFormatting>
  <conditionalFormatting sqref="AH5">
    <cfRule type="cellIs" dxfId="6747" priority="135188" stopIfTrue="1" operator="greaterThanOrEqual">
      <formula>0.5</formula>
    </cfRule>
  </conditionalFormatting>
  <conditionalFormatting sqref="AH6">
    <cfRule type="cellIs" dxfId="6746" priority="135189" stopIfTrue="1" operator="equal">
      <formula>-1</formula>
    </cfRule>
  </conditionalFormatting>
  <conditionalFormatting sqref="AH6">
    <cfRule type="cellIs" dxfId="6745" priority="135190" stopIfTrue="1" operator="lessThan">
      <formula>0.5</formula>
    </cfRule>
  </conditionalFormatting>
  <conditionalFormatting sqref="AH6">
    <cfRule type="cellIs" dxfId="6744" priority="135191" stopIfTrue="1" operator="greaterThanOrEqual">
      <formula>0.5</formula>
    </cfRule>
  </conditionalFormatting>
  <conditionalFormatting sqref="AJ5">
    <cfRule type="cellIs" dxfId="6743" priority="135192" stopIfTrue="1" operator="equal">
      <formula>-1</formula>
    </cfRule>
  </conditionalFormatting>
  <conditionalFormatting sqref="AJ5">
    <cfRule type="cellIs" dxfId="6742" priority="135193" stopIfTrue="1" operator="lessThan">
      <formula>0.5</formula>
    </cfRule>
  </conditionalFormatting>
  <conditionalFormatting sqref="AJ5">
    <cfRule type="cellIs" dxfId="6741" priority="135194" stopIfTrue="1" operator="greaterThanOrEqual">
      <formula>0.5</formula>
    </cfRule>
  </conditionalFormatting>
  <conditionalFormatting sqref="AJ6">
    <cfRule type="cellIs" dxfId="6740" priority="135195" stopIfTrue="1" operator="equal">
      <formula>-1</formula>
    </cfRule>
  </conditionalFormatting>
  <conditionalFormatting sqref="AJ6">
    <cfRule type="cellIs" dxfId="6739" priority="135196" stopIfTrue="1" operator="lessThan">
      <formula>0.5</formula>
    </cfRule>
  </conditionalFormatting>
  <conditionalFormatting sqref="AJ6">
    <cfRule type="cellIs" dxfId="6738" priority="135197" stopIfTrue="1" operator="greaterThanOrEqual">
      <formula>0.5</formula>
    </cfRule>
  </conditionalFormatting>
  <conditionalFormatting sqref="AL5">
    <cfRule type="cellIs" dxfId="6737" priority="135198" stopIfTrue="1" operator="equal">
      <formula>-1</formula>
    </cfRule>
  </conditionalFormatting>
  <conditionalFormatting sqref="AL5">
    <cfRule type="cellIs" dxfId="6736" priority="135199" stopIfTrue="1" operator="lessThan">
      <formula>0.5</formula>
    </cfRule>
  </conditionalFormatting>
  <conditionalFormatting sqref="AL5">
    <cfRule type="cellIs" dxfId="6735" priority="135200" stopIfTrue="1" operator="greaterThanOrEqual">
      <formula>0.5</formula>
    </cfRule>
  </conditionalFormatting>
  <conditionalFormatting sqref="AL6">
    <cfRule type="cellIs" dxfId="6734" priority="135201" stopIfTrue="1" operator="equal">
      <formula>-1</formula>
    </cfRule>
  </conditionalFormatting>
  <conditionalFormatting sqref="AL6">
    <cfRule type="cellIs" dxfId="6733" priority="135202" stopIfTrue="1" operator="lessThan">
      <formula>0.5</formula>
    </cfRule>
  </conditionalFormatting>
  <conditionalFormatting sqref="AL6">
    <cfRule type="cellIs" dxfId="6732" priority="135203" stopIfTrue="1" operator="greaterThanOrEqual">
      <formula>0.5</formula>
    </cfRule>
  </conditionalFormatting>
  <conditionalFormatting sqref="AN5">
    <cfRule type="cellIs" dxfId="6731" priority="135204" stopIfTrue="1" operator="equal">
      <formula>-1</formula>
    </cfRule>
  </conditionalFormatting>
  <conditionalFormatting sqref="AN5">
    <cfRule type="cellIs" dxfId="6730" priority="135205" stopIfTrue="1" operator="lessThan">
      <formula>0.5</formula>
    </cfRule>
  </conditionalFormatting>
  <conditionalFormatting sqref="AN5">
    <cfRule type="cellIs" dxfId="6729" priority="135206" stopIfTrue="1" operator="greaterThanOrEqual">
      <formula>0.5</formula>
    </cfRule>
  </conditionalFormatting>
  <conditionalFormatting sqref="AN6">
    <cfRule type="cellIs" dxfId="6728" priority="135207" stopIfTrue="1" operator="equal">
      <formula>-1</formula>
    </cfRule>
  </conditionalFormatting>
  <conditionalFormatting sqref="AN6">
    <cfRule type="cellIs" dxfId="6727" priority="135208" stopIfTrue="1" operator="lessThan">
      <formula>0.5</formula>
    </cfRule>
  </conditionalFormatting>
  <conditionalFormatting sqref="AN6">
    <cfRule type="cellIs" dxfId="6726" priority="135209" stopIfTrue="1" operator="greaterThanOrEqual">
      <formula>0.5</formula>
    </cfRule>
  </conditionalFormatting>
  <conditionalFormatting sqref="AP5">
    <cfRule type="cellIs" dxfId="6725" priority="135210" stopIfTrue="1" operator="equal">
      <formula>-1</formula>
    </cfRule>
  </conditionalFormatting>
  <conditionalFormatting sqref="AP5">
    <cfRule type="cellIs" dxfId="6724" priority="135211" stopIfTrue="1" operator="lessThan">
      <formula>0.5</formula>
    </cfRule>
  </conditionalFormatting>
  <conditionalFormatting sqref="AP5">
    <cfRule type="cellIs" dxfId="6723" priority="135212" stopIfTrue="1" operator="greaterThanOrEqual">
      <formula>0.5</formula>
    </cfRule>
  </conditionalFormatting>
  <conditionalFormatting sqref="AP6">
    <cfRule type="cellIs" dxfId="6722" priority="135213" stopIfTrue="1" operator="equal">
      <formula>-1</formula>
    </cfRule>
  </conditionalFormatting>
  <conditionalFormatting sqref="AP6">
    <cfRule type="cellIs" dxfId="6721" priority="135214" stopIfTrue="1" operator="lessThan">
      <formula>0.5</formula>
    </cfRule>
  </conditionalFormatting>
  <conditionalFormatting sqref="AP6">
    <cfRule type="cellIs" dxfId="6720" priority="135215" stopIfTrue="1" operator="greaterThanOrEqual">
      <formula>0.5</formula>
    </cfRule>
  </conditionalFormatting>
  <conditionalFormatting sqref="AR5">
    <cfRule type="cellIs" dxfId="6719" priority="135216" stopIfTrue="1" operator="equal">
      <formula>-1</formula>
    </cfRule>
  </conditionalFormatting>
  <conditionalFormatting sqref="AR5">
    <cfRule type="cellIs" dxfId="6718" priority="135217" stopIfTrue="1" operator="lessThan">
      <formula>0.5</formula>
    </cfRule>
  </conditionalFormatting>
  <conditionalFormatting sqref="AR5">
    <cfRule type="cellIs" dxfId="6717" priority="135218" stopIfTrue="1" operator="greaterThanOrEqual">
      <formula>0.5</formula>
    </cfRule>
  </conditionalFormatting>
  <conditionalFormatting sqref="AR6">
    <cfRule type="cellIs" dxfId="6716" priority="135219" stopIfTrue="1" operator="equal">
      <formula>-1</formula>
    </cfRule>
  </conditionalFormatting>
  <conditionalFormatting sqref="AR6">
    <cfRule type="cellIs" dxfId="6715" priority="135220" stopIfTrue="1" operator="lessThan">
      <formula>0.5</formula>
    </cfRule>
  </conditionalFormatting>
  <conditionalFormatting sqref="AR6">
    <cfRule type="cellIs" dxfId="6714" priority="135221" stopIfTrue="1" operator="greaterThanOrEqual">
      <formula>0.5</formula>
    </cfRule>
  </conditionalFormatting>
  <conditionalFormatting sqref="AT5">
    <cfRule type="cellIs" dxfId="6713" priority="135222" stopIfTrue="1" operator="equal">
      <formula>-1</formula>
    </cfRule>
  </conditionalFormatting>
  <conditionalFormatting sqref="AT5">
    <cfRule type="cellIs" dxfId="6712" priority="135223" stopIfTrue="1" operator="lessThan">
      <formula>0.5</formula>
    </cfRule>
  </conditionalFormatting>
  <conditionalFormatting sqref="AT5">
    <cfRule type="cellIs" dxfId="6711" priority="135224" stopIfTrue="1" operator="greaterThanOrEqual">
      <formula>0.5</formula>
    </cfRule>
  </conditionalFormatting>
  <conditionalFormatting sqref="AT6">
    <cfRule type="cellIs" dxfId="6710" priority="135225" stopIfTrue="1" operator="equal">
      <formula>-1</formula>
    </cfRule>
  </conditionalFormatting>
  <conditionalFormatting sqref="AT6">
    <cfRule type="cellIs" dxfId="6709" priority="135226" stopIfTrue="1" operator="lessThan">
      <formula>0.5</formula>
    </cfRule>
  </conditionalFormatting>
  <conditionalFormatting sqref="AT6">
    <cfRule type="cellIs" dxfId="6708" priority="135227" stopIfTrue="1" operator="greaterThanOrEqual">
      <formula>0.5</formula>
    </cfRule>
  </conditionalFormatting>
  <conditionalFormatting sqref="AV5">
    <cfRule type="cellIs" dxfId="6707" priority="135228" stopIfTrue="1" operator="equal">
      <formula>-1</formula>
    </cfRule>
  </conditionalFormatting>
  <conditionalFormatting sqref="AV5">
    <cfRule type="cellIs" dxfId="6706" priority="135229" stopIfTrue="1" operator="lessThan">
      <formula>0.5</formula>
    </cfRule>
  </conditionalFormatting>
  <conditionalFormatting sqref="AV5">
    <cfRule type="cellIs" dxfId="6705" priority="135230" stopIfTrue="1" operator="greaterThanOrEqual">
      <formula>0.5</formula>
    </cfRule>
  </conditionalFormatting>
  <conditionalFormatting sqref="AV6">
    <cfRule type="cellIs" dxfId="6704" priority="135231" stopIfTrue="1" operator="equal">
      <formula>-1</formula>
    </cfRule>
  </conditionalFormatting>
  <conditionalFormatting sqref="AV6">
    <cfRule type="cellIs" dxfId="6703" priority="135232" stopIfTrue="1" operator="lessThan">
      <formula>0.5</formula>
    </cfRule>
  </conditionalFormatting>
  <conditionalFormatting sqref="AV6">
    <cfRule type="cellIs" dxfId="6702" priority="135233" stopIfTrue="1" operator="greaterThanOrEqual">
      <formula>0.5</formula>
    </cfRule>
  </conditionalFormatting>
  <conditionalFormatting sqref="AX5">
    <cfRule type="cellIs" dxfId="6701" priority="135234" stopIfTrue="1" operator="equal">
      <formula>-1</formula>
    </cfRule>
  </conditionalFormatting>
  <conditionalFormatting sqref="AX5">
    <cfRule type="cellIs" dxfId="6700" priority="135235" stopIfTrue="1" operator="lessThan">
      <formula>0.5</formula>
    </cfRule>
  </conditionalFormatting>
  <conditionalFormatting sqref="AX5">
    <cfRule type="cellIs" dxfId="6699" priority="135236" stopIfTrue="1" operator="greaterThanOrEqual">
      <formula>0.5</formula>
    </cfRule>
  </conditionalFormatting>
  <conditionalFormatting sqref="AX6">
    <cfRule type="cellIs" dxfId="6698" priority="135237" stopIfTrue="1" operator="equal">
      <formula>-1</formula>
    </cfRule>
  </conditionalFormatting>
  <conditionalFormatting sqref="AX6">
    <cfRule type="cellIs" dxfId="6697" priority="135238" stopIfTrue="1" operator="lessThan">
      <formula>0.5</formula>
    </cfRule>
  </conditionalFormatting>
  <conditionalFormatting sqref="AX6">
    <cfRule type="cellIs" dxfId="6696" priority="135239" stopIfTrue="1" operator="greaterThanOrEqual">
      <formula>0.5</formula>
    </cfRule>
  </conditionalFormatting>
  <conditionalFormatting sqref="AZ5">
    <cfRule type="cellIs" dxfId="6695" priority="135240" stopIfTrue="1" operator="equal">
      <formula>-1</formula>
    </cfRule>
  </conditionalFormatting>
  <conditionalFormatting sqref="AZ5">
    <cfRule type="cellIs" dxfId="6694" priority="135241" stopIfTrue="1" operator="lessThan">
      <formula>0.5</formula>
    </cfRule>
  </conditionalFormatting>
  <conditionalFormatting sqref="AZ5">
    <cfRule type="cellIs" dxfId="6693" priority="135242" stopIfTrue="1" operator="greaterThanOrEqual">
      <formula>0.5</formula>
    </cfRule>
  </conditionalFormatting>
  <conditionalFormatting sqref="AZ6">
    <cfRule type="cellIs" dxfId="6692" priority="135243" stopIfTrue="1" operator="equal">
      <formula>-1</formula>
    </cfRule>
  </conditionalFormatting>
  <conditionalFormatting sqref="AZ6">
    <cfRule type="cellIs" dxfId="6691" priority="135244" stopIfTrue="1" operator="lessThan">
      <formula>0.5</formula>
    </cfRule>
  </conditionalFormatting>
  <conditionalFormatting sqref="AZ6">
    <cfRule type="cellIs" dxfId="6690" priority="135245" stopIfTrue="1" operator="greaterThanOrEqual">
      <formula>0.5</formula>
    </cfRule>
  </conditionalFormatting>
  <conditionalFormatting sqref="BB5">
    <cfRule type="cellIs" dxfId="6689" priority="135246" stopIfTrue="1" operator="equal">
      <formula>-1</formula>
    </cfRule>
  </conditionalFormatting>
  <conditionalFormatting sqref="BB5">
    <cfRule type="cellIs" dxfId="6688" priority="135247" stopIfTrue="1" operator="lessThan">
      <formula>0.5</formula>
    </cfRule>
  </conditionalFormatting>
  <conditionalFormatting sqref="BB5">
    <cfRule type="cellIs" dxfId="6687" priority="135248" stopIfTrue="1" operator="greaterThanOrEqual">
      <formula>0.5</formula>
    </cfRule>
  </conditionalFormatting>
  <conditionalFormatting sqref="BB6">
    <cfRule type="cellIs" dxfId="6686" priority="135249" stopIfTrue="1" operator="equal">
      <formula>-1</formula>
    </cfRule>
  </conditionalFormatting>
  <conditionalFormatting sqref="BB6">
    <cfRule type="cellIs" dxfId="6685" priority="135250" stopIfTrue="1" operator="lessThan">
      <formula>0.5</formula>
    </cfRule>
  </conditionalFormatting>
  <conditionalFormatting sqref="BB6">
    <cfRule type="cellIs" dxfId="6684" priority="135251" stopIfTrue="1" operator="greaterThanOrEqual">
      <formula>0.5</formula>
    </cfRule>
  </conditionalFormatting>
  <conditionalFormatting sqref="BD5">
    <cfRule type="cellIs" dxfId="6683" priority="135252" stopIfTrue="1" operator="equal">
      <formula>-1</formula>
    </cfRule>
  </conditionalFormatting>
  <conditionalFormatting sqref="BD5">
    <cfRule type="cellIs" dxfId="6682" priority="135253" stopIfTrue="1" operator="lessThan">
      <formula>0.5</formula>
    </cfRule>
  </conditionalFormatting>
  <conditionalFormatting sqref="BD5">
    <cfRule type="cellIs" dxfId="6681" priority="135254" stopIfTrue="1" operator="greaterThanOrEqual">
      <formula>0.5</formula>
    </cfRule>
  </conditionalFormatting>
  <conditionalFormatting sqref="BD6">
    <cfRule type="cellIs" dxfId="6680" priority="135255" stopIfTrue="1" operator="equal">
      <formula>-1</formula>
    </cfRule>
  </conditionalFormatting>
  <conditionalFormatting sqref="BD6">
    <cfRule type="cellIs" dxfId="6679" priority="135256" stopIfTrue="1" operator="lessThan">
      <formula>0.5</formula>
    </cfRule>
  </conditionalFormatting>
  <conditionalFormatting sqref="BD6">
    <cfRule type="cellIs" dxfId="6678" priority="135257" stopIfTrue="1" operator="greaterThanOrEqual">
      <formula>0.5</formula>
    </cfRule>
  </conditionalFormatting>
  <conditionalFormatting sqref="BF5">
    <cfRule type="cellIs" dxfId="6677" priority="135258" stopIfTrue="1" operator="equal">
      <formula>-1</formula>
    </cfRule>
  </conditionalFormatting>
  <conditionalFormatting sqref="BF5">
    <cfRule type="cellIs" dxfId="6676" priority="135259" stopIfTrue="1" operator="lessThan">
      <formula>0.5</formula>
    </cfRule>
  </conditionalFormatting>
  <conditionalFormatting sqref="BF5">
    <cfRule type="cellIs" dxfId="6675" priority="135260" stopIfTrue="1" operator="greaterThanOrEqual">
      <formula>0.5</formula>
    </cfRule>
  </conditionalFormatting>
  <conditionalFormatting sqref="BF6">
    <cfRule type="cellIs" dxfId="6674" priority="135261" stopIfTrue="1" operator="equal">
      <formula>-1</formula>
    </cfRule>
  </conditionalFormatting>
  <conditionalFormatting sqref="BF6">
    <cfRule type="cellIs" dxfId="6673" priority="135262" stopIfTrue="1" operator="lessThan">
      <formula>0.5</formula>
    </cfRule>
  </conditionalFormatting>
  <conditionalFormatting sqref="BF6">
    <cfRule type="cellIs" dxfId="6672" priority="135263" stopIfTrue="1" operator="greaterThanOrEqual">
      <formula>0.5</formula>
    </cfRule>
  </conditionalFormatting>
  <conditionalFormatting sqref="BH5">
    <cfRule type="cellIs" dxfId="6671" priority="135264" stopIfTrue="1" operator="equal">
      <formula>-1</formula>
    </cfRule>
  </conditionalFormatting>
  <conditionalFormatting sqref="BH5">
    <cfRule type="cellIs" dxfId="6670" priority="135265" stopIfTrue="1" operator="lessThan">
      <formula>0.5</formula>
    </cfRule>
  </conditionalFormatting>
  <conditionalFormatting sqref="BH5">
    <cfRule type="cellIs" dxfId="6669" priority="135266" stopIfTrue="1" operator="greaterThanOrEqual">
      <formula>0.5</formula>
    </cfRule>
  </conditionalFormatting>
  <conditionalFormatting sqref="BH6">
    <cfRule type="cellIs" dxfId="6668" priority="135267" stopIfTrue="1" operator="equal">
      <formula>-1</formula>
    </cfRule>
  </conditionalFormatting>
  <conditionalFormatting sqref="BH6">
    <cfRule type="cellIs" dxfId="6667" priority="135268" stopIfTrue="1" operator="lessThan">
      <formula>0.5</formula>
    </cfRule>
  </conditionalFormatting>
  <conditionalFormatting sqref="BH6">
    <cfRule type="cellIs" dxfId="6666" priority="135269" stopIfTrue="1" operator="greaterThanOrEqual">
      <formula>0.5</formula>
    </cfRule>
  </conditionalFormatting>
  <conditionalFormatting sqref="BJ5">
    <cfRule type="cellIs" dxfId="6665" priority="135270" stopIfTrue="1" operator="equal">
      <formula>-1</formula>
    </cfRule>
  </conditionalFormatting>
  <conditionalFormatting sqref="BJ5">
    <cfRule type="cellIs" dxfId="6664" priority="135271" stopIfTrue="1" operator="lessThan">
      <formula>0.5</formula>
    </cfRule>
  </conditionalFormatting>
  <conditionalFormatting sqref="BJ5">
    <cfRule type="cellIs" dxfId="6663" priority="135272" stopIfTrue="1" operator="greaterThanOrEqual">
      <formula>0.5</formula>
    </cfRule>
  </conditionalFormatting>
  <conditionalFormatting sqref="BJ6">
    <cfRule type="cellIs" dxfId="6662" priority="135273" stopIfTrue="1" operator="equal">
      <formula>-1</formula>
    </cfRule>
  </conditionalFormatting>
  <conditionalFormatting sqref="BJ6">
    <cfRule type="cellIs" dxfId="6661" priority="135274" stopIfTrue="1" operator="lessThan">
      <formula>0.5</formula>
    </cfRule>
  </conditionalFormatting>
  <conditionalFormatting sqref="BJ6">
    <cfRule type="cellIs" dxfId="6660" priority="135275" stopIfTrue="1" operator="greaterThanOrEqual">
      <formula>0.5</formula>
    </cfRule>
  </conditionalFormatting>
  <conditionalFormatting sqref="D8">
    <cfRule type="cellIs" dxfId="6659" priority="135276" stopIfTrue="1" operator="equal">
      <formula>-1</formula>
    </cfRule>
  </conditionalFormatting>
  <conditionalFormatting sqref="D8">
    <cfRule type="cellIs" dxfId="6658" priority="135277" stopIfTrue="1" operator="lessThan">
      <formula>0.5</formula>
    </cfRule>
  </conditionalFormatting>
  <conditionalFormatting sqref="D8">
    <cfRule type="cellIs" dxfId="6657" priority="135278" stopIfTrue="1" operator="greaterThanOrEqual">
      <formula>0.5</formula>
    </cfRule>
  </conditionalFormatting>
  <conditionalFormatting sqref="D9">
    <cfRule type="cellIs" dxfId="6656" priority="135279" stopIfTrue="1" operator="equal">
      <formula>-1</formula>
    </cfRule>
  </conditionalFormatting>
  <conditionalFormatting sqref="D9">
    <cfRule type="cellIs" dxfId="6655" priority="135280" stopIfTrue="1" operator="lessThan">
      <formula>0.5</formula>
    </cfRule>
  </conditionalFormatting>
  <conditionalFormatting sqref="D9">
    <cfRule type="cellIs" dxfId="6654" priority="135281" stopIfTrue="1" operator="greaterThanOrEqual">
      <formula>0.5</formula>
    </cfRule>
  </conditionalFormatting>
  <conditionalFormatting sqref="D10">
    <cfRule type="cellIs" dxfId="6653" priority="135282" stopIfTrue="1" operator="equal">
      <formula>-1</formula>
    </cfRule>
  </conditionalFormatting>
  <conditionalFormatting sqref="D10">
    <cfRule type="cellIs" dxfId="6652" priority="135283" stopIfTrue="1" operator="lessThan">
      <formula>0.5</formula>
    </cfRule>
  </conditionalFormatting>
  <conditionalFormatting sqref="D10">
    <cfRule type="cellIs" dxfId="6651" priority="135284" stopIfTrue="1" operator="greaterThanOrEqual">
      <formula>0.5</formula>
    </cfRule>
  </conditionalFormatting>
  <conditionalFormatting sqref="D11">
    <cfRule type="cellIs" dxfId="6650" priority="135285" stopIfTrue="1" operator="equal">
      <formula>-1</formula>
    </cfRule>
  </conditionalFormatting>
  <conditionalFormatting sqref="D11">
    <cfRule type="cellIs" dxfId="6649" priority="135286" stopIfTrue="1" operator="lessThan">
      <formula>0.5</formula>
    </cfRule>
  </conditionalFormatting>
  <conditionalFormatting sqref="D11">
    <cfRule type="cellIs" dxfId="6648" priority="135287" stopIfTrue="1" operator="greaterThanOrEqual">
      <formula>0.5</formula>
    </cfRule>
  </conditionalFormatting>
  <conditionalFormatting sqref="D12">
    <cfRule type="cellIs" dxfId="6647" priority="135288" stopIfTrue="1" operator="equal">
      <formula>-1</formula>
    </cfRule>
  </conditionalFormatting>
  <conditionalFormatting sqref="D12">
    <cfRule type="cellIs" dxfId="6646" priority="135289" stopIfTrue="1" operator="lessThan">
      <formula>0.5</formula>
    </cfRule>
  </conditionalFormatting>
  <conditionalFormatting sqref="D12">
    <cfRule type="cellIs" dxfId="6645" priority="135290" stopIfTrue="1" operator="greaterThanOrEqual">
      <formula>0.5</formula>
    </cfRule>
  </conditionalFormatting>
  <conditionalFormatting sqref="D13">
    <cfRule type="cellIs" dxfId="6644" priority="135291" stopIfTrue="1" operator="equal">
      <formula>-1</formula>
    </cfRule>
  </conditionalFormatting>
  <conditionalFormatting sqref="D13">
    <cfRule type="cellIs" dxfId="6643" priority="135292" stopIfTrue="1" operator="lessThan">
      <formula>0.5</formula>
    </cfRule>
  </conditionalFormatting>
  <conditionalFormatting sqref="D13">
    <cfRule type="cellIs" dxfId="6642" priority="135293" stopIfTrue="1" operator="greaterThanOrEqual">
      <formula>0.5</formula>
    </cfRule>
  </conditionalFormatting>
  <conditionalFormatting sqref="D14">
    <cfRule type="cellIs" dxfId="6641" priority="135294" stopIfTrue="1" operator="equal">
      <formula>-1</formula>
    </cfRule>
  </conditionalFormatting>
  <conditionalFormatting sqref="D14">
    <cfRule type="cellIs" dxfId="6640" priority="135295" stopIfTrue="1" operator="lessThan">
      <formula>0.5</formula>
    </cfRule>
  </conditionalFormatting>
  <conditionalFormatting sqref="D14">
    <cfRule type="cellIs" dxfId="6639" priority="135296" stopIfTrue="1" operator="greaterThanOrEqual">
      <formula>0.5</formula>
    </cfRule>
  </conditionalFormatting>
  <conditionalFormatting sqref="D15">
    <cfRule type="cellIs" dxfId="6638" priority="135297" stopIfTrue="1" operator="equal">
      <formula>-1</formula>
    </cfRule>
  </conditionalFormatting>
  <conditionalFormatting sqref="D15">
    <cfRule type="cellIs" dxfId="6637" priority="135298" stopIfTrue="1" operator="lessThan">
      <formula>0.5</formula>
    </cfRule>
  </conditionalFormatting>
  <conditionalFormatting sqref="D15">
    <cfRule type="cellIs" dxfId="6636" priority="135299" stopIfTrue="1" operator="greaterThanOrEqual">
      <formula>0.5</formula>
    </cfRule>
  </conditionalFormatting>
  <conditionalFormatting sqref="F8">
    <cfRule type="cellIs" dxfId="6635" priority="135300" stopIfTrue="1" operator="equal">
      <formula>-1</formula>
    </cfRule>
  </conditionalFormatting>
  <conditionalFormatting sqref="F8">
    <cfRule type="cellIs" dxfId="6634" priority="135301" stopIfTrue="1" operator="lessThan">
      <formula>0.5</formula>
    </cfRule>
  </conditionalFormatting>
  <conditionalFormatting sqref="F8">
    <cfRule type="cellIs" dxfId="6633" priority="135302" stopIfTrue="1" operator="greaterThanOrEqual">
      <formula>0.5</formula>
    </cfRule>
  </conditionalFormatting>
  <conditionalFormatting sqref="F9">
    <cfRule type="cellIs" dxfId="6632" priority="135303" stopIfTrue="1" operator="equal">
      <formula>-1</formula>
    </cfRule>
  </conditionalFormatting>
  <conditionalFormatting sqref="F9">
    <cfRule type="cellIs" dxfId="6631" priority="135304" stopIfTrue="1" operator="lessThan">
      <formula>0.5</formula>
    </cfRule>
  </conditionalFormatting>
  <conditionalFormatting sqref="F9">
    <cfRule type="cellIs" dxfId="6630" priority="135305" stopIfTrue="1" operator="greaterThanOrEqual">
      <formula>0.5</formula>
    </cfRule>
  </conditionalFormatting>
  <conditionalFormatting sqref="F10">
    <cfRule type="cellIs" dxfId="6629" priority="135306" stopIfTrue="1" operator="equal">
      <formula>-1</formula>
    </cfRule>
  </conditionalFormatting>
  <conditionalFormatting sqref="F10">
    <cfRule type="cellIs" dxfId="6628" priority="135307" stopIfTrue="1" operator="lessThan">
      <formula>0.5</formula>
    </cfRule>
  </conditionalFormatting>
  <conditionalFormatting sqref="F10">
    <cfRule type="cellIs" dxfId="6627" priority="135308" stopIfTrue="1" operator="greaterThanOrEqual">
      <formula>0.5</formula>
    </cfRule>
  </conditionalFormatting>
  <conditionalFormatting sqref="F11">
    <cfRule type="cellIs" dxfId="6626" priority="135309" stopIfTrue="1" operator="equal">
      <formula>-1</formula>
    </cfRule>
  </conditionalFormatting>
  <conditionalFormatting sqref="F11">
    <cfRule type="cellIs" dxfId="6625" priority="135310" stopIfTrue="1" operator="lessThan">
      <formula>0.5</formula>
    </cfRule>
  </conditionalFormatting>
  <conditionalFormatting sqref="F11">
    <cfRule type="cellIs" dxfId="6624" priority="135311" stopIfTrue="1" operator="greaterThanOrEqual">
      <formula>0.5</formula>
    </cfRule>
  </conditionalFormatting>
  <conditionalFormatting sqref="F12">
    <cfRule type="cellIs" dxfId="6623" priority="135312" stopIfTrue="1" operator="equal">
      <formula>-1</formula>
    </cfRule>
  </conditionalFormatting>
  <conditionalFormatting sqref="F12">
    <cfRule type="cellIs" dxfId="6622" priority="135313" stopIfTrue="1" operator="lessThan">
      <formula>0.5</formula>
    </cfRule>
  </conditionalFormatting>
  <conditionalFormatting sqref="F12">
    <cfRule type="cellIs" dxfId="6621" priority="135314" stopIfTrue="1" operator="greaterThanOrEqual">
      <formula>0.5</formula>
    </cfRule>
  </conditionalFormatting>
  <conditionalFormatting sqref="F13">
    <cfRule type="cellIs" dxfId="6620" priority="135315" stopIfTrue="1" operator="equal">
      <formula>-1</formula>
    </cfRule>
  </conditionalFormatting>
  <conditionalFormatting sqref="F13">
    <cfRule type="cellIs" dxfId="6619" priority="135316" stopIfTrue="1" operator="lessThan">
      <formula>0.5</formula>
    </cfRule>
  </conditionalFormatting>
  <conditionalFormatting sqref="F13">
    <cfRule type="cellIs" dxfId="6618" priority="135317" stopIfTrue="1" operator="greaterThanOrEqual">
      <formula>0.5</formula>
    </cfRule>
  </conditionalFormatting>
  <conditionalFormatting sqref="F14">
    <cfRule type="cellIs" dxfId="6617" priority="135318" stopIfTrue="1" operator="equal">
      <formula>-1</formula>
    </cfRule>
  </conditionalFormatting>
  <conditionalFormatting sqref="F14">
    <cfRule type="cellIs" dxfId="6616" priority="135319" stopIfTrue="1" operator="lessThan">
      <formula>0.5</formula>
    </cfRule>
  </conditionalFormatting>
  <conditionalFormatting sqref="F14">
    <cfRule type="cellIs" dxfId="6615" priority="135320" stopIfTrue="1" operator="greaterThanOrEqual">
      <formula>0.5</formula>
    </cfRule>
  </conditionalFormatting>
  <conditionalFormatting sqref="F15">
    <cfRule type="cellIs" dxfId="6614" priority="135321" stopIfTrue="1" operator="equal">
      <formula>-1</formula>
    </cfRule>
  </conditionalFormatting>
  <conditionalFormatting sqref="F15">
    <cfRule type="cellIs" dxfId="6613" priority="135322" stopIfTrue="1" operator="lessThan">
      <formula>0.5</formula>
    </cfRule>
  </conditionalFormatting>
  <conditionalFormatting sqref="F15">
    <cfRule type="cellIs" dxfId="6612" priority="135323" stopIfTrue="1" operator="greaterThanOrEqual">
      <formula>0.5</formula>
    </cfRule>
  </conditionalFormatting>
  <conditionalFormatting sqref="H8">
    <cfRule type="cellIs" dxfId="6611" priority="135324" stopIfTrue="1" operator="equal">
      <formula>-1</formula>
    </cfRule>
  </conditionalFormatting>
  <conditionalFormatting sqref="H8">
    <cfRule type="cellIs" dxfId="6610" priority="135325" stopIfTrue="1" operator="lessThan">
      <formula>0.5</formula>
    </cfRule>
  </conditionalFormatting>
  <conditionalFormatting sqref="H8">
    <cfRule type="cellIs" dxfId="6609" priority="135326" stopIfTrue="1" operator="greaterThanOrEqual">
      <formula>0.5</formula>
    </cfRule>
  </conditionalFormatting>
  <conditionalFormatting sqref="H9">
    <cfRule type="cellIs" dxfId="6608" priority="135327" stopIfTrue="1" operator="equal">
      <formula>-1</formula>
    </cfRule>
  </conditionalFormatting>
  <conditionalFormatting sqref="H9">
    <cfRule type="cellIs" dxfId="6607" priority="135328" stopIfTrue="1" operator="lessThan">
      <formula>0.5</formula>
    </cfRule>
  </conditionalFormatting>
  <conditionalFormatting sqref="H9">
    <cfRule type="cellIs" dxfId="6606" priority="135329" stopIfTrue="1" operator="greaterThanOrEqual">
      <formula>0.5</formula>
    </cfRule>
  </conditionalFormatting>
  <conditionalFormatting sqref="H10">
    <cfRule type="cellIs" dxfId="6605" priority="135330" stopIfTrue="1" operator="equal">
      <formula>-1</formula>
    </cfRule>
  </conditionalFormatting>
  <conditionalFormatting sqref="H10">
    <cfRule type="cellIs" dxfId="6604" priority="135331" stopIfTrue="1" operator="lessThan">
      <formula>0.5</formula>
    </cfRule>
  </conditionalFormatting>
  <conditionalFormatting sqref="H10">
    <cfRule type="cellIs" dxfId="6603" priority="135332" stopIfTrue="1" operator="greaterThanOrEqual">
      <formula>0.5</formula>
    </cfRule>
  </conditionalFormatting>
  <conditionalFormatting sqref="H11">
    <cfRule type="cellIs" dxfId="6602" priority="135333" stopIfTrue="1" operator="equal">
      <formula>-1</formula>
    </cfRule>
  </conditionalFormatting>
  <conditionalFormatting sqref="H11">
    <cfRule type="cellIs" dxfId="6601" priority="135334" stopIfTrue="1" operator="lessThan">
      <formula>0.5</formula>
    </cfRule>
  </conditionalFormatting>
  <conditionalFormatting sqref="H11">
    <cfRule type="cellIs" dxfId="6600" priority="135335" stopIfTrue="1" operator="greaterThanOrEqual">
      <formula>0.5</formula>
    </cfRule>
  </conditionalFormatting>
  <conditionalFormatting sqref="H12">
    <cfRule type="cellIs" dxfId="6599" priority="135336" stopIfTrue="1" operator="equal">
      <formula>-1</formula>
    </cfRule>
  </conditionalFormatting>
  <conditionalFormatting sqref="H12">
    <cfRule type="cellIs" dxfId="6598" priority="135337" stopIfTrue="1" operator="lessThan">
      <formula>0.5</formula>
    </cfRule>
  </conditionalFormatting>
  <conditionalFormatting sqref="H12">
    <cfRule type="cellIs" dxfId="6597" priority="135338" stopIfTrue="1" operator="greaterThanOrEqual">
      <formula>0.5</formula>
    </cfRule>
  </conditionalFormatting>
  <conditionalFormatting sqref="H13">
    <cfRule type="cellIs" dxfId="6596" priority="135339" stopIfTrue="1" operator="equal">
      <formula>-1</formula>
    </cfRule>
  </conditionalFormatting>
  <conditionalFormatting sqref="H13">
    <cfRule type="cellIs" dxfId="6595" priority="135340" stopIfTrue="1" operator="lessThan">
      <formula>0.5</formula>
    </cfRule>
  </conditionalFormatting>
  <conditionalFormatting sqref="H13">
    <cfRule type="cellIs" dxfId="6594" priority="135341" stopIfTrue="1" operator="greaterThanOrEqual">
      <formula>0.5</formula>
    </cfRule>
  </conditionalFormatting>
  <conditionalFormatting sqref="H14">
    <cfRule type="cellIs" dxfId="6593" priority="135342" stopIfTrue="1" operator="equal">
      <formula>-1</formula>
    </cfRule>
  </conditionalFormatting>
  <conditionalFormatting sqref="H14">
    <cfRule type="cellIs" dxfId="6592" priority="135343" stopIfTrue="1" operator="lessThan">
      <formula>0.5</formula>
    </cfRule>
  </conditionalFormatting>
  <conditionalFormatting sqref="H14">
    <cfRule type="cellIs" dxfId="6591" priority="135344" stopIfTrue="1" operator="greaterThanOrEqual">
      <formula>0.5</formula>
    </cfRule>
  </conditionalFormatting>
  <conditionalFormatting sqref="H15">
    <cfRule type="cellIs" dxfId="6590" priority="135345" stopIfTrue="1" operator="equal">
      <formula>-1</formula>
    </cfRule>
  </conditionalFormatting>
  <conditionalFormatting sqref="H15">
    <cfRule type="cellIs" dxfId="6589" priority="135346" stopIfTrue="1" operator="lessThan">
      <formula>0.5</formula>
    </cfRule>
  </conditionalFormatting>
  <conditionalFormatting sqref="H15">
    <cfRule type="cellIs" dxfId="6588" priority="135347" stopIfTrue="1" operator="greaterThanOrEqual">
      <formula>0.5</formula>
    </cfRule>
  </conditionalFormatting>
  <conditionalFormatting sqref="J8">
    <cfRule type="cellIs" dxfId="6587" priority="135348" stopIfTrue="1" operator="equal">
      <formula>-1</formula>
    </cfRule>
  </conditionalFormatting>
  <conditionalFormatting sqref="J8">
    <cfRule type="cellIs" dxfId="6586" priority="135349" stopIfTrue="1" operator="lessThan">
      <formula>0.5</formula>
    </cfRule>
  </conditionalFormatting>
  <conditionalFormatting sqref="J8">
    <cfRule type="cellIs" dxfId="6585" priority="135350" stopIfTrue="1" operator="greaterThanOrEqual">
      <formula>0.5</formula>
    </cfRule>
  </conditionalFormatting>
  <conditionalFormatting sqref="J9">
    <cfRule type="cellIs" dxfId="6584" priority="135351" stopIfTrue="1" operator="equal">
      <formula>-1</formula>
    </cfRule>
  </conditionalFormatting>
  <conditionalFormatting sqref="J9">
    <cfRule type="cellIs" dxfId="6583" priority="135352" stopIfTrue="1" operator="lessThan">
      <formula>0.5</formula>
    </cfRule>
  </conditionalFormatting>
  <conditionalFormatting sqref="J9">
    <cfRule type="cellIs" dxfId="6582" priority="135353" stopIfTrue="1" operator="greaterThanOrEqual">
      <formula>0.5</formula>
    </cfRule>
  </conditionalFormatting>
  <conditionalFormatting sqref="J10">
    <cfRule type="cellIs" dxfId="6581" priority="135354" stopIfTrue="1" operator="equal">
      <formula>-1</formula>
    </cfRule>
  </conditionalFormatting>
  <conditionalFormatting sqref="J10">
    <cfRule type="cellIs" dxfId="6580" priority="135355" stopIfTrue="1" operator="lessThan">
      <formula>0.5</formula>
    </cfRule>
  </conditionalFormatting>
  <conditionalFormatting sqref="J10">
    <cfRule type="cellIs" dxfId="6579" priority="135356" stopIfTrue="1" operator="greaterThanOrEqual">
      <formula>0.5</formula>
    </cfRule>
  </conditionalFormatting>
  <conditionalFormatting sqref="J11">
    <cfRule type="cellIs" dxfId="6578" priority="135357" stopIfTrue="1" operator="equal">
      <formula>-1</formula>
    </cfRule>
  </conditionalFormatting>
  <conditionalFormatting sqref="J11">
    <cfRule type="cellIs" dxfId="6577" priority="135358" stopIfTrue="1" operator="lessThan">
      <formula>0.5</formula>
    </cfRule>
  </conditionalFormatting>
  <conditionalFormatting sqref="J11">
    <cfRule type="cellIs" dxfId="6576" priority="135359" stopIfTrue="1" operator="greaterThanOrEqual">
      <formula>0.5</formula>
    </cfRule>
  </conditionalFormatting>
  <conditionalFormatting sqref="J12">
    <cfRule type="cellIs" dxfId="6575" priority="135360" stopIfTrue="1" operator="equal">
      <formula>-1</formula>
    </cfRule>
  </conditionalFormatting>
  <conditionalFormatting sqref="J12">
    <cfRule type="cellIs" dxfId="6574" priority="135361" stopIfTrue="1" operator="lessThan">
      <formula>0.5</formula>
    </cfRule>
  </conditionalFormatting>
  <conditionalFormatting sqref="J12">
    <cfRule type="cellIs" dxfId="6573" priority="135362" stopIfTrue="1" operator="greaterThanOrEqual">
      <formula>0.5</formula>
    </cfRule>
  </conditionalFormatting>
  <conditionalFormatting sqref="J13">
    <cfRule type="cellIs" dxfId="6572" priority="135363" stopIfTrue="1" operator="equal">
      <formula>-1</formula>
    </cfRule>
  </conditionalFormatting>
  <conditionalFormatting sqref="J13">
    <cfRule type="cellIs" dxfId="6571" priority="135364" stopIfTrue="1" operator="lessThan">
      <formula>0.5</formula>
    </cfRule>
  </conditionalFormatting>
  <conditionalFormatting sqref="J13">
    <cfRule type="cellIs" dxfId="6570" priority="135365" stopIfTrue="1" operator="greaterThanOrEqual">
      <formula>0.5</formula>
    </cfRule>
  </conditionalFormatting>
  <conditionalFormatting sqref="J14">
    <cfRule type="cellIs" dxfId="6569" priority="135366" stopIfTrue="1" operator="equal">
      <formula>-1</formula>
    </cfRule>
  </conditionalFormatting>
  <conditionalFormatting sqref="J14">
    <cfRule type="cellIs" dxfId="6568" priority="135367" stopIfTrue="1" operator="lessThan">
      <formula>0.5</formula>
    </cfRule>
  </conditionalFormatting>
  <conditionalFormatting sqref="J14">
    <cfRule type="cellIs" dxfId="6567" priority="135368" stopIfTrue="1" operator="greaterThanOrEqual">
      <formula>0.5</formula>
    </cfRule>
  </conditionalFormatting>
  <conditionalFormatting sqref="J15">
    <cfRule type="cellIs" dxfId="6566" priority="135369" stopIfTrue="1" operator="equal">
      <formula>-1</formula>
    </cfRule>
  </conditionalFormatting>
  <conditionalFormatting sqref="J15">
    <cfRule type="cellIs" dxfId="6565" priority="135370" stopIfTrue="1" operator="lessThan">
      <formula>0.5</formula>
    </cfRule>
  </conditionalFormatting>
  <conditionalFormatting sqref="J15">
    <cfRule type="cellIs" dxfId="6564" priority="135371" stopIfTrue="1" operator="greaterThanOrEqual">
      <formula>0.5</formula>
    </cfRule>
  </conditionalFormatting>
  <conditionalFormatting sqref="L8">
    <cfRule type="cellIs" dxfId="6563" priority="135372" stopIfTrue="1" operator="equal">
      <formula>-1</formula>
    </cfRule>
  </conditionalFormatting>
  <conditionalFormatting sqref="L8">
    <cfRule type="cellIs" dxfId="6562" priority="135373" stopIfTrue="1" operator="lessThan">
      <formula>0.5</formula>
    </cfRule>
  </conditionalFormatting>
  <conditionalFormatting sqref="L8">
    <cfRule type="cellIs" dxfId="6561" priority="135374" stopIfTrue="1" operator="greaterThanOrEqual">
      <formula>0.5</formula>
    </cfRule>
  </conditionalFormatting>
  <conditionalFormatting sqref="L9">
    <cfRule type="cellIs" dxfId="6560" priority="135375" stopIfTrue="1" operator="equal">
      <formula>-1</formula>
    </cfRule>
  </conditionalFormatting>
  <conditionalFormatting sqref="L9">
    <cfRule type="cellIs" dxfId="6559" priority="135376" stopIfTrue="1" operator="lessThan">
      <formula>0.5</formula>
    </cfRule>
  </conditionalFormatting>
  <conditionalFormatting sqref="L9">
    <cfRule type="cellIs" dxfId="6558" priority="135377" stopIfTrue="1" operator="greaterThanOrEqual">
      <formula>0.5</formula>
    </cfRule>
  </conditionalFormatting>
  <conditionalFormatting sqref="L10">
    <cfRule type="cellIs" dxfId="6557" priority="135378" stopIfTrue="1" operator="equal">
      <formula>-1</formula>
    </cfRule>
  </conditionalFormatting>
  <conditionalFormatting sqref="L10">
    <cfRule type="cellIs" dxfId="6556" priority="135379" stopIfTrue="1" operator="lessThan">
      <formula>0.5</formula>
    </cfRule>
  </conditionalFormatting>
  <conditionalFormatting sqref="L10">
    <cfRule type="cellIs" dxfId="6555" priority="135380" stopIfTrue="1" operator="greaterThanOrEqual">
      <formula>0.5</formula>
    </cfRule>
  </conditionalFormatting>
  <conditionalFormatting sqref="L11">
    <cfRule type="cellIs" dxfId="6554" priority="135381" stopIfTrue="1" operator="equal">
      <formula>-1</formula>
    </cfRule>
  </conditionalFormatting>
  <conditionalFormatting sqref="L11">
    <cfRule type="cellIs" dxfId="6553" priority="135382" stopIfTrue="1" operator="lessThan">
      <formula>0.5</formula>
    </cfRule>
  </conditionalFormatting>
  <conditionalFormatting sqref="L11">
    <cfRule type="cellIs" dxfId="6552" priority="135383" stopIfTrue="1" operator="greaterThanOrEqual">
      <formula>0.5</formula>
    </cfRule>
  </conditionalFormatting>
  <conditionalFormatting sqref="L12">
    <cfRule type="cellIs" dxfId="6551" priority="135384" stopIfTrue="1" operator="equal">
      <formula>-1</formula>
    </cfRule>
  </conditionalFormatting>
  <conditionalFormatting sqref="L12">
    <cfRule type="cellIs" dxfId="6550" priority="135385" stopIfTrue="1" operator="lessThan">
      <formula>0.5</formula>
    </cfRule>
  </conditionalFormatting>
  <conditionalFormatting sqref="L12">
    <cfRule type="cellIs" dxfId="6549" priority="135386" stopIfTrue="1" operator="greaterThanOrEqual">
      <formula>0.5</formula>
    </cfRule>
  </conditionalFormatting>
  <conditionalFormatting sqref="L13">
    <cfRule type="cellIs" dxfId="6548" priority="135387" stopIfTrue="1" operator="equal">
      <formula>-1</formula>
    </cfRule>
  </conditionalFormatting>
  <conditionalFormatting sqref="L13">
    <cfRule type="cellIs" dxfId="6547" priority="135388" stopIfTrue="1" operator="lessThan">
      <formula>0.5</formula>
    </cfRule>
  </conditionalFormatting>
  <conditionalFormatting sqref="L13">
    <cfRule type="cellIs" dxfId="6546" priority="135389" stopIfTrue="1" operator="greaterThanOrEqual">
      <formula>0.5</formula>
    </cfRule>
  </conditionalFormatting>
  <conditionalFormatting sqref="L14">
    <cfRule type="cellIs" dxfId="6545" priority="135390" stopIfTrue="1" operator="equal">
      <formula>-1</formula>
    </cfRule>
  </conditionalFormatting>
  <conditionalFormatting sqref="L14">
    <cfRule type="cellIs" dxfId="6544" priority="135391" stopIfTrue="1" operator="lessThan">
      <formula>0.5</formula>
    </cfRule>
  </conditionalFormatting>
  <conditionalFormatting sqref="L14">
    <cfRule type="cellIs" dxfId="6543" priority="135392" stopIfTrue="1" operator="greaterThanOrEqual">
      <formula>0.5</formula>
    </cfRule>
  </conditionalFormatting>
  <conditionalFormatting sqref="L15">
    <cfRule type="cellIs" dxfId="6542" priority="135393" stopIfTrue="1" operator="equal">
      <formula>-1</formula>
    </cfRule>
  </conditionalFormatting>
  <conditionalFormatting sqref="L15">
    <cfRule type="cellIs" dxfId="6541" priority="135394" stopIfTrue="1" operator="lessThan">
      <formula>0.5</formula>
    </cfRule>
  </conditionalFormatting>
  <conditionalFormatting sqref="L15">
    <cfRule type="cellIs" dxfId="6540" priority="135395" stopIfTrue="1" operator="greaterThanOrEqual">
      <formula>0.5</formula>
    </cfRule>
  </conditionalFormatting>
  <conditionalFormatting sqref="N8">
    <cfRule type="cellIs" dxfId="6539" priority="135396" stopIfTrue="1" operator="equal">
      <formula>-1</formula>
    </cfRule>
  </conditionalFormatting>
  <conditionalFormatting sqref="N8">
    <cfRule type="cellIs" dxfId="6538" priority="135397" stopIfTrue="1" operator="lessThan">
      <formula>0.5</formula>
    </cfRule>
  </conditionalFormatting>
  <conditionalFormatting sqref="N8">
    <cfRule type="cellIs" dxfId="6537" priority="135398" stopIfTrue="1" operator="greaterThanOrEqual">
      <formula>0.5</formula>
    </cfRule>
  </conditionalFormatting>
  <conditionalFormatting sqref="N9">
    <cfRule type="cellIs" dxfId="6536" priority="135399" stopIfTrue="1" operator="equal">
      <formula>-1</formula>
    </cfRule>
  </conditionalFormatting>
  <conditionalFormatting sqref="N9">
    <cfRule type="cellIs" dxfId="6535" priority="135400" stopIfTrue="1" operator="lessThan">
      <formula>0.5</formula>
    </cfRule>
  </conditionalFormatting>
  <conditionalFormatting sqref="N9">
    <cfRule type="cellIs" dxfId="6534" priority="135401" stopIfTrue="1" operator="greaterThanOrEqual">
      <formula>0.5</formula>
    </cfRule>
  </conditionalFormatting>
  <conditionalFormatting sqref="N10">
    <cfRule type="cellIs" dxfId="6533" priority="135402" stopIfTrue="1" operator="equal">
      <formula>-1</formula>
    </cfRule>
  </conditionalFormatting>
  <conditionalFormatting sqref="N10">
    <cfRule type="cellIs" dxfId="6532" priority="135403" stopIfTrue="1" operator="lessThan">
      <formula>0.5</formula>
    </cfRule>
  </conditionalFormatting>
  <conditionalFormatting sqref="N10">
    <cfRule type="cellIs" dxfId="6531" priority="135404" stopIfTrue="1" operator="greaterThanOrEqual">
      <formula>0.5</formula>
    </cfRule>
  </conditionalFormatting>
  <conditionalFormatting sqref="N11">
    <cfRule type="cellIs" dxfId="6530" priority="135405" stopIfTrue="1" operator="equal">
      <formula>-1</formula>
    </cfRule>
  </conditionalFormatting>
  <conditionalFormatting sqref="N11">
    <cfRule type="cellIs" dxfId="6529" priority="135406" stopIfTrue="1" operator="lessThan">
      <formula>0.5</formula>
    </cfRule>
  </conditionalFormatting>
  <conditionalFormatting sqref="N11">
    <cfRule type="cellIs" dxfId="6528" priority="135407" stopIfTrue="1" operator="greaterThanOrEqual">
      <formula>0.5</formula>
    </cfRule>
  </conditionalFormatting>
  <conditionalFormatting sqref="N12">
    <cfRule type="cellIs" dxfId="6527" priority="135408" stopIfTrue="1" operator="equal">
      <formula>-1</formula>
    </cfRule>
  </conditionalFormatting>
  <conditionalFormatting sqref="N12">
    <cfRule type="cellIs" dxfId="6526" priority="135409" stopIfTrue="1" operator="lessThan">
      <formula>0.5</formula>
    </cfRule>
  </conditionalFormatting>
  <conditionalFormatting sqref="N12">
    <cfRule type="cellIs" dxfId="6525" priority="135410" stopIfTrue="1" operator="greaterThanOrEqual">
      <formula>0.5</formula>
    </cfRule>
  </conditionalFormatting>
  <conditionalFormatting sqref="N13">
    <cfRule type="cellIs" dxfId="6524" priority="135411" stopIfTrue="1" operator="equal">
      <formula>-1</formula>
    </cfRule>
  </conditionalFormatting>
  <conditionalFormatting sqref="N13">
    <cfRule type="cellIs" dxfId="6523" priority="135412" stopIfTrue="1" operator="lessThan">
      <formula>0.5</formula>
    </cfRule>
  </conditionalFormatting>
  <conditionalFormatting sqref="N13">
    <cfRule type="cellIs" dxfId="6522" priority="135413" stopIfTrue="1" operator="greaterThanOrEqual">
      <formula>0.5</formula>
    </cfRule>
  </conditionalFormatting>
  <conditionalFormatting sqref="N14">
    <cfRule type="cellIs" dxfId="6521" priority="135414" stopIfTrue="1" operator="equal">
      <formula>-1</formula>
    </cfRule>
  </conditionalFormatting>
  <conditionalFormatting sqref="N14">
    <cfRule type="cellIs" dxfId="6520" priority="135415" stopIfTrue="1" operator="lessThan">
      <formula>0.5</formula>
    </cfRule>
  </conditionalFormatting>
  <conditionalFormatting sqref="N14">
    <cfRule type="cellIs" dxfId="6519" priority="135416" stopIfTrue="1" operator="greaterThanOrEqual">
      <formula>0.5</formula>
    </cfRule>
  </conditionalFormatting>
  <conditionalFormatting sqref="N15">
    <cfRule type="cellIs" dxfId="6518" priority="135417" stopIfTrue="1" operator="equal">
      <formula>-1</formula>
    </cfRule>
  </conditionalFormatting>
  <conditionalFormatting sqref="N15">
    <cfRule type="cellIs" dxfId="6517" priority="135418" stopIfTrue="1" operator="lessThan">
      <formula>0.5</formula>
    </cfRule>
  </conditionalFormatting>
  <conditionalFormatting sqref="N15">
    <cfRule type="cellIs" dxfId="6516" priority="135419" stopIfTrue="1" operator="greaterThanOrEqual">
      <formula>0.5</formula>
    </cfRule>
  </conditionalFormatting>
  <conditionalFormatting sqref="P8">
    <cfRule type="cellIs" dxfId="6515" priority="135420" stopIfTrue="1" operator="equal">
      <formula>-1</formula>
    </cfRule>
  </conditionalFormatting>
  <conditionalFormatting sqref="P8">
    <cfRule type="cellIs" dxfId="6514" priority="135421" stopIfTrue="1" operator="lessThan">
      <formula>0.5</formula>
    </cfRule>
  </conditionalFormatting>
  <conditionalFormatting sqref="P8">
    <cfRule type="cellIs" dxfId="6513" priority="135422" stopIfTrue="1" operator="greaterThanOrEqual">
      <formula>0.5</formula>
    </cfRule>
  </conditionalFormatting>
  <conditionalFormatting sqref="P9">
    <cfRule type="cellIs" dxfId="6512" priority="135423" stopIfTrue="1" operator="equal">
      <formula>-1</formula>
    </cfRule>
  </conditionalFormatting>
  <conditionalFormatting sqref="P9">
    <cfRule type="cellIs" dxfId="6511" priority="135424" stopIfTrue="1" operator="lessThan">
      <formula>0.5</formula>
    </cfRule>
  </conditionalFormatting>
  <conditionalFormatting sqref="P9">
    <cfRule type="cellIs" dxfId="6510" priority="135425" stopIfTrue="1" operator="greaterThanOrEqual">
      <formula>0.5</formula>
    </cfRule>
  </conditionalFormatting>
  <conditionalFormatting sqref="P10">
    <cfRule type="cellIs" dxfId="6509" priority="135426" stopIfTrue="1" operator="equal">
      <formula>-1</formula>
    </cfRule>
  </conditionalFormatting>
  <conditionalFormatting sqref="P10">
    <cfRule type="cellIs" dxfId="6508" priority="135427" stopIfTrue="1" operator="lessThan">
      <formula>0.5</formula>
    </cfRule>
  </conditionalFormatting>
  <conditionalFormatting sqref="P10">
    <cfRule type="cellIs" dxfId="6507" priority="135428" stopIfTrue="1" operator="greaterThanOrEqual">
      <formula>0.5</formula>
    </cfRule>
  </conditionalFormatting>
  <conditionalFormatting sqref="P11">
    <cfRule type="cellIs" dxfId="6506" priority="135429" stopIfTrue="1" operator="equal">
      <formula>-1</formula>
    </cfRule>
  </conditionalFormatting>
  <conditionalFormatting sqref="P11">
    <cfRule type="cellIs" dxfId="6505" priority="135430" stopIfTrue="1" operator="lessThan">
      <formula>0.5</formula>
    </cfRule>
  </conditionalFormatting>
  <conditionalFormatting sqref="P11">
    <cfRule type="cellIs" dxfId="6504" priority="135431" stopIfTrue="1" operator="greaterThanOrEqual">
      <formula>0.5</formula>
    </cfRule>
  </conditionalFormatting>
  <conditionalFormatting sqref="P12">
    <cfRule type="cellIs" dxfId="6503" priority="135432" stopIfTrue="1" operator="equal">
      <formula>-1</formula>
    </cfRule>
  </conditionalFormatting>
  <conditionalFormatting sqref="P12">
    <cfRule type="cellIs" dxfId="6502" priority="135433" stopIfTrue="1" operator="lessThan">
      <formula>0.5</formula>
    </cfRule>
  </conditionalFormatting>
  <conditionalFormatting sqref="P12">
    <cfRule type="cellIs" dxfId="6501" priority="135434" stopIfTrue="1" operator="greaterThanOrEqual">
      <formula>0.5</formula>
    </cfRule>
  </conditionalFormatting>
  <conditionalFormatting sqref="P13">
    <cfRule type="cellIs" dxfId="6500" priority="135435" stopIfTrue="1" operator="equal">
      <formula>-1</formula>
    </cfRule>
  </conditionalFormatting>
  <conditionalFormatting sqref="P13">
    <cfRule type="cellIs" dxfId="6499" priority="135436" stopIfTrue="1" operator="lessThan">
      <formula>0.5</formula>
    </cfRule>
  </conditionalFormatting>
  <conditionalFormatting sqref="P13">
    <cfRule type="cellIs" dxfId="6498" priority="135437" stopIfTrue="1" operator="greaterThanOrEqual">
      <formula>0.5</formula>
    </cfRule>
  </conditionalFormatting>
  <conditionalFormatting sqref="P14">
    <cfRule type="cellIs" dxfId="6497" priority="135438" stopIfTrue="1" operator="equal">
      <formula>-1</formula>
    </cfRule>
  </conditionalFormatting>
  <conditionalFormatting sqref="P14">
    <cfRule type="cellIs" dxfId="6496" priority="135439" stopIfTrue="1" operator="lessThan">
      <formula>0.5</formula>
    </cfRule>
  </conditionalFormatting>
  <conditionalFormatting sqref="P14">
    <cfRule type="cellIs" dxfId="6495" priority="135440" stopIfTrue="1" operator="greaterThanOrEqual">
      <formula>0.5</formula>
    </cfRule>
  </conditionalFormatting>
  <conditionalFormatting sqref="P15">
    <cfRule type="cellIs" dxfId="6494" priority="135441" stopIfTrue="1" operator="equal">
      <formula>-1</formula>
    </cfRule>
  </conditionalFormatting>
  <conditionalFormatting sqref="P15">
    <cfRule type="cellIs" dxfId="6493" priority="135442" stopIfTrue="1" operator="lessThan">
      <formula>0.5</formula>
    </cfRule>
  </conditionalFormatting>
  <conditionalFormatting sqref="P15">
    <cfRule type="cellIs" dxfId="6492" priority="135443" stopIfTrue="1" operator="greaterThanOrEqual">
      <formula>0.5</formula>
    </cfRule>
  </conditionalFormatting>
  <conditionalFormatting sqref="R8">
    <cfRule type="cellIs" dxfId="6491" priority="135444" stopIfTrue="1" operator="equal">
      <formula>-1</formula>
    </cfRule>
  </conditionalFormatting>
  <conditionalFormatting sqref="R8">
    <cfRule type="cellIs" dxfId="6490" priority="135445" stopIfTrue="1" operator="lessThan">
      <formula>0.5</formula>
    </cfRule>
  </conditionalFormatting>
  <conditionalFormatting sqref="R8">
    <cfRule type="cellIs" dxfId="6489" priority="135446" stopIfTrue="1" operator="greaterThanOrEqual">
      <formula>0.5</formula>
    </cfRule>
  </conditionalFormatting>
  <conditionalFormatting sqref="R9">
    <cfRule type="cellIs" dxfId="6488" priority="135447" stopIfTrue="1" operator="equal">
      <formula>-1</formula>
    </cfRule>
  </conditionalFormatting>
  <conditionalFormatting sqref="R9">
    <cfRule type="cellIs" dxfId="6487" priority="135448" stopIfTrue="1" operator="lessThan">
      <formula>0.5</formula>
    </cfRule>
  </conditionalFormatting>
  <conditionalFormatting sqref="R9">
    <cfRule type="cellIs" dxfId="6486" priority="135449" stopIfTrue="1" operator="greaterThanOrEqual">
      <formula>0.5</formula>
    </cfRule>
  </conditionalFormatting>
  <conditionalFormatting sqref="R10">
    <cfRule type="cellIs" dxfId="6485" priority="135450" stopIfTrue="1" operator="equal">
      <formula>-1</formula>
    </cfRule>
  </conditionalFormatting>
  <conditionalFormatting sqref="R10">
    <cfRule type="cellIs" dxfId="6484" priority="135451" stopIfTrue="1" operator="lessThan">
      <formula>0.5</formula>
    </cfRule>
  </conditionalFormatting>
  <conditionalFormatting sqref="R10">
    <cfRule type="cellIs" dxfId="6483" priority="135452" stopIfTrue="1" operator="greaterThanOrEqual">
      <formula>0.5</formula>
    </cfRule>
  </conditionalFormatting>
  <conditionalFormatting sqref="R11">
    <cfRule type="cellIs" dxfId="6482" priority="135453" stopIfTrue="1" operator="equal">
      <formula>-1</formula>
    </cfRule>
  </conditionalFormatting>
  <conditionalFormatting sqref="R11">
    <cfRule type="cellIs" dxfId="6481" priority="135454" stopIfTrue="1" operator="lessThan">
      <formula>0.5</formula>
    </cfRule>
  </conditionalFormatting>
  <conditionalFormatting sqref="R11">
    <cfRule type="cellIs" dxfId="6480" priority="135455" stopIfTrue="1" operator="greaterThanOrEqual">
      <formula>0.5</formula>
    </cfRule>
  </conditionalFormatting>
  <conditionalFormatting sqref="R12">
    <cfRule type="cellIs" dxfId="6479" priority="135456" stopIfTrue="1" operator="equal">
      <formula>-1</formula>
    </cfRule>
  </conditionalFormatting>
  <conditionalFormatting sqref="R12">
    <cfRule type="cellIs" dxfId="6478" priority="135457" stopIfTrue="1" operator="lessThan">
      <formula>0.5</formula>
    </cfRule>
  </conditionalFormatting>
  <conditionalFormatting sqref="R12">
    <cfRule type="cellIs" dxfId="6477" priority="135458" stopIfTrue="1" operator="greaterThanOrEqual">
      <formula>0.5</formula>
    </cfRule>
  </conditionalFormatting>
  <conditionalFormatting sqref="R13">
    <cfRule type="cellIs" dxfId="6476" priority="135459" stopIfTrue="1" operator="equal">
      <formula>-1</formula>
    </cfRule>
  </conditionalFormatting>
  <conditionalFormatting sqref="R13">
    <cfRule type="cellIs" dxfId="6475" priority="135460" stopIfTrue="1" operator="lessThan">
      <formula>0.5</formula>
    </cfRule>
  </conditionalFormatting>
  <conditionalFormatting sqref="R13">
    <cfRule type="cellIs" dxfId="6474" priority="135461" stopIfTrue="1" operator="greaterThanOrEqual">
      <formula>0.5</formula>
    </cfRule>
  </conditionalFormatting>
  <conditionalFormatting sqref="R14">
    <cfRule type="cellIs" dxfId="6473" priority="135462" stopIfTrue="1" operator="equal">
      <formula>-1</formula>
    </cfRule>
  </conditionalFormatting>
  <conditionalFormatting sqref="R14">
    <cfRule type="cellIs" dxfId="6472" priority="135463" stopIfTrue="1" operator="lessThan">
      <formula>0.5</formula>
    </cfRule>
  </conditionalFormatting>
  <conditionalFormatting sqref="R14">
    <cfRule type="cellIs" dxfId="6471" priority="135464" stopIfTrue="1" operator="greaterThanOrEqual">
      <formula>0.5</formula>
    </cfRule>
  </conditionalFormatting>
  <conditionalFormatting sqref="R15">
    <cfRule type="cellIs" dxfId="6470" priority="135465" stopIfTrue="1" operator="equal">
      <formula>-1</formula>
    </cfRule>
  </conditionalFormatting>
  <conditionalFormatting sqref="R15">
    <cfRule type="cellIs" dxfId="6469" priority="135466" stopIfTrue="1" operator="lessThan">
      <formula>0.5</formula>
    </cfRule>
  </conditionalFormatting>
  <conditionalFormatting sqref="R15">
    <cfRule type="cellIs" dxfId="6468" priority="135467" stopIfTrue="1" operator="greaterThanOrEqual">
      <formula>0.5</formula>
    </cfRule>
  </conditionalFormatting>
  <conditionalFormatting sqref="T8">
    <cfRule type="cellIs" dxfId="6467" priority="135468" stopIfTrue="1" operator="equal">
      <formula>-1</formula>
    </cfRule>
  </conditionalFormatting>
  <conditionalFormatting sqref="T8">
    <cfRule type="cellIs" dxfId="6466" priority="135469" stopIfTrue="1" operator="lessThan">
      <formula>0.5</formula>
    </cfRule>
  </conditionalFormatting>
  <conditionalFormatting sqref="T8">
    <cfRule type="cellIs" dxfId="6465" priority="135470" stopIfTrue="1" operator="greaterThanOrEqual">
      <formula>0.5</formula>
    </cfRule>
  </conditionalFormatting>
  <conditionalFormatting sqref="T9">
    <cfRule type="cellIs" dxfId="6464" priority="135471" stopIfTrue="1" operator="equal">
      <formula>-1</formula>
    </cfRule>
  </conditionalFormatting>
  <conditionalFormatting sqref="T9">
    <cfRule type="cellIs" dxfId="6463" priority="135472" stopIfTrue="1" operator="lessThan">
      <formula>0.5</formula>
    </cfRule>
  </conditionalFormatting>
  <conditionalFormatting sqref="T9">
    <cfRule type="cellIs" dxfId="6462" priority="135473" stopIfTrue="1" operator="greaterThanOrEqual">
      <formula>0.5</formula>
    </cfRule>
  </conditionalFormatting>
  <conditionalFormatting sqref="T10">
    <cfRule type="cellIs" dxfId="6461" priority="135474" stopIfTrue="1" operator="equal">
      <formula>-1</formula>
    </cfRule>
  </conditionalFormatting>
  <conditionalFormatting sqref="T10">
    <cfRule type="cellIs" dxfId="6460" priority="135475" stopIfTrue="1" operator="lessThan">
      <formula>0.5</formula>
    </cfRule>
  </conditionalFormatting>
  <conditionalFormatting sqref="T10">
    <cfRule type="cellIs" dxfId="6459" priority="135476" stopIfTrue="1" operator="greaterThanOrEqual">
      <formula>0.5</formula>
    </cfRule>
  </conditionalFormatting>
  <conditionalFormatting sqref="T11">
    <cfRule type="cellIs" dxfId="6458" priority="135477" stopIfTrue="1" operator="equal">
      <formula>-1</formula>
    </cfRule>
  </conditionalFormatting>
  <conditionalFormatting sqref="T11">
    <cfRule type="cellIs" dxfId="6457" priority="135478" stopIfTrue="1" operator="lessThan">
      <formula>0.5</formula>
    </cfRule>
  </conditionalFormatting>
  <conditionalFormatting sqref="T11">
    <cfRule type="cellIs" dxfId="6456" priority="135479" stopIfTrue="1" operator="greaterThanOrEqual">
      <formula>0.5</formula>
    </cfRule>
  </conditionalFormatting>
  <conditionalFormatting sqref="T12">
    <cfRule type="cellIs" dxfId="6455" priority="135480" stopIfTrue="1" operator="equal">
      <formula>-1</formula>
    </cfRule>
  </conditionalFormatting>
  <conditionalFormatting sqref="T12">
    <cfRule type="cellIs" dxfId="6454" priority="135481" stopIfTrue="1" operator="lessThan">
      <formula>0.5</formula>
    </cfRule>
  </conditionalFormatting>
  <conditionalFormatting sqref="T12">
    <cfRule type="cellIs" dxfId="6453" priority="135482" stopIfTrue="1" operator="greaterThanOrEqual">
      <formula>0.5</formula>
    </cfRule>
  </conditionalFormatting>
  <conditionalFormatting sqref="T13">
    <cfRule type="cellIs" dxfId="6452" priority="135483" stopIfTrue="1" operator="equal">
      <formula>-1</formula>
    </cfRule>
  </conditionalFormatting>
  <conditionalFormatting sqref="T13">
    <cfRule type="cellIs" dxfId="6451" priority="135484" stopIfTrue="1" operator="lessThan">
      <formula>0.5</formula>
    </cfRule>
  </conditionalFormatting>
  <conditionalFormatting sqref="T13">
    <cfRule type="cellIs" dxfId="6450" priority="135485" stopIfTrue="1" operator="greaterThanOrEqual">
      <formula>0.5</formula>
    </cfRule>
  </conditionalFormatting>
  <conditionalFormatting sqref="T14">
    <cfRule type="cellIs" dxfId="6449" priority="135486" stopIfTrue="1" operator="equal">
      <formula>-1</formula>
    </cfRule>
  </conditionalFormatting>
  <conditionalFormatting sqref="T14">
    <cfRule type="cellIs" dxfId="6448" priority="135487" stopIfTrue="1" operator="lessThan">
      <formula>0.5</formula>
    </cfRule>
  </conditionalFormatting>
  <conditionalFormatting sqref="T14">
    <cfRule type="cellIs" dxfId="6447" priority="135488" stopIfTrue="1" operator="greaterThanOrEqual">
      <formula>0.5</formula>
    </cfRule>
  </conditionalFormatting>
  <conditionalFormatting sqref="T15">
    <cfRule type="cellIs" dxfId="6446" priority="135489" stopIfTrue="1" operator="equal">
      <formula>-1</formula>
    </cfRule>
  </conditionalFormatting>
  <conditionalFormatting sqref="T15">
    <cfRule type="cellIs" dxfId="6445" priority="135490" stopIfTrue="1" operator="lessThan">
      <formula>0.5</formula>
    </cfRule>
  </conditionalFormatting>
  <conditionalFormatting sqref="T15">
    <cfRule type="cellIs" dxfId="6444" priority="135491" stopIfTrue="1" operator="greaterThanOrEqual">
      <formula>0.5</formula>
    </cfRule>
  </conditionalFormatting>
  <conditionalFormatting sqref="V8">
    <cfRule type="cellIs" dxfId="6443" priority="135492" stopIfTrue="1" operator="equal">
      <formula>-1</formula>
    </cfRule>
  </conditionalFormatting>
  <conditionalFormatting sqref="V8">
    <cfRule type="cellIs" dxfId="6442" priority="135493" stopIfTrue="1" operator="lessThan">
      <formula>0.5</formula>
    </cfRule>
  </conditionalFormatting>
  <conditionalFormatting sqref="V8">
    <cfRule type="cellIs" dxfId="6441" priority="135494" stopIfTrue="1" operator="greaterThanOrEqual">
      <formula>0.5</formula>
    </cfRule>
  </conditionalFormatting>
  <conditionalFormatting sqref="V9">
    <cfRule type="cellIs" dxfId="6440" priority="135495" stopIfTrue="1" operator="equal">
      <formula>-1</formula>
    </cfRule>
  </conditionalFormatting>
  <conditionalFormatting sqref="V9">
    <cfRule type="cellIs" dxfId="6439" priority="135496" stopIfTrue="1" operator="lessThan">
      <formula>0.5</formula>
    </cfRule>
  </conditionalFormatting>
  <conditionalFormatting sqref="V9">
    <cfRule type="cellIs" dxfId="6438" priority="135497" stopIfTrue="1" operator="greaterThanOrEqual">
      <formula>0.5</formula>
    </cfRule>
  </conditionalFormatting>
  <conditionalFormatting sqref="V10">
    <cfRule type="cellIs" dxfId="6437" priority="135498" stopIfTrue="1" operator="equal">
      <formula>-1</formula>
    </cfRule>
  </conditionalFormatting>
  <conditionalFormatting sqref="V10">
    <cfRule type="cellIs" dxfId="6436" priority="135499" stopIfTrue="1" operator="lessThan">
      <formula>0.5</formula>
    </cfRule>
  </conditionalFormatting>
  <conditionalFormatting sqref="V10">
    <cfRule type="cellIs" dxfId="6435" priority="135500" stopIfTrue="1" operator="greaterThanOrEqual">
      <formula>0.5</formula>
    </cfRule>
  </conditionalFormatting>
  <conditionalFormatting sqref="V11">
    <cfRule type="cellIs" dxfId="6434" priority="135501" stopIfTrue="1" operator="equal">
      <formula>-1</formula>
    </cfRule>
  </conditionalFormatting>
  <conditionalFormatting sqref="V11">
    <cfRule type="cellIs" dxfId="6433" priority="135502" stopIfTrue="1" operator="lessThan">
      <formula>0.5</formula>
    </cfRule>
  </conditionalFormatting>
  <conditionalFormatting sqref="V11">
    <cfRule type="cellIs" dxfId="6432" priority="135503" stopIfTrue="1" operator="greaterThanOrEqual">
      <formula>0.5</formula>
    </cfRule>
  </conditionalFormatting>
  <conditionalFormatting sqref="V12">
    <cfRule type="cellIs" dxfId="6431" priority="135504" stopIfTrue="1" operator="equal">
      <formula>-1</formula>
    </cfRule>
  </conditionalFormatting>
  <conditionalFormatting sqref="V12">
    <cfRule type="cellIs" dxfId="6430" priority="135505" stopIfTrue="1" operator="lessThan">
      <formula>0.5</formula>
    </cfRule>
  </conditionalFormatting>
  <conditionalFormatting sqref="V12">
    <cfRule type="cellIs" dxfId="6429" priority="135506" stopIfTrue="1" operator="greaterThanOrEqual">
      <formula>0.5</formula>
    </cfRule>
  </conditionalFormatting>
  <conditionalFormatting sqref="V13">
    <cfRule type="cellIs" dxfId="6428" priority="135507" stopIfTrue="1" operator="equal">
      <formula>-1</formula>
    </cfRule>
  </conditionalFormatting>
  <conditionalFormatting sqref="V13">
    <cfRule type="cellIs" dxfId="6427" priority="135508" stopIfTrue="1" operator="lessThan">
      <formula>0.5</formula>
    </cfRule>
  </conditionalFormatting>
  <conditionalFormatting sqref="V13">
    <cfRule type="cellIs" dxfId="6426" priority="135509" stopIfTrue="1" operator="greaterThanOrEqual">
      <formula>0.5</formula>
    </cfRule>
  </conditionalFormatting>
  <conditionalFormatting sqref="V14">
    <cfRule type="cellIs" dxfId="6425" priority="135510" stopIfTrue="1" operator="equal">
      <formula>-1</formula>
    </cfRule>
  </conditionalFormatting>
  <conditionalFormatting sqref="V14">
    <cfRule type="cellIs" dxfId="6424" priority="135511" stopIfTrue="1" operator="lessThan">
      <formula>0.5</formula>
    </cfRule>
  </conditionalFormatting>
  <conditionalFormatting sqref="V14">
    <cfRule type="cellIs" dxfId="6423" priority="135512" stopIfTrue="1" operator="greaterThanOrEqual">
      <formula>0.5</formula>
    </cfRule>
  </conditionalFormatting>
  <conditionalFormatting sqref="V15">
    <cfRule type="cellIs" dxfId="6422" priority="135513" stopIfTrue="1" operator="equal">
      <formula>-1</formula>
    </cfRule>
  </conditionalFormatting>
  <conditionalFormatting sqref="V15">
    <cfRule type="cellIs" dxfId="6421" priority="135514" stopIfTrue="1" operator="lessThan">
      <formula>0.5</formula>
    </cfRule>
  </conditionalFormatting>
  <conditionalFormatting sqref="V15">
    <cfRule type="cellIs" dxfId="6420" priority="135515" stopIfTrue="1" operator="greaterThanOrEqual">
      <formula>0.5</formula>
    </cfRule>
  </conditionalFormatting>
  <conditionalFormatting sqref="X8">
    <cfRule type="cellIs" dxfId="6419" priority="135516" stopIfTrue="1" operator="equal">
      <formula>-1</formula>
    </cfRule>
  </conditionalFormatting>
  <conditionalFormatting sqref="X8">
    <cfRule type="cellIs" dxfId="6418" priority="135517" stopIfTrue="1" operator="lessThan">
      <formula>0.5</formula>
    </cfRule>
  </conditionalFormatting>
  <conditionalFormatting sqref="X8">
    <cfRule type="cellIs" dxfId="6417" priority="135518" stopIfTrue="1" operator="greaterThanOrEqual">
      <formula>0.5</formula>
    </cfRule>
  </conditionalFormatting>
  <conditionalFormatting sqref="X9">
    <cfRule type="cellIs" dxfId="6416" priority="135519" stopIfTrue="1" operator="equal">
      <formula>-1</formula>
    </cfRule>
  </conditionalFormatting>
  <conditionalFormatting sqref="X9">
    <cfRule type="cellIs" dxfId="6415" priority="135520" stopIfTrue="1" operator="lessThan">
      <formula>0.5</formula>
    </cfRule>
  </conditionalFormatting>
  <conditionalFormatting sqref="X9">
    <cfRule type="cellIs" dxfId="6414" priority="135521" stopIfTrue="1" operator="greaterThanOrEqual">
      <formula>0.5</formula>
    </cfRule>
  </conditionalFormatting>
  <conditionalFormatting sqref="X10">
    <cfRule type="cellIs" dxfId="6413" priority="135522" stopIfTrue="1" operator="equal">
      <formula>-1</formula>
    </cfRule>
  </conditionalFormatting>
  <conditionalFormatting sqref="X10">
    <cfRule type="cellIs" dxfId="6412" priority="135523" stopIfTrue="1" operator="lessThan">
      <formula>0.5</formula>
    </cfRule>
  </conditionalFormatting>
  <conditionalFormatting sqref="X10">
    <cfRule type="cellIs" dxfId="6411" priority="135524" stopIfTrue="1" operator="greaterThanOrEqual">
      <formula>0.5</formula>
    </cfRule>
  </conditionalFormatting>
  <conditionalFormatting sqref="X11">
    <cfRule type="cellIs" dxfId="6410" priority="135525" stopIfTrue="1" operator="equal">
      <formula>-1</formula>
    </cfRule>
  </conditionalFormatting>
  <conditionalFormatting sqref="X11">
    <cfRule type="cellIs" dxfId="6409" priority="135526" stopIfTrue="1" operator="lessThan">
      <formula>0.5</formula>
    </cfRule>
  </conditionalFormatting>
  <conditionalFormatting sqref="X11">
    <cfRule type="cellIs" dxfId="6408" priority="135527" stopIfTrue="1" operator="greaterThanOrEqual">
      <formula>0.5</formula>
    </cfRule>
  </conditionalFormatting>
  <conditionalFormatting sqref="X12">
    <cfRule type="cellIs" dxfId="6407" priority="135528" stopIfTrue="1" operator="equal">
      <formula>-1</formula>
    </cfRule>
  </conditionalFormatting>
  <conditionalFormatting sqref="X12">
    <cfRule type="cellIs" dxfId="6406" priority="135529" stopIfTrue="1" operator="lessThan">
      <formula>0.5</formula>
    </cfRule>
  </conditionalFormatting>
  <conditionalFormatting sqref="X12">
    <cfRule type="cellIs" dxfId="6405" priority="135530" stopIfTrue="1" operator="greaterThanOrEqual">
      <formula>0.5</formula>
    </cfRule>
  </conditionalFormatting>
  <conditionalFormatting sqref="X13">
    <cfRule type="cellIs" dxfId="6404" priority="135531" stopIfTrue="1" operator="equal">
      <formula>-1</formula>
    </cfRule>
  </conditionalFormatting>
  <conditionalFormatting sqref="X13">
    <cfRule type="cellIs" dxfId="6403" priority="135532" stopIfTrue="1" operator="lessThan">
      <formula>0.5</formula>
    </cfRule>
  </conditionalFormatting>
  <conditionalFormatting sqref="X13">
    <cfRule type="cellIs" dxfId="6402" priority="135533" stopIfTrue="1" operator="greaterThanOrEqual">
      <formula>0.5</formula>
    </cfRule>
  </conditionalFormatting>
  <conditionalFormatting sqref="X14">
    <cfRule type="cellIs" dxfId="6401" priority="135534" stopIfTrue="1" operator="equal">
      <formula>-1</formula>
    </cfRule>
  </conditionalFormatting>
  <conditionalFormatting sqref="X14">
    <cfRule type="cellIs" dxfId="6400" priority="135535" stopIfTrue="1" operator="lessThan">
      <formula>0.5</formula>
    </cfRule>
  </conditionalFormatting>
  <conditionalFormatting sqref="X14">
    <cfRule type="cellIs" dxfId="6399" priority="135536" stopIfTrue="1" operator="greaterThanOrEqual">
      <formula>0.5</formula>
    </cfRule>
  </conditionalFormatting>
  <conditionalFormatting sqref="X15">
    <cfRule type="cellIs" dxfId="6398" priority="135537" stopIfTrue="1" operator="equal">
      <formula>-1</formula>
    </cfRule>
  </conditionalFormatting>
  <conditionalFormatting sqref="X15">
    <cfRule type="cellIs" dxfId="6397" priority="135538" stopIfTrue="1" operator="lessThan">
      <formula>0.5</formula>
    </cfRule>
  </conditionalFormatting>
  <conditionalFormatting sqref="X15">
    <cfRule type="cellIs" dxfId="6396" priority="135539" stopIfTrue="1" operator="greaterThanOrEqual">
      <formula>0.5</formula>
    </cfRule>
  </conditionalFormatting>
  <conditionalFormatting sqref="Z8">
    <cfRule type="cellIs" dxfId="6395" priority="135540" stopIfTrue="1" operator="equal">
      <formula>-1</formula>
    </cfRule>
  </conditionalFormatting>
  <conditionalFormatting sqref="Z8">
    <cfRule type="cellIs" dxfId="6394" priority="135541" stopIfTrue="1" operator="lessThan">
      <formula>0.5</formula>
    </cfRule>
  </conditionalFormatting>
  <conditionalFormatting sqref="Z8">
    <cfRule type="cellIs" dxfId="6393" priority="135542" stopIfTrue="1" operator="greaterThanOrEqual">
      <formula>0.5</formula>
    </cfRule>
  </conditionalFormatting>
  <conditionalFormatting sqref="Z9">
    <cfRule type="cellIs" dxfId="6392" priority="135543" stopIfTrue="1" operator="equal">
      <formula>-1</formula>
    </cfRule>
  </conditionalFormatting>
  <conditionalFormatting sqref="Z9">
    <cfRule type="cellIs" dxfId="6391" priority="135544" stopIfTrue="1" operator="lessThan">
      <formula>0.5</formula>
    </cfRule>
  </conditionalFormatting>
  <conditionalFormatting sqref="Z9">
    <cfRule type="cellIs" dxfId="6390" priority="135545" stopIfTrue="1" operator="greaterThanOrEqual">
      <formula>0.5</formula>
    </cfRule>
  </conditionalFormatting>
  <conditionalFormatting sqref="Z10">
    <cfRule type="cellIs" dxfId="6389" priority="135546" stopIfTrue="1" operator="equal">
      <formula>-1</formula>
    </cfRule>
  </conditionalFormatting>
  <conditionalFormatting sqref="Z10">
    <cfRule type="cellIs" dxfId="6388" priority="135547" stopIfTrue="1" operator="lessThan">
      <formula>0.5</formula>
    </cfRule>
  </conditionalFormatting>
  <conditionalFormatting sqref="Z10">
    <cfRule type="cellIs" dxfId="6387" priority="135548" stopIfTrue="1" operator="greaterThanOrEqual">
      <formula>0.5</formula>
    </cfRule>
  </conditionalFormatting>
  <conditionalFormatting sqref="Z11">
    <cfRule type="cellIs" dxfId="6386" priority="135549" stopIfTrue="1" operator="equal">
      <formula>-1</formula>
    </cfRule>
  </conditionalFormatting>
  <conditionalFormatting sqref="Z11">
    <cfRule type="cellIs" dxfId="6385" priority="135550" stopIfTrue="1" operator="lessThan">
      <formula>0.5</formula>
    </cfRule>
  </conditionalFormatting>
  <conditionalFormatting sqref="Z11">
    <cfRule type="cellIs" dxfId="6384" priority="135551" stopIfTrue="1" operator="greaterThanOrEqual">
      <formula>0.5</formula>
    </cfRule>
  </conditionalFormatting>
  <conditionalFormatting sqref="Z12">
    <cfRule type="cellIs" dxfId="6383" priority="135552" stopIfTrue="1" operator="equal">
      <formula>-1</formula>
    </cfRule>
  </conditionalFormatting>
  <conditionalFormatting sqref="Z12">
    <cfRule type="cellIs" dxfId="6382" priority="135553" stopIfTrue="1" operator="lessThan">
      <formula>0.5</formula>
    </cfRule>
  </conditionalFormatting>
  <conditionalFormatting sqref="Z12">
    <cfRule type="cellIs" dxfId="6381" priority="135554" stopIfTrue="1" operator="greaterThanOrEqual">
      <formula>0.5</formula>
    </cfRule>
  </conditionalFormatting>
  <conditionalFormatting sqref="Z13">
    <cfRule type="cellIs" dxfId="6380" priority="135555" stopIfTrue="1" operator="equal">
      <formula>-1</formula>
    </cfRule>
  </conditionalFormatting>
  <conditionalFormatting sqref="Z13">
    <cfRule type="cellIs" dxfId="6379" priority="135556" stopIfTrue="1" operator="lessThan">
      <formula>0.5</formula>
    </cfRule>
  </conditionalFormatting>
  <conditionalFormatting sqref="Z13">
    <cfRule type="cellIs" dxfId="6378" priority="135557" stopIfTrue="1" operator="greaterThanOrEqual">
      <formula>0.5</formula>
    </cfRule>
  </conditionalFormatting>
  <conditionalFormatting sqref="Z14">
    <cfRule type="cellIs" dxfId="6377" priority="135558" stopIfTrue="1" operator="equal">
      <formula>-1</formula>
    </cfRule>
  </conditionalFormatting>
  <conditionalFormatting sqref="Z14">
    <cfRule type="cellIs" dxfId="6376" priority="135559" stopIfTrue="1" operator="lessThan">
      <formula>0.5</formula>
    </cfRule>
  </conditionalFormatting>
  <conditionalFormatting sqref="Z14">
    <cfRule type="cellIs" dxfId="6375" priority="135560" stopIfTrue="1" operator="greaterThanOrEqual">
      <formula>0.5</formula>
    </cfRule>
  </conditionalFormatting>
  <conditionalFormatting sqref="Z15">
    <cfRule type="cellIs" dxfId="6374" priority="135561" stopIfTrue="1" operator="equal">
      <formula>-1</formula>
    </cfRule>
  </conditionalFormatting>
  <conditionalFormatting sqref="Z15">
    <cfRule type="cellIs" dxfId="6373" priority="135562" stopIfTrue="1" operator="lessThan">
      <formula>0.5</formula>
    </cfRule>
  </conditionalFormatting>
  <conditionalFormatting sqref="Z15">
    <cfRule type="cellIs" dxfId="6372" priority="135563" stopIfTrue="1" operator="greaterThanOrEqual">
      <formula>0.5</formula>
    </cfRule>
  </conditionalFormatting>
  <conditionalFormatting sqref="AB8">
    <cfRule type="cellIs" dxfId="6371" priority="135564" stopIfTrue="1" operator="equal">
      <formula>-1</formula>
    </cfRule>
  </conditionalFormatting>
  <conditionalFormatting sqref="AB8">
    <cfRule type="cellIs" dxfId="6370" priority="135565" stopIfTrue="1" operator="lessThan">
      <formula>0.5</formula>
    </cfRule>
  </conditionalFormatting>
  <conditionalFormatting sqref="AB8">
    <cfRule type="cellIs" dxfId="6369" priority="135566" stopIfTrue="1" operator="greaterThanOrEqual">
      <formula>0.5</formula>
    </cfRule>
  </conditionalFormatting>
  <conditionalFormatting sqref="AB9">
    <cfRule type="cellIs" dxfId="6368" priority="135567" stopIfTrue="1" operator="equal">
      <formula>-1</formula>
    </cfRule>
  </conditionalFormatting>
  <conditionalFormatting sqref="AB9">
    <cfRule type="cellIs" dxfId="6367" priority="135568" stopIfTrue="1" operator="lessThan">
      <formula>0.5</formula>
    </cfRule>
  </conditionalFormatting>
  <conditionalFormatting sqref="AB9">
    <cfRule type="cellIs" dxfId="6366" priority="135569" stopIfTrue="1" operator="greaterThanOrEqual">
      <formula>0.5</formula>
    </cfRule>
  </conditionalFormatting>
  <conditionalFormatting sqref="AB10">
    <cfRule type="cellIs" dxfId="6365" priority="135570" stopIfTrue="1" operator="equal">
      <formula>-1</formula>
    </cfRule>
  </conditionalFormatting>
  <conditionalFormatting sqref="AB10">
    <cfRule type="cellIs" dxfId="6364" priority="135571" stopIfTrue="1" operator="lessThan">
      <formula>0.5</formula>
    </cfRule>
  </conditionalFormatting>
  <conditionalFormatting sqref="AB10">
    <cfRule type="cellIs" dxfId="6363" priority="135572" stopIfTrue="1" operator="greaterThanOrEqual">
      <formula>0.5</formula>
    </cfRule>
  </conditionalFormatting>
  <conditionalFormatting sqref="AB11">
    <cfRule type="cellIs" dxfId="6362" priority="135573" stopIfTrue="1" operator="equal">
      <formula>-1</formula>
    </cfRule>
  </conditionalFormatting>
  <conditionalFormatting sqref="AB11">
    <cfRule type="cellIs" dxfId="6361" priority="135574" stopIfTrue="1" operator="lessThan">
      <formula>0.5</formula>
    </cfRule>
  </conditionalFormatting>
  <conditionalFormatting sqref="AB11">
    <cfRule type="cellIs" dxfId="6360" priority="135575" stopIfTrue="1" operator="greaterThanOrEqual">
      <formula>0.5</formula>
    </cfRule>
  </conditionalFormatting>
  <conditionalFormatting sqref="AB12">
    <cfRule type="cellIs" dxfId="6359" priority="135576" stopIfTrue="1" operator="equal">
      <formula>-1</formula>
    </cfRule>
  </conditionalFormatting>
  <conditionalFormatting sqref="AB12">
    <cfRule type="cellIs" dxfId="6358" priority="135577" stopIfTrue="1" operator="lessThan">
      <formula>0.5</formula>
    </cfRule>
  </conditionalFormatting>
  <conditionalFormatting sqref="AB12">
    <cfRule type="cellIs" dxfId="6357" priority="135578" stopIfTrue="1" operator="greaterThanOrEqual">
      <formula>0.5</formula>
    </cfRule>
  </conditionalFormatting>
  <conditionalFormatting sqref="AB13">
    <cfRule type="cellIs" dxfId="6356" priority="135579" stopIfTrue="1" operator="equal">
      <formula>-1</formula>
    </cfRule>
  </conditionalFormatting>
  <conditionalFormatting sqref="AB13">
    <cfRule type="cellIs" dxfId="6355" priority="135580" stopIfTrue="1" operator="lessThan">
      <formula>0.5</formula>
    </cfRule>
  </conditionalFormatting>
  <conditionalFormatting sqref="AB13">
    <cfRule type="cellIs" dxfId="6354" priority="135581" stopIfTrue="1" operator="greaterThanOrEqual">
      <formula>0.5</formula>
    </cfRule>
  </conditionalFormatting>
  <conditionalFormatting sqref="AB14">
    <cfRule type="cellIs" dxfId="6353" priority="135582" stopIfTrue="1" operator="equal">
      <formula>-1</formula>
    </cfRule>
  </conditionalFormatting>
  <conditionalFormatting sqref="AB14">
    <cfRule type="cellIs" dxfId="6352" priority="135583" stopIfTrue="1" operator="lessThan">
      <formula>0.5</formula>
    </cfRule>
  </conditionalFormatting>
  <conditionalFormatting sqref="AB14">
    <cfRule type="cellIs" dxfId="6351" priority="135584" stopIfTrue="1" operator="greaterThanOrEqual">
      <formula>0.5</formula>
    </cfRule>
  </conditionalFormatting>
  <conditionalFormatting sqref="AB15">
    <cfRule type="cellIs" dxfId="6350" priority="135585" stopIfTrue="1" operator="equal">
      <formula>-1</formula>
    </cfRule>
  </conditionalFormatting>
  <conditionalFormatting sqref="AB15">
    <cfRule type="cellIs" dxfId="6349" priority="135586" stopIfTrue="1" operator="lessThan">
      <formula>0.5</formula>
    </cfRule>
  </conditionalFormatting>
  <conditionalFormatting sqref="AB15">
    <cfRule type="cellIs" dxfId="6348" priority="135587" stopIfTrue="1" operator="greaterThanOrEqual">
      <formula>0.5</formula>
    </cfRule>
  </conditionalFormatting>
  <conditionalFormatting sqref="AD8">
    <cfRule type="cellIs" dxfId="6347" priority="135588" stopIfTrue="1" operator="equal">
      <formula>-1</formula>
    </cfRule>
  </conditionalFormatting>
  <conditionalFormatting sqref="AD8">
    <cfRule type="cellIs" dxfId="6346" priority="135589" stopIfTrue="1" operator="lessThan">
      <formula>0.5</formula>
    </cfRule>
  </conditionalFormatting>
  <conditionalFormatting sqref="AD8">
    <cfRule type="cellIs" dxfId="6345" priority="135590" stopIfTrue="1" operator="greaterThanOrEqual">
      <formula>0.5</formula>
    </cfRule>
  </conditionalFormatting>
  <conditionalFormatting sqref="AD9">
    <cfRule type="cellIs" dxfId="6344" priority="135591" stopIfTrue="1" operator="equal">
      <formula>-1</formula>
    </cfRule>
  </conditionalFormatting>
  <conditionalFormatting sqref="AD9">
    <cfRule type="cellIs" dxfId="6343" priority="135592" stopIfTrue="1" operator="lessThan">
      <formula>0.5</formula>
    </cfRule>
  </conditionalFormatting>
  <conditionalFormatting sqref="AD9">
    <cfRule type="cellIs" dxfId="6342" priority="135593" stopIfTrue="1" operator="greaterThanOrEqual">
      <formula>0.5</formula>
    </cfRule>
  </conditionalFormatting>
  <conditionalFormatting sqref="AD10">
    <cfRule type="cellIs" dxfId="6341" priority="135594" stopIfTrue="1" operator="equal">
      <formula>-1</formula>
    </cfRule>
  </conditionalFormatting>
  <conditionalFormatting sqref="AD10">
    <cfRule type="cellIs" dxfId="6340" priority="135595" stopIfTrue="1" operator="lessThan">
      <formula>0.5</formula>
    </cfRule>
  </conditionalFormatting>
  <conditionalFormatting sqref="AD10">
    <cfRule type="cellIs" dxfId="6339" priority="135596" stopIfTrue="1" operator="greaterThanOrEqual">
      <formula>0.5</formula>
    </cfRule>
  </conditionalFormatting>
  <conditionalFormatting sqref="AD11">
    <cfRule type="cellIs" dxfId="6338" priority="135597" stopIfTrue="1" operator="equal">
      <formula>-1</formula>
    </cfRule>
  </conditionalFormatting>
  <conditionalFormatting sqref="AD11">
    <cfRule type="cellIs" dxfId="6337" priority="135598" stopIfTrue="1" operator="lessThan">
      <formula>0.5</formula>
    </cfRule>
  </conditionalFormatting>
  <conditionalFormatting sqref="AD11">
    <cfRule type="cellIs" dxfId="6336" priority="135599" stopIfTrue="1" operator="greaterThanOrEqual">
      <formula>0.5</formula>
    </cfRule>
  </conditionalFormatting>
  <conditionalFormatting sqref="AD12">
    <cfRule type="cellIs" dxfId="6335" priority="135600" stopIfTrue="1" operator="equal">
      <formula>-1</formula>
    </cfRule>
  </conditionalFormatting>
  <conditionalFormatting sqref="AD12">
    <cfRule type="cellIs" dxfId="6334" priority="135601" stopIfTrue="1" operator="lessThan">
      <formula>0.5</formula>
    </cfRule>
  </conditionalFormatting>
  <conditionalFormatting sqref="AD12">
    <cfRule type="cellIs" dxfId="6333" priority="135602" stopIfTrue="1" operator="greaterThanOrEqual">
      <formula>0.5</formula>
    </cfRule>
  </conditionalFormatting>
  <conditionalFormatting sqref="AD13">
    <cfRule type="cellIs" dxfId="6332" priority="135603" stopIfTrue="1" operator="equal">
      <formula>-1</formula>
    </cfRule>
  </conditionalFormatting>
  <conditionalFormatting sqref="AD13">
    <cfRule type="cellIs" dxfId="6331" priority="135604" stopIfTrue="1" operator="lessThan">
      <formula>0.5</formula>
    </cfRule>
  </conditionalFormatting>
  <conditionalFormatting sqref="AD13">
    <cfRule type="cellIs" dxfId="6330" priority="135605" stopIfTrue="1" operator="greaterThanOrEqual">
      <formula>0.5</formula>
    </cfRule>
  </conditionalFormatting>
  <conditionalFormatting sqref="AD14">
    <cfRule type="cellIs" dxfId="6329" priority="135606" stopIfTrue="1" operator="equal">
      <formula>-1</formula>
    </cfRule>
  </conditionalFormatting>
  <conditionalFormatting sqref="AD14">
    <cfRule type="cellIs" dxfId="6328" priority="135607" stopIfTrue="1" operator="lessThan">
      <formula>0.5</formula>
    </cfRule>
  </conditionalFormatting>
  <conditionalFormatting sqref="AD14">
    <cfRule type="cellIs" dxfId="6327" priority="135608" stopIfTrue="1" operator="greaterThanOrEqual">
      <formula>0.5</formula>
    </cfRule>
  </conditionalFormatting>
  <conditionalFormatting sqref="AD15">
    <cfRule type="cellIs" dxfId="6326" priority="135609" stopIfTrue="1" operator="equal">
      <formula>-1</formula>
    </cfRule>
  </conditionalFormatting>
  <conditionalFormatting sqref="AD15">
    <cfRule type="cellIs" dxfId="6325" priority="135610" stopIfTrue="1" operator="lessThan">
      <formula>0.5</formula>
    </cfRule>
  </conditionalFormatting>
  <conditionalFormatting sqref="AD15">
    <cfRule type="cellIs" dxfId="6324" priority="135611" stopIfTrue="1" operator="greaterThanOrEqual">
      <formula>0.5</formula>
    </cfRule>
  </conditionalFormatting>
  <conditionalFormatting sqref="AF8">
    <cfRule type="cellIs" dxfId="6323" priority="135612" stopIfTrue="1" operator="equal">
      <formula>-1</formula>
    </cfRule>
  </conditionalFormatting>
  <conditionalFormatting sqref="AF8">
    <cfRule type="cellIs" dxfId="6322" priority="135613" stopIfTrue="1" operator="lessThan">
      <formula>0.5</formula>
    </cfRule>
  </conditionalFormatting>
  <conditionalFormatting sqref="AF8">
    <cfRule type="cellIs" dxfId="6321" priority="135614" stopIfTrue="1" operator="greaterThanOrEqual">
      <formula>0.5</formula>
    </cfRule>
  </conditionalFormatting>
  <conditionalFormatting sqref="AF9">
    <cfRule type="cellIs" dxfId="6320" priority="135615" stopIfTrue="1" operator="equal">
      <formula>-1</formula>
    </cfRule>
  </conditionalFormatting>
  <conditionalFormatting sqref="AF9">
    <cfRule type="cellIs" dxfId="6319" priority="135616" stopIfTrue="1" operator="lessThan">
      <formula>0.5</formula>
    </cfRule>
  </conditionalFormatting>
  <conditionalFormatting sqref="AF9">
    <cfRule type="cellIs" dxfId="6318" priority="135617" stopIfTrue="1" operator="greaterThanOrEqual">
      <formula>0.5</formula>
    </cfRule>
  </conditionalFormatting>
  <conditionalFormatting sqref="AF10">
    <cfRule type="cellIs" dxfId="6317" priority="135618" stopIfTrue="1" operator="equal">
      <formula>-1</formula>
    </cfRule>
  </conditionalFormatting>
  <conditionalFormatting sqref="AF10">
    <cfRule type="cellIs" dxfId="6316" priority="135619" stopIfTrue="1" operator="lessThan">
      <formula>0.5</formula>
    </cfRule>
  </conditionalFormatting>
  <conditionalFormatting sqref="AF10">
    <cfRule type="cellIs" dxfId="6315" priority="135620" stopIfTrue="1" operator="greaterThanOrEqual">
      <formula>0.5</formula>
    </cfRule>
  </conditionalFormatting>
  <conditionalFormatting sqref="AF11">
    <cfRule type="cellIs" dxfId="6314" priority="135621" stopIfTrue="1" operator="equal">
      <formula>-1</formula>
    </cfRule>
  </conditionalFormatting>
  <conditionalFormatting sqref="AF11">
    <cfRule type="cellIs" dxfId="6313" priority="135622" stopIfTrue="1" operator="lessThan">
      <formula>0.5</formula>
    </cfRule>
  </conditionalFormatting>
  <conditionalFormatting sqref="AF11">
    <cfRule type="cellIs" dxfId="6312" priority="135623" stopIfTrue="1" operator="greaterThanOrEqual">
      <formula>0.5</formula>
    </cfRule>
  </conditionalFormatting>
  <conditionalFormatting sqref="AF12">
    <cfRule type="cellIs" dxfId="6311" priority="135624" stopIfTrue="1" operator="equal">
      <formula>-1</formula>
    </cfRule>
  </conditionalFormatting>
  <conditionalFormatting sqref="AF12">
    <cfRule type="cellIs" dxfId="6310" priority="135625" stopIfTrue="1" operator="lessThan">
      <formula>0.5</formula>
    </cfRule>
  </conditionalFormatting>
  <conditionalFormatting sqref="AF12">
    <cfRule type="cellIs" dxfId="6309" priority="135626" stopIfTrue="1" operator="greaterThanOrEqual">
      <formula>0.5</formula>
    </cfRule>
  </conditionalFormatting>
  <conditionalFormatting sqref="AF13">
    <cfRule type="cellIs" dxfId="6308" priority="135627" stopIfTrue="1" operator="equal">
      <formula>-1</formula>
    </cfRule>
  </conditionalFormatting>
  <conditionalFormatting sqref="AF13">
    <cfRule type="cellIs" dxfId="6307" priority="135628" stopIfTrue="1" operator="lessThan">
      <formula>0.5</formula>
    </cfRule>
  </conditionalFormatting>
  <conditionalFormatting sqref="AF13">
    <cfRule type="cellIs" dxfId="6306" priority="135629" stopIfTrue="1" operator="greaterThanOrEqual">
      <formula>0.5</formula>
    </cfRule>
  </conditionalFormatting>
  <conditionalFormatting sqref="AF14">
    <cfRule type="cellIs" dxfId="6305" priority="135630" stopIfTrue="1" operator="equal">
      <formula>-1</formula>
    </cfRule>
  </conditionalFormatting>
  <conditionalFormatting sqref="AF14">
    <cfRule type="cellIs" dxfId="6304" priority="135631" stopIfTrue="1" operator="lessThan">
      <formula>0.5</formula>
    </cfRule>
  </conditionalFormatting>
  <conditionalFormatting sqref="AF14">
    <cfRule type="cellIs" dxfId="6303" priority="135632" stopIfTrue="1" operator="greaterThanOrEqual">
      <formula>0.5</formula>
    </cfRule>
  </conditionalFormatting>
  <conditionalFormatting sqref="AF15">
    <cfRule type="cellIs" dxfId="6302" priority="135633" stopIfTrue="1" operator="equal">
      <formula>-1</formula>
    </cfRule>
  </conditionalFormatting>
  <conditionalFormatting sqref="AF15">
    <cfRule type="cellIs" dxfId="6301" priority="135634" stopIfTrue="1" operator="lessThan">
      <formula>0.5</formula>
    </cfRule>
  </conditionalFormatting>
  <conditionalFormatting sqref="AF15">
    <cfRule type="cellIs" dxfId="6300" priority="135635" stopIfTrue="1" operator="greaterThanOrEqual">
      <formula>0.5</formula>
    </cfRule>
  </conditionalFormatting>
  <conditionalFormatting sqref="AH8">
    <cfRule type="cellIs" dxfId="6299" priority="135636" stopIfTrue="1" operator="equal">
      <formula>-1</formula>
    </cfRule>
  </conditionalFormatting>
  <conditionalFormatting sqref="AH8">
    <cfRule type="cellIs" dxfId="6298" priority="135637" stopIfTrue="1" operator="lessThan">
      <formula>0.5</formula>
    </cfRule>
  </conditionalFormatting>
  <conditionalFormatting sqref="AH8">
    <cfRule type="cellIs" dxfId="6297" priority="135638" stopIfTrue="1" operator="greaterThanOrEqual">
      <formula>0.5</formula>
    </cfRule>
  </conditionalFormatting>
  <conditionalFormatting sqref="AH9">
    <cfRule type="cellIs" dxfId="6296" priority="135639" stopIfTrue="1" operator="equal">
      <formula>-1</formula>
    </cfRule>
  </conditionalFormatting>
  <conditionalFormatting sqref="AH9">
    <cfRule type="cellIs" dxfId="6295" priority="135640" stopIfTrue="1" operator="lessThan">
      <formula>0.5</formula>
    </cfRule>
  </conditionalFormatting>
  <conditionalFormatting sqref="AH9">
    <cfRule type="cellIs" dxfId="6294" priority="135641" stopIfTrue="1" operator="greaterThanOrEqual">
      <formula>0.5</formula>
    </cfRule>
  </conditionalFormatting>
  <conditionalFormatting sqref="AH10">
    <cfRule type="cellIs" dxfId="6293" priority="135642" stopIfTrue="1" operator="equal">
      <formula>-1</formula>
    </cfRule>
  </conditionalFormatting>
  <conditionalFormatting sqref="AH10">
    <cfRule type="cellIs" dxfId="6292" priority="135643" stopIfTrue="1" operator="lessThan">
      <formula>0.5</formula>
    </cfRule>
  </conditionalFormatting>
  <conditionalFormatting sqref="AH10">
    <cfRule type="cellIs" dxfId="6291" priority="135644" stopIfTrue="1" operator="greaterThanOrEqual">
      <formula>0.5</formula>
    </cfRule>
  </conditionalFormatting>
  <conditionalFormatting sqref="AH11">
    <cfRule type="cellIs" dxfId="6290" priority="135645" stopIfTrue="1" operator="equal">
      <formula>-1</formula>
    </cfRule>
  </conditionalFormatting>
  <conditionalFormatting sqref="AH11">
    <cfRule type="cellIs" dxfId="6289" priority="135646" stopIfTrue="1" operator="lessThan">
      <formula>0.5</formula>
    </cfRule>
  </conditionalFormatting>
  <conditionalFormatting sqref="AH11">
    <cfRule type="cellIs" dxfId="6288" priority="135647" stopIfTrue="1" operator="greaterThanOrEqual">
      <formula>0.5</formula>
    </cfRule>
  </conditionalFormatting>
  <conditionalFormatting sqref="AH12">
    <cfRule type="cellIs" dxfId="6287" priority="135648" stopIfTrue="1" operator="equal">
      <formula>-1</formula>
    </cfRule>
  </conditionalFormatting>
  <conditionalFormatting sqref="AH12">
    <cfRule type="cellIs" dxfId="6286" priority="135649" stopIfTrue="1" operator="lessThan">
      <formula>0.5</formula>
    </cfRule>
  </conditionalFormatting>
  <conditionalFormatting sqref="AH12">
    <cfRule type="cellIs" dxfId="6285" priority="135650" stopIfTrue="1" operator="greaterThanOrEqual">
      <formula>0.5</formula>
    </cfRule>
  </conditionalFormatting>
  <conditionalFormatting sqref="AH13">
    <cfRule type="cellIs" dxfId="6284" priority="135651" stopIfTrue="1" operator="equal">
      <formula>-1</formula>
    </cfRule>
  </conditionalFormatting>
  <conditionalFormatting sqref="AH13">
    <cfRule type="cellIs" dxfId="6283" priority="135652" stopIfTrue="1" operator="lessThan">
      <formula>0.5</formula>
    </cfRule>
  </conditionalFormatting>
  <conditionalFormatting sqref="AH13">
    <cfRule type="cellIs" dxfId="6282" priority="135653" stopIfTrue="1" operator="greaterThanOrEqual">
      <formula>0.5</formula>
    </cfRule>
  </conditionalFormatting>
  <conditionalFormatting sqref="AH14">
    <cfRule type="cellIs" dxfId="6281" priority="135654" stopIfTrue="1" operator="equal">
      <formula>-1</formula>
    </cfRule>
  </conditionalFormatting>
  <conditionalFormatting sqref="AH14">
    <cfRule type="cellIs" dxfId="6280" priority="135655" stopIfTrue="1" operator="lessThan">
      <formula>0.5</formula>
    </cfRule>
  </conditionalFormatting>
  <conditionalFormatting sqref="AH14">
    <cfRule type="cellIs" dxfId="6279" priority="135656" stopIfTrue="1" operator="greaterThanOrEqual">
      <formula>0.5</formula>
    </cfRule>
  </conditionalFormatting>
  <conditionalFormatting sqref="AH15">
    <cfRule type="cellIs" dxfId="6278" priority="135657" stopIfTrue="1" operator="equal">
      <formula>-1</formula>
    </cfRule>
  </conditionalFormatting>
  <conditionalFormatting sqref="AH15">
    <cfRule type="cellIs" dxfId="6277" priority="135658" stopIfTrue="1" operator="lessThan">
      <formula>0.5</formula>
    </cfRule>
  </conditionalFormatting>
  <conditionalFormatting sqref="AH15">
    <cfRule type="cellIs" dxfId="6276" priority="135659" stopIfTrue="1" operator="greaterThanOrEqual">
      <formula>0.5</formula>
    </cfRule>
  </conditionalFormatting>
  <conditionalFormatting sqref="AJ8">
    <cfRule type="cellIs" dxfId="6275" priority="135660" stopIfTrue="1" operator="equal">
      <formula>-1</formula>
    </cfRule>
  </conditionalFormatting>
  <conditionalFormatting sqref="AJ8">
    <cfRule type="cellIs" dxfId="6274" priority="135661" stopIfTrue="1" operator="lessThan">
      <formula>0.5</formula>
    </cfRule>
  </conditionalFormatting>
  <conditionalFormatting sqref="AJ8">
    <cfRule type="cellIs" dxfId="6273" priority="135662" stopIfTrue="1" operator="greaterThanOrEqual">
      <formula>0.5</formula>
    </cfRule>
  </conditionalFormatting>
  <conditionalFormatting sqref="AJ9">
    <cfRule type="cellIs" dxfId="6272" priority="135663" stopIfTrue="1" operator="equal">
      <formula>-1</formula>
    </cfRule>
  </conditionalFormatting>
  <conditionalFormatting sqref="AJ9">
    <cfRule type="cellIs" dxfId="6271" priority="135664" stopIfTrue="1" operator="lessThan">
      <formula>0.5</formula>
    </cfRule>
  </conditionalFormatting>
  <conditionalFormatting sqref="AJ9">
    <cfRule type="cellIs" dxfId="6270" priority="135665" stopIfTrue="1" operator="greaterThanOrEqual">
      <formula>0.5</formula>
    </cfRule>
  </conditionalFormatting>
  <conditionalFormatting sqref="AJ10">
    <cfRule type="cellIs" dxfId="6269" priority="135666" stopIfTrue="1" operator="equal">
      <formula>-1</formula>
    </cfRule>
  </conditionalFormatting>
  <conditionalFormatting sqref="AJ10">
    <cfRule type="cellIs" dxfId="6268" priority="135667" stopIfTrue="1" operator="lessThan">
      <formula>0.5</formula>
    </cfRule>
  </conditionalFormatting>
  <conditionalFormatting sqref="AJ10">
    <cfRule type="cellIs" dxfId="6267" priority="135668" stopIfTrue="1" operator="greaterThanOrEqual">
      <formula>0.5</formula>
    </cfRule>
  </conditionalFormatting>
  <conditionalFormatting sqref="AJ11">
    <cfRule type="cellIs" dxfId="6266" priority="135669" stopIfTrue="1" operator="equal">
      <formula>-1</formula>
    </cfRule>
  </conditionalFormatting>
  <conditionalFormatting sqref="AJ11">
    <cfRule type="cellIs" dxfId="6265" priority="135670" stopIfTrue="1" operator="lessThan">
      <formula>0.5</formula>
    </cfRule>
  </conditionalFormatting>
  <conditionalFormatting sqref="AJ11">
    <cfRule type="cellIs" dxfId="6264" priority="135671" stopIfTrue="1" operator="greaterThanOrEqual">
      <formula>0.5</formula>
    </cfRule>
  </conditionalFormatting>
  <conditionalFormatting sqref="AJ12">
    <cfRule type="cellIs" dxfId="6263" priority="135672" stopIfTrue="1" operator="equal">
      <formula>-1</formula>
    </cfRule>
  </conditionalFormatting>
  <conditionalFormatting sqref="AJ12">
    <cfRule type="cellIs" dxfId="6262" priority="135673" stopIfTrue="1" operator="lessThan">
      <formula>0.5</formula>
    </cfRule>
  </conditionalFormatting>
  <conditionalFormatting sqref="AJ12">
    <cfRule type="cellIs" dxfId="6261" priority="135674" stopIfTrue="1" operator="greaterThanOrEqual">
      <formula>0.5</formula>
    </cfRule>
  </conditionalFormatting>
  <conditionalFormatting sqref="AJ13">
    <cfRule type="cellIs" dxfId="6260" priority="135675" stopIfTrue="1" operator="equal">
      <formula>-1</formula>
    </cfRule>
  </conditionalFormatting>
  <conditionalFormatting sqref="AJ13">
    <cfRule type="cellIs" dxfId="6259" priority="135676" stopIfTrue="1" operator="lessThan">
      <formula>0.5</formula>
    </cfRule>
  </conditionalFormatting>
  <conditionalFormatting sqref="AJ13">
    <cfRule type="cellIs" dxfId="6258" priority="135677" stopIfTrue="1" operator="greaterThanOrEqual">
      <formula>0.5</formula>
    </cfRule>
  </conditionalFormatting>
  <conditionalFormatting sqref="AJ14">
    <cfRule type="cellIs" dxfId="6257" priority="135678" stopIfTrue="1" operator="equal">
      <formula>-1</formula>
    </cfRule>
  </conditionalFormatting>
  <conditionalFormatting sqref="AJ14">
    <cfRule type="cellIs" dxfId="6256" priority="135679" stopIfTrue="1" operator="lessThan">
      <formula>0.5</formula>
    </cfRule>
  </conditionalFormatting>
  <conditionalFormatting sqref="AJ14">
    <cfRule type="cellIs" dxfId="6255" priority="135680" stopIfTrue="1" operator="greaterThanOrEqual">
      <formula>0.5</formula>
    </cfRule>
  </conditionalFormatting>
  <conditionalFormatting sqref="AJ15">
    <cfRule type="cellIs" dxfId="6254" priority="135681" stopIfTrue="1" operator="equal">
      <formula>-1</formula>
    </cfRule>
  </conditionalFormatting>
  <conditionalFormatting sqref="AJ15">
    <cfRule type="cellIs" dxfId="6253" priority="135682" stopIfTrue="1" operator="lessThan">
      <formula>0.5</formula>
    </cfRule>
  </conditionalFormatting>
  <conditionalFormatting sqref="AJ15">
    <cfRule type="cellIs" dxfId="6252" priority="135683" stopIfTrue="1" operator="greaterThanOrEqual">
      <formula>0.5</formula>
    </cfRule>
  </conditionalFormatting>
  <conditionalFormatting sqref="AL8">
    <cfRule type="cellIs" dxfId="6251" priority="135684" stopIfTrue="1" operator="equal">
      <formula>-1</formula>
    </cfRule>
  </conditionalFormatting>
  <conditionalFormatting sqref="AL8">
    <cfRule type="cellIs" dxfId="6250" priority="135685" stopIfTrue="1" operator="lessThan">
      <formula>0.5</formula>
    </cfRule>
  </conditionalFormatting>
  <conditionalFormatting sqref="AL8">
    <cfRule type="cellIs" dxfId="6249" priority="135686" stopIfTrue="1" operator="greaterThanOrEqual">
      <formula>0.5</formula>
    </cfRule>
  </conditionalFormatting>
  <conditionalFormatting sqref="AL9">
    <cfRule type="cellIs" dxfId="6248" priority="135687" stopIfTrue="1" operator="equal">
      <formula>-1</formula>
    </cfRule>
  </conditionalFormatting>
  <conditionalFormatting sqref="AL9">
    <cfRule type="cellIs" dxfId="6247" priority="135688" stopIfTrue="1" operator="lessThan">
      <formula>0.5</formula>
    </cfRule>
  </conditionalFormatting>
  <conditionalFormatting sqref="AL9">
    <cfRule type="cellIs" dxfId="6246" priority="135689" stopIfTrue="1" operator="greaterThanOrEqual">
      <formula>0.5</formula>
    </cfRule>
  </conditionalFormatting>
  <conditionalFormatting sqref="AL10">
    <cfRule type="cellIs" dxfId="6245" priority="135690" stopIfTrue="1" operator="equal">
      <formula>-1</formula>
    </cfRule>
  </conditionalFormatting>
  <conditionalFormatting sqref="AL10">
    <cfRule type="cellIs" dxfId="6244" priority="135691" stopIfTrue="1" operator="lessThan">
      <formula>0.5</formula>
    </cfRule>
  </conditionalFormatting>
  <conditionalFormatting sqref="AL10">
    <cfRule type="cellIs" dxfId="6243" priority="135692" stopIfTrue="1" operator="greaterThanOrEqual">
      <formula>0.5</formula>
    </cfRule>
  </conditionalFormatting>
  <conditionalFormatting sqref="AL11">
    <cfRule type="cellIs" dxfId="6242" priority="135693" stopIfTrue="1" operator="equal">
      <formula>-1</formula>
    </cfRule>
  </conditionalFormatting>
  <conditionalFormatting sqref="AL11">
    <cfRule type="cellIs" dxfId="6241" priority="135694" stopIfTrue="1" operator="lessThan">
      <formula>0.5</formula>
    </cfRule>
  </conditionalFormatting>
  <conditionalFormatting sqref="AL11">
    <cfRule type="cellIs" dxfId="6240" priority="135695" stopIfTrue="1" operator="greaterThanOrEqual">
      <formula>0.5</formula>
    </cfRule>
  </conditionalFormatting>
  <conditionalFormatting sqref="AL12">
    <cfRule type="cellIs" dxfId="6239" priority="135696" stopIfTrue="1" operator="equal">
      <formula>-1</formula>
    </cfRule>
  </conditionalFormatting>
  <conditionalFormatting sqref="AL12">
    <cfRule type="cellIs" dxfId="6238" priority="135697" stopIfTrue="1" operator="lessThan">
      <formula>0.5</formula>
    </cfRule>
  </conditionalFormatting>
  <conditionalFormatting sqref="AL12">
    <cfRule type="cellIs" dxfId="6237" priority="135698" stopIfTrue="1" operator="greaterThanOrEqual">
      <formula>0.5</formula>
    </cfRule>
  </conditionalFormatting>
  <conditionalFormatting sqref="AL13">
    <cfRule type="cellIs" dxfId="6236" priority="135699" stopIfTrue="1" operator="equal">
      <formula>-1</formula>
    </cfRule>
  </conditionalFormatting>
  <conditionalFormatting sqref="AL13">
    <cfRule type="cellIs" dxfId="6235" priority="135700" stopIfTrue="1" operator="lessThan">
      <formula>0.5</formula>
    </cfRule>
  </conditionalFormatting>
  <conditionalFormatting sqref="AL13">
    <cfRule type="cellIs" dxfId="6234" priority="135701" stopIfTrue="1" operator="greaterThanOrEqual">
      <formula>0.5</formula>
    </cfRule>
  </conditionalFormatting>
  <conditionalFormatting sqref="AL14">
    <cfRule type="cellIs" dxfId="6233" priority="135702" stopIfTrue="1" operator="equal">
      <formula>-1</formula>
    </cfRule>
  </conditionalFormatting>
  <conditionalFormatting sqref="AL14">
    <cfRule type="cellIs" dxfId="6232" priority="135703" stopIfTrue="1" operator="lessThan">
      <formula>0.5</formula>
    </cfRule>
  </conditionalFormatting>
  <conditionalFormatting sqref="AL14">
    <cfRule type="cellIs" dxfId="6231" priority="135704" stopIfTrue="1" operator="greaterThanOrEqual">
      <formula>0.5</formula>
    </cfRule>
  </conditionalFormatting>
  <conditionalFormatting sqref="AL15">
    <cfRule type="cellIs" dxfId="6230" priority="135705" stopIfTrue="1" operator="equal">
      <formula>-1</formula>
    </cfRule>
  </conditionalFormatting>
  <conditionalFormatting sqref="AL15">
    <cfRule type="cellIs" dxfId="6229" priority="135706" stopIfTrue="1" operator="lessThan">
      <formula>0.5</formula>
    </cfRule>
  </conditionalFormatting>
  <conditionalFormatting sqref="AL15">
    <cfRule type="cellIs" dxfId="6228" priority="135707" stopIfTrue="1" operator="greaterThanOrEqual">
      <formula>0.5</formula>
    </cfRule>
  </conditionalFormatting>
  <conditionalFormatting sqref="AN8">
    <cfRule type="cellIs" dxfId="6227" priority="135708" stopIfTrue="1" operator="equal">
      <formula>-1</formula>
    </cfRule>
  </conditionalFormatting>
  <conditionalFormatting sqref="AN8">
    <cfRule type="cellIs" dxfId="6226" priority="135709" stopIfTrue="1" operator="lessThan">
      <formula>0.5</formula>
    </cfRule>
  </conditionalFormatting>
  <conditionalFormatting sqref="AN8">
    <cfRule type="cellIs" dxfId="6225" priority="135710" stopIfTrue="1" operator="greaterThanOrEqual">
      <formula>0.5</formula>
    </cfRule>
  </conditionalFormatting>
  <conditionalFormatting sqref="AN9">
    <cfRule type="cellIs" dxfId="6224" priority="135711" stopIfTrue="1" operator="equal">
      <formula>-1</formula>
    </cfRule>
  </conditionalFormatting>
  <conditionalFormatting sqref="AN9">
    <cfRule type="cellIs" dxfId="6223" priority="135712" stopIfTrue="1" operator="lessThan">
      <formula>0.5</formula>
    </cfRule>
  </conditionalFormatting>
  <conditionalFormatting sqref="AN9">
    <cfRule type="cellIs" dxfId="6222" priority="135713" stopIfTrue="1" operator="greaterThanOrEqual">
      <formula>0.5</formula>
    </cfRule>
  </conditionalFormatting>
  <conditionalFormatting sqref="AN10">
    <cfRule type="cellIs" dxfId="6221" priority="135714" stopIfTrue="1" operator="equal">
      <formula>-1</formula>
    </cfRule>
  </conditionalFormatting>
  <conditionalFormatting sqref="AN10">
    <cfRule type="cellIs" dxfId="6220" priority="135715" stopIfTrue="1" operator="lessThan">
      <formula>0.5</formula>
    </cfRule>
  </conditionalFormatting>
  <conditionalFormatting sqref="AN10">
    <cfRule type="cellIs" dxfId="6219" priority="135716" stopIfTrue="1" operator="greaterThanOrEqual">
      <formula>0.5</formula>
    </cfRule>
  </conditionalFormatting>
  <conditionalFormatting sqref="AN11">
    <cfRule type="cellIs" dxfId="6218" priority="135717" stopIfTrue="1" operator="equal">
      <formula>-1</formula>
    </cfRule>
  </conditionalFormatting>
  <conditionalFormatting sqref="AN11">
    <cfRule type="cellIs" dxfId="6217" priority="135718" stopIfTrue="1" operator="lessThan">
      <formula>0.5</formula>
    </cfRule>
  </conditionalFormatting>
  <conditionalFormatting sqref="AN11">
    <cfRule type="cellIs" dxfId="6216" priority="135719" stopIfTrue="1" operator="greaterThanOrEqual">
      <formula>0.5</formula>
    </cfRule>
  </conditionalFormatting>
  <conditionalFormatting sqref="AN12">
    <cfRule type="cellIs" dxfId="6215" priority="135720" stopIfTrue="1" operator="equal">
      <formula>-1</formula>
    </cfRule>
  </conditionalFormatting>
  <conditionalFormatting sqref="AN12">
    <cfRule type="cellIs" dxfId="6214" priority="135721" stopIfTrue="1" operator="lessThan">
      <formula>0.5</formula>
    </cfRule>
  </conditionalFormatting>
  <conditionalFormatting sqref="AN12">
    <cfRule type="cellIs" dxfId="6213" priority="135722" stopIfTrue="1" operator="greaterThanOrEqual">
      <formula>0.5</formula>
    </cfRule>
  </conditionalFormatting>
  <conditionalFormatting sqref="AN13">
    <cfRule type="cellIs" dxfId="6212" priority="135723" stopIfTrue="1" operator="equal">
      <formula>-1</formula>
    </cfRule>
  </conditionalFormatting>
  <conditionalFormatting sqref="AN13">
    <cfRule type="cellIs" dxfId="6211" priority="135724" stopIfTrue="1" operator="lessThan">
      <formula>0.5</formula>
    </cfRule>
  </conditionalFormatting>
  <conditionalFormatting sqref="AN13">
    <cfRule type="cellIs" dxfId="6210" priority="135725" stopIfTrue="1" operator="greaterThanOrEqual">
      <formula>0.5</formula>
    </cfRule>
  </conditionalFormatting>
  <conditionalFormatting sqref="AN14">
    <cfRule type="cellIs" dxfId="6209" priority="135726" stopIfTrue="1" operator="equal">
      <formula>-1</formula>
    </cfRule>
  </conditionalFormatting>
  <conditionalFormatting sqref="AN14">
    <cfRule type="cellIs" dxfId="6208" priority="135727" stopIfTrue="1" operator="lessThan">
      <formula>0.5</formula>
    </cfRule>
  </conditionalFormatting>
  <conditionalFormatting sqref="AN14">
    <cfRule type="cellIs" dxfId="6207" priority="135728" stopIfTrue="1" operator="greaterThanOrEqual">
      <formula>0.5</formula>
    </cfRule>
  </conditionalFormatting>
  <conditionalFormatting sqref="AN15">
    <cfRule type="cellIs" dxfId="6206" priority="135729" stopIfTrue="1" operator="equal">
      <formula>-1</formula>
    </cfRule>
  </conditionalFormatting>
  <conditionalFormatting sqref="AN15">
    <cfRule type="cellIs" dxfId="6205" priority="135730" stopIfTrue="1" operator="lessThan">
      <formula>0.5</formula>
    </cfRule>
  </conditionalFormatting>
  <conditionalFormatting sqref="AN15">
    <cfRule type="cellIs" dxfId="6204" priority="135731" stopIfTrue="1" operator="greaterThanOrEqual">
      <formula>0.5</formula>
    </cfRule>
  </conditionalFormatting>
  <conditionalFormatting sqref="AP8">
    <cfRule type="cellIs" dxfId="6203" priority="135732" stopIfTrue="1" operator="equal">
      <formula>-1</formula>
    </cfRule>
  </conditionalFormatting>
  <conditionalFormatting sqref="AP8">
    <cfRule type="cellIs" dxfId="6202" priority="135733" stopIfTrue="1" operator="lessThan">
      <formula>0.5</formula>
    </cfRule>
  </conditionalFormatting>
  <conditionalFormatting sqref="AP8">
    <cfRule type="cellIs" dxfId="6201" priority="135734" stopIfTrue="1" operator="greaterThanOrEqual">
      <formula>0.5</formula>
    </cfRule>
  </conditionalFormatting>
  <conditionalFormatting sqref="AP9">
    <cfRule type="cellIs" dxfId="6200" priority="135735" stopIfTrue="1" operator="equal">
      <formula>-1</formula>
    </cfRule>
  </conditionalFormatting>
  <conditionalFormatting sqref="AP9">
    <cfRule type="cellIs" dxfId="6199" priority="135736" stopIfTrue="1" operator="lessThan">
      <formula>0.5</formula>
    </cfRule>
  </conditionalFormatting>
  <conditionalFormatting sqref="AP9">
    <cfRule type="cellIs" dxfId="6198" priority="135737" stopIfTrue="1" operator="greaterThanOrEqual">
      <formula>0.5</formula>
    </cfRule>
  </conditionalFormatting>
  <conditionalFormatting sqref="AP10">
    <cfRule type="cellIs" dxfId="6197" priority="135738" stopIfTrue="1" operator="equal">
      <formula>-1</formula>
    </cfRule>
  </conditionalFormatting>
  <conditionalFormatting sqref="AP10">
    <cfRule type="cellIs" dxfId="6196" priority="135739" stopIfTrue="1" operator="lessThan">
      <formula>0.5</formula>
    </cfRule>
  </conditionalFormatting>
  <conditionalFormatting sqref="AP10">
    <cfRule type="cellIs" dxfId="6195" priority="135740" stopIfTrue="1" operator="greaterThanOrEqual">
      <formula>0.5</formula>
    </cfRule>
  </conditionalFormatting>
  <conditionalFormatting sqref="AP11">
    <cfRule type="cellIs" dxfId="6194" priority="135741" stopIfTrue="1" operator="equal">
      <formula>-1</formula>
    </cfRule>
  </conditionalFormatting>
  <conditionalFormatting sqref="AP11">
    <cfRule type="cellIs" dxfId="6193" priority="135742" stopIfTrue="1" operator="lessThan">
      <formula>0.5</formula>
    </cfRule>
  </conditionalFormatting>
  <conditionalFormatting sqref="AP11">
    <cfRule type="cellIs" dxfId="6192" priority="135743" stopIfTrue="1" operator="greaterThanOrEqual">
      <formula>0.5</formula>
    </cfRule>
  </conditionalFormatting>
  <conditionalFormatting sqref="AP12">
    <cfRule type="cellIs" dxfId="6191" priority="135744" stopIfTrue="1" operator="equal">
      <formula>-1</formula>
    </cfRule>
  </conditionalFormatting>
  <conditionalFormatting sqref="AP12">
    <cfRule type="cellIs" dxfId="6190" priority="135745" stopIfTrue="1" operator="lessThan">
      <formula>0.5</formula>
    </cfRule>
  </conditionalFormatting>
  <conditionalFormatting sqref="AP12">
    <cfRule type="cellIs" dxfId="6189" priority="135746" stopIfTrue="1" operator="greaterThanOrEqual">
      <formula>0.5</formula>
    </cfRule>
  </conditionalFormatting>
  <conditionalFormatting sqref="AP13">
    <cfRule type="cellIs" dxfId="6188" priority="135747" stopIfTrue="1" operator="equal">
      <formula>-1</formula>
    </cfRule>
  </conditionalFormatting>
  <conditionalFormatting sqref="AP13">
    <cfRule type="cellIs" dxfId="6187" priority="135748" stopIfTrue="1" operator="lessThan">
      <formula>0.5</formula>
    </cfRule>
  </conditionalFormatting>
  <conditionalFormatting sqref="AP13">
    <cfRule type="cellIs" dxfId="6186" priority="135749" stopIfTrue="1" operator="greaterThanOrEqual">
      <formula>0.5</formula>
    </cfRule>
  </conditionalFormatting>
  <conditionalFormatting sqref="AP14">
    <cfRule type="cellIs" dxfId="6185" priority="135750" stopIfTrue="1" operator="equal">
      <formula>-1</formula>
    </cfRule>
  </conditionalFormatting>
  <conditionalFormatting sqref="AP14">
    <cfRule type="cellIs" dxfId="6184" priority="135751" stopIfTrue="1" operator="lessThan">
      <formula>0.5</formula>
    </cfRule>
  </conditionalFormatting>
  <conditionalFormatting sqref="AP14">
    <cfRule type="cellIs" dxfId="6183" priority="135752" stopIfTrue="1" operator="greaterThanOrEqual">
      <formula>0.5</formula>
    </cfRule>
  </conditionalFormatting>
  <conditionalFormatting sqref="AP15">
    <cfRule type="cellIs" dxfId="6182" priority="135753" stopIfTrue="1" operator="equal">
      <formula>-1</formula>
    </cfRule>
  </conditionalFormatting>
  <conditionalFormatting sqref="AP15">
    <cfRule type="cellIs" dxfId="6181" priority="135754" stopIfTrue="1" operator="lessThan">
      <formula>0.5</formula>
    </cfRule>
  </conditionalFormatting>
  <conditionalFormatting sqref="AP15">
    <cfRule type="cellIs" dxfId="6180" priority="135755" stopIfTrue="1" operator="greaterThanOrEqual">
      <formula>0.5</formula>
    </cfRule>
  </conditionalFormatting>
  <conditionalFormatting sqref="AR8">
    <cfRule type="cellIs" dxfId="6179" priority="135756" stopIfTrue="1" operator="equal">
      <formula>-1</formula>
    </cfRule>
  </conditionalFormatting>
  <conditionalFormatting sqref="AR8">
    <cfRule type="cellIs" dxfId="6178" priority="135757" stopIfTrue="1" operator="lessThan">
      <formula>0.5</formula>
    </cfRule>
  </conditionalFormatting>
  <conditionalFormatting sqref="AR8">
    <cfRule type="cellIs" dxfId="6177" priority="135758" stopIfTrue="1" operator="greaterThanOrEqual">
      <formula>0.5</formula>
    </cfRule>
  </conditionalFormatting>
  <conditionalFormatting sqref="AR9">
    <cfRule type="cellIs" dxfId="6176" priority="135759" stopIfTrue="1" operator="equal">
      <formula>-1</formula>
    </cfRule>
  </conditionalFormatting>
  <conditionalFormatting sqref="AR9">
    <cfRule type="cellIs" dxfId="6175" priority="135760" stopIfTrue="1" operator="lessThan">
      <formula>0.5</formula>
    </cfRule>
  </conditionalFormatting>
  <conditionalFormatting sqref="AR9">
    <cfRule type="cellIs" dxfId="6174" priority="135761" stopIfTrue="1" operator="greaterThanOrEqual">
      <formula>0.5</formula>
    </cfRule>
  </conditionalFormatting>
  <conditionalFormatting sqref="AR10">
    <cfRule type="cellIs" dxfId="6173" priority="135762" stopIfTrue="1" operator="equal">
      <formula>-1</formula>
    </cfRule>
  </conditionalFormatting>
  <conditionalFormatting sqref="AR10">
    <cfRule type="cellIs" dxfId="6172" priority="135763" stopIfTrue="1" operator="lessThan">
      <formula>0.5</formula>
    </cfRule>
  </conditionalFormatting>
  <conditionalFormatting sqref="AR10">
    <cfRule type="cellIs" dxfId="6171" priority="135764" stopIfTrue="1" operator="greaterThanOrEqual">
      <formula>0.5</formula>
    </cfRule>
  </conditionalFormatting>
  <conditionalFormatting sqref="AR11">
    <cfRule type="cellIs" dxfId="6170" priority="135765" stopIfTrue="1" operator="equal">
      <formula>-1</formula>
    </cfRule>
  </conditionalFormatting>
  <conditionalFormatting sqref="AR11">
    <cfRule type="cellIs" dxfId="6169" priority="135766" stopIfTrue="1" operator="lessThan">
      <formula>0.5</formula>
    </cfRule>
  </conditionalFormatting>
  <conditionalFormatting sqref="AR11">
    <cfRule type="cellIs" dxfId="6168" priority="135767" stopIfTrue="1" operator="greaterThanOrEqual">
      <formula>0.5</formula>
    </cfRule>
  </conditionalFormatting>
  <conditionalFormatting sqref="AR12">
    <cfRule type="cellIs" dxfId="6167" priority="135768" stopIfTrue="1" operator="equal">
      <formula>-1</formula>
    </cfRule>
  </conditionalFormatting>
  <conditionalFormatting sqref="AR12">
    <cfRule type="cellIs" dxfId="6166" priority="135769" stopIfTrue="1" operator="lessThan">
      <formula>0.5</formula>
    </cfRule>
  </conditionalFormatting>
  <conditionalFormatting sqref="AR12">
    <cfRule type="cellIs" dxfId="6165" priority="135770" stopIfTrue="1" operator="greaterThanOrEqual">
      <formula>0.5</formula>
    </cfRule>
  </conditionalFormatting>
  <conditionalFormatting sqref="AR13">
    <cfRule type="cellIs" dxfId="6164" priority="135771" stopIfTrue="1" operator="equal">
      <formula>-1</formula>
    </cfRule>
  </conditionalFormatting>
  <conditionalFormatting sqref="AR13">
    <cfRule type="cellIs" dxfId="6163" priority="135772" stopIfTrue="1" operator="lessThan">
      <formula>0.5</formula>
    </cfRule>
  </conditionalFormatting>
  <conditionalFormatting sqref="AR13">
    <cfRule type="cellIs" dxfId="6162" priority="135773" stopIfTrue="1" operator="greaterThanOrEqual">
      <formula>0.5</formula>
    </cfRule>
  </conditionalFormatting>
  <conditionalFormatting sqref="AR14">
    <cfRule type="cellIs" dxfId="6161" priority="135774" stopIfTrue="1" operator="equal">
      <formula>-1</formula>
    </cfRule>
  </conditionalFormatting>
  <conditionalFormatting sqref="AR14">
    <cfRule type="cellIs" dxfId="6160" priority="135775" stopIfTrue="1" operator="lessThan">
      <formula>0.5</formula>
    </cfRule>
  </conditionalFormatting>
  <conditionalFormatting sqref="AR14">
    <cfRule type="cellIs" dxfId="6159" priority="135776" stopIfTrue="1" operator="greaterThanOrEqual">
      <formula>0.5</formula>
    </cfRule>
  </conditionalFormatting>
  <conditionalFormatting sqref="AR15">
    <cfRule type="cellIs" dxfId="6158" priority="135777" stopIfTrue="1" operator="equal">
      <formula>-1</formula>
    </cfRule>
  </conditionalFormatting>
  <conditionalFormatting sqref="AR15">
    <cfRule type="cellIs" dxfId="6157" priority="135778" stopIfTrue="1" operator="lessThan">
      <formula>0.5</formula>
    </cfRule>
  </conditionalFormatting>
  <conditionalFormatting sqref="AR15">
    <cfRule type="cellIs" dxfId="6156" priority="135779" stopIfTrue="1" operator="greaterThanOrEqual">
      <formula>0.5</formula>
    </cfRule>
  </conditionalFormatting>
  <conditionalFormatting sqref="AT8">
    <cfRule type="cellIs" dxfId="6155" priority="135780" stopIfTrue="1" operator="equal">
      <formula>-1</formula>
    </cfRule>
  </conditionalFormatting>
  <conditionalFormatting sqref="AT8">
    <cfRule type="cellIs" dxfId="6154" priority="135781" stopIfTrue="1" operator="lessThan">
      <formula>0.5</formula>
    </cfRule>
  </conditionalFormatting>
  <conditionalFormatting sqref="AT8">
    <cfRule type="cellIs" dxfId="6153" priority="135782" stopIfTrue="1" operator="greaterThanOrEqual">
      <formula>0.5</formula>
    </cfRule>
  </conditionalFormatting>
  <conditionalFormatting sqref="AT9">
    <cfRule type="cellIs" dxfId="6152" priority="135783" stopIfTrue="1" operator="equal">
      <formula>-1</formula>
    </cfRule>
  </conditionalFormatting>
  <conditionalFormatting sqref="AT9">
    <cfRule type="cellIs" dxfId="6151" priority="135784" stopIfTrue="1" operator="lessThan">
      <formula>0.5</formula>
    </cfRule>
  </conditionalFormatting>
  <conditionalFormatting sqref="AT9">
    <cfRule type="cellIs" dxfId="6150" priority="135785" stopIfTrue="1" operator="greaterThanOrEqual">
      <formula>0.5</formula>
    </cfRule>
  </conditionalFormatting>
  <conditionalFormatting sqref="AT10">
    <cfRule type="cellIs" dxfId="6149" priority="135786" stopIfTrue="1" operator="equal">
      <formula>-1</formula>
    </cfRule>
  </conditionalFormatting>
  <conditionalFormatting sqref="AT10">
    <cfRule type="cellIs" dxfId="6148" priority="135787" stopIfTrue="1" operator="lessThan">
      <formula>0.5</formula>
    </cfRule>
  </conditionalFormatting>
  <conditionalFormatting sqref="AT10">
    <cfRule type="cellIs" dxfId="6147" priority="135788" stopIfTrue="1" operator="greaterThanOrEqual">
      <formula>0.5</formula>
    </cfRule>
  </conditionalFormatting>
  <conditionalFormatting sqref="AT11">
    <cfRule type="cellIs" dxfId="6146" priority="135789" stopIfTrue="1" operator="equal">
      <formula>-1</formula>
    </cfRule>
  </conditionalFormatting>
  <conditionalFormatting sqref="AT11">
    <cfRule type="cellIs" dxfId="6145" priority="135790" stopIfTrue="1" operator="lessThan">
      <formula>0.5</formula>
    </cfRule>
  </conditionalFormatting>
  <conditionalFormatting sqref="AT11">
    <cfRule type="cellIs" dxfId="6144" priority="135791" stopIfTrue="1" operator="greaterThanOrEqual">
      <formula>0.5</formula>
    </cfRule>
  </conditionalFormatting>
  <conditionalFormatting sqref="AT12">
    <cfRule type="cellIs" dxfId="6143" priority="135792" stopIfTrue="1" operator="equal">
      <formula>-1</formula>
    </cfRule>
  </conditionalFormatting>
  <conditionalFormatting sqref="AT12">
    <cfRule type="cellIs" dxfId="6142" priority="135793" stopIfTrue="1" operator="lessThan">
      <formula>0.5</formula>
    </cfRule>
  </conditionalFormatting>
  <conditionalFormatting sqref="AT12">
    <cfRule type="cellIs" dxfId="6141" priority="135794" stopIfTrue="1" operator="greaterThanOrEqual">
      <formula>0.5</formula>
    </cfRule>
  </conditionalFormatting>
  <conditionalFormatting sqref="AT13">
    <cfRule type="cellIs" dxfId="6140" priority="135795" stopIfTrue="1" operator="equal">
      <formula>-1</formula>
    </cfRule>
  </conditionalFormatting>
  <conditionalFormatting sqref="AT13">
    <cfRule type="cellIs" dxfId="6139" priority="135796" stopIfTrue="1" operator="lessThan">
      <formula>0.5</formula>
    </cfRule>
  </conditionalFormatting>
  <conditionalFormatting sqref="AT13">
    <cfRule type="cellIs" dxfId="6138" priority="135797" stopIfTrue="1" operator="greaterThanOrEqual">
      <formula>0.5</formula>
    </cfRule>
  </conditionalFormatting>
  <conditionalFormatting sqref="AT14">
    <cfRule type="cellIs" dxfId="6137" priority="135798" stopIfTrue="1" operator="equal">
      <formula>-1</formula>
    </cfRule>
  </conditionalFormatting>
  <conditionalFormatting sqref="AT14">
    <cfRule type="cellIs" dxfId="6136" priority="135799" stopIfTrue="1" operator="lessThan">
      <formula>0.5</formula>
    </cfRule>
  </conditionalFormatting>
  <conditionalFormatting sqref="AT14">
    <cfRule type="cellIs" dxfId="6135" priority="135800" stopIfTrue="1" operator="greaterThanOrEqual">
      <formula>0.5</formula>
    </cfRule>
  </conditionalFormatting>
  <conditionalFormatting sqref="AT15">
    <cfRule type="cellIs" dxfId="6134" priority="135801" stopIfTrue="1" operator="equal">
      <formula>-1</formula>
    </cfRule>
  </conditionalFormatting>
  <conditionalFormatting sqref="AT15">
    <cfRule type="cellIs" dxfId="6133" priority="135802" stopIfTrue="1" operator="lessThan">
      <formula>0.5</formula>
    </cfRule>
  </conditionalFormatting>
  <conditionalFormatting sqref="AT15">
    <cfRule type="cellIs" dxfId="6132" priority="135803" stopIfTrue="1" operator="greaterThanOrEqual">
      <formula>0.5</formula>
    </cfRule>
  </conditionalFormatting>
  <conditionalFormatting sqref="AV8">
    <cfRule type="cellIs" dxfId="6131" priority="135804" stopIfTrue="1" operator="equal">
      <formula>-1</formula>
    </cfRule>
  </conditionalFormatting>
  <conditionalFormatting sqref="AV8">
    <cfRule type="cellIs" dxfId="6130" priority="135805" stopIfTrue="1" operator="lessThan">
      <formula>0.5</formula>
    </cfRule>
  </conditionalFormatting>
  <conditionalFormatting sqref="AV8">
    <cfRule type="cellIs" dxfId="6129" priority="135806" stopIfTrue="1" operator="greaterThanOrEqual">
      <formula>0.5</formula>
    </cfRule>
  </conditionalFormatting>
  <conditionalFormatting sqref="AV9">
    <cfRule type="cellIs" dxfId="6128" priority="135807" stopIfTrue="1" operator="equal">
      <formula>-1</formula>
    </cfRule>
  </conditionalFormatting>
  <conditionalFormatting sqref="AV9">
    <cfRule type="cellIs" dxfId="6127" priority="135808" stopIfTrue="1" operator="lessThan">
      <formula>0.5</formula>
    </cfRule>
  </conditionalFormatting>
  <conditionalFormatting sqref="AV9">
    <cfRule type="cellIs" dxfId="6126" priority="135809" stopIfTrue="1" operator="greaterThanOrEqual">
      <formula>0.5</formula>
    </cfRule>
  </conditionalFormatting>
  <conditionalFormatting sqref="AV10">
    <cfRule type="cellIs" dxfId="6125" priority="135810" stopIfTrue="1" operator="equal">
      <formula>-1</formula>
    </cfRule>
  </conditionalFormatting>
  <conditionalFormatting sqref="AV10">
    <cfRule type="cellIs" dxfId="6124" priority="135811" stopIfTrue="1" operator="lessThan">
      <formula>0.5</formula>
    </cfRule>
  </conditionalFormatting>
  <conditionalFormatting sqref="AV10">
    <cfRule type="cellIs" dxfId="6123" priority="135812" stopIfTrue="1" operator="greaterThanOrEqual">
      <formula>0.5</formula>
    </cfRule>
  </conditionalFormatting>
  <conditionalFormatting sqref="AV11">
    <cfRule type="cellIs" dxfId="6122" priority="135813" stopIfTrue="1" operator="equal">
      <formula>-1</formula>
    </cfRule>
  </conditionalFormatting>
  <conditionalFormatting sqref="AV11">
    <cfRule type="cellIs" dxfId="6121" priority="135814" stopIfTrue="1" operator="lessThan">
      <formula>0.5</formula>
    </cfRule>
  </conditionalFormatting>
  <conditionalFormatting sqref="AV11">
    <cfRule type="cellIs" dxfId="6120" priority="135815" stopIfTrue="1" operator="greaterThanOrEqual">
      <formula>0.5</formula>
    </cfRule>
  </conditionalFormatting>
  <conditionalFormatting sqref="AV12">
    <cfRule type="cellIs" dxfId="6119" priority="135816" stopIfTrue="1" operator="equal">
      <formula>-1</formula>
    </cfRule>
  </conditionalFormatting>
  <conditionalFormatting sqref="AV12">
    <cfRule type="cellIs" dxfId="6118" priority="135817" stopIfTrue="1" operator="lessThan">
      <formula>0.5</formula>
    </cfRule>
  </conditionalFormatting>
  <conditionalFormatting sqref="AV12">
    <cfRule type="cellIs" dxfId="6117" priority="135818" stopIfTrue="1" operator="greaterThanOrEqual">
      <formula>0.5</formula>
    </cfRule>
  </conditionalFormatting>
  <conditionalFormatting sqref="AV13">
    <cfRule type="cellIs" dxfId="6116" priority="135819" stopIfTrue="1" operator="equal">
      <formula>-1</formula>
    </cfRule>
  </conditionalFormatting>
  <conditionalFormatting sqref="AV13">
    <cfRule type="cellIs" dxfId="6115" priority="135820" stopIfTrue="1" operator="lessThan">
      <formula>0.5</formula>
    </cfRule>
  </conditionalFormatting>
  <conditionalFormatting sqref="AV13">
    <cfRule type="cellIs" dxfId="6114" priority="135821" stopIfTrue="1" operator="greaterThanOrEqual">
      <formula>0.5</formula>
    </cfRule>
  </conditionalFormatting>
  <conditionalFormatting sqref="AV14">
    <cfRule type="cellIs" dxfId="6113" priority="135822" stopIfTrue="1" operator="equal">
      <formula>-1</formula>
    </cfRule>
  </conditionalFormatting>
  <conditionalFormatting sqref="AV14">
    <cfRule type="cellIs" dxfId="6112" priority="135823" stopIfTrue="1" operator="lessThan">
      <formula>0.5</formula>
    </cfRule>
  </conditionalFormatting>
  <conditionalFormatting sqref="AV14">
    <cfRule type="cellIs" dxfId="6111" priority="135824" stopIfTrue="1" operator="greaterThanOrEqual">
      <formula>0.5</formula>
    </cfRule>
  </conditionalFormatting>
  <conditionalFormatting sqref="AV15">
    <cfRule type="cellIs" dxfId="6110" priority="135825" stopIfTrue="1" operator="equal">
      <formula>-1</formula>
    </cfRule>
  </conditionalFormatting>
  <conditionalFormatting sqref="AV15">
    <cfRule type="cellIs" dxfId="6109" priority="135826" stopIfTrue="1" operator="lessThan">
      <formula>0.5</formula>
    </cfRule>
  </conditionalFormatting>
  <conditionalFormatting sqref="AV15">
    <cfRule type="cellIs" dxfId="6108" priority="135827" stopIfTrue="1" operator="greaterThanOrEqual">
      <formula>0.5</formula>
    </cfRule>
  </conditionalFormatting>
  <conditionalFormatting sqref="AX8">
    <cfRule type="cellIs" dxfId="6107" priority="135828" stopIfTrue="1" operator="equal">
      <formula>-1</formula>
    </cfRule>
  </conditionalFormatting>
  <conditionalFormatting sqref="AX8">
    <cfRule type="cellIs" dxfId="6106" priority="135829" stopIfTrue="1" operator="lessThan">
      <formula>0.5</formula>
    </cfRule>
  </conditionalFormatting>
  <conditionalFormatting sqref="AX8">
    <cfRule type="cellIs" dxfId="6105" priority="135830" stopIfTrue="1" operator="greaterThanOrEqual">
      <formula>0.5</formula>
    </cfRule>
  </conditionalFormatting>
  <conditionalFormatting sqref="AX9">
    <cfRule type="cellIs" dxfId="6104" priority="135831" stopIfTrue="1" operator="equal">
      <formula>-1</formula>
    </cfRule>
  </conditionalFormatting>
  <conditionalFormatting sqref="AX9">
    <cfRule type="cellIs" dxfId="6103" priority="135832" stopIfTrue="1" operator="lessThan">
      <formula>0.5</formula>
    </cfRule>
  </conditionalFormatting>
  <conditionalFormatting sqref="AX9">
    <cfRule type="cellIs" dxfId="6102" priority="135833" stopIfTrue="1" operator="greaterThanOrEqual">
      <formula>0.5</formula>
    </cfRule>
  </conditionalFormatting>
  <conditionalFormatting sqref="AX10">
    <cfRule type="cellIs" dxfId="6101" priority="135834" stopIfTrue="1" operator="equal">
      <formula>-1</formula>
    </cfRule>
  </conditionalFormatting>
  <conditionalFormatting sqref="AX10">
    <cfRule type="cellIs" dxfId="6100" priority="135835" stopIfTrue="1" operator="lessThan">
      <formula>0.5</formula>
    </cfRule>
  </conditionalFormatting>
  <conditionalFormatting sqref="AX10">
    <cfRule type="cellIs" dxfId="6099" priority="135836" stopIfTrue="1" operator="greaterThanOrEqual">
      <formula>0.5</formula>
    </cfRule>
  </conditionalFormatting>
  <conditionalFormatting sqref="AX11">
    <cfRule type="cellIs" dxfId="6098" priority="135837" stopIfTrue="1" operator="equal">
      <formula>-1</formula>
    </cfRule>
  </conditionalFormatting>
  <conditionalFormatting sqref="AX11">
    <cfRule type="cellIs" dxfId="6097" priority="135838" stopIfTrue="1" operator="lessThan">
      <formula>0.5</formula>
    </cfRule>
  </conditionalFormatting>
  <conditionalFormatting sqref="AX11">
    <cfRule type="cellIs" dxfId="6096" priority="135839" stopIfTrue="1" operator="greaterThanOrEqual">
      <formula>0.5</formula>
    </cfRule>
  </conditionalFormatting>
  <conditionalFormatting sqref="AX12">
    <cfRule type="cellIs" dxfId="6095" priority="135840" stopIfTrue="1" operator="equal">
      <formula>-1</formula>
    </cfRule>
  </conditionalFormatting>
  <conditionalFormatting sqref="AX12">
    <cfRule type="cellIs" dxfId="6094" priority="135841" stopIfTrue="1" operator="lessThan">
      <formula>0.5</formula>
    </cfRule>
  </conditionalFormatting>
  <conditionalFormatting sqref="AX12">
    <cfRule type="cellIs" dxfId="6093" priority="135842" stopIfTrue="1" operator="greaterThanOrEqual">
      <formula>0.5</formula>
    </cfRule>
  </conditionalFormatting>
  <conditionalFormatting sqref="AX13">
    <cfRule type="cellIs" dxfId="6092" priority="135843" stopIfTrue="1" operator="equal">
      <formula>-1</formula>
    </cfRule>
  </conditionalFormatting>
  <conditionalFormatting sqref="AX13">
    <cfRule type="cellIs" dxfId="6091" priority="135844" stopIfTrue="1" operator="lessThan">
      <formula>0.5</formula>
    </cfRule>
  </conditionalFormatting>
  <conditionalFormatting sqref="AX13">
    <cfRule type="cellIs" dxfId="6090" priority="135845" stopIfTrue="1" operator="greaterThanOrEqual">
      <formula>0.5</formula>
    </cfRule>
  </conditionalFormatting>
  <conditionalFormatting sqref="AX14">
    <cfRule type="cellIs" dxfId="6089" priority="135846" stopIfTrue="1" operator="equal">
      <formula>-1</formula>
    </cfRule>
  </conditionalFormatting>
  <conditionalFormatting sqref="AX14">
    <cfRule type="cellIs" dxfId="6088" priority="135847" stopIfTrue="1" operator="lessThan">
      <formula>0.5</formula>
    </cfRule>
  </conditionalFormatting>
  <conditionalFormatting sqref="AX14">
    <cfRule type="cellIs" dxfId="6087" priority="135848" stopIfTrue="1" operator="greaterThanOrEqual">
      <formula>0.5</formula>
    </cfRule>
  </conditionalFormatting>
  <conditionalFormatting sqref="AX15">
    <cfRule type="cellIs" dxfId="6086" priority="135849" stopIfTrue="1" operator="equal">
      <formula>-1</formula>
    </cfRule>
  </conditionalFormatting>
  <conditionalFormatting sqref="AX15">
    <cfRule type="cellIs" dxfId="6085" priority="135850" stopIfTrue="1" operator="lessThan">
      <formula>0.5</formula>
    </cfRule>
  </conditionalFormatting>
  <conditionalFormatting sqref="AX15">
    <cfRule type="cellIs" dxfId="6084" priority="135851" stopIfTrue="1" operator="greaterThanOrEqual">
      <formula>0.5</formula>
    </cfRule>
  </conditionalFormatting>
  <conditionalFormatting sqref="AZ8">
    <cfRule type="cellIs" dxfId="6083" priority="135852" stopIfTrue="1" operator="equal">
      <formula>-1</formula>
    </cfRule>
  </conditionalFormatting>
  <conditionalFormatting sqref="AZ8">
    <cfRule type="cellIs" dxfId="6082" priority="135853" stopIfTrue="1" operator="lessThan">
      <formula>0.5</formula>
    </cfRule>
  </conditionalFormatting>
  <conditionalFormatting sqref="AZ8">
    <cfRule type="cellIs" dxfId="6081" priority="135854" stopIfTrue="1" operator="greaterThanOrEqual">
      <formula>0.5</formula>
    </cfRule>
  </conditionalFormatting>
  <conditionalFormatting sqref="AZ9">
    <cfRule type="cellIs" dxfId="6080" priority="135855" stopIfTrue="1" operator="equal">
      <formula>-1</formula>
    </cfRule>
  </conditionalFormatting>
  <conditionalFormatting sqref="AZ9">
    <cfRule type="cellIs" dxfId="6079" priority="135856" stopIfTrue="1" operator="lessThan">
      <formula>0.5</formula>
    </cfRule>
  </conditionalFormatting>
  <conditionalFormatting sqref="AZ9">
    <cfRule type="cellIs" dxfId="6078" priority="135857" stopIfTrue="1" operator="greaterThanOrEqual">
      <formula>0.5</formula>
    </cfRule>
  </conditionalFormatting>
  <conditionalFormatting sqref="AZ10">
    <cfRule type="cellIs" dxfId="6077" priority="135858" stopIfTrue="1" operator="equal">
      <formula>-1</formula>
    </cfRule>
  </conditionalFormatting>
  <conditionalFormatting sqref="AZ10">
    <cfRule type="cellIs" dxfId="6076" priority="135859" stopIfTrue="1" operator="lessThan">
      <formula>0.5</formula>
    </cfRule>
  </conditionalFormatting>
  <conditionalFormatting sqref="AZ10">
    <cfRule type="cellIs" dxfId="6075" priority="135860" stopIfTrue="1" operator="greaterThanOrEqual">
      <formula>0.5</formula>
    </cfRule>
  </conditionalFormatting>
  <conditionalFormatting sqref="AZ11">
    <cfRule type="cellIs" dxfId="6074" priority="135861" stopIfTrue="1" operator="equal">
      <formula>-1</formula>
    </cfRule>
  </conditionalFormatting>
  <conditionalFormatting sqref="AZ11">
    <cfRule type="cellIs" dxfId="6073" priority="135862" stopIfTrue="1" operator="lessThan">
      <formula>0.5</formula>
    </cfRule>
  </conditionalFormatting>
  <conditionalFormatting sqref="AZ11">
    <cfRule type="cellIs" dxfId="6072" priority="135863" stopIfTrue="1" operator="greaterThanOrEqual">
      <formula>0.5</formula>
    </cfRule>
  </conditionalFormatting>
  <conditionalFormatting sqref="AZ12">
    <cfRule type="cellIs" dxfId="6071" priority="135864" stopIfTrue="1" operator="equal">
      <formula>-1</formula>
    </cfRule>
  </conditionalFormatting>
  <conditionalFormatting sqref="AZ12">
    <cfRule type="cellIs" dxfId="6070" priority="135865" stopIfTrue="1" operator="lessThan">
      <formula>0.5</formula>
    </cfRule>
  </conditionalFormatting>
  <conditionalFormatting sqref="AZ12">
    <cfRule type="cellIs" dxfId="6069" priority="135866" stopIfTrue="1" operator="greaterThanOrEqual">
      <formula>0.5</formula>
    </cfRule>
  </conditionalFormatting>
  <conditionalFormatting sqref="AZ13">
    <cfRule type="cellIs" dxfId="6068" priority="135867" stopIfTrue="1" operator="equal">
      <formula>-1</formula>
    </cfRule>
  </conditionalFormatting>
  <conditionalFormatting sqref="AZ13">
    <cfRule type="cellIs" dxfId="6067" priority="135868" stopIfTrue="1" operator="lessThan">
      <formula>0.5</formula>
    </cfRule>
  </conditionalFormatting>
  <conditionalFormatting sqref="AZ13">
    <cfRule type="cellIs" dxfId="6066" priority="135869" stopIfTrue="1" operator="greaterThanOrEqual">
      <formula>0.5</formula>
    </cfRule>
  </conditionalFormatting>
  <conditionalFormatting sqref="AZ14">
    <cfRule type="cellIs" dxfId="6065" priority="135870" stopIfTrue="1" operator="equal">
      <formula>-1</formula>
    </cfRule>
  </conditionalFormatting>
  <conditionalFormatting sqref="AZ14">
    <cfRule type="cellIs" dxfId="6064" priority="135871" stopIfTrue="1" operator="lessThan">
      <formula>0.5</formula>
    </cfRule>
  </conditionalFormatting>
  <conditionalFormatting sqref="AZ14">
    <cfRule type="cellIs" dxfId="6063" priority="135872" stopIfTrue="1" operator="greaterThanOrEqual">
      <formula>0.5</formula>
    </cfRule>
  </conditionalFormatting>
  <conditionalFormatting sqref="AZ15">
    <cfRule type="cellIs" dxfId="6062" priority="135873" stopIfTrue="1" operator="equal">
      <formula>-1</formula>
    </cfRule>
  </conditionalFormatting>
  <conditionalFormatting sqref="AZ15">
    <cfRule type="cellIs" dxfId="6061" priority="135874" stopIfTrue="1" operator="lessThan">
      <formula>0.5</formula>
    </cfRule>
  </conditionalFormatting>
  <conditionalFormatting sqref="AZ15">
    <cfRule type="cellIs" dxfId="6060" priority="135875" stopIfTrue="1" operator="greaterThanOrEqual">
      <formula>0.5</formula>
    </cfRule>
  </conditionalFormatting>
  <conditionalFormatting sqref="BB8">
    <cfRule type="cellIs" dxfId="6059" priority="135876" stopIfTrue="1" operator="equal">
      <formula>-1</formula>
    </cfRule>
  </conditionalFormatting>
  <conditionalFormatting sqref="BB8">
    <cfRule type="cellIs" dxfId="6058" priority="135877" stopIfTrue="1" operator="lessThan">
      <formula>0.5</formula>
    </cfRule>
  </conditionalFormatting>
  <conditionalFormatting sqref="BB8">
    <cfRule type="cellIs" dxfId="6057" priority="135878" stopIfTrue="1" operator="greaterThanOrEqual">
      <formula>0.5</formula>
    </cfRule>
  </conditionalFormatting>
  <conditionalFormatting sqref="BB9">
    <cfRule type="cellIs" dxfId="6056" priority="135879" stopIfTrue="1" operator="equal">
      <formula>-1</formula>
    </cfRule>
  </conditionalFormatting>
  <conditionalFormatting sqref="BB9">
    <cfRule type="cellIs" dxfId="6055" priority="135880" stopIfTrue="1" operator="lessThan">
      <formula>0.5</formula>
    </cfRule>
  </conditionalFormatting>
  <conditionalFormatting sqref="BB9">
    <cfRule type="cellIs" dxfId="6054" priority="135881" stopIfTrue="1" operator="greaterThanOrEqual">
      <formula>0.5</formula>
    </cfRule>
  </conditionalFormatting>
  <conditionalFormatting sqref="BB10">
    <cfRule type="cellIs" dxfId="6053" priority="135882" stopIfTrue="1" operator="equal">
      <formula>-1</formula>
    </cfRule>
  </conditionalFormatting>
  <conditionalFormatting sqref="BB10">
    <cfRule type="cellIs" dxfId="6052" priority="135883" stopIfTrue="1" operator="lessThan">
      <formula>0.5</formula>
    </cfRule>
  </conditionalFormatting>
  <conditionalFormatting sqref="BB10">
    <cfRule type="cellIs" dxfId="6051" priority="135884" stopIfTrue="1" operator="greaterThanOrEqual">
      <formula>0.5</formula>
    </cfRule>
  </conditionalFormatting>
  <conditionalFormatting sqref="BB11">
    <cfRule type="cellIs" dxfId="6050" priority="135885" stopIfTrue="1" operator="equal">
      <formula>-1</formula>
    </cfRule>
  </conditionalFormatting>
  <conditionalFormatting sqref="BB11">
    <cfRule type="cellIs" dxfId="6049" priority="135886" stopIfTrue="1" operator="lessThan">
      <formula>0.5</formula>
    </cfRule>
  </conditionalFormatting>
  <conditionalFormatting sqref="BB11">
    <cfRule type="cellIs" dxfId="6048" priority="135887" stopIfTrue="1" operator="greaterThanOrEqual">
      <formula>0.5</formula>
    </cfRule>
  </conditionalFormatting>
  <conditionalFormatting sqref="BB12">
    <cfRule type="cellIs" dxfId="6047" priority="135888" stopIfTrue="1" operator="equal">
      <formula>-1</formula>
    </cfRule>
  </conditionalFormatting>
  <conditionalFormatting sqref="BB12">
    <cfRule type="cellIs" dxfId="6046" priority="135889" stopIfTrue="1" operator="lessThan">
      <formula>0.5</formula>
    </cfRule>
  </conditionalFormatting>
  <conditionalFormatting sqref="BB12">
    <cfRule type="cellIs" dxfId="6045" priority="135890" stopIfTrue="1" operator="greaterThanOrEqual">
      <formula>0.5</formula>
    </cfRule>
  </conditionalFormatting>
  <conditionalFormatting sqref="BB13">
    <cfRule type="cellIs" dxfId="6044" priority="135891" stopIfTrue="1" operator="equal">
      <formula>-1</formula>
    </cfRule>
  </conditionalFormatting>
  <conditionalFormatting sqref="BB13">
    <cfRule type="cellIs" dxfId="6043" priority="135892" stopIfTrue="1" operator="lessThan">
      <formula>0.5</formula>
    </cfRule>
  </conditionalFormatting>
  <conditionalFormatting sqref="BB13">
    <cfRule type="cellIs" dxfId="6042" priority="135893" stopIfTrue="1" operator="greaterThanOrEqual">
      <formula>0.5</formula>
    </cfRule>
  </conditionalFormatting>
  <conditionalFormatting sqref="BB14">
    <cfRule type="cellIs" dxfId="6041" priority="135894" stopIfTrue="1" operator="equal">
      <formula>-1</formula>
    </cfRule>
  </conditionalFormatting>
  <conditionalFormatting sqref="BB14">
    <cfRule type="cellIs" dxfId="6040" priority="135895" stopIfTrue="1" operator="lessThan">
      <formula>0.5</formula>
    </cfRule>
  </conditionalFormatting>
  <conditionalFormatting sqref="BB14">
    <cfRule type="cellIs" dxfId="6039" priority="135896" stopIfTrue="1" operator="greaterThanOrEqual">
      <formula>0.5</formula>
    </cfRule>
  </conditionalFormatting>
  <conditionalFormatting sqref="BB15">
    <cfRule type="cellIs" dxfId="6038" priority="135897" stopIfTrue="1" operator="equal">
      <formula>-1</formula>
    </cfRule>
  </conditionalFormatting>
  <conditionalFormatting sqref="BB15">
    <cfRule type="cellIs" dxfId="6037" priority="135898" stopIfTrue="1" operator="lessThan">
      <formula>0.5</formula>
    </cfRule>
  </conditionalFormatting>
  <conditionalFormatting sqref="BB15">
    <cfRule type="cellIs" dxfId="6036" priority="135899" stopIfTrue="1" operator="greaterThanOrEqual">
      <formula>0.5</formula>
    </cfRule>
  </conditionalFormatting>
  <conditionalFormatting sqref="BD8">
    <cfRule type="cellIs" dxfId="6035" priority="135900" stopIfTrue="1" operator="equal">
      <formula>-1</formula>
    </cfRule>
  </conditionalFormatting>
  <conditionalFormatting sqref="BD8">
    <cfRule type="cellIs" dxfId="6034" priority="135901" stopIfTrue="1" operator="lessThan">
      <formula>0.5</formula>
    </cfRule>
  </conditionalFormatting>
  <conditionalFormatting sqref="BD8">
    <cfRule type="cellIs" dxfId="6033" priority="135902" stopIfTrue="1" operator="greaterThanOrEqual">
      <formula>0.5</formula>
    </cfRule>
  </conditionalFormatting>
  <conditionalFormatting sqref="BD9">
    <cfRule type="cellIs" dxfId="6032" priority="135903" stopIfTrue="1" operator="equal">
      <formula>-1</formula>
    </cfRule>
  </conditionalFormatting>
  <conditionalFormatting sqref="BD9">
    <cfRule type="cellIs" dxfId="6031" priority="135904" stopIfTrue="1" operator="lessThan">
      <formula>0.5</formula>
    </cfRule>
  </conditionalFormatting>
  <conditionalFormatting sqref="BD9">
    <cfRule type="cellIs" dxfId="6030" priority="135905" stopIfTrue="1" operator="greaterThanOrEqual">
      <formula>0.5</formula>
    </cfRule>
  </conditionalFormatting>
  <conditionalFormatting sqref="BD10">
    <cfRule type="cellIs" dxfId="6029" priority="135906" stopIfTrue="1" operator="equal">
      <formula>-1</formula>
    </cfRule>
  </conditionalFormatting>
  <conditionalFormatting sqref="BD10">
    <cfRule type="cellIs" dxfId="6028" priority="135907" stopIfTrue="1" operator="lessThan">
      <formula>0.5</formula>
    </cfRule>
  </conditionalFormatting>
  <conditionalFormatting sqref="BD10">
    <cfRule type="cellIs" dxfId="6027" priority="135908" stopIfTrue="1" operator="greaterThanOrEqual">
      <formula>0.5</formula>
    </cfRule>
  </conditionalFormatting>
  <conditionalFormatting sqref="BD11">
    <cfRule type="cellIs" dxfId="6026" priority="135909" stopIfTrue="1" operator="equal">
      <formula>-1</formula>
    </cfRule>
  </conditionalFormatting>
  <conditionalFormatting sqref="BD11">
    <cfRule type="cellIs" dxfId="6025" priority="135910" stopIfTrue="1" operator="lessThan">
      <formula>0.5</formula>
    </cfRule>
  </conditionalFormatting>
  <conditionalFormatting sqref="BD11">
    <cfRule type="cellIs" dxfId="6024" priority="135911" stopIfTrue="1" operator="greaterThanOrEqual">
      <formula>0.5</formula>
    </cfRule>
  </conditionalFormatting>
  <conditionalFormatting sqref="BD12">
    <cfRule type="cellIs" dxfId="6023" priority="135912" stopIfTrue="1" operator="equal">
      <formula>-1</formula>
    </cfRule>
  </conditionalFormatting>
  <conditionalFormatting sqref="BD12">
    <cfRule type="cellIs" dxfId="6022" priority="135913" stopIfTrue="1" operator="lessThan">
      <formula>0.5</formula>
    </cfRule>
  </conditionalFormatting>
  <conditionalFormatting sqref="BD12">
    <cfRule type="cellIs" dxfId="6021" priority="135914" stopIfTrue="1" operator="greaterThanOrEqual">
      <formula>0.5</formula>
    </cfRule>
  </conditionalFormatting>
  <conditionalFormatting sqref="BD13">
    <cfRule type="cellIs" dxfId="6020" priority="135915" stopIfTrue="1" operator="equal">
      <formula>-1</formula>
    </cfRule>
  </conditionalFormatting>
  <conditionalFormatting sqref="BD13">
    <cfRule type="cellIs" dxfId="6019" priority="135916" stopIfTrue="1" operator="lessThan">
      <formula>0.5</formula>
    </cfRule>
  </conditionalFormatting>
  <conditionalFormatting sqref="BD13">
    <cfRule type="cellIs" dxfId="6018" priority="135917" stopIfTrue="1" operator="greaterThanOrEqual">
      <formula>0.5</formula>
    </cfRule>
  </conditionalFormatting>
  <conditionalFormatting sqref="BD14">
    <cfRule type="cellIs" dxfId="6017" priority="135918" stopIfTrue="1" operator="equal">
      <formula>-1</formula>
    </cfRule>
  </conditionalFormatting>
  <conditionalFormatting sqref="BD14">
    <cfRule type="cellIs" dxfId="6016" priority="135919" stopIfTrue="1" operator="lessThan">
      <formula>0.5</formula>
    </cfRule>
  </conditionalFormatting>
  <conditionalFormatting sqref="BD14">
    <cfRule type="cellIs" dxfId="6015" priority="135920" stopIfTrue="1" operator="greaterThanOrEqual">
      <formula>0.5</formula>
    </cfRule>
  </conditionalFormatting>
  <conditionalFormatting sqref="BD15">
    <cfRule type="cellIs" dxfId="6014" priority="135921" stopIfTrue="1" operator="equal">
      <formula>-1</formula>
    </cfRule>
  </conditionalFormatting>
  <conditionalFormatting sqref="BD15">
    <cfRule type="cellIs" dxfId="6013" priority="135922" stopIfTrue="1" operator="lessThan">
      <formula>0.5</formula>
    </cfRule>
  </conditionalFormatting>
  <conditionalFormatting sqref="BD15">
    <cfRule type="cellIs" dxfId="6012" priority="135923" stopIfTrue="1" operator="greaterThanOrEqual">
      <formula>0.5</formula>
    </cfRule>
  </conditionalFormatting>
  <conditionalFormatting sqref="BF8">
    <cfRule type="cellIs" dxfId="6011" priority="135924" stopIfTrue="1" operator="equal">
      <formula>-1</formula>
    </cfRule>
  </conditionalFormatting>
  <conditionalFormatting sqref="BF8">
    <cfRule type="cellIs" dxfId="6010" priority="135925" stopIfTrue="1" operator="lessThan">
      <formula>0.5</formula>
    </cfRule>
  </conditionalFormatting>
  <conditionalFormatting sqref="BF8">
    <cfRule type="cellIs" dxfId="6009" priority="135926" stopIfTrue="1" operator="greaterThanOrEqual">
      <formula>0.5</formula>
    </cfRule>
  </conditionalFormatting>
  <conditionalFormatting sqref="BF9">
    <cfRule type="cellIs" dxfId="6008" priority="135927" stopIfTrue="1" operator="equal">
      <formula>-1</formula>
    </cfRule>
  </conditionalFormatting>
  <conditionalFormatting sqref="BF9">
    <cfRule type="cellIs" dxfId="6007" priority="135928" stopIfTrue="1" operator="lessThan">
      <formula>0.5</formula>
    </cfRule>
  </conditionalFormatting>
  <conditionalFormatting sqref="BF9">
    <cfRule type="cellIs" dxfId="6006" priority="135929" stopIfTrue="1" operator="greaterThanOrEqual">
      <formula>0.5</formula>
    </cfRule>
  </conditionalFormatting>
  <conditionalFormatting sqref="BF10">
    <cfRule type="cellIs" dxfId="6005" priority="135930" stopIfTrue="1" operator="equal">
      <formula>-1</formula>
    </cfRule>
  </conditionalFormatting>
  <conditionalFormatting sqref="BF10">
    <cfRule type="cellIs" dxfId="6004" priority="135931" stopIfTrue="1" operator="lessThan">
      <formula>0.5</formula>
    </cfRule>
  </conditionalFormatting>
  <conditionalFormatting sqref="BF10">
    <cfRule type="cellIs" dxfId="6003" priority="135932" stopIfTrue="1" operator="greaterThanOrEqual">
      <formula>0.5</formula>
    </cfRule>
  </conditionalFormatting>
  <conditionalFormatting sqref="BF11">
    <cfRule type="cellIs" dxfId="6002" priority="135933" stopIfTrue="1" operator="equal">
      <formula>-1</formula>
    </cfRule>
  </conditionalFormatting>
  <conditionalFormatting sqref="BF11">
    <cfRule type="cellIs" dxfId="6001" priority="135934" stopIfTrue="1" operator="lessThan">
      <formula>0.5</formula>
    </cfRule>
  </conditionalFormatting>
  <conditionalFormatting sqref="BF11">
    <cfRule type="cellIs" dxfId="6000" priority="135935" stopIfTrue="1" operator="greaterThanOrEqual">
      <formula>0.5</formula>
    </cfRule>
  </conditionalFormatting>
  <conditionalFormatting sqref="BF12">
    <cfRule type="cellIs" dxfId="5999" priority="135936" stopIfTrue="1" operator="equal">
      <formula>-1</formula>
    </cfRule>
  </conditionalFormatting>
  <conditionalFormatting sqref="BF12">
    <cfRule type="cellIs" dxfId="5998" priority="135937" stopIfTrue="1" operator="lessThan">
      <formula>0.5</formula>
    </cfRule>
  </conditionalFormatting>
  <conditionalFormatting sqref="BF12">
    <cfRule type="cellIs" dxfId="5997" priority="135938" stopIfTrue="1" operator="greaterThanOrEqual">
      <formula>0.5</formula>
    </cfRule>
  </conditionalFormatting>
  <conditionalFormatting sqref="BF13">
    <cfRule type="cellIs" dxfId="5996" priority="135939" stopIfTrue="1" operator="equal">
      <formula>-1</formula>
    </cfRule>
  </conditionalFormatting>
  <conditionalFormatting sqref="BF13">
    <cfRule type="cellIs" dxfId="5995" priority="135940" stopIfTrue="1" operator="lessThan">
      <formula>0.5</formula>
    </cfRule>
  </conditionalFormatting>
  <conditionalFormatting sqref="BF13">
    <cfRule type="cellIs" dxfId="5994" priority="135941" stopIfTrue="1" operator="greaterThanOrEqual">
      <formula>0.5</formula>
    </cfRule>
  </conditionalFormatting>
  <conditionalFormatting sqref="BF14">
    <cfRule type="cellIs" dxfId="5993" priority="135942" stopIfTrue="1" operator="equal">
      <formula>-1</formula>
    </cfRule>
  </conditionalFormatting>
  <conditionalFormatting sqref="BF14">
    <cfRule type="cellIs" dxfId="5992" priority="135943" stopIfTrue="1" operator="lessThan">
      <formula>0.5</formula>
    </cfRule>
  </conditionalFormatting>
  <conditionalFormatting sqref="BF14">
    <cfRule type="cellIs" dxfId="5991" priority="135944" stopIfTrue="1" operator="greaterThanOrEqual">
      <formula>0.5</formula>
    </cfRule>
  </conditionalFormatting>
  <conditionalFormatting sqref="BF15">
    <cfRule type="cellIs" dxfId="5990" priority="135945" stopIfTrue="1" operator="equal">
      <formula>-1</formula>
    </cfRule>
  </conditionalFormatting>
  <conditionalFormatting sqref="BF15">
    <cfRule type="cellIs" dxfId="5989" priority="135946" stopIfTrue="1" operator="lessThan">
      <formula>0.5</formula>
    </cfRule>
  </conditionalFormatting>
  <conditionalFormatting sqref="BF15">
    <cfRule type="cellIs" dxfId="5988" priority="135947" stopIfTrue="1" operator="greaterThanOrEqual">
      <formula>0.5</formula>
    </cfRule>
  </conditionalFormatting>
  <conditionalFormatting sqref="BH8">
    <cfRule type="cellIs" dxfId="5987" priority="135948" stopIfTrue="1" operator="equal">
      <formula>-1</formula>
    </cfRule>
  </conditionalFormatting>
  <conditionalFormatting sqref="BH8">
    <cfRule type="cellIs" dxfId="5986" priority="135949" stopIfTrue="1" operator="lessThan">
      <formula>0.5</formula>
    </cfRule>
  </conditionalFormatting>
  <conditionalFormatting sqref="BH8">
    <cfRule type="cellIs" dxfId="5985" priority="135950" stopIfTrue="1" operator="greaterThanOrEqual">
      <formula>0.5</formula>
    </cfRule>
  </conditionalFormatting>
  <conditionalFormatting sqref="BH9">
    <cfRule type="cellIs" dxfId="5984" priority="135951" stopIfTrue="1" operator="equal">
      <formula>-1</formula>
    </cfRule>
  </conditionalFormatting>
  <conditionalFormatting sqref="BH9">
    <cfRule type="cellIs" dxfId="5983" priority="135952" stopIfTrue="1" operator="lessThan">
      <formula>0.5</formula>
    </cfRule>
  </conditionalFormatting>
  <conditionalFormatting sqref="BH9">
    <cfRule type="cellIs" dxfId="5982" priority="135953" stopIfTrue="1" operator="greaterThanOrEqual">
      <formula>0.5</formula>
    </cfRule>
  </conditionalFormatting>
  <conditionalFormatting sqref="BH10">
    <cfRule type="cellIs" dxfId="5981" priority="135954" stopIfTrue="1" operator="equal">
      <formula>-1</formula>
    </cfRule>
  </conditionalFormatting>
  <conditionalFormatting sqref="BH10">
    <cfRule type="cellIs" dxfId="5980" priority="135955" stopIfTrue="1" operator="lessThan">
      <formula>0.5</formula>
    </cfRule>
  </conditionalFormatting>
  <conditionalFormatting sqref="BH10">
    <cfRule type="cellIs" dxfId="5979" priority="135956" stopIfTrue="1" operator="greaterThanOrEqual">
      <formula>0.5</formula>
    </cfRule>
  </conditionalFormatting>
  <conditionalFormatting sqref="BH11">
    <cfRule type="cellIs" dxfId="5978" priority="135957" stopIfTrue="1" operator="equal">
      <formula>-1</formula>
    </cfRule>
  </conditionalFormatting>
  <conditionalFormatting sqref="BH11">
    <cfRule type="cellIs" dxfId="5977" priority="135958" stopIfTrue="1" operator="lessThan">
      <formula>0.5</formula>
    </cfRule>
  </conditionalFormatting>
  <conditionalFormatting sqref="BH11">
    <cfRule type="cellIs" dxfId="5976" priority="135959" stopIfTrue="1" operator="greaterThanOrEqual">
      <formula>0.5</formula>
    </cfRule>
  </conditionalFormatting>
  <conditionalFormatting sqref="BH12">
    <cfRule type="cellIs" dxfId="5975" priority="135960" stopIfTrue="1" operator="equal">
      <formula>-1</formula>
    </cfRule>
  </conditionalFormatting>
  <conditionalFormatting sqref="BH12">
    <cfRule type="cellIs" dxfId="5974" priority="135961" stopIfTrue="1" operator="lessThan">
      <formula>0.5</formula>
    </cfRule>
  </conditionalFormatting>
  <conditionalFormatting sqref="BH12">
    <cfRule type="cellIs" dxfId="5973" priority="135962" stopIfTrue="1" operator="greaterThanOrEqual">
      <formula>0.5</formula>
    </cfRule>
  </conditionalFormatting>
  <conditionalFormatting sqref="BH13">
    <cfRule type="cellIs" dxfId="5972" priority="135963" stopIfTrue="1" operator="equal">
      <formula>-1</formula>
    </cfRule>
  </conditionalFormatting>
  <conditionalFormatting sqref="BH13">
    <cfRule type="cellIs" dxfId="5971" priority="135964" stopIfTrue="1" operator="lessThan">
      <formula>0.5</formula>
    </cfRule>
  </conditionalFormatting>
  <conditionalFormatting sqref="BH13">
    <cfRule type="cellIs" dxfId="5970" priority="135965" stopIfTrue="1" operator="greaterThanOrEqual">
      <formula>0.5</formula>
    </cfRule>
  </conditionalFormatting>
  <conditionalFormatting sqref="BH14">
    <cfRule type="cellIs" dxfId="5969" priority="135966" stopIfTrue="1" operator="equal">
      <formula>-1</formula>
    </cfRule>
  </conditionalFormatting>
  <conditionalFormatting sqref="BH14">
    <cfRule type="cellIs" dxfId="5968" priority="135967" stopIfTrue="1" operator="lessThan">
      <formula>0.5</formula>
    </cfRule>
  </conditionalFormatting>
  <conditionalFormatting sqref="BH14">
    <cfRule type="cellIs" dxfId="5967" priority="135968" stopIfTrue="1" operator="greaterThanOrEqual">
      <formula>0.5</formula>
    </cfRule>
  </conditionalFormatting>
  <conditionalFormatting sqref="BH15">
    <cfRule type="cellIs" dxfId="5966" priority="135969" stopIfTrue="1" operator="equal">
      <formula>-1</formula>
    </cfRule>
  </conditionalFormatting>
  <conditionalFormatting sqref="BH15">
    <cfRule type="cellIs" dxfId="5965" priority="135970" stopIfTrue="1" operator="lessThan">
      <formula>0.5</formula>
    </cfRule>
  </conditionalFormatting>
  <conditionalFormatting sqref="BH15">
    <cfRule type="cellIs" dxfId="5964" priority="135971" stopIfTrue="1" operator="greaterThanOrEqual">
      <formula>0.5</formula>
    </cfRule>
  </conditionalFormatting>
  <conditionalFormatting sqref="BJ8">
    <cfRule type="cellIs" dxfId="5963" priority="135972" stopIfTrue="1" operator="equal">
      <formula>-1</formula>
    </cfRule>
  </conditionalFormatting>
  <conditionalFormatting sqref="BJ8">
    <cfRule type="cellIs" dxfId="5962" priority="135973" stopIfTrue="1" operator="lessThan">
      <formula>0.5</formula>
    </cfRule>
  </conditionalFormatting>
  <conditionalFormatting sqref="BJ8">
    <cfRule type="cellIs" dxfId="5961" priority="135974" stopIfTrue="1" operator="greaterThanOrEqual">
      <formula>0.5</formula>
    </cfRule>
  </conditionalFormatting>
  <conditionalFormatting sqref="BJ9">
    <cfRule type="cellIs" dxfId="5960" priority="135975" stopIfTrue="1" operator="equal">
      <formula>-1</formula>
    </cfRule>
  </conditionalFormatting>
  <conditionalFormatting sqref="BJ9">
    <cfRule type="cellIs" dxfId="5959" priority="135976" stopIfTrue="1" operator="lessThan">
      <formula>0.5</formula>
    </cfRule>
  </conditionalFormatting>
  <conditionalFormatting sqref="BJ9">
    <cfRule type="cellIs" dxfId="5958" priority="135977" stopIfTrue="1" operator="greaterThanOrEqual">
      <formula>0.5</formula>
    </cfRule>
  </conditionalFormatting>
  <conditionalFormatting sqref="BJ10">
    <cfRule type="cellIs" dxfId="5957" priority="135978" stopIfTrue="1" operator="equal">
      <formula>-1</formula>
    </cfRule>
  </conditionalFormatting>
  <conditionalFormatting sqref="BJ10">
    <cfRule type="cellIs" dxfId="5956" priority="135979" stopIfTrue="1" operator="lessThan">
      <formula>0.5</formula>
    </cfRule>
  </conditionalFormatting>
  <conditionalFormatting sqref="BJ10">
    <cfRule type="cellIs" dxfId="5955" priority="135980" stopIfTrue="1" operator="greaterThanOrEqual">
      <formula>0.5</formula>
    </cfRule>
  </conditionalFormatting>
  <conditionalFormatting sqref="BJ11">
    <cfRule type="cellIs" dxfId="5954" priority="135981" stopIfTrue="1" operator="equal">
      <formula>-1</formula>
    </cfRule>
  </conditionalFormatting>
  <conditionalFormatting sqref="BJ11">
    <cfRule type="cellIs" dxfId="5953" priority="135982" stopIfTrue="1" operator="lessThan">
      <formula>0.5</formula>
    </cfRule>
  </conditionalFormatting>
  <conditionalFormatting sqref="BJ11">
    <cfRule type="cellIs" dxfId="5952" priority="135983" stopIfTrue="1" operator="greaterThanOrEqual">
      <formula>0.5</formula>
    </cfRule>
  </conditionalFormatting>
  <conditionalFormatting sqref="BJ12">
    <cfRule type="cellIs" dxfId="5951" priority="135984" stopIfTrue="1" operator="equal">
      <formula>-1</formula>
    </cfRule>
  </conditionalFormatting>
  <conditionalFormatting sqref="BJ12">
    <cfRule type="cellIs" dxfId="5950" priority="135985" stopIfTrue="1" operator="lessThan">
      <formula>0.5</formula>
    </cfRule>
  </conditionalFormatting>
  <conditionalFormatting sqref="BJ12">
    <cfRule type="cellIs" dxfId="5949" priority="135986" stopIfTrue="1" operator="greaterThanOrEqual">
      <formula>0.5</formula>
    </cfRule>
  </conditionalFormatting>
  <conditionalFormatting sqref="BJ13">
    <cfRule type="cellIs" dxfId="5948" priority="135987" stopIfTrue="1" operator="equal">
      <formula>-1</formula>
    </cfRule>
  </conditionalFormatting>
  <conditionalFormatting sqref="BJ13">
    <cfRule type="cellIs" dxfId="5947" priority="135988" stopIfTrue="1" operator="lessThan">
      <formula>0.5</formula>
    </cfRule>
  </conditionalFormatting>
  <conditionalFormatting sqref="BJ13">
    <cfRule type="cellIs" dxfId="5946" priority="135989" stopIfTrue="1" operator="greaterThanOrEqual">
      <formula>0.5</formula>
    </cfRule>
  </conditionalFormatting>
  <conditionalFormatting sqref="BJ14">
    <cfRule type="cellIs" dxfId="5945" priority="135990" stopIfTrue="1" operator="equal">
      <formula>-1</formula>
    </cfRule>
  </conditionalFormatting>
  <conditionalFormatting sqref="BJ14">
    <cfRule type="cellIs" dxfId="5944" priority="135991" stopIfTrue="1" operator="lessThan">
      <formula>0.5</formula>
    </cfRule>
  </conditionalFormatting>
  <conditionalFormatting sqref="BJ14">
    <cfRule type="cellIs" dxfId="5943" priority="135992" stopIfTrue="1" operator="greaterThanOrEqual">
      <formula>0.5</formula>
    </cfRule>
  </conditionalFormatting>
  <conditionalFormatting sqref="BJ15">
    <cfRule type="cellIs" dxfId="5942" priority="135993" stopIfTrue="1" operator="equal">
      <formula>-1</formula>
    </cfRule>
  </conditionalFormatting>
  <conditionalFormatting sqref="BJ15">
    <cfRule type="cellIs" dxfId="5941" priority="135994" stopIfTrue="1" operator="lessThan">
      <formula>0.5</formula>
    </cfRule>
  </conditionalFormatting>
  <conditionalFormatting sqref="BJ15">
    <cfRule type="cellIs" dxfId="5940" priority="135995" stopIfTrue="1" operator="greaterThanOrEqual">
      <formula>0.5</formula>
    </cfRule>
  </conditionalFormatting>
  <conditionalFormatting sqref="D17">
    <cfRule type="cellIs" dxfId="5939" priority="135996" stopIfTrue="1" operator="equal">
      <formula>-1</formula>
    </cfRule>
  </conditionalFormatting>
  <conditionalFormatting sqref="D17">
    <cfRule type="cellIs" dxfId="5938" priority="135997" stopIfTrue="1" operator="lessThan">
      <formula>0.5</formula>
    </cfRule>
  </conditionalFormatting>
  <conditionalFormatting sqref="D17">
    <cfRule type="cellIs" dxfId="5937" priority="135998" stopIfTrue="1" operator="greaterThanOrEqual">
      <formula>0.5</formula>
    </cfRule>
  </conditionalFormatting>
  <conditionalFormatting sqref="D18">
    <cfRule type="cellIs" dxfId="5936" priority="135999" stopIfTrue="1" operator="equal">
      <formula>-1</formula>
    </cfRule>
  </conditionalFormatting>
  <conditionalFormatting sqref="D18">
    <cfRule type="cellIs" dxfId="5935" priority="136000" stopIfTrue="1" operator="lessThan">
      <formula>0.5</formula>
    </cfRule>
  </conditionalFormatting>
  <conditionalFormatting sqref="D18">
    <cfRule type="cellIs" dxfId="5934" priority="136001" stopIfTrue="1" operator="greaterThanOrEqual">
      <formula>0.5</formula>
    </cfRule>
  </conditionalFormatting>
  <conditionalFormatting sqref="D19">
    <cfRule type="cellIs" dxfId="5933" priority="136002" stopIfTrue="1" operator="equal">
      <formula>-1</formula>
    </cfRule>
  </conditionalFormatting>
  <conditionalFormatting sqref="D19">
    <cfRule type="cellIs" dxfId="5932" priority="136003" stopIfTrue="1" operator="lessThan">
      <formula>0.5</formula>
    </cfRule>
  </conditionalFormatting>
  <conditionalFormatting sqref="D19">
    <cfRule type="cellIs" dxfId="5931" priority="136004" stopIfTrue="1" operator="greaterThanOrEqual">
      <formula>0.5</formula>
    </cfRule>
  </conditionalFormatting>
  <conditionalFormatting sqref="D20">
    <cfRule type="cellIs" dxfId="5930" priority="136005" stopIfTrue="1" operator="equal">
      <formula>-1</formula>
    </cfRule>
  </conditionalFormatting>
  <conditionalFormatting sqref="D20">
    <cfRule type="cellIs" dxfId="5929" priority="136006" stopIfTrue="1" operator="lessThan">
      <formula>0.5</formula>
    </cfRule>
  </conditionalFormatting>
  <conditionalFormatting sqref="D20">
    <cfRule type="cellIs" dxfId="5928" priority="136007" stopIfTrue="1" operator="greaterThanOrEqual">
      <formula>0.5</formula>
    </cfRule>
  </conditionalFormatting>
  <conditionalFormatting sqref="D21">
    <cfRule type="cellIs" dxfId="5927" priority="136008" stopIfTrue="1" operator="equal">
      <formula>-1</formula>
    </cfRule>
  </conditionalFormatting>
  <conditionalFormatting sqref="D21">
    <cfRule type="cellIs" dxfId="5926" priority="136009" stopIfTrue="1" operator="lessThan">
      <formula>0.5</formula>
    </cfRule>
  </conditionalFormatting>
  <conditionalFormatting sqref="D21">
    <cfRule type="cellIs" dxfId="5925" priority="136010" stopIfTrue="1" operator="greaterThanOrEqual">
      <formula>0.5</formula>
    </cfRule>
  </conditionalFormatting>
  <conditionalFormatting sqref="D22">
    <cfRule type="cellIs" dxfId="5924" priority="136011" stopIfTrue="1" operator="equal">
      <formula>-1</formula>
    </cfRule>
  </conditionalFormatting>
  <conditionalFormatting sqref="D22">
    <cfRule type="cellIs" dxfId="5923" priority="136012" stopIfTrue="1" operator="lessThan">
      <formula>0.5</formula>
    </cfRule>
  </conditionalFormatting>
  <conditionalFormatting sqref="D22">
    <cfRule type="cellIs" dxfId="5922" priority="136013" stopIfTrue="1" operator="greaterThanOrEqual">
      <formula>0.5</formula>
    </cfRule>
  </conditionalFormatting>
  <conditionalFormatting sqref="D23">
    <cfRule type="cellIs" dxfId="5921" priority="136014" stopIfTrue="1" operator="equal">
      <formula>-1</formula>
    </cfRule>
  </conditionalFormatting>
  <conditionalFormatting sqref="D23">
    <cfRule type="cellIs" dxfId="5920" priority="136015" stopIfTrue="1" operator="lessThan">
      <formula>0.5</formula>
    </cfRule>
  </conditionalFormatting>
  <conditionalFormatting sqref="D23">
    <cfRule type="cellIs" dxfId="5919" priority="136016" stopIfTrue="1" operator="greaterThanOrEqual">
      <formula>0.5</formula>
    </cfRule>
  </conditionalFormatting>
  <conditionalFormatting sqref="D24">
    <cfRule type="cellIs" dxfId="5918" priority="136017" stopIfTrue="1" operator="equal">
      <formula>-1</formula>
    </cfRule>
  </conditionalFormatting>
  <conditionalFormatting sqref="D24">
    <cfRule type="cellIs" dxfId="5917" priority="136018" stopIfTrue="1" operator="lessThan">
      <formula>0.5</formula>
    </cfRule>
  </conditionalFormatting>
  <conditionalFormatting sqref="D24">
    <cfRule type="cellIs" dxfId="5916" priority="136019" stopIfTrue="1" operator="greaterThanOrEqual">
      <formula>0.5</formula>
    </cfRule>
  </conditionalFormatting>
  <conditionalFormatting sqref="D25">
    <cfRule type="cellIs" dxfId="5915" priority="136020" stopIfTrue="1" operator="equal">
      <formula>-1</formula>
    </cfRule>
  </conditionalFormatting>
  <conditionalFormatting sqref="D25">
    <cfRule type="cellIs" dxfId="5914" priority="136021" stopIfTrue="1" operator="lessThan">
      <formula>0.5</formula>
    </cfRule>
  </conditionalFormatting>
  <conditionalFormatting sqref="D25">
    <cfRule type="cellIs" dxfId="5913" priority="136022" stopIfTrue="1" operator="greaterThanOrEqual">
      <formula>0.5</formula>
    </cfRule>
  </conditionalFormatting>
  <conditionalFormatting sqref="D26">
    <cfRule type="cellIs" dxfId="5912" priority="136023" stopIfTrue="1" operator="equal">
      <formula>-1</formula>
    </cfRule>
  </conditionalFormatting>
  <conditionalFormatting sqref="D26">
    <cfRule type="cellIs" dxfId="5911" priority="136024" stopIfTrue="1" operator="lessThan">
      <formula>0.5</formula>
    </cfRule>
  </conditionalFormatting>
  <conditionalFormatting sqref="D26">
    <cfRule type="cellIs" dxfId="5910" priority="136025" stopIfTrue="1" operator="greaterThanOrEqual">
      <formula>0.5</formula>
    </cfRule>
  </conditionalFormatting>
  <conditionalFormatting sqref="D27">
    <cfRule type="cellIs" dxfId="5909" priority="136026" stopIfTrue="1" operator="equal">
      <formula>-1</formula>
    </cfRule>
  </conditionalFormatting>
  <conditionalFormatting sqref="D27">
    <cfRule type="cellIs" dxfId="5908" priority="136027" stopIfTrue="1" operator="lessThan">
      <formula>0.5</formula>
    </cfRule>
  </conditionalFormatting>
  <conditionalFormatting sqref="D27">
    <cfRule type="cellIs" dxfId="5907" priority="136028" stopIfTrue="1" operator="greaterThanOrEqual">
      <formula>0.5</formula>
    </cfRule>
  </conditionalFormatting>
  <conditionalFormatting sqref="D28">
    <cfRule type="cellIs" dxfId="5906" priority="136029" stopIfTrue="1" operator="equal">
      <formula>-1</formula>
    </cfRule>
  </conditionalFormatting>
  <conditionalFormatting sqref="D28">
    <cfRule type="cellIs" dxfId="5905" priority="136030" stopIfTrue="1" operator="lessThan">
      <formula>0.5</formula>
    </cfRule>
  </conditionalFormatting>
  <conditionalFormatting sqref="D28">
    <cfRule type="cellIs" dxfId="5904" priority="136031" stopIfTrue="1" operator="greaterThanOrEqual">
      <formula>0.5</formula>
    </cfRule>
  </conditionalFormatting>
  <conditionalFormatting sqref="D29">
    <cfRule type="cellIs" dxfId="5903" priority="136032" stopIfTrue="1" operator="equal">
      <formula>-1</formula>
    </cfRule>
  </conditionalFormatting>
  <conditionalFormatting sqref="D29">
    <cfRule type="cellIs" dxfId="5902" priority="136033" stopIfTrue="1" operator="lessThan">
      <formula>0.5</formula>
    </cfRule>
  </conditionalFormatting>
  <conditionalFormatting sqref="D29">
    <cfRule type="cellIs" dxfId="5901" priority="136034" stopIfTrue="1" operator="greaterThanOrEqual">
      <formula>0.5</formula>
    </cfRule>
  </conditionalFormatting>
  <conditionalFormatting sqref="D30">
    <cfRule type="cellIs" dxfId="5900" priority="136035" stopIfTrue="1" operator="equal">
      <formula>-1</formula>
    </cfRule>
  </conditionalFormatting>
  <conditionalFormatting sqref="D30">
    <cfRule type="cellIs" dxfId="5899" priority="136036" stopIfTrue="1" operator="lessThan">
      <formula>0.5</formula>
    </cfRule>
  </conditionalFormatting>
  <conditionalFormatting sqref="D30">
    <cfRule type="cellIs" dxfId="5898" priority="136037" stopIfTrue="1" operator="greaterThanOrEqual">
      <formula>0.5</formula>
    </cfRule>
  </conditionalFormatting>
  <conditionalFormatting sqref="D31">
    <cfRule type="cellIs" dxfId="5897" priority="136038" stopIfTrue="1" operator="equal">
      <formula>-1</formula>
    </cfRule>
  </conditionalFormatting>
  <conditionalFormatting sqref="D31">
    <cfRule type="cellIs" dxfId="5896" priority="136039" stopIfTrue="1" operator="lessThan">
      <formula>0.5</formula>
    </cfRule>
  </conditionalFormatting>
  <conditionalFormatting sqref="D31">
    <cfRule type="cellIs" dxfId="5895" priority="136040" stopIfTrue="1" operator="greaterThanOrEqual">
      <formula>0.5</formula>
    </cfRule>
  </conditionalFormatting>
  <conditionalFormatting sqref="D32">
    <cfRule type="cellIs" dxfId="5894" priority="136041" stopIfTrue="1" operator="equal">
      <formula>-1</formula>
    </cfRule>
  </conditionalFormatting>
  <conditionalFormatting sqref="D32">
    <cfRule type="cellIs" dxfId="5893" priority="136042" stopIfTrue="1" operator="lessThan">
      <formula>0.5</formula>
    </cfRule>
  </conditionalFormatting>
  <conditionalFormatting sqref="D32">
    <cfRule type="cellIs" dxfId="5892" priority="136043" stopIfTrue="1" operator="greaterThanOrEqual">
      <formula>0.5</formula>
    </cfRule>
  </conditionalFormatting>
  <conditionalFormatting sqref="D33">
    <cfRule type="cellIs" dxfId="5891" priority="136044" stopIfTrue="1" operator="equal">
      <formula>-1</formula>
    </cfRule>
  </conditionalFormatting>
  <conditionalFormatting sqref="D33">
    <cfRule type="cellIs" dxfId="5890" priority="136045" stopIfTrue="1" operator="lessThan">
      <formula>0.5</formula>
    </cfRule>
  </conditionalFormatting>
  <conditionalFormatting sqref="D33">
    <cfRule type="cellIs" dxfId="5889" priority="136046" stopIfTrue="1" operator="greaterThanOrEqual">
      <formula>0.5</formula>
    </cfRule>
  </conditionalFormatting>
  <conditionalFormatting sqref="D34">
    <cfRule type="cellIs" dxfId="5888" priority="136047" stopIfTrue="1" operator="equal">
      <formula>-1</formula>
    </cfRule>
  </conditionalFormatting>
  <conditionalFormatting sqref="D34">
    <cfRule type="cellIs" dxfId="5887" priority="136048" stopIfTrue="1" operator="lessThan">
      <formula>0.5</formula>
    </cfRule>
  </conditionalFormatting>
  <conditionalFormatting sqref="D34">
    <cfRule type="cellIs" dxfId="5886" priority="136049" stopIfTrue="1" operator="greaterThanOrEqual">
      <formula>0.5</formula>
    </cfRule>
  </conditionalFormatting>
  <conditionalFormatting sqref="D35">
    <cfRule type="cellIs" dxfId="5885" priority="136050" stopIfTrue="1" operator="equal">
      <formula>-1</formula>
    </cfRule>
  </conditionalFormatting>
  <conditionalFormatting sqref="D35">
    <cfRule type="cellIs" dxfId="5884" priority="136051" stopIfTrue="1" operator="lessThan">
      <formula>0.5</formula>
    </cfRule>
  </conditionalFormatting>
  <conditionalFormatting sqref="D35">
    <cfRule type="cellIs" dxfId="5883" priority="136052" stopIfTrue="1" operator="greaterThanOrEqual">
      <formula>0.5</formula>
    </cfRule>
  </conditionalFormatting>
  <conditionalFormatting sqref="D36">
    <cfRule type="cellIs" dxfId="5882" priority="136053" stopIfTrue="1" operator="equal">
      <formula>-1</formula>
    </cfRule>
  </conditionalFormatting>
  <conditionalFormatting sqref="D36">
    <cfRule type="cellIs" dxfId="5881" priority="136054" stopIfTrue="1" operator="lessThan">
      <formula>0.5</formula>
    </cfRule>
  </conditionalFormatting>
  <conditionalFormatting sqref="D36">
    <cfRule type="cellIs" dxfId="5880" priority="136055" stopIfTrue="1" operator="greaterThanOrEqual">
      <formula>0.5</formula>
    </cfRule>
  </conditionalFormatting>
  <conditionalFormatting sqref="D37">
    <cfRule type="cellIs" dxfId="5879" priority="136056" stopIfTrue="1" operator="equal">
      <formula>-1</formula>
    </cfRule>
  </conditionalFormatting>
  <conditionalFormatting sqref="D37">
    <cfRule type="cellIs" dxfId="5878" priority="136057" stopIfTrue="1" operator="lessThan">
      <formula>0.5</formula>
    </cfRule>
  </conditionalFormatting>
  <conditionalFormatting sqref="D37">
    <cfRule type="cellIs" dxfId="5877" priority="136058" stopIfTrue="1" operator="greaterThanOrEqual">
      <formula>0.5</formula>
    </cfRule>
  </conditionalFormatting>
  <conditionalFormatting sqref="F17">
    <cfRule type="cellIs" dxfId="5876" priority="136059" stopIfTrue="1" operator="equal">
      <formula>-1</formula>
    </cfRule>
  </conditionalFormatting>
  <conditionalFormatting sqref="F17">
    <cfRule type="cellIs" dxfId="5875" priority="136060" stopIfTrue="1" operator="lessThan">
      <formula>0.5</formula>
    </cfRule>
  </conditionalFormatting>
  <conditionalFormatting sqref="F17">
    <cfRule type="cellIs" dxfId="5874" priority="136061" stopIfTrue="1" operator="greaterThanOrEqual">
      <formula>0.5</formula>
    </cfRule>
  </conditionalFormatting>
  <conditionalFormatting sqref="F18">
    <cfRule type="cellIs" dxfId="5873" priority="136062" stopIfTrue="1" operator="equal">
      <formula>-1</formula>
    </cfRule>
  </conditionalFormatting>
  <conditionalFormatting sqref="F18">
    <cfRule type="cellIs" dxfId="5872" priority="136063" stopIfTrue="1" operator="lessThan">
      <formula>0.5</formula>
    </cfRule>
  </conditionalFormatting>
  <conditionalFormatting sqref="F18">
    <cfRule type="cellIs" dxfId="5871" priority="136064" stopIfTrue="1" operator="greaterThanOrEqual">
      <formula>0.5</formula>
    </cfRule>
  </conditionalFormatting>
  <conditionalFormatting sqref="F19">
    <cfRule type="cellIs" dxfId="5870" priority="136065" stopIfTrue="1" operator="equal">
      <formula>-1</formula>
    </cfRule>
  </conditionalFormatting>
  <conditionalFormatting sqref="F19">
    <cfRule type="cellIs" dxfId="5869" priority="136066" stopIfTrue="1" operator="lessThan">
      <formula>0.5</formula>
    </cfRule>
  </conditionalFormatting>
  <conditionalFormatting sqref="F19">
    <cfRule type="cellIs" dxfId="5868" priority="136067" stopIfTrue="1" operator="greaterThanOrEqual">
      <formula>0.5</formula>
    </cfRule>
  </conditionalFormatting>
  <conditionalFormatting sqref="F20">
    <cfRule type="cellIs" dxfId="5867" priority="136068" stopIfTrue="1" operator="equal">
      <formula>-1</formula>
    </cfRule>
  </conditionalFormatting>
  <conditionalFormatting sqref="F20">
    <cfRule type="cellIs" dxfId="5866" priority="136069" stopIfTrue="1" operator="lessThan">
      <formula>0.5</formula>
    </cfRule>
  </conditionalFormatting>
  <conditionalFormatting sqref="F20">
    <cfRule type="cellIs" dxfId="5865" priority="136070" stopIfTrue="1" operator="greaterThanOrEqual">
      <formula>0.5</formula>
    </cfRule>
  </conditionalFormatting>
  <conditionalFormatting sqref="F21">
    <cfRule type="cellIs" dxfId="5864" priority="136071" stopIfTrue="1" operator="equal">
      <formula>-1</formula>
    </cfRule>
  </conditionalFormatting>
  <conditionalFormatting sqref="F21">
    <cfRule type="cellIs" dxfId="5863" priority="136072" stopIfTrue="1" operator="lessThan">
      <formula>0.5</formula>
    </cfRule>
  </conditionalFormatting>
  <conditionalFormatting sqref="F21">
    <cfRule type="cellIs" dxfId="5862" priority="136073" stopIfTrue="1" operator="greaterThanOrEqual">
      <formula>0.5</formula>
    </cfRule>
  </conditionalFormatting>
  <conditionalFormatting sqref="F22">
    <cfRule type="cellIs" dxfId="5861" priority="136074" stopIfTrue="1" operator="equal">
      <formula>-1</formula>
    </cfRule>
  </conditionalFormatting>
  <conditionalFormatting sqref="F22">
    <cfRule type="cellIs" dxfId="5860" priority="136075" stopIfTrue="1" operator="lessThan">
      <formula>0.5</formula>
    </cfRule>
  </conditionalFormatting>
  <conditionalFormatting sqref="F22">
    <cfRule type="cellIs" dxfId="5859" priority="136076" stopIfTrue="1" operator="greaterThanOrEqual">
      <formula>0.5</formula>
    </cfRule>
  </conditionalFormatting>
  <conditionalFormatting sqref="F23">
    <cfRule type="cellIs" dxfId="5858" priority="136077" stopIfTrue="1" operator="equal">
      <formula>-1</formula>
    </cfRule>
  </conditionalFormatting>
  <conditionalFormatting sqref="F23">
    <cfRule type="cellIs" dxfId="5857" priority="136078" stopIfTrue="1" operator="lessThan">
      <formula>0.5</formula>
    </cfRule>
  </conditionalFormatting>
  <conditionalFormatting sqref="F23">
    <cfRule type="cellIs" dxfId="5856" priority="136079" stopIfTrue="1" operator="greaterThanOrEqual">
      <formula>0.5</formula>
    </cfRule>
  </conditionalFormatting>
  <conditionalFormatting sqref="F24">
    <cfRule type="cellIs" dxfId="5855" priority="136080" stopIfTrue="1" operator="equal">
      <formula>-1</formula>
    </cfRule>
  </conditionalFormatting>
  <conditionalFormatting sqref="F24">
    <cfRule type="cellIs" dxfId="5854" priority="136081" stopIfTrue="1" operator="lessThan">
      <formula>0.5</formula>
    </cfRule>
  </conditionalFormatting>
  <conditionalFormatting sqref="F24">
    <cfRule type="cellIs" dxfId="5853" priority="136082" stopIfTrue="1" operator="greaterThanOrEqual">
      <formula>0.5</formula>
    </cfRule>
  </conditionalFormatting>
  <conditionalFormatting sqref="F25">
    <cfRule type="cellIs" dxfId="5852" priority="136083" stopIfTrue="1" operator="equal">
      <formula>-1</formula>
    </cfRule>
  </conditionalFormatting>
  <conditionalFormatting sqref="F25">
    <cfRule type="cellIs" dxfId="5851" priority="136084" stopIfTrue="1" operator="lessThan">
      <formula>0.5</formula>
    </cfRule>
  </conditionalFormatting>
  <conditionalFormatting sqref="F25">
    <cfRule type="cellIs" dxfId="5850" priority="136085" stopIfTrue="1" operator="greaterThanOrEqual">
      <formula>0.5</formula>
    </cfRule>
  </conditionalFormatting>
  <conditionalFormatting sqref="F26">
    <cfRule type="cellIs" dxfId="5849" priority="136086" stopIfTrue="1" operator="equal">
      <formula>-1</formula>
    </cfRule>
  </conditionalFormatting>
  <conditionalFormatting sqref="F26">
    <cfRule type="cellIs" dxfId="5848" priority="136087" stopIfTrue="1" operator="lessThan">
      <formula>0.5</formula>
    </cfRule>
  </conditionalFormatting>
  <conditionalFormatting sqref="F26">
    <cfRule type="cellIs" dxfId="5847" priority="136088" stopIfTrue="1" operator="greaterThanOrEqual">
      <formula>0.5</formula>
    </cfRule>
  </conditionalFormatting>
  <conditionalFormatting sqref="F27">
    <cfRule type="cellIs" dxfId="5846" priority="136089" stopIfTrue="1" operator="equal">
      <formula>-1</formula>
    </cfRule>
  </conditionalFormatting>
  <conditionalFormatting sqref="F27">
    <cfRule type="cellIs" dxfId="5845" priority="136090" stopIfTrue="1" operator="lessThan">
      <formula>0.5</formula>
    </cfRule>
  </conditionalFormatting>
  <conditionalFormatting sqref="F27">
    <cfRule type="cellIs" dxfId="5844" priority="136091" stopIfTrue="1" operator="greaterThanOrEqual">
      <formula>0.5</formula>
    </cfRule>
  </conditionalFormatting>
  <conditionalFormatting sqref="F28">
    <cfRule type="cellIs" dxfId="5843" priority="136092" stopIfTrue="1" operator="equal">
      <formula>-1</formula>
    </cfRule>
  </conditionalFormatting>
  <conditionalFormatting sqref="F28">
    <cfRule type="cellIs" dxfId="5842" priority="136093" stopIfTrue="1" operator="lessThan">
      <formula>0.5</formula>
    </cfRule>
  </conditionalFormatting>
  <conditionalFormatting sqref="F28">
    <cfRule type="cellIs" dxfId="5841" priority="136094" stopIfTrue="1" operator="greaterThanOrEqual">
      <formula>0.5</formula>
    </cfRule>
  </conditionalFormatting>
  <conditionalFormatting sqref="F29">
    <cfRule type="cellIs" dxfId="5840" priority="136095" stopIfTrue="1" operator="equal">
      <formula>-1</formula>
    </cfRule>
  </conditionalFormatting>
  <conditionalFormatting sqref="F29">
    <cfRule type="cellIs" dxfId="5839" priority="136096" stopIfTrue="1" operator="lessThan">
      <formula>0.5</formula>
    </cfRule>
  </conditionalFormatting>
  <conditionalFormatting sqref="F29">
    <cfRule type="cellIs" dxfId="5838" priority="136097" stopIfTrue="1" operator="greaterThanOrEqual">
      <formula>0.5</formula>
    </cfRule>
  </conditionalFormatting>
  <conditionalFormatting sqref="F30">
    <cfRule type="cellIs" dxfId="5837" priority="136098" stopIfTrue="1" operator="equal">
      <formula>-1</formula>
    </cfRule>
  </conditionalFormatting>
  <conditionalFormatting sqref="F30">
    <cfRule type="cellIs" dxfId="5836" priority="136099" stopIfTrue="1" operator="lessThan">
      <formula>0.5</formula>
    </cfRule>
  </conditionalFormatting>
  <conditionalFormatting sqref="F30">
    <cfRule type="cellIs" dxfId="5835" priority="136100" stopIfTrue="1" operator="greaterThanOrEqual">
      <formula>0.5</formula>
    </cfRule>
  </conditionalFormatting>
  <conditionalFormatting sqref="F31">
    <cfRule type="cellIs" dxfId="5834" priority="136101" stopIfTrue="1" operator="equal">
      <formula>-1</formula>
    </cfRule>
  </conditionalFormatting>
  <conditionalFormatting sqref="F31">
    <cfRule type="cellIs" dxfId="5833" priority="136102" stopIfTrue="1" operator="lessThan">
      <formula>0.5</formula>
    </cfRule>
  </conditionalFormatting>
  <conditionalFormatting sqref="F31">
    <cfRule type="cellIs" dxfId="5832" priority="136103" stopIfTrue="1" operator="greaterThanOrEqual">
      <formula>0.5</formula>
    </cfRule>
  </conditionalFormatting>
  <conditionalFormatting sqref="F32">
    <cfRule type="cellIs" dxfId="5831" priority="136104" stopIfTrue="1" operator="equal">
      <formula>-1</formula>
    </cfRule>
  </conditionalFormatting>
  <conditionalFormatting sqref="F32">
    <cfRule type="cellIs" dxfId="5830" priority="136105" stopIfTrue="1" operator="lessThan">
      <formula>0.5</formula>
    </cfRule>
  </conditionalFormatting>
  <conditionalFormatting sqref="F32">
    <cfRule type="cellIs" dxfId="5829" priority="136106" stopIfTrue="1" operator="greaterThanOrEqual">
      <formula>0.5</formula>
    </cfRule>
  </conditionalFormatting>
  <conditionalFormatting sqref="F33">
    <cfRule type="cellIs" dxfId="5828" priority="136107" stopIfTrue="1" operator="equal">
      <formula>-1</formula>
    </cfRule>
  </conditionalFormatting>
  <conditionalFormatting sqref="F33">
    <cfRule type="cellIs" dxfId="5827" priority="136108" stopIfTrue="1" operator="lessThan">
      <formula>0.5</formula>
    </cfRule>
  </conditionalFormatting>
  <conditionalFormatting sqref="F33">
    <cfRule type="cellIs" dxfId="5826" priority="136109" stopIfTrue="1" operator="greaterThanOrEqual">
      <formula>0.5</formula>
    </cfRule>
  </conditionalFormatting>
  <conditionalFormatting sqref="F34">
    <cfRule type="cellIs" dxfId="5825" priority="136110" stopIfTrue="1" operator="equal">
      <formula>-1</formula>
    </cfRule>
  </conditionalFormatting>
  <conditionalFormatting sqref="F34">
    <cfRule type="cellIs" dxfId="5824" priority="136111" stopIfTrue="1" operator="lessThan">
      <formula>0.5</formula>
    </cfRule>
  </conditionalFormatting>
  <conditionalFormatting sqref="F34">
    <cfRule type="cellIs" dxfId="5823" priority="136112" stopIfTrue="1" operator="greaterThanOrEqual">
      <formula>0.5</formula>
    </cfRule>
  </conditionalFormatting>
  <conditionalFormatting sqref="F35">
    <cfRule type="cellIs" dxfId="5822" priority="136113" stopIfTrue="1" operator="equal">
      <formula>-1</formula>
    </cfRule>
  </conditionalFormatting>
  <conditionalFormatting sqref="F35">
    <cfRule type="cellIs" dxfId="5821" priority="136114" stopIfTrue="1" operator="lessThan">
      <formula>0.5</formula>
    </cfRule>
  </conditionalFormatting>
  <conditionalFormatting sqref="F35">
    <cfRule type="cellIs" dxfId="5820" priority="136115" stopIfTrue="1" operator="greaterThanOrEqual">
      <formula>0.5</formula>
    </cfRule>
  </conditionalFormatting>
  <conditionalFormatting sqref="F36">
    <cfRule type="cellIs" dxfId="5819" priority="136116" stopIfTrue="1" operator="equal">
      <formula>-1</formula>
    </cfRule>
  </conditionalFormatting>
  <conditionalFormatting sqref="F36">
    <cfRule type="cellIs" dxfId="5818" priority="136117" stopIfTrue="1" operator="lessThan">
      <formula>0.5</formula>
    </cfRule>
  </conditionalFormatting>
  <conditionalFormatting sqref="F36">
    <cfRule type="cellIs" dxfId="5817" priority="136118" stopIfTrue="1" operator="greaterThanOrEqual">
      <formula>0.5</formula>
    </cfRule>
  </conditionalFormatting>
  <conditionalFormatting sqref="F37">
    <cfRule type="cellIs" dxfId="5816" priority="136119" stopIfTrue="1" operator="equal">
      <formula>-1</formula>
    </cfRule>
  </conditionalFormatting>
  <conditionalFormatting sqref="F37">
    <cfRule type="cellIs" dxfId="5815" priority="136120" stopIfTrue="1" operator="lessThan">
      <formula>0.5</formula>
    </cfRule>
  </conditionalFormatting>
  <conditionalFormatting sqref="F37">
    <cfRule type="cellIs" dxfId="5814" priority="136121" stopIfTrue="1" operator="greaterThanOrEqual">
      <formula>0.5</formula>
    </cfRule>
  </conditionalFormatting>
  <conditionalFormatting sqref="H17">
    <cfRule type="cellIs" dxfId="5813" priority="136122" stopIfTrue="1" operator="equal">
      <formula>-1</formula>
    </cfRule>
  </conditionalFormatting>
  <conditionalFormatting sqref="H17">
    <cfRule type="cellIs" dxfId="5812" priority="136123" stopIfTrue="1" operator="lessThan">
      <formula>0.5</formula>
    </cfRule>
  </conditionalFormatting>
  <conditionalFormatting sqref="H17">
    <cfRule type="cellIs" dxfId="5811" priority="136124" stopIfTrue="1" operator="greaterThanOrEqual">
      <formula>0.5</formula>
    </cfRule>
  </conditionalFormatting>
  <conditionalFormatting sqref="H18">
    <cfRule type="cellIs" dxfId="5810" priority="136125" stopIfTrue="1" operator="equal">
      <formula>-1</formula>
    </cfRule>
  </conditionalFormatting>
  <conditionalFormatting sqref="H18">
    <cfRule type="cellIs" dxfId="5809" priority="136126" stopIfTrue="1" operator="lessThan">
      <formula>0.5</formula>
    </cfRule>
  </conditionalFormatting>
  <conditionalFormatting sqref="H18">
    <cfRule type="cellIs" dxfId="5808" priority="136127" stopIfTrue="1" operator="greaterThanOrEqual">
      <formula>0.5</formula>
    </cfRule>
  </conditionalFormatting>
  <conditionalFormatting sqref="H19">
    <cfRule type="cellIs" dxfId="5807" priority="136128" stopIfTrue="1" operator="equal">
      <formula>-1</formula>
    </cfRule>
  </conditionalFormatting>
  <conditionalFormatting sqref="H19">
    <cfRule type="cellIs" dxfId="5806" priority="136129" stopIfTrue="1" operator="lessThan">
      <formula>0.5</formula>
    </cfRule>
  </conditionalFormatting>
  <conditionalFormatting sqref="H19">
    <cfRule type="cellIs" dxfId="5805" priority="136130" stopIfTrue="1" operator="greaterThanOrEqual">
      <formula>0.5</formula>
    </cfRule>
  </conditionalFormatting>
  <conditionalFormatting sqref="H20">
    <cfRule type="cellIs" dxfId="5804" priority="136131" stopIfTrue="1" operator="equal">
      <formula>-1</formula>
    </cfRule>
  </conditionalFormatting>
  <conditionalFormatting sqref="H20">
    <cfRule type="cellIs" dxfId="5803" priority="136132" stopIfTrue="1" operator="lessThan">
      <formula>0.5</formula>
    </cfRule>
  </conditionalFormatting>
  <conditionalFormatting sqref="H20">
    <cfRule type="cellIs" dxfId="5802" priority="136133" stopIfTrue="1" operator="greaterThanOrEqual">
      <formula>0.5</formula>
    </cfRule>
  </conditionalFormatting>
  <conditionalFormatting sqref="H21">
    <cfRule type="cellIs" dxfId="5801" priority="136134" stopIfTrue="1" operator="equal">
      <formula>-1</formula>
    </cfRule>
  </conditionalFormatting>
  <conditionalFormatting sqref="H21">
    <cfRule type="cellIs" dxfId="5800" priority="136135" stopIfTrue="1" operator="lessThan">
      <formula>0.5</formula>
    </cfRule>
  </conditionalFormatting>
  <conditionalFormatting sqref="H21">
    <cfRule type="cellIs" dxfId="5799" priority="136136" stopIfTrue="1" operator="greaterThanOrEqual">
      <formula>0.5</formula>
    </cfRule>
  </conditionalFormatting>
  <conditionalFormatting sqref="H22">
    <cfRule type="cellIs" dxfId="5798" priority="136137" stopIfTrue="1" operator="equal">
      <formula>-1</formula>
    </cfRule>
  </conditionalFormatting>
  <conditionalFormatting sqref="H22">
    <cfRule type="cellIs" dxfId="5797" priority="136138" stopIfTrue="1" operator="lessThan">
      <formula>0.5</formula>
    </cfRule>
  </conditionalFormatting>
  <conditionalFormatting sqref="H22">
    <cfRule type="cellIs" dxfId="5796" priority="136139" stopIfTrue="1" operator="greaterThanOrEqual">
      <formula>0.5</formula>
    </cfRule>
  </conditionalFormatting>
  <conditionalFormatting sqref="H23">
    <cfRule type="cellIs" dxfId="5795" priority="136140" stopIfTrue="1" operator="equal">
      <formula>-1</formula>
    </cfRule>
  </conditionalFormatting>
  <conditionalFormatting sqref="H23">
    <cfRule type="cellIs" dxfId="5794" priority="136141" stopIfTrue="1" operator="lessThan">
      <formula>0.5</formula>
    </cfRule>
  </conditionalFormatting>
  <conditionalFormatting sqref="H23">
    <cfRule type="cellIs" dxfId="5793" priority="136142" stopIfTrue="1" operator="greaterThanOrEqual">
      <formula>0.5</formula>
    </cfRule>
  </conditionalFormatting>
  <conditionalFormatting sqref="H24">
    <cfRule type="cellIs" dxfId="5792" priority="136143" stopIfTrue="1" operator="equal">
      <formula>-1</formula>
    </cfRule>
  </conditionalFormatting>
  <conditionalFormatting sqref="H24">
    <cfRule type="cellIs" dxfId="5791" priority="136144" stopIfTrue="1" operator="lessThan">
      <formula>0.5</formula>
    </cfRule>
  </conditionalFormatting>
  <conditionalFormatting sqref="H24">
    <cfRule type="cellIs" dxfId="5790" priority="136145" stopIfTrue="1" operator="greaterThanOrEqual">
      <formula>0.5</formula>
    </cfRule>
  </conditionalFormatting>
  <conditionalFormatting sqref="H25">
    <cfRule type="cellIs" dxfId="5789" priority="136146" stopIfTrue="1" operator="equal">
      <formula>-1</formula>
    </cfRule>
  </conditionalFormatting>
  <conditionalFormatting sqref="H25">
    <cfRule type="cellIs" dxfId="5788" priority="136147" stopIfTrue="1" operator="lessThan">
      <formula>0.5</formula>
    </cfRule>
  </conditionalFormatting>
  <conditionalFormatting sqref="H25">
    <cfRule type="cellIs" dxfId="5787" priority="136148" stopIfTrue="1" operator="greaterThanOrEqual">
      <formula>0.5</formula>
    </cfRule>
  </conditionalFormatting>
  <conditionalFormatting sqref="H26">
    <cfRule type="cellIs" dxfId="5786" priority="136149" stopIfTrue="1" operator="equal">
      <formula>-1</formula>
    </cfRule>
  </conditionalFormatting>
  <conditionalFormatting sqref="H26">
    <cfRule type="cellIs" dxfId="5785" priority="136150" stopIfTrue="1" operator="lessThan">
      <formula>0.5</formula>
    </cfRule>
  </conditionalFormatting>
  <conditionalFormatting sqref="H26">
    <cfRule type="cellIs" dxfId="5784" priority="136151" stopIfTrue="1" operator="greaterThanOrEqual">
      <formula>0.5</formula>
    </cfRule>
  </conditionalFormatting>
  <conditionalFormatting sqref="H27">
    <cfRule type="cellIs" dxfId="5783" priority="136152" stopIfTrue="1" operator="equal">
      <formula>-1</formula>
    </cfRule>
  </conditionalFormatting>
  <conditionalFormatting sqref="H27">
    <cfRule type="cellIs" dxfId="5782" priority="136153" stopIfTrue="1" operator="lessThan">
      <formula>0.5</formula>
    </cfRule>
  </conditionalFormatting>
  <conditionalFormatting sqref="H27">
    <cfRule type="cellIs" dxfId="5781" priority="136154" stopIfTrue="1" operator="greaterThanOrEqual">
      <formula>0.5</formula>
    </cfRule>
  </conditionalFormatting>
  <conditionalFormatting sqref="H28">
    <cfRule type="cellIs" dxfId="5780" priority="136155" stopIfTrue="1" operator="equal">
      <formula>-1</formula>
    </cfRule>
  </conditionalFormatting>
  <conditionalFormatting sqref="H28">
    <cfRule type="cellIs" dxfId="5779" priority="136156" stopIfTrue="1" operator="lessThan">
      <formula>0.5</formula>
    </cfRule>
  </conditionalFormatting>
  <conditionalFormatting sqref="H28">
    <cfRule type="cellIs" dxfId="5778" priority="136157" stopIfTrue="1" operator="greaterThanOrEqual">
      <formula>0.5</formula>
    </cfRule>
  </conditionalFormatting>
  <conditionalFormatting sqref="H29">
    <cfRule type="cellIs" dxfId="5777" priority="136158" stopIfTrue="1" operator="equal">
      <formula>-1</formula>
    </cfRule>
  </conditionalFormatting>
  <conditionalFormatting sqref="H29">
    <cfRule type="cellIs" dxfId="5776" priority="136159" stopIfTrue="1" operator="lessThan">
      <formula>0.5</formula>
    </cfRule>
  </conditionalFormatting>
  <conditionalFormatting sqref="H29">
    <cfRule type="cellIs" dxfId="5775" priority="136160" stopIfTrue="1" operator="greaterThanOrEqual">
      <formula>0.5</formula>
    </cfRule>
  </conditionalFormatting>
  <conditionalFormatting sqref="H30">
    <cfRule type="cellIs" dxfId="5774" priority="136161" stopIfTrue="1" operator="equal">
      <formula>-1</formula>
    </cfRule>
  </conditionalFormatting>
  <conditionalFormatting sqref="H30">
    <cfRule type="cellIs" dxfId="5773" priority="136162" stopIfTrue="1" operator="lessThan">
      <formula>0.5</formula>
    </cfRule>
  </conditionalFormatting>
  <conditionalFormatting sqref="H30">
    <cfRule type="cellIs" dxfId="5772" priority="136163" stopIfTrue="1" operator="greaterThanOrEqual">
      <formula>0.5</formula>
    </cfRule>
  </conditionalFormatting>
  <conditionalFormatting sqref="H31">
    <cfRule type="cellIs" dxfId="5771" priority="136164" stopIfTrue="1" operator="equal">
      <formula>-1</formula>
    </cfRule>
  </conditionalFormatting>
  <conditionalFormatting sqref="H31">
    <cfRule type="cellIs" dxfId="5770" priority="136165" stopIfTrue="1" operator="lessThan">
      <formula>0.5</formula>
    </cfRule>
  </conditionalFormatting>
  <conditionalFormatting sqref="H31">
    <cfRule type="cellIs" dxfId="5769" priority="136166" stopIfTrue="1" operator="greaterThanOrEqual">
      <formula>0.5</formula>
    </cfRule>
  </conditionalFormatting>
  <conditionalFormatting sqref="H32">
    <cfRule type="cellIs" dxfId="5768" priority="136167" stopIfTrue="1" operator="equal">
      <formula>-1</formula>
    </cfRule>
  </conditionalFormatting>
  <conditionalFormatting sqref="H32">
    <cfRule type="cellIs" dxfId="5767" priority="136168" stopIfTrue="1" operator="lessThan">
      <formula>0.5</formula>
    </cfRule>
  </conditionalFormatting>
  <conditionalFormatting sqref="H32">
    <cfRule type="cellIs" dxfId="5766" priority="136169" stopIfTrue="1" operator="greaterThanOrEqual">
      <formula>0.5</formula>
    </cfRule>
  </conditionalFormatting>
  <conditionalFormatting sqref="H33">
    <cfRule type="cellIs" dxfId="5765" priority="136170" stopIfTrue="1" operator="equal">
      <formula>-1</formula>
    </cfRule>
  </conditionalFormatting>
  <conditionalFormatting sqref="H33">
    <cfRule type="cellIs" dxfId="5764" priority="136171" stopIfTrue="1" operator="lessThan">
      <formula>0.5</formula>
    </cfRule>
  </conditionalFormatting>
  <conditionalFormatting sqref="H33">
    <cfRule type="cellIs" dxfId="5763" priority="136172" stopIfTrue="1" operator="greaterThanOrEqual">
      <formula>0.5</formula>
    </cfRule>
  </conditionalFormatting>
  <conditionalFormatting sqref="H34">
    <cfRule type="cellIs" dxfId="5762" priority="136173" stopIfTrue="1" operator="equal">
      <formula>-1</formula>
    </cfRule>
  </conditionalFormatting>
  <conditionalFormatting sqref="H34">
    <cfRule type="cellIs" dxfId="5761" priority="136174" stopIfTrue="1" operator="lessThan">
      <formula>0.5</formula>
    </cfRule>
  </conditionalFormatting>
  <conditionalFormatting sqref="H34">
    <cfRule type="cellIs" dxfId="5760" priority="136175" stopIfTrue="1" operator="greaterThanOrEqual">
      <formula>0.5</formula>
    </cfRule>
  </conditionalFormatting>
  <conditionalFormatting sqref="H35">
    <cfRule type="cellIs" dxfId="5759" priority="136176" stopIfTrue="1" operator="equal">
      <formula>-1</formula>
    </cfRule>
  </conditionalFormatting>
  <conditionalFormatting sqref="H35">
    <cfRule type="cellIs" dxfId="5758" priority="136177" stopIfTrue="1" operator="lessThan">
      <formula>0.5</formula>
    </cfRule>
  </conditionalFormatting>
  <conditionalFormatting sqref="H35">
    <cfRule type="cellIs" dxfId="5757" priority="136178" stopIfTrue="1" operator="greaterThanOrEqual">
      <formula>0.5</formula>
    </cfRule>
  </conditionalFormatting>
  <conditionalFormatting sqref="H36">
    <cfRule type="cellIs" dxfId="5756" priority="136179" stopIfTrue="1" operator="equal">
      <formula>-1</formula>
    </cfRule>
  </conditionalFormatting>
  <conditionalFormatting sqref="H36">
    <cfRule type="cellIs" dxfId="5755" priority="136180" stopIfTrue="1" operator="lessThan">
      <formula>0.5</formula>
    </cfRule>
  </conditionalFormatting>
  <conditionalFormatting sqref="H36">
    <cfRule type="cellIs" dxfId="5754" priority="136181" stopIfTrue="1" operator="greaterThanOrEqual">
      <formula>0.5</formula>
    </cfRule>
  </conditionalFormatting>
  <conditionalFormatting sqref="H37">
    <cfRule type="cellIs" dxfId="5753" priority="136182" stopIfTrue="1" operator="equal">
      <formula>-1</formula>
    </cfRule>
  </conditionalFormatting>
  <conditionalFormatting sqref="H37">
    <cfRule type="cellIs" dxfId="5752" priority="136183" stopIfTrue="1" operator="lessThan">
      <formula>0.5</formula>
    </cfRule>
  </conditionalFormatting>
  <conditionalFormatting sqref="H37">
    <cfRule type="cellIs" dxfId="5751" priority="136184" stopIfTrue="1" operator="greaterThanOrEqual">
      <formula>0.5</formula>
    </cfRule>
  </conditionalFormatting>
  <conditionalFormatting sqref="J17">
    <cfRule type="cellIs" dxfId="5750" priority="136185" stopIfTrue="1" operator="equal">
      <formula>-1</formula>
    </cfRule>
  </conditionalFormatting>
  <conditionalFormatting sqref="J17">
    <cfRule type="cellIs" dxfId="5749" priority="136186" stopIfTrue="1" operator="lessThan">
      <formula>0.5</formula>
    </cfRule>
  </conditionalFormatting>
  <conditionalFormatting sqref="J17">
    <cfRule type="cellIs" dxfId="5748" priority="136187" stopIfTrue="1" operator="greaterThanOrEqual">
      <formula>0.5</formula>
    </cfRule>
  </conditionalFormatting>
  <conditionalFormatting sqref="J18">
    <cfRule type="cellIs" dxfId="5747" priority="136188" stopIfTrue="1" operator="equal">
      <formula>-1</formula>
    </cfRule>
  </conditionalFormatting>
  <conditionalFormatting sqref="J18">
    <cfRule type="cellIs" dxfId="5746" priority="136189" stopIfTrue="1" operator="lessThan">
      <formula>0.5</formula>
    </cfRule>
  </conditionalFormatting>
  <conditionalFormatting sqref="J18">
    <cfRule type="cellIs" dxfId="5745" priority="136190" stopIfTrue="1" operator="greaterThanOrEqual">
      <formula>0.5</formula>
    </cfRule>
  </conditionalFormatting>
  <conditionalFormatting sqref="J19">
    <cfRule type="cellIs" dxfId="5744" priority="136191" stopIfTrue="1" operator="equal">
      <formula>-1</formula>
    </cfRule>
  </conditionalFormatting>
  <conditionalFormatting sqref="J19">
    <cfRule type="cellIs" dxfId="5743" priority="136192" stopIfTrue="1" operator="lessThan">
      <formula>0.5</formula>
    </cfRule>
  </conditionalFormatting>
  <conditionalFormatting sqref="J19">
    <cfRule type="cellIs" dxfId="5742" priority="136193" stopIfTrue="1" operator="greaterThanOrEqual">
      <formula>0.5</formula>
    </cfRule>
  </conditionalFormatting>
  <conditionalFormatting sqref="J20">
    <cfRule type="cellIs" dxfId="5741" priority="136194" stopIfTrue="1" operator="equal">
      <formula>-1</formula>
    </cfRule>
  </conditionalFormatting>
  <conditionalFormatting sqref="J20">
    <cfRule type="cellIs" dxfId="5740" priority="136195" stopIfTrue="1" operator="lessThan">
      <formula>0.5</formula>
    </cfRule>
  </conditionalFormatting>
  <conditionalFormatting sqref="J20">
    <cfRule type="cellIs" dxfId="5739" priority="136196" stopIfTrue="1" operator="greaterThanOrEqual">
      <formula>0.5</formula>
    </cfRule>
  </conditionalFormatting>
  <conditionalFormatting sqref="J21">
    <cfRule type="cellIs" dxfId="5738" priority="136197" stopIfTrue="1" operator="equal">
      <formula>-1</formula>
    </cfRule>
  </conditionalFormatting>
  <conditionalFormatting sqref="J21">
    <cfRule type="cellIs" dxfId="5737" priority="136198" stopIfTrue="1" operator="lessThan">
      <formula>0.5</formula>
    </cfRule>
  </conditionalFormatting>
  <conditionalFormatting sqref="J21">
    <cfRule type="cellIs" dxfId="5736" priority="136199" stopIfTrue="1" operator="greaterThanOrEqual">
      <formula>0.5</formula>
    </cfRule>
  </conditionalFormatting>
  <conditionalFormatting sqref="J22">
    <cfRule type="cellIs" dxfId="5735" priority="136200" stopIfTrue="1" operator="equal">
      <formula>-1</formula>
    </cfRule>
  </conditionalFormatting>
  <conditionalFormatting sqref="J22">
    <cfRule type="cellIs" dxfId="5734" priority="136201" stopIfTrue="1" operator="lessThan">
      <formula>0.5</formula>
    </cfRule>
  </conditionalFormatting>
  <conditionalFormatting sqref="J22">
    <cfRule type="cellIs" dxfId="5733" priority="136202" stopIfTrue="1" operator="greaterThanOrEqual">
      <formula>0.5</formula>
    </cfRule>
  </conditionalFormatting>
  <conditionalFormatting sqref="J23">
    <cfRule type="cellIs" dxfId="5732" priority="136203" stopIfTrue="1" operator="equal">
      <formula>-1</formula>
    </cfRule>
  </conditionalFormatting>
  <conditionalFormatting sqref="J23">
    <cfRule type="cellIs" dxfId="5731" priority="136204" stopIfTrue="1" operator="lessThan">
      <formula>0.5</formula>
    </cfRule>
  </conditionalFormatting>
  <conditionalFormatting sqref="J23">
    <cfRule type="cellIs" dxfId="5730" priority="136205" stopIfTrue="1" operator="greaterThanOrEqual">
      <formula>0.5</formula>
    </cfRule>
  </conditionalFormatting>
  <conditionalFormatting sqref="J24">
    <cfRule type="cellIs" dxfId="5729" priority="136206" stopIfTrue="1" operator="equal">
      <formula>-1</formula>
    </cfRule>
  </conditionalFormatting>
  <conditionalFormatting sqref="J24">
    <cfRule type="cellIs" dxfId="5728" priority="136207" stopIfTrue="1" operator="lessThan">
      <formula>0.5</formula>
    </cfRule>
  </conditionalFormatting>
  <conditionalFormatting sqref="J24">
    <cfRule type="cellIs" dxfId="5727" priority="136208" stopIfTrue="1" operator="greaterThanOrEqual">
      <formula>0.5</formula>
    </cfRule>
  </conditionalFormatting>
  <conditionalFormatting sqref="J25">
    <cfRule type="cellIs" dxfId="5726" priority="136209" stopIfTrue="1" operator="equal">
      <formula>-1</formula>
    </cfRule>
  </conditionalFormatting>
  <conditionalFormatting sqref="J25">
    <cfRule type="cellIs" dxfId="5725" priority="136210" stopIfTrue="1" operator="lessThan">
      <formula>0.5</formula>
    </cfRule>
  </conditionalFormatting>
  <conditionalFormatting sqref="J25">
    <cfRule type="cellIs" dxfId="5724" priority="136211" stopIfTrue="1" operator="greaterThanOrEqual">
      <formula>0.5</formula>
    </cfRule>
  </conditionalFormatting>
  <conditionalFormatting sqref="J26">
    <cfRule type="cellIs" dxfId="5723" priority="136212" stopIfTrue="1" operator="equal">
      <formula>-1</formula>
    </cfRule>
  </conditionalFormatting>
  <conditionalFormatting sqref="J26">
    <cfRule type="cellIs" dxfId="5722" priority="136213" stopIfTrue="1" operator="lessThan">
      <formula>0.5</formula>
    </cfRule>
  </conditionalFormatting>
  <conditionalFormatting sqref="J26">
    <cfRule type="cellIs" dxfId="5721" priority="136214" stopIfTrue="1" operator="greaterThanOrEqual">
      <formula>0.5</formula>
    </cfRule>
  </conditionalFormatting>
  <conditionalFormatting sqref="J27">
    <cfRule type="cellIs" dxfId="5720" priority="136215" stopIfTrue="1" operator="equal">
      <formula>-1</formula>
    </cfRule>
  </conditionalFormatting>
  <conditionalFormatting sqref="J27">
    <cfRule type="cellIs" dxfId="5719" priority="136216" stopIfTrue="1" operator="lessThan">
      <formula>0.5</formula>
    </cfRule>
  </conditionalFormatting>
  <conditionalFormatting sqref="J27">
    <cfRule type="cellIs" dxfId="5718" priority="136217" stopIfTrue="1" operator="greaterThanOrEqual">
      <formula>0.5</formula>
    </cfRule>
  </conditionalFormatting>
  <conditionalFormatting sqref="J28">
    <cfRule type="cellIs" dxfId="5717" priority="136218" stopIfTrue="1" operator="equal">
      <formula>-1</formula>
    </cfRule>
  </conditionalFormatting>
  <conditionalFormatting sqref="J28">
    <cfRule type="cellIs" dxfId="5716" priority="136219" stopIfTrue="1" operator="lessThan">
      <formula>0.5</formula>
    </cfRule>
  </conditionalFormatting>
  <conditionalFormatting sqref="J28">
    <cfRule type="cellIs" dxfId="5715" priority="136220" stopIfTrue="1" operator="greaterThanOrEqual">
      <formula>0.5</formula>
    </cfRule>
  </conditionalFormatting>
  <conditionalFormatting sqref="J29">
    <cfRule type="cellIs" dxfId="5714" priority="136221" stopIfTrue="1" operator="equal">
      <formula>-1</formula>
    </cfRule>
  </conditionalFormatting>
  <conditionalFormatting sqref="J29">
    <cfRule type="cellIs" dxfId="5713" priority="136222" stopIfTrue="1" operator="lessThan">
      <formula>0.5</formula>
    </cfRule>
  </conditionalFormatting>
  <conditionalFormatting sqref="J29">
    <cfRule type="cellIs" dxfId="5712" priority="136223" stopIfTrue="1" operator="greaterThanOrEqual">
      <formula>0.5</formula>
    </cfRule>
  </conditionalFormatting>
  <conditionalFormatting sqref="J30">
    <cfRule type="cellIs" dxfId="5711" priority="136224" stopIfTrue="1" operator="equal">
      <formula>-1</formula>
    </cfRule>
  </conditionalFormatting>
  <conditionalFormatting sqref="J30">
    <cfRule type="cellIs" dxfId="5710" priority="136225" stopIfTrue="1" operator="lessThan">
      <formula>0.5</formula>
    </cfRule>
  </conditionalFormatting>
  <conditionalFormatting sqref="J30">
    <cfRule type="cellIs" dxfId="5709" priority="136226" stopIfTrue="1" operator="greaterThanOrEqual">
      <formula>0.5</formula>
    </cfRule>
  </conditionalFormatting>
  <conditionalFormatting sqref="J31">
    <cfRule type="cellIs" dxfId="5708" priority="136227" stopIfTrue="1" operator="equal">
      <formula>-1</formula>
    </cfRule>
  </conditionalFormatting>
  <conditionalFormatting sqref="J31">
    <cfRule type="cellIs" dxfId="5707" priority="136228" stopIfTrue="1" operator="lessThan">
      <formula>0.5</formula>
    </cfRule>
  </conditionalFormatting>
  <conditionalFormatting sqref="J31">
    <cfRule type="cellIs" dxfId="5706" priority="136229" stopIfTrue="1" operator="greaterThanOrEqual">
      <formula>0.5</formula>
    </cfRule>
  </conditionalFormatting>
  <conditionalFormatting sqref="J32">
    <cfRule type="cellIs" dxfId="5705" priority="136230" stopIfTrue="1" operator="equal">
      <formula>-1</formula>
    </cfRule>
  </conditionalFormatting>
  <conditionalFormatting sqref="J32">
    <cfRule type="cellIs" dxfId="5704" priority="136231" stopIfTrue="1" operator="lessThan">
      <formula>0.5</formula>
    </cfRule>
  </conditionalFormatting>
  <conditionalFormatting sqref="J32">
    <cfRule type="cellIs" dxfId="5703" priority="136232" stopIfTrue="1" operator="greaterThanOrEqual">
      <formula>0.5</formula>
    </cfRule>
  </conditionalFormatting>
  <conditionalFormatting sqref="J33">
    <cfRule type="cellIs" dxfId="5702" priority="136233" stopIfTrue="1" operator="equal">
      <formula>-1</formula>
    </cfRule>
  </conditionalFormatting>
  <conditionalFormatting sqref="J33">
    <cfRule type="cellIs" dxfId="5701" priority="136234" stopIfTrue="1" operator="lessThan">
      <formula>0.5</formula>
    </cfRule>
  </conditionalFormatting>
  <conditionalFormatting sqref="J33">
    <cfRule type="cellIs" dxfId="5700" priority="136235" stopIfTrue="1" operator="greaterThanOrEqual">
      <formula>0.5</formula>
    </cfRule>
  </conditionalFormatting>
  <conditionalFormatting sqref="J34">
    <cfRule type="cellIs" dxfId="5699" priority="136236" stopIfTrue="1" operator="equal">
      <formula>-1</formula>
    </cfRule>
  </conditionalFormatting>
  <conditionalFormatting sqref="J34">
    <cfRule type="cellIs" dxfId="5698" priority="136237" stopIfTrue="1" operator="lessThan">
      <formula>0.5</formula>
    </cfRule>
  </conditionalFormatting>
  <conditionalFormatting sqref="J34">
    <cfRule type="cellIs" dxfId="5697" priority="136238" stopIfTrue="1" operator="greaterThanOrEqual">
      <formula>0.5</formula>
    </cfRule>
  </conditionalFormatting>
  <conditionalFormatting sqref="J35">
    <cfRule type="cellIs" dxfId="5696" priority="136239" stopIfTrue="1" operator="equal">
      <formula>-1</formula>
    </cfRule>
  </conditionalFormatting>
  <conditionalFormatting sqref="J35">
    <cfRule type="cellIs" dxfId="5695" priority="136240" stopIfTrue="1" operator="lessThan">
      <formula>0.5</formula>
    </cfRule>
  </conditionalFormatting>
  <conditionalFormatting sqref="J35">
    <cfRule type="cellIs" dxfId="5694" priority="136241" stopIfTrue="1" operator="greaterThanOrEqual">
      <formula>0.5</formula>
    </cfRule>
  </conditionalFormatting>
  <conditionalFormatting sqref="J36">
    <cfRule type="cellIs" dxfId="5693" priority="136242" stopIfTrue="1" operator="equal">
      <formula>-1</formula>
    </cfRule>
  </conditionalFormatting>
  <conditionalFormatting sqref="J36">
    <cfRule type="cellIs" dxfId="5692" priority="136243" stopIfTrue="1" operator="lessThan">
      <formula>0.5</formula>
    </cfRule>
  </conditionalFormatting>
  <conditionalFormatting sqref="J36">
    <cfRule type="cellIs" dxfId="5691" priority="136244" stopIfTrue="1" operator="greaterThanOrEqual">
      <formula>0.5</formula>
    </cfRule>
  </conditionalFormatting>
  <conditionalFormatting sqref="J37">
    <cfRule type="cellIs" dxfId="5690" priority="136245" stopIfTrue="1" operator="equal">
      <formula>-1</formula>
    </cfRule>
  </conditionalFormatting>
  <conditionalFormatting sqref="J37">
    <cfRule type="cellIs" dxfId="5689" priority="136246" stopIfTrue="1" operator="lessThan">
      <formula>0.5</formula>
    </cfRule>
  </conditionalFormatting>
  <conditionalFormatting sqref="J37">
    <cfRule type="cellIs" dxfId="5688" priority="136247" stopIfTrue="1" operator="greaterThanOrEqual">
      <formula>0.5</formula>
    </cfRule>
  </conditionalFormatting>
  <conditionalFormatting sqref="L17">
    <cfRule type="cellIs" dxfId="5687" priority="136248" stopIfTrue="1" operator="equal">
      <formula>-1</formula>
    </cfRule>
  </conditionalFormatting>
  <conditionalFormatting sqref="L17">
    <cfRule type="cellIs" dxfId="5686" priority="136249" stopIfTrue="1" operator="lessThan">
      <formula>0.5</formula>
    </cfRule>
  </conditionalFormatting>
  <conditionalFormatting sqref="L17">
    <cfRule type="cellIs" dxfId="5685" priority="136250" stopIfTrue="1" operator="greaterThanOrEqual">
      <formula>0.5</formula>
    </cfRule>
  </conditionalFormatting>
  <conditionalFormatting sqref="L18">
    <cfRule type="cellIs" dxfId="5684" priority="136251" stopIfTrue="1" operator="equal">
      <formula>-1</formula>
    </cfRule>
  </conditionalFormatting>
  <conditionalFormatting sqref="L18">
    <cfRule type="cellIs" dxfId="5683" priority="136252" stopIfTrue="1" operator="lessThan">
      <formula>0.5</formula>
    </cfRule>
  </conditionalFormatting>
  <conditionalFormatting sqref="L18">
    <cfRule type="cellIs" dxfId="5682" priority="136253" stopIfTrue="1" operator="greaterThanOrEqual">
      <formula>0.5</formula>
    </cfRule>
  </conditionalFormatting>
  <conditionalFormatting sqref="L19">
    <cfRule type="cellIs" dxfId="5681" priority="136254" stopIfTrue="1" operator="equal">
      <formula>-1</formula>
    </cfRule>
  </conditionalFormatting>
  <conditionalFormatting sqref="L19">
    <cfRule type="cellIs" dxfId="5680" priority="136255" stopIfTrue="1" operator="lessThan">
      <formula>0.5</formula>
    </cfRule>
  </conditionalFormatting>
  <conditionalFormatting sqref="L19">
    <cfRule type="cellIs" dxfId="5679" priority="136256" stopIfTrue="1" operator="greaterThanOrEqual">
      <formula>0.5</formula>
    </cfRule>
  </conditionalFormatting>
  <conditionalFormatting sqref="L20">
    <cfRule type="cellIs" dxfId="5678" priority="136257" stopIfTrue="1" operator="equal">
      <formula>-1</formula>
    </cfRule>
  </conditionalFormatting>
  <conditionalFormatting sqref="L20">
    <cfRule type="cellIs" dxfId="5677" priority="136258" stopIfTrue="1" operator="lessThan">
      <formula>0.5</formula>
    </cfRule>
  </conditionalFormatting>
  <conditionalFormatting sqref="L20">
    <cfRule type="cellIs" dxfId="5676" priority="136259" stopIfTrue="1" operator="greaterThanOrEqual">
      <formula>0.5</formula>
    </cfRule>
  </conditionalFormatting>
  <conditionalFormatting sqref="L21">
    <cfRule type="cellIs" dxfId="5675" priority="136260" stopIfTrue="1" operator="equal">
      <formula>-1</formula>
    </cfRule>
  </conditionalFormatting>
  <conditionalFormatting sqref="L21">
    <cfRule type="cellIs" dxfId="5674" priority="136261" stopIfTrue="1" operator="lessThan">
      <formula>0.5</formula>
    </cfRule>
  </conditionalFormatting>
  <conditionalFormatting sqref="L21">
    <cfRule type="cellIs" dxfId="5673" priority="136262" stopIfTrue="1" operator="greaterThanOrEqual">
      <formula>0.5</formula>
    </cfRule>
  </conditionalFormatting>
  <conditionalFormatting sqref="L22">
    <cfRule type="cellIs" dxfId="5672" priority="136263" stopIfTrue="1" operator="equal">
      <formula>-1</formula>
    </cfRule>
  </conditionalFormatting>
  <conditionalFormatting sqref="L22">
    <cfRule type="cellIs" dxfId="5671" priority="136264" stopIfTrue="1" operator="lessThan">
      <formula>0.5</formula>
    </cfRule>
  </conditionalFormatting>
  <conditionalFormatting sqref="L22">
    <cfRule type="cellIs" dxfId="5670" priority="136265" stopIfTrue="1" operator="greaterThanOrEqual">
      <formula>0.5</formula>
    </cfRule>
  </conditionalFormatting>
  <conditionalFormatting sqref="L23">
    <cfRule type="cellIs" dxfId="5669" priority="136266" stopIfTrue="1" operator="equal">
      <formula>-1</formula>
    </cfRule>
  </conditionalFormatting>
  <conditionalFormatting sqref="L23">
    <cfRule type="cellIs" dxfId="5668" priority="136267" stopIfTrue="1" operator="lessThan">
      <formula>0.5</formula>
    </cfRule>
  </conditionalFormatting>
  <conditionalFormatting sqref="L23">
    <cfRule type="cellIs" dxfId="5667" priority="136268" stopIfTrue="1" operator="greaterThanOrEqual">
      <formula>0.5</formula>
    </cfRule>
  </conditionalFormatting>
  <conditionalFormatting sqref="L24">
    <cfRule type="cellIs" dxfId="5666" priority="136269" stopIfTrue="1" operator="equal">
      <formula>-1</formula>
    </cfRule>
  </conditionalFormatting>
  <conditionalFormatting sqref="L24">
    <cfRule type="cellIs" dxfId="5665" priority="136270" stopIfTrue="1" operator="lessThan">
      <formula>0.5</formula>
    </cfRule>
  </conditionalFormatting>
  <conditionalFormatting sqref="L24">
    <cfRule type="cellIs" dxfId="5664" priority="136271" stopIfTrue="1" operator="greaterThanOrEqual">
      <formula>0.5</formula>
    </cfRule>
  </conditionalFormatting>
  <conditionalFormatting sqref="L25">
    <cfRule type="cellIs" dxfId="5663" priority="136272" stopIfTrue="1" operator="equal">
      <formula>-1</formula>
    </cfRule>
  </conditionalFormatting>
  <conditionalFormatting sqref="L25">
    <cfRule type="cellIs" dxfId="5662" priority="136273" stopIfTrue="1" operator="lessThan">
      <formula>0.5</formula>
    </cfRule>
  </conditionalFormatting>
  <conditionalFormatting sqref="L25">
    <cfRule type="cellIs" dxfId="5661" priority="136274" stopIfTrue="1" operator="greaterThanOrEqual">
      <formula>0.5</formula>
    </cfRule>
  </conditionalFormatting>
  <conditionalFormatting sqref="L26">
    <cfRule type="cellIs" dxfId="5660" priority="136275" stopIfTrue="1" operator="equal">
      <formula>-1</formula>
    </cfRule>
  </conditionalFormatting>
  <conditionalFormatting sqref="L26">
    <cfRule type="cellIs" dxfId="5659" priority="136276" stopIfTrue="1" operator="lessThan">
      <formula>0.5</formula>
    </cfRule>
  </conditionalFormatting>
  <conditionalFormatting sqref="L26">
    <cfRule type="cellIs" dxfId="5658" priority="136277" stopIfTrue="1" operator="greaterThanOrEqual">
      <formula>0.5</formula>
    </cfRule>
  </conditionalFormatting>
  <conditionalFormatting sqref="L27">
    <cfRule type="cellIs" dxfId="5657" priority="136278" stopIfTrue="1" operator="equal">
      <formula>-1</formula>
    </cfRule>
  </conditionalFormatting>
  <conditionalFormatting sqref="L27">
    <cfRule type="cellIs" dxfId="5656" priority="136279" stopIfTrue="1" operator="lessThan">
      <formula>0.5</formula>
    </cfRule>
  </conditionalFormatting>
  <conditionalFormatting sqref="L27">
    <cfRule type="cellIs" dxfId="5655" priority="136280" stopIfTrue="1" operator="greaterThanOrEqual">
      <formula>0.5</formula>
    </cfRule>
  </conditionalFormatting>
  <conditionalFormatting sqref="L28">
    <cfRule type="cellIs" dxfId="5654" priority="136281" stopIfTrue="1" operator="equal">
      <formula>-1</formula>
    </cfRule>
  </conditionalFormatting>
  <conditionalFormatting sqref="L28">
    <cfRule type="cellIs" dxfId="5653" priority="136282" stopIfTrue="1" operator="lessThan">
      <formula>0.5</formula>
    </cfRule>
  </conditionalFormatting>
  <conditionalFormatting sqref="L28">
    <cfRule type="cellIs" dxfId="5652" priority="136283" stopIfTrue="1" operator="greaterThanOrEqual">
      <formula>0.5</formula>
    </cfRule>
  </conditionalFormatting>
  <conditionalFormatting sqref="L29">
    <cfRule type="cellIs" dxfId="5651" priority="136284" stopIfTrue="1" operator="equal">
      <formula>-1</formula>
    </cfRule>
  </conditionalFormatting>
  <conditionalFormatting sqref="L29">
    <cfRule type="cellIs" dxfId="5650" priority="136285" stopIfTrue="1" operator="lessThan">
      <formula>0.5</formula>
    </cfRule>
  </conditionalFormatting>
  <conditionalFormatting sqref="L29">
    <cfRule type="cellIs" dxfId="5649" priority="136286" stopIfTrue="1" operator="greaterThanOrEqual">
      <formula>0.5</formula>
    </cfRule>
  </conditionalFormatting>
  <conditionalFormatting sqref="L30">
    <cfRule type="cellIs" dxfId="5648" priority="136287" stopIfTrue="1" operator="equal">
      <formula>-1</formula>
    </cfRule>
  </conditionalFormatting>
  <conditionalFormatting sqref="L30">
    <cfRule type="cellIs" dxfId="5647" priority="136288" stopIfTrue="1" operator="lessThan">
      <formula>0.5</formula>
    </cfRule>
  </conditionalFormatting>
  <conditionalFormatting sqref="L30">
    <cfRule type="cellIs" dxfId="5646" priority="136289" stopIfTrue="1" operator="greaterThanOrEqual">
      <formula>0.5</formula>
    </cfRule>
  </conditionalFormatting>
  <conditionalFormatting sqref="L31">
    <cfRule type="cellIs" dxfId="5645" priority="136290" stopIfTrue="1" operator="equal">
      <formula>-1</formula>
    </cfRule>
  </conditionalFormatting>
  <conditionalFormatting sqref="L31">
    <cfRule type="cellIs" dxfId="5644" priority="136291" stopIfTrue="1" operator="lessThan">
      <formula>0.5</formula>
    </cfRule>
  </conditionalFormatting>
  <conditionalFormatting sqref="L31">
    <cfRule type="cellIs" dxfId="5643" priority="136292" stopIfTrue="1" operator="greaterThanOrEqual">
      <formula>0.5</formula>
    </cfRule>
  </conditionalFormatting>
  <conditionalFormatting sqref="L32">
    <cfRule type="cellIs" dxfId="5642" priority="136293" stopIfTrue="1" operator="equal">
      <formula>-1</formula>
    </cfRule>
  </conditionalFormatting>
  <conditionalFormatting sqref="L32">
    <cfRule type="cellIs" dxfId="5641" priority="136294" stopIfTrue="1" operator="lessThan">
      <formula>0.5</formula>
    </cfRule>
  </conditionalFormatting>
  <conditionalFormatting sqref="L32">
    <cfRule type="cellIs" dxfId="5640" priority="136295" stopIfTrue="1" operator="greaterThanOrEqual">
      <formula>0.5</formula>
    </cfRule>
  </conditionalFormatting>
  <conditionalFormatting sqref="L33">
    <cfRule type="cellIs" dxfId="5639" priority="136296" stopIfTrue="1" operator="equal">
      <formula>-1</formula>
    </cfRule>
  </conditionalFormatting>
  <conditionalFormatting sqref="L33">
    <cfRule type="cellIs" dxfId="5638" priority="136297" stopIfTrue="1" operator="lessThan">
      <formula>0.5</formula>
    </cfRule>
  </conditionalFormatting>
  <conditionalFormatting sqref="L33">
    <cfRule type="cellIs" dxfId="5637" priority="136298" stopIfTrue="1" operator="greaterThanOrEqual">
      <formula>0.5</formula>
    </cfRule>
  </conditionalFormatting>
  <conditionalFormatting sqref="L34">
    <cfRule type="cellIs" dxfId="5636" priority="136299" stopIfTrue="1" operator="equal">
      <formula>-1</formula>
    </cfRule>
  </conditionalFormatting>
  <conditionalFormatting sqref="L34">
    <cfRule type="cellIs" dxfId="5635" priority="136300" stopIfTrue="1" operator="lessThan">
      <formula>0.5</formula>
    </cfRule>
  </conditionalFormatting>
  <conditionalFormatting sqref="L34">
    <cfRule type="cellIs" dxfId="5634" priority="136301" stopIfTrue="1" operator="greaterThanOrEqual">
      <formula>0.5</formula>
    </cfRule>
  </conditionalFormatting>
  <conditionalFormatting sqref="L35">
    <cfRule type="cellIs" dxfId="5633" priority="136302" stopIfTrue="1" operator="equal">
      <formula>-1</formula>
    </cfRule>
  </conditionalFormatting>
  <conditionalFormatting sqref="L35">
    <cfRule type="cellIs" dxfId="5632" priority="136303" stopIfTrue="1" operator="lessThan">
      <formula>0.5</formula>
    </cfRule>
  </conditionalFormatting>
  <conditionalFormatting sqref="L35">
    <cfRule type="cellIs" dxfId="5631" priority="136304" stopIfTrue="1" operator="greaterThanOrEqual">
      <formula>0.5</formula>
    </cfRule>
  </conditionalFormatting>
  <conditionalFormatting sqref="L36">
    <cfRule type="cellIs" dxfId="5630" priority="136305" stopIfTrue="1" operator="equal">
      <formula>-1</formula>
    </cfRule>
  </conditionalFormatting>
  <conditionalFormatting sqref="L36">
    <cfRule type="cellIs" dxfId="5629" priority="136306" stopIfTrue="1" operator="lessThan">
      <formula>0.5</formula>
    </cfRule>
  </conditionalFormatting>
  <conditionalFormatting sqref="L36">
    <cfRule type="cellIs" dxfId="5628" priority="136307" stopIfTrue="1" operator="greaterThanOrEqual">
      <formula>0.5</formula>
    </cfRule>
  </conditionalFormatting>
  <conditionalFormatting sqref="L37">
    <cfRule type="cellIs" dxfId="5627" priority="136308" stopIfTrue="1" operator="equal">
      <formula>-1</formula>
    </cfRule>
  </conditionalFormatting>
  <conditionalFormatting sqref="L37">
    <cfRule type="cellIs" dxfId="5626" priority="136309" stopIfTrue="1" operator="lessThan">
      <formula>0.5</formula>
    </cfRule>
  </conditionalFormatting>
  <conditionalFormatting sqref="L37">
    <cfRule type="cellIs" dxfId="5625" priority="136310" stopIfTrue="1" operator="greaterThanOrEqual">
      <formula>0.5</formula>
    </cfRule>
  </conditionalFormatting>
  <conditionalFormatting sqref="N17">
    <cfRule type="cellIs" dxfId="5624" priority="136311" stopIfTrue="1" operator="equal">
      <formula>-1</formula>
    </cfRule>
  </conditionalFormatting>
  <conditionalFormatting sqref="N17">
    <cfRule type="cellIs" dxfId="5623" priority="136312" stopIfTrue="1" operator="lessThan">
      <formula>0.5</formula>
    </cfRule>
  </conditionalFormatting>
  <conditionalFormatting sqref="N17">
    <cfRule type="cellIs" dxfId="5622" priority="136313" stopIfTrue="1" operator="greaterThanOrEqual">
      <formula>0.5</formula>
    </cfRule>
  </conditionalFormatting>
  <conditionalFormatting sqref="N18">
    <cfRule type="cellIs" dxfId="5621" priority="136314" stopIfTrue="1" operator="equal">
      <formula>-1</formula>
    </cfRule>
  </conditionalFormatting>
  <conditionalFormatting sqref="N18">
    <cfRule type="cellIs" dxfId="5620" priority="136315" stopIfTrue="1" operator="lessThan">
      <formula>0.5</formula>
    </cfRule>
  </conditionalFormatting>
  <conditionalFormatting sqref="N18">
    <cfRule type="cellIs" dxfId="5619" priority="136316" stopIfTrue="1" operator="greaterThanOrEqual">
      <formula>0.5</formula>
    </cfRule>
  </conditionalFormatting>
  <conditionalFormatting sqref="N19">
    <cfRule type="cellIs" dxfId="5618" priority="136317" stopIfTrue="1" operator="equal">
      <formula>-1</formula>
    </cfRule>
  </conditionalFormatting>
  <conditionalFormatting sqref="N19">
    <cfRule type="cellIs" dxfId="5617" priority="136318" stopIfTrue="1" operator="lessThan">
      <formula>0.5</formula>
    </cfRule>
  </conditionalFormatting>
  <conditionalFormatting sqref="N19">
    <cfRule type="cellIs" dxfId="5616" priority="136319" stopIfTrue="1" operator="greaterThanOrEqual">
      <formula>0.5</formula>
    </cfRule>
  </conditionalFormatting>
  <conditionalFormatting sqref="N20">
    <cfRule type="cellIs" dxfId="5615" priority="136320" stopIfTrue="1" operator="equal">
      <formula>-1</formula>
    </cfRule>
  </conditionalFormatting>
  <conditionalFormatting sqref="N20">
    <cfRule type="cellIs" dxfId="5614" priority="136321" stopIfTrue="1" operator="lessThan">
      <formula>0.5</formula>
    </cfRule>
  </conditionalFormatting>
  <conditionalFormatting sqref="N20">
    <cfRule type="cellIs" dxfId="5613" priority="136322" stopIfTrue="1" operator="greaterThanOrEqual">
      <formula>0.5</formula>
    </cfRule>
  </conditionalFormatting>
  <conditionalFormatting sqref="N21">
    <cfRule type="cellIs" dxfId="5612" priority="136323" stopIfTrue="1" operator="equal">
      <formula>-1</formula>
    </cfRule>
  </conditionalFormatting>
  <conditionalFormatting sqref="N21">
    <cfRule type="cellIs" dxfId="5611" priority="136324" stopIfTrue="1" operator="lessThan">
      <formula>0.5</formula>
    </cfRule>
  </conditionalFormatting>
  <conditionalFormatting sqref="N21">
    <cfRule type="cellIs" dxfId="5610" priority="136325" stopIfTrue="1" operator="greaterThanOrEqual">
      <formula>0.5</formula>
    </cfRule>
  </conditionalFormatting>
  <conditionalFormatting sqref="N22">
    <cfRule type="cellIs" dxfId="5609" priority="136326" stopIfTrue="1" operator="equal">
      <formula>-1</formula>
    </cfRule>
  </conditionalFormatting>
  <conditionalFormatting sqref="N22">
    <cfRule type="cellIs" dxfId="5608" priority="136327" stopIfTrue="1" operator="lessThan">
      <formula>0.5</formula>
    </cfRule>
  </conditionalFormatting>
  <conditionalFormatting sqref="N22">
    <cfRule type="cellIs" dxfId="5607" priority="136328" stopIfTrue="1" operator="greaterThanOrEqual">
      <formula>0.5</formula>
    </cfRule>
  </conditionalFormatting>
  <conditionalFormatting sqref="N23">
    <cfRule type="cellIs" dxfId="5606" priority="136329" stopIfTrue="1" operator="equal">
      <formula>-1</formula>
    </cfRule>
  </conditionalFormatting>
  <conditionalFormatting sqref="N23">
    <cfRule type="cellIs" dxfId="5605" priority="136330" stopIfTrue="1" operator="lessThan">
      <formula>0.5</formula>
    </cfRule>
  </conditionalFormatting>
  <conditionalFormatting sqref="N23">
    <cfRule type="cellIs" dxfId="5604" priority="136331" stopIfTrue="1" operator="greaterThanOrEqual">
      <formula>0.5</formula>
    </cfRule>
  </conditionalFormatting>
  <conditionalFormatting sqref="N24">
    <cfRule type="cellIs" dxfId="5603" priority="136332" stopIfTrue="1" operator="equal">
      <formula>-1</formula>
    </cfRule>
  </conditionalFormatting>
  <conditionalFormatting sqref="N24">
    <cfRule type="cellIs" dxfId="5602" priority="136333" stopIfTrue="1" operator="lessThan">
      <formula>0.5</formula>
    </cfRule>
  </conditionalFormatting>
  <conditionalFormatting sqref="N24">
    <cfRule type="cellIs" dxfId="5601" priority="136334" stopIfTrue="1" operator="greaterThanOrEqual">
      <formula>0.5</formula>
    </cfRule>
  </conditionalFormatting>
  <conditionalFormatting sqref="N25">
    <cfRule type="cellIs" dxfId="5600" priority="136335" stopIfTrue="1" operator="equal">
      <formula>-1</formula>
    </cfRule>
  </conditionalFormatting>
  <conditionalFormatting sqref="N25">
    <cfRule type="cellIs" dxfId="5599" priority="136336" stopIfTrue="1" operator="lessThan">
      <formula>0.5</formula>
    </cfRule>
  </conditionalFormatting>
  <conditionalFormatting sqref="N25">
    <cfRule type="cellIs" dxfId="5598" priority="136337" stopIfTrue="1" operator="greaterThanOrEqual">
      <formula>0.5</formula>
    </cfRule>
  </conditionalFormatting>
  <conditionalFormatting sqref="N26">
    <cfRule type="cellIs" dxfId="5597" priority="136338" stopIfTrue="1" operator="equal">
      <formula>-1</formula>
    </cfRule>
  </conditionalFormatting>
  <conditionalFormatting sqref="N26">
    <cfRule type="cellIs" dxfId="5596" priority="136339" stopIfTrue="1" operator="lessThan">
      <formula>0.5</formula>
    </cfRule>
  </conditionalFormatting>
  <conditionalFormatting sqref="N26">
    <cfRule type="cellIs" dxfId="5595" priority="136340" stopIfTrue="1" operator="greaterThanOrEqual">
      <formula>0.5</formula>
    </cfRule>
  </conditionalFormatting>
  <conditionalFormatting sqref="N27">
    <cfRule type="cellIs" dxfId="5594" priority="136341" stopIfTrue="1" operator="equal">
      <formula>-1</formula>
    </cfRule>
  </conditionalFormatting>
  <conditionalFormatting sqref="N27">
    <cfRule type="cellIs" dxfId="5593" priority="136342" stopIfTrue="1" operator="lessThan">
      <formula>0.5</formula>
    </cfRule>
  </conditionalFormatting>
  <conditionalFormatting sqref="N27">
    <cfRule type="cellIs" dxfId="5592" priority="136343" stopIfTrue="1" operator="greaterThanOrEqual">
      <formula>0.5</formula>
    </cfRule>
  </conditionalFormatting>
  <conditionalFormatting sqref="N28">
    <cfRule type="cellIs" dxfId="5591" priority="136344" stopIfTrue="1" operator="equal">
      <formula>-1</formula>
    </cfRule>
  </conditionalFormatting>
  <conditionalFormatting sqref="N28">
    <cfRule type="cellIs" dxfId="5590" priority="136345" stopIfTrue="1" operator="lessThan">
      <formula>0.5</formula>
    </cfRule>
  </conditionalFormatting>
  <conditionalFormatting sqref="N28">
    <cfRule type="cellIs" dxfId="5589" priority="136346" stopIfTrue="1" operator="greaterThanOrEqual">
      <formula>0.5</formula>
    </cfRule>
  </conditionalFormatting>
  <conditionalFormatting sqref="N29">
    <cfRule type="cellIs" dxfId="5588" priority="136347" stopIfTrue="1" operator="equal">
      <formula>-1</formula>
    </cfRule>
  </conditionalFormatting>
  <conditionalFormatting sqref="N29">
    <cfRule type="cellIs" dxfId="5587" priority="136348" stopIfTrue="1" operator="lessThan">
      <formula>0.5</formula>
    </cfRule>
  </conditionalFormatting>
  <conditionalFormatting sqref="N29">
    <cfRule type="cellIs" dxfId="5586" priority="136349" stopIfTrue="1" operator="greaterThanOrEqual">
      <formula>0.5</formula>
    </cfRule>
  </conditionalFormatting>
  <conditionalFormatting sqref="N30">
    <cfRule type="cellIs" dxfId="5585" priority="136350" stopIfTrue="1" operator="equal">
      <formula>-1</formula>
    </cfRule>
  </conditionalFormatting>
  <conditionalFormatting sqref="N30">
    <cfRule type="cellIs" dxfId="5584" priority="136351" stopIfTrue="1" operator="lessThan">
      <formula>0.5</formula>
    </cfRule>
  </conditionalFormatting>
  <conditionalFormatting sqref="N30">
    <cfRule type="cellIs" dxfId="5583" priority="136352" stopIfTrue="1" operator="greaterThanOrEqual">
      <formula>0.5</formula>
    </cfRule>
  </conditionalFormatting>
  <conditionalFormatting sqref="N31">
    <cfRule type="cellIs" dxfId="5582" priority="136353" stopIfTrue="1" operator="equal">
      <formula>-1</formula>
    </cfRule>
  </conditionalFormatting>
  <conditionalFormatting sqref="N31">
    <cfRule type="cellIs" dxfId="5581" priority="136354" stopIfTrue="1" operator="lessThan">
      <formula>0.5</formula>
    </cfRule>
  </conditionalFormatting>
  <conditionalFormatting sqref="N31">
    <cfRule type="cellIs" dxfId="5580" priority="136355" stopIfTrue="1" operator="greaterThanOrEqual">
      <formula>0.5</formula>
    </cfRule>
  </conditionalFormatting>
  <conditionalFormatting sqref="N32">
    <cfRule type="cellIs" dxfId="5579" priority="136356" stopIfTrue="1" operator="equal">
      <formula>-1</formula>
    </cfRule>
  </conditionalFormatting>
  <conditionalFormatting sqref="N32">
    <cfRule type="cellIs" dxfId="5578" priority="136357" stopIfTrue="1" operator="lessThan">
      <formula>0.5</formula>
    </cfRule>
  </conditionalFormatting>
  <conditionalFormatting sqref="N32">
    <cfRule type="cellIs" dxfId="5577" priority="136358" stopIfTrue="1" operator="greaterThanOrEqual">
      <formula>0.5</formula>
    </cfRule>
  </conditionalFormatting>
  <conditionalFormatting sqref="N33">
    <cfRule type="cellIs" dxfId="5576" priority="136359" stopIfTrue="1" operator="equal">
      <formula>-1</formula>
    </cfRule>
  </conditionalFormatting>
  <conditionalFormatting sqref="N33">
    <cfRule type="cellIs" dxfId="5575" priority="136360" stopIfTrue="1" operator="lessThan">
      <formula>0.5</formula>
    </cfRule>
  </conditionalFormatting>
  <conditionalFormatting sqref="N33">
    <cfRule type="cellIs" dxfId="5574" priority="136361" stopIfTrue="1" operator="greaterThanOrEqual">
      <formula>0.5</formula>
    </cfRule>
  </conditionalFormatting>
  <conditionalFormatting sqref="N34">
    <cfRule type="cellIs" dxfId="5573" priority="136362" stopIfTrue="1" operator="equal">
      <formula>-1</formula>
    </cfRule>
  </conditionalFormatting>
  <conditionalFormatting sqref="N34">
    <cfRule type="cellIs" dxfId="5572" priority="136363" stopIfTrue="1" operator="lessThan">
      <formula>0.5</formula>
    </cfRule>
  </conditionalFormatting>
  <conditionalFormatting sqref="N34">
    <cfRule type="cellIs" dxfId="5571" priority="136364" stopIfTrue="1" operator="greaterThanOrEqual">
      <formula>0.5</formula>
    </cfRule>
  </conditionalFormatting>
  <conditionalFormatting sqref="N35">
    <cfRule type="cellIs" dxfId="5570" priority="136365" stopIfTrue="1" operator="equal">
      <formula>-1</formula>
    </cfRule>
  </conditionalFormatting>
  <conditionalFormatting sqref="N35">
    <cfRule type="cellIs" dxfId="5569" priority="136366" stopIfTrue="1" operator="lessThan">
      <formula>0.5</formula>
    </cfRule>
  </conditionalFormatting>
  <conditionalFormatting sqref="N35">
    <cfRule type="cellIs" dxfId="5568" priority="136367" stopIfTrue="1" operator="greaterThanOrEqual">
      <formula>0.5</formula>
    </cfRule>
  </conditionalFormatting>
  <conditionalFormatting sqref="N36">
    <cfRule type="cellIs" dxfId="5567" priority="136368" stopIfTrue="1" operator="equal">
      <formula>-1</formula>
    </cfRule>
  </conditionalFormatting>
  <conditionalFormatting sqref="N36">
    <cfRule type="cellIs" dxfId="5566" priority="136369" stopIfTrue="1" operator="lessThan">
      <formula>0.5</formula>
    </cfRule>
  </conditionalFormatting>
  <conditionalFormatting sqref="N36">
    <cfRule type="cellIs" dxfId="5565" priority="136370" stopIfTrue="1" operator="greaterThanOrEqual">
      <formula>0.5</formula>
    </cfRule>
  </conditionalFormatting>
  <conditionalFormatting sqref="N37">
    <cfRule type="cellIs" dxfId="5564" priority="136371" stopIfTrue="1" operator="equal">
      <formula>-1</formula>
    </cfRule>
  </conditionalFormatting>
  <conditionalFormatting sqref="N37">
    <cfRule type="cellIs" dxfId="5563" priority="136372" stopIfTrue="1" operator="lessThan">
      <formula>0.5</formula>
    </cfRule>
  </conditionalFormatting>
  <conditionalFormatting sqref="N37">
    <cfRule type="cellIs" dxfId="5562" priority="136373" stopIfTrue="1" operator="greaterThanOrEqual">
      <formula>0.5</formula>
    </cfRule>
  </conditionalFormatting>
  <conditionalFormatting sqref="P17">
    <cfRule type="cellIs" dxfId="5561" priority="136374" stopIfTrue="1" operator="equal">
      <formula>-1</formula>
    </cfRule>
  </conditionalFormatting>
  <conditionalFormatting sqref="P17">
    <cfRule type="cellIs" dxfId="5560" priority="136375" stopIfTrue="1" operator="lessThan">
      <formula>0.5</formula>
    </cfRule>
  </conditionalFormatting>
  <conditionalFormatting sqref="P17">
    <cfRule type="cellIs" dxfId="5559" priority="136376" stopIfTrue="1" operator="greaterThanOrEqual">
      <formula>0.5</formula>
    </cfRule>
  </conditionalFormatting>
  <conditionalFormatting sqref="P18">
    <cfRule type="cellIs" dxfId="5558" priority="136377" stopIfTrue="1" operator="equal">
      <formula>-1</formula>
    </cfRule>
  </conditionalFormatting>
  <conditionalFormatting sqref="P18">
    <cfRule type="cellIs" dxfId="5557" priority="136378" stopIfTrue="1" operator="lessThan">
      <formula>0.5</formula>
    </cfRule>
  </conditionalFormatting>
  <conditionalFormatting sqref="P18">
    <cfRule type="cellIs" dxfId="5556" priority="136379" stopIfTrue="1" operator="greaterThanOrEqual">
      <formula>0.5</formula>
    </cfRule>
  </conditionalFormatting>
  <conditionalFormatting sqref="P19">
    <cfRule type="cellIs" dxfId="5555" priority="136380" stopIfTrue="1" operator="equal">
      <formula>-1</formula>
    </cfRule>
  </conditionalFormatting>
  <conditionalFormatting sqref="P19">
    <cfRule type="cellIs" dxfId="5554" priority="136381" stopIfTrue="1" operator="lessThan">
      <formula>0.5</formula>
    </cfRule>
  </conditionalFormatting>
  <conditionalFormatting sqref="P19">
    <cfRule type="cellIs" dxfId="5553" priority="136382" stopIfTrue="1" operator="greaterThanOrEqual">
      <formula>0.5</formula>
    </cfRule>
  </conditionalFormatting>
  <conditionalFormatting sqref="P20">
    <cfRule type="cellIs" dxfId="5552" priority="136383" stopIfTrue="1" operator="equal">
      <formula>-1</formula>
    </cfRule>
  </conditionalFormatting>
  <conditionalFormatting sqref="P20">
    <cfRule type="cellIs" dxfId="5551" priority="136384" stopIfTrue="1" operator="lessThan">
      <formula>0.5</formula>
    </cfRule>
  </conditionalFormatting>
  <conditionalFormatting sqref="P20">
    <cfRule type="cellIs" dxfId="5550" priority="136385" stopIfTrue="1" operator="greaterThanOrEqual">
      <formula>0.5</formula>
    </cfRule>
  </conditionalFormatting>
  <conditionalFormatting sqref="P21">
    <cfRule type="cellIs" dxfId="5549" priority="136386" stopIfTrue="1" operator="equal">
      <formula>-1</formula>
    </cfRule>
  </conditionalFormatting>
  <conditionalFormatting sqref="P21">
    <cfRule type="cellIs" dxfId="5548" priority="136387" stopIfTrue="1" operator="lessThan">
      <formula>0.5</formula>
    </cfRule>
  </conditionalFormatting>
  <conditionalFormatting sqref="P21">
    <cfRule type="cellIs" dxfId="5547" priority="136388" stopIfTrue="1" operator="greaterThanOrEqual">
      <formula>0.5</formula>
    </cfRule>
  </conditionalFormatting>
  <conditionalFormatting sqref="P22">
    <cfRule type="cellIs" dxfId="5546" priority="136389" stopIfTrue="1" operator="equal">
      <formula>-1</formula>
    </cfRule>
  </conditionalFormatting>
  <conditionalFormatting sqref="P22">
    <cfRule type="cellIs" dxfId="5545" priority="136390" stopIfTrue="1" operator="lessThan">
      <formula>0.5</formula>
    </cfRule>
  </conditionalFormatting>
  <conditionalFormatting sqref="P22">
    <cfRule type="cellIs" dxfId="5544" priority="136391" stopIfTrue="1" operator="greaterThanOrEqual">
      <formula>0.5</formula>
    </cfRule>
  </conditionalFormatting>
  <conditionalFormatting sqref="P23">
    <cfRule type="cellIs" dxfId="5543" priority="136392" stopIfTrue="1" operator="equal">
      <formula>-1</formula>
    </cfRule>
  </conditionalFormatting>
  <conditionalFormatting sqref="P23">
    <cfRule type="cellIs" dxfId="5542" priority="136393" stopIfTrue="1" operator="lessThan">
      <formula>0.5</formula>
    </cfRule>
  </conditionalFormatting>
  <conditionalFormatting sqref="P23">
    <cfRule type="cellIs" dxfId="5541" priority="136394" stopIfTrue="1" operator="greaterThanOrEqual">
      <formula>0.5</formula>
    </cfRule>
  </conditionalFormatting>
  <conditionalFormatting sqref="P24">
    <cfRule type="cellIs" dxfId="5540" priority="136395" stopIfTrue="1" operator="equal">
      <formula>-1</formula>
    </cfRule>
  </conditionalFormatting>
  <conditionalFormatting sqref="P24">
    <cfRule type="cellIs" dxfId="5539" priority="136396" stopIfTrue="1" operator="lessThan">
      <formula>0.5</formula>
    </cfRule>
  </conditionalFormatting>
  <conditionalFormatting sqref="P24">
    <cfRule type="cellIs" dxfId="5538" priority="136397" stopIfTrue="1" operator="greaterThanOrEqual">
      <formula>0.5</formula>
    </cfRule>
  </conditionalFormatting>
  <conditionalFormatting sqref="P25">
    <cfRule type="cellIs" dxfId="5537" priority="136398" stopIfTrue="1" operator="equal">
      <formula>-1</formula>
    </cfRule>
  </conditionalFormatting>
  <conditionalFormatting sqref="P25">
    <cfRule type="cellIs" dxfId="5536" priority="136399" stopIfTrue="1" operator="lessThan">
      <formula>0.5</formula>
    </cfRule>
  </conditionalFormatting>
  <conditionalFormatting sqref="P25">
    <cfRule type="cellIs" dxfId="5535" priority="136400" stopIfTrue="1" operator="greaterThanOrEqual">
      <formula>0.5</formula>
    </cfRule>
  </conditionalFormatting>
  <conditionalFormatting sqref="P26">
    <cfRule type="cellIs" dxfId="5534" priority="136401" stopIfTrue="1" operator="equal">
      <formula>-1</formula>
    </cfRule>
  </conditionalFormatting>
  <conditionalFormatting sqref="P26">
    <cfRule type="cellIs" dxfId="5533" priority="136402" stopIfTrue="1" operator="lessThan">
      <formula>0.5</formula>
    </cfRule>
  </conditionalFormatting>
  <conditionalFormatting sqref="P26">
    <cfRule type="cellIs" dxfId="5532" priority="136403" stopIfTrue="1" operator="greaterThanOrEqual">
      <formula>0.5</formula>
    </cfRule>
  </conditionalFormatting>
  <conditionalFormatting sqref="P27">
    <cfRule type="cellIs" dxfId="5531" priority="136404" stopIfTrue="1" operator="equal">
      <formula>-1</formula>
    </cfRule>
  </conditionalFormatting>
  <conditionalFormatting sqref="P27">
    <cfRule type="cellIs" dxfId="5530" priority="136405" stopIfTrue="1" operator="lessThan">
      <formula>0.5</formula>
    </cfRule>
  </conditionalFormatting>
  <conditionalFormatting sqref="P27">
    <cfRule type="cellIs" dxfId="5529" priority="136406" stopIfTrue="1" operator="greaterThanOrEqual">
      <formula>0.5</formula>
    </cfRule>
  </conditionalFormatting>
  <conditionalFormatting sqref="P28">
    <cfRule type="cellIs" dxfId="5528" priority="136407" stopIfTrue="1" operator="equal">
      <formula>-1</formula>
    </cfRule>
  </conditionalFormatting>
  <conditionalFormatting sqref="P28">
    <cfRule type="cellIs" dxfId="5527" priority="136408" stopIfTrue="1" operator="lessThan">
      <formula>0.5</formula>
    </cfRule>
  </conditionalFormatting>
  <conditionalFormatting sqref="P28">
    <cfRule type="cellIs" dxfId="5526" priority="136409" stopIfTrue="1" operator="greaterThanOrEqual">
      <formula>0.5</formula>
    </cfRule>
  </conditionalFormatting>
  <conditionalFormatting sqref="P29">
    <cfRule type="cellIs" dxfId="5525" priority="136410" stopIfTrue="1" operator="equal">
      <formula>-1</formula>
    </cfRule>
  </conditionalFormatting>
  <conditionalFormatting sqref="P29">
    <cfRule type="cellIs" dxfId="5524" priority="136411" stopIfTrue="1" operator="lessThan">
      <formula>0.5</formula>
    </cfRule>
  </conditionalFormatting>
  <conditionalFormatting sqref="P29">
    <cfRule type="cellIs" dxfId="5523" priority="136412" stopIfTrue="1" operator="greaterThanOrEqual">
      <formula>0.5</formula>
    </cfRule>
  </conditionalFormatting>
  <conditionalFormatting sqref="P30">
    <cfRule type="cellIs" dxfId="5522" priority="136413" stopIfTrue="1" operator="equal">
      <formula>-1</formula>
    </cfRule>
  </conditionalFormatting>
  <conditionalFormatting sqref="P30">
    <cfRule type="cellIs" dxfId="5521" priority="136414" stopIfTrue="1" operator="lessThan">
      <formula>0.5</formula>
    </cfRule>
  </conditionalFormatting>
  <conditionalFormatting sqref="P30">
    <cfRule type="cellIs" dxfId="5520" priority="136415" stopIfTrue="1" operator="greaterThanOrEqual">
      <formula>0.5</formula>
    </cfRule>
  </conditionalFormatting>
  <conditionalFormatting sqref="P31">
    <cfRule type="cellIs" dxfId="5519" priority="136416" stopIfTrue="1" operator="equal">
      <formula>-1</formula>
    </cfRule>
  </conditionalFormatting>
  <conditionalFormatting sqref="P31">
    <cfRule type="cellIs" dxfId="5518" priority="136417" stopIfTrue="1" operator="lessThan">
      <formula>0.5</formula>
    </cfRule>
  </conditionalFormatting>
  <conditionalFormatting sqref="P31">
    <cfRule type="cellIs" dxfId="5517" priority="136418" stopIfTrue="1" operator="greaterThanOrEqual">
      <formula>0.5</formula>
    </cfRule>
  </conditionalFormatting>
  <conditionalFormatting sqref="P32">
    <cfRule type="cellIs" dxfId="5516" priority="136419" stopIfTrue="1" operator="equal">
      <formula>-1</formula>
    </cfRule>
  </conditionalFormatting>
  <conditionalFormatting sqref="P32">
    <cfRule type="cellIs" dxfId="5515" priority="136420" stopIfTrue="1" operator="lessThan">
      <formula>0.5</formula>
    </cfRule>
  </conditionalFormatting>
  <conditionalFormatting sqref="P32">
    <cfRule type="cellIs" dxfId="5514" priority="136421" stopIfTrue="1" operator="greaterThanOrEqual">
      <formula>0.5</formula>
    </cfRule>
  </conditionalFormatting>
  <conditionalFormatting sqref="P33">
    <cfRule type="cellIs" dxfId="5513" priority="136422" stopIfTrue="1" operator="equal">
      <formula>-1</formula>
    </cfRule>
  </conditionalFormatting>
  <conditionalFormatting sqref="P33">
    <cfRule type="cellIs" dxfId="5512" priority="136423" stopIfTrue="1" operator="lessThan">
      <formula>0.5</formula>
    </cfRule>
  </conditionalFormatting>
  <conditionalFormatting sqref="P33">
    <cfRule type="cellIs" dxfId="5511" priority="136424" stopIfTrue="1" operator="greaterThanOrEqual">
      <formula>0.5</formula>
    </cfRule>
  </conditionalFormatting>
  <conditionalFormatting sqref="P34">
    <cfRule type="cellIs" dxfId="5510" priority="136425" stopIfTrue="1" operator="equal">
      <formula>-1</formula>
    </cfRule>
  </conditionalFormatting>
  <conditionalFormatting sqref="P34">
    <cfRule type="cellIs" dxfId="5509" priority="136426" stopIfTrue="1" operator="lessThan">
      <formula>0.5</formula>
    </cfRule>
  </conditionalFormatting>
  <conditionalFormatting sqref="P34">
    <cfRule type="cellIs" dxfId="5508" priority="136427" stopIfTrue="1" operator="greaterThanOrEqual">
      <formula>0.5</formula>
    </cfRule>
  </conditionalFormatting>
  <conditionalFormatting sqref="P35">
    <cfRule type="cellIs" dxfId="5507" priority="136428" stopIfTrue="1" operator="equal">
      <formula>-1</formula>
    </cfRule>
  </conditionalFormatting>
  <conditionalFormatting sqref="P35">
    <cfRule type="cellIs" dxfId="5506" priority="136429" stopIfTrue="1" operator="lessThan">
      <formula>0.5</formula>
    </cfRule>
  </conditionalFormatting>
  <conditionalFormatting sqref="P35">
    <cfRule type="cellIs" dxfId="5505" priority="136430" stopIfTrue="1" operator="greaterThanOrEqual">
      <formula>0.5</formula>
    </cfRule>
  </conditionalFormatting>
  <conditionalFormatting sqref="P36">
    <cfRule type="cellIs" dxfId="5504" priority="136431" stopIfTrue="1" operator="equal">
      <formula>-1</formula>
    </cfRule>
  </conditionalFormatting>
  <conditionalFormatting sqref="P36">
    <cfRule type="cellIs" dxfId="5503" priority="136432" stopIfTrue="1" operator="lessThan">
      <formula>0.5</formula>
    </cfRule>
  </conditionalFormatting>
  <conditionalFormatting sqref="P36">
    <cfRule type="cellIs" dxfId="5502" priority="136433" stopIfTrue="1" operator="greaterThanOrEqual">
      <formula>0.5</formula>
    </cfRule>
  </conditionalFormatting>
  <conditionalFormatting sqref="P37">
    <cfRule type="cellIs" dxfId="5501" priority="136434" stopIfTrue="1" operator="equal">
      <formula>-1</formula>
    </cfRule>
  </conditionalFormatting>
  <conditionalFormatting sqref="P37">
    <cfRule type="cellIs" dxfId="5500" priority="136435" stopIfTrue="1" operator="lessThan">
      <formula>0.5</formula>
    </cfRule>
  </conditionalFormatting>
  <conditionalFormatting sqref="P37">
    <cfRule type="cellIs" dxfId="5499" priority="136436" stopIfTrue="1" operator="greaterThanOrEqual">
      <formula>0.5</formula>
    </cfRule>
  </conditionalFormatting>
  <conditionalFormatting sqref="R17">
    <cfRule type="cellIs" dxfId="5498" priority="136437" stopIfTrue="1" operator="equal">
      <formula>-1</formula>
    </cfRule>
  </conditionalFormatting>
  <conditionalFormatting sqref="R17">
    <cfRule type="cellIs" dxfId="5497" priority="136438" stopIfTrue="1" operator="lessThan">
      <formula>0.5</formula>
    </cfRule>
  </conditionalFormatting>
  <conditionalFormatting sqref="R17">
    <cfRule type="cellIs" dxfId="5496" priority="136439" stopIfTrue="1" operator="greaterThanOrEqual">
      <formula>0.5</formula>
    </cfRule>
  </conditionalFormatting>
  <conditionalFormatting sqref="R18">
    <cfRule type="cellIs" dxfId="5495" priority="136440" stopIfTrue="1" operator="equal">
      <formula>-1</formula>
    </cfRule>
  </conditionalFormatting>
  <conditionalFormatting sqref="R18">
    <cfRule type="cellIs" dxfId="5494" priority="136441" stopIfTrue="1" operator="lessThan">
      <formula>0.5</formula>
    </cfRule>
  </conditionalFormatting>
  <conditionalFormatting sqref="R18">
    <cfRule type="cellIs" dxfId="5493" priority="136442" stopIfTrue="1" operator="greaterThanOrEqual">
      <formula>0.5</formula>
    </cfRule>
  </conditionalFormatting>
  <conditionalFormatting sqref="R19">
    <cfRule type="cellIs" dxfId="5492" priority="136443" stopIfTrue="1" operator="equal">
      <formula>-1</formula>
    </cfRule>
  </conditionalFormatting>
  <conditionalFormatting sqref="R19">
    <cfRule type="cellIs" dxfId="5491" priority="136444" stopIfTrue="1" operator="lessThan">
      <formula>0.5</formula>
    </cfRule>
  </conditionalFormatting>
  <conditionalFormatting sqref="R19">
    <cfRule type="cellIs" dxfId="5490" priority="136445" stopIfTrue="1" operator="greaterThanOrEqual">
      <formula>0.5</formula>
    </cfRule>
  </conditionalFormatting>
  <conditionalFormatting sqref="R20">
    <cfRule type="cellIs" dxfId="5489" priority="136446" stopIfTrue="1" operator="equal">
      <formula>-1</formula>
    </cfRule>
  </conditionalFormatting>
  <conditionalFormatting sqref="R20">
    <cfRule type="cellIs" dxfId="5488" priority="136447" stopIfTrue="1" operator="lessThan">
      <formula>0.5</formula>
    </cfRule>
  </conditionalFormatting>
  <conditionalFormatting sqref="R20">
    <cfRule type="cellIs" dxfId="5487" priority="136448" stopIfTrue="1" operator="greaterThanOrEqual">
      <formula>0.5</formula>
    </cfRule>
  </conditionalFormatting>
  <conditionalFormatting sqref="R21">
    <cfRule type="cellIs" dxfId="5486" priority="136449" stopIfTrue="1" operator="equal">
      <formula>-1</formula>
    </cfRule>
  </conditionalFormatting>
  <conditionalFormatting sqref="R21">
    <cfRule type="cellIs" dxfId="5485" priority="136450" stopIfTrue="1" operator="lessThan">
      <formula>0.5</formula>
    </cfRule>
  </conditionalFormatting>
  <conditionalFormatting sqref="R21">
    <cfRule type="cellIs" dxfId="5484" priority="136451" stopIfTrue="1" operator="greaterThanOrEqual">
      <formula>0.5</formula>
    </cfRule>
  </conditionalFormatting>
  <conditionalFormatting sqref="R22">
    <cfRule type="cellIs" dxfId="5483" priority="136452" stopIfTrue="1" operator="equal">
      <formula>-1</formula>
    </cfRule>
  </conditionalFormatting>
  <conditionalFormatting sqref="R22">
    <cfRule type="cellIs" dxfId="5482" priority="136453" stopIfTrue="1" operator="lessThan">
      <formula>0.5</formula>
    </cfRule>
  </conditionalFormatting>
  <conditionalFormatting sqref="R22">
    <cfRule type="cellIs" dxfId="5481" priority="136454" stopIfTrue="1" operator="greaterThanOrEqual">
      <formula>0.5</formula>
    </cfRule>
  </conditionalFormatting>
  <conditionalFormatting sqref="R23">
    <cfRule type="cellIs" dxfId="5480" priority="136455" stopIfTrue="1" operator="equal">
      <formula>-1</formula>
    </cfRule>
  </conditionalFormatting>
  <conditionalFormatting sqref="R23">
    <cfRule type="cellIs" dxfId="5479" priority="136456" stopIfTrue="1" operator="lessThan">
      <formula>0.5</formula>
    </cfRule>
  </conditionalFormatting>
  <conditionalFormatting sqref="R23">
    <cfRule type="cellIs" dxfId="5478" priority="136457" stopIfTrue="1" operator="greaterThanOrEqual">
      <formula>0.5</formula>
    </cfRule>
  </conditionalFormatting>
  <conditionalFormatting sqref="R24">
    <cfRule type="cellIs" dxfId="5477" priority="136458" stopIfTrue="1" operator="equal">
      <formula>-1</formula>
    </cfRule>
  </conditionalFormatting>
  <conditionalFormatting sqref="R24">
    <cfRule type="cellIs" dxfId="5476" priority="136459" stopIfTrue="1" operator="lessThan">
      <formula>0.5</formula>
    </cfRule>
  </conditionalFormatting>
  <conditionalFormatting sqref="R24">
    <cfRule type="cellIs" dxfId="5475" priority="136460" stopIfTrue="1" operator="greaterThanOrEqual">
      <formula>0.5</formula>
    </cfRule>
  </conditionalFormatting>
  <conditionalFormatting sqref="R25">
    <cfRule type="cellIs" dxfId="5474" priority="136461" stopIfTrue="1" operator="equal">
      <formula>-1</formula>
    </cfRule>
  </conditionalFormatting>
  <conditionalFormatting sqref="R25">
    <cfRule type="cellIs" dxfId="5473" priority="136462" stopIfTrue="1" operator="lessThan">
      <formula>0.5</formula>
    </cfRule>
  </conditionalFormatting>
  <conditionalFormatting sqref="R25">
    <cfRule type="cellIs" dxfId="5472" priority="136463" stopIfTrue="1" operator="greaterThanOrEqual">
      <formula>0.5</formula>
    </cfRule>
  </conditionalFormatting>
  <conditionalFormatting sqref="R26">
    <cfRule type="cellIs" dxfId="5471" priority="136464" stopIfTrue="1" operator="equal">
      <formula>-1</formula>
    </cfRule>
  </conditionalFormatting>
  <conditionalFormatting sqref="R26">
    <cfRule type="cellIs" dxfId="5470" priority="136465" stopIfTrue="1" operator="lessThan">
      <formula>0.5</formula>
    </cfRule>
  </conditionalFormatting>
  <conditionalFormatting sqref="R26">
    <cfRule type="cellIs" dxfId="5469" priority="136466" stopIfTrue="1" operator="greaterThanOrEqual">
      <formula>0.5</formula>
    </cfRule>
  </conditionalFormatting>
  <conditionalFormatting sqref="R27">
    <cfRule type="cellIs" dxfId="5468" priority="136467" stopIfTrue="1" operator="equal">
      <formula>-1</formula>
    </cfRule>
  </conditionalFormatting>
  <conditionalFormatting sqref="R27">
    <cfRule type="cellIs" dxfId="5467" priority="136468" stopIfTrue="1" operator="lessThan">
      <formula>0.5</formula>
    </cfRule>
  </conditionalFormatting>
  <conditionalFormatting sqref="R27">
    <cfRule type="cellIs" dxfId="5466" priority="136469" stopIfTrue="1" operator="greaterThanOrEqual">
      <formula>0.5</formula>
    </cfRule>
  </conditionalFormatting>
  <conditionalFormatting sqref="R28">
    <cfRule type="cellIs" dxfId="5465" priority="136470" stopIfTrue="1" operator="equal">
      <formula>-1</formula>
    </cfRule>
  </conditionalFormatting>
  <conditionalFormatting sqref="R28">
    <cfRule type="cellIs" dxfId="5464" priority="136471" stopIfTrue="1" operator="lessThan">
      <formula>0.5</formula>
    </cfRule>
  </conditionalFormatting>
  <conditionalFormatting sqref="R28">
    <cfRule type="cellIs" dxfId="5463" priority="136472" stopIfTrue="1" operator="greaterThanOrEqual">
      <formula>0.5</formula>
    </cfRule>
  </conditionalFormatting>
  <conditionalFormatting sqref="R29">
    <cfRule type="cellIs" dxfId="5462" priority="136473" stopIfTrue="1" operator="equal">
      <formula>-1</formula>
    </cfRule>
  </conditionalFormatting>
  <conditionalFormatting sqref="R29">
    <cfRule type="cellIs" dxfId="5461" priority="136474" stopIfTrue="1" operator="lessThan">
      <formula>0.5</formula>
    </cfRule>
  </conditionalFormatting>
  <conditionalFormatting sqref="R29">
    <cfRule type="cellIs" dxfId="5460" priority="136475" stopIfTrue="1" operator="greaterThanOrEqual">
      <formula>0.5</formula>
    </cfRule>
  </conditionalFormatting>
  <conditionalFormatting sqref="R30">
    <cfRule type="cellIs" dxfId="5459" priority="136476" stopIfTrue="1" operator="equal">
      <formula>-1</formula>
    </cfRule>
  </conditionalFormatting>
  <conditionalFormatting sqref="R30">
    <cfRule type="cellIs" dxfId="5458" priority="136477" stopIfTrue="1" operator="lessThan">
      <formula>0.5</formula>
    </cfRule>
  </conditionalFormatting>
  <conditionalFormatting sqref="R30">
    <cfRule type="cellIs" dxfId="5457" priority="136478" stopIfTrue="1" operator="greaterThanOrEqual">
      <formula>0.5</formula>
    </cfRule>
  </conditionalFormatting>
  <conditionalFormatting sqref="R31">
    <cfRule type="cellIs" dxfId="5456" priority="136479" stopIfTrue="1" operator="equal">
      <formula>-1</formula>
    </cfRule>
  </conditionalFormatting>
  <conditionalFormatting sqref="R31">
    <cfRule type="cellIs" dxfId="5455" priority="136480" stopIfTrue="1" operator="lessThan">
      <formula>0.5</formula>
    </cfRule>
  </conditionalFormatting>
  <conditionalFormatting sqref="R31">
    <cfRule type="cellIs" dxfId="5454" priority="136481" stopIfTrue="1" operator="greaterThanOrEqual">
      <formula>0.5</formula>
    </cfRule>
  </conditionalFormatting>
  <conditionalFormatting sqref="R32">
    <cfRule type="cellIs" dxfId="5453" priority="136482" stopIfTrue="1" operator="equal">
      <formula>-1</formula>
    </cfRule>
  </conditionalFormatting>
  <conditionalFormatting sqref="R32">
    <cfRule type="cellIs" dxfId="5452" priority="136483" stopIfTrue="1" operator="lessThan">
      <formula>0.5</formula>
    </cfRule>
  </conditionalFormatting>
  <conditionalFormatting sqref="R32">
    <cfRule type="cellIs" dxfId="5451" priority="136484" stopIfTrue="1" operator="greaterThanOrEqual">
      <formula>0.5</formula>
    </cfRule>
  </conditionalFormatting>
  <conditionalFormatting sqref="R33">
    <cfRule type="cellIs" dxfId="5450" priority="136485" stopIfTrue="1" operator="equal">
      <formula>-1</formula>
    </cfRule>
  </conditionalFormatting>
  <conditionalFormatting sqref="R33">
    <cfRule type="cellIs" dxfId="5449" priority="136486" stopIfTrue="1" operator="lessThan">
      <formula>0.5</formula>
    </cfRule>
  </conditionalFormatting>
  <conditionalFormatting sqref="R33">
    <cfRule type="cellIs" dxfId="5448" priority="136487" stopIfTrue="1" operator="greaterThanOrEqual">
      <formula>0.5</formula>
    </cfRule>
  </conditionalFormatting>
  <conditionalFormatting sqref="R34">
    <cfRule type="cellIs" dxfId="5447" priority="136488" stopIfTrue="1" operator="equal">
      <formula>-1</formula>
    </cfRule>
  </conditionalFormatting>
  <conditionalFormatting sqref="R34">
    <cfRule type="cellIs" dxfId="5446" priority="136489" stopIfTrue="1" operator="lessThan">
      <formula>0.5</formula>
    </cfRule>
  </conditionalFormatting>
  <conditionalFormatting sqref="R34">
    <cfRule type="cellIs" dxfId="5445" priority="136490" stopIfTrue="1" operator="greaterThanOrEqual">
      <formula>0.5</formula>
    </cfRule>
  </conditionalFormatting>
  <conditionalFormatting sqref="R35">
    <cfRule type="cellIs" dxfId="5444" priority="136491" stopIfTrue="1" operator="equal">
      <formula>-1</formula>
    </cfRule>
  </conditionalFormatting>
  <conditionalFormatting sqref="R35">
    <cfRule type="cellIs" dxfId="5443" priority="136492" stopIfTrue="1" operator="lessThan">
      <formula>0.5</formula>
    </cfRule>
  </conditionalFormatting>
  <conditionalFormatting sqref="R35">
    <cfRule type="cellIs" dxfId="5442" priority="136493" stopIfTrue="1" operator="greaterThanOrEqual">
      <formula>0.5</formula>
    </cfRule>
  </conditionalFormatting>
  <conditionalFormatting sqref="R36">
    <cfRule type="cellIs" dxfId="5441" priority="136494" stopIfTrue="1" operator="equal">
      <formula>-1</formula>
    </cfRule>
  </conditionalFormatting>
  <conditionalFormatting sqref="R36">
    <cfRule type="cellIs" dxfId="5440" priority="136495" stopIfTrue="1" operator="lessThan">
      <formula>0.5</formula>
    </cfRule>
  </conditionalFormatting>
  <conditionalFormatting sqref="R36">
    <cfRule type="cellIs" dxfId="5439" priority="136496" stopIfTrue="1" operator="greaterThanOrEqual">
      <formula>0.5</formula>
    </cfRule>
  </conditionalFormatting>
  <conditionalFormatting sqref="R37">
    <cfRule type="cellIs" dxfId="5438" priority="136497" stopIfTrue="1" operator="equal">
      <formula>-1</formula>
    </cfRule>
  </conditionalFormatting>
  <conditionalFormatting sqref="R37">
    <cfRule type="cellIs" dxfId="5437" priority="136498" stopIfTrue="1" operator="lessThan">
      <formula>0.5</formula>
    </cfRule>
  </conditionalFormatting>
  <conditionalFormatting sqref="R37">
    <cfRule type="cellIs" dxfId="5436" priority="136499" stopIfTrue="1" operator="greaterThanOrEqual">
      <formula>0.5</formula>
    </cfRule>
  </conditionalFormatting>
  <conditionalFormatting sqref="T17">
    <cfRule type="cellIs" dxfId="5435" priority="136500" stopIfTrue="1" operator="equal">
      <formula>-1</formula>
    </cfRule>
  </conditionalFormatting>
  <conditionalFormatting sqref="T17">
    <cfRule type="cellIs" dxfId="5434" priority="136501" stopIfTrue="1" operator="lessThan">
      <formula>0.5</formula>
    </cfRule>
  </conditionalFormatting>
  <conditionalFormatting sqref="T17">
    <cfRule type="cellIs" dxfId="5433" priority="136502" stopIfTrue="1" operator="greaterThanOrEqual">
      <formula>0.5</formula>
    </cfRule>
  </conditionalFormatting>
  <conditionalFormatting sqref="T18">
    <cfRule type="cellIs" dxfId="5432" priority="136503" stopIfTrue="1" operator="equal">
      <formula>-1</formula>
    </cfRule>
  </conditionalFormatting>
  <conditionalFormatting sqref="T18">
    <cfRule type="cellIs" dxfId="5431" priority="136504" stopIfTrue="1" operator="lessThan">
      <formula>0.5</formula>
    </cfRule>
  </conditionalFormatting>
  <conditionalFormatting sqref="T18">
    <cfRule type="cellIs" dxfId="5430" priority="136505" stopIfTrue="1" operator="greaterThanOrEqual">
      <formula>0.5</formula>
    </cfRule>
  </conditionalFormatting>
  <conditionalFormatting sqref="T19">
    <cfRule type="cellIs" dxfId="5429" priority="136506" stopIfTrue="1" operator="equal">
      <formula>-1</formula>
    </cfRule>
  </conditionalFormatting>
  <conditionalFormatting sqref="T19">
    <cfRule type="cellIs" dxfId="5428" priority="136507" stopIfTrue="1" operator="lessThan">
      <formula>0.5</formula>
    </cfRule>
  </conditionalFormatting>
  <conditionalFormatting sqref="T19">
    <cfRule type="cellIs" dxfId="5427" priority="136508" stopIfTrue="1" operator="greaterThanOrEqual">
      <formula>0.5</formula>
    </cfRule>
  </conditionalFormatting>
  <conditionalFormatting sqref="T20">
    <cfRule type="cellIs" dxfId="5426" priority="136509" stopIfTrue="1" operator="equal">
      <formula>-1</formula>
    </cfRule>
  </conditionalFormatting>
  <conditionalFormatting sqref="T20">
    <cfRule type="cellIs" dxfId="5425" priority="136510" stopIfTrue="1" operator="lessThan">
      <formula>0.5</formula>
    </cfRule>
  </conditionalFormatting>
  <conditionalFormatting sqref="T20">
    <cfRule type="cellIs" dxfId="5424" priority="136511" stopIfTrue="1" operator="greaterThanOrEqual">
      <formula>0.5</formula>
    </cfRule>
  </conditionalFormatting>
  <conditionalFormatting sqref="T21">
    <cfRule type="cellIs" dxfId="5423" priority="136512" stopIfTrue="1" operator="equal">
      <formula>-1</formula>
    </cfRule>
  </conditionalFormatting>
  <conditionalFormatting sqref="T21">
    <cfRule type="cellIs" dxfId="5422" priority="136513" stopIfTrue="1" operator="lessThan">
      <formula>0.5</formula>
    </cfRule>
  </conditionalFormatting>
  <conditionalFormatting sqref="T21">
    <cfRule type="cellIs" dxfId="5421" priority="136514" stopIfTrue="1" operator="greaterThanOrEqual">
      <formula>0.5</formula>
    </cfRule>
  </conditionalFormatting>
  <conditionalFormatting sqref="T22">
    <cfRule type="cellIs" dxfId="5420" priority="136515" stopIfTrue="1" operator="equal">
      <formula>-1</formula>
    </cfRule>
  </conditionalFormatting>
  <conditionalFormatting sqref="T22">
    <cfRule type="cellIs" dxfId="5419" priority="136516" stopIfTrue="1" operator="lessThan">
      <formula>0.5</formula>
    </cfRule>
  </conditionalFormatting>
  <conditionalFormatting sqref="T22">
    <cfRule type="cellIs" dxfId="5418" priority="136517" stopIfTrue="1" operator="greaterThanOrEqual">
      <formula>0.5</formula>
    </cfRule>
  </conditionalFormatting>
  <conditionalFormatting sqref="T23">
    <cfRule type="cellIs" dxfId="5417" priority="136518" stopIfTrue="1" operator="equal">
      <formula>-1</formula>
    </cfRule>
  </conditionalFormatting>
  <conditionalFormatting sqref="T23">
    <cfRule type="cellIs" dxfId="5416" priority="136519" stopIfTrue="1" operator="lessThan">
      <formula>0.5</formula>
    </cfRule>
  </conditionalFormatting>
  <conditionalFormatting sqref="T23">
    <cfRule type="cellIs" dxfId="5415" priority="136520" stopIfTrue="1" operator="greaterThanOrEqual">
      <formula>0.5</formula>
    </cfRule>
  </conditionalFormatting>
  <conditionalFormatting sqref="T24">
    <cfRule type="cellIs" dxfId="5414" priority="136521" stopIfTrue="1" operator="equal">
      <formula>-1</formula>
    </cfRule>
  </conditionalFormatting>
  <conditionalFormatting sqref="T24">
    <cfRule type="cellIs" dxfId="5413" priority="136522" stopIfTrue="1" operator="lessThan">
      <formula>0.5</formula>
    </cfRule>
  </conditionalFormatting>
  <conditionalFormatting sqref="T24">
    <cfRule type="cellIs" dxfId="5412" priority="136523" stopIfTrue="1" operator="greaterThanOrEqual">
      <formula>0.5</formula>
    </cfRule>
  </conditionalFormatting>
  <conditionalFormatting sqref="T25">
    <cfRule type="cellIs" dxfId="5411" priority="136524" stopIfTrue="1" operator="equal">
      <formula>-1</formula>
    </cfRule>
  </conditionalFormatting>
  <conditionalFormatting sqref="T25">
    <cfRule type="cellIs" dxfId="5410" priority="136525" stopIfTrue="1" operator="lessThan">
      <formula>0.5</formula>
    </cfRule>
  </conditionalFormatting>
  <conditionalFormatting sqref="T25">
    <cfRule type="cellIs" dxfId="5409" priority="136526" stopIfTrue="1" operator="greaterThanOrEqual">
      <formula>0.5</formula>
    </cfRule>
  </conditionalFormatting>
  <conditionalFormatting sqref="T26">
    <cfRule type="cellIs" dxfId="5408" priority="136527" stopIfTrue="1" operator="equal">
      <formula>-1</formula>
    </cfRule>
  </conditionalFormatting>
  <conditionalFormatting sqref="T26">
    <cfRule type="cellIs" dxfId="5407" priority="136528" stopIfTrue="1" operator="lessThan">
      <formula>0.5</formula>
    </cfRule>
  </conditionalFormatting>
  <conditionalFormatting sqref="T26">
    <cfRule type="cellIs" dxfId="5406" priority="136529" stopIfTrue="1" operator="greaterThanOrEqual">
      <formula>0.5</formula>
    </cfRule>
  </conditionalFormatting>
  <conditionalFormatting sqref="T27">
    <cfRule type="cellIs" dxfId="5405" priority="136530" stopIfTrue="1" operator="equal">
      <formula>-1</formula>
    </cfRule>
  </conditionalFormatting>
  <conditionalFormatting sqref="T27">
    <cfRule type="cellIs" dxfId="5404" priority="136531" stopIfTrue="1" operator="lessThan">
      <formula>0.5</formula>
    </cfRule>
  </conditionalFormatting>
  <conditionalFormatting sqref="T27">
    <cfRule type="cellIs" dxfId="5403" priority="136532" stopIfTrue="1" operator="greaterThanOrEqual">
      <formula>0.5</formula>
    </cfRule>
  </conditionalFormatting>
  <conditionalFormatting sqref="T28">
    <cfRule type="cellIs" dxfId="5402" priority="136533" stopIfTrue="1" operator="equal">
      <formula>-1</formula>
    </cfRule>
  </conditionalFormatting>
  <conditionalFormatting sqref="T28">
    <cfRule type="cellIs" dxfId="5401" priority="136534" stopIfTrue="1" operator="lessThan">
      <formula>0.5</formula>
    </cfRule>
  </conditionalFormatting>
  <conditionalFormatting sqref="T28">
    <cfRule type="cellIs" dxfId="5400" priority="136535" stopIfTrue="1" operator="greaterThanOrEqual">
      <formula>0.5</formula>
    </cfRule>
  </conditionalFormatting>
  <conditionalFormatting sqref="T29">
    <cfRule type="cellIs" dxfId="5399" priority="136536" stopIfTrue="1" operator="equal">
      <formula>-1</formula>
    </cfRule>
  </conditionalFormatting>
  <conditionalFormatting sqref="T29">
    <cfRule type="cellIs" dxfId="5398" priority="136537" stopIfTrue="1" operator="lessThan">
      <formula>0.5</formula>
    </cfRule>
  </conditionalFormatting>
  <conditionalFormatting sqref="T29">
    <cfRule type="cellIs" dxfId="5397" priority="136538" stopIfTrue="1" operator="greaterThanOrEqual">
      <formula>0.5</formula>
    </cfRule>
  </conditionalFormatting>
  <conditionalFormatting sqref="T30">
    <cfRule type="cellIs" dxfId="5396" priority="136539" stopIfTrue="1" operator="equal">
      <formula>-1</formula>
    </cfRule>
  </conditionalFormatting>
  <conditionalFormatting sqref="T30">
    <cfRule type="cellIs" dxfId="5395" priority="136540" stopIfTrue="1" operator="lessThan">
      <formula>0.5</formula>
    </cfRule>
  </conditionalFormatting>
  <conditionalFormatting sqref="T30">
    <cfRule type="cellIs" dxfId="5394" priority="136541" stopIfTrue="1" operator="greaterThanOrEqual">
      <formula>0.5</formula>
    </cfRule>
  </conditionalFormatting>
  <conditionalFormatting sqref="T31">
    <cfRule type="cellIs" dxfId="5393" priority="136542" stopIfTrue="1" operator="equal">
      <formula>-1</formula>
    </cfRule>
  </conditionalFormatting>
  <conditionalFormatting sqref="T31">
    <cfRule type="cellIs" dxfId="5392" priority="136543" stopIfTrue="1" operator="lessThan">
      <formula>0.5</formula>
    </cfRule>
  </conditionalFormatting>
  <conditionalFormatting sqref="T31">
    <cfRule type="cellIs" dxfId="5391" priority="136544" stopIfTrue="1" operator="greaterThanOrEqual">
      <formula>0.5</formula>
    </cfRule>
  </conditionalFormatting>
  <conditionalFormatting sqref="T32">
    <cfRule type="cellIs" dxfId="5390" priority="136545" stopIfTrue="1" operator="equal">
      <formula>-1</formula>
    </cfRule>
  </conditionalFormatting>
  <conditionalFormatting sqref="T32">
    <cfRule type="cellIs" dxfId="5389" priority="136546" stopIfTrue="1" operator="lessThan">
      <formula>0.5</formula>
    </cfRule>
  </conditionalFormatting>
  <conditionalFormatting sqref="T32">
    <cfRule type="cellIs" dxfId="5388" priority="136547" stopIfTrue="1" operator="greaterThanOrEqual">
      <formula>0.5</formula>
    </cfRule>
  </conditionalFormatting>
  <conditionalFormatting sqref="T33">
    <cfRule type="cellIs" dxfId="5387" priority="136548" stopIfTrue="1" operator="equal">
      <formula>-1</formula>
    </cfRule>
  </conditionalFormatting>
  <conditionalFormatting sqref="T33">
    <cfRule type="cellIs" dxfId="5386" priority="136549" stopIfTrue="1" operator="lessThan">
      <formula>0.5</formula>
    </cfRule>
  </conditionalFormatting>
  <conditionalFormatting sqref="T33">
    <cfRule type="cellIs" dxfId="5385" priority="136550" stopIfTrue="1" operator="greaterThanOrEqual">
      <formula>0.5</formula>
    </cfRule>
  </conditionalFormatting>
  <conditionalFormatting sqref="T34">
    <cfRule type="cellIs" dxfId="5384" priority="136551" stopIfTrue="1" operator="equal">
      <formula>-1</formula>
    </cfRule>
  </conditionalFormatting>
  <conditionalFormatting sqref="T34">
    <cfRule type="cellIs" dxfId="5383" priority="136552" stopIfTrue="1" operator="lessThan">
      <formula>0.5</formula>
    </cfRule>
  </conditionalFormatting>
  <conditionalFormatting sqref="T34">
    <cfRule type="cellIs" dxfId="5382" priority="136553" stopIfTrue="1" operator="greaterThanOrEqual">
      <formula>0.5</formula>
    </cfRule>
  </conditionalFormatting>
  <conditionalFormatting sqref="T35">
    <cfRule type="cellIs" dxfId="5381" priority="136554" stopIfTrue="1" operator="equal">
      <formula>-1</formula>
    </cfRule>
  </conditionalFormatting>
  <conditionalFormatting sqref="T35">
    <cfRule type="cellIs" dxfId="5380" priority="136555" stopIfTrue="1" operator="lessThan">
      <formula>0.5</formula>
    </cfRule>
  </conditionalFormatting>
  <conditionalFormatting sqref="T35">
    <cfRule type="cellIs" dxfId="5379" priority="136556" stopIfTrue="1" operator="greaterThanOrEqual">
      <formula>0.5</formula>
    </cfRule>
  </conditionalFormatting>
  <conditionalFormatting sqref="T36">
    <cfRule type="cellIs" dxfId="5378" priority="136557" stopIfTrue="1" operator="equal">
      <formula>-1</formula>
    </cfRule>
  </conditionalFormatting>
  <conditionalFormatting sqref="T36">
    <cfRule type="cellIs" dxfId="5377" priority="136558" stopIfTrue="1" operator="lessThan">
      <formula>0.5</formula>
    </cfRule>
  </conditionalFormatting>
  <conditionalFormatting sqref="T36">
    <cfRule type="cellIs" dxfId="5376" priority="136559" stopIfTrue="1" operator="greaterThanOrEqual">
      <formula>0.5</formula>
    </cfRule>
  </conditionalFormatting>
  <conditionalFormatting sqref="T37">
    <cfRule type="cellIs" dxfId="5375" priority="136560" stopIfTrue="1" operator="equal">
      <formula>-1</formula>
    </cfRule>
  </conditionalFormatting>
  <conditionalFormatting sqref="T37">
    <cfRule type="cellIs" dxfId="5374" priority="136561" stopIfTrue="1" operator="lessThan">
      <formula>0.5</formula>
    </cfRule>
  </conditionalFormatting>
  <conditionalFormatting sqref="T37">
    <cfRule type="cellIs" dxfId="5373" priority="136562" stopIfTrue="1" operator="greaterThanOrEqual">
      <formula>0.5</formula>
    </cfRule>
  </conditionalFormatting>
  <conditionalFormatting sqref="V17">
    <cfRule type="cellIs" dxfId="5372" priority="136563" stopIfTrue="1" operator="equal">
      <formula>-1</formula>
    </cfRule>
  </conditionalFormatting>
  <conditionalFormatting sqref="V17">
    <cfRule type="cellIs" dxfId="5371" priority="136564" stopIfTrue="1" operator="lessThan">
      <formula>0.5</formula>
    </cfRule>
  </conditionalFormatting>
  <conditionalFormatting sqref="V17">
    <cfRule type="cellIs" dxfId="5370" priority="136565" stopIfTrue="1" operator="greaterThanOrEqual">
      <formula>0.5</formula>
    </cfRule>
  </conditionalFormatting>
  <conditionalFormatting sqref="V18">
    <cfRule type="cellIs" dxfId="5369" priority="136566" stopIfTrue="1" operator="equal">
      <formula>-1</formula>
    </cfRule>
  </conditionalFormatting>
  <conditionalFormatting sqref="V18">
    <cfRule type="cellIs" dxfId="5368" priority="136567" stopIfTrue="1" operator="lessThan">
      <formula>0.5</formula>
    </cfRule>
  </conditionalFormatting>
  <conditionalFormatting sqref="V18">
    <cfRule type="cellIs" dxfId="5367" priority="136568" stopIfTrue="1" operator="greaterThanOrEqual">
      <formula>0.5</formula>
    </cfRule>
  </conditionalFormatting>
  <conditionalFormatting sqref="V19">
    <cfRule type="cellIs" dxfId="5366" priority="136569" stopIfTrue="1" operator="equal">
      <formula>-1</formula>
    </cfRule>
  </conditionalFormatting>
  <conditionalFormatting sqref="V19">
    <cfRule type="cellIs" dxfId="5365" priority="136570" stopIfTrue="1" operator="lessThan">
      <formula>0.5</formula>
    </cfRule>
  </conditionalFormatting>
  <conditionalFormatting sqref="V19">
    <cfRule type="cellIs" dxfId="5364" priority="136571" stopIfTrue="1" operator="greaterThanOrEqual">
      <formula>0.5</formula>
    </cfRule>
  </conditionalFormatting>
  <conditionalFormatting sqref="V20">
    <cfRule type="cellIs" dxfId="5363" priority="136572" stopIfTrue="1" operator="equal">
      <formula>-1</formula>
    </cfRule>
  </conditionalFormatting>
  <conditionalFormatting sqref="V20">
    <cfRule type="cellIs" dxfId="5362" priority="136573" stopIfTrue="1" operator="lessThan">
      <formula>0.5</formula>
    </cfRule>
  </conditionalFormatting>
  <conditionalFormatting sqref="V20">
    <cfRule type="cellIs" dxfId="5361" priority="136574" stopIfTrue="1" operator="greaterThanOrEqual">
      <formula>0.5</formula>
    </cfRule>
  </conditionalFormatting>
  <conditionalFormatting sqref="V21">
    <cfRule type="cellIs" dxfId="5360" priority="136575" stopIfTrue="1" operator="equal">
      <formula>-1</formula>
    </cfRule>
  </conditionalFormatting>
  <conditionalFormatting sqref="V21">
    <cfRule type="cellIs" dxfId="5359" priority="136576" stopIfTrue="1" operator="lessThan">
      <formula>0.5</formula>
    </cfRule>
  </conditionalFormatting>
  <conditionalFormatting sqref="V21">
    <cfRule type="cellIs" dxfId="5358" priority="136577" stopIfTrue="1" operator="greaterThanOrEqual">
      <formula>0.5</formula>
    </cfRule>
  </conditionalFormatting>
  <conditionalFormatting sqref="V22">
    <cfRule type="cellIs" dxfId="5357" priority="136578" stopIfTrue="1" operator="equal">
      <formula>-1</formula>
    </cfRule>
  </conditionalFormatting>
  <conditionalFormatting sqref="V22">
    <cfRule type="cellIs" dxfId="5356" priority="136579" stopIfTrue="1" operator="lessThan">
      <formula>0.5</formula>
    </cfRule>
  </conditionalFormatting>
  <conditionalFormatting sqref="V22">
    <cfRule type="cellIs" dxfId="5355" priority="136580" stopIfTrue="1" operator="greaterThanOrEqual">
      <formula>0.5</formula>
    </cfRule>
  </conditionalFormatting>
  <conditionalFormatting sqref="V23">
    <cfRule type="cellIs" dxfId="5354" priority="136581" stopIfTrue="1" operator="equal">
      <formula>-1</formula>
    </cfRule>
  </conditionalFormatting>
  <conditionalFormatting sqref="V23">
    <cfRule type="cellIs" dxfId="5353" priority="136582" stopIfTrue="1" operator="lessThan">
      <formula>0.5</formula>
    </cfRule>
  </conditionalFormatting>
  <conditionalFormatting sqref="V23">
    <cfRule type="cellIs" dxfId="5352" priority="136583" stopIfTrue="1" operator="greaterThanOrEqual">
      <formula>0.5</formula>
    </cfRule>
  </conditionalFormatting>
  <conditionalFormatting sqref="V24">
    <cfRule type="cellIs" dxfId="5351" priority="136584" stopIfTrue="1" operator="equal">
      <formula>-1</formula>
    </cfRule>
  </conditionalFormatting>
  <conditionalFormatting sqref="V24">
    <cfRule type="cellIs" dxfId="5350" priority="136585" stopIfTrue="1" operator="lessThan">
      <formula>0.5</formula>
    </cfRule>
  </conditionalFormatting>
  <conditionalFormatting sqref="V24">
    <cfRule type="cellIs" dxfId="5349" priority="136586" stopIfTrue="1" operator="greaterThanOrEqual">
      <formula>0.5</formula>
    </cfRule>
  </conditionalFormatting>
  <conditionalFormatting sqref="V25">
    <cfRule type="cellIs" dxfId="5348" priority="136587" stopIfTrue="1" operator="equal">
      <formula>-1</formula>
    </cfRule>
  </conditionalFormatting>
  <conditionalFormatting sqref="V25">
    <cfRule type="cellIs" dxfId="5347" priority="136588" stopIfTrue="1" operator="lessThan">
      <formula>0.5</formula>
    </cfRule>
  </conditionalFormatting>
  <conditionalFormatting sqref="V25">
    <cfRule type="cellIs" dxfId="5346" priority="136589" stopIfTrue="1" operator="greaterThanOrEqual">
      <formula>0.5</formula>
    </cfRule>
  </conditionalFormatting>
  <conditionalFormatting sqref="V26">
    <cfRule type="cellIs" dxfId="5345" priority="136590" stopIfTrue="1" operator="equal">
      <formula>-1</formula>
    </cfRule>
  </conditionalFormatting>
  <conditionalFormatting sqref="V26">
    <cfRule type="cellIs" dxfId="5344" priority="136591" stopIfTrue="1" operator="lessThan">
      <formula>0.5</formula>
    </cfRule>
  </conditionalFormatting>
  <conditionalFormatting sqref="V26">
    <cfRule type="cellIs" dxfId="5343" priority="136592" stopIfTrue="1" operator="greaterThanOrEqual">
      <formula>0.5</formula>
    </cfRule>
  </conditionalFormatting>
  <conditionalFormatting sqref="V27">
    <cfRule type="cellIs" dxfId="5342" priority="136593" stopIfTrue="1" operator="equal">
      <formula>-1</formula>
    </cfRule>
  </conditionalFormatting>
  <conditionalFormatting sqref="V27">
    <cfRule type="cellIs" dxfId="5341" priority="136594" stopIfTrue="1" operator="lessThan">
      <formula>0.5</formula>
    </cfRule>
  </conditionalFormatting>
  <conditionalFormatting sqref="V27">
    <cfRule type="cellIs" dxfId="5340" priority="136595" stopIfTrue="1" operator="greaterThanOrEqual">
      <formula>0.5</formula>
    </cfRule>
  </conditionalFormatting>
  <conditionalFormatting sqref="V28">
    <cfRule type="cellIs" dxfId="5339" priority="136596" stopIfTrue="1" operator="equal">
      <formula>-1</formula>
    </cfRule>
  </conditionalFormatting>
  <conditionalFormatting sqref="V28">
    <cfRule type="cellIs" dxfId="5338" priority="136597" stopIfTrue="1" operator="lessThan">
      <formula>0.5</formula>
    </cfRule>
  </conditionalFormatting>
  <conditionalFormatting sqref="V28">
    <cfRule type="cellIs" dxfId="5337" priority="136598" stopIfTrue="1" operator="greaterThanOrEqual">
      <formula>0.5</formula>
    </cfRule>
  </conditionalFormatting>
  <conditionalFormatting sqref="V29">
    <cfRule type="cellIs" dxfId="5336" priority="136599" stopIfTrue="1" operator="equal">
      <formula>-1</formula>
    </cfRule>
  </conditionalFormatting>
  <conditionalFormatting sqref="V29">
    <cfRule type="cellIs" dxfId="5335" priority="136600" stopIfTrue="1" operator="lessThan">
      <formula>0.5</formula>
    </cfRule>
  </conditionalFormatting>
  <conditionalFormatting sqref="V29">
    <cfRule type="cellIs" dxfId="5334" priority="136601" stopIfTrue="1" operator="greaterThanOrEqual">
      <formula>0.5</formula>
    </cfRule>
  </conditionalFormatting>
  <conditionalFormatting sqref="V30">
    <cfRule type="cellIs" dxfId="5333" priority="136602" stopIfTrue="1" operator="equal">
      <formula>-1</formula>
    </cfRule>
  </conditionalFormatting>
  <conditionalFormatting sqref="V30">
    <cfRule type="cellIs" dxfId="5332" priority="136603" stopIfTrue="1" operator="lessThan">
      <formula>0.5</formula>
    </cfRule>
  </conditionalFormatting>
  <conditionalFormatting sqref="V30">
    <cfRule type="cellIs" dxfId="5331" priority="136604" stopIfTrue="1" operator="greaterThanOrEqual">
      <formula>0.5</formula>
    </cfRule>
  </conditionalFormatting>
  <conditionalFormatting sqref="V31">
    <cfRule type="cellIs" dxfId="5330" priority="136605" stopIfTrue="1" operator="equal">
      <formula>-1</formula>
    </cfRule>
  </conditionalFormatting>
  <conditionalFormatting sqref="V31">
    <cfRule type="cellIs" dxfId="5329" priority="136606" stopIfTrue="1" operator="lessThan">
      <formula>0.5</formula>
    </cfRule>
  </conditionalFormatting>
  <conditionalFormatting sqref="V31">
    <cfRule type="cellIs" dxfId="5328" priority="136607" stopIfTrue="1" operator="greaterThanOrEqual">
      <formula>0.5</formula>
    </cfRule>
  </conditionalFormatting>
  <conditionalFormatting sqref="V32">
    <cfRule type="cellIs" dxfId="5327" priority="136608" stopIfTrue="1" operator="equal">
      <formula>-1</formula>
    </cfRule>
  </conditionalFormatting>
  <conditionalFormatting sqref="V32">
    <cfRule type="cellIs" dxfId="5326" priority="136609" stopIfTrue="1" operator="lessThan">
      <formula>0.5</formula>
    </cfRule>
  </conditionalFormatting>
  <conditionalFormatting sqref="V32">
    <cfRule type="cellIs" dxfId="5325" priority="136610" stopIfTrue="1" operator="greaterThanOrEqual">
      <formula>0.5</formula>
    </cfRule>
  </conditionalFormatting>
  <conditionalFormatting sqref="V33">
    <cfRule type="cellIs" dxfId="5324" priority="136611" stopIfTrue="1" operator="equal">
      <formula>-1</formula>
    </cfRule>
  </conditionalFormatting>
  <conditionalFormatting sqref="V33">
    <cfRule type="cellIs" dxfId="5323" priority="136612" stopIfTrue="1" operator="lessThan">
      <formula>0.5</formula>
    </cfRule>
  </conditionalFormatting>
  <conditionalFormatting sqref="V33">
    <cfRule type="cellIs" dxfId="5322" priority="136613" stopIfTrue="1" operator="greaterThanOrEqual">
      <formula>0.5</formula>
    </cfRule>
  </conditionalFormatting>
  <conditionalFormatting sqref="V34">
    <cfRule type="cellIs" dxfId="5321" priority="136614" stopIfTrue="1" operator="equal">
      <formula>-1</formula>
    </cfRule>
  </conditionalFormatting>
  <conditionalFormatting sqref="V34">
    <cfRule type="cellIs" dxfId="5320" priority="136615" stopIfTrue="1" operator="lessThan">
      <formula>0.5</formula>
    </cfRule>
  </conditionalFormatting>
  <conditionalFormatting sqref="V34">
    <cfRule type="cellIs" dxfId="5319" priority="136616" stopIfTrue="1" operator="greaterThanOrEqual">
      <formula>0.5</formula>
    </cfRule>
  </conditionalFormatting>
  <conditionalFormatting sqref="V35">
    <cfRule type="cellIs" dxfId="5318" priority="136617" stopIfTrue="1" operator="equal">
      <formula>-1</formula>
    </cfRule>
  </conditionalFormatting>
  <conditionalFormatting sqref="V35">
    <cfRule type="cellIs" dxfId="5317" priority="136618" stopIfTrue="1" operator="lessThan">
      <formula>0.5</formula>
    </cfRule>
  </conditionalFormatting>
  <conditionalFormatting sqref="V35">
    <cfRule type="cellIs" dxfId="5316" priority="136619" stopIfTrue="1" operator="greaterThanOrEqual">
      <formula>0.5</formula>
    </cfRule>
  </conditionalFormatting>
  <conditionalFormatting sqref="V36">
    <cfRule type="cellIs" dxfId="5315" priority="136620" stopIfTrue="1" operator="equal">
      <formula>-1</formula>
    </cfRule>
  </conditionalFormatting>
  <conditionalFormatting sqref="V36">
    <cfRule type="cellIs" dxfId="5314" priority="136621" stopIfTrue="1" operator="lessThan">
      <formula>0.5</formula>
    </cfRule>
  </conditionalFormatting>
  <conditionalFormatting sqref="V36">
    <cfRule type="cellIs" dxfId="5313" priority="136622" stopIfTrue="1" operator="greaterThanOrEqual">
      <formula>0.5</formula>
    </cfRule>
  </conditionalFormatting>
  <conditionalFormatting sqref="V37">
    <cfRule type="cellIs" dxfId="5312" priority="136623" stopIfTrue="1" operator="equal">
      <formula>-1</formula>
    </cfRule>
  </conditionalFormatting>
  <conditionalFormatting sqref="V37">
    <cfRule type="cellIs" dxfId="5311" priority="136624" stopIfTrue="1" operator="lessThan">
      <formula>0.5</formula>
    </cfRule>
  </conditionalFormatting>
  <conditionalFormatting sqref="V37">
    <cfRule type="cellIs" dxfId="5310" priority="136625" stopIfTrue="1" operator="greaterThanOrEqual">
      <formula>0.5</formula>
    </cfRule>
  </conditionalFormatting>
  <conditionalFormatting sqref="X17">
    <cfRule type="cellIs" dxfId="5309" priority="136626" stopIfTrue="1" operator="equal">
      <formula>-1</formula>
    </cfRule>
  </conditionalFormatting>
  <conditionalFormatting sqref="X17">
    <cfRule type="cellIs" dxfId="5308" priority="136627" stopIfTrue="1" operator="lessThan">
      <formula>0.5</formula>
    </cfRule>
  </conditionalFormatting>
  <conditionalFormatting sqref="X17">
    <cfRule type="cellIs" dxfId="5307" priority="136628" stopIfTrue="1" operator="greaterThanOrEqual">
      <formula>0.5</formula>
    </cfRule>
  </conditionalFormatting>
  <conditionalFormatting sqref="X18">
    <cfRule type="cellIs" dxfId="5306" priority="136629" stopIfTrue="1" operator="equal">
      <formula>-1</formula>
    </cfRule>
  </conditionalFormatting>
  <conditionalFormatting sqref="X18">
    <cfRule type="cellIs" dxfId="5305" priority="136630" stopIfTrue="1" operator="lessThan">
      <formula>0.5</formula>
    </cfRule>
  </conditionalFormatting>
  <conditionalFormatting sqref="X18">
    <cfRule type="cellIs" dxfId="5304" priority="136631" stopIfTrue="1" operator="greaterThanOrEqual">
      <formula>0.5</formula>
    </cfRule>
  </conditionalFormatting>
  <conditionalFormatting sqref="X19">
    <cfRule type="cellIs" dxfId="5303" priority="136632" stopIfTrue="1" operator="equal">
      <formula>-1</formula>
    </cfRule>
  </conditionalFormatting>
  <conditionalFormatting sqref="X19">
    <cfRule type="cellIs" dxfId="5302" priority="136633" stopIfTrue="1" operator="lessThan">
      <formula>0.5</formula>
    </cfRule>
  </conditionalFormatting>
  <conditionalFormatting sqref="X19">
    <cfRule type="cellIs" dxfId="5301" priority="136634" stopIfTrue="1" operator="greaterThanOrEqual">
      <formula>0.5</formula>
    </cfRule>
  </conditionalFormatting>
  <conditionalFormatting sqref="X20">
    <cfRule type="cellIs" dxfId="5300" priority="136635" stopIfTrue="1" operator="equal">
      <formula>-1</formula>
    </cfRule>
  </conditionalFormatting>
  <conditionalFormatting sqref="X20">
    <cfRule type="cellIs" dxfId="5299" priority="136636" stopIfTrue="1" operator="lessThan">
      <formula>0.5</formula>
    </cfRule>
  </conditionalFormatting>
  <conditionalFormatting sqref="X20">
    <cfRule type="cellIs" dxfId="5298" priority="136637" stopIfTrue="1" operator="greaterThanOrEqual">
      <formula>0.5</formula>
    </cfRule>
  </conditionalFormatting>
  <conditionalFormatting sqref="X21">
    <cfRule type="cellIs" dxfId="5297" priority="136638" stopIfTrue="1" operator="equal">
      <formula>-1</formula>
    </cfRule>
  </conditionalFormatting>
  <conditionalFormatting sqref="X21">
    <cfRule type="cellIs" dxfId="5296" priority="136639" stopIfTrue="1" operator="lessThan">
      <formula>0.5</formula>
    </cfRule>
  </conditionalFormatting>
  <conditionalFormatting sqref="X21">
    <cfRule type="cellIs" dxfId="5295" priority="136640" stopIfTrue="1" operator="greaterThanOrEqual">
      <formula>0.5</formula>
    </cfRule>
  </conditionalFormatting>
  <conditionalFormatting sqref="X22">
    <cfRule type="cellIs" dxfId="5294" priority="136641" stopIfTrue="1" operator="equal">
      <formula>-1</formula>
    </cfRule>
  </conditionalFormatting>
  <conditionalFormatting sqref="X22">
    <cfRule type="cellIs" dxfId="5293" priority="136642" stopIfTrue="1" operator="lessThan">
      <formula>0.5</formula>
    </cfRule>
  </conditionalFormatting>
  <conditionalFormatting sqref="X22">
    <cfRule type="cellIs" dxfId="5292" priority="136643" stopIfTrue="1" operator="greaterThanOrEqual">
      <formula>0.5</formula>
    </cfRule>
  </conditionalFormatting>
  <conditionalFormatting sqref="X23">
    <cfRule type="cellIs" dxfId="5291" priority="136644" stopIfTrue="1" operator="equal">
      <formula>-1</formula>
    </cfRule>
  </conditionalFormatting>
  <conditionalFormatting sqref="X23">
    <cfRule type="cellIs" dxfId="5290" priority="136645" stopIfTrue="1" operator="lessThan">
      <formula>0.5</formula>
    </cfRule>
  </conditionalFormatting>
  <conditionalFormatting sqref="X23">
    <cfRule type="cellIs" dxfId="5289" priority="136646" stopIfTrue="1" operator="greaterThanOrEqual">
      <formula>0.5</formula>
    </cfRule>
  </conditionalFormatting>
  <conditionalFormatting sqref="X24">
    <cfRule type="cellIs" dxfId="5288" priority="136647" stopIfTrue="1" operator="equal">
      <formula>-1</formula>
    </cfRule>
  </conditionalFormatting>
  <conditionalFormatting sqref="X24">
    <cfRule type="cellIs" dxfId="5287" priority="136648" stopIfTrue="1" operator="lessThan">
      <formula>0.5</formula>
    </cfRule>
  </conditionalFormatting>
  <conditionalFormatting sqref="X24">
    <cfRule type="cellIs" dxfId="5286" priority="136649" stopIfTrue="1" operator="greaterThanOrEqual">
      <formula>0.5</formula>
    </cfRule>
  </conditionalFormatting>
  <conditionalFormatting sqref="X25">
    <cfRule type="cellIs" dxfId="5285" priority="136650" stopIfTrue="1" operator="equal">
      <formula>-1</formula>
    </cfRule>
  </conditionalFormatting>
  <conditionalFormatting sqref="X25">
    <cfRule type="cellIs" dxfId="5284" priority="136651" stopIfTrue="1" operator="lessThan">
      <formula>0.5</formula>
    </cfRule>
  </conditionalFormatting>
  <conditionalFormatting sqref="X25">
    <cfRule type="cellIs" dxfId="5283" priority="136652" stopIfTrue="1" operator="greaterThanOrEqual">
      <formula>0.5</formula>
    </cfRule>
  </conditionalFormatting>
  <conditionalFormatting sqref="X26">
    <cfRule type="cellIs" dxfId="5282" priority="136653" stopIfTrue="1" operator="equal">
      <formula>-1</formula>
    </cfRule>
  </conditionalFormatting>
  <conditionalFormatting sqref="X26">
    <cfRule type="cellIs" dxfId="5281" priority="136654" stopIfTrue="1" operator="lessThan">
      <formula>0.5</formula>
    </cfRule>
  </conditionalFormatting>
  <conditionalFormatting sqref="X26">
    <cfRule type="cellIs" dxfId="5280" priority="136655" stopIfTrue="1" operator="greaterThanOrEqual">
      <formula>0.5</formula>
    </cfRule>
  </conditionalFormatting>
  <conditionalFormatting sqref="X27">
    <cfRule type="cellIs" dxfId="5279" priority="136656" stopIfTrue="1" operator="equal">
      <formula>-1</formula>
    </cfRule>
  </conditionalFormatting>
  <conditionalFormatting sqref="X27">
    <cfRule type="cellIs" dxfId="5278" priority="136657" stopIfTrue="1" operator="lessThan">
      <formula>0.5</formula>
    </cfRule>
  </conditionalFormatting>
  <conditionalFormatting sqref="X27">
    <cfRule type="cellIs" dxfId="5277" priority="136658" stopIfTrue="1" operator="greaterThanOrEqual">
      <formula>0.5</formula>
    </cfRule>
  </conditionalFormatting>
  <conditionalFormatting sqref="X28">
    <cfRule type="cellIs" dxfId="5276" priority="136659" stopIfTrue="1" operator="equal">
      <formula>-1</formula>
    </cfRule>
  </conditionalFormatting>
  <conditionalFormatting sqref="X28">
    <cfRule type="cellIs" dxfId="5275" priority="136660" stopIfTrue="1" operator="lessThan">
      <formula>0.5</formula>
    </cfRule>
  </conditionalFormatting>
  <conditionalFormatting sqref="X28">
    <cfRule type="cellIs" dxfId="5274" priority="136661" stopIfTrue="1" operator="greaterThanOrEqual">
      <formula>0.5</formula>
    </cfRule>
  </conditionalFormatting>
  <conditionalFormatting sqref="X29">
    <cfRule type="cellIs" dxfId="5273" priority="136662" stopIfTrue="1" operator="equal">
      <formula>-1</formula>
    </cfRule>
  </conditionalFormatting>
  <conditionalFormatting sqref="X29">
    <cfRule type="cellIs" dxfId="5272" priority="136663" stopIfTrue="1" operator="lessThan">
      <formula>0.5</formula>
    </cfRule>
  </conditionalFormatting>
  <conditionalFormatting sqref="X29">
    <cfRule type="cellIs" dxfId="5271" priority="136664" stopIfTrue="1" operator="greaterThanOrEqual">
      <formula>0.5</formula>
    </cfRule>
  </conditionalFormatting>
  <conditionalFormatting sqref="X30">
    <cfRule type="cellIs" dxfId="5270" priority="136665" stopIfTrue="1" operator="equal">
      <formula>-1</formula>
    </cfRule>
  </conditionalFormatting>
  <conditionalFormatting sqref="X30">
    <cfRule type="cellIs" dxfId="5269" priority="136666" stopIfTrue="1" operator="lessThan">
      <formula>0.5</formula>
    </cfRule>
  </conditionalFormatting>
  <conditionalFormatting sqref="X30">
    <cfRule type="cellIs" dxfId="5268" priority="136667" stopIfTrue="1" operator="greaterThanOrEqual">
      <formula>0.5</formula>
    </cfRule>
  </conditionalFormatting>
  <conditionalFormatting sqref="X31">
    <cfRule type="cellIs" dxfId="5267" priority="136668" stopIfTrue="1" operator="equal">
      <formula>-1</formula>
    </cfRule>
  </conditionalFormatting>
  <conditionalFormatting sqref="X31">
    <cfRule type="cellIs" dxfId="5266" priority="136669" stopIfTrue="1" operator="lessThan">
      <formula>0.5</formula>
    </cfRule>
  </conditionalFormatting>
  <conditionalFormatting sqref="X31">
    <cfRule type="cellIs" dxfId="5265" priority="136670" stopIfTrue="1" operator="greaterThanOrEqual">
      <formula>0.5</formula>
    </cfRule>
  </conditionalFormatting>
  <conditionalFormatting sqref="X32">
    <cfRule type="cellIs" dxfId="5264" priority="136671" stopIfTrue="1" operator="equal">
      <formula>-1</formula>
    </cfRule>
  </conditionalFormatting>
  <conditionalFormatting sqref="X32">
    <cfRule type="cellIs" dxfId="5263" priority="136672" stopIfTrue="1" operator="lessThan">
      <formula>0.5</formula>
    </cfRule>
  </conditionalFormatting>
  <conditionalFormatting sqref="X32">
    <cfRule type="cellIs" dxfId="5262" priority="136673" stopIfTrue="1" operator="greaterThanOrEqual">
      <formula>0.5</formula>
    </cfRule>
  </conditionalFormatting>
  <conditionalFormatting sqref="X33">
    <cfRule type="cellIs" dxfId="5261" priority="136674" stopIfTrue="1" operator="equal">
      <formula>-1</formula>
    </cfRule>
  </conditionalFormatting>
  <conditionalFormatting sqref="X33">
    <cfRule type="cellIs" dxfId="5260" priority="136675" stopIfTrue="1" operator="lessThan">
      <formula>0.5</formula>
    </cfRule>
  </conditionalFormatting>
  <conditionalFormatting sqref="X33">
    <cfRule type="cellIs" dxfId="5259" priority="136676" stopIfTrue="1" operator="greaterThanOrEqual">
      <formula>0.5</formula>
    </cfRule>
  </conditionalFormatting>
  <conditionalFormatting sqref="X34">
    <cfRule type="cellIs" dxfId="5258" priority="136677" stopIfTrue="1" operator="equal">
      <formula>-1</formula>
    </cfRule>
  </conditionalFormatting>
  <conditionalFormatting sqref="X34">
    <cfRule type="cellIs" dxfId="5257" priority="136678" stopIfTrue="1" operator="lessThan">
      <formula>0.5</formula>
    </cfRule>
  </conditionalFormatting>
  <conditionalFormatting sqref="X34">
    <cfRule type="cellIs" dxfId="5256" priority="136679" stopIfTrue="1" operator="greaterThanOrEqual">
      <formula>0.5</formula>
    </cfRule>
  </conditionalFormatting>
  <conditionalFormatting sqref="X35">
    <cfRule type="cellIs" dxfId="5255" priority="136680" stopIfTrue="1" operator="equal">
      <formula>-1</formula>
    </cfRule>
  </conditionalFormatting>
  <conditionalFormatting sqref="X35">
    <cfRule type="cellIs" dxfId="5254" priority="136681" stopIfTrue="1" operator="lessThan">
      <formula>0.5</formula>
    </cfRule>
  </conditionalFormatting>
  <conditionalFormatting sqref="X35">
    <cfRule type="cellIs" dxfId="5253" priority="136682" stopIfTrue="1" operator="greaterThanOrEqual">
      <formula>0.5</formula>
    </cfRule>
  </conditionalFormatting>
  <conditionalFormatting sqref="X36">
    <cfRule type="cellIs" dxfId="5252" priority="136683" stopIfTrue="1" operator="equal">
      <formula>-1</formula>
    </cfRule>
  </conditionalFormatting>
  <conditionalFormatting sqref="X36">
    <cfRule type="cellIs" dxfId="5251" priority="136684" stopIfTrue="1" operator="lessThan">
      <formula>0.5</formula>
    </cfRule>
  </conditionalFormatting>
  <conditionalFormatting sqref="X36">
    <cfRule type="cellIs" dxfId="5250" priority="136685" stopIfTrue="1" operator="greaterThanOrEqual">
      <formula>0.5</formula>
    </cfRule>
  </conditionalFormatting>
  <conditionalFormatting sqref="X37">
    <cfRule type="cellIs" dxfId="5249" priority="136686" stopIfTrue="1" operator="equal">
      <formula>-1</formula>
    </cfRule>
  </conditionalFormatting>
  <conditionalFormatting sqref="X37">
    <cfRule type="cellIs" dxfId="5248" priority="136687" stopIfTrue="1" operator="lessThan">
      <formula>0.5</formula>
    </cfRule>
  </conditionalFormatting>
  <conditionalFormatting sqref="X37">
    <cfRule type="cellIs" dxfId="5247" priority="136688" stopIfTrue="1" operator="greaterThanOrEqual">
      <formula>0.5</formula>
    </cfRule>
  </conditionalFormatting>
  <conditionalFormatting sqref="Z17">
    <cfRule type="cellIs" dxfId="5246" priority="136689" stopIfTrue="1" operator="equal">
      <formula>-1</formula>
    </cfRule>
  </conditionalFormatting>
  <conditionalFormatting sqref="Z17">
    <cfRule type="cellIs" dxfId="5245" priority="136690" stopIfTrue="1" operator="lessThan">
      <formula>0.5</formula>
    </cfRule>
  </conditionalFormatting>
  <conditionalFormatting sqref="Z17">
    <cfRule type="cellIs" dxfId="5244" priority="136691" stopIfTrue="1" operator="greaterThanOrEqual">
      <formula>0.5</formula>
    </cfRule>
  </conditionalFormatting>
  <conditionalFormatting sqref="Z18">
    <cfRule type="cellIs" dxfId="5243" priority="136692" stopIfTrue="1" operator="equal">
      <formula>-1</formula>
    </cfRule>
  </conditionalFormatting>
  <conditionalFormatting sqref="Z18">
    <cfRule type="cellIs" dxfId="5242" priority="136693" stopIfTrue="1" operator="lessThan">
      <formula>0.5</formula>
    </cfRule>
  </conditionalFormatting>
  <conditionalFormatting sqref="Z18">
    <cfRule type="cellIs" dxfId="5241" priority="136694" stopIfTrue="1" operator="greaterThanOrEqual">
      <formula>0.5</formula>
    </cfRule>
  </conditionalFormatting>
  <conditionalFormatting sqref="Z19">
    <cfRule type="cellIs" dxfId="5240" priority="136695" stopIfTrue="1" operator="equal">
      <formula>-1</formula>
    </cfRule>
  </conditionalFormatting>
  <conditionalFormatting sqref="Z19">
    <cfRule type="cellIs" dxfId="5239" priority="136696" stopIfTrue="1" operator="lessThan">
      <formula>0.5</formula>
    </cfRule>
  </conditionalFormatting>
  <conditionalFormatting sqref="Z19">
    <cfRule type="cellIs" dxfId="5238" priority="136697" stopIfTrue="1" operator="greaterThanOrEqual">
      <formula>0.5</formula>
    </cfRule>
  </conditionalFormatting>
  <conditionalFormatting sqref="Z20">
    <cfRule type="cellIs" dxfId="5237" priority="136698" stopIfTrue="1" operator="equal">
      <formula>-1</formula>
    </cfRule>
  </conditionalFormatting>
  <conditionalFormatting sqref="Z20">
    <cfRule type="cellIs" dxfId="5236" priority="136699" stopIfTrue="1" operator="lessThan">
      <formula>0.5</formula>
    </cfRule>
  </conditionalFormatting>
  <conditionalFormatting sqref="Z20">
    <cfRule type="cellIs" dxfId="5235" priority="136700" stopIfTrue="1" operator="greaterThanOrEqual">
      <formula>0.5</formula>
    </cfRule>
  </conditionalFormatting>
  <conditionalFormatting sqref="Z21">
    <cfRule type="cellIs" dxfId="5234" priority="136701" stopIfTrue="1" operator="equal">
      <formula>-1</formula>
    </cfRule>
  </conditionalFormatting>
  <conditionalFormatting sqref="Z21">
    <cfRule type="cellIs" dxfId="5233" priority="136702" stopIfTrue="1" operator="lessThan">
      <formula>0.5</formula>
    </cfRule>
  </conditionalFormatting>
  <conditionalFormatting sqref="Z21">
    <cfRule type="cellIs" dxfId="5232" priority="136703" stopIfTrue="1" operator="greaterThanOrEqual">
      <formula>0.5</formula>
    </cfRule>
  </conditionalFormatting>
  <conditionalFormatting sqref="Z22">
    <cfRule type="cellIs" dxfId="5231" priority="136704" stopIfTrue="1" operator="equal">
      <formula>-1</formula>
    </cfRule>
  </conditionalFormatting>
  <conditionalFormatting sqref="Z22">
    <cfRule type="cellIs" dxfId="5230" priority="136705" stopIfTrue="1" operator="lessThan">
      <formula>0.5</formula>
    </cfRule>
  </conditionalFormatting>
  <conditionalFormatting sqref="Z22">
    <cfRule type="cellIs" dxfId="5229" priority="136706" stopIfTrue="1" operator="greaterThanOrEqual">
      <formula>0.5</formula>
    </cfRule>
  </conditionalFormatting>
  <conditionalFormatting sqref="Z23">
    <cfRule type="cellIs" dxfId="5228" priority="136707" stopIfTrue="1" operator="equal">
      <formula>-1</formula>
    </cfRule>
  </conditionalFormatting>
  <conditionalFormatting sqref="Z23">
    <cfRule type="cellIs" dxfId="5227" priority="136708" stopIfTrue="1" operator="lessThan">
      <formula>0.5</formula>
    </cfRule>
  </conditionalFormatting>
  <conditionalFormatting sqref="Z23">
    <cfRule type="cellIs" dxfId="5226" priority="136709" stopIfTrue="1" operator="greaterThanOrEqual">
      <formula>0.5</formula>
    </cfRule>
  </conditionalFormatting>
  <conditionalFormatting sqref="Z24">
    <cfRule type="cellIs" dxfId="5225" priority="136710" stopIfTrue="1" operator="equal">
      <formula>-1</formula>
    </cfRule>
  </conditionalFormatting>
  <conditionalFormatting sqref="Z24">
    <cfRule type="cellIs" dxfId="5224" priority="136711" stopIfTrue="1" operator="lessThan">
      <formula>0.5</formula>
    </cfRule>
  </conditionalFormatting>
  <conditionalFormatting sqref="Z24">
    <cfRule type="cellIs" dxfId="5223" priority="136712" stopIfTrue="1" operator="greaterThanOrEqual">
      <formula>0.5</formula>
    </cfRule>
  </conditionalFormatting>
  <conditionalFormatting sqref="Z25">
    <cfRule type="cellIs" dxfId="5222" priority="136713" stopIfTrue="1" operator="equal">
      <formula>-1</formula>
    </cfRule>
  </conditionalFormatting>
  <conditionalFormatting sqref="Z25">
    <cfRule type="cellIs" dxfId="5221" priority="136714" stopIfTrue="1" operator="lessThan">
      <formula>0.5</formula>
    </cfRule>
  </conditionalFormatting>
  <conditionalFormatting sqref="Z25">
    <cfRule type="cellIs" dxfId="5220" priority="136715" stopIfTrue="1" operator="greaterThanOrEqual">
      <formula>0.5</formula>
    </cfRule>
  </conditionalFormatting>
  <conditionalFormatting sqref="Z26">
    <cfRule type="cellIs" dxfId="5219" priority="136716" stopIfTrue="1" operator="equal">
      <formula>-1</formula>
    </cfRule>
  </conditionalFormatting>
  <conditionalFormatting sqref="Z26">
    <cfRule type="cellIs" dxfId="5218" priority="136717" stopIfTrue="1" operator="lessThan">
      <formula>0.5</formula>
    </cfRule>
  </conditionalFormatting>
  <conditionalFormatting sqref="Z26">
    <cfRule type="cellIs" dxfId="5217" priority="136718" stopIfTrue="1" operator="greaterThanOrEqual">
      <formula>0.5</formula>
    </cfRule>
  </conditionalFormatting>
  <conditionalFormatting sqref="Z27">
    <cfRule type="cellIs" dxfId="5216" priority="136719" stopIfTrue="1" operator="equal">
      <formula>-1</formula>
    </cfRule>
  </conditionalFormatting>
  <conditionalFormatting sqref="Z27">
    <cfRule type="cellIs" dxfId="5215" priority="136720" stopIfTrue="1" operator="lessThan">
      <formula>0.5</formula>
    </cfRule>
  </conditionalFormatting>
  <conditionalFormatting sqref="Z27">
    <cfRule type="cellIs" dxfId="5214" priority="136721" stopIfTrue="1" operator="greaterThanOrEqual">
      <formula>0.5</formula>
    </cfRule>
  </conditionalFormatting>
  <conditionalFormatting sqref="Z28">
    <cfRule type="cellIs" dxfId="5213" priority="136722" stopIfTrue="1" operator="equal">
      <formula>-1</formula>
    </cfRule>
  </conditionalFormatting>
  <conditionalFormatting sqref="Z28">
    <cfRule type="cellIs" dxfId="5212" priority="136723" stopIfTrue="1" operator="lessThan">
      <formula>0.5</formula>
    </cfRule>
  </conditionalFormatting>
  <conditionalFormatting sqref="Z28">
    <cfRule type="cellIs" dxfId="5211" priority="136724" stopIfTrue="1" operator="greaterThanOrEqual">
      <formula>0.5</formula>
    </cfRule>
  </conditionalFormatting>
  <conditionalFormatting sqref="Z29">
    <cfRule type="cellIs" dxfId="5210" priority="136725" stopIfTrue="1" operator="equal">
      <formula>-1</formula>
    </cfRule>
  </conditionalFormatting>
  <conditionalFormatting sqref="Z29">
    <cfRule type="cellIs" dxfId="5209" priority="136726" stopIfTrue="1" operator="lessThan">
      <formula>0.5</formula>
    </cfRule>
  </conditionalFormatting>
  <conditionalFormatting sqref="Z29">
    <cfRule type="cellIs" dxfId="5208" priority="136727" stopIfTrue="1" operator="greaterThanOrEqual">
      <formula>0.5</formula>
    </cfRule>
  </conditionalFormatting>
  <conditionalFormatting sqref="Z30">
    <cfRule type="cellIs" dxfId="5207" priority="136728" stopIfTrue="1" operator="equal">
      <formula>-1</formula>
    </cfRule>
  </conditionalFormatting>
  <conditionalFormatting sqref="Z30">
    <cfRule type="cellIs" dxfId="5206" priority="136729" stopIfTrue="1" operator="lessThan">
      <formula>0.5</formula>
    </cfRule>
  </conditionalFormatting>
  <conditionalFormatting sqref="Z30">
    <cfRule type="cellIs" dxfId="5205" priority="136730" stopIfTrue="1" operator="greaterThanOrEqual">
      <formula>0.5</formula>
    </cfRule>
  </conditionalFormatting>
  <conditionalFormatting sqref="Z31">
    <cfRule type="cellIs" dxfId="5204" priority="136731" stopIfTrue="1" operator="equal">
      <formula>-1</formula>
    </cfRule>
  </conditionalFormatting>
  <conditionalFormatting sqref="Z31">
    <cfRule type="cellIs" dxfId="5203" priority="136732" stopIfTrue="1" operator="lessThan">
      <formula>0.5</formula>
    </cfRule>
  </conditionalFormatting>
  <conditionalFormatting sqref="Z31">
    <cfRule type="cellIs" dxfId="5202" priority="136733" stopIfTrue="1" operator="greaterThanOrEqual">
      <formula>0.5</formula>
    </cfRule>
  </conditionalFormatting>
  <conditionalFormatting sqref="Z32">
    <cfRule type="cellIs" dxfId="5201" priority="136734" stopIfTrue="1" operator="equal">
      <formula>-1</formula>
    </cfRule>
  </conditionalFormatting>
  <conditionalFormatting sqref="Z32">
    <cfRule type="cellIs" dxfId="5200" priority="136735" stopIfTrue="1" operator="lessThan">
      <formula>0.5</formula>
    </cfRule>
  </conditionalFormatting>
  <conditionalFormatting sqref="Z32">
    <cfRule type="cellIs" dxfId="5199" priority="136736" stopIfTrue="1" operator="greaterThanOrEqual">
      <formula>0.5</formula>
    </cfRule>
  </conditionalFormatting>
  <conditionalFormatting sqref="Z33">
    <cfRule type="cellIs" dxfId="5198" priority="136737" stopIfTrue="1" operator="equal">
      <formula>-1</formula>
    </cfRule>
  </conditionalFormatting>
  <conditionalFormatting sqref="Z33">
    <cfRule type="cellIs" dxfId="5197" priority="136738" stopIfTrue="1" operator="lessThan">
      <formula>0.5</formula>
    </cfRule>
  </conditionalFormatting>
  <conditionalFormatting sqref="Z33">
    <cfRule type="cellIs" dxfId="5196" priority="136739" stopIfTrue="1" operator="greaterThanOrEqual">
      <formula>0.5</formula>
    </cfRule>
  </conditionalFormatting>
  <conditionalFormatting sqref="Z34">
    <cfRule type="cellIs" dxfId="5195" priority="136740" stopIfTrue="1" operator="equal">
      <formula>-1</formula>
    </cfRule>
  </conditionalFormatting>
  <conditionalFormatting sqref="Z34">
    <cfRule type="cellIs" dxfId="5194" priority="136741" stopIfTrue="1" operator="lessThan">
      <formula>0.5</formula>
    </cfRule>
  </conditionalFormatting>
  <conditionalFormatting sqref="Z34">
    <cfRule type="cellIs" dxfId="5193" priority="136742" stopIfTrue="1" operator="greaterThanOrEqual">
      <formula>0.5</formula>
    </cfRule>
  </conditionalFormatting>
  <conditionalFormatting sqref="Z35">
    <cfRule type="cellIs" dxfId="5192" priority="136743" stopIfTrue="1" operator="equal">
      <formula>-1</formula>
    </cfRule>
  </conditionalFormatting>
  <conditionalFormatting sqref="Z35">
    <cfRule type="cellIs" dxfId="5191" priority="136744" stopIfTrue="1" operator="lessThan">
      <formula>0.5</formula>
    </cfRule>
  </conditionalFormatting>
  <conditionalFormatting sqref="Z35">
    <cfRule type="cellIs" dxfId="5190" priority="136745" stopIfTrue="1" operator="greaterThanOrEqual">
      <formula>0.5</formula>
    </cfRule>
  </conditionalFormatting>
  <conditionalFormatting sqref="Z36">
    <cfRule type="cellIs" dxfId="5189" priority="136746" stopIfTrue="1" operator="equal">
      <formula>-1</formula>
    </cfRule>
  </conditionalFormatting>
  <conditionalFormatting sqref="Z36">
    <cfRule type="cellIs" dxfId="5188" priority="136747" stopIfTrue="1" operator="lessThan">
      <formula>0.5</formula>
    </cfRule>
  </conditionalFormatting>
  <conditionalFormatting sqref="Z36">
    <cfRule type="cellIs" dxfId="5187" priority="136748" stopIfTrue="1" operator="greaterThanOrEqual">
      <formula>0.5</formula>
    </cfRule>
  </conditionalFormatting>
  <conditionalFormatting sqref="Z37">
    <cfRule type="cellIs" dxfId="5186" priority="136749" stopIfTrue="1" operator="equal">
      <formula>-1</formula>
    </cfRule>
  </conditionalFormatting>
  <conditionalFormatting sqref="Z37">
    <cfRule type="cellIs" dxfId="5185" priority="136750" stopIfTrue="1" operator="lessThan">
      <formula>0.5</formula>
    </cfRule>
  </conditionalFormatting>
  <conditionalFormatting sqref="Z37">
    <cfRule type="cellIs" dxfId="5184" priority="136751" stopIfTrue="1" operator="greaterThanOrEqual">
      <formula>0.5</formula>
    </cfRule>
  </conditionalFormatting>
  <conditionalFormatting sqref="AB17">
    <cfRule type="cellIs" dxfId="5183" priority="136752" stopIfTrue="1" operator="equal">
      <formula>-1</formula>
    </cfRule>
  </conditionalFormatting>
  <conditionalFormatting sqref="AB17">
    <cfRule type="cellIs" dxfId="5182" priority="136753" stopIfTrue="1" operator="lessThan">
      <formula>0.5</formula>
    </cfRule>
  </conditionalFormatting>
  <conditionalFormatting sqref="AB17">
    <cfRule type="cellIs" dxfId="5181" priority="136754" stopIfTrue="1" operator="greaterThanOrEqual">
      <formula>0.5</formula>
    </cfRule>
  </conditionalFormatting>
  <conditionalFormatting sqref="AB18">
    <cfRule type="cellIs" dxfId="5180" priority="136755" stopIfTrue="1" operator="equal">
      <formula>-1</formula>
    </cfRule>
  </conditionalFormatting>
  <conditionalFormatting sqref="AB18">
    <cfRule type="cellIs" dxfId="5179" priority="136756" stopIfTrue="1" operator="lessThan">
      <formula>0.5</formula>
    </cfRule>
  </conditionalFormatting>
  <conditionalFormatting sqref="AB18">
    <cfRule type="cellIs" dxfId="5178" priority="136757" stopIfTrue="1" operator="greaterThanOrEqual">
      <formula>0.5</formula>
    </cfRule>
  </conditionalFormatting>
  <conditionalFormatting sqref="AB19">
    <cfRule type="cellIs" dxfId="5177" priority="136758" stopIfTrue="1" operator="equal">
      <formula>-1</formula>
    </cfRule>
  </conditionalFormatting>
  <conditionalFormatting sqref="AB19">
    <cfRule type="cellIs" dxfId="5176" priority="136759" stopIfTrue="1" operator="lessThan">
      <formula>0.5</formula>
    </cfRule>
  </conditionalFormatting>
  <conditionalFormatting sqref="AB19">
    <cfRule type="cellIs" dxfId="5175" priority="136760" stopIfTrue="1" operator="greaterThanOrEqual">
      <formula>0.5</formula>
    </cfRule>
  </conditionalFormatting>
  <conditionalFormatting sqref="AB20">
    <cfRule type="cellIs" dxfId="5174" priority="136761" stopIfTrue="1" operator="equal">
      <formula>-1</formula>
    </cfRule>
  </conditionalFormatting>
  <conditionalFormatting sqref="AB20">
    <cfRule type="cellIs" dxfId="5173" priority="136762" stopIfTrue="1" operator="lessThan">
      <formula>0.5</formula>
    </cfRule>
  </conditionalFormatting>
  <conditionalFormatting sqref="AB20">
    <cfRule type="cellIs" dxfId="5172" priority="136763" stopIfTrue="1" operator="greaterThanOrEqual">
      <formula>0.5</formula>
    </cfRule>
  </conditionalFormatting>
  <conditionalFormatting sqref="AB21">
    <cfRule type="cellIs" dxfId="5171" priority="136764" stopIfTrue="1" operator="equal">
      <formula>-1</formula>
    </cfRule>
  </conditionalFormatting>
  <conditionalFormatting sqref="AB21">
    <cfRule type="cellIs" dxfId="5170" priority="136765" stopIfTrue="1" operator="lessThan">
      <formula>0.5</formula>
    </cfRule>
  </conditionalFormatting>
  <conditionalFormatting sqref="AB21">
    <cfRule type="cellIs" dxfId="5169" priority="136766" stopIfTrue="1" operator="greaterThanOrEqual">
      <formula>0.5</formula>
    </cfRule>
  </conditionalFormatting>
  <conditionalFormatting sqref="AB22">
    <cfRule type="cellIs" dxfId="5168" priority="136767" stopIfTrue="1" operator="equal">
      <formula>-1</formula>
    </cfRule>
  </conditionalFormatting>
  <conditionalFormatting sqref="AB22">
    <cfRule type="cellIs" dxfId="5167" priority="136768" stopIfTrue="1" operator="lessThan">
      <formula>0.5</formula>
    </cfRule>
  </conditionalFormatting>
  <conditionalFormatting sqref="AB22">
    <cfRule type="cellIs" dxfId="5166" priority="136769" stopIfTrue="1" operator="greaterThanOrEqual">
      <formula>0.5</formula>
    </cfRule>
  </conditionalFormatting>
  <conditionalFormatting sqref="AB23">
    <cfRule type="cellIs" dxfId="5165" priority="136770" stopIfTrue="1" operator="equal">
      <formula>-1</formula>
    </cfRule>
  </conditionalFormatting>
  <conditionalFormatting sqref="AB23">
    <cfRule type="cellIs" dxfId="5164" priority="136771" stopIfTrue="1" operator="lessThan">
      <formula>0.5</formula>
    </cfRule>
  </conditionalFormatting>
  <conditionalFormatting sqref="AB23">
    <cfRule type="cellIs" dxfId="5163" priority="136772" stopIfTrue="1" operator="greaterThanOrEqual">
      <formula>0.5</formula>
    </cfRule>
  </conditionalFormatting>
  <conditionalFormatting sqref="AB24">
    <cfRule type="cellIs" dxfId="5162" priority="136773" stopIfTrue="1" operator="equal">
      <formula>-1</formula>
    </cfRule>
  </conditionalFormatting>
  <conditionalFormatting sqref="AB24">
    <cfRule type="cellIs" dxfId="5161" priority="136774" stopIfTrue="1" operator="lessThan">
      <formula>0.5</formula>
    </cfRule>
  </conditionalFormatting>
  <conditionalFormatting sqref="AB24">
    <cfRule type="cellIs" dxfId="5160" priority="136775" stopIfTrue="1" operator="greaterThanOrEqual">
      <formula>0.5</formula>
    </cfRule>
  </conditionalFormatting>
  <conditionalFormatting sqref="AB25">
    <cfRule type="cellIs" dxfId="5159" priority="136776" stopIfTrue="1" operator="equal">
      <formula>-1</formula>
    </cfRule>
  </conditionalFormatting>
  <conditionalFormatting sqref="AB25">
    <cfRule type="cellIs" dxfId="5158" priority="136777" stopIfTrue="1" operator="lessThan">
      <formula>0.5</formula>
    </cfRule>
  </conditionalFormatting>
  <conditionalFormatting sqref="AB25">
    <cfRule type="cellIs" dxfId="5157" priority="136778" stopIfTrue="1" operator="greaterThanOrEqual">
      <formula>0.5</formula>
    </cfRule>
  </conditionalFormatting>
  <conditionalFormatting sqref="AB26">
    <cfRule type="cellIs" dxfId="5156" priority="136779" stopIfTrue="1" operator="equal">
      <formula>-1</formula>
    </cfRule>
  </conditionalFormatting>
  <conditionalFormatting sqref="AB26">
    <cfRule type="cellIs" dxfId="5155" priority="136780" stopIfTrue="1" operator="lessThan">
      <formula>0.5</formula>
    </cfRule>
  </conditionalFormatting>
  <conditionalFormatting sqref="AB26">
    <cfRule type="cellIs" dxfId="5154" priority="136781" stopIfTrue="1" operator="greaterThanOrEqual">
      <formula>0.5</formula>
    </cfRule>
  </conditionalFormatting>
  <conditionalFormatting sqref="AB27">
    <cfRule type="cellIs" dxfId="5153" priority="136782" stopIfTrue="1" operator="equal">
      <formula>-1</formula>
    </cfRule>
  </conditionalFormatting>
  <conditionalFormatting sqref="AB27">
    <cfRule type="cellIs" dxfId="5152" priority="136783" stopIfTrue="1" operator="lessThan">
      <formula>0.5</formula>
    </cfRule>
  </conditionalFormatting>
  <conditionalFormatting sqref="AB27">
    <cfRule type="cellIs" dxfId="5151" priority="136784" stopIfTrue="1" operator="greaterThanOrEqual">
      <formula>0.5</formula>
    </cfRule>
  </conditionalFormatting>
  <conditionalFormatting sqref="AB28">
    <cfRule type="cellIs" dxfId="5150" priority="136785" stopIfTrue="1" operator="equal">
      <formula>-1</formula>
    </cfRule>
  </conditionalFormatting>
  <conditionalFormatting sqref="AB28">
    <cfRule type="cellIs" dxfId="5149" priority="136786" stopIfTrue="1" operator="lessThan">
      <formula>0.5</formula>
    </cfRule>
  </conditionalFormatting>
  <conditionalFormatting sqref="AB28">
    <cfRule type="cellIs" dxfId="5148" priority="136787" stopIfTrue="1" operator="greaterThanOrEqual">
      <formula>0.5</formula>
    </cfRule>
  </conditionalFormatting>
  <conditionalFormatting sqref="AB29">
    <cfRule type="cellIs" dxfId="5147" priority="136788" stopIfTrue="1" operator="equal">
      <formula>-1</formula>
    </cfRule>
  </conditionalFormatting>
  <conditionalFormatting sqref="AB29">
    <cfRule type="cellIs" dxfId="5146" priority="136789" stopIfTrue="1" operator="lessThan">
      <formula>0.5</formula>
    </cfRule>
  </conditionalFormatting>
  <conditionalFormatting sqref="AB29">
    <cfRule type="cellIs" dxfId="5145" priority="136790" stopIfTrue="1" operator="greaterThanOrEqual">
      <formula>0.5</formula>
    </cfRule>
  </conditionalFormatting>
  <conditionalFormatting sqref="AB30">
    <cfRule type="cellIs" dxfId="5144" priority="136791" stopIfTrue="1" operator="equal">
      <formula>-1</formula>
    </cfRule>
  </conditionalFormatting>
  <conditionalFormatting sqref="AB30">
    <cfRule type="cellIs" dxfId="5143" priority="136792" stopIfTrue="1" operator="lessThan">
      <formula>0.5</formula>
    </cfRule>
  </conditionalFormatting>
  <conditionalFormatting sqref="AB30">
    <cfRule type="cellIs" dxfId="5142" priority="136793" stopIfTrue="1" operator="greaterThanOrEqual">
      <formula>0.5</formula>
    </cfRule>
  </conditionalFormatting>
  <conditionalFormatting sqref="AB31">
    <cfRule type="cellIs" dxfId="5141" priority="136794" stopIfTrue="1" operator="equal">
      <formula>-1</formula>
    </cfRule>
  </conditionalFormatting>
  <conditionalFormatting sqref="AB31">
    <cfRule type="cellIs" dxfId="5140" priority="136795" stopIfTrue="1" operator="lessThan">
      <formula>0.5</formula>
    </cfRule>
  </conditionalFormatting>
  <conditionalFormatting sqref="AB31">
    <cfRule type="cellIs" dxfId="5139" priority="136796" stopIfTrue="1" operator="greaterThanOrEqual">
      <formula>0.5</formula>
    </cfRule>
  </conditionalFormatting>
  <conditionalFormatting sqref="AB32">
    <cfRule type="cellIs" dxfId="5138" priority="136797" stopIfTrue="1" operator="equal">
      <formula>-1</formula>
    </cfRule>
  </conditionalFormatting>
  <conditionalFormatting sqref="AB32">
    <cfRule type="cellIs" dxfId="5137" priority="136798" stopIfTrue="1" operator="lessThan">
      <formula>0.5</formula>
    </cfRule>
  </conditionalFormatting>
  <conditionalFormatting sqref="AB32">
    <cfRule type="cellIs" dxfId="5136" priority="136799" stopIfTrue="1" operator="greaterThanOrEqual">
      <formula>0.5</formula>
    </cfRule>
  </conditionalFormatting>
  <conditionalFormatting sqref="AB33">
    <cfRule type="cellIs" dxfId="5135" priority="136800" stopIfTrue="1" operator="equal">
      <formula>-1</formula>
    </cfRule>
  </conditionalFormatting>
  <conditionalFormatting sqref="AB33">
    <cfRule type="cellIs" dxfId="5134" priority="136801" stopIfTrue="1" operator="lessThan">
      <formula>0.5</formula>
    </cfRule>
  </conditionalFormatting>
  <conditionalFormatting sqref="AB33">
    <cfRule type="cellIs" dxfId="5133" priority="136802" stopIfTrue="1" operator="greaterThanOrEqual">
      <formula>0.5</formula>
    </cfRule>
  </conditionalFormatting>
  <conditionalFormatting sqref="AB34">
    <cfRule type="cellIs" dxfId="5132" priority="136803" stopIfTrue="1" operator="equal">
      <formula>-1</formula>
    </cfRule>
  </conditionalFormatting>
  <conditionalFormatting sqref="AB34">
    <cfRule type="cellIs" dxfId="5131" priority="136804" stopIfTrue="1" operator="lessThan">
      <formula>0.5</formula>
    </cfRule>
  </conditionalFormatting>
  <conditionalFormatting sqref="AB34">
    <cfRule type="cellIs" dxfId="5130" priority="136805" stopIfTrue="1" operator="greaterThanOrEqual">
      <formula>0.5</formula>
    </cfRule>
  </conditionalFormatting>
  <conditionalFormatting sqref="AB35">
    <cfRule type="cellIs" dxfId="5129" priority="136806" stopIfTrue="1" operator="equal">
      <formula>-1</formula>
    </cfRule>
  </conditionalFormatting>
  <conditionalFormatting sqref="AB35">
    <cfRule type="cellIs" dxfId="5128" priority="136807" stopIfTrue="1" operator="lessThan">
      <formula>0.5</formula>
    </cfRule>
  </conditionalFormatting>
  <conditionalFormatting sqref="AB35">
    <cfRule type="cellIs" dxfId="5127" priority="136808" stopIfTrue="1" operator="greaterThanOrEqual">
      <formula>0.5</formula>
    </cfRule>
  </conditionalFormatting>
  <conditionalFormatting sqref="AB36">
    <cfRule type="cellIs" dxfId="5126" priority="136809" stopIfTrue="1" operator="equal">
      <formula>-1</formula>
    </cfRule>
  </conditionalFormatting>
  <conditionalFormatting sqref="AB36">
    <cfRule type="cellIs" dxfId="5125" priority="136810" stopIfTrue="1" operator="lessThan">
      <formula>0.5</formula>
    </cfRule>
  </conditionalFormatting>
  <conditionalFormatting sqref="AB36">
    <cfRule type="cellIs" dxfId="5124" priority="136811" stopIfTrue="1" operator="greaterThanOrEqual">
      <formula>0.5</formula>
    </cfRule>
  </conditionalFormatting>
  <conditionalFormatting sqref="AB37">
    <cfRule type="cellIs" dxfId="5123" priority="136812" stopIfTrue="1" operator="equal">
      <formula>-1</formula>
    </cfRule>
  </conditionalFormatting>
  <conditionalFormatting sqref="AB37">
    <cfRule type="cellIs" dxfId="5122" priority="136813" stopIfTrue="1" operator="lessThan">
      <formula>0.5</formula>
    </cfRule>
  </conditionalFormatting>
  <conditionalFormatting sqref="AB37">
    <cfRule type="cellIs" dxfId="5121" priority="136814" stopIfTrue="1" operator="greaterThanOrEqual">
      <formula>0.5</formula>
    </cfRule>
  </conditionalFormatting>
  <conditionalFormatting sqref="AD17">
    <cfRule type="cellIs" dxfId="5120" priority="136815" stopIfTrue="1" operator="equal">
      <formula>-1</formula>
    </cfRule>
  </conditionalFormatting>
  <conditionalFormatting sqref="AD17">
    <cfRule type="cellIs" dxfId="5119" priority="136816" stopIfTrue="1" operator="lessThan">
      <formula>0.5</formula>
    </cfRule>
  </conditionalFormatting>
  <conditionalFormatting sqref="AD17">
    <cfRule type="cellIs" dxfId="5118" priority="136817" stopIfTrue="1" operator="greaterThanOrEqual">
      <formula>0.5</formula>
    </cfRule>
  </conditionalFormatting>
  <conditionalFormatting sqref="AD18">
    <cfRule type="cellIs" dxfId="5117" priority="136818" stopIfTrue="1" operator="equal">
      <formula>-1</formula>
    </cfRule>
  </conditionalFormatting>
  <conditionalFormatting sqref="AD18">
    <cfRule type="cellIs" dxfId="5116" priority="136819" stopIfTrue="1" operator="lessThan">
      <formula>0.5</formula>
    </cfRule>
  </conditionalFormatting>
  <conditionalFormatting sqref="AD18">
    <cfRule type="cellIs" dxfId="5115" priority="136820" stopIfTrue="1" operator="greaterThanOrEqual">
      <formula>0.5</formula>
    </cfRule>
  </conditionalFormatting>
  <conditionalFormatting sqref="AD19">
    <cfRule type="cellIs" dxfId="5114" priority="136821" stopIfTrue="1" operator="equal">
      <formula>-1</formula>
    </cfRule>
  </conditionalFormatting>
  <conditionalFormatting sqref="AD19">
    <cfRule type="cellIs" dxfId="5113" priority="136822" stopIfTrue="1" operator="lessThan">
      <formula>0.5</formula>
    </cfRule>
  </conditionalFormatting>
  <conditionalFormatting sqref="AD19">
    <cfRule type="cellIs" dxfId="5112" priority="136823" stopIfTrue="1" operator="greaterThanOrEqual">
      <formula>0.5</formula>
    </cfRule>
  </conditionalFormatting>
  <conditionalFormatting sqref="AD20">
    <cfRule type="cellIs" dxfId="5111" priority="136824" stopIfTrue="1" operator="equal">
      <formula>-1</formula>
    </cfRule>
  </conditionalFormatting>
  <conditionalFormatting sqref="AD20">
    <cfRule type="cellIs" dxfId="5110" priority="136825" stopIfTrue="1" operator="lessThan">
      <formula>0.5</formula>
    </cfRule>
  </conditionalFormatting>
  <conditionalFormatting sqref="AD20">
    <cfRule type="cellIs" dxfId="5109" priority="136826" stopIfTrue="1" operator="greaterThanOrEqual">
      <formula>0.5</formula>
    </cfRule>
  </conditionalFormatting>
  <conditionalFormatting sqref="AD21">
    <cfRule type="cellIs" dxfId="5108" priority="136827" stopIfTrue="1" operator="equal">
      <formula>-1</formula>
    </cfRule>
  </conditionalFormatting>
  <conditionalFormatting sqref="AD21">
    <cfRule type="cellIs" dxfId="5107" priority="136828" stopIfTrue="1" operator="lessThan">
      <formula>0.5</formula>
    </cfRule>
  </conditionalFormatting>
  <conditionalFormatting sqref="AD21">
    <cfRule type="cellIs" dxfId="5106" priority="136829" stopIfTrue="1" operator="greaterThanOrEqual">
      <formula>0.5</formula>
    </cfRule>
  </conditionalFormatting>
  <conditionalFormatting sqref="AD22">
    <cfRule type="cellIs" dxfId="5105" priority="136830" stopIfTrue="1" operator="equal">
      <formula>-1</formula>
    </cfRule>
  </conditionalFormatting>
  <conditionalFormatting sqref="AD22">
    <cfRule type="cellIs" dxfId="5104" priority="136831" stopIfTrue="1" operator="lessThan">
      <formula>0.5</formula>
    </cfRule>
  </conditionalFormatting>
  <conditionalFormatting sqref="AD22">
    <cfRule type="cellIs" dxfId="5103" priority="136832" stopIfTrue="1" operator="greaterThanOrEqual">
      <formula>0.5</formula>
    </cfRule>
  </conditionalFormatting>
  <conditionalFormatting sqref="AD23">
    <cfRule type="cellIs" dxfId="5102" priority="136833" stopIfTrue="1" operator="equal">
      <formula>-1</formula>
    </cfRule>
  </conditionalFormatting>
  <conditionalFormatting sqref="AD23">
    <cfRule type="cellIs" dxfId="5101" priority="136834" stopIfTrue="1" operator="lessThan">
      <formula>0.5</formula>
    </cfRule>
  </conditionalFormatting>
  <conditionalFormatting sqref="AD23">
    <cfRule type="cellIs" dxfId="5100" priority="136835" stopIfTrue="1" operator="greaterThanOrEqual">
      <formula>0.5</formula>
    </cfRule>
  </conditionalFormatting>
  <conditionalFormatting sqref="AD24">
    <cfRule type="cellIs" dxfId="5099" priority="136836" stopIfTrue="1" operator="equal">
      <formula>-1</formula>
    </cfRule>
  </conditionalFormatting>
  <conditionalFormatting sqref="AD24">
    <cfRule type="cellIs" dxfId="5098" priority="136837" stopIfTrue="1" operator="lessThan">
      <formula>0.5</formula>
    </cfRule>
  </conditionalFormatting>
  <conditionalFormatting sqref="AD24">
    <cfRule type="cellIs" dxfId="5097" priority="136838" stopIfTrue="1" operator="greaterThanOrEqual">
      <formula>0.5</formula>
    </cfRule>
  </conditionalFormatting>
  <conditionalFormatting sqref="AD25">
    <cfRule type="cellIs" dxfId="5096" priority="136839" stopIfTrue="1" operator="equal">
      <formula>-1</formula>
    </cfRule>
  </conditionalFormatting>
  <conditionalFormatting sqref="AD25">
    <cfRule type="cellIs" dxfId="5095" priority="136840" stopIfTrue="1" operator="lessThan">
      <formula>0.5</formula>
    </cfRule>
  </conditionalFormatting>
  <conditionalFormatting sqref="AD25">
    <cfRule type="cellIs" dxfId="5094" priority="136841" stopIfTrue="1" operator="greaterThanOrEqual">
      <formula>0.5</formula>
    </cfRule>
  </conditionalFormatting>
  <conditionalFormatting sqref="AD26">
    <cfRule type="cellIs" dxfId="5093" priority="136842" stopIfTrue="1" operator="equal">
      <formula>-1</formula>
    </cfRule>
  </conditionalFormatting>
  <conditionalFormatting sqref="AD26">
    <cfRule type="cellIs" dxfId="5092" priority="136843" stopIfTrue="1" operator="lessThan">
      <formula>0.5</formula>
    </cfRule>
  </conditionalFormatting>
  <conditionalFormatting sqref="AD26">
    <cfRule type="cellIs" dxfId="5091" priority="136844" stopIfTrue="1" operator="greaterThanOrEqual">
      <formula>0.5</formula>
    </cfRule>
  </conditionalFormatting>
  <conditionalFormatting sqref="AD27">
    <cfRule type="cellIs" dxfId="5090" priority="136845" stopIfTrue="1" operator="equal">
      <formula>-1</formula>
    </cfRule>
  </conditionalFormatting>
  <conditionalFormatting sqref="AD27">
    <cfRule type="cellIs" dxfId="5089" priority="136846" stopIfTrue="1" operator="lessThan">
      <formula>0.5</formula>
    </cfRule>
  </conditionalFormatting>
  <conditionalFormatting sqref="AD27">
    <cfRule type="cellIs" dxfId="5088" priority="136847" stopIfTrue="1" operator="greaterThanOrEqual">
      <formula>0.5</formula>
    </cfRule>
  </conditionalFormatting>
  <conditionalFormatting sqref="AD28">
    <cfRule type="cellIs" dxfId="5087" priority="136848" stopIfTrue="1" operator="equal">
      <formula>-1</formula>
    </cfRule>
  </conditionalFormatting>
  <conditionalFormatting sqref="AD28">
    <cfRule type="cellIs" dxfId="5086" priority="136849" stopIfTrue="1" operator="lessThan">
      <formula>0.5</formula>
    </cfRule>
  </conditionalFormatting>
  <conditionalFormatting sqref="AD28">
    <cfRule type="cellIs" dxfId="5085" priority="136850" stopIfTrue="1" operator="greaterThanOrEqual">
      <formula>0.5</formula>
    </cfRule>
  </conditionalFormatting>
  <conditionalFormatting sqref="AD29">
    <cfRule type="cellIs" dxfId="5084" priority="136851" stopIfTrue="1" operator="equal">
      <formula>-1</formula>
    </cfRule>
  </conditionalFormatting>
  <conditionalFormatting sqref="AD29">
    <cfRule type="cellIs" dxfId="5083" priority="136852" stopIfTrue="1" operator="lessThan">
      <formula>0.5</formula>
    </cfRule>
  </conditionalFormatting>
  <conditionalFormatting sqref="AD29">
    <cfRule type="cellIs" dxfId="5082" priority="136853" stopIfTrue="1" operator="greaterThanOrEqual">
      <formula>0.5</formula>
    </cfRule>
  </conditionalFormatting>
  <conditionalFormatting sqref="AD30">
    <cfRule type="cellIs" dxfId="5081" priority="136854" stopIfTrue="1" operator="equal">
      <formula>-1</formula>
    </cfRule>
  </conditionalFormatting>
  <conditionalFormatting sqref="AD30">
    <cfRule type="cellIs" dxfId="5080" priority="136855" stopIfTrue="1" operator="lessThan">
      <formula>0.5</formula>
    </cfRule>
  </conditionalFormatting>
  <conditionalFormatting sqref="AD30">
    <cfRule type="cellIs" dxfId="5079" priority="136856" stopIfTrue="1" operator="greaterThanOrEqual">
      <formula>0.5</formula>
    </cfRule>
  </conditionalFormatting>
  <conditionalFormatting sqref="AD31">
    <cfRule type="cellIs" dxfId="5078" priority="136857" stopIfTrue="1" operator="equal">
      <formula>-1</formula>
    </cfRule>
  </conditionalFormatting>
  <conditionalFormatting sqref="AD31">
    <cfRule type="cellIs" dxfId="5077" priority="136858" stopIfTrue="1" operator="lessThan">
      <formula>0.5</formula>
    </cfRule>
  </conditionalFormatting>
  <conditionalFormatting sqref="AD31">
    <cfRule type="cellIs" dxfId="5076" priority="136859" stopIfTrue="1" operator="greaterThanOrEqual">
      <formula>0.5</formula>
    </cfRule>
  </conditionalFormatting>
  <conditionalFormatting sqref="AD32">
    <cfRule type="cellIs" dxfId="5075" priority="136860" stopIfTrue="1" operator="equal">
      <formula>-1</formula>
    </cfRule>
  </conditionalFormatting>
  <conditionalFormatting sqref="AD32">
    <cfRule type="cellIs" dxfId="5074" priority="136861" stopIfTrue="1" operator="lessThan">
      <formula>0.5</formula>
    </cfRule>
  </conditionalFormatting>
  <conditionalFormatting sqref="AD32">
    <cfRule type="cellIs" dxfId="5073" priority="136862" stopIfTrue="1" operator="greaterThanOrEqual">
      <formula>0.5</formula>
    </cfRule>
  </conditionalFormatting>
  <conditionalFormatting sqref="AD33">
    <cfRule type="cellIs" dxfId="5072" priority="136863" stopIfTrue="1" operator="equal">
      <formula>-1</formula>
    </cfRule>
  </conditionalFormatting>
  <conditionalFormatting sqref="AD33">
    <cfRule type="cellIs" dxfId="5071" priority="136864" stopIfTrue="1" operator="lessThan">
      <formula>0.5</formula>
    </cfRule>
  </conditionalFormatting>
  <conditionalFormatting sqref="AD33">
    <cfRule type="cellIs" dxfId="5070" priority="136865" stopIfTrue="1" operator="greaterThanOrEqual">
      <formula>0.5</formula>
    </cfRule>
  </conditionalFormatting>
  <conditionalFormatting sqref="AD34">
    <cfRule type="cellIs" dxfId="5069" priority="136866" stopIfTrue="1" operator="equal">
      <formula>-1</formula>
    </cfRule>
  </conditionalFormatting>
  <conditionalFormatting sqref="AD34">
    <cfRule type="cellIs" dxfId="5068" priority="136867" stopIfTrue="1" operator="lessThan">
      <formula>0.5</formula>
    </cfRule>
  </conditionalFormatting>
  <conditionalFormatting sqref="AD34">
    <cfRule type="cellIs" dxfId="5067" priority="136868" stopIfTrue="1" operator="greaterThanOrEqual">
      <formula>0.5</formula>
    </cfRule>
  </conditionalFormatting>
  <conditionalFormatting sqref="AD35">
    <cfRule type="cellIs" dxfId="5066" priority="136869" stopIfTrue="1" operator="equal">
      <formula>-1</formula>
    </cfRule>
  </conditionalFormatting>
  <conditionalFormatting sqref="AD35">
    <cfRule type="cellIs" dxfId="5065" priority="136870" stopIfTrue="1" operator="lessThan">
      <formula>0.5</formula>
    </cfRule>
  </conditionalFormatting>
  <conditionalFormatting sqref="AD35">
    <cfRule type="cellIs" dxfId="5064" priority="136871" stopIfTrue="1" operator="greaterThanOrEqual">
      <formula>0.5</formula>
    </cfRule>
  </conditionalFormatting>
  <conditionalFormatting sqref="AD36">
    <cfRule type="cellIs" dxfId="5063" priority="136872" stopIfTrue="1" operator="equal">
      <formula>-1</formula>
    </cfRule>
  </conditionalFormatting>
  <conditionalFormatting sqref="AD36">
    <cfRule type="cellIs" dxfId="5062" priority="136873" stopIfTrue="1" operator="lessThan">
      <formula>0.5</formula>
    </cfRule>
  </conditionalFormatting>
  <conditionalFormatting sqref="AD36">
    <cfRule type="cellIs" dxfId="5061" priority="136874" stopIfTrue="1" operator="greaterThanOrEqual">
      <formula>0.5</formula>
    </cfRule>
  </conditionalFormatting>
  <conditionalFormatting sqref="AD37">
    <cfRule type="cellIs" dxfId="5060" priority="136875" stopIfTrue="1" operator="equal">
      <formula>-1</formula>
    </cfRule>
  </conditionalFormatting>
  <conditionalFormatting sqref="AD37">
    <cfRule type="cellIs" dxfId="5059" priority="136876" stopIfTrue="1" operator="lessThan">
      <formula>0.5</formula>
    </cfRule>
  </conditionalFormatting>
  <conditionalFormatting sqref="AD37">
    <cfRule type="cellIs" dxfId="5058" priority="136877" stopIfTrue="1" operator="greaterThanOrEqual">
      <formula>0.5</formula>
    </cfRule>
  </conditionalFormatting>
  <conditionalFormatting sqref="AF17">
    <cfRule type="cellIs" dxfId="5057" priority="136878" stopIfTrue="1" operator="equal">
      <formula>-1</formula>
    </cfRule>
  </conditionalFormatting>
  <conditionalFormatting sqref="AF17">
    <cfRule type="cellIs" dxfId="5056" priority="136879" stopIfTrue="1" operator="lessThan">
      <formula>0.5</formula>
    </cfRule>
  </conditionalFormatting>
  <conditionalFormatting sqref="AF17">
    <cfRule type="cellIs" dxfId="5055" priority="136880" stopIfTrue="1" operator="greaterThanOrEqual">
      <formula>0.5</formula>
    </cfRule>
  </conditionalFormatting>
  <conditionalFormatting sqref="AF18">
    <cfRule type="cellIs" dxfId="5054" priority="136881" stopIfTrue="1" operator="equal">
      <formula>-1</formula>
    </cfRule>
  </conditionalFormatting>
  <conditionalFormatting sqref="AF18">
    <cfRule type="cellIs" dxfId="5053" priority="136882" stopIfTrue="1" operator="lessThan">
      <formula>0.5</formula>
    </cfRule>
  </conditionalFormatting>
  <conditionalFormatting sqref="AF18">
    <cfRule type="cellIs" dxfId="5052" priority="136883" stopIfTrue="1" operator="greaterThanOrEqual">
      <formula>0.5</formula>
    </cfRule>
  </conditionalFormatting>
  <conditionalFormatting sqref="AF19">
    <cfRule type="cellIs" dxfId="5051" priority="136884" stopIfTrue="1" operator="equal">
      <formula>-1</formula>
    </cfRule>
  </conditionalFormatting>
  <conditionalFormatting sqref="AF19">
    <cfRule type="cellIs" dxfId="5050" priority="136885" stopIfTrue="1" operator="lessThan">
      <formula>0.5</formula>
    </cfRule>
  </conditionalFormatting>
  <conditionalFormatting sqref="AF19">
    <cfRule type="cellIs" dxfId="5049" priority="136886" stopIfTrue="1" operator="greaterThanOrEqual">
      <formula>0.5</formula>
    </cfRule>
  </conditionalFormatting>
  <conditionalFormatting sqref="AF20">
    <cfRule type="cellIs" dxfId="5048" priority="136887" stopIfTrue="1" operator="equal">
      <formula>-1</formula>
    </cfRule>
  </conditionalFormatting>
  <conditionalFormatting sqref="AF20">
    <cfRule type="cellIs" dxfId="5047" priority="136888" stopIfTrue="1" operator="lessThan">
      <formula>0.5</formula>
    </cfRule>
  </conditionalFormatting>
  <conditionalFormatting sqref="AF20">
    <cfRule type="cellIs" dxfId="5046" priority="136889" stopIfTrue="1" operator="greaterThanOrEqual">
      <formula>0.5</formula>
    </cfRule>
  </conditionalFormatting>
  <conditionalFormatting sqref="AF21">
    <cfRule type="cellIs" dxfId="5045" priority="136890" stopIfTrue="1" operator="equal">
      <formula>-1</formula>
    </cfRule>
  </conditionalFormatting>
  <conditionalFormatting sqref="AF21">
    <cfRule type="cellIs" dxfId="5044" priority="136891" stopIfTrue="1" operator="lessThan">
      <formula>0.5</formula>
    </cfRule>
  </conditionalFormatting>
  <conditionalFormatting sqref="AF21">
    <cfRule type="cellIs" dxfId="5043" priority="136892" stopIfTrue="1" operator="greaterThanOrEqual">
      <formula>0.5</formula>
    </cfRule>
  </conditionalFormatting>
  <conditionalFormatting sqref="AF22">
    <cfRule type="cellIs" dxfId="5042" priority="136893" stopIfTrue="1" operator="equal">
      <formula>-1</formula>
    </cfRule>
  </conditionalFormatting>
  <conditionalFormatting sqref="AF22">
    <cfRule type="cellIs" dxfId="5041" priority="136894" stopIfTrue="1" operator="lessThan">
      <formula>0.5</formula>
    </cfRule>
  </conditionalFormatting>
  <conditionalFormatting sqref="AF22">
    <cfRule type="cellIs" dxfId="5040" priority="136895" stopIfTrue="1" operator="greaterThanOrEqual">
      <formula>0.5</formula>
    </cfRule>
  </conditionalFormatting>
  <conditionalFormatting sqref="AF23">
    <cfRule type="cellIs" dxfId="5039" priority="136896" stopIfTrue="1" operator="equal">
      <formula>-1</formula>
    </cfRule>
  </conditionalFormatting>
  <conditionalFormatting sqref="AF23">
    <cfRule type="cellIs" dxfId="5038" priority="136897" stopIfTrue="1" operator="lessThan">
      <formula>0.5</formula>
    </cfRule>
  </conditionalFormatting>
  <conditionalFormatting sqref="AF23">
    <cfRule type="cellIs" dxfId="5037" priority="136898" stopIfTrue="1" operator="greaterThanOrEqual">
      <formula>0.5</formula>
    </cfRule>
  </conditionalFormatting>
  <conditionalFormatting sqref="AF24">
    <cfRule type="cellIs" dxfId="5036" priority="136899" stopIfTrue="1" operator="equal">
      <formula>-1</formula>
    </cfRule>
  </conditionalFormatting>
  <conditionalFormatting sqref="AF24">
    <cfRule type="cellIs" dxfId="5035" priority="136900" stopIfTrue="1" operator="lessThan">
      <formula>0.5</formula>
    </cfRule>
  </conditionalFormatting>
  <conditionalFormatting sqref="AF24">
    <cfRule type="cellIs" dxfId="5034" priority="136901" stopIfTrue="1" operator="greaterThanOrEqual">
      <formula>0.5</formula>
    </cfRule>
  </conditionalFormatting>
  <conditionalFormatting sqref="AF25">
    <cfRule type="cellIs" dxfId="5033" priority="136902" stopIfTrue="1" operator="equal">
      <formula>-1</formula>
    </cfRule>
  </conditionalFormatting>
  <conditionalFormatting sqref="AF25">
    <cfRule type="cellIs" dxfId="5032" priority="136903" stopIfTrue="1" operator="lessThan">
      <formula>0.5</formula>
    </cfRule>
  </conditionalFormatting>
  <conditionalFormatting sqref="AF25">
    <cfRule type="cellIs" dxfId="5031" priority="136904" stopIfTrue="1" operator="greaterThanOrEqual">
      <formula>0.5</formula>
    </cfRule>
  </conditionalFormatting>
  <conditionalFormatting sqref="AF26">
    <cfRule type="cellIs" dxfId="5030" priority="136905" stopIfTrue="1" operator="equal">
      <formula>-1</formula>
    </cfRule>
  </conditionalFormatting>
  <conditionalFormatting sqref="AF26">
    <cfRule type="cellIs" dxfId="5029" priority="136906" stopIfTrue="1" operator="lessThan">
      <formula>0.5</formula>
    </cfRule>
  </conditionalFormatting>
  <conditionalFormatting sqref="AF26">
    <cfRule type="cellIs" dxfId="5028" priority="136907" stopIfTrue="1" operator="greaterThanOrEqual">
      <formula>0.5</formula>
    </cfRule>
  </conditionalFormatting>
  <conditionalFormatting sqref="AF27">
    <cfRule type="cellIs" dxfId="5027" priority="136908" stopIfTrue="1" operator="equal">
      <formula>-1</formula>
    </cfRule>
  </conditionalFormatting>
  <conditionalFormatting sqref="AF27">
    <cfRule type="cellIs" dxfId="5026" priority="136909" stopIfTrue="1" operator="lessThan">
      <formula>0.5</formula>
    </cfRule>
  </conditionalFormatting>
  <conditionalFormatting sqref="AF27">
    <cfRule type="cellIs" dxfId="5025" priority="136910" stopIfTrue="1" operator="greaterThanOrEqual">
      <formula>0.5</formula>
    </cfRule>
  </conditionalFormatting>
  <conditionalFormatting sqref="AF28">
    <cfRule type="cellIs" dxfId="5024" priority="136911" stopIfTrue="1" operator="equal">
      <formula>-1</formula>
    </cfRule>
  </conditionalFormatting>
  <conditionalFormatting sqref="AF28">
    <cfRule type="cellIs" dxfId="5023" priority="136912" stopIfTrue="1" operator="lessThan">
      <formula>0.5</formula>
    </cfRule>
  </conditionalFormatting>
  <conditionalFormatting sqref="AF28">
    <cfRule type="cellIs" dxfId="5022" priority="136913" stopIfTrue="1" operator="greaterThanOrEqual">
      <formula>0.5</formula>
    </cfRule>
  </conditionalFormatting>
  <conditionalFormatting sqref="AF29">
    <cfRule type="cellIs" dxfId="5021" priority="136914" stopIfTrue="1" operator="equal">
      <formula>-1</formula>
    </cfRule>
  </conditionalFormatting>
  <conditionalFormatting sqref="AF29">
    <cfRule type="cellIs" dxfId="5020" priority="136915" stopIfTrue="1" operator="lessThan">
      <formula>0.5</formula>
    </cfRule>
  </conditionalFormatting>
  <conditionalFormatting sqref="AF29">
    <cfRule type="cellIs" dxfId="5019" priority="136916" stopIfTrue="1" operator="greaterThanOrEqual">
      <formula>0.5</formula>
    </cfRule>
  </conditionalFormatting>
  <conditionalFormatting sqref="AF30">
    <cfRule type="cellIs" dxfId="5018" priority="136917" stopIfTrue="1" operator="equal">
      <formula>-1</formula>
    </cfRule>
  </conditionalFormatting>
  <conditionalFormatting sqref="AF30">
    <cfRule type="cellIs" dxfId="5017" priority="136918" stopIfTrue="1" operator="lessThan">
      <formula>0.5</formula>
    </cfRule>
  </conditionalFormatting>
  <conditionalFormatting sqref="AF30">
    <cfRule type="cellIs" dxfId="5016" priority="136919" stopIfTrue="1" operator="greaterThanOrEqual">
      <formula>0.5</formula>
    </cfRule>
  </conditionalFormatting>
  <conditionalFormatting sqref="AF31">
    <cfRule type="cellIs" dxfId="5015" priority="136920" stopIfTrue="1" operator="equal">
      <formula>-1</formula>
    </cfRule>
  </conditionalFormatting>
  <conditionalFormatting sqref="AF31">
    <cfRule type="cellIs" dxfId="5014" priority="136921" stopIfTrue="1" operator="lessThan">
      <formula>0.5</formula>
    </cfRule>
  </conditionalFormatting>
  <conditionalFormatting sqref="AF31">
    <cfRule type="cellIs" dxfId="5013" priority="136922" stopIfTrue="1" operator="greaterThanOrEqual">
      <formula>0.5</formula>
    </cfRule>
  </conditionalFormatting>
  <conditionalFormatting sqref="AF32">
    <cfRule type="cellIs" dxfId="5012" priority="136923" stopIfTrue="1" operator="equal">
      <formula>-1</formula>
    </cfRule>
  </conditionalFormatting>
  <conditionalFormatting sqref="AF32">
    <cfRule type="cellIs" dxfId="5011" priority="136924" stopIfTrue="1" operator="lessThan">
      <formula>0.5</formula>
    </cfRule>
  </conditionalFormatting>
  <conditionalFormatting sqref="AF32">
    <cfRule type="cellIs" dxfId="5010" priority="136925" stopIfTrue="1" operator="greaterThanOrEqual">
      <formula>0.5</formula>
    </cfRule>
  </conditionalFormatting>
  <conditionalFormatting sqref="AF33">
    <cfRule type="cellIs" dxfId="5009" priority="136926" stopIfTrue="1" operator="equal">
      <formula>-1</formula>
    </cfRule>
  </conditionalFormatting>
  <conditionalFormatting sqref="AF33">
    <cfRule type="cellIs" dxfId="5008" priority="136927" stopIfTrue="1" operator="lessThan">
      <formula>0.5</formula>
    </cfRule>
  </conditionalFormatting>
  <conditionalFormatting sqref="AF33">
    <cfRule type="cellIs" dxfId="5007" priority="136928" stopIfTrue="1" operator="greaterThanOrEqual">
      <formula>0.5</formula>
    </cfRule>
  </conditionalFormatting>
  <conditionalFormatting sqref="AF34">
    <cfRule type="cellIs" dxfId="5006" priority="136929" stopIfTrue="1" operator="equal">
      <formula>-1</formula>
    </cfRule>
  </conditionalFormatting>
  <conditionalFormatting sqref="AF34">
    <cfRule type="cellIs" dxfId="5005" priority="136930" stopIfTrue="1" operator="lessThan">
      <formula>0.5</formula>
    </cfRule>
  </conditionalFormatting>
  <conditionalFormatting sqref="AF34">
    <cfRule type="cellIs" dxfId="5004" priority="136931" stopIfTrue="1" operator="greaterThanOrEqual">
      <formula>0.5</formula>
    </cfRule>
  </conditionalFormatting>
  <conditionalFormatting sqref="AF35">
    <cfRule type="cellIs" dxfId="5003" priority="136932" stopIfTrue="1" operator="equal">
      <formula>-1</formula>
    </cfRule>
  </conditionalFormatting>
  <conditionalFormatting sqref="AF35">
    <cfRule type="cellIs" dxfId="5002" priority="136933" stopIfTrue="1" operator="lessThan">
      <formula>0.5</formula>
    </cfRule>
  </conditionalFormatting>
  <conditionalFormatting sqref="AF35">
    <cfRule type="cellIs" dxfId="5001" priority="136934" stopIfTrue="1" operator="greaterThanOrEqual">
      <formula>0.5</formula>
    </cfRule>
  </conditionalFormatting>
  <conditionalFormatting sqref="AF36">
    <cfRule type="cellIs" dxfId="5000" priority="136935" stopIfTrue="1" operator="equal">
      <formula>-1</formula>
    </cfRule>
  </conditionalFormatting>
  <conditionalFormatting sqref="AF36">
    <cfRule type="cellIs" dxfId="4999" priority="136936" stopIfTrue="1" operator="lessThan">
      <formula>0.5</formula>
    </cfRule>
  </conditionalFormatting>
  <conditionalFormatting sqref="AF36">
    <cfRule type="cellIs" dxfId="4998" priority="136937" stopIfTrue="1" operator="greaterThanOrEqual">
      <formula>0.5</formula>
    </cfRule>
  </conditionalFormatting>
  <conditionalFormatting sqref="AF37">
    <cfRule type="cellIs" dxfId="4997" priority="136938" stopIfTrue="1" operator="equal">
      <formula>-1</formula>
    </cfRule>
  </conditionalFormatting>
  <conditionalFormatting sqref="AF37">
    <cfRule type="cellIs" dxfId="4996" priority="136939" stopIfTrue="1" operator="lessThan">
      <formula>0.5</formula>
    </cfRule>
  </conditionalFormatting>
  <conditionalFormatting sqref="AF37">
    <cfRule type="cellIs" dxfId="4995" priority="136940" stopIfTrue="1" operator="greaterThanOrEqual">
      <formula>0.5</formula>
    </cfRule>
  </conditionalFormatting>
  <conditionalFormatting sqref="AH17">
    <cfRule type="cellIs" dxfId="4994" priority="136941" stopIfTrue="1" operator="equal">
      <formula>-1</formula>
    </cfRule>
  </conditionalFormatting>
  <conditionalFormatting sqref="AH17">
    <cfRule type="cellIs" dxfId="4993" priority="136942" stopIfTrue="1" operator="lessThan">
      <formula>0.5</formula>
    </cfRule>
  </conditionalFormatting>
  <conditionalFormatting sqref="AH17">
    <cfRule type="cellIs" dxfId="4992" priority="136943" stopIfTrue="1" operator="greaterThanOrEqual">
      <formula>0.5</formula>
    </cfRule>
  </conditionalFormatting>
  <conditionalFormatting sqref="AH18">
    <cfRule type="cellIs" dxfId="4991" priority="136944" stopIfTrue="1" operator="equal">
      <formula>-1</formula>
    </cfRule>
  </conditionalFormatting>
  <conditionalFormatting sqref="AH18">
    <cfRule type="cellIs" dxfId="4990" priority="136945" stopIfTrue="1" operator="lessThan">
      <formula>0.5</formula>
    </cfRule>
  </conditionalFormatting>
  <conditionalFormatting sqref="AH18">
    <cfRule type="cellIs" dxfId="4989" priority="136946" stopIfTrue="1" operator="greaterThanOrEqual">
      <formula>0.5</formula>
    </cfRule>
  </conditionalFormatting>
  <conditionalFormatting sqref="AH19">
    <cfRule type="cellIs" dxfId="4988" priority="136947" stopIfTrue="1" operator="equal">
      <formula>-1</formula>
    </cfRule>
  </conditionalFormatting>
  <conditionalFormatting sqref="AH19">
    <cfRule type="cellIs" dxfId="4987" priority="136948" stopIfTrue="1" operator="lessThan">
      <formula>0.5</formula>
    </cfRule>
  </conditionalFormatting>
  <conditionalFormatting sqref="AH19">
    <cfRule type="cellIs" dxfId="4986" priority="136949" stopIfTrue="1" operator="greaterThanOrEqual">
      <formula>0.5</formula>
    </cfRule>
  </conditionalFormatting>
  <conditionalFormatting sqref="AH20">
    <cfRule type="cellIs" dxfId="4985" priority="136950" stopIfTrue="1" operator="equal">
      <formula>-1</formula>
    </cfRule>
  </conditionalFormatting>
  <conditionalFormatting sqref="AH20">
    <cfRule type="cellIs" dxfId="4984" priority="136951" stopIfTrue="1" operator="lessThan">
      <formula>0.5</formula>
    </cfRule>
  </conditionalFormatting>
  <conditionalFormatting sqref="AH20">
    <cfRule type="cellIs" dxfId="4983" priority="136952" stopIfTrue="1" operator="greaterThanOrEqual">
      <formula>0.5</formula>
    </cfRule>
  </conditionalFormatting>
  <conditionalFormatting sqref="AH21">
    <cfRule type="cellIs" dxfId="4982" priority="136953" stopIfTrue="1" operator="equal">
      <formula>-1</formula>
    </cfRule>
  </conditionalFormatting>
  <conditionalFormatting sqref="AH21">
    <cfRule type="cellIs" dxfId="4981" priority="136954" stopIfTrue="1" operator="lessThan">
      <formula>0.5</formula>
    </cfRule>
  </conditionalFormatting>
  <conditionalFormatting sqref="AH21">
    <cfRule type="cellIs" dxfId="4980" priority="136955" stopIfTrue="1" operator="greaterThanOrEqual">
      <formula>0.5</formula>
    </cfRule>
  </conditionalFormatting>
  <conditionalFormatting sqref="AH22">
    <cfRule type="cellIs" dxfId="4979" priority="136956" stopIfTrue="1" operator="equal">
      <formula>-1</formula>
    </cfRule>
  </conditionalFormatting>
  <conditionalFormatting sqref="AH22">
    <cfRule type="cellIs" dxfId="4978" priority="136957" stopIfTrue="1" operator="lessThan">
      <formula>0.5</formula>
    </cfRule>
  </conditionalFormatting>
  <conditionalFormatting sqref="AH22">
    <cfRule type="cellIs" dxfId="4977" priority="136958" stopIfTrue="1" operator="greaterThanOrEqual">
      <formula>0.5</formula>
    </cfRule>
  </conditionalFormatting>
  <conditionalFormatting sqref="AH23">
    <cfRule type="cellIs" dxfId="4976" priority="136959" stopIfTrue="1" operator="equal">
      <formula>-1</formula>
    </cfRule>
  </conditionalFormatting>
  <conditionalFormatting sqref="AH23">
    <cfRule type="cellIs" dxfId="4975" priority="136960" stopIfTrue="1" operator="lessThan">
      <formula>0.5</formula>
    </cfRule>
  </conditionalFormatting>
  <conditionalFormatting sqref="AH23">
    <cfRule type="cellIs" dxfId="4974" priority="136961" stopIfTrue="1" operator="greaterThanOrEqual">
      <formula>0.5</formula>
    </cfRule>
  </conditionalFormatting>
  <conditionalFormatting sqref="AH24">
    <cfRule type="cellIs" dxfId="4973" priority="136962" stopIfTrue="1" operator="equal">
      <formula>-1</formula>
    </cfRule>
  </conditionalFormatting>
  <conditionalFormatting sqref="AH24">
    <cfRule type="cellIs" dxfId="4972" priority="136963" stopIfTrue="1" operator="lessThan">
      <formula>0.5</formula>
    </cfRule>
  </conditionalFormatting>
  <conditionalFormatting sqref="AH24">
    <cfRule type="cellIs" dxfId="4971" priority="136964" stopIfTrue="1" operator="greaterThanOrEqual">
      <formula>0.5</formula>
    </cfRule>
  </conditionalFormatting>
  <conditionalFormatting sqref="AH25">
    <cfRule type="cellIs" dxfId="4970" priority="136965" stopIfTrue="1" operator="equal">
      <formula>-1</formula>
    </cfRule>
  </conditionalFormatting>
  <conditionalFormatting sqref="AH25">
    <cfRule type="cellIs" dxfId="4969" priority="136966" stopIfTrue="1" operator="lessThan">
      <formula>0.5</formula>
    </cfRule>
  </conditionalFormatting>
  <conditionalFormatting sqref="AH25">
    <cfRule type="cellIs" dxfId="4968" priority="136967" stopIfTrue="1" operator="greaterThanOrEqual">
      <formula>0.5</formula>
    </cfRule>
  </conditionalFormatting>
  <conditionalFormatting sqref="AH26">
    <cfRule type="cellIs" dxfId="4967" priority="136968" stopIfTrue="1" operator="equal">
      <formula>-1</formula>
    </cfRule>
  </conditionalFormatting>
  <conditionalFormatting sqref="AH26">
    <cfRule type="cellIs" dxfId="4966" priority="136969" stopIfTrue="1" operator="lessThan">
      <formula>0.5</formula>
    </cfRule>
  </conditionalFormatting>
  <conditionalFormatting sqref="AH26">
    <cfRule type="cellIs" dxfId="4965" priority="136970" stopIfTrue="1" operator="greaterThanOrEqual">
      <formula>0.5</formula>
    </cfRule>
  </conditionalFormatting>
  <conditionalFormatting sqref="AH27">
    <cfRule type="cellIs" dxfId="4964" priority="136971" stopIfTrue="1" operator="equal">
      <formula>-1</formula>
    </cfRule>
  </conditionalFormatting>
  <conditionalFormatting sqref="AH27">
    <cfRule type="cellIs" dxfId="4963" priority="136972" stopIfTrue="1" operator="lessThan">
      <formula>0.5</formula>
    </cfRule>
  </conditionalFormatting>
  <conditionalFormatting sqref="AH27">
    <cfRule type="cellIs" dxfId="4962" priority="136973" stopIfTrue="1" operator="greaterThanOrEqual">
      <formula>0.5</formula>
    </cfRule>
  </conditionalFormatting>
  <conditionalFormatting sqref="AH28">
    <cfRule type="cellIs" dxfId="4961" priority="136974" stopIfTrue="1" operator="equal">
      <formula>-1</formula>
    </cfRule>
  </conditionalFormatting>
  <conditionalFormatting sqref="AH28">
    <cfRule type="cellIs" dxfId="4960" priority="136975" stopIfTrue="1" operator="lessThan">
      <formula>0.5</formula>
    </cfRule>
  </conditionalFormatting>
  <conditionalFormatting sqref="AH28">
    <cfRule type="cellIs" dxfId="4959" priority="136976" stopIfTrue="1" operator="greaterThanOrEqual">
      <formula>0.5</formula>
    </cfRule>
  </conditionalFormatting>
  <conditionalFormatting sqref="AH29">
    <cfRule type="cellIs" dxfId="4958" priority="136977" stopIfTrue="1" operator="equal">
      <formula>-1</formula>
    </cfRule>
  </conditionalFormatting>
  <conditionalFormatting sqref="AH29">
    <cfRule type="cellIs" dxfId="4957" priority="136978" stopIfTrue="1" operator="lessThan">
      <formula>0.5</formula>
    </cfRule>
  </conditionalFormatting>
  <conditionalFormatting sqref="AH29">
    <cfRule type="cellIs" dxfId="4956" priority="136979" stopIfTrue="1" operator="greaterThanOrEqual">
      <formula>0.5</formula>
    </cfRule>
  </conditionalFormatting>
  <conditionalFormatting sqref="AH30">
    <cfRule type="cellIs" dxfId="4955" priority="136980" stopIfTrue="1" operator="equal">
      <formula>-1</formula>
    </cfRule>
  </conditionalFormatting>
  <conditionalFormatting sqref="AH30">
    <cfRule type="cellIs" dxfId="4954" priority="136981" stopIfTrue="1" operator="lessThan">
      <formula>0.5</formula>
    </cfRule>
  </conditionalFormatting>
  <conditionalFormatting sqref="AH30">
    <cfRule type="cellIs" dxfId="4953" priority="136982" stopIfTrue="1" operator="greaterThanOrEqual">
      <formula>0.5</formula>
    </cfRule>
  </conditionalFormatting>
  <conditionalFormatting sqref="AH31">
    <cfRule type="cellIs" dxfId="4952" priority="136983" stopIfTrue="1" operator="equal">
      <formula>-1</formula>
    </cfRule>
  </conditionalFormatting>
  <conditionalFormatting sqref="AH31">
    <cfRule type="cellIs" dxfId="4951" priority="136984" stopIfTrue="1" operator="lessThan">
      <formula>0.5</formula>
    </cfRule>
  </conditionalFormatting>
  <conditionalFormatting sqref="AH31">
    <cfRule type="cellIs" dxfId="4950" priority="136985" stopIfTrue="1" operator="greaterThanOrEqual">
      <formula>0.5</formula>
    </cfRule>
  </conditionalFormatting>
  <conditionalFormatting sqref="AH32">
    <cfRule type="cellIs" dxfId="4949" priority="136986" stopIfTrue="1" operator="equal">
      <formula>-1</formula>
    </cfRule>
  </conditionalFormatting>
  <conditionalFormatting sqref="AH32">
    <cfRule type="cellIs" dxfId="4948" priority="136987" stopIfTrue="1" operator="lessThan">
      <formula>0.5</formula>
    </cfRule>
  </conditionalFormatting>
  <conditionalFormatting sqref="AH32">
    <cfRule type="cellIs" dxfId="4947" priority="136988" stopIfTrue="1" operator="greaterThanOrEqual">
      <formula>0.5</formula>
    </cfRule>
  </conditionalFormatting>
  <conditionalFormatting sqref="AH33">
    <cfRule type="cellIs" dxfId="4946" priority="136989" stopIfTrue="1" operator="equal">
      <formula>-1</formula>
    </cfRule>
  </conditionalFormatting>
  <conditionalFormatting sqref="AH33">
    <cfRule type="cellIs" dxfId="4945" priority="136990" stopIfTrue="1" operator="lessThan">
      <formula>0.5</formula>
    </cfRule>
  </conditionalFormatting>
  <conditionalFormatting sqref="AH33">
    <cfRule type="cellIs" dxfId="4944" priority="136991" stopIfTrue="1" operator="greaterThanOrEqual">
      <formula>0.5</formula>
    </cfRule>
  </conditionalFormatting>
  <conditionalFormatting sqref="AH34">
    <cfRule type="cellIs" dxfId="4943" priority="136992" stopIfTrue="1" operator="equal">
      <formula>-1</formula>
    </cfRule>
  </conditionalFormatting>
  <conditionalFormatting sqref="AH34">
    <cfRule type="cellIs" dxfId="4942" priority="136993" stopIfTrue="1" operator="lessThan">
      <formula>0.5</formula>
    </cfRule>
  </conditionalFormatting>
  <conditionalFormatting sqref="AH34">
    <cfRule type="cellIs" dxfId="4941" priority="136994" stopIfTrue="1" operator="greaterThanOrEqual">
      <formula>0.5</formula>
    </cfRule>
  </conditionalFormatting>
  <conditionalFormatting sqref="AH35">
    <cfRule type="cellIs" dxfId="4940" priority="136995" stopIfTrue="1" operator="equal">
      <formula>-1</formula>
    </cfRule>
  </conditionalFormatting>
  <conditionalFormatting sqref="AH35">
    <cfRule type="cellIs" dxfId="4939" priority="136996" stopIfTrue="1" operator="lessThan">
      <formula>0.5</formula>
    </cfRule>
  </conditionalFormatting>
  <conditionalFormatting sqref="AH35">
    <cfRule type="cellIs" dxfId="4938" priority="136997" stopIfTrue="1" operator="greaterThanOrEqual">
      <formula>0.5</formula>
    </cfRule>
  </conditionalFormatting>
  <conditionalFormatting sqref="AH36">
    <cfRule type="cellIs" dxfId="4937" priority="136998" stopIfTrue="1" operator="equal">
      <formula>-1</formula>
    </cfRule>
  </conditionalFormatting>
  <conditionalFormatting sqref="AH36">
    <cfRule type="cellIs" dxfId="4936" priority="136999" stopIfTrue="1" operator="lessThan">
      <formula>0.5</formula>
    </cfRule>
  </conditionalFormatting>
  <conditionalFormatting sqref="AH36">
    <cfRule type="cellIs" dxfId="4935" priority="137000" stopIfTrue="1" operator="greaterThanOrEqual">
      <formula>0.5</formula>
    </cfRule>
  </conditionalFormatting>
  <conditionalFormatting sqref="AH37">
    <cfRule type="cellIs" dxfId="4934" priority="137001" stopIfTrue="1" operator="equal">
      <formula>-1</formula>
    </cfRule>
  </conditionalFormatting>
  <conditionalFormatting sqref="AH37">
    <cfRule type="cellIs" dxfId="4933" priority="137002" stopIfTrue="1" operator="lessThan">
      <formula>0.5</formula>
    </cfRule>
  </conditionalFormatting>
  <conditionalFormatting sqref="AH37">
    <cfRule type="cellIs" dxfId="4932" priority="137003" stopIfTrue="1" operator="greaterThanOrEqual">
      <formula>0.5</formula>
    </cfRule>
  </conditionalFormatting>
  <conditionalFormatting sqref="AJ17">
    <cfRule type="cellIs" dxfId="4931" priority="137004" stopIfTrue="1" operator="equal">
      <formula>-1</formula>
    </cfRule>
  </conditionalFormatting>
  <conditionalFormatting sqref="AJ17">
    <cfRule type="cellIs" dxfId="4930" priority="137005" stopIfTrue="1" operator="lessThan">
      <formula>0.5</formula>
    </cfRule>
  </conditionalFormatting>
  <conditionalFormatting sqref="AJ17">
    <cfRule type="cellIs" dxfId="4929" priority="137006" stopIfTrue="1" operator="greaterThanOrEqual">
      <formula>0.5</formula>
    </cfRule>
  </conditionalFormatting>
  <conditionalFormatting sqref="AJ18">
    <cfRule type="cellIs" dxfId="4928" priority="137007" stopIfTrue="1" operator="equal">
      <formula>-1</formula>
    </cfRule>
  </conditionalFormatting>
  <conditionalFormatting sqref="AJ18">
    <cfRule type="cellIs" dxfId="4927" priority="137008" stopIfTrue="1" operator="lessThan">
      <formula>0.5</formula>
    </cfRule>
  </conditionalFormatting>
  <conditionalFormatting sqref="AJ18">
    <cfRule type="cellIs" dxfId="4926" priority="137009" stopIfTrue="1" operator="greaterThanOrEqual">
      <formula>0.5</formula>
    </cfRule>
  </conditionalFormatting>
  <conditionalFormatting sqref="AJ19">
    <cfRule type="cellIs" dxfId="4925" priority="137010" stopIfTrue="1" operator="equal">
      <formula>-1</formula>
    </cfRule>
  </conditionalFormatting>
  <conditionalFormatting sqref="AJ19">
    <cfRule type="cellIs" dxfId="4924" priority="137011" stopIfTrue="1" operator="lessThan">
      <formula>0.5</formula>
    </cfRule>
  </conditionalFormatting>
  <conditionalFormatting sqref="AJ19">
    <cfRule type="cellIs" dxfId="4923" priority="137012" stopIfTrue="1" operator="greaterThanOrEqual">
      <formula>0.5</formula>
    </cfRule>
  </conditionalFormatting>
  <conditionalFormatting sqref="AJ20">
    <cfRule type="cellIs" dxfId="4922" priority="137013" stopIfTrue="1" operator="equal">
      <formula>-1</formula>
    </cfRule>
  </conditionalFormatting>
  <conditionalFormatting sqref="AJ20">
    <cfRule type="cellIs" dxfId="4921" priority="137014" stopIfTrue="1" operator="lessThan">
      <formula>0.5</formula>
    </cfRule>
  </conditionalFormatting>
  <conditionalFormatting sqref="AJ20">
    <cfRule type="cellIs" dxfId="4920" priority="137015" stopIfTrue="1" operator="greaterThanOrEqual">
      <formula>0.5</formula>
    </cfRule>
  </conditionalFormatting>
  <conditionalFormatting sqref="AJ21">
    <cfRule type="cellIs" dxfId="4919" priority="137016" stopIfTrue="1" operator="equal">
      <formula>-1</formula>
    </cfRule>
  </conditionalFormatting>
  <conditionalFormatting sqref="AJ21">
    <cfRule type="cellIs" dxfId="4918" priority="137017" stopIfTrue="1" operator="lessThan">
      <formula>0.5</formula>
    </cfRule>
  </conditionalFormatting>
  <conditionalFormatting sqref="AJ21">
    <cfRule type="cellIs" dxfId="4917" priority="137018" stopIfTrue="1" operator="greaterThanOrEqual">
      <formula>0.5</formula>
    </cfRule>
  </conditionalFormatting>
  <conditionalFormatting sqref="AJ22">
    <cfRule type="cellIs" dxfId="4916" priority="137019" stopIfTrue="1" operator="equal">
      <formula>-1</formula>
    </cfRule>
  </conditionalFormatting>
  <conditionalFormatting sqref="AJ22">
    <cfRule type="cellIs" dxfId="4915" priority="137020" stopIfTrue="1" operator="lessThan">
      <formula>0.5</formula>
    </cfRule>
  </conditionalFormatting>
  <conditionalFormatting sqref="AJ22">
    <cfRule type="cellIs" dxfId="4914" priority="137021" stopIfTrue="1" operator="greaterThanOrEqual">
      <formula>0.5</formula>
    </cfRule>
  </conditionalFormatting>
  <conditionalFormatting sqref="AJ23">
    <cfRule type="cellIs" dxfId="4913" priority="137022" stopIfTrue="1" operator="equal">
      <formula>-1</formula>
    </cfRule>
  </conditionalFormatting>
  <conditionalFormatting sqref="AJ23">
    <cfRule type="cellIs" dxfId="4912" priority="137023" stopIfTrue="1" operator="lessThan">
      <formula>0.5</formula>
    </cfRule>
  </conditionalFormatting>
  <conditionalFormatting sqref="AJ23">
    <cfRule type="cellIs" dxfId="4911" priority="137024" stopIfTrue="1" operator="greaterThanOrEqual">
      <formula>0.5</formula>
    </cfRule>
  </conditionalFormatting>
  <conditionalFormatting sqref="AJ24">
    <cfRule type="cellIs" dxfId="4910" priority="137025" stopIfTrue="1" operator="equal">
      <formula>-1</formula>
    </cfRule>
  </conditionalFormatting>
  <conditionalFormatting sqref="AJ24">
    <cfRule type="cellIs" dxfId="4909" priority="137026" stopIfTrue="1" operator="lessThan">
      <formula>0.5</formula>
    </cfRule>
  </conditionalFormatting>
  <conditionalFormatting sqref="AJ24">
    <cfRule type="cellIs" dxfId="4908" priority="137027" stopIfTrue="1" operator="greaterThanOrEqual">
      <formula>0.5</formula>
    </cfRule>
  </conditionalFormatting>
  <conditionalFormatting sqref="AJ25">
    <cfRule type="cellIs" dxfId="4907" priority="137028" stopIfTrue="1" operator="equal">
      <formula>-1</formula>
    </cfRule>
  </conditionalFormatting>
  <conditionalFormatting sqref="AJ25">
    <cfRule type="cellIs" dxfId="4906" priority="137029" stopIfTrue="1" operator="lessThan">
      <formula>0.5</formula>
    </cfRule>
  </conditionalFormatting>
  <conditionalFormatting sqref="AJ25">
    <cfRule type="cellIs" dxfId="4905" priority="137030" stopIfTrue="1" operator="greaterThanOrEqual">
      <formula>0.5</formula>
    </cfRule>
  </conditionalFormatting>
  <conditionalFormatting sqref="AJ26">
    <cfRule type="cellIs" dxfId="4904" priority="137031" stopIfTrue="1" operator="equal">
      <formula>-1</formula>
    </cfRule>
  </conditionalFormatting>
  <conditionalFormatting sqref="AJ26">
    <cfRule type="cellIs" dxfId="4903" priority="137032" stopIfTrue="1" operator="lessThan">
      <formula>0.5</formula>
    </cfRule>
  </conditionalFormatting>
  <conditionalFormatting sqref="AJ26">
    <cfRule type="cellIs" dxfId="4902" priority="137033" stopIfTrue="1" operator="greaterThanOrEqual">
      <formula>0.5</formula>
    </cfRule>
  </conditionalFormatting>
  <conditionalFormatting sqref="AJ27">
    <cfRule type="cellIs" dxfId="4901" priority="137034" stopIfTrue="1" operator="equal">
      <formula>-1</formula>
    </cfRule>
  </conditionalFormatting>
  <conditionalFormatting sqref="AJ27">
    <cfRule type="cellIs" dxfId="4900" priority="137035" stopIfTrue="1" operator="lessThan">
      <formula>0.5</formula>
    </cfRule>
  </conditionalFormatting>
  <conditionalFormatting sqref="AJ27">
    <cfRule type="cellIs" dxfId="4899" priority="137036" stopIfTrue="1" operator="greaterThanOrEqual">
      <formula>0.5</formula>
    </cfRule>
  </conditionalFormatting>
  <conditionalFormatting sqref="AJ28">
    <cfRule type="cellIs" dxfId="4898" priority="137037" stopIfTrue="1" operator="equal">
      <formula>-1</formula>
    </cfRule>
  </conditionalFormatting>
  <conditionalFormatting sqref="AJ28">
    <cfRule type="cellIs" dxfId="4897" priority="137038" stopIfTrue="1" operator="lessThan">
      <formula>0.5</formula>
    </cfRule>
  </conditionalFormatting>
  <conditionalFormatting sqref="AJ28">
    <cfRule type="cellIs" dxfId="4896" priority="137039" stopIfTrue="1" operator="greaterThanOrEqual">
      <formula>0.5</formula>
    </cfRule>
  </conditionalFormatting>
  <conditionalFormatting sqref="AJ29">
    <cfRule type="cellIs" dxfId="4895" priority="137040" stopIfTrue="1" operator="equal">
      <formula>-1</formula>
    </cfRule>
  </conditionalFormatting>
  <conditionalFormatting sqref="AJ29">
    <cfRule type="cellIs" dxfId="4894" priority="137041" stopIfTrue="1" operator="lessThan">
      <formula>0.5</formula>
    </cfRule>
  </conditionalFormatting>
  <conditionalFormatting sqref="AJ29">
    <cfRule type="cellIs" dxfId="4893" priority="137042" stopIfTrue="1" operator="greaterThanOrEqual">
      <formula>0.5</formula>
    </cfRule>
  </conditionalFormatting>
  <conditionalFormatting sqref="AJ30">
    <cfRule type="cellIs" dxfId="4892" priority="137043" stopIfTrue="1" operator="equal">
      <formula>-1</formula>
    </cfRule>
  </conditionalFormatting>
  <conditionalFormatting sqref="AJ30">
    <cfRule type="cellIs" dxfId="4891" priority="137044" stopIfTrue="1" operator="lessThan">
      <formula>0.5</formula>
    </cfRule>
  </conditionalFormatting>
  <conditionalFormatting sqref="AJ30">
    <cfRule type="cellIs" dxfId="4890" priority="137045" stopIfTrue="1" operator="greaterThanOrEqual">
      <formula>0.5</formula>
    </cfRule>
  </conditionalFormatting>
  <conditionalFormatting sqref="AJ31">
    <cfRule type="cellIs" dxfId="4889" priority="137046" stopIfTrue="1" operator="equal">
      <formula>-1</formula>
    </cfRule>
  </conditionalFormatting>
  <conditionalFormatting sqref="AJ31">
    <cfRule type="cellIs" dxfId="4888" priority="137047" stopIfTrue="1" operator="lessThan">
      <formula>0.5</formula>
    </cfRule>
  </conditionalFormatting>
  <conditionalFormatting sqref="AJ31">
    <cfRule type="cellIs" dxfId="4887" priority="137048" stopIfTrue="1" operator="greaterThanOrEqual">
      <formula>0.5</formula>
    </cfRule>
  </conditionalFormatting>
  <conditionalFormatting sqref="AJ32">
    <cfRule type="cellIs" dxfId="4886" priority="137049" stopIfTrue="1" operator="equal">
      <formula>-1</formula>
    </cfRule>
  </conditionalFormatting>
  <conditionalFormatting sqref="AJ32">
    <cfRule type="cellIs" dxfId="4885" priority="137050" stopIfTrue="1" operator="lessThan">
      <formula>0.5</formula>
    </cfRule>
  </conditionalFormatting>
  <conditionalFormatting sqref="AJ32">
    <cfRule type="cellIs" dxfId="4884" priority="137051" stopIfTrue="1" operator="greaterThanOrEqual">
      <formula>0.5</formula>
    </cfRule>
  </conditionalFormatting>
  <conditionalFormatting sqref="AJ33">
    <cfRule type="cellIs" dxfId="4883" priority="137052" stopIfTrue="1" operator="equal">
      <formula>-1</formula>
    </cfRule>
  </conditionalFormatting>
  <conditionalFormatting sqref="AJ33">
    <cfRule type="cellIs" dxfId="4882" priority="137053" stopIfTrue="1" operator="lessThan">
      <formula>0.5</formula>
    </cfRule>
  </conditionalFormatting>
  <conditionalFormatting sqref="AJ33">
    <cfRule type="cellIs" dxfId="4881" priority="137054" stopIfTrue="1" operator="greaterThanOrEqual">
      <formula>0.5</formula>
    </cfRule>
  </conditionalFormatting>
  <conditionalFormatting sqref="AJ34">
    <cfRule type="cellIs" dxfId="4880" priority="137055" stopIfTrue="1" operator="equal">
      <formula>-1</formula>
    </cfRule>
  </conditionalFormatting>
  <conditionalFormatting sqref="AJ34">
    <cfRule type="cellIs" dxfId="4879" priority="137056" stopIfTrue="1" operator="lessThan">
      <formula>0.5</formula>
    </cfRule>
  </conditionalFormatting>
  <conditionalFormatting sqref="AJ34">
    <cfRule type="cellIs" dxfId="4878" priority="137057" stopIfTrue="1" operator="greaterThanOrEqual">
      <formula>0.5</formula>
    </cfRule>
  </conditionalFormatting>
  <conditionalFormatting sqref="AJ35">
    <cfRule type="cellIs" dxfId="4877" priority="137058" stopIfTrue="1" operator="equal">
      <formula>-1</formula>
    </cfRule>
  </conditionalFormatting>
  <conditionalFormatting sqref="AJ35">
    <cfRule type="cellIs" dxfId="4876" priority="137059" stopIfTrue="1" operator="lessThan">
      <formula>0.5</formula>
    </cfRule>
  </conditionalFormatting>
  <conditionalFormatting sqref="AJ35">
    <cfRule type="cellIs" dxfId="4875" priority="137060" stopIfTrue="1" operator="greaterThanOrEqual">
      <formula>0.5</formula>
    </cfRule>
  </conditionalFormatting>
  <conditionalFormatting sqref="AJ36">
    <cfRule type="cellIs" dxfId="4874" priority="137061" stopIfTrue="1" operator="equal">
      <formula>-1</formula>
    </cfRule>
  </conditionalFormatting>
  <conditionalFormatting sqref="AJ36">
    <cfRule type="cellIs" dxfId="4873" priority="137062" stopIfTrue="1" operator="lessThan">
      <formula>0.5</formula>
    </cfRule>
  </conditionalFormatting>
  <conditionalFormatting sqref="AJ36">
    <cfRule type="cellIs" dxfId="4872" priority="137063" stopIfTrue="1" operator="greaterThanOrEqual">
      <formula>0.5</formula>
    </cfRule>
  </conditionalFormatting>
  <conditionalFormatting sqref="AJ37">
    <cfRule type="cellIs" dxfId="4871" priority="137064" stopIfTrue="1" operator="equal">
      <formula>-1</formula>
    </cfRule>
  </conditionalFormatting>
  <conditionalFormatting sqref="AJ37">
    <cfRule type="cellIs" dxfId="4870" priority="137065" stopIfTrue="1" operator="lessThan">
      <formula>0.5</formula>
    </cfRule>
  </conditionalFormatting>
  <conditionalFormatting sqref="AJ37">
    <cfRule type="cellIs" dxfId="4869" priority="137066" stopIfTrue="1" operator="greaterThanOrEqual">
      <formula>0.5</formula>
    </cfRule>
  </conditionalFormatting>
  <conditionalFormatting sqref="AL17">
    <cfRule type="cellIs" dxfId="4868" priority="137067" stopIfTrue="1" operator="equal">
      <formula>-1</formula>
    </cfRule>
  </conditionalFormatting>
  <conditionalFormatting sqref="AL17">
    <cfRule type="cellIs" dxfId="4867" priority="137068" stopIfTrue="1" operator="lessThan">
      <formula>0.5</formula>
    </cfRule>
  </conditionalFormatting>
  <conditionalFormatting sqref="AL17">
    <cfRule type="cellIs" dxfId="4866" priority="137069" stopIfTrue="1" operator="greaterThanOrEqual">
      <formula>0.5</formula>
    </cfRule>
  </conditionalFormatting>
  <conditionalFormatting sqref="AL18">
    <cfRule type="cellIs" dxfId="4865" priority="137070" stopIfTrue="1" operator="equal">
      <formula>-1</formula>
    </cfRule>
  </conditionalFormatting>
  <conditionalFormatting sqref="AL18">
    <cfRule type="cellIs" dxfId="4864" priority="137071" stopIfTrue="1" operator="lessThan">
      <formula>0.5</formula>
    </cfRule>
  </conditionalFormatting>
  <conditionalFormatting sqref="AL18">
    <cfRule type="cellIs" dxfId="4863" priority="137072" stopIfTrue="1" operator="greaterThanOrEqual">
      <formula>0.5</formula>
    </cfRule>
  </conditionalFormatting>
  <conditionalFormatting sqref="AL19">
    <cfRule type="cellIs" dxfId="4862" priority="137073" stopIfTrue="1" operator="equal">
      <formula>-1</formula>
    </cfRule>
  </conditionalFormatting>
  <conditionalFormatting sqref="AL19">
    <cfRule type="cellIs" dxfId="4861" priority="137074" stopIfTrue="1" operator="lessThan">
      <formula>0.5</formula>
    </cfRule>
  </conditionalFormatting>
  <conditionalFormatting sqref="AL19">
    <cfRule type="cellIs" dxfId="4860" priority="137075" stopIfTrue="1" operator="greaterThanOrEqual">
      <formula>0.5</formula>
    </cfRule>
  </conditionalFormatting>
  <conditionalFormatting sqref="AL20">
    <cfRule type="cellIs" dxfId="4859" priority="137076" stopIfTrue="1" operator="equal">
      <formula>-1</formula>
    </cfRule>
  </conditionalFormatting>
  <conditionalFormatting sqref="AL20">
    <cfRule type="cellIs" dxfId="4858" priority="137077" stopIfTrue="1" operator="lessThan">
      <formula>0.5</formula>
    </cfRule>
  </conditionalFormatting>
  <conditionalFormatting sqref="AL20">
    <cfRule type="cellIs" dxfId="4857" priority="137078" stopIfTrue="1" operator="greaterThanOrEqual">
      <formula>0.5</formula>
    </cfRule>
  </conditionalFormatting>
  <conditionalFormatting sqref="AL21">
    <cfRule type="cellIs" dxfId="4856" priority="137079" stopIfTrue="1" operator="equal">
      <formula>-1</formula>
    </cfRule>
  </conditionalFormatting>
  <conditionalFormatting sqref="AL21">
    <cfRule type="cellIs" dxfId="4855" priority="137080" stopIfTrue="1" operator="lessThan">
      <formula>0.5</formula>
    </cfRule>
  </conditionalFormatting>
  <conditionalFormatting sqref="AL21">
    <cfRule type="cellIs" dxfId="4854" priority="137081" stopIfTrue="1" operator="greaterThanOrEqual">
      <formula>0.5</formula>
    </cfRule>
  </conditionalFormatting>
  <conditionalFormatting sqref="AL22">
    <cfRule type="cellIs" dxfId="4853" priority="137082" stopIfTrue="1" operator="equal">
      <formula>-1</formula>
    </cfRule>
  </conditionalFormatting>
  <conditionalFormatting sqref="AL22">
    <cfRule type="cellIs" dxfId="4852" priority="137083" stopIfTrue="1" operator="lessThan">
      <formula>0.5</formula>
    </cfRule>
  </conditionalFormatting>
  <conditionalFormatting sqref="AL22">
    <cfRule type="cellIs" dxfId="4851" priority="137084" stopIfTrue="1" operator="greaterThanOrEqual">
      <formula>0.5</formula>
    </cfRule>
  </conditionalFormatting>
  <conditionalFormatting sqref="AL23">
    <cfRule type="cellIs" dxfId="4850" priority="137085" stopIfTrue="1" operator="equal">
      <formula>-1</formula>
    </cfRule>
  </conditionalFormatting>
  <conditionalFormatting sqref="AL23">
    <cfRule type="cellIs" dxfId="4849" priority="137086" stopIfTrue="1" operator="lessThan">
      <formula>0.5</formula>
    </cfRule>
  </conditionalFormatting>
  <conditionalFormatting sqref="AL23">
    <cfRule type="cellIs" dxfId="4848" priority="137087" stopIfTrue="1" operator="greaterThanOrEqual">
      <formula>0.5</formula>
    </cfRule>
  </conditionalFormatting>
  <conditionalFormatting sqref="AL24">
    <cfRule type="cellIs" dxfId="4847" priority="137088" stopIfTrue="1" operator="equal">
      <formula>-1</formula>
    </cfRule>
  </conditionalFormatting>
  <conditionalFormatting sqref="AL24">
    <cfRule type="cellIs" dxfId="4846" priority="137089" stopIfTrue="1" operator="lessThan">
      <formula>0.5</formula>
    </cfRule>
  </conditionalFormatting>
  <conditionalFormatting sqref="AL24">
    <cfRule type="cellIs" dxfId="4845" priority="137090" stopIfTrue="1" operator="greaterThanOrEqual">
      <formula>0.5</formula>
    </cfRule>
  </conditionalFormatting>
  <conditionalFormatting sqref="AL25">
    <cfRule type="cellIs" dxfId="4844" priority="137091" stopIfTrue="1" operator="equal">
      <formula>-1</formula>
    </cfRule>
  </conditionalFormatting>
  <conditionalFormatting sqref="AL25">
    <cfRule type="cellIs" dxfId="4843" priority="137092" stopIfTrue="1" operator="lessThan">
      <formula>0.5</formula>
    </cfRule>
  </conditionalFormatting>
  <conditionalFormatting sqref="AL25">
    <cfRule type="cellIs" dxfId="4842" priority="137093" stopIfTrue="1" operator="greaterThanOrEqual">
      <formula>0.5</formula>
    </cfRule>
  </conditionalFormatting>
  <conditionalFormatting sqref="AL26">
    <cfRule type="cellIs" dxfId="4841" priority="137094" stopIfTrue="1" operator="equal">
      <formula>-1</formula>
    </cfRule>
  </conditionalFormatting>
  <conditionalFormatting sqref="AL26">
    <cfRule type="cellIs" dxfId="4840" priority="137095" stopIfTrue="1" operator="lessThan">
      <formula>0.5</formula>
    </cfRule>
  </conditionalFormatting>
  <conditionalFormatting sqref="AL26">
    <cfRule type="cellIs" dxfId="4839" priority="137096" stopIfTrue="1" operator="greaterThanOrEqual">
      <formula>0.5</formula>
    </cfRule>
  </conditionalFormatting>
  <conditionalFormatting sqref="AL27">
    <cfRule type="cellIs" dxfId="4838" priority="137097" stopIfTrue="1" operator="equal">
      <formula>-1</formula>
    </cfRule>
  </conditionalFormatting>
  <conditionalFormatting sqref="AL27">
    <cfRule type="cellIs" dxfId="4837" priority="137098" stopIfTrue="1" operator="lessThan">
      <formula>0.5</formula>
    </cfRule>
  </conditionalFormatting>
  <conditionalFormatting sqref="AL27">
    <cfRule type="cellIs" dxfId="4836" priority="137099" stopIfTrue="1" operator="greaterThanOrEqual">
      <formula>0.5</formula>
    </cfRule>
  </conditionalFormatting>
  <conditionalFormatting sqref="AL28">
    <cfRule type="cellIs" dxfId="4835" priority="137100" stopIfTrue="1" operator="equal">
      <formula>-1</formula>
    </cfRule>
  </conditionalFormatting>
  <conditionalFormatting sqref="AL28">
    <cfRule type="cellIs" dxfId="4834" priority="137101" stopIfTrue="1" operator="lessThan">
      <formula>0.5</formula>
    </cfRule>
  </conditionalFormatting>
  <conditionalFormatting sqref="AL28">
    <cfRule type="cellIs" dxfId="4833" priority="137102" stopIfTrue="1" operator="greaterThanOrEqual">
      <formula>0.5</formula>
    </cfRule>
  </conditionalFormatting>
  <conditionalFormatting sqref="AL29">
    <cfRule type="cellIs" dxfId="4832" priority="137103" stopIfTrue="1" operator="equal">
      <formula>-1</formula>
    </cfRule>
  </conditionalFormatting>
  <conditionalFormatting sqref="AL29">
    <cfRule type="cellIs" dxfId="4831" priority="137104" stopIfTrue="1" operator="lessThan">
      <formula>0.5</formula>
    </cfRule>
  </conditionalFormatting>
  <conditionalFormatting sqref="AL29">
    <cfRule type="cellIs" dxfId="4830" priority="137105" stopIfTrue="1" operator="greaterThanOrEqual">
      <formula>0.5</formula>
    </cfRule>
  </conditionalFormatting>
  <conditionalFormatting sqref="AL30">
    <cfRule type="cellIs" dxfId="4829" priority="137106" stopIfTrue="1" operator="equal">
      <formula>-1</formula>
    </cfRule>
  </conditionalFormatting>
  <conditionalFormatting sqref="AL30">
    <cfRule type="cellIs" dxfId="4828" priority="137107" stopIfTrue="1" operator="lessThan">
      <formula>0.5</formula>
    </cfRule>
  </conditionalFormatting>
  <conditionalFormatting sqref="AL30">
    <cfRule type="cellIs" dxfId="4827" priority="137108" stopIfTrue="1" operator="greaterThanOrEqual">
      <formula>0.5</formula>
    </cfRule>
  </conditionalFormatting>
  <conditionalFormatting sqref="AL31">
    <cfRule type="cellIs" dxfId="4826" priority="137109" stopIfTrue="1" operator="equal">
      <formula>-1</formula>
    </cfRule>
  </conditionalFormatting>
  <conditionalFormatting sqref="AL31">
    <cfRule type="cellIs" dxfId="4825" priority="137110" stopIfTrue="1" operator="lessThan">
      <formula>0.5</formula>
    </cfRule>
  </conditionalFormatting>
  <conditionalFormatting sqref="AL31">
    <cfRule type="cellIs" dxfId="4824" priority="137111" stopIfTrue="1" operator="greaterThanOrEqual">
      <formula>0.5</formula>
    </cfRule>
  </conditionalFormatting>
  <conditionalFormatting sqref="AL32">
    <cfRule type="cellIs" dxfId="4823" priority="137112" stopIfTrue="1" operator="equal">
      <formula>-1</formula>
    </cfRule>
  </conditionalFormatting>
  <conditionalFormatting sqref="AL32">
    <cfRule type="cellIs" dxfId="4822" priority="137113" stopIfTrue="1" operator="lessThan">
      <formula>0.5</formula>
    </cfRule>
  </conditionalFormatting>
  <conditionalFormatting sqref="AL32">
    <cfRule type="cellIs" dxfId="4821" priority="137114" stopIfTrue="1" operator="greaterThanOrEqual">
      <formula>0.5</formula>
    </cfRule>
  </conditionalFormatting>
  <conditionalFormatting sqref="AL33">
    <cfRule type="cellIs" dxfId="4820" priority="137115" stopIfTrue="1" operator="equal">
      <formula>-1</formula>
    </cfRule>
  </conditionalFormatting>
  <conditionalFormatting sqref="AL33">
    <cfRule type="cellIs" dxfId="4819" priority="137116" stopIfTrue="1" operator="lessThan">
      <formula>0.5</formula>
    </cfRule>
  </conditionalFormatting>
  <conditionalFormatting sqref="AL33">
    <cfRule type="cellIs" dxfId="4818" priority="137117" stopIfTrue="1" operator="greaterThanOrEqual">
      <formula>0.5</formula>
    </cfRule>
  </conditionalFormatting>
  <conditionalFormatting sqref="AL34">
    <cfRule type="cellIs" dxfId="4817" priority="137118" stopIfTrue="1" operator="equal">
      <formula>-1</formula>
    </cfRule>
  </conditionalFormatting>
  <conditionalFormatting sqref="AL34">
    <cfRule type="cellIs" dxfId="4816" priority="137119" stopIfTrue="1" operator="lessThan">
      <formula>0.5</formula>
    </cfRule>
  </conditionalFormatting>
  <conditionalFormatting sqref="AL34">
    <cfRule type="cellIs" dxfId="4815" priority="137120" stopIfTrue="1" operator="greaterThanOrEqual">
      <formula>0.5</formula>
    </cfRule>
  </conditionalFormatting>
  <conditionalFormatting sqref="AL35">
    <cfRule type="cellIs" dxfId="4814" priority="137121" stopIfTrue="1" operator="equal">
      <formula>-1</formula>
    </cfRule>
  </conditionalFormatting>
  <conditionalFormatting sqref="AL35">
    <cfRule type="cellIs" dxfId="4813" priority="137122" stopIfTrue="1" operator="lessThan">
      <formula>0.5</formula>
    </cfRule>
  </conditionalFormatting>
  <conditionalFormatting sqref="AL35">
    <cfRule type="cellIs" dxfId="4812" priority="137123" stopIfTrue="1" operator="greaterThanOrEqual">
      <formula>0.5</formula>
    </cfRule>
  </conditionalFormatting>
  <conditionalFormatting sqref="AL36">
    <cfRule type="cellIs" dxfId="4811" priority="137124" stopIfTrue="1" operator="equal">
      <formula>-1</formula>
    </cfRule>
  </conditionalFormatting>
  <conditionalFormatting sqref="AL36">
    <cfRule type="cellIs" dxfId="4810" priority="137125" stopIfTrue="1" operator="lessThan">
      <formula>0.5</formula>
    </cfRule>
  </conditionalFormatting>
  <conditionalFormatting sqref="AL36">
    <cfRule type="cellIs" dxfId="4809" priority="137126" stopIfTrue="1" operator="greaterThanOrEqual">
      <formula>0.5</formula>
    </cfRule>
  </conditionalFormatting>
  <conditionalFormatting sqref="AL37">
    <cfRule type="cellIs" dxfId="4808" priority="137127" stopIfTrue="1" operator="equal">
      <formula>-1</formula>
    </cfRule>
  </conditionalFormatting>
  <conditionalFormatting sqref="AL37">
    <cfRule type="cellIs" dxfId="4807" priority="137128" stopIfTrue="1" operator="lessThan">
      <formula>0.5</formula>
    </cfRule>
  </conditionalFormatting>
  <conditionalFormatting sqref="AL37">
    <cfRule type="cellIs" dxfId="4806" priority="137129" stopIfTrue="1" operator="greaterThanOrEqual">
      <formula>0.5</formula>
    </cfRule>
  </conditionalFormatting>
  <conditionalFormatting sqref="AN17">
    <cfRule type="cellIs" dxfId="4805" priority="137130" stopIfTrue="1" operator="equal">
      <formula>-1</formula>
    </cfRule>
  </conditionalFormatting>
  <conditionalFormatting sqref="AN17">
    <cfRule type="cellIs" dxfId="4804" priority="137131" stopIfTrue="1" operator="lessThan">
      <formula>0.5</formula>
    </cfRule>
  </conditionalFormatting>
  <conditionalFormatting sqref="AN17">
    <cfRule type="cellIs" dxfId="4803" priority="137132" stopIfTrue="1" operator="greaterThanOrEqual">
      <formula>0.5</formula>
    </cfRule>
  </conditionalFormatting>
  <conditionalFormatting sqref="AN18">
    <cfRule type="cellIs" dxfId="4802" priority="137133" stopIfTrue="1" operator="equal">
      <formula>-1</formula>
    </cfRule>
  </conditionalFormatting>
  <conditionalFormatting sqref="AN18">
    <cfRule type="cellIs" dxfId="4801" priority="137134" stopIfTrue="1" operator="lessThan">
      <formula>0.5</formula>
    </cfRule>
  </conditionalFormatting>
  <conditionalFormatting sqref="AN18">
    <cfRule type="cellIs" dxfId="4800" priority="137135" stopIfTrue="1" operator="greaterThanOrEqual">
      <formula>0.5</formula>
    </cfRule>
  </conditionalFormatting>
  <conditionalFormatting sqref="AN19">
    <cfRule type="cellIs" dxfId="4799" priority="137136" stopIfTrue="1" operator="equal">
      <formula>-1</formula>
    </cfRule>
  </conditionalFormatting>
  <conditionalFormatting sqref="AN19">
    <cfRule type="cellIs" dxfId="4798" priority="137137" stopIfTrue="1" operator="lessThan">
      <formula>0.5</formula>
    </cfRule>
  </conditionalFormatting>
  <conditionalFormatting sqref="AN19">
    <cfRule type="cellIs" dxfId="4797" priority="137138" stopIfTrue="1" operator="greaterThanOrEqual">
      <formula>0.5</formula>
    </cfRule>
  </conditionalFormatting>
  <conditionalFormatting sqref="AN20">
    <cfRule type="cellIs" dxfId="4796" priority="137139" stopIfTrue="1" operator="equal">
      <formula>-1</formula>
    </cfRule>
  </conditionalFormatting>
  <conditionalFormatting sqref="AN20">
    <cfRule type="cellIs" dxfId="4795" priority="137140" stopIfTrue="1" operator="lessThan">
      <formula>0.5</formula>
    </cfRule>
  </conditionalFormatting>
  <conditionalFormatting sqref="AN20">
    <cfRule type="cellIs" dxfId="4794" priority="137141" stopIfTrue="1" operator="greaterThanOrEqual">
      <formula>0.5</formula>
    </cfRule>
  </conditionalFormatting>
  <conditionalFormatting sqref="AN21">
    <cfRule type="cellIs" dxfId="4793" priority="137142" stopIfTrue="1" operator="equal">
      <formula>-1</formula>
    </cfRule>
  </conditionalFormatting>
  <conditionalFormatting sqref="AN21">
    <cfRule type="cellIs" dxfId="4792" priority="137143" stopIfTrue="1" operator="lessThan">
      <formula>0.5</formula>
    </cfRule>
  </conditionalFormatting>
  <conditionalFormatting sqref="AN21">
    <cfRule type="cellIs" dxfId="4791" priority="137144" stopIfTrue="1" operator="greaterThanOrEqual">
      <formula>0.5</formula>
    </cfRule>
  </conditionalFormatting>
  <conditionalFormatting sqref="AN22">
    <cfRule type="cellIs" dxfId="4790" priority="137145" stopIfTrue="1" operator="equal">
      <formula>-1</formula>
    </cfRule>
  </conditionalFormatting>
  <conditionalFormatting sqref="AN22">
    <cfRule type="cellIs" dxfId="4789" priority="137146" stopIfTrue="1" operator="lessThan">
      <formula>0.5</formula>
    </cfRule>
  </conditionalFormatting>
  <conditionalFormatting sqref="AN22">
    <cfRule type="cellIs" dxfId="4788" priority="137147" stopIfTrue="1" operator="greaterThanOrEqual">
      <formula>0.5</formula>
    </cfRule>
  </conditionalFormatting>
  <conditionalFormatting sqref="AN23">
    <cfRule type="cellIs" dxfId="4787" priority="137148" stopIfTrue="1" operator="equal">
      <formula>-1</formula>
    </cfRule>
  </conditionalFormatting>
  <conditionalFormatting sqref="AN23">
    <cfRule type="cellIs" dxfId="4786" priority="137149" stopIfTrue="1" operator="lessThan">
      <formula>0.5</formula>
    </cfRule>
  </conditionalFormatting>
  <conditionalFormatting sqref="AN23">
    <cfRule type="cellIs" dxfId="4785" priority="137150" stopIfTrue="1" operator="greaterThanOrEqual">
      <formula>0.5</formula>
    </cfRule>
  </conditionalFormatting>
  <conditionalFormatting sqref="AN24">
    <cfRule type="cellIs" dxfId="4784" priority="137151" stopIfTrue="1" operator="equal">
      <formula>-1</formula>
    </cfRule>
  </conditionalFormatting>
  <conditionalFormatting sqref="AN24">
    <cfRule type="cellIs" dxfId="4783" priority="137152" stopIfTrue="1" operator="lessThan">
      <formula>0.5</formula>
    </cfRule>
  </conditionalFormatting>
  <conditionalFormatting sqref="AN24">
    <cfRule type="cellIs" dxfId="4782" priority="137153" stopIfTrue="1" operator="greaterThanOrEqual">
      <formula>0.5</formula>
    </cfRule>
  </conditionalFormatting>
  <conditionalFormatting sqref="AN25">
    <cfRule type="cellIs" dxfId="4781" priority="137154" stopIfTrue="1" operator="equal">
      <formula>-1</formula>
    </cfRule>
  </conditionalFormatting>
  <conditionalFormatting sqref="AN25">
    <cfRule type="cellIs" dxfId="4780" priority="137155" stopIfTrue="1" operator="lessThan">
      <formula>0.5</formula>
    </cfRule>
  </conditionalFormatting>
  <conditionalFormatting sqref="AN25">
    <cfRule type="cellIs" dxfId="4779" priority="137156" stopIfTrue="1" operator="greaterThanOrEqual">
      <formula>0.5</formula>
    </cfRule>
  </conditionalFormatting>
  <conditionalFormatting sqref="AN26">
    <cfRule type="cellIs" dxfId="4778" priority="137157" stopIfTrue="1" operator="equal">
      <formula>-1</formula>
    </cfRule>
  </conditionalFormatting>
  <conditionalFormatting sqref="AN26">
    <cfRule type="cellIs" dxfId="4777" priority="137158" stopIfTrue="1" operator="lessThan">
      <formula>0.5</formula>
    </cfRule>
  </conditionalFormatting>
  <conditionalFormatting sqref="AN26">
    <cfRule type="cellIs" dxfId="4776" priority="137159" stopIfTrue="1" operator="greaterThanOrEqual">
      <formula>0.5</formula>
    </cfRule>
  </conditionalFormatting>
  <conditionalFormatting sqref="AN27">
    <cfRule type="cellIs" dxfId="4775" priority="137160" stopIfTrue="1" operator="equal">
      <formula>-1</formula>
    </cfRule>
  </conditionalFormatting>
  <conditionalFormatting sqref="AN27">
    <cfRule type="cellIs" dxfId="4774" priority="137161" stopIfTrue="1" operator="lessThan">
      <formula>0.5</formula>
    </cfRule>
  </conditionalFormatting>
  <conditionalFormatting sqref="AN27">
    <cfRule type="cellIs" dxfId="4773" priority="137162" stopIfTrue="1" operator="greaterThanOrEqual">
      <formula>0.5</formula>
    </cfRule>
  </conditionalFormatting>
  <conditionalFormatting sqref="AN28">
    <cfRule type="cellIs" dxfId="4772" priority="137163" stopIfTrue="1" operator="equal">
      <formula>-1</formula>
    </cfRule>
  </conditionalFormatting>
  <conditionalFormatting sqref="AN28">
    <cfRule type="cellIs" dxfId="4771" priority="137164" stopIfTrue="1" operator="lessThan">
      <formula>0.5</formula>
    </cfRule>
  </conditionalFormatting>
  <conditionalFormatting sqref="AN28">
    <cfRule type="cellIs" dxfId="4770" priority="137165" stopIfTrue="1" operator="greaterThanOrEqual">
      <formula>0.5</formula>
    </cfRule>
  </conditionalFormatting>
  <conditionalFormatting sqref="AN29">
    <cfRule type="cellIs" dxfId="4769" priority="137166" stopIfTrue="1" operator="equal">
      <formula>-1</formula>
    </cfRule>
  </conditionalFormatting>
  <conditionalFormatting sqref="AN29">
    <cfRule type="cellIs" dxfId="4768" priority="137167" stopIfTrue="1" operator="lessThan">
      <formula>0.5</formula>
    </cfRule>
  </conditionalFormatting>
  <conditionalFormatting sqref="AN29">
    <cfRule type="cellIs" dxfId="4767" priority="137168" stopIfTrue="1" operator="greaterThanOrEqual">
      <formula>0.5</formula>
    </cfRule>
  </conditionalFormatting>
  <conditionalFormatting sqref="AN30">
    <cfRule type="cellIs" dxfId="4766" priority="137169" stopIfTrue="1" operator="equal">
      <formula>-1</formula>
    </cfRule>
  </conditionalFormatting>
  <conditionalFormatting sqref="AN30">
    <cfRule type="cellIs" dxfId="4765" priority="137170" stopIfTrue="1" operator="lessThan">
      <formula>0.5</formula>
    </cfRule>
  </conditionalFormatting>
  <conditionalFormatting sqref="AN30">
    <cfRule type="cellIs" dxfId="4764" priority="137171" stopIfTrue="1" operator="greaterThanOrEqual">
      <formula>0.5</formula>
    </cfRule>
  </conditionalFormatting>
  <conditionalFormatting sqref="AN31">
    <cfRule type="cellIs" dxfId="4763" priority="137172" stopIfTrue="1" operator="equal">
      <formula>-1</formula>
    </cfRule>
  </conditionalFormatting>
  <conditionalFormatting sqref="AN31">
    <cfRule type="cellIs" dxfId="4762" priority="137173" stopIfTrue="1" operator="lessThan">
      <formula>0.5</formula>
    </cfRule>
  </conditionalFormatting>
  <conditionalFormatting sqref="AN31">
    <cfRule type="cellIs" dxfId="4761" priority="137174" stopIfTrue="1" operator="greaterThanOrEqual">
      <formula>0.5</formula>
    </cfRule>
  </conditionalFormatting>
  <conditionalFormatting sqref="AN32">
    <cfRule type="cellIs" dxfId="4760" priority="137175" stopIfTrue="1" operator="equal">
      <formula>-1</formula>
    </cfRule>
  </conditionalFormatting>
  <conditionalFormatting sqref="AN32">
    <cfRule type="cellIs" dxfId="4759" priority="137176" stopIfTrue="1" operator="lessThan">
      <formula>0.5</formula>
    </cfRule>
  </conditionalFormatting>
  <conditionalFormatting sqref="AN32">
    <cfRule type="cellIs" dxfId="4758" priority="137177" stopIfTrue="1" operator="greaterThanOrEqual">
      <formula>0.5</formula>
    </cfRule>
  </conditionalFormatting>
  <conditionalFormatting sqref="AN33">
    <cfRule type="cellIs" dxfId="4757" priority="137178" stopIfTrue="1" operator="equal">
      <formula>-1</formula>
    </cfRule>
  </conditionalFormatting>
  <conditionalFormatting sqref="AN33">
    <cfRule type="cellIs" dxfId="4756" priority="137179" stopIfTrue="1" operator="lessThan">
      <formula>0.5</formula>
    </cfRule>
  </conditionalFormatting>
  <conditionalFormatting sqref="AN33">
    <cfRule type="cellIs" dxfId="4755" priority="137180" stopIfTrue="1" operator="greaterThanOrEqual">
      <formula>0.5</formula>
    </cfRule>
  </conditionalFormatting>
  <conditionalFormatting sqref="AN34">
    <cfRule type="cellIs" dxfId="4754" priority="137181" stopIfTrue="1" operator="equal">
      <formula>-1</formula>
    </cfRule>
  </conditionalFormatting>
  <conditionalFormatting sqref="AN34">
    <cfRule type="cellIs" dxfId="4753" priority="137182" stopIfTrue="1" operator="lessThan">
      <formula>0.5</formula>
    </cfRule>
  </conditionalFormatting>
  <conditionalFormatting sqref="AN34">
    <cfRule type="cellIs" dxfId="4752" priority="137183" stopIfTrue="1" operator="greaterThanOrEqual">
      <formula>0.5</formula>
    </cfRule>
  </conditionalFormatting>
  <conditionalFormatting sqref="AN35">
    <cfRule type="cellIs" dxfId="4751" priority="137184" stopIfTrue="1" operator="equal">
      <formula>-1</formula>
    </cfRule>
  </conditionalFormatting>
  <conditionalFormatting sqref="AN35">
    <cfRule type="cellIs" dxfId="4750" priority="137185" stopIfTrue="1" operator="lessThan">
      <formula>0.5</formula>
    </cfRule>
  </conditionalFormatting>
  <conditionalFormatting sqref="AN35">
    <cfRule type="cellIs" dxfId="4749" priority="137186" stopIfTrue="1" operator="greaterThanOrEqual">
      <formula>0.5</formula>
    </cfRule>
  </conditionalFormatting>
  <conditionalFormatting sqref="AN36">
    <cfRule type="cellIs" dxfId="4748" priority="137187" stopIfTrue="1" operator="equal">
      <formula>-1</formula>
    </cfRule>
  </conditionalFormatting>
  <conditionalFormatting sqref="AN36">
    <cfRule type="cellIs" dxfId="4747" priority="137188" stopIfTrue="1" operator="lessThan">
      <formula>0.5</formula>
    </cfRule>
  </conditionalFormatting>
  <conditionalFormatting sqref="AN36">
    <cfRule type="cellIs" dxfId="4746" priority="137189" stopIfTrue="1" operator="greaterThanOrEqual">
      <formula>0.5</formula>
    </cfRule>
  </conditionalFormatting>
  <conditionalFormatting sqref="AN37">
    <cfRule type="cellIs" dxfId="4745" priority="137190" stopIfTrue="1" operator="equal">
      <formula>-1</formula>
    </cfRule>
  </conditionalFormatting>
  <conditionalFormatting sqref="AN37">
    <cfRule type="cellIs" dxfId="4744" priority="137191" stopIfTrue="1" operator="lessThan">
      <formula>0.5</formula>
    </cfRule>
  </conditionalFormatting>
  <conditionalFormatting sqref="AN37">
    <cfRule type="cellIs" dxfId="4743" priority="137192" stopIfTrue="1" operator="greaterThanOrEqual">
      <formula>0.5</formula>
    </cfRule>
  </conditionalFormatting>
  <conditionalFormatting sqref="AP17">
    <cfRule type="cellIs" dxfId="4742" priority="137193" stopIfTrue="1" operator="equal">
      <formula>-1</formula>
    </cfRule>
  </conditionalFormatting>
  <conditionalFormatting sqref="AP17">
    <cfRule type="cellIs" dxfId="4741" priority="137194" stopIfTrue="1" operator="lessThan">
      <formula>0.5</formula>
    </cfRule>
  </conditionalFormatting>
  <conditionalFormatting sqref="AP17">
    <cfRule type="cellIs" dxfId="4740" priority="137195" stopIfTrue="1" operator="greaterThanOrEqual">
      <formula>0.5</formula>
    </cfRule>
  </conditionalFormatting>
  <conditionalFormatting sqref="AP18">
    <cfRule type="cellIs" dxfId="4739" priority="137196" stopIfTrue="1" operator="equal">
      <formula>-1</formula>
    </cfRule>
  </conditionalFormatting>
  <conditionalFormatting sqref="AP18">
    <cfRule type="cellIs" dxfId="4738" priority="137197" stopIfTrue="1" operator="lessThan">
      <formula>0.5</formula>
    </cfRule>
  </conditionalFormatting>
  <conditionalFormatting sqref="AP18">
    <cfRule type="cellIs" dxfId="4737" priority="137198" stopIfTrue="1" operator="greaterThanOrEqual">
      <formula>0.5</formula>
    </cfRule>
  </conditionalFormatting>
  <conditionalFormatting sqref="AP19">
    <cfRule type="cellIs" dxfId="4736" priority="137199" stopIfTrue="1" operator="equal">
      <formula>-1</formula>
    </cfRule>
  </conditionalFormatting>
  <conditionalFormatting sqref="AP19">
    <cfRule type="cellIs" dxfId="4735" priority="137200" stopIfTrue="1" operator="lessThan">
      <formula>0.5</formula>
    </cfRule>
  </conditionalFormatting>
  <conditionalFormatting sqref="AP19">
    <cfRule type="cellIs" dxfId="4734" priority="137201" stopIfTrue="1" operator="greaterThanOrEqual">
      <formula>0.5</formula>
    </cfRule>
  </conditionalFormatting>
  <conditionalFormatting sqref="AP20">
    <cfRule type="cellIs" dxfId="4733" priority="137202" stopIfTrue="1" operator="equal">
      <formula>-1</formula>
    </cfRule>
  </conditionalFormatting>
  <conditionalFormatting sqref="AP20">
    <cfRule type="cellIs" dxfId="4732" priority="137203" stopIfTrue="1" operator="lessThan">
      <formula>0.5</formula>
    </cfRule>
  </conditionalFormatting>
  <conditionalFormatting sqref="AP20">
    <cfRule type="cellIs" dxfId="4731" priority="137204" stopIfTrue="1" operator="greaterThanOrEqual">
      <formula>0.5</formula>
    </cfRule>
  </conditionalFormatting>
  <conditionalFormatting sqref="AP21">
    <cfRule type="cellIs" dxfId="4730" priority="137205" stopIfTrue="1" operator="equal">
      <formula>-1</formula>
    </cfRule>
  </conditionalFormatting>
  <conditionalFormatting sqref="AP21">
    <cfRule type="cellIs" dxfId="4729" priority="137206" stopIfTrue="1" operator="lessThan">
      <formula>0.5</formula>
    </cfRule>
  </conditionalFormatting>
  <conditionalFormatting sqref="AP21">
    <cfRule type="cellIs" dxfId="4728" priority="137207" stopIfTrue="1" operator="greaterThanOrEqual">
      <formula>0.5</formula>
    </cfRule>
  </conditionalFormatting>
  <conditionalFormatting sqref="AP22">
    <cfRule type="cellIs" dxfId="4727" priority="137208" stopIfTrue="1" operator="equal">
      <formula>-1</formula>
    </cfRule>
  </conditionalFormatting>
  <conditionalFormatting sqref="AP22">
    <cfRule type="cellIs" dxfId="4726" priority="137209" stopIfTrue="1" operator="lessThan">
      <formula>0.5</formula>
    </cfRule>
  </conditionalFormatting>
  <conditionalFormatting sqref="AP22">
    <cfRule type="cellIs" dxfId="4725" priority="137210" stopIfTrue="1" operator="greaterThanOrEqual">
      <formula>0.5</formula>
    </cfRule>
  </conditionalFormatting>
  <conditionalFormatting sqref="AP23">
    <cfRule type="cellIs" dxfId="4724" priority="137211" stopIfTrue="1" operator="equal">
      <formula>-1</formula>
    </cfRule>
  </conditionalFormatting>
  <conditionalFormatting sqref="AP23">
    <cfRule type="cellIs" dxfId="4723" priority="137212" stopIfTrue="1" operator="lessThan">
      <formula>0.5</formula>
    </cfRule>
  </conditionalFormatting>
  <conditionalFormatting sqref="AP23">
    <cfRule type="cellIs" dxfId="4722" priority="137213" stopIfTrue="1" operator="greaterThanOrEqual">
      <formula>0.5</formula>
    </cfRule>
  </conditionalFormatting>
  <conditionalFormatting sqref="AP24">
    <cfRule type="cellIs" dxfId="4721" priority="137214" stopIfTrue="1" operator="equal">
      <formula>-1</formula>
    </cfRule>
  </conditionalFormatting>
  <conditionalFormatting sqref="AP24">
    <cfRule type="cellIs" dxfId="4720" priority="137215" stopIfTrue="1" operator="lessThan">
      <formula>0.5</formula>
    </cfRule>
  </conditionalFormatting>
  <conditionalFormatting sqref="AP24">
    <cfRule type="cellIs" dxfId="4719" priority="137216" stopIfTrue="1" operator="greaterThanOrEqual">
      <formula>0.5</formula>
    </cfRule>
  </conditionalFormatting>
  <conditionalFormatting sqref="AP25">
    <cfRule type="cellIs" dxfId="4718" priority="137217" stopIfTrue="1" operator="equal">
      <formula>-1</formula>
    </cfRule>
  </conditionalFormatting>
  <conditionalFormatting sqref="AP25">
    <cfRule type="cellIs" dxfId="4717" priority="137218" stopIfTrue="1" operator="lessThan">
      <formula>0.5</formula>
    </cfRule>
  </conditionalFormatting>
  <conditionalFormatting sqref="AP25">
    <cfRule type="cellIs" dxfId="4716" priority="137219" stopIfTrue="1" operator="greaterThanOrEqual">
      <formula>0.5</formula>
    </cfRule>
  </conditionalFormatting>
  <conditionalFormatting sqref="AP26">
    <cfRule type="cellIs" dxfId="4715" priority="137220" stopIfTrue="1" operator="equal">
      <formula>-1</formula>
    </cfRule>
  </conditionalFormatting>
  <conditionalFormatting sqref="AP26">
    <cfRule type="cellIs" dxfId="4714" priority="137221" stopIfTrue="1" operator="lessThan">
      <formula>0.5</formula>
    </cfRule>
  </conditionalFormatting>
  <conditionalFormatting sqref="AP26">
    <cfRule type="cellIs" dxfId="4713" priority="137222" stopIfTrue="1" operator="greaterThanOrEqual">
      <formula>0.5</formula>
    </cfRule>
  </conditionalFormatting>
  <conditionalFormatting sqref="AP27">
    <cfRule type="cellIs" dxfId="4712" priority="137223" stopIfTrue="1" operator="equal">
      <formula>-1</formula>
    </cfRule>
  </conditionalFormatting>
  <conditionalFormatting sqref="AP27">
    <cfRule type="cellIs" dxfId="4711" priority="137224" stopIfTrue="1" operator="lessThan">
      <formula>0.5</formula>
    </cfRule>
  </conditionalFormatting>
  <conditionalFormatting sqref="AP27">
    <cfRule type="cellIs" dxfId="4710" priority="137225" stopIfTrue="1" operator="greaterThanOrEqual">
      <formula>0.5</formula>
    </cfRule>
  </conditionalFormatting>
  <conditionalFormatting sqref="AP28">
    <cfRule type="cellIs" dxfId="4709" priority="137226" stopIfTrue="1" operator="equal">
      <formula>-1</formula>
    </cfRule>
  </conditionalFormatting>
  <conditionalFormatting sqref="AP28">
    <cfRule type="cellIs" dxfId="4708" priority="137227" stopIfTrue="1" operator="lessThan">
      <formula>0.5</formula>
    </cfRule>
  </conditionalFormatting>
  <conditionalFormatting sqref="AP28">
    <cfRule type="cellIs" dxfId="4707" priority="137228" stopIfTrue="1" operator="greaterThanOrEqual">
      <formula>0.5</formula>
    </cfRule>
  </conditionalFormatting>
  <conditionalFormatting sqref="AP29">
    <cfRule type="cellIs" dxfId="4706" priority="137229" stopIfTrue="1" operator="equal">
      <formula>-1</formula>
    </cfRule>
  </conditionalFormatting>
  <conditionalFormatting sqref="AP29">
    <cfRule type="cellIs" dxfId="4705" priority="137230" stopIfTrue="1" operator="lessThan">
      <formula>0.5</formula>
    </cfRule>
  </conditionalFormatting>
  <conditionalFormatting sqref="AP29">
    <cfRule type="cellIs" dxfId="4704" priority="137231" stopIfTrue="1" operator="greaterThanOrEqual">
      <formula>0.5</formula>
    </cfRule>
  </conditionalFormatting>
  <conditionalFormatting sqref="AP30">
    <cfRule type="cellIs" dxfId="4703" priority="137232" stopIfTrue="1" operator="equal">
      <formula>-1</formula>
    </cfRule>
  </conditionalFormatting>
  <conditionalFormatting sqref="AP30">
    <cfRule type="cellIs" dxfId="4702" priority="137233" stopIfTrue="1" operator="lessThan">
      <formula>0.5</formula>
    </cfRule>
  </conditionalFormatting>
  <conditionalFormatting sqref="AP30">
    <cfRule type="cellIs" dxfId="4701" priority="137234" stopIfTrue="1" operator="greaterThanOrEqual">
      <formula>0.5</formula>
    </cfRule>
  </conditionalFormatting>
  <conditionalFormatting sqref="AP31">
    <cfRule type="cellIs" dxfId="4700" priority="137235" stopIfTrue="1" operator="equal">
      <formula>-1</formula>
    </cfRule>
  </conditionalFormatting>
  <conditionalFormatting sqref="AP31">
    <cfRule type="cellIs" dxfId="4699" priority="137236" stopIfTrue="1" operator="lessThan">
      <formula>0.5</formula>
    </cfRule>
  </conditionalFormatting>
  <conditionalFormatting sqref="AP31">
    <cfRule type="cellIs" dxfId="4698" priority="137237" stopIfTrue="1" operator="greaterThanOrEqual">
      <formula>0.5</formula>
    </cfRule>
  </conditionalFormatting>
  <conditionalFormatting sqref="AP32">
    <cfRule type="cellIs" dxfId="4697" priority="137238" stopIfTrue="1" operator="equal">
      <formula>-1</formula>
    </cfRule>
  </conditionalFormatting>
  <conditionalFormatting sqref="AP32">
    <cfRule type="cellIs" dxfId="4696" priority="137239" stopIfTrue="1" operator="lessThan">
      <formula>0.5</formula>
    </cfRule>
  </conditionalFormatting>
  <conditionalFormatting sqref="AP32">
    <cfRule type="cellIs" dxfId="4695" priority="137240" stopIfTrue="1" operator="greaterThanOrEqual">
      <formula>0.5</formula>
    </cfRule>
  </conditionalFormatting>
  <conditionalFormatting sqref="AP33">
    <cfRule type="cellIs" dxfId="4694" priority="137241" stopIfTrue="1" operator="equal">
      <formula>-1</formula>
    </cfRule>
  </conditionalFormatting>
  <conditionalFormatting sqref="AP33">
    <cfRule type="cellIs" dxfId="4693" priority="137242" stopIfTrue="1" operator="lessThan">
      <formula>0.5</formula>
    </cfRule>
  </conditionalFormatting>
  <conditionalFormatting sqref="AP33">
    <cfRule type="cellIs" dxfId="4692" priority="137243" stopIfTrue="1" operator="greaterThanOrEqual">
      <formula>0.5</formula>
    </cfRule>
  </conditionalFormatting>
  <conditionalFormatting sqref="AP34">
    <cfRule type="cellIs" dxfId="4691" priority="137244" stopIfTrue="1" operator="equal">
      <formula>-1</formula>
    </cfRule>
  </conditionalFormatting>
  <conditionalFormatting sqref="AP34">
    <cfRule type="cellIs" dxfId="4690" priority="137245" stopIfTrue="1" operator="lessThan">
      <formula>0.5</formula>
    </cfRule>
  </conditionalFormatting>
  <conditionalFormatting sqref="AP34">
    <cfRule type="cellIs" dxfId="4689" priority="137246" stopIfTrue="1" operator="greaterThanOrEqual">
      <formula>0.5</formula>
    </cfRule>
  </conditionalFormatting>
  <conditionalFormatting sqref="AP35">
    <cfRule type="cellIs" dxfId="4688" priority="137247" stopIfTrue="1" operator="equal">
      <formula>-1</formula>
    </cfRule>
  </conditionalFormatting>
  <conditionalFormatting sqref="AP35">
    <cfRule type="cellIs" dxfId="4687" priority="137248" stopIfTrue="1" operator="lessThan">
      <formula>0.5</formula>
    </cfRule>
  </conditionalFormatting>
  <conditionalFormatting sqref="AP35">
    <cfRule type="cellIs" dxfId="4686" priority="137249" stopIfTrue="1" operator="greaterThanOrEqual">
      <formula>0.5</formula>
    </cfRule>
  </conditionalFormatting>
  <conditionalFormatting sqref="AP36">
    <cfRule type="cellIs" dxfId="4685" priority="137250" stopIfTrue="1" operator="equal">
      <formula>-1</formula>
    </cfRule>
  </conditionalFormatting>
  <conditionalFormatting sqref="AP36">
    <cfRule type="cellIs" dxfId="4684" priority="137251" stopIfTrue="1" operator="lessThan">
      <formula>0.5</formula>
    </cfRule>
  </conditionalFormatting>
  <conditionalFormatting sqref="AP36">
    <cfRule type="cellIs" dxfId="4683" priority="137252" stopIfTrue="1" operator="greaterThanOrEqual">
      <formula>0.5</formula>
    </cfRule>
  </conditionalFormatting>
  <conditionalFormatting sqref="AP37">
    <cfRule type="cellIs" dxfId="4682" priority="137253" stopIfTrue="1" operator="equal">
      <formula>-1</formula>
    </cfRule>
  </conditionalFormatting>
  <conditionalFormatting sqref="AP37">
    <cfRule type="cellIs" dxfId="4681" priority="137254" stopIfTrue="1" operator="lessThan">
      <formula>0.5</formula>
    </cfRule>
  </conditionalFormatting>
  <conditionalFormatting sqref="AP37">
    <cfRule type="cellIs" dxfId="4680" priority="137255" stopIfTrue="1" operator="greaterThanOrEqual">
      <formula>0.5</formula>
    </cfRule>
  </conditionalFormatting>
  <conditionalFormatting sqref="AR17">
    <cfRule type="cellIs" dxfId="4679" priority="137256" stopIfTrue="1" operator="equal">
      <formula>-1</formula>
    </cfRule>
  </conditionalFormatting>
  <conditionalFormatting sqref="AR17">
    <cfRule type="cellIs" dxfId="4678" priority="137257" stopIfTrue="1" operator="lessThan">
      <formula>0.5</formula>
    </cfRule>
  </conditionalFormatting>
  <conditionalFormatting sqref="AR17">
    <cfRule type="cellIs" dxfId="4677" priority="137258" stopIfTrue="1" operator="greaterThanOrEqual">
      <formula>0.5</formula>
    </cfRule>
  </conditionalFormatting>
  <conditionalFormatting sqref="AR18">
    <cfRule type="cellIs" dxfId="4676" priority="137259" stopIfTrue="1" operator="equal">
      <formula>-1</formula>
    </cfRule>
  </conditionalFormatting>
  <conditionalFormatting sqref="AR18">
    <cfRule type="cellIs" dxfId="4675" priority="137260" stopIfTrue="1" operator="lessThan">
      <formula>0.5</formula>
    </cfRule>
  </conditionalFormatting>
  <conditionalFormatting sqref="AR18">
    <cfRule type="cellIs" dxfId="4674" priority="137261" stopIfTrue="1" operator="greaterThanOrEqual">
      <formula>0.5</formula>
    </cfRule>
  </conditionalFormatting>
  <conditionalFormatting sqref="AR19">
    <cfRule type="cellIs" dxfId="4673" priority="137262" stopIfTrue="1" operator="equal">
      <formula>-1</formula>
    </cfRule>
  </conditionalFormatting>
  <conditionalFormatting sqref="AR19">
    <cfRule type="cellIs" dxfId="4672" priority="137263" stopIfTrue="1" operator="lessThan">
      <formula>0.5</formula>
    </cfRule>
  </conditionalFormatting>
  <conditionalFormatting sqref="AR19">
    <cfRule type="cellIs" dxfId="4671" priority="137264" stopIfTrue="1" operator="greaterThanOrEqual">
      <formula>0.5</formula>
    </cfRule>
  </conditionalFormatting>
  <conditionalFormatting sqref="AR20">
    <cfRule type="cellIs" dxfId="4670" priority="137265" stopIfTrue="1" operator="equal">
      <formula>-1</formula>
    </cfRule>
  </conditionalFormatting>
  <conditionalFormatting sqref="AR20">
    <cfRule type="cellIs" dxfId="4669" priority="137266" stopIfTrue="1" operator="lessThan">
      <formula>0.5</formula>
    </cfRule>
  </conditionalFormatting>
  <conditionalFormatting sqref="AR20">
    <cfRule type="cellIs" dxfId="4668" priority="137267" stopIfTrue="1" operator="greaterThanOrEqual">
      <formula>0.5</formula>
    </cfRule>
  </conditionalFormatting>
  <conditionalFormatting sqref="AR21">
    <cfRule type="cellIs" dxfId="4667" priority="137268" stopIfTrue="1" operator="equal">
      <formula>-1</formula>
    </cfRule>
  </conditionalFormatting>
  <conditionalFormatting sqref="AR21">
    <cfRule type="cellIs" dxfId="4666" priority="137269" stopIfTrue="1" operator="lessThan">
      <formula>0.5</formula>
    </cfRule>
  </conditionalFormatting>
  <conditionalFormatting sqref="AR21">
    <cfRule type="cellIs" dxfId="4665" priority="137270" stopIfTrue="1" operator="greaterThanOrEqual">
      <formula>0.5</formula>
    </cfRule>
  </conditionalFormatting>
  <conditionalFormatting sqref="AR22">
    <cfRule type="cellIs" dxfId="4664" priority="137271" stopIfTrue="1" operator="equal">
      <formula>-1</formula>
    </cfRule>
  </conditionalFormatting>
  <conditionalFormatting sqref="AR22">
    <cfRule type="cellIs" dxfId="4663" priority="137272" stopIfTrue="1" operator="lessThan">
      <formula>0.5</formula>
    </cfRule>
  </conditionalFormatting>
  <conditionalFormatting sqref="AR22">
    <cfRule type="cellIs" dxfId="4662" priority="137273" stopIfTrue="1" operator="greaterThanOrEqual">
      <formula>0.5</formula>
    </cfRule>
  </conditionalFormatting>
  <conditionalFormatting sqref="AR23">
    <cfRule type="cellIs" dxfId="4661" priority="137274" stopIfTrue="1" operator="equal">
      <formula>-1</formula>
    </cfRule>
  </conditionalFormatting>
  <conditionalFormatting sqref="AR23">
    <cfRule type="cellIs" dxfId="4660" priority="137275" stopIfTrue="1" operator="lessThan">
      <formula>0.5</formula>
    </cfRule>
  </conditionalFormatting>
  <conditionalFormatting sqref="AR23">
    <cfRule type="cellIs" dxfId="4659" priority="137276" stopIfTrue="1" operator="greaterThanOrEqual">
      <formula>0.5</formula>
    </cfRule>
  </conditionalFormatting>
  <conditionalFormatting sqref="AR24">
    <cfRule type="cellIs" dxfId="4658" priority="137277" stopIfTrue="1" operator="equal">
      <formula>-1</formula>
    </cfRule>
  </conditionalFormatting>
  <conditionalFormatting sqref="AR24">
    <cfRule type="cellIs" dxfId="4657" priority="137278" stopIfTrue="1" operator="lessThan">
      <formula>0.5</formula>
    </cfRule>
  </conditionalFormatting>
  <conditionalFormatting sqref="AR24">
    <cfRule type="cellIs" dxfId="4656" priority="137279" stopIfTrue="1" operator="greaterThanOrEqual">
      <formula>0.5</formula>
    </cfRule>
  </conditionalFormatting>
  <conditionalFormatting sqref="AR25">
    <cfRule type="cellIs" dxfId="4655" priority="137280" stopIfTrue="1" operator="equal">
      <formula>-1</formula>
    </cfRule>
  </conditionalFormatting>
  <conditionalFormatting sqref="AR25">
    <cfRule type="cellIs" dxfId="4654" priority="137281" stopIfTrue="1" operator="lessThan">
      <formula>0.5</formula>
    </cfRule>
  </conditionalFormatting>
  <conditionalFormatting sqref="AR25">
    <cfRule type="cellIs" dxfId="4653" priority="137282" stopIfTrue="1" operator="greaterThanOrEqual">
      <formula>0.5</formula>
    </cfRule>
  </conditionalFormatting>
  <conditionalFormatting sqref="AR26">
    <cfRule type="cellIs" dxfId="4652" priority="137283" stopIfTrue="1" operator="equal">
      <formula>-1</formula>
    </cfRule>
  </conditionalFormatting>
  <conditionalFormatting sqref="AR26">
    <cfRule type="cellIs" dxfId="4651" priority="137284" stopIfTrue="1" operator="lessThan">
      <formula>0.5</formula>
    </cfRule>
  </conditionalFormatting>
  <conditionalFormatting sqref="AR26">
    <cfRule type="cellIs" dxfId="4650" priority="137285" stopIfTrue="1" operator="greaterThanOrEqual">
      <formula>0.5</formula>
    </cfRule>
  </conditionalFormatting>
  <conditionalFormatting sqref="AR27">
    <cfRule type="cellIs" dxfId="4649" priority="137286" stopIfTrue="1" operator="equal">
      <formula>-1</formula>
    </cfRule>
  </conditionalFormatting>
  <conditionalFormatting sqref="AR27">
    <cfRule type="cellIs" dxfId="4648" priority="137287" stopIfTrue="1" operator="lessThan">
      <formula>0.5</formula>
    </cfRule>
  </conditionalFormatting>
  <conditionalFormatting sqref="AR27">
    <cfRule type="cellIs" dxfId="4647" priority="137288" stopIfTrue="1" operator="greaterThanOrEqual">
      <formula>0.5</formula>
    </cfRule>
  </conditionalFormatting>
  <conditionalFormatting sqref="AR28">
    <cfRule type="cellIs" dxfId="4646" priority="137289" stopIfTrue="1" operator="equal">
      <formula>-1</formula>
    </cfRule>
  </conditionalFormatting>
  <conditionalFormatting sqref="AR28">
    <cfRule type="cellIs" dxfId="4645" priority="137290" stopIfTrue="1" operator="lessThan">
      <formula>0.5</formula>
    </cfRule>
  </conditionalFormatting>
  <conditionalFormatting sqref="AR28">
    <cfRule type="cellIs" dxfId="4644" priority="137291" stopIfTrue="1" operator="greaterThanOrEqual">
      <formula>0.5</formula>
    </cfRule>
  </conditionalFormatting>
  <conditionalFormatting sqref="AR29">
    <cfRule type="cellIs" dxfId="4643" priority="137292" stopIfTrue="1" operator="equal">
      <formula>-1</formula>
    </cfRule>
  </conditionalFormatting>
  <conditionalFormatting sqref="AR29">
    <cfRule type="cellIs" dxfId="4642" priority="137293" stopIfTrue="1" operator="lessThan">
      <formula>0.5</formula>
    </cfRule>
  </conditionalFormatting>
  <conditionalFormatting sqref="AR29">
    <cfRule type="cellIs" dxfId="4641" priority="137294" stopIfTrue="1" operator="greaterThanOrEqual">
      <formula>0.5</formula>
    </cfRule>
  </conditionalFormatting>
  <conditionalFormatting sqref="AR30">
    <cfRule type="cellIs" dxfId="4640" priority="137295" stopIfTrue="1" operator="equal">
      <formula>-1</formula>
    </cfRule>
  </conditionalFormatting>
  <conditionalFormatting sqref="AR30">
    <cfRule type="cellIs" dxfId="4639" priority="137296" stopIfTrue="1" operator="lessThan">
      <formula>0.5</formula>
    </cfRule>
  </conditionalFormatting>
  <conditionalFormatting sqref="AR30">
    <cfRule type="cellIs" dxfId="4638" priority="137297" stopIfTrue="1" operator="greaterThanOrEqual">
      <formula>0.5</formula>
    </cfRule>
  </conditionalFormatting>
  <conditionalFormatting sqref="AR31">
    <cfRule type="cellIs" dxfId="4637" priority="137298" stopIfTrue="1" operator="equal">
      <formula>-1</formula>
    </cfRule>
  </conditionalFormatting>
  <conditionalFormatting sqref="AR31">
    <cfRule type="cellIs" dxfId="4636" priority="137299" stopIfTrue="1" operator="lessThan">
      <formula>0.5</formula>
    </cfRule>
  </conditionalFormatting>
  <conditionalFormatting sqref="AR31">
    <cfRule type="cellIs" dxfId="4635" priority="137300" stopIfTrue="1" operator="greaterThanOrEqual">
      <formula>0.5</formula>
    </cfRule>
  </conditionalFormatting>
  <conditionalFormatting sqref="AR32">
    <cfRule type="cellIs" dxfId="4634" priority="137301" stopIfTrue="1" operator="equal">
      <formula>-1</formula>
    </cfRule>
  </conditionalFormatting>
  <conditionalFormatting sqref="AR32">
    <cfRule type="cellIs" dxfId="4633" priority="137302" stopIfTrue="1" operator="lessThan">
      <formula>0.5</formula>
    </cfRule>
  </conditionalFormatting>
  <conditionalFormatting sqref="AR32">
    <cfRule type="cellIs" dxfId="4632" priority="137303" stopIfTrue="1" operator="greaterThanOrEqual">
      <formula>0.5</formula>
    </cfRule>
  </conditionalFormatting>
  <conditionalFormatting sqref="AR33">
    <cfRule type="cellIs" dxfId="4631" priority="137304" stopIfTrue="1" operator="equal">
      <formula>-1</formula>
    </cfRule>
  </conditionalFormatting>
  <conditionalFormatting sqref="AR33">
    <cfRule type="cellIs" dxfId="4630" priority="137305" stopIfTrue="1" operator="lessThan">
      <formula>0.5</formula>
    </cfRule>
  </conditionalFormatting>
  <conditionalFormatting sqref="AR33">
    <cfRule type="cellIs" dxfId="4629" priority="137306" stopIfTrue="1" operator="greaterThanOrEqual">
      <formula>0.5</formula>
    </cfRule>
  </conditionalFormatting>
  <conditionalFormatting sqref="AR34">
    <cfRule type="cellIs" dxfId="4628" priority="137307" stopIfTrue="1" operator="equal">
      <formula>-1</formula>
    </cfRule>
  </conditionalFormatting>
  <conditionalFormatting sqref="AR34">
    <cfRule type="cellIs" dxfId="4627" priority="137308" stopIfTrue="1" operator="lessThan">
      <formula>0.5</formula>
    </cfRule>
  </conditionalFormatting>
  <conditionalFormatting sqref="AR34">
    <cfRule type="cellIs" dxfId="4626" priority="137309" stopIfTrue="1" operator="greaterThanOrEqual">
      <formula>0.5</formula>
    </cfRule>
  </conditionalFormatting>
  <conditionalFormatting sqref="AR35">
    <cfRule type="cellIs" dxfId="4625" priority="137310" stopIfTrue="1" operator="equal">
      <formula>-1</formula>
    </cfRule>
  </conditionalFormatting>
  <conditionalFormatting sqref="AR35">
    <cfRule type="cellIs" dxfId="4624" priority="137311" stopIfTrue="1" operator="lessThan">
      <formula>0.5</formula>
    </cfRule>
  </conditionalFormatting>
  <conditionalFormatting sqref="AR35">
    <cfRule type="cellIs" dxfId="4623" priority="137312" stopIfTrue="1" operator="greaterThanOrEqual">
      <formula>0.5</formula>
    </cfRule>
  </conditionalFormatting>
  <conditionalFormatting sqref="AR36">
    <cfRule type="cellIs" dxfId="4622" priority="137313" stopIfTrue="1" operator="equal">
      <formula>-1</formula>
    </cfRule>
  </conditionalFormatting>
  <conditionalFormatting sqref="AR36">
    <cfRule type="cellIs" dxfId="4621" priority="137314" stopIfTrue="1" operator="lessThan">
      <formula>0.5</formula>
    </cfRule>
  </conditionalFormatting>
  <conditionalFormatting sqref="AR36">
    <cfRule type="cellIs" dxfId="4620" priority="137315" stopIfTrue="1" operator="greaterThanOrEqual">
      <formula>0.5</formula>
    </cfRule>
  </conditionalFormatting>
  <conditionalFormatting sqref="AR37">
    <cfRule type="cellIs" dxfId="4619" priority="137316" stopIfTrue="1" operator="equal">
      <formula>-1</formula>
    </cfRule>
  </conditionalFormatting>
  <conditionalFormatting sqref="AR37">
    <cfRule type="cellIs" dxfId="4618" priority="137317" stopIfTrue="1" operator="lessThan">
      <formula>0.5</formula>
    </cfRule>
  </conditionalFormatting>
  <conditionalFormatting sqref="AR37">
    <cfRule type="cellIs" dxfId="4617" priority="137318" stopIfTrue="1" operator="greaterThanOrEqual">
      <formula>0.5</formula>
    </cfRule>
  </conditionalFormatting>
  <conditionalFormatting sqref="AT17">
    <cfRule type="cellIs" dxfId="4616" priority="137319" stopIfTrue="1" operator="equal">
      <formula>-1</formula>
    </cfRule>
  </conditionalFormatting>
  <conditionalFormatting sqref="AT17">
    <cfRule type="cellIs" dxfId="4615" priority="137320" stopIfTrue="1" operator="lessThan">
      <formula>0.5</formula>
    </cfRule>
  </conditionalFormatting>
  <conditionalFormatting sqref="AT17">
    <cfRule type="cellIs" dxfId="4614" priority="137321" stopIfTrue="1" operator="greaterThanOrEqual">
      <formula>0.5</formula>
    </cfRule>
  </conditionalFormatting>
  <conditionalFormatting sqref="AT18">
    <cfRule type="cellIs" dxfId="4613" priority="137322" stopIfTrue="1" operator="equal">
      <formula>-1</formula>
    </cfRule>
  </conditionalFormatting>
  <conditionalFormatting sqref="AT18">
    <cfRule type="cellIs" dxfId="4612" priority="137323" stopIfTrue="1" operator="lessThan">
      <formula>0.5</formula>
    </cfRule>
  </conditionalFormatting>
  <conditionalFormatting sqref="AT18">
    <cfRule type="cellIs" dxfId="4611" priority="137324" stopIfTrue="1" operator="greaterThanOrEqual">
      <formula>0.5</formula>
    </cfRule>
  </conditionalFormatting>
  <conditionalFormatting sqref="AT19">
    <cfRule type="cellIs" dxfId="4610" priority="137325" stopIfTrue="1" operator="equal">
      <formula>-1</formula>
    </cfRule>
  </conditionalFormatting>
  <conditionalFormatting sqref="AT19">
    <cfRule type="cellIs" dxfId="4609" priority="137326" stopIfTrue="1" operator="lessThan">
      <formula>0.5</formula>
    </cfRule>
  </conditionalFormatting>
  <conditionalFormatting sqref="AT19">
    <cfRule type="cellIs" dxfId="4608" priority="137327" stopIfTrue="1" operator="greaterThanOrEqual">
      <formula>0.5</formula>
    </cfRule>
  </conditionalFormatting>
  <conditionalFormatting sqref="AT20">
    <cfRule type="cellIs" dxfId="4607" priority="137328" stopIfTrue="1" operator="equal">
      <formula>-1</formula>
    </cfRule>
  </conditionalFormatting>
  <conditionalFormatting sqref="AT20">
    <cfRule type="cellIs" dxfId="4606" priority="137329" stopIfTrue="1" operator="lessThan">
      <formula>0.5</formula>
    </cfRule>
  </conditionalFormatting>
  <conditionalFormatting sqref="AT20">
    <cfRule type="cellIs" dxfId="4605" priority="137330" stopIfTrue="1" operator="greaterThanOrEqual">
      <formula>0.5</formula>
    </cfRule>
  </conditionalFormatting>
  <conditionalFormatting sqref="AT21">
    <cfRule type="cellIs" dxfId="4604" priority="137331" stopIfTrue="1" operator="equal">
      <formula>-1</formula>
    </cfRule>
  </conditionalFormatting>
  <conditionalFormatting sqref="AT21">
    <cfRule type="cellIs" dxfId="4603" priority="137332" stopIfTrue="1" operator="lessThan">
      <formula>0.5</formula>
    </cfRule>
  </conditionalFormatting>
  <conditionalFormatting sqref="AT21">
    <cfRule type="cellIs" dxfId="4602" priority="137333" stopIfTrue="1" operator="greaterThanOrEqual">
      <formula>0.5</formula>
    </cfRule>
  </conditionalFormatting>
  <conditionalFormatting sqref="AT22">
    <cfRule type="cellIs" dxfId="4601" priority="137334" stopIfTrue="1" operator="equal">
      <formula>-1</formula>
    </cfRule>
  </conditionalFormatting>
  <conditionalFormatting sqref="AT22">
    <cfRule type="cellIs" dxfId="4600" priority="137335" stopIfTrue="1" operator="lessThan">
      <formula>0.5</formula>
    </cfRule>
  </conditionalFormatting>
  <conditionalFormatting sqref="AT22">
    <cfRule type="cellIs" dxfId="4599" priority="137336" stopIfTrue="1" operator="greaterThanOrEqual">
      <formula>0.5</formula>
    </cfRule>
  </conditionalFormatting>
  <conditionalFormatting sqref="AT23">
    <cfRule type="cellIs" dxfId="4598" priority="137337" stopIfTrue="1" operator="equal">
      <formula>-1</formula>
    </cfRule>
  </conditionalFormatting>
  <conditionalFormatting sqref="AT23">
    <cfRule type="cellIs" dxfId="4597" priority="137338" stopIfTrue="1" operator="lessThan">
      <formula>0.5</formula>
    </cfRule>
  </conditionalFormatting>
  <conditionalFormatting sqref="AT23">
    <cfRule type="cellIs" dxfId="4596" priority="137339" stopIfTrue="1" operator="greaterThanOrEqual">
      <formula>0.5</formula>
    </cfRule>
  </conditionalFormatting>
  <conditionalFormatting sqref="AT24">
    <cfRule type="cellIs" dxfId="4595" priority="137340" stopIfTrue="1" operator="equal">
      <formula>-1</formula>
    </cfRule>
  </conditionalFormatting>
  <conditionalFormatting sqref="AT24">
    <cfRule type="cellIs" dxfId="4594" priority="137341" stopIfTrue="1" operator="lessThan">
      <formula>0.5</formula>
    </cfRule>
  </conditionalFormatting>
  <conditionalFormatting sqref="AT24">
    <cfRule type="cellIs" dxfId="4593" priority="137342" stopIfTrue="1" operator="greaterThanOrEqual">
      <formula>0.5</formula>
    </cfRule>
  </conditionalFormatting>
  <conditionalFormatting sqref="AT25">
    <cfRule type="cellIs" dxfId="4592" priority="137343" stopIfTrue="1" operator="equal">
      <formula>-1</formula>
    </cfRule>
  </conditionalFormatting>
  <conditionalFormatting sqref="AT25">
    <cfRule type="cellIs" dxfId="4591" priority="137344" stopIfTrue="1" operator="lessThan">
      <formula>0.5</formula>
    </cfRule>
  </conditionalFormatting>
  <conditionalFormatting sqref="AT25">
    <cfRule type="cellIs" dxfId="4590" priority="137345" stopIfTrue="1" operator="greaterThanOrEqual">
      <formula>0.5</formula>
    </cfRule>
  </conditionalFormatting>
  <conditionalFormatting sqref="AT26">
    <cfRule type="cellIs" dxfId="4589" priority="137346" stopIfTrue="1" operator="equal">
      <formula>-1</formula>
    </cfRule>
  </conditionalFormatting>
  <conditionalFormatting sqref="AT26">
    <cfRule type="cellIs" dxfId="4588" priority="137347" stopIfTrue="1" operator="lessThan">
      <formula>0.5</formula>
    </cfRule>
  </conditionalFormatting>
  <conditionalFormatting sqref="AT26">
    <cfRule type="cellIs" dxfId="4587" priority="137348" stopIfTrue="1" operator="greaterThanOrEqual">
      <formula>0.5</formula>
    </cfRule>
  </conditionalFormatting>
  <conditionalFormatting sqref="AT27">
    <cfRule type="cellIs" dxfId="4586" priority="137349" stopIfTrue="1" operator="equal">
      <formula>-1</formula>
    </cfRule>
  </conditionalFormatting>
  <conditionalFormatting sqref="AT27">
    <cfRule type="cellIs" dxfId="4585" priority="137350" stopIfTrue="1" operator="lessThan">
      <formula>0.5</formula>
    </cfRule>
  </conditionalFormatting>
  <conditionalFormatting sqref="AT27">
    <cfRule type="cellIs" dxfId="4584" priority="137351" stopIfTrue="1" operator="greaterThanOrEqual">
      <formula>0.5</formula>
    </cfRule>
  </conditionalFormatting>
  <conditionalFormatting sqref="AT28">
    <cfRule type="cellIs" dxfId="4583" priority="137352" stopIfTrue="1" operator="equal">
      <formula>-1</formula>
    </cfRule>
  </conditionalFormatting>
  <conditionalFormatting sqref="AT28">
    <cfRule type="cellIs" dxfId="4582" priority="137353" stopIfTrue="1" operator="lessThan">
      <formula>0.5</formula>
    </cfRule>
  </conditionalFormatting>
  <conditionalFormatting sqref="AT28">
    <cfRule type="cellIs" dxfId="4581" priority="137354" stopIfTrue="1" operator="greaterThanOrEqual">
      <formula>0.5</formula>
    </cfRule>
  </conditionalFormatting>
  <conditionalFormatting sqref="AT29">
    <cfRule type="cellIs" dxfId="4580" priority="137355" stopIfTrue="1" operator="equal">
      <formula>-1</formula>
    </cfRule>
  </conditionalFormatting>
  <conditionalFormatting sqref="AT29">
    <cfRule type="cellIs" dxfId="4579" priority="137356" stopIfTrue="1" operator="lessThan">
      <formula>0.5</formula>
    </cfRule>
  </conditionalFormatting>
  <conditionalFormatting sqref="AT29">
    <cfRule type="cellIs" dxfId="4578" priority="137357" stopIfTrue="1" operator="greaterThanOrEqual">
      <formula>0.5</formula>
    </cfRule>
  </conditionalFormatting>
  <conditionalFormatting sqref="AT30">
    <cfRule type="cellIs" dxfId="4577" priority="137358" stopIfTrue="1" operator="equal">
      <formula>-1</formula>
    </cfRule>
  </conditionalFormatting>
  <conditionalFormatting sqref="AT30">
    <cfRule type="cellIs" dxfId="4576" priority="137359" stopIfTrue="1" operator="lessThan">
      <formula>0.5</formula>
    </cfRule>
  </conditionalFormatting>
  <conditionalFormatting sqref="AT30">
    <cfRule type="cellIs" dxfId="4575" priority="137360" stopIfTrue="1" operator="greaterThanOrEqual">
      <formula>0.5</formula>
    </cfRule>
  </conditionalFormatting>
  <conditionalFormatting sqref="AT31">
    <cfRule type="cellIs" dxfId="4574" priority="137361" stopIfTrue="1" operator="equal">
      <formula>-1</formula>
    </cfRule>
  </conditionalFormatting>
  <conditionalFormatting sqref="AT31">
    <cfRule type="cellIs" dxfId="4573" priority="137362" stopIfTrue="1" operator="lessThan">
      <formula>0.5</formula>
    </cfRule>
  </conditionalFormatting>
  <conditionalFormatting sqref="AT31">
    <cfRule type="cellIs" dxfId="4572" priority="137363" stopIfTrue="1" operator="greaterThanOrEqual">
      <formula>0.5</formula>
    </cfRule>
  </conditionalFormatting>
  <conditionalFormatting sqref="AT32">
    <cfRule type="cellIs" dxfId="4571" priority="137364" stopIfTrue="1" operator="equal">
      <formula>-1</formula>
    </cfRule>
  </conditionalFormatting>
  <conditionalFormatting sqref="AT32">
    <cfRule type="cellIs" dxfId="4570" priority="137365" stopIfTrue="1" operator="lessThan">
      <formula>0.5</formula>
    </cfRule>
  </conditionalFormatting>
  <conditionalFormatting sqref="AT32">
    <cfRule type="cellIs" dxfId="4569" priority="137366" stopIfTrue="1" operator="greaterThanOrEqual">
      <formula>0.5</formula>
    </cfRule>
  </conditionalFormatting>
  <conditionalFormatting sqref="AT33">
    <cfRule type="cellIs" dxfId="4568" priority="137367" stopIfTrue="1" operator="equal">
      <formula>-1</formula>
    </cfRule>
  </conditionalFormatting>
  <conditionalFormatting sqref="AT33">
    <cfRule type="cellIs" dxfId="4567" priority="137368" stopIfTrue="1" operator="lessThan">
      <formula>0.5</formula>
    </cfRule>
  </conditionalFormatting>
  <conditionalFormatting sqref="AT33">
    <cfRule type="cellIs" dxfId="4566" priority="137369" stopIfTrue="1" operator="greaterThanOrEqual">
      <formula>0.5</formula>
    </cfRule>
  </conditionalFormatting>
  <conditionalFormatting sqref="AT34">
    <cfRule type="cellIs" dxfId="4565" priority="137370" stopIfTrue="1" operator="equal">
      <formula>-1</formula>
    </cfRule>
  </conditionalFormatting>
  <conditionalFormatting sqref="AT34">
    <cfRule type="cellIs" dxfId="4564" priority="137371" stopIfTrue="1" operator="lessThan">
      <formula>0.5</formula>
    </cfRule>
  </conditionalFormatting>
  <conditionalFormatting sqref="AT34">
    <cfRule type="cellIs" dxfId="4563" priority="137372" stopIfTrue="1" operator="greaterThanOrEqual">
      <formula>0.5</formula>
    </cfRule>
  </conditionalFormatting>
  <conditionalFormatting sqref="AT35">
    <cfRule type="cellIs" dxfId="4562" priority="137373" stopIfTrue="1" operator="equal">
      <formula>-1</formula>
    </cfRule>
  </conditionalFormatting>
  <conditionalFormatting sqref="AT35">
    <cfRule type="cellIs" dxfId="4561" priority="137374" stopIfTrue="1" operator="lessThan">
      <formula>0.5</formula>
    </cfRule>
  </conditionalFormatting>
  <conditionalFormatting sqref="AT35">
    <cfRule type="cellIs" dxfId="4560" priority="137375" stopIfTrue="1" operator="greaterThanOrEqual">
      <formula>0.5</formula>
    </cfRule>
  </conditionalFormatting>
  <conditionalFormatting sqref="AT36">
    <cfRule type="cellIs" dxfId="4559" priority="137376" stopIfTrue="1" operator="equal">
      <formula>-1</formula>
    </cfRule>
  </conditionalFormatting>
  <conditionalFormatting sqref="AT36">
    <cfRule type="cellIs" dxfId="4558" priority="137377" stopIfTrue="1" operator="lessThan">
      <formula>0.5</formula>
    </cfRule>
  </conditionalFormatting>
  <conditionalFormatting sqref="AT36">
    <cfRule type="cellIs" dxfId="4557" priority="137378" stopIfTrue="1" operator="greaterThanOrEqual">
      <formula>0.5</formula>
    </cfRule>
  </conditionalFormatting>
  <conditionalFormatting sqref="AT37">
    <cfRule type="cellIs" dxfId="4556" priority="137379" stopIfTrue="1" operator="equal">
      <formula>-1</formula>
    </cfRule>
  </conditionalFormatting>
  <conditionalFormatting sqref="AT37">
    <cfRule type="cellIs" dxfId="4555" priority="137380" stopIfTrue="1" operator="lessThan">
      <formula>0.5</formula>
    </cfRule>
  </conditionalFormatting>
  <conditionalFormatting sqref="AT37">
    <cfRule type="cellIs" dxfId="4554" priority="137381" stopIfTrue="1" operator="greaterThanOrEqual">
      <formula>0.5</formula>
    </cfRule>
  </conditionalFormatting>
  <conditionalFormatting sqref="AV17">
    <cfRule type="cellIs" dxfId="4553" priority="137382" stopIfTrue="1" operator="equal">
      <formula>-1</formula>
    </cfRule>
  </conditionalFormatting>
  <conditionalFormatting sqref="AV17">
    <cfRule type="cellIs" dxfId="4552" priority="137383" stopIfTrue="1" operator="lessThan">
      <formula>0.5</formula>
    </cfRule>
  </conditionalFormatting>
  <conditionalFormatting sqref="AV17">
    <cfRule type="cellIs" dxfId="4551" priority="137384" stopIfTrue="1" operator="greaterThanOrEqual">
      <formula>0.5</formula>
    </cfRule>
  </conditionalFormatting>
  <conditionalFormatting sqref="AV18">
    <cfRule type="cellIs" dxfId="4550" priority="137385" stopIfTrue="1" operator="equal">
      <formula>-1</formula>
    </cfRule>
  </conditionalFormatting>
  <conditionalFormatting sqref="AV18">
    <cfRule type="cellIs" dxfId="4549" priority="137386" stopIfTrue="1" operator="lessThan">
      <formula>0.5</formula>
    </cfRule>
  </conditionalFormatting>
  <conditionalFormatting sqref="AV18">
    <cfRule type="cellIs" dxfId="4548" priority="137387" stopIfTrue="1" operator="greaterThanOrEqual">
      <formula>0.5</formula>
    </cfRule>
  </conditionalFormatting>
  <conditionalFormatting sqref="AV19">
    <cfRule type="cellIs" dxfId="4547" priority="137388" stopIfTrue="1" operator="equal">
      <formula>-1</formula>
    </cfRule>
  </conditionalFormatting>
  <conditionalFormatting sqref="AV19">
    <cfRule type="cellIs" dxfId="4546" priority="137389" stopIfTrue="1" operator="lessThan">
      <formula>0.5</formula>
    </cfRule>
  </conditionalFormatting>
  <conditionalFormatting sqref="AV19">
    <cfRule type="cellIs" dxfId="4545" priority="137390" stopIfTrue="1" operator="greaterThanOrEqual">
      <formula>0.5</formula>
    </cfRule>
  </conditionalFormatting>
  <conditionalFormatting sqref="AV20">
    <cfRule type="cellIs" dxfId="4544" priority="137391" stopIfTrue="1" operator="equal">
      <formula>-1</formula>
    </cfRule>
  </conditionalFormatting>
  <conditionalFormatting sqref="AV20">
    <cfRule type="cellIs" dxfId="4543" priority="137392" stopIfTrue="1" operator="lessThan">
      <formula>0.5</formula>
    </cfRule>
  </conditionalFormatting>
  <conditionalFormatting sqref="AV20">
    <cfRule type="cellIs" dxfId="4542" priority="137393" stopIfTrue="1" operator="greaterThanOrEqual">
      <formula>0.5</formula>
    </cfRule>
  </conditionalFormatting>
  <conditionalFormatting sqref="AV21">
    <cfRule type="cellIs" dxfId="4541" priority="137394" stopIfTrue="1" operator="equal">
      <formula>-1</formula>
    </cfRule>
  </conditionalFormatting>
  <conditionalFormatting sqref="AV21">
    <cfRule type="cellIs" dxfId="4540" priority="137395" stopIfTrue="1" operator="lessThan">
      <formula>0.5</formula>
    </cfRule>
  </conditionalFormatting>
  <conditionalFormatting sqref="AV21">
    <cfRule type="cellIs" dxfId="4539" priority="137396" stopIfTrue="1" operator="greaterThanOrEqual">
      <formula>0.5</formula>
    </cfRule>
  </conditionalFormatting>
  <conditionalFormatting sqref="AV22">
    <cfRule type="cellIs" dxfId="4538" priority="137397" stopIfTrue="1" operator="equal">
      <formula>-1</formula>
    </cfRule>
  </conditionalFormatting>
  <conditionalFormatting sqref="AV22">
    <cfRule type="cellIs" dxfId="4537" priority="137398" stopIfTrue="1" operator="lessThan">
      <formula>0.5</formula>
    </cfRule>
  </conditionalFormatting>
  <conditionalFormatting sqref="AV22">
    <cfRule type="cellIs" dxfId="4536" priority="137399" stopIfTrue="1" operator="greaterThanOrEqual">
      <formula>0.5</formula>
    </cfRule>
  </conditionalFormatting>
  <conditionalFormatting sqref="AV23">
    <cfRule type="cellIs" dxfId="4535" priority="137400" stopIfTrue="1" operator="equal">
      <formula>-1</formula>
    </cfRule>
  </conditionalFormatting>
  <conditionalFormatting sqref="AV23">
    <cfRule type="cellIs" dxfId="4534" priority="137401" stopIfTrue="1" operator="lessThan">
      <formula>0.5</formula>
    </cfRule>
  </conditionalFormatting>
  <conditionalFormatting sqref="AV23">
    <cfRule type="cellIs" dxfId="4533" priority="137402" stopIfTrue="1" operator="greaterThanOrEqual">
      <formula>0.5</formula>
    </cfRule>
  </conditionalFormatting>
  <conditionalFormatting sqref="AV24">
    <cfRule type="cellIs" dxfId="4532" priority="137403" stopIfTrue="1" operator="equal">
      <formula>-1</formula>
    </cfRule>
  </conditionalFormatting>
  <conditionalFormatting sqref="AV24">
    <cfRule type="cellIs" dxfId="4531" priority="137404" stopIfTrue="1" operator="lessThan">
      <formula>0.5</formula>
    </cfRule>
  </conditionalFormatting>
  <conditionalFormatting sqref="AV24">
    <cfRule type="cellIs" dxfId="4530" priority="137405" stopIfTrue="1" operator="greaterThanOrEqual">
      <formula>0.5</formula>
    </cfRule>
  </conditionalFormatting>
  <conditionalFormatting sqref="AV25">
    <cfRule type="cellIs" dxfId="4529" priority="137406" stopIfTrue="1" operator="equal">
      <formula>-1</formula>
    </cfRule>
  </conditionalFormatting>
  <conditionalFormatting sqref="AV25">
    <cfRule type="cellIs" dxfId="4528" priority="137407" stopIfTrue="1" operator="lessThan">
      <formula>0.5</formula>
    </cfRule>
  </conditionalFormatting>
  <conditionalFormatting sqref="AV25">
    <cfRule type="cellIs" dxfId="4527" priority="137408" stopIfTrue="1" operator="greaterThanOrEqual">
      <formula>0.5</formula>
    </cfRule>
  </conditionalFormatting>
  <conditionalFormatting sqref="AV26">
    <cfRule type="cellIs" dxfId="4526" priority="137409" stopIfTrue="1" operator="equal">
      <formula>-1</formula>
    </cfRule>
  </conditionalFormatting>
  <conditionalFormatting sqref="AV26">
    <cfRule type="cellIs" dxfId="4525" priority="137410" stopIfTrue="1" operator="lessThan">
      <formula>0.5</formula>
    </cfRule>
  </conditionalFormatting>
  <conditionalFormatting sqref="AV26">
    <cfRule type="cellIs" dxfId="4524" priority="137411" stopIfTrue="1" operator="greaterThanOrEqual">
      <formula>0.5</formula>
    </cfRule>
  </conditionalFormatting>
  <conditionalFormatting sqref="AV27">
    <cfRule type="cellIs" dxfId="4523" priority="137412" stopIfTrue="1" operator="equal">
      <formula>-1</formula>
    </cfRule>
  </conditionalFormatting>
  <conditionalFormatting sqref="AV27">
    <cfRule type="cellIs" dxfId="4522" priority="137413" stopIfTrue="1" operator="lessThan">
      <formula>0.5</formula>
    </cfRule>
  </conditionalFormatting>
  <conditionalFormatting sqref="AV27">
    <cfRule type="cellIs" dxfId="4521" priority="137414" stopIfTrue="1" operator="greaterThanOrEqual">
      <formula>0.5</formula>
    </cfRule>
  </conditionalFormatting>
  <conditionalFormatting sqref="AV28">
    <cfRule type="cellIs" dxfId="4520" priority="137415" stopIfTrue="1" operator="equal">
      <formula>-1</formula>
    </cfRule>
  </conditionalFormatting>
  <conditionalFormatting sqref="AV28">
    <cfRule type="cellIs" dxfId="4519" priority="137416" stopIfTrue="1" operator="lessThan">
      <formula>0.5</formula>
    </cfRule>
  </conditionalFormatting>
  <conditionalFormatting sqref="AV28">
    <cfRule type="cellIs" dxfId="4518" priority="137417" stopIfTrue="1" operator="greaterThanOrEqual">
      <formula>0.5</formula>
    </cfRule>
  </conditionalFormatting>
  <conditionalFormatting sqref="AV29">
    <cfRule type="cellIs" dxfId="4517" priority="137418" stopIfTrue="1" operator="equal">
      <formula>-1</formula>
    </cfRule>
  </conditionalFormatting>
  <conditionalFormatting sqref="AV29">
    <cfRule type="cellIs" dxfId="4516" priority="137419" stopIfTrue="1" operator="lessThan">
      <formula>0.5</formula>
    </cfRule>
  </conditionalFormatting>
  <conditionalFormatting sqref="AV29">
    <cfRule type="cellIs" dxfId="4515" priority="137420" stopIfTrue="1" operator="greaterThanOrEqual">
      <formula>0.5</formula>
    </cfRule>
  </conditionalFormatting>
  <conditionalFormatting sqref="AV30">
    <cfRule type="cellIs" dxfId="4514" priority="137421" stopIfTrue="1" operator="equal">
      <formula>-1</formula>
    </cfRule>
  </conditionalFormatting>
  <conditionalFormatting sqref="AV30">
    <cfRule type="cellIs" dxfId="4513" priority="137422" stopIfTrue="1" operator="lessThan">
      <formula>0.5</formula>
    </cfRule>
  </conditionalFormatting>
  <conditionalFormatting sqref="AV30">
    <cfRule type="cellIs" dxfId="4512" priority="137423" stopIfTrue="1" operator="greaterThanOrEqual">
      <formula>0.5</formula>
    </cfRule>
  </conditionalFormatting>
  <conditionalFormatting sqref="AV31">
    <cfRule type="cellIs" dxfId="4511" priority="137424" stopIfTrue="1" operator="equal">
      <formula>-1</formula>
    </cfRule>
  </conditionalFormatting>
  <conditionalFormatting sqref="AV31">
    <cfRule type="cellIs" dxfId="4510" priority="137425" stopIfTrue="1" operator="lessThan">
      <formula>0.5</formula>
    </cfRule>
  </conditionalFormatting>
  <conditionalFormatting sqref="AV31">
    <cfRule type="cellIs" dxfId="4509" priority="137426" stopIfTrue="1" operator="greaterThanOrEqual">
      <formula>0.5</formula>
    </cfRule>
  </conditionalFormatting>
  <conditionalFormatting sqref="AV32">
    <cfRule type="cellIs" dxfId="4508" priority="137427" stopIfTrue="1" operator="equal">
      <formula>-1</formula>
    </cfRule>
  </conditionalFormatting>
  <conditionalFormatting sqref="AV32">
    <cfRule type="cellIs" dxfId="4507" priority="137428" stopIfTrue="1" operator="lessThan">
      <formula>0.5</formula>
    </cfRule>
  </conditionalFormatting>
  <conditionalFormatting sqref="AV32">
    <cfRule type="cellIs" dxfId="4506" priority="137429" stopIfTrue="1" operator="greaterThanOrEqual">
      <formula>0.5</formula>
    </cfRule>
  </conditionalFormatting>
  <conditionalFormatting sqref="AV33">
    <cfRule type="cellIs" dxfId="4505" priority="137430" stopIfTrue="1" operator="equal">
      <formula>-1</formula>
    </cfRule>
  </conditionalFormatting>
  <conditionalFormatting sqref="AV33">
    <cfRule type="cellIs" dxfId="4504" priority="137431" stopIfTrue="1" operator="lessThan">
      <formula>0.5</formula>
    </cfRule>
  </conditionalFormatting>
  <conditionalFormatting sqref="AV33">
    <cfRule type="cellIs" dxfId="4503" priority="137432" stopIfTrue="1" operator="greaterThanOrEqual">
      <formula>0.5</formula>
    </cfRule>
  </conditionalFormatting>
  <conditionalFormatting sqref="AV34">
    <cfRule type="cellIs" dxfId="4502" priority="137433" stopIfTrue="1" operator="equal">
      <formula>-1</formula>
    </cfRule>
  </conditionalFormatting>
  <conditionalFormatting sqref="AV34">
    <cfRule type="cellIs" dxfId="4501" priority="137434" stopIfTrue="1" operator="lessThan">
      <formula>0.5</formula>
    </cfRule>
  </conditionalFormatting>
  <conditionalFormatting sqref="AV34">
    <cfRule type="cellIs" dxfId="4500" priority="137435" stopIfTrue="1" operator="greaterThanOrEqual">
      <formula>0.5</formula>
    </cfRule>
  </conditionalFormatting>
  <conditionalFormatting sqref="AV35">
    <cfRule type="cellIs" dxfId="4499" priority="137436" stopIfTrue="1" operator="equal">
      <formula>-1</formula>
    </cfRule>
  </conditionalFormatting>
  <conditionalFormatting sqref="AV35">
    <cfRule type="cellIs" dxfId="4498" priority="137437" stopIfTrue="1" operator="lessThan">
      <formula>0.5</formula>
    </cfRule>
  </conditionalFormatting>
  <conditionalFormatting sqref="AV35">
    <cfRule type="cellIs" dxfId="4497" priority="137438" stopIfTrue="1" operator="greaterThanOrEqual">
      <formula>0.5</formula>
    </cfRule>
  </conditionalFormatting>
  <conditionalFormatting sqref="AV36">
    <cfRule type="cellIs" dxfId="4496" priority="137439" stopIfTrue="1" operator="equal">
      <formula>-1</formula>
    </cfRule>
  </conditionalFormatting>
  <conditionalFormatting sqref="AV36">
    <cfRule type="cellIs" dxfId="4495" priority="137440" stopIfTrue="1" operator="lessThan">
      <formula>0.5</formula>
    </cfRule>
  </conditionalFormatting>
  <conditionalFormatting sqref="AV36">
    <cfRule type="cellIs" dxfId="4494" priority="137441" stopIfTrue="1" operator="greaterThanOrEqual">
      <formula>0.5</formula>
    </cfRule>
  </conditionalFormatting>
  <conditionalFormatting sqref="AV37">
    <cfRule type="cellIs" dxfId="4493" priority="137442" stopIfTrue="1" operator="equal">
      <formula>-1</formula>
    </cfRule>
  </conditionalFormatting>
  <conditionalFormatting sqref="AV37">
    <cfRule type="cellIs" dxfId="4492" priority="137443" stopIfTrue="1" operator="lessThan">
      <formula>0.5</formula>
    </cfRule>
  </conditionalFormatting>
  <conditionalFormatting sqref="AV37">
    <cfRule type="cellIs" dxfId="4491" priority="137444" stopIfTrue="1" operator="greaterThanOrEqual">
      <formula>0.5</formula>
    </cfRule>
  </conditionalFormatting>
  <conditionalFormatting sqref="AX17">
    <cfRule type="cellIs" dxfId="4490" priority="137445" stopIfTrue="1" operator="equal">
      <formula>-1</formula>
    </cfRule>
  </conditionalFormatting>
  <conditionalFormatting sqref="AX17">
    <cfRule type="cellIs" dxfId="4489" priority="137446" stopIfTrue="1" operator="lessThan">
      <formula>0.5</formula>
    </cfRule>
  </conditionalFormatting>
  <conditionalFormatting sqref="AX17">
    <cfRule type="cellIs" dxfId="4488" priority="137447" stopIfTrue="1" operator="greaterThanOrEqual">
      <formula>0.5</formula>
    </cfRule>
  </conditionalFormatting>
  <conditionalFormatting sqref="AX18">
    <cfRule type="cellIs" dxfId="4487" priority="137448" stopIfTrue="1" operator="equal">
      <formula>-1</formula>
    </cfRule>
  </conditionalFormatting>
  <conditionalFormatting sqref="AX18">
    <cfRule type="cellIs" dxfId="4486" priority="137449" stopIfTrue="1" operator="lessThan">
      <formula>0.5</formula>
    </cfRule>
  </conditionalFormatting>
  <conditionalFormatting sqref="AX18">
    <cfRule type="cellIs" dxfId="4485" priority="137450" stopIfTrue="1" operator="greaterThanOrEqual">
      <formula>0.5</formula>
    </cfRule>
  </conditionalFormatting>
  <conditionalFormatting sqref="AX19">
    <cfRule type="cellIs" dxfId="4484" priority="137451" stopIfTrue="1" operator="equal">
      <formula>-1</formula>
    </cfRule>
  </conditionalFormatting>
  <conditionalFormatting sqref="AX19">
    <cfRule type="cellIs" dxfId="4483" priority="137452" stopIfTrue="1" operator="lessThan">
      <formula>0.5</formula>
    </cfRule>
  </conditionalFormatting>
  <conditionalFormatting sqref="AX19">
    <cfRule type="cellIs" dxfId="4482" priority="137453" stopIfTrue="1" operator="greaterThanOrEqual">
      <formula>0.5</formula>
    </cfRule>
  </conditionalFormatting>
  <conditionalFormatting sqref="AX20">
    <cfRule type="cellIs" dxfId="4481" priority="137454" stopIfTrue="1" operator="equal">
      <formula>-1</formula>
    </cfRule>
  </conditionalFormatting>
  <conditionalFormatting sqref="AX20">
    <cfRule type="cellIs" dxfId="4480" priority="137455" stopIfTrue="1" operator="lessThan">
      <formula>0.5</formula>
    </cfRule>
  </conditionalFormatting>
  <conditionalFormatting sqref="AX20">
    <cfRule type="cellIs" dxfId="4479" priority="137456" stopIfTrue="1" operator="greaterThanOrEqual">
      <formula>0.5</formula>
    </cfRule>
  </conditionalFormatting>
  <conditionalFormatting sqref="AX21">
    <cfRule type="cellIs" dxfId="4478" priority="137457" stopIfTrue="1" operator="equal">
      <formula>-1</formula>
    </cfRule>
  </conditionalFormatting>
  <conditionalFormatting sqref="AX21">
    <cfRule type="cellIs" dxfId="4477" priority="137458" stopIfTrue="1" operator="lessThan">
      <formula>0.5</formula>
    </cfRule>
  </conditionalFormatting>
  <conditionalFormatting sqref="AX21">
    <cfRule type="cellIs" dxfId="4476" priority="137459" stopIfTrue="1" operator="greaterThanOrEqual">
      <formula>0.5</formula>
    </cfRule>
  </conditionalFormatting>
  <conditionalFormatting sqref="AX22">
    <cfRule type="cellIs" dxfId="4475" priority="137460" stopIfTrue="1" operator="equal">
      <formula>-1</formula>
    </cfRule>
  </conditionalFormatting>
  <conditionalFormatting sqref="AX22">
    <cfRule type="cellIs" dxfId="4474" priority="137461" stopIfTrue="1" operator="lessThan">
      <formula>0.5</formula>
    </cfRule>
  </conditionalFormatting>
  <conditionalFormatting sqref="AX22">
    <cfRule type="cellIs" dxfId="4473" priority="137462" stopIfTrue="1" operator="greaterThanOrEqual">
      <formula>0.5</formula>
    </cfRule>
  </conditionalFormatting>
  <conditionalFormatting sqref="AX23">
    <cfRule type="cellIs" dxfId="4472" priority="137463" stopIfTrue="1" operator="equal">
      <formula>-1</formula>
    </cfRule>
  </conditionalFormatting>
  <conditionalFormatting sqref="AX23">
    <cfRule type="cellIs" dxfId="4471" priority="137464" stopIfTrue="1" operator="lessThan">
      <formula>0.5</formula>
    </cfRule>
  </conditionalFormatting>
  <conditionalFormatting sqref="AX23">
    <cfRule type="cellIs" dxfId="4470" priority="137465" stopIfTrue="1" operator="greaterThanOrEqual">
      <formula>0.5</formula>
    </cfRule>
  </conditionalFormatting>
  <conditionalFormatting sqref="AX24">
    <cfRule type="cellIs" dxfId="4469" priority="137466" stopIfTrue="1" operator="equal">
      <formula>-1</formula>
    </cfRule>
  </conditionalFormatting>
  <conditionalFormatting sqref="AX24">
    <cfRule type="cellIs" dxfId="4468" priority="137467" stopIfTrue="1" operator="lessThan">
      <formula>0.5</formula>
    </cfRule>
  </conditionalFormatting>
  <conditionalFormatting sqref="AX24">
    <cfRule type="cellIs" dxfId="4467" priority="137468" stopIfTrue="1" operator="greaterThanOrEqual">
      <formula>0.5</formula>
    </cfRule>
  </conditionalFormatting>
  <conditionalFormatting sqref="AX25">
    <cfRule type="cellIs" dxfId="4466" priority="137469" stopIfTrue="1" operator="equal">
      <formula>-1</formula>
    </cfRule>
  </conditionalFormatting>
  <conditionalFormatting sqref="AX25">
    <cfRule type="cellIs" dxfId="4465" priority="137470" stopIfTrue="1" operator="lessThan">
      <formula>0.5</formula>
    </cfRule>
  </conditionalFormatting>
  <conditionalFormatting sqref="AX25">
    <cfRule type="cellIs" dxfId="4464" priority="137471" stopIfTrue="1" operator="greaterThanOrEqual">
      <formula>0.5</formula>
    </cfRule>
  </conditionalFormatting>
  <conditionalFormatting sqref="AX26">
    <cfRule type="cellIs" dxfId="4463" priority="137472" stopIfTrue="1" operator="equal">
      <formula>-1</formula>
    </cfRule>
  </conditionalFormatting>
  <conditionalFormatting sqref="AX26">
    <cfRule type="cellIs" dxfId="4462" priority="137473" stopIfTrue="1" operator="lessThan">
      <formula>0.5</formula>
    </cfRule>
  </conditionalFormatting>
  <conditionalFormatting sqref="AX26">
    <cfRule type="cellIs" dxfId="4461" priority="137474" stopIfTrue="1" operator="greaterThanOrEqual">
      <formula>0.5</formula>
    </cfRule>
  </conditionalFormatting>
  <conditionalFormatting sqref="AX27">
    <cfRule type="cellIs" dxfId="4460" priority="137475" stopIfTrue="1" operator="equal">
      <formula>-1</formula>
    </cfRule>
  </conditionalFormatting>
  <conditionalFormatting sqref="AX27">
    <cfRule type="cellIs" dxfId="4459" priority="137476" stopIfTrue="1" operator="lessThan">
      <formula>0.5</formula>
    </cfRule>
  </conditionalFormatting>
  <conditionalFormatting sqref="AX27">
    <cfRule type="cellIs" dxfId="4458" priority="137477" stopIfTrue="1" operator="greaterThanOrEqual">
      <formula>0.5</formula>
    </cfRule>
  </conditionalFormatting>
  <conditionalFormatting sqref="AX28">
    <cfRule type="cellIs" dxfId="4457" priority="137478" stopIfTrue="1" operator="equal">
      <formula>-1</formula>
    </cfRule>
  </conditionalFormatting>
  <conditionalFormatting sqref="AX28">
    <cfRule type="cellIs" dxfId="4456" priority="137479" stopIfTrue="1" operator="lessThan">
      <formula>0.5</formula>
    </cfRule>
  </conditionalFormatting>
  <conditionalFormatting sqref="AX28">
    <cfRule type="cellIs" dxfId="4455" priority="137480" stopIfTrue="1" operator="greaterThanOrEqual">
      <formula>0.5</formula>
    </cfRule>
  </conditionalFormatting>
  <conditionalFormatting sqref="AX29">
    <cfRule type="cellIs" dxfId="4454" priority="137481" stopIfTrue="1" operator="equal">
      <formula>-1</formula>
    </cfRule>
  </conditionalFormatting>
  <conditionalFormatting sqref="AX29">
    <cfRule type="cellIs" dxfId="4453" priority="137482" stopIfTrue="1" operator="lessThan">
      <formula>0.5</formula>
    </cfRule>
  </conditionalFormatting>
  <conditionalFormatting sqref="AX29">
    <cfRule type="cellIs" dxfId="4452" priority="137483" stopIfTrue="1" operator="greaterThanOrEqual">
      <formula>0.5</formula>
    </cfRule>
  </conditionalFormatting>
  <conditionalFormatting sqref="AX30">
    <cfRule type="cellIs" dxfId="4451" priority="137484" stopIfTrue="1" operator="equal">
      <formula>-1</formula>
    </cfRule>
  </conditionalFormatting>
  <conditionalFormatting sqref="AX30">
    <cfRule type="cellIs" dxfId="4450" priority="137485" stopIfTrue="1" operator="lessThan">
      <formula>0.5</formula>
    </cfRule>
  </conditionalFormatting>
  <conditionalFormatting sqref="AX30">
    <cfRule type="cellIs" dxfId="4449" priority="137486" stopIfTrue="1" operator="greaterThanOrEqual">
      <formula>0.5</formula>
    </cfRule>
  </conditionalFormatting>
  <conditionalFormatting sqref="AX31">
    <cfRule type="cellIs" dxfId="4448" priority="137487" stopIfTrue="1" operator="equal">
      <formula>-1</formula>
    </cfRule>
  </conditionalFormatting>
  <conditionalFormatting sqref="AX31">
    <cfRule type="cellIs" dxfId="4447" priority="137488" stopIfTrue="1" operator="lessThan">
      <formula>0.5</formula>
    </cfRule>
  </conditionalFormatting>
  <conditionalFormatting sqref="AX31">
    <cfRule type="cellIs" dxfId="4446" priority="137489" stopIfTrue="1" operator="greaterThanOrEqual">
      <formula>0.5</formula>
    </cfRule>
  </conditionalFormatting>
  <conditionalFormatting sqref="AX32">
    <cfRule type="cellIs" dxfId="4445" priority="137490" stopIfTrue="1" operator="equal">
      <formula>-1</formula>
    </cfRule>
  </conditionalFormatting>
  <conditionalFormatting sqref="AX32">
    <cfRule type="cellIs" dxfId="4444" priority="137491" stopIfTrue="1" operator="lessThan">
      <formula>0.5</formula>
    </cfRule>
  </conditionalFormatting>
  <conditionalFormatting sqref="AX32">
    <cfRule type="cellIs" dxfId="4443" priority="137492" stopIfTrue="1" operator="greaterThanOrEqual">
      <formula>0.5</formula>
    </cfRule>
  </conditionalFormatting>
  <conditionalFormatting sqref="AX33">
    <cfRule type="cellIs" dxfId="4442" priority="137493" stopIfTrue="1" operator="equal">
      <formula>-1</formula>
    </cfRule>
  </conditionalFormatting>
  <conditionalFormatting sqref="AX33">
    <cfRule type="cellIs" dxfId="4441" priority="137494" stopIfTrue="1" operator="lessThan">
      <formula>0.5</formula>
    </cfRule>
  </conditionalFormatting>
  <conditionalFormatting sqref="AX33">
    <cfRule type="cellIs" dxfId="4440" priority="137495" stopIfTrue="1" operator="greaterThanOrEqual">
      <formula>0.5</formula>
    </cfRule>
  </conditionalFormatting>
  <conditionalFormatting sqref="AX34">
    <cfRule type="cellIs" dxfId="4439" priority="137496" stopIfTrue="1" operator="equal">
      <formula>-1</formula>
    </cfRule>
  </conditionalFormatting>
  <conditionalFormatting sqref="AX34">
    <cfRule type="cellIs" dxfId="4438" priority="137497" stopIfTrue="1" operator="lessThan">
      <formula>0.5</formula>
    </cfRule>
  </conditionalFormatting>
  <conditionalFormatting sqref="AX34">
    <cfRule type="cellIs" dxfId="4437" priority="137498" stopIfTrue="1" operator="greaterThanOrEqual">
      <formula>0.5</formula>
    </cfRule>
  </conditionalFormatting>
  <conditionalFormatting sqref="AX35">
    <cfRule type="cellIs" dxfId="4436" priority="137499" stopIfTrue="1" operator="equal">
      <formula>-1</formula>
    </cfRule>
  </conditionalFormatting>
  <conditionalFormatting sqref="AX35">
    <cfRule type="cellIs" dxfId="4435" priority="137500" stopIfTrue="1" operator="lessThan">
      <formula>0.5</formula>
    </cfRule>
  </conditionalFormatting>
  <conditionalFormatting sqref="AX35">
    <cfRule type="cellIs" dxfId="4434" priority="137501" stopIfTrue="1" operator="greaterThanOrEqual">
      <formula>0.5</formula>
    </cfRule>
  </conditionalFormatting>
  <conditionalFormatting sqref="AX36">
    <cfRule type="cellIs" dxfId="4433" priority="137502" stopIfTrue="1" operator="equal">
      <formula>-1</formula>
    </cfRule>
  </conditionalFormatting>
  <conditionalFormatting sqref="AX36">
    <cfRule type="cellIs" dxfId="4432" priority="137503" stopIfTrue="1" operator="lessThan">
      <formula>0.5</formula>
    </cfRule>
  </conditionalFormatting>
  <conditionalFormatting sqref="AX36">
    <cfRule type="cellIs" dxfId="4431" priority="137504" stopIfTrue="1" operator="greaterThanOrEqual">
      <formula>0.5</formula>
    </cfRule>
  </conditionalFormatting>
  <conditionalFormatting sqref="AX37">
    <cfRule type="cellIs" dxfId="4430" priority="137505" stopIfTrue="1" operator="equal">
      <formula>-1</formula>
    </cfRule>
  </conditionalFormatting>
  <conditionalFormatting sqref="AX37">
    <cfRule type="cellIs" dxfId="4429" priority="137506" stopIfTrue="1" operator="lessThan">
      <formula>0.5</formula>
    </cfRule>
  </conditionalFormatting>
  <conditionalFormatting sqref="AX37">
    <cfRule type="cellIs" dxfId="4428" priority="137507" stopIfTrue="1" operator="greaterThanOrEqual">
      <formula>0.5</formula>
    </cfRule>
  </conditionalFormatting>
  <conditionalFormatting sqref="AZ17">
    <cfRule type="cellIs" dxfId="4427" priority="137508" stopIfTrue="1" operator="equal">
      <formula>-1</formula>
    </cfRule>
  </conditionalFormatting>
  <conditionalFormatting sqref="AZ17">
    <cfRule type="cellIs" dxfId="4426" priority="137509" stopIfTrue="1" operator="lessThan">
      <formula>0.5</formula>
    </cfRule>
  </conditionalFormatting>
  <conditionalFormatting sqref="AZ17">
    <cfRule type="cellIs" dxfId="4425" priority="137510" stopIfTrue="1" operator="greaterThanOrEqual">
      <formula>0.5</formula>
    </cfRule>
  </conditionalFormatting>
  <conditionalFormatting sqref="AZ18">
    <cfRule type="cellIs" dxfId="4424" priority="137511" stopIfTrue="1" operator="equal">
      <formula>-1</formula>
    </cfRule>
  </conditionalFormatting>
  <conditionalFormatting sqref="AZ18">
    <cfRule type="cellIs" dxfId="4423" priority="137512" stopIfTrue="1" operator="lessThan">
      <formula>0.5</formula>
    </cfRule>
  </conditionalFormatting>
  <conditionalFormatting sqref="AZ18">
    <cfRule type="cellIs" dxfId="4422" priority="137513" stopIfTrue="1" operator="greaterThanOrEqual">
      <formula>0.5</formula>
    </cfRule>
  </conditionalFormatting>
  <conditionalFormatting sqref="AZ19">
    <cfRule type="cellIs" dxfId="4421" priority="137514" stopIfTrue="1" operator="equal">
      <formula>-1</formula>
    </cfRule>
  </conditionalFormatting>
  <conditionalFormatting sqref="AZ19">
    <cfRule type="cellIs" dxfId="4420" priority="137515" stopIfTrue="1" operator="lessThan">
      <formula>0.5</formula>
    </cfRule>
  </conditionalFormatting>
  <conditionalFormatting sqref="AZ19">
    <cfRule type="cellIs" dxfId="4419" priority="137516" stopIfTrue="1" operator="greaterThanOrEqual">
      <formula>0.5</formula>
    </cfRule>
  </conditionalFormatting>
  <conditionalFormatting sqref="AZ20">
    <cfRule type="cellIs" dxfId="4418" priority="137517" stopIfTrue="1" operator="equal">
      <formula>-1</formula>
    </cfRule>
  </conditionalFormatting>
  <conditionalFormatting sqref="AZ20">
    <cfRule type="cellIs" dxfId="4417" priority="137518" stopIfTrue="1" operator="lessThan">
      <formula>0.5</formula>
    </cfRule>
  </conditionalFormatting>
  <conditionalFormatting sqref="AZ20">
    <cfRule type="cellIs" dxfId="4416" priority="137519" stopIfTrue="1" operator="greaterThanOrEqual">
      <formula>0.5</formula>
    </cfRule>
  </conditionalFormatting>
  <conditionalFormatting sqref="AZ21">
    <cfRule type="cellIs" dxfId="4415" priority="137520" stopIfTrue="1" operator="equal">
      <formula>-1</formula>
    </cfRule>
  </conditionalFormatting>
  <conditionalFormatting sqref="AZ21">
    <cfRule type="cellIs" dxfId="4414" priority="137521" stopIfTrue="1" operator="lessThan">
      <formula>0.5</formula>
    </cfRule>
  </conditionalFormatting>
  <conditionalFormatting sqref="AZ21">
    <cfRule type="cellIs" dxfId="4413" priority="137522" stopIfTrue="1" operator="greaterThanOrEqual">
      <formula>0.5</formula>
    </cfRule>
  </conditionalFormatting>
  <conditionalFormatting sqref="AZ22">
    <cfRule type="cellIs" dxfId="4412" priority="137523" stopIfTrue="1" operator="equal">
      <formula>-1</formula>
    </cfRule>
  </conditionalFormatting>
  <conditionalFormatting sqref="AZ22">
    <cfRule type="cellIs" dxfId="4411" priority="137524" stopIfTrue="1" operator="lessThan">
      <formula>0.5</formula>
    </cfRule>
  </conditionalFormatting>
  <conditionalFormatting sqref="AZ22">
    <cfRule type="cellIs" dxfId="4410" priority="137525" stopIfTrue="1" operator="greaterThanOrEqual">
      <formula>0.5</formula>
    </cfRule>
  </conditionalFormatting>
  <conditionalFormatting sqref="AZ23">
    <cfRule type="cellIs" dxfId="4409" priority="137526" stopIfTrue="1" operator="equal">
      <formula>-1</formula>
    </cfRule>
  </conditionalFormatting>
  <conditionalFormatting sqref="AZ23">
    <cfRule type="cellIs" dxfId="4408" priority="137527" stopIfTrue="1" operator="lessThan">
      <formula>0.5</formula>
    </cfRule>
  </conditionalFormatting>
  <conditionalFormatting sqref="AZ23">
    <cfRule type="cellIs" dxfId="4407" priority="137528" stopIfTrue="1" operator="greaterThanOrEqual">
      <formula>0.5</formula>
    </cfRule>
  </conditionalFormatting>
  <conditionalFormatting sqref="AZ24">
    <cfRule type="cellIs" dxfId="4406" priority="137529" stopIfTrue="1" operator="equal">
      <formula>-1</formula>
    </cfRule>
  </conditionalFormatting>
  <conditionalFormatting sqref="AZ24">
    <cfRule type="cellIs" dxfId="4405" priority="137530" stopIfTrue="1" operator="lessThan">
      <formula>0.5</formula>
    </cfRule>
  </conditionalFormatting>
  <conditionalFormatting sqref="AZ24">
    <cfRule type="cellIs" dxfId="4404" priority="137531" stopIfTrue="1" operator="greaterThanOrEqual">
      <formula>0.5</formula>
    </cfRule>
  </conditionalFormatting>
  <conditionalFormatting sqref="AZ25">
    <cfRule type="cellIs" dxfId="4403" priority="137532" stopIfTrue="1" operator="equal">
      <formula>-1</formula>
    </cfRule>
  </conditionalFormatting>
  <conditionalFormatting sqref="AZ25">
    <cfRule type="cellIs" dxfId="4402" priority="137533" stopIfTrue="1" operator="lessThan">
      <formula>0.5</formula>
    </cfRule>
  </conditionalFormatting>
  <conditionalFormatting sqref="AZ25">
    <cfRule type="cellIs" dxfId="4401" priority="137534" stopIfTrue="1" operator="greaterThanOrEqual">
      <formula>0.5</formula>
    </cfRule>
  </conditionalFormatting>
  <conditionalFormatting sqref="AZ26">
    <cfRule type="cellIs" dxfId="4400" priority="137535" stopIfTrue="1" operator="equal">
      <formula>-1</formula>
    </cfRule>
  </conditionalFormatting>
  <conditionalFormatting sqref="AZ26">
    <cfRule type="cellIs" dxfId="4399" priority="137536" stopIfTrue="1" operator="lessThan">
      <formula>0.5</formula>
    </cfRule>
  </conditionalFormatting>
  <conditionalFormatting sqref="AZ26">
    <cfRule type="cellIs" dxfId="4398" priority="137537" stopIfTrue="1" operator="greaterThanOrEqual">
      <formula>0.5</formula>
    </cfRule>
  </conditionalFormatting>
  <conditionalFormatting sqref="AZ27">
    <cfRule type="cellIs" dxfId="4397" priority="137538" stopIfTrue="1" operator="equal">
      <formula>-1</formula>
    </cfRule>
  </conditionalFormatting>
  <conditionalFormatting sqref="AZ27">
    <cfRule type="cellIs" dxfId="4396" priority="137539" stopIfTrue="1" operator="lessThan">
      <formula>0.5</formula>
    </cfRule>
  </conditionalFormatting>
  <conditionalFormatting sqref="AZ27">
    <cfRule type="cellIs" dxfId="4395" priority="137540" stopIfTrue="1" operator="greaterThanOrEqual">
      <formula>0.5</formula>
    </cfRule>
  </conditionalFormatting>
  <conditionalFormatting sqref="AZ28">
    <cfRule type="cellIs" dxfId="4394" priority="137541" stopIfTrue="1" operator="equal">
      <formula>-1</formula>
    </cfRule>
  </conditionalFormatting>
  <conditionalFormatting sqref="AZ28">
    <cfRule type="cellIs" dxfId="4393" priority="137542" stopIfTrue="1" operator="lessThan">
      <formula>0.5</formula>
    </cfRule>
  </conditionalFormatting>
  <conditionalFormatting sqref="AZ28">
    <cfRule type="cellIs" dxfId="4392" priority="137543" stopIfTrue="1" operator="greaterThanOrEqual">
      <formula>0.5</formula>
    </cfRule>
  </conditionalFormatting>
  <conditionalFormatting sqref="AZ29">
    <cfRule type="cellIs" dxfId="4391" priority="137544" stopIfTrue="1" operator="equal">
      <formula>-1</formula>
    </cfRule>
  </conditionalFormatting>
  <conditionalFormatting sqref="AZ29">
    <cfRule type="cellIs" dxfId="4390" priority="137545" stopIfTrue="1" operator="lessThan">
      <formula>0.5</formula>
    </cfRule>
  </conditionalFormatting>
  <conditionalFormatting sqref="AZ29">
    <cfRule type="cellIs" dxfId="4389" priority="137546" stopIfTrue="1" operator="greaterThanOrEqual">
      <formula>0.5</formula>
    </cfRule>
  </conditionalFormatting>
  <conditionalFormatting sqref="AZ30">
    <cfRule type="cellIs" dxfId="4388" priority="137547" stopIfTrue="1" operator="equal">
      <formula>-1</formula>
    </cfRule>
  </conditionalFormatting>
  <conditionalFormatting sqref="AZ30">
    <cfRule type="cellIs" dxfId="4387" priority="137548" stopIfTrue="1" operator="lessThan">
      <formula>0.5</formula>
    </cfRule>
  </conditionalFormatting>
  <conditionalFormatting sqref="AZ30">
    <cfRule type="cellIs" dxfId="4386" priority="137549" stopIfTrue="1" operator="greaterThanOrEqual">
      <formula>0.5</formula>
    </cfRule>
  </conditionalFormatting>
  <conditionalFormatting sqref="AZ31">
    <cfRule type="cellIs" dxfId="4385" priority="137550" stopIfTrue="1" operator="equal">
      <formula>-1</formula>
    </cfRule>
  </conditionalFormatting>
  <conditionalFormatting sqref="AZ31">
    <cfRule type="cellIs" dxfId="4384" priority="137551" stopIfTrue="1" operator="lessThan">
      <formula>0.5</formula>
    </cfRule>
  </conditionalFormatting>
  <conditionalFormatting sqref="AZ31">
    <cfRule type="cellIs" dxfId="4383" priority="137552" stopIfTrue="1" operator="greaterThanOrEqual">
      <formula>0.5</formula>
    </cfRule>
  </conditionalFormatting>
  <conditionalFormatting sqref="AZ32">
    <cfRule type="cellIs" dxfId="4382" priority="137553" stopIfTrue="1" operator="equal">
      <formula>-1</formula>
    </cfRule>
  </conditionalFormatting>
  <conditionalFormatting sqref="AZ32">
    <cfRule type="cellIs" dxfId="4381" priority="137554" stopIfTrue="1" operator="lessThan">
      <formula>0.5</formula>
    </cfRule>
  </conditionalFormatting>
  <conditionalFormatting sqref="AZ32">
    <cfRule type="cellIs" dxfId="4380" priority="137555" stopIfTrue="1" operator="greaterThanOrEqual">
      <formula>0.5</formula>
    </cfRule>
  </conditionalFormatting>
  <conditionalFormatting sqref="AZ33">
    <cfRule type="cellIs" dxfId="4379" priority="137556" stopIfTrue="1" operator="equal">
      <formula>-1</formula>
    </cfRule>
  </conditionalFormatting>
  <conditionalFormatting sqref="AZ33">
    <cfRule type="cellIs" dxfId="4378" priority="137557" stopIfTrue="1" operator="lessThan">
      <formula>0.5</formula>
    </cfRule>
  </conditionalFormatting>
  <conditionalFormatting sqref="AZ33">
    <cfRule type="cellIs" dxfId="4377" priority="137558" stopIfTrue="1" operator="greaterThanOrEqual">
      <formula>0.5</formula>
    </cfRule>
  </conditionalFormatting>
  <conditionalFormatting sqref="AZ34">
    <cfRule type="cellIs" dxfId="4376" priority="137559" stopIfTrue="1" operator="equal">
      <formula>-1</formula>
    </cfRule>
  </conditionalFormatting>
  <conditionalFormatting sqref="AZ34">
    <cfRule type="cellIs" dxfId="4375" priority="137560" stopIfTrue="1" operator="lessThan">
      <formula>0.5</formula>
    </cfRule>
  </conditionalFormatting>
  <conditionalFormatting sqref="AZ34">
    <cfRule type="cellIs" dxfId="4374" priority="137561" stopIfTrue="1" operator="greaterThanOrEqual">
      <formula>0.5</formula>
    </cfRule>
  </conditionalFormatting>
  <conditionalFormatting sqref="AZ35">
    <cfRule type="cellIs" dxfId="4373" priority="137562" stopIfTrue="1" operator="equal">
      <formula>-1</formula>
    </cfRule>
  </conditionalFormatting>
  <conditionalFormatting sqref="AZ35">
    <cfRule type="cellIs" dxfId="4372" priority="137563" stopIfTrue="1" operator="lessThan">
      <formula>0.5</formula>
    </cfRule>
  </conditionalFormatting>
  <conditionalFormatting sqref="AZ35">
    <cfRule type="cellIs" dxfId="4371" priority="137564" stopIfTrue="1" operator="greaterThanOrEqual">
      <formula>0.5</formula>
    </cfRule>
  </conditionalFormatting>
  <conditionalFormatting sqref="AZ36">
    <cfRule type="cellIs" dxfId="4370" priority="137565" stopIfTrue="1" operator="equal">
      <formula>-1</formula>
    </cfRule>
  </conditionalFormatting>
  <conditionalFormatting sqref="AZ36">
    <cfRule type="cellIs" dxfId="4369" priority="137566" stopIfTrue="1" operator="lessThan">
      <formula>0.5</formula>
    </cfRule>
  </conditionalFormatting>
  <conditionalFormatting sqref="AZ36">
    <cfRule type="cellIs" dxfId="4368" priority="137567" stopIfTrue="1" operator="greaterThanOrEqual">
      <formula>0.5</formula>
    </cfRule>
  </conditionalFormatting>
  <conditionalFormatting sqref="AZ37">
    <cfRule type="cellIs" dxfId="4367" priority="137568" stopIfTrue="1" operator="equal">
      <formula>-1</formula>
    </cfRule>
  </conditionalFormatting>
  <conditionalFormatting sqref="AZ37">
    <cfRule type="cellIs" dxfId="4366" priority="137569" stopIfTrue="1" operator="lessThan">
      <formula>0.5</formula>
    </cfRule>
  </conditionalFormatting>
  <conditionalFormatting sqref="AZ37">
    <cfRule type="cellIs" dxfId="4365" priority="137570" stopIfTrue="1" operator="greaterThanOrEqual">
      <formula>0.5</formula>
    </cfRule>
  </conditionalFormatting>
  <conditionalFormatting sqref="BB17">
    <cfRule type="cellIs" dxfId="4364" priority="137571" stopIfTrue="1" operator="equal">
      <formula>-1</formula>
    </cfRule>
  </conditionalFormatting>
  <conditionalFormatting sqref="BB17">
    <cfRule type="cellIs" dxfId="4363" priority="137572" stopIfTrue="1" operator="lessThan">
      <formula>0.5</formula>
    </cfRule>
  </conditionalFormatting>
  <conditionalFormatting sqref="BB17">
    <cfRule type="cellIs" dxfId="4362" priority="137573" stopIfTrue="1" operator="greaterThanOrEqual">
      <formula>0.5</formula>
    </cfRule>
  </conditionalFormatting>
  <conditionalFormatting sqref="BB18">
    <cfRule type="cellIs" dxfId="4361" priority="137574" stopIfTrue="1" operator="equal">
      <formula>-1</formula>
    </cfRule>
  </conditionalFormatting>
  <conditionalFormatting sqref="BB18">
    <cfRule type="cellIs" dxfId="4360" priority="137575" stopIfTrue="1" operator="lessThan">
      <formula>0.5</formula>
    </cfRule>
  </conditionalFormatting>
  <conditionalFormatting sqref="BB18">
    <cfRule type="cellIs" dxfId="4359" priority="137576" stopIfTrue="1" operator="greaterThanOrEqual">
      <formula>0.5</formula>
    </cfRule>
  </conditionalFormatting>
  <conditionalFormatting sqref="BB19">
    <cfRule type="cellIs" dxfId="4358" priority="137577" stopIfTrue="1" operator="equal">
      <formula>-1</formula>
    </cfRule>
  </conditionalFormatting>
  <conditionalFormatting sqref="BB19">
    <cfRule type="cellIs" dxfId="4357" priority="137578" stopIfTrue="1" operator="lessThan">
      <formula>0.5</formula>
    </cfRule>
  </conditionalFormatting>
  <conditionalFormatting sqref="BB19">
    <cfRule type="cellIs" dxfId="4356" priority="137579" stopIfTrue="1" operator="greaterThanOrEqual">
      <formula>0.5</formula>
    </cfRule>
  </conditionalFormatting>
  <conditionalFormatting sqref="BB20">
    <cfRule type="cellIs" dxfId="4355" priority="137580" stopIfTrue="1" operator="equal">
      <formula>-1</formula>
    </cfRule>
  </conditionalFormatting>
  <conditionalFormatting sqref="BB20">
    <cfRule type="cellIs" dxfId="4354" priority="137581" stopIfTrue="1" operator="lessThan">
      <formula>0.5</formula>
    </cfRule>
  </conditionalFormatting>
  <conditionalFormatting sqref="BB20">
    <cfRule type="cellIs" dxfId="4353" priority="137582" stopIfTrue="1" operator="greaterThanOrEqual">
      <formula>0.5</formula>
    </cfRule>
  </conditionalFormatting>
  <conditionalFormatting sqref="BB21">
    <cfRule type="cellIs" dxfId="4352" priority="137583" stopIfTrue="1" operator="equal">
      <formula>-1</formula>
    </cfRule>
  </conditionalFormatting>
  <conditionalFormatting sqref="BB21">
    <cfRule type="cellIs" dxfId="4351" priority="137584" stopIfTrue="1" operator="lessThan">
      <formula>0.5</formula>
    </cfRule>
  </conditionalFormatting>
  <conditionalFormatting sqref="BB21">
    <cfRule type="cellIs" dxfId="4350" priority="137585" stopIfTrue="1" operator="greaterThanOrEqual">
      <formula>0.5</formula>
    </cfRule>
  </conditionalFormatting>
  <conditionalFormatting sqref="BB22">
    <cfRule type="cellIs" dxfId="4349" priority="137586" stopIfTrue="1" operator="equal">
      <formula>-1</formula>
    </cfRule>
  </conditionalFormatting>
  <conditionalFormatting sqref="BB22">
    <cfRule type="cellIs" dxfId="4348" priority="137587" stopIfTrue="1" operator="lessThan">
      <formula>0.5</formula>
    </cfRule>
  </conditionalFormatting>
  <conditionalFormatting sqref="BB22">
    <cfRule type="cellIs" dxfId="4347" priority="137588" stopIfTrue="1" operator="greaterThanOrEqual">
      <formula>0.5</formula>
    </cfRule>
  </conditionalFormatting>
  <conditionalFormatting sqref="BB23">
    <cfRule type="cellIs" dxfId="4346" priority="137589" stopIfTrue="1" operator="equal">
      <formula>-1</formula>
    </cfRule>
  </conditionalFormatting>
  <conditionalFormatting sqref="BB23">
    <cfRule type="cellIs" dxfId="4345" priority="137590" stopIfTrue="1" operator="lessThan">
      <formula>0.5</formula>
    </cfRule>
  </conditionalFormatting>
  <conditionalFormatting sqref="BB23">
    <cfRule type="cellIs" dxfId="4344" priority="137591" stopIfTrue="1" operator="greaterThanOrEqual">
      <formula>0.5</formula>
    </cfRule>
  </conditionalFormatting>
  <conditionalFormatting sqref="BB24">
    <cfRule type="cellIs" dxfId="4343" priority="137592" stopIfTrue="1" operator="equal">
      <formula>-1</formula>
    </cfRule>
  </conditionalFormatting>
  <conditionalFormatting sqref="BB24">
    <cfRule type="cellIs" dxfId="4342" priority="137593" stopIfTrue="1" operator="lessThan">
      <formula>0.5</formula>
    </cfRule>
  </conditionalFormatting>
  <conditionalFormatting sqref="BB24">
    <cfRule type="cellIs" dxfId="4341" priority="137594" stopIfTrue="1" operator="greaterThanOrEqual">
      <formula>0.5</formula>
    </cfRule>
  </conditionalFormatting>
  <conditionalFormatting sqref="BB25">
    <cfRule type="cellIs" dxfId="4340" priority="137595" stopIfTrue="1" operator="equal">
      <formula>-1</formula>
    </cfRule>
  </conditionalFormatting>
  <conditionalFormatting sqref="BB25">
    <cfRule type="cellIs" dxfId="4339" priority="137596" stopIfTrue="1" operator="lessThan">
      <formula>0.5</formula>
    </cfRule>
  </conditionalFormatting>
  <conditionalFormatting sqref="BB25">
    <cfRule type="cellIs" dxfId="4338" priority="137597" stopIfTrue="1" operator="greaterThanOrEqual">
      <formula>0.5</formula>
    </cfRule>
  </conditionalFormatting>
  <conditionalFormatting sqref="BB26">
    <cfRule type="cellIs" dxfId="4337" priority="137598" stopIfTrue="1" operator="equal">
      <formula>-1</formula>
    </cfRule>
  </conditionalFormatting>
  <conditionalFormatting sqref="BB26">
    <cfRule type="cellIs" dxfId="4336" priority="137599" stopIfTrue="1" operator="lessThan">
      <formula>0.5</formula>
    </cfRule>
  </conditionalFormatting>
  <conditionalFormatting sqref="BB26">
    <cfRule type="cellIs" dxfId="4335" priority="137600" stopIfTrue="1" operator="greaterThanOrEqual">
      <formula>0.5</formula>
    </cfRule>
  </conditionalFormatting>
  <conditionalFormatting sqref="BB27">
    <cfRule type="cellIs" dxfId="4334" priority="137601" stopIfTrue="1" operator="equal">
      <formula>-1</formula>
    </cfRule>
  </conditionalFormatting>
  <conditionalFormatting sqref="BB27">
    <cfRule type="cellIs" dxfId="4333" priority="137602" stopIfTrue="1" operator="lessThan">
      <formula>0.5</formula>
    </cfRule>
  </conditionalFormatting>
  <conditionalFormatting sqref="BB27">
    <cfRule type="cellIs" dxfId="4332" priority="137603" stopIfTrue="1" operator="greaterThanOrEqual">
      <formula>0.5</formula>
    </cfRule>
  </conditionalFormatting>
  <conditionalFormatting sqref="BB28">
    <cfRule type="cellIs" dxfId="4331" priority="137604" stopIfTrue="1" operator="equal">
      <formula>-1</formula>
    </cfRule>
  </conditionalFormatting>
  <conditionalFormatting sqref="BB28">
    <cfRule type="cellIs" dxfId="4330" priority="137605" stopIfTrue="1" operator="lessThan">
      <formula>0.5</formula>
    </cfRule>
  </conditionalFormatting>
  <conditionalFormatting sqref="BB28">
    <cfRule type="cellIs" dxfId="4329" priority="137606" stopIfTrue="1" operator="greaterThanOrEqual">
      <formula>0.5</formula>
    </cfRule>
  </conditionalFormatting>
  <conditionalFormatting sqref="BB29">
    <cfRule type="cellIs" dxfId="4328" priority="137607" stopIfTrue="1" operator="equal">
      <formula>-1</formula>
    </cfRule>
  </conditionalFormatting>
  <conditionalFormatting sqref="BB29">
    <cfRule type="cellIs" dxfId="4327" priority="137608" stopIfTrue="1" operator="lessThan">
      <formula>0.5</formula>
    </cfRule>
  </conditionalFormatting>
  <conditionalFormatting sqref="BB29">
    <cfRule type="cellIs" dxfId="4326" priority="137609" stopIfTrue="1" operator="greaterThanOrEqual">
      <formula>0.5</formula>
    </cfRule>
  </conditionalFormatting>
  <conditionalFormatting sqref="BB30">
    <cfRule type="cellIs" dxfId="4325" priority="137610" stopIfTrue="1" operator="equal">
      <formula>-1</formula>
    </cfRule>
  </conditionalFormatting>
  <conditionalFormatting sqref="BB30">
    <cfRule type="cellIs" dxfId="4324" priority="137611" stopIfTrue="1" operator="lessThan">
      <formula>0.5</formula>
    </cfRule>
  </conditionalFormatting>
  <conditionalFormatting sqref="BB30">
    <cfRule type="cellIs" dxfId="4323" priority="137612" stopIfTrue="1" operator="greaterThanOrEqual">
      <formula>0.5</formula>
    </cfRule>
  </conditionalFormatting>
  <conditionalFormatting sqref="BB31">
    <cfRule type="cellIs" dxfId="4322" priority="137613" stopIfTrue="1" operator="equal">
      <formula>-1</formula>
    </cfRule>
  </conditionalFormatting>
  <conditionalFormatting sqref="BB31">
    <cfRule type="cellIs" dxfId="4321" priority="137614" stopIfTrue="1" operator="lessThan">
      <formula>0.5</formula>
    </cfRule>
  </conditionalFormatting>
  <conditionalFormatting sqref="BB31">
    <cfRule type="cellIs" dxfId="4320" priority="137615" stopIfTrue="1" operator="greaterThanOrEqual">
      <formula>0.5</formula>
    </cfRule>
  </conditionalFormatting>
  <conditionalFormatting sqref="BB32">
    <cfRule type="cellIs" dxfId="4319" priority="137616" stopIfTrue="1" operator="equal">
      <formula>-1</formula>
    </cfRule>
  </conditionalFormatting>
  <conditionalFormatting sqref="BB32">
    <cfRule type="cellIs" dxfId="4318" priority="137617" stopIfTrue="1" operator="lessThan">
      <formula>0.5</formula>
    </cfRule>
  </conditionalFormatting>
  <conditionalFormatting sqref="BB32">
    <cfRule type="cellIs" dxfId="4317" priority="137618" stopIfTrue="1" operator="greaterThanOrEqual">
      <formula>0.5</formula>
    </cfRule>
  </conditionalFormatting>
  <conditionalFormatting sqref="BB33">
    <cfRule type="cellIs" dxfId="4316" priority="137619" stopIfTrue="1" operator="equal">
      <formula>-1</formula>
    </cfRule>
  </conditionalFormatting>
  <conditionalFormatting sqref="BB33">
    <cfRule type="cellIs" dxfId="4315" priority="137620" stopIfTrue="1" operator="lessThan">
      <formula>0.5</formula>
    </cfRule>
  </conditionalFormatting>
  <conditionalFormatting sqref="BB33">
    <cfRule type="cellIs" dxfId="4314" priority="137621" stopIfTrue="1" operator="greaterThanOrEqual">
      <formula>0.5</formula>
    </cfRule>
  </conditionalFormatting>
  <conditionalFormatting sqref="BB34">
    <cfRule type="cellIs" dxfId="4313" priority="137622" stopIfTrue="1" operator="equal">
      <formula>-1</formula>
    </cfRule>
  </conditionalFormatting>
  <conditionalFormatting sqref="BB34">
    <cfRule type="cellIs" dxfId="4312" priority="137623" stopIfTrue="1" operator="lessThan">
      <formula>0.5</formula>
    </cfRule>
  </conditionalFormatting>
  <conditionalFormatting sqref="BB34">
    <cfRule type="cellIs" dxfId="4311" priority="137624" stopIfTrue="1" operator="greaterThanOrEqual">
      <formula>0.5</formula>
    </cfRule>
  </conditionalFormatting>
  <conditionalFormatting sqref="BB35">
    <cfRule type="cellIs" dxfId="4310" priority="137625" stopIfTrue="1" operator="equal">
      <formula>-1</formula>
    </cfRule>
  </conditionalFormatting>
  <conditionalFormatting sqref="BB35">
    <cfRule type="cellIs" dxfId="4309" priority="137626" stopIfTrue="1" operator="lessThan">
      <formula>0.5</formula>
    </cfRule>
  </conditionalFormatting>
  <conditionalFormatting sqref="BB35">
    <cfRule type="cellIs" dxfId="4308" priority="137627" stopIfTrue="1" operator="greaterThanOrEqual">
      <formula>0.5</formula>
    </cfRule>
  </conditionalFormatting>
  <conditionalFormatting sqref="BB36">
    <cfRule type="cellIs" dxfId="4307" priority="137628" stopIfTrue="1" operator="equal">
      <formula>-1</formula>
    </cfRule>
  </conditionalFormatting>
  <conditionalFormatting sqref="BB36">
    <cfRule type="cellIs" dxfId="4306" priority="137629" stopIfTrue="1" operator="lessThan">
      <formula>0.5</formula>
    </cfRule>
  </conditionalFormatting>
  <conditionalFormatting sqref="BB36">
    <cfRule type="cellIs" dxfId="4305" priority="137630" stopIfTrue="1" operator="greaterThanOrEqual">
      <formula>0.5</formula>
    </cfRule>
  </conditionalFormatting>
  <conditionalFormatting sqref="BB37">
    <cfRule type="cellIs" dxfId="4304" priority="137631" stopIfTrue="1" operator="equal">
      <formula>-1</formula>
    </cfRule>
  </conditionalFormatting>
  <conditionalFormatting sqref="BB37">
    <cfRule type="cellIs" dxfId="4303" priority="137632" stopIfTrue="1" operator="lessThan">
      <formula>0.5</formula>
    </cfRule>
  </conditionalFormatting>
  <conditionalFormatting sqref="BB37">
    <cfRule type="cellIs" dxfId="4302" priority="137633" stopIfTrue="1" operator="greaterThanOrEqual">
      <formula>0.5</formula>
    </cfRule>
  </conditionalFormatting>
  <conditionalFormatting sqref="BD17">
    <cfRule type="cellIs" dxfId="4301" priority="137634" stopIfTrue="1" operator="equal">
      <formula>-1</formula>
    </cfRule>
  </conditionalFormatting>
  <conditionalFormatting sqref="BD17">
    <cfRule type="cellIs" dxfId="4300" priority="137635" stopIfTrue="1" operator="lessThan">
      <formula>0.5</formula>
    </cfRule>
  </conditionalFormatting>
  <conditionalFormatting sqref="BD17">
    <cfRule type="cellIs" dxfId="4299" priority="137636" stopIfTrue="1" operator="greaterThanOrEqual">
      <formula>0.5</formula>
    </cfRule>
  </conditionalFormatting>
  <conditionalFormatting sqref="BD18">
    <cfRule type="cellIs" dxfId="4298" priority="137637" stopIfTrue="1" operator="equal">
      <formula>-1</formula>
    </cfRule>
  </conditionalFormatting>
  <conditionalFormatting sqref="BD18">
    <cfRule type="cellIs" dxfId="4297" priority="137638" stopIfTrue="1" operator="lessThan">
      <formula>0.5</formula>
    </cfRule>
  </conditionalFormatting>
  <conditionalFormatting sqref="BD18">
    <cfRule type="cellIs" dxfId="4296" priority="137639" stopIfTrue="1" operator="greaterThanOrEqual">
      <formula>0.5</formula>
    </cfRule>
  </conditionalFormatting>
  <conditionalFormatting sqref="BD19">
    <cfRule type="cellIs" dxfId="4295" priority="137640" stopIfTrue="1" operator="equal">
      <formula>-1</formula>
    </cfRule>
  </conditionalFormatting>
  <conditionalFormatting sqref="BD19">
    <cfRule type="cellIs" dxfId="4294" priority="137641" stopIfTrue="1" operator="lessThan">
      <formula>0.5</formula>
    </cfRule>
  </conditionalFormatting>
  <conditionalFormatting sqref="BD19">
    <cfRule type="cellIs" dxfId="4293" priority="137642" stopIfTrue="1" operator="greaterThanOrEqual">
      <formula>0.5</formula>
    </cfRule>
  </conditionalFormatting>
  <conditionalFormatting sqref="BD20">
    <cfRule type="cellIs" dxfId="4292" priority="137643" stopIfTrue="1" operator="equal">
      <formula>-1</formula>
    </cfRule>
  </conditionalFormatting>
  <conditionalFormatting sqref="BD20">
    <cfRule type="cellIs" dxfId="4291" priority="137644" stopIfTrue="1" operator="lessThan">
      <formula>0.5</formula>
    </cfRule>
  </conditionalFormatting>
  <conditionalFormatting sqref="BD20">
    <cfRule type="cellIs" dxfId="4290" priority="137645" stopIfTrue="1" operator="greaterThanOrEqual">
      <formula>0.5</formula>
    </cfRule>
  </conditionalFormatting>
  <conditionalFormatting sqref="BD21">
    <cfRule type="cellIs" dxfId="4289" priority="137646" stopIfTrue="1" operator="equal">
      <formula>-1</formula>
    </cfRule>
  </conditionalFormatting>
  <conditionalFormatting sqref="BD21">
    <cfRule type="cellIs" dxfId="4288" priority="137647" stopIfTrue="1" operator="lessThan">
      <formula>0.5</formula>
    </cfRule>
  </conditionalFormatting>
  <conditionalFormatting sqref="BD21">
    <cfRule type="cellIs" dxfId="4287" priority="137648" stopIfTrue="1" operator="greaterThanOrEqual">
      <formula>0.5</formula>
    </cfRule>
  </conditionalFormatting>
  <conditionalFormatting sqref="BD22">
    <cfRule type="cellIs" dxfId="4286" priority="137649" stopIfTrue="1" operator="equal">
      <formula>-1</formula>
    </cfRule>
  </conditionalFormatting>
  <conditionalFormatting sqref="BD22">
    <cfRule type="cellIs" dxfId="4285" priority="137650" stopIfTrue="1" operator="lessThan">
      <formula>0.5</formula>
    </cfRule>
  </conditionalFormatting>
  <conditionalFormatting sqref="BD22">
    <cfRule type="cellIs" dxfId="4284" priority="137651" stopIfTrue="1" operator="greaterThanOrEqual">
      <formula>0.5</formula>
    </cfRule>
  </conditionalFormatting>
  <conditionalFormatting sqref="BD23">
    <cfRule type="cellIs" dxfId="4283" priority="137652" stopIfTrue="1" operator="equal">
      <formula>-1</formula>
    </cfRule>
  </conditionalFormatting>
  <conditionalFormatting sqref="BD23">
    <cfRule type="cellIs" dxfId="4282" priority="137653" stopIfTrue="1" operator="lessThan">
      <formula>0.5</formula>
    </cfRule>
  </conditionalFormatting>
  <conditionalFormatting sqref="BD23">
    <cfRule type="cellIs" dxfId="4281" priority="137654" stopIfTrue="1" operator="greaterThanOrEqual">
      <formula>0.5</formula>
    </cfRule>
  </conditionalFormatting>
  <conditionalFormatting sqref="BD24">
    <cfRule type="cellIs" dxfId="4280" priority="137655" stopIfTrue="1" operator="equal">
      <formula>-1</formula>
    </cfRule>
  </conditionalFormatting>
  <conditionalFormatting sqref="BD24">
    <cfRule type="cellIs" dxfId="4279" priority="137656" stopIfTrue="1" operator="lessThan">
      <formula>0.5</formula>
    </cfRule>
  </conditionalFormatting>
  <conditionalFormatting sqref="BD24">
    <cfRule type="cellIs" dxfId="4278" priority="137657" stopIfTrue="1" operator="greaterThanOrEqual">
      <formula>0.5</formula>
    </cfRule>
  </conditionalFormatting>
  <conditionalFormatting sqref="BD25">
    <cfRule type="cellIs" dxfId="4277" priority="137658" stopIfTrue="1" operator="equal">
      <formula>-1</formula>
    </cfRule>
  </conditionalFormatting>
  <conditionalFormatting sqref="BD25">
    <cfRule type="cellIs" dxfId="4276" priority="137659" stopIfTrue="1" operator="lessThan">
      <formula>0.5</formula>
    </cfRule>
  </conditionalFormatting>
  <conditionalFormatting sqref="BD25">
    <cfRule type="cellIs" dxfId="4275" priority="137660" stopIfTrue="1" operator="greaterThanOrEqual">
      <formula>0.5</formula>
    </cfRule>
  </conditionalFormatting>
  <conditionalFormatting sqref="BD26">
    <cfRule type="cellIs" dxfId="4274" priority="137661" stopIfTrue="1" operator="equal">
      <formula>-1</formula>
    </cfRule>
  </conditionalFormatting>
  <conditionalFormatting sqref="BD26">
    <cfRule type="cellIs" dxfId="4273" priority="137662" stopIfTrue="1" operator="lessThan">
      <formula>0.5</formula>
    </cfRule>
  </conditionalFormatting>
  <conditionalFormatting sqref="BD26">
    <cfRule type="cellIs" dxfId="4272" priority="137663" stopIfTrue="1" operator="greaterThanOrEqual">
      <formula>0.5</formula>
    </cfRule>
  </conditionalFormatting>
  <conditionalFormatting sqref="BD27">
    <cfRule type="cellIs" dxfId="4271" priority="137664" stopIfTrue="1" operator="equal">
      <formula>-1</formula>
    </cfRule>
  </conditionalFormatting>
  <conditionalFormatting sqref="BD27">
    <cfRule type="cellIs" dxfId="4270" priority="137665" stopIfTrue="1" operator="lessThan">
      <formula>0.5</formula>
    </cfRule>
  </conditionalFormatting>
  <conditionalFormatting sqref="BD27">
    <cfRule type="cellIs" dxfId="4269" priority="137666" stopIfTrue="1" operator="greaterThanOrEqual">
      <formula>0.5</formula>
    </cfRule>
  </conditionalFormatting>
  <conditionalFormatting sqref="BD28">
    <cfRule type="cellIs" dxfId="4268" priority="137667" stopIfTrue="1" operator="equal">
      <formula>-1</formula>
    </cfRule>
  </conditionalFormatting>
  <conditionalFormatting sqref="BD28">
    <cfRule type="cellIs" dxfId="4267" priority="137668" stopIfTrue="1" operator="lessThan">
      <formula>0.5</formula>
    </cfRule>
  </conditionalFormatting>
  <conditionalFormatting sqref="BD28">
    <cfRule type="cellIs" dxfId="4266" priority="137669" stopIfTrue="1" operator="greaterThanOrEqual">
      <formula>0.5</formula>
    </cfRule>
  </conditionalFormatting>
  <conditionalFormatting sqref="BD29">
    <cfRule type="cellIs" dxfId="4265" priority="137670" stopIfTrue="1" operator="equal">
      <formula>-1</formula>
    </cfRule>
  </conditionalFormatting>
  <conditionalFormatting sqref="BD29">
    <cfRule type="cellIs" dxfId="4264" priority="137671" stopIfTrue="1" operator="lessThan">
      <formula>0.5</formula>
    </cfRule>
  </conditionalFormatting>
  <conditionalFormatting sqref="BD29">
    <cfRule type="cellIs" dxfId="4263" priority="137672" stopIfTrue="1" operator="greaterThanOrEqual">
      <formula>0.5</formula>
    </cfRule>
  </conditionalFormatting>
  <conditionalFormatting sqref="BD30">
    <cfRule type="cellIs" dxfId="4262" priority="137673" stopIfTrue="1" operator="equal">
      <formula>-1</formula>
    </cfRule>
  </conditionalFormatting>
  <conditionalFormatting sqref="BD30">
    <cfRule type="cellIs" dxfId="4261" priority="137674" stopIfTrue="1" operator="lessThan">
      <formula>0.5</formula>
    </cfRule>
  </conditionalFormatting>
  <conditionalFormatting sqref="BD30">
    <cfRule type="cellIs" dxfId="4260" priority="137675" stopIfTrue="1" operator="greaterThanOrEqual">
      <formula>0.5</formula>
    </cfRule>
  </conditionalFormatting>
  <conditionalFormatting sqref="BD31">
    <cfRule type="cellIs" dxfId="4259" priority="137676" stopIfTrue="1" operator="equal">
      <formula>-1</formula>
    </cfRule>
  </conditionalFormatting>
  <conditionalFormatting sqref="BD31">
    <cfRule type="cellIs" dxfId="4258" priority="137677" stopIfTrue="1" operator="lessThan">
      <formula>0.5</formula>
    </cfRule>
  </conditionalFormatting>
  <conditionalFormatting sqref="BD31">
    <cfRule type="cellIs" dxfId="4257" priority="137678" stopIfTrue="1" operator="greaterThanOrEqual">
      <formula>0.5</formula>
    </cfRule>
  </conditionalFormatting>
  <conditionalFormatting sqref="BD32">
    <cfRule type="cellIs" dxfId="4256" priority="137679" stopIfTrue="1" operator="equal">
      <formula>-1</formula>
    </cfRule>
  </conditionalFormatting>
  <conditionalFormatting sqref="BD32">
    <cfRule type="cellIs" dxfId="4255" priority="137680" stopIfTrue="1" operator="lessThan">
      <formula>0.5</formula>
    </cfRule>
  </conditionalFormatting>
  <conditionalFormatting sqref="BD32">
    <cfRule type="cellIs" dxfId="4254" priority="137681" stopIfTrue="1" operator="greaterThanOrEqual">
      <formula>0.5</formula>
    </cfRule>
  </conditionalFormatting>
  <conditionalFormatting sqref="BD33">
    <cfRule type="cellIs" dxfId="4253" priority="137682" stopIfTrue="1" operator="equal">
      <formula>-1</formula>
    </cfRule>
  </conditionalFormatting>
  <conditionalFormatting sqref="BD33">
    <cfRule type="cellIs" dxfId="4252" priority="137683" stopIfTrue="1" operator="lessThan">
      <formula>0.5</formula>
    </cfRule>
  </conditionalFormatting>
  <conditionalFormatting sqref="BD33">
    <cfRule type="cellIs" dxfId="4251" priority="137684" stopIfTrue="1" operator="greaterThanOrEqual">
      <formula>0.5</formula>
    </cfRule>
  </conditionalFormatting>
  <conditionalFormatting sqref="BD34">
    <cfRule type="cellIs" dxfId="4250" priority="137685" stopIfTrue="1" operator="equal">
      <formula>-1</formula>
    </cfRule>
  </conditionalFormatting>
  <conditionalFormatting sqref="BD34">
    <cfRule type="cellIs" dxfId="4249" priority="137686" stopIfTrue="1" operator="lessThan">
      <formula>0.5</formula>
    </cfRule>
  </conditionalFormatting>
  <conditionalFormatting sqref="BD34">
    <cfRule type="cellIs" dxfId="4248" priority="137687" stopIfTrue="1" operator="greaterThanOrEqual">
      <formula>0.5</formula>
    </cfRule>
  </conditionalFormatting>
  <conditionalFormatting sqref="BD35">
    <cfRule type="cellIs" dxfId="4247" priority="137688" stopIfTrue="1" operator="equal">
      <formula>-1</formula>
    </cfRule>
  </conditionalFormatting>
  <conditionalFormatting sqref="BD35">
    <cfRule type="cellIs" dxfId="4246" priority="137689" stopIfTrue="1" operator="lessThan">
      <formula>0.5</formula>
    </cfRule>
  </conditionalFormatting>
  <conditionalFormatting sqref="BD35">
    <cfRule type="cellIs" dxfId="4245" priority="137690" stopIfTrue="1" operator="greaterThanOrEqual">
      <formula>0.5</formula>
    </cfRule>
  </conditionalFormatting>
  <conditionalFormatting sqref="BD36">
    <cfRule type="cellIs" dxfId="4244" priority="137691" stopIfTrue="1" operator="equal">
      <formula>-1</formula>
    </cfRule>
  </conditionalFormatting>
  <conditionalFormatting sqref="BD36">
    <cfRule type="cellIs" dxfId="4243" priority="137692" stopIfTrue="1" operator="lessThan">
      <formula>0.5</formula>
    </cfRule>
  </conditionalFormatting>
  <conditionalFormatting sqref="BD36">
    <cfRule type="cellIs" dxfId="4242" priority="137693" stopIfTrue="1" operator="greaterThanOrEqual">
      <formula>0.5</formula>
    </cfRule>
  </conditionalFormatting>
  <conditionalFormatting sqref="BD37">
    <cfRule type="cellIs" dxfId="4241" priority="137694" stopIfTrue="1" operator="equal">
      <formula>-1</formula>
    </cfRule>
  </conditionalFormatting>
  <conditionalFormatting sqref="BD37">
    <cfRule type="cellIs" dxfId="4240" priority="137695" stopIfTrue="1" operator="lessThan">
      <formula>0.5</formula>
    </cfRule>
  </conditionalFormatting>
  <conditionalFormatting sqref="BD37">
    <cfRule type="cellIs" dxfId="4239" priority="137696" stopIfTrue="1" operator="greaterThanOrEqual">
      <formula>0.5</formula>
    </cfRule>
  </conditionalFormatting>
  <conditionalFormatting sqref="BF17">
    <cfRule type="cellIs" dxfId="4238" priority="137697" stopIfTrue="1" operator="equal">
      <formula>-1</formula>
    </cfRule>
  </conditionalFormatting>
  <conditionalFormatting sqref="BF17">
    <cfRule type="cellIs" dxfId="4237" priority="137698" stopIfTrue="1" operator="lessThan">
      <formula>0.5</formula>
    </cfRule>
  </conditionalFormatting>
  <conditionalFormatting sqref="BF17">
    <cfRule type="cellIs" dxfId="4236" priority="137699" stopIfTrue="1" operator="greaterThanOrEqual">
      <formula>0.5</formula>
    </cfRule>
  </conditionalFormatting>
  <conditionalFormatting sqref="BF18">
    <cfRule type="cellIs" dxfId="4235" priority="137700" stopIfTrue="1" operator="equal">
      <formula>-1</formula>
    </cfRule>
  </conditionalFormatting>
  <conditionalFormatting sqref="BF18">
    <cfRule type="cellIs" dxfId="4234" priority="137701" stopIfTrue="1" operator="lessThan">
      <formula>0.5</formula>
    </cfRule>
  </conditionalFormatting>
  <conditionalFormatting sqref="BF18">
    <cfRule type="cellIs" dxfId="4233" priority="137702" stopIfTrue="1" operator="greaterThanOrEqual">
      <formula>0.5</formula>
    </cfRule>
  </conditionalFormatting>
  <conditionalFormatting sqref="BF19">
    <cfRule type="cellIs" dxfId="4232" priority="137703" stopIfTrue="1" operator="equal">
      <formula>-1</formula>
    </cfRule>
  </conditionalFormatting>
  <conditionalFormatting sqref="BF19">
    <cfRule type="cellIs" dxfId="4231" priority="137704" stopIfTrue="1" operator="lessThan">
      <formula>0.5</formula>
    </cfRule>
  </conditionalFormatting>
  <conditionalFormatting sqref="BF19">
    <cfRule type="cellIs" dxfId="4230" priority="137705" stopIfTrue="1" operator="greaterThanOrEqual">
      <formula>0.5</formula>
    </cfRule>
  </conditionalFormatting>
  <conditionalFormatting sqref="BF20">
    <cfRule type="cellIs" dxfId="4229" priority="137706" stopIfTrue="1" operator="equal">
      <formula>-1</formula>
    </cfRule>
  </conditionalFormatting>
  <conditionalFormatting sqref="BF20">
    <cfRule type="cellIs" dxfId="4228" priority="137707" stopIfTrue="1" operator="lessThan">
      <formula>0.5</formula>
    </cfRule>
  </conditionalFormatting>
  <conditionalFormatting sqref="BF20">
    <cfRule type="cellIs" dxfId="4227" priority="137708" stopIfTrue="1" operator="greaterThanOrEqual">
      <formula>0.5</formula>
    </cfRule>
  </conditionalFormatting>
  <conditionalFormatting sqref="BF21">
    <cfRule type="cellIs" dxfId="4226" priority="137709" stopIfTrue="1" operator="equal">
      <formula>-1</formula>
    </cfRule>
  </conditionalFormatting>
  <conditionalFormatting sqref="BF21">
    <cfRule type="cellIs" dxfId="4225" priority="137710" stopIfTrue="1" operator="lessThan">
      <formula>0.5</formula>
    </cfRule>
  </conditionalFormatting>
  <conditionalFormatting sqref="BF21">
    <cfRule type="cellIs" dxfId="4224" priority="137711" stopIfTrue="1" operator="greaterThanOrEqual">
      <formula>0.5</formula>
    </cfRule>
  </conditionalFormatting>
  <conditionalFormatting sqref="BF22">
    <cfRule type="cellIs" dxfId="4223" priority="137712" stopIfTrue="1" operator="equal">
      <formula>-1</formula>
    </cfRule>
  </conditionalFormatting>
  <conditionalFormatting sqref="BF22">
    <cfRule type="cellIs" dxfId="4222" priority="137713" stopIfTrue="1" operator="lessThan">
      <formula>0.5</formula>
    </cfRule>
  </conditionalFormatting>
  <conditionalFormatting sqref="BF22">
    <cfRule type="cellIs" dxfId="4221" priority="137714" stopIfTrue="1" operator="greaterThanOrEqual">
      <formula>0.5</formula>
    </cfRule>
  </conditionalFormatting>
  <conditionalFormatting sqref="BF23">
    <cfRule type="cellIs" dxfId="4220" priority="137715" stopIfTrue="1" operator="equal">
      <formula>-1</formula>
    </cfRule>
  </conditionalFormatting>
  <conditionalFormatting sqref="BF23">
    <cfRule type="cellIs" dxfId="4219" priority="137716" stopIfTrue="1" operator="lessThan">
      <formula>0.5</formula>
    </cfRule>
  </conditionalFormatting>
  <conditionalFormatting sqref="BF23">
    <cfRule type="cellIs" dxfId="4218" priority="137717" stopIfTrue="1" operator="greaterThanOrEqual">
      <formula>0.5</formula>
    </cfRule>
  </conditionalFormatting>
  <conditionalFormatting sqref="BF24">
    <cfRule type="cellIs" dxfId="4217" priority="137718" stopIfTrue="1" operator="equal">
      <formula>-1</formula>
    </cfRule>
  </conditionalFormatting>
  <conditionalFormatting sqref="BF24">
    <cfRule type="cellIs" dxfId="4216" priority="137719" stopIfTrue="1" operator="lessThan">
      <formula>0.5</formula>
    </cfRule>
  </conditionalFormatting>
  <conditionalFormatting sqref="BF24">
    <cfRule type="cellIs" dxfId="4215" priority="137720" stopIfTrue="1" operator="greaterThanOrEqual">
      <formula>0.5</formula>
    </cfRule>
  </conditionalFormatting>
  <conditionalFormatting sqref="BF25">
    <cfRule type="cellIs" dxfId="4214" priority="137721" stopIfTrue="1" operator="equal">
      <formula>-1</formula>
    </cfRule>
  </conditionalFormatting>
  <conditionalFormatting sqref="BF25">
    <cfRule type="cellIs" dxfId="4213" priority="137722" stopIfTrue="1" operator="lessThan">
      <formula>0.5</formula>
    </cfRule>
  </conditionalFormatting>
  <conditionalFormatting sqref="BF25">
    <cfRule type="cellIs" dxfId="4212" priority="137723" stopIfTrue="1" operator="greaterThanOrEqual">
      <formula>0.5</formula>
    </cfRule>
  </conditionalFormatting>
  <conditionalFormatting sqref="BF26">
    <cfRule type="cellIs" dxfId="4211" priority="137724" stopIfTrue="1" operator="equal">
      <formula>-1</formula>
    </cfRule>
  </conditionalFormatting>
  <conditionalFormatting sqref="BF26">
    <cfRule type="cellIs" dxfId="4210" priority="137725" stopIfTrue="1" operator="lessThan">
      <formula>0.5</formula>
    </cfRule>
  </conditionalFormatting>
  <conditionalFormatting sqref="BF26">
    <cfRule type="cellIs" dxfId="4209" priority="137726" stopIfTrue="1" operator="greaterThanOrEqual">
      <formula>0.5</formula>
    </cfRule>
  </conditionalFormatting>
  <conditionalFormatting sqref="BF27">
    <cfRule type="cellIs" dxfId="4208" priority="137727" stopIfTrue="1" operator="equal">
      <formula>-1</formula>
    </cfRule>
  </conditionalFormatting>
  <conditionalFormatting sqref="BF27">
    <cfRule type="cellIs" dxfId="4207" priority="137728" stopIfTrue="1" operator="lessThan">
      <formula>0.5</formula>
    </cfRule>
  </conditionalFormatting>
  <conditionalFormatting sqref="BF27">
    <cfRule type="cellIs" dxfId="4206" priority="137729" stopIfTrue="1" operator="greaterThanOrEqual">
      <formula>0.5</formula>
    </cfRule>
  </conditionalFormatting>
  <conditionalFormatting sqref="BF28">
    <cfRule type="cellIs" dxfId="4205" priority="137730" stopIfTrue="1" operator="equal">
      <formula>-1</formula>
    </cfRule>
  </conditionalFormatting>
  <conditionalFormatting sqref="BF28">
    <cfRule type="cellIs" dxfId="4204" priority="137731" stopIfTrue="1" operator="lessThan">
      <formula>0.5</formula>
    </cfRule>
  </conditionalFormatting>
  <conditionalFormatting sqref="BF28">
    <cfRule type="cellIs" dxfId="4203" priority="137732" stopIfTrue="1" operator="greaterThanOrEqual">
      <formula>0.5</formula>
    </cfRule>
  </conditionalFormatting>
  <conditionalFormatting sqref="BF29">
    <cfRule type="cellIs" dxfId="4202" priority="137733" stopIfTrue="1" operator="equal">
      <formula>-1</formula>
    </cfRule>
  </conditionalFormatting>
  <conditionalFormatting sqref="BF29">
    <cfRule type="cellIs" dxfId="4201" priority="137734" stopIfTrue="1" operator="lessThan">
      <formula>0.5</formula>
    </cfRule>
  </conditionalFormatting>
  <conditionalFormatting sqref="BF29">
    <cfRule type="cellIs" dxfId="4200" priority="137735" stopIfTrue="1" operator="greaterThanOrEqual">
      <formula>0.5</formula>
    </cfRule>
  </conditionalFormatting>
  <conditionalFormatting sqref="BF30">
    <cfRule type="cellIs" dxfId="4199" priority="137736" stopIfTrue="1" operator="equal">
      <formula>-1</formula>
    </cfRule>
  </conditionalFormatting>
  <conditionalFormatting sqref="BF30">
    <cfRule type="cellIs" dxfId="4198" priority="137737" stopIfTrue="1" operator="lessThan">
      <formula>0.5</formula>
    </cfRule>
  </conditionalFormatting>
  <conditionalFormatting sqref="BF30">
    <cfRule type="cellIs" dxfId="4197" priority="137738" stopIfTrue="1" operator="greaterThanOrEqual">
      <formula>0.5</formula>
    </cfRule>
  </conditionalFormatting>
  <conditionalFormatting sqref="BF31">
    <cfRule type="cellIs" dxfId="4196" priority="137739" stopIfTrue="1" operator="equal">
      <formula>-1</formula>
    </cfRule>
  </conditionalFormatting>
  <conditionalFormatting sqref="BF31">
    <cfRule type="cellIs" dxfId="4195" priority="137740" stopIfTrue="1" operator="lessThan">
      <formula>0.5</formula>
    </cfRule>
  </conditionalFormatting>
  <conditionalFormatting sqref="BF31">
    <cfRule type="cellIs" dxfId="4194" priority="137741" stopIfTrue="1" operator="greaterThanOrEqual">
      <formula>0.5</formula>
    </cfRule>
  </conditionalFormatting>
  <conditionalFormatting sqref="BF32">
    <cfRule type="cellIs" dxfId="4193" priority="137742" stopIfTrue="1" operator="equal">
      <formula>-1</formula>
    </cfRule>
  </conditionalFormatting>
  <conditionalFormatting sqref="BF32">
    <cfRule type="cellIs" dxfId="4192" priority="137743" stopIfTrue="1" operator="lessThan">
      <formula>0.5</formula>
    </cfRule>
  </conditionalFormatting>
  <conditionalFormatting sqref="BF32">
    <cfRule type="cellIs" dxfId="4191" priority="137744" stopIfTrue="1" operator="greaterThanOrEqual">
      <formula>0.5</formula>
    </cfRule>
  </conditionalFormatting>
  <conditionalFormatting sqref="BF33">
    <cfRule type="cellIs" dxfId="4190" priority="137745" stopIfTrue="1" operator="equal">
      <formula>-1</formula>
    </cfRule>
  </conditionalFormatting>
  <conditionalFormatting sqref="BF33">
    <cfRule type="cellIs" dxfId="4189" priority="137746" stopIfTrue="1" operator="lessThan">
      <formula>0.5</formula>
    </cfRule>
  </conditionalFormatting>
  <conditionalFormatting sqref="BF33">
    <cfRule type="cellIs" dxfId="4188" priority="137747" stopIfTrue="1" operator="greaterThanOrEqual">
      <formula>0.5</formula>
    </cfRule>
  </conditionalFormatting>
  <conditionalFormatting sqref="BF34">
    <cfRule type="cellIs" dxfId="4187" priority="137748" stopIfTrue="1" operator="equal">
      <formula>-1</formula>
    </cfRule>
  </conditionalFormatting>
  <conditionalFormatting sqref="BF34">
    <cfRule type="cellIs" dxfId="4186" priority="137749" stopIfTrue="1" operator="lessThan">
      <formula>0.5</formula>
    </cfRule>
  </conditionalFormatting>
  <conditionalFormatting sqref="BF34">
    <cfRule type="cellIs" dxfId="4185" priority="137750" stopIfTrue="1" operator="greaterThanOrEqual">
      <formula>0.5</formula>
    </cfRule>
  </conditionalFormatting>
  <conditionalFormatting sqref="BF35">
    <cfRule type="cellIs" dxfId="4184" priority="137751" stopIfTrue="1" operator="equal">
      <formula>-1</formula>
    </cfRule>
  </conditionalFormatting>
  <conditionalFormatting sqref="BF35">
    <cfRule type="cellIs" dxfId="4183" priority="137752" stopIfTrue="1" operator="lessThan">
      <formula>0.5</formula>
    </cfRule>
  </conditionalFormatting>
  <conditionalFormatting sqref="BF35">
    <cfRule type="cellIs" dxfId="4182" priority="137753" stopIfTrue="1" operator="greaterThanOrEqual">
      <formula>0.5</formula>
    </cfRule>
  </conditionalFormatting>
  <conditionalFormatting sqref="BF36">
    <cfRule type="cellIs" dxfId="4181" priority="137754" stopIfTrue="1" operator="equal">
      <formula>-1</formula>
    </cfRule>
  </conditionalFormatting>
  <conditionalFormatting sqref="BF36">
    <cfRule type="cellIs" dxfId="4180" priority="137755" stopIfTrue="1" operator="lessThan">
      <formula>0.5</formula>
    </cfRule>
  </conditionalFormatting>
  <conditionalFormatting sqref="BF36">
    <cfRule type="cellIs" dxfId="4179" priority="137756" stopIfTrue="1" operator="greaterThanOrEqual">
      <formula>0.5</formula>
    </cfRule>
  </conditionalFormatting>
  <conditionalFormatting sqref="BF37">
    <cfRule type="cellIs" dxfId="4178" priority="137757" stopIfTrue="1" operator="equal">
      <formula>-1</formula>
    </cfRule>
  </conditionalFormatting>
  <conditionalFormatting sqref="BF37">
    <cfRule type="cellIs" dxfId="4177" priority="137758" stopIfTrue="1" operator="lessThan">
      <formula>0.5</formula>
    </cfRule>
  </conditionalFormatting>
  <conditionalFormatting sqref="BF37">
    <cfRule type="cellIs" dxfId="4176" priority="137759" stopIfTrue="1" operator="greaterThanOrEqual">
      <formula>0.5</formula>
    </cfRule>
  </conditionalFormatting>
  <conditionalFormatting sqref="BH17">
    <cfRule type="cellIs" dxfId="4175" priority="137760" stopIfTrue="1" operator="equal">
      <formula>-1</formula>
    </cfRule>
  </conditionalFormatting>
  <conditionalFormatting sqref="BH17">
    <cfRule type="cellIs" dxfId="4174" priority="137761" stopIfTrue="1" operator="lessThan">
      <formula>0.5</formula>
    </cfRule>
  </conditionalFormatting>
  <conditionalFormatting sqref="BH17">
    <cfRule type="cellIs" dxfId="4173" priority="137762" stopIfTrue="1" operator="greaterThanOrEqual">
      <formula>0.5</formula>
    </cfRule>
  </conditionalFormatting>
  <conditionalFormatting sqref="BH18">
    <cfRule type="cellIs" dxfId="4172" priority="137763" stopIfTrue="1" operator="equal">
      <formula>-1</formula>
    </cfRule>
  </conditionalFormatting>
  <conditionalFormatting sqref="BH18">
    <cfRule type="cellIs" dxfId="4171" priority="137764" stopIfTrue="1" operator="lessThan">
      <formula>0.5</formula>
    </cfRule>
  </conditionalFormatting>
  <conditionalFormatting sqref="BH18">
    <cfRule type="cellIs" dxfId="4170" priority="137765" stopIfTrue="1" operator="greaterThanOrEqual">
      <formula>0.5</formula>
    </cfRule>
  </conditionalFormatting>
  <conditionalFormatting sqref="BH19">
    <cfRule type="cellIs" dxfId="4169" priority="137766" stopIfTrue="1" operator="equal">
      <formula>-1</formula>
    </cfRule>
  </conditionalFormatting>
  <conditionalFormatting sqref="BH19">
    <cfRule type="cellIs" dxfId="4168" priority="137767" stopIfTrue="1" operator="lessThan">
      <formula>0.5</formula>
    </cfRule>
  </conditionalFormatting>
  <conditionalFormatting sqref="BH19">
    <cfRule type="cellIs" dxfId="4167" priority="137768" stopIfTrue="1" operator="greaterThanOrEqual">
      <formula>0.5</formula>
    </cfRule>
  </conditionalFormatting>
  <conditionalFormatting sqref="BH20">
    <cfRule type="cellIs" dxfId="4166" priority="137769" stopIfTrue="1" operator="equal">
      <formula>-1</formula>
    </cfRule>
  </conditionalFormatting>
  <conditionalFormatting sqref="BH20">
    <cfRule type="cellIs" dxfId="4165" priority="137770" stopIfTrue="1" operator="lessThan">
      <formula>0.5</formula>
    </cfRule>
  </conditionalFormatting>
  <conditionalFormatting sqref="BH20">
    <cfRule type="cellIs" dxfId="4164" priority="137771" stopIfTrue="1" operator="greaterThanOrEqual">
      <formula>0.5</formula>
    </cfRule>
  </conditionalFormatting>
  <conditionalFormatting sqref="BH21">
    <cfRule type="cellIs" dxfId="4163" priority="137772" stopIfTrue="1" operator="equal">
      <formula>-1</formula>
    </cfRule>
  </conditionalFormatting>
  <conditionalFormatting sqref="BH21">
    <cfRule type="cellIs" dxfId="4162" priority="137773" stopIfTrue="1" operator="lessThan">
      <formula>0.5</formula>
    </cfRule>
  </conditionalFormatting>
  <conditionalFormatting sqref="BH21">
    <cfRule type="cellIs" dxfId="4161" priority="137774" stopIfTrue="1" operator="greaterThanOrEqual">
      <formula>0.5</formula>
    </cfRule>
  </conditionalFormatting>
  <conditionalFormatting sqref="BH22">
    <cfRule type="cellIs" dxfId="4160" priority="137775" stopIfTrue="1" operator="equal">
      <formula>-1</formula>
    </cfRule>
  </conditionalFormatting>
  <conditionalFormatting sqref="BH22">
    <cfRule type="cellIs" dxfId="4159" priority="137776" stopIfTrue="1" operator="lessThan">
      <formula>0.5</formula>
    </cfRule>
  </conditionalFormatting>
  <conditionalFormatting sqref="BH22">
    <cfRule type="cellIs" dxfId="4158" priority="137777" stopIfTrue="1" operator="greaterThanOrEqual">
      <formula>0.5</formula>
    </cfRule>
  </conditionalFormatting>
  <conditionalFormatting sqref="BH23">
    <cfRule type="cellIs" dxfId="4157" priority="137778" stopIfTrue="1" operator="equal">
      <formula>-1</formula>
    </cfRule>
  </conditionalFormatting>
  <conditionalFormatting sqref="BH23">
    <cfRule type="cellIs" dxfId="4156" priority="137779" stopIfTrue="1" operator="lessThan">
      <formula>0.5</formula>
    </cfRule>
  </conditionalFormatting>
  <conditionalFormatting sqref="BH23">
    <cfRule type="cellIs" dxfId="4155" priority="137780" stopIfTrue="1" operator="greaterThanOrEqual">
      <formula>0.5</formula>
    </cfRule>
  </conditionalFormatting>
  <conditionalFormatting sqref="BH24">
    <cfRule type="cellIs" dxfId="4154" priority="137781" stopIfTrue="1" operator="equal">
      <formula>-1</formula>
    </cfRule>
  </conditionalFormatting>
  <conditionalFormatting sqref="BH24">
    <cfRule type="cellIs" dxfId="4153" priority="137782" stopIfTrue="1" operator="lessThan">
      <formula>0.5</formula>
    </cfRule>
  </conditionalFormatting>
  <conditionalFormatting sqref="BH24">
    <cfRule type="cellIs" dxfId="4152" priority="137783" stopIfTrue="1" operator="greaterThanOrEqual">
      <formula>0.5</formula>
    </cfRule>
  </conditionalFormatting>
  <conditionalFormatting sqref="BH25">
    <cfRule type="cellIs" dxfId="4151" priority="137784" stopIfTrue="1" operator="equal">
      <formula>-1</formula>
    </cfRule>
  </conditionalFormatting>
  <conditionalFormatting sqref="BH25">
    <cfRule type="cellIs" dxfId="4150" priority="137785" stopIfTrue="1" operator="lessThan">
      <formula>0.5</formula>
    </cfRule>
  </conditionalFormatting>
  <conditionalFormatting sqref="BH25">
    <cfRule type="cellIs" dxfId="4149" priority="137786" stopIfTrue="1" operator="greaterThanOrEqual">
      <formula>0.5</formula>
    </cfRule>
  </conditionalFormatting>
  <conditionalFormatting sqref="BH26">
    <cfRule type="cellIs" dxfId="4148" priority="137787" stopIfTrue="1" operator="equal">
      <formula>-1</formula>
    </cfRule>
  </conditionalFormatting>
  <conditionalFormatting sqref="BH26">
    <cfRule type="cellIs" dxfId="4147" priority="137788" stopIfTrue="1" operator="lessThan">
      <formula>0.5</formula>
    </cfRule>
  </conditionalFormatting>
  <conditionalFormatting sqref="BH26">
    <cfRule type="cellIs" dxfId="4146" priority="137789" stopIfTrue="1" operator="greaterThanOrEqual">
      <formula>0.5</formula>
    </cfRule>
  </conditionalFormatting>
  <conditionalFormatting sqref="BH27">
    <cfRule type="cellIs" dxfId="4145" priority="137790" stopIfTrue="1" operator="equal">
      <formula>-1</formula>
    </cfRule>
  </conditionalFormatting>
  <conditionalFormatting sqref="BH27">
    <cfRule type="cellIs" dxfId="4144" priority="137791" stopIfTrue="1" operator="lessThan">
      <formula>0.5</formula>
    </cfRule>
  </conditionalFormatting>
  <conditionalFormatting sqref="BH27">
    <cfRule type="cellIs" dxfId="4143" priority="137792" stopIfTrue="1" operator="greaterThanOrEqual">
      <formula>0.5</formula>
    </cfRule>
  </conditionalFormatting>
  <conditionalFormatting sqref="BH28">
    <cfRule type="cellIs" dxfId="4142" priority="137793" stopIfTrue="1" operator="equal">
      <formula>-1</formula>
    </cfRule>
  </conditionalFormatting>
  <conditionalFormatting sqref="BH28">
    <cfRule type="cellIs" dxfId="4141" priority="137794" stopIfTrue="1" operator="lessThan">
      <formula>0.5</formula>
    </cfRule>
  </conditionalFormatting>
  <conditionalFormatting sqref="BH28">
    <cfRule type="cellIs" dxfId="4140" priority="137795" stopIfTrue="1" operator="greaterThanOrEqual">
      <formula>0.5</formula>
    </cfRule>
  </conditionalFormatting>
  <conditionalFormatting sqref="BH29">
    <cfRule type="cellIs" dxfId="4139" priority="137796" stopIfTrue="1" operator="equal">
      <formula>-1</formula>
    </cfRule>
  </conditionalFormatting>
  <conditionalFormatting sqref="BH29">
    <cfRule type="cellIs" dxfId="4138" priority="137797" stopIfTrue="1" operator="lessThan">
      <formula>0.5</formula>
    </cfRule>
  </conditionalFormatting>
  <conditionalFormatting sqref="BH29">
    <cfRule type="cellIs" dxfId="4137" priority="137798" stopIfTrue="1" operator="greaterThanOrEqual">
      <formula>0.5</formula>
    </cfRule>
  </conditionalFormatting>
  <conditionalFormatting sqref="BH30">
    <cfRule type="cellIs" dxfId="4136" priority="137799" stopIfTrue="1" operator="equal">
      <formula>-1</formula>
    </cfRule>
  </conditionalFormatting>
  <conditionalFormatting sqref="BH30">
    <cfRule type="cellIs" dxfId="4135" priority="137800" stopIfTrue="1" operator="lessThan">
      <formula>0.5</formula>
    </cfRule>
  </conditionalFormatting>
  <conditionalFormatting sqref="BH30">
    <cfRule type="cellIs" dxfId="4134" priority="137801" stopIfTrue="1" operator="greaterThanOrEqual">
      <formula>0.5</formula>
    </cfRule>
  </conditionalFormatting>
  <conditionalFormatting sqref="BH31">
    <cfRule type="cellIs" dxfId="4133" priority="137802" stopIfTrue="1" operator="equal">
      <formula>-1</formula>
    </cfRule>
  </conditionalFormatting>
  <conditionalFormatting sqref="BH31">
    <cfRule type="cellIs" dxfId="4132" priority="137803" stopIfTrue="1" operator="lessThan">
      <formula>0.5</formula>
    </cfRule>
  </conditionalFormatting>
  <conditionalFormatting sqref="BH31">
    <cfRule type="cellIs" dxfId="4131" priority="137804" stopIfTrue="1" operator="greaterThanOrEqual">
      <formula>0.5</formula>
    </cfRule>
  </conditionalFormatting>
  <conditionalFormatting sqref="BH32">
    <cfRule type="cellIs" dxfId="4130" priority="137805" stopIfTrue="1" operator="equal">
      <formula>-1</formula>
    </cfRule>
  </conditionalFormatting>
  <conditionalFormatting sqref="BH32">
    <cfRule type="cellIs" dxfId="4129" priority="137806" stopIfTrue="1" operator="lessThan">
      <formula>0.5</formula>
    </cfRule>
  </conditionalFormatting>
  <conditionalFormatting sqref="BH32">
    <cfRule type="cellIs" dxfId="4128" priority="137807" stopIfTrue="1" operator="greaterThanOrEqual">
      <formula>0.5</formula>
    </cfRule>
  </conditionalFormatting>
  <conditionalFormatting sqref="BH33">
    <cfRule type="cellIs" dxfId="4127" priority="137808" stopIfTrue="1" operator="equal">
      <formula>-1</formula>
    </cfRule>
  </conditionalFormatting>
  <conditionalFormatting sqref="BH33">
    <cfRule type="cellIs" dxfId="4126" priority="137809" stopIfTrue="1" operator="lessThan">
      <formula>0.5</formula>
    </cfRule>
  </conditionalFormatting>
  <conditionalFormatting sqref="BH33">
    <cfRule type="cellIs" dxfId="4125" priority="137810" stopIfTrue="1" operator="greaterThanOrEqual">
      <formula>0.5</formula>
    </cfRule>
  </conditionalFormatting>
  <conditionalFormatting sqref="BH34">
    <cfRule type="cellIs" dxfId="4124" priority="137811" stopIfTrue="1" operator="equal">
      <formula>-1</formula>
    </cfRule>
  </conditionalFormatting>
  <conditionalFormatting sqref="BH34">
    <cfRule type="cellIs" dxfId="4123" priority="137812" stopIfTrue="1" operator="lessThan">
      <formula>0.5</formula>
    </cfRule>
  </conditionalFormatting>
  <conditionalFormatting sqref="BH34">
    <cfRule type="cellIs" dxfId="4122" priority="137813" stopIfTrue="1" operator="greaterThanOrEqual">
      <formula>0.5</formula>
    </cfRule>
  </conditionalFormatting>
  <conditionalFormatting sqref="BH35">
    <cfRule type="cellIs" dxfId="4121" priority="137814" stopIfTrue="1" operator="equal">
      <formula>-1</formula>
    </cfRule>
  </conditionalFormatting>
  <conditionalFormatting sqref="BH35">
    <cfRule type="cellIs" dxfId="4120" priority="137815" stopIfTrue="1" operator="lessThan">
      <formula>0.5</formula>
    </cfRule>
  </conditionalFormatting>
  <conditionalFormatting sqref="BH35">
    <cfRule type="cellIs" dxfId="4119" priority="137816" stopIfTrue="1" operator="greaterThanOrEqual">
      <formula>0.5</formula>
    </cfRule>
  </conditionalFormatting>
  <conditionalFormatting sqref="BH36">
    <cfRule type="cellIs" dxfId="4118" priority="137817" stopIfTrue="1" operator="equal">
      <formula>-1</formula>
    </cfRule>
  </conditionalFormatting>
  <conditionalFormatting sqref="BH36">
    <cfRule type="cellIs" dxfId="4117" priority="137818" stopIfTrue="1" operator="lessThan">
      <formula>0.5</formula>
    </cfRule>
  </conditionalFormatting>
  <conditionalFormatting sqref="BH36">
    <cfRule type="cellIs" dxfId="4116" priority="137819" stopIfTrue="1" operator="greaterThanOrEqual">
      <formula>0.5</formula>
    </cfRule>
  </conditionalFormatting>
  <conditionalFormatting sqref="BH37">
    <cfRule type="cellIs" dxfId="4115" priority="137820" stopIfTrue="1" operator="equal">
      <formula>-1</formula>
    </cfRule>
  </conditionalFormatting>
  <conditionalFormatting sqref="BH37">
    <cfRule type="cellIs" dxfId="4114" priority="137821" stopIfTrue="1" operator="lessThan">
      <formula>0.5</formula>
    </cfRule>
  </conditionalFormatting>
  <conditionalFormatting sqref="BH37">
    <cfRule type="cellIs" dxfId="4113" priority="137822" stopIfTrue="1" operator="greaterThanOrEqual">
      <formula>0.5</formula>
    </cfRule>
  </conditionalFormatting>
  <conditionalFormatting sqref="BJ17">
    <cfRule type="cellIs" dxfId="4112" priority="137823" stopIfTrue="1" operator="equal">
      <formula>-1</formula>
    </cfRule>
  </conditionalFormatting>
  <conditionalFormatting sqref="BJ17">
    <cfRule type="cellIs" dxfId="4111" priority="137824" stopIfTrue="1" operator="lessThan">
      <formula>0.5</formula>
    </cfRule>
  </conditionalFormatting>
  <conditionalFormatting sqref="BJ17">
    <cfRule type="cellIs" dxfId="4110" priority="137825" stopIfTrue="1" operator="greaterThanOrEqual">
      <formula>0.5</formula>
    </cfRule>
  </conditionalFormatting>
  <conditionalFormatting sqref="BJ18">
    <cfRule type="cellIs" dxfId="4109" priority="137826" stopIfTrue="1" operator="equal">
      <formula>-1</formula>
    </cfRule>
  </conditionalFormatting>
  <conditionalFormatting sqref="BJ18">
    <cfRule type="cellIs" dxfId="4108" priority="137827" stopIfTrue="1" operator="lessThan">
      <formula>0.5</formula>
    </cfRule>
  </conditionalFormatting>
  <conditionalFormatting sqref="BJ18">
    <cfRule type="cellIs" dxfId="4107" priority="137828" stopIfTrue="1" operator="greaterThanOrEqual">
      <formula>0.5</formula>
    </cfRule>
  </conditionalFormatting>
  <conditionalFormatting sqref="BJ19">
    <cfRule type="cellIs" dxfId="4106" priority="137829" stopIfTrue="1" operator="equal">
      <formula>-1</formula>
    </cfRule>
  </conditionalFormatting>
  <conditionalFormatting sqref="BJ19">
    <cfRule type="cellIs" dxfId="4105" priority="137830" stopIfTrue="1" operator="lessThan">
      <formula>0.5</formula>
    </cfRule>
  </conditionalFormatting>
  <conditionalFormatting sqref="BJ19">
    <cfRule type="cellIs" dxfId="4104" priority="137831" stopIfTrue="1" operator="greaterThanOrEqual">
      <formula>0.5</formula>
    </cfRule>
  </conditionalFormatting>
  <conditionalFormatting sqref="BJ20">
    <cfRule type="cellIs" dxfId="4103" priority="137832" stopIfTrue="1" operator="equal">
      <formula>-1</formula>
    </cfRule>
  </conditionalFormatting>
  <conditionalFormatting sqref="BJ20">
    <cfRule type="cellIs" dxfId="4102" priority="137833" stopIfTrue="1" operator="lessThan">
      <formula>0.5</formula>
    </cfRule>
  </conditionalFormatting>
  <conditionalFormatting sqref="BJ20">
    <cfRule type="cellIs" dxfId="4101" priority="137834" stopIfTrue="1" operator="greaterThanOrEqual">
      <formula>0.5</formula>
    </cfRule>
  </conditionalFormatting>
  <conditionalFormatting sqref="BJ21">
    <cfRule type="cellIs" dxfId="4100" priority="137835" stopIfTrue="1" operator="equal">
      <formula>-1</formula>
    </cfRule>
  </conditionalFormatting>
  <conditionalFormatting sqref="BJ21">
    <cfRule type="cellIs" dxfId="4099" priority="137836" stopIfTrue="1" operator="lessThan">
      <formula>0.5</formula>
    </cfRule>
  </conditionalFormatting>
  <conditionalFormatting sqref="BJ21">
    <cfRule type="cellIs" dxfId="4098" priority="137837" stopIfTrue="1" operator="greaterThanOrEqual">
      <formula>0.5</formula>
    </cfRule>
  </conditionalFormatting>
  <conditionalFormatting sqref="BJ22">
    <cfRule type="cellIs" dxfId="4097" priority="137838" stopIfTrue="1" operator="equal">
      <formula>-1</formula>
    </cfRule>
  </conditionalFormatting>
  <conditionalFormatting sqref="BJ22">
    <cfRule type="cellIs" dxfId="4096" priority="137839" stopIfTrue="1" operator="lessThan">
      <formula>0.5</formula>
    </cfRule>
  </conditionalFormatting>
  <conditionalFormatting sqref="BJ22">
    <cfRule type="cellIs" dxfId="4095" priority="137840" stopIfTrue="1" operator="greaterThanOrEqual">
      <formula>0.5</formula>
    </cfRule>
  </conditionalFormatting>
  <conditionalFormatting sqref="BJ23">
    <cfRule type="cellIs" dxfId="4094" priority="137841" stopIfTrue="1" operator="equal">
      <formula>-1</formula>
    </cfRule>
  </conditionalFormatting>
  <conditionalFormatting sqref="BJ23">
    <cfRule type="cellIs" dxfId="4093" priority="137842" stopIfTrue="1" operator="lessThan">
      <formula>0.5</formula>
    </cfRule>
  </conditionalFormatting>
  <conditionalFormatting sqref="BJ23">
    <cfRule type="cellIs" dxfId="4092" priority="137843" stopIfTrue="1" operator="greaterThanOrEqual">
      <formula>0.5</formula>
    </cfRule>
  </conditionalFormatting>
  <conditionalFormatting sqref="BJ24">
    <cfRule type="cellIs" dxfId="4091" priority="137844" stopIfTrue="1" operator="equal">
      <formula>-1</formula>
    </cfRule>
  </conditionalFormatting>
  <conditionalFormatting sqref="BJ24">
    <cfRule type="cellIs" dxfId="4090" priority="137845" stopIfTrue="1" operator="lessThan">
      <formula>0.5</formula>
    </cfRule>
  </conditionalFormatting>
  <conditionalFormatting sqref="BJ24">
    <cfRule type="cellIs" dxfId="4089" priority="137846" stopIfTrue="1" operator="greaterThanOrEqual">
      <formula>0.5</formula>
    </cfRule>
  </conditionalFormatting>
  <conditionalFormatting sqref="BJ25">
    <cfRule type="cellIs" dxfId="4088" priority="137847" stopIfTrue="1" operator="equal">
      <formula>-1</formula>
    </cfRule>
  </conditionalFormatting>
  <conditionalFormatting sqref="BJ25">
    <cfRule type="cellIs" dxfId="4087" priority="137848" stopIfTrue="1" operator="lessThan">
      <formula>0.5</formula>
    </cfRule>
  </conditionalFormatting>
  <conditionalFormatting sqref="BJ25">
    <cfRule type="cellIs" dxfId="4086" priority="137849" stopIfTrue="1" operator="greaterThanOrEqual">
      <formula>0.5</formula>
    </cfRule>
  </conditionalFormatting>
  <conditionalFormatting sqref="BJ26">
    <cfRule type="cellIs" dxfId="4085" priority="137850" stopIfTrue="1" operator="equal">
      <formula>-1</formula>
    </cfRule>
  </conditionalFormatting>
  <conditionalFormatting sqref="BJ26">
    <cfRule type="cellIs" dxfId="4084" priority="137851" stopIfTrue="1" operator="lessThan">
      <formula>0.5</formula>
    </cfRule>
  </conditionalFormatting>
  <conditionalFormatting sqref="BJ26">
    <cfRule type="cellIs" dxfId="4083" priority="137852" stopIfTrue="1" operator="greaterThanOrEqual">
      <formula>0.5</formula>
    </cfRule>
  </conditionalFormatting>
  <conditionalFormatting sqref="BJ27">
    <cfRule type="cellIs" dxfId="4082" priority="137853" stopIfTrue="1" operator="equal">
      <formula>-1</formula>
    </cfRule>
  </conditionalFormatting>
  <conditionalFormatting sqref="BJ27">
    <cfRule type="cellIs" dxfId="4081" priority="137854" stopIfTrue="1" operator="lessThan">
      <formula>0.5</formula>
    </cfRule>
  </conditionalFormatting>
  <conditionalFormatting sqref="BJ27">
    <cfRule type="cellIs" dxfId="4080" priority="137855" stopIfTrue="1" operator="greaterThanOrEqual">
      <formula>0.5</formula>
    </cfRule>
  </conditionalFormatting>
  <conditionalFormatting sqref="BJ28">
    <cfRule type="cellIs" dxfId="4079" priority="137856" stopIfTrue="1" operator="equal">
      <formula>-1</formula>
    </cfRule>
  </conditionalFormatting>
  <conditionalFormatting sqref="BJ28">
    <cfRule type="cellIs" dxfId="4078" priority="137857" stopIfTrue="1" operator="lessThan">
      <formula>0.5</formula>
    </cfRule>
  </conditionalFormatting>
  <conditionalFormatting sqref="BJ28">
    <cfRule type="cellIs" dxfId="4077" priority="137858" stopIfTrue="1" operator="greaterThanOrEqual">
      <formula>0.5</formula>
    </cfRule>
  </conditionalFormatting>
  <conditionalFormatting sqref="BJ29">
    <cfRule type="cellIs" dxfId="4076" priority="137859" stopIfTrue="1" operator="equal">
      <formula>-1</formula>
    </cfRule>
  </conditionalFormatting>
  <conditionalFormatting sqref="BJ29">
    <cfRule type="cellIs" dxfId="4075" priority="137860" stopIfTrue="1" operator="lessThan">
      <formula>0.5</formula>
    </cfRule>
  </conditionalFormatting>
  <conditionalFormatting sqref="BJ29">
    <cfRule type="cellIs" dxfId="4074" priority="137861" stopIfTrue="1" operator="greaterThanOrEqual">
      <formula>0.5</formula>
    </cfRule>
  </conditionalFormatting>
  <conditionalFormatting sqref="BJ30">
    <cfRule type="cellIs" dxfId="4073" priority="137862" stopIfTrue="1" operator="equal">
      <formula>-1</formula>
    </cfRule>
  </conditionalFormatting>
  <conditionalFormatting sqref="BJ30">
    <cfRule type="cellIs" dxfId="4072" priority="137863" stopIfTrue="1" operator="lessThan">
      <formula>0.5</formula>
    </cfRule>
  </conditionalFormatting>
  <conditionalFormatting sqref="BJ30">
    <cfRule type="cellIs" dxfId="4071" priority="137864" stopIfTrue="1" operator="greaterThanOrEqual">
      <formula>0.5</formula>
    </cfRule>
  </conditionalFormatting>
  <conditionalFormatting sqref="BJ31">
    <cfRule type="cellIs" dxfId="4070" priority="137865" stopIfTrue="1" operator="equal">
      <formula>-1</formula>
    </cfRule>
  </conditionalFormatting>
  <conditionalFormatting sqref="BJ31">
    <cfRule type="cellIs" dxfId="4069" priority="137866" stopIfTrue="1" operator="lessThan">
      <formula>0.5</formula>
    </cfRule>
  </conditionalFormatting>
  <conditionalFormatting sqref="BJ31">
    <cfRule type="cellIs" dxfId="4068" priority="137867" stopIfTrue="1" operator="greaterThanOrEqual">
      <formula>0.5</formula>
    </cfRule>
  </conditionalFormatting>
  <conditionalFormatting sqref="BJ32">
    <cfRule type="cellIs" dxfId="4067" priority="137868" stopIfTrue="1" operator="equal">
      <formula>-1</formula>
    </cfRule>
  </conditionalFormatting>
  <conditionalFormatting sqref="BJ32">
    <cfRule type="cellIs" dxfId="4066" priority="137869" stopIfTrue="1" operator="lessThan">
      <formula>0.5</formula>
    </cfRule>
  </conditionalFormatting>
  <conditionalFormatting sqref="BJ32">
    <cfRule type="cellIs" dxfId="4065" priority="137870" stopIfTrue="1" operator="greaterThanOrEqual">
      <formula>0.5</formula>
    </cfRule>
  </conditionalFormatting>
  <conditionalFormatting sqref="BJ33">
    <cfRule type="cellIs" dxfId="4064" priority="137871" stopIfTrue="1" operator="equal">
      <formula>-1</formula>
    </cfRule>
  </conditionalFormatting>
  <conditionalFormatting sqref="BJ33">
    <cfRule type="cellIs" dxfId="4063" priority="137872" stopIfTrue="1" operator="lessThan">
      <formula>0.5</formula>
    </cfRule>
  </conditionalFormatting>
  <conditionalFormatting sqref="BJ33">
    <cfRule type="cellIs" dxfId="4062" priority="137873" stopIfTrue="1" operator="greaterThanOrEqual">
      <formula>0.5</formula>
    </cfRule>
  </conditionalFormatting>
  <conditionalFormatting sqref="BJ34">
    <cfRule type="cellIs" dxfId="4061" priority="137874" stopIfTrue="1" operator="equal">
      <formula>-1</formula>
    </cfRule>
  </conditionalFormatting>
  <conditionalFormatting sqref="BJ34">
    <cfRule type="cellIs" dxfId="4060" priority="137875" stopIfTrue="1" operator="lessThan">
      <formula>0.5</formula>
    </cfRule>
  </conditionalFormatting>
  <conditionalFormatting sqref="BJ34">
    <cfRule type="cellIs" dxfId="4059" priority="137876" stopIfTrue="1" operator="greaterThanOrEqual">
      <formula>0.5</formula>
    </cfRule>
  </conditionalFormatting>
  <conditionalFormatting sqref="BJ35">
    <cfRule type="cellIs" dxfId="4058" priority="137877" stopIfTrue="1" operator="equal">
      <formula>-1</formula>
    </cfRule>
  </conditionalFormatting>
  <conditionalFormatting sqref="BJ35">
    <cfRule type="cellIs" dxfId="4057" priority="137878" stopIfTrue="1" operator="lessThan">
      <formula>0.5</formula>
    </cfRule>
  </conditionalFormatting>
  <conditionalFormatting sqref="BJ35">
    <cfRule type="cellIs" dxfId="4056" priority="137879" stopIfTrue="1" operator="greaterThanOrEqual">
      <formula>0.5</formula>
    </cfRule>
  </conditionalFormatting>
  <conditionalFormatting sqref="BJ36">
    <cfRule type="cellIs" dxfId="4055" priority="137880" stopIfTrue="1" operator="equal">
      <formula>-1</formula>
    </cfRule>
  </conditionalFormatting>
  <conditionalFormatting sqref="BJ36">
    <cfRule type="cellIs" dxfId="4054" priority="137881" stopIfTrue="1" operator="lessThan">
      <formula>0.5</formula>
    </cfRule>
  </conditionalFormatting>
  <conditionalFormatting sqref="BJ36">
    <cfRule type="cellIs" dxfId="4053" priority="137882" stopIfTrue="1" operator="greaterThanOrEqual">
      <formula>0.5</formula>
    </cfRule>
  </conditionalFormatting>
  <conditionalFormatting sqref="BJ37">
    <cfRule type="cellIs" dxfId="4052" priority="137883" stopIfTrue="1" operator="equal">
      <formula>-1</formula>
    </cfRule>
  </conditionalFormatting>
  <conditionalFormatting sqref="BJ37">
    <cfRule type="cellIs" dxfId="4051" priority="137884" stopIfTrue="1" operator="lessThan">
      <formula>0.5</formula>
    </cfRule>
  </conditionalFormatting>
  <conditionalFormatting sqref="BJ37">
    <cfRule type="cellIs" dxfId="4050" priority="137885" stopIfTrue="1" operator="greaterThanOrEqual">
      <formula>0.5</formula>
    </cfRule>
  </conditionalFormatting>
  <conditionalFormatting sqref="D39">
    <cfRule type="cellIs" dxfId="4049" priority="137886" stopIfTrue="1" operator="equal">
      <formula>-1</formula>
    </cfRule>
  </conditionalFormatting>
  <conditionalFormatting sqref="D39">
    <cfRule type="cellIs" dxfId="4048" priority="137887" stopIfTrue="1" operator="lessThan">
      <formula>0.5</formula>
    </cfRule>
  </conditionalFormatting>
  <conditionalFormatting sqref="D39">
    <cfRule type="cellIs" dxfId="4047" priority="137888" stopIfTrue="1" operator="greaterThanOrEqual">
      <formula>0.5</formula>
    </cfRule>
  </conditionalFormatting>
  <conditionalFormatting sqref="D40">
    <cfRule type="cellIs" dxfId="4046" priority="137889" stopIfTrue="1" operator="equal">
      <formula>-1</formula>
    </cfRule>
  </conditionalFormatting>
  <conditionalFormatting sqref="D40">
    <cfRule type="cellIs" dxfId="4045" priority="137890" stopIfTrue="1" operator="lessThan">
      <formula>0.5</formula>
    </cfRule>
  </conditionalFormatting>
  <conditionalFormatting sqref="D40">
    <cfRule type="cellIs" dxfId="4044" priority="137891" stopIfTrue="1" operator="greaterThanOrEqual">
      <formula>0.5</formula>
    </cfRule>
  </conditionalFormatting>
  <conditionalFormatting sqref="D41">
    <cfRule type="cellIs" dxfId="4043" priority="137892" stopIfTrue="1" operator="equal">
      <formula>-1</formula>
    </cfRule>
  </conditionalFormatting>
  <conditionalFormatting sqref="D41">
    <cfRule type="cellIs" dxfId="4042" priority="137893" stopIfTrue="1" operator="lessThan">
      <formula>0.5</formula>
    </cfRule>
  </conditionalFormatting>
  <conditionalFormatting sqref="D41">
    <cfRule type="cellIs" dxfId="4041" priority="137894" stopIfTrue="1" operator="greaterThanOrEqual">
      <formula>0.5</formula>
    </cfRule>
  </conditionalFormatting>
  <conditionalFormatting sqref="D42">
    <cfRule type="cellIs" dxfId="4040" priority="137895" stopIfTrue="1" operator="equal">
      <formula>-1</formula>
    </cfRule>
  </conditionalFormatting>
  <conditionalFormatting sqref="D42">
    <cfRule type="cellIs" dxfId="4039" priority="137896" stopIfTrue="1" operator="lessThan">
      <formula>0.5</formula>
    </cfRule>
  </conditionalFormatting>
  <conditionalFormatting sqref="D42">
    <cfRule type="cellIs" dxfId="4038" priority="137897" stopIfTrue="1" operator="greaterThanOrEqual">
      <formula>0.5</formula>
    </cfRule>
  </conditionalFormatting>
  <conditionalFormatting sqref="D43">
    <cfRule type="cellIs" dxfId="4037" priority="137898" stopIfTrue="1" operator="equal">
      <formula>-1</formula>
    </cfRule>
  </conditionalFormatting>
  <conditionalFormatting sqref="D43">
    <cfRule type="cellIs" dxfId="4036" priority="137899" stopIfTrue="1" operator="lessThan">
      <formula>0.5</formula>
    </cfRule>
  </conditionalFormatting>
  <conditionalFormatting sqref="D43">
    <cfRule type="cellIs" dxfId="4035" priority="137900" stopIfTrue="1" operator="greaterThanOrEqual">
      <formula>0.5</formula>
    </cfRule>
  </conditionalFormatting>
  <conditionalFormatting sqref="D44">
    <cfRule type="cellIs" dxfId="4034" priority="137901" stopIfTrue="1" operator="equal">
      <formula>-1</formula>
    </cfRule>
  </conditionalFormatting>
  <conditionalFormatting sqref="D44">
    <cfRule type="cellIs" dxfId="4033" priority="137902" stopIfTrue="1" operator="lessThan">
      <formula>0.5</formula>
    </cfRule>
  </conditionalFormatting>
  <conditionalFormatting sqref="D44">
    <cfRule type="cellIs" dxfId="4032" priority="137903" stopIfTrue="1" operator="greaterThanOrEqual">
      <formula>0.5</formula>
    </cfRule>
  </conditionalFormatting>
  <conditionalFormatting sqref="D45">
    <cfRule type="cellIs" dxfId="4031" priority="137904" stopIfTrue="1" operator="equal">
      <formula>-1</formula>
    </cfRule>
  </conditionalFormatting>
  <conditionalFormatting sqref="D45">
    <cfRule type="cellIs" dxfId="4030" priority="137905" stopIfTrue="1" operator="lessThan">
      <formula>0.5</formula>
    </cfRule>
  </conditionalFormatting>
  <conditionalFormatting sqref="D45">
    <cfRule type="cellIs" dxfId="4029" priority="137906" stopIfTrue="1" operator="greaterThanOrEqual">
      <formula>0.5</formula>
    </cfRule>
  </conditionalFormatting>
  <conditionalFormatting sqref="D46">
    <cfRule type="cellIs" dxfId="4028" priority="137907" stopIfTrue="1" operator="equal">
      <formula>-1</formula>
    </cfRule>
  </conditionalFormatting>
  <conditionalFormatting sqref="D46">
    <cfRule type="cellIs" dxfId="4027" priority="137908" stopIfTrue="1" operator="lessThan">
      <formula>0.5</formula>
    </cfRule>
  </conditionalFormatting>
  <conditionalFormatting sqref="D46">
    <cfRule type="cellIs" dxfId="4026" priority="137909" stopIfTrue="1" operator="greaterThanOrEqual">
      <formula>0.5</formula>
    </cfRule>
  </conditionalFormatting>
  <conditionalFormatting sqref="D47">
    <cfRule type="cellIs" dxfId="4025" priority="137910" stopIfTrue="1" operator="equal">
      <formula>-1</formula>
    </cfRule>
  </conditionalFormatting>
  <conditionalFormatting sqref="D47">
    <cfRule type="cellIs" dxfId="4024" priority="137911" stopIfTrue="1" operator="lessThan">
      <formula>0.5</formula>
    </cfRule>
  </conditionalFormatting>
  <conditionalFormatting sqref="D47">
    <cfRule type="cellIs" dxfId="4023" priority="137912" stopIfTrue="1" operator="greaterThanOrEqual">
      <formula>0.5</formula>
    </cfRule>
  </conditionalFormatting>
  <conditionalFormatting sqref="D48">
    <cfRule type="cellIs" dxfId="4022" priority="137913" stopIfTrue="1" operator="equal">
      <formula>-1</formula>
    </cfRule>
  </conditionalFormatting>
  <conditionalFormatting sqref="D48">
    <cfRule type="cellIs" dxfId="4021" priority="137914" stopIfTrue="1" operator="lessThan">
      <formula>0.5</formula>
    </cfRule>
  </conditionalFormatting>
  <conditionalFormatting sqref="D48">
    <cfRule type="cellIs" dxfId="4020" priority="137915" stopIfTrue="1" operator="greaterThanOrEqual">
      <formula>0.5</formula>
    </cfRule>
  </conditionalFormatting>
  <conditionalFormatting sqref="D49">
    <cfRule type="cellIs" dxfId="4019" priority="137916" stopIfTrue="1" operator="equal">
      <formula>-1</formula>
    </cfRule>
  </conditionalFormatting>
  <conditionalFormatting sqref="D49">
    <cfRule type="cellIs" dxfId="4018" priority="137917" stopIfTrue="1" operator="lessThan">
      <formula>0.5</formula>
    </cfRule>
  </conditionalFormatting>
  <conditionalFormatting sqref="D49">
    <cfRule type="cellIs" dxfId="4017" priority="137918" stopIfTrue="1" operator="greaterThanOrEqual">
      <formula>0.5</formula>
    </cfRule>
  </conditionalFormatting>
  <conditionalFormatting sqref="D50">
    <cfRule type="cellIs" dxfId="4016" priority="137919" stopIfTrue="1" operator="equal">
      <formula>-1</formula>
    </cfRule>
  </conditionalFormatting>
  <conditionalFormatting sqref="D50">
    <cfRule type="cellIs" dxfId="4015" priority="137920" stopIfTrue="1" operator="lessThan">
      <formula>0.5</formula>
    </cfRule>
  </conditionalFormatting>
  <conditionalFormatting sqref="D50">
    <cfRule type="cellIs" dxfId="4014" priority="137921" stopIfTrue="1" operator="greaterThanOrEqual">
      <formula>0.5</formula>
    </cfRule>
  </conditionalFormatting>
  <conditionalFormatting sqref="D51">
    <cfRule type="cellIs" dxfId="4013" priority="137922" stopIfTrue="1" operator="equal">
      <formula>-1</formula>
    </cfRule>
  </conditionalFormatting>
  <conditionalFormatting sqref="D51">
    <cfRule type="cellIs" dxfId="4012" priority="137923" stopIfTrue="1" operator="lessThan">
      <formula>0.5</formula>
    </cfRule>
  </conditionalFormatting>
  <conditionalFormatting sqref="D51">
    <cfRule type="cellIs" dxfId="4011" priority="137924" stopIfTrue="1" operator="greaterThanOrEqual">
      <formula>0.5</formula>
    </cfRule>
  </conditionalFormatting>
  <conditionalFormatting sqref="D52">
    <cfRule type="cellIs" dxfId="4010" priority="137925" stopIfTrue="1" operator="equal">
      <formula>-1</formula>
    </cfRule>
  </conditionalFormatting>
  <conditionalFormatting sqref="D52">
    <cfRule type="cellIs" dxfId="4009" priority="137926" stopIfTrue="1" operator="lessThan">
      <formula>0.5</formula>
    </cfRule>
  </conditionalFormatting>
  <conditionalFormatting sqref="D52">
    <cfRule type="cellIs" dxfId="4008" priority="137927" stopIfTrue="1" operator="greaterThanOrEqual">
      <formula>0.5</formula>
    </cfRule>
  </conditionalFormatting>
  <conditionalFormatting sqref="D53">
    <cfRule type="cellIs" dxfId="4007" priority="137928" stopIfTrue="1" operator="equal">
      <formula>-1</formula>
    </cfRule>
  </conditionalFormatting>
  <conditionalFormatting sqref="D53">
    <cfRule type="cellIs" dxfId="4006" priority="137929" stopIfTrue="1" operator="lessThan">
      <formula>0.5</formula>
    </cfRule>
  </conditionalFormatting>
  <conditionalFormatting sqref="D53">
    <cfRule type="cellIs" dxfId="4005" priority="137930" stopIfTrue="1" operator="greaterThanOrEqual">
      <formula>0.5</formula>
    </cfRule>
  </conditionalFormatting>
  <conditionalFormatting sqref="D54">
    <cfRule type="cellIs" dxfId="4004" priority="137931" stopIfTrue="1" operator="equal">
      <formula>-1</formula>
    </cfRule>
  </conditionalFormatting>
  <conditionalFormatting sqref="D54">
    <cfRule type="cellIs" dxfId="4003" priority="137932" stopIfTrue="1" operator="lessThan">
      <formula>0.5</formula>
    </cfRule>
  </conditionalFormatting>
  <conditionalFormatting sqref="D54">
    <cfRule type="cellIs" dxfId="4002" priority="137933" stopIfTrue="1" operator="greaterThanOrEqual">
      <formula>0.5</formula>
    </cfRule>
  </conditionalFormatting>
  <conditionalFormatting sqref="D55">
    <cfRule type="cellIs" dxfId="4001" priority="137934" stopIfTrue="1" operator="equal">
      <formula>-1</formula>
    </cfRule>
  </conditionalFormatting>
  <conditionalFormatting sqref="D55">
    <cfRule type="cellIs" dxfId="4000" priority="137935" stopIfTrue="1" operator="lessThan">
      <formula>0.5</formula>
    </cfRule>
  </conditionalFormatting>
  <conditionalFormatting sqref="D55">
    <cfRule type="cellIs" dxfId="3999" priority="137936" stopIfTrue="1" operator="greaterThanOrEqual">
      <formula>0.5</formula>
    </cfRule>
  </conditionalFormatting>
  <conditionalFormatting sqref="D56">
    <cfRule type="cellIs" dxfId="3998" priority="137937" stopIfTrue="1" operator="equal">
      <formula>-1</formula>
    </cfRule>
  </conditionalFormatting>
  <conditionalFormatting sqref="D56">
    <cfRule type="cellIs" dxfId="3997" priority="137938" stopIfTrue="1" operator="lessThan">
      <formula>0.5</formula>
    </cfRule>
  </conditionalFormatting>
  <conditionalFormatting sqref="D56">
    <cfRule type="cellIs" dxfId="3996" priority="137939" stopIfTrue="1" operator="greaterThanOrEqual">
      <formula>0.5</formula>
    </cfRule>
  </conditionalFormatting>
  <conditionalFormatting sqref="D57">
    <cfRule type="cellIs" dxfId="3995" priority="137940" stopIfTrue="1" operator="equal">
      <formula>-1</formula>
    </cfRule>
  </conditionalFormatting>
  <conditionalFormatting sqref="D57">
    <cfRule type="cellIs" dxfId="3994" priority="137941" stopIfTrue="1" operator="lessThan">
      <formula>0.5</formula>
    </cfRule>
  </conditionalFormatting>
  <conditionalFormatting sqref="D57">
    <cfRule type="cellIs" dxfId="3993" priority="137942" stopIfTrue="1" operator="greaterThanOrEqual">
      <formula>0.5</formula>
    </cfRule>
  </conditionalFormatting>
  <conditionalFormatting sqref="D58">
    <cfRule type="cellIs" dxfId="3992" priority="137943" stopIfTrue="1" operator="equal">
      <formula>-1</formula>
    </cfRule>
  </conditionalFormatting>
  <conditionalFormatting sqref="D58">
    <cfRule type="cellIs" dxfId="3991" priority="137944" stopIfTrue="1" operator="lessThan">
      <formula>0.5</formula>
    </cfRule>
  </conditionalFormatting>
  <conditionalFormatting sqref="D58">
    <cfRule type="cellIs" dxfId="3990" priority="137945" stopIfTrue="1" operator="greaterThanOrEqual">
      <formula>0.5</formula>
    </cfRule>
  </conditionalFormatting>
  <conditionalFormatting sqref="F39">
    <cfRule type="cellIs" dxfId="3989" priority="137946" stopIfTrue="1" operator="equal">
      <formula>-1</formula>
    </cfRule>
  </conditionalFormatting>
  <conditionalFormatting sqref="F39">
    <cfRule type="cellIs" dxfId="3988" priority="137947" stopIfTrue="1" operator="lessThan">
      <formula>0.5</formula>
    </cfRule>
  </conditionalFormatting>
  <conditionalFormatting sqref="F39">
    <cfRule type="cellIs" dxfId="3987" priority="137948" stopIfTrue="1" operator="greaterThanOrEqual">
      <formula>0.5</formula>
    </cfRule>
  </conditionalFormatting>
  <conditionalFormatting sqref="F40">
    <cfRule type="cellIs" dxfId="3986" priority="137949" stopIfTrue="1" operator="equal">
      <formula>-1</formula>
    </cfRule>
  </conditionalFormatting>
  <conditionalFormatting sqref="F40">
    <cfRule type="cellIs" dxfId="3985" priority="137950" stopIfTrue="1" operator="lessThan">
      <formula>0.5</formula>
    </cfRule>
  </conditionalFormatting>
  <conditionalFormatting sqref="F40">
    <cfRule type="cellIs" dxfId="3984" priority="137951" stopIfTrue="1" operator="greaterThanOrEqual">
      <formula>0.5</formula>
    </cfRule>
  </conditionalFormatting>
  <conditionalFormatting sqref="F41">
    <cfRule type="cellIs" dxfId="3983" priority="137952" stopIfTrue="1" operator="equal">
      <formula>-1</formula>
    </cfRule>
  </conditionalFormatting>
  <conditionalFormatting sqref="F41">
    <cfRule type="cellIs" dxfId="3982" priority="137953" stopIfTrue="1" operator="lessThan">
      <formula>0.5</formula>
    </cfRule>
  </conditionalFormatting>
  <conditionalFormatting sqref="F41">
    <cfRule type="cellIs" dxfId="3981" priority="137954" stopIfTrue="1" operator="greaterThanOrEqual">
      <formula>0.5</formula>
    </cfRule>
  </conditionalFormatting>
  <conditionalFormatting sqref="F42">
    <cfRule type="cellIs" dxfId="3980" priority="137955" stopIfTrue="1" operator="equal">
      <formula>-1</formula>
    </cfRule>
  </conditionalFormatting>
  <conditionalFormatting sqref="F42">
    <cfRule type="cellIs" dxfId="3979" priority="137956" stopIfTrue="1" operator="lessThan">
      <formula>0.5</formula>
    </cfRule>
  </conditionalFormatting>
  <conditionalFormatting sqref="F42">
    <cfRule type="cellIs" dxfId="3978" priority="137957" stopIfTrue="1" operator="greaterThanOrEqual">
      <formula>0.5</formula>
    </cfRule>
  </conditionalFormatting>
  <conditionalFormatting sqref="F43">
    <cfRule type="cellIs" dxfId="3977" priority="137958" stopIfTrue="1" operator="equal">
      <formula>-1</formula>
    </cfRule>
  </conditionalFormatting>
  <conditionalFormatting sqref="F43">
    <cfRule type="cellIs" dxfId="3976" priority="137959" stopIfTrue="1" operator="lessThan">
      <formula>0.5</formula>
    </cfRule>
  </conditionalFormatting>
  <conditionalFormatting sqref="F43">
    <cfRule type="cellIs" dxfId="3975" priority="137960" stopIfTrue="1" operator="greaterThanOrEqual">
      <formula>0.5</formula>
    </cfRule>
  </conditionalFormatting>
  <conditionalFormatting sqref="F44">
    <cfRule type="cellIs" dxfId="3974" priority="137961" stopIfTrue="1" operator="equal">
      <formula>-1</formula>
    </cfRule>
  </conditionalFormatting>
  <conditionalFormatting sqref="F44">
    <cfRule type="cellIs" dxfId="3973" priority="137962" stopIfTrue="1" operator="lessThan">
      <formula>0.5</formula>
    </cfRule>
  </conditionalFormatting>
  <conditionalFormatting sqref="F44">
    <cfRule type="cellIs" dxfId="3972" priority="137963" stopIfTrue="1" operator="greaterThanOrEqual">
      <formula>0.5</formula>
    </cfRule>
  </conditionalFormatting>
  <conditionalFormatting sqref="F45">
    <cfRule type="cellIs" dxfId="3971" priority="137964" stopIfTrue="1" operator="equal">
      <formula>-1</formula>
    </cfRule>
  </conditionalFormatting>
  <conditionalFormatting sqref="F45">
    <cfRule type="cellIs" dxfId="3970" priority="137965" stopIfTrue="1" operator="lessThan">
      <formula>0.5</formula>
    </cfRule>
  </conditionalFormatting>
  <conditionalFormatting sqref="F45">
    <cfRule type="cellIs" dxfId="3969" priority="137966" stopIfTrue="1" operator="greaterThanOrEqual">
      <formula>0.5</formula>
    </cfRule>
  </conditionalFormatting>
  <conditionalFormatting sqref="F46">
    <cfRule type="cellIs" dxfId="3968" priority="137967" stopIfTrue="1" operator="equal">
      <formula>-1</formula>
    </cfRule>
  </conditionalFormatting>
  <conditionalFormatting sqref="F46">
    <cfRule type="cellIs" dxfId="3967" priority="137968" stopIfTrue="1" operator="lessThan">
      <formula>0.5</formula>
    </cfRule>
  </conditionalFormatting>
  <conditionalFormatting sqref="F46">
    <cfRule type="cellIs" dxfId="3966" priority="137969" stopIfTrue="1" operator="greaterThanOrEqual">
      <formula>0.5</formula>
    </cfRule>
  </conditionalFormatting>
  <conditionalFormatting sqref="F47">
    <cfRule type="cellIs" dxfId="3965" priority="137970" stopIfTrue="1" operator="equal">
      <formula>-1</formula>
    </cfRule>
  </conditionalFormatting>
  <conditionalFormatting sqref="F47">
    <cfRule type="cellIs" dxfId="3964" priority="137971" stopIfTrue="1" operator="lessThan">
      <formula>0.5</formula>
    </cfRule>
  </conditionalFormatting>
  <conditionalFormatting sqref="F47">
    <cfRule type="cellIs" dxfId="3963" priority="137972" stopIfTrue="1" operator="greaterThanOrEqual">
      <formula>0.5</formula>
    </cfRule>
  </conditionalFormatting>
  <conditionalFormatting sqref="F48">
    <cfRule type="cellIs" dxfId="3962" priority="137973" stopIfTrue="1" operator="equal">
      <formula>-1</formula>
    </cfRule>
  </conditionalFormatting>
  <conditionalFormatting sqref="F48">
    <cfRule type="cellIs" dxfId="3961" priority="137974" stopIfTrue="1" operator="lessThan">
      <formula>0.5</formula>
    </cfRule>
  </conditionalFormatting>
  <conditionalFormatting sqref="F48">
    <cfRule type="cellIs" dxfId="3960" priority="137975" stopIfTrue="1" operator="greaterThanOrEqual">
      <formula>0.5</formula>
    </cfRule>
  </conditionalFormatting>
  <conditionalFormatting sqref="F49">
    <cfRule type="cellIs" dxfId="3959" priority="137976" stopIfTrue="1" operator="equal">
      <formula>-1</formula>
    </cfRule>
  </conditionalFormatting>
  <conditionalFormatting sqref="F49">
    <cfRule type="cellIs" dxfId="3958" priority="137977" stopIfTrue="1" operator="lessThan">
      <formula>0.5</formula>
    </cfRule>
  </conditionalFormatting>
  <conditionalFormatting sqref="F49">
    <cfRule type="cellIs" dxfId="3957" priority="137978" stopIfTrue="1" operator="greaterThanOrEqual">
      <formula>0.5</formula>
    </cfRule>
  </conditionalFormatting>
  <conditionalFormatting sqref="F50">
    <cfRule type="cellIs" dxfId="3956" priority="137979" stopIfTrue="1" operator="equal">
      <formula>-1</formula>
    </cfRule>
  </conditionalFormatting>
  <conditionalFormatting sqref="F50">
    <cfRule type="cellIs" dxfId="3955" priority="137980" stopIfTrue="1" operator="lessThan">
      <formula>0.5</formula>
    </cfRule>
  </conditionalFormatting>
  <conditionalFormatting sqref="F50">
    <cfRule type="cellIs" dxfId="3954" priority="137981" stopIfTrue="1" operator="greaterThanOrEqual">
      <formula>0.5</formula>
    </cfRule>
  </conditionalFormatting>
  <conditionalFormatting sqref="F51">
    <cfRule type="cellIs" dxfId="3953" priority="137982" stopIfTrue="1" operator="equal">
      <formula>-1</formula>
    </cfRule>
  </conditionalFormatting>
  <conditionalFormatting sqref="F51">
    <cfRule type="cellIs" dxfId="3952" priority="137983" stopIfTrue="1" operator="lessThan">
      <formula>0.5</formula>
    </cfRule>
  </conditionalFormatting>
  <conditionalFormatting sqref="F51">
    <cfRule type="cellIs" dxfId="3951" priority="137984" stopIfTrue="1" operator="greaterThanOrEqual">
      <formula>0.5</formula>
    </cfRule>
  </conditionalFormatting>
  <conditionalFormatting sqref="F52">
    <cfRule type="cellIs" dxfId="3950" priority="137985" stopIfTrue="1" operator="equal">
      <formula>-1</formula>
    </cfRule>
  </conditionalFormatting>
  <conditionalFormatting sqref="F52">
    <cfRule type="cellIs" dxfId="3949" priority="137986" stopIfTrue="1" operator="lessThan">
      <formula>0.5</formula>
    </cfRule>
  </conditionalFormatting>
  <conditionalFormatting sqref="F52">
    <cfRule type="cellIs" dxfId="3948" priority="137987" stopIfTrue="1" operator="greaterThanOrEqual">
      <formula>0.5</formula>
    </cfRule>
  </conditionalFormatting>
  <conditionalFormatting sqref="F53">
    <cfRule type="cellIs" dxfId="3947" priority="137988" stopIfTrue="1" operator="equal">
      <formula>-1</formula>
    </cfRule>
  </conditionalFormatting>
  <conditionalFormatting sqref="F53">
    <cfRule type="cellIs" dxfId="3946" priority="137989" stopIfTrue="1" operator="lessThan">
      <formula>0.5</formula>
    </cfRule>
  </conditionalFormatting>
  <conditionalFormatting sqref="F53">
    <cfRule type="cellIs" dxfId="3945" priority="137990" stopIfTrue="1" operator="greaterThanOrEqual">
      <formula>0.5</formula>
    </cfRule>
  </conditionalFormatting>
  <conditionalFormatting sqref="F54">
    <cfRule type="cellIs" dxfId="3944" priority="137991" stopIfTrue="1" operator="equal">
      <formula>-1</formula>
    </cfRule>
  </conditionalFormatting>
  <conditionalFormatting sqref="F54">
    <cfRule type="cellIs" dxfId="3943" priority="137992" stopIfTrue="1" operator="lessThan">
      <formula>0.5</formula>
    </cfRule>
  </conditionalFormatting>
  <conditionalFormatting sqref="F54">
    <cfRule type="cellIs" dxfId="3942" priority="137993" stopIfTrue="1" operator="greaterThanOrEqual">
      <formula>0.5</formula>
    </cfRule>
  </conditionalFormatting>
  <conditionalFormatting sqref="F55">
    <cfRule type="cellIs" dxfId="3941" priority="137994" stopIfTrue="1" operator="equal">
      <formula>-1</formula>
    </cfRule>
  </conditionalFormatting>
  <conditionalFormatting sqref="F55">
    <cfRule type="cellIs" dxfId="3940" priority="137995" stopIfTrue="1" operator="lessThan">
      <formula>0.5</formula>
    </cfRule>
  </conditionalFormatting>
  <conditionalFormatting sqref="F55">
    <cfRule type="cellIs" dxfId="3939" priority="137996" stopIfTrue="1" operator="greaterThanOrEqual">
      <formula>0.5</formula>
    </cfRule>
  </conditionalFormatting>
  <conditionalFormatting sqref="F56">
    <cfRule type="cellIs" dxfId="3938" priority="137997" stopIfTrue="1" operator="equal">
      <formula>-1</formula>
    </cfRule>
  </conditionalFormatting>
  <conditionalFormatting sqref="F56">
    <cfRule type="cellIs" dxfId="3937" priority="137998" stopIfTrue="1" operator="lessThan">
      <formula>0.5</formula>
    </cfRule>
  </conditionalFormatting>
  <conditionalFormatting sqref="F56">
    <cfRule type="cellIs" dxfId="3936" priority="137999" stopIfTrue="1" operator="greaterThanOrEqual">
      <formula>0.5</formula>
    </cfRule>
  </conditionalFormatting>
  <conditionalFormatting sqref="F57">
    <cfRule type="cellIs" dxfId="3935" priority="138000" stopIfTrue="1" operator="equal">
      <formula>-1</formula>
    </cfRule>
  </conditionalFormatting>
  <conditionalFormatting sqref="F57">
    <cfRule type="cellIs" dxfId="3934" priority="138001" stopIfTrue="1" operator="lessThan">
      <formula>0.5</formula>
    </cfRule>
  </conditionalFormatting>
  <conditionalFormatting sqref="F57">
    <cfRule type="cellIs" dxfId="3933" priority="138002" stopIfTrue="1" operator="greaterThanOrEqual">
      <formula>0.5</formula>
    </cfRule>
  </conditionalFormatting>
  <conditionalFormatting sqref="F58">
    <cfRule type="cellIs" dxfId="3932" priority="138003" stopIfTrue="1" operator="equal">
      <formula>-1</formula>
    </cfRule>
  </conditionalFormatting>
  <conditionalFormatting sqref="F58">
    <cfRule type="cellIs" dxfId="3931" priority="138004" stopIfTrue="1" operator="lessThan">
      <formula>0.5</formula>
    </cfRule>
  </conditionalFormatting>
  <conditionalFormatting sqref="F58">
    <cfRule type="cellIs" dxfId="3930" priority="138005" stopIfTrue="1" operator="greaterThanOrEqual">
      <formula>0.5</formula>
    </cfRule>
  </conditionalFormatting>
  <conditionalFormatting sqref="H39">
    <cfRule type="cellIs" dxfId="3929" priority="138006" stopIfTrue="1" operator="equal">
      <formula>-1</formula>
    </cfRule>
  </conditionalFormatting>
  <conditionalFormatting sqref="H39">
    <cfRule type="cellIs" dxfId="3928" priority="138007" stopIfTrue="1" operator="lessThan">
      <formula>0.5</formula>
    </cfRule>
  </conditionalFormatting>
  <conditionalFormatting sqref="H39">
    <cfRule type="cellIs" dxfId="3927" priority="138008" stopIfTrue="1" operator="greaterThanOrEqual">
      <formula>0.5</formula>
    </cfRule>
  </conditionalFormatting>
  <conditionalFormatting sqref="H40">
    <cfRule type="cellIs" dxfId="3926" priority="138009" stopIfTrue="1" operator="equal">
      <formula>-1</formula>
    </cfRule>
  </conditionalFormatting>
  <conditionalFormatting sqref="H40">
    <cfRule type="cellIs" dxfId="3925" priority="138010" stopIfTrue="1" operator="lessThan">
      <formula>0.5</formula>
    </cfRule>
  </conditionalFormatting>
  <conditionalFormatting sqref="H40">
    <cfRule type="cellIs" dxfId="3924" priority="138011" stopIfTrue="1" operator="greaterThanOrEqual">
      <formula>0.5</formula>
    </cfRule>
  </conditionalFormatting>
  <conditionalFormatting sqref="H41">
    <cfRule type="cellIs" dxfId="3923" priority="138012" stopIfTrue="1" operator="equal">
      <formula>-1</formula>
    </cfRule>
  </conditionalFormatting>
  <conditionalFormatting sqref="H41">
    <cfRule type="cellIs" dxfId="3922" priority="138013" stopIfTrue="1" operator="lessThan">
      <formula>0.5</formula>
    </cfRule>
  </conditionalFormatting>
  <conditionalFormatting sqref="H41">
    <cfRule type="cellIs" dxfId="3921" priority="138014" stopIfTrue="1" operator="greaterThanOrEqual">
      <formula>0.5</formula>
    </cfRule>
  </conditionalFormatting>
  <conditionalFormatting sqref="H42">
    <cfRule type="cellIs" dxfId="3920" priority="138015" stopIfTrue="1" operator="equal">
      <formula>-1</formula>
    </cfRule>
  </conditionalFormatting>
  <conditionalFormatting sqref="H42">
    <cfRule type="cellIs" dxfId="3919" priority="138016" stopIfTrue="1" operator="lessThan">
      <formula>0.5</formula>
    </cfRule>
  </conditionalFormatting>
  <conditionalFormatting sqref="H42">
    <cfRule type="cellIs" dxfId="3918" priority="138017" stopIfTrue="1" operator="greaterThanOrEqual">
      <formula>0.5</formula>
    </cfRule>
  </conditionalFormatting>
  <conditionalFormatting sqref="H43">
    <cfRule type="cellIs" dxfId="3917" priority="138018" stopIfTrue="1" operator="equal">
      <formula>-1</formula>
    </cfRule>
  </conditionalFormatting>
  <conditionalFormatting sqref="H43">
    <cfRule type="cellIs" dxfId="3916" priority="138019" stopIfTrue="1" operator="lessThan">
      <formula>0.5</formula>
    </cfRule>
  </conditionalFormatting>
  <conditionalFormatting sqref="H43">
    <cfRule type="cellIs" dxfId="3915" priority="138020" stopIfTrue="1" operator="greaterThanOrEqual">
      <formula>0.5</formula>
    </cfRule>
  </conditionalFormatting>
  <conditionalFormatting sqref="H44">
    <cfRule type="cellIs" dxfId="3914" priority="138021" stopIfTrue="1" operator="equal">
      <formula>-1</formula>
    </cfRule>
  </conditionalFormatting>
  <conditionalFormatting sqref="H44">
    <cfRule type="cellIs" dxfId="3913" priority="138022" stopIfTrue="1" operator="lessThan">
      <formula>0.5</formula>
    </cfRule>
  </conditionalFormatting>
  <conditionalFormatting sqref="H44">
    <cfRule type="cellIs" dxfId="3912" priority="138023" stopIfTrue="1" operator="greaterThanOrEqual">
      <formula>0.5</formula>
    </cfRule>
  </conditionalFormatting>
  <conditionalFormatting sqref="H45">
    <cfRule type="cellIs" dxfId="3911" priority="138024" stopIfTrue="1" operator="equal">
      <formula>-1</formula>
    </cfRule>
  </conditionalFormatting>
  <conditionalFormatting sqref="H45">
    <cfRule type="cellIs" dxfId="3910" priority="138025" stopIfTrue="1" operator="lessThan">
      <formula>0.5</formula>
    </cfRule>
  </conditionalFormatting>
  <conditionalFormatting sqref="H45">
    <cfRule type="cellIs" dxfId="3909" priority="138026" stopIfTrue="1" operator="greaterThanOrEqual">
      <formula>0.5</formula>
    </cfRule>
  </conditionalFormatting>
  <conditionalFormatting sqref="H46">
    <cfRule type="cellIs" dxfId="3908" priority="138027" stopIfTrue="1" operator="equal">
      <formula>-1</formula>
    </cfRule>
  </conditionalFormatting>
  <conditionalFormatting sqref="H46">
    <cfRule type="cellIs" dxfId="3907" priority="138028" stopIfTrue="1" operator="lessThan">
      <formula>0.5</formula>
    </cfRule>
  </conditionalFormatting>
  <conditionalFormatting sqref="H46">
    <cfRule type="cellIs" dxfId="3906" priority="138029" stopIfTrue="1" operator="greaterThanOrEqual">
      <formula>0.5</formula>
    </cfRule>
  </conditionalFormatting>
  <conditionalFormatting sqref="H47">
    <cfRule type="cellIs" dxfId="3905" priority="138030" stopIfTrue="1" operator="equal">
      <formula>-1</formula>
    </cfRule>
  </conditionalFormatting>
  <conditionalFormatting sqref="H47">
    <cfRule type="cellIs" dxfId="3904" priority="138031" stopIfTrue="1" operator="lessThan">
      <formula>0.5</formula>
    </cfRule>
  </conditionalFormatting>
  <conditionalFormatting sqref="H47">
    <cfRule type="cellIs" dxfId="3903" priority="138032" stopIfTrue="1" operator="greaterThanOrEqual">
      <formula>0.5</formula>
    </cfRule>
  </conditionalFormatting>
  <conditionalFormatting sqref="H48">
    <cfRule type="cellIs" dxfId="3902" priority="138033" stopIfTrue="1" operator="equal">
      <formula>-1</formula>
    </cfRule>
  </conditionalFormatting>
  <conditionalFormatting sqref="H48">
    <cfRule type="cellIs" dxfId="3901" priority="138034" stopIfTrue="1" operator="lessThan">
      <formula>0.5</formula>
    </cfRule>
  </conditionalFormatting>
  <conditionalFormatting sqref="H48">
    <cfRule type="cellIs" dxfId="3900" priority="138035" stopIfTrue="1" operator="greaterThanOrEqual">
      <formula>0.5</formula>
    </cfRule>
  </conditionalFormatting>
  <conditionalFormatting sqref="H49">
    <cfRule type="cellIs" dxfId="3899" priority="138036" stopIfTrue="1" operator="equal">
      <formula>-1</formula>
    </cfRule>
  </conditionalFormatting>
  <conditionalFormatting sqref="H49">
    <cfRule type="cellIs" dxfId="3898" priority="138037" stopIfTrue="1" operator="lessThan">
      <formula>0.5</formula>
    </cfRule>
  </conditionalFormatting>
  <conditionalFormatting sqref="H49">
    <cfRule type="cellIs" dxfId="3897" priority="138038" stopIfTrue="1" operator="greaterThanOrEqual">
      <formula>0.5</formula>
    </cfRule>
  </conditionalFormatting>
  <conditionalFormatting sqref="H50">
    <cfRule type="cellIs" dxfId="3896" priority="138039" stopIfTrue="1" operator="equal">
      <formula>-1</formula>
    </cfRule>
  </conditionalFormatting>
  <conditionalFormatting sqref="H50">
    <cfRule type="cellIs" dxfId="3895" priority="138040" stopIfTrue="1" operator="lessThan">
      <formula>0.5</formula>
    </cfRule>
  </conditionalFormatting>
  <conditionalFormatting sqref="H50">
    <cfRule type="cellIs" dxfId="3894" priority="138041" stopIfTrue="1" operator="greaterThanOrEqual">
      <formula>0.5</formula>
    </cfRule>
  </conditionalFormatting>
  <conditionalFormatting sqref="H51">
    <cfRule type="cellIs" dxfId="3893" priority="138042" stopIfTrue="1" operator="equal">
      <formula>-1</formula>
    </cfRule>
  </conditionalFormatting>
  <conditionalFormatting sqref="H51">
    <cfRule type="cellIs" dxfId="3892" priority="138043" stopIfTrue="1" operator="lessThan">
      <formula>0.5</formula>
    </cfRule>
  </conditionalFormatting>
  <conditionalFormatting sqref="H51">
    <cfRule type="cellIs" dxfId="3891" priority="138044" stopIfTrue="1" operator="greaterThanOrEqual">
      <formula>0.5</formula>
    </cfRule>
  </conditionalFormatting>
  <conditionalFormatting sqref="H52">
    <cfRule type="cellIs" dxfId="3890" priority="138045" stopIfTrue="1" operator="equal">
      <formula>-1</formula>
    </cfRule>
  </conditionalFormatting>
  <conditionalFormatting sqref="H52">
    <cfRule type="cellIs" dxfId="3889" priority="138046" stopIfTrue="1" operator="lessThan">
      <formula>0.5</formula>
    </cfRule>
  </conditionalFormatting>
  <conditionalFormatting sqref="H52">
    <cfRule type="cellIs" dxfId="3888" priority="138047" stopIfTrue="1" operator="greaterThanOrEqual">
      <formula>0.5</formula>
    </cfRule>
  </conditionalFormatting>
  <conditionalFormatting sqref="H53">
    <cfRule type="cellIs" dxfId="3887" priority="138048" stopIfTrue="1" operator="equal">
      <formula>-1</formula>
    </cfRule>
  </conditionalFormatting>
  <conditionalFormatting sqref="H53">
    <cfRule type="cellIs" dxfId="3886" priority="138049" stopIfTrue="1" operator="lessThan">
      <formula>0.5</formula>
    </cfRule>
  </conditionalFormatting>
  <conditionalFormatting sqref="H53">
    <cfRule type="cellIs" dxfId="3885" priority="138050" stopIfTrue="1" operator="greaterThanOrEqual">
      <formula>0.5</formula>
    </cfRule>
  </conditionalFormatting>
  <conditionalFormatting sqref="H54">
    <cfRule type="cellIs" dxfId="3884" priority="138051" stopIfTrue="1" operator="equal">
      <formula>-1</formula>
    </cfRule>
  </conditionalFormatting>
  <conditionalFormatting sqref="H54">
    <cfRule type="cellIs" dxfId="3883" priority="138052" stopIfTrue="1" operator="lessThan">
      <formula>0.5</formula>
    </cfRule>
  </conditionalFormatting>
  <conditionalFormatting sqref="H54">
    <cfRule type="cellIs" dxfId="3882" priority="138053" stopIfTrue="1" operator="greaterThanOrEqual">
      <formula>0.5</formula>
    </cfRule>
  </conditionalFormatting>
  <conditionalFormatting sqref="H55">
    <cfRule type="cellIs" dxfId="3881" priority="138054" stopIfTrue="1" operator="equal">
      <formula>-1</formula>
    </cfRule>
  </conditionalFormatting>
  <conditionalFormatting sqref="H55">
    <cfRule type="cellIs" dxfId="3880" priority="138055" stopIfTrue="1" operator="lessThan">
      <formula>0.5</formula>
    </cfRule>
  </conditionalFormatting>
  <conditionalFormatting sqref="H55">
    <cfRule type="cellIs" dxfId="3879" priority="138056" stopIfTrue="1" operator="greaterThanOrEqual">
      <formula>0.5</formula>
    </cfRule>
  </conditionalFormatting>
  <conditionalFormatting sqref="H56">
    <cfRule type="cellIs" dxfId="3878" priority="138057" stopIfTrue="1" operator="equal">
      <formula>-1</formula>
    </cfRule>
  </conditionalFormatting>
  <conditionalFormatting sqref="H56">
    <cfRule type="cellIs" dxfId="3877" priority="138058" stopIfTrue="1" operator="lessThan">
      <formula>0.5</formula>
    </cfRule>
  </conditionalFormatting>
  <conditionalFormatting sqref="H56">
    <cfRule type="cellIs" dxfId="3876" priority="138059" stopIfTrue="1" operator="greaterThanOrEqual">
      <formula>0.5</formula>
    </cfRule>
  </conditionalFormatting>
  <conditionalFormatting sqref="H57">
    <cfRule type="cellIs" dxfId="3875" priority="138060" stopIfTrue="1" operator="equal">
      <formula>-1</formula>
    </cfRule>
  </conditionalFormatting>
  <conditionalFormatting sqref="H57">
    <cfRule type="cellIs" dxfId="3874" priority="138061" stopIfTrue="1" operator="lessThan">
      <formula>0.5</formula>
    </cfRule>
  </conditionalFormatting>
  <conditionalFormatting sqref="H57">
    <cfRule type="cellIs" dxfId="3873" priority="138062" stopIfTrue="1" operator="greaterThanOrEqual">
      <formula>0.5</formula>
    </cfRule>
  </conditionalFormatting>
  <conditionalFormatting sqref="H58">
    <cfRule type="cellIs" dxfId="3872" priority="138063" stopIfTrue="1" operator="equal">
      <formula>-1</formula>
    </cfRule>
  </conditionalFormatting>
  <conditionalFormatting sqref="H58">
    <cfRule type="cellIs" dxfId="3871" priority="138064" stopIfTrue="1" operator="lessThan">
      <formula>0.5</formula>
    </cfRule>
  </conditionalFormatting>
  <conditionalFormatting sqref="H58">
    <cfRule type="cellIs" dxfId="3870" priority="138065" stopIfTrue="1" operator="greaterThanOrEqual">
      <formula>0.5</formula>
    </cfRule>
  </conditionalFormatting>
  <conditionalFormatting sqref="J39">
    <cfRule type="cellIs" dxfId="3869" priority="138066" stopIfTrue="1" operator="equal">
      <formula>-1</formula>
    </cfRule>
  </conditionalFormatting>
  <conditionalFormatting sqref="J39">
    <cfRule type="cellIs" dxfId="3868" priority="138067" stopIfTrue="1" operator="lessThan">
      <formula>0.5</formula>
    </cfRule>
  </conditionalFormatting>
  <conditionalFormatting sqref="J39">
    <cfRule type="cellIs" dxfId="3867" priority="138068" stopIfTrue="1" operator="greaterThanOrEqual">
      <formula>0.5</formula>
    </cfRule>
  </conditionalFormatting>
  <conditionalFormatting sqref="J40">
    <cfRule type="cellIs" dxfId="3866" priority="138069" stopIfTrue="1" operator="equal">
      <formula>-1</formula>
    </cfRule>
  </conditionalFormatting>
  <conditionalFormatting sqref="J40">
    <cfRule type="cellIs" dxfId="3865" priority="138070" stopIfTrue="1" operator="lessThan">
      <formula>0.5</formula>
    </cfRule>
  </conditionalFormatting>
  <conditionalFormatting sqref="J40">
    <cfRule type="cellIs" dxfId="3864" priority="138071" stopIfTrue="1" operator="greaterThanOrEqual">
      <formula>0.5</formula>
    </cfRule>
  </conditionalFormatting>
  <conditionalFormatting sqref="J41">
    <cfRule type="cellIs" dxfId="3863" priority="138072" stopIfTrue="1" operator="equal">
      <formula>-1</formula>
    </cfRule>
  </conditionalFormatting>
  <conditionalFormatting sqref="J41">
    <cfRule type="cellIs" dxfId="3862" priority="138073" stopIfTrue="1" operator="lessThan">
      <formula>0.5</formula>
    </cfRule>
  </conditionalFormatting>
  <conditionalFormatting sqref="J41">
    <cfRule type="cellIs" dxfId="3861" priority="138074" stopIfTrue="1" operator="greaterThanOrEqual">
      <formula>0.5</formula>
    </cfRule>
  </conditionalFormatting>
  <conditionalFormatting sqref="J42">
    <cfRule type="cellIs" dxfId="3860" priority="138075" stopIfTrue="1" operator="equal">
      <formula>-1</formula>
    </cfRule>
  </conditionalFormatting>
  <conditionalFormatting sqref="J42">
    <cfRule type="cellIs" dxfId="3859" priority="138076" stopIfTrue="1" operator="lessThan">
      <formula>0.5</formula>
    </cfRule>
  </conditionalFormatting>
  <conditionalFormatting sqref="J42">
    <cfRule type="cellIs" dxfId="3858" priority="138077" stopIfTrue="1" operator="greaterThanOrEqual">
      <formula>0.5</formula>
    </cfRule>
  </conditionalFormatting>
  <conditionalFormatting sqref="J43">
    <cfRule type="cellIs" dxfId="3857" priority="138078" stopIfTrue="1" operator="equal">
      <formula>-1</formula>
    </cfRule>
  </conditionalFormatting>
  <conditionalFormatting sqref="J43">
    <cfRule type="cellIs" dxfId="3856" priority="138079" stopIfTrue="1" operator="lessThan">
      <formula>0.5</formula>
    </cfRule>
  </conditionalFormatting>
  <conditionalFormatting sqref="J43">
    <cfRule type="cellIs" dxfId="3855" priority="138080" stopIfTrue="1" operator="greaterThanOrEqual">
      <formula>0.5</formula>
    </cfRule>
  </conditionalFormatting>
  <conditionalFormatting sqref="J44">
    <cfRule type="cellIs" dxfId="3854" priority="138081" stopIfTrue="1" operator="equal">
      <formula>-1</formula>
    </cfRule>
  </conditionalFormatting>
  <conditionalFormatting sqref="J44">
    <cfRule type="cellIs" dxfId="3853" priority="138082" stopIfTrue="1" operator="lessThan">
      <formula>0.5</formula>
    </cfRule>
  </conditionalFormatting>
  <conditionalFormatting sqref="J44">
    <cfRule type="cellIs" dxfId="3852" priority="138083" stopIfTrue="1" operator="greaterThanOrEqual">
      <formula>0.5</formula>
    </cfRule>
  </conditionalFormatting>
  <conditionalFormatting sqref="J45">
    <cfRule type="cellIs" dxfId="3851" priority="138084" stopIfTrue="1" operator="equal">
      <formula>-1</formula>
    </cfRule>
  </conditionalFormatting>
  <conditionalFormatting sqref="J45">
    <cfRule type="cellIs" dxfId="3850" priority="138085" stopIfTrue="1" operator="lessThan">
      <formula>0.5</formula>
    </cfRule>
  </conditionalFormatting>
  <conditionalFormatting sqref="J45">
    <cfRule type="cellIs" dxfId="3849" priority="138086" stopIfTrue="1" operator="greaterThanOrEqual">
      <formula>0.5</formula>
    </cfRule>
  </conditionalFormatting>
  <conditionalFormatting sqref="J46">
    <cfRule type="cellIs" dxfId="3848" priority="138087" stopIfTrue="1" operator="equal">
      <formula>-1</formula>
    </cfRule>
  </conditionalFormatting>
  <conditionalFormatting sqref="J46">
    <cfRule type="cellIs" dxfId="3847" priority="138088" stopIfTrue="1" operator="lessThan">
      <formula>0.5</formula>
    </cfRule>
  </conditionalFormatting>
  <conditionalFormatting sqref="J46">
    <cfRule type="cellIs" dxfId="3846" priority="138089" stopIfTrue="1" operator="greaterThanOrEqual">
      <formula>0.5</formula>
    </cfRule>
  </conditionalFormatting>
  <conditionalFormatting sqref="J47">
    <cfRule type="cellIs" dxfId="3845" priority="138090" stopIfTrue="1" operator="equal">
      <formula>-1</formula>
    </cfRule>
  </conditionalFormatting>
  <conditionalFormatting sqref="J47">
    <cfRule type="cellIs" dxfId="3844" priority="138091" stopIfTrue="1" operator="lessThan">
      <formula>0.5</formula>
    </cfRule>
  </conditionalFormatting>
  <conditionalFormatting sqref="J47">
    <cfRule type="cellIs" dxfId="3843" priority="138092" stopIfTrue="1" operator="greaterThanOrEqual">
      <formula>0.5</formula>
    </cfRule>
  </conditionalFormatting>
  <conditionalFormatting sqref="J48">
    <cfRule type="cellIs" dxfId="3842" priority="138093" stopIfTrue="1" operator="equal">
      <formula>-1</formula>
    </cfRule>
  </conditionalFormatting>
  <conditionalFormatting sqref="J48">
    <cfRule type="cellIs" dxfId="3841" priority="138094" stopIfTrue="1" operator="lessThan">
      <formula>0.5</formula>
    </cfRule>
  </conditionalFormatting>
  <conditionalFormatting sqref="J48">
    <cfRule type="cellIs" dxfId="3840" priority="138095" stopIfTrue="1" operator="greaterThanOrEqual">
      <formula>0.5</formula>
    </cfRule>
  </conditionalFormatting>
  <conditionalFormatting sqref="J49">
    <cfRule type="cellIs" dxfId="3839" priority="138096" stopIfTrue="1" operator="equal">
      <formula>-1</formula>
    </cfRule>
  </conditionalFormatting>
  <conditionalFormatting sqref="J49">
    <cfRule type="cellIs" dxfId="3838" priority="138097" stopIfTrue="1" operator="lessThan">
      <formula>0.5</formula>
    </cfRule>
  </conditionalFormatting>
  <conditionalFormatting sqref="J49">
    <cfRule type="cellIs" dxfId="3837" priority="138098" stopIfTrue="1" operator="greaterThanOrEqual">
      <formula>0.5</formula>
    </cfRule>
  </conditionalFormatting>
  <conditionalFormatting sqref="J50">
    <cfRule type="cellIs" dxfId="3836" priority="138099" stopIfTrue="1" operator="equal">
      <formula>-1</formula>
    </cfRule>
  </conditionalFormatting>
  <conditionalFormatting sqref="J50">
    <cfRule type="cellIs" dxfId="3835" priority="138100" stopIfTrue="1" operator="lessThan">
      <formula>0.5</formula>
    </cfRule>
  </conditionalFormatting>
  <conditionalFormatting sqref="J50">
    <cfRule type="cellIs" dxfId="3834" priority="138101" stopIfTrue="1" operator="greaterThanOrEqual">
      <formula>0.5</formula>
    </cfRule>
  </conditionalFormatting>
  <conditionalFormatting sqref="J51">
    <cfRule type="cellIs" dxfId="3833" priority="138102" stopIfTrue="1" operator="equal">
      <formula>-1</formula>
    </cfRule>
  </conditionalFormatting>
  <conditionalFormatting sqref="J51">
    <cfRule type="cellIs" dxfId="3832" priority="138103" stopIfTrue="1" operator="lessThan">
      <formula>0.5</formula>
    </cfRule>
  </conditionalFormatting>
  <conditionalFormatting sqref="J51">
    <cfRule type="cellIs" dxfId="3831" priority="138104" stopIfTrue="1" operator="greaterThanOrEqual">
      <formula>0.5</formula>
    </cfRule>
  </conditionalFormatting>
  <conditionalFormatting sqref="J52">
    <cfRule type="cellIs" dxfId="3830" priority="138105" stopIfTrue="1" operator="equal">
      <formula>-1</formula>
    </cfRule>
  </conditionalFormatting>
  <conditionalFormatting sqref="J52">
    <cfRule type="cellIs" dxfId="3829" priority="138106" stopIfTrue="1" operator="lessThan">
      <formula>0.5</formula>
    </cfRule>
  </conditionalFormatting>
  <conditionalFormatting sqref="J52">
    <cfRule type="cellIs" dxfId="3828" priority="138107" stopIfTrue="1" operator="greaterThanOrEqual">
      <formula>0.5</formula>
    </cfRule>
  </conditionalFormatting>
  <conditionalFormatting sqref="J53">
    <cfRule type="cellIs" dxfId="3827" priority="138108" stopIfTrue="1" operator="equal">
      <formula>-1</formula>
    </cfRule>
  </conditionalFormatting>
  <conditionalFormatting sqref="J53">
    <cfRule type="cellIs" dxfId="3826" priority="138109" stopIfTrue="1" operator="lessThan">
      <formula>0.5</formula>
    </cfRule>
  </conditionalFormatting>
  <conditionalFormatting sqref="J53">
    <cfRule type="cellIs" dxfId="3825" priority="138110" stopIfTrue="1" operator="greaterThanOrEqual">
      <formula>0.5</formula>
    </cfRule>
  </conditionalFormatting>
  <conditionalFormatting sqref="J54">
    <cfRule type="cellIs" dxfId="3824" priority="138111" stopIfTrue="1" operator="equal">
      <formula>-1</formula>
    </cfRule>
  </conditionalFormatting>
  <conditionalFormatting sqref="J54">
    <cfRule type="cellIs" dxfId="3823" priority="138112" stopIfTrue="1" operator="lessThan">
      <formula>0.5</formula>
    </cfRule>
  </conditionalFormatting>
  <conditionalFormatting sqref="J54">
    <cfRule type="cellIs" dxfId="3822" priority="138113" stopIfTrue="1" operator="greaterThanOrEqual">
      <formula>0.5</formula>
    </cfRule>
  </conditionalFormatting>
  <conditionalFormatting sqref="J55">
    <cfRule type="cellIs" dxfId="3821" priority="138114" stopIfTrue="1" operator="equal">
      <formula>-1</formula>
    </cfRule>
  </conditionalFormatting>
  <conditionalFormatting sqref="J55">
    <cfRule type="cellIs" dxfId="3820" priority="138115" stopIfTrue="1" operator="lessThan">
      <formula>0.5</formula>
    </cfRule>
  </conditionalFormatting>
  <conditionalFormatting sqref="J55">
    <cfRule type="cellIs" dxfId="3819" priority="138116" stopIfTrue="1" operator="greaterThanOrEqual">
      <formula>0.5</formula>
    </cfRule>
  </conditionalFormatting>
  <conditionalFormatting sqref="J56">
    <cfRule type="cellIs" dxfId="3818" priority="138117" stopIfTrue="1" operator="equal">
      <formula>-1</formula>
    </cfRule>
  </conditionalFormatting>
  <conditionalFormatting sqref="J56">
    <cfRule type="cellIs" dxfId="3817" priority="138118" stopIfTrue="1" operator="lessThan">
      <formula>0.5</formula>
    </cfRule>
  </conditionalFormatting>
  <conditionalFormatting sqref="J56">
    <cfRule type="cellIs" dxfId="3816" priority="138119" stopIfTrue="1" operator="greaterThanOrEqual">
      <formula>0.5</formula>
    </cfRule>
  </conditionalFormatting>
  <conditionalFormatting sqref="J57">
    <cfRule type="cellIs" dxfId="3815" priority="138120" stopIfTrue="1" operator="equal">
      <formula>-1</formula>
    </cfRule>
  </conditionalFormatting>
  <conditionalFormatting sqref="J57">
    <cfRule type="cellIs" dxfId="3814" priority="138121" stopIfTrue="1" operator="lessThan">
      <formula>0.5</formula>
    </cfRule>
  </conditionalFormatting>
  <conditionalFormatting sqref="J57">
    <cfRule type="cellIs" dxfId="3813" priority="138122" stopIfTrue="1" operator="greaterThanOrEqual">
      <formula>0.5</formula>
    </cfRule>
  </conditionalFormatting>
  <conditionalFormatting sqref="J58">
    <cfRule type="cellIs" dxfId="3812" priority="138123" stopIfTrue="1" operator="equal">
      <formula>-1</formula>
    </cfRule>
  </conditionalFormatting>
  <conditionalFormatting sqref="J58">
    <cfRule type="cellIs" dxfId="3811" priority="138124" stopIfTrue="1" operator="lessThan">
      <formula>0.5</formula>
    </cfRule>
  </conditionalFormatting>
  <conditionalFormatting sqref="J58">
    <cfRule type="cellIs" dxfId="3810" priority="138125" stopIfTrue="1" operator="greaterThanOrEqual">
      <formula>0.5</formula>
    </cfRule>
  </conditionalFormatting>
  <conditionalFormatting sqref="L39">
    <cfRule type="cellIs" dxfId="3809" priority="138126" stopIfTrue="1" operator="equal">
      <formula>-1</formula>
    </cfRule>
  </conditionalFormatting>
  <conditionalFormatting sqref="L39">
    <cfRule type="cellIs" dxfId="3808" priority="138127" stopIfTrue="1" operator="lessThan">
      <formula>0.5</formula>
    </cfRule>
  </conditionalFormatting>
  <conditionalFormatting sqref="L39">
    <cfRule type="cellIs" dxfId="3807" priority="138128" stopIfTrue="1" operator="greaterThanOrEqual">
      <formula>0.5</formula>
    </cfRule>
  </conditionalFormatting>
  <conditionalFormatting sqref="L40">
    <cfRule type="cellIs" dxfId="3806" priority="138129" stopIfTrue="1" operator="equal">
      <formula>-1</formula>
    </cfRule>
  </conditionalFormatting>
  <conditionalFormatting sqref="L40">
    <cfRule type="cellIs" dxfId="3805" priority="138130" stopIfTrue="1" operator="lessThan">
      <formula>0.5</formula>
    </cfRule>
  </conditionalFormatting>
  <conditionalFormatting sqref="L40">
    <cfRule type="cellIs" dxfId="3804" priority="138131" stopIfTrue="1" operator="greaterThanOrEqual">
      <formula>0.5</formula>
    </cfRule>
  </conditionalFormatting>
  <conditionalFormatting sqref="L41">
    <cfRule type="cellIs" dxfId="3803" priority="138132" stopIfTrue="1" operator="equal">
      <formula>-1</formula>
    </cfRule>
  </conditionalFormatting>
  <conditionalFormatting sqref="L41">
    <cfRule type="cellIs" dxfId="3802" priority="138133" stopIfTrue="1" operator="lessThan">
      <formula>0.5</formula>
    </cfRule>
  </conditionalFormatting>
  <conditionalFormatting sqref="L41">
    <cfRule type="cellIs" dxfId="3801" priority="138134" stopIfTrue="1" operator="greaterThanOrEqual">
      <formula>0.5</formula>
    </cfRule>
  </conditionalFormatting>
  <conditionalFormatting sqref="L42">
    <cfRule type="cellIs" dxfId="3800" priority="138135" stopIfTrue="1" operator="equal">
      <formula>-1</formula>
    </cfRule>
  </conditionalFormatting>
  <conditionalFormatting sqref="L42">
    <cfRule type="cellIs" dxfId="3799" priority="138136" stopIfTrue="1" operator="lessThan">
      <formula>0.5</formula>
    </cfRule>
  </conditionalFormatting>
  <conditionalFormatting sqref="L42">
    <cfRule type="cellIs" dxfId="3798" priority="138137" stopIfTrue="1" operator="greaterThanOrEqual">
      <formula>0.5</formula>
    </cfRule>
  </conditionalFormatting>
  <conditionalFormatting sqref="L43">
    <cfRule type="cellIs" dxfId="3797" priority="138138" stopIfTrue="1" operator="equal">
      <formula>-1</formula>
    </cfRule>
  </conditionalFormatting>
  <conditionalFormatting sqref="L43">
    <cfRule type="cellIs" dxfId="3796" priority="138139" stopIfTrue="1" operator="lessThan">
      <formula>0.5</formula>
    </cfRule>
  </conditionalFormatting>
  <conditionalFormatting sqref="L43">
    <cfRule type="cellIs" dxfId="3795" priority="138140" stopIfTrue="1" operator="greaterThanOrEqual">
      <formula>0.5</formula>
    </cfRule>
  </conditionalFormatting>
  <conditionalFormatting sqref="L44">
    <cfRule type="cellIs" dxfId="3794" priority="138141" stopIfTrue="1" operator="equal">
      <formula>-1</formula>
    </cfRule>
  </conditionalFormatting>
  <conditionalFormatting sqref="L44">
    <cfRule type="cellIs" dxfId="3793" priority="138142" stopIfTrue="1" operator="lessThan">
      <formula>0.5</formula>
    </cfRule>
  </conditionalFormatting>
  <conditionalFormatting sqref="L44">
    <cfRule type="cellIs" dxfId="3792" priority="138143" stopIfTrue="1" operator="greaterThanOrEqual">
      <formula>0.5</formula>
    </cfRule>
  </conditionalFormatting>
  <conditionalFormatting sqref="L45">
    <cfRule type="cellIs" dxfId="3791" priority="138144" stopIfTrue="1" operator="equal">
      <formula>-1</formula>
    </cfRule>
  </conditionalFormatting>
  <conditionalFormatting sqref="L45">
    <cfRule type="cellIs" dxfId="3790" priority="138145" stopIfTrue="1" operator="lessThan">
      <formula>0.5</formula>
    </cfRule>
  </conditionalFormatting>
  <conditionalFormatting sqref="L45">
    <cfRule type="cellIs" dxfId="3789" priority="138146" stopIfTrue="1" operator="greaterThanOrEqual">
      <formula>0.5</formula>
    </cfRule>
  </conditionalFormatting>
  <conditionalFormatting sqref="L46">
    <cfRule type="cellIs" dxfId="3788" priority="138147" stopIfTrue="1" operator="equal">
      <formula>-1</formula>
    </cfRule>
  </conditionalFormatting>
  <conditionalFormatting sqref="L46">
    <cfRule type="cellIs" dxfId="3787" priority="138148" stopIfTrue="1" operator="lessThan">
      <formula>0.5</formula>
    </cfRule>
  </conditionalFormatting>
  <conditionalFormatting sqref="L46">
    <cfRule type="cellIs" dxfId="3786" priority="138149" stopIfTrue="1" operator="greaterThanOrEqual">
      <formula>0.5</formula>
    </cfRule>
  </conditionalFormatting>
  <conditionalFormatting sqref="L47">
    <cfRule type="cellIs" dxfId="3785" priority="138150" stopIfTrue="1" operator="equal">
      <formula>-1</formula>
    </cfRule>
  </conditionalFormatting>
  <conditionalFormatting sqref="L47">
    <cfRule type="cellIs" dxfId="3784" priority="138151" stopIfTrue="1" operator="lessThan">
      <formula>0.5</formula>
    </cfRule>
  </conditionalFormatting>
  <conditionalFormatting sqref="L47">
    <cfRule type="cellIs" dxfId="3783" priority="138152" stopIfTrue="1" operator="greaterThanOrEqual">
      <formula>0.5</formula>
    </cfRule>
  </conditionalFormatting>
  <conditionalFormatting sqref="L48">
    <cfRule type="cellIs" dxfId="3782" priority="138153" stopIfTrue="1" operator="equal">
      <formula>-1</formula>
    </cfRule>
  </conditionalFormatting>
  <conditionalFormatting sqref="L48">
    <cfRule type="cellIs" dxfId="3781" priority="138154" stopIfTrue="1" operator="lessThan">
      <formula>0.5</formula>
    </cfRule>
  </conditionalFormatting>
  <conditionalFormatting sqref="L48">
    <cfRule type="cellIs" dxfId="3780" priority="138155" stopIfTrue="1" operator="greaterThanOrEqual">
      <formula>0.5</formula>
    </cfRule>
  </conditionalFormatting>
  <conditionalFormatting sqref="L49">
    <cfRule type="cellIs" dxfId="3779" priority="138156" stopIfTrue="1" operator="equal">
      <formula>-1</formula>
    </cfRule>
  </conditionalFormatting>
  <conditionalFormatting sqref="L49">
    <cfRule type="cellIs" dxfId="3778" priority="138157" stopIfTrue="1" operator="lessThan">
      <formula>0.5</formula>
    </cfRule>
  </conditionalFormatting>
  <conditionalFormatting sqref="L49">
    <cfRule type="cellIs" dxfId="3777" priority="138158" stopIfTrue="1" operator="greaterThanOrEqual">
      <formula>0.5</formula>
    </cfRule>
  </conditionalFormatting>
  <conditionalFormatting sqref="L50">
    <cfRule type="cellIs" dxfId="3776" priority="138159" stopIfTrue="1" operator="equal">
      <formula>-1</formula>
    </cfRule>
  </conditionalFormatting>
  <conditionalFormatting sqref="L50">
    <cfRule type="cellIs" dxfId="3775" priority="138160" stopIfTrue="1" operator="lessThan">
      <formula>0.5</formula>
    </cfRule>
  </conditionalFormatting>
  <conditionalFormatting sqref="L50">
    <cfRule type="cellIs" dxfId="3774" priority="138161" stopIfTrue="1" operator="greaterThanOrEqual">
      <formula>0.5</formula>
    </cfRule>
  </conditionalFormatting>
  <conditionalFormatting sqref="L51">
    <cfRule type="cellIs" dxfId="3773" priority="138162" stopIfTrue="1" operator="equal">
      <formula>-1</formula>
    </cfRule>
  </conditionalFormatting>
  <conditionalFormatting sqref="L51">
    <cfRule type="cellIs" dxfId="3772" priority="138163" stopIfTrue="1" operator="lessThan">
      <formula>0.5</formula>
    </cfRule>
  </conditionalFormatting>
  <conditionalFormatting sqref="L51">
    <cfRule type="cellIs" dxfId="3771" priority="138164" stopIfTrue="1" operator="greaterThanOrEqual">
      <formula>0.5</formula>
    </cfRule>
  </conditionalFormatting>
  <conditionalFormatting sqref="L52">
    <cfRule type="cellIs" dxfId="3770" priority="138165" stopIfTrue="1" operator="equal">
      <formula>-1</formula>
    </cfRule>
  </conditionalFormatting>
  <conditionalFormatting sqref="L52">
    <cfRule type="cellIs" dxfId="3769" priority="138166" stopIfTrue="1" operator="lessThan">
      <formula>0.5</formula>
    </cfRule>
  </conditionalFormatting>
  <conditionalFormatting sqref="L52">
    <cfRule type="cellIs" dxfId="3768" priority="138167" stopIfTrue="1" operator="greaterThanOrEqual">
      <formula>0.5</formula>
    </cfRule>
  </conditionalFormatting>
  <conditionalFormatting sqref="L53">
    <cfRule type="cellIs" dxfId="3767" priority="138168" stopIfTrue="1" operator="equal">
      <formula>-1</formula>
    </cfRule>
  </conditionalFormatting>
  <conditionalFormatting sqref="L53">
    <cfRule type="cellIs" dxfId="3766" priority="138169" stopIfTrue="1" operator="lessThan">
      <formula>0.5</formula>
    </cfRule>
  </conditionalFormatting>
  <conditionalFormatting sqref="L53">
    <cfRule type="cellIs" dxfId="3765" priority="138170" stopIfTrue="1" operator="greaterThanOrEqual">
      <formula>0.5</formula>
    </cfRule>
  </conditionalFormatting>
  <conditionalFormatting sqref="L54">
    <cfRule type="cellIs" dxfId="3764" priority="138171" stopIfTrue="1" operator="equal">
      <formula>-1</formula>
    </cfRule>
  </conditionalFormatting>
  <conditionalFormatting sqref="L54">
    <cfRule type="cellIs" dxfId="3763" priority="138172" stopIfTrue="1" operator="lessThan">
      <formula>0.5</formula>
    </cfRule>
  </conditionalFormatting>
  <conditionalFormatting sqref="L54">
    <cfRule type="cellIs" dxfId="3762" priority="138173" stopIfTrue="1" operator="greaterThanOrEqual">
      <formula>0.5</formula>
    </cfRule>
  </conditionalFormatting>
  <conditionalFormatting sqref="L55">
    <cfRule type="cellIs" dxfId="3761" priority="138174" stopIfTrue="1" operator="equal">
      <formula>-1</formula>
    </cfRule>
  </conditionalFormatting>
  <conditionalFormatting sqref="L55">
    <cfRule type="cellIs" dxfId="3760" priority="138175" stopIfTrue="1" operator="lessThan">
      <formula>0.5</formula>
    </cfRule>
  </conditionalFormatting>
  <conditionalFormatting sqref="L55">
    <cfRule type="cellIs" dxfId="3759" priority="138176" stopIfTrue="1" operator="greaterThanOrEqual">
      <formula>0.5</formula>
    </cfRule>
  </conditionalFormatting>
  <conditionalFormatting sqref="L56">
    <cfRule type="cellIs" dxfId="3758" priority="138177" stopIfTrue="1" operator="equal">
      <formula>-1</formula>
    </cfRule>
  </conditionalFormatting>
  <conditionalFormatting sqref="L56">
    <cfRule type="cellIs" dxfId="3757" priority="138178" stopIfTrue="1" operator="lessThan">
      <formula>0.5</formula>
    </cfRule>
  </conditionalFormatting>
  <conditionalFormatting sqref="L56">
    <cfRule type="cellIs" dxfId="3756" priority="138179" stopIfTrue="1" operator="greaterThanOrEqual">
      <formula>0.5</formula>
    </cfRule>
  </conditionalFormatting>
  <conditionalFormatting sqref="L57">
    <cfRule type="cellIs" dxfId="3755" priority="138180" stopIfTrue="1" operator="equal">
      <formula>-1</formula>
    </cfRule>
  </conditionalFormatting>
  <conditionalFormatting sqref="L57">
    <cfRule type="cellIs" dxfId="3754" priority="138181" stopIfTrue="1" operator="lessThan">
      <formula>0.5</formula>
    </cfRule>
  </conditionalFormatting>
  <conditionalFormatting sqref="L57">
    <cfRule type="cellIs" dxfId="3753" priority="138182" stopIfTrue="1" operator="greaterThanOrEqual">
      <formula>0.5</formula>
    </cfRule>
  </conditionalFormatting>
  <conditionalFormatting sqref="L58">
    <cfRule type="cellIs" dxfId="3752" priority="138183" stopIfTrue="1" operator="equal">
      <formula>-1</formula>
    </cfRule>
  </conditionalFormatting>
  <conditionalFormatting sqref="L58">
    <cfRule type="cellIs" dxfId="3751" priority="138184" stopIfTrue="1" operator="lessThan">
      <formula>0.5</formula>
    </cfRule>
  </conditionalFormatting>
  <conditionalFormatting sqref="L58">
    <cfRule type="cellIs" dxfId="3750" priority="138185" stopIfTrue="1" operator="greaterThanOrEqual">
      <formula>0.5</formula>
    </cfRule>
  </conditionalFormatting>
  <conditionalFormatting sqref="N39">
    <cfRule type="cellIs" dxfId="3749" priority="138186" stopIfTrue="1" operator="equal">
      <formula>-1</formula>
    </cfRule>
  </conditionalFormatting>
  <conditionalFormatting sqref="N39">
    <cfRule type="cellIs" dxfId="3748" priority="138187" stopIfTrue="1" operator="lessThan">
      <formula>0.5</formula>
    </cfRule>
  </conditionalFormatting>
  <conditionalFormatting sqref="N39">
    <cfRule type="cellIs" dxfId="3747" priority="138188" stopIfTrue="1" operator="greaterThanOrEqual">
      <formula>0.5</formula>
    </cfRule>
  </conditionalFormatting>
  <conditionalFormatting sqref="N40">
    <cfRule type="cellIs" dxfId="3746" priority="138189" stopIfTrue="1" operator="equal">
      <formula>-1</formula>
    </cfRule>
  </conditionalFormatting>
  <conditionalFormatting sqref="N40">
    <cfRule type="cellIs" dxfId="3745" priority="138190" stopIfTrue="1" operator="lessThan">
      <formula>0.5</formula>
    </cfRule>
  </conditionalFormatting>
  <conditionalFormatting sqref="N40">
    <cfRule type="cellIs" dxfId="3744" priority="138191" stopIfTrue="1" operator="greaterThanOrEqual">
      <formula>0.5</formula>
    </cfRule>
  </conditionalFormatting>
  <conditionalFormatting sqref="N41">
    <cfRule type="cellIs" dxfId="3743" priority="138192" stopIfTrue="1" operator="equal">
      <formula>-1</formula>
    </cfRule>
  </conditionalFormatting>
  <conditionalFormatting sqref="N41">
    <cfRule type="cellIs" dxfId="3742" priority="138193" stopIfTrue="1" operator="lessThan">
      <formula>0.5</formula>
    </cfRule>
  </conditionalFormatting>
  <conditionalFormatting sqref="N41">
    <cfRule type="cellIs" dxfId="3741" priority="138194" stopIfTrue="1" operator="greaterThanOrEqual">
      <formula>0.5</formula>
    </cfRule>
  </conditionalFormatting>
  <conditionalFormatting sqref="N42">
    <cfRule type="cellIs" dxfId="3740" priority="138195" stopIfTrue="1" operator="equal">
      <formula>-1</formula>
    </cfRule>
  </conditionalFormatting>
  <conditionalFormatting sqref="N42">
    <cfRule type="cellIs" dxfId="3739" priority="138196" stopIfTrue="1" operator="lessThan">
      <formula>0.5</formula>
    </cfRule>
  </conditionalFormatting>
  <conditionalFormatting sqref="N42">
    <cfRule type="cellIs" dxfId="3738" priority="138197" stopIfTrue="1" operator="greaterThanOrEqual">
      <formula>0.5</formula>
    </cfRule>
  </conditionalFormatting>
  <conditionalFormatting sqref="N43">
    <cfRule type="cellIs" dxfId="3737" priority="138198" stopIfTrue="1" operator="equal">
      <formula>-1</formula>
    </cfRule>
  </conditionalFormatting>
  <conditionalFormatting sqref="N43">
    <cfRule type="cellIs" dxfId="3736" priority="138199" stopIfTrue="1" operator="lessThan">
      <formula>0.5</formula>
    </cfRule>
  </conditionalFormatting>
  <conditionalFormatting sqref="N43">
    <cfRule type="cellIs" dxfId="3735" priority="138200" stopIfTrue="1" operator="greaterThanOrEqual">
      <formula>0.5</formula>
    </cfRule>
  </conditionalFormatting>
  <conditionalFormatting sqref="N44">
    <cfRule type="cellIs" dxfId="3734" priority="138201" stopIfTrue="1" operator="equal">
      <formula>-1</formula>
    </cfRule>
  </conditionalFormatting>
  <conditionalFormatting sqref="N44">
    <cfRule type="cellIs" dxfId="3733" priority="138202" stopIfTrue="1" operator="lessThan">
      <formula>0.5</formula>
    </cfRule>
  </conditionalFormatting>
  <conditionalFormatting sqref="N44">
    <cfRule type="cellIs" dxfId="3732" priority="138203" stopIfTrue="1" operator="greaterThanOrEqual">
      <formula>0.5</formula>
    </cfRule>
  </conditionalFormatting>
  <conditionalFormatting sqref="N45">
    <cfRule type="cellIs" dxfId="3731" priority="138204" stopIfTrue="1" operator="equal">
      <formula>-1</formula>
    </cfRule>
  </conditionalFormatting>
  <conditionalFormatting sqref="N45">
    <cfRule type="cellIs" dxfId="3730" priority="138205" stopIfTrue="1" operator="lessThan">
      <formula>0.5</formula>
    </cfRule>
  </conditionalFormatting>
  <conditionalFormatting sqref="N45">
    <cfRule type="cellIs" dxfId="3729" priority="138206" stopIfTrue="1" operator="greaterThanOrEqual">
      <formula>0.5</formula>
    </cfRule>
  </conditionalFormatting>
  <conditionalFormatting sqref="N46">
    <cfRule type="cellIs" dxfId="3728" priority="138207" stopIfTrue="1" operator="equal">
      <formula>-1</formula>
    </cfRule>
  </conditionalFormatting>
  <conditionalFormatting sqref="N46">
    <cfRule type="cellIs" dxfId="3727" priority="138208" stopIfTrue="1" operator="lessThan">
      <formula>0.5</formula>
    </cfRule>
  </conditionalFormatting>
  <conditionalFormatting sqref="N46">
    <cfRule type="cellIs" dxfId="3726" priority="138209" stopIfTrue="1" operator="greaterThanOrEqual">
      <formula>0.5</formula>
    </cfRule>
  </conditionalFormatting>
  <conditionalFormatting sqref="N47">
    <cfRule type="cellIs" dxfId="3725" priority="138210" stopIfTrue="1" operator="equal">
      <formula>-1</formula>
    </cfRule>
  </conditionalFormatting>
  <conditionalFormatting sqref="N47">
    <cfRule type="cellIs" dxfId="3724" priority="138211" stopIfTrue="1" operator="lessThan">
      <formula>0.5</formula>
    </cfRule>
  </conditionalFormatting>
  <conditionalFormatting sqref="N47">
    <cfRule type="cellIs" dxfId="3723" priority="138212" stopIfTrue="1" operator="greaterThanOrEqual">
      <formula>0.5</formula>
    </cfRule>
  </conditionalFormatting>
  <conditionalFormatting sqref="N48">
    <cfRule type="cellIs" dxfId="3722" priority="138213" stopIfTrue="1" operator="equal">
      <formula>-1</formula>
    </cfRule>
  </conditionalFormatting>
  <conditionalFormatting sqref="N48">
    <cfRule type="cellIs" dxfId="3721" priority="138214" stopIfTrue="1" operator="lessThan">
      <formula>0.5</formula>
    </cfRule>
  </conditionalFormatting>
  <conditionalFormatting sqref="N48">
    <cfRule type="cellIs" dxfId="3720" priority="138215" stopIfTrue="1" operator="greaterThanOrEqual">
      <formula>0.5</formula>
    </cfRule>
  </conditionalFormatting>
  <conditionalFormatting sqref="N49">
    <cfRule type="cellIs" dxfId="3719" priority="138216" stopIfTrue="1" operator="equal">
      <formula>-1</formula>
    </cfRule>
  </conditionalFormatting>
  <conditionalFormatting sqref="N49">
    <cfRule type="cellIs" dxfId="3718" priority="138217" stopIfTrue="1" operator="lessThan">
      <formula>0.5</formula>
    </cfRule>
  </conditionalFormatting>
  <conditionalFormatting sqref="N49">
    <cfRule type="cellIs" dxfId="3717" priority="138218" stopIfTrue="1" operator="greaterThanOrEqual">
      <formula>0.5</formula>
    </cfRule>
  </conditionalFormatting>
  <conditionalFormatting sqref="N50">
    <cfRule type="cellIs" dxfId="3716" priority="138219" stopIfTrue="1" operator="equal">
      <formula>-1</formula>
    </cfRule>
  </conditionalFormatting>
  <conditionalFormatting sqref="N50">
    <cfRule type="cellIs" dxfId="3715" priority="138220" stopIfTrue="1" operator="lessThan">
      <formula>0.5</formula>
    </cfRule>
  </conditionalFormatting>
  <conditionalFormatting sqref="N50">
    <cfRule type="cellIs" dxfId="3714" priority="138221" stopIfTrue="1" operator="greaterThanOrEqual">
      <formula>0.5</formula>
    </cfRule>
  </conditionalFormatting>
  <conditionalFormatting sqref="N51">
    <cfRule type="cellIs" dxfId="3713" priority="138222" stopIfTrue="1" operator="equal">
      <formula>-1</formula>
    </cfRule>
  </conditionalFormatting>
  <conditionalFormatting sqref="N51">
    <cfRule type="cellIs" dxfId="3712" priority="138223" stopIfTrue="1" operator="lessThan">
      <formula>0.5</formula>
    </cfRule>
  </conditionalFormatting>
  <conditionalFormatting sqref="N51">
    <cfRule type="cellIs" dxfId="3711" priority="138224" stopIfTrue="1" operator="greaterThanOrEqual">
      <formula>0.5</formula>
    </cfRule>
  </conditionalFormatting>
  <conditionalFormatting sqref="N52">
    <cfRule type="cellIs" dxfId="3710" priority="138225" stopIfTrue="1" operator="equal">
      <formula>-1</formula>
    </cfRule>
  </conditionalFormatting>
  <conditionalFormatting sqref="N52">
    <cfRule type="cellIs" dxfId="3709" priority="138226" stopIfTrue="1" operator="lessThan">
      <formula>0.5</formula>
    </cfRule>
  </conditionalFormatting>
  <conditionalFormatting sqref="N52">
    <cfRule type="cellIs" dxfId="3708" priority="138227" stopIfTrue="1" operator="greaterThanOrEqual">
      <formula>0.5</formula>
    </cfRule>
  </conditionalFormatting>
  <conditionalFormatting sqref="N53">
    <cfRule type="cellIs" dxfId="3707" priority="138228" stopIfTrue="1" operator="equal">
      <formula>-1</formula>
    </cfRule>
  </conditionalFormatting>
  <conditionalFormatting sqref="N53">
    <cfRule type="cellIs" dxfId="3706" priority="138229" stopIfTrue="1" operator="lessThan">
      <formula>0.5</formula>
    </cfRule>
  </conditionalFormatting>
  <conditionalFormatting sqref="N53">
    <cfRule type="cellIs" dxfId="3705" priority="138230" stopIfTrue="1" operator="greaterThanOrEqual">
      <formula>0.5</formula>
    </cfRule>
  </conditionalFormatting>
  <conditionalFormatting sqref="N54">
    <cfRule type="cellIs" dxfId="3704" priority="138231" stopIfTrue="1" operator="equal">
      <formula>-1</formula>
    </cfRule>
  </conditionalFormatting>
  <conditionalFormatting sqref="N54">
    <cfRule type="cellIs" dxfId="3703" priority="138232" stopIfTrue="1" operator="lessThan">
      <formula>0.5</formula>
    </cfRule>
  </conditionalFormatting>
  <conditionalFormatting sqref="N54">
    <cfRule type="cellIs" dxfId="3702" priority="138233" stopIfTrue="1" operator="greaterThanOrEqual">
      <formula>0.5</formula>
    </cfRule>
  </conditionalFormatting>
  <conditionalFormatting sqref="N55">
    <cfRule type="cellIs" dxfId="3701" priority="138234" stopIfTrue="1" operator="equal">
      <formula>-1</formula>
    </cfRule>
  </conditionalFormatting>
  <conditionalFormatting sqref="N55">
    <cfRule type="cellIs" dxfId="3700" priority="138235" stopIfTrue="1" operator="lessThan">
      <formula>0.5</formula>
    </cfRule>
  </conditionalFormatting>
  <conditionalFormatting sqref="N55">
    <cfRule type="cellIs" dxfId="3699" priority="138236" stopIfTrue="1" operator="greaterThanOrEqual">
      <formula>0.5</formula>
    </cfRule>
  </conditionalFormatting>
  <conditionalFormatting sqref="N56">
    <cfRule type="cellIs" dxfId="3698" priority="138237" stopIfTrue="1" operator="equal">
      <formula>-1</formula>
    </cfRule>
  </conditionalFormatting>
  <conditionalFormatting sqref="N56">
    <cfRule type="cellIs" dxfId="3697" priority="138238" stopIfTrue="1" operator="lessThan">
      <formula>0.5</formula>
    </cfRule>
  </conditionalFormatting>
  <conditionalFormatting sqref="N56">
    <cfRule type="cellIs" dxfId="3696" priority="138239" stopIfTrue="1" operator="greaterThanOrEqual">
      <formula>0.5</formula>
    </cfRule>
  </conditionalFormatting>
  <conditionalFormatting sqref="N57">
    <cfRule type="cellIs" dxfId="3695" priority="138240" stopIfTrue="1" operator="equal">
      <formula>-1</formula>
    </cfRule>
  </conditionalFormatting>
  <conditionalFormatting sqref="N57">
    <cfRule type="cellIs" dxfId="3694" priority="138241" stopIfTrue="1" operator="lessThan">
      <formula>0.5</formula>
    </cfRule>
  </conditionalFormatting>
  <conditionalFormatting sqref="N57">
    <cfRule type="cellIs" dxfId="3693" priority="138242" stopIfTrue="1" operator="greaterThanOrEqual">
      <formula>0.5</formula>
    </cfRule>
  </conditionalFormatting>
  <conditionalFormatting sqref="N58">
    <cfRule type="cellIs" dxfId="3692" priority="138243" stopIfTrue="1" operator="equal">
      <formula>-1</formula>
    </cfRule>
  </conditionalFormatting>
  <conditionalFormatting sqref="N58">
    <cfRule type="cellIs" dxfId="3691" priority="138244" stopIfTrue="1" operator="lessThan">
      <formula>0.5</formula>
    </cfRule>
  </conditionalFormatting>
  <conditionalFormatting sqref="N58">
    <cfRule type="cellIs" dxfId="3690" priority="138245" stopIfTrue="1" operator="greaterThanOrEqual">
      <formula>0.5</formula>
    </cfRule>
  </conditionalFormatting>
  <conditionalFormatting sqref="P39">
    <cfRule type="cellIs" dxfId="3689" priority="138246" stopIfTrue="1" operator="equal">
      <formula>-1</formula>
    </cfRule>
  </conditionalFormatting>
  <conditionalFormatting sqref="P39">
    <cfRule type="cellIs" dxfId="3688" priority="138247" stopIfTrue="1" operator="lessThan">
      <formula>0.5</formula>
    </cfRule>
  </conditionalFormatting>
  <conditionalFormatting sqref="P39">
    <cfRule type="cellIs" dxfId="3687" priority="138248" stopIfTrue="1" operator="greaterThanOrEqual">
      <formula>0.5</formula>
    </cfRule>
  </conditionalFormatting>
  <conditionalFormatting sqref="P40">
    <cfRule type="cellIs" dxfId="3686" priority="138249" stopIfTrue="1" operator="equal">
      <formula>-1</formula>
    </cfRule>
  </conditionalFormatting>
  <conditionalFormatting sqref="P40">
    <cfRule type="cellIs" dxfId="3685" priority="138250" stopIfTrue="1" operator="lessThan">
      <formula>0.5</formula>
    </cfRule>
  </conditionalFormatting>
  <conditionalFormatting sqref="P40">
    <cfRule type="cellIs" dxfId="3684" priority="138251" stopIfTrue="1" operator="greaterThanOrEqual">
      <formula>0.5</formula>
    </cfRule>
  </conditionalFormatting>
  <conditionalFormatting sqref="P41">
    <cfRule type="cellIs" dxfId="3683" priority="138252" stopIfTrue="1" operator="equal">
      <formula>-1</formula>
    </cfRule>
  </conditionalFormatting>
  <conditionalFormatting sqref="P41">
    <cfRule type="cellIs" dxfId="3682" priority="138253" stopIfTrue="1" operator="lessThan">
      <formula>0.5</formula>
    </cfRule>
  </conditionalFormatting>
  <conditionalFormatting sqref="P41">
    <cfRule type="cellIs" dxfId="3681" priority="138254" stopIfTrue="1" operator="greaterThanOrEqual">
      <formula>0.5</formula>
    </cfRule>
  </conditionalFormatting>
  <conditionalFormatting sqref="P42">
    <cfRule type="cellIs" dxfId="3680" priority="138255" stopIfTrue="1" operator="equal">
      <formula>-1</formula>
    </cfRule>
  </conditionalFormatting>
  <conditionalFormatting sqref="P42">
    <cfRule type="cellIs" dxfId="3679" priority="138256" stopIfTrue="1" operator="lessThan">
      <formula>0.5</formula>
    </cfRule>
  </conditionalFormatting>
  <conditionalFormatting sqref="P42">
    <cfRule type="cellIs" dxfId="3678" priority="138257" stopIfTrue="1" operator="greaterThanOrEqual">
      <formula>0.5</formula>
    </cfRule>
  </conditionalFormatting>
  <conditionalFormatting sqref="P43">
    <cfRule type="cellIs" dxfId="3677" priority="138258" stopIfTrue="1" operator="equal">
      <formula>-1</formula>
    </cfRule>
  </conditionalFormatting>
  <conditionalFormatting sqref="P43">
    <cfRule type="cellIs" dxfId="3676" priority="138259" stopIfTrue="1" operator="lessThan">
      <formula>0.5</formula>
    </cfRule>
  </conditionalFormatting>
  <conditionalFormatting sqref="P43">
    <cfRule type="cellIs" dxfId="3675" priority="138260" stopIfTrue="1" operator="greaterThanOrEqual">
      <formula>0.5</formula>
    </cfRule>
  </conditionalFormatting>
  <conditionalFormatting sqref="P44">
    <cfRule type="cellIs" dxfId="3674" priority="138261" stopIfTrue="1" operator="equal">
      <formula>-1</formula>
    </cfRule>
  </conditionalFormatting>
  <conditionalFormatting sqref="P44">
    <cfRule type="cellIs" dxfId="3673" priority="138262" stopIfTrue="1" operator="lessThan">
      <formula>0.5</formula>
    </cfRule>
  </conditionalFormatting>
  <conditionalFormatting sqref="P44">
    <cfRule type="cellIs" dxfId="3672" priority="138263" stopIfTrue="1" operator="greaterThanOrEqual">
      <formula>0.5</formula>
    </cfRule>
  </conditionalFormatting>
  <conditionalFormatting sqref="P45">
    <cfRule type="cellIs" dxfId="3671" priority="138264" stopIfTrue="1" operator="equal">
      <formula>-1</formula>
    </cfRule>
  </conditionalFormatting>
  <conditionalFormatting sqref="P45">
    <cfRule type="cellIs" dxfId="3670" priority="138265" stopIfTrue="1" operator="lessThan">
      <formula>0.5</formula>
    </cfRule>
  </conditionalFormatting>
  <conditionalFormatting sqref="P45">
    <cfRule type="cellIs" dxfId="3669" priority="138266" stopIfTrue="1" operator="greaterThanOrEqual">
      <formula>0.5</formula>
    </cfRule>
  </conditionalFormatting>
  <conditionalFormatting sqref="P46">
    <cfRule type="cellIs" dxfId="3668" priority="138267" stopIfTrue="1" operator="equal">
      <formula>-1</formula>
    </cfRule>
  </conditionalFormatting>
  <conditionalFormatting sqref="P46">
    <cfRule type="cellIs" dxfId="3667" priority="138268" stopIfTrue="1" operator="lessThan">
      <formula>0.5</formula>
    </cfRule>
  </conditionalFormatting>
  <conditionalFormatting sqref="P46">
    <cfRule type="cellIs" dxfId="3666" priority="138269" stopIfTrue="1" operator="greaterThanOrEqual">
      <formula>0.5</formula>
    </cfRule>
  </conditionalFormatting>
  <conditionalFormatting sqref="P47">
    <cfRule type="cellIs" dxfId="3665" priority="138270" stopIfTrue="1" operator="equal">
      <formula>-1</formula>
    </cfRule>
  </conditionalFormatting>
  <conditionalFormatting sqref="P47">
    <cfRule type="cellIs" dxfId="3664" priority="138271" stopIfTrue="1" operator="lessThan">
      <formula>0.5</formula>
    </cfRule>
  </conditionalFormatting>
  <conditionalFormatting sqref="P47">
    <cfRule type="cellIs" dxfId="3663" priority="138272" stopIfTrue="1" operator="greaterThanOrEqual">
      <formula>0.5</formula>
    </cfRule>
  </conditionalFormatting>
  <conditionalFormatting sqref="P48">
    <cfRule type="cellIs" dxfId="3662" priority="138273" stopIfTrue="1" operator="equal">
      <formula>-1</formula>
    </cfRule>
  </conditionalFormatting>
  <conditionalFormatting sqref="P48">
    <cfRule type="cellIs" dxfId="3661" priority="138274" stopIfTrue="1" operator="lessThan">
      <formula>0.5</formula>
    </cfRule>
  </conditionalFormatting>
  <conditionalFormatting sqref="P48">
    <cfRule type="cellIs" dxfId="3660" priority="138275" stopIfTrue="1" operator="greaterThanOrEqual">
      <formula>0.5</formula>
    </cfRule>
  </conditionalFormatting>
  <conditionalFormatting sqref="P49">
    <cfRule type="cellIs" dxfId="3659" priority="138276" stopIfTrue="1" operator="equal">
      <formula>-1</formula>
    </cfRule>
  </conditionalFormatting>
  <conditionalFormatting sqref="P49">
    <cfRule type="cellIs" dxfId="3658" priority="138277" stopIfTrue="1" operator="lessThan">
      <formula>0.5</formula>
    </cfRule>
  </conditionalFormatting>
  <conditionalFormatting sqref="P49">
    <cfRule type="cellIs" dxfId="3657" priority="138278" stopIfTrue="1" operator="greaterThanOrEqual">
      <formula>0.5</formula>
    </cfRule>
  </conditionalFormatting>
  <conditionalFormatting sqref="P50">
    <cfRule type="cellIs" dxfId="3656" priority="138279" stopIfTrue="1" operator="equal">
      <formula>-1</formula>
    </cfRule>
  </conditionalFormatting>
  <conditionalFormatting sqref="P50">
    <cfRule type="cellIs" dxfId="3655" priority="138280" stopIfTrue="1" operator="lessThan">
      <formula>0.5</formula>
    </cfRule>
  </conditionalFormatting>
  <conditionalFormatting sqref="P50">
    <cfRule type="cellIs" dxfId="3654" priority="138281" stopIfTrue="1" operator="greaterThanOrEqual">
      <formula>0.5</formula>
    </cfRule>
  </conditionalFormatting>
  <conditionalFormatting sqref="P51">
    <cfRule type="cellIs" dxfId="3653" priority="138282" stopIfTrue="1" operator="equal">
      <formula>-1</formula>
    </cfRule>
  </conditionalFormatting>
  <conditionalFormatting sqref="P51">
    <cfRule type="cellIs" dxfId="3652" priority="138283" stopIfTrue="1" operator="lessThan">
      <formula>0.5</formula>
    </cfRule>
  </conditionalFormatting>
  <conditionalFormatting sqref="P51">
    <cfRule type="cellIs" dxfId="3651" priority="138284" stopIfTrue="1" operator="greaterThanOrEqual">
      <formula>0.5</formula>
    </cfRule>
  </conditionalFormatting>
  <conditionalFormatting sqref="P52">
    <cfRule type="cellIs" dxfId="3650" priority="138285" stopIfTrue="1" operator="equal">
      <formula>-1</formula>
    </cfRule>
  </conditionalFormatting>
  <conditionalFormatting sqref="P52">
    <cfRule type="cellIs" dxfId="3649" priority="138286" stopIfTrue="1" operator="lessThan">
      <formula>0.5</formula>
    </cfRule>
  </conditionalFormatting>
  <conditionalFormatting sqref="P52">
    <cfRule type="cellIs" dxfId="3648" priority="138287" stopIfTrue="1" operator="greaterThanOrEqual">
      <formula>0.5</formula>
    </cfRule>
  </conditionalFormatting>
  <conditionalFormatting sqref="P53">
    <cfRule type="cellIs" dxfId="3647" priority="138288" stopIfTrue="1" operator="equal">
      <formula>-1</formula>
    </cfRule>
  </conditionalFormatting>
  <conditionalFormatting sqref="P53">
    <cfRule type="cellIs" dxfId="3646" priority="138289" stopIfTrue="1" operator="lessThan">
      <formula>0.5</formula>
    </cfRule>
  </conditionalFormatting>
  <conditionalFormatting sqref="P53">
    <cfRule type="cellIs" dxfId="3645" priority="138290" stopIfTrue="1" operator="greaterThanOrEqual">
      <formula>0.5</formula>
    </cfRule>
  </conditionalFormatting>
  <conditionalFormatting sqref="P54">
    <cfRule type="cellIs" dxfId="3644" priority="138291" stopIfTrue="1" operator="equal">
      <formula>-1</formula>
    </cfRule>
  </conditionalFormatting>
  <conditionalFormatting sqref="P54">
    <cfRule type="cellIs" dxfId="3643" priority="138292" stopIfTrue="1" operator="lessThan">
      <formula>0.5</formula>
    </cfRule>
  </conditionalFormatting>
  <conditionalFormatting sqref="P54">
    <cfRule type="cellIs" dxfId="3642" priority="138293" stopIfTrue="1" operator="greaterThanOrEqual">
      <formula>0.5</formula>
    </cfRule>
  </conditionalFormatting>
  <conditionalFormatting sqref="P55">
    <cfRule type="cellIs" dxfId="3641" priority="138294" stopIfTrue="1" operator="equal">
      <formula>-1</formula>
    </cfRule>
  </conditionalFormatting>
  <conditionalFormatting sqref="P55">
    <cfRule type="cellIs" dxfId="3640" priority="138295" stopIfTrue="1" operator="lessThan">
      <formula>0.5</formula>
    </cfRule>
  </conditionalFormatting>
  <conditionalFormatting sqref="P55">
    <cfRule type="cellIs" dxfId="3639" priority="138296" stopIfTrue="1" operator="greaterThanOrEqual">
      <formula>0.5</formula>
    </cfRule>
  </conditionalFormatting>
  <conditionalFormatting sqref="P56">
    <cfRule type="cellIs" dxfId="3638" priority="138297" stopIfTrue="1" operator="equal">
      <formula>-1</formula>
    </cfRule>
  </conditionalFormatting>
  <conditionalFormatting sqref="P56">
    <cfRule type="cellIs" dxfId="3637" priority="138298" stopIfTrue="1" operator="lessThan">
      <formula>0.5</formula>
    </cfRule>
  </conditionalFormatting>
  <conditionalFormatting sqref="P56">
    <cfRule type="cellIs" dxfId="3636" priority="138299" stopIfTrue="1" operator="greaterThanOrEqual">
      <formula>0.5</formula>
    </cfRule>
  </conditionalFormatting>
  <conditionalFormatting sqref="P57">
    <cfRule type="cellIs" dxfId="3635" priority="138300" stopIfTrue="1" operator="equal">
      <formula>-1</formula>
    </cfRule>
  </conditionalFormatting>
  <conditionalFormatting sqref="P57">
    <cfRule type="cellIs" dxfId="3634" priority="138301" stopIfTrue="1" operator="lessThan">
      <formula>0.5</formula>
    </cfRule>
  </conditionalFormatting>
  <conditionalFormatting sqref="P57">
    <cfRule type="cellIs" dxfId="3633" priority="138302" stopIfTrue="1" operator="greaterThanOrEqual">
      <formula>0.5</formula>
    </cfRule>
  </conditionalFormatting>
  <conditionalFormatting sqref="P58">
    <cfRule type="cellIs" dxfId="3632" priority="138303" stopIfTrue="1" operator="equal">
      <formula>-1</formula>
    </cfRule>
  </conditionalFormatting>
  <conditionalFormatting sqref="P58">
    <cfRule type="cellIs" dxfId="3631" priority="138304" stopIfTrue="1" operator="lessThan">
      <formula>0.5</formula>
    </cfRule>
  </conditionalFormatting>
  <conditionalFormatting sqref="P58">
    <cfRule type="cellIs" dxfId="3630" priority="138305" stopIfTrue="1" operator="greaterThanOrEqual">
      <formula>0.5</formula>
    </cfRule>
  </conditionalFormatting>
  <conditionalFormatting sqref="R39">
    <cfRule type="cellIs" dxfId="3629" priority="138306" stopIfTrue="1" operator="equal">
      <formula>-1</formula>
    </cfRule>
  </conditionalFormatting>
  <conditionalFormatting sqref="R39">
    <cfRule type="cellIs" dxfId="3628" priority="138307" stopIfTrue="1" operator="lessThan">
      <formula>0.5</formula>
    </cfRule>
  </conditionalFormatting>
  <conditionalFormatting sqref="R39">
    <cfRule type="cellIs" dxfId="3627" priority="138308" stopIfTrue="1" operator="greaterThanOrEqual">
      <formula>0.5</formula>
    </cfRule>
  </conditionalFormatting>
  <conditionalFormatting sqref="R40">
    <cfRule type="cellIs" dxfId="3626" priority="138309" stopIfTrue="1" operator="equal">
      <formula>-1</formula>
    </cfRule>
  </conditionalFormatting>
  <conditionalFormatting sqref="R40">
    <cfRule type="cellIs" dxfId="3625" priority="138310" stopIfTrue="1" operator="lessThan">
      <formula>0.5</formula>
    </cfRule>
  </conditionalFormatting>
  <conditionalFormatting sqref="R40">
    <cfRule type="cellIs" dxfId="3624" priority="138311" stopIfTrue="1" operator="greaterThanOrEqual">
      <formula>0.5</formula>
    </cfRule>
  </conditionalFormatting>
  <conditionalFormatting sqref="R41">
    <cfRule type="cellIs" dxfId="3623" priority="138312" stopIfTrue="1" operator="equal">
      <formula>-1</formula>
    </cfRule>
  </conditionalFormatting>
  <conditionalFormatting sqref="R41">
    <cfRule type="cellIs" dxfId="3622" priority="138313" stopIfTrue="1" operator="lessThan">
      <formula>0.5</formula>
    </cfRule>
  </conditionalFormatting>
  <conditionalFormatting sqref="R41">
    <cfRule type="cellIs" dxfId="3621" priority="138314" stopIfTrue="1" operator="greaterThanOrEqual">
      <formula>0.5</formula>
    </cfRule>
  </conditionalFormatting>
  <conditionalFormatting sqref="R42">
    <cfRule type="cellIs" dxfId="3620" priority="138315" stopIfTrue="1" operator="equal">
      <formula>-1</formula>
    </cfRule>
  </conditionalFormatting>
  <conditionalFormatting sqref="R42">
    <cfRule type="cellIs" dxfId="3619" priority="138316" stopIfTrue="1" operator="lessThan">
      <formula>0.5</formula>
    </cfRule>
  </conditionalFormatting>
  <conditionalFormatting sqref="R42">
    <cfRule type="cellIs" dxfId="3618" priority="138317" stopIfTrue="1" operator="greaterThanOrEqual">
      <formula>0.5</formula>
    </cfRule>
  </conditionalFormatting>
  <conditionalFormatting sqref="R43">
    <cfRule type="cellIs" dxfId="3617" priority="138318" stopIfTrue="1" operator="equal">
      <formula>-1</formula>
    </cfRule>
  </conditionalFormatting>
  <conditionalFormatting sqref="R43">
    <cfRule type="cellIs" dxfId="3616" priority="138319" stopIfTrue="1" operator="lessThan">
      <formula>0.5</formula>
    </cfRule>
  </conditionalFormatting>
  <conditionalFormatting sqref="R43">
    <cfRule type="cellIs" dxfId="3615" priority="138320" stopIfTrue="1" operator="greaterThanOrEqual">
      <formula>0.5</formula>
    </cfRule>
  </conditionalFormatting>
  <conditionalFormatting sqref="R44">
    <cfRule type="cellIs" dxfId="3614" priority="138321" stopIfTrue="1" operator="equal">
      <formula>-1</formula>
    </cfRule>
  </conditionalFormatting>
  <conditionalFormatting sqref="R44">
    <cfRule type="cellIs" dxfId="3613" priority="138322" stopIfTrue="1" operator="lessThan">
      <formula>0.5</formula>
    </cfRule>
  </conditionalFormatting>
  <conditionalFormatting sqref="R44">
    <cfRule type="cellIs" dxfId="3612" priority="138323" stopIfTrue="1" operator="greaterThanOrEqual">
      <formula>0.5</formula>
    </cfRule>
  </conditionalFormatting>
  <conditionalFormatting sqref="R45">
    <cfRule type="cellIs" dxfId="3611" priority="138324" stopIfTrue="1" operator="equal">
      <formula>-1</formula>
    </cfRule>
  </conditionalFormatting>
  <conditionalFormatting sqref="R45">
    <cfRule type="cellIs" dxfId="3610" priority="138325" stopIfTrue="1" operator="lessThan">
      <formula>0.5</formula>
    </cfRule>
  </conditionalFormatting>
  <conditionalFormatting sqref="R45">
    <cfRule type="cellIs" dxfId="3609" priority="138326" stopIfTrue="1" operator="greaterThanOrEqual">
      <formula>0.5</formula>
    </cfRule>
  </conditionalFormatting>
  <conditionalFormatting sqref="R46">
    <cfRule type="cellIs" dxfId="3608" priority="138327" stopIfTrue="1" operator="equal">
      <formula>-1</formula>
    </cfRule>
  </conditionalFormatting>
  <conditionalFormatting sqref="R46">
    <cfRule type="cellIs" dxfId="3607" priority="138328" stopIfTrue="1" operator="lessThan">
      <formula>0.5</formula>
    </cfRule>
  </conditionalFormatting>
  <conditionalFormatting sqref="R46">
    <cfRule type="cellIs" dxfId="3606" priority="138329" stopIfTrue="1" operator="greaterThanOrEqual">
      <formula>0.5</formula>
    </cfRule>
  </conditionalFormatting>
  <conditionalFormatting sqref="R47">
    <cfRule type="cellIs" dxfId="3605" priority="138330" stopIfTrue="1" operator="equal">
      <formula>-1</formula>
    </cfRule>
  </conditionalFormatting>
  <conditionalFormatting sqref="R47">
    <cfRule type="cellIs" dxfId="3604" priority="138331" stopIfTrue="1" operator="lessThan">
      <formula>0.5</formula>
    </cfRule>
  </conditionalFormatting>
  <conditionalFormatting sqref="R47">
    <cfRule type="cellIs" dxfId="3603" priority="138332" stopIfTrue="1" operator="greaterThanOrEqual">
      <formula>0.5</formula>
    </cfRule>
  </conditionalFormatting>
  <conditionalFormatting sqref="R48">
    <cfRule type="cellIs" dxfId="3602" priority="138333" stopIfTrue="1" operator="equal">
      <formula>-1</formula>
    </cfRule>
  </conditionalFormatting>
  <conditionalFormatting sqref="R48">
    <cfRule type="cellIs" dxfId="3601" priority="138334" stopIfTrue="1" operator="lessThan">
      <formula>0.5</formula>
    </cfRule>
  </conditionalFormatting>
  <conditionalFormatting sqref="R48">
    <cfRule type="cellIs" dxfId="3600" priority="138335" stopIfTrue="1" operator="greaterThanOrEqual">
      <formula>0.5</formula>
    </cfRule>
  </conditionalFormatting>
  <conditionalFormatting sqref="R49">
    <cfRule type="cellIs" dxfId="3599" priority="138336" stopIfTrue="1" operator="equal">
      <formula>-1</formula>
    </cfRule>
  </conditionalFormatting>
  <conditionalFormatting sqref="R49">
    <cfRule type="cellIs" dxfId="3598" priority="138337" stopIfTrue="1" operator="lessThan">
      <formula>0.5</formula>
    </cfRule>
  </conditionalFormatting>
  <conditionalFormatting sqref="R49">
    <cfRule type="cellIs" dxfId="3597" priority="138338" stopIfTrue="1" operator="greaterThanOrEqual">
      <formula>0.5</formula>
    </cfRule>
  </conditionalFormatting>
  <conditionalFormatting sqref="R50">
    <cfRule type="cellIs" dxfId="3596" priority="138339" stopIfTrue="1" operator="equal">
      <formula>-1</formula>
    </cfRule>
  </conditionalFormatting>
  <conditionalFormatting sqref="R50">
    <cfRule type="cellIs" dxfId="3595" priority="138340" stopIfTrue="1" operator="lessThan">
      <formula>0.5</formula>
    </cfRule>
  </conditionalFormatting>
  <conditionalFormatting sqref="R50">
    <cfRule type="cellIs" dxfId="3594" priority="138341" stopIfTrue="1" operator="greaterThanOrEqual">
      <formula>0.5</formula>
    </cfRule>
  </conditionalFormatting>
  <conditionalFormatting sqref="R51">
    <cfRule type="cellIs" dxfId="3593" priority="138342" stopIfTrue="1" operator="equal">
      <formula>-1</formula>
    </cfRule>
  </conditionalFormatting>
  <conditionalFormatting sqref="R51">
    <cfRule type="cellIs" dxfId="3592" priority="138343" stopIfTrue="1" operator="lessThan">
      <formula>0.5</formula>
    </cfRule>
  </conditionalFormatting>
  <conditionalFormatting sqref="R51">
    <cfRule type="cellIs" dxfId="3591" priority="138344" stopIfTrue="1" operator="greaterThanOrEqual">
      <formula>0.5</formula>
    </cfRule>
  </conditionalFormatting>
  <conditionalFormatting sqref="R52">
    <cfRule type="cellIs" dxfId="3590" priority="138345" stopIfTrue="1" operator="equal">
      <formula>-1</formula>
    </cfRule>
  </conditionalFormatting>
  <conditionalFormatting sqref="R52">
    <cfRule type="cellIs" dxfId="3589" priority="138346" stopIfTrue="1" operator="lessThan">
      <formula>0.5</formula>
    </cfRule>
  </conditionalFormatting>
  <conditionalFormatting sqref="R52">
    <cfRule type="cellIs" dxfId="3588" priority="138347" stopIfTrue="1" operator="greaterThanOrEqual">
      <formula>0.5</formula>
    </cfRule>
  </conditionalFormatting>
  <conditionalFormatting sqref="R53">
    <cfRule type="cellIs" dxfId="3587" priority="138348" stopIfTrue="1" operator="equal">
      <formula>-1</formula>
    </cfRule>
  </conditionalFormatting>
  <conditionalFormatting sqref="R53">
    <cfRule type="cellIs" dxfId="3586" priority="138349" stopIfTrue="1" operator="lessThan">
      <formula>0.5</formula>
    </cfRule>
  </conditionalFormatting>
  <conditionalFormatting sqref="R53">
    <cfRule type="cellIs" dxfId="3585" priority="138350" stopIfTrue="1" operator="greaterThanOrEqual">
      <formula>0.5</formula>
    </cfRule>
  </conditionalFormatting>
  <conditionalFormatting sqref="R54">
    <cfRule type="cellIs" dxfId="3584" priority="138351" stopIfTrue="1" operator="equal">
      <formula>-1</formula>
    </cfRule>
  </conditionalFormatting>
  <conditionalFormatting sqref="R54">
    <cfRule type="cellIs" dxfId="3583" priority="138352" stopIfTrue="1" operator="lessThan">
      <formula>0.5</formula>
    </cfRule>
  </conditionalFormatting>
  <conditionalFormatting sqref="R54">
    <cfRule type="cellIs" dxfId="3582" priority="138353" stopIfTrue="1" operator="greaterThanOrEqual">
      <formula>0.5</formula>
    </cfRule>
  </conditionalFormatting>
  <conditionalFormatting sqref="R55">
    <cfRule type="cellIs" dxfId="3581" priority="138354" stopIfTrue="1" operator="equal">
      <formula>-1</formula>
    </cfRule>
  </conditionalFormatting>
  <conditionalFormatting sqref="R55">
    <cfRule type="cellIs" dxfId="3580" priority="138355" stopIfTrue="1" operator="lessThan">
      <formula>0.5</formula>
    </cfRule>
  </conditionalFormatting>
  <conditionalFormatting sqref="R55">
    <cfRule type="cellIs" dxfId="3579" priority="138356" stopIfTrue="1" operator="greaterThanOrEqual">
      <formula>0.5</formula>
    </cfRule>
  </conditionalFormatting>
  <conditionalFormatting sqref="R56">
    <cfRule type="cellIs" dxfId="3578" priority="138357" stopIfTrue="1" operator="equal">
      <formula>-1</formula>
    </cfRule>
  </conditionalFormatting>
  <conditionalFormatting sqref="R56">
    <cfRule type="cellIs" dxfId="3577" priority="138358" stopIfTrue="1" operator="lessThan">
      <formula>0.5</formula>
    </cfRule>
  </conditionalFormatting>
  <conditionalFormatting sqref="R56">
    <cfRule type="cellIs" dxfId="3576" priority="138359" stopIfTrue="1" operator="greaterThanOrEqual">
      <formula>0.5</formula>
    </cfRule>
  </conditionalFormatting>
  <conditionalFormatting sqref="R57">
    <cfRule type="cellIs" dxfId="3575" priority="138360" stopIfTrue="1" operator="equal">
      <formula>-1</formula>
    </cfRule>
  </conditionalFormatting>
  <conditionalFormatting sqref="R57">
    <cfRule type="cellIs" dxfId="3574" priority="138361" stopIfTrue="1" operator="lessThan">
      <formula>0.5</formula>
    </cfRule>
  </conditionalFormatting>
  <conditionalFormatting sqref="R57">
    <cfRule type="cellIs" dxfId="3573" priority="138362" stopIfTrue="1" operator="greaterThanOrEqual">
      <formula>0.5</formula>
    </cfRule>
  </conditionalFormatting>
  <conditionalFormatting sqref="R58">
    <cfRule type="cellIs" dxfId="3572" priority="138363" stopIfTrue="1" operator="equal">
      <formula>-1</formula>
    </cfRule>
  </conditionalFormatting>
  <conditionalFormatting sqref="R58">
    <cfRule type="cellIs" dxfId="3571" priority="138364" stopIfTrue="1" operator="lessThan">
      <formula>0.5</formula>
    </cfRule>
  </conditionalFormatting>
  <conditionalFormatting sqref="R58">
    <cfRule type="cellIs" dxfId="3570" priority="138365" stopIfTrue="1" operator="greaterThanOrEqual">
      <formula>0.5</formula>
    </cfRule>
  </conditionalFormatting>
  <conditionalFormatting sqref="T39">
    <cfRule type="cellIs" dxfId="3569" priority="138366" stopIfTrue="1" operator="equal">
      <formula>-1</formula>
    </cfRule>
  </conditionalFormatting>
  <conditionalFormatting sqref="T39">
    <cfRule type="cellIs" dxfId="3568" priority="138367" stopIfTrue="1" operator="lessThan">
      <formula>0.5</formula>
    </cfRule>
  </conditionalFormatting>
  <conditionalFormatting sqref="T39">
    <cfRule type="cellIs" dxfId="3567" priority="138368" stopIfTrue="1" operator="greaterThanOrEqual">
      <formula>0.5</formula>
    </cfRule>
  </conditionalFormatting>
  <conditionalFormatting sqref="T40">
    <cfRule type="cellIs" dxfId="3566" priority="138369" stopIfTrue="1" operator="equal">
      <formula>-1</formula>
    </cfRule>
  </conditionalFormatting>
  <conditionalFormatting sqref="T40">
    <cfRule type="cellIs" dxfId="3565" priority="138370" stopIfTrue="1" operator="lessThan">
      <formula>0.5</formula>
    </cfRule>
  </conditionalFormatting>
  <conditionalFormatting sqref="T40">
    <cfRule type="cellIs" dxfId="3564" priority="138371" stopIfTrue="1" operator="greaterThanOrEqual">
      <formula>0.5</formula>
    </cfRule>
  </conditionalFormatting>
  <conditionalFormatting sqref="T41">
    <cfRule type="cellIs" dxfId="3563" priority="138372" stopIfTrue="1" operator="equal">
      <formula>-1</formula>
    </cfRule>
  </conditionalFormatting>
  <conditionalFormatting sqref="T41">
    <cfRule type="cellIs" dxfId="3562" priority="138373" stopIfTrue="1" operator="lessThan">
      <formula>0.5</formula>
    </cfRule>
  </conditionalFormatting>
  <conditionalFormatting sqref="T41">
    <cfRule type="cellIs" dxfId="3561" priority="138374" stopIfTrue="1" operator="greaterThanOrEqual">
      <formula>0.5</formula>
    </cfRule>
  </conditionalFormatting>
  <conditionalFormatting sqref="T42">
    <cfRule type="cellIs" dxfId="3560" priority="138375" stopIfTrue="1" operator="equal">
      <formula>-1</formula>
    </cfRule>
  </conditionalFormatting>
  <conditionalFormatting sqref="T42">
    <cfRule type="cellIs" dxfId="3559" priority="138376" stopIfTrue="1" operator="lessThan">
      <formula>0.5</formula>
    </cfRule>
  </conditionalFormatting>
  <conditionalFormatting sqref="T42">
    <cfRule type="cellIs" dxfId="3558" priority="138377" stopIfTrue="1" operator="greaterThanOrEqual">
      <formula>0.5</formula>
    </cfRule>
  </conditionalFormatting>
  <conditionalFormatting sqref="T43">
    <cfRule type="cellIs" dxfId="3557" priority="138378" stopIfTrue="1" operator="equal">
      <formula>-1</formula>
    </cfRule>
  </conditionalFormatting>
  <conditionalFormatting sqref="T43">
    <cfRule type="cellIs" dxfId="3556" priority="138379" stopIfTrue="1" operator="lessThan">
      <formula>0.5</formula>
    </cfRule>
  </conditionalFormatting>
  <conditionalFormatting sqref="T43">
    <cfRule type="cellIs" dxfId="3555" priority="138380" stopIfTrue="1" operator="greaterThanOrEqual">
      <formula>0.5</formula>
    </cfRule>
  </conditionalFormatting>
  <conditionalFormatting sqref="T44">
    <cfRule type="cellIs" dxfId="3554" priority="138381" stopIfTrue="1" operator="equal">
      <formula>-1</formula>
    </cfRule>
  </conditionalFormatting>
  <conditionalFormatting sqref="T44">
    <cfRule type="cellIs" dxfId="3553" priority="138382" stopIfTrue="1" operator="lessThan">
      <formula>0.5</formula>
    </cfRule>
  </conditionalFormatting>
  <conditionalFormatting sqref="T44">
    <cfRule type="cellIs" dxfId="3552" priority="138383" stopIfTrue="1" operator="greaterThanOrEqual">
      <formula>0.5</formula>
    </cfRule>
  </conditionalFormatting>
  <conditionalFormatting sqref="T45">
    <cfRule type="cellIs" dxfId="3551" priority="138384" stopIfTrue="1" operator="equal">
      <formula>-1</formula>
    </cfRule>
  </conditionalFormatting>
  <conditionalFormatting sqref="T45">
    <cfRule type="cellIs" dxfId="3550" priority="138385" stopIfTrue="1" operator="lessThan">
      <formula>0.5</formula>
    </cfRule>
  </conditionalFormatting>
  <conditionalFormatting sqref="T45">
    <cfRule type="cellIs" dxfId="3549" priority="138386" stopIfTrue="1" operator="greaterThanOrEqual">
      <formula>0.5</formula>
    </cfRule>
  </conditionalFormatting>
  <conditionalFormatting sqref="T46">
    <cfRule type="cellIs" dxfId="3548" priority="138387" stopIfTrue="1" operator="equal">
      <formula>-1</formula>
    </cfRule>
  </conditionalFormatting>
  <conditionalFormatting sqref="T46">
    <cfRule type="cellIs" dxfId="3547" priority="138388" stopIfTrue="1" operator="lessThan">
      <formula>0.5</formula>
    </cfRule>
  </conditionalFormatting>
  <conditionalFormatting sqref="T46">
    <cfRule type="cellIs" dxfId="3546" priority="138389" stopIfTrue="1" operator="greaterThanOrEqual">
      <formula>0.5</formula>
    </cfRule>
  </conditionalFormatting>
  <conditionalFormatting sqref="T47">
    <cfRule type="cellIs" dxfId="3545" priority="138390" stopIfTrue="1" operator="equal">
      <formula>-1</formula>
    </cfRule>
  </conditionalFormatting>
  <conditionalFormatting sqref="T47">
    <cfRule type="cellIs" dxfId="3544" priority="138391" stopIfTrue="1" operator="lessThan">
      <formula>0.5</formula>
    </cfRule>
  </conditionalFormatting>
  <conditionalFormatting sqref="T47">
    <cfRule type="cellIs" dxfId="3543" priority="138392" stopIfTrue="1" operator="greaterThanOrEqual">
      <formula>0.5</formula>
    </cfRule>
  </conditionalFormatting>
  <conditionalFormatting sqref="T48">
    <cfRule type="cellIs" dxfId="3542" priority="138393" stopIfTrue="1" operator="equal">
      <formula>-1</formula>
    </cfRule>
  </conditionalFormatting>
  <conditionalFormatting sqref="T48">
    <cfRule type="cellIs" dxfId="3541" priority="138394" stopIfTrue="1" operator="lessThan">
      <formula>0.5</formula>
    </cfRule>
  </conditionalFormatting>
  <conditionalFormatting sqref="T48">
    <cfRule type="cellIs" dxfId="3540" priority="138395" stopIfTrue="1" operator="greaterThanOrEqual">
      <formula>0.5</formula>
    </cfRule>
  </conditionalFormatting>
  <conditionalFormatting sqref="T49">
    <cfRule type="cellIs" dxfId="3539" priority="138396" stopIfTrue="1" operator="equal">
      <formula>-1</formula>
    </cfRule>
  </conditionalFormatting>
  <conditionalFormatting sqref="T49">
    <cfRule type="cellIs" dxfId="3538" priority="138397" stopIfTrue="1" operator="lessThan">
      <formula>0.5</formula>
    </cfRule>
  </conditionalFormatting>
  <conditionalFormatting sqref="T49">
    <cfRule type="cellIs" dxfId="3537" priority="138398" stopIfTrue="1" operator="greaterThanOrEqual">
      <formula>0.5</formula>
    </cfRule>
  </conditionalFormatting>
  <conditionalFormatting sqref="T50">
    <cfRule type="cellIs" dxfId="3536" priority="138399" stopIfTrue="1" operator="equal">
      <formula>-1</formula>
    </cfRule>
  </conditionalFormatting>
  <conditionalFormatting sqref="T50">
    <cfRule type="cellIs" dxfId="3535" priority="138400" stopIfTrue="1" operator="lessThan">
      <formula>0.5</formula>
    </cfRule>
  </conditionalFormatting>
  <conditionalFormatting sqref="T50">
    <cfRule type="cellIs" dxfId="3534" priority="138401" stopIfTrue="1" operator="greaterThanOrEqual">
      <formula>0.5</formula>
    </cfRule>
  </conditionalFormatting>
  <conditionalFormatting sqref="T51">
    <cfRule type="cellIs" dxfId="3533" priority="138402" stopIfTrue="1" operator="equal">
      <formula>-1</formula>
    </cfRule>
  </conditionalFormatting>
  <conditionalFormatting sqref="T51">
    <cfRule type="cellIs" dxfId="3532" priority="138403" stopIfTrue="1" operator="lessThan">
      <formula>0.5</formula>
    </cfRule>
  </conditionalFormatting>
  <conditionalFormatting sqref="T51">
    <cfRule type="cellIs" dxfId="3531" priority="138404" stopIfTrue="1" operator="greaterThanOrEqual">
      <formula>0.5</formula>
    </cfRule>
  </conditionalFormatting>
  <conditionalFormatting sqref="T52">
    <cfRule type="cellIs" dxfId="3530" priority="138405" stopIfTrue="1" operator="equal">
      <formula>-1</formula>
    </cfRule>
  </conditionalFormatting>
  <conditionalFormatting sqref="T52">
    <cfRule type="cellIs" dxfId="3529" priority="138406" stopIfTrue="1" operator="lessThan">
      <formula>0.5</formula>
    </cfRule>
  </conditionalFormatting>
  <conditionalFormatting sqref="T52">
    <cfRule type="cellIs" dxfId="3528" priority="138407" stopIfTrue="1" operator="greaterThanOrEqual">
      <formula>0.5</formula>
    </cfRule>
  </conditionalFormatting>
  <conditionalFormatting sqref="T53">
    <cfRule type="cellIs" dxfId="3527" priority="138408" stopIfTrue="1" operator="equal">
      <formula>-1</formula>
    </cfRule>
  </conditionalFormatting>
  <conditionalFormatting sqref="T53">
    <cfRule type="cellIs" dxfId="3526" priority="138409" stopIfTrue="1" operator="lessThan">
      <formula>0.5</formula>
    </cfRule>
  </conditionalFormatting>
  <conditionalFormatting sqref="T53">
    <cfRule type="cellIs" dxfId="3525" priority="138410" stopIfTrue="1" operator="greaterThanOrEqual">
      <formula>0.5</formula>
    </cfRule>
  </conditionalFormatting>
  <conditionalFormatting sqref="T54">
    <cfRule type="cellIs" dxfId="3524" priority="138411" stopIfTrue="1" operator="equal">
      <formula>-1</formula>
    </cfRule>
  </conditionalFormatting>
  <conditionalFormatting sqref="T54">
    <cfRule type="cellIs" dxfId="3523" priority="138412" stopIfTrue="1" operator="lessThan">
      <formula>0.5</formula>
    </cfRule>
  </conditionalFormatting>
  <conditionalFormatting sqref="T54">
    <cfRule type="cellIs" dxfId="3522" priority="138413" stopIfTrue="1" operator="greaterThanOrEqual">
      <formula>0.5</formula>
    </cfRule>
  </conditionalFormatting>
  <conditionalFormatting sqref="T55">
    <cfRule type="cellIs" dxfId="3521" priority="138414" stopIfTrue="1" operator="equal">
      <formula>-1</formula>
    </cfRule>
  </conditionalFormatting>
  <conditionalFormatting sqref="T55">
    <cfRule type="cellIs" dxfId="3520" priority="138415" stopIfTrue="1" operator="lessThan">
      <formula>0.5</formula>
    </cfRule>
  </conditionalFormatting>
  <conditionalFormatting sqref="T55">
    <cfRule type="cellIs" dxfId="3519" priority="138416" stopIfTrue="1" operator="greaterThanOrEqual">
      <formula>0.5</formula>
    </cfRule>
  </conditionalFormatting>
  <conditionalFormatting sqref="T56">
    <cfRule type="cellIs" dxfId="3518" priority="138417" stopIfTrue="1" operator="equal">
      <formula>-1</formula>
    </cfRule>
  </conditionalFormatting>
  <conditionalFormatting sqref="T56">
    <cfRule type="cellIs" dxfId="3517" priority="138418" stopIfTrue="1" operator="lessThan">
      <formula>0.5</formula>
    </cfRule>
  </conditionalFormatting>
  <conditionalFormatting sqref="T56">
    <cfRule type="cellIs" dxfId="3516" priority="138419" stopIfTrue="1" operator="greaterThanOrEqual">
      <formula>0.5</formula>
    </cfRule>
  </conditionalFormatting>
  <conditionalFormatting sqref="T57">
    <cfRule type="cellIs" dxfId="3515" priority="138420" stopIfTrue="1" operator="equal">
      <formula>-1</formula>
    </cfRule>
  </conditionalFormatting>
  <conditionalFormatting sqref="T57">
    <cfRule type="cellIs" dxfId="3514" priority="138421" stopIfTrue="1" operator="lessThan">
      <formula>0.5</formula>
    </cfRule>
  </conditionalFormatting>
  <conditionalFormatting sqref="T57">
    <cfRule type="cellIs" dxfId="3513" priority="138422" stopIfTrue="1" operator="greaterThanOrEqual">
      <formula>0.5</formula>
    </cfRule>
  </conditionalFormatting>
  <conditionalFormatting sqref="T58">
    <cfRule type="cellIs" dxfId="3512" priority="138423" stopIfTrue="1" operator="equal">
      <formula>-1</formula>
    </cfRule>
  </conditionalFormatting>
  <conditionalFormatting sqref="T58">
    <cfRule type="cellIs" dxfId="3511" priority="138424" stopIfTrue="1" operator="lessThan">
      <formula>0.5</formula>
    </cfRule>
  </conditionalFormatting>
  <conditionalFormatting sqref="T58">
    <cfRule type="cellIs" dxfId="3510" priority="138425" stopIfTrue="1" operator="greaterThanOrEqual">
      <formula>0.5</formula>
    </cfRule>
  </conditionalFormatting>
  <conditionalFormatting sqref="V39">
    <cfRule type="cellIs" dxfId="3509" priority="138426" stopIfTrue="1" operator="equal">
      <formula>-1</formula>
    </cfRule>
  </conditionalFormatting>
  <conditionalFormatting sqref="V39">
    <cfRule type="cellIs" dxfId="3508" priority="138427" stopIfTrue="1" operator="lessThan">
      <formula>0.5</formula>
    </cfRule>
  </conditionalFormatting>
  <conditionalFormatting sqref="V39">
    <cfRule type="cellIs" dxfId="3507" priority="138428" stopIfTrue="1" operator="greaterThanOrEqual">
      <formula>0.5</formula>
    </cfRule>
  </conditionalFormatting>
  <conditionalFormatting sqref="V40">
    <cfRule type="cellIs" dxfId="3506" priority="138429" stopIfTrue="1" operator="equal">
      <formula>-1</formula>
    </cfRule>
  </conditionalFormatting>
  <conditionalFormatting sqref="V40">
    <cfRule type="cellIs" dxfId="3505" priority="138430" stopIfTrue="1" operator="lessThan">
      <formula>0.5</formula>
    </cfRule>
  </conditionalFormatting>
  <conditionalFormatting sqref="V40">
    <cfRule type="cellIs" dxfId="3504" priority="138431" stopIfTrue="1" operator="greaterThanOrEqual">
      <formula>0.5</formula>
    </cfRule>
  </conditionalFormatting>
  <conditionalFormatting sqref="V41">
    <cfRule type="cellIs" dxfId="3503" priority="138432" stopIfTrue="1" operator="equal">
      <formula>-1</formula>
    </cfRule>
  </conditionalFormatting>
  <conditionalFormatting sqref="V41">
    <cfRule type="cellIs" dxfId="3502" priority="138433" stopIfTrue="1" operator="lessThan">
      <formula>0.5</formula>
    </cfRule>
  </conditionalFormatting>
  <conditionalFormatting sqref="V41">
    <cfRule type="cellIs" dxfId="3501" priority="138434" stopIfTrue="1" operator="greaterThanOrEqual">
      <formula>0.5</formula>
    </cfRule>
  </conditionalFormatting>
  <conditionalFormatting sqref="V42">
    <cfRule type="cellIs" dxfId="3500" priority="138435" stopIfTrue="1" operator="equal">
      <formula>-1</formula>
    </cfRule>
  </conditionalFormatting>
  <conditionalFormatting sqref="V42">
    <cfRule type="cellIs" dxfId="3499" priority="138436" stopIfTrue="1" operator="lessThan">
      <formula>0.5</formula>
    </cfRule>
  </conditionalFormatting>
  <conditionalFormatting sqref="V42">
    <cfRule type="cellIs" dxfId="3498" priority="138437" stopIfTrue="1" operator="greaterThanOrEqual">
      <formula>0.5</formula>
    </cfRule>
  </conditionalFormatting>
  <conditionalFormatting sqref="V43">
    <cfRule type="cellIs" dxfId="3497" priority="138438" stopIfTrue="1" operator="equal">
      <formula>-1</formula>
    </cfRule>
  </conditionalFormatting>
  <conditionalFormatting sqref="V43">
    <cfRule type="cellIs" dxfId="3496" priority="138439" stopIfTrue="1" operator="lessThan">
      <formula>0.5</formula>
    </cfRule>
  </conditionalFormatting>
  <conditionalFormatting sqref="V43">
    <cfRule type="cellIs" dxfId="3495" priority="138440" stopIfTrue="1" operator="greaterThanOrEqual">
      <formula>0.5</formula>
    </cfRule>
  </conditionalFormatting>
  <conditionalFormatting sqref="V44">
    <cfRule type="cellIs" dxfId="3494" priority="138441" stopIfTrue="1" operator="equal">
      <formula>-1</formula>
    </cfRule>
  </conditionalFormatting>
  <conditionalFormatting sqref="V44">
    <cfRule type="cellIs" dxfId="3493" priority="138442" stopIfTrue="1" operator="lessThan">
      <formula>0.5</formula>
    </cfRule>
  </conditionalFormatting>
  <conditionalFormatting sqref="V44">
    <cfRule type="cellIs" dxfId="3492" priority="138443" stopIfTrue="1" operator="greaterThanOrEqual">
      <formula>0.5</formula>
    </cfRule>
  </conditionalFormatting>
  <conditionalFormatting sqref="V45">
    <cfRule type="cellIs" dxfId="3491" priority="138444" stopIfTrue="1" operator="equal">
      <formula>-1</formula>
    </cfRule>
  </conditionalFormatting>
  <conditionalFormatting sqref="V45">
    <cfRule type="cellIs" dxfId="3490" priority="138445" stopIfTrue="1" operator="lessThan">
      <formula>0.5</formula>
    </cfRule>
  </conditionalFormatting>
  <conditionalFormatting sqref="V45">
    <cfRule type="cellIs" dxfId="3489" priority="138446" stopIfTrue="1" operator="greaterThanOrEqual">
      <formula>0.5</formula>
    </cfRule>
  </conditionalFormatting>
  <conditionalFormatting sqref="V46">
    <cfRule type="cellIs" dxfId="3488" priority="138447" stopIfTrue="1" operator="equal">
      <formula>-1</formula>
    </cfRule>
  </conditionalFormatting>
  <conditionalFormatting sqref="V46">
    <cfRule type="cellIs" dxfId="3487" priority="138448" stopIfTrue="1" operator="lessThan">
      <formula>0.5</formula>
    </cfRule>
  </conditionalFormatting>
  <conditionalFormatting sqref="V46">
    <cfRule type="cellIs" dxfId="3486" priority="138449" stopIfTrue="1" operator="greaterThanOrEqual">
      <formula>0.5</formula>
    </cfRule>
  </conditionalFormatting>
  <conditionalFormatting sqref="V47">
    <cfRule type="cellIs" dxfId="3485" priority="138450" stopIfTrue="1" operator="equal">
      <formula>-1</formula>
    </cfRule>
  </conditionalFormatting>
  <conditionalFormatting sqref="V47">
    <cfRule type="cellIs" dxfId="3484" priority="138451" stopIfTrue="1" operator="lessThan">
      <formula>0.5</formula>
    </cfRule>
  </conditionalFormatting>
  <conditionalFormatting sqref="V47">
    <cfRule type="cellIs" dxfId="3483" priority="138452" stopIfTrue="1" operator="greaterThanOrEqual">
      <formula>0.5</formula>
    </cfRule>
  </conditionalFormatting>
  <conditionalFormatting sqref="V48">
    <cfRule type="cellIs" dxfId="3482" priority="138453" stopIfTrue="1" operator="equal">
      <formula>-1</formula>
    </cfRule>
  </conditionalFormatting>
  <conditionalFormatting sqref="V48">
    <cfRule type="cellIs" dxfId="3481" priority="138454" stopIfTrue="1" operator="lessThan">
      <formula>0.5</formula>
    </cfRule>
  </conditionalFormatting>
  <conditionalFormatting sqref="V48">
    <cfRule type="cellIs" dxfId="3480" priority="138455" stopIfTrue="1" operator="greaterThanOrEqual">
      <formula>0.5</formula>
    </cfRule>
  </conditionalFormatting>
  <conditionalFormatting sqref="V49">
    <cfRule type="cellIs" dxfId="3479" priority="138456" stopIfTrue="1" operator="equal">
      <formula>-1</formula>
    </cfRule>
  </conditionalFormatting>
  <conditionalFormatting sqref="V49">
    <cfRule type="cellIs" dxfId="3478" priority="138457" stopIfTrue="1" operator="lessThan">
      <formula>0.5</formula>
    </cfRule>
  </conditionalFormatting>
  <conditionalFormatting sqref="V49">
    <cfRule type="cellIs" dxfId="3477" priority="138458" stopIfTrue="1" operator="greaterThanOrEqual">
      <formula>0.5</formula>
    </cfRule>
  </conditionalFormatting>
  <conditionalFormatting sqref="V50">
    <cfRule type="cellIs" dxfId="3476" priority="138459" stopIfTrue="1" operator="equal">
      <formula>-1</formula>
    </cfRule>
  </conditionalFormatting>
  <conditionalFormatting sqref="V50">
    <cfRule type="cellIs" dxfId="3475" priority="138460" stopIfTrue="1" operator="lessThan">
      <formula>0.5</formula>
    </cfRule>
  </conditionalFormatting>
  <conditionalFormatting sqref="V50">
    <cfRule type="cellIs" dxfId="3474" priority="138461" stopIfTrue="1" operator="greaterThanOrEqual">
      <formula>0.5</formula>
    </cfRule>
  </conditionalFormatting>
  <conditionalFormatting sqref="V51">
    <cfRule type="cellIs" dxfId="3473" priority="138462" stopIfTrue="1" operator="equal">
      <formula>-1</formula>
    </cfRule>
  </conditionalFormatting>
  <conditionalFormatting sqref="V51">
    <cfRule type="cellIs" dxfId="3472" priority="138463" stopIfTrue="1" operator="lessThan">
      <formula>0.5</formula>
    </cfRule>
  </conditionalFormatting>
  <conditionalFormatting sqref="V51">
    <cfRule type="cellIs" dxfId="3471" priority="138464" stopIfTrue="1" operator="greaterThanOrEqual">
      <formula>0.5</formula>
    </cfRule>
  </conditionalFormatting>
  <conditionalFormatting sqref="V52">
    <cfRule type="cellIs" dxfId="3470" priority="138465" stopIfTrue="1" operator="equal">
      <formula>-1</formula>
    </cfRule>
  </conditionalFormatting>
  <conditionalFormatting sqref="V52">
    <cfRule type="cellIs" dxfId="3469" priority="138466" stopIfTrue="1" operator="lessThan">
      <formula>0.5</formula>
    </cfRule>
  </conditionalFormatting>
  <conditionalFormatting sqref="V52">
    <cfRule type="cellIs" dxfId="3468" priority="138467" stopIfTrue="1" operator="greaterThanOrEqual">
      <formula>0.5</formula>
    </cfRule>
  </conditionalFormatting>
  <conditionalFormatting sqref="V53">
    <cfRule type="cellIs" dxfId="3467" priority="138468" stopIfTrue="1" operator="equal">
      <formula>-1</formula>
    </cfRule>
  </conditionalFormatting>
  <conditionalFormatting sqref="V53">
    <cfRule type="cellIs" dxfId="3466" priority="138469" stopIfTrue="1" operator="lessThan">
      <formula>0.5</formula>
    </cfRule>
  </conditionalFormatting>
  <conditionalFormatting sqref="V53">
    <cfRule type="cellIs" dxfId="3465" priority="138470" stopIfTrue="1" operator="greaterThanOrEqual">
      <formula>0.5</formula>
    </cfRule>
  </conditionalFormatting>
  <conditionalFormatting sqref="V54">
    <cfRule type="cellIs" dxfId="3464" priority="138471" stopIfTrue="1" operator="equal">
      <formula>-1</formula>
    </cfRule>
  </conditionalFormatting>
  <conditionalFormatting sqref="V54">
    <cfRule type="cellIs" dxfId="3463" priority="138472" stopIfTrue="1" operator="lessThan">
      <formula>0.5</formula>
    </cfRule>
  </conditionalFormatting>
  <conditionalFormatting sqref="V54">
    <cfRule type="cellIs" dxfId="3462" priority="138473" stopIfTrue="1" operator="greaterThanOrEqual">
      <formula>0.5</formula>
    </cfRule>
  </conditionalFormatting>
  <conditionalFormatting sqref="V55">
    <cfRule type="cellIs" dxfId="3461" priority="138474" stopIfTrue="1" operator="equal">
      <formula>-1</formula>
    </cfRule>
  </conditionalFormatting>
  <conditionalFormatting sqref="V55">
    <cfRule type="cellIs" dxfId="3460" priority="138475" stopIfTrue="1" operator="lessThan">
      <formula>0.5</formula>
    </cfRule>
  </conditionalFormatting>
  <conditionalFormatting sqref="V55">
    <cfRule type="cellIs" dxfId="3459" priority="138476" stopIfTrue="1" operator="greaterThanOrEqual">
      <formula>0.5</formula>
    </cfRule>
  </conditionalFormatting>
  <conditionalFormatting sqref="V56">
    <cfRule type="cellIs" dxfId="3458" priority="138477" stopIfTrue="1" operator="equal">
      <formula>-1</formula>
    </cfRule>
  </conditionalFormatting>
  <conditionalFormatting sqref="V56">
    <cfRule type="cellIs" dxfId="3457" priority="138478" stopIfTrue="1" operator="lessThan">
      <formula>0.5</formula>
    </cfRule>
  </conditionalFormatting>
  <conditionalFormatting sqref="V56">
    <cfRule type="cellIs" dxfId="3456" priority="138479" stopIfTrue="1" operator="greaterThanOrEqual">
      <formula>0.5</formula>
    </cfRule>
  </conditionalFormatting>
  <conditionalFormatting sqref="V57">
    <cfRule type="cellIs" dxfId="3455" priority="138480" stopIfTrue="1" operator="equal">
      <formula>-1</formula>
    </cfRule>
  </conditionalFormatting>
  <conditionalFormatting sqref="V57">
    <cfRule type="cellIs" dxfId="3454" priority="138481" stopIfTrue="1" operator="lessThan">
      <formula>0.5</formula>
    </cfRule>
  </conditionalFormatting>
  <conditionalFormatting sqref="V57">
    <cfRule type="cellIs" dxfId="3453" priority="138482" stopIfTrue="1" operator="greaterThanOrEqual">
      <formula>0.5</formula>
    </cfRule>
  </conditionalFormatting>
  <conditionalFormatting sqref="V58">
    <cfRule type="cellIs" dxfId="3452" priority="138483" stopIfTrue="1" operator="equal">
      <formula>-1</formula>
    </cfRule>
  </conditionalFormatting>
  <conditionalFormatting sqref="V58">
    <cfRule type="cellIs" dxfId="3451" priority="138484" stopIfTrue="1" operator="lessThan">
      <formula>0.5</formula>
    </cfRule>
  </conditionalFormatting>
  <conditionalFormatting sqref="V58">
    <cfRule type="cellIs" dxfId="3450" priority="138485" stopIfTrue="1" operator="greaterThanOrEqual">
      <formula>0.5</formula>
    </cfRule>
  </conditionalFormatting>
  <conditionalFormatting sqref="X39">
    <cfRule type="cellIs" dxfId="3449" priority="138486" stopIfTrue="1" operator="equal">
      <formula>-1</formula>
    </cfRule>
  </conditionalFormatting>
  <conditionalFormatting sqref="X39">
    <cfRule type="cellIs" dxfId="3448" priority="138487" stopIfTrue="1" operator="lessThan">
      <formula>0.5</formula>
    </cfRule>
  </conditionalFormatting>
  <conditionalFormatting sqref="X39">
    <cfRule type="cellIs" dxfId="3447" priority="138488" stopIfTrue="1" operator="greaterThanOrEqual">
      <formula>0.5</formula>
    </cfRule>
  </conditionalFormatting>
  <conditionalFormatting sqref="X40">
    <cfRule type="cellIs" dxfId="3446" priority="138489" stopIfTrue="1" operator="equal">
      <formula>-1</formula>
    </cfRule>
  </conditionalFormatting>
  <conditionalFormatting sqref="X40">
    <cfRule type="cellIs" dxfId="3445" priority="138490" stopIfTrue="1" operator="lessThan">
      <formula>0.5</formula>
    </cfRule>
  </conditionalFormatting>
  <conditionalFormatting sqref="X40">
    <cfRule type="cellIs" dxfId="3444" priority="138491" stopIfTrue="1" operator="greaterThanOrEqual">
      <formula>0.5</formula>
    </cfRule>
  </conditionalFormatting>
  <conditionalFormatting sqref="X41">
    <cfRule type="cellIs" dxfId="3443" priority="138492" stopIfTrue="1" operator="equal">
      <formula>-1</formula>
    </cfRule>
  </conditionalFormatting>
  <conditionalFormatting sqref="X41">
    <cfRule type="cellIs" dxfId="3442" priority="138493" stopIfTrue="1" operator="lessThan">
      <formula>0.5</formula>
    </cfRule>
  </conditionalFormatting>
  <conditionalFormatting sqref="X41">
    <cfRule type="cellIs" dxfId="3441" priority="138494" stopIfTrue="1" operator="greaterThanOrEqual">
      <formula>0.5</formula>
    </cfRule>
  </conditionalFormatting>
  <conditionalFormatting sqref="X42">
    <cfRule type="cellIs" dxfId="3440" priority="138495" stopIfTrue="1" operator="equal">
      <formula>-1</formula>
    </cfRule>
  </conditionalFormatting>
  <conditionalFormatting sqref="X42">
    <cfRule type="cellIs" dxfId="3439" priority="138496" stopIfTrue="1" operator="lessThan">
      <formula>0.5</formula>
    </cfRule>
  </conditionalFormatting>
  <conditionalFormatting sqref="X42">
    <cfRule type="cellIs" dxfId="3438" priority="138497" stopIfTrue="1" operator="greaterThanOrEqual">
      <formula>0.5</formula>
    </cfRule>
  </conditionalFormatting>
  <conditionalFormatting sqref="X43">
    <cfRule type="cellIs" dxfId="3437" priority="138498" stopIfTrue="1" operator="equal">
      <formula>-1</formula>
    </cfRule>
  </conditionalFormatting>
  <conditionalFormatting sqref="X43">
    <cfRule type="cellIs" dxfId="3436" priority="138499" stopIfTrue="1" operator="lessThan">
      <formula>0.5</formula>
    </cfRule>
  </conditionalFormatting>
  <conditionalFormatting sqref="X43">
    <cfRule type="cellIs" dxfId="3435" priority="138500" stopIfTrue="1" operator="greaterThanOrEqual">
      <formula>0.5</formula>
    </cfRule>
  </conditionalFormatting>
  <conditionalFormatting sqref="X44">
    <cfRule type="cellIs" dxfId="3434" priority="138501" stopIfTrue="1" operator="equal">
      <formula>-1</formula>
    </cfRule>
  </conditionalFormatting>
  <conditionalFormatting sqref="X44">
    <cfRule type="cellIs" dxfId="3433" priority="138502" stopIfTrue="1" operator="lessThan">
      <formula>0.5</formula>
    </cfRule>
  </conditionalFormatting>
  <conditionalFormatting sqref="X44">
    <cfRule type="cellIs" dxfId="3432" priority="138503" stopIfTrue="1" operator="greaterThanOrEqual">
      <formula>0.5</formula>
    </cfRule>
  </conditionalFormatting>
  <conditionalFormatting sqref="X45">
    <cfRule type="cellIs" dxfId="3431" priority="138504" stopIfTrue="1" operator="equal">
      <formula>-1</formula>
    </cfRule>
  </conditionalFormatting>
  <conditionalFormatting sqref="X45">
    <cfRule type="cellIs" dxfId="3430" priority="138505" stopIfTrue="1" operator="lessThan">
      <formula>0.5</formula>
    </cfRule>
  </conditionalFormatting>
  <conditionalFormatting sqref="X45">
    <cfRule type="cellIs" dxfId="3429" priority="138506" stopIfTrue="1" operator="greaterThanOrEqual">
      <formula>0.5</formula>
    </cfRule>
  </conditionalFormatting>
  <conditionalFormatting sqref="X46">
    <cfRule type="cellIs" dxfId="3428" priority="138507" stopIfTrue="1" operator="equal">
      <formula>-1</formula>
    </cfRule>
  </conditionalFormatting>
  <conditionalFormatting sqref="X46">
    <cfRule type="cellIs" dxfId="3427" priority="138508" stopIfTrue="1" operator="lessThan">
      <formula>0.5</formula>
    </cfRule>
  </conditionalFormatting>
  <conditionalFormatting sqref="X46">
    <cfRule type="cellIs" dxfId="3426" priority="138509" stopIfTrue="1" operator="greaterThanOrEqual">
      <formula>0.5</formula>
    </cfRule>
  </conditionalFormatting>
  <conditionalFormatting sqref="X47">
    <cfRule type="cellIs" dxfId="3425" priority="138510" stopIfTrue="1" operator="equal">
      <formula>-1</formula>
    </cfRule>
  </conditionalFormatting>
  <conditionalFormatting sqref="X47">
    <cfRule type="cellIs" dxfId="3424" priority="138511" stopIfTrue="1" operator="lessThan">
      <formula>0.5</formula>
    </cfRule>
  </conditionalFormatting>
  <conditionalFormatting sqref="X47">
    <cfRule type="cellIs" dxfId="3423" priority="138512" stopIfTrue="1" operator="greaterThanOrEqual">
      <formula>0.5</formula>
    </cfRule>
  </conditionalFormatting>
  <conditionalFormatting sqref="X48">
    <cfRule type="cellIs" dxfId="3422" priority="138513" stopIfTrue="1" operator="equal">
      <formula>-1</formula>
    </cfRule>
  </conditionalFormatting>
  <conditionalFormatting sqref="X48">
    <cfRule type="cellIs" dxfId="3421" priority="138514" stopIfTrue="1" operator="lessThan">
      <formula>0.5</formula>
    </cfRule>
  </conditionalFormatting>
  <conditionalFormatting sqref="X48">
    <cfRule type="cellIs" dxfId="3420" priority="138515" stopIfTrue="1" operator="greaterThanOrEqual">
      <formula>0.5</formula>
    </cfRule>
  </conditionalFormatting>
  <conditionalFormatting sqref="X49">
    <cfRule type="cellIs" dxfId="3419" priority="138516" stopIfTrue="1" operator="equal">
      <formula>-1</formula>
    </cfRule>
  </conditionalFormatting>
  <conditionalFormatting sqref="X49">
    <cfRule type="cellIs" dxfId="3418" priority="138517" stopIfTrue="1" operator="lessThan">
      <formula>0.5</formula>
    </cfRule>
  </conditionalFormatting>
  <conditionalFormatting sqref="X49">
    <cfRule type="cellIs" dxfId="3417" priority="138518" stopIfTrue="1" operator="greaterThanOrEqual">
      <formula>0.5</formula>
    </cfRule>
  </conditionalFormatting>
  <conditionalFormatting sqref="X50">
    <cfRule type="cellIs" dxfId="3416" priority="138519" stopIfTrue="1" operator="equal">
      <formula>-1</formula>
    </cfRule>
  </conditionalFormatting>
  <conditionalFormatting sqref="X50">
    <cfRule type="cellIs" dxfId="3415" priority="138520" stopIfTrue="1" operator="lessThan">
      <formula>0.5</formula>
    </cfRule>
  </conditionalFormatting>
  <conditionalFormatting sqref="X50">
    <cfRule type="cellIs" dxfId="3414" priority="138521" stopIfTrue="1" operator="greaterThanOrEqual">
      <formula>0.5</formula>
    </cfRule>
  </conditionalFormatting>
  <conditionalFormatting sqref="X51">
    <cfRule type="cellIs" dxfId="3413" priority="138522" stopIfTrue="1" operator="equal">
      <formula>-1</formula>
    </cfRule>
  </conditionalFormatting>
  <conditionalFormatting sqref="X51">
    <cfRule type="cellIs" dxfId="3412" priority="138523" stopIfTrue="1" operator="lessThan">
      <formula>0.5</formula>
    </cfRule>
  </conditionalFormatting>
  <conditionalFormatting sqref="X51">
    <cfRule type="cellIs" dxfId="3411" priority="138524" stopIfTrue="1" operator="greaterThanOrEqual">
      <formula>0.5</formula>
    </cfRule>
  </conditionalFormatting>
  <conditionalFormatting sqref="X52">
    <cfRule type="cellIs" dxfId="3410" priority="138525" stopIfTrue="1" operator="equal">
      <formula>-1</formula>
    </cfRule>
  </conditionalFormatting>
  <conditionalFormatting sqref="X52">
    <cfRule type="cellIs" dxfId="3409" priority="138526" stopIfTrue="1" operator="lessThan">
      <formula>0.5</formula>
    </cfRule>
  </conditionalFormatting>
  <conditionalFormatting sqref="X52">
    <cfRule type="cellIs" dxfId="3408" priority="138527" stopIfTrue="1" operator="greaterThanOrEqual">
      <formula>0.5</formula>
    </cfRule>
  </conditionalFormatting>
  <conditionalFormatting sqref="X53">
    <cfRule type="cellIs" dxfId="3407" priority="138528" stopIfTrue="1" operator="equal">
      <formula>-1</formula>
    </cfRule>
  </conditionalFormatting>
  <conditionalFormatting sqref="X53">
    <cfRule type="cellIs" dxfId="3406" priority="138529" stopIfTrue="1" operator="lessThan">
      <formula>0.5</formula>
    </cfRule>
  </conditionalFormatting>
  <conditionalFormatting sqref="X53">
    <cfRule type="cellIs" dxfId="3405" priority="138530" stopIfTrue="1" operator="greaterThanOrEqual">
      <formula>0.5</formula>
    </cfRule>
  </conditionalFormatting>
  <conditionalFormatting sqref="X54">
    <cfRule type="cellIs" dxfId="3404" priority="138531" stopIfTrue="1" operator="equal">
      <formula>-1</formula>
    </cfRule>
  </conditionalFormatting>
  <conditionalFormatting sqref="X54">
    <cfRule type="cellIs" dxfId="3403" priority="138532" stopIfTrue="1" operator="lessThan">
      <formula>0.5</formula>
    </cfRule>
  </conditionalFormatting>
  <conditionalFormatting sqref="X54">
    <cfRule type="cellIs" dxfId="3402" priority="138533" stopIfTrue="1" operator="greaterThanOrEqual">
      <formula>0.5</formula>
    </cfRule>
  </conditionalFormatting>
  <conditionalFormatting sqref="X55">
    <cfRule type="cellIs" dxfId="3401" priority="138534" stopIfTrue="1" operator="equal">
      <formula>-1</formula>
    </cfRule>
  </conditionalFormatting>
  <conditionalFormatting sqref="X55">
    <cfRule type="cellIs" dxfId="3400" priority="138535" stopIfTrue="1" operator="lessThan">
      <formula>0.5</formula>
    </cfRule>
  </conditionalFormatting>
  <conditionalFormatting sqref="X55">
    <cfRule type="cellIs" dxfId="3399" priority="138536" stopIfTrue="1" operator="greaterThanOrEqual">
      <formula>0.5</formula>
    </cfRule>
  </conditionalFormatting>
  <conditionalFormatting sqref="X56">
    <cfRule type="cellIs" dxfId="3398" priority="138537" stopIfTrue="1" operator="equal">
      <formula>-1</formula>
    </cfRule>
  </conditionalFormatting>
  <conditionalFormatting sqref="X56">
    <cfRule type="cellIs" dxfId="3397" priority="138538" stopIfTrue="1" operator="lessThan">
      <formula>0.5</formula>
    </cfRule>
  </conditionalFormatting>
  <conditionalFormatting sqref="X56">
    <cfRule type="cellIs" dxfId="3396" priority="138539" stopIfTrue="1" operator="greaterThanOrEqual">
      <formula>0.5</formula>
    </cfRule>
  </conditionalFormatting>
  <conditionalFormatting sqref="X57">
    <cfRule type="cellIs" dxfId="3395" priority="138540" stopIfTrue="1" operator="equal">
      <formula>-1</formula>
    </cfRule>
  </conditionalFormatting>
  <conditionalFormatting sqref="X57">
    <cfRule type="cellIs" dxfId="3394" priority="138541" stopIfTrue="1" operator="lessThan">
      <formula>0.5</formula>
    </cfRule>
  </conditionalFormatting>
  <conditionalFormatting sqref="X57">
    <cfRule type="cellIs" dxfId="3393" priority="138542" stopIfTrue="1" operator="greaterThanOrEqual">
      <formula>0.5</formula>
    </cfRule>
  </conditionalFormatting>
  <conditionalFormatting sqref="X58">
    <cfRule type="cellIs" dxfId="3392" priority="138543" stopIfTrue="1" operator="equal">
      <formula>-1</formula>
    </cfRule>
  </conditionalFormatting>
  <conditionalFormatting sqref="X58">
    <cfRule type="cellIs" dxfId="3391" priority="138544" stopIfTrue="1" operator="lessThan">
      <formula>0.5</formula>
    </cfRule>
  </conditionalFormatting>
  <conditionalFormatting sqref="X58">
    <cfRule type="cellIs" dxfId="3390" priority="138545" stopIfTrue="1" operator="greaterThanOrEqual">
      <formula>0.5</formula>
    </cfRule>
  </conditionalFormatting>
  <conditionalFormatting sqref="Z39">
    <cfRule type="cellIs" dxfId="3389" priority="138546" stopIfTrue="1" operator="equal">
      <formula>-1</formula>
    </cfRule>
  </conditionalFormatting>
  <conditionalFormatting sqref="Z39">
    <cfRule type="cellIs" dxfId="3388" priority="138547" stopIfTrue="1" operator="lessThan">
      <formula>0.5</formula>
    </cfRule>
  </conditionalFormatting>
  <conditionalFormatting sqref="Z39">
    <cfRule type="cellIs" dxfId="3387" priority="138548" stopIfTrue="1" operator="greaterThanOrEqual">
      <formula>0.5</formula>
    </cfRule>
  </conditionalFormatting>
  <conditionalFormatting sqref="Z40">
    <cfRule type="cellIs" dxfId="3386" priority="138549" stopIfTrue="1" operator="equal">
      <formula>-1</formula>
    </cfRule>
  </conditionalFormatting>
  <conditionalFormatting sqref="Z40">
    <cfRule type="cellIs" dxfId="3385" priority="138550" stopIfTrue="1" operator="lessThan">
      <formula>0.5</formula>
    </cfRule>
  </conditionalFormatting>
  <conditionalFormatting sqref="Z40">
    <cfRule type="cellIs" dxfId="3384" priority="138551" stopIfTrue="1" operator="greaterThanOrEqual">
      <formula>0.5</formula>
    </cfRule>
  </conditionalFormatting>
  <conditionalFormatting sqref="Z41">
    <cfRule type="cellIs" dxfId="3383" priority="138552" stopIfTrue="1" operator="equal">
      <formula>-1</formula>
    </cfRule>
  </conditionalFormatting>
  <conditionalFormatting sqref="Z41">
    <cfRule type="cellIs" dxfId="3382" priority="138553" stopIfTrue="1" operator="lessThan">
      <formula>0.5</formula>
    </cfRule>
  </conditionalFormatting>
  <conditionalFormatting sqref="Z41">
    <cfRule type="cellIs" dxfId="3381" priority="138554" stopIfTrue="1" operator="greaterThanOrEqual">
      <formula>0.5</formula>
    </cfRule>
  </conditionalFormatting>
  <conditionalFormatting sqref="Z42">
    <cfRule type="cellIs" dxfId="3380" priority="138555" stopIfTrue="1" operator="equal">
      <formula>-1</formula>
    </cfRule>
  </conditionalFormatting>
  <conditionalFormatting sqref="Z42">
    <cfRule type="cellIs" dxfId="3379" priority="138556" stopIfTrue="1" operator="lessThan">
      <formula>0.5</formula>
    </cfRule>
  </conditionalFormatting>
  <conditionalFormatting sqref="Z42">
    <cfRule type="cellIs" dxfId="3378" priority="138557" stopIfTrue="1" operator="greaterThanOrEqual">
      <formula>0.5</formula>
    </cfRule>
  </conditionalFormatting>
  <conditionalFormatting sqref="Z43">
    <cfRule type="cellIs" dxfId="3377" priority="138558" stopIfTrue="1" operator="equal">
      <formula>-1</formula>
    </cfRule>
  </conditionalFormatting>
  <conditionalFormatting sqref="Z43">
    <cfRule type="cellIs" dxfId="3376" priority="138559" stopIfTrue="1" operator="lessThan">
      <formula>0.5</formula>
    </cfRule>
  </conditionalFormatting>
  <conditionalFormatting sqref="Z43">
    <cfRule type="cellIs" dxfId="3375" priority="138560" stopIfTrue="1" operator="greaterThanOrEqual">
      <formula>0.5</formula>
    </cfRule>
  </conditionalFormatting>
  <conditionalFormatting sqref="Z44">
    <cfRule type="cellIs" dxfId="3374" priority="138561" stopIfTrue="1" operator="equal">
      <formula>-1</formula>
    </cfRule>
  </conditionalFormatting>
  <conditionalFormatting sqref="Z44">
    <cfRule type="cellIs" dxfId="3373" priority="138562" stopIfTrue="1" operator="lessThan">
      <formula>0.5</formula>
    </cfRule>
  </conditionalFormatting>
  <conditionalFormatting sqref="Z44">
    <cfRule type="cellIs" dxfId="3372" priority="138563" stopIfTrue="1" operator="greaterThanOrEqual">
      <formula>0.5</formula>
    </cfRule>
  </conditionalFormatting>
  <conditionalFormatting sqref="Z45">
    <cfRule type="cellIs" dxfId="3371" priority="138564" stopIfTrue="1" operator="equal">
      <formula>-1</formula>
    </cfRule>
  </conditionalFormatting>
  <conditionalFormatting sqref="Z45">
    <cfRule type="cellIs" dxfId="3370" priority="138565" stopIfTrue="1" operator="lessThan">
      <formula>0.5</formula>
    </cfRule>
  </conditionalFormatting>
  <conditionalFormatting sqref="Z45">
    <cfRule type="cellIs" dxfId="3369" priority="138566" stopIfTrue="1" operator="greaterThanOrEqual">
      <formula>0.5</formula>
    </cfRule>
  </conditionalFormatting>
  <conditionalFormatting sqref="Z46">
    <cfRule type="cellIs" dxfId="3368" priority="138567" stopIfTrue="1" operator="equal">
      <formula>-1</formula>
    </cfRule>
  </conditionalFormatting>
  <conditionalFormatting sqref="Z46">
    <cfRule type="cellIs" dxfId="3367" priority="138568" stopIfTrue="1" operator="lessThan">
      <formula>0.5</formula>
    </cfRule>
  </conditionalFormatting>
  <conditionalFormatting sqref="Z46">
    <cfRule type="cellIs" dxfId="3366" priority="138569" stopIfTrue="1" operator="greaterThanOrEqual">
      <formula>0.5</formula>
    </cfRule>
  </conditionalFormatting>
  <conditionalFormatting sqref="Z47">
    <cfRule type="cellIs" dxfId="3365" priority="138570" stopIfTrue="1" operator="equal">
      <formula>-1</formula>
    </cfRule>
  </conditionalFormatting>
  <conditionalFormatting sqref="Z47">
    <cfRule type="cellIs" dxfId="3364" priority="138571" stopIfTrue="1" operator="lessThan">
      <formula>0.5</formula>
    </cfRule>
  </conditionalFormatting>
  <conditionalFormatting sqref="Z47">
    <cfRule type="cellIs" dxfId="3363" priority="138572" stopIfTrue="1" operator="greaterThanOrEqual">
      <formula>0.5</formula>
    </cfRule>
  </conditionalFormatting>
  <conditionalFormatting sqref="Z48">
    <cfRule type="cellIs" dxfId="3362" priority="138573" stopIfTrue="1" operator="equal">
      <formula>-1</formula>
    </cfRule>
  </conditionalFormatting>
  <conditionalFormatting sqref="Z48">
    <cfRule type="cellIs" dxfId="3361" priority="138574" stopIfTrue="1" operator="lessThan">
      <formula>0.5</formula>
    </cfRule>
  </conditionalFormatting>
  <conditionalFormatting sqref="Z48">
    <cfRule type="cellIs" dxfId="3360" priority="138575" stopIfTrue="1" operator="greaterThanOrEqual">
      <formula>0.5</formula>
    </cfRule>
  </conditionalFormatting>
  <conditionalFormatting sqref="Z49">
    <cfRule type="cellIs" dxfId="3359" priority="138576" stopIfTrue="1" operator="equal">
      <formula>-1</formula>
    </cfRule>
  </conditionalFormatting>
  <conditionalFormatting sqref="Z49">
    <cfRule type="cellIs" dxfId="3358" priority="138577" stopIfTrue="1" operator="lessThan">
      <formula>0.5</formula>
    </cfRule>
  </conditionalFormatting>
  <conditionalFormatting sqref="Z49">
    <cfRule type="cellIs" dxfId="3357" priority="138578" stopIfTrue="1" operator="greaterThanOrEqual">
      <formula>0.5</formula>
    </cfRule>
  </conditionalFormatting>
  <conditionalFormatting sqref="Z50">
    <cfRule type="cellIs" dxfId="3356" priority="138579" stopIfTrue="1" operator="equal">
      <formula>-1</formula>
    </cfRule>
  </conditionalFormatting>
  <conditionalFormatting sqref="Z50">
    <cfRule type="cellIs" dxfId="3355" priority="138580" stopIfTrue="1" operator="lessThan">
      <formula>0.5</formula>
    </cfRule>
  </conditionalFormatting>
  <conditionalFormatting sqref="Z50">
    <cfRule type="cellIs" dxfId="3354" priority="138581" stopIfTrue="1" operator="greaterThanOrEqual">
      <formula>0.5</formula>
    </cfRule>
  </conditionalFormatting>
  <conditionalFormatting sqref="Z51">
    <cfRule type="cellIs" dxfId="3353" priority="138582" stopIfTrue="1" operator="equal">
      <formula>-1</formula>
    </cfRule>
  </conditionalFormatting>
  <conditionalFormatting sqref="Z51">
    <cfRule type="cellIs" dxfId="3352" priority="138583" stopIfTrue="1" operator="lessThan">
      <formula>0.5</formula>
    </cfRule>
  </conditionalFormatting>
  <conditionalFormatting sqref="Z51">
    <cfRule type="cellIs" dxfId="3351" priority="138584" stopIfTrue="1" operator="greaterThanOrEqual">
      <formula>0.5</formula>
    </cfRule>
  </conditionalFormatting>
  <conditionalFormatting sqref="Z52">
    <cfRule type="cellIs" dxfId="3350" priority="138585" stopIfTrue="1" operator="equal">
      <formula>-1</formula>
    </cfRule>
  </conditionalFormatting>
  <conditionalFormatting sqref="Z52">
    <cfRule type="cellIs" dxfId="3349" priority="138586" stopIfTrue="1" operator="lessThan">
      <formula>0.5</formula>
    </cfRule>
  </conditionalFormatting>
  <conditionalFormatting sqref="Z52">
    <cfRule type="cellIs" dxfId="3348" priority="138587" stopIfTrue="1" operator="greaterThanOrEqual">
      <formula>0.5</formula>
    </cfRule>
  </conditionalFormatting>
  <conditionalFormatting sqref="Z53">
    <cfRule type="cellIs" dxfId="3347" priority="138588" stopIfTrue="1" operator="equal">
      <formula>-1</formula>
    </cfRule>
  </conditionalFormatting>
  <conditionalFormatting sqref="Z53">
    <cfRule type="cellIs" dxfId="3346" priority="138589" stopIfTrue="1" operator="lessThan">
      <formula>0.5</formula>
    </cfRule>
  </conditionalFormatting>
  <conditionalFormatting sqref="Z53">
    <cfRule type="cellIs" dxfId="3345" priority="138590" stopIfTrue="1" operator="greaterThanOrEqual">
      <formula>0.5</formula>
    </cfRule>
  </conditionalFormatting>
  <conditionalFormatting sqref="Z54">
    <cfRule type="cellIs" dxfId="3344" priority="138591" stopIfTrue="1" operator="equal">
      <formula>-1</formula>
    </cfRule>
  </conditionalFormatting>
  <conditionalFormatting sqref="Z54">
    <cfRule type="cellIs" dxfId="3343" priority="138592" stopIfTrue="1" operator="lessThan">
      <formula>0.5</formula>
    </cfRule>
  </conditionalFormatting>
  <conditionalFormatting sqref="Z54">
    <cfRule type="cellIs" dxfId="3342" priority="138593" stopIfTrue="1" operator="greaterThanOrEqual">
      <formula>0.5</formula>
    </cfRule>
  </conditionalFormatting>
  <conditionalFormatting sqref="Z55">
    <cfRule type="cellIs" dxfId="3341" priority="138594" stopIfTrue="1" operator="equal">
      <formula>-1</formula>
    </cfRule>
  </conditionalFormatting>
  <conditionalFormatting sqref="Z55">
    <cfRule type="cellIs" dxfId="3340" priority="138595" stopIfTrue="1" operator="lessThan">
      <formula>0.5</formula>
    </cfRule>
  </conditionalFormatting>
  <conditionalFormatting sqref="Z55">
    <cfRule type="cellIs" dxfId="3339" priority="138596" stopIfTrue="1" operator="greaterThanOrEqual">
      <formula>0.5</formula>
    </cfRule>
  </conditionalFormatting>
  <conditionalFormatting sqref="Z56">
    <cfRule type="cellIs" dxfId="3338" priority="138597" stopIfTrue="1" operator="equal">
      <formula>-1</formula>
    </cfRule>
  </conditionalFormatting>
  <conditionalFormatting sqref="Z56">
    <cfRule type="cellIs" dxfId="3337" priority="138598" stopIfTrue="1" operator="lessThan">
      <formula>0.5</formula>
    </cfRule>
  </conditionalFormatting>
  <conditionalFormatting sqref="Z56">
    <cfRule type="cellIs" dxfId="3336" priority="138599" stopIfTrue="1" operator="greaterThanOrEqual">
      <formula>0.5</formula>
    </cfRule>
  </conditionalFormatting>
  <conditionalFormatting sqref="Z57">
    <cfRule type="cellIs" dxfId="3335" priority="138600" stopIfTrue="1" operator="equal">
      <formula>-1</formula>
    </cfRule>
  </conditionalFormatting>
  <conditionalFormatting sqref="Z57">
    <cfRule type="cellIs" dxfId="3334" priority="138601" stopIfTrue="1" operator="lessThan">
      <formula>0.5</formula>
    </cfRule>
  </conditionalFormatting>
  <conditionalFormatting sqref="Z57">
    <cfRule type="cellIs" dxfId="3333" priority="138602" stopIfTrue="1" operator="greaterThanOrEqual">
      <formula>0.5</formula>
    </cfRule>
  </conditionalFormatting>
  <conditionalFormatting sqref="Z58">
    <cfRule type="cellIs" dxfId="3332" priority="138603" stopIfTrue="1" operator="equal">
      <formula>-1</formula>
    </cfRule>
  </conditionalFormatting>
  <conditionalFormatting sqref="Z58">
    <cfRule type="cellIs" dxfId="3331" priority="138604" stopIfTrue="1" operator="lessThan">
      <formula>0.5</formula>
    </cfRule>
  </conditionalFormatting>
  <conditionalFormatting sqref="Z58">
    <cfRule type="cellIs" dxfId="3330" priority="138605" stopIfTrue="1" operator="greaterThanOrEqual">
      <formula>0.5</formula>
    </cfRule>
  </conditionalFormatting>
  <conditionalFormatting sqref="AB39">
    <cfRule type="cellIs" dxfId="3329" priority="138606" stopIfTrue="1" operator="equal">
      <formula>-1</formula>
    </cfRule>
  </conditionalFormatting>
  <conditionalFormatting sqref="AB39">
    <cfRule type="cellIs" dxfId="3328" priority="138607" stopIfTrue="1" operator="lessThan">
      <formula>0.5</formula>
    </cfRule>
  </conditionalFormatting>
  <conditionalFormatting sqref="AB39">
    <cfRule type="cellIs" dxfId="3327" priority="138608" stopIfTrue="1" operator="greaterThanOrEqual">
      <formula>0.5</formula>
    </cfRule>
  </conditionalFormatting>
  <conditionalFormatting sqref="AB40">
    <cfRule type="cellIs" dxfId="3326" priority="138609" stopIfTrue="1" operator="equal">
      <formula>-1</formula>
    </cfRule>
  </conditionalFormatting>
  <conditionalFormatting sqref="AB40">
    <cfRule type="cellIs" dxfId="3325" priority="138610" stopIfTrue="1" operator="lessThan">
      <formula>0.5</formula>
    </cfRule>
  </conditionalFormatting>
  <conditionalFormatting sqref="AB40">
    <cfRule type="cellIs" dxfId="3324" priority="138611" stopIfTrue="1" operator="greaterThanOrEqual">
      <formula>0.5</formula>
    </cfRule>
  </conditionalFormatting>
  <conditionalFormatting sqref="AB41">
    <cfRule type="cellIs" dxfId="3323" priority="138612" stopIfTrue="1" operator="equal">
      <formula>-1</formula>
    </cfRule>
  </conditionalFormatting>
  <conditionalFormatting sqref="AB41">
    <cfRule type="cellIs" dxfId="3322" priority="138613" stopIfTrue="1" operator="lessThan">
      <formula>0.5</formula>
    </cfRule>
  </conditionalFormatting>
  <conditionalFormatting sqref="AB41">
    <cfRule type="cellIs" dxfId="3321" priority="138614" stopIfTrue="1" operator="greaterThanOrEqual">
      <formula>0.5</formula>
    </cfRule>
  </conditionalFormatting>
  <conditionalFormatting sqref="AB42">
    <cfRule type="cellIs" dxfId="3320" priority="138615" stopIfTrue="1" operator="equal">
      <formula>-1</formula>
    </cfRule>
  </conditionalFormatting>
  <conditionalFormatting sqref="AB42">
    <cfRule type="cellIs" dxfId="3319" priority="138616" stopIfTrue="1" operator="lessThan">
      <formula>0.5</formula>
    </cfRule>
  </conditionalFormatting>
  <conditionalFormatting sqref="AB42">
    <cfRule type="cellIs" dxfId="3318" priority="138617" stopIfTrue="1" operator="greaterThanOrEqual">
      <formula>0.5</formula>
    </cfRule>
  </conditionalFormatting>
  <conditionalFormatting sqref="AB43">
    <cfRule type="cellIs" dxfId="3317" priority="138618" stopIfTrue="1" operator="equal">
      <formula>-1</formula>
    </cfRule>
  </conditionalFormatting>
  <conditionalFormatting sqref="AB43">
    <cfRule type="cellIs" dxfId="3316" priority="138619" stopIfTrue="1" operator="lessThan">
      <formula>0.5</formula>
    </cfRule>
  </conditionalFormatting>
  <conditionalFormatting sqref="AB43">
    <cfRule type="cellIs" dxfId="3315" priority="138620" stopIfTrue="1" operator="greaterThanOrEqual">
      <formula>0.5</formula>
    </cfRule>
  </conditionalFormatting>
  <conditionalFormatting sqref="AB44">
    <cfRule type="cellIs" dxfId="3314" priority="138621" stopIfTrue="1" operator="equal">
      <formula>-1</formula>
    </cfRule>
  </conditionalFormatting>
  <conditionalFormatting sqref="AB44">
    <cfRule type="cellIs" dxfId="3313" priority="138622" stopIfTrue="1" operator="lessThan">
      <formula>0.5</formula>
    </cfRule>
  </conditionalFormatting>
  <conditionalFormatting sqref="AB44">
    <cfRule type="cellIs" dxfId="3312" priority="138623" stopIfTrue="1" operator="greaterThanOrEqual">
      <formula>0.5</formula>
    </cfRule>
  </conditionalFormatting>
  <conditionalFormatting sqref="AB45">
    <cfRule type="cellIs" dxfId="3311" priority="138624" stopIfTrue="1" operator="equal">
      <formula>-1</formula>
    </cfRule>
  </conditionalFormatting>
  <conditionalFormatting sqref="AB45">
    <cfRule type="cellIs" dxfId="3310" priority="138625" stopIfTrue="1" operator="lessThan">
      <formula>0.5</formula>
    </cfRule>
  </conditionalFormatting>
  <conditionalFormatting sqref="AB45">
    <cfRule type="cellIs" dxfId="3309" priority="138626" stopIfTrue="1" operator="greaterThanOrEqual">
      <formula>0.5</formula>
    </cfRule>
  </conditionalFormatting>
  <conditionalFormatting sqref="AB46">
    <cfRule type="cellIs" dxfId="3308" priority="138627" stopIfTrue="1" operator="equal">
      <formula>-1</formula>
    </cfRule>
  </conditionalFormatting>
  <conditionalFormatting sqref="AB46">
    <cfRule type="cellIs" dxfId="3307" priority="138628" stopIfTrue="1" operator="lessThan">
      <formula>0.5</formula>
    </cfRule>
  </conditionalFormatting>
  <conditionalFormatting sqref="AB46">
    <cfRule type="cellIs" dxfId="3306" priority="138629" stopIfTrue="1" operator="greaterThanOrEqual">
      <formula>0.5</formula>
    </cfRule>
  </conditionalFormatting>
  <conditionalFormatting sqref="AB47">
    <cfRule type="cellIs" dxfId="3305" priority="138630" stopIfTrue="1" operator="equal">
      <formula>-1</formula>
    </cfRule>
  </conditionalFormatting>
  <conditionalFormatting sqref="AB47">
    <cfRule type="cellIs" dxfId="3304" priority="138631" stopIfTrue="1" operator="lessThan">
      <formula>0.5</formula>
    </cfRule>
  </conditionalFormatting>
  <conditionalFormatting sqref="AB47">
    <cfRule type="cellIs" dxfId="3303" priority="138632" stopIfTrue="1" operator="greaterThanOrEqual">
      <formula>0.5</formula>
    </cfRule>
  </conditionalFormatting>
  <conditionalFormatting sqref="AB48">
    <cfRule type="cellIs" dxfId="3302" priority="138633" stopIfTrue="1" operator="equal">
      <formula>-1</formula>
    </cfRule>
  </conditionalFormatting>
  <conditionalFormatting sqref="AB48">
    <cfRule type="cellIs" dxfId="3301" priority="138634" stopIfTrue="1" operator="lessThan">
      <formula>0.5</formula>
    </cfRule>
  </conditionalFormatting>
  <conditionalFormatting sqref="AB48">
    <cfRule type="cellIs" dxfId="3300" priority="138635" stopIfTrue="1" operator="greaterThanOrEqual">
      <formula>0.5</formula>
    </cfRule>
  </conditionalFormatting>
  <conditionalFormatting sqref="AB49">
    <cfRule type="cellIs" dxfId="3299" priority="138636" stopIfTrue="1" operator="equal">
      <formula>-1</formula>
    </cfRule>
  </conditionalFormatting>
  <conditionalFormatting sqref="AB49">
    <cfRule type="cellIs" dxfId="3298" priority="138637" stopIfTrue="1" operator="lessThan">
      <formula>0.5</formula>
    </cfRule>
  </conditionalFormatting>
  <conditionalFormatting sqref="AB49">
    <cfRule type="cellIs" dxfId="3297" priority="138638" stopIfTrue="1" operator="greaterThanOrEqual">
      <formula>0.5</formula>
    </cfRule>
  </conditionalFormatting>
  <conditionalFormatting sqref="AB50">
    <cfRule type="cellIs" dxfId="3296" priority="138639" stopIfTrue="1" operator="equal">
      <formula>-1</formula>
    </cfRule>
  </conditionalFormatting>
  <conditionalFormatting sqref="AB50">
    <cfRule type="cellIs" dxfId="3295" priority="138640" stopIfTrue="1" operator="lessThan">
      <formula>0.5</formula>
    </cfRule>
  </conditionalFormatting>
  <conditionalFormatting sqref="AB50">
    <cfRule type="cellIs" dxfId="3294" priority="138641" stopIfTrue="1" operator="greaterThanOrEqual">
      <formula>0.5</formula>
    </cfRule>
  </conditionalFormatting>
  <conditionalFormatting sqref="AB51">
    <cfRule type="cellIs" dxfId="3293" priority="138642" stopIfTrue="1" operator="equal">
      <formula>-1</formula>
    </cfRule>
  </conditionalFormatting>
  <conditionalFormatting sqref="AB51">
    <cfRule type="cellIs" dxfId="3292" priority="138643" stopIfTrue="1" operator="lessThan">
      <formula>0.5</formula>
    </cfRule>
  </conditionalFormatting>
  <conditionalFormatting sqref="AB51">
    <cfRule type="cellIs" dxfId="3291" priority="138644" stopIfTrue="1" operator="greaterThanOrEqual">
      <formula>0.5</formula>
    </cfRule>
  </conditionalFormatting>
  <conditionalFormatting sqref="AB52">
    <cfRule type="cellIs" dxfId="3290" priority="138645" stopIfTrue="1" operator="equal">
      <formula>-1</formula>
    </cfRule>
  </conditionalFormatting>
  <conditionalFormatting sqref="AB52">
    <cfRule type="cellIs" dxfId="3289" priority="138646" stopIfTrue="1" operator="lessThan">
      <formula>0.5</formula>
    </cfRule>
  </conditionalFormatting>
  <conditionalFormatting sqref="AB52">
    <cfRule type="cellIs" dxfId="3288" priority="138647" stopIfTrue="1" operator="greaterThanOrEqual">
      <formula>0.5</formula>
    </cfRule>
  </conditionalFormatting>
  <conditionalFormatting sqref="AB53">
    <cfRule type="cellIs" dxfId="3287" priority="138648" stopIfTrue="1" operator="equal">
      <formula>-1</formula>
    </cfRule>
  </conditionalFormatting>
  <conditionalFormatting sqref="AB53">
    <cfRule type="cellIs" dxfId="3286" priority="138649" stopIfTrue="1" operator="lessThan">
      <formula>0.5</formula>
    </cfRule>
  </conditionalFormatting>
  <conditionalFormatting sqref="AB53">
    <cfRule type="cellIs" dxfId="3285" priority="138650" stopIfTrue="1" operator="greaterThanOrEqual">
      <formula>0.5</formula>
    </cfRule>
  </conditionalFormatting>
  <conditionalFormatting sqref="AB54">
    <cfRule type="cellIs" dxfId="3284" priority="138651" stopIfTrue="1" operator="equal">
      <formula>-1</formula>
    </cfRule>
  </conditionalFormatting>
  <conditionalFormatting sqref="AB54">
    <cfRule type="cellIs" dxfId="3283" priority="138652" stopIfTrue="1" operator="lessThan">
      <formula>0.5</formula>
    </cfRule>
  </conditionalFormatting>
  <conditionalFormatting sqref="AB54">
    <cfRule type="cellIs" dxfId="3282" priority="138653" stopIfTrue="1" operator="greaterThanOrEqual">
      <formula>0.5</formula>
    </cfRule>
  </conditionalFormatting>
  <conditionalFormatting sqref="AB55">
    <cfRule type="cellIs" dxfId="3281" priority="138654" stopIfTrue="1" operator="equal">
      <formula>-1</formula>
    </cfRule>
  </conditionalFormatting>
  <conditionalFormatting sqref="AB55">
    <cfRule type="cellIs" dxfId="3280" priority="138655" stopIfTrue="1" operator="lessThan">
      <formula>0.5</formula>
    </cfRule>
  </conditionalFormatting>
  <conditionalFormatting sqref="AB55">
    <cfRule type="cellIs" dxfId="3279" priority="138656" stopIfTrue="1" operator="greaterThanOrEqual">
      <formula>0.5</formula>
    </cfRule>
  </conditionalFormatting>
  <conditionalFormatting sqref="AB56">
    <cfRule type="cellIs" dxfId="3278" priority="138657" stopIfTrue="1" operator="equal">
      <formula>-1</formula>
    </cfRule>
  </conditionalFormatting>
  <conditionalFormatting sqref="AB56">
    <cfRule type="cellIs" dxfId="3277" priority="138658" stopIfTrue="1" operator="lessThan">
      <formula>0.5</formula>
    </cfRule>
  </conditionalFormatting>
  <conditionalFormatting sqref="AB56">
    <cfRule type="cellIs" dxfId="3276" priority="138659" stopIfTrue="1" operator="greaterThanOrEqual">
      <formula>0.5</formula>
    </cfRule>
  </conditionalFormatting>
  <conditionalFormatting sqref="AB57">
    <cfRule type="cellIs" dxfId="3275" priority="138660" stopIfTrue="1" operator="equal">
      <formula>-1</formula>
    </cfRule>
  </conditionalFormatting>
  <conditionalFormatting sqref="AB57">
    <cfRule type="cellIs" dxfId="3274" priority="138661" stopIfTrue="1" operator="lessThan">
      <formula>0.5</formula>
    </cfRule>
  </conditionalFormatting>
  <conditionalFormatting sqref="AB57">
    <cfRule type="cellIs" dxfId="3273" priority="138662" stopIfTrue="1" operator="greaterThanOrEqual">
      <formula>0.5</formula>
    </cfRule>
  </conditionalFormatting>
  <conditionalFormatting sqref="AB58">
    <cfRule type="cellIs" dxfId="3272" priority="138663" stopIfTrue="1" operator="equal">
      <formula>-1</formula>
    </cfRule>
  </conditionalFormatting>
  <conditionalFormatting sqref="AB58">
    <cfRule type="cellIs" dxfId="3271" priority="138664" stopIfTrue="1" operator="lessThan">
      <formula>0.5</formula>
    </cfRule>
  </conditionalFormatting>
  <conditionalFormatting sqref="AB58">
    <cfRule type="cellIs" dxfId="3270" priority="138665" stopIfTrue="1" operator="greaterThanOrEqual">
      <formula>0.5</formula>
    </cfRule>
  </conditionalFormatting>
  <conditionalFormatting sqref="AD39">
    <cfRule type="cellIs" dxfId="3269" priority="138666" stopIfTrue="1" operator="equal">
      <formula>-1</formula>
    </cfRule>
  </conditionalFormatting>
  <conditionalFormatting sqref="AD39">
    <cfRule type="cellIs" dxfId="3268" priority="138667" stopIfTrue="1" operator="lessThan">
      <formula>0.5</formula>
    </cfRule>
  </conditionalFormatting>
  <conditionalFormatting sqref="AD39">
    <cfRule type="cellIs" dxfId="3267" priority="138668" stopIfTrue="1" operator="greaterThanOrEqual">
      <formula>0.5</formula>
    </cfRule>
  </conditionalFormatting>
  <conditionalFormatting sqref="AD40">
    <cfRule type="cellIs" dxfId="3266" priority="138669" stopIfTrue="1" operator="equal">
      <formula>-1</formula>
    </cfRule>
  </conditionalFormatting>
  <conditionalFormatting sqref="AD40">
    <cfRule type="cellIs" dxfId="3265" priority="138670" stopIfTrue="1" operator="lessThan">
      <formula>0.5</formula>
    </cfRule>
  </conditionalFormatting>
  <conditionalFormatting sqref="AD40">
    <cfRule type="cellIs" dxfId="3264" priority="138671" stopIfTrue="1" operator="greaterThanOrEqual">
      <formula>0.5</formula>
    </cfRule>
  </conditionalFormatting>
  <conditionalFormatting sqref="AD41">
    <cfRule type="cellIs" dxfId="3263" priority="138672" stopIfTrue="1" operator="equal">
      <formula>-1</formula>
    </cfRule>
  </conditionalFormatting>
  <conditionalFormatting sqref="AD41">
    <cfRule type="cellIs" dxfId="3262" priority="138673" stopIfTrue="1" operator="lessThan">
      <formula>0.5</formula>
    </cfRule>
  </conditionalFormatting>
  <conditionalFormatting sqref="AD41">
    <cfRule type="cellIs" dxfId="3261" priority="138674" stopIfTrue="1" operator="greaterThanOrEqual">
      <formula>0.5</formula>
    </cfRule>
  </conditionalFormatting>
  <conditionalFormatting sqref="AD42">
    <cfRule type="cellIs" dxfId="3260" priority="138675" stopIfTrue="1" operator="equal">
      <formula>-1</formula>
    </cfRule>
  </conditionalFormatting>
  <conditionalFormatting sqref="AD42">
    <cfRule type="cellIs" dxfId="3259" priority="138676" stopIfTrue="1" operator="lessThan">
      <formula>0.5</formula>
    </cfRule>
  </conditionalFormatting>
  <conditionalFormatting sqref="AD42">
    <cfRule type="cellIs" dxfId="3258" priority="138677" stopIfTrue="1" operator="greaterThanOrEqual">
      <formula>0.5</formula>
    </cfRule>
  </conditionalFormatting>
  <conditionalFormatting sqref="AD43">
    <cfRule type="cellIs" dxfId="3257" priority="138678" stopIfTrue="1" operator="equal">
      <formula>-1</formula>
    </cfRule>
  </conditionalFormatting>
  <conditionalFormatting sqref="AD43">
    <cfRule type="cellIs" dxfId="3256" priority="138679" stopIfTrue="1" operator="lessThan">
      <formula>0.5</formula>
    </cfRule>
  </conditionalFormatting>
  <conditionalFormatting sqref="AD43">
    <cfRule type="cellIs" dxfId="3255" priority="138680" stopIfTrue="1" operator="greaterThanOrEqual">
      <formula>0.5</formula>
    </cfRule>
  </conditionalFormatting>
  <conditionalFormatting sqref="AD44">
    <cfRule type="cellIs" dxfId="3254" priority="138681" stopIfTrue="1" operator="equal">
      <formula>-1</formula>
    </cfRule>
  </conditionalFormatting>
  <conditionalFormatting sqref="AD44">
    <cfRule type="cellIs" dxfId="3253" priority="138682" stopIfTrue="1" operator="lessThan">
      <formula>0.5</formula>
    </cfRule>
  </conditionalFormatting>
  <conditionalFormatting sqref="AD44">
    <cfRule type="cellIs" dxfId="3252" priority="138683" stopIfTrue="1" operator="greaterThanOrEqual">
      <formula>0.5</formula>
    </cfRule>
  </conditionalFormatting>
  <conditionalFormatting sqref="AD45">
    <cfRule type="cellIs" dxfId="3251" priority="138684" stopIfTrue="1" operator="equal">
      <formula>-1</formula>
    </cfRule>
  </conditionalFormatting>
  <conditionalFormatting sqref="AD45">
    <cfRule type="cellIs" dxfId="3250" priority="138685" stopIfTrue="1" operator="lessThan">
      <formula>0.5</formula>
    </cfRule>
  </conditionalFormatting>
  <conditionalFormatting sqref="AD45">
    <cfRule type="cellIs" dxfId="3249" priority="138686" stopIfTrue="1" operator="greaterThanOrEqual">
      <formula>0.5</formula>
    </cfRule>
  </conditionalFormatting>
  <conditionalFormatting sqref="AD46">
    <cfRule type="cellIs" dxfId="3248" priority="138687" stopIfTrue="1" operator="equal">
      <formula>-1</formula>
    </cfRule>
  </conditionalFormatting>
  <conditionalFormatting sqref="AD46">
    <cfRule type="cellIs" dxfId="3247" priority="138688" stopIfTrue="1" operator="lessThan">
      <formula>0.5</formula>
    </cfRule>
  </conditionalFormatting>
  <conditionalFormatting sqref="AD46">
    <cfRule type="cellIs" dxfId="3246" priority="138689" stopIfTrue="1" operator="greaterThanOrEqual">
      <formula>0.5</formula>
    </cfRule>
  </conditionalFormatting>
  <conditionalFormatting sqref="AD47">
    <cfRule type="cellIs" dxfId="3245" priority="138690" stopIfTrue="1" operator="equal">
      <formula>-1</formula>
    </cfRule>
  </conditionalFormatting>
  <conditionalFormatting sqref="AD47">
    <cfRule type="cellIs" dxfId="3244" priority="138691" stopIfTrue="1" operator="lessThan">
      <formula>0.5</formula>
    </cfRule>
  </conditionalFormatting>
  <conditionalFormatting sqref="AD47">
    <cfRule type="cellIs" dxfId="3243" priority="138692" stopIfTrue="1" operator="greaterThanOrEqual">
      <formula>0.5</formula>
    </cfRule>
  </conditionalFormatting>
  <conditionalFormatting sqref="AD48">
    <cfRule type="cellIs" dxfId="3242" priority="138693" stopIfTrue="1" operator="equal">
      <formula>-1</formula>
    </cfRule>
  </conditionalFormatting>
  <conditionalFormatting sqref="AD48">
    <cfRule type="cellIs" dxfId="3241" priority="138694" stopIfTrue="1" operator="lessThan">
      <formula>0.5</formula>
    </cfRule>
  </conditionalFormatting>
  <conditionalFormatting sqref="AD48">
    <cfRule type="cellIs" dxfId="3240" priority="138695" stopIfTrue="1" operator="greaterThanOrEqual">
      <formula>0.5</formula>
    </cfRule>
  </conditionalFormatting>
  <conditionalFormatting sqref="AD49">
    <cfRule type="cellIs" dxfId="3239" priority="138696" stopIfTrue="1" operator="equal">
      <formula>-1</formula>
    </cfRule>
  </conditionalFormatting>
  <conditionalFormatting sqref="AD49">
    <cfRule type="cellIs" dxfId="3238" priority="138697" stopIfTrue="1" operator="lessThan">
      <formula>0.5</formula>
    </cfRule>
  </conditionalFormatting>
  <conditionalFormatting sqref="AD49">
    <cfRule type="cellIs" dxfId="3237" priority="138698" stopIfTrue="1" operator="greaterThanOrEqual">
      <formula>0.5</formula>
    </cfRule>
  </conditionalFormatting>
  <conditionalFormatting sqref="AD50">
    <cfRule type="cellIs" dxfId="3236" priority="138699" stopIfTrue="1" operator="equal">
      <formula>-1</formula>
    </cfRule>
  </conditionalFormatting>
  <conditionalFormatting sqref="AD50">
    <cfRule type="cellIs" dxfId="3235" priority="138700" stopIfTrue="1" operator="lessThan">
      <formula>0.5</formula>
    </cfRule>
  </conditionalFormatting>
  <conditionalFormatting sqref="AD50">
    <cfRule type="cellIs" dxfId="3234" priority="138701" stopIfTrue="1" operator="greaterThanOrEqual">
      <formula>0.5</formula>
    </cfRule>
  </conditionalFormatting>
  <conditionalFormatting sqref="AD51">
    <cfRule type="cellIs" dxfId="3233" priority="138702" stopIfTrue="1" operator="equal">
      <formula>-1</formula>
    </cfRule>
  </conditionalFormatting>
  <conditionalFormatting sqref="AD51">
    <cfRule type="cellIs" dxfId="3232" priority="138703" stopIfTrue="1" operator="lessThan">
      <formula>0.5</formula>
    </cfRule>
  </conditionalFormatting>
  <conditionalFormatting sqref="AD51">
    <cfRule type="cellIs" dxfId="3231" priority="138704" stopIfTrue="1" operator="greaterThanOrEqual">
      <formula>0.5</formula>
    </cfRule>
  </conditionalFormatting>
  <conditionalFormatting sqref="AD52">
    <cfRule type="cellIs" dxfId="3230" priority="138705" stopIfTrue="1" operator="equal">
      <formula>-1</formula>
    </cfRule>
  </conditionalFormatting>
  <conditionalFormatting sqref="AD52">
    <cfRule type="cellIs" dxfId="3229" priority="138706" stopIfTrue="1" operator="lessThan">
      <formula>0.5</formula>
    </cfRule>
  </conditionalFormatting>
  <conditionalFormatting sqref="AD52">
    <cfRule type="cellIs" dxfId="3228" priority="138707" stopIfTrue="1" operator="greaterThanOrEqual">
      <formula>0.5</formula>
    </cfRule>
  </conditionalFormatting>
  <conditionalFormatting sqref="AD53">
    <cfRule type="cellIs" dxfId="3227" priority="138708" stopIfTrue="1" operator="equal">
      <formula>-1</formula>
    </cfRule>
  </conditionalFormatting>
  <conditionalFormatting sqref="AD53">
    <cfRule type="cellIs" dxfId="3226" priority="138709" stopIfTrue="1" operator="lessThan">
      <formula>0.5</formula>
    </cfRule>
  </conditionalFormatting>
  <conditionalFormatting sqref="AD53">
    <cfRule type="cellIs" dxfId="3225" priority="138710" stopIfTrue="1" operator="greaterThanOrEqual">
      <formula>0.5</formula>
    </cfRule>
  </conditionalFormatting>
  <conditionalFormatting sqref="AD54">
    <cfRule type="cellIs" dxfId="3224" priority="138711" stopIfTrue="1" operator="equal">
      <formula>-1</formula>
    </cfRule>
  </conditionalFormatting>
  <conditionalFormatting sqref="AD54">
    <cfRule type="cellIs" dxfId="3223" priority="138712" stopIfTrue="1" operator="lessThan">
      <formula>0.5</formula>
    </cfRule>
  </conditionalFormatting>
  <conditionalFormatting sqref="AD54">
    <cfRule type="cellIs" dxfId="3222" priority="138713" stopIfTrue="1" operator="greaterThanOrEqual">
      <formula>0.5</formula>
    </cfRule>
  </conditionalFormatting>
  <conditionalFormatting sqref="AD55">
    <cfRule type="cellIs" dxfId="3221" priority="138714" stopIfTrue="1" operator="equal">
      <formula>-1</formula>
    </cfRule>
  </conditionalFormatting>
  <conditionalFormatting sqref="AD55">
    <cfRule type="cellIs" dxfId="3220" priority="138715" stopIfTrue="1" operator="lessThan">
      <formula>0.5</formula>
    </cfRule>
  </conditionalFormatting>
  <conditionalFormatting sqref="AD55">
    <cfRule type="cellIs" dxfId="3219" priority="138716" stopIfTrue="1" operator="greaterThanOrEqual">
      <formula>0.5</formula>
    </cfRule>
  </conditionalFormatting>
  <conditionalFormatting sqref="AD56">
    <cfRule type="cellIs" dxfId="3218" priority="138717" stopIfTrue="1" operator="equal">
      <formula>-1</formula>
    </cfRule>
  </conditionalFormatting>
  <conditionalFormatting sqref="AD56">
    <cfRule type="cellIs" dxfId="3217" priority="138718" stopIfTrue="1" operator="lessThan">
      <formula>0.5</formula>
    </cfRule>
  </conditionalFormatting>
  <conditionalFormatting sqref="AD56">
    <cfRule type="cellIs" dxfId="3216" priority="138719" stopIfTrue="1" operator="greaterThanOrEqual">
      <formula>0.5</formula>
    </cfRule>
  </conditionalFormatting>
  <conditionalFormatting sqref="AD57">
    <cfRule type="cellIs" dxfId="3215" priority="138720" stopIfTrue="1" operator="equal">
      <formula>-1</formula>
    </cfRule>
  </conditionalFormatting>
  <conditionalFormatting sqref="AD57">
    <cfRule type="cellIs" dxfId="3214" priority="138721" stopIfTrue="1" operator="lessThan">
      <formula>0.5</formula>
    </cfRule>
  </conditionalFormatting>
  <conditionalFormatting sqref="AD57">
    <cfRule type="cellIs" dxfId="3213" priority="138722" stopIfTrue="1" operator="greaterThanOrEqual">
      <formula>0.5</formula>
    </cfRule>
  </conditionalFormatting>
  <conditionalFormatting sqref="AD58">
    <cfRule type="cellIs" dxfId="3212" priority="138723" stopIfTrue="1" operator="equal">
      <formula>-1</formula>
    </cfRule>
  </conditionalFormatting>
  <conditionalFormatting sqref="AD58">
    <cfRule type="cellIs" dxfId="3211" priority="138724" stopIfTrue="1" operator="lessThan">
      <formula>0.5</formula>
    </cfRule>
  </conditionalFormatting>
  <conditionalFormatting sqref="AD58">
    <cfRule type="cellIs" dxfId="3210" priority="138725" stopIfTrue="1" operator="greaterThanOrEqual">
      <formula>0.5</formula>
    </cfRule>
  </conditionalFormatting>
  <conditionalFormatting sqref="AF39">
    <cfRule type="cellIs" dxfId="3209" priority="138726" stopIfTrue="1" operator="equal">
      <formula>-1</formula>
    </cfRule>
  </conditionalFormatting>
  <conditionalFormatting sqref="AF39">
    <cfRule type="cellIs" dxfId="3208" priority="138727" stopIfTrue="1" operator="lessThan">
      <formula>0.5</formula>
    </cfRule>
  </conditionalFormatting>
  <conditionalFormatting sqref="AF39">
    <cfRule type="cellIs" dxfId="3207" priority="138728" stopIfTrue="1" operator="greaterThanOrEqual">
      <formula>0.5</formula>
    </cfRule>
  </conditionalFormatting>
  <conditionalFormatting sqref="AF40">
    <cfRule type="cellIs" dxfId="3206" priority="138729" stopIfTrue="1" operator="equal">
      <formula>-1</formula>
    </cfRule>
  </conditionalFormatting>
  <conditionalFormatting sqref="AF40">
    <cfRule type="cellIs" dxfId="3205" priority="138730" stopIfTrue="1" operator="lessThan">
      <formula>0.5</formula>
    </cfRule>
  </conditionalFormatting>
  <conditionalFormatting sqref="AF40">
    <cfRule type="cellIs" dxfId="3204" priority="138731" stopIfTrue="1" operator="greaterThanOrEqual">
      <formula>0.5</formula>
    </cfRule>
  </conditionalFormatting>
  <conditionalFormatting sqref="AF41">
    <cfRule type="cellIs" dxfId="3203" priority="138732" stopIfTrue="1" operator="equal">
      <formula>-1</formula>
    </cfRule>
  </conditionalFormatting>
  <conditionalFormatting sqref="AF41">
    <cfRule type="cellIs" dxfId="3202" priority="138733" stopIfTrue="1" operator="lessThan">
      <formula>0.5</formula>
    </cfRule>
  </conditionalFormatting>
  <conditionalFormatting sqref="AF41">
    <cfRule type="cellIs" dxfId="3201" priority="138734" stopIfTrue="1" operator="greaterThanOrEqual">
      <formula>0.5</formula>
    </cfRule>
  </conditionalFormatting>
  <conditionalFormatting sqref="AF42">
    <cfRule type="cellIs" dxfId="3200" priority="138735" stopIfTrue="1" operator="equal">
      <formula>-1</formula>
    </cfRule>
  </conditionalFormatting>
  <conditionalFormatting sqref="AF42">
    <cfRule type="cellIs" dxfId="3199" priority="138736" stopIfTrue="1" operator="lessThan">
      <formula>0.5</formula>
    </cfRule>
  </conditionalFormatting>
  <conditionalFormatting sqref="AF42">
    <cfRule type="cellIs" dxfId="3198" priority="138737" stopIfTrue="1" operator="greaterThanOrEqual">
      <formula>0.5</formula>
    </cfRule>
  </conditionalFormatting>
  <conditionalFormatting sqref="AF43">
    <cfRule type="cellIs" dxfId="3197" priority="138738" stopIfTrue="1" operator="equal">
      <formula>-1</formula>
    </cfRule>
  </conditionalFormatting>
  <conditionalFormatting sqref="AF43">
    <cfRule type="cellIs" dxfId="3196" priority="138739" stopIfTrue="1" operator="lessThan">
      <formula>0.5</formula>
    </cfRule>
  </conditionalFormatting>
  <conditionalFormatting sqref="AF43">
    <cfRule type="cellIs" dxfId="3195" priority="138740" stopIfTrue="1" operator="greaterThanOrEqual">
      <formula>0.5</formula>
    </cfRule>
  </conditionalFormatting>
  <conditionalFormatting sqref="AF44">
    <cfRule type="cellIs" dxfId="3194" priority="138741" stopIfTrue="1" operator="equal">
      <formula>-1</formula>
    </cfRule>
  </conditionalFormatting>
  <conditionalFormatting sqref="AF44">
    <cfRule type="cellIs" dxfId="3193" priority="138742" stopIfTrue="1" operator="lessThan">
      <formula>0.5</formula>
    </cfRule>
  </conditionalFormatting>
  <conditionalFormatting sqref="AF44">
    <cfRule type="cellIs" dxfId="3192" priority="138743" stopIfTrue="1" operator="greaterThanOrEqual">
      <formula>0.5</formula>
    </cfRule>
  </conditionalFormatting>
  <conditionalFormatting sqref="AF45">
    <cfRule type="cellIs" dxfId="3191" priority="138744" stopIfTrue="1" operator="equal">
      <formula>-1</formula>
    </cfRule>
  </conditionalFormatting>
  <conditionalFormatting sqref="AF45">
    <cfRule type="cellIs" dxfId="3190" priority="138745" stopIfTrue="1" operator="lessThan">
      <formula>0.5</formula>
    </cfRule>
  </conditionalFormatting>
  <conditionalFormatting sqref="AF45">
    <cfRule type="cellIs" dxfId="3189" priority="138746" stopIfTrue="1" operator="greaterThanOrEqual">
      <formula>0.5</formula>
    </cfRule>
  </conditionalFormatting>
  <conditionalFormatting sqref="AF46">
    <cfRule type="cellIs" dxfId="3188" priority="138747" stopIfTrue="1" operator="equal">
      <formula>-1</formula>
    </cfRule>
  </conditionalFormatting>
  <conditionalFormatting sqref="AF46">
    <cfRule type="cellIs" dxfId="3187" priority="138748" stopIfTrue="1" operator="lessThan">
      <formula>0.5</formula>
    </cfRule>
  </conditionalFormatting>
  <conditionalFormatting sqref="AF46">
    <cfRule type="cellIs" dxfId="3186" priority="138749" stopIfTrue="1" operator="greaterThanOrEqual">
      <formula>0.5</formula>
    </cfRule>
  </conditionalFormatting>
  <conditionalFormatting sqref="AF47">
    <cfRule type="cellIs" dxfId="3185" priority="138750" stopIfTrue="1" operator="equal">
      <formula>-1</formula>
    </cfRule>
  </conditionalFormatting>
  <conditionalFormatting sqref="AF47">
    <cfRule type="cellIs" dxfId="3184" priority="138751" stopIfTrue="1" operator="lessThan">
      <formula>0.5</formula>
    </cfRule>
  </conditionalFormatting>
  <conditionalFormatting sqref="AF47">
    <cfRule type="cellIs" dxfId="3183" priority="138752" stopIfTrue="1" operator="greaterThanOrEqual">
      <formula>0.5</formula>
    </cfRule>
  </conditionalFormatting>
  <conditionalFormatting sqref="AF48">
    <cfRule type="cellIs" dxfId="3182" priority="138753" stopIfTrue="1" operator="equal">
      <formula>-1</formula>
    </cfRule>
  </conditionalFormatting>
  <conditionalFormatting sqref="AF48">
    <cfRule type="cellIs" dxfId="3181" priority="138754" stopIfTrue="1" operator="lessThan">
      <formula>0.5</formula>
    </cfRule>
  </conditionalFormatting>
  <conditionalFormatting sqref="AF48">
    <cfRule type="cellIs" dxfId="3180" priority="138755" stopIfTrue="1" operator="greaterThanOrEqual">
      <formula>0.5</formula>
    </cfRule>
  </conditionalFormatting>
  <conditionalFormatting sqref="AF49">
    <cfRule type="cellIs" dxfId="3179" priority="138756" stopIfTrue="1" operator="equal">
      <formula>-1</formula>
    </cfRule>
  </conditionalFormatting>
  <conditionalFormatting sqref="AF49">
    <cfRule type="cellIs" dxfId="3178" priority="138757" stopIfTrue="1" operator="lessThan">
      <formula>0.5</formula>
    </cfRule>
  </conditionalFormatting>
  <conditionalFormatting sqref="AF49">
    <cfRule type="cellIs" dxfId="3177" priority="138758" stopIfTrue="1" operator="greaterThanOrEqual">
      <formula>0.5</formula>
    </cfRule>
  </conditionalFormatting>
  <conditionalFormatting sqref="AF50">
    <cfRule type="cellIs" dxfId="3176" priority="138759" stopIfTrue="1" operator="equal">
      <formula>-1</formula>
    </cfRule>
  </conditionalFormatting>
  <conditionalFormatting sqref="AF50">
    <cfRule type="cellIs" dxfId="3175" priority="138760" stopIfTrue="1" operator="lessThan">
      <formula>0.5</formula>
    </cfRule>
  </conditionalFormatting>
  <conditionalFormatting sqref="AF50">
    <cfRule type="cellIs" dxfId="3174" priority="138761" stopIfTrue="1" operator="greaterThanOrEqual">
      <formula>0.5</formula>
    </cfRule>
  </conditionalFormatting>
  <conditionalFormatting sqref="AF51">
    <cfRule type="cellIs" dxfId="3173" priority="138762" stopIfTrue="1" operator="equal">
      <formula>-1</formula>
    </cfRule>
  </conditionalFormatting>
  <conditionalFormatting sqref="AF51">
    <cfRule type="cellIs" dxfId="3172" priority="138763" stopIfTrue="1" operator="lessThan">
      <formula>0.5</formula>
    </cfRule>
  </conditionalFormatting>
  <conditionalFormatting sqref="AF51">
    <cfRule type="cellIs" dxfId="3171" priority="138764" stopIfTrue="1" operator="greaterThanOrEqual">
      <formula>0.5</formula>
    </cfRule>
  </conditionalFormatting>
  <conditionalFormatting sqref="AF52">
    <cfRule type="cellIs" dxfId="3170" priority="138765" stopIfTrue="1" operator="equal">
      <formula>-1</formula>
    </cfRule>
  </conditionalFormatting>
  <conditionalFormatting sqref="AF52">
    <cfRule type="cellIs" dxfId="3169" priority="138766" stopIfTrue="1" operator="lessThan">
      <formula>0.5</formula>
    </cfRule>
  </conditionalFormatting>
  <conditionalFormatting sqref="AF52">
    <cfRule type="cellIs" dxfId="3168" priority="138767" stopIfTrue="1" operator="greaterThanOrEqual">
      <formula>0.5</formula>
    </cfRule>
  </conditionalFormatting>
  <conditionalFormatting sqref="AF53">
    <cfRule type="cellIs" dxfId="3167" priority="138768" stopIfTrue="1" operator="equal">
      <formula>-1</formula>
    </cfRule>
  </conditionalFormatting>
  <conditionalFormatting sqref="AF53">
    <cfRule type="cellIs" dxfId="3166" priority="138769" stopIfTrue="1" operator="lessThan">
      <formula>0.5</formula>
    </cfRule>
  </conditionalFormatting>
  <conditionalFormatting sqref="AF53">
    <cfRule type="cellIs" dxfId="3165" priority="138770" stopIfTrue="1" operator="greaterThanOrEqual">
      <formula>0.5</formula>
    </cfRule>
  </conditionalFormatting>
  <conditionalFormatting sqref="AF54">
    <cfRule type="cellIs" dxfId="3164" priority="138771" stopIfTrue="1" operator="equal">
      <formula>-1</formula>
    </cfRule>
  </conditionalFormatting>
  <conditionalFormatting sqref="AF54">
    <cfRule type="cellIs" dxfId="3163" priority="138772" stopIfTrue="1" operator="lessThan">
      <formula>0.5</formula>
    </cfRule>
  </conditionalFormatting>
  <conditionalFormatting sqref="AF54">
    <cfRule type="cellIs" dxfId="3162" priority="138773" stopIfTrue="1" operator="greaterThanOrEqual">
      <formula>0.5</formula>
    </cfRule>
  </conditionalFormatting>
  <conditionalFormatting sqref="AF55">
    <cfRule type="cellIs" dxfId="3161" priority="138774" stopIfTrue="1" operator="equal">
      <formula>-1</formula>
    </cfRule>
  </conditionalFormatting>
  <conditionalFormatting sqref="AF55">
    <cfRule type="cellIs" dxfId="3160" priority="138775" stopIfTrue="1" operator="lessThan">
      <formula>0.5</formula>
    </cfRule>
  </conditionalFormatting>
  <conditionalFormatting sqref="AF55">
    <cfRule type="cellIs" dxfId="3159" priority="138776" stopIfTrue="1" operator="greaterThanOrEqual">
      <formula>0.5</formula>
    </cfRule>
  </conditionalFormatting>
  <conditionalFormatting sqref="AF56">
    <cfRule type="cellIs" dxfId="3158" priority="138777" stopIfTrue="1" operator="equal">
      <formula>-1</formula>
    </cfRule>
  </conditionalFormatting>
  <conditionalFormatting sqref="AF56">
    <cfRule type="cellIs" dxfId="3157" priority="138778" stopIfTrue="1" operator="lessThan">
      <formula>0.5</formula>
    </cfRule>
  </conditionalFormatting>
  <conditionalFormatting sqref="AF56">
    <cfRule type="cellIs" dxfId="3156" priority="138779" stopIfTrue="1" operator="greaterThanOrEqual">
      <formula>0.5</formula>
    </cfRule>
  </conditionalFormatting>
  <conditionalFormatting sqref="AF57">
    <cfRule type="cellIs" dxfId="3155" priority="138780" stopIfTrue="1" operator="equal">
      <formula>-1</formula>
    </cfRule>
  </conditionalFormatting>
  <conditionalFormatting sqref="AF57">
    <cfRule type="cellIs" dxfId="3154" priority="138781" stopIfTrue="1" operator="lessThan">
      <formula>0.5</formula>
    </cfRule>
  </conditionalFormatting>
  <conditionalFormatting sqref="AF57">
    <cfRule type="cellIs" dxfId="3153" priority="138782" stopIfTrue="1" operator="greaterThanOrEqual">
      <formula>0.5</formula>
    </cfRule>
  </conditionalFormatting>
  <conditionalFormatting sqref="AF58">
    <cfRule type="cellIs" dxfId="3152" priority="138783" stopIfTrue="1" operator="equal">
      <formula>-1</formula>
    </cfRule>
  </conditionalFormatting>
  <conditionalFormatting sqref="AF58">
    <cfRule type="cellIs" dxfId="3151" priority="138784" stopIfTrue="1" operator="lessThan">
      <formula>0.5</formula>
    </cfRule>
  </conditionalFormatting>
  <conditionalFormatting sqref="AF58">
    <cfRule type="cellIs" dxfId="3150" priority="138785" stopIfTrue="1" operator="greaterThanOrEqual">
      <formula>0.5</formula>
    </cfRule>
  </conditionalFormatting>
  <conditionalFormatting sqref="AH39">
    <cfRule type="cellIs" dxfId="3149" priority="138786" stopIfTrue="1" operator="equal">
      <formula>-1</formula>
    </cfRule>
  </conditionalFormatting>
  <conditionalFormatting sqref="AH39">
    <cfRule type="cellIs" dxfId="3148" priority="138787" stopIfTrue="1" operator="lessThan">
      <formula>0.5</formula>
    </cfRule>
  </conditionalFormatting>
  <conditionalFormatting sqref="AH39">
    <cfRule type="cellIs" dxfId="3147" priority="138788" stopIfTrue="1" operator="greaterThanOrEqual">
      <formula>0.5</formula>
    </cfRule>
  </conditionalFormatting>
  <conditionalFormatting sqref="AH40">
    <cfRule type="cellIs" dxfId="3146" priority="138789" stopIfTrue="1" operator="equal">
      <formula>-1</formula>
    </cfRule>
  </conditionalFormatting>
  <conditionalFormatting sqref="AH40">
    <cfRule type="cellIs" dxfId="3145" priority="138790" stopIfTrue="1" operator="lessThan">
      <formula>0.5</formula>
    </cfRule>
  </conditionalFormatting>
  <conditionalFormatting sqref="AH40">
    <cfRule type="cellIs" dxfId="3144" priority="138791" stopIfTrue="1" operator="greaterThanOrEqual">
      <formula>0.5</formula>
    </cfRule>
  </conditionalFormatting>
  <conditionalFormatting sqref="AH41">
    <cfRule type="cellIs" dxfId="3143" priority="138792" stopIfTrue="1" operator="equal">
      <formula>-1</formula>
    </cfRule>
  </conditionalFormatting>
  <conditionalFormatting sqref="AH41">
    <cfRule type="cellIs" dxfId="3142" priority="138793" stopIfTrue="1" operator="lessThan">
      <formula>0.5</formula>
    </cfRule>
  </conditionalFormatting>
  <conditionalFormatting sqref="AH41">
    <cfRule type="cellIs" dxfId="3141" priority="138794" stopIfTrue="1" operator="greaterThanOrEqual">
      <formula>0.5</formula>
    </cfRule>
  </conditionalFormatting>
  <conditionalFormatting sqref="AH42">
    <cfRule type="cellIs" dxfId="3140" priority="138795" stopIfTrue="1" operator="equal">
      <formula>-1</formula>
    </cfRule>
  </conditionalFormatting>
  <conditionalFormatting sqref="AH42">
    <cfRule type="cellIs" dxfId="3139" priority="138796" stopIfTrue="1" operator="lessThan">
      <formula>0.5</formula>
    </cfRule>
  </conditionalFormatting>
  <conditionalFormatting sqref="AH42">
    <cfRule type="cellIs" dxfId="3138" priority="138797" stopIfTrue="1" operator="greaterThanOrEqual">
      <formula>0.5</formula>
    </cfRule>
  </conditionalFormatting>
  <conditionalFormatting sqref="AH43">
    <cfRule type="cellIs" dxfId="3137" priority="138798" stopIfTrue="1" operator="equal">
      <formula>-1</formula>
    </cfRule>
  </conditionalFormatting>
  <conditionalFormatting sqref="AH43">
    <cfRule type="cellIs" dxfId="3136" priority="138799" stopIfTrue="1" operator="lessThan">
      <formula>0.5</formula>
    </cfRule>
  </conditionalFormatting>
  <conditionalFormatting sqref="AH43">
    <cfRule type="cellIs" dxfId="3135" priority="138800" stopIfTrue="1" operator="greaterThanOrEqual">
      <formula>0.5</formula>
    </cfRule>
  </conditionalFormatting>
  <conditionalFormatting sqref="AH44">
    <cfRule type="cellIs" dxfId="3134" priority="138801" stopIfTrue="1" operator="equal">
      <formula>-1</formula>
    </cfRule>
  </conditionalFormatting>
  <conditionalFormatting sqref="AH44">
    <cfRule type="cellIs" dxfId="3133" priority="138802" stopIfTrue="1" operator="lessThan">
      <formula>0.5</formula>
    </cfRule>
  </conditionalFormatting>
  <conditionalFormatting sqref="AH44">
    <cfRule type="cellIs" dxfId="3132" priority="138803" stopIfTrue="1" operator="greaterThanOrEqual">
      <formula>0.5</formula>
    </cfRule>
  </conditionalFormatting>
  <conditionalFormatting sqref="AH45">
    <cfRule type="cellIs" dxfId="3131" priority="138804" stopIfTrue="1" operator="equal">
      <formula>-1</formula>
    </cfRule>
  </conditionalFormatting>
  <conditionalFormatting sqref="AH45">
    <cfRule type="cellIs" dxfId="3130" priority="138805" stopIfTrue="1" operator="lessThan">
      <formula>0.5</formula>
    </cfRule>
  </conditionalFormatting>
  <conditionalFormatting sqref="AH45">
    <cfRule type="cellIs" dxfId="3129" priority="138806" stopIfTrue="1" operator="greaterThanOrEqual">
      <formula>0.5</formula>
    </cfRule>
  </conditionalFormatting>
  <conditionalFormatting sqref="AH46">
    <cfRule type="cellIs" dxfId="3128" priority="138807" stopIfTrue="1" operator="equal">
      <formula>-1</formula>
    </cfRule>
  </conditionalFormatting>
  <conditionalFormatting sqref="AH46">
    <cfRule type="cellIs" dxfId="3127" priority="138808" stopIfTrue="1" operator="lessThan">
      <formula>0.5</formula>
    </cfRule>
  </conditionalFormatting>
  <conditionalFormatting sqref="AH46">
    <cfRule type="cellIs" dxfId="3126" priority="138809" stopIfTrue="1" operator="greaterThanOrEqual">
      <formula>0.5</formula>
    </cfRule>
  </conditionalFormatting>
  <conditionalFormatting sqref="AH47">
    <cfRule type="cellIs" dxfId="3125" priority="138810" stopIfTrue="1" operator="equal">
      <formula>-1</formula>
    </cfRule>
  </conditionalFormatting>
  <conditionalFormatting sqref="AH47">
    <cfRule type="cellIs" dxfId="3124" priority="138811" stopIfTrue="1" operator="lessThan">
      <formula>0.5</formula>
    </cfRule>
  </conditionalFormatting>
  <conditionalFormatting sqref="AH47">
    <cfRule type="cellIs" dxfId="3123" priority="138812" stopIfTrue="1" operator="greaterThanOrEqual">
      <formula>0.5</formula>
    </cfRule>
  </conditionalFormatting>
  <conditionalFormatting sqref="AH48">
    <cfRule type="cellIs" dxfId="3122" priority="138813" stopIfTrue="1" operator="equal">
      <formula>-1</formula>
    </cfRule>
  </conditionalFormatting>
  <conditionalFormatting sqref="AH48">
    <cfRule type="cellIs" dxfId="3121" priority="138814" stopIfTrue="1" operator="lessThan">
      <formula>0.5</formula>
    </cfRule>
  </conditionalFormatting>
  <conditionalFormatting sqref="AH48">
    <cfRule type="cellIs" dxfId="3120" priority="138815" stopIfTrue="1" operator="greaterThanOrEqual">
      <formula>0.5</formula>
    </cfRule>
  </conditionalFormatting>
  <conditionalFormatting sqref="AH49">
    <cfRule type="cellIs" dxfId="3119" priority="138816" stopIfTrue="1" operator="equal">
      <formula>-1</formula>
    </cfRule>
  </conditionalFormatting>
  <conditionalFormatting sqref="AH49">
    <cfRule type="cellIs" dxfId="3118" priority="138817" stopIfTrue="1" operator="lessThan">
      <formula>0.5</formula>
    </cfRule>
  </conditionalFormatting>
  <conditionalFormatting sqref="AH49">
    <cfRule type="cellIs" dxfId="3117" priority="138818" stopIfTrue="1" operator="greaterThanOrEqual">
      <formula>0.5</formula>
    </cfRule>
  </conditionalFormatting>
  <conditionalFormatting sqref="AH50">
    <cfRule type="cellIs" dxfId="3116" priority="138819" stopIfTrue="1" operator="equal">
      <formula>-1</formula>
    </cfRule>
  </conditionalFormatting>
  <conditionalFormatting sqref="AH50">
    <cfRule type="cellIs" dxfId="3115" priority="138820" stopIfTrue="1" operator="lessThan">
      <formula>0.5</formula>
    </cfRule>
  </conditionalFormatting>
  <conditionalFormatting sqref="AH50">
    <cfRule type="cellIs" dxfId="3114" priority="138821" stopIfTrue="1" operator="greaterThanOrEqual">
      <formula>0.5</formula>
    </cfRule>
  </conditionalFormatting>
  <conditionalFormatting sqref="AH51">
    <cfRule type="cellIs" dxfId="3113" priority="138822" stopIfTrue="1" operator="equal">
      <formula>-1</formula>
    </cfRule>
  </conditionalFormatting>
  <conditionalFormatting sqref="AH51">
    <cfRule type="cellIs" dxfId="3112" priority="138823" stopIfTrue="1" operator="lessThan">
      <formula>0.5</formula>
    </cfRule>
  </conditionalFormatting>
  <conditionalFormatting sqref="AH51">
    <cfRule type="cellIs" dxfId="3111" priority="138824" stopIfTrue="1" operator="greaterThanOrEqual">
      <formula>0.5</formula>
    </cfRule>
  </conditionalFormatting>
  <conditionalFormatting sqref="AH52">
    <cfRule type="cellIs" dxfId="3110" priority="138825" stopIfTrue="1" operator="equal">
      <formula>-1</formula>
    </cfRule>
  </conditionalFormatting>
  <conditionalFormatting sqref="AH52">
    <cfRule type="cellIs" dxfId="3109" priority="138826" stopIfTrue="1" operator="lessThan">
      <formula>0.5</formula>
    </cfRule>
  </conditionalFormatting>
  <conditionalFormatting sqref="AH52">
    <cfRule type="cellIs" dxfId="3108" priority="138827" stopIfTrue="1" operator="greaterThanOrEqual">
      <formula>0.5</formula>
    </cfRule>
  </conditionalFormatting>
  <conditionalFormatting sqref="AH53">
    <cfRule type="cellIs" dxfId="3107" priority="138828" stopIfTrue="1" operator="equal">
      <formula>-1</formula>
    </cfRule>
  </conditionalFormatting>
  <conditionalFormatting sqref="AH53">
    <cfRule type="cellIs" dxfId="3106" priority="138829" stopIfTrue="1" operator="lessThan">
      <formula>0.5</formula>
    </cfRule>
  </conditionalFormatting>
  <conditionalFormatting sqref="AH53">
    <cfRule type="cellIs" dxfId="3105" priority="138830" stopIfTrue="1" operator="greaterThanOrEqual">
      <formula>0.5</formula>
    </cfRule>
  </conditionalFormatting>
  <conditionalFormatting sqref="AH54">
    <cfRule type="cellIs" dxfId="3104" priority="138831" stopIfTrue="1" operator="equal">
      <formula>-1</formula>
    </cfRule>
  </conditionalFormatting>
  <conditionalFormatting sqref="AH54">
    <cfRule type="cellIs" dxfId="3103" priority="138832" stopIfTrue="1" operator="lessThan">
      <formula>0.5</formula>
    </cfRule>
  </conditionalFormatting>
  <conditionalFormatting sqref="AH54">
    <cfRule type="cellIs" dxfId="3102" priority="138833" stopIfTrue="1" operator="greaterThanOrEqual">
      <formula>0.5</formula>
    </cfRule>
  </conditionalFormatting>
  <conditionalFormatting sqref="AH55">
    <cfRule type="cellIs" dxfId="3101" priority="138834" stopIfTrue="1" operator="equal">
      <formula>-1</formula>
    </cfRule>
  </conditionalFormatting>
  <conditionalFormatting sqref="AH55">
    <cfRule type="cellIs" dxfId="3100" priority="138835" stopIfTrue="1" operator="lessThan">
      <formula>0.5</formula>
    </cfRule>
  </conditionalFormatting>
  <conditionalFormatting sqref="AH55">
    <cfRule type="cellIs" dxfId="3099" priority="138836" stopIfTrue="1" operator="greaterThanOrEqual">
      <formula>0.5</formula>
    </cfRule>
  </conditionalFormatting>
  <conditionalFormatting sqref="AH56">
    <cfRule type="cellIs" dxfId="3098" priority="138837" stopIfTrue="1" operator="equal">
      <formula>-1</formula>
    </cfRule>
  </conditionalFormatting>
  <conditionalFormatting sqref="AH56">
    <cfRule type="cellIs" dxfId="3097" priority="138838" stopIfTrue="1" operator="lessThan">
      <formula>0.5</formula>
    </cfRule>
  </conditionalFormatting>
  <conditionalFormatting sqref="AH56">
    <cfRule type="cellIs" dxfId="3096" priority="138839" stopIfTrue="1" operator="greaterThanOrEqual">
      <formula>0.5</formula>
    </cfRule>
  </conditionalFormatting>
  <conditionalFormatting sqref="AH57">
    <cfRule type="cellIs" dxfId="3095" priority="138840" stopIfTrue="1" operator="equal">
      <formula>-1</formula>
    </cfRule>
  </conditionalFormatting>
  <conditionalFormatting sqref="AH57">
    <cfRule type="cellIs" dxfId="3094" priority="138841" stopIfTrue="1" operator="lessThan">
      <formula>0.5</formula>
    </cfRule>
  </conditionalFormatting>
  <conditionalFormatting sqref="AH57">
    <cfRule type="cellIs" dxfId="3093" priority="138842" stopIfTrue="1" operator="greaterThanOrEqual">
      <formula>0.5</formula>
    </cfRule>
  </conditionalFormatting>
  <conditionalFormatting sqref="AH58">
    <cfRule type="cellIs" dxfId="3092" priority="138843" stopIfTrue="1" operator="equal">
      <formula>-1</formula>
    </cfRule>
  </conditionalFormatting>
  <conditionalFormatting sqref="AH58">
    <cfRule type="cellIs" dxfId="3091" priority="138844" stopIfTrue="1" operator="lessThan">
      <formula>0.5</formula>
    </cfRule>
  </conditionalFormatting>
  <conditionalFormatting sqref="AH58">
    <cfRule type="cellIs" dxfId="3090" priority="138845" stopIfTrue="1" operator="greaterThanOrEqual">
      <formula>0.5</formula>
    </cfRule>
  </conditionalFormatting>
  <conditionalFormatting sqref="AJ39">
    <cfRule type="cellIs" dxfId="3089" priority="138846" stopIfTrue="1" operator="equal">
      <formula>-1</formula>
    </cfRule>
  </conditionalFormatting>
  <conditionalFormatting sqref="AJ39">
    <cfRule type="cellIs" dxfId="3088" priority="138847" stopIfTrue="1" operator="lessThan">
      <formula>0.5</formula>
    </cfRule>
  </conditionalFormatting>
  <conditionalFormatting sqref="AJ39">
    <cfRule type="cellIs" dxfId="3087" priority="138848" stopIfTrue="1" operator="greaterThanOrEqual">
      <formula>0.5</formula>
    </cfRule>
  </conditionalFormatting>
  <conditionalFormatting sqref="AJ40">
    <cfRule type="cellIs" dxfId="3086" priority="138849" stopIfTrue="1" operator="equal">
      <formula>-1</formula>
    </cfRule>
  </conditionalFormatting>
  <conditionalFormatting sqref="AJ40">
    <cfRule type="cellIs" dxfId="3085" priority="138850" stopIfTrue="1" operator="lessThan">
      <formula>0.5</formula>
    </cfRule>
  </conditionalFormatting>
  <conditionalFormatting sqref="AJ40">
    <cfRule type="cellIs" dxfId="3084" priority="138851" stopIfTrue="1" operator="greaterThanOrEqual">
      <formula>0.5</formula>
    </cfRule>
  </conditionalFormatting>
  <conditionalFormatting sqref="AJ41">
    <cfRule type="cellIs" dxfId="3083" priority="138852" stopIfTrue="1" operator="equal">
      <formula>-1</formula>
    </cfRule>
  </conditionalFormatting>
  <conditionalFormatting sqref="AJ41">
    <cfRule type="cellIs" dxfId="3082" priority="138853" stopIfTrue="1" operator="lessThan">
      <formula>0.5</formula>
    </cfRule>
  </conditionalFormatting>
  <conditionalFormatting sqref="AJ41">
    <cfRule type="cellIs" dxfId="3081" priority="138854" stopIfTrue="1" operator="greaterThanOrEqual">
      <formula>0.5</formula>
    </cfRule>
  </conditionalFormatting>
  <conditionalFormatting sqref="AJ42">
    <cfRule type="cellIs" dxfId="3080" priority="138855" stopIfTrue="1" operator="equal">
      <formula>-1</formula>
    </cfRule>
  </conditionalFormatting>
  <conditionalFormatting sqref="AJ42">
    <cfRule type="cellIs" dxfId="3079" priority="138856" stopIfTrue="1" operator="lessThan">
      <formula>0.5</formula>
    </cfRule>
  </conditionalFormatting>
  <conditionalFormatting sqref="AJ42">
    <cfRule type="cellIs" dxfId="3078" priority="138857" stopIfTrue="1" operator="greaterThanOrEqual">
      <formula>0.5</formula>
    </cfRule>
  </conditionalFormatting>
  <conditionalFormatting sqref="AJ43">
    <cfRule type="cellIs" dxfId="3077" priority="138858" stopIfTrue="1" operator="equal">
      <formula>-1</formula>
    </cfRule>
  </conditionalFormatting>
  <conditionalFormatting sqref="AJ43">
    <cfRule type="cellIs" dxfId="3076" priority="138859" stopIfTrue="1" operator="lessThan">
      <formula>0.5</formula>
    </cfRule>
  </conditionalFormatting>
  <conditionalFormatting sqref="AJ43">
    <cfRule type="cellIs" dxfId="3075" priority="138860" stopIfTrue="1" operator="greaterThanOrEqual">
      <formula>0.5</formula>
    </cfRule>
  </conditionalFormatting>
  <conditionalFormatting sqref="AJ44">
    <cfRule type="cellIs" dxfId="3074" priority="138861" stopIfTrue="1" operator="equal">
      <formula>-1</formula>
    </cfRule>
  </conditionalFormatting>
  <conditionalFormatting sqref="AJ44">
    <cfRule type="cellIs" dxfId="3073" priority="138862" stopIfTrue="1" operator="lessThan">
      <formula>0.5</formula>
    </cfRule>
  </conditionalFormatting>
  <conditionalFormatting sqref="AJ44">
    <cfRule type="cellIs" dxfId="3072" priority="138863" stopIfTrue="1" operator="greaterThanOrEqual">
      <formula>0.5</formula>
    </cfRule>
  </conditionalFormatting>
  <conditionalFormatting sqref="AJ45">
    <cfRule type="cellIs" dxfId="3071" priority="138864" stopIfTrue="1" operator="equal">
      <formula>-1</formula>
    </cfRule>
  </conditionalFormatting>
  <conditionalFormatting sqref="AJ45">
    <cfRule type="cellIs" dxfId="3070" priority="138865" stopIfTrue="1" operator="lessThan">
      <formula>0.5</formula>
    </cfRule>
  </conditionalFormatting>
  <conditionalFormatting sqref="AJ45">
    <cfRule type="cellIs" dxfId="3069" priority="138866" stopIfTrue="1" operator="greaterThanOrEqual">
      <formula>0.5</formula>
    </cfRule>
  </conditionalFormatting>
  <conditionalFormatting sqref="AJ46">
    <cfRule type="cellIs" dxfId="3068" priority="138867" stopIfTrue="1" operator="equal">
      <formula>-1</formula>
    </cfRule>
  </conditionalFormatting>
  <conditionalFormatting sqref="AJ46">
    <cfRule type="cellIs" dxfId="3067" priority="138868" stopIfTrue="1" operator="lessThan">
      <formula>0.5</formula>
    </cfRule>
  </conditionalFormatting>
  <conditionalFormatting sqref="AJ46">
    <cfRule type="cellIs" dxfId="3066" priority="138869" stopIfTrue="1" operator="greaterThanOrEqual">
      <formula>0.5</formula>
    </cfRule>
  </conditionalFormatting>
  <conditionalFormatting sqref="AJ47">
    <cfRule type="cellIs" dxfId="3065" priority="138870" stopIfTrue="1" operator="equal">
      <formula>-1</formula>
    </cfRule>
  </conditionalFormatting>
  <conditionalFormatting sqref="AJ47">
    <cfRule type="cellIs" dxfId="3064" priority="138871" stopIfTrue="1" operator="lessThan">
      <formula>0.5</formula>
    </cfRule>
  </conditionalFormatting>
  <conditionalFormatting sqref="AJ47">
    <cfRule type="cellIs" dxfId="3063" priority="138872" stopIfTrue="1" operator="greaterThanOrEqual">
      <formula>0.5</formula>
    </cfRule>
  </conditionalFormatting>
  <conditionalFormatting sqref="AJ48">
    <cfRule type="cellIs" dxfId="3062" priority="138873" stopIfTrue="1" operator="equal">
      <formula>-1</formula>
    </cfRule>
  </conditionalFormatting>
  <conditionalFormatting sqref="AJ48">
    <cfRule type="cellIs" dxfId="3061" priority="138874" stopIfTrue="1" operator="lessThan">
      <formula>0.5</formula>
    </cfRule>
  </conditionalFormatting>
  <conditionalFormatting sqref="AJ48">
    <cfRule type="cellIs" dxfId="3060" priority="138875" stopIfTrue="1" operator="greaterThanOrEqual">
      <formula>0.5</formula>
    </cfRule>
  </conditionalFormatting>
  <conditionalFormatting sqref="AJ49">
    <cfRule type="cellIs" dxfId="3059" priority="138876" stopIfTrue="1" operator="equal">
      <formula>-1</formula>
    </cfRule>
  </conditionalFormatting>
  <conditionalFormatting sqref="AJ49">
    <cfRule type="cellIs" dxfId="3058" priority="138877" stopIfTrue="1" operator="lessThan">
      <formula>0.5</formula>
    </cfRule>
  </conditionalFormatting>
  <conditionalFormatting sqref="AJ49">
    <cfRule type="cellIs" dxfId="3057" priority="138878" stopIfTrue="1" operator="greaterThanOrEqual">
      <formula>0.5</formula>
    </cfRule>
  </conditionalFormatting>
  <conditionalFormatting sqref="AJ50">
    <cfRule type="cellIs" dxfId="3056" priority="138879" stopIfTrue="1" operator="equal">
      <formula>-1</formula>
    </cfRule>
  </conditionalFormatting>
  <conditionalFormatting sqref="AJ50">
    <cfRule type="cellIs" dxfId="3055" priority="138880" stopIfTrue="1" operator="lessThan">
      <formula>0.5</formula>
    </cfRule>
  </conditionalFormatting>
  <conditionalFormatting sqref="AJ50">
    <cfRule type="cellIs" dxfId="3054" priority="138881" stopIfTrue="1" operator="greaterThanOrEqual">
      <formula>0.5</formula>
    </cfRule>
  </conditionalFormatting>
  <conditionalFormatting sqref="AJ51">
    <cfRule type="cellIs" dxfId="3053" priority="138882" stopIfTrue="1" operator="equal">
      <formula>-1</formula>
    </cfRule>
  </conditionalFormatting>
  <conditionalFormatting sqref="AJ51">
    <cfRule type="cellIs" dxfId="3052" priority="138883" stopIfTrue="1" operator="lessThan">
      <formula>0.5</formula>
    </cfRule>
  </conditionalFormatting>
  <conditionalFormatting sqref="AJ51">
    <cfRule type="cellIs" dxfId="3051" priority="138884" stopIfTrue="1" operator="greaterThanOrEqual">
      <formula>0.5</formula>
    </cfRule>
  </conditionalFormatting>
  <conditionalFormatting sqref="AJ52">
    <cfRule type="cellIs" dxfId="3050" priority="138885" stopIfTrue="1" operator="equal">
      <formula>-1</formula>
    </cfRule>
  </conditionalFormatting>
  <conditionalFormatting sqref="AJ52">
    <cfRule type="cellIs" dxfId="3049" priority="138886" stopIfTrue="1" operator="lessThan">
      <formula>0.5</formula>
    </cfRule>
  </conditionalFormatting>
  <conditionalFormatting sqref="AJ52">
    <cfRule type="cellIs" dxfId="3048" priority="138887" stopIfTrue="1" operator="greaterThanOrEqual">
      <formula>0.5</formula>
    </cfRule>
  </conditionalFormatting>
  <conditionalFormatting sqref="AJ53">
    <cfRule type="cellIs" dxfId="3047" priority="138888" stopIfTrue="1" operator="equal">
      <formula>-1</formula>
    </cfRule>
  </conditionalFormatting>
  <conditionalFormatting sqref="AJ53">
    <cfRule type="cellIs" dxfId="3046" priority="138889" stopIfTrue="1" operator="lessThan">
      <formula>0.5</formula>
    </cfRule>
  </conditionalFormatting>
  <conditionalFormatting sqref="AJ53">
    <cfRule type="cellIs" dxfId="3045" priority="138890" stopIfTrue="1" operator="greaterThanOrEqual">
      <formula>0.5</formula>
    </cfRule>
  </conditionalFormatting>
  <conditionalFormatting sqref="AJ54">
    <cfRule type="cellIs" dxfId="3044" priority="138891" stopIfTrue="1" operator="equal">
      <formula>-1</formula>
    </cfRule>
  </conditionalFormatting>
  <conditionalFormatting sqref="AJ54">
    <cfRule type="cellIs" dxfId="3043" priority="138892" stopIfTrue="1" operator="lessThan">
      <formula>0.5</formula>
    </cfRule>
  </conditionalFormatting>
  <conditionalFormatting sqref="AJ54">
    <cfRule type="cellIs" dxfId="3042" priority="138893" stopIfTrue="1" operator="greaterThanOrEqual">
      <formula>0.5</formula>
    </cfRule>
  </conditionalFormatting>
  <conditionalFormatting sqref="AJ55">
    <cfRule type="cellIs" dxfId="3041" priority="138894" stopIfTrue="1" operator="equal">
      <formula>-1</formula>
    </cfRule>
  </conditionalFormatting>
  <conditionalFormatting sqref="AJ55">
    <cfRule type="cellIs" dxfId="3040" priority="138895" stopIfTrue="1" operator="lessThan">
      <formula>0.5</formula>
    </cfRule>
  </conditionalFormatting>
  <conditionalFormatting sqref="AJ55">
    <cfRule type="cellIs" dxfId="3039" priority="138896" stopIfTrue="1" operator="greaterThanOrEqual">
      <formula>0.5</formula>
    </cfRule>
  </conditionalFormatting>
  <conditionalFormatting sqref="AJ56">
    <cfRule type="cellIs" dxfId="3038" priority="138897" stopIfTrue="1" operator="equal">
      <formula>-1</formula>
    </cfRule>
  </conditionalFormatting>
  <conditionalFormatting sqref="AJ56">
    <cfRule type="cellIs" dxfId="3037" priority="138898" stopIfTrue="1" operator="lessThan">
      <formula>0.5</formula>
    </cfRule>
  </conditionalFormatting>
  <conditionalFormatting sqref="AJ56">
    <cfRule type="cellIs" dxfId="3036" priority="138899" stopIfTrue="1" operator="greaterThanOrEqual">
      <formula>0.5</formula>
    </cfRule>
  </conditionalFormatting>
  <conditionalFormatting sqref="AJ57">
    <cfRule type="cellIs" dxfId="3035" priority="138900" stopIfTrue="1" operator="equal">
      <formula>-1</formula>
    </cfRule>
  </conditionalFormatting>
  <conditionalFormatting sqref="AJ57">
    <cfRule type="cellIs" dxfId="3034" priority="138901" stopIfTrue="1" operator="lessThan">
      <formula>0.5</formula>
    </cfRule>
  </conditionalFormatting>
  <conditionalFormatting sqref="AJ57">
    <cfRule type="cellIs" dxfId="3033" priority="138902" stopIfTrue="1" operator="greaterThanOrEqual">
      <formula>0.5</formula>
    </cfRule>
  </conditionalFormatting>
  <conditionalFormatting sqref="AJ58">
    <cfRule type="cellIs" dxfId="3032" priority="138903" stopIfTrue="1" operator="equal">
      <formula>-1</formula>
    </cfRule>
  </conditionalFormatting>
  <conditionalFormatting sqref="AJ58">
    <cfRule type="cellIs" dxfId="3031" priority="138904" stopIfTrue="1" operator="lessThan">
      <formula>0.5</formula>
    </cfRule>
  </conditionalFormatting>
  <conditionalFormatting sqref="AJ58">
    <cfRule type="cellIs" dxfId="3030" priority="138905" stopIfTrue="1" operator="greaterThanOrEqual">
      <formula>0.5</formula>
    </cfRule>
  </conditionalFormatting>
  <conditionalFormatting sqref="AL39">
    <cfRule type="cellIs" dxfId="3029" priority="138906" stopIfTrue="1" operator="equal">
      <formula>-1</formula>
    </cfRule>
  </conditionalFormatting>
  <conditionalFormatting sqref="AL39">
    <cfRule type="cellIs" dxfId="3028" priority="138907" stopIfTrue="1" operator="lessThan">
      <formula>0.5</formula>
    </cfRule>
  </conditionalFormatting>
  <conditionalFormatting sqref="AL39">
    <cfRule type="cellIs" dxfId="3027" priority="138908" stopIfTrue="1" operator="greaterThanOrEqual">
      <formula>0.5</formula>
    </cfRule>
  </conditionalFormatting>
  <conditionalFormatting sqref="AL40">
    <cfRule type="cellIs" dxfId="3026" priority="138909" stopIfTrue="1" operator="equal">
      <formula>-1</formula>
    </cfRule>
  </conditionalFormatting>
  <conditionalFormatting sqref="AL40">
    <cfRule type="cellIs" dxfId="3025" priority="138910" stopIfTrue="1" operator="lessThan">
      <formula>0.5</formula>
    </cfRule>
  </conditionalFormatting>
  <conditionalFormatting sqref="AL40">
    <cfRule type="cellIs" dxfId="3024" priority="138911" stopIfTrue="1" operator="greaterThanOrEqual">
      <formula>0.5</formula>
    </cfRule>
  </conditionalFormatting>
  <conditionalFormatting sqref="AL41">
    <cfRule type="cellIs" dxfId="3023" priority="138912" stopIfTrue="1" operator="equal">
      <formula>-1</formula>
    </cfRule>
  </conditionalFormatting>
  <conditionalFormatting sqref="AL41">
    <cfRule type="cellIs" dxfId="3022" priority="138913" stopIfTrue="1" operator="lessThan">
      <formula>0.5</formula>
    </cfRule>
  </conditionalFormatting>
  <conditionalFormatting sqref="AL41">
    <cfRule type="cellIs" dxfId="3021" priority="138914" stopIfTrue="1" operator="greaterThanOrEqual">
      <formula>0.5</formula>
    </cfRule>
  </conditionalFormatting>
  <conditionalFormatting sqref="AL42">
    <cfRule type="cellIs" dxfId="3020" priority="138915" stopIfTrue="1" operator="equal">
      <formula>-1</formula>
    </cfRule>
  </conditionalFormatting>
  <conditionalFormatting sqref="AL42">
    <cfRule type="cellIs" dxfId="3019" priority="138916" stopIfTrue="1" operator="lessThan">
      <formula>0.5</formula>
    </cfRule>
  </conditionalFormatting>
  <conditionalFormatting sqref="AL42">
    <cfRule type="cellIs" dxfId="3018" priority="138917" stopIfTrue="1" operator="greaterThanOrEqual">
      <formula>0.5</formula>
    </cfRule>
  </conditionalFormatting>
  <conditionalFormatting sqref="AL43">
    <cfRule type="cellIs" dxfId="3017" priority="138918" stopIfTrue="1" operator="equal">
      <formula>-1</formula>
    </cfRule>
  </conditionalFormatting>
  <conditionalFormatting sqref="AL43">
    <cfRule type="cellIs" dxfId="3016" priority="138919" stopIfTrue="1" operator="lessThan">
      <formula>0.5</formula>
    </cfRule>
  </conditionalFormatting>
  <conditionalFormatting sqref="AL43">
    <cfRule type="cellIs" dxfId="3015" priority="138920" stopIfTrue="1" operator="greaterThanOrEqual">
      <formula>0.5</formula>
    </cfRule>
  </conditionalFormatting>
  <conditionalFormatting sqref="AL44">
    <cfRule type="cellIs" dxfId="3014" priority="138921" stopIfTrue="1" operator="equal">
      <formula>-1</formula>
    </cfRule>
  </conditionalFormatting>
  <conditionalFormatting sqref="AL44">
    <cfRule type="cellIs" dxfId="3013" priority="138922" stopIfTrue="1" operator="lessThan">
      <formula>0.5</formula>
    </cfRule>
  </conditionalFormatting>
  <conditionalFormatting sqref="AL44">
    <cfRule type="cellIs" dxfId="3012" priority="138923" stopIfTrue="1" operator="greaterThanOrEqual">
      <formula>0.5</formula>
    </cfRule>
  </conditionalFormatting>
  <conditionalFormatting sqref="AL45">
    <cfRule type="cellIs" dxfId="3011" priority="138924" stopIfTrue="1" operator="equal">
      <formula>-1</formula>
    </cfRule>
  </conditionalFormatting>
  <conditionalFormatting sqref="AL45">
    <cfRule type="cellIs" dxfId="3010" priority="138925" stopIfTrue="1" operator="lessThan">
      <formula>0.5</formula>
    </cfRule>
  </conditionalFormatting>
  <conditionalFormatting sqref="AL45">
    <cfRule type="cellIs" dxfId="3009" priority="138926" stopIfTrue="1" operator="greaterThanOrEqual">
      <formula>0.5</formula>
    </cfRule>
  </conditionalFormatting>
  <conditionalFormatting sqref="AL46">
    <cfRule type="cellIs" dxfId="3008" priority="138927" stopIfTrue="1" operator="equal">
      <formula>-1</formula>
    </cfRule>
  </conditionalFormatting>
  <conditionalFormatting sqref="AL46">
    <cfRule type="cellIs" dxfId="3007" priority="138928" stopIfTrue="1" operator="lessThan">
      <formula>0.5</formula>
    </cfRule>
  </conditionalFormatting>
  <conditionalFormatting sqref="AL46">
    <cfRule type="cellIs" dxfId="3006" priority="138929" stopIfTrue="1" operator="greaterThanOrEqual">
      <formula>0.5</formula>
    </cfRule>
  </conditionalFormatting>
  <conditionalFormatting sqref="AL47">
    <cfRule type="cellIs" dxfId="3005" priority="138930" stopIfTrue="1" operator="equal">
      <formula>-1</formula>
    </cfRule>
  </conditionalFormatting>
  <conditionalFormatting sqref="AL47">
    <cfRule type="cellIs" dxfId="3004" priority="138931" stopIfTrue="1" operator="lessThan">
      <formula>0.5</formula>
    </cfRule>
  </conditionalFormatting>
  <conditionalFormatting sqref="AL47">
    <cfRule type="cellIs" dxfId="3003" priority="138932" stopIfTrue="1" operator="greaterThanOrEqual">
      <formula>0.5</formula>
    </cfRule>
  </conditionalFormatting>
  <conditionalFormatting sqref="AL48">
    <cfRule type="cellIs" dxfId="3002" priority="138933" stopIfTrue="1" operator="equal">
      <formula>-1</formula>
    </cfRule>
  </conditionalFormatting>
  <conditionalFormatting sqref="AL48">
    <cfRule type="cellIs" dxfId="3001" priority="138934" stopIfTrue="1" operator="lessThan">
      <formula>0.5</formula>
    </cfRule>
  </conditionalFormatting>
  <conditionalFormatting sqref="AL48">
    <cfRule type="cellIs" dxfId="3000" priority="138935" stopIfTrue="1" operator="greaterThanOrEqual">
      <formula>0.5</formula>
    </cfRule>
  </conditionalFormatting>
  <conditionalFormatting sqref="AL49">
    <cfRule type="cellIs" dxfId="2999" priority="138936" stopIfTrue="1" operator="equal">
      <formula>-1</formula>
    </cfRule>
  </conditionalFormatting>
  <conditionalFormatting sqref="AL49">
    <cfRule type="cellIs" dxfId="2998" priority="138937" stopIfTrue="1" operator="lessThan">
      <formula>0.5</formula>
    </cfRule>
  </conditionalFormatting>
  <conditionalFormatting sqref="AL49">
    <cfRule type="cellIs" dxfId="2997" priority="138938" stopIfTrue="1" operator="greaterThanOrEqual">
      <formula>0.5</formula>
    </cfRule>
  </conditionalFormatting>
  <conditionalFormatting sqref="AL50">
    <cfRule type="cellIs" dxfId="2996" priority="138939" stopIfTrue="1" operator="equal">
      <formula>-1</formula>
    </cfRule>
  </conditionalFormatting>
  <conditionalFormatting sqref="AL50">
    <cfRule type="cellIs" dxfId="2995" priority="138940" stopIfTrue="1" operator="lessThan">
      <formula>0.5</formula>
    </cfRule>
  </conditionalFormatting>
  <conditionalFormatting sqref="AL50">
    <cfRule type="cellIs" dxfId="2994" priority="138941" stopIfTrue="1" operator="greaterThanOrEqual">
      <formula>0.5</formula>
    </cfRule>
  </conditionalFormatting>
  <conditionalFormatting sqref="AL51">
    <cfRule type="cellIs" dxfId="2993" priority="138942" stopIfTrue="1" operator="equal">
      <formula>-1</formula>
    </cfRule>
  </conditionalFormatting>
  <conditionalFormatting sqref="AL51">
    <cfRule type="cellIs" dxfId="2992" priority="138943" stopIfTrue="1" operator="lessThan">
      <formula>0.5</formula>
    </cfRule>
  </conditionalFormatting>
  <conditionalFormatting sqref="AL51">
    <cfRule type="cellIs" dxfId="2991" priority="138944" stopIfTrue="1" operator="greaterThanOrEqual">
      <formula>0.5</formula>
    </cfRule>
  </conditionalFormatting>
  <conditionalFormatting sqref="AL52">
    <cfRule type="cellIs" dxfId="2990" priority="138945" stopIfTrue="1" operator="equal">
      <formula>-1</formula>
    </cfRule>
  </conditionalFormatting>
  <conditionalFormatting sqref="AL52">
    <cfRule type="cellIs" dxfId="2989" priority="138946" stopIfTrue="1" operator="lessThan">
      <formula>0.5</formula>
    </cfRule>
  </conditionalFormatting>
  <conditionalFormatting sqref="AL52">
    <cfRule type="cellIs" dxfId="2988" priority="138947" stopIfTrue="1" operator="greaterThanOrEqual">
      <formula>0.5</formula>
    </cfRule>
  </conditionalFormatting>
  <conditionalFormatting sqref="AL53">
    <cfRule type="cellIs" dxfId="2987" priority="138948" stopIfTrue="1" operator="equal">
      <formula>-1</formula>
    </cfRule>
  </conditionalFormatting>
  <conditionalFormatting sqref="AL53">
    <cfRule type="cellIs" dxfId="2986" priority="138949" stopIfTrue="1" operator="lessThan">
      <formula>0.5</formula>
    </cfRule>
  </conditionalFormatting>
  <conditionalFormatting sqref="AL53">
    <cfRule type="cellIs" dxfId="2985" priority="138950" stopIfTrue="1" operator="greaterThanOrEqual">
      <formula>0.5</formula>
    </cfRule>
  </conditionalFormatting>
  <conditionalFormatting sqref="AL54">
    <cfRule type="cellIs" dxfId="2984" priority="138951" stopIfTrue="1" operator="equal">
      <formula>-1</formula>
    </cfRule>
  </conditionalFormatting>
  <conditionalFormatting sqref="AL54">
    <cfRule type="cellIs" dxfId="2983" priority="138952" stopIfTrue="1" operator="lessThan">
      <formula>0.5</formula>
    </cfRule>
  </conditionalFormatting>
  <conditionalFormatting sqref="AL54">
    <cfRule type="cellIs" dxfId="2982" priority="138953" stopIfTrue="1" operator="greaterThanOrEqual">
      <formula>0.5</formula>
    </cfRule>
  </conditionalFormatting>
  <conditionalFormatting sqref="AL55">
    <cfRule type="cellIs" dxfId="2981" priority="138954" stopIfTrue="1" operator="equal">
      <formula>-1</formula>
    </cfRule>
  </conditionalFormatting>
  <conditionalFormatting sqref="AL55">
    <cfRule type="cellIs" dxfId="2980" priority="138955" stopIfTrue="1" operator="lessThan">
      <formula>0.5</formula>
    </cfRule>
  </conditionalFormatting>
  <conditionalFormatting sqref="AL55">
    <cfRule type="cellIs" dxfId="2979" priority="138956" stopIfTrue="1" operator="greaterThanOrEqual">
      <formula>0.5</formula>
    </cfRule>
  </conditionalFormatting>
  <conditionalFormatting sqref="AL56">
    <cfRule type="cellIs" dxfId="2978" priority="138957" stopIfTrue="1" operator="equal">
      <formula>-1</formula>
    </cfRule>
  </conditionalFormatting>
  <conditionalFormatting sqref="AL56">
    <cfRule type="cellIs" dxfId="2977" priority="138958" stopIfTrue="1" operator="lessThan">
      <formula>0.5</formula>
    </cfRule>
  </conditionalFormatting>
  <conditionalFormatting sqref="AL56">
    <cfRule type="cellIs" dxfId="2976" priority="138959" stopIfTrue="1" operator="greaterThanOrEqual">
      <formula>0.5</formula>
    </cfRule>
  </conditionalFormatting>
  <conditionalFormatting sqref="AL57">
    <cfRule type="cellIs" dxfId="2975" priority="138960" stopIfTrue="1" operator="equal">
      <formula>-1</formula>
    </cfRule>
  </conditionalFormatting>
  <conditionalFormatting sqref="AL57">
    <cfRule type="cellIs" dxfId="2974" priority="138961" stopIfTrue="1" operator="lessThan">
      <formula>0.5</formula>
    </cfRule>
  </conditionalFormatting>
  <conditionalFormatting sqref="AL57">
    <cfRule type="cellIs" dxfId="2973" priority="138962" stopIfTrue="1" operator="greaterThanOrEqual">
      <formula>0.5</formula>
    </cfRule>
  </conditionalFormatting>
  <conditionalFormatting sqref="AL58">
    <cfRule type="cellIs" dxfId="2972" priority="138963" stopIfTrue="1" operator="equal">
      <formula>-1</formula>
    </cfRule>
  </conditionalFormatting>
  <conditionalFormatting sqref="AL58">
    <cfRule type="cellIs" dxfId="2971" priority="138964" stopIfTrue="1" operator="lessThan">
      <formula>0.5</formula>
    </cfRule>
  </conditionalFormatting>
  <conditionalFormatting sqref="AL58">
    <cfRule type="cellIs" dxfId="2970" priority="138965" stopIfTrue="1" operator="greaterThanOrEqual">
      <formula>0.5</formula>
    </cfRule>
  </conditionalFormatting>
  <conditionalFormatting sqref="AN39">
    <cfRule type="cellIs" dxfId="2969" priority="138966" stopIfTrue="1" operator="equal">
      <formula>-1</formula>
    </cfRule>
  </conditionalFormatting>
  <conditionalFormatting sqref="AN39">
    <cfRule type="cellIs" dxfId="2968" priority="138967" stopIfTrue="1" operator="lessThan">
      <formula>0.5</formula>
    </cfRule>
  </conditionalFormatting>
  <conditionalFormatting sqref="AN39">
    <cfRule type="cellIs" dxfId="2967" priority="138968" stopIfTrue="1" operator="greaterThanOrEqual">
      <formula>0.5</formula>
    </cfRule>
  </conditionalFormatting>
  <conditionalFormatting sqref="AN40">
    <cfRule type="cellIs" dxfId="2966" priority="138969" stopIfTrue="1" operator="equal">
      <formula>-1</formula>
    </cfRule>
  </conditionalFormatting>
  <conditionalFormatting sqref="AN40">
    <cfRule type="cellIs" dxfId="2965" priority="138970" stopIfTrue="1" operator="lessThan">
      <formula>0.5</formula>
    </cfRule>
  </conditionalFormatting>
  <conditionalFormatting sqref="AN40">
    <cfRule type="cellIs" dxfId="2964" priority="138971" stopIfTrue="1" operator="greaterThanOrEqual">
      <formula>0.5</formula>
    </cfRule>
  </conditionalFormatting>
  <conditionalFormatting sqref="AN41">
    <cfRule type="cellIs" dxfId="2963" priority="138972" stopIfTrue="1" operator="equal">
      <formula>-1</formula>
    </cfRule>
  </conditionalFormatting>
  <conditionalFormatting sqref="AN41">
    <cfRule type="cellIs" dxfId="2962" priority="138973" stopIfTrue="1" operator="lessThan">
      <formula>0.5</formula>
    </cfRule>
  </conditionalFormatting>
  <conditionalFormatting sqref="AN41">
    <cfRule type="cellIs" dxfId="2961" priority="138974" stopIfTrue="1" operator="greaterThanOrEqual">
      <formula>0.5</formula>
    </cfRule>
  </conditionalFormatting>
  <conditionalFormatting sqref="AN42">
    <cfRule type="cellIs" dxfId="2960" priority="138975" stopIfTrue="1" operator="equal">
      <formula>-1</formula>
    </cfRule>
  </conditionalFormatting>
  <conditionalFormatting sqref="AN42">
    <cfRule type="cellIs" dxfId="2959" priority="138976" stopIfTrue="1" operator="lessThan">
      <formula>0.5</formula>
    </cfRule>
  </conditionalFormatting>
  <conditionalFormatting sqref="AN42">
    <cfRule type="cellIs" dxfId="2958" priority="138977" stopIfTrue="1" operator="greaterThanOrEqual">
      <formula>0.5</formula>
    </cfRule>
  </conditionalFormatting>
  <conditionalFormatting sqref="AN43">
    <cfRule type="cellIs" dxfId="2957" priority="138978" stopIfTrue="1" operator="equal">
      <formula>-1</formula>
    </cfRule>
  </conditionalFormatting>
  <conditionalFormatting sqref="AN43">
    <cfRule type="cellIs" dxfId="2956" priority="138979" stopIfTrue="1" operator="lessThan">
      <formula>0.5</formula>
    </cfRule>
  </conditionalFormatting>
  <conditionalFormatting sqref="AN43">
    <cfRule type="cellIs" dxfId="2955" priority="138980" stopIfTrue="1" operator="greaterThanOrEqual">
      <formula>0.5</formula>
    </cfRule>
  </conditionalFormatting>
  <conditionalFormatting sqref="AN44">
    <cfRule type="cellIs" dxfId="2954" priority="138981" stopIfTrue="1" operator="equal">
      <formula>-1</formula>
    </cfRule>
  </conditionalFormatting>
  <conditionalFormatting sqref="AN44">
    <cfRule type="cellIs" dxfId="2953" priority="138982" stopIfTrue="1" operator="lessThan">
      <formula>0.5</formula>
    </cfRule>
  </conditionalFormatting>
  <conditionalFormatting sqref="AN44">
    <cfRule type="cellIs" dxfId="2952" priority="138983" stopIfTrue="1" operator="greaterThanOrEqual">
      <formula>0.5</formula>
    </cfRule>
  </conditionalFormatting>
  <conditionalFormatting sqref="AN45">
    <cfRule type="cellIs" dxfId="2951" priority="138984" stopIfTrue="1" operator="equal">
      <formula>-1</formula>
    </cfRule>
  </conditionalFormatting>
  <conditionalFormatting sqref="AN45">
    <cfRule type="cellIs" dxfId="2950" priority="138985" stopIfTrue="1" operator="lessThan">
      <formula>0.5</formula>
    </cfRule>
  </conditionalFormatting>
  <conditionalFormatting sqref="AN45">
    <cfRule type="cellIs" dxfId="2949" priority="138986" stopIfTrue="1" operator="greaterThanOrEqual">
      <formula>0.5</formula>
    </cfRule>
  </conditionalFormatting>
  <conditionalFormatting sqref="AN46">
    <cfRule type="cellIs" dxfId="2948" priority="138987" stopIfTrue="1" operator="equal">
      <formula>-1</formula>
    </cfRule>
  </conditionalFormatting>
  <conditionalFormatting sqref="AN46">
    <cfRule type="cellIs" dxfId="2947" priority="138988" stopIfTrue="1" operator="lessThan">
      <formula>0.5</formula>
    </cfRule>
  </conditionalFormatting>
  <conditionalFormatting sqref="AN46">
    <cfRule type="cellIs" dxfId="2946" priority="138989" stopIfTrue="1" operator="greaterThanOrEqual">
      <formula>0.5</formula>
    </cfRule>
  </conditionalFormatting>
  <conditionalFormatting sqref="AN47">
    <cfRule type="cellIs" dxfId="2945" priority="138990" stopIfTrue="1" operator="equal">
      <formula>-1</formula>
    </cfRule>
  </conditionalFormatting>
  <conditionalFormatting sqref="AN47">
    <cfRule type="cellIs" dxfId="2944" priority="138991" stopIfTrue="1" operator="lessThan">
      <formula>0.5</formula>
    </cfRule>
  </conditionalFormatting>
  <conditionalFormatting sqref="AN47">
    <cfRule type="cellIs" dxfId="2943" priority="138992" stopIfTrue="1" operator="greaterThanOrEqual">
      <formula>0.5</formula>
    </cfRule>
  </conditionalFormatting>
  <conditionalFormatting sqref="AN48">
    <cfRule type="cellIs" dxfId="2942" priority="138993" stopIfTrue="1" operator="equal">
      <formula>-1</formula>
    </cfRule>
  </conditionalFormatting>
  <conditionalFormatting sqref="AN48">
    <cfRule type="cellIs" dxfId="2941" priority="138994" stopIfTrue="1" operator="lessThan">
      <formula>0.5</formula>
    </cfRule>
  </conditionalFormatting>
  <conditionalFormatting sqref="AN48">
    <cfRule type="cellIs" dxfId="2940" priority="138995" stopIfTrue="1" operator="greaterThanOrEqual">
      <formula>0.5</formula>
    </cfRule>
  </conditionalFormatting>
  <conditionalFormatting sqref="AN49">
    <cfRule type="cellIs" dxfId="2939" priority="138996" stopIfTrue="1" operator="equal">
      <formula>-1</formula>
    </cfRule>
  </conditionalFormatting>
  <conditionalFormatting sqref="AN49">
    <cfRule type="cellIs" dxfId="2938" priority="138997" stopIfTrue="1" operator="lessThan">
      <formula>0.5</formula>
    </cfRule>
  </conditionalFormatting>
  <conditionalFormatting sqref="AN49">
    <cfRule type="cellIs" dxfId="2937" priority="138998" stopIfTrue="1" operator="greaterThanOrEqual">
      <formula>0.5</formula>
    </cfRule>
  </conditionalFormatting>
  <conditionalFormatting sqref="AN50">
    <cfRule type="cellIs" dxfId="2936" priority="138999" stopIfTrue="1" operator="equal">
      <formula>-1</formula>
    </cfRule>
  </conditionalFormatting>
  <conditionalFormatting sqref="AN50">
    <cfRule type="cellIs" dxfId="2935" priority="139000" stopIfTrue="1" operator="lessThan">
      <formula>0.5</formula>
    </cfRule>
  </conditionalFormatting>
  <conditionalFormatting sqref="AN50">
    <cfRule type="cellIs" dxfId="2934" priority="139001" stopIfTrue="1" operator="greaterThanOrEqual">
      <formula>0.5</formula>
    </cfRule>
  </conditionalFormatting>
  <conditionalFormatting sqref="AN51">
    <cfRule type="cellIs" dxfId="2933" priority="139002" stopIfTrue="1" operator="equal">
      <formula>-1</formula>
    </cfRule>
  </conditionalFormatting>
  <conditionalFormatting sqref="AN51">
    <cfRule type="cellIs" dxfId="2932" priority="139003" stopIfTrue="1" operator="lessThan">
      <formula>0.5</formula>
    </cfRule>
  </conditionalFormatting>
  <conditionalFormatting sqref="AN51">
    <cfRule type="cellIs" dxfId="2931" priority="139004" stopIfTrue="1" operator="greaterThanOrEqual">
      <formula>0.5</formula>
    </cfRule>
  </conditionalFormatting>
  <conditionalFormatting sqref="AN52">
    <cfRule type="cellIs" dxfId="2930" priority="139005" stopIfTrue="1" operator="equal">
      <formula>-1</formula>
    </cfRule>
  </conditionalFormatting>
  <conditionalFormatting sqref="AN52">
    <cfRule type="cellIs" dxfId="2929" priority="139006" stopIfTrue="1" operator="lessThan">
      <formula>0.5</formula>
    </cfRule>
  </conditionalFormatting>
  <conditionalFormatting sqref="AN52">
    <cfRule type="cellIs" dxfId="2928" priority="139007" stopIfTrue="1" operator="greaterThanOrEqual">
      <formula>0.5</formula>
    </cfRule>
  </conditionalFormatting>
  <conditionalFormatting sqref="AN53">
    <cfRule type="cellIs" dxfId="2927" priority="139008" stopIfTrue="1" operator="equal">
      <formula>-1</formula>
    </cfRule>
  </conditionalFormatting>
  <conditionalFormatting sqref="AN53">
    <cfRule type="cellIs" dxfId="2926" priority="139009" stopIfTrue="1" operator="lessThan">
      <formula>0.5</formula>
    </cfRule>
  </conditionalFormatting>
  <conditionalFormatting sqref="AN53">
    <cfRule type="cellIs" dxfId="2925" priority="139010" stopIfTrue="1" operator="greaterThanOrEqual">
      <formula>0.5</formula>
    </cfRule>
  </conditionalFormatting>
  <conditionalFormatting sqref="AN54">
    <cfRule type="cellIs" dxfId="2924" priority="139011" stopIfTrue="1" operator="equal">
      <formula>-1</formula>
    </cfRule>
  </conditionalFormatting>
  <conditionalFormatting sqref="AN54">
    <cfRule type="cellIs" dxfId="2923" priority="139012" stopIfTrue="1" operator="lessThan">
      <formula>0.5</formula>
    </cfRule>
  </conditionalFormatting>
  <conditionalFormatting sqref="AN54">
    <cfRule type="cellIs" dxfId="2922" priority="139013" stopIfTrue="1" operator="greaterThanOrEqual">
      <formula>0.5</formula>
    </cfRule>
  </conditionalFormatting>
  <conditionalFormatting sqref="AN55">
    <cfRule type="cellIs" dxfId="2921" priority="139014" stopIfTrue="1" operator="equal">
      <formula>-1</formula>
    </cfRule>
  </conditionalFormatting>
  <conditionalFormatting sqref="AN55">
    <cfRule type="cellIs" dxfId="2920" priority="139015" stopIfTrue="1" operator="lessThan">
      <formula>0.5</formula>
    </cfRule>
  </conditionalFormatting>
  <conditionalFormatting sqref="AN55">
    <cfRule type="cellIs" dxfId="2919" priority="139016" stopIfTrue="1" operator="greaterThanOrEqual">
      <formula>0.5</formula>
    </cfRule>
  </conditionalFormatting>
  <conditionalFormatting sqref="AN56">
    <cfRule type="cellIs" dxfId="2918" priority="139017" stopIfTrue="1" operator="equal">
      <formula>-1</formula>
    </cfRule>
  </conditionalFormatting>
  <conditionalFormatting sqref="AN56">
    <cfRule type="cellIs" dxfId="2917" priority="139018" stopIfTrue="1" operator="lessThan">
      <formula>0.5</formula>
    </cfRule>
  </conditionalFormatting>
  <conditionalFormatting sqref="AN56">
    <cfRule type="cellIs" dxfId="2916" priority="139019" stopIfTrue="1" operator="greaterThanOrEqual">
      <formula>0.5</formula>
    </cfRule>
  </conditionalFormatting>
  <conditionalFormatting sqref="AN57">
    <cfRule type="cellIs" dxfId="2915" priority="139020" stopIfTrue="1" operator="equal">
      <formula>-1</formula>
    </cfRule>
  </conditionalFormatting>
  <conditionalFormatting sqref="AN57">
    <cfRule type="cellIs" dxfId="2914" priority="139021" stopIfTrue="1" operator="lessThan">
      <formula>0.5</formula>
    </cfRule>
  </conditionalFormatting>
  <conditionalFormatting sqref="AN57">
    <cfRule type="cellIs" dxfId="2913" priority="139022" stopIfTrue="1" operator="greaterThanOrEqual">
      <formula>0.5</formula>
    </cfRule>
  </conditionalFormatting>
  <conditionalFormatting sqref="AN58">
    <cfRule type="cellIs" dxfId="2912" priority="139023" stopIfTrue="1" operator="equal">
      <formula>-1</formula>
    </cfRule>
  </conditionalFormatting>
  <conditionalFormatting sqref="AN58">
    <cfRule type="cellIs" dxfId="2911" priority="139024" stopIfTrue="1" operator="lessThan">
      <formula>0.5</formula>
    </cfRule>
  </conditionalFormatting>
  <conditionalFormatting sqref="AN58">
    <cfRule type="cellIs" dxfId="2910" priority="139025" stopIfTrue="1" operator="greaterThanOrEqual">
      <formula>0.5</formula>
    </cfRule>
  </conditionalFormatting>
  <conditionalFormatting sqref="AP39">
    <cfRule type="cellIs" dxfId="2909" priority="139026" stopIfTrue="1" operator="equal">
      <formula>-1</formula>
    </cfRule>
  </conditionalFormatting>
  <conditionalFormatting sqref="AP39">
    <cfRule type="cellIs" dxfId="2908" priority="139027" stopIfTrue="1" operator="lessThan">
      <formula>0.5</formula>
    </cfRule>
  </conditionalFormatting>
  <conditionalFormatting sqref="AP39">
    <cfRule type="cellIs" dxfId="2907" priority="139028" stopIfTrue="1" operator="greaterThanOrEqual">
      <formula>0.5</formula>
    </cfRule>
  </conditionalFormatting>
  <conditionalFormatting sqref="AP40">
    <cfRule type="cellIs" dxfId="2906" priority="139029" stopIfTrue="1" operator="equal">
      <formula>-1</formula>
    </cfRule>
  </conditionalFormatting>
  <conditionalFormatting sqref="AP40">
    <cfRule type="cellIs" dxfId="2905" priority="139030" stopIfTrue="1" operator="lessThan">
      <formula>0.5</formula>
    </cfRule>
  </conditionalFormatting>
  <conditionalFormatting sqref="AP40">
    <cfRule type="cellIs" dxfId="2904" priority="139031" stopIfTrue="1" operator="greaterThanOrEqual">
      <formula>0.5</formula>
    </cfRule>
  </conditionalFormatting>
  <conditionalFormatting sqref="AP41">
    <cfRule type="cellIs" dxfId="2903" priority="139032" stopIfTrue="1" operator="equal">
      <formula>-1</formula>
    </cfRule>
  </conditionalFormatting>
  <conditionalFormatting sqref="AP41">
    <cfRule type="cellIs" dxfId="2902" priority="139033" stopIfTrue="1" operator="lessThan">
      <formula>0.5</formula>
    </cfRule>
  </conditionalFormatting>
  <conditionalFormatting sqref="AP41">
    <cfRule type="cellIs" dxfId="2901" priority="139034" stopIfTrue="1" operator="greaterThanOrEqual">
      <formula>0.5</formula>
    </cfRule>
  </conditionalFormatting>
  <conditionalFormatting sqref="AP42">
    <cfRule type="cellIs" dxfId="2900" priority="139035" stopIfTrue="1" operator="equal">
      <formula>-1</formula>
    </cfRule>
  </conditionalFormatting>
  <conditionalFormatting sqref="AP42">
    <cfRule type="cellIs" dxfId="2899" priority="139036" stopIfTrue="1" operator="lessThan">
      <formula>0.5</formula>
    </cfRule>
  </conditionalFormatting>
  <conditionalFormatting sqref="AP42">
    <cfRule type="cellIs" dxfId="2898" priority="139037" stopIfTrue="1" operator="greaterThanOrEqual">
      <formula>0.5</formula>
    </cfRule>
  </conditionalFormatting>
  <conditionalFormatting sqref="AP43">
    <cfRule type="cellIs" dxfId="2897" priority="139038" stopIfTrue="1" operator="equal">
      <formula>-1</formula>
    </cfRule>
  </conditionalFormatting>
  <conditionalFormatting sqref="AP43">
    <cfRule type="cellIs" dxfId="2896" priority="139039" stopIfTrue="1" operator="lessThan">
      <formula>0.5</formula>
    </cfRule>
  </conditionalFormatting>
  <conditionalFormatting sqref="AP43">
    <cfRule type="cellIs" dxfId="2895" priority="139040" stopIfTrue="1" operator="greaterThanOrEqual">
      <formula>0.5</formula>
    </cfRule>
  </conditionalFormatting>
  <conditionalFormatting sqref="AP44">
    <cfRule type="cellIs" dxfId="2894" priority="139041" stopIfTrue="1" operator="equal">
      <formula>-1</formula>
    </cfRule>
  </conditionalFormatting>
  <conditionalFormatting sqref="AP44">
    <cfRule type="cellIs" dxfId="2893" priority="139042" stopIfTrue="1" operator="lessThan">
      <formula>0.5</formula>
    </cfRule>
  </conditionalFormatting>
  <conditionalFormatting sqref="AP44">
    <cfRule type="cellIs" dxfId="2892" priority="139043" stopIfTrue="1" operator="greaterThanOrEqual">
      <formula>0.5</formula>
    </cfRule>
  </conditionalFormatting>
  <conditionalFormatting sqref="AP45">
    <cfRule type="cellIs" dxfId="2891" priority="139044" stopIfTrue="1" operator="equal">
      <formula>-1</formula>
    </cfRule>
  </conditionalFormatting>
  <conditionalFormatting sqref="AP45">
    <cfRule type="cellIs" dxfId="2890" priority="139045" stopIfTrue="1" operator="lessThan">
      <formula>0.5</formula>
    </cfRule>
  </conditionalFormatting>
  <conditionalFormatting sqref="AP45">
    <cfRule type="cellIs" dxfId="2889" priority="139046" stopIfTrue="1" operator="greaterThanOrEqual">
      <formula>0.5</formula>
    </cfRule>
  </conditionalFormatting>
  <conditionalFormatting sqref="AP46">
    <cfRule type="cellIs" dxfId="2888" priority="139047" stopIfTrue="1" operator="equal">
      <formula>-1</formula>
    </cfRule>
  </conditionalFormatting>
  <conditionalFormatting sqref="AP46">
    <cfRule type="cellIs" dxfId="2887" priority="139048" stopIfTrue="1" operator="lessThan">
      <formula>0.5</formula>
    </cfRule>
  </conditionalFormatting>
  <conditionalFormatting sqref="AP46">
    <cfRule type="cellIs" dxfId="2886" priority="139049" stopIfTrue="1" operator="greaterThanOrEqual">
      <formula>0.5</formula>
    </cfRule>
  </conditionalFormatting>
  <conditionalFormatting sqref="AP47">
    <cfRule type="cellIs" dxfId="2885" priority="139050" stopIfTrue="1" operator="equal">
      <formula>-1</formula>
    </cfRule>
  </conditionalFormatting>
  <conditionalFormatting sqref="AP47">
    <cfRule type="cellIs" dxfId="2884" priority="139051" stopIfTrue="1" operator="lessThan">
      <formula>0.5</formula>
    </cfRule>
  </conditionalFormatting>
  <conditionalFormatting sqref="AP47">
    <cfRule type="cellIs" dxfId="2883" priority="139052" stopIfTrue="1" operator="greaterThanOrEqual">
      <formula>0.5</formula>
    </cfRule>
  </conditionalFormatting>
  <conditionalFormatting sqref="AP48">
    <cfRule type="cellIs" dxfId="2882" priority="139053" stopIfTrue="1" operator="equal">
      <formula>-1</formula>
    </cfRule>
  </conditionalFormatting>
  <conditionalFormatting sqref="AP48">
    <cfRule type="cellIs" dxfId="2881" priority="139054" stopIfTrue="1" operator="lessThan">
      <formula>0.5</formula>
    </cfRule>
  </conditionalFormatting>
  <conditionalFormatting sqref="AP48">
    <cfRule type="cellIs" dxfId="2880" priority="139055" stopIfTrue="1" operator="greaterThanOrEqual">
      <formula>0.5</formula>
    </cfRule>
  </conditionalFormatting>
  <conditionalFormatting sqref="AP49">
    <cfRule type="cellIs" dxfId="2879" priority="139056" stopIfTrue="1" operator="equal">
      <formula>-1</formula>
    </cfRule>
  </conditionalFormatting>
  <conditionalFormatting sqref="AP49">
    <cfRule type="cellIs" dxfId="2878" priority="139057" stopIfTrue="1" operator="lessThan">
      <formula>0.5</formula>
    </cfRule>
  </conditionalFormatting>
  <conditionalFormatting sqref="AP49">
    <cfRule type="cellIs" dxfId="2877" priority="139058" stopIfTrue="1" operator="greaterThanOrEqual">
      <formula>0.5</formula>
    </cfRule>
  </conditionalFormatting>
  <conditionalFormatting sqref="AP50">
    <cfRule type="cellIs" dxfId="2876" priority="139059" stopIfTrue="1" operator="equal">
      <formula>-1</formula>
    </cfRule>
  </conditionalFormatting>
  <conditionalFormatting sqref="AP50">
    <cfRule type="cellIs" dxfId="2875" priority="139060" stopIfTrue="1" operator="lessThan">
      <formula>0.5</formula>
    </cfRule>
  </conditionalFormatting>
  <conditionalFormatting sqref="AP50">
    <cfRule type="cellIs" dxfId="2874" priority="139061" stopIfTrue="1" operator="greaterThanOrEqual">
      <formula>0.5</formula>
    </cfRule>
  </conditionalFormatting>
  <conditionalFormatting sqref="AP51">
    <cfRule type="cellIs" dxfId="2873" priority="139062" stopIfTrue="1" operator="equal">
      <formula>-1</formula>
    </cfRule>
  </conditionalFormatting>
  <conditionalFormatting sqref="AP51">
    <cfRule type="cellIs" dxfId="2872" priority="139063" stopIfTrue="1" operator="lessThan">
      <formula>0.5</formula>
    </cfRule>
  </conditionalFormatting>
  <conditionalFormatting sqref="AP51">
    <cfRule type="cellIs" dxfId="2871" priority="139064" stopIfTrue="1" operator="greaterThanOrEqual">
      <formula>0.5</formula>
    </cfRule>
  </conditionalFormatting>
  <conditionalFormatting sqref="AP52">
    <cfRule type="cellIs" dxfId="2870" priority="139065" stopIfTrue="1" operator="equal">
      <formula>-1</formula>
    </cfRule>
  </conditionalFormatting>
  <conditionalFormatting sqref="AP52">
    <cfRule type="cellIs" dxfId="2869" priority="139066" stopIfTrue="1" operator="lessThan">
      <formula>0.5</formula>
    </cfRule>
  </conditionalFormatting>
  <conditionalFormatting sqref="AP52">
    <cfRule type="cellIs" dxfId="2868" priority="139067" stopIfTrue="1" operator="greaterThanOrEqual">
      <formula>0.5</formula>
    </cfRule>
  </conditionalFormatting>
  <conditionalFormatting sqref="AP53">
    <cfRule type="cellIs" dxfId="2867" priority="139068" stopIfTrue="1" operator="equal">
      <formula>-1</formula>
    </cfRule>
  </conditionalFormatting>
  <conditionalFormatting sqref="AP53">
    <cfRule type="cellIs" dxfId="2866" priority="139069" stopIfTrue="1" operator="lessThan">
      <formula>0.5</formula>
    </cfRule>
  </conditionalFormatting>
  <conditionalFormatting sqref="AP53">
    <cfRule type="cellIs" dxfId="2865" priority="139070" stopIfTrue="1" operator="greaterThanOrEqual">
      <formula>0.5</formula>
    </cfRule>
  </conditionalFormatting>
  <conditionalFormatting sqref="AP54">
    <cfRule type="cellIs" dxfId="2864" priority="139071" stopIfTrue="1" operator="equal">
      <formula>-1</formula>
    </cfRule>
  </conditionalFormatting>
  <conditionalFormatting sqref="AP54">
    <cfRule type="cellIs" dxfId="2863" priority="139072" stopIfTrue="1" operator="lessThan">
      <formula>0.5</formula>
    </cfRule>
  </conditionalFormatting>
  <conditionalFormatting sqref="AP54">
    <cfRule type="cellIs" dxfId="2862" priority="139073" stopIfTrue="1" operator="greaterThanOrEqual">
      <formula>0.5</formula>
    </cfRule>
  </conditionalFormatting>
  <conditionalFormatting sqref="AP55">
    <cfRule type="cellIs" dxfId="2861" priority="139074" stopIfTrue="1" operator="equal">
      <formula>-1</formula>
    </cfRule>
  </conditionalFormatting>
  <conditionalFormatting sqref="AP55">
    <cfRule type="cellIs" dxfId="2860" priority="139075" stopIfTrue="1" operator="lessThan">
      <formula>0.5</formula>
    </cfRule>
  </conditionalFormatting>
  <conditionalFormatting sqref="AP55">
    <cfRule type="cellIs" dxfId="2859" priority="139076" stopIfTrue="1" operator="greaterThanOrEqual">
      <formula>0.5</formula>
    </cfRule>
  </conditionalFormatting>
  <conditionalFormatting sqref="AP56">
    <cfRule type="cellIs" dxfId="2858" priority="139077" stopIfTrue="1" operator="equal">
      <formula>-1</formula>
    </cfRule>
  </conditionalFormatting>
  <conditionalFormatting sqref="AP56">
    <cfRule type="cellIs" dxfId="2857" priority="139078" stopIfTrue="1" operator="lessThan">
      <formula>0.5</formula>
    </cfRule>
  </conditionalFormatting>
  <conditionalFormatting sqref="AP56">
    <cfRule type="cellIs" dxfId="2856" priority="139079" stopIfTrue="1" operator="greaterThanOrEqual">
      <formula>0.5</formula>
    </cfRule>
  </conditionalFormatting>
  <conditionalFormatting sqref="AP57">
    <cfRule type="cellIs" dxfId="2855" priority="139080" stopIfTrue="1" operator="equal">
      <formula>-1</formula>
    </cfRule>
  </conditionalFormatting>
  <conditionalFormatting sqref="AP57">
    <cfRule type="cellIs" dxfId="2854" priority="139081" stopIfTrue="1" operator="lessThan">
      <formula>0.5</formula>
    </cfRule>
  </conditionalFormatting>
  <conditionalFormatting sqref="AP57">
    <cfRule type="cellIs" dxfId="2853" priority="139082" stopIfTrue="1" operator="greaterThanOrEqual">
      <formula>0.5</formula>
    </cfRule>
  </conditionalFormatting>
  <conditionalFormatting sqref="AP58">
    <cfRule type="cellIs" dxfId="2852" priority="139083" stopIfTrue="1" operator="equal">
      <formula>-1</formula>
    </cfRule>
  </conditionalFormatting>
  <conditionalFormatting sqref="AP58">
    <cfRule type="cellIs" dxfId="2851" priority="139084" stopIfTrue="1" operator="lessThan">
      <formula>0.5</formula>
    </cfRule>
  </conditionalFormatting>
  <conditionalFormatting sqref="AP58">
    <cfRule type="cellIs" dxfId="2850" priority="139085" stopIfTrue="1" operator="greaterThanOrEqual">
      <formula>0.5</formula>
    </cfRule>
  </conditionalFormatting>
  <conditionalFormatting sqref="AR39">
    <cfRule type="cellIs" dxfId="2849" priority="139086" stopIfTrue="1" operator="equal">
      <formula>-1</formula>
    </cfRule>
  </conditionalFormatting>
  <conditionalFormatting sqref="AR39">
    <cfRule type="cellIs" dxfId="2848" priority="139087" stopIfTrue="1" operator="lessThan">
      <formula>0.5</formula>
    </cfRule>
  </conditionalFormatting>
  <conditionalFormatting sqref="AR39">
    <cfRule type="cellIs" dxfId="2847" priority="139088" stopIfTrue="1" operator="greaterThanOrEqual">
      <formula>0.5</formula>
    </cfRule>
  </conditionalFormatting>
  <conditionalFormatting sqref="AR40">
    <cfRule type="cellIs" dxfId="2846" priority="139089" stopIfTrue="1" operator="equal">
      <formula>-1</formula>
    </cfRule>
  </conditionalFormatting>
  <conditionalFormatting sqref="AR40">
    <cfRule type="cellIs" dxfId="2845" priority="139090" stopIfTrue="1" operator="lessThan">
      <formula>0.5</formula>
    </cfRule>
  </conditionalFormatting>
  <conditionalFormatting sqref="AR40">
    <cfRule type="cellIs" dxfId="2844" priority="139091" stopIfTrue="1" operator="greaterThanOrEqual">
      <formula>0.5</formula>
    </cfRule>
  </conditionalFormatting>
  <conditionalFormatting sqref="AR41">
    <cfRule type="cellIs" dxfId="2843" priority="139092" stopIfTrue="1" operator="equal">
      <formula>-1</formula>
    </cfRule>
  </conditionalFormatting>
  <conditionalFormatting sqref="AR41">
    <cfRule type="cellIs" dxfId="2842" priority="139093" stopIfTrue="1" operator="lessThan">
      <formula>0.5</formula>
    </cfRule>
  </conditionalFormatting>
  <conditionalFormatting sqref="AR41">
    <cfRule type="cellIs" dxfId="2841" priority="139094" stopIfTrue="1" operator="greaterThanOrEqual">
      <formula>0.5</formula>
    </cfRule>
  </conditionalFormatting>
  <conditionalFormatting sqref="AR42">
    <cfRule type="cellIs" dxfId="2840" priority="139095" stopIfTrue="1" operator="equal">
      <formula>-1</formula>
    </cfRule>
  </conditionalFormatting>
  <conditionalFormatting sqref="AR42">
    <cfRule type="cellIs" dxfId="2839" priority="139096" stopIfTrue="1" operator="lessThan">
      <formula>0.5</formula>
    </cfRule>
  </conditionalFormatting>
  <conditionalFormatting sqref="AR42">
    <cfRule type="cellIs" dxfId="2838" priority="139097" stopIfTrue="1" operator="greaterThanOrEqual">
      <formula>0.5</formula>
    </cfRule>
  </conditionalFormatting>
  <conditionalFormatting sqref="AR43">
    <cfRule type="cellIs" dxfId="2837" priority="139098" stopIfTrue="1" operator="equal">
      <formula>-1</formula>
    </cfRule>
  </conditionalFormatting>
  <conditionalFormatting sqref="AR43">
    <cfRule type="cellIs" dxfId="2836" priority="139099" stopIfTrue="1" operator="lessThan">
      <formula>0.5</formula>
    </cfRule>
  </conditionalFormatting>
  <conditionalFormatting sqref="AR43">
    <cfRule type="cellIs" dxfId="2835" priority="139100" stopIfTrue="1" operator="greaterThanOrEqual">
      <formula>0.5</formula>
    </cfRule>
  </conditionalFormatting>
  <conditionalFormatting sqref="AR44">
    <cfRule type="cellIs" dxfId="2834" priority="139101" stopIfTrue="1" operator="equal">
      <formula>-1</formula>
    </cfRule>
  </conditionalFormatting>
  <conditionalFormatting sqref="AR44">
    <cfRule type="cellIs" dxfId="2833" priority="139102" stopIfTrue="1" operator="lessThan">
      <formula>0.5</formula>
    </cfRule>
  </conditionalFormatting>
  <conditionalFormatting sqref="AR44">
    <cfRule type="cellIs" dxfId="2832" priority="139103" stopIfTrue="1" operator="greaterThanOrEqual">
      <formula>0.5</formula>
    </cfRule>
  </conditionalFormatting>
  <conditionalFormatting sqref="AR45">
    <cfRule type="cellIs" dxfId="2831" priority="139104" stopIfTrue="1" operator="equal">
      <formula>-1</formula>
    </cfRule>
  </conditionalFormatting>
  <conditionalFormatting sqref="AR45">
    <cfRule type="cellIs" dxfId="2830" priority="139105" stopIfTrue="1" operator="lessThan">
      <formula>0.5</formula>
    </cfRule>
  </conditionalFormatting>
  <conditionalFormatting sqref="AR45">
    <cfRule type="cellIs" dxfId="2829" priority="139106" stopIfTrue="1" operator="greaterThanOrEqual">
      <formula>0.5</formula>
    </cfRule>
  </conditionalFormatting>
  <conditionalFormatting sqref="AR46">
    <cfRule type="cellIs" dxfId="2828" priority="139107" stopIfTrue="1" operator="equal">
      <formula>-1</formula>
    </cfRule>
  </conditionalFormatting>
  <conditionalFormatting sqref="AR46">
    <cfRule type="cellIs" dxfId="2827" priority="139108" stopIfTrue="1" operator="lessThan">
      <formula>0.5</formula>
    </cfRule>
  </conditionalFormatting>
  <conditionalFormatting sqref="AR46">
    <cfRule type="cellIs" dxfId="2826" priority="139109" stopIfTrue="1" operator="greaterThanOrEqual">
      <formula>0.5</formula>
    </cfRule>
  </conditionalFormatting>
  <conditionalFormatting sqref="AR47">
    <cfRule type="cellIs" dxfId="2825" priority="139110" stopIfTrue="1" operator="equal">
      <formula>-1</formula>
    </cfRule>
  </conditionalFormatting>
  <conditionalFormatting sqref="AR47">
    <cfRule type="cellIs" dxfId="2824" priority="139111" stopIfTrue="1" operator="lessThan">
      <formula>0.5</formula>
    </cfRule>
  </conditionalFormatting>
  <conditionalFormatting sqref="AR47">
    <cfRule type="cellIs" dxfId="2823" priority="139112" stopIfTrue="1" operator="greaterThanOrEqual">
      <formula>0.5</formula>
    </cfRule>
  </conditionalFormatting>
  <conditionalFormatting sqref="AR48">
    <cfRule type="cellIs" dxfId="2822" priority="139113" stopIfTrue="1" operator="equal">
      <formula>-1</formula>
    </cfRule>
  </conditionalFormatting>
  <conditionalFormatting sqref="AR48">
    <cfRule type="cellIs" dxfId="2821" priority="139114" stopIfTrue="1" operator="lessThan">
      <formula>0.5</formula>
    </cfRule>
  </conditionalFormatting>
  <conditionalFormatting sqref="AR48">
    <cfRule type="cellIs" dxfId="2820" priority="139115" stopIfTrue="1" operator="greaterThanOrEqual">
      <formula>0.5</formula>
    </cfRule>
  </conditionalFormatting>
  <conditionalFormatting sqref="AR49">
    <cfRule type="cellIs" dxfId="2819" priority="139116" stopIfTrue="1" operator="equal">
      <formula>-1</formula>
    </cfRule>
  </conditionalFormatting>
  <conditionalFormatting sqref="AR49">
    <cfRule type="cellIs" dxfId="2818" priority="139117" stopIfTrue="1" operator="lessThan">
      <formula>0.5</formula>
    </cfRule>
  </conditionalFormatting>
  <conditionalFormatting sqref="AR49">
    <cfRule type="cellIs" dxfId="2817" priority="139118" stopIfTrue="1" operator="greaterThanOrEqual">
      <formula>0.5</formula>
    </cfRule>
  </conditionalFormatting>
  <conditionalFormatting sqref="AR50">
    <cfRule type="cellIs" dxfId="2816" priority="139119" stopIfTrue="1" operator="equal">
      <formula>-1</formula>
    </cfRule>
  </conditionalFormatting>
  <conditionalFormatting sqref="AR50">
    <cfRule type="cellIs" dxfId="2815" priority="139120" stopIfTrue="1" operator="lessThan">
      <formula>0.5</formula>
    </cfRule>
  </conditionalFormatting>
  <conditionalFormatting sqref="AR50">
    <cfRule type="cellIs" dxfId="2814" priority="139121" stopIfTrue="1" operator="greaterThanOrEqual">
      <formula>0.5</formula>
    </cfRule>
  </conditionalFormatting>
  <conditionalFormatting sqref="AR51">
    <cfRule type="cellIs" dxfId="2813" priority="139122" stopIfTrue="1" operator="equal">
      <formula>-1</formula>
    </cfRule>
  </conditionalFormatting>
  <conditionalFormatting sqref="AR51">
    <cfRule type="cellIs" dxfId="2812" priority="139123" stopIfTrue="1" operator="lessThan">
      <formula>0.5</formula>
    </cfRule>
  </conditionalFormatting>
  <conditionalFormatting sqref="AR51">
    <cfRule type="cellIs" dxfId="2811" priority="139124" stopIfTrue="1" operator="greaterThanOrEqual">
      <formula>0.5</formula>
    </cfRule>
  </conditionalFormatting>
  <conditionalFormatting sqref="AR52">
    <cfRule type="cellIs" dxfId="2810" priority="139125" stopIfTrue="1" operator="equal">
      <formula>-1</formula>
    </cfRule>
  </conditionalFormatting>
  <conditionalFormatting sqref="AR52">
    <cfRule type="cellIs" dxfId="2809" priority="139126" stopIfTrue="1" operator="lessThan">
      <formula>0.5</formula>
    </cfRule>
  </conditionalFormatting>
  <conditionalFormatting sqref="AR52">
    <cfRule type="cellIs" dxfId="2808" priority="139127" stopIfTrue="1" operator="greaterThanOrEqual">
      <formula>0.5</formula>
    </cfRule>
  </conditionalFormatting>
  <conditionalFormatting sqref="AR53">
    <cfRule type="cellIs" dxfId="2807" priority="139128" stopIfTrue="1" operator="equal">
      <formula>-1</formula>
    </cfRule>
  </conditionalFormatting>
  <conditionalFormatting sqref="AR53">
    <cfRule type="cellIs" dxfId="2806" priority="139129" stopIfTrue="1" operator="lessThan">
      <formula>0.5</formula>
    </cfRule>
  </conditionalFormatting>
  <conditionalFormatting sqref="AR53">
    <cfRule type="cellIs" dxfId="2805" priority="139130" stopIfTrue="1" operator="greaterThanOrEqual">
      <formula>0.5</formula>
    </cfRule>
  </conditionalFormatting>
  <conditionalFormatting sqref="AR54">
    <cfRule type="cellIs" dxfId="2804" priority="139131" stopIfTrue="1" operator="equal">
      <formula>-1</formula>
    </cfRule>
  </conditionalFormatting>
  <conditionalFormatting sqref="AR54">
    <cfRule type="cellIs" dxfId="2803" priority="139132" stopIfTrue="1" operator="lessThan">
      <formula>0.5</formula>
    </cfRule>
  </conditionalFormatting>
  <conditionalFormatting sqref="AR54">
    <cfRule type="cellIs" dxfId="2802" priority="139133" stopIfTrue="1" operator="greaterThanOrEqual">
      <formula>0.5</formula>
    </cfRule>
  </conditionalFormatting>
  <conditionalFormatting sqref="AR55">
    <cfRule type="cellIs" dxfId="2801" priority="139134" stopIfTrue="1" operator="equal">
      <formula>-1</formula>
    </cfRule>
  </conditionalFormatting>
  <conditionalFormatting sqref="AR55">
    <cfRule type="cellIs" dxfId="2800" priority="139135" stopIfTrue="1" operator="lessThan">
      <formula>0.5</formula>
    </cfRule>
  </conditionalFormatting>
  <conditionalFormatting sqref="AR55">
    <cfRule type="cellIs" dxfId="2799" priority="139136" stopIfTrue="1" operator="greaterThanOrEqual">
      <formula>0.5</formula>
    </cfRule>
  </conditionalFormatting>
  <conditionalFormatting sqref="AR56">
    <cfRule type="cellIs" dxfId="2798" priority="139137" stopIfTrue="1" operator="equal">
      <formula>-1</formula>
    </cfRule>
  </conditionalFormatting>
  <conditionalFormatting sqref="AR56">
    <cfRule type="cellIs" dxfId="2797" priority="139138" stopIfTrue="1" operator="lessThan">
      <formula>0.5</formula>
    </cfRule>
  </conditionalFormatting>
  <conditionalFormatting sqref="AR56">
    <cfRule type="cellIs" dxfId="2796" priority="139139" stopIfTrue="1" operator="greaterThanOrEqual">
      <formula>0.5</formula>
    </cfRule>
  </conditionalFormatting>
  <conditionalFormatting sqref="AR57">
    <cfRule type="cellIs" dxfId="2795" priority="139140" stopIfTrue="1" operator="equal">
      <formula>-1</formula>
    </cfRule>
  </conditionalFormatting>
  <conditionalFormatting sqref="AR57">
    <cfRule type="cellIs" dxfId="2794" priority="139141" stopIfTrue="1" operator="lessThan">
      <formula>0.5</formula>
    </cfRule>
  </conditionalFormatting>
  <conditionalFormatting sqref="AR57">
    <cfRule type="cellIs" dxfId="2793" priority="139142" stopIfTrue="1" operator="greaterThanOrEqual">
      <formula>0.5</formula>
    </cfRule>
  </conditionalFormatting>
  <conditionalFormatting sqref="AR58">
    <cfRule type="cellIs" dxfId="2792" priority="139143" stopIfTrue="1" operator="equal">
      <formula>-1</formula>
    </cfRule>
  </conditionalFormatting>
  <conditionalFormatting sqref="AR58">
    <cfRule type="cellIs" dxfId="2791" priority="139144" stopIfTrue="1" operator="lessThan">
      <formula>0.5</formula>
    </cfRule>
  </conditionalFormatting>
  <conditionalFormatting sqref="AR58">
    <cfRule type="cellIs" dxfId="2790" priority="139145" stopIfTrue="1" operator="greaterThanOrEqual">
      <formula>0.5</formula>
    </cfRule>
  </conditionalFormatting>
  <conditionalFormatting sqref="AT39">
    <cfRule type="cellIs" dxfId="2789" priority="139146" stopIfTrue="1" operator="equal">
      <formula>-1</formula>
    </cfRule>
  </conditionalFormatting>
  <conditionalFormatting sqref="AT39">
    <cfRule type="cellIs" dxfId="2788" priority="139147" stopIfTrue="1" operator="lessThan">
      <formula>0.5</formula>
    </cfRule>
  </conditionalFormatting>
  <conditionalFormatting sqref="AT39">
    <cfRule type="cellIs" dxfId="2787" priority="139148" stopIfTrue="1" operator="greaterThanOrEqual">
      <formula>0.5</formula>
    </cfRule>
  </conditionalFormatting>
  <conditionalFormatting sqref="AT40">
    <cfRule type="cellIs" dxfId="2786" priority="139149" stopIfTrue="1" operator="equal">
      <formula>-1</formula>
    </cfRule>
  </conditionalFormatting>
  <conditionalFormatting sqref="AT40">
    <cfRule type="cellIs" dxfId="2785" priority="139150" stopIfTrue="1" operator="lessThan">
      <formula>0.5</formula>
    </cfRule>
  </conditionalFormatting>
  <conditionalFormatting sqref="AT40">
    <cfRule type="cellIs" dxfId="2784" priority="139151" stopIfTrue="1" operator="greaterThanOrEqual">
      <formula>0.5</formula>
    </cfRule>
  </conditionalFormatting>
  <conditionalFormatting sqref="AT41">
    <cfRule type="cellIs" dxfId="2783" priority="139152" stopIfTrue="1" operator="equal">
      <formula>-1</formula>
    </cfRule>
  </conditionalFormatting>
  <conditionalFormatting sqref="AT41">
    <cfRule type="cellIs" dxfId="2782" priority="139153" stopIfTrue="1" operator="lessThan">
      <formula>0.5</formula>
    </cfRule>
  </conditionalFormatting>
  <conditionalFormatting sqref="AT41">
    <cfRule type="cellIs" dxfId="2781" priority="139154" stopIfTrue="1" operator="greaterThanOrEqual">
      <formula>0.5</formula>
    </cfRule>
  </conditionalFormatting>
  <conditionalFormatting sqref="AT42">
    <cfRule type="cellIs" dxfId="2780" priority="139155" stopIfTrue="1" operator="equal">
      <formula>-1</formula>
    </cfRule>
  </conditionalFormatting>
  <conditionalFormatting sqref="AT42">
    <cfRule type="cellIs" dxfId="2779" priority="139156" stopIfTrue="1" operator="lessThan">
      <formula>0.5</formula>
    </cfRule>
  </conditionalFormatting>
  <conditionalFormatting sqref="AT42">
    <cfRule type="cellIs" dxfId="2778" priority="139157" stopIfTrue="1" operator="greaterThanOrEqual">
      <formula>0.5</formula>
    </cfRule>
  </conditionalFormatting>
  <conditionalFormatting sqref="AT43">
    <cfRule type="cellIs" dxfId="2777" priority="139158" stopIfTrue="1" operator="equal">
      <formula>-1</formula>
    </cfRule>
  </conditionalFormatting>
  <conditionalFormatting sqref="AT43">
    <cfRule type="cellIs" dxfId="2776" priority="139159" stopIfTrue="1" operator="lessThan">
      <formula>0.5</formula>
    </cfRule>
  </conditionalFormatting>
  <conditionalFormatting sqref="AT43">
    <cfRule type="cellIs" dxfId="2775" priority="139160" stopIfTrue="1" operator="greaterThanOrEqual">
      <formula>0.5</formula>
    </cfRule>
  </conditionalFormatting>
  <conditionalFormatting sqref="AT44">
    <cfRule type="cellIs" dxfId="2774" priority="139161" stopIfTrue="1" operator="equal">
      <formula>-1</formula>
    </cfRule>
  </conditionalFormatting>
  <conditionalFormatting sqref="AT44">
    <cfRule type="cellIs" dxfId="2773" priority="139162" stopIfTrue="1" operator="lessThan">
      <formula>0.5</formula>
    </cfRule>
  </conditionalFormatting>
  <conditionalFormatting sqref="AT44">
    <cfRule type="cellIs" dxfId="2772" priority="139163" stopIfTrue="1" operator="greaterThanOrEqual">
      <formula>0.5</formula>
    </cfRule>
  </conditionalFormatting>
  <conditionalFormatting sqref="AT45">
    <cfRule type="cellIs" dxfId="2771" priority="139164" stopIfTrue="1" operator="equal">
      <formula>-1</formula>
    </cfRule>
  </conditionalFormatting>
  <conditionalFormatting sqref="AT45">
    <cfRule type="cellIs" dxfId="2770" priority="139165" stopIfTrue="1" operator="lessThan">
      <formula>0.5</formula>
    </cfRule>
  </conditionalFormatting>
  <conditionalFormatting sqref="AT45">
    <cfRule type="cellIs" dxfId="2769" priority="139166" stopIfTrue="1" operator="greaterThanOrEqual">
      <formula>0.5</formula>
    </cfRule>
  </conditionalFormatting>
  <conditionalFormatting sqref="AT46">
    <cfRule type="cellIs" dxfId="2768" priority="139167" stopIfTrue="1" operator="equal">
      <formula>-1</formula>
    </cfRule>
  </conditionalFormatting>
  <conditionalFormatting sqref="AT46">
    <cfRule type="cellIs" dxfId="2767" priority="139168" stopIfTrue="1" operator="lessThan">
      <formula>0.5</formula>
    </cfRule>
  </conditionalFormatting>
  <conditionalFormatting sqref="AT46">
    <cfRule type="cellIs" dxfId="2766" priority="139169" stopIfTrue="1" operator="greaterThanOrEqual">
      <formula>0.5</formula>
    </cfRule>
  </conditionalFormatting>
  <conditionalFormatting sqref="AT47">
    <cfRule type="cellIs" dxfId="2765" priority="139170" stopIfTrue="1" operator="equal">
      <formula>-1</formula>
    </cfRule>
  </conditionalFormatting>
  <conditionalFormatting sqref="AT47">
    <cfRule type="cellIs" dxfId="2764" priority="139171" stopIfTrue="1" operator="lessThan">
      <formula>0.5</formula>
    </cfRule>
  </conditionalFormatting>
  <conditionalFormatting sqref="AT47">
    <cfRule type="cellIs" dxfId="2763" priority="139172" stopIfTrue="1" operator="greaterThanOrEqual">
      <formula>0.5</formula>
    </cfRule>
  </conditionalFormatting>
  <conditionalFormatting sqref="AT48">
    <cfRule type="cellIs" dxfId="2762" priority="139173" stopIfTrue="1" operator="equal">
      <formula>-1</formula>
    </cfRule>
  </conditionalFormatting>
  <conditionalFormatting sqref="AT48">
    <cfRule type="cellIs" dxfId="2761" priority="139174" stopIfTrue="1" operator="lessThan">
      <formula>0.5</formula>
    </cfRule>
  </conditionalFormatting>
  <conditionalFormatting sqref="AT48">
    <cfRule type="cellIs" dxfId="2760" priority="139175" stopIfTrue="1" operator="greaterThanOrEqual">
      <formula>0.5</formula>
    </cfRule>
  </conditionalFormatting>
  <conditionalFormatting sqref="AT49">
    <cfRule type="cellIs" dxfId="2759" priority="139176" stopIfTrue="1" operator="equal">
      <formula>-1</formula>
    </cfRule>
  </conditionalFormatting>
  <conditionalFormatting sqref="AT49">
    <cfRule type="cellIs" dxfId="2758" priority="139177" stopIfTrue="1" operator="lessThan">
      <formula>0.5</formula>
    </cfRule>
  </conditionalFormatting>
  <conditionalFormatting sqref="AT49">
    <cfRule type="cellIs" dxfId="2757" priority="139178" stopIfTrue="1" operator="greaterThanOrEqual">
      <formula>0.5</formula>
    </cfRule>
  </conditionalFormatting>
  <conditionalFormatting sqref="AT50">
    <cfRule type="cellIs" dxfId="2756" priority="139179" stopIfTrue="1" operator="equal">
      <formula>-1</formula>
    </cfRule>
  </conditionalFormatting>
  <conditionalFormatting sqref="AT50">
    <cfRule type="cellIs" dxfId="2755" priority="139180" stopIfTrue="1" operator="lessThan">
      <formula>0.5</formula>
    </cfRule>
  </conditionalFormatting>
  <conditionalFormatting sqref="AT50">
    <cfRule type="cellIs" dxfId="2754" priority="139181" stopIfTrue="1" operator="greaterThanOrEqual">
      <formula>0.5</formula>
    </cfRule>
  </conditionalFormatting>
  <conditionalFormatting sqref="AT51">
    <cfRule type="cellIs" dxfId="2753" priority="139182" stopIfTrue="1" operator="equal">
      <formula>-1</formula>
    </cfRule>
  </conditionalFormatting>
  <conditionalFormatting sqref="AT51">
    <cfRule type="cellIs" dxfId="2752" priority="139183" stopIfTrue="1" operator="lessThan">
      <formula>0.5</formula>
    </cfRule>
  </conditionalFormatting>
  <conditionalFormatting sqref="AT51">
    <cfRule type="cellIs" dxfId="2751" priority="139184" stopIfTrue="1" operator="greaterThanOrEqual">
      <formula>0.5</formula>
    </cfRule>
  </conditionalFormatting>
  <conditionalFormatting sqref="AT52">
    <cfRule type="cellIs" dxfId="2750" priority="139185" stopIfTrue="1" operator="equal">
      <formula>-1</formula>
    </cfRule>
  </conditionalFormatting>
  <conditionalFormatting sqref="AT52">
    <cfRule type="cellIs" dxfId="2749" priority="139186" stopIfTrue="1" operator="lessThan">
      <formula>0.5</formula>
    </cfRule>
  </conditionalFormatting>
  <conditionalFormatting sqref="AT52">
    <cfRule type="cellIs" dxfId="2748" priority="139187" stopIfTrue="1" operator="greaterThanOrEqual">
      <formula>0.5</formula>
    </cfRule>
  </conditionalFormatting>
  <conditionalFormatting sqref="AT53">
    <cfRule type="cellIs" dxfId="2747" priority="139188" stopIfTrue="1" operator="equal">
      <formula>-1</formula>
    </cfRule>
  </conditionalFormatting>
  <conditionalFormatting sqref="AT53">
    <cfRule type="cellIs" dxfId="2746" priority="139189" stopIfTrue="1" operator="lessThan">
      <formula>0.5</formula>
    </cfRule>
  </conditionalFormatting>
  <conditionalFormatting sqref="AT53">
    <cfRule type="cellIs" dxfId="2745" priority="139190" stopIfTrue="1" operator="greaterThanOrEqual">
      <formula>0.5</formula>
    </cfRule>
  </conditionalFormatting>
  <conditionalFormatting sqref="AT54">
    <cfRule type="cellIs" dxfId="2744" priority="139191" stopIfTrue="1" operator="equal">
      <formula>-1</formula>
    </cfRule>
  </conditionalFormatting>
  <conditionalFormatting sqref="AT54">
    <cfRule type="cellIs" dxfId="2743" priority="139192" stopIfTrue="1" operator="lessThan">
      <formula>0.5</formula>
    </cfRule>
  </conditionalFormatting>
  <conditionalFormatting sqref="AT54">
    <cfRule type="cellIs" dxfId="2742" priority="139193" stopIfTrue="1" operator="greaterThanOrEqual">
      <formula>0.5</formula>
    </cfRule>
  </conditionalFormatting>
  <conditionalFormatting sqref="AT55">
    <cfRule type="cellIs" dxfId="2741" priority="139194" stopIfTrue="1" operator="equal">
      <formula>-1</formula>
    </cfRule>
  </conditionalFormatting>
  <conditionalFormatting sqref="AT55">
    <cfRule type="cellIs" dxfId="2740" priority="139195" stopIfTrue="1" operator="lessThan">
      <formula>0.5</formula>
    </cfRule>
  </conditionalFormatting>
  <conditionalFormatting sqref="AT55">
    <cfRule type="cellIs" dxfId="2739" priority="139196" stopIfTrue="1" operator="greaterThanOrEqual">
      <formula>0.5</formula>
    </cfRule>
  </conditionalFormatting>
  <conditionalFormatting sqref="AT56">
    <cfRule type="cellIs" dxfId="2738" priority="139197" stopIfTrue="1" operator="equal">
      <formula>-1</formula>
    </cfRule>
  </conditionalFormatting>
  <conditionalFormatting sqref="AT56">
    <cfRule type="cellIs" dxfId="2737" priority="139198" stopIfTrue="1" operator="lessThan">
      <formula>0.5</formula>
    </cfRule>
  </conditionalFormatting>
  <conditionalFormatting sqref="AT56">
    <cfRule type="cellIs" dxfId="2736" priority="139199" stopIfTrue="1" operator="greaterThanOrEqual">
      <formula>0.5</formula>
    </cfRule>
  </conditionalFormatting>
  <conditionalFormatting sqref="AT57">
    <cfRule type="cellIs" dxfId="2735" priority="139200" stopIfTrue="1" operator="equal">
      <formula>-1</formula>
    </cfRule>
  </conditionalFormatting>
  <conditionalFormatting sqref="AT57">
    <cfRule type="cellIs" dxfId="2734" priority="139201" stopIfTrue="1" operator="lessThan">
      <formula>0.5</formula>
    </cfRule>
  </conditionalFormatting>
  <conditionalFormatting sqref="AT57">
    <cfRule type="cellIs" dxfId="2733" priority="139202" stopIfTrue="1" operator="greaterThanOrEqual">
      <formula>0.5</formula>
    </cfRule>
  </conditionalFormatting>
  <conditionalFormatting sqref="AT58">
    <cfRule type="cellIs" dxfId="2732" priority="139203" stopIfTrue="1" operator="equal">
      <formula>-1</formula>
    </cfRule>
  </conditionalFormatting>
  <conditionalFormatting sqref="AT58">
    <cfRule type="cellIs" dxfId="2731" priority="139204" stopIfTrue="1" operator="lessThan">
      <formula>0.5</formula>
    </cfRule>
  </conditionalFormatting>
  <conditionalFormatting sqref="AT58">
    <cfRule type="cellIs" dxfId="2730" priority="139205" stopIfTrue="1" operator="greaterThanOrEqual">
      <formula>0.5</formula>
    </cfRule>
  </conditionalFormatting>
  <conditionalFormatting sqref="AV39">
    <cfRule type="cellIs" dxfId="2729" priority="139206" stopIfTrue="1" operator="equal">
      <formula>-1</formula>
    </cfRule>
  </conditionalFormatting>
  <conditionalFormatting sqref="AV39">
    <cfRule type="cellIs" dxfId="2728" priority="139207" stopIfTrue="1" operator="lessThan">
      <formula>0.5</formula>
    </cfRule>
  </conditionalFormatting>
  <conditionalFormatting sqref="AV39">
    <cfRule type="cellIs" dxfId="2727" priority="139208" stopIfTrue="1" operator="greaterThanOrEqual">
      <formula>0.5</formula>
    </cfRule>
  </conditionalFormatting>
  <conditionalFormatting sqref="AV40">
    <cfRule type="cellIs" dxfId="2726" priority="139209" stopIfTrue="1" operator="equal">
      <formula>-1</formula>
    </cfRule>
  </conditionalFormatting>
  <conditionalFormatting sqref="AV40">
    <cfRule type="cellIs" dxfId="2725" priority="139210" stopIfTrue="1" operator="lessThan">
      <formula>0.5</formula>
    </cfRule>
  </conditionalFormatting>
  <conditionalFormatting sqref="AV40">
    <cfRule type="cellIs" dxfId="2724" priority="139211" stopIfTrue="1" operator="greaterThanOrEqual">
      <formula>0.5</formula>
    </cfRule>
  </conditionalFormatting>
  <conditionalFormatting sqref="AV41">
    <cfRule type="cellIs" dxfId="2723" priority="139212" stopIfTrue="1" operator="equal">
      <formula>-1</formula>
    </cfRule>
  </conditionalFormatting>
  <conditionalFormatting sqref="AV41">
    <cfRule type="cellIs" dxfId="2722" priority="139213" stopIfTrue="1" operator="lessThan">
      <formula>0.5</formula>
    </cfRule>
  </conditionalFormatting>
  <conditionalFormatting sqref="AV41">
    <cfRule type="cellIs" dxfId="2721" priority="139214" stopIfTrue="1" operator="greaterThanOrEqual">
      <formula>0.5</formula>
    </cfRule>
  </conditionalFormatting>
  <conditionalFormatting sqref="AV42">
    <cfRule type="cellIs" dxfId="2720" priority="139215" stopIfTrue="1" operator="equal">
      <formula>-1</formula>
    </cfRule>
  </conditionalFormatting>
  <conditionalFormatting sqref="AV42">
    <cfRule type="cellIs" dxfId="2719" priority="139216" stopIfTrue="1" operator="lessThan">
      <formula>0.5</formula>
    </cfRule>
  </conditionalFormatting>
  <conditionalFormatting sqref="AV42">
    <cfRule type="cellIs" dxfId="2718" priority="139217" stopIfTrue="1" operator="greaterThanOrEqual">
      <formula>0.5</formula>
    </cfRule>
  </conditionalFormatting>
  <conditionalFormatting sqref="AV43">
    <cfRule type="cellIs" dxfId="2717" priority="139218" stopIfTrue="1" operator="equal">
      <formula>-1</formula>
    </cfRule>
  </conditionalFormatting>
  <conditionalFormatting sqref="AV43">
    <cfRule type="cellIs" dxfId="2716" priority="139219" stopIfTrue="1" operator="lessThan">
      <formula>0.5</formula>
    </cfRule>
  </conditionalFormatting>
  <conditionalFormatting sqref="AV43">
    <cfRule type="cellIs" dxfId="2715" priority="139220" stopIfTrue="1" operator="greaterThanOrEqual">
      <formula>0.5</formula>
    </cfRule>
  </conditionalFormatting>
  <conditionalFormatting sqref="AV44">
    <cfRule type="cellIs" dxfId="2714" priority="139221" stopIfTrue="1" operator="equal">
      <formula>-1</formula>
    </cfRule>
  </conditionalFormatting>
  <conditionalFormatting sqref="AV44">
    <cfRule type="cellIs" dxfId="2713" priority="139222" stopIfTrue="1" operator="lessThan">
      <formula>0.5</formula>
    </cfRule>
  </conditionalFormatting>
  <conditionalFormatting sqref="AV44">
    <cfRule type="cellIs" dxfId="2712" priority="139223" stopIfTrue="1" operator="greaterThanOrEqual">
      <formula>0.5</formula>
    </cfRule>
  </conditionalFormatting>
  <conditionalFormatting sqref="AV45">
    <cfRule type="cellIs" dxfId="2711" priority="139224" stopIfTrue="1" operator="equal">
      <formula>-1</formula>
    </cfRule>
  </conditionalFormatting>
  <conditionalFormatting sqref="AV45">
    <cfRule type="cellIs" dxfId="2710" priority="139225" stopIfTrue="1" operator="lessThan">
      <formula>0.5</formula>
    </cfRule>
  </conditionalFormatting>
  <conditionalFormatting sqref="AV45">
    <cfRule type="cellIs" dxfId="2709" priority="139226" stopIfTrue="1" operator="greaterThanOrEqual">
      <formula>0.5</formula>
    </cfRule>
  </conditionalFormatting>
  <conditionalFormatting sqref="AV46">
    <cfRule type="cellIs" dxfId="2708" priority="139227" stopIfTrue="1" operator="equal">
      <formula>-1</formula>
    </cfRule>
  </conditionalFormatting>
  <conditionalFormatting sqref="AV46">
    <cfRule type="cellIs" dxfId="2707" priority="139228" stopIfTrue="1" operator="lessThan">
      <formula>0.5</formula>
    </cfRule>
  </conditionalFormatting>
  <conditionalFormatting sqref="AV46">
    <cfRule type="cellIs" dxfId="2706" priority="139229" stopIfTrue="1" operator="greaterThanOrEqual">
      <formula>0.5</formula>
    </cfRule>
  </conditionalFormatting>
  <conditionalFormatting sqref="AV47">
    <cfRule type="cellIs" dxfId="2705" priority="139230" stopIfTrue="1" operator="equal">
      <formula>-1</formula>
    </cfRule>
  </conditionalFormatting>
  <conditionalFormatting sqref="AV47">
    <cfRule type="cellIs" dxfId="2704" priority="139231" stopIfTrue="1" operator="lessThan">
      <formula>0.5</formula>
    </cfRule>
  </conditionalFormatting>
  <conditionalFormatting sqref="AV47">
    <cfRule type="cellIs" dxfId="2703" priority="139232" stopIfTrue="1" operator="greaterThanOrEqual">
      <formula>0.5</formula>
    </cfRule>
  </conditionalFormatting>
  <conditionalFormatting sqref="AV48">
    <cfRule type="cellIs" dxfId="2702" priority="139233" stopIfTrue="1" operator="equal">
      <formula>-1</formula>
    </cfRule>
  </conditionalFormatting>
  <conditionalFormatting sqref="AV48">
    <cfRule type="cellIs" dxfId="2701" priority="139234" stopIfTrue="1" operator="lessThan">
      <formula>0.5</formula>
    </cfRule>
  </conditionalFormatting>
  <conditionalFormatting sqref="AV48">
    <cfRule type="cellIs" dxfId="2700" priority="139235" stopIfTrue="1" operator="greaterThanOrEqual">
      <formula>0.5</formula>
    </cfRule>
  </conditionalFormatting>
  <conditionalFormatting sqref="AV49">
    <cfRule type="cellIs" dxfId="2699" priority="139236" stopIfTrue="1" operator="equal">
      <formula>-1</formula>
    </cfRule>
  </conditionalFormatting>
  <conditionalFormatting sqref="AV49">
    <cfRule type="cellIs" dxfId="2698" priority="139237" stopIfTrue="1" operator="lessThan">
      <formula>0.5</formula>
    </cfRule>
  </conditionalFormatting>
  <conditionalFormatting sqref="AV49">
    <cfRule type="cellIs" dxfId="2697" priority="139238" stopIfTrue="1" operator="greaterThanOrEqual">
      <formula>0.5</formula>
    </cfRule>
  </conditionalFormatting>
  <conditionalFormatting sqref="AV50">
    <cfRule type="cellIs" dxfId="2696" priority="139239" stopIfTrue="1" operator="equal">
      <formula>-1</formula>
    </cfRule>
  </conditionalFormatting>
  <conditionalFormatting sqref="AV50">
    <cfRule type="cellIs" dxfId="2695" priority="139240" stopIfTrue="1" operator="lessThan">
      <formula>0.5</formula>
    </cfRule>
  </conditionalFormatting>
  <conditionalFormatting sqref="AV50">
    <cfRule type="cellIs" dxfId="2694" priority="139241" stopIfTrue="1" operator="greaterThanOrEqual">
      <formula>0.5</formula>
    </cfRule>
  </conditionalFormatting>
  <conditionalFormatting sqref="AV51">
    <cfRule type="cellIs" dxfId="2693" priority="139242" stopIfTrue="1" operator="equal">
      <formula>-1</formula>
    </cfRule>
  </conditionalFormatting>
  <conditionalFormatting sqref="AV51">
    <cfRule type="cellIs" dxfId="2692" priority="139243" stopIfTrue="1" operator="lessThan">
      <formula>0.5</formula>
    </cfRule>
  </conditionalFormatting>
  <conditionalFormatting sqref="AV51">
    <cfRule type="cellIs" dxfId="2691" priority="139244" stopIfTrue="1" operator="greaterThanOrEqual">
      <formula>0.5</formula>
    </cfRule>
  </conditionalFormatting>
  <conditionalFormatting sqref="AV52">
    <cfRule type="cellIs" dxfId="2690" priority="139245" stopIfTrue="1" operator="equal">
      <formula>-1</formula>
    </cfRule>
  </conditionalFormatting>
  <conditionalFormatting sqref="AV52">
    <cfRule type="cellIs" dxfId="2689" priority="139246" stopIfTrue="1" operator="lessThan">
      <formula>0.5</formula>
    </cfRule>
  </conditionalFormatting>
  <conditionalFormatting sqref="AV52">
    <cfRule type="cellIs" dxfId="2688" priority="139247" stopIfTrue="1" operator="greaterThanOrEqual">
      <formula>0.5</formula>
    </cfRule>
  </conditionalFormatting>
  <conditionalFormatting sqref="AV53">
    <cfRule type="cellIs" dxfId="2687" priority="139248" stopIfTrue="1" operator="equal">
      <formula>-1</formula>
    </cfRule>
  </conditionalFormatting>
  <conditionalFormatting sqref="AV53">
    <cfRule type="cellIs" dxfId="2686" priority="139249" stopIfTrue="1" operator="lessThan">
      <formula>0.5</formula>
    </cfRule>
  </conditionalFormatting>
  <conditionalFormatting sqref="AV53">
    <cfRule type="cellIs" dxfId="2685" priority="139250" stopIfTrue="1" operator="greaterThanOrEqual">
      <formula>0.5</formula>
    </cfRule>
  </conditionalFormatting>
  <conditionalFormatting sqref="AV54">
    <cfRule type="cellIs" dxfId="2684" priority="139251" stopIfTrue="1" operator="equal">
      <formula>-1</formula>
    </cfRule>
  </conditionalFormatting>
  <conditionalFormatting sqref="AV54">
    <cfRule type="cellIs" dxfId="2683" priority="139252" stopIfTrue="1" operator="lessThan">
      <formula>0.5</formula>
    </cfRule>
  </conditionalFormatting>
  <conditionalFormatting sqref="AV54">
    <cfRule type="cellIs" dxfId="2682" priority="139253" stopIfTrue="1" operator="greaterThanOrEqual">
      <formula>0.5</formula>
    </cfRule>
  </conditionalFormatting>
  <conditionalFormatting sqref="AV55">
    <cfRule type="cellIs" dxfId="2681" priority="139254" stopIfTrue="1" operator="equal">
      <formula>-1</formula>
    </cfRule>
  </conditionalFormatting>
  <conditionalFormatting sqref="AV55">
    <cfRule type="cellIs" dxfId="2680" priority="139255" stopIfTrue="1" operator="lessThan">
      <formula>0.5</formula>
    </cfRule>
  </conditionalFormatting>
  <conditionalFormatting sqref="AV55">
    <cfRule type="cellIs" dxfId="2679" priority="139256" stopIfTrue="1" operator="greaterThanOrEqual">
      <formula>0.5</formula>
    </cfRule>
  </conditionalFormatting>
  <conditionalFormatting sqref="AV56">
    <cfRule type="cellIs" dxfId="2678" priority="139257" stopIfTrue="1" operator="equal">
      <formula>-1</formula>
    </cfRule>
  </conditionalFormatting>
  <conditionalFormatting sqref="AV56">
    <cfRule type="cellIs" dxfId="2677" priority="139258" stopIfTrue="1" operator="lessThan">
      <formula>0.5</formula>
    </cfRule>
  </conditionalFormatting>
  <conditionalFormatting sqref="AV56">
    <cfRule type="cellIs" dxfId="2676" priority="139259" stopIfTrue="1" operator="greaterThanOrEqual">
      <formula>0.5</formula>
    </cfRule>
  </conditionalFormatting>
  <conditionalFormatting sqref="AV57">
    <cfRule type="cellIs" dxfId="2675" priority="139260" stopIfTrue="1" operator="equal">
      <formula>-1</formula>
    </cfRule>
  </conditionalFormatting>
  <conditionalFormatting sqref="AV57">
    <cfRule type="cellIs" dxfId="2674" priority="139261" stopIfTrue="1" operator="lessThan">
      <formula>0.5</formula>
    </cfRule>
  </conditionalFormatting>
  <conditionalFormatting sqref="AV57">
    <cfRule type="cellIs" dxfId="2673" priority="139262" stopIfTrue="1" operator="greaterThanOrEqual">
      <formula>0.5</formula>
    </cfRule>
  </conditionalFormatting>
  <conditionalFormatting sqref="AV58">
    <cfRule type="cellIs" dxfId="2672" priority="139263" stopIfTrue="1" operator="equal">
      <formula>-1</formula>
    </cfRule>
  </conditionalFormatting>
  <conditionalFormatting sqref="AV58">
    <cfRule type="cellIs" dxfId="2671" priority="139264" stopIfTrue="1" operator="lessThan">
      <formula>0.5</formula>
    </cfRule>
  </conditionalFormatting>
  <conditionalFormatting sqref="AV58">
    <cfRule type="cellIs" dxfId="2670" priority="139265" stopIfTrue="1" operator="greaterThanOrEqual">
      <formula>0.5</formula>
    </cfRule>
  </conditionalFormatting>
  <conditionalFormatting sqref="AX39">
    <cfRule type="cellIs" dxfId="2669" priority="139266" stopIfTrue="1" operator="equal">
      <formula>-1</formula>
    </cfRule>
  </conditionalFormatting>
  <conditionalFormatting sqref="AX39">
    <cfRule type="cellIs" dxfId="2668" priority="139267" stopIfTrue="1" operator="lessThan">
      <formula>0.5</formula>
    </cfRule>
  </conditionalFormatting>
  <conditionalFormatting sqref="AX39">
    <cfRule type="cellIs" dxfId="2667" priority="139268" stopIfTrue="1" operator="greaterThanOrEqual">
      <formula>0.5</formula>
    </cfRule>
  </conditionalFormatting>
  <conditionalFormatting sqref="AX40">
    <cfRule type="cellIs" dxfId="2666" priority="139269" stopIfTrue="1" operator="equal">
      <formula>-1</formula>
    </cfRule>
  </conditionalFormatting>
  <conditionalFormatting sqref="AX40">
    <cfRule type="cellIs" dxfId="2665" priority="139270" stopIfTrue="1" operator="lessThan">
      <formula>0.5</formula>
    </cfRule>
  </conditionalFormatting>
  <conditionalFormatting sqref="AX40">
    <cfRule type="cellIs" dxfId="2664" priority="139271" stopIfTrue="1" operator="greaterThanOrEqual">
      <formula>0.5</formula>
    </cfRule>
  </conditionalFormatting>
  <conditionalFormatting sqref="AX41">
    <cfRule type="cellIs" dxfId="2663" priority="139272" stopIfTrue="1" operator="equal">
      <formula>-1</formula>
    </cfRule>
  </conditionalFormatting>
  <conditionalFormatting sqref="AX41">
    <cfRule type="cellIs" dxfId="2662" priority="139273" stopIfTrue="1" operator="lessThan">
      <formula>0.5</formula>
    </cfRule>
  </conditionalFormatting>
  <conditionalFormatting sqref="AX41">
    <cfRule type="cellIs" dxfId="2661" priority="139274" stopIfTrue="1" operator="greaterThanOrEqual">
      <formula>0.5</formula>
    </cfRule>
  </conditionalFormatting>
  <conditionalFormatting sqref="AX42">
    <cfRule type="cellIs" dxfId="2660" priority="139275" stopIfTrue="1" operator="equal">
      <formula>-1</formula>
    </cfRule>
  </conditionalFormatting>
  <conditionalFormatting sqref="AX42">
    <cfRule type="cellIs" dxfId="2659" priority="139276" stopIfTrue="1" operator="lessThan">
      <formula>0.5</formula>
    </cfRule>
  </conditionalFormatting>
  <conditionalFormatting sqref="AX42">
    <cfRule type="cellIs" dxfId="2658" priority="139277" stopIfTrue="1" operator="greaterThanOrEqual">
      <formula>0.5</formula>
    </cfRule>
  </conditionalFormatting>
  <conditionalFormatting sqref="AX43">
    <cfRule type="cellIs" dxfId="2657" priority="139278" stopIfTrue="1" operator="equal">
      <formula>-1</formula>
    </cfRule>
  </conditionalFormatting>
  <conditionalFormatting sqref="AX43">
    <cfRule type="cellIs" dxfId="2656" priority="139279" stopIfTrue="1" operator="lessThan">
      <formula>0.5</formula>
    </cfRule>
  </conditionalFormatting>
  <conditionalFormatting sqref="AX43">
    <cfRule type="cellIs" dxfId="2655" priority="139280" stopIfTrue="1" operator="greaterThanOrEqual">
      <formula>0.5</formula>
    </cfRule>
  </conditionalFormatting>
  <conditionalFormatting sqref="AX44">
    <cfRule type="cellIs" dxfId="2654" priority="139281" stopIfTrue="1" operator="equal">
      <formula>-1</formula>
    </cfRule>
  </conditionalFormatting>
  <conditionalFormatting sqref="AX44">
    <cfRule type="cellIs" dxfId="2653" priority="139282" stopIfTrue="1" operator="lessThan">
      <formula>0.5</formula>
    </cfRule>
  </conditionalFormatting>
  <conditionalFormatting sqref="AX44">
    <cfRule type="cellIs" dxfId="2652" priority="139283" stopIfTrue="1" operator="greaterThanOrEqual">
      <formula>0.5</formula>
    </cfRule>
  </conditionalFormatting>
  <conditionalFormatting sqref="AX45">
    <cfRule type="cellIs" dxfId="2651" priority="139284" stopIfTrue="1" operator="equal">
      <formula>-1</formula>
    </cfRule>
  </conditionalFormatting>
  <conditionalFormatting sqref="AX45">
    <cfRule type="cellIs" dxfId="2650" priority="139285" stopIfTrue="1" operator="lessThan">
      <formula>0.5</formula>
    </cfRule>
  </conditionalFormatting>
  <conditionalFormatting sqref="AX45">
    <cfRule type="cellIs" dxfId="2649" priority="139286" stopIfTrue="1" operator="greaterThanOrEqual">
      <formula>0.5</formula>
    </cfRule>
  </conditionalFormatting>
  <conditionalFormatting sqref="AX46">
    <cfRule type="cellIs" dxfId="2648" priority="139287" stopIfTrue="1" operator="equal">
      <formula>-1</formula>
    </cfRule>
  </conditionalFormatting>
  <conditionalFormatting sqref="AX46">
    <cfRule type="cellIs" dxfId="2647" priority="139288" stopIfTrue="1" operator="lessThan">
      <formula>0.5</formula>
    </cfRule>
  </conditionalFormatting>
  <conditionalFormatting sqref="AX46">
    <cfRule type="cellIs" dxfId="2646" priority="139289" stopIfTrue="1" operator="greaterThanOrEqual">
      <formula>0.5</formula>
    </cfRule>
  </conditionalFormatting>
  <conditionalFormatting sqref="AX47">
    <cfRule type="cellIs" dxfId="2645" priority="139290" stopIfTrue="1" operator="equal">
      <formula>-1</formula>
    </cfRule>
  </conditionalFormatting>
  <conditionalFormatting sqref="AX47">
    <cfRule type="cellIs" dxfId="2644" priority="139291" stopIfTrue="1" operator="lessThan">
      <formula>0.5</formula>
    </cfRule>
  </conditionalFormatting>
  <conditionalFormatting sqref="AX47">
    <cfRule type="cellIs" dxfId="2643" priority="139292" stopIfTrue="1" operator="greaterThanOrEqual">
      <formula>0.5</formula>
    </cfRule>
  </conditionalFormatting>
  <conditionalFormatting sqref="AX48">
    <cfRule type="cellIs" dxfId="2642" priority="139293" stopIfTrue="1" operator="equal">
      <formula>-1</formula>
    </cfRule>
  </conditionalFormatting>
  <conditionalFormatting sqref="AX48">
    <cfRule type="cellIs" dxfId="2641" priority="139294" stopIfTrue="1" operator="lessThan">
      <formula>0.5</formula>
    </cfRule>
  </conditionalFormatting>
  <conditionalFormatting sqref="AX48">
    <cfRule type="cellIs" dxfId="2640" priority="139295" stopIfTrue="1" operator="greaterThanOrEqual">
      <formula>0.5</formula>
    </cfRule>
  </conditionalFormatting>
  <conditionalFormatting sqref="AX49">
    <cfRule type="cellIs" dxfId="2639" priority="139296" stopIfTrue="1" operator="equal">
      <formula>-1</formula>
    </cfRule>
  </conditionalFormatting>
  <conditionalFormatting sqref="AX49">
    <cfRule type="cellIs" dxfId="2638" priority="139297" stopIfTrue="1" operator="lessThan">
      <formula>0.5</formula>
    </cfRule>
  </conditionalFormatting>
  <conditionalFormatting sqref="AX49">
    <cfRule type="cellIs" dxfId="2637" priority="139298" stopIfTrue="1" operator="greaterThanOrEqual">
      <formula>0.5</formula>
    </cfRule>
  </conditionalFormatting>
  <conditionalFormatting sqref="AX50">
    <cfRule type="cellIs" dxfId="2636" priority="139299" stopIfTrue="1" operator="equal">
      <formula>-1</formula>
    </cfRule>
  </conditionalFormatting>
  <conditionalFormatting sqref="AX50">
    <cfRule type="cellIs" dxfId="2635" priority="139300" stopIfTrue="1" operator="lessThan">
      <formula>0.5</formula>
    </cfRule>
  </conditionalFormatting>
  <conditionalFormatting sqref="AX50">
    <cfRule type="cellIs" dxfId="2634" priority="139301" stopIfTrue="1" operator="greaterThanOrEqual">
      <formula>0.5</formula>
    </cfRule>
  </conditionalFormatting>
  <conditionalFormatting sqref="AX51">
    <cfRule type="cellIs" dxfId="2633" priority="139302" stopIfTrue="1" operator="equal">
      <formula>-1</formula>
    </cfRule>
  </conditionalFormatting>
  <conditionalFormatting sqref="AX51">
    <cfRule type="cellIs" dxfId="2632" priority="139303" stopIfTrue="1" operator="lessThan">
      <formula>0.5</formula>
    </cfRule>
  </conditionalFormatting>
  <conditionalFormatting sqref="AX51">
    <cfRule type="cellIs" dxfId="2631" priority="139304" stopIfTrue="1" operator="greaterThanOrEqual">
      <formula>0.5</formula>
    </cfRule>
  </conditionalFormatting>
  <conditionalFormatting sqref="AX52">
    <cfRule type="cellIs" dxfId="2630" priority="139305" stopIfTrue="1" operator="equal">
      <formula>-1</formula>
    </cfRule>
  </conditionalFormatting>
  <conditionalFormatting sqref="AX52">
    <cfRule type="cellIs" dxfId="2629" priority="139306" stopIfTrue="1" operator="lessThan">
      <formula>0.5</formula>
    </cfRule>
  </conditionalFormatting>
  <conditionalFormatting sqref="AX52">
    <cfRule type="cellIs" dxfId="2628" priority="139307" stopIfTrue="1" operator="greaterThanOrEqual">
      <formula>0.5</formula>
    </cfRule>
  </conditionalFormatting>
  <conditionalFormatting sqref="AX53">
    <cfRule type="cellIs" dxfId="2627" priority="139308" stopIfTrue="1" operator="equal">
      <formula>-1</formula>
    </cfRule>
  </conditionalFormatting>
  <conditionalFormatting sqref="AX53">
    <cfRule type="cellIs" dxfId="2626" priority="139309" stopIfTrue="1" operator="lessThan">
      <formula>0.5</formula>
    </cfRule>
  </conditionalFormatting>
  <conditionalFormatting sqref="AX53">
    <cfRule type="cellIs" dxfId="2625" priority="139310" stopIfTrue="1" operator="greaterThanOrEqual">
      <formula>0.5</formula>
    </cfRule>
  </conditionalFormatting>
  <conditionalFormatting sqref="AX54">
    <cfRule type="cellIs" dxfId="2624" priority="139311" stopIfTrue="1" operator="equal">
      <formula>-1</formula>
    </cfRule>
  </conditionalFormatting>
  <conditionalFormatting sqref="AX54">
    <cfRule type="cellIs" dxfId="2623" priority="139312" stopIfTrue="1" operator="lessThan">
      <formula>0.5</formula>
    </cfRule>
  </conditionalFormatting>
  <conditionalFormatting sqref="AX54">
    <cfRule type="cellIs" dxfId="2622" priority="139313" stopIfTrue="1" operator="greaterThanOrEqual">
      <formula>0.5</formula>
    </cfRule>
  </conditionalFormatting>
  <conditionalFormatting sqref="AX55">
    <cfRule type="cellIs" dxfId="2621" priority="139314" stopIfTrue="1" operator="equal">
      <formula>-1</formula>
    </cfRule>
  </conditionalFormatting>
  <conditionalFormatting sqref="AX55">
    <cfRule type="cellIs" dxfId="2620" priority="139315" stopIfTrue="1" operator="lessThan">
      <formula>0.5</formula>
    </cfRule>
  </conditionalFormatting>
  <conditionalFormatting sqref="AX55">
    <cfRule type="cellIs" dxfId="2619" priority="139316" stopIfTrue="1" operator="greaterThanOrEqual">
      <formula>0.5</formula>
    </cfRule>
  </conditionalFormatting>
  <conditionalFormatting sqref="AX56">
    <cfRule type="cellIs" dxfId="2618" priority="139317" stopIfTrue="1" operator="equal">
      <formula>-1</formula>
    </cfRule>
  </conditionalFormatting>
  <conditionalFormatting sqref="AX56">
    <cfRule type="cellIs" dxfId="2617" priority="139318" stopIfTrue="1" operator="lessThan">
      <formula>0.5</formula>
    </cfRule>
  </conditionalFormatting>
  <conditionalFormatting sqref="AX56">
    <cfRule type="cellIs" dxfId="2616" priority="139319" stopIfTrue="1" operator="greaterThanOrEqual">
      <formula>0.5</formula>
    </cfRule>
  </conditionalFormatting>
  <conditionalFormatting sqref="AX57">
    <cfRule type="cellIs" dxfId="2615" priority="139320" stopIfTrue="1" operator="equal">
      <formula>-1</formula>
    </cfRule>
  </conditionalFormatting>
  <conditionalFormatting sqref="AX57">
    <cfRule type="cellIs" dxfId="2614" priority="139321" stopIfTrue="1" operator="lessThan">
      <formula>0.5</formula>
    </cfRule>
  </conditionalFormatting>
  <conditionalFormatting sqref="AX57">
    <cfRule type="cellIs" dxfId="2613" priority="139322" stopIfTrue="1" operator="greaterThanOrEqual">
      <formula>0.5</formula>
    </cfRule>
  </conditionalFormatting>
  <conditionalFormatting sqref="AX58">
    <cfRule type="cellIs" dxfId="2612" priority="139323" stopIfTrue="1" operator="equal">
      <formula>-1</formula>
    </cfRule>
  </conditionalFormatting>
  <conditionalFormatting sqref="AX58">
    <cfRule type="cellIs" dxfId="2611" priority="139324" stopIfTrue="1" operator="lessThan">
      <formula>0.5</formula>
    </cfRule>
  </conditionalFormatting>
  <conditionalFormatting sqref="AX58">
    <cfRule type="cellIs" dxfId="2610" priority="139325" stopIfTrue="1" operator="greaterThanOrEqual">
      <formula>0.5</formula>
    </cfRule>
  </conditionalFormatting>
  <conditionalFormatting sqref="AZ39">
    <cfRule type="cellIs" dxfId="2609" priority="139326" stopIfTrue="1" operator="equal">
      <formula>-1</formula>
    </cfRule>
  </conditionalFormatting>
  <conditionalFormatting sqref="AZ39">
    <cfRule type="cellIs" dxfId="2608" priority="139327" stopIfTrue="1" operator="lessThan">
      <formula>0.5</formula>
    </cfRule>
  </conditionalFormatting>
  <conditionalFormatting sqref="AZ39">
    <cfRule type="cellIs" dxfId="2607" priority="139328" stopIfTrue="1" operator="greaterThanOrEqual">
      <formula>0.5</formula>
    </cfRule>
  </conditionalFormatting>
  <conditionalFormatting sqref="AZ40">
    <cfRule type="cellIs" dxfId="2606" priority="139329" stopIfTrue="1" operator="equal">
      <formula>-1</formula>
    </cfRule>
  </conditionalFormatting>
  <conditionalFormatting sqref="AZ40">
    <cfRule type="cellIs" dxfId="2605" priority="139330" stopIfTrue="1" operator="lessThan">
      <formula>0.5</formula>
    </cfRule>
  </conditionalFormatting>
  <conditionalFormatting sqref="AZ40">
    <cfRule type="cellIs" dxfId="2604" priority="139331" stopIfTrue="1" operator="greaterThanOrEqual">
      <formula>0.5</formula>
    </cfRule>
  </conditionalFormatting>
  <conditionalFormatting sqref="AZ41">
    <cfRule type="cellIs" dxfId="2603" priority="139332" stopIfTrue="1" operator="equal">
      <formula>-1</formula>
    </cfRule>
  </conditionalFormatting>
  <conditionalFormatting sqref="AZ41">
    <cfRule type="cellIs" dxfId="2602" priority="139333" stopIfTrue="1" operator="lessThan">
      <formula>0.5</formula>
    </cfRule>
  </conditionalFormatting>
  <conditionalFormatting sqref="AZ41">
    <cfRule type="cellIs" dxfId="2601" priority="139334" stopIfTrue="1" operator="greaterThanOrEqual">
      <formula>0.5</formula>
    </cfRule>
  </conditionalFormatting>
  <conditionalFormatting sqref="AZ42">
    <cfRule type="cellIs" dxfId="2600" priority="139335" stopIfTrue="1" operator="equal">
      <formula>-1</formula>
    </cfRule>
  </conditionalFormatting>
  <conditionalFormatting sqref="AZ42">
    <cfRule type="cellIs" dxfId="2599" priority="139336" stopIfTrue="1" operator="lessThan">
      <formula>0.5</formula>
    </cfRule>
  </conditionalFormatting>
  <conditionalFormatting sqref="AZ42">
    <cfRule type="cellIs" dxfId="2598" priority="139337" stopIfTrue="1" operator="greaterThanOrEqual">
      <formula>0.5</formula>
    </cfRule>
  </conditionalFormatting>
  <conditionalFormatting sqref="AZ43">
    <cfRule type="cellIs" dxfId="2597" priority="139338" stopIfTrue="1" operator="equal">
      <formula>-1</formula>
    </cfRule>
  </conditionalFormatting>
  <conditionalFormatting sqref="AZ43">
    <cfRule type="cellIs" dxfId="2596" priority="139339" stopIfTrue="1" operator="lessThan">
      <formula>0.5</formula>
    </cfRule>
  </conditionalFormatting>
  <conditionalFormatting sqref="AZ43">
    <cfRule type="cellIs" dxfId="2595" priority="139340" stopIfTrue="1" operator="greaterThanOrEqual">
      <formula>0.5</formula>
    </cfRule>
  </conditionalFormatting>
  <conditionalFormatting sqref="AZ44">
    <cfRule type="cellIs" dxfId="2594" priority="139341" stopIfTrue="1" operator="equal">
      <formula>-1</formula>
    </cfRule>
  </conditionalFormatting>
  <conditionalFormatting sqref="AZ44">
    <cfRule type="cellIs" dxfId="2593" priority="139342" stopIfTrue="1" operator="lessThan">
      <formula>0.5</formula>
    </cfRule>
  </conditionalFormatting>
  <conditionalFormatting sqref="AZ44">
    <cfRule type="cellIs" dxfId="2592" priority="139343" stopIfTrue="1" operator="greaterThanOrEqual">
      <formula>0.5</formula>
    </cfRule>
  </conditionalFormatting>
  <conditionalFormatting sqref="AZ45">
    <cfRule type="cellIs" dxfId="2591" priority="139344" stopIfTrue="1" operator="equal">
      <formula>-1</formula>
    </cfRule>
  </conditionalFormatting>
  <conditionalFormatting sqref="AZ45">
    <cfRule type="cellIs" dxfId="2590" priority="139345" stopIfTrue="1" operator="lessThan">
      <formula>0.5</formula>
    </cfRule>
  </conditionalFormatting>
  <conditionalFormatting sqref="AZ45">
    <cfRule type="cellIs" dxfId="2589" priority="139346" stopIfTrue="1" operator="greaterThanOrEqual">
      <formula>0.5</formula>
    </cfRule>
  </conditionalFormatting>
  <conditionalFormatting sqref="AZ46">
    <cfRule type="cellIs" dxfId="2588" priority="139347" stopIfTrue="1" operator="equal">
      <formula>-1</formula>
    </cfRule>
  </conditionalFormatting>
  <conditionalFormatting sqref="AZ46">
    <cfRule type="cellIs" dxfId="2587" priority="139348" stopIfTrue="1" operator="lessThan">
      <formula>0.5</formula>
    </cfRule>
  </conditionalFormatting>
  <conditionalFormatting sqref="AZ46">
    <cfRule type="cellIs" dxfId="2586" priority="139349" stopIfTrue="1" operator="greaterThanOrEqual">
      <formula>0.5</formula>
    </cfRule>
  </conditionalFormatting>
  <conditionalFormatting sqref="AZ47">
    <cfRule type="cellIs" dxfId="2585" priority="139350" stopIfTrue="1" operator="equal">
      <formula>-1</formula>
    </cfRule>
  </conditionalFormatting>
  <conditionalFormatting sqref="AZ47">
    <cfRule type="cellIs" dxfId="2584" priority="139351" stopIfTrue="1" operator="lessThan">
      <formula>0.5</formula>
    </cfRule>
  </conditionalFormatting>
  <conditionalFormatting sqref="AZ47">
    <cfRule type="cellIs" dxfId="2583" priority="139352" stopIfTrue="1" operator="greaterThanOrEqual">
      <formula>0.5</formula>
    </cfRule>
  </conditionalFormatting>
  <conditionalFormatting sqref="AZ48">
    <cfRule type="cellIs" dxfId="2582" priority="139353" stopIfTrue="1" operator="equal">
      <formula>-1</formula>
    </cfRule>
  </conditionalFormatting>
  <conditionalFormatting sqref="AZ48">
    <cfRule type="cellIs" dxfId="2581" priority="139354" stopIfTrue="1" operator="lessThan">
      <formula>0.5</formula>
    </cfRule>
  </conditionalFormatting>
  <conditionalFormatting sqref="AZ48">
    <cfRule type="cellIs" dxfId="2580" priority="139355" stopIfTrue="1" operator="greaterThanOrEqual">
      <formula>0.5</formula>
    </cfRule>
  </conditionalFormatting>
  <conditionalFormatting sqref="AZ49">
    <cfRule type="cellIs" dxfId="2579" priority="139356" stopIfTrue="1" operator="equal">
      <formula>-1</formula>
    </cfRule>
  </conditionalFormatting>
  <conditionalFormatting sqref="AZ49">
    <cfRule type="cellIs" dxfId="2578" priority="139357" stopIfTrue="1" operator="lessThan">
      <formula>0.5</formula>
    </cfRule>
  </conditionalFormatting>
  <conditionalFormatting sqref="AZ49">
    <cfRule type="cellIs" dxfId="2577" priority="139358" stopIfTrue="1" operator="greaterThanOrEqual">
      <formula>0.5</formula>
    </cfRule>
  </conditionalFormatting>
  <conditionalFormatting sqref="AZ50">
    <cfRule type="cellIs" dxfId="2576" priority="139359" stopIfTrue="1" operator="equal">
      <formula>-1</formula>
    </cfRule>
  </conditionalFormatting>
  <conditionalFormatting sqref="AZ50">
    <cfRule type="cellIs" dxfId="2575" priority="139360" stopIfTrue="1" operator="lessThan">
      <formula>0.5</formula>
    </cfRule>
  </conditionalFormatting>
  <conditionalFormatting sqref="AZ50">
    <cfRule type="cellIs" dxfId="2574" priority="139361" stopIfTrue="1" operator="greaterThanOrEqual">
      <formula>0.5</formula>
    </cfRule>
  </conditionalFormatting>
  <conditionalFormatting sqref="AZ51">
    <cfRule type="cellIs" dxfId="2573" priority="139362" stopIfTrue="1" operator="equal">
      <formula>-1</formula>
    </cfRule>
  </conditionalFormatting>
  <conditionalFormatting sqref="AZ51">
    <cfRule type="cellIs" dxfId="2572" priority="139363" stopIfTrue="1" operator="lessThan">
      <formula>0.5</formula>
    </cfRule>
  </conditionalFormatting>
  <conditionalFormatting sqref="AZ51">
    <cfRule type="cellIs" dxfId="2571" priority="139364" stopIfTrue="1" operator="greaterThanOrEqual">
      <formula>0.5</formula>
    </cfRule>
  </conditionalFormatting>
  <conditionalFormatting sqref="AZ52">
    <cfRule type="cellIs" dxfId="2570" priority="139365" stopIfTrue="1" operator="equal">
      <formula>-1</formula>
    </cfRule>
  </conditionalFormatting>
  <conditionalFormatting sqref="AZ52">
    <cfRule type="cellIs" dxfId="2569" priority="139366" stopIfTrue="1" operator="lessThan">
      <formula>0.5</formula>
    </cfRule>
  </conditionalFormatting>
  <conditionalFormatting sqref="AZ52">
    <cfRule type="cellIs" dxfId="2568" priority="139367" stopIfTrue="1" operator="greaterThanOrEqual">
      <formula>0.5</formula>
    </cfRule>
  </conditionalFormatting>
  <conditionalFormatting sqref="AZ53">
    <cfRule type="cellIs" dxfId="2567" priority="139368" stopIfTrue="1" operator="equal">
      <formula>-1</formula>
    </cfRule>
  </conditionalFormatting>
  <conditionalFormatting sqref="AZ53">
    <cfRule type="cellIs" dxfId="2566" priority="139369" stopIfTrue="1" operator="lessThan">
      <formula>0.5</formula>
    </cfRule>
  </conditionalFormatting>
  <conditionalFormatting sqref="AZ53">
    <cfRule type="cellIs" dxfId="2565" priority="139370" stopIfTrue="1" operator="greaterThanOrEqual">
      <formula>0.5</formula>
    </cfRule>
  </conditionalFormatting>
  <conditionalFormatting sqref="AZ54">
    <cfRule type="cellIs" dxfId="2564" priority="139371" stopIfTrue="1" operator="equal">
      <formula>-1</formula>
    </cfRule>
  </conditionalFormatting>
  <conditionalFormatting sqref="AZ54">
    <cfRule type="cellIs" dxfId="2563" priority="139372" stopIfTrue="1" operator="lessThan">
      <formula>0.5</formula>
    </cfRule>
  </conditionalFormatting>
  <conditionalFormatting sqref="AZ54">
    <cfRule type="cellIs" dxfId="2562" priority="139373" stopIfTrue="1" operator="greaterThanOrEqual">
      <formula>0.5</formula>
    </cfRule>
  </conditionalFormatting>
  <conditionalFormatting sqref="AZ55">
    <cfRule type="cellIs" dxfId="2561" priority="139374" stopIfTrue="1" operator="equal">
      <formula>-1</formula>
    </cfRule>
  </conditionalFormatting>
  <conditionalFormatting sqref="AZ55">
    <cfRule type="cellIs" dxfId="2560" priority="139375" stopIfTrue="1" operator="lessThan">
      <formula>0.5</formula>
    </cfRule>
  </conditionalFormatting>
  <conditionalFormatting sqref="AZ55">
    <cfRule type="cellIs" dxfId="2559" priority="139376" stopIfTrue="1" operator="greaterThanOrEqual">
      <formula>0.5</formula>
    </cfRule>
  </conditionalFormatting>
  <conditionalFormatting sqref="AZ56">
    <cfRule type="cellIs" dxfId="2558" priority="139377" stopIfTrue="1" operator="equal">
      <formula>-1</formula>
    </cfRule>
  </conditionalFormatting>
  <conditionalFormatting sqref="AZ56">
    <cfRule type="cellIs" dxfId="2557" priority="139378" stopIfTrue="1" operator="lessThan">
      <formula>0.5</formula>
    </cfRule>
  </conditionalFormatting>
  <conditionalFormatting sqref="AZ56">
    <cfRule type="cellIs" dxfId="2556" priority="139379" stopIfTrue="1" operator="greaterThanOrEqual">
      <formula>0.5</formula>
    </cfRule>
  </conditionalFormatting>
  <conditionalFormatting sqref="AZ57">
    <cfRule type="cellIs" dxfId="2555" priority="139380" stopIfTrue="1" operator="equal">
      <formula>-1</formula>
    </cfRule>
  </conditionalFormatting>
  <conditionalFormatting sqref="AZ57">
    <cfRule type="cellIs" dxfId="2554" priority="139381" stopIfTrue="1" operator="lessThan">
      <formula>0.5</formula>
    </cfRule>
  </conditionalFormatting>
  <conditionalFormatting sqref="AZ57">
    <cfRule type="cellIs" dxfId="2553" priority="139382" stopIfTrue="1" operator="greaterThanOrEqual">
      <formula>0.5</formula>
    </cfRule>
  </conditionalFormatting>
  <conditionalFormatting sqref="AZ58">
    <cfRule type="cellIs" dxfId="2552" priority="139383" stopIfTrue="1" operator="equal">
      <formula>-1</formula>
    </cfRule>
  </conditionalFormatting>
  <conditionalFormatting sqref="AZ58">
    <cfRule type="cellIs" dxfId="2551" priority="139384" stopIfTrue="1" operator="lessThan">
      <formula>0.5</formula>
    </cfRule>
  </conditionalFormatting>
  <conditionalFormatting sqref="AZ58">
    <cfRule type="cellIs" dxfId="2550" priority="139385" stopIfTrue="1" operator="greaterThanOrEqual">
      <formula>0.5</formula>
    </cfRule>
  </conditionalFormatting>
  <conditionalFormatting sqref="BB39">
    <cfRule type="cellIs" dxfId="2549" priority="139386" stopIfTrue="1" operator="equal">
      <formula>-1</formula>
    </cfRule>
  </conditionalFormatting>
  <conditionalFormatting sqref="BB39">
    <cfRule type="cellIs" dxfId="2548" priority="139387" stopIfTrue="1" operator="lessThan">
      <formula>0.5</formula>
    </cfRule>
  </conditionalFormatting>
  <conditionalFormatting sqref="BB39">
    <cfRule type="cellIs" dxfId="2547" priority="139388" stopIfTrue="1" operator="greaterThanOrEqual">
      <formula>0.5</formula>
    </cfRule>
  </conditionalFormatting>
  <conditionalFormatting sqref="BB40">
    <cfRule type="cellIs" dxfId="2546" priority="139389" stopIfTrue="1" operator="equal">
      <formula>-1</formula>
    </cfRule>
  </conditionalFormatting>
  <conditionalFormatting sqref="BB40">
    <cfRule type="cellIs" dxfId="2545" priority="139390" stopIfTrue="1" operator="lessThan">
      <formula>0.5</formula>
    </cfRule>
  </conditionalFormatting>
  <conditionalFormatting sqref="BB40">
    <cfRule type="cellIs" dxfId="2544" priority="139391" stopIfTrue="1" operator="greaterThanOrEqual">
      <formula>0.5</formula>
    </cfRule>
  </conditionalFormatting>
  <conditionalFormatting sqref="BB41">
    <cfRule type="cellIs" dxfId="2543" priority="139392" stopIfTrue="1" operator="equal">
      <formula>-1</formula>
    </cfRule>
  </conditionalFormatting>
  <conditionalFormatting sqref="BB41">
    <cfRule type="cellIs" dxfId="2542" priority="139393" stopIfTrue="1" operator="lessThan">
      <formula>0.5</formula>
    </cfRule>
  </conditionalFormatting>
  <conditionalFormatting sqref="BB41">
    <cfRule type="cellIs" dxfId="2541" priority="139394" stopIfTrue="1" operator="greaterThanOrEqual">
      <formula>0.5</formula>
    </cfRule>
  </conditionalFormatting>
  <conditionalFormatting sqref="BB42">
    <cfRule type="cellIs" dxfId="2540" priority="139395" stopIfTrue="1" operator="equal">
      <formula>-1</formula>
    </cfRule>
  </conditionalFormatting>
  <conditionalFormatting sqref="BB42">
    <cfRule type="cellIs" dxfId="2539" priority="139396" stopIfTrue="1" operator="lessThan">
      <formula>0.5</formula>
    </cfRule>
  </conditionalFormatting>
  <conditionalFormatting sqref="BB42">
    <cfRule type="cellIs" dxfId="2538" priority="139397" stopIfTrue="1" operator="greaterThanOrEqual">
      <formula>0.5</formula>
    </cfRule>
  </conditionalFormatting>
  <conditionalFormatting sqref="BB43">
    <cfRule type="cellIs" dxfId="2537" priority="139398" stopIfTrue="1" operator="equal">
      <formula>-1</formula>
    </cfRule>
  </conditionalFormatting>
  <conditionalFormatting sqref="BB43">
    <cfRule type="cellIs" dxfId="2536" priority="139399" stopIfTrue="1" operator="lessThan">
      <formula>0.5</formula>
    </cfRule>
  </conditionalFormatting>
  <conditionalFormatting sqref="BB43">
    <cfRule type="cellIs" dxfId="2535" priority="139400" stopIfTrue="1" operator="greaterThanOrEqual">
      <formula>0.5</formula>
    </cfRule>
  </conditionalFormatting>
  <conditionalFormatting sqref="BB44">
    <cfRule type="cellIs" dxfId="2534" priority="139401" stopIfTrue="1" operator="equal">
      <formula>-1</formula>
    </cfRule>
  </conditionalFormatting>
  <conditionalFormatting sqref="BB44">
    <cfRule type="cellIs" dxfId="2533" priority="139402" stopIfTrue="1" operator="lessThan">
      <formula>0.5</formula>
    </cfRule>
  </conditionalFormatting>
  <conditionalFormatting sqref="BB44">
    <cfRule type="cellIs" dxfId="2532" priority="139403" stopIfTrue="1" operator="greaterThanOrEqual">
      <formula>0.5</formula>
    </cfRule>
  </conditionalFormatting>
  <conditionalFormatting sqref="BB45">
    <cfRule type="cellIs" dxfId="2531" priority="139404" stopIfTrue="1" operator="equal">
      <formula>-1</formula>
    </cfRule>
  </conditionalFormatting>
  <conditionalFormatting sqref="BB45">
    <cfRule type="cellIs" dxfId="2530" priority="139405" stopIfTrue="1" operator="lessThan">
      <formula>0.5</formula>
    </cfRule>
  </conditionalFormatting>
  <conditionalFormatting sqref="BB45">
    <cfRule type="cellIs" dxfId="2529" priority="139406" stopIfTrue="1" operator="greaterThanOrEqual">
      <formula>0.5</formula>
    </cfRule>
  </conditionalFormatting>
  <conditionalFormatting sqref="BB46">
    <cfRule type="cellIs" dxfId="2528" priority="139407" stopIfTrue="1" operator="equal">
      <formula>-1</formula>
    </cfRule>
  </conditionalFormatting>
  <conditionalFormatting sqref="BB46">
    <cfRule type="cellIs" dxfId="2527" priority="139408" stopIfTrue="1" operator="lessThan">
      <formula>0.5</formula>
    </cfRule>
  </conditionalFormatting>
  <conditionalFormatting sqref="BB46">
    <cfRule type="cellIs" dxfId="2526" priority="139409" stopIfTrue="1" operator="greaterThanOrEqual">
      <formula>0.5</formula>
    </cfRule>
  </conditionalFormatting>
  <conditionalFormatting sqref="BB47">
    <cfRule type="cellIs" dxfId="2525" priority="139410" stopIfTrue="1" operator="equal">
      <formula>-1</formula>
    </cfRule>
  </conditionalFormatting>
  <conditionalFormatting sqref="BB47">
    <cfRule type="cellIs" dxfId="2524" priority="139411" stopIfTrue="1" operator="lessThan">
      <formula>0.5</formula>
    </cfRule>
  </conditionalFormatting>
  <conditionalFormatting sqref="BB47">
    <cfRule type="cellIs" dxfId="2523" priority="139412" stopIfTrue="1" operator="greaterThanOrEqual">
      <formula>0.5</formula>
    </cfRule>
  </conditionalFormatting>
  <conditionalFormatting sqref="BB48">
    <cfRule type="cellIs" dxfId="2522" priority="139413" stopIfTrue="1" operator="equal">
      <formula>-1</formula>
    </cfRule>
  </conditionalFormatting>
  <conditionalFormatting sqref="BB48">
    <cfRule type="cellIs" dxfId="2521" priority="139414" stopIfTrue="1" operator="lessThan">
      <formula>0.5</formula>
    </cfRule>
  </conditionalFormatting>
  <conditionalFormatting sqref="BB48">
    <cfRule type="cellIs" dxfId="2520" priority="139415" stopIfTrue="1" operator="greaterThanOrEqual">
      <formula>0.5</formula>
    </cfRule>
  </conditionalFormatting>
  <conditionalFormatting sqref="BB49">
    <cfRule type="cellIs" dxfId="2519" priority="139416" stopIfTrue="1" operator="equal">
      <formula>-1</formula>
    </cfRule>
  </conditionalFormatting>
  <conditionalFormatting sqref="BB49">
    <cfRule type="cellIs" dxfId="2518" priority="139417" stopIfTrue="1" operator="lessThan">
      <formula>0.5</formula>
    </cfRule>
  </conditionalFormatting>
  <conditionalFormatting sqref="BB49">
    <cfRule type="cellIs" dxfId="2517" priority="139418" stopIfTrue="1" operator="greaterThanOrEqual">
      <formula>0.5</formula>
    </cfRule>
  </conditionalFormatting>
  <conditionalFormatting sqref="BB50">
    <cfRule type="cellIs" dxfId="2516" priority="139419" stopIfTrue="1" operator="equal">
      <formula>-1</formula>
    </cfRule>
  </conditionalFormatting>
  <conditionalFormatting sqref="BB50">
    <cfRule type="cellIs" dxfId="2515" priority="139420" stopIfTrue="1" operator="lessThan">
      <formula>0.5</formula>
    </cfRule>
  </conditionalFormatting>
  <conditionalFormatting sqref="BB50">
    <cfRule type="cellIs" dxfId="2514" priority="139421" stopIfTrue="1" operator="greaterThanOrEqual">
      <formula>0.5</formula>
    </cfRule>
  </conditionalFormatting>
  <conditionalFormatting sqref="BB51">
    <cfRule type="cellIs" dxfId="2513" priority="139422" stopIfTrue="1" operator="equal">
      <formula>-1</formula>
    </cfRule>
  </conditionalFormatting>
  <conditionalFormatting sqref="BB51">
    <cfRule type="cellIs" dxfId="2512" priority="139423" stopIfTrue="1" operator="lessThan">
      <formula>0.5</formula>
    </cfRule>
  </conditionalFormatting>
  <conditionalFormatting sqref="BB51">
    <cfRule type="cellIs" dxfId="2511" priority="139424" stopIfTrue="1" operator="greaterThanOrEqual">
      <formula>0.5</formula>
    </cfRule>
  </conditionalFormatting>
  <conditionalFormatting sqref="BB52">
    <cfRule type="cellIs" dxfId="2510" priority="139425" stopIfTrue="1" operator="equal">
      <formula>-1</formula>
    </cfRule>
  </conditionalFormatting>
  <conditionalFormatting sqref="BB52">
    <cfRule type="cellIs" dxfId="2509" priority="139426" stopIfTrue="1" operator="lessThan">
      <formula>0.5</formula>
    </cfRule>
  </conditionalFormatting>
  <conditionalFormatting sqref="BB52">
    <cfRule type="cellIs" dxfId="2508" priority="139427" stopIfTrue="1" operator="greaterThanOrEqual">
      <formula>0.5</formula>
    </cfRule>
  </conditionalFormatting>
  <conditionalFormatting sqref="BB53">
    <cfRule type="cellIs" dxfId="2507" priority="139428" stopIfTrue="1" operator="equal">
      <formula>-1</formula>
    </cfRule>
  </conditionalFormatting>
  <conditionalFormatting sqref="BB53">
    <cfRule type="cellIs" dxfId="2506" priority="139429" stopIfTrue="1" operator="lessThan">
      <formula>0.5</formula>
    </cfRule>
  </conditionalFormatting>
  <conditionalFormatting sqref="BB53">
    <cfRule type="cellIs" dxfId="2505" priority="139430" stopIfTrue="1" operator="greaterThanOrEqual">
      <formula>0.5</formula>
    </cfRule>
  </conditionalFormatting>
  <conditionalFormatting sqref="BB54">
    <cfRule type="cellIs" dxfId="2504" priority="139431" stopIfTrue="1" operator="equal">
      <formula>-1</formula>
    </cfRule>
  </conditionalFormatting>
  <conditionalFormatting sqref="BB54">
    <cfRule type="cellIs" dxfId="2503" priority="139432" stopIfTrue="1" operator="lessThan">
      <formula>0.5</formula>
    </cfRule>
  </conditionalFormatting>
  <conditionalFormatting sqref="BB54">
    <cfRule type="cellIs" dxfId="2502" priority="139433" stopIfTrue="1" operator="greaterThanOrEqual">
      <formula>0.5</formula>
    </cfRule>
  </conditionalFormatting>
  <conditionalFormatting sqref="BB55">
    <cfRule type="cellIs" dxfId="2501" priority="139434" stopIfTrue="1" operator="equal">
      <formula>-1</formula>
    </cfRule>
  </conditionalFormatting>
  <conditionalFormatting sqref="BB55">
    <cfRule type="cellIs" dxfId="2500" priority="139435" stopIfTrue="1" operator="lessThan">
      <formula>0.5</formula>
    </cfRule>
  </conditionalFormatting>
  <conditionalFormatting sqref="BB55">
    <cfRule type="cellIs" dxfId="2499" priority="139436" stopIfTrue="1" operator="greaterThanOrEqual">
      <formula>0.5</formula>
    </cfRule>
  </conditionalFormatting>
  <conditionalFormatting sqref="BB56">
    <cfRule type="cellIs" dxfId="2498" priority="139437" stopIfTrue="1" operator="equal">
      <formula>-1</formula>
    </cfRule>
  </conditionalFormatting>
  <conditionalFormatting sqref="BB56">
    <cfRule type="cellIs" dxfId="2497" priority="139438" stopIfTrue="1" operator="lessThan">
      <formula>0.5</formula>
    </cfRule>
  </conditionalFormatting>
  <conditionalFormatting sqref="BB56">
    <cfRule type="cellIs" dxfId="2496" priority="139439" stopIfTrue="1" operator="greaterThanOrEqual">
      <formula>0.5</formula>
    </cfRule>
  </conditionalFormatting>
  <conditionalFormatting sqref="BB57">
    <cfRule type="cellIs" dxfId="2495" priority="139440" stopIfTrue="1" operator="equal">
      <formula>-1</formula>
    </cfRule>
  </conditionalFormatting>
  <conditionalFormatting sqref="BB57">
    <cfRule type="cellIs" dxfId="2494" priority="139441" stopIfTrue="1" operator="lessThan">
      <formula>0.5</formula>
    </cfRule>
  </conditionalFormatting>
  <conditionalFormatting sqref="BB57">
    <cfRule type="cellIs" dxfId="2493" priority="139442" stopIfTrue="1" operator="greaterThanOrEqual">
      <formula>0.5</formula>
    </cfRule>
  </conditionalFormatting>
  <conditionalFormatting sqref="BB58">
    <cfRule type="cellIs" dxfId="2492" priority="139443" stopIfTrue="1" operator="equal">
      <formula>-1</formula>
    </cfRule>
  </conditionalFormatting>
  <conditionalFormatting sqref="BB58">
    <cfRule type="cellIs" dxfId="2491" priority="139444" stopIfTrue="1" operator="lessThan">
      <formula>0.5</formula>
    </cfRule>
  </conditionalFormatting>
  <conditionalFormatting sqref="BB58">
    <cfRule type="cellIs" dxfId="2490" priority="139445" stopIfTrue="1" operator="greaterThanOrEqual">
      <formula>0.5</formula>
    </cfRule>
  </conditionalFormatting>
  <conditionalFormatting sqref="BD39">
    <cfRule type="cellIs" dxfId="2489" priority="139446" stopIfTrue="1" operator="equal">
      <formula>-1</formula>
    </cfRule>
  </conditionalFormatting>
  <conditionalFormatting sqref="BD39">
    <cfRule type="cellIs" dxfId="2488" priority="139447" stopIfTrue="1" operator="lessThan">
      <formula>0.5</formula>
    </cfRule>
  </conditionalFormatting>
  <conditionalFormatting sqref="BD39">
    <cfRule type="cellIs" dxfId="2487" priority="139448" stopIfTrue="1" operator="greaterThanOrEqual">
      <formula>0.5</formula>
    </cfRule>
  </conditionalFormatting>
  <conditionalFormatting sqref="BD40">
    <cfRule type="cellIs" dxfId="2486" priority="139449" stopIfTrue="1" operator="equal">
      <formula>-1</formula>
    </cfRule>
  </conditionalFormatting>
  <conditionalFormatting sqref="BD40">
    <cfRule type="cellIs" dxfId="2485" priority="139450" stopIfTrue="1" operator="lessThan">
      <formula>0.5</formula>
    </cfRule>
  </conditionalFormatting>
  <conditionalFormatting sqref="BD40">
    <cfRule type="cellIs" dxfId="2484" priority="139451" stopIfTrue="1" operator="greaterThanOrEqual">
      <formula>0.5</formula>
    </cfRule>
  </conditionalFormatting>
  <conditionalFormatting sqref="BD41">
    <cfRule type="cellIs" dxfId="2483" priority="139452" stopIfTrue="1" operator="equal">
      <formula>-1</formula>
    </cfRule>
  </conditionalFormatting>
  <conditionalFormatting sqref="BD41">
    <cfRule type="cellIs" dxfId="2482" priority="139453" stopIfTrue="1" operator="lessThan">
      <formula>0.5</formula>
    </cfRule>
  </conditionalFormatting>
  <conditionalFormatting sqref="BD41">
    <cfRule type="cellIs" dxfId="2481" priority="139454" stopIfTrue="1" operator="greaterThanOrEqual">
      <formula>0.5</formula>
    </cfRule>
  </conditionalFormatting>
  <conditionalFormatting sqref="BD42">
    <cfRule type="cellIs" dxfId="2480" priority="139455" stopIfTrue="1" operator="equal">
      <formula>-1</formula>
    </cfRule>
  </conditionalFormatting>
  <conditionalFormatting sqref="BD42">
    <cfRule type="cellIs" dxfId="2479" priority="139456" stopIfTrue="1" operator="lessThan">
      <formula>0.5</formula>
    </cfRule>
  </conditionalFormatting>
  <conditionalFormatting sqref="BD42">
    <cfRule type="cellIs" dxfId="2478" priority="139457" stopIfTrue="1" operator="greaterThanOrEqual">
      <formula>0.5</formula>
    </cfRule>
  </conditionalFormatting>
  <conditionalFormatting sqref="BD43">
    <cfRule type="cellIs" dxfId="2477" priority="139458" stopIfTrue="1" operator="equal">
      <formula>-1</formula>
    </cfRule>
  </conditionalFormatting>
  <conditionalFormatting sqref="BD43">
    <cfRule type="cellIs" dxfId="2476" priority="139459" stopIfTrue="1" operator="lessThan">
      <formula>0.5</formula>
    </cfRule>
  </conditionalFormatting>
  <conditionalFormatting sqref="BD43">
    <cfRule type="cellIs" dxfId="2475" priority="139460" stopIfTrue="1" operator="greaterThanOrEqual">
      <formula>0.5</formula>
    </cfRule>
  </conditionalFormatting>
  <conditionalFormatting sqref="BD44">
    <cfRule type="cellIs" dxfId="2474" priority="139461" stopIfTrue="1" operator="equal">
      <formula>-1</formula>
    </cfRule>
  </conditionalFormatting>
  <conditionalFormatting sqref="BD44">
    <cfRule type="cellIs" dxfId="2473" priority="139462" stopIfTrue="1" operator="lessThan">
      <formula>0.5</formula>
    </cfRule>
  </conditionalFormatting>
  <conditionalFormatting sqref="BD44">
    <cfRule type="cellIs" dxfId="2472" priority="139463" stopIfTrue="1" operator="greaterThanOrEqual">
      <formula>0.5</formula>
    </cfRule>
  </conditionalFormatting>
  <conditionalFormatting sqref="BD45">
    <cfRule type="cellIs" dxfId="2471" priority="139464" stopIfTrue="1" operator="equal">
      <formula>-1</formula>
    </cfRule>
  </conditionalFormatting>
  <conditionalFormatting sqref="BD45">
    <cfRule type="cellIs" dxfId="2470" priority="139465" stopIfTrue="1" operator="lessThan">
      <formula>0.5</formula>
    </cfRule>
  </conditionalFormatting>
  <conditionalFormatting sqref="BD45">
    <cfRule type="cellIs" dxfId="2469" priority="139466" stopIfTrue="1" operator="greaterThanOrEqual">
      <formula>0.5</formula>
    </cfRule>
  </conditionalFormatting>
  <conditionalFormatting sqref="BD46">
    <cfRule type="cellIs" dxfId="2468" priority="139467" stopIfTrue="1" operator="equal">
      <formula>-1</formula>
    </cfRule>
  </conditionalFormatting>
  <conditionalFormatting sqref="BD46">
    <cfRule type="cellIs" dxfId="2467" priority="139468" stopIfTrue="1" operator="lessThan">
      <formula>0.5</formula>
    </cfRule>
  </conditionalFormatting>
  <conditionalFormatting sqref="BD46">
    <cfRule type="cellIs" dxfId="2466" priority="139469" stopIfTrue="1" operator="greaterThanOrEqual">
      <formula>0.5</formula>
    </cfRule>
  </conditionalFormatting>
  <conditionalFormatting sqref="BD47">
    <cfRule type="cellIs" dxfId="2465" priority="139470" stopIfTrue="1" operator="equal">
      <formula>-1</formula>
    </cfRule>
  </conditionalFormatting>
  <conditionalFormatting sqref="BD47">
    <cfRule type="cellIs" dxfId="2464" priority="139471" stopIfTrue="1" operator="lessThan">
      <formula>0.5</formula>
    </cfRule>
  </conditionalFormatting>
  <conditionalFormatting sqref="BD47">
    <cfRule type="cellIs" dxfId="2463" priority="139472" stopIfTrue="1" operator="greaterThanOrEqual">
      <formula>0.5</formula>
    </cfRule>
  </conditionalFormatting>
  <conditionalFormatting sqref="BD48">
    <cfRule type="cellIs" dxfId="2462" priority="139473" stopIfTrue="1" operator="equal">
      <formula>-1</formula>
    </cfRule>
  </conditionalFormatting>
  <conditionalFormatting sqref="BD48">
    <cfRule type="cellIs" dxfId="2461" priority="139474" stopIfTrue="1" operator="lessThan">
      <formula>0.5</formula>
    </cfRule>
  </conditionalFormatting>
  <conditionalFormatting sqref="BD48">
    <cfRule type="cellIs" dxfId="2460" priority="139475" stopIfTrue="1" operator="greaterThanOrEqual">
      <formula>0.5</formula>
    </cfRule>
  </conditionalFormatting>
  <conditionalFormatting sqref="BD49">
    <cfRule type="cellIs" dxfId="2459" priority="139476" stopIfTrue="1" operator="equal">
      <formula>-1</formula>
    </cfRule>
  </conditionalFormatting>
  <conditionalFormatting sqref="BD49">
    <cfRule type="cellIs" dxfId="2458" priority="139477" stopIfTrue="1" operator="lessThan">
      <formula>0.5</formula>
    </cfRule>
  </conditionalFormatting>
  <conditionalFormatting sqref="BD49">
    <cfRule type="cellIs" dxfId="2457" priority="139478" stopIfTrue="1" operator="greaterThanOrEqual">
      <formula>0.5</formula>
    </cfRule>
  </conditionalFormatting>
  <conditionalFormatting sqref="BD50">
    <cfRule type="cellIs" dxfId="2456" priority="139479" stopIfTrue="1" operator="equal">
      <formula>-1</formula>
    </cfRule>
  </conditionalFormatting>
  <conditionalFormatting sqref="BD50">
    <cfRule type="cellIs" dxfId="2455" priority="139480" stopIfTrue="1" operator="lessThan">
      <formula>0.5</formula>
    </cfRule>
  </conditionalFormatting>
  <conditionalFormatting sqref="BD50">
    <cfRule type="cellIs" dxfId="2454" priority="139481" stopIfTrue="1" operator="greaterThanOrEqual">
      <formula>0.5</formula>
    </cfRule>
  </conditionalFormatting>
  <conditionalFormatting sqref="BD51">
    <cfRule type="cellIs" dxfId="2453" priority="139482" stopIfTrue="1" operator="equal">
      <formula>-1</formula>
    </cfRule>
  </conditionalFormatting>
  <conditionalFormatting sqref="BD51">
    <cfRule type="cellIs" dxfId="2452" priority="139483" stopIfTrue="1" operator="lessThan">
      <formula>0.5</formula>
    </cfRule>
  </conditionalFormatting>
  <conditionalFormatting sqref="BD51">
    <cfRule type="cellIs" dxfId="2451" priority="139484" stopIfTrue="1" operator="greaterThanOrEqual">
      <formula>0.5</formula>
    </cfRule>
  </conditionalFormatting>
  <conditionalFormatting sqref="BD52">
    <cfRule type="cellIs" dxfId="2450" priority="139485" stopIfTrue="1" operator="equal">
      <formula>-1</formula>
    </cfRule>
  </conditionalFormatting>
  <conditionalFormatting sqref="BD52">
    <cfRule type="cellIs" dxfId="2449" priority="139486" stopIfTrue="1" operator="lessThan">
      <formula>0.5</formula>
    </cfRule>
  </conditionalFormatting>
  <conditionalFormatting sqref="BD52">
    <cfRule type="cellIs" dxfId="2448" priority="139487" stopIfTrue="1" operator="greaterThanOrEqual">
      <formula>0.5</formula>
    </cfRule>
  </conditionalFormatting>
  <conditionalFormatting sqref="BD53">
    <cfRule type="cellIs" dxfId="2447" priority="139488" stopIfTrue="1" operator="equal">
      <formula>-1</formula>
    </cfRule>
  </conditionalFormatting>
  <conditionalFormatting sqref="BD53">
    <cfRule type="cellIs" dxfId="2446" priority="139489" stopIfTrue="1" operator="lessThan">
      <formula>0.5</formula>
    </cfRule>
  </conditionalFormatting>
  <conditionalFormatting sqref="BD53">
    <cfRule type="cellIs" dxfId="2445" priority="139490" stopIfTrue="1" operator="greaterThanOrEqual">
      <formula>0.5</formula>
    </cfRule>
  </conditionalFormatting>
  <conditionalFormatting sqref="BD54">
    <cfRule type="cellIs" dxfId="2444" priority="139491" stopIfTrue="1" operator="equal">
      <formula>-1</formula>
    </cfRule>
  </conditionalFormatting>
  <conditionalFormatting sqref="BD54">
    <cfRule type="cellIs" dxfId="2443" priority="139492" stopIfTrue="1" operator="lessThan">
      <formula>0.5</formula>
    </cfRule>
  </conditionalFormatting>
  <conditionalFormatting sqref="BD54">
    <cfRule type="cellIs" dxfId="2442" priority="139493" stopIfTrue="1" operator="greaterThanOrEqual">
      <formula>0.5</formula>
    </cfRule>
  </conditionalFormatting>
  <conditionalFormatting sqref="BD55">
    <cfRule type="cellIs" dxfId="2441" priority="139494" stopIfTrue="1" operator="equal">
      <formula>-1</formula>
    </cfRule>
  </conditionalFormatting>
  <conditionalFormatting sqref="BD55">
    <cfRule type="cellIs" dxfId="2440" priority="139495" stopIfTrue="1" operator="lessThan">
      <formula>0.5</formula>
    </cfRule>
  </conditionalFormatting>
  <conditionalFormatting sqref="BD55">
    <cfRule type="cellIs" dxfId="2439" priority="139496" stopIfTrue="1" operator="greaterThanOrEqual">
      <formula>0.5</formula>
    </cfRule>
  </conditionalFormatting>
  <conditionalFormatting sqref="BD56">
    <cfRule type="cellIs" dxfId="2438" priority="139497" stopIfTrue="1" operator="equal">
      <formula>-1</formula>
    </cfRule>
  </conditionalFormatting>
  <conditionalFormatting sqref="BD56">
    <cfRule type="cellIs" dxfId="2437" priority="139498" stopIfTrue="1" operator="lessThan">
      <formula>0.5</formula>
    </cfRule>
  </conditionalFormatting>
  <conditionalFormatting sqref="BD56">
    <cfRule type="cellIs" dxfId="2436" priority="139499" stopIfTrue="1" operator="greaterThanOrEqual">
      <formula>0.5</formula>
    </cfRule>
  </conditionalFormatting>
  <conditionalFormatting sqref="BD57">
    <cfRule type="cellIs" dxfId="2435" priority="139500" stopIfTrue="1" operator="equal">
      <formula>-1</formula>
    </cfRule>
  </conditionalFormatting>
  <conditionalFormatting sqref="BD57">
    <cfRule type="cellIs" dxfId="2434" priority="139501" stopIfTrue="1" operator="lessThan">
      <formula>0.5</formula>
    </cfRule>
  </conditionalFormatting>
  <conditionalFormatting sqref="BD57">
    <cfRule type="cellIs" dxfId="2433" priority="139502" stopIfTrue="1" operator="greaterThanOrEqual">
      <formula>0.5</formula>
    </cfRule>
  </conditionalFormatting>
  <conditionalFormatting sqref="BD58">
    <cfRule type="cellIs" dxfId="2432" priority="139503" stopIfTrue="1" operator="equal">
      <formula>-1</formula>
    </cfRule>
  </conditionalFormatting>
  <conditionalFormatting sqref="BD58">
    <cfRule type="cellIs" dxfId="2431" priority="139504" stopIfTrue="1" operator="lessThan">
      <formula>0.5</formula>
    </cfRule>
  </conditionalFormatting>
  <conditionalFormatting sqref="BD58">
    <cfRule type="cellIs" dxfId="2430" priority="139505" stopIfTrue="1" operator="greaterThanOrEqual">
      <formula>0.5</formula>
    </cfRule>
  </conditionalFormatting>
  <conditionalFormatting sqref="BF39">
    <cfRule type="cellIs" dxfId="2429" priority="139506" stopIfTrue="1" operator="equal">
      <formula>-1</formula>
    </cfRule>
  </conditionalFormatting>
  <conditionalFormatting sqref="BF39">
    <cfRule type="cellIs" dxfId="2428" priority="139507" stopIfTrue="1" operator="lessThan">
      <formula>0.5</formula>
    </cfRule>
  </conditionalFormatting>
  <conditionalFormatting sqref="BF39">
    <cfRule type="cellIs" dxfId="2427" priority="139508" stopIfTrue="1" operator="greaterThanOrEqual">
      <formula>0.5</formula>
    </cfRule>
  </conditionalFormatting>
  <conditionalFormatting sqref="BF40">
    <cfRule type="cellIs" dxfId="2426" priority="139509" stopIfTrue="1" operator="equal">
      <formula>-1</formula>
    </cfRule>
  </conditionalFormatting>
  <conditionalFormatting sqref="BF40">
    <cfRule type="cellIs" dxfId="2425" priority="139510" stopIfTrue="1" operator="lessThan">
      <formula>0.5</formula>
    </cfRule>
  </conditionalFormatting>
  <conditionalFormatting sqref="BF40">
    <cfRule type="cellIs" dxfId="2424" priority="139511" stopIfTrue="1" operator="greaterThanOrEqual">
      <formula>0.5</formula>
    </cfRule>
  </conditionalFormatting>
  <conditionalFormatting sqref="BF41">
    <cfRule type="cellIs" dxfId="2423" priority="139512" stopIfTrue="1" operator="equal">
      <formula>-1</formula>
    </cfRule>
  </conditionalFormatting>
  <conditionalFormatting sqref="BF41">
    <cfRule type="cellIs" dxfId="2422" priority="139513" stopIfTrue="1" operator="lessThan">
      <formula>0.5</formula>
    </cfRule>
  </conditionalFormatting>
  <conditionalFormatting sqref="BF41">
    <cfRule type="cellIs" dxfId="2421" priority="139514" stopIfTrue="1" operator="greaterThanOrEqual">
      <formula>0.5</formula>
    </cfRule>
  </conditionalFormatting>
  <conditionalFormatting sqref="BF42">
    <cfRule type="cellIs" dxfId="2420" priority="139515" stopIfTrue="1" operator="equal">
      <formula>-1</formula>
    </cfRule>
  </conditionalFormatting>
  <conditionalFormatting sqref="BF42">
    <cfRule type="cellIs" dxfId="2419" priority="139516" stopIfTrue="1" operator="lessThan">
      <formula>0.5</formula>
    </cfRule>
  </conditionalFormatting>
  <conditionalFormatting sqref="BF42">
    <cfRule type="cellIs" dxfId="2418" priority="139517" stopIfTrue="1" operator="greaterThanOrEqual">
      <formula>0.5</formula>
    </cfRule>
  </conditionalFormatting>
  <conditionalFormatting sqref="BF43">
    <cfRule type="cellIs" dxfId="2417" priority="139518" stopIfTrue="1" operator="equal">
      <formula>-1</formula>
    </cfRule>
  </conditionalFormatting>
  <conditionalFormatting sqref="BF43">
    <cfRule type="cellIs" dxfId="2416" priority="139519" stopIfTrue="1" operator="lessThan">
      <formula>0.5</formula>
    </cfRule>
  </conditionalFormatting>
  <conditionalFormatting sqref="BF43">
    <cfRule type="cellIs" dxfId="2415" priority="139520" stopIfTrue="1" operator="greaterThanOrEqual">
      <formula>0.5</formula>
    </cfRule>
  </conditionalFormatting>
  <conditionalFormatting sqref="BF44">
    <cfRule type="cellIs" dxfId="2414" priority="139521" stopIfTrue="1" operator="equal">
      <formula>-1</formula>
    </cfRule>
  </conditionalFormatting>
  <conditionalFormatting sqref="BF44">
    <cfRule type="cellIs" dxfId="2413" priority="139522" stopIfTrue="1" operator="lessThan">
      <formula>0.5</formula>
    </cfRule>
  </conditionalFormatting>
  <conditionalFormatting sqref="BF44">
    <cfRule type="cellIs" dxfId="2412" priority="139523" stopIfTrue="1" operator="greaterThanOrEqual">
      <formula>0.5</formula>
    </cfRule>
  </conditionalFormatting>
  <conditionalFormatting sqref="BF45">
    <cfRule type="cellIs" dxfId="2411" priority="139524" stopIfTrue="1" operator="equal">
      <formula>-1</formula>
    </cfRule>
  </conditionalFormatting>
  <conditionalFormatting sqref="BF45">
    <cfRule type="cellIs" dxfId="2410" priority="139525" stopIfTrue="1" operator="lessThan">
      <formula>0.5</formula>
    </cfRule>
  </conditionalFormatting>
  <conditionalFormatting sqref="BF45">
    <cfRule type="cellIs" dxfId="2409" priority="139526" stopIfTrue="1" operator="greaterThanOrEqual">
      <formula>0.5</formula>
    </cfRule>
  </conditionalFormatting>
  <conditionalFormatting sqref="BF46">
    <cfRule type="cellIs" dxfId="2408" priority="139527" stopIfTrue="1" operator="equal">
      <formula>-1</formula>
    </cfRule>
  </conditionalFormatting>
  <conditionalFormatting sqref="BF46">
    <cfRule type="cellIs" dxfId="2407" priority="139528" stopIfTrue="1" operator="lessThan">
      <formula>0.5</formula>
    </cfRule>
  </conditionalFormatting>
  <conditionalFormatting sqref="BF46">
    <cfRule type="cellIs" dxfId="2406" priority="139529" stopIfTrue="1" operator="greaterThanOrEqual">
      <formula>0.5</formula>
    </cfRule>
  </conditionalFormatting>
  <conditionalFormatting sqref="BF47">
    <cfRule type="cellIs" dxfId="2405" priority="139530" stopIfTrue="1" operator="equal">
      <formula>-1</formula>
    </cfRule>
  </conditionalFormatting>
  <conditionalFormatting sqref="BF47">
    <cfRule type="cellIs" dxfId="2404" priority="139531" stopIfTrue="1" operator="lessThan">
      <formula>0.5</formula>
    </cfRule>
  </conditionalFormatting>
  <conditionalFormatting sqref="BF47">
    <cfRule type="cellIs" dxfId="2403" priority="139532" stopIfTrue="1" operator="greaterThanOrEqual">
      <formula>0.5</formula>
    </cfRule>
  </conditionalFormatting>
  <conditionalFormatting sqref="BF48">
    <cfRule type="cellIs" dxfId="2402" priority="139533" stopIfTrue="1" operator="equal">
      <formula>-1</formula>
    </cfRule>
  </conditionalFormatting>
  <conditionalFormatting sqref="BF48">
    <cfRule type="cellIs" dxfId="2401" priority="139534" stopIfTrue="1" operator="lessThan">
      <formula>0.5</formula>
    </cfRule>
  </conditionalFormatting>
  <conditionalFormatting sqref="BF48">
    <cfRule type="cellIs" dxfId="2400" priority="139535" stopIfTrue="1" operator="greaterThanOrEqual">
      <formula>0.5</formula>
    </cfRule>
  </conditionalFormatting>
  <conditionalFormatting sqref="BF49">
    <cfRule type="cellIs" dxfId="2399" priority="139536" stopIfTrue="1" operator="equal">
      <formula>-1</formula>
    </cfRule>
  </conditionalFormatting>
  <conditionalFormatting sqref="BF49">
    <cfRule type="cellIs" dxfId="2398" priority="139537" stopIfTrue="1" operator="lessThan">
      <formula>0.5</formula>
    </cfRule>
  </conditionalFormatting>
  <conditionalFormatting sqref="BF49">
    <cfRule type="cellIs" dxfId="2397" priority="139538" stopIfTrue="1" operator="greaterThanOrEqual">
      <formula>0.5</formula>
    </cfRule>
  </conditionalFormatting>
  <conditionalFormatting sqref="BF50">
    <cfRule type="cellIs" dxfId="2396" priority="139539" stopIfTrue="1" operator="equal">
      <formula>-1</formula>
    </cfRule>
  </conditionalFormatting>
  <conditionalFormatting sqref="BF50">
    <cfRule type="cellIs" dxfId="2395" priority="139540" stopIfTrue="1" operator="lessThan">
      <formula>0.5</formula>
    </cfRule>
  </conditionalFormatting>
  <conditionalFormatting sqref="BF50">
    <cfRule type="cellIs" dxfId="2394" priority="139541" stopIfTrue="1" operator="greaterThanOrEqual">
      <formula>0.5</formula>
    </cfRule>
  </conditionalFormatting>
  <conditionalFormatting sqref="BF51">
    <cfRule type="cellIs" dxfId="2393" priority="139542" stopIfTrue="1" operator="equal">
      <formula>-1</formula>
    </cfRule>
  </conditionalFormatting>
  <conditionalFormatting sqref="BF51">
    <cfRule type="cellIs" dxfId="2392" priority="139543" stopIfTrue="1" operator="lessThan">
      <formula>0.5</formula>
    </cfRule>
  </conditionalFormatting>
  <conditionalFormatting sqref="BF51">
    <cfRule type="cellIs" dxfId="2391" priority="139544" stopIfTrue="1" operator="greaterThanOrEqual">
      <formula>0.5</formula>
    </cfRule>
  </conditionalFormatting>
  <conditionalFormatting sqref="BF52">
    <cfRule type="cellIs" dxfId="2390" priority="139545" stopIfTrue="1" operator="equal">
      <formula>-1</formula>
    </cfRule>
  </conditionalFormatting>
  <conditionalFormatting sqref="BF52">
    <cfRule type="cellIs" dxfId="2389" priority="139546" stopIfTrue="1" operator="lessThan">
      <formula>0.5</formula>
    </cfRule>
  </conditionalFormatting>
  <conditionalFormatting sqref="BF52">
    <cfRule type="cellIs" dxfId="2388" priority="139547" stopIfTrue="1" operator="greaterThanOrEqual">
      <formula>0.5</formula>
    </cfRule>
  </conditionalFormatting>
  <conditionalFormatting sqref="BF53">
    <cfRule type="cellIs" dxfId="2387" priority="139548" stopIfTrue="1" operator="equal">
      <formula>-1</formula>
    </cfRule>
  </conditionalFormatting>
  <conditionalFormatting sqref="BF53">
    <cfRule type="cellIs" dxfId="2386" priority="139549" stopIfTrue="1" operator="lessThan">
      <formula>0.5</formula>
    </cfRule>
  </conditionalFormatting>
  <conditionalFormatting sqref="BF53">
    <cfRule type="cellIs" dxfId="2385" priority="139550" stopIfTrue="1" operator="greaterThanOrEqual">
      <formula>0.5</formula>
    </cfRule>
  </conditionalFormatting>
  <conditionalFormatting sqref="BF54">
    <cfRule type="cellIs" dxfId="2384" priority="139551" stopIfTrue="1" operator="equal">
      <formula>-1</formula>
    </cfRule>
  </conditionalFormatting>
  <conditionalFormatting sqref="BF54">
    <cfRule type="cellIs" dxfId="2383" priority="139552" stopIfTrue="1" operator="lessThan">
      <formula>0.5</formula>
    </cfRule>
  </conditionalFormatting>
  <conditionalFormatting sqref="BF54">
    <cfRule type="cellIs" dxfId="2382" priority="139553" stopIfTrue="1" operator="greaterThanOrEqual">
      <formula>0.5</formula>
    </cfRule>
  </conditionalFormatting>
  <conditionalFormatting sqref="BF55">
    <cfRule type="cellIs" dxfId="2381" priority="139554" stopIfTrue="1" operator="equal">
      <formula>-1</formula>
    </cfRule>
  </conditionalFormatting>
  <conditionalFormatting sqref="BF55">
    <cfRule type="cellIs" dxfId="2380" priority="139555" stopIfTrue="1" operator="lessThan">
      <formula>0.5</formula>
    </cfRule>
  </conditionalFormatting>
  <conditionalFormatting sqref="BF55">
    <cfRule type="cellIs" dxfId="2379" priority="139556" stopIfTrue="1" operator="greaterThanOrEqual">
      <formula>0.5</formula>
    </cfRule>
  </conditionalFormatting>
  <conditionalFormatting sqref="BF56">
    <cfRule type="cellIs" dxfId="2378" priority="139557" stopIfTrue="1" operator="equal">
      <formula>-1</formula>
    </cfRule>
  </conditionalFormatting>
  <conditionalFormatting sqref="BF56">
    <cfRule type="cellIs" dxfId="2377" priority="139558" stopIfTrue="1" operator="lessThan">
      <formula>0.5</formula>
    </cfRule>
  </conditionalFormatting>
  <conditionalFormatting sqref="BF56">
    <cfRule type="cellIs" dxfId="2376" priority="139559" stopIfTrue="1" operator="greaterThanOrEqual">
      <formula>0.5</formula>
    </cfRule>
  </conditionalFormatting>
  <conditionalFormatting sqref="BF57">
    <cfRule type="cellIs" dxfId="2375" priority="139560" stopIfTrue="1" operator="equal">
      <formula>-1</formula>
    </cfRule>
  </conditionalFormatting>
  <conditionalFormatting sqref="BF57">
    <cfRule type="cellIs" dxfId="2374" priority="139561" stopIfTrue="1" operator="lessThan">
      <formula>0.5</formula>
    </cfRule>
  </conditionalFormatting>
  <conditionalFormatting sqref="BF57">
    <cfRule type="cellIs" dxfId="2373" priority="139562" stopIfTrue="1" operator="greaterThanOrEqual">
      <formula>0.5</formula>
    </cfRule>
  </conditionalFormatting>
  <conditionalFormatting sqref="BF58">
    <cfRule type="cellIs" dxfId="2372" priority="139563" stopIfTrue="1" operator="equal">
      <formula>-1</formula>
    </cfRule>
  </conditionalFormatting>
  <conditionalFormatting sqref="BF58">
    <cfRule type="cellIs" dxfId="2371" priority="139564" stopIfTrue="1" operator="lessThan">
      <formula>0.5</formula>
    </cfRule>
  </conditionalFormatting>
  <conditionalFormatting sqref="BF58">
    <cfRule type="cellIs" dxfId="2370" priority="139565" stopIfTrue="1" operator="greaterThanOrEqual">
      <formula>0.5</formula>
    </cfRule>
  </conditionalFormatting>
  <conditionalFormatting sqref="BH39">
    <cfRule type="cellIs" dxfId="2369" priority="139566" stopIfTrue="1" operator="equal">
      <formula>-1</formula>
    </cfRule>
  </conditionalFormatting>
  <conditionalFormatting sqref="BH39">
    <cfRule type="cellIs" dxfId="2368" priority="139567" stopIfTrue="1" operator="lessThan">
      <formula>0.5</formula>
    </cfRule>
  </conditionalFormatting>
  <conditionalFormatting sqref="BH39">
    <cfRule type="cellIs" dxfId="2367" priority="139568" stopIfTrue="1" operator="greaterThanOrEqual">
      <formula>0.5</formula>
    </cfRule>
  </conditionalFormatting>
  <conditionalFormatting sqref="BH40">
    <cfRule type="cellIs" dxfId="2366" priority="139569" stopIfTrue="1" operator="equal">
      <formula>-1</formula>
    </cfRule>
  </conditionalFormatting>
  <conditionalFormatting sqref="BH40">
    <cfRule type="cellIs" dxfId="2365" priority="139570" stopIfTrue="1" operator="lessThan">
      <formula>0.5</formula>
    </cfRule>
  </conditionalFormatting>
  <conditionalFormatting sqref="BH40">
    <cfRule type="cellIs" dxfId="2364" priority="139571" stopIfTrue="1" operator="greaterThanOrEqual">
      <formula>0.5</formula>
    </cfRule>
  </conditionalFormatting>
  <conditionalFormatting sqref="BH41">
    <cfRule type="cellIs" dxfId="2363" priority="139572" stopIfTrue="1" operator="equal">
      <formula>-1</formula>
    </cfRule>
  </conditionalFormatting>
  <conditionalFormatting sqref="BH41">
    <cfRule type="cellIs" dxfId="2362" priority="139573" stopIfTrue="1" operator="lessThan">
      <formula>0.5</formula>
    </cfRule>
  </conditionalFormatting>
  <conditionalFormatting sqref="BH41">
    <cfRule type="cellIs" dxfId="2361" priority="139574" stopIfTrue="1" operator="greaterThanOrEqual">
      <formula>0.5</formula>
    </cfRule>
  </conditionalFormatting>
  <conditionalFormatting sqref="BH42">
    <cfRule type="cellIs" dxfId="2360" priority="139575" stopIfTrue="1" operator="equal">
      <formula>-1</formula>
    </cfRule>
  </conditionalFormatting>
  <conditionalFormatting sqref="BH42">
    <cfRule type="cellIs" dxfId="2359" priority="139576" stopIfTrue="1" operator="lessThan">
      <formula>0.5</formula>
    </cfRule>
  </conditionalFormatting>
  <conditionalFormatting sqref="BH42">
    <cfRule type="cellIs" dxfId="2358" priority="139577" stopIfTrue="1" operator="greaterThanOrEqual">
      <formula>0.5</formula>
    </cfRule>
  </conditionalFormatting>
  <conditionalFormatting sqref="BH43">
    <cfRule type="cellIs" dxfId="2357" priority="139578" stopIfTrue="1" operator="equal">
      <formula>-1</formula>
    </cfRule>
  </conditionalFormatting>
  <conditionalFormatting sqref="BH43">
    <cfRule type="cellIs" dxfId="2356" priority="139579" stopIfTrue="1" operator="lessThan">
      <formula>0.5</formula>
    </cfRule>
  </conditionalFormatting>
  <conditionalFormatting sqref="BH43">
    <cfRule type="cellIs" dxfId="2355" priority="139580" stopIfTrue="1" operator="greaterThanOrEqual">
      <formula>0.5</formula>
    </cfRule>
  </conditionalFormatting>
  <conditionalFormatting sqref="BH44">
    <cfRule type="cellIs" dxfId="2354" priority="139581" stopIfTrue="1" operator="equal">
      <formula>-1</formula>
    </cfRule>
  </conditionalFormatting>
  <conditionalFormatting sqref="BH44">
    <cfRule type="cellIs" dxfId="2353" priority="139582" stopIfTrue="1" operator="lessThan">
      <formula>0.5</formula>
    </cfRule>
  </conditionalFormatting>
  <conditionalFormatting sqref="BH44">
    <cfRule type="cellIs" dxfId="2352" priority="139583" stopIfTrue="1" operator="greaterThanOrEqual">
      <formula>0.5</formula>
    </cfRule>
  </conditionalFormatting>
  <conditionalFormatting sqref="BH45">
    <cfRule type="cellIs" dxfId="2351" priority="139584" stopIfTrue="1" operator="equal">
      <formula>-1</formula>
    </cfRule>
  </conditionalFormatting>
  <conditionalFormatting sqref="BH45">
    <cfRule type="cellIs" dxfId="2350" priority="139585" stopIfTrue="1" operator="lessThan">
      <formula>0.5</formula>
    </cfRule>
  </conditionalFormatting>
  <conditionalFormatting sqref="BH45">
    <cfRule type="cellIs" dxfId="2349" priority="139586" stopIfTrue="1" operator="greaterThanOrEqual">
      <formula>0.5</formula>
    </cfRule>
  </conditionalFormatting>
  <conditionalFormatting sqref="BH46">
    <cfRule type="cellIs" dxfId="2348" priority="139587" stopIfTrue="1" operator="equal">
      <formula>-1</formula>
    </cfRule>
  </conditionalFormatting>
  <conditionalFormatting sqref="BH46">
    <cfRule type="cellIs" dxfId="2347" priority="139588" stopIfTrue="1" operator="lessThan">
      <formula>0.5</formula>
    </cfRule>
  </conditionalFormatting>
  <conditionalFormatting sqref="BH46">
    <cfRule type="cellIs" dxfId="2346" priority="139589" stopIfTrue="1" operator="greaterThanOrEqual">
      <formula>0.5</formula>
    </cfRule>
  </conditionalFormatting>
  <conditionalFormatting sqref="BH47">
    <cfRule type="cellIs" dxfId="2345" priority="139590" stopIfTrue="1" operator="equal">
      <formula>-1</formula>
    </cfRule>
  </conditionalFormatting>
  <conditionalFormatting sqref="BH47">
    <cfRule type="cellIs" dxfId="2344" priority="139591" stopIfTrue="1" operator="lessThan">
      <formula>0.5</formula>
    </cfRule>
  </conditionalFormatting>
  <conditionalFormatting sqref="BH47">
    <cfRule type="cellIs" dxfId="2343" priority="139592" stopIfTrue="1" operator="greaterThanOrEqual">
      <formula>0.5</formula>
    </cfRule>
  </conditionalFormatting>
  <conditionalFormatting sqref="BH48">
    <cfRule type="cellIs" dxfId="2342" priority="139593" stopIfTrue="1" operator="equal">
      <formula>-1</formula>
    </cfRule>
  </conditionalFormatting>
  <conditionalFormatting sqref="BH48">
    <cfRule type="cellIs" dxfId="2341" priority="139594" stopIfTrue="1" operator="lessThan">
      <formula>0.5</formula>
    </cfRule>
  </conditionalFormatting>
  <conditionalFormatting sqref="BH48">
    <cfRule type="cellIs" dxfId="2340" priority="139595" stopIfTrue="1" operator="greaterThanOrEqual">
      <formula>0.5</formula>
    </cfRule>
  </conditionalFormatting>
  <conditionalFormatting sqref="BH49">
    <cfRule type="cellIs" dxfId="2339" priority="139596" stopIfTrue="1" operator="equal">
      <formula>-1</formula>
    </cfRule>
  </conditionalFormatting>
  <conditionalFormatting sqref="BH49">
    <cfRule type="cellIs" dxfId="2338" priority="139597" stopIfTrue="1" operator="lessThan">
      <formula>0.5</formula>
    </cfRule>
  </conditionalFormatting>
  <conditionalFormatting sqref="BH49">
    <cfRule type="cellIs" dxfId="2337" priority="139598" stopIfTrue="1" operator="greaterThanOrEqual">
      <formula>0.5</formula>
    </cfRule>
  </conditionalFormatting>
  <conditionalFormatting sqref="BH50">
    <cfRule type="cellIs" dxfId="2336" priority="139599" stopIfTrue="1" operator="equal">
      <formula>-1</formula>
    </cfRule>
  </conditionalFormatting>
  <conditionalFormatting sqref="BH50">
    <cfRule type="cellIs" dxfId="2335" priority="139600" stopIfTrue="1" operator="lessThan">
      <formula>0.5</formula>
    </cfRule>
  </conditionalFormatting>
  <conditionalFormatting sqref="BH50">
    <cfRule type="cellIs" dxfId="2334" priority="139601" stopIfTrue="1" operator="greaterThanOrEqual">
      <formula>0.5</formula>
    </cfRule>
  </conditionalFormatting>
  <conditionalFormatting sqref="BH51">
    <cfRule type="cellIs" dxfId="2333" priority="139602" stopIfTrue="1" operator="equal">
      <formula>-1</formula>
    </cfRule>
  </conditionalFormatting>
  <conditionalFormatting sqref="BH51">
    <cfRule type="cellIs" dxfId="2332" priority="139603" stopIfTrue="1" operator="lessThan">
      <formula>0.5</formula>
    </cfRule>
  </conditionalFormatting>
  <conditionalFormatting sqref="BH51">
    <cfRule type="cellIs" dxfId="2331" priority="139604" stopIfTrue="1" operator="greaterThanOrEqual">
      <formula>0.5</formula>
    </cfRule>
  </conditionalFormatting>
  <conditionalFormatting sqref="BH52">
    <cfRule type="cellIs" dxfId="2330" priority="139605" stopIfTrue="1" operator="equal">
      <formula>-1</formula>
    </cfRule>
  </conditionalFormatting>
  <conditionalFormatting sqref="BH52">
    <cfRule type="cellIs" dxfId="2329" priority="139606" stopIfTrue="1" operator="lessThan">
      <formula>0.5</formula>
    </cfRule>
  </conditionalFormatting>
  <conditionalFormatting sqref="BH52">
    <cfRule type="cellIs" dxfId="2328" priority="139607" stopIfTrue="1" operator="greaterThanOrEqual">
      <formula>0.5</formula>
    </cfRule>
  </conditionalFormatting>
  <conditionalFormatting sqref="BH53">
    <cfRule type="cellIs" dxfId="2327" priority="139608" stopIfTrue="1" operator="equal">
      <formula>-1</formula>
    </cfRule>
  </conditionalFormatting>
  <conditionalFormatting sqref="BH53">
    <cfRule type="cellIs" dxfId="2326" priority="139609" stopIfTrue="1" operator="lessThan">
      <formula>0.5</formula>
    </cfRule>
  </conditionalFormatting>
  <conditionalFormatting sqref="BH53">
    <cfRule type="cellIs" dxfId="2325" priority="139610" stopIfTrue="1" operator="greaterThanOrEqual">
      <formula>0.5</formula>
    </cfRule>
  </conditionalFormatting>
  <conditionalFormatting sqref="BH54">
    <cfRule type="cellIs" dxfId="2324" priority="139611" stopIfTrue="1" operator="equal">
      <formula>-1</formula>
    </cfRule>
  </conditionalFormatting>
  <conditionalFormatting sqref="BH54">
    <cfRule type="cellIs" dxfId="2323" priority="139612" stopIfTrue="1" operator="lessThan">
      <formula>0.5</formula>
    </cfRule>
  </conditionalFormatting>
  <conditionalFormatting sqref="BH54">
    <cfRule type="cellIs" dxfId="2322" priority="139613" stopIfTrue="1" operator="greaterThanOrEqual">
      <formula>0.5</formula>
    </cfRule>
  </conditionalFormatting>
  <conditionalFormatting sqref="BH55">
    <cfRule type="cellIs" dxfId="2321" priority="139614" stopIfTrue="1" operator="equal">
      <formula>-1</formula>
    </cfRule>
  </conditionalFormatting>
  <conditionalFormatting sqref="BH55">
    <cfRule type="cellIs" dxfId="2320" priority="139615" stopIfTrue="1" operator="lessThan">
      <formula>0.5</formula>
    </cfRule>
  </conditionalFormatting>
  <conditionalFormatting sqref="BH55">
    <cfRule type="cellIs" dxfId="2319" priority="139616" stopIfTrue="1" operator="greaterThanOrEqual">
      <formula>0.5</formula>
    </cfRule>
  </conditionalFormatting>
  <conditionalFormatting sqref="BH56">
    <cfRule type="cellIs" dxfId="2318" priority="139617" stopIfTrue="1" operator="equal">
      <formula>-1</formula>
    </cfRule>
  </conditionalFormatting>
  <conditionalFormatting sqref="BH56">
    <cfRule type="cellIs" dxfId="2317" priority="139618" stopIfTrue="1" operator="lessThan">
      <formula>0.5</formula>
    </cfRule>
  </conditionalFormatting>
  <conditionalFormatting sqref="BH56">
    <cfRule type="cellIs" dxfId="2316" priority="139619" stopIfTrue="1" operator="greaterThanOrEqual">
      <formula>0.5</formula>
    </cfRule>
  </conditionalFormatting>
  <conditionalFormatting sqref="BH57">
    <cfRule type="cellIs" dxfId="2315" priority="139620" stopIfTrue="1" operator="equal">
      <formula>-1</formula>
    </cfRule>
  </conditionalFormatting>
  <conditionalFormatting sqref="BH57">
    <cfRule type="cellIs" dxfId="2314" priority="139621" stopIfTrue="1" operator="lessThan">
      <formula>0.5</formula>
    </cfRule>
  </conditionalFormatting>
  <conditionalFormatting sqref="BH57">
    <cfRule type="cellIs" dxfId="2313" priority="139622" stopIfTrue="1" operator="greaterThanOrEqual">
      <formula>0.5</formula>
    </cfRule>
  </conditionalFormatting>
  <conditionalFormatting sqref="BH58">
    <cfRule type="cellIs" dxfId="2312" priority="139623" stopIfTrue="1" operator="equal">
      <formula>-1</formula>
    </cfRule>
  </conditionalFormatting>
  <conditionalFormatting sqref="BH58">
    <cfRule type="cellIs" dxfId="2311" priority="139624" stopIfTrue="1" operator="lessThan">
      <formula>0.5</formula>
    </cfRule>
  </conditionalFormatting>
  <conditionalFormatting sqref="BH58">
    <cfRule type="cellIs" dxfId="2310" priority="139625" stopIfTrue="1" operator="greaterThanOrEqual">
      <formula>0.5</formula>
    </cfRule>
  </conditionalFormatting>
  <conditionalFormatting sqref="BJ39">
    <cfRule type="cellIs" dxfId="2309" priority="139626" stopIfTrue="1" operator="equal">
      <formula>-1</formula>
    </cfRule>
  </conditionalFormatting>
  <conditionalFormatting sqref="BJ39">
    <cfRule type="cellIs" dxfId="2308" priority="139627" stopIfTrue="1" operator="lessThan">
      <formula>0.5</formula>
    </cfRule>
  </conditionalFormatting>
  <conditionalFormatting sqref="BJ39">
    <cfRule type="cellIs" dxfId="2307" priority="139628" stopIfTrue="1" operator="greaterThanOrEqual">
      <formula>0.5</formula>
    </cfRule>
  </conditionalFormatting>
  <conditionalFormatting sqref="BJ40">
    <cfRule type="cellIs" dxfId="2306" priority="139629" stopIfTrue="1" operator="equal">
      <formula>-1</formula>
    </cfRule>
  </conditionalFormatting>
  <conditionalFormatting sqref="BJ40">
    <cfRule type="cellIs" dxfId="2305" priority="139630" stopIfTrue="1" operator="lessThan">
      <formula>0.5</formula>
    </cfRule>
  </conditionalFormatting>
  <conditionalFormatting sqref="BJ40">
    <cfRule type="cellIs" dxfId="2304" priority="139631" stopIfTrue="1" operator="greaterThanOrEqual">
      <formula>0.5</formula>
    </cfRule>
  </conditionalFormatting>
  <conditionalFormatting sqref="BJ41">
    <cfRule type="cellIs" dxfId="2303" priority="139632" stopIfTrue="1" operator="equal">
      <formula>-1</formula>
    </cfRule>
  </conditionalFormatting>
  <conditionalFormatting sqref="BJ41">
    <cfRule type="cellIs" dxfId="2302" priority="139633" stopIfTrue="1" operator="lessThan">
      <formula>0.5</formula>
    </cfRule>
  </conditionalFormatting>
  <conditionalFormatting sqref="BJ41">
    <cfRule type="cellIs" dxfId="2301" priority="139634" stopIfTrue="1" operator="greaterThanOrEqual">
      <formula>0.5</formula>
    </cfRule>
  </conditionalFormatting>
  <conditionalFormatting sqref="BJ42">
    <cfRule type="cellIs" dxfId="2300" priority="139635" stopIfTrue="1" operator="equal">
      <formula>-1</formula>
    </cfRule>
  </conditionalFormatting>
  <conditionalFormatting sqref="BJ42">
    <cfRule type="cellIs" dxfId="2299" priority="139636" stopIfTrue="1" operator="lessThan">
      <formula>0.5</formula>
    </cfRule>
  </conditionalFormatting>
  <conditionalFormatting sqref="BJ42">
    <cfRule type="cellIs" dxfId="2298" priority="139637" stopIfTrue="1" operator="greaterThanOrEqual">
      <formula>0.5</formula>
    </cfRule>
  </conditionalFormatting>
  <conditionalFormatting sqref="BJ43">
    <cfRule type="cellIs" dxfId="2297" priority="139638" stopIfTrue="1" operator="equal">
      <formula>-1</formula>
    </cfRule>
  </conditionalFormatting>
  <conditionalFormatting sqref="BJ43">
    <cfRule type="cellIs" dxfId="2296" priority="139639" stopIfTrue="1" operator="lessThan">
      <formula>0.5</formula>
    </cfRule>
  </conditionalFormatting>
  <conditionalFormatting sqref="BJ43">
    <cfRule type="cellIs" dxfId="2295" priority="139640" stopIfTrue="1" operator="greaterThanOrEqual">
      <formula>0.5</formula>
    </cfRule>
  </conditionalFormatting>
  <conditionalFormatting sqref="BJ44">
    <cfRule type="cellIs" dxfId="2294" priority="139641" stopIfTrue="1" operator="equal">
      <formula>-1</formula>
    </cfRule>
  </conditionalFormatting>
  <conditionalFormatting sqref="BJ44">
    <cfRule type="cellIs" dxfId="2293" priority="139642" stopIfTrue="1" operator="lessThan">
      <formula>0.5</formula>
    </cfRule>
  </conditionalFormatting>
  <conditionalFormatting sqref="BJ44">
    <cfRule type="cellIs" dxfId="2292" priority="139643" stopIfTrue="1" operator="greaterThanOrEqual">
      <formula>0.5</formula>
    </cfRule>
  </conditionalFormatting>
  <conditionalFormatting sqref="BJ45">
    <cfRule type="cellIs" dxfId="2291" priority="139644" stopIfTrue="1" operator="equal">
      <formula>-1</formula>
    </cfRule>
  </conditionalFormatting>
  <conditionalFormatting sqref="BJ45">
    <cfRule type="cellIs" dxfId="2290" priority="139645" stopIfTrue="1" operator="lessThan">
      <formula>0.5</formula>
    </cfRule>
  </conditionalFormatting>
  <conditionalFormatting sqref="BJ45">
    <cfRule type="cellIs" dxfId="2289" priority="139646" stopIfTrue="1" operator="greaterThanOrEqual">
      <formula>0.5</formula>
    </cfRule>
  </conditionalFormatting>
  <conditionalFormatting sqref="BJ46">
    <cfRule type="cellIs" dxfId="2288" priority="139647" stopIfTrue="1" operator="equal">
      <formula>-1</formula>
    </cfRule>
  </conditionalFormatting>
  <conditionalFormatting sqref="BJ46">
    <cfRule type="cellIs" dxfId="2287" priority="139648" stopIfTrue="1" operator="lessThan">
      <formula>0.5</formula>
    </cfRule>
  </conditionalFormatting>
  <conditionalFormatting sqref="BJ46">
    <cfRule type="cellIs" dxfId="2286" priority="139649" stopIfTrue="1" operator="greaterThanOrEqual">
      <formula>0.5</formula>
    </cfRule>
  </conditionalFormatting>
  <conditionalFormatting sqref="BJ47">
    <cfRule type="cellIs" dxfId="2285" priority="139650" stopIfTrue="1" operator="equal">
      <formula>-1</formula>
    </cfRule>
  </conditionalFormatting>
  <conditionalFormatting sqref="BJ47">
    <cfRule type="cellIs" dxfId="2284" priority="139651" stopIfTrue="1" operator="lessThan">
      <formula>0.5</formula>
    </cfRule>
  </conditionalFormatting>
  <conditionalFormatting sqref="BJ47">
    <cfRule type="cellIs" dxfId="2283" priority="139652" stopIfTrue="1" operator="greaterThanOrEqual">
      <formula>0.5</formula>
    </cfRule>
  </conditionalFormatting>
  <conditionalFormatting sqref="BJ48">
    <cfRule type="cellIs" dxfId="2282" priority="139653" stopIfTrue="1" operator="equal">
      <formula>-1</formula>
    </cfRule>
  </conditionalFormatting>
  <conditionalFormatting sqref="BJ48">
    <cfRule type="cellIs" dxfId="2281" priority="139654" stopIfTrue="1" operator="lessThan">
      <formula>0.5</formula>
    </cfRule>
  </conditionalFormatting>
  <conditionalFormatting sqref="BJ48">
    <cfRule type="cellIs" dxfId="2280" priority="139655" stopIfTrue="1" operator="greaterThanOrEqual">
      <formula>0.5</formula>
    </cfRule>
  </conditionalFormatting>
  <conditionalFormatting sqref="BJ49">
    <cfRule type="cellIs" dxfId="2279" priority="139656" stopIfTrue="1" operator="equal">
      <formula>-1</formula>
    </cfRule>
  </conditionalFormatting>
  <conditionalFormatting sqref="BJ49">
    <cfRule type="cellIs" dxfId="2278" priority="139657" stopIfTrue="1" operator="lessThan">
      <formula>0.5</formula>
    </cfRule>
  </conditionalFormatting>
  <conditionalFormatting sqref="BJ49">
    <cfRule type="cellIs" dxfId="2277" priority="139658" stopIfTrue="1" operator="greaterThanOrEqual">
      <formula>0.5</formula>
    </cfRule>
  </conditionalFormatting>
  <conditionalFormatting sqref="BJ50">
    <cfRule type="cellIs" dxfId="2276" priority="139659" stopIfTrue="1" operator="equal">
      <formula>-1</formula>
    </cfRule>
  </conditionalFormatting>
  <conditionalFormatting sqref="BJ50">
    <cfRule type="cellIs" dxfId="2275" priority="139660" stopIfTrue="1" operator="lessThan">
      <formula>0.5</formula>
    </cfRule>
  </conditionalFormatting>
  <conditionalFormatting sqref="BJ50">
    <cfRule type="cellIs" dxfId="2274" priority="139661" stopIfTrue="1" operator="greaterThanOrEqual">
      <formula>0.5</formula>
    </cfRule>
  </conditionalFormatting>
  <conditionalFormatting sqref="BJ51">
    <cfRule type="cellIs" dxfId="2273" priority="139662" stopIfTrue="1" operator="equal">
      <formula>-1</formula>
    </cfRule>
  </conditionalFormatting>
  <conditionalFormatting sqref="BJ51">
    <cfRule type="cellIs" dxfId="2272" priority="139663" stopIfTrue="1" operator="lessThan">
      <formula>0.5</formula>
    </cfRule>
  </conditionalFormatting>
  <conditionalFormatting sqref="BJ51">
    <cfRule type="cellIs" dxfId="2271" priority="139664" stopIfTrue="1" operator="greaterThanOrEqual">
      <formula>0.5</formula>
    </cfRule>
  </conditionalFormatting>
  <conditionalFormatting sqref="BJ52">
    <cfRule type="cellIs" dxfId="2270" priority="139665" stopIfTrue="1" operator="equal">
      <formula>-1</formula>
    </cfRule>
  </conditionalFormatting>
  <conditionalFormatting sqref="BJ52">
    <cfRule type="cellIs" dxfId="2269" priority="139666" stopIfTrue="1" operator="lessThan">
      <formula>0.5</formula>
    </cfRule>
  </conditionalFormatting>
  <conditionalFormatting sqref="BJ52">
    <cfRule type="cellIs" dxfId="2268" priority="139667" stopIfTrue="1" operator="greaterThanOrEqual">
      <formula>0.5</formula>
    </cfRule>
  </conditionalFormatting>
  <conditionalFormatting sqref="BJ53">
    <cfRule type="cellIs" dxfId="2267" priority="139668" stopIfTrue="1" operator="equal">
      <formula>-1</formula>
    </cfRule>
  </conditionalFormatting>
  <conditionalFormatting sqref="BJ53">
    <cfRule type="cellIs" dxfId="2266" priority="139669" stopIfTrue="1" operator="lessThan">
      <formula>0.5</formula>
    </cfRule>
  </conditionalFormatting>
  <conditionalFormatting sqref="BJ53">
    <cfRule type="cellIs" dxfId="2265" priority="139670" stopIfTrue="1" operator="greaterThanOrEqual">
      <formula>0.5</formula>
    </cfRule>
  </conditionalFormatting>
  <conditionalFormatting sqref="BJ54">
    <cfRule type="cellIs" dxfId="2264" priority="139671" stopIfTrue="1" operator="equal">
      <formula>-1</formula>
    </cfRule>
  </conditionalFormatting>
  <conditionalFormatting sqref="BJ54">
    <cfRule type="cellIs" dxfId="2263" priority="139672" stopIfTrue="1" operator="lessThan">
      <formula>0.5</formula>
    </cfRule>
  </conditionalFormatting>
  <conditionalFormatting sqref="BJ54">
    <cfRule type="cellIs" dxfId="2262" priority="139673" stopIfTrue="1" operator="greaterThanOrEqual">
      <formula>0.5</formula>
    </cfRule>
  </conditionalFormatting>
  <conditionalFormatting sqref="BJ55">
    <cfRule type="cellIs" dxfId="2261" priority="139674" stopIfTrue="1" operator="equal">
      <formula>-1</formula>
    </cfRule>
  </conditionalFormatting>
  <conditionalFormatting sqref="BJ55">
    <cfRule type="cellIs" dxfId="2260" priority="139675" stopIfTrue="1" operator="lessThan">
      <formula>0.5</formula>
    </cfRule>
  </conditionalFormatting>
  <conditionalFormatting sqref="BJ55">
    <cfRule type="cellIs" dxfId="2259" priority="139676" stopIfTrue="1" operator="greaterThanOrEqual">
      <formula>0.5</formula>
    </cfRule>
  </conditionalFormatting>
  <conditionalFormatting sqref="BJ56">
    <cfRule type="cellIs" dxfId="2258" priority="139677" stopIfTrue="1" operator="equal">
      <formula>-1</formula>
    </cfRule>
  </conditionalFormatting>
  <conditionalFormatting sqref="BJ56">
    <cfRule type="cellIs" dxfId="2257" priority="139678" stopIfTrue="1" operator="lessThan">
      <formula>0.5</formula>
    </cfRule>
  </conditionalFormatting>
  <conditionalFormatting sqref="BJ56">
    <cfRule type="cellIs" dxfId="2256" priority="139679" stopIfTrue="1" operator="greaterThanOrEqual">
      <formula>0.5</formula>
    </cfRule>
  </conditionalFormatting>
  <conditionalFormatting sqref="BJ57">
    <cfRule type="cellIs" dxfId="2255" priority="139680" stopIfTrue="1" operator="equal">
      <formula>-1</formula>
    </cfRule>
  </conditionalFormatting>
  <conditionalFormatting sqref="BJ57">
    <cfRule type="cellIs" dxfId="2254" priority="139681" stopIfTrue="1" operator="lessThan">
      <formula>0.5</formula>
    </cfRule>
  </conditionalFormatting>
  <conditionalFormatting sqref="BJ57">
    <cfRule type="cellIs" dxfId="2253" priority="139682" stopIfTrue="1" operator="greaterThanOrEqual">
      <formula>0.5</formula>
    </cfRule>
  </conditionalFormatting>
  <conditionalFormatting sqref="BJ58">
    <cfRule type="cellIs" dxfId="2252" priority="139683" stopIfTrue="1" operator="equal">
      <formula>-1</formula>
    </cfRule>
  </conditionalFormatting>
  <conditionalFormatting sqref="BJ58">
    <cfRule type="cellIs" dxfId="2251" priority="139684" stopIfTrue="1" operator="lessThan">
      <formula>0.5</formula>
    </cfRule>
  </conditionalFormatting>
  <conditionalFormatting sqref="BJ58">
    <cfRule type="cellIs" dxfId="2250" priority="139685" stopIfTrue="1" operator="greaterThanOrEqual">
      <formula>0.5</formula>
    </cfRule>
  </conditionalFormatting>
  <conditionalFormatting sqref="D60">
    <cfRule type="cellIs" dxfId="2249" priority="139686" stopIfTrue="1" operator="equal">
      <formula>-1</formula>
    </cfRule>
  </conditionalFormatting>
  <conditionalFormatting sqref="D60">
    <cfRule type="cellIs" dxfId="2248" priority="139687" stopIfTrue="1" operator="lessThan">
      <formula>0.5</formula>
    </cfRule>
  </conditionalFormatting>
  <conditionalFormatting sqref="D60">
    <cfRule type="cellIs" dxfId="2247" priority="139688" stopIfTrue="1" operator="greaterThanOrEqual">
      <formula>0.5</formula>
    </cfRule>
  </conditionalFormatting>
  <conditionalFormatting sqref="D61">
    <cfRule type="cellIs" dxfId="2246" priority="139689" stopIfTrue="1" operator="equal">
      <formula>-1</formula>
    </cfRule>
  </conditionalFormatting>
  <conditionalFormatting sqref="D61">
    <cfRule type="cellIs" dxfId="2245" priority="139690" stopIfTrue="1" operator="lessThan">
      <formula>0.5</formula>
    </cfRule>
  </conditionalFormatting>
  <conditionalFormatting sqref="D61">
    <cfRule type="cellIs" dxfId="2244" priority="139691" stopIfTrue="1" operator="greaterThanOrEqual">
      <formula>0.5</formula>
    </cfRule>
  </conditionalFormatting>
  <conditionalFormatting sqref="D62">
    <cfRule type="cellIs" dxfId="2243" priority="139692" stopIfTrue="1" operator="equal">
      <formula>-1</formula>
    </cfRule>
  </conditionalFormatting>
  <conditionalFormatting sqref="D62">
    <cfRule type="cellIs" dxfId="2242" priority="139693" stopIfTrue="1" operator="lessThan">
      <formula>0.5</formula>
    </cfRule>
  </conditionalFormatting>
  <conditionalFormatting sqref="D62">
    <cfRule type="cellIs" dxfId="2241" priority="139694" stopIfTrue="1" operator="greaterThanOrEqual">
      <formula>0.5</formula>
    </cfRule>
  </conditionalFormatting>
  <conditionalFormatting sqref="D63">
    <cfRule type="cellIs" dxfId="2240" priority="139695" stopIfTrue="1" operator="equal">
      <formula>-1</formula>
    </cfRule>
  </conditionalFormatting>
  <conditionalFormatting sqref="D63">
    <cfRule type="cellIs" dxfId="2239" priority="139696" stopIfTrue="1" operator="lessThan">
      <formula>0.5</formula>
    </cfRule>
  </conditionalFormatting>
  <conditionalFormatting sqref="D63">
    <cfRule type="cellIs" dxfId="2238" priority="139697" stopIfTrue="1" operator="greaterThanOrEqual">
      <formula>0.5</formula>
    </cfRule>
  </conditionalFormatting>
  <conditionalFormatting sqref="F60">
    <cfRule type="cellIs" dxfId="2237" priority="139698" stopIfTrue="1" operator="equal">
      <formula>-1</formula>
    </cfRule>
  </conditionalFormatting>
  <conditionalFormatting sqref="F60">
    <cfRule type="cellIs" dxfId="2236" priority="139699" stopIfTrue="1" operator="lessThan">
      <formula>0.5</formula>
    </cfRule>
  </conditionalFormatting>
  <conditionalFormatting sqref="F60">
    <cfRule type="cellIs" dxfId="2235" priority="139700" stopIfTrue="1" operator="greaterThanOrEqual">
      <formula>0.5</formula>
    </cfRule>
  </conditionalFormatting>
  <conditionalFormatting sqref="F61">
    <cfRule type="cellIs" dxfId="2234" priority="139701" stopIfTrue="1" operator="equal">
      <formula>-1</formula>
    </cfRule>
  </conditionalFormatting>
  <conditionalFormatting sqref="F61">
    <cfRule type="cellIs" dxfId="2233" priority="139702" stopIfTrue="1" operator="lessThan">
      <formula>0.5</formula>
    </cfRule>
  </conditionalFormatting>
  <conditionalFormatting sqref="F61">
    <cfRule type="cellIs" dxfId="2232" priority="139703" stopIfTrue="1" operator="greaterThanOrEqual">
      <formula>0.5</formula>
    </cfRule>
  </conditionalFormatting>
  <conditionalFormatting sqref="F62">
    <cfRule type="cellIs" dxfId="2231" priority="139704" stopIfTrue="1" operator="equal">
      <formula>-1</formula>
    </cfRule>
  </conditionalFormatting>
  <conditionalFormatting sqref="F62">
    <cfRule type="cellIs" dxfId="2230" priority="139705" stopIfTrue="1" operator="lessThan">
      <formula>0.5</formula>
    </cfRule>
  </conditionalFormatting>
  <conditionalFormatting sqref="F62">
    <cfRule type="cellIs" dxfId="2229" priority="139706" stopIfTrue="1" operator="greaterThanOrEqual">
      <formula>0.5</formula>
    </cfRule>
  </conditionalFormatting>
  <conditionalFormatting sqref="F63">
    <cfRule type="cellIs" dxfId="2228" priority="139707" stopIfTrue="1" operator="equal">
      <formula>-1</formula>
    </cfRule>
  </conditionalFormatting>
  <conditionalFormatting sqref="F63">
    <cfRule type="cellIs" dxfId="2227" priority="139708" stopIfTrue="1" operator="lessThan">
      <formula>0.5</formula>
    </cfRule>
  </conditionalFormatting>
  <conditionalFormatting sqref="F63">
    <cfRule type="cellIs" dxfId="2226" priority="139709" stopIfTrue="1" operator="greaterThanOrEqual">
      <formula>0.5</formula>
    </cfRule>
  </conditionalFormatting>
  <conditionalFormatting sqref="H60">
    <cfRule type="cellIs" dxfId="2225" priority="139710" stopIfTrue="1" operator="equal">
      <formula>-1</formula>
    </cfRule>
  </conditionalFormatting>
  <conditionalFormatting sqref="H60">
    <cfRule type="cellIs" dxfId="2224" priority="139711" stopIfTrue="1" operator="lessThan">
      <formula>0.5</formula>
    </cfRule>
  </conditionalFormatting>
  <conditionalFormatting sqref="H60">
    <cfRule type="cellIs" dxfId="2223" priority="139712" stopIfTrue="1" operator="greaterThanOrEqual">
      <formula>0.5</formula>
    </cfRule>
  </conditionalFormatting>
  <conditionalFormatting sqref="H61">
    <cfRule type="cellIs" dxfId="2222" priority="139713" stopIfTrue="1" operator="equal">
      <formula>-1</formula>
    </cfRule>
  </conditionalFormatting>
  <conditionalFormatting sqref="H61">
    <cfRule type="cellIs" dxfId="2221" priority="139714" stopIfTrue="1" operator="lessThan">
      <formula>0.5</formula>
    </cfRule>
  </conditionalFormatting>
  <conditionalFormatting sqref="H61">
    <cfRule type="cellIs" dxfId="2220" priority="139715" stopIfTrue="1" operator="greaterThanOrEqual">
      <formula>0.5</formula>
    </cfRule>
  </conditionalFormatting>
  <conditionalFormatting sqref="H62">
    <cfRule type="cellIs" dxfId="2219" priority="139716" stopIfTrue="1" operator="equal">
      <formula>-1</formula>
    </cfRule>
  </conditionalFormatting>
  <conditionalFormatting sqref="H62">
    <cfRule type="cellIs" dxfId="2218" priority="139717" stopIfTrue="1" operator="lessThan">
      <formula>0.5</formula>
    </cfRule>
  </conditionalFormatting>
  <conditionalFormatting sqref="H62">
    <cfRule type="cellIs" dxfId="2217" priority="139718" stopIfTrue="1" operator="greaterThanOrEqual">
      <formula>0.5</formula>
    </cfRule>
  </conditionalFormatting>
  <conditionalFormatting sqref="H63">
    <cfRule type="cellIs" dxfId="2216" priority="139719" stopIfTrue="1" operator="equal">
      <formula>-1</formula>
    </cfRule>
  </conditionalFormatting>
  <conditionalFormatting sqref="H63">
    <cfRule type="cellIs" dxfId="2215" priority="139720" stopIfTrue="1" operator="lessThan">
      <formula>0.5</formula>
    </cfRule>
  </conditionalFormatting>
  <conditionalFormatting sqref="H63">
    <cfRule type="cellIs" dxfId="2214" priority="139721" stopIfTrue="1" operator="greaterThanOrEqual">
      <formula>0.5</formula>
    </cfRule>
  </conditionalFormatting>
  <conditionalFormatting sqref="J60">
    <cfRule type="cellIs" dxfId="2213" priority="139722" stopIfTrue="1" operator="equal">
      <formula>-1</formula>
    </cfRule>
  </conditionalFormatting>
  <conditionalFormatting sqref="J60">
    <cfRule type="cellIs" dxfId="2212" priority="139723" stopIfTrue="1" operator="lessThan">
      <formula>0.5</formula>
    </cfRule>
  </conditionalFormatting>
  <conditionalFormatting sqref="J60">
    <cfRule type="cellIs" dxfId="2211" priority="139724" stopIfTrue="1" operator="greaterThanOrEqual">
      <formula>0.5</formula>
    </cfRule>
  </conditionalFormatting>
  <conditionalFormatting sqref="J61">
    <cfRule type="cellIs" dxfId="2210" priority="139725" stopIfTrue="1" operator="equal">
      <formula>-1</formula>
    </cfRule>
  </conditionalFormatting>
  <conditionalFormatting sqref="J61">
    <cfRule type="cellIs" dxfId="2209" priority="139726" stopIfTrue="1" operator="lessThan">
      <formula>0.5</formula>
    </cfRule>
  </conditionalFormatting>
  <conditionalFormatting sqref="J61">
    <cfRule type="cellIs" dxfId="2208" priority="139727" stopIfTrue="1" operator="greaterThanOrEqual">
      <formula>0.5</formula>
    </cfRule>
  </conditionalFormatting>
  <conditionalFormatting sqref="J62">
    <cfRule type="cellIs" dxfId="2207" priority="139728" stopIfTrue="1" operator="equal">
      <formula>-1</formula>
    </cfRule>
  </conditionalFormatting>
  <conditionalFormatting sqref="J62">
    <cfRule type="cellIs" dxfId="2206" priority="139729" stopIfTrue="1" operator="lessThan">
      <formula>0.5</formula>
    </cfRule>
  </conditionalFormatting>
  <conditionalFormatting sqref="J62">
    <cfRule type="cellIs" dxfId="2205" priority="139730" stopIfTrue="1" operator="greaterThanOrEqual">
      <formula>0.5</formula>
    </cfRule>
  </conditionalFormatting>
  <conditionalFormatting sqref="J63">
    <cfRule type="cellIs" dxfId="2204" priority="139731" stopIfTrue="1" operator="equal">
      <formula>-1</formula>
    </cfRule>
  </conditionalFormatting>
  <conditionalFormatting sqref="J63">
    <cfRule type="cellIs" dxfId="2203" priority="139732" stopIfTrue="1" operator="lessThan">
      <formula>0.5</formula>
    </cfRule>
  </conditionalFormatting>
  <conditionalFormatting sqref="J63">
    <cfRule type="cellIs" dxfId="2202" priority="139733" stopIfTrue="1" operator="greaterThanOrEqual">
      <formula>0.5</formula>
    </cfRule>
  </conditionalFormatting>
  <conditionalFormatting sqref="L60">
    <cfRule type="cellIs" dxfId="2201" priority="139734" stopIfTrue="1" operator="equal">
      <formula>-1</formula>
    </cfRule>
  </conditionalFormatting>
  <conditionalFormatting sqref="L60">
    <cfRule type="cellIs" dxfId="2200" priority="139735" stopIfTrue="1" operator="lessThan">
      <formula>0.5</formula>
    </cfRule>
  </conditionalFormatting>
  <conditionalFormatting sqref="L60">
    <cfRule type="cellIs" dxfId="2199" priority="139736" stopIfTrue="1" operator="greaterThanOrEqual">
      <formula>0.5</formula>
    </cfRule>
  </conditionalFormatting>
  <conditionalFormatting sqref="L61">
    <cfRule type="cellIs" dxfId="2198" priority="139737" stopIfTrue="1" operator="equal">
      <formula>-1</formula>
    </cfRule>
  </conditionalFormatting>
  <conditionalFormatting sqref="L61">
    <cfRule type="cellIs" dxfId="2197" priority="139738" stopIfTrue="1" operator="lessThan">
      <formula>0.5</formula>
    </cfRule>
  </conditionalFormatting>
  <conditionalFormatting sqref="L61">
    <cfRule type="cellIs" dxfId="2196" priority="139739" stopIfTrue="1" operator="greaterThanOrEqual">
      <formula>0.5</formula>
    </cfRule>
  </conditionalFormatting>
  <conditionalFormatting sqref="L62">
    <cfRule type="cellIs" dxfId="2195" priority="139740" stopIfTrue="1" operator="equal">
      <formula>-1</formula>
    </cfRule>
  </conditionalFormatting>
  <conditionalFormatting sqref="L62">
    <cfRule type="cellIs" dxfId="2194" priority="139741" stopIfTrue="1" operator="lessThan">
      <formula>0.5</formula>
    </cfRule>
  </conditionalFormatting>
  <conditionalFormatting sqref="L62">
    <cfRule type="cellIs" dxfId="2193" priority="139742" stopIfTrue="1" operator="greaterThanOrEqual">
      <formula>0.5</formula>
    </cfRule>
  </conditionalFormatting>
  <conditionalFormatting sqref="L63">
    <cfRule type="cellIs" dxfId="2192" priority="139743" stopIfTrue="1" operator="equal">
      <formula>-1</formula>
    </cfRule>
  </conditionalFormatting>
  <conditionalFormatting sqref="L63">
    <cfRule type="cellIs" dxfId="2191" priority="139744" stopIfTrue="1" operator="lessThan">
      <formula>0.5</formula>
    </cfRule>
  </conditionalFormatting>
  <conditionalFormatting sqref="L63">
    <cfRule type="cellIs" dxfId="2190" priority="139745" stopIfTrue="1" operator="greaterThanOrEqual">
      <formula>0.5</formula>
    </cfRule>
  </conditionalFormatting>
  <conditionalFormatting sqref="N60">
    <cfRule type="cellIs" dxfId="2189" priority="139746" stopIfTrue="1" operator="equal">
      <formula>-1</formula>
    </cfRule>
  </conditionalFormatting>
  <conditionalFormatting sqref="N60">
    <cfRule type="cellIs" dxfId="2188" priority="139747" stopIfTrue="1" operator="lessThan">
      <formula>0.5</formula>
    </cfRule>
  </conditionalFormatting>
  <conditionalFormatting sqref="N60">
    <cfRule type="cellIs" dxfId="2187" priority="139748" stopIfTrue="1" operator="greaterThanOrEqual">
      <formula>0.5</formula>
    </cfRule>
  </conditionalFormatting>
  <conditionalFormatting sqref="N61">
    <cfRule type="cellIs" dxfId="2186" priority="139749" stopIfTrue="1" operator="equal">
      <formula>-1</formula>
    </cfRule>
  </conditionalFormatting>
  <conditionalFormatting sqref="N61">
    <cfRule type="cellIs" dxfId="2185" priority="139750" stopIfTrue="1" operator="lessThan">
      <formula>0.5</formula>
    </cfRule>
  </conditionalFormatting>
  <conditionalFormatting sqref="N61">
    <cfRule type="cellIs" dxfId="2184" priority="139751" stopIfTrue="1" operator="greaterThanOrEqual">
      <formula>0.5</formula>
    </cfRule>
  </conditionalFormatting>
  <conditionalFormatting sqref="N62">
    <cfRule type="cellIs" dxfId="2183" priority="139752" stopIfTrue="1" operator="equal">
      <formula>-1</formula>
    </cfRule>
  </conditionalFormatting>
  <conditionalFormatting sqref="N62">
    <cfRule type="cellIs" dxfId="2182" priority="139753" stopIfTrue="1" operator="lessThan">
      <formula>0.5</formula>
    </cfRule>
  </conditionalFormatting>
  <conditionalFormatting sqref="N62">
    <cfRule type="cellIs" dxfId="2181" priority="139754" stopIfTrue="1" operator="greaterThanOrEqual">
      <formula>0.5</formula>
    </cfRule>
  </conditionalFormatting>
  <conditionalFormatting sqref="N63">
    <cfRule type="cellIs" dxfId="2180" priority="139755" stopIfTrue="1" operator="equal">
      <formula>-1</formula>
    </cfRule>
  </conditionalFormatting>
  <conditionalFormatting sqref="N63">
    <cfRule type="cellIs" dxfId="2179" priority="139756" stopIfTrue="1" operator="lessThan">
      <formula>0.5</formula>
    </cfRule>
  </conditionalFormatting>
  <conditionalFormatting sqref="N63">
    <cfRule type="cellIs" dxfId="2178" priority="139757" stopIfTrue="1" operator="greaterThanOrEqual">
      <formula>0.5</formula>
    </cfRule>
  </conditionalFormatting>
  <conditionalFormatting sqref="P60">
    <cfRule type="cellIs" dxfId="2177" priority="139758" stopIfTrue="1" operator="equal">
      <formula>-1</formula>
    </cfRule>
  </conditionalFormatting>
  <conditionalFormatting sqref="P60">
    <cfRule type="cellIs" dxfId="2176" priority="139759" stopIfTrue="1" operator="lessThan">
      <formula>0.5</formula>
    </cfRule>
  </conditionalFormatting>
  <conditionalFormatting sqref="P60">
    <cfRule type="cellIs" dxfId="2175" priority="139760" stopIfTrue="1" operator="greaterThanOrEqual">
      <formula>0.5</formula>
    </cfRule>
  </conditionalFormatting>
  <conditionalFormatting sqref="P61">
    <cfRule type="cellIs" dxfId="2174" priority="139761" stopIfTrue="1" operator="equal">
      <formula>-1</formula>
    </cfRule>
  </conditionalFormatting>
  <conditionalFormatting sqref="P61">
    <cfRule type="cellIs" dxfId="2173" priority="139762" stopIfTrue="1" operator="lessThan">
      <formula>0.5</formula>
    </cfRule>
  </conditionalFormatting>
  <conditionalFormatting sqref="P61">
    <cfRule type="cellIs" dxfId="2172" priority="139763" stopIfTrue="1" operator="greaterThanOrEqual">
      <formula>0.5</formula>
    </cfRule>
  </conditionalFormatting>
  <conditionalFormatting sqref="P62">
    <cfRule type="cellIs" dxfId="2171" priority="139764" stopIfTrue="1" operator="equal">
      <formula>-1</formula>
    </cfRule>
  </conditionalFormatting>
  <conditionalFormatting sqref="P62">
    <cfRule type="cellIs" dxfId="2170" priority="139765" stopIfTrue="1" operator="lessThan">
      <formula>0.5</formula>
    </cfRule>
  </conditionalFormatting>
  <conditionalFormatting sqref="P62">
    <cfRule type="cellIs" dxfId="2169" priority="139766" stopIfTrue="1" operator="greaterThanOrEqual">
      <formula>0.5</formula>
    </cfRule>
  </conditionalFormatting>
  <conditionalFormatting sqref="P63">
    <cfRule type="cellIs" dxfId="2168" priority="139767" stopIfTrue="1" operator="equal">
      <formula>-1</formula>
    </cfRule>
  </conditionalFormatting>
  <conditionalFormatting sqref="P63">
    <cfRule type="cellIs" dxfId="2167" priority="139768" stopIfTrue="1" operator="lessThan">
      <formula>0.5</formula>
    </cfRule>
  </conditionalFormatting>
  <conditionalFormatting sqref="P63">
    <cfRule type="cellIs" dxfId="2166" priority="139769" stopIfTrue="1" operator="greaterThanOrEqual">
      <formula>0.5</formula>
    </cfRule>
  </conditionalFormatting>
  <conditionalFormatting sqref="R60">
    <cfRule type="cellIs" dxfId="2165" priority="139770" stopIfTrue="1" operator="equal">
      <formula>-1</formula>
    </cfRule>
  </conditionalFormatting>
  <conditionalFormatting sqref="R60">
    <cfRule type="cellIs" dxfId="2164" priority="139771" stopIfTrue="1" operator="lessThan">
      <formula>0.5</formula>
    </cfRule>
  </conditionalFormatting>
  <conditionalFormatting sqref="R60">
    <cfRule type="cellIs" dxfId="2163" priority="139772" stopIfTrue="1" operator="greaterThanOrEqual">
      <formula>0.5</formula>
    </cfRule>
  </conditionalFormatting>
  <conditionalFormatting sqref="R61">
    <cfRule type="cellIs" dxfId="2162" priority="139773" stopIfTrue="1" operator="equal">
      <formula>-1</formula>
    </cfRule>
  </conditionalFormatting>
  <conditionalFormatting sqref="R61">
    <cfRule type="cellIs" dxfId="2161" priority="139774" stopIfTrue="1" operator="lessThan">
      <formula>0.5</formula>
    </cfRule>
  </conditionalFormatting>
  <conditionalFormatting sqref="R61">
    <cfRule type="cellIs" dxfId="2160" priority="139775" stopIfTrue="1" operator="greaterThanOrEqual">
      <formula>0.5</formula>
    </cfRule>
  </conditionalFormatting>
  <conditionalFormatting sqref="R62">
    <cfRule type="cellIs" dxfId="2159" priority="139776" stopIfTrue="1" operator="equal">
      <formula>-1</formula>
    </cfRule>
  </conditionalFormatting>
  <conditionalFormatting sqref="R62">
    <cfRule type="cellIs" dxfId="2158" priority="139777" stopIfTrue="1" operator="lessThan">
      <formula>0.5</formula>
    </cfRule>
  </conditionalFormatting>
  <conditionalFormatting sqref="R62">
    <cfRule type="cellIs" dxfId="2157" priority="139778" stopIfTrue="1" operator="greaterThanOrEqual">
      <formula>0.5</formula>
    </cfRule>
  </conditionalFormatting>
  <conditionalFormatting sqref="R63">
    <cfRule type="cellIs" dxfId="2156" priority="139779" stopIfTrue="1" operator="equal">
      <formula>-1</formula>
    </cfRule>
  </conditionalFormatting>
  <conditionalFormatting sqref="R63">
    <cfRule type="cellIs" dxfId="2155" priority="139780" stopIfTrue="1" operator="lessThan">
      <formula>0.5</formula>
    </cfRule>
  </conditionalFormatting>
  <conditionalFormatting sqref="R63">
    <cfRule type="cellIs" dxfId="2154" priority="139781" stopIfTrue="1" operator="greaterThanOrEqual">
      <formula>0.5</formula>
    </cfRule>
  </conditionalFormatting>
  <conditionalFormatting sqref="T60">
    <cfRule type="cellIs" dxfId="2153" priority="139782" stopIfTrue="1" operator="equal">
      <formula>-1</formula>
    </cfRule>
  </conditionalFormatting>
  <conditionalFormatting sqref="T60">
    <cfRule type="cellIs" dxfId="2152" priority="139783" stopIfTrue="1" operator="lessThan">
      <formula>0.5</formula>
    </cfRule>
  </conditionalFormatting>
  <conditionalFormatting sqref="T60">
    <cfRule type="cellIs" dxfId="2151" priority="139784" stopIfTrue="1" operator="greaterThanOrEqual">
      <formula>0.5</formula>
    </cfRule>
  </conditionalFormatting>
  <conditionalFormatting sqref="T61">
    <cfRule type="cellIs" dxfId="2150" priority="139785" stopIfTrue="1" operator="equal">
      <formula>-1</formula>
    </cfRule>
  </conditionalFormatting>
  <conditionalFormatting sqref="T61">
    <cfRule type="cellIs" dxfId="2149" priority="139786" stopIfTrue="1" operator="lessThan">
      <formula>0.5</formula>
    </cfRule>
  </conditionalFormatting>
  <conditionalFormatting sqref="T61">
    <cfRule type="cellIs" dxfId="2148" priority="139787" stopIfTrue="1" operator="greaterThanOrEqual">
      <formula>0.5</formula>
    </cfRule>
  </conditionalFormatting>
  <conditionalFormatting sqref="T62">
    <cfRule type="cellIs" dxfId="2147" priority="139788" stopIfTrue="1" operator="equal">
      <formula>-1</formula>
    </cfRule>
  </conditionalFormatting>
  <conditionalFormatting sqref="T62">
    <cfRule type="cellIs" dxfId="2146" priority="139789" stopIfTrue="1" operator="lessThan">
      <formula>0.5</formula>
    </cfRule>
  </conditionalFormatting>
  <conditionalFormatting sqref="T62">
    <cfRule type="cellIs" dxfId="2145" priority="139790" stopIfTrue="1" operator="greaterThanOrEqual">
      <formula>0.5</formula>
    </cfRule>
  </conditionalFormatting>
  <conditionalFormatting sqref="T63">
    <cfRule type="cellIs" dxfId="2144" priority="139791" stopIfTrue="1" operator="equal">
      <formula>-1</formula>
    </cfRule>
  </conditionalFormatting>
  <conditionalFormatting sqref="T63">
    <cfRule type="cellIs" dxfId="2143" priority="139792" stopIfTrue="1" operator="lessThan">
      <formula>0.5</formula>
    </cfRule>
  </conditionalFormatting>
  <conditionalFormatting sqref="T63">
    <cfRule type="cellIs" dxfId="2142" priority="139793" stopIfTrue="1" operator="greaterThanOrEqual">
      <formula>0.5</formula>
    </cfRule>
  </conditionalFormatting>
  <conditionalFormatting sqref="V60">
    <cfRule type="cellIs" dxfId="2141" priority="139794" stopIfTrue="1" operator="equal">
      <formula>-1</formula>
    </cfRule>
  </conditionalFormatting>
  <conditionalFormatting sqref="V60">
    <cfRule type="cellIs" dxfId="2140" priority="139795" stopIfTrue="1" operator="lessThan">
      <formula>0.5</formula>
    </cfRule>
  </conditionalFormatting>
  <conditionalFormatting sqref="V60">
    <cfRule type="cellIs" dxfId="2139" priority="139796" stopIfTrue="1" operator="greaterThanOrEqual">
      <formula>0.5</formula>
    </cfRule>
  </conditionalFormatting>
  <conditionalFormatting sqref="V61">
    <cfRule type="cellIs" dxfId="2138" priority="139797" stopIfTrue="1" operator="equal">
      <formula>-1</formula>
    </cfRule>
  </conditionalFormatting>
  <conditionalFormatting sqref="V61">
    <cfRule type="cellIs" dxfId="2137" priority="139798" stopIfTrue="1" operator="lessThan">
      <formula>0.5</formula>
    </cfRule>
  </conditionalFormatting>
  <conditionalFormatting sqref="V61">
    <cfRule type="cellIs" dxfId="2136" priority="139799" stopIfTrue="1" operator="greaterThanOrEqual">
      <formula>0.5</formula>
    </cfRule>
  </conditionalFormatting>
  <conditionalFormatting sqref="V62">
    <cfRule type="cellIs" dxfId="2135" priority="139800" stopIfTrue="1" operator="equal">
      <formula>-1</formula>
    </cfRule>
  </conditionalFormatting>
  <conditionalFormatting sqref="V62">
    <cfRule type="cellIs" dxfId="2134" priority="139801" stopIfTrue="1" operator="lessThan">
      <formula>0.5</formula>
    </cfRule>
  </conditionalFormatting>
  <conditionalFormatting sqref="V62">
    <cfRule type="cellIs" dxfId="2133" priority="139802" stopIfTrue="1" operator="greaterThanOrEqual">
      <formula>0.5</formula>
    </cfRule>
  </conditionalFormatting>
  <conditionalFormatting sqref="V63">
    <cfRule type="cellIs" dxfId="2132" priority="139803" stopIfTrue="1" operator="equal">
      <formula>-1</formula>
    </cfRule>
  </conditionalFormatting>
  <conditionalFormatting sqref="V63">
    <cfRule type="cellIs" dxfId="2131" priority="139804" stopIfTrue="1" operator="lessThan">
      <formula>0.5</formula>
    </cfRule>
  </conditionalFormatting>
  <conditionalFormatting sqref="V63">
    <cfRule type="cellIs" dxfId="2130" priority="139805" stopIfTrue="1" operator="greaterThanOrEqual">
      <formula>0.5</formula>
    </cfRule>
  </conditionalFormatting>
  <conditionalFormatting sqref="X60">
    <cfRule type="cellIs" dxfId="2129" priority="139806" stopIfTrue="1" operator="equal">
      <formula>-1</formula>
    </cfRule>
  </conditionalFormatting>
  <conditionalFormatting sqref="X60">
    <cfRule type="cellIs" dxfId="2128" priority="139807" stopIfTrue="1" operator="lessThan">
      <formula>0.5</formula>
    </cfRule>
  </conditionalFormatting>
  <conditionalFormatting sqref="X60">
    <cfRule type="cellIs" dxfId="2127" priority="139808" stopIfTrue="1" operator="greaterThanOrEqual">
      <formula>0.5</formula>
    </cfRule>
  </conditionalFormatting>
  <conditionalFormatting sqref="X61">
    <cfRule type="cellIs" dxfId="2126" priority="139809" stopIfTrue="1" operator="equal">
      <formula>-1</formula>
    </cfRule>
  </conditionalFormatting>
  <conditionalFormatting sqref="X61">
    <cfRule type="cellIs" dxfId="2125" priority="139810" stopIfTrue="1" operator="lessThan">
      <formula>0.5</formula>
    </cfRule>
  </conditionalFormatting>
  <conditionalFormatting sqref="X61">
    <cfRule type="cellIs" dxfId="2124" priority="139811" stopIfTrue="1" operator="greaterThanOrEqual">
      <formula>0.5</formula>
    </cfRule>
  </conditionalFormatting>
  <conditionalFormatting sqref="X62">
    <cfRule type="cellIs" dxfId="2123" priority="139812" stopIfTrue="1" operator="equal">
      <formula>-1</formula>
    </cfRule>
  </conditionalFormatting>
  <conditionalFormatting sqref="X62">
    <cfRule type="cellIs" dxfId="2122" priority="139813" stopIfTrue="1" operator="lessThan">
      <formula>0.5</formula>
    </cfRule>
  </conditionalFormatting>
  <conditionalFormatting sqref="X62">
    <cfRule type="cellIs" dxfId="2121" priority="139814" stopIfTrue="1" operator="greaterThanOrEqual">
      <formula>0.5</formula>
    </cfRule>
  </conditionalFormatting>
  <conditionalFormatting sqref="X63">
    <cfRule type="cellIs" dxfId="2120" priority="139815" stopIfTrue="1" operator="equal">
      <formula>-1</formula>
    </cfRule>
  </conditionalFormatting>
  <conditionalFormatting sqref="X63">
    <cfRule type="cellIs" dxfId="2119" priority="139816" stopIfTrue="1" operator="lessThan">
      <formula>0.5</formula>
    </cfRule>
  </conditionalFormatting>
  <conditionalFormatting sqref="X63">
    <cfRule type="cellIs" dxfId="2118" priority="139817" stopIfTrue="1" operator="greaterThanOrEqual">
      <formula>0.5</formula>
    </cfRule>
  </conditionalFormatting>
  <conditionalFormatting sqref="Z60">
    <cfRule type="cellIs" dxfId="2117" priority="139818" stopIfTrue="1" operator="equal">
      <formula>-1</formula>
    </cfRule>
  </conditionalFormatting>
  <conditionalFormatting sqref="Z60">
    <cfRule type="cellIs" dxfId="2116" priority="139819" stopIfTrue="1" operator="lessThan">
      <formula>0.5</formula>
    </cfRule>
  </conditionalFormatting>
  <conditionalFormatting sqref="Z60">
    <cfRule type="cellIs" dxfId="2115" priority="139820" stopIfTrue="1" operator="greaterThanOrEqual">
      <formula>0.5</formula>
    </cfRule>
  </conditionalFormatting>
  <conditionalFormatting sqref="Z61">
    <cfRule type="cellIs" dxfId="2114" priority="139821" stopIfTrue="1" operator="equal">
      <formula>-1</formula>
    </cfRule>
  </conditionalFormatting>
  <conditionalFormatting sqref="Z61">
    <cfRule type="cellIs" dxfId="2113" priority="139822" stopIfTrue="1" operator="lessThan">
      <formula>0.5</formula>
    </cfRule>
  </conditionalFormatting>
  <conditionalFormatting sqref="Z61">
    <cfRule type="cellIs" dxfId="2112" priority="139823" stopIfTrue="1" operator="greaterThanOrEqual">
      <formula>0.5</formula>
    </cfRule>
  </conditionalFormatting>
  <conditionalFormatting sqref="Z62">
    <cfRule type="cellIs" dxfId="2111" priority="139824" stopIfTrue="1" operator="equal">
      <formula>-1</formula>
    </cfRule>
  </conditionalFormatting>
  <conditionalFormatting sqref="Z62">
    <cfRule type="cellIs" dxfId="2110" priority="139825" stopIfTrue="1" operator="lessThan">
      <formula>0.5</formula>
    </cfRule>
  </conditionalFormatting>
  <conditionalFormatting sqref="Z62">
    <cfRule type="cellIs" dxfId="2109" priority="139826" stopIfTrue="1" operator="greaterThanOrEqual">
      <formula>0.5</formula>
    </cfRule>
  </conditionalFormatting>
  <conditionalFormatting sqref="Z63">
    <cfRule type="cellIs" dxfId="2108" priority="139827" stopIfTrue="1" operator="equal">
      <formula>-1</formula>
    </cfRule>
  </conditionalFormatting>
  <conditionalFormatting sqref="Z63">
    <cfRule type="cellIs" dxfId="2107" priority="139828" stopIfTrue="1" operator="lessThan">
      <formula>0.5</formula>
    </cfRule>
  </conditionalFormatting>
  <conditionalFormatting sqref="Z63">
    <cfRule type="cellIs" dxfId="2106" priority="139829" stopIfTrue="1" operator="greaterThanOrEqual">
      <formula>0.5</formula>
    </cfRule>
  </conditionalFormatting>
  <conditionalFormatting sqref="AB60">
    <cfRule type="cellIs" dxfId="2105" priority="139830" stopIfTrue="1" operator="equal">
      <formula>-1</formula>
    </cfRule>
  </conditionalFormatting>
  <conditionalFormatting sqref="AB60">
    <cfRule type="cellIs" dxfId="2104" priority="139831" stopIfTrue="1" operator="lessThan">
      <formula>0.5</formula>
    </cfRule>
  </conditionalFormatting>
  <conditionalFormatting sqref="AB60">
    <cfRule type="cellIs" dxfId="2103" priority="139832" stopIfTrue="1" operator="greaterThanOrEqual">
      <formula>0.5</formula>
    </cfRule>
  </conditionalFormatting>
  <conditionalFormatting sqref="AB61">
    <cfRule type="cellIs" dxfId="2102" priority="139833" stopIfTrue="1" operator="equal">
      <formula>-1</formula>
    </cfRule>
  </conditionalFormatting>
  <conditionalFormatting sqref="AB61">
    <cfRule type="cellIs" dxfId="2101" priority="139834" stopIfTrue="1" operator="lessThan">
      <formula>0.5</formula>
    </cfRule>
  </conditionalFormatting>
  <conditionalFormatting sqref="AB61">
    <cfRule type="cellIs" dxfId="2100" priority="139835" stopIfTrue="1" operator="greaterThanOrEqual">
      <formula>0.5</formula>
    </cfRule>
  </conditionalFormatting>
  <conditionalFormatting sqref="AB62">
    <cfRule type="cellIs" dxfId="2099" priority="139836" stopIfTrue="1" operator="equal">
      <formula>-1</formula>
    </cfRule>
  </conditionalFormatting>
  <conditionalFormatting sqref="AB62">
    <cfRule type="cellIs" dxfId="2098" priority="139837" stopIfTrue="1" operator="lessThan">
      <formula>0.5</formula>
    </cfRule>
  </conditionalFormatting>
  <conditionalFormatting sqref="AB62">
    <cfRule type="cellIs" dxfId="2097" priority="139838" stopIfTrue="1" operator="greaterThanOrEqual">
      <formula>0.5</formula>
    </cfRule>
  </conditionalFormatting>
  <conditionalFormatting sqref="AB63">
    <cfRule type="cellIs" dxfId="2096" priority="139839" stopIfTrue="1" operator="equal">
      <formula>-1</formula>
    </cfRule>
  </conditionalFormatting>
  <conditionalFormatting sqref="AB63">
    <cfRule type="cellIs" dxfId="2095" priority="139840" stopIfTrue="1" operator="lessThan">
      <formula>0.5</formula>
    </cfRule>
  </conditionalFormatting>
  <conditionalFormatting sqref="AB63">
    <cfRule type="cellIs" dxfId="2094" priority="139841" stopIfTrue="1" operator="greaterThanOrEqual">
      <formula>0.5</formula>
    </cfRule>
  </conditionalFormatting>
  <conditionalFormatting sqref="AD60">
    <cfRule type="cellIs" dxfId="2093" priority="139842" stopIfTrue="1" operator="equal">
      <formula>-1</formula>
    </cfRule>
  </conditionalFormatting>
  <conditionalFormatting sqref="AD60">
    <cfRule type="cellIs" dxfId="2092" priority="139843" stopIfTrue="1" operator="lessThan">
      <formula>0.5</formula>
    </cfRule>
  </conditionalFormatting>
  <conditionalFormatting sqref="AD60">
    <cfRule type="cellIs" dxfId="2091" priority="139844" stopIfTrue="1" operator="greaterThanOrEqual">
      <formula>0.5</formula>
    </cfRule>
  </conditionalFormatting>
  <conditionalFormatting sqref="AD61">
    <cfRule type="cellIs" dxfId="2090" priority="139845" stopIfTrue="1" operator="equal">
      <formula>-1</formula>
    </cfRule>
  </conditionalFormatting>
  <conditionalFormatting sqref="AD61">
    <cfRule type="cellIs" dxfId="2089" priority="139846" stopIfTrue="1" operator="lessThan">
      <formula>0.5</formula>
    </cfRule>
  </conditionalFormatting>
  <conditionalFormatting sqref="AD61">
    <cfRule type="cellIs" dxfId="2088" priority="139847" stopIfTrue="1" operator="greaterThanOrEqual">
      <formula>0.5</formula>
    </cfRule>
  </conditionalFormatting>
  <conditionalFormatting sqref="AD62">
    <cfRule type="cellIs" dxfId="2087" priority="139848" stopIfTrue="1" operator="equal">
      <formula>-1</formula>
    </cfRule>
  </conditionalFormatting>
  <conditionalFormatting sqref="AD62">
    <cfRule type="cellIs" dxfId="2086" priority="139849" stopIfTrue="1" operator="lessThan">
      <formula>0.5</formula>
    </cfRule>
  </conditionalFormatting>
  <conditionalFormatting sqref="AD62">
    <cfRule type="cellIs" dxfId="2085" priority="139850" stopIfTrue="1" operator="greaterThanOrEqual">
      <formula>0.5</formula>
    </cfRule>
  </conditionalFormatting>
  <conditionalFormatting sqref="AD63">
    <cfRule type="cellIs" dxfId="2084" priority="139851" stopIfTrue="1" operator="equal">
      <formula>-1</formula>
    </cfRule>
  </conditionalFormatting>
  <conditionalFormatting sqref="AD63">
    <cfRule type="cellIs" dxfId="2083" priority="139852" stopIfTrue="1" operator="lessThan">
      <formula>0.5</formula>
    </cfRule>
  </conditionalFormatting>
  <conditionalFormatting sqref="AD63">
    <cfRule type="cellIs" dxfId="2082" priority="139853" stopIfTrue="1" operator="greaterThanOrEqual">
      <formula>0.5</formula>
    </cfRule>
  </conditionalFormatting>
  <conditionalFormatting sqref="AF60">
    <cfRule type="cellIs" dxfId="2081" priority="139854" stopIfTrue="1" operator="equal">
      <formula>-1</formula>
    </cfRule>
  </conditionalFormatting>
  <conditionalFormatting sqref="AF60">
    <cfRule type="cellIs" dxfId="2080" priority="139855" stopIfTrue="1" operator="lessThan">
      <formula>0.5</formula>
    </cfRule>
  </conditionalFormatting>
  <conditionalFormatting sqref="AF60">
    <cfRule type="cellIs" dxfId="2079" priority="139856" stopIfTrue="1" operator="greaterThanOrEqual">
      <formula>0.5</formula>
    </cfRule>
  </conditionalFormatting>
  <conditionalFormatting sqref="AF61">
    <cfRule type="cellIs" dxfId="2078" priority="139857" stopIfTrue="1" operator="equal">
      <formula>-1</formula>
    </cfRule>
  </conditionalFormatting>
  <conditionalFormatting sqref="AF61">
    <cfRule type="cellIs" dxfId="2077" priority="139858" stopIfTrue="1" operator="lessThan">
      <formula>0.5</formula>
    </cfRule>
  </conditionalFormatting>
  <conditionalFormatting sqref="AF61">
    <cfRule type="cellIs" dxfId="2076" priority="139859" stopIfTrue="1" operator="greaterThanOrEqual">
      <formula>0.5</formula>
    </cfRule>
  </conditionalFormatting>
  <conditionalFormatting sqref="AF62">
    <cfRule type="cellIs" dxfId="2075" priority="139860" stopIfTrue="1" operator="equal">
      <formula>-1</formula>
    </cfRule>
  </conditionalFormatting>
  <conditionalFormatting sqref="AF62">
    <cfRule type="cellIs" dxfId="2074" priority="139861" stopIfTrue="1" operator="lessThan">
      <formula>0.5</formula>
    </cfRule>
  </conditionalFormatting>
  <conditionalFormatting sqref="AF62">
    <cfRule type="cellIs" dxfId="2073" priority="139862" stopIfTrue="1" operator="greaterThanOrEqual">
      <formula>0.5</formula>
    </cfRule>
  </conditionalFormatting>
  <conditionalFormatting sqref="AF63">
    <cfRule type="cellIs" dxfId="2072" priority="139863" stopIfTrue="1" operator="equal">
      <formula>-1</formula>
    </cfRule>
  </conditionalFormatting>
  <conditionalFormatting sqref="AF63">
    <cfRule type="cellIs" dxfId="2071" priority="139864" stopIfTrue="1" operator="lessThan">
      <formula>0.5</formula>
    </cfRule>
  </conditionalFormatting>
  <conditionalFormatting sqref="AF63">
    <cfRule type="cellIs" dxfId="2070" priority="139865" stopIfTrue="1" operator="greaterThanOrEqual">
      <formula>0.5</formula>
    </cfRule>
  </conditionalFormatting>
  <conditionalFormatting sqref="AH60">
    <cfRule type="cellIs" dxfId="2069" priority="139866" stopIfTrue="1" operator="equal">
      <formula>-1</formula>
    </cfRule>
  </conditionalFormatting>
  <conditionalFormatting sqref="AH60">
    <cfRule type="cellIs" dxfId="2068" priority="139867" stopIfTrue="1" operator="lessThan">
      <formula>0.5</formula>
    </cfRule>
  </conditionalFormatting>
  <conditionalFormatting sqref="AH60">
    <cfRule type="cellIs" dxfId="2067" priority="139868" stopIfTrue="1" operator="greaterThanOrEqual">
      <formula>0.5</formula>
    </cfRule>
  </conditionalFormatting>
  <conditionalFormatting sqref="AH61">
    <cfRule type="cellIs" dxfId="2066" priority="139869" stopIfTrue="1" operator="equal">
      <formula>-1</formula>
    </cfRule>
  </conditionalFormatting>
  <conditionalFormatting sqref="AH61">
    <cfRule type="cellIs" dxfId="2065" priority="139870" stopIfTrue="1" operator="lessThan">
      <formula>0.5</formula>
    </cfRule>
  </conditionalFormatting>
  <conditionalFormatting sqref="AH61">
    <cfRule type="cellIs" dxfId="2064" priority="139871" stopIfTrue="1" operator="greaterThanOrEqual">
      <formula>0.5</formula>
    </cfRule>
  </conditionalFormatting>
  <conditionalFormatting sqref="AH62">
    <cfRule type="cellIs" dxfId="2063" priority="139872" stopIfTrue="1" operator="equal">
      <formula>-1</formula>
    </cfRule>
  </conditionalFormatting>
  <conditionalFormatting sqref="AH62">
    <cfRule type="cellIs" dxfId="2062" priority="139873" stopIfTrue="1" operator="lessThan">
      <formula>0.5</formula>
    </cfRule>
  </conditionalFormatting>
  <conditionalFormatting sqref="AH62">
    <cfRule type="cellIs" dxfId="2061" priority="139874" stopIfTrue="1" operator="greaterThanOrEqual">
      <formula>0.5</formula>
    </cfRule>
  </conditionalFormatting>
  <conditionalFormatting sqref="AH63">
    <cfRule type="cellIs" dxfId="2060" priority="139875" stopIfTrue="1" operator="equal">
      <formula>-1</formula>
    </cfRule>
  </conditionalFormatting>
  <conditionalFormatting sqref="AH63">
    <cfRule type="cellIs" dxfId="2059" priority="139876" stopIfTrue="1" operator="lessThan">
      <formula>0.5</formula>
    </cfRule>
  </conditionalFormatting>
  <conditionalFormatting sqref="AH63">
    <cfRule type="cellIs" dxfId="2058" priority="139877" stopIfTrue="1" operator="greaterThanOrEqual">
      <formula>0.5</formula>
    </cfRule>
  </conditionalFormatting>
  <conditionalFormatting sqref="AJ60">
    <cfRule type="cellIs" dxfId="2057" priority="139878" stopIfTrue="1" operator="equal">
      <formula>-1</formula>
    </cfRule>
  </conditionalFormatting>
  <conditionalFormatting sqref="AJ60">
    <cfRule type="cellIs" dxfId="2056" priority="139879" stopIfTrue="1" operator="lessThan">
      <formula>0.5</formula>
    </cfRule>
  </conditionalFormatting>
  <conditionalFormatting sqref="AJ60">
    <cfRule type="cellIs" dxfId="2055" priority="139880" stopIfTrue="1" operator="greaterThanOrEqual">
      <formula>0.5</formula>
    </cfRule>
  </conditionalFormatting>
  <conditionalFormatting sqref="AJ61">
    <cfRule type="cellIs" dxfId="2054" priority="139881" stopIfTrue="1" operator="equal">
      <formula>-1</formula>
    </cfRule>
  </conditionalFormatting>
  <conditionalFormatting sqref="AJ61">
    <cfRule type="cellIs" dxfId="2053" priority="139882" stopIfTrue="1" operator="lessThan">
      <formula>0.5</formula>
    </cfRule>
  </conditionalFormatting>
  <conditionalFormatting sqref="AJ61">
    <cfRule type="cellIs" dxfId="2052" priority="139883" stopIfTrue="1" operator="greaterThanOrEqual">
      <formula>0.5</formula>
    </cfRule>
  </conditionalFormatting>
  <conditionalFormatting sqref="AJ62">
    <cfRule type="cellIs" dxfId="2051" priority="139884" stopIfTrue="1" operator="equal">
      <formula>-1</formula>
    </cfRule>
  </conditionalFormatting>
  <conditionalFormatting sqref="AJ62">
    <cfRule type="cellIs" dxfId="2050" priority="139885" stopIfTrue="1" operator="lessThan">
      <formula>0.5</formula>
    </cfRule>
  </conditionalFormatting>
  <conditionalFormatting sqref="AJ62">
    <cfRule type="cellIs" dxfId="2049" priority="139886" stopIfTrue="1" operator="greaterThanOrEqual">
      <formula>0.5</formula>
    </cfRule>
  </conditionalFormatting>
  <conditionalFormatting sqref="AJ63">
    <cfRule type="cellIs" dxfId="2048" priority="139887" stopIfTrue="1" operator="equal">
      <formula>-1</formula>
    </cfRule>
  </conditionalFormatting>
  <conditionalFormatting sqref="AJ63">
    <cfRule type="cellIs" dxfId="2047" priority="139888" stopIfTrue="1" operator="lessThan">
      <formula>0.5</formula>
    </cfRule>
  </conditionalFormatting>
  <conditionalFormatting sqref="AJ63">
    <cfRule type="cellIs" dxfId="2046" priority="139889" stopIfTrue="1" operator="greaterThanOrEqual">
      <formula>0.5</formula>
    </cfRule>
  </conditionalFormatting>
  <conditionalFormatting sqref="AL60">
    <cfRule type="cellIs" dxfId="2045" priority="139890" stopIfTrue="1" operator="equal">
      <formula>-1</formula>
    </cfRule>
  </conditionalFormatting>
  <conditionalFormatting sqref="AL60">
    <cfRule type="cellIs" dxfId="2044" priority="139891" stopIfTrue="1" operator="lessThan">
      <formula>0.5</formula>
    </cfRule>
  </conditionalFormatting>
  <conditionalFormatting sqref="AL60">
    <cfRule type="cellIs" dxfId="2043" priority="139892" stopIfTrue="1" operator="greaterThanOrEqual">
      <formula>0.5</formula>
    </cfRule>
  </conditionalFormatting>
  <conditionalFormatting sqref="AL61">
    <cfRule type="cellIs" dxfId="2042" priority="139893" stopIfTrue="1" operator="equal">
      <formula>-1</formula>
    </cfRule>
  </conditionalFormatting>
  <conditionalFormatting sqref="AL61">
    <cfRule type="cellIs" dxfId="2041" priority="139894" stopIfTrue="1" operator="lessThan">
      <formula>0.5</formula>
    </cfRule>
  </conditionalFormatting>
  <conditionalFormatting sqref="AL61">
    <cfRule type="cellIs" dxfId="2040" priority="139895" stopIfTrue="1" operator="greaterThanOrEqual">
      <formula>0.5</formula>
    </cfRule>
  </conditionalFormatting>
  <conditionalFormatting sqref="AL62">
    <cfRule type="cellIs" dxfId="2039" priority="139896" stopIfTrue="1" operator="equal">
      <formula>-1</formula>
    </cfRule>
  </conditionalFormatting>
  <conditionalFormatting sqref="AL62">
    <cfRule type="cellIs" dxfId="2038" priority="139897" stopIfTrue="1" operator="lessThan">
      <formula>0.5</formula>
    </cfRule>
  </conditionalFormatting>
  <conditionalFormatting sqref="AL62">
    <cfRule type="cellIs" dxfId="2037" priority="139898" stopIfTrue="1" operator="greaterThanOrEqual">
      <formula>0.5</formula>
    </cfRule>
  </conditionalFormatting>
  <conditionalFormatting sqref="AL63">
    <cfRule type="cellIs" dxfId="2036" priority="139899" stopIfTrue="1" operator="equal">
      <formula>-1</formula>
    </cfRule>
  </conditionalFormatting>
  <conditionalFormatting sqref="AL63">
    <cfRule type="cellIs" dxfId="2035" priority="139900" stopIfTrue="1" operator="lessThan">
      <formula>0.5</formula>
    </cfRule>
  </conditionalFormatting>
  <conditionalFormatting sqref="AL63">
    <cfRule type="cellIs" dxfId="2034" priority="139901" stopIfTrue="1" operator="greaterThanOrEqual">
      <formula>0.5</formula>
    </cfRule>
  </conditionalFormatting>
  <conditionalFormatting sqref="AN60">
    <cfRule type="cellIs" dxfId="2033" priority="139902" stopIfTrue="1" operator="equal">
      <formula>-1</formula>
    </cfRule>
  </conditionalFormatting>
  <conditionalFormatting sqref="AN60">
    <cfRule type="cellIs" dxfId="2032" priority="139903" stopIfTrue="1" operator="lessThan">
      <formula>0.5</formula>
    </cfRule>
  </conditionalFormatting>
  <conditionalFormatting sqref="AN60">
    <cfRule type="cellIs" dxfId="2031" priority="139904" stopIfTrue="1" operator="greaterThanOrEqual">
      <formula>0.5</formula>
    </cfRule>
  </conditionalFormatting>
  <conditionalFormatting sqref="AN61">
    <cfRule type="cellIs" dxfId="2030" priority="139905" stopIfTrue="1" operator="equal">
      <formula>-1</formula>
    </cfRule>
  </conditionalFormatting>
  <conditionalFormatting sqref="AN61">
    <cfRule type="cellIs" dxfId="2029" priority="139906" stopIfTrue="1" operator="lessThan">
      <formula>0.5</formula>
    </cfRule>
  </conditionalFormatting>
  <conditionalFormatting sqref="AN61">
    <cfRule type="cellIs" dxfId="2028" priority="139907" stopIfTrue="1" operator="greaterThanOrEqual">
      <formula>0.5</formula>
    </cfRule>
  </conditionalFormatting>
  <conditionalFormatting sqref="AN62">
    <cfRule type="cellIs" dxfId="2027" priority="139908" stopIfTrue="1" operator="equal">
      <formula>-1</formula>
    </cfRule>
  </conditionalFormatting>
  <conditionalFormatting sqref="AN62">
    <cfRule type="cellIs" dxfId="2026" priority="139909" stopIfTrue="1" operator="lessThan">
      <formula>0.5</formula>
    </cfRule>
  </conditionalFormatting>
  <conditionalFormatting sqref="AN62">
    <cfRule type="cellIs" dxfId="2025" priority="139910" stopIfTrue="1" operator="greaterThanOrEqual">
      <formula>0.5</formula>
    </cfRule>
  </conditionalFormatting>
  <conditionalFormatting sqref="AN63">
    <cfRule type="cellIs" dxfId="2024" priority="139911" stopIfTrue="1" operator="equal">
      <formula>-1</formula>
    </cfRule>
  </conditionalFormatting>
  <conditionalFormatting sqref="AN63">
    <cfRule type="cellIs" dxfId="2023" priority="139912" stopIfTrue="1" operator="lessThan">
      <formula>0.5</formula>
    </cfRule>
  </conditionalFormatting>
  <conditionalFormatting sqref="AN63">
    <cfRule type="cellIs" dxfId="2022" priority="139913" stopIfTrue="1" operator="greaterThanOrEqual">
      <formula>0.5</formula>
    </cfRule>
  </conditionalFormatting>
  <conditionalFormatting sqref="AP60">
    <cfRule type="cellIs" dxfId="2021" priority="139914" stopIfTrue="1" operator="equal">
      <formula>-1</formula>
    </cfRule>
  </conditionalFormatting>
  <conditionalFormatting sqref="AP60">
    <cfRule type="cellIs" dxfId="2020" priority="139915" stopIfTrue="1" operator="lessThan">
      <formula>0.5</formula>
    </cfRule>
  </conditionalFormatting>
  <conditionalFormatting sqref="AP60">
    <cfRule type="cellIs" dxfId="2019" priority="139916" stopIfTrue="1" operator="greaterThanOrEqual">
      <formula>0.5</formula>
    </cfRule>
  </conditionalFormatting>
  <conditionalFormatting sqref="AP61">
    <cfRule type="cellIs" dxfId="2018" priority="139917" stopIfTrue="1" operator="equal">
      <formula>-1</formula>
    </cfRule>
  </conditionalFormatting>
  <conditionalFormatting sqref="AP61">
    <cfRule type="cellIs" dxfId="2017" priority="139918" stopIfTrue="1" operator="lessThan">
      <formula>0.5</formula>
    </cfRule>
  </conditionalFormatting>
  <conditionalFormatting sqref="AP61">
    <cfRule type="cellIs" dxfId="2016" priority="139919" stopIfTrue="1" operator="greaterThanOrEqual">
      <formula>0.5</formula>
    </cfRule>
  </conditionalFormatting>
  <conditionalFormatting sqref="AP62">
    <cfRule type="cellIs" dxfId="2015" priority="139920" stopIfTrue="1" operator="equal">
      <formula>-1</formula>
    </cfRule>
  </conditionalFormatting>
  <conditionalFormatting sqref="AP62">
    <cfRule type="cellIs" dxfId="2014" priority="139921" stopIfTrue="1" operator="lessThan">
      <formula>0.5</formula>
    </cfRule>
  </conditionalFormatting>
  <conditionalFormatting sqref="AP62">
    <cfRule type="cellIs" dxfId="2013" priority="139922" stopIfTrue="1" operator="greaterThanOrEqual">
      <formula>0.5</formula>
    </cfRule>
  </conditionalFormatting>
  <conditionalFormatting sqref="AP63">
    <cfRule type="cellIs" dxfId="2012" priority="139923" stopIfTrue="1" operator="equal">
      <formula>-1</formula>
    </cfRule>
  </conditionalFormatting>
  <conditionalFormatting sqref="AP63">
    <cfRule type="cellIs" dxfId="2011" priority="139924" stopIfTrue="1" operator="lessThan">
      <formula>0.5</formula>
    </cfRule>
  </conditionalFormatting>
  <conditionalFormatting sqref="AP63">
    <cfRule type="cellIs" dxfId="2010" priority="139925" stopIfTrue="1" operator="greaterThanOrEqual">
      <formula>0.5</formula>
    </cfRule>
  </conditionalFormatting>
  <conditionalFormatting sqref="AR60">
    <cfRule type="cellIs" dxfId="2009" priority="139926" stopIfTrue="1" operator="equal">
      <formula>-1</formula>
    </cfRule>
  </conditionalFormatting>
  <conditionalFormatting sqref="AR60">
    <cfRule type="cellIs" dxfId="2008" priority="139927" stopIfTrue="1" operator="lessThan">
      <formula>0.5</formula>
    </cfRule>
  </conditionalFormatting>
  <conditionalFormatting sqref="AR60">
    <cfRule type="cellIs" dxfId="2007" priority="139928" stopIfTrue="1" operator="greaterThanOrEqual">
      <formula>0.5</formula>
    </cfRule>
  </conditionalFormatting>
  <conditionalFormatting sqref="AR61">
    <cfRule type="cellIs" dxfId="2006" priority="139929" stopIfTrue="1" operator="equal">
      <formula>-1</formula>
    </cfRule>
  </conditionalFormatting>
  <conditionalFormatting sqref="AR61">
    <cfRule type="cellIs" dxfId="2005" priority="139930" stopIfTrue="1" operator="lessThan">
      <formula>0.5</formula>
    </cfRule>
  </conditionalFormatting>
  <conditionalFormatting sqref="AR61">
    <cfRule type="cellIs" dxfId="2004" priority="139931" stopIfTrue="1" operator="greaterThanOrEqual">
      <formula>0.5</formula>
    </cfRule>
  </conditionalFormatting>
  <conditionalFormatting sqref="AR62">
    <cfRule type="cellIs" dxfId="2003" priority="139932" stopIfTrue="1" operator="equal">
      <formula>-1</formula>
    </cfRule>
  </conditionalFormatting>
  <conditionalFormatting sqref="AR62">
    <cfRule type="cellIs" dxfId="2002" priority="139933" stopIfTrue="1" operator="lessThan">
      <formula>0.5</formula>
    </cfRule>
  </conditionalFormatting>
  <conditionalFormatting sqref="AR62">
    <cfRule type="cellIs" dxfId="2001" priority="139934" stopIfTrue="1" operator="greaterThanOrEqual">
      <formula>0.5</formula>
    </cfRule>
  </conditionalFormatting>
  <conditionalFormatting sqref="AR63">
    <cfRule type="cellIs" dxfId="2000" priority="139935" stopIfTrue="1" operator="equal">
      <formula>-1</formula>
    </cfRule>
  </conditionalFormatting>
  <conditionalFormatting sqref="AR63">
    <cfRule type="cellIs" dxfId="1999" priority="139936" stopIfTrue="1" operator="lessThan">
      <formula>0.5</formula>
    </cfRule>
  </conditionalFormatting>
  <conditionalFormatting sqref="AR63">
    <cfRule type="cellIs" dxfId="1998" priority="139937" stopIfTrue="1" operator="greaterThanOrEqual">
      <formula>0.5</formula>
    </cfRule>
  </conditionalFormatting>
  <conditionalFormatting sqref="AT60">
    <cfRule type="cellIs" dxfId="1997" priority="139938" stopIfTrue="1" operator="equal">
      <formula>-1</formula>
    </cfRule>
  </conditionalFormatting>
  <conditionalFormatting sqref="AT60">
    <cfRule type="cellIs" dxfId="1996" priority="139939" stopIfTrue="1" operator="lessThan">
      <formula>0.5</formula>
    </cfRule>
  </conditionalFormatting>
  <conditionalFormatting sqref="AT60">
    <cfRule type="cellIs" dxfId="1995" priority="139940" stopIfTrue="1" operator="greaterThanOrEqual">
      <formula>0.5</formula>
    </cfRule>
  </conditionalFormatting>
  <conditionalFormatting sqref="AT61">
    <cfRule type="cellIs" dxfId="1994" priority="139941" stopIfTrue="1" operator="equal">
      <formula>-1</formula>
    </cfRule>
  </conditionalFormatting>
  <conditionalFormatting sqref="AT61">
    <cfRule type="cellIs" dxfId="1993" priority="139942" stopIfTrue="1" operator="lessThan">
      <formula>0.5</formula>
    </cfRule>
  </conditionalFormatting>
  <conditionalFormatting sqref="AT61">
    <cfRule type="cellIs" dxfId="1992" priority="139943" stopIfTrue="1" operator="greaterThanOrEqual">
      <formula>0.5</formula>
    </cfRule>
  </conditionalFormatting>
  <conditionalFormatting sqref="AT62">
    <cfRule type="cellIs" dxfId="1991" priority="139944" stopIfTrue="1" operator="equal">
      <formula>-1</formula>
    </cfRule>
  </conditionalFormatting>
  <conditionalFormatting sqref="AT62">
    <cfRule type="cellIs" dxfId="1990" priority="139945" stopIfTrue="1" operator="lessThan">
      <formula>0.5</formula>
    </cfRule>
  </conditionalFormatting>
  <conditionalFormatting sqref="AT62">
    <cfRule type="cellIs" dxfId="1989" priority="139946" stopIfTrue="1" operator="greaterThanOrEqual">
      <formula>0.5</formula>
    </cfRule>
  </conditionalFormatting>
  <conditionalFormatting sqref="AT63">
    <cfRule type="cellIs" dxfId="1988" priority="139947" stopIfTrue="1" operator="equal">
      <formula>-1</formula>
    </cfRule>
  </conditionalFormatting>
  <conditionalFormatting sqref="AT63">
    <cfRule type="cellIs" dxfId="1987" priority="139948" stopIfTrue="1" operator="lessThan">
      <formula>0.5</formula>
    </cfRule>
  </conditionalFormatting>
  <conditionalFormatting sqref="AT63">
    <cfRule type="cellIs" dxfId="1986" priority="139949" stopIfTrue="1" operator="greaterThanOrEqual">
      <formula>0.5</formula>
    </cfRule>
  </conditionalFormatting>
  <conditionalFormatting sqref="AV60">
    <cfRule type="cellIs" dxfId="1985" priority="139950" stopIfTrue="1" operator="equal">
      <formula>-1</formula>
    </cfRule>
  </conditionalFormatting>
  <conditionalFormatting sqref="AV60">
    <cfRule type="cellIs" dxfId="1984" priority="139951" stopIfTrue="1" operator="lessThan">
      <formula>0.5</formula>
    </cfRule>
  </conditionalFormatting>
  <conditionalFormatting sqref="AV60">
    <cfRule type="cellIs" dxfId="1983" priority="139952" stopIfTrue="1" operator="greaterThanOrEqual">
      <formula>0.5</formula>
    </cfRule>
  </conditionalFormatting>
  <conditionalFormatting sqref="AV61">
    <cfRule type="cellIs" dxfId="1982" priority="139953" stopIfTrue="1" operator="equal">
      <formula>-1</formula>
    </cfRule>
  </conditionalFormatting>
  <conditionalFormatting sqref="AV61">
    <cfRule type="cellIs" dxfId="1981" priority="139954" stopIfTrue="1" operator="lessThan">
      <formula>0.5</formula>
    </cfRule>
  </conditionalFormatting>
  <conditionalFormatting sqref="AV61">
    <cfRule type="cellIs" dxfId="1980" priority="139955" stopIfTrue="1" operator="greaterThanOrEqual">
      <formula>0.5</formula>
    </cfRule>
  </conditionalFormatting>
  <conditionalFormatting sqref="AV62">
    <cfRule type="cellIs" dxfId="1979" priority="139956" stopIfTrue="1" operator="equal">
      <formula>-1</formula>
    </cfRule>
  </conditionalFormatting>
  <conditionalFormatting sqref="AV62">
    <cfRule type="cellIs" dxfId="1978" priority="139957" stopIfTrue="1" operator="lessThan">
      <formula>0.5</formula>
    </cfRule>
  </conditionalFormatting>
  <conditionalFormatting sqref="AV62">
    <cfRule type="cellIs" dxfId="1977" priority="139958" stopIfTrue="1" operator="greaterThanOrEqual">
      <formula>0.5</formula>
    </cfRule>
  </conditionalFormatting>
  <conditionalFormatting sqref="AV63">
    <cfRule type="cellIs" dxfId="1976" priority="139959" stopIfTrue="1" operator="equal">
      <formula>-1</formula>
    </cfRule>
  </conditionalFormatting>
  <conditionalFormatting sqref="AV63">
    <cfRule type="cellIs" dxfId="1975" priority="139960" stopIfTrue="1" operator="lessThan">
      <formula>0.5</formula>
    </cfRule>
  </conditionalFormatting>
  <conditionalFormatting sqref="AV63">
    <cfRule type="cellIs" dxfId="1974" priority="139961" stopIfTrue="1" operator="greaterThanOrEqual">
      <formula>0.5</formula>
    </cfRule>
  </conditionalFormatting>
  <conditionalFormatting sqref="AX60">
    <cfRule type="cellIs" dxfId="1973" priority="139962" stopIfTrue="1" operator="equal">
      <formula>-1</formula>
    </cfRule>
  </conditionalFormatting>
  <conditionalFormatting sqref="AX60">
    <cfRule type="cellIs" dxfId="1972" priority="139963" stopIfTrue="1" operator="lessThan">
      <formula>0.5</formula>
    </cfRule>
  </conditionalFormatting>
  <conditionalFormatting sqref="AX60">
    <cfRule type="cellIs" dxfId="1971" priority="139964" stopIfTrue="1" operator="greaterThanOrEqual">
      <formula>0.5</formula>
    </cfRule>
  </conditionalFormatting>
  <conditionalFormatting sqref="AX61">
    <cfRule type="cellIs" dxfId="1970" priority="139965" stopIfTrue="1" operator="equal">
      <formula>-1</formula>
    </cfRule>
  </conditionalFormatting>
  <conditionalFormatting sqref="AX61">
    <cfRule type="cellIs" dxfId="1969" priority="139966" stopIfTrue="1" operator="lessThan">
      <formula>0.5</formula>
    </cfRule>
  </conditionalFormatting>
  <conditionalFormatting sqref="AX61">
    <cfRule type="cellIs" dxfId="1968" priority="139967" stopIfTrue="1" operator="greaterThanOrEqual">
      <formula>0.5</formula>
    </cfRule>
  </conditionalFormatting>
  <conditionalFormatting sqref="AX62">
    <cfRule type="cellIs" dxfId="1967" priority="139968" stopIfTrue="1" operator="equal">
      <formula>-1</formula>
    </cfRule>
  </conditionalFormatting>
  <conditionalFormatting sqref="AX62">
    <cfRule type="cellIs" dxfId="1966" priority="139969" stopIfTrue="1" operator="lessThan">
      <formula>0.5</formula>
    </cfRule>
  </conditionalFormatting>
  <conditionalFormatting sqref="AX62">
    <cfRule type="cellIs" dxfId="1965" priority="139970" stopIfTrue="1" operator="greaterThanOrEqual">
      <formula>0.5</formula>
    </cfRule>
  </conditionalFormatting>
  <conditionalFormatting sqref="AX63">
    <cfRule type="cellIs" dxfId="1964" priority="139971" stopIfTrue="1" operator="equal">
      <formula>-1</formula>
    </cfRule>
  </conditionalFormatting>
  <conditionalFormatting sqref="AX63">
    <cfRule type="cellIs" dxfId="1963" priority="139972" stopIfTrue="1" operator="lessThan">
      <formula>0.5</formula>
    </cfRule>
  </conditionalFormatting>
  <conditionalFormatting sqref="AX63">
    <cfRule type="cellIs" dxfId="1962" priority="139973" stopIfTrue="1" operator="greaterThanOrEqual">
      <formula>0.5</formula>
    </cfRule>
  </conditionalFormatting>
  <conditionalFormatting sqref="AZ60">
    <cfRule type="cellIs" dxfId="1961" priority="139974" stopIfTrue="1" operator="equal">
      <formula>-1</formula>
    </cfRule>
  </conditionalFormatting>
  <conditionalFormatting sqref="AZ60">
    <cfRule type="cellIs" dxfId="1960" priority="139975" stopIfTrue="1" operator="lessThan">
      <formula>0.5</formula>
    </cfRule>
  </conditionalFormatting>
  <conditionalFormatting sqref="AZ60">
    <cfRule type="cellIs" dxfId="1959" priority="139976" stopIfTrue="1" operator="greaterThanOrEqual">
      <formula>0.5</formula>
    </cfRule>
  </conditionalFormatting>
  <conditionalFormatting sqref="AZ61">
    <cfRule type="cellIs" dxfId="1958" priority="139977" stopIfTrue="1" operator="equal">
      <formula>-1</formula>
    </cfRule>
  </conditionalFormatting>
  <conditionalFormatting sqref="AZ61">
    <cfRule type="cellIs" dxfId="1957" priority="139978" stopIfTrue="1" operator="lessThan">
      <formula>0.5</formula>
    </cfRule>
  </conditionalFormatting>
  <conditionalFormatting sqref="AZ61">
    <cfRule type="cellIs" dxfId="1956" priority="139979" stopIfTrue="1" operator="greaterThanOrEqual">
      <formula>0.5</formula>
    </cfRule>
  </conditionalFormatting>
  <conditionalFormatting sqref="AZ62">
    <cfRule type="cellIs" dxfId="1955" priority="139980" stopIfTrue="1" operator="equal">
      <formula>-1</formula>
    </cfRule>
  </conditionalFormatting>
  <conditionalFormatting sqref="AZ62">
    <cfRule type="cellIs" dxfId="1954" priority="139981" stopIfTrue="1" operator="lessThan">
      <formula>0.5</formula>
    </cfRule>
  </conditionalFormatting>
  <conditionalFormatting sqref="AZ62">
    <cfRule type="cellIs" dxfId="1953" priority="139982" stopIfTrue="1" operator="greaterThanOrEqual">
      <formula>0.5</formula>
    </cfRule>
  </conditionalFormatting>
  <conditionalFormatting sqref="AZ63">
    <cfRule type="cellIs" dxfId="1952" priority="139983" stopIfTrue="1" operator="equal">
      <formula>-1</formula>
    </cfRule>
  </conditionalFormatting>
  <conditionalFormatting sqref="AZ63">
    <cfRule type="cellIs" dxfId="1951" priority="139984" stopIfTrue="1" operator="lessThan">
      <formula>0.5</formula>
    </cfRule>
  </conditionalFormatting>
  <conditionalFormatting sqref="AZ63">
    <cfRule type="cellIs" dxfId="1950" priority="139985" stopIfTrue="1" operator="greaterThanOrEqual">
      <formula>0.5</formula>
    </cfRule>
  </conditionalFormatting>
  <conditionalFormatting sqref="BB60">
    <cfRule type="cellIs" dxfId="1949" priority="139986" stopIfTrue="1" operator="equal">
      <formula>-1</formula>
    </cfRule>
  </conditionalFormatting>
  <conditionalFormatting sqref="BB60">
    <cfRule type="cellIs" dxfId="1948" priority="139987" stopIfTrue="1" operator="lessThan">
      <formula>0.5</formula>
    </cfRule>
  </conditionalFormatting>
  <conditionalFormatting sqref="BB60">
    <cfRule type="cellIs" dxfId="1947" priority="139988" stopIfTrue="1" operator="greaterThanOrEqual">
      <formula>0.5</formula>
    </cfRule>
  </conditionalFormatting>
  <conditionalFormatting sqref="BB61">
    <cfRule type="cellIs" dxfId="1946" priority="139989" stopIfTrue="1" operator="equal">
      <formula>-1</formula>
    </cfRule>
  </conditionalFormatting>
  <conditionalFormatting sqref="BB61">
    <cfRule type="cellIs" dxfId="1945" priority="139990" stopIfTrue="1" operator="lessThan">
      <formula>0.5</formula>
    </cfRule>
  </conditionalFormatting>
  <conditionalFormatting sqref="BB61">
    <cfRule type="cellIs" dxfId="1944" priority="139991" stopIfTrue="1" operator="greaterThanOrEqual">
      <formula>0.5</formula>
    </cfRule>
  </conditionalFormatting>
  <conditionalFormatting sqref="BB62">
    <cfRule type="cellIs" dxfId="1943" priority="139992" stopIfTrue="1" operator="equal">
      <formula>-1</formula>
    </cfRule>
  </conditionalFormatting>
  <conditionalFormatting sqref="BB62">
    <cfRule type="cellIs" dxfId="1942" priority="139993" stopIfTrue="1" operator="lessThan">
      <formula>0.5</formula>
    </cfRule>
  </conditionalFormatting>
  <conditionalFormatting sqref="BB62">
    <cfRule type="cellIs" dxfId="1941" priority="139994" stopIfTrue="1" operator="greaterThanOrEqual">
      <formula>0.5</formula>
    </cfRule>
  </conditionalFormatting>
  <conditionalFormatting sqref="BB63">
    <cfRule type="cellIs" dxfId="1940" priority="139995" stopIfTrue="1" operator="equal">
      <formula>-1</formula>
    </cfRule>
  </conditionalFormatting>
  <conditionalFormatting sqref="BB63">
    <cfRule type="cellIs" dxfId="1939" priority="139996" stopIfTrue="1" operator="lessThan">
      <formula>0.5</formula>
    </cfRule>
  </conditionalFormatting>
  <conditionalFormatting sqref="BB63">
    <cfRule type="cellIs" dxfId="1938" priority="139997" stopIfTrue="1" operator="greaterThanOrEqual">
      <formula>0.5</formula>
    </cfRule>
  </conditionalFormatting>
  <conditionalFormatting sqref="BD60">
    <cfRule type="cellIs" dxfId="1937" priority="139998" stopIfTrue="1" operator="equal">
      <formula>-1</formula>
    </cfRule>
  </conditionalFormatting>
  <conditionalFormatting sqref="BD60">
    <cfRule type="cellIs" dxfId="1936" priority="139999" stopIfTrue="1" operator="lessThan">
      <formula>0.5</formula>
    </cfRule>
  </conditionalFormatting>
  <conditionalFormatting sqref="BD60">
    <cfRule type="cellIs" dxfId="1935" priority="140000" stopIfTrue="1" operator="greaterThanOrEqual">
      <formula>0.5</formula>
    </cfRule>
  </conditionalFormatting>
  <conditionalFormatting sqref="BD61">
    <cfRule type="cellIs" dxfId="1934" priority="140001" stopIfTrue="1" operator="equal">
      <formula>-1</formula>
    </cfRule>
  </conditionalFormatting>
  <conditionalFormatting sqref="BD61">
    <cfRule type="cellIs" dxfId="1933" priority="140002" stopIfTrue="1" operator="lessThan">
      <formula>0.5</formula>
    </cfRule>
  </conditionalFormatting>
  <conditionalFormatting sqref="BD61">
    <cfRule type="cellIs" dxfId="1932" priority="140003" stopIfTrue="1" operator="greaterThanOrEqual">
      <formula>0.5</formula>
    </cfRule>
  </conditionalFormatting>
  <conditionalFormatting sqref="BD62">
    <cfRule type="cellIs" dxfId="1931" priority="140004" stopIfTrue="1" operator="equal">
      <formula>-1</formula>
    </cfRule>
  </conditionalFormatting>
  <conditionalFormatting sqref="BD62">
    <cfRule type="cellIs" dxfId="1930" priority="140005" stopIfTrue="1" operator="lessThan">
      <formula>0.5</formula>
    </cfRule>
  </conditionalFormatting>
  <conditionalFormatting sqref="BD62">
    <cfRule type="cellIs" dxfId="1929" priority="140006" stopIfTrue="1" operator="greaterThanOrEqual">
      <formula>0.5</formula>
    </cfRule>
  </conditionalFormatting>
  <conditionalFormatting sqref="BD63">
    <cfRule type="cellIs" dxfId="1928" priority="140007" stopIfTrue="1" operator="equal">
      <formula>-1</formula>
    </cfRule>
  </conditionalFormatting>
  <conditionalFormatting sqref="BD63">
    <cfRule type="cellIs" dxfId="1927" priority="140008" stopIfTrue="1" operator="lessThan">
      <formula>0.5</formula>
    </cfRule>
  </conditionalFormatting>
  <conditionalFormatting sqref="BD63">
    <cfRule type="cellIs" dxfId="1926" priority="140009" stopIfTrue="1" operator="greaterThanOrEqual">
      <formula>0.5</formula>
    </cfRule>
  </conditionalFormatting>
  <conditionalFormatting sqref="BF60">
    <cfRule type="cellIs" dxfId="1925" priority="140010" stopIfTrue="1" operator="equal">
      <formula>-1</formula>
    </cfRule>
  </conditionalFormatting>
  <conditionalFormatting sqref="BF60">
    <cfRule type="cellIs" dxfId="1924" priority="140011" stopIfTrue="1" operator="lessThan">
      <formula>0.5</formula>
    </cfRule>
  </conditionalFormatting>
  <conditionalFormatting sqref="BF60">
    <cfRule type="cellIs" dxfId="1923" priority="140012" stopIfTrue="1" operator="greaterThanOrEqual">
      <formula>0.5</formula>
    </cfRule>
  </conditionalFormatting>
  <conditionalFormatting sqref="BF61">
    <cfRule type="cellIs" dxfId="1922" priority="140013" stopIfTrue="1" operator="equal">
      <formula>-1</formula>
    </cfRule>
  </conditionalFormatting>
  <conditionalFormatting sqref="BF61">
    <cfRule type="cellIs" dxfId="1921" priority="140014" stopIfTrue="1" operator="lessThan">
      <formula>0.5</formula>
    </cfRule>
  </conditionalFormatting>
  <conditionalFormatting sqref="BF61">
    <cfRule type="cellIs" dxfId="1920" priority="140015" stopIfTrue="1" operator="greaterThanOrEqual">
      <formula>0.5</formula>
    </cfRule>
  </conditionalFormatting>
  <conditionalFormatting sqref="BF62">
    <cfRule type="cellIs" dxfId="1919" priority="140016" stopIfTrue="1" operator="equal">
      <formula>-1</formula>
    </cfRule>
  </conditionalFormatting>
  <conditionalFormatting sqref="BF62">
    <cfRule type="cellIs" dxfId="1918" priority="140017" stopIfTrue="1" operator="lessThan">
      <formula>0.5</formula>
    </cfRule>
  </conditionalFormatting>
  <conditionalFormatting sqref="BF62">
    <cfRule type="cellIs" dxfId="1917" priority="140018" stopIfTrue="1" operator="greaterThanOrEqual">
      <formula>0.5</formula>
    </cfRule>
  </conditionalFormatting>
  <conditionalFormatting sqref="BF63">
    <cfRule type="cellIs" dxfId="1916" priority="140019" stopIfTrue="1" operator="equal">
      <formula>-1</formula>
    </cfRule>
  </conditionalFormatting>
  <conditionalFormatting sqref="BF63">
    <cfRule type="cellIs" dxfId="1915" priority="140020" stopIfTrue="1" operator="lessThan">
      <formula>0.5</formula>
    </cfRule>
  </conditionalFormatting>
  <conditionalFormatting sqref="BF63">
    <cfRule type="cellIs" dxfId="1914" priority="140021" stopIfTrue="1" operator="greaterThanOrEqual">
      <formula>0.5</formula>
    </cfRule>
  </conditionalFormatting>
  <conditionalFormatting sqref="BH60">
    <cfRule type="cellIs" dxfId="1913" priority="140022" stopIfTrue="1" operator="equal">
      <formula>-1</formula>
    </cfRule>
  </conditionalFormatting>
  <conditionalFormatting sqref="BH60">
    <cfRule type="cellIs" dxfId="1912" priority="140023" stopIfTrue="1" operator="lessThan">
      <formula>0.5</formula>
    </cfRule>
  </conditionalFormatting>
  <conditionalFormatting sqref="BH60">
    <cfRule type="cellIs" dxfId="1911" priority="140024" stopIfTrue="1" operator="greaterThanOrEqual">
      <formula>0.5</formula>
    </cfRule>
  </conditionalFormatting>
  <conditionalFormatting sqref="BH61">
    <cfRule type="cellIs" dxfId="1910" priority="140025" stopIfTrue="1" operator="equal">
      <formula>-1</formula>
    </cfRule>
  </conditionalFormatting>
  <conditionalFormatting sqref="BH61">
    <cfRule type="cellIs" dxfId="1909" priority="140026" stopIfTrue="1" operator="lessThan">
      <formula>0.5</formula>
    </cfRule>
  </conditionalFormatting>
  <conditionalFormatting sqref="BH61">
    <cfRule type="cellIs" dxfId="1908" priority="140027" stopIfTrue="1" operator="greaterThanOrEqual">
      <formula>0.5</formula>
    </cfRule>
  </conditionalFormatting>
  <conditionalFormatting sqref="BH62">
    <cfRule type="cellIs" dxfId="1907" priority="140028" stopIfTrue="1" operator="equal">
      <formula>-1</formula>
    </cfRule>
  </conditionalFormatting>
  <conditionalFormatting sqref="BH62">
    <cfRule type="cellIs" dxfId="1906" priority="140029" stopIfTrue="1" operator="lessThan">
      <formula>0.5</formula>
    </cfRule>
  </conditionalFormatting>
  <conditionalFormatting sqref="BH62">
    <cfRule type="cellIs" dxfId="1905" priority="140030" stopIfTrue="1" operator="greaterThanOrEqual">
      <formula>0.5</formula>
    </cfRule>
  </conditionalFormatting>
  <conditionalFormatting sqref="BH63">
    <cfRule type="cellIs" dxfId="1904" priority="140031" stopIfTrue="1" operator="equal">
      <formula>-1</formula>
    </cfRule>
  </conditionalFormatting>
  <conditionalFormatting sqref="BH63">
    <cfRule type="cellIs" dxfId="1903" priority="140032" stopIfTrue="1" operator="lessThan">
      <formula>0.5</formula>
    </cfRule>
  </conditionalFormatting>
  <conditionalFormatting sqref="BH63">
    <cfRule type="cellIs" dxfId="1902" priority="140033" stopIfTrue="1" operator="greaterThanOrEqual">
      <formula>0.5</formula>
    </cfRule>
  </conditionalFormatting>
  <conditionalFormatting sqref="BJ60">
    <cfRule type="cellIs" dxfId="1901" priority="140034" stopIfTrue="1" operator="equal">
      <formula>-1</formula>
    </cfRule>
  </conditionalFormatting>
  <conditionalFormatting sqref="BJ60">
    <cfRule type="cellIs" dxfId="1900" priority="140035" stopIfTrue="1" operator="lessThan">
      <formula>0.5</formula>
    </cfRule>
  </conditionalFormatting>
  <conditionalFormatting sqref="BJ60">
    <cfRule type="cellIs" dxfId="1899" priority="140036" stopIfTrue="1" operator="greaterThanOrEqual">
      <formula>0.5</formula>
    </cfRule>
  </conditionalFormatting>
  <conditionalFormatting sqref="BJ61">
    <cfRule type="cellIs" dxfId="1898" priority="140037" stopIfTrue="1" operator="equal">
      <formula>-1</formula>
    </cfRule>
  </conditionalFormatting>
  <conditionalFormatting sqref="BJ61">
    <cfRule type="cellIs" dxfId="1897" priority="140038" stopIfTrue="1" operator="lessThan">
      <formula>0.5</formula>
    </cfRule>
  </conditionalFormatting>
  <conditionalFormatting sqref="BJ61">
    <cfRule type="cellIs" dxfId="1896" priority="140039" stopIfTrue="1" operator="greaterThanOrEqual">
      <formula>0.5</formula>
    </cfRule>
  </conditionalFormatting>
  <conditionalFormatting sqref="BJ62">
    <cfRule type="cellIs" dxfId="1895" priority="140040" stopIfTrue="1" operator="equal">
      <formula>-1</formula>
    </cfRule>
  </conditionalFormatting>
  <conditionalFormatting sqref="BJ62">
    <cfRule type="cellIs" dxfId="1894" priority="140041" stopIfTrue="1" operator="lessThan">
      <formula>0.5</formula>
    </cfRule>
  </conditionalFormatting>
  <conditionalFormatting sqref="BJ62">
    <cfRule type="cellIs" dxfId="1893" priority="140042" stopIfTrue="1" operator="greaterThanOrEqual">
      <formula>0.5</formula>
    </cfRule>
  </conditionalFormatting>
  <conditionalFormatting sqref="BJ63">
    <cfRule type="cellIs" dxfId="1892" priority="140043" stopIfTrue="1" operator="equal">
      <formula>-1</formula>
    </cfRule>
  </conditionalFormatting>
  <conditionalFormatting sqref="BJ63">
    <cfRule type="cellIs" dxfId="1891" priority="140044" stopIfTrue="1" operator="lessThan">
      <formula>0.5</formula>
    </cfRule>
  </conditionalFormatting>
  <conditionalFormatting sqref="BJ63">
    <cfRule type="cellIs" dxfId="1890" priority="140045" stopIfTrue="1" operator="greaterThanOrEqual">
      <formula>0.5</formula>
    </cfRule>
  </conditionalFormatting>
  <conditionalFormatting sqref="D65">
    <cfRule type="cellIs" dxfId="1889" priority="140046" stopIfTrue="1" operator="equal">
      <formula>-1</formula>
    </cfRule>
  </conditionalFormatting>
  <conditionalFormatting sqref="D65">
    <cfRule type="cellIs" dxfId="1888" priority="140047" stopIfTrue="1" operator="lessThan">
      <formula>0.5</formula>
    </cfRule>
  </conditionalFormatting>
  <conditionalFormatting sqref="D65">
    <cfRule type="cellIs" dxfId="1887" priority="140048" stopIfTrue="1" operator="greaterThanOrEqual">
      <formula>0.5</formula>
    </cfRule>
  </conditionalFormatting>
  <conditionalFormatting sqref="D66">
    <cfRule type="cellIs" dxfId="1886" priority="140049" stopIfTrue="1" operator="equal">
      <formula>-1</formula>
    </cfRule>
  </conditionalFormatting>
  <conditionalFormatting sqref="D66">
    <cfRule type="cellIs" dxfId="1885" priority="140050" stopIfTrue="1" operator="lessThan">
      <formula>0.5</formula>
    </cfRule>
  </conditionalFormatting>
  <conditionalFormatting sqref="D66">
    <cfRule type="cellIs" dxfId="1884" priority="140051" stopIfTrue="1" operator="greaterThanOrEqual">
      <formula>0.5</formula>
    </cfRule>
  </conditionalFormatting>
  <conditionalFormatting sqref="D67">
    <cfRule type="cellIs" dxfId="1883" priority="140052" stopIfTrue="1" operator="equal">
      <formula>-1</formula>
    </cfRule>
  </conditionalFormatting>
  <conditionalFormatting sqref="D67">
    <cfRule type="cellIs" dxfId="1882" priority="140053" stopIfTrue="1" operator="lessThan">
      <formula>0.5</formula>
    </cfRule>
  </conditionalFormatting>
  <conditionalFormatting sqref="D67">
    <cfRule type="cellIs" dxfId="1881" priority="140054" stopIfTrue="1" operator="greaterThanOrEqual">
      <formula>0.5</formula>
    </cfRule>
  </conditionalFormatting>
  <conditionalFormatting sqref="D68">
    <cfRule type="cellIs" dxfId="1880" priority="140055" stopIfTrue="1" operator="equal">
      <formula>-1</formula>
    </cfRule>
  </conditionalFormatting>
  <conditionalFormatting sqref="D68">
    <cfRule type="cellIs" dxfId="1879" priority="140056" stopIfTrue="1" operator="lessThan">
      <formula>0.5</formula>
    </cfRule>
  </conditionalFormatting>
  <conditionalFormatting sqref="D68">
    <cfRule type="cellIs" dxfId="1878" priority="140057" stopIfTrue="1" operator="greaterThanOrEqual">
      <formula>0.5</formula>
    </cfRule>
  </conditionalFormatting>
  <conditionalFormatting sqref="D69">
    <cfRule type="cellIs" dxfId="1877" priority="140058" stopIfTrue="1" operator="equal">
      <formula>-1</formula>
    </cfRule>
  </conditionalFormatting>
  <conditionalFormatting sqref="D69">
    <cfRule type="cellIs" dxfId="1876" priority="140059" stopIfTrue="1" operator="lessThan">
      <formula>0.5</formula>
    </cfRule>
  </conditionalFormatting>
  <conditionalFormatting sqref="D69">
    <cfRule type="cellIs" dxfId="1875" priority="140060" stopIfTrue="1" operator="greaterThanOrEqual">
      <formula>0.5</formula>
    </cfRule>
  </conditionalFormatting>
  <conditionalFormatting sqref="D70">
    <cfRule type="cellIs" dxfId="1874" priority="140061" stopIfTrue="1" operator="equal">
      <formula>-1</formula>
    </cfRule>
  </conditionalFormatting>
  <conditionalFormatting sqref="D70">
    <cfRule type="cellIs" dxfId="1873" priority="140062" stopIfTrue="1" operator="lessThan">
      <formula>0.5</formula>
    </cfRule>
  </conditionalFormatting>
  <conditionalFormatting sqref="D70">
    <cfRule type="cellIs" dxfId="1872" priority="140063" stopIfTrue="1" operator="greaterThanOrEqual">
      <formula>0.5</formula>
    </cfRule>
  </conditionalFormatting>
  <conditionalFormatting sqref="D71">
    <cfRule type="cellIs" dxfId="1871" priority="140064" stopIfTrue="1" operator="equal">
      <formula>-1</formula>
    </cfRule>
  </conditionalFormatting>
  <conditionalFormatting sqref="D71">
    <cfRule type="cellIs" dxfId="1870" priority="140065" stopIfTrue="1" operator="lessThan">
      <formula>0.5</formula>
    </cfRule>
  </conditionalFormatting>
  <conditionalFormatting sqref="D71">
    <cfRule type="cellIs" dxfId="1869" priority="140066" stopIfTrue="1" operator="greaterThanOrEqual">
      <formula>0.5</formula>
    </cfRule>
  </conditionalFormatting>
  <conditionalFormatting sqref="D72">
    <cfRule type="cellIs" dxfId="1868" priority="140067" stopIfTrue="1" operator="equal">
      <formula>-1</formula>
    </cfRule>
  </conditionalFormatting>
  <conditionalFormatting sqref="D72">
    <cfRule type="cellIs" dxfId="1867" priority="140068" stopIfTrue="1" operator="lessThan">
      <formula>0.5</formula>
    </cfRule>
  </conditionalFormatting>
  <conditionalFormatting sqref="D72">
    <cfRule type="cellIs" dxfId="1866" priority="140069" stopIfTrue="1" operator="greaterThanOrEqual">
      <formula>0.5</formula>
    </cfRule>
  </conditionalFormatting>
  <conditionalFormatting sqref="D73">
    <cfRule type="cellIs" dxfId="1865" priority="140070" stopIfTrue="1" operator="equal">
      <formula>-1</formula>
    </cfRule>
  </conditionalFormatting>
  <conditionalFormatting sqref="D73">
    <cfRule type="cellIs" dxfId="1864" priority="140071" stopIfTrue="1" operator="lessThan">
      <formula>0.5</formula>
    </cfRule>
  </conditionalFormatting>
  <conditionalFormatting sqref="D73">
    <cfRule type="cellIs" dxfId="1863" priority="140072" stopIfTrue="1" operator="greaterThanOrEqual">
      <formula>0.5</formula>
    </cfRule>
  </conditionalFormatting>
  <conditionalFormatting sqref="D74">
    <cfRule type="cellIs" dxfId="1862" priority="140073" stopIfTrue="1" operator="equal">
      <formula>-1</formula>
    </cfRule>
  </conditionalFormatting>
  <conditionalFormatting sqref="D74">
    <cfRule type="cellIs" dxfId="1861" priority="140074" stopIfTrue="1" operator="lessThan">
      <formula>0.5</formula>
    </cfRule>
  </conditionalFormatting>
  <conditionalFormatting sqref="D74">
    <cfRule type="cellIs" dxfId="1860" priority="140075" stopIfTrue="1" operator="greaterThanOrEqual">
      <formula>0.5</formula>
    </cfRule>
  </conditionalFormatting>
  <conditionalFormatting sqref="D75">
    <cfRule type="cellIs" dxfId="1859" priority="140076" stopIfTrue="1" operator="equal">
      <formula>-1</formula>
    </cfRule>
  </conditionalFormatting>
  <conditionalFormatting sqref="D75">
    <cfRule type="cellIs" dxfId="1858" priority="140077" stopIfTrue="1" operator="lessThan">
      <formula>0.5</formula>
    </cfRule>
  </conditionalFormatting>
  <conditionalFormatting sqref="D75">
    <cfRule type="cellIs" dxfId="1857" priority="140078" stopIfTrue="1" operator="greaterThanOrEqual">
      <formula>0.5</formula>
    </cfRule>
  </conditionalFormatting>
  <conditionalFormatting sqref="D76">
    <cfRule type="cellIs" dxfId="1856" priority="140079" stopIfTrue="1" operator="equal">
      <formula>-1</formula>
    </cfRule>
  </conditionalFormatting>
  <conditionalFormatting sqref="D76">
    <cfRule type="cellIs" dxfId="1855" priority="140080" stopIfTrue="1" operator="lessThan">
      <formula>0.5</formula>
    </cfRule>
  </conditionalFormatting>
  <conditionalFormatting sqref="D76">
    <cfRule type="cellIs" dxfId="1854" priority="140081" stopIfTrue="1" operator="greaterThanOrEqual">
      <formula>0.5</formula>
    </cfRule>
  </conditionalFormatting>
  <conditionalFormatting sqref="D77">
    <cfRule type="cellIs" dxfId="1853" priority="140082" stopIfTrue="1" operator="equal">
      <formula>-1</formula>
    </cfRule>
  </conditionalFormatting>
  <conditionalFormatting sqref="D77">
    <cfRule type="cellIs" dxfId="1852" priority="140083" stopIfTrue="1" operator="lessThan">
      <formula>0.5</formula>
    </cfRule>
  </conditionalFormatting>
  <conditionalFormatting sqref="D77">
    <cfRule type="cellIs" dxfId="1851" priority="140084" stopIfTrue="1" operator="greaterThanOrEqual">
      <formula>0.5</formula>
    </cfRule>
  </conditionalFormatting>
  <conditionalFormatting sqref="D78">
    <cfRule type="cellIs" dxfId="1850" priority="140085" stopIfTrue="1" operator="equal">
      <formula>-1</formula>
    </cfRule>
  </conditionalFormatting>
  <conditionalFormatting sqref="D78">
    <cfRule type="cellIs" dxfId="1849" priority="140086" stopIfTrue="1" operator="lessThan">
      <formula>0.5</formula>
    </cfRule>
  </conditionalFormatting>
  <conditionalFormatting sqref="D78">
    <cfRule type="cellIs" dxfId="1848" priority="140087" stopIfTrue="1" operator="greaterThanOrEqual">
      <formula>0.5</formula>
    </cfRule>
  </conditionalFormatting>
  <conditionalFormatting sqref="D79">
    <cfRule type="cellIs" dxfId="1847" priority="140088" stopIfTrue="1" operator="equal">
      <formula>-1</formula>
    </cfRule>
  </conditionalFormatting>
  <conditionalFormatting sqref="D79">
    <cfRule type="cellIs" dxfId="1846" priority="140089" stopIfTrue="1" operator="lessThan">
      <formula>0.5</formula>
    </cfRule>
  </conditionalFormatting>
  <conditionalFormatting sqref="D79">
    <cfRule type="cellIs" dxfId="1845" priority="140090" stopIfTrue="1" operator="greaterThanOrEqual">
      <formula>0.5</formula>
    </cfRule>
  </conditionalFormatting>
  <conditionalFormatting sqref="D80">
    <cfRule type="cellIs" dxfId="1844" priority="140091" stopIfTrue="1" operator="equal">
      <formula>-1</formula>
    </cfRule>
  </conditionalFormatting>
  <conditionalFormatting sqref="D80">
    <cfRule type="cellIs" dxfId="1843" priority="140092" stopIfTrue="1" operator="lessThan">
      <formula>0.5</formula>
    </cfRule>
  </conditionalFormatting>
  <conditionalFormatting sqref="D80">
    <cfRule type="cellIs" dxfId="1842" priority="140093" stopIfTrue="1" operator="greaterThanOrEqual">
      <formula>0.5</formula>
    </cfRule>
  </conditionalFormatting>
  <conditionalFormatting sqref="D81">
    <cfRule type="cellIs" dxfId="1841" priority="140094" stopIfTrue="1" operator="equal">
      <formula>-1</formula>
    </cfRule>
  </conditionalFormatting>
  <conditionalFormatting sqref="D81">
    <cfRule type="cellIs" dxfId="1840" priority="140095" stopIfTrue="1" operator="lessThan">
      <formula>0.5</formula>
    </cfRule>
  </conditionalFormatting>
  <conditionalFormatting sqref="D81">
    <cfRule type="cellIs" dxfId="1839" priority="140096" stopIfTrue="1" operator="greaterThanOrEqual">
      <formula>0.5</formula>
    </cfRule>
  </conditionalFormatting>
  <conditionalFormatting sqref="D82">
    <cfRule type="cellIs" dxfId="1838" priority="140097" stopIfTrue="1" operator="equal">
      <formula>-1</formula>
    </cfRule>
  </conditionalFormatting>
  <conditionalFormatting sqref="D82">
    <cfRule type="cellIs" dxfId="1837" priority="140098" stopIfTrue="1" operator="lessThan">
      <formula>0.5</formula>
    </cfRule>
  </conditionalFormatting>
  <conditionalFormatting sqref="D82">
    <cfRule type="cellIs" dxfId="1836" priority="140099" stopIfTrue="1" operator="greaterThanOrEqual">
      <formula>0.5</formula>
    </cfRule>
  </conditionalFormatting>
  <conditionalFormatting sqref="D83">
    <cfRule type="cellIs" dxfId="1835" priority="140100" stopIfTrue="1" operator="equal">
      <formula>-1</formula>
    </cfRule>
  </conditionalFormatting>
  <conditionalFormatting sqref="D83">
    <cfRule type="cellIs" dxfId="1834" priority="140101" stopIfTrue="1" operator="lessThan">
      <formula>0.5</formula>
    </cfRule>
  </conditionalFormatting>
  <conditionalFormatting sqref="D83">
    <cfRule type="cellIs" dxfId="1833" priority="140102" stopIfTrue="1" operator="greaterThanOrEqual">
      <formula>0.5</formula>
    </cfRule>
  </conditionalFormatting>
  <conditionalFormatting sqref="D84">
    <cfRule type="cellIs" dxfId="1832" priority="140103" stopIfTrue="1" operator="equal">
      <formula>-1</formula>
    </cfRule>
  </conditionalFormatting>
  <conditionalFormatting sqref="D84">
    <cfRule type="cellIs" dxfId="1831" priority="140104" stopIfTrue="1" operator="lessThan">
      <formula>0.5</formula>
    </cfRule>
  </conditionalFormatting>
  <conditionalFormatting sqref="D84">
    <cfRule type="cellIs" dxfId="1830" priority="140105" stopIfTrue="1" operator="greaterThanOrEqual">
      <formula>0.5</formula>
    </cfRule>
  </conditionalFormatting>
  <conditionalFormatting sqref="D85">
    <cfRule type="cellIs" dxfId="1829" priority="140106" stopIfTrue="1" operator="equal">
      <formula>-1</formula>
    </cfRule>
  </conditionalFormatting>
  <conditionalFormatting sqref="D85">
    <cfRule type="cellIs" dxfId="1828" priority="140107" stopIfTrue="1" operator="lessThan">
      <formula>0.5</formula>
    </cfRule>
  </conditionalFormatting>
  <conditionalFormatting sqref="D85">
    <cfRule type="cellIs" dxfId="1827" priority="140108" stopIfTrue="1" operator="greaterThanOrEqual">
      <formula>0.5</formula>
    </cfRule>
  </conditionalFormatting>
  <conditionalFormatting sqref="F65">
    <cfRule type="cellIs" dxfId="1826" priority="140109" stopIfTrue="1" operator="equal">
      <formula>-1</formula>
    </cfRule>
  </conditionalFormatting>
  <conditionalFormatting sqref="F65">
    <cfRule type="cellIs" dxfId="1825" priority="140110" stopIfTrue="1" operator="lessThan">
      <formula>0.5</formula>
    </cfRule>
  </conditionalFormatting>
  <conditionalFormatting sqref="F65">
    <cfRule type="cellIs" dxfId="1824" priority="140111" stopIfTrue="1" operator="greaterThanOrEqual">
      <formula>0.5</formula>
    </cfRule>
  </conditionalFormatting>
  <conditionalFormatting sqref="F66">
    <cfRule type="cellIs" dxfId="1823" priority="140112" stopIfTrue="1" operator="equal">
      <formula>-1</formula>
    </cfRule>
  </conditionalFormatting>
  <conditionalFormatting sqref="F66">
    <cfRule type="cellIs" dxfId="1822" priority="140113" stopIfTrue="1" operator="lessThan">
      <formula>0.5</formula>
    </cfRule>
  </conditionalFormatting>
  <conditionalFormatting sqref="F66">
    <cfRule type="cellIs" dxfId="1821" priority="140114" stopIfTrue="1" operator="greaterThanOrEqual">
      <formula>0.5</formula>
    </cfRule>
  </conditionalFormatting>
  <conditionalFormatting sqref="F67">
    <cfRule type="cellIs" dxfId="1820" priority="140115" stopIfTrue="1" operator="equal">
      <formula>-1</formula>
    </cfRule>
  </conditionalFormatting>
  <conditionalFormatting sqref="F67">
    <cfRule type="cellIs" dxfId="1819" priority="140116" stopIfTrue="1" operator="lessThan">
      <formula>0.5</formula>
    </cfRule>
  </conditionalFormatting>
  <conditionalFormatting sqref="F67">
    <cfRule type="cellIs" dxfId="1818" priority="140117" stopIfTrue="1" operator="greaterThanOrEqual">
      <formula>0.5</formula>
    </cfRule>
  </conditionalFormatting>
  <conditionalFormatting sqref="F68">
    <cfRule type="cellIs" dxfId="1817" priority="140118" stopIfTrue="1" operator="equal">
      <formula>-1</formula>
    </cfRule>
  </conditionalFormatting>
  <conditionalFormatting sqref="F68">
    <cfRule type="cellIs" dxfId="1816" priority="140119" stopIfTrue="1" operator="lessThan">
      <formula>0.5</formula>
    </cfRule>
  </conditionalFormatting>
  <conditionalFormatting sqref="F68">
    <cfRule type="cellIs" dxfId="1815" priority="140120" stopIfTrue="1" operator="greaterThanOrEqual">
      <formula>0.5</formula>
    </cfRule>
  </conditionalFormatting>
  <conditionalFormatting sqref="F69">
    <cfRule type="cellIs" dxfId="1814" priority="140121" stopIfTrue="1" operator="equal">
      <formula>-1</formula>
    </cfRule>
  </conditionalFormatting>
  <conditionalFormatting sqref="F69">
    <cfRule type="cellIs" dxfId="1813" priority="140122" stopIfTrue="1" operator="lessThan">
      <formula>0.5</formula>
    </cfRule>
  </conditionalFormatting>
  <conditionalFormatting sqref="F69">
    <cfRule type="cellIs" dxfId="1812" priority="140123" stopIfTrue="1" operator="greaterThanOrEqual">
      <formula>0.5</formula>
    </cfRule>
  </conditionalFormatting>
  <conditionalFormatting sqref="F70">
    <cfRule type="cellIs" dxfId="1811" priority="140124" stopIfTrue="1" operator="equal">
      <formula>-1</formula>
    </cfRule>
  </conditionalFormatting>
  <conditionalFormatting sqref="F70">
    <cfRule type="cellIs" dxfId="1810" priority="140125" stopIfTrue="1" operator="lessThan">
      <formula>0.5</formula>
    </cfRule>
  </conditionalFormatting>
  <conditionalFormatting sqref="F70">
    <cfRule type="cellIs" dxfId="1809" priority="140126" stopIfTrue="1" operator="greaterThanOrEqual">
      <formula>0.5</formula>
    </cfRule>
  </conditionalFormatting>
  <conditionalFormatting sqref="F71">
    <cfRule type="cellIs" dxfId="1808" priority="140127" stopIfTrue="1" operator="equal">
      <formula>-1</formula>
    </cfRule>
  </conditionalFormatting>
  <conditionalFormatting sqref="F71">
    <cfRule type="cellIs" dxfId="1807" priority="140128" stopIfTrue="1" operator="lessThan">
      <formula>0.5</formula>
    </cfRule>
  </conditionalFormatting>
  <conditionalFormatting sqref="F71">
    <cfRule type="cellIs" dxfId="1806" priority="140129" stopIfTrue="1" operator="greaterThanOrEqual">
      <formula>0.5</formula>
    </cfRule>
  </conditionalFormatting>
  <conditionalFormatting sqref="F72">
    <cfRule type="cellIs" dxfId="1805" priority="140130" stopIfTrue="1" operator="equal">
      <formula>-1</formula>
    </cfRule>
  </conditionalFormatting>
  <conditionalFormatting sqref="F72">
    <cfRule type="cellIs" dxfId="1804" priority="140131" stopIfTrue="1" operator="lessThan">
      <formula>0.5</formula>
    </cfRule>
  </conditionalFormatting>
  <conditionalFormatting sqref="F72">
    <cfRule type="cellIs" dxfId="1803" priority="140132" stopIfTrue="1" operator="greaterThanOrEqual">
      <formula>0.5</formula>
    </cfRule>
  </conditionalFormatting>
  <conditionalFormatting sqref="F73">
    <cfRule type="cellIs" dxfId="1802" priority="140133" stopIfTrue="1" operator="equal">
      <formula>-1</formula>
    </cfRule>
  </conditionalFormatting>
  <conditionalFormatting sqref="F73">
    <cfRule type="cellIs" dxfId="1801" priority="140134" stopIfTrue="1" operator="lessThan">
      <formula>0.5</formula>
    </cfRule>
  </conditionalFormatting>
  <conditionalFormatting sqref="F73">
    <cfRule type="cellIs" dxfId="1800" priority="140135" stopIfTrue="1" operator="greaterThanOrEqual">
      <formula>0.5</formula>
    </cfRule>
  </conditionalFormatting>
  <conditionalFormatting sqref="F74">
    <cfRule type="cellIs" dxfId="1799" priority="140136" stopIfTrue="1" operator="equal">
      <formula>-1</formula>
    </cfRule>
  </conditionalFormatting>
  <conditionalFormatting sqref="F74">
    <cfRule type="cellIs" dxfId="1798" priority="140137" stopIfTrue="1" operator="lessThan">
      <formula>0.5</formula>
    </cfRule>
  </conditionalFormatting>
  <conditionalFormatting sqref="F74">
    <cfRule type="cellIs" dxfId="1797" priority="140138" stopIfTrue="1" operator="greaterThanOrEqual">
      <formula>0.5</formula>
    </cfRule>
  </conditionalFormatting>
  <conditionalFormatting sqref="F75">
    <cfRule type="cellIs" dxfId="1796" priority="140139" stopIfTrue="1" operator="equal">
      <formula>-1</formula>
    </cfRule>
  </conditionalFormatting>
  <conditionalFormatting sqref="F75">
    <cfRule type="cellIs" dxfId="1795" priority="140140" stopIfTrue="1" operator="lessThan">
      <formula>0.5</formula>
    </cfRule>
  </conditionalFormatting>
  <conditionalFormatting sqref="F75">
    <cfRule type="cellIs" dxfId="1794" priority="140141" stopIfTrue="1" operator="greaterThanOrEqual">
      <formula>0.5</formula>
    </cfRule>
  </conditionalFormatting>
  <conditionalFormatting sqref="F76">
    <cfRule type="cellIs" dxfId="1793" priority="140142" stopIfTrue="1" operator="equal">
      <formula>-1</formula>
    </cfRule>
  </conditionalFormatting>
  <conditionalFormatting sqref="F76">
    <cfRule type="cellIs" dxfId="1792" priority="140143" stopIfTrue="1" operator="lessThan">
      <formula>0.5</formula>
    </cfRule>
  </conditionalFormatting>
  <conditionalFormatting sqref="F76">
    <cfRule type="cellIs" dxfId="1791" priority="140144" stopIfTrue="1" operator="greaterThanOrEqual">
      <formula>0.5</formula>
    </cfRule>
  </conditionalFormatting>
  <conditionalFormatting sqref="F77">
    <cfRule type="cellIs" dxfId="1790" priority="140145" stopIfTrue="1" operator="equal">
      <formula>-1</formula>
    </cfRule>
  </conditionalFormatting>
  <conditionalFormatting sqref="F77">
    <cfRule type="cellIs" dxfId="1789" priority="140146" stopIfTrue="1" operator="lessThan">
      <formula>0.5</formula>
    </cfRule>
  </conditionalFormatting>
  <conditionalFormatting sqref="F77">
    <cfRule type="cellIs" dxfId="1788" priority="140147" stopIfTrue="1" operator="greaterThanOrEqual">
      <formula>0.5</formula>
    </cfRule>
  </conditionalFormatting>
  <conditionalFormatting sqref="F78">
    <cfRule type="cellIs" dxfId="1787" priority="140148" stopIfTrue="1" operator="equal">
      <formula>-1</formula>
    </cfRule>
  </conditionalFormatting>
  <conditionalFormatting sqref="F78">
    <cfRule type="cellIs" dxfId="1786" priority="140149" stopIfTrue="1" operator="lessThan">
      <formula>0.5</formula>
    </cfRule>
  </conditionalFormatting>
  <conditionalFormatting sqref="F78">
    <cfRule type="cellIs" dxfId="1785" priority="140150" stopIfTrue="1" operator="greaterThanOrEqual">
      <formula>0.5</formula>
    </cfRule>
  </conditionalFormatting>
  <conditionalFormatting sqref="F79">
    <cfRule type="cellIs" dxfId="1784" priority="140151" stopIfTrue="1" operator="equal">
      <formula>-1</formula>
    </cfRule>
  </conditionalFormatting>
  <conditionalFormatting sqref="F79">
    <cfRule type="cellIs" dxfId="1783" priority="140152" stopIfTrue="1" operator="lessThan">
      <formula>0.5</formula>
    </cfRule>
  </conditionalFormatting>
  <conditionalFormatting sqref="F79">
    <cfRule type="cellIs" dxfId="1782" priority="140153" stopIfTrue="1" operator="greaterThanOrEqual">
      <formula>0.5</formula>
    </cfRule>
  </conditionalFormatting>
  <conditionalFormatting sqref="F80">
    <cfRule type="cellIs" dxfId="1781" priority="140154" stopIfTrue="1" operator="equal">
      <formula>-1</formula>
    </cfRule>
  </conditionalFormatting>
  <conditionalFormatting sqref="F80">
    <cfRule type="cellIs" dxfId="1780" priority="140155" stopIfTrue="1" operator="lessThan">
      <formula>0.5</formula>
    </cfRule>
  </conditionalFormatting>
  <conditionalFormatting sqref="F80">
    <cfRule type="cellIs" dxfId="1779" priority="140156" stopIfTrue="1" operator="greaterThanOrEqual">
      <formula>0.5</formula>
    </cfRule>
  </conditionalFormatting>
  <conditionalFormatting sqref="F81">
    <cfRule type="cellIs" dxfId="1778" priority="140157" stopIfTrue="1" operator="equal">
      <formula>-1</formula>
    </cfRule>
  </conditionalFormatting>
  <conditionalFormatting sqref="F81">
    <cfRule type="cellIs" dxfId="1777" priority="140158" stopIfTrue="1" operator="lessThan">
      <formula>0.5</formula>
    </cfRule>
  </conditionalFormatting>
  <conditionalFormatting sqref="F81">
    <cfRule type="cellIs" dxfId="1776" priority="140159" stopIfTrue="1" operator="greaterThanOrEqual">
      <formula>0.5</formula>
    </cfRule>
  </conditionalFormatting>
  <conditionalFormatting sqref="F82">
    <cfRule type="cellIs" dxfId="1775" priority="140160" stopIfTrue="1" operator="equal">
      <formula>-1</formula>
    </cfRule>
  </conditionalFormatting>
  <conditionalFormatting sqref="F82">
    <cfRule type="cellIs" dxfId="1774" priority="140161" stopIfTrue="1" operator="lessThan">
      <formula>0.5</formula>
    </cfRule>
  </conditionalFormatting>
  <conditionalFormatting sqref="F82">
    <cfRule type="cellIs" dxfId="1773" priority="140162" stopIfTrue="1" operator="greaterThanOrEqual">
      <formula>0.5</formula>
    </cfRule>
  </conditionalFormatting>
  <conditionalFormatting sqref="F83">
    <cfRule type="cellIs" dxfId="1772" priority="140163" stopIfTrue="1" operator="equal">
      <formula>-1</formula>
    </cfRule>
  </conditionalFormatting>
  <conditionalFormatting sqref="F83">
    <cfRule type="cellIs" dxfId="1771" priority="140164" stopIfTrue="1" operator="lessThan">
      <formula>0.5</formula>
    </cfRule>
  </conditionalFormatting>
  <conditionalFormatting sqref="F83">
    <cfRule type="cellIs" dxfId="1770" priority="140165" stopIfTrue="1" operator="greaterThanOrEqual">
      <formula>0.5</formula>
    </cfRule>
  </conditionalFormatting>
  <conditionalFormatting sqref="F84">
    <cfRule type="cellIs" dxfId="1769" priority="140166" stopIfTrue="1" operator="equal">
      <formula>-1</formula>
    </cfRule>
  </conditionalFormatting>
  <conditionalFormatting sqref="F84">
    <cfRule type="cellIs" dxfId="1768" priority="140167" stopIfTrue="1" operator="lessThan">
      <formula>0.5</formula>
    </cfRule>
  </conditionalFormatting>
  <conditionalFormatting sqref="F84">
    <cfRule type="cellIs" dxfId="1767" priority="140168" stopIfTrue="1" operator="greaterThanOrEqual">
      <formula>0.5</formula>
    </cfRule>
  </conditionalFormatting>
  <conditionalFormatting sqref="F85">
    <cfRule type="cellIs" dxfId="1766" priority="140169" stopIfTrue="1" operator="equal">
      <formula>-1</formula>
    </cfRule>
  </conditionalFormatting>
  <conditionalFormatting sqref="F85">
    <cfRule type="cellIs" dxfId="1765" priority="140170" stopIfTrue="1" operator="lessThan">
      <formula>0.5</formula>
    </cfRule>
  </conditionalFormatting>
  <conditionalFormatting sqref="F85">
    <cfRule type="cellIs" dxfId="1764" priority="140171" stopIfTrue="1" operator="greaterThanOrEqual">
      <formula>0.5</formula>
    </cfRule>
  </conditionalFormatting>
  <conditionalFormatting sqref="H65">
    <cfRule type="cellIs" dxfId="1763" priority="140172" stopIfTrue="1" operator="equal">
      <formula>-1</formula>
    </cfRule>
  </conditionalFormatting>
  <conditionalFormatting sqref="H65">
    <cfRule type="cellIs" dxfId="1762" priority="140173" stopIfTrue="1" operator="lessThan">
      <formula>0.5</formula>
    </cfRule>
  </conditionalFormatting>
  <conditionalFormatting sqref="H65">
    <cfRule type="cellIs" dxfId="1761" priority="140174" stopIfTrue="1" operator="greaterThanOrEqual">
      <formula>0.5</formula>
    </cfRule>
  </conditionalFormatting>
  <conditionalFormatting sqref="H66">
    <cfRule type="cellIs" dxfId="1760" priority="140175" stopIfTrue="1" operator="equal">
      <formula>-1</formula>
    </cfRule>
  </conditionalFormatting>
  <conditionalFormatting sqref="H66">
    <cfRule type="cellIs" dxfId="1759" priority="140176" stopIfTrue="1" operator="lessThan">
      <formula>0.5</formula>
    </cfRule>
  </conditionalFormatting>
  <conditionalFormatting sqref="H66">
    <cfRule type="cellIs" dxfId="1758" priority="140177" stopIfTrue="1" operator="greaterThanOrEqual">
      <formula>0.5</formula>
    </cfRule>
  </conditionalFormatting>
  <conditionalFormatting sqref="H67">
    <cfRule type="cellIs" dxfId="1757" priority="140178" stopIfTrue="1" operator="equal">
      <formula>-1</formula>
    </cfRule>
  </conditionalFormatting>
  <conditionalFormatting sqref="H67">
    <cfRule type="cellIs" dxfId="1756" priority="140179" stopIfTrue="1" operator="lessThan">
      <formula>0.5</formula>
    </cfRule>
  </conditionalFormatting>
  <conditionalFormatting sqref="H67">
    <cfRule type="cellIs" dxfId="1755" priority="140180" stopIfTrue="1" operator="greaterThanOrEqual">
      <formula>0.5</formula>
    </cfRule>
  </conditionalFormatting>
  <conditionalFormatting sqref="H68">
    <cfRule type="cellIs" dxfId="1754" priority="140181" stopIfTrue="1" operator="equal">
      <formula>-1</formula>
    </cfRule>
  </conditionalFormatting>
  <conditionalFormatting sqref="H68">
    <cfRule type="cellIs" dxfId="1753" priority="140182" stopIfTrue="1" operator="lessThan">
      <formula>0.5</formula>
    </cfRule>
  </conditionalFormatting>
  <conditionalFormatting sqref="H68">
    <cfRule type="cellIs" dxfId="1752" priority="140183" stopIfTrue="1" operator="greaterThanOrEqual">
      <formula>0.5</formula>
    </cfRule>
  </conditionalFormatting>
  <conditionalFormatting sqref="H69">
    <cfRule type="cellIs" dxfId="1751" priority="140184" stopIfTrue="1" operator="equal">
      <formula>-1</formula>
    </cfRule>
  </conditionalFormatting>
  <conditionalFormatting sqref="H69">
    <cfRule type="cellIs" dxfId="1750" priority="140185" stopIfTrue="1" operator="lessThan">
      <formula>0.5</formula>
    </cfRule>
  </conditionalFormatting>
  <conditionalFormatting sqref="H69">
    <cfRule type="cellIs" dxfId="1749" priority="140186" stopIfTrue="1" operator="greaterThanOrEqual">
      <formula>0.5</formula>
    </cfRule>
  </conditionalFormatting>
  <conditionalFormatting sqref="H70">
    <cfRule type="cellIs" dxfId="1748" priority="140187" stopIfTrue="1" operator="equal">
      <formula>-1</formula>
    </cfRule>
  </conditionalFormatting>
  <conditionalFormatting sqref="H70">
    <cfRule type="cellIs" dxfId="1747" priority="140188" stopIfTrue="1" operator="lessThan">
      <formula>0.5</formula>
    </cfRule>
  </conditionalFormatting>
  <conditionalFormatting sqref="H70">
    <cfRule type="cellIs" dxfId="1746" priority="140189" stopIfTrue="1" operator="greaterThanOrEqual">
      <formula>0.5</formula>
    </cfRule>
  </conditionalFormatting>
  <conditionalFormatting sqref="H71">
    <cfRule type="cellIs" dxfId="1745" priority="140190" stopIfTrue="1" operator="equal">
      <formula>-1</formula>
    </cfRule>
  </conditionalFormatting>
  <conditionalFormatting sqref="H71">
    <cfRule type="cellIs" dxfId="1744" priority="140191" stopIfTrue="1" operator="lessThan">
      <formula>0.5</formula>
    </cfRule>
  </conditionalFormatting>
  <conditionalFormatting sqref="H71">
    <cfRule type="cellIs" dxfId="1743" priority="140192" stopIfTrue="1" operator="greaterThanOrEqual">
      <formula>0.5</formula>
    </cfRule>
  </conditionalFormatting>
  <conditionalFormatting sqref="H72">
    <cfRule type="cellIs" dxfId="1742" priority="140193" stopIfTrue="1" operator="equal">
      <formula>-1</formula>
    </cfRule>
  </conditionalFormatting>
  <conditionalFormatting sqref="H72">
    <cfRule type="cellIs" dxfId="1741" priority="140194" stopIfTrue="1" operator="lessThan">
      <formula>0.5</formula>
    </cfRule>
  </conditionalFormatting>
  <conditionalFormatting sqref="H72">
    <cfRule type="cellIs" dxfId="1740" priority="140195" stopIfTrue="1" operator="greaterThanOrEqual">
      <formula>0.5</formula>
    </cfRule>
  </conditionalFormatting>
  <conditionalFormatting sqref="H73">
    <cfRule type="cellIs" dxfId="1739" priority="140196" stopIfTrue="1" operator="equal">
      <formula>-1</formula>
    </cfRule>
  </conditionalFormatting>
  <conditionalFormatting sqref="H73">
    <cfRule type="cellIs" dxfId="1738" priority="140197" stopIfTrue="1" operator="lessThan">
      <formula>0.5</formula>
    </cfRule>
  </conditionalFormatting>
  <conditionalFormatting sqref="H73">
    <cfRule type="cellIs" dxfId="1737" priority="140198" stopIfTrue="1" operator="greaterThanOrEqual">
      <formula>0.5</formula>
    </cfRule>
  </conditionalFormatting>
  <conditionalFormatting sqref="H74">
    <cfRule type="cellIs" dxfId="1736" priority="140199" stopIfTrue="1" operator="equal">
      <formula>-1</formula>
    </cfRule>
  </conditionalFormatting>
  <conditionalFormatting sqref="H74">
    <cfRule type="cellIs" dxfId="1735" priority="140200" stopIfTrue="1" operator="lessThan">
      <formula>0.5</formula>
    </cfRule>
  </conditionalFormatting>
  <conditionalFormatting sqref="H74">
    <cfRule type="cellIs" dxfId="1734" priority="140201" stopIfTrue="1" operator="greaterThanOrEqual">
      <formula>0.5</formula>
    </cfRule>
  </conditionalFormatting>
  <conditionalFormatting sqref="H75">
    <cfRule type="cellIs" dxfId="1733" priority="140202" stopIfTrue="1" operator="equal">
      <formula>-1</formula>
    </cfRule>
  </conditionalFormatting>
  <conditionalFormatting sqref="H75">
    <cfRule type="cellIs" dxfId="1732" priority="140203" stopIfTrue="1" operator="lessThan">
      <formula>0.5</formula>
    </cfRule>
  </conditionalFormatting>
  <conditionalFormatting sqref="H75">
    <cfRule type="cellIs" dxfId="1731" priority="140204" stopIfTrue="1" operator="greaterThanOrEqual">
      <formula>0.5</formula>
    </cfRule>
  </conditionalFormatting>
  <conditionalFormatting sqref="H76">
    <cfRule type="cellIs" dxfId="1730" priority="140205" stopIfTrue="1" operator="equal">
      <formula>-1</formula>
    </cfRule>
  </conditionalFormatting>
  <conditionalFormatting sqref="H76">
    <cfRule type="cellIs" dxfId="1729" priority="140206" stopIfTrue="1" operator="lessThan">
      <formula>0.5</formula>
    </cfRule>
  </conditionalFormatting>
  <conditionalFormatting sqref="H76">
    <cfRule type="cellIs" dxfId="1728" priority="140207" stopIfTrue="1" operator="greaterThanOrEqual">
      <formula>0.5</formula>
    </cfRule>
  </conditionalFormatting>
  <conditionalFormatting sqref="H77">
    <cfRule type="cellIs" dxfId="1727" priority="140208" stopIfTrue="1" operator="equal">
      <formula>-1</formula>
    </cfRule>
  </conditionalFormatting>
  <conditionalFormatting sqref="H77">
    <cfRule type="cellIs" dxfId="1726" priority="140209" stopIfTrue="1" operator="lessThan">
      <formula>0.5</formula>
    </cfRule>
  </conditionalFormatting>
  <conditionalFormatting sqref="H77">
    <cfRule type="cellIs" dxfId="1725" priority="140210" stopIfTrue="1" operator="greaterThanOrEqual">
      <formula>0.5</formula>
    </cfRule>
  </conditionalFormatting>
  <conditionalFormatting sqref="H78">
    <cfRule type="cellIs" dxfId="1724" priority="140211" stopIfTrue="1" operator="equal">
      <formula>-1</formula>
    </cfRule>
  </conditionalFormatting>
  <conditionalFormatting sqref="H78">
    <cfRule type="cellIs" dxfId="1723" priority="140212" stopIfTrue="1" operator="lessThan">
      <formula>0.5</formula>
    </cfRule>
  </conditionalFormatting>
  <conditionalFormatting sqref="H78">
    <cfRule type="cellIs" dxfId="1722" priority="140213" stopIfTrue="1" operator="greaterThanOrEqual">
      <formula>0.5</formula>
    </cfRule>
  </conditionalFormatting>
  <conditionalFormatting sqref="H79">
    <cfRule type="cellIs" dxfId="1721" priority="140214" stopIfTrue="1" operator="equal">
      <formula>-1</formula>
    </cfRule>
  </conditionalFormatting>
  <conditionalFormatting sqref="H79">
    <cfRule type="cellIs" dxfId="1720" priority="140215" stopIfTrue="1" operator="lessThan">
      <formula>0.5</formula>
    </cfRule>
  </conditionalFormatting>
  <conditionalFormatting sqref="H79">
    <cfRule type="cellIs" dxfId="1719" priority="140216" stopIfTrue="1" operator="greaterThanOrEqual">
      <formula>0.5</formula>
    </cfRule>
  </conditionalFormatting>
  <conditionalFormatting sqref="H80">
    <cfRule type="cellIs" dxfId="1718" priority="140217" stopIfTrue="1" operator="equal">
      <formula>-1</formula>
    </cfRule>
  </conditionalFormatting>
  <conditionalFormatting sqref="H80">
    <cfRule type="cellIs" dxfId="1717" priority="140218" stopIfTrue="1" operator="lessThan">
      <formula>0.5</formula>
    </cfRule>
  </conditionalFormatting>
  <conditionalFormatting sqref="H80">
    <cfRule type="cellIs" dxfId="1716" priority="140219" stopIfTrue="1" operator="greaterThanOrEqual">
      <formula>0.5</formula>
    </cfRule>
  </conditionalFormatting>
  <conditionalFormatting sqref="H81">
    <cfRule type="cellIs" dxfId="1715" priority="140220" stopIfTrue="1" operator="equal">
      <formula>-1</formula>
    </cfRule>
  </conditionalFormatting>
  <conditionalFormatting sqref="H81">
    <cfRule type="cellIs" dxfId="1714" priority="140221" stopIfTrue="1" operator="lessThan">
      <formula>0.5</formula>
    </cfRule>
  </conditionalFormatting>
  <conditionalFormatting sqref="H81">
    <cfRule type="cellIs" dxfId="1713" priority="140222" stopIfTrue="1" operator="greaterThanOrEqual">
      <formula>0.5</formula>
    </cfRule>
  </conditionalFormatting>
  <conditionalFormatting sqref="H82">
    <cfRule type="cellIs" dxfId="1712" priority="140223" stopIfTrue="1" operator="equal">
      <formula>-1</formula>
    </cfRule>
  </conditionalFormatting>
  <conditionalFormatting sqref="H82">
    <cfRule type="cellIs" dxfId="1711" priority="140224" stopIfTrue="1" operator="lessThan">
      <formula>0.5</formula>
    </cfRule>
  </conditionalFormatting>
  <conditionalFormatting sqref="H82">
    <cfRule type="cellIs" dxfId="1710" priority="140225" stopIfTrue="1" operator="greaterThanOrEqual">
      <formula>0.5</formula>
    </cfRule>
  </conditionalFormatting>
  <conditionalFormatting sqref="H83">
    <cfRule type="cellIs" dxfId="1709" priority="140226" stopIfTrue="1" operator="equal">
      <formula>-1</formula>
    </cfRule>
  </conditionalFormatting>
  <conditionalFormatting sqref="H83">
    <cfRule type="cellIs" dxfId="1708" priority="140227" stopIfTrue="1" operator="lessThan">
      <formula>0.5</formula>
    </cfRule>
  </conditionalFormatting>
  <conditionalFormatting sqref="H83">
    <cfRule type="cellIs" dxfId="1707" priority="140228" stopIfTrue="1" operator="greaterThanOrEqual">
      <formula>0.5</formula>
    </cfRule>
  </conditionalFormatting>
  <conditionalFormatting sqref="H84">
    <cfRule type="cellIs" dxfId="1706" priority="140229" stopIfTrue="1" operator="equal">
      <formula>-1</formula>
    </cfRule>
  </conditionalFormatting>
  <conditionalFormatting sqref="H84">
    <cfRule type="cellIs" dxfId="1705" priority="140230" stopIfTrue="1" operator="lessThan">
      <formula>0.5</formula>
    </cfRule>
  </conditionalFormatting>
  <conditionalFormatting sqref="H84">
    <cfRule type="cellIs" dxfId="1704" priority="140231" stopIfTrue="1" operator="greaterThanOrEqual">
      <formula>0.5</formula>
    </cfRule>
  </conditionalFormatting>
  <conditionalFormatting sqref="H85">
    <cfRule type="cellIs" dxfId="1703" priority="140232" stopIfTrue="1" operator="equal">
      <formula>-1</formula>
    </cfRule>
  </conditionalFormatting>
  <conditionalFormatting sqref="H85">
    <cfRule type="cellIs" dxfId="1702" priority="140233" stopIfTrue="1" operator="lessThan">
      <formula>0.5</formula>
    </cfRule>
  </conditionalFormatting>
  <conditionalFormatting sqref="H85">
    <cfRule type="cellIs" dxfId="1701" priority="140234" stopIfTrue="1" operator="greaterThanOrEqual">
      <formula>0.5</formula>
    </cfRule>
  </conditionalFormatting>
  <conditionalFormatting sqref="J65">
    <cfRule type="cellIs" dxfId="1700" priority="140235" stopIfTrue="1" operator="equal">
      <formula>-1</formula>
    </cfRule>
  </conditionalFormatting>
  <conditionalFormatting sqref="J65">
    <cfRule type="cellIs" dxfId="1699" priority="140236" stopIfTrue="1" operator="lessThan">
      <formula>0.5</formula>
    </cfRule>
  </conditionalFormatting>
  <conditionalFormatting sqref="J65">
    <cfRule type="cellIs" dxfId="1698" priority="140237" stopIfTrue="1" operator="greaterThanOrEqual">
      <formula>0.5</formula>
    </cfRule>
  </conditionalFormatting>
  <conditionalFormatting sqref="J66">
    <cfRule type="cellIs" dxfId="1697" priority="140238" stopIfTrue="1" operator="equal">
      <formula>-1</formula>
    </cfRule>
  </conditionalFormatting>
  <conditionalFormatting sqref="J66">
    <cfRule type="cellIs" dxfId="1696" priority="140239" stopIfTrue="1" operator="lessThan">
      <formula>0.5</formula>
    </cfRule>
  </conditionalFormatting>
  <conditionalFormatting sqref="J66">
    <cfRule type="cellIs" dxfId="1695" priority="140240" stopIfTrue="1" operator="greaterThanOrEqual">
      <formula>0.5</formula>
    </cfRule>
  </conditionalFormatting>
  <conditionalFormatting sqref="J67">
    <cfRule type="cellIs" dxfId="1694" priority="140241" stopIfTrue="1" operator="equal">
      <formula>-1</formula>
    </cfRule>
  </conditionalFormatting>
  <conditionalFormatting sqref="J67">
    <cfRule type="cellIs" dxfId="1693" priority="140242" stopIfTrue="1" operator="lessThan">
      <formula>0.5</formula>
    </cfRule>
  </conditionalFormatting>
  <conditionalFormatting sqref="J67">
    <cfRule type="cellIs" dxfId="1692" priority="140243" stopIfTrue="1" operator="greaterThanOrEqual">
      <formula>0.5</formula>
    </cfRule>
  </conditionalFormatting>
  <conditionalFormatting sqref="J68">
    <cfRule type="cellIs" dxfId="1691" priority="140244" stopIfTrue="1" operator="equal">
      <formula>-1</formula>
    </cfRule>
  </conditionalFormatting>
  <conditionalFormatting sqref="J68">
    <cfRule type="cellIs" dxfId="1690" priority="140245" stopIfTrue="1" operator="lessThan">
      <formula>0.5</formula>
    </cfRule>
  </conditionalFormatting>
  <conditionalFormatting sqref="J68">
    <cfRule type="cellIs" dxfId="1689" priority="140246" stopIfTrue="1" operator="greaterThanOrEqual">
      <formula>0.5</formula>
    </cfRule>
  </conditionalFormatting>
  <conditionalFormatting sqref="J69">
    <cfRule type="cellIs" dxfId="1688" priority="140247" stopIfTrue="1" operator="equal">
      <formula>-1</formula>
    </cfRule>
  </conditionalFormatting>
  <conditionalFormatting sqref="J69">
    <cfRule type="cellIs" dxfId="1687" priority="140248" stopIfTrue="1" operator="lessThan">
      <formula>0.5</formula>
    </cfRule>
  </conditionalFormatting>
  <conditionalFormatting sqref="J69">
    <cfRule type="cellIs" dxfId="1686" priority="140249" stopIfTrue="1" operator="greaterThanOrEqual">
      <formula>0.5</formula>
    </cfRule>
  </conditionalFormatting>
  <conditionalFormatting sqref="J70">
    <cfRule type="cellIs" dxfId="1685" priority="140250" stopIfTrue="1" operator="equal">
      <formula>-1</formula>
    </cfRule>
  </conditionalFormatting>
  <conditionalFormatting sqref="J70">
    <cfRule type="cellIs" dxfId="1684" priority="140251" stopIfTrue="1" operator="lessThan">
      <formula>0.5</formula>
    </cfRule>
  </conditionalFormatting>
  <conditionalFormatting sqref="J70">
    <cfRule type="cellIs" dxfId="1683" priority="140252" stopIfTrue="1" operator="greaterThanOrEqual">
      <formula>0.5</formula>
    </cfRule>
  </conditionalFormatting>
  <conditionalFormatting sqref="J71">
    <cfRule type="cellIs" dxfId="1682" priority="140253" stopIfTrue="1" operator="equal">
      <formula>-1</formula>
    </cfRule>
  </conditionalFormatting>
  <conditionalFormatting sqref="J71">
    <cfRule type="cellIs" dxfId="1681" priority="140254" stopIfTrue="1" operator="lessThan">
      <formula>0.5</formula>
    </cfRule>
  </conditionalFormatting>
  <conditionalFormatting sqref="J71">
    <cfRule type="cellIs" dxfId="1680" priority="140255" stopIfTrue="1" operator="greaterThanOrEqual">
      <formula>0.5</formula>
    </cfRule>
  </conditionalFormatting>
  <conditionalFormatting sqref="J72">
    <cfRule type="cellIs" dxfId="1679" priority="140256" stopIfTrue="1" operator="equal">
      <formula>-1</formula>
    </cfRule>
  </conditionalFormatting>
  <conditionalFormatting sqref="J72">
    <cfRule type="cellIs" dxfId="1678" priority="140257" stopIfTrue="1" operator="lessThan">
      <formula>0.5</formula>
    </cfRule>
  </conditionalFormatting>
  <conditionalFormatting sqref="J72">
    <cfRule type="cellIs" dxfId="1677" priority="140258" stopIfTrue="1" operator="greaterThanOrEqual">
      <formula>0.5</formula>
    </cfRule>
  </conditionalFormatting>
  <conditionalFormatting sqref="J73">
    <cfRule type="cellIs" dxfId="1676" priority="140259" stopIfTrue="1" operator="equal">
      <formula>-1</formula>
    </cfRule>
  </conditionalFormatting>
  <conditionalFormatting sqref="J73">
    <cfRule type="cellIs" dxfId="1675" priority="140260" stopIfTrue="1" operator="lessThan">
      <formula>0.5</formula>
    </cfRule>
  </conditionalFormatting>
  <conditionalFormatting sqref="J73">
    <cfRule type="cellIs" dxfId="1674" priority="140261" stopIfTrue="1" operator="greaterThanOrEqual">
      <formula>0.5</formula>
    </cfRule>
  </conditionalFormatting>
  <conditionalFormatting sqref="J74">
    <cfRule type="cellIs" dxfId="1673" priority="140262" stopIfTrue="1" operator="equal">
      <formula>-1</formula>
    </cfRule>
  </conditionalFormatting>
  <conditionalFormatting sqref="J74">
    <cfRule type="cellIs" dxfId="1672" priority="140263" stopIfTrue="1" operator="lessThan">
      <formula>0.5</formula>
    </cfRule>
  </conditionalFormatting>
  <conditionalFormatting sqref="J74">
    <cfRule type="cellIs" dxfId="1671" priority="140264" stopIfTrue="1" operator="greaterThanOrEqual">
      <formula>0.5</formula>
    </cfRule>
  </conditionalFormatting>
  <conditionalFormatting sqref="J75">
    <cfRule type="cellIs" dxfId="1670" priority="140265" stopIfTrue="1" operator="equal">
      <formula>-1</formula>
    </cfRule>
  </conditionalFormatting>
  <conditionalFormatting sqref="J75">
    <cfRule type="cellIs" dxfId="1669" priority="140266" stopIfTrue="1" operator="lessThan">
      <formula>0.5</formula>
    </cfRule>
  </conditionalFormatting>
  <conditionalFormatting sqref="J75">
    <cfRule type="cellIs" dxfId="1668" priority="140267" stopIfTrue="1" operator="greaterThanOrEqual">
      <formula>0.5</formula>
    </cfRule>
  </conditionalFormatting>
  <conditionalFormatting sqref="J76">
    <cfRule type="cellIs" dxfId="1667" priority="140268" stopIfTrue="1" operator="equal">
      <formula>-1</formula>
    </cfRule>
  </conditionalFormatting>
  <conditionalFormatting sqref="J76">
    <cfRule type="cellIs" dxfId="1666" priority="140269" stopIfTrue="1" operator="lessThan">
      <formula>0.5</formula>
    </cfRule>
  </conditionalFormatting>
  <conditionalFormatting sqref="J76">
    <cfRule type="cellIs" dxfId="1665" priority="140270" stopIfTrue="1" operator="greaterThanOrEqual">
      <formula>0.5</formula>
    </cfRule>
  </conditionalFormatting>
  <conditionalFormatting sqref="J77">
    <cfRule type="cellIs" dxfId="1664" priority="140271" stopIfTrue="1" operator="equal">
      <formula>-1</formula>
    </cfRule>
  </conditionalFormatting>
  <conditionalFormatting sqref="J77">
    <cfRule type="cellIs" dxfId="1663" priority="140272" stopIfTrue="1" operator="lessThan">
      <formula>0.5</formula>
    </cfRule>
  </conditionalFormatting>
  <conditionalFormatting sqref="J77">
    <cfRule type="cellIs" dxfId="1662" priority="140273" stopIfTrue="1" operator="greaterThanOrEqual">
      <formula>0.5</formula>
    </cfRule>
  </conditionalFormatting>
  <conditionalFormatting sqref="J78">
    <cfRule type="cellIs" dxfId="1661" priority="140274" stopIfTrue="1" operator="equal">
      <formula>-1</formula>
    </cfRule>
  </conditionalFormatting>
  <conditionalFormatting sqref="J78">
    <cfRule type="cellIs" dxfId="1660" priority="140275" stopIfTrue="1" operator="lessThan">
      <formula>0.5</formula>
    </cfRule>
  </conditionalFormatting>
  <conditionalFormatting sqref="J78">
    <cfRule type="cellIs" dxfId="1659" priority="140276" stopIfTrue="1" operator="greaterThanOrEqual">
      <formula>0.5</formula>
    </cfRule>
  </conditionalFormatting>
  <conditionalFormatting sqref="J79">
    <cfRule type="cellIs" dxfId="1658" priority="140277" stopIfTrue="1" operator="equal">
      <formula>-1</formula>
    </cfRule>
  </conditionalFormatting>
  <conditionalFormatting sqref="J79">
    <cfRule type="cellIs" dxfId="1657" priority="140278" stopIfTrue="1" operator="lessThan">
      <formula>0.5</formula>
    </cfRule>
  </conditionalFormatting>
  <conditionalFormatting sqref="J79">
    <cfRule type="cellIs" dxfId="1656" priority="140279" stopIfTrue="1" operator="greaterThanOrEqual">
      <formula>0.5</formula>
    </cfRule>
  </conditionalFormatting>
  <conditionalFormatting sqref="J80">
    <cfRule type="cellIs" dxfId="1655" priority="140280" stopIfTrue="1" operator="equal">
      <formula>-1</formula>
    </cfRule>
  </conditionalFormatting>
  <conditionalFormatting sqref="J80">
    <cfRule type="cellIs" dxfId="1654" priority="140281" stopIfTrue="1" operator="lessThan">
      <formula>0.5</formula>
    </cfRule>
  </conditionalFormatting>
  <conditionalFormatting sqref="J80">
    <cfRule type="cellIs" dxfId="1653" priority="140282" stopIfTrue="1" operator="greaterThanOrEqual">
      <formula>0.5</formula>
    </cfRule>
  </conditionalFormatting>
  <conditionalFormatting sqref="J81">
    <cfRule type="cellIs" dxfId="1652" priority="140283" stopIfTrue="1" operator="equal">
      <formula>-1</formula>
    </cfRule>
  </conditionalFormatting>
  <conditionalFormatting sqref="J81">
    <cfRule type="cellIs" dxfId="1651" priority="140284" stopIfTrue="1" operator="lessThan">
      <formula>0.5</formula>
    </cfRule>
  </conditionalFormatting>
  <conditionalFormatting sqref="J81">
    <cfRule type="cellIs" dxfId="1650" priority="140285" stopIfTrue="1" operator="greaterThanOrEqual">
      <formula>0.5</formula>
    </cfRule>
  </conditionalFormatting>
  <conditionalFormatting sqref="J82">
    <cfRule type="cellIs" dxfId="1649" priority="140286" stopIfTrue="1" operator="equal">
      <formula>-1</formula>
    </cfRule>
  </conditionalFormatting>
  <conditionalFormatting sqref="J82">
    <cfRule type="cellIs" dxfId="1648" priority="140287" stopIfTrue="1" operator="lessThan">
      <formula>0.5</formula>
    </cfRule>
  </conditionalFormatting>
  <conditionalFormatting sqref="J82">
    <cfRule type="cellIs" dxfId="1647" priority="140288" stopIfTrue="1" operator="greaterThanOrEqual">
      <formula>0.5</formula>
    </cfRule>
  </conditionalFormatting>
  <conditionalFormatting sqref="J83">
    <cfRule type="cellIs" dxfId="1646" priority="140289" stopIfTrue="1" operator="equal">
      <formula>-1</formula>
    </cfRule>
  </conditionalFormatting>
  <conditionalFormatting sqref="J83">
    <cfRule type="cellIs" dxfId="1645" priority="140290" stopIfTrue="1" operator="lessThan">
      <formula>0.5</formula>
    </cfRule>
  </conditionalFormatting>
  <conditionalFormatting sqref="J83">
    <cfRule type="cellIs" dxfId="1644" priority="140291" stopIfTrue="1" operator="greaterThanOrEqual">
      <formula>0.5</formula>
    </cfRule>
  </conditionalFormatting>
  <conditionalFormatting sqref="J84">
    <cfRule type="cellIs" dxfId="1643" priority="140292" stopIfTrue="1" operator="equal">
      <formula>-1</formula>
    </cfRule>
  </conditionalFormatting>
  <conditionalFormatting sqref="J84">
    <cfRule type="cellIs" dxfId="1642" priority="140293" stopIfTrue="1" operator="lessThan">
      <formula>0.5</formula>
    </cfRule>
  </conditionalFormatting>
  <conditionalFormatting sqref="J84">
    <cfRule type="cellIs" dxfId="1641" priority="140294" stopIfTrue="1" operator="greaterThanOrEqual">
      <formula>0.5</formula>
    </cfRule>
  </conditionalFormatting>
  <conditionalFormatting sqref="J85">
    <cfRule type="cellIs" dxfId="1640" priority="140295" stopIfTrue="1" operator="equal">
      <formula>-1</formula>
    </cfRule>
  </conditionalFormatting>
  <conditionalFormatting sqref="J85">
    <cfRule type="cellIs" dxfId="1639" priority="140296" stopIfTrue="1" operator="lessThan">
      <formula>0.5</formula>
    </cfRule>
  </conditionalFormatting>
  <conditionalFormatting sqref="J85">
    <cfRule type="cellIs" dxfId="1638" priority="140297" stopIfTrue="1" operator="greaterThanOrEqual">
      <formula>0.5</formula>
    </cfRule>
  </conditionalFormatting>
  <conditionalFormatting sqref="L65">
    <cfRule type="cellIs" dxfId="1637" priority="140298" stopIfTrue="1" operator="equal">
      <formula>-1</formula>
    </cfRule>
  </conditionalFormatting>
  <conditionalFormatting sqref="L65">
    <cfRule type="cellIs" dxfId="1636" priority="140299" stopIfTrue="1" operator="lessThan">
      <formula>0.5</formula>
    </cfRule>
  </conditionalFormatting>
  <conditionalFormatting sqref="L65">
    <cfRule type="cellIs" dxfId="1635" priority="140300" stopIfTrue="1" operator="greaterThanOrEqual">
      <formula>0.5</formula>
    </cfRule>
  </conditionalFormatting>
  <conditionalFormatting sqref="L66">
    <cfRule type="cellIs" dxfId="1634" priority="140301" stopIfTrue="1" operator="equal">
      <formula>-1</formula>
    </cfRule>
  </conditionalFormatting>
  <conditionalFormatting sqref="L66">
    <cfRule type="cellIs" dxfId="1633" priority="140302" stopIfTrue="1" operator="lessThan">
      <formula>0.5</formula>
    </cfRule>
  </conditionalFormatting>
  <conditionalFormatting sqref="L66">
    <cfRule type="cellIs" dxfId="1632" priority="140303" stopIfTrue="1" operator="greaterThanOrEqual">
      <formula>0.5</formula>
    </cfRule>
  </conditionalFormatting>
  <conditionalFormatting sqref="L67">
    <cfRule type="cellIs" dxfId="1631" priority="140304" stopIfTrue="1" operator="equal">
      <formula>-1</formula>
    </cfRule>
  </conditionalFormatting>
  <conditionalFormatting sqref="L67">
    <cfRule type="cellIs" dxfId="1630" priority="140305" stopIfTrue="1" operator="lessThan">
      <formula>0.5</formula>
    </cfRule>
  </conditionalFormatting>
  <conditionalFormatting sqref="L67">
    <cfRule type="cellIs" dxfId="1629" priority="140306" stopIfTrue="1" operator="greaterThanOrEqual">
      <formula>0.5</formula>
    </cfRule>
  </conditionalFormatting>
  <conditionalFormatting sqref="L68">
    <cfRule type="cellIs" dxfId="1628" priority="140307" stopIfTrue="1" operator="equal">
      <formula>-1</formula>
    </cfRule>
  </conditionalFormatting>
  <conditionalFormatting sqref="L68">
    <cfRule type="cellIs" dxfId="1627" priority="140308" stopIfTrue="1" operator="lessThan">
      <formula>0.5</formula>
    </cfRule>
  </conditionalFormatting>
  <conditionalFormatting sqref="L68">
    <cfRule type="cellIs" dxfId="1626" priority="140309" stopIfTrue="1" operator="greaterThanOrEqual">
      <formula>0.5</formula>
    </cfRule>
  </conditionalFormatting>
  <conditionalFormatting sqref="L69">
    <cfRule type="cellIs" dxfId="1625" priority="140310" stopIfTrue="1" operator="equal">
      <formula>-1</formula>
    </cfRule>
  </conditionalFormatting>
  <conditionalFormatting sqref="L69">
    <cfRule type="cellIs" dxfId="1624" priority="140311" stopIfTrue="1" operator="lessThan">
      <formula>0.5</formula>
    </cfRule>
  </conditionalFormatting>
  <conditionalFormatting sqref="L69">
    <cfRule type="cellIs" dxfId="1623" priority="140312" stopIfTrue="1" operator="greaterThanOrEqual">
      <formula>0.5</formula>
    </cfRule>
  </conditionalFormatting>
  <conditionalFormatting sqref="L70">
    <cfRule type="cellIs" dxfId="1622" priority="140313" stopIfTrue="1" operator="equal">
      <formula>-1</formula>
    </cfRule>
  </conditionalFormatting>
  <conditionalFormatting sqref="L70">
    <cfRule type="cellIs" dxfId="1621" priority="140314" stopIfTrue="1" operator="lessThan">
      <formula>0.5</formula>
    </cfRule>
  </conditionalFormatting>
  <conditionalFormatting sqref="L70">
    <cfRule type="cellIs" dxfId="1620" priority="140315" stopIfTrue="1" operator="greaterThanOrEqual">
      <formula>0.5</formula>
    </cfRule>
  </conditionalFormatting>
  <conditionalFormatting sqref="L71">
    <cfRule type="cellIs" dxfId="1619" priority="140316" stopIfTrue="1" operator="equal">
      <formula>-1</formula>
    </cfRule>
  </conditionalFormatting>
  <conditionalFormatting sqref="L71">
    <cfRule type="cellIs" dxfId="1618" priority="140317" stopIfTrue="1" operator="lessThan">
      <formula>0.5</formula>
    </cfRule>
  </conditionalFormatting>
  <conditionalFormatting sqref="L71">
    <cfRule type="cellIs" dxfId="1617" priority="140318" stopIfTrue="1" operator="greaterThanOrEqual">
      <formula>0.5</formula>
    </cfRule>
  </conditionalFormatting>
  <conditionalFormatting sqref="L72">
    <cfRule type="cellIs" dxfId="1616" priority="140319" stopIfTrue="1" operator="equal">
      <formula>-1</formula>
    </cfRule>
  </conditionalFormatting>
  <conditionalFormatting sqref="L72">
    <cfRule type="cellIs" dxfId="1615" priority="140320" stopIfTrue="1" operator="lessThan">
      <formula>0.5</formula>
    </cfRule>
  </conditionalFormatting>
  <conditionalFormatting sqref="L72">
    <cfRule type="cellIs" dxfId="1614" priority="140321" stopIfTrue="1" operator="greaterThanOrEqual">
      <formula>0.5</formula>
    </cfRule>
  </conditionalFormatting>
  <conditionalFormatting sqref="L73">
    <cfRule type="cellIs" dxfId="1613" priority="140322" stopIfTrue="1" operator="equal">
      <formula>-1</formula>
    </cfRule>
  </conditionalFormatting>
  <conditionalFormatting sqref="L73">
    <cfRule type="cellIs" dxfId="1612" priority="140323" stopIfTrue="1" operator="lessThan">
      <formula>0.5</formula>
    </cfRule>
  </conditionalFormatting>
  <conditionalFormatting sqref="L73">
    <cfRule type="cellIs" dxfId="1611" priority="140324" stopIfTrue="1" operator="greaterThanOrEqual">
      <formula>0.5</formula>
    </cfRule>
  </conditionalFormatting>
  <conditionalFormatting sqref="L74">
    <cfRule type="cellIs" dxfId="1610" priority="140325" stopIfTrue="1" operator="equal">
      <formula>-1</formula>
    </cfRule>
  </conditionalFormatting>
  <conditionalFormatting sqref="L74">
    <cfRule type="cellIs" dxfId="1609" priority="140326" stopIfTrue="1" operator="lessThan">
      <formula>0.5</formula>
    </cfRule>
  </conditionalFormatting>
  <conditionalFormatting sqref="L74">
    <cfRule type="cellIs" dxfId="1608" priority="140327" stopIfTrue="1" operator="greaterThanOrEqual">
      <formula>0.5</formula>
    </cfRule>
  </conditionalFormatting>
  <conditionalFormatting sqref="L75">
    <cfRule type="cellIs" dxfId="1607" priority="140328" stopIfTrue="1" operator="equal">
      <formula>-1</formula>
    </cfRule>
  </conditionalFormatting>
  <conditionalFormatting sqref="L75">
    <cfRule type="cellIs" dxfId="1606" priority="140329" stopIfTrue="1" operator="lessThan">
      <formula>0.5</formula>
    </cfRule>
  </conditionalFormatting>
  <conditionalFormatting sqref="L75">
    <cfRule type="cellIs" dxfId="1605" priority="140330" stopIfTrue="1" operator="greaterThanOrEqual">
      <formula>0.5</formula>
    </cfRule>
  </conditionalFormatting>
  <conditionalFormatting sqref="L76">
    <cfRule type="cellIs" dxfId="1604" priority="140331" stopIfTrue="1" operator="equal">
      <formula>-1</formula>
    </cfRule>
  </conditionalFormatting>
  <conditionalFormatting sqref="L76">
    <cfRule type="cellIs" dxfId="1603" priority="140332" stopIfTrue="1" operator="lessThan">
      <formula>0.5</formula>
    </cfRule>
  </conditionalFormatting>
  <conditionalFormatting sqref="L76">
    <cfRule type="cellIs" dxfId="1602" priority="140333" stopIfTrue="1" operator="greaterThanOrEqual">
      <formula>0.5</formula>
    </cfRule>
  </conditionalFormatting>
  <conditionalFormatting sqref="L77">
    <cfRule type="cellIs" dxfId="1601" priority="140334" stopIfTrue="1" operator="equal">
      <formula>-1</formula>
    </cfRule>
  </conditionalFormatting>
  <conditionalFormatting sqref="L77">
    <cfRule type="cellIs" dxfId="1600" priority="140335" stopIfTrue="1" operator="lessThan">
      <formula>0.5</formula>
    </cfRule>
  </conditionalFormatting>
  <conditionalFormatting sqref="L77">
    <cfRule type="cellIs" dxfId="1599" priority="140336" stopIfTrue="1" operator="greaterThanOrEqual">
      <formula>0.5</formula>
    </cfRule>
  </conditionalFormatting>
  <conditionalFormatting sqref="L78">
    <cfRule type="cellIs" dxfId="1598" priority="140337" stopIfTrue="1" operator="equal">
      <formula>-1</formula>
    </cfRule>
  </conditionalFormatting>
  <conditionalFormatting sqref="L78">
    <cfRule type="cellIs" dxfId="1597" priority="140338" stopIfTrue="1" operator="lessThan">
      <formula>0.5</formula>
    </cfRule>
  </conditionalFormatting>
  <conditionalFormatting sqref="L78">
    <cfRule type="cellIs" dxfId="1596" priority="140339" stopIfTrue="1" operator="greaterThanOrEqual">
      <formula>0.5</formula>
    </cfRule>
  </conditionalFormatting>
  <conditionalFormatting sqref="L79">
    <cfRule type="cellIs" dxfId="1595" priority="140340" stopIfTrue="1" operator="equal">
      <formula>-1</formula>
    </cfRule>
  </conditionalFormatting>
  <conditionalFormatting sqref="L79">
    <cfRule type="cellIs" dxfId="1594" priority="140341" stopIfTrue="1" operator="lessThan">
      <formula>0.5</formula>
    </cfRule>
  </conditionalFormatting>
  <conditionalFormatting sqref="L79">
    <cfRule type="cellIs" dxfId="1593" priority="140342" stopIfTrue="1" operator="greaterThanOrEqual">
      <formula>0.5</formula>
    </cfRule>
  </conditionalFormatting>
  <conditionalFormatting sqref="L80">
    <cfRule type="cellIs" dxfId="1592" priority="140343" stopIfTrue="1" operator="equal">
      <formula>-1</formula>
    </cfRule>
  </conditionalFormatting>
  <conditionalFormatting sqref="L80">
    <cfRule type="cellIs" dxfId="1591" priority="140344" stopIfTrue="1" operator="lessThan">
      <formula>0.5</formula>
    </cfRule>
  </conditionalFormatting>
  <conditionalFormatting sqref="L80">
    <cfRule type="cellIs" dxfId="1590" priority="140345" stopIfTrue="1" operator="greaterThanOrEqual">
      <formula>0.5</formula>
    </cfRule>
  </conditionalFormatting>
  <conditionalFormatting sqref="L81">
    <cfRule type="cellIs" dxfId="1589" priority="140346" stopIfTrue="1" operator="equal">
      <formula>-1</formula>
    </cfRule>
  </conditionalFormatting>
  <conditionalFormatting sqref="L81">
    <cfRule type="cellIs" dxfId="1588" priority="140347" stopIfTrue="1" operator="lessThan">
      <formula>0.5</formula>
    </cfRule>
  </conditionalFormatting>
  <conditionalFormatting sqref="L81">
    <cfRule type="cellIs" dxfId="1587" priority="140348" stopIfTrue="1" operator="greaterThanOrEqual">
      <formula>0.5</formula>
    </cfRule>
  </conditionalFormatting>
  <conditionalFormatting sqref="L82">
    <cfRule type="cellIs" dxfId="1586" priority="140349" stopIfTrue="1" operator="equal">
      <formula>-1</formula>
    </cfRule>
  </conditionalFormatting>
  <conditionalFormatting sqref="L82">
    <cfRule type="cellIs" dxfId="1585" priority="140350" stopIfTrue="1" operator="lessThan">
      <formula>0.5</formula>
    </cfRule>
  </conditionalFormatting>
  <conditionalFormatting sqref="L82">
    <cfRule type="cellIs" dxfId="1584" priority="140351" stopIfTrue="1" operator="greaterThanOrEqual">
      <formula>0.5</formula>
    </cfRule>
  </conditionalFormatting>
  <conditionalFormatting sqref="L83">
    <cfRule type="cellIs" dxfId="1583" priority="140352" stopIfTrue="1" operator="equal">
      <formula>-1</formula>
    </cfRule>
  </conditionalFormatting>
  <conditionalFormatting sqref="L83">
    <cfRule type="cellIs" dxfId="1582" priority="140353" stopIfTrue="1" operator="lessThan">
      <formula>0.5</formula>
    </cfRule>
  </conditionalFormatting>
  <conditionalFormatting sqref="L83">
    <cfRule type="cellIs" dxfId="1581" priority="140354" stopIfTrue="1" operator="greaterThanOrEqual">
      <formula>0.5</formula>
    </cfRule>
  </conditionalFormatting>
  <conditionalFormatting sqref="L84">
    <cfRule type="cellIs" dxfId="1580" priority="140355" stopIfTrue="1" operator="equal">
      <formula>-1</formula>
    </cfRule>
  </conditionalFormatting>
  <conditionalFormatting sqref="L84">
    <cfRule type="cellIs" dxfId="1579" priority="140356" stopIfTrue="1" operator="lessThan">
      <formula>0.5</formula>
    </cfRule>
  </conditionalFormatting>
  <conditionalFormatting sqref="L84">
    <cfRule type="cellIs" dxfId="1578" priority="140357" stopIfTrue="1" operator="greaterThanOrEqual">
      <formula>0.5</formula>
    </cfRule>
  </conditionalFormatting>
  <conditionalFormatting sqref="L85">
    <cfRule type="cellIs" dxfId="1577" priority="140358" stopIfTrue="1" operator="equal">
      <formula>-1</formula>
    </cfRule>
  </conditionalFormatting>
  <conditionalFormatting sqref="L85">
    <cfRule type="cellIs" dxfId="1576" priority="140359" stopIfTrue="1" operator="lessThan">
      <formula>0.5</formula>
    </cfRule>
  </conditionalFormatting>
  <conditionalFormatting sqref="L85">
    <cfRule type="cellIs" dxfId="1575" priority="140360" stopIfTrue="1" operator="greaterThanOrEqual">
      <formula>0.5</formula>
    </cfRule>
  </conditionalFormatting>
  <conditionalFormatting sqref="N65">
    <cfRule type="cellIs" dxfId="1574" priority="140361" stopIfTrue="1" operator="equal">
      <formula>-1</formula>
    </cfRule>
  </conditionalFormatting>
  <conditionalFormatting sqref="N65">
    <cfRule type="cellIs" dxfId="1573" priority="140362" stopIfTrue="1" operator="lessThan">
      <formula>0.5</formula>
    </cfRule>
  </conditionalFormatting>
  <conditionalFormatting sqref="N65">
    <cfRule type="cellIs" dxfId="1572" priority="140363" stopIfTrue="1" operator="greaterThanOrEqual">
      <formula>0.5</formula>
    </cfRule>
  </conditionalFormatting>
  <conditionalFormatting sqref="N66">
    <cfRule type="cellIs" dxfId="1571" priority="140364" stopIfTrue="1" operator="equal">
      <formula>-1</formula>
    </cfRule>
  </conditionalFormatting>
  <conditionalFormatting sqref="N66">
    <cfRule type="cellIs" dxfId="1570" priority="140365" stopIfTrue="1" operator="lessThan">
      <formula>0.5</formula>
    </cfRule>
  </conditionalFormatting>
  <conditionalFormatting sqref="N66">
    <cfRule type="cellIs" dxfId="1569" priority="140366" stopIfTrue="1" operator="greaterThanOrEqual">
      <formula>0.5</formula>
    </cfRule>
  </conditionalFormatting>
  <conditionalFormatting sqref="N67">
    <cfRule type="cellIs" dxfId="1568" priority="140367" stopIfTrue="1" operator="equal">
      <formula>-1</formula>
    </cfRule>
  </conditionalFormatting>
  <conditionalFormatting sqref="N67">
    <cfRule type="cellIs" dxfId="1567" priority="140368" stopIfTrue="1" operator="lessThan">
      <formula>0.5</formula>
    </cfRule>
  </conditionalFormatting>
  <conditionalFormatting sqref="N67">
    <cfRule type="cellIs" dxfId="1566" priority="140369" stopIfTrue="1" operator="greaterThanOrEqual">
      <formula>0.5</formula>
    </cfRule>
  </conditionalFormatting>
  <conditionalFormatting sqref="N68">
    <cfRule type="cellIs" dxfId="1565" priority="140370" stopIfTrue="1" operator="equal">
      <formula>-1</formula>
    </cfRule>
  </conditionalFormatting>
  <conditionalFormatting sqref="N68">
    <cfRule type="cellIs" dxfId="1564" priority="140371" stopIfTrue="1" operator="lessThan">
      <formula>0.5</formula>
    </cfRule>
  </conditionalFormatting>
  <conditionalFormatting sqref="N68">
    <cfRule type="cellIs" dxfId="1563" priority="140372" stopIfTrue="1" operator="greaterThanOrEqual">
      <formula>0.5</formula>
    </cfRule>
  </conditionalFormatting>
  <conditionalFormatting sqref="N69">
    <cfRule type="cellIs" dxfId="1562" priority="140373" stopIfTrue="1" operator="equal">
      <formula>-1</formula>
    </cfRule>
  </conditionalFormatting>
  <conditionalFormatting sqref="N69">
    <cfRule type="cellIs" dxfId="1561" priority="140374" stopIfTrue="1" operator="lessThan">
      <formula>0.5</formula>
    </cfRule>
  </conditionalFormatting>
  <conditionalFormatting sqref="N69">
    <cfRule type="cellIs" dxfId="1560" priority="140375" stopIfTrue="1" operator="greaterThanOrEqual">
      <formula>0.5</formula>
    </cfRule>
  </conditionalFormatting>
  <conditionalFormatting sqref="N70">
    <cfRule type="cellIs" dxfId="1559" priority="140376" stopIfTrue="1" operator="equal">
      <formula>-1</formula>
    </cfRule>
  </conditionalFormatting>
  <conditionalFormatting sqref="N70">
    <cfRule type="cellIs" dxfId="1558" priority="140377" stopIfTrue="1" operator="lessThan">
      <formula>0.5</formula>
    </cfRule>
  </conditionalFormatting>
  <conditionalFormatting sqref="N70">
    <cfRule type="cellIs" dxfId="1557" priority="140378" stopIfTrue="1" operator="greaterThanOrEqual">
      <formula>0.5</formula>
    </cfRule>
  </conditionalFormatting>
  <conditionalFormatting sqref="N71">
    <cfRule type="cellIs" dxfId="1556" priority="140379" stopIfTrue="1" operator="equal">
      <formula>-1</formula>
    </cfRule>
  </conditionalFormatting>
  <conditionalFormatting sqref="N71">
    <cfRule type="cellIs" dxfId="1555" priority="140380" stopIfTrue="1" operator="lessThan">
      <formula>0.5</formula>
    </cfRule>
  </conditionalFormatting>
  <conditionalFormatting sqref="N71">
    <cfRule type="cellIs" dxfId="1554" priority="140381" stopIfTrue="1" operator="greaterThanOrEqual">
      <formula>0.5</formula>
    </cfRule>
  </conditionalFormatting>
  <conditionalFormatting sqref="N72">
    <cfRule type="cellIs" dxfId="1553" priority="140382" stopIfTrue="1" operator="equal">
      <formula>-1</formula>
    </cfRule>
  </conditionalFormatting>
  <conditionalFormatting sqref="N72">
    <cfRule type="cellIs" dxfId="1552" priority="140383" stopIfTrue="1" operator="lessThan">
      <formula>0.5</formula>
    </cfRule>
  </conditionalFormatting>
  <conditionalFormatting sqref="N72">
    <cfRule type="cellIs" dxfId="1551" priority="140384" stopIfTrue="1" operator="greaterThanOrEqual">
      <formula>0.5</formula>
    </cfRule>
  </conditionalFormatting>
  <conditionalFormatting sqref="N73">
    <cfRule type="cellIs" dxfId="1550" priority="140385" stopIfTrue="1" operator="equal">
      <formula>-1</formula>
    </cfRule>
  </conditionalFormatting>
  <conditionalFormatting sqref="N73">
    <cfRule type="cellIs" dxfId="1549" priority="140386" stopIfTrue="1" operator="lessThan">
      <formula>0.5</formula>
    </cfRule>
  </conditionalFormatting>
  <conditionalFormatting sqref="N73">
    <cfRule type="cellIs" dxfId="1548" priority="140387" stopIfTrue="1" operator="greaterThanOrEqual">
      <formula>0.5</formula>
    </cfRule>
  </conditionalFormatting>
  <conditionalFormatting sqref="N74">
    <cfRule type="cellIs" dxfId="1547" priority="140388" stopIfTrue="1" operator="equal">
      <formula>-1</formula>
    </cfRule>
  </conditionalFormatting>
  <conditionalFormatting sqref="N74">
    <cfRule type="cellIs" dxfId="1546" priority="140389" stopIfTrue="1" operator="lessThan">
      <formula>0.5</formula>
    </cfRule>
  </conditionalFormatting>
  <conditionalFormatting sqref="N74">
    <cfRule type="cellIs" dxfId="1545" priority="140390" stopIfTrue="1" operator="greaterThanOrEqual">
      <formula>0.5</formula>
    </cfRule>
  </conditionalFormatting>
  <conditionalFormatting sqref="N75">
    <cfRule type="cellIs" dxfId="1544" priority="140391" stopIfTrue="1" operator="equal">
      <formula>-1</formula>
    </cfRule>
  </conditionalFormatting>
  <conditionalFormatting sqref="N75">
    <cfRule type="cellIs" dxfId="1543" priority="140392" stopIfTrue="1" operator="lessThan">
      <formula>0.5</formula>
    </cfRule>
  </conditionalFormatting>
  <conditionalFormatting sqref="N75">
    <cfRule type="cellIs" dxfId="1542" priority="140393" stopIfTrue="1" operator="greaterThanOrEqual">
      <formula>0.5</formula>
    </cfRule>
  </conditionalFormatting>
  <conditionalFormatting sqref="N76">
    <cfRule type="cellIs" dxfId="1541" priority="140394" stopIfTrue="1" operator="equal">
      <formula>-1</formula>
    </cfRule>
  </conditionalFormatting>
  <conditionalFormatting sqref="N76">
    <cfRule type="cellIs" dxfId="1540" priority="140395" stopIfTrue="1" operator="lessThan">
      <formula>0.5</formula>
    </cfRule>
  </conditionalFormatting>
  <conditionalFormatting sqref="N76">
    <cfRule type="cellIs" dxfId="1539" priority="140396" stopIfTrue="1" operator="greaterThanOrEqual">
      <formula>0.5</formula>
    </cfRule>
  </conditionalFormatting>
  <conditionalFormatting sqref="N77">
    <cfRule type="cellIs" dxfId="1538" priority="140397" stopIfTrue="1" operator="equal">
      <formula>-1</formula>
    </cfRule>
  </conditionalFormatting>
  <conditionalFormatting sqref="N77">
    <cfRule type="cellIs" dxfId="1537" priority="140398" stopIfTrue="1" operator="lessThan">
      <formula>0.5</formula>
    </cfRule>
  </conditionalFormatting>
  <conditionalFormatting sqref="N77">
    <cfRule type="cellIs" dxfId="1536" priority="140399" stopIfTrue="1" operator="greaterThanOrEqual">
      <formula>0.5</formula>
    </cfRule>
  </conditionalFormatting>
  <conditionalFormatting sqref="N78">
    <cfRule type="cellIs" dxfId="1535" priority="140400" stopIfTrue="1" operator="equal">
      <formula>-1</formula>
    </cfRule>
  </conditionalFormatting>
  <conditionalFormatting sqref="N78">
    <cfRule type="cellIs" dxfId="1534" priority="140401" stopIfTrue="1" operator="lessThan">
      <formula>0.5</formula>
    </cfRule>
  </conditionalFormatting>
  <conditionalFormatting sqref="N78">
    <cfRule type="cellIs" dxfId="1533" priority="140402" stopIfTrue="1" operator="greaterThanOrEqual">
      <formula>0.5</formula>
    </cfRule>
  </conditionalFormatting>
  <conditionalFormatting sqref="N79">
    <cfRule type="cellIs" dxfId="1532" priority="140403" stopIfTrue="1" operator="equal">
      <formula>-1</formula>
    </cfRule>
  </conditionalFormatting>
  <conditionalFormatting sqref="N79">
    <cfRule type="cellIs" dxfId="1531" priority="140404" stopIfTrue="1" operator="lessThan">
      <formula>0.5</formula>
    </cfRule>
  </conditionalFormatting>
  <conditionalFormatting sqref="N79">
    <cfRule type="cellIs" dxfId="1530" priority="140405" stopIfTrue="1" operator="greaterThanOrEqual">
      <formula>0.5</formula>
    </cfRule>
  </conditionalFormatting>
  <conditionalFormatting sqref="N80">
    <cfRule type="cellIs" dxfId="1529" priority="140406" stopIfTrue="1" operator="equal">
      <formula>-1</formula>
    </cfRule>
  </conditionalFormatting>
  <conditionalFormatting sqref="N80">
    <cfRule type="cellIs" dxfId="1528" priority="140407" stopIfTrue="1" operator="lessThan">
      <formula>0.5</formula>
    </cfRule>
  </conditionalFormatting>
  <conditionalFormatting sqref="N80">
    <cfRule type="cellIs" dxfId="1527" priority="140408" stopIfTrue="1" operator="greaterThanOrEqual">
      <formula>0.5</formula>
    </cfRule>
  </conditionalFormatting>
  <conditionalFormatting sqref="N81">
    <cfRule type="cellIs" dxfId="1526" priority="140409" stopIfTrue="1" operator="equal">
      <formula>-1</formula>
    </cfRule>
  </conditionalFormatting>
  <conditionalFormatting sqref="N81">
    <cfRule type="cellIs" dxfId="1525" priority="140410" stopIfTrue="1" operator="lessThan">
      <formula>0.5</formula>
    </cfRule>
  </conditionalFormatting>
  <conditionalFormatting sqref="N81">
    <cfRule type="cellIs" dxfId="1524" priority="140411" stopIfTrue="1" operator="greaterThanOrEqual">
      <formula>0.5</formula>
    </cfRule>
  </conditionalFormatting>
  <conditionalFormatting sqref="N82">
    <cfRule type="cellIs" dxfId="1523" priority="140412" stopIfTrue="1" operator="equal">
      <formula>-1</formula>
    </cfRule>
  </conditionalFormatting>
  <conditionalFormatting sqref="N82">
    <cfRule type="cellIs" dxfId="1522" priority="140413" stopIfTrue="1" operator="lessThan">
      <formula>0.5</formula>
    </cfRule>
  </conditionalFormatting>
  <conditionalFormatting sqref="N82">
    <cfRule type="cellIs" dxfId="1521" priority="140414" stopIfTrue="1" operator="greaterThanOrEqual">
      <formula>0.5</formula>
    </cfRule>
  </conditionalFormatting>
  <conditionalFormatting sqref="N83">
    <cfRule type="cellIs" dxfId="1520" priority="140415" stopIfTrue="1" operator="equal">
      <formula>-1</formula>
    </cfRule>
  </conditionalFormatting>
  <conditionalFormatting sqref="N83">
    <cfRule type="cellIs" dxfId="1519" priority="140416" stopIfTrue="1" operator="lessThan">
      <formula>0.5</formula>
    </cfRule>
  </conditionalFormatting>
  <conditionalFormatting sqref="N83">
    <cfRule type="cellIs" dxfId="1518" priority="140417" stopIfTrue="1" operator="greaterThanOrEqual">
      <formula>0.5</formula>
    </cfRule>
  </conditionalFormatting>
  <conditionalFormatting sqref="N84">
    <cfRule type="cellIs" dxfId="1517" priority="140418" stopIfTrue="1" operator="equal">
      <formula>-1</formula>
    </cfRule>
  </conditionalFormatting>
  <conditionalFormatting sqref="N84">
    <cfRule type="cellIs" dxfId="1516" priority="140419" stopIfTrue="1" operator="lessThan">
      <formula>0.5</formula>
    </cfRule>
  </conditionalFormatting>
  <conditionalFormatting sqref="N84">
    <cfRule type="cellIs" dxfId="1515" priority="140420" stopIfTrue="1" operator="greaterThanOrEqual">
      <formula>0.5</formula>
    </cfRule>
  </conditionalFormatting>
  <conditionalFormatting sqref="N85">
    <cfRule type="cellIs" dxfId="1514" priority="140421" stopIfTrue="1" operator="equal">
      <formula>-1</formula>
    </cfRule>
  </conditionalFormatting>
  <conditionalFormatting sqref="N85">
    <cfRule type="cellIs" dxfId="1513" priority="140422" stopIfTrue="1" operator="lessThan">
      <formula>0.5</formula>
    </cfRule>
  </conditionalFormatting>
  <conditionalFormatting sqref="N85">
    <cfRule type="cellIs" dxfId="1512" priority="140423" stopIfTrue="1" operator="greaterThanOrEqual">
      <formula>0.5</formula>
    </cfRule>
  </conditionalFormatting>
  <conditionalFormatting sqref="P65">
    <cfRule type="cellIs" dxfId="1511" priority="140424" stopIfTrue="1" operator="equal">
      <formula>-1</formula>
    </cfRule>
  </conditionalFormatting>
  <conditionalFormatting sqref="P65">
    <cfRule type="cellIs" dxfId="1510" priority="140425" stopIfTrue="1" operator="lessThan">
      <formula>0.5</formula>
    </cfRule>
  </conditionalFormatting>
  <conditionalFormatting sqref="P65">
    <cfRule type="cellIs" dxfId="1509" priority="140426" stopIfTrue="1" operator="greaterThanOrEqual">
      <formula>0.5</formula>
    </cfRule>
  </conditionalFormatting>
  <conditionalFormatting sqref="P66">
    <cfRule type="cellIs" dxfId="1508" priority="140427" stopIfTrue="1" operator="equal">
      <formula>-1</formula>
    </cfRule>
  </conditionalFormatting>
  <conditionalFormatting sqref="P66">
    <cfRule type="cellIs" dxfId="1507" priority="140428" stopIfTrue="1" operator="lessThan">
      <formula>0.5</formula>
    </cfRule>
  </conditionalFormatting>
  <conditionalFormatting sqref="P66">
    <cfRule type="cellIs" dxfId="1506" priority="140429" stopIfTrue="1" operator="greaterThanOrEqual">
      <formula>0.5</formula>
    </cfRule>
  </conditionalFormatting>
  <conditionalFormatting sqref="P67">
    <cfRule type="cellIs" dxfId="1505" priority="140430" stopIfTrue="1" operator="equal">
      <formula>-1</formula>
    </cfRule>
  </conditionalFormatting>
  <conditionalFormatting sqref="P67">
    <cfRule type="cellIs" dxfId="1504" priority="140431" stopIfTrue="1" operator="lessThan">
      <formula>0.5</formula>
    </cfRule>
  </conditionalFormatting>
  <conditionalFormatting sqref="P67">
    <cfRule type="cellIs" dxfId="1503" priority="140432" stopIfTrue="1" operator="greaterThanOrEqual">
      <formula>0.5</formula>
    </cfRule>
  </conditionalFormatting>
  <conditionalFormatting sqref="P68">
    <cfRule type="cellIs" dxfId="1502" priority="140433" stopIfTrue="1" operator="equal">
      <formula>-1</formula>
    </cfRule>
  </conditionalFormatting>
  <conditionalFormatting sqref="P68">
    <cfRule type="cellIs" dxfId="1501" priority="140434" stopIfTrue="1" operator="lessThan">
      <formula>0.5</formula>
    </cfRule>
  </conditionalFormatting>
  <conditionalFormatting sqref="P68">
    <cfRule type="cellIs" dxfId="1500" priority="140435" stopIfTrue="1" operator="greaterThanOrEqual">
      <formula>0.5</formula>
    </cfRule>
  </conditionalFormatting>
  <conditionalFormatting sqref="P69">
    <cfRule type="cellIs" dxfId="1499" priority="140436" stopIfTrue="1" operator="equal">
      <formula>-1</formula>
    </cfRule>
  </conditionalFormatting>
  <conditionalFormatting sqref="P69">
    <cfRule type="cellIs" dxfId="1498" priority="140437" stopIfTrue="1" operator="lessThan">
      <formula>0.5</formula>
    </cfRule>
  </conditionalFormatting>
  <conditionalFormatting sqref="P69">
    <cfRule type="cellIs" dxfId="1497" priority="140438" stopIfTrue="1" operator="greaterThanOrEqual">
      <formula>0.5</formula>
    </cfRule>
  </conditionalFormatting>
  <conditionalFormatting sqref="P70">
    <cfRule type="cellIs" dxfId="1496" priority="140439" stopIfTrue="1" operator="equal">
      <formula>-1</formula>
    </cfRule>
  </conditionalFormatting>
  <conditionalFormatting sqref="P70">
    <cfRule type="cellIs" dxfId="1495" priority="140440" stopIfTrue="1" operator="lessThan">
      <formula>0.5</formula>
    </cfRule>
  </conditionalFormatting>
  <conditionalFormatting sqref="P70">
    <cfRule type="cellIs" dxfId="1494" priority="140441" stopIfTrue="1" operator="greaterThanOrEqual">
      <formula>0.5</formula>
    </cfRule>
  </conditionalFormatting>
  <conditionalFormatting sqref="P71">
    <cfRule type="cellIs" dxfId="1493" priority="140442" stopIfTrue="1" operator="equal">
      <formula>-1</formula>
    </cfRule>
  </conditionalFormatting>
  <conditionalFormatting sqref="P71">
    <cfRule type="cellIs" dxfId="1492" priority="140443" stopIfTrue="1" operator="lessThan">
      <formula>0.5</formula>
    </cfRule>
  </conditionalFormatting>
  <conditionalFormatting sqref="P71">
    <cfRule type="cellIs" dxfId="1491" priority="140444" stopIfTrue="1" operator="greaterThanOrEqual">
      <formula>0.5</formula>
    </cfRule>
  </conditionalFormatting>
  <conditionalFormatting sqref="P72">
    <cfRule type="cellIs" dxfId="1490" priority="140445" stopIfTrue="1" operator="equal">
      <formula>-1</formula>
    </cfRule>
  </conditionalFormatting>
  <conditionalFormatting sqref="P72">
    <cfRule type="cellIs" dxfId="1489" priority="140446" stopIfTrue="1" operator="lessThan">
      <formula>0.5</formula>
    </cfRule>
  </conditionalFormatting>
  <conditionalFormatting sqref="P72">
    <cfRule type="cellIs" dxfId="1488" priority="140447" stopIfTrue="1" operator="greaterThanOrEqual">
      <formula>0.5</formula>
    </cfRule>
  </conditionalFormatting>
  <conditionalFormatting sqref="P73">
    <cfRule type="cellIs" dxfId="1487" priority="140448" stopIfTrue="1" operator="equal">
      <formula>-1</formula>
    </cfRule>
  </conditionalFormatting>
  <conditionalFormatting sqref="P73">
    <cfRule type="cellIs" dxfId="1486" priority="140449" stopIfTrue="1" operator="lessThan">
      <formula>0.5</formula>
    </cfRule>
  </conditionalFormatting>
  <conditionalFormatting sqref="P73">
    <cfRule type="cellIs" dxfId="1485" priority="140450" stopIfTrue="1" operator="greaterThanOrEqual">
      <formula>0.5</formula>
    </cfRule>
  </conditionalFormatting>
  <conditionalFormatting sqref="P74">
    <cfRule type="cellIs" dxfId="1484" priority="140451" stopIfTrue="1" operator="equal">
      <formula>-1</formula>
    </cfRule>
  </conditionalFormatting>
  <conditionalFormatting sqref="P74">
    <cfRule type="cellIs" dxfId="1483" priority="140452" stopIfTrue="1" operator="lessThan">
      <formula>0.5</formula>
    </cfRule>
  </conditionalFormatting>
  <conditionalFormatting sqref="P74">
    <cfRule type="cellIs" dxfId="1482" priority="140453" stopIfTrue="1" operator="greaterThanOrEqual">
      <formula>0.5</formula>
    </cfRule>
  </conditionalFormatting>
  <conditionalFormatting sqref="P75">
    <cfRule type="cellIs" dxfId="1481" priority="140454" stopIfTrue="1" operator="equal">
      <formula>-1</formula>
    </cfRule>
  </conditionalFormatting>
  <conditionalFormatting sqref="P75">
    <cfRule type="cellIs" dxfId="1480" priority="140455" stopIfTrue="1" operator="lessThan">
      <formula>0.5</formula>
    </cfRule>
  </conditionalFormatting>
  <conditionalFormatting sqref="P75">
    <cfRule type="cellIs" dxfId="1479" priority="140456" stopIfTrue="1" operator="greaterThanOrEqual">
      <formula>0.5</formula>
    </cfRule>
  </conditionalFormatting>
  <conditionalFormatting sqref="P76">
    <cfRule type="cellIs" dxfId="1478" priority="140457" stopIfTrue="1" operator="equal">
      <formula>-1</formula>
    </cfRule>
  </conditionalFormatting>
  <conditionalFormatting sqref="P76">
    <cfRule type="cellIs" dxfId="1477" priority="140458" stopIfTrue="1" operator="lessThan">
      <formula>0.5</formula>
    </cfRule>
  </conditionalFormatting>
  <conditionalFormatting sqref="P76">
    <cfRule type="cellIs" dxfId="1476" priority="140459" stopIfTrue="1" operator="greaterThanOrEqual">
      <formula>0.5</formula>
    </cfRule>
  </conditionalFormatting>
  <conditionalFormatting sqref="P77">
    <cfRule type="cellIs" dxfId="1475" priority="140460" stopIfTrue="1" operator="equal">
      <formula>-1</formula>
    </cfRule>
  </conditionalFormatting>
  <conditionalFormatting sqref="P77">
    <cfRule type="cellIs" dxfId="1474" priority="140461" stopIfTrue="1" operator="lessThan">
      <formula>0.5</formula>
    </cfRule>
  </conditionalFormatting>
  <conditionalFormatting sqref="P77">
    <cfRule type="cellIs" dxfId="1473" priority="140462" stopIfTrue="1" operator="greaterThanOrEqual">
      <formula>0.5</formula>
    </cfRule>
  </conditionalFormatting>
  <conditionalFormatting sqref="P78">
    <cfRule type="cellIs" dxfId="1472" priority="140463" stopIfTrue="1" operator="equal">
      <formula>-1</formula>
    </cfRule>
  </conditionalFormatting>
  <conditionalFormatting sqref="P78">
    <cfRule type="cellIs" dxfId="1471" priority="140464" stopIfTrue="1" operator="lessThan">
      <formula>0.5</formula>
    </cfRule>
  </conditionalFormatting>
  <conditionalFormatting sqref="P78">
    <cfRule type="cellIs" dxfId="1470" priority="140465" stopIfTrue="1" operator="greaterThanOrEqual">
      <formula>0.5</formula>
    </cfRule>
  </conditionalFormatting>
  <conditionalFormatting sqref="P79">
    <cfRule type="cellIs" dxfId="1469" priority="140466" stopIfTrue="1" operator="equal">
      <formula>-1</formula>
    </cfRule>
  </conditionalFormatting>
  <conditionalFormatting sqref="P79">
    <cfRule type="cellIs" dxfId="1468" priority="140467" stopIfTrue="1" operator="lessThan">
      <formula>0.5</formula>
    </cfRule>
  </conditionalFormatting>
  <conditionalFormatting sqref="P79">
    <cfRule type="cellIs" dxfId="1467" priority="140468" stopIfTrue="1" operator="greaterThanOrEqual">
      <formula>0.5</formula>
    </cfRule>
  </conditionalFormatting>
  <conditionalFormatting sqref="P80">
    <cfRule type="cellIs" dxfId="1466" priority="140469" stopIfTrue="1" operator="equal">
      <formula>-1</formula>
    </cfRule>
  </conditionalFormatting>
  <conditionalFormatting sqref="P80">
    <cfRule type="cellIs" dxfId="1465" priority="140470" stopIfTrue="1" operator="lessThan">
      <formula>0.5</formula>
    </cfRule>
  </conditionalFormatting>
  <conditionalFormatting sqref="P80">
    <cfRule type="cellIs" dxfId="1464" priority="140471" stopIfTrue="1" operator="greaterThanOrEqual">
      <formula>0.5</formula>
    </cfRule>
  </conditionalFormatting>
  <conditionalFormatting sqref="P81">
    <cfRule type="cellIs" dxfId="1463" priority="140472" stopIfTrue="1" operator="equal">
      <formula>-1</formula>
    </cfRule>
  </conditionalFormatting>
  <conditionalFormatting sqref="P81">
    <cfRule type="cellIs" dxfId="1462" priority="140473" stopIfTrue="1" operator="lessThan">
      <formula>0.5</formula>
    </cfRule>
  </conditionalFormatting>
  <conditionalFormatting sqref="P81">
    <cfRule type="cellIs" dxfId="1461" priority="140474" stopIfTrue="1" operator="greaterThanOrEqual">
      <formula>0.5</formula>
    </cfRule>
  </conditionalFormatting>
  <conditionalFormatting sqref="P82">
    <cfRule type="cellIs" dxfId="1460" priority="140475" stopIfTrue="1" operator="equal">
      <formula>-1</formula>
    </cfRule>
  </conditionalFormatting>
  <conditionalFormatting sqref="P82">
    <cfRule type="cellIs" dxfId="1459" priority="140476" stopIfTrue="1" operator="lessThan">
      <formula>0.5</formula>
    </cfRule>
  </conditionalFormatting>
  <conditionalFormatting sqref="P82">
    <cfRule type="cellIs" dxfId="1458" priority="140477" stopIfTrue="1" operator="greaterThanOrEqual">
      <formula>0.5</formula>
    </cfRule>
  </conditionalFormatting>
  <conditionalFormatting sqref="P83">
    <cfRule type="cellIs" dxfId="1457" priority="140478" stopIfTrue="1" operator="equal">
      <formula>-1</formula>
    </cfRule>
  </conditionalFormatting>
  <conditionalFormatting sqref="P83">
    <cfRule type="cellIs" dxfId="1456" priority="140479" stopIfTrue="1" operator="lessThan">
      <formula>0.5</formula>
    </cfRule>
  </conditionalFormatting>
  <conditionalFormatting sqref="P83">
    <cfRule type="cellIs" dxfId="1455" priority="140480" stopIfTrue="1" operator="greaterThanOrEqual">
      <formula>0.5</formula>
    </cfRule>
  </conditionalFormatting>
  <conditionalFormatting sqref="P84">
    <cfRule type="cellIs" dxfId="1454" priority="140481" stopIfTrue="1" operator="equal">
      <formula>-1</formula>
    </cfRule>
  </conditionalFormatting>
  <conditionalFormatting sqref="P84">
    <cfRule type="cellIs" dxfId="1453" priority="140482" stopIfTrue="1" operator="lessThan">
      <formula>0.5</formula>
    </cfRule>
  </conditionalFormatting>
  <conditionalFormatting sqref="P84">
    <cfRule type="cellIs" dxfId="1452" priority="140483" stopIfTrue="1" operator="greaterThanOrEqual">
      <formula>0.5</formula>
    </cfRule>
  </conditionalFormatting>
  <conditionalFormatting sqref="P85">
    <cfRule type="cellIs" dxfId="1451" priority="140484" stopIfTrue="1" operator="equal">
      <formula>-1</formula>
    </cfRule>
  </conditionalFormatting>
  <conditionalFormatting sqref="P85">
    <cfRule type="cellIs" dxfId="1450" priority="140485" stopIfTrue="1" operator="lessThan">
      <formula>0.5</formula>
    </cfRule>
  </conditionalFormatting>
  <conditionalFormatting sqref="P85">
    <cfRule type="cellIs" dxfId="1449" priority="140486" stopIfTrue="1" operator="greaterThanOrEqual">
      <formula>0.5</formula>
    </cfRule>
  </conditionalFormatting>
  <conditionalFormatting sqref="R65">
    <cfRule type="cellIs" dxfId="1448" priority="140487" stopIfTrue="1" operator="equal">
      <formula>-1</formula>
    </cfRule>
  </conditionalFormatting>
  <conditionalFormatting sqref="R65">
    <cfRule type="cellIs" dxfId="1447" priority="140488" stopIfTrue="1" operator="lessThan">
      <formula>0.5</formula>
    </cfRule>
  </conditionalFormatting>
  <conditionalFormatting sqref="R65">
    <cfRule type="cellIs" dxfId="1446" priority="140489" stopIfTrue="1" operator="greaterThanOrEqual">
      <formula>0.5</formula>
    </cfRule>
  </conditionalFormatting>
  <conditionalFormatting sqref="R66">
    <cfRule type="cellIs" dxfId="1445" priority="140490" stopIfTrue="1" operator="equal">
      <formula>-1</formula>
    </cfRule>
  </conditionalFormatting>
  <conditionalFormatting sqref="R66">
    <cfRule type="cellIs" dxfId="1444" priority="140491" stopIfTrue="1" operator="lessThan">
      <formula>0.5</formula>
    </cfRule>
  </conditionalFormatting>
  <conditionalFormatting sqref="R66">
    <cfRule type="cellIs" dxfId="1443" priority="140492" stopIfTrue="1" operator="greaterThanOrEqual">
      <formula>0.5</formula>
    </cfRule>
  </conditionalFormatting>
  <conditionalFormatting sqref="R67">
    <cfRule type="cellIs" dxfId="1442" priority="140493" stopIfTrue="1" operator="equal">
      <formula>-1</formula>
    </cfRule>
  </conditionalFormatting>
  <conditionalFormatting sqref="R67">
    <cfRule type="cellIs" dxfId="1441" priority="140494" stopIfTrue="1" operator="lessThan">
      <formula>0.5</formula>
    </cfRule>
  </conditionalFormatting>
  <conditionalFormatting sqref="R67">
    <cfRule type="cellIs" dxfId="1440" priority="140495" stopIfTrue="1" operator="greaterThanOrEqual">
      <formula>0.5</formula>
    </cfRule>
  </conditionalFormatting>
  <conditionalFormatting sqref="R68">
    <cfRule type="cellIs" dxfId="1439" priority="140496" stopIfTrue="1" operator="equal">
      <formula>-1</formula>
    </cfRule>
  </conditionalFormatting>
  <conditionalFormatting sqref="R68">
    <cfRule type="cellIs" dxfId="1438" priority="140497" stopIfTrue="1" operator="lessThan">
      <formula>0.5</formula>
    </cfRule>
  </conditionalFormatting>
  <conditionalFormatting sqref="R68">
    <cfRule type="cellIs" dxfId="1437" priority="140498" stopIfTrue="1" operator="greaterThanOrEqual">
      <formula>0.5</formula>
    </cfRule>
  </conditionalFormatting>
  <conditionalFormatting sqref="R69">
    <cfRule type="cellIs" dxfId="1436" priority="140499" stopIfTrue="1" operator="equal">
      <formula>-1</formula>
    </cfRule>
  </conditionalFormatting>
  <conditionalFormatting sqref="R69">
    <cfRule type="cellIs" dxfId="1435" priority="140500" stopIfTrue="1" operator="lessThan">
      <formula>0.5</formula>
    </cfRule>
  </conditionalFormatting>
  <conditionalFormatting sqref="R69">
    <cfRule type="cellIs" dxfId="1434" priority="140501" stopIfTrue="1" operator="greaterThanOrEqual">
      <formula>0.5</formula>
    </cfRule>
  </conditionalFormatting>
  <conditionalFormatting sqref="R70">
    <cfRule type="cellIs" dxfId="1433" priority="140502" stopIfTrue="1" operator="equal">
      <formula>-1</formula>
    </cfRule>
  </conditionalFormatting>
  <conditionalFormatting sqref="R70">
    <cfRule type="cellIs" dxfId="1432" priority="140503" stopIfTrue="1" operator="lessThan">
      <formula>0.5</formula>
    </cfRule>
  </conditionalFormatting>
  <conditionalFormatting sqref="R70">
    <cfRule type="cellIs" dxfId="1431" priority="140504" stopIfTrue="1" operator="greaterThanOrEqual">
      <formula>0.5</formula>
    </cfRule>
  </conditionalFormatting>
  <conditionalFormatting sqref="R71">
    <cfRule type="cellIs" dxfId="1430" priority="140505" stopIfTrue="1" operator="equal">
      <formula>-1</formula>
    </cfRule>
  </conditionalFormatting>
  <conditionalFormatting sqref="R71">
    <cfRule type="cellIs" dxfId="1429" priority="140506" stopIfTrue="1" operator="lessThan">
      <formula>0.5</formula>
    </cfRule>
  </conditionalFormatting>
  <conditionalFormatting sqref="R71">
    <cfRule type="cellIs" dxfId="1428" priority="140507" stopIfTrue="1" operator="greaterThanOrEqual">
      <formula>0.5</formula>
    </cfRule>
  </conditionalFormatting>
  <conditionalFormatting sqref="R72">
    <cfRule type="cellIs" dxfId="1427" priority="140508" stopIfTrue="1" operator="equal">
      <formula>-1</formula>
    </cfRule>
  </conditionalFormatting>
  <conditionalFormatting sqref="R72">
    <cfRule type="cellIs" dxfId="1426" priority="140509" stopIfTrue="1" operator="lessThan">
      <formula>0.5</formula>
    </cfRule>
  </conditionalFormatting>
  <conditionalFormatting sqref="R72">
    <cfRule type="cellIs" dxfId="1425" priority="140510" stopIfTrue="1" operator="greaterThanOrEqual">
      <formula>0.5</formula>
    </cfRule>
  </conditionalFormatting>
  <conditionalFormatting sqref="R73">
    <cfRule type="cellIs" dxfId="1424" priority="140511" stopIfTrue="1" operator="equal">
      <formula>-1</formula>
    </cfRule>
  </conditionalFormatting>
  <conditionalFormatting sqref="R73">
    <cfRule type="cellIs" dxfId="1423" priority="140512" stopIfTrue="1" operator="lessThan">
      <formula>0.5</formula>
    </cfRule>
  </conditionalFormatting>
  <conditionalFormatting sqref="R73">
    <cfRule type="cellIs" dxfId="1422" priority="140513" stopIfTrue="1" operator="greaterThanOrEqual">
      <formula>0.5</formula>
    </cfRule>
  </conditionalFormatting>
  <conditionalFormatting sqref="R74">
    <cfRule type="cellIs" dxfId="1421" priority="140514" stopIfTrue="1" operator="equal">
      <formula>-1</formula>
    </cfRule>
  </conditionalFormatting>
  <conditionalFormatting sqref="R74">
    <cfRule type="cellIs" dxfId="1420" priority="140515" stopIfTrue="1" operator="lessThan">
      <formula>0.5</formula>
    </cfRule>
  </conditionalFormatting>
  <conditionalFormatting sqref="R74">
    <cfRule type="cellIs" dxfId="1419" priority="140516" stopIfTrue="1" operator="greaterThanOrEqual">
      <formula>0.5</formula>
    </cfRule>
  </conditionalFormatting>
  <conditionalFormatting sqref="R75">
    <cfRule type="cellIs" dxfId="1418" priority="140517" stopIfTrue="1" operator="equal">
      <formula>-1</formula>
    </cfRule>
  </conditionalFormatting>
  <conditionalFormatting sqref="R75">
    <cfRule type="cellIs" dxfId="1417" priority="140518" stopIfTrue="1" operator="lessThan">
      <formula>0.5</formula>
    </cfRule>
  </conditionalFormatting>
  <conditionalFormatting sqref="R75">
    <cfRule type="cellIs" dxfId="1416" priority="140519" stopIfTrue="1" operator="greaterThanOrEqual">
      <formula>0.5</formula>
    </cfRule>
  </conditionalFormatting>
  <conditionalFormatting sqref="R76">
    <cfRule type="cellIs" dxfId="1415" priority="140520" stopIfTrue="1" operator="equal">
      <formula>-1</formula>
    </cfRule>
  </conditionalFormatting>
  <conditionalFormatting sqref="R76">
    <cfRule type="cellIs" dxfId="1414" priority="140521" stopIfTrue="1" operator="lessThan">
      <formula>0.5</formula>
    </cfRule>
  </conditionalFormatting>
  <conditionalFormatting sqref="R76">
    <cfRule type="cellIs" dxfId="1413" priority="140522" stopIfTrue="1" operator="greaterThanOrEqual">
      <formula>0.5</formula>
    </cfRule>
  </conditionalFormatting>
  <conditionalFormatting sqref="R77">
    <cfRule type="cellIs" dxfId="1412" priority="140523" stopIfTrue="1" operator="equal">
      <formula>-1</formula>
    </cfRule>
  </conditionalFormatting>
  <conditionalFormatting sqref="R77">
    <cfRule type="cellIs" dxfId="1411" priority="140524" stopIfTrue="1" operator="lessThan">
      <formula>0.5</formula>
    </cfRule>
  </conditionalFormatting>
  <conditionalFormatting sqref="R77">
    <cfRule type="cellIs" dxfId="1410" priority="140525" stopIfTrue="1" operator="greaterThanOrEqual">
      <formula>0.5</formula>
    </cfRule>
  </conditionalFormatting>
  <conditionalFormatting sqref="R78">
    <cfRule type="cellIs" dxfId="1409" priority="140526" stopIfTrue="1" operator="equal">
      <formula>-1</formula>
    </cfRule>
  </conditionalFormatting>
  <conditionalFormatting sqref="R78">
    <cfRule type="cellIs" dxfId="1408" priority="140527" stopIfTrue="1" operator="lessThan">
      <formula>0.5</formula>
    </cfRule>
  </conditionalFormatting>
  <conditionalFormatting sqref="R78">
    <cfRule type="cellIs" dxfId="1407" priority="140528" stopIfTrue="1" operator="greaterThanOrEqual">
      <formula>0.5</formula>
    </cfRule>
  </conditionalFormatting>
  <conditionalFormatting sqref="R79">
    <cfRule type="cellIs" dxfId="1406" priority="140529" stopIfTrue="1" operator="equal">
      <formula>-1</formula>
    </cfRule>
  </conditionalFormatting>
  <conditionalFormatting sqref="R79">
    <cfRule type="cellIs" dxfId="1405" priority="140530" stopIfTrue="1" operator="lessThan">
      <formula>0.5</formula>
    </cfRule>
  </conditionalFormatting>
  <conditionalFormatting sqref="R79">
    <cfRule type="cellIs" dxfId="1404" priority="140531" stopIfTrue="1" operator="greaterThanOrEqual">
      <formula>0.5</formula>
    </cfRule>
  </conditionalFormatting>
  <conditionalFormatting sqref="R80">
    <cfRule type="cellIs" dxfId="1403" priority="140532" stopIfTrue="1" operator="equal">
      <formula>-1</formula>
    </cfRule>
  </conditionalFormatting>
  <conditionalFormatting sqref="R80">
    <cfRule type="cellIs" dxfId="1402" priority="140533" stopIfTrue="1" operator="lessThan">
      <formula>0.5</formula>
    </cfRule>
  </conditionalFormatting>
  <conditionalFormatting sqref="R80">
    <cfRule type="cellIs" dxfId="1401" priority="140534" stopIfTrue="1" operator="greaterThanOrEqual">
      <formula>0.5</formula>
    </cfRule>
  </conditionalFormatting>
  <conditionalFormatting sqref="R81">
    <cfRule type="cellIs" dxfId="1400" priority="140535" stopIfTrue="1" operator="equal">
      <formula>-1</formula>
    </cfRule>
  </conditionalFormatting>
  <conditionalFormatting sqref="R81">
    <cfRule type="cellIs" dxfId="1399" priority="140536" stopIfTrue="1" operator="lessThan">
      <formula>0.5</formula>
    </cfRule>
  </conditionalFormatting>
  <conditionalFormatting sqref="R81">
    <cfRule type="cellIs" dxfId="1398" priority="140537" stopIfTrue="1" operator="greaterThanOrEqual">
      <formula>0.5</formula>
    </cfRule>
  </conditionalFormatting>
  <conditionalFormatting sqref="R82">
    <cfRule type="cellIs" dxfId="1397" priority="140538" stopIfTrue="1" operator="equal">
      <formula>-1</formula>
    </cfRule>
  </conditionalFormatting>
  <conditionalFormatting sqref="R82">
    <cfRule type="cellIs" dxfId="1396" priority="140539" stopIfTrue="1" operator="lessThan">
      <formula>0.5</formula>
    </cfRule>
  </conditionalFormatting>
  <conditionalFormatting sqref="R82">
    <cfRule type="cellIs" dxfId="1395" priority="140540" stopIfTrue="1" operator="greaterThanOrEqual">
      <formula>0.5</formula>
    </cfRule>
  </conditionalFormatting>
  <conditionalFormatting sqref="R83">
    <cfRule type="cellIs" dxfId="1394" priority="140541" stopIfTrue="1" operator="equal">
      <formula>-1</formula>
    </cfRule>
  </conditionalFormatting>
  <conditionalFormatting sqref="R83">
    <cfRule type="cellIs" dxfId="1393" priority="140542" stopIfTrue="1" operator="lessThan">
      <formula>0.5</formula>
    </cfRule>
  </conditionalFormatting>
  <conditionalFormatting sqref="R83">
    <cfRule type="cellIs" dxfId="1392" priority="140543" stopIfTrue="1" operator="greaterThanOrEqual">
      <formula>0.5</formula>
    </cfRule>
  </conditionalFormatting>
  <conditionalFormatting sqref="R84">
    <cfRule type="cellIs" dxfId="1391" priority="140544" stopIfTrue="1" operator="equal">
      <formula>-1</formula>
    </cfRule>
  </conditionalFormatting>
  <conditionalFormatting sqref="R84">
    <cfRule type="cellIs" dxfId="1390" priority="140545" stopIfTrue="1" operator="lessThan">
      <formula>0.5</formula>
    </cfRule>
  </conditionalFormatting>
  <conditionalFormatting sqref="R84">
    <cfRule type="cellIs" dxfId="1389" priority="140546" stopIfTrue="1" operator="greaterThanOrEqual">
      <formula>0.5</formula>
    </cfRule>
  </conditionalFormatting>
  <conditionalFormatting sqref="R85">
    <cfRule type="cellIs" dxfId="1388" priority="140547" stopIfTrue="1" operator="equal">
      <formula>-1</formula>
    </cfRule>
  </conditionalFormatting>
  <conditionalFormatting sqref="R85">
    <cfRule type="cellIs" dxfId="1387" priority="140548" stopIfTrue="1" operator="lessThan">
      <formula>0.5</formula>
    </cfRule>
  </conditionalFormatting>
  <conditionalFormatting sqref="R85">
    <cfRule type="cellIs" dxfId="1386" priority="140549" stopIfTrue="1" operator="greaterThanOrEqual">
      <formula>0.5</formula>
    </cfRule>
  </conditionalFormatting>
  <conditionalFormatting sqref="T65">
    <cfRule type="cellIs" dxfId="1385" priority="140550" stopIfTrue="1" operator="equal">
      <formula>-1</formula>
    </cfRule>
  </conditionalFormatting>
  <conditionalFormatting sqref="T65">
    <cfRule type="cellIs" dxfId="1384" priority="140551" stopIfTrue="1" operator="lessThan">
      <formula>0.5</formula>
    </cfRule>
  </conditionalFormatting>
  <conditionalFormatting sqref="T65">
    <cfRule type="cellIs" dxfId="1383" priority="140552" stopIfTrue="1" operator="greaterThanOrEqual">
      <formula>0.5</formula>
    </cfRule>
  </conditionalFormatting>
  <conditionalFormatting sqref="T66">
    <cfRule type="cellIs" dxfId="1382" priority="140553" stopIfTrue="1" operator="equal">
      <formula>-1</formula>
    </cfRule>
  </conditionalFormatting>
  <conditionalFormatting sqref="T66">
    <cfRule type="cellIs" dxfId="1381" priority="140554" stopIfTrue="1" operator="lessThan">
      <formula>0.5</formula>
    </cfRule>
  </conditionalFormatting>
  <conditionalFormatting sqref="T66">
    <cfRule type="cellIs" dxfId="1380" priority="140555" stopIfTrue="1" operator="greaterThanOrEqual">
      <formula>0.5</formula>
    </cfRule>
  </conditionalFormatting>
  <conditionalFormatting sqref="T67">
    <cfRule type="cellIs" dxfId="1379" priority="140556" stopIfTrue="1" operator="equal">
      <formula>-1</formula>
    </cfRule>
  </conditionalFormatting>
  <conditionalFormatting sqref="T67">
    <cfRule type="cellIs" dxfId="1378" priority="140557" stopIfTrue="1" operator="lessThan">
      <formula>0.5</formula>
    </cfRule>
  </conditionalFormatting>
  <conditionalFormatting sqref="T67">
    <cfRule type="cellIs" dxfId="1377" priority="140558" stopIfTrue="1" operator="greaterThanOrEqual">
      <formula>0.5</formula>
    </cfRule>
  </conditionalFormatting>
  <conditionalFormatting sqref="T68">
    <cfRule type="cellIs" dxfId="1376" priority="140559" stopIfTrue="1" operator="equal">
      <formula>-1</formula>
    </cfRule>
  </conditionalFormatting>
  <conditionalFormatting sqref="T68">
    <cfRule type="cellIs" dxfId="1375" priority="140560" stopIfTrue="1" operator="lessThan">
      <formula>0.5</formula>
    </cfRule>
  </conditionalFormatting>
  <conditionalFormatting sqref="T68">
    <cfRule type="cellIs" dxfId="1374" priority="140561" stopIfTrue="1" operator="greaterThanOrEqual">
      <formula>0.5</formula>
    </cfRule>
  </conditionalFormatting>
  <conditionalFormatting sqref="T69">
    <cfRule type="cellIs" dxfId="1373" priority="140562" stopIfTrue="1" operator="equal">
      <formula>-1</formula>
    </cfRule>
  </conditionalFormatting>
  <conditionalFormatting sqref="T69">
    <cfRule type="cellIs" dxfId="1372" priority="140563" stopIfTrue="1" operator="lessThan">
      <formula>0.5</formula>
    </cfRule>
  </conditionalFormatting>
  <conditionalFormatting sqref="T69">
    <cfRule type="cellIs" dxfId="1371" priority="140564" stopIfTrue="1" operator="greaterThanOrEqual">
      <formula>0.5</formula>
    </cfRule>
  </conditionalFormatting>
  <conditionalFormatting sqref="T70">
    <cfRule type="cellIs" dxfId="1370" priority="140565" stopIfTrue="1" operator="equal">
      <formula>-1</formula>
    </cfRule>
  </conditionalFormatting>
  <conditionalFormatting sqref="T70">
    <cfRule type="cellIs" dxfId="1369" priority="140566" stopIfTrue="1" operator="lessThan">
      <formula>0.5</formula>
    </cfRule>
  </conditionalFormatting>
  <conditionalFormatting sqref="T70">
    <cfRule type="cellIs" dxfId="1368" priority="140567" stopIfTrue="1" operator="greaterThanOrEqual">
      <formula>0.5</formula>
    </cfRule>
  </conditionalFormatting>
  <conditionalFormatting sqref="T71">
    <cfRule type="cellIs" dxfId="1367" priority="140568" stopIfTrue="1" operator="equal">
      <formula>-1</formula>
    </cfRule>
  </conditionalFormatting>
  <conditionalFormatting sqref="T71">
    <cfRule type="cellIs" dxfId="1366" priority="140569" stopIfTrue="1" operator="lessThan">
      <formula>0.5</formula>
    </cfRule>
  </conditionalFormatting>
  <conditionalFormatting sqref="T71">
    <cfRule type="cellIs" dxfId="1365" priority="140570" stopIfTrue="1" operator="greaterThanOrEqual">
      <formula>0.5</formula>
    </cfRule>
  </conditionalFormatting>
  <conditionalFormatting sqref="T72">
    <cfRule type="cellIs" dxfId="1364" priority="140571" stopIfTrue="1" operator="equal">
      <formula>-1</formula>
    </cfRule>
  </conditionalFormatting>
  <conditionalFormatting sqref="T72">
    <cfRule type="cellIs" dxfId="1363" priority="140572" stopIfTrue="1" operator="lessThan">
      <formula>0.5</formula>
    </cfRule>
  </conditionalFormatting>
  <conditionalFormatting sqref="T72">
    <cfRule type="cellIs" dxfId="1362" priority="140573" stopIfTrue="1" operator="greaterThanOrEqual">
      <formula>0.5</formula>
    </cfRule>
  </conditionalFormatting>
  <conditionalFormatting sqref="T73">
    <cfRule type="cellIs" dxfId="1361" priority="140574" stopIfTrue="1" operator="equal">
      <formula>-1</formula>
    </cfRule>
  </conditionalFormatting>
  <conditionalFormatting sqref="T73">
    <cfRule type="cellIs" dxfId="1360" priority="140575" stopIfTrue="1" operator="lessThan">
      <formula>0.5</formula>
    </cfRule>
  </conditionalFormatting>
  <conditionalFormatting sqref="T73">
    <cfRule type="cellIs" dxfId="1359" priority="140576" stopIfTrue="1" operator="greaterThanOrEqual">
      <formula>0.5</formula>
    </cfRule>
  </conditionalFormatting>
  <conditionalFormatting sqref="T74">
    <cfRule type="cellIs" dxfId="1358" priority="140577" stopIfTrue="1" operator="equal">
      <formula>-1</formula>
    </cfRule>
  </conditionalFormatting>
  <conditionalFormatting sqref="T74">
    <cfRule type="cellIs" dxfId="1357" priority="140578" stopIfTrue="1" operator="lessThan">
      <formula>0.5</formula>
    </cfRule>
  </conditionalFormatting>
  <conditionalFormatting sqref="T74">
    <cfRule type="cellIs" dxfId="1356" priority="140579" stopIfTrue="1" operator="greaterThanOrEqual">
      <formula>0.5</formula>
    </cfRule>
  </conditionalFormatting>
  <conditionalFormatting sqref="T75">
    <cfRule type="cellIs" dxfId="1355" priority="140580" stopIfTrue="1" operator="equal">
      <formula>-1</formula>
    </cfRule>
  </conditionalFormatting>
  <conditionalFormatting sqref="T75">
    <cfRule type="cellIs" dxfId="1354" priority="140581" stopIfTrue="1" operator="lessThan">
      <formula>0.5</formula>
    </cfRule>
  </conditionalFormatting>
  <conditionalFormatting sqref="T75">
    <cfRule type="cellIs" dxfId="1353" priority="140582" stopIfTrue="1" operator="greaterThanOrEqual">
      <formula>0.5</formula>
    </cfRule>
  </conditionalFormatting>
  <conditionalFormatting sqref="T76">
    <cfRule type="cellIs" dxfId="1352" priority="140583" stopIfTrue="1" operator="equal">
      <formula>-1</formula>
    </cfRule>
  </conditionalFormatting>
  <conditionalFormatting sqref="T76">
    <cfRule type="cellIs" dxfId="1351" priority="140584" stopIfTrue="1" operator="lessThan">
      <formula>0.5</formula>
    </cfRule>
  </conditionalFormatting>
  <conditionalFormatting sqref="T76">
    <cfRule type="cellIs" dxfId="1350" priority="140585" stopIfTrue="1" operator="greaterThanOrEqual">
      <formula>0.5</formula>
    </cfRule>
  </conditionalFormatting>
  <conditionalFormatting sqref="T77">
    <cfRule type="cellIs" dxfId="1349" priority="140586" stopIfTrue="1" operator="equal">
      <formula>-1</formula>
    </cfRule>
  </conditionalFormatting>
  <conditionalFormatting sqref="T77">
    <cfRule type="cellIs" dxfId="1348" priority="140587" stopIfTrue="1" operator="lessThan">
      <formula>0.5</formula>
    </cfRule>
  </conditionalFormatting>
  <conditionalFormatting sqref="T77">
    <cfRule type="cellIs" dxfId="1347" priority="140588" stopIfTrue="1" operator="greaterThanOrEqual">
      <formula>0.5</formula>
    </cfRule>
  </conditionalFormatting>
  <conditionalFormatting sqref="T78">
    <cfRule type="cellIs" dxfId="1346" priority="140589" stopIfTrue="1" operator="equal">
      <formula>-1</formula>
    </cfRule>
  </conditionalFormatting>
  <conditionalFormatting sqref="T78">
    <cfRule type="cellIs" dxfId="1345" priority="140590" stopIfTrue="1" operator="lessThan">
      <formula>0.5</formula>
    </cfRule>
  </conditionalFormatting>
  <conditionalFormatting sqref="T78">
    <cfRule type="cellIs" dxfId="1344" priority="140591" stopIfTrue="1" operator="greaterThanOrEqual">
      <formula>0.5</formula>
    </cfRule>
  </conditionalFormatting>
  <conditionalFormatting sqref="T79">
    <cfRule type="cellIs" dxfId="1343" priority="140592" stopIfTrue="1" operator="equal">
      <formula>-1</formula>
    </cfRule>
  </conditionalFormatting>
  <conditionalFormatting sqref="T79">
    <cfRule type="cellIs" dxfId="1342" priority="140593" stopIfTrue="1" operator="lessThan">
      <formula>0.5</formula>
    </cfRule>
  </conditionalFormatting>
  <conditionalFormatting sqref="T79">
    <cfRule type="cellIs" dxfId="1341" priority="140594" stopIfTrue="1" operator="greaterThanOrEqual">
      <formula>0.5</formula>
    </cfRule>
  </conditionalFormatting>
  <conditionalFormatting sqref="T80">
    <cfRule type="cellIs" dxfId="1340" priority="140595" stopIfTrue="1" operator="equal">
      <formula>-1</formula>
    </cfRule>
  </conditionalFormatting>
  <conditionalFormatting sqref="T80">
    <cfRule type="cellIs" dxfId="1339" priority="140596" stopIfTrue="1" operator="lessThan">
      <formula>0.5</formula>
    </cfRule>
  </conditionalFormatting>
  <conditionalFormatting sqref="T80">
    <cfRule type="cellIs" dxfId="1338" priority="140597" stopIfTrue="1" operator="greaterThanOrEqual">
      <formula>0.5</formula>
    </cfRule>
  </conditionalFormatting>
  <conditionalFormatting sqref="T81">
    <cfRule type="cellIs" dxfId="1337" priority="140598" stopIfTrue="1" operator="equal">
      <formula>-1</formula>
    </cfRule>
  </conditionalFormatting>
  <conditionalFormatting sqref="T81">
    <cfRule type="cellIs" dxfId="1336" priority="140599" stopIfTrue="1" operator="lessThan">
      <formula>0.5</formula>
    </cfRule>
  </conditionalFormatting>
  <conditionalFormatting sqref="T81">
    <cfRule type="cellIs" dxfId="1335" priority="140600" stopIfTrue="1" operator="greaterThanOrEqual">
      <formula>0.5</formula>
    </cfRule>
  </conditionalFormatting>
  <conditionalFormatting sqref="T82">
    <cfRule type="cellIs" dxfId="1334" priority="140601" stopIfTrue="1" operator="equal">
      <formula>-1</formula>
    </cfRule>
  </conditionalFormatting>
  <conditionalFormatting sqref="T82">
    <cfRule type="cellIs" dxfId="1333" priority="140602" stopIfTrue="1" operator="lessThan">
      <formula>0.5</formula>
    </cfRule>
  </conditionalFormatting>
  <conditionalFormatting sqref="T82">
    <cfRule type="cellIs" dxfId="1332" priority="140603" stopIfTrue="1" operator="greaterThanOrEqual">
      <formula>0.5</formula>
    </cfRule>
  </conditionalFormatting>
  <conditionalFormatting sqref="T83">
    <cfRule type="cellIs" dxfId="1331" priority="140604" stopIfTrue="1" operator="equal">
      <formula>-1</formula>
    </cfRule>
  </conditionalFormatting>
  <conditionalFormatting sqref="T83">
    <cfRule type="cellIs" dxfId="1330" priority="140605" stopIfTrue="1" operator="lessThan">
      <formula>0.5</formula>
    </cfRule>
  </conditionalFormatting>
  <conditionalFormatting sqref="T83">
    <cfRule type="cellIs" dxfId="1329" priority="140606" stopIfTrue="1" operator="greaterThanOrEqual">
      <formula>0.5</formula>
    </cfRule>
  </conditionalFormatting>
  <conditionalFormatting sqref="T84">
    <cfRule type="cellIs" dxfId="1328" priority="140607" stopIfTrue="1" operator="equal">
      <formula>-1</formula>
    </cfRule>
  </conditionalFormatting>
  <conditionalFormatting sqref="T84">
    <cfRule type="cellIs" dxfId="1327" priority="140608" stopIfTrue="1" operator="lessThan">
      <formula>0.5</formula>
    </cfRule>
  </conditionalFormatting>
  <conditionalFormatting sqref="T84">
    <cfRule type="cellIs" dxfId="1326" priority="140609" stopIfTrue="1" operator="greaterThanOrEqual">
      <formula>0.5</formula>
    </cfRule>
  </conditionalFormatting>
  <conditionalFormatting sqref="T85">
    <cfRule type="cellIs" dxfId="1325" priority="140610" stopIfTrue="1" operator="equal">
      <formula>-1</formula>
    </cfRule>
  </conditionalFormatting>
  <conditionalFormatting sqref="T85">
    <cfRule type="cellIs" dxfId="1324" priority="140611" stopIfTrue="1" operator="lessThan">
      <formula>0.5</formula>
    </cfRule>
  </conditionalFormatting>
  <conditionalFormatting sqref="T85">
    <cfRule type="cellIs" dxfId="1323" priority="140612" stopIfTrue="1" operator="greaterThanOrEqual">
      <formula>0.5</formula>
    </cfRule>
  </conditionalFormatting>
  <conditionalFormatting sqref="V65">
    <cfRule type="cellIs" dxfId="1322" priority="140613" stopIfTrue="1" operator="equal">
      <formula>-1</formula>
    </cfRule>
  </conditionalFormatting>
  <conditionalFormatting sqref="V65">
    <cfRule type="cellIs" dxfId="1321" priority="140614" stopIfTrue="1" operator="lessThan">
      <formula>0.5</formula>
    </cfRule>
  </conditionalFormatting>
  <conditionalFormatting sqref="V65">
    <cfRule type="cellIs" dxfId="1320" priority="140615" stopIfTrue="1" operator="greaterThanOrEqual">
      <formula>0.5</formula>
    </cfRule>
  </conditionalFormatting>
  <conditionalFormatting sqref="V66">
    <cfRule type="cellIs" dxfId="1319" priority="140616" stopIfTrue="1" operator="equal">
      <formula>-1</formula>
    </cfRule>
  </conditionalFormatting>
  <conditionalFormatting sqref="V66">
    <cfRule type="cellIs" dxfId="1318" priority="140617" stopIfTrue="1" operator="lessThan">
      <formula>0.5</formula>
    </cfRule>
  </conditionalFormatting>
  <conditionalFormatting sqref="V66">
    <cfRule type="cellIs" dxfId="1317" priority="140618" stopIfTrue="1" operator="greaterThanOrEqual">
      <formula>0.5</formula>
    </cfRule>
  </conditionalFormatting>
  <conditionalFormatting sqref="V67">
    <cfRule type="cellIs" dxfId="1316" priority="140619" stopIfTrue="1" operator="equal">
      <formula>-1</formula>
    </cfRule>
  </conditionalFormatting>
  <conditionalFormatting sqref="V67">
    <cfRule type="cellIs" dxfId="1315" priority="140620" stopIfTrue="1" operator="lessThan">
      <formula>0.5</formula>
    </cfRule>
  </conditionalFormatting>
  <conditionalFormatting sqref="V67">
    <cfRule type="cellIs" dxfId="1314" priority="140621" stopIfTrue="1" operator="greaterThanOrEqual">
      <formula>0.5</formula>
    </cfRule>
  </conditionalFormatting>
  <conditionalFormatting sqref="V68">
    <cfRule type="cellIs" dxfId="1313" priority="140622" stopIfTrue="1" operator="equal">
      <formula>-1</formula>
    </cfRule>
  </conditionalFormatting>
  <conditionalFormatting sqref="V68">
    <cfRule type="cellIs" dxfId="1312" priority="140623" stopIfTrue="1" operator="lessThan">
      <formula>0.5</formula>
    </cfRule>
  </conditionalFormatting>
  <conditionalFormatting sqref="V68">
    <cfRule type="cellIs" dxfId="1311" priority="140624" stopIfTrue="1" operator="greaterThanOrEqual">
      <formula>0.5</formula>
    </cfRule>
  </conditionalFormatting>
  <conditionalFormatting sqref="V69">
    <cfRule type="cellIs" dxfId="1310" priority="140625" stopIfTrue="1" operator="equal">
      <formula>-1</formula>
    </cfRule>
  </conditionalFormatting>
  <conditionalFormatting sqref="V69">
    <cfRule type="cellIs" dxfId="1309" priority="140626" stopIfTrue="1" operator="lessThan">
      <formula>0.5</formula>
    </cfRule>
  </conditionalFormatting>
  <conditionalFormatting sqref="V69">
    <cfRule type="cellIs" dxfId="1308" priority="140627" stopIfTrue="1" operator="greaterThanOrEqual">
      <formula>0.5</formula>
    </cfRule>
  </conditionalFormatting>
  <conditionalFormatting sqref="V70">
    <cfRule type="cellIs" dxfId="1307" priority="140628" stopIfTrue="1" operator="equal">
      <formula>-1</formula>
    </cfRule>
  </conditionalFormatting>
  <conditionalFormatting sqref="V70">
    <cfRule type="cellIs" dxfId="1306" priority="140629" stopIfTrue="1" operator="lessThan">
      <formula>0.5</formula>
    </cfRule>
  </conditionalFormatting>
  <conditionalFormatting sqref="V70">
    <cfRule type="cellIs" dxfId="1305" priority="140630" stopIfTrue="1" operator="greaterThanOrEqual">
      <formula>0.5</formula>
    </cfRule>
  </conditionalFormatting>
  <conditionalFormatting sqref="V71">
    <cfRule type="cellIs" dxfId="1304" priority="140631" stopIfTrue="1" operator="equal">
      <formula>-1</formula>
    </cfRule>
  </conditionalFormatting>
  <conditionalFormatting sqref="V71">
    <cfRule type="cellIs" dxfId="1303" priority="140632" stopIfTrue="1" operator="lessThan">
      <formula>0.5</formula>
    </cfRule>
  </conditionalFormatting>
  <conditionalFormatting sqref="V71">
    <cfRule type="cellIs" dxfId="1302" priority="140633" stopIfTrue="1" operator="greaterThanOrEqual">
      <formula>0.5</formula>
    </cfRule>
  </conditionalFormatting>
  <conditionalFormatting sqref="V72">
    <cfRule type="cellIs" dxfId="1301" priority="140634" stopIfTrue="1" operator="equal">
      <formula>-1</formula>
    </cfRule>
  </conditionalFormatting>
  <conditionalFormatting sqref="V72">
    <cfRule type="cellIs" dxfId="1300" priority="140635" stopIfTrue="1" operator="lessThan">
      <formula>0.5</formula>
    </cfRule>
  </conditionalFormatting>
  <conditionalFormatting sqref="V72">
    <cfRule type="cellIs" dxfId="1299" priority="140636" stopIfTrue="1" operator="greaterThanOrEqual">
      <formula>0.5</formula>
    </cfRule>
  </conditionalFormatting>
  <conditionalFormatting sqref="V73">
    <cfRule type="cellIs" dxfId="1298" priority="140637" stopIfTrue="1" operator="equal">
      <formula>-1</formula>
    </cfRule>
  </conditionalFormatting>
  <conditionalFormatting sqref="V73">
    <cfRule type="cellIs" dxfId="1297" priority="140638" stopIfTrue="1" operator="lessThan">
      <formula>0.5</formula>
    </cfRule>
  </conditionalFormatting>
  <conditionalFormatting sqref="V73">
    <cfRule type="cellIs" dxfId="1296" priority="140639" stopIfTrue="1" operator="greaterThanOrEqual">
      <formula>0.5</formula>
    </cfRule>
  </conditionalFormatting>
  <conditionalFormatting sqref="V74">
    <cfRule type="cellIs" dxfId="1295" priority="140640" stopIfTrue="1" operator="equal">
      <formula>-1</formula>
    </cfRule>
  </conditionalFormatting>
  <conditionalFormatting sqref="V74">
    <cfRule type="cellIs" dxfId="1294" priority="140641" stopIfTrue="1" operator="lessThan">
      <formula>0.5</formula>
    </cfRule>
  </conditionalFormatting>
  <conditionalFormatting sqref="V74">
    <cfRule type="cellIs" dxfId="1293" priority="140642" stopIfTrue="1" operator="greaterThanOrEqual">
      <formula>0.5</formula>
    </cfRule>
  </conditionalFormatting>
  <conditionalFormatting sqref="V75">
    <cfRule type="cellIs" dxfId="1292" priority="140643" stopIfTrue="1" operator="equal">
      <formula>-1</formula>
    </cfRule>
  </conditionalFormatting>
  <conditionalFormatting sqref="V75">
    <cfRule type="cellIs" dxfId="1291" priority="140644" stopIfTrue="1" operator="lessThan">
      <formula>0.5</formula>
    </cfRule>
  </conditionalFormatting>
  <conditionalFormatting sqref="V75">
    <cfRule type="cellIs" dxfId="1290" priority="140645" stopIfTrue="1" operator="greaterThanOrEqual">
      <formula>0.5</formula>
    </cfRule>
  </conditionalFormatting>
  <conditionalFormatting sqref="V76">
    <cfRule type="cellIs" dxfId="1289" priority="140646" stopIfTrue="1" operator="equal">
      <formula>-1</formula>
    </cfRule>
  </conditionalFormatting>
  <conditionalFormatting sqref="V76">
    <cfRule type="cellIs" dxfId="1288" priority="140647" stopIfTrue="1" operator="lessThan">
      <formula>0.5</formula>
    </cfRule>
  </conditionalFormatting>
  <conditionalFormatting sqref="V76">
    <cfRule type="cellIs" dxfId="1287" priority="140648" stopIfTrue="1" operator="greaterThanOrEqual">
      <formula>0.5</formula>
    </cfRule>
  </conditionalFormatting>
  <conditionalFormatting sqref="V77">
    <cfRule type="cellIs" dxfId="1286" priority="140649" stopIfTrue="1" operator="equal">
      <formula>-1</formula>
    </cfRule>
  </conditionalFormatting>
  <conditionalFormatting sqref="V77">
    <cfRule type="cellIs" dxfId="1285" priority="140650" stopIfTrue="1" operator="lessThan">
      <formula>0.5</formula>
    </cfRule>
  </conditionalFormatting>
  <conditionalFormatting sqref="V77">
    <cfRule type="cellIs" dxfId="1284" priority="140651" stopIfTrue="1" operator="greaterThanOrEqual">
      <formula>0.5</formula>
    </cfRule>
  </conditionalFormatting>
  <conditionalFormatting sqref="V78">
    <cfRule type="cellIs" dxfId="1283" priority="140652" stopIfTrue="1" operator="equal">
      <formula>-1</formula>
    </cfRule>
  </conditionalFormatting>
  <conditionalFormatting sqref="V78">
    <cfRule type="cellIs" dxfId="1282" priority="140653" stopIfTrue="1" operator="lessThan">
      <formula>0.5</formula>
    </cfRule>
  </conditionalFormatting>
  <conditionalFormatting sqref="V78">
    <cfRule type="cellIs" dxfId="1281" priority="140654" stopIfTrue="1" operator="greaterThanOrEqual">
      <formula>0.5</formula>
    </cfRule>
  </conditionalFormatting>
  <conditionalFormatting sqref="V79">
    <cfRule type="cellIs" dxfId="1280" priority="140655" stopIfTrue="1" operator="equal">
      <formula>-1</formula>
    </cfRule>
  </conditionalFormatting>
  <conditionalFormatting sqref="V79">
    <cfRule type="cellIs" dxfId="1279" priority="140656" stopIfTrue="1" operator="lessThan">
      <formula>0.5</formula>
    </cfRule>
  </conditionalFormatting>
  <conditionalFormatting sqref="V79">
    <cfRule type="cellIs" dxfId="1278" priority="140657" stopIfTrue="1" operator="greaterThanOrEqual">
      <formula>0.5</formula>
    </cfRule>
  </conditionalFormatting>
  <conditionalFormatting sqref="V80">
    <cfRule type="cellIs" dxfId="1277" priority="140658" stopIfTrue="1" operator="equal">
      <formula>-1</formula>
    </cfRule>
  </conditionalFormatting>
  <conditionalFormatting sqref="V80">
    <cfRule type="cellIs" dxfId="1276" priority="140659" stopIfTrue="1" operator="lessThan">
      <formula>0.5</formula>
    </cfRule>
  </conditionalFormatting>
  <conditionalFormatting sqref="V80">
    <cfRule type="cellIs" dxfId="1275" priority="140660" stopIfTrue="1" operator="greaterThanOrEqual">
      <formula>0.5</formula>
    </cfRule>
  </conditionalFormatting>
  <conditionalFormatting sqref="V81">
    <cfRule type="cellIs" dxfId="1274" priority="140661" stopIfTrue="1" operator="equal">
      <formula>-1</formula>
    </cfRule>
  </conditionalFormatting>
  <conditionalFormatting sqref="V81">
    <cfRule type="cellIs" dxfId="1273" priority="140662" stopIfTrue="1" operator="lessThan">
      <formula>0.5</formula>
    </cfRule>
  </conditionalFormatting>
  <conditionalFormatting sqref="V81">
    <cfRule type="cellIs" dxfId="1272" priority="140663" stopIfTrue="1" operator="greaterThanOrEqual">
      <formula>0.5</formula>
    </cfRule>
  </conditionalFormatting>
  <conditionalFormatting sqref="V82">
    <cfRule type="cellIs" dxfId="1271" priority="140664" stopIfTrue="1" operator="equal">
      <formula>-1</formula>
    </cfRule>
  </conditionalFormatting>
  <conditionalFormatting sqref="V82">
    <cfRule type="cellIs" dxfId="1270" priority="140665" stopIfTrue="1" operator="lessThan">
      <formula>0.5</formula>
    </cfRule>
  </conditionalFormatting>
  <conditionalFormatting sqref="V82">
    <cfRule type="cellIs" dxfId="1269" priority="140666" stopIfTrue="1" operator="greaterThanOrEqual">
      <formula>0.5</formula>
    </cfRule>
  </conditionalFormatting>
  <conditionalFormatting sqref="V83">
    <cfRule type="cellIs" dxfId="1268" priority="140667" stopIfTrue="1" operator="equal">
      <formula>-1</formula>
    </cfRule>
  </conditionalFormatting>
  <conditionalFormatting sqref="V83">
    <cfRule type="cellIs" dxfId="1267" priority="140668" stopIfTrue="1" operator="lessThan">
      <formula>0.5</formula>
    </cfRule>
  </conditionalFormatting>
  <conditionalFormatting sqref="V83">
    <cfRule type="cellIs" dxfId="1266" priority="140669" stopIfTrue="1" operator="greaterThanOrEqual">
      <formula>0.5</formula>
    </cfRule>
  </conditionalFormatting>
  <conditionalFormatting sqref="V84">
    <cfRule type="cellIs" dxfId="1265" priority="140670" stopIfTrue="1" operator="equal">
      <formula>-1</formula>
    </cfRule>
  </conditionalFormatting>
  <conditionalFormatting sqref="V84">
    <cfRule type="cellIs" dxfId="1264" priority="140671" stopIfTrue="1" operator="lessThan">
      <formula>0.5</formula>
    </cfRule>
  </conditionalFormatting>
  <conditionalFormatting sqref="V84">
    <cfRule type="cellIs" dxfId="1263" priority="140672" stopIfTrue="1" operator="greaterThanOrEqual">
      <formula>0.5</formula>
    </cfRule>
  </conditionalFormatting>
  <conditionalFormatting sqref="V85">
    <cfRule type="cellIs" dxfId="1262" priority="140673" stopIfTrue="1" operator="equal">
      <formula>-1</formula>
    </cfRule>
  </conditionalFormatting>
  <conditionalFormatting sqref="V85">
    <cfRule type="cellIs" dxfId="1261" priority="140674" stopIfTrue="1" operator="lessThan">
      <formula>0.5</formula>
    </cfRule>
  </conditionalFormatting>
  <conditionalFormatting sqref="V85">
    <cfRule type="cellIs" dxfId="1260" priority="140675" stopIfTrue="1" operator="greaterThanOrEqual">
      <formula>0.5</formula>
    </cfRule>
  </conditionalFormatting>
  <conditionalFormatting sqref="X65">
    <cfRule type="cellIs" dxfId="1259" priority="140676" stopIfTrue="1" operator="equal">
      <formula>-1</formula>
    </cfRule>
  </conditionalFormatting>
  <conditionalFormatting sqref="X65">
    <cfRule type="cellIs" dxfId="1258" priority="140677" stopIfTrue="1" operator="lessThan">
      <formula>0.5</formula>
    </cfRule>
  </conditionalFormatting>
  <conditionalFormatting sqref="X65">
    <cfRule type="cellIs" dxfId="1257" priority="140678" stopIfTrue="1" operator="greaterThanOrEqual">
      <formula>0.5</formula>
    </cfRule>
  </conditionalFormatting>
  <conditionalFormatting sqref="X66">
    <cfRule type="cellIs" dxfId="1256" priority="140679" stopIfTrue="1" operator="equal">
      <formula>-1</formula>
    </cfRule>
  </conditionalFormatting>
  <conditionalFormatting sqref="X66">
    <cfRule type="cellIs" dxfId="1255" priority="140680" stopIfTrue="1" operator="lessThan">
      <formula>0.5</formula>
    </cfRule>
  </conditionalFormatting>
  <conditionalFormatting sqref="X66">
    <cfRule type="cellIs" dxfId="1254" priority="140681" stopIfTrue="1" operator="greaterThanOrEqual">
      <formula>0.5</formula>
    </cfRule>
  </conditionalFormatting>
  <conditionalFormatting sqref="X67">
    <cfRule type="cellIs" dxfId="1253" priority="140682" stopIfTrue="1" operator="equal">
      <formula>-1</formula>
    </cfRule>
  </conditionalFormatting>
  <conditionalFormatting sqref="X67">
    <cfRule type="cellIs" dxfId="1252" priority="140683" stopIfTrue="1" operator="lessThan">
      <formula>0.5</formula>
    </cfRule>
  </conditionalFormatting>
  <conditionalFormatting sqref="X67">
    <cfRule type="cellIs" dxfId="1251" priority="140684" stopIfTrue="1" operator="greaterThanOrEqual">
      <formula>0.5</formula>
    </cfRule>
  </conditionalFormatting>
  <conditionalFormatting sqref="X68">
    <cfRule type="cellIs" dxfId="1250" priority="140685" stopIfTrue="1" operator="equal">
      <formula>-1</formula>
    </cfRule>
  </conditionalFormatting>
  <conditionalFormatting sqref="X68">
    <cfRule type="cellIs" dxfId="1249" priority="140686" stopIfTrue="1" operator="lessThan">
      <formula>0.5</formula>
    </cfRule>
  </conditionalFormatting>
  <conditionalFormatting sqref="X68">
    <cfRule type="cellIs" dxfId="1248" priority="140687" stopIfTrue="1" operator="greaterThanOrEqual">
      <formula>0.5</formula>
    </cfRule>
  </conditionalFormatting>
  <conditionalFormatting sqref="X69">
    <cfRule type="cellIs" dxfId="1247" priority="140688" stopIfTrue="1" operator="equal">
      <formula>-1</formula>
    </cfRule>
  </conditionalFormatting>
  <conditionalFormatting sqref="X69">
    <cfRule type="cellIs" dxfId="1246" priority="140689" stopIfTrue="1" operator="lessThan">
      <formula>0.5</formula>
    </cfRule>
  </conditionalFormatting>
  <conditionalFormatting sqref="X69">
    <cfRule type="cellIs" dxfId="1245" priority="140690" stopIfTrue="1" operator="greaterThanOrEqual">
      <formula>0.5</formula>
    </cfRule>
  </conditionalFormatting>
  <conditionalFormatting sqref="X70">
    <cfRule type="cellIs" dxfId="1244" priority="140691" stopIfTrue="1" operator="equal">
      <formula>-1</formula>
    </cfRule>
  </conditionalFormatting>
  <conditionalFormatting sqref="X70">
    <cfRule type="cellIs" dxfId="1243" priority="140692" stopIfTrue="1" operator="lessThan">
      <formula>0.5</formula>
    </cfRule>
  </conditionalFormatting>
  <conditionalFormatting sqref="X70">
    <cfRule type="cellIs" dxfId="1242" priority="140693" stopIfTrue="1" operator="greaterThanOrEqual">
      <formula>0.5</formula>
    </cfRule>
  </conditionalFormatting>
  <conditionalFormatting sqref="X71">
    <cfRule type="cellIs" dxfId="1241" priority="140694" stopIfTrue="1" operator="equal">
      <formula>-1</formula>
    </cfRule>
  </conditionalFormatting>
  <conditionalFormatting sqref="X71">
    <cfRule type="cellIs" dxfId="1240" priority="140695" stopIfTrue="1" operator="lessThan">
      <formula>0.5</formula>
    </cfRule>
  </conditionalFormatting>
  <conditionalFormatting sqref="X71">
    <cfRule type="cellIs" dxfId="1239" priority="140696" stopIfTrue="1" operator="greaterThanOrEqual">
      <formula>0.5</formula>
    </cfRule>
  </conditionalFormatting>
  <conditionalFormatting sqref="X72">
    <cfRule type="cellIs" dxfId="1238" priority="140697" stopIfTrue="1" operator="equal">
      <formula>-1</formula>
    </cfRule>
  </conditionalFormatting>
  <conditionalFormatting sqref="X72">
    <cfRule type="cellIs" dxfId="1237" priority="140698" stopIfTrue="1" operator="lessThan">
      <formula>0.5</formula>
    </cfRule>
  </conditionalFormatting>
  <conditionalFormatting sqref="X72">
    <cfRule type="cellIs" dxfId="1236" priority="140699" stopIfTrue="1" operator="greaterThanOrEqual">
      <formula>0.5</formula>
    </cfRule>
  </conditionalFormatting>
  <conditionalFormatting sqref="X73">
    <cfRule type="cellIs" dxfId="1235" priority="140700" stopIfTrue="1" operator="equal">
      <formula>-1</formula>
    </cfRule>
  </conditionalFormatting>
  <conditionalFormatting sqref="X73">
    <cfRule type="cellIs" dxfId="1234" priority="140701" stopIfTrue="1" operator="lessThan">
      <formula>0.5</formula>
    </cfRule>
  </conditionalFormatting>
  <conditionalFormatting sqref="X73">
    <cfRule type="cellIs" dxfId="1233" priority="140702" stopIfTrue="1" operator="greaterThanOrEqual">
      <formula>0.5</formula>
    </cfRule>
  </conditionalFormatting>
  <conditionalFormatting sqref="X74">
    <cfRule type="cellIs" dxfId="1232" priority="140703" stopIfTrue="1" operator="equal">
      <formula>-1</formula>
    </cfRule>
  </conditionalFormatting>
  <conditionalFormatting sqref="X74">
    <cfRule type="cellIs" dxfId="1231" priority="140704" stopIfTrue="1" operator="lessThan">
      <formula>0.5</formula>
    </cfRule>
  </conditionalFormatting>
  <conditionalFormatting sqref="X74">
    <cfRule type="cellIs" dxfId="1230" priority="140705" stopIfTrue="1" operator="greaterThanOrEqual">
      <formula>0.5</formula>
    </cfRule>
  </conditionalFormatting>
  <conditionalFormatting sqref="X75">
    <cfRule type="cellIs" dxfId="1229" priority="140706" stopIfTrue="1" operator="equal">
      <formula>-1</formula>
    </cfRule>
  </conditionalFormatting>
  <conditionalFormatting sqref="X75">
    <cfRule type="cellIs" dxfId="1228" priority="140707" stopIfTrue="1" operator="lessThan">
      <formula>0.5</formula>
    </cfRule>
  </conditionalFormatting>
  <conditionalFormatting sqref="X75">
    <cfRule type="cellIs" dxfId="1227" priority="140708" stopIfTrue="1" operator="greaterThanOrEqual">
      <formula>0.5</formula>
    </cfRule>
  </conditionalFormatting>
  <conditionalFormatting sqref="X76">
    <cfRule type="cellIs" dxfId="1226" priority="140709" stopIfTrue="1" operator="equal">
      <formula>-1</formula>
    </cfRule>
  </conditionalFormatting>
  <conditionalFormatting sqref="X76">
    <cfRule type="cellIs" dxfId="1225" priority="140710" stopIfTrue="1" operator="lessThan">
      <formula>0.5</formula>
    </cfRule>
  </conditionalFormatting>
  <conditionalFormatting sqref="X76">
    <cfRule type="cellIs" dxfId="1224" priority="140711" stopIfTrue="1" operator="greaterThanOrEqual">
      <formula>0.5</formula>
    </cfRule>
  </conditionalFormatting>
  <conditionalFormatting sqref="X77">
    <cfRule type="cellIs" dxfId="1223" priority="140712" stopIfTrue="1" operator="equal">
      <formula>-1</formula>
    </cfRule>
  </conditionalFormatting>
  <conditionalFormatting sqref="X77">
    <cfRule type="cellIs" dxfId="1222" priority="140713" stopIfTrue="1" operator="lessThan">
      <formula>0.5</formula>
    </cfRule>
  </conditionalFormatting>
  <conditionalFormatting sqref="X77">
    <cfRule type="cellIs" dxfId="1221" priority="140714" stopIfTrue="1" operator="greaterThanOrEqual">
      <formula>0.5</formula>
    </cfRule>
  </conditionalFormatting>
  <conditionalFormatting sqref="X78">
    <cfRule type="cellIs" dxfId="1220" priority="140715" stopIfTrue="1" operator="equal">
      <formula>-1</formula>
    </cfRule>
  </conditionalFormatting>
  <conditionalFormatting sqref="X78">
    <cfRule type="cellIs" dxfId="1219" priority="140716" stopIfTrue="1" operator="lessThan">
      <formula>0.5</formula>
    </cfRule>
  </conditionalFormatting>
  <conditionalFormatting sqref="X78">
    <cfRule type="cellIs" dxfId="1218" priority="140717" stopIfTrue="1" operator="greaterThanOrEqual">
      <formula>0.5</formula>
    </cfRule>
  </conditionalFormatting>
  <conditionalFormatting sqref="X79">
    <cfRule type="cellIs" dxfId="1217" priority="140718" stopIfTrue="1" operator="equal">
      <formula>-1</formula>
    </cfRule>
  </conditionalFormatting>
  <conditionalFormatting sqref="X79">
    <cfRule type="cellIs" dxfId="1216" priority="140719" stopIfTrue="1" operator="lessThan">
      <formula>0.5</formula>
    </cfRule>
  </conditionalFormatting>
  <conditionalFormatting sqref="X79">
    <cfRule type="cellIs" dxfId="1215" priority="140720" stopIfTrue="1" operator="greaterThanOrEqual">
      <formula>0.5</formula>
    </cfRule>
  </conditionalFormatting>
  <conditionalFormatting sqref="X80">
    <cfRule type="cellIs" dxfId="1214" priority="140721" stopIfTrue="1" operator="equal">
      <formula>-1</formula>
    </cfRule>
  </conditionalFormatting>
  <conditionalFormatting sqref="X80">
    <cfRule type="cellIs" dxfId="1213" priority="140722" stopIfTrue="1" operator="lessThan">
      <formula>0.5</formula>
    </cfRule>
  </conditionalFormatting>
  <conditionalFormatting sqref="X80">
    <cfRule type="cellIs" dxfId="1212" priority="140723" stopIfTrue="1" operator="greaterThanOrEqual">
      <formula>0.5</formula>
    </cfRule>
  </conditionalFormatting>
  <conditionalFormatting sqref="X81">
    <cfRule type="cellIs" dxfId="1211" priority="140724" stopIfTrue="1" operator="equal">
      <formula>-1</formula>
    </cfRule>
  </conditionalFormatting>
  <conditionalFormatting sqref="X81">
    <cfRule type="cellIs" dxfId="1210" priority="140725" stopIfTrue="1" operator="lessThan">
      <formula>0.5</formula>
    </cfRule>
  </conditionalFormatting>
  <conditionalFormatting sqref="X81">
    <cfRule type="cellIs" dxfId="1209" priority="140726" stopIfTrue="1" operator="greaterThanOrEqual">
      <formula>0.5</formula>
    </cfRule>
  </conditionalFormatting>
  <conditionalFormatting sqref="X82">
    <cfRule type="cellIs" dxfId="1208" priority="140727" stopIfTrue="1" operator="equal">
      <formula>-1</formula>
    </cfRule>
  </conditionalFormatting>
  <conditionalFormatting sqref="X82">
    <cfRule type="cellIs" dxfId="1207" priority="140728" stopIfTrue="1" operator="lessThan">
      <formula>0.5</formula>
    </cfRule>
  </conditionalFormatting>
  <conditionalFormatting sqref="X82">
    <cfRule type="cellIs" dxfId="1206" priority="140729" stopIfTrue="1" operator="greaterThanOrEqual">
      <formula>0.5</formula>
    </cfRule>
  </conditionalFormatting>
  <conditionalFormatting sqref="X83">
    <cfRule type="cellIs" dxfId="1205" priority="140730" stopIfTrue="1" operator="equal">
      <formula>-1</formula>
    </cfRule>
  </conditionalFormatting>
  <conditionalFormatting sqref="X83">
    <cfRule type="cellIs" dxfId="1204" priority="140731" stopIfTrue="1" operator="lessThan">
      <formula>0.5</formula>
    </cfRule>
  </conditionalFormatting>
  <conditionalFormatting sqref="X83">
    <cfRule type="cellIs" dxfId="1203" priority="140732" stopIfTrue="1" operator="greaterThanOrEqual">
      <formula>0.5</formula>
    </cfRule>
  </conditionalFormatting>
  <conditionalFormatting sqref="X84">
    <cfRule type="cellIs" dxfId="1202" priority="140733" stopIfTrue="1" operator="equal">
      <formula>-1</formula>
    </cfRule>
  </conditionalFormatting>
  <conditionalFormatting sqref="X84">
    <cfRule type="cellIs" dxfId="1201" priority="140734" stopIfTrue="1" operator="lessThan">
      <formula>0.5</formula>
    </cfRule>
  </conditionalFormatting>
  <conditionalFormatting sqref="X84">
    <cfRule type="cellIs" dxfId="1200" priority="140735" stopIfTrue="1" operator="greaterThanOrEqual">
      <formula>0.5</formula>
    </cfRule>
  </conditionalFormatting>
  <conditionalFormatting sqref="X85">
    <cfRule type="cellIs" dxfId="1199" priority="140736" stopIfTrue="1" operator="equal">
      <formula>-1</formula>
    </cfRule>
  </conditionalFormatting>
  <conditionalFormatting sqref="X85">
    <cfRule type="cellIs" dxfId="1198" priority="140737" stopIfTrue="1" operator="lessThan">
      <formula>0.5</formula>
    </cfRule>
  </conditionalFormatting>
  <conditionalFormatting sqref="X85">
    <cfRule type="cellIs" dxfId="1197" priority="140738" stopIfTrue="1" operator="greaterThanOrEqual">
      <formula>0.5</formula>
    </cfRule>
  </conditionalFormatting>
  <conditionalFormatting sqref="Z65">
    <cfRule type="cellIs" dxfId="1196" priority="140739" stopIfTrue="1" operator="equal">
      <formula>-1</formula>
    </cfRule>
  </conditionalFormatting>
  <conditionalFormatting sqref="Z65">
    <cfRule type="cellIs" dxfId="1195" priority="140740" stopIfTrue="1" operator="lessThan">
      <formula>0.5</formula>
    </cfRule>
  </conditionalFormatting>
  <conditionalFormatting sqref="Z65">
    <cfRule type="cellIs" dxfId="1194" priority="140741" stopIfTrue="1" operator="greaterThanOrEqual">
      <formula>0.5</formula>
    </cfRule>
  </conditionalFormatting>
  <conditionalFormatting sqref="Z66">
    <cfRule type="cellIs" dxfId="1193" priority="140742" stopIfTrue="1" operator="equal">
      <formula>-1</formula>
    </cfRule>
  </conditionalFormatting>
  <conditionalFormatting sqref="Z66">
    <cfRule type="cellIs" dxfId="1192" priority="140743" stopIfTrue="1" operator="lessThan">
      <formula>0.5</formula>
    </cfRule>
  </conditionalFormatting>
  <conditionalFormatting sqref="Z66">
    <cfRule type="cellIs" dxfId="1191" priority="140744" stopIfTrue="1" operator="greaterThanOrEqual">
      <formula>0.5</formula>
    </cfRule>
  </conditionalFormatting>
  <conditionalFormatting sqref="Z67">
    <cfRule type="cellIs" dxfId="1190" priority="140745" stopIfTrue="1" operator="equal">
      <formula>-1</formula>
    </cfRule>
  </conditionalFormatting>
  <conditionalFormatting sqref="Z67">
    <cfRule type="cellIs" dxfId="1189" priority="140746" stopIfTrue="1" operator="lessThan">
      <formula>0.5</formula>
    </cfRule>
  </conditionalFormatting>
  <conditionalFormatting sqref="Z67">
    <cfRule type="cellIs" dxfId="1188" priority="140747" stopIfTrue="1" operator="greaterThanOrEqual">
      <formula>0.5</formula>
    </cfRule>
  </conditionalFormatting>
  <conditionalFormatting sqref="Z68">
    <cfRule type="cellIs" dxfId="1187" priority="140748" stopIfTrue="1" operator="equal">
      <formula>-1</formula>
    </cfRule>
  </conditionalFormatting>
  <conditionalFormatting sqref="Z68">
    <cfRule type="cellIs" dxfId="1186" priority="140749" stopIfTrue="1" operator="lessThan">
      <formula>0.5</formula>
    </cfRule>
  </conditionalFormatting>
  <conditionalFormatting sqref="Z68">
    <cfRule type="cellIs" dxfId="1185" priority="140750" stopIfTrue="1" operator="greaterThanOrEqual">
      <formula>0.5</formula>
    </cfRule>
  </conditionalFormatting>
  <conditionalFormatting sqref="Z69">
    <cfRule type="cellIs" dxfId="1184" priority="140751" stopIfTrue="1" operator="equal">
      <formula>-1</formula>
    </cfRule>
  </conditionalFormatting>
  <conditionalFormatting sqref="Z69">
    <cfRule type="cellIs" dxfId="1183" priority="140752" stopIfTrue="1" operator="lessThan">
      <formula>0.5</formula>
    </cfRule>
  </conditionalFormatting>
  <conditionalFormatting sqref="Z69">
    <cfRule type="cellIs" dxfId="1182" priority="140753" stopIfTrue="1" operator="greaterThanOrEqual">
      <formula>0.5</formula>
    </cfRule>
  </conditionalFormatting>
  <conditionalFormatting sqref="Z70">
    <cfRule type="cellIs" dxfId="1181" priority="140754" stopIfTrue="1" operator="equal">
      <formula>-1</formula>
    </cfRule>
  </conditionalFormatting>
  <conditionalFormatting sqref="Z70">
    <cfRule type="cellIs" dxfId="1180" priority="140755" stopIfTrue="1" operator="lessThan">
      <formula>0.5</formula>
    </cfRule>
  </conditionalFormatting>
  <conditionalFormatting sqref="Z70">
    <cfRule type="cellIs" dxfId="1179" priority="140756" stopIfTrue="1" operator="greaterThanOrEqual">
      <formula>0.5</formula>
    </cfRule>
  </conditionalFormatting>
  <conditionalFormatting sqref="Z71">
    <cfRule type="cellIs" dxfId="1178" priority="140757" stopIfTrue="1" operator="equal">
      <formula>-1</formula>
    </cfRule>
  </conditionalFormatting>
  <conditionalFormatting sqref="Z71">
    <cfRule type="cellIs" dxfId="1177" priority="140758" stopIfTrue="1" operator="lessThan">
      <formula>0.5</formula>
    </cfRule>
  </conditionalFormatting>
  <conditionalFormatting sqref="Z71">
    <cfRule type="cellIs" dxfId="1176" priority="140759" stopIfTrue="1" operator="greaterThanOrEqual">
      <formula>0.5</formula>
    </cfRule>
  </conditionalFormatting>
  <conditionalFormatting sqref="Z72">
    <cfRule type="cellIs" dxfId="1175" priority="140760" stopIfTrue="1" operator="equal">
      <formula>-1</formula>
    </cfRule>
  </conditionalFormatting>
  <conditionalFormatting sqref="Z72">
    <cfRule type="cellIs" dxfId="1174" priority="140761" stopIfTrue="1" operator="lessThan">
      <formula>0.5</formula>
    </cfRule>
  </conditionalFormatting>
  <conditionalFormatting sqref="Z72">
    <cfRule type="cellIs" dxfId="1173" priority="140762" stopIfTrue="1" operator="greaterThanOrEqual">
      <formula>0.5</formula>
    </cfRule>
  </conditionalFormatting>
  <conditionalFormatting sqref="Z73">
    <cfRule type="cellIs" dxfId="1172" priority="140763" stopIfTrue="1" operator="equal">
      <formula>-1</formula>
    </cfRule>
  </conditionalFormatting>
  <conditionalFormatting sqref="Z73">
    <cfRule type="cellIs" dxfId="1171" priority="140764" stopIfTrue="1" operator="lessThan">
      <formula>0.5</formula>
    </cfRule>
  </conditionalFormatting>
  <conditionalFormatting sqref="Z73">
    <cfRule type="cellIs" dxfId="1170" priority="140765" stopIfTrue="1" operator="greaterThanOrEqual">
      <formula>0.5</formula>
    </cfRule>
  </conditionalFormatting>
  <conditionalFormatting sqref="Z74">
    <cfRule type="cellIs" dxfId="1169" priority="140766" stopIfTrue="1" operator="equal">
      <formula>-1</formula>
    </cfRule>
  </conditionalFormatting>
  <conditionalFormatting sqref="Z74">
    <cfRule type="cellIs" dxfId="1168" priority="140767" stopIfTrue="1" operator="lessThan">
      <formula>0.5</formula>
    </cfRule>
  </conditionalFormatting>
  <conditionalFormatting sqref="Z74">
    <cfRule type="cellIs" dxfId="1167" priority="140768" stopIfTrue="1" operator="greaterThanOrEqual">
      <formula>0.5</formula>
    </cfRule>
  </conditionalFormatting>
  <conditionalFormatting sqref="Z75">
    <cfRule type="cellIs" dxfId="1166" priority="140769" stopIfTrue="1" operator="equal">
      <formula>-1</formula>
    </cfRule>
  </conditionalFormatting>
  <conditionalFormatting sqref="Z75">
    <cfRule type="cellIs" dxfId="1165" priority="140770" stopIfTrue="1" operator="lessThan">
      <formula>0.5</formula>
    </cfRule>
  </conditionalFormatting>
  <conditionalFormatting sqref="Z75">
    <cfRule type="cellIs" dxfId="1164" priority="140771" stopIfTrue="1" operator="greaterThanOrEqual">
      <formula>0.5</formula>
    </cfRule>
  </conditionalFormatting>
  <conditionalFormatting sqref="Z76">
    <cfRule type="cellIs" dxfId="1163" priority="140772" stopIfTrue="1" operator="equal">
      <formula>-1</formula>
    </cfRule>
  </conditionalFormatting>
  <conditionalFormatting sqref="Z76">
    <cfRule type="cellIs" dxfId="1162" priority="140773" stopIfTrue="1" operator="lessThan">
      <formula>0.5</formula>
    </cfRule>
  </conditionalFormatting>
  <conditionalFormatting sqref="Z76">
    <cfRule type="cellIs" dxfId="1161" priority="140774" stopIfTrue="1" operator="greaterThanOrEqual">
      <formula>0.5</formula>
    </cfRule>
  </conditionalFormatting>
  <conditionalFormatting sqref="Z77">
    <cfRule type="cellIs" dxfId="1160" priority="140775" stopIfTrue="1" operator="equal">
      <formula>-1</formula>
    </cfRule>
  </conditionalFormatting>
  <conditionalFormatting sqref="Z77">
    <cfRule type="cellIs" dxfId="1159" priority="140776" stopIfTrue="1" operator="lessThan">
      <formula>0.5</formula>
    </cfRule>
  </conditionalFormatting>
  <conditionalFormatting sqref="Z77">
    <cfRule type="cellIs" dxfId="1158" priority="140777" stopIfTrue="1" operator="greaterThanOrEqual">
      <formula>0.5</formula>
    </cfRule>
  </conditionalFormatting>
  <conditionalFormatting sqref="Z78">
    <cfRule type="cellIs" dxfId="1157" priority="140778" stopIfTrue="1" operator="equal">
      <formula>-1</formula>
    </cfRule>
  </conditionalFormatting>
  <conditionalFormatting sqref="Z78">
    <cfRule type="cellIs" dxfId="1156" priority="140779" stopIfTrue="1" operator="lessThan">
      <formula>0.5</formula>
    </cfRule>
  </conditionalFormatting>
  <conditionalFormatting sqref="Z78">
    <cfRule type="cellIs" dxfId="1155" priority="140780" stopIfTrue="1" operator="greaterThanOrEqual">
      <formula>0.5</formula>
    </cfRule>
  </conditionalFormatting>
  <conditionalFormatting sqref="Z79">
    <cfRule type="cellIs" dxfId="1154" priority="140781" stopIfTrue="1" operator="equal">
      <formula>-1</formula>
    </cfRule>
  </conditionalFormatting>
  <conditionalFormatting sqref="Z79">
    <cfRule type="cellIs" dxfId="1153" priority="140782" stopIfTrue="1" operator="lessThan">
      <formula>0.5</formula>
    </cfRule>
  </conditionalFormatting>
  <conditionalFormatting sqref="Z79">
    <cfRule type="cellIs" dxfId="1152" priority="140783" stopIfTrue="1" operator="greaterThanOrEqual">
      <formula>0.5</formula>
    </cfRule>
  </conditionalFormatting>
  <conditionalFormatting sqref="Z80">
    <cfRule type="cellIs" dxfId="1151" priority="140784" stopIfTrue="1" operator="equal">
      <formula>-1</formula>
    </cfRule>
  </conditionalFormatting>
  <conditionalFormatting sqref="Z80">
    <cfRule type="cellIs" dxfId="1150" priority="140785" stopIfTrue="1" operator="lessThan">
      <formula>0.5</formula>
    </cfRule>
  </conditionalFormatting>
  <conditionalFormatting sqref="Z80">
    <cfRule type="cellIs" dxfId="1149" priority="140786" stopIfTrue="1" operator="greaterThanOrEqual">
      <formula>0.5</formula>
    </cfRule>
  </conditionalFormatting>
  <conditionalFormatting sqref="Z81">
    <cfRule type="cellIs" dxfId="1148" priority="140787" stopIfTrue="1" operator="equal">
      <formula>-1</formula>
    </cfRule>
  </conditionalFormatting>
  <conditionalFormatting sqref="Z81">
    <cfRule type="cellIs" dxfId="1147" priority="140788" stopIfTrue="1" operator="lessThan">
      <formula>0.5</formula>
    </cfRule>
  </conditionalFormatting>
  <conditionalFormatting sqref="Z81">
    <cfRule type="cellIs" dxfId="1146" priority="140789" stopIfTrue="1" operator="greaterThanOrEqual">
      <formula>0.5</formula>
    </cfRule>
  </conditionalFormatting>
  <conditionalFormatting sqref="Z82">
    <cfRule type="cellIs" dxfId="1145" priority="140790" stopIfTrue="1" operator="equal">
      <formula>-1</formula>
    </cfRule>
  </conditionalFormatting>
  <conditionalFormatting sqref="Z82">
    <cfRule type="cellIs" dxfId="1144" priority="140791" stopIfTrue="1" operator="lessThan">
      <formula>0.5</formula>
    </cfRule>
  </conditionalFormatting>
  <conditionalFormatting sqref="Z82">
    <cfRule type="cellIs" dxfId="1143" priority="140792" stopIfTrue="1" operator="greaterThanOrEqual">
      <formula>0.5</formula>
    </cfRule>
  </conditionalFormatting>
  <conditionalFormatting sqref="Z83">
    <cfRule type="cellIs" dxfId="1142" priority="140793" stopIfTrue="1" operator="equal">
      <formula>-1</formula>
    </cfRule>
  </conditionalFormatting>
  <conditionalFormatting sqref="Z83">
    <cfRule type="cellIs" dxfId="1141" priority="140794" stopIfTrue="1" operator="lessThan">
      <formula>0.5</formula>
    </cfRule>
  </conditionalFormatting>
  <conditionalFormatting sqref="Z83">
    <cfRule type="cellIs" dxfId="1140" priority="140795" stopIfTrue="1" operator="greaterThanOrEqual">
      <formula>0.5</formula>
    </cfRule>
  </conditionalFormatting>
  <conditionalFormatting sqref="Z84">
    <cfRule type="cellIs" dxfId="1139" priority="140796" stopIfTrue="1" operator="equal">
      <formula>-1</formula>
    </cfRule>
  </conditionalFormatting>
  <conditionalFormatting sqref="Z84">
    <cfRule type="cellIs" dxfId="1138" priority="140797" stopIfTrue="1" operator="lessThan">
      <formula>0.5</formula>
    </cfRule>
  </conditionalFormatting>
  <conditionalFormatting sqref="Z84">
    <cfRule type="cellIs" dxfId="1137" priority="140798" stopIfTrue="1" operator="greaterThanOrEqual">
      <formula>0.5</formula>
    </cfRule>
  </conditionalFormatting>
  <conditionalFormatting sqref="Z85">
    <cfRule type="cellIs" dxfId="1136" priority="140799" stopIfTrue="1" operator="equal">
      <formula>-1</formula>
    </cfRule>
  </conditionalFormatting>
  <conditionalFormatting sqref="Z85">
    <cfRule type="cellIs" dxfId="1135" priority="140800" stopIfTrue="1" operator="lessThan">
      <formula>0.5</formula>
    </cfRule>
  </conditionalFormatting>
  <conditionalFormatting sqref="Z85">
    <cfRule type="cellIs" dxfId="1134" priority="140801" stopIfTrue="1" operator="greaterThanOrEqual">
      <formula>0.5</formula>
    </cfRule>
  </conditionalFormatting>
  <conditionalFormatting sqref="AB65">
    <cfRule type="cellIs" dxfId="1133" priority="140802" stopIfTrue="1" operator="equal">
      <formula>-1</formula>
    </cfRule>
  </conditionalFormatting>
  <conditionalFormatting sqref="AB65">
    <cfRule type="cellIs" dxfId="1132" priority="140803" stopIfTrue="1" operator="lessThan">
      <formula>0.5</formula>
    </cfRule>
  </conditionalFormatting>
  <conditionalFormatting sqref="AB65">
    <cfRule type="cellIs" dxfId="1131" priority="140804" stopIfTrue="1" operator="greaterThanOrEqual">
      <formula>0.5</formula>
    </cfRule>
  </conditionalFormatting>
  <conditionalFormatting sqref="AB66">
    <cfRule type="cellIs" dxfId="1130" priority="140805" stopIfTrue="1" operator="equal">
      <formula>-1</formula>
    </cfRule>
  </conditionalFormatting>
  <conditionalFormatting sqref="AB66">
    <cfRule type="cellIs" dxfId="1129" priority="140806" stopIfTrue="1" operator="lessThan">
      <formula>0.5</formula>
    </cfRule>
  </conditionalFormatting>
  <conditionalFormatting sqref="AB66">
    <cfRule type="cellIs" dxfId="1128" priority="140807" stopIfTrue="1" operator="greaterThanOrEqual">
      <formula>0.5</formula>
    </cfRule>
  </conditionalFormatting>
  <conditionalFormatting sqref="AB67">
    <cfRule type="cellIs" dxfId="1127" priority="140808" stopIfTrue="1" operator="equal">
      <formula>-1</formula>
    </cfRule>
  </conditionalFormatting>
  <conditionalFormatting sqref="AB67">
    <cfRule type="cellIs" dxfId="1126" priority="140809" stopIfTrue="1" operator="lessThan">
      <formula>0.5</formula>
    </cfRule>
  </conditionalFormatting>
  <conditionalFormatting sqref="AB67">
    <cfRule type="cellIs" dxfId="1125" priority="140810" stopIfTrue="1" operator="greaterThanOrEqual">
      <formula>0.5</formula>
    </cfRule>
  </conditionalFormatting>
  <conditionalFormatting sqref="AB68">
    <cfRule type="cellIs" dxfId="1124" priority="140811" stopIfTrue="1" operator="equal">
      <formula>-1</formula>
    </cfRule>
  </conditionalFormatting>
  <conditionalFormatting sqref="AB68">
    <cfRule type="cellIs" dxfId="1123" priority="140812" stopIfTrue="1" operator="lessThan">
      <formula>0.5</formula>
    </cfRule>
  </conditionalFormatting>
  <conditionalFormatting sqref="AB68">
    <cfRule type="cellIs" dxfId="1122" priority="140813" stopIfTrue="1" operator="greaterThanOrEqual">
      <formula>0.5</formula>
    </cfRule>
  </conditionalFormatting>
  <conditionalFormatting sqref="AB69">
    <cfRule type="cellIs" dxfId="1121" priority="140814" stopIfTrue="1" operator="equal">
      <formula>-1</formula>
    </cfRule>
  </conditionalFormatting>
  <conditionalFormatting sqref="AB69">
    <cfRule type="cellIs" dxfId="1120" priority="140815" stopIfTrue="1" operator="lessThan">
      <formula>0.5</formula>
    </cfRule>
  </conditionalFormatting>
  <conditionalFormatting sqref="AB69">
    <cfRule type="cellIs" dxfId="1119" priority="140816" stopIfTrue="1" operator="greaterThanOrEqual">
      <formula>0.5</formula>
    </cfRule>
  </conditionalFormatting>
  <conditionalFormatting sqref="AB70">
    <cfRule type="cellIs" dxfId="1118" priority="140817" stopIfTrue="1" operator="equal">
      <formula>-1</formula>
    </cfRule>
  </conditionalFormatting>
  <conditionalFormatting sqref="AB70">
    <cfRule type="cellIs" dxfId="1117" priority="140818" stopIfTrue="1" operator="lessThan">
      <formula>0.5</formula>
    </cfRule>
  </conditionalFormatting>
  <conditionalFormatting sqref="AB70">
    <cfRule type="cellIs" dxfId="1116" priority="140819" stopIfTrue="1" operator="greaterThanOrEqual">
      <formula>0.5</formula>
    </cfRule>
  </conditionalFormatting>
  <conditionalFormatting sqref="AB71">
    <cfRule type="cellIs" dxfId="1115" priority="140820" stopIfTrue="1" operator="equal">
      <formula>-1</formula>
    </cfRule>
  </conditionalFormatting>
  <conditionalFormatting sqref="AB71">
    <cfRule type="cellIs" dxfId="1114" priority="140821" stopIfTrue="1" operator="lessThan">
      <formula>0.5</formula>
    </cfRule>
  </conditionalFormatting>
  <conditionalFormatting sqref="AB71">
    <cfRule type="cellIs" dxfId="1113" priority="140822" stopIfTrue="1" operator="greaterThanOrEqual">
      <formula>0.5</formula>
    </cfRule>
  </conditionalFormatting>
  <conditionalFormatting sqref="AB72">
    <cfRule type="cellIs" dxfId="1112" priority="140823" stopIfTrue="1" operator="equal">
      <formula>-1</formula>
    </cfRule>
  </conditionalFormatting>
  <conditionalFormatting sqref="AB72">
    <cfRule type="cellIs" dxfId="1111" priority="140824" stopIfTrue="1" operator="lessThan">
      <formula>0.5</formula>
    </cfRule>
  </conditionalFormatting>
  <conditionalFormatting sqref="AB72">
    <cfRule type="cellIs" dxfId="1110" priority="140825" stopIfTrue="1" operator="greaterThanOrEqual">
      <formula>0.5</formula>
    </cfRule>
  </conditionalFormatting>
  <conditionalFormatting sqref="AB73">
    <cfRule type="cellIs" dxfId="1109" priority="140826" stopIfTrue="1" operator="equal">
      <formula>-1</formula>
    </cfRule>
  </conditionalFormatting>
  <conditionalFormatting sqref="AB73">
    <cfRule type="cellIs" dxfId="1108" priority="140827" stopIfTrue="1" operator="lessThan">
      <formula>0.5</formula>
    </cfRule>
  </conditionalFormatting>
  <conditionalFormatting sqref="AB73">
    <cfRule type="cellIs" dxfId="1107" priority="140828" stopIfTrue="1" operator="greaterThanOrEqual">
      <formula>0.5</formula>
    </cfRule>
  </conditionalFormatting>
  <conditionalFormatting sqref="AB74">
    <cfRule type="cellIs" dxfId="1106" priority="140829" stopIfTrue="1" operator="equal">
      <formula>-1</formula>
    </cfRule>
  </conditionalFormatting>
  <conditionalFormatting sqref="AB74">
    <cfRule type="cellIs" dxfId="1105" priority="140830" stopIfTrue="1" operator="lessThan">
      <formula>0.5</formula>
    </cfRule>
  </conditionalFormatting>
  <conditionalFormatting sqref="AB74">
    <cfRule type="cellIs" dxfId="1104" priority="140831" stopIfTrue="1" operator="greaterThanOrEqual">
      <formula>0.5</formula>
    </cfRule>
  </conditionalFormatting>
  <conditionalFormatting sqref="AB75">
    <cfRule type="cellIs" dxfId="1103" priority="140832" stopIfTrue="1" operator="equal">
      <formula>-1</formula>
    </cfRule>
  </conditionalFormatting>
  <conditionalFormatting sqref="AB75">
    <cfRule type="cellIs" dxfId="1102" priority="140833" stopIfTrue="1" operator="lessThan">
      <formula>0.5</formula>
    </cfRule>
  </conditionalFormatting>
  <conditionalFormatting sqref="AB75">
    <cfRule type="cellIs" dxfId="1101" priority="140834" stopIfTrue="1" operator="greaterThanOrEqual">
      <formula>0.5</formula>
    </cfRule>
  </conditionalFormatting>
  <conditionalFormatting sqref="AB76">
    <cfRule type="cellIs" dxfId="1100" priority="140835" stopIfTrue="1" operator="equal">
      <formula>-1</formula>
    </cfRule>
  </conditionalFormatting>
  <conditionalFormatting sqref="AB76">
    <cfRule type="cellIs" dxfId="1099" priority="140836" stopIfTrue="1" operator="lessThan">
      <formula>0.5</formula>
    </cfRule>
  </conditionalFormatting>
  <conditionalFormatting sqref="AB76">
    <cfRule type="cellIs" dxfId="1098" priority="140837" stopIfTrue="1" operator="greaterThanOrEqual">
      <formula>0.5</formula>
    </cfRule>
  </conditionalFormatting>
  <conditionalFormatting sqref="AB77">
    <cfRule type="cellIs" dxfId="1097" priority="140838" stopIfTrue="1" operator="equal">
      <formula>-1</formula>
    </cfRule>
  </conditionalFormatting>
  <conditionalFormatting sqref="AB77">
    <cfRule type="cellIs" dxfId="1096" priority="140839" stopIfTrue="1" operator="lessThan">
      <formula>0.5</formula>
    </cfRule>
  </conditionalFormatting>
  <conditionalFormatting sqref="AB77">
    <cfRule type="cellIs" dxfId="1095" priority="140840" stopIfTrue="1" operator="greaterThanOrEqual">
      <formula>0.5</formula>
    </cfRule>
  </conditionalFormatting>
  <conditionalFormatting sqref="AB78">
    <cfRule type="cellIs" dxfId="1094" priority="140841" stopIfTrue="1" operator="equal">
      <formula>-1</formula>
    </cfRule>
  </conditionalFormatting>
  <conditionalFormatting sqref="AB78">
    <cfRule type="cellIs" dxfId="1093" priority="140842" stopIfTrue="1" operator="lessThan">
      <formula>0.5</formula>
    </cfRule>
  </conditionalFormatting>
  <conditionalFormatting sqref="AB78">
    <cfRule type="cellIs" dxfId="1092" priority="140843" stopIfTrue="1" operator="greaterThanOrEqual">
      <formula>0.5</formula>
    </cfRule>
  </conditionalFormatting>
  <conditionalFormatting sqref="AB79">
    <cfRule type="cellIs" dxfId="1091" priority="140844" stopIfTrue="1" operator="equal">
      <formula>-1</formula>
    </cfRule>
  </conditionalFormatting>
  <conditionalFormatting sqref="AB79">
    <cfRule type="cellIs" dxfId="1090" priority="140845" stopIfTrue="1" operator="lessThan">
      <formula>0.5</formula>
    </cfRule>
  </conditionalFormatting>
  <conditionalFormatting sqref="AB79">
    <cfRule type="cellIs" dxfId="1089" priority="140846" stopIfTrue="1" operator="greaterThanOrEqual">
      <formula>0.5</formula>
    </cfRule>
  </conditionalFormatting>
  <conditionalFormatting sqref="AB80">
    <cfRule type="cellIs" dxfId="1088" priority="140847" stopIfTrue="1" operator="equal">
      <formula>-1</formula>
    </cfRule>
  </conditionalFormatting>
  <conditionalFormatting sqref="AB80">
    <cfRule type="cellIs" dxfId="1087" priority="140848" stopIfTrue="1" operator="lessThan">
      <formula>0.5</formula>
    </cfRule>
  </conditionalFormatting>
  <conditionalFormatting sqref="AB80">
    <cfRule type="cellIs" dxfId="1086" priority="140849" stopIfTrue="1" operator="greaterThanOrEqual">
      <formula>0.5</formula>
    </cfRule>
  </conditionalFormatting>
  <conditionalFormatting sqref="AB81">
    <cfRule type="cellIs" dxfId="1085" priority="140850" stopIfTrue="1" operator="equal">
      <formula>-1</formula>
    </cfRule>
  </conditionalFormatting>
  <conditionalFormatting sqref="AB81">
    <cfRule type="cellIs" dxfId="1084" priority="140851" stopIfTrue="1" operator="lessThan">
      <formula>0.5</formula>
    </cfRule>
  </conditionalFormatting>
  <conditionalFormatting sqref="AB81">
    <cfRule type="cellIs" dxfId="1083" priority="140852" stopIfTrue="1" operator="greaterThanOrEqual">
      <formula>0.5</formula>
    </cfRule>
  </conditionalFormatting>
  <conditionalFormatting sqref="AB82">
    <cfRule type="cellIs" dxfId="1082" priority="140853" stopIfTrue="1" operator="equal">
      <formula>-1</formula>
    </cfRule>
  </conditionalFormatting>
  <conditionalFormatting sqref="AB82">
    <cfRule type="cellIs" dxfId="1081" priority="140854" stopIfTrue="1" operator="lessThan">
      <formula>0.5</formula>
    </cfRule>
  </conditionalFormatting>
  <conditionalFormatting sqref="AB82">
    <cfRule type="cellIs" dxfId="1080" priority="140855" stopIfTrue="1" operator="greaterThanOrEqual">
      <formula>0.5</formula>
    </cfRule>
  </conditionalFormatting>
  <conditionalFormatting sqref="AB83">
    <cfRule type="cellIs" dxfId="1079" priority="140856" stopIfTrue="1" operator="equal">
      <formula>-1</formula>
    </cfRule>
  </conditionalFormatting>
  <conditionalFormatting sqref="AB83">
    <cfRule type="cellIs" dxfId="1078" priority="140857" stopIfTrue="1" operator="lessThan">
      <formula>0.5</formula>
    </cfRule>
  </conditionalFormatting>
  <conditionalFormatting sqref="AB83">
    <cfRule type="cellIs" dxfId="1077" priority="140858" stopIfTrue="1" operator="greaterThanOrEqual">
      <formula>0.5</formula>
    </cfRule>
  </conditionalFormatting>
  <conditionalFormatting sqref="AB84">
    <cfRule type="cellIs" dxfId="1076" priority="140859" stopIfTrue="1" operator="equal">
      <formula>-1</formula>
    </cfRule>
  </conditionalFormatting>
  <conditionalFormatting sqref="AB84">
    <cfRule type="cellIs" dxfId="1075" priority="140860" stopIfTrue="1" operator="lessThan">
      <formula>0.5</formula>
    </cfRule>
  </conditionalFormatting>
  <conditionalFormatting sqref="AB84">
    <cfRule type="cellIs" dxfId="1074" priority="140861" stopIfTrue="1" operator="greaterThanOrEqual">
      <formula>0.5</formula>
    </cfRule>
  </conditionalFormatting>
  <conditionalFormatting sqref="AB85">
    <cfRule type="cellIs" dxfId="1073" priority="140862" stopIfTrue="1" operator="equal">
      <formula>-1</formula>
    </cfRule>
  </conditionalFormatting>
  <conditionalFormatting sqref="AB85">
    <cfRule type="cellIs" dxfId="1072" priority="140863" stopIfTrue="1" operator="lessThan">
      <formula>0.5</formula>
    </cfRule>
  </conditionalFormatting>
  <conditionalFormatting sqref="AB85">
    <cfRule type="cellIs" dxfId="1071" priority="140864" stopIfTrue="1" operator="greaterThanOrEqual">
      <formula>0.5</formula>
    </cfRule>
  </conditionalFormatting>
  <conditionalFormatting sqref="AD65">
    <cfRule type="cellIs" dxfId="1070" priority="140865" stopIfTrue="1" operator="equal">
      <formula>-1</formula>
    </cfRule>
  </conditionalFormatting>
  <conditionalFormatting sqref="AD65">
    <cfRule type="cellIs" dxfId="1069" priority="140866" stopIfTrue="1" operator="lessThan">
      <formula>0.5</formula>
    </cfRule>
  </conditionalFormatting>
  <conditionalFormatting sqref="AD65">
    <cfRule type="cellIs" dxfId="1068" priority="140867" stopIfTrue="1" operator="greaterThanOrEqual">
      <formula>0.5</formula>
    </cfRule>
  </conditionalFormatting>
  <conditionalFormatting sqref="AD66">
    <cfRule type="cellIs" dxfId="1067" priority="140868" stopIfTrue="1" operator="equal">
      <formula>-1</formula>
    </cfRule>
  </conditionalFormatting>
  <conditionalFormatting sqref="AD66">
    <cfRule type="cellIs" dxfId="1066" priority="140869" stopIfTrue="1" operator="lessThan">
      <formula>0.5</formula>
    </cfRule>
  </conditionalFormatting>
  <conditionalFormatting sqref="AD66">
    <cfRule type="cellIs" dxfId="1065" priority="140870" stopIfTrue="1" operator="greaterThanOrEqual">
      <formula>0.5</formula>
    </cfRule>
  </conditionalFormatting>
  <conditionalFormatting sqref="AD67">
    <cfRule type="cellIs" dxfId="1064" priority="140871" stopIfTrue="1" operator="equal">
      <formula>-1</formula>
    </cfRule>
  </conditionalFormatting>
  <conditionalFormatting sqref="AD67">
    <cfRule type="cellIs" dxfId="1063" priority="140872" stopIfTrue="1" operator="lessThan">
      <formula>0.5</formula>
    </cfRule>
  </conditionalFormatting>
  <conditionalFormatting sqref="AD67">
    <cfRule type="cellIs" dxfId="1062" priority="140873" stopIfTrue="1" operator="greaterThanOrEqual">
      <formula>0.5</formula>
    </cfRule>
  </conditionalFormatting>
  <conditionalFormatting sqref="AD68">
    <cfRule type="cellIs" dxfId="1061" priority="140874" stopIfTrue="1" operator="equal">
      <formula>-1</formula>
    </cfRule>
  </conditionalFormatting>
  <conditionalFormatting sqref="AD68">
    <cfRule type="cellIs" dxfId="1060" priority="140875" stopIfTrue="1" operator="lessThan">
      <formula>0.5</formula>
    </cfRule>
  </conditionalFormatting>
  <conditionalFormatting sqref="AD68">
    <cfRule type="cellIs" dxfId="1059" priority="140876" stopIfTrue="1" operator="greaterThanOrEqual">
      <formula>0.5</formula>
    </cfRule>
  </conditionalFormatting>
  <conditionalFormatting sqref="AD69">
    <cfRule type="cellIs" dxfId="1058" priority="140877" stopIfTrue="1" operator="equal">
      <formula>-1</formula>
    </cfRule>
  </conditionalFormatting>
  <conditionalFormatting sqref="AD69">
    <cfRule type="cellIs" dxfId="1057" priority="140878" stopIfTrue="1" operator="lessThan">
      <formula>0.5</formula>
    </cfRule>
  </conditionalFormatting>
  <conditionalFormatting sqref="AD69">
    <cfRule type="cellIs" dxfId="1056" priority="140879" stopIfTrue="1" operator="greaterThanOrEqual">
      <formula>0.5</formula>
    </cfRule>
  </conditionalFormatting>
  <conditionalFormatting sqref="AD70">
    <cfRule type="cellIs" dxfId="1055" priority="140880" stopIfTrue="1" operator="equal">
      <formula>-1</formula>
    </cfRule>
  </conditionalFormatting>
  <conditionalFormatting sqref="AD70">
    <cfRule type="cellIs" dxfId="1054" priority="140881" stopIfTrue="1" operator="lessThan">
      <formula>0.5</formula>
    </cfRule>
  </conditionalFormatting>
  <conditionalFormatting sqref="AD70">
    <cfRule type="cellIs" dxfId="1053" priority="140882" stopIfTrue="1" operator="greaterThanOrEqual">
      <formula>0.5</formula>
    </cfRule>
  </conditionalFormatting>
  <conditionalFormatting sqref="AD71">
    <cfRule type="cellIs" dxfId="1052" priority="140883" stopIfTrue="1" operator="equal">
      <formula>-1</formula>
    </cfRule>
  </conditionalFormatting>
  <conditionalFormatting sqref="AD71">
    <cfRule type="cellIs" dxfId="1051" priority="140884" stopIfTrue="1" operator="lessThan">
      <formula>0.5</formula>
    </cfRule>
  </conditionalFormatting>
  <conditionalFormatting sqref="AD71">
    <cfRule type="cellIs" dxfId="1050" priority="140885" stopIfTrue="1" operator="greaterThanOrEqual">
      <formula>0.5</formula>
    </cfRule>
  </conditionalFormatting>
  <conditionalFormatting sqref="AD72">
    <cfRule type="cellIs" dxfId="1049" priority="140886" stopIfTrue="1" operator="equal">
      <formula>-1</formula>
    </cfRule>
  </conditionalFormatting>
  <conditionalFormatting sqref="AD72">
    <cfRule type="cellIs" dxfId="1048" priority="140887" stopIfTrue="1" operator="lessThan">
      <formula>0.5</formula>
    </cfRule>
  </conditionalFormatting>
  <conditionalFormatting sqref="AD72">
    <cfRule type="cellIs" dxfId="1047" priority="140888" stopIfTrue="1" operator="greaterThanOrEqual">
      <formula>0.5</formula>
    </cfRule>
  </conditionalFormatting>
  <conditionalFormatting sqref="AD73">
    <cfRule type="cellIs" dxfId="1046" priority="140889" stopIfTrue="1" operator="equal">
      <formula>-1</formula>
    </cfRule>
  </conditionalFormatting>
  <conditionalFormatting sqref="AD73">
    <cfRule type="cellIs" dxfId="1045" priority="140890" stopIfTrue="1" operator="lessThan">
      <formula>0.5</formula>
    </cfRule>
  </conditionalFormatting>
  <conditionalFormatting sqref="AD73">
    <cfRule type="cellIs" dxfId="1044" priority="140891" stopIfTrue="1" operator="greaterThanOrEqual">
      <formula>0.5</formula>
    </cfRule>
  </conditionalFormatting>
  <conditionalFormatting sqref="AD74">
    <cfRule type="cellIs" dxfId="1043" priority="140892" stopIfTrue="1" operator="equal">
      <formula>-1</formula>
    </cfRule>
  </conditionalFormatting>
  <conditionalFormatting sqref="AD74">
    <cfRule type="cellIs" dxfId="1042" priority="140893" stopIfTrue="1" operator="lessThan">
      <formula>0.5</formula>
    </cfRule>
  </conditionalFormatting>
  <conditionalFormatting sqref="AD74">
    <cfRule type="cellIs" dxfId="1041" priority="140894" stopIfTrue="1" operator="greaterThanOrEqual">
      <formula>0.5</formula>
    </cfRule>
  </conditionalFormatting>
  <conditionalFormatting sqref="AD75">
    <cfRule type="cellIs" dxfId="1040" priority="140895" stopIfTrue="1" operator="equal">
      <formula>-1</formula>
    </cfRule>
  </conditionalFormatting>
  <conditionalFormatting sqref="AD75">
    <cfRule type="cellIs" dxfId="1039" priority="140896" stopIfTrue="1" operator="lessThan">
      <formula>0.5</formula>
    </cfRule>
  </conditionalFormatting>
  <conditionalFormatting sqref="AD75">
    <cfRule type="cellIs" dxfId="1038" priority="140897" stopIfTrue="1" operator="greaterThanOrEqual">
      <formula>0.5</formula>
    </cfRule>
  </conditionalFormatting>
  <conditionalFormatting sqref="AD76">
    <cfRule type="cellIs" dxfId="1037" priority="140898" stopIfTrue="1" operator="equal">
      <formula>-1</formula>
    </cfRule>
  </conditionalFormatting>
  <conditionalFormatting sqref="AD76">
    <cfRule type="cellIs" dxfId="1036" priority="140899" stopIfTrue="1" operator="lessThan">
      <formula>0.5</formula>
    </cfRule>
  </conditionalFormatting>
  <conditionalFormatting sqref="AD76">
    <cfRule type="cellIs" dxfId="1035" priority="140900" stopIfTrue="1" operator="greaterThanOrEqual">
      <formula>0.5</formula>
    </cfRule>
  </conditionalFormatting>
  <conditionalFormatting sqref="AD77">
    <cfRule type="cellIs" dxfId="1034" priority="140901" stopIfTrue="1" operator="equal">
      <formula>-1</formula>
    </cfRule>
  </conditionalFormatting>
  <conditionalFormatting sqref="AD77">
    <cfRule type="cellIs" dxfId="1033" priority="140902" stopIfTrue="1" operator="lessThan">
      <formula>0.5</formula>
    </cfRule>
  </conditionalFormatting>
  <conditionalFormatting sqref="AD77">
    <cfRule type="cellIs" dxfId="1032" priority="140903" stopIfTrue="1" operator="greaterThanOrEqual">
      <formula>0.5</formula>
    </cfRule>
  </conditionalFormatting>
  <conditionalFormatting sqref="AD78">
    <cfRule type="cellIs" dxfId="1031" priority="140904" stopIfTrue="1" operator="equal">
      <formula>-1</formula>
    </cfRule>
  </conditionalFormatting>
  <conditionalFormatting sqref="AD78">
    <cfRule type="cellIs" dxfId="1030" priority="140905" stopIfTrue="1" operator="lessThan">
      <formula>0.5</formula>
    </cfRule>
  </conditionalFormatting>
  <conditionalFormatting sqref="AD78">
    <cfRule type="cellIs" dxfId="1029" priority="140906" stopIfTrue="1" operator="greaterThanOrEqual">
      <formula>0.5</formula>
    </cfRule>
  </conditionalFormatting>
  <conditionalFormatting sqref="AD79">
    <cfRule type="cellIs" dxfId="1028" priority="140907" stopIfTrue="1" operator="equal">
      <formula>-1</formula>
    </cfRule>
  </conditionalFormatting>
  <conditionalFormatting sqref="AD79">
    <cfRule type="cellIs" dxfId="1027" priority="140908" stopIfTrue="1" operator="lessThan">
      <formula>0.5</formula>
    </cfRule>
  </conditionalFormatting>
  <conditionalFormatting sqref="AD79">
    <cfRule type="cellIs" dxfId="1026" priority="140909" stopIfTrue="1" operator="greaterThanOrEqual">
      <formula>0.5</formula>
    </cfRule>
  </conditionalFormatting>
  <conditionalFormatting sqref="AD80">
    <cfRule type="cellIs" dxfId="1025" priority="140910" stopIfTrue="1" operator="equal">
      <formula>-1</formula>
    </cfRule>
  </conditionalFormatting>
  <conditionalFormatting sqref="AD80">
    <cfRule type="cellIs" dxfId="1024" priority="140911" stopIfTrue="1" operator="lessThan">
      <formula>0.5</formula>
    </cfRule>
  </conditionalFormatting>
  <conditionalFormatting sqref="AD80">
    <cfRule type="cellIs" dxfId="1023" priority="140912" stopIfTrue="1" operator="greaterThanOrEqual">
      <formula>0.5</formula>
    </cfRule>
  </conditionalFormatting>
  <conditionalFormatting sqref="AD81">
    <cfRule type="cellIs" dxfId="1022" priority="140913" stopIfTrue="1" operator="equal">
      <formula>-1</formula>
    </cfRule>
  </conditionalFormatting>
  <conditionalFormatting sqref="AD81">
    <cfRule type="cellIs" dxfId="1021" priority="140914" stopIfTrue="1" operator="lessThan">
      <formula>0.5</formula>
    </cfRule>
  </conditionalFormatting>
  <conditionalFormatting sqref="AD81">
    <cfRule type="cellIs" dxfId="1020" priority="140915" stopIfTrue="1" operator="greaterThanOrEqual">
      <formula>0.5</formula>
    </cfRule>
  </conditionalFormatting>
  <conditionalFormatting sqref="AD82">
    <cfRule type="cellIs" dxfId="1019" priority="140916" stopIfTrue="1" operator="equal">
      <formula>-1</formula>
    </cfRule>
  </conditionalFormatting>
  <conditionalFormatting sqref="AD82">
    <cfRule type="cellIs" dxfId="1018" priority="140917" stopIfTrue="1" operator="lessThan">
      <formula>0.5</formula>
    </cfRule>
  </conditionalFormatting>
  <conditionalFormatting sqref="AD82">
    <cfRule type="cellIs" dxfId="1017" priority="140918" stopIfTrue="1" operator="greaterThanOrEqual">
      <formula>0.5</formula>
    </cfRule>
  </conditionalFormatting>
  <conditionalFormatting sqref="AD83">
    <cfRule type="cellIs" dxfId="1016" priority="140919" stopIfTrue="1" operator="equal">
      <formula>-1</formula>
    </cfRule>
  </conditionalFormatting>
  <conditionalFormatting sqref="AD83">
    <cfRule type="cellIs" dxfId="1015" priority="140920" stopIfTrue="1" operator="lessThan">
      <formula>0.5</formula>
    </cfRule>
  </conditionalFormatting>
  <conditionalFormatting sqref="AD83">
    <cfRule type="cellIs" dxfId="1014" priority="140921" stopIfTrue="1" operator="greaterThanOrEqual">
      <formula>0.5</formula>
    </cfRule>
  </conditionalFormatting>
  <conditionalFormatting sqref="AD84">
    <cfRule type="cellIs" dxfId="1013" priority="140922" stopIfTrue="1" operator="equal">
      <formula>-1</formula>
    </cfRule>
  </conditionalFormatting>
  <conditionalFormatting sqref="AD84">
    <cfRule type="cellIs" dxfId="1012" priority="140923" stopIfTrue="1" operator="lessThan">
      <formula>0.5</formula>
    </cfRule>
  </conditionalFormatting>
  <conditionalFormatting sqref="AD84">
    <cfRule type="cellIs" dxfId="1011" priority="140924" stopIfTrue="1" operator="greaterThanOrEqual">
      <formula>0.5</formula>
    </cfRule>
  </conditionalFormatting>
  <conditionalFormatting sqref="AD85">
    <cfRule type="cellIs" dxfId="1010" priority="140925" stopIfTrue="1" operator="equal">
      <formula>-1</formula>
    </cfRule>
  </conditionalFormatting>
  <conditionalFormatting sqref="AD85">
    <cfRule type="cellIs" dxfId="1009" priority="140926" stopIfTrue="1" operator="lessThan">
      <formula>0.5</formula>
    </cfRule>
  </conditionalFormatting>
  <conditionalFormatting sqref="AD85">
    <cfRule type="cellIs" dxfId="1008" priority="140927" stopIfTrue="1" operator="greaterThanOrEqual">
      <formula>0.5</formula>
    </cfRule>
  </conditionalFormatting>
  <conditionalFormatting sqref="AF65">
    <cfRule type="cellIs" dxfId="1007" priority="140928" stopIfTrue="1" operator="equal">
      <formula>-1</formula>
    </cfRule>
  </conditionalFormatting>
  <conditionalFormatting sqref="AF65">
    <cfRule type="cellIs" dxfId="1006" priority="140929" stopIfTrue="1" operator="lessThan">
      <formula>0.5</formula>
    </cfRule>
  </conditionalFormatting>
  <conditionalFormatting sqref="AF65">
    <cfRule type="cellIs" dxfId="1005" priority="140930" stopIfTrue="1" operator="greaterThanOrEqual">
      <formula>0.5</formula>
    </cfRule>
  </conditionalFormatting>
  <conditionalFormatting sqref="AF66">
    <cfRule type="cellIs" dxfId="1004" priority="140931" stopIfTrue="1" operator="equal">
      <formula>-1</formula>
    </cfRule>
  </conditionalFormatting>
  <conditionalFormatting sqref="AF66">
    <cfRule type="cellIs" dxfId="1003" priority="140932" stopIfTrue="1" operator="lessThan">
      <formula>0.5</formula>
    </cfRule>
  </conditionalFormatting>
  <conditionalFormatting sqref="AF66">
    <cfRule type="cellIs" dxfId="1002" priority="140933" stopIfTrue="1" operator="greaterThanOrEqual">
      <formula>0.5</formula>
    </cfRule>
  </conditionalFormatting>
  <conditionalFormatting sqref="AF67">
    <cfRule type="cellIs" dxfId="1001" priority="140934" stopIfTrue="1" operator="equal">
      <formula>-1</formula>
    </cfRule>
  </conditionalFormatting>
  <conditionalFormatting sqref="AF67">
    <cfRule type="cellIs" dxfId="1000" priority="140935" stopIfTrue="1" operator="lessThan">
      <formula>0.5</formula>
    </cfRule>
  </conditionalFormatting>
  <conditionalFormatting sqref="AF67">
    <cfRule type="cellIs" dxfId="999" priority="140936" stopIfTrue="1" operator="greaterThanOrEqual">
      <formula>0.5</formula>
    </cfRule>
  </conditionalFormatting>
  <conditionalFormatting sqref="AF68">
    <cfRule type="cellIs" dxfId="998" priority="140937" stopIfTrue="1" operator="equal">
      <formula>-1</formula>
    </cfRule>
  </conditionalFormatting>
  <conditionalFormatting sqref="AF68">
    <cfRule type="cellIs" dxfId="997" priority="140938" stopIfTrue="1" operator="lessThan">
      <formula>0.5</formula>
    </cfRule>
  </conditionalFormatting>
  <conditionalFormatting sqref="AF68">
    <cfRule type="cellIs" dxfId="996" priority="140939" stopIfTrue="1" operator="greaterThanOrEqual">
      <formula>0.5</formula>
    </cfRule>
  </conditionalFormatting>
  <conditionalFormatting sqref="AF69">
    <cfRule type="cellIs" dxfId="995" priority="140940" stopIfTrue="1" operator="equal">
      <formula>-1</formula>
    </cfRule>
  </conditionalFormatting>
  <conditionalFormatting sqref="AF69">
    <cfRule type="cellIs" dxfId="994" priority="140941" stopIfTrue="1" operator="lessThan">
      <formula>0.5</formula>
    </cfRule>
  </conditionalFormatting>
  <conditionalFormatting sqref="AF69">
    <cfRule type="cellIs" dxfId="993" priority="140942" stopIfTrue="1" operator="greaterThanOrEqual">
      <formula>0.5</formula>
    </cfRule>
  </conditionalFormatting>
  <conditionalFormatting sqref="AF70">
    <cfRule type="cellIs" dxfId="992" priority="140943" stopIfTrue="1" operator="equal">
      <formula>-1</formula>
    </cfRule>
  </conditionalFormatting>
  <conditionalFormatting sqref="AF70">
    <cfRule type="cellIs" dxfId="991" priority="140944" stopIfTrue="1" operator="lessThan">
      <formula>0.5</formula>
    </cfRule>
  </conditionalFormatting>
  <conditionalFormatting sqref="AF70">
    <cfRule type="cellIs" dxfId="990" priority="140945" stopIfTrue="1" operator="greaterThanOrEqual">
      <formula>0.5</formula>
    </cfRule>
  </conditionalFormatting>
  <conditionalFormatting sqref="AF71">
    <cfRule type="cellIs" dxfId="989" priority="140946" stopIfTrue="1" operator="equal">
      <formula>-1</formula>
    </cfRule>
  </conditionalFormatting>
  <conditionalFormatting sqref="AF71">
    <cfRule type="cellIs" dxfId="988" priority="140947" stopIfTrue="1" operator="lessThan">
      <formula>0.5</formula>
    </cfRule>
  </conditionalFormatting>
  <conditionalFormatting sqref="AF71">
    <cfRule type="cellIs" dxfId="987" priority="140948" stopIfTrue="1" operator="greaterThanOrEqual">
      <formula>0.5</formula>
    </cfRule>
  </conditionalFormatting>
  <conditionalFormatting sqref="AF72">
    <cfRule type="cellIs" dxfId="986" priority="140949" stopIfTrue="1" operator="equal">
      <formula>-1</formula>
    </cfRule>
  </conditionalFormatting>
  <conditionalFormatting sqref="AF72">
    <cfRule type="cellIs" dxfId="985" priority="140950" stopIfTrue="1" operator="lessThan">
      <formula>0.5</formula>
    </cfRule>
  </conditionalFormatting>
  <conditionalFormatting sqref="AF72">
    <cfRule type="cellIs" dxfId="984" priority="140951" stopIfTrue="1" operator="greaterThanOrEqual">
      <formula>0.5</formula>
    </cfRule>
  </conditionalFormatting>
  <conditionalFormatting sqref="AF73">
    <cfRule type="cellIs" dxfId="983" priority="140952" stopIfTrue="1" operator="equal">
      <formula>-1</formula>
    </cfRule>
  </conditionalFormatting>
  <conditionalFormatting sqref="AF73">
    <cfRule type="cellIs" dxfId="982" priority="140953" stopIfTrue="1" operator="lessThan">
      <formula>0.5</formula>
    </cfRule>
  </conditionalFormatting>
  <conditionalFormatting sqref="AF73">
    <cfRule type="cellIs" dxfId="981" priority="140954" stopIfTrue="1" operator="greaterThanOrEqual">
      <formula>0.5</formula>
    </cfRule>
  </conditionalFormatting>
  <conditionalFormatting sqref="AF74">
    <cfRule type="cellIs" dxfId="980" priority="140955" stopIfTrue="1" operator="equal">
      <formula>-1</formula>
    </cfRule>
  </conditionalFormatting>
  <conditionalFormatting sqref="AF74">
    <cfRule type="cellIs" dxfId="979" priority="140956" stopIfTrue="1" operator="lessThan">
      <formula>0.5</formula>
    </cfRule>
  </conditionalFormatting>
  <conditionalFormatting sqref="AF74">
    <cfRule type="cellIs" dxfId="978" priority="140957" stopIfTrue="1" operator="greaterThanOrEqual">
      <formula>0.5</formula>
    </cfRule>
  </conditionalFormatting>
  <conditionalFormatting sqref="AF75">
    <cfRule type="cellIs" dxfId="977" priority="140958" stopIfTrue="1" operator="equal">
      <formula>-1</formula>
    </cfRule>
  </conditionalFormatting>
  <conditionalFormatting sqref="AF75">
    <cfRule type="cellIs" dxfId="976" priority="140959" stopIfTrue="1" operator="lessThan">
      <formula>0.5</formula>
    </cfRule>
  </conditionalFormatting>
  <conditionalFormatting sqref="AF75">
    <cfRule type="cellIs" dxfId="975" priority="140960" stopIfTrue="1" operator="greaterThanOrEqual">
      <formula>0.5</formula>
    </cfRule>
  </conditionalFormatting>
  <conditionalFormatting sqref="AF76">
    <cfRule type="cellIs" dxfId="974" priority="140961" stopIfTrue="1" operator="equal">
      <formula>-1</formula>
    </cfRule>
  </conditionalFormatting>
  <conditionalFormatting sqref="AF76">
    <cfRule type="cellIs" dxfId="973" priority="140962" stopIfTrue="1" operator="lessThan">
      <formula>0.5</formula>
    </cfRule>
  </conditionalFormatting>
  <conditionalFormatting sqref="AF76">
    <cfRule type="cellIs" dxfId="972" priority="140963" stopIfTrue="1" operator="greaterThanOrEqual">
      <formula>0.5</formula>
    </cfRule>
  </conditionalFormatting>
  <conditionalFormatting sqref="AF77">
    <cfRule type="cellIs" dxfId="971" priority="140964" stopIfTrue="1" operator="equal">
      <formula>-1</formula>
    </cfRule>
  </conditionalFormatting>
  <conditionalFormatting sqref="AF77">
    <cfRule type="cellIs" dxfId="970" priority="140965" stopIfTrue="1" operator="lessThan">
      <formula>0.5</formula>
    </cfRule>
  </conditionalFormatting>
  <conditionalFormatting sqref="AF77">
    <cfRule type="cellIs" dxfId="969" priority="140966" stopIfTrue="1" operator="greaterThanOrEqual">
      <formula>0.5</formula>
    </cfRule>
  </conditionalFormatting>
  <conditionalFormatting sqref="AF78">
    <cfRule type="cellIs" dxfId="968" priority="140967" stopIfTrue="1" operator="equal">
      <formula>-1</formula>
    </cfRule>
  </conditionalFormatting>
  <conditionalFormatting sqref="AF78">
    <cfRule type="cellIs" dxfId="967" priority="140968" stopIfTrue="1" operator="lessThan">
      <formula>0.5</formula>
    </cfRule>
  </conditionalFormatting>
  <conditionalFormatting sqref="AF78">
    <cfRule type="cellIs" dxfId="966" priority="140969" stopIfTrue="1" operator="greaterThanOrEqual">
      <formula>0.5</formula>
    </cfRule>
  </conditionalFormatting>
  <conditionalFormatting sqref="AF79">
    <cfRule type="cellIs" dxfId="965" priority="140970" stopIfTrue="1" operator="equal">
      <formula>-1</formula>
    </cfRule>
  </conditionalFormatting>
  <conditionalFormatting sqref="AF79">
    <cfRule type="cellIs" dxfId="964" priority="140971" stopIfTrue="1" operator="lessThan">
      <formula>0.5</formula>
    </cfRule>
  </conditionalFormatting>
  <conditionalFormatting sqref="AF79">
    <cfRule type="cellIs" dxfId="963" priority="140972" stopIfTrue="1" operator="greaterThanOrEqual">
      <formula>0.5</formula>
    </cfRule>
  </conditionalFormatting>
  <conditionalFormatting sqref="AF80">
    <cfRule type="cellIs" dxfId="962" priority="140973" stopIfTrue="1" operator="equal">
      <formula>-1</formula>
    </cfRule>
  </conditionalFormatting>
  <conditionalFormatting sqref="AF80">
    <cfRule type="cellIs" dxfId="961" priority="140974" stopIfTrue="1" operator="lessThan">
      <formula>0.5</formula>
    </cfRule>
  </conditionalFormatting>
  <conditionalFormatting sqref="AF80">
    <cfRule type="cellIs" dxfId="960" priority="140975" stopIfTrue="1" operator="greaterThanOrEqual">
      <formula>0.5</formula>
    </cfRule>
  </conditionalFormatting>
  <conditionalFormatting sqref="AF81">
    <cfRule type="cellIs" dxfId="959" priority="140976" stopIfTrue="1" operator="equal">
      <formula>-1</formula>
    </cfRule>
  </conditionalFormatting>
  <conditionalFormatting sqref="AF81">
    <cfRule type="cellIs" dxfId="958" priority="140977" stopIfTrue="1" operator="lessThan">
      <formula>0.5</formula>
    </cfRule>
  </conditionalFormatting>
  <conditionalFormatting sqref="AF81">
    <cfRule type="cellIs" dxfId="957" priority="140978" stopIfTrue="1" operator="greaterThanOrEqual">
      <formula>0.5</formula>
    </cfRule>
  </conditionalFormatting>
  <conditionalFormatting sqref="AF82">
    <cfRule type="cellIs" dxfId="956" priority="140979" stopIfTrue="1" operator="equal">
      <formula>-1</formula>
    </cfRule>
  </conditionalFormatting>
  <conditionalFormatting sqref="AF82">
    <cfRule type="cellIs" dxfId="955" priority="140980" stopIfTrue="1" operator="lessThan">
      <formula>0.5</formula>
    </cfRule>
  </conditionalFormatting>
  <conditionalFormatting sqref="AF82">
    <cfRule type="cellIs" dxfId="954" priority="140981" stopIfTrue="1" operator="greaterThanOrEqual">
      <formula>0.5</formula>
    </cfRule>
  </conditionalFormatting>
  <conditionalFormatting sqref="AF83">
    <cfRule type="cellIs" dxfId="953" priority="140982" stopIfTrue="1" operator="equal">
      <formula>-1</formula>
    </cfRule>
  </conditionalFormatting>
  <conditionalFormatting sqref="AF83">
    <cfRule type="cellIs" dxfId="952" priority="140983" stopIfTrue="1" operator="lessThan">
      <formula>0.5</formula>
    </cfRule>
  </conditionalFormatting>
  <conditionalFormatting sqref="AF83">
    <cfRule type="cellIs" dxfId="951" priority="140984" stopIfTrue="1" operator="greaterThanOrEqual">
      <formula>0.5</formula>
    </cfRule>
  </conditionalFormatting>
  <conditionalFormatting sqref="AF84">
    <cfRule type="cellIs" dxfId="950" priority="140985" stopIfTrue="1" operator="equal">
      <formula>-1</formula>
    </cfRule>
  </conditionalFormatting>
  <conditionalFormatting sqref="AF84">
    <cfRule type="cellIs" dxfId="949" priority="140986" stopIfTrue="1" operator="lessThan">
      <formula>0.5</formula>
    </cfRule>
  </conditionalFormatting>
  <conditionalFormatting sqref="AF84">
    <cfRule type="cellIs" dxfId="948" priority="140987" stopIfTrue="1" operator="greaterThanOrEqual">
      <formula>0.5</formula>
    </cfRule>
  </conditionalFormatting>
  <conditionalFormatting sqref="AF85">
    <cfRule type="cellIs" dxfId="947" priority="140988" stopIfTrue="1" operator="equal">
      <formula>-1</formula>
    </cfRule>
  </conditionalFormatting>
  <conditionalFormatting sqref="AF85">
    <cfRule type="cellIs" dxfId="946" priority="140989" stopIfTrue="1" operator="lessThan">
      <formula>0.5</formula>
    </cfRule>
  </conditionalFormatting>
  <conditionalFormatting sqref="AF85">
    <cfRule type="cellIs" dxfId="945" priority="140990" stopIfTrue="1" operator="greaterThanOrEqual">
      <formula>0.5</formula>
    </cfRule>
  </conditionalFormatting>
  <conditionalFormatting sqref="AH65">
    <cfRule type="cellIs" dxfId="944" priority="140991" stopIfTrue="1" operator="equal">
      <formula>-1</formula>
    </cfRule>
  </conditionalFormatting>
  <conditionalFormatting sqref="AH65">
    <cfRule type="cellIs" dxfId="943" priority="140992" stopIfTrue="1" operator="lessThan">
      <formula>0.5</formula>
    </cfRule>
  </conditionalFormatting>
  <conditionalFormatting sqref="AH65">
    <cfRule type="cellIs" dxfId="942" priority="140993" stopIfTrue="1" operator="greaterThanOrEqual">
      <formula>0.5</formula>
    </cfRule>
  </conditionalFormatting>
  <conditionalFormatting sqref="AH66">
    <cfRule type="cellIs" dxfId="941" priority="140994" stopIfTrue="1" operator="equal">
      <formula>-1</formula>
    </cfRule>
  </conditionalFormatting>
  <conditionalFormatting sqref="AH66">
    <cfRule type="cellIs" dxfId="940" priority="140995" stopIfTrue="1" operator="lessThan">
      <formula>0.5</formula>
    </cfRule>
  </conditionalFormatting>
  <conditionalFormatting sqref="AH66">
    <cfRule type="cellIs" dxfId="939" priority="140996" stopIfTrue="1" operator="greaterThanOrEqual">
      <formula>0.5</formula>
    </cfRule>
  </conditionalFormatting>
  <conditionalFormatting sqref="AH67">
    <cfRule type="cellIs" dxfId="938" priority="140997" stopIfTrue="1" operator="equal">
      <formula>-1</formula>
    </cfRule>
  </conditionalFormatting>
  <conditionalFormatting sqref="AH67">
    <cfRule type="cellIs" dxfId="937" priority="140998" stopIfTrue="1" operator="lessThan">
      <formula>0.5</formula>
    </cfRule>
  </conditionalFormatting>
  <conditionalFormatting sqref="AH67">
    <cfRule type="cellIs" dxfId="936" priority="140999" stopIfTrue="1" operator="greaterThanOrEqual">
      <formula>0.5</formula>
    </cfRule>
  </conditionalFormatting>
  <conditionalFormatting sqref="AH68">
    <cfRule type="cellIs" dxfId="935" priority="141000" stopIfTrue="1" operator="equal">
      <formula>-1</formula>
    </cfRule>
  </conditionalFormatting>
  <conditionalFormatting sqref="AH68">
    <cfRule type="cellIs" dxfId="934" priority="141001" stopIfTrue="1" operator="lessThan">
      <formula>0.5</formula>
    </cfRule>
  </conditionalFormatting>
  <conditionalFormatting sqref="AH68">
    <cfRule type="cellIs" dxfId="933" priority="141002" stopIfTrue="1" operator="greaterThanOrEqual">
      <formula>0.5</formula>
    </cfRule>
  </conditionalFormatting>
  <conditionalFormatting sqref="AH69">
    <cfRule type="cellIs" dxfId="932" priority="141003" stopIfTrue="1" operator="equal">
      <formula>-1</formula>
    </cfRule>
  </conditionalFormatting>
  <conditionalFormatting sqref="AH69">
    <cfRule type="cellIs" dxfId="931" priority="141004" stopIfTrue="1" operator="lessThan">
      <formula>0.5</formula>
    </cfRule>
  </conditionalFormatting>
  <conditionalFormatting sqref="AH69">
    <cfRule type="cellIs" dxfId="930" priority="141005" stopIfTrue="1" operator="greaterThanOrEqual">
      <formula>0.5</formula>
    </cfRule>
  </conditionalFormatting>
  <conditionalFormatting sqref="AH70">
    <cfRule type="cellIs" dxfId="929" priority="141006" stopIfTrue="1" operator="equal">
      <formula>-1</formula>
    </cfRule>
  </conditionalFormatting>
  <conditionalFormatting sqref="AH70">
    <cfRule type="cellIs" dxfId="928" priority="141007" stopIfTrue="1" operator="lessThan">
      <formula>0.5</formula>
    </cfRule>
  </conditionalFormatting>
  <conditionalFormatting sqref="AH70">
    <cfRule type="cellIs" dxfId="927" priority="141008" stopIfTrue="1" operator="greaterThanOrEqual">
      <formula>0.5</formula>
    </cfRule>
  </conditionalFormatting>
  <conditionalFormatting sqref="AH71">
    <cfRule type="cellIs" dxfId="926" priority="141009" stopIfTrue="1" operator="equal">
      <formula>-1</formula>
    </cfRule>
  </conditionalFormatting>
  <conditionalFormatting sqref="AH71">
    <cfRule type="cellIs" dxfId="925" priority="141010" stopIfTrue="1" operator="lessThan">
      <formula>0.5</formula>
    </cfRule>
  </conditionalFormatting>
  <conditionalFormatting sqref="AH71">
    <cfRule type="cellIs" dxfId="924" priority="141011" stopIfTrue="1" operator="greaterThanOrEqual">
      <formula>0.5</formula>
    </cfRule>
  </conditionalFormatting>
  <conditionalFormatting sqref="AH72">
    <cfRule type="cellIs" dxfId="923" priority="141012" stopIfTrue="1" operator="equal">
      <formula>-1</formula>
    </cfRule>
  </conditionalFormatting>
  <conditionalFormatting sqref="AH72">
    <cfRule type="cellIs" dxfId="922" priority="141013" stopIfTrue="1" operator="lessThan">
      <formula>0.5</formula>
    </cfRule>
  </conditionalFormatting>
  <conditionalFormatting sqref="AH72">
    <cfRule type="cellIs" dxfId="921" priority="141014" stopIfTrue="1" operator="greaterThanOrEqual">
      <formula>0.5</formula>
    </cfRule>
  </conditionalFormatting>
  <conditionalFormatting sqref="AH73">
    <cfRule type="cellIs" dxfId="920" priority="141015" stopIfTrue="1" operator="equal">
      <formula>-1</formula>
    </cfRule>
  </conditionalFormatting>
  <conditionalFormatting sqref="AH73">
    <cfRule type="cellIs" dxfId="919" priority="141016" stopIfTrue="1" operator="lessThan">
      <formula>0.5</formula>
    </cfRule>
  </conditionalFormatting>
  <conditionalFormatting sqref="AH73">
    <cfRule type="cellIs" dxfId="918" priority="141017" stopIfTrue="1" operator="greaterThanOrEqual">
      <formula>0.5</formula>
    </cfRule>
  </conditionalFormatting>
  <conditionalFormatting sqref="AH74">
    <cfRule type="cellIs" dxfId="917" priority="141018" stopIfTrue="1" operator="equal">
      <formula>-1</formula>
    </cfRule>
  </conditionalFormatting>
  <conditionalFormatting sqref="AH74">
    <cfRule type="cellIs" dxfId="916" priority="141019" stopIfTrue="1" operator="lessThan">
      <formula>0.5</formula>
    </cfRule>
  </conditionalFormatting>
  <conditionalFormatting sqref="AH74">
    <cfRule type="cellIs" dxfId="915" priority="141020" stopIfTrue="1" operator="greaterThanOrEqual">
      <formula>0.5</formula>
    </cfRule>
  </conditionalFormatting>
  <conditionalFormatting sqref="AH75">
    <cfRule type="cellIs" dxfId="914" priority="141021" stopIfTrue="1" operator="equal">
      <formula>-1</formula>
    </cfRule>
  </conditionalFormatting>
  <conditionalFormatting sqref="AH75">
    <cfRule type="cellIs" dxfId="913" priority="141022" stopIfTrue="1" operator="lessThan">
      <formula>0.5</formula>
    </cfRule>
  </conditionalFormatting>
  <conditionalFormatting sqref="AH75">
    <cfRule type="cellIs" dxfId="912" priority="141023" stopIfTrue="1" operator="greaterThanOrEqual">
      <formula>0.5</formula>
    </cfRule>
  </conditionalFormatting>
  <conditionalFormatting sqref="AH76">
    <cfRule type="cellIs" dxfId="911" priority="141024" stopIfTrue="1" operator="equal">
      <formula>-1</formula>
    </cfRule>
  </conditionalFormatting>
  <conditionalFormatting sqref="AH76">
    <cfRule type="cellIs" dxfId="910" priority="141025" stopIfTrue="1" operator="lessThan">
      <formula>0.5</formula>
    </cfRule>
  </conditionalFormatting>
  <conditionalFormatting sqref="AH76">
    <cfRule type="cellIs" dxfId="909" priority="141026" stopIfTrue="1" operator="greaterThanOrEqual">
      <formula>0.5</formula>
    </cfRule>
  </conditionalFormatting>
  <conditionalFormatting sqref="AH77">
    <cfRule type="cellIs" dxfId="908" priority="141027" stopIfTrue="1" operator="equal">
      <formula>-1</formula>
    </cfRule>
  </conditionalFormatting>
  <conditionalFormatting sqref="AH77">
    <cfRule type="cellIs" dxfId="907" priority="141028" stopIfTrue="1" operator="lessThan">
      <formula>0.5</formula>
    </cfRule>
  </conditionalFormatting>
  <conditionalFormatting sqref="AH77">
    <cfRule type="cellIs" dxfId="906" priority="141029" stopIfTrue="1" operator="greaterThanOrEqual">
      <formula>0.5</formula>
    </cfRule>
  </conditionalFormatting>
  <conditionalFormatting sqref="AH78">
    <cfRule type="cellIs" dxfId="905" priority="141030" stopIfTrue="1" operator="equal">
      <formula>-1</formula>
    </cfRule>
  </conditionalFormatting>
  <conditionalFormatting sqref="AH78">
    <cfRule type="cellIs" dxfId="904" priority="141031" stopIfTrue="1" operator="lessThan">
      <formula>0.5</formula>
    </cfRule>
  </conditionalFormatting>
  <conditionalFormatting sqref="AH78">
    <cfRule type="cellIs" dxfId="903" priority="141032" stopIfTrue="1" operator="greaterThanOrEqual">
      <formula>0.5</formula>
    </cfRule>
  </conditionalFormatting>
  <conditionalFormatting sqref="AH79">
    <cfRule type="cellIs" dxfId="902" priority="141033" stopIfTrue="1" operator="equal">
      <formula>-1</formula>
    </cfRule>
  </conditionalFormatting>
  <conditionalFormatting sqref="AH79">
    <cfRule type="cellIs" dxfId="901" priority="141034" stopIfTrue="1" operator="lessThan">
      <formula>0.5</formula>
    </cfRule>
  </conditionalFormatting>
  <conditionalFormatting sqref="AH79">
    <cfRule type="cellIs" dxfId="900" priority="141035" stopIfTrue="1" operator="greaterThanOrEqual">
      <formula>0.5</formula>
    </cfRule>
  </conditionalFormatting>
  <conditionalFormatting sqref="AH80">
    <cfRule type="cellIs" dxfId="899" priority="141036" stopIfTrue="1" operator="equal">
      <formula>-1</formula>
    </cfRule>
  </conditionalFormatting>
  <conditionalFormatting sqref="AH80">
    <cfRule type="cellIs" dxfId="898" priority="141037" stopIfTrue="1" operator="lessThan">
      <formula>0.5</formula>
    </cfRule>
  </conditionalFormatting>
  <conditionalFormatting sqref="AH80">
    <cfRule type="cellIs" dxfId="897" priority="141038" stopIfTrue="1" operator="greaterThanOrEqual">
      <formula>0.5</formula>
    </cfRule>
  </conditionalFormatting>
  <conditionalFormatting sqref="AH81">
    <cfRule type="cellIs" dxfId="896" priority="141039" stopIfTrue="1" operator="equal">
      <formula>-1</formula>
    </cfRule>
  </conditionalFormatting>
  <conditionalFormatting sqref="AH81">
    <cfRule type="cellIs" dxfId="895" priority="141040" stopIfTrue="1" operator="lessThan">
      <formula>0.5</formula>
    </cfRule>
  </conditionalFormatting>
  <conditionalFormatting sqref="AH81">
    <cfRule type="cellIs" dxfId="894" priority="141041" stopIfTrue="1" operator="greaterThanOrEqual">
      <formula>0.5</formula>
    </cfRule>
  </conditionalFormatting>
  <conditionalFormatting sqref="AH82">
    <cfRule type="cellIs" dxfId="893" priority="141042" stopIfTrue="1" operator="equal">
      <formula>-1</formula>
    </cfRule>
  </conditionalFormatting>
  <conditionalFormatting sqref="AH82">
    <cfRule type="cellIs" dxfId="892" priority="141043" stopIfTrue="1" operator="lessThan">
      <formula>0.5</formula>
    </cfRule>
  </conditionalFormatting>
  <conditionalFormatting sqref="AH82">
    <cfRule type="cellIs" dxfId="891" priority="141044" stopIfTrue="1" operator="greaterThanOrEqual">
      <formula>0.5</formula>
    </cfRule>
  </conditionalFormatting>
  <conditionalFormatting sqref="AH83">
    <cfRule type="cellIs" dxfId="890" priority="141045" stopIfTrue="1" operator="equal">
      <formula>-1</formula>
    </cfRule>
  </conditionalFormatting>
  <conditionalFormatting sqref="AH83">
    <cfRule type="cellIs" dxfId="889" priority="141046" stopIfTrue="1" operator="lessThan">
      <formula>0.5</formula>
    </cfRule>
  </conditionalFormatting>
  <conditionalFormatting sqref="AH83">
    <cfRule type="cellIs" dxfId="888" priority="141047" stopIfTrue="1" operator="greaterThanOrEqual">
      <formula>0.5</formula>
    </cfRule>
  </conditionalFormatting>
  <conditionalFormatting sqref="AH84">
    <cfRule type="cellIs" dxfId="887" priority="141048" stopIfTrue="1" operator="equal">
      <formula>-1</formula>
    </cfRule>
  </conditionalFormatting>
  <conditionalFormatting sqref="AH84">
    <cfRule type="cellIs" dxfId="886" priority="141049" stopIfTrue="1" operator="lessThan">
      <formula>0.5</formula>
    </cfRule>
  </conditionalFormatting>
  <conditionalFormatting sqref="AH84">
    <cfRule type="cellIs" dxfId="885" priority="141050" stopIfTrue="1" operator="greaterThanOrEqual">
      <formula>0.5</formula>
    </cfRule>
  </conditionalFormatting>
  <conditionalFormatting sqref="AH85">
    <cfRule type="cellIs" dxfId="884" priority="141051" stopIfTrue="1" operator="equal">
      <formula>-1</formula>
    </cfRule>
  </conditionalFormatting>
  <conditionalFormatting sqref="AH85">
    <cfRule type="cellIs" dxfId="883" priority="141052" stopIfTrue="1" operator="lessThan">
      <formula>0.5</formula>
    </cfRule>
  </conditionalFormatting>
  <conditionalFormatting sqref="AH85">
    <cfRule type="cellIs" dxfId="882" priority="141053" stopIfTrue="1" operator="greaterThanOrEqual">
      <formula>0.5</formula>
    </cfRule>
  </conditionalFormatting>
  <conditionalFormatting sqref="AJ65">
    <cfRule type="cellIs" dxfId="881" priority="141054" stopIfTrue="1" operator="equal">
      <formula>-1</formula>
    </cfRule>
  </conditionalFormatting>
  <conditionalFormatting sqref="AJ65">
    <cfRule type="cellIs" dxfId="880" priority="141055" stopIfTrue="1" operator="lessThan">
      <formula>0.5</formula>
    </cfRule>
  </conditionalFormatting>
  <conditionalFormatting sqref="AJ65">
    <cfRule type="cellIs" dxfId="879" priority="141056" stopIfTrue="1" operator="greaterThanOrEqual">
      <formula>0.5</formula>
    </cfRule>
  </conditionalFormatting>
  <conditionalFormatting sqref="AJ66">
    <cfRule type="cellIs" dxfId="878" priority="141057" stopIfTrue="1" operator="equal">
      <formula>-1</formula>
    </cfRule>
  </conditionalFormatting>
  <conditionalFormatting sqref="AJ66">
    <cfRule type="cellIs" dxfId="877" priority="141058" stopIfTrue="1" operator="lessThan">
      <formula>0.5</formula>
    </cfRule>
  </conditionalFormatting>
  <conditionalFormatting sqref="AJ66">
    <cfRule type="cellIs" dxfId="876" priority="141059" stopIfTrue="1" operator="greaterThanOrEqual">
      <formula>0.5</formula>
    </cfRule>
  </conditionalFormatting>
  <conditionalFormatting sqref="AJ67">
    <cfRule type="cellIs" dxfId="875" priority="141060" stopIfTrue="1" operator="equal">
      <formula>-1</formula>
    </cfRule>
  </conditionalFormatting>
  <conditionalFormatting sqref="AJ67">
    <cfRule type="cellIs" dxfId="874" priority="141061" stopIfTrue="1" operator="lessThan">
      <formula>0.5</formula>
    </cfRule>
  </conditionalFormatting>
  <conditionalFormatting sqref="AJ67">
    <cfRule type="cellIs" dxfId="873" priority="141062" stopIfTrue="1" operator="greaterThanOrEqual">
      <formula>0.5</formula>
    </cfRule>
  </conditionalFormatting>
  <conditionalFormatting sqref="AJ68">
    <cfRule type="cellIs" dxfId="872" priority="141063" stopIfTrue="1" operator="equal">
      <formula>-1</formula>
    </cfRule>
  </conditionalFormatting>
  <conditionalFormatting sqref="AJ68">
    <cfRule type="cellIs" dxfId="871" priority="141064" stopIfTrue="1" operator="lessThan">
      <formula>0.5</formula>
    </cfRule>
  </conditionalFormatting>
  <conditionalFormatting sqref="AJ68">
    <cfRule type="cellIs" dxfId="870" priority="141065" stopIfTrue="1" operator="greaterThanOrEqual">
      <formula>0.5</formula>
    </cfRule>
  </conditionalFormatting>
  <conditionalFormatting sqref="AJ69">
    <cfRule type="cellIs" dxfId="869" priority="141066" stopIfTrue="1" operator="equal">
      <formula>-1</formula>
    </cfRule>
  </conditionalFormatting>
  <conditionalFormatting sqref="AJ69">
    <cfRule type="cellIs" dxfId="868" priority="141067" stopIfTrue="1" operator="lessThan">
      <formula>0.5</formula>
    </cfRule>
  </conditionalFormatting>
  <conditionalFormatting sqref="AJ69">
    <cfRule type="cellIs" dxfId="867" priority="141068" stopIfTrue="1" operator="greaterThanOrEqual">
      <formula>0.5</formula>
    </cfRule>
  </conditionalFormatting>
  <conditionalFormatting sqref="AJ70">
    <cfRule type="cellIs" dxfId="866" priority="141069" stopIfTrue="1" operator="equal">
      <formula>-1</formula>
    </cfRule>
  </conditionalFormatting>
  <conditionalFormatting sqref="AJ70">
    <cfRule type="cellIs" dxfId="865" priority="141070" stopIfTrue="1" operator="lessThan">
      <formula>0.5</formula>
    </cfRule>
  </conditionalFormatting>
  <conditionalFormatting sqref="AJ70">
    <cfRule type="cellIs" dxfId="864" priority="141071" stopIfTrue="1" operator="greaterThanOrEqual">
      <formula>0.5</formula>
    </cfRule>
  </conditionalFormatting>
  <conditionalFormatting sqref="AJ71">
    <cfRule type="cellIs" dxfId="863" priority="141072" stopIfTrue="1" operator="equal">
      <formula>-1</formula>
    </cfRule>
  </conditionalFormatting>
  <conditionalFormatting sqref="AJ71">
    <cfRule type="cellIs" dxfId="862" priority="141073" stopIfTrue="1" operator="lessThan">
      <formula>0.5</formula>
    </cfRule>
  </conditionalFormatting>
  <conditionalFormatting sqref="AJ71">
    <cfRule type="cellIs" dxfId="861" priority="141074" stopIfTrue="1" operator="greaterThanOrEqual">
      <formula>0.5</formula>
    </cfRule>
  </conditionalFormatting>
  <conditionalFormatting sqref="AJ72">
    <cfRule type="cellIs" dxfId="860" priority="141075" stopIfTrue="1" operator="equal">
      <formula>-1</formula>
    </cfRule>
  </conditionalFormatting>
  <conditionalFormatting sqref="AJ72">
    <cfRule type="cellIs" dxfId="859" priority="141076" stopIfTrue="1" operator="lessThan">
      <formula>0.5</formula>
    </cfRule>
  </conditionalFormatting>
  <conditionalFormatting sqref="AJ72">
    <cfRule type="cellIs" dxfId="858" priority="141077" stopIfTrue="1" operator="greaterThanOrEqual">
      <formula>0.5</formula>
    </cfRule>
  </conditionalFormatting>
  <conditionalFormatting sqref="AJ73">
    <cfRule type="cellIs" dxfId="857" priority="141078" stopIfTrue="1" operator="equal">
      <formula>-1</formula>
    </cfRule>
  </conditionalFormatting>
  <conditionalFormatting sqref="AJ73">
    <cfRule type="cellIs" dxfId="856" priority="141079" stopIfTrue="1" operator="lessThan">
      <formula>0.5</formula>
    </cfRule>
  </conditionalFormatting>
  <conditionalFormatting sqref="AJ73">
    <cfRule type="cellIs" dxfId="855" priority="141080" stopIfTrue="1" operator="greaterThanOrEqual">
      <formula>0.5</formula>
    </cfRule>
  </conditionalFormatting>
  <conditionalFormatting sqref="AJ74">
    <cfRule type="cellIs" dxfId="854" priority="141081" stopIfTrue="1" operator="equal">
      <formula>-1</formula>
    </cfRule>
  </conditionalFormatting>
  <conditionalFormatting sqref="AJ74">
    <cfRule type="cellIs" dxfId="853" priority="141082" stopIfTrue="1" operator="lessThan">
      <formula>0.5</formula>
    </cfRule>
  </conditionalFormatting>
  <conditionalFormatting sqref="AJ74">
    <cfRule type="cellIs" dxfId="852" priority="141083" stopIfTrue="1" operator="greaterThanOrEqual">
      <formula>0.5</formula>
    </cfRule>
  </conditionalFormatting>
  <conditionalFormatting sqref="AJ75">
    <cfRule type="cellIs" dxfId="851" priority="141084" stopIfTrue="1" operator="equal">
      <formula>-1</formula>
    </cfRule>
  </conditionalFormatting>
  <conditionalFormatting sqref="AJ75">
    <cfRule type="cellIs" dxfId="850" priority="141085" stopIfTrue="1" operator="lessThan">
      <formula>0.5</formula>
    </cfRule>
  </conditionalFormatting>
  <conditionalFormatting sqref="AJ75">
    <cfRule type="cellIs" dxfId="849" priority="141086" stopIfTrue="1" operator="greaterThanOrEqual">
      <formula>0.5</formula>
    </cfRule>
  </conditionalFormatting>
  <conditionalFormatting sqref="AJ76">
    <cfRule type="cellIs" dxfId="848" priority="141087" stopIfTrue="1" operator="equal">
      <formula>-1</formula>
    </cfRule>
  </conditionalFormatting>
  <conditionalFormatting sqref="AJ76">
    <cfRule type="cellIs" dxfId="847" priority="141088" stopIfTrue="1" operator="lessThan">
      <formula>0.5</formula>
    </cfRule>
  </conditionalFormatting>
  <conditionalFormatting sqref="AJ76">
    <cfRule type="cellIs" dxfId="846" priority="141089" stopIfTrue="1" operator="greaterThanOrEqual">
      <formula>0.5</formula>
    </cfRule>
  </conditionalFormatting>
  <conditionalFormatting sqref="AJ77">
    <cfRule type="cellIs" dxfId="845" priority="141090" stopIfTrue="1" operator="equal">
      <formula>-1</formula>
    </cfRule>
  </conditionalFormatting>
  <conditionalFormatting sqref="AJ77">
    <cfRule type="cellIs" dxfId="844" priority="141091" stopIfTrue="1" operator="lessThan">
      <formula>0.5</formula>
    </cfRule>
  </conditionalFormatting>
  <conditionalFormatting sqref="AJ77">
    <cfRule type="cellIs" dxfId="843" priority="141092" stopIfTrue="1" operator="greaterThanOrEqual">
      <formula>0.5</formula>
    </cfRule>
  </conditionalFormatting>
  <conditionalFormatting sqref="AJ78">
    <cfRule type="cellIs" dxfId="842" priority="141093" stopIfTrue="1" operator="equal">
      <formula>-1</formula>
    </cfRule>
  </conditionalFormatting>
  <conditionalFormatting sqref="AJ78">
    <cfRule type="cellIs" dxfId="841" priority="141094" stopIfTrue="1" operator="lessThan">
      <formula>0.5</formula>
    </cfRule>
  </conditionalFormatting>
  <conditionalFormatting sqref="AJ78">
    <cfRule type="cellIs" dxfId="840" priority="141095" stopIfTrue="1" operator="greaterThanOrEqual">
      <formula>0.5</formula>
    </cfRule>
  </conditionalFormatting>
  <conditionalFormatting sqref="AJ79">
    <cfRule type="cellIs" dxfId="839" priority="141096" stopIfTrue="1" operator="equal">
      <formula>-1</formula>
    </cfRule>
  </conditionalFormatting>
  <conditionalFormatting sqref="AJ79">
    <cfRule type="cellIs" dxfId="838" priority="141097" stopIfTrue="1" operator="lessThan">
      <formula>0.5</formula>
    </cfRule>
  </conditionalFormatting>
  <conditionalFormatting sqref="AJ79">
    <cfRule type="cellIs" dxfId="837" priority="141098" stopIfTrue="1" operator="greaterThanOrEqual">
      <formula>0.5</formula>
    </cfRule>
  </conditionalFormatting>
  <conditionalFormatting sqref="AJ80">
    <cfRule type="cellIs" dxfId="836" priority="141099" stopIfTrue="1" operator="equal">
      <formula>-1</formula>
    </cfRule>
  </conditionalFormatting>
  <conditionalFormatting sqref="AJ80">
    <cfRule type="cellIs" dxfId="835" priority="141100" stopIfTrue="1" operator="lessThan">
      <formula>0.5</formula>
    </cfRule>
  </conditionalFormatting>
  <conditionalFormatting sqref="AJ80">
    <cfRule type="cellIs" dxfId="834" priority="141101" stopIfTrue="1" operator="greaterThanOrEqual">
      <formula>0.5</formula>
    </cfRule>
  </conditionalFormatting>
  <conditionalFormatting sqref="AJ81">
    <cfRule type="cellIs" dxfId="833" priority="141102" stopIfTrue="1" operator="equal">
      <formula>-1</formula>
    </cfRule>
  </conditionalFormatting>
  <conditionalFormatting sqref="AJ81">
    <cfRule type="cellIs" dxfId="832" priority="141103" stopIfTrue="1" operator="lessThan">
      <formula>0.5</formula>
    </cfRule>
  </conditionalFormatting>
  <conditionalFormatting sqref="AJ81">
    <cfRule type="cellIs" dxfId="831" priority="141104" stopIfTrue="1" operator="greaterThanOrEqual">
      <formula>0.5</formula>
    </cfRule>
  </conditionalFormatting>
  <conditionalFormatting sqref="AJ82">
    <cfRule type="cellIs" dxfId="830" priority="141105" stopIfTrue="1" operator="equal">
      <formula>-1</formula>
    </cfRule>
  </conditionalFormatting>
  <conditionalFormatting sqref="AJ82">
    <cfRule type="cellIs" dxfId="829" priority="141106" stopIfTrue="1" operator="lessThan">
      <formula>0.5</formula>
    </cfRule>
  </conditionalFormatting>
  <conditionalFormatting sqref="AJ82">
    <cfRule type="cellIs" dxfId="828" priority="141107" stopIfTrue="1" operator="greaterThanOrEqual">
      <formula>0.5</formula>
    </cfRule>
  </conditionalFormatting>
  <conditionalFormatting sqref="AJ83">
    <cfRule type="cellIs" dxfId="827" priority="141108" stopIfTrue="1" operator="equal">
      <formula>-1</formula>
    </cfRule>
  </conditionalFormatting>
  <conditionalFormatting sqref="AJ83">
    <cfRule type="cellIs" dxfId="826" priority="141109" stopIfTrue="1" operator="lessThan">
      <formula>0.5</formula>
    </cfRule>
  </conditionalFormatting>
  <conditionalFormatting sqref="AJ83">
    <cfRule type="cellIs" dxfId="825" priority="141110" stopIfTrue="1" operator="greaterThanOrEqual">
      <formula>0.5</formula>
    </cfRule>
  </conditionalFormatting>
  <conditionalFormatting sqref="AJ84">
    <cfRule type="cellIs" dxfId="824" priority="141111" stopIfTrue="1" operator="equal">
      <formula>-1</formula>
    </cfRule>
  </conditionalFormatting>
  <conditionalFormatting sqref="AJ84">
    <cfRule type="cellIs" dxfId="823" priority="141112" stopIfTrue="1" operator="lessThan">
      <formula>0.5</formula>
    </cfRule>
  </conditionalFormatting>
  <conditionalFormatting sqref="AJ84">
    <cfRule type="cellIs" dxfId="822" priority="141113" stopIfTrue="1" operator="greaterThanOrEqual">
      <formula>0.5</formula>
    </cfRule>
  </conditionalFormatting>
  <conditionalFormatting sqref="AJ85">
    <cfRule type="cellIs" dxfId="821" priority="141114" stopIfTrue="1" operator="equal">
      <formula>-1</formula>
    </cfRule>
  </conditionalFormatting>
  <conditionalFormatting sqref="AJ85">
    <cfRule type="cellIs" dxfId="820" priority="141115" stopIfTrue="1" operator="lessThan">
      <formula>0.5</formula>
    </cfRule>
  </conditionalFormatting>
  <conditionalFormatting sqref="AJ85">
    <cfRule type="cellIs" dxfId="819" priority="141116" stopIfTrue="1" operator="greaterThanOrEqual">
      <formula>0.5</formula>
    </cfRule>
  </conditionalFormatting>
  <conditionalFormatting sqref="AL65">
    <cfRule type="cellIs" dxfId="818" priority="141117" stopIfTrue="1" operator="equal">
      <formula>-1</formula>
    </cfRule>
  </conditionalFormatting>
  <conditionalFormatting sqref="AL65">
    <cfRule type="cellIs" dxfId="817" priority="141118" stopIfTrue="1" operator="lessThan">
      <formula>0.5</formula>
    </cfRule>
  </conditionalFormatting>
  <conditionalFormatting sqref="AL65">
    <cfRule type="cellIs" dxfId="816" priority="141119" stopIfTrue="1" operator="greaterThanOrEqual">
      <formula>0.5</formula>
    </cfRule>
  </conditionalFormatting>
  <conditionalFormatting sqref="AL66">
    <cfRule type="cellIs" dxfId="815" priority="141120" stopIfTrue="1" operator="equal">
      <formula>-1</formula>
    </cfRule>
  </conditionalFormatting>
  <conditionalFormatting sqref="AL66">
    <cfRule type="cellIs" dxfId="814" priority="141121" stopIfTrue="1" operator="lessThan">
      <formula>0.5</formula>
    </cfRule>
  </conditionalFormatting>
  <conditionalFormatting sqref="AL66">
    <cfRule type="cellIs" dxfId="813" priority="141122" stopIfTrue="1" operator="greaterThanOrEqual">
      <formula>0.5</formula>
    </cfRule>
  </conditionalFormatting>
  <conditionalFormatting sqref="AL67">
    <cfRule type="cellIs" dxfId="812" priority="141123" stopIfTrue="1" operator="equal">
      <formula>-1</formula>
    </cfRule>
  </conditionalFormatting>
  <conditionalFormatting sqref="AL67">
    <cfRule type="cellIs" dxfId="811" priority="141124" stopIfTrue="1" operator="lessThan">
      <formula>0.5</formula>
    </cfRule>
  </conditionalFormatting>
  <conditionalFormatting sqref="AL67">
    <cfRule type="cellIs" dxfId="810" priority="141125" stopIfTrue="1" operator="greaterThanOrEqual">
      <formula>0.5</formula>
    </cfRule>
  </conditionalFormatting>
  <conditionalFormatting sqref="AL68">
    <cfRule type="cellIs" dxfId="809" priority="141126" stopIfTrue="1" operator="equal">
      <formula>-1</formula>
    </cfRule>
  </conditionalFormatting>
  <conditionalFormatting sqref="AL68">
    <cfRule type="cellIs" dxfId="808" priority="141127" stopIfTrue="1" operator="lessThan">
      <formula>0.5</formula>
    </cfRule>
  </conditionalFormatting>
  <conditionalFormatting sqref="AL68">
    <cfRule type="cellIs" dxfId="807" priority="141128" stopIfTrue="1" operator="greaterThanOrEqual">
      <formula>0.5</formula>
    </cfRule>
  </conditionalFormatting>
  <conditionalFormatting sqref="AL69">
    <cfRule type="cellIs" dxfId="806" priority="141129" stopIfTrue="1" operator="equal">
      <formula>-1</formula>
    </cfRule>
  </conditionalFormatting>
  <conditionalFormatting sqref="AL69">
    <cfRule type="cellIs" dxfId="805" priority="141130" stopIfTrue="1" operator="lessThan">
      <formula>0.5</formula>
    </cfRule>
  </conditionalFormatting>
  <conditionalFormatting sqref="AL69">
    <cfRule type="cellIs" dxfId="804" priority="141131" stopIfTrue="1" operator="greaterThanOrEqual">
      <formula>0.5</formula>
    </cfRule>
  </conditionalFormatting>
  <conditionalFormatting sqref="AL70">
    <cfRule type="cellIs" dxfId="803" priority="141132" stopIfTrue="1" operator="equal">
      <formula>-1</formula>
    </cfRule>
  </conditionalFormatting>
  <conditionalFormatting sqref="AL70">
    <cfRule type="cellIs" dxfId="802" priority="141133" stopIfTrue="1" operator="lessThan">
      <formula>0.5</formula>
    </cfRule>
  </conditionalFormatting>
  <conditionalFormatting sqref="AL70">
    <cfRule type="cellIs" dxfId="801" priority="141134" stopIfTrue="1" operator="greaterThanOrEqual">
      <formula>0.5</formula>
    </cfRule>
  </conditionalFormatting>
  <conditionalFormatting sqref="AL71">
    <cfRule type="cellIs" dxfId="800" priority="141135" stopIfTrue="1" operator="equal">
      <formula>-1</formula>
    </cfRule>
  </conditionalFormatting>
  <conditionalFormatting sqref="AL71">
    <cfRule type="cellIs" dxfId="799" priority="141136" stopIfTrue="1" operator="lessThan">
      <formula>0.5</formula>
    </cfRule>
  </conditionalFormatting>
  <conditionalFormatting sqref="AL71">
    <cfRule type="cellIs" dxfId="798" priority="141137" stopIfTrue="1" operator="greaterThanOrEqual">
      <formula>0.5</formula>
    </cfRule>
  </conditionalFormatting>
  <conditionalFormatting sqref="AL72">
    <cfRule type="cellIs" dxfId="797" priority="141138" stopIfTrue="1" operator="equal">
      <formula>-1</formula>
    </cfRule>
  </conditionalFormatting>
  <conditionalFormatting sqref="AL72">
    <cfRule type="cellIs" dxfId="796" priority="141139" stopIfTrue="1" operator="lessThan">
      <formula>0.5</formula>
    </cfRule>
  </conditionalFormatting>
  <conditionalFormatting sqref="AL72">
    <cfRule type="cellIs" dxfId="795" priority="141140" stopIfTrue="1" operator="greaterThanOrEqual">
      <formula>0.5</formula>
    </cfRule>
  </conditionalFormatting>
  <conditionalFormatting sqref="AL73">
    <cfRule type="cellIs" dxfId="794" priority="141141" stopIfTrue="1" operator="equal">
      <formula>-1</formula>
    </cfRule>
  </conditionalFormatting>
  <conditionalFormatting sqref="AL73">
    <cfRule type="cellIs" dxfId="793" priority="141142" stopIfTrue="1" operator="lessThan">
      <formula>0.5</formula>
    </cfRule>
  </conditionalFormatting>
  <conditionalFormatting sqref="AL73">
    <cfRule type="cellIs" dxfId="792" priority="141143" stopIfTrue="1" operator="greaterThanOrEqual">
      <formula>0.5</formula>
    </cfRule>
  </conditionalFormatting>
  <conditionalFormatting sqref="AL74">
    <cfRule type="cellIs" dxfId="791" priority="141144" stopIfTrue="1" operator="equal">
      <formula>-1</formula>
    </cfRule>
  </conditionalFormatting>
  <conditionalFormatting sqref="AL74">
    <cfRule type="cellIs" dxfId="790" priority="141145" stopIfTrue="1" operator="lessThan">
      <formula>0.5</formula>
    </cfRule>
  </conditionalFormatting>
  <conditionalFormatting sqref="AL74">
    <cfRule type="cellIs" dxfId="789" priority="141146" stopIfTrue="1" operator="greaterThanOrEqual">
      <formula>0.5</formula>
    </cfRule>
  </conditionalFormatting>
  <conditionalFormatting sqref="AL75">
    <cfRule type="cellIs" dxfId="788" priority="141147" stopIfTrue="1" operator="equal">
      <formula>-1</formula>
    </cfRule>
  </conditionalFormatting>
  <conditionalFormatting sqref="AL75">
    <cfRule type="cellIs" dxfId="787" priority="141148" stopIfTrue="1" operator="lessThan">
      <formula>0.5</formula>
    </cfRule>
  </conditionalFormatting>
  <conditionalFormatting sqref="AL75">
    <cfRule type="cellIs" dxfId="786" priority="141149" stopIfTrue="1" operator="greaterThanOrEqual">
      <formula>0.5</formula>
    </cfRule>
  </conditionalFormatting>
  <conditionalFormatting sqref="AL76">
    <cfRule type="cellIs" dxfId="785" priority="141150" stopIfTrue="1" operator="equal">
      <formula>-1</formula>
    </cfRule>
  </conditionalFormatting>
  <conditionalFormatting sqref="AL76">
    <cfRule type="cellIs" dxfId="784" priority="141151" stopIfTrue="1" operator="lessThan">
      <formula>0.5</formula>
    </cfRule>
  </conditionalFormatting>
  <conditionalFormatting sqref="AL76">
    <cfRule type="cellIs" dxfId="783" priority="141152" stopIfTrue="1" operator="greaterThanOrEqual">
      <formula>0.5</formula>
    </cfRule>
  </conditionalFormatting>
  <conditionalFormatting sqref="AL77">
    <cfRule type="cellIs" dxfId="782" priority="141153" stopIfTrue="1" operator="equal">
      <formula>-1</formula>
    </cfRule>
  </conditionalFormatting>
  <conditionalFormatting sqref="AL77">
    <cfRule type="cellIs" dxfId="781" priority="141154" stopIfTrue="1" operator="lessThan">
      <formula>0.5</formula>
    </cfRule>
  </conditionalFormatting>
  <conditionalFormatting sqref="AL77">
    <cfRule type="cellIs" dxfId="780" priority="141155" stopIfTrue="1" operator="greaterThanOrEqual">
      <formula>0.5</formula>
    </cfRule>
  </conditionalFormatting>
  <conditionalFormatting sqref="AL78">
    <cfRule type="cellIs" dxfId="779" priority="141156" stopIfTrue="1" operator="equal">
      <formula>-1</formula>
    </cfRule>
  </conditionalFormatting>
  <conditionalFormatting sqref="AL78">
    <cfRule type="cellIs" dxfId="778" priority="141157" stopIfTrue="1" operator="lessThan">
      <formula>0.5</formula>
    </cfRule>
  </conditionalFormatting>
  <conditionalFormatting sqref="AL78">
    <cfRule type="cellIs" dxfId="777" priority="141158" stopIfTrue="1" operator="greaterThanOrEqual">
      <formula>0.5</formula>
    </cfRule>
  </conditionalFormatting>
  <conditionalFormatting sqref="AL79">
    <cfRule type="cellIs" dxfId="776" priority="141159" stopIfTrue="1" operator="equal">
      <formula>-1</formula>
    </cfRule>
  </conditionalFormatting>
  <conditionalFormatting sqref="AL79">
    <cfRule type="cellIs" dxfId="775" priority="141160" stopIfTrue="1" operator="lessThan">
      <formula>0.5</formula>
    </cfRule>
  </conditionalFormatting>
  <conditionalFormatting sqref="AL79">
    <cfRule type="cellIs" dxfId="774" priority="141161" stopIfTrue="1" operator="greaterThanOrEqual">
      <formula>0.5</formula>
    </cfRule>
  </conditionalFormatting>
  <conditionalFormatting sqref="AL80">
    <cfRule type="cellIs" dxfId="773" priority="141162" stopIfTrue="1" operator="equal">
      <formula>-1</formula>
    </cfRule>
  </conditionalFormatting>
  <conditionalFormatting sqref="AL80">
    <cfRule type="cellIs" dxfId="772" priority="141163" stopIfTrue="1" operator="lessThan">
      <formula>0.5</formula>
    </cfRule>
  </conditionalFormatting>
  <conditionalFormatting sqref="AL80">
    <cfRule type="cellIs" dxfId="771" priority="141164" stopIfTrue="1" operator="greaterThanOrEqual">
      <formula>0.5</formula>
    </cfRule>
  </conditionalFormatting>
  <conditionalFormatting sqref="AL81">
    <cfRule type="cellIs" dxfId="770" priority="141165" stopIfTrue="1" operator="equal">
      <formula>-1</formula>
    </cfRule>
  </conditionalFormatting>
  <conditionalFormatting sqref="AL81">
    <cfRule type="cellIs" dxfId="769" priority="141166" stopIfTrue="1" operator="lessThan">
      <formula>0.5</formula>
    </cfRule>
  </conditionalFormatting>
  <conditionalFormatting sqref="AL81">
    <cfRule type="cellIs" dxfId="768" priority="141167" stopIfTrue="1" operator="greaterThanOrEqual">
      <formula>0.5</formula>
    </cfRule>
  </conditionalFormatting>
  <conditionalFormatting sqref="AL82">
    <cfRule type="cellIs" dxfId="767" priority="141168" stopIfTrue="1" operator="equal">
      <formula>-1</formula>
    </cfRule>
  </conditionalFormatting>
  <conditionalFormatting sqref="AL82">
    <cfRule type="cellIs" dxfId="766" priority="141169" stopIfTrue="1" operator="lessThan">
      <formula>0.5</formula>
    </cfRule>
  </conditionalFormatting>
  <conditionalFormatting sqref="AL82">
    <cfRule type="cellIs" dxfId="765" priority="141170" stopIfTrue="1" operator="greaterThanOrEqual">
      <formula>0.5</formula>
    </cfRule>
  </conditionalFormatting>
  <conditionalFormatting sqref="AL83">
    <cfRule type="cellIs" dxfId="764" priority="141171" stopIfTrue="1" operator="equal">
      <formula>-1</formula>
    </cfRule>
  </conditionalFormatting>
  <conditionalFormatting sqref="AL83">
    <cfRule type="cellIs" dxfId="763" priority="141172" stopIfTrue="1" operator="lessThan">
      <formula>0.5</formula>
    </cfRule>
  </conditionalFormatting>
  <conditionalFormatting sqref="AL83">
    <cfRule type="cellIs" dxfId="762" priority="141173" stopIfTrue="1" operator="greaterThanOrEqual">
      <formula>0.5</formula>
    </cfRule>
  </conditionalFormatting>
  <conditionalFormatting sqref="AL84">
    <cfRule type="cellIs" dxfId="761" priority="141174" stopIfTrue="1" operator="equal">
      <formula>-1</formula>
    </cfRule>
  </conditionalFormatting>
  <conditionalFormatting sqref="AL84">
    <cfRule type="cellIs" dxfId="760" priority="141175" stopIfTrue="1" operator="lessThan">
      <formula>0.5</formula>
    </cfRule>
  </conditionalFormatting>
  <conditionalFormatting sqref="AL84">
    <cfRule type="cellIs" dxfId="759" priority="141176" stopIfTrue="1" operator="greaterThanOrEqual">
      <formula>0.5</formula>
    </cfRule>
  </conditionalFormatting>
  <conditionalFormatting sqref="AL85">
    <cfRule type="cellIs" dxfId="758" priority="141177" stopIfTrue="1" operator="equal">
      <formula>-1</formula>
    </cfRule>
  </conditionalFormatting>
  <conditionalFormatting sqref="AL85">
    <cfRule type="cellIs" dxfId="757" priority="141178" stopIfTrue="1" operator="lessThan">
      <formula>0.5</formula>
    </cfRule>
  </conditionalFormatting>
  <conditionalFormatting sqref="AL85">
    <cfRule type="cellIs" dxfId="756" priority="141179" stopIfTrue="1" operator="greaterThanOrEqual">
      <formula>0.5</formula>
    </cfRule>
  </conditionalFormatting>
  <conditionalFormatting sqref="AN65">
    <cfRule type="cellIs" dxfId="755" priority="141180" stopIfTrue="1" operator="equal">
      <formula>-1</formula>
    </cfRule>
  </conditionalFormatting>
  <conditionalFormatting sqref="AN65">
    <cfRule type="cellIs" dxfId="754" priority="141181" stopIfTrue="1" operator="lessThan">
      <formula>0.5</formula>
    </cfRule>
  </conditionalFormatting>
  <conditionalFormatting sqref="AN65">
    <cfRule type="cellIs" dxfId="753" priority="141182" stopIfTrue="1" operator="greaterThanOrEqual">
      <formula>0.5</formula>
    </cfRule>
  </conditionalFormatting>
  <conditionalFormatting sqref="AN66">
    <cfRule type="cellIs" dxfId="752" priority="141183" stopIfTrue="1" operator="equal">
      <formula>-1</formula>
    </cfRule>
  </conditionalFormatting>
  <conditionalFormatting sqref="AN66">
    <cfRule type="cellIs" dxfId="751" priority="141184" stopIfTrue="1" operator="lessThan">
      <formula>0.5</formula>
    </cfRule>
  </conditionalFormatting>
  <conditionalFormatting sqref="AN66">
    <cfRule type="cellIs" dxfId="750" priority="141185" stopIfTrue="1" operator="greaterThanOrEqual">
      <formula>0.5</formula>
    </cfRule>
  </conditionalFormatting>
  <conditionalFormatting sqref="AN67">
    <cfRule type="cellIs" dxfId="749" priority="141186" stopIfTrue="1" operator="equal">
      <formula>-1</formula>
    </cfRule>
  </conditionalFormatting>
  <conditionalFormatting sqref="AN67">
    <cfRule type="cellIs" dxfId="748" priority="141187" stopIfTrue="1" operator="lessThan">
      <formula>0.5</formula>
    </cfRule>
  </conditionalFormatting>
  <conditionalFormatting sqref="AN67">
    <cfRule type="cellIs" dxfId="747" priority="141188" stopIfTrue="1" operator="greaterThanOrEqual">
      <formula>0.5</formula>
    </cfRule>
  </conditionalFormatting>
  <conditionalFormatting sqref="AN68">
    <cfRule type="cellIs" dxfId="746" priority="141189" stopIfTrue="1" operator="equal">
      <formula>-1</formula>
    </cfRule>
  </conditionalFormatting>
  <conditionalFormatting sqref="AN68">
    <cfRule type="cellIs" dxfId="745" priority="141190" stopIfTrue="1" operator="lessThan">
      <formula>0.5</formula>
    </cfRule>
  </conditionalFormatting>
  <conditionalFormatting sqref="AN68">
    <cfRule type="cellIs" dxfId="744" priority="141191" stopIfTrue="1" operator="greaterThanOrEqual">
      <formula>0.5</formula>
    </cfRule>
  </conditionalFormatting>
  <conditionalFormatting sqref="AN69">
    <cfRule type="cellIs" dxfId="743" priority="141192" stopIfTrue="1" operator="equal">
      <formula>-1</formula>
    </cfRule>
  </conditionalFormatting>
  <conditionalFormatting sqref="AN69">
    <cfRule type="cellIs" dxfId="742" priority="141193" stopIfTrue="1" operator="lessThan">
      <formula>0.5</formula>
    </cfRule>
  </conditionalFormatting>
  <conditionalFormatting sqref="AN69">
    <cfRule type="cellIs" dxfId="741" priority="141194" stopIfTrue="1" operator="greaterThanOrEqual">
      <formula>0.5</formula>
    </cfRule>
  </conditionalFormatting>
  <conditionalFormatting sqref="AN70">
    <cfRule type="cellIs" dxfId="740" priority="141195" stopIfTrue="1" operator="equal">
      <formula>-1</formula>
    </cfRule>
  </conditionalFormatting>
  <conditionalFormatting sqref="AN70">
    <cfRule type="cellIs" dxfId="739" priority="141196" stopIfTrue="1" operator="lessThan">
      <formula>0.5</formula>
    </cfRule>
  </conditionalFormatting>
  <conditionalFormatting sqref="AN70">
    <cfRule type="cellIs" dxfId="738" priority="141197" stopIfTrue="1" operator="greaterThanOrEqual">
      <formula>0.5</formula>
    </cfRule>
  </conditionalFormatting>
  <conditionalFormatting sqref="AN71">
    <cfRule type="cellIs" dxfId="737" priority="141198" stopIfTrue="1" operator="equal">
      <formula>-1</formula>
    </cfRule>
  </conditionalFormatting>
  <conditionalFormatting sqref="AN71">
    <cfRule type="cellIs" dxfId="736" priority="141199" stopIfTrue="1" operator="lessThan">
      <formula>0.5</formula>
    </cfRule>
  </conditionalFormatting>
  <conditionalFormatting sqref="AN71">
    <cfRule type="cellIs" dxfId="735" priority="141200" stopIfTrue="1" operator="greaterThanOrEqual">
      <formula>0.5</formula>
    </cfRule>
  </conditionalFormatting>
  <conditionalFormatting sqref="AN72">
    <cfRule type="cellIs" dxfId="734" priority="141201" stopIfTrue="1" operator="equal">
      <formula>-1</formula>
    </cfRule>
  </conditionalFormatting>
  <conditionalFormatting sqref="AN72">
    <cfRule type="cellIs" dxfId="733" priority="141202" stopIfTrue="1" operator="lessThan">
      <formula>0.5</formula>
    </cfRule>
  </conditionalFormatting>
  <conditionalFormatting sqref="AN72">
    <cfRule type="cellIs" dxfId="732" priority="141203" stopIfTrue="1" operator="greaterThanOrEqual">
      <formula>0.5</formula>
    </cfRule>
  </conditionalFormatting>
  <conditionalFormatting sqref="AN73">
    <cfRule type="cellIs" dxfId="731" priority="141204" stopIfTrue="1" operator="equal">
      <formula>-1</formula>
    </cfRule>
  </conditionalFormatting>
  <conditionalFormatting sqref="AN73">
    <cfRule type="cellIs" dxfId="730" priority="141205" stopIfTrue="1" operator="lessThan">
      <formula>0.5</formula>
    </cfRule>
  </conditionalFormatting>
  <conditionalFormatting sqref="AN73">
    <cfRule type="cellIs" dxfId="729" priority="141206" stopIfTrue="1" operator="greaterThanOrEqual">
      <formula>0.5</formula>
    </cfRule>
  </conditionalFormatting>
  <conditionalFormatting sqref="AN74">
    <cfRule type="cellIs" dxfId="728" priority="141207" stopIfTrue="1" operator="equal">
      <formula>-1</formula>
    </cfRule>
  </conditionalFormatting>
  <conditionalFormatting sqref="AN74">
    <cfRule type="cellIs" dxfId="727" priority="141208" stopIfTrue="1" operator="lessThan">
      <formula>0.5</formula>
    </cfRule>
  </conditionalFormatting>
  <conditionalFormatting sqref="AN74">
    <cfRule type="cellIs" dxfId="726" priority="141209" stopIfTrue="1" operator="greaterThanOrEqual">
      <formula>0.5</formula>
    </cfRule>
  </conditionalFormatting>
  <conditionalFormatting sqref="AN75">
    <cfRule type="cellIs" dxfId="725" priority="141210" stopIfTrue="1" operator="equal">
      <formula>-1</formula>
    </cfRule>
  </conditionalFormatting>
  <conditionalFormatting sqref="AN75">
    <cfRule type="cellIs" dxfId="724" priority="141211" stopIfTrue="1" operator="lessThan">
      <formula>0.5</formula>
    </cfRule>
  </conditionalFormatting>
  <conditionalFormatting sqref="AN75">
    <cfRule type="cellIs" dxfId="723" priority="141212" stopIfTrue="1" operator="greaterThanOrEqual">
      <formula>0.5</formula>
    </cfRule>
  </conditionalFormatting>
  <conditionalFormatting sqref="AN76">
    <cfRule type="cellIs" dxfId="722" priority="141213" stopIfTrue="1" operator="equal">
      <formula>-1</formula>
    </cfRule>
  </conditionalFormatting>
  <conditionalFormatting sqref="AN76">
    <cfRule type="cellIs" dxfId="721" priority="141214" stopIfTrue="1" operator="lessThan">
      <formula>0.5</formula>
    </cfRule>
  </conditionalFormatting>
  <conditionalFormatting sqref="AN76">
    <cfRule type="cellIs" dxfId="720" priority="141215" stopIfTrue="1" operator="greaterThanOrEqual">
      <formula>0.5</formula>
    </cfRule>
  </conditionalFormatting>
  <conditionalFormatting sqref="AN77">
    <cfRule type="cellIs" dxfId="719" priority="141216" stopIfTrue="1" operator="equal">
      <formula>-1</formula>
    </cfRule>
  </conditionalFormatting>
  <conditionalFormatting sqref="AN77">
    <cfRule type="cellIs" dxfId="718" priority="141217" stopIfTrue="1" operator="lessThan">
      <formula>0.5</formula>
    </cfRule>
  </conditionalFormatting>
  <conditionalFormatting sqref="AN77">
    <cfRule type="cellIs" dxfId="717" priority="141218" stopIfTrue="1" operator="greaterThanOrEqual">
      <formula>0.5</formula>
    </cfRule>
  </conditionalFormatting>
  <conditionalFormatting sqref="AN78">
    <cfRule type="cellIs" dxfId="716" priority="141219" stopIfTrue="1" operator="equal">
      <formula>-1</formula>
    </cfRule>
  </conditionalFormatting>
  <conditionalFormatting sqref="AN78">
    <cfRule type="cellIs" dxfId="715" priority="141220" stopIfTrue="1" operator="lessThan">
      <formula>0.5</formula>
    </cfRule>
  </conditionalFormatting>
  <conditionalFormatting sqref="AN78">
    <cfRule type="cellIs" dxfId="714" priority="141221" stopIfTrue="1" operator="greaterThanOrEqual">
      <formula>0.5</formula>
    </cfRule>
  </conditionalFormatting>
  <conditionalFormatting sqref="AN79">
    <cfRule type="cellIs" dxfId="713" priority="141222" stopIfTrue="1" operator="equal">
      <formula>-1</formula>
    </cfRule>
  </conditionalFormatting>
  <conditionalFormatting sqref="AN79">
    <cfRule type="cellIs" dxfId="712" priority="141223" stopIfTrue="1" operator="lessThan">
      <formula>0.5</formula>
    </cfRule>
  </conditionalFormatting>
  <conditionalFormatting sqref="AN79">
    <cfRule type="cellIs" dxfId="711" priority="141224" stopIfTrue="1" operator="greaterThanOrEqual">
      <formula>0.5</formula>
    </cfRule>
  </conditionalFormatting>
  <conditionalFormatting sqref="AN80">
    <cfRule type="cellIs" dxfId="710" priority="141225" stopIfTrue="1" operator="equal">
      <formula>-1</formula>
    </cfRule>
  </conditionalFormatting>
  <conditionalFormatting sqref="AN80">
    <cfRule type="cellIs" dxfId="709" priority="141226" stopIfTrue="1" operator="lessThan">
      <formula>0.5</formula>
    </cfRule>
  </conditionalFormatting>
  <conditionalFormatting sqref="AN80">
    <cfRule type="cellIs" dxfId="708" priority="141227" stopIfTrue="1" operator="greaterThanOrEqual">
      <formula>0.5</formula>
    </cfRule>
  </conditionalFormatting>
  <conditionalFormatting sqref="AN81">
    <cfRule type="cellIs" dxfId="707" priority="141228" stopIfTrue="1" operator="equal">
      <formula>-1</formula>
    </cfRule>
  </conditionalFormatting>
  <conditionalFormatting sqref="AN81">
    <cfRule type="cellIs" dxfId="706" priority="141229" stopIfTrue="1" operator="lessThan">
      <formula>0.5</formula>
    </cfRule>
  </conditionalFormatting>
  <conditionalFormatting sqref="AN81">
    <cfRule type="cellIs" dxfId="705" priority="141230" stopIfTrue="1" operator="greaterThanOrEqual">
      <formula>0.5</formula>
    </cfRule>
  </conditionalFormatting>
  <conditionalFormatting sqref="AN82">
    <cfRule type="cellIs" dxfId="704" priority="141231" stopIfTrue="1" operator="equal">
      <formula>-1</formula>
    </cfRule>
  </conditionalFormatting>
  <conditionalFormatting sqref="AN82">
    <cfRule type="cellIs" dxfId="703" priority="141232" stopIfTrue="1" operator="lessThan">
      <formula>0.5</formula>
    </cfRule>
  </conditionalFormatting>
  <conditionalFormatting sqref="AN82">
    <cfRule type="cellIs" dxfId="702" priority="141233" stopIfTrue="1" operator="greaterThanOrEqual">
      <formula>0.5</formula>
    </cfRule>
  </conditionalFormatting>
  <conditionalFormatting sqref="AN83">
    <cfRule type="cellIs" dxfId="701" priority="141234" stopIfTrue="1" operator="equal">
      <formula>-1</formula>
    </cfRule>
  </conditionalFormatting>
  <conditionalFormatting sqref="AN83">
    <cfRule type="cellIs" dxfId="700" priority="141235" stopIfTrue="1" operator="lessThan">
      <formula>0.5</formula>
    </cfRule>
  </conditionalFormatting>
  <conditionalFormatting sqref="AN83">
    <cfRule type="cellIs" dxfId="699" priority="141236" stopIfTrue="1" operator="greaterThanOrEqual">
      <formula>0.5</formula>
    </cfRule>
  </conditionalFormatting>
  <conditionalFormatting sqref="AN84">
    <cfRule type="cellIs" dxfId="698" priority="141237" stopIfTrue="1" operator="equal">
      <formula>-1</formula>
    </cfRule>
  </conditionalFormatting>
  <conditionalFormatting sqref="AN84">
    <cfRule type="cellIs" dxfId="697" priority="141238" stopIfTrue="1" operator="lessThan">
      <formula>0.5</formula>
    </cfRule>
  </conditionalFormatting>
  <conditionalFormatting sqref="AN84">
    <cfRule type="cellIs" dxfId="696" priority="141239" stopIfTrue="1" operator="greaterThanOrEqual">
      <formula>0.5</formula>
    </cfRule>
  </conditionalFormatting>
  <conditionalFormatting sqref="AN85">
    <cfRule type="cellIs" dxfId="695" priority="141240" stopIfTrue="1" operator="equal">
      <formula>-1</formula>
    </cfRule>
  </conditionalFormatting>
  <conditionalFormatting sqref="AN85">
    <cfRule type="cellIs" dxfId="694" priority="141241" stopIfTrue="1" operator="lessThan">
      <formula>0.5</formula>
    </cfRule>
  </conditionalFormatting>
  <conditionalFormatting sqref="AN85">
    <cfRule type="cellIs" dxfId="693" priority="141242" stopIfTrue="1" operator="greaterThanOrEqual">
      <formula>0.5</formula>
    </cfRule>
  </conditionalFormatting>
  <conditionalFormatting sqref="AP65">
    <cfRule type="cellIs" dxfId="692" priority="141243" stopIfTrue="1" operator="equal">
      <formula>-1</formula>
    </cfRule>
  </conditionalFormatting>
  <conditionalFormatting sqref="AP65">
    <cfRule type="cellIs" dxfId="691" priority="141244" stopIfTrue="1" operator="lessThan">
      <formula>0.5</formula>
    </cfRule>
  </conditionalFormatting>
  <conditionalFormatting sqref="AP65">
    <cfRule type="cellIs" dxfId="690" priority="141245" stopIfTrue="1" operator="greaterThanOrEqual">
      <formula>0.5</formula>
    </cfRule>
  </conditionalFormatting>
  <conditionalFormatting sqref="AP66">
    <cfRule type="cellIs" dxfId="689" priority="141246" stopIfTrue="1" operator="equal">
      <formula>-1</formula>
    </cfRule>
  </conditionalFormatting>
  <conditionalFormatting sqref="AP66">
    <cfRule type="cellIs" dxfId="688" priority="141247" stopIfTrue="1" operator="lessThan">
      <formula>0.5</formula>
    </cfRule>
  </conditionalFormatting>
  <conditionalFormatting sqref="AP66">
    <cfRule type="cellIs" dxfId="687" priority="141248" stopIfTrue="1" operator="greaterThanOrEqual">
      <formula>0.5</formula>
    </cfRule>
  </conditionalFormatting>
  <conditionalFormatting sqref="AP67">
    <cfRule type="cellIs" dxfId="686" priority="141249" stopIfTrue="1" operator="equal">
      <formula>-1</formula>
    </cfRule>
  </conditionalFormatting>
  <conditionalFormatting sqref="AP67">
    <cfRule type="cellIs" dxfId="685" priority="141250" stopIfTrue="1" operator="lessThan">
      <formula>0.5</formula>
    </cfRule>
  </conditionalFormatting>
  <conditionalFormatting sqref="AP67">
    <cfRule type="cellIs" dxfId="684" priority="141251" stopIfTrue="1" operator="greaterThanOrEqual">
      <formula>0.5</formula>
    </cfRule>
  </conditionalFormatting>
  <conditionalFormatting sqref="AP68">
    <cfRule type="cellIs" dxfId="683" priority="141252" stopIfTrue="1" operator="equal">
      <formula>-1</formula>
    </cfRule>
  </conditionalFormatting>
  <conditionalFormatting sqref="AP68">
    <cfRule type="cellIs" dxfId="682" priority="141253" stopIfTrue="1" operator="lessThan">
      <formula>0.5</formula>
    </cfRule>
  </conditionalFormatting>
  <conditionalFormatting sqref="AP68">
    <cfRule type="cellIs" dxfId="681" priority="141254" stopIfTrue="1" operator="greaterThanOrEqual">
      <formula>0.5</formula>
    </cfRule>
  </conditionalFormatting>
  <conditionalFormatting sqref="AP69">
    <cfRule type="cellIs" dxfId="680" priority="141255" stopIfTrue="1" operator="equal">
      <formula>-1</formula>
    </cfRule>
  </conditionalFormatting>
  <conditionalFormatting sqref="AP69">
    <cfRule type="cellIs" dxfId="679" priority="141256" stopIfTrue="1" operator="lessThan">
      <formula>0.5</formula>
    </cfRule>
  </conditionalFormatting>
  <conditionalFormatting sqref="AP69">
    <cfRule type="cellIs" dxfId="678" priority="141257" stopIfTrue="1" operator="greaterThanOrEqual">
      <formula>0.5</formula>
    </cfRule>
  </conditionalFormatting>
  <conditionalFormatting sqref="AP70">
    <cfRule type="cellIs" dxfId="677" priority="141258" stopIfTrue="1" operator="equal">
      <formula>-1</formula>
    </cfRule>
  </conditionalFormatting>
  <conditionalFormatting sqref="AP70">
    <cfRule type="cellIs" dxfId="676" priority="141259" stopIfTrue="1" operator="lessThan">
      <formula>0.5</formula>
    </cfRule>
  </conditionalFormatting>
  <conditionalFormatting sqref="AP70">
    <cfRule type="cellIs" dxfId="675" priority="141260" stopIfTrue="1" operator="greaterThanOrEqual">
      <formula>0.5</formula>
    </cfRule>
  </conditionalFormatting>
  <conditionalFormatting sqref="AP71">
    <cfRule type="cellIs" dxfId="674" priority="141261" stopIfTrue="1" operator="equal">
      <formula>-1</formula>
    </cfRule>
  </conditionalFormatting>
  <conditionalFormatting sqref="AP71">
    <cfRule type="cellIs" dxfId="673" priority="141262" stopIfTrue="1" operator="lessThan">
      <formula>0.5</formula>
    </cfRule>
  </conditionalFormatting>
  <conditionalFormatting sqref="AP71">
    <cfRule type="cellIs" dxfId="672" priority="141263" stopIfTrue="1" operator="greaterThanOrEqual">
      <formula>0.5</formula>
    </cfRule>
  </conditionalFormatting>
  <conditionalFormatting sqref="AP72">
    <cfRule type="cellIs" dxfId="671" priority="141264" stopIfTrue="1" operator="equal">
      <formula>-1</formula>
    </cfRule>
  </conditionalFormatting>
  <conditionalFormatting sqref="AP72">
    <cfRule type="cellIs" dxfId="670" priority="141265" stopIfTrue="1" operator="lessThan">
      <formula>0.5</formula>
    </cfRule>
  </conditionalFormatting>
  <conditionalFormatting sqref="AP72">
    <cfRule type="cellIs" dxfId="669" priority="141266" stopIfTrue="1" operator="greaterThanOrEqual">
      <formula>0.5</formula>
    </cfRule>
  </conditionalFormatting>
  <conditionalFormatting sqref="AP73">
    <cfRule type="cellIs" dxfId="668" priority="141267" stopIfTrue="1" operator="equal">
      <formula>-1</formula>
    </cfRule>
  </conditionalFormatting>
  <conditionalFormatting sqref="AP73">
    <cfRule type="cellIs" dxfId="667" priority="141268" stopIfTrue="1" operator="lessThan">
      <formula>0.5</formula>
    </cfRule>
  </conditionalFormatting>
  <conditionalFormatting sqref="AP73">
    <cfRule type="cellIs" dxfId="666" priority="141269" stopIfTrue="1" operator="greaterThanOrEqual">
      <formula>0.5</formula>
    </cfRule>
  </conditionalFormatting>
  <conditionalFormatting sqref="AP74">
    <cfRule type="cellIs" dxfId="665" priority="141270" stopIfTrue="1" operator="equal">
      <formula>-1</formula>
    </cfRule>
  </conditionalFormatting>
  <conditionalFormatting sqref="AP74">
    <cfRule type="cellIs" dxfId="664" priority="141271" stopIfTrue="1" operator="lessThan">
      <formula>0.5</formula>
    </cfRule>
  </conditionalFormatting>
  <conditionalFormatting sqref="AP74">
    <cfRule type="cellIs" dxfId="663" priority="141272" stopIfTrue="1" operator="greaterThanOrEqual">
      <formula>0.5</formula>
    </cfRule>
  </conditionalFormatting>
  <conditionalFormatting sqref="AP75">
    <cfRule type="cellIs" dxfId="662" priority="141273" stopIfTrue="1" operator="equal">
      <formula>-1</formula>
    </cfRule>
  </conditionalFormatting>
  <conditionalFormatting sqref="AP75">
    <cfRule type="cellIs" dxfId="661" priority="141274" stopIfTrue="1" operator="lessThan">
      <formula>0.5</formula>
    </cfRule>
  </conditionalFormatting>
  <conditionalFormatting sqref="AP75">
    <cfRule type="cellIs" dxfId="660" priority="141275" stopIfTrue="1" operator="greaterThanOrEqual">
      <formula>0.5</formula>
    </cfRule>
  </conditionalFormatting>
  <conditionalFormatting sqref="AP76">
    <cfRule type="cellIs" dxfId="659" priority="141276" stopIfTrue="1" operator="equal">
      <formula>-1</formula>
    </cfRule>
  </conditionalFormatting>
  <conditionalFormatting sqref="AP76">
    <cfRule type="cellIs" dxfId="658" priority="141277" stopIfTrue="1" operator="lessThan">
      <formula>0.5</formula>
    </cfRule>
  </conditionalFormatting>
  <conditionalFormatting sqref="AP76">
    <cfRule type="cellIs" dxfId="657" priority="141278" stopIfTrue="1" operator="greaterThanOrEqual">
      <formula>0.5</formula>
    </cfRule>
  </conditionalFormatting>
  <conditionalFormatting sqref="AP77">
    <cfRule type="cellIs" dxfId="656" priority="141279" stopIfTrue="1" operator="equal">
      <formula>-1</formula>
    </cfRule>
  </conditionalFormatting>
  <conditionalFormatting sqref="AP77">
    <cfRule type="cellIs" dxfId="655" priority="141280" stopIfTrue="1" operator="lessThan">
      <formula>0.5</formula>
    </cfRule>
  </conditionalFormatting>
  <conditionalFormatting sqref="AP77">
    <cfRule type="cellIs" dxfId="654" priority="141281" stopIfTrue="1" operator="greaterThanOrEqual">
      <formula>0.5</formula>
    </cfRule>
  </conditionalFormatting>
  <conditionalFormatting sqref="AP78">
    <cfRule type="cellIs" dxfId="653" priority="141282" stopIfTrue="1" operator="equal">
      <formula>-1</formula>
    </cfRule>
  </conditionalFormatting>
  <conditionalFormatting sqref="AP78">
    <cfRule type="cellIs" dxfId="652" priority="141283" stopIfTrue="1" operator="lessThan">
      <formula>0.5</formula>
    </cfRule>
  </conditionalFormatting>
  <conditionalFormatting sqref="AP78">
    <cfRule type="cellIs" dxfId="651" priority="141284" stopIfTrue="1" operator="greaterThanOrEqual">
      <formula>0.5</formula>
    </cfRule>
  </conditionalFormatting>
  <conditionalFormatting sqref="AP79">
    <cfRule type="cellIs" dxfId="650" priority="141285" stopIfTrue="1" operator="equal">
      <formula>-1</formula>
    </cfRule>
  </conditionalFormatting>
  <conditionalFormatting sqref="AP79">
    <cfRule type="cellIs" dxfId="649" priority="141286" stopIfTrue="1" operator="lessThan">
      <formula>0.5</formula>
    </cfRule>
  </conditionalFormatting>
  <conditionalFormatting sqref="AP79">
    <cfRule type="cellIs" dxfId="648" priority="141287" stopIfTrue="1" operator="greaterThanOrEqual">
      <formula>0.5</formula>
    </cfRule>
  </conditionalFormatting>
  <conditionalFormatting sqref="AP80">
    <cfRule type="cellIs" dxfId="647" priority="141288" stopIfTrue="1" operator="equal">
      <formula>-1</formula>
    </cfRule>
  </conditionalFormatting>
  <conditionalFormatting sqref="AP80">
    <cfRule type="cellIs" dxfId="646" priority="141289" stopIfTrue="1" operator="lessThan">
      <formula>0.5</formula>
    </cfRule>
  </conditionalFormatting>
  <conditionalFormatting sqref="AP80">
    <cfRule type="cellIs" dxfId="645" priority="141290" stopIfTrue="1" operator="greaterThanOrEqual">
      <formula>0.5</formula>
    </cfRule>
  </conditionalFormatting>
  <conditionalFormatting sqref="AP81">
    <cfRule type="cellIs" dxfId="644" priority="141291" stopIfTrue="1" operator="equal">
      <formula>-1</formula>
    </cfRule>
  </conditionalFormatting>
  <conditionalFormatting sqref="AP81">
    <cfRule type="cellIs" dxfId="643" priority="141292" stopIfTrue="1" operator="lessThan">
      <formula>0.5</formula>
    </cfRule>
  </conditionalFormatting>
  <conditionalFormatting sqref="AP81">
    <cfRule type="cellIs" dxfId="642" priority="141293" stopIfTrue="1" operator="greaterThanOrEqual">
      <formula>0.5</formula>
    </cfRule>
  </conditionalFormatting>
  <conditionalFormatting sqref="AP82">
    <cfRule type="cellIs" dxfId="641" priority="141294" stopIfTrue="1" operator="equal">
      <formula>-1</formula>
    </cfRule>
  </conditionalFormatting>
  <conditionalFormatting sqref="AP82">
    <cfRule type="cellIs" dxfId="640" priority="141295" stopIfTrue="1" operator="lessThan">
      <formula>0.5</formula>
    </cfRule>
  </conditionalFormatting>
  <conditionalFormatting sqref="AP82">
    <cfRule type="cellIs" dxfId="639" priority="141296" stopIfTrue="1" operator="greaterThanOrEqual">
      <formula>0.5</formula>
    </cfRule>
  </conditionalFormatting>
  <conditionalFormatting sqref="AP83">
    <cfRule type="cellIs" dxfId="638" priority="141297" stopIfTrue="1" operator="equal">
      <formula>-1</formula>
    </cfRule>
  </conditionalFormatting>
  <conditionalFormatting sqref="AP83">
    <cfRule type="cellIs" dxfId="637" priority="141298" stopIfTrue="1" operator="lessThan">
      <formula>0.5</formula>
    </cfRule>
  </conditionalFormatting>
  <conditionalFormatting sqref="AP83">
    <cfRule type="cellIs" dxfId="636" priority="141299" stopIfTrue="1" operator="greaterThanOrEqual">
      <formula>0.5</formula>
    </cfRule>
  </conditionalFormatting>
  <conditionalFormatting sqref="AP84">
    <cfRule type="cellIs" dxfId="635" priority="141300" stopIfTrue="1" operator="equal">
      <formula>-1</formula>
    </cfRule>
  </conditionalFormatting>
  <conditionalFormatting sqref="AP84">
    <cfRule type="cellIs" dxfId="634" priority="141301" stopIfTrue="1" operator="lessThan">
      <formula>0.5</formula>
    </cfRule>
  </conditionalFormatting>
  <conditionalFormatting sqref="AP84">
    <cfRule type="cellIs" dxfId="633" priority="141302" stopIfTrue="1" operator="greaterThanOrEqual">
      <formula>0.5</formula>
    </cfRule>
  </conditionalFormatting>
  <conditionalFormatting sqref="AP85">
    <cfRule type="cellIs" dxfId="632" priority="141303" stopIfTrue="1" operator="equal">
      <formula>-1</formula>
    </cfRule>
  </conditionalFormatting>
  <conditionalFormatting sqref="AP85">
    <cfRule type="cellIs" dxfId="631" priority="141304" stopIfTrue="1" operator="lessThan">
      <formula>0.5</formula>
    </cfRule>
  </conditionalFormatting>
  <conditionalFormatting sqref="AP85">
    <cfRule type="cellIs" dxfId="630" priority="141305" stopIfTrue="1" operator="greaterThanOrEqual">
      <formula>0.5</formula>
    </cfRule>
  </conditionalFormatting>
  <conditionalFormatting sqref="AR65">
    <cfRule type="cellIs" dxfId="629" priority="141306" stopIfTrue="1" operator="equal">
      <formula>-1</formula>
    </cfRule>
  </conditionalFormatting>
  <conditionalFormatting sqref="AR65">
    <cfRule type="cellIs" dxfId="628" priority="141307" stopIfTrue="1" operator="lessThan">
      <formula>0.5</formula>
    </cfRule>
  </conditionalFormatting>
  <conditionalFormatting sqref="AR65">
    <cfRule type="cellIs" dxfId="627" priority="141308" stopIfTrue="1" operator="greaterThanOrEqual">
      <formula>0.5</formula>
    </cfRule>
  </conditionalFormatting>
  <conditionalFormatting sqref="AR66">
    <cfRule type="cellIs" dxfId="626" priority="141309" stopIfTrue="1" operator="equal">
      <formula>-1</formula>
    </cfRule>
  </conditionalFormatting>
  <conditionalFormatting sqref="AR66">
    <cfRule type="cellIs" dxfId="625" priority="141310" stopIfTrue="1" operator="lessThan">
      <formula>0.5</formula>
    </cfRule>
  </conditionalFormatting>
  <conditionalFormatting sqref="AR66">
    <cfRule type="cellIs" dxfId="624" priority="141311" stopIfTrue="1" operator="greaterThanOrEqual">
      <formula>0.5</formula>
    </cfRule>
  </conditionalFormatting>
  <conditionalFormatting sqref="AR67">
    <cfRule type="cellIs" dxfId="623" priority="141312" stopIfTrue="1" operator="equal">
      <formula>-1</formula>
    </cfRule>
  </conditionalFormatting>
  <conditionalFormatting sqref="AR67">
    <cfRule type="cellIs" dxfId="622" priority="141313" stopIfTrue="1" operator="lessThan">
      <formula>0.5</formula>
    </cfRule>
  </conditionalFormatting>
  <conditionalFormatting sqref="AR67">
    <cfRule type="cellIs" dxfId="621" priority="141314" stopIfTrue="1" operator="greaterThanOrEqual">
      <formula>0.5</formula>
    </cfRule>
  </conditionalFormatting>
  <conditionalFormatting sqref="AR68">
    <cfRule type="cellIs" dxfId="620" priority="141315" stopIfTrue="1" operator="equal">
      <formula>-1</formula>
    </cfRule>
  </conditionalFormatting>
  <conditionalFormatting sqref="AR68">
    <cfRule type="cellIs" dxfId="619" priority="141316" stopIfTrue="1" operator="lessThan">
      <formula>0.5</formula>
    </cfRule>
  </conditionalFormatting>
  <conditionalFormatting sqref="AR68">
    <cfRule type="cellIs" dxfId="618" priority="141317" stopIfTrue="1" operator="greaterThanOrEqual">
      <formula>0.5</formula>
    </cfRule>
  </conditionalFormatting>
  <conditionalFormatting sqref="AR69">
    <cfRule type="cellIs" dxfId="617" priority="141318" stopIfTrue="1" operator="equal">
      <formula>-1</formula>
    </cfRule>
  </conditionalFormatting>
  <conditionalFormatting sqref="AR69">
    <cfRule type="cellIs" dxfId="616" priority="141319" stopIfTrue="1" operator="lessThan">
      <formula>0.5</formula>
    </cfRule>
  </conditionalFormatting>
  <conditionalFormatting sqref="AR69">
    <cfRule type="cellIs" dxfId="615" priority="141320" stopIfTrue="1" operator="greaterThanOrEqual">
      <formula>0.5</formula>
    </cfRule>
  </conditionalFormatting>
  <conditionalFormatting sqref="AR70">
    <cfRule type="cellIs" dxfId="614" priority="141321" stopIfTrue="1" operator="equal">
      <formula>-1</formula>
    </cfRule>
  </conditionalFormatting>
  <conditionalFormatting sqref="AR70">
    <cfRule type="cellIs" dxfId="613" priority="141322" stopIfTrue="1" operator="lessThan">
      <formula>0.5</formula>
    </cfRule>
  </conditionalFormatting>
  <conditionalFormatting sqref="AR70">
    <cfRule type="cellIs" dxfId="612" priority="141323" stopIfTrue="1" operator="greaterThanOrEqual">
      <formula>0.5</formula>
    </cfRule>
  </conditionalFormatting>
  <conditionalFormatting sqref="AR71">
    <cfRule type="cellIs" dxfId="611" priority="141324" stopIfTrue="1" operator="equal">
      <formula>-1</formula>
    </cfRule>
  </conditionalFormatting>
  <conditionalFormatting sqref="AR71">
    <cfRule type="cellIs" dxfId="610" priority="141325" stopIfTrue="1" operator="lessThan">
      <formula>0.5</formula>
    </cfRule>
  </conditionalFormatting>
  <conditionalFormatting sqref="AR71">
    <cfRule type="cellIs" dxfId="609" priority="141326" stopIfTrue="1" operator="greaterThanOrEqual">
      <formula>0.5</formula>
    </cfRule>
  </conditionalFormatting>
  <conditionalFormatting sqref="AR72">
    <cfRule type="cellIs" dxfId="608" priority="141327" stopIfTrue="1" operator="equal">
      <formula>-1</formula>
    </cfRule>
  </conditionalFormatting>
  <conditionalFormatting sqref="AR72">
    <cfRule type="cellIs" dxfId="607" priority="141328" stopIfTrue="1" operator="lessThan">
      <formula>0.5</formula>
    </cfRule>
  </conditionalFormatting>
  <conditionalFormatting sqref="AR72">
    <cfRule type="cellIs" dxfId="606" priority="141329" stopIfTrue="1" operator="greaterThanOrEqual">
      <formula>0.5</formula>
    </cfRule>
  </conditionalFormatting>
  <conditionalFormatting sqref="AR73">
    <cfRule type="cellIs" dxfId="605" priority="141330" stopIfTrue="1" operator="equal">
      <formula>-1</formula>
    </cfRule>
  </conditionalFormatting>
  <conditionalFormatting sqref="AR73">
    <cfRule type="cellIs" dxfId="604" priority="141331" stopIfTrue="1" operator="lessThan">
      <formula>0.5</formula>
    </cfRule>
  </conditionalFormatting>
  <conditionalFormatting sqref="AR73">
    <cfRule type="cellIs" dxfId="603" priority="141332" stopIfTrue="1" operator="greaterThanOrEqual">
      <formula>0.5</formula>
    </cfRule>
  </conditionalFormatting>
  <conditionalFormatting sqref="AR74">
    <cfRule type="cellIs" dxfId="602" priority="141333" stopIfTrue="1" operator="equal">
      <formula>-1</formula>
    </cfRule>
  </conditionalFormatting>
  <conditionalFormatting sqref="AR74">
    <cfRule type="cellIs" dxfId="601" priority="141334" stopIfTrue="1" operator="lessThan">
      <formula>0.5</formula>
    </cfRule>
  </conditionalFormatting>
  <conditionalFormatting sqref="AR74">
    <cfRule type="cellIs" dxfId="600" priority="141335" stopIfTrue="1" operator="greaterThanOrEqual">
      <formula>0.5</formula>
    </cfRule>
  </conditionalFormatting>
  <conditionalFormatting sqref="AR75">
    <cfRule type="cellIs" dxfId="599" priority="141336" stopIfTrue="1" operator="equal">
      <formula>-1</formula>
    </cfRule>
  </conditionalFormatting>
  <conditionalFormatting sqref="AR75">
    <cfRule type="cellIs" dxfId="598" priority="141337" stopIfTrue="1" operator="lessThan">
      <formula>0.5</formula>
    </cfRule>
  </conditionalFormatting>
  <conditionalFormatting sqref="AR75">
    <cfRule type="cellIs" dxfId="597" priority="141338" stopIfTrue="1" operator="greaterThanOrEqual">
      <formula>0.5</formula>
    </cfRule>
  </conditionalFormatting>
  <conditionalFormatting sqref="AR76">
    <cfRule type="cellIs" dxfId="596" priority="141339" stopIfTrue="1" operator="equal">
      <formula>-1</formula>
    </cfRule>
  </conditionalFormatting>
  <conditionalFormatting sqref="AR76">
    <cfRule type="cellIs" dxfId="595" priority="141340" stopIfTrue="1" operator="lessThan">
      <formula>0.5</formula>
    </cfRule>
  </conditionalFormatting>
  <conditionalFormatting sqref="AR76">
    <cfRule type="cellIs" dxfId="594" priority="141341" stopIfTrue="1" operator="greaterThanOrEqual">
      <formula>0.5</formula>
    </cfRule>
  </conditionalFormatting>
  <conditionalFormatting sqref="AR77">
    <cfRule type="cellIs" dxfId="593" priority="141342" stopIfTrue="1" operator="equal">
      <formula>-1</formula>
    </cfRule>
  </conditionalFormatting>
  <conditionalFormatting sqref="AR77">
    <cfRule type="cellIs" dxfId="592" priority="141343" stopIfTrue="1" operator="lessThan">
      <formula>0.5</formula>
    </cfRule>
  </conditionalFormatting>
  <conditionalFormatting sqref="AR77">
    <cfRule type="cellIs" dxfId="591" priority="141344" stopIfTrue="1" operator="greaterThanOrEqual">
      <formula>0.5</formula>
    </cfRule>
  </conditionalFormatting>
  <conditionalFormatting sqref="AR78">
    <cfRule type="cellIs" dxfId="590" priority="141345" stopIfTrue="1" operator="equal">
      <formula>-1</formula>
    </cfRule>
  </conditionalFormatting>
  <conditionalFormatting sqref="AR78">
    <cfRule type="cellIs" dxfId="589" priority="141346" stopIfTrue="1" operator="lessThan">
      <formula>0.5</formula>
    </cfRule>
  </conditionalFormatting>
  <conditionalFormatting sqref="AR78">
    <cfRule type="cellIs" dxfId="588" priority="141347" stopIfTrue="1" operator="greaterThanOrEqual">
      <formula>0.5</formula>
    </cfRule>
  </conditionalFormatting>
  <conditionalFormatting sqref="AR79">
    <cfRule type="cellIs" dxfId="587" priority="141348" stopIfTrue="1" operator="equal">
      <formula>-1</formula>
    </cfRule>
  </conditionalFormatting>
  <conditionalFormatting sqref="AR79">
    <cfRule type="cellIs" dxfId="586" priority="141349" stopIfTrue="1" operator="lessThan">
      <formula>0.5</formula>
    </cfRule>
  </conditionalFormatting>
  <conditionalFormatting sqref="AR79">
    <cfRule type="cellIs" dxfId="585" priority="141350" stopIfTrue="1" operator="greaterThanOrEqual">
      <formula>0.5</formula>
    </cfRule>
  </conditionalFormatting>
  <conditionalFormatting sqref="AR80">
    <cfRule type="cellIs" dxfId="584" priority="141351" stopIfTrue="1" operator="equal">
      <formula>-1</formula>
    </cfRule>
  </conditionalFormatting>
  <conditionalFormatting sqref="AR80">
    <cfRule type="cellIs" dxfId="583" priority="141352" stopIfTrue="1" operator="lessThan">
      <formula>0.5</formula>
    </cfRule>
  </conditionalFormatting>
  <conditionalFormatting sqref="AR80">
    <cfRule type="cellIs" dxfId="582" priority="141353" stopIfTrue="1" operator="greaterThanOrEqual">
      <formula>0.5</formula>
    </cfRule>
  </conditionalFormatting>
  <conditionalFormatting sqref="AR81">
    <cfRule type="cellIs" dxfId="581" priority="141354" stopIfTrue="1" operator="equal">
      <formula>-1</formula>
    </cfRule>
  </conditionalFormatting>
  <conditionalFormatting sqref="AR81">
    <cfRule type="cellIs" dxfId="580" priority="141355" stopIfTrue="1" operator="lessThan">
      <formula>0.5</formula>
    </cfRule>
  </conditionalFormatting>
  <conditionalFormatting sqref="AR81">
    <cfRule type="cellIs" dxfId="579" priority="141356" stopIfTrue="1" operator="greaterThanOrEqual">
      <formula>0.5</formula>
    </cfRule>
  </conditionalFormatting>
  <conditionalFormatting sqref="AR82">
    <cfRule type="cellIs" dxfId="578" priority="141357" stopIfTrue="1" operator="equal">
      <formula>-1</formula>
    </cfRule>
  </conditionalFormatting>
  <conditionalFormatting sqref="AR82">
    <cfRule type="cellIs" dxfId="577" priority="141358" stopIfTrue="1" operator="lessThan">
      <formula>0.5</formula>
    </cfRule>
  </conditionalFormatting>
  <conditionalFormatting sqref="AR82">
    <cfRule type="cellIs" dxfId="576" priority="141359" stopIfTrue="1" operator="greaterThanOrEqual">
      <formula>0.5</formula>
    </cfRule>
  </conditionalFormatting>
  <conditionalFormatting sqref="AR83">
    <cfRule type="cellIs" dxfId="575" priority="141360" stopIfTrue="1" operator="equal">
      <formula>-1</formula>
    </cfRule>
  </conditionalFormatting>
  <conditionalFormatting sqref="AR83">
    <cfRule type="cellIs" dxfId="574" priority="141361" stopIfTrue="1" operator="lessThan">
      <formula>0.5</formula>
    </cfRule>
  </conditionalFormatting>
  <conditionalFormatting sqref="AR83">
    <cfRule type="cellIs" dxfId="573" priority="141362" stopIfTrue="1" operator="greaterThanOrEqual">
      <formula>0.5</formula>
    </cfRule>
  </conditionalFormatting>
  <conditionalFormatting sqref="AR84">
    <cfRule type="cellIs" dxfId="572" priority="141363" stopIfTrue="1" operator="equal">
      <formula>-1</formula>
    </cfRule>
  </conditionalFormatting>
  <conditionalFormatting sqref="AR84">
    <cfRule type="cellIs" dxfId="571" priority="141364" stopIfTrue="1" operator="lessThan">
      <formula>0.5</formula>
    </cfRule>
  </conditionalFormatting>
  <conditionalFormatting sqref="AR84">
    <cfRule type="cellIs" dxfId="570" priority="141365" stopIfTrue="1" operator="greaterThanOrEqual">
      <formula>0.5</formula>
    </cfRule>
  </conditionalFormatting>
  <conditionalFormatting sqref="AR85">
    <cfRule type="cellIs" dxfId="569" priority="141366" stopIfTrue="1" operator="equal">
      <formula>-1</formula>
    </cfRule>
  </conditionalFormatting>
  <conditionalFormatting sqref="AR85">
    <cfRule type="cellIs" dxfId="568" priority="141367" stopIfTrue="1" operator="lessThan">
      <formula>0.5</formula>
    </cfRule>
  </conditionalFormatting>
  <conditionalFormatting sqref="AR85">
    <cfRule type="cellIs" dxfId="567" priority="141368" stopIfTrue="1" operator="greaterThanOrEqual">
      <formula>0.5</formula>
    </cfRule>
  </conditionalFormatting>
  <conditionalFormatting sqref="AT65">
    <cfRule type="cellIs" dxfId="566" priority="141369" stopIfTrue="1" operator="equal">
      <formula>-1</formula>
    </cfRule>
  </conditionalFormatting>
  <conditionalFormatting sqref="AT65">
    <cfRule type="cellIs" dxfId="565" priority="141370" stopIfTrue="1" operator="lessThan">
      <formula>0.5</formula>
    </cfRule>
  </conditionalFormatting>
  <conditionalFormatting sqref="AT65">
    <cfRule type="cellIs" dxfId="564" priority="141371" stopIfTrue="1" operator="greaterThanOrEqual">
      <formula>0.5</formula>
    </cfRule>
  </conditionalFormatting>
  <conditionalFormatting sqref="AT66">
    <cfRule type="cellIs" dxfId="563" priority="141372" stopIfTrue="1" operator="equal">
      <formula>-1</formula>
    </cfRule>
  </conditionalFormatting>
  <conditionalFormatting sqref="AT66">
    <cfRule type="cellIs" dxfId="562" priority="141373" stopIfTrue="1" operator="lessThan">
      <formula>0.5</formula>
    </cfRule>
  </conditionalFormatting>
  <conditionalFormatting sqref="AT66">
    <cfRule type="cellIs" dxfId="561" priority="141374" stopIfTrue="1" operator="greaterThanOrEqual">
      <formula>0.5</formula>
    </cfRule>
  </conditionalFormatting>
  <conditionalFormatting sqref="AT67">
    <cfRule type="cellIs" dxfId="560" priority="141375" stopIfTrue="1" operator="equal">
      <formula>-1</formula>
    </cfRule>
  </conditionalFormatting>
  <conditionalFormatting sqref="AT67">
    <cfRule type="cellIs" dxfId="559" priority="141376" stopIfTrue="1" operator="lessThan">
      <formula>0.5</formula>
    </cfRule>
  </conditionalFormatting>
  <conditionalFormatting sqref="AT67">
    <cfRule type="cellIs" dxfId="558" priority="141377" stopIfTrue="1" operator="greaterThanOrEqual">
      <formula>0.5</formula>
    </cfRule>
  </conditionalFormatting>
  <conditionalFormatting sqref="AT68">
    <cfRule type="cellIs" dxfId="557" priority="141378" stopIfTrue="1" operator="equal">
      <formula>-1</formula>
    </cfRule>
  </conditionalFormatting>
  <conditionalFormatting sqref="AT68">
    <cfRule type="cellIs" dxfId="556" priority="141379" stopIfTrue="1" operator="lessThan">
      <formula>0.5</formula>
    </cfRule>
  </conditionalFormatting>
  <conditionalFormatting sqref="AT68">
    <cfRule type="cellIs" dxfId="555" priority="141380" stopIfTrue="1" operator="greaterThanOrEqual">
      <formula>0.5</formula>
    </cfRule>
  </conditionalFormatting>
  <conditionalFormatting sqref="AT69">
    <cfRule type="cellIs" dxfId="554" priority="141381" stopIfTrue="1" operator="equal">
      <formula>-1</formula>
    </cfRule>
  </conditionalFormatting>
  <conditionalFormatting sqref="AT69">
    <cfRule type="cellIs" dxfId="553" priority="141382" stopIfTrue="1" operator="lessThan">
      <formula>0.5</formula>
    </cfRule>
  </conditionalFormatting>
  <conditionalFormatting sqref="AT69">
    <cfRule type="cellIs" dxfId="552" priority="141383" stopIfTrue="1" operator="greaterThanOrEqual">
      <formula>0.5</formula>
    </cfRule>
  </conditionalFormatting>
  <conditionalFormatting sqref="AT70">
    <cfRule type="cellIs" dxfId="551" priority="141384" stopIfTrue="1" operator="equal">
      <formula>-1</formula>
    </cfRule>
  </conditionalFormatting>
  <conditionalFormatting sqref="AT70">
    <cfRule type="cellIs" dxfId="550" priority="141385" stopIfTrue="1" operator="lessThan">
      <formula>0.5</formula>
    </cfRule>
  </conditionalFormatting>
  <conditionalFormatting sqref="AT70">
    <cfRule type="cellIs" dxfId="549" priority="141386" stopIfTrue="1" operator="greaterThanOrEqual">
      <formula>0.5</formula>
    </cfRule>
  </conditionalFormatting>
  <conditionalFormatting sqref="AT71">
    <cfRule type="cellIs" dxfId="548" priority="141387" stopIfTrue="1" operator="equal">
      <formula>-1</formula>
    </cfRule>
  </conditionalFormatting>
  <conditionalFormatting sqref="AT71">
    <cfRule type="cellIs" dxfId="547" priority="141388" stopIfTrue="1" operator="lessThan">
      <formula>0.5</formula>
    </cfRule>
  </conditionalFormatting>
  <conditionalFormatting sqref="AT71">
    <cfRule type="cellIs" dxfId="546" priority="141389" stopIfTrue="1" operator="greaterThanOrEqual">
      <formula>0.5</formula>
    </cfRule>
  </conditionalFormatting>
  <conditionalFormatting sqref="AT72">
    <cfRule type="cellIs" dxfId="545" priority="141390" stopIfTrue="1" operator="equal">
      <formula>-1</formula>
    </cfRule>
  </conditionalFormatting>
  <conditionalFormatting sqref="AT72">
    <cfRule type="cellIs" dxfId="544" priority="141391" stopIfTrue="1" operator="lessThan">
      <formula>0.5</formula>
    </cfRule>
  </conditionalFormatting>
  <conditionalFormatting sqref="AT72">
    <cfRule type="cellIs" dxfId="543" priority="141392" stopIfTrue="1" operator="greaterThanOrEqual">
      <formula>0.5</formula>
    </cfRule>
  </conditionalFormatting>
  <conditionalFormatting sqref="AT73">
    <cfRule type="cellIs" dxfId="542" priority="141393" stopIfTrue="1" operator="equal">
      <formula>-1</formula>
    </cfRule>
  </conditionalFormatting>
  <conditionalFormatting sqref="AT73">
    <cfRule type="cellIs" dxfId="541" priority="141394" stopIfTrue="1" operator="lessThan">
      <formula>0.5</formula>
    </cfRule>
  </conditionalFormatting>
  <conditionalFormatting sqref="AT73">
    <cfRule type="cellIs" dxfId="540" priority="141395" stopIfTrue="1" operator="greaterThanOrEqual">
      <formula>0.5</formula>
    </cfRule>
  </conditionalFormatting>
  <conditionalFormatting sqref="AT74">
    <cfRule type="cellIs" dxfId="539" priority="141396" stopIfTrue="1" operator="equal">
      <formula>-1</formula>
    </cfRule>
  </conditionalFormatting>
  <conditionalFormatting sqref="AT74">
    <cfRule type="cellIs" dxfId="538" priority="141397" stopIfTrue="1" operator="lessThan">
      <formula>0.5</formula>
    </cfRule>
  </conditionalFormatting>
  <conditionalFormatting sqref="AT74">
    <cfRule type="cellIs" dxfId="537" priority="141398" stopIfTrue="1" operator="greaterThanOrEqual">
      <formula>0.5</formula>
    </cfRule>
  </conditionalFormatting>
  <conditionalFormatting sqref="AT75">
    <cfRule type="cellIs" dxfId="536" priority="141399" stopIfTrue="1" operator="equal">
      <formula>-1</formula>
    </cfRule>
  </conditionalFormatting>
  <conditionalFormatting sqref="AT75">
    <cfRule type="cellIs" dxfId="535" priority="141400" stopIfTrue="1" operator="lessThan">
      <formula>0.5</formula>
    </cfRule>
  </conditionalFormatting>
  <conditionalFormatting sqref="AT75">
    <cfRule type="cellIs" dxfId="534" priority="141401" stopIfTrue="1" operator="greaterThanOrEqual">
      <formula>0.5</formula>
    </cfRule>
  </conditionalFormatting>
  <conditionalFormatting sqref="AT76">
    <cfRule type="cellIs" dxfId="533" priority="141402" stopIfTrue="1" operator="equal">
      <formula>-1</formula>
    </cfRule>
  </conditionalFormatting>
  <conditionalFormatting sqref="AT76">
    <cfRule type="cellIs" dxfId="532" priority="141403" stopIfTrue="1" operator="lessThan">
      <formula>0.5</formula>
    </cfRule>
  </conditionalFormatting>
  <conditionalFormatting sqref="AT76">
    <cfRule type="cellIs" dxfId="531" priority="141404" stopIfTrue="1" operator="greaterThanOrEqual">
      <formula>0.5</formula>
    </cfRule>
  </conditionalFormatting>
  <conditionalFormatting sqref="AT77">
    <cfRule type="cellIs" dxfId="530" priority="141405" stopIfTrue="1" operator="equal">
      <formula>-1</formula>
    </cfRule>
  </conditionalFormatting>
  <conditionalFormatting sqref="AT77">
    <cfRule type="cellIs" dxfId="529" priority="141406" stopIfTrue="1" operator="lessThan">
      <formula>0.5</formula>
    </cfRule>
  </conditionalFormatting>
  <conditionalFormatting sqref="AT77">
    <cfRule type="cellIs" dxfId="528" priority="141407" stopIfTrue="1" operator="greaterThanOrEqual">
      <formula>0.5</formula>
    </cfRule>
  </conditionalFormatting>
  <conditionalFormatting sqref="AT78">
    <cfRule type="cellIs" dxfId="527" priority="141408" stopIfTrue="1" operator="equal">
      <formula>-1</formula>
    </cfRule>
  </conditionalFormatting>
  <conditionalFormatting sqref="AT78">
    <cfRule type="cellIs" dxfId="526" priority="141409" stopIfTrue="1" operator="lessThan">
      <formula>0.5</formula>
    </cfRule>
  </conditionalFormatting>
  <conditionalFormatting sqref="AT78">
    <cfRule type="cellIs" dxfId="525" priority="141410" stopIfTrue="1" operator="greaterThanOrEqual">
      <formula>0.5</formula>
    </cfRule>
  </conditionalFormatting>
  <conditionalFormatting sqref="AT79">
    <cfRule type="cellIs" dxfId="524" priority="141411" stopIfTrue="1" operator="equal">
      <formula>-1</formula>
    </cfRule>
  </conditionalFormatting>
  <conditionalFormatting sqref="AT79">
    <cfRule type="cellIs" dxfId="523" priority="141412" stopIfTrue="1" operator="lessThan">
      <formula>0.5</formula>
    </cfRule>
  </conditionalFormatting>
  <conditionalFormatting sqref="AT79">
    <cfRule type="cellIs" dxfId="522" priority="141413" stopIfTrue="1" operator="greaterThanOrEqual">
      <formula>0.5</formula>
    </cfRule>
  </conditionalFormatting>
  <conditionalFormatting sqref="AT80">
    <cfRule type="cellIs" dxfId="521" priority="141414" stopIfTrue="1" operator="equal">
      <formula>-1</formula>
    </cfRule>
  </conditionalFormatting>
  <conditionalFormatting sqref="AT80">
    <cfRule type="cellIs" dxfId="520" priority="141415" stopIfTrue="1" operator="lessThan">
      <formula>0.5</formula>
    </cfRule>
  </conditionalFormatting>
  <conditionalFormatting sqref="AT80">
    <cfRule type="cellIs" dxfId="519" priority="141416" stopIfTrue="1" operator="greaterThanOrEqual">
      <formula>0.5</formula>
    </cfRule>
  </conditionalFormatting>
  <conditionalFormatting sqref="AT81">
    <cfRule type="cellIs" dxfId="518" priority="141417" stopIfTrue="1" operator="equal">
      <formula>-1</formula>
    </cfRule>
  </conditionalFormatting>
  <conditionalFormatting sqref="AT81">
    <cfRule type="cellIs" dxfId="517" priority="141418" stopIfTrue="1" operator="lessThan">
      <formula>0.5</formula>
    </cfRule>
  </conditionalFormatting>
  <conditionalFormatting sqref="AT81">
    <cfRule type="cellIs" dxfId="516" priority="141419" stopIfTrue="1" operator="greaterThanOrEqual">
      <formula>0.5</formula>
    </cfRule>
  </conditionalFormatting>
  <conditionalFormatting sqref="AT82">
    <cfRule type="cellIs" dxfId="515" priority="141420" stopIfTrue="1" operator="equal">
      <formula>-1</formula>
    </cfRule>
  </conditionalFormatting>
  <conditionalFormatting sqref="AT82">
    <cfRule type="cellIs" dxfId="514" priority="141421" stopIfTrue="1" operator="lessThan">
      <formula>0.5</formula>
    </cfRule>
  </conditionalFormatting>
  <conditionalFormatting sqref="AT82">
    <cfRule type="cellIs" dxfId="513" priority="141422" stopIfTrue="1" operator="greaterThanOrEqual">
      <formula>0.5</formula>
    </cfRule>
  </conditionalFormatting>
  <conditionalFormatting sqref="AT83">
    <cfRule type="cellIs" dxfId="512" priority="141423" stopIfTrue="1" operator="equal">
      <formula>-1</formula>
    </cfRule>
  </conditionalFormatting>
  <conditionalFormatting sqref="AT83">
    <cfRule type="cellIs" dxfId="511" priority="141424" stopIfTrue="1" operator="lessThan">
      <formula>0.5</formula>
    </cfRule>
  </conditionalFormatting>
  <conditionalFormatting sqref="AT83">
    <cfRule type="cellIs" dxfId="510" priority="141425" stopIfTrue="1" operator="greaterThanOrEqual">
      <formula>0.5</formula>
    </cfRule>
  </conditionalFormatting>
  <conditionalFormatting sqref="AT84">
    <cfRule type="cellIs" dxfId="509" priority="141426" stopIfTrue="1" operator="equal">
      <formula>-1</formula>
    </cfRule>
  </conditionalFormatting>
  <conditionalFormatting sqref="AT84">
    <cfRule type="cellIs" dxfId="508" priority="141427" stopIfTrue="1" operator="lessThan">
      <formula>0.5</formula>
    </cfRule>
  </conditionalFormatting>
  <conditionalFormatting sqref="AT84">
    <cfRule type="cellIs" dxfId="507" priority="141428" stopIfTrue="1" operator="greaterThanOrEqual">
      <formula>0.5</formula>
    </cfRule>
  </conditionalFormatting>
  <conditionalFormatting sqref="AT85">
    <cfRule type="cellIs" dxfId="506" priority="141429" stopIfTrue="1" operator="equal">
      <formula>-1</formula>
    </cfRule>
  </conditionalFormatting>
  <conditionalFormatting sqref="AT85">
    <cfRule type="cellIs" dxfId="505" priority="141430" stopIfTrue="1" operator="lessThan">
      <formula>0.5</formula>
    </cfRule>
  </conditionalFormatting>
  <conditionalFormatting sqref="AT85">
    <cfRule type="cellIs" dxfId="504" priority="141431" stopIfTrue="1" operator="greaterThanOrEqual">
      <formula>0.5</formula>
    </cfRule>
  </conditionalFormatting>
  <conditionalFormatting sqref="AV65">
    <cfRule type="cellIs" dxfId="503" priority="141432" stopIfTrue="1" operator="equal">
      <formula>-1</formula>
    </cfRule>
  </conditionalFormatting>
  <conditionalFormatting sqref="AV65">
    <cfRule type="cellIs" dxfId="502" priority="141433" stopIfTrue="1" operator="lessThan">
      <formula>0.5</formula>
    </cfRule>
  </conditionalFormatting>
  <conditionalFormatting sqref="AV65">
    <cfRule type="cellIs" dxfId="501" priority="141434" stopIfTrue="1" operator="greaterThanOrEqual">
      <formula>0.5</formula>
    </cfRule>
  </conditionalFormatting>
  <conditionalFormatting sqref="AV66">
    <cfRule type="cellIs" dxfId="500" priority="141435" stopIfTrue="1" operator="equal">
      <formula>-1</formula>
    </cfRule>
  </conditionalFormatting>
  <conditionalFormatting sqref="AV66">
    <cfRule type="cellIs" dxfId="499" priority="141436" stopIfTrue="1" operator="lessThan">
      <formula>0.5</formula>
    </cfRule>
  </conditionalFormatting>
  <conditionalFormatting sqref="AV66">
    <cfRule type="cellIs" dxfId="498" priority="141437" stopIfTrue="1" operator="greaterThanOrEqual">
      <formula>0.5</formula>
    </cfRule>
  </conditionalFormatting>
  <conditionalFormatting sqref="AV67">
    <cfRule type="cellIs" dxfId="497" priority="141438" stopIfTrue="1" operator="equal">
      <formula>-1</formula>
    </cfRule>
  </conditionalFormatting>
  <conditionalFormatting sqref="AV67">
    <cfRule type="cellIs" dxfId="496" priority="141439" stopIfTrue="1" operator="lessThan">
      <formula>0.5</formula>
    </cfRule>
  </conditionalFormatting>
  <conditionalFormatting sqref="AV67">
    <cfRule type="cellIs" dxfId="495" priority="141440" stopIfTrue="1" operator="greaterThanOrEqual">
      <formula>0.5</formula>
    </cfRule>
  </conditionalFormatting>
  <conditionalFormatting sqref="AV68">
    <cfRule type="cellIs" dxfId="494" priority="141441" stopIfTrue="1" operator="equal">
      <formula>-1</formula>
    </cfRule>
  </conditionalFormatting>
  <conditionalFormatting sqref="AV68">
    <cfRule type="cellIs" dxfId="493" priority="141442" stopIfTrue="1" operator="lessThan">
      <formula>0.5</formula>
    </cfRule>
  </conditionalFormatting>
  <conditionalFormatting sqref="AV68">
    <cfRule type="cellIs" dxfId="492" priority="141443" stopIfTrue="1" operator="greaterThanOrEqual">
      <formula>0.5</formula>
    </cfRule>
  </conditionalFormatting>
  <conditionalFormatting sqref="AV69">
    <cfRule type="cellIs" dxfId="491" priority="141444" stopIfTrue="1" operator="equal">
      <formula>-1</formula>
    </cfRule>
  </conditionalFormatting>
  <conditionalFormatting sqref="AV69">
    <cfRule type="cellIs" dxfId="490" priority="141445" stopIfTrue="1" operator="lessThan">
      <formula>0.5</formula>
    </cfRule>
  </conditionalFormatting>
  <conditionalFormatting sqref="AV69">
    <cfRule type="cellIs" dxfId="489" priority="141446" stopIfTrue="1" operator="greaterThanOrEqual">
      <formula>0.5</formula>
    </cfRule>
  </conditionalFormatting>
  <conditionalFormatting sqref="AV70">
    <cfRule type="cellIs" dxfId="488" priority="141447" stopIfTrue="1" operator="equal">
      <formula>-1</formula>
    </cfRule>
  </conditionalFormatting>
  <conditionalFormatting sqref="AV70">
    <cfRule type="cellIs" dxfId="487" priority="141448" stopIfTrue="1" operator="lessThan">
      <formula>0.5</formula>
    </cfRule>
  </conditionalFormatting>
  <conditionalFormatting sqref="AV70">
    <cfRule type="cellIs" dxfId="486" priority="141449" stopIfTrue="1" operator="greaterThanOrEqual">
      <formula>0.5</formula>
    </cfRule>
  </conditionalFormatting>
  <conditionalFormatting sqref="AV71">
    <cfRule type="cellIs" dxfId="485" priority="141450" stopIfTrue="1" operator="equal">
      <formula>-1</formula>
    </cfRule>
  </conditionalFormatting>
  <conditionalFormatting sqref="AV71">
    <cfRule type="cellIs" dxfId="484" priority="141451" stopIfTrue="1" operator="lessThan">
      <formula>0.5</formula>
    </cfRule>
  </conditionalFormatting>
  <conditionalFormatting sqref="AV71">
    <cfRule type="cellIs" dxfId="483" priority="141452" stopIfTrue="1" operator="greaterThanOrEqual">
      <formula>0.5</formula>
    </cfRule>
  </conditionalFormatting>
  <conditionalFormatting sqref="AV72">
    <cfRule type="cellIs" dxfId="482" priority="141453" stopIfTrue="1" operator="equal">
      <formula>-1</formula>
    </cfRule>
  </conditionalFormatting>
  <conditionalFormatting sqref="AV72">
    <cfRule type="cellIs" dxfId="481" priority="141454" stopIfTrue="1" operator="lessThan">
      <formula>0.5</formula>
    </cfRule>
  </conditionalFormatting>
  <conditionalFormatting sqref="AV72">
    <cfRule type="cellIs" dxfId="480" priority="141455" stopIfTrue="1" operator="greaterThanOrEqual">
      <formula>0.5</formula>
    </cfRule>
  </conditionalFormatting>
  <conditionalFormatting sqref="AV73">
    <cfRule type="cellIs" dxfId="479" priority="141456" stopIfTrue="1" operator="equal">
      <formula>-1</formula>
    </cfRule>
  </conditionalFormatting>
  <conditionalFormatting sqref="AV73">
    <cfRule type="cellIs" dxfId="478" priority="141457" stopIfTrue="1" operator="lessThan">
      <formula>0.5</formula>
    </cfRule>
  </conditionalFormatting>
  <conditionalFormatting sqref="AV73">
    <cfRule type="cellIs" dxfId="477" priority="141458" stopIfTrue="1" operator="greaterThanOrEqual">
      <formula>0.5</formula>
    </cfRule>
  </conditionalFormatting>
  <conditionalFormatting sqref="AV74">
    <cfRule type="cellIs" dxfId="476" priority="141459" stopIfTrue="1" operator="equal">
      <formula>-1</formula>
    </cfRule>
  </conditionalFormatting>
  <conditionalFormatting sqref="AV74">
    <cfRule type="cellIs" dxfId="475" priority="141460" stopIfTrue="1" operator="lessThan">
      <formula>0.5</formula>
    </cfRule>
  </conditionalFormatting>
  <conditionalFormatting sqref="AV74">
    <cfRule type="cellIs" dxfId="474" priority="141461" stopIfTrue="1" operator="greaterThanOrEqual">
      <formula>0.5</formula>
    </cfRule>
  </conditionalFormatting>
  <conditionalFormatting sqref="AV75">
    <cfRule type="cellIs" dxfId="473" priority="141462" stopIfTrue="1" operator="equal">
      <formula>-1</formula>
    </cfRule>
  </conditionalFormatting>
  <conditionalFormatting sqref="AV75">
    <cfRule type="cellIs" dxfId="472" priority="141463" stopIfTrue="1" operator="lessThan">
      <formula>0.5</formula>
    </cfRule>
  </conditionalFormatting>
  <conditionalFormatting sqref="AV75">
    <cfRule type="cellIs" dxfId="471" priority="141464" stopIfTrue="1" operator="greaterThanOrEqual">
      <formula>0.5</formula>
    </cfRule>
  </conditionalFormatting>
  <conditionalFormatting sqref="AV76">
    <cfRule type="cellIs" dxfId="470" priority="141465" stopIfTrue="1" operator="equal">
      <formula>-1</formula>
    </cfRule>
  </conditionalFormatting>
  <conditionalFormatting sqref="AV76">
    <cfRule type="cellIs" dxfId="469" priority="141466" stopIfTrue="1" operator="lessThan">
      <formula>0.5</formula>
    </cfRule>
  </conditionalFormatting>
  <conditionalFormatting sqref="AV76">
    <cfRule type="cellIs" dxfId="468" priority="141467" stopIfTrue="1" operator="greaterThanOrEqual">
      <formula>0.5</formula>
    </cfRule>
  </conditionalFormatting>
  <conditionalFormatting sqref="AV77">
    <cfRule type="cellIs" dxfId="467" priority="141468" stopIfTrue="1" operator="equal">
      <formula>-1</formula>
    </cfRule>
  </conditionalFormatting>
  <conditionalFormatting sqref="AV77">
    <cfRule type="cellIs" dxfId="466" priority="141469" stopIfTrue="1" operator="lessThan">
      <formula>0.5</formula>
    </cfRule>
  </conditionalFormatting>
  <conditionalFormatting sqref="AV77">
    <cfRule type="cellIs" dxfId="465" priority="141470" stopIfTrue="1" operator="greaterThanOrEqual">
      <formula>0.5</formula>
    </cfRule>
  </conditionalFormatting>
  <conditionalFormatting sqref="AV78">
    <cfRule type="cellIs" dxfId="464" priority="141471" stopIfTrue="1" operator="equal">
      <formula>-1</formula>
    </cfRule>
  </conditionalFormatting>
  <conditionalFormatting sqref="AV78">
    <cfRule type="cellIs" dxfId="463" priority="141472" stopIfTrue="1" operator="lessThan">
      <formula>0.5</formula>
    </cfRule>
  </conditionalFormatting>
  <conditionalFormatting sqref="AV78">
    <cfRule type="cellIs" dxfId="462" priority="141473" stopIfTrue="1" operator="greaterThanOrEqual">
      <formula>0.5</formula>
    </cfRule>
  </conditionalFormatting>
  <conditionalFormatting sqref="AV79">
    <cfRule type="cellIs" dxfId="461" priority="141474" stopIfTrue="1" operator="equal">
      <formula>-1</formula>
    </cfRule>
  </conditionalFormatting>
  <conditionalFormatting sqref="AV79">
    <cfRule type="cellIs" dxfId="460" priority="141475" stopIfTrue="1" operator="lessThan">
      <formula>0.5</formula>
    </cfRule>
  </conditionalFormatting>
  <conditionalFormatting sqref="AV79">
    <cfRule type="cellIs" dxfId="459" priority="141476" stopIfTrue="1" operator="greaterThanOrEqual">
      <formula>0.5</formula>
    </cfRule>
  </conditionalFormatting>
  <conditionalFormatting sqref="AV80">
    <cfRule type="cellIs" dxfId="458" priority="141477" stopIfTrue="1" operator="equal">
      <formula>-1</formula>
    </cfRule>
  </conditionalFormatting>
  <conditionalFormatting sqref="AV80">
    <cfRule type="cellIs" dxfId="457" priority="141478" stopIfTrue="1" operator="lessThan">
      <formula>0.5</formula>
    </cfRule>
  </conditionalFormatting>
  <conditionalFormatting sqref="AV80">
    <cfRule type="cellIs" dxfId="456" priority="141479" stopIfTrue="1" operator="greaterThanOrEqual">
      <formula>0.5</formula>
    </cfRule>
  </conditionalFormatting>
  <conditionalFormatting sqref="AV81">
    <cfRule type="cellIs" dxfId="455" priority="141480" stopIfTrue="1" operator="equal">
      <formula>-1</formula>
    </cfRule>
  </conditionalFormatting>
  <conditionalFormatting sqref="AV81">
    <cfRule type="cellIs" dxfId="454" priority="141481" stopIfTrue="1" operator="lessThan">
      <formula>0.5</formula>
    </cfRule>
  </conditionalFormatting>
  <conditionalFormatting sqref="AV81">
    <cfRule type="cellIs" dxfId="453" priority="141482" stopIfTrue="1" operator="greaterThanOrEqual">
      <formula>0.5</formula>
    </cfRule>
  </conditionalFormatting>
  <conditionalFormatting sqref="AV82">
    <cfRule type="cellIs" dxfId="452" priority="141483" stopIfTrue="1" operator="equal">
      <formula>-1</formula>
    </cfRule>
  </conditionalFormatting>
  <conditionalFormatting sqref="AV82">
    <cfRule type="cellIs" dxfId="451" priority="141484" stopIfTrue="1" operator="lessThan">
      <formula>0.5</formula>
    </cfRule>
  </conditionalFormatting>
  <conditionalFormatting sqref="AV82">
    <cfRule type="cellIs" dxfId="450" priority="141485" stopIfTrue="1" operator="greaterThanOrEqual">
      <formula>0.5</formula>
    </cfRule>
  </conditionalFormatting>
  <conditionalFormatting sqref="AV83">
    <cfRule type="cellIs" dxfId="449" priority="141486" stopIfTrue="1" operator="equal">
      <formula>-1</formula>
    </cfRule>
  </conditionalFormatting>
  <conditionalFormatting sqref="AV83">
    <cfRule type="cellIs" dxfId="448" priority="141487" stopIfTrue="1" operator="lessThan">
      <formula>0.5</formula>
    </cfRule>
  </conditionalFormatting>
  <conditionalFormatting sqref="AV83">
    <cfRule type="cellIs" dxfId="447" priority="141488" stopIfTrue="1" operator="greaterThanOrEqual">
      <formula>0.5</formula>
    </cfRule>
  </conditionalFormatting>
  <conditionalFormatting sqref="AV84">
    <cfRule type="cellIs" dxfId="446" priority="141489" stopIfTrue="1" operator="equal">
      <formula>-1</formula>
    </cfRule>
  </conditionalFormatting>
  <conditionalFormatting sqref="AV84">
    <cfRule type="cellIs" dxfId="445" priority="141490" stopIfTrue="1" operator="lessThan">
      <formula>0.5</formula>
    </cfRule>
  </conditionalFormatting>
  <conditionalFormatting sqref="AV84">
    <cfRule type="cellIs" dxfId="444" priority="141491" stopIfTrue="1" operator="greaterThanOrEqual">
      <formula>0.5</formula>
    </cfRule>
  </conditionalFormatting>
  <conditionalFormatting sqref="AV85">
    <cfRule type="cellIs" dxfId="443" priority="141492" stopIfTrue="1" operator="equal">
      <formula>-1</formula>
    </cfRule>
  </conditionalFormatting>
  <conditionalFormatting sqref="AV85">
    <cfRule type="cellIs" dxfId="442" priority="141493" stopIfTrue="1" operator="lessThan">
      <formula>0.5</formula>
    </cfRule>
  </conditionalFormatting>
  <conditionalFormatting sqref="AV85">
    <cfRule type="cellIs" dxfId="441" priority="141494" stopIfTrue="1" operator="greaterThanOrEqual">
      <formula>0.5</formula>
    </cfRule>
  </conditionalFormatting>
  <conditionalFormatting sqref="AX65">
    <cfRule type="cellIs" dxfId="440" priority="141495" stopIfTrue="1" operator="equal">
      <formula>-1</formula>
    </cfRule>
  </conditionalFormatting>
  <conditionalFormatting sqref="AX65">
    <cfRule type="cellIs" dxfId="439" priority="141496" stopIfTrue="1" operator="lessThan">
      <formula>0.5</formula>
    </cfRule>
  </conditionalFormatting>
  <conditionalFormatting sqref="AX65">
    <cfRule type="cellIs" dxfId="438" priority="141497" stopIfTrue="1" operator="greaterThanOrEqual">
      <formula>0.5</formula>
    </cfRule>
  </conditionalFormatting>
  <conditionalFormatting sqref="AX66">
    <cfRule type="cellIs" dxfId="437" priority="141498" stopIfTrue="1" operator="equal">
      <formula>-1</formula>
    </cfRule>
  </conditionalFormatting>
  <conditionalFormatting sqref="AX66">
    <cfRule type="cellIs" dxfId="436" priority="141499" stopIfTrue="1" operator="lessThan">
      <formula>0.5</formula>
    </cfRule>
  </conditionalFormatting>
  <conditionalFormatting sqref="AX66">
    <cfRule type="cellIs" dxfId="435" priority="141500" stopIfTrue="1" operator="greaterThanOrEqual">
      <formula>0.5</formula>
    </cfRule>
  </conditionalFormatting>
  <conditionalFormatting sqref="AX67">
    <cfRule type="cellIs" dxfId="434" priority="141501" stopIfTrue="1" operator="equal">
      <formula>-1</formula>
    </cfRule>
  </conditionalFormatting>
  <conditionalFormatting sqref="AX67">
    <cfRule type="cellIs" dxfId="433" priority="141502" stopIfTrue="1" operator="lessThan">
      <formula>0.5</formula>
    </cfRule>
  </conditionalFormatting>
  <conditionalFormatting sqref="AX67">
    <cfRule type="cellIs" dxfId="432" priority="141503" stopIfTrue="1" operator="greaterThanOrEqual">
      <formula>0.5</formula>
    </cfRule>
  </conditionalFormatting>
  <conditionalFormatting sqref="AX68">
    <cfRule type="cellIs" dxfId="431" priority="141504" stopIfTrue="1" operator="equal">
      <formula>-1</formula>
    </cfRule>
  </conditionalFormatting>
  <conditionalFormatting sqref="AX68">
    <cfRule type="cellIs" dxfId="430" priority="141505" stopIfTrue="1" operator="lessThan">
      <formula>0.5</formula>
    </cfRule>
  </conditionalFormatting>
  <conditionalFormatting sqref="AX68">
    <cfRule type="cellIs" dxfId="429" priority="141506" stopIfTrue="1" operator="greaterThanOrEqual">
      <formula>0.5</formula>
    </cfRule>
  </conditionalFormatting>
  <conditionalFormatting sqref="AX69">
    <cfRule type="cellIs" dxfId="428" priority="141507" stopIfTrue="1" operator="equal">
      <formula>-1</formula>
    </cfRule>
  </conditionalFormatting>
  <conditionalFormatting sqref="AX69">
    <cfRule type="cellIs" dxfId="427" priority="141508" stopIfTrue="1" operator="lessThan">
      <formula>0.5</formula>
    </cfRule>
  </conditionalFormatting>
  <conditionalFormatting sqref="AX69">
    <cfRule type="cellIs" dxfId="426" priority="141509" stopIfTrue="1" operator="greaterThanOrEqual">
      <formula>0.5</formula>
    </cfRule>
  </conditionalFormatting>
  <conditionalFormatting sqref="AX70">
    <cfRule type="cellIs" dxfId="425" priority="141510" stopIfTrue="1" operator="equal">
      <formula>-1</formula>
    </cfRule>
  </conditionalFormatting>
  <conditionalFormatting sqref="AX70">
    <cfRule type="cellIs" dxfId="424" priority="141511" stopIfTrue="1" operator="lessThan">
      <formula>0.5</formula>
    </cfRule>
  </conditionalFormatting>
  <conditionalFormatting sqref="AX70">
    <cfRule type="cellIs" dxfId="423" priority="141512" stopIfTrue="1" operator="greaterThanOrEqual">
      <formula>0.5</formula>
    </cfRule>
  </conditionalFormatting>
  <conditionalFormatting sqref="AX71">
    <cfRule type="cellIs" dxfId="422" priority="141513" stopIfTrue="1" operator="equal">
      <formula>-1</formula>
    </cfRule>
  </conditionalFormatting>
  <conditionalFormatting sqref="AX71">
    <cfRule type="cellIs" dxfId="421" priority="141514" stopIfTrue="1" operator="lessThan">
      <formula>0.5</formula>
    </cfRule>
  </conditionalFormatting>
  <conditionalFormatting sqref="AX71">
    <cfRule type="cellIs" dxfId="420" priority="141515" stopIfTrue="1" operator="greaterThanOrEqual">
      <formula>0.5</formula>
    </cfRule>
  </conditionalFormatting>
  <conditionalFormatting sqref="AX72">
    <cfRule type="cellIs" dxfId="419" priority="141516" stopIfTrue="1" operator="equal">
      <formula>-1</formula>
    </cfRule>
  </conditionalFormatting>
  <conditionalFormatting sqref="AX72">
    <cfRule type="cellIs" dxfId="418" priority="141517" stopIfTrue="1" operator="lessThan">
      <formula>0.5</formula>
    </cfRule>
  </conditionalFormatting>
  <conditionalFormatting sqref="AX72">
    <cfRule type="cellIs" dxfId="417" priority="141518" stopIfTrue="1" operator="greaterThanOrEqual">
      <formula>0.5</formula>
    </cfRule>
  </conditionalFormatting>
  <conditionalFormatting sqref="AX73">
    <cfRule type="cellIs" dxfId="416" priority="141519" stopIfTrue="1" operator="equal">
      <formula>-1</formula>
    </cfRule>
  </conditionalFormatting>
  <conditionalFormatting sqref="AX73">
    <cfRule type="cellIs" dxfId="415" priority="141520" stopIfTrue="1" operator="lessThan">
      <formula>0.5</formula>
    </cfRule>
  </conditionalFormatting>
  <conditionalFormatting sqref="AX73">
    <cfRule type="cellIs" dxfId="414" priority="141521" stopIfTrue="1" operator="greaterThanOrEqual">
      <formula>0.5</formula>
    </cfRule>
  </conditionalFormatting>
  <conditionalFormatting sqref="AX74">
    <cfRule type="cellIs" dxfId="413" priority="141522" stopIfTrue="1" operator="equal">
      <formula>-1</formula>
    </cfRule>
  </conditionalFormatting>
  <conditionalFormatting sqref="AX74">
    <cfRule type="cellIs" dxfId="412" priority="141523" stopIfTrue="1" operator="lessThan">
      <formula>0.5</formula>
    </cfRule>
  </conditionalFormatting>
  <conditionalFormatting sqref="AX74">
    <cfRule type="cellIs" dxfId="411" priority="141524" stopIfTrue="1" operator="greaterThanOrEqual">
      <formula>0.5</formula>
    </cfRule>
  </conditionalFormatting>
  <conditionalFormatting sqref="AX75">
    <cfRule type="cellIs" dxfId="410" priority="141525" stopIfTrue="1" operator="equal">
      <formula>-1</formula>
    </cfRule>
  </conditionalFormatting>
  <conditionalFormatting sqref="AX75">
    <cfRule type="cellIs" dxfId="409" priority="141526" stopIfTrue="1" operator="lessThan">
      <formula>0.5</formula>
    </cfRule>
  </conditionalFormatting>
  <conditionalFormatting sqref="AX75">
    <cfRule type="cellIs" dxfId="408" priority="141527" stopIfTrue="1" operator="greaterThanOrEqual">
      <formula>0.5</formula>
    </cfRule>
  </conditionalFormatting>
  <conditionalFormatting sqref="AX76">
    <cfRule type="cellIs" dxfId="407" priority="141528" stopIfTrue="1" operator="equal">
      <formula>-1</formula>
    </cfRule>
  </conditionalFormatting>
  <conditionalFormatting sqref="AX76">
    <cfRule type="cellIs" dxfId="406" priority="141529" stopIfTrue="1" operator="lessThan">
      <formula>0.5</formula>
    </cfRule>
  </conditionalFormatting>
  <conditionalFormatting sqref="AX76">
    <cfRule type="cellIs" dxfId="405" priority="141530" stopIfTrue="1" operator="greaterThanOrEqual">
      <formula>0.5</formula>
    </cfRule>
  </conditionalFormatting>
  <conditionalFormatting sqref="AX77">
    <cfRule type="cellIs" dxfId="404" priority="141531" stopIfTrue="1" operator="equal">
      <formula>-1</formula>
    </cfRule>
  </conditionalFormatting>
  <conditionalFormatting sqref="AX77">
    <cfRule type="cellIs" dxfId="403" priority="141532" stopIfTrue="1" operator="lessThan">
      <formula>0.5</formula>
    </cfRule>
  </conditionalFormatting>
  <conditionalFormatting sqref="AX77">
    <cfRule type="cellIs" dxfId="402" priority="141533" stopIfTrue="1" operator="greaterThanOrEqual">
      <formula>0.5</formula>
    </cfRule>
  </conditionalFormatting>
  <conditionalFormatting sqref="AX78">
    <cfRule type="cellIs" dxfId="401" priority="141534" stopIfTrue="1" operator="equal">
      <formula>-1</formula>
    </cfRule>
  </conditionalFormatting>
  <conditionalFormatting sqref="AX78">
    <cfRule type="cellIs" dxfId="400" priority="141535" stopIfTrue="1" operator="lessThan">
      <formula>0.5</formula>
    </cfRule>
  </conditionalFormatting>
  <conditionalFormatting sqref="AX78">
    <cfRule type="cellIs" dxfId="399" priority="141536" stopIfTrue="1" operator="greaterThanOrEqual">
      <formula>0.5</formula>
    </cfRule>
  </conditionalFormatting>
  <conditionalFormatting sqref="AX79">
    <cfRule type="cellIs" dxfId="398" priority="141537" stopIfTrue="1" operator="equal">
      <formula>-1</formula>
    </cfRule>
  </conditionalFormatting>
  <conditionalFormatting sqref="AX79">
    <cfRule type="cellIs" dxfId="397" priority="141538" stopIfTrue="1" operator="lessThan">
      <formula>0.5</formula>
    </cfRule>
  </conditionalFormatting>
  <conditionalFormatting sqref="AX79">
    <cfRule type="cellIs" dxfId="396" priority="141539" stopIfTrue="1" operator="greaterThanOrEqual">
      <formula>0.5</formula>
    </cfRule>
  </conditionalFormatting>
  <conditionalFormatting sqref="AX80">
    <cfRule type="cellIs" dxfId="395" priority="141540" stopIfTrue="1" operator="equal">
      <formula>-1</formula>
    </cfRule>
  </conditionalFormatting>
  <conditionalFormatting sqref="AX80">
    <cfRule type="cellIs" dxfId="394" priority="141541" stopIfTrue="1" operator="lessThan">
      <formula>0.5</formula>
    </cfRule>
  </conditionalFormatting>
  <conditionalFormatting sqref="AX80">
    <cfRule type="cellIs" dxfId="393" priority="141542" stopIfTrue="1" operator="greaterThanOrEqual">
      <formula>0.5</formula>
    </cfRule>
  </conditionalFormatting>
  <conditionalFormatting sqref="AX81">
    <cfRule type="cellIs" dxfId="392" priority="141543" stopIfTrue="1" operator="equal">
      <formula>-1</formula>
    </cfRule>
  </conditionalFormatting>
  <conditionalFormatting sqref="AX81">
    <cfRule type="cellIs" dxfId="391" priority="141544" stopIfTrue="1" operator="lessThan">
      <formula>0.5</formula>
    </cfRule>
  </conditionalFormatting>
  <conditionalFormatting sqref="AX81">
    <cfRule type="cellIs" dxfId="390" priority="141545" stopIfTrue="1" operator="greaterThanOrEqual">
      <formula>0.5</formula>
    </cfRule>
  </conditionalFormatting>
  <conditionalFormatting sqref="AX82">
    <cfRule type="cellIs" dxfId="389" priority="141546" stopIfTrue="1" operator="equal">
      <formula>-1</formula>
    </cfRule>
  </conditionalFormatting>
  <conditionalFormatting sqref="AX82">
    <cfRule type="cellIs" dxfId="388" priority="141547" stopIfTrue="1" operator="lessThan">
      <formula>0.5</formula>
    </cfRule>
  </conditionalFormatting>
  <conditionalFormatting sqref="AX82">
    <cfRule type="cellIs" dxfId="387" priority="141548" stopIfTrue="1" operator="greaterThanOrEqual">
      <formula>0.5</formula>
    </cfRule>
  </conditionalFormatting>
  <conditionalFormatting sqref="AX83">
    <cfRule type="cellIs" dxfId="386" priority="141549" stopIfTrue="1" operator="equal">
      <formula>-1</formula>
    </cfRule>
  </conditionalFormatting>
  <conditionalFormatting sqref="AX83">
    <cfRule type="cellIs" dxfId="385" priority="141550" stopIfTrue="1" operator="lessThan">
      <formula>0.5</formula>
    </cfRule>
  </conditionalFormatting>
  <conditionalFormatting sqref="AX83">
    <cfRule type="cellIs" dxfId="384" priority="141551" stopIfTrue="1" operator="greaterThanOrEqual">
      <formula>0.5</formula>
    </cfRule>
  </conditionalFormatting>
  <conditionalFormatting sqref="AX84">
    <cfRule type="cellIs" dxfId="383" priority="141552" stopIfTrue="1" operator="equal">
      <formula>-1</formula>
    </cfRule>
  </conditionalFormatting>
  <conditionalFormatting sqref="AX84">
    <cfRule type="cellIs" dxfId="382" priority="141553" stopIfTrue="1" operator="lessThan">
      <formula>0.5</formula>
    </cfRule>
  </conditionalFormatting>
  <conditionalFormatting sqref="AX84">
    <cfRule type="cellIs" dxfId="381" priority="141554" stopIfTrue="1" operator="greaterThanOrEqual">
      <formula>0.5</formula>
    </cfRule>
  </conditionalFormatting>
  <conditionalFormatting sqref="AX85">
    <cfRule type="cellIs" dxfId="380" priority="141555" stopIfTrue="1" operator="equal">
      <formula>-1</formula>
    </cfRule>
  </conditionalFormatting>
  <conditionalFormatting sqref="AX85">
    <cfRule type="cellIs" dxfId="379" priority="141556" stopIfTrue="1" operator="lessThan">
      <formula>0.5</formula>
    </cfRule>
  </conditionalFormatting>
  <conditionalFormatting sqref="AX85">
    <cfRule type="cellIs" dxfId="378" priority="141557" stopIfTrue="1" operator="greaterThanOrEqual">
      <formula>0.5</formula>
    </cfRule>
  </conditionalFormatting>
  <conditionalFormatting sqref="AZ65">
    <cfRule type="cellIs" dxfId="377" priority="141558" stopIfTrue="1" operator="equal">
      <formula>-1</formula>
    </cfRule>
  </conditionalFormatting>
  <conditionalFormatting sqref="AZ65">
    <cfRule type="cellIs" dxfId="376" priority="141559" stopIfTrue="1" operator="lessThan">
      <formula>0.5</formula>
    </cfRule>
  </conditionalFormatting>
  <conditionalFormatting sqref="AZ65">
    <cfRule type="cellIs" dxfId="375" priority="141560" stopIfTrue="1" operator="greaterThanOrEqual">
      <formula>0.5</formula>
    </cfRule>
  </conditionalFormatting>
  <conditionalFormatting sqref="AZ66">
    <cfRule type="cellIs" dxfId="374" priority="141561" stopIfTrue="1" operator="equal">
      <formula>-1</formula>
    </cfRule>
  </conditionalFormatting>
  <conditionalFormatting sqref="AZ66">
    <cfRule type="cellIs" dxfId="373" priority="141562" stopIfTrue="1" operator="lessThan">
      <formula>0.5</formula>
    </cfRule>
  </conditionalFormatting>
  <conditionalFormatting sqref="AZ66">
    <cfRule type="cellIs" dxfId="372" priority="141563" stopIfTrue="1" operator="greaterThanOrEqual">
      <formula>0.5</formula>
    </cfRule>
  </conditionalFormatting>
  <conditionalFormatting sqref="AZ67">
    <cfRule type="cellIs" dxfId="371" priority="141564" stopIfTrue="1" operator="equal">
      <formula>-1</formula>
    </cfRule>
  </conditionalFormatting>
  <conditionalFormatting sqref="AZ67">
    <cfRule type="cellIs" dxfId="370" priority="141565" stopIfTrue="1" operator="lessThan">
      <formula>0.5</formula>
    </cfRule>
  </conditionalFormatting>
  <conditionalFormatting sqref="AZ67">
    <cfRule type="cellIs" dxfId="369" priority="141566" stopIfTrue="1" operator="greaterThanOrEqual">
      <formula>0.5</formula>
    </cfRule>
  </conditionalFormatting>
  <conditionalFormatting sqref="AZ68">
    <cfRule type="cellIs" dxfId="368" priority="141567" stopIfTrue="1" operator="equal">
      <formula>-1</formula>
    </cfRule>
  </conditionalFormatting>
  <conditionalFormatting sqref="AZ68">
    <cfRule type="cellIs" dxfId="367" priority="141568" stopIfTrue="1" operator="lessThan">
      <formula>0.5</formula>
    </cfRule>
  </conditionalFormatting>
  <conditionalFormatting sqref="AZ68">
    <cfRule type="cellIs" dxfId="366" priority="141569" stopIfTrue="1" operator="greaterThanOrEqual">
      <formula>0.5</formula>
    </cfRule>
  </conditionalFormatting>
  <conditionalFormatting sqref="AZ69">
    <cfRule type="cellIs" dxfId="365" priority="141570" stopIfTrue="1" operator="equal">
      <formula>-1</formula>
    </cfRule>
  </conditionalFormatting>
  <conditionalFormatting sqref="AZ69">
    <cfRule type="cellIs" dxfId="364" priority="141571" stopIfTrue="1" operator="lessThan">
      <formula>0.5</formula>
    </cfRule>
  </conditionalFormatting>
  <conditionalFormatting sqref="AZ69">
    <cfRule type="cellIs" dxfId="363" priority="141572" stopIfTrue="1" operator="greaterThanOrEqual">
      <formula>0.5</formula>
    </cfRule>
  </conditionalFormatting>
  <conditionalFormatting sqref="AZ70">
    <cfRule type="cellIs" dxfId="362" priority="141573" stopIfTrue="1" operator="equal">
      <formula>-1</formula>
    </cfRule>
  </conditionalFormatting>
  <conditionalFormatting sqref="AZ70">
    <cfRule type="cellIs" dxfId="361" priority="141574" stopIfTrue="1" operator="lessThan">
      <formula>0.5</formula>
    </cfRule>
  </conditionalFormatting>
  <conditionalFormatting sqref="AZ70">
    <cfRule type="cellIs" dxfId="360" priority="141575" stopIfTrue="1" operator="greaterThanOrEqual">
      <formula>0.5</formula>
    </cfRule>
  </conditionalFormatting>
  <conditionalFormatting sqref="AZ71">
    <cfRule type="cellIs" dxfId="359" priority="141576" stopIfTrue="1" operator="equal">
      <formula>-1</formula>
    </cfRule>
  </conditionalFormatting>
  <conditionalFormatting sqref="AZ71">
    <cfRule type="cellIs" dxfId="358" priority="141577" stopIfTrue="1" operator="lessThan">
      <formula>0.5</formula>
    </cfRule>
  </conditionalFormatting>
  <conditionalFormatting sqref="AZ71">
    <cfRule type="cellIs" dxfId="357" priority="141578" stopIfTrue="1" operator="greaterThanOrEqual">
      <formula>0.5</formula>
    </cfRule>
  </conditionalFormatting>
  <conditionalFormatting sqref="AZ72">
    <cfRule type="cellIs" dxfId="356" priority="141579" stopIfTrue="1" operator="equal">
      <formula>-1</formula>
    </cfRule>
  </conditionalFormatting>
  <conditionalFormatting sqref="AZ72">
    <cfRule type="cellIs" dxfId="355" priority="141580" stopIfTrue="1" operator="lessThan">
      <formula>0.5</formula>
    </cfRule>
  </conditionalFormatting>
  <conditionalFormatting sqref="AZ72">
    <cfRule type="cellIs" dxfId="354" priority="141581" stopIfTrue="1" operator="greaterThanOrEqual">
      <formula>0.5</formula>
    </cfRule>
  </conditionalFormatting>
  <conditionalFormatting sqref="AZ73">
    <cfRule type="cellIs" dxfId="353" priority="141582" stopIfTrue="1" operator="equal">
      <formula>-1</formula>
    </cfRule>
  </conditionalFormatting>
  <conditionalFormatting sqref="AZ73">
    <cfRule type="cellIs" dxfId="352" priority="141583" stopIfTrue="1" operator="lessThan">
      <formula>0.5</formula>
    </cfRule>
  </conditionalFormatting>
  <conditionalFormatting sqref="AZ73">
    <cfRule type="cellIs" dxfId="351" priority="141584" stopIfTrue="1" operator="greaterThanOrEqual">
      <formula>0.5</formula>
    </cfRule>
  </conditionalFormatting>
  <conditionalFormatting sqref="AZ74">
    <cfRule type="cellIs" dxfId="350" priority="141585" stopIfTrue="1" operator="equal">
      <formula>-1</formula>
    </cfRule>
  </conditionalFormatting>
  <conditionalFormatting sqref="AZ74">
    <cfRule type="cellIs" dxfId="349" priority="141586" stopIfTrue="1" operator="lessThan">
      <formula>0.5</formula>
    </cfRule>
  </conditionalFormatting>
  <conditionalFormatting sqref="AZ74">
    <cfRule type="cellIs" dxfId="348" priority="141587" stopIfTrue="1" operator="greaterThanOrEqual">
      <formula>0.5</formula>
    </cfRule>
  </conditionalFormatting>
  <conditionalFormatting sqref="AZ75">
    <cfRule type="cellIs" dxfId="347" priority="141588" stopIfTrue="1" operator="equal">
      <formula>-1</formula>
    </cfRule>
  </conditionalFormatting>
  <conditionalFormatting sqref="AZ75">
    <cfRule type="cellIs" dxfId="346" priority="141589" stopIfTrue="1" operator="lessThan">
      <formula>0.5</formula>
    </cfRule>
  </conditionalFormatting>
  <conditionalFormatting sqref="AZ75">
    <cfRule type="cellIs" dxfId="345" priority="141590" stopIfTrue="1" operator="greaterThanOrEqual">
      <formula>0.5</formula>
    </cfRule>
  </conditionalFormatting>
  <conditionalFormatting sqref="AZ76">
    <cfRule type="cellIs" dxfId="344" priority="141591" stopIfTrue="1" operator="equal">
      <formula>-1</formula>
    </cfRule>
  </conditionalFormatting>
  <conditionalFormatting sqref="AZ76">
    <cfRule type="cellIs" dxfId="343" priority="141592" stopIfTrue="1" operator="lessThan">
      <formula>0.5</formula>
    </cfRule>
  </conditionalFormatting>
  <conditionalFormatting sqref="AZ76">
    <cfRule type="cellIs" dxfId="342" priority="141593" stopIfTrue="1" operator="greaterThanOrEqual">
      <formula>0.5</formula>
    </cfRule>
  </conditionalFormatting>
  <conditionalFormatting sqref="AZ77">
    <cfRule type="cellIs" dxfId="341" priority="141594" stopIfTrue="1" operator="equal">
      <formula>-1</formula>
    </cfRule>
  </conditionalFormatting>
  <conditionalFormatting sqref="AZ77">
    <cfRule type="cellIs" dxfId="340" priority="141595" stopIfTrue="1" operator="lessThan">
      <formula>0.5</formula>
    </cfRule>
  </conditionalFormatting>
  <conditionalFormatting sqref="AZ77">
    <cfRule type="cellIs" dxfId="339" priority="141596" stopIfTrue="1" operator="greaterThanOrEqual">
      <formula>0.5</formula>
    </cfRule>
  </conditionalFormatting>
  <conditionalFormatting sqref="AZ78">
    <cfRule type="cellIs" dxfId="338" priority="141597" stopIfTrue="1" operator="equal">
      <formula>-1</formula>
    </cfRule>
  </conditionalFormatting>
  <conditionalFormatting sqref="AZ78">
    <cfRule type="cellIs" dxfId="337" priority="141598" stopIfTrue="1" operator="lessThan">
      <formula>0.5</formula>
    </cfRule>
  </conditionalFormatting>
  <conditionalFormatting sqref="AZ78">
    <cfRule type="cellIs" dxfId="336" priority="141599" stopIfTrue="1" operator="greaterThanOrEqual">
      <formula>0.5</formula>
    </cfRule>
  </conditionalFormatting>
  <conditionalFormatting sqref="AZ79">
    <cfRule type="cellIs" dxfId="335" priority="141600" stopIfTrue="1" operator="equal">
      <formula>-1</formula>
    </cfRule>
  </conditionalFormatting>
  <conditionalFormatting sqref="AZ79">
    <cfRule type="cellIs" dxfId="334" priority="141601" stopIfTrue="1" operator="lessThan">
      <formula>0.5</formula>
    </cfRule>
  </conditionalFormatting>
  <conditionalFormatting sqref="AZ79">
    <cfRule type="cellIs" dxfId="333" priority="141602" stopIfTrue="1" operator="greaterThanOrEqual">
      <formula>0.5</formula>
    </cfRule>
  </conditionalFormatting>
  <conditionalFormatting sqref="AZ80">
    <cfRule type="cellIs" dxfId="332" priority="141603" stopIfTrue="1" operator="equal">
      <formula>-1</formula>
    </cfRule>
  </conditionalFormatting>
  <conditionalFormatting sqref="AZ80">
    <cfRule type="cellIs" dxfId="331" priority="141604" stopIfTrue="1" operator="lessThan">
      <formula>0.5</formula>
    </cfRule>
  </conditionalFormatting>
  <conditionalFormatting sqref="AZ80">
    <cfRule type="cellIs" dxfId="330" priority="141605" stopIfTrue="1" operator="greaterThanOrEqual">
      <formula>0.5</formula>
    </cfRule>
  </conditionalFormatting>
  <conditionalFormatting sqref="AZ81">
    <cfRule type="cellIs" dxfId="329" priority="141606" stopIfTrue="1" operator="equal">
      <formula>-1</formula>
    </cfRule>
  </conditionalFormatting>
  <conditionalFormatting sqref="AZ81">
    <cfRule type="cellIs" dxfId="328" priority="141607" stopIfTrue="1" operator="lessThan">
      <formula>0.5</formula>
    </cfRule>
  </conditionalFormatting>
  <conditionalFormatting sqref="AZ81">
    <cfRule type="cellIs" dxfId="327" priority="141608" stopIfTrue="1" operator="greaterThanOrEqual">
      <formula>0.5</formula>
    </cfRule>
  </conditionalFormatting>
  <conditionalFormatting sqref="AZ82">
    <cfRule type="cellIs" dxfId="326" priority="141609" stopIfTrue="1" operator="equal">
      <formula>-1</formula>
    </cfRule>
  </conditionalFormatting>
  <conditionalFormatting sqref="AZ82">
    <cfRule type="cellIs" dxfId="325" priority="141610" stopIfTrue="1" operator="lessThan">
      <formula>0.5</formula>
    </cfRule>
  </conditionalFormatting>
  <conditionalFormatting sqref="AZ82">
    <cfRule type="cellIs" dxfId="324" priority="141611" stopIfTrue="1" operator="greaterThanOrEqual">
      <formula>0.5</formula>
    </cfRule>
  </conditionalFormatting>
  <conditionalFormatting sqref="AZ83">
    <cfRule type="cellIs" dxfId="323" priority="141612" stopIfTrue="1" operator="equal">
      <formula>-1</formula>
    </cfRule>
  </conditionalFormatting>
  <conditionalFormatting sqref="AZ83">
    <cfRule type="cellIs" dxfId="322" priority="141613" stopIfTrue="1" operator="lessThan">
      <formula>0.5</formula>
    </cfRule>
  </conditionalFormatting>
  <conditionalFormatting sqref="AZ83">
    <cfRule type="cellIs" dxfId="321" priority="141614" stopIfTrue="1" operator="greaterThanOrEqual">
      <formula>0.5</formula>
    </cfRule>
  </conditionalFormatting>
  <conditionalFormatting sqref="AZ84">
    <cfRule type="cellIs" dxfId="320" priority="141615" stopIfTrue="1" operator="equal">
      <formula>-1</formula>
    </cfRule>
  </conditionalFormatting>
  <conditionalFormatting sqref="AZ84">
    <cfRule type="cellIs" dxfId="319" priority="141616" stopIfTrue="1" operator="lessThan">
      <formula>0.5</formula>
    </cfRule>
  </conditionalFormatting>
  <conditionalFormatting sqref="AZ84">
    <cfRule type="cellIs" dxfId="318" priority="141617" stopIfTrue="1" operator="greaterThanOrEqual">
      <formula>0.5</formula>
    </cfRule>
  </conditionalFormatting>
  <conditionalFormatting sqref="AZ85">
    <cfRule type="cellIs" dxfId="317" priority="141618" stopIfTrue="1" operator="equal">
      <formula>-1</formula>
    </cfRule>
  </conditionalFormatting>
  <conditionalFormatting sqref="AZ85">
    <cfRule type="cellIs" dxfId="316" priority="141619" stopIfTrue="1" operator="lessThan">
      <formula>0.5</formula>
    </cfRule>
  </conditionalFormatting>
  <conditionalFormatting sqref="AZ85">
    <cfRule type="cellIs" dxfId="315" priority="141620" stopIfTrue="1" operator="greaterThanOrEqual">
      <formula>0.5</formula>
    </cfRule>
  </conditionalFormatting>
  <conditionalFormatting sqref="BB65">
    <cfRule type="cellIs" dxfId="314" priority="141621" stopIfTrue="1" operator="equal">
      <formula>-1</formula>
    </cfRule>
  </conditionalFormatting>
  <conditionalFormatting sqref="BB65">
    <cfRule type="cellIs" dxfId="313" priority="141622" stopIfTrue="1" operator="lessThan">
      <formula>0.5</formula>
    </cfRule>
  </conditionalFormatting>
  <conditionalFormatting sqref="BB65">
    <cfRule type="cellIs" dxfId="312" priority="141623" stopIfTrue="1" operator="greaterThanOrEqual">
      <formula>0.5</formula>
    </cfRule>
  </conditionalFormatting>
  <conditionalFormatting sqref="BB66">
    <cfRule type="cellIs" dxfId="311" priority="141624" stopIfTrue="1" operator="equal">
      <formula>-1</formula>
    </cfRule>
  </conditionalFormatting>
  <conditionalFormatting sqref="BB66">
    <cfRule type="cellIs" dxfId="310" priority="141625" stopIfTrue="1" operator="lessThan">
      <formula>0.5</formula>
    </cfRule>
  </conditionalFormatting>
  <conditionalFormatting sqref="BB66">
    <cfRule type="cellIs" dxfId="309" priority="141626" stopIfTrue="1" operator="greaterThanOrEqual">
      <formula>0.5</formula>
    </cfRule>
  </conditionalFormatting>
  <conditionalFormatting sqref="BB67">
    <cfRule type="cellIs" dxfId="308" priority="141627" stopIfTrue="1" operator="equal">
      <formula>-1</formula>
    </cfRule>
  </conditionalFormatting>
  <conditionalFormatting sqref="BB67">
    <cfRule type="cellIs" dxfId="307" priority="141628" stopIfTrue="1" operator="lessThan">
      <formula>0.5</formula>
    </cfRule>
  </conditionalFormatting>
  <conditionalFormatting sqref="BB67">
    <cfRule type="cellIs" dxfId="306" priority="141629" stopIfTrue="1" operator="greaterThanOrEqual">
      <formula>0.5</formula>
    </cfRule>
  </conditionalFormatting>
  <conditionalFormatting sqref="BB68">
    <cfRule type="cellIs" dxfId="305" priority="141630" stopIfTrue="1" operator="equal">
      <formula>-1</formula>
    </cfRule>
  </conditionalFormatting>
  <conditionalFormatting sqref="BB68">
    <cfRule type="cellIs" dxfId="304" priority="141631" stopIfTrue="1" operator="lessThan">
      <formula>0.5</formula>
    </cfRule>
  </conditionalFormatting>
  <conditionalFormatting sqref="BB68">
    <cfRule type="cellIs" dxfId="303" priority="141632" stopIfTrue="1" operator="greaterThanOrEqual">
      <formula>0.5</formula>
    </cfRule>
  </conditionalFormatting>
  <conditionalFormatting sqref="BB69">
    <cfRule type="cellIs" dxfId="302" priority="141633" stopIfTrue="1" operator="equal">
      <formula>-1</formula>
    </cfRule>
  </conditionalFormatting>
  <conditionalFormatting sqref="BB69">
    <cfRule type="cellIs" dxfId="301" priority="141634" stopIfTrue="1" operator="lessThan">
      <formula>0.5</formula>
    </cfRule>
  </conditionalFormatting>
  <conditionalFormatting sqref="BB69">
    <cfRule type="cellIs" dxfId="300" priority="141635" stopIfTrue="1" operator="greaterThanOrEqual">
      <formula>0.5</formula>
    </cfRule>
  </conditionalFormatting>
  <conditionalFormatting sqref="BB70">
    <cfRule type="cellIs" dxfId="299" priority="141636" stopIfTrue="1" operator="equal">
      <formula>-1</formula>
    </cfRule>
  </conditionalFormatting>
  <conditionalFormatting sqref="BB70">
    <cfRule type="cellIs" dxfId="298" priority="141637" stopIfTrue="1" operator="lessThan">
      <formula>0.5</formula>
    </cfRule>
  </conditionalFormatting>
  <conditionalFormatting sqref="BB70">
    <cfRule type="cellIs" dxfId="297" priority="141638" stopIfTrue="1" operator="greaterThanOrEqual">
      <formula>0.5</formula>
    </cfRule>
  </conditionalFormatting>
  <conditionalFormatting sqref="BB71">
    <cfRule type="cellIs" dxfId="296" priority="141639" stopIfTrue="1" operator="equal">
      <formula>-1</formula>
    </cfRule>
  </conditionalFormatting>
  <conditionalFormatting sqref="BB71">
    <cfRule type="cellIs" dxfId="295" priority="141640" stopIfTrue="1" operator="lessThan">
      <formula>0.5</formula>
    </cfRule>
  </conditionalFormatting>
  <conditionalFormatting sqref="BB71">
    <cfRule type="cellIs" dxfId="294" priority="141641" stopIfTrue="1" operator="greaterThanOrEqual">
      <formula>0.5</formula>
    </cfRule>
  </conditionalFormatting>
  <conditionalFormatting sqref="BB72">
    <cfRule type="cellIs" dxfId="293" priority="141642" stopIfTrue="1" operator="equal">
      <formula>-1</formula>
    </cfRule>
  </conditionalFormatting>
  <conditionalFormatting sqref="BB72">
    <cfRule type="cellIs" dxfId="292" priority="141643" stopIfTrue="1" operator="lessThan">
      <formula>0.5</formula>
    </cfRule>
  </conditionalFormatting>
  <conditionalFormatting sqref="BB72">
    <cfRule type="cellIs" dxfId="291" priority="141644" stopIfTrue="1" operator="greaterThanOrEqual">
      <formula>0.5</formula>
    </cfRule>
  </conditionalFormatting>
  <conditionalFormatting sqref="BB73">
    <cfRule type="cellIs" dxfId="290" priority="141645" stopIfTrue="1" operator="equal">
      <formula>-1</formula>
    </cfRule>
  </conditionalFormatting>
  <conditionalFormatting sqref="BB73">
    <cfRule type="cellIs" dxfId="289" priority="141646" stopIfTrue="1" operator="lessThan">
      <formula>0.5</formula>
    </cfRule>
  </conditionalFormatting>
  <conditionalFormatting sqref="BB73">
    <cfRule type="cellIs" dxfId="288" priority="141647" stopIfTrue="1" operator="greaterThanOrEqual">
      <formula>0.5</formula>
    </cfRule>
  </conditionalFormatting>
  <conditionalFormatting sqref="BB74">
    <cfRule type="cellIs" dxfId="287" priority="141648" stopIfTrue="1" operator="equal">
      <formula>-1</formula>
    </cfRule>
  </conditionalFormatting>
  <conditionalFormatting sqref="BB74">
    <cfRule type="cellIs" dxfId="286" priority="141649" stopIfTrue="1" operator="lessThan">
      <formula>0.5</formula>
    </cfRule>
  </conditionalFormatting>
  <conditionalFormatting sqref="BB74">
    <cfRule type="cellIs" dxfId="285" priority="141650" stopIfTrue="1" operator="greaterThanOrEqual">
      <formula>0.5</formula>
    </cfRule>
  </conditionalFormatting>
  <conditionalFormatting sqref="BB75">
    <cfRule type="cellIs" dxfId="284" priority="141651" stopIfTrue="1" operator="equal">
      <formula>-1</formula>
    </cfRule>
  </conditionalFormatting>
  <conditionalFormatting sqref="BB75">
    <cfRule type="cellIs" dxfId="283" priority="141652" stopIfTrue="1" operator="lessThan">
      <formula>0.5</formula>
    </cfRule>
  </conditionalFormatting>
  <conditionalFormatting sqref="BB75">
    <cfRule type="cellIs" dxfId="282" priority="141653" stopIfTrue="1" operator="greaterThanOrEqual">
      <formula>0.5</formula>
    </cfRule>
  </conditionalFormatting>
  <conditionalFormatting sqref="BB76">
    <cfRule type="cellIs" dxfId="281" priority="141654" stopIfTrue="1" operator="equal">
      <formula>-1</formula>
    </cfRule>
  </conditionalFormatting>
  <conditionalFormatting sqref="BB76">
    <cfRule type="cellIs" dxfId="280" priority="141655" stopIfTrue="1" operator="lessThan">
      <formula>0.5</formula>
    </cfRule>
  </conditionalFormatting>
  <conditionalFormatting sqref="BB76">
    <cfRule type="cellIs" dxfId="279" priority="141656" stopIfTrue="1" operator="greaterThanOrEqual">
      <formula>0.5</formula>
    </cfRule>
  </conditionalFormatting>
  <conditionalFormatting sqref="BB77">
    <cfRule type="cellIs" dxfId="278" priority="141657" stopIfTrue="1" operator="equal">
      <formula>-1</formula>
    </cfRule>
  </conditionalFormatting>
  <conditionalFormatting sqref="BB77">
    <cfRule type="cellIs" dxfId="277" priority="141658" stopIfTrue="1" operator="lessThan">
      <formula>0.5</formula>
    </cfRule>
  </conditionalFormatting>
  <conditionalFormatting sqref="BB77">
    <cfRule type="cellIs" dxfId="276" priority="141659" stopIfTrue="1" operator="greaterThanOrEqual">
      <formula>0.5</formula>
    </cfRule>
  </conditionalFormatting>
  <conditionalFormatting sqref="BB78">
    <cfRule type="cellIs" dxfId="275" priority="141660" stopIfTrue="1" operator="equal">
      <formula>-1</formula>
    </cfRule>
  </conditionalFormatting>
  <conditionalFormatting sqref="BB78">
    <cfRule type="cellIs" dxfId="274" priority="141661" stopIfTrue="1" operator="lessThan">
      <formula>0.5</formula>
    </cfRule>
  </conditionalFormatting>
  <conditionalFormatting sqref="BB78">
    <cfRule type="cellIs" dxfId="273" priority="141662" stopIfTrue="1" operator="greaterThanOrEqual">
      <formula>0.5</formula>
    </cfRule>
  </conditionalFormatting>
  <conditionalFormatting sqref="BB79">
    <cfRule type="cellIs" dxfId="272" priority="141663" stopIfTrue="1" operator="equal">
      <formula>-1</formula>
    </cfRule>
  </conditionalFormatting>
  <conditionalFormatting sqref="BB79">
    <cfRule type="cellIs" dxfId="271" priority="141664" stopIfTrue="1" operator="lessThan">
      <formula>0.5</formula>
    </cfRule>
  </conditionalFormatting>
  <conditionalFormatting sqref="BB79">
    <cfRule type="cellIs" dxfId="270" priority="141665" stopIfTrue="1" operator="greaterThanOrEqual">
      <formula>0.5</formula>
    </cfRule>
  </conditionalFormatting>
  <conditionalFormatting sqref="BB80">
    <cfRule type="cellIs" dxfId="269" priority="141666" stopIfTrue="1" operator="equal">
      <formula>-1</formula>
    </cfRule>
  </conditionalFormatting>
  <conditionalFormatting sqref="BB80">
    <cfRule type="cellIs" dxfId="268" priority="141667" stopIfTrue="1" operator="lessThan">
      <formula>0.5</formula>
    </cfRule>
  </conditionalFormatting>
  <conditionalFormatting sqref="BB80">
    <cfRule type="cellIs" dxfId="267" priority="141668" stopIfTrue="1" operator="greaterThanOrEqual">
      <formula>0.5</formula>
    </cfRule>
  </conditionalFormatting>
  <conditionalFormatting sqref="BB81">
    <cfRule type="cellIs" dxfId="266" priority="141669" stopIfTrue="1" operator="equal">
      <formula>-1</formula>
    </cfRule>
  </conditionalFormatting>
  <conditionalFormatting sqref="BB81">
    <cfRule type="cellIs" dxfId="265" priority="141670" stopIfTrue="1" operator="lessThan">
      <formula>0.5</formula>
    </cfRule>
  </conditionalFormatting>
  <conditionalFormatting sqref="BB81">
    <cfRule type="cellIs" dxfId="264" priority="141671" stopIfTrue="1" operator="greaterThanOrEqual">
      <formula>0.5</formula>
    </cfRule>
  </conditionalFormatting>
  <conditionalFormatting sqref="BB82">
    <cfRule type="cellIs" dxfId="263" priority="141672" stopIfTrue="1" operator="equal">
      <formula>-1</formula>
    </cfRule>
  </conditionalFormatting>
  <conditionalFormatting sqref="BB82">
    <cfRule type="cellIs" dxfId="262" priority="141673" stopIfTrue="1" operator="lessThan">
      <formula>0.5</formula>
    </cfRule>
  </conditionalFormatting>
  <conditionalFormatting sqref="BB82">
    <cfRule type="cellIs" dxfId="261" priority="141674" stopIfTrue="1" operator="greaterThanOrEqual">
      <formula>0.5</formula>
    </cfRule>
  </conditionalFormatting>
  <conditionalFormatting sqref="BB83">
    <cfRule type="cellIs" dxfId="260" priority="141675" stopIfTrue="1" operator="equal">
      <formula>-1</formula>
    </cfRule>
  </conditionalFormatting>
  <conditionalFormatting sqref="BB83">
    <cfRule type="cellIs" dxfId="259" priority="141676" stopIfTrue="1" operator="lessThan">
      <formula>0.5</formula>
    </cfRule>
  </conditionalFormatting>
  <conditionalFormatting sqref="BB83">
    <cfRule type="cellIs" dxfId="258" priority="141677" stopIfTrue="1" operator="greaterThanOrEqual">
      <formula>0.5</formula>
    </cfRule>
  </conditionalFormatting>
  <conditionalFormatting sqref="BB84">
    <cfRule type="cellIs" dxfId="257" priority="141678" stopIfTrue="1" operator="equal">
      <formula>-1</formula>
    </cfRule>
  </conditionalFormatting>
  <conditionalFormatting sqref="BB84">
    <cfRule type="cellIs" dxfId="256" priority="141679" stopIfTrue="1" operator="lessThan">
      <formula>0.5</formula>
    </cfRule>
  </conditionalFormatting>
  <conditionalFormatting sqref="BB84">
    <cfRule type="cellIs" dxfId="255" priority="141680" stopIfTrue="1" operator="greaterThanOrEqual">
      <formula>0.5</formula>
    </cfRule>
  </conditionalFormatting>
  <conditionalFormatting sqref="BB85">
    <cfRule type="cellIs" dxfId="254" priority="141681" stopIfTrue="1" operator="equal">
      <formula>-1</formula>
    </cfRule>
  </conditionalFormatting>
  <conditionalFormatting sqref="BB85">
    <cfRule type="cellIs" dxfId="253" priority="141682" stopIfTrue="1" operator="lessThan">
      <formula>0.5</formula>
    </cfRule>
  </conditionalFormatting>
  <conditionalFormatting sqref="BB85">
    <cfRule type="cellIs" dxfId="252" priority="141683" stopIfTrue="1" operator="greaterThanOrEqual">
      <formula>0.5</formula>
    </cfRule>
  </conditionalFormatting>
  <conditionalFormatting sqref="BD65">
    <cfRule type="cellIs" dxfId="251" priority="141684" stopIfTrue="1" operator="equal">
      <formula>-1</formula>
    </cfRule>
  </conditionalFormatting>
  <conditionalFormatting sqref="BD65">
    <cfRule type="cellIs" dxfId="250" priority="141685" stopIfTrue="1" operator="lessThan">
      <formula>0.5</formula>
    </cfRule>
  </conditionalFormatting>
  <conditionalFormatting sqref="BD65">
    <cfRule type="cellIs" dxfId="249" priority="141686" stopIfTrue="1" operator="greaterThanOrEqual">
      <formula>0.5</formula>
    </cfRule>
  </conditionalFormatting>
  <conditionalFormatting sqref="BD66">
    <cfRule type="cellIs" dxfId="248" priority="141687" stopIfTrue="1" operator="equal">
      <formula>-1</formula>
    </cfRule>
  </conditionalFormatting>
  <conditionalFormatting sqref="BD66">
    <cfRule type="cellIs" dxfId="247" priority="141688" stopIfTrue="1" operator="lessThan">
      <formula>0.5</formula>
    </cfRule>
  </conditionalFormatting>
  <conditionalFormatting sqref="BD66">
    <cfRule type="cellIs" dxfId="246" priority="141689" stopIfTrue="1" operator="greaterThanOrEqual">
      <formula>0.5</formula>
    </cfRule>
  </conditionalFormatting>
  <conditionalFormatting sqref="BD67">
    <cfRule type="cellIs" dxfId="245" priority="141690" stopIfTrue="1" operator="equal">
      <formula>-1</formula>
    </cfRule>
  </conditionalFormatting>
  <conditionalFormatting sqref="BD67">
    <cfRule type="cellIs" dxfId="244" priority="141691" stopIfTrue="1" operator="lessThan">
      <formula>0.5</formula>
    </cfRule>
  </conditionalFormatting>
  <conditionalFormatting sqref="BD67">
    <cfRule type="cellIs" dxfId="243" priority="141692" stopIfTrue="1" operator="greaterThanOrEqual">
      <formula>0.5</formula>
    </cfRule>
  </conditionalFormatting>
  <conditionalFormatting sqref="BD68">
    <cfRule type="cellIs" dxfId="242" priority="141693" stopIfTrue="1" operator="equal">
      <formula>-1</formula>
    </cfRule>
  </conditionalFormatting>
  <conditionalFormatting sqref="BD68">
    <cfRule type="cellIs" dxfId="241" priority="141694" stopIfTrue="1" operator="lessThan">
      <formula>0.5</formula>
    </cfRule>
  </conditionalFormatting>
  <conditionalFormatting sqref="BD68">
    <cfRule type="cellIs" dxfId="240" priority="141695" stopIfTrue="1" operator="greaterThanOrEqual">
      <formula>0.5</formula>
    </cfRule>
  </conditionalFormatting>
  <conditionalFormatting sqref="BD69">
    <cfRule type="cellIs" dxfId="239" priority="141696" stopIfTrue="1" operator="equal">
      <formula>-1</formula>
    </cfRule>
  </conditionalFormatting>
  <conditionalFormatting sqref="BD69">
    <cfRule type="cellIs" dxfId="238" priority="141697" stopIfTrue="1" operator="lessThan">
      <formula>0.5</formula>
    </cfRule>
  </conditionalFormatting>
  <conditionalFormatting sqref="BD69">
    <cfRule type="cellIs" dxfId="237" priority="141698" stopIfTrue="1" operator="greaterThanOrEqual">
      <formula>0.5</formula>
    </cfRule>
  </conditionalFormatting>
  <conditionalFormatting sqref="BD70">
    <cfRule type="cellIs" dxfId="236" priority="141699" stopIfTrue="1" operator="equal">
      <formula>-1</formula>
    </cfRule>
  </conditionalFormatting>
  <conditionalFormatting sqref="BD70">
    <cfRule type="cellIs" dxfId="235" priority="141700" stopIfTrue="1" operator="lessThan">
      <formula>0.5</formula>
    </cfRule>
  </conditionalFormatting>
  <conditionalFormatting sqref="BD70">
    <cfRule type="cellIs" dxfId="234" priority="141701" stopIfTrue="1" operator="greaterThanOrEqual">
      <formula>0.5</formula>
    </cfRule>
  </conditionalFormatting>
  <conditionalFormatting sqref="BD71">
    <cfRule type="cellIs" dxfId="233" priority="141702" stopIfTrue="1" operator="equal">
      <formula>-1</formula>
    </cfRule>
  </conditionalFormatting>
  <conditionalFormatting sqref="BD71">
    <cfRule type="cellIs" dxfId="232" priority="141703" stopIfTrue="1" operator="lessThan">
      <formula>0.5</formula>
    </cfRule>
  </conditionalFormatting>
  <conditionalFormatting sqref="BD71">
    <cfRule type="cellIs" dxfId="231" priority="141704" stopIfTrue="1" operator="greaterThanOrEqual">
      <formula>0.5</formula>
    </cfRule>
  </conditionalFormatting>
  <conditionalFormatting sqref="BD72">
    <cfRule type="cellIs" dxfId="230" priority="141705" stopIfTrue="1" operator="equal">
      <formula>-1</formula>
    </cfRule>
  </conditionalFormatting>
  <conditionalFormatting sqref="BD72">
    <cfRule type="cellIs" dxfId="229" priority="141706" stopIfTrue="1" operator="lessThan">
      <formula>0.5</formula>
    </cfRule>
  </conditionalFormatting>
  <conditionalFormatting sqref="BD72">
    <cfRule type="cellIs" dxfId="228" priority="141707" stopIfTrue="1" operator="greaterThanOrEqual">
      <formula>0.5</formula>
    </cfRule>
  </conditionalFormatting>
  <conditionalFormatting sqref="BD73">
    <cfRule type="cellIs" dxfId="227" priority="141708" stopIfTrue="1" operator="equal">
      <formula>-1</formula>
    </cfRule>
  </conditionalFormatting>
  <conditionalFormatting sqref="BD73">
    <cfRule type="cellIs" dxfId="226" priority="141709" stopIfTrue="1" operator="lessThan">
      <formula>0.5</formula>
    </cfRule>
  </conditionalFormatting>
  <conditionalFormatting sqref="BD73">
    <cfRule type="cellIs" dxfId="225" priority="141710" stopIfTrue="1" operator="greaterThanOrEqual">
      <formula>0.5</formula>
    </cfRule>
  </conditionalFormatting>
  <conditionalFormatting sqref="BD74">
    <cfRule type="cellIs" dxfId="224" priority="141711" stopIfTrue="1" operator="equal">
      <formula>-1</formula>
    </cfRule>
  </conditionalFormatting>
  <conditionalFormatting sqref="BD74">
    <cfRule type="cellIs" dxfId="223" priority="141712" stopIfTrue="1" operator="lessThan">
      <formula>0.5</formula>
    </cfRule>
  </conditionalFormatting>
  <conditionalFormatting sqref="BD74">
    <cfRule type="cellIs" dxfId="222" priority="141713" stopIfTrue="1" operator="greaterThanOrEqual">
      <formula>0.5</formula>
    </cfRule>
  </conditionalFormatting>
  <conditionalFormatting sqref="BD75">
    <cfRule type="cellIs" dxfId="221" priority="141714" stopIfTrue="1" operator="equal">
      <formula>-1</formula>
    </cfRule>
  </conditionalFormatting>
  <conditionalFormatting sqref="BD75">
    <cfRule type="cellIs" dxfId="220" priority="141715" stopIfTrue="1" operator="lessThan">
      <formula>0.5</formula>
    </cfRule>
  </conditionalFormatting>
  <conditionalFormatting sqref="BD75">
    <cfRule type="cellIs" dxfId="219" priority="141716" stopIfTrue="1" operator="greaterThanOrEqual">
      <formula>0.5</formula>
    </cfRule>
  </conditionalFormatting>
  <conditionalFormatting sqref="BD76">
    <cfRule type="cellIs" dxfId="218" priority="141717" stopIfTrue="1" operator="equal">
      <formula>-1</formula>
    </cfRule>
  </conditionalFormatting>
  <conditionalFormatting sqref="BD76">
    <cfRule type="cellIs" dxfId="217" priority="141718" stopIfTrue="1" operator="lessThan">
      <formula>0.5</formula>
    </cfRule>
  </conditionalFormatting>
  <conditionalFormatting sqref="BD76">
    <cfRule type="cellIs" dxfId="216" priority="141719" stopIfTrue="1" operator="greaterThanOrEqual">
      <formula>0.5</formula>
    </cfRule>
  </conditionalFormatting>
  <conditionalFormatting sqref="BD77">
    <cfRule type="cellIs" dxfId="215" priority="141720" stopIfTrue="1" operator="equal">
      <formula>-1</formula>
    </cfRule>
  </conditionalFormatting>
  <conditionalFormatting sqref="BD77">
    <cfRule type="cellIs" dxfId="214" priority="141721" stopIfTrue="1" operator="lessThan">
      <formula>0.5</formula>
    </cfRule>
  </conditionalFormatting>
  <conditionalFormatting sqref="BD77">
    <cfRule type="cellIs" dxfId="213" priority="141722" stopIfTrue="1" operator="greaterThanOrEqual">
      <formula>0.5</formula>
    </cfRule>
  </conditionalFormatting>
  <conditionalFormatting sqref="BD78">
    <cfRule type="cellIs" dxfId="212" priority="141723" stopIfTrue="1" operator="equal">
      <formula>-1</formula>
    </cfRule>
  </conditionalFormatting>
  <conditionalFormatting sqref="BD78">
    <cfRule type="cellIs" dxfId="211" priority="141724" stopIfTrue="1" operator="lessThan">
      <formula>0.5</formula>
    </cfRule>
  </conditionalFormatting>
  <conditionalFormatting sqref="BD78">
    <cfRule type="cellIs" dxfId="210" priority="141725" stopIfTrue="1" operator="greaterThanOrEqual">
      <formula>0.5</formula>
    </cfRule>
  </conditionalFormatting>
  <conditionalFormatting sqref="BD79">
    <cfRule type="cellIs" dxfId="209" priority="141726" stopIfTrue="1" operator="equal">
      <formula>-1</formula>
    </cfRule>
  </conditionalFormatting>
  <conditionalFormatting sqref="BD79">
    <cfRule type="cellIs" dxfId="208" priority="141727" stopIfTrue="1" operator="lessThan">
      <formula>0.5</formula>
    </cfRule>
  </conditionalFormatting>
  <conditionalFormatting sqref="BD79">
    <cfRule type="cellIs" dxfId="207" priority="141728" stopIfTrue="1" operator="greaterThanOrEqual">
      <formula>0.5</formula>
    </cfRule>
  </conditionalFormatting>
  <conditionalFormatting sqref="BD80">
    <cfRule type="cellIs" dxfId="206" priority="141729" stopIfTrue="1" operator="equal">
      <formula>-1</formula>
    </cfRule>
  </conditionalFormatting>
  <conditionalFormatting sqref="BD80">
    <cfRule type="cellIs" dxfId="205" priority="141730" stopIfTrue="1" operator="lessThan">
      <formula>0.5</formula>
    </cfRule>
  </conditionalFormatting>
  <conditionalFormatting sqref="BD80">
    <cfRule type="cellIs" dxfId="204" priority="141731" stopIfTrue="1" operator="greaterThanOrEqual">
      <formula>0.5</formula>
    </cfRule>
  </conditionalFormatting>
  <conditionalFormatting sqref="BD81">
    <cfRule type="cellIs" dxfId="203" priority="141732" stopIfTrue="1" operator="equal">
      <formula>-1</formula>
    </cfRule>
  </conditionalFormatting>
  <conditionalFormatting sqref="BD81">
    <cfRule type="cellIs" dxfId="202" priority="141733" stopIfTrue="1" operator="lessThan">
      <formula>0.5</formula>
    </cfRule>
  </conditionalFormatting>
  <conditionalFormatting sqref="BD81">
    <cfRule type="cellIs" dxfId="201" priority="141734" stopIfTrue="1" operator="greaterThanOrEqual">
      <formula>0.5</formula>
    </cfRule>
  </conditionalFormatting>
  <conditionalFormatting sqref="BD82">
    <cfRule type="cellIs" dxfId="200" priority="141735" stopIfTrue="1" operator="equal">
      <formula>-1</formula>
    </cfRule>
  </conditionalFormatting>
  <conditionalFormatting sqref="BD82">
    <cfRule type="cellIs" dxfId="199" priority="141736" stopIfTrue="1" operator="lessThan">
      <formula>0.5</formula>
    </cfRule>
  </conditionalFormatting>
  <conditionalFormatting sqref="BD82">
    <cfRule type="cellIs" dxfId="198" priority="141737" stopIfTrue="1" operator="greaterThanOrEqual">
      <formula>0.5</formula>
    </cfRule>
  </conditionalFormatting>
  <conditionalFormatting sqref="BD83">
    <cfRule type="cellIs" dxfId="197" priority="141738" stopIfTrue="1" operator="equal">
      <formula>-1</formula>
    </cfRule>
  </conditionalFormatting>
  <conditionalFormatting sqref="BD83">
    <cfRule type="cellIs" dxfId="196" priority="141739" stopIfTrue="1" operator="lessThan">
      <formula>0.5</formula>
    </cfRule>
  </conditionalFormatting>
  <conditionalFormatting sqref="BD83">
    <cfRule type="cellIs" dxfId="195" priority="141740" stopIfTrue="1" operator="greaterThanOrEqual">
      <formula>0.5</formula>
    </cfRule>
  </conditionalFormatting>
  <conditionalFormatting sqref="BD84">
    <cfRule type="cellIs" dxfId="194" priority="141741" stopIfTrue="1" operator="equal">
      <formula>-1</formula>
    </cfRule>
  </conditionalFormatting>
  <conditionalFormatting sqref="BD84">
    <cfRule type="cellIs" dxfId="193" priority="141742" stopIfTrue="1" operator="lessThan">
      <formula>0.5</formula>
    </cfRule>
  </conditionalFormatting>
  <conditionalFormatting sqref="BD84">
    <cfRule type="cellIs" dxfId="192" priority="141743" stopIfTrue="1" operator="greaterThanOrEqual">
      <formula>0.5</formula>
    </cfRule>
  </conditionalFormatting>
  <conditionalFormatting sqref="BD85">
    <cfRule type="cellIs" dxfId="191" priority="141744" stopIfTrue="1" operator="equal">
      <formula>-1</formula>
    </cfRule>
  </conditionalFormatting>
  <conditionalFormatting sqref="BD85">
    <cfRule type="cellIs" dxfId="190" priority="141745" stopIfTrue="1" operator="lessThan">
      <formula>0.5</formula>
    </cfRule>
  </conditionalFormatting>
  <conditionalFormatting sqref="BD85">
    <cfRule type="cellIs" dxfId="189" priority="141746" stopIfTrue="1" operator="greaterThanOrEqual">
      <formula>0.5</formula>
    </cfRule>
  </conditionalFormatting>
  <conditionalFormatting sqref="BF65">
    <cfRule type="cellIs" dxfId="188" priority="141747" stopIfTrue="1" operator="equal">
      <formula>-1</formula>
    </cfRule>
  </conditionalFormatting>
  <conditionalFormatting sqref="BF65">
    <cfRule type="cellIs" dxfId="187" priority="141748" stopIfTrue="1" operator="lessThan">
      <formula>0.5</formula>
    </cfRule>
  </conditionalFormatting>
  <conditionalFormatting sqref="BF65">
    <cfRule type="cellIs" dxfId="186" priority="141749" stopIfTrue="1" operator="greaterThanOrEqual">
      <formula>0.5</formula>
    </cfRule>
  </conditionalFormatting>
  <conditionalFormatting sqref="BF66">
    <cfRule type="cellIs" dxfId="185" priority="141750" stopIfTrue="1" operator="equal">
      <formula>-1</formula>
    </cfRule>
  </conditionalFormatting>
  <conditionalFormatting sqref="BF66">
    <cfRule type="cellIs" dxfId="184" priority="141751" stopIfTrue="1" operator="lessThan">
      <formula>0.5</formula>
    </cfRule>
  </conditionalFormatting>
  <conditionalFormatting sqref="BF66">
    <cfRule type="cellIs" dxfId="183" priority="141752" stopIfTrue="1" operator="greaterThanOrEqual">
      <formula>0.5</formula>
    </cfRule>
  </conditionalFormatting>
  <conditionalFormatting sqref="BF67">
    <cfRule type="cellIs" dxfId="182" priority="141753" stopIfTrue="1" operator="equal">
      <formula>-1</formula>
    </cfRule>
  </conditionalFormatting>
  <conditionalFormatting sqref="BF67">
    <cfRule type="cellIs" dxfId="181" priority="141754" stopIfTrue="1" operator="lessThan">
      <formula>0.5</formula>
    </cfRule>
  </conditionalFormatting>
  <conditionalFormatting sqref="BF67">
    <cfRule type="cellIs" dxfId="180" priority="141755" stopIfTrue="1" operator="greaterThanOrEqual">
      <formula>0.5</formula>
    </cfRule>
  </conditionalFormatting>
  <conditionalFormatting sqref="BF68">
    <cfRule type="cellIs" dxfId="179" priority="141756" stopIfTrue="1" operator="equal">
      <formula>-1</formula>
    </cfRule>
  </conditionalFormatting>
  <conditionalFormatting sqref="BF68">
    <cfRule type="cellIs" dxfId="178" priority="141757" stopIfTrue="1" operator="lessThan">
      <formula>0.5</formula>
    </cfRule>
  </conditionalFormatting>
  <conditionalFormatting sqref="BF68">
    <cfRule type="cellIs" dxfId="177" priority="141758" stopIfTrue="1" operator="greaterThanOrEqual">
      <formula>0.5</formula>
    </cfRule>
  </conditionalFormatting>
  <conditionalFormatting sqref="BF69">
    <cfRule type="cellIs" dxfId="176" priority="141759" stopIfTrue="1" operator="equal">
      <formula>-1</formula>
    </cfRule>
  </conditionalFormatting>
  <conditionalFormatting sqref="BF69">
    <cfRule type="cellIs" dxfId="175" priority="141760" stopIfTrue="1" operator="lessThan">
      <formula>0.5</formula>
    </cfRule>
  </conditionalFormatting>
  <conditionalFormatting sqref="BF69">
    <cfRule type="cellIs" dxfId="174" priority="141761" stopIfTrue="1" operator="greaterThanOrEqual">
      <formula>0.5</formula>
    </cfRule>
  </conditionalFormatting>
  <conditionalFormatting sqref="BF70">
    <cfRule type="cellIs" dxfId="173" priority="141762" stopIfTrue="1" operator="equal">
      <formula>-1</formula>
    </cfRule>
  </conditionalFormatting>
  <conditionalFormatting sqref="BF70">
    <cfRule type="cellIs" dxfId="172" priority="141763" stopIfTrue="1" operator="lessThan">
      <formula>0.5</formula>
    </cfRule>
  </conditionalFormatting>
  <conditionalFormatting sqref="BF70">
    <cfRule type="cellIs" dxfId="171" priority="141764" stopIfTrue="1" operator="greaterThanOrEqual">
      <formula>0.5</formula>
    </cfRule>
  </conditionalFormatting>
  <conditionalFormatting sqref="BF71">
    <cfRule type="cellIs" dxfId="170" priority="141765" stopIfTrue="1" operator="equal">
      <formula>-1</formula>
    </cfRule>
  </conditionalFormatting>
  <conditionalFormatting sqref="BF71">
    <cfRule type="cellIs" dxfId="169" priority="141766" stopIfTrue="1" operator="lessThan">
      <formula>0.5</formula>
    </cfRule>
  </conditionalFormatting>
  <conditionalFormatting sqref="BF71">
    <cfRule type="cellIs" dxfId="168" priority="141767" stopIfTrue="1" operator="greaterThanOrEqual">
      <formula>0.5</formula>
    </cfRule>
  </conditionalFormatting>
  <conditionalFormatting sqref="BF72">
    <cfRule type="cellIs" dxfId="167" priority="141768" stopIfTrue="1" operator="equal">
      <formula>-1</formula>
    </cfRule>
  </conditionalFormatting>
  <conditionalFormatting sqref="BF72">
    <cfRule type="cellIs" dxfId="166" priority="141769" stopIfTrue="1" operator="lessThan">
      <formula>0.5</formula>
    </cfRule>
  </conditionalFormatting>
  <conditionalFormatting sqref="BF72">
    <cfRule type="cellIs" dxfId="165" priority="141770" stopIfTrue="1" operator="greaterThanOrEqual">
      <formula>0.5</formula>
    </cfRule>
  </conditionalFormatting>
  <conditionalFormatting sqref="BF73">
    <cfRule type="cellIs" dxfId="164" priority="141771" stopIfTrue="1" operator="equal">
      <formula>-1</formula>
    </cfRule>
  </conditionalFormatting>
  <conditionalFormatting sqref="BF73">
    <cfRule type="cellIs" dxfId="163" priority="141772" stopIfTrue="1" operator="lessThan">
      <formula>0.5</formula>
    </cfRule>
  </conditionalFormatting>
  <conditionalFormatting sqref="BF73">
    <cfRule type="cellIs" dxfId="162" priority="141773" stopIfTrue="1" operator="greaterThanOrEqual">
      <formula>0.5</formula>
    </cfRule>
  </conditionalFormatting>
  <conditionalFormatting sqref="BF74">
    <cfRule type="cellIs" dxfId="161" priority="141774" stopIfTrue="1" operator="equal">
      <formula>-1</formula>
    </cfRule>
  </conditionalFormatting>
  <conditionalFormatting sqref="BF74">
    <cfRule type="cellIs" dxfId="160" priority="141775" stopIfTrue="1" operator="lessThan">
      <formula>0.5</formula>
    </cfRule>
  </conditionalFormatting>
  <conditionalFormatting sqref="BF74">
    <cfRule type="cellIs" dxfId="159" priority="141776" stopIfTrue="1" operator="greaterThanOrEqual">
      <formula>0.5</formula>
    </cfRule>
  </conditionalFormatting>
  <conditionalFormatting sqref="BF75">
    <cfRule type="cellIs" dxfId="158" priority="141777" stopIfTrue="1" operator="equal">
      <formula>-1</formula>
    </cfRule>
  </conditionalFormatting>
  <conditionalFormatting sqref="BF75">
    <cfRule type="cellIs" dxfId="157" priority="141778" stopIfTrue="1" operator="lessThan">
      <formula>0.5</formula>
    </cfRule>
  </conditionalFormatting>
  <conditionalFormatting sqref="BF75">
    <cfRule type="cellIs" dxfId="156" priority="141779" stopIfTrue="1" operator="greaterThanOrEqual">
      <formula>0.5</formula>
    </cfRule>
  </conditionalFormatting>
  <conditionalFormatting sqref="BF76">
    <cfRule type="cellIs" dxfId="155" priority="141780" stopIfTrue="1" operator="equal">
      <formula>-1</formula>
    </cfRule>
  </conditionalFormatting>
  <conditionalFormatting sqref="BF76">
    <cfRule type="cellIs" dxfId="154" priority="141781" stopIfTrue="1" operator="lessThan">
      <formula>0.5</formula>
    </cfRule>
  </conditionalFormatting>
  <conditionalFormatting sqref="BF76">
    <cfRule type="cellIs" dxfId="153" priority="141782" stopIfTrue="1" operator="greaterThanOrEqual">
      <formula>0.5</formula>
    </cfRule>
  </conditionalFormatting>
  <conditionalFormatting sqref="BF77">
    <cfRule type="cellIs" dxfId="152" priority="141783" stopIfTrue="1" operator="equal">
      <formula>-1</formula>
    </cfRule>
  </conditionalFormatting>
  <conditionalFormatting sqref="BF77">
    <cfRule type="cellIs" dxfId="151" priority="141784" stopIfTrue="1" operator="lessThan">
      <formula>0.5</formula>
    </cfRule>
  </conditionalFormatting>
  <conditionalFormatting sqref="BF77">
    <cfRule type="cellIs" dxfId="150" priority="141785" stopIfTrue="1" operator="greaterThanOrEqual">
      <formula>0.5</formula>
    </cfRule>
  </conditionalFormatting>
  <conditionalFormatting sqref="BF78">
    <cfRule type="cellIs" dxfId="149" priority="141786" stopIfTrue="1" operator="equal">
      <formula>-1</formula>
    </cfRule>
  </conditionalFormatting>
  <conditionalFormatting sqref="BF78">
    <cfRule type="cellIs" dxfId="148" priority="141787" stopIfTrue="1" operator="lessThan">
      <formula>0.5</formula>
    </cfRule>
  </conditionalFormatting>
  <conditionalFormatting sqref="BF78">
    <cfRule type="cellIs" dxfId="147" priority="141788" stopIfTrue="1" operator="greaterThanOrEqual">
      <formula>0.5</formula>
    </cfRule>
  </conditionalFormatting>
  <conditionalFormatting sqref="BF79">
    <cfRule type="cellIs" dxfId="146" priority="141789" stopIfTrue="1" operator="equal">
      <formula>-1</formula>
    </cfRule>
  </conditionalFormatting>
  <conditionalFormatting sqref="BF79">
    <cfRule type="cellIs" dxfId="145" priority="141790" stopIfTrue="1" operator="lessThan">
      <formula>0.5</formula>
    </cfRule>
  </conditionalFormatting>
  <conditionalFormatting sqref="BF79">
    <cfRule type="cellIs" dxfId="144" priority="141791" stopIfTrue="1" operator="greaterThanOrEqual">
      <formula>0.5</formula>
    </cfRule>
  </conditionalFormatting>
  <conditionalFormatting sqref="BF80">
    <cfRule type="cellIs" dxfId="143" priority="141792" stopIfTrue="1" operator="equal">
      <formula>-1</formula>
    </cfRule>
  </conditionalFormatting>
  <conditionalFormatting sqref="BF80">
    <cfRule type="cellIs" dxfId="142" priority="141793" stopIfTrue="1" operator="lessThan">
      <formula>0.5</formula>
    </cfRule>
  </conditionalFormatting>
  <conditionalFormatting sqref="BF80">
    <cfRule type="cellIs" dxfId="141" priority="141794" stopIfTrue="1" operator="greaterThanOrEqual">
      <formula>0.5</formula>
    </cfRule>
  </conditionalFormatting>
  <conditionalFormatting sqref="BF81">
    <cfRule type="cellIs" dxfId="140" priority="141795" stopIfTrue="1" operator="equal">
      <formula>-1</formula>
    </cfRule>
  </conditionalFormatting>
  <conditionalFormatting sqref="BF81">
    <cfRule type="cellIs" dxfId="139" priority="141796" stopIfTrue="1" operator="lessThan">
      <formula>0.5</formula>
    </cfRule>
  </conditionalFormatting>
  <conditionalFormatting sqref="BF81">
    <cfRule type="cellIs" dxfId="138" priority="141797" stopIfTrue="1" operator="greaterThanOrEqual">
      <formula>0.5</formula>
    </cfRule>
  </conditionalFormatting>
  <conditionalFormatting sqref="BF82">
    <cfRule type="cellIs" dxfId="137" priority="141798" stopIfTrue="1" operator="equal">
      <formula>-1</formula>
    </cfRule>
  </conditionalFormatting>
  <conditionalFormatting sqref="BF82">
    <cfRule type="cellIs" dxfId="136" priority="141799" stopIfTrue="1" operator="lessThan">
      <formula>0.5</formula>
    </cfRule>
  </conditionalFormatting>
  <conditionalFormatting sqref="BF82">
    <cfRule type="cellIs" dxfId="135" priority="141800" stopIfTrue="1" operator="greaterThanOrEqual">
      <formula>0.5</formula>
    </cfRule>
  </conditionalFormatting>
  <conditionalFormatting sqref="BF83">
    <cfRule type="cellIs" dxfId="134" priority="141801" stopIfTrue="1" operator="equal">
      <formula>-1</formula>
    </cfRule>
  </conditionalFormatting>
  <conditionalFormatting sqref="BF83">
    <cfRule type="cellIs" dxfId="133" priority="141802" stopIfTrue="1" operator="lessThan">
      <formula>0.5</formula>
    </cfRule>
  </conditionalFormatting>
  <conditionalFormatting sqref="BF83">
    <cfRule type="cellIs" dxfId="132" priority="141803" stopIfTrue="1" operator="greaterThanOrEqual">
      <formula>0.5</formula>
    </cfRule>
  </conditionalFormatting>
  <conditionalFormatting sqref="BF84">
    <cfRule type="cellIs" dxfId="131" priority="141804" stopIfTrue="1" operator="equal">
      <formula>-1</formula>
    </cfRule>
  </conditionalFormatting>
  <conditionalFormatting sqref="BF84">
    <cfRule type="cellIs" dxfId="130" priority="141805" stopIfTrue="1" operator="lessThan">
      <formula>0.5</formula>
    </cfRule>
  </conditionalFormatting>
  <conditionalFormatting sqref="BF84">
    <cfRule type="cellIs" dxfId="129" priority="141806" stopIfTrue="1" operator="greaterThanOrEqual">
      <formula>0.5</formula>
    </cfRule>
  </conditionalFormatting>
  <conditionalFormatting sqref="BF85">
    <cfRule type="cellIs" dxfId="128" priority="141807" stopIfTrue="1" operator="equal">
      <formula>-1</formula>
    </cfRule>
  </conditionalFormatting>
  <conditionalFormatting sqref="BF85">
    <cfRule type="cellIs" dxfId="127" priority="141808" stopIfTrue="1" operator="lessThan">
      <formula>0.5</formula>
    </cfRule>
  </conditionalFormatting>
  <conditionalFormatting sqref="BF85">
    <cfRule type="cellIs" dxfId="126" priority="141809" stopIfTrue="1" operator="greaterThanOrEqual">
      <formula>0.5</formula>
    </cfRule>
  </conditionalFormatting>
  <conditionalFormatting sqref="BH65">
    <cfRule type="cellIs" dxfId="125" priority="141810" stopIfTrue="1" operator="equal">
      <formula>-1</formula>
    </cfRule>
  </conditionalFormatting>
  <conditionalFormatting sqref="BH65">
    <cfRule type="cellIs" dxfId="124" priority="141811" stopIfTrue="1" operator="lessThan">
      <formula>0.5</formula>
    </cfRule>
  </conditionalFormatting>
  <conditionalFormatting sqref="BH65">
    <cfRule type="cellIs" dxfId="123" priority="141812" stopIfTrue="1" operator="greaterThanOrEqual">
      <formula>0.5</formula>
    </cfRule>
  </conditionalFormatting>
  <conditionalFormatting sqref="BH66">
    <cfRule type="cellIs" dxfId="122" priority="141813" stopIfTrue="1" operator="equal">
      <formula>-1</formula>
    </cfRule>
  </conditionalFormatting>
  <conditionalFormatting sqref="BH66">
    <cfRule type="cellIs" dxfId="121" priority="141814" stopIfTrue="1" operator="lessThan">
      <formula>0.5</formula>
    </cfRule>
  </conditionalFormatting>
  <conditionalFormatting sqref="BH66">
    <cfRule type="cellIs" dxfId="120" priority="141815" stopIfTrue="1" operator="greaterThanOrEqual">
      <formula>0.5</formula>
    </cfRule>
  </conditionalFormatting>
  <conditionalFormatting sqref="BH67">
    <cfRule type="cellIs" dxfId="119" priority="141816" stopIfTrue="1" operator="equal">
      <formula>-1</formula>
    </cfRule>
  </conditionalFormatting>
  <conditionalFormatting sqref="BH67">
    <cfRule type="cellIs" dxfId="118" priority="141817" stopIfTrue="1" operator="lessThan">
      <formula>0.5</formula>
    </cfRule>
  </conditionalFormatting>
  <conditionalFormatting sqref="BH67">
    <cfRule type="cellIs" dxfId="117" priority="141818" stopIfTrue="1" operator="greaterThanOrEqual">
      <formula>0.5</formula>
    </cfRule>
  </conditionalFormatting>
  <conditionalFormatting sqref="BH68">
    <cfRule type="cellIs" dxfId="116" priority="141819" stopIfTrue="1" operator="equal">
      <formula>-1</formula>
    </cfRule>
  </conditionalFormatting>
  <conditionalFormatting sqref="BH68">
    <cfRule type="cellIs" dxfId="115" priority="141820" stopIfTrue="1" operator="lessThan">
      <formula>0.5</formula>
    </cfRule>
  </conditionalFormatting>
  <conditionalFormatting sqref="BH68">
    <cfRule type="cellIs" dxfId="114" priority="141821" stopIfTrue="1" operator="greaterThanOrEqual">
      <formula>0.5</formula>
    </cfRule>
  </conditionalFormatting>
  <conditionalFormatting sqref="BH69">
    <cfRule type="cellIs" dxfId="113" priority="141822" stopIfTrue="1" operator="equal">
      <formula>-1</formula>
    </cfRule>
  </conditionalFormatting>
  <conditionalFormatting sqref="BH69">
    <cfRule type="cellIs" dxfId="112" priority="141823" stopIfTrue="1" operator="lessThan">
      <formula>0.5</formula>
    </cfRule>
  </conditionalFormatting>
  <conditionalFormatting sqref="BH69">
    <cfRule type="cellIs" dxfId="111" priority="141824" stopIfTrue="1" operator="greaterThanOrEqual">
      <formula>0.5</formula>
    </cfRule>
  </conditionalFormatting>
  <conditionalFormatting sqref="BH70">
    <cfRule type="cellIs" dxfId="110" priority="141825" stopIfTrue="1" operator="equal">
      <formula>-1</formula>
    </cfRule>
  </conditionalFormatting>
  <conditionalFormatting sqref="BH70">
    <cfRule type="cellIs" dxfId="109" priority="141826" stopIfTrue="1" operator="lessThan">
      <formula>0.5</formula>
    </cfRule>
  </conditionalFormatting>
  <conditionalFormatting sqref="BH70">
    <cfRule type="cellIs" dxfId="108" priority="141827" stopIfTrue="1" operator="greaterThanOrEqual">
      <formula>0.5</formula>
    </cfRule>
  </conditionalFormatting>
  <conditionalFormatting sqref="BH71">
    <cfRule type="cellIs" dxfId="107" priority="141828" stopIfTrue="1" operator="equal">
      <formula>-1</formula>
    </cfRule>
  </conditionalFormatting>
  <conditionalFormatting sqref="BH71">
    <cfRule type="cellIs" dxfId="106" priority="141829" stopIfTrue="1" operator="lessThan">
      <formula>0.5</formula>
    </cfRule>
  </conditionalFormatting>
  <conditionalFormatting sqref="BH71">
    <cfRule type="cellIs" dxfId="105" priority="141830" stopIfTrue="1" operator="greaterThanOrEqual">
      <formula>0.5</formula>
    </cfRule>
  </conditionalFormatting>
  <conditionalFormatting sqref="BH72">
    <cfRule type="cellIs" dxfId="104" priority="141831" stopIfTrue="1" operator="equal">
      <formula>-1</formula>
    </cfRule>
  </conditionalFormatting>
  <conditionalFormatting sqref="BH72">
    <cfRule type="cellIs" dxfId="103" priority="141832" stopIfTrue="1" operator="lessThan">
      <formula>0.5</formula>
    </cfRule>
  </conditionalFormatting>
  <conditionalFormatting sqref="BH72">
    <cfRule type="cellIs" dxfId="102" priority="141833" stopIfTrue="1" operator="greaterThanOrEqual">
      <formula>0.5</formula>
    </cfRule>
  </conditionalFormatting>
  <conditionalFormatting sqref="BH73">
    <cfRule type="cellIs" dxfId="101" priority="141834" stopIfTrue="1" operator="equal">
      <formula>-1</formula>
    </cfRule>
  </conditionalFormatting>
  <conditionalFormatting sqref="BH73">
    <cfRule type="cellIs" dxfId="100" priority="141835" stopIfTrue="1" operator="lessThan">
      <formula>0.5</formula>
    </cfRule>
  </conditionalFormatting>
  <conditionalFormatting sqref="BH73">
    <cfRule type="cellIs" dxfId="99" priority="141836" stopIfTrue="1" operator="greaterThanOrEqual">
      <formula>0.5</formula>
    </cfRule>
  </conditionalFormatting>
  <conditionalFormatting sqref="BH74">
    <cfRule type="cellIs" dxfId="98" priority="141837" stopIfTrue="1" operator="equal">
      <formula>-1</formula>
    </cfRule>
  </conditionalFormatting>
  <conditionalFormatting sqref="BH74">
    <cfRule type="cellIs" dxfId="97" priority="141838" stopIfTrue="1" operator="lessThan">
      <formula>0.5</formula>
    </cfRule>
  </conditionalFormatting>
  <conditionalFormatting sqref="BH74">
    <cfRule type="cellIs" dxfId="96" priority="141839" stopIfTrue="1" operator="greaterThanOrEqual">
      <formula>0.5</formula>
    </cfRule>
  </conditionalFormatting>
  <conditionalFormatting sqref="BH75">
    <cfRule type="cellIs" dxfId="95" priority="141840" stopIfTrue="1" operator="equal">
      <formula>-1</formula>
    </cfRule>
  </conditionalFormatting>
  <conditionalFormatting sqref="BH75">
    <cfRule type="cellIs" dxfId="94" priority="141841" stopIfTrue="1" operator="lessThan">
      <formula>0.5</formula>
    </cfRule>
  </conditionalFormatting>
  <conditionalFormatting sqref="BH75">
    <cfRule type="cellIs" dxfId="93" priority="141842" stopIfTrue="1" operator="greaterThanOrEqual">
      <formula>0.5</formula>
    </cfRule>
  </conditionalFormatting>
  <conditionalFormatting sqref="BH76">
    <cfRule type="cellIs" dxfId="92" priority="141843" stopIfTrue="1" operator="equal">
      <formula>-1</formula>
    </cfRule>
  </conditionalFormatting>
  <conditionalFormatting sqref="BH76">
    <cfRule type="cellIs" dxfId="91" priority="141844" stopIfTrue="1" operator="lessThan">
      <formula>0.5</formula>
    </cfRule>
  </conditionalFormatting>
  <conditionalFormatting sqref="BH76">
    <cfRule type="cellIs" dxfId="90" priority="141845" stopIfTrue="1" operator="greaterThanOrEqual">
      <formula>0.5</formula>
    </cfRule>
  </conditionalFormatting>
  <conditionalFormatting sqref="BH77">
    <cfRule type="cellIs" dxfId="89" priority="141846" stopIfTrue="1" operator="equal">
      <formula>-1</formula>
    </cfRule>
  </conditionalFormatting>
  <conditionalFormatting sqref="BH77">
    <cfRule type="cellIs" dxfId="88" priority="141847" stopIfTrue="1" operator="lessThan">
      <formula>0.5</formula>
    </cfRule>
  </conditionalFormatting>
  <conditionalFormatting sqref="BH77">
    <cfRule type="cellIs" dxfId="87" priority="141848" stopIfTrue="1" operator="greaterThanOrEqual">
      <formula>0.5</formula>
    </cfRule>
  </conditionalFormatting>
  <conditionalFormatting sqref="BH78">
    <cfRule type="cellIs" dxfId="86" priority="141849" stopIfTrue="1" operator="equal">
      <formula>-1</formula>
    </cfRule>
  </conditionalFormatting>
  <conditionalFormatting sqref="BH78">
    <cfRule type="cellIs" dxfId="85" priority="141850" stopIfTrue="1" operator="lessThan">
      <formula>0.5</formula>
    </cfRule>
  </conditionalFormatting>
  <conditionalFormatting sqref="BH78">
    <cfRule type="cellIs" dxfId="84" priority="141851" stopIfTrue="1" operator="greaterThanOrEqual">
      <formula>0.5</formula>
    </cfRule>
  </conditionalFormatting>
  <conditionalFormatting sqref="BH79">
    <cfRule type="cellIs" dxfId="83" priority="141852" stopIfTrue="1" operator="equal">
      <formula>-1</formula>
    </cfRule>
  </conditionalFormatting>
  <conditionalFormatting sqref="BH79">
    <cfRule type="cellIs" dxfId="82" priority="141853" stopIfTrue="1" operator="lessThan">
      <formula>0.5</formula>
    </cfRule>
  </conditionalFormatting>
  <conditionalFormatting sqref="BH79">
    <cfRule type="cellIs" dxfId="81" priority="141854" stopIfTrue="1" operator="greaterThanOrEqual">
      <formula>0.5</formula>
    </cfRule>
  </conditionalFormatting>
  <conditionalFormatting sqref="BH80">
    <cfRule type="cellIs" dxfId="80" priority="141855" stopIfTrue="1" operator="equal">
      <formula>-1</formula>
    </cfRule>
  </conditionalFormatting>
  <conditionalFormatting sqref="BH80">
    <cfRule type="cellIs" dxfId="79" priority="141856" stopIfTrue="1" operator="lessThan">
      <formula>0.5</formula>
    </cfRule>
  </conditionalFormatting>
  <conditionalFormatting sqref="BH80">
    <cfRule type="cellIs" dxfId="78" priority="141857" stopIfTrue="1" operator="greaterThanOrEqual">
      <formula>0.5</formula>
    </cfRule>
  </conditionalFormatting>
  <conditionalFormatting sqref="BH81">
    <cfRule type="cellIs" dxfId="77" priority="141858" stopIfTrue="1" operator="equal">
      <formula>-1</formula>
    </cfRule>
  </conditionalFormatting>
  <conditionalFormatting sqref="BH81">
    <cfRule type="cellIs" dxfId="76" priority="141859" stopIfTrue="1" operator="lessThan">
      <formula>0.5</formula>
    </cfRule>
  </conditionalFormatting>
  <conditionalFormatting sqref="BH81">
    <cfRule type="cellIs" dxfId="75" priority="141860" stopIfTrue="1" operator="greaterThanOrEqual">
      <formula>0.5</formula>
    </cfRule>
  </conditionalFormatting>
  <conditionalFormatting sqref="BH82">
    <cfRule type="cellIs" dxfId="74" priority="141861" stopIfTrue="1" operator="equal">
      <formula>-1</formula>
    </cfRule>
  </conditionalFormatting>
  <conditionalFormatting sqref="BH82">
    <cfRule type="cellIs" dxfId="73" priority="141862" stopIfTrue="1" operator="lessThan">
      <formula>0.5</formula>
    </cfRule>
  </conditionalFormatting>
  <conditionalFormatting sqref="BH82">
    <cfRule type="cellIs" dxfId="72" priority="141863" stopIfTrue="1" operator="greaterThanOrEqual">
      <formula>0.5</formula>
    </cfRule>
  </conditionalFormatting>
  <conditionalFormatting sqref="BH83">
    <cfRule type="cellIs" dxfId="71" priority="141864" stopIfTrue="1" operator="equal">
      <formula>-1</formula>
    </cfRule>
  </conditionalFormatting>
  <conditionalFormatting sqref="BH83">
    <cfRule type="cellIs" dxfId="70" priority="141865" stopIfTrue="1" operator="lessThan">
      <formula>0.5</formula>
    </cfRule>
  </conditionalFormatting>
  <conditionalFormatting sqref="BH83">
    <cfRule type="cellIs" dxfId="69" priority="141866" stopIfTrue="1" operator="greaterThanOrEqual">
      <formula>0.5</formula>
    </cfRule>
  </conditionalFormatting>
  <conditionalFormatting sqref="BH84">
    <cfRule type="cellIs" dxfId="68" priority="141867" stopIfTrue="1" operator="equal">
      <formula>-1</formula>
    </cfRule>
  </conditionalFormatting>
  <conditionalFormatting sqref="BH84">
    <cfRule type="cellIs" dxfId="67" priority="141868" stopIfTrue="1" operator="lessThan">
      <formula>0.5</formula>
    </cfRule>
  </conditionalFormatting>
  <conditionalFormatting sqref="BH84">
    <cfRule type="cellIs" dxfId="66" priority="141869" stopIfTrue="1" operator="greaterThanOrEqual">
      <formula>0.5</formula>
    </cfRule>
  </conditionalFormatting>
  <conditionalFormatting sqref="BH85">
    <cfRule type="cellIs" dxfId="65" priority="141870" stopIfTrue="1" operator="equal">
      <formula>-1</formula>
    </cfRule>
  </conditionalFormatting>
  <conditionalFormatting sqref="BH85">
    <cfRule type="cellIs" dxfId="64" priority="141871" stopIfTrue="1" operator="lessThan">
      <formula>0.5</formula>
    </cfRule>
  </conditionalFormatting>
  <conditionalFormatting sqref="BH85">
    <cfRule type="cellIs" dxfId="63" priority="141872" stopIfTrue="1" operator="greaterThanOrEqual">
      <formula>0.5</formula>
    </cfRule>
  </conditionalFormatting>
  <conditionalFormatting sqref="BJ65">
    <cfRule type="cellIs" dxfId="62" priority="141873" stopIfTrue="1" operator="equal">
      <formula>-1</formula>
    </cfRule>
  </conditionalFormatting>
  <conditionalFormatting sqref="BJ65">
    <cfRule type="cellIs" dxfId="61" priority="141874" stopIfTrue="1" operator="lessThan">
      <formula>0.5</formula>
    </cfRule>
  </conditionalFormatting>
  <conditionalFormatting sqref="BJ65">
    <cfRule type="cellIs" dxfId="60" priority="141875" stopIfTrue="1" operator="greaterThanOrEqual">
      <formula>0.5</formula>
    </cfRule>
  </conditionalFormatting>
  <conditionalFormatting sqref="BJ66">
    <cfRule type="cellIs" dxfId="59" priority="141876" stopIfTrue="1" operator="equal">
      <formula>-1</formula>
    </cfRule>
  </conditionalFormatting>
  <conditionalFormatting sqref="BJ66">
    <cfRule type="cellIs" dxfId="58" priority="141877" stopIfTrue="1" operator="lessThan">
      <formula>0.5</formula>
    </cfRule>
  </conditionalFormatting>
  <conditionalFormatting sqref="BJ66">
    <cfRule type="cellIs" dxfId="57" priority="141878" stopIfTrue="1" operator="greaterThanOrEqual">
      <formula>0.5</formula>
    </cfRule>
  </conditionalFormatting>
  <conditionalFormatting sqref="BJ67">
    <cfRule type="cellIs" dxfId="56" priority="141879" stopIfTrue="1" operator="equal">
      <formula>-1</formula>
    </cfRule>
  </conditionalFormatting>
  <conditionalFormatting sqref="BJ67">
    <cfRule type="cellIs" dxfId="55" priority="141880" stopIfTrue="1" operator="lessThan">
      <formula>0.5</formula>
    </cfRule>
  </conditionalFormatting>
  <conditionalFormatting sqref="BJ67">
    <cfRule type="cellIs" dxfId="54" priority="141881" stopIfTrue="1" operator="greaterThanOrEqual">
      <formula>0.5</formula>
    </cfRule>
  </conditionalFormatting>
  <conditionalFormatting sqref="BJ68">
    <cfRule type="cellIs" dxfId="53" priority="141882" stopIfTrue="1" operator="equal">
      <formula>-1</formula>
    </cfRule>
  </conditionalFormatting>
  <conditionalFormatting sqref="BJ68">
    <cfRule type="cellIs" dxfId="52" priority="141883" stopIfTrue="1" operator="lessThan">
      <formula>0.5</formula>
    </cfRule>
  </conditionalFormatting>
  <conditionalFormatting sqref="BJ68">
    <cfRule type="cellIs" dxfId="51" priority="141884" stopIfTrue="1" operator="greaterThanOrEqual">
      <formula>0.5</formula>
    </cfRule>
  </conditionalFormatting>
  <conditionalFormatting sqref="BJ69">
    <cfRule type="cellIs" dxfId="50" priority="141885" stopIfTrue="1" operator="equal">
      <formula>-1</formula>
    </cfRule>
  </conditionalFormatting>
  <conditionalFormatting sqref="BJ69">
    <cfRule type="cellIs" dxfId="49" priority="141886" stopIfTrue="1" operator="lessThan">
      <formula>0.5</formula>
    </cfRule>
  </conditionalFormatting>
  <conditionalFormatting sqref="BJ69">
    <cfRule type="cellIs" dxfId="48" priority="141887" stopIfTrue="1" operator="greaterThanOrEqual">
      <formula>0.5</formula>
    </cfRule>
  </conditionalFormatting>
  <conditionalFormatting sqref="BJ70">
    <cfRule type="cellIs" dxfId="47" priority="141888" stopIfTrue="1" operator="equal">
      <formula>-1</formula>
    </cfRule>
  </conditionalFormatting>
  <conditionalFormatting sqref="BJ70">
    <cfRule type="cellIs" dxfId="46" priority="141889" stopIfTrue="1" operator="lessThan">
      <formula>0.5</formula>
    </cfRule>
  </conditionalFormatting>
  <conditionalFormatting sqref="BJ70">
    <cfRule type="cellIs" dxfId="45" priority="141890" stopIfTrue="1" operator="greaterThanOrEqual">
      <formula>0.5</formula>
    </cfRule>
  </conditionalFormatting>
  <conditionalFormatting sqref="BJ71">
    <cfRule type="cellIs" dxfId="44" priority="141891" stopIfTrue="1" operator="equal">
      <formula>-1</formula>
    </cfRule>
  </conditionalFormatting>
  <conditionalFormatting sqref="BJ71">
    <cfRule type="cellIs" dxfId="43" priority="141892" stopIfTrue="1" operator="lessThan">
      <formula>0.5</formula>
    </cfRule>
  </conditionalFormatting>
  <conditionalFormatting sqref="BJ71">
    <cfRule type="cellIs" dxfId="42" priority="141893" stopIfTrue="1" operator="greaterThanOrEqual">
      <formula>0.5</formula>
    </cfRule>
  </conditionalFormatting>
  <conditionalFormatting sqref="BJ72">
    <cfRule type="cellIs" dxfId="41" priority="141894" stopIfTrue="1" operator="equal">
      <formula>-1</formula>
    </cfRule>
  </conditionalFormatting>
  <conditionalFormatting sqref="BJ72">
    <cfRule type="cellIs" dxfId="40" priority="141895" stopIfTrue="1" operator="lessThan">
      <formula>0.5</formula>
    </cfRule>
  </conditionalFormatting>
  <conditionalFormatting sqref="BJ72">
    <cfRule type="cellIs" dxfId="39" priority="141896" stopIfTrue="1" operator="greaterThanOrEqual">
      <formula>0.5</formula>
    </cfRule>
  </conditionalFormatting>
  <conditionalFormatting sqref="BJ73">
    <cfRule type="cellIs" dxfId="38" priority="141897" stopIfTrue="1" operator="equal">
      <formula>-1</formula>
    </cfRule>
  </conditionalFormatting>
  <conditionalFormatting sqref="BJ73">
    <cfRule type="cellIs" dxfId="37" priority="141898" stopIfTrue="1" operator="lessThan">
      <formula>0.5</formula>
    </cfRule>
  </conditionalFormatting>
  <conditionalFormatting sqref="BJ73">
    <cfRule type="cellIs" dxfId="36" priority="141899" stopIfTrue="1" operator="greaterThanOrEqual">
      <formula>0.5</formula>
    </cfRule>
  </conditionalFormatting>
  <conditionalFormatting sqref="BJ74">
    <cfRule type="cellIs" dxfId="35" priority="141900" stopIfTrue="1" operator="equal">
      <formula>-1</formula>
    </cfRule>
  </conditionalFormatting>
  <conditionalFormatting sqref="BJ74">
    <cfRule type="cellIs" dxfId="34" priority="141901" stopIfTrue="1" operator="lessThan">
      <formula>0.5</formula>
    </cfRule>
  </conditionalFormatting>
  <conditionalFormatting sqref="BJ74">
    <cfRule type="cellIs" dxfId="33" priority="141902" stopIfTrue="1" operator="greaterThanOrEqual">
      <formula>0.5</formula>
    </cfRule>
  </conditionalFormatting>
  <conditionalFormatting sqref="BJ75">
    <cfRule type="cellIs" dxfId="32" priority="141903" stopIfTrue="1" operator="equal">
      <formula>-1</formula>
    </cfRule>
  </conditionalFormatting>
  <conditionalFormatting sqref="BJ75">
    <cfRule type="cellIs" dxfId="31" priority="141904" stopIfTrue="1" operator="lessThan">
      <formula>0.5</formula>
    </cfRule>
  </conditionalFormatting>
  <conditionalFormatting sqref="BJ75">
    <cfRule type="cellIs" dxfId="30" priority="141905" stopIfTrue="1" operator="greaterThanOrEqual">
      <formula>0.5</formula>
    </cfRule>
  </conditionalFormatting>
  <conditionalFormatting sqref="BJ76">
    <cfRule type="cellIs" dxfId="29" priority="141906" stopIfTrue="1" operator="equal">
      <formula>-1</formula>
    </cfRule>
  </conditionalFormatting>
  <conditionalFormatting sqref="BJ76">
    <cfRule type="cellIs" dxfId="28" priority="141907" stopIfTrue="1" operator="lessThan">
      <formula>0.5</formula>
    </cfRule>
  </conditionalFormatting>
  <conditionalFormatting sqref="BJ76">
    <cfRule type="cellIs" dxfId="27" priority="141908" stopIfTrue="1" operator="greaterThanOrEqual">
      <formula>0.5</formula>
    </cfRule>
  </conditionalFormatting>
  <conditionalFormatting sqref="BJ77">
    <cfRule type="cellIs" dxfId="26" priority="141909" stopIfTrue="1" operator="equal">
      <formula>-1</formula>
    </cfRule>
  </conditionalFormatting>
  <conditionalFormatting sqref="BJ77">
    <cfRule type="cellIs" dxfId="25" priority="141910" stopIfTrue="1" operator="lessThan">
      <formula>0.5</formula>
    </cfRule>
  </conditionalFormatting>
  <conditionalFormatting sqref="BJ77">
    <cfRule type="cellIs" dxfId="24" priority="141911" stopIfTrue="1" operator="greaterThanOrEqual">
      <formula>0.5</formula>
    </cfRule>
  </conditionalFormatting>
  <conditionalFormatting sqref="BJ78">
    <cfRule type="cellIs" dxfId="23" priority="141912" stopIfTrue="1" operator="equal">
      <formula>-1</formula>
    </cfRule>
  </conditionalFormatting>
  <conditionalFormatting sqref="BJ78">
    <cfRule type="cellIs" dxfId="22" priority="141913" stopIfTrue="1" operator="lessThan">
      <formula>0.5</formula>
    </cfRule>
  </conditionalFormatting>
  <conditionalFormatting sqref="BJ78">
    <cfRule type="cellIs" dxfId="21" priority="141914" stopIfTrue="1" operator="greaterThanOrEqual">
      <formula>0.5</formula>
    </cfRule>
  </conditionalFormatting>
  <conditionalFormatting sqref="BJ79">
    <cfRule type="cellIs" dxfId="20" priority="141915" stopIfTrue="1" operator="equal">
      <formula>-1</formula>
    </cfRule>
  </conditionalFormatting>
  <conditionalFormatting sqref="BJ79">
    <cfRule type="cellIs" dxfId="19" priority="141916" stopIfTrue="1" operator="lessThan">
      <formula>0.5</formula>
    </cfRule>
  </conditionalFormatting>
  <conditionalFormatting sqref="BJ79">
    <cfRule type="cellIs" dxfId="18" priority="141917" stopIfTrue="1" operator="greaterThanOrEqual">
      <formula>0.5</formula>
    </cfRule>
  </conditionalFormatting>
  <conditionalFormatting sqref="BJ80">
    <cfRule type="cellIs" dxfId="17" priority="141918" stopIfTrue="1" operator="equal">
      <formula>-1</formula>
    </cfRule>
  </conditionalFormatting>
  <conditionalFormatting sqref="BJ80">
    <cfRule type="cellIs" dxfId="16" priority="141919" stopIfTrue="1" operator="lessThan">
      <formula>0.5</formula>
    </cfRule>
  </conditionalFormatting>
  <conditionalFormatting sqref="BJ80">
    <cfRule type="cellIs" dxfId="15" priority="141920" stopIfTrue="1" operator="greaterThanOrEqual">
      <formula>0.5</formula>
    </cfRule>
  </conditionalFormatting>
  <conditionalFormatting sqref="BJ81">
    <cfRule type="cellIs" dxfId="14" priority="141921" stopIfTrue="1" operator="equal">
      <formula>-1</formula>
    </cfRule>
  </conditionalFormatting>
  <conditionalFormatting sqref="BJ81">
    <cfRule type="cellIs" dxfId="13" priority="141922" stopIfTrue="1" operator="lessThan">
      <formula>0.5</formula>
    </cfRule>
  </conditionalFormatting>
  <conditionalFormatting sqref="BJ81">
    <cfRule type="cellIs" dxfId="12" priority="141923" stopIfTrue="1" operator="greaterThanOrEqual">
      <formula>0.5</formula>
    </cfRule>
  </conditionalFormatting>
  <conditionalFormatting sqref="BJ82">
    <cfRule type="cellIs" dxfId="11" priority="141924" stopIfTrue="1" operator="equal">
      <formula>-1</formula>
    </cfRule>
  </conditionalFormatting>
  <conditionalFormatting sqref="BJ82">
    <cfRule type="cellIs" dxfId="10" priority="141925" stopIfTrue="1" operator="lessThan">
      <formula>0.5</formula>
    </cfRule>
  </conditionalFormatting>
  <conditionalFormatting sqref="BJ82">
    <cfRule type="cellIs" dxfId="9" priority="141926" stopIfTrue="1" operator="greaterThanOrEqual">
      <formula>0.5</formula>
    </cfRule>
  </conditionalFormatting>
  <conditionalFormatting sqref="BJ83">
    <cfRule type="cellIs" dxfId="8" priority="141927" stopIfTrue="1" operator="equal">
      <formula>-1</formula>
    </cfRule>
  </conditionalFormatting>
  <conditionalFormatting sqref="BJ83">
    <cfRule type="cellIs" dxfId="7" priority="141928" stopIfTrue="1" operator="lessThan">
      <formula>0.5</formula>
    </cfRule>
  </conditionalFormatting>
  <conditionalFormatting sqref="BJ83">
    <cfRule type="cellIs" dxfId="6" priority="141929" stopIfTrue="1" operator="greaterThanOrEqual">
      <formula>0.5</formula>
    </cfRule>
  </conditionalFormatting>
  <conditionalFormatting sqref="BJ84">
    <cfRule type="cellIs" dxfId="5" priority="141930" stopIfTrue="1" operator="equal">
      <formula>-1</formula>
    </cfRule>
  </conditionalFormatting>
  <conditionalFormatting sqref="BJ84">
    <cfRule type="cellIs" dxfId="4" priority="141931" stopIfTrue="1" operator="lessThan">
      <formula>0.5</formula>
    </cfRule>
  </conditionalFormatting>
  <conditionalFormatting sqref="BJ84">
    <cfRule type="cellIs" dxfId="3" priority="141932" stopIfTrue="1" operator="greaterThanOrEqual">
      <formula>0.5</formula>
    </cfRule>
  </conditionalFormatting>
  <conditionalFormatting sqref="BJ85">
    <cfRule type="cellIs" dxfId="2" priority="141933" stopIfTrue="1" operator="equal">
      <formula>-1</formula>
    </cfRule>
  </conditionalFormatting>
  <conditionalFormatting sqref="BJ85">
    <cfRule type="cellIs" dxfId="1" priority="141934" stopIfTrue="1" operator="lessThan">
      <formula>0.5</formula>
    </cfRule>
  </conditionalFormatting>
  <conditionalFormatting sqref="BJ85">
    <cfRule type="cellIs" dxfId="0" priority="14193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29AD-7C8D-5342-A685-58E60CB4FD3F}">
  <sheetPr codeName="Sheet5">
    <tabColor rgb="FFDA1BFF"/>
    <pageSetUpPr fitToPage="1"/>
  </sheetPr>
  <dimension ref="A1:D13"/>
  <sheetViews>
    <sheetView showGridLines="0" workbookViewId="0">
      <selection activeCell="B2" sqref="B2"/>
    </sheetView>
  </sheetViews>
  <sheetFormatPr baseColWidth="10" defaultRowHeight="16" x14ac:dyDescent="0.2"/>
  <cols>
    <col min="1" max="1" width="38.6640625" customWidth="1"/>
    <col min="2" max="4" width="28.6640625" customWidth="1"/>
  </cols>
  <sheetData>
    <row r="1" spans="1:4" ht="29" x14ac:dyDescent="0.2">
      <c r="A1" s="22"/>
      <c r="B1" s="20" t="s">
        <v>97</v>
      </c>
      <c r="C1" s="21" t="s">
        <v>98</v>
      </c>
      <c r="D1" s="21" t="s">
        <v>99</v>
      </c>
    </row>
    <row r="2" spans="1:4" ht="58" x14ac:dyDescent="0.2">
      <c r="A2" s="23" t="s">
        <v>2</v>
      </c>
      <c r="B2" s="39">
        <v>0.1</v>
      </c>
      <c r="C2" s="39">
        <v>0.1</v>
      </c>
      <c r="D2" s="39">
        <v>0.1</v>
      </c>
    </row>
    <row r="3" spans="1:4" ht="58" x14ac:dyDescent="0.2">
      <c r="A3" s="24" t="s">
        <v>3</v>
      </c>
      <c r="B3" s="39">
        <v>0.45</v>
      </c>
      <c r="C3" s="39">
        <v>0.2</v>
      </c>
      <c r="D3" s="39">
        <v>0.15</v>
      </c>
    </row>
    <row r="4" spans="1:4" ht="58" x14ac:dyDescent="0.2">
      <c r="A4" s="25" t="s">
        <v>4</v>
      </c>
      <c r="B4" s="40">
        <v>0.45</v>
      </c>
      <c r="C4" s="40">
        <v>0.4</v>
      </c>
      <c r="D4" s="40">
        <v>0.3</v>
      </c>
    </row>
    <row r="5" spans="1:4" ht="29" x14ac:dyDescent="0.2">
      <c r="A5" s="23" t="s">
        <v>5</v>
      </c>
      <c r="B5" s="16"/>
      <c r="C5" s="41">
        <v>0.3</v>
      </c>
      <c r="D5" s="41">
        <v>0.2</v>
      </c>
    </row>
    <row r="6" spans="1:4" ht="58" x14ac:dyDescent="0.2">
      <c r="A6" s="24" t="s">
        <v>6</v>
      </c>
      <c r="B6" s="17"/>
      <c r="C6" s="17"/>
      <c r="D6" s="42">
        <v>0.15</v>
      </c>
    </row>
    <row r="7" spans="1:4" ht="58" x14ac:dyDescent="0.2">
      <c r="A7" s="24" t="s">
        <v>7</v>
      </c>
      <c r="B7" s="18"/>
      <c r="C7" s="18"/>
      <c r="D7" s="43">
        <v>0.1</v>
      </c>
    </row>
    <row r="8" spans="1:4" x14ac:dyDescent="0.2">
      <c r="A8" s="19"/>
      <c r="B8" s="19"/>
      <c r="C8" s="19"/>
      <c r="D8" s="19"/>
    </row>
    <row r="9" spans="1:4" x14ac:dyDescent="0.2">
      <c r="A9" s="19"/>
      <c r="B9" s="19"/>
      <c r="C9" s="19"/>
      <c r="D9" s="19"/>
    </row>
    <row r="10" spans="1:4" ht="29" x14ac:dyDescent="0.2">
      <c r="A10" s="20" t="s">
        <v>89</v>
      </c>
      <c r="B10" s="21" t="s">
        <v>90</v>
      </c>
      <c r="C10" s="20" t="s">
        <v>91</v>
      </c>
      <c r="D10" s="19"/>
    </row>
    <row r="11" spans="1:4" ht="29" x14ac:dyDescent="0.2">
      <c r="A11" s="26" t="s">
        <v>85</v>
      </c>
      <c r="B11" s="15"/>
      <c r="C11" s="15" t="s">
        <v>92</v>
      </c>
      <c r="D11" s="19"/>
    </row>
    <row r="12" spans="1:4" ht="29" x14ac:dyDescent="0.2">
      <c r="A12" s="26" t="s">
        <v>86</v>
      </c>
      <c r="B12" s="15" t="s">
        <v>93</v>
      </c>
      <c r="C12" s="15" t="s">
        <v>94</v>
      </c>
      <c r="D12" s="19"/>
    </row>
    <row r="13" spans="1:4" ht="29" x14ac:dyDescent="0.2">
      <c r="A13" s="26" t="s">
        <v>95</v>
      </c>
      <c r="B13" s="15" t="s">
        <v>96</v>
      </c>
      <c r="C13" s="15"/>
      <c r="D13" s="27" t="str" cm="1">
        <f t="array" ref="D13">[1]!VERSION</f>
        <v>Versión 1.1</v>
      </c>
    </row>
  </sheetData>
  <sheetProtection algorithmName="SHA-512" hashValue="ea89us43wkCnUU6er9TDIWooGWk603Qe1ccMt7lhTqm8oN+iAFaZvGTqs+Xp4mZOs6UBpNKKxYGh7qnchG2vyA==" saltValue="7JA81seYxAg4ca+NpswWOQ==" spinCount="100000" sheet="1" objects="1" scenarios="1" formatCells="0" autoFilter="0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5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Primera</vt:lpstr>
      <vt:lpstr>Recu1</vt:lpstr>
      <vt:lpstr>Segunda</vt:lpstr>
      <vt:lpstr>Recu2</vt:lpstr>
      <vt:lpstr>Tercera</vt:lpstr>
      <vt:lpstr>Recu3</vt:lpstr>
      <vt:lpstr>Ordinaria</vt:lpstr>
      <vt:lpstr>Extraordinaria</vt:lpstr>
      <vt:lpstr>Estructura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dcterms:created xsi:type="dcterms:W3CDTF">2022-10-09T08:52:05Z</dcterms:created>
  <dcterms:modified xsi:type="dcterms:W3CDTF">2022-10-15T18:38:32Z</dcterms:modified>
</cp:coreProperties>
</file>